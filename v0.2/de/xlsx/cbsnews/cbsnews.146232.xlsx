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5812C43E-008D-4B67-A445-3923C9D8C5FD}"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781" i="2" l="1"/>
  <c r="E670" i="2"/>
  <c r="E782" i="2"/>
  <c r="E781" i="2"/>
  <c r="F781" i="2" s="1"/>
  <c r="J781" i="2" s="1"/>
  <c r="H781" i="2" s="1"/>
  <c r="G780" i="2"/>
  <c r="F780" i="2"/>
  <c r="I780" i="2" s="1"/>
  <c r="E780" i="2"/>
  <c r="G779" i="2"/>
  <c r="E779" i="2"/>
  <c r="F779" i="2" s="1"/>
  <c r="F778" i="2"/>
  <c r="E778" i="2"/>
  <c r="G778" i="2" s="1"/>
  <c r="G775" i="2"/>
  <c r="E774" i="2"/>
  <c r="G774" i="2" s="1"/>
  <c r="F773" i="2"/>
  <c r="G772" i="2"/>
  <c r="F772" i="2"/>
  <c r="E771" i="2"/>
  <c r="F770" i="2"/>
  <c r="E769" i="2"/>
  <c r="E768" i="2"/>
  <c r="E767" i="2"/>
  <c r="G767" i="2" s="1"/>
  <c r="G766" i="2"/>
  <c r="G765" i="2"/>
  <c r="E765" i="2"/>
  <c r="F765" i="2" s="1"/>
  <c r="G764" i="2"/>
  <c r="F764" i="2"/>
  <c r="E764" i="2"/>
  <c r="F763" i="2"/>
  <c r="E763" i="2"/>
  <c r="F762" i="2"/>
  <c r="E762" i="2"/>
  <c r="E757" i="2"/>
  <c r="G757" i="2" s="1"/>
  <c r="E756" i="2"/>
  <c r="G756" i="2" s="1"/>
  <c r="G755" i="2"/>
  <c r="E755" i="2"/>
  <c r="F755" i="2" s="1"/>
  <c r="I755" i="2" s="1"/>
  <c r="G754" i="2"/>
  <c r="F754" i="2"/>
  <c r="E754" i="2"/>
  <c r="G753" i="2"/>
  <c r="F753" i="2"/>
  <c r="E753" i="2"/>
  <c r="F752" i="2"/>
  <c r="E752" i="2"/>
  <c r="E751" i="2"/>
  <c r="E750" i="2"/>
  <c r="E749" i="2"/>
  <c r="G749" i="2" s="1"/>
  <c r="E748" i="2"/>
  <c r="G748" i="2" s="1"/>
  <c r="G747" i="2"/>
  <c r="E747" i="2"/>
  <c r="F747" i="2" s="1"/>
  <c r="G746" i="2"/>
  <c r="F746" i="2"/>
  <c r="E746" i="2"/>
  <c r="F745" i="2"/>
  <c r="E745" i="2"/>
  <c r="E743" i="2"/>
  <c r="E741" i="2"/>
  <c r="G741" i="2" s="1"/>
  <c r="F739" i="2"/>
  <c r="J739" i="2" s="1"/>
  <c r="G738" i="2"/>
  <c r="F738" i="2"/>
  <c r="E738" i="2"/>
  <c r="E735" i="2"/>
  <c r="G734" i="2"/>
  <c r="E734" i="2"/>
  <c r="E733" i="2"/>
  <c r="E732" i="2"/>
  <c r="E731" i="2"/>
  <c r="E730" i="2"/>
  <c r="G730" i="2" s="1"/>
  <c r="G729" i="2"/>
  <c r="E729" i="2"/>
  <c r="F729" i="2" s="1"/>
  <c r="K729" i="2" s="1"/>
  <c r="G728" i="2"/>
  <c r="K728" i="2"/>
  <c r="G727" i="2"/>
  <c r="E727" i="2"/>
  <c r="G725" i="2"/>
  <c r="E725" i="2"/>
  <c r="E724" i="2"/>
  <c r="E723" i="2"/>
  <c r="E722" i="2"/>
  <c r="G722" i="2" s="1"/>
  <c r="F721" i="2"/>
  <c r="J721" i="2" s="1"/>
  <c r="G720" i="2"/>
  <c r="F720" i="2"/>
  <c r="K720" i="2" s="1"/>
  <c r="E720" i="2"/>
  <c r="E719" i="2"/>
  <c r="G718" i="2"/>
  <c r="F718" i="2"/>
  <c r="E718" i="2"/>
  <c r="G717" i="2"/>
  <c r="E717" i="2"/>
  <c r="F716" i="2"/>
  <c r="J716" i="2" s="1"/>
  <c r="H716" i="2" s="1"/>
  <c r="E716" i="2"/>
  <c r="G714" i="2"/>
  <c r="G712" i="2"/>
  <c r="E712" i="2"/>
  <c r="F712" i="2" s="1"/>
  <c r="J712" i="2" s="1"/>
  <c r="H712" i="2" s="1"/>
  <c r="G710" i="2"/>
  <c r="F710" i="2"/>
  <c r="E710" i="2"/>
  <c r="E709" i="2"/>
  <c r="E707" i="2"/>
  <c r="E706" i="2"/>
  <c r="E705" i="2"/>
  <c r="E704" i="2"/>
  <c r="G704" i="2" s="1"/>
  <c r="F703" i="2"/>
  <c r="G702" i="2"/>
  <c r="F702" i="2"/>
  <c r="E702" i="2"/>
  <c r="G701" i="2"/>
  <c r="F701" i="2"/>
  <c r="I701" i="2" s="1"/>
  <c r="E701" i="2"/>
  <c r="G700" i="2"/>
  <c r="E700" i="2"/>
  <c r="G699" i="2"/>
  <c r="F699" i="2"/>
  <c r="E699" i="2"/>
  <c r="E697" i="2"/>
  <c r="E696" i="2"/>
  <c r="G696" i="2" s="1"/>
  <c r="G695" i="2"/>
  <c r="E695" i="2"/>
  <c r="F695" i="2" s="1"/>
  <c r="I695" i="2" s="1"/>
  <c r="F694" i="2"/>
  <c r="G693" i="2"/>
  <c r="E693" i="2"/>
  <c r="E692" i="2"/>
  <c r="G691" i="2"/>
  <c r="E691" i="2"/>
  <c r="E690" i="2"/>
  <c r="E689" i="2"/>
  <c r="G687" i="2"/>
  <c r="E687" i="2"/>
  <c r="F687" i="2" s="1"/>
  <c r="J687" i="2" s="1"/>
  <c r="H687" i="2" s="1"/>
  <c r="G686" i="2"/>
  <c r="F686" i="2"/>
  <c r="E686" i="2"/>
  <c r="G685" i="2"/>
  <c r="E685" i="2"/>
  <c r="G684" i="2"/>
  <c r="F684" i="2"/>
  <c r="E684" i="2"/>
  <c r="G683" i="2"/>
  <c r="E683" i="2"/>
  <c r="F682" i="2"/>
  <c r="J682" i="2" s="1"/>
  <c r="H682" i="2" s="1"/>
  <c r="E682" i="2"/>
  <c r="G679" i="2"/>
  <c r="E679" i="2"/>
  <c r="F679" i="2" s="1"/>
  <c r="J679" i="2" s="1"/>
  <c r="H679" i="2" s="1"/>
  <c r="G676" i="2"/>
  <c r="F676" i="2"/>
  <c r="E676" i="2"/>
  <c r="E675" i="2"/>
  <c r="G674" i="2"/>
  <c r="G673" i="2"/>
  <c r="F673" i="2"/>
  <c r="K673" i="2" s="1"/>
  <c r="E673" i="2"/>
  <c r="G672" i="2"/>
  <c r="F672" i="2"/>
  <c r="K672" i="2" s="1"/>
  <c r="E672" i="2"/>
  <c r="F671" i="2"/>
  <c r="J671" i="2" s="1"/>
  <c r="H671" i="2" s="1"/>
  <c r="E671" i="2"/>
  <c r="G671" i="2" s="1"/>
  <c r="F669" i="2"/>
  <c r="I669" i="2" s="1"/>
  <c r="F668" i="2"/>
  <c r="J668" i="2" s="1"/>
  <c r="H668" i="2" s="1"/>
  <c r="F667" i="2"/>
  <c r="J667" i="2" s="1"/>
  <c r="H667" i="2" s="1"/>
  <c r="E667" i="2"/>
  <c r="E666" i="2"/>
  <c r="F665" i="2"/>
  <c r="F663" i="2"/>
  <c r="J663" i="2" s="1"/>
  <c r="H663" i="2" s="1"/>
  <c r="E663" i="2"/>
  <c r="G663" i="2" s="1"/>
  <c r="F661" i="2"/>
  <c r="E661" i="2"/>
  <c r="G661" i="2" s="1"/>
  <c r="G660" i="2"/>
  <c r="E660" i="2"/>
  <c r="G659" i="2"/>
  <c r="F659" i="2"/>
  <c r="K659" i="2" s="1"/>
  <c r="E659" i="2"/>
  <c r="G657" i="2"/>
  <c r="F657" i="2"/>
  <c r="J657" i="2" s="1"/>
  <c r="H657" i="2" s="1"/>
  <c r="E657" i="2"/>
  <c r="G656" i="2"/>
  <c r="F656" i="2"/>
  <c r="E656" i="2"/>
  <c r="E655" i="2"/>
  <c r="E654" i="2"/>
  <c r="F653" i="2"/>
  <c r="K653" i="2" s="1"/>
  <c r="E653" i="2"/>
  <c r="G653" i="2" s="1"/>
  <c r="E652" i="2"/>
  <c r="F651" i="2"/>
  <c r="E650" i="2"/>
  <c r="G649" i="2"/>
  <c r="F649" i="2"/>
  <c r="J649" i="2" s="1"/>
  <c r="H649" i="2" s="1"/>
  <c r="E649" i="2"/>
  <c r="G648" i="2"/>
  <c r="F648" i="2"/>
  <c r="K648" i="2" s="1"/>
  <c r="E648" i="2"/>
  <c r="E647" i="2"/>
  <c r="G646" i="2"/>
  <c r="E646" i="2"/>
  <c r="F645" i="2"/>
  <c r="E645" i="2"/>
  <c r="G645" i="2" s="1"/>
  <c r="G644" i="2"/>
  <c r="E644" i="2"/>
  <c r="G643" i="2"/>
  <c r="F643" i="2"/>
  <c r="K643" i="2" s="1"/>
  <c r="E643" i="2"/>
  <c r="E642" i="2"/>
  <c r="G641" i="2"/>
  <c r="F641" i="2"/>
  <c r="J641" i="2" s="1"/>
  <c r="H641" i="2" s="1"/>
  <c r="E641" i="2"/>
  <c r="F640" i="2"/>
  <c r="I640" i="2" s="1"/>
  <c r="F639" i="2"/>
  <c r="F637" i="2"/>
  <c r="E637" i="2"/>
  <c r="G637" i="2" s="1"/>
  <c r="E636" i="2"/>
  <c r="F635" i="2"/>
  <c r="E634" i="2"/>
  <c r="F633" i="2"/>
  <c r="J633" i="2" s="1"/>
  <c r="H633" i="2" s="1"/>
  <c r="E630" i="2"/>
  <c r="F629" i="2"/>
  <c r="J629" i="2" s="1"/>
  <c r="H629" i="2" s="1"/>
  <c r="E629" i="2"/>
  <c r="E628" i="2"/>
  <c r="F627" i="2"/>
  <c r="I627" i="2" s="1"/>
  <c r="E627" i="2"/>
  <c r="G627" i="2" s="1"/>
  <c r="F626" i="2"/>
  <c r="G625" i="2"/>
  <c r="F625" i="2"/>
  <c r="I625" i="2" s="1"/>
  <c r="E625" i="2"/>
  <c r="E624" i="2"/>
  <c r="F623" i="2"/>
  <c r="E623" i="2"/>
  <c r="E622" i="2"/>
  <c r="F621" i="2"/>
  <c r="K621" i="2" s="1"/>
  <c r="E621" i="2"/>
  <c r="E620" i="2"/>
  <c r="F619" i="2"/>
  <c r="I619" i="2" s="1"/>
  <c r="E619" i="2"/>
  <c r="G619" i="2" s="1"/>
  <c r="E618" i="2"/>
  <c r="F618" i="2" s="1"/>
  <c r="I618" i="2" s="1"/>
  <c r="G617" i="2"/>
  <c r="F617" i="2"/>
  <c r="K617" i="2" s="1"/>
  <c r="E617" i="2"/>
  <c r="E616" i="2"/>
  <c r="G614" i="2"/>
  <c r="F614" i="2"/>
  <c r="E614" i="2"/>
  <c r="E613" i="2"/>
  <c r="E612" i="2"/>
  <c r="F612" i="2" s="1"/>
  <c r="K612" i="2" s="1"/>
  <c r="F611" i="2"/>
  <c r="K611" i="2" s="1"/>
  <c r="E611" i="2"/>
  <c r="G611" i="2" s="1"/>
  <c r="E610" i="2"/>
  <c r="G609" i="2"/>
  <c r="F609" i="2"/>
  <c r="K609" i="2" s="1"/>
  <c r="E609" i="2"/>
  <c r="F605" i="2"/>
  <c r="E605" i="2"/>
  <c r="E604" i="2"/>
  <c r="G603" i="2"/>
  <c r="F603" i="2"/>
  <c r="I603" i="2" s="1"/>
  <c r="E603" i="2"/>
  <c r="F602" i="2"/>
  <c r="K602" i="2" s="1"/>
  <c r="E602" i="2"/>
  <c r="G602" i="2" s="1"/>
  <c r="F601" i="2"/>
  <c r="J601" i="2" s="1"/>
  <c r="H601" i="2" s="1"/>
  <c r="G600" i="2"/>
  <c r="F600" i="2"/>
  <c r="K600" i="2" s="1"/>
  <c r="E600" i="2"/>
  <c r="F599" i="2"/>
  <c r="E597" i="2"/>
  <c r="E596" i="2"/>
  <c r="F595" i="2"/>
  <c r="F594" i="2"/>
  <c r="J594" i="2" s="1"/>
  <c r="H594" i="2" s="1"/>
  <c r="E594" i="2"/>
  <c r="G594" i="2" s="1"/>
  <c r="F593" i="2"/>
  <c r="J593" i="2" s="1"/>
  <c r="H593" i="2" s="1"/>
  <c r="G590" i="2"/>
  <c r="F590" i="2"/>
  <c r="K590" i="2" s="1"/>
  <c r="E590" i="2"/>
  <c r="G589" i="2"/>
  <c r="E588" i="2"/>
  <c r="E587" i="2"/>
  <c r="E586" i="2"/>
  <c r="G585" i="2"/>
  <c r="F585" i="2"/>
  <c r="K585" i="2" s="1"/>
  <c r="E585" i="2"/>
  <c r="F584" i="2"/>
  <c r="K584" i="2" s="1"/>
  <c r="E584" i="2"/>
  <c r="G584" i="2" s="1"/>
  <c r="G583" i="2"/>
  <c r="E583" i="2"/>
  <c r="F583" i="2" s="1"/>
  <c r="J583" i="2" s="1"/>
  <c r="H583" i="2" s="1"/>
  <c r="G582" i="2"/>
  <c r="F582" i="2"/>
  <c r="E582" i="2"/>
  <c r="G581" i="2"/>
  <c r="E581" i="2"/>
  <c r="F580" i="2"/>
  <c r="E579" i="2"/>
  <c r="E578" i="2"/>
  <c r="G575" i="2"/>
  <c r="F575" i="2"/>
  <c r="K575" i="2" s="1"/>
  <c r="E575" i="2"/>
  <c r="F574" i="2"/>
  <c r="K574" i="2" s="1"/>
  <c r="E574" i="2"/>
  <c r="G574" i="2" s="1"/>
  <c r="F573" i="2"/>
  <c r="I573" i="2" s="1"/>
  <c r="G572" i="2"/>
  <c r="F572" i="2"/>
  <c r="E572" i="2"/>
  <c r="G571" i="2"/>
  <c r="E571" i="2"/>
  <c r="F570" i="2"/>
  <c r="E570" i="2"/>
  <c r="E569" i="2"/>
  <c r="E568" i="2"/>
  <c r="G567" i="2"/>
  <c r="F567" i="2"/>
  <c r="K567" i="2" s="1"/>
  <c r="E567" i="2"/>
  <c r="F566" i="2"/>
  <c r="I566" i="2" s="1"/>
  <c r="E566" i="2"/>
  <c r="G566" i="2" s="1"/>
  <c r="G564" i="2"/>
  <c r="F564" i="2"/>
  <c r="E564" i="2"/>
  <c r="G563" i="2"/>
  <c r="E563" i="2"/>
  <c r="G562" i="2"/>
  <c r="F562" i="2"/>
  <c r="J562" i="2" s="1"/>
  <c r="H562" i="2" s="1"/>
  <c r="E562" i="2"/>
  <c r="E561" i="2"/>
  <c r="E560" i="2"/>
  <c r="G559" i="2"/>
  <c r="F559" i="2"/>
  <c r="J559" i="2" s="1"/>
  <c r="H559" i="2" s="1"/>
  <c r="E559" i="2"/>
  <c r="F558" i="2"/>
  <c r="K558" i="2" s="1"/>
  <c r="E558" i="2"/>
  <c r="G558" i="2" s="1"/>
  <c r="G556" i="2"/>
  <c r="F556" i="2"/>
  <c r="I556" i="2" s="1"/>
  <c r="E556" i="2"/>
  <c r="F555" i="2"/>
  <c r="K555" i="2" s="1"/>
  <c r="E554" i="2"/>
  <c r="G554" i="2" s="1"/>
  <c r="F553" i="2"/>
  <c r="E553" i="2"/>
  <c r="G552" i="2"/>
  <c r="E552" i="2"/>
  <c r="F551" i="2"/>
  <c r="J551" i="2" s="1"/>
  <c r="E548" i="2"/>
  <c r="G548" i="2" s="1"/>
  <c r="G546" i="2"/>
  <c r="F546" i="2"/>
  <c r="J546" i="2" s="1"/>
  <c r="H546" i="2" s="1"/>
  <c r="E546" i="2"/>
  <c r="E545" i="2"/>
  <c r="E544" i="2"/>
  <c r="E543" i="2"/>
  <c r="E542" i="2"/>
  <c r="F541" i="2"/>
  <c r="J541" i="2" s="1"/>
  <c r="H541" i="2" s="1"/>
  <c r="F540" i="2"/>
  <c r="I540" i="2" s="1"/>
  <c r="E540" i="2"/>
  <c r="G540" i="2" s="1"/>
  <c r="G539" i="2"/>
  <c r="E539" i="2"/>
  <c r="F539" i="2" s="1"/>
  <c r="K539" i="2" s="1"/>
  <c r="G538" i="2"/>
  <c r="F538" i="2"/>
  <c r="K538" i="2" s="1"/>
  <c r="E538" i="2"/>
  <c r="G537" i="2"/>
  <c r="E537" i="2"/>
  <c r="F537" i="2" s="1"/>
  <c r="J537" i="2" s="1"/>
  <c r="H537" i="2" s="1"/>
  <c r="F536" i="2"/>
  <c r="E536" i="2"/>
  <c r="F534" i="2"/>
  <c r="E534" i="2"/>
  <c r="G533" i="2"/>
  <c r="E533" i="2"/>
  <c r="F533" i="2" s="1"/>
  <c r="J533" i="2" s="1"/>
  <c r="H533" i="2" s="1"/>
  <c r="F532" i="2"/>
  <c r="I532" i="2" s="1"/>
  <c r="E532" i="2"/>
  <c r="G531" i="2"/>
  <c r="E531" i="2"/>
  <c r="F531" i="2" s="1"/>
  <c r="I531" i="2" s="1"/>
  <c r="G530" i="2"/>
  <c r="F530" i="2"/>
  <c r="I530" i="2" s="1"/>
  <c r="E530" i="2"/>
  <c r="F529" i="2"/>
  <c r="J529" i="2" s="1"/>
  <c r="H529" i="2" s="1"/>
  <c r="G528" i="2"/>
  <c r="E528" i="2"/>
  <c r="F527" i="2"/>
  <c r="K527" i="2" s="1"/>
  <c r="E526" i="2"/>
  <c r="G525" i="2"/>
  <c r="F525" i="2"/>
  <c r="K525" i="2" s="1"/>
  <c r="E525" i="2"/>
  <c r="G524" i="2"/>
  <c r="E524" i="2"/>
  <c r="F523" i="2"/>
  <c r="J523" i="2" s="1"/>
  <c r="H523" i="2" s="1"/>
  <c r="E523" i="2"/>
  <c r="G523" i="2" s="1"/>
  <c r="E522" i="2"/>
  <c r="G521" i="2"/>
  <c r="E521" i="2"/>
  <c r="F521" i="2" s="1"/>
  <c r="J521" i="2" s="1"/>
  <c r="H521" i="2" s="1"/>
  <c r="G520" i="2"/>
  <c r="F520" i="2"/>
  <c r="K520" i="2" s="1"/>
  <c r="E520" i="2"/>
  <c r="G517" i="2"/>
  <c r="F517" i="2"/>
  <c r="K517" i="2" s="1"/>
  <c r="E517" i="2"/>
  <c r="G516" i="2"/>
  <c r="F516" i="2"/>
  <c r="K516" i="2" s="1"/>
  <c r="E516" i="2"/>
  <c r="F515" i="2"/>
  <c r="J515" i="2" s="1"/>
  <c r="H515" i="2" s="1"/>
  <c r="E515" i="2"/>
  <c r="G513" i="2"/>
  <c r="F513" i="2"/>
  <c r="I513" i="2" s="1"/>
  <c r="G510" i="2"/>
  <c r="F510" i="2"/>
  <c r="E510" i="2"/>
  <c r="F509" i="2"/>
  <c r="I509" i="2" s="1"/>
  <c r="E509" i="2"/>
  <c r="G507" i="2"/>
  <c r="F507" i="2"/>
  <c r="K507" i="2" s="1"/>
  <c r="E507" i="2"/>
  <c r="F506" i="2"/>
  <c r="E503" i="2"/>
  <c r="E502" i="2"/>
  <c r="G501" i="2"/>
  <c r="E501" i="2"/>
  <c r="F501" i="2" s="1"/>
  <c r="K501" i="2" s="1"/>
  <c r="F500" i="2"/>
  <c r="J500" i="2" s="1"/>
  <c r="H500" i="2" s="1"/>
  <c r="E499" i="2"/>
  <c r="F498" i="2"/>
  <c r="I498" i="2" s="1"/>
  <c r="G497" i="2"/>
  <c r="E497" i="2"/>
  <c r="E496" i="2"/>
  <c r="K495" i="2"/>
  <c r="G495" i="2"/>
  <c r="E494" i="2"/>
  <c r="G493" i="2"/>
  <c r="E493" i="2"/>
  <c r="F493" i="2" s="1"/>
  <c r="I493" i="2" s="1"/>
  <c r="G492" i="2"/>
  <c r="F492" i="2"/>
  <c r="J492" i="2" s="1"/>
  <c r="H492" i="2" s="1"/>
  <c r="E492" i="2"/>
  <c r="G491" i="2"/>
  <c r="I491" i="2"/>
  <c r="E490" i="2"/>
  <c r="F489" i="2"/>
  <c r="K489" i="2" s="1"/>
  <c r="E488" i="2"/>
  <c r="G487" i="2"/>
  <c r="F487" i="2"/>
  <c r="J487" i="2" s="1"/>
  <c r="H487" i="2" s="1"/>
  <c r="E487" i="2"/>
  <c r="E486" i="2"/>
  <c r="G486" i="2" s="1"/>
  <c r="G485" i="2"/>
  <c r="E485" i="2"/>
  <c r="F485" i="2" s="1"/>
  <c r="K485" i="2" s="1"/>
  <c r="G484" i="2"/>
  <c r="F484" i="2"/>
  <c r="I484" i="2" s="1"/>
  <c r="E484" i="2"/>
  <c r="E483" i="2"/>
  <c r="G482" i="2"/>
  <c r="F482" i="2"/>
  <c r="I482" i="2" s="1"/>
  <c r="G480" i="2"/>
  <c r="F480" i="2"/>
  <c r="K480" i="2" s="1"/>
  <c r="E480" i="2"/>
  <c r="J478" i="2"/>
  <c r="H478" i="2" s="1"/>
  <c r="G478" i="2"/>
  <c r="E477" i="2"/>
  <c r="F476" i="2"/>
  <c r="J476" i="2" s="1"/>
  <c r="H476" i="2" s="1"/>
  <c r="F475" i="2"/>
  <c r="J475" i="2" s="1"/>
  <c r="E474" i="2"/>
  <c r="G473" i="2"/>
  <c r="F473" i="2"/>
  <c r="I473" i="2" s="1"/>
  <c r="E473" i="2"/>
  <c r="E470" i="2"/>
  <c r="G469" i="2"/>
  <c r="F469" i="2"/>
  <c r="K469" i="2" s="1"/>
  <c r="E469" i="2"/>
  <c r="E468" i="2"/>
  <c r="G467" i="2"/>
  <c r="E467" i="2"/>
  <c r="F467" i="2" s="1"/>
  <c r="K467" i="2" s="1"/>
  <c r="F466" i="2"/>
  <c r="E465" i="2"/>
  <c r="G464" i="2"/>
  <c r="F464" i="2"/>
  <c r="J464" i="2" s="1"/>
  <c r="H464" i="2" s="1"/>
  <c r="E464" i="2"/>
  <c r="E463" i="2"/>
  <c r="G462" i="2"/>
  <c r="F462" i="2"/>
  <c r="J462" i="2" s="1"/>
  <c r="H462" i="2" s="1"/>
  <c r="E462" i="2"/>
  <c r="K460" i="2"/>
  <c r="G460" i="2"/>
  <c r="E459" i="2"/>
  <c r="G458" i="2"/>
  <c r="F458" i="2"/>
  <c r="I458" i="2" s="1"/>
  <c r="E458" i="2"/>
  <c r="G457" i="2"/>
  <c r="F457" i="2"/>
  <c r="I457" i="2" s="1"/>
  <c r="E457" i="2"/>
  <c r="G455" i="2"/>
  <c r="F455" i="2"/>
  <c r="K455" i="2" s="1"/>
  <c r="E455" i="2"/>
  <c r="E454" i="2"/>
  <c r="F453" i="2"/>
  <c r="J453" i="2" s="1"/>
  <c r="H453" i="2" s="1"/>
  <c r="E452" i="2"/>
  <c r="F451" i="2"/>
  <c r="G450" i="2"/>
  <c r="F450" i="2"/>
  <c r="K450" i="2" s="1"/>
  <c r="E450" i="2"/>
  <c r="E449" i="2"/>
  <c r="G448" i="2"/>
  <c r="F448" i="2"/>
  <c r="I448" i="2" s="1"/>
  <c r="E448" i="2"/>
  <c r="I447" i="2"/>
  <c r="G445" i="2"/>
  <c r="F445" i="2"/>
  <c r="J445" i="2" s="1"/>
  <c r="H445" i="2" s="1"/>
  <c r="E445" i="2"/>
  <c r="G442" i="2"/>
  <c r="F442" i="2"/>
  <c r="J442" i="2" s="1"/>
  <c r="H442" i="2" s="1"/>
  <c r="E442" i="2"/>
  <c r="E441" i="2"/>
  <c r="E440" i="2"/>
  <c r="G439" i="2"/>
  <c r="F439" i="2"/>
  <c r="I439" i="2" s="1"/>
  <c r="E439" i="2"/>
  <c r="G438" i="2"/>
  <c r="F438" i="2"/>
  <c r="I438" i="2" s="1"/>
  <c r="E438" i="2"/>
  <c r="E436" i="2"/>
  <c r="G435" i="2"/>
  <c r="F435" i="2"/>
  <c r="J435" i="2" s="1"/>
  <c r="H435" i="2" s="1"/>
  <c r="E435" i="2"/>
  <c r="G434" i="2"/>
  <c r="K434" i="2"/>
  <c r="E433" i="2"/>
  <c r="E432" i="2"/>
  <c r="G431" i="2"/>
  <c r="F431" i="2"/>
  <c r="K431" i="2" s="1"/>
  <c r="F430" i="2"/>
  <c r="K430" i="2" s="1"/>
  <c r="E429" i="2"/>
  <c r="G428" i="2"/>
  <c r="E428" i="2"/>
  <c r="F427" i="2"/>
  <c r="E426" i="2"/>
  <c r="E425" i="2"/>
  <c r="G423" i="2"/>
  <c r="F423" i="2"/>
  <c r="K423" i="2" s="1"/>
  <c r="E423" i="2"/>
  <c r="G422" i="2"/>
  <c r="E422" i="2"/>
  <c r="F422" i="2" s="1"/>
  <c r="F421" i="2"/>
  <c r="J421" i="2" s="1"/>
  <c r="H421" i="2" s="1"/>
  <c r="G420" i="2"/>
  <c r="E420" i="2"/>
  <c r="G419" i="2"/>
  <c r="F419" i="2"/>
  <c r="I419" i="2" s="1"/>
  <c r="E419" i="2"/>
  <c r="E418" i="2"/>
  <c r="E414" i="2"/>
  <c r="G413" i="2"/>
  <c r="F413" i="2"/>
  <c r="J413" i="2" s="1"/>
  <c r="H413" i="2" s="1"/>
  <c r="E413" i="2"/>
  <c r="E412" i="2"/>
  <c r="E410" i="2"/>
  <c r="F409" i="2"/>
  <c r="I409" i="2" s="1"/>
  <c r="G408" i="2"/>
  <c r="F408" i="2"/>
  <c r="K408" i="2" s="1"/>
  <c r="E408" i="2"/>
  <c r="F407" i="2"/>
  <c r="E407" i="2"/>
  <c r="E406" i="2"/>
  <c r="F405" i="2"/>
  <c r="G404" i="2"/>
  <c r="E404" i="2"/>
  <c r="F404" i="2" s="1"/>
  <c r="J404" i="2" s="1"/>
  <c r="H404" i="2" s="1"/>
  <c r="E403" i="2"/>
  <c r="G401" i="2"/>
  <c r="F401" i="2"/>
  <c r="I401" i="2" s="1"/>
  <c r="E401" i="2"/>
  <c r="G400" i="2"/>
  <c r="F400" i="2"/>
  <c r="J400" i="2" s="1"/>
  <c r="H400" i="2" s="1"/>
  <c r="E400" i="2"/>
  <c r="G399" i="2"/>
  <c r="E399" i="2"/>
  <c r="G397" i="2"/>
  <c r="F397" i="2"/>
  <c r="I397" i="2" s="1"/>
  <c r="E397" i="2"/>
  <c r="E396" i="2"/>
  <c r="F395" i="2"/>
  <c r="J395" i="2" s="1"/>
  <c r="H395" i="2" s="1"/>
  <c r="G394" i="2"/>
  <c r="F394" i="2"/>
  <c r="J394" i="2" s="1"/>
  <c r="H394" i="2" s="1"/>
  <c r="E394" i="2"/>
  <c r="G392" i="2"/>
  <c r="E392" i="2"/>
  <c r="G391" i="2"/>
  <c r="F391" i="2"/>
  <c r="E391" i="2"/>
  <c r="E390" i="2"/>
  <c r="G389" i="2"/>
  <c r="F389" i="2"/>
  <c r="I389" i="2" s="1"/>
  <c r="E389" i="2"/>
  <c r="E388" i="2"/>
  <c r="G387" i="2"/>
  <c r="E387" i="2"/>
  <c r="F387" i="2" s="1"/>
  <c r="J387" i="2" s="1"/>
  <c r="H387" i="2" s="1"/>
  <c r="J386" i="2"/>
  <c r="H386" i="2" s="1"/>
  <c r="E385" i="2"/>
  <c r="G384" i="2"/>
  <c r="E384" i="2"/>
  <c r="G383" i="2"/>
  <c r="F383" i="2"/>
  <c r="E383" i="2"/>
  <c r="E382" i="2"/>
  <c r="F381" i="2"/>
  <c r="I381" i="2" s="1"/>
  <c r="E381" i="2"/>
  <c r="G381" i="2" s="1"/>
  <c r="G379" i="2"/>
  <c r="E379" i="2"/>
  <c r="F379" i="2" s="1"/>
  <c r="K379" i="2" s="1"/>
  <c r="G378" i="2"/>
  <c r="F378" i="2"/>
  <c r="J378" i="2" s="1"/>
  <c r="H378" i="2" s="1"/>
  <c r="E378" i="2"/>
  <c r="E377" i="2"/>
  <c r="G376" i="2"/>
  <c r="E376" i="2"/>
  <c r="G375" i="2"/>
  <c r="F375" i="2"/>
  <c r="E375" i="2"/>
  <c r="I373" i="2"/>
  <c r="G373" i="2"/>
  <c r="E372" i="2"/>
  <c r="G369" i="2"/>
  <c r="E369" i="2"/>
  <c r="F369" i="2" s="1"/>
  <c r="K369" i="2" s="1"/>
  <c r="G368" i="2"/>
  <c r="F368" i="2"/>
  <c r="J368" i="2" s="1"/>
  <c r="H368" i="2" s="1"/>
  <c r="E368" i="2"/>
  <c r="E367" i="2"/>
  <c r="G366" i="2"/>
  <c r="E366" i="2"/>
  <c r="G365" i="2"/>
  <c r="F365" i="2"/>
  <c r="E365" i="2"/>
  <c r="E364" i="2"/>
  <c r="G363" i="2"/>
  <c r="F363" i="2"/>
  <c r="I363" i="2" s="1"/>
  <c r="E363" i="2"/>
  <c r="E362" i="2"/>
  <c r="G360" i="2"/>
  <c r="F360" i="2"/>
  <c r="J360" i="2" s="1"/>
  <c r="H360" i="2" s="1"/>
  <c r="E360" i="2"/>
  <c r="G358" i="2"/>
  <c r="E358" i="2"/>
  <c r="F357" i="2"/>
  <c r="J357" i="2" s="1"/>
  <c r="H357" i="2" s="1"/>
  <c r="E356" i="2"/>
  <c r="G355" i="2"/>
  <c r="F355" i="2"/>
  <c r="I355" i="2" s="1"/>
  <c r="E355" i="2"/>
  <c r="E354" i="2"/>
  <c r="G352" i="2"/>
  <c r="F352" i="2"/>
  <c r="J352" i="2" s="1"/>
  <c r="H352" i="2" s="1"/>
  <c r="E352" i="2"/>
  <c r="E351" i="2"/>
  <c r="G350" i="2"/>
  <c r="E350" i="2"/>
  <c r="G349" i="2"/>
  <c r="F349" i="2"/>
  <c r="J349" i="2" s="1"/>
  <c r="H349" i="2" s="1"/>
  <c r="E349" i="2"/>
  <c r="E346" i="2"/>
  <c r="G345" i="2"/>
  <c r="F345" i="2"/>
  <c r="I345" i="2" s="1"/>
  <c r="E345" i="2"/>
  <c r="E344" i="2"/>
  <c r="G343" i="2"/>
  <c r="E343" i="2"/>
  <c r="G342" i="2"/>
  <c r="F342" i="2"/>
  <c r="J342" i="2" s="1"/>
  <c r="H342" i="2" s="1"/>
  <c r="E342" i="2"/>
  <c r="E341" i="2"/>
  <c r="G339" i="2"/>
  <c r="F339" i="2"/>
  <c r="J339" i="2" s="1"/>
  <c r="H339" i="2" s="1"/>
  <c r="E339" i="2"/>
  <c r="G338" i="2"/>
  <c r="E338" i="2"/>
  <c r="E337" i="2"/>
  <c r="E336" i="2"/>
  <c r="E335" i="2"/>
  <c r="I334" i="2"/>
  <c r="E333" i="2"/>
  <c r="G331" i="2"/>
  <c r="F331" i="2"/>
  <c r="J331" i="2" s="1"/>
  <c r="H331" i="2" s="1"/>
  <c r="E331" i="2"/>
  <c r="F330" i="2"/>
  <c r="J330" i="2" s="1"/>
  <c r="H330" i="2" s="1"/>
  <c r="E330" i="2"/>
  <c r="G330" i="2" s="1"/>
  <c r="F329" i="2"/>
  <c r="F328" i="2"/>
  <c r="K328" i="2" s="1"/>
  <c r="E328" i="2"/>
  <c r="G327" i="2"/>
  <c r="E327" i="2"/>
  <c r="G326" i="2"/>
  <c r="F326" i="2"/>
  <c r="K326" i="2" s="1"/>
  <c r="E326" i="2"/>
  <c r="E325" i="2"/>
  <c r="G324" i="2"/>
  <c r="E324" i="2"/>
  <c r="G323" i="2"/>
  <c r="F323" i="2"/>
  <c r="J323" i="2" s="1"/>
  <c r="H323" i="2" s="1"/>
  <c r="E323" i="2"/>
  <c r="G322" i="2"/>
  <c r="E322" i="2"/>
  <c r="E321" i="2"/>
  <c r="E320" i="2"/>
  <c r="G318" i="2"/>
  <c r="F318" i="2"/>
  <c r="K318" i="2" s="1"/>
  <c r="E318" i="2"/>
  <c r="E317" i="2"/>
  <c r="G316" i="2"/>
  <c r="E316" i="2"/>
  <c r="G315" i="2"/>
  <c r="F315" i="2"/>
  <c r="J315" i="2" s="1"/>
  <c r="H315" i="2" s="1"/>
  <c r="E315" i="2"/>
  <c r="F314" i="2"/>
  <c r="G313" i="2"/>
  <c r="F313" i="2"/>
  <c r="I313" i="2" s="1"/>
  <c r="E313" i="2"/>
  <c r="F312" i="2"/>
  <c r="K312" i="2" s="1"/>
  <c r="E312" i="2"/>
  <c r="G309" i="2"/>
  <c r="E309" i="2"/>
  <c r="G308" i="2"/>
  <c r="F308" i="2"/>
  <c r="K308" i="2" s="1"/>
  <c r="E308" i="2"/>
  <c r="E307" i="2"/>
  <c r="G306" i="2"/>
  <c r="E306" i="2"/>
  <c r="G305" i="2"/>
  <c r="F305" i="2"/>
  <c r="J305" i="2" s="1"/>
  <c r="H305" i="2" s="1"/>
  <c r="E305" i="2"/>
  <c r="G303" i="2"/>
  <c r="F303" i="2"/>
  <c r="I303" i="2" s="1"/>
  <c r="E303" i="2"/>
  <c r="E302" i="2"/>
  <c r="G301" i="2"/>
  <c r="E301" i="2"/>
  <c r="G300" i="2"/>
  <c r="K300" i="2"/>
  <c r="E299" i="2"/>
  <c r="G298" i="2"/>
  <c r="E298" i="2"/>
  <c r="G297" i="2"/>
  <c r="F297" i="2"/>
  <c r="J297" i="2" s="1"/>
  <c r="H297" i="2" s="1"/>
  <c r="E297" i="2"/>
  <c r="F296" i="2"/>
  <c r="J296" i="2" s="1"/>
  <c r="H296" i="2" s="1"/>
  <c r="F295" i="2"/>
  <c r="I295" i="2" s="1"/>
  <c r="E295" i="2"/>
  <c r="G295" i="2" s="1"/>
  <c r="F294" i="2"/>
  <c r="E294" i="2"/>
  <c r="G293" i="2"/>
  <c r="E293" i="2"/>
  <c r="F292" i="2"/>
  <c r="F291" i="2"/>
  <c r="J291" i="2" s="1"/>
  <c r="H291" i="2" s="1"/>
  <c r="E291" i="2"/>
  <c r="G291" i="2" s="1"/>
  <c r="G290" i="2"/>
  <c r="E290" i="2"/>
  <c r="G289" i="2"/>
  <c r="F289" i="2"/>
  <c r="J289" i="2" s="1"/>
  <c r="H289" i="2" s="1"/>
  <c r="E289" i="2"/>
  <c r="G287" i="2"/>
  <c r="F287" i="2"/>
  <c r="I287" i="2" s="1"/>
  <c r="E287" i="2"/>
  <c r="E286" i="2"/>
  <c r="G285" i="2"/>
  <c r="G284" i="2"/>
  <c r="F284" i="2"/>
  <c r="J284" i="2" s="1"/>
  <c r="H284" i="2" s="1"/>
  <c r="E284" i="2"/>
  <c r="F283" i="2"/>
  <c r="K283" i="2" s="1"/>
  <c r="E283" i="2"/>
  <c r="G283" i="2" s="1"/>
  <c r="E282" i="2"/>
  <c r="G281" i="2"/>
  <c r="F281" i="2"/>
  <c r="J281" i="2" s="1"/>
  <c r="H281" i="2" s="1"/>
  <c r="E281" i="2"/>
  <c r="G280" i="2"/>
  <c r="F280" i="2"/>
  <c r="K280" i="2" s="1"/>
  <c r="E280" i="2"/>
  <c r="F279" i="2"/>
  <c r="I279" i="2" s="1"/>
  <c r="E279" i="2"/>
  <c r="E278" i="2"/>
  <c r="G277" i="2"/>
  <c r="E277" i="2"/>
  <c r="G276" i="2"/>
  <c r="F276" i="2"/>
  <c r="E276" i="2"/>
  <c r="F275" i="2"/>
  <c r="K275" i="2" s="1"/>
  <c r="E275" i="2"/>
  <c r="G275" i="2" s="1"/>
  <c r="G274" i="2"/>
  <c r="E274" i="2"/>
  <c r="G273" i="2"/>
  <c r="F273" i="2"/>
  <c r="J273" i="2" s="1"/>
  <c r="H273" i="2" s="1"/>
  <c r="E273" i="2"/>
  <c r="E272" i="2"/>
  <c r="G271" i="2"/>
  <c r="F271" i="2"/>
  <c r="I271" i="2" s="1"/>
  <c r="E271" i="2"/>
  <c r="E270" i="2"/>
  <c r="G269" i="2"/>
  <c r="E269" i="2"/>
  <c r="G268" i="2"/>
  <c r="F268" i="2"/>
  <c r="K268" i="2" s="1"/>
  <c r="E268" i="2"/>
  <c r="F267" i="2"/>
  <c r="K267" i="2" s="1"/>
  <c r="E267" i="2"/>
  <c r="G267" i="2" s="1"/>
  <c r="E266" i="2"/>
  <c r="G265" i="2"/>
  <c r="F265" i="2"/>
  <c r="J265" i="2" s="1"/>
  <c r="H265" i="2" s="1"/>
  <c r="E265" i="2"/>
  <c r="G264" i="2"/>
  <c r="F264" i="2"/>
  <c r="K264" i="2" s="1"/>
  <c r="E264" i="2"/>
  <c r="G263" i="2"/>
  <c r="F263" i="2"/>
  <c r="I263" i="2" s="1"/>
  <c r="E263" i="2"/>
  <c r="E262" i="2"/>
  <c r="G261" i="2"/>
  <c r="E261" i="2"/>
  <c r="G260" i="2"/>
  <c r="F260" i="2"/>
  <c r="I260" i="2" s="1"/>
  <c r="E260" i="2"/>
  <c r="F259" i="2"/>
  <c r="J259" i="2" s="1"/>
  <c r="H259" i="2" s="1"/>
  <c r="E259" i="2"/>
  <c r="F257" i="2"/>
  <c r="J257" i="2" s="1"/>
  <c r="H257" i="2" s="1"/>
  <c r="G256" i="2"/>
  <c r="K256" i="2"/>
  <c r="G255" i="2"/>
  <c r="F255" i="2"/>
  <c r="J255" i="2" s="1"/>
  <c r="H255" i="2" s="1"/>
  <c r="E255" i="2"/>
  <c r="F254" i="2"/>
  <c r="K254" i="2" s="1"/>
  <c r="E254" i="2"/>
  <c r="E253" i="2"/>
  <c r="G252" i="2"/>
  <c r="F252" i="2"/>
  <c r="K252" i="2" s="1"/>
  <c r="E252" i="2"/>
  <c r="G249" i="2"/>
  <c r="E249" i="2"/>
  <c r="G247" i="2"/>
  <c r="F247" i="2"/>
  <c r="J247" i="2" s="1"/>
  <c r="H247" i="2" s="1"/>
  <c r="E247" i="2"/>
  <c r="F246" i="2"/>
  <c r="J246" i="2" s="1"/>
  <c r="H246" i="2" s="1"/>
  <c r="E246" i="2"/>
  <c r="G246" i="2" s="1"/>
  <c r="G245" i="2"/>
  <c r="F245" i="2"/>
  <c r="J245" i="2" s="1"/>
  <c r="H245" i="2" s="1"/>
  <c r="E245" i="2"/>
  <c r="G244" i="2"/>
  <c r="F244" i="2"/>
  <c r="K244" i="2" s="1"/>
  <c r="E244" i="2"/>
  <c r="G243" i="2"/>
  <c r="F243" i="2"/>
  <c r="K243" i="2" s="1"/>
  <c r="E243" i="2"/>
  <c r="F242" i="2"/>
  <c r="K242" i="2" s="1"/>
  <c r="E242" i="2"/>
  <c r="G242" i="2" s="1"/>
  <c r="F241" i="2"/>
  <c r="F240" i="2"/>
  <c r="G239" i="2"/>
  <c r="F239" i="2"/>
  <c r="J239" i="2" s="1"/>
  <c r="H239" i="2" s="1"/>
  <c r="E239" i="2"/>
  <c r="G238" i="2"/>
  <c r="F238" i="2"/>
  <c r="J238" i="2" s="1"/>
  <c r="H238" i="2" s="1"/>
  <c r="E238" i="2"/>
  <c r="E237" i="2"/>
  <c r="F236" i="2"/>
  <c r="K236" i="2" s="1"/>
  <c r="G235" i="2"/>
  <c r="E235" i="2"/>
  <c r="E233" i="2"/>
  <c r="F232" i="2"/>
  <c r="J232" i="2" s="1"/>
  <c r="H232" i="2" s="1"/>
  <c r="E232" i="2"/>
  <c r="G232" i="2" s="1"/>
  <c r="G231" i="2"/>
  <c r="E231" i="2"/>
  <c r="F231" i="2" s="1"/>
  <c r="J231" i="2" s="1"/>
  <c r="H231" i="2" s="1"/>
  <c r="G230" i="2"/>
  <c r="F230" i="2"/>
  <c r="J230" i="2" s="1"/>
  <c r="H230" i="2" s="1"/>
  <c r="E230" i="2"/>
  <c r="G229" i="2"/>
  <c r="F229" i="2"/>
  <c r="J229" i="2" s="1"/>
  <c r="H229" i="2" s="1"/>
  <c r="E229" i="2"/>
  <c r="F227" i="2"/>
  <c r="I227" i="2" s="1"/>
  <c r="E227" i="2"/>
  <c r="F226" i="2"/>
  <c r="J226" i="2" s="1"/>
  <c r="H226" i="2" s="1"/>
  <c r="G225" i="2"/>
  <c r="F225" i="2"/>
  <c r="K225" i="2" s="1"/>
  <c r="E222" i="2"/>
  <c r="G222" i="2" s="1"/>
  <c r="G221" i="2"/>
  <c r="E221" i="2"/>
  <c r="F221" i="2" s="1"/>
  <c r="K221" i="2" s="1"/>
  <c r="G220" i="2"/>
  <c r="F220" i="2"/>
  <c r="K220" i="2" s="1"/>
  <c r="E220" i="2"/>
  <c r="G219" i="2"/>
  <c r="F219" i="2"/>
  <c r="K219" i="2" s="1"/>
  <c r="E219" i="2"/>
  <c r="G218" i="2"/>
  <c r="J218" i="2"/>
  <c r="H218" i="2" s="1"/>
  <c r="F216" i="2"/>
  <c r="J216" i="2" s="1"/>
  <c r="H216" i="2" s="1"/>
  <c r="E216" i="2"/>
  <c r="F215" i="2"/>
  <c r="J215" i="2" s="1"/>
  <c r="H215" i="2" s="1"/>
  <c r="G214" i="2"/>
  <c r="F214" i="2"/>
  <c r="K214" i="2" s="1"/>
  <c r="E214" i="2"/>
  <c r="G212" i="2"/>
  <c r="F212" i="2"/>
  <c r="J212" i="2" s="1"/>
  <c r="H212" i="2" s="1"/>
  <c r="E212" i="2"/>
  <c r="E211" i="2"/>
  <c r="G210" i="2"/>
  <c r="E210" i="2"/>
  <c r="F209" i="2"/>
  <c r="J209" i="2" s="1"/>
  <c r="H209" i="2" s="1"/>
  <c r="G207" i="2"/>
  <c r="E207" i="2"/>
  <c r="F207" i="2" s="1"/>
  <c r="J207" i="2" s="1"/>
  <c r="H207" i="2" s="1"/>
  <c r="G206" i="2"/>
  <c r="F206" i="2"/>
  <c r="I206" i="2" s="1"/>
  <c r="E206" i="2"/>
  <c r="G205" i="2"/>
  <c r="E205" i="2"/>
  <c r="G204" i="2"/>
  <c r="E203" i="2"/>
  <c r="G202" i="2"/>
  <c r="E202" i="2"/>
  <c r="F201" i="2"/>
  <c r="J201" i="2" s="1"/>
  <c r="E198" i="2"/>
  <c r="G198" i="2" s="1"/>
  <c r="G197" i="2"/>
  <c r="E197" i="2"/>
  <c r="F197" i="2" s="1"/>
  <c r="J197" i="2" s="1"/>
  <c r="H197" i="2" s="1"/>
  <c r="G196" i="2"/>
  <c r="F196" i="2"/>
  <c r="I196" i="2" s="1"/>
  <c r="E196" i="2"/>
  <c r="G195" i="2"/>
  <c r="E195" i="2"/>
  <c r="G194" i="2"/>
  <c r="F194" i="2"/>
  <c r="E194" i="2"/>
  <c r="F193" i="2"/>
  <c r="E193" i="2"/>
  <c r="E192" i="2"/>
  <c r="G191" i="2"/>
  <c r="F191" i="2"/>
  <c r="J191" i="2" s="1"/>
  <c r="H191" i="2" s="1"/>
  <c r="E191" i="2"/>
  <c r="G190" i="2"/>
  <c r="G189" i="2"/>
  <c r="E189" i="2"/>
  <c r="F189" i="2" s="1"/>
  <c r="J189" i="2" s="1"/>
  <c r="H189" i="2" s="1"/>
  <c r="G188" i="2"/>
  <c r="F188" i="2"/>
  <c r="I188" i="2" s="1"/>
  <c r="E188" i="2"/>
  <c r="G187" i="2"/>
  <c r="E187" i="2"/>
  <c r="G186" i="2"/>
  <c r="F186" i="2"/>
  <c r="E186" i="2"/>
  <c r="F185" i="2"/>
  <c r="E185" i="2"/>
  <c r="G183" i="2"/>
  <c r="F183" i="2"/>
  <c r="J183" i="2" s="1"/>
  <c r="H183" i="2" s="1"/>
  <c r="E183" i="2"/>
  <c r="E182" i="2"/>
  <c r="G182" i="2" s="1"/>
  <c r="G181" i="2"/>
  <c r="E181" i="2"/>
  <c r="F181" i="2" s="1"/>
  <c r="J181" i="2" s="1"/>
  <c r="H181" i="2" s="1"/>
  <c r="G180" i="2"/>
  <c r="F180" i="2"/>
  <c r="I180" i="2" s="1"/>
  <c r="E180" i="2"/>
  <c r="G179" i="2"/>
  <c r="E179" i="2"/>
  <c r="G178" i="2"/>
  <c r="F178" i="2"/>
  <c r="I178" i="2" s="1"/>
  <c r="E178" i="2"/>
  <c r="E177" i="2"/>
  <c r="F177" i="2" s="1"/>
  <c r="G175" i="2"/>
  <c r="F175" i="2"/>
  <c r="J175" i="2" s="1"/>
  <c r="H175" i="2" s="1"/>
  <c r="E175" i="2"/>
  <c r="E174" i="2"/>
  <c r="G173" i="2"/>
  <c r="E173" i="2"/>
  <c r="F173" i="2" s="1"/>
  <c r="J173" i="2" s="1"/>
  <c r="H173" i="2" s="1"/>
  <c r="G172" i="2"/>
  <c r="K172" i="2"/>
  <c r="G171" i="2"/>
  <c r="E171" i="2"/>
  <c r="G170" i="2"/>
  <c r="F170" i="2"/>
  <c r="I170" i="2" s="1"/>
  <c r="E170" i="2"/>
  <c r="E169" i="2"/>
  <c r="E168" i="2"/>
  <c r="F167" i="2"/>
  <c r="J167" i="2" s="1"/>
  <c r="E164" i="2"/>
  <c r="F163" i="2"/>
  <c r="J163" i="2" s="1"/>
  <c r="H163" i="2" s="1"/>
  <c r="G162" i="2"/>
  <c r="F162" i="2"/>
  <c r="I162" i="2" s="1"/>
  <c r="E162" i="2"/>
  <c r="G160" i="2"/>
  <c r="F160" i="2"/>
  <c r="J160" i="2" s="1"/>
  <c r="H160" i="2" s="1"/>
  <c r="E160" i="2"/>
  <c r="F159" i="2"/>
  <c r="E159" i="2"/>
  <c r="G158" i="2"/>
  <c r="E158" i="2"/>
  <c r="G157" i="2"/>
  <c r="F157" i="2"/>
  <c r="J157" i="2" s="1"/>
  <c r="H157" i="2" s="1"/>
  <c r="E157" i="2"/>
  <c r="G155" i="2"/>
  <c r="E155" i="2"/>
  <c r="F155" i="2" s="1"/>
  <c r="J155" i="2" s="1"/>
  <c r="H155" i="2" s="1"/>
  <c r="F154" i="2"/>
  <c r="E153" i="2"/>
  <c r="G153" i="2" s="1"/>
  <c r="G152" i="2"/>
  <c r="F152" i="2"/>
  <c r="I152" i="2" s="1"/>
  <c r="E152" i="2"/>
  <c r="E151" i="2"/>
  <c r="G149" i="2"/>
  <c r="F149" i="2"/>
  <c r="J149" i="2" s="1"/>
  <c r="H149" i="2" s="1"/>
  <c r="E149" i="2"/>
  <c r="E148" i="2"/>
  <c r="F147" i="2"/>
  <c r="J147" i="2" s="1"/>
  <c r="H147" i="2" s="1"/>
  <c r="G146" i="2"/>
  <c r="F146" i="2"/>
  <c r="K146" i="2" s="1"/>
  <c r="E146" i="2"/>
  <c r="G144" i="2"/>
  <c r="F144" i="2"/>
  <c r="I144" i="2" s="1"/>
  <c r="E144" i="2"/>
  <c r="E143" i="2"/>
  <c r="G141" i="2"/>
  <c r="F141" i="2"/>
  <c r="J141" i="2" s="1"/>
  <c r="H141" i="2" s="1"/>
  <c r="E141" i="2"/>
  <c r="E140" i="2"/>
  <c r="G139" i="2"/>
  <c r="E139" i="2"/>
  <c r="G138" i="2"/>
  <c r="F138" i="2"/>
  <c r="K138" i="2" s="1"/>
  <c r="E138" i="2"/>
  <c r="G136" i="2"/>
  <c r="I136" i="2"/>
  <c r="E135" i="2"/>
  <c r="E132" i="2"/>
  <c r="G131" i="2"/>
  <c r="F131" i="2"/>
  <c r="J131" i="2" s="1"/>
  <c r="H131" i="2" s="1"/>
  <c r="E131" i="2"/>
  <c r="F130" i="2"/>
  <c r="G128" i="2"/>
  <c r="F128" i="2"/>
  <c r="K128" i="2" s="1"/>
  <c r="E128" i="2"/>
  <c r="E127" i="2"/>
  <c r="G126" i="2"/>
  <c r="F126" i="2"/>
  <c r="I126" i="2" s="1"/>
  <c r="E126" i="2"/>
  <c r="E125" i="2"/>
  <c r="G124" i="2"/>
  <c r="E124" i="2"/>
  <c r="G123" i="2"/>
  <c r="F123" i="2"/>
  <c r="J123" i="2" s="1"/>
  <c r="H123" i="2" s="1"/>
  <c r="E123" i="2"/>
  <c r="E122" i="2"/>
  <c r="G121" i="2"/>
  <c r="E121" i="2"/>
  <c r="G120" i="2"/>
  <c r="F120" i="2"/>
  <c r="K120" i="2" s="1"/>
  <c r="E120" i="2"/>
  <c r="G118" i="2"/>
  <c r="F118" i="2"/>
  <c r="J118" i="2" s="1"/>
  <c r="H118" i="2" s="1"/>
  <c r="E118" i="2"/>
  <c r="F117" i="2"/>
  <c r="E117" i="2"/>
  <c r="G115" i="2"/>
  <c r="F115" i="2"/>
  <c r="K115" i="2" s="1"/>
  <c r="E115" i="2"/>
  <c r="E114" i="2"/>
  <c r="G114" i="2" s="1"/>
  <c r="E113" i="2"/>
  <c r="G112" i="2"/>
  <c r="F112" i="2"/>
  <c r="K112" i="2" s="1"/>
  <c r="E112" i="2"/>
  <c r="E111" i="2"/>
  <c r="G111" i="2" s="1"/>
  <c r="E110" i="2"/>
  <c r="G106" i="2"/>
  <c r="F106" i="2"/>
  <c r="J106" i="2" s="1"/>
  <c r="H106" i="2" s="1"/>
  <c r="E106" i="2"/>
  <c r="F104" i="2"/>
  <c r="J104" i="2" s="1"/>
  <c r="H104" i="2" s="1"/>
  <c r="E104" i="2"/>
  <c r="G104" i="2" s="1"/>
  <c r="G102" i="2"/>
  <c r="F102" i="2"/>
  <c r="K102" i="2" s="1"/>
  <c r="E102" i="2"/>
  <c r="G101" i="2"/>
  <c r="E101" i="2"/>
  <c r="G100" i="2"/>
  <c r="J100" i="2"/>
  <c r="H100" i="2" s="1"/>
  <c r="F99" i="2"/>
  <c r="E99" i="2"/>
  <c r="G98" i="2"/>
  <c r="E98" i="2"/>
  <c r="G97" i="2"/>
  <c r="F97" i="2"/>
  <c r="K97" i="2" s="1"/>
  <c r="E97" i="2"/>
  <c r="E96" i="2"/>
  <c r="G96" i="2" s="1"/>
  <c r="E95" i="2"/>
  <c r="I94" i="2"/>
  <c r="E93" i="2"/>
  <c r="F93" i="2" s="1"/>
  <c r="E91" i="2"/>
  <c r="E90" i="2"/>
  <c r="G90" i="2" s="1"/>
  <c r="F89" i="2"/>
  <c r="J89" i="2" s="1"/>
  <c r="H89" i="2" s="1"/>
  <c r="F88" i="2"/>
  <c r="K88" i="2" s="1"/>
  <c r="E88" i="2"/>
  <c r="G88" i="2" s="1"/>
  <c r="G86" i="2"/>
  <c r="F86" i="2"/>
  <c r="K86" i="2" s="1"/>
  <c r="E86" i="2"/>
  <c r="G85" i="2"/>
  <c r="E85" i="2"/>
  <c r="G84" i="2"/>
  <c r="F84" i="2"/>
  <c r="J84" i="2" s="1"/>
  <c r="H84" i="2" s="1"/>
  <c r="E84" i="2"/>
  <c r="F83" i="2"/>
  <c r="G82" i="2"/>
  <c r="E82" i="2"/>
  <c r="G81" i="2"/>
  <c r="F81" i="2"/>
  <c r="K81" i="2" s="1"/>
  <c r="E81" i="2"/>
  <c r="E79" i="2"/>
  <c r="G78" i="2"/>
  <c r="F78" i="2"/>
  <c r="I78" i="2" s="1"/>
  <c r="E78" i="2"/>
  <c r="E77" i="2"/>
  <c r="E75" i="2"/>
  <c r="E74" i="2"/>
  <c r="G73" i="2"/>
  <c r="F73" i="2"/>
  <c r="J73" i="2" s="1"/>
  <c r="H73" i="2" s="1"/>
  <c r="E73" i="2"/>
  <c r="F72" i="2"/>
  <c r="K72" i="2" s="1"/>
  <c r="E72" i="2"/>
  <c r="G72" i="2" s="1"/>
  <c r="E69" i="2"/>
  <c r="G68" i="2"/>
  <c r="F68" i="2"/>
  <c r="K68" i="2" s="1"/>
  <c r="E68" i="2"/>
  <c r="G67" i="2"/>
  <c r="E67" i="2"/>
  <c r="G66" i="2"/>
  <c r="F66" i="2"/>
  <c r="J66" i="2" s="1"/>
  <c r="H66" i="2" s="1"/>
  <c r="E66" i="2"/>
  <c r="F65" i="2"/>
  <c r="E65" i="2"/>
  <c r="G64" i="2"/>
  <c r="E64" i="2"/>
  <c r="G61" i="2"/>
  <c r="F61" i="2"/>
  <c r="K61" i="2" s="1"/>
  <c r="E61" i="2"/>
  <c r="E60" i="2"/>
  <c r="G60" i="2" s="1"/>
  <c r="E59" i="2"/>
  <c r="G58" i="2"/>
  <c r="F58" i="2"/>
  <c r="K58" i="2" s="1"/>
  <c r="E58" i="2"/>
  <c r="E57" i="2"/>
  <c r="F57" i="2" s="1"/>
  <c r="F54" i="2"/>
  <c r="E54" i="2"/>
  <c r="E52" i="2"/>
  <c r="F52" i="2" s="1"/>
  <c r="J52" i="2" s="1"/>
  <c r="H52" i="2" s="1"/>
  <c r="G51" i="2"/>
  <c r="F51" i="2"/>
  <c r="K51" i="2" s="1"/>
  <c r="E51" i="2"/>
  <c r="E50" i="2"/>
  <c r="E47" i="2"/>
  <c r="G45" i="2"/>
  <c r="E45" i="2"/>
  <c r="E44" i="2"/>
  <c r="G43" i="2"/>
  <c r="E40" i="2"/>
  <c r="F40" i="2" s="1"/>
  <c r="K40" i="2" s="1"/>
  <c r="F39" i="2"/>
  <c r="K39" i="2" s="1"/>
  <c r="G38" i="2"/>
  <c r="E38" i="2"/>
  <c r="F38" i="2" s="1"/>
  <c r="E37" i="2"/>
  <c r="E36" i="2"/>
  <c r="G33" i="2"/>
  <c r="E33" i="2"/>
  <c r="G32" i="2"/>
  <c r="E32" i="2"/>
  <c r="F32" i="2" s="1"/>
  <c r="E31" i="2"/>
  <c r="G31" i="2" s="1"/>
  <c r="E30" i="2"/>
  <c r="F30" i="2" s="1"/>
  <c r="G29" i="2"/>
  <c r="F29" i="2"/>
  <c r="I29" i="2" s="1"/>
  <c r="E29" i="2"/>
  <c r="G28" i="2"/>
  <c r="E28" i="2"/>
  <c r="F28" i="2" s="1"/>
  <c r="G27" i="2"/>
  <c r="E27" i="2"/>
  <c r="E23" i="2"/>
  <c r="G22" i="2"/>
  <c r="E21" i="2"/>
  <c r="G21" i="2" s="1"/>
  <c r="F20" i="2"/>
  <c r="G19" i="2"/>
  <c r="F19" i="2"/>
  <c r="K19" i="2" s="1"/>
  <c r="E19" i="2"/>
  <c r="E16" i="2"/>
  <c r="G15" i="2"/>
  <c r="G14" i="2"/>
  <c r="E14" i="2"/>
  <c r="E12" i="2"/>
  <c r="E8" i="2"/>
  <c r="F8" i="2" s="1"/>
  <c r="I8" i="2" s="1"/>
  <c r="G7" i="2"/>
  <c r="F7" i="2"/>
  <c r="K7" i="2" s="1"/>
  <c r="E7" i="2"/>
  <c r="E5" i="2"/>
  <c r="G4" i="2"/>
  <c r="E4" i="2"/>
  <c r="J8" i="2" l="1"/>
  <c r="H8" i="2" s="1"/>
  <c r="K352" i="2"/>
  <c r="K180" i="2"/>
  <c r="I255" i="2"/>
  <c r="I523" i="2"/>
  <c r="J318" i="2"/>
  <c r="H318" i="2" s="1"/>
  <c r="K323" i="2"/>
  <c r="I349" i="2"/>
  <c r="I236" i="2"/>
  <c r="J530" i="2"/>
  <c r="H530" i="2" s="1"/>
  <c r="K603" i="2"/>
  <c r="K625" i="2"/>
  <c r="I106" i="2"/>
  <c r="J196" i="2"/>
  <c r="H196" i="2" s="1"/>
  <c r="J603" i="2"/>
  <c r="H603" i="2" s="1"/>
  <c r="J627" i="2"/>
  <c r="H627" i="2" s="1"/>
  <c r="I729" i="2"/>
  <c r="J566" i="2"/>
  <c r="H566" i="2" s="1"/>
  <c r="J431" i="2"/>
  <c r="H431" i="2" s="1"/>
  <c r="I154" i="2"/>
  <c r="K238" i="2"/>
  <c r="I602" i="2"/>
  <c r="K640" i="2"/>
  <c r="I659" i="2"/>
  <c r="K739" i="2"/>
  <c r="J659" i="2"/>
  <c r="H659" i="2" s="1"/>
  <c r="I88" i="2"/>
  <c r="K594" i="2"/>
  <c r="J88" i="2"/>
  <c r="H88" i="2" s="1"/>
  <c r="J252" i="2"/>
  <c r="H252" i="2" s="1"/>
  <c r="I268" i="2"/>
  <c r="J467" i="2"/>
  <c r="H467" i="2" s="1"/>
  <c r="J575" i="2"/>
  <c r="H575" i="2" s="1"/>
  <c r="J94" i="2"/>
  <c r="J126" i="2"/>
  <c r="H126" i="2" s="1"/>
  <c r="J136" i="2"/>
  <c r="H136" i="2" s="1"/>
  <c r="K247" i="2"/>
  <c r="K265" i="2"/>
  <c r="J268" i="2"/>
  <c r="H268" i="2" s="1"/>
  <c r="J275" i="2"/>
  <c r="H275" i="2" s="1"/>
  <c r="K419" i="2"/>
  <c r="I585" i="2"/>
  <c r="I58" i="2"/>
  <c r="I89" i="2"/>
  <c r="J287" i="2"/>
  <c r="H287" i="2" s="1"/>
  <c r="I378" i="2"/>
  <c r="I394" i="2"/>
  <c r="J509" i="2"/>
  <c r="H509" i="2" s="1"/>
  <c r="I574" i="2"/>
  <c r="J695" i="2"/>
  <c r="H695" i="2" s="1"/>
  <c r="K8" i="2"/>
  <c r="J40" i="2"/>
  <c r="H40" i="2" s="1"/>
  <c r="K54" i="2"/>
  <c r="K106" i="2"/>
  <c r="I112" i="2"/>
  <c r="K160" i="2"/>
  <c r="I181" i="2"/>
  <c r="K188" i="2"/>
  <c r="J221" i="2"/>
  <c r="H221" i="2" s="1"/>
  <c r="I323" i="2"/>
  <c r="K342" i="2"/>
  <c r="J379" i="2"/>
  <c r="H379" i="2" s="1"/>
  <c r="K435" i="2"/>
  <c r="I575" i="2"/>
  <c r="J584" i="2"/>
  <c r="H584" i="2" s="1"/>
  <c r="I612" i="2"/>
  <c r="I663" i="2"/>
  <c r="I721" i="2"/>
  <c r="J729" i="2"/>
  <c r="H729" i="2" s="1"/>
  <c r="K162" i="2"/>
  <c r="J280" i="2"/>
  <c r="H280" i="2" s="1"/>
  <c r="K401" i="2"/>
  <c r="J408" i="2"/>
  <c r="H408" i="2" s="1"/>
  <c r="I430" i="2"/>
  <c r="J466" i="2"/>
  <c r="I492" i="2"/>
  <c r="J538" i="2"/>
  <c r="H538" i="2" s="1"/>
  <c r="K546" i="2"/>
  <c r="I559" i="2"/>
  <c r="J612" i="2"/>
  <c r="H612" i="2" s="1"/>
  <c r="K687" i="2"/>
  <c r="I703" i="2"/>
  <c r="K29" i="2"/>
  <c r="I104" i="2"/>
  <c r="K126" i="2"/>
  <c r="K216" i="2"/>
  <c r="J405" i="2"/>
  <c r="K500" i="2" s="1"/>
  <c r="J419" i="2"/>
  <c r="H419" i="2" s="1"/>
  <c r="I431" i="2"/>
  <c r="K439" i="2"/>
  <c r="J448" i="2"/>
  <c r="H448" i="2" s="1"/>
  <c r="K492" i="2"/>
  <c r="K559" i="2"/>
  <c r="J703" i="2"/>
  <c r="K78" i="2"/>
  <c r="J58" i="2"/>
  <c r="H58" i="2" s="1"/>
  <c r="K104" i="2"/>
  <c r="I160" i="2"/>
  <c r="I247" i="2"/>
  <c r="I252" i="2"/>
  <c r="I257" i="2"/>
  <c r="J271" i="2"/>
  <c r="H271" i="2" s="1"/>
  <c r="I300" i="2"/>
  <c r="I352" i="2"/>
  <c r="K397" i="2"/>
  <c r="K413" i="2"/>
  <c r="K445" i="2"/>
  <c r="K478" i="2"/>
  <c r="J516" i="2"/>
  <c r="H516" i="2" s="1"/>
  <c r="I72" i="2"/>
  <c r="K152" i="2"/>
  <c r="I173" i="2"/>
  <c r="J220" i="2"/>
  <c r="H220" i="2" s="1"/>
  <c r="I232" i="2"/>
  <c r="J264" i="2"/>
  <c r="H264" i="2" s="1"/>
  <c r="K284" i="2"/>
  <c r="K360" i="2"/>
  <c r="K378" i="2"/>
  <c r="I400" i="2"/>
  <c r="I435" i="2"/>
  <c r="J520" i="2"/>
  <c r="H520" i="2" s="1"/>
  <c r="K530" i="2"/>
  <c r="I558" i="2"/>
  <c r="J567" i="2"/>
  <c r="H567" i="2" s="1"/>
  <c r="J585" i="2"/>
  <c r="H585" i="2" s="1"/>
  <c r="J618" i="2"/>
  <c r="H618" i="2" s="1"/>
  <c r="I651" i="2"/>
  <c r="J669" i="2"/>
  <c r="K52" i="2"/>
  <c r="J72" i="2"/>
  <c r="H72" i="2" s="1"/>
  <c r="J78" i="2"/>
  <c r="H78" i="2" s="1"/>
  <c r="I207" i="2"/>
  <c r="K281" i="2"/>
  <c r="K386" i="2"/>
  <c r="I408" i="2"/>
  <c r="J438" i="2"/>
  <c r="H438" i="2" s="1"/>
  <c r="K457" i="2"/>
  <c r="K476" i="2"/>
  <c r="I649" i="2"/>
  <c r="J651" i="2"/>
  <c r="K665" i="2" s="1"/>
  <c r="J29" i="2"/>
  <c r="H29" i="2" s="1"/>
  <c r="I39" i="2"/>
  <c r="J128" i="2"/>
  <c r="H128" i="2" s="1"/>
  <c r="J162" i="2"/>
  <c r="H162" i="2" s="1"/>
  <c r="I163" i="2"/>
  <c r="K170" i="2"/>
  <c r="K183" i="2"/>
  <c r="K196" i="2"/>
  <c r="J206" i="2"/>
  <c r="H206" i="2" s="1"/>
  <c r="I220" i="2"/>
  <c r="K227" i="2"/>
  <c r="K230" i="2"/>
  <c r="K232" i="2"/>
  <c r="I246" i="2"/>
  <c r="J267" i="2"/>
  <c r="H267" i="2" s="1"/>
  <c r="K291" i="2"/>
  <c r="I297" i="2"/>
  <c r="J300" i="2"/>
  <c r="H300" i="2" s="1"/>
  <c r="I315" i="2"/>
  <c r="I360" i="2"/>
  <c r="K394" i="2"/>
  <c r="K400" i="2"/>
  <c r="J430" i="2"/>
  <c r="I453" i="2"/>
  <c r="J484" i="2"/>
  <c r="H484" i="2" s="1"/>
  <c r="K487" i="2"/>
  <c r="I515" i="2"/>
  <c r="I520" i="2"/>
  <c r="J558" i="2"/>
  <c r="H558" i="2" s="1"/>
  <c r="K566" i="2"/>
  <c r="I583" i="2"/>
  <c r="K589" i="2"/>
  <c r="I593" i="2"/>
  <c r="K618" i="2"/>
  <c r="J621" i="2"/>
  <c r="H621" i="2" s="1"/>
  <c r="J625" i="2"/>
  <c r="H625" i="2" s="1"/>
  <c r="I641" i="2"/>
  <c r="I657" i="2"/>
  <c r="K695" i="2"/>
  <c r="J39" i="2"/>
  <c r="I73" i="2"/>
  <c r="J188" i="2"/>
  <c r="H188" i="2" s="1"/>
  <c r="J219" i="2"/>
  <c r="H219" i="2" s="1"/>
  <c r="K246" i="2"/>
  <c r="I308" i="2"/>
  <c r="I326" i="2"/>
  <c r="I331" i="2"/>
  <c r="J334" i="2"/>
  <c r="I368" i="2"/>
  <c r="J423" i="2"/>
  <c r="H423" i="2" s="1"/>
  <c r="J491" i="2"/>
  <c r="H491" i="2" s="1"/>
  <c r="J506" i="2"/>
  <c r="J539" i="2"/>
  <c r="H539" i="2" s="1"/>
  <c r="I541" i="2"/>
  <c r="I595" i="2"/>
  <c r="I712" i="2"/>
  <c r="J720" i="2"/>
  <c r="H720" i="2" s="1"/>
  <c r="J728" i="2"/>
  <c r="H728" i="2" s="1"/>
  <c r="K780" i="2"/>
  <c r="K368" i="2"/>
  <c r="J458" i="2"/>
  <c r="H458" i="2" s="1"/>
  <c r="K491" i="2"/>
  <c r="J595" i="2"/>
  <c r="K626" i="2" s="1"/>
  <c r="K712" i="2"/>
  <c r="K73" i="2"/>
  <c r="I172" i="2"/>
  <c r="J326" i="2"/>
  <c r="H326" i="2" s="1"/>
  <c r="K331" i="2"/>
  <c r="I52" i="2"/>
  <c r="J112" i="2"/>
  <c r="H112" i="2" s="1"/>
  <c r="I141" i="2"/>
  <c r="J154" i="2"/>
  <c r="K175" i="2"/>
  <c r="J180" i="2"/>
  <c r="H180" i="2" s="1"/>
  <c r="K206" i="2"/>
  <c r="I231" i="2"/>
  <c r="J242" i="2"/>
  <c r="H242" i="2" s="1"/>
  <c r="I254" i="2"/>
  <c r="I265" i="2"/>
  <c r="I281" i="2"/>
  <c r="I284" i="2"/>
  <c r="I289" i="2"/>
  <c r="K339" i="2"/>
  <c r="K355" i="2"/>
  <c r="K442" i="2"/>
  <c r="J450" i="2"/>
  <c r="H450" i="2" s="1"/>
  <c r="K453" i="2"/>
  <c r="K458" i="2"/>
  <c r="K462" i="2"/>
  <c r="J482" i="2"/>
  <c r="H482" i="2" s="1"/>
  <c r="J513" i="2"/>
  <c r="H513" i="2" s="1"/>
  <c r="I533" i="2"/>
  <c r="I594" i="2"/>
  <c r="J602" i="2"/>
  <c r="H602" i="2" s="1"/>
  <c r="I609" i="2"/>
  <c r="J619" i="2"/>
  <c r="H619" i="2" s="1"/>
  <c r="J640" i="2"/>
  <c r="I648" i="2"/>
  <c r="I679" i="2"/>
  <c r="J694" i="2"/>
  <c r="K721" i="2" s="1"/>
  <c r="I739" i="2"/>
  <c r="K141" i="2"/>
  <c r="K191" i="2"/>
  <c r="J214" i="2"/>
  <c r="H214" i="2" s="1"/>
  <c r="I221" i="2"/>
  <c r="K239" i="2"/>
  <c r="I273" i="2"/>
  <c r="K363" i="2"/>
  <c r="I386" i="2"/>
  <c r="J401" i="2"/>
  <c r="H401" i="2" s="1"/>
  <c r="I413" i="2"/>
  <c r="J439" i="2"/>
  <c r="H439" i="2" s="1"/>
  <c r="I445" i="2"/>
  <c r="J457" i="2"/>
  <c r="H457" i="2" s="1"/>
  <c r="J469" i="2"/>
  <c r="H469" i="2" s="1"/>
  <c r="K473" i="2"/>
  <c r="J493" i="2"/>
  <c r="H493" i="2" s="1"/>
  <c r="J507" i="2"/>
  <c r="H507" i="2" s="1"/>
  <c r="K513" i="2"/>
  <c r="K533" i="2"/>
  <c r="I538" i="2"/>
  <c r="I567" i="2"/>
  <c r="I584" i="2"/>
  <c r="J609" i="2"/>
  <c r="H609" i="2" s="1"/>
  <c r="K619" i="2"/>
  <c r="I633" i="2"/>
  <c r="K679" i="2"/>
  <c r="K772" i="2"/>
  <c r="J120" i="2"/>
  <c r="H120" i="2" s="1"/>
  <c r="J172" i="2"/>
  <c r="H172" i="2" s="1"/>
  <c r="K345" i="2"/>
  <c r="I423" i="2"/>
  <c r="I501" i="2"/>
  <c r="I529" i="2"/>
  <c r="J574" i="2"/>
  <c r="H574" i="2" s="1"/>
  <c r="K627" i="2"/>
  <c r="I687" i="2"/>
  <c r="J38" i="2"/>
  <c r="H38" i="2" s="1"/>
  <c r="I38" i="2"/>
  <c r="I32" i="2"/>
  <c r="K32" i="2"/>
  <c r="J32" i="2"/>
  <c r="H32" i="2" s="1"/>
  <c r="K28" i="2"/>
  <c r="J28" i="2"/>
  <c r="H28" i="2" s="1"/>
  <c r="I28" i="2"/>
  <c r="F69" i="2"/>
  <c r="J69" i="2" s="1"/>
  <c r="H69" i="2" s="1"/>
  <c r="K87" i="2"/>
  <c r="G164" i="2"/>
  <c r="F164" i="2"/>
  <c r="I164" i="2" s="1"/>
  <c r="F266" i="2"/>
  <c r="K266" i="2" s="1"/>
  <c r="G266" i="2"/>
  <c r="F6" i="2"/>
  <c r="K6" i="2" s="1"/>
  <c r="F74" i="2"/>
  <c r="I74" i="2" s="1"/>
  <c r="G125" i="2"/>
  <c r="G140" i="2"/>
  <c r="F151" i="2"/>
  <c r="K151" i="2" s="1"/>
  <c r="F184" i="2"/>
  <c r="I184" i="2" s="1"/>
  <c r="G211" i="2"/>
  <c r="F211" i="2"/>
  <c r="J211" i="2" s="1"/>
  <c r="H211" i="2" s="1"/>
  <c r="F253" i="2"/>
  <c r="J253" i="2" s="1"/>
  <c r="H253" i="2" s="1"/>
  <c r="G253" i="2"/>
  <c r="G351" i="2"/>
  <c r="F351" i="2"/>
  <c r="I351" i="2" s="1"/>
  <c r="I57" i="2"/>
  <c r="I93" i="2"/>
  <c r="F26" i="2"/>
  <c r="F31" i="2"/>
  <c r="K31" i="2" s="1"/>
  <c r="F37" i="2"/>
  <c r="K37" i="2" s="1"/>
  <c r="G69" i="2"/>
  <c r="F168" i="2"/>
  <c r="K168" i="2" s="1"/>
  <c r="G37" i="2"/>
  <c r="G44" i="2"/>
  <c r="G50" i="2"/>
  <c r="G57" i="2"/>
  <c r="F60" i="2"/>
  <c r="I60" i="2" s="1"/>
  <c r="I61" i="2"/>
  <c r="J65" i="2"/>
  <c r="H65" i="2" s="1"/>
  <c r="G65" i="2"/>
  <c r="I66" i="2"/>
  <c r="J68" i="2"/>
  <c r="H68" i="2" s="1"/>
  <c r="G74" i="2"/>
  <c r="G77" i="2"/>
  <c r="I80" i="2"/>
  <c r="I81" i="2"/>
  <c r="J83" i="2"/>
  <c r="H83" i="2" s="1"/>
  <c r="I84" i="2"/>
  <c r="J86" i="2"/>
  <c r="H86" i="2" s="1"/>
  <c r="G93" i="2"/>
  <c r="F96" i="2"/>
  <c r="I96" i="2" s="1"/>
  <c r="I97" i="2"/>
  <c r="J99" i="2"/>
  <c r="H99" i="2" s="1"/>
  <c r="G99" i="2"/>
  <c r="I100" i="2"/>
  <c r="J102" i="2"/>
  <c r="H102" i="2" s="1"/>
  <c r="F114" i="2"/>
  <c r="I114" i="2" s="1"/>
  <c r="I115" i="2"/>
  <c r="J117" i="2"/>
  <c r="H117" i="2" s="1"/>
  <c r="G117" i="2"/>
  <c r="I118" i="2"/>
  <c r="F125" i="2"/>
  <c r="J125" i="2" s="1"/>
  <c r="H125" i="2" s="1"/>
  <c r="I130" i="2"/>
  <c r="I131" i="2"/>
  <c r="F137" i="2"/>
  <c r="I137" i="2" s="1"/>
  <c r="F140" i="2"/>
  <c r="I140" i="2" s="1"/>
  <c r="K144" i="2"/>
  <c r="J146" i="2"/>
  <c r="H146" i="2" s="1"/>
  <c r="I147" i="2"/>
  <c r="J159" i="2"/>
  <c r="H159" i="2" s="1"/>
  <c r="I159" i="2"/>
  <c r="G159" i="2"/>
  <c r="F161" i="2"/>
  <c r="K161" i="2" s="1"/>
  <c r="G168" i="2"/>
  <c r="K178" i="2"/>
  <c r="J185" i="2"/>
  <c r="H185" i="2" s="1"/>
  <c r="I185" i="2"/>
  <c r="G185" i="2"/>
  <c r="K185" i="2"/>
  <c r="I189" i="2"/>
  <c r="I197" i="2"/>
  <c r="K212" i="2"/>
  <c r="G237" i="2"/>
  <c r="F237" i="2"/>
  <c r="K237" i="2" s="1"/>
  <c r="F103" i="2"/>
  <c r="I103" i="2" s="1"/>
  <c r="F153" i="2"/>
  <c r="K153" i="2" s="1"/>
  <c r="G174" i="2"/>
  <c r="F174" i="2"/>
  <c r="J174" i="2" s="1"/>
  <c r="H174" i="2" s="1"/>
  <c r="F90" i="2"/>
  <c r="I90" i="2" s="1"/>
  <c r="F108" i="2"/>
  <c r="I108" i="2" s="1"/>
  <c r="F111" i="2"/>
  <c r="I111" i="2" s="1"/>
  <c r="F135" i="2"/>
  <c r="I135" i="2" s="1"/>
  <c r="F12" i="2"/>
  <c r="K12" i="2" s="1"/>
  <c r="F16" i="2"/>
  <c r="K16" i="2" s="1"/>
  <c r="I20" i="2"/>
  <c r="F23" i="2"/>
  <c r="I23" i="2" s="1"/>
  <c r="G30" i="2"/>
  <c r="F36" i="2"/>
  <c r="I36" i="2" s="1"/>
  <c r="F43" i="2"/>
  <c r="I43" i="2" s="1"/>
  <c r="F47" i="2"/>
  <c r="K47" i="2" s="1"/>
  <c r="I51" i="2"/>
  <c r="J61" i="2"/>
  <c r="H61" i="2" s="1"/>
  <c r="J81" i="2"/>
  <c r="H81" i="2" s="1"/>
  <c r="J97" i="2"/>
  <c r="H97" i="2" s="1"/>
  <c r="J115" i="2"/>
  <c r="H115" i="2" s="1"/>
  <c r="G122" i="2"/>
  <c r="I123" i="2"/>
  <c r="F127" i="2"/>
  <c r="K127" i="2" s="1"/>
  <c r="K131" i="2"/>
  <c r="I138" i="2"/>
  <c r="F142" i="2"/>
  <c r="I142" i="2" s="1"/>
  <c r="I149" i="2"/>
  <c r="G169" i="2"/>
  <c r="G192" i="2"/>
  <c r="F192" i="2"/>
  <c r="K192" i="2" s="1"/>
  <c r="G203" i="2"/>
  <c r="F203" i="2"/>
  <c r="J203" i="2" s="1"/>
  <c r="H203" i="2" s="1"/>
  <c r="G135" i="2"/>
  <c r="G151" i="2"/>
  <c r="J177" i="2"/>
  <c r="H177" i="2" s="1"/>
  <c r="I177" i="2"/>
  <c r="G177" i="2"/>
  <c r="K177" i="2"/>
  <c r="J13" i="2"/>
  <c r="K20" i="2" s="1"/>
  <c r="F44" i="2"/>
  <c r="K44" i="2" s="1"/>
  <c r="F50" i="2"/>
  <c r="J50" i="2" s="1"/>
  <c r="H50" i="2" s="1"/>
  <c r="F77" i="2"/>
  <c r="I77" i="2" s="1"/>
  <c r="G87" i="2"/>
  <c r="F5" i="2"/>
  <c r="I5" i="2" s="1"/>
  <c r="I7" i="2"/>
  <c r="G5" i="2"/>
  <c r="J7" i="2"/>
  <c r="H7" i="2" s="1"/>
  <c r="G12" i="2"/>
  <c r="G16" i="2"/>
  <c r="J20" i="2"/>
  <c r="G23" i="2"/>
  <c r="G36" i="2"/>
  <c r="K38" i="2"/>
  <c r="G47" i="2"/>
  <c r="J51" i="2"/>
  <c r="H51" i="2" s="1"/>
  <c r="G54" i="2"/>
  <c r="J57" i="2"/>
  <c r="H57" i="2" s="1"/>
  <c r="F59" i="2"/>
  <c r="J59" i="2" s="1"/>
  <c r="H59" i="2" s="1"/>
  <c r="F76" i="2"/>
  <c r="F79" i="2"/>
  <c r="J79" i="2" s="1"/>
  <c r="H79" i="2" s="1"/>
  <c r="K92" i="2"/>
  <c r="J93" i="2"/>
  <c r="H93" i="2" s="1"/>
  <c r="F95" i="2"/>
  <c r="J95" i="2" s="1"/>
  <c r="H95" i="2" s="1"/>
  <c r="F110" i="2"/>
  <c r="K110" i="2" s="1"/>
  <c r="F113" i="2"/>
  <c r="J113" i="2" s="1"/>
  <c r="H113" i="2" s="1"/>
  <c r="K119" i="2"/>
  <c r="F122" i="2"/>
  <c r="I122" i="2" s="1"/>
  <c r="K123" i="2"/>
  <c r="G127" i="2"/>
  <c r="I128" i="2"/>
  <c r="F132" i="2"/>
  <c r="I132" i="2" s="1"/>
  <c r="G148" i="2"/>
  <c r="F148" i="2"/>
  <c r="J148" i="2" s="1"/>
  <c r="H148" i="2" s="1"/>
  <c r="K149" i="2"/>
  <c r="I155" i="2"/>
  <c r="F169" i="2"/>
  <c r="J169" i="2" s="1"/>
  <c r="H169" i="2" s="1"/>
  <c r="K186" i="2"/>
  <c r="J193" i="2"/>
  <c r="H193" i="2" s="1"/>
  <c r="I193" i="2"/>
  <c r="G193" i="2"/>
  <c r="K193" i="2"/>
  <c r="K204" i="2"/>
  <c r="J225" i="2"/>
  <c r="H225" i="2" s="1"/>
  <c r="G286" i="2"/>
  <c r="F286" i="2"/>
  <c r="K286" i="2" s="1"/>
  <c r="F4" i="2"/>
  <c r="J4" i="2" s="1"/>
  <c r="H4" i="2" s="1"/>
  <c r="I9" i="2"/>
  <c r="K15" i="2"/>
  <c r="I19" i="2"/>
  <c r="I22" i="2"/>
  <c r="I30" i="2"/>
  <c r="F33" i="2"/>
  <c r="G40" i="2"/>
  <c r="F46" i="2"/>
  <c r="F53" i="2"/>
  <c r="I53" i="2" s="1"/>
  <c r="I54" i="2"/>
  <c r="K57" i="2"/>
  <c r="G59" i="2"/>
  <c r="F64" i="2"/>
  <c r="I64" i="2" s="1"/>
  <c r="I65" i="2"/>
  <c r="F67" i="2"/>
  <c r="G79" i="2"/>
  <c r="F82" i="2"/>
  <c r="I83" i="2"/>
  <c r="F85" i="2"/>
  <c r="K93" i="2"/>
  <c r="G95" i="2"/>
  <c r="F98" i="2"/>
  <c r="I98" i="2" s="1"/>
  <c r="I99" i="2"/>
  <c r="F101" i="2"/>
  <c r="G110" i="2"/>
  <c r="G113" i="2"/>
  <c r="F116" i="2"/>
  <c r="I117" i="2"/>
  <c r="G119" i="2"/>
  <c r="I120" i="2"/>
  <c r="F124" i="2"/>
  <c r="J124" i="2" s="1"/>
  <c r="H124" i="2" s="1"/>
  <c r="J130" i="2"/>
  <c r="H130" i="2" s="1"/>
  <c r="G132" i="2"/>
  <c r="K136" i="2"/>
  <c r="F139" i="2"/>
  <c r="J139" i="2" s="1"/>
  <c r="H139" i="2" s="1"/>
  <c r="F150" i="2"/>
  <c r="I150" i="2" s="1"/>
  <c r="I157" i="2"/>
  <c r="K159" i="2"/>
  <c r="J186" i="2"/>
  <c r="H186" i="2" s="1"/>
  <c r="I186" i="2"/>
  <c r="J204" i="2"/>
  <c r="H204" i="2" s="1"/>
  <c r="I204" i="2"/>
  <c r="I215" i="2"/>
  <c r="J19" i="2"/>
  <c r="H19" i="2" s="1"/>
  <c r="J30" i="2"/>
  <c r="H30" i="2" s="1"/>
  <c r="J54" i="2"/>
  <c r="H54" i="2" s="1"/>
  <c r="K65" i="2"/>
  <c r="I68" i="2"/>
  <c r="G75" i="2"/>
  <c r="I86" i="2"/>
  <c r="G91" i="2"/>
  <c r="K99" i="2"/>
  <c r="I102" i="2"/>
  <c r="K117" i="2"/>
  <c r="K129" i="2"/>
  <c r="K130" i="2"/>
  <c r="G143" i="2"/>
  <c r="F145" i="2"/>
  <c r="J145" i="2" s="1"/>
  <c r="H145" i="2" s="1"/>
  <c r="I146" i="2"/>
  <c r="F156" i="2"/>
  <c r="I156" i="2" s="1"/>
  <c r="K157" i="2"/>
  <c r="K194" i="2"/>
  <c r="F3" i="2"/>
  <c r="G8" i="2"/>
  <c r="F14" i="2"/>
  <c r="J14" i="2" s="1"/>
  <c r="H14" i="2" s="1"/>
  <c r="F21" i="2"/>
  <c r="F27" i="2"/>
  <c r="K27" i="2" s="1"/>
  <c r="K30" i="2"/>
  <c r="I40" i="2"/>
  <c r="F45" i="2"/>
  <c r="I45" i="2" s="1"/>
  <c r="G52" i="2"/>
  <c r="K66" i="2"/>
  <c r="F75" i="2"/>
  <c r="K84" i="2"/>
  <c r="F91" i="2"/>
  <c r="J91" i="2" s="1"/>
  <c r="H91" i="2" s="1"/>
  <c r="K100" i="2"/>
  <c r="F109" i="2"/>
  <c r="K118" i="2"/>
  <c r="F121" i="2"/>
  <c r="K121" i="2" s="1"/>
  <c r="G129" i="2"/>
  <c r="J138" i="2"/>
  <c r="H138" i="2" s="1"/>
  <c r="F143" i="2"/>
  <c r="K143" i="2" s="1"/>
  <c r="F158" i="2"/>
  <c r="J158" i="2" s="1"/>
  <c r="H158" i="2" s="1"/>
  <c r="I167" i="2"/>
  <c r="F176" i="2"/>
  <c r="J176" i="2" s="1"/>
  <c r="H176" i="2" s="1"/>
  <c r="J194" i="2"/>
  <c r="H194" i="2" s="1"/>
  <c r="I194" i="2"/>
  <c r="K229" i="2"/>
  <c r="K241" i="2"/>
  <c r="J241" i="2"/>
  <c r="I241" i="2"/>
  <c r="I175" i="2"/>
  <c r="I183" i="2"/>
  <c r="I191" i="2"/>
  <c r="I201" i="2"/>
  <c r="I209" i="2"/>
  <c r="G262" i="2"/>
  <c r="F262" i="2"/>
  <c r="K262" i="2" s="1"/>
  <c r="F304" i="2"/>
  <c r="I304" i="2" s="1"/>
  <c r="F171" i="2"/>
  <c r="J171" i="2" s="1"/>
  <c r="H171" i="2" s="1"/>
  <c r="F179" i="2"/>
  <c r="J179" i="2" s="1"/>
  <c r="H179" i="2" s="1"/>
  <c r="F187" i="2"/>
  <c r="J187" i="2" s="1"/>
  <c r="H187" i="2" s="1"/>
  <c r="F195" i="2"/>
  <c r="J195" i="2" s="1"/>
  <c r="H195" i="2" s="1"/>
  <c r="F205" i="2"/>
  <c r="J205" i="2" s="1"/>
  <c r="H205" i="2" s="1"/>
  <c r="F213" i="2"/>
  <c r="K218" i="2"/>
  <c r="J234" i="2"/>
  <c r="K240" i="2" s="1"/>
  <c r="I239" i="2"/>
  <c r="I242" i="2"/>
  <c r="J244" i="2"/>
  <c r="H244" i="2" s="1"/>
  <c r="F249" i="2"/>
  <c r="J249" i="2" s="1"/>
  <c r="H249" i="2" s="1"/>
  <c r="K260" i="2"/>
  <c r="J260" i="2"/>
  <c r="H260" i="2" s="1"/>
  <c r="I283" i="2"/>
  <c r="F288" i="2"/>
  <c r="I288" i="2" s="1"/>
  <c r="F335" i="2"/>
  <c r="K335" i="2" s="1"/>
  <c r="G335" i="2"/>
  <c r="J407" i="2"/>
  <c r="H407" i="2" s="1"/>
  <c r="I407" i="2"/>
  <c r="I214" i="2"/>
  <c r="I219" i="2"/>
  <c r="I245" i="2"/>
  <c r="G270" i="2"/>
  <c r="F270" i="2"/>
  <c r="I270" i="2" s="1"/>
  <c r="F272" i="2"/>
  <c r="K272" i="2" s="1"/>
  <c r="K276" i="2"/>
  <c r="J276" i="2"/>
  <c r="H276" i="2" s="1"/>
  <c r="I276" i="2"/>
  <c r="G337" i="2"/>
  <c r="F337" i="2"/>
  <c r="K337" i="2" s="1"/>
  <c r="K155" i="2"/>
  <c r="K173" i="2"/>
  <c r="K181" i="2"/>
  <c r="K189" i="2"/>
  <c r="K197" i="2"/>
  <c r="F202" i="2"/>
  <c r="J202" i="2" s="1"/>
  <c r="H202" i="2" s="1"/>
  <c r="K207" i="2"/>
  <c r="F210" i="2"/>
  <c r="J210" i="2" s="1"/>
  <c r="H210" i="2" s="1"/>
  <c r="K215" i="2"/>
  <c r="F217" i="2"/>
  <c r="K217" i="2" s="1"/>
  <c r="F222" i="2"/>
  <c r="K222" i="2" s="1"/>
  <c r="I225" i="2"/>
  <c r="F228" i="2"/>
  <c r="J228" i="2" s="1"/>
  <c r="I230" i="2"/>
  <c r="K231" i="2"/>
  <c r="F233" i="2"/>
  <c r="K233" i="2" s="1"/>
  <c r="I234" i="2"/>
  <c r="I243" i="2"/>
  <c r="J243" i="2"/>
  <c r="H243" i="2" s="1"/>
  <c r="G259" i="2"/>
  <c r="I259" i="2"/>
  <c r="F261" i="2"/>
  <c r="J261" i="2" s="1"/>
  <c r="H261" i="2" s="1"/>
  <c r="G272" i="2"/>
  <c r="G302" i="2"/>
  <c r="F302" i="2"/>
  <c r="J302" i="2" s="1"/>
  <c r="H302" i="2" s="1"/>
  <c r="G396" i="2"/>
  <c r="F396" i="2"/>
  <c r="I396" i="2" s="1"/>
  <c r="I212" i="2"/>
  <c r="I216" i="2"/>
  <c r="G217" i="2"/>
  <c r="I218" i="2"/>
  <c r="J227" i="2"/>
  <c r="H227" i="2" s="1"/>
  <c r="I229" i="2"/>
  <c r="G233" i="2"/>
  <c r="K234" i="2"/>
  <c r="I244" i="2"/>
  <c r="G254" i="2"/>
  <c r="J254" i="2"/>
  <c r="H254" i="2" s="1"/>
  <c r="J144" i="2"/>
  <c r="H144" i="2" s="1"/>
  <c r="J152" i="2"/>
  <c r="H152" i="2" s="1"/>
  <c r="J170" i="2"/>
  <c r="H170" i="2" s="1"/>
  <c r="J178" i="2"/>
  <c r="H178" i="2" s="1"/>
  <c r="F182" i="2"/>
  <c r="I190" i="2"/>
  <c r="F198" i="2"/>
  <c r="J198" i="2" s="1"/>
  <c r="H198" i="2" s="1"/>
  <c r="F208" i="2"/>
  <c r="J208" i="2" s="1"/>
  <c r="I240" i="2"/>
  <c r="F282" i="2"/>
  <c r="J282" i="2" s="1"/>
  <c r="H282" i="2" s="1"/>
  <c r="G282" i="2"/>
  <c r="G216" i="2"/>
  <c r="I226" i="2"/>
  <c r="G227" i="2"/>
  <c r="F235" i="2"/>
  <c r="J235" i="2" s="1"/>
  <c r="H235" i="2" s="1"/>
  <c r="I238" i="2"/>
  <c r="J240" i="2"/>
  <c r="H240" i="2" s="1"/>
  <c r="F251" i="2"/>
  <c r="I251" i="2" s="1"/>
  <c r="I256" i="2"/>
  <c r="J256" i="2"/>
  <c r="H256" i="2" s="1"/>
  <c r="K259" i="2"/>
  <c r="I267" i="2"/>
  <c r="J292" i="2"/>
  <c r="K296" i="2" s="1"/>
  <c r="I292" i="2"/>
  <c r="G307" i="2"/>
  <c r="F307" i="2"/>
  <c r="K307" i="2" s="1"/>
  <c r="G441" i="2"/>
  <c r="F441" i="2"/>
  <c r="J441" i="2" s="1"/>
  <c r="H441" i="2" s="1"/>
  <c r="G320" i="2"/>
  <c r="G325" i="2"/>
  <c r="F325" i="2"/>
  <c r="I325" i="2" s="1"/>
  <c r="G362" i="2"/>
  <c r="F364" i="2"/>
  <c r="J364" i="2" s="1"/>
  <c r="H364" i="2" s="1"/>
  <c r="K375" i="2"/>
  <c r="J375" i="2"/>
  <c r="H375" i="2" s="1"/>
  <c r="I375" i="2"/>
  <c r="K383" i="2"/>
  <c r="J383" i="2"/>
  <c r="H383" i="2" s="1"/>
  <c r="I383" i="2"/>
  <c r="F406" i="2"/>
  <c r="K406" i="2" s="1"/>
  <c r="G406" i="2"/>
  <c r="F418" i="2"/>
  <c r="K418" i="2" s="1"/>
  <c r="J427" i="2"/>
  <c r="I427" i="2"/>
  <c r="K263" i="2"/>
  <c r="K279" i="2"/>
  <c r="G312" i="2"/>
  <c r="J312" i="2"/>
  <c r="H312" i="2" s="1"/>
  <c r="I312" i="2"/>
  <c r="I314" i="2"/>
  <c r="K314" i="2"/>
  <c r="G317" i="2"/>
  <c r="F317" i="2"/>
  <c r="K317" i="2" s="1"/>
  <c r="I318" i="2"/>
  <c r="F320" i="2"/>
  <c r="J320" i="2" s="1"/>
  <c r="H320" i="2" s="1"/>
  <c r="F322" i="2"/>
  <c r="J322" i="2" s="1"/>
  <c r="H322" i="2" s="1"/>
  <c r="F343" i="2"/>
  <c r="J343" i="2" s="1"/>
  <c r="H343" i="2" s="1"/>
  <c r="F362" i="2"/>
  <c r="J362" i="2" s="1"/>
  <c r="H362" i="2" s="1"/>
  <c r="G364" i="2"/>
  <c r="F380" i="2"/>
  <c r="G388" i="2"/>
  <c r="F388" i="2"/>
  <c r="K388" i="2" s="1"/>
  <c r="K391" i="2"/>
  <c r="J391" i="2"/>
  <c r="H391" i="2" s="1"/>
  <c r="I391" i="2"/>
  <c r="K404" i="2"/>
  <c r="I404" i="2"/>
  <c r="G418" i="2"/>
  <c r="F269" i="2"/>
  <c r="K269" i="2" s="1"/>
  <c r="G279" i="2"/>
  <c r="J283" i="2"/>
  <c r="H283" i="2" s="1"/>
  <c r="K285" i="2"/>
  <c r="G294" i="2"/>
  <c r="J294" i="2"/>
  <c r="H294" i="2" s="1"/>
  <c r="I294" i="2"/>
  <c r="I296" i="2"/>
  <c r="G299" i="2"/>
  <c r="F299" i="2"/>
  <c r="K299" i="2" s="1"/>
  <c r="I305" i="2"/>
  <c r="J308" i="2"/>
  <c r="H308" i="2" s="1"/>
  <c r="K315" i="2"/>
  <c r="F327" i="2"/>
  <c r="J327" i="2" s="1"/>
  <c r="H327" i="2" s="1"/>
  <c r="J329" i="2"/>
  <c r="H329" i="2" s="1"/>
  <c r="F353" i="2"/>
  <c r="J353" i="2" s="1"/>
  <c r="G367" i="2"/>
  <c r="F367" i="2"/>
  <c r="I367" i="2" s="1"/>
  <c r="K389" i="2"/>
  <c r="F410" i="2"/>
  <c r="I410" i="2" s="1"/>
  <c r="G410" i="2"/>
  <c r="K461" i="2"/>
  <c r="G278" i="2"/>
  <c r="K305" i="2"/>
  <c r="F319" i="2"/>
  <c r="G344" i="2"/>
  <c r="F346" i="2"/>
  <c r="J346" i="2" s="1"/>
  <c r="H346" i="2" s="1"/>
  <c r="F359" i="2"/>
  <c r="I359" i="2" s="1"/>
  <c r="J365" i="2"/>
  <c r="H365" i="2" s="1"/>
  <c r="I365" i="2"/>
  <c r="F374" i="2"/>
  <c r="I374" i="2" s="1"/>
  <c r="K422" i="2"/>
  <c r="J422" i="2"/>
  <c r="H422" i="2" s="1"/>
  <c r="I422" i="2"/>
  <c r="G429" i="2"/>
  <c r="F429" i="2"/>
  <c r="K429" i="2" s="1"/>
  <c r="J236" i="2"/>
  <c r="K245" i="2"/>
  <c r="K255" i="2"/>
  <c r="J263" i="2"/>
  <c r="H263" i="2" s="1"/>
  <c r="K271" i="2"/>
  <c r="K273" i="2"/>
  <c r="F278" i="2"/>
  <c r="K278" i="2" s="1"/>
  <c r="J279" i="2"/>
  <c r="H279" i="2" s="1"/>
  <c r="K287" i="2"/>
  <c r="K289" i="2"/>
  <c r="K297" i="2"/>
  <c r="F309" i="2"/>
  <c r="I309" i="2" s="1"/>
  <c r="K313" i="2"/>
  <c r="J313" i="2"/>
  <c r="H313" i="2" s="1"/>
  <c r="J314" i="2"/>
  <c r="K329" i="2" s="1"/>
  <c r="F321" i="2"/>
  <c r="I321" i="2" s="1"/>
  <c r="F344" i="2"/>
  <c r="J344" i="2" s="1"/>
  <c r="H344" i="2" s="1"/>
  <c r="G346" i="2"/>
  <c r="K349" i="2"/>
  <c r="F361" i="2"/>
  <c r="I361" i="2" s="1"/>
  <c r="J369" i="2"/>
  <c r="H369" i="2" s="1"/>
  <c r="F382" i="2"/>
  <c r="J382" i="2" s="1"/>
  <c r="H382" i="2" s="1"/>
  <c r="F258" i="2"/>
  <c r="I264" i="2"/>
  <c r="F274" i="2"/>
  <c r="K274" i="2" s="1"/>
  <c r="I275" i="2"/>
  <c r="I280" i="2"/>
  <c r="F290" i="2"/>
  <c r="I291" i="2"/>
  <c r="K294" i="2"/>
  <c r="F301" i="2"/>
  <c r="I301" i="2" s="1"/>
  <c r="K303" i="2"/>
  <c r="J303" i="2"/>
  <c r="H303" i="2" s="1"/>
  <c r="G321" i="2"/>
  <c r="I329" i="2"/>
  <c r="G336" i="2"/>
  <c r="G341" i="2"/>
  <c r="F341" i="2"/>
  <c r="I342" i="2"/>
  <c r="G354" i="2"/>
  <c r="F356" i="2"/>
  <c r="J356" i="2" s="1"/>
  <c r="H356" i="2" s="1"/>
  <c r="I357" i="2"/>
  <c r="G372" i="2"/>
  <c r="F372" i="2"/>
  <c r="K372" i="2" s="1"/>
  <c r="G382" i="2"/>
  <c r="F390" i="2"/>
  <c r="J390" i="2" s="1"/>
  <c r="H390" i="2" s="1"/>
  <c r="F402" i="2"/>
  <c r="G499" i="2"/>
  <c r="F499" i="2"/>
  <c r="K499" i="2" s="1"/>
  <c r="F277" i="2"/>
  <c r="J277" i="2" s="1"/>
  <c r="H277" i="2" s="1"/>
  <c r="F293" i="2"/>
  <c r="K293" i="2" s="1"/>
  <c r="K295" i="2"/>
  <c r="J295" i="2"/>
  <c r="H295" i="2" s="1"/>
  <c r="G328" i="2"/>
  <c r="J328" i="2"/>
  <c r="H328" i="2" s="1"/>
  <c r="I328" i="2"/>
  <c r="I330" i="2"/>
  <c r="K330" i="2"/>
  <c r="G333" i="2"/>
  <c r="F333" i="2"/>
  <c r="F336" i="2"/>
  <c r="K336" i="2" s="1"/>
  <c r="F338" i="2"/>
  <c r="J338" i="2" s="1"/>
  <c r="H338" i="2" s="1"/>
  <c r="I339" i="2"/>
  <c r="F354" i="2"/>
  <c r="K354" i="2" s="1"/>
  <c r="G356" i="2"/>
  <c r="K357" i="2"/>
  <c r="K365" i="2"/>
  <c r="G390" i="2"/>
  <c r="F398" i="2"/>
  <c r="I398" i="2" s="1"/>
  <c r="G403" i="2"/>
  <c r="F403" i="2"/>
  <c r="K403" i="2" s="1"/>
  <c r="G412" i="2"/>
  <c r="F412" i="2"/>
  <c r="K412" i="2" s="1"/>
  <c r="J345" i="2"/>
  <c r="H345" i="2" s="1"/>
  <c r="J355" i="2"/>
  <c r="H355" i="2" s="1"/>
  <c r="J363" i="2"/>
  <c r="H363" i="2" s="1"/>
  <c r="J373" i="2"/>
  <c r="H373" i="2" s="1"/>
  <c r="F377" i="2"/>
  <c r="J377" i="2" s="1"/>
  <c r="H377" i="2" s="1"/>
  <c r="J381" i="2"/>
  <c r="H381" i="2" s="1"/>
  <c r="F385" i="2"/>
  <c r="J385" i="2" s="1"/>
  <c r="H385" i="2" s="1"/>
  <c r="J389" i="2"/>
  <c r="H389" i="2" s="1"/>
  <c r="F393" i="2"/>
  <c r="J393" i="2" s="1"/>
  <c r="H393" i="2" s="1"/>
  <c r="J397" i="2"/>
  <c r="H397" i="2" s="1"/>
  <c r="J409" i="2"/>
  <c r="F411" i="2"/>
  <c r="I411" i="2" s="1"/>
  <c r="F414" i="2"/>
  <c r="J414" i="2" s="1"/>
  <c r="H414" i="2" s="1"/>
  <c r="G425" i="2"/>
  <c r="F433" i="2"/>
  <c r="J433" i="2" s="1"/>
  <c r="H433" i="2" s="1"/>
  <c r="K438" i="2"/>
  <c r="F446" i="2"/>
  <c r="I446" i="2" s="1"/>
  <c r="G465" i="2"/>
  <c r="F465" i="2"/>
  <c r="I465" i="2" s="1"/>
  <c r="F477" i="2"/>
  <c r="J477" i="2" s="1"/>
  <c r="H477" i="2" s="1"/>
  <c r="G477" i="2"/>
  <c r="F519" i="2"/>
  <c r="K519" i="2" s="1"/>
  <c r="F298" i="2"/>
  <c r="K298" i="2" s="1"/>
  <c r="F306" i="2"/>
  <c r="K306" i="2" s="1"/>
  <c r="F316" i="2"/>
  <c r="F324" i="2"/>
  <c r="K324" i="2" s="1"/>
  <c r="F332" i="2"/>
  <c r="K332" i="2" s="1"/>
  <c r="F340" i="2"/>
  <c r="F350" i="2"/>
  <c r="F358" i="2"/>
  <c r="K358" i="2" s="1"/>
  <c r="F366" i="2"/>
  <c r="K366" i="2" s="1"/>
  <c r="I369" i="2"/>
  <c r="K373" i="2"/>
  <c r="F376" i="2"/>
  <c r="K376" i="2" s="1"/>
  <c r="G377" i="2"/>
  <c r="I379" i="2"/>
  <c r="K381" i="2"/>
  <c r="F384" i="2"/>
  <c r="G385" i="2"/>
  <c r="I387" i="2"/>
  <c r="F392" i="2"/>
  <c r="I395" i="2"/>
  <c r="F399" i="2"/>
  <c r="G407" i="2"/>
  <c r="K407" i="2"/>
  <c r="G414" i="2"/>
  <c r="F425" i="2"/>
  <c r="F437" i="2"/>
  <c r="K437" i="2" s="1"/>
  <c r="I450" i="2"/>
  <c r="G463" i="2"/>
  <c r="F463" i="2"/>
  <c r="I463" i="2" s="1"/>
  <c r="K387" i="2"/>
  <c r="K421" i="2"/>
  <c r="G432" i="2"/>
  <c r="F432" i="2"/>
  <c r="I432" i="2" s="1"/>
  <c r="I434" i="2"/>
  <c r="K447" i="2"/>
  <c r="G449" i="2"/>
  <c r="F449" i="2"/>
  <c r="I449" i="2" s="1"/>
  <c r="F459" i="2"/>
  <c r="K459" i="2" s="1"/>
  <c r="G459" i="2"/>
  <c r="G474" i="2"/>
  <c r="F474" i="2"/>
  <c r="I474" i="2" s="1"/>
  <c r="G483" i="2"/>
  <c r="F483" i="2"/>
  <c r="K483" i="2" s="1"/>
  <c r="G503" i="2"/>
  <c r="F503" i="2"/>
  <c r="J503" i="2" s="1"/>
  <c r="H503" i="2" s="1"/>
  <c r="K510" i="2"/>
  <c r="J510" i="2"/>
  <c r="H510" i="2" s="1"/>
  <c r="I510" i="2"/>
  <c r="K534" i="2"/>
  <c r="J534" i="2"/>
  <c r="H534" i="2" s="1"/>
  <c r="G545" i="2"/>
  <c r="F545" i="2"/>
  <c r="K545" i="2" s="1"/>
  <c r="I424" i="2"/>
  <c r="G470" i="2"/>
  <c r="F470" i="2"/>
  <c r="I470" i="2" s="1"/>
  <c r="F481" i="2"/>
  <c r="I481" i="2" s="1"/>
  <c r="F526" i="2"/>
  <c r="J526" i="2" s="1"/>
  <c r="H526" i="2" s="1"/>
  <c r="G526" i="2"/>
  <c r="F426" i="2"/>
  <c r="K426" i="2" s="1"/>
  <c r="G436" i="2"/>
  <c r="F436" i="2"/>
  <c r="I436" i="2" s="1"/>
  <c r="G456" i="2"/>
  <c r="I456" i="2"/>
  <c r="G468" i="2"/>
  <c r="F468" i="2"/>
  <c r="J468" i="2" s="1"/>
  <c r="H468" i="2" s="1"/>
  <c r="I405" i="2"/>
  <c r="F417" i="2"/>
  <c r="J417" i="2" s="1"/>
  <c r="F420" i="2"/>
  <c r="K420" i="2" s="1"/>
  <c r="I421" i="2"/>
  <c r="G426" i="2"/>
  <c r="F428" i="2"/>
  <c r="K428" i="2" s="1"/>
  <c r="J434" i="2"/>
  <c r="H434" i="2" s="1"/>
  <c r="I442" i="2"/>
  <c r="J447" i="2"/>
  <c r="H447" i="2" s="1"/>
  <c r="G454" i="2"/>
  <c r="F454" i="2"/>
  <c r="J454" i="2" s="1"/>
  <c r="H454" i="2" s="1"/>
  <c r="I466" i="2"/>
  <c r="I475" i="2"/>
  <c r="G433" i="2"/>
  <c r="G440" i="2"/>
  <c r="F440" i="2"/>
  <c r="I440" i="2" s="1"/>
  <c r="G452" i="2"/>
  <c r="F452" i="2"/>
  <c r="I452" i="2" s="1"/>
  <c r="F479" i="2"/>
  <c r="I479" i="2" s="1"/>
  <c r="I467" i="2"/>
  <c r="I478" i="2"/>
  <c r="K484" i="2"/>
  <c r="F486" i="2"/>
  <c r="I486" i="2" s="1"/>
  <c r="I487" i="2"/>
  <c r="F490" i="2"/>
  <c r="J490" i="2" s="1"/>
  <c r="H490" i="2" s="1"/>
  <c r="K493" i="2"/>
  <c r="I495" i="2"/>
  <c r="F508" i="2"/>
  <c r="I508" i="2" s="1"/>
  <c r="G515" i="2"/>
  <c r="K515" i="2"/>
  <c r="G544" i="2"/>
  <c r="F544" i="2"/>
  <c r="I544" i="2" s="1"/>
  <c r="J455" i="2"/>
  <c r="H455" i="2" s="1"/>
  <c r="K464" i="2"/>
  <c r="I480" i="2"/>
  <c r="J489" i="2"/>
  <c r="K506" i="2" s="1"/>
  <c r="G490" i="2"/>
  <c r="G494" i="2"/>
  <c r="F494" i="2"/>
  <c r="I494" i="2" s="1"/>
  <c r="J495" i="2"/>
  <c r="H495" i="2" s="1"/>
  <c r="F497" i="2"/>
  <c r="J497" i="2" s="1"/>
  <c r="H497" i="2" s="1"/>
  <c r="G508" i="2"/>
  <c r="J517" i="2"/>
  <c r="H517" i="2" s="1"/>
  <c r="G522" i="2"/>
  <c r="F522" i="2"/>
  <c r="I522" i="2" s="1"/>
  <c r="F524" i="2"/>
  <c r="J524" i="2" s="1"/>
  <c r="H524" i="2" s="1"/>
  <c r="G532" i="2"/>
  <c r="J532" i="2"/>
  <c r="H532" i="2" s="1"/>
  <c r="K536" i="2"/>
  <c r="I536" i="2"/>
  <c r="G536" i="2"/>
  <c r="G616" i="2"/>
  <c r="F616" i="2"/>
  <c r="K616" i="2" s="1"/>
  <c r="J501" i="2"/>
  <c r="H501" i="2" s="1"/>
  <c r="I451" i="2"/>
  <c r="I460" i="2"/>
  <c r="I469" i="2"/>
  <c r="I476" i="2"/>
  <c r="I485" i="2"/>
  <c r="F488" i="2"/>
  <c r="J488" i="2" s="1"/>
  <c r="H488" i="2" s="1"/>
  <c r="F496" i="2"/>
  <c r="K496" i="2" s="1"/>
  <c r="I500" i="2"/>
  <c r="K509" i="2"/>
  <c r="G509" i="2"/>
  <c r="F514" i="2"/>
  <c r="J514" i="2" s="1"/>
  <c r="H514" i="2" s="1"/>
  <c r="I516" i="2"/>
  <c r="K532" i="2"/>
  <c r="J536" i="2"/>
  <c r="H536" i="2" s="1"/>
  <c r="G597" i="2"/>
  <c r="F597" i="2"/>
  <c r="K597" i="2" s="1"/>
  <c r="I664" i="2"/>
  <c r="G664" i="2"/>
  <c r="K448" i="2"/>
  <c r="J451" i="2"/>
  <c r="K475" i="2" s="1"/>
  <c r="I455" i="2"/>
  <c r="J460" i="2"/>
  <c r="H460" i="2" s="1"/>
  <c r="I462" i="2"/>
  <c r="I464" i="2"/>
  <c r="J473" i="2"/>
  <c r="H473" i="2" s="1"/>
  <c r="J480" i="2"/>
  <c r="H480" i="2" s="1"/>
  <c r="K482" i="2"/>
  <c r="J485" i="2"/>
  <c r="H485" i="2" s="1"/>
  <c r="G488" i="2"/>
  <c r="I489" i="2"/>
  <c r="G496" i="2"/>
  <c r="K498" i="2"/>
  <c r="J498" i="2"/>
  <c r="G502" i="2"/>
  <c r="F502" i="2"/>
  <c r="K521" i="2"/>
  <c r="I521" i="2"/>
  <c r="J525" i="2"/>
  <c r="H525" i="2" s="1"/>
  <c r="J527" i="2"/>
  <c r="H527" i="2" s="1"/>
  <c r="I527" i="2"/>
  <c r="K537" i="2"/>
  <c r="I537" i="2"/>
  <c r="G587" i="2"/>
  <c r="F587" i="2"/>
  <c r="K587" i="2" s="1"/>
  <c r="I506" i="2"/>
  <c r="F518" i="2"/>
  <c r="I518" i="2" s="1"/>
  <c r="G543" i="2"/>
  <c r="F543" i="2"/>
  <c r="K543" i="2" s="1"/>
  <c r="K553" i="2"/>
  <c r="I553" i="2"/>
  <c r="K556" i="2"/>
  <c r="J556" i="2"/>
  <c r="H556" i="2" s="1"/>
  <c r="I565" i="2"/>
  <c r="G565" i="2"/>
  <c r="I551" i="2"/>
  <c r="F554" i="2"/>
  <c r="I554" i="2" s="1"/>
  <c r="J547" i="2"/>
  <c r="H547" i="2" s="1"/>
  <c r="F557" i="2"/>
  <c r="J557" i="2" s="1"/>
  <c r="H557" i="2" s="1"/>
  <c r="G588" i="2"/>
  <c r="K523" i="2"/>
  <c r="K529" i="2"/>
  <c r="J535" i="2"/>
  <c r="G547" i="2"/>
  <c r="F552" i="2"/>
  <c r="J552" i="2" s="1"/>
  <c r="H552" i="2" s="1"/>
  <c r="G557" i="2"/>
  <c r="G560" i="2"/>
  <c r="F560" i="2"/>
  <c r="K562" i="2"/>
  <c r="I562" i="2"/>
  <c r="F571" i="2"/>
  <c r="J571" i="2" s="1"/>
  <c r="H571" i="2" s="1"/>
  <c r="G579" i="2"/>
  <c r="F579" i="2"/>
  <c r="K579" i="2" s="1"/>
  <c r="K582" i="2"/>
  <c r="J582" i="2"/>
  <c r="H582" i="2" s="1"/>
  <c r="I582" i="2"/>
  <c r="F588" i="2"/>
  <c r="K588" i="2" s="1"/>
  <c r="F654" i="2"/>
  <c r="K654" i="2" s="1"/>
  <c r="G654" i="2"/>
  <c r="G724" i="2"/>
  <c r="F724" i="2"/>
  <c r="I724" i="2" s="1"/>
  <c r="I534" i="2"/>
  <c r="K564" i="2"/>
  <c r="J564" i="2"/>
  <c r="H564" i="2" s="1"/>
  <c r="J580" i="2"/>
  <c r="H580" i="2" s="1"/>
  <c r="I580" i="2"/>
  <c r="K598" i="2"/>
  <c r="J598" i="2"/>
  <c r="H598" i="2" s="1"/>
  <c r="I598" i="2"/>
  <c r="G569" i="2"/>
  <c r="F569" i="2"/>
  <c r="J569" i="2" s="1"/>
  <c r="H569" i="2" s="1"/>
  <c r="K572" i="2"/>
  <c r="J572" i="2"/>
  <c r="H572" i="2" s="1"/>
  <c r="I572" i="2"/>
  <c r="K656" i="2"/>
  <c r="I656" i="2"/>
  <c r="I507" i="2"/>
  <c r="I517" i="2"/>
  <c r="I525" i="2"/>
  <c r="J531" i="2"/>
  <c r="H531" i="2" s="1"/>
  <c r="G534" i="2"/>
  <c r="I535" i="2"/>
  <c r="J540" i="2"/>
  <c r="H540" i="2" s="1"/>
  <c r="F542" i="2"/>
  <c r="J542" i="2" s="1"/>
  <c r="H542" i="2" s="1"/>
  <c r="G561" i="2"/>
  <c r="F610" i="2"/>
  <c r="J610" i="2" s="1"/>
  <c r="H610" i="2" s="1"/>
  <c r="G610" i="2"/>
  <c r="J635" i="2"/>
  <c r="K639" i="2" s="1"/>
  <c r="I635" i="2"/>
  <c r="F652" i="2"/>
  <c r="J652" i="2" s="1"/>
  <c r="H652" i="2" s="1"/>
  <c r="G652" i="2"/>
  <c r="F528" i="2"/>
  <c r="K528" i="2" s="1"/>
  <c r="K531" i="2"/>
  <c r="K535" i="2"/>
  <c r="I539" i="2"/>
  <c r="K540" i="2"/>
  <c r="G542" i="2"/>
  <c r="I546" i="2"/>
  <c r="F548" i="2"/>
  <c r="J553" i="2"/>
  <c r="H553" i="2" s="1"/>
  <c r="G553" i="2"/>
  <c r="J555" i="2"/>
  <c r="I555" i="2"/>
  <c r="F561" i="2"/>
  <c r="J561" i="2" s="1"/>
  <c r="H561" i="2" s="1"/>
  <c r="F563" i="2"/>
  <c r="K563" i="2" s="1"/>
  <c r="I564" i="2"/>
  <c r="K570" i="2"/>
  <c r="J570" i="2"/>
  <c r="H570" i="2" s="1"/>
  <c r="I570" i="2"/>
  <c r="G570" i="2"/>
  <c r="F581" i="2"/>
  <c r="I581" i="2" s="1"/>
  <c r="I601" i="2"/>
  <c r="F620" i="2"/>
  <c r="J620" i="2" s="1"/>
  <c r="H620" i="2" s="1"/>
  <c r="G620" i="2"/>
  <c r="J614" i="2"/>
  <c r="H614" i="2" s="1"/>
  <c r="F644" i="2"/>
  <c r="F646" i="2"/>
  <c r="I646" i="2" s="1"/>
  <c r="K671" i="2"/>
  <c r="I671" i="2"/>
  <c r="G690" i="2"/>
  <c r="F690" i="2"/>
  <c r="I690" i="2" s="1"/>
  <c r="K702" i="2"/>
  <c r="J702" i="2"/>
  <c r="H702" i="2" s="1"/>
  <c r="I702" i="2"/>
  <c r="J773" i="2"/>
  <c r="I773" i="2"/>
  <c r="I605" i="2"/>
  <c r="K605" i="2"/>
  <c r="I623" i="2"/>
  <c r="K623" i="2"/>
  <c r="I639" i="2"/>
  <c r="G650" i="2"/>
  <c r="F650" i="2"/>
  <c r="K650" i="2" s="1"/>
  <c r="J656" i="2"/>
  <c r="H656" i="2" s="1"/>
  <c r="K661" i="2"/>
  <c r="J661" i="2"/>
  <c r="H661" i="2" s="1"/>
  <c r="I661" i="2"/>
  <c r="I667" i="2"/>
  <c r="J674" i="2"/>
  <c r="H674" i="2" s="1"/>
  <c r="F685" i="2"/>
  <c r="K685" i="2" s="1"/>
  <c r="F700" i="2"/>
  <c r="J700" i="2" s="1"/>
  <c r="H700" i="2" s="1"/>
  <c r="G705" i="2"/>
  <c r="F705" i="2"/>
  <c r="K705" i="2" s="1"/>
  <c r="K710" i="2"/>
  <c r="J710" i="2"/>
  <c r="H710" i="2" s="1"/>
  <c r="I710" i="2"/>
  <c r="F715" i="2"/>
  <c r="J715" i="2" s="1"/>
  <c r="H715" i="2" s="1"/>
  <c r="F734" i="2"/>
  <c r="J734" i="2" s="1"/>
  <c r="H734" i="2" s="1"/>
  <c r="J765" i="2"/>
  <c r="H765" i="2" s="1"/>
  <c r="K765" i="2"/>
  <c r="I765" i="2"/>
  <c r="J573" i="2"/>
  <c r="K599" i="2" s="1"/>
  <c r="I590" i="2"/>
  <c r="I600" i="2"/>
  <c r="G605" i="2"/>
  <c r="I611" i="2"/>
  <c r="G613" i="2"/>
  <c r="I614" i="2"/>
  <c r="G623" i="2"/>
  <c r="I626" i="2"/>
  <c r="F628" i="2"/>
  <c r="J628" i="2" s="1"/>
  <c r="H628" i="2" s="1"/>
  <c r="J637" i="2"/>
  <c r="H637" i="2" s="1"/>
  <c r="I637" i="2"/>
  <c r="G647" i="2"/>
  <c r="F658" i="2"/>
  <c r="J658" i="2" s="1"/>
  <c r="H658" i="2" s="1"/>
  <c r="F662" i="2"/>
  <c r="I662" i="2" s="1"/>
  <c r="G675" i="2"/>
  <c r="F675" i="2"/>
  <c r="I675" i="2" s="1"/>
  <c r="G692" i="2"/>
  <c r="F692" i="2"/>
  <c r="J692" i="2" s="1"/>
  <c r="H692" i="2" s="1"/>
  <c r="F719" i="2"/>
  <c r="J719" i="2" s="1"/>
  <c r="H719" i="2" s="1"/>
  <c r="F568" i="2"/>
  <c r="K573" i="2"/>
  <c r="F578" i="2"/>
  <c r="K583" i="2"/>
  <c r="F586" i="2"/>
  <c r="I589" i="2"/>
  <c r="J590" i="2"/>
  <c r="H590" i="2" s="1"/>
  <c r="F596" i="2"/>
  <c r="I599" i="2"/>
  <c r="J600" i="2"/>
  <c r="H600" i="2" s="1"/>
  <c r="K601" i="2"/>
  <c r="F604" i="2"/>
  <c r="K604" i="2" s="1"/>
  <c r="J611" i="2"/>
  <c r="H611" i="2" s="1"/>
  <c r="F613" i="2"/>
  <c r="K613" i="2" s="1"/>
  <c r="K614" i="2"/>
  <c r="I617" i="2"/>
  <c r="J626" i="2"/>
  <c r="G628" i="2"/>
  <c r="F630" i="2"/>
  <c r="K630" i="2" s="1"/>
  <c r="J639" i="2"/>
  <c r="H639" i="2" s="1"/>
  <c r="F647" i="2"/>
  <c r="I647" i="2" s="1"/>
  <c r="F660" i="2"/>
  <c r="J660" i="2" s="1"/>
  <c r="H660" i="2" s="1"/>
  <c r="F683" i="2"/>
  <c r="K683" i="2" s="1"/>
  <c r="K686" i="2"/>
  <c r="I686" i="2"/>
  <c r="F698" i="2"/>
  <c r="J698" i="2" s="1"/>
  <c r="H698" i="2" s="1"/>
  <c r="G707" i="2"/>
  <c r="F707" i="2"/>
  <c r="K707" i="2" s="1"/>
  <c r="G719" i="2"/>
  <c r="G568" i="2"/>
  <c r="G578" i="2"/>
  <c r="G586" i="2"/>
  <c r="J589" i="2"/>
  <c r="H589" i="2" s="1"/>
  <c r="G596" i="2"/>
  <c r="J599" i="2"/>
  <c r="G604" i="2"/>
  <c r="J605" i="2"/>
  <c r="H605" i="2" s="1"/>
  <c r="J617" i="2"/>
  <c r="H617" i="2" s="1"/>
  <c r="F622" i="2"/>
  <c r="K622" i="2" s="1"/>
  <c r="J623" i="2"/>
  <c r="H623" i="2" s="1"/>
  <c r="G630" i="2"/>
  <c r="G634" i="2"/>
  <c r="F634" i="2"/>
  <c r="K634" i="2" s="1"/>
  <c r="K637" i="2"/>
  <c r="J645" i="2"/>
  <c r="H645" i="2" s="1"/>
  <c r="I645" i="2"/>
  <c r="G655" i="2"/>
  <c r="I668" i="2"/>
  <c r="G670" i="2"/>
  <c r="F670" i="2"/>
  <c r="K670" i="2" s="1"/>
  <c r="F726" i="2"/>
  <c r="K726" i="2" s="1"/>
  <c r="F615" i="2"/>
  <c r="J615" i="2" s="1"/>
  <c r="H615" i="2" s="1"/>
  <c r="G622" i="2"/>
  <c r="F624" i="2"/>
  <c r="J624" i="2" s="1"/>
  <c r="H624" i="2" s="1"/>
  <c r="F636" i="2"/>
  <c r="I638" i="2"/>
  <c r="I643" i="2"/>
  <c r="F655" i="2"/>
  <c r="K655" i="2" s="1"/>
  <c r="K676" i="2"/>
  <c r="J676" i="2"/>
  <c r="H676" i="2" s="1"/>
  <c r="I676" i="2"/>
  <c r="G689" i="2"/>
  <c r="F689" i="2"/>
  <c r="J689" i="2" s="1"/>
  <c r="H689" i="2" s="1"/>
  <c r="F717" i="2"/>
  <c r="J717" i="2" s="1"/>
  <c r="H717" i="2" s="1"/>
  <c r="G732" i="2"/>
  <c r="F732" i="2"/>
  <c r="J732" i="2" s="1"/>
  <c r="H732" i="2" s="1"/>
  <c r="K738" i="2"/>
  <c r="J738" i="2"/>
  <c r="H738" i="2" s="1"/>
  <c r="I738" i="2"/>
  <c r="F608" i="2"/>
  <c r="G612" i="2"/>
  <c r="G618" i="2"/>
  <c r="G621" i="2"/>
  <c r="I621" i="2"/>
  <c r="G624" i="2"/>
  <c r="G629" i="2"/>
  <c r="K629" i="2"/>
  <c r="I629" i="2"/>
  <c r="G636" i="2"/>
  <c r="G642" i="2"/>
  <c r="F642" i="2"/>
  <c r="J642" i="2" s="1"/>
  <c r="H642" i="2" s="1"/>
  <c r="J643" i="2"/>
  <c r="H643" i="2" s="1"/>
  <c r="K645" i="2"/>
  <c r="J648" i="2"/>
  <c r="H648" i="2" s="1"/>
  <c r="J653" i="2"/>
  <c r="H653" i="2" s="1"/>
  <c r="I653" i="2"/>
  <c r="G666" i="2"/>
  <c r="F666" i="2"/>
  <c r="J666" i="2" s="1"/>
  <c r="H666" i="2" s="1"/>
  <c r="F681" i="2"/>
  <c r="J681" i="2" s="1"/>
  <c r="J686" i="2"/>
  <c r="H686" i="2" s="1"/>
  <c r="G709" i="2"/>
  <c r="F709" i="2"/>
  <c r="K709" i="2" s="1"/>
  <c r="K641" i="2"/>
  <c r="K649" i="2"/>
  <c r="K657" i="2"/>
  <c r="G667" i="2"/>
  <c r="K669" i="2"/>
  <c r="J673" i="2"/>
  <c r="H673" i="2" s="1"/>
  <c r="I673" i="2"/>
  <c r="I720" i="2"/>
  <c r="F743" i="2"/>
  <c r="K743" i="2" s="1"/>
  <c r="G743" i="2"/>
  <c r="I746" i="2"/>
  <c r="K746" i="2"/>
  <c r="J746" i="2"/>
  <c r="H746" i="2" s="1"/>
  <c r="K763" i="2"/>
  <c r="J763" i="2"/>
  <c r="H763" i="2" s="1"/>
  <c r="I763" i="2"/>
  <c r="K770" i="2"/>
  <c r="J770" i="2"/>
  <c r="H770" i="2" s="1"/>
  <c r="I770" i="2"/>
  <c r="F751" i="2"/>
  <c r="I751" i="2" s="1"/>
  <c r="G751" i="2"/>
  <c r="I754" i="2"/>
  <c r="K754" i="2"/>
  <c r="J754" i="2"/>
  <c r="H754" i="2" s="1"/>
  <c r="G763" i="2"/>
  <c r="J777" i="2"/>
  <c r="H777" i="2" s="1"/>
  <c r="G777" i="2"/>
  <c r="I672" i="2"/>
  <c r="I682" i="2"/>
  <c r="G682" i="2"/>
  <c r="K684" i="2"/>
  <c r="J684" i="2"/>
  <c r="H684" i="2" s="1"/>
  <c r="I684" i="2"/>
  <c r="G697" i="2"/>
  <c r="F697" i="2"/>
  <c r="K697" i="2" s="1"/>
  <c r="J699" i="2"/>
  <c r="H699" i="2" s="1"/>
  <c r="I699" i="2"/>
  <c r="K701" i="2"/>
  <c r="J701" i="2"/>
  <c r="H701" i="2" s="1"/>
  <c r="I716" i="2"/>
  <c r="G716" i="2"/>
  <c r="K718" i="2"/>
  <c r="J718" i="2"/>
  <c r="H718" i="2" s="1"/>
  <c r="I718" i="2"/>
  <c r="G731" i="2"/>
  <c r="F731" i="2"/>
  <c r="I731" i="2" s="1"/>
  <c r="F744" i="2"/>
  <c r="I744" i="2" s="1"/>
  <c r="J747" i="2"/>
  <c r="H747" i="2" s="1"/>
  <c r="K747" i="2"/>
  <c r="F771" i="2"/>
  <c r="K771" i="2" s="1"/>
  <c r="J665" i="2"/>
  <c r="H665" i="2" s="1"/>
  <c r="I665" i="2"/>
  <c r="F733" i="2"/>
  <c r="J733" i="2" s="1"/>
  <c r="H733" i="2" s="1"/>
  <c r="F735" i="2"/>
  <c r="I735" i="2" s="1"/>
  <c r="K745" i="2"/>
  <c r="J745" i="2"/>
  <c r="H745" i="2" s="1"/>
  <c r="I745" i="2"/>
  <c r="G752" i="2"/>
  <c r="K752" i="2"/>
  <c r="J752" i="2"/>
  <c r="H752" i="2" s="1"/>
  <c r="I752" i="2"/>
  <c r="F761" i="2"/>
  <c r="K761" i="2" s="1"/>
  <c r="I764" i="2"/>
  <c r="K764" i="2"/>
  <c r="J764" i="2"/>
  <c r="H764" i="2" s="1"/>
  <c r="G771" i="2"/>
  <c r="G706" i="2"/>
  <c r="G723" i="2"/>
  <c r="F723" i="2"/>
  <c r="J723" i="2" s="1"/>
  <c r="H723" i="2" s="1"/>
  <c r="G733" i="2"/>
  <c r="G735" i="2"/>
  <c r="J755" i="2"/>
  <c r="H755" i="2" s="1"/>
  <c r="K755" i="2"/>
  <c r="I781" i="2"/>
  <c r="K663" i="2"/>
  <c r="K667" i="2"/>
  <c r="J672" i="2"/>
  <c r="H672" i="2" s="1"/>
  <c r="K682" i="2"/>
  <c r="F691" i="2"/>
  <c r="J691" i="2" s="1"/>
  <c r="H691" i="2" s="1"/>
  <c r="F693" i="2"/>
  <c r="I693" i="2" s="1"/>
  <c r="I694" i="2"/>
  <c r="K699" i="2"/>
  <c r="F706" i="2"/>
  <c r="J706" i="2" s="1"/>
  <c r="H706" i="2" s="1"/>
  <c r="F708" i="2"/>
  <c r="K716" i="2"/>
  <c r="F725" i="2"/>
  <c r="K725" i="2" s="1"/>
  <c r="F727" i="2"/>
  <c r="I727" i="2" s="1"/>
  <c r="I728" i="2"/>
  <c r="G745" i="2"/>
  <c r="I747" i="2"/>
  <c r="K753" i="2"/>
  <c r="J753" i="2"/>
  <c r="H753" i="2" s="1"/>
  <c r="I753" i="2"/>
  <c r="G762" i="2"/>
  <c r="K762" i="2"/>
  <c r="J762" i="2"/>
  <c r="H762" i="2" s="1"/>
  <c r="I762" i="2"/>
  <c r="F769" i="2"/>
  <c r="K769" i="2" s="1"/>
  <c r="G769" i="2"/>
  <c r="I772" i="2"/>
  <c r="J772" i="2"/>
  <c r="H772" i="2" s="1"/>
  <c r="F742" i="2"/>
  <c r="I742" i="2" s="1"/>
  <c r="F750" i="2"/>
  <c r="I750" i="2" s="1"/>
  <c r="F768" i="2"/>
  <c r="F776" i="2"/>
  <c r="I779" i="2"/>
  <c r="J780" i="2"/>
  <c r="H780" i="2" s="1"/>
  <c r="K781" i="2"/>
  <c r="F741" i="2"/>
  <c r="F749" i="2"/>
  <c r="G750" i="2"/>
  <c r="F757" i="2"/>
  <c r="G760" i="2"/>
  <c r="F767" i="2"/>
  <c r="G768" i="2"/>
  <c r="G776" i="2"/>
  <c r="I778" i="2"/>
  <c r="J779" i="2"/>
  <c r="H779" i="2" s="1"/>
  <c r="F680" i="2"/>
  <c r="F688" i="2"/>
  <c r="F696" i="2"/>
  <c r="F704" i="2"/>
  <c r="F714" i="2"/>
  <c r="F722" i="2"/>
  <c r="F730" i="2"/>
  <c r="F740" i="2"/>
  <c r="F748" i="2"/>
  <c r="F756" i="2"/>
  <c r="F766" i="2"/>
  <c r="F774" i="2"/>
  <c r="J778" i="2"/>
  <c r="H778" i="2" s="1"/>
  <c r="K779" i="2"/>
  <c r="F782" i="2"/>
  <c r="I782" i="2" s="1"/>
  <c r="K778" i="2"/>
  <c r="G782" i="2"/>
  <c r="H640" i="2" l="1"/>
  <c r="K651" i="2"/>
  <c r="J6" i="2"/>
  <c r="H703" i="2"/>
  <c r="K703" i="2"/>
  <c r="H555" i="2"/>
  <c r="H535" i="2"/>
  <c r="H498" i="2"/>
  <c r="H466" i="2"/>
  <c r="H430" i="2"/>
  <c r="H353" i="2"/>
  <c r="H334" i="2"/>
  <c r="H241" i="2"/>
  <c r="H234" i="2"/>
  <c r="H236" i="2"/>
  <c r="H94" i="2"/>
  <c r="K580" i="2"/>
  <c r="H773" i="2"/>
  <c r="K708" i="2"/>
  <c r="H694" i="2"/>
  <c r="K694" i="2"/>
  <c r="H669" i="2"/>
  <c r="K668" i="2"/>
  <c r="H651" i="2"/>
  <c r="H626" i="2"/>
  <c r="H599" i="2"/>
  <c r="H595" i="2"/>
  <c r="H573" i="2"/>
  <c r="K541" i="2"/>
  <c r="H489" i="2"/>
  <c r="H451" i="2"/>
  <c r="K427" i="2"/>
  <c r="H427" i="2"/>
  <c r="K402" i="2"/>
  <c r="H405" i="2"/>
  <c r="H409" i="2"/>
  <c r="K340" i="2"/>
  <c r="H292" i="2"/>
  <c r="K226" i="2"/>
  <c r="K213" i="2"/>
  <c r="H208" i="2"/>
  <c r="H154" i="2"/>
  <c r="K125" i="2"/>
  <c r="H39" i="2"/>
  <c r="J269" i="2"/>
  <c r="H269" i="2" s="1"/>
  <c r="I228" i="2"/>
  <c r="J137" i="2"/>
  <c r="K167" i="2" s="1"/>
  <c r="I37" i="2"/>
  <c r="K362" i="2"/>
  <c r="J80" i="2"/>
  <c r="K163" i="2" s="1"/>
  <c r="J31" i="2"/>
  <c r="H31" i="2" s="1"/>
  <c r="J127" i="2"/>
  <c r="H127" i="2" s="1"/>
  <c r="K80" i="2"/>
  <c r="K733" i="2"/>
  <c r="J616" i="2"/>
  <c r="H616" i="2" s="1"/>
  <c r="K359" i="2"/>
  <c r="J299" i="2"/>
  <c r="H299" i="2" s="1"/>
  <c r="K325" i="2"/>
  <c r="J325" i="2"/>
  <c r="H325" i="2" s="1"/>
  <c r="K60" i="2"/>
  <c r="J37" i="2"/>
  <c r="H37" i="2" s="1"/>
  <c r="J60" i="2"/>
  <c r="H60" i="2" s="1"/>
  <c r="J359" i="2"/>
  <c r="J47" i="2"/>
  <c r="H47" i="2" s="1"/>
  <c r="I47" i="2"/>
  <c r="I151" i="2"/>
  <c r="J518" i="2"/>
  <c r="K551" i="2" s="1"/>
  <c r="K249" i="2"/>
  <c r="K497" i="2"/>
  <c r="I205" i="2"/>
  <c r="I670" i="2"/>
  <c r="J494" i="2"/>
  <c r="H494" i="2" s="1"/>
  <c r="I195" i="2"/>
  <c r="J483" i="2"/>
  <c r="H483" i="2" s="1"/>
  <c r="K158" i="2"/>
  <c r="J108" i="2"/>
  <c r="K137" i="2" s="1"/>
  <c r="I610" i="2"/>
  <c r="I616" i="2"/>
  <c r="K176" i="2"/>
  <c r="I95" i="2"/>
  <c r="K111" i="2"/>
  <c r="K74" i="2"/>
  <c r="I31" i="2"/>
  <c r="I563" i="2"/>
  <c r="I293" i="2"/>
  <c r="K282" i="2"/>
  <c r="K122" i="2"/>
  <c r="K150" i="2"/>
  <c r="J87" i="2"/>
  <c r="H87" i="2" s="1"/>
  <c r="K69" i="2"/>
  <c r="H13" i="2"/>
  <c r="J693" i="2"/>
  <c r="H693" i="2" s="1"/>
  <c r="J751" i="2"/>
  <c r="H751" i="2" s="1"/>
  <c r="K700" i="2"/>
  <c r="J110" i="2"/>
  <c r="H110" i="2" s="1"/>
  <c r="K103" i="2"/>
  <c r="J351" i="2"/>
  <c r="H351" i="2" s="1"/>
  <c r="I266" i="2"/>
  <c r="K96" i="2"/>
  <c r="J96" i="2"/>
  <c r="H96" i="2" s="1"/>
  <c r="J74" i="2"/>
  <c r="H74" i="2" s="1"/>
  <c r="K526" i="2"/>
  <c r="I119" i="2"/>
  <c r="I652" i="2"/>
  <c r="J367" i="2"/>
  <c r="H367" i="2" s="1"/>
  <c r="J161" i="2"/>
  <c r="K319" i="2" s="1"/>
  <c r="I127" i="2"/>
  <c r="J650" i="2"/>
  <c r="H650" i="2" s="1"/>
  <c r="J587" i="2"/>
  <c r="H587" i="2" s="1"/>
  <c r="I468" i="2"/>
  <c r="I483" i="2"/>
  <c r="I412" i="2"/>
  <c r="K377" i="2"/>
  <c r="K367" i="2"/>
  <c r="I262" i="2"/>
  <c r="J132" i="2"/>
  <c r="H132" i="2" s="1"/>
  <c r="I59" i="2"/>
  <c r="I110" i="2"/>
  <c r="J140" i="2"/>
  <c r="H140" i="2" s="1"/>
  <c r="J90" i="2"/>
  <c r="H90" i="2" s="1"/>
  <c r="I26" i="2"/>
  <c r="J543" i="2"/>
  <c r="H543" i="2" s="1"/>
  <c r="J222" i="2"/>
  <c r="H222" i="2" s="1"/>
  <c r="I16" i="2"/>
  <c r="I403" i="2"/>
  <c r="I171" i="2"/>
  <c r="J744" i="2"/>
  <c r="I588" i="2"/>
  <c r="K433" i="2"/>
  <c r="I377" i="2"/>
  <c r="J92" i="2"/>
  <c r="K94" i="2" s="1"/>
  <c r="J731" i="2"/>
  <c r="H731" i="2" s="1"/>
  <c r="K744" i="2"/>
  <c r="K719" i="2"/>
  <c r="K610" i="2"/>
  <c r="J724" i="2"/>
  <c r="H724" i="2" s="1"/>
  <c r="K518" i="2"/>
  <c r="J410" i="2"/>
  <c r="H410" i="2" s="1"/>
  <c r="J396" i="2"/>
  <c r="H396" i="2" s="1"/>
  <c r="I210" i="2"/>
  <c r="K140" i="2"/>
  <c r="K90" i="2"/>
  <c r="K95" i="2"/>
  <c r="J77" i="2"/>
  <c r="H77" i="2" s="1"/>
  <c r="I87" i="2"/>
  <c r="J725" i="2"/>
  <c r="H725" i="2" s="1"/>
  <c r="I604" i="2"/>
  <c r="I630" i="2"/>
  <c r="K724" i="2"/>
  <c r="K424" i="2"/>
  <c r="J424" i="2"/>
  <c r="J119" i="2"/>
  <c r="H119" i="2" s="1"/>
  <c r="K731" i="2"/>
  <c r="K681" i="2"/>
  <c r="K552" i="2"/>
  <c r="J496" i="2"/>
  <c r="H496" i="2" s="1"/>
  <c r="K508" i="2"/>
  <c r="J449" i="2"/>
  <c r="H449" i="2" s="1"/>
  <c r="K393" i="2"/>
  <c r="I461" i="2"/>
  <c r="I380" i="2"/>
  <c r="K198" i="2"/>
  <c r="J150" i="2"/>
  <c r="K258" i="2" s="1"/>
  <c r="J122" i="2"/>
  <c r="H122" i="2" s="1"/>
  <c r="J142" i="2"/>
  <c r="K593" i="2" s="1"/>
  <c r="K124" i="2"/>
  <c r="K77" i="2"/>
  <c r="J266" i="2"/>
  <c r="H266" i="2" s="1"/>
  <c r="I569" i="2"/>
  <c r="J597" i="2"/>
  <c r="H597" i="2" s="1"/>
  <c r="I428" i="2"/>
  <c r="K135" i="2"/>
  <c r="I69" i="2"/>
  <c r="I622" i="2"/>
  <c r="I650" i="2"/>
  <c r="K468" i="2"/>
  <c r="I417" i="2"/>
  <c r="K390" i="2"/>
  <c r="K43" i="2"/>
  <c r="J43" i="2"/>
  <c r="H43" i="2" s="1"/>
  <c r="J153" i="2"/>
  <c r="H153" i="2" s="1"/>
  <c r="I235" i="2"/>
  <c r="I249" i="2"/>
  <c r="J16" i="2"/>
  <c r="H16" i="2" s="1"/>
  <c r="I698" i="2"/>
  <c r="K734" i="2"/>
  <c r="K410" i="2"/>
  <c r="K353" i="2"/>
  <c r="I222" i="2"/>
  <c r="K59" i="2"/>
  <c r="I6" i="2"/>
  <c r="J135" i="2"/>
  <c r="H135" i="2" s="1"/>
  <c r="K569" i="2"/>
  <c r="K463" i="2"/>
  <c r="K361" i="2"/>
  <c r="I335" i="2"/>
  <c r="I125" i="2"/>
  <c r="J103" i="2"/>
  <c r="K154" i="2" s="1"/>
  <c r="J26" i="2"/>
  <c r="K76" i="2" s="1"/>
  <c r="K693" i="2"/>
  <c r="J670" i="2"/>
  <c r="H670" i="2" s="1"/>
  <c r="J630" i="2"/>
  <c r="H630" i="2" s="1"/>
  <c r="J604" i="2"/>
  <c r="H604" i="2" s="1"/>
  <c r="I734" i="2"/>
  <c r="I705" i="2"/>
  <c r="I685" i="2"/>
  <c r="I587" i="2"/>
  <c r="I597" i="2"/>
  <c r="K411" i="2"/>
  <c r="K338" i="2"/>
  <c r="I382" i="2"/>
  <c r="K346" i="2"/>
  <c r="I353" i="2"/>
  <c r="I406" i="2"/>
  <c r="K364" i="2"/>
  <c r="J213" i="2"/>
  <c r="K228" i="2" s="1"/>
  <c r="I213" i="2"/>
  <c r="I187" i="2"/>
  <c r="J479" i="2"/>
  <c r="K514" i="2" s="1"/>
  <c r="J270" i="2"/>
  <c r="H270" i="2" s="1"/>
  <c r="K205" i="2"/>
  <c r="K113" i="2"/>
  <c r="J151" i="2"/>
  <c r="H151" i="2" s="1"/>
  <c r="K211" i="2"/>
  <c r="I499" i="2"/>
  <c r="J709" i="2"/>
  <c r="H709" i="2" s="1"/>
  <c r="K692" i="2"/>
  <c r="J428" i="2"/>
  <c r="H428" i="2" s="1"/>
  <c r="J499" i="2"/>
  <c r="H499" i="2" s="1"/>
  <c r="I76" i="2"/>
  <c r="J111" i="2"/>
  <c r="H111" i="2" s="1"/>
  <c r="I50" i="2"/>
  <c r="I733" i="2"/>
  <c r="I709" i="2"/>
  <c r="I692" i="2"/>
  <c r="J685" i="2"/>
  <c r="H685" i="2" s="1"/>
  <c r="I13" i="2"/>
  <c r="I346" i="2"/>
  <c r="K23" i="2"/>
  <c r="I683" i="2"/>
  <c r="J690" i="2"/>
  <c r="H690" i="2" s="1"/>
  <c r="I571" i="2"/>
  <c r="K490" i="2"/>
  <c r="I497" i="2"/>
  <c r="J374" i="2"/>
  <c r="K417" i="2" s="1"/>
  <c r="K327" i="2"/>
  <c r="J429" i="2"/>
  <c r="H429" i="2" s="1"/>
  <c r="I344" i="2"/>
  <c r="K270" i="2"/>
  <c r="I124" i="2"/>
  <c r="K13" i="2"/>
  <c r="J184" i="2"/>
  <c r="K50" i="2"/>
  <c r="K666" i="2"/>
  <c r="K436" i="2"/>
  <c r="J278" i="2"/>
  <c r="H278" i="2" s="1"/>
  <c r="I429" i="2"/>
  <c r="I179" i="2"/>
  <c r="J769" i="2"/>
  <c r="H769" i="2" s="1"/>
  <c r="I723" i="2"/>
  <c r="I708" i="2"/>
  <c r="I777" i="2"/>
  <c r="J634" i="2"/>
  <c r="H634" i="2" s="1"/>
  <c r="J683" i="2"/>
  <c r="H683" i="2" s="1"/>
  <c r="K647" i="2"/>
  <c r="I700" i="2"/>
  <c r="K690" i="2"/>
  <c r="K571" i="2"/>
  <c r="I543" i="2"/>
  <c r="I372" i="2"/>
  <c r="I282" i="2"/>
  <c r="K202" i="2"/>
  <c r="I92" i="2"/>
  <c r="J23" i="2"/>
  <c r="H23" i="2" s="1"/>
  <c r="J44" i="2"/>
  <c r="H44" i="2" s="1"/>
  <c r="I44" i="2"/>
  <c r="K235" i="2"/>
  <c r="K184" i="2"/>
  <c r="J708" i="2"/>
  <c r="K777" i="2"/>
  <c r="K662" i="2"/>
  <c r="J675" i="2"/>
  <c r="H675" i="2" s="1"/>
  <c r="K620" i="2"/>
  <c r="K652" i="2"/>
  <c r="J565" i="2"/>
  <c r="H565" i="2" s="1"/>
  <c r="J426" i="2"/>
  <c r="H426" i="2" s="1"/>
  <c r="K470" i="2"/>
  <c r="J398" i="2"/>
  <c r="I278" i="2"/>
  <c r="I402" i="2"/>
  <c r="J372" i="2"/>
  <c r="H372" i="2" s="1"/>
  <c r="J319" i="2"/>
  <c r="K409" i="2" s="1"/>
  <c r="I327" i="2"/>
  <c r="I269" i="2"/>
  <c r="I388" i="2"/>
  <c r="J293" i="2"/>
  <c r="H293" i="2" s="1"/>
  <c r="I113" i="2"/>
  <c r="I79" i="2"/>
  <c r="J735" i="2"/>
  <c r="H735" i="2" s="1"/>
  <c r="J662" i="2"/>
  <c r="K723" i="2"/>
  <c r="I547" i="2"/>
  <c r="I654" i="2"/>
  <c r="K547" i="2"/>
  <c r="J522" i="2"/>
  <c r="H522" i="2" s="1"/>
  <c r="I426" i="2"/>
  <c r="K344" i="2"/>
  <c r="K382" i="2"/>
  <c r="I319" i="2"/>
  <c r="J388" i="2"/>
  <c r="H388" i="2" s="1"/>
  <c r="J76" i="2"/>
  <c r="K79" i="2"/>
  <c r="I253" i="2"/>
  <c r="J321" i="2"/>
  <c r="H321" i="2" s="1"/>
  <c r="K182" i="2"/>
  <c r="J182" i="2"/>
  <c r="H182" i="2" s="1"/>
  <c r="I109" i="2"/>
  <c r="K109" i="2"/>
  <c r="K75" i="2"/>
  <c r="I75" i="2"/>
  <c r="K195" i="2"/>
  <c r="I740" i="2"/>
  <c r="K740" i="2"/>
  <c r="J740" i="2"/>
  <c r="K768" i="2"/>
  <c r="J768" i="2"/>
  <c r="H768" i="2" s="1"/>
  <c r="I769" i="2"/>
  <c r="I725" i="2"/>
  <c r="I706" i="2"/>
  <c r="K735" i="2"/>
  <c r="I681" i="2"/>
  <c r="K660" i="2"/>
  <c r="K608" i="2"/>
  <c r="I608" i="2"/>
  <c r="I732" i="2"/>
  <c r="J647" i="2"/>
  <c r="H647" i="2" s="1"/>
  <c r="K628" i="2"/>
  <c r="K578" i="2"/>
  <c r="J578" i="2"/>
  <c r="H578" i="2" s="1"/>
  <c r="K675" i="2"/>
  <c r="I674" i="2"/>
  <c r="K706" i="2"/>
  <c r="I578" i="2"/>
  <c r="I557" i="2"/>
  <c r="J560" i="2"/>
  <c r="H560" i="2" s="1"/>
  <c r="K560" i="2"/>
  <c r="J554" i="2"/>
  <c r="H554" i="2" s="1"/>
  <c r="K565" i="2"/>
  <c r="J655" i="2"/>
  <c r="H655" i="2" s="1"/>
  <c r="I524" i="2"/>
  <c r="K452" i="2"/>
  <c r="J470" i="2"/>
  <c r="H470" i="2" s="1"/>
  <c r="I503" i="2"/>
  <c r="J474" i="2"/>
  <c r="H474" i="2" s="1"/>
  <c r="K449" i="2"/>
  <c r="I477" i="2"/>
  <c r="J306" i="2"/>
  <c r="H306" i="2" s="1"/>
  <c r="I306" i="2"/>
  <c r="K477" i="2"/>
  <c r="K356" i="2"/>
  <c r="J341" i="2"/>
  <c r="H341" i="2" s="1"/>
  <c r="I341" i="2"/>
  <c r="K341" i="2"/>
  <c r="I274" i="2"/>
  <c r="J274" i="2"/>
  <c r="H274" i="2" s="1"/>
  <c r="I299" i="2"/>
  <c r="K321" i="2"/>
  <c r="J461" i="2"/>
  <c r="K466" i="2" s="1"/>
  <c r="J380" i="2"/>
  <c r="K633" i="2" s="1"/>
  <c r="J406" i="2"/>
  <c r="H406" i="2" s="1"/>
  <c r="I441" i="2"/>
  <c r="I261" i="2"/>
  <c r="I433" i="2"/>
  <c r="I198" i="2"/>
  <c r="K148" i="2"/>
  <c r="K36" i="2"/>
  <c r="J5" i="2"/>
  <c r="H5" i="2" s="1"/>
  <c r="I286" i="2"/>
  <c r="K203" i="2"/>
  <c r="I174" i="2"/>
  <c r="K171" i="2"/>
  <c r="I168" i="2"/>
  <c r="K351" i="2"/>
  <c r="K174" i="2"/>
  <c r="K680" i="2"/>
  <c r="I680" i="2"/>
  <c r="J680" i="2"/>
  <c r="I316" i="2"/>
  <c r="J316" i="2"/>
  <c r="H316" i="2" s="1"/>
  <c r="I496" i="2"/>
  <c r="I298" i="2"/>
  <c r="J298" i="2"/>
  <c r="H298" i="2" s="1"/>
  <c r="I420" i="2"/>
  <c r="I192" i="2"/>
  <c r="K722" i="2"/>
  <c r="J722" i="2"/>
  <c r="H722" i="2" s="1"/>
  <c r="I722" i="2"/>
  <c r="J750" i="2"/>
  <c r="H750" i="2" s="1"/>
  <c r="K750" i="2"/>
  <c r="I768" i="2"/>
  <c r="J638" i="2"/>
  <c r="J726" i="2"/>
  <c r="I707" i="2"/>
  <c r="I660" i="2"/>
  <c r="J596" i="2"/>
  <c r="H596" i="2" s="1"/>
  <c r="K596" i="2"/>
  <c r="K568" i="2"/>
  <c r="J568" i="2"/>
  <c r="H568" i="2" s="1"/>
  <c r="I715" i="2"/>
  <c r="J705" i="2"/>
  <c r="H705" i="2" s="1"/>
  <c r="K691" i="2"/>
  <c r="K674" i="2"/>
  <c r="J646" i="2"/>
  <c r="H646" i="2" s="1"/>
  <c r="I620" i="2"/>
  <c r="J581" i="2"/>
  <c r="H581" i="2" s="1"/>
  <c r="J654" i="2"/>
  <c r="H654" i="2" s="1"/>
  <c r="I560" i="2"/>
  <c r="I596" i="2"/>
  <c r="I568" i="2"/>
  <c r="K554" i="2"/>
  <c r="J664" i="2"/>
  <c r="H664" i="2" s="1"/>
  <c r="K542" i="2"/>
  <c r="K486" i="2"/>
  <c r="I490" i="2"/>
  <c r="K544" i="2"/>
  <c r="J440" i="2"/>
  <c r="H440" i="2" s="1"/>
  <c r="K432" i="2"/>
  <c r="J420" i="2"/>
  <c r="H420" i="2" s="1"/>
  <c r="J456" i="2"/>
  <c r="H456" i="2" s="1"/>
  <c r="K503" i="2"/>
  <c r="J384" i="2"/>
  <c r="H384" i="2" s="1"/>
  <c r="I384" i="2"/>
  <c r="J358" i="2"/>
  <c r="H358" i="2" s="1"/>
  <c r="I358" i="2"/>
  <c r="K446" i="2"/>
  <c r="J403" i="2"/>
  <c r="H403" i="2" s="1"/>
  <c r="I356" i="2"/>
  <c r="I418" i="2"/>
  <c r="K322" i="2"/>
  <c r="K441" i="2"/>
  <c r="I233" i="2"/>
  <c r="J304" i="2"/>
  <c r="I176" i="2"/>
  <c r="I121" i="2"/>
  <c r="J121" i="2"/>
  <c r="H121" i="2" s="1"/>
  <c r="J27" i="2"/>
  <c r="H27" i="2" s="1"/>
  <c r="I27" i="2"/>
  <c r="J233" i="2"/>
  <c r="H233" i="2" s="1"/>
  <c r="I145" i="2"/>
  <c r="I129" i="2"/>
  <c r="J129" i="2"/>
  <c r="H129" i="2" s="1"/>
  <c r="K101" i="2"/>
  <c r="J101" i="2"/>
  <c r="H101" i="2" s="1"/>
  <c r="K33" i="2"/>
  <c r="J33" i="2"/>
  <c r="H33" i="2" s="1"/>
  <c r="J286" i="2"/>
  <c r="H286" i="2" s="1"/>
  <c r="K169" i="2"/>
  <c r="J164" i="2"/>
  <c r="H164" i="2" s="1"/>
  <c r="J36" i="2"/>
  <c r="H36" i="2" s="1"/>
  <c r="K776" i="2"/>
  <c r="J776" i="2"/>
  <c r="H776" i="2" s="1"/>
  <c r="J425" i="2"/>
  <c r="H425" i="2" s="1"/>
  <c r="I425" i="2"/>
  <c r="K425" i="2"/>
  <c r="K730" i="2"/>
  <c r="I730" i="2"/>
  <c r="J730" i="2"/>
  <c r="H730" i="2" s="1"/>
  <c r="K760" i="2"/>
  <c r="J760" i="2"/>
  <c r="H760" i="2" s="1"/>
  <c r="I624" i="2"/>
  <c r="K624" i="2"/>
  <c r="I726" i="2"/>
  <c r="J622" i="2"/>
  <c r="H622" i="2" s="1"/>
  <c r="J544" i="2"/>
  <c r="H544" i="2" s="1"/>
  <c r="I217" i="2"/>
  <c r="K3" i="2"/>
  <c r="J3" i="2"/>
  <c r="K26" i="2" s="1"/>
  <c r="J109" i="2"/>
  <c r="K209" i="2" s="1"/>
  <c r="I15" i="2"/>
  <c r="J15" i="2"/>
  <c r="H15" i="2" s="1"/>
  <c r="K5" i="2"/>
  <c r="I761" i="2"/>
  <c r="K717" i="2"/>
  <c r="K714" i="2"/>
  <c r="J714" i="2"/>
  <c r="H714" i="2" s="1"/>
  <c r="I714" i="2"/>
  <c r="J775" i="2"/>
  <c r="H775" i="2" s="1"/>
  <c r="I775" i="2"/>
  <c r="K775" i="2"/>
  <c r="K741" i="2"/>
  <c r="J741" i="2"/>
  <c r="H741" i="2" s="1"/>
  <c r="I741" i="2"/>
  <c r="J742" i="2"/>
  <c r="K742" i="2"/>
  <c r="I691" i="2"/>
  <c r="J761" i="2"/>
  <c r="K773" i="2" s="1"/>
  <c r="K751" i="2"/>
  <c r="I771" i="2"/>
  <c r="I634" i="2"/>
  <c r="I717" i="2"/>
  <c r="K638" i="2"/>
  <c r="I658" i="2"/>
  <c r="K615" i="2"/>
  <c r="J707" i="2"/>
  <c r="H707" i="2" s="1"/>
  <c r="I613" i="2"/>
  <c r="K646" i="2"/>
  <c r="I528" i="2"/>
  <c r="J528" i="2"/>
  <c r="H528" i="2" s="1"/>
  <c r="K581" i="2"/>
  <c r="I542" i="2"/>
  <c r="I579" i="2"/>
  <c r="K557" i="2"/>
  <c r="K494" i="2"/>
  <c r="K664" i="2"/>
  <c r="I488" i="2"/>
  <c r="K479" i="2"/>
  <c r="K440" i="2"/>
  <c r="K454" i="2"/>
  <c r="K456" i="2"/>
  <c r="K481" i="2"/>
  <c r="K474" i="2"/>
  <c r="J350" i="2"/>
  <c r="H350" i="2" s="1"/>
  <c r="I350" i="2"/>
  <c r="I519" i="2"/>
  <c r="I414" i="2"/>
  <c r="K414" i="2"/>
  <c r="J412" i="2"/>
  <c r="H412" i="2" s="1"/>
  <c r="I390" i="2"/>
  <c r="I354" i="2"/>
  <c r="I338" i="2"/>
  <c r="I290" i="2"/>
  <c r="J290" i="2"/>
  <c r="H290" i="2" s="1"/>
  <c r="K316" i="2"/>
  <c r="K384" i="2"/>
  <c r="K320" i="2"/>
  <c r="J418" i="2"/>
  <c r="H418" i="2" s="1"/>
  <c r="I364" i="2"/>
  <c r="I322" i="2"/>
  <c r="K302" i="2"/>
  <c r="J272" i="2"/>
  <c r="H272" i="2" s="1"/>
  <c r="I139" i="2"/>
  <c r="I91" i="2"/>
  <c r="K91" i="2"/>
  <c r="K145" i="2"/>
  <c r="K116" i="2"/>
  <c r="J116" i="2"/>
  <c r="K380" i="2" s="1"/>
  <c r="K85" i="2"/>
  <c r="J85" i="2"/>
  <c r="H85" i="2" s="1"/>
  <c r="I12" i="2"/>
  <c r="I33" i="2"/>
  <c r="I203" i="2"/>
  <c r="I237" i="2"/>
  <c r="I545" i="2"/>
  <c r="J366" i="2"/>
  <c r="H366" i="2" s="1"/>
  <c r="I366" i="2"/>
  <c r="J771" i="2"/>
  <c r="H771" i="2" s="1"/>
  <c r="J548" i="2"/>
  <c r="H548" i="2" s="1"/>
  <c r="I548" i="2"/>
  <c r="K548" i="2"/>
  <c r="I666" i="2"/>
  <c r="J579" i="2"/>
  <c r="H579" i="2" s="1"/>
  <c r="J486" i="2"/>
  <c r="H486" i="2" s="1"/>
  <c r="I526" i="2"/>
  <c r="J481" i="2"/>
  <c r="I393" i="2"/>
  <c r="J463" i="2"/>
  <c r="H463" i="2" s="1"/>
  <c r="J399" i="2"/>
  <c r="H399" i="2" s="1"/>
  <c r="I399" i="2"/>
  <c r="J340" i="2"/>
  <c r="K374" i="2" s="1"/>
  <c r="I340" i="2"/>
  <c r="J519" i="2"/>
  <c r="J465" i="2"/>
  <c r="H465" i="2" s="1"/>
  <c r="J361" i="2"/>
  <c r="I277" i="2"/>
  <c r="J402" i="2"/>
  <c r="K715" i="2" s="1"/>
  <c r="J354" i="2"/>
  <c r="H354" i="2" s="1"/>
  <c r="I336" i="2"/>
  <c r="K290" i="2"/>
  <c r="I258" i="2"/>
  <c r="J258" i="2"/>
  <c r="J452" i="2"/>
  <c r="H452" i="2" s="1"/>
  <c r="J317" i="2"/>
  <c r="H317" i="2" s="1"/>
  <c r="I317" i="2"/>
  <c r="I362" i="2"/>
  <c r="I320" i="2"/>
  <c r="I307" i="2"/>
  <c r="K277" i="2"/>
  <c r="I302" i="2"/>
  <c r="I337" i="2"/>
  <c r="I272" i="2"/>
  <c r="J217" i="2"/>
  <c r="H217" i="2" s="1"/>
  <c r="J288" i="2"/>
  <c r="K210" i="2"/>
  <c r="I182" i="2"/>
  <c r="K21" i="2"/>
  <c r="J21" i="2"/>
  <c r="H21" i="2" s="1"/>
  <c r="I21" i="2"/>
  <c r="J12" i="2"/>
  <c r="H12" i="2" s="1"/>
  <c r="I116" i="2"/>
  <c r="K98" i="2"/>
  <c r="J98" i="2"/>
  <c r="H98" i="2" s="1"/>
  <c r="J67" i="2"/>
  <c r="H67" i="2" s="1"/>
  <c r="K67" i="2"/>
  <c r="K53" i="2"/>
  <c r="J53" i="2"/>
  <c r="K595" i="2" s="1"/>
  <c r="K9" i="2"/>
  <c r="J9" i="2"/>
  <c r="K147" i="2" s="1"/>
  <c r="K132" i="2"/>
  <c r="I169" i="2"/>
  <c r="I153" i="2"/>
  <c r="J237" i="2"/>
  <c r="H237" i="2" s="1"/>
  <c r="I161" i="2"/>
  <c r="I211" i="2"/>
  <c r="K561" i="2"/>
  <c r="I561" i="2"/>
  <c r="J392" i="2"/>
  <c r="H392" i="2" s="1"/>
  <c r="I392" i="2"/>
  <c r="K749" i="2"/>
  <c r="J749" i="2"/>
  <c r="H749" i="2" s="1"/>
  <c r="I749" i="2"/>
  <c r="K251" i="2"/>
  <c r="J251" i="2"/>
  <c r="I704" i="2"/>
  <c r="K704" i="2"/>
  <c r="J704" i="2"/>
  <c r="H704" i="2" s="1"/>
  <c r="K782" i="2"/>
  <c r="K766" i="2"/>
  <c r="J766" i="2"/>
  <c r="H766" i="2" s="1"/>
  <c r="I766" i="2"/>
  <c r="K767" i="2"/>
  <c r="I767" i="2"/>
  <c r="J767" i="2"/>
  <c r="H767" i="2" s="1"/>
  <c r="I743" i="2"/>
  <c r="I776" i="2"/>
  <c r="K698" i="2"/>
  <c r="I552" i="2"/>
  <c r="J588" i="2"/>
  <c r="H588" i="2" s="1"/>
  <c r="K524" i="2"/>
  <c r="J545" i="2"/>
  <c r="H545" i="2" s="1"/>
  <c r="J332" i="2"/>
  <c r="I332" i="2"/>
  <c r="K465" i="2"/>
  <c r="K385" i="2"/>
  <c r="J336" i="2"/>
  <c r="H336" i="2" s="1"/>
  <c r="J285" i="2"/>
  <c r="H285" i="2" s="1"/>
  <c r="I343" i="2"/>
  <c r="K488" i="2"/>
  <c r="J307" i="2"/>
  <c r="H307" i="2" s="1"/>
  <c r="K261" i="2"/>
  <c r="K396" i="2"/>
  <c r="J337" i="2"/>
  <c r="H337" i="2" s="1"/>
  <c r="J335" i="2"/>
  <c r="H335" i="2" s="1"/>
  <c r="K288" i="2"/>
  <c r="I208" i="2"/>
  <c r="K187" i="2"/>
  <c r="K45" i="2"/>
  <c r="J45" i="2"/>
  <c r="H45" i="2" s="1"/>
  <c r="K14" i="2"/>
  <c r="I14" i="2"/>
  <c r="I143" i="2"/>
  <c r="J75" i="2"/>
  <c r="H75" i="2" s="1"/>
  <c r="K179" i="2"/>
  <c r="J114" i="2"/>
  <c r="H114" i="2" s="1"/>
  <c r="J82" i="2"/>
  <c r="H82" i="2" s="1"/>
  <c r="K82" i="2"/>
  <c r="I101" i="2"/>
  <c r="I85" i="2"/>
  <c r="I67" i="2"/>
  <c r="J192" i="2"/>
  <c r="H192" i="2" s="1"/>
  <c r="J168" i="2"/>
  <c r="H168" i="2" s="1"/>
  <c r="K253" i="2"/>
  <c r="K748" i="2"/>
  <c r="J748" i="2"/>
  <c r="H748" i="2" s="1"/>
  <c r="I748" i="2"/>
  <c r="I757" i="2"/>
  <c r="K757" i="2"/>
  <c r="J757" i="2"/>
  <c r="H757" i="2" s="1"/>
  <c r="K727" i="2"/>
  <c r="I514" i="2"/>
  <c r="J446" i="2"/>
  <c r="K451" i="2" s="1"/>
  <c r="K774" i="2"/>
  <c r="I774" i="2"/>
  <c r="J774" i="2"/>
  <c r="H774" i="2" s="1"/>
  <c r="I655" i="2"/>
  <c r="I615" i="2"/>
  <c r="J782" i="2"/>
  <c r="H782" i="2" s="1"/>
  <c r="K696" i="2"/>
  <c r="I696" i="2"/>
  <c r="J696" i="2"/>
  <c r="H696" i="2" s="1"/>
  <c r="K689" i="2"/>
  <c r="K636" i="2"/>
  <c r="J636" i="2"/>
  <c r="H636" i="2" s="1"/>
  <c r="J613" i="2"/>
  <c r="H613" i="2" s="1"/>
  <c r="I719" i="2"/>
  <c r="K644" i="2"/>
  <c r="J644" i="2"/>
  <c r="H644" i="2" s="1"/>
  <c r="K756" i="2"/>
  <c r="J756" i="2"/>
  <c r="H756" i="2" s="1"/>
  <c r="I756" i="2"/>
  <c r="K688" i="2"/>
  <c r="J688" i="2"/>
  <c r="I688" i="2"/>
  <c r="J727" i="2"/>
  <c r="H727" i="2" s="1"/>
  <c r="J697" i="2"/>
  <c r="H697" i="2" s="1"/>
  <c r="I697" i="2"/>
  <c r="J743" i="2"/>
  <c r="H743" i="2" s="1"/>
  <c r="I642" i="2"/>
  <c r="K642" i="2"/>
  <c r="K732" i="2"/>
  <c r="I689" i="2"/>
  <c r="K658" i="2"/>
  <c r="I636" i="2"/>
  <c r="J608" i="2"/>
  <c r="K635" i="2" s="1"/>
  <c r="I628" i="2"/>
  <c r="K586" i="2"/>
  <c r="J586" i="2"/>
  <c r="H586" i="2" s="1"/>
  <c r="I760" i="2"/>
  <c r="I644" i="2"/>
  <c r="J563" i="2"/>
  <c r="H563" i="2" s="1"/>
  <c r="I586" i="2"/>
  <c r="I502" i="2"/>
  <c r="K502" i="2"/>
  <c r="J502" i="2"/>
  <c r="H502" i="2" s="1"/>
  <c r="K522" i="2"/>
  <c r="J508" i="2"/>
  <c r="H508" i="2" s="1"/>
  <c r="I454" i="2"/>
  <c r="J436" i="2"/>
  <c r="H436" i="2" s="1"/>
  <c r="J459" i="2"/>
  <c r="H459" i="2" s="1"/>
  <c r="I459" i="2"/>
  <c r="J432" i="2"/>
  <c r="H432" i="2" s="1"/>
  <c r="I385" i="2"/>
  <c r="J437" i="2"/>
  <c r="I437" i="2"/>
  <c r="J376" i="2"/>
  <c r="H376" i="2" s="1"/>
  <c r="I376" i="2"/>
  <c r="J324" i="2"/>
  <c r="H324" i="2" s="1"/>
  <c r="I324" i="2"/>
  <c r="K399" i="2"/>
  <c r="K333" i="2"/>
  <c r="I333" i="2"/>
  <c r="J333" i="2"/>
  <c r="H333" i="2" s="1"/>
  <c r="K350" i="2"/>
  <c r="K301" i="2"/>
  <c r="J301" i="2"/>
  <c r="H301" i="2" s="1"/>
  <c r="J411" i="2"/>
  <c r="J309" i="2"/>
  <c r="H309" i="2" s="1"/>
  <c r="K309" i="2"/>
  <c r="K392" i="2"/>
  <c r="I285" i="2"/>
  <c r="K343" i="2"/>
  <c r="K190" i="2"/>
  <c r="J190" i="2"/>
  <c r="H190" i="2" s="1"/>
  <c r="K208" i="2"/>
  <c r="J262" i="2"/>
  <c r="H262" i="2" s="1"/>
  <c r="I158" i="2"/>
  <c r="K156" i="2"/>
  <c r="J156" i="2"/>
  <c r="K405" i="2" s="1"/>
  <c r="J143" i="2"/>
  <c r="H143" i="2" s="1"/>
  <c r="K114" i="2"/>
  <c r="I3" i="2"/>
  <c r="K139" i="2"/>
  <c r="I82" i="2"/>
  <c r="K64" i="2"/>
  <c r="J64" i="2"/>
  <c r="H64" i="2" s="1"/>
  <c r="K46" i="2"/>
  <c r="I46" i="2"/>
  <c r="K22" i="2"/>
  <c r="J22" i="2"/>
  <c r="H22" i="2" s="1"/>
  <c r="I4" i="2"/>
  <c r="K4" i="2"/>
  <c r="I148" i="2"/>
  <c r="J46" i="2"/>
  <c r="K142" i="2" s="1"/>
  <c r="K164" i="2"/>
  <c r="I202" i="2"/>
  <c r="K304" i="2" l="1"/>
  <c r="K398" i="2"/>
  <c r="K395" i="2"/>
  <c r="H6" i="2"/>
  <c r="K83" i="2"/>
  <c r="H744" i="2"/>
  <c r="H688" i="2"/>
  <c r="H481" i="2"/>
  <c r="H461" i="2"/>
  <c r="H424" i="2"/>
  <c r="H398" i="2"/>
  <c r="H332" i="2"/>
  <c r="K334" i="2"/>
  <c r="G334" i="2" s="1"/>
  <c r="H258" i="2"/>
  <c r="K292" i="2"/>
  <c r="K257" i="2"/>
  <c r="H184" i="2"/>
  <c r="K201" i="2"/>
  <c r="H150" i="2"/>
  <c r="H92" i="2"/>
  <c r="K108" i="2"/>
  <c r="K89" i="2"/>
  <c r="H742" i="2"/>
  <c r="H740" i="2"/>
  <c r="H726" i="2"/>
  <c r="H761" i="2"/>
  <c r="H708" i="2"/>
  <c r="H680" i="2"/>
  <c r="H662" i="2"/>
  <c r="H638" i="2"/>
  <c r="H519" i="2"/>
  <c r="H518" i="2"/>
  <c r="H479" i="2"/>
  <c r="H437" i="2"/>
  <c r="H402" i="2"/>
  <c r="H411" i="2"/>
  <c r="H380" i="2"/>
  <c r="H374" i="2"/>
  <c r="H361" i="2"/>
  <c r="H359" i="2"/>
  <c r="H340" i="2"/>
  <c r="H319" i="2"/>
  <c r="H304" i="2"/>
  <c r="H288" i="2"/>
  <c r="H213" i="2"/>
  <c r="H161" i="2"/>
  <c r="H156" i="2"/>
  <c r="H142" i="2"/>
  <c r="H116" i="2"/>
  <c r="H109" i="2"/>
  <c r="H103" i="2"/>
  <c r="H80" i="2"/>
  <c r="H76" i="2"/>
  <c r="H53" i="2"/>
  <c r="H46" i="2"/>
  <c r="H26" i="2"/>
  <c r="H9" i="2"/>
  <c r="H3" i="2"/>
</calcChain>
</file>

<file path=xl/sharedStrings.xml><?xml version="1.0" encoding="utf-8"?>
<sst xmlns="http://schemas.openxmlformats.org/spreadsheetml/2006/main" count="1959" uniqueCount="670">
  <si>
    <t>ID</t>
  </si>
  <si>
    <t>PRED_ID</t>
  </si>
  <si>
    <t>MARKER_AUTO</t>
  </si>
  <si>
    <t>PREDICATE</t>
  </si>
  <si>
    <t>TEXT</t>
  </si>
  <si>
    <t>SENTENCE</t>
  </si>
  <si>
    <t>MARKER</t>
  </si>
  <si>
    <t>TARGET</t>
  </si>
  <si>
    <t>RELATION</t>
  </si>
  <si>
    <t>COMMENT</t>
  </si>
  <si>
    <t>1</t>
  </si>
  <si>
    <t>3</t>
  </si>
  <si>
    <t>_</t>
  </si>
  <si>
    <t>schaffen</t>
  </si>
  <si>
    <t>Simone Biles schafft Gold im in dem Damenturnen</t>
  </si>
  <si>
    <t>file://conllu/de/cbsnews.146232.conllu#s1_0</t>
  </si>
  <si>
    <t>2</t>
  </si>
  <si>
    <t>vergessen</t>
  </si>
  <si>
    <t>Vergessen Sie den Druck .</t>
  </si>
  <si>
    <t>file://conllu/de/cbsnews.146232.conllu#s2_0</t>
  </si>
  <si>
    <t>Vergessen Sie den Hype .</t>
  </si>
  <si>
    <t>file://conllu/de/cbsnews.146232.conllu#s3_0</t>
  </si>
  <si>
    <t>4</t>
  </si>
  <si>
    <t>sein (sein immun)</t>
  </si>
  <si>
    <t>Simone Biles ist auf all das immun .</t>
  </si>
  <si>
    <t>file://conllu/de/cbsnews.146232.conllu#s4_0</t>
  </si>
  <si>
    <t>5</t>
  </si>
  <si>
    <t>dynamisch</t>
  </si>
  <si>
    <t>Dynamisch auf dem Sprungpferd .</t>
  </si>
  <si>
    <t>file://conllu/de/cbsnews.146232.conllu#s5_0</t>
  </si>
  <si>
    <t>6</t>
  </si>
  <si>
    <t>Balken</t>
  </si>
  <si>
    <t>Mühelos auf dem Balken .</t>
  </si>
  <si>
    <t>file://conllu/de/cbsnews.146232.conllu#s6_0</t>
  </si>
  <si>
    <t>7</t>
  </si>
  <si>
    <t>atemberaubend</t>
  </si>
  <si>
    <t>Atemberaubend auf dem Boden .</t>
  </si>
  <si>
    <t>file://conllu/de/cbsnews.146232.conllu#s7_0</t>
  </si>
  <si>
    <t>8</t>
  </si>
  <si>
    <t>brillianen</t>
  </si>
  <si>
    <t>Auf ganzer Linie brilliant .</t>
  </si>
  <si>
    <t>file://conllu/de/cbsnews.146232.conllu#s8_0</t>
  </si>
  <si>
    <t>9</t>
  </si>
  <si>
    <t>Olympiasiegerin</t>
  </si>
  <si>
    <t>Und jetzt endlich auch Olympiasiegerin .</t>
  </si>
  <si>
    <t>file://conllu/de/cbsnews.146232.conllu#s9_0</t>
  </si>
  <si>
    <t>10</t>
  </si>
  <si>
    <t>erklimmen</t>
  </si>
  <si>
    <t>Die 19- jährige amerikanische Turnerin erklomm am an dem Donnerstag zum zu dem Mehrkampftitel und vergrößerte die Lücke zwischen sich und dem Rest der Welt vor aller Augen unter dem Scheinwerferlicht der Olympischen Spiele .</t>
  </si>
  <si>
    <t>file://conllu/de/cbsnews.146232.conllu#s10_0</t>
  </si>
  <si>
    <t>11</t>
  </si>
  <si>
    <t>liegen</t>
  </si>
  <si>
    <t>Ihr Gesamtergebnis von 62,198 lag eindeutig vor der Silbermedaillengewinner und &amp;quot; Final Five &amp;quot; Mannschaftskameradin Aly Raisman und der russischen Bronzemedaillengewinnerin Aliya Mustafina .</t>
  </si>
  <si>
    <t>file://conllu/de/cbsnews.146232.conllu#s11_0</t>
  </si>
  <si>
    <t>12</t>
  </si>
  <si>
    <t>turnen</t>
  </si>
  <si>
    <t>Die Amerikanerinnen Simone Biles turnt auf dem Schwebebalken während des Einzelmehrkampffinales der Frauen im in dem Kunstturnen bei den Olympischen Sommerspielen in Rio de Janeiro 2016 , Brasilien , Donnerstag .</t>
  </si>
  <si>
    <t>file://conllu/de/cbsnews.146232.conllu#s12_0</t>
  </si>
  <si>
    <t>13</t>
  </si>
  <si>
    <t>sein (sein Amerikanerin)</t>
  </si>
  <si>
    <t>Biles ist die vierte heterosexuelle Amerikanerin , die einen Mehrkampftitel gewinnt und insgesamt die fünfte , während sie ihren Ruf festigt , die Beste ihrer Generation oder sogar überhaupt zu sein .</t>
  </si>
  <si>
    <t>file://conllu/de/cbsnews.146232.conllu#s13_0</t>
  </si>
  <si>
    <t>14</t>
  </si>
  <si>
    <t>brechen</t>
  </si>
  <si>
    <t>Sie brach in Tränen aus , als ihr Endergebnis gezeigt wurde und ihre lange Reise in diesem Moment ein Ende fand .</t>
  </si>
  <si>
    <t>file://conllu/de/cbsnews.146232.conllu#s14_0</t>
  </si>
  <si>
    <t>15</t>
  </si>
  <si>
    <t>stellen</t>
  </si>
  <si>
    <t>Dieser Erfolg stellt sie in dieselbe Liga wie einzigartige Athleten wie Michael Phelps , die ihre Sportarten zu neuen Höhen gebracht habe :</t>
  </si>
  <si>
    <t>file://conllu/de/cbsnews.146232.conllu#s15_0</t>
  </si>
  <si>
    <t>16</t>
  </si>
  <si>
    <t>dominieren</t>
  </si>
  <si>
    <t>Biles hat die letzten drei Jahre ihre Sportart dominiert , 15 Weltmeistermedaillen einschließlich 10 Goldmedaillen mit so erstaunlichen Übungen gewonnen , die eine Mischung aus Ehrgeiz und Präzision beinhalten , dass die Olympiasiegerin von 1984 Mary Lou Retton von ihr sagte , dass sie &amp;quot; die beste Turnerin ist , die ich jemals gesehen habe . &amp;quot;</t>
  </si>
  <si>
    <t>file://conllu/de/cbsnews.146232.conllu#s16_0</t>
  </si>
  <si>
    <t>17</t>
  </si>
  <si>
    <t>erwarten</t>
  </si>
  <si>
    <t>Es erwartete sie eine letzte Prüfung in Brasilien , ein Wettbewerb , der nicht so sehr zwischen Biles und dem Rest der Athleten ging , sondern vielmehr zwischen ihr und einer Last überdimensionierter Erwartungen .</t>
  </si>
  <si>
    <t>file://conllu/de/cbsnews.146232.conllu#s17_0</t>
  </si>
  <si>
    <t>18</t>
  </si>
  <si>
    <t>zurückkehren</t>
  </si>
  <si>
    <t>Nicht mit einer Handvoll Gold zurück zur zu der Familie in Spring , Texas zurückkehren , wäre als Enttäuschung angesehen werden .</t>
  </si>
  <si>
    <t>file://conllu/de/cbsnews.146232.conllu#s18_0</t>
  </si>
  <si>
    <t>19</t>
  </si>
  <si>
    <t>Nachdem?</t>
  </si>
  <si>
    <t>umarm</t>
  </si>
  <si>
    <t>Die Amerikanerinnen Simone Biles , links , und Aly Raisman umarmen sich , nachdem sie jeweils Gold und Silber im in dem Einzelmehrkampffinale der Frauen im in dem Kunstturnen bei den Olympischen Sommerspielen 2016 in Rio de Janeiro , Brasilien , Donnerstag , gewonnen haben</t>
  </si>
  <si>
    <t>file://conllu/de/cbsnews.146232.conllu#s19_0</t>
  </si>
  <si>
    <t>20</t>
  </si>
  <si>
    <t>holen</t>
  </si>
  <si>
    <t>Biles holte die erste Medaille am an dem Dienstag , während sie auf der Abschiedsfeier der sich in Ruhestand begehenden Mannschaftskoordinatorin Martha Karolyi als Ausrufezeichen diente .</t>
  </si>
  <si>
    <t>file://conllu/de/cbsnews.146232.conllu#s20_0</t>
  </si>
  <si>
    <t>21</t>
  </si>
  <si>
    <t>sein (sein wahr)</t>
  </si>
  <si>
    <t>Obwohl Biles darauf bestand , während ihres langen Wegs auf die Spitze , nie die Zukunft geplant zu haben , ist das nicht wirklich wahr .</t>
  </si>
  <si>
    <t>file://conllu/de/cbsnews.146232.conllu#s21_0</t>
  </si>
  <si>
    <t>22</t>
  </si>
  <si>
    <t>abstimmen</t>
  </si>
  <si>
    <t>Ein Teil ihrer Bodenübungen die ihren typischen Tumbling Pass enthalten ist auf lateinamerikanische Musik abgestimmt , das zuhause auf der Straße außerhalb der Olympiaarena in Rio passen würde .</t>
  </si>
  <si>
    <t>file://conllu/de/cbsnews.146232.conllu#s22_0</t>
  </si>
  <si>
    <t>23</t>
  </si>
  <si>
    <t>sein (sein Zufall)</t>
  </si>
  <si>
    <t>Das ist kein Zufall .</t>
  </si>
  <si>
    <t>file://conllu/de/cbsnews.146232.conllu#s23_0</t>
  </si>
  <si>
    <t>24</t>
  </si>
  <si>
    <t>32</t>
  </si>
  <si>
    <t>werden</t>
  </si>
  <si>
    <t>Dieses Mädchen , das von ihren Großeltern als kleines Kind adoptiert und von Trainerin Aimee Boormans Mutter während eines Schulausflugs in die Turnhalle entdeckt wurde , in der Boorman trainierte , wurde zur zu der Kraft .</t>
  </si>
  <si>
    <t>file://conllu/de/cbsnews.146232.conllu#s24_0</t>
  </si>
  <si>
    <t>25</t>
  </si>
  <si>
    <t>haben</t>
  </si>
  <si>
    <t>Sie hat seit dem Sommer 2013 keinen Mehrkampfwettbewerb mehr verloren , eine Siegesserie , die so lange anhalten wird , wie es Biles wünscht .</t>
  </si>
  <si>
    <t>file://conllu/de/cbsnews.146232.conllu#s25_0</t>
  </si>
  <si>
    <t>26</t>
  </si>
  <si>
    <t>Durch?</t>
  </si>
  <si>
    <t>führen</t>
  </si>
  <si>
    <t>Auch wenn Mustafina durch zwei Drehungen leicht führte , trügte das Bild .</t>
  </si>
  <si>
    <t>file://conllu/de/cbsnews.146232.conllu#s26_0</t>
  </si>
  <si>
    <t>27</t>
  </si>
  <si>
    <t>halten</t>
  </si>
  <si>
    <t>Schwebebalken und Bodenturnen in denen Biles den Weltmeistertitel hält lauerten .</t>
  </si>
  <si>
    <t>file://conllu/de/cbsnews.146232.conllu#s27_0</t>
  </si>
  <si>
    <t>28</t>
  </si>
  <si>
    <t>Sie holte wieder mit 15,433 auf dem Schwebebalken wieder auf und setzte mit einem 15,933 auf dem Boden noch einen darauf .</t>
  </si>
  <si>
    <t>file://conllu/de/cbsnews.146232.conllu#s28_0</t>
  </si>
  <si>
    <t>29</t>
  </si>
  <si>
    <t>umarmen</t>
  </si>
  <si>
    <t>Raisman umarmte sie sanft als sie ihr Endergbnis erwarteten eine reine Formalität und Tränen strömten auf Biles glänzend roten , weißen und blauen Eyeliner , als die Vision , die sie einst in ihrem Sammelbuch beschrieb , zur zu der Wirklichkeit wurde .</t>
  </si>
  <si>
    <t>file://conllu/de/cbsnews.146232.conllu#s29_0</t>
  </si>
  <si>
    <t>30</t>
  </si>
  <si>
    <t>sein (sein Rache)</t>
  </si>
  <si>
    <t>Die Leistung Raismans war eine Rache für das letzte Mal vor vier Jahren , als sie um den dritten Platz kämpfte , aber die Bronzemedaille in einem Tiebrake an Mustafina ging .</t>
  </si>
  <si>
    <t>file://conllu/de/cbsnews.146232.conllu#s30_0</t>
  </si>
  <si>
    <t>31</t>
  </si>
  <si>
    <t>Dieses Mal hatte die 22 jährige Mannschaftskapitänin , die von den Amerikanern &amp;quot; Oma &amp;quot; genannt wird , einen Vorsprung .</t>
  </si>
  <si>
    <t>file://conllu/de/cbsnews.146232.conllu#s31_0</t>
  </si>
  <si>
    <t>werfen</t>
  </si>
  <si>
    <t>Nach ihrer Bodenübung warf sie dem Publikum Kusshände zu , überwältigt von einem Comeback , das manchmal zweifelhaft erschien .</t>
  </si>
  <si>
    <t>file://conllu/de/cbsnews.146232.conllu#s32_0</t>
  </si>
  <si>
    <t>33</t>
  </si>
  <si>
    <t>Was?</t>
  </si>
  <si>
    <t>betreffen</t>
  </si>
  <si>
    <t>Was Biles betrifft , so hat der sich schnell ausbreitende Tweet der 19- Jährigen von Anfang dieser Woche eine ganz neue Bedeutung :</t>
  </si>
  <si>
    <t>file://conllu/de/cbsnews.146232.conllu#s33_0</t>
  </si>
  <si>
    <t>WORD</t>
  </si>
  <si>
    <t>GR</t>
  </si>
  <si>
    <t>NP_TYPE</t>
  </si>
  <si>
    <t>REF_AUTO</t>
  </si>
  <si>
    <t>COREF</t>
  </si>
  <si>
    <t>REF</t>
  </si>
  <si>
    <t>IS</t>
  </si>
  <si>
    <t>CB</t>
  </si>
  <si>
    <t>GR_ANTE</t>
  </si>
  <si>
    <t>REF_DIST</t>
  </si>
  <si>
    <t>REF_DIST_ANTE</t>
  </si>
  <si>
    <t># text = Simone Biles schafft Gold im Damenturnen</t>
  </si>
  <si>
    <t>Simone</t>
  </si>
  <si>
    <t>SBJ</t>
  </si>
  <si>
    <t>ne</t>
  </si>
  <si>
    <t>?OLD</t>
  </si>
  <si>
    <t>Biles</t>
  </si>
  <si>
    <t>schafft</t>
  </si>
  <si>
    <t>Gold</t>
  </si>
  <si>
    <t>OBJ</t>
  </si>
  <si>
    <t>in</t>
  </si>
  <si>
    <t>dem</t>
  </si>
  <si>
    <t>Damenturnen</t>
  </si>
  <si>
    <t>other</t>
  </si>
  <si>
    <t>def-np.the</t>
  </si>
  <si>
    <t># text = Vergessen Sie den Druck.</t>
  </si>
  <si>
    <t>Vergessen</t>
  </si>
  <si>
    <t>indef-np.bare</t>
  </si>
  <si>
    <t>Sie</t>
  </si>
  <si>
    <t>pron.pper</t>
  </si>
  <si>
    <t>den</t>
  </si>
  <si>
    <t>Druck</t>
  </si>
  <si>
    <t>.</t>
  </si>
  <si>
    <t># text = Vergessen Sie den Hype.</t>
  </si>
  <si>
    <t>Hype</t>
  </si>
  <si>
    <t># text = Simone Biles ist auf all das immun.</t>
  </si>
  <si>
    <t>ist</t>
  </si>
  <si>
    <t>auf</t>
  </si>
  <si>
    <t>all</t>
  </si>
  <si>
    <t>pron.pind</t>
  </si>
  <si>
    <t>das</t>
  </si>
  <si>
    <t>immun</t>
  </si>
  <si>
    <t># text = Dynamisch auf dem Sprungpferd.</t>
  </si>
  <si>
    <t>Dynamisch</t>
  </si>
  <si>
    <t>Sprungpferd</t>
  </si>
  <si>
    <t># text = Mühelos auf dem Balken.</t>
  </si>
  <si>
    <t>Mühelos</t>
  </si>
  <si>
    <t># text = Atemberaubend auf dem Boden.</t>
  </si>
  <si>
    <t>Atemberaubend</t>
  </si>
  <si>
    <t>Boden</t>
  </si>
  <si>
    <t># text = Auf ganzer Linie brilliant.</t>
  </si>
  <si>
    <t>Auf</t>
  </si>
  <si>
    <t>ganzer</t>
  </si>
  <si>
    <t>Linie</t>
  </si>
  <si>
    <t>brilliant</t>
  </si>
  <si>
    <t># text = Und jetzt endlich auch Olympiasiegerin.</t>
  </si>
  <si>
    <t>Und</t>
  </si>
  <si>
    <t>jetzt</t>
  </si>
  <si>
    <t>endlich</t>
  </si>
  <si>
    <t>auch</t>
  </si>
  <si>
    <t># text = Die 19-jährige amerikanische Turnerin erklomm am Donnerstag zum Mehrkampftitel und vergrößerte die Lücke zwischen sich und dem Rest der Welt vor aller Augen unter dem Scheinwerferlicht der Olympischen Spiele.</t>
  </si>
  <si>
    <t>Die</t>
  </si>
  <si>
    <t>19-</t>
  </si>
  <si>
    <t>jährige</t>
  </si>
  <si>
    <t>amerikanische</t>
  </si>
  <si>
    <t>Turnerin</t>
  </si>
  <si>
    <t>erklomm</t>
  </si>
  <si>
    <t>an</t>
  </si>
  <si>
    <t>Donnerstag</t>
  </si>
  <si>
    <t>zu</t>
  </si>
  <si>
    <t>Mehrkampftitel</t>
  </si>
  <si>
    <t>und</t>
  </si>
  <si>
    <t>vergrößerte</t>
  </si>
  <si>
    <t>die</t>
  </si>
  <si>
    <t>Lücke</t>
  </si>
  <si>
    <t>OBJ_3</t>
  </si>
  <si>
    <t>zwischen</t>
  </si>
  <si>
    <t>sich</t>
  </si>
  <si>
    <t>OBJ_2</t>
  </si>
  <si>
    <t>Rest</t>
  </si>
  <si>
    <t>other_3</t>
  </si>
  <si>
    <t>der</t>
  </si>
  <si>
    <t>Welt</t>
  </si>
  <si>
    <t>other_4</t>
  </si>
  <si>
    <t>vor</t>
  </si>
  <si>
    <t>aller</t>
  </si>
  <si>
    <t>other_5</t>
  </si>
  <si>
    <t>Augen</t>
  </si>
  <si>
    <t>indef-np.quant</t>
  </si>
  <si>
    <t>unter</t>
  </si>
  <si>
    <t>Scheinwerferlicht</t>
  </si>
  <si>
    <t>def-np.poss</t>
  </si>
  <si>
    <t>Olympischen</t>
  </si>
  <si>
    <t>Spiele</t>
  </si>
  <si>
    <t>--</t>
  </si>
  <si>
    <t># text = Ihr Gesamtergebnis von 62,198 lag eindeutig vor der Silbermedaillengewinner und \"Final Five\"-Mannschaftskameradin Aly Raisman und der russischen Bronzemedaillengewinnerin Aliya Mustafina.</t>
  </si>
  <si>
    <t>Ihr</t>
  </si>
  <si>
    <t>Gesamtergebnis</t>
  </si>
  <si>
    <t>von</t>
  </si>
  <si>
    <t>62,198</t>
  </si>
  <si>
    <t>lag</t>
  </si>
  <si>
    <t>eindeutig</t>
  </si>
  <si>
    <t>Silbermedaillengewinner</t>
  </si>
  <si>
    <t>&amp;quot;</t>
  </si>
  <si>
    <t>Final</t>
  </si>
  <si>
    <t>other_2</t>
  </si>
  <si>
    <t>Five</t>
  </si>
  <si>
    <t>Mannschaftskameradin</t>
  </si>
  <si>
    <t>Aly</t>
  </si>
  <si>
    <t>Raisman</t>
  </si>
  <si>
    <t>russischen</t>
  </si>
  <si>
    <t>Bronzemedaillengewinnerin</t>
  </si>
  <si>
    <t>Aliya</t>
  </si>
  <si>
    <t>Mustafina</t>
  </si>
  <si>
    <t># text = Die Amerikanerinnen Simone Biles turnt auf dem Schwebebalken während des Einzelmehrkampffinales der Frauen im Kunstturnen bei den Olympischen Sommerspielen in Rio de Janeiro 2016, Brasilien, Donnerstag.</t>
  </si>
  <si>
    <t>Amerikanerinnen</t>
  </si>
  <si>
    <t>turnt</t>
  </si>
  <si>
    <t>Schwebebalken</t>
  </si>
  <si>
    <t>während</t>
  </si>
  <si>
    <t>des</t>
  </si>
  <si>
    <t>Einzelmehrkampffinales</t>
  </si>
  <si>
    <t>Frauen</t>
  </si>
  <si>
    <t>Kunstturnen</t>
  </si>
  <si>
    <t>bei</t>
  </si>
  <si>
    <t>Sommerspielen</t>
  </si>
  <si>
    <t>Rio</t>
  </si>
  <si>
    <t>de</t>
  </si>
  <si>
    <t>Janeiro</t>
  </si>
  <si>
    <t>2016</t>
  </si>
  <si>
    <t>,</t>
  </si>
  <si>
    <t>Brasilien</t>
  </si>
  <si>
    <t># text = Biles ist die vierte heterosexuelle Amerikanerin, die einen Mehrkampftitel gewinnt und insgesamt die fünfte, während sie ihren Ruf festigt, die Beste ihrer Generation oder sogar überhaupt zu sein.</t>
  </si>
  <si>
    <t>vierte</t>
  </si>
  <si>
    <t>heterosexuelle</t>
  </si>
  <si>
    <t>Amerikanerin</t>
  </si>
  <si>
    <t>SBJ_2</t>
  </si>
  <si>
    <t>einen</t>
  </si>
  <si>
    <t>indef-np.a</t>
  </si>
  <si>
    <t>gewinnt</t>
  </si>
  <si>
    <t>insgesamt</t>
  </si>
  <si>
    <t>fünfte</t>
  </si>
  <si>
    <t>sie</t>
  </si>
  <si>
    <t>SBJ_4</t>
  </si>
  <si>
    <t>pron</t>
  </si>
  <si>
    <t>ihren</t>
  </si>
  <si>
    <t>Ruf</t>
  </si>
  <si>
    <t>OBJ_4</t>
  </si>
  <si>
    <t>indef-np</t>
  </si>
  <si>
    <t>festigt</t>
  </si>
  <si>
    <t>Beste</t>
  </si>
  <si>
    <t>ihrer</t>
  </si>
  <si>
    <t>Generation</t>
  </si>
  <si>
    <t>oder</t>
  </si>
  <si>
    <t>sogar</t>
  </si>
  <si>
    <t>überhaupt</t>
  </si>
  <si>
    <t>sein</t>
  </si>
  <si>
    <t># text = Sie brach in Tränen aus, als ihr Endergebnis gezeigt wurde und ihre lange Reise in diesem Moment ein Ende fand.</t>
  </si>
  <si>
    <t>brach</t>
  </si>
  <si>
    <t>Tränen</t>
  </si>
  <si>
    <t>aus</t>
  </si>
  <si>
    <t>als</t>
  </si>
  <si>
    <t>ihr</t>
  </si>
  <si>
    <t>pron.ppos</t>
  </si>
  <si>
    <t>Endergebnis</t>
  </si>
  <si>
    <t>gezeigt</t>
  </si>
  <si>
    <t>wurde</t>
  </si>
  <si>
    <t>ihre</t>
  </si>
  <si>
    <t>lange</t>
  </si>
  <si>
    <t>Reise</t>
  </si>
  <si>
    <t>diesem</t>
  </si>
  <si>
    <t>pron.pds</t>
  </si>
  <si>
    <t>Moment</t>
  </si>
  <si>
    <t>def-np.dem</t>
  </si>
  <si>
    <t>ein</t>
  </si>
  <si>
    <t>Ende</t>
  </si>
  <si>
    <t>fand</t>
  </si>
  <si>
    <t># text = Dieser Erfolg stellt sie in dieselbe Liga wie einzigartige Athleten wie Michael Phelps, die ihre Sportarten zu neuen Höhen gebracht habe:</t>
  </si>
  <si>
    <t>Dieser</t>
  </si>
  <si>
    <t>Erfolg</t>
  </si>
  <si>
    <t>stellt</t>
  </si>
  <si>
    <t>dieselbe</t>
  </si>
  <si>
    <t>Liga</t>
  </si>
  <si>
    <t>wie</t>
  </si>
  <si>
    <t>einzigartige</t>
  </si>
  <si>
    <t>Athleten</t>
  </si>
  <si>
    <t>Michael</t>
  </si>
  <si>
    <t>Phelps</t>
  </si>
  <si>
    <t>SBJ_3</t>
  </si>
  <si>
    <t>Sportarten</t>
  </si>
  <si>
    <t>neuen</t>
  </si>
  <si>
    <t>Höhen</t>
  </si>
  <si>
    <t>gebracht</t>
  </si>
  <si>
    <t>habe</t>
  </si>
  <si>
    <t>:</t>
  </si>
  <si>
    <t># text = Biles hat die letzten drei Jahre ihre Sportart dominiert, 15 Weltmeistermedaillen - einschließlich 10 Goldmedaillen - mit so erstaunlichen Übungen gewonnen, die eine Mischung aus Ehrgeiz und Präzision beinhalten, dass die Olympiasiegerin von 1984 Mary Lou Retton von ihr sagte, dass sie "die beste Turnerin ist, die ich jemals gesehen habe."</t>
  </si>
  <si>
    <t>hat</t>
  </si>
  <si>
    <t>letzten</t>
  </si>
  <si>
    <t>drei</t>
  </si>
  <si>
    <t>Jahre</t>
  </si>
  <si>
    <t>def-np.quant</t>
  </si>
  <si>
    <t>Sportart</t>
  </si>
  <si>
    <t>dominiert</t>
  </si>
  <si>
    <t>Weltmeistermedaillen</t>
  </si>
  <si>
    <t>einschließlich</t>
  </si>
  <si>
    <t>Goldmedaillen</t>
  </si>
  <si>
    <t>mit</t>
  </si>
  <si>
    <t>so</t>
  </si>
  <si>
    <t>erstaunlichen</t>
  </si>
  <si>
    <t>Übungen</t>
  </si>
  <si>
    <t>gewonnen</t>
  </si>
  <si>
    <t>eine</t>
  </si>
  <si>
    <t>Mischung</t>
  </si>
  <si>
    <t>Ehrgeiz</t>
  </si>
  <si>
    <t>Präzision</t>
  </si>
  <si>
    <t>beinhalten</t>
  </si>
  <si>
    <t>dass</t>
  </si>
  <si>
    <t>1984</t>
  </si>
  <si>
    <t>Mary</t>
  </si>
  <si>
    <t>Lou</t>
  </si>
  <si>
    <t>Retton</t>
  </si>
  <si>
    <t>sagte</t>
  </si>
  <si>
    <t>beste</t>
  </si>
  <si>
    <t>ich</t>
  </si>
  <si>
    <t>jemals</t>
  </si>
  <si>
    <t>gesehen</t>
  </si>
  <si>
    <t># text = Es erwartete sie eine letzte Prüfung in Brasilien, ein Wettbewerb, der nicht so sehr zwischen Biles und dem Rest der Athleten ging, sondern vielmehr zwischen ihr und einer Last überdimensionierter Erwartungen.</t>
  </si>
  <si>
    <t>Es</t>
  </si>
  <si>
    <t>erwartete</t>
  </si>
  <si>
    <t>letzte</t>
  </si>
  <si>
    <t>Prüfung</t>
  </si>
  <si>
    <t>Wettbewerb</t>
  </si>
  <si>
    <t>nicht</t>
  </si>
  <si>
    <t>sehr</t>
  </si>
  <si>
    <t>other_6</t>
  </si>
  <si>
    <t>ging</t>
  </si>
  <si>
    <t>sondern</t>
  </si>
  <si>
    <t>vielmehr</t>
  </si>
  <si>
    <t>einer</t>
  </si>
  <si>
    <t>Last</t>
  </si>
  <si>
    <t>überdimensionierter</t>
  </si>
  <si>
    <t>Erwartungen</t>
  </si>
  <si>
    <t># text = Nicht mit einer Handvoll Gold zurück zur Familie in Spring, Texas zurückkehren, wäre als Enttäuschung angesehen werden.</t>
  </si>
  <si>
    <t>Nicht</t>
  </si>
  <si>
    <t>Handvoll</t>
  </si>
  <si>
    <t>zurück</t>
  </si>
  <si>
    <t>Familie</t>
  </si>
  <si>
    <t>Spring</t>
  </si>
  <si>
    <t>Texas</t>
  </si>
  <si>
    <t>wäre</t>
  </si>
  <si>
    <t>Enttäuschung</t>
  </si>
  <si>
    <t>angesehen</t>
  </si>
  <si>
    <t># text = Die Amerikanerinnen Simone Biles, links, und Aly Raisman umarmen sich, nachdem sie jeweils Gold und Silber im Einzelmehrkampffinale der Frauen im Kunstturnen bei den Olympischen Sommerspielen 2016 in Rio de Janeiro, Brasilien, Donnerstag, gewonnen haben</t>
  </si>
  <si>
    <t>links</t>
  </si>
  <si>
    <t>nachdem</t>
  </si>
  <si>
    <t>jeweils</t>
  </si>
  <si>
    <t>Silber</t>
  </si>
  <si>
    <t>Einzelmehrkampffinale</t>
  </si>
  <si>
    <t>other_7</t>
  </si>
  <si>
    <t>other_8</t>
  </si>
  <si>
    <t># text = Biles holte die erste Medaille am Dienstag, während sie auf der Abschiedsfeier der sich in Ruhestand begehenden Mannschaftskoordinatorin Martha Karolyi als Ausrufezeichen diente.</t>
  </si>
  <si>
    <t>holte</t>
  </si>
  <si>
    <t>erste</t>
  </si>
  <si>
    <t>Medaille</t>
  </si>
  <si>
    <t>Dienstag</t>
  </si>
  <si>
    <t>Abschiedsfeier</t>
  </si>
  <si>
    <t>Ruhestand</t>
  </si>
  <si>
    <t>begehenden</t>
  </si>
  <si>
    <t>Mannschaftskoordinatorin</t>
  </si>
  <si>
    <t>Martha</t>
  </si>
  <si>
    <t>Karolyi</t>
  </si>
  <si>
    <t>Ausrufezeichen</t>
  </si>
  <si>
    <t>diente</t>
  </si>
  <si>
    <t># text = Obwohl Biles darauf bestand, während ihres langen Wegs auf die Spitze, nie die Zukunft geplant zu haben, ist das nicht wirklich wahr.</t>
  </si>
  <si>
    <t>Obwohl</t>
  </si>
  <si>
    <t>darauf</t>
  </si>
  <si>
    <t>pron.padv</t>
  </si>
  <si>
    <t>bestand</t>
  </si>
  <si>
    <t>ihres</t>
  </si>
  <si>
    <t>langen</t>
  </si>
  <si>
    <t>Wegs</t>
  </si>
  <si>
    <t>Spitze</t>
  </si>
  <si>
    <t>nie</t>
  </si>
  <si>
    <t>Zukunft</t>
  </si>
  <si>
    <t>geplant</t>
  </si>
  <si>
    <t>wirklich</t>
  </si>
  <si>
    <t>wahr</t>
  </si>
  <si>
    <t># text = Ein Teil ihrer Bodenübungen - die ihren typischen Tumbling Pass enthalten - ist auf lateinamerikanische Musik abgestimmt, das zuhause auf der Straße außerhalb der Olympiaarena in Rio passen würde.</t>
  </si>
  <si>
    <t>Ein</t>
  </si>
  <si>
    <t>Teil</t>
  </si>
  <si>
    <t>Bodenübungen</t>
  </si>
  <si>
    <t>typischen</t>
  </si>
  <si>
    <t>Tumbling</t>
  </si>
  <si>
    <t>Pass</t>
  </si>
  <si>
    <t>enthalten</t>
  </si>
  <si>
    <t>lateinamerikanische</t>
  </si>
  <si>
    <t>Musik</t>
  </si>
  <si>
    <t>abgestimmt</t>
  </si>
  <si>
    <t>zuhause</t>
  </si>
  <si>
    <t>Straße</t>
  </si>
  <si>
    <t>außerhalb</t>
  </si>
  <si>
    <t>Olympiaarena</t>
  </si>
  <si>
    <t>passen</t>
  </si>
  <si>
    <t>würde</t>
  </si>
  <si>
    <t># text = Das ist kein Zufall.</t>
  </si>
  <si>
    <t>Das</t>
  </si>
  <si>
    <t>kein</t>
  </si>
  <si>
    <t>Zufall</t>
  </si>
  <si>
    <t># text = Dieses Mädchen, das von ihren Großeltern als kleines Kind adoptiert und von Trainerin Aimee Boormans Mutter während eines Schulausflugs in die Turnhalle entdeckt wurde, in der Boorman trainierte, wurde zur Kraft.</t>
  </si>
  <si>
    <t>Dieses</t>
  </si>
  <si>
    <t>Mädchen</t>
  </si>
  <si>
    <t>Großeltern</t>
  </si>
  <si>
    <t>kleines</t>
  </si>
  <si>
    <t>Kind</t>
  </si>
  <si>
    <t>adoptiert</t>
  </si>
  <si>
    <t>Trainerin</t>
  </si>
  <si>
    <t>Aimee</t>
  </si>
  <si>
    <t>Boormans</t>
  </si>
  <si>
    <t>Mutter</t>
  </si>
  <si>
    <t>eines</t>
  </si>
  <si>
    <t>Schulausflugs</t>
  </si>
  <si>
    <t>Turnhalle</t>
  </si>
  <si>
    <t>entdeckt</t>
  </si>
  <si>
    <t>Boorman</t>
  </si>
  <si>
    <t>trainierte</t>
  </si>
  <si>
    <t>Kraft</t>
  </si>
  <si>
    <t># text = Sie hat seit dem Sommer 2013 keinen Mehrkampfwettbewerb mehr verloren, eine Siegesserie, die so lange anhalten wird, wie es Biles wünscht.</t>
  </si>
  <si>
    <t>seit</t>
  </si>
  <si>
    <t>Sommer</t>
  </si>
  <si>
    <t>2013</t>
  </si>
  <si>
    <t>keinen</t>
  </si>
  <si>
    <t>Mehrkampfwettbewerb</t>
  </si>
  <si>
    <t>mehr</t>
  </si>
  <si>
    <t>verloren</t>
  </si>
  <si>
    <t>Siegesserie</t>
  </si>
  <si>
    <t>anhalten</t>
  </si>
  <si>
    <t>wird</t>
  </si>
  <si>
    <t>es</t>
  </si>
  <si>
    <t>wünscht</t>
  </si>
  <si>
    <t># text = Auch wenn Mustafina durch zwei Drehungen leicht führte, trügte das Bild.</t>
  </si>
  <si>
    <t>Auch</t>
  </si>
  <si>
    <t>wenn</t>
  </si>
  <si>
    <t>durch</t>
  </si>
  <si>
    <t>zwei</t>
  </si>
  <si>
    <t>Drehungen</t>
  </si>
  <si>
    <t>leicht</t>
  </si>
  <si>
    <t>führte</t>
  </si>
  <si>
    <t>trügte</t>
  </si>
  <si>
    <t>Bild</t>
  </si>
  <si>
    <t># text = Schwebebalken und Bodenturnen - in denen Biles den Weltmeistertitel hält - lauerten.</t>
  </si>
  <si>
    <t>Bodenturnen</t>
  </si>
  <si>
    <t>denen</t>
  </si>
  <si>
    <t>Weltmeistertitel</t>
  </si>
  <si>
    <t>hält</t>
  </si>
  <si>
    <t>lauerten</t>
  </si>
  <si>
    <t># text = Sie holte wieder mit 15,433 auf dem Schwebebalken wieder auf - und setzte mit einem 15,933 auf dem Boden noch einen darauf.</t>
  </si>
  <si>
    <t>wieder</t>
  </si>
  <si>
    <t>15,433</t>
  </si>
  <si>
    <t>setzte</t>
  </si>
  <si>
    <t>einem</t>
  </si>
  <si>
    <t>15,933</t>
  </si>
  <si>
    <t>noch</t>
  </si>
  <si>
    <t># text = Raisman umarmte sie sanft als sie ihr Endergbnis erwarteten - eine reine Formalität - und Tränen strömten auf Biles glänzend roten, weißen und blauen Eyeliner, als die Vision, die sie einst in ihrem Sammelbuch beschrieb, zur Wirklichkeit wurde.</t>
  </si>
  <si>
    <t>umarmte</t>
  </si>
  <si>
    <t>sanft</t>
  </si>
  <si>
    <t>Endergbnis</t>
  </si>
  <si>
    <t>erwarteten</t>
  </si>
  <si>
    <t>reine</t>
  </si>
  <si>
    <t>Formalität</t>
  </si>
  <si>
    <t>strömten</t>
  </si>
  <si>
    <t>glänzend</t>
  </si>
  <si>
    <t>roten</t>
  </si>
  <si>
    <t>weißen</t>
  </si>
  <si>
    <t>blauen</t>
  </si>
  <si>
    <t>Eyeliner</t>
  </si>
  <si>
    <t>Vision</t>
  </si>
  <si>
    <t>SBJ_6</t>
  </si>
  <si>
    <t>einst</t>
  </si>
  <si>
    <t>ihrem</t>
  </si>
  <si>
    <t>Sammelbuch</t>
  </si>
  <si>
    <t>beschrieb</t>
  </si>
  <si>
    <t>Wirklichkeit</t>
  </si>
  <si>
    <t># text = Die Leistung Raismans war eine Rache für das letzte Mal vor vier Jahren, als sie um den dritten Platz kämpfte, aber die Bronzemedaille in einem Tiebrake an Mustafina ging.</t>
  </si>
  <si>
    <t>Leistung</t>
  </si>
  <si>
    <t>Raismans</t>
  </si>
  <si>
    <t>war</t>
  </si>
  <si>
    <t>Rache</t>
  </si>
  <si>
    <t>für</t>
  </si>
  <si>
    <t>Mal</t>
  </si>
  <si>
    <t>vier</t>
  </si>
  <si>
    <t>Jahren</t>
  </si>
  <si>
    <t>um</t>
  </si>
  <si>
    <t>dritten</t>
  </si>
  <si>
    <t>Platz</t>
  </si>
  <si>
    <t>kämpfte</t>
  </si>
  <si>
    <t>aber</t>
  </si>
  <si>
    <t>Bronzemedaille</t>
  </si>
  <si>
    <t>Tiebrake</t>
  </si>
  <si>
    <t># text = Dieses Mal hatte die 22-jährige Mannschaftskapitänin, die von den Amerikanern "Oma" genannt wird, einen Vorsprung.</t>
  </si>
  <si>
    <t>hatte</t>
  </si>
  <si>
    <t>Mannschaftskapitänin</t>
  </si>
  <si>
    <t>Amerikanern</t>
  </si>
  <si>
    <t>Oma</t>
  </si>
  <si>
    <t>genannt</t>
  </si>
  <si>
    <t>Vorsprung</t>
  </si>
  <si>
    <t># text = Nach ihrer Bodenübung warf sie dem Publikum Kusshände zu, überwältigt von einem Comeback, das manchmal zweifelhaft erschien.</t>
  </si>
  <si>
    <t>Nach</t>
  </si>
  <si>
    <t>Bodenübung</t>
  </si>
  <si>
    <t>warf</t>
  </si>
  <si>
    <t>Publikum</t>
  </si>
  <si>
    <t>Kusshände</t>
  </si>
  <si>
    <t>überwältigt</t>
  </si>
  <si>
    <t>Comeback</t>
  </si>
  <si>
    <t>manchmal</t>
  </si>
  <si>
    <t>zweifelhaft</t>
  </si>
  <si>
    <t>erschien</t>
  </si>
  <si>
    <t># text = Was Biles betrifft, so hat der sich schnell ausbreitende Tweet der 19-Jährigen von Anfang dieser Woche eine ganz neue Bedeutung:</t>
  </si>
  <si>
    <t>Was</t>
  </si>
  <si>
    <t>betrifft</t>
  </si>
  <si>
    <t>schnell</t>
  </si>
  <si>
    <t>ausbreitende</t>
  </si>
  <si>
    <t>Tweet</t>
  </si>
  <si>
    <t>Jährigen</t>
  </si>
  <si>
    <t>Anfang</t>
  </si>
  <si>
    <t>dieser</t>
  </si>
  <si>
    <t>Woche</t>
  </si>
  <si>
    <t>ganz</t>
  </si>
  <si>
    <t>neue</t>
  </si>
  <si>
    <t>Bedeutung</t>
  </si>
  <si>
    <t>simone_biles</t>
  </si>
  <si>
    <t>damenturnen</t>
  </si>
  <si>
    <t>GEN</t>
  </si>
  <si>
    <t>SIT</t>
  </si>
  <si>
    <t>leser</t>
  </si>
  <si>
    <t>sprungpferd</t>
  </si>
  <si>
    <t>balken</t>
  </si>
  <si>
    <t>parser error</t>
  </si>
  <si>
    <t>boden</t>
  </si>
  <si>
    <t>donnerstag</t>
  </si>
  <si>
    <t>IDIOM</t>
  </si>
  <si>
    <t>kein auto ref</t>
  </si>
  <si>
    <t>ergebnis_biles</t>
  </si>
  <si>
    <t>PRED</t>
  </si>
  <si>
    <t>aliya_mustafina</t>
  </si>
  <si>
    <t>aly_raisman</t>
  </si>
  <si>
    <t>rio</t>
  </si>
  <si>
    <t>brasilien</t>
  </si>
  <si>
    <t>artikel</t>
  </si>
  <si>
    <t>mary_lou_retton</t>
  </si>
  <si>
    <t>familie_biles</t>
  </si>
  <si>
    <t>spring</t>
  </si>
  <si>
    <t>texas</t>
  </si>
  <si>
    <t>simone_aly&gt;simone_biles,aly_raisman</t>
  </si>
  <si>
    <t>GROUP</t>
  </si>
  <si>
    <t>olympia_2016</t>
  </si>
  <si>
    <t>martha_karolyi</t>
  </si>
  <si>
    <t>weg_biles</t>
  </si>
  <si>
    <t>musikabstimmung</t>
  </si>
  <si>
    <t>antezedens</t>
  </si>
  <si>
    <t>grosseltern_biles</t>
  </si>
  <si>
    <t>aimee_boorman</t>
  </si>
  <si>
    <t>mutter_boorman</t>
  </si>
  <si>
    <t>simone_aly</t>
  </si>
  <si>
    <t>OLD</t>
  </si>
  <si>
    <t>BOUND</t>
  </si>
  <si>
    <t>sammelbuch_biles</t>
  </si>
  <si>
    <t>vision_biles</t>
  </si>
  <si>
    <t>leistung_raisman</t>
  </si>
  <si>
    <t>nicht syntaktischer Kopf</t>
  </si>
  <si>
    <t>amerikaner</t>
  </si>
  <si>
    <t>bodenuebung_raisman</t>
  </si>
  <si>
    <t>rest_der_welt</t>
  </si>
  <si>
    <t>mehrkampftitel</t>
  </si>
  <si>
    <t>mehrkampffinale</t>
  </si>
  <si>
    <t>kunstturnen</t>
  </si>
  <si>
    <t>michael_phelps</t>
  </si>
  <si>
    <t>NEW</t>
  </si>
  <si>
    <t>beste_athleten</t>
  </si>
  <si>
    <t>sportarten_athleten</t>
  </si>
  <si>
    <t>andere_turnerinnen</t>
  </si>
  <si>
    <t>dienstag</t>
  </si>
  <si>
    <t>erste_medaille</t>
  </si>
  <si>
    <t>abschiedsfeier_karolyi</t>
  </si>
  <si>
    <t>planung_zukunft</t>
  </si>
  <si>
    <t>keine_planung_zukunft</t>
  </si>
  <si>
    <t>CAT</t>
  </si>
  <si>
    <t>bodenuebungen_biles</t>
  </si>
  <si>
    <t>tumbling_pass</t>
  </si>
  <si>
    <t>olympiaarena</t>
  </si>
  <si>
    <t>turnhalle_training</t>
  </si>
  <si>
    <t>sommer_2013</t>
  </si>
  <si>
    <t>balken_boden&gt;balken,boden</t>
  </si>
  <si>
    <t>weltmeistertitel_balken_boden</t>
  </si>
  <si>
    <t>eyeliner_biles</t>
  </si>
  <si>
    <t>olympia_2012</t>
  </si>
  <si>
    <t>bronzemedaille</t>
  </si>
  <si>
    <t>publikum_olympia</t>
  </si>
  <si>
    <t>tweet_biles</t>
  </si>
  <si>
    <t>syntaktischer Kopf</t>
  </si>
  <si>
    <t>FAMILIAR</t>
  </si>
  <si>
    <t>FOCUS</t>
  </si>
  <si>
    <t>UNIQUE</t>
  </si>
  <si>
    <t>ACTIVATED</t>
  </si>
  <si>
    <t>NoRel</t>
  </si>
  <si>
    <t>(und)</t>
  </si>
  <si>
    <t>conjunction</t>
  </si>
  <si>
    <t>(denn)</t>
  </si>
  <si>
    <t>reason</t>
  </si>
  <si>
    <t>specific</t>
  </si>
  <si>
    <t>(konkret)</t>
  </si>
  <si>
    <t>(insgesamt)</t>
  </si>
  <si>
    <t>broad</t>
  </si>
  <si>
    <t>result</t>
  </si>
  <si>
    <t>und jetzt (infolgedessen)</t>
  </si>
  <si>
    <t>after</t>
  </si>
  <si>
    <t>(danach)</t>
  </si>
  <si>
    <t>(dadurch)</t>
  </si>
  <si>
    <t>achievement</t>
  </si>
  <si>
    <t>means</t>
  </si>
  <si>
    <t>(indem)</t>
  </si>
  <si>
    <t>before</t>
  </si>
  <si>
    <t>(zuvor)</t>
  </si>
  <si>
    <t>(anschließend)</t>
  </si>
  <si>
    <t>(im Anschluss)</t>
  </si>
  <si>
    <t>am Dienstag (zuvor)</t>
  </si>
  <si>
    <t>seit dem Sommer 2013</t>
  </si>
  <si>
    <t>(außerdem)</t>
  </si>
  <si>
    <t>EntRel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</si>
</sst>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workbookViewId="0">
      <pane xSplit="5" ySplit="1" topLeftCell="G30" activePane="bottomRight" state="frozen"/>
      <selection pane="topRight" activeCell="F1" sqref="F1"/>
      <selection pane="bottomLeft" activeCell="A2" sqref="A2"/>
      <selection pane="bottomRight" activeCell="J32" sqref="J32"/>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645</v>
      </c>
      <c r="J2" s="12"/>
    </row>
    <row r="3" spans="1:10" ht="60" customHeight="1" x14ac:dyDescent="0.3">
      <c r="A3" s="6" t="s">
        <v>16</v>
      </c>
      <c r="B3" s="6" t="s">
        <v>10</v>
      </c>
      <c r="C3" s="6" t="s">
        <v>12</v>
      </c>
      <c r="D3" s="7" t="s">
        <v>17</v>
      </c>
      <c r="E3" s="8" t="s">
        <v>18</v>
      </c>
      <c r="F3" s="6" t="s">
        <v>19</v>
      </c>
      <c r="G3" s="9" t="s">
        <v>646</v>
      </c>
      <c r="H3" s="10">
        <v>3</v>
      </c>
      <c r="I3" s="11" t="s">
        <v>647</v>
      </c>
      <c r="J3" s="12"/>
    </row>
    <row r="4" spans="1:10" ht="60" customHeight="1" x14ac:dyDescent="0.3">
      <c r="A4" s="6" t="s">
        <v>11</v>
      </c>
      <c r="B4" s="6" t="s">
        <v>10</v>
      </c>
      <c r="C4" s="6" t="s">
        <v>12</v>
      </c>
      <c r="D4" s="7" t="s">
        <v>17</v>
      </c>
      <c r="E4" s="8" t="s">
        <v>20</v>
      </c>
      <c r="F4" s="6" t="s">
        <v>21</v>
      </c>
      <c r="G4" s="9" t="s">
        <v>646</v>
      </c>
      <c r="H4" s="10">
        <v>2</v>
      </c>
      <c r="I4" s="11" t="s">
        <v>647</v>
      </c>
      <c r="J4" s="12"/>
    </row>
    <row r="5" spans="1:10" ht="60" customHeight="1" x14ac:dyDescent="0.3">
      <c r="A5" s="6" t="s">
        <v>22</v>
      </c>
      <c r="B5" s="6" t="s">
        <v>11</v>
      </c>
      <c r="C5" s="6" t="s">
        <v>12</v>
      </c>
      <c r="D5" s="7" t="s">
        <v>23</v>
      </c>
      <c r="E5" s="8" t="s">
        <v>24</v>
      </c>
      <c r="F5" s="6" t="s">
        <v>25</v>
      </c>
      <c r="G5" s="9" t="s">
        <v>648</v>
      </c>
      <c r="H5" s="10">
        <v>2</v>
      </c>
      <c r="I5" s="11" t="s">
        <v>649</v>
      </c>
      <c r="J5" s="12"/>
    </row>
    <row r="6" spans="1:10" ht="60" customHeight="1" x14ac:dyDescent="0.3">
      <c r="A6" s="6" t="s">
        <v>26</v>
      </c>
      <c r="B6" s="6" t="s">
        <v>10</v>
      </c>
      <c r="C6" s="6" t="s">
        <v>12</v>
      </c>
      <c r="D6" s="7" t="s">
        <v>27</v>
      </c>
      <c r="E6" s="8" t="s">
        <v>28</v>
      </c>
      <c r="F6" s="6" t="s">
        <v>29</v>
      </c>
      <c r="G6" s="9" t="s">
        <v>651</v>
      </c>
      <c r="H6" s="10">
        <v>4</v>
      </c>
      <c r="I6" s="11" t="s">
        <v>650</v>
      </c>
      <c r="J6" s="12"/>
    </row>
    <row r="7" spans="1:10" ht="60" customHeight="1" x14ac:dyDescent="0.3">
      <c r="A7" s="6" t="s">
        <v>30</v>
      </c>
      <c r="B7" s="6" t="s">
        <v>22</v>
      </c>
      <c r="C7" s="6" t="s">
        <v>12</v>
      </c>
      <c r="D7" s="7" t="s">
        <v>31</v>
      </c>
      <c r="E7" s="8" t="s">
        <v>32</v>
      </c>
      <c r="F7" s="6" t="s">
        <v>33</v>
      </c>
      <c r="G7" s="9" t="s">
        <v>646</v>
      </c>
      <c r="H7" s="10">
        <v>5</v>
      </c>
      <c r="I7" s="11" t="s">
        <v>647</v>
      </c>
      <c r="J7" s="12"/>
    </row>
    <row r="8" spans="1:10" ht="60" customHeight="1" x14ac:dyDescent="0.3">
      <c r="A8" s="6" t="s">
        <v>34</v>
      </c>
      <c r="B8" s="6" t="s">
        <v>10</v>
      </c>
      <c r="C8" s="6" t="s">
        <v>12</v>
      </c>
      <c r="D8" s="7" t="s">
        <v>35</v>
      </c>
      <c r="E8" s="8" t="s">
        <v>36</v>
      </c>
      <c r="F8" s="6" t="s">
        <v>37</v>
      </c>
      <c r="G8" s="9" t="s">
        <v>646</v>
      </c>
      <c r="H8" s="10">
        <v>6</v>
      </c>
      <c r="I8" s="11" t="s">
        <v>647</v>
      </c>
      <c r="J8" s="12"/>
    </row>
    <row r="9" spans="1:10" ht="60" customHeight="1" x14ac:dyDescent="0.3">
      <c r="A9" s="6" t="s">
        <v>38</v>
      </c>
      <c r="B9" s="6" t="s">
        <v>22</v>
      </c>
      <c r="C9" s="6" t="s">
        <v>12</v>
      </c>
      <c r="D9" s="7" t="s">
        <v>39</v>
      </c>
      <c r="E9" s="8" t="s">
        <v>40</v>
      </c>
      <c r="F9" s="6" t="s">
        <v>41</v>
      </c>
      <c r="G9" s="9" t="s">
        <v>652</v>
      </c>
      <c r="H9" s="10">
        <v>7</v>
      </c>
      <c r="I9" s="11" t="s">
        <v>653</v>
      </c>
      <c r="J9" s="12"/>
    </row>
    <row r="10" spans="1:10" ht="60" customHeight="1" x14ac:dyDescent="0.3">
      <c r="A10" s="6" t="s">
        <v>42</v>
      </c>
      <c r="B10" s="6" t="s">
        <v>26</v>
      </c>
      <c r="C10" s="6" t="s">
        <v>12</v>
      </c>
      <c r="D10" s="7" t="s">
        <v>43</v>
      </c>
      <c r="E10" s="8" t="s">
        <v>44</v>
      </c>
      <c r="F10" s="6" t="s">
        <v>45</v>
      </c>
      <c r="G10" s="9" t="s">
        <v>655</v>
      </c>
      <c r="H10" s="10">
        <v>8</v>
      </c>
      <c r="I10" s="11" t="s">
        <v>654</v>
      </c>
      <c r="J10" s="12"/>
    </row>
    <row r="11" spans="1:10" ht="60" customHeight="1" x14ac:dyDescent="0.3">
      <c r="A11" s="6" t="s">
        <v>46</v>
      </c>
      <c r="B11" s="6" t="s">
        <v>30</v>
      </c>
      <c r="C11" s="6" t="s">
        <v>12</v>
      </c>
      <c r="D11" s="7" t="s">
        <v>47</v>
      </c>
      <c r="E11" s="8" t="s">
        <v>48</v>
      </c>
      <c r="F11" s="6" t="s">
        <v>49</v>
      </c>
      <c r="G11" s="9" t="s">
        <v>651</v>
      </c>
      <c r="H11" s="10">
        <v>9</v>
      </c>
      <c r="I11" s="11" t="s">
        <v>650</v>
      </c>
      <c r="J11" s="12"/>
    </row>
    <row r="12" spans="1:10" ht="60" customHeight="1" x14ac:dyDescent="0.3">
      <c r="A12" s="6" t="s">
        <v>50</v>
      </c>
      <c r="B12" s="6" t="s">
        <v>26</v>
      </c>
      <c r="C12" s="6" t="s">
        <v>12</v>
      </c>
      <c r="D12" s="7" t="s">
        <v>51</v>
      </c>
      <c r="E12" s="8" t="s">
        <v>52</v>
      </c>
      <c r="F12" s="6" t="s">
        <v>53</v>
      </c>
      <c r="G12" s="9" t="s">
        <v>651</v>
      </c>
      <c r="H12" s="10">
        <v>10</v>
      </c>
      <c r="I12" s="11" t="s">
        <v>650</v>
      </c>
      <c r="J12" s="12"/>
    </row>
    <row r="13" spans="1:10" ht="60" customHeight="1" x14ac:dyDescent="0.3">
      <c r="A13" s="6" t="s">
        <v>54</v>
      </c>
      <c r="B13" s="6" t="s">
        <v>26</v>
      </c>
      <c r="C13" s="6" t="s">
        <v>12</v>
      </c>
      <c r="D13" s="7" t="s">
        <v>55</v>
      </c>
      <c r="E13" s="8" t="s">
        <v>56</v>
      </c>
      <c r="F13" s="6" t="s">
        <v>57</v>
      </c>
      <c r="G13" s="9" t="s">
        <v>661</v>
      </c>
      <c r="H13" s="10">
        <v>10</v>
      </c>
      <c r="I13" s="11" t="s">
        <v>660</v>
      </c>
      <c r="J13" s="12"/>
    </row>
    <row r="14" spans="1:10" ht="60" customHeight="1" x14ac:dyDescent="0.3">
      <c r="A14" s="6" t="s">
        <v>58</v>
      </c>
      <c r="B14" s="6" t="s">
        <v>16</v>
      </c>
      <c r="C14" s="6" t="s">
        <v>12</v>
      </c>
      <c r="D14" s="7" t="s">
        <v>59</v>
      </c>
      <c r="E14" s="8" t="s">
        <v>60</v>
      </c>
      <c r="F14" s="6" t="s">
        <v>61</v>
      </c>
      <c r="G14" s="9" t="s">
        <v>652</v>
      </c>
      <c r="H14" s="10">
        <v>12</v>
      </c>
      <c r="I14" s="11" t="s">
        <v>653</v>
      </c>
      <c r="J14" s="12"/>
    </row>
    <row r="15" spans="1:10" ht="60" customHeight="1" x14ac:dyDescent="0.3">
      <c r="A15" s="6" t="s">
        <v>62</v>
      </c>
      <c r="B15" s="6" t="s">
        <v>16</v>
      </c>
      <c r="C15" s="6" t="s">
        <v>12</v>
      </c>
      <c r="D15" s="7" t="s">
        <v>63</v>
      </c>
      <c r="E15" s="8" t="s">
        <v>64</v>
      </c>
      <c r="F15" s="6" t="s">
        <v>65</v>
      </c>
      <c r="G15" s="9" t="s">
        <v>657</v>
      </c>
      <c r="H15" s="10">
        <v>12</v>
      </c>
      <c r="I15" s="11" t="s">
        <v>656</v>
      </c>
      <c r="J15" s="12"/>
    </row>
    <row r="16" spans="1:10" ht="60" customHeight="1" x14ac:dyDescent="0.3">
      <c r="A16" s="6" t="s">
        <v>66</v>
      </c>
      <c r="B16" s="6" t="s">
        <v>11</v>
      </c>
      <c r="C16" s="6" t="s">
        <v>12</v>
      </c>
      <c r="D16" s="7" t="s">
        <v>67</v>
      </c>
      <c r="E16" s="8" t="s">
        <v>68</v>
      </c>
      <c r="F16" s="6" t="s">
        <v>69</v>
      </c>
      <c r="G16" s="9" t="s">
        <v>658</v>
      </c>
      <c r="H16" s="10">
        <v>13</v>
      </c>
      <c r="I16" s="11" t="s">
        <v>654</v>
      </c>
      <c r="J16" s="12"/>
    </row>
    <row r="17" spans="1:10" ht="60" customHeight="1" x14ac:dyDescent="0.3">
      <c r="A17" s="6" t="s">
        <v>70</v>
      </c>
      <c r="B17" s="6" t="s">
        <v>42</v>
      </c>
      <c r="C17" s="6" t="s">
        <v>12</v>
      </c>
      <c r="D17" s="7" t="s">
        <v>71</v>
      </c>
      <c r="E17" s="8" t="s">
        <v>72</v>
      </c>
      <c r="F17" s="6" t="s">
        <v>73</v>
      </c>
      <c r="G17" s="9" t="s">
        <v>663</v>
      </c>
      <c r="H17" s="10">
        <v>15</v>
      </c>
      <c r="I17" s="11" t="s">
        <v>662</v>
      </c>
      <c r="J17" s="12"/>
    </row>
    <row r="18" spans="1:10" ht="60" customHeight="1" x14ac:dyDescent="0.3">
      <c r="A18" s="6" t="s">
        <v>74</v>
      </c>
      <c r="B18" s="6" t="s">
        <v>16</v>
      </c>
      <c r="C18" s="6" t="s">
        <v>12</v>
      </c>
      <c r="D18" s="7" t="s">
        <v>75</v>
      </c>
      <c r="E18" s="8" t="s">
        <v>76</v>
      </c>
      <c r="F18" s="6" t="s">
        <v>77</v>
      </c>
      <c r="G18" s="9" t="s">
        <v>664</v>
      </c>
      <c r="H18" s="10">
        <v>16</v>
      </c>
      <c r="I18" s="11" t="s">
        <v>656</v>
      </c>
      <c r="J18" s="12"/>
    </row>
    <row r="19" spans="1:10" ht="60" customHeight="1" x14ac:dyDescent="0.3">
      <c r="A19" s="6" t="s">
        <v>78</v>
      </c>
      <c r="B19" s="6" t="s">
        <v>62</v>
      </c>
      <c r="C19" s="6" t="s">
        <v>12</v>
      </c>
      <c r="D19" s="7" t="s">
        <v>79</v>
      </c>
      <c r="E19" s="8" t="s">
        <v>80</v>
      </c>
      <c r="F19" s="6" t="s">
        <v>81</v>
      </c>
      <c r="G19" s="9" t="s">
        <v>651</v>
      </c>
      <c r="H19" s="10">
        <v>17</v>
      </c>
      <c r="I19" s="11" t="s">
        <v>650</v>
      </c>
      <c r="J19" s="12"/>
    </row>
    <row r="20" spans="1:10" ht="60" customHeight="1" x14ac:dyDescent="0.3">
      <c r="A20" s="6" t="s">
        <v>82</v>
      </c>
      <c r="B20" s="6" t="s">
        <v>50</v>
      </c>
      <c r="C20" s="6" t="s">
        <v>83</v>
      </c>
      <c r="D20" s="7" t="s">
        <v>84</v>
      </c>
      <c r="E20" s="8" t="s">
        <v>85</v>
      </c>
      <c r="F20" s="6" t="s">
        <v>86</v>
      </c>
      <c r="G20" s="9" t="s">
        <v>665</v>
      </c>
      <c r="H20" s="10">
        <v>11</v>
      </c>
      <c r="I20" s="11" t="s">
        <v>656</v>
      </c>
      <c r="J20" s="12"/>
    </row>
    <row r="21" spans="1:10" ht="60" customHeight="1" x14ac:dyDescent="0.3">
      <c r="A21" s="6" t="s">
        <v>87</v>
      </c>
      <c r="B21" s="6" t="s">
        <v>16</v>
      </c>
      <c r="C21" s="6" t="s">
        <v>12</v>
      </c>
      <c r="D21" s="7" t="s">
        <v>88</v>
      </c>
      <c r="E21" s="8" t="s">
        <v>89</v>
      </c>
      <c r="F21" s="6" t="s">
        <v>90</v>
      </c>
      <c r="G21" s="9" t="s">
        <v>666</v>
      </c>
      <c r="H21" s="10">
        <v>1</v>
      </c>
      <c r="I21" s="11" t="s">
        <v>662</v>
      </c>
      <c r="J21" s="12"/>
    </row>
    <row r="22" spans="1:10" ht="60" customHeight="1" x14ac:dyDescent="0.3">
      <c r="A22" s="6" t="s">
        <v>91</v>
      </c>
      <c r="B22" s="6" t="s">
        <v>91</v>
      </c>
      <c r="C22" s="6" t="s">
        <v>12</v>
      </c>
      <c r="D22" s="7" t="s">
        <v>92</v>
      </c>
      <c r="E22" s="8" t="s">
        <v>93</v>
      </c>
      <c r="F22" s="6" t="s">
        <v>94</v>
      </c>
      <c r="G22" s="9" t="s">
        <v>159</v>
      </c>
      <c r="H22" s="10">
        <v>20</v>
      </c>
      <c r="I22" s="11" t="s">
        <v>669</v>
      </c>
      <c r="J22" s="12"/>
    </row>
    <row r="23" spans="1:10" ht="60" customHeight="1" x14ac:dyDescent="0.3">
      <c r="A23" s="6" t="s">
        <v>95</v>
      </c>
      <c r="B23" s="6" t="s">
        <v>74</v>
      </c>
      <c r="C23" s="6" t="s">
        <v>12</v>
      </c>
      <c r="D23" s="7" t="s">
        <v>96</v>
      </c>
      <c r="E23" s="8" t="s">
        <v>97</v>
      </c>
      <c r="F23" s="6" t="s">
        <v>98</v>
      </c>
      <c r="G23" s="9" t="s">
        <v>651</v>
      </c>
      <c r="H23" s="10">
        <v>21</v>
      </c>
      <c r="I23" s="11" t="s">
        <v>650</v>
      </c>
      <c r="J23" s="12"/>
    </row>
    <row r="24" spans="1:10" ht="60" customHeight="1" x14ac:dyDescent="0.3">
      <c r="A24" s="6" t="s">
        <v>99</v>
      </c>
      <c r="B24" s="6" t="s">
        <v>16</v>
      </c>
      <c r="C24" s="6" t="s">
        <v>12</v>
      </c>
      <c r="D24" s="7" t="s">
        <v>100</v>
      </c>
      <c r="E24" s="8" t="s">
        <v>101</v>
      </c>
      <c r="F24" s="6" t="s">
        <v>102</v>
      </c>
      <c r="G24" s="9" t="s">
        <v>646</v>
      </c>
      <c r="H24" s="10">
        <v>22</v>
      </c>
      <c r="I24" s="11" t="s">
        <v>647</v>
      </c>
      <c r="J24" s="12"/>
    </row>
    <row r="25" spans="1:10" ht="60" customHeight="1" x14ac:dyDescent="0.3">
      <c r="A25" s="6" t="s">
        <v>103</v>
      </c>
      <c r="B25" s="6" t="s">
        <v>104</v>
      </c>
      <c r="C25" s="6" t="s">
        <v>12</v>
      </c>
      <c r="D25" s="7" t="s">
        <v>105</v>
      </c>
      <c r="E25" s="8" t="s">
        <v>106</v>
      </c>
      <c r="F25" s="6" t="s">
        <v>107</v>
      </c>
      <c r="G25" s="9" t="s">
        <v>648</v>
      </c>
      <c r="H25" s="10">
        <v>23</v>
      </c>
      <c r="I25" s="11" t="s">
        <v>649</v>
      </c>
      <c r="J25" s="12"/>
    </row>
    <row r="26" spans="1:10" ht="60" customHeight="1" x14ac:dyDescent="0.3">
      <c r="A26" s="6" t="s">
        <v>108</v>
      </c>
      <c r="B26" s="6" t="s">
        <v>16</v>
      </c>
      <c r="C26" s="6" t="s">
        <v>12</v>
      </c>
      <c r="D26" s="7" t="s">
        <v>109</v>
      </c>
      <c r="E26" s="8" t="s">
        <v>110</v>
      </c>
      <c r="F26" s="6" t="s">
        <v>111</v>
      </c>
      <c r="G26" s="9" t="s">
        <v>667</v>
      </c>
      <c r="H26" s="10">
        <v>24</v>
      </c>
      <c r="I26" s="11" t="s">
        <v>656</v>
      </c>
      <c r="J26" s="12"/>
    </row>
    <row r="27" spans="1:10" ht="60" customHeight="1" x14ac:dyDescent="0.3">
      <c r="A27" s="6" t="s">
        <v>112</v>
      </c>
      <c r="B27" s="6" t="s">
        <v>38</v>
      </c>
      <c r="C27" s="6" t="s">
        <v>113</v>
      </c>
      <c r="D27" s="7" t="s">
        <v>114</v>
      </c>
      <c r="E27" s="8" t="s">
        <v>115</v>
      </c>
      <c r="F27" s="6" t="s">
        <v>116</v>
      </c>
      <c r="G27" s="9" t="s">
        <v>663</v>
      </c>
      <c r="H27" s="10">
        <v>27</v>
      </c>
      <c r="I27" s="11" t="s">
        <v>662</v>
      </c>
      <c r="J27" s="12"/>
    </row>
    <row r="28" spans="1:10" ht="60" customHeight="1" x14ac:dyDescent="0.3">
      <c r="A28" s="6" t="s">
        <v>117</v>
      </c>
      <c r="B28" s="6" t="s">
        <v>46</v>
      </c>
      <c r="C28" s="6" t="s">
        <v>12</v>
      </c>
      <c r="D28" s="7" t="s">
        <v>118</v>
      </c>
      <c r="E28" s="8" t="s">
        <v>119</v>
      </c>
      <c r="F28" s="6" t="s">
        <v>120</v>
      </c>
      <c r="G28" s="9" t="s">
        <v>648</v>
      </c>
      <c r="H28" s="10">
        <v>26</v>
      </c>
      <c r="I28" s="11" t="s">
        <v>649</v>
      </c>
      <c r="J28" s="12"/>
    </row>
    <row r="29" spans="1:10" ht="60" customHeight="1" x14ac:dyDescent="0.3">
      <c r="A29" s="6" t="s">
        <v>121</v>
      </c>
      <c r="B29" s="6" t="s">
        <v>16</v>
      </c>
      <c r="C29" s="6" t="s">
        <v>12</v>
      </c>
      <c r="D29" s="7" t="s">
        <v>88</v>
      </c>
      <c r="E29" s="8" t="s">
        <v>122</v>
      </c>
      <c r="F29" s="6" t="s">
        <v>123</v>
      </c>
      <c r="G29" s="9" t="s">
        <v>658</v>
      </c>
      <c r="H29" s="10">
        <v>27</v>
      </c>
      <c r="I29" s="11" t="s">
        <v>659</v>
      </c>
      <c r="J29" s="12"/>
    </row>
    <row r="30" spans="1:10" ht="60" customHeight="1" x14ac:dyDescent="0.3">
      <c r="A30" s="6" t="s">
        <v>124</v>
      </c>
      <c r="B30" s="6" t="s">
        <v>16</v>
      </c>
      <c r="C30" s="6" t="s">
        <v>12</v>
      </c>
      <c r="D30" s="7" t="s">
        <v>125</v>
      </c>
      <c r="E30" s="8" t="s">
        <v>126</v>
      </c>
      <c r="F30" s="6" t="s">
        <v>127</v>
      </c>
      <c r="G30" s="9" t="s">
        <v>665</v>
      </c>
      <c r="H30" s="10">
        <v>28</v>
      </c>
      <c r="I30" s="11" t="s">
        <v>656</v>
      </c>
      <c r="J30" s="12"/>
    </row>
    <row r="31" spans="1:10" ht="60" customHeight="1" x14ac:dyDescent="0.3">
      <c r="A31" s="6" t="s">
        <v>128</v>
      </c>
      <c r="B31" s="6" t="s">
        <v>22</v>
      </c>
      <c r="C31" s="6" t="s">
        <v>12</v>
      </c>
      <c r="D31" s="7" t="s">
        <v>129</v>
      </c>
      <c r="E31" s="8" t="s">
        <v>130</v>
      </c>
      <c r="F31" s="6" t="s">
        <v>131</v>
      </c>
      <c r="G31" s="9" t="s">
        <v>668</v>
      </c>
      <c r="H31" s="10">
        <v>28</v>
      </c>
      <c r="I31" s="11" t="s">
        <v>647</v>
      </c>
      <c r="J31" s="12"/>
    </row>
    <row r="32" spans="1:10" ht="60" customHeight="1" x14ac:dyDescent="0.3">
      <c r="A32" s="6" t="s">
        <v>132</v>
      </c>
      <c r="B32" s="6" t="s">
        <v>11</v>
      </c>
      <c r="C32" s="6" t="s">
        <v>12</v>
      </c>
      <c r="D32" s="7" t="s">
        <v>109</v>
      </c>
      <c r="E32" s="8" t="s">
        <v>133</v>
      </c>
      <c r="F32" s="6" t="s">
        <v>134</v>
      </c>
      <c r="G32" s="9" t="s">
        <v>651</v>
      </c>
      <c r="H32" s="10">
        <v>30</v>
      </c>
      <c r="I32" s="11" t="s">
        <v>650</v>
      </c>
      <c r="J32" s="12"/>
    </row>
    <row r="33" spans="1:10" ht="60" customHeight="1" x14ac:dyDescent="0.3">
      <c r="A33" s="6" t="s">
        <v>104</v>
      </c>
      <c r="B33" s="6" t="s">
        <v>22</v>
      </c>
      <c r="C33" s="6" t="s">
        <v>12</v>
      </c>
      <c r="D33" s="7" t="s">
        <v>135</v>
      </c>
      <c r="E33" s="8" t="s">
        <v>136</v>
      </c>
      <c r="F33" s="6" t="s">
        <v>137</v>
      </c>
      <c r="G33" s="9" t="s">
        <v>665</v>
      </c>
      <c r="H33" s="10">
        <v>31</v>
      </c>
      <c r="I33" s="11" t="s">
        <v>656</v>
      </c>
      <c r="J33" s="12"/>
    </row>
    <row r="34" spans="1:10" ht="60" customHeight="1" x14ac:dyDescent="0.3">
      <c r="A34" s="6" t="s">
        <v>138</v>
      </c>
      <c r="B34" s="6" t="s">
        <v>11</v>
      </c>
      <c r="C34" s="6" t="s">
        <v>139</v>
      </c>
      <c r="D34" s="7" t="s">
        <v>140</v>
      </c>
      <c r="E34" s="8" t="s">
        <v>141</v>
      </c>
      <c r="F34" s="6" t="s">
        <v>142</v>
      </c>
      <c r="G34" s="9" t="s">
        <v>652</v>
      </c>
      <c r="H34" s="10">
        <v>1</v>
      </c>
      <c r="I34" s="11" t="s">
        <v>653</v>
      </c>
      <c r="J3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82"/>
  <sheetViews>
    <sheetView workbookViewId="0">
      <pane xSplit="1" ySplit="1" topLeftCell="B774" activePane="bottomRight" state="frozen"/>
      <selection pane="topRight" activeCell="B1" sqref="B1"/>
      <selection pane="bottomLeft" activeCell="A2" sqref="A2"/>
      <selection pane="bottomRight" activeCell="H778" sqref="H77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143</v>
      </c>
      <c r="B1" s="13" t="s">
        <v>144</v>
      </c>
      <c r="C1" s="13" t="s">
        <v>145</v>
      </c>
      <c r="D1" s="13" t="s">
        <v>146</v>
      </c>
      <c r="E1" s="14" t="s">
        <v>147</v>
      </c>
      <c r="F1" s="15" t="s">
        <v>148</v>
      </c>
      <c r="G1" s="16" t="s">
        <v>149</v>
      </c>
      <c r="H1" s="17" t="s">
        <v>150</v>
      </c>
      <c r="I1" s="18" t="s">
        <v>151</v>
      </c>
      <c r="J1" s="18" t="s">
        <v>152</v>
      </c>
      <c r="K1" s="18" t="s">
        <v>153</v>
      </c>
      <c r="L1" s="19" t="s">
        <v>9</v>
      </c>
    </row>
    <row r="2" spans="1:12" x14ac:dyDescent="0.3">
      <c r="A2" t="s">
        <v>154</v>
      </c>
    </row>
    <row r="3" spans="1:12" x14ac:dyDescent="0.3">
      <c r="A3" t="s">
        <v>155</v>
      </c>
      <c r="B3" s="20" t="s">
        <v>156</v>
      </c>
      <c r="C3" s="20" t="s">
        <v>157</v>
      </c>
      <c r="D3" s="20" t="s">
        <v>158</v>
      </c>
      <c r="E3" s="21" t="s">
        <v>571</v>
      </c>
      <c r="F3" s="22" t="str">
        <f>IF(OR(E3="",E3="!!!"),"",IF(NOT(ISNA(VLOOKUP(E3,E$1:E2,1,FALSE()))),"OLD",IF(AND(E3&lt;&gt;"",E3&lt;&gt;"!!!"),"NEW","")))</f>
        <v>NEW</v>
      </c>
      <c r="G3" s="23" t="s">
        <v>643</v>
      </c>
      <c r="H3" s="24" t="str">
        <f t="shared" ref="H3:H9"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159</v>
      </c>
      <c r="E4" s="21" t="str">
        <f t="shared" ref="E4:E8"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160</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161</v>
      </c>
      <c r="B6" s="20" t="s">
        <v>162</v>
      </c>
      <c r="C6" s="20" t="s">
        <v>157</v>
      </c>
      <c r="D6" s="20" t="s">
        <v>158</v>
      </c>
      <c r="E6" s="21" t="s">
        <v>614</v>
      </c>
      <c r="F6" s="22" t="str">
        <f>IF(OR(E6="",E6="!!!"),"",IF(NOT(ISNA(VLOOKUP(E6,E$1:E5,1,FALSE()))),"OLD",IF(AND(E6&lt;&gt;"",E6&lt;&gt;"!!!"),"NEW","")))</f>
        <v>NEW</v>
      </c>
      <c r="G6" s="23" t="s">
        <v>641</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163</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164</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165</v>
      </c>
      <c r="B9" s="20" t="s">
        <v>166</v>
      </c>
      <c r="C9" s="20" t="s">
        <v>167</v>
      </c>
      <c r="D9" s="20" t="s">
        <v>158</v>
      </c>
      <c r="E9" s="21" t="s">
        <v>572</v>
      </c>
      <c r="F9" s="22" t="s">
        <v>618</v>
      </c>
      <c r="G9" s="23" t="s">
        <v>641</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1" spans="1:12" x14ac:dyDescent="0.3">
      <c r="A11" t="s">
        <v>168</v>
      </c>
    </row>
    <row r="12" spans="1:12" x14ac:dyDescent="0.3">
      <c r="A12" t="s">
        <v>169</v>
      </c>
      <c r="B12" s="20" t="s">
        <v>166</v>
      </c>
      <c r="C12" s="20" t="s">
        <v>170</v>
      </c>
      <c r="E12" s="21" t="str">
        <f>IF(D12="?OLD","!!!","")</f>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ca="1">IF(J12&lt;&gt;1,"",IF(I12="SBJ","CB","?"))</f>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171</v>
      </c>
      <c r="B13" s="20" t="s">
        <v>156</v>
      </c>
      <c r="C13" s="20" t="s">
        <v>172</v>
      </c>
      <c r="D13" s="20" t="s">
        <v>158</v>
      </c>
      <c r="E13" s="21" t="s">
        <v>575</v>
      </c>
      <c r="F13" s="22" t="s">
        <v>574</v>
      </c>
      <c r="G13" s="23"/>
      <c r="H13" s="24" t="str">
        <f ca="1">IF(J13&lt;&gt;1,"",IF(I13="SBJ","CB","?"))</f>
        <v/>
      </c>
      <c r="I13" s="25" t="e">
        <f>IF(OR(E13="",E13="!!!",F13="NEW"),"",INDEX(B$2:B12,-1+SUMPRODUCT(MAX(ROW(E$2:E12)*(E13=E$2:E12)))))</f>
        <v>#VALUE!</v>
      </c>
      <c r="J13" s="25">
        <f ca="1">IF(OR(E13="",E13="!!!",F13="NEW"),"",COUNTBLANK(OFFSET(A$1,,,SUMPRODUCT(MAX(ROW(E$2:E13)*(E13=E$2:E13)))))-COUNTBLANK(OFFSET(A$1,,,SUMPRODUCT(MAX(ROW(E$1:E12)*(E2=E$1:E12))))))</f>
        <v>0</v>
      </c>
      <c r="K13" s="25" t="e">
        <f>IF(OR(E13="",E13="!!!",F13="NEW"),"",INDEX(J$1:J12,SUMPRODUCT(MAX(ROW(E$1:E12)*(E13=E$1:E12)))))</f>
        <v>#VALUE!</v>
      </c>
      <c r="L13" s="26"/>
    </row>
    <row r="14" spans="1:12" x14ac:dyDescent="0.3">
      <c r="A14" t="s">
        <v>173</v>
      </c>
      <c r="E14" s="21" t="str">
        <f>IF(D14="?OLD","!!!","")</f>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ca="1">IF(J14&lt;&gt;1,"",IF(I14="SBJ","CB","?"))</f>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174</v>
      </c>
      <c r="B15" s="20" t="s">
        <v>162</v>
      </c>
      <c r="C15" s="20" t="s">
        <v>167</v>
      </c>
      <c r="D15" s="20" t="s">
        <v>158</v>
      </c>
      <c r="E15" s="21"/>
      <c r="F15" s="22" t="s">
        <v>573</v>
      </c>
      <c r="G15" s="23" t="str">
        <f>IF(OR(E15="",E15="!!!"),"",IF(OR(J15=0,AND(J15=1,K15=1),AND(J15=1,I15="SBJ"),AND(J15=1,I15=0)),"?IN_FOCUS",IF(J15&lt;=2,"?ACTIVATED",IF(J15&lt;&gt;"","?FAMILIAR",IF(F15="NEW",IF(ISNA(VLOOKUP(E15,#REF!,1,FALSE())),"?TYPE_IDENTIFIABLE","?REFERENTIAL"),"_")))))</f>
        <v/>
      </c>
      <c r="H15" s="24" t="str">
        <f ca="1">IF(J15&lt;&gt;1,"",IF(I15="SBJ","CB","?"))</f>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175</v>
      </c>
      <c r="E16" s="21" t="str">
        <f>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ca="1">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8" spans="1:12" x14ac:dyDescent="0.3">
      <c r="A18" t="s">
        <v>176</v>
      </c>
    </row>
    <row r="19" spans="1:12" x14ac:dyDescent="0.3">
      <c r="A19" t="s">
        <v>169</v>
      </c>
      <c r="B19" s="20" t="s">
        <v>166</v>
      </c>
      <c r="C19" s="20" t="s">
        <v>170</v>
      </c>
      <c r="E19" s="21" t="str">
        <f>IF(D19="?OLD","!!!","")</f>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ca="1">IF(J19&lt;&gt;1,"",IF(I19="SBJ","CB","?"))</f>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171</v>
      </c>
      <c r="B20" s="20" t="s">
        <v>156</v>
      </c>
      <c r="C20" s="20" t="s">
        <v>172</v>
      </c>
      <c r="D20" s="20" t="s">
        <v>158</v>
      </c>
      <c r="E20" s="21" t="s">
        <v>575</v>
      </c>
      <c r="F20" s="22" t="str">
        <f>IF(OR(E20="",E20="!!!"),"",IF(NOT(ISNA(VLOOKUP(E20,E$1:E19,1,FALSE()))),"OLD",IF(AND(E20&lt;&gt;"",E20&lt;&gt;"!!!"),"NEW","")))</f>
        <v>OLD</v>
      </c>
      <c r="G20" s="23" t="s">
        <v>642</v>
      </c>
      <c r="H20" s="24" t="s">
        <v>150</v>
      </c>
      <c r="I20" s="25" t="str">
        <f>IF(OR(E20="",E20="!!!",F20="NEW"),"",INDEX(B$2:B19,-1+SUMPRODUCT(MAX(ROW(E$2:E19)*(E20=E$2:E19)))))</f>
        <v>SBJ</v>
      </c>
      <c r="J20" s="25">
        <f ca="1">IF(OR(E20="",E20="!!!",F20="NEW"),"",COUNTBLANK(OFFSET(A$1,,,SUMPRODUCT(MAX(ROW(E$2:E20)*(E20=E$2:E20)))))-COUNTBLANK(OFFSET(A$1,,,SUMPRODUCT(MAX(ROW(E$1:E19)*(E2=E$1:E19))))))</f>
        <v>0</v>
      </c>
      <c r="K20" s="25">
        <f ca="1">IF(OR(E20="",E20="!!!",F20="NEW"),"",INDEX(J$1:J19,SUMPRODUCT(MAX(ROW(E$1:E19)*(E20=E$1:E19)))))</f>
        <v>0</v>
      </c>
      <c r="L20" s="26"/>
    </row>
    <row r="21" spans="1:12" x14ac:dyDescent="0.3">
      <c r="A21" t="s">
        <v>173</v>
      </c>
      <c r="E21" s="21" t="str">
        <f>IF(D21="?OLD","!!!","")</f>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ca="1">IF(J21&lt;&gt;1,"",IF(I21="SBJ","CB","?"))</f>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177</v>
      </c>
      <c r="B22" s="20" t="s">
        <v>162</v>
      </c>
      <c r="C22" s="20" t="s">
        <v>167</v>
      </c>
      <c r="D22" s="20" t="s">
        <v>158</v>
      </c>
      <c r="E22" s="21"/>
      <c r="F22" s="22" t="s">
        <v>573</v>
      </c>
      <c r="G22" s="23" t="str">
        <f>IF(OR(E22="",E22="!!!"),"",IF(OR(J22=0,AND(J22=1,K22=1),AND(J22=1,I22="SBJ"),AND(J22=1,I22=0)),"?IN_FOCUS",IF(J22&lt;=2,"?ACTIVATED",IF(J22&lt;&gt;"","?FAMILIAR",IF(F22="NEW",IF(ISNA(VLOOKUP(E22,#REF!,1,FALSE())),"?TYPE_IDENTIFIABLE","?REFERENTIAL"),"_")))))</f>
        <v/>
      </c>
      <c r="H22" s="24" t="str">
        <f ca="1">IF(J22&lt;&gt;1,"",IF(I22="SBJ","CB","?"))</f>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175</v>
      </c>
      <c r="E23" s="21" t="str">
        <f>IF(D23="?OLD","!!!","")</f>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ca="1">IF(J23&lt;&gt;1,"",IF(I23="SBJ","CB","?"))</f>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5" spans="1:12" x14ac:dyDescent="0.3">
      <c r="A25" t="s">
        <v>178</v>
      </c>
    </row>
    <row r="26" spans="1:12" x14ac:dyDescent="0.3">
      <c r="A26" t="s">
        <v>155</v>
      </c>
      <c r="B26" s="20" t="s">
        <v>156</v>
      </c>
      <c r="C26" s="20" t="s">
        <v>157</v>
      </c>
      <c r="D26" s="20" t="s">
        <v>158</v>
      </c>
      <c r="E26" s="21" t="s">
        <v>571</v>
      </c>
      <c r="F26" s="22" t="str">
        <f>IF(OR(E26="",E26="!!!"),"",IF(NOT(ISNA(VLOOKUP(E26,E$1:E25,1,FALSE()))),"OLD",IF(AND(E26&lt;&gt;"",E26&lt;&gt;"!!!"),"NEW","")))</f>
        <v>OLD</v>
      </c>
      <c r="G26" s="23" t="s">
        <v>642</v>
      </c>
      <c r="H26" s="24" t="str">
        <f t="shared" ref="H26:H33" ca="1" si="2">IF(J26&lt;&gt;1,"",IF(I26="SBJ","CB","?"))</f>
        <v/>
      </c>
      <c r="I26" s="25" t="str">
        <f>IF(OR(E26="",E26="!!!",F26="NEW"),"",INDEX(B$2:B25,-1+SUMPRODUCT(MAX(ROW(E$2:E25)*(E26=E$2:E25)))))</f>
        <v>SBJ</v>
      </c>
      <c r="J26" s="25">
        <f ca="1">IF(OR(E26="",E26="!!!",F26="NEW"),"",COUNTBLANK(OFFSET(A$1,,,SUMPRODUCT(MAX(ROW(E$2:E26)*(E26=E$2:E26)))))-COUNTBLANK(OFFSET(A$1,,,SUMPRODUCT(MAX(ROW(E$1:E25)*(E2=E$1:E25))))))</f>
        <v>0</v>
      </c>
      <c r="K26" s="25" t="str">
        <f ca="1">IF(OR(E26="",E26="!!!",F26="NEW"),"",INDEX(J$1:J25,SUMPRODUCT(MAX(ROW(E$1:E25)*(E26=E$1:E25)))))</f>
        <v/>
      </c>
      <c r="L26" s="26"/>
    </row>
    <row r="27" spans="1:12" x14ac:dyDescent="0.3">
      <c r="A27" t="s">
        <v>159</v>
      </c>
      <c r="E27" s="21" t="str">
        <f t="shared" ref="E27:E33" si="3">IF(D27="?OLD","!!!","")</f>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2"/>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179</v>
      </c>
      <c r="E28" s="21" t="str">
        <f t="shared" si="3"/>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2"/>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180</v>
      </c>
      <c r="E29" s="21" t="str">
        <f t="shared" si="3"/>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2"/>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181</v>
      </c>
      <c r="B30" s="20" t="s">
        <v>166</v>
      </c>
      <c r="C30" s="20" t="s">
        <v>182</v>
      </c>
      <c r="E30" s="21" t="str">
        <f t="shared" si="3"/>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2"/>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183</v>
      </c>
      <c r="E31" s="21" t="str">
        <f t="shared" si="3"/>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2"/>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184</v>
      </c>
      <c r="E32" s="21" t="str">
        <f t="shared" si="3"/>
        <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2"/>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175</v>
      </c>
      <c r="E33" s="21" t="str">
        <f t="shared" si="3"/>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2"/>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5" spans="1:12" x14ac:dyDescent="0.3">
      <c r="A35" t="s">
        <v>185</v>
      </c>
    </row>
    <row r="36" spans="1:12" x14ac:dyDescent="0.3">
      <c r="A36" t="s">
        <v>186</v>
      </c>
      <c r="E36" s="21" t="str">
        <f>IF(D36="?OLD","!!!","")</f>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ca="1">IF(J36&lt;&gt;1,"",IF(I36="SBJ","CB","?"))</f>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180</v>
      </c>
      <c r="E37" s="21" t="str">
        <f>IF(D37="?OLD","!!!","")</f>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ca="1">IF(J37&lt;&gt;1,"",IF(I37="SBJ","CB","?"))</f>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164</v>
      </c>
      <c r="E38" s="21" t="str">
        <f>IF(D38="?OLD","!!!","")</f>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ca="1">IF(J38&lt;&gt;1,"",IF(I38="SBJ","CB","?"))</f>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187</v>
      </c>
      <c r="B39" s="20" t="s">
        <v>166</v>
      </c>
      <c r="C39" s="20" t="s">
        <v>167</v>
      </c>
      <c r="D39" s="20" t="s">
        <v>158</v>
      </c>
      <c r="E39" s="21" t="s">
        <v>576</v>
      </c>
      <c r="F39" s="22" t="str">
        <f>IF(OR(E39="",E39="!!!"),"",IF(NOT(ISNA(VLOOKUP(E39,E$1:E38,1,FALSE()))),"OLD",IF(AND(E39&lt;&gt;"",E39&lt;&gt;"!!!"),"NEW","")))</f>
        <v>NEW</v>
      </c>
      <c r="G39" s="23" t="s">
        <v>643</v>
      </c>
      <c r="H39" s="24" t="str">
        <f ca="1">IF(J39&lt;&gt;1,"",IF(I39="SBJ","CB","?"))</f>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175</v>
      </c>
      <c r="E40" s="21" t="str">
        <f>IF(D40="?OLD","!!!","")</f>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ca="1">IF(J40&lt;&gt;1,"",IF(I40="SBJ","CB","?"))</f>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2" spans="1:12" x14ac:dyDescent="0.3">
      <c r="A42" t="s">
        <v>188</v>
      </c>
    </row>
    <row r="43" spans="1:12" x14ac:dyDescent="0.3">
      <c r="A43" t="s">
        <v>189</v>
      </c>
      <c r="B43" s="20" t="s">
        <v>166</v>
      </c>
      <c r="C43" s="20" t="s">
        <v>157</v>
      </c>
      <c r="D43" s="20" t="s">
        <v>158</v>
      </c>
      <c r="E43" s="21"/>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ca="1">IF(J43&lt;&gt;1,"",IF(I43="SBJ","CB","?"))</f>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t="s">
        <v>578</v>
      </c>
    </row>
    <row r="44" spans="1:12" x14ac:dyDescent="0.3">
      <c r="A44" t="s">
        <v>180</v>
      </c>
      <c r="E44" s="21" t="str">
        <f>IF(D44="?OLD","!!!","")</f>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ca="1">IF(J44&lt;&gt;1,"",IF(I44="SBJ","CB","?"))</f>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164</v>
      </c>
      <c r="E45" s="21" t="str">
        <f>IF(D45="?OLD","!!!","")</f>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ca="1">IF(J45&lt;&gt;1,"",IF(I45="SBJ","CB","?"))</f>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31</v>
      </c>
      <c r="B46" s="20" t="s">
        <v>166</v>
      </c>
      <c r="C46" s="20" t="s">
        <v>167</v>
      </c>
      <c r="D46" s="20" t="s">
        <v>158</v>
      </c>
      <c r="E46" s="21" t="s">
        <v>577</v>
      </c>
      <c r="F46" s="22" t="str">
        <f>IF(OR(E46="",E46="!!!"),"",IF(NOT(ISNA(VLOOKUP(E46,E$1:E45,1,FALSE()))),"OLD",IF(AND(E46&lt;&gt;"",E46&lt;&gt;"!!!"),"NEW","")))</f>
        <v>NEW</v>
      </c>
      <c r="G46" s="23" t="s">
        <v>643</v>
      </c>
      <c r="H46" s="24" t="str">
        <f ca="1">IF(J46&lt;&gt;1,"",IF(I46="SBJ","CB","?"))</f>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175</v>
      </c>
      <c r="E47" s="21" t="str">
        <f>IF(D47="?OLD","!!!","")</f>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ca="1">IF(J47&lt;&gt;1,"",IF(I47="SBJ","CB","?"))</f>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9" spans="1:12" x14ac:dyDescent="0.3">
      <c r="A49" t="s">
        <v>190</v>
      </c>
    </row>
    <row r="50" spans="1:12" x14ac:dyDescent="0.3">
      <c r="A50" t="s">
        <v>191</v>
      </c>
      <c r="E50" s="21" t="str">
        <f>IF(D50="?OLD","!!!","")</f>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ca="1">IF(J50&lt;&gt;1,"",IF(I50="SBJ","CB","?"))</f>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180</v>
      </c>
      <c r="E51" s="21" t="str">
        <f>IF(D51="?OLD","!!!","")</f>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ca="1">IF(J51&lt;&gt;1,"",IF(I51="SBJ","CB","?"))</f>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164</v>
      </c>
      <c r="E52" s="21" t="str">
        <f>IF(D52="?OLD","!!!","")</f>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ca="1">IF(J52&lt;&gt;1,"",IF(I52="SBJ","CB","?"))</f>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192</v>
      </c>
      <c r="B53" s="20" t="s">
        <v>166</v>
      </c>
      <c r="C53" s="20" t="s">
        <v>167</v>
      </c>
      <c r="D53" s="20" t="s">
        <v>158</v>
      </c>
      <c r="E53" s="21" t="s">
        <v>579</v>
      </c>
      <c r="F53" s="22" t="str">
        <f>IF(OR(E53="",E53="!!!"),"",IF(NOT(ISNA(VLOOKUP(E53,E$1:E52,1,FALSE()))),"OLD",IF(AND(E53&lt;&gt;"",E53&lt;&gt;"!!!"),"NEW","")))</f>
        <v>NEW</v>
      </c>
      <c r="G53" s="23" t="s">
        <v>643</v>
      </c>
      <c r="H53" s="24" t="str">
        <f ca="1">IF(J53&lt;&gt;1,"",IF(I53="SBJ","CB","?"))</f>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175</v>
      </c>
      <c r="E54" s="21" t="str">
        <f>IF(D54="?OLD","!!!","")</f>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ca="1">IF(J54&lt;&gt;1,"",IF(I54="SBJ","CB","?"))</f>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6" spans="1:12" x14ac:dyDescent="0.3">
      <c r="A56" t="s">
        <v>193</v>
      </c>
    </row>
    <row r="57" spans="1:12" x14ac:dyDescent="0.3">
      <c r="A57" t="s">
        <v>194</v>
      </c>
      <c r="E57" s="21" t="str">
        <f>IF(D57="?OLD","!!!","")</f>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ca="1">IF(J57&lt;&gt;1,"",IF(I57="SBJ","CB","?"))</f>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195</v>
      </c>
      <c r="E58" s="21" t="str">
        <f>IF(D58="?OLD","!!!","")</f>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ca="1">IF(J58&lt;&gt;1,"",IF(I58="SBJ","CB","?"))</f>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196</v>
      </c>
      <c r="B59" s="20" t="s">
        <v>166</v>
      </c>
      <c r="C59" s="20" t="s">
        <v>170</v>
      </c>
      <c r="E59" s="21" t="str">
        <f>IF(D59="?OLD","!!!","")</f>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ca="1">IF(J59&lt;&gt;1,"",IF(I59="SBJ","CB","?"))</f>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197</v>
      </c>
      <c r="E60" s="21" t="str">
        <f>IF(D60="?OLD","!!!","")</f>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ca="1">IF(J60&lt;&gt;1,"",IF(I60="SBJ","CB","?"))</f>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175</v>
      </c>
      <c r="E61" s="21" t="str">
        <f>IF(D61="?OLD","!!!","")</f>
        <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ca="1">IF(J61&lt;&gt;1,"",IF(I61="SBJ","CB","?"))</f>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3" spans="1:12" x14ac:dyDescent="0.3">
      <c r="A63" t="s">
        <v>198</v>
      </c>
    </row>
    <row r="64" spans="1:12" x14ac:dyDescent="0.3">
      <c r="A64" t="s">
        <v>199</v>
      </c>
      <c r="E64" s="21" t="str">
        <f t="shared" ref="E64:E69" si="4">IF(D64="?OLD","!!!","")</f>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ref="H64:H69" ca="1" si="5">IF(J64&lt;&gt;1,"",IF(I64="SBJ","CB","?"))</f>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200</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201</v>
      </c>
      <c r="E66" s="21" t="str">
        <f t="shared" si="4"/>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202</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43</v>
      </c>
      <c r="B68" s="20" t="s">
        <v>166</v>
      </c>
      <c r="C68" s="20" t="s">
        <v>170</v>
      </c>
      <c r="E68" s="21" t="str">
        <f t="shared" si="4"/>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5"/>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175</v>
      </c>
      <c r="E69" s="21" t="str">
        <f t="shared" si="4"/>
        <v/>
      </c>
      <c r="F69" s="22" t="str">
        <f>IF(OR(E69="",E69="!!!"),"",IF(NOT(ISNA(VLOOKUP(E69,E$1:E68,1,FALSE()))),"OLD",IF(AND(E69&lt;&gt;"",E69&lt;&gt;"!!!"),"NEW","")))</f>
        <v/>
      </c>
      <c r="G69" s="23" t="str">
        <f>IF(OR(E69="",E69="!!!"),"",IF(OR(J69=0,AND(J69=1,K69=1),AND(J69=1,I69="SBJ"),AND(J69=1,I69=0)),"?IN_FOCUS",IF(J69&lt;=2,"?ACTIVATED",IF(J69&lt;&gt;"","?FAMILIAR",IF(F69="NEW",IF(ISNA(VLOOKUP(E69,#REF!,1,FALSE())),"?TYPE_IDENTIFIABLE","?REFERENTIAL"),"_")))))</f>
        <v/>
      </c>
      <c r="H69" s="24" t="str">
        <f t="shared" ca="1" si="5"/>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1" spans="1:12" x14ac:dyDescent="0.3">
      <c r="A71" t="s">
        <v>203</v>
      </c>
    </row>
    <row r="72" spans="1:12" x14ac:dyDescent="0.3">
      <c r="A72" t="s">
        <v>204</v>
      </c>
      <c r="E72" s="21" t="str">
        <f t="shared" ref="E72:E104" si="6">IF(D72="?OLD","!!!","")</f>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ref="H72:H104" ca="1" si="7">IF(J72&lt;&gt;1,"",IF(I72="SBJ","CB","?"))</f>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205</v>
      </c>
      <c r="E73" s="21" t="str">
        <f t="shared" si="6"/>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7"/>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4" spans="1:12" x14ac:dyDescent="0.3">
      <c r="A74" t="s">
        <v>206</v>
      </c>
      <c r="E74" s="21" t="str">
        <f t="shared" si="6"/>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7"/>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207</v>
      </c>
      <c r="E75" s="21" t="str">
        <f t="shared" si="6"/>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7"/>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208</v>
      </c>
      <c r="B76" s="20" t="s">
        <v>156</v>
      </c>
      <c r="C76" s="20" t="s">
        <v>167</v>
      </c>
      <c r="D76" s="20" t="s">
        <v>158</v>
      </c>
      <c r="E76" s="21" t="s">
        <v>571</v>
      </c>
      <c r="F76" s="22" t="str">
        <f>IF(OR(E76="",E76="!!!"),"",IF(NOT(ISNA(VLOOKUP(E76,E$1:E75,1,FALSE()))),"OLD",IF(AND(E76&lt;&gt;"",E76&lt;&gt;"!!!"),"NEW","")))</f>
        <v>OLD</v>
      </c>
      <c r="G76" s="23" t="s">
        <v>642</v>
      </c>
      <c r="H76" s="24" t="str">
        <f t="shared" ca="1" si="7"/>
        <v/>
      </c>
      <c r="I76" s="25" t="str">
        <f>IF(OR(E76="",E76="!!!",F76="NEW"),"",INDEX(B$2:B75,-1+SUMPRODUCT(MAX(ROW(E$2:E75)*(E76=E$2:E75)))))</f>
        <v>SBJ</v>
      </c>
      <c r="J76" s="25">
        <f ca="1">IF(OR(E76="",E76="!!!",F76="NEW"),"",COUNTBLANK(OFFSET(A$1,,,SUMPRODUCT(MAX(ROW(E$2:E76)*(E76=E$2:E76)))))-COUNTBLANK(OFFSET(A$1,,,SUMPRODUCT(MAX(ROW(E$1:E75)*(E2=E$1:E75))))))</f>
        <v>0</v>
      </c>
      <c r="K76" s="25">
        <f ca="1">IF(OR(E76="",E76="!!!",F76="NEW"),"",INDEX(J$1:J75,SUMPRODUCT(MAX(ROW(E$1:E75)*(E76=E$1:E75)))))</f>
        <v>0</v>
      </c>
      <c r="L76" s="26"/>
    </row>
    <row r="77" spans="1:12" x14ac:dyDescent="0.3">
      <c r="A77" t="s">
        <v>209</v>
      </c>
      <c r="E77" s="21" t="str">
        <f t="shared" si="6"/>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7"/>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210</v>
      </c>
      <c r="E78" s="21" t="str">
        <f t="shared" si="6"/>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7"/>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164</v>
      </c>
      <c r="E79" s="21" t="str">
        <f t="shared" si="6"/>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7"/>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211</v>
      </c>
      <c r="B80" s="20" t="s">
        <v>166</v>
      </c>
      <c r="C80" s="20" t="s">
        <v>157</v>
      </c>
      <c r="D80" s="20" t="s">
        <v>158</v>
      </c>
      <c r="E80" s="21" t="s">
        <v>580</v>
      </c>
      <c r="F80" s="22" t="s">
        <v>574</v>
      </c>
      <c r="G80" s="23"/>
      <c r="H80" s="24" t="str">
        <f t="shared" ca="1" si="7"/>
        <v/>
      </c>
      <c r="I80" s="25" t="e">
        <f>IF(OR(E80="",E80="!!!",F80="NEW"),"",INDEX(B$2:B79,-1+SUMPRODUCT(MAX(ROW(E$2:E79)*(E80=E$2:E79)))))</f>
        <v>#VALUE!</v>
      </c>
      <c r="J80" s="25">
        <f ca="1">IF(OR(E80="",E80="!!!",F80="NEW"),"",COUNTBLANK(OFFSET(A$1,,,SUMPRODUCT(MAX(ROW(E$2:E80)*(E80=E$2:E80)))))-COUNTBLANK(OFFSET(A$1,,,SUMPRODUCT(MAX(ROW(E$1:E79)*(E2=E$1:E79))))))</f>
        <v>0</v>
      </c>
      <c r="K80" s="25" t="e">
        <f>IF(OR(E80="",E80="!!!",F80="NEW"),"",INDEX(J$1:J79,SUMPRODUCT(MAX(ROW(E$1:E79)*(E80=E$1:E79)))))</f>
        <v>#VALUE!</v>
      </c>
      <c r="L80" s="26"/>
    </row>
    <row r="81" spans="1:12" x14ac:dyDescent="0.3">
      <c r="A81" t="s">
        <v>212</v>
      </c>
      <c r="E81" s="21" t="str">
        <f t="shared" si="6"/>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7"/>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164</v>
      </c>
      <c r="E82" s="21" t="str">
        <f t="shared" si="6"/>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7"/>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213</v>
      </c>
      <c r="B83" s="20" t="s">
        <v>166</v>
      </c>
      <c r="C83" s="20" t="s">
        <v>167</v>
      </c>
      <c r="D83" s="20" t="s">
        <v>158</v>
      </c>
      <c r="E83" s="21" t="s">
        <v>614</v>
      </c>
      <c r="F83" s="22" t="str">
        <f>IF(OR(E83="",E83="!!!"),"",IF(NOT(ISNA(VLOOKUP(E83,E$1:E82,1,FALSE()))),"OLD",IF(AND(E83&lt;&gt;"",E83&lt;&gt;"!!!"),"NEW","")))</f>
        <v>OLD</v>
      </c>
      <c r="G83" s="23" t="s">
        <v>641</v>
      </c>
      <c r="H83" s="24" t="str">
        <f t="shared" ca="1" si="7"/>
        <v/>
      </c>
      <c r="I83" s="25" t="str">
        <f>IF(OR(E83="",E83="!!!",F83="NEW"),"",INDEX(B$2:B82,-1+SUMPRODUCT(MAX(ROW(E$2:E82)*(E83=E$2:E82)))))</f>
        <v>OBJ</v>
      </c>
      <c r="J83" s="25">
        <f ca="1">IF(OR(E83="",E83="!!!",F83="NEW"),"",COUNTBLANK(OFFSET(A$1,,,SUMPRODUCT(MAX(ROW(E$2:E83)*(E83=E$2:E83)))))-COUNTBLANK(OFFSET(A$1,,,SUMPRODUCT(MAX(ROW(E$1:E82)*(E2=E$1:E82))))))</f>
        <v>0</v>
      </c>
      <c r="K83" s="25" t="str">
        <f ca="1">IF(OR(E83="",E83="!!!",F83="NEW"),"",INDEX(J$1:J82,SUMPRODUCT(MAX(ROW(E$1:E82)*(E83=E$1:E82)))))</f>
        <v/>
      </c>
      <c r="L83" s="26"/>
    </row>
    <row r="84" spans="1:12" x14ac:dyDescent="0.3">
      <c r="A84" t="s">
        <v>214</v>
      </c>
      <c r="E84" s="21" t="str">
        <f t="shared" si="6"/>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7"/>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215</v>
      </c>
      <c r="E85" s="21" t="str">
        <f t="shared" si="6"/>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7"/>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216</v>
      </c>
      <c r="E86" s="21" t="str">
        <f t="shared" si="6"/>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7"/>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217</v>
      </c>
      <c r="B87" s="20" t="s">
        <v>218</v>
      </c>
      <c r="C87" s="20" t="s">
        <v>167</v>
      </c>
      <c r="D87" s="20" t="s">
        <v>158</v>
      </c>
      <c r="E87" s="21"/>
      <c r="F87" s="22" t="s">
        <v>581</v>
      </c>
      <c r="G87" s="23" t="str">
        <f>IF(OR(E87="",E87="!!!"),"",IF(OR(J87=0,AND(J87=1,K87=1),AND(J87=1,I87="SBJ"),AND(J87=1,I87=0)),"?IN_FOCUS",IF(J87&lt;=2,"?ACTIVATED",IF(J87&lt;&gt;"","?FAMILIAR",IF(F87="NEW",IF(ISNA(VLOOKUP(E87,#REF!,1,FALSE())),"?TYPE_IDENTIFIABLE","?REFERENTIAL"),"_")))))</f>
        <v/>
      </c>
      <c r="H87" s="24" t="str">
        <f t="shared" ca="1" si="7"/>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219</v>
      </c>
      <c r="E88" s="21" t="str">
        <f t="shared" si="6"/>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7"/>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220</v>
      </c>
      <c r="B89" s="20" t="s">
        <v>221</v>
      </c>
      <c r="E89" s="21" t="s">
        <v>571</v>
      </c>
      <c r="F89" s="22" t="str">
        <f>IF(OR(E89="",E89="!!!"),"",IF(NOT(ISNA(VLOOKUP(E89,E$1:E88,1,FALSE()))),"OLD",IF(AND(E89&lt;&gt;"",E89&lt;&gt;"!!!"),"NEW","")))</f>
        <v>OLD</v>
      </c>
      <c r="G89" s="23" t="s">
        <v>642</v>
      </c>
      <c r="H89" s="24" t="str">
        <f t="shared" ca="1" si="7"/>
        <v/>
      </c>
      <c r="I89" s="25" t="str">
        <f>IF(OR(E89="",E89="!!!",F89="NEW"),"",INDEX(B$2:B88,-1+SUMPRODUCT(MAX(ROW(E$2:E88)*(E89=E$2:E88)))))</f>
        <v>SBJ</v>
      </c>
      <c r="J89" s="25">
        <f ca="1">IF(OR(E89="",E89="!!!",F89="NEW"),"",COUNTBLANK(OFFSET(A$1,,,SUMPRODUCT(MAX(ROW(E$2:E89)*(E89=E$2:E89)))))-COUNTBLANK(OFFSET(A$1,,,SUMPRODUCT(MAX(ROW(E$1:E88)*(E2=E$1:E88))))))</f>
        <v>0</v>
      </c>
      <c r="K89" s="25">
        <f ca="1">IF(OR(E89="",E89="!!!",F89="NEW"),"",INDEX(J$1:J88,SUMPRODUCT(MAX(ROW(E$1:E88)*(E89=E$1:E88)))))</f>
        <v>0</v>
      </c>
      <c r="L89" s="26"/>
    </row>
    <row r="90" spans="1:12" x14ac:dyDescent="0.3">
      <c r="A90" t="s">
        <v>214</v>
      </c>
      <c r="E90" s="21" t="str">
        <f t="shared" si="6"/>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7"/>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164</v>
      </c>
      <c r="E91" s="21" t="str">
        <f t="shared" si="6"/>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7"/>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222</v>
      </c>
      <c r="B92" s="20" t="s">
        <v>223</v>
      </c>
      <c r="C92" s="20" t="s">
        <v>167</v>
      </c>
      <c r="D92" s="20" t="s">
        <v>158</v>
      </c>
      <c r="E92" s="21" t="s">
        <v>613</v>
      </c>
      <c r="F92" s="22" t="s">
        <v>581</v>
      </c>
      <c r="G92" s="23"/>
      <c r="H92" s="24" t="str">
        <f t="shared" ca="1" si="7"/>
        <v/>
      </c>
      <c r="I92" s="25" t="e">
        <f>IF(OR(E92="",E92="!!!",F92="NEW"),"",INDEX(B$2:B91,-1+SUMPRODUCT(MAX(ROW(E$2:E91)*(E92=E$2:E91)))))</f>
        <v>#VALUE!</v>
      </c>
      <c r="J92" s="25">
        <f ca="1">IF(OR(E92="",E92="!!!",F92="NEW"),"",COUNTBLANK(OFFSET(A$1,,,SUMPRODUCT(MAX(ROW(E$2:E92)*(E92=E$2:E92)))))-COUNTBLANK(OFFSET(A$1,,,SUMPRODUCT(MAX(ROW(E$1:E91)*(E2=E$1:E91))))))</f>
        <v>0</v>
      </c>
      <c r="K92" s="25" t="e">
        <f>IF(OR(E92="",E92="!!!",F92="NEW"),"",INDEX(J$1:J91,SUMPRODUCT(MAX(ROW(E$1:E91)*(E92=E$1:E91)))))</f>
        <v>#VALUE!</v>
      </c>
      <c r="L92" s="26"/>
    </row>
    <row r="93" spans="1:12" x14ac:dyDescent="0.3">
      <c r="A93" t="s">
        <v>224</v>
      </c>
      <c r="E93" s="21" t="str">
        <f t="shared" si="6"/>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7"/>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225</v>
      </c>
      <c r="B94" s="20" t="s">
        <v>226</v>
      </c>
      <c r="C94" s="20" t="s">
        <v>167</v>
      </c>
      <c r="D94" s="20" t="s">
        <v>158</v>
      </c>
      <c r="E94" s="21" t="s">
        <v>613</v>
      </c>
      <c r="F94" s="22" t="s">
        <v>581</v>
      </c>
      <c r="G94" s="23"/>
      <c r="H94" s="24" t="str">
        <f t="shared" ca="1" si="7"/>
        <v/>
      </c>
      <c r="I94" s="25" t="str">
        <f>IF(OR(E94="",E94="!!!",F94="NEW"),"",INDEX(B$2:B93,-1+SUMPRODUCT(MAX(ROW(E$2:E93)*(E94=E$2:E93)))))</f>
        <v>other_3</v>
      </c>
      <c r="J94" s="25">
        <f ca="1">IF(OR(E94="",E94="!!!",F94="NEW"),"",COUNTBLANK(OFFSET(A$1,,,SUMPRODUCT(MAX(ROW(E$2:E94)*(E94=E$2:E94)))))-COUNTBLANK(OFFSET(A$1,,,SUMPRODUCT(MAX(ROW(E$1:E93)*(E2=E$1:E93))))))</f>
        <v>0</v>
      </c>
      <c r="K94" s="25">
        <f ca="1">IF(OR(E94="",E94="!!!",F94="NEW"),"",INDEX(J$1:J93,SUMPRODUCT(MAX(ROW(E$1:E93)*(E94=E$1:E93)))))</f>
        <v>0</v>
      </c>
      <c r="L94" s="26"/>
    </row>
    <row r="95" spans="1:12" x14ac:dyDescent="0.3">
      <c r="A95" t="s">
        <v>227</v>
      </c>
      <c r="E95" s="21" t="str">
        <f t="shared" si="6"/>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7"/>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228</v>
      </c>
      <c r="B96" s="20" t="s">
        <v>229</v>
      </c>
      <c r="C96" s="20" t="s">
        <v>182</v>
      </c>
      <c r="E96" s="21" t="str">
        <f t="shared" si="6"/>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7"/>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230</v>
      </c>
      <c r="B97" s="20" t="s">
        <v>226</v>
      </c>
      <c r="C97" s="20" t="s">
        <v>231</v>
      </c>
      <c r="E97" s="21" t="str">
        <f t="shared" si="6"/>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7"/>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232</v>
      </c>
      <c r="E98" s="21" t="str">
        <f t="shared" si="6"/>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7"/>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164</v>
      </c>
      <c r="E99" s="21" t="str">
        <f t="shared" si="6"/>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7"/>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233</v>
      </c>
      <c r="B100" s="20" t="s">
        <v>226</v>
      </c>
      <c r="C100" s="20" t="s">
        <v>234</v>
      </c>
      <c r="D100" s="20" t="s">
        <v>158</v>
      </c>
      <c r="E100" s="21"/>
      <c r="F100" s="22" t="s">
        <v>581</v>
      </c>
      <c r="G100" s="23" t="str">
        <f>IF(OR(E100="",E100="!!!"),"",IF(OR(J100=0,AND(J100=1,K100=1),AND(J100=1,I100="SBJ"),AND(J100=1,I100=0)),"?IN_FOCUS",IF(J100&lt;=2,"?ACTIVATED",IF(J100&lt;&gt;"","?FAMILIAR",IF(F100="NEW",IF(ISNA(VLOOKUP(E100,#REF!,1,FALSE())),"?TYPE_IDENTIFIABLE","?REFERENTIAL"),"_")))))</f>
        <v/>
      </c>
      <c r="H100" s="24" t="str">
        <f t="shared" ca="1" si="7"/>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224</v>
      </c>
      <c r="E101" s="21" t="str">
        <f t="shared" si="6"/>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7"/>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235</v>
      </c>
      <c r="E102" s="21" t="str">
        <f t="shared" si="6"/>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7"/>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236</v>
      </c>
      <c r="B103" s="20" t="s">
        <v>229</v>
      </c>
      <c r="C103" s="20" t="s">
        <v>157</v>
      </c>
      <c r="D103" s="20" t="s">
        <v>158</v>
      </c>
      <c r="E103" s="21" t="s">
        <v>596</v>
      </c>
      <c r="F103" s="22" t="str">
        <f>IF(OR(E103="",E103="!!!"),"",IF(NOT(ISNA(VLOOKUP(E103,E$1:E102,1,FALSE()))),"OLD",IF(AND(E103&lt;&gt;"",E103&lt;&gt;"!!!"),"NEW","")))</f>
        <v>NEW</v>
      </c>
      <c r="G103" s="23" t="s">
        <v>641</v>
      </c>
      <c r="H103" s="24" t="str">
        <f t="shared" ca="1" si="7"/>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175</v>
      </c>
      <c r="E104" s="21" t="str">
        <f t="shared" si="6"/>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7"/>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237</v>
      </c>
      <c r="E106" s="21" t="str">
        <f>IF(D106="?OLD","!!!","")</f>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ca="1">IF(J106&lt;&gt;1,"",IF(I106="SBJ","CB","?"))</f>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238</v>
      </c>
    </row>
    <row r="108" spans="1:12" x14ac:dyDescent="0.3">
      <c r="A108" t="s">
        <v>239</v>
      </c>
      <c r="E108" s="21" t="s">
        <v>571</v>
      </c>
      <c r="F108" s="22" t="str">
        <f>IF(OR(E108="",E108="!!!"),"",IF(NOT(ISNA(VLOOKUP(E108,E$1:E107,1,FALSE()))),"OLD",IF(AND(E108&lt;&gt;"",E108&lt;&gt;"!!!"),"NEW","")))</f>
        <v>OLD</v>
      </c>
      <c r="G108" s="23" t="s">
        <v>642</v>
      </c>
      <c r="H108" s="24" t="s">
        <v>150</v>
      </c>
      <c r="I108" s="25" t="str">
        <f>IF(OR(E108="",E108="!!!",F108="NEW"),"",INDEX(B$2:B107,-1+SUMPRODUCT(MAX(ROW(E$2:E107)*(E108=E$2:E107)))))</f>
        <v>OBJ_2</v>
      </c>
      <c r="J108" s="25">
        <f ca="1">IF(OR(E108="",E108="!!!",F108="NEW"),"",COUNTBLANK(OFFSET(A$1,,,SUMPRODUCT(MAX(ROW(E$2:E108)*(E108=E$2:E108)))))-COUNTBLANK(OFFSET(A$1,,,SUMPRODUCT(MAX(ROW(E$1:E107)*(E2=E$1:E107))))))</f>
        <v>0</v>
      </c>
      <c r="K108" s="25">
        <f ca="1">IF(OR(E108="",E108="!!!",F108="NEW"),"",INDEX(J$1:J107,SUMPRODUCT(MAX(ROW(E$1:E107)*(E108=E$1:E107)))))</f>
        <v>0</v>
      </c>
      <c r="L108" s="26" t="s">
        <v>582</v>
      </c>
    </row>
    <row r="109" spans="1:12" x14ac:dyDescent="0.3">
      <c r="A109" t="s">
        <v>240</v>
      </c>
      <c r="B109" s="20" t="s">
        <v>156</v>
      </c>
      <c r="C109" s="20" t="s">
        <v>231</v>
      </c>
      <c r="E109" s="21" t="s">
        <v>583</v>
      </c>
      <c r="F109" s="22" t="str">
        <f>IF(OR(E109="",E109="!!!"),"",IF(NOT(ISNA(VLOOKUP(E109,E$1:E108,1,FALSE()))),"OLD",IF(AND(E109&lt;&gt;"",E109&lt;&gt;"!!!"),"NEW","")))</f>
        <v>NEW</v>
      </c>
      <c r="G109" s="23" t="s">
        <v>643</v>
      </c>
      <c r="H109" s="24" t="str">
        <f t="shared" ref="H109:H132" ca="1" si="8">IF(J109&lt;&gt;1,"",IF(I109="SBJ","CB","?"))</f>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241</v>
      </c>
      <c r="E110" s="21" t="str">
        <f t="shared" ref="E110:E132" si="9">IF(D110="?OLD","!!!","")</f>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8"/>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242</v>
      </c>
      <c r="E111" s="21" t="str">
        <f t="shared" si="9"/>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8"/>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243</v>
      </c>
      <c r="E112" s="21" t="str">
        <f t="shared" si="9"/>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8"/>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244</v>
      </c>
      <c r="E113" s="21" t="str">
        <f t="shared" si="9"/>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8"/>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227</v>
      </c>
      <c r="E114" s="21" t="str">
        <f t="shared" si="9"/>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8"/>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224</v>
      </c>
      <c r="E115" s="21" t="str">
        <f t="shared" si="9"/>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8"/>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245</v>
      </c>
      <c r="B116" s="20" t="s">
        <v>166</v>
      </c>
      <c r="C116" s="20" t="s">
        <v>167</v>
      </c>
      <c r="D116" s="20" t="s">
        <v>158</v>
      </c>
      <c r="E116" s="21" t="s">
        <v>586</v>
      </c>
      <c r="F116" s="22" t="str">
        <f>IF(OR(E116="",E116="!!!"),"",IF(NOT(ISNA(VLOOKUP(E116,E$1:E115,1,FALSE()))),"OLD",IF(AND(E116&lt;&gt;"",E116&lt;&gt;"!!!"),"NEW","")))</f>
        <v>NEW</v>
      </c>
      <c r="G116" s="23" t="s">
        <v>148</v>
      </c>
      <c r="H116" s="24" t="str">
        <f t="shared" ca="1" si="8"/>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214</v>
      </c>
      <c r="E117" s="21" t="str">
        <f t="shared" si="9"/>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8"/>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246</v>
      </c>
      <c r="E118" s="21" t="str">
        <f t="shared" si="9"/>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8"/>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247</v>
      </c>
      <c r="B119" s="20" t="s">
        <v>248</v>
      </c>
      <c r="C119" s="20" t="s">
        <v>157</v>
      </c>
      <c r="D119" s="20" t="s">
        <v>158</v>
      </c>
      <c r="E119" s="21"/>
      <c r="F119" s="22" t="s">
        <v>584</v>
      </c>
      <c r="G119" s="23" t="str">
        <f>IF(OR(E119="",E119="!!!"),"",IF(OR(J119=0,AND(J119=1,K119=1),AND(J119=1,I119="SBJ"),AND(J119=1,I119=0)),"?IN_FOCUS",IF(J119&lt;=2,"?ACTIVATED",IF(J119&lt;&gt;"","?FAMILIAR",IF(F119="NEW",IF(ISNA(VLOOKUP(E119,#REF!,1,FALSE())),"?TYPE_IDENTIFIABLE","?REFERENTIAL"),"_")))))</f>
        <v/>
      </c>
      <c r="H119" s="24" t="str">
        <f t="shared" ca="1" si="8"/>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249</v>
      </c>
      <c r="E120" s="21" t="str">
        <f t="shared" si="9"/>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8"/>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246</v>
      </c>
      <c r="E121" s="21" t="str">
        <f t="shared" si="9"/>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8"/>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12</v>
      </c>
      <c r="E122" s="21" t="str">
        <f t="shared" si="9"/>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8"/>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250</v>
      </c>
      <c r="E123" s="21" t="str">
        <f t="shared" si="9"/>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8"/>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251</v>
      </c>
      <c r="E124" s="21" t="str">
        <f t="shared" si="9"/>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8"/>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252</v>
      </c>
      <c r="E125" s="21" t="str">
        <f t="shared" si="9"/>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8"/>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214</v>
      </c>
      <c r="E126" s="21" t="str">
        <f t="shared" si="9"/>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8"/>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224</v>
      </c>
      <c r="E127" s="21" t="str">
        <f t="shared" si="9"/>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8"/>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253</v>
      </c>
      <c r="E128" s="21" t="str">
        <f t="shared" si="9"/>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8"/>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254</v>
      </c>
      <c r="B129" s="20" t="s">
        <v>248</v>
      </c>
      <c r="C129" s="20" t="s">
        <v>167</v>
      </c>
      <c r="D129" s="20" t="s">
        <v>158</v>
      </c>
      <c r="E129" s="21"/>
      <c r="F129" s="22" t="s">
        <v>584</v>
      </c>
      <c r="G129" s="23" t="str">
        <f>IF(OR(E129="",E129="!!!"),"",IF(OR(J129=0,AND(J129=1,K129=1),AND(J129=1,I129="SBJ"),AND(J129=1,I129=0)),"?IN_FOCUS",IF(J129&lt;=2,"?ACTIVATED",IF(J129&lt;&gt;"","?FAMILIAR",IF(F129="NEW",IF(ISNA(VLOOKUP(E129,#REF!,1,FALSE())),"?TYPE_IDENTIFIABLE","?REFERENTIAL"),"_")))))</f>
        <v/>
      </c>
      <c r="H129" s="24" t="str">
        <f t="shared" ca="1" si="8"/>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255</v>
      </c>
      <c r="B130" s="20" t="s">
        <v>223</v>
      </c>
      <c r="C130" s="20" t="s">
        <v>157</v>
      </c>
      <c r="D130" s="20" t="s">
        <v>158</v>
      </c>
      <c r="E130" s="21" t="s">
        <v>585</v>
      </c>
      <c r="F130" s="22" t="str">
        <f>IF(OR(E130="",E130="!!!"),"",IF(NOT(ISNA(VLOOKUP(E130,E$1:E129,1,FALSE()))),"OLD",IF(AND(E130&lt;&gt;"",E130&lt;&gt;"!!!"),"NEW","")))</f>
        <v>NEW</v>
      </c>
      <c r="G130" s="23" t="s">
        <v>148</v>
      </c>
      <c r="H130" s="24" t="str">
        <f t="shared" ca="1" si="8"/>
        <v/>
      </c>
      <c r="I130" s="25" t="str">
        <f>IF(OR(E130="",E130="!!!",F130="NEW"),"",INDEX(B$2:B129,-1+SUMPRODUCT(MAX(ROW(E$2:E129)*(E130=E$2:E129)))))</f>
        <v/>
      </c>
      <c r="J130" s="25" t="str">
        <f ca="1">IF(OR(E130="",E130="!!!",F130="NEW"),"",COUNTBLANK(OFFSET(A$1,,,SUMPRODUCT(MAX(ROW(E$2:E130)*(E130=E$2:E130)))))-COUNTBLANK(OFFSET(A$1,,,SUMPRODUCT(MAX(ROW(E$1:E129)*(E2=E$1:E129))))))</f>
        <v/>
      </c>
      <c r="K130" s="25" t="str">
        <f>IF(OR(E130="",E130="!!!",F130="NEW"),"",INDEX(J$1:J129,SUMPRODUCT(MAX(ROW(E$1:E129)*(E130=E$1:E129)))))</f>
        <v/>
      </c>
      <c r="L130" s="26"/>
    </row>
    <row r="131" spans="1:12" x14ac:dyDescent="0.3">
      <c r="A131" t="s">
        <v>256</v>
      </c>
      <c r="E131" s="21" t="str">
        <f t="shared" si="9"/>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8"/>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175</v>
      </c>
      <c r="E132" s="21" t="str">
        <f t="shared" si="9"/>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8"/>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4" spans="1:12" x14ac:dyDescent="0.3">
      <c r="A134" t="s">
        <v>257</v>
      </c>
    </row>
    <row r="135" spans="1:12" x14ac:dyDescent="0.3">
      <c r="A135" t="s">
        <v>204</v>
      </c>
      <c r="E135" s="21" t="str">
        <f t="shared" ref="E135:E164" si="10">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ref="H135:H164" ca="1" si="11">IF(J135&lt;&gt;1,"",IF(I135="SBJ","CB","?"))</f>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258</v>
      </c>
      <c r="B136" s="20" t="s">
        <v>156</v>
      </c>
      <c r="C136" s="20" t="s">
        <v>167</v>
      </c>
      <c r="D136" s="20" t="s">
        <v>158</v>
      </c>
      <c r="E136" s="21"/>
      <c r="F136" s="22" t="s">
        <v>584</v>
      </c>
      <c r="G136" s="23" t="str">
        <f>IF(OR(E136="",E136="!!!"),"",IF(OR(J136=0,AND(J136=1,K136=1),AND(J136=1,I136="SBJ"),AND(J136=1,I136=0)),"?IN_FOCUS",IF(J136&lt;=2,"?ACTIVATED",IF(J136&lt;&gt;"","?FAMILIAR",IF(F136="NEW",IF(ISNA(VLOOKUP(E136,#REF!,1,FALSE())),"?TYPE_IDENTIFIABLE","?REFERENTIAL"),"_")))))</f>
        <v/>
      </c>
      <c r="H136" s="24" t="str">
        <f t="shared" ca="1" si="11"/>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155</v>
      </c>
      <c r="B137" s="20" t="s">
        <v>248</v>
      </c>
      <c r="C137" s="20" t="s">
        <v>157</v>
      </c>
      <c r="D137" s="20" t="s">
        <v>158</v>
      </c>
      <c r="E137" s="21" t="s">
        <v>571</v>
      </c>
      <c r="F137" s="22" t="str">
        <f>IF(OR(E137="",E137="!!!"),"",IF(NOT(ISNA(VLOOKUP(E137,E$1:E136,1,FALSE()))),"OLD",IF(AND(E137&lt;&gt;"",E137&lt;&gt;"!!!"),"NEW","")))</f>
        <v>OLD</v>
      </c>
      <c r="G137" s="23" t="s">
        <v>642</v>
      </c>
      <c r="H137" s="24" t="s">
        <v>150</v>
      </c>
      <c r="I137" s="25">
        <f>IF(OR(E137="",E137="!!!",F137="NEW"),"",INDEX(B$2:B136,-1+SUMPRODUCT(MAX(ROW(E$2:E136)*(E137=E$2:E136)))))</f>
        <v>0</v>
      </c>
      <c r="J137" s="25">
        <f ca="1">IF(OR(E137="",E137="!!!",F137="NEW"),"",COUNTBLANK(OFFSET(A$1,,,SUMPRODUCT(MAX(ROW(E$2:E137)*(E137=E$2:E137)))))-COUNTBLANK(OFFSET(A$1,,,SUMPRODUCT(MAX(ROW(E$1:E136)*(E2=E$1:E136))))))</f>
        <v>0</v>
      </c>
      <c r="K137" s="25">
        <f ca="1">IF(OR(E137="",E137="!!!",F137="NEW"),"",INDEX(J$1:J136,SUMPRODUCT(MAX(ROW(E$1:E136)*(E137=E$1:E136)))))</f>
        <v>0</v>
      </c>
      <c r="L137" s="26"/>
    </row>
    <row r="138" spans="1:12" x14ac:dyDescent="0.3">
      <c r="A138" t="s">
        <v>159</v>
      </c>
      <c r="E138" s="21" t="str">
        <f t="shared" si="10"/>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11"/>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259</v>
      </c>
      <c r="E139" s="21" t="str">
        <f t="shared" si="10"/>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11"/>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180</v>
      </c>
      <c r="E140" s="21" t="str">
        <f t="shared" si="10"/>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1"/>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164</v>
      </c>
      <c r="E141" s="21" t="str">
        <f t="shared" si="10"/>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1"/>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260</v>
      </c>
      <c r="B142" s="20" t="s">
        <v>166</v>
      </c>
      <c r="C142" s="20" t="s">
        <v>167</v>
      </c>
      <c r="D142" s="20" t="s">
        <v>158</v>
      </c>
      <c r="E142" s="21" t="s">
        <v>577</v>
      </c>
      <c r="F142" s="22" t="str">
        <f>IF(OR(E142="",E142="!!!"),"",IF(NOT(ISNA(VLOOKUP(E142,E$1:E141,1,FALSE()))),"OLD",IF(AND(E142&lt;&gt;"",E142&lt;&gt;"!!!"),"NEW","")))</f>
        <v>OLD</v>
      </c>
      <c r="G142" s="23" t="s">
        <v>641</v>
      </c>
      <c r="H142" s="24" t="str">
        <f t="shared" ca="1" si="11"/>
        <v/>
      </c>
      <c r="I142" s="25" t="str">
        <f>IF(OR(E142="",E142="!!!",F142="NEW"),"",INDEX(B$2:B141,-1+SUMPRODUCT(MAX(ROW(E$2:E141)*(E142=E$2:E141)))))</f>
        <v>other</v>
      </c>
      <c r="J142" s="25">
        <f ca="1">IF(OR(E142="",E142="!!!",F142="NEW"),"",COUNTBLANK(OFFSET(A$1,,,SUMPRODUCT(MAX(ROW(E$2:E142)*(E142=E$2:E142)))))-COUNTBLANK(OFFSET(A$1,,,SUMPRODUCT(MAX(ROW(E$1:E141)*(E2=E$1:E141))))))</f>
        <v>0</v>
      </c>
      <c r="K142" s="25" t="str">
        <f ca="1">IF(OR(E142="",E142="!!!",F142="NEW"),"",INDEX(J$1:J141,SUMPRODUCT(MAX(ROW(E$1:E141)*(E142=E$1:E141)))))</f>
        <v/>
      </c>
      <c r="L142" s="26"/>
    </row>
    <row r="143" spans="1:12" x14ac:dyDescent="0.3">
      <c r="A143" t="s">
        <v>261</v>
      </c>
      <c r="E143" s="21" t="str">
        <f t="shared" si="10"/>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1"/>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262</v>
      </c>
      <c r="E144" s="21" t="str">
        <f t="shared" si="10"/>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11"/>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263</v>
      </c>
      <c r="B145" s="20" t="s">
        <v>166</v>
      </c>
      <c r="C145" s="20" t="s">
        <v>167</v>
      </c>
      <c r="D145" s="20" t="s">
        <v>158</v>
      </c>
      <c r="E145" s="21" t="s">
        <v>615</v>
      </c>
      <c r="F145" s="22" t="str">
        <f>IF(OR(E145="",E145="!!!"),"",IF(NOT(ISNA(VLOOKUP(E145,E$1:E144,1,FALSE()))),"OLD",IF(AND(E145&lt;&gt;"",E145&lt;&gt;"!!!"),"NEW","")))</f>
        <v>NEW</v>
      </c>
      <c r="G145" s="23" t="s">
        <v>643</v>
      </c>
      <c r="H145" s="24" t="str">
        <f t="shared" ca="1" si="11"/>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224</v>
      </c>
      <c r="E146" s="21" t="str">
        <f t="shared" si="10"/>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1"/>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264</v>
      </c>
      <c r="B147" s="20" t="s">
        <v>248</v>
      </c>
      <c r="C147" s="20" t="s">
        <v>167</v>
      </c>
      <c r="D147" s="20" t="s">
        <v>158</v>
      </c>
      <c r="E147" s="21" t="s">
        <v>572</v>
      </c>
      <c r="F147" s="22" t="str">
        <f>IF(OR(E147="",E147="!!!"),"",IF(NOT(ISNA(VLOOKUP(E147,E$1:E146,1,FALSE()))),"OLD",IF(AND(E147&lt;&gt;"",E147&lt;&gt;"!!!"),"NEW","")))</f>
        <v>OLD</v>
      </c>
      <c r="G147" s="23" t="s">
        <v>641</v>
      </c>
      <c r="H147" s="24" t="str">
        <f t="shared" ca="1" si="11"/>
        <v/>
      </c>
      <c r="I147" s="25" t="str">
        <f>IF(OR(E147="",E147="!!!",F147="NEW"),"",INDEX(B$2:B146,-1+SUMPRODUCT(MAX(ROW(E$2:E146)*(E147=E$2:E146)))))</f>
        <v>other</v>
      </c>
      <c r="J147" s="25">
        <f ca="1">IF(OR(E147="",E147="!!!",F147="NEW"),"",COUNTBLANK(OFFSET(A$1,,,SUMPRODUCT(MAX(ROW(E$2:E147)*(E147=E$2:E147)))))-COUNTBLANK(OFFSET(A$1,,,SUMPRODUCT(MAX(ROW(E$1:E146)*(E2=E$1:E146))))))</f>
        <v>0</v>
      </c>
      <c r="K147" s="25" t="str">
        <f ca="1">IF(OR(E147="",E147="!!!",F147="NEW"),"",INDEX(J$1:J146,SUMPRODUCT(MAX(ROW(E$1:E146)*(E147=E$1:E146)))))</f>
        <v/>
      </c>
      <c r="L147" s="26"/>
    </row>
    <row r="148" spans="1:12" x14ac:dyDescent="0.3">
      <c r="A148" t="s">
        <v>163</v>
      </c>
      <c r="E148" s="21" t="str">
        <f t="shared" si="10"/>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1"/>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164</v>
      </c>
      <c r="E149" s="21" t="str">
        <f t="shared" si="10"/>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11"/>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265</v>
      </c>
      <c r="B150" s="20" t="s">
        <v>223</v>
      </c>
      <c r="C150" s="20" t="s">
        <v>167</v>
      </c>
      <c r="D150" s="20" t="s">
        <v>158</v>
      </c>
      <c r="E150" s="21" t="s">
        <v>616</v>
      </c>
      <c r="F150" s="22" t="str">
        <f>IF(OR(E150="",E150="!!!"),"",IF(NOT(ISNA(VLOOKUP(E150,E$1:E149,1,FALSE()))),"OLD",IF(AND(E150&lt;&gt;"",E150&lt;&gt;"!!!"),"NEW","")))</f>
        <v>NEW</v>
      </c>
      <c r="G150" s="23" t="s">
        <v>641</v>
      </c>
      <c r="H150" s="24" t="str">
        <f t="shared" ca="1" si="11"/>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266</v>
      </c>
      <c r="E151" s="21" t="str">
        <f t="shared" si="10"/>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11"/>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173</v>
      </c>
      <c r="E152" s="21" t="str">
        <f t="shared" si="10"/>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11"/>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235</v>
      </c>
      <c r="E153" s="21" t="str">
        <f t="shared" si="10"/>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1"/>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267</v>
      </c>
      <c r="B154" s="20" t="s">
        <v>226</v>
      </c>
      <c r="C154" s="20" t="s">
        <v>157</v>
      </c>
      <c r="D154" s="20" t="s">
        <v>158</v>
      </c>
      <c r="E154" s="21" t="s">
        <v>596</v>
      </c>
      <c r="F154" s="22" t="str">
        <f>IF(OR(E154="",E154="!!!"),"",IF(NOT(ISNA(VLOOKUP(E154,E$1:E153,1,FALSE()))),"OLD",IF(AND(E154&lt;&gt;"",E154&lt;&gt;"!!!"),"NEW","")))</f>
        <v>OLD</v>
      </c>
      <c r="G154" s="23" t="s">
        <v>644</v>
      </c>
      <c r="H154" s="24" t="str">
        <f t="shared" ca="1" si="11"/>
        <v/>
      </c>
      <c r="I154" s="25" t="str">
        <f>IF(OR(E154="",E154="!!!",F154="NEW"),"",INDEX(B$2:B153,-1+SUMPRODUCT(MAX(ROW(E$2:E153)*(E154=E$2:E153)))))</f>
        <v>other_5</v>
      </c>
      <c r="J154" s="25">
        <f ca="1">IF(OR(E154="",E154="!!!",F154="NEW"),"",COUNTBLANK(OFFSET(A$1,,,SUMPRODUCT(MAX(ROW(E$2:E154)*(E154=E$2:E154)))))-COUNTBLANK(OFFSET(A$1,,,SUMPRODUCT(MAX(ROW(E$1:E153)*(E2=E$1:E153))))))</f>
        <v>0</v>
      </c>
      <c r="K154" s="25" t="str">
        <f ca="1">IF(OR(E154="",E154="!!!",F154="NEW"),"",INDEX(J$1:J153,SUMPRODUCT(MAX(ROW(E$1:E153)*(E154=E$1:E153)))))</f>
        <v/>
      </c>
      <c r="L154" s="26"/>
    </row>
    <row r="155" spans="1:12" x14ac:dyDescent="0.3">
      <c r="A155" t="s">
        <v>163</v>
      </c>
      <c r="E155" s="21" t="str">
        <f t="shared" si="10"/>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11"/>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268</v>
      </c>
      <c r="B156" s="20" t="s">
        <v>229</v>
      </c>
      <c r="C156" s="20" t="s">
        <v>157</v>
      </c>
      <c r="D156" s="20" t="s">
        <v>158</v>
      </c>
      <c r="E156" s="21" t="s">
        <v>587</v>
      </c>
      <c r="F156" s="22" t="str">
        <f>IF(OR(E156="",E156="!!!"),"",IF(NOT(ISNA(VLOOKUP(E156,E$1:E155,1,FALSE()))),"OLD",IF(AND(E156&lt;&gt;"",E156&lt;&gt;"!!!"),"NEW","")))</f>
        <v>NEW</v>
      </c>
      <c r="G156" s="23" t="s">
        <v>641</v>
      </c>
      <c r="H156" s="24" t="str">
        <f t="shared" ca="1" si="11"/>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269</v>
      </c>
      <c r="E157" s="21" t="str">
        <f t="shared" si="10"/>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1"/>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270</v>
      </c>
      <c r="E158" s="21" t="str">
        <f t="shared" si="10"/>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11"/>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59" spans="1:12" x14ac:dyDescent="0.3">
      <c r="A159" t="s">
        <v>271</v>
      </c>
      <c r="E159" s="21" t="str">
        <f t="shared" si="10"/>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1"/>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272</v>
      </c>
      <c r="E160" s="21" t="str">
        <f t="shared" si="10"/>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11"/>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273</v>
      </c>
      <c r="B161" s="20" t="s">
        <v>229</v>
      </c>
      <c r="C161" s="20" t="s">
        <v>157</v>
      </c>
      <c r="D161" s="20" t="s">
        <v>158</v>
      </c>
      <c r="E161" s="21" t="s">
        <v>588</v>
      </c>
      <c r="F161" s="22" t="str">
        <f>IF(OR(E161="",E161="!!!"),"",IF(NOT(ISNA(VLOOKUP(E161,E$1:E160,1,FALSE()))),"OLD",IF(AND(E161&lt;&gt;"",E161&lt;&gt;"!!!"),"NEW","")))</f>
        <v>NEW</v>
      </c>
      <c r="G161" s="23" t="s">
        <v>641</v>
      </c>
      <c r="H161" s="24" t="str">
        <f t="shared" ca="1" si="11"/>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272</v>
      </c>
      <c r="E162" s="21" t="str">
        <f t="shared" si="10"/>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1"/>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211</v>
      </c>
      <c r="B163" s="20" t="s">
        <v>229</v>
      </c>
      <c r="C163" s="20" t="s">
        <v>157</v>
      </c>
      <c r="D163" s="20" t="s">
        <v>158</v>
      </c>
      <c r="E163" s="21" t="s">
        <v>580</v>
      </c>
      <c r="F163" s="22" t="str">
        <f>IF(OR(E163="",E163="!!!"),"",IF(NOT(ISNA(VLOOKUP(E163,E$1:E162,1,FALSE()))),"OLD",IF(AND(E163&lt;&gt;"",E163&lt;&gt;"!!!"),"NEW","")))</f>
        <v>OLD</v>
      </c>
      <c r="G163" s="23" t="s">
        <v>641</v>
      </c>
      <c r="H163" s="24" t="str">
        <f t="shared" ca="1" si="11"/>
        <v/>
      </c>
      <c r="I163" s="25" t="str">
        <f>IF(OR(E163="",E163="!!!",F163="NEW"),"",INDEX(B$2:B162,-1+SUMPRODUCT(MAX(ROW(E$2:E162)*(E163=E$2:E162)))))</f>
        <v>other</v>
      </c>
      <c r="J163" s="25">
        <f ca="1">IF(OR(E163="",E163="!!!",F163="NEW"),"",COUNTBLANK(OFFSET(A$1,,,SUMPRODUCT(MAX(ROW(E$2:E163)*(E163=E$2:E163)))))-COUNTBLANK(OFFSET(A$1,,,SUMPRODUCT(MAX(ROW(E$1:E162)*(E2=E$1:E162))))))</f>
        <v>0</v>
      </c>
      <c r="K163" s="25">
        <f ca="1">IF(OR(E163="",E163="!!!",F163="NEW"),"",INDEX(J$1:J162,SUMPRODUCT(MAX(ROW(E$1:E162)*(E163=E$1:E162)))))</f>
        <v>0</v>
      </c>
      <c r="L163" s="26"/>
    </row>
    <row r="164" spans="1:12" x14ac:dyDescent="0.3">
      <c r="A164" t="s">
        <v>175</v>
      </c>
      <c r="E164" s="21" t="str">
        <f t="shared" si="10"/>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1"/>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6" spans="1:12" x14ac:dyDescent="0.3">
      <c r="A166" t="s">
        <v>274</v>
      </c>
    </row>
    <row r="167" spans="1:12" x14ac:dyDescent="0.3">
      <c r="A167" t="s">
        <v>159</v>
      </c>
      <c r="B167" s="20" t="s">
        <v>156</v>
      </c>
      <c r="C167" s="20" t="s">
        <v>182</v>
      </c>
      <c r="E167" s="21" t="s">
        <v>571</v>
      </c>
      <c r="F167" s="22" t="str">
        <f>IF(OR(E167="",E167="!!!"),"",IF(NOT(ISNA(VLOOKUP(E167,E$1:E166,1,FALSE()))),"OLD",IF(AND(E167&lt;&gt;"",E167&lt;&gt;"!!!"),"NEW","")))</f>
        <v>OLD</v>
      </c>
      <c r="G167" s="23" t="s">
        <v>642</v>
      </c>
      <c r="H167" s="24" t="s">
        <v>150</v>
      </c>
      <c r="I167" s="25" t="str">
        <f>IF(OR(E167="",E167="!!!",F167="NEW"),"",INDEX(B$2:B166,-1+SUMPRODUCT(MAX(ROW(E$2:E166)*(E167=E$2:E166)))))</f>
        <v>other_2</v>
      </c>
      <c r="J167" s="25">
        <f ca="1">IF(OR(E167="",E167="!!!",F167="NEW"),"",COUNTBLANK(OFFSET(A$1,,,SUMPRODUCT(MAX(ROW(E$2:E167)*(E167=E$2:E167)))))-COUNTBLANK(OFFSET(A$1,,,SUMPRODUCT(MAX(ROW(E$1:E166)*(E2=E$1:E166))))))</f>
        <v>0</v>
      </c>
      <c r="K167" s="25">
        <f ca="1">IF(OR(E167="",E167="!!!",F167="NEW"),"",INDEX(J$1:J166,SUMPRODUCT(MAX(ROW(E$1:E166)*(E167=E$1:E166)))))</f>
        <v>0</v>
      </c>
      <c r="L167" s="26" t="s">
        <v>582</v>
      </c>
    </row>
    <row r="168" spans="1:12" x14ac:dyDescent="0.3">
      <c r="A168" t="s">
        <v>179</v>
      </c>
      <c r="E168" s="21" t="str">
        <f t="shared" ref="E168:E198" si="12">IF(D168="?OLD","!!!","")</f>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ref="H168:H198" ca="1" si="13">IF(J168&lt;&gt;1,"",IF(I168="SBJ","CB","?"))</f>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216</v>
      </c>
      <c r="E169" s="21" t="str">
        <f t="shared" si="12"/>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3"/>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275</v>
      </c>
      <c r="E170" s="21" t="str">
        <f t="shared" si="12"/>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3"/>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276</v>
      </c>
      <c r="E171" s="21" t="str">
        <f t="shared" si="12"/>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3"/>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277</v>
      </c>
      <c r="B172" s="20" t="s">
        <v>166</v>
      </c>
      <c r="C172" s="20" t="s">
        <v>167</v>
      </c>
      <c r="D172" s="20" t="s">
        <v>158</v>
      </c>
      <c r="E172" s="21"/>
      <c r="F172" s="22" t="s">
        <v>584</v>
      </c>
      <c r="G172" s="23" t="str">
        <f>IF(OR(E172="",E172="!!!"),"",IF(OR(J172=0,AND(J172=1,K172=1),AND(J172=1,I172="SBJ"),AND(J172=1,I172=0)),"?IN_FOCUS",IF(J172&lt;=2,"?ACTIVATED",IF(J172&lt;&gt;"","?FAMILIAR",IF(F172="NEW",IF(ISNA(VLOOKUP(E172,#REF!,1,FALSE())),"?TYPE_IDENTIFIABLE","?REFERENTIAL"),"_")))))</f>
        <v/>
      </c>
      <c r="H172" s="24" t="str">
        <f t="shared" ca="1" si="13"/>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272</v>
      </c>
      <c r="E173" s="21" t="str">
        <f t="shared" si="12"/>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3"/>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216</v>
      </c>
      <c r="B174" s="20" t="s">
        <v>278</v>
      </c>
      <c r="E174" s="21" t="str">
        <f t="shared" si="12"/>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3"/>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279</v>
      </c>
      <c r="E175" s="21" t="str">
        <f t="shared" si="12"/>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3"/>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213</v>
      </c>
      <c r="B176" s="20" t="s">
        <v>221</v>
      </c>
      <c r="C176" s="20" t="s">
        <v>280</v>
      </c>
      <c r="E176" s="21" t="s">
        <v>614</v>
      </c>
      <c r="F176" s="22" t="str">
        <f>IF(OR(E176="",E176="!!!"),"",IF(NOT(ISNA(VLOOKUP(E176,E$1:E175,1,FALSE()))),"OLD",IF(AND(E176&lt;&gt;"",E176&lt;&gt;"!!!"),"NEW","")))</f>
        <v>OLD</v>
      </c>
      <c r="G176" s="23" t="s">
        <v>641</v>
      </c>
      <c r="H176" s="24" t="str">
        <f t="shared" ca="1" si="13"/>
        <v/>
      </c>
      <c r="I176" s="25" t="str">
        <f>IF(OR(E176="",E176="!!!",F176="NEW"),"",INDEX(B$2:B175,-1+SUMPRODUCT(MAX(ROW(E$2:E175)*(E176=E$2:E175)))))</f>
        <v>other</v>
      </c>
      <c r="J176" s="25">
        <f ca="1">IF(OR(E176="",E176="!!!",F176="NEW"),"",COUNTBLANK(OFFSET(A$1,,,SUMPRODUCT(MAX(ROW(E$2:E176)*(E176=E$2:E176)))))-COUNTBLANK(OFFSET(A$1,,,SUMPRODUCT(MAX(ROW(E$1:E175)*(E2=E$1:E175))))))</f>
        <v>0</v>
      </c>
      <c r="K176" s="25">
        <f ca="1">IF(OR(E176="",E176="!!!",F176="NEW"),"",INDEX(J$1:J175,SUMPRODUCT(MAX(ROW(E$1:E175)*(E176=E$1:E175)))))</f>
        <v>0</v>
      </c>
      <c r="L176" s="26"/>
    </row>
    <row r="177" spans="1:12" x14ac:dyDescent="0.3">
      <c r="A177" t="s">
        <v>281</v>
      </c>
      <c r="E177" s="21" t="str">
        <f t="shared" si="12"/>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3"/>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214</v>
      </c>
      <c r="E178" s="21" t="str">
        <f t="shared" si="12"/>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3"/>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282</v>
      </c>
      <c r="E179" s="21" t="str">
        <f t="shared" si="12"/>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3"/>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216</v>
      </c>
      <c r="E180" s="21" t="str">
        <f t="shared" si="12"/>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3"/>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283</v>
      </c>
      <c r="E181" s="21" t="str">
        <f t="shared" si="12"/>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3"/>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272</v>
      </c>
      <c r="E182" s="21" t="str">
        <f t="shared" si="12"/>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3"/>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261</v>
      </c>
      <c r="E183" s="21" t="str">
        <f t="shared" si="12"/>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3"/>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284</v>
      </c>
      <c r="B184" s="20" t="s">
        <v>285</v>
      </c>
      <c r="C184" s="20" t="s">
        <v>286</v>
      </c>
      <c r="D184" s="20" t="s">
        <v>158</v>
      </c>
      <c r="E184" s="21" t="s">
        <v>571</v>
      </c>
      <c r="F184" s="22" t="str">
        <f>IF(OR(E184="",E184="!!!"),"",IF(NOT(ISNA(VLOOKUP(E184,E$1:E183,1,FALSE()))),"OLD",IF(AND(E184&lt;&gt;"",E184&lt;&gt;"!!!"),"NEW","")))</f>
        <v>OLD</v>
      </c>
      <c r="G184" s="23" t="s">
        <v>642</v>
      </c>
      <c r="H184" s="24" t="str">
        <f t="shared" ca="1" si="13"/>
        <v/>
      </c>
      <c r="I184" s="25" t="str">
        <f>IF(OR(E184="",E184="!!!",F184="NEW"),"",INDEX(B$2:B183,-1+SUMPRODUCT(MAX(ROW(E$2:E183)*(E184=E$2:E183)))))</f>
        <v>SBJ</v>
      </c>
      <c r="J184" s="25">
        <f ca="1">IF(OR(E184="",E184="!!!",F184="NEW"),"",COUNTBLANK(OFFSET(A$1,,,SUMPRODUCT(MAX(ROW(E$2:E184)*(E184=E$2:E184)))))-COUNTBLANK(OFFSET(A$1,,,SUMPRODUCT(MAX(ROW(E$1:E183)*(E2=E$1:E183))))))</f>
        <v>0</v>
      </c>
      <c r="K184" s="25">
        <f ca="1">IF(OR(E184="",E184="!!!",F184="NEW"),"",INDEX(J$1:J183,SUMPRODUCT(MAX(ROW(E$1:E183)*(E184=E$1:E183)))))</f>
        <v>0</v>
      </c>
      <c r="L184" s="26"/>
    </row>
    <row r="185" spans="1:12" x14ac:dyDescent="0.3">
      <c r="A185" t="s">
        <v>287</v>
      </c>
      <c r="E185" s="21" t="str">
        <f t="shared" si="12"/>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3"/>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288</v>
      </c>
      <c r="B186" s="20" t="s">
        <v>289</v>
      </c>
      <c r="C186" s="20" t="s">
        <v>290</v>
      </c>
      <c r="E186" s="21" t="str">
        <f t="shared" si="12"/>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3"/>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291</v>
      </c>
      <c r="E187" s="21" t="str">
        <f t="shared" si="12"/>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ca="1" si="13"/>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272</v>
      </c>
      <c r="E188" s="21" t="str">
        <f t="shared" si="12"/>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3"/>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216</v>
      </c>
      <c r="E189" s="21" t="str">
        <f t="shared" si="12"/>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3"/>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292</v>
      </c>
      <c r="B190" s="20" t="s">
        <v>226</v>
      </c>
      <c r="C190" s="20" t="s">
        <v>167</v>
      </c>
      <c r="D190" s="20" t="s">
        <v>158</v>
      </c>
      <c r="E190" s="21"/>
      <c r="F190" s="22" t="s">
        <v>584</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293</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294</v>
      </c>
      <c r="B192" s="20" t="s">
        <v>229</v>
      </c>
      <c r="C192" s="20" t="s">
        <v>290</v>
      </c>
      <c r="E192" s="21" t="str">
        <f t="shared" si="12"/>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295</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296</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297</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212</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298</v>
      </c>
      <c r="E197" s="21" t="str">
        <f t="shared" si="12"/>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3"/>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175</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200" spans="1:12" x14ac:dyDescent="0.3">
      <c r="A200" t="s">
        <v>299</v>
      </c>
    </row>
    <row r="201" spans="1:12" x14ac:dyDescent="0.3">
      <c r="A201" t="s">
        <v>171</v>
      </c>
      <c r="B201" s="20" t="s">
        <v>156</v>
      </c>
      <c r="C201" s="20" t="s">
        <v>172</v>
      </c>
      <c r="D201" s="20" t="s">
        <v>158</v>
      </c>
      <c r="E201" s="21" t="s">
        <v>571</v>
      </c>
      <c r="F201" s="22" t="str">
        <f>IF(OR(E201="",E201="!!!"),"",IF(NOT(ISNA(VLOOKUP(E201,E$1:E200,1,FALSE()))),"OLD",IF(AND(E201&lt;&gt;"",E201&lt;&gt;"!!!"),"NEW","")))</f>
        <v>OLD</v>
      </c>
      <c r="G201" s="23" t="s">
        <v>642</v>
      </c>
      <c r="H201" s="24" t="s">
        <v>150</v>
      </c>
      <c r="I201" s="25" t="str">
        <f>IF(OR(E201="",E201="!!!",F201="NEW"),"",INDEX(B$2:B200,-1+SUMPRODUCT(MAX(ROW(E$2:E200)*(E201=E$2:E200)))))</f>
        <v>SBJ_4</v>
      </c>
      <c r="J201" s="25">
        <f ca="1">IF(OR(E201="",E201="!!!",F201="NEW"),"",COUNTBLANK(OFFSET(A$1,,,SUMPRODUCT(MAX(ROW(E$2:E201)*(E201=E$2:E201)))))-COUNTBLANK(OFFSET(A$1,,,SUMPRODUCT(MAX(ROW(E$1:E200)*(E2=E$1:E200))))))</f>
        <v>0</v>
      </c>
      <c r="K201" s="25">
        <f ca="1">IF(OR(E201="",E201="!!!",F201="NEW"),"",INDEX(J$1:J200,SUMPRODUCT(MAX(ROW(E$1:E200)*(E201=E$1:E200)))))</f>
        <v>0</v>
      </c>
      <c r="L201" s="26"/>
    </row>
    <row r="202" spans="1:12" x14ac:dyDescent="0.3">
      <c r="A202" t="s">
        <v>300</v>
      </c>
      <c r="E202" s="21" t="str">
        <f t="shared" ref="E202:E222" si="14">IF(D202="?OLD","!!!","")</f>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ref="H202:H222" ca="1" si="15">IF(J202&lt;&gt;1,"",IF(I202="SBJ","CB","?"))</f>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163</v>
      </c>
      <c r="E203" s="21" t="str">
        <f t="shared" si="14"/>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5"/>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301</v>
      </c>
      <c r="B204" s="20" t="s">
        <v>166</v>
      </c>
      <c r="C204" s="20" t="s">
        <v>157</v>
      </c>
      <c r="D204" s="20" t="s">
        <v>158</v>
      </c>
      <c r="E204" s="21"/>
      <c r="F204" s="22" t="s">
        <v>581</v>
      </c>
      <c r="G204" s="23" t="str">
        <f>IF(OR(E204="",E204="!!!"),"",IF(OR(J204=0,AND(J204=1,K204=1),AND(J204=1,I204="SBJ"),AND(J204=1,I204=0)),"?IN_FOCUS",IF(J204&lt;=2,"?ACTIVATED",IF(J204&lt;&gt;"","?FAMILIAR",IF(F204="NEW",IF(ISNA(VLOOKUP(E204,#REF!,1,FALSE())),"?TYPE_IDENTIFIABLE","?REFERENTIAL"),"_")))))</f>
        <v/>
      </c>
      <c r="H204" s="24" t="str">
        <f t="shared" ca="1" si="15"/>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302</v>
      </c>
      <c r="E205" s="21" t="str">
        <f t="shared" si="14"/>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5"/>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272</v>
      </c>
      <c r="E206" s="21" t="str">
        <f t="shared" si="14"/>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5"/>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303</v>
      </c>
      <c r="E207" s="21" t="str">
        <f t="shared" si="14"/>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5"/>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304</v>
      </c>
      <c r="B208" s="20" t="s">
        <v>223</v>
      </c>
      <c r="C208" s="20" t="s">
        <v>305</v>
      </c>
      <c r="D208" s="20" t="s">
        <v>158</v>
      </c>
      <c r="E208" s="21" t="s">
        <v>571</v>
      </c>
      <c r="F208" s="22" t="str">
        <f>IF(OR(E208="",E208="!!!"),"",IF(NOT(ISNA(VLOOKUP(E208,E$1:E207,1,FALSE()))),"OLD",IF(AND(E208&lt;&gt;"",E208&lt;&gt;"!!!"),"NEW","")))</f>
        <v>OLD</v>
      </c>
      <c r="G208" s="23" t="s">
        <v>642</v>
      </c>
      <c r="H208" s="24" t="str">
        <f t="shared" ca="1" si="15"/>
        <v/>
      </c>
      <c r="I208" s="25" t="str">
        <f>IF(OR(E208="",E208="!!!",F208="NEW"),"",INDEX(B$2:B207,-1+SUMPRODUCT(MAX(ROW(E$2:E207)*(E208=E$2:E207)))))</f>
        <v>SBJ</v>
      </c>
      <c r="J208" s="25">
        <f ca="1">IF(OR(E208="",E208="!!!",F208="NEW"),"",COUNTBLANK(OFFSET(A$1,,,SUMPRODUCT(MAX(ROW(E$2:E208)*(E208=E$2:E208)))))-COUNTBLANK(OFFSET(A$1,,,SUMPRODUCT(MAX(ROW(E$1:E207)*(E2=E$1:E207))))))</f>
        <v>0</v>
      </c>
      <c r="K208" s="25">
        <f ca="1">IF(OR(E208="",E208="!!!",F208="NEW"),"",INDEX(J$1:J207,SUMPRODUCT(MAX(ROW(E$1:E207)*(E208=E$1:E207)))))</f>
        <v>0</v>
      </c>
      <c r="L208" s="26"/>
    </row>
    <row r="209" spans="1:12" x14ac:dyDescent="0.3">
      <c r="A209" t="s">
        <v>306</v>
      </c>
      <c r="B209" s="20" t="s">
        <v>278</v>
      </c>
      <c r="C209" s="20" t="s">
        <v>170</v>
      </c>
      <c r="E209" s="21" t="s">
        <v>583</v>
      </c>
      <c r="F209" s="22" t="str">
        <f>IF(OR(E209="",E209="!!!"),"",IF(NOT(ISNA(VLOOKUP(E209,E$1:E208,1,FALSE()))),"OLD",IF(AND(E209&lt;&gt;"",E209&lt;&gt;"!!!"),"NEW","")))</f>
        <v>OLD</v>
      </c>
      <c r="G209" s="23" t="s">
        <v>641</v>
      </c>
      <c r="H209" s="24" t="str">
        <f t="shared" ca="1" si="15"/>
        <v/>
      </c>
      <c r="I209" s="25" t="str">
        <f>IF(OR(E209="",E209="!!!",F209="NEW"),"",INDEX(B$2:B208,-1+SUMPRODUCT(MAX(ROW(E$2:E208)*(E209=E$2:E208)))))</f>
        <v>SBJ</v>
      </c>
      <c r="J209" s="25">
        <f ca="1">IF(OR(E209="",E209="!!!",F209="NEW"),"",COUNTBLANK(OFFSET(A$1,,,SUMPRODUCT(MAX(ROW(E$2:E209)*(E209=E$2:E209)))))-COUNTBLANK(OFFSET(A$1,,,SUMPRODUCT(MAX(ROW(E$1:E208)*(E2=E$1:E208))))))</f>
        <v>0</v>
      </c>
      <c r="K209" s="25" t="str">
        <f ca="1">IF(OR(E209="",E209="!!!",F209="NEW"),"",INDEX(J$1:J208,SUMPRODUCT(MAX(ROW(E$1:E208)*(E209=E$1:E208)))))</f>
        <v/>
      </c>
      <c r="L209" s="26"/>
    </row>
    <row r="210" spans="1:12" x14ac:dyDescent="0.3">
      <c r="A210" t="s">
        <v>307</v>
      </c>
      <c r="E210" s="21" t="str">
        <f t="shared" si="14"/>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5"/>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308</v>
      </c>
      <c r="E211" s="21" t="str">
        <f t="shared" si="14"/>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5"/>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214</v>
      </c>
      <c r="E212" s="21" t="str">
        <f t="shared" si="14"/>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5"/>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309</v>
      </c>
      <c r="E213" s="21" t="s">
        <v>571</v>
      </c>
      <c r="F213" s="22" t="str">
        <f>IF(OR(E213="",E213="!!!"),"",IF(NOT(ISNA(VLOOKUP(E213,E$1:E212,1,FALSE()))),"OLD",IF(AND(E213&lt;&gt;"",E213&lt;&gt;"!!!"),"NEW","")))</f>
        <v>OLD</v>
      </c>
      <c r="G213" s="23" t="s">
        <v>642</v>
      </c>
      <c r="H213" s="24" t="str">
        <f t="shared" ca="1" si="15"/>
        <v/>
      </c>
      <c r="I213" s="25" t="str">
        <f>IF(OR(E213="",E213="!!!",F213="NEW"),"",INDEX(B$2:B212,-1+SUMPRODUCT(MAX(ROW(E$2:E212)*(E213=E$2:E212)))))</f>
        <v>other_3</v>
      </c>
      <c r="J213" s="25">
        <f ca="1">IF(OR(E213="",E213="!!!",F213="NEW"),"",COUNTBLANK(OFFSET(A$1,,,SUMPRODUCT(MAX(ROW(E$2:E213)*(E213=E$2:E213)))))-COUNTBLANK(OFFSET(A$1,,,SUMPRODUCT(MAX(ROW(E$1:E212)*(E2=E$1:E212))))))</f>
        <v>0</v>
      </c>
      <c r="K213" s="25">
        <f ca="1">IF(OR(E213="",E213="!!!",F213="NEW"),"",INDEX(J$1:J212,SUMPRODUCT(MAX(ROW(E$1:E212)*(E213=E$1:E212)))))</f>
        <v>0</v>
      </c>
      <c r="L213" s="26" t="s">
        <v>582</v>
      </c>
    </row>
    <row r="214" spans="1:12" x14ac:dyDescent="0.3">
      <c r="A214" t="s">
        <v>310</v>
      </c>
      <c r="E214" s="21" t="str">
        <f t="shared" si="14"/>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5"/>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311</v>
      </c>
      <c r="B215" s="20" t="s">
        <v>218</v>
      </c>
      <c r="C215" s="20" t="s">
        <v>290</v>
      </c>
      <c r="E215" s="21" t="s">
        <v>598</v>
      </c>
      <c r="F215" s="22" t="str">
        <f>IF(OR(E215="",E215="!!!"),"",IF(NOT(ISNA(VLOOKUP(E215,E$1:E214,1,FALSE()))),"OLD",IF(AND(E215&lt;&gt;"",E215&lt;&gt;"!!!"),"NEW","")))</f>
        <v>NEW</v>
      </c>
      <c r="G215" s="23" t="s">
        <v>643</v>
      </c>
      <c r="H215" s="24" t="str">
        <f t="shared" ca="1" si="15"/>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163</v>
      </c>
      <c r="E216" s="21" t="str">
        <f t="shared" si="14"/>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5"/>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312</v>
      </c>
      <c r="B217" s="20" t="s">
        <v>226</v>
      </c>
      <c r="C217" s="20" t="s">
        <v>313</v>
      </c>
      <c r="D217" s="20" t="s">
        <v>158</v>
      </c>
      <c r="E217" s="21"/>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5"/>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t="s">
        <v>589</v>
      </c>
    </row>
    <row r="218" spans="1:12" x14ac:dyDescent="0.3">
      <c r="A218" t="s">
        <v>314</v>
      </c>
      <c r="B218" s="20" t="s">
        <v>223</v>
      </c>
      <c r="C218" s="20" t="s">
        <v>315</v>
      </c>
      <c r="D218" s="20" t="s">
        <v>158</v>
      </c>
      <c r="E218" s="21"/>
      <c r="F218" s="22" t="s">
        <v>581</v>
      </c>
      <c r="G218" s="23" t="str">
        <f>IF(OR(E218="",E218="!!!"),"",IF(OR(J218=0,AND(J218=1,K218=1),AND(J218=1,I218="SBJ"),AND(J218=1,I218=0)),"?IN_FOCUS",IF(J218&lt;=2,"?ACTIVATED",IF(J218&lt;&gt;"","?FAMILIAR",IF(F218="NEW",IF(ISNA(VLOOKUP(E218,#REF!,1,FALSE())),"?TYPE_IDENTIFIABLE","?REFERENTIAL"),"_")))))</f>
        <v/>
      </c>
      <c r="H218" s="24" t="str">
        <f t="shared" ca="1" si="15"/>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316</v>
      </c>
      <c r="E219" s="21" t="str">
        <f t="shared" si="14"/>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5"/>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317</v>
      </c>
      <c r="B220" s="20" t="s">
        <v>218</v>
      </c>
      <c r="C220" s="20" t="s">
        <v>280</v>
      </c>
      <c r="E220" s="21" t="str">
        <f t="shared" si="14"/>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5"/>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318</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175</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4" spans="1:12" x14ac:dyDescent="0.3">
      <c r="A224" t="s">
        <v>319</v>
      </c>
    </row>
    <row r="225" spans="1:12" x14ac:dyDescent="0.3">
      <c r="A225" t="s">
        <v>320</v>
      </c>
      <c r="B225" s="20" t="s">
        <v>248</v>
      </c>
      <c r="C225" s="20" t="s">
        <v>313</v>
      </c>
      <c r="D225" s="20" t="s">
        <v>158</v>
      </c>
      <c r="E225" s="21"/>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ref="H225:H247" ca="1" si="16">IF(J225&lt;&gt;1,"",IF(I225="SBJ","CB","?"))</f>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t="s">
        <v>589</v>
      </c>
    </row>
    <row r="226" spans="1:12" x14ac:dyDescent="0.3">
      <c r="A226" t="s">
        <v>321</v>
      </c>
      <c r="B226" s="20" t="s">
        <v>156</v>
      </c>
      <c r="C226" s="20" t="s">
        <v>315</v>
      </c>
      <c r="D226" s="20" t="s">
        <v>158</v>
      </c>
      <c r="E226" s="21" t="s">
        <v>614</v>
      </c>
      <c r="F226" s="22" t="str">
        <f>IF(OR(E226="",E226="!!!"),"",IF(NOT(ISNA(VLOOKUP(E226,E$1:E225,1,FALSE()))),"OLD",IF(AND(E226&lt;&gt;"",E226&lt;&gt;"!!!"),"NEW","")))</f>
        <v>OLD</v>
      </c>
      <c r="G226" s="23" t="s">
        <v>644</v>
      </c>
      <c r="H226" s="24" t="str">
        <f t="shared" ca="1" si="16"/>
        <v/>
      </c>
      <c r="I226" s="25" t="str">
        <f>IF(OR(E226="",E226="!!!",F226="NEW"),"",INDEX(B$2:B225,-1+SUMPRODUCT(MAX(ROW(E$2:E225)*(E226=E$2:E225)))))</f>
        <v>OBJ_2</v>
      </c>
      <c r="J226" s="25">
        <f ca="1">IF(OR(E226="",E226="!!!",F226="NEW"),"",COUNTBLANK(OFFSET(A$1,,,SUMPRODUCT(MAX(ROW(E$2:E226)*(E226=E$2:E226)))))-COUNTBLANK(OFFSET(A$1,,,SUMPRODUCT(MAX(ROW(E$1:E225)*(E2=E$1:E225))))))</f>
        <v>0</v>
      </c>
      <c r="K226" s="25">
        <f ca="1">IF(OR(E226="",E226="!!!",F226="NEW"),"",INDEX(J$1:J225,SUMPRODUCT(MAX(ROW(E$1:E225)*(E226=E$1:E225)))))</f>
        <v>0</v>
      </c>
      <c r="L226" s="26"/>
    </row>
    <row r="227" spans="1:12" x14ac:dyDescent="0.3">
      <c r="A227" t="s">
        <v>322</v>
      </c>
      <c r="E227" s="21" t="str">
        <f t="shared" ref="E227:E247" si="17">IF(D227="?OLD","!!!","")</f>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6"/>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284</v>
      </c>
      <c r="B228" s="20" t="s">
        <v>162</v>
      </c>
      <c r="C228" s="20" t="s">
        <v>286</v>
      </c>
      <c r="D228" s="20" t="s">
        <v>158</v>
      </c>
      <c r="E228" s="21" t="s">
        <v>571</v>
      </c>
      <c r="F228" s="22" t="str">
        <f>IF(OR(E228="",E228="!!!"),"",IF(NOT(ISNA(VLOOKUP(E228,E$1:E227,1,FALSE()))),"OLD",IF(AND(E228&lt;&gt;"",E228&lt;&gt;"!!!"),"NEW","")))</f>
        <v>OLD</v>
      </c>
      <c r="G228" s="23" t="s">
        <v>642</v>
      </c>
      <c r="H228" s="24" t="s">
        <v>150</v>
      </c>
      <c r="I228" s="25">
        <f>IF(OR(E228="",E228="!!!",F228="NEW"),"",INDEX(B$2:B227,-1+SUMPRODUCT(MAX(ROW(E$2:E227)*(E228=E$2:E227)))))</f>
        <v>0</v>
      </c>
      <c r="J228" s="25">
        <f ca="1">IF(OR(E228="",E228="!!!",F228="NEW"),"",COUNTBLANK(OFFSET(A$1,,,SUMPRODUCT(MAX(ROW(E$2:E228)*(E228=E$2:E228)))))-COUNTBLANK(OFFSET(A$1,,,SUMPRODUCT(MAX(ROW(E$1:E227)*(E2=E$1:E227))))))</f>
        <v>0</v>
      </c>
      <c r="K228" s="25">
        <f ca="1">IF(OR(E228="",E228="!!!",F228="NEW"),"",INDEX(J$1:J227,SUMPRODUCT(MAX(ROW(E$1:E227)*(E228=E$1:E227)))))</f>
        <v>0</v>
      </c>
      <c r="L228" s="26"/>
    </row>
    <row r="229" spans="1:12" x14ac:dyDescent="0.3">
      <c r="A229" t="s">
        <v>163</v>
      </c>
      <c r="E229" s="21" t="str">
        <f t="shared" si="17"/>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6"/>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323</v>
      </c>
      <c r="E230" s="21" t="str">
        <f t="shared" si="17"/>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6"/>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324</v>
      </c>
      <c r="B231" s="20" t="s">
        <v>166</v>
      </c>
      <c r="C231" s="20" t="s">
        <v>170</v>
      </c>
      <c r="E231" s="21" t="str">
        <f t="shared" si="17"/>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6"/>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325</v>
      </c>
      <c r="E232" s="21" t="str">
        <f t="shared" si="17"/>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6"/>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326</v>
      </c>
      <c r="E233" s="21" t="str">
        <f t="shared" si="17"/>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6"/>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327</v>
      </c>
      <c r="B234" s="20" t="s">
        <v>166</v>
      </c>
      <c r="C234" s="20" t="s">
        <v>234</v>
      </c>
      <c r="D234" s="20" t="s">
        <v>158</v>
      </c>
      <c r="E234" s="21" t="s">
        <v>619</v>
      </c>
      <c r="F234" s="22" t="s">
        <v>618</v>
      </c>
      <c r="G234" s="23" t="s">
        <v>643</v>
      </c>
      <c r="H234" s="24" t="str">
        <f t="shared" ca="1" si="16"/>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325</v>
      </c>
      <c r="E235" s="21" t="str">
        <f t="shared" si="17"/>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6"/>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328</v>
      </c>
      <c r="B236" s="20" t="s">
        <v>248</v>
      </c>
      <c r="C236" s="20" t="s">
        <v>157</v>
      </c>
      <c r="D236" s="20" t="s">
        <v>158</v>
      </c>
      <c r="E236" s="21" t="s">
        <v>617</v>
      </c>
      <c r="F236" s="22" t="str">
        <f>IF(OR(E236="",E236="!!!"),"",IF(NOT(ISNA(VLOOKUP(E236,E$1:E235,1,FALSE()))),"OLD",IF(AND(E236&lt;&gt;"",E236&lt;&gt;"!!!"),"NEW","")))</f>
        <v>NEW</v>
      </c>
      <c r="G236" s="23" t="s">
        <v>641</v>
      </c>
      <c r="H236" s="24" t="str">
        <f t="shared" ca="1" si="16"/>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329</v>
      </c>
      <c r="E237" s="21" t="str">
        <f t="shared" si="17"/>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6"/>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272</v>
      </c>
      <c r="E238" s="21" t="str">
        <f t="shared" si="17"/>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6"/>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216</v>
      </c>
      <c r="B239" s="20" t="s">
        <v>330</v>
      </c>
      <c r="E239" s="21" t="str">
        <f t="shared" si="17"/>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6"/>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309</v>
      </c>
      <c r="E240" s="21" t="s">
        <v>619</v>
      </c>
      <c r="F240" s="22" t="str">
        <f>IF(OR(E240="",E240="!!!"),"",IF(NOT(ISNA(VLOOKUP(E240,E$1:E239,1,FALSE()))),"OLD",IF(AND(E240&lt;&gt;"",E240&lt;&gt;"!!!"),"NEW","")))</f>
        <v>OLD</v>
      </c>
      <c r="G240" s="23" t="s">
        <v>642</v>
      </c>
      <c r="H240" s="24" t="str">
        <f t="shared" ca="1" si="16"/>
        <v/>
      </c>
      <c r="I240" s="25" t="str">
        <f>IF(OR(E240="",E240="!!!",F240="NEW"),"",INDEX(B$2:B239,-1+SUMPRODUCT(MAX(ROW(E$2:E239)*(E240=E$2:E239)))))</f>
        <v>other</v>
      </c>
      <c r="J240" s="25">
        <f ca="1">IF(OR(E240="",E240="!!!",F240="NEW"),"",COUNTBLANK(OFFSET(A$1,,,SUMPRODUCT(MAX(ROW(E$2:E240)*(E240=E$2:E240)))))-COUNTBLANK(OFFSET(A$1,,,SUMPRODUCT(MAX(ROW(E$1:E239)*(E2=E$1:E239))))))</f>
        <v>0</v>
      </c>
      <c r="K240" s="25" t="str">
        <f ca="1">IF(OR(E240="",E240="!!!",F240="NEW"),"",INDEX(J$1:J239,SUMPRODUCT(MAX(ROW(E$1:E239)*(E240=E$1:E239)))))</f>
        <v/>
      </c>
      <c r="L240" s="26" t="s">
        <v>582</v>
      </c>
    </row>
    <row r="241" spans="1:12" x14ac:dyDescent="0.3">
      <c r="A241" t="s">
        <v>331</v>
      </c>
      <c r="B241" s="20" t="s">
        <v>218</v>
      </c>
      <c r="C241" s="20" t="s">
        <v>290</v>
      </c>
      <c r="E241" s="21" t="s">
        <v>620</v>
      </c>
      <c r="F241" s="22" t="str">
        <f>IF(OR(E241="",E241="!!!"),"",IF(NOT(ISNA(VLOOKUP(E241,E$1:E240,1,FALSE()))),"OLD",IF(AND(E241&lt;&gt;"",E241&lt;&gt;"!!!"),"NEW","")))</f>
        <v>NEW</v>
      </c>
      <c r="G241" s="23" t="s">
        <v>643</v>
      </c>
      <c r="H241" s="24" t="str">
        <f t="shared" ca="1" si="16"/>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212</v>
      </c>
      <c r="B242" s="20" t="s">
        <v>226</v>
      </c>
      <c r="C242" s="20" t="s">
        <v>182</v>
      </c>
      <c r="E242" s="21" t="str">
        <f t="shared" si="17"/>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6"/>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332</v>
      </c>
      <c r="E243" s="21" t="str">
        <f t="shared" si="17"/>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16"/>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333</v>
      </c>
      <c r="B244" s="20" t="s">
        <v>223</v>
      </c>
      <c r="C244" s="20" t="s">
        <v>170</v>
      </c>
      <c r="E244" s="21" t="str">
        <f t="shared" si="17"/>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6"/>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334</v>
      </c>
      <c r="E245" s="21" t="str">
        <f t="shared" si="17"/>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6"/>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335</v>
      </c>
      <c r="E246" s="21" t="str">
        <f t="shared" si="17"/>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16"/>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336</v>
      </c>
      <c r="E247" s="21" t="str">
        <f t="shared" si="17"/>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16"/>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9" spans="1:12" x14ac:dyDescent="0.3">
      <c r="A249" t="s">
        <v>237</v>
      </c>
      <c r="E249" s="21" t="str">
        <f>IF(D249="?OLD","!!!","")</f>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ca="1">IF(J249&lt;&gt;1,"",IF(I249="SBJ","CB","?"))</f>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337</v>
      </c>
    </row>
    <row r="251" spans="1:12" x14ac:dyDescent="0.3">
      <c r="A251" t="s">
        <v>159</v>
      </c>
      <c r="B251" s="20" t="s">
        <v>156</v>
      </c>
      <c r="C251" s="20" t="s">
        <v>182</v>
      </c>
      <c r="E251" s="21" t="s">
        <v>571</v>
      </c>
      <c r="F251" s="22" t="str">
        <f>IF(OR(E251="",E251="!!!"),"",IF(NOT(ISNA(VLOOKUP(E251,E$1:E250,1,FALSE()))),"OLD",IF(AND(E251&lt;&gt;"",E251&lt;&gt;"!!!"),"NEW","")))</f>
        <v>OLD</v>
      </c>
      <c r="G251" s="23" t="s">
        <v>642</v>
      </c>
      <c r="H251" s="24" t="s">
        <v>150</v>
      </c>
      <c r="I251" s="25" t="str">
        <f>IF(OR(E251="",E251="!!!",F251="NEW"),"",INDEX(B$2:B250,-1+SUMPRODUCT(MAX(ROW(E$2:E250)*(E251=E$2:E250)))))</f>
        <v>OBJ</v>
      </c>
      <c r="J251" s="25">
        <f ca="1">IF(OR(E251="",E251="!!!",F251="NEW"),"",COUNTBLANK(OFFSET(A$1,,,SUMPRODUCT(MAX(ROW(E$2:E251)*(E251=E$2:E251)))))-COUNTBLANK(OFFSET(A$1,,,SUMPRODUCT(MAX(ROW(E$1:E250)*(E2=E$1:E250))))))</f>
        <v>0</v>
      </c>
      <c r="K251" s="25">
        <f ca="1">IF(OR(E251="",E251="!!!",F251="NEW"),"",INDEX(J$1:J250,SUMPRODUCT(MAX(ROW(E$1:E250)*(E251=E$1:E250)))))</f>
        <v>0</v>
      </c>
      <c r="L251" s="26" t="s">
        <v>582</v>
      </c>
    </row>
    <row r="252" spans="1:12" x14ac:dyDescent="0.3">
      <c r="A252" t="s">
        <v>338</v>
      </c>
      <c r="E252" s="21" t="str">
        <f t="shared" ref="E252:E282" si="18">IF(D252="?OLD","!!!","")</f>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ref="H252:H282" ca="1" si="19">IF(J252&lt;&gt;1,"",IF(I252="SBJ","CB","?"))</f>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216</v>
      </c>
      <c r="E253" s="21" t="str">
        <f t="shared" si="18"/>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19"/>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339</v>
      </c>
      <c r="E254" s="21" t="str">
        <f t="shared" si="18"/>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9"/>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340</v>
      </c>
      <c r="E255" s="21" t="str">
        <f t="shared" si="18"/>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19"/>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341</v>
      </c>
      <c r="B256" s="20" t="s">
        <v>166</v>
      </c>
      <c r="C256" s="20" t="s">
        <v>342</v>
      </c>
      <c r="D256" s="20" t="s">
        <v>158</v>
      </c>
      <c r="E256" s="21"/>
      <c r="F256" s="22" t="s">
        <v>574</v>
      </c>
      <c r="G256" s="23" t="str">
        <f>IF(OR(E256="",E256="!!!"),"",IF(OR(J256=0,AND(J256=1,K256=1),AND(J256=1,I256="SBJ"),AND(J256=1,I256=0)),"?IN_FOCUS",IF(J256&lt;=2,"?ACTIVATED",IF(J256&lt;&gt;"","?FAMILIAR",IF(F256="NEW",IF(ISNA(VLOOKUP(E256,#REF!,1,FALSE())),"?TYPE_IDENTIFIABLE","?REFERENTIAL"),"_")))))</f>
        <v/>
      </c>
      <c r="H256" s="24" t="str">
        <f t="shared" ca="1" si="19"/>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309</v>
      </c>
      <c r="E257" s="21" t="s">
        <v>571</v>
      </c>
      <c r="F257" s="22" t="str">
        <f>IF(OR(E257="",E257="!!!"),"",IF(NOT(ISNA(VLOOKUP(E257,E$1:E256,1,FALSE()))),"OLD",IF(AND(E257&lt;&gt;"",E257&lt;&gt;"!!!"),"NEW","")))</f>
        <v>OLD</v>
      </c>
      <c r="G257" s="23" t="s">
        <v>642</v>
      </c>
      <c r="H257" s="24" t="str">
        <f t="shared" ca="1" si="19"/>
        <v/>
      </c>
      <c r="I257" s="25" t="str">
        <f>IF(OR(E257="",E257="!!!",F257="NEW"),"",INDEX(B$2:B256,-1+SUMPRODUCT(MAX(ROW(E$2:E256)*(E257=E$2:E256)))))</f>
        <v>SBJ</v>
      </c>
      <c r="J257" s="25">
        <f ca="1">IF(OR(E257="",E257="!!!",F257="NEW"),"",COUNTBLANK(OFFSET(A$1,,,SUMPRODUCT(MAX(ROW(E$2:E257)*(E257=E$2:E257)))))-COUNTBLANK(OFFSET(A$1,,,SUMPRODUCT(MAX(ROW(E$1:E256)*(E2=E$1:E256))))))</f>
        <v>0</v>
      </c>
      <c r="K257" s="25">
        <f ca="1">IF(OR(E257="",E257="!!!",F257="NEW"),"",INDEX(J$1:J256,SUMPRODUCT(MAX(ROW(E$1:E256)*(E257=E$1:E256)))))</f>
        <v>0</v>
      </c>
      <c r="L257" s="26" t="s">
        <v>582</v>
      </c>
    </row>
    <row r="258" spans="1:12" x14ac:dyDescent="0.3">
      <c r="A258" t="s">
        <v>343</v>
      </c>
      <c r="B258" s="20" t="s">
        <v>162</v>
      </c>
      <c r="C258" s="20" t="s">
        <v>290</v>
      </c>
      <c r="E258" s="21" t="s">
        <v>616</v>
      </c>
      <c r="F258" s="22" t="str">
        <f>IF(OR(E258="",E258="!!!"),"",IF(NOT(ISNA(VLOOKUP(E258,E$1:E257,1,FALSE()))),"OLD",IF(AND(E258&lt;&gt;"",E258&lt;&gt;"!!!"),"NEW","")))</f>
        <v>OLD</v>
      </c>
      <c r="G258" s="23" t="s">
        <v>641</v>
      </c>
      <c r="H258" s="24" t="str">
        <f t="shared" ca="1" si="19"/>
        <v/>
      </c>
      <c r="I258" s="25" t="str">
        <f>IF(OR(E258="",E258="!!!",F258="NEW"),"",INDEX(B$2:B257,-1+SUMPRODUCT(MAX(ROW(E$2:E257)*(E258=E$2:E257)))))</f>
        <v>other_3</v>
      </c>
      <c r="J258" s="25">
        <f ca="1">IF(OR(E258="",E258="!!!",F258="NEW"),"",COUNTBLANK(OFFSET(A$1,,,SUMPRODUCT(MAX(ROW(E$2:E258)*(E258=E$2:E258)))))-COUNTBLANK(OFFSET(A$1,,,SUMPRODUCT(MAX(ROW(E$1:E257)*(E2=E$1:E257))))))</f>
        <v>0</v>
      </c>
      <c r="K258" s="25" t="str">
        <f ca="1">IF(OR(E258="",E258="!!!",F258="NEW"),"",INDEX(J$1:J257,SUMPRODUCT(MAX(ROW(E$1:E257)*(E258=E$1:E257)))))</f>
        <v/>
      </c>
      <c r="L258" s="26"/>
    </row>
    <row r="259" spans="1:12" x14ac:dyDescent="0.3">
      <c r="A259" t="s">
        <v>344</v>
      </c>
      <c r="E259" s="21" t="str">
        <f t="shared" si="18"/>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19"/>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272</v>
      </c>
      <c r="E260" s="21" t="str">
        <f t="shared" si="18"/>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19"/>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66</v>
      </c>
      <c r="E261" s="21" t="str">
        <f t="shared" si="18"/>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9"/>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345</v>
      </c>
      <c r="E262" s="21" t="str">
        <f t="shared" si="18"/>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19"/>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12</v>
      </c>
      <c r="E263" s="21" t="str">
        <f t="shared" si="18"/>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19"/>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346</v>
      </c>
      <c r="E264" s="21" t="str">
        <f t="shared" si="18"/>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19"/>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46</v>
      </c>
      <c r="E265" s="21" t="str">
        <f t="shared" si="18"/>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19"/>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347</v>
      </c>
      <c r="B266" s="20" t="s">
        <v>221</v>
      </c>
      <c r="C266" s="20" t="s">
        <v>231</v>
      </c>
      <c r="E266" s="21" t="str">
        <f t="shared" si="18"/>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19"/>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12</v>
      </c>
      <c r="E267" s="21" t="str">
        <f t="shared" si="18"/>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19"/>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348</v>
      </c>
      <c r="E268" s="21" t="str">
        <f t="shared" si="18"/>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19"/>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349</v>
      </c>
      <c r="E269" s="21" t="str">
        <f t="shared" si="18"/>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19"/>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350</v>
      </c>
      <c r="E270" s="21" t="str">
        <f t="shared" si="18"/>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19"/>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351</v>
      </c>
      <c r="B271" s="20" t="s">
        <v>248</v>
      </c>
      <c r="C271" s="20" t="s">
        <v>170</v>
      </c>
      <c r="E271" s="21" t="str">
        <f t="shared" si="18"/>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19"/>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352</v>
      </c>
      <c r="E272" s="21" t="str">
        <f t="shared" si="18"/>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19"/>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272</v>
      </c>
      <c r="E273" s="21" t="str">
        <f t="shared" si="18"/>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19"/>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216</v>
      </c>
      <c r="B274" s="20" t="s">
        <v>278</v>
      </c>
      <c r="E274" s="21" t="str">
        <f t="shared" si="18"/>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ca="1" si="19"/>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353</v>
      </c>
      <c r="E275" s="21" t="str">
        <f t="shared" si="18"/>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19"/>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354</v>
      </c>
      <c r="B276" s="20" t="s">
        <v>221</v>
      </c>
      <c r="C276" s="20" t="s">
        <v>280</v>
      </c>
      <c r="E276" s="21" t="str">
        <f t="shared" si="18"/>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19"/>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302</v>
      </c>
      <c r="E277" s="21" t="str">
        <f t="shared" si="18"/>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19"/>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355</v>
      </c>
      <c r="B278" s="20" t="s">
        <v>223</v>
      </c>
      <c r="C278" s="20" t="s">
        <v>170</v>
      </c>
      <c r="E278" s="21" t="str">
        <f t="shared" si="18"/>
        <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19"/>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214</v>
      </c>
      <c r="E279" s="21" t="str">
        <f t="shared" si="18"/>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19"/>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356</v>
      </c>
      <c r="B280" s="20" t="s">
        <v>226</v>
      </c>
      <c r="C280" s="20" t="s">
        <v>170</v>
      </c>
      <c r="E280" s="21" t="str">
        <f t="shared" si="18"/>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19"/>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357</v>
      </c>
      <c r="E281" s="21" t="str">
        <f t="shared" si="18"/>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19"/>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272</v>
      </c>
      <c r="E282" s="21" t="str">
        <f t="shared" si="18"/>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19"/>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358</v>
      </c>
      <c r="E283" s="21" t="str">
        <f t="shared" ref="E283:E309" si="20">IF(D283="?OLD","!!!","")</f>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ref="H283:H309" ca="1" si="21">IF(J283&lt;&gt;1,"",IF(I283="SBJ","CB","?"))</f>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216</v>
      </c>
      <c r="E284" s="21" t="str">
        <f t="shared" si="20"/>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21"/>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43</v>
      </c>
      <c r="B285" s="20" t="s">
        <v>278</v>
      </c>
      <c r="C285" s="20" t="s">
        <v>167</v>
      </c>
      <c r="D285" s="20" t="s">
        <v>158</v>
      </c>
      <c r="E285" s="21"/>
      <c r="F285" s="22" t="s">
        <v>584</v>
      </c>
      <c r="G285" s="23" t="str">
        <f>IF(OR(E285="",E285="!!!"),"",IF(OR(J285=0,AND(J285=1,K285=1),AND(J285=1,I285="SBJ"),AND(J285=1,I285=0)),"?IN_FOCUS",IF(J285&lt;=2,"?ACTIVATED",IF(J285&lt;&gt;"","?FAMILIAR",IF(F285="NEW",IF(ISNA(VLOOKUP(E285,#REF!,1,FALSE())),"?TYPE_IDENTIFIABLE","?REFERENTIAL"),"_")))))</f>
        <v/>
      </c>
      <c r="H285" s="24" t="str">
        <f t="shared" ca="1" si="21"/>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241</v>
      </c>
      <c r="E286" s="21" t="str">
        <f t="shared" si="20"/>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1"/>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359</v>
      </c>
      <c r="E287" s="21" t="str">
        <f t="shared" si="20"/>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1"/>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360</v>
      </c>
      <c r="B288" s="20" t="s">
        <v>223</v>
      </c>
      <c r="C288" s="20" t="s">
        <v>157</v>
      </c>
      <c r="D288" s="20" t="s">
        <v>158</v>
      </c>
      <c r="E288" s="21" t="s">
        <v>590</v>
      </c>
      <c r="F288" s="22" t="str">
        <f>IF(OR(E288="",E288="!!!"),"",IF(NOT(ISNA(VLOOKUP(E288,E$1:E287,1,FALSE()))),"OLD",IF(AND(E288&lt;&gt;"",E288&lt;&gt;"!!!"),"NEW","")))</f>
        <v>NEW</v>
      </c>
      <c r="G288" s="23" t="s">
        <v>643</v>
      </c>
      <c r="H288" s="24" t="str">
        <f t="shared" ca="1" si="21"/>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361</v>
      </c>
      <c r="E289" s="21" t="str">
        <f t="shared" si="20"/>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1"/>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362</v>
      </c>
      <c r="E290" s="21" t="str">
        <f t="shared" si="20"/>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1"/>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241</v>
      </c>
      <c r="E291" s="21" t="str">
        <f t="shared" si="20"/>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1"/>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304</v>
      </c>
      <c r="B292" s="20" t="s">
        <v>223</v>
      </c>
      <c r="C292" s="20" t="s">
        <v>172</v>
      </c>
      <c r="D292" s="20" t="s">
        <v>158</v>
      </c>
      <c r="E292" s="21" t="s">
        <v>571</v>
      </c>
      <c r="F292" s="22" t="str">
        <f>IF(OR(E292="",E292="!!!"),"",IF(NOT(ISNA(VLOOKUP(E292,E$1:E291,1,FALSE()))),"OLD",IF(AND(E292&lt;&gt;"",E292&lt;&gt;"!!!"),"NEW","")))</f>
        <v>OLD</v>
      </c>
      <c r="G292" s="23" t="s">
        <v>642</v>
      </c>
      <c r="H292" s="24" t="str">
        <f t="shared" ca="1" si="21"/>
        <v/>
      </c>
      <c r="I292" s="25">
        <f>IF(OR(E292="",E292="!!!",F292="NEW"),"",INDEX(B$2:B291,-1+SUMPRODUCT(MAX(ROW(E$2:E291)*(E292=E$2:E291)))))</f>
        <v>0</v>
      </c>
      <c r="J292" s="25">
        <f ca="1">IF(OR(E292="",E292="!!!",F292="NEW"),"",COUNTBLANK(OFFSET(A$1,,,SUMPRODUCT(MAX(ROW(E$2:E292)*(E292=E$2:E292)))))-COUNTBLANK(OFFSET(A$1,,,SUMPRODUCT(MAX(ROW(E$1:E291)*(E2=E$1:E291))))))</f>
        <v>0</v>
      </c>
      <c r="K292" s="25">
        <f ca="1">IF(OR(E292="",E292="!!!",F292="NEW"),"",INDEX(J$1:J291,SUMPRODUCT(MAX(ROW(E$1:E291)*(E292=E$1:E291)))))</f>
        <v>0</v>
      </c>
      <c r="L292" s="26"/>
    </row>
    <row r="293" spans="1:12" x14ac:dyDescent="0.3">
      <c r="A293" t="s">
        <v>363</v>
      </c>
      <c r="E293" s="21" t="str">
        <f t="shared" si="20"/>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1"/>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272</v>
      </c>
      <c r="E294" s="21" t="str">
        <f t="shared" si="20"/>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ca="1" si="21"/>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358</v>
      </c>
      <c r="E295" s="21" t="str">
        <f t="shared" si="20"/>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1"/>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284</v>
      </c>
      <c r="B296" s="20" t="s">
        <v>330</v>
      </c>
      <c r="C296" s="20" t="s">
        <v>286</v>
      </c>
      <c r="D296" s="20" t="s">
        <v>158</v>
      </c>
      <c r="E296" s="21" t="s">
        <v>571</v>
      </c>
      <c r="F296" s="22" t="str">
        <f>IF(OR(E296="",E296="!!!"),"",IF(NOT(ISNA(VLOOKUP(E296,E$1:E295,1,FALSE()))),"OLD",IF(AND(E296&lt;&gt;"",E296&lt;&gt;"!!!"),"NEW","")))</f>
        <v>OLD</v>
      </c>
      <c r="G296" s="23" t="s">
        <v>642</v>
      </c>
      <c r="H296" s="24" t="str">
        <f t="shared" ca="1" si="21"/>
        <v/>
      </c>
      <c r="I296" s="25" t="str">
        <f>IF(OR(E296="",E296="!!!",F296="NEW"),"",INDEX(B$2:B295,-1+SUMPRODUCT(MAX(ROW(E$2:E295)*(E296=E$2:E295)))))</f>
        <v>other_3</v>
      </c>
      <c r="J296" s="25">
        <f ca="1">IF(OR(E296="",E296="!!!",F296="NEW"),"",COUNTBLANK(OFFSET(A$1,,,SUMPRODUCT(MAX(ROW(E$2:E296)*(E296=E$2:E296)))))-COUNTBLANK(OFFSET(A$1,,,SUMPRODUCT(MAX(ROW(E$1:E295)*(E2=E$1:E295))))))</f>
        <v>0</v>
      </c>
      <c r="K296" s="25">
        <f ca="1">IF(OR(E296="",E296="!!!",F296="NEW"),"",INDEX(J$1:J295,SUMPRODUCT(MAX(ROW(E$1:E295)*(E296=E$1:E295)))))</f>
        <v>0</v>
      </c>
      <c r="L296" s="26"/>
    </row>
    <row r="297" spans="1:12" x14ac:dyDescent="0.3">
      <c r="A297" t="s">
        <v>246</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216</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364</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208</v>
      </c>
      <c r="B300" s="20" t="s">
        <v>248</v>
      </c>
      <c r="C300" s="20" t="s">
        <v>167</v>
      </c>
      <c r="D300" s="20" t="s">
        <v>158</v>
      </c>
      <c r="E300" s="21"/>
      <c r="F300" s="22" t="s">
        <v>584</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179</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272</v>
      </c>
      <c r="E302" s="21" t="str">
        <f t="shared" si="20"/>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2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216</v>
      </c>
      <c r="B303" s="20" t="s">
        <v>289</v>
      </c>
      <c r="E303" s="21" t="str">
        <f t="shared" si="2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365</v>
      </c>
      <c r="B304" s="20" t="s">
        <v>285</v>
      </c>
      <c r="C304" s="20" t="s">
        <v>172</v>
      </c>
      <c r="D304" s="20" t="s">
        <v>158</v>
      </c>
      <c r="E304" s="21" t="s">
        <v>590</v>
      </c>
      <c r="F304" s="22" t="str">
        <f>IF(OR(E304="",E304="!!!"),"",IF(NOT(ISNA(VLOOKUP(E304,E$1:E303,1,FALSE()))),"OLD",IF(AND(E304&lt;&gt;"",E304&lt;&gt;"!!!"),"NEW","")))</f>
        <v>OLD</v>
      </c>
      <c r="G304" s="23" t="s">
        <v>642</v>
      </c>
      <c r="H304" s="24" t="str">
        <f t="shared" ca="1" si="21"/>
        <v/>
      </c>
      <c r="I304" s="25" t="str">
        <f>IF(OR(E304="",E304="!!!",F304="NEW"),"",INDEX(B$2:B303,-1+SUMPRODUCT(MAX(ROW(E$2:E303)*(E304=E$2:E303)))))</f>
        <v>other_3</v>
      </c>
      <c r="J304" s="25">
        <f ca="1">IF(OR(E304="",E304="!!!",F304="NEW"),"",COUNTBLANK(OFFSET(A$1,,,SUMPRODUCT(MAX(ROW(E$2:E304)*(E304=E$2:E304)))))-COUNTBLANK(OFFSET(A$1,,,SUMPRODUCT(MAX(ROW(E$1:E303)*(E2=E$1:E303))))))</f>
        <v>0</v>
      </c>
      <c r="K304" s="25" t="str">
        <f ca="1">IF(OR(E304="",E304="!!!",F304="NEW"),"",INDEX(J$1:J303,SUMPRODUCT(MAX(ROW(E$1:E303)*(E304=E$1:E303)))))</f>
        <v/>
      </c>
      <c r="L304" s="26"/>
    </row>
    <row r="305" spans="1:12" x14ac:dyDescent="0.3">
      <c r="A305" t="s">
        <v>366</v>
      </c>
      <c r="E305" s="21" t="str">
        <f t="shared" si="2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367</v>
      </c>
      <c r="E306" s="21" t="str">
        <f t="shared" si="2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335</v>
      </c>
      <c r="E307" s="21" t="str">
        <f t="shared" si="2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175</v>
      </c>
      <c r="E308" s="21" t="str">
        <f t="shared" si="2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246</v>
      </c>
      <c r="E309" s="21" t="str">
        <f t="shared" si="2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1" spans="1:12" x14ac:dyDescent="0.3">
      <c r="A311" t="s">
        <v>368</v>
      </c>
    </row>
    <row r="312" spans="1:12" x14ac:dyDescent="0.3">
      <c r="A312" t="s">
        <v>369</v>
      </c>
      <c r="E312" s="21" t="str">
        <f t="shared" ref="E312:E346" si="22">IF(D312="?OLD","!!!","")</f>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ref="H312:H346" ca="1" si="23">IF(J312&lt;&gt;1,"",IF(I312="SBJ","CB","?"))</f>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370</v>
      </c>
      <c r="E313" s="21" t="str">
        <f t="shared" si="22"/>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23"/>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284</v>
      </c>
      <c r="B314" s="20" t="s">
        <v>156</v>
      </c>
      <c r="C314" s="20" t="s">
        <v>286</v>
      </c>
      <c r="D314" s="20" t="s">
        <v>158</v>
      </c>
      <c r="E314" s="21" t="s">
        <v>571</v>
      </c>
      <c r="F314" s="22" t="str">
        <f>IF(OR(E314="",E314="!!!"),"",IF(NOT(ISNA(VLOOKUP(E314,E$1:E313,1,FALSE()))),"OLD",IF(AND(E314&lt;&gt;"",E314&lt;&gt;"!!!"),"NEW","")))</f>
        <v>OLD</v>
      </c>
      <c r="G314" s="23" t="s">
        <v>642</v>
      </c>
      <c r="H314" s="24" t="s">
        <v>150</v>
      </c>
      <c r="I314" s="25" t="str">
        <f>IF(OR(E314="",E314="!!!",F314="NEW"),"",INDEX(B$2:B313,-1+SUMPRODUCT(MAX(ROW(E$2:E313)*(E314=E$2:E313)))))</f>
        <v>SBJ_3</v>
      </c>
      <c r="J314" s="25">
        <f ca="1">IF(OR(E314="",E314="!!!",F314="NEW"),"",COUNTBLANK(OFFSET(A$1,,,SUMPRODUCT(MAX(ROW(E$2:E314)*(E314=E$2:E314)))))-COUNTBLANK(OFFSET(A$1,,,SUMPRODUCT(MAX(ROW(E$1:E313)*(E2=E$1:E313))))))</f>
        <v>0</v>
      </c>
      <c r="K314" s="25">
        <f ca="1">IF(OR(E314="",E314="!!!",F314="NEW"),"",INDEX(J$1:J313,SUMPRODUCT(MAX(ROW(E$1:E313)*(E314=E$1:E313)))))</f>
        <v>0</v>
      </c>
      <c r="L314" s="26"/>
    </row>
    <row r="315" spans="1:12" x14ac:dyDescent="0.3">
      <c r="A315" t="s">
        <v>353</v>
      </c>
      <c r="E315" s="21" t="str">
        <f t="shared" si="22"/>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3"/>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371</v>
      </c>
      <c r="E316" s="21" t="str">
        <f t="shared" si="22"/>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3"/>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372</v>
      </c>
      <c r="B317" s="20" t="s">
        <v>162</v>
      </c>
      <c r="C317" s="20" t="s">
        <v>280</v>
      </c>
      <c r="E317" s="21" t="str">
        <f t="shared" si="22"/>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23"/>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163</v>
      </c>
      <c r="E318" s="21" t="str">
        <f t="shared" si="22"/>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23"/>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273</v>
      </c>
      <c r="B319" s="20" t="s">
        <v>248</v>
      </c>
      <c r="C319" s="20" t="s">
        <v>157</v>
      </c>
      <c r="D319" s="20" t="s">
        <v>158</v>
      </c>
      <c r="E319" s="21" t="s">
        <v>588</v>
      </c>
      <c r="F319" s="22" t="str">
        <f>IF(OR(E319="",E319="!!!"),"",IF(NOT(ISNA(VLOOKUP(E319,E$1:E318,1,FALSE()))),"OLD",IF(AND(E319&lt;&gt;"",E319&lt;&gt;"!!!"),"NEW","")))</f>
        <v>OLD</v>
      </c>
      <c r="G319" s="23" t="s">
        <v>641</v>
      </c>
      <c r="H319" s="24" t="str">
        <f t="shared" ca="1" si="23"/>
        <v/>
      </c>
      <c r="I319" s="25" t="str">
        <f>IF(OR(E319="",E319="!!!",F319="NEW"),"",INDEX(B$2:B318,-1+SUMPRODUCT(MAX(ROW(E$2:E318)*(E319=E$2:E318)))))</f>
        <v>other_5</v>
      </c>
      <c r="J319" s="25">
        <f ca="1">IF(OR(E319="",E319="!!!",F319="NEW"),"",COUNTBLANK(OFFSET(A$1,,,SUMPRODUCT(MAX(ROW(E$2:E319)*(E319=E$2:E319)))))-COUNTBLANK(OFFSET(A$1,,,SUMPRODUCT(MAX(ROW(E$1:E318)*(E2=E$1:E318))))))</f>
        <v>0</v>
      </c>
      <c r="K319" s="25" t="str">
        <f ca="1">IF(OR(E319="",E319="!!!",F319="NEW"),"",INDEX(J$1:J318,SUMPRODUCT(MAX(ROW(E$1:E318)*(E319=E$1:E318)))))</f>
        <v/>
      </c>
      <c r="L319" s="26"/>
    </row>
    <row r="320" spans="1:12" x14ac:dyDescent="0.3">
      <c r="A320" t="s">
        <v>272</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316</v>
      </c>
      <c r="E321" s="21" t="str">
        <f t="shared" si="22"/>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373</v>
      </c>
      <c r="B322" s="20" t="s">
        <v>248</v>
      </c>
      <c r="C322" s="20" t="s">
        <v>280</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272</v>
      </c>
      <c r="E323" s="21" t="str">
        <f t="shared" si="22"/>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224</v>
      </c>
      <c r="B324" s="20" t="s">
        <v>285</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374</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349</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375</v>
      </c>
      <c r="E327" s="21" t="str">
        <f t="shared" si="22"/>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3"/>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219</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159</v>
      </c>
      <c r="B329" s="20" t="s">
        <v>226</v>
      </c>
      <c r="C329" s="20" t="s">
        <v>157</v>
      </c>
      <c r="D329" s="20" t="s">
        <v>158</v>
      </c>
      <c r="E329" s="21" t="s">
        <v>571</v>
      </c>
      <c r="F329" s="22" t="str">
        <f>IF(OR(E329="",E329="!!!"),"",IF(NOT(ISNA(VLOOKUP(E329,E$1:E328,1,FALSE()))),"OLD",IF(AND(E329&lt;&gt;"",E329&lt;&gt;"!!!"),"NEW","")))</f>
        <v>OLD</v>
      </c>
      <c r="G329" s="23" t="s">
        <v>642</v>
      </c>
      <c r="H329" s="24" t="str">
        <f t="shared" ca="1" si="23"/>
        <v/>
      </c>
      <c r="I329" s="25" t="str">
        <f>IF(OR(E329="",E329="!!!",F329="NEW"),"",INDEX(B$2:B328,-1+SUMPRODUCT(MAX(ROW(E$2:E328)*(E329=E$2:E328)))))</f>
        <v>SBJ</v>
      </c>
      <c r="J329" s="25">
        <f ca="1">IF(OR(E329="",E329="!!!",F329="NEW"),"",COUNTBLANK(OFFSET(A$1,,,SUMPRODUCT(MAX(ROW(E$2:E329)*(E329=E$2:E329)))))-COUNTBLANK(OFFSET(A$1,,,SUMPRODUCT(MAX(ROW(E$1:E328)*(E2=E$1:E328))))))</f>
        <v>0</v>
      </c>
      <c r="K329" s="25">
        <f ca="1">IF(OR(E329="",E329="!!!",F329="NEW"),"",INDEX(J$1:J328,SUMPRODUCT(MAX(ROW(E$1:E328)*(E329=E$1:E328)))))</f>
        <v>0</v>
      </c>
      <c r="L329" s="26"/>
    </row>
    <row r="330" spans="1:12" x14ac:dyDescent="0.3">
      <c r="A330" t="s">
        <v>214</v>
      </c>
      <c r="E330" s="21" t="str">
        <f t="shared" si="2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2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164</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222</v>
      </c>
      <c r="B332" s="20" t="s">
        <v>229</v>
      </c>
      <c r="C332" s="20" t="s">
        <v>167</v>
      </c>
      <c r="D332" s="20" t="s">
        <v>158</v>
      </c>
      <c r="E332" s="21" t="s">
        <v>621</v>
      </c>
      <c r="F332" s="22" t="str">
        <f>IF(OR(E332="",E332="!!!"),"",IF(NOT(ISNA(VLOOKUP(E332,E$1:E331,1,FALSE()))),"OLD",IF(AND(E332&lt;&gt;"",E332&lt;&gt;"!!!"),"NEW","")))</f>
        <v>NEW</v>
      </c>
      <c r="G332" s="23" t="s">
        <v>643</v>
      </c>
      <c r="H332" s="24" t="str">
        <f t="shared" ca="1" si="2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224</v>
      </c>
      <c r="E333" s="21" t="str">
        <f t="shared" si="2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327</v>
      </c>
      <c r="B334" s="20" t="s">
        <v>376</v>
      </c>
      <c r="C334" s="20" t="s">
        <v>167</v>
      </c>
      <c r="D334" s="20" t="s">
        <v>158</v>
      </c>
      <c r="E334" s="21"/>
      <c r="F334" s="22" t="s">
        <v>573</v>
      </c>
      <c r="G334" s="23" t="str">
        <f>IF(OR(E334="",E334="!!!"),"",IF(OR(J334=0,AND(J334=1,K334=1),AND(J334=1,I334="SBJ"),AND(J334=1,I334=0)),"?IN_FOCUS",IF(J334&lt;=2,"?ACTIVATED",IF(J334&lt;&gt;"","?FAMILIAR",IF(F334="NEW",IF(ISNA(VLOOKUP(E334,#REF!,1,FALSE())),"?TYPE_IDENTIFIABLE","?REFERENTIAL"),"_")))))</f>
        <v/>
      </c>
      <c r="H334" s="24" t="str">
        <f t="shared" ca="1" si="2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377</v>
      </c>
      <c r="E335" s="21" t="str">
        <f t="shared" si="2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2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272</v>
      </c>
      <c r="E336" s="21" t="str">
        <f t="shared" si="2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378</v>
      </c>
      <c r="E337" s="21" t="str">
        <f t="shared" si="2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379</v>
      </c>
      <c r="E338" s="21" t="str">
        <f t="shared" si="2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219</v>
      </c>
      <c r="E339" s="21" t="str">
        <f t="shared" si="2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304</v>
      </c>
      <c r="B340" s="20" t="s">
        <v>226</v>
      </c>
      <c r="C340" s="20" t="s">
        <v>172</v>
      </c>
      <c r="D340" s="20" t="s">
        <v>158</v>
      </c>
      <c r="E340" s="21" t="s">
        <v>571</v>
      </c>
      <c r="F340" s="22" t="str">
        <f>IF(OR(E340="",E340="!!!"),"",IF(NOT(ISNA(VLOOKUP(E340,E$1:E339,1,FALSE()))),"OLD",IF(AND(E340&lt;&gt;"",E340&lt;&gt;"!!!"),"NEW","")))</f>
        <v>OLD</v>
      </c>
      <c r="G340" s="23" t="s">
        <v>642</v>
      </c>
      <c r="H340" s="24" t="str">
        <f t="shared" ca="1" si="23"/>
        <v/>
      </c>
      <c r="I340" s="25" t="str">
        <f>IF(OR(E340="",E340="!!!",F340="NEW"),"",INDEX(B$2:B339,-1+SUMPRODUCT(MAX(ROW(E$2:E339)*(E340=E$2:E339)))))</f>
        <v>other_4</v>
      </c>
      <c r="J340" s="25">
        <f ca="1">IF(OR(E340="",E340="!!!",F340="NEW"),"",COUNTBLANK(OFFSET(A$1,,,SUMPRODUCT(MAX(ROW(E$2:E340)*(E340=E$2:E340)))))-COUNTBLANK(OFFSET(A$1,,,SUMPRODUCT(MAX(ROW(E$1:E339)*(E2=E$1:E339))))))</f>
        <v>0</v>
      </c>
      <c r="K340" s="25">
        <f ca="1">IF(OR(E340="",E340="!!!",F340="NEW"),"",INDEX(J$1:J339,SUMPRODUCT(MAX(ROW(E$1:E339)*(E340=E$1:E339)))))</f>
        <v>0</v>
      </c>
      <c r="L340" s="26"/>
    </row>
    <row r="341" spans="1:12" x14ac:dyDescent="0.3">
      <c r="A341" t="s">
        <v>214</v>
      </c>
      <c r="E341" s="21" t="str">
        <f t="shared" si="2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380</v>
      </c>
      <c r="E342" s="21" t="str">
        <f t="shared" si="2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381</v>
      </c>
      <c r="E343" s="21" t="str">
        <f t="shared" si="2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382</v>
      </c>
      <c r="E344" s="21" t="str">
        <f t="shared" si="2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383</v>
      </c>
      <c r="B345" s="20" t="s">
        <v>229</v>
      </c>
      <c r="C345" s="20" t="s">
        <v>280</v>
      </c>
      <c r="E345" s="21" t="str">
        <f t="shared" si="2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175</v>
      </c>
      <c r="E346" s="21" t="str">
        <f t="shared" si="2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8" spans="1:12" x14ac:dyDescent="0.3">
      <c r="A348" t="s">
        <v>384</v>
      </c>
    </row>
    <row r="349" spans="1:12" x14ac:dyDescent="0.3">
      <c r="A349" t="s">
        <v>385</v>
      </c>
      <c r="E349" s="21" t="str">
        <f t="shared" ref="E349:E369" si="24">IF(D349="?OLD","!!!","")</f>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ref="H349:H369" ca="1" si="25">IF(J349&lt;&gt;1,"",IF(I349="SBJ","CB","?"))</f>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348</v>
      </c>
      <c r="E350" s="21" t="str">
        <f t="shared" si="24"/>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5"/>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380</v>
      </c>
      <c r="E351" s="21" t="str">
        <f t="shared" si="24"/>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5"/>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2" spans="1:12" x14ac:dyDescent="0.3">
      <c r="A352" t="s">
        <v>386</v>
      </c>
      <c r="E352" s="21" t="str">
        <f t="shared" si="24"/>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25"/>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161</v>
      </c>
      <c r="B353" s="20" t="s">
        <v>166</v>
      </c>
      <c r="C353" s="20" t="s">
        <v>280</v>
      </c>
      <c r="E353" s="21" t="s">
        <v>614</v>
      </c>
      <c r="F353" s="22" t="str">
        <f>IF(OR(E353="",E353="!!!"),"",IF(NOT(ISNA(VLOOKUP(E353,E$1:E352,1,FALSE()))),"OLD",IF(AND(E353&lt;&gt;"",E353&lt;&gt;"!!!"),"NEW","")))</f>
        <v>OLD</v>
      </c>
      <c r="G353" s="23" t="s">
        <v>641</v>
      </c>
      <c r="H353" s="24" t="str">
        <f t="shared" ca="1" si="25"/>
        <v/>
      </c>
      <c r="I353" s="25" t="str">
        <f>IF(OR(E353="",E353="!!!",F353="NEW"),"",INDEX(B$2:B352,-1+SUMPRODUCT(MAX(ROW(E$2:E352)*(E353=E$2:E352)))))</f>
        <v>SBJ</v>
      </c>
      <c r="J353" s="25">
        <f ca="1">IF(OR(E353="",E353="!!!",F353="NEW"),"",COUNTBLANK(OFFSET(A$1,,,SUMPRODUCT(MAX(ROW(E$2:E353)*(E353=E$2:E353)))))-COUNTBLANK(OFFSET(A$1,,,SUMPRODUCT(MAX(ROW(E$1:E352)*(E2=E$1:E352))))))</f>
        <v>0</v>
      </c>
      <c r="K353" s="25">
        <f ca="1">IF(OR(E353="",E353="!!!",F353="NEW"),"",INDEX(J$1:J352,SUMPRODUCT(MAX(ROW(E$1:E352)*(E353=E$1:E352)))))</f>
        <v>0</v>
      </c>
      <c r="L353" s="26"/>
    </row>
    <row r="354" spans="1:12" x14ac:dyDescent="0.3">
      <c r="A354" t="s">
        <v>387</v>
      </c>
      <c r="E354" s="21" t="str">
        <f t="shared" si="24"/>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25"/>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212</v>
      </c>
      <c r="B355" s="20" t="s">
        <v>223</v>
      </c>
      <c r="C355" s="20" t="s">
        <v>182</v>
      </c>
      <c r="E355" s="21" t="str">
        <f t="shared" si="24"/>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25"/>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224</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388</v>
      </c>
      <c r="B357" s="20" t="s">
        <v>248</v>
      </c>
      <c r="C357" s="20" t="s">
        <v>167</v>
      </c>
      <c r="D357" s="20" t="s">
        <v>158</v>
      </c>
      <c r="E357" s="21" t="s">
        <v>591</v>
      </c>
      <c r="F357" s="22" t="str">
        <f>IF(OR(E357="",E357="!!!"),"",IF(NOT(ISNA(VLOOKUP(E357,E$1:E356,1,FALSE()))),"OLD",IF(AND(E357&lt;&gt;"",E357&lt;&gt;"!!!"),"NEW","")))</f>
        <v>NEW</v>
      </c>
      <c r="G357" s="23" t="s">
        <v>643</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163</v>
      </c>
      <c r="E358" s="21" t="str">
        <f t="shared" si="2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389</v>
      </c>
      <c r="B359" s="20" t="s">
        <v>223</v>
      </c>
      <c r="C359" s="20" t="s">
        <v>157</v>
      </c>
      <c r="D359" s="20" t="s">
        <v>158</v>
      </c>
      <c r="E359" s="21" t="s">
        <v>592</v>
      </c>
      <c r="F359" s="22" t="str">
        <f>IF(OR(E359="",E359="!!!"),"",IF(NOT(ISNA(VLOOKUP(E359,E$1:E358,1,FALSE()))),"OLD",IF(AND(E359&lt;&gt;"",E359&lt;&gt;"!!!"),"NEW","")))</f>
        <v>NEW</v>
      </c>
      <c r="G359" s="23" t="s">
        <v>643</v>
      </c>
      <c r="H359" s="24" t="str">
        <f t="shared" ca="1" si="2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272</v>
      </c>
      <c r="E360" s="21" t="str">
        <f t="shared" si="24"/>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25"/>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390</v>
      </c>
      <c r="B361" s="20" t="s">
        <v>226</v>
      </c>
      <c r="C361" s="20" t="s">
        <v>157</v>
      </c>
      <c r="D361" s="20" t="s">
        <v>158</v>
      </c>
      <c r="E361" s="21" t="s">
        <v>593</v>
      </c>
      <c r="F361" s="22" t="str">
        <f>IF(OR(E361="",E361="!!!"),"",IF(NOT(ISNA(VLOOKUP(E361,E$1:E360,1,FALSE()))),"OLD",IF(AND(E361&lt;&gt;"",E361&lt;&gt;"!!!"),"NEW","")))</f>
        <v>NEW</v>
      </c>
      <c r="G361" s="23" t="s">
        <v>641</v>
      </c>
      <c r="H361" s="24" t="str">
        <f t="shared" ca="1" si="2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79</v>
      </c>
      <c r="E362" s="21" t="str">
        <f t="shared" si="2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272</v>
      </c>
      <c r="E363" s="21" t="str">
        <f t="shared" si="24"/>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2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391</v>
      </c>
      <c r="E364" s="21" t="str">
        <f t="shared" si="2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303</v>
      </c>
      <c r="E365" s="21" t="str">
        <f t="shared" si="24"/>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5"/>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392</v>
      </c>
      <c r="B366" s="20" t="s">
        <v>248</v>
      </c>
      <c r="C366" s="20" t="s">
        <v>170</v>
      </c>
      <c r="E366" s="21" t="str">
        <f t="shared" si="2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393</v>
      </c>
      <c r="E367" s="21" t="str">
        <f t="shared" si="2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105</v>
      </c>
      <c r="E368" s="21" t="str">
        <f t="shared" si="2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175</v>
      </c>
      <c r="E369" s="21" t="str">
        <f t="shared" si="24"/>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25"/>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1" spans="1:12" x14ac:dyDescent="0.3">
      <c r="A371" t="s">
        <v>394</v>
      </c>
    </row>
    <row r="372" spans="1:12" x14ac:dyDescent="0.3">
      <c r="A372" t="s">
        <v>204</v>
      </c>
      <c r="E372" s="21" t="str">
        <f t="shared" ref="E372:E414" si="26">IF(D372="?OLD","!!!","")</f>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ref="H372:H414" ca="1" si="27">IF(J372&lt;&gt;1,"",IF(I372="SBJ","CB","?"))</f>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258</v>
      </c>
      <c r="B373" s="20" t="s">
        <v>156</v>
      </c>
      <c r="C373" s="20" t="s">
        <v>167</v>
      </c>
      <c r="D373" s="20" t="s">
        <v>158</v>
      </c>
      <c r="E373" s="21"/>
      <c r="F373" s="22" t="s">
        <v>584</v>
      </c>
      <c r="G373" s="23" t="str">
        <f>IF(OR(E373="",E373="!!!"),"",IF(OR(J373=0,AND(J373=1,K373=1),AND(J373=1,I373="SBJ"),AND(J373=1,I373=0)),"?IN_FOCUS",IF(J373&lt;=2,"?ACTIVATED",IF(J373&lt;&gt;"","?FAMILIAR",IF(F373="NEW",IF(ISNA(VLOOKUP(E373,#REF!,1,FALSE())),"?TYPE_IDENTIFIABLE","?REFERENTIAL"),"_")))))</f>
        <v/>
      </c>
      <c r="H373" s="24" t="str">
        <f t="shared" ca="1" si="27"/>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155</v>
      </c>
      <c r="B374" s="20" t="s">
        <v>248</v>
      </c>
      <c r="C374" s="20" t="s">
        <v>157</v>
      </c>
      <c r="D374" s="20" t="s">
        <v>158</v>
      </c>
      <c r="E374" s="21" t="s">
        <v>571</v>
      </c>
      <c r="F374" s="22" t="str">
        <f>IF(OR(E374="",E374="!!!"),"",IF(NOT(ISNA(VLOOKUP(E374,E$1:E373,1,FALSE()))),"OLD",IF(AND(E374&lt;&gt;"",E374&lt;&gt;"!!!"),"NEW","")))</f>
        <v>OLD</v>
      </c>
      <c r="G374" s="23" t="s">
        <v>644</v>
      </c>
      <c r="H374" s="24" t="str">
        <f t="shared" ca="1" si="27"/>
        <v/>
      </c>
      <c r="I374" s="25" t="str">
        <f>IF(OR(E374="",E374="!!!",F374="NEW"),"",INDEX(B$2:B373,-1+SUMPRODUCT(MAX(ROW(E$2:E373)*(E374=E$2:E373)))))</f>
        <v>other_4</v>
      </c>
      <c r="J374" s="25">
        <f ca="1">IF(OR(E374="",E374="!!!",F374="NEW"),"",COUNTBLANK(OFFSET(A$1,,,SUMPRODUCT(MAX(ROW(E$2:E374)*(E374=E$2:E374)))))-COUNTBLANK(OFFSET(A$1,,,SUMPRODUCT(MAX(ROW(E$1:E373)*(E2=E$1:E373))))))</f>
        <v>0</v>
      </c>
      <c r="K374" s="25">
        <f ca="1">IF(OR(E374="",E374="!!!",F374="NEW"),"",INDEX(J$1:J373,SUMPRODUCT(MAX(ROW(E$1:E373)*(E374=E$1:E373)))))</f>
        <v>0</v>
      </c>
      <c r="L374" s="26"/>
    </row>
    <row r="375" spans="1:12" x14ac:dyDescent="0.3">
      <c r="A375" t="s">
        <v>159</v>
      </c>
      <c r="E375" s="21" t="str">
        <f t="shared" si="26"/>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27"/>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272</v>
      </c>
      <c r="E376" s="21" t="str">
        <f t="shared" si="26"/>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27"/>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395</v>
      </c>
      <c r="E377" s="21" t="str">
        <f t="shared" si="26"/>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7"/>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272</v>
      </c>
      <c r="E378" s="21" t="str">
        <f t="shared" si="26"/>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7"/>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214</v>
      </c>
      <c r="E379" s="21" t="str">
        <f t="shared" si="26"/>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7"/>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251</v>
      </c>
      <c r="B380" s="20" t="s">
        <v>248</v>
      </c>
      <c r="C380" s="20" t="s">
        <v>157</v>
      </c>
      <c r="D380" s="20" t="s">
        <v>158</v>
      </c>
      <c r="E380" s="21" t="s">
        <v>586</v>
      </c>
      <c r="F380" s="22" t="str">
        <f>IF(OR(E380="",E380="!!!"),"",IF(NOT(ISNA(VLOOKUP(E380,E$1:E379,1,FALSE()))),"OLD",IF(AND(E380&lt;&gt;"",E380&lt;&gt;"!!!"),"NEW","")))</f>
        <v>OLD</v>
      </c>
      <c r="G380" s="23" t="s">
        <v>641</v>
      </c>
      <c r="H380" s="24" t="str">
        <f t="shared" ca="1" si="27"/>
        <v/>
      </c>
      <c r="I380" s="25" t="str">
        <f>IF(OR(E380="",E380="!!!",F380="NEW"),"",INDEX(B$2:B379,-1+SUMPRODUCT(MAX(ROW(E$2:E379)*(E380=E$2:E379)))))</f>
        <v>other</v>
      </c>
      <c r="J380" s="25">
        <f ca="1">IF(OR(E380="",E380="!!!",F380="NEW"),"",COUNTBLANK(OFFSET(A$1,,,SUMPRODUCT(MAX(ROW(E$2:E380)*(E380=E$2:E380)))))-COUNTBLANK(OFFSET(A$1,,,SUMPRODUCT(MAX(ROW(E$1:E379)*(E2=E$1:E379))))))</f>
        <v>0</v>
      </c>
      <c r="K380" s="25" t="str">
        <f ca="1">IF(OR(E380="",E380="!!!",F380="NEW"),"",INDEX(J$1:J379,SUMPRODUCT(MAX(ROW(E$1:E379)*(E380=E$1:E379)))))</f>
        <v/>
      </c>
      <c r="L380" s="26"/>
    </row>
    <row r="381" spans="1:12" x14ac:dyDescent="0.3">
      <c r="A381" t="s">
        <v>252</v>
      </c>
      <c r="E381" s="21" t="str">
        <f t="shared" si="2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2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125</v>
      </c>
      <c r="E382" s="21" t="str">
        <f t="shared" si="26"/>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2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220</v>
      </c>
      <c r="B383" s="20" t="s">
        <v>162</v>
      </c>
      <c r="E383" s="21" t="str">
        <f t="shared" si="26"/>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2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272</v>
      </c>
      <c r="E384" s="21" t="str">
        <f t="shared" si="2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2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396</v>
      </c>
      <c r="E385" s="21" t="str">
        <f t="shared" si="2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284</v>
      </c>
      <c r="B386" s="20" t="s">
        <v>278</v>
      </c>
      <c r="C386" s="20" t="s">
        <v>286</v>
      </c>
      <c r="D386" s="20" t="s">
        <v>158</v>
      </c>
      <c r="E386" s="21" t="s">
        <v>594</v>
      </c>
      <c r="F386" s="22" t="s">
        <v>595</v>
      </c>
      <c r="G386" s="23" t="s">
        <v>642</v>
      </c>
      <c r="H386" s="24" t="str">
        <f t="shared" ca="1" si="27"/>
        <v/>
      </c>
      <c r="I386" s="25" t="e">
        <f>IF(OR(E386="",E386="!!!",F386="NEW"),"",INDEX(B$2:B385,-1+SUMPRODUCT(MAX(ROW(E$2:E385)*(E386=E$2:E385)))))</f>
        <v>#VALUE!</v>
      </c>
      <c r="J386" s="25">
        <f ca="1">IF(OR(E386="",E386="!!!",F386="NEW"),"",COUNTBLANK(OFFSET(A$1,,,SUMPRODUCT(MAX(ROW(E$2:E386)*(E386=E$2:E386)))))-COUNTBLANK(OFFSET(A$1,,,SUMPRODUCT(MAX(ROW(E$1:E385)*(E2=E$1:E385))))))</f>
        <v>0</v>
      </c>
      <c r="K386" s="25" t="e">
        <f>IF(OR(E386="",E386="!!!",F386="NEW"),"",INDEX(J$1:J385,SUMPRODUCT(MAX(ROW(E$1:E385)*(E386=E$1:E385)))))</f>
        <v>#VALUE!</v>
      </c>
      <c r="L386" s="26"/>
    </row>
    <row r="387" spans="1:12" x14ac:dyDescent="0.3">
      <c r="A387" t="s">
        <v>397</v>
      </c>
      <c r="E387" s="21" t="str">
        <f t="shared" si="2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2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161</v>
      </c>
      <c r="B388" s="20" t="s">
        <v>278</v>
      </c>
      <c r="C388" s="20" t="s">
        <v>170</v>
      </c>
      <c r="E388" s="21" t="str">
        <f t="shared" si="2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214</v>
      </c>
      <c r="E389" s="21" t="str">
        <f t="shared" si="2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2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398</v>
      </c>
      <c r="B390" s="20" t="s">
        <v>223</v>
      </c>
      <c r="C390" s="20" t="s">
        <v>170</v>
      </c>
      <c r="E390" s="21" t="str">
        <f t="shared" si="2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163</v>
      </c>
      <c r="E391" s="21" t="str">
        <f t="shared" si="2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164</v>
      </c>
      <c r="E392" s="21" t="str">
        <f t="shared" si="2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2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399</v>
      </c>
      <c r="B393" s="20" t="s">
        <v>223</v>
      </c>
      <c r="C393" s="20" t="s">
        <v>167</v>
      </c>
      <c r="D393" s="20" t="s">
        <v>158</v>
      </c>
      <c r="E393" s="21" t="s">
        <v>615</v>
      </c>
      <c r="F393" s="22" t="str">
        <f>IF(OR(E393="",E393="!!!"),"",IF(NOT(ISNA(VLOOKUP(E393,E$1:E392,1,FALSE()))),"OLD",IF(AND(E393&lt;&gt;"",E393&lt;&gt;"!!!"),"NEW","")))</f>
        <v>OLD</v>
      </c>
      <c r="G393" s="23" t="s">
        <v>641</v>
      </c>
      <c r="H393" s="24" t="str">
        <f t="shared" ca="1" si="27"/>
        <v/>
      </c>
      <c r="I393" s="25" t="str">
        <f>IF(OR(E393="",E393="!!!",F393="NEW"),"",INDEX(B$2:B392,-1+SUMPRODUCT(MAX(ROW(E$2:E392)*(E393=E$2:E392)))))</f>
        <v>other</v>
      </c>
      <c r="J393" s="25">
        <f ca="1">IF(OR(E393="",E393="!!!",F393="NEW"),"",COUNTBLANK(OFFSET(A$1,,,SUMPRODUCT(MAX(ROW(E$2:E393)*(E393=E$2:E393)))))-COUNTBLANK(OFFSET(A$1,,,SUMPRODUCT(MAX(ROW(E$1:E392)*(E2=E$1:E392))))))</f>
        <v>0</v>
      </c>
      <c r="K393" s="25" t="str">
        <f ca="1">IF(OR(E393="",E393="!!!",F393="NEW"),"",INDEX(J$1:J392,SUMPRODUCT(MAX(ROW(E$1:E392)*(E393=E$1:E392)))))</f>
        <v/>
      </c>
      <c r="L393" s="26"/>
    </row>
    <row r="394" spans="1:12" x14ac:dyDescent="0.3">
      <c r="A394" t="s">
        <v>224</v>
      </c>
      <c r="E394" s="21" t="str">
        <f t="shared" si="2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264</v>
      </c>
      <c r="B395" s="20" t="s">
        <v>226</v>
      </c>
      <c r="C395" s="20" t="s">
        <v>167</v>
      </c>
      <c r="D395" s="20" t="s">
        <v>158</v>
      </c>
      <c r="E395" s="21" t="s">
        <v>572</v>
      </c>
      <c r="F395" s="22" t="str">
        <f>IF(OR(E395="",E395="!!!"),"",IF(NOT(ISNA(VLOOKUP(E395,E$1:E394,1,FALSE()))),"OLD",IF(AND(E395&lt;&gt;"",E395&lt;&gt;"!!!"),"NEW","")))</f>
        <v>OLD</v>
      </c>
      <c r="G395" s="23" t="s">
        <v>641</v>
      </c>
      <c r="H395" s="24" t="str">
        <f t="shared" ca="1" si="27"/>
        <v/>
      </c>
      <c r="I395" s="25" t="str">
        <f>IF(OR(E395="",E395="!!!",F395="NEW"),"",INDEX(B$2:B394,-1+SUMPRODUCT(MAX(ROW(E$2:E394)*(E395=E$2:E394)))))</f>
        <v>other_2</v>
      </c>
      <c r="J395" s="25">
        <f ca="1">IF(OR(E395="",E395="!!!",F395="NEW"),"",COUNTBLANK(OFFSET(A$1,,,SUMPRODUCT(MAX(ROW(E$2:E395)*(E395=E$2:E395)))))-COUNTBLANK(OFFSET(A$1,,,SUMPRODUCT(MAX(ROW(E$1:E394)*(E2=E$1:E394))))))</f>
        <v>0</v>
      </c>
      <c r="K395" s="25">
        <f ca="1">IF(OR(E395="",E395="!!!",F395="NEW"),"",INDEX(J$1:J394,SUMPRODUCT(MAX(ROW(E$1:E394)*(E395=E$1:E394)))))</f>
        <v>0</v>
      </c>
      <c r="L395" s="26"/>
    </row>
    <row r="396" spans="1:12" x14ac:dyDescent="0.3">
      <c r="A396" t="s">
        <v>163</v>
      </c>
      <c r="E396" s="21" t="str">
        <f t="shared" si="2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2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164</v>
      </c>
      <c r="E397" s="21" t="str">
        <f t="shared" si="2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265</v>
      </c>
      <c r="B398" s="20" t="s">
        <v>229</v>
      </c>
      <c r="C398" s="20" t="s">
        <v>167</v>
      </c>
      <c r="D398" s="20" t="s">
        <v>158</v>
      </c>
      <c r="E398" s="21" t="s">
        <v>616</v>
      </c>
      <c r="F398" s="22" t="str">
        <f>IF(OR(E398="",E398="!!!"),"",IF(NOT(ISNA(VLOOKUP(E398,E$1:E397,1,FALSE()))),"OLD",IF(AND(E398&lt;&gt;"",E398&lt;&gt;"!!!"),"NEW","")))</f>
        <v>OLD</v>
      </c>
      <c r="G398" s="23" t="s">
        <v>641</v>
      </c>
      <c r="H398" s="24" t="str">
        <f t="shared" ca="1" si="27"/>
        <v/>
      </c>
      <c r="I398" s="25" t="str">
        <f>IF(OR(E398="",E398="!!!",F398="NEW"),"",INDEX(B$2:B397,-1+SUMPRODUCT(MAX(ROW(E$2:E397)*(E398=E$2:E397)))))</f>
        <v>OBJ</v>
      </c>
      <c r="J398" s="25">
        <f ca="1">IF(OR(E398="",E398="!!!",F398="NEW"),"",COUNTBLANK(OFFSET(A$1,,,SUMPRODUCT(MAX(ROW(E$2:E398)*(E398=E$2:E398)))))-COUNTBLANK(OFFSET(A$1,,,SUMPRODUCT(MAX(ROW(E$1:E397)*(E2=E$1:E397))))))</f>
        <v>0</v>
      </c>
      <c r="K398" s="25">
        <f ca="1">IF(OR(E398="",E398="!!!",F398="NEW"),"",INDEX(J$1:J397,SUMPRODUCT(MAX(ROW(E$1:E397)*(E398=E$1:E397)))))</f>
        <v>0</v>
      </c>
      <c r="L398" s="26"/>
    </row>
    <row r="399" spans="1:12" x14ac:dyDescent="0.3">
      <c r="A399" t="s">
        <v>266</v>
      </c>
      <c r="E399" s="21" t="str">
        <f t="shared" si="2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173</v>
      </c>
      <c r="E400" s="21" t="str">
        <f t="shared" si="2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2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235</v>
      </c>
      <c r="E401" s="21" t="str">
        <f t="shared" si="26"/>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2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267</v>
      </c>
      <c r="B402" s="20" t="s">
        <v>376</v>
      </c>
      <c r="C402" s="20" t="s">
        <v>157</v>
      </c>
      <c r="D402" s="20" t="s">
        <v>158</v>
      </c>
      <c r="E402" s="21" t="s">
        <v>596</v>
      </c>
      <c r="F402" s="22" t="str">
        <f>IF(OR(E402="",E402="!!!"),"",IF(NOT(ISNA(VLOOKUP(E402,E$1:E401,1,FALSE()))),"OLD",IF(AND(E402&lt;&gt;"",E402&lt;&gt;"!!!"),"NEW","")))</f>
        <v>OLD</v>
      </c>
      <c r="G402" s="23" t="s">
        <v>641</v>
      </c>
      <c r="H402" s="24" t="str">
        <f t="shared" ca="1" si="27"/>
        <v/>
      </c>
      <c r="I402" s="25" t="str">
        <f>IF(OR(E402="",E402="!!!",F402="NEW"),"",INDEX(B$2:B401,-1+SUMPRODUCT(MAX(ROW(E$2:E401)*(E402=E$2:E401)))))</f>
        <v>other_4</v>
      </c>
      <c r="J402" s="25">
        <f ca="1">IF(OR(E402="",E402="!!!",F402="NEW"),"",COUNTBLANK(OFFSET(A$1,,,SUMPRODUCT(MAX(ROW(E$2:E402)*(E402=E$2:E402)))))-COUNTBLANK(OFFSET(A$1,,,SUMPRODUCT(MAX(ROW(E$1:E401)*(E2=E$1:E401))))))</f>
        <v>0</v>
      </c>
      <c r="K402" s="25">
        <f ca="1">IF(OR(E402="",E402="!!!",F402="NEW"),"",INDEX(J$1:J401,SUMPRODUCT(MAX(ROW(E$1:E401)*(E402=E$1:E401)))))</f>
        <v>0</v>
      </c>
      <c r="L402" s="26"/>
    </row>
    <row r="403" spans="1:12" x14ac:dyDescent="0.3">
      <c r="A403" t="s">
        <v>271</v>
      </c>
      <c r="E403" s="21" t="str">
        <f t="shared" si="26"/>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7"/>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163</v>
      </c>
      <c r="E404" s="21" t="str">
        <f t="shared" si="2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268</v>
      </c>
      <c r="B405" s="20" t="s">
        <v>400</v>
      </c>
      <c r="C405" s="20" t="s">
        <v>157</v>
      </c>
      <c r="D405" s="20" t="s">
        <v>158</v>
      </c>
      <c r="E405" s="21" t="s">
        <v>587</v>
      </c>
      <c r="F405" s="22" t="str">
        <f>IF(OR(E405="",E405="!!!"),"",IF(NOT(ISNA(VLOOKUP(E405,E$1:E404,1,FALSE()))),"OLD",IF(AND(E405&lt;&gt;"",E405&lt;&gt;"!!!"),"NEW","")))</f>
        <v>OLD</v>
      </c>
      <c r="G405" s="23" t="s">
        <v>641</v>
      </c>
      <c r="H405" s="24" t="str">
        <f t="shared" ca="1" si="27"/>
        <v/>
      </c>
      <c r="I405" s="25" t="str">
        <f>IF(OR(E405="",E405="!!!",F405="NEW"),"",INDEX(B$2:B404,-1+SUMPRODUCT(MAX(ROW(E$2:E404)*(E405=E$2:E404)))))</f>
        <v>other_5</v>
      </c>
      <c r="J405" s="25">
        <f ca="1">IF(OR(E405="",E405="!!!",F405="NEW"),"",COUNTBLANK(OFFSET(A$1,,,SUMPRODUCT(MAX(ROW(E$2:E405)*(E405=E$2:E405)))))-COUNTBLANK(OFFSET(A$1,,,SUMPRODUCT(MAX(ROW(E$1:E404)*(E2=E$1:E404))))))</f>
        <v>0</v>
      </c>
      <c r="K405" s="25" t="str">
        <f ca="1">IF(OR(E405="",E405="!!!",F405="NEW"),"",INDEX(J$1:J404,SUMPRODUCT(MAX(ROW(E$1:E404)*(E405=E$1:E404)))))</f>
        <v/>
      </c>
      <c r="L405" s="26"/>
    </row>
    <row r="406" spans="1:12" x14ac:dyDescent="0.3">
      <c r="A406" t="s">
        <v>269</v>
      </c>
      <c r="E406" s="21" t="str">
        <f t="shared" si="2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270</v>
      </c>
      <c r="E407" s="21" t="str">
        <f t="shared" si="2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2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272</v>
      </c>
      <c r="E408" s="21" t="str">
        <f t="shared" si="2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273</v>
      </c>
      <c r="B409" s="20" t="s">
        <v>401</v>
      </c>
      <c r="C409" s="20" t="s">
        <v>157</v>
      </c>
      <c r="D409" s="20" t="s">
        <v>158</v>
      </c>
      <c r="E409" s="21" t="s">
        <v>588</v>
      </c>
      <c r="F409" s="22" t="str">
        <f>IF(OR(E409="",E409="!!!"),"",IF(NOT(ISNA(VLOOKUP(E409,E$1:E408,1,FALSE()))),"OLD",IF(AND(E409&lt;&gt;"",E409&lt;&gt;"!!!"),"NEW","")))</f>
        <v>OLD</v>
      </c>
      <c r="G409" s="23" t="s">
        <v>641</v>
      </c>
      <c r="H409" s="24" t="str">
        <f t="shared" ca="1" si="27"/>
        <v/>
      </c>
      <c r="I409" s="25" t="str">
        <f>IF(OR(E409="",E409="!!!",F409="NEW"),"",INDEX(B$2:B408,-1+SUMPRODUCT(MAX(ROW(E$2:E408)*(E409=E$2:E408)))))</f>
        <v>other_2</v>
      </c>
      <c r="J409" s="25">
        <f ca="1">IF(OR(E409="",E409="!!!",F409="NEW"),"",COUNTBLANK(OFFSET(A$1,,,SUMPRODUCT(MAX(ROW(E$2:E409)*(E409=E$2:E409)))))-COUNTBLANK(OFFSET(A$1,,,SUMPRODUCT(MAX(ROW(E$1:E408)*(E2=E$1:E408))))))</f>
        <v>0</v>
      </c>
      <c r="K409" s="25">
        <f ca="1">IF(OR(E409="",E409="!!!",F409="NEW"),"",INDEX(J$1:J408,SUMPRODUCT(MAX(ROW(E$1:E408)*(E409=E$1:E408)))))</f>
        <v>0</v>
      </c>
      <c r="L409" s="26"/>
    </row>
    <row r="410" spans="1:12" x14ac:dyDescent="0.3">
      <c r="A410" t="s">
        <v>272</v>
      </c>
      <c r="E410" s="21" t="str">
        <f t="shared" si="26"/>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211</v>
      </c>
      <c r="B411" s="20" t="s">
        <v>401</v>
      </c>
      <c r="C411" s="20" t="s">
        <v>157</v>
      </c>
      <c r="D411" s="20" t="s">
        <v>158</v>
      </c>
      <c r="E411" s="21" t="s">
        <v>580</v>
      </c>
      <c r="F411" s="22" t="str">
        <f>IF(OR(E411="",E411="!!!"),"",IF(NOT(ISNA(VLOOKUP(E411,E$1:E410,1,FALSE()))),"OLD",IF(AND(E411&lt;&gt;"",E411&lt;&gt;"!!!"),"NEW","")))</f>
        <v>OLD</v>
      </c>
      <c r="G411" s="23" t="s">
        <v>641</v>
      </c>
      <c r="H411" s="24" t="str">
        <f t="shared" ca="1" si="27"/>
        <v/>
      </c>
      <c r="I411" s="25" t="str">
        <f>IF(OR(E411="",E411="!!!",F411="NEW"),"",INDEX(B$2:B410,-1+SUMPRODUCT(MAX(ROW(E$2:E410)*(E411=E$2:E410)))))</f>
        <v>other_5</v>
      </c>
      <c r="J411" s="25">
        <f ca="1">IF(OR(E411="",E411="!!!",F411="NEW"),"",COUNTBLANK(OFFSET(A$1,,,SUMPRODUCT(MAX(ROW(E$2:E411)*(E411=E$2:E411)))))-COUNTBLANK(OFFSET(A$1,,,SUMPRODUCT(MAX(ROW(E$1:E410)*(E2=E$1:E410))))))</f>
        <v>0</v>
      </c>
      <c r="K411" s="25">
        <f ca="1">IF(OR(E411="",E411="!!!",F411="NEW"),"",INDEX(J$1:J410,SUMPRODUCT(MAX(ROW(E$1:E410)*(E411=E$1:E410)))))</f>
        <v>0</v>
      </c>
      <c r="L411" s="26"/>
    </row>
    <row r="412" spans="1:12" x14ac:dyDescent="0.3">
      <c r="A412" t="s">
        <v>272</v>
      </c>
      <c r="E412" s="21" t="str">
        <f t="shared" si="2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2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352</v>
      </c>
      <c r="E413" s="21" t="str">
        <f t="shared" si="2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2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109</v>
      </c>
      <c r="E414" s="21" t="str">
        <f t="shared" si="26"/>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27"/>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6" spans="1:12" x14ac:dyDescent="0.3">
      <c r="A416" t="s">
        <v>402</v>
      </c>
    </row>
    <row r="417" spans="1:12" x14ac:dyDescent="0.3">
      <c r="A417" t="s">
        <v>159</v>
      </c>
      <c r="B417" s="20" t="s">
        <v>156</v>
      </c>
      <c r="C417" s="20" t="s">
        <v>182</v>
      </c>
      <c r="E417" s="21" t="s">
        <v>571</v>
      </c>
      <c r="F417" s="22" t="str">
        <f>IF(OR(E417="",E417="!!!"),"",IF(NOT(ISNA(VLOOKUP(E417,E$1:E416,1,FALSE()))),"OLD",IF(AND(E417&lt;&gt;"",E417&lt;&gt;"!!!"),"NEW","")))</f>
        <v>OLD</v>
      </c>
      <c r="G417" s="23" t="s">
        <v>642</v>
      </c>
      <c r="H417" s="24" t="s">
        <v>150</v>
      </c>
      <c r="I417" s="25" t="str">
        <f>IF(OR(E417="",E417="!!!",F417="NEW"),"",INDEX(B$2:B416,-1+SUMPRODUCT(MAX(ROW(E$2:E416)*(E417=E$2:E416)))))</f>
        <v>other_2</v>
      </c>
      <c r="J417" s="25">
        <f ca="1">IF(OR(E417="",E417="!!!",F417="NEW"),"",COUNTBLANK(OFFSET(A$1,,,SUMPRODUCT(MAX(ROW(E$2:E417)*(E417=E$2:E417)))))-COUNTBLANK(OFFSET(A$1,,,SUMPRODUCT(MAX(ROW(E$1:E416)*(E2=E$1:E416))))))</f>
        <v>0</v>
      </c>
      <c r="K417" s="25">
        <f ca="1">IF(OR(E417="",E417="!!!",F417="NEW"),"",INDEX(J$1:J416,SUMPRODUCT(MAX(ROW(E$1:E416)*(E417=E$1:E416)))))</f>
        <v>0</v>
      </c>
      <c r="L417" s="26"/>
    </row>
    <row r="418" spans="1:12" x14ac:dyDescent="0.3">
      <c r="A418" t="s">
        <v>403</v>
      </c>
      <c r="E418" s="21" t="str">
        <f t="shared" ref="E418:E442" si="28">IF(D418="?OLD","!!!","")</f>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ref="H418:H442" ca="1" si="29">IF(J418&lt;&gt;1,"",IF(I418="SBJ","CB","?"))</f>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216</v>
      </c>
      <c r="E419" s="21" t="str">
        <f t="shared" si="28"/>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29"/>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404</v>
      </c>
      <c r="E420" s="21" t="str">
        <f t="shared" si="28"/>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29"/>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1" spans="1:12" x14ac:dyDescent="0.3">
      <c r="A421" t="s">
        <v>405</v>
      </c>
      <c r="B421" s="20" t="s">
        <v>162</v>
      </c>
      <c r="C421" s="20" t="s">
        <v>167</v>
      </c>
      <c r="D421" s="20" t="s">
        <v>158</v>
      </c>
      <c r="E421" s="21" t="s">
        <v>623</v>
      </c>
      <c r="F421" s="22" t="str">
        <f>IF(OR(E421="",E421="!!!"),"",IF(NOT(ISNA(VLOOKUP(E421,E$1:E420,1,FALSE()))),"OLD",IF(AND(E421&lt;&gt;"",E421&lt;&gt;"!!!"),"NEW","")))</f>
        <v>NEW</v>
      </c>
      <c r="G421" s="23" t="s">
        <v>643</v>
      </c>
      <c r="H421" s="24" t="str">
        <f t="shared" ca="1" si="29"/>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210</v>
      </c>
      <c r="E422" s="21" t="str">
        <f t="shared" si="28"/>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29"/>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164</v>
      </c>
      <c r="E423" s="21" t="str">
        <f t="shared" si="28"/>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29"/>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406</v>
      </c>
      <c r="B424" s="20" t="s">
        <v>248</v>
      </c>
      <c r="C424" s="20" t="s">
        <v>157</v>
      </c>
      <c r="D424" s="20" t="s">
        <v>158</v>
      </c>
      <c r="E424" s="21" t="s">
        <v>622</v>
      </c>
      <c r="F424" s="22" t="s">
        <v>574</v>
      </c>
      <c r="G424" s="23"/>
      <c r="H424" s="24" t="str">
        <f t="shared" ca="1" si="29"/>
        <v/>
      </c>
      <c r="I424" s="25" t="e">
        <f>IF(OR(E424="",E424="!!!",F424="NEW"),"",INDEX(B$2:B423,-1+SUMPRODUCT(MAX(ROW(E$2:E423)*(E424=E$2:E423)))))</f>
        <v>#VALUE!</v>
      </c>
      <c r="J424" s="25">
        <f ca="1">IF(OR(E424="",E424="!!!",F424="NEW"),"",COUNTBLANK(OFFSET(A$1,,,SUMPRODUCT(MAX(ROW(E$2:E424)*(E424=E$2:E424)))))-COUNTBLANK(OFFSET(A$1,,,SUMPRODUCT(MAX(ROW(E$1:E423)*(E2=E$1:E423))))))</f>
        <v>0</v>
      </c>
      <c r="K424" s="25" t="e">
        <f>IF(OR(E424="",E424="!!!",F424="NEW"),"",INDEX(J$1:J423,SUMPRODUCT(MAX(ROW(E$1:E423)*(E424=E$1:E423)))))</f>
        <v>#VALUE!</v>
      </c>
      <c r="L424" s="26"/>
    </row>
    <row r="425" spans="1:12" x14ac:dyDescent="0.3">
      <c r="A425" t="s">
        <v>272</v>
      </c>
      <c r="E425" s="21" t="str">
        <f t="shared" si="28"/>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29"/>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261</v>
      </c>
      <c r="E426" s="21" t="str">
        <f t="shared" si="28"/>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29"/>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284</v>
      </c>
      <c r="B427" s="20" t="s">
        <v>278</v>
      </c>
      <c r="C427" s="20" t="s">
        <v>286</v>
      </c>
      <c r="D427" s="20" t="s">
        <v>158</v>
      </c>
      <c r="E427" s="21" t="s">
        <v>571</v>
      </c>
      <c r="F427" s="22" t="str">
        <f>IF(OR(E427="",E427="!!!"),"",IF(NOT(ISNA(VLOOKUP(E427,E$1:E426,1,FALSE()))),"OLD",IF(AND(E427&lt;&gt;"",E427&lt;&gt;"!!!"),"NEW","")))</f>
        <v>OLD</v>
      </c>
      <c r="G427" s="23" t="s">
        <v>642</v>
      </c>
      <c r="H427" s="24" t="str">
        <f t="shared" ca="1" si="29"/>
        <v/>
      </c>
      <c r="I427" s="25" t="str">
        <f>IF(OR(E427="",E427="!!!",F427="NEW"),"",INDEX(B$2:B426,-1+SUMPRODUCT(MAX(ROW(E$2:E426)*(E427=E$2:E426)))))</f>
        <v>SBJ</v>
      </c>
      <c r="J427" s="25">
        <f ca="1">IF(OR(E427="",E427="!!!",F427="NEW"),"",COUNTBLANK(OFFSET(A$1,,,SUMPRODUCT(MAX(ROW(E$2:E427)*(E427=E$2:E427)))))-COUNTBLANK(OFFSET(A$1,,,SUMPRODUCT(MAX(ROW(E$1:E426)*(E2=E$1:E426))))))</f>
        <v>0</v>
      </c>
      <c r="K427" s="25">
        <f ca="1">IF(OR(E427="",E427="!!!",F427="NEW"),"",INDEX(J$1:J426,SUMPRODUCT(MAX(ROW(E$1:E426)*(E427=E$1:E426)))))</f>
        <v>0</v>
      </c>
      <c r="L427" s="26"/>
    </row>
    <row r="428" spans="1:12" x14ac:dyDescent="0.3">
      <c r="A428" t="s">
        <v>180</v>
      </c>
      <c r="E428" s="21" t="str">
        <f t="shared" si="28"/>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29"/>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224</v>
      </c>
      <c r="E429" s="21" t="str">
        <f t="shared" si="28"/>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29"/>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407</v>
      </c>
      <c r="B430" s="20" t="s">
        <v>248</v>
      </c>
      <c r="C430" s="20" t="s">
        <v>167</v>
      </c>
      <c r="D430" s="20" t="s">
        <v>158</v>
      </c>
      <c r="E430" s="21" t="s">
        <v>624</v>
      </c>
      <c r="F430" s="22" t="str">
        <f>IF(OR(E430="",E430="!!!"),"",IF(NOT(ISNA(VLOOKUP(E430,E$1:E429,1,FALSE()))),"OLD",IF(AND(E430&lt;&gt;"",E430&lt;&gt;"!!!"),"NEW","")))</f>
        <v>NEW</v>
      </c>
      <c r="G430" s="23" t="s">
        <v>643</v>
      </c>
      <c r="H430" s="24" t="str">
        <f t="shared" ca="1" si="29"/>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224</v>
      </c>
      <c r="B431" s="20" t="s">
        <v>278</v>
      </c>
      <c r="C431" s="20" t="s">
        <v>286</v>
      </c>
      <c r="D431" s="20" t="s">
        <v>158</v>
      </c>
      <c r="E431" s="21"/>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29"/>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220</v>
      </c>
      <c r="B432" s="20" t="s">
        <v>221</v>
      </c>
      <c r="E432" s="21" t="str">
        <f t="shared" si="28"/>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29"/>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163</v>
      </c>
      <c r="E433" s="21" t="str">
        <f t="shared" si="28"/>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29"/>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408</v>
      </c>
      <c r="B434" s="20" t="s">
        <v>226</v>
      </c>
      <c r="C434" s="20" t="s">
        <v>157</v>
      </c>
      <c r="D434" s="20" t="s">
        <v>158</v>
      </c>
      <c r="E434" s="21"/>
      <c r="F434" s="22" t="s">
        <v>581</v>
      </c>
      <c r="G434" s="23" t="str">
        <f>IF(OR(E434="",E434="!!!"),"",IF(OR(J434=0,AND(J434=1,K434=1),AND(J434=1,I434="SBJ"),AND(J434=1,I434=0)),"?IN_FOCUS",IF(J434&lt;=2,"?ACTIVATED",IF(J434&lt;&gt;"","?FAMILIAR",IF(F434="NEW",IF(ISNA(VLOOKUP(E434,#REF!,1,FALSE())),"?TYPE_IDENTIFIABLE","?REFERENTIAL"),"_")))))</f>
        <v/>
      </c>
      <c r="H434" s="24" t="str">
        <f t="shared" ca="1" si="29"/>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409</v>
      </c>
      <c r="E435" s="21" t="str">
        <f t="shared" si="2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2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410</v>
      </c>
      <c r="B436" s="20" t="s">
        <v>248</v>
      </c>
      <c r="C436" s="20" t="s">
        <v>170</v>
      </c>
      <c r="E436" s="21" t="str">
        <f t="shared" si="28"/>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29"/>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411</v>
      </c>
      <c r="B437" s="20" t="s">
        <v>223</v>
      </c>
      <c r="C437" s="20" t="s">
        <v>157</v>
      </c>
      <c r="D437" s="20" t="s">
        <v>158</v>
      </c>
      <c r="E437" s="21" t="s">
        <v>597</v>
      </c>
      <c r="F437" s="22" t="str">
        <f>IF(OR(E437="",E437="!!!"),"",IF(NOT(ISNA(VLOOKUP(E437,E$1:E436,1,FALSE()))),"OLD",IF(AND(E437&lt;&gt;"",E437&lt;&gt;"!!!"),"NEW","")))</f>
        <v>NEW</v>
      </c>
      <c r="G437" s="23" t="s">
        <v>643</v>
      </c>
      <c r="H437" s="24" t="str">
        <f t="shared" ca="1" si="29"/>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412</v>
      </c>
      <c r="E438" s="21" t="str">
        <f t="shared" si="2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2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303</v>
      </c>
      <c r="E439" s="21" t="str">
        <f t="shared" si="2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2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413</v>
      </c>
      <c r="B440" s="20" t="s">
        <v>248</v>
      </c>
      <c r="C440" s="20" t="s">
        <v>170</v>
      </c>
      <c r="E440" s="21" t="str">
        <f t="shared" si="28"/>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29"/>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414</v>
      </c>
      <c r="E441" s="21" t="str">
        <f t="shared" si="2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2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175</v>
      </c>
      <c r="E442" s="21" t="str">
        <f t="shared" si="2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2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4" spans="1:12" x14ac:dyDescent="0.3">
      <c r="A444" t="s">
        <v>415</v>
      </c>
    </row>
    <row r="445" spans="1:12" x14ac:dyDescent="0.3">
      <c r="A445" t="s">
        <v>416</v>
      </c>
      <c r="E445" s="21" t="str">
        <f t="shared" ref="E445:E470" si="30">IF(D445="?OLD","!!!","")</f>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ref="H445:H470" ca="1" si="31">IF(J445&lt;&gt;1,"",IF(I445="SBJ","CB","?"))</f>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159</v>
      </c>
      <c r="B446" s="20" t="s">
        <v>278</v>
      </c>
      <c r="C446" s="20" t="s">
        <v>182</v>
      </c>
      <c r="E446" s="21" t="s">
        <v>571</v>
      </c>
      <c r="F446" s="22" t="str">
        <f>IF(OR(E446="",E446="!!!"),"",IF(NOT(ISNA(VLOOKUP(E446,E$1:E445,1,FALSE()))),"OLD",IF(AND(E446&lt;&gt;"",E446&lt;&gt;"!!!"),"NEW","")))</f>
        <v>OLD</v>
      </c>
      <c r="G446" s="23" t="s">
        <v>642</v>
      </c>
      <c r="H446" s="24" t="s">
        <v>150</v>
      </c>
      <c r="I446" s="25" t="str">
        <f>IF(OR(E446="",E446="!!!",F446="NEW"),"",INDEX(B$2:B445,-1+SUMPRODUCT(MAX(ROW(E$2:E445)*(E446=E$2:E445)))))</f>
        <v>SBJ_2</v>
      </c>
      <c r="J446" s="25">
        <f ca="1">IF(OR(E446="",E446="!!!",F446="NEW"),"",COUNTBLANK(OFFSET(A$1,,,SUMPRODUCT(MAX(ROW(E$2:E446)*(E446=E$2:E446)))))-COUNTBLANK(OFFSET(A$1,,,SUMPRODUCT(MAX(ROW(E$1:E445)*(E2=E$1:E445))))))</f>
        <v>0</v>
      </c>
      <c r="K446" s="25">
        <f ca="1">IF(OR(E446="",E446="!!!",F446="NEW"),"",INDEX(J$1:J445,SUMPRODUCT(MAX(ROW(E$1:E445)*(E446=E$1:E445)))))</f>
        <v>0</v>
      </c>
      <c r="L446" s="26"/>
    </row>
    <row r="447" spans="1:12" x14ac:dyDescent="0.3">
      <c r="A447" t="s">
        <v>417</v>
      </c>
      <c r="B447" s="20" t="s">
        <v>248</v>
      </c>
      <c r="C447" s="20" t="s">
        <v>418</v>
      </c>
      <c r="D447" s="20" t="s">
        <v>158</v>
      </c>
      <c r="E447" s="21" t="s">
        <v>625</v>
      </c>
      <c r="F447" s="22" t="s">
        <v>627</v>
      </c>
      <c r="G447" s="23" t="s">
        <v>148</v>
      </c>
      <c r="H447" s="24" t="str">
        <f t="shared" ca="1" si="31"/>
        <v/>
      </c>
      <c r="I447" s="25" t="e">
        <f>IF(OR(E447="",E447="!!!",F447="NEW"),"",INDEX(B$2:B446,-1+SUMPRODUCT(MAX(ROW(E$2:E446)*(E447=E$2:E446)))))</f>
        <v>#VALUE!</v>
      </c>
      <c r="J447" s="25">
        <f ca="1">IF(OR(E447="",E447="!!!",F447="NEW"),"",COUNTBLANK(OFFSET(A$1,,,SUMPRODUCT(MAX(ROW(E$2:E447)*(E447=E$2:E447)))))-COUNTBLANK(OFFSET(A$1,,,SUMPRODUCT(MAX(ROW(E$1:E446)*(E2=E$1:E446))))))</f>
        <v>0</v>
      </c>
      <c r="K447" s="25" t="e">
        <f>IF(OR(E447="",E447="!!!",F447="NEW"),"",INDEX(J$1:J446,SUMPRODUCT(MAX(ROW(E$1:E446)*(E447=E$1:E446)))))</f>
        <v>#VALUE!</v>
      </c>
      <c r="L447" s="26"/>
    </row>
    <row r="448" spans="1:12" x14ac:dyDescent="0.3">
      <c r="A448" t="s">
        <v>419</v>
      </c>
      <c r="E448" s="21" t="str">
        <f t="shared" si="3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272</v>
      </c>
      <c r="E449" s="21" t="str">
        <f t="shared" si="3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261</v>
      </c>
      <c r="E450" s="21" t="str">
        <f t="shared" si="30"/>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1"/>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420</v>
      </c>
      <c r="E451" s="21" t="s">
        <v>571</v>
      </c>
      <c r="F451" s="22" t="str">
        <f>IF(OR(E451="",E451="!!!"),"",IF(NOT(ISNA(VLOOKUP(E451,E$1:E450,1,FALSE()))),"OLD",IF(AND(E451&lt;&gt;"",E451&lt;&gt;"!!!"),"NEW","")))</f>
        <v>OLD</v>
      </c>
      <c r="G451" s="23" t="s">
        <v>642</v>
      </c>
      <c r="H451" s="24" t="str">
        <f t="shared" ca="1" si="31"/>
        <v/>
      </c>
      <c r="I451" s="25" t="str">
        <f>IF(OR(E451="",E451="!!!",F451="NEW"),"",INDEX(B$2:B450,-1+SUMPRODUCT(MAX(ROW(E$2:E450)*(E451=E$2:E450)))))</f>
        <v>SBJ_2</v>
      </c>
      <c r="J451" s="25">
        <f ca="1">IF(OR(E451="",E451="!!!",F451="NEW"),"",COUNTBLANK(OFFSET(A$1,,,SUMPRODUCT(MAX(ROW(E$2:E451)*(E451=E$2:E451)))))-COUNTBLANK(OFFSET(A$1,,,SUMPRODUCT(MAX(ROW(E$1:E450)*(E2=E$1:E450))))))</f>
        <v>0</v>
      </c>
      <c r="K451" s="25">
        <f ca="1">IF(OR(E451="",E451="!!!",F451="NEW"),"",INDEX(J$1:J450,SUMPRODUCT(MAX(ROW(E$1:E450)*(E451=E$1:E450)))))</f>
        <v>0</v>
      </c>
      <c r="L451" s="26" t="s">
        <v>582</v>
      </c>
    </row>
    <row r="452" spans="1:12" x14ac:dyDescent="0.3">
      <c r="A452" t="s">
        <v>421</v>
      </c>
      <c r="E452" s="21" t="str">
        <f t="shared" si="3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422</v>
      </c>
      <c r="B453" s="20" t="s">
        <v>278</v>
      </c>
      <c r="C453" s="20" t="s">
        <v>290</v>
      </c>
      <c r="E453" s="21" t="s">
        <v>598</v>
      </c>
      <c r="F453" s="22" t="str">
        <f>IF(OR(E453="",E453="!!!"),"",IF(NOT(ISNA(VLOOKUP(E453,E$1:E452,1,FALSE()))),"OLD",IF(AND(E453&lt;&gt;"",E453&lt;&gt;"!!!"),"NEW","")))</f>
        <v>OLD</v>
      </c>
      <c r="G453" s="23" t="s">
        <v>643</v>
      </c>
      <c r="H453" s="24" t="str">
        <f t="shared" ca="1" si="31"/>
        <v/>
      </c>
      <c r="I453" s="25" t="str">
        <f>IF(OR(E453="",E453="!!!",F453="NEW"),"",INDEX(B$2:B452,-1+SUMPRODUCT(MAX(ROW(E$2:E452)*(E453=E$2:E452)))))</f>
        <v>OBJ_3</v>
      </c>
      <c r="J453" s="25">
        <f ca="1">IF(OR(E453="",E453="!!!",F453="NEW"),"",COUNTBLANK(OFFSET(A$1,,,SUMPRODUCT(MAX(ROW(E$2:E453)*(E453=E$2:E453)))))-COUNTBLANK(OFFSET(A$1,,,SUMPRODUCT(MAX(ROW(E$1:E452)*(E2=E$1:E452))))))</f>
        <v>0</v>
      </c>
      <c r="K453" s="25" t="str">
        <f ca="1">IF(OR(E453="",E453="!!!",F453="NEW"),"",INDEX(J$1:J452,SUMPRODUCT(MAX(ROW(E$1:E452)*(E453=E$1:E452)))))</f>
        <v/>
      </c>
      <c r="L453" s="26"/>
    </row>
    <row r="454" spans="1:12" x14ac:dyDescent="0.3">
      <c r="A454" t="s">
        <v>180</v>
      </c>
      <c r="E454" s="21" t="str">
        <f t="shared" si="3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216</v>
      </c>
      <c r="E455" s="21" t="str">
        <f t="shared" si="3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423</v>
      </c>
      <c r="B456" s="20" t="s">
        <v>223</v>
      </c>
      <c r="C456" s="20" t="s">
        <v>167</v>
      </c>
      <c r="D456" s="20" t="s">
        <v>158</v>
      </c>
      <c r="E456" s="21"/>
      <c r="F456" s="22" t="s">
        <v>581</v>
      </c>
      <c r="G456" s="23" t="str">
        <f>IF(OR(E456="",E456="!!!"),"",IF(OR(J456=0,AND(J456=1,K456=1),AND(J456=1,I456="SBJ"),AND(J456=1,I456=0)),"?IN_FOCUS",IF(J456&lt;=2,"?ACTIVATED",IF(J456&lt;&gt;"","?FAMILIAR",IF(F456="NEW",IF(ISNA(VLOOKUP(E456,#REF!,1,FALSE())),"?TYPE_IDENTIFIABLE","?REFERENTIAL"),"_")))))</f>
        <v/>
      </c>
      <c r="H456" s="24" t="str">
        <f t="shared" ca="1" si="3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272</v>
      </c>
      <c r="E457" s="21" t="str">
        <f t="shared" si="3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424</v>
      </c>
      <c r="E458" s="21" t="str">
        <f t="shared" si="3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216</v>
      </c>
      <c r="E459" s="21" t="str">
        <f t="shared" si="30"/>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1"/>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425</v>
      </c>
      <c r="B460" s="20" t="s">
        <v>221</v>
      </c>
      <c r="C460" s="20" t="s">
        <v>167</v>
      </c>
      <c r="D460" s="20" t="s">
        <v>158</v>
      </c>
      <c r="E460" s="21"/>
      <c r="F460" s="22" t="s">
        <v>573</v>
      </c>
      <c r="G460" s="23" t="str">
        <f>IF(OR(E460="",E460="!!!"),"",IF(OR(J460=0,AND(J460=1,K460=1),AND(J460=1,I460="SBJ"),AND(J460=1,I460=0)),"?IN_FOCUS",IF(J460&lt;=2,"?ACTIVATED",IF(J460&lt;&gt;"","?FAMILIAR",IF(F460="NEW",IF(ISNA(VLOOKUP(E460,#REF!,1,FALSE())),"?TYPE_IDENTIFIABLE","?REFERENTIAL"),"_")))))</f>
        <v/>
      </c>
      <c r="H460" s="24" t="str">
        <f t="shared" ca="1" si="31"/>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426</v>
      </c>
      <c r="E461" s="21" t="s">
        <v>626</v>
      </c>
      <c r="F461" s="22" t="s">
        <v>605</v>
      </c>
      <c r="G461" s="23" t="s">
        <v>643</v>
      </c>
      <c r="H461" s="24" t="str">
        <f t="shared" ca="1" si="31"/>
        <v/>
      </c>
      <c r="I461" s="25" t="e">
        <f>IF(OR(E461="",E461="!!!",F461="NEW"),"",INDEX(B$2:B460,-1+SUMPRODUCT(MAX(ROW(E$2:E460)*(E461=E$2:E460)))))</f>
        <v>#VALUE!</v>
      </c>
      <c r="J461" s="25">
        <f ca="1">IF(OR(E461="",E461="!!!",F461="NEW"),"",COUNTBLANK(OFFSET(A$1,,,SUMPRODUCT(MAX(ROW(E$2:E461)*(E461=E$2:E461)))))-COUNTBLANK(OFFSET(A$1,,,SUMPRODUCT(MAX(ROW(E$1:E460)*(E2=E$1:E460))))))</f>
        <v>0</v>
      </c>
      <c r="K461" s="25" t="e">
        <f>IF(OR(E461="",E461="!!!",F461="NEW"),"",INDEX(J$1:J460,SUMPRODUCT(MAX(ROW(E$1:E460)*(E461=E$1:E460)))))</f>
        <v>#VALUE!</v>
      </c>
      <c r="L461" s="26"/>
    </row>
    <row r="462" spans="1:12" x14ac:dyDescent="0.3">
      <c r="A462" t="s">
        <v>212</v>
      </c>
      <c r="E462" s="21" t="str">
        <f t="shared" si="30"/>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1"/>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109</v>
      </c>
      <c r="E463" s="21" t="str">
        <f t="shared" si="30"/>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1"/>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272</v>
      </c>
      <c r="E464" s="21" t="str">
        <f t="shared" si="30"/>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1"/>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179</v>
      </c>
      <c r="E465" s="21" t="str">
        <f t="shared" si="30"/>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1"/>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183</v>
      </c>
      <c r="B466" s="20" t="s">
        <v>156</v>
      </c>
      <c r="E466" s="21" t="s">
        <v>626</v>
      </c>
      <c r="F466" s="22" t="str">
        <f>IF(OR(E466="",E466="!!!"),"",IF(NOT(ISNA(VLOOKUP(E466,E$1:E465,1,FALSE()))),"OLD",IF(AND(E466&lt;&gt;"",E466&lt;&gt;"!!!"),"NEW","")))</f>
        <v>OLD</v>
      </c>
      <c r="G466" s="23" t="s">
        <v>642</v>
      </c>
      <c r="H466" s="24" t="str">
        <f t="shared" ca="1" si="31"/>
        <v/>
      </c>
      <c r="I466" s="25">
        <f>IF(OR(E466="",E466="!!!",F466="NEW"),"",INDEX(B$2:B465,-1+SUMPRODUCT(MAX(ROW(E$2:E465)*(E466=E$2:E465)))))</f>
        <v>0</v>
      </c>
      <c r="J466" s="25">
        <f ca="1">IF(OR(E466="",E466="!!!",F466="NEW"),"",COUNTBLANK(OFFSET(A$1,,,SUMPRODUCT(MAX(ROW(E$2:E466)*(E466=E$2:E466)))))-COUNTBLANK(OFFSET(A$1,,,SUMPRODUCT(MAX(ROW(E$1:E465)*(E2=E$1:E465))))))</f>
        <v>0</v>
      </c>
      <c r="K466" s="25">
        <f ca="1">IF(OR(E466="",E466="!!!",F466="NEW"),"",INDEX(J$1:J465,SUMPRODUCT(MAX(ROW(E$1:E465)*(E466=E$1:E465)))))</f>
        <v>0</v>
      </c>
      <c r="L466" s="26"/>
    </row>
    <row r="467" spans="1:12" x14ac:dyDescent="0.3">
      <c r="A467" t="s">
        <v>374</v>
      </c>
      <c r="E467" s="21" t="str">
        <f t="shared" si="30"/>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31"/>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427</v>
      </c>
      <c r="E468" s="21" t="str">
        <f t="shared" si="30"/>
        <v/>
      </c>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1"/>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row>
    <row r="469" spans="1:12" x14ac:dyDescent="0.3">
      <c r="A469" t="s">
        <v>428</v>
      </c>
      <c r="E469" s="21" t="str">
        <f t="shared" si="30"/>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1"/>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175</v>
      </c>
      <c r="E470" s="21" t="str">
        <f t="shared" si="30"/>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31"/>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2" spans="1:12" x14ac:dyDescent="0.3">
      <c r="A472" t="s">
        <v>429</v>
      </c>
    </row>
    <row r="473" spans="1:12" x14ac:dyDescent="0.3">
      <c r="A473" t="s">
        <v>430</v>
      </c>
      <c r="E473" s="21" t="str">
        <f t="shared" ref="E473:E503" si="32">IF(D473="?OLD","!!!","")</f>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ref="H473:H503" ca="1" si="33">IF(J473&lt;&gt;1,"",IF(I473="SBJ","CB","?"))</f>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431</v>
      </c>
      <c r="B474" s="20" t="s">
        <v>218</v>
      </c>
      <c r="C474" s="20" t="s">
        <v>280</v>
      </c>
      <c r="E474" s="21" t="str">
        <f t="shared" si="3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293</v>
      </c>
      <c r="E475" s="21" t="s">
        <v>571</v>
      </c>
      <c r="F475" s="22" t="str">
        <f>IF(OR(E475="",E475="!!!"),"",IF(NOT(ISNA(VLOOKUP(E475,E$1:E474,1,FALSE()))),"OLD",IF(AND(E475&lt;&gt;"",E475&lt;&gt;"!!!"),"NEW","")))</f>
        <v>OLD</v>
      </c>
      <c r="G475" s="23" t="s">
        <v>642</v>
      </c>
      <c r="H475" s="24" t="s">
        <v>150</v>
      </c>
      <c r="I475" s="25">
        <f>IF(OR(E475="",E475="!!!",F475="NEW"),"",INDEX(B$2:B474,-1+SUMPRODUCT(MAX(ROW(E$2:E474)*(E475=E$2:E474)))))</f>
        <v>0</v>
      </c>
      <c r="J475" s="25">
        <f ca="1">IF(OR(E475="",E475="!!!",F475="NEW"),"",COUNTBLANK(OFFSET(A$1,,,SUMPRODUCT(MAX(ROW(E$2:E475)*(E475=E$2:E475)))))-COUNTBLANK(OFFSET(A$1,,,SUMPRODUCT(MAX(ROW(E$1:E474)*(E2=E$1:E474))))))</f>
        <v>0</v>
      </c>
      <c r="K475" s="25">
        <f ca="1">IF(OR(E475="",E475="!!!",F475="NEW"),"",INDEX(J$1:J474,SUMPRODUCT(MAX(ROW(E$1:E474)*(E475=E$1:E474)))))</f>
        <v>0</v>
      </c>
      <c r="L475" s="26" t="s">
        <v>582</v>
      </c>
    </row>
    <row r="476" spans="1:12" x14ac:dyDescent="0.3">
      <c r="A476" t="s">
        <v>432</v>
      </c>
      <c r="B476" s="20" t="s">
        <v>226</v>
      </c>
      <c r="C476" s="20" t="s">
        <v>290</v>
      </c>
      <c r="E476" s="21" t="s">
        <v>628</v>
      </c>
      <c r="F476" s="22" t="str">
        <f>IF(OR(E476="",E476="!!!"),"",IF(NOT(ISNA(VLOOKUP(E476,E$1:E475,1,FALSE()))),"OLD",IF(AND(E476&lt;&gt;"",E476&lt;&gt;"!!!"),"NEW","")))</f>
        <v>NEW</v>
      </c>
      <c r="G476" s="23" t="s">
        <v>643</v>
      </c>
      <c r="H476" s="24" t="str">
        <f t="shared" ca="1" si="3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12</v>
      </c>
      <c r="E477" s="21" t="str">
        <f t="shared" si="32"/>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3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216</v>
      </c>
      <c r="B478" s="20" t="s">
        <v>229</v>
      </c>
      <c r="C478" s="20" t="s">
        <v>286</v>
      </c>
      <c r="D478" s="20" t="s">
        <v>158</v>
      </c>
      <c r="E478" s="21"/>
      <c r="F478" s="22" t="s">
        <v>606</v>
      </c>
      <c r="G478" s="23" t="str">
        <f>IF(OR(E478="",E478="!!!"),"",IF(OR(J478=0,AND(J478=1,K478=1),AND(J478=1,I478="SBJ"),AND(J478=1,I478=0)),"?IN_FOCUS",IF(J478&lt;=2,"?ACTIVATED",IF(J478&lt;&gt;"","?FAMILIAR",IF(F478="NEW",IF(ISNA(VLOOKUP(E478,#REF!,1,FALSE())),"?TYPE_IDENTIFIABLE","?REFERENTIAL"),"_")))))</f>
        <v/>
      </c>
      <c r="H478" s="24" t="str">
        <f t="shared" ca="1" si="3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287</v>
      </c>
      <c r="E479" s="21" t="s">
        <v>571</v>
      </c>
      <c r="F479" s="22" t="str">
        <f>IF(OR(E479="",E479="!!!"),"",IF(NOT(ISNA(VLOOKUP(E479,E$1:E478,1,FALSE()))),"OLD",IF(AND(E479&lt;&gt;"",E479&lt;&gt;"!!!"),"NEW","")))</f>
        <v>OLD</v>
      </c>
      <c r="G479" s="23" t="s">
        <v>642</v>
      </c>
      <c r="H479" s="24" t="str">
        <f t="shared" ca="1" si="33"/>
        <v/>
      </c>
      <c r="I479" s="25">
        <f>IF(OR(E479="",E479="!!!",F479="NEW"),"",INDEX(B$2:B478,-1+SUMPRODUCT(MAX(ROW(E$2:E478)*(E479=E$2:E478)))))</f>
        <v>0</v>
      </c>
      <c r="J479" s="25">
        <f ca="1">IF(OR(E479="",E479="!!!",F479="NEW"),"",COUNTBLANK(OFFSET(A$1,,,SUMPRODUCT(MAX(ROW(E$2:E479)*(E479=E$2:E479)))))-COUNTBLANK(OFFSET(A$1,,,SUMPRODUCT(MAX(ROW(E$1:E478)*(E2=E$1:E478))))))</f>
        <v>0</v>
      </c>
      <c r="K479" s="25">
        <f ca="1">IF(OR(E479="",E479="!!!",F479="NEW"),"",INDEX(J$1:J478,SUMPRODUCT(MAX(ROW(E$1:E478)*(E479=E$1:E478)))))</f>
        <v>0</v>
      </c>
      <c r="L479" s="26"/>
    </row>
    <row r="480" spans="1:12" x14ac:dyDescent="0.3">
      <c r="A480" t="s">
        <v>433</v>
      </c>
      <c r="E480" s="21" t="str">
        <f t="shared" si="3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434</v>
      </c>
      <c r="B481" s="20" t="s">
        <v>226</v>
      </c>
      <c r="C481" s="20" t="s">
        <v>167</v>
      </c>
      <c r="D481" s="20" t="s">
        <v>158</v>
      </c>
      <c r="E481" s="21" t="s">
        <v>629</v>
      </c>
      <c r="F481" s="22" t="str">
        <f>IF(OR(E481="",E481="!!!"),"",IF(NOT(ISNA(VLOOKUP(E481,E$1:E480,1,FALSE()))),"OLD",IF(AND(E481&lt;&gt;"",E481&lt;&gt;"!!!"),"NEW","")))</f>
        <v>NEW</v>
      </c>
      <c r="G481" s="23" t="s">
        <v>643</v>
      </c>
      <c r="H481" s="24" t="str">
        <f t="shared" ca="1" si="3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435</v>
      </c>
      <c r="B482" s="20" t="s">
        <v>229</v>
      </c>
      <c r="C482" s="20" t="s">
        <v>157</v>
      </c>
      <c r="D482" s="20" t="s">
        <v>158</v>
      </c>
      <c r="E482" s="21"/>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3"/>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436</v>
      </c>
      <c r="E483" s="21" t="str">
        <f t="shared" si="3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12</v>
      </c>
      <c r="E484" s="21" t="str">
        <f t="shared" si="32"/>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33"/>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179</v>
      </c>
      <c r="E485" s="21" t="str">
        <f t="shared" si="32"/>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3"/>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180</v>
      </c>
      <c r="E486" s="21" t="str">
        <f t="shared" si="32"/>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3"/>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437</v>
      </c>
      <c r="E487" s="21" t="str">
        <f t="shared" si="32"/>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3"/>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438</v>
      </c>
      <c r="B488" s="20" t="s">
        <v>166</v>
      </c>
      <c r="C488" s="20" t="s">
        <v>170</v>
      </c>
      <c r="E488" s="21" t="str">
        <f t="shared" si="32"/>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3"/>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439</v>
      </c>
      <c r="E489" s="21" t="s">
        <v>599</v>
      </c>
      <c r="F489" s="22" t="str">
        <f>IF(OR(E489="",E489="!!!"),"",IF(NOT(ISNA(VLOOKUP(E489,E$1:E488,1,FALSE()))),"OLD",IF(AND(E489&lt;&gt;"",E489&lt;&gt;"!!!"),"NEW","")))</f>
        <v>NEW</v>
      </c>
      <c r="G489" s="23" t="s">
        <v>148</v>
      </c>
      <c r="H489" s="24" t="str">
        <f t="shared" ca="1" si="33"/>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t="s">
        <v>600</v>
      </c>
    </row>
    <row r="490" spans="1:12" x14ac:dyDescent="0.3">
      <c r="A490" t="s">
        <v>272</v>
      </c>
      <c r="E490" s="21" t="str">
        <f t="shared" si="32"/>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3"/>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183</v>
      </c>
      <c r="B491" s="20" t="s">
        <v>278</v>
      </c>
      <c r="C491" s="20" t="s">
        <v>286</v>
      </c>
      <c r="D491" s="20" t="s">
        <v>158</v>
      </c>
      <c r="E491" s="21"/>
      <c r="F491" s="22" t="s">
        <v>606</v>
      </c>
      <c r="G491" s="23" t="str">
        <f>IF(OR(E491="",E491="!!!"),"",IF(OR(J491=0,AND(J491=1,K491=1),AND(J491=1,I491="SBJ"),AND(J491=1,I491=0)),"?IN_FOCUS",IF(J491&lt;=2,"?ACTIVATED",IF(J491&lt;&gt;"","?FAMILIAR",IF(F491="NEW",IF(ISNA(VLOOKUP(E491,#REF!,1,FALSE())),"?TYPE_IDENTIFIABLE","?REFERENTIAL"),"_")))))</f>
        <v/>
      </c>
      <c r="H491" s="24" t="str">
        <f t="shared" ca="1" si="33"/>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440</v>
      </c>
      <c r="E492" s="21" t="str">
        <f t="shared" si="32"/>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3"/>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180</v>
      </c>
      <c r="E493" s="21" t="str">
        <f t="shared" si="32"/>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33"/>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224</v>
      </c>
      <c r="E494" s="21" t="str">
        <f t="shared" si="32"/>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33"/>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441</v>
      </c>
      <c r="B495" s="20" t="s">
        <v>248</v>
      </c>
      <c r="C495" s="20" t="s">
        <v>167</v>
      </c>
      <c r="D495" s="20" t="s">
        <v>158</v>
      </c>
      <c r="E495" s="21"/>
      <c r="F495" s="22" t="s">
        <v>581</v>
      </c>
      <c r="G495" s="23" t="str">
        <f>IF(OR(E495="",E495="!!!"),"",IF(OR(J495=0,AND(J495=1,K495=1),AND(J495=1,I495="SBJ"),AND(J495=1,I495=0)),"?IN_FOCUS",IF(J495&lt;=2,"?ACTIVATED",IF(J495&lt;&gt;"","?FAMILIAR",IF(F495="NEW",IF(ISNA(VLOOKUP(E495,#REF!,1,FALSE())),"?TYPE_IDENTIFIABLE","?REFERENTIAL"),"_")))))</f>
        <v/>
      </c>
      <c r="H495" s="24" t="str">
        <f t="shared" ca="1" si="33"/>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442</v>
      </c>
      <c r="E496" s="21" t="str">
        <f t="shared" si="32"/>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33"/>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224</v>
      </c>
      <c r="E497" s="21" t="str">
        <f t="shared" si="32"/>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33"/>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443</v>
      </c>
      <c r="B498" s="20" t="s">
        <v>223</v>
      </c>
      <c r="C498" s="20" t="s">
        <v>157</v>
      </c>
      <c r="D498" s="20" t="s">
        <v>158</v>
      </c>
      <c r="E498" s="21" t="s">
        <v>630</v>
      </c>
      <c r="F498" s="22" t="str">
        <f>IF(OR(E498="",E498="!!!"),"",IF(NOT(ISNA(VLOOKUP(E498,E$1:E497,1,FALSE()))),"OLD",IF(AND(E498&lt;&gt;"",E498&lt;&gt;"!!!"),"NEW","")))</f>
        <v>NEW</v>
      </c>
      <c r="G498" s="23" t="s">
        <v>641</v>
      </c>
      <c r="H498" s="24" t="str">
        <f t="shared" ca="1" si="33"/>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163</v>
      </c>
      <c r="E499" s="21" t="str">
        <f t="shared" si="32"/>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3"/>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268</v>
      </c>
      <c r="B500" s="20" t="s">
        <v>226</v>
      </c>
      <c r="C500" s="20" t="s">
        <v>157</v>
      </c>
      <c r="D500" s="20" t="s">
        <v>158</v>
      </c>
      <c r="E500" s="21" t="s">
        <v>587</v>
      </c>
      <c r="F500" s="22" t="str">
        <f>IF(OR(E500="",E500="!!!"),"",IF(NOT(ISNA(VLOOKUP(E500,E$1:E499,1,FALSE()))),"OLD",IF(AND(E500&lt;&gt;"",E500&lt;&gt;"!!!"),"NEW","")))</f>
        <v>OLD</v>
      </c>
      <c r="G500" s="23" t="s">
        <v>641</v>
      </c>
      <c r="H500" s="24" t="str">
        <f t="shared" ca="1" si="33"/>
        <v/>
      </c>
      <c r="I500" s="25" t="str">
        <f>IF(OR(E500="",E500="!!!",F500="NEW"),"",INDEX(B$2:B499,-1+SUMPRODUCT(MAX(ROW(E$2:E499)*(E500=E$2:E499)))))</f>
        <v>other_7</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444</v>
      </c>
      <c r="E501" s="21" t="str">
        <f t="shared" si="32"/>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33"/>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445</v>
      </c>
      <c r="E502" s="21" t="str">
        <f t="shared" si="32"/>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3"/>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175</v>
      </c>
      <c r="E503" s="21" t="str">
        <f t="shared" si="32"/>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33"/>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5" spans="1:12" x14ac:dyDescent="0.3">
      <c r="A505" t="s">
        <v>446</v>
      </c>
    </row>
    <row r="506" spans="1:12" x14ac:dyDescent="0.3">
      <c r="A506" t="s">
        <v>447</v>
      </c>
      <c r="B506" s="20" t="s">
        <v>156</v>
      </c>
      <c r="C506" s="20" t="s">
        <v>313</v>
      </c>
      <c r="D506" s="20" t="s">
        <v>158</v>
      </c>
      <c r="E506" s="21" t="s">
        <v>599</v>
      </c>
      <c r="F506" s="22" t="str">
        <f>IF(OR(E506="",E506="!!!"),"",IF(NOT(ISNA(VLOOKUP(E506,E$1:E505,1,FALSE()))),"OLD",IF(AND(E506&lt;&gt;"",E506&lt;&gt;"!!!"),"NEW","")))</f>
        <v>OLD</v>
      </c>
      <c r="G506" s="23" t="s">
        <v>644</v>
      </c>
      <c r="H506" s="24" t="s">
        <v>150</v>
      </c>
      <c r="I506" s="25">
        <f>IF(OR(E506="",E506="!!!",F506="NEW"),"",INDEX(B$2:B505,-1+SUMPRODUCT(MAX(ROW(E$2:E505)*(E506=E$2:E505)))))</f>
        <v>0</v>
      </c>
      <c r="J506" s="25">
        <f ca="1">IF(OR(E506="",E506="!!!",F506="NEW"),"",COUNTBLANK(OFFSET(A$1,,,SUMPRODUCT(MAX(ROW(E$2:E506)*(E506=E$2:E506)))))-COUNTBLANK(OFFSET(A$1,,,SUMPRODUCT(MAX(ROW(E$1:E505)*(E2=E$1:E505))))))</f>
        <v>0</v>
      </c>
      <c r="K506" s="25" t="str">
        <f ca="1">IF(OR(E506="",E506="!!!",F506="NEW"),"",INDEX(J$1:J505,SUMPRODUCT(MAX(ROW(E$1:E505)*(E506=E$1:E505)))))</f>
        <v/>
      </c>
      <c r="L506" s="26"/>
    </row>
    <row r="507" spans="1:12" x14ac:dyDescent="0.3">
      <c r="A507" t="s">
        <v>179</v>
      </c>
      <c r="E507" s="21" t="str">
        <f>IF(D507="?OLD","!!!","")</f>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ca="1">IF(J507&lt;&gt;1,"",IF(I507="SBJ","CB","?"))</f>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448</v>
      </c>
      <c r="B508" s="20" t="s">
        <v>166</v>
      </c>
      <c r="C508" s="20" t="s">
        <v>286</v>
      </c>
      <c r="D508" s="20" t="s">
        <v>158</v>
      </c>
      <c r="E508" s="21"/>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ca="1">IF(J508&lt;&gt;1,"",IF(I508="SBJ","CB","?"))</f>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t="s">
        <v>578</v>
      </c>
    </row>
    <row r="509" spans="1:12" x14ac:dyDescent="0.3">
      <c r="A509" t="s">
        <v>449</v>
      </c>
      <c r="B509" s="20" t="s">
        <v>166</v>
      </c>
      <c r="C509" s="20" t="s">
        <v>231</v>
      </c>
      <c r="E509" s="21" t="str">
        <f>IF(D509="?OLD","!!!","")</f>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ca="1">IF(J509&lt;&gt;1,"",IF(I509="SBJ","CB","?"))</f>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175</v>
      </c>
      <c r="E510" s="21" t="str">
        <f>IF(D510="?OLD","!!!","")</f>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ca="1">IF(J510&lt;&gt;1,"",IF(I510="SBJ","CB","?"))</f>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2" spans="1:12" x14ac:dyDescent="0.3">
      <c r="A512" t="s">
        <v>450</v>
      </c>
    </row>
    <row r="513" spans="1:12" x14ac:dyDescent="0.3">
      <c r="A513" t="s">
        <v>451</v>
      </c>
      <c r="B513" s="20" t="s">
        <v>248</v>
      </c>
      <c r="C513" s="20" t="s">
        <v>313</v>
      </c>
      <c r="D513" s="20" t="s">
        <v>158</v>
      </c>
      <c r="E513" s="21"/>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ref="H513:H548" ca="1" si="34">IF(J513&lt;&gt;1,"",IF(I513="SBJ","CB","?"))</f>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t="s">
        <v>589</v>
      </c>
    </row>
    <row r="514" spans="1:12" x14ac:dyDescent="0.3">
      <c r="A514" t="s">
        <v>452</v>
      </c>
      <c r="B514" s="20" t="s">
        <v>156</v>
      </c>
      <c r="C514" s="20" t="s">
        <v>315</v>
      </c>
      <c r="D514" s="20" t="s">
        <v>158</v>
      </c>
      <c r="E514" s="21" t="s">
        <v>571</v>
      </c>
      <c r="F514" s="22" t="str">
        <f>IF(OR(E514="",E514="!!!"),"",IF(NOT(ISNA(VLOOKUP(E514,E$1:E513,1,FALSE()))),"OLD",IF(AND(E514&lt;&gt;"",E514&lt;&gt;"!!!"),"NEW","")))</f>
        <v>OLD</v>
      </c>
      <c r="G514" s="23" t="s">
        <v>644</v>
      </c>
      <c r="H514" s="24" t="str">
        <f t="shared" ca="1" si="34"/>
        <v/>
      </c>
      <c r="I514" s="25">
        <f>IF(OR(E514="",E514="!!!",F514="NEW"),"",INDEX(B$2:B513,-1+SUMPRODUCT(MAX(ROW(E$2:E513)*(E514=E$2:E513)))))</f>
        <v>0</v>
      </c>
      <c r="J514" s="25">
        <f ca="1">IF(OR(E514="",E514="!!!",F514="NEW"),"",COUNTBLANK(OFFSET(A$1,,,SUMPRODUCT(MAX(ROW(E$2:E514)*(E514=E$2:E514)))))-COUNTBLANK(OFFSET(A$1,,,SUMPRODUCT(MAX(ROW(E$1:E513)*(E2=E$1:E513))))))</f>
        <v>0</v>
      </c>
      <c r="K514" s="25">
        <f ca="1">IF(OR(E514="",E514="!!!",F514="NEW"),"",INDEX(J$1:J513,SUMPRODUCT(MAX(ROW(E$1:E513)*(E514=E$1:E513)))))</f>
        <v>0</v>
      </c>
      <c r="L514" s="26"/>
    </row>
    <row r="515" spans="1:12" x14ac:dyDescent="0.3">
      <c r="A515" t="s">
        <v>272</v>
      </c>
      <c r="E515" s="21" t="str">
        <f t="shared" ref="E515:E548" si="35">IF(D515="?OLD","!!!","")</f>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4"/>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183</v>
      </c>
      <c r="B516" s="20" t="s">
        <v>330</v>
      </c>
      <c r="E516" s="21" t="str">
        <f t="shared" si="35"/>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34"/>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241</v>
      </c>
      <c r="E517" s="21" t="str">
        <f t="shared" si="35"/>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34"/>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287</v>
      </c>
      <c r="E518" s="21" t="s">
        <v>571</v>
      </c>
      <c r="F518" s="22" t="str">
        <f>IF(OR(E518="",E518="!!!"),"",IF(NOT(ISNA(VLOOKUP(E518,E$1:E517,1,FALSE()))),"OLD",IF(AND(E518&lt;&gt;"",E518&lt;&gt;"!!!"),"NEW","")))</f>
        <v>OLD</v>
      </c>
      <c r="G518" s="23" t="s">
        <v>642</v>
      </c>
      <c r="H518" s="24" t="str">
        <f t="shared" ca="1" si="34"/>
        <v/>
      </c>
      <c r="I518" s="25" t="str">
        <f>IF(OR(E518="",E518="!!!",F518="NEW"),"",INDEX(B$2:B517,-1+SUMPRODUCT(MAX(ROW(E$2:E517)*(E518=E$2:E517)))))</f>
        <v>SBJ</v>
      </c>
      <c r="J518" s="25">
        <f ca="1">IF(OR(E518="",E518="!!!",F518="NEW"),"",COUNTBLANK(OFFSET(A$1,,,SUMPRODUCT(MAX(ROW(E$2:E518)*(E518=E$2:E518)))))-COUNTBLANK(OFFSET(A$1,,,SUMPRODUCT(MAX(ROW(E$1:E517)*(E2=E$1:E517))))))</f>
        <v>0</v>
      </c>
      <c r="K518" s="25">
        <f ca="1">IF(OR(E518="",E518="!!!",F518="NEW"),"",INDEX(J$1:J517,SUMPRODUCT(MAX(ROW(E$1:E517)*(E518=E$1:E517)))))</f>
        <v>0</v>
      </c>
      <c r="L518" s="26" t="s">
        <v>582</v>
      </c>
    </row>
    <row r="519" spans="1:12" x14ac:dyDescent="0.3">
      <c r="A519" t="s">
        <v>453</v>
      </c>
      <c r="B519" s="20" t="s">
        <v>223</v>
      </c>
      <c r="C519" s="20" t="s">
        <v>290</v>
      </c>
      <c r="E519" s="21" t="s">
        <v>601</v>
      </c>
      <c r="F519" s="22" t="str">
        <f>IF(OR(E519="",E519="!!!"),"",IF(NOT(ISNA(VLOOKUP(E519,E$1:E518,1,FALSE()))),"OLD",IF(AND(E519&lt;&gt;"",E519&lt;&gt;"!!!"),"NEW","")))</f>
        <v>NEW</v>
      </c>
      <c r="G519" s="23" t="s">
        <v>643</v>
      </c>
      <c r="H519" s="24" t="str">
        <f t="shared" ca="1" si="34"/>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303</v>
      </c>
      <c r="E520" s="21" t="str">
        <f t="shared" si="35"/>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4"/>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454</v>
      </c>
      <c r="E521" s="21" t="str">
        <f t="shared" si="35"/>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34"/>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455</v>
      </c>
      <c r="B522" s="20" t="s">
        <v>223</v>
      </c>
      <c r="C522" s="20" t="s">
        <v>170</v>
      </c>
      <c r="E522" s="21" t="str">
        <f t="shared" si="35"/>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4"/>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456</v>
      </c>
      <c r="E523" s="21" t="str">
        <f t="shared" si="35"/>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4"/>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214</v>
      </c>
      <c r="E524" s="21" t="str">
        <f t="shared" si="35"/>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4"/>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241</v>
      </c>
      <c r="E525" s="21" t="str">
        <f t="shared" si="35"/>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4"/>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457</v>
      </c>
      <c r="B526" s="20" t="s">
        <v>226</v>
      </c>
      <c r="C526" s="20" t="s">
        <v>170</v>
      </c>
      <c r="E526" s="21" t="str">
        <f t="shared" si="35"/>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34"/>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458</v>
      </c>
      <c r="B527" s="20" t="s">
        <v>229</v>
      </c>
      <c r="C527" s="20" t="s">
        <v>157</v>
      </c>
      <c r="D527" s="20" t="s">
        <v>158</v>
      </c>
      <c r="E527" s="21" t="s">
        <v>602</v>
      </c>
      <c r="F527" s="22" t="str">
        <f>IF(OR(E527="",E527="!!!"),"",IF(NOT(ISNA(VLOOKUP(E527,E$1:E526,1,FALSE()))),"OLD",IF(AND(E527&lt;&gt;"",E527&lt;&gt;"!!!"),"NEW","")))</f>
        <v>NEW</v>
      </c>
      <c r="G527" s="23" t="s">
        <v>643</v>
      </c>
      <c r="H527" s="24" t="str">
        <f t="shared" ca="1" si="34"/>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459</v>
      </c>
      <c r="E528" s="21" t="str">
        <f t="shared" si="35"/>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34"/>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460</v>
      </c>
      <c r="B529" s="20" t="s">
        <v>285</v>
      </c>
      <c r="C529" s="20" t="s">
        <v>170</v>
      </c>
      <c r="E529" s="21" t="s">
        <v>603</v>
      </c>
      <c r="F529" s="22" t="str">
        <f>IF(OR(E529="",E529="!!!"),"",IF(NOT(ISNA(VLOOKUP(E529,E$1:E528,1,FALSE()))),"OLD",IF(AND(E529&lt;&gt;"",E529&lt;&gt;"!!!"),"NEW","")))</f>
        <v>NEW</v>
      </c>
      <c r="G529" s="23" t="s">
        <v>643</v>
      </c>
      <c r="H529" s="24" t="str">
        <f t="shared" ca="1" si="34"/>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261</v>
      </c>
      <c r="E530" s="21" t="str">
        <f t="shared" si="35"/>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34"/>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461</v>
      </c>
      <c r="E531" s="21" t="str">
        <f t="shared" si="35"/>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34"/>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462</v>
      </c>
      <c r="B532" s="20" t="s">
        <v>226</v>
      </c>
      <c r="C532" s="20" t="s">
        <v>280</v>
      </c>
      <c r="E532" s="21" t="str">
        <f t="shared" si="35"/>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34"/>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163</v>
      </c>
      <c r="E533" s="21" t="str">
        <f t="shared" si="35"/>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34"/>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216</v>
      </c>
      <c r="E534" s="21" t="str">
        <f t="shared" si="35"/>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34"/>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463</v>
      </c>
      <c r="B535" s="20" t="s">
        <v>226</v>
      </c>
      <c r="C535" s="20" t="s">
        <v>167</v>
      </c>
      <c r="D535" s="20" t="s">
        <v>158</v>
      </c>
      <c r="E535" s="21" t="s">
        <v>631</v>
      </c>
      <c r="F535" s="22" t="s">
        <v>618</v>
      </c>
      <c r="G535" s="23" t="s">
        <v>643</v>
      </c>
      <c r="H535" s="24" t="str">
        <f t="shared" ca="1" si="34"/>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464</v>
      </c>
      <c r="E536" s="21" t="str">
        <f t="shared" si="35"/>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34"/>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308</v>
      </c>
      <c r="E537" s="21" t="str">
        <f t="shared" si="35"/>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34"/>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272</v>
      </c>
      <c r="E538" s="21" t="str">
        <f t="shared" si="35"/>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34"/>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163</v>
      </c>
      <c r="E539" s="21" t="str">
        <f t="shared" si="35"/>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34"/>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224</v>
      </c>
      <c r="E540" s="21" t="str">
        <f t="shared" si="35"/>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34"/>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465</v>
      </c>
      <c r="B541" s="20" t="s">
        <v>285</v>
      </c>
      <c r="C541" s="20" t="s">
        <v>167</v>
      </c>
      <c r="D541" s="20" t="s">
        <v>158</v>
      </c>
      <c r="E541" s="21" t="s">
        <v>602</v>
      </c>
      <c r="F541" s="22" t="str">
        <f>IF(OR(E541="",E541="!!!"),"",IF(NOT(ISNA(VLOOKUP(E541,E$1:E540,1,FALSE()))),"OLD",IF(AND(E541&lt;&gt;"",E541&lt;&gt;"!!!"),"NEW","")))</f>
        <v>OLD</v>
      </c>
      <c r="G541" s="23" t="s">
        <v>642</v>
      </c>
      <c r="H541" s="24" t="str">
        <f t="shared" ca="1" si="34"/>
        <v/>
      </c>
      <c r="I541" s="25" t="str">
        <f>IF(OR(E541="",E541="!!!",F541="NEW"),"",INDEX(B$2:B540,-1+SUMPRODUCT(MAX(ROW(E$2:E540)*(E541=E$2:E540)))))</f>
        <v>other_5</v>
      </c>
      <c r="J541" s="25">
        <f ca="1">IF(OR(E541="",E541="!!!",F541="NEW"),"",COUNTBLANK(OFFSET(A$1,,,SUMPRODUCT(MAX(ROW(E$2:E541)*(E541=E$2:E541)))))-COUNTBLANK(OFFSET(A$1,,,SUMPRODUCT(MAX(ROW(E$1:E540)*(E2=E$1:E540))))))</f>
        <v>0</v>
      </c>
      <c r="K541" s="25" t="str">
        <f ca="1">IF(OR(E541="",E541="!!!",F541="NEW"),"",INDEX(J$1:J540,SUMPRODUCT(MAX(ROW(E$1:E540)*(E541=E$1:E540)))))</f>
        <v/>
      </c>
      <c r="L541" s="26"/>
    </row>
    <row r="542" spans="1:12" x14ac:dyDescent="0.3">
      <c r="A542" t="s">
        <v>466</v>
      </c>
      <c r="E542" s="21" t="str">
        <f t="shared" si="35"/>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34"/>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272</v>
      </c>
      <c r="E543" s="21" t="str">
        <f t="shared" si="35"/>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34"/>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308</v>
      </c>
      <c r="E544" s="21" t="str">
        <f t="shared" si="35"/>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34"/>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212</v>
      </c>
      <c r="B545" s="20" t="s">
        <v>248</v>
      </c>
      <c r="C545" s="20" t="s">
        <v>182</v>
      </c>
      <c r="E545" s="21" t="str">
        <f t="shared" si="35"/>
        <v/>
      </c>
      <c r="F545" s="22" t="str">
        <f>IF(OR(E545="",E545="!!!"),"",IF(NOT(ISNA(VLOOKUP(E545,E$1:E544,1,FALSE()))),"OLD",IF(AND(E545&lt;&gt;"",E545&lt;&gt;"!!!"),"NEW","")))</f>
        <v/>
      </c>
      <c r="G545" s="23" t="str">
        <f>IF(OR(E545="",E545="!!!"),"",IF(OR(J545=0,AND(J545=1,K545=1),AND(J545=1,I545="SBJ"),AND(J545=1,I545=0)),"?IN_FOCUS",IF(J545&lt;=2,"?ACTIVATED",IF(J545&lt;&gt;"","?FAMILIAR",IF(F545="NEW",IF(ISNA(VLOOKUP(E545,#REF!,1,FALSE())),"?TYPE_IDENTIFIABLE","?REFERENTIAL"),"_")))))</f>
        <v/>
      </c>
      <c r="H545" s="24" t="str">
        <f t="shared" ca="1" si="34"/>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224</v>
      </c>
      <c r="E546" s="21" t="str">
        <f t="shared" si="35"/>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34"/>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467</v>
      </c>
      <c r="B547" s="20" t="s">
        <v>166</v>
      </c>
      <c r="C547" s="20" t="s">
        <v>167</v>
      </c>
      <c r="D547" s="20" t="s">
        <v>158</v>
      </c>
      <c r="E547" s="21"/>
      <c r="F547" s="22" t="s">
        <v>581</v>
      </c>
      <c r="G547" s="23" t="str">
        <f>IF(OR(E547="",E547="!!!"),"",IF(OR(J547=0,AND(J547=1,K547=1),AND(J547=1,I547="SBJ"),AND(J547=1,I547=0)),"?IN_FOCUS",IF(J547&lt;=2,"?ACTIVATED",IF(J547&lt;&gt;"","?FAMILIAR",IF(F547="NEW",IF(ISNA(VLOOKUP(E547,#REF!,1,FALSE())),"?TYPE_IDENTIFIABLE","?REFERENTIAL"),"_")))))</f>
        <v/>
      </c>
      <c r="H547" s="24" t="str">
        <f t="shared" ca="1" si="34"/>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175</v>
      </c>
      <c r="E548" s="21" t="str">
        <f t="shared" si="35"/>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34"/>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50" spans="1:12" x14ac:dyDescent="0.3">
      <c r="A550" t="s">
        <v>468</v>
      </c>
    </row>
    <row r="551" spans="1:12" x14ac:dyDescent="0.3">
      <c r="A551" t="s">
        <v>171</v>
      </c>
      <c r="B551" s="20" t="s">
        <v>156</v>
      </c>
      <c r="C551" s="20" t="s">
        <v>172</v>
      </c>
      <c r="D551" s="20" t="s">
        <v>158</v>
      </c>
      <c r="E551" s="21" t="s">
        <v>571</v>
      </c>
      <c r="F551" s="22" t="str">
        <f>IF(OR(E551="",E551="!!!"),"",IF(NOT(ISNA(VLOOKUP(E551,E$1:E550,1,FALSE()))),"OLD",IF(AND(E551&lt;&gt;"",E551&lt;&gt;"!!!"),"NEW","")))</f>
        <v>OLD</v>
      </c>
      <c r="G551" s="23" t="s">
        <v>642</v>
      </c>
      <c r="H551" s="24" t="s">
        <v>150</v>
      </c>
      <c r="I551" s="25">
        <f>IF(OR(E551="",E551="!!!",F551="NEW"),"",INDEX(B$2:B550,-1+SUMPRODUCT(MAX(ROW(E$2:E550)*(E551=E$2:E550)))))</f>
        <v>0</v>
      </c>
      <c r="J551" s="25">
        <f ca="1">IF(OR(E551="",E551="!!!",F551="NEW"),"",COUNTBLANK(OFFSET(A$1,,,SUMPRODUCT(MAX(ROW(E$2:E551)*(E551=E$2:E551)))))-COUNTBLANK(OFFSET(A$1,,,SUMPRODUCT(MAX(ROW(E$1:E550)*(E2=E$1:E550))))))</f>
        <v>0</v>
      </c>
      <c r="K551" s="25">
        <f ca="1">IF(OR(E551="",E551="!!!",F551="NEW"),"",INDEX(J$1:J550,SUMPRODUCT(MAX(ROW(E$1:E550)*(E551=E$1:E550)))))</f>
        <v>0</v>
      </c>
      <c r="L551" s="26"/>
    </row>
    <row r="552" spans="1:12" x14ac:dyDescent="0.3">
      <c r="A552" t="s">
        <v>338</v>
      </c>
      <c r="E552" s="21" t="str">
        <f t="shared" ref="E552:E575" si="36">IF(D552="?OLD","!!!","")</f>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ref="H552:H575" ca="1" si="37">IF(J552&lt;&gt;1,"",IF(I552="SBJ","CB","?"))</f>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469</v>
      </c>
      <c r="E553" s="21" t="str">
        <f t="shared" si="36"/>
        <v/>
      </c>
      <c r="F553" s="22" t="str">
        <f>IF(OR(E553="",E553="!!!"),"",IF(NOT(ISNA(VLOOKUP(E553,E$1:E552,1,FALSE()))),"OLD",IF(AND(E553&lt;&gt;"",E553&lt;&gt;"!!!"),"NEW","")))</f>
        <v/>
      </c>
      <c r="G553" s="23" t="str">
        <f>IF(OR(E553="",E553="!!!"),"",IF(OR(J553=0,AND(J553=1,K553=1),AND(J553=1,I553="SBJ"),AND(J553=1,I553=0)),"?IN_FOCUS",IF(J553&lt;=2,"?ACTIVATED",IF(J553&lt;&gt;"","?FAMILIAR",IF(F553="NEW",IF(ISNA(VLOOKUP(E553,#REF!,1,FALSE())),"?TYPE_IDENTIFIABLE","?REFERENTIAL"),"_")))))</f>
        <v/>
      </c>
      <c r="H553" s="24" t="str">
        <f t="shared" ca="1" si="37"/>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164</v>
      </c>
      <c r="E554" s="21" t="str">
        <f t="shared" si="36"/>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37"/>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470</v>
      </c>
      <c r="B555" s="20" t="s">
        <v>166</v>
      </c>
      <c r="C555" s="20" t="s">
        <v>342</v>
      </c>
      <c r="D555" s="20" t="s">
        <v>158</v>
      </c>
      <c r="E555" s="21" t="s">
        <v>632</v>
      </c>
      <c r="F555" s="22" t="str">
        <f>IF(OR(E555="",E555="!!!"),"",IF(NOT(ISNA(VLOOKUP(E555,E$1:E554,1,FALSE()))),"OLD",IF(AND(E555&lt;&gt;"",E555&lt;&gt;"!!!"),"NEW","")))</f>
        <v>NEW</v>
      </c>
      <c r="G555" s="23" t="s">
        <v>643</v>
      </c>
      <c r="H555" s="24" t="str">
        <f t="shared" ca="1" si="37"/>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471</v>
      </c>
      <c r="E556" s="21" t="str">
        <f t="shared" si="36"/>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37"/>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472</v>
      </c>
      <c r="B557" s="20" t="s">
        <v>223</v>
      </c>
      <c r="C557" s="20" t="s">
        <v>286</v>
      </c>
      <c r="D557" s="20" t="s">
        <v>158</v>
      </c>
      <c r="E557" s="21"/>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37"/>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t="s">
        <v>589</v>
      </c>
    </row>
    <row r="558" spans="1:12" x14ac:dyDescent="0.3">
      <c r="A558" t="s">
        <v>473</v>
      </c>
      <c r="B558" s="20" t="s">
        <v>221</v>
      </c>
      <c r="C558" s="20" t="s">
        <v>231</v>
      </c>
      <c r="E558" s="21" t="str">
        <f t="shared" si="36"/>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37"/>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474</v>
      </c>
      <c r="E559" s="21" t="str">
        <f t="shared" si="36"/>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ca="1" si="37"/>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475</v>
      </c>
      <c r="E560" s="21" t="str">
        <f t="shared" si="36"/>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37"/>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272</v>
      </c>
      <c r="E561" s="21" t="str">
        <f t="shared" si="36"/>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37"/>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353</v>
      </c>
      <c r="E562" s="21" t="str">
        <f t="shared" si="36"/>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37"/>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476</v>
      </c>
      <c r="B563" s="20" t="s">
        <v>166</v>
      </c>
      <c r="C563" s="20" t="s">
        <v>280</v>
      </c>
      <c r="E563" s="21" t="str">
        <f t="shared" si="36"/>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37"/>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272</v>
      </c>
      <c r="E564" s="21" t="str">
        <f t="shared" si="36"/>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37"/>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216</v>
      </c>
      <c r="B565" s="20" t="s">
        <v>330</v>
      </c>
      <c r="C565" s="20" t="s">
        <v>286</v>
      </c>
      <c r="D565" s="20" t="s">
        <v>158</v>
      </c>
      <c r="E565" s="21"/>
      <c r="F565" s="22" t="s">
        <v>606</v>
      </c>
      <c r="G565" s="23" t="str">
        <f>IF(OR(E565="",E565="!!!"),"",IF(OR(J565=0,AND(J565=1,K565=1),AND(J565=1,I565="SBJ"),AND(J565=1,I565=0)),"?IN_FOCUS",IF(J565&lt;=2,"?ACTIVATED",IF(J565&lt;&gt;"","?FAMILIAR",IF(F565="NEW",IF(ISNA(VLOOKUP(E565,#REF!,1,FALSE())),"?TYPE_IDENTIFIABLE","?REFERENTIAL"),"_")))))</f>
        <v/>
      </c>
      <c r="H565" s="24" t="str">
        <f t="shared" ca="1" si="37"/>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349</v>
      </c>
      <c r="E566" s="21" t="str">
        <f t="shared" si="36"/>
        <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37"/>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310</v>
      </c>
      <c r="E567" s="21" t="str">
        <f t="shared" si="36"/>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37"/>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477</v>
      </c>
      <c r="E568" s="21" t="str">
        <f t="shared" si="36"/>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37"/>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478</v>
      </c>
      <c r="E569" s="21" t="str">
        <f t="shared" si="36"/>
        <v/>
      </c>
      <c r="F569" s="22" t="str">
        <f>IF(OR(E569="",E569="!!!"),"",IF(NOT(ISNA(VLOOKUP(E569,E$1:E568,1,FALSE()))),"OLD",IF(AND(E569&lt;&gt;"",E569&lt;&gt;"!!!"),"NEW","")))</f>
        <v/>
      </c>
      <c r="G569" s="23" t="str">
        <f>IF(OR(E569="",E569="!!!"),"",IF(OR(J569=0,AND(J569=1,K569=1),AND(J569=1,I569="SBJ"),AND(J569=1,I569=0)),"?IN_FOCUS",IF(J569&lt;=2,"?ACTIVATED",IF(J569&lt;&gt;"","?FAMILIAR",IF(F569="NEW",IF(ISNA(VLOOKUP(E569,#REF!,1,FALSE())),"?TYPE_IDENTIFIABLE","?REFERENTIAL"),"_")))))</f>
        <v/>
      </c>
      <c r="H569" s="24" t="str">
        <f t="shared" ca="1" si="37"/>
        <v/>
      </c>
      <c r="I569" s="25" t="str">
        <f>IF(OR(E569="",E569="!!!",F569="NEW"),"",INDEX(B$2:B568,-1+SUMPRODUCT(MAX(ROW(E$2:E568)*(E569=E$2:E568)))))</f>
        <v/>
      </c>
      <c r="J569" s="25" t="str">
        <f ca="1">IF(OR(E569="",E569="!!!",F569="NEW"),"",COUNTBLANK(OFFSET(A$1,,,SUMPRODUCT(MAX(ROW(E$2:E569)*(E569=E$2:E569)))))-COUNTBLANK(OFFSET(A$1,,,SUMPRODUCT(MAX(ROW(E$1:E568)*(E2=E$1:E568))))))</f>
        <v/>
      </c>
      <c r="K569" s="25" t="str">
        <f>IF(OR(E569="",E569="!!!",F569="NEW"),"",INDEX(J$1:J568,SUMPRODUCT(MAX(ROW(E$1:E568)*(E569=E$1:E568)))))</f>
        <v/>
      </c>
      <c r="L569" s="26"/>
    </row>
    <row r="570" spans="1:12" x14ac:dyDescent="0.3">
      <c r="A570" t="s">
        <v>272</v>
      </c>
      <c r="E570" s="21" t="str">
        <f t="shared" si="36"/>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37"/>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325</v>
      </c>
      <c r="E571" s="21" t="str">
        <f t="shared" si="36"/>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37"/>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479</v>
      </c>
      <c r="E572" s="21" t="str">
        <f t="shared" si="36"/>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37"/>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159</v>
      </c>
      <c r="B573" s="20" t="s">
        <v>285</v>
      </c>
      <c r="C573" s="20" t="s">
        <v>182</v>
      </c>
      <c r="E573" s="21" t="s">
        <v>571</v>
      </c>
      <c r="F573" s="22" t="str">
        <f>IF(OR(E573="",E573="!!!"),"",IF(NOT(ISNA(VLOOKUP(E573,E$1:E572,1,FALSE()))),"OLD",IF(AND(E573&lt;&gt;"",E573&lt;&gt;"!!!"),"NEW","")))</f>
        <v>OLD</v>
      </c>
      <c r="G573" s="23" t="s">
        <v>642</v>
      </c>
      <c r="H573" s="24" t="str">
        <f t="shared" ca="1" si="37"/>
        <v/>
      </c>
      <c r="I573" s="25" t="str">
        <f>IF(OR(E573="",E573="!!!",F573="NEW"),"",INDEX(B$2:B572,-1+SUMPRODUCT(MAX(ROW(E$2:E572)*(E573=E$2:E572)))))</f>
        <v>SBJ</v>
      </c>
      <c r="J573" s="25">
        <f ca="1">IF(OR(E573="",E573="!!!",F573="NEW"),"",COUNTBLANK(OFFSET(A$1,,,SUMPRODUCT(MAX(ROW(E$2:E573)*(E573=E$2:E573)))))-COUNTBLANK(OFFSET(A$1,,,SUMPRODUCT(MAX(ROW(E$1:E572)*(E2=E$1:E572))))))</f>
        <v>0</v>
      </c>
      <c r="K573" s="25">
        <f ca="1">IF(OR(E573="",E573="!!!",F573="NEW"),"",INDEX(J$1:J572,SUMPRODUCT(MAX(ROW(E$1:E572)*(E573=E$1:E572)))))</f>
        <v>0</v>
      </c>
      <c r="L573" s="26"/>
    </row>
    <row r="574" spans="1:12" x14ac:dyDescent="0.3">
      <c r="A574" t="s">
        <v>480</v>
      </c>
      <c r="E574" s="21" t="str">
        <f t="shared" si="36"/>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37"/>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175</v>
      </c>
      <c r="E575" s="21" t="str">
        <f t="shared" si="36"/>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37"/>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7" spans="1:12" x14ac:dyDescent="0.3">
      <c r="A577" t="s">
        <v>481</v>
      </c>
    </row>
    <row r="578" spans="1:12" x14ac:dyDescent="0.3">
      <c r="A578" t="s">
        <v>482</v>
      </c>
      <c r="E578" s="21" t="str">
        <f t="shared" ref="E578:E590" si="38">IF(D578="?OLD","!!!","")</f>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ref="H578:H590" ca="1" si="39">IF(J578&lt;&gt;1,"",IF(I578="SBJ","CB","?"))</f>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483</v>
      </c>
      <c r="E579" s="21" t="str">
        <f t="shared" si="38"/>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39"/>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256</v>
      </c>
      <c r="B580" s="20" t="s">
        <v>156</v>
      </c>
      <c r="C580" s="20" t="s">
        <v>157</v>
      </c>
      <c r="D580" s="20" t="s">
        <v>158</v>
      </c>
      <c r="E580" s="21" t="s">
        <v>585</v>
      </c>
      <c r="F580" s="22" t="str">
        <f>IF(OR(E580="",E580="!!!"),"",IF(NOT(ISNA(VLOOKUP(E580,E$1:E579,1,FALSE()))),"OLD",IF(AND(E580&lt;&gt;"",E580&lt;&gt;"!!!"),"NEW","")))</f>
        <v>OLD</v>
      </c>
      <c r="G580" s="23" t="s">
        <v>641</v>
      </c>
      <c r="H580" s="24" t="str">
        <f t="shared" ca="1" si="39"/>
        <v/>
      </c>
      <c r="I580" s="25" t="str">
        <f>IF(OR(E580="",E580="!!!",F580="NEW"),"",INDEX(B$2:B579,-1+SUMPRODUCT(MAX(ROW(E$2:E579)*(E580=E$2:E579)))))</f>
        <v>other_3</v>
      </c>
      <c r="J580" s="25">
        <f ca="1">IF(OR(E580="",E580="!!!",F580="NEW"),"",COUNTBLANK(OFFSET(A$1,,,SUMPRODUCT(MAX(ROW(E$2:E580)*(E580=E$2:E580)))))-COUNTBLANK(OFFSET(A$1,,,SUMPRODUCT(MAX(ROW(E$1:E579)*(E2=E$1:E579))))))</f>
        <v>0</v>
      </c>
      <c r="K580" s="25" t="str">
        <f ca="1">IF(OR(E580="",E580="!!!",F580="NEW"),"",INDEX(J$1:J579,SUMPRODUCT(MAX(ROW(E$1:E579)*(E580=E$1:E579)))))</f>
        <v/>
      </c>
      <c r="L580" s="26"/>
    </row>
    <row r="581" spans="1:12" x14ac:dyDescent="0.3">
      <c r="A581" t="s">
        <v>484</v>
      </c>
      <c r="E581" s="21" t="str">
        <f t="shared" si="38"/>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39"/>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485</v>
      </c>
      <c r="E582" s="21" t="str">
        <f t="shared" si="38"/>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39"/>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486</v>
      </c>
      <c r="B583" s="20" t="s">
        <v>166</v>
      </c>
      <c r="C583" s="20" t="s">
        <v>231</v>
      </c>
      <c r="E583" s="21" t="str">
        <f t="shared" si="38"/>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39"/>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487</v>
      </c>
      <c r="E584" s="21" t="str">
        <f t="shared" si="38"/>
        <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39"/>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488</v>
      </c>
      <c r="E585" s="21" t="str">
        <f t="shared" si="38"/>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39"/>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272</v>
      </c>
      <c r="E586" s="21" t="str">
        <f t="shared" si="38"/>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39"/>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489</v>
      </c>
      <c r="E587" s="21" t="str">
        <f t="shared" si="38"/>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39"/>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183</v>
      </c>
      <c r="E588" s="21" t="str">
        <f t="shared" si="38"/>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39"/>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490</v>
      </c>
      <c r="B589" s="20" t="s">
        <v>221</v>
      </c>
      <c r="C589" s="20" t="s">
        <v>167</v>
      </c>
      <c r="D589" s="20" t="s">
        <v>158</v>
      </c>
      <c r="E589" s="21"/>
      <c r="F589" s="22" t="s">
        <v>581</v>
      </c>
      <c r="G589" s="23" t="str">
        <f>IF(OR(E589="",E589="!!!"),"",IF(OR(J589=0,AND(J589=1,K589=1),AND(J589=1,I589="SBJ"),AND(J589=1,I589=0)),"?IN_FOCUS",IF(J589&lt;=2,"?ACTIVATED",IF(J589&lt;&gt;"","?FAMILIAR",IF(F589="NEW",IF(ISNA(VLOOKUP(E589,#REF!,1,FALSE())),"?TYPE_IDENTIFIABLE","?REFERENTIAL"),"_")))))</f>
        <v/>
      </c>
      <c r="H589" s="24" t="str">
        <f t="shared" ca="1" si="39"/>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0" spans="1:12" x14ac:dyDescent="0.3">
      <c r="A590" t="s">
        <v>175</v>
      </c>
      <c r="E590" s="21" t="str">
        <f t="shared" si="38"/>
        <v/>
      </c>
      <c r="F590" s="22" t="str">
        <f>IF(OR(E590="",E590="!!!"),"",IF(NOT(ISNA(VLOOKUP(E590,E$1:E589,1,FALSE()))),"OLD",IF(AND(E590&lt;&gt;"",E590&lt;&gt;"!!!"),"NEW","")))</f>
        <v/>
      </c>
      <c r="G590" s="23" t="str">
        <f>IF(OR(E590="",E590="!!!"),"",IF(OR(J590=0,AND(J590=1,K590=1),AND(J590=1,I590="SBJ"),AND(J590=1,I590=0)),"?IN_FOCUS",IF(J590&lt;=2,"?ACTIVATED",IF(J590&lt;&gt;"","?FAMILIAR",IF(F590="NEW",IF(ISNA(VLOOKUP(E590,#REF!,1,FALSE())),"?TYPE_IDENTIFIABLE","?REFERENTIAL"),"_")))))</f>
        <v/>
      </c>
      <c r="H590" s="24" t="str">
        <f t="shared" ca="1" si="39"/>
        <v/>
      </c>
      <c r="I590" s="25" t="str">
        <f>IF(OR(E590="",E590="!!!",F590="NEW"),"",INDEX(B$2:B589,-1+SUMPRODUCT(MAX(ROW(E$2:E589)*(E590=E$2:E589)))))</f>
        <v/>
      </c>
      <c r="J590" s="25" t="str">
        <f ca="1">IF(OR(E590="",E590="!!!",F590="NEW"),"",COUNTBLANK(OFFSET(A$1,,,SUMPRODUCT(MAX(ROW(E$2:E590)*(E590=E$2:E590)))))-COUNTBLANK(OFFSET(A$1,,,SUMPRODUCT(MAX(ROW(E$1:E589)*(E2=E$1:E589))))))</f>
        <v/>
      </c>
      <c r="K590" s="25" t="str">
        <f>IF(OR(E590="",E590="!!!",F590="NEW"),"",INDEX(J$1:J589,SUMPRODUCT(MAX(ROW(E$1:E589)*(E590=E$1:E589)))))</f>
        <v/>
      </c>
      <c r="L590" s="26"/>
    </row>
    <row r="592" spans="1:12" x14ac:dyDescent="0.3">
      <c r="A592" t="s">
        <v>491</v>
      </c>
    </row>
    <row r="593" spans="1:12" x14ac:dyDescent="0.3">
      <c r="A593" t="s">
        <v>260</v>
      </c>
      <c r="B593" s="20" t="s">
        <v>156</v>
      </c>
      <c r="C593" s="20" t="s">
        <v>170</v>
      </c>
      <c r="E593" s="21" t="s">
        <v>577</v>
      </c>
      <c r="F593" s="22" t="str">
        <f>IF(OR(E593="",E593="!!!"),"",IF(NOT(ISNA(VLOOKUP(E593,E$1:E592,1,FALSE()))),"OLD",IF(AND(E593&lt;&gt;"",E593&lt;&gt;"!!!"),"NEW","")))</f>
        <v>OLD</v>
      </c>
      <c r="G593" s="23" t="s">
        <v>641</v>
      </c>
      <c r="H593" s="24" t="str">
        <f t="shared" ref="H593:H605" ca="1" si="40">IF(J593&lt;&gt;1,"",IF(I593="SBJ","CB","?"))</f>
        <v/>
      </c>
      <c r="I593" s="25" t="str">
        <f>IF(OR(E593="",E593="!!!",F593="NEW"),"",INDEX(B$2:B592,-1+SUMPRODUCT(MAX(ROW(E$2:E592)*(E593=E$2:E592)))))</f>
        <v>other</v>
      </c>
      <c r="J593" s="25">
        <f ca="1">IF(OR(E593="",E593="!!!",F593="NEW"),"",COUNTBLANK(OFFSET(A$1,,,SUMPRODUCT(MAX(ROW(E$2:E593)*(E593=E$2:E593)))))-COUNTBLANK(OFFSET(A$1,,,SUMPRODUCT(MAX(ROW(E$1:E592)*(E2=E$1:E592))))))</f>
        <v>0</v>
      </c>
      <c r="K593" s="25">
        <f ca="1">IF(OR(E593="",E593="!!!",F593="NEW"),"",INDEX(J$1:J592,SUMPRODUCT(MAX(ROW(E$1:E592)*(E593=E$1:E592)))))</f>
        <v>0</v>
      </c>
      <c r="L593" s="26"/>
    </row>
    <row r="594" spans="1:12" x14ac:dyDescent="0.3">
      <c r="A594" t="s">
        <v>214</v>
      </c>
      <c r="E594" s="21" t="str">
        <f t="shared" ref="E594:E605" si="41">IF(D594="?OLD","!!!","")</f>
        <v/>
      </c>
      <c r="F594" s="22" t="str">
        <f>IF(OR(E594="",E594="!!!"),"",IF(NOT(ISNA(VLOOKUP(E594,E$1:E593,1,FALSE()))),"OLD",IF(AND(E594&lt;&gt;"",E594&lt;&gt;"!!!"),"NEW","")))</f>
        <v/>
      </c>
      <c r="G594" s="23" t="str">
        <f>IF(OR(E594="",E594="!!!"),"",IF(OR(J594=0,AND(J594=1,K594=1),AND(J594=1,I594="SBJ"),AND(J594=1,I594=0)),"?IN_FOCUS",IF(J594&lt;=2,"?ACTIVATED",IF(J594&lt;&gt;"","?FAMILIAR",IF(F594="NEW",IF(ISNA(VLOOKUP(E594,#REF!,1,FALSE())),"?TYPE_IDENTIFIABLE","?REFERENTIAL"),"_")))))</f>
        <v/>
      </c>
      <c r="H594" s="24" t="str">
        <f t="shared" ca="1" si="40"/>
        <v/>
      </c>
      <c r="I594" s="25" t="str">
        <f>IF(OR(E594="",E594="!!!",F594="NEW"),"",INDEX(B$2:B593,-1+SUMPRODUCT(MAX(ROW(E$2:E593)*(E594=E$2:E593)))))</f>
        <v/>
      </c>
      <c r="J594" s="25" t="str">
        <f ca="1">IF(OR(E594="",E594="!!!",F594="NEW"),"",COUNTBLANK(OFFSET(A$1,,,SUMPRODUCT(MAX(ROW(E$2:E594)*(E594=E$2:E594)))))-COUNTBLANK(OFFSET(A$1,,,SUMPRODUCT(MAX(ROW(E$1:E593)*(E2=E$1:E593))))))</f>
        <v/>
      </c>
      <c r="K594" s="25" t="str">
        <f>IF(OR(E594="",E594="!!!",F594="NEW"),"",INDEX(J$1:J593,SUMPRODUCT(MAX(ROW(E$1:E593)*(E594=E$1:E593)))))</f>
        <v/>
      </c>
      <c r="L594" s="26"/>
    </row>
    <row r="595" spans="1:12" x14ac:dyDescent="0.3">
      <c r="A595" t="s">
        <v>492</v>
      </c>
      <c r="B595" s="20" t="s">
        <v>226</v>
      </c>
      <c r="C595" s="20" t="s">
        <v>170</v>
      </c>
      <c r="E595" s="21" t="s">
        <v>579</v>
      </c>
      <c r="F595" s="22" t="str">
        <f>IF(OR(E595="",E595="!!!"),"",IF(NOT(ISNA(VLOOKUP(E595,E$1:E594,1,FALSE()))),"OLD",IF(AND(E595&lt;&gt;"",E595&lt;&gt;"!!!"),"NEW","")))</f>
        <v>OLD</v>
      </c>
      <c r="G595" s="23" t="s">
        <v>641</v>
      </c>
      <c r="H595" s="24" t="str">
        <f t="shared" ca="1" si="40"/>
        <v/>
      </c>
      <c r="I595" s="25" t="str">
        <f>IF(OR(E595="",E595="!!!",F595="NEW"),"",INDEX(B$2:B594,-1+SUMPRODUCT(MAX(ROW(E$2:E594)*(E595=E$2:E594)))))</f>
        <v>other</v>
      </c>
      <c r="J595" s="25">
        <f ca="1">IF(OR(E595="",E595="!!!",F595="NEW"),"",COUNTBLANK(OFFSET(A$1,,,SUMPRODUCT(MAX(ROW(E$2:E595)*(E595=E$2:E595)))))-COUNTBLANK(OFFSET(A$1,,,SUMPRODUCT(MAX(ROW(E$1:E594)*(E2=E$1:E594))))))</f>
        <v>0</v>
      </c>
      <c r="K595" s="25" t="str">
        <f ca="1">IF(OR(E595="",E595="!!!",F595="NEW"),"",INDEX(J$1:J594,SUMPRODUCT(MAX(ROW(E$1:E594)*(E595=E$1:E594)))))</f>
        <v/>
      </c>
      <c r="L595" s="26"/>
    </row>
    <row r="596" spans="1:12" x14ac:dyDescent="0.3">
      <c r="A596" t="s">
        <v>12</v>
      </c>
      <c r="E596" s="21" t="str">
        <f t="shared" si="41"/>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0"/>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163</v>
      </c>
      <c r="E597" s="21" t="str">
        <f t="shared" si="41"/>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0"/>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493</v>
      </c>
      <c r="E598" s="21" t="s">
        <v>633</v>
      </c>
      <c r="F598" s="22" t="s">
        <v>595</v>
      </c>
      <c r="G598" s="23" t="s">
        <v>642</v>
      </c>
      <c r="H598" s="24" t="str">
        <f t="shared" ca="1" si="40"/>
        <v/>
      </c>
      <c r="I598" s="25" t="e">
        <f>IF(OR(E598="",E598="!!!",F598="NEW"),"",INDEX(B$2:B597,-1+SUMPRODUCT(MAX(ROW(E$2:E597)*(E598=E$2:E597)))))</f>
        <v>#VALUE!</v>
      </c>
      <c r="J598" s="25">
        <f ca="1">IF(OR(E598="",E598="!!!",F598="NEW"),"",COUNTBLANK(OFFSET(A$1,,,SUMPRODUCT(MAX(ROW(E$2:E598)*(E598=E$2:E598)))))-COUNTBLANK(OFFSET(A$1,,,SUMPRODUCT(MAX(ROW(E$1:E597)*(E2=E$1:E597))))))</f>
        <v>0</v>
      </c>
      <c r="K598" s="25" t="e">
        <f>IF(OR(E598="",E598="!!!",F598="NEW"),"",INDEX(J$1:J597,SUMPRODUCT(MAX(ROW(E$1:E597)*(E598=E$1:E597)))))</f>
        <v>#VALUE!</v>
      </c>
      <c r="L598" s="26"/>
    </row>
    <row r="599" spans="1:12" x14ac:dyDescent="0.3">
      <c r="A599" t="s">
        <v>159</v>
      </c>
      <c r="B599" s="20" t="s">
        <v>248</v>
      </c>
      <c r="C599" s="20" t="s">
        <v>182</v>
      </c>
      <c r="E599" s="21" t="s">
        <v>571</v>
      </c>
      <c r="F599" s="22" t="str">
        <f>IF(OR(E599="",E599="!!!"),"",IF(NOT(ISNA(VLOOKUP(E599,E$1:E598,1,FALSE()))),"OLD",IF(AND(E599&lt;&gt;"",E599&lt;&gt;"!!!"),"NEW","")))</f>
        <v>OLD</v>
      </c>
      <c r="G599" s="23" t="s">
        <v>644</v>
      </c>
      <c r="H599" s="24" t="str">
        <f t="shared" ca="1" si="40"/>
        <v/>
      </c>
      <c r="I599" s="25" t="str">
        <f>IF(OR(E599="",E599="!!!",F599="NEW"),"",INDEX(B$2:B598,-1+SUMPRODUCT(MAX(ROW(E$2:E598)*(E599=E$2:E598)))))</f>
        <v>SBJ_4</v>
      </c>
      <c r="J599" s="25">
        <f ca="1">IF(OR(E599="",E599="!!!",F599="NEW"),"",COUNTBLANK(OFFSET(A$1,,,SUMPRODUCT(MAX(ROW(E$2:E599)*(E599=E$2:E599)))))-COUNTBLANK(OFFSET(A$1,,,SUMPRODUCT(MAX(ROW(E$1:E598)*(E2=E$1:E598))))))</f>
        <v>0</v>
      </c>
      <c r="K599" s="25">
        <f ca="1">IF(OR(E599="",E599="!!!",F599="NEW"),"",INDEX(J$1:J598,SUMPRODUCT(MAX(ROW(E$1:E598)*(E599=E$1:E598)))))</f>
        <v>0</v>
      </c>
      <c r="L599" s="26"/>
    </row>
    <row r="600" spans="1:12" x14ac:dyDescent="0.3">
      <c r="A600" t="s">
        <v>173</v>
      </c>
      <c r="E600" s="21" t="str">
        <f t="shared" si="41"/>
        <v/>
      </c>
      <c r="F600" s="22" t="str">
        <f>IF(OR(E600="",E600="!!!"),"",IF(NOT(ISNA(VLOOKUP(E600,E$1:E599,1,FALSE()))),"OLD",IF(AND(E600&lt;&gt;"",E600&lt;&gt;"!!!"),"NEW","")))</f>
        <v/>
      </c>
      <c r="G600" s="23" t="str">
        <f>IF(OR(E600="",E600="!!!"),"",IF(OR(J600=0,AND(J600=1,K600=1),AND(J600=1,I600="SBJ"),AND(J600=1,I600=0)),"?IN_FOCUS",IF(J600&lt;=2,"?ACTIVATED",IF(J600&lt;&gt;"","?FAMILIAR",IF(F600="NEW",IF(ISNA(VLOOKUP(E600,#REF!,1,FALSE())),"?TYPE_IDENTIFIABLE","?REFERENTIAL"),"_")))))</f>
        <v/>
      </c>
      <c r="H600" s="24" t="str">
        <f t="shared" ca="1" si="40"/>
        <v/>
      </c>
      <c r="I600" s="25" t="str">
        <f>IF(OR(E600="",E600="!!!",F600="NEW"),"",INDEX(B$2:B599,-1+SUMPRODUCT(MAX(ROW(E$2:E599)*(E600=E$2:E599)))))</f>
        <v/>
      </c>
      <c r="J600" s="25" t="str">
        <f ca="1">IF(OR(E600="",E600="!!!",F600="NEW"),"",COUNTBLANK(OFFSET(A$1,,,SUMPRODUCT(MAX(ROW(E$2:E600)*(E600=E$2:E600)))))-COUNTBLANK(OFFSET(A$1,,,SUMPRODUCT(MAX(ROW(E$1:E599)*(E2=E$1:E599))))))</f>
        <v/>
      </c>
      <c r="K600" s="25" t="str">
        <f>IF(OR(E600="",E600="!!!",F600="NEW"),"",INDEX(J$1:J599,SUMPRODUCT(MAX(ROW(E$1:E599)*(E600=E$1:E599)))))</f>
        <v/>
      </c>
      <c r="L600" s="26"/>
    </row>
    <row r="601" spans="1:12" x14ac:dyDescent="0.3">
      <c r="A601" t="s">
        <v>494</v>
      </c>
      <c r="B601" s="20" t="s">
        <v>162</v>
      </c>
      <c r="C601" s="20" t="s">
        <v>167</v>
      </c>
      <c r="D601" s="20" t="s">
        <v>158</v>
      </c>
      <c r="E601" s="21" t="s">
        <v>634</v>
      </c>
      <c r="F601" s="22" t="str">
        <f>IF(OR(E601="",E601="!!!"),"",IF(NOT(ISNA(VLOOKUP(E601,E$1:E600,1,FALSE()))),"OLD",IF(AND(E601&lt;&gt;"",E601&lt;&gt;"!!!"),"NEW","")))</f>
        <v>NEW</v>
      </c>
      <c r="G601" s="23" t="s">
        <v>643</v>
      </c>
      <c r="H601" s="24" t="str">
        <f t="shared" ca="1" si="40"/>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495</v>
      </c>
      <c r="E602" s="21" t="str">
        <f t="shared" si="41"/>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40"/>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12</v>
      </c>
      <c r="E603" s="21" t="str">
        <f t="shared" si="41"/>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0"/>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496</v>
      </c>
      <c r="E604" s="21" t="str">
        <f t="shared" si="41"/>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40"/>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175</v>
      </c>
      <c r="E605" s="21" t="str">
        <f t="shared" si="41"/>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40"/>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7" spans="1:12" x14ac:dyDescent="0.3">
      <c r="A607" t="s">
        <v>497</v>
      </c>
    </row>
    <row r="608" spans="1:12" x14ac:dyDescent="0.3">
      <c r="A608" t="s">
        <v>171</v>
      </c>
      <c r="B608" s="20" t="s">
        <v>156</v>
      </c>
      <c r="C608" s="20" t="s">
        <v>172</v>
      </c>
      <c r="D608" s="20" t="s">
        <v>158</v>
      </c>
      <c r="E608" s="21" t="s">
        <v>571</v>
      </c>
      <c r="F608" s="22" t="str">
        <f>IF(OR(E608="",E608="!!!"),"",IF(NOT(ISNA(VLOOKUP(E608,E$1:E607,1,FALSE()))),"OLD",IF(AND(E608&lt;&gt;"",E608&lt;&gt;"!!!"),"NEW","")))</f>
        <v>OLD</v>
      </c>
      <c r="G608" s="23" t="s">
        <v>642</v>
      </c>
      <c r="H608" s="24" t="s">
        <v>150</v>
      </c>
      <c r="I608" s="25" t="str">
        <f>IF(OR(E608="",E608="!!!",F608="NEW"),"",INDEX(B$2:B607,-1+SUMPRODUCT(MAX(ROW(E$2:E607)*(E608=E$2:E607)))))</f>
        <v>other_2</v>
      </c>
      <c r="J608" s="25">
        <f ca="1">IF(OR(E608="",E608="!!!",F608="NEW"),"",COUNTBLANK(OFFSET(A$1,,,SUMPRODUCT(MAX(ROW(E$2:E608)*(E608=E$2:E608)))))-COUNTBLANK(OFFSET(A$1,,,SUMPRODUCT(MAX(ROW(E$1:E607)*(E2=E$1:E607))))))</f>
        <v>0</v>
      </c>
      <c r="K608" s="25">
        <f ca="1">IF(OR(E608="",E608="!!!",F608="NEW"),"",INDEX(J$1:J607,SUMPRODUCT(MAX(ROW(E$1:E607)*(E608=E$1:E607)))))</f>
        <v>0</v>
      </c>
      <c r="L608" s="26"/>
    </row>
    <row r="609" spans="1:12" x14ac:dyDescent="0.3">
      <c r="A609" t="s">
        <v>403</v>
      </c>
      <c r="E609" s="21" t="str">
        <f t="shared" ref="E609:E630" si="42">IF(D609="?OLD","!!!","")</f>
        <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ref="H609:H630" ca="1" si="43">IF(J609&lt;&gt;1,"",IF(I609="SBJ","CB","?"))</f>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498</v>
      </c>
      <c r="E610" s="21" t="str">
        <f t="shared" si="42"/>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3"/>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348</v>
      </c>
      <c r="E611" s="21" t="str">
        <f t="shared" si="42"/>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43"/>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499</v>
      </c>
      <c r="E612" s="21" t="str">
        <f t="shared" si="42"/>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3"/>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180</v>
      </c>
      <c r="E613" s="21" t="str">
        <f t="shared" si="42"/>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3"/>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164</v>
      </c>
      <c r="E614" s="21" t="str">
        <f t="shared" si="42"/>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3"/>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260</v>
      </c>
      <c r="B615" s="20" t="s">
        <v>166</v>
      </c>
      <c r="C615" s="20" t="s">
        <v>167</v>
      </c>
      <c r="D615" s="20" t="s">
        <v>158</v>
      </c>
      <c r="E615" s="21" t="s">
        <v>577</v>
      </c>
      <c r="F615" s="22" t="str">
        <f>IF(OR(E615="",E615="!!!"),"",IF(NOT(ISNA(VLOOKUP(E615,E$1:E614,1,FALSE()))),"OLD",IF(AND(E615&lt;&gt;"",E615&lt;&gt;"!!!"),"NEW","")))</f>
        <v>OLD</v>
      </c>
      <c r="G615" s="23" t="s">
        <v>644</v>
      </c>
      <c r="H615" s="24" t="str">
        <f t="shared" ca="1" si="43"/>
        <v/>
      </c>
      <c r="I615" s="25" t="str">
        <f>IF(OR(E615="",E615="!!!",F615="NEW"),"",INDEX(B$2:B614,-1+SUMPRODUCT(MAX(ROW(E$2:E614)*(E615=E$2:E614)))))</f>
        <v>SBJ</v>
      </c>
      <c r="J615" s="25">
        <f ca="1">IF(OR(E615="",E615="!!!",F615="NEW"),"",COUNTBLANK(OFFSET(A$1,,,SUMPRODUCT(MAX(ROW(E$2:E615)*(E615=E$2:E615)))))-COUNTBLANK(OFFSET(A$1,,,SUMPRODUCT(MAX(ROW(E$1:E614)*(E2=E$1:E614))))))</f>
        <v>0</v>
      </c>
      <c r="K615" s="25">
        <f ca="1">IF(OR(E615="",E615="!!!",F615="NEW"),"",INDEX(J$1:J614,SUMPRODUCT(MAX(ROW(E$1:E614)*(E615=E$1:E614)))))</f>
        <v>0</v>
      </c>
      <c r="L615" s="26"/>
    </row>
    <row r="616" spans="1:12" x14ac:dyDescent="0.3">
      <c r="A616" t="s">
        <v>498</v>
      </c>
      <c r="E616" s="21" t="str">
        <f t="shared" si="42"/>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43"/>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180</v>
      </c>
      <c r="E617" s="21" t="str">
        <f t="shared" si="42"/>
        <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43"/>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12</v>
      </c>
      <c r="E618" s="21" t="str">
        <f t="shared" si="42"/>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ca="1" si="43"/>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214</v>
      </c>
      <c r="E619" s="21" t="str">
        <f t="shared" si="42"/>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3"/>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0" spans="1:12" x14ac:dyDescent="0.3">
      <c r="A620" t="s">
        <v>500</v>
      </c>
      <c r="E620" s="21" t="str">
        <f t="shared" si="42"/>
        <v/>
      </c>
      <c r="F620" s="22" t="str">
        <f>IF(OR(E620="",E620="!!!"),"",IF(NOT(ISNA(VLOOKUP(E620,E$1:E619,1,FALSE()))),"OLD",IF(AND(E620&lt;&gt;"",E620&lt;&gt;"!!!"),"NEW","")))</f>
        <v/>
      </c>
      <c r="G620" s="23" t="str">
        <f>IF(OR(E620="",E620="!!!"),"",IF(OR(J620=0,AND(J620=1,K620=1),AND(J620=1,I620="SBJ"),AND(J620=1,I620=0)),"?IN_FOCUS",IF(J620&lt;=2,"?ACTIVATED",IF(J620&lt;&gt;"","?FAMILIAR",IF(F620="NEW",IF(ISNA(VLOOKUP(E620,#REF!,1,FALSE())),"?TYPE_IDENTIFIABLE","?REFERENTIAL"),"_")))))</f>
        <v/>
      </c>
      <c r="H620" s="24" t="str">
        <f t="shared" ca="1" si="43"/>
        <v/>
      </c>
      <c r="I620" s="25" t="str">
        <f>IF(OR(E620="",E620="!!!",F620="NEW"),"",INDEX(B$2:B619,-1+SUMPRODUCT(MAX(ROW(E$2:E619)*(E620=E$2:E619)))))</f>
        <v/>
      </c>
      <c r="J620" s="25" t="str">
        <f ca="1">IF(OR(E620="",E620="!!!",F620="NEW"),"",COUNTBLANK(OFFSET(A$1,,,SUMPRODUCT(MAX(ROW(E$2:E620)*(E620=E$2:E620)))))-COUNTBLANK(OFFSET(A$1,,,SUMPRODUCT(MAX(ROW(E$1:E619)*(E2=E$1:E619))))))</f>
        <v/>
      </c>
      <c r="K620" s="25" t="str">
        <f>IF(OR(E620="",E620="!!!",F620="NEW"),"",INDEX(J$1:J619,SUMPRODUCT(MAX(ROW(E$1:E619)*(E620=E$1:E619)))))</f>
        <v/>
      </c>
      <c r="L620" s="26"/>
    </row>
    <row r="621" spans="1:12" x14ac:dyDescent="0.3">
      <c r="A621" t="s">
        <v>348</v>
      </c>
      <c r="E621" s="21" t="str">
        <f t="shared" si="42"/>
        <v/>
      </c>
      <c r="F621" s="22" t="str">
        <f>IF(OR(E621="",E621="!!!"),"",IF(NOT(ISNA(VLOOKUP(E621,E$1:E620,1,FALSE()))),"OLD",IF(AND(E621&lt;&gt;"",E621&lt;&gt;"!!!"),"NEW","")))</f>
        <v/>
      </c>
      <c r="G621" s="23" t="str">
        <f>IF(OR(E621="",E621="!!!"),"",IF(OR(J621=0,AND(J621=1,K621=1),AND(J621=1,I621="SBJ"),AND(J621=1,I621=0)),"?IN_FOCUS",IF(J621&lt;=2,"?ACTIVATED",IF(J621&lt;&gt;"","?FAMILIAR",IF(F621="NEW",IF(ISNA(VLOOKUP(E621,#REF!,1,FALSE())),"?TYPE_IDENTIFIABLE","?REFERENTIAL"),"_")))))</f>
        <v/>
      </c>
      <c r="H621" s="24" t="str">
        <f t="shared" ca="1" si="43"/>
        <v/>
      </c>
      <c r="I621" s="25" t="str">
        <f>IF(OR(E621="",E621="!!!",F621="NEW"),"",INDEX(B$2:B620,-1+SUMPRODUCT(MAX(ROW(E$2:E620)*(E621=E$2:E620)))))</f>
        <v/>
      </c>
      <c r="J621" s="25" t="str">
        <f ca="1">IF(OR(E621="",E621="!!!",F621="NEW"),"",COUNTBLANK(OFFSET(A$1,,,SUMPRODUCT(MAX(ROW(E$2:E621)*(E621=E$2:E621)))))-COUNTBLANK(OFFSET(A$1,,,SUMPRODUCT(MAX(ROW(E$1:E620)*(E2=E$1:E620))))))</f>
        <v/>
      </c>
      <c r="K621" s="25" t="str">
        <f>IF(OR(E621="",E621="!!!",F621="NEW"),"",INDEX(J$1:J620,SUMPRODUCT(MAX(ROW(E$1:E620)*(E621=E$1:E620)))))</f>
        <v/>
      </c>
      <c r="L621" s="26"/>
    </row>
    <row r="622" spans="1:12" x14ac:dyDescent="0.3">
      <c r="A622" t="s">
        <v>501</v>
      </c>
      <c r="E622" s="21" t="str">
        <f t="shared" si="42"/>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ca="1" si="43"/>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502</v>
      </c>
      <c r="E623" s="21" t="str">
        <f t="shared" si="42"/>
        <v/>
      </c>
      <c r="F623" s="22" t="str">
        <f>IF(OR(E623="",E623="!!!"),"",IF(NOT(ISNA(VLOOKUP(E623,E$1:E622,1,FALSE()))),"OLD",IF(AND(E623&lt;&gt;"",E623&lt;&gt;"!!!"),"NEW","")))</f>
        <v/>
      </c>
      <c r="G623" s="23" t="str">
        <f>IF(OR(E623="",E623="!!!"),"",IF(OR(J623=0,AND(J623=1,K623=1),AND(J623=1,I623="SBJ"),AND(J623=1,I623=0)),"?IN_FOCUS",IF(J623&lt;=2,"?ACTIVATED",IF(J623&lt;&gt;"","?FAMILIAR",IF(F623="NEW",IF(ISNA(VLOOKUP(E623,#REF!,1,FALSE())),"?TYPE_IDENTIFIABLE","?REFERENTIAL"),"_")))))</f>
        <v/>
      </c>
      <c r="H623" s="24" t="str">
        <f t="shared" ca="1" si="43"/>
        <v/>
      </c>
      <c r="I623" s="25" t="str">
        <f>IF(OR(E623="",E623="!!!",F623="NEW"),"",INDEX(B$2:B622,-1+SUMPRODUCT(MAX(ROW(E$2:E622)*(E623=E$2:E622)))))</f>
        <v/>
      </c>
      <c r="J623" s="25" t="str">
        <f ca="1">IF(OR(E623="",E623="!!!",F623="NEW"),"",COUNTBLANK(OFFSET(A$1,,,SUMPRODUCT(MAX(ROW(E$2:E623)*(E623=E$2:E623)))))-COUNTBLANK(OFFSET(A$1,,,SUMPRODUCT(MAX(ROW(E$1:E622)*(E2=E$1:E622))))))</f>
        <v/>
      </c>
      <c r="K623" s="25" t="str">
        <f>IF(OR(E623="",E623="!!!",F623="NEW"),"",INDEX(J$1:J622,SUMPRODUCT(MAX(ROW(E$1:E622)*(E623=E$1:E622)))))</f>
        <v/>
      </c>
      <c r="L623" s="26"/>
    </row>
    <row r="624" spans="1:12" x14ac:dyDescent="0.3">
      <c r="A624" t="s">
        <v>180</v>
      </c>
      <c r="E624" s="21" t="str">
        <f t="shared" si="42"/>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43"/>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164</v>
      </c>
      <c r="E625" s="21" t="str">
        <f t="shared" si="42"/>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43"/>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192</v>
      </c>
      <c r="B626" s="20" t="s">
        <v>223</v>
      </c>
      <c r="C626" s="20" t="s">
        <v>167</v>
      </c>
      <c r="D626" s="20" t="s">
        <v>158</v>
      </c>
      <c r="E626" s="21" t="s">
        <v>579</v>
      </c>
      <c r="F626" s="22" t="str">
        <f>IF(OR(E626="",E626="!!!"),"",IF(NOT(ISNA(VLOOKUP(E626,E$1:E625,1,FALSE()))),"OLD",IF(AND(E626&lt;&gt;"",E626&lt;&gt;"!!!"),"NEW","")))</f>
        <v>OLD</v>
      </c>
      <c r="G626" s="23" t="s">
        <v>644</v>
      </c>
      <c r="H626" s="24" t="str">
        <f t="shared" ca="1" si="43"/>
        <v/>
      </c>
      <c r="I626" s="25" t="str">
        <f>IF(OR(E626="",E626="!!!",F626="NEW"),"",INDEX(B$2:B625,-1+SUMPRODUCT(MAX(ROW(E$2:E625)*(E626=E$2:E625)))))</f>
        <v>other_4</v>
      </c>
      <c r="J626" s="25">
        <f ca="1">IF(OR(E626="",E626="!!!",F626="NEW"),"",COUNTBLANK(OFFSET(A$1,,,SUMPRODUCT(MAX(ROW(E$2:E626)*(E626=E$2:E626)))))-COUNTBLANK(OFFSET(A$1,,,SUMPRODUCT(MAX(ROW(E$1:E625)*(E2=E$1:E625))))))</f>
        <v>0</v>
      </c>
      <c r="K626" s="25">
        <f ca="1">IF(OR(E626="",E626="!!!",F626="NEW"),"",INDEX(J$1:J625,SUMPRODUCT(MAX(ROW(E$1:E625)*(E626=E$1:E625)))))</f>
        <v>0</v>
      </c>
      <c r="L626" s="26"/>
    </row>
    <row r="627" spans="1:12" x14ac:dyDescent="0.3">
      <c r="A627" t="s">
        <v>503</v>
      </c>
      <c r="E627" s="21" t="str">
        <f t="shared" si="42"/>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43"/>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279</v>
      </c>
      <c r="E628" s="21" t="str">
        <f t="shared" si="42"/>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43"/>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417</v>
      </c>
      <c r="E629" s="21" t="str">
        <f t="shared" si="42"/>
        <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43"/>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175</v>
      </c>
      <c r="E630" s="21" t="str">
        <f t="shared" si="42"/>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43"/>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2" spans="1:12" x14ac:dyDescent="0.3">
      <c r="A632" t="s">
        <v>504</v>
      </c>
    </row>
    <row r="633" spans="1:12" x14ac:dyDescent="0.3">
      <c r="A633" t="s">
        <v>252</v>
      </c>
      <c r="B633" s="20" t="s">
        <v>156</v>
      </c>
      <c r="C633" s="20" t="s">
        <v>157</v>
      </c>
      <c r="D633" s="20" t="s">
        <v>158</v>
      </c>
      <c r="E633" s="21" t="s">
        <v>586</v>
      </c>
      <c r="F633" s="22" t="str">
        <f>IF(OR(E633="",E633="!!!"),"",IF(NOT(ISNA(VLOOKUP(E633,E$1:E632,1,FALSE()))),"OLD",IF(AND(E633&lt;&gt;"",E633&lt;&gt;"!!!"),"NEW","")))</f>
        <v>OLD</v>
      </c>
      <c r="G633" s="23" t="s">
        <v>641</v>
      </c>
      <c r="H633" s="24" t="str">
        <f t="shared" ref="H633:H676" ca="1" si="44">IF(J633&lt;&gt;1,"",IF(I633="SBJ","CB","?"))</f>
        <v/>
      </c>
      <c r="I633" s="25" t="str">
        <f>IF(OR(E633="",E633="!!!",F633="NEW"),"",INDEX(B$2:B632,-1+SUMPRODUCT(MAX(ROW(E$2:E632)*(E633=E$2:E632)))))</f>
        <v>other_2</v>
      </c>
      <c r="J633" s="25">
        <f ca="1">IF(OR(E633="",E633="!!!",F633="NEW"),"",COUNTBLANK(OFFSET(A$1,,,SUMPRODUCT(MAX(ROW(E$2:E633)*(E633=E$2:E633)))))-COUNTBLANK(OFFSET(A$1,,,SUMPRODUCT(MAX(ROW(E$1:E632)*(E2=E$1:E632))))))</f>
        <v>0</v>
      </c>
      <c r="K633" s="25">
        <f ca="1">IF(OR(E633="",E633="!!!",F633="NEW"),"",INDEX(J$1:J632,SUMPRODUCT(MAX(ROW(E$1:E632)*(E633=E$1:E632)))))</f>
        <v>0</v>
      </c>
      <c r="L633" s="26"/>
    </row>
    <row r="634" spans="1:12" x14ac:dyDescent="0.3">
      <c r="A634" t="s">
        <v>505</v>
      </c>
      <c r="E634" s="21" t="str">
        <f t="shared" ref="E634:E676" si="45">IF(D634="?OLD","!!!","")</f>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44"/>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284</v>
      </c>
      <c r="B635" s="20" t="s">
        <v>156</v>
      </c>
      <c r="C635" s="20" t="s">
        <v>286</v>
      </c>
      <c r="D635" s="20" t="s">
        <v>158</v>
      </c>
      <c r="E635" s="21" t="s">
        <v>571</v>
      </c>
      <c r="F635" s="22" t="str">
        <f>IF(OR(E635="",E635="!!!"),"",IF(NOT(ISNA(VLOOKUP(E635,E$1:E634,1,FALSE()))),"OLD",IF(AND(E635&lt;&gt;"",E635&lt;&gt;"!!!"),"NEW","")))</f>
        <v>OLD</v>
      </c>
      <c r="G635" s="23" t="s">
        <v>642</v>
      </c>
      <c r="H635" s="24" t="s">
        <v>150</v>
      </c>
      <c r="I635" s="25" t="str">
        <f>IF(OR(E635="",E635="!!!",F635="NEW"),"",INDEX(B$2:B634,-1+SUMPRODUCT(MAX(ROW(E$2:E634)*(E635=E$2:E634)))))</f>
        <v>SBJ</v>
      </c>
      <c r="J635" s="25">
        <f ca="1">IF(OR(E635="",E635="!!!",F635="NEW"),"",COUNTBLANK(OFFSET(A$1,,,SUMPRODUCT(MAX(ROW(E$2:E635)*(E635=E$2:E635)))))-COUNTBLANK(OFFSET(A$1,,,SUMPRODUCT(MAX(ROW(E$1:E634)*(E2=E$1:E634))))))</f>
        <v>0</v>
      </c>
      <c r="K635" s="25">
        <f ca="1">IF(OR(E635="",E635="!!!",F635="NEW"),"",INDEX(J$1:J634,SUMPRODUCT(MAX(ROW(E$1:E634)*(E635=E$1:E634)))))</f>
        <v>0</v>
      </c>
      <c r="L635" s="26"/>
    </row>
    <row r="636" spans="1:12" x14ac:dyDescent="0.3">
      <c r="A636" t="s">
        <v>506</v>
      </c>
      <c r="E636" s="21" t="str">
        <f t="shared" si="45"/>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44"/>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303</v>
      </c>
      <c r="E637" s="21" t="str">
        <f t="shared" si="45"/>
        <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44"/>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284</v>
      </c>
      <c r="B638" s="20" t="s">
        <v>285</v>
      </c>
      <c r="C638" s="20" t="s">
        <v>286</v>
      </c>
      <c r="D638" s="20" t="s">
        <v>158</v>
      </c>
      <c r="E638" s="21" t="s">
        <v>604</v>
      </c>
      <c r="F638" s="22" t="s">
        <v>605</v>
      </c>
      <c r="G638" s="23" t="s">
        <v>642</v>
      </c>
      <c r="H638" s="24" t="str">
        <f t="shared" ca="1" si="44"/>
        <v/>
      </c>
      <c r="I638" s="25" t="e">
        <f>IF(OR(E638="",E638="!!!",F638="NEW"),"",INDEX(B$2:B637,-1+SUMPRODUCT(MAX(ROW(E$2:E637)*(E638=E$2:E637)))))</f>
        <v>#VALUE!</v>
      </c>
      <c r="J638" s="25">
        <f ca="1">IF(OR(E638="",E638="!!!",F638="NEW"),"",COUNTBLANK(OFFSET(A$1,,,SUMPRODUCT(MAX(ROW(E$2:E638)*(E638=E$2:E638)))))-COUNTBLANK(OFFSET(A$1,,,SUMPRODUCT(MAX(ROW(E$1:E637)*(E2=E$1:E637))))))</f>
        <v>0</v>
      </c>
      <c r="K638" s="25" t="e">
        <f>IF(OR(E638="",E638="!!!",F638="NEW"),"",INDEX(J$1:J637,SUMPRODUCT(MAX(ROW(E$1:E637)*(E638=E$1:E637)))))</f>
        <v>#VALUE!</v>
      </c>
      <c r="L638" s="26"/>
    </row>
    <row r="639" spans="1:12" x14ac:dyDescent="0.3">
      <c r="A639" t="s">
        <v>304</v>
      </c>
      <c r="E639" s="21" t="s">
        <v>571</v>
      </c>
      <c r="F639" s="22" t="str">
        <f>IF(OR(E639="",E639="!!!"),"",IF(NOT(ISNA(VLOOKUP(E639,E$1:E638,1,FALSE()))),"OLD",IF(AND(E639&lt;&gt;"",E639&lt;&gt;"!!!"),"NEW","")))</f>
        <v>OLD</v>
      </c>
      <c r="G639" s="23" t="s">
        <v>642</v>
      </c>
      <c r="H639" s="24" t="str">
        <f t="shared" ca="1" si="44"/>
        <v/>
      </c>
      <c r="I639" s="25" t="str">
        <f>IF(OR(E639="",E639="!!!",F639="NEW"),"",INDEX(B$2:B638,-1+SUMPRODUCT(MAX(ROW(E$2:E638)*(E639=E$2:E638)))))</f>
        <v>SBJ</v>
      </c>
      <c r="J639" s="25">
        <f ca="1">IF(OR(E639="",E639="!!!",F639="NEW"),"",COUNTBLANK(OFFSET(A$1,,,SUMPRODUCT(MAX(ROW(E$2:E639)*(E639=E$2:E639)))))-COUNTBLANK(OFFSET(A$1,,,SUMPRODUCT(MAX(ROW(E$1:E638)*(E2=E$1:E638))))))</f>
        <v>0</v>
      </c>
      <c r="K639" s="25">
        <f ca="1">IF(OR(E639="",E639="!!!",F639="NEW"),"",INDEX(J$1:J638,SUMPRODUCT(MAX(ROW(E$1:E638)*(E639=E$1:E638)))))</f>
        <v>0</v>
      </c>
      <c r="L639" s="26" t="s">
        <v>582</v>
      </c>
    </row>
    <row r="640" spans="1:12" x14ac:dyDescent="0.3">
      <c r="A640" t="s">
        <v>507</v>
      </c>
      <c r="B640" s="20" t="s">
        <v>289</v>
      </c>
      <c r="C640" s="20" t="s">
        <v>290</v>
      </c>
      <c r="E640" s="21" t="s">
        <v>583</v>
      </c>
      <c r="F640" s="22" t="str">
        <f>IF(OR(E640="",E640="!!!"),"",IF(NOT(ISNA(VLOOKUP(E640,E$1:E639,1,FALSE()))),"OLD",IF(AND(E640&lt;&gt;"",E640&lt;&gt;"!!!"),"NEW","")))</f>
        <v>OLD</v>
      </c>
      <c r="G640" s="23" t="s">
        <v>641</v>
      </c>
      <c r="H640" s="24" t="str">
        <f t="shared" ca="1" si="44"/>
        <v/>
      </c>
      <c r="I640" s="25" t="str">
        <f>IF(OR(E640="",E640="!!!",F640="NEW"),"",INDEX(B$2:B639,-1+SUMPRODUCT(MAX(ROW(E$2:E639)*(E640=E$2:E639)))))</f>
        <v>SBJ_2</v>
      </c>
      <c r="J640" s="25">
        <f ca="1">IF(OR(E640="",E640="!!!",F640="NEW"),"",COUNTBLANK(OFFSET(A$1,,,SUMPRODUCT(MAX(ROW(E$2:E640)*(E640=E$2:E640)))))-COUNTBLANK(OFFSET(A$1,,,SUMPRODUCT(MAX(ROW(E$1:E639)*(E2=E$1:E639))))))</f>
        <v>0</v>
      </c>
      <c r="K640" s="25">
        <f ca="1">IF(OR(E640="",E640="!!!",F640="NEW"),"",INDEX(J$1:J639,SUMPRODUCT(MAX(ROW(E$1:E639)*(E640=E$1:E639)))))</f>
        <v>0</v>
      </c>
      <c r="L640" s="26"/>
    </row>
    <row r="641" spans="1:12" x14ac:dyDescent="0.3">
      <c r="A641" t="s">
        <v>508</v>
      </c>
      <c r="E641" s="21" t="str">
        <f t="shared" si="45"/>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ca="1" si="44"/>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12</v>
      </c>
      <c r="E642" s="21" t="str">
        <f t="shared" si="45"/>
        <v/>
      </c>
      <c r="F642" s="22" t="str">
        <f>IF(OR(E642="",E642="!!!"),"",IF(NOT(ISNA(VLOOKUP(E642,E$1:E641,1,FALSE()))),"OLD",IF(AND(E642&lt;&gt;"",E642&lt;&gt;"!!!"),"NEW","")))</f>
        <v/>
      </c>
      <c r="G642" s="23" t="str">
        <f>IF(OR(E642="",E642="!!!"),"",IF(OR(J642=0,AND(J642=1,K642=1),AND(J642=1,I642="SBJ"),AND(J642=1,I642=0)),"?IN_FOCUS",IF(J642&lt;=2,"?ACTIVATED",IF(J642&lt;&gt;"","?FAMILIAR",IF(F642="NEW",IF(ISNA(VLOOKUP(E642,#REF!,1,FALSE())),"?TYPE_IDENTIFIABLE","?REFERENTIAL"),"_")))))</f>
        <v/>
      </c>
      <c r="H642" s="24" t="str">
        <f t="shared" ca="1" si="44"/>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353</v>
      </c>
      <c r="E643" s="21" t="str">
        <f t="shared" si="45"/>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44"/>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509</v>
      </c>
      <c r="E644" s="21" t="str">
        <f t="shared" si="45"/>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44"/>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510</v>
      </c>
      <c r="B645" s="20" t="s">
        <v>330</v>
      </c>
      <c r="C645" s="20" t="s">
        <v>280</v>
      </c>
      <c r="E645" s="21" t="str">
        <f t="shared" si="45"/>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44"/>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12</v>
      </c>
      <c r="E646" s="21" t="str">
        <f t="shared" si="45"/>
        <v/>
      </c>
      <c r="F646" s="22" t="str">
        <f>IF(OR(E646="",E646="!!!"),"",IF(NOT(ISNA(VLOOKUP(E646,E$1:E645,1,FALSE()))),"OLD",IF(AND(E646&lt;&gt;"",E646&lt;&gt;"!!!"),"NEW","")))</f>
        <v/>
      </c>
      <c r="G646" s="23" t="str">
        <f>IF(OR(E646="",E646="!!!"),"",IF(OR(J646=0,AND(J646=1,K646=1),AND(J646=1,I646="SBJ"),AND(J646=1,I646=0)),"?IN_FOCUS",IF(J646&lt;=2,"?ACTIVATED",IF(J646&lt;&gt;"","?FAMILIAR",IF(F646="NEW",IF(ISNA(VLOOKUP(E646,#REF!,1,FALSE())),"?TYPE_IDENTIFIABLE","?REFERENTIAL"),"_")))))</f>
        <v/>
      </c>
      <c r="H646" s="24" t="str">
        <f t="shared" ca="1" si="44"/>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7" spans="1:12" x14ac:dyDescent="0.3">
      <c r="A647" t="s">
        <v>214</v>
      </c>
      <c r="E647" s="21" t="str">
        <f t="shared" si="45"/>
        <v/>
      </c>
      <c r="F647" s="22" t="str">
        <f>IF(OR(E647="",E647="!!!"),"",IF(NOT(ISNA(VLOOKUP(E647,E$1:E646,1,FALSE()))),"OLD",IF(AND(E647&lt;&gt;"",E647&lt;&gt;"!!!"),"NEW","")))</f>
        <v/>
      </c>
      <c r="G647" s="23" t="str">
        <f>IF(OR(E647="",E647="!!!"),"",IF(OR(J647=0,AND(J647=1,K647=1),AND(J647=1,I647="SBJ"),AND(J647=1,I647=0)),"?IN_FOCUS",IF(J647&lt;=2,"?ACTIVATED",IF(J647&lt;&gt;"","?FAMILIAR",IF(F647="NEW",IF(ISNA(VLOOKUP(E647,#REF!,1,FALSE())),"?TYPE_IDENTIFIABLE","?REFERENTIAL"),"_")))))</f>
        <v/>
      </c>
      <c r="H647" s="24" t="str">
        <f t="shared" ca="1" si="44"/>
        <v/>
      </c>
      <c r="I647" s="25" t="str">
        <f>IF(OR(E647="",E647="!!!",F647="NEW"),"",INDEX(B$2:B646,-1+SUMPRODUCT(MAX(ROW(E$2:E646)*(E647=E$2:E646)))))</f>
        <v/>
      </c>
      <c r="J647" s="25" t="str">
        <f ca="1">IF(OR(E647="",E647="!!!",F647="NEW"),"",COUNTBLANK(OFFSET(A$1,,,SUMPRODUCT(MAX(ROW(E$2:E647)*(E647=E$2:E647)))))-COUNTBLANK(OFFSET(A$1,,,SUMPRODUCT(MAX(ROW(E$1:E646)*(E2=E$1:E646))))))</f>
        <v/>
      </c>
      <c r="K647" s="25" t="str">
        <f>IF(OR(E647="",E647="!!!",F647="NEW"),"",INDEX(J$1:J646,SUMPRODUCT(MAX(ROW(E$1:E646)*(E647=E$1:E646)))))</f>
        <v/>
      </c>
      <c r="L647" s="26"/>
    </row>
    <row r="648" spans="1:12" x14ac:dyDescent="0.3">
      <c r="A648" t="s">
        <v>301</v>
      </c>
      <c r="B648" s="20" t="s">
        <v>226</v>
      </c>
      <c r="C648" s="20" t="s">
        <v>170</v>
      </c>
      <c r="E648" s="21" t="str">
        <f t="shared" si="45"/>
        <v/>
      </c>
      <c r="F648" s="22" t="str">
        <f>IF(OR(E648="",E648="!!!"),"",IF(NOT(ISNA(VLOOKUP(E648,E$1:E647,1,FALSE()))),"OLD",IF(AND(E648&lt;&gt;"",E648&lt;&gt;"!!!"),"NEW","")))</f>
        <v/>
      </c>
      <c r="G648" s="23" t="str">
        <f>IF(OR(E648="",E648="!!!"),"",IF(OR(J648=0,AND(J648=1,K648=1),AND(J648=1,I648="SBJ"),AND(J648=1,I648=0)),"?IN_FOCUS",IF(J648&lt;=2,"?ACTIVATED",IF(J648&lt;&gt;"","?FAMILIAR",IF(F648="NEW",IF(ISNA(VLOOKUP(E648,#REF!,1,FALSE())),"?TYPE_IDENTIFIABLE","?REFERENTIAL"),"_")))))</f>
        <v/>
      </c>
      <c r="H648" s="24" t="str">
        <f t="shared" ca="1" si="44"/>
        <v/>
      </c>
      <c r="I648" s="25" t="str">
        <f>IF(OR(E648="",E648="!!!",F648="NEW"),"",INDEX(B$2:B647,-1+SUMPRODUCT(MAX(ROW(E$2:E647)*(E648=E$2:E647)))))</f>
        <v/>
      </c>
      <c r="J648" s="25" t="str">
        <f ca="1">IF(OR(E648="",E648="!!!",F648="NEW"),"",COUNTBLANK(OFFSET(A$1,,,SUMPRODUCT(MAX(ROW(E$2:E648)*(E648=E$2:E648)))))-COUNTBLANK(OFFSET(A$1,,,SUMPRODUCT(MAX(ROW(E$1:E647)*(E2=E$1:E647))))))</f>
        <v/>
      </c>
      <c r="K648" s="25" t="str">
        <f>IF(OR(E648="",E648="!!!",F648="NEW"),"",INDEX(J$1:J647,SUMPRODUCT(MAX(ROW(E$1:E647)*(E648=E$1:E647)))))</f>
        <v/>
      </c>
      <c r="L648" s="26"/>
    </row>
    <row r="649" spans="1:12" x14ac:dyDescent="0.3">
      <c r="A649" t="s">
        <v>511</v>
      </c>
      <c r="E649" s="21" t="str">
        <f t="shared" si="45"/>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ca="1" si="44"/>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180</v>
      </c>
      <c r="E650" s="21" t="str">
        <f t="shared" si="45"/>
        <v/>
      </c>
      <c r="F650" s="22" t="str">
        <f>IF(OR(E650="",E650="!!!"),"",IF(NOT(ISNA(VLOOKUP(E650,E$1:E649,1,FALSE()))),"OLD",IF(AND(E650&lt;&gt;"",E650&lt;&gt;"!!!"),"NEW","")))</f>
        <v/>
      </c>
      <c r="G650" s="23" t="str">
        <f>IF(OR(E650="",E650="!!!"),"",IF(OR(J650=0,AND(J650=1,K650=1),AND(J650=1,I650="SBJ"),AND(J650=1,I650=0)),"?IN_FOCUS",IF(J650&lt;=2,"?ACTIVATED",IF(J650&lt;&gt;"","?FAMILIAR",IF(F650="NEW",IF(ISNA(VLOOKUP(E650,#REF!,1,FALSE())),"?TYPE_IDENTIFIABLE","?REFERENTIAL"),"_")))))</f>
        <v/>
      </c>
      <c r="H650" s="24" t="str">
        <f t="shared" ca="1" si="44"/>
        <v/>
      </c>
      <c r="I650" s="25" t="str">
        <f>IF(OR(E650="",E650="!!!",F650="NEW"),"",INDEX(B$2:B649,-1+SUMPRODUCT(MAX(ROW(E$2:E649)*(E650=E$2:E649)))))</f>
        <v/>
      </c>
      <c r="J650" s="25" t="str">
        <f ca="1">IF(OR(E650="",E650="!!!",F650="NEW"),"",COUNTBLANK(OFFSET(A$1,,,SUMPRODUCT(MAX(ROW(E$2:E650)*(E650=E$2:E650)))))-COUNTBLANK(OFFSET(A$1,,,SUMPRODUCT(MAX(ROW(E$1:E649)*(E2=E$1:E649))))))</f>
        <v/>
      </c>
      <c r="K650" s="25" t="str">
        <f>IF(OR(E650="",E650="!!!",F650="NEW"),"",INDEX(J$1:J649,SUMPRODUCT(MAX(ROW(E$1:E649)*(E650=E$1:E649)))))</f>
        <v/>
      </c>
      <c r="L650" s="26"/>
    </row>
    <row r="651" spans="1:12" x14ac:dyDescent="0.3">
      <c r="A651" t="s">
        <v>159</v>
      </c>
      <c r="B651" s="20" t="s">
        <v>223</v>
      </c>
      <c r="C651" s="20" t="s">
        <v>182</v>
      </c>
      <c r="E651" s="21" t="s">
        <v>571</v>
      </c>
      <c r="F651" s="22" t="str">
        <f>IF(OR(E651="",E651="!!!"),"",IF(NOT(ISNA(VLOOKUP(E651,E$1:E650,1,FALSE()))),"OLD",IF(AND(E651&lt;&gt;"",E651&lt;&gt;"!!!"),"NEW","")))</f>
        <v>OLD</v>
      </c>
      <c r="G651" s="23" t="s">
        <v>642</v>
      </c>
      <c r="H651" s="24" t="str">
        <f t="shared" ca="1" si="44"/>
        <v/>
      </c>
      <c r="I651" s="25">
        <f>IF(OR(E651="",E651="!!!",F651="NEW"),"",INDEX(B$2:B650,-1+SUMPRODUCT(MAX(ROW(E$2:E650)*(E651=E$2:E650)))))</f>
        <v>0</v>
      </c>
      <c r="J651" s="25">
        <f ca="1">IF(OR(E651="",E651="!!!",F651="NEW"),"",COUNTBLANK(OFFSET(A$1,,,SUMPRODUCT(MAX(ROW(E$2:E651)*(E651=E$2:E651)))))-COUNTBLANK(OFFSET(A$1,,,SUMPRODUCT(MAX(ROW(E$1:E650)*(E2=E$1:E650))))))</f>
        <v>0</v>
      </c>
      <c r="K651" s="25">
        <f ca="1">IF(OR(E651="",E651="!!!",F651="NEW"),"",INDEX(J$1:J650,SUMPRODUCT(MAX(ROW(E$1:E650)*(E651=E$1:E650)))))</f>
        <v>0</v>
      </c>
      <c r="L651" s="26" t="s">
        <v>582</v>
      </c>
    </row>
    <row r="652" spans="1:12" x14ac:dyDescent="0.3">
      <c r="A652" t="s">
        <v>512</v>
      </c>
      <c r="E652" s="21" t="str">
        <f t="shared" si="45"/>
        <v/>
      </c>
      <c r="F652" s="22" t="str">
        <f>IF(OR(E652="",E652="!!!"),"",IF(NOT(ISNA(VLOOKUP(E652,E$1:E651,1,FALSE()))),"OLD",IF(AND(E652&lt;&gt;"",E652&lt;&gt;"!!!"),"NEW","")))</f>
        <v/>
      </c>
      <c r="G652" s="23" t="str">
        <f>IF(OR(E652="",E652="!!!"),"",IF(OR(J652=0,AND(J652=1,K652=1),AND(J652=1,I652="SBJ"),AND(J652=1,I652=0)),"?IN_FOCUS",IF(J652&lt;=2,"?ACTIVATED",IF(J652&lt;&gt;"","?FAMILIAR",IF(F652="NEW",IF(ISNA(VLOOKUP(E652,#REF!,1,FALSE())),"?TYPE_IDENTIFIABLE","?REFERENTIAL"),"_")))))</f>
        <v/>
      </c>
      <c r="H652" s="24" t="str">
        <f t="shared" ca="1" si="44"/>
        <v/>
      </c>
      <c r="I652" s="25" t="str">
        <f>IF(OR(E652="",E652="!!!",F652="NEW"),"",INDEX(B$2:B651,-1+SUMPRODUCT(MAX(ROW(E$2:E651)*(E652=E$2:E651)))))</f>
        <v/>
      </c>
      <c r="J652" s="25" t="str">
        <f ca="1">IF(OR(E652="",E652="!!!",F652="NEW"),"",COUNTBLANK(OFFSET(A$1,,,SUMPRODUCT(MAX(ROW(E$2:E652)*(E652=E$2:E652)))))-COUNTBLANK(OFFSET(A$1,,,SUMPRODUCT(MAX(ROW(E$1:E651)*(E2=E$1:E651))))))</f>
        <v/>
      </c>
      <c r="K652" s="25" t="str">
        <f>IF(OR(E652="",E652="!!!",F652="NEW"),"",INDEX(J$1:J651,SUMPRODUCT(MAX(ROW(E$1:E651)*(E652=E$1:E651)))))</f>
        <v/>
      </c>
      <c r="L652" s="26"/>
    </row>
    <row r="653" spans="1:12" x14ac:dyDescent="0.3">
      <c r="A653" t="s">
        <v>513</v>
      </c>
      <c r="E653" s="21" t="str">
        <f t="shared" si="45"/>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44"/>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272</v>
      </c>
      <c r="E654" s="21" t="str">
        <f t="shared" si="45"/>
        <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44"/>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514</v>
      </c>
      <c r="E655" s="21" t="str">
        <f t="shared" si="45"/>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44"/>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214</v>
      </c>
      <c r="E656" s="21" t="str">
        <f t="shared" si="45"/>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44"/>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515</v>
      </c>
      <c r="E657" s="21" t="str">
        <f t="shared" si="45"/>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44"/>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516</v>
      </c>
      <c r="B658" s="20" t="s">
        <v>218</v>
      </c>
      <c r="C658" s="20" t="s">
        <v>170</v>
      </c>
      <c r="E658" s="21" t="s">
        <v>635</v>
      </c>
      <c r="F658" s="22" t="str">
        <f>IF(OR(E658="",E658="!!!"),"",IF(NOT(ISNA(VLOOKUP(E658,E$1:E657,1,FALSE()))),"OLD",IF(AND(E658&lt;&gt;"",E658&lt;&gt;"!!!"),"NEW","")))</f>
        <v>NEW</v>
      </c>
      <c r="G658" s="23" t="s">
        <v>643</v>
      </c>
      <c r="H658" s="24" t="str">
        <f t="shared" ca="1" si="44"/>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272</v>
      </c>
      <c r="E659" s="21" t="str">
        <f t="shared" si="45"/>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44"/>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303</v>
      </c>
      <c r="E660" s="21" t="str">
        <f t="shared" si="45"/>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44"/>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1" spans="1:12" x14ac:dyDescent="0.3">
      <c r="A661" t="s">
        <v>216</v>
      </c>
      <c r="E661" s="21" t="str">
        <f t="shared" si="45"/>
        <v/>
      </c>
      <c r="F661" s="22" t="str">
        <f>IF(OR(E661="",E661="!!!"),"",IF(NOT(ISNA(VLOOKUP(E661,E$1:E660,1,FALSE()))),"OLD",IF(AND(E661&lt;&gt;"",E661&lt;&gt;"!!!"),"NEW","")))</f>
        <v/>
      </c>
      <c r="G661" s="23" t="str">
        <f>IF(OR(E661="",E661="!!!"),"",IF(OR(J661=0,AND(J661=1,K661=1),AND(J661=1,I661="SBJ"),AND(J661=1,I661=0)),"?IN_FOCUS",IF(J661&lt;=2,"?ACTIVATED",IF(J661&lt;&gt;"","?FAMILIAR",IF(F661="NEW",IF(ISNA(VLOOKUP(E661,#REF!,1,FALSE())),"?TYPE_IDENTIFIABLE","?REFERENTIAL"),"_")))))</f>
        <v/>
      </c>
      <c r="H661" s="24" t="str">
        <f t="shared" ca="1" si="44"/>
        <v/>
      </c>
      <c r="I661" s="25" t="str">
        <f>IF(OR(E661="",E661="!!!",F661="NEW"),"",INDEX(B$2:B660,-1+SUMPRODUCT(MAX(ROW(E$2:E660)*(E661=E$2:E660)))))</f>
        <v/>
      </c>
      <c r="J661" s="25" t="str">
        <f ca="1">IF(OR(E661="",E661="!!!",F661="NEW"),"",COUNTBLANK(OFFSET(A$1,,,SUMPRODUCT(MAX(ROW(E$2:E661)*(E661=E$2:E661)))))-COUNTBLANK(OFFSET(A$1,,,SUMPRODUCT(MAX(ROW(E$1:E660)*(E2=E$1:E660))))))</f>
        <v/>
      </c>
      <c r="K661" s="25" t="str">
        <f>IF(OR(E661="",E661="!!!",F661="NEW"),"",INDEX(J$1:J660,SUMPRODUCT(MAX(ROW(E$1:E660)*(E661=E$1:E660)))))</f>
        <v/>
      </c>
      <c r="L661" s="26"/>
    </row>
    <row r="662" spans="1:12" x14ac:dyDescent="0.3">
      <c r="A662" t="s">
        <v>517</v>
      </c>
      <c r="B662" s="20" t="s">
        <v>285</v>
      </c>
      <c r="C662" s="20" t="s">
        <v>167</v>
      </c>
      <c r="D662" s="20" t="s">
        <v>158</v>
      </c>
      <c r="E662" s="21" t="s">
        <v>608</v>
      </c>
      <c r="F662" s="22" t="str">
        <f>IF(OR(E662="",E662="!!!"),"",IF(NOT(ISNA(VLOOKUP(E662,E$1:E661,1,FALSE()))),"OLD",IF(AND(E662&lt;&gt;"",E662&lt;&gt;"!!!"),"NEW","")))</f>
        <v>NEW</v>
      </c>
      <c r="G662" s="23" t="s">
        <v>643</v>
      </c>
      <c r="H662" s="24" t="str">
        <f t="shared" ca="1" si="44"/>
        <v/>
      </c>
      <c r="I662" s="25" t="str">
        <f>IF(OR(E662="",E662="!!!",F662="NEW"),"",INDEX(B$2:B661,-1+SUMPRODUCT(MAX(ROW(E$2:E661)*(E662=E$2:E661)))))</f>
        <v/>
      </c>
      <c r="J662" s="25" t="str">
        <f ca="1">IF(OR(E662="",E662="!!!",F662="NEW"),"",COUNTBLANK(OFFSET(A$1,,,SUMPRODUCT(MAX(ROW(E$2:E662)*(E662=E$2:E662)))))-COUNTBLANK(OFFSET(A$1,,,SUMPRODUCT(MAX(ROW(E$1:E661)*(E2=E$1:E661))))))</f>
        <v/>
      </c>
      <c r="K662" s="25" t="str">
        <f>IF(OR(E662="",E662="!!!",F662="NEW"),"",INDEX(J$1:J661,SUMPRODUCT(MAX(ROW(E$1:E661)*(E662=E$1:E661)))))</f>
        <v/>
      </c>
      <c r="L662" s="26"/>
    </row>
    <row r="663" spans="1:12" x14ac:dyDescent="0.3">
      <c r="A663" t="s">
        <v>272</v>
      </c>
      <c r="E663" s="21" t="str">
        <f t="shared" si="45"/>
        <v/>
      </c>
      <c r="F663" s="22" t="str">
        <f>IF(OR(E663="",E663="!!!"),"",IF(NOT(ISNA(VLOOKUP(E663,E$1:E662,1,FALSE()))),"OLD",IF(AND(E663&lt;&gt;"",E663&lt;&gt;"!!!"),"NEW","")))</f>
        <v/>
      </c>
      <c r="G663" s="23" t="str">
        <f>IF(OR(E663="",E663="!!!"),"",IF(OR(J663=0,AND(J663=1,K663=1),AND(J663=1,I663="SBJ"),AND(J663=1,I663=0)),"?IN_FOCUS",IF(J663&lt;=2,"?ACTIVATED",IF(J663&lt;&gt;"","?FAMILIAR",IF(F663="NEW",IF(ISNA(VLOOKUP(E663,#REF!,1,FALSE())),"?TYPE_IDENTIFIABLE","?REFERENTIAL"),"_")))))</f>
        <v/>
      </c>
      <c r="H663" s="24" t="str">
        <f t="shared" ca="1" si="44"/>
        <v/>
      </c>
      <c r="I663" s="25" t="str">
        <f>IF(OR(E663="",E663="!!!",F663="NEW"),"",INDEX(B$2:B662,-1+SUMPRODUCT(MAX(ROW(E$2:E662)*(E663=E$2:E662)))))</f>
        <v/>
      </c>
      <c r="J663" s="25" t="str">
        <f ca="1">IF(OR(E663="",E663="!!!",F663="NEW"),"",COUNTBLANK(OFFSET(A$1,,,SUMPRODUCT(MAX(ROW(E$2:E663)*(E663=E$2:E663)))))-COUNTBLANK(OFFSET(A$1,,,SUMPRODUCT(MAX(ROW(E$1:E662)*(E2=E$1:E662))))))</f>
        <v/>
      </c>
      <c r="K663" s="25" t="str">
        <f>IF(OR(E663="",E663="!!!",F663="NEW"),"",INDEX(J$1:J662,SUMPRODUCT(MAX(ROW(E$1:E662)*(E663=E$1:E662)))))</f>
        <v/>
      </c>
      <c r="L663" s="26"/>
    </row>
    <row r="664" spans="1:12" x14ac:dyDescent="0.3">
      <c r="A664" t="s">
        <v>216</v>
      </c>
      <c r="B664" s="20" t="s">
        <v>518</v>
      </c>
      <c r="C664" s="20" t="s">
        <v>286</v>
      </c>
      <c r="D664" s="20" t="s">
        <v>158</v>
      </c>
      <c r="E664" s="21"/>
      <c r="F664" s="22" t="s">
        <v>606</v>
      </c>
      <c r="G664" s="23" t="str">
        <f>IF(OR(E664="",E664="!!!"),"",IF(OR(J664=0,AND(J664=1,K664=1),AND(J664=1,I664="SBJ"),AND(J664=1,I664=0)),"?IN_FOCUS",IF(J664&lt;=2,"?ACTIVATED",IF(J664&lt;&gt;"","?FAMILIAR",IF(F664="NEW",IF(ISNA(VLOOKUP(E664,#REF!,1,FALSE())),"?TYPE_IDENTIFIABLE","?REFERENTIAL"),"_")))))</f>
        <v/>
      </c>
      <c r="H664" s="24" t="str">
        <f t="shared" ca="1" si="44"/>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284</v>
      </c>
      <c r="B665" s="20" t="s">
        <v>518</v>
      </c>
      <c r="C665" s="20" t="s">
        <v>286</v>
      </c>
      <c r="D665" s="20" t="s">
        <v>158</v>
      </c>
      <c r="E665" s="21" t="s">
        <v>571</v>
      </c>
      <c r="F665" s="22" t="str">
        <f>IF(OR(E665="",E665="!!!"),"",IF(NOT(ISNA(VLOOKUP(E665,E$1:E664,1,FALSE()))),"OLD",IF(AND(E665&lt;&gt;"",E665&lt;&gt;"!!!"),"NEW","")))</f>
        <v>OLD</v>
      </c>
      <c r="G665" s="23" t="s">
        <v>642</v>
      </c>
      <c r="H665" s="24" t="str">
        <f t="shared" ca="1" si="44"/>
        <v/>
      </c>
      <c r="I665" s="25" t="str">
        <f>IF(OR(E665="",E665="!!!",F665="NEW"),"",INDEX(B$2:B664,-1+SUMPRODUCT(MAX(ROW(E$2:E664)*(E665=E$2:E664)))))</f>
        <v>other_3</v>
      </c>
      <c r="J665" s="25">
        <f ca="1">IF(OR(E665="",E665="!!!",F665="NEW"),"",COUNTBLANK(OFFSET(A$1,,,SUMPRODUCT(MAX(ROW(E$2:E665)*(E665=E$2:E665)))))-COUNTBLANK(OFFSET(A$1,,,SUMPRODUCT(MAX(ROW(E$1:E664)*(E2=E$1:E664))))))</f>
        <v>0</v>
      </c>
      <c r="K665" s="25">
        <f ca="1">IF(OR(E665="",E665="!!!",F665="NEW"),"",INDEX(J$1:J664,SUMPRODUCT(MAX(ROW(E$1:E664)*(E665=E$1:E664)))))</f>
        <v>0</v>
      </c>
      <c r="L665" s="26"/>
    </row>
    <row r="666" spans="1:12" x14ac:dyDescent="0.3">
      <c r="A666" t="s">
        <v>519</v>
      </c>
      <c r="E666" s="21" t="str">
        <f t="shared" si="45"/>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44"/>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163</v>
      </c>
      <c r="E667" s="21" t="str">
        <f t="shared" si="45"/>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44"/>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520</v>
      </c>
      <c r="E668" s="21" t="s">
        <v>571</v>
      </c>
      <c r="F668" s="22" t="str">
        <f>IF(OR(E668="",E668="!!!"),"",IF(NOT(ISNA(VLOOKUP(E668,E$1:E667,1,FALSE()))),"OLD",IF(AND(E668&lt;&gt;"",E668&lt;&gt;"!!!"),"NEW","")))</f>
        <v>OLD</v>
      </c>
      <c r="G668" s="23" t="s">
        <v>642</v>
      </c>
      <c r="H668" s="24" t="str">
        <f t="shared" ca="1" si="44"/>
        <v/>
      </c>
      <c r="I668" s="25" t="str">
        <f>IF(OR(E668="",E668="!!!",F668="NEW"),"",INDEX(B$2:B667,-1+SUMPRODUCT(MAX(ROW(E$2:E667)*(E668=E$2:E667)))))</f>
        <v>SBJ_6</v>
      </c>
      <c r="J668" s="25">
        <f ca="1">IF(OR(E668="",E668="!!!",F668="NEW"),"",COUNTBLANK(OFFSET(A$1,,,SUMPRODUCT(MAX(ROW(E$2:E668)*(E668=E$2:E668)))))-COUNTBLANK(OFFSET(A$1,,,SUMPRODUCT(MAX(ROW(E$1:E667)*(E2=E$1:E667))))))</f>
        <v>0</v>
      </c>
      <c r="K668" s="25">
        <f ca="1">IF(OR(E668="",E668="!!!",F668="NEW"),"",INDEX(J$1:J667,SUMPRODUCT(MAX(ROW(E$1:E667)*(E668=E$1:E667)))))</f>
        <v>0</v>
      </c>
      <c r="L668" s="26"/>
    </row>
    <row r="669" spans="1:12" x14ac:dyDescent="0.3">
      <c r="A669" t="s">
        <v>521</v>
      </c>
      <c r="B669" s="20" t="s">
        <v>376</v>
      </c>
      <c r="C669" s="20" t="s">
        <v>290</v>
      </c>
      <c r="E669" s="21" t="s">
        <v>607</v>
      </c>
      <c r="F669" s="22" t="str">
        <f>IF(OR(E669="",E669="!!!"),"",IF(NOT(ISNA(VLOOKUP(E669,E$1:E668,1,FALSE()))),"OLD",IF(AND(E669&lt;&gt;"",E669&lt;&gt;"!!!"),"NEW","")))</f>
        <v>NEW</v>
      </c>
      <c r="G669" s="23" t="s">
        <v>643</v>
      </c>
      <c r="H669" s="24" t="str">
        <f t="shared" ca="1" si="44"/>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522</v>
      </c>
      <c r="E670" s="21" t="str">
        <f t="shared" si="45"/>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44"/>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272</v>
      </c>
      <c r="E671" s="21" t="str">
        <f t="shared" si="45"/>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44"/>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212</v>
      </c>
      <c r="B672" s="20" t="s">
        <v>229</v>
      </c>
      <c r="C672" s="20" t="s">
        <v>182</v>
      </c>
      <c r="E672" s="21" t="str">
        <f t="shared" si="45"/>
        <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44"/>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224</v>
      </c>
      <c r="E673" s="21" t="str">
        <f t="shared" si="45"/>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44"/>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523</v>
      </c>
      <c r="B674" s="20" t="s">
        <v>226</v>
      </c>
      <c r="C674" s="20" t="s">
        <v>167</v>
      </c>
      <c r="D674" s="20" t="s">
        <v>158</v>
      </c>
      <c r="E674" s="21"/>
      <c r="F674" s="22" t="s">
        <v>581</v>
      </c>
      <c r="G674" s="23" t="str">
        <f>IF(OR(E674="",E674="!!!"),"",IF(OR(J674=0,AND(J674=1,K674=1),AND(J674=1,I674="SBJ"),AND(J674=1,I674=0)),"?IN_FOCUS",IF(J674&lt;=2,"?ACTIVATED",IF(J674&lt;&gt;"","?FAMILIAR",IF(F674="NEW",IF(ISNA(VLOOKUP(E674,#REF!,1,FALSE())),"?TYPE_IDENTIFIABLE","?REFERENTIAL"),"_")))))</f>
        <v/>
      </c>
      <c r="H674" s="24" t="str">
        <f t="shared" ca="1" si="44"/>
        <v/>
      </c>
      <c r="I674" s="25" t="str">
        <f>IF(OR(E674="",E674="!!!",F674="NEW"),"",INDEX(B$2:B673,-1+SUMPRODUCT(MAX(ROW(E$2:E673)*(E674=E$2:E673)))))</f>
        <v/>
      </c>
      <c r="J674" s="25" t="str">
        <f ca="1">IF(OR(E674="",E674="!!!",F674="NEW"),"",COUNTBLANK(OFFSET(A$1,,,SUMPRODUCT(MAX(ROW(E$2:E674)*(E674=E$2:E674)))))-COUNTBLANK(OFFSET(A$1,,,SUMPRODUCT(MAX(ROW(E$1:E673)*(E2=E$1:E673))))))</f>
        <v/>
      </c>
      <c r="K674" s="25" t="str">
        <f>IF(OR(E674="",E674="!!!",F674="NEW"),"",INDEX(J$1:J673,SUMPRODUCT(MAX(ROW(E$1:E673)*(E674=E$1:E673)))))</f>
        <v/>
      </c>
      <c r="L674" s="26"/>
    </row>
    <row r="675" spans="1:12" x14ac:dyDescent="0.3">
      <c r="A675" t="s">
        <v>308</v>
      </c>
      <c r="E675" s="21" t="str">
        <f t="shared" si="45"/>
        <v/>
      </c>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44"/>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175</v>
      </c>
      <c r="E676" s="21" t="str">
        <f t="shared" si="45"/>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44"/>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8" spans="1:12" x14ac:dyDescent="0.3">
      <c r="A678" t="s">
        <v>524</v>
      </c>
    </row>
    <row r="679" spans="1:12" x14ac:dyDescent="0.3">
      <c r="A679" t="s">
        <v>204</v>
      </c>
      <c r="E679" s="21" t="str">
        <f t="shared" ref="E679:E710" si="46">IF(D679="?OLD","!!!","")</f>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ref="H679:H710" ca="1" si="47">IF(J679&lt;&gt;1,"",IF(I679="SBJ","CB","?"))</f>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525</v>
      </c>
      <c r="B680" s="20" t="s">
        <v>156</v>
      </c>
      <c r="C680" s="20" t="s">
        <v>234</v>
      </c>
      <c r="D680" s="20" t="s">
        <v>158</v>
      </c>
      <c r="E680" s="21" t="s">
        <v>609</v>
      </c>
      <c r="F680" s="22" t="str">
        <f>IF(OR(E680="",E680="!!!"),"",IF(NOT(ISNA(VLOOKUP(E680,E$1:E679,1,FALSE()))),"OLD",IF(AND(E680&lt;&gt;"",E680&lt;&gt;"!!!"),"NEW","")))</f>
        <v>NEW</v>
      </c>
      <c r="G680" s="23" t="s">
        <v>643</v>
      </c>
      <c r="H680" s="24" t="str">
        <f t="shared" ca="1" si="47"/>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526</v>
      </c>
      <c r="B681" s="20" t="s">
        <v>248</v>
      </c>
      <c r="C681" s="20" t="s">
        <v>157</v>
      </c>
      <c r="D681" s="20" t="s">
        <v>158</v>
      </c>
      <c r="E681" s="21" t="s">
        <v>586</v>
      </c>
      <c r="F681" s="22" t="str">
        <f>IF(OR(E681="",E681="!!!"),"",IF(NOT(ISNA(VLOOKUP(E681,E$1:E680,1,FALSE()))),"OLD",IF(AND(E681&lt;&gt;"",E681&lt;&gt;"!!!"),"NEW","")))</f>
        <v>OLD</v>
      </c>
      <c r="G681" s="23" t="s">
        <v>644</v>
      </c>
      <c r="H681" s="24" t="s">
        <v>150</v>
      </c>
      <c r="I681" s="25" t="str">
        <f>IF(OR(E681="",E681="!!!",F681="NEW"),"",INDEX(B$2:B680,-1+SUMPRODUCT(MAX(ROW(E$2:E680)*(E681=E$2:E680)))))</f>
        <v>SBJ</v>
      </c>
      <c r="J681" s="25">
        <f ca="1">IF(OR(E681="",E681="!!!",F681="NEW"),"",COUNTBLANK(OFFSET(A$1,,,SUMPRODUCT(MAX(ROW(E$2:E681)*(E681=E$2:E681)))))-COUNTBLANK(OFFSET(A$1,,,SUMPRODUCT(MAX(ROW(E$1:E680)*(E2=E$1:E680))))))</f>
        <v>0</v>
      </c>
      <c r="K681" s="25">
        <f ca="1">IF(OR(E681="",E681="!!!",F681="NEW"),"",INDEX(J$1:J680,SUMPRODUCT(MAX(ROW(E$1:E680)*(E681=E$1:E680)))))</f>
        <v>0</v>
      </c>
      <c r="L681" s="26"/>
    </row>
    <row r="682" spans="1:12" x14ac:dyDescent="0.3">
      <c r="A682" t="s">
        <v>527</v>
      </c>
      <c r="E682" s="21" t="str">
        <f t="shared" si="46"/>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47"/>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353</v>
      </c>
      <c r="E683" s="21" t="str">
        <f t="shared" si="46"/>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47"/>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528</v>
      </c>
      <c r="B684" s="20" t="s">
        <v>166</v>
      </c>
      <c r="C684" s="20" t="s">
        <v>280</v>
      </c>
      <c r="E684" s="21" t="str">
        <f t="shared" si="46"/>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47"/>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529</v>
      </c>
      <c r="E685" s="21" t="str">
        <f t="shared" si="46"/>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47"/>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183</v>
      </c>
      <c r="E686" s="21" t="str">
        <f t="shared" si="46"/>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47"/>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7" spans="1:12" x14ac:dyDescent="0.3">
      <c r="A687" t="s">
        <v>371</v>
      </c>
      <c r="E687" s="21" t="str">
        <f t="shared" si="46"/>
        <v/>
      </c>
      <c r="F687" s="22" t="str">
        <f>IF(OR(E687="",E687="!!!"),"",IF(NOT(ISNA(VLOOKUP(E687,E$1:E686,1,FALSE()))),"OLD",IF(AND(E687&lt;&gt;"",E687&lt;&gt;"!!!"),"NEW","")))</f>
        <v/>
      </c>
      <c r="G687" s="23" t="str">
        <f>IF(OR(E687="",E687="!!!"),"",IF(OR(J687=0,AND(J687=1,K687=1),AND(J687=1,I687="SBJ"),AND(J687=1,I687=0)),"?IN_FOCUS",IF(J687&lt;=2,"?ACTIVATED",IF(J687&lt;&gt;"","?FAMILIAR",IF(F687="NEW",IF(ISNA(VLOOKUP(E687,#REF!,1,FALSE())),"?TYPE_IDENTIFIABLE","?REFERENTIAL"),"_")))))</f>
        <v/>
      </c>
      <c r="H687" s="24" t="str">
        <f t="shared" ca="1" si="47"/>
        <v/>
      </c>
      <c r="I687" s="25" t="str">
        <f>IF(OR(E687="",E687="!!!",F687="NEW"),"",INDEX(B$2:B686,-1+SUMPRODUCT(MAX(ROW(E$2:E686)*(E687=E$2:E686)))))</f>
        <v/>
      </c>
      <c r="J687" s="25" t="str">
        <f ca="1">IF(OR(E687="",E687="!!!",F687="NEW"),"",COUNTBLANK(OFFSET(A$1,,,SUMPRODUCT(MAX(ROW(E$2:E687)*(E687=E$2:E687)))))-COUNTBLANK(OFFSET(A$1,,,SUMPRODUCT(MAX(ROW(E$1:E686)*(E2=E$1:E686))))))</f>
        <v/>
      </c>
      <c r="K687" s="25" t="str">
        <f>IF(OR(E687="",E687="!!!",F687="NEW"),"",INDEX(J$1:J686,SUMPRODUCT(MAX(ROW(E$1:E686)*(E687=E$1:E686)))))</f>
        <v/>
      </c>
      <c r="L687" s="26"/>
    </row>
    <row r="688" spans="1:12" x14ac:dyDescent="0.3">
      <c r="A688" t="s">
        <v>530</v>
      </c>
      <c r="B688" s="20" t="s">
        <v>166</v>
      </c>
      <c r="C688" s="20" t="s">
        <v>167</v>
      </c>
      <c r="D688" s="20" t="s">
        <v>158</v>
      </c>
      <c r="E688" s="21" t="s">
        <v>636</v>
      </c>
      <c r="F688" s="22" t="str">
        <f>IF(OR(E688="",E688="!!!"),"",IF(NOT(ISNA(VLOOKUP(E688,E$1:E687,1,FALSE()))),"OLD",IF(AND(E688&lt;&gt;"",E688&lt;&gt;"!!!"),"NEW","")))</f>
        <v>NEW</v>
      </c>
      <c r="G688" s="23" t="s">
        <v>643</v>
      </c>
      <c r="H688" s="24" t="str">
        <f t="shared" ca="1" si="47"/>
        <v/>
      </c>
      <c r="I688" s="25" t="str">
        <f>IF(OR(E688="",E688="!!!",F688="NEW"),"",INDEX(B$2:B687,-1+SUMPRODUCT(MAX(ROW(E$2:E687)*(E688=E$2:E687)))))</f>
        <v/>
      </c>
      <c r="J688" s="25" t="str">
        <f ca="1">IF(OR(E688="",E688="!!!",F688="NEW"),"",COUNTBLANK(OFFSET(A$1,,,SUMPRODUCT(MAX(ROW(E$2:E688)*(E688=E$2:E688)))))-COUNTBLANK(OFFSET(A$1,,,SUMPRODUCT(MAX(ROW(E$1:E687)*(E2=E$1:E687))))))</f>
        <v/>
      </c>
      <c r="K688" s="25" t="str">
        <f>IF(OR(E688="",E688="!!!",F688="NEW"),"",INDEX(J$1:J687,SUMPRODUCT(MAX(ROW(E$1:E687)*(E688=E$1:E687)))))</f>
        <v/>
      </c>
      <c r="L688" s="26"/>
    </row>
    <row r="689" spans="1:12" x14ac:dyDescent="0.3">
      <c r="A689" t="s">
        <v>227</v>
      </c>
      <c r="E689" s="21" t="str">
        <f t="shared" si="46"/>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ca="1" si="47"/>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531</v>
      </c>
      <c r="E690" s="21" t="str">
        <f t="shared" si="46"/>
        <v/>
      </c>
      <c r="F690" s="22" t="str">
        <f>IF(OR(E690="",E690="!!!"),"",IF(NOT(ISNA(VLOOKUP(E690,E$1:E689,1,FALSE()))),"OLD",IF(AND(E690&lt;&gt;"",E690&lt;&gt;"!!!"),"NEW","")))</f>
        <v/>
      </c>
      <c r="G690" s="23" t="str">
        <f>IF(OR(E690="",E690="!!!"),"",IF(OR(J690=0,AND(J690=1,K690=1),AND(J690=1,I690="SBJ"),AND(J690=1,I690=0)),"?IN_FOCUS",IF(J690&lt;=2,"?ACTIVATED",IF(J690&lt;&gt;"","?FAMILIAR",IF(F690="NEW",IF(ISNA(VLOOKUP(E690,#REF!,1,FALSE())),"?TYPE_IDENTIFIABLE","?REFERENTIAL"),"_")))))</f>
        <v/>
      </c>
      <c r="H690" s="24" t="str">
        <f t="shared" ca="1" si="47"/>
        <v/>
      </c>
      <c r="I690" s="25" t="str">
        <f>IF(OR(E690="",E690="!!!",F690="NEW"),"",INDEX(B$2:B689,-1+SUMPRODUCT(MAX(ROW(E$2:E689)*(E690=E$2:E689)))))</f>
        <v/>
      </c>
      <c r="J690" s="25" t="str">
        <f ca="1">IF(OR(E690="",E690="!!!",F690="NEW"),"",COUNTBLANK(OFFSET(A$1,,,SUMPRODUCT(MAX(ROW(E$2:E690)*(E690=E$2:E690)))))-COUNTBLANK(OFFSET(A$1,,,SUMPRODUCT(MAX(ROW(E$1:E689)*(E2=E$1:E689))))))</f>
        <v/>
      </c>
      <c r="K690" s="25" t="str">
        <f>IF(OR(E690="",E690="!!!",F690="NEW"),"",INDEX(J$1:J689,SUMPRODUCT(MAX(ROW(E$1:E689)*(E690=E$1:E689)))))</f>
        <v/>
      </c>
      <c r="L690" s="26"/>
    </row>
    <row r="691" spans="1:12" x14ac:dyDescent="0.3">
      <c r="A691" t="s">
        <v>532</v>
      </c>
      <c r="B691" s="20" t="s">
        <v>166</v>
      </c>
      <c r="C691" s="20" t="s">
        <v>231</v>
      </c>
      <c r="E691" s="21" t="str">
        <f t="shared" si="46"/>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47"/>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272</v>
      </c>
      <c r="E692" s="21" t="str">
        <f t="shared" si="46"/>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47"/>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303</v>
      </c>
      <c r="E693" s="21" t="str">
        <f t="shared" si="46"/>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47"/>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284</v>
      </c>
      <c r="B694" s="20" t="s">
        <v>278</v>
      </c>
      <c r="C694" s="20" t="s">
        <v>286</v>
      </c>
      <c r="D694" s="20" t="s">
        <v>158</v>
      </c>
      <c r="E694" s="21" t="s">
        <v>586</v>
      </c>
      <c r="F694" s="22" t="str">
        <f>IF(OR(E694="",E694="!!!"),"",IF(NOT(ISNA(VLOOKUP(E694,E$1:E693,1,FALSE()))),"OLD",IF(AND(E694&lt;&gt;"",E694&lt;&gt;"!!!"),"NEW","")))</f>
        <v>OLD</v>
      </c>
      <c r="G694" s="23" t="s">
        <v>642</v>
      </c>
      <c r="H694" s="24" t="str">
        <f t="shared" ca="1" si="47"/>
        <v/>
      </c>
      <c r="I694" s="25" t="str">
        <f>IF(OR(E694="",E694="!!!",F694="NEW"),"",INDEX(B$2:B693,-1+SUMPRODUCT(MAX(ROW(E$2:E693)*(E694=E$2:E693)))))</f>
        <v>other_2</v>
      </c>
      <c r="J694" s="25">
        <f ca="1">IF(OR(E694="",E694="!!!",F694="NEW"),"",COUNTBLANK(OFFSET(A$1,,,SUMPRODUCT(MAX(ROW(E$2:E694)*(E694=E$2:E694)))))-COUNTBLANK(OFFSET(A$1,,,SUMPRODUCT(MAX(ROW(E$1:E693)*(E2=E$1:E693))))))</f>
        <v>0</v>
      </c>
      <c r="K694" s="25">
        <f ca="1">IF(OR(E694="",E694="!!!",F694="NEW"),"",INDEX(J$1:J693,SUMPRODUCT(MAX(ROW(E$1:E693)*(E694=E$1:E693)))))</f>
        <v>0</v>
      </c>
      <c r="L694" s="26"/>
    </row>
    <row r="695" spans="1:12" x14ac:dyDescent="0.3">
      <c r="A695" t="s">
        <v>533</v>
      </c>
      <c r="E695" s="21" t="str">
        <f t="shared" si="46"/>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47"/>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173</v>
      </c>
      <c r="E696" s="21" t="str">
        <f t="shared" si="46"/>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47"/>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534</v>
      </c>
      <c r="E697" s="21" t="str">
        <f t="shared" si="46"/>
        <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47"/>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535</v>
      </c>
      <c r="B698" s="20" t="s">
        <v>248</v>
      </c>
      <c r="C698" s="20" t="s">
        <v>167</v>
      </c>
      <c r="D698" s="20" t="s">
        <v>158</v>
      </c>
      <c r="E698" s="21" t="s">
        <v>637</v>
      </c>
      <c r="F698" s="22" t="str">
        <f>IF(OR(E698="",E698="!!!"),"",IF(NOT(ISNA(VLOOKUP(E698,E$1:E697,1,FALSE()))),"OLD",IF(AND(E698&lt;&gt;"",E698&lt;&gt;"!!!"),"NEW","")))</f>
        <v>NEW</v>
      </c>
      <c r="G698" s="23" t="s">
        <v>643</v>
      </c>
      <c r="H698" s="24" t="str">
        <f t="shared" ca="1" si="47"/>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536</v>
      </c>
      <c r="E699" s="21" t="str">
        <f t="shared" si="46"/>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47"/>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272</v>
      </c>
      <c r="E700" s="21" t="str">
        <f t="shared" si="46"/>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47"/>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537</v>
      </c>
      <c r="E701" s="21" t="str">
        <f t="shared" si="46"/>
        <v/>
      </c>
      <c r="F701" s="22" t="str">
        <f>IF(OR(E701="",E701="!!!"),"",IF(NOT(ISNA(VLOOKUP(E701,E$1:E700,1,FALSE()))),"OLD",IF(AND(E701&lt;&gt;"",E701&lt;&gt;"!!!"),"NEW","")))</f>
        <v/>
      </c>
      <c r="G701" s="23" t="str">
        <f>IF(OR(E701="",E701="!!!"),"",IF(OR(J701=0,AND(J701=1,K701=1),AND(J701=1,I701="SBJ"),AND(J701=1,I701=0)),"?IN_FOCUS",IF(J701&lt;=2,"?ACTIVATED",IF(J701&lt;&gt;"","?FAMILIAR",IF(F701="NEW",IF(ISNA(VLOOKUP(E701,#REF!,1,FALSE())),"?TYPE_IDENTIFIABLE","?REFERENTIAL"),"_")))))</f>
        <v/>
      </c>
      <c r="H701" s="24" t="str">
        <f t="shared" ca="1" si="47"/>
        <v/>
      </c>
      <c r="I701" s="25" t="str">
        <f>IF(OR(E701="",E701="!!!",F701="NEW"),"",INDEX(B$2:B700,-1+SUMPRODUCT(MAX(ROW(E$2:E700)*(E701=E$2:E700)))))</f>
        <v/>
      </c>
      <c r="J701" s="25" t="str">
        <f ca="1">IF(OR(E701="",E701="!!!",F701="NEW"),"",COUNTBLANK(OFFSET(A$1,,,SUMPRODUCT(MAX(ROW(E$2:E701)*(E701=E$2:E701)))))-COUNTBLANK(OFFSET(A$1,,,SUMPRODUCT(MAX(ROW(E$1:E700)*(E2=E$1:E700))))))</f>
        <v/>
      </c>
      <c r="K701" s="25" t="str">
        <f>IF(OR(E701="",E701="!!!",F701="NEW"),"",INDEX(J$1:J700,SUMPRODUCT(MAX(ROW(E$1:E700)*(E701=E$1:E700)))))</f>
        <v/>
      </c>
      <c r="L701" s="26"/>
    </row>
    <row r="702" spans="1:12" x14ac:dyDescent="0.3">
      <c r="A702" t="s">
        <v>216</v>
      </c>
      <c r="E702" s="21" t="str">
        <f t="shared" si="46"/>
        <v/>
      </c>
      <c r="F702" s="22" t="str">
        <f>IF(OR(E702="",E702="!!!"),"",IF(NOT(ISNA(VLOOKUP(E702,E$1:E701,1,FALSE()))),"OLD",IF(AND(E702&lt;&gt;"",E702&lt;&gt;"!!!"),"NEW","")))</f>
        <v/>
      </c>
      <c r="G702" s="23" t="str">
        <f>IF(OR(E702="",E702="!!!"),"",IF(OR(J702=0,AND(J702=1,K702=1),AND(J702=1,I702="SBJ"),AND(J702=1,I702=0)),"?IN_FOCUS",IF(J702&lt;=2,"?ACTIVATED",IF(J702&lt;&gt;"","?FAMILIAR",IF(F702="NEW",IF(ISNA(VLOOKUP(E702,#REF!,1,FALSE())),"?TYPE_IDENTIFIABLE","?REFERENTIAL"),"_")))))</f>
        <v/>
      </c>
      <c r="H702" s="24" t="str">
        <f t="shared" ca="1" si="47"/>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538</v>
      </c>
      <c r="B703" s="20" t="s">
        <v>330</v>
      </c>
      <c r="C703" s="20" t="s">
        <v>167</v>
      </c>
      <c r="D703" s="20" t="s">
        <v>158</v>
      </c>
      <c r="E703" s="21" t="s">
        <v>637</v>
      </c>
      <c r="F703" s="22" t="str">
        <f>IF(OR(E703="",E703="!!!"),"",IF(NOT(ISNA(VLOOKUP(E703,E$1:E702,1,FALSE()))),"OLD",IF(AND(E703&lt;&gt;"",E703&lt;&gt;"!!!"),"NEW","")))</f>
        <v>OLD</v>
      </c>
      <c r="G703" s="23" t="s">
        <v>642</v>
      </c>
      <c r="H703" s="24" t="str">
        <f t="shared" ca="1" si="47"/>
        <v/>
      </c>
      <c r="I703" s="25" t="str">
        <f>IF(OR(E703="",E703="!!!",F703="NEW"),"",INDEX(B$2:B702,-1+SUMPRODUCT(MAX(ROW(E$2:E702)*(E703=E$2:E702)))))</f>
        <v>other_2</v>
      </c>
      <c r="J703" s="25">
        <f ca="1">IF(OR(E703="",E703="!!!",F703="NEW"),"",COUNTBLANK(OFFSET(A$1,,,SUMPRODUCT(MAX(ROW(E$2:E703)*(E703=E$2:E703)))))-COUNTBLANK(OFFSET(A$1,,,SUMPRODUCT(MAX(ROW(E$1:E702)*(E2=E$1:E702))))))</f>
        <v>0</v>
      </c>
      <c r="K703" s="25" t="str">
        <f ca="1">IF(OR(E703="",E703="!!!",F703="NEW"),"",INDEX(J$1:J702,SUMPRODUCT(MAX(ROW(E$1:E702)*(E703=E$1:E702)))))</f>
        <v/>
      </c>
      <c r="L703" s="26"/>
    </row>
    <row r="704" spans="1:12" x14ac:dyDescent="0.3">
      <c r="A704" t="s">
        <v>163</v>
      </c>
      <c r="E704" s="21" t="str">
        <f t="shared" si="46"/>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47"/>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501</v>
      </c>
      <c r="E705" s="21" t="str">
        <f t="shared" si="46"/>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47"/>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539</v>
      </c>
      <c r="B706" s="20" t="s">
        <v>223</v>
      </c>
      <c r="C706" s="20" t="s">
        <v>280</v>
      </c>
      <c r="E706" s="21" t="str">
        <f t="shared" si="46"/>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47"/>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210</v>
      </c>
      <c r="E707" s="21" t="str">
        <f t="shared" si="46"/>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47"/>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256</v>
      </c>
      <c r="B708" s="20" t="s">
        <v>226</v>
      </c>
      <c r="C708" s="20" t="s">
        <v>157</v>
      </c>
      <c r="D708" s="20" t="s">
        <v>158</v>
      </c>
      <c r="E708" s="21" t="s">
        <v>585</v>
      </c>
      <c r="F708" s="22" t="str">
        <f>IF(OR(E708="",E708="!!!"),"",IF(NOT(ISNA(VLOOKUP(E708,E$1:E707,1,FALSE()))),"OLD",IF(AND(E708&lt;&gt;"",E708&lt;&gt;"!!!"),"NEW","")))</f>
        <v>OLD</v>
      </c>
      <c r="G708" s="23" t="s">
        <v>641</v>
      </c>
      <c r="H708" s="24" t="str">
        <f t="shared" ca="1" si="47"/>
        <v/>
      </c>
      <c r="I708" s="25" t="str">
        <f>IF(OR(E708="",E708="!!!",F708="NEW"),"",INDEX(B$2:B707,-1+SUMPRODUCT(MAX(ROW(E$2:E707)*(E708=E$2:E707)))))</f>
        <v>SBJ</v>
      </c>
      <c r="J708" s="25">
        <f ca="1">IF(OR(E708="",E708="!!!",F708="NEW"),"",COUNTBLANK(OFFSET(A$1,,,SUMPRODUCT(MAX(ROW(E$2:E708)*(E708=E$2:E708)))))-COUNTBLANK(OFFSET(A$1,,,SUMPRODUCT(MAX(ROW(E$1:E707)*(E2=E$1:E707))))))</f>
        <v>0</v>
      </c>
      <c r="K708" s="25">
        <f ca="1">IF(OR(E708="",E708="!!!",F708="NEW"),"",INDEX(J$1:J707,SUMPRODUCT(MAX(ROW(E$1:E707)*(E708=E$1:E707)))))</f>
        <v>0</v>
      </c>
      <c r="L708" s="26"/>
    </row>
    <row r="709" spans="1:12" x14ac:dyDescent="0.3">
      <c r="A709" t="s">
        <v>377</v>
      </c>
      <c r="E709" s="21" t="str">
        <f t="shared" si="46"/>
        <v/>
      </c>
      <c r="F709" s="22" t="str">
        <f>IF(OR(E709="",E709="!!!"),"",IF(NOT(ISNA(VLOOKUP(E709,E$1:E708,1,FALSE()))),"OLD",IF(AND(E709&lt;&gt;"",E709&lt;&gt;"!!!"),"NEW","")))</f>
        <v/>
      </c>
      <c r="G709" s="23" t="str">
        <f>IF(OR(E709="",E709="!!!"),"",IF(OR(J709=0,AND(J709=1,K709=1),AND(J709=1,I709="SBJ"),AND(J709=1,I709=0)),"?IN_FOCUS",IF(J709&lt;=2,"?ACTIVATED",IF(J709&lt;&gt;"","?FAMILIAR",IF(F709="NEW",IF(ISNA(VLOOKUP(E709,#REF!,1,FALSE())),"?TYPE_IDENTIFIABLE","?REFERENTIAL"),"_")))))</f>
        <v/>
      </c>
      <c r="H709" s="24" t="str">
        <f t="shared" ca="1" si="47"/>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175</v>
      </c>
      <c r="E710" s="21" t="str">
        <f t="shared" si="46"/>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47"/>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2" spans="1:12" x14ac:dyDescent="0.3">
      <c r="A712" t="s">
        <v>237</v>
      </c>
      <c r="E712" s="21" t="str">
        <f>IF(D712="?OLD","!!!","")</f>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ca="1">IF(J712&lt;&gt;1,"",IF(I712="SBJ","CB","?"))</f>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540</v>
      </c>
    </row>
    <row r="714" spans="1:12" x14ac:dyDescent="0.3">
      <c r="A714" t="s">
        <v>451</v>
      </c>
      <c r="B714" s="20" t="s">
        <v>248</v>
      </c>
      <c r="C714" s="20" t="s">
        <v>313</v>
      </c>
      <c r="D714" s="20" t="s">
        <v>158</v>
      </c>
      <c r="E714" s="21"/>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ref="H714:H735" ca="1" si="48">IF(J714&lt;&gt;1,"",IF(I714="SBJ","CB","?"))</f>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t="s">
        <v>589</v>
      </c>
    </row>
    <row r="715" spans="1:12" x14ac:dyDescent="0.3">
      <c r="A715" t="s">
        <v>530</v>
      </c>
      <c r="B715" s="20" t="s">
        <v>166</v>
      </c>
      <c r="C715" s="20" t="s">
        <v>315</v>
      </c>
      <c r="D715" s="20" t="s">
        <v>158</v>
      </c>
      <c r="E715" s="21" t="s">
        <v>596</v>
      </c>
      <c r="F715" s="22" t="str">
        <f>IF(OR(E715="",E715="!!!"),"",IF(NOT(ISNA(VLOOKUP(E715,E$1:E714,1,FALSE()))),"OLD",IF(AND(E715&lt;&gt;"",E715&lt;&gt;"!!!"),"NEW","")))</f>
        <v>OLD</v>
      </c>
      <c r="G715" s="23" t="s">
        <v>641</v>
      </c>
      <c r="H715" s="24" t="str">
        <f t="shared" ca="1" si="48"/>
        <v/>
      </c>
      <c r="I715" s="25" t="str">
        <f>IF(OR(E715="",E715="!!!",F715="NEW"),"",INDEX(B$2:B714,-1+SUMPRODUCT(MAX(ROW(E$2:E714)*(E715=E$2:E714)))))</f>
        <v>other_6</v>
      </c>
      <c r="J715" s="25">
        <f ca="1">IF(OR(E715="",E715="!!!",F715="NEW"),"",COUNTBLANK(OFFSET(A$1,,,SUMPRODUCT(MAX(ROW(E$2:E715)*(E715=E$2:E715)))))-COUNTBLANK(OFFSET(A$1,,,SUMPRODUCT(MAX(ROW(E$1:E714)*(E2=E$1:E714))))))</f>
        <v>0</v>
      </c>
      <c r="K715" s="25">
        <f ca="1">IF(OR(E715="",E715="!!!",F715="NEW"),"",INDEX(J$1:J714,SUMPRODUCT(MAX(ROW(E$1:E714)*(E715=E$1:E714)))))</f>
        <v>0</v>
      </c>
      <c r="L715" s="26"/>
    </row>
    <row r="716" spans="1:12" x14ac:dyDescent="0.3">
      <c r="A716" t="s">
        <v>541</v>
      </c>
      <c r="E716" s="21" t="str">
        <f t="shared" ref="E716:E735" si="49">IF(D716="?OLD","!!!","")</f>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48"/>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216</v>
      </c>
      <c r="E717" s="21" t="str">
        <f t="shared" si="49"/>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48"/>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95</v>
      </c>
      <c r="E718" s="21" t="str">
        <f t="shared" si="49"/>
        <v/>
      </c>
      <c r="F718" s="22" t="str">
        <f>IF(OR(E718="",E718="!!!"),"",IF(NOT(ISNA(VLOOKUP(E718,E$1:E717,1,FALSE()))),"OLD",IF(AND(E718&lt;&gt;"",E718&lt;&gt;"!!!"),"NEW","")))</f>
        <v/>
      </c>
      <c r="G718" s="23" t="str">
        <f>IF(OR(E718="",E718="!!!"),"",IF(OR(J718=0,AND(J718=1,K718=1),AND(J718=1,I718="SBJ"),AND(J718=1,I718=0)),"?IN_FOCUS",IF(J718&lt;=2,"?ACTIVATED",IF(J718&lt;&gt;"","?FAMILIAR",IF(F718="NEW",IF(ISNA(VLOOKUP(E718,#REF!,1,FALSE())),"?TYPE_IDENTIFIABLE","?REFERENTIAL"),"_")))))</f>
        <v/>
      </c>
      <c r="H718" s="24" t="str">
        <f t="shared" ca="1" si="48"/>
        <v/>
      </c>
      <c r="I718" s="25" t="str">
        <f>IF(OR(E718="",E718="!!!",F718="NEW"),"",INDEX(B$2:B717,-1+SUMPRODUCT(MAX(ROW(E$2:E717)*(E718=E$2:E717)))))</f>
        <v/>
      </c>
      <c r="J718" s="25" t="str">
        <f ca="1">IF(OR(E718="",E718="!!!",F718="NEW"),"",COUNTBLANK(OFFSET(A$1,,,SUMPRODUCT(MAX(ROW(E$2:E718)*(E718=E$2:E718)))))-COUNTBLANK(OFFSET(A$1,,,SUMPRODUCT(MAX(ROW(E$1:E717)*(E2=E$1:E717))))))</f>
        <v/>
      </c>
      <c r="K718" s="25" t="str">
        <f>IF(OR(E718="",E718="!!!",F718="NEW"),"",INDEX(J$1:J717,SUMPRODUCT(MAX(ROW(E$1:E717)*(E718=E$1:E717)))))</f>
        <v/>
      </c>
      <c r="L718" s="26"/>
    </row>
    <row r="719" spans="1:12" x14ac:dyDescent="0.3">
      <c r="A719" t="s">
        <v>12</v>
      </c>
      <c r="E719" s="21" t="str">
        <f t="shared" si="49"/>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48"/>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0" spans="1:12" x14ac:dyDescent="0.3">
      <c r="A720" t="s">
        <v>206</v>
      </c>
      <c r="E720" s="21" t="str">
        <f t="shared" si="49"/>
        <v/>
      </c>
      <c r="F720" s="22" t="str">
        <f>IF(OR(E720="",E720="!!!"),"",IF(NOT(ISNA(VLOOKUP(E720,E$1:E719,1,FALSE()))),"OLD",IF(AND(E720&lt;&gt;"",E720&lt;&gt;"!!!"),"NEW","")))</f>
        <v/>
      </c>
      <c r="G720" s="23" t="str">
        <f>IF(OR(E720="",E720="!!!"),"",IF(OR(J720=0,AND(J720=1,K720=1),AND(J720=1,I720="SBJ"),AND(J720=1,I720=0)),"?IN_FOCUS",IF(J720&lt;=2,"?ACTIVATED",IF(J720&lt;&gt;"","?FAMILIAR",IF(F720="NEW",IF(ISNA(VLOOKUP(E720,#REF!,1,FALSE())),"?TYPE_IDENTIFIABLE","?REFERENTIAL"),"_")))))</f>
        <v/>
      </c>
      <c r="H720" s="24" t="str">
        <f t="shared" ca="1" si="48"/>
        <v/>
      </c>
      <c r="I720" s="25" t="str">
        <f>IF(OR(E720="",E720="!!!",F720="NEW"),"",INDEX(B$2:B719,-1+SUMPRODUCT(MAX(ROW(E$2:E719)*(E720=E$2:E719)))))</f>
        <v/>
      </c>
      <c r="J720" s="25" t="str">
        <f ca="1">IF(OR(E720="",E720="!!!",F720="NEW"),"",COUNTBLANK(OFFSET(A$1,,,SUMPRODUCT(MAX(ROW(E$2:E720)*(E720=E$2:E720)))))-COUNTBLANK(OFFSET(A$1,,,SUMPRODUCT(MAX(ROW(E$1:E719)*(E2=E$1:E719))))))</f>
        <v/>
      </c>
      <c r="K720" s="25" t="str">
        <f>IF(OR(E720="",E720="!!!",F720="NEW"),"",INDEX(J$1:J719,SUMPRODUCT(MAX(ROW(E$1:E719)*(E720=E$1:E719)))))</f>
        <v/>
      </c>
      <c r="L720" s="26"/>
    </row>
    <row r="721" spans="1:12" x14ac:dyDescent="0.3">
      <c r="A721" t="s">
        <v>542</v>
      </c>
      <c r="B721" s="20" t="s">
        <v>156</v>
      </c>
      <c r="C721" s="20" t="s">
        <v>167</v>
      </c>
      <c r="D721" s="20" t="s">
        <v>158</v>
      </c>
      <c r="E721" s="21" t="s">
        <v>586</v>
      </c>
      <c r="F721" s="22" t="str">
        <f>IF(OR(E721="",E721="!!!"),"",IF(NOT(ISNA(VLOOKUP(E721,E$1:E720,1,FALSE()))),"OLD",IF(AND(E721&lt;&gt;"",E721&lt;&gt;"!!!"),"NEW","")))</f>
        <v>OLD</v>
      </c>
      <c r="G721" s="23" t="s">
        <v>642</v>
      </c>
      <c r="H721" s="24" t="s">
        <v>150</v>
      </c>
      <c r="I721" s="25" t="str">
        <f>IF(OR(E721="",E721="!!!",F721="NEW"),"",INDEX(B$2:B720,-1+SUMPRODUCT(MAX(ROW(E$2:E720)*(E721=E$2:E720)))))</f>
        <v>SBJ_2</v>
      </c>
      <c r="J721" s="25">
        <f ca="1">IF(OR(E721="",E721="!!!",F721="NEW"),"",COUNTBLANK(OFFSET(A$1,,,SUMPRODUCT(MAX(ROW(E$2:E721)*(E721=E$2:E721)))))-COUNTBLANK(OFFSET(A$1,,,SUMPRODUCT(MAX(ROW(E$1:E720)*(E2=E$1:E720))))))</f>
        <v>0</v>
      </c>
      <c r="K721" s="25">
        <f ca="1">IF(OR(E721="",E721="!!!",F721="NEW"),"",INDEX(J$1:J720,SUMPRODUCT(MAX(ROW(E$1:E720)*(E721=E$1:E720)))))</f>
        <v>0</v>
      </c>
      <c r="L721" s="26"/>
    </row>
    <row r="722" spans="1:12" x14ac:dyDescent="0.3">
      <c r="A722" t="s">
        <v>272</v>
      </c>
      <c r="E722" s="21" t="str">
        <f t="shared" si="49"/>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ca="1" si="48"/>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216</v>
      </c>
      <c r="B723" s="20" t="s">
        <v>330</v>
      </c>
      <c r="E723" s="21" t="str">
        <f t="shared" si="49"/>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48"/>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241</v>
      </c>
      <c r="E724" s="21" t="str">
        <f t="shared" si="49"/>
        <v/>
      </c>
      <c r="F724" s="22" t="str">
        <f>IF(OR(E724="",E724="!!!"),"",IF(NOT(ISNA(VLOOKUP(E724,E$1:E723,1,FALSE()))),"OLD",IF(AND(E724&lt;&gt;"",E724&lt;&gt;"!!!"),"NEW","")))</f>
        <v/>
      </c>
      <c r="G724" s="23" t="str">
        <f>IF(OR(E724="",E724="!!!"),"",IF(OR(J724=0,AND(J724=1,K724=1),AND(J724=1,I724="SBJ"),AND(J724=1,I724=0)),"?IN_FOCUS",IF(J724&lt;=2,"?ACTIVATED",IF(J724&lt;&gt;"","?FAMILIAR",IF(F724="NEW",IF(ISNA(VLOOKUP(E724,#REF!,1,FALSE())),"?TYPE_IDENTIFIABLE","?REFERENTIAL"),"_")))))</f>
        <v/>
      </c>
      <c r="H724" s="24" t="str">
        <f t="shared" ca="1" si="48"/>
        <v/>
      </c>
      <c r="I724" s="25" t="str">
        <f>IF(OR(E724="",E724="!!!",F724="NEW"),"",INDEX(B$2:B723,-1+SUMPRODUCT(MAX(ROW(E$2:E723)*(E724=E$2:E723)))))</f>
        <v/>
      </c>
      <c r="J724" s="25" t="str">
        <f ca="1">IF(OR(E724="",E724="!!!",F724="NEW"),"",COUNTBLANK(OFFSET(A$1,,,SUMPRODUCT(MAX(ROW(E$2:E724)*(E724=E$2:E724)))))-COUNTBLANK(OFFSET(A$1,,,SUMPRODUCT(MAX(ROW(E$1:E723)*(E2=E$1:E723))))))</f>
        <v/>
      </c>
      <c r="K724" s="25" t="str">
        <f>IF(OR(E724="",E724="!!!",F724="NEW"),"",INDEX(J$1:J723,SUMPRODUCT(MAX(ROW(E$1:E723)*(E724=E$1:E723)))))</f>
        <v/>
      </c>
      <c r="L724" s="26"/>
    </row>
    <row r="725" spans="1:12" x14ac:dyDescent="0.3">
      <c r="A725" t="s">
        <v>173</v>
      </c>
      <c r="E725" s="21" t="str">
        <f t="shared" si="49"/>
        <v/>
      </c>
      <c r="F725" s="22" t="str">
        <f>IF(OR(E725="",E725="!!!"),"",IF(NOT(ISNA(VLOOKUP(E725,E$1:E724,1,FALSE()))),"OLD",IF(AND(E725&lt;&gt;"",E725&lt;&gt;"!!!"),"NEW","")))</f>
        <v/>
      </c>
      <c r="G725" s="23" t="str">
        <f>IF(OR(E725="",E725="!!!"),"",IF(OR(J725=0,AND(J725=1,K725=1),AND(J725=1,I725="SBJ"),AND(J725=1,I725=0)),"?IN_FOCUS",IF(J725&lt;=2,"?ACTIVATED",IF(J725&lt;&gt;"","?FAMILIAR",IF(F725="NEW",IF(ISNA(VLOOKUP(E725,#REF!,1,FALSE())),"?TYPE_IDENTIFIABLE","?REFERENTIAL"),"_")))))</f>
        <v/>
      </c>
      <c r="H725" s="24" t="str">
        <f t="shared" ca="1" si="48"/>
        <v/>
      </c>
      <c r="I725" s="25" t="str">
        <f>IF(OR(E725="",E725="!!!",F725="NEW"),"",INDEX(B$2:B724,-1+SUMPRODUCT(MAX(ROW(E$2:E724)*(E725=E$2:E724)))))</f>
        <v/>
      </c>
      <c r="J725" s="25" t="str">
        <f ca="1">IF(OR(E725="",E725="!!!",F725="NEW"),"",COUNTBLANK(OFFSET(A$1,,,SUMPRODUCT(MAX(ROW(E$2:E725)*(E725=E$2:E725)))))-COUNTBLANK(OFFSET(A$1,,,SUMPRODUCT(MAX(ROW(E$1:E724)*(E2=E$1:E724))))))</f>
        <v/>
      </c>
      <c r="K725" s="25" t="str">
        <f>IF(OR(E725="",E725="!!!",F725="NEW"),"",INDEX(J$1:J724,SUMPRODUCT(MAX(ROW(E$1:E724)*(E725=E$1:E724)))))</f>
        <v/>
      </c>
      <c r="L725" s="26"/>
    </row>
    <row r="726" spans="1:12" x14ac:dyDescent="0.3">
      <c r="A726" t="s">
        <v>543</v>
      </c>
      <c r="B726" s="20" t="s">
        <v>223</v>
      </c>
      <c r="C726" s="20" t="s">
        <v>167</v>
      </c>
      <c r="D726" s="20" t="s">
        <v>158</v>
      </c>
      <c r="E726" s="21" t="s">
        <v>611</v>
      </c>
      <c r="F726" s="22" t="str">
        <f>IF(OR(E726="",E726="!!!"),"",IF(NOT(ISNA(VLOOKUP(E726,E$1:E725,1,FALSE()))),"OLD",IF(AND(E726&lt;&gt;"",E726&lt;&gt;"!!!"),"NEW","")))</f>
        <v>NEW</v>
      </c>
      <c r="G726" s="23" t="s">
        <v>641</v>
      </c>
      <c r="H726" s="24" t="str">
        <f t="shared" ca="1" si="48"/>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246</v>
      </c>
      <c r="E727" s="21" t="str">
        <f t="shared" si="49"/>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48"/>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544</v>
      </c>
      <c r="B728" s="20" t="s">
        <v>226</v>
      </c>
      <c r="C728" s="20" t="s">
        <v>157</v>
      </c>
      <c r="D728" s="20" t="s">
        <v>158</v>
      </c>
      <c r="E728" s="21"/>
      <c r="F728" s="22" t="s">
        <v>584</v>
      </c>
      <c r="G728" s="23" t="str">
        <f>IF(OR(E728="",E728="!!!"),"",IF(OR(J728=0,AND(J728=1,K728=1),AND(J728=1,I728="SBJ"),AND(J728=1,I728=0)),"?IN_FOCUS",IF(J728&lt;=2,"?ACTIVATED",IF(J728&lt;&gt;"","?FAMILIAR",IF(F728="NEW",IF(ISNA(VLOOKUP(E728,#REF!,1,FALSE())),"?TYPE_IDENTIFIABLE","?REFERENTIAL"),"_")))))</f>
        <v/>
      </c>
      <c r="H728" s="24" t="str">
        <f t="shared" ca="1" si="48"/>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246</v>
      </c>
      <c r="E729" s="21" t="str">
        <f t="shared" si="49"/>
        <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48"/>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0" spans="1:12" x14ac:dyDescent="0.3">
      <c r="A730" t="s">
        <v>545</v>
      </c>
      <c r="E730" s="21" t="str">
        <f t="shared" si="49"/>
        <v/>
      </c>
      <c r="F730" s="22" t="str">
        <f>IF(OR(E730="",E730="!!!"),"",IF(NOT(ISNA(VLOOKUP(E730,E$1:E729,1,FALSE()))),"OLD",IF(AND(E730&lt;&gt;"",E730&lt;&gt;"!!!"),"NEW","")))</f>
        <v/>
      </c>
      <c r="G730" s="23" t="str">
        <f>IF(OR(E730="",E730="!!!"),"",IF(OR(J730=0,AND(J730=1,K730=1),AND(J730=1,I730="SBJ"),AND(J730=1,I730=0)),"?IN_FOCUS",IF(J730&lt;=2,"?ACTIVATED",IF(J730&lt;&gt;"","?FAMILIAR",IF(F730="NEW",IF(ISNA(VLOOKUP(E730,#REF!,1,FALSE())),"?TYPE_IDENTIFIABLE","?REFERENTIAL"),"_")))))</f>
        <v/>
      </c>
      <c r="H730" s="24" t="str">
        <f t="shared" ca="1" si="48"/>
        <v/>
      </c>
      <c r="I730" s="25" t="str">
        <f>IF(OR(E730="",E730="!!!",F730="NEW"),"",INDEX(B$2:B729,-1+SUMPRODUCT(MAX(ROW(E$2:E729)*(E730=E$2:E729)))))</f>
        <v/>
      </c>
      <c r="J730" s="25" t="str">
        <f ca="1">IF(OR(E730="",E730="!!!",F730="NEW"),"",COUNTBLANK(OFFSET(A$1,,,SUMPRODUCT(MAX(ROW(E$2:E730)*(E730=E$2:E730)))))-COUNTBLANK(OFFSET(A$1,,,SUMPRODUCT(MAX(ROW(E$1:E729)*(E2=E$1:E729))))))</f>
        <v/>
      </c>
      <c r="K730" s="25" t="str">
        <f>IF(OR(E730="",E730="!!!",F730="NEW"),"",INDEX(J$1:J729,SUMPRODUCT(MAX(ROW(E$1:E729)*(E730=E$1:E729)))))</f>
        <v/>
      </c>
      <c r="L730" s="26"/>
    </row>
    <row r="731" spans="1:12" x14ac:dyDescent="0.3">
      <c r="A731" t="s">
        <v>478</v>
      </c>
      <c r="E731" s="21" t="str">
        <f t="shared" si="49"/>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48"/>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272</v>
      </c>
      <c r="E732" s="21" t="str">
        <f t="shared" si="49"/>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48"/>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279</v>
      </c>
      <c r="E733" s="21" t="str">
        <f t="shared" si="49"/>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48"/>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546</v>
      </c>
      <c r="B734" s="20" t="s">
        <v>162</v>
      </c>
      <c r="C734" s="20" t="s">
        <v>280</v>
      </c>
      <c r="E734" s="21" t="str">
        <f t="shared" si="49"/>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48"/>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175</v>
      </c>
      <c r="E735" s="21" t="str">
        <f t="shared" si="49"/>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48"/>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7" spans="1:12" x14ac:dyDescent="0.3">
      <c r="A737" t="s">
        <v>547</v>
      </c>
    </row>
    <row r="738" spans="1:12" x14ac:dyDescent="0.3">
      <c r="A738" t="s">
        <v>548</v>
      </c>
      <c r="E738" s="21" t="str">
        <f t="shared" ref="E738:E757" si="50">IF(D738="?OLD","!!!","")</f>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ref="H738:H757" ca="1" si="51">IF(J738&lt;&gt;1,"",IF(I738="SBJ","CB","?"))</f>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293</v>
      </c>
      <c r="E739" s="21" t="s">
        <v>586</v>
      </c>
      <c r="F739" s="22" t="str">
        <f>IF(OR(E739="",E739="!!!"),"",IF(NOT(ISNA(VLOOKUP(E739,E$1:E738,1,FALSE()))),"OLD",IF(AND(E739&lt;&gt;"",E739&lt;&gt;"!!!"),"NEW","")))</f>
        <v>OLD</v>
      </c>
      <c r="G739" s="23" t="s">
        <v>642</v>
      </c>
      <c r="H739" s="24" t="s">
        <v>150</v>
      </c>
      <c r="I739" s="25" t="str">
        <f>IF(OR(E739="",E739="!!!",F739="NEW"),"",INDEX(B$2:B738,-1+SUMPRODUCT(MAX(ROW(E$2:E738)*(E739=E$2:E738)))))</f>
        <v>SBJ</v>
      </c>
      <c r="J739" s="25">
        <f ca="1">IF(OR(E739="",E739="!!!",F739="NEW"),"",COUNTBLANK(OFFSET(A$1,,,SUMPRODUCT(MAX(ROW(E$2:E739)*(E739=E$2:E739)))))-COUNTBLANK(OFFSET(A$1,,,SUMPRODUCT(MAX(ROW(E$1:E738)*(E2=E$1:E738))))))</f>
        <v>0</v>
      </c>
      <c r="K739" s="25">
        <f ca="1">IF(OR(E739="",E739="!!!",F739="NEW"),"",INDEX(J$1:J738,SUMPRODUCT(MAX(ROW(E$1:E738)*(E739=E$1:E738)))))</f>
        <v>0</v>
      </c>
      <c r="L739" s="26" t="s">
        <v>582</v>
      </c>
    </row>
    <row r="740" spans="1:12" x14ac:dyDescent="0.3">
      <c r="A740" t="s">
        <v>549</v>
      </c>
      <c r="B740" s="20" t="s">
        <v>166</v>
      </c>
      <c r="C740" s="20" t="s">
        <v>290</v>
      </c>
      <c r="E740" s="21" t="s">
        <v>612</v>
      </c>
      <c r="F740" s="22" t="str">
        <f>IF(OR(E740="",E740="!!!"),"",IF(NOT(ISNA(VLOOKUP(E740,E$1:E739,1,FALSE()))),"OLD",IF(AND(E740&lt;&gt;"",E740&lt;&gt;"!!!"),"NEW","")))</f>
        <v>NEW</v>
      </c>
      <c r="G740" s="23" t="s">
        <v>643</v>
      </c>
      <c r="H740" s="24" t="str">
        <f t="shared" ca="1" si="51"/>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550</v>
      </c>
      <c r="E741" s="21" t="str">
        <f t="shared" si="50"/>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51"/>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284</v>
      </c>
      <c r="B742" s="20" t="s">
        <v>156</v>
      </c>
      <c r="C742" s="20" t="s">
        <v>286</v>
      </c>
      <c r="D742" s="20" t="s">
        <v>158</v>
      </c>
      <c r="E742" s="21" t="s">
        <v>586</v>
      </c>
      <c r="F742" s="22" t="str">
        <f>IF(OR(E742="",E742="!!!"),"",IF(NOT(ISNA(VLOOKUP(E742,E$1:E741,1,FALSE()))),"OLD",IF(AND(E742&lt;&gt;"",E742&lt;&gt;"!!!"),"NEW","")))</f>
        <v>OLD</v>
      </c>
      <c r="G742" s="23" t="s">
        <v>642</v>
      </c>
      <c r="H742" s="24" t="str">
        <f t="shared" ca="1" si="51"/>
        <v/>
      </c>
      <c r="I742" s="25">
        <f>IF(OR(E742="",E742="!!!",F742="NEW"),"",INDEX(B$2:B741,-1+SUMPRODUCT(MAX(ROW(E$2:E741)*(E742=E$2:E741)))))</f>
        <v>0</v>
      </c>
      <c r="J742" s="25">
        <f ca="1">IF(OR(E742="",E742="!!!",F742="NEW"),"",COUNTBLANK(OFFSET(A$1,,,SUMPRODUCT(MAX(ROW(E$2:E742)*(E742=E$2:E742)))))-COUNTBLANK(OFFSET(A$1,,,SUMPRODUCT(MAX(ROW(E$1:E741)*(E2=E$1:E741))))))</f>
        <v>0</v>
      </c>
      <c r="K742" s="25">
        <f ca="1">IF(OR(E742="",E742="!!!",F742="NEW"),"",INDEX(J$1:J741,SUMPRODUCT(MAX(ROW(E$1:E741)*(E742=E$1:E741)))))</f>
        <v>0</v>
      </c>
      <c r="L742" s="26"/>
    </row>
    <row r="743" spans="1:12" x14ac:dyDescent="0.3">
      <c r="A743" t="s">
        <v>164</v>
      </c>
      <c r="E743" s="21" t="str">
        <f t="shared" si="50"/>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51"/>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551</v>
      </c>
      <c r="B744" s="20" t="s">
        <v>221</v>
      </c>
      <c r="C744" s="20" t="s">
        <v>167</v>
      </c>
      <c r="D744" s="20" t="s">
        <v>158</v>
      </c>
      <c r="E744" s="21" t="s">
        <v>638</v>
      </c>
      <c r="F744" s="22" t="str">
        <f>IF(OR(E744="",E744="!!!"),"",IF(NOT(ISNA(VLOOKUP(E744,E$1:E743,1,FALSE()))),"OLD",IF(AND(E744&lt;&gt;"",E744&lt;&gt;"!!!"),"NEW","")))</f>
        <v>NEW</v>
      </c>
      <c r="G744" s="23" t="s">
        <v>643</v>
      </c>
      <c r="H744" s="24" t="str">
        <f t="shared" ca="1" si="51"/>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5" spans="1:12" x14ac:dyDescent="0.3">
      <c r="A745" t="s">
        <v>552</v>
      </c>
      <c r="B745" s="20" t="s">
        <v>162</v>
      </c>
      <c r="C745" s="20" t="s">
        <v>170</v>
      </c>
      <c r="E745" s="21" t="str">
        <f t="shared" si="50"/>
        <v/>
      </c>
      <c r="F745" s="22" t="str">
        <f>IF(OR(E745="",E745="!!!"),"",IF(NOT(ISNA(VLOOKUP(E745,E$1:E744,1,FALSE()))),"OLD",IF(AND(E745&lt;&gt;"",E745&lt;&gt;"!!!"),"NEW","")))</f>
        <v/>
      </c>
      <c r="G745" s="23" t="str">
        <f>IF(OR(E745="",E745="!!!"),"",IF(OR(J745=0,AND(J745=1,K745=1),AND(J745=1,I745="SBJ"),AND(J745=1,I745=0)),"?IN_FOCUS",IF(J745&lt;=2,"?ACTIVATED",IF(J745&lt;&gt;"","?FAMILIAR",IF(F745="NEW",IF(ISNA(VLOOKUP(E745,#REF!,1,FALSE())),"?TYPE_IDENTIFIABLE","?REFERENTIAL"),"_")))))</f>
        <v/>
      </c>
      <c r="H745" s="24" t="str">
        <f t="shared" ca="1" si="51"/>
        <v/>
      </c>
      <c r="I745" s="25" t="str">
        <f>IF(OR(E745="",E745="!!!",F745="NEW"),"",INDEX(B$2:B744,-1+SUMPRODUCT(MAX(ROW(E$2:E744)*(E745=E$2:E744)))))</f>
        <v/>
      </c>
      <c r="J745" s="25" t="str">
        <f ca="1">IF(OR(E745="",E745="!!!",F745="NEW"),"",COUNTBLANK(OFFSET(A$1,,,SUMPRODUCT(MAX(ROW(E$2:E745)*(E745=E$2:E745)))))-COUNTBLANK(OFFSET(A$1,,,SUMPRODUCT(MAX(ROW(E$1:E744)*(E2=E$1:E744))))))</f>
        <v/>
      </c>
      <c r="K745" s="25" t="str">
        <f>IF(OR(E745="",E745="!!!",F745="NEW"),"",INDEX(J$1:J744,SUMPRODUCT(MAX(ROW(E$1:E744)*(E745=E$1:E744)))))</f>
        <v/>
      </c>
      <c r="L745" s="26"/>
    </row>
    <row r="746" spans="1:12" x14ac:dyDescent="0.3">
      <c r="A746" t="s">
        <v>212</v>
      </c>
      <c r="E746" s="21" t="str">
        <f t="shared" si="50"/>
        <v/>
      </c>
      <c r="F746" s="22" t="str">
        <f>IF(OR(E746="",E746="!!!"),"",IF(NOT(ISNA(VLOOKUP(E746,E$1:E745,1,FALSE()))),"OLD",IF(AND(E746&lt;&gt;"",E746&lt;&gt;"!!!"),"NEW","")))</f>
        <v/>
      </c>
      <c r="G746" s="23" t="str">
        <f>IF(OR(E746="",E746="!!!"),"",IF(OR(J746=0,AND(J746=1,K746=1),AND(J746=1,I746="SBJ"),AND(J746=1,I746=0)),"?IN_FOCUS",IF(J746&lt;=2,"?ACTIVATED",IF(J746&lt;&gt;"","?FAMILIAR",IF(F746="NEW",IF(ISNA(VLOOKUP(E746,#REF!,1,FALSE())),"?TYPE_IDENTIFIABLE","?REFERENTIAL"),"_")))))</f>
        <v/>
      </c>
      <c r="H746" s="24" t="str">
        <f t="shared" ca="1" si="51"/>
        <v/>
      </c>
      <c r="I746" s="25" t="str">
        <f>IF(OR(E746="",E746="!!!",F746="NEW"),"",INDEX(B$2:B745,-1+SUMPRODUCT(MAX(ROW(E$2:E745)*(E746=E$2:E745)))))</f>
        <v/>
      </c>
      <c r="J746" s="25" t="str">
        <f ca="1">IF(OR(E746="",E746="!!!",F746="NEW"),"",COUNTBLANK(OFFSET(A$1,,,SUMPRODUCT(MAX(ROW(E$2:E746)*(E746=E$2:E746)))))-COUNTBLANK(OFFSET(A$1,,,SUMPRODUCT(MAX(ROW(E$1:E745)*(E2=E$1:E745))))))</f>
        <v/>
      </c>
      <c r="K746" s="25" t="str">
        <f>IF(OR(E746="",E746="!!!",F746="NEW"),"",INDEX(J$1:J745,SUMPRODUCT(MAX(ROW(E$1:E745)*(E746=E$1:E745)))))</f>
        <v/>
      </c>
      <c r="L746" s="26"/>
    </row>
    <row r="747" spans="1:12" x14ac:dyDescent="0.3">
      <c r="A747" t="s">
        <v>272</v>
      </c>
      <c r="E747" s="21" t="str">
        <f t="shared" si="50"/>
        <v/>
      </c>
      <c r="F747" s="22" t="str">
        <f>IF(OR(E747="",E747="!!!"),"",IF(NOT(ISNA(VLOOKUP(E747,E$1:E746,1,FALSE()))),"OLD",IF(AND(E747&lt;&gt;"",E747&lt;&gt;"!!!"),"NEW","")))</f>
        <v/>
      </c>
      <c r="G747" s="23" t="str">
        <f>IF(OR(E747="",E747="!!!"),"",IF(OR(J747=0,AND(J747=1,K747=1),AND(J747=1,I747="SBJ"),AND(J747=1,I747=0)),"?IN_FOCUS",IF(J747&lt;=2,"?ACTIVATED",IF(J747&lt;&gt;"","?FAMILIAR",IF(F747="NEW",IF(ISNA(VLOOKUP(E747,#REF!,1,FALSE())),"?TYPE_IDENTIFIABLE","?REFERENTIAL"),"_")))))</f>
        <v/>
      </c>
      <c r="H747" s="24" t="str">
        <f t="shared" ca="1" si="51"/>
        <v/>
      </c>
      <c r="I747" s="25" t="str">
        <f>IF(OR(E747="",E747="!!!",F747="NEW"),"",INDEX(B$2:B746,-1+SUMPRODUCT(MAX(ROW(E$2:E746)*(E747=E$2:E746)))))</f>
        <v/>
      </c>
      <c r="J747" s="25" t="str">
        <f ca="1">IF(OR(E747="",E747="!!!",F747="NEW"),"",COUNTBLANK(OFFSET(A$1,,,SUMPRODUCT(MAX(ROW(E$2:E747)*(E747=E$2:E747)))))-COUNTBLANK(OFFSET(A$1,,,SUMPRODUCT(MAX(ROW(E$1:E746)*(E2=E$1:E746))))))</f>
        <v/>
      </c>
      <c r="K747" s="25" t="str">
        <f>IF(OR(E747="",E747="!!!",F747="NEW"),"",INDEX(J$1:J746,SUMPRODUCT(MAX(ROW(E$1:E746)*(E747=E$1:E746)))))</f>
        <v/>
      </c>
      <c r="L747" s="26"/>
    </row>
    <row r="748" spans="1:12" x14ac:dyDescent="0.3">
      <c r="A748" t="s">
        <v>553</v>
      </c>
      <c r="E748" s="21" t="str">
        <f t="shared" si="50"/>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51"/>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241</v>
      </c>
      <c r="E749" s="21" t="str">
        <f t="shared" si="50"/>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51"/>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501</v>
      </c>
      <c r="E750" s="21" t="str">
        <f t="shared" si="50"/>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51"/>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554</v>
      </c>
      <c r="B751" s="20" t="s">
        <v>248</v>
      </c>
      <c r="C751" s="20" t="s">
        <v>280</v>
      </c>
      <c r="E751" s="21" t="str">
        <f t="shared" si="50"/>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51"/>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272</v>
      </c>
      <c r="E752" s="21" t="str">
        <f t="shared" si="50"/>
        <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51"/>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183</v>
      </c>
      <c r="B753" s="20" t="s">
        <v>285</v>
      </c>
      <c r="E753" s="21" t="str">
        <f t="shared" si="50"/>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51"/>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555</v>
      </c>
      <c r="E754" s="21" t="str">
        <f t="shared" si="50"/>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51"/>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556</v>
      </c>
      <c r="E755" s="21" t="str">
        <f t="shared" si="50"/>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51"/>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557</v>
      </c>
      <c r="E756" s="21" t="str">
        <f t="shared" si="50"/>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51"/>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175</v>
      </c>
      <c r="E757" s="21" t="str">
        <f t="shared" si="50"/>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51"/>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9" spans="1:12" x14ac:dyDescent="0.3">
      <c r="A759" t="s">
        <v>558</v>
      </c>
    </row>
    <row r="760" spans="1:12" x14ac:dyDescent="0.3">
      <c r="A760" t="s">
        <v>559</v>
      </c>
      <c r="B760" s="20" t="s">
        <v>248</v>
      </c>
      <c r="C760" s="20" t="s">
        <v>286</v>
      </c>
      <c r="D760" s="20" t="s">
        <v>158</v>
      </c>
      <c r="E760" s="21"/>
      <c r="F760" s="22" t="s">
        <v>166</v>
      </c>
      <c r="G760" s="23" t="str">
        <f>IF(OR(E760="",E760="!!!"),"",IF(OR(J760=0,AND(J760=1,K760=1),AND(J760=1,I760="SBJ"),AND(J760=1,I760=0)),"?IN_FOCUS",IF(J760&lt;=2,"?ACTIVATED",IF(J760&lt;&gt;"","?FAMILIAR",IF(F760="NEW",IF(ISNA(VLOOKUP(E760,#REF!,1,FALSE())),"?TYPE_IDENTIFIABLE","?REFERENTIAL"),"_")))))</f>
        <v/>
      </c>
      <c r="H760" s="24" t="str">
        <f t="shared" ref="H760:H782" ca="1" si="52">IF(J760&lt;&gt;1,"",IF(I760="SBJ","CB","?"))</f>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159</v>
      </c>
      <c r="B761" s="20" t="s">
        <v>156</v>
      </c>
      <c r="C761" s="20" t="s">
        <v>182</v>
      </c>
      <c r="E761" s="21" t="s">
        <v>571</v>
      </c>
      <c r="F761" s="22" t="str">
        <f>IF(OR(E761="",E761="!!!"),"",IF(NOT(ISNA(VLOOKUP(E761,E$1:E760,1,FALSE()))),"OLD",IF(AND(E761&lt;&gt;"",E761&lt;&gt;"!!!"),"NEW","")))</f>
        <v>OLD</v>
      </c>
      <c r="G761" s="23" t="s">
        <v>641</v>
      </c>
      <c r="H761" s="24" t="str">
        <f t="shared" ca="1" si="52"/>
        <v/>
      </c>
      <c r="I761" s="25">
        <f>IF(OR(E761="",E761="!!!",F761="NEW"),"",INDEX(B$2:B760,-1+SUMPRODUCT(MAX(ROW(E$2:E760)*(E761=E$2:E760)))))</f>
        <v>0</v>
      </c>
      <c r="J761" s="25">
        <f ca="1">IF(OR(E761="",E761="!!!",F761="NEW"),"",COUNTBLANK(OFFSET(A$1,,,SUMPRODUCT(MAX(ROW(E$2:E761)*(E761=E$2:E761)))))-COUNTBLANK(OFFSET(A$1,,,SUMPRODUCT(MAX(ROW(E$1:E760)*(E2=E$1:E760))))))</f>
        <v>0</v>
      </c>
      <c r="K761" s="25">
        <f ca="1">IF(OR(E761="",E761="!!!",F761="NEW"),"",INDEX(J$1:J760,SUMPRODUCT(MAX(ROW(E$1:E760)*(E761=E$1:E760)))))</f>
        <v>0</v>
      </c>
      <c r="L761" s="26"/>
    </row>
    <row r="762" spans="1:12" x14ac:dyDescent="0.3">
      <c r="A762" t="s">
        <v>560</v>
      </c>
      <c r="E762" s="21" t="str">
        <f t="shared" ref="E762:E782" si="53">IF(D762="?OLD","!!!","")</f>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52"/>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272</v>
      </c>
      <c r="E763" s="21" t="str">
        <f t="shared" si="53"/>
        <v/>
      </c>
      <c r="F763" s="22" t="str">
        <f>IF(OR(E763="",E763="!!!"),"",IF(NOT(ISNA(VLOOKUP(E763,E$1:E762,1,FALSE()))),"OLD",IF(AND(E763&lt;&gt;"",E763&lt;&gt;"!!!"),"NEW","")))</f>
        <v/>
      </c>
      <c r="G763" s="23" t="str">
        <f>IF(OR(E763="",E763="!!!"),"",IF(OR(J763=0,AND(J763=1,K763=1),AND(J763=1,I763="SBJ"),AND(J763=1,I763=0)),"?IN_FOCUS",IF(J763&lt;=2,"?ACTIVATED",IF(J763&lt;&gt;"","?FAMILIAR",IF(F763="NEW",IF(ISNA(VLOOKUP(E763,#REF!,1,FALSE())),"?TYPE_IDENTIFIABLE","?REFERENTIAL"),"_")))))</f>
        <v/>
      </c>
      <c r="H763" s="24" t="str">
        <f t="shared" ca="1" si="52"/>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349</v>
      </c>
      <c r="E764" s="21" t="str">
        <f t="shared" si="53"/>
        <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52"/>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338</v>
      </c>
      <c r="E765" s="21" t="str">
        <f t="shared" si="53"/>
        <v/>
      </c>
      <c r="F765" s="22" t="str">
        <f>IF(OR(E765="",E765="!!!"),"",IF(NOT(ISNA(VLOOKUP(E765,E$1:E764,1,FALSE()))),"OLD",IF(AND(E765&lt;&gt;"",E765&lt;&gt;"!!!"),"NEW","")))</f>
        <v/>
      </c>
      <c r="G765" s="23" t="str">
        <f>IF(OR(E765="",E765="!!!"),"",IF(OR(J765=0,AND(J765=1,K765=1),AND(J765=1,I765="SBJ"),AND(J765=1,I765=0)),"?IN_FOCUS",IF(J765&lt;=2,"?ACTIVATED",IF(J765&lt;&gt;"","?FAMILIAR",IF(F765="NEW",IF(ISNA(VLOOKUP(E765,#REF!,1,FALSE())),"?TYPE_IDENTIFIABLE","?REFERENTIAL"),"_")))))</f>
        <v/>
      </c>
      <c r="H765" s="24" t="str">
        <f t="shared" ca="1" si="52"/>
        <v/>
      </c>
      <c r="I765" s="25" t="str">
        <f>IF(OR(E765="",E765="!!!",F765="NEW"),"",INDEX(B$2:B764,-1+SUMPRODUCT(MAX(ROW(E$2:E764)*(E765=E$2:E764)))))</f>
        <v/>
      </c>
      <c r="J765" s="25" t="str">
        <f ca="1">IF(OR(E765="",E765="!!!",F765="NEW"),"",COUNTBLANK(OFFSET(A$1,,,SUMPRODUCT(MAX(ROW(E$2:E765)*(E765=E$2:E765)))))-COUNTBLANK(OFFSET(A$1,,,SUMPRODUCT(MAX(ROW(E$1:E764)*(E2=E$1:E764))))))</f>
        <v/>
      </c>
      <c r="K765" s="25" t="str">
        <f>IF(OR(E765="",E765="!!!",F765="NEW"),"",INDEX(J$1:J764,SUMPRODUCT(MAX(ROW(E$1:E764)*(E765=E$1:E764)))))</f>
        <v/>
      </c>
      <c r="L765" s="26"/>
    </row>
    <row r="766" spans="1:12" x14ac:dyDescent="0.3">
      <c r="A766" t="s">
        <v>224</v>
      </c>
      <c r="B766" s="20" t="s">
        <v>330</v>
      </c>
      <c r="C766" s="20" t="s">
        <v>286</v>
      </c>
      <c r="D766" s="20" t="s">
        <v>158</v>
      </c>
      <c r="E766" s="21"/>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52"/>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t="s">
        <v>589</v>
      </c>
    </row>
    <row r="767" spans="1:12" x14ac:dyDescent="0.3">
      <c r="A767" t="s">
        <v>220</v>
      </c>
      <c r="B767" s="20" t="s">
        <v>330</v>
      </c>
      <c r="E767" s="21" t="str">
        <f t="shared" si="53"/>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52"/>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561</v>
      </c>
      <c r="E768" s="21" t="str">
        <f t="shared" si="53"/>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52"/>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562</v>
      </c>
      <c r="E769" s="21" t="str">
        <f t="shared" si="53"/>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52"/>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563</v>
      </c>
      <c r="B770" s="20" t="s">
        <v>330</v>
      </c>
      <c r="C770" s="20" t="s">
        <v>170</v>
      </c>
      <c r="E770" s="21" t="s">
        <v>639</v>
      </c>
      <c r="F770" s="22" t="str">
        <f>IF(OR(E770="",E770="!!!"),"",IF(NOT(ISNA(VLOOKUP(E770,E$1:E769,1,FALSE()))),"OLD",IF(AND(E770&lt;&gt;"",E770&lt;&gt;"!!!"),"NEW","")))</f>
        <v>NEW</v>
      </c>
      <c r="G770" s="23" t="s">
        <v>643</v>
      </c>
      <c r="H770" s="24" t="str">
        <f t="shared" ca="1" si="52"/>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t="s">
        <v>640</v>
      </c>
    </row>
    <row r="771" spans="1:12" x14ac:dyDescent="0.3">
      <c r="A771" t="s">
        <v>224</v>
      </c>
      <c r="E771" s="21" t="str">
        <f t="shared" si="53"/>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52"/>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205</v>
      </c>
      <c r="B772" s="20" t="s">
        <v>226</v>
      </c>
      <c r="C772" s="20" t="s">
        <v>167</v>
      </c>
      <c r="D772" s="20" t="s">
        <v>158</v>
      </c>
      <c r="E772" s="21"/>
      <c r="F772" s="22" t="str">
        <f>IF(OR(E772="",E772="!!!"),"",IF(NOT(ISNA(VLOOKUP(E772,E$1:E771,1,FALSE()))),"OLD",IF(AND(E772&lt;&gt;"",E772&lt;&gt;"!!!"),"NEW","")))</f>
        <v/>
      </c>
      <c r="G772" s="23" t="str">
        <f>IF(OR(E772="",E772="!!!"),"",IF(OR(J772=0,AND(J772=1,K772=1),AND(J772=1,I772="SBJ"),AND(J772=1,I772=0)),"?IN_FOCUS",IF(J772&lt;=2,"?ACTIVATED",IF(J772&lt;&gt;"","?FAMILIAR",IF(F772="NEW",IF(ISNA(VLOOKUP(E772,#REF!,1,FALSE())),"?TYPE_IDENTIFIABLE","?REFERENTIAL"),"_")))))</f>
        <v/>
      </c>
      <c r="H772" s="24" t="str">
        <f t="shared" ca="1" si="52"/>
        <v/>
      </c>
      <c r="I772" s="25" t="str">
        <f>IF(OR(E772="",E772="!!!",F772="NEW"),"",INDEX(B$2:B771,-1+SUMPRODUCT(MAX(ROW(E$2:E771)*(E772=E$2:E771)))))</f>
        <v/>
      </c>
      <c r="J772" s="25" t="str">
        <f ca="1">IF(OR(E772="",E772="!!!",F772="NEW"),"",COUNTBLANK(OFFSET(A$1,,,SUMPRODUCT(MAX(ROW(E$2:E772)*(E772=E$2:E772)))))-COUNTBLANK(OFFSET(A$1,,,SUMPRODUCT(MAX(ROW(E$1:E771)*(E2=E$1:E771))))))</f>
        <v/>
      </c>
      <c r="K772" s="25" t="str">
        <f>IF(OR(E772="",E772="!!!",F772="NEW"),"",INDEX(J$1:J771,SUMPRODUCT(MAX(ROW(E$1:E771)*(E772=E$1:E771)))))</f>
        <v/>
      </c>
      <c r="L772" s="26" t="s">
        <v>610</v>
      </c>
    </row>
    <row r="773" spans="1:12" x14ac:dyDescent="0.3">
      <c r="A773" t="s">
        <v>564</v>
      </c>
      <c r="B773" s="20" t="s">
        <v>229</v>
      </c>
      <c r="C773" s="20" t="s">
        <v>157</v>
      </c>
      <c r="D773" s="20" t="s">
        <v>158</v>
      </c>
      <c r="E773" s="21" t="s">
        <v>571</v>
      </c>
      <c r="F773" s="22" t="str">
        <f>IF(OR(E773="",E773="!!!"),"",IF(NOT(ISNA(VLOOKUP(E773,E$1:E772,1,FALSE()))),"OLD",IF(AND(E773&lt;&gt;"",E773&lt;&gt;"!!!"),"NEW","")))</f>
        <v>OLD</v>
      </c>
      <c r="G773" s="23" t="s">
        <v>642</v>
      </c>
      <c r="H773" s="24" t="str">
        <f t="shared" ca="1" si="52"/>
        <v/>
      </c>
      <c r="I773" s="25" t="str">
        <f>IF(OR(E773="",E773="!!!",F773="NEW"),"",INDEX(B$2:B772,-1+SUMPRODUCT(MAX(ROW(E$2:E772)*(E773=E$2:E772)))))</f>
        <v>SBJ</v>
      </c>
      <c r="J773" s="25">
        <f ca="1">IF(OR(E773="",E773="!!!",F773="NEW"),"",COUNTBLANK(OFFSET(A$1,,,SUMPRODUCT(MAX(ROW(E$2:E773)*(E773=E$2:E773)))))-COUNTBLANK(OFFSET(A$1,,,SUMPRODUCT(MAX(ROW(E$1:E772)*(E2=E$1:E772))))))</f>
        <v>0</v>
      </c>
      <c r="K773" s="25">
        <f ca="1">IF(OR(E773="",E773="!!!",F773="NEW"),"",INDEX(J$1:J772,SUMPRODUCT(MAX(ROW(E$1:E772)*(E773=E$1:E772)))))</f>
        <v>0</v>
      </c>
      <c r="L773" s="26"/>
    </row>
    <row r="774" spans="1:12" x14ac:dyDescent="0.3">
      <c r="A774" t="s">
        <v>241</v>
      </c>
      <c r="E774" s="21" t="str">
        <f t="shared" si="53"/>
        <v/>
      </c>
      <c r="F774" s="22" t="str">
        <f>IF(OR(E774="",E774="!!!"),"",IF(NOT(ISNA(VLOOKUP(E774,E$1:E773,1,FALSE()))),"OLD",IF(AND(E774&lt;&gt;"",E774&lt;&gt;"!!!"),"NEW","")))</f>
        <v/>
      </c>
      <c r="G774" s="23" t="str">
        <f>IF(OR(E774="",E774="!!!"),"",IF(OR(J774=0,AND(J774=1,K774=1),AND(J774=1,I774="SBJ"),AND(J774=1,I774=0)),"?IN_FOCUS",IF(J774&lt;=2,"?ACTIVATED",IF(J774&lt;&gt;"","?FAMILIAR",IF(F774="NEW",IF(ISNA(VLOOKUP(E774,#REF!,1,FALSE())),"?TYPE_IDENTIFIABLE","?REFERENTIAL"),"_")))))</f>
        <v/>
      </c>
      <c r="H774" s="24" t="str">
        <f t="shared" ca="1" si="52"/>
        <v/>
      </c>
      <c r="I774" s="25" t="str">
        <f>IF(OR(E774="",E774="!!!",F774="NEW"),"",INDEX(B$2:B773,-1+SUMPRODUCT(MAX(ROW(E$2:E773)*(E774=E$2:E773)))))</f>
        <v/>
      </c>
      <c r="J774" s="25" t="str">
        <f ca="1">IF(OR(E774="",E774="!!!",F774="NEW"),"",COUNTBLANK(OFFSET(A$1,,,SUMPRODUCT(MAX(ROW(E$2:E774)*(E774=E$2:E774)))))-COUNTBLANK(OFFSET(A$1,,,SUMPRODUCT(MAX(ROW(E$1:E773)*(E2=E$1:E773))))))</f>
        <v/>
      </c>
      <c r="K774" s="25" t="str">
        <f>IF(OR(E774="",E774="!!!",F774="NEW"),"",INDEX(J$1:J773,SUMPRODUCT(MAX(ROW(E$1:E773)*(E774=E$1:E773)))))</f>
        <v/>
      </c>
      <c r="L774" s="26"/>
    </row>
    <row r="775" spans="1:12" x14ac:dyDescent="0.3">
      <c r="A775" t="s">
        <v>565</v>
      </c>
      <c r="B775" s="20" t="s">
        <v>226</v>
      </c>
      <c r="C775" s="20" t="s">
        <v>234</v>
      </c>
      <c r="D775" s="20" t="s">
        <v>158</v>
      </c>
      <c r="E775" s="21"/>
      <c r="F775" s="22" t="s">
        <v>574</v>
      </c>
      <c r="G775" s="23" t="str">
        <f>IF(OR(E775="",E775="!!!"),"",IF(OR(J775=0,AND(J775=1,K775=1),AND(J775=1,I775="SBJ"),AND(J775=1,I775=0)),"?IN_FOCUS",IF(J775&lt;=2,"?ACTIVATED",IF(J775&lt;&gt;"","?FAMILIAR",IF(F775="NEW",IF(ISNA(VLOOKUP(E775,#REF!,1,FALSE())),"?TYPE_IDENTIFIABLE","?REFERENTIAL"),"_")))))</f>
        <v/>
      </c>
      <c r="H775" s="24" t="str">
        <f t="shared" ca="1" si="52"/>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566</v>
      </c>
      <c r="B776" s="20" t="s">
        <v>376</v>
      </c>
      <c r="C776" s="20" t="s">
        <v>313</v>
      </c>
      <c r="D776" s="20" t="s">
        <v>158</v>
      </c>
      <c r="E776" s="21"/>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52"/>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t="s">
        <v>589</v>
      </c>
    </row>
    <row r="777" spans="1:12" x14ac:dyDescent="0.3">
      <c r="A777" t="s">
        <v>567</v>
      </c>
      <c r="B777" s="20" t="s">
        <v>229</v>
      </c>
      <c r="C777" s="20" t="s">
        <v>315</v>
      </c>
      <c r="D777" s="20" t="s">
        <v>158</v>
      </c>
      <c r="E777" s="21"/>
      <c r="F777" s="22" t="s">
        <v>574</v>
      </c>
      <c r="G777" s="23" t="str">
        <f>IF(OR(E777="",E777="!!!"),"",IF(OR(J777=0,AND(J777=1,K777=1),AND(J777=1,I777="SBJ"),AND(J777=1,I777=0)),"?IN_FOCUS",IF(J777&lt;=2,"?ACTIVATED",IF(J777&lt;&gt;"","?FAMILIAR",IF(F777="NEW",IF(ISNA(VLOOKUP(E777,#REF!,1,FALSE())),"?TYPE_IDENTIFIABLE","?REFERENTIAL"),"_")))))</f>
        <v/>
      </c>
      <c r="H777" s="24" t="str">
        <f t="shared" ca="1" si="52"/>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353</v>
      </c>
      <c r="E778" s="21" t="str">
        <f t="shared" si="53"/>
        <v/>
      </c>
      <c r="F778" s="22" t="str">
        <f>IF(OR(E778="",E778="!!!"),"",IF(NOT(ISNA(VLOOKUP(E778,E$1:E777,1,FALSE()))),"OLD",IF(AND(E778&lt;&gt;"",E778&lt;&gt;"!!!"),"NEW","")))</f>
        <v/>
      </c>
      <c r="G778" s="23" t="str">
        <f>IF(OR(E778="",E778="!!!"),"",IF(OR(J778=0,AND(J778=1,K778=1),AND(J778=1,I778="SBJ"),AND(J778=1,I778=0)),"?IN_FOCUS",IF(J778&lt;=2,"?ACTIVATED",IF(J778&lt;&gt;"","?FAMILIAR",IF(F778="NEW",IF(ISNA(VLOOKUP(E778,#REF!,1,FALSE())),"?TYPE_IDENTIFIABLE","?REFERENTIAL"),"_")))))</f>
        <v/>
      </c>
      <c r="H778" s="24" t="str">
        <f t="shared" ca="1" si="52"/>
        <v/>
      </c>
      <c r="I778" s="25" t="str">
        <f>IF(OR(E778="",E778="!!!",F778="NEW"),"",INDEX(B$2:B777,-1+SUMPRODUCT(MAX(ROW(E$2:E777)*(E778=E$2:E777)))))</f>
        <v/>
      </c>
      <c r="J778" s="25" t="str">
        <f ca="1">IF(OR(E778="",E778="!!!",F778="NEW"),"",COUNTBLANK(OFFSET(A$1,,,SUMPRODUCT(MAX(ROW(E$2:E778)*(E778=E$2:E778)))))-COUNTBLANK(OFFSET(A$1,,,SUMPRODUCT(MAX(ROW(E$1:E777)*(E2=E$1:E777))))))</f>
        <v/>
      </c>
      <c r="K778" s="25" t="str">
        <f>IF(OR(E778="",E778="!!!",F778="NEW"),"",INDEX(J$1:J777,SUMPRODUCT(MAX(ROW(E$1:E777)*(E778=E$1:E777)))))</f>
        <v/>
      </c>
      <c r="L778" s="26"/>
    </row>
    <row r="779" spans="1:12" x14ac:dyDescent="0.3">
      <c r="A779" t="s">
        <v>568</v>
      </c>
      <c r="E779" s="21" t="str">
        <f t="shared" si="53"/>
        <v/>
      </c>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52"/>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569</v>
      </c>
      <c r="E780" s="21" t="str">
        <f t="shared" si="53"/>
        <v/>
      </c>
      <c r="F780" s="22" t="str">
        <f>IF(OR(E780="",E780="!!!"),"",IF(NOT(ISNA(VLOOKUP(E780,E$1:E779,1,FALSE()))),"OLD",IF(AND(E780&lt;&gt;"",E780&lt;&gt;"!!!"),"NEW","")))</f>
        <v/>
      </c>
      <c r="G780" s="23" t="str">
        <f>IF(OR(E780="",E780="!!!"),"",IF(OR(J780=0,AND(J780=1,K780=1),AND(J780=1,I780="SBJ"),AND(J780=1,I780=0)),"?IN_FOCUS",IF(J780&lt;=2,"?ACTIVATED",IF(J780&lt;&gt;"","?FAMILIAR",IF(F780="NEW",IF(ISNA(VLOOKUP(E780,#REF!,1,FALSE())),"?TYPE_IDENTIFIABLE","?REFERENTIAL"),"_")))))</f>
        <v/>
      </c>
      <c r="H780" s="24" t="str">
        <f t="shared" ca="1" si="52"/>
        <v/>
      </c>
      <c r="I780" s="25" t="str">
        <f>IF(OR(E780="",E780="!!!",F780="NEW"),"",INDEX(B$2:B779,-1+SUMPRODUCT(MAX(ROW(E$2:E779)*(E780=E$2:E779)))))</f>
        <v/>
      </c>
      <c r="J780" s="25" t="str">
        <f ca="1">IF(OR(E780="",E780="!!!",F780="NEW"),"",COUNTBLANK(OFFSET(A$1,,,SUMPRODUCT(MAX(ROW(E$2:E780)*(E780=E$2:E780)))))-COUNTBLANK(OFFSET(A$1,,,SUMPRODUCT(MAX(ROW(E$1:E779)*(E2=E$1:E779))))))</f>
        <v/>
      </c>
      <c r="K780" s="25" t="str">
        <f>IF(OR(E780="",E780="!!!",F780="NEW"),"",INDEX(J$1:J779,SUMPRODUCT(MAX(ROW(E$1:E779)*(E780=E$1:E779)))))</f>
        <v/>
      </c>
      <c r="L780" s="26"/>
    </row>
    <row r="781" spans="1:12" x14ac:dyDescent="0.3">
      <c r="A781" t="s">
        <v>570</v>
      </c>
      <c r="B781" s="20" t="s">
        <v>221</v>
      </c>
      <c r="C781" s="20" t="s">
        <v>280</v>
      </c>
      <c r="E781" s="21" t="str">
        <f t="shared" si="53"/>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52"/>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2" spans="1:12" x14ac:dyDescent="0.3">
      <c r="A782" t="s">
        <v>336</v>
      </c>
      <c r="E782" s="21" t="str">
        <f t="shared" si="53"/>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52"/>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2024-12-05T17:54:41Z</dcterms:created>
  <dcterms:modified xsi:type="dcterms:W3CDTF">2025-09-17T10:44:46Z</dcterms:modified>
</cp:coreProperties>
</file>