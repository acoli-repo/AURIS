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<sst xmlns="http://schemas.openxmlformats.org/spreadsheetml/2006/main" count="4634" uniqueCount="1020">
  <si>
    <t>ID</t>
  </si>
  <si>
    <t>PRED_ID</t>
  </si>
  <si>
    <t>MARKER_AUTO</t>
  </si>
  <si>
    <t>PREDICATE</t>
  </si>
  <si>
    <t>TEXT</t>
  </si>
  <si>
    <t>SENTENCE</t>
  </si>
  <si>
    <t>MARKER</t>
  </si>
  <si>
    <t>TARGET</t>
  </si>
  <si>
    <t>RELATION</t>
  </si>
  <si>
    <t>COMMENT</t>
  </si>
  <si>
    <t>1</t>
  </si>
  <si>
    <t>_</t>
  </si>
  <si>
    <t>﻿ talkid: 1978</t>
  </si>
  <si>
    <t>2</t>
  </si>
  <si>
    <t>Sarah Lewis:</t>
  </si>
  <si>
    <t>3</t>
  </si>
  <si>
    <t>Embrace the near win</t>
  </si>
  <si>
    <t>4</t>
  </si>
  <si>
    <t>I feel so fortunate that my first job was working at the Museum of Modern Art on a retrospective of painter Elizabeth Murray.</t>
  </si>
  <si>
    <t>5</t>
  </si>
  <si>
    <t>(because)</t>
  </si>
  <si>
    <t>I learned so much from her.</t>
  </si>
  <si>
    <t>Contingency.Cause.Reason</t>
  </si>
  <si>
    <t>reason</t>
  </si>
  <si>
    <t>(orig: Contingency.Cause.Reason)</t>
  </si>
  <si>
    <t>6</t>
  </si>
  <si>
    <t>After the curator Robert Storr selected all the paintings from her lifetime body of work, I loved looking at the paintings from the 1970s.</t>
  </si>
  <si>
    <t>7</t>
  </si>
  <si>
    <t>There were some motifs and elements that would come up again later in her life.</t>
  </si>
  <si>
    <t>8</t>
  </si>
  <si>
    <t>I remember asking her what she thought of those early works.</t>
  </si>
  <si>
    <t>9</t>
  </si>
  <si>
    <t>If you didn't know they were hers, you might not have been able to guess.</t>
  </si>
  <si>
    <t>10</t>
  </si>
  <si>
    <t>She told me that a few didn't quite meet her own mark for what she wanted them to be.</t>
  </si>
  <si>
    <t>11</t>
  </si>
  <si>
    <t>One of the works, in fact, so didn't meet her mark, she had set it out in the trash in her studio, and her neighbor had taken it because she saw its value.</t>
  </si>
  <si>
    <t>Expansion.Instantiation</t>
  </si>
  <si>
    <t>instance</t>
  </si>
  <si>
    <t>(orig: Expansion.Instantiation)</t>
  </si>
  <si>
    <t>12</t>
  </si>
  <si>
    <t>(consequently)</t>
  </si>
  <si>
    <t>In that moment, my view of success and creativity changed.</t>
  </si>
  <si>
    <t>Contingency.Cause.Result</t>
  </si>
  <si>
    <t>result</t>
  </si>
  <si>
    <t>(orig: Contingency.Cause.Result)</t>
  </si>
  <si>
    <t>13</t>
  </si>
  <si>
    <t>(specifically)</t>
  </si>
  <si>
    <t>I realized that success is a moment, but what we're always celebrating is creativity and mastery.</t>
  </si>
  <si>
    <t>Expansion.Level-of-detail.Arg2-as-detail</t>
  </si>
  <si>
    <t>specific</t>
  </si>
  <si>
    <t>(orig: Expansion.Level-of-detail.Arg2-as-detail)</t>
  </si>
  <si>
    <t>14</t>
  </si>
  <si>
    <t>But this is the thing:</t>
  </si>
  <si>
    <t>15</t>
  </si>
  <si>
    <t>What gets us to convert success into mastery?</t>
  </si>
  <si>
    <t>Comparison.Concession.Arg2-as-denier</t>
  </si>
  <si>
    <t>contra-expectation</t>
  </si>
  <si>
    <t>(orig: Comparison.Concession.Arg2-as-denier)</t>
  </si>
  <si>
    <t>16</t>
  </si>
  <si>
    <t>This is a question I've long asked myself.</t>
  </si>
  <si>
    <t>17</t>
  </si>
  <si>
    <t>(and)</t>
  </si>
  <si>
    <t>I think it comes when we start to value the gift of a near win.</t>
  </si>
  <si>
    <t>Expansion.Conjunction</t>
  </si>
  <si>
    <t>Conjunction</t>
  </si>
  <si>
    <t>(orig: Expansion.Conjunction)</t>
  </si>
  <si>
    <t>18</t>
  </si>
  <si>
    <t>I started to understand this when I went on one cold May day to watch a set of varsity archers, all women as fate would have it, at the northern tip of Manhattan at Columbia's Baker Athletics Complex.</t>
  </si>
  <si>
    <t>19</t>
  </si>
  <si>
    <t>I wanted to see what's called archer's paradox, the idea that in order to actually hit your target, you have to aim at something slightly skew from it.</t>
  </si>
  <si>
    <t>20</t>
  </si>
  <si>
    <t>(so)</t>
  </si>
  <si>
    <t>I stood and watched as the coach drove up these women in this gray van, and they exited with this kind of relaxed focus.</t>
  </si>
  <si>
    <t>21</t>
  </si>
  <si>
    <t>One held a half-eaten ice cream cone in one hand and arrows in the left with yellow fletching.</t>
  </si>
  <si>
    <t>22</t>
  </si>
  <si>
    <t>And they passed me and smiled, but they sized me up as they made their way to the turf, and spoke to each other not with words but with numbers, degrees, I thought, positions for how they might plan to hit their target.</t>
  </si>
  <si>
    <t>23</t>
  </si>
  <si>
    <t>(then)</t>
  </si>
  <si>
    <t>I stood behind one archer as her coach stood in between us to maybe assess who might need support, and watched her, and I didn't understand how even one was going to hit the ten ring.</t>
  </si>
  <si>
    <t>Temporal.Asynchronous.Precedence</t>
  </si>
  <si>
    <t>before</t>
  </si>
  <si>
    <t>(orig: Temporal.Asynchronous.Precedence)</t>
  </si>
  <si>
    <t>24</t>
  </si>
  <si>
    <t>The ten ring from the standard 75-yard distance, it looks as small as a matchstick tip held out at arm's length.</t>
  </si>
  <si>
    <t>25</t>
  </si>
  <si>
    <t>And this is while holding 50 pounds of draw weight on each shot.</t>
  </si>
  <si>
    <t>26</t>
  </si>
  <si>
    <t>She first hit a seven, I remember, and then a nine, and then two tens, and then the next arrow didn't even hit the target.</t>
  </si>
  <si>
    <t>27</t>
  </si>
  <si>
    <t>And I saw that gave her more tenacity, and she went after it again and again.</t>
  </si>
  <si>
    <t>28</t>
  </si>
  <si>
    <t>For three hours this went on.</t>
  </si>
  <si>
    <t>29</t>
  </si>
  <si>
    <t>(finally)</t>
  </si>
  <si>
    <t>At the end of the practice, one of the archers was so taxed that she lied out on the ground just star-fished, her head looking up at the sky, trying to find what T.S.</t>
  </si>
  <si>
    <t>30</t>
  </si>
  <si>
    <t>Eliot might call that still point of the turning world.</t>
  </si>
  <si>
    <t>31</t>
  </si>
  <si>
    <t>It's so rare in American culture, there's so little that's vocational about it anymore, to look at what doggedness looks like with this level of exactitude, what it means to align your body posture for three hours in order to hit a target, pursuing a kind of excellence in obscurity.</t>
  </si>
  <si>
    <t>32</t>
  </si>
  <si>
    <t>But I stayed because I realized I was witnessing what's so rare to glimpse, that difference between success and mastery.</t>
  </si>
  <si>
    <t>33</t>
  </si>
  <si>
    <t>So success is hitting that ten ring, but mastery is knowing that it means nothing if you can't do it again and again.</t>
  </si>
  <si>
    <t>34</t>
  </si>
  <si>
    <t>Mastery is not just the same as excellence, though.</t>
  </si>
  <si>
    <t>35</t>
  </si>
  <si>
    <t>(similarly)</t>
  </si>
  <si>
    <t>It's not the same as success, which I see as an event, a moment in time, and a label that the world confers upon you.</t>
  </si>
  <si>
    <t>Comparison.Similarity</t>
  </si>
  <si>
    <t>Similarity</t>
  </si>
  <si>
    <t>(orig: Comparison.Similarity)</t>
  </si>
  <si>
    <t>36</t>
  </si>
  <si>
    <t>(furthermore)</t>
  </si>
  <si>
    <t>Mastery is not a commitment to a goal but to a constant pursuit.</t>
  </si>
  <si>
    <t>37</t>
  </si>
  <si>
    <t>What gets us to do this, what get us to forward thrust more is to value the near win.</t>
  </si>
  <si>
    <t>38</t>
  </si>
  <si>
    <t>(for example)</t>
  </si>
  <si>
    <t>How many times have we designated something a classic, a masterpiece even, while its creator considers it hopelessly unfinished, riddled with difficulties and flaws, in other words, a near win?</t>
  </si>
  <si>
    <t>39</t>
  </si>
  <si>
    <t>Elizabeth Murray surprised me with her admission about her earlier paintings.</t>
  </si>
  <si>
    <t>40</t>
  </si>
  <si>
    <t>Painter Paul Cézanne so often thought his works were incomplete that he would deliberately leave them aside with the intention of picking them back up again, but at the end of his life, the result was that he had only signed 10 percent of his paintings.</t>
  </si>
  <si>
    <t>41</t>
  </si>
  <si>
    <t>His favorite novel was "The [Unknown]</t>
  </si>
  <si>
    <t>42</t>
  </si>
  <si>
    <t>Masterpiece" by Honoré de Balzac, and he felt the protagonist was the painter himself.</t>
  </si>
  <si>
    <t>43</t>
  </si>
  <si>
    <t>Franz Kafka saw incompletion when others would find only works to praise, so much so that he wanted all of his diaries, manuscripts, letters and even sketches burned upon his death.</t>
  </si>
  <si>
    <t>44</t>
  </si>
  <si>
    <t>(however)</t>
  </si>
  <si>
    <t>His friend refused to honor the request, and because of that, we now have all the works we now do by Kafka: "America," "The Trial" and "The Castle," a work so incomplete it even stops mid-sentence.</t>
  </si>
  <si>
    <t>45</t>
  </si>
  <si>
    <t>The pursuit of mastery, in other words, is an ever-onward almost.</t>
  </si>
  <si>
    <t>46</t>
  </si>
  <si>
    <t>"Lord, grant that I desire more than I can accomplish," Michelangelo implored, as if to that Old Testament God on the Sistine Chapel, and he himself was that Adam with his finger outstretched and not quite touching that God's hand.</t>
  </si>
  <si>
    <t>47</t>
  </si>
  <si>
    <t>Mastery is in the reaching, not the arriving.</t>
  </si>
  <si>
    <t>48</t>
  </si>
  <si>
    <t>(further)</t>
  </si>
  <si>
    <t>It's in constantly wanting to close that gap between where you are and where you want to be.</t>
  </si>
  <si>
    <t>49</t>
  </si>
  <si>
    <t>Mastery is about sacrificing for your craft and not for the sake of crafting your career.</t>
  </si>
  <si>
    <t>50</t>
  </si>
  <si>
    <t>How many inventors and untold entrepreneurs live out this phenomenon?</t>
  </si>
  <si>
    <t>51</t>
  </si>
  <si>
    <t>We see it even in the life of the indomitable Arctic explorer Ben Saunders, who tells me that his triumphs are not merely the result of a grand achievement, but of the propulsion of a lineage of near wins.</t>
  </si>
  <si>
    <t>52</t>
  </si>
  <si>
    <t>We thrive when we stay at our own leading edge.</t>
  </si>
  <si>
    <t>53</t>
  </si>
  <si>
    <t>It's a wisdom understood by Duke Ellington, who said that his favorite song out of his repertoire was always the next one, always the one he had yet to compose.</t>
  </si>
  <si>
    <t>54</t>
  </si>
  <si>
    <t>Part of the reason that the near win is inbuilt to mastery is because the greater our proficiency, the more clearly we might see that we don't know all that we thought we did.</t>
  </si>
  <si>
    <t>55</t>
  </si>
  <si>
    <t>It's called the Dunning–Kruger effect.</t>
  </si>
  <si>
    <t>56</t>
  </si>
  <si>
    <t>The Paris Review got it out of James Baldwin when they asked him, "What do you think increases with knowledge?"</t>
  </si>
  <si>
    <t>57</t>
  </si>
  <si>
    <t>and he said, "You learn how little you know."</t>
  </si>
  <si>
    <t>58</t>
  </si>
  <si>
    <t>Success motivates us, but a near win can propel us in an ongoing quest.</t>
  </si>
  <si>
    <t>59</t>
  </si>
  <si>
    <t>One of the most vivid examples of this comes when we look at the difference between Olympic silver medalists and bronze medalists after a competition.</t>
  </si>
  <si>
    <t>60</t>
  </si>
  <si>
    <t>Thomas Gilovich and his team from Cornell studied this difference and found that the frustration silver medalists feel compared to bronze, who are typically a bit more happy to have just not received fourth place and not medaled at all, gives silver medalists a focus on follow-up competition.</t>
  </si>
  <si>
    <t>61</t>
  </si>
  <si>
    <t>We see it even in the gambling industry that once picked up on this phenomenon of the near win and created these scratch-off tickets that had a higher than average rate of near wins and so compelled people to buy more tickets that they were called heart-stoppers, and were set on a gambling industry set of abuses in Britain in the 1970s.</t>
  </si>
  <si>
    <t>62</t>
  </si>
  <si>
    <t>The reason the near win has a propulsion is because it changes our view of the landscape and puts our goals, which we tend to put at a distance, into more proximate vicinity to where we stand.</t>
  </si>
  <si>
    <t>63</t>
  </si>
  <si>
    <t>If I ask you to envision what a great day looks like next week, you might describe it in more general terms.</t>
  </si>
  <si>
    <t>64</t>
  </si>
  <si>
    <t>But if I ask you to describe a great day at TED tomorrow, you might describe it with granular, practical clarity.</t>
  </si>
  <si>
    <t>Comparison.Contrast</t>
  </si>
  <si>
    <t>Contrast</t>
  </si>
  <si>
    <t>(orig: Comparison.Contrast)</t>
  </si>
  <si>
    <t>65</t>
  </si>
  <si>
    <t>And this is what a near win does.</t>
  </si>
  <si>
    <t>66</t>
  </si>
  <si>
    <t>It gets us to focus on what, right now, we plan to do to address that mountain in our sights.</t>
  </si>
  <si>
    <t>67</t>
  </si>
  <si>
    <t>It's Jackie Joyner-Kersee, who in 1984 missed taking the gold in the heptathlon by one third of a second, and her husband predicted that would give her the tenacity she needed in follow-up competition.</t>
  </si>
  <si>
    <t>68</t>
  </si>
  <si>
    <t>In 1988, she won the gold in the heptathlon and set a record of 7,291 points, a score that no athlete has come very close to since.</t>
  </si>
  <si>
    <t>69</t>
  </si>
  <si>
    <t>We thrive not when we've done it all, but when we still have more to do.</t>
  </si>
  <si>
    <t>70</t>
  </si>
  <si>
    <t>I stand here thinking and wondering about all the different ways that we might even manufacture a near win in this room, how your lives might play this out, because I think on some gut level we do know this.</t>
  </si>
  <si>
    <t>71</t>
  </si>
  <si>
    <t>(that is)</t>
  </si>
  <si>
    <t>We know that we thrive when we stay at our own leading edge, and it's why the deliberate incomplete is inbuilt into creation myths.</t>
  </si>
  <si>
    <t>72</t>
  </si>
  <si>
    <t>In Navajo culture, some craftsmen and women would deliberately put an imperfection in textiles and ceramics.</t>
  </si>
  <si>
    <t>73</t>
  </si>
  <si>
    <t>It's what's called a spirit line, a deliberate flaw in the pattern to give the weaver or maker a way out, but also a reason to continue making work.</t>
  </si>
  <si>
    <t>74</t>
  </si>
  <si>
    <t>Masters are not experts because they take a subject to its conceptual end.</t>
  </si>
  <si>
    <t>75</t>
  </si>
  <si>
    <t>(rather)</t>
  </si>
  <si>
    <t>They're masters because they realize that there isn't one.</t>
  </si>
  <si>
    <t>Expansion.Substitution.Arg2-as-subst</t>
  </si>
  <si>
    <t>favoured</t>
  </si>
  <si>
    <t>(orig: Expansion.Substitution.Arg2-as-subst)</t>
  </si>
  <si>
    <t>76</t>
  </si>
  <si>
    <t>Now it occurred to me, as I thought about this, why the archery coach told me at the end of that practice, out of earshot of his archers, that he and his colleagues never feel they can do enough for their team, never feel there are enough visualization techniques and posture drills to help them overcome those constant near wins.</t>
  </si>
  <si>
    <t>77</t>
  </si>
  <si>
    <t>It didn't sound like a complaint, exactly, but just a way to let me know, a kind of tender admission, to remind me that he knew he was giving himself over to a voracious, unfinished path that always required more.</t>
  </si>
  <si>
    <t>78</t>
  </si>
  <si>
    <t>We build out of the unfinished idea, even if that idea is our former self.</t>
  </si>
  <si>
    <t>79</t>
  </si>
  <si>
    <t>This is the dynamic of mastery.</t>
  </si>
  <si>
    <t>80</t>
  </si>
  <si>
    <t>Coming close to what you thought you wanted can help you attain more than you ever dreamed you could.</t>
  </si>
  <si>
    <t>81</t>
  </si>
  <si>
    <t>It's what I have to imagine Elizabeth Murray was thinking when I saw her smiling at those early paintings one day in the galleries.</t>
  </si>
  <si>
    <t>82</t>
  </si>
  <si>
    <t>Even if we created utopias, I believe we would still have the incomplete.</t>
  </si>
  <si>
    <t>83</t>
  </si>
  <si>
    <t>Completion is a goal, but we hope it is never the end.</t>
  </si>
  <si>
    <t>84</t>
  </si>
  <si>
    <t>Thank you.</t>
  </si>
  <si>
    <t>WORD</t>
  </si>
  <si>
    <t>GR</t>
  </si>
  <si>
    <t>NP_TYPE</t>
  </si>
  <si>
    <t>REF_AUTO</t>
  </si>
  <si>
    <t>COREF</t>
  </si>
  <si>
    <t>REF</t>
  </si>
  <si>
    <t>IS</t>
  </si>
  <si>
    <t>CB</t>
  </si>
  <si>
    <t>GR_ANTE</t>
  </si>
  <si>
    <t>REF_DIST</t>
  </si>
  <si>
    <t>REF_DIST_ANTE</t>
  </si>
  <si>
    <t># text = ﻿ talkid: 1978</t>
  </si>
  <si>
    <t>﻿</t>
  </si>
  <si>
    <t>talkid</t>
  </si>
  <si>
    <t>other</t>
  </si>
  <si>
    <t>indef-np.quant</t>
  </si>
  <si>
    <t>:</t>
  </si>
  <si>
    <t>1978</t>
  </si>
  <si>
    <t># text = Sarah Lewis:</t>
  </si>
  <si>
    <t>Sarah</t>
  </si>
  <si>
    <t>ne</t>
  </si>
  <si>
    <t>?OLD</t>
  </si>
  <si>
    <t>Lewis</t>
  </si>
  <si>
    <t># text = Embrace the near win</t>
  </si>
  <si>
    <t>Embrace</t>
  </si>
  <si>
    <t>the</t>
  </si>
  <si>
    <t>near</t>
  </si>
  <si>
    <t>win</t>
  </si>
  <si>
    <t>OBJ</t>
  </si>
  <si>
    <t>def-np.the</t>
  </si>
  <si>
    <t># text = I feel so fortunate that my first job was working at the Museum of Modern Art on a retrospective of painter Elizabeth Murray.</t>
  </si>
  <si>
    <t>I</t>
  </si>
  <si>
    <t>SBJ</t>
  </si>
  <si>
    <t>pron.pper</t>
  </si>
  <si>
    <t>feel</t>
  </si>
  <si>
    <t>so</t>
  </si>
  <si>
    <t>fortunate</t>
  </si>
  <si>
    <t>that</t>
  </si>
  <si>
    <t>my</t>
  </si>
  <si>
    <t>other_4</t>
  </si>
  <si>
    <t>pron.ppos</t>
  </si>
  <si>
    <t>first</t>
  </si>
  <si>
    <t>job</t>
  </si>
  <si>
    <t>SBJ_3</t>
  </si>
  <si>
    <t>def-np.poss</t>
  </si>
  <si>
    <t>was</t>
  </si>
  <si>
    <t>working</t>
  </si>
  <si>
    <t>at</t>
  </si>
  <si>
    <t>Museum</t>
  </si>
  <si>
    <t>other_3</t>
  </si>
  <si>
    <t>of</t>
  </si>
  <si>
    <t>Modern</t>
  </si>
  <si>
    <t>Art</t>
  </si>
  <si>
    <t>on</t>
  </si>
  <si>
    <t>a</t>
  </si>
  <si>
    <t>retrospective</t>
  </si>
  <si>
    <t>indef-np.a</t>
  </si>
  <si>
    <t>painter</t>
  </si>
  <si>
    <t>indef-np.bare</t>
  </si>
  <si>
    <t>Elizabeth</t>
  </si>
  <si>
    <t>other_5</t>
  </si>
  <si>
    <t>Murray</t>
  </si>
  <si>
    <t>.</t>
  </si>
  <si>
    <t># text = I learned so much from her.</t>
  </si>
  <si>
    <t>learned</t>
  </si>
  <si>
    <t>much</t>
  </si>
  <si>
    <t>from</t>
  </si>
  <si>
    <t>her</t>
  </si>
  <si>
    <t>other_2</t>
  </si>
  <si>
    <t># text = After the curator Robert Storr selected all the paintings from her lifetime body of work, I loved looking at the paintings from the 1970s.</t>
  </si>
  <si>
    <t>After</t>
  </si>
  <si>
    <t>curator</t>
  </si>
  <si>
    <t>SBJ_2</t>
  </si>
  <si>
    <t>Robert</t>
  </si>
  <si>
    <t>Storr</t>
  </si>
  <si>
    <t>selected</t>
  </si>
  <si>
    <t>all</t>
  </si>
  <si>
    <t>paintings</t>
  </si>
  <si>
    <t>OBJ_2</t>
  </si>
  <si>
    <t>lifetime</t>
  </si>
  <si>
    <t>body</t>
  </si>
  <si>
    <t>work</t>
  </si>
  <si>
    <t>,</t>
  </si>
  <si>
    <t>loved</t>
  </si>
  <si>
    <t>looking</t>
  </si>
  <si>
    <t>1970s</t>
  </si>
  <si>
    <t># text = There were some motifs and elements that would come up again later in her life.</t>
  </si>
  <si>
    <t>There</t>
  </si>
  <si>
    <t>were</t>
  </si>
  <si>
    <t>some</t>
  </si>
  <si>
    <t>motifs</t>
  </si>
  <si>
    <t>and</t>
  </si>
  <si>
    <t>elements</t>
  </si>
  <si>
    <t>would</t>
  </si>
  <si>
    <t>come</t>
  </si>
  <si>
    <t>up</t>
  </si>
  <si>
    <t>again</t>
  </si>
  <si>
    <t>later</t>
  </si>
  <si>
    <t>in</t>
  </si>
  <si>
    <t>life</t>
  </si>
  <si>
    <t># text = I remember asking her what she thought of those early works.</t>
  </si>
  <si>
    <t>remember</t>
  </si>
  <si>
    <t>asking</t>
  </si>
  <si>
    <t>what</t>
  </si>
  <si>
    <t>pron.pint</t>
  </si>
  <si>
    <t>she</t>
  </si>
  <si>
    <t>SBJ_4</t>
  </si>
  <si>
    <t>thought</t>
  </si>
  <si>
    <t>those</t>
  </si>
  <si>
    <t>early</t>
  </si>
  <si>
    <t>works</t>
  </si>
  <si>
    <t>def-np.dem</t>
  </si>
  <si>
    <t># text = If you didn't know they were hers, you might not have been able to guess.</t>
  </si>
  <si>
    <t>If</t>
  </si>
  <si>
    <t>you</t>
  </si>
  <si>
    <t>did</t>
  </si>
  <si>
    <t>n't</t>
  </si>
  <si>
    <t>know</t>
  </si>
  <si>
    <t>they</t>
  </si>
  <si>
    <t>hers</t>
  </si>
  <si>
    <t>pron</t>
  </si>
  <si>
    <t>might</t>
  </si>
  <si>
    <t>not</t>
  </si>
  <si>
    <t>have</t>
  </si>
  <si>
    <t>been</t>
  </si>
  <si>
    <t>able</t>
  </si>
  <si>
    <t>to</t>
  </si>
  <si>
    <t>guess</t>
  </si>
  <si>
    <t># text = She told me that a few didn't quite meet her own mark for what she wanted them to be.</t>
  </si>
  <si>
    <t>She</t>
  </si>
  <si>
    <t>told</t>
  </si>
  <si>
    <t>me</t>
  </si>
  <si>
    <t>few</t>
  </si>
  <si>
    <t>quite</t>
  </si>
  <si>
    <t>meet</t>
  </si>
  <si>
    <t>own</t>
  </si>
  <si>
    <t>mark</t>
  </si>
  <si>
    <t>for</t>
  </si>
  <si>
    <t>SBJ_5</t>
  </si>
  <si>
    <t>wanted</t>
  </si>
  <si>
    <t>them</t>
  </si>
  <si>
    <t>OBJ_5</t>
  </si>
  <si>
    <t>be</t>
  </si>
  <si>
    <t># text = One of the works, in fact, so didn't meet her mark, she had set it out in the trash in her studio, and her neighbor had taken it because she saw its value.</t>
  </si>
  <si>
    <t>One</t>
  </si>
  <si>
    <t>fact</t>
  </si>
  <si>
    <t>had</t>
  </si>
  <si>
    <t>set</t>
  </si>
  <si>
    <t>it</t>
  </si>
  <si>
    <t>out</t>
  </si>
  <si>
    <t>trash</t>
  </si>
  <si>
    <t>studio</t>
  </si>
  <si>
    <t>neighbor</t>
  </si>
  <si>
    <t>taken</t>
  </si>
  <si>
    <t>because</t>
  </si>
  <si>
    <t>saw</t>
  </si>
  <si>
    <t>s</t>
  </si>
  <si>
    <t>value</t>
  </si>
  <si>
    <t>OBJ_3</t>
  </si>
  <si>
    <t># text = In that moment, my view of success and creativity changed.</t>
  </si>
  <si>
    <t>In</t>
  </si>
  <si>
    <t>moment</t>
  </si>
  <si>
    <t>view</t>
  </si>
  <si>
    <t>success</t>
  </si>
  <si>
    <t>creativity</t>
  </si>
  <si>
    <t>changed</t>
  </si>
  <si>
    <t># text = I realized that success is a moment, but what we're always celebrating is creativity and mastery.</t>
  </si>
  <si>
    <t>realized</t>
  </si>
  <si>
    <t>is</t>
  </si>
  <si>
    <t>but</t>
  </si>
  <si>
    <t>we</t>
  </si>
  <si>
    <t>'re</t>
  </si>
  <si>
    <t>always</t>
  </si>
  <si>
    <t>celebrating</t>
  </si>
  <si>
    <t>mastery</t>
  </si>
  <si>
    <t># text = But this is the thing:</t>
  </si>
  <si>
    <t>But</t>
  </si>
  <si>
    <t>this</t>
  </si>
  <si>
    <t>pron.pds</t>
  </si>
  <si>
    <t>thing</t>
  </si>
  <si>
    <t># text = What gets us to convert success into mastery?</t>
  </si>
  <si>
    <t>What</t>
  </si>
  <si>
    <t>gets</t>
  </si>
  <si>
    <t>us</t>
  </si>
  <si>
    <t>convert</t>
  </si>
  <si>
    <t>into</t>
  </si>
  <si>
    <t>?</t>
  </si>
  <si>
    <t># text = This is a question I've long asked myself.</t>
  </si>
  <si>
    <t>This</t>
  </si>
  <si>
    <t>question</t>
  </si>
  <si>
    <t>'ve</t>
  </si>
  <si>
    <t>long</t>
  </si>
  <si>
    <t>asked</t>
  </si>
  <si>
    <t>myself</t>
  </si>
  <si>
    <t># text = I think it comes when we start to value the gift of a near win.</t>
  </si>
  <si>
    <t>think</t>
  </si>
  <si>
    <t>comes</t>
  </si>
  <si>
    <t>when</t>
  </si>
  <si>
    <t>start</t>
  </si>
  <si>
    <t>gift</t>
  </si>
  <si>
    <t>OBJ_4</t>
  </si>
  <si>
    <t># text = I started to understand this when I went on one cold May day to watch a set of varsity archers, all women as fate would have it, at the northern tip of Manhattan at Columbia's Baker Athletics Complex.</t>
  </si>
  <si>
    <t>started</t>
  </si>
  <si>
    <t>understand</t>
  </si>
  <si>
    <t>went</t>
  </si>
  <si>
    <t>one</t>
  </si>
  <si>
    <t>cold</t>
  </si>
  <si>
    <t>May</t>
  </si>
  <si>
    <t>day</t>
  </si>
  <si>
    <t>watch</t>
  </si>
  <si>
    <t>varsity</t>
  </si>
  <si>
    <t>archers</t>
  </si>
  <si>
    <t>women</t>
  </si>
  <si>
    <t>as</t>
  </si>
  <si>
    <t>fate</t>
  </si>
  <si>
    <t>northern</t>
  </si>
  <si>
    <t>tip</t>
  </si>
  <si>
    <t>Manhattan</t>
  </si>
  <si>
    <t>Columbia</t>
  </si>
  <si>
    <t>'s</t>
  </si>
  <si>
    <t>Baker</t>
  </si>
  <si>
    <t>Athletics</t>
  </si>
  <si>
    <t>Complex</t>
  </si>
  <si>
    <t># text = I wanted to see what's called archer's paradox, the idea that in order to actually hit your target, you have to aim at something slightly skew from it.</t>
  </si>
  <si>
    <t>see</t>
  </si>
  <si>
    <t>called</t>
  </si>
  <si>
    <t>archer</t>
  </si>
  <si>
    <t>paradox</t>
  </si>
  <si>
    <t>idea</t>
  </si>
  <si>
    <t>order</t>
  </si>
  <si>
    <t>actually</t>
  </si>
  <si>
    <t>hit</t>
  </si>
  <si>
    <t>your</t>
  </si>
  <si>
    <t>target</t>
  </si>
  <si>
    <t>aim</t>
  </si>
  <si>
    <t>something</t>
  </si>
  <si>
    <t>slightly</t>
  </si>
  <si>
    <t>skew</t>
  </si>
  <si>
    <t>other_6</t>
  </si>
  <si>
    <t># text = I stood and watched as the coach drove up these women in this gray van, and they exited with this kind of relaxed focus.</t>
  </si>
  <si>
    <t>stood</t>
  </si>
  <si>
    <t>watched</t>
  </si>
  <si>
    <t>coach</t>
  </si>
  <si>
    <t>drove</t>
  </si>
  <si>
    <t>these</t>
  </si>
  <si>
    <t>gray</t>
  </si>
  <si>
    <t>van</t>
  </si>
  <si>
    <t>exited</t>
  </si>
  <si>
    <t>with</t>
  </si>
  <si>
    <t>kind</t>
  </si>
  <si>
    <t>relaxed</t>
  </si>
  <si>
    <t>focus</t>
  </si>
  <si>
    <t># text = One held a half-eaten ice cream cone in one hand and arrows in the left with yellow fletching.</t>
  </si>
  <si>
    <t>pron.pind</t>
  </si>
  <si>
    <t>held</t>
  </si>
  <si>
    <t>half</t>
  </si>
  <si>
    <t>eaten</t>
  </si>
  <si>
    <t>ice</t>
  </si>
  <si>
    <t>cream</t>
  </si>
  <si>
    <t>cone</t>
  </si>
  <si>
    <t>hand</t>
  </si>
  <si>
    <t>arrows</t>
  </si>
  <si>
    <t>left</t>
  </si>
  <si>
    <t>yellow</t>
  </si>
  <si>
    <t>fletching</t>
  </si>
  <si>
    <t># text = And they passed me and smiled, but they sized me up as they made their way to the turf, and spoke to each other not with words but with numbers, degrees, I thought, positions for how they might plan to hit their target.</t>
  </si>
  <si>
    <t>And</t>
  </si>
  <si>
    <t>passed</t>
  </si>
  <si>
    <t>smiled</t>
  </si>
  <si>
    <t>sized</t>
  </si>
  <si>
    <t>made</t>
  </si>
  <si>
    <t>their</t>
  </si>
  <si>
    <t>way</t>
  </si>
  <si>
    <t>turf</t>
  </si>
  <si>
    <t>spoke</t>
  </si>
  <si>
    <t>each</t>
  </si>
  <si>
    <t>words</t>
  </si>
  <si>
    <t>numbers</t>
  </si>
  <si>
    <t>degrees</t>
  </si>
  <si>
    <t>positions</t>
  </si>
  <si>
    <t>how</t>
  </si>
  <si>
    <t>SBJ_6</t>
  </si>
  <si>
    <t>plan</t>
  </si>
  <si>
    <t>other_8</t>
  </si>
  <si>
    <t>OBJ_7</t>
  </si>
  <si>
    <t># text = I stood behind one archer as her coach stood in between us to maybe assess who might need support, and watched her, and I didn't understand how even one was going to hit the ten ring.</t>
  </si>
  <si>
    <t>behind</t>
  </si>
  <si>
    <t>between</t>
  </si>
  <si>
    <t>maybe</t>
  </si>
  <si>
    <t>assess</t>
  </si>
  <si>
    <t>who</t>
  </si>
  <si>
    <t>need</t>
  </si>
  <si>
    <t>support</t>
  </si>
  <si>
    <t>even</t>
  </si>
  <si>
    <t>SBJ_7</t>
  </si>
  <si>
    <t>going</t>
  </si>
  <si>
    <t>ten</t>
  </si>
  <si>
    <t>ring</t>
  </si>
  <si>
    <t>OBJ_8</t>
  </si>
  <si>
    <t>def-np.quant</t>
  </si>
  <si>
    <t># text = The ten ring from the standard 75-yard distance, it looks as small as a matchstick tip held out at arm's length.</t>
  </si>
  <si>
    <t>The</t>
  </si>
  <si>
    <t>standard</t>
  </si>
  <si>
    <t>yard</t>
  </si>
  <si>
    <t>distance</t>
  </si>
  <si>
    <t>looks</t>
  </si>
  <si>
    <t>small</t>
  </si>
  <si>
    <t>matchstick</t>
  </si>
  <si>
    <t>arm</t>
  </si>
  <si>
    <t>length</t>
  </si>
  <si>
    <t># text = And this is while holding 50 pounds of draw weight on each shot.</t>
  </si>
  <si>
    <t>while</t>
  </si>
  <si>
    <t>holding</t>
  </si>
  <si>
    <t>pounds</t>
  </si>
  <si>
    <t>draw</t>
  </si>
  <si>
    <t>weight</t>
  </si>
  <si>
    <t>shot</t>
  </si>
  <si>
    <t>indef-np</t>
  </si>
  <si>
    <t># text = She first hit a seven, I remember, and then a nine, and then two tens, and then the next arrow didn't even hit the target.</t>
  </si>
  <si>
    <t>seven</t>
  </si>
  <si>
    <t>then</t>
  </si>
  <si>
    <t>nine</t>
  </si>
  <si>
    <t>two</t>
  </si>
  <si>
    <t>tens</t>
  </si>
  <si>
    <t>next</t>
  </si>
  <si>
    <t>arrow</t>
  </si>
  <si>
    <t># text = And I saw that gave her more tenacity, and she went after it again and again.</t>
  </si>
  <si>
    <t>gave</t>
  </si>
  <si>
    <t>more</t>
  </si>
  <si>
    <t>tenacity</t>
  </si>
  <si>
    <t>after</t>
  </si>
  <si>
    <t># text = For three hours this went on.</t>
  </si>
  <si>
    <t>For</t>
  </si>
  <si>
    <t>three</t>
  </si>
  <si>
    <t>hours</t>
  </si>
  <si>
    <t># text = At the end of the practice, one of the archers was so taxed that she lied out on the ground just star-fished, her head looking up at the sky, trying to find what T.S.</t>
  </si>
  <si>
    <t>At</t>
  </si>
  <si>
    <t>end</t>
  </si>
  <si>
    <t>practice</t>
  </si>
  <si>
    <t>taxed</t>
  </si>
  <si>
    <t>lied</t>
  </si>
  <si>
    <t>ground</t>
  </si>
  <si>
    <t>just</t>
  </si>
  <si>
    <t>star-fished</t>
  </si>
  <si>
    <t>head</t>
  </si>
  <si>
    <t>sky</t>
  </si>
  <si>
    <t>trying</t>
  </si>
  <si>
    <t>find</t>
  </si>
  <si>
    <t>T.S.</t>
  </si>
  <si>
    <t># text = Eliot might call that still point of the turning world.</t>
  </si>
  <si>
    <t>Eliot</t>
  </si>
  <si>
    <t>call</t>
  </si>
  <si>
    <t>still</t>
  </si>
  <si>
    <t>point</t>
  </si>
  <si>
    <t>turning</t>
  </si>
  <si>
    <t>world</t>
  </si>
  <si>
    <t># text = It's so rare in American culture, there's so little that's vocational about it anymore, to look at what doggedness looks like with this level of exactitude, what it means to align your body posture for three hours in order to hit a target, pursuing a kind of excellence in obscurity.</t>
  </si>
  <si>
    <t>It</t>
  </si>
  <si>
    <t>rare</t>
  </si>
  <si>
    <t>American</t>
  </si>
  <si>
    <t>culture</t>
  </si>
  <si>
    <t>there</t>
  </si>
  <si>
    <t>little</t>
  </si>
  <si>
    <t>vocational</t>
  </si>
  <si>
    <t>about</t>
  </si>
  <si>
    <t>anymore</t>
  </si>
  <si>
    <t>look</t>
  </si>
  <si>
    <t>doggedness</t>
  </si>
  <si>
    <t>like</t>
  </si>
  <si>
    <t>level</t>
  </si>
  <si>
    <t>exactitude</t>
  </si>
  <si>
    <t>means</t>
  </si>
  <si>
    <t>align</t>
  </si>
  <si>
    <t>posture</t>
  </si>
  <si>
    <t>other_7</t>
  </si>
  <si>
    <t>OBJ_6</t>
  </si>
  <si>
    <t>pursuing</t>
  </si>
  <si>
    <t>excellence</t>
  </si>
  <si>
    <t>obscurity</t>
  </si>
  <si>
    <t># text = But I stayed because I realized I was witnessing what's so rare to glimpse, that difference between success and mastery.</t>
  </si>
  <si>
    <t>stayed</t>
  </si>
  <si>
    <t>witnessing</t>
  </si>
  <si>
    <t>glimpse</t>
  </si>
  <si>
    <t>difference</t>
  </si>
  <si>
    <t># text = So success is hitting that ten ring, but mastery is knowing that it means nothing if you can't do it again and again.</t>
  </si>
  <si>
    <t>So</t>
  </si>
  <si>
    <t>hitting</t>
  </si>
  <si>
    <t>knowing</t>
  </si>
  <si>
    <t>nothing</t>
  </si>
  <si>
    <t>if</t>
  </si>
  <si>
    <t>ca</t>
  </si>
  <si>
    <t>do</t>
  </si>
  <si>
    <t># text = Mastery is not just the same as excellence, though.</t>
  </si>
  <si>
    <t>Mastery</t>
  </si>
  <si>
    <t>same</t>
  </si>
  <si>
    <t>though</t>
  </si>
  <si>
    <t># text = It's not the same as success, which I see as an event, a moment in time, and a label that the world confers upon you.</t>
  </si>
  <si>
    <t>which</t>
  </si>
  <si>
    <t>an</t>
  </si>
  <si>
    <t>event</t>
  </si>
  <si>
    <t>time</t>
  </si>
  <si>
    <t>label</t>
  </si>
  <si>
    <t>confers</t>
  </si>
  <si>
    <t>upon</t>
  </si>
  <si>
    <t># text = Mastery is not a commitment to a goal but to a constant pursuit.</t>
  </si>
  <si>
    <t>commitment</t>
  </si>
  <si>
    <t>goal</t>
  </si>
  <si>
    <t>constant</t>
  </si>
  <si>
    <t>pursuit</t>
  </si>
  <si>
    <t># text = What gets us to do this, what get us to forward thrust more is to value the near win.</t>
  </si>
  <si>
    <t>get</t>
  </si>
  <si>
    <t>forward</t>
  </si>
  <si>
    <t>thrust</t>
  </si>
  <si>
    <t># text = How many times have we designated something a classic, a masterpiece even, while its creator considers it hopelessly unfinished, riddled with difficulties and flaws, in other words, a near win?</t>
  </si>
  <si>
    <t>How</t>
  </si>
  <si>
    <t>many</t>
  </si>
  <si>
    <t>times</t>
  </si>
  <si>
    <t>designated</t>
  </si>
  <si>
    <t>classic</t>
  </si>
  <si>
    <t>masterpiece</t>
  </si>
  <si>
    <t>creator</t>
  </si>
  <si>
    <t>considers</t>
  </si>
  <si>
    <t>hopelessly</t>
  </si>
  <si>
    <t>unfinished</t>
  </si>
  <si>
    <t>riddled</t>
  </si>
  <si>
    <t>difficulties</t>
  </si>
  <si>
    <t>flaws</t>
  </si>
  <si>
    <t># text = Elizabeth Murray surprised me with her admission about her earlier paintings.</t>
  </si>
  <si>
    <t>surprised</t>
  </si>
  <si>
    <t>admission</t>
  </si>
  <si>
    <t>earlier</t>
  </si>
  <si>
    <t># text = Painter Paul Cézanne so often thought his works were incomplete that he would deliberately leave them aside with the intention of picking them back up again, but at the end of his life, the result was that he had only signed 10 percent of his paintings.</t>
  </si>
  <si>
    <t>Painter</t>
  </si>
  <si>
    <t>Paul</t>
  </si>
  <si>
    <t>Cézanne</t>
  </si>
  <si>
    <t>often</t>
  </si>
  <si>
    <t>his</t>
  </si>
  <si>
    <t>incomplete</t>
  </si>
  <si>
    <t>he</t>
  </si>
  <si>
    <t>deliberately</t>
  </si>
  <si>
    <t>leave</t>
  </si>
  <si>
    <t>aside</t>
  </si>
  <si>
    <t>intention</t>
  </si>
  <si>
    <t>picking</t>
  </si>
  <si>
    <t>back</t>
  </si>
  <si>
    <t>only</t>
  </si>
  <si>
    <t>signed</t>
  </si>
  <si>
    <t>percent</t>
  </si>
  <si>
    <t>--</t>
  </si>
  <si>
    <t># text = His favorite novel was "The [Unknown]</t>
  </si>
  <si>
    <t>His</t>
  </si>
  <si>
    <t>favorite</t>
  </si>
  <si>
    <t>novel</t>
  </si>
  <si>
    <t>&amp;quot;</t>
  </si>
  <si>
    <t>[</t>
  </si>
  <si>
    <t>Unknown</t>
  </si>
  <si>
    <t>]</t>
  </si>
  <si>
    <t># text = Masterpiece" by Honoré de Balzac, and he felt the protagonist was the painter himself.</t>
  </si>
  <si>
    <t>Masterpiece</t>
  </si>
  <si>
    <t>by</t>
  </si>
  <si>
    <t>Honoré</t>
  </si>
  <si>
    <t>de</t>
  </si>
  <si>
    <t>Balzac</t>
  </si>
  <si>
    <t>felt</t>
  </si>
  <si>
    <t>protagonist</t>
  </si>
  <si>
    <t>himself</t>
  </si>
  <si>
    <t># text = Franz Kafka saw incompletion when others would find only works to praise, so much so that he wanted all of his diaries, manuscripts, letters and even sketches burned upon his death.</t>
  </si>
  <si>
    <t>Franz</t>
  </si>
  <si>
    <t>Kafka</t>
  </si>
  <si>
    <t>incompletion</t>
  </si>
  <si>
    <t>others</t>
  </si>
  <si>
    <t>praise</t>
  </si>
  <si>
    <t>diaries</t>
  </si>
  <si>
    <t>manuscripts</t>
  </si>
  <si>
    <t>letters</t>
  </si>
  <si>
    <t>sketches</t>
  </si>
  <si>
    <t>burned</t>
  </si>
  <si>
    <t>death</t>
  </si>
  <si>
    <t># text = His friend refused to honor the request, and because of that, we now have all the works we now do by Kafka: "America," "The Trial" and "The Castle," a work so incomplete it even stops mid-sentence.</t>
  </si>
  <si>
    <t>friend</t>
  </si>
  <si>
    <t>refused</t>
  </si>
  <si>
    <t>honor</t>
  </si>
  <si>
    <t>request</t>
  </si>
  <si>
    <t>now</t>
  </si>
  <si>
    <t>America</t>
  </si>
  <si>
    <t>Trial</t>
  </si>
  <si>
    <t>Castle</t>
  </si>
  <si>
    <t>stops</t>
  </si>
  <si>
    <t>mid-sentence</t>
  </si>
  <si>
    <t># text = The pursuit of mastery, in other words, is an ever-onward almost.</t>
  </si>
  <si>
    <t>ever</t>
  </si>
  <si>
    <t>onward</t>
  </si>
  <si>
    <t>almost</t>
  </si>
  <si>
    <t># text = "Lord, grant that I desire more than I can accomplish," Michelangelo implored, as if to that Old Testament God on the Sistine Chapel, and he himself was that Adam with his finger outstretched and not quite touching that God's hand.</t>
  </si>
  <si>
    <t>Lord</t>
  </si>
  <si>
    <t>grant</t>
  </si>
  <si>
    <t>desire</t>
  </si>
  <si>
    <t>than</t>
  </si>
  <si>
    <t>can</t>
  </si>
  <si>
    <t>accomplish</t>
  </si>
  <si>
    <t>Michelangelo</t>
  </si>
  <si>
    <t>implored</t>
  </si>
  <si>
    <t>Old</t>
  </si>
  <si>
    <t>Testament</t>
  </si>
  <si>
    <t>God</t>
  </si>
  <si>
    <t>Sistine</t>
  </si>
  <si>
    <t>Chapel</t>
  </si>
  <si>
    <t>Adam</t>
  </si>
  <si>
    <t>finger</t>
  </si>
  <si>
    <t>outstretched</t>
  </si>
  <si>
    <t>touching</t>
  </si>
  <si>
    <t># text = Mastery is in the reaching, not the arriving.</t>
  </si>
  <si>
    <t>reaching</t>
  </si>
  <si>
    <t>arriving</t>
  </si>
  <si>
    <t># text = It's in constantly wanting to close that gap between where you are and where you want to be.</t>
  </si>
  <si>
    <t>constantly</t>
  </si>
  <si>
    <t>wanting</t>
  </si>
  <si>
    <t>close</t>
  </si>
  <si>
    <t>gap</t>
  </si>
  <si>
    <t>where</t>
  </si>
  <si>
    <t>are</t>
  </si>
  <si>
    <t>want</t>
  </si>
  <si>
    <t># text = Mastery is about sacrificing for your craft and not for the sake of crafting your career.</t>
  </si>
  <si>
    <t>sacrificing</t>
  </si>
  <si>
    <t>craft</t>
  </si>
  <si>
    <t>sake</t>
  </si>
  <si>
    <t>crafting</t>
  </si>
  <si>
    <t>career</t>
  </si>
  <si>
    <t># text = How many inventors and untold entrepreneurs live out this phenomenon?</t>
  </si>
  <si>
    <t>inventors</t>
  </si>
  <si>
    <t>untold</t>
  </si>
  <si>
    <t>entrepreneurs</t>
  </si>
  <si>
    <t>live</t>
  </si>
  <si>
    <t>phenomenon</t>
  </si>
  <si>
    <t># text = We see it even in the life of the indomitable Arctic explorer Ben Saunders, who tells me that his triumphs are not merely the result of a grand achievement, but of the propulsion of a lineage of near wins.</t>
  </si>
  <si>
    <t>We</t>
  </si>
  <si>
    <t>indomitable</t>
  </si>
  <si>
    <t>Arctic</t>
  </si>
  <si>
    <t>explorer</t>
  </si>
  <si>
    <t>Ben</t>
  </si>
  <si>
    <t>Saunders</t>
  </si>
  <si>
    <t>tells</t>
  </si>
  <si>
    <t>triumphs</t>
  </si>
  <si>
    <t>merely</t>
  </si>
  <si>
    <t>grand</t>
  </si>
  <si>
    <t>achievement</t>
  </si>
  <si>
    <t>propulsion</t>
  </si>
  <si>
    <t>lineage</t>
  </si>
  <si>
    <t>wins</t>
  </si>
  <si>
    <t># text = We thrive when we stay at our own leading edge.</t>
  </si>
  <si>
    <t>thrive</t>
  </si>
  <si>
    <t>stay</t>
  </si>
  <si>
    <t>our</t>
  </si>
  <si>
    <t>leading</t>
  </si>
  <si>
    <t>edge</t>
  </si>
  <si>
    <t># text = It's a wisdom understood by Duke Ellington, who said that his favorite song out of his repertoire was always the next one, always the one he had yet to compose.</t>
  </si>
  <si>
    <t>wisdom</t>
  </si>
  <si>
    <t>understood</t>
  </si>
  <si>
    <t>Duke</t>
  </si>
  <si>
    <t>Ellington</t>
  </si>
  <si>
    <t>said</t>
  </si>
  <si>
    <t>song</t>
  </si>
  <si>
    <t>repertoire</t>
  </si>
  <si>
    <t>yet</t>
  </si>
  <si>
    <t>compose</t>
  </si>
  <si>
    <t># text = Part of the reason that the near win is inbuilt to mastery is because the greater our proficiency, the more clearly we might see that we don't know all that we thought we did.</t>
  </si>
  <si>
    <t>Part</t>
  </si>
  <si>
    <t>inbuilt</t>
  </si>
  <si>
    <t>greater</t>
  </si>
  <si>
    <t>proficiency</t>
  </si>
  <si>
    <t>clearly</t>
  </si>
  <si>
    <t># text = It's called the Dunning–Kruger effect.</t>
  </si>
  <si>
    <t>Dunning</t>
  </si>
  <si>
    <t>–</t>
  </si>
  <si>
    <t>Kruger</t>
  </si>
  <si>
    <t>effect</t>
  </si>
  <si>
    <t># text = The Paris Review got it out of James Baldwin when they asked him, \"What do you think increases with knowledge?\"</t>
  </si>
  <si>
    <t>Paris</t>
  </si>
  <si>
    <t>Review</t>
  </si>
  <si>
    <t>got</t>
  </si>
  <si>
    <t>James</t>
  </si>
  <si>
    <t>Baldwin</t>
  </si>
  <si>
    <t>him</t>
  </si>
  <si>
    <t>increases</t>
  </si>
  <si>
    <t>knowledge</t>
  </si>
  <si>
    <t># text = and he said, \"You learn how little you know.\"</t>
  </si>
  <si>
    <t>You</t>
  </si>
  <si>
    <t>learn</t>
  </si>
  <si>
    <t># text = Success motivates us, but a near win can propel us in an ongoing quest.</t>
  </si>
  <si>
    <t>Success</t>
  </si>
  <si>
    <t>motivates</t>
  </si>
  <si>
    <t>propel</t>
  </si>
  <si>
    <t>ongoing</t>
  </si>
  <si>
    <t>quest</t>
  </si>
  <si>
    <t># text = One of the most vivid examples of this comes when we look at the difference between Olympic silver medalists and bronze medalists after a competition.</t>
  </si>
  <si>
    <t>most</t>
  </si>
  <si>
    <t>vivid</t>
  </si>
  <si>
    <t>examples</t>
  </si>
  <si>
    <t>Olympic</t>
  </si>
  <si>
    <t>silver</t>
  </si>
  <si>
    <t>medalists</t>
  </si>
  <si>
    <t>bronze</t>
  </si>
  <si>
    <t>competition</t>
  </si>
  <si>
    <t># text = Thomas Gilovich and his team from Cornell studied this difference and found that the frustration silver medalists feel compared to bronze, who are typically a bit more happy to have just not received fourth place and not medaled at all, gives silver medalists a focus on follow-up competition.</t>
  </si>
  <si>
    <t>Thomas</t>
  </si>
  <si>
    <t>Gilovich</t>
  </si>
  <si>
    <t>team</t>
  </si>
  <si>
    <t>Cornell</t>
  </si>
  <si>
    <t>studied</t>
  </si>
  <si>
    <t>found</t>
  </si>
  <si>
    <t>frustration</t>
  </si>
  <si>
    <t>compared</t>
  </si>
  <si>
    <t>typically</t>
  </si>
  <si>
    <t>bit</t>
  </si>
  <si>
    <t>happy</t>
  </si>
  <si>
    <t>received</t>
  </si>
  <si>
    <t>fourth</t>
  </si>
  <si>
    <t>place</t>
  </si>
  <si>
    <t>medaled</t>
  </si>
  <si>
    <t>gives</t>
  </si>
  <si>
    <t>follow</t>
  </si>
  <si>
    <t># text = We see it even in the gambling industry that once picked up on this phenomenon of the near win and created these scratch-off tickets that had a higher than average rate of near wins and so compelled people to buy more tickets that they were called heart-stoppers, and were set on a gambling industry set of abuses in Britain in the 1970s.</t>
  </si>
  <si>
    <t>gambling</t>
  </si>
  <si>
    <t>industry</t>
  </si>
  <si>
    <t>once</t>
  </si>
  <si>
    <t>picked</t>
  </si>
  <si>
    <t>created</t>
  </si>
  <si>
    <t>scratch</t>
  </si>
  <si>
    <t>off</t>
  </si>
  <si>
    <t>tickets</t>
  </si>
  <si>
    <t>higher</t>
  </si>
  <si>
    <t>average</t>
  </si>
  <si>
    <t>rate</t>
  </si>
  <si>
    <t>compelled</t>
  </si>
  <si>
    <t>people</t>
  </si>
  <si>
    <t>buy</t>
  </si>
  <si>
    <t>heart</t>
  </si>
  <si>
    <t>stoppers</t>
  </si>
  <si>
    <t>abuses</t>
  </si>
  <si>
    <t>Britain</t>
  </si>
  <si>
    <t># text = The reason the near win has a propulsion is because it changes our view of the landscape and puts our goals, which we tend to put at a distance, into more proximate vicinity to where we stand.</t>
  </si>
  <si>
    <t>has</t>
  </si>
  <si>
    <t>changes</t>
  </si>
  <si>
    <t>landscape</t>
  </si>
  <si>
    <t>puts</t>
  </si>
  <si>
    <t>goals</t>
  </si>
  <si>
    <t>tend</t>
  </si>
  <si>
    <t>put</t>
  </si>
  <si>
    <t>proximate</t>
  </si>
  <si>
    <t>vicinity</t>
  </si>
  <si>
    <t>SBJ_8</t>
  </si>
  <si>
    <t>stand</t>
  </si>
  <si>
    <t># text = If I ask you to envision what a great day looks like next week, you might describe it in more general terms.</t>
  </si>
  <si>
    <t>ask</t>
  </si>
  <si>
    <t>envision</t>
  </si>
  <si>
    <t>great</t>
  </si>
  <si>
    <t>week</t>
  </si>
  <si>
    <t>describe</t>
  </si>
  <si>
    <t>general</t>
  </si>
  <si>
    <t>terms</t>
  </si>
  <si>
    <t># text = But if I ask you to describe a great day at TED tomorrow, you might describe it with granular, practical clarity.</t>
  </si>
  <si>
    <t>TED</t>
  </si>
  <si>
    <t>tomorrow</t>
  </si>
  <si>
    <t>granular</t>
  </si>
  <si>
    <t>practical</t>
  </si>
  <si>
    <t>clarity</t>
  </si>
  <si>
    <t># text = And this is what a near win does.</t>
  </si>
  <si>
    <t>does</t>
  </si>
  <si>
    <t># text = It gets us to focus on what, right now, we plan to do to address that mountain in our sights.</t>
  </si>
  <si>
    <t>right</t>
  </si>
  <si>
    <t>address</t>
  </si>
  <si>
    <t>mountain</t>
  </si>
  <si>
    <t>sights</t>
  </si>
  <si>
    <t># text = It's Jackie Joyner-Kersee, who in 1984 missed taking the gold in the heptathlon by one third of a second, and her husband predicted that would give her the tenacity she needed in follow-up competition.</t>
  </si>
  <si>
    <t>Jackie</t>
  </si>
  <si>
    <t>Joyner</t>
  </si>
  <si>
    <t>Kersee</t>
  </si>
  <si>
    <t>1984</t>
  </si>
  <si>
    <t>missed</t>
  </si>
  <si>
    <t>taking</t>
  </si>
  <si>
    <t>gold</t>
  </si>
  <si>
    <t>heptathlon</t>
  </si>
  <si>
    <t>third</t>
  </si>
  <si>
    <t>second</t>
  </si>
  <si>
    <t>husband</t>
  </si>
  <si>
    <t>predicted</t>
  </si>
  <si>
    <t>give</t>
  </si>
  <si>
    <t>needed</t>
  </si>
  <si>
    <t># text = In 1988, she won the gold in the heptathlon and set a record of 7,291 points, a score that no athlete has come very close to since.</t>
  </si>
  <si>
    <t>1988</t>
  </si>
  <si>
    <t>won</t>
  </si>
  <si>
    <t>record</t>
  </si>
  <si>
    <t>7,291</t>
  </si>
  <si>
    <t>points</t>
  </si>
  <si>
    <t>score</t>
  </si>
  <si>
    <t>no</t>
  </si>
  <si>
    <t>athlete</t>
  </si>
  <si>
    <t>very</t>
  </si>
  <si>
    <t>since</t>
  </si>
  <si>
    <t># text = We thrive not when we've done it all, but when we still have more to do.</t>
  </si>
  <si>
    <t>done</t>
  </si>
  <si>
    <t># text = I stand here thinking and wondering about all the different ways that we might even manufacture a near win in this room, how your lives might play this out, because I think on some gut level we do know this.</t>
  </si>
  <si>
    <t>here</t>
  </si>
  <si>
    <t>thinking</t>
  </si>
  <si>
    <t>wondering</t>
  </si>
  <si>
    <t>different</t>
  </si>
  <si>
    <t>ways</t>
  </si>
  <si>
    <t>manufacture</t>
  </si>
  <si>
    <t>room</t>
  </si>
  <si>
    <t>lives</t>
  </si>
  <si>
    <t>play</t>
  </si>
  <si>
    <t>gut</t>
  </si>
  <si>
    <t># text = We know that we thrive when we stay at our own leading edge, and it's why the deliberate incomplete is inbuilt into creation myths.</t>
  </si>
  <si>
    <t>why</t>
  </si>
  <si>
    <t>deliberate</t>
  </si>
  <si>
    <t>creation</t>
  </si>
  <si>
    <t>myths</t>
  </si>
  <si>
    <t># text = In Navajo culture, some craftsmen and women would deliberately put an imperfection in textiles and ceramics.</t>
  </si>
  <si>
    <t>Navajo</t>
  </si>
  <si>
    <t>craftsmen</t>
  </si>
  <si>
    <t>imperfection</t>
  </si>
  <si>
    <t>textiles</t>
  </si>
  <si>
    <t>ceramics</t>
  </si>
  <si>
    <t># text = It's what's called a spirit line, a deliberate flaw in the pattern to give the weaver or maker a way out, but also a reason to continue making work.</t>
  </si>
  <si>
    <t>spirit</t>
  </si>
  <si>
    <t>line</t>
  </si>
  <si>
    <t>flaw</t>
  </si>
  <si>
    <t>pattern</t>
  </si>
  <si>
    <t>weaver</t>
  </si>
  <si>
    <t>or</t>
  </si>
  <si>
    <t>maker</t>
  </si>
  <si>
    <t>also</t>
  </si>
  <si>
    <t>continue</t>
  </si>
  <si>
    <t>making</t>
  </si>
  <si>
    <t># text = Masters are not experts because they take a subject to its conceptual end.</t>
  </si>
  <si>
    <t>Masters</t>
  </si>
  <si>
    <t>experts</t>
  </si>
  <si>
    <t>take</t>
  </si>
  <si>
    <t>subject</t>
  </si>
  <si>
    <t>its</t>
  </si>
  <si>
    <t>conceptual</t>
  </si>
  <si>
    <t># text = They're masters because they realize that there isn't one.</t>
  </si>
  <si>
    <t>They</t>
  </si>
  <si>
    <t>masters</t>
  </si>
  <si>
    <t>realize</t>
  </si>
  <si>
    <t># text = Now it occurred to me, as I thought about this, why the archery coach told me at the end of that practice, out of earshot of his archers, that he and his colleagues never feel they can do enough for their team, never feel there are enough visualization techniques and posture drills to help them overcome those constant near wins.</t>
  </si>
  <si>
    <t>Now</t>
  </si>
  <si>
    <t>occurred</t>
  </si>
  <si>
    <t>archery</t>
  </si>
  <si>
    <t>earshot</t>
  </si>
  <si>
    <t>colleagues</t>
  </si>
  <si>
    <t>never</t>
  </si>
  <si>
    <t>enough</t>
  </si>
  <si>
    <t>visualization</t>
  </si>
  <si>
    <t>techniques</t>
  </si>
  <si>
    <t>drills</t>
  </si>
  <si>
    <t>help</t>
  </si>
  <si>
    <t>overcome</t>
  </si>
  <si>
    <t># text = It didn't sound like a complaint, exactly, but just a way to let me know, a kind of tender admission, to remind me that he knew he was giving himself over to a voracious, unfinished path that always required more.</t>
  </si>
  <si>
    <t>sound</t>
  </si>
  <si>
    <t>complaint</t>
  </si>
  <si>
    <t>exactly</t>
  </si>
  <si>
    <t>let</t>
  </si>
  <si>
    <t>tender</t>
  </si>
  <si>
    <t>remind</t>
  </si>
  <si>
    <t>knew</t>
  </si>
  <si>
    <t>giving</t>
  </si>
  <si>
    <t>over</t>
  </si>
  <si>
    <t>voracious</t>
  </si>
  <si>
    <t>path</t>
  </si>
  <si>
    <t>required</t>
  </si>
  <si>
    <t># text = We build out of the unfinished idea, even if that idea is our former self.</t>
  </si>
  <si>
    <t>build</t>
  </si>
  <si>
    <t>former</t>
  </si>
  <si>
    <t>self</t>
  </si>
  <si>
    <t># text = This is the dynamic of mastery.</t>
  </si>
  <si>
    <t>dynamic</t>
  </si>
  <si>
    <t># text = Coming close to what you thought you wanted can help you attain more than you ever dreamed you could.</t>
  </si>
  <si>
    <t>Coming</t>
  </si>
  <si>
    <t>attain</t>
  </si>
  <si>
    <t>other_9</t>
  </si>
  <si>
    <t>dreamed</t>
  </si>
  <si>
    <t>OBJ_9</t>
  </si>
  <si>
    <t>could</t>
  </si>
  <si>
    <t># text = It's what I have to imagine Elizabeth Murray was thinking when I saw her smiling at those early paintings one day in the galleries.</t>
  </si>
  <si>
    <t>imagine</t>
  </si>
  <si>
    <t>smiling</t>
  </si>
  <si>
    <t>galleries</t>
  </si>
  <si>
    <t># text = Even if we created utopias, I believe we would still have the incomplete.</t>
  </si>
  <si>
    <t>Even</t>
  </si>
  <si>
    <t>utopias</t>
  </si>
  <si>
    <t>believe</t>
  </si>
  <si>
    <t># text = Completion is a goal, but we hope it is never the end.</t>
  </si>
  <si>
    <t>Completion</t>
  </si>
  <si>
    <t>hope</t>
  </si>
  <si>
    <t># text = Thank you.</t>
  </si>
  <si>
    <t>Thank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</si>
</sst>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85"/>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11</v>
      </c>
      <c r="D2" s="7" t="s">
        <v>11</v>
      </c>
      <c r="E2" s="8" t="s">
        <v>12</v>
      </c>
      <c r="F2" s="6" t="s">
        <v>11</v>
      </c>
      <c r="G2" s="9">
        <f>IF(A2=1,"_",IF(C2="_","???",C2))</f>
        <v/>
      </c>
      <c r="H2" s="10" t="s">
        <v>11</v>
      </c>
      <c r="I2" s="11" t="s">
        <v>11</v>
      </c>
      <c r="J2" s="12"/>
    </row>
    <row r="3" spans="1:10" ht="60" customHeight="1">
      <c r="A3" s="6" t="s">
        <v>13</v>
      </c>
      <c r="B3" s="6" t="s">
        <v>11</v>
      </c>
      <c r="C3" s="6" t="s">
        <v>11</v>
      </c>
      <c r="D3" s="7" t="s">
        <v>11</v>
      </c>
      <c r="E3" s="8" t="s">
        <v>14</v>
      </c>
      <c r="F3" s="6" t="s">
        <v>11</v>
      </c>
      <c r="G3" s="9">
        <f>IF(A3=1,"_",IF(C3="_","???",C3))</f>
        <v/>
      </c>
      <c r="H3" s="10" t="s">
        <v>11</v>
      </c>
      <c r="I3" s="11" t="s">
        <v>11</v>
      </c>
      <c r="J3" s="12"/>
    </row>
    <row r="4" spans="1:10" ht="60" customHeight="1">
      <c r="A4" s="6" t="s">
        <v>15</v>
      </c>
      <c r="B4" s="6" t="s">
        <v>11</v>
      </c>
      <c r="C4" s="6" t="s">
        <v>11</v>
      </c>
      <c r="D4" s="7" t="s">
        <v>11</v>
      </c>
      <c r="E4" s="8" t="s">
        <v>16</v>
      </c>
      <c r="F4" s="6" t="s">
        <v>11</v>
      </c>
      <c r="G4" s="9">
        <f>IF(A4=1,"_",IF(C4="_","???",C4))</f>
        <v/>
      </c>
      <c r="H4" s="10" t="s">
        <v>11</v>
      </c>
      <c r="I4" s="11" t="s">
        <v>11</v>
      </c>
      <c r="J4" s="12"/>
    </row>
    <row r="5" spans="1:10" ht="60" customHeight="1">
      <c r="A5" s="6" t="s">
        <v>17</v>
      </c>
      <c r="B5" s="6" t="s">
        <v>11</v>
      </c>
      <c r="C5" s="6" t="s">
        <v>11</v>
      </c>
      <c r="D5" s="7" t="s">
        <v>11</v>
      </c>
      <c r="E5" s="8" t="s">
        <v>18</v>
      </c>
      <c r="F5" s="6" t="s">
        <v>11</v>
      </c>
      <c r="G5" s="9">
        <f>IF(A5=1,"_",IF(C5="_","???",C5))</f>
        <v/>
      </c>
      <c r="H5" s="10" t="s">
        <v>11</v>
      </c>
      <c r="I5" s="11" t="s">
        <v>11</v>
      </c>
      <c r="J5" s="12"/>
    </row>
    <row r="6" spans="1:10" ht="60" customHeight="1">
      <c r="A6" s="6" t="s">
        <v>19</v>
      </c>
      <c r="B6" s="6" t="s">
        <v>11</v>
      </c>
      <c r="C6" s="6" t="s">
        <v>20</v>
      </c>
      <c r="D6" s="7" t="s">
        <v>11</v>
      </c>
      <c r="E6" s="8" t="s">
        <v>21</v>
      </c>
      <c r="F6" s="6" t="s">
        <v>11</v>
      </c>
      <c r="G6" s="9">
        <f>IF(A6=1,"_",IF(C6="_","???",C6))</f>
        <v/>
      </c>
      <c r="H6" s="10" t="s">
        <v>17</v>
      </c>
      <c r="I6" s="11" t="s">
        <v>23</v>
      </c>
      <c r="J6" s="12" t="s">
        <v>24</v>
      </c>
    </row>
    <row r="7" spans="1:10" ht="60" customHeight="1">
      <c r="A7" s="6" t="s">
        <v>25</v>
      </c>
      <c r="B7" s="6" t="s">
        <v>11</v>
      </c>
      <c r="C7" s="6" t="s">
        <v>11</v>
      </c>
      <c r="D7" s="7" t="s">
        <v>11</v>
      </c>
      <c r="E7" s="8" t="s">
        <v>26</v>
      </c>
      <c r="F7" s="6" t="s">
        <v>11</v>
      </c>
      <c r="G7" s="9">
        <f>IF(A7=1,"_",IF(C7="_","???",C7))</f>
        <v/>
      </c>
      <c r="H7" s="10" t="s">
        <v>11</v>
      </c>
      <c r="I7" s="11" t="s">
        <v>11</v>
      </c>
      <c r="J7" s="12"/>
    </row>
    <row r="8" spans="1:10" ht="60" customHeight="1">
      <c r="A8" s="6" t="s">
        <v>27</v>
      </c>
      <c r="B8" s="6" t="s">
        <v>11</v>
      </c>
      <c r="C8" s="6" t="s">
        <v>20</v>
      </c>
      <c r="D8" s="7" t="s">
        <v>11</v>
      </c>
      <c r="E8" s="8" t="s">
        <v>28</v>
      </c>
      <c r="F8" s="6" t="s">
        <v>11</v>
      </c>
      <c r="G8" s="9">
        <f>IF(A8=1,"_",IF(C8="_","???",C8))</f>
        <v/>
      </c>
      <c r="H8" s="10" t="s">
        <v>25</v>
      </c>
      <c r="I8" s="11" t="s">
        <v>23</v>
      </c>
      <c r="J8" s="12" t="s">
        <v>24</v>
      </c>
    </row>
    <row r="9" spans="1:10" ht="60" customHeight="1">
      <c r="A9" s="6" t="s">
        <v>29</v>
      </c>
      <c r="B9" s="6" t="s">
        <v>11</v>
      </c>
      <c r="C9" s="6" t="s">
        <v>11</v>
      </c>
      <c r="D9" s="7" t="s">
        <v>11</v>
      </c>
      <c r="E9" s="8" t="s">
        <v>30</v>
      </c>
      <c r="F9" s="6" t="s">
        <v>11</v>
      </c>
      <c r="G9" s="9">
        <f>IF(A9=1,"_",IF(C9="_","???",C9))</f>
        <v/>
      </c>
      <c r="H9" s="10" t="s">
        <v>11</v>
      </c>
      <c r="I9" s="11" t="s">
        <v>11</v>
      </c>
      <c r="J9" s="12"/>
    </row>
    <row r="10" spans="1:10" ht="60" customHeight="1">
      <c r="A10" s="6" t="s">
        <v>31</v>
      </c>
      <c r="B10" s="6" t="s">
        <v>11</v>
      </c>
      <c r="C10" s="6" t="s">
        <v>11</v>
      </c>
      <c r="D10" s="7" t="s">
        <v>11</v>
      </c>
      <c r="E10" s="8" t="s">
        <v>32</v>
      </c>
      <c r="F10" s="6" t="s">
        <v>11</v>
      </c>
      <c r="G10" s="9">
        <f>IF(A10=1,"_",IF(C10="_","???",C10))</f>
        <v/>
      </c>
      <c r="H10" s="10" t="s">
        <v>11</v>
      </c>
      <c r="I10" s="11" t="s">
        <v>11</v>
      </c>
      <c r="J10" s="12"/>
    </row>
    <row r="11" spans="1:10" ht="60" customHeight="1">
      <c r="A11" s="6" t="s">
        <v>33</v>
      </c>
      <c r="B11" s="6" t="s">
        <v>11</v>
      </c>
      <c r="C11" s="6" t="s">
        <v>11</v>
      </c>
      <c r="D11" s="7" t="s">
        <v>11</v>
      </c>
      <c r="E11" s="8" t="s">
        <v>34</v>
      </c>
      <c r="F11" s="6" t="s">
        <v>11</v>
      </c>
      <c r="G11" s="9">
        <f>IF(A11=1,"_",IF(C11="_","???",C11))</f>
        <v/>
      </c>
      <c r="H11" s="10" t="s">
        <v>11</v>
      </c>
      <c r="I11" s="11" t="s">
        <v>11</v>
      </c>
      <c r="J11" s="12"/>
    </row>
    <row r="12" spans="1:10" ht="60" customHeight="1">
      <c r="A12" s="6" t="s">
        <v>35</v>
      </c>
      <c r="B12" s="6" t="s">
        <v>11</v>
      </c>
      <c r="C12" s="6" t="s">
        <v>11</v>
      </c>
      <c r="D12" s="7" t="s">
        <v>11</v>
      </c>
      <c r="E12" s="8" t="s">
        <v>36</v>
      </c>
      <c r="F12" s="6" t="s">
        <v>11</v>
      </c>
      <c r="G12" s="9">
        <f>IF(A12=1,"_",IF(C12="_","???",C12))</f>
        <v/>
      </c>
      <c r="H12" s="10" t="s">
        <v>33</v>
      </c>
      <c r="I12" s="11" t="s">
        <v>38</v>
      </c>
      <c r="J12" s="12" t="s">
        <v>39</v>
      </c>
    </row>
    <row r="13" spans="1:10" ht="60" customHeight="1">
      <c r="A13" s="6" t="s">
        <v>40</v>
      </c>
      <c r="B13" s="6" t="s">
        <v>11</v>
      </c>
      <c r="C13" s="6" t="s">
        <v>41</v>
      </c>
      <c r="D13" s="7" t="s">
        <v>11</v>
      </c>
      <c r="E13" s="8" t="s">
        <v>42</v>
      </c>
      <c r="F13" s="6" t="s">
        <v>11</v>
      </c>
      <c r="G13" s="9">
        <f>IF(A13=1,"_",IF(C13="_","???",C13))</f>
        <v/>
      </c>
      <c r="H13" s="10" t="s">
        <v>35</v>
      </c>
      <c r="I13" s="11" t="s">
        <v>44</v>
      </c>
      <c r="J13" s="12" t="s">
        <v>45</v>
      </c>
    </row>
    <row r="14" spans="1:10" ht="60" customHeight="1">
      <c r="A14" s="6" t="s">
        <v>46</v>
      </c>
      <c r="B14" s="6" t="s">
        <v>11</v>
      </c>
      <c r="C14" s="6" t="s">
        <v>47</v>
      </c>
      <c r="D14" s="7" t="s">
        <v>11</v>
      </c>
      <c r="E14" s="8" t="s">
        <v>48</v>
      </c>
      <c r="F14" s="6" t="s">
        <v>11</v>
      </c>
      <c r="G14" s="9">
        <f>IF(A14=1,"_",IF(C14="_","???",C14))</f>
        <v/>
      </c>
      <c r="H14" s="10" t="s">
        <v>40</v>
      </c>
      <c r="I14" s="11" t="s">
        <v>50</v>
      </c>
      <c r="J14" s="12" t="s">
        <v>51</v>
      </c>
    </row>
    <row r="15" spans="1:10" ht="60" customHeight="1">
      <c r="A15" s="6" t="s">
        <v>52</v>
      </c>
      <c r="B15" s="6" t="s">
        <v>11</v>
      </c>
      <c r="C15" s="6" t="s">
        <v>11</v>
      </c>
      <c r="D15" s="7" t="s">
        <v>11</v>
      </c>
      <c r="E15" s="8" t="s">
        <v>53</v>
      </c>
      <c r="F15" s="6" t="s">
        <v>11</v>
      </c>
      <c r="G15" s="9">
        <f>IF(A15=1,"_",IF(C15="_","???",C15))</f>
        <v/>
      </c>
      <c r="H15" s="10" t="s">
        <v>11</v>
      </c>
      <c r="I15" s="11" t="s">
        <v>11</v>
      </c>
      <c r="J15" s="12"/>
    </row>
    <row r="16" spans="1:10" ht="60" customHeight="1">
      <c r="A16" s="6" t="s">
        <v>54</v>
      </c>
      <c r="B16" s="6" t="s">
        <v>11</v>
      </c>
      <c r="C16" s="6" t="s">
        <v>11</v>
      </c>
      <c r="D16" s="7" t="s">
        <v>11</v>
      </c>
      <c r="E16" s="8" t="s">
        <v>55</v>
      </c>
      <c r="F16" s="6" t="s">
        <v>11</v>
      </c>
      <c r="G16" s="9">
        <f>IF(A16=1,"_",IF(C16="_","???",C16))</f>
        <v/>
      </c>
      <c r="H16" s="10" t="s">
        <v>46</v>
      </c>
      <c r="I16" s="11" t="s">
        <v>57</v>
      </c>
      <c r="J16" s="12" t="s">
        <v>58</v>
      </c>
    </row>
    <row r="17" spans="1:10" ht="60" customHeight="1">
      <c r="A17" s="6" t="s">
        <v>59</v>
      </c>
      <c r="B17" s="6" t="s">
        <v>11</v>
      </c>
      <c r="C17" s="6" t="s">
        <v>11</v>
      </c>
      <c r="D17" s="7" t="s">
        <v>11</v>
      </c>
      <c r="E17" s="8" t="s">
        <v>60</v>
      </c>
      <c r="F17" s="6" t="s">
        <v>11</v>
      </c>
      <c r="G17" s="9">
        <f>IF(A17=1,"_",IF(C17="_","???",C17))</f>
        <v/>
      </c>
      <c r="H17" s="10" t="s">
        <v>11</v>
      </c>
      <c r="I17" s="11" t="s">
        <v>11</v>
      </c>
      <c r="J17" s="12"/>
    </row>
    <row r="18" spans="1:10" ht="60" customHeight="1">
      <c r="A18" s="6" t="s">
        <v>61</v>
      </c>
      <c r="B18" s="6" t="s">
        <v>11</v>
      </c>
      <c r="C18" s="6" t="s">
        <v>62</v>
      </c>
      <c r="D18" s="7" t="s">
        <v>11</v>
      </c>
      <c r="E18" s="8" t="s">
        <v>63</v>
      </c>
      <c r="F18" s="6" t="s">
        <v>11</v>
      </c>
      <c r="G18" s="9">
        <f>IF(A18=1,"_",IF(C18="_","???",C18))</f>
        <v/>
      </c>
      <c r="H18" s="10" t="s">
        <v>59</v>
      </c>
      <c r="I18" s="11" t="s">
        <v>65</v>
      </c>
      <c r="J18" s="12" t="s">
        <v>66</v>
      </c>
    </row>
    <row r="19" spans="1:10" ht="60" customHeight="1">
      <c r="A19" s="6" t="s">
        <v>67</v>
      </c>
      <c r="B19" s="6" t="s">
        <v>11</v>
      </c>
      <c r="C19" s="6" t="s">
        <v>11</v>
      </c>
      <c r="D19" s="7" t="s">
        <v>11</v>
      </c>
      <c r="E19" s="8" t="s">
        <v>68</v>
      </c>
      <c r="F19" s="6" t="s">
        <v>11</v>
      </c>
      <c r="G19" s="9">
        <f>IF(A19=1,"_",IF(C19="_","???",C19))</f>
        <v/>
      </c>
      <c r="H19" s="10" t="s">
        <v>11</v>
      </c>
      <c r="I19" s="11" t="s">
        <v>11</v>
      </c>
      <c r="J19" s="12"/>
    </row>
    <row r="20" spans="1:10" ht="60" customHeight="1">
      <c r="A20" s="6" t="s">
        <v>69</v>
      </c>
      <c r="B20" s="6" t="s">
        <v>11</v>
      </c>
      <c r="C20" s="6" t="s">
        <v>11</v>
      </c>
      <c r="D20" s="7" t="s">
        <v>11</v>
      </c>
      <c r="E20" s="8" t="s">
        <v>70</v>
      </c>
      <c r="F20" s="6" t="s">
        <v>11</v>
      </c>
      <c r="G20" s="9">
        <f>IF(A20=1,"_",IF(C20="_","???",C20))</f>
        <v/>
      </c>
      <c r="H20" s="10" t="s">
        <v>11</v>
      </c>
      <c r="I20" s="11" t="s">
        <v>11</v>
      </c>
      <c r="J20" s="12"/>
    </row>
    <row r="21" spans="1:10" ht="60" customHeight="1">
      <c r="A21" s="6" t="s">
        <v>71</v>
      </c>
      <c r="B21" s="6" t="s">
        <v>11</v>
      </c>
      <c r="C21" s="6" t="s">
        <v>72</v>
      </c>
      <c r="D21" s="7" t="s">
        <v>11</v>
      </c>
      <c r="E21" s="8" t="s">
        <v>73</v>
      </c>
      <c r="F21" s="6" t="s">
        <v>11</v>
      </c>
      <c r="G21" s="9">
        <f>IF(A21=1,"_",IF(C21="_","???",C21))</f>
        <v/>
      </c>
      <c r="H21" s="10" t="s">
        <v>69</v>
      </c>
      <c r="I21" s="11" t="s">
        <v>44</v>
      </c>
      <c r="J21" s="12" t="s">
        <v>45</v>
      </c>
    </row>
    <row r="22" spans="1:10" ht="60" customHeight="1">
      <c r="A22" s="6" t="s">
        <v>74</v>
      </c>
      <c r="B22" s="6" t="s">
        <v>11</v>
      </c>
      <c r="C22" s="6" t="s">
        <v>11</v>
      </c>
      <c r="D22" s="7" t="s">
        <v>11</v>
      </c>
      <c r="E22" s="8" t="s">
        <v>75</v>
      </c>
      <c r="F22" s="6" t="s">
        <v>11</v>
      </c>
      <c r="G22" s="9">
        <f>IF(A22=1,"_",IF(C22="_","???",C22))</f>
        <v/>
      </c>
      <c r="H22" s="10" t="s">
        <v>11</v>
      </c>
      <c r="I22" s="11" t="s">
        <v>11</v>
      </c>
      <c r="J22" s="12"/>
    </row>
    <row r="23" spans="1:10" ht="60" customHeight="1">
      <c r="A23" s="6" t="s">
        <v>76</v>
      </c>
      <c r="B23" s="6" t="s">
        <v>11</v>
      </c>
      <c r="C23" s="6" t="s">
        <v>11</v>
      </c>
      <c r="D23" s="7" t="s">
        <v>11</v>
      </c>
      <c r="E23" s="8" t="s">
        <v>77</v>
      </c>
      <c r="F23" s="6" t="s">
        <v>11</v>
      </c>
      <c r="G23" s="9">
        <f>IF(A23=1,"_",IF(C23="_","???",C23))</f>
        <v/>
      </c>
      <c r="H23" s="10" t="s">
        <v>74</v>
      </c>
      <c r="I23" s="11" t="s">
        <v>65</v>
      </c>
      <c r="J23" s="12" t="s">
        <v>66</v>
      </c>
    </row>
    <row r="24" spans="1:10" ht="60" customHeight="1">
      <c r="A24" s="6" t="s">
        <v>78</v>
      </c>
      <c r="B24" s="6" t="s">
        <v>11</v>
      </c>
      <c r="C24" s="6" t="s">
        <v>79</v>
      </c>
      <c r="D24" s="7" t="s">
        <v>11</v>
      </c>
      <c r="E24" s="8" t="s">
        <v>80</v>
      </c>
      <c r="F24" s="6" t="s">
        <v>11</v>
      </c>
      <c r="G24" s="9">
        <f>IF(A24=1,"_",IF(C24="_","???",C24))</f>
        <v/>
      </c>
      <c r="H24" s="10" t="s">
        <v>76</v>
      </c>
      <c r="I24" s="11" t="s">
        <v>82</v>
      </c>
      <c r="J24" s="12" t="s">
        <v>83</v>
      </c>
    </row>
    <row r="25" spans="1:10" ht="60" customHeight="1">
      <c r="A25" s="6" t="s">
        <v>84</v>
      </c>
      <c r="B25" s="6" t="s">
        <v>11</v>
      </c>
      <c r="C25" s="6" t="s">
        <v>11</v>
      </c>
      <c r="D25" s="7" t="s">
        <v>11</v>
      </c>
      <c r="E25" s="8" t="s">
        <v>85</v>
      </c>
      <c r="F25" s="6" t="s">
        <v>11</v>
      </c>
      <c r="G25" s="9">
        <f>IF(A25=1,"_",IF(C25="_","???",C25))</f>
        <v/>
      </c>
      <c r="H25" s="10" t="s">
        <v>11</v>
      </c>
      <c r="I25" s="11" t="s">
        <v>11</v>
      </c>
      <c r="J25" s="12"/>
    </row>
    <row r="26" spans="1:10" ht="60" customHeight="1">
      <c r="A26" s="6" t="s">
        <v>86</v>
      </c>
      <c r="B26" s="6" t="s">
        <v>11</v>
      </c>
      <c r="C26" s="6" t="s">
        <v>11</v>
      </c>
      <c r="D26" s="7" t="s">
        <v>11</v>
      </c>
      <c r="E26" s="8" t="s">
        <v>87</v>
      </c>
      <c r="F26" s="6" t="s">
        <v>11</v>
      </c>
      <c r="G26" s="9">
        <f>IF(A26=1,"_",IF(C26="_","???",C26))</f>
        <v/>
      </c>
      <c r="H26" s="10" t="s">
        <v>84</v>
      </c>
      <c r="I26" s="11" t="s">
        <v>65</v>
      </c>
      <c r="J26" s="12" t="s">
        <v>66</v>
      </c>
    </row>
    <row r="27" spans="1:10" ht="60" customHeight="1">
      <c r="A27" s="6" t="s">
        <v>88</v>
      </c>
      <c r="B27" s="6" t="s">
        <v>11</v>
      </c>
      <c r="C27" s="6" t="s">
        <v>11</v>
      </c>
      <c r="D27" s="7" t="s">
        <v>11</v>
      </c>
      <c r="E27" s="8" t="s">
        <v>89</v>
      </c>
      <c r="F27" s="6" t="s">
        <v>11</v>
      </c>
      <c r="G27" s="9">
        <f>IF(A27=1,"_",IF(C27="_","???",C27))</f>
        <v/>
      </c>
      <c r="H27" s="10" t="s">
        <v>11</v>
      </c>
      <c r="I27" s="11" t="s">
        <v>11</v>
      </c>
      <c r="J27" s="12"/>
    </row>
    <row r="28" spans="1:10" ht="60" customHeight="1">
      <c r="A28" s="6" t="s">
        <v>90</v>
      </c>
      <c r="B28" s="6" t="s">
        <v>11</v>
      </c>
      <c r="C28" s="6" t="s">
        <v>41</v>
      </c>
      <c r="D28" s="7" t="s">
        <v>11</v>
      </c>
      <c r="E28" s="8" t="s">
        <v>91</v>
      </c>
      <c r="F28" s="6" t="s">
        <v>11</v>
      </c>
      <c r="G28" s="9">
        <f>IF(A28=1,"_",IF(C28="_","???",C28))</f>
        <v/>
      </c>
      <c r="H28" s="10" t="s">
        <v>88</v>
      </c>
      <c r="I28" s="11" t="s">
        <v>44</v>
      </c>
      <c r="J28" s="12" t="s">
        <v>45</v>
      </c>
    </row>
    <row r="29" spans="1:10" ht="60" customHeight="1">
      <c r="A29" s="6" t="s">
        <v>92</v>
      </c>
      <c r="B29" s="6" t="s">
        <v>11</v>
      </c>
      <c r="C29" s="6" t="s">
        <v>11</v>
      </c>
      <c r="D29" s="7" t="s">
        <v>11</v>
      </c>
      <c r="E29" s="8" t="s">
        <v>93</v>
      </c>
      <c r="F29" s="6" t="s">
        <v>11</v>
      </c>
      <c r="G29" s="9">
        <f>IF(A29=1,"_",IF(C29="_","???",C29))</f>
        <v/>
      </c>
      <c r="H29" s="10" t="s">
        <v>11</v>
      </c>
      <c r="I29" s="11" t="s">
        <v>11</v>
      </c>
      <c r="J29" s="12"/>
    </row>
    <row r="30" spans="1:10" ht="60" customHeight="1">
      <c r="A30" s="6" t="s">
        <v>94</v>
      </c>
      <c r="B30" s="6" t="s">
        <v>11</v>
      </c>
      <c r="C30" s="6" t="s">
        <v>95</v>
      </c>
      <c r="D30" s="7" t="s">
        <v>11</v>
      </c>
      <c r="E30" s="8" t="s">
        <v>96</v>
      </c>
      <c r="F30" s="6" t="s">
        <v>11</v>
      </c>
      <c r="G30" s="9">
        <f>IF(A30=1,"_",IF(C30="_","???",C30))</f>
        <v/>
      </c>
      <c r="H30" s="10" t="s">
        <v>92</v>
      </c>
      <c r="I30" s="11" t="s">
        <v>65</v>
      </c>
      <c r="J30" s="12" t="s">
        <v>66</v>
      </c>
    </row>
    <row r="31" spans="1:10" ht="60" customHeight="1">
      <c r="A31" s="6" t="s">
        <v>97</v>
      </c>
      <c r="B31" s="6" t="s">
        <v>11</v>
      </c>
      <c r="C31" s="6" t="s">
        <v>11</v>
      </c>
      <c r="D31" s="7" t="s">
        <v>11</v>
      </c>
      <c r="E31" s="8" t="s">
        <v>98</v>
      </c>
      <c r="F31" s="6" t="s">
        <v>11</v>
      </c>
      <c r="G31" s="9">
        <f>IF(A31=1,"_",IF(C31="_","???",C31))</f>
        <v/>
      </c>
      <c r="H31" s="10" t="s">
        <v>11</v>
      </c>
      <c r="I31" s="11" t="s">
        <v>11</v>
      </c>
      <c r="J31" s="12"/>
    </row>
    <row r="32" spans="1:10" ht="60" customHeight="1">
      <c r="A32" s="6" t="s">
        <v>99</v>
      </c>
      <c r="B32" s="6" t="s">
        <v>11</v>
      </c>
      <c r="C32" s="6" t="s">
        <v>11</v>
      </c>
      <c r="D32" s="7" t="s">
        <v>11</v>
      </c>
      <c r="E32" s="8" t="s">
        <v>100</v>
      </c>
      <c r="F32" s="6" t="s">
        <v>11</v>
      </c>
      <c r="G32" s="9">
        <f>IF(A32=1,"_",IF(C32="_","???",C32))</f>
        <v/>
      </c>
      <c r="H32" s="10" t="s">
        <v>11</v>
      </c>
      <c r="I32" s="11" t="s">
        <v>11</v>
      </c>
      <c r="J32" s="12"/>
    </row>
    <row r="33" spans="1:10" ht="60" customHeight="1">
      <c r="A33" s="6" t="s">
        <v>101</v>
      </c>
      <c r="B33" s="6" t="s">
        <v>11</v>
      </c>
      <c r="C33" s="6" t="s">
        <v>11</v>
      </c>
      <c r="D33" s="7" t="s">
        <v>11</v>
      </c>
      <c r="E33" s="8" t="s">
        <v>102</v>
      </c>
      <c r="F33" s="6" t="s">
        <v>11</v>
      </c>
      <c r="G33" s="9">
        <f>IF(A33=1,"_",IF(C33="_","???",C33))</f>
        <v/>
      </c>
      <c r="H33" s="10" t="s">
        <v>99</v>
      </c>
      <c r="I33" s="11" t="s">
        <v>57</v>
      </c>
      <c r="J33" s="12" t="s">
        <v>58</v>
      </c>
    </row>
    <row r="34" spans="1:10" ht="60" customHeight="1">
      <c r="A34" s="6" t="s">
        <v>103</v>
      </c>
      <c r="B34" s="6" t="s">
        <v>11</v>
      </c>
      <c r="C34" s="6" t="s">
        <v>11</v>
      </c>
      <c r="D34" s="7" t="s">
        <v>11</v>
      </c>
      <c r="E34" s="8" t="s">
        <v>104</v>
      </c>
      <c r="F34" s="6" t="s">
        <v>11</v>
      </c>
      <c r="G34" s="9">
        <f>IF(A34=1,"_",IF(C34="_","???",C34))</f>
        <v/>
      </c>
      <c r="H34" s="10" t="s">
        <v>11</v>
      </c>
      <c r="I34" s="11" t="s">
        <v>11</v>
      </c>
      <c r="J34" s="12"/>
    </row>
    <row r="35" spans="1:10" ht="60" customHeight="1">
      <c r="A35" s="6" t="s">
        <v>105</v>
      </c>
      <c r="B35" s="6" t="s">
        <v>11</v>
      </c>
      <c r="C35" s="6" t="s">
        <v>11</v>
      </c>
      <c r="D35" s="7" t="s">
        <v>11</v>
      </c>
      <c r="E35" s="8" t="s">
        <v>106</v>
      </c>
      <c r="F35" s="6" t="s">
        <v>11</v>
      </c>
      <c r="G35" s="9">
        <f>IF(A35=1,"_",IF(C35="_","???",C35))</f>
        <v/>
      </c>
      <c r="H35" s="10" t="s">
        <v>103</v>
      </c>
      <c r="I35" s="11" t="s">
        <v>50</v>
      </c>
      <c r="J35" s="12" t="s">
        <v>51</v>
      </c>
    </row>
    <row r="36" spans="1:10" ht="60" customHeight="1">
      <c r="A36" s="6" t="s">
        <v>107</v>
      </c>
      <c r="B36" s="6" t="s">
        <v>11</v>
      </c>
      <c r="C36" s="6" t="s">
        <v>108</v>
      </c>
      <c r="D36" s="7" t="s">
        <v>11</v>
      </c>
      <c r="E36" s="8" t="s">
        <v>109</v>
      </c>
      <c r="F36" s="6" t="s">
        <v>11</v>
      </c>
      <c r="G36" s="9">
        <f>IF(A36=1,"_",IF(C36="_","???",C36))</f>
        <v/>
      </c>
      <c r="H36" s="10" t="s">
        <v>105</v>
      </c>
      <c r="I36" s="11" t="s">
        <v>111</v>
      </c>
      <c r="J36" s="12" t="s">
        <v>112</v>
      </c>
    </row>
    <row r="37" spans="1:10" ht="60" customHeight="1">
      <c r="A37" s="6" t="s">
        <v>113</v>
      </c>
      <c r="B37" s="6" t="s">
        <v>11</v>
      </c>
      <c r="C37" s="6" t="s">
        <v>114</v>
      </c>
      <c r="D37" s="7" t="s">
        <v>11</v>
      </c>
      <c r="E37" s="8" t="s">
        <v>115</v>
      </c>
      <c r="F37" s="6" t="s">
        <v>11</v>
      </c>
      <c r="G37" s="9">
        <f>IF(A37=1,"_",IF(C37="_","???",C37))</f>
        <v/>
      </c>
      <c r="H37" s="10" t="s">
        <v>107</v>
      </c>
      <c r="I37" s="11" t="s">
        <v>65</v>
      </c>
      <c r="J37" s="12" t="s">
        <v>66</v>
      </c>
    </row>
    <row r="38" spans="1:10" ht="60" customHeight="1">
      <c r="A38" s="6" t="s">
        <v>116</v>
      </c>
      <c r="B38" s="6" t="s">
        <v>11</v>
      </c>
      <c r="C38" s="6" t="s">
        <v>11</v>
      </c>
      <c r="D38" s="7" t="s">
        <v>11</v>
      </c>
      <c r="E38" s="8" t="s">
        <v>117</v>
      </c>
      <c r="F38" s="6" t="s">
        <v>11</v>
      </c>
      <c r="G38" s="9">
        <f>IF(A38=1,"_",IF(C38="_","???",C38))</f>
        <v/>
      </c>
      <c r="H38" s="10" t="s">
        <v>11</v>
      </c>
      <c r="I38" s="11" t="s">
        <v>11</v>
      </c>
      <c r="J38" s="12"/>
    </row>
    <row r="39" spans="1:10" ht="60" customHeight="1">
      <c r="A39" s="6" t="s">
        <v>118</v>
      </c>
      <c r="B39" s="6" t="s">
        <v>11</v>
      </c>
      <c r="C39" s="6" t="s">
        <v>119</v>
      </c>
      <c r="D39" s="7" t="s">
        <v>11</v>
      </c>
      <c r="E39" s="8" t="s">
        <v>120</v>
      </c>
      <c r="F39" s="6" t="s">
        <v>11</v>
      </c>
      <c r="G39" s="9">
        <f>IF(A39=1,"_",IF(C39="_","???",C39))</f>
        <v/>
      </c>
      <c r="H39" s="10" t="s">
        <v>116</v>
      </c>
      <c r="I39" s="11" t="s">
        <v>38</v>
      </c>
      <c r="J39" s="12" t="s">
        <v>39</v>
      </c>
    </row>
    <row r="40" spans="1:10" ht="60" customHeight="1">
      <c r="A40" s="6" t="s">
        <v>121</v>
      </c>
      <c r="B40" s="6" t="s">
        <v>11</v>
      </c>
      <c r="C40" s="6" t="s">
        <v>11</v>
      </c>
      <c r="D40" s="7" t="s">
        <v>11</v>
      </c>
      <c r="E40" s="8" t="s">
        <v>122</v>
      </c>
      <c r="F40" s="6" t="s">
        <v>11</v>
      </c>
      <c r="G40" s="9">
        <f>IF(A40=1,"_",IF(C40="_","???",C40))</f>
        <v/>
      </c>
      <c r="H40" s="10" t="s">
        <v>11</v>
      </c>
      <c r="I40" s="11" t="s">
        <v>11</v>
      </c>
      <c r="J40" s="12"/>
    </row>
    <row r="41" spans="1:10" ht="60" customHeight="1">
      <c r="A41" s="6" t="s">
        <v>123</v>
      </c>
      <c r="B41" s="6" t="s">
        <v>11</v>
      </c>
      <c r="C41" s="6" t="s">
        <v>108</v>
      </c>
      <c r="D41" s="7" t="s">
        <v>11</v>
      </c>
      <c r="E41" s="8" t="s">
        <v>124</v>
      </c>
      <c r="F41" s="6" t="s">
        <v>11</v>
      </c>
      <c r="G41" s="9">
        <f>IF(A41=1,"_",IF(C41="_","???",C41))</f>
        <v/>
      </c>
      <c r="H41" s="10" t="s">
        <v>121</v>
      </c>
      <c r="I41" s="11" t="s">
        <v>111</v>
      </c>
      <c r="J41" s="12" t="s">
        <v>112</v>
      </c>
    </row>
    <row r="42" spans="1:10" ht="60" customHeight="1">
      <c r="A42" s="6" t="s">
        <v>125</v>
      </c>
      <c r="B42" s="6" t="s">
        <v>11</v>
      </c>
      <c r="C42" s="6" t="s">
        <v>11</v>
      </c>
      <c r="D42" s="7" t="s">
        <v>11</v>
      </c>
      <c r="E42" s="8" t="s">
        <v>126</v>
      </c>
      <c r="F42" s="6" t="s">
        <v>11</v>
      </c>
      <c r="G42" s="9">
        <f>IF(A42=1,"_",IF(C42="_","???",C42))</f>
        <v/>
      </c>
      <c r="H42" s="10" t="s">
        <v>11</v>
      </c>
      <c r="I42" s="11" t="s">
        <v>11</v>
      </c>
      <c r="J42" s="12"/>
    </row>
    <row r="43" spans="1:10" ht="60" customHeight="1">
      <c r="A43" s="6" t="s">
        <v>127</v>
      </c>
      <c r="B43" s="6" t="s">
        <v>11</v>
      </c>
      <c r="C43" s="6" t="s">
        <v>11</v>
      </c>
      <c r="D43" s="7" t="s">
        <v>11</v>
      </c>
      <c r="E43" s="8" t="s">
        <v>128</v>
      </c>
      <c r="F43" s="6" t="s">
        <v>11</v>
      </c>
      <c r="G43" s="9">
        <f>IF(A43=1,"_",IF(C43="_","???",C43))</f>
        <v/>
      </c>
      <c r="H43" s="10" t="s">
        <v>125</v>
      </c>
      <c r="I43" s="11" t="s">
        <v>65</v>
      </c>
      <c r="J43" s="12" t="s">
        <v>66</v>
      </c>
    </row>
    <row r="44" spans="1:10" ht="60" customHeight="1">
      <c r="A44" s="6" t="s">
        <v>129</v>
      </c>
      <c r="B44" s="6" t="s">
        <v>11</v>
      </c>
      <c r="C44" s="6" t="s">
        <v>11</v>
      </c>
      <c r="D44" s="7" t="s">
        <v>11</v>
      </c>
      <c r="E44" s="8" t="s">
        <v>130</v>
      </c>
      <c r="F44" s="6" t="s">
        <v>11</v>
      </c>
      <c r="G44" s="9">
        <f>IF(A44=1,"_",IF(C44="_","???",C44))</f>
        <v/>
      </c>
      <c r="H44" s="10" t="s">
        <v>11</v>
      </c>
      <c r="I44" s="11" t="s">
        <v>11</v>
      </c>
      <c r="J44" s="12"/>
    </row>
    <row r="45" spans="1:10" ht="60" customHeight="1">
      <c r="A45" s="6" t="s">
        <v>131</v>
      </c>
      <c r="B45" s="6" t="s">
        <v>11</v>
      </c>
      <c r="C45" s="6" t="s">
        <v>132</v>
      </c>
      <c r="D45" s="7" t="s">
        <v>11</v>
      </c>
      <c r="E45" s="8" t="s">
        <v>133</v>
      </c>
      <c r="F45" s="6" t="s">
        <v>11</v>
      </c>
      <c r="G45" s="9">
        <f>IF(A45=1,"_",IF(C45="_","???",C45))</f>
        <v/>
      </c>
      <c r="H45" s="10" t="s">
        <v>129</v>
      </c>
      <c r="I45" s="11" t="s">
        <v>57</v>
      </c>
      <c r="J45" s="12" t="s">
        <v>58</v>
      </c>
    </row>
    <row r="46" spans="1:10" ht="60" customHeight="1">
      <c r="A46" s="6" t="s">
        <v>134</v>
      </c>
      <c r="B46" s="6" t="s">
        <v>11</v>
      </c>
      <c r="C46" s="6" t="s">
        <v>11</v>
      </c>
      <c r="D46" s="7" t="s">
        <v>11</v>
      </c>
      <c r="E46" s="8" t="s">
        <v>135</v>
      </c>
      <c r="F46" s="6" t="s">
        <v>11</v>
      </c>
      <c r="G46" s="9">
        <f>IF(A46=1,"_",IF(C46="_","???",C46))</f>
        <v/>
      </c>
      <c r="H46" s="10" t="s">
        <v>11</v>
      </c>
      <c r="I46" s="11" t="s">
        <v>11</v>
      </c>
      <c r="J46" s="12"/>
    </row>
    <row r="47" spans="1:10" ht="60" customHeight="1">
      <c r="A47" s="6" t="s">
        <v>136</v>
      </c>
      <c r="B47" s="6" t="s">
        <v>11</v>
      </c>
      <c r="C47" s="6" t="s">
        <v>11</v>
      </c>
      <c r="D47" s="7" t="s">
        <v>11</v>
      </c>
      <c r="E47" s="8" t="s">
        <v>137</v>
      </c>
      <c r="F47" s="6" t="s">
        <v>11</v>
      </c>
      <c r="G47" s="9">
        <f>IF(A47=1,"_",IF(C47="_","???",C47))</f>
        <v/>
      </c>
      <c r="H47" s="10" t="s">
        <v>11</v>
      </c>
      <c r="I47" s="11" t="s">
        <v>11</v>
      </c>
      <c r="J47" s="12"/>
    </row>
    <row r="48" spans="1:10" ht="60" customHeight="1">
      <c r="A48" s="6" t="s">
        <v>138</v>
      </c>
      <c r="B48" s="6" t="s">
        <v>11</v>
      </c>
      <c r="C48" s="6" t="s">
        <v>11</v>
      </c>
      <c r="D48" s="7" t="s">
        <v>11</v>
      </c>
      <c r="E48" s="8" t="s">
        <v>139</v>
      </c>
      <c r="F48" s="6" t="s">
        <v>11</v>
      </c>
      <c r="G48" s="9">
        <f>IF(A48=1,"_",IF(C48="_","???",C48))</f>
        <v/>
      </c>
      <c r="H48" s="10" t="s">
        <v>11</v>
      </c>
      <c r="I48" s="11" t="s">
        <v>11</v>
      </c>
      <c r="J48" s="12"/>
    </row>
    <row r="49" spans="1:10" ht="60" customHeight="1">
      <c r="A49" s="6" t="s">
        <v>140</v>
      </c>
      <c r="B49" s="6" t="s">
        <v>11</v>
      </c>
      <c r="C49" s="6" t="s">
        <v>141</v>
      </c>
      <c r="D49" s="7" t="s">
        <v>11</v>
      </c>
      <c r="E49" s="8" t="s">
        <v>142</v>
      </c>
      <c r="F49" s="6" t="s">
        <v>11</v>
      </c>
      <c r="G49" s="9">
        <f>IF(A49=1,"_",IF(C49="_","???",C49))</f>
        <v/>
      </c>
      <c r="H49" s="10" t="s">
        <v>138</v>
      </c>
      <c r="I49" s="11" t="s">
        <v>65</v>
      </c>
      <c r="J49" s="12" t="s">
        <v>66</v>
      </c>
    </row>
    <row r="50" spans="1:10" ht="60" customHeight="1">
      <c r="A50" s="6" t="s">
        <v>143</v>
      </c>
      <c r="B50" s="6" t="s">
        <v>11</v>
      </c>
      <c r="C50" s="6" t="s">
        <v>141</v>
      </c>
      <c r="D50" s="7" t="s">
        <v>11</v>
      </c>
      <c r="E50" s="8" t="s">
        <v>144</v>
      </c>
      <c r="F50" s="6" t="s">
        <v>11</v>
      </c>
      <c r="G50" s="9">
        <f>IF(A50=1,"_",IF(C50="_","???",C50))</f>
        <v/>
      </c>
      <c r="H50" s="10" t="s">
        <v>140</v>
      </c>
      <c r="I50" s="11" t="s">
        <v>65</v>
      </c>
      <c r="J50" s="12" t="s">
        <v>66</v>
      </c>
    </row>
    <row r="51" spans="1:10" ht="60" customHeight="1">
      <c r="A51" s="6" t="s">
        <v>145</v>
      </c>
      <c r="B51" s="6" t="s">
        <v>11</v>
      </c>
      <c r="C51" s="6" t="s">
        <v>11</v>
      </c>
      <c r="D51" s="7" t="s">
        <v>11</v>
      </c>
      <c r="E51" s="8" t="s">
        <v>146</v>
      </c>
      <c r="F51" s="6" t="s">
        <v>11</v>
      </c>
      <c r="G51" s="9">
        <f>IF(A51=1,"_",IF(C51="_","???",C51))</f>
        <v/>
      </c>
      <c r="H51" s="10" t="s">
        <v>11</v>
      </c>
      <c r="I51" s="11" t="s">
        <v>11</v>
      </c>
      <c r="J51" s="12"/>
    </row>
    <row r="52" spans="1:10" ht="60" customHeight="1">
      <c r="A52" s="6" t="s">
        <v>147</v>
      </c>
      <c r="B52" s="6" t="s">
        <v>11</v>
      </c>
      <c r="C52" s="6" t="s">
        <v>11</v>
      </c>
      <c r="D52" s="7" t="s">
        <v>11</v>
      </c>
      <c r="E52" s="8" t="s">
        <v>148</v>
      </c>
      <c r="F52" s="6" t="s">
        <v>11</v>
      </c>
      <c r="G52" s="9">
        <f>IF(A52=1,"_",IF(C52="_","???",C52))</f>
        <v/>
      </c>
      <c r="H52" s="10" t="s">
        <v>11</v>
      </c>
      <c r="I52" s="11" t="s">
        <v>11</v>
      </c>
      <c r="J52" s="12"/>
    </row>
    <row r="53" spans="1:10" ht="60" customHeight="1">
      <c r="A53" s="6" t="s">
        <v>149</v>
      </c>
      <c r="B53" s="6" t="s">
        <v>11</v>
      </c>
      <c r="C53" s="6" t="s">
        <v>11</v>
      </c>
      <c r="D53" s="7" t="s">
        <v>11</v>
      </c>
      <c r="E53" s="8" t="s">
        <v>150</v>
      </c>
      <c r="F53" s="6" t="s">
        <v>11</v>
      </c>
      <c r="G53" s="9">
        <f>IF(A53=1,"_",IF(C53="_","???",C53))</f>
        <v/>
      </c>
      <c r="H53" s="10" t="s">
        <v>11</v>
      </c>
      <c r="I53" s="11" t="s">
        <v>11</v>
      </c>
      <c r="J53" s="12"/>
    </row>
    <row r="54" spans="1:10" ht="60" customHeight="1">
      <c r="A54" s="6" t="s">
        <v>151</v>
      </c>
      <c r="B54" s="6" t="s">
        <v>11</v>
      </c>
      <c r="C54" s="6" t="s">
        <v>11</v>
      </c>
      <c r="D54" s="7" t="s">
        <v>11</v>
      </c>
      <c r="E54" s="8" t="s">
        <v>152</v>
      </c>
      <c r="F54" s="6" t="s">
        <v>11</v>
      </c>
      <c r="G54" s="9">
        <f>IF(A54=1,"_",IF(C54="_","???",C54))</f>
        <v/>
      </c>
      <c r="H54" s="10" t="s">
        <v>11</v>
      </c>
      <c r="I54" s="11" t="s">
        <v>11</v>
      </c>
      <c r="J54" s="12"/>
    </row>
    <row r="55" spans="1:10" ht="60" customHeight="1">
      <c r="A55" s="6" t="s">
        <v>153</v>
      </c>
      <c r="B55" s="6" t="s">
        <v>11</v>
      </c>
      <c r="C55" s="6" t="s">
        <v>11</v>
      </c>
      <c r="D55" s="7" t="s">
        <v>11</v>
      </c>
      <c r="E55" s="8" t="s">
        <v>154</v>
      </c>
      <c r="F55" s="6" t="s">
        <v>11</v>
      </c>
      <c r="G55" s="9">
        <f>IF(A55=1,"_",IF(C55="_","???",C55))</f>
        <v/>
      </c>
      <c r="H55" s="10" t="s">
        <v>11</v>
      </c>
      <c r="I55" s="11" t="s">
        <v>11</v>
      </c>
      <c r="J55" s="12"/>
    </row>
    <row r="56" spans="1:10" ht="60" customHeight="1">
      <c r="A56" s="6" t="s">
        <v>155</v>
      </c>
      <c r="B56" s="6" t="s">
        <v>11</v>
      </c>
      <c r="C56" s="6" t="s">
        <v>11</v>
      </c>
      <c r="D56" s="7" t="s">
        <v>11</v>
      </c>
      <c r="E56" s="8" t="s">
        <v>156</v>
      </c>
      <c r="F56" s="6" t="s">
        <v>11</v>
      </c>
      <c r="G56" s="9">
        <f>IF(A56=1,"_",IF(C56="_","???",C56))</f>
        <v/>
      </c>
      <c r="H56" s="10" t="s">
        <v>11</v>
      </c>
      <c r="I56" s="11" t="s">
        <v>11</v>
      </c>
      <c r="J56" s="12"/>
    </row>
    <row r="57" spans="1:10" ht="60" customHeight="1">
      <c r="A57" s="6" t="s">
        <v>157</v>
      </c>
      <c r="B57" s="6" t="s">
        <v>11</v>
      </c>
      <c r="C57" s="6" t="s">
        <v>11</v>
      </c>
      <c r="D57" s="7" t="s">
        <v>11</v>
      </c>
      <c r="E57" s="8" t="s">
        <v>158</v>
      </c>
      <c r="F57" s="6" t="s">
        <v>11</v>
      </c>
      <c r="G57" s="9">
        <f>IF(A57=1,"_",IF(C57="_","???",C57))</f>
        <v/>
      </c>
      <c r="H57" s="10" t="s">
        <v>11</v>
      </c>
      <c r="I57" s="11" t="s">
        <v>11</v>
      </c>
      <c r="J57" s="12"/>
    </row>
    <row r="58" spans="1:10" ht="60" customHeight="1">
      <c r="A58" s="6" t="s">
        <v>159</v>
      </c>
      <c r="B58" s="6" t="s">
        <v>11</v>
      </c>
      <c r="C58" s="6" t="s">
        <v>11</v>
      </c>
      <c r="D58" s="7" t="s">
        <v>11</v>
      </c>
      <c r="E58" s="8" t="s">
        <v>160</v>
      </c>
      <c r="F58" s="6" t="s">
        <v>11</v>
      </c>
      <c r="G58" s="9">
        <f>IF(A58=1,"_",IF(C58="_","???",C58))</f>
        <v/>
      </c>
      <c r="H58" s="10" t="s">
        <v>157</v>
      </c>
      <c r="I58" s="11" t="s">
        <v>65</v>
      </c>
      <c r="J58" s="12" t="s">
        <v>66</v>
      </c>
    </row>
    <row r="59" spans="1:10" ht="60" customHeight="1">
      <c r="A59" s="6" t="s">
        <v>161</v>
      </c>
      <c r="B59" s="6" t="s">
        <v>11</v>
      </c>
      <c r="C59" s="6" t="s">
        <v>11</v>
      </c>
      <c r="D59" s="7" t="s">
        <v>11</v>
      </c>
      <c r="E59" s="8" t="s">
        <v>162</v>
      </c>
      <c r="F59" s="6" t="s">
        <v>11</v>
      </c>
      <c r="G59" s="9">
        <f>IF(A59=1,"_",IF(C59="_","???",C59))</f>
        <v/>
      </c>
      <c r="H59" s="10" t="s">
        <v>11</v>
      </c>
      <c r="I59" s="11" t="s">
        <v>11</v>
      </c>
      <c r="J59" s="12"/>
    </row>
    <row r="60" spans="1:10" ht="60" customHeight="1">
      <c r="A60" s="6" t="s">
        <v>163</v>
      </c>
      <c r="B60" s="6" t="s">
        <v>11</v>
      </c>
      <c r="C60" s="6" t="s">
        <v>11</v>
      </c>
      <c r="D60" s="7" t="s">
        <v>11</v>
      </c>
      <c r="E60" s="8" t="s">
        <v>164</v>
      </c>
      <c r="F60" s="6" t="s">
        <v>11</v>
      </c>
      <c r="G60" s="9">
        <f>IF(A60=1,"_",IF(C60="_","???",C60))</f>
        <v/>
      </c>
      <c r="H60" s="10" t="s">
        <v>161</v>
      </c>
      <c r="I60" s="11" t="s">
        <v>38</v>
      </c>
      <c r="J60" s="12" t="s">
        <v>39</v>
      </c>
    </row>
    <row r="61" spans="1:10" ht="60" customHeight="1">
      <c r="A61" s="6" t="s">
        <v>165</v>
      </c>
      <c r="B61" s="6" t="s">
        <v>11</v>
      </c>
      <c r="C61" s="6" t="s">
        <v>119</v>
      </c>
      <c r="D61" s="7" t="s">
        <v>11</v>
      </c>
      <c r="E61" s="8" t="s">
        <v>166</v>
      </c>
      <c r="F61" s="6" t="s">
        <v>11</v>
      </c>
      <c r="G61" s="9">
        <f>IF(A61=1,"_",IF(C61="_","???",C61))</f>
        <v/>
      </c>
      <c r="H61" s="10" t="s">
        <v>163</v>
      </c>
      <c r="I61" s="11" t="s">
        <v>38</v>
      </c>
      <c r="J61" s="12" t="s">
        <v>39</v>
      </c>
    </row>
    <row r="62" spans="1:10" ht="60" customHeight="1">
      <c r="A62" s="6" t="s">
        <v>167</v>
      </c>
      <c r="B62" s="6" t="s">
        <v>11</v>
      </c>
      <c r="C62" s="6" t="s">
        <v>11</v>
      </c>
      <c r="D62" s="7" t="s">
        <v>11</v>
      </c>
      <c r="E62" s="8" t="s">
        <v>168</v>
      </c>
      <c r="F62" s="6" t="s">
        <v>11</v>
      </c>
      <c r="G62" s="9">
        <f>IF(A62=1,"_",IF(C62="_","???",C62))</f>
        <v/>
      </c>
      <c r="H62" s="10" t="s">
        <v>11</v>
      </c>
      <c r="I62" s="11" t="s">
        <v>11</v>
      </c>
      <c r="J62" s="12"/>
    </row>
    <row r="63" spans="1:10" ht="60" customHeight="1">
      <c r="A63" s="6" t="s">
        <v>169</v>
      </c>
      <c r="B63" s="6" t="s">
        <v>11</v>
      </c>
      <c r="C63" s="6" t="s">
        <v>11</v>
      </c>
      <c r="D63" s="7" t="s">
        <v>11</v>
      </c>
      <c r="E63" s="8" t="s">
        <v>170</v>
      </c>
      <c r="F63" s="6" t="s">
        <v>11</v>
      </c>
      <c r="G63" s="9">
        <f>IF(A63=1,"_",IF(C63="_","???",C63))</f>
        <v/>
      </c>
      <c r="H63" s="10" t="s">
        <v>11</v>
      </c>
      <c r="I63" s="11" t="s">
        <v>11</v>
      </c>
      <c r="J63" s="12"/>
    </row>
    <row r="64" spans="1:10" ht="60" customHeight="1">
      <c r="A64" s="6" t="s">
        <v>171</v>
      </c>
      <c r="B64" s="6" t="s">
        <v>11</v>
      </c>
      <c r="C64" s="6" t="s">
        <v>11</v>
      </c>
      <c r="D64" s="7" t="s">
        <v>11</v>
      </c>
      <c r="E64" s="8" t="s">
        <v>172</v>
      </c>
      <c r="F64" s="6" t="s">
        <v>11</v>
      </c>
      <c r="G64" s="9">
        <f>IF(A64=1,"_",IF(C64="_","???",C64))</f>
        <v/>
      </c>
      <c r="H64" s="10" t="s">
        <v>11</v>
      </c>
      <c r="I64" s="11" t="s">
        <v>11</v>
      </c>
      <c r="J64" s="12"/>
    </row>
    <row r="65" spans="1:10" ht="60" customHeight="1">
      <c r="A65" s="6" t="s">
        <v>173</v>
      </c>
      <c r="B65" s="6" t="s">
        <v>11</v>
      </c>
      <c r="C65" s="6" t="s">
        <v>11</v>
      </c>
      <c r="D65" s="7" t="s">
        <v>11</v>
      </c>
      <c r="E65" s="8" t="s">
        <v>174</v>
      </c>
      <c r="F65" s="6" t="s">
        <v>11</v>
      </c>
      <c r="G65" s="9">
        <f>IF(A65=1,"_",IF(C65="_","???",C65))</f>
        <v/>
      </c>
      <c r="H65" s="10" t="s">
        <v>171</v>
      </c>
      <c r="I65" s="11" t="s">
        <v>176</v>
      </c>
      <c r="J65" s="12" t="s">
        <v>177</v>
      </c>
    </row>
    <row r="66" spans="1:10" ht="60" customHeight="1">
      <c r="A66" s="6" t="s">
        <v>178</v>
      </c>
      <c r="B66" s="6" t="s">
        <v>11</v>
      </c>
      <c r="C66" s="6" t="s">
        <v>11</v>
      </c>
      <c r="D66" s="7" t="s">
        <v>11</v>
      </c>
      <c r="E66" s="8" t="s">
        <v>179</v>
      </c>
      <c r="F66" s="6" t="s">
        <v>11</v>
      </c>
      <c r="G66" s="9">
        <f>IF(A66=1,"_",IF(C66="_","???",C66))</f>
        <v/>
      </c>
      <c r="H66" s="10" t="s">
        <v>173</v>
      </c>
      <c r="I66" s="11" t="s">
        <v>65</v>
      </c>
      <c r="J66" s="12" t="s">
        <v>66</v>
      </c>
    </row>
    <row r="67" spans="1:10" ht="60" customHeight="1">
      <c r="A67" s="6" t="s">
        <v>180</v>
      </c>
      <c r="B67" s="6" t="s">
        <v>11</v>
      </c>
      <c r="C67" s="6" t="s">
        <v>47</v>
      </c>
      <c r="D67" s="7" t="s">
        <v>11</v>
      </c>
      <c r="E67" s="8" t="s">
        <v>181</v>
      </c>
      <c r="F67" s="6" t="s">
        <v>11</v>
      </c>
      <c r="G67" s="9">
        <f>IF(A67=1,"_",IF(C67="_","???",C67))</f>
        <v/>
      </c>
      <c r="H67" s="10" t="s">
        <v>178</v>
      </c>
      <c r="I67" s="11" t="s">
        <v>50</v>
      </c>
      <c r="J67" s="12" t="s">
        <v>51</v>
      </c>
    </row>
    <row r="68" spans="1:10" ht="60" customHeight="1">
      <c r="A68" s="6" t="s">
        <v>182</v>
      </c>
      <c r="B68" s="6" t="s">
        <v>11</v>
      </c>
      <c r="C68" s="6" t="s">
        <v>11</v>
      </c>
      <c r="D68" s="7" t="s">
        <v>11</v>
      </c>
      <c r="E68" s="8" t="s">
        <v>183</v>
      </c>
      <c r="F68" s="6" t="s">
        <v>11</v>
      </c>
      <c r="G68" s="9">
        <f>IF(A68=1,"_",IF(C68="_","???",C68))</f>
        <v/>
      </c>
      <c r="H68" s="10" t="s">
        <v>11</v>
      </c>
      <c r="I68" s="11" t="s">
        <v>11</v>
      </c>
      <c r="J68" s="12"/>
    </row>
    <row r="69" spans="1:10" ht="60" customHeight="1">
      <c r="A69" s="6" t="s">
        <v>184</v>
      </c>
      <c r="B69" s="6" t="s">
        <v>11</v>
      </c>
      <c r="C69" s="6" t="s">
        <v>79</v>
      </c>
      <c r="D69" s="7" t="s">
        <v>11</v>
      </c>
      <c r="E69" s="8" t="s">
        <v>185</v>
      </c>
      <c r="F69" s="6" t="s">
        <v>11</v>
      </c>
      <c r="G69" s="9">
        <f>IF(A69=1,"_",IF(C69="_","???",C69))</f>
        <v/>
      </c>
      <c r="H69" s="10" t="s">
        <v>182</v>
      </c>
      <c r="I69" s="11" t="s">
        <v>82</v>
      </c>
      <c r="J69" s="12" t="s">
        <v>83</v>
      </c>
    </row>
    <row r="70" spans="1:10" ht="60" customHeight="1">
      <c r="A70" s="6" t="s">
        <v>186</v>
      </c>
      <c r="B70" s="6" t="s">
        <v>11</v>
      </c>
      <c r="C70" s="6" t="s">
        <v>11</v>
      </c>
      <c r="D70" s="7" t="s">
        <v>11</v>
      </c>
      <c r="E70" s="8" t="s">
        <v>187</v>
      </c>
      <c r="F70" s="6" t="s">
        <v>11</v>
      </c>
      <c r="G70" s="9">
        <f>IF(A70=1,"_",IF(C70="_","???",C70))</f>
        <v/>
      </c>
      <c r="H70" s="10" t="s">
        <v>11</v>
      </c>
      <c r="I70" s="11" t="s">
        <v>11</v>
      </c>
      <c r="J70" s="12"/>
    </row>
    <row r="71" spans="1:10" ht="60" customHeight="1">
      <c r="A71" s="6" t="s">
        <v>188</v>
      </c>
      <c r="B71" s="6" t="s">
        <v>11</v>
      </c>
      <c r="C71" s="6" t="s">
        <v>11</v>
      </c>
      <c r="D71" s="7" t="s">
        <v>11</v>
      </c>
      <c r="E71" s="8" t="s">
        <v>189</v>
      </c>
      <c r="F71" s="6" t="s">
        <v>11</v>
      </c>
      <c r="G71" s="9">
        <f>IF(A71=1,"_",IF(C71="_","???",C71))</f>
        <v/>
      </c>
      <c r="H71" s="10" t="s">
        <v>11</v>
      </c>
      <c r="I71" s="11" t="s">
        <v>11</v>
      </c>
      <c r="J71" s="12"/>
    </row>
    <row r="72" spans="1:10" ht="60" customHeight="1">
      <c r="A72" s="6" t="s">
        <v>190</v>
      </c>
      <c r="B72" s="6" t="s">
        <v>11</v>
      </c>
      <c r="C72" s="6" t="s">
        <v>191</v>
      </c>
      <c r="D72" s="7" t="s">
        <v>11</v>
      </c>
      <c r="E72" s="8" t="s">
        <v>192</v>
      </c>
      <c r="F72" s="6" t="s">
        <v>11</v>
      </c>
      <c r="G72" s="9">
        <f>IF(A72=1,"_",IF(C72="_","???",C72))</f>
        <v/>
      </c>
      <c r="H72" s="10" t="s">
        <v>188</v>
      </c>
      <c r="I72" s="11" t="s">
        <v>50</v>
      </c>
      <c r="J72" s="12" t="s">
        <v>51</v>
      </c>
    </row>
    <row r="73" spans="1:10" ht="60" customHeight="1">
      <c r="A73" s="6" t="s">
        <v>193</v>
      </c>
      <c r="B73" s="6" t="s">
        <v>11</v>
      </c>
      <c r="C73" s="6" t="s">
        <v>119</v>
      </c>
      <c r="D73" s="7" t="s">
        <v>11</v>
      </c>
      <c r="E73" s="8" t="s">
        <v>194</v>
      </c>
      <c r="F73" s="6" t="s">
        <v>11</v>
      </c>
      <c r="G73" s="9">
        <f>IF(A73=1,"_",IF(C73="_","???",C73))</f>
        <v/>
      </c>
      <c r="H73" s="10" t="s">
        <v>190</v>
      </c>
      <c r="I73" s="11" t="s">
        <v>38</v>
      </c>
      <c r="J73" s="12" t="s">
        <v>39</v>
      </c>
    </row>
    <row r="74" spans="1:10" ht="60" customHeight="1">
      <c r="A74" s="6" t="s">
        <v>195</v>
      </c>
      <c r="B74" s="6" t="s">
        <v>11</v>
      </c>
      <c r="C74" s="6" t="s">
        <v>11</v>
      </c>
      <c r="D74" s="7" t="s">
        <v>11</v>
      </c>
      <c r="E74" s="8" t="s">
        <v>196</v>
      </c>
      <c r="F74" s="6" t="s">
        <v>11</v>
      </c>
      <c r="G74" s="9">
        <f>IF(A74=1,"_",IF(C74="_","???",C74))</f>
        <v/>
      </c>
      <c r="H74" s="10" t="s">
        <v>11</v>
      </c>
      <c r="I74" s="11" t="s">
        <v>11</v>
      </c>
      <c r="J74" s="12"/>
    </row>
    <row r="75" spans="1:10" ht="60" customHeight="1">
      <c r="A75" s="6" t="s">
        <v>197</v>
      </c>
      <c r="B75" s="6" t="s">
        <v>11</v>
      </c>
      <c r="C75" s="6" t="s">
        <v>20</v>
      </c>
      <c r="D75" s="7" t="s">
        <v>11</v>
      </c>
      <c r="E75" s="8" t="s">
        <v>198</v>
      </c>
      <c r="F75" s="6" t="s">
        <v>11</v>
      </c>
      <c r="G75" s="9">
        <f>IF(A75=1,"_",IF(C75="_","???",C75))</f>
        <v/>
      </c>
      <c r="H75" s="10" t="s">
        <v>195</v>
      </c>
      <c r="I75" s="11" t="s">
        <v>23</v>
      </c>
      <c r="J75" s="12" t="s">
        <v>24</v>
      </c>
    </row>
    <row r="76" spans="1:10" ht="60" customHeight="1">
      <c r="A76" s="6" t="s">
        <v>199</v>
      </c>
      <c r="B76" s="6" t="s">
        <v>11</v>
      </c>
      <c r="C76" s="6" t="s">
        <v>200</v>
      </c>
      <c r="D76" s="7" t="s">
        <v>11</v>
      </c>
      <c r="E76" s="8" t="s">
        <v>201</v>
      </c>
      <c r="F76" s="6" t="s">
        <v>11</v>
      </c>
      <c r="G76" s="9">
        <f>IF(A76=1,"_",IF(C76="_","???",C76))</f>
        <v/>
      </c>
      <c r="H76" s="10" t="s">
        <v>197</v>
      </c>
      <c r="I76" s="11" t="s">
        <v>203</v>
      </c>
      <c r="J76" s="12" t="s">
        <v>204</v>
      </c>
    </row>
    <row r="77" spans="1:10" ht="60" customHeight="1">
      <c r="A77" s="6" t="s">
        <v>205</v>
      </c>
      <c r="B77" s="6" t="s">
        <v>11</v>
      </c>
      <c r="C77" s="6" t="s">
        <v>11</v>
      </c>
      <c r="D77" s="7" t="s">
        <v>11</v>
      </c>
      <c r="E77" s="8" t="s">
        <v>206</v>
      </c>
      <c r="F77" s="6" t="s">
        <v>11</v>
      </c>
      <c r="G77" s="9">
        <f>IF(A77=1,"_",IF(C77="_","???",C77))</f>
        <v/>
      </c>
      <c r="H77" s="10" t="s">
        <v>11</v>
      </c>
      <c r="I77" s="11" t="s">
        <v>11</v>
      </c>
      <c r="J77" s="12"/>
    </row>
    <row r="78" spans="1:10" ht="60" customHeight="1">
      <c r="A78" s="6" t="s">
        <v>207</v>
      </c>
      <c r="B78" s="6" t="s">
        <v>11</v>
      </c>
      <c r="C78" s="6" t="s">
        <v>11</v>
      </c>
      <c r="D78" s="7" t="s">
        <v>11</v>
      </c>
      <c r="E78" s="8" t="s">
        <v>208</v>
      </c>
      <c r="F78" s="6" t="s">
        <v>11</v>
      </c>
      <c r="G78" s="9">
        <f>IF(A78=1,"_",IF(C78="_","???",C78))</f>
        <v/>
      </c>
      <c r="H78" s="10" t="s">
        <v>11</v>
      </c>
      <c r="I78" s="11" t="s">
        <v>11</v>
      </c>
      <c r="J78" s="12"/>
    </row>
    <row r="79" spans="1:10" ht="60" customHeight="1">
      <c r="A79" s="6" t="s">
        <v>209</v>
      </c>
      <c r="B79" s="6" t="s">
        <v>11</v>
      </c>
      <c r="C79" s="6" t="s">
        <v>11</v>
      </c>
      <c r="D79" s="7" t="s">
        <v>11</v>
      </c>
      <c r="E79" s="8" t="s">
        <v>210</v>
      </c>
      <c r="F79" s="6" t="s">
        <v>11</v>
      </c>
      <c r="G79" s="9">
        <f>IF(A79=1,"_",IF(C79="_","???",C79))</f>
        <v/>
      </c>
      <c r="H79" s="10" t="s">
        <v>11</v>
      </c>
      <c r="I79" s="11" t="s">
        <v>11</v>
      </c>
      <c r="J79" s="12"/>
    </row>
    <row r="80" spans="1:10" ht="60" customHeight="1">
      <c r="A80" s="6" t="s">
        <v>211</v>
      </c>
      <c r="B80" s="6" t="s">
        <v>11</v>
      </c>
      <c r="C80" s="6" t="s">
        <v>20</v>
      </c>
      <c r="D80" s="7" t="s">
        <v>11</v>
      </c>
      <c r="E80" s="8" t="s">
        <v>212</v>
      </c>
      <c r="F80" s="6" t="s">
        <v>11</v>
      </c>
      <c r="G80" s="9">
        <f>IF(A80=1,"_",IF(C80="_","???",C80))</f>
        <v/>
      </c>
      <c r="H80" s="10" t="s">
        <v>209</v>
      </c>
      <c r="I80" s="11" t="s">
        <v>23</v>
      </c>
      <c r="J80" s="12" t="s">
        <v>24</v>
      </c>
    </row>
    <row r="81" spans="1:10" ht="60" customHeight="1">
      <c r="A81" s="6" t="s">
        <v>213</v>
      </c>
      <c r="B81" s="6" t="s">
        <v>11</v>
      </c>
      <c r="C81" s="6" t="s">
        <v>47</v>
      </c>
      <c r="D81" s="7" t="s">
        <v>11</v>
      </c>
      <c r="E81" s="8" t="s">
        <v>214</v>
      </c>
      <c r="F81" s="6" t="s">
        <v>11</v>
      </c>
      <c r="G81" s="9">
        <f>IF(A81=1,"_",IF(C81="_","???",C81))</f>
        <v/>
      </c>
      <c r="H81" s="10" t="s">
        <v>211</v>
      </c>
      <c r="I81" s="11" t="s">
        <v>50</v>
      </c>
      <c r="J81" s="12" t="s">
        <v>51</v>
      </c>
    </row>
    <row r="82" spans="1:10" ht="60" customHeight="1">
      <c r="A82" s="6" t="s">
        <v>215</v>
      </c>
      <c r="B82" s="6" t="s">
        <v>11</v>
      </c>
      <c r="C82" s="6" t="s">
        <v>11</v>
      </c>
      <c r="D82" s="7" t="s">
        <v>11</v>
      </c>
      <c r="E82" s="8" t="s">
        <v>216</v>
      </c>
      <c r="F82" s="6" t="s">
        <v>11</v>
      </c>
      <c r="G82" s="9">
        <f>IF(A82=1,"_",IF(C82="_","???",C82))</f>
        <v/>
      </c>
      <c r="H82" s="10" t="s">
        <v>11</v>
      </c>
      <c r="I82" s="11" t="s">
        <v>11</v>
      </c>
      <c r="J82" s="12"/>
    </row>
    <row r="83" spans="1:10" ht="60" customHeight="1">
      <c r="A83" s="6" t="s">
        <v>217</v>
      </c>
      <c r="B83" s="6" t="s">
        <v>11</v>
      </c>
      <c r="C83" s="6" t="s">
        <v>11</v>
      </c>
      <c r="D83" s="7" t="s">
        <v>11</v>
      </c>
      <c r="E83" s="8" t="s">
        <v>218</v>
      </c>
      <c r="F83" s="6" t="s">
        <v>11</v>
      </c>
      <c r="G83" s="9">
        <f>IF(A83=1,"_",IF(C83="_","???",C83))</f>
        <v/>
      </c>
      <c r="H83" s="10" t="s">
        <v>11</v>
      </c>
      <c r="I83" s="11" t="s">
        <v>11</v>
      </c>
      <c r="J83" s="12"/>
    </row>
    <row r="84" spans="1:10" ht="60" customHeight="1">
      <c r="A84" s="6" t="s">
        <v>219</v>
      </c>
      <c r="B84" s="6" t="s">
        <v>11</v>
      </c>
      <c r="C84" s="6" t="s">
        <v>11</v>
      </c>
      <c r="D84" s="7" t="s">
        <v>11</v>
      </c>
      <c r="E84" s="8" t="s">
        <v>220</v>
      </c>
      <c r="F84" s="6" t="s">
        <v>11</v>
      </c>
      <c r="G84" s="9">
        <f>IF(A84=1,"_",IF(C84="_","???",C84))</f>
        <v/>
      </c>
      <c r="H84" s="10" t="s">
        <v>11</v>
      </c>
      <c r="I84" s="11" t="s">
        <v>11</v>
      </c>
      <c r="J84" s="12"/>
    </row>
    <row r="85" spans="1:10" ht="60" customHeight="1">
      <c r="A85" s="6" t="s">
        <v>221</v>
      </c>
      <c r="B85" s="6" t="s">
        <v>11</v>
      </c>
      <c r="C85" s="6" t="s">
        <v>11</v>
      </c>
      <c r="D85" s="7" t="s">
        <v>11</v>
      </c>
      <c r="E85" s="8" t="s">
        <v>222</v>
      </c>
      <c r="F85" s="6" t="s">
        <v>11</v>
      </c>
      <c r="G85" s="9">
        <f>IF(A85=1,"_",IF(C85="_","???",C85))</f>
        <v/>
      </c>
      <c r="H85" s="10" t="s">
        <v>11</v>
      </c>
      <c r="I85" s="11" t="s">
        <v>11</v>
      </c>
      <c r="J85"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2196"/>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223</v>
      </c>
      <c r="B1" s="13" t="s">
        <v>224</v>
      </c>
      <c r="C1" s="13" t="s">
        <v>225</v>
      </c>
      <c r="D1" s="13" t="s">
        <v>226</v>
      </c>
      <c r="E1" s="14" t="s">
        <v>227</v>
      </c>
      <c r="F1" s="15" t="s">
        <v>228</v>
      </c>
      <c r="G1" s="16" t="s">
        <v>229</v>
      </c>
      <c r="H1" s="17" t="s">
        <v>230</v>
      </c>
      <c r="I1" s="18" t="s">
        <v>231</v>
      </c>
      <c r="J1" s="18" t="s">
        <v>232</v>
      </c>
      <c r="K1" s="18" t="s">
        <v>233</v>
      </c>
      <c r="L1" s="19" t="s">
        <v>9</v>
      </c>
    </row>
    <row r="2" spans="1:12">
      <c r="A2" s="20" t="s">
        <v>234</v>
      </c>
    </row>
    <row r="3" spans="1:12">
      <c r="A3" s="20" t="s">
        <v>235</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236</v>
      </c>
      <c r="B4" s="27" t="s">
        <v>237</v>
      </c>
      <c r="C4" s="27" t="s">
        <v>238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239</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240</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row>
    <row r="8" spans="1:12">
      <c r="A8" s="20" t="s">
        <v>241</v>
      </c>
    </row>
    <row r="9" spans="1:12">
      <c r="A9" s="20" t="s">
        <v>242</v>
      </c>
      <c r="B9" s="27" t="s">
        <v>237</v>
      </c>
      <c r="C9" s="27" t="s">
        <v>243</v>
      </c>
      <c r="D9" s="27" t="s">
        <v>244</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245</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239</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row>
    <row r="13" spans="1:12">
      <c r="A13" s="20" t="s">
        <v>246</v>
      </c>
    </row>
    <row r="14" spans="1:12">
      <c r="A14" s="20" t="s">
        <v>247</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248</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249</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250</v>
      </c>
      <c r="B17" s="27" t="s">
        <v>251</v>
      </c>
      <c r="C17" s="27" t="s">
        <v>252</v>
      </c>
      <c r="D17" s="27" t="s">
        <v>244</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row>
    <row r="19" spans="1:12">
      <c r="A19" s="20" t="s">
        <v>253</v>
      </c>
    </row>
    <row r="20" spans="1:12">
      <c r="A20" s="20" t="s">
        <v>254</v>
      </c>
      <c r="B20" s="27" t="s">
        <v>255</v>
      </c>
      <c r="C20" s="27" t="s">
        <v>256</v>
      </c>
      <c r="D20" s="27" t="s">
        <v>244</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257</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258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259</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260</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261</v>
      </c>
      <c r="B25" s="27" t="s">
        <v>262</v>
      </c>
      <c r="C25" s="27" t="s">
        <v>263</v>
      </c>
      <c r="D25" s="27" t="s">
        <v>244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264</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265</v>
      </c>
      <c r="B27" s="27" t="s">
        <v>266</v>
      </c>
      <c r="C27" s="27" t="s">
        <v>267</v>
      </c>
      <c r="D27" s="27" t="s">
        <v>244</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268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t="s">
        <v>269</v>
      </c>
      <c r="E29" s="21">
        <f>IF(D29="?OLD","!!!","")</f>
        <v/>
      </c>
      <c r="F29" s="22" t="str">
        <f>IF(OR(E29="",E29="!!!"),"",IF(NOT(ISNA(VLOOKUP(E29,E$1:E28,1,FALSE()))),"OLD",IF(AND(E29&lt;&gt;"",E29&lt;&gt;"!!!"),"NEW","")))</f>
        <v> </v>
      </c>
      <c r="G29" s="23" t="str">
        <f>IF(OR(E29="",E29="!!!"),"",IF(OR(J29=0,AND(J29=1,K29=1),AND(J29=1,I29="SBJ"),AND(J29=1,I29=0)),"?IN_FOCUS",IF(J29&lt;=2,"?ACTIVATED",IF(J29&lt;&gt;"","?FAMILIAR",IF(F29="NEW",IF(ISNA(VLOOKUP(E29,#REF!,1,FALSE())),"?TYPE_IDENTIFIABLE","?REFERENTIAL"),"_")))))</f>
        <v> </v>
      </c>
      <c r="H29" s="24" t="str">
        <f>IF(J29&lt;&gt;1,"",IF(I29="SBJ","CB","?"))</f>
        <v> </v>
      </c>
      <c r="I29" s="25" t="str">
        <f>IF(OR(E29="",E29="!!!",F29="NEW"),"",INDEX(B28:B$2,-1+SUMPRODUCT(MAX(ROW(E28:E$2)*(E29=E28:E$2)))))</f>
        <v> </v>
      </c>
      <c r="J29" s="25" t="str">
        <f>IF(OR(E29="",E29="!!!",F29="NEW"),"",COUNTBLANK(OFFSET(A$1,,,SUMPRODUCT(MAX(ROW(E$2:E29)*(E29=E$2:E29)))))-COUNTBLANK(OFFSET(A$1,,,SUMPRODUCT(MAX(ROW(E$1:E28)*(E2=E$1:E28))))))</f>
        <v> </v>
      </c>
      <c r="K29" s="25" t="str">
        <f>IF(OR(E29="",E29="!!!",F29="NEW"),"",INDEX(J$1:J28,SUMPRODUCT(MAX(ROW(E$1:E28)*(E29=E$1:E28)))))</f>
        <v> </v>
      </c>
      <c r="L29" s="26"/>
    </row>
    <row r="30" spans="1:12">
      <c r="A30" s="20" t="s">
        <v>270</v>
      </c>
      <c r="E30" s="21">
        <f>IF(D30="?OLD","!!!","")</f>
        <v/>
      </c>
      <c r="F30" s="22" t="str">
        <f>IF(OR(E30="",E30="!!!"),"",IF(NOT(ISNA(VLOOKUP(E30,E$1:E29,1,FALSE()))),"OLD",IF(AND(E30&lt;&gt;"",E30&lt;&gt;"!!!"),"NEW","")))</f>
        <v> </v>
      </c>
      <c r="G30" s="23" t="str">
        <f>IF(OR(E30="",E30="!!!"),"",IF(OR(J30=0,AND(J30=1,K30=1),AND(J30=1,I30="SBJ"),AND(J30=1,I30=0)),"?IN_FOCUS",IF(J30&lt;=2,"?ACTIVATED",IF(J30&lt;&gt;"","?FAMILIAR",IF(F30="NEW",IF(ISNA(VLOOKUP(E30,#REF!,1,FALSE())),"?TYPE_IDENTIFIABLE","?REFERENTIAL"),"_")))))</f>
        <v> </v>
      </c>
      <c r="H30" s="24" t="str">
        <f>IF(J30&lt;&gt;1,"",IF(I30="SBJ","CB","?"))</f>
        <v> </v>
      </c>
      <c r="I30" s="25" t="str">
        <f>IF(OR(E30="",E30="!!!",F30="NEW"),"",INDEX(B29:B$2,-1+SUMPRODUCT(MAX(ROW(E29:E$2)*(E30=E29:E$2)))))</f>
        <v> </v>
      </c>
      <c r="J30" s="25" t="str">
        <f>IF(OR(E30="",E30="!!!",F30="NEW"),"",COUNTBLANK(OFFSET(A$1,,,SUMPRODUCT(MAX(ROW(E$2:E30)*(E30=E$2:E30)))))-COUNTBLANK(OFFSET(A$1,,,SUMPRODUCT(MAX(ROW(E$1:E29)*(E2=E$1:E29))))))</f>
        <v> </v>
      </c>
      <c r="K30" s="25" t="str">
        <f>IF(OR(E30="",E30="!!!",F30="NEW"),"",INDEX(J$1:J29,SUMPRODUCT(MAX(ROW(E$1:E29)*(E30=E$1:E29)))))</f>
        <v> </v>
      </c>
      <c r="L30" s="26"/>
    </row>
    <row r="31" spans="1:12">
      <c r="A31" s="20" t="s">
        <v>248</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271</v>
      </c>
      <c r="B32" s="27" t="s">
        <v>272</v>
      </c>
      <c r="C32" s="27" t="s">
        <v>243</v>
      </c>
      <c r="D32" s="27" t="s">
        <v>244</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273</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274</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275</v>
      </c>
      <c r="B35" s="27" t="s">
        <v>262</v>
      </c>
      <c r="C35" s="27" t="s">
        <v>243</v>
      </c>
      <c r="D35" s="27" t="s">
        <v>244</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276</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277</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278</v>
      </c>
      <c r="B38" s="27" t="s">
        <v>272</v>
      </c>
      <c r="C38" s="27" t="s">
        <v>279</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273</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280</v>
      </c>
      <c r="B40" s="27" t="s">
        <v>262</v>
      </c>
      <c r="C40" s="27" t="s">
        <v>281</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282</v>
      </c>
      <c r="B41" s="27" t="s">
        <v>283</v>
      </c>
      <c r="C41" s="27" t="s">
        <v>243</v>
      </c>
      <c r="D41" s="27" t="s">
        <v>244</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284</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285</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row>
    <row r="45" spans="1:12">
      <c r="A45" s="20" t="s">
        <v>286</v>
      </c>
    </row>
    <row r="46" spans="1:12">
      <c r="A46" s="20" t="s">
        <v>254</v>
      </c>
      <c r="B46" s="27" t="s">
        <v>255</v>
      </c>
      <c r="C46" s="27" t="s">
        <v>256</v>
      </c>
      <c r="D46" s="27" t="s">
        <v>244</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287</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258</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288</v>
      </c>
      <c r="B49" s="27" t="s">
        <v>251</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289</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290</v>
      </c>
      <c r="B51" s="27" t="s">
        <v>291</v>
      </c>
      <c r="C51" s="27" t="s">
        <v>256</v>
      </c>
      <c r="D51" s="27" t="s">
        <v>244</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285</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row>
    <row r="54" spans="1:12">
      <c r="A54" s="20" t="s">
        <v>292</v>
      </c>
    </row>
    <row r="55" spans="1:12">
      <c r="A55" s="20" t="s">
        <v>293</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248</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294</v>
      </c>
      <c r="B57" s="27" t="s">
        <v>295</v>
      </c>
      <c r="C57" s="27" t="s">
        <v>252</v>
      </c>
      <c r="D57" s="27" t="s">
        <v>244</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296</v>
      </c>
      <c r="B58" s="27" t="s">
        <v>272</v>
      </c>
      <c r="C58" s="27" t="s">
        <v>243</v>
      </c>
      <c r="D58" s="27" t="s">
        <v>244</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t="s">
        <v>297</v>
      </c>
      <c r="E59" s="21">
        <f>IF(D59="?OLD","!!!","")</f>
        <v/>
      </c>
      <c r="F59" s="22" t="str">
        <f>IF(OR(E59="",E59="!!!"),"",IF(NOT(ISNA(VLOOKUP(E59,E$1:E58,1,FALSE()))),"OLD",IF(AND(E59&lt;&gt;"",E59&lt;&gt;"!!!"),"NEW","")))</f>
        <v> </v>
      </c>
      <c r="G59" s="23" t="str">
        <f>IF(OR(E59="",E59="!!!"),"",IF(OR(J59=0,AND(J59=1,K59=1),AND(J59=1,I59="SBJ"),AND(J59=1,I59=0)),"?IN_FOCUS",IF(J59&lt;=2,"?ACTIVATED",IF(J59&lt;&gt;"","?FAMILIAR",IF(F59="NEW",IF(ISNA(VLOOKUP(E59,#REF!,1,FALSE())),"?TYPE_IDENTIFIABLE","?REFERENTIAL"),"_")))))</f>
        <v> </v>
      </c>
      <c r="H59" s="24" t="str">
        <f>IF(J59&lt;&gt;1,"",IF(I59="SBJ","CB","?"))</f>
        <v> </v>
      </c>
      <c r="I59" s="25" t="str">
        <f>IF(OR(E59="",E59="!!!",F59="NEW"),"",INDEX(B58:B$2,-1+SUMPRODUCT(MAX(ROW(E58:E$2)*(E59=E58:E$2)))))</f>
        <v> </v>
      </c>
      <c r="J59" s="25" t="str">
        <f>IF(OR(E59="",E59="!!!",F59="NEW"),"",COUNTBLANK(OFFSET(A$1,,,SUMPRODUCT(MAX(ROW(E$2:E59)*(E59=E$2:E59)))))-COUNTBLANK(OFFSET(A$1,,,SUMPRODUCT(MAX(ROW(E$1:E58)*(E2=E$1:E58))))))</f>
        <v> </v>
      </c>
      <c r="K59" s="25" t="str">
        <f>IF(OR(E59="",E59="!!!",F59="NEW"),"",INDEX(J$1:J58,SUMPRODUCT(MAX(ROW(E$1:E58)*(E59=E$1:E58)))))</f>
        <v> </v>
      </c>
      <c r="L59" s="26"/>
    </row>
    <row r="60" spans="1:12">
      <c r="A60" s="20" t="s">
        <v>298</v>
      </c>
      <c r="E60" s="21">
        <f>IF(D60="?OLD","!!!","")</f>
        <v/>
      </c>
      <c r="F60" s="22" t="str">
        <f>IF(OR(E60="",E60="!!!"),"",IF(NOT(ISNA(VLOOKUP(E60,E$1:E59,1,FALSE()))),"OLD",IF(AND(E60&lt;&gt;"",E60&lt;&gt;"!!!"),"NEW","")))</f>
        <v> </v>
      </c>
      <c r="G60" s="23" t="str">
        <f>IF(OR(E60="",E60="!!!"),"",IF(OR(J60=0,AND(J60=1,K60=1),AND(J60=1,I60="SBJ"),AND(J60=1,I60=0)),"?IN_FOCUS",IF(J60&lt;=2,"?ACTIVATED",IF(J60&lt;&gt;"","?FAMILIAR",IF(F60="NEW",IF(ISNA(VLOOKUP(E60,#REF!,1,FALSE())),"?TYPE_IDENTIFIABLE","?REFERENTIAL"),"_")))))</f>
        <v> </v>
      </c>
      <c r="H60" s="24" t="str">
        <f>IF(J60&lt;&gt;1,"",IF(I60="SBJ","CB","?"))</f>
        <v> </v>
      </c>
      <c r="I60" s="25" t="str">
        <f>IF(OR(E60="",E60="!!!",F60="NEW"),"",INDEX(B59:B$2,-1+SUMPRODUCT(MAX(ROW(E59:E$2)*(E60=E59:E$2)))))</f>
        <v> </v>
      </c>
      <c r="J60" s="25" t="str">
        <f>IF(OR(E60="",E60="!!!",F60="NEW"),"",COUNTBLANK(OFFSET(A$1,,,SUMPRODUCT(MAX(ROW(E$2:E60)*(E60=E$2:E60)))))-COUNTBLANK(OFFSET(A$1,,,SUMPRODUCT(MAX(ROW(E$1:E59)*(E2=E$1:E59))))))</f>
        <v> </v>
      </c>
      <c r="K60" s="25" t="str">
        <f>IF(OR(E60="",E60="!!!",F60="NEW"),"",INDEX(J$1:J59,SUMPRODUCT(MAX(ROW(E$1:E59)*(E60=E$1:E59)))))</f>
        <v> </v>
      </c>
      <c r="L60" s="26"/>
    </row>
    <row r="61" spans="1:12">
      <c r="A61" s="20" t="s">
        <v>299</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248</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300</v>
      </c>
      <c r="B63" s="27" t="s">
        <v>301</v>
      </c>
      <c r="C63" s="27" t="s">
        <v>252</v>
      </c>
      <c r="D63" s="27" t="s">
        <v>244</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289</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290</v>
      </c>
      <c r="B65" s="27" t="s">
        <v>272</v>
      </c>
      <c r="C65" s="27" t="s">
        <v>263</v>
      </c>
      <c r="D65" s="27" t="s">
        <v>244</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302</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303</v>
      </c>
      <c r="B67" s="27" t="s">
        <v>291</v>
      </c>
      <c r="C67" s="27" t="s">
        <v>267</v>
      </c>
      <c r="D67" s="27" t="s">
        <v>244</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273</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304</v>
      </c>
      <c r="B69" s="27" t="s">
        <v>272</v>
      </c>
      <c r="C69" s="27" t="s">
        <v>281</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305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254</v>
      </c>
      <c r="B71" s="27" t="s">
        <v>255</v>
      </c>
      <c r="C71" s="27" t="s">
        <v>256</v>
      </c>
      <c r="D71" s="27" t="s">
        <v>244</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306</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307</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270</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248</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300</v>
      </c>
      <c r="B76" s="27" t="s">
        <v>291</v>
      </c>
      <c r="C76" s="27" t="s">
        <v>252</v>
      </c>
      <c r="D76" s="27" t="s">
        <v>244</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289</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248</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308</v>
      </c>
      <c r="B79" s="27" t="s">
        <v>272</v>
      </c>
      <c r="C79" s="27" t="s">
        <v>252</v>
      </c>
      <c r="D79" s="27" t="s">
        <v>244</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285</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row>
    <row r="82" spans="1:12">
      <c r="A82" s="20" t="s">
        <v>309</v>
      </c>
    </row>
    <row r="83" spans="1:12">
      <c r="A83" s="20" t="s">
        <v>310</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311</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312</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313</v>
      </c>
      <c r="B86" s="27" t="s">
        <v>255</v>
      </c>
      <c r="C86" s="27" t="s">
        <v>238</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314</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315</v>
      </c>
      <c r="B88" s="27" t="s">
        <v>291</v>
      </c>
      <c r="C88" s="27" t="s">
        <v>281</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260</v>
      </c>
      <c r="B89" s="27" t="s">
        <v>266</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316</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317</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t="s">
        <v>318</v>
      </c>
      <c r="E92" s="21">
        <f>IF(D92="?OLD","!!!","")</f>
        <v/>
      </c>
      <c r="F92" s="22" t="str">
        <f>IF(OR(E92="",E92="!!!"),"",IF(NOT(ISNA(VLOOKUP(E92,E$1:E91,1,FALSE()))),"OLD",IF(AND(E92&lt;&gt;"",E92&lt;&gt;"!!!"),"NEW","")))</f>
        <v> </v>
      </c>
      <c r="G92" s="23" t="str">
        <f>IF(OR(E92="",E92="!!!"),"",IF(OR(J92=0,AND(J92=1,K92=1),AND(J92=1,I92="SBJ"),AND(J92=1,I92=0)),"?IN_FOCUS",IF(J92&lt;=2,"?ACTIVATED",IF(J92&lt;&gt;"","?FAMILIAR",IF(F92="NEW",IF(ISNA(VLOOKUP(E92,#REF!,1,FALSE())),"?TYPE_IDENTIFIABLE","?REFERENTIAL"),"_")))))</f>
        <v> </v>
      </c>
      <c r="H92" s="24" t="str">
        <f>IF(J92&lt;&gt;1,"",IF(I92="SBJ","CB","?"))</f>
        <v> </v>
      </c>
      <c r="I92" s="25" t="str">
        <f>IF(OR(E92="",E92="!!!",F92="NEW"),"",INDEX(B91:B$2,-1+SUMPRODUCT(MAX(ROW(E91:E$2)*(E92=E91:E$2)))))</f>
        <v> </v>
      </c>
      <c r="J92" s="25" t="str">
        <f>IF(OR(E92="",E92="!!!",F92="NEW"),"",COUNTBLANK(OFFSET(A$1,,,SUMPRODUCT(MAX(ROW(E$2:E92)*(E92=E$2:E92)))))-COUNTBLANK(OFFSET(A$1,,,SUMPRODUCT(MAX(ROW(E$1:E91)*(E2=E$1:E91))))))</f>
        <v> </v>
      </c>
      <c r="K92" s="25" t="str">
        <f>IF(OR(E92="",E92="!!!",F92="NEW"),"",INDEX(J$1:J91,SUMPRODUCT(MAX(ROW(E$1:E91)*(E92=E$1:E91)))))</f>
        <v> </v>
      </c>
      <c r="L92" s="26"/>
    </row>
    <row r="93" spans="1:12">
      <c r="A93" s="20" t="s">
        <v>319</v>
      </c>
      <c r="E93" s="21">
        <f>IF(D93="?OLD","!!!","")</f>
        <v/>
      </c>
      <c r="F93" s="22" t="str">
        <f>IF(OR(E93="",E93="!!!"),"",IF(NOT(ISNA(VLOOKUP(E93,E$1:E92,1,FALSE()))),"OLD",IF(AND(E93&lt;&gt;"",E93&lt;&gt;"!!!"),"NEW","")))</f>
        <v> </v>
      </c>
      <c r="G93" s="23" t="str">
        <f>IF(OR(E93="",E93="!!!"),"",IF(OR(J93=0,AND(J93=1,K93=1),AND(J93=1,I93="SBJ"),AND(J93=1,I93=0)),"?IN_FOCUS",IF(J93&lt;=2,"?ACTIVATED",IF(J93&lt;&gt;"","?FAMILIAR",IF(F93="NEW",IF(ISNA(VLOOKUP(E93,#REF!,1,FALSE())),"?TYPE_IDENTIFIABLE","?REFERENTIAL"),"_")))))</f>
        <v> </v>
      </c>
      <c r="H93" s="24" t="str">
        <f>IF(J93&lt;&gt;1,"",IF(I93="SBJ","CB","?"))</f>
        <v> </v>
      </c>
      <c r="I93" s="25" t="str">
        <f>IF(OR(E93="",E93="!!!",F93="NEW"),"",INDEX(B92:B$2,-1+SUMPRODUCT(MAX(ROW(E92:E$2)*(E93=E92:E$2)))))</f>
        <v> </v>
      </c>
      <c r="J93" s="25" t="str">
        <f>IF(OR(E93="",E93="!!!",F93="NEW"),"",COUNTBLANK(OFFSET(A$1,,,SUMPRODUCT(MAX(ROW(E$2:E93)*(E93=E$2:E93)))))-COUNTBLANK(OFFSET(A$1,,,SUMPRODUCT(MAX(ROW(E$1:E92)*(E2=E$1:E92))))))</f>
        <v> </v>
      </c>
      <c r="K93" s="25" t="str">
        <f>IF(OR(E93="",E93="!!!",F93="NEW"),"",INDEX(J$1:J92,SUMPRODUCT(MAX(ROW(E$1:E92)*(E93=E$1:E92)))))</f>
        <v> </v>
      </c>
      <c r="L93" s="26"/>
    </row>
    <row r="94" spans="1:12">
      <c r="A94" s="20" t="s">
        <v>320</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321</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290</v>
      </c>
      <c r="B96" s="27" t="s">
        <v>283</v>
      </c>
      <c r="C96" s="27" t="s">
        <v>263</v>
      </c>
      <c r="D96" s="27" t="s">
        <v>244</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322</v>
      </c>
      <c r="B97" s="27" t="s">
        <v>262</v>
      </c>
      <c r="C97" s="27" t="s">
        <v>267</v>
      </c>
      <c r="D97" s="27" t="s">
        <v>244</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285</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row>
    <row r="100" spans="1:12">
      <c r="A100" s="20" t="s">
        <v>323</v>
      </c>
    </row>
    <row r="101" spans="1:12">
      <c r="A101" s="20" t="s">
        <v>254</v>
      </c>
      <c r="B101" s="27" t="s">
        <v>255</v>
      </c>
      <c r="C101" s="27" t="s">
        <v>256</v>
      </c>
      <c r="D101" s="27" t="s">
        <v>244</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324</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325</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290</v>
      </c>
      <c r="B104" s="27" t="s">
        <v>301</v>
      </c>
      <c r="C104" s="27" t="s">
        <v>256</v>
      </c>
      <c r="D104" s="27" t="s">
        <v>244</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326</v>
      </c>
      <c r="B105" s="27" t="s">
        <v>301</v>
      </c>
      <c r="C105" s="27" t="s">
        <v>327</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328</v>
      </c>
      <c r="B106" s="27" t="s">
        <v>329</v>
      </c>
      <c r="C106" s="27" t="s">
        <v>256</v>
      </c>
      <c r="D106" s="27" t="s">
        <v>244</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330</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273</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331</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332</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333</v>
      </c>
      <c r="B111" s="27" t="s">
        <v>262</v>
      </c>
      <c r="C111" s="27" t="s">
        <v>334</v>
      </c>
      <c r="D111" s="27" t="s">
        <v>244</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285</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row>
    <row r="114" spans="1:12">
      <c r="A114" s="20" t="s">
        <v>335</v>
      </c>
    </row>
    <row r="115" spans="1:12">
      <c r="A115" s="20" t="s">
        <v>336</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337</v>
      </c>
      <c r="B116" s="27" t="s">
        <v>295</v>
      </c>
      <c r="C116" s="27" t="s">
        <v>256</v>
      </c>
      <c r="D116" s="27" t="s">
        <v>244</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338</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339</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340</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341</v>
      </c>
      <c r="B120" s="27" t="s">
        <v>266</v>
      </c>
      <c r="C120" s="27" t="s">
        <v>256</v>
      </c>
      <c r="D120" s="27" t="s">
        <v>244</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311</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342</v>
      </c>
      <c r="B122" s="27" t="s">
        <v>291</v>
      </c>
      <c r="C122" s="27" t="s">
        <v>343</v>
      </c>
      <c r="D122" s="27" t="s">
        <v>244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305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337</v>
      </c>
      <c r="B124" s="27" t="s">
        <v>255</v>
      </c>
      <c r="C124" s="27" t="s">
        <v>256</v>
      </c>
      <c r="D124" s="27" t="s">
        <v>244</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344</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345</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346</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347</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348</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349</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t="s">
        <v>350</v>
      </c>
      <c r="E131" s="21">
        <f>IF(D131="?OLD","!!!","")</f>
        <v/>
      </c>
      <c r="F131" s="22" t="str">
        <f>IF(OR(E131="",E131="!!!"),"",IF(NOT(ISNA(VLOOKUP(E131,E$1:E130,1,FALSE()))),"OLD",IF(AND(E131&lt;&gt;"",E131&lt;&gt;"!!!"),"NEW","")))</f>
        <v> </v>
      </c>
      <c r="G131" s="23" t="str">
        <f>IF(OR(E131="",E131="!!!"),"",IF(OR(J131=0,AND(J131=1,K131=1),AND(J131=1,I131="SBJ"),AND(J131=1,I131=0)),"?IN_FOCUS",IF(J131&lt;=2,"?ACTIVATED",IF(J131&lt;&gt;"","?FAMILIAR",IF(F131="NEW",IF(ISNA(VLOOKUP(E131,#REF!,1,FALSE())),"?TYPE_IDENTIFIABLE","?REFERENTIAL"),"_")))))</f>
        <v> </v>
      </c>
      <c r="H131" s="24" t="str">
        <f>IF(J131&lt;&gt;1,"",IF(I131="SBJ","CB","?"))</f>
        <v> </v>
      </c>
      <c r="I131" s="25" t="str">
        <f>IF(OR(E131="",E131="!!!",F131="NEW"),"",INDEX(B130:B$2,-1+SUMPRODUCT(MAX(ROW(E130:E$2)*(E131=E130:E$2)))))</f>
        <v> </v>
      </c>
      <c r="J131" s="25" t="str">
        <f>IF(OR(E131="",E131="!!!",F131="NEW"),"",COUNTBLANK(OFFSET(A$1,,,SUMPRODUCT(MAX(ROW(E$2:E131)*(E131=E$2:E131)))))-COUNTBLANK(OFFSET(A$1,,,SUMPRODUCT(MAX(ROW(E$1:E130)*(E2=E$1:E130))))))</f>
        <v> </v>
      </c>
      <c r="K131" s="25" t="str">
        <f>IF(OR(E131="",E131="!!!",F131="NEW"),"",INDEX(J$1:J130,SUMPRODUCT(MAX(ROW(E$1:E130)*(E131=E$1:E130)))))</f>
        <v> </v>
      </c>
      <c r="L131" s="26"/>
    </row>
    <row r="132" spans="1:12">
      <c r="A132" s="20" t="s">
        <v>285</v>
      </c>
      <c r="E132" s="21">
        <f>IF(D132="?OLD","!!!","")</f>
        <v/>
      </c>
      <c r="F132" s="22" t="str">
        <f>IF(OR(E132="",E132="!!!"),"",IF(NOT(ISNA(VLOOKUP(E132,E$1:E131,1,FALSE()))),"OLD",IF(AND(E132&lt;&gt;"",E132&lt;&gt;"!!!"),"NEW","")))</f>
        <v> </v>
      </c>
      <c r="G132" s="23" t="str">
        <f>IF(OR(E132="",E132="!!!"),"",IF(OR(J132=0,AND(J132=1,K132=1),AND(J132=1,I132="SBJ"),AND(J132=1,I132=0)),"?IN_FOCUS",IF(J132&lt;=2,"?ACTIVATED",IF(J132&lt;&gt;"","?FAMILIAR",IF(F132="NEW",IF(ISNA(VLOOKUP(E132,#REF!,1,FALSE())),"?TYPE_IDENTIFIABLE","?REFERENTIAL"),"_")))))</f>
        <v> </v>
      </c>
      <c r="H132" s="24" t="str">
        <f>IF(J132&lt;&gt;1,"",IF(I132="SBJ","CB","?"))</f>
        <v> </v>
      </c>
      <c r="I132" s="25" t="str">
        <f>IF(OR(E132="",E132="!!!",F132="NEW"),"",INDEX(B131:B$2,-1+SUMPRODUCT(MAX(ROW(E131:E$2)*(E132=E131:E$2)))))</f>
        <v> </v>
      </c>
      <c r="J132" s="25" t="str">
        <f>IF(OR(E132="",E132="!!!",F132="NEW"),"",COUNTBLANK(OFFSET(A$1,,,SUMPRODUCT(MAX(ROW(E$2:E132)*(E132=E$2:E132)))))-COUNTBLANK(OFFSET(A$1,,,SUMPRODUCT(MAX(ROW(E$1:E131)*(E2=E$1:E131))))))</f>
        <v> </v>
      </c>
      <c r="K132" s="25" t="str">
        <f>IF(OR(E132="",E132="!!!",F132="NEW"),"",INDEX(J$1:J131,SUMPRODUCT(MAX(ROW(E$1:E131)*(E132=E$1:E131)))))</f>
        <v> </v>
      </c>
      <c r="L132" s="26"/>
    </row>
    <row r="133" spans="1:12">
      <c r="A133" s="20"/>
    </row>
    <row r="134" spans="1:12">
      <c r="A134" s="20" t="s">
        <v>351</v>
      </c>
    </row>
    <row r="135" spans="1:12">
      <c r="A135" s="20" t="s">
        <v>352</v>
      </c>
      <c r="B135" s="27" t="s">
        <v>255</v>
      </c>
      <c r="C135" s="27" t="s">
        <v>256</v>
      </c>
      <c r="D135" s="27" t="s">
        <v>244</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353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354</v>
      </c>
      <c r="B137" s="27" t="s">
        <v>251</v>
      </c>
      <c r="C137" s="27" t="s">
        <v>256</v>
      </c>
      <c r="D137" s="27" t="s">
        <v>244</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260</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277</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355</v>
      </c>
      <c r="B140" s="27" t="s">
        <v>295</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338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339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356</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357</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290</v>
      </c>
      <c r="B145" s="27" t="s">
        <v>272</v>
      </c>
      <c r="C145" s="27" t="s">
        <v>263</v>
      </c>
      <c r="D145" s="27" t="s">
        <v>244</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358</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359</v>
      </c>
      <c r="B147" s="27" t="s">
        <v>301</v>
      </c>
      <c r="C147" s="27" t="s">
        <v>267</v>
      </c>
      <c r="D147" s="27" t="s">
        <v>244</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360</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326</v>
      </c>
      <c r="B149" s="27" t="s">
        <v>266</v>
      </c>
      <c r="C149" s="27" t="s">
        <v>327</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328</v>
      </c>
      <c r="B150" s="27" t="s">
        <v>361</v>
      </c>
      <c r="C150" s="27" t="s">
        <v>256</v>
      </c>
      <c r="D150" s="27" t="s">
        <v>244</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362</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363</v>
      </c>
      <c r="B152" s="27" t="s">
        <v>364</v>
      </c>
      <c r="C152" s="27" t="s">
        <v>256</v>
      </c>
      <c r="D152" s="27" t="s">
        <v>244</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349</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365</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t="s">
        <v>285</v>
      </c>
      <c r="E155" s="21">
        <f>IF(D155="?OLD","!!!","")</f>
        <v/>
      </c>
      <c r="F155" s="22" t="str">
        <f>IF(OR(E155="",E155="!!!"),"",IF(NOT(ISNA(VLOOKUP(E155,E$1:E154,1,FALSE()))),"OLD",IF(AND(E155&lt;&gt;"",E155&lt;&gt;"!!!"),"NEW","")))</f>
        <v> </v>
      </c>
      <c r="G155" s="23" t="str">
        <f>IF(OR(E155="",E155="!!!"),"",IF(OR(J155=0,AND(J155=1,K155=1),AND(J155=1,I155="SBJ"),AND(J155=1,I155=0)),"?IN_FOCUS",IF(J155&lt;=2,"?ACTIVATED",IF(J155&lt;&gt;"","?FAMILIAR",IF(F155="NEW",IF(ISNA(VLOOKUP(E155,#REF!,1,FALSE())),"?TYPE_IDENTIFIABLE","?REFERENTIAL"),"_")))))</f>
        <v> </v>
      </c>
      <c r="H155" s="24" t="str">
        <f>IF(J155&lt;&gt;1,"",IF(I155="SBJ","CB","?"))</f>
        <v> </v>
      </c>
      <c r="I155" s="25" t="str">
        <f>IF(OR(E155="",E155="!!!",F155="NEW"),"",INDEX(B154:B$2,-1+SUMPRODUCT(MAX(ROW(E154:E$2)*(E155=E154:E$2)))))</f>
        <v> </v>
      </c>
      <c r="J155" s="25" t="str">
        <f>IF(OR(E155="",E155="!!!",F155="NEW"),"",COUNTBLANK(OFFSET(A$1,,,SUMPRODUCT(MAX(ROW(E$2:E155)*(E155=E$2:E155)))))-COUNTBLANK(OFFSET(A$1,,,SUMPRODUCT(MAX(ROW(E$1:E154)*(E2=E$1:E154))))))</f>
        <v> </v>
      </c>
      <c r="K155" s="25" t="str">
        <f>IF(OR(E155="",E155="!!!",F155="NEW"),"",INDEX(J$1:J154,SUMPRODUCT(MAX(ROW(E$1:E154)*(E155=E$1:E154)))))</f>
        <v> </v>
      </c>
      <c r="L155" s="26"/>
    </row>
    <row r="156" spans="1:12">
      <c r="A156" s="20"/>
    </row>
    <row r="157" spans="1:12">
      <c r="A157" s="20" t="s">
        <v>366</v>
      </c>
    </row>
    <row r="158" spans="1:12">
      <c r="A158" s="20" t="s">
        <v>367</v>
      </c>
      <c r="B158" s="27" t="s">
        <v>295</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273</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248</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333</v>
      </c>
      <c r="B161" s="27" t="s">
        <v>272</v>
      </c>
      <c r="C161" s="27" t="s">
        <v>252</v>
      </c>
      <c r="D161" s="27" t="s">
        <v>244</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305</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321</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368</v>
      </c>
      <c r="B164" s="27" t="s">
        <v>237</v>
      </c>
      <c r="C164" s="27" t="s">
        <v>238</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305</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258</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338</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339</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357</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290</v>
      </c>
      <c r="B170" s="27" t="s">
        <v>291</v>
      </c>
      <c r="C170" s="27" t="s">
        <v>263</v>
      </c>
      <c r="D170" s="27" t="s">
        <v>244</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359</v>
      </c>
      <c r="B171" s="27" t="s">
        <v>251</v>
      </c>
      <c r="C171" s="27" t="s">
        <v>267</v>
      </c>
      <c r="D171" s="27" t="s">
        <v>244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305</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328</v>
      </c>
      <c r="B173" s="27" t="s">
        <v>295</v>
      </c>
      <c r="C173" s="27" t="s">
        <v>256</v>
      </c>
      <c r="D173" s="27" t="s">
        <v>244</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369</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370</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371</v>
      </c>
      <c r="B176" s="27" t="s">
        <v>301</v>
      </c>
      <c r="C176" s="27" t="s">
        <v>256</v>
      </c>
      <c r="D176" s="27" t="s">
        <v>244</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372</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321</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248</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373</v>
      </c>
      <c r="B180" s="27" t="s">
        <v>291</v>
      </c>
      <c r="C180" s="27" t="s">
        <v>252</v>
      </c>
      <c r="D180" s="27" t="s">
        <v>244</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321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t="s">
        <v>290</v>
      </c>
      <c r="B182" s="27" t="s">
        <v>262</v>
      </c>
      <c r="C182" s="27" t="s">
        <v>263</v>
      </c>
      <c r="D182" s="27" t="s">
        <v>244</v>
      </c>
      <c r="E182" s="21">
        <f>IF(D182="?OLD","!!!","")</f>
        <v/>
      </c>
      <c r="F182" s="22" t="str">
        <f>IF(OR(E182="",E182="!!!"),"",IF(NOT(ISNA(VLOOKUP(E182,E$1:E181,1,FALSE()))),"OLD",IF(AND(E182&lt;&gt;"",E182&lt;&gt;"!!!"),"NEW","")))</f>
        <v> </v>
      </c>
      <c r="G182" s="23" t="str">
        <f>IF(OR(E182="",E182="!!!"),"",IF(OR(J182=0,AND(J182=1,K182=1),AND(J182=1,I182="SBJ"),AND(J182=1,I182=0)),"?IN_FOCUS",IF(J182&lt;=2,"?ACTIVATED",IF(J182&lt;&gt;"","?FAMILIAR",IF(F182="NEW",IF(ISNA(VLOOKUP(E182,#REF!,1,FALSE())),"?TYPE_IDENTIFIABLE","?REFERENTIAL"),"_")))))</f>
        <v> </v>
      </c>
      <c r="H182" s="24" t="str">
        <f>IF(J182&lt;&gt;1,"",IF(I182="SBJ","CB","?"))</f>
        <v> </v>
      </c>
      <c r="I182" s="25" t="str">
        <f>IF(OR(E182="",E182="!!!",F182="NEW"),"",INDEX(B181:B$2,-1+SUMPRODUCT(MAX(ROW(E181:E$2)*(E182=E181:E$2)))))</f>
        <v> </v>
      </c>
      <c r="J182" s="25" t="str">
        <f>IF(OR(E182="",E182="!!!",F182="NEW"),"",COUNTBLANK(OFFSET(A$1,,,SUMPRODUCT(MAX(ROW(E$2:E182)*(E182=E$2:E182)))))-COUNTBLANK(OFFSET(A$1,,,SUMPRODUCT(MAX(ROW(E$1:E181)*(E2=E$1:E181))))))</f>
        <v> </v>
      </c>
      <c r="K182" s="25" t="str">
        <f>IF(OR(E182="",E182="!!!",F182="NEW"),"",INDEX(J$1:J181,SUMPRODUCT(MAX(ROW(E$1:E181)*(E182=E$1:E181)))))</f>
        <v> </v>
      </c>
      <c r="L182" s="26"/>
    </row>
    <row r="183" spans="1:12">
      <c r="A183" s="20" t="s">
        <v>374</v>
      </c>
      <c r="B183" s="27" t="s">
        <v>272</v>
      </c>
      <c r="C183" s="27" t="s">
        <v>267</v>
      </c>
      <c r="D183" s="27" t="s">
        <v>244</v>
      </c>
      <c r="E183" s="21">
        <f>IF(D183="?OLD","!!!","")</f>
        <v/>
      </c>
      <c r="F183" s="22" t="str">
        <f>IF(OR(E183="",E183="!!!"),"",IF(NOT(ISNA(VLOOKUP(E183,E$1:E182,1,FALSE()))),"OLD",IF(AND(E183&lt;&gt;"",E183&lt;&gt;"!!!"),"NEW","")))</f>
        <v> </v>
      </c>
      <c r="G183" s="23" t="str">
        <f>IF(OR(E183="",E183="!!!"),"",IF(OR(J183=0,AND(J183=1,K183=1),AND(J183=1,I183="SBJ"),AND(J183=1,I183=0)),"?IN_FOCUS",IF(J183&lt;=2,"?ACTIVATED",IF(J183&lt;&gt;"","?FAMILIAR",IF(F183="NEW",IF(ISNA(VLOOKUP(E183,#REF!,1,FALSE())),"?TYPE_IDENTIFIABLE","?REFERENTIAL"),"_")))))</f>
        <v> </v>
      </c>
      <c r="H183" s="24" t="str">
        <f>IF(J183&lt;&gt;1,"",IF(I183="SBJ","CB","?"))</f>
        <v> </v>
      </c>
      <c r="I183" s="25" t="str">
        <f>IF(OR(E183="",E183="!!!",F183="NEW"),"",INDEX(B182:B$2,-1+SUMPRODUCT(MAX(ROW(E182:E$2)*(E183=E182:E$2)))))</f>
        <v> </v>
      </c>
      <c r="J183" s="25" t="str">
        <f>IF(OR(E183="",E183="!!!",F183="NEW"),"",COUNTBLANK(OFFSET(A$1,,,SUMPRODUCT(MAX(ROW(E$2:E183)*(E183=E$2:E183)))))-COUNTBLANK(OFFSET(A$1,,,SUMPRODUCT(MAX(ROW(E$1:E182)*(E2=E$1:E182))))))</f>
        <v> </v>
      </c>
      <c r="K183" s="25" t="str">
        <f>IF(OR(E183="",E183="!!!",F183="NEW"),"",INDEX(J$1:J182,SUMPRODUCT(MAX(ROW(E$1:E182)*(E183=E$1:E182)))))</f>
        <v> </v>
      </c>
      <c r="L183" s="26"/>
    </row>
    <row r="184" spans="1:12">
      <c r="A184" s="20" t="s">
        <v>305</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314</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290</v>
      </c>
      <c r="B186" s="27" t="s">
        <v>272</v>
      </c>
      <c r="C186" s="27" t="s">
        <v>263</v>
      </c>
      <c r="D186" s="27" t="s">
        <v>244</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375</v>
      </c>
      <c r="B187" s="27" t="s">
        <v>295</v>
      </c>
      <c r="C187" s="27" t="s">
        <v>267</v>
      </c>
      <c r="D187" s="27" t="s">
        <v>244</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369</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376</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371</v>
      </c>
      <c r="B190" s="27" t="s">
        <v>301</v>
      </c>
      <c r="C190" s="27" t="s">
        <v>256</v>
      </c>
      <c r="D190" s="27" t="s">
        <v>244</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377</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328</v>
      </c>
      <c r="B192" s="27" t="s">
        <v>266</v>
      </c>
      <c r="C192" s="27" t="s">
        <v>256</v>
      </c>
      <c r="D192" s="27" t="s">
        <v>244</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378</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371</v>
      </c>
      <c r="B194" s="27" t="s">
        <v>262</v>
      </c>
      <c r="C194" s="27" t="s">
        <v>263</v>
      </c>
      <c r="D194" s="27" t="s">
        <v>244</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379</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380</v>
      </c>
      <c r="B196" s="27" t="s">
        <v>381</v>
      </c>
      <c r="C196" s="27" t="s">
        <v>267</v>
      </c>
      <c r="D196" s="27" t="s">
        <v>244</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285</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row>
    <row r="199" spans="1:12">
      <c r="A199" s="20" t="s">
        <v>382</v>
      </c>
    </row>
    <row r="200" spans="1:12">
      <c r="A200" s="20" t="s">
        <v>383</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260</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384</v>
      </c>
      <c r="B202" s="27" t="s">
        <v>237</v>
      </c>
      <c r="C202" s="27" t="s">
        <v>334</v>
      </c>
      <c r="D202" s="27" t="s">
        <v>244</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305</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261</v>
      </c>
      <c r="B204" s="27" t="s">
        <v>291</v>
      </c>
      <c r="C204" s="27" t="s">
        <v>263</v>
      </c>
      <c r="D204" s="27" t="s">
        <v>244</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385</v>
      </c>
      <c r="B205" s="27" t="s">
        <v>255</v>
      </c>
      <c r="C205" s="27" t="s">
        <v>267</v>
      </c>
      <c r="D205" s="27" t="s">
        <v>244</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273</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386</v>
      </c>
      <c r="B207" s="27" t="s">
        <v>291</v>
      </c>
      <c r="C207" s="27" t="s">
        <v>281</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314</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t="s">
        <v>387</v>
      </c>
      <c r="B209" s="27" t="s">
        <v>272</v>
      </c>
      <c r="C209" s="27" t="s">
        <v>281</v>
      </c>
      <c r="E209" s="21">
        <f>IF(D209="?OLD","!!!","")</f>
        <v/>
      </c>
      <c r="F209" s="22" t="str">
        <f>IF(OR(E209="",E209="!!!"),"",IF(NOT(ISNA(VLOOKUP(E209,E$1:E208,1,FALSE()))),"OLD",IF(AND(E209&lt;&gt;"",E209&lt;&gt;"!!!"),"NEW","")))</f>
        <v> </v>
      </c>
      <c r="G209" s="23" t="str">
        <f>IF(OR(E209="",E209="!!!"),"",IF(OR(J209=0,AND(J209=1,K209=1),AND(J209=1,I209="SBJ"),AND(J209=1,I209=0)),"?IN_FOCUS",IF(J209&lt;=2,"?ACTIVATED",IF(J209&lt;&gt;"","?FAMILIAR",IF(F209="NEW",IF(ISNA(VLOOKUP(E209,#REF!,1,FALSE())),"?TYPE_IDENTIFIABLE","?REFERENTIAL"),"_")))))</f>
        <v> </v>
      </c>
      <c r="H209" s="24" t="str">
        <f>IF(J209&lt;&gt;1,"",IF(I209="SBJ","CB","?"))</f>
        <v> </v>
      </c>
      <c r="I209" s="25" t="str">
        <f>IF(OR(E209="",E209="!!!",F209="NEW"),"",INDEX(B208:B$2,-1+SUMPRODUCT(MAX(ROW(E208:E$2)*(E209=E208:E$2)))))</f>
        <v> </v>
      </c>
      <c r="J209" s="25" t="str">
        <f>IF(OR(E209="",E209="!!!",F209="NEW"),"",COUNTBLANK(OFFSET(A$1,,,SUMPRODUCT(MAX(ROW(E$2:E209)*(E209=E$2:E209)))))-COUNTBLANK(OFFSET(A$1,,,SUMPRODUCT(MAX(ROW(E$1:E208)*(E2=E$1:E208))))))</f>
        <v> </v>
      </c>
      <c r="K209" s="25" t="str">
        <f>IF(OR(E209="",E209="!!!",F209="NEW"),"",INDEX(J$1:J208,SUMPRODUCT(MAX(ROW(E$1:E208)*(E209=E$1:E208)))))</f>
        <v> </v>
      </c>
      <c r="L209" s="26"/>
    </row>
    <row r="210" spans="1:12">
      <c r="A210" s="20" t="s">
        <v>388</v>
      </c>
      <c r="E210" s="21">
        <f>IF(D210="?OLD","!!!","")</f>
        <v/>
      </c>
      <c r="F210" s="22" t="str">
        <f>IF(OR(E210="",E210="!!!"),"",IF(NOT(ISNA(VLOOKUP(E210,E$1:E209,1,FALSE()))),"OLD",IF(AND(E210&lt;&gt;"",E210&lt;&gt;"!!!"),"NEW","")))</f>
        <v> </v>
      </c>
      <c r="G210" s="23" t="str">
        <f>IF(OR(E210="",E210="!!!"),"",IF(OR(J210=0,AND(J210=1,K210=1),AND(J210=1,I210="SBJ"),AND(J210=1,I210=0)),"?IN_FOCUS",IF(J210&lt;=2,"?ACTIVATED",IF(J210&lt;&gt;"","?FAMILIAR",IF(F210="NEW",IF(ISNA(VLOOKUP(E210,#REF!,1,FALSE())),"?TYPE_IDENTIFIABLE","?REFERENTIAL"),"_")))))</f>
        <v> </v>
      </c>
      <c r="H210" s="24" t="str">
        <f>IF(J210&lt;&gt;1,"",IF(I210="SBJ","CB","?"))</f>
        <v> </v>
      </c>
      <c r="I210" s="25" t="str">
        <f>IF(OR(E210="",E210="!!!",F210="NEW"),"",INDEX(B209:B$2,-1+SUMPRODUCT(MAX(ROW(E209:E$2)*(E210=E209:E$2)))))</f>
        <v> </v>
      </c>
      <c r="J210" s="25" t="str">
        <f>IF(OR(E210="",E210="!!!",F210="NEW"),"",COUNTBLANK(OFFSET(A$1,,,SUMPRODUCT(MAX(ROW(E$2:E210)*(E210=E$2:E210)))))-COUNTBLANK(OFFSET(A$1,,,SUMPRODUCT(MAX(ROW(E$1:E209)*(E2=E$1:E209))))))</f>
        <v> </v>
      </c>
      <c r="K210" s="25" t="str">
        <f>IF(OR(E210="",E210="!!!",F210="NEW"),"",INDEX(J$1:J209,SUMPRODUCT(MAX(ROW(E$1:E209)*(E210=E$1:E209)))))</f>
        <v> </v>
      </c>
      <c r="L210" s="26"/>
    </row>
    <row r="211" spans="1:12">
      <c r="A211" s="20" t="s">
        <v>285</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row>
    <row r="213" spans="1:12">
      <c r="A213" s="20" t="s">
        <v>389</v>
      </c>
    </row>
    <row r="214" spans="1:12">
      <c r="A214" s="20" t="s">
        <v>254</v>
      </c>
      <c r="B214" s="27" t="s">
        <v>255</v>
      </c>
      <c r="C214" s="27" t="s">
        <v>256</v>
      </c>
      <c r="D214" s="27" t="s">
        <v>244</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390</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260</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386</v>
      </c>
      <c r="B217" s="27" t="s">
        <v>295</v>
      </c>
      <c r="C217" s="27" t="s">
        <v>334</v>
      </c>
      <c r="D217" s="27" t="s">
        <v>244</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391</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277</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384</v>
      </c>
      <c r="B220" s="27" t="s">
        <v>237</v>
      </c>
      <c r="C220" s="27" t="s">
        <v>279</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305</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392</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326</v>
      </c>
      <c r="B223" s="27" t="s">
        <v>295</v>
      </c>
      <c r="C223" s="27" t="s">
        <v>327</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393</v>
      </c>
      <c r="B224" s="27" t="s">
        <v>329</v>
      </c>
      <c r="C224" s="27" t="s">
        <v>256</v>
      </c>
      <c r="D224" s="27" t="s">
        <v>244</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394</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395</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396</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391</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387</v>
      </c>
      <c r="B229" s="27" t="s">
        <v>237</v>
      </c>
      <c r="C229" s="27" t="s">
        <v>281</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314</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397</v>
      </c>
      <c r="B231" s="27" t="s">
        <v>291</v>
      </c>
      <c r="C231" s="27" t="s">
        <v>281</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285</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row>
    <row r="234" spans="1:12">
      <c r="A234" s="20" t="s">
        <v>398</v>
      </c>
    </row>
    <row r="235" spans="1:12">
      <c r="A235" s="20" t="s">
        <v>399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400</v>
      </c>
      <c r="B236" s="27" t="s">
        <v>255</v>
      </c>
      <c r="C236" s="27" t="s">
        <v>401</v>
      </c>
      <c r="D236" s="27" t="s">
        <v>244</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391</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248</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402</v>
      </c>
      <c r="B239" s="27" t="s">
        <v>237</v>
      </c>
      <c r="C239" s="27" t="s">
        <v>252</v>
      </c>
      <c r="D239" s="27" t="s">
        <v>244</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239</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row>
    <row r="242" spans="1:12">
      <c r="A242" s="20" t="s">
        <v>403</v>
      </c>
    </row>
    <row r="243" spans="1:12">
      <c r="A243" s="20" t="s">
        <v>404</v>
      </c>
      <c r="B243" s="27" t="s">
        <v>255</v>
      </c>
      <c r="C243" s="27" t="s">
        <v>327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405</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406</v>
      </c>
      <c r="B245" s="27" t="s">
        <v>251</v>
      </c>
      <c r="C245" s="27" t="s">
        <v>256</v>
      </c>
      <c r="D245" s="27" t="s">
        <v>244</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349</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407</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t="s">
        <v>386</v>
      </c>
      <c r="B248" s="27" t="s">
        <v>301</v>
      </c>
      <c r="C248" s="27" t="s">
        <v>281</v>
      </c>
      <c r="E248" s="21">
        <f>IF(D248="?OLD","!!!","")</f>
        <v/>
      </c>
      <c r="F248" s="22" t="str">
        <f>IF(OR(E248="",E248="!!!"),"",IF(NOT(ISNA(VLOOKUP(E248,E$1:E247,1,FALSE()))),"OLD",IF(AND(E248&lt;&gt;"",E248&lt;&gt;"!!!"),"NEW","")))</f>
        <v> </v>
      </c>
      <c r="G248" s="23" t="str">
        <f>IF(OR(E248="",E248="!!!"),"",IF(OR(J248=0,AND(J248=1,K248=1),AND(J248=1,I248="SBJ"),AND(J248=1,I248=0)),"?IN_FOCUS",IF(J248&lt;=2,"?ACTIVATED",IF(J248&lt;&gt;"","?FAMILIAR",IF(F248="NEW",IF(ISNA(VLOOKUP(E248,#REF!,1,FALSE())),"?TYPE_IDENTIFIABLE","?REFERENTIAL"),"_")))))</f>
        <v> </v>
      </c>
      <c r="H248" s="24" t="str">
        <f>IF(J248&lt;&gt;1,"",IF(I248="SBJ","CB","?"))</f>
        <v> </v>
      </c>
      <c r="I248" s="25" t="str">
        <f>IF(OR(E248="",E248="!!!",F248="NEW"),"",INDEX(B247:B$2,-1+SUMPRODUCT(MAX(ROW(E247:E$2)*(E248=E247:E$2)))))</f>
        <v> </v>
      </c>
      <c r="J248" s="25" t="str">
        <f>IF(OR(E248="",E248="!!!",F248="NEW"),"",COUNTBLANK(OFFSET(A$1,,,SUMPRODUCT(MAX(ROW(E$2:E248)*(E248=E$2:E248)))))-COUNTBLANK(OFFSET(A$1,,,SUMPRODUCT(MAX(ROW(E$1:E247)*(E2=E$1:E247))))))</f>
        <v> </v>
      </c>
      <c r="K248" s="25" t="str">
        <f>IF(OR(E248="",E248="!!!",F248="NEW"),"",INDEX(J$1:J247,SUMPRODUCT(MAX(ROW(E$1:E247)*(E248=E$1:E247)))))</f>
        <v> </v>
      </c>
      <c r="L248" s="26"/>
    </row>
    <row r="249" spans="1:12">
      <c r="A249" s="20" t="s">
        <v>408</v>
      </c>
      <c r="E249" s="21">
        <f>IF(D249="?OLD","!!!","")</f>
        <v/>
      </c>
      <c r="F249" s="22" t="str">
        <f>IF(OR(E249="",E249="!!!"),"",IF(NOT(ISNA(VLOOKUP(E249,E$1:E248,1,FALSE()))),"OLD",IF(AND(E249&lt;&gt;"",E249&lt;&gt;"!!!"),"NEW","")))</f>
        <v> </v>
      </c>
      <c r="G249" s="23" t="str">
        <f>IF(OR(E249="",E249="!!!"),"",IF(OR(J249=0,AND(J249=1,K249=1),AND(J249=1,I249="SBJ"),AND(J249=1,I249=0)),"?IN_FOCUS",IF(J249&lt;=2,"?ACTIVATED",IF(J249&lt;&gt;"","?FAMILIAR",IF(F249="NEW",IF(ISNA(VLOOKUP(E249,#REF!,1,FALSE())),"?TYPE_IDENTIFIABLE","?REFERENTIAL"),"_")))))</f>
        <v> </v>
      </c>
      <c r="H249" s="24" t="str">
        <f>IF(J249&lt;&gt;1,"",IF(I249="SBJ","CB","?"))</f>
        <v> </v>
      </c>
      <c r="I249" s="25" t="str">
        <f>IF(OR(E249="",E249="!!!",F249="NEW"),"",INDEX(B248:B$2,-1+SUMPRODUCT(MAX(ROW(E248:E$2)*(E249=E248:E$2)))))</f>
        <v> </v>
      </c>
      <c r="J249" s="25" t="str">
        <f>IF(OR(E249="",E249="!!!",F249="NEW"),"",COUNTBLANK(OFFSET(A$1,,,SUMPRODUCT(MAX(ROW(E$2:E249)*(E249=E$2:E249)))))-COUNTBLANK(OFFSET(A$1,,,SUMPRODUCT(MAX(ROW(E$1:E248)*(E2=E$1:E248))))))</f>
        <v> </v>
      </c>
      <c r="K249" s="25" t="str">
        <f>IF(OR(E249="",E249="!!!",F249="NEW"),"",INDEX(J$1:J248,SUMPRODUCT(MAX(ROW(E$1:E248)*(E249=E$1:E248)))))</f>
        <v> </v>
      </c>
      <c r="L249" s="26"/>
    </row>
    <row r="250" spans="1:12">
      <c r="A250" s="20" t="s">
        <v>397</v>
      </c>
      <c r="B250" s="27" t="s">
        <v>291</v>
      </c>
      <c r="C250" s="27" t="s">
        <v>281</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409</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row>
    <row r="253" spans="1:12">
      <c r="A253" s="20" t="s">
        <v>410</v>
      </c>
    </row>
    <row r="254" spans="1:12">
      <c r="A254" s="20" t="s">
        <v>411</v>
      </c>
      <c r="B254" s="27" t="s">
        <v>255</v>
      </c>
      <c r="C254" s="27" t="s">
        <v>401</v>
      </c>
      <c r="D254" s="27" t="s">
        <v>244</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391</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277</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412</v>
      </c>
      <c r="B257" s="27" t="s">
        <v>237</v>
      </c>
      <c r="C257" s="27" t="s">
        <v>279</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254</v>
      </c>
      <c r="B258" s="27" t="s">
        <v>295</v>
      </c>
      <c r="C258" s="27" t="s">
        <v>256</v>
      </c>
      <c r="D258" s="27" t="s">
        <v>244</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413</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414</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415</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416</v>
      </c>
      <c r="B262" s="27" t="s">
        <v>301</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285</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row>
    <row r="265" spans="1:12">
      <c r="A265" s="20" t="s">
        <v>417</v>
      </c>
    </row>
    <row r="266" spans="1:12">
      <c r="A266" s="20" t="s">
        <v>254</v>
      </c>
      <c r="B266" s="27" t="s">
        <v>255</v>
      </c>
      <c r="C266" s="27" t="s">
        <v>256</v>
      </c>
      <c r="D266" s="27" t="s">
        <v>244</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418</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371</v>
      </c>
      <c r="B268" s="27" t="s">
        <v>295</v>
      </c>
      <c r="C268" s="27" t="s">
        <v>256</v>
      </c>
      <c r="D268" s="27" t="s">
        <v>244</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419</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420</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393</v>
      </c>
      <c r="B271" s="27" t="s">
        <v>266</v>
      </c>
      <c r="C271" s="27" t="s">
        <v>256</v>
      </c>
      <c r="D271" s="27" t="s">
        <v>244</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t="s">
        <v>421</v>
      </c>
      <c r="E272" s="21">
        <f>IF(D272="?OLD","!!!","")</f>
        <v/>
      </c>
      <c r="F272" s="22" t="str">
        <f>IF(OR(E272="",E272="!!!"),"",IF(NOT(ISNA(VLOOKUP(E272,E$1:E271,1,FALSE()))),"OLD",IF(AND(E272&lt;&gt;"",E272&lt;&gt;"!!!"),"NEW","")))</f>
        <v> </v>
      </c>
      <c r="G272" s="23" t="str">
        <f>IF(OR(E272="",E272="!!!"),"",IF(OR(J272=0,AND(J272=1,K272=1),AND(J272=1,I272="SBJ"),AND(J272=1,I272=0)),"?IN_FOCUS",IF(J272&lt;=2,"?ACTIVATED",IF(J272&lt;&gt;"","?FAMILIAR",IF(F272="NEW",IF(ISNA(VLOOKUP(E272,#REF!,1,FALSE())),"?TYPE_IDENTIFIABLE","?REFERENTIAL"),"_")))))</f>
        <v> </v>
      </c>
      <c r="H272" s="24" t="str">
        <f>IF(J272&lt;&gt;1,"",IF(I272="SBJ","CB","?"))</f>
        <v> </v>
      </c>
      <c r="I272" s="25" t="str">
        <f>IF(OR(E272="",E272="!!!",F272="NEW"),"",INDEX(B271:B$2,-1+SUMPRODUCT(MAX(ROW(E271:E$2)*(E272=E271:E$2)))))</f>
        <v> </v>
      </c>
      <c r="J272" s="25" t="str">
        <f>IF(OR(E272="",E272="!!!",F272="NEW"),"",COUNTBLANK(OFFSET(A$1,,,SUMPRODUCT(MAX(ROW(E$2:E272)*(E272=E$2:E272)))))-COUNTBLANK(OFFSET(A$1,,,SUMPRODUCT(MAX(ROW(E$1:E271)*(E2=E$1:E271))))))</f>
        <v> </v>
      </c>
      <c r="K272" s="25" t="str">
        <f>IF(OR(E272="",E272="!!!",F272="NEW"),"",INDEX(J$1:J271,SUMPRODUCT(MAX(ROW(E$1:E271)*(E272=E$1:E271)))))</f>
        <v> </v>
      </c>
      <c r="L272" s="26"/>
    </row>
    <row r="273" spans="1:12">
      <c r="A273" s="20" t="s">
        <v>349</v>
      </c>
      <c r="E273" s="21">
        <f>IF(D273="?OLD","!!!","")</f>
        <v/>
      </c>
      <c r="F273" s="22" t="str">
        <f>IF(OR(E273="",E273="!!!"),"",IF(NOT(ISNA(VLOOKUP(E273,E$1:E272,1,FALSE()))),"OLD",IF(AND(E273&lt;&gt;"",E273&lt;&gt;"!!!"),"NEW","")))</f>
        <v> </v>
      </c>
      <c r="G273" s="23" t="str">
        <f>IF(OR(E273="",E273="!!!"),"",IF(OR(J273=0,AND(J273=1,K273=1),AND(J273=1,I273="SBJ"),AND(J273=1,I273=0)),"?IN_FOCUS",IF(J273&lt;=2,"?ACTIVATED",IF(J273&lt;&gt;"","?FAMILIAR",IF(F273="NEW",IF(ISNA(VLOOKUP(E273,#REF!,1,FALSE())),"?TYPE_IDENTIFIABLE","?REFERENTIAL"),"_")))))</f>
        <v> </v>
      </c>
      <c r="H273" s="24" t="str">
        <f>IF(J273&lt;&gt;1,"",IF(I273="SBJ","CB","?"))</f>
        <v> </v>
      </c>
      <c r="I273" s="25" t="str">
        <f>IF(OR(E273="",E273="!!!",F273="NEW"),"",INDEX(B272:B$2,-1+SUMPRODUCT(MAX(ROW(E272:E$2)*(E273=E272:E$2)))))</f>
        <v> </v>
      </c>
      <c r="J273" s="25" t="str">
        <f>IF(OR(E273="",E273="!!!",F273="NEW"),"",COUNTBLANK(OFFSET(A$1,,,SUMPRODUCT(MAX(ROW(E$2:E273)*(E273=E$2:E273)))))-COUNTBLANK(OFFSET(A$1,,,SUMPRODUCT(MAX(ROW(E$1:E272)*(E2=E$1:E272))))))</f>
        <v> </v>
      </c>
      <c r="K273" s="25" t="str">
        <f>IF(OR(E273="",E273="!!!",F273="NEW"),"",INDEX(J$1:J272,SUMPRODUCT(MAX(ROW(E$1:E272)*(E273=E$1:E272)))))</f>
        <v> </v>
      </c>
      <c r="L273" s="26"/>
    </row>
    <row r="274" spans="1:12">
      <c r="A274" s="20" t="s">
        <v>380</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248</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422</v>
      </c>
      <c r="B276" s="27" t="s">
        <v>423</v>
      </c>
      <c r="C276" s="27" t="s">
        <v>252</v>
      </c>
      <c r="D276" s="27" t="s">
        <v>244</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273</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277</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249</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250</v>
      </c>
      <c r="B280" s="27" t="s">
        <v>283</v>
      </c>
      <c r="C280" s="27" t="s">
        <v>279</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285</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row>
    <row r="283" spans="1:12">
      <c r="A283" s="20" t="s">
        <v>424</v>
      </c>
    </row>
    <row r="284" spans="1:12">
      <c r="A284" s="20" t="s">
        <v>254</v>
      </c>
      <c r="B284" s="27" t="s">
        <v>255</v>
      </c>
      <c r="C284" s="27" t="s">
        <v>256</v>
      </c>
      <c r="D284" s="27" t="s">
        <v>244</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425</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349</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426</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400</v>
      </c>
      <c r="B288" s="27" t="s">
        <v>301</v>
      </c>
      <c r="C288" s="27" t="s">
        <v>401</v>
      </c>
      <c r="D288" s="27" t="s">
        <v>244</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420</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254</v>
      </c>
      <c r="B290" s="27" t="s">
        <v>266</v>
      </c>
      <c r="C290" s="27" t="s">
        <v>256</v>
      </c>
      <c r="D290" s="27" t="s">
        <v>244</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427</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276</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428</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429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430</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431</v>
      </c>
      <c r="B296" s="27" t="s">
        <v>272</v>
      </c>
      <c r="C296" s="27" t="s">
        <v>238</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349</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t="s">
        <v>432</v>
      </c>
      <c r="E298" s="21">
        <f>IF(D298="?OLD","!!!","")</f>
        <v/>
      </c>
      <c r="F298" s="22" t="str">
        <f>IF(OR(E298="",E298="!!!"),"",IF(NOT(ISNA(VLOOKUP(E298,E$1:E297,1,FALSE()))),"OLD",IF(AND(E298&lt;&gt;"",E298&lt;&gt;"!!!"),"NEW","")))</f>
        <v> </v>
      </c>
      <c r="G298" s="23" t="str">
        <f>IF(OR(E298="",E298="!!!"),"",IF(OR(J298=0,AND(J298=1,K298=1),AND(J298=1,I298="SBJ"),AND(J298=1,I298=0)),"?IN_FOCUS",IF(J298&lt;=2,"?ACTIVATED",IF(J298&lt;&gt;"","?FAMILIAR",IF(F298="NEW",IF(ISNA(VLOOKUP(E298,#REF!,1,FALSE())),"?TYPE_IDENTIFIABLE","?REFERENTIAL"),"_")))))</f>
        <v> </v>
      </c>
      <c r="H298" s="24" t="str">
        <f>IF(J298&lt;&gt;1,"",IF(I298="SBJ","CB","?"))</f>
        <v> </v>
      </c>
      <c r="I298" s="25" t="str">
        <f>IF(OR(E298="",E298="!!!",F298="NEW"),"",INDEX(B297:B$2,-1+SUMPRODUCT(MAX(ROW(E297:E$2)*(E298=E297:E$2)))))</f>
        <v> </v>
      </c>
      <c r="J298" s="25" t="str">
        <f>IF(OR(E298="",E298="!!!",F298="NEW"),"",COUNTBLANK(OFFSET(A$1,,,SUMPRODUCT(MAX(ROW(E$2:E298)*(E298=E$2:E298)))))-COUNTBLANK(OFFSET(A$1,,,SUMPRODUCT(MAX(ROW(E$1:E297)*(E2=E$1:E297))))))</f>
        <v> </v>
      </c>
      <c r="K298" s="25" t="str">
        <f>IF(OR(E298="",E298="!!!",F298="NEW"),"",INDEX(J$1:J297,SUMPRODUCT(MAX(ROW(E$1:E297)*(E298=E$1:E297)))))</f>
        <v> </v>
      </c>
      <c r="L298" s="26"/>
    </row>
    <row r="299" spans="1:12">
      <c r="A299" s="20" t="s">
        <v>277</v>
      </c>
      <c r="E299" s="21">
        <f>IF(D299="?OLD","!!!","")</f>
        <v/>
      </c>
      <c r="F299" s="22" t="str">
        <f>IF(OR(E299="",E299="!!!"),"",IF(NOT(ISNA(VLOOKUP(E299,E$1:E298,1,FALSE()))),"OLD",IF(AND(E299&lt;&gt;"",E299&lt;&gt;"!!!"),"NEW","")))</f>
        <v> </v>
      </c>
      <c r="G299" s="23" t="str">
        <f>IF(OR(E299="",E299="!!!"),"",IF(OR(J299=0,AND(J299=1,K299=1),AND(J299=1,I299="SBJ"),AND(J299=1,I299=0)),"?IN_FOCUS",IF(J299&lt;=2,"?ACTIVATED",IF(J299&lt;&gt;"","?FAMILIAR",IF(F299="NEW",IF(ISNA(VLOOKUP(E299,#REF!,1,FALSE())),"?TYPE_IDENTIFIABLE","?REFERENTIAL"),"_")))))</f>
        <v> </v>
      </c>
      <c r="H299" s="24" t="str">
        <f>IF(J299&lt;&gt;1,"",IF(I299="SBJ","CB","?"))</f>
        <v> </v>
      </c>
      <c r="I299" s="25" t="str">
        <f>IF(OR(E299="",E299="!!!",F299="NEW"),"",INDEX(B298:B$2,-1+SUMPRODUCT(MAX(ROW(E298:E$2)*(E299=E298:E$2)))))</f>
        <v> </v>
      </c>
      <c r="J299" s="25" t="str">
        <f>IF(OR(E299="",E299="!!!",F299="NEW"),"",COUNTBLANK(OFFSET(A$1,,,SUMPRODUCT(MAX(ROW(E$2:E299)*(E299=E$2:E299)))))-COUNTBLANK(OFFSET(A$1,,,SUMPRODUCT(MAX(ROW(E$1:E298)*(E2=E$1:E298))))))</f>
        <v> </v>
      </c>
      <c r="K299" s="25" t="str">
        <f>IF(OR(E299="",E299="!!!",F299="NEW"),"",INDEX(J$1:J298,SUMPRODUCT(MAX(ROW(E$1:E298)*(E299=E$1:E298)))))</f>
        <v> </v>
      </c>
      <c r="L299" s="26"/>
    </row>
    <row r="300" spans="1:12">
      <c r="A300" s="20" t="s">
        <v>370</v>
      </c>
      <c r="B300" s="27" t="s">
        <v>423</v>
      </c>
      <c r="C300" s="27" t="s">
        <v>279</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273</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433</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434</v>
      </c>
      <c r="B303" s="27" t="s">
        <v>283</v>
      </c>
      <c r="C303" s="27" t="s">
        <v>281</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305</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299</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435</v>
      </c>
      <c r="B306" s="27" t="s">
        <v>295</v>
      </c>
      <c r="C306" s="27" t="s">
        <v>279</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436</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437</v>
      </c>
      <c r="B308" s="27" t="s">
        <v>272</v>
      </c>
      <c r="C308" s="27" t="s">
        <v>281</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316</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346</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371</v>
      </c>
      <c r="B311" s="27" t="s">
        <v>301</v>
      </c>
      <c r="C311" s="27" t="s">
        <v>256</v>
      </c>
      <c r="D311" s="27" t="s">
        <v>244</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305</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270</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248</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438</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439</v>
      </c>
      <c r="B316" s="27" t="s">
        <v>291</v>
      </c>
      <c r="C316" s="27" t="s">
        <v>267</v>
      </c>
      <c r="D316" s="27" t="s">
        <v>244</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t="s">
        <v>273</v>
      </c>
      <c r="E317" s="21">
        <f>IF(D317="?OLD","!!!","")</f>
        <v/>
      </c>
      <c r="F317" s="22" t="str">
        <f>IF(OR(E317="",E317="!!!"),"",IF(NOT(ISNA(VLOOKUP(E317,E$1:E316,1,FALSE()))),"OLD",IF(AND(E317&lt;&gt;"",E317&lt;&gt;"!!!"),"NEW","")))</f>
        <v> </v>
      </c>
      <c r="G317" s="23" t="str">
        <f>IF(OR(E317="",E317="!!!"),"",IF(OR(J317=0,AND(J317=1,K317=1),AND(J317=1,I317="SBJ"),AND(J317=1,I317=0)),"?IN_FOCUS",IF(J317&lt;=2,"?ACTIVATED",IF(J317&lt;&gt;"","?FAMILIAR",IF(F317="NEW",IF(ISNA(VLOOKUP(E317,#REF!,1,FALSE())),"?TYPE_IDENTIFIABLE","?REFERENTIAL"),"_")))))</f>
        <v> </v>
      </c>
      <c r="H317" s="24" t="str">
        <f>IF(J317&lt;&gt;1,"",IF(I317="SBJ","CB","?"))</f>
        <v> </v>
      </c>
      <c r="I317" s="25" t="str">
        <f>IF(OR(E317="",E317="!!!",F317="NEW"),"",INDEX(B316:B$2,-1+SUMPRODUCT(MAX(ROW(E316:E$2)*(E317=E316:E$2)))))</f>
        <v> </v>
      </c>
      <c r="J317" s="25" t="str">
        <f>IF(OR(E317="",E317="!!!",F317="NEW"),"",COUNTBLANK(OFFSET(A$1,,,SUMPRODUCT(MAX(ROW(E$2:E317)*(E317=E$2:E317)))))-COUNTBLANK(OFFSET(A$1,,,SUMPRODUCT(MAX(ROW(E$1:E316)*(E2=E$1:E316))))))</f>
        <v> </v>
      </c>
      <c r="K317" s="25" t="str">
        <f>IF(OR(E317="",E317="!!!",F317="NEW"),"",INDEX(J$1:J316,SUMPRODUCT(MAX(ROW(E$1:E316)*(E317=E$1:E316)))))</f>
        <v> </v>
      </c>
      <c r="L317" s="26"/>
    </row>
    <row r="318" spans="1:12">
      <c r="A318" s="20" t="s">
        <v>440</v>
      </c>
      <c r="B318" s="27" t="s">
        <v>272</v>
      </c>
      <c r="C318" s="27" t="s">
        <v>243</v>
      </c>
      <c r="D318" s="27" t="s">
        <v>244</v>
      </c>
      <c r="E318" s="21">
        <f>IF(D318="?OLD","!!!","")</f>
        <v/>
      </c>
      <c r="F318" s="22" t="str">
        <f>IF(OR(E318="",E318="!!!"),"",IF(NOT(ISNA(VLOOKUP(E318,E$1:E317,1,FALSE()))),"OLD",IF(AND(E318&lt;&gt;"",E318&lt;&gt;"!!!"),"NEW","")))</f>
        <v> </v>
      </c>
      <c r="G318" s="23" t="str">
        <f>IF(OR(E318="",E318="!!!"),"",IF(OR(J318=0,AND(J318=1,K318=1),AND(J318=1,I318="SBJ"),AND(J318=1,I318=0)),"?IN_FOCUS",IF(J318&lt;=2,"?ACTIVATED",IF(J318&lt;&gt;"","?FAMILIAR",IF(F318="NEW",IF(ISNA(VLOOKUP(E318,#REF!,1,FALSE())),"?TYPE_IDENTIFIABLE","?REFERENTIAL"),"_")))))</f>
        <v> </v>
      </c>
      <c r="H318" s="24" t="str">
        <f>IF(J318&lt;&gt;1,"",IF(I318="SBJ","CB","?"))</f>
        <v> </v>
      </c>
      <c r="I318" s="25" t="str">
        <f>IF(OR(E318="",E318="!!!",F318="NEW"),"",INDEX(B317:B$2,-1+SUMPRODUCT(MAX(ROW(E317:E$2)*(E318=E317:E$2)))))</f>
        <v> </v>
      </c>
      <c r="J318" s="25" t="str">
        <f>IF(OR(E318="",E318="!!!",F318="NEW"),"",COUNTBLANK(OFFSET(A$1,,,SUMPRODUCT(MAX(ROW(E$2:E318)*(E318=E$2:E318)))))-COUNTBLANK(OFFSET(A$1,,,SUMPRODUCT(MAX(ROW(E$1:E317)*(E2=E$1:E317))))))</f>
        <v> </v>
      </c>
      <c r="K318" s="25" t="str">
        <f>IF(OR(E318="",E318="!!!",F318="NEW"),"",INDEX(J$1:J317,SUMPRODUCT(MAX(ROW(E$1:E317)*(E318=E$1:E317)))))</f>
        <v> </v>
      </c>
      <c r="L318" s="26"/>
    </row>
    <row r="319" spans="1:12">
      <c r="A319" s="20" t="s">
        <v>270</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441</v>
      </c>
      <c r="B320" s="27" t="s">
        <v>262</v>
      </c>
      <c r="C320" s="27" t="s">
        <v>243</v>
      </c>
      <c r="D320" s="27" t="s">
        <v>244</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442</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443</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444</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445</v>
      </c>
      <c r="B324" s="27" t="s">
        <v>272</v>
      </c>
      <c r="C324" s="27" t="s">
        <v>243</v>
      </c>
      <c r="D324" s="27" t="s">
        <v>244</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285</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row>
    <row r="327" spans="1:12">
      <c r="A327" s="20" t="s">
        <v>446</v>
      </c>
    </row>
    <row r="328" spans="1:12">
      <c r="A328" s="20" t="s">
        <v>254</v>
      </c>
      <c r="B328" s="27" t="s">
        <v>255</v>
      </c>
      <c r="C328" s="27" t="s">
        <v>256</v>
      </c>
      <c r="D328" s="27" t="s">
        <v>244</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362</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349</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447</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326</v>
      </c>
      <c r="B332" s="27" t="s">
        <v>301</v>
      </c>
      <c r="C332" s="27" t="s">
        <v>327</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442</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448</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449</v>
      </c>
      <c r="B335" s="27" t="s">
        <v>283</v>
      </c>
      <c r="C335" s="27" t="s">
        <v>281</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442</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450</v>
      </c>
      <c r="B337" s="27" t="s">
        <v>262</v>
      </c>
      <c r="C337" s="27" t="s">
        <v>267</v>
      </c>
      <c r="D337" s="27" t="s">
        <v>244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305</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248</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451</v>
      </c>
      <c r="B340" s="27" t="s">
        <v>251</v>
      </c>
      <c r="C340" s="27" t="s">
        <v>252</v>
      </c>
      <c r="D340" s="27" t="s">
        <v>244</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260</v>
      </c>
      <c r="B341" s="27" t="s">
        <v>266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t="s">
        <v>321</v>
      </c>
      <c r="E342" s="21">
        <f>IF(D342="?OLD","!!!","")</f>
        <v/>
      </c>
      <c r="F342" s="22" t="str">
        <f>IF(OR(E342="",E342="!!!"),"",IF(NOT(ISNA(VLOOKUP(E342,E$1:E341,1,FALSE()))),"OLD",IF(AND(E342&lt;&gt;"",E342&lt;&gt;"!!!"),"NEW","")))</f>
        <v> </v>
      </c>
      <c r="G342" s="23" t="str">
        <f>IF(OR(E342="",E342="!!!"),"",IF(OR(J342=0,AND(J342=1,K342=1),AND(J342=1,I342="SBJ"),AND(J342=1,I342=0)),"?IN_FOCUS",IF(J342&lt;=2,"?ACTIVATED",IF(J342&lt;&gt;"","?FAMILIAR",IF(F342="NEW",IF(ISNA(VLOOKUP(E342,#REF!,1,FALSE())),"?TYPE_IDENTIFIABLE","?REFERENTIAL"),"_")))))</f>
        <v> </v>
      </c>
      <c r="H342" s="24" t="str">
        <f>IF(J342&lt;&gt;1,"",IF(I342="SBJ","CB","?"))</f>
        <v> </v>
      </c>
      <c r="I342" s="25" t="str">
        <f>IF(OR(E342="",E342="!!!",F342="NEW"),"",INDEX(B341:B$2,-1+SUMPRODUCT(MAX(ROW(E341:E$2)*(E342=E341:E$2)))))</f>
        <v> </v>
      </c>
      <c r="J342" s="25" t="str">
        <f>IF(OR(E342="",E342="!!!",F342="NEW"),"",COUNTBLANK(OFFSET(A$1,,,SUMPRODUCT(MAX(ROW(E$2:E342)*(E342=E$2:E342)))))-COUNTBLANK(OFFSET(A$1,,,SUMPRODUCT(MAX(ROW(E$1:E341)*(E2=E$1:E341))))))</f>
        <v> </v>
      </c>
      <c r="K342" s="25" t="str">
        <f>IF(OR(E342="",E342="!!!",F342="NEW"),"",INDEX(J$1:J341,SUMPRODUCT(MAX(ROW(E$1:E341)*(E342=E$1:E341)))))</f>
        <v> </v>
      </c>
      <c r="L342" s="26"/>
    </row>
    <row r="343" spans="1:12">
      <c r="A343" s="20" t="s">
        <v>452</v>
      </c>
      <c r="B343" s="27" t="s">
        <v>283</v>
      </c>
      <c r="C343" s="27" t="s">
        <v>281</v>
      </c>
      <c r="E343" s="21">
        <f>IF(D343="?OLD","!!!","")</f>
        <v/>
      </c>
      <c r="F343" s="22" t="str">
        <f>IF(OR(E343="",E343="!!!"),"",IF(NOT(ISNA(VLOOKUP(E343,E$1:E342,1,FALSE()))),"OLD",IF(AND(E343&lt;&gt;"",E343&lt;&gt;"!!!"),"NEW","")))</f>
        <v> </v>
      </c>
      <c r="G343" s="23" t="str">
        <f>IF(OR(E343="",E343="!!!"),"",IF(OR(J343=0,AND(J343=1,K343=1),AND(J343=1,I343="SBJ"),AND(J343=1,I343=0)),"?IN_FOCUS",IF(J343&lt;=2,"?ACTIVATED",IF(J343&lt;&gt;"","?FAMILIAR",IF(F343="NEW",IF(ISNA(VLOOKUP(E343,#REF!,1,FALSE())),"?TYPE_IDENTIFIABLE","?REFERENTIAL"),"_")))))</f>
        <v> </v>
      </c>
      <c r="H343" s="24" t="str">
        <f>IF(J343&lt;&gt;1,"",IF(I343="SBJ","CB","?"))</f>
        <v> </v>
      </c>
      <c r="I343" s="25" t="str">
        <f>IF(OR(E343="",E343="!!!",F343="NEW"),"",INDEX(B342:B$2,-1+SUMPRODUCT(MAX(ROW(E342:E$2)*(E343=E342:E$2)))))</f>
        <v> </v>
      </c>
      <c r="J343" s="25" t="str">
        <f>IF(OR(E343="",E343="!!!",F343="NEW"),"",COUNTBLANK(OFFSET(A$1,,,SUMPRODUCT(MAX(ROW(E$2:E343)*(E343=E$2:E343)))))-COUNTBLANK(OFFSET(A$1,,,SUMPRODUCT(MAX(ROW(E$1:E342)*(E2=E$1:E342))))))</f>
        <v> </v>
      </c>
      <c r="K343" s="25" t="str">
        <f>IF(OR(E343="",E343="!!!",F343="NEW"),"",INDEX(J$1:J342,SUMPRODUCT(MAX(ROW(E$1:E342)*(E343=E$1:E342)))))</f>
        <v> </v>
      </c>
      <c r="L343" s="26"/>
    </row>
    <row r="344" spans="1:12">
      <c r="A344" s="20" t="s">
        <v>349</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453</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454</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455</v>
      </c>
      <c r="B347" s="27" t="s">
        <v>283</v>
      </c>
      <c r="C347" s="27" t="s">
        <v>263</v>
      </c>
      <c r="D347" s="27" t="s">
        <v>244</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456</v>
      </c>
      <c r="B348" s="27" t="s">
        <v>423</v>
      </c>
      <c r="C348" s="27" t="s">
        <v>267</v>
      </c>
      <c r="D348" s="27" t="s">
        <v>244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305</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337</v>
      </c>
      <c r="B350" s="27" t="s">
        <v>266</v>
      </c>
      <c r="C350" s="27" t="s">
        <v>256</v>
      </c>
      <c r="D350" s="27" t="s">
        <v>244</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346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349</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457</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270</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458</v>
      </c>
      <c r="B355" s="27" t="s">
        <v>262</v>
      </c>
      <c r="C355" s="27" t="s">
        <v>343</v>
      </c>
      <c r="D355" s="27" t="s">
        <v>244</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459</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460</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289</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371</v>
      </c>
      <c r="B359" s="27" t="s">
        <v>461</v>
      </c>
      <c r="C359" s="27" t="s">
        <v>256</v>
      </c>
      <c r="D359" s="27" t="s">
        <v>244</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285</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row>
    <row r="362" spans="1:12">
      <c r="A362" s="20" t="s">
        <v>462</v>
      </c>
    </row>
    <row r="363" spans="1:12">
      <c r="A363" s="20" t="s">
        <v>254</v>
      </c>
      <c r="B363" s="27" t="s">
        <v>255</v>
      </c>
      <c r="C363" s="27" t="s">
        <v>256</v>
      </c>
      <c r="D363" s="27" t="s">
        <v>244</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463</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314</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464</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436</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248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465</v>
      </c>
      <c r="B369" s="27" t="s">
        <v>266</v>
      </c>
      <c r="C369" s="27" t="s">
        <v>252</v>
      </c>
      <c r="D369" s="27" t="s">
        <v>244</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t="s">
        <v>466</v>
      </c>
      <c r="E370" s="21">
        <f>IF(D370="?OLD","!!!","")</f>
        <v/>
      </c>
      <c r="F370" s="22" t="str">
        <f>IF(OR(E370="",E370="!!!"),"",IF(NOT(ISNA(VLOOKUP(E370,E$1:E369,1,FALSE()))),"OLD",IF(AND(E370&lt;&gt;"",E370&lt;&gt;"!!!"),"NEW","")))</f>
        <v> </v>
      </c>
      <c r="G370" s="23" t="str">
        <f>IF(OR(E370="",E370="!!!"),"",IF(OR(J370=0,AND(J370=1,K370=1),AND(J370=1,I370="SBJ"),AND(J370=1,I370=0)),"?IN_FOCUS",IF(J370&lt;=2,"?ACTIVATED",IF(J370&lt;&gt;"","?FAMILIAR",IF(F370="NEW",IF(ISNA(VLOOKUP(E370,#REF!,1,FALSE())),"?TYPE_IDENTIFIABLE","?REFERENTIAL"),"_")))))</f>
        <v> </v>
      </c>
      <c r="H370" s="24" t="str">
        <f>IF(J370&lt;&gt;1,"",IF(I370="SBJ","CB","?"))</f>
        <v> </v>
      </c>
      <c r="I370" s="25" t="str">
        <f>IF(OR(E370="",E370="!!!",F370="NEW"),"",INDEX(B369:B$2,-1+SUMPRODUCT(MAX(ROW(E369:E$2)*(E370=E369:E$2)))))</f>
        <v> </v>
      </c>
      <c r="J370" s="25" t="str">
        <f>IF(OR(E370="",E370="!!!",F370="NEW"),"",COUNTBLANK(OFFSET(A$1,,,SUMPRODUCT(MAX(ROW(E$2:E370)*(E370=E$2:E370)))))-COUNTBLANK(OFFSET(A$1,,,SUMPRODUCT(MAX(ROW(E$1:E369)*(E2=E$1:E369))))))</f>
        <v> </v>
      </c>
      <c r="K370" s="25" t="str">
        <f>IF(OR(E370="",E370="!!!",F370="NEW"),"",INDEX(J$1:J369,SUMPRODUCT(MAX(ROW(E$1:E369)*(E370=E$1:E369)))))</f>
        <v> </v>
      </c>
      <c r="L370" s="26"/>
    </row>
    <row r="371" spans="1:12">
      <c r="A371" s="20" t="s">
        <v>318</v>
      </c>
      <c r="E371" s="21">
        <f>IF(D371="?OLD","!!!","")</f>
        <v/>
      </c>
      <c r="F371" s="22" t="str">
        <f>IF(OR(E371="",E371="!!!"),"",IF(NOT(ISNA(VLOOKUP(E371,E$1:E370,1,FALSE()))),"OLD",IF(AND(E371&lt;&gt;"",E371&lt;&gt;"!!!"),"NEW","")))</f>
        <v> </v>
      </c>
      <c r="G371" s="23" t="str">
        <f>IF(OR(E371="",E371="!!!"),"",IF(OR(J371=0,AND(J371=1,K371=1),AND(J371=1,I371="SBJ"),AND(J371=1,I371=0)),"?IN_FOCUS",IF(J371&lt;=2,"?ACTIVATED",IF(J371&lt;&gt;"","?FAMILIAR",IF(F371="NEW",IF(ISNA(VLOOKUP(E371,#REF!,1,FALSE())),"?TYPE_IDENTIFIABLE","?REFERENTIAL"),"_")))))</f>
        <v> </v>
      </c>
      <c r="H371" s="24" t="str">
        <f>IF(J371&lt;&gt;1,"",IF(I371="SBJ","CB","?"))</f>
        <v> </v>
      </c>
      <c r="I371" s="25" t="str">
        <f>IF(OR(E371="",E371="!!!",F371="NEW"),"",INDEX(B370:B$2,-1+SUMPRODUCT(MAX(ROW(E370:E$2)*(E371=E370:E$2)))))</f>
        <v> </v>
      </c>
      <c r="J371" s="25" t="str">
        <f>IF(OR(E371="",E371="!!!",F371="NEW"),"",COUNTBLANK(OFFSET(A$1,,,SUMPRODUCT(MAX(ROW(E$2:E371)*(E371=E$2:E371)))))-COUNTBLANK(OFFSET(A$1,,,SUMPRODUCT(MAX(ROW(E$1:E370)*(E2=E$1:E370))))))</f>
        <v> </v>
      </c>
      <c r="K371" s="25" t="str">
        <f>IF(OR(E371="",E371="!!!",F371="NEW"),"",INDEX(J$1:J370,SUMPRODUCT(MAX(ROW(E$1:E370)*(E371=E$1:E370)))))</f>
        <v> </v>
      </c>
      <c r="L371" s="26"/>
    </row>
    <row r="372" spans="1:12">
      <c r="A372" s="20" t="s">
        <v>467</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435</v>
      </c>
      <c r="B373" s="27" t="s">
        <v>381</v>
      </c>
      <c r="C373" s="27" t="s">
        <v>334</v>
      </c>
      <c r="D373" s="27" t="s">
        <v>244</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321</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400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468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469</v>
      </c>
      <c r="B377" s="27" t="s">
        <v>272</v>
      </c>
      <c r="C377" s="27" t="s">
        <v>334</v>
      </c>
      <c r="D377" s="27" t="s">
        <v>244</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305</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314</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341</v>
      </c>
      <c r="B380" s="27" t="s">
        <v>295</v>
      </c>
      <c r="C380" s="27" t="s">
        <v>256</v>
      </c>
      <c r="D380" s="27" t="s">
        <v>244</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470</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471</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400</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472</v>
      </c>
      <c r="B384" s="27" t="s">
        <v>291</v>
      </c>
      <c r="C384" s="27" t="s">
        <v>334</v>
      </c>
      <c r="D384" s="27" t="s">
        <v>244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273</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473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474</v>
      </c>
      <c r="B387" s="27" t="s">
        <v>272</v>
      </c>
      <c r="C387" s="27" t="s">
        <v>281</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285</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row>
    <row r="390" spans="1:12">
      <c r="A390" s="20" t="s">
        <v>475</v>
      </c>
    </row>
    <row r="391" spans="1:12">
      <c r="A391" s="20" t="s">
        <v>367</v>
      </c>
      <c r="B391" s="27" t="s">
        <v>255</v>
      </c>
      <c r="C391" s="27" t="s">
        <v>476</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477</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277</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478</v>
      </c>
      <c r="B394" s="27" t="s">
        <v>272</v>
      </c>
      <c r="C394" s="27" t="s">
        <v>281</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11</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479</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480</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481</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482</v>
      </c>
      <c r="B399" s="27" t="s">
        <v>251</v>
      </c>
      <c r="C399" s="27" t="s">
        <v>279</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321</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428</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483</v>
      </c>
      <c r="B402" s="27" t="s">
        <v>237</v>
      </c>
      <c r="C402" s="27" t="s">
        <v>238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314</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484</v>
      </c>
      <c r="B404" s="27" t="s">
        <v>291</v>
      </c>
      <c r="C404" s="27" t="s">
        <v>281</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321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248</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485</v>
      </c>
      <c r="B407" s="27" t="s">
        <v>291</v>
      </c>
      <c r="C407" s="27" t="s">
        <v>252</v>
      </c>
      <c r="D407" s="27" t="s">
        <v>244</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471</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486</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487</v>
      </c>
      <c r="B410" s="27" t="s">
        <v>237</v>
      </c>
      <c r="C410" s="27" t="s">
        <v>281</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285</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row>
    <row r="413" spans="1:12">
      <c r="A413" s="20" t="s">
        <v>488</v>
      </c>
    </row>
    <row r="414" spans="1:12">
      <c r="A414" s="20" t="s">
        <v>489</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341</v>
      </c>
      <c r="B415" s="27" t="s">
        <v>255</v>
      </c>
      <c r="C415" s="27" t="s">
        <v>256</v>
      </c>
      <c r="D415" s="27" t="s">
        <v>244</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490</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354</v>
      </c>
      <c r="B417" s="27" t="s">
        <v>251</v>
      </c>
      <c r="C417" s="27" t="s">
        <v>256</v>
      </c>
      <c r="D417" s="27" t="s">
        <v>244</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314</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t="s">
        <v>491</v>
      </c>
      <c r="E419" s="21">
        <f>IF(D419="?OLD","!!!","")</f>
        <v/>
      </c>
      <c r="F419" s="22" t="str">
        <f>IF(OR(E419="",E419="!!!"),"",IF(NOT(ISNA(VLOOKUP(E419,E$1:E418,1,FALSE()))),"OLD",IF(AND(E419&lt;&gt;"",E419&lt;&gt;"!!!"),"NEW","")))</f>
        <v> </v>
      </c>
      <c r="G419" s="23" t="str">
        <f>IF(OR(E419="",E419="!!!"),"",IF(OR(J419=0,AND(J419=1,K419=1),AND(J419=1,I419="SBJ"),AND(J419=1,I419=0)),"?IN_FOCUS",IF(J419&lt;=2,"?ACTIVATED",IF(J419&lt;&gt;"","?FAMILIAR",IF(F419="NEW",IF(ISNA(VLOOKUP(E419,#REF!,1,FALSE())),"?TYPE_IDENTIFIABLE","?REFERENTIAL"),"_")))))</f>
        <v> </v>
      </c>
      <c r="H419" s="24" t="str">
        <f>IF(J419&lt;&gt;1,"",IF(I419="SBJ","CB","?"))</f>
        <v> </v>
      </c>
      <c r="I419" s="25" t="str">
        <f>IF(OR(E419="",E419="!!!",F419="NEW"),"",INDEX(B418:B$2,-1+SUMPRODUCT(MAX(ROW(E418:E$2)*(E419=E418:E$2)))))</f>
        <v> </v>
      </c>
      <c r="J419" s="25" t="str">
        <f>IF(OR(E419="",E419="!!!",F419="NEW"),"",COUNTBLANK(OFFSET(A$1,,,SUMPRODUCT(MAX(ROW(E$2:E419)*(E419=E$2:E419)))))-COUNTBLANK(OFFSET(A$1,,,SUMPRODUCT(MAX(ROW(E$1:E418)*(E2=E$1:E418))))))</f>
        <v> </v>
      </c>
      <c r="K419" s="25" t="str">
        <f>IF(OR(E419="",E419="!!!",F419="NEW"),"",INDEX(J$1:J418,SUMPRODUCT(MAX(ROW(E$1:E418)*(E419=E$1:E418)))))</f>
        <v> </v>
      </c>
      <c r="L419" s="26"/>
    </row>
    <row r="420" spans="1:12">
      <c r="A420" s="20" t="s">
        <v>305</v>
      </c>
      <c r="E420" s="21">
        <f>IF(D420="?OLD","!!!","")</f>
        <v/>
      </c>
      <c r="F420" s="22" t="str">
        <f>IF(OR(E420="",E420="!!!"),"",IF(NOT(ISNA(VLOOKUP(E420,E$1:E419,1,FALSE()))),"OLD",IF(AND(E420&lt;&gt;"",E420&lt;&gt;"!!!"),"NEW","")))</f>
        <v> </v>
      </c>
      <c r="G420" s="23" t="str">
        <f>IF(OR(E420="",E420="!!!"),"",IF(OR(J420=0,AND(J420=1,K420=1),AND(J420=1,I420="SBJ"),AND(J420=1,I420=0)),"?IN_FOCUS",IF(J420&lt;=2,"?ACTIVATED",IF(J420&lt;&gt;"","?FAMILIAR",IF(F420="NEW",IF(ISNA(VLOOKUP(E420,#REF!,1,FALSE())),"?TYPE_IDENTIFIABLE","?REFERENTIAL"),"_")))))</f>
        <v> </v>
      </c>
      <c r="H420" s="24" t="str">
        <f>IF(J420&lt;&gt;1,"",IF(I420="SBJ","CB","?"))</f>
        <v> </v>
      </c>
      <c r="I420" s="25" t="str">
        <f>IF(OR(E420="",E420="!!!",F420="NEW"),"",INDEX(B419:B$2,-1+SUMPRODUCT(MAX(ROW(E419:E$2)*(E420=E419:E$2)))))</f>
        <v> </v>
      </c>
      <c r="J420" s="25" t="str">
        <f>IF(OR(E420="",E420="!!!",F420="NEW"),"",COUNTBLANK(OFFSET(A$1,,,SUMPRODUCT(MAX(ROW(E$2:E420)*(E420=E$2:E420)))))-COUNTBLANK(OFFSET(A$1,,,SUMPRODUCT(MAX(ROW(E$1:E419)*(E2=E$1:E419))))))</f>
        <v> </v>
      </c>
      <c r="K420" s="25" t="str">
        <f>IF(OR(E420="",E420="!!!",F420="NEW"),"",INDEX(J$1:J419,SUMPRODUCT(MAX(ROW(E$1:E419)*(E420=E$1:E419)))))</f>
        <v> </v>
      </c>
      <c r="L420" s="26"/>
    </row>
    <row r="421" spans="1:12">
      <c r="A421" s="20" t="s">
        <v>392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341</v>
      </c>
      <c r="B422" s="27" t="s">
        <v>295</v>
      </c>
      <c r="C422" s="27" t="s">
        <v>256</v>
      </c>
      <c r="D422" s="27" t="s">
        <v>244</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492</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354</v>
      </c>
      <c r="B424" s="27" t="s">
        <v>301</v>
      </c>
      <c r="C424" s="27" t="s">
        <v>256</v>
      </c>
      <c r="D424" s="27" t="s">
        <v>244</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318</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436</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341</v>
      </c>
      <c r="B427" s="27" t="s">
        <v>266</v>
      </c>
      <c r="C427" s="27" t="s">
        <v>256</v>
      </c>
      <c r="D427" s="27" t="s">
        <v>244</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493</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494</v>
      </c>
      <c r="B429" s="27" t="s">
        <v>262</v>
      </c>
      <c r="C429" s="27" t="s">
        <v>263</v>
      </c>
      <c r="D429" s="27" t="s">
        <v>244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495</v>
      </c>
      <c r="B430" s="27" t="s">
        <v>381</v>
      </c>
      <c r="C430" s="27" t="s">
        <v>267</v>
      </c>
      <c r="D430" s="27" t="s">
        <v>244</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349</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248</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496</v>
      </c>
      <c r="B433" s="27" t="s">
        <v>272</v>
      </c>
      <c r="C433" s="27" t="s">
        <v>252</v>
      </c>
      <c r="D433" s="27" t="s">
        <v>244</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305</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314</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497</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349</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498</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237</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345</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471</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499</v>
      </c>
      <c r="B442" s="27" t="s">
        <v>272</v>
      </c>
      <c r="C442" s="27" t="s">
        <v>281</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392</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471</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t="s">
        <v>500</v>
      </c>
      <c r="B445" s="27" t="s">
        <v>262</v>
      </c>
      <c r="C445" s="27" t="s">
        <v>281</v>
      </c>
      <c r="E445" s="21">
        <f>IF(D445="?OLD","!!!","")</f>
        <v/>
      </c>
      <c r="F445" s="22" t="str">
        <f>IF(OR(E445="",E445="!!!"),"",IF(NOT(ISNA(VLOOKUP(E445,E$1:E444,1,FALSE()))),"OLD",IF(AND(E445&lt;&gt;"",E445&lt;&gt;"!!!"),"NEW","")))</f>
        <v> </v>
      </c>
      <c r="G445" s="23" t="str">
        <f>IF(OR(E445="",E445="!!!"),"",IF(OR(J445=0,AND(J445=1,K445=1),AND(J445=1,I445="SBJ"),AND(J445=1,I445=0)),"?IN_FOCUS",IF(J445&lt;=2,"?ACTIVATED",IF(J445&lt;&gt;"","?FAMILIAR",IF(F445="NEW",IF(ISNA(VLOOKUP(E445,#REF!,1,FALSE())),"?TYPE_IDENTIFIABLE","?REFERENTIAL"),"_")))))</f>
        <v> </v>
      </c>
      <c r="H445" s="24" t="str">
        <f>IF(J445&lt;&gt;1,"",IF(I445="SBJ","CB","?"))</f>
        <v> </v>
      </c>
      <c r="I445" s="25" t="str">
        <f>IF(OR(E445="",E445="!!!",F445="NEW"),"",INDEX(B444:B$2,-1+SUMPRODUCT(MAX(ROW(E444:E$2)*(E445=E444:E$2)))))</f>
        <v> </v>
      </c>
      <c r="J445" s="25" t="str">
        <f>IF(OR(E445="",E445="!!!",F445="NEW"),"",COUNTBLANK(OFFSET(A$1,,,SUMPRODUCT(MAX(ROW(E$2:E445)*(E445=E$2:E445)))))-COUNTBLANK(OFFSET(A$1,,,SUMPRODUCT(MAX(ROW(E$1:E444)*(E2=E$1:E444))))))</f>
        <v> </v>
      </c>
      <c r="K445" s="25" t="str">
        <f>IF(OR(E445="",E445="!!!",F445="NEW"),"",INDEX(J$1:J444,SUMPRODUCT(MAX(ROW(E$1:E444)*(E445=E$1:E444)))))</f>
        <v> </v>
      </c>
      <c r="L445" s="26"/>
    </row>
    <row r="446" spans="1:12">
      <c r="A446" s="20" t="s">
        <v>305</v>
      </c>
      <c r="E446" s="21">
        <f>IF(D446="?OLD","!!!","")</f>
        <v/>
      </c>
      <c r="F446" s="22" t="str">
        <f>IF(OR(E446="",E446="!!!"),"",IF(NOT(ISNA(VLOOKUP(E446,E$1:E445,1,FALSE()))),"OLD",IF(AND(E446&lt;&gt;"",E446&lt;&gt;"!!!"),"NEW","")))</f>
        <v> </v>
      </c>
      <c r="G446" s="23" t="str">
        <f>IF(OR(E446="",E446="!!!"),"",IF(OR(J446=0,AND(J446=1,K446=1),AND(J446=1,I446="SBJ"),AND(J446=1,I446=0)),"?IN_FOCUS",IF(J446&lt;=2,"?ACTIVATED",IF(J446&lt;&gt;"","?FAMILIAR",IF(F446="NEW",IF(ISNA(VLOOKUP(E446,#REF!,1,FALSE())),"?TYPE_IDENTIFIABLE","?REFERENTIAL"),"_")))))</f>
        <v> </v>
      </c>
      <c r="H446" s="24" t="str">
        <f>IF(J446&lt;&gt;1,"",IF(I446="SBJ","CB","?"))</f>
        <v> </v>
      </c>
      <c r="I446" s="25" t="str">
        <f>IF(OR(E446="",E446="!!!",F446="NEW"),"",INDEX(B445:B$2,-1+SUMPRODUCT(MAX(ROW(E445:E$2)*(E446=E445:E$2)))))</f>
        <v> </v>
      </c>
      <c r="J446" s="25" t="str">
        <f>IF(OR(E446="",E446="!!!",F446="NEW"),"",COUNTBLANK(OFFSET(A$1,,,SUMPRODUCT(MAX(ROW(E$2:E446)*(E446=E$2:E446)))))-COUNTBLANK(OFFSET(A$1,,,SUMPRODUCT(MAX(ROW(E$1:E445)*(E2=E$1:E445))))))</f>
        <v> </v>
      </c>
      <c r="K446" s="25" t="str">
        <f>IF(OR(E446="",E446="!!!",F446="NEW"),"",INDEX(J$1:J445,SUMPRODUCT(MAX(ROW(E$1:E445)*(E446=E$1:E445)))))</f>
        <v> </v>
      </c>
      <c r="L446" s="26"/>
    </row>
    <row r="447" spans="1:12">
      <c r="A447" s="20" t="s">
        <v>501</v>
      </c>
      <c r="B447" s="27" t="s">
        <v>283</v>
      </c>
      <c r="C447" s="27" t="s">
        <v>281</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305</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254</v>
      </c>
      <c r="B449" s="27" t="s">
        <v>329</v>
      </c>
      <c r="C449" s="27" t="s">
        <v>256</v>
      </c>
      <c r="D449" s="27" t="s">
        <v>244</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330</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305</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502</v>
      </c>
      <c r="B452" s="27" t="s">
        <v>423</v>
      </c>
      <c r="C452" s="27" t="s">
        <v>281</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360</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503</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341</v>
      </c>
      <c r="B455" s="27" t="s">
        <v>504</v>
      </c>
      <c r="C455" s="27" t="s">
        <v>256</v>
      </c>
      <c r="D455" s="27" t="s">
        <v>244</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344</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505</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349</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454</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494</v>
      </c>
      <c r="B460" s="27" t="s">
        <v>506</v>
      </c>
      <c r="C460" s="27" t="s">
        <v>263</v>
      </c>
      <c r="D460" s="27" t="s">
        <v>244</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456</v>
      </c>
      <c r="B461" s="27" t="s">
        <v>507</v>
      </c>
      <c r="C461" s="27" t="s">
        <v>267</v>
      </c>
      <c r="D461" s="27" t="s">
        <v>244</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285</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row>
    <row r="464" spans="1:12">
      <c r="A464" s="20" t="s">
        <v>508</v>
      </c>
    </row>
    <row r="465" spans="1:12">
      <c r="A465" s="20" t="s">
        <v>254</v>
      </c>
      <c r="B465" s="27" t="s">
        <v>255</v>
      </c>
      <c r="C465" s="27" t="s">
        <v>256</v>
      </c>
      <c r="D465" s="27" t="s">
        <v>244</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463</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509</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428</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449</v>
      </c>
      <c r="B469" s="27" t="s">
        <v>237</v>
      </c>
      <c r="C469" s="27" t="s">
        <v>238</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436</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t="s">
        <v>290</v>
      </c>
      <c r="B471" s="27" t="s">
        <v>291</v>
      </c>
      <c r="C471" s="27" t="s">
        <v>263</v>
      </c>
      <c r="D471" s="27" t="s">
        <v>244</v>
      </c>
      <c r="E471" s="21">
        <f>IF(D471="?OLD","!!!","")</f>
        <v/>
      </c>
      <c r="F471" s="22" t="str">
        <f>IF(OR(E471="",E471="!!!"),"",IF(NOT(ISNA(VLOOKUP(E471,E$1:E470,1,FALSE()))),"OLD",IF(AND(E471&lt;&gt;"",E471&lt;&gt;"!!!"),"NEW","")))</f>
        <v> </v>
      </c>
      <c r="G471" s="23" t="str">
        <f>IF(OR(E471="",E471="!!!"),"",IF(OR(J471=0,AND(J471=1,K471=1),AND(J471=1,I471="SBJ"),AND(J471=1,I471=0)),"?IN_FOCUS",IF(J471&lt;=2,"?ACTIVATED",IF(J471&lt;&gt;"","?FAMILIAR",IF(F471="NEW",IF(ISNA(VLOOKUP(E471,#REF!,1,FALSE())),"?TYPE_IDENTIFIABLE","?REFERENTIAL"),"_")))))</f>
        <v> </v>
      </c>
      <c r="H471" s="24" t="str">
        <f>IF(J471&lt;&gt;1,"",IF(I471="SBJ","CB","?"))</f>
        <v> </v>
      </c>
      <c r="I471" s="25" t="str">
        <f>IF(OR(E471="",E471="!!!",F471="NEW"),"",INDEX(B470:B$2,-1+SUMPRODUCT(MAX(ROW(E470:E$2)*(E471=E470:E$2)))))</f>
        <v> </v>
      </c>
      <c r="J471" s="25" t="str">
        <f>IF(OR(E471="",E471="!!!",F471="NEW"),"",COUNTBLANK(OFFSET(A$1,,,SUMPRODUCT(MAX(ROW(E$2:E471)*(E471=E$2:E471)))))-COUNTBLANK(OFFSET(A$1,,,SUMPRODUCT(MAX(ROW(E$1:E470)*(E2=E$1:E470))))))</f>
        <v> </v>
      </c>
      <c r="K471" s="25" t="str">
        <f>IF(OR(E471="",E471="!!!",F471="NEW"),"",INDEX(J$1:J470,SUMPRODUCT(MAX(ROW(E$1:E470)*(E471=E$1:E470)))))</f>
        <v> </v>
      </c>
      <c r="L471" s="26"/>
    </row>
    <row r="472" spans="1:12">
      <c r="A472" s="20" t="s">
        <v>465</v>
      </c>
      <c r="B472" s="27" t="s">
        <v>237</v>
      </c>
      <c r="C472" s="27" t="s">
        <v>267</v>
      </c>
      <c r="D472" s="27" t="s">
        <v>244</v>
      </c>
      <c r="E472" s="21">
        <f>IF(D472="?OLD","!!!","")</f>
        <v/>
      </c>
      <c r="F472" s="22" t="str">
        <f>IF(OR(E472="",E472="!!!"),"",IF(NOT(ISNA(VLOOKUP(E472,E$1:E471,1,FALSE()))),"OLD",IF(AND(E472&lt;&gt;"",E472&lt;&gt;"!!!"),"NEW","")))</f>
        <v> </v>
      </c>
      <c r="G472" s="23" t="str">
        <f>IF(OR(E472="",E472="!!!"),"",IF(OR(J472=0,AND(J472=1,K472=1),AND(J472=1,I472="SBJ"),AND(J472=1,I472=0)),"?IN_FOCUS",IF(J472&lt;=2,"?ACTIVATED",IF(J472&lt;&gt;"","?FAMILIAR",IF(F472="NEW",IF(ISNA(VLOOKUP(E472,#REF!,1,FALSE())),"?TYPE_IDENTIFIABLE","?REFERENTIAL"),"_")))))</f>
        <v> </v>
      </c>
      <c r="H472" s="24" t="str">
        <f>IF(J472&lt;&gt;1,"",IF(I472="SBJ","CB","?"))</f>
        <v> </v>
      </c>
      <c r="I472" s="25" t="str">
        <f>IF(OR(E472="",E472="!!!",F472="NEW"),"",INDEX(B471:B$2,-1+SUMPRODUCT(MAX(ROW(E471:E$2)*(E472=E471:E$2)))))</f>
        <v> </v>
      </c>
      <c r="J472" s="25" t="str">
        <f>IF(OR(E472="",E472="!!!",F472="NEW"),"",COUNTBLANK(OFFSET(A$1,,,SUMPRODUCT(MAX(ROW(E$2:E472)*(E472=E$2:E472)))))-COUNTBLANK(OFFSET(A$1,,,SUMPRODUCT(MAX(ROW(E$1:E471)*(E2=E$1:E471))))))</f>
        <v> </v>
      </c>
      <c r="K472" s="25" t="str">
        <f>IF(OR(E472="",E472="!!!",F472="NEW"),"",INDEX(J$1:J471,SUMPRODUCT(MAX(ROW(E$1:E471)*(E472=E$1:E471)))))</f>
        <v> </v>
      </c>
      <c r="L472" s="26"/>
    </row>
    <row r="473" spans="1:12">
      <c r="A473" s="20" t="s">
        <v>463</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321</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510</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406</v>
      </c>
      <c r="B476" s="27" t="s">
        <v>291</v>
      </c>
      <c r="C476" s="27" t="s">
        <v>256</v>
      </c>
      <c r="D476" s="27" t="s">
        <v>244</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349</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511</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512</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513</v>
      </c>
      <c r="B480" s="27" t="s">
        <v>329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344</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514</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515</v>
      </c>
      <c r="B483" s="27" t="s">
        <v>423</v>
      </c>
      <c r="C483" s="27" t="s">
        <v>281</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305</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314</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464</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290</v>
      </c>
      <c r="B487" s="27" t="s">
        <v>364</v>
      </c>
      <c r="C487" s="27" t="s">
        <v>256</v>
      </c>
      <c r="D487" s="27" t="s">
        <v>244</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305</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314</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254</v>
      </c>
      <c r="B490" s="27" t="s">
        <v>504</v>
      </c>
      <c r="C490" s="27" t="s">
        <v>256</v>
      </c>
      <c r="D490" s="27" t="s">
        <v>244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338</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339</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426</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503</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516</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428</v>
      </c>
      <c r="B496" s="27" t="s">
        <v>517</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268</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518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349</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454</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248</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519</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520</v>
      </c>
      <c r="B503" s="27" t="s">
        <v>521</v>
      </c>
      <c r="C503" s="27" t="s">
        <v>522</v>
      </c>
      <c r="D503" s="27" t="s">
        <v>244</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285</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row>
    <row r="506" spans="1:12">
      <c r="A506" s="20" t="s">
        <v>523</v>
      </c>
    </row>
    <row r="507" spans="1:12">
      <c r="A507" s="20" t="s">
        <v>524</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519</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t="s">
        <v>520</v>
      </c>
      <c r="B509" s="27" t="s">
        <v>255</v>
      </c>
      <c r="C509" s="27" t="s">
        <v>522</v>
      </c>
      <c r="D509" s="27" t="s">
        <v>244</v>
      </c>
      <c r="E509" s="21">
        <f>IF(D509="?OLD","!!!","")</f>
        <v/>
      </c>
      <c r="F509" s="22" t="str">
        <f>IF(OR(E509="",E509="!!!"),"",IF(NOT(ISNA(VLOOKUP(E509,E$1:E508,1,FALSE()))),"OLD",IF(AND(E509&lt;&gt;"",E509&lt;&gt;"!!!"),"NEW","")))</f>
        <v> </v>
      </c>
      <c r="G509" s="23" t="str">
        <f>IF(OR(E509="",E509="!!!"),"",IF(OR(J509=0,AND(J509=1,K509=1),AND(J509=1,I509="SBJ"),AND(J509=1,I509=0)),"?IN_FOCUS",IF(J509&lt;=2,"?ACTIVATED",IF(J509&lt;&gt;"","?FAMILIAR",IF(F509="NEW",IF(ISNA(VLOOKUP(E509,#REF!,1,FALSE())),"?TYPE_IDENTIFIABLE","?REFERENTIAL"),"_")))))</f>
        <v> </v>
      </c>
      <c r="H509" s="24" t="str">
        <f>IF(J509&lt;&gt;1,"",IF(I509="SBJ","CB","?"))</f>
        <v> </v>
      </c>
      <c r="I509" s="25" t="str">
        <f>IF(OR(E509="",E509="!!!",F509="NEW"),"",INDEX(B508:B$2,-1+SUMPRODUCT(MAX(ROW(E508:E$2)*(E509=E508:E$2)))))</f>
        <v> </v>
      </c>
      <c r="J509" s="25" t="str">
        <f>IF(OR(E509="",E509="!!!",F509="NEW"),"",COUNTBLANK(OFFSET(A$1,,,SUMPRODUCT(MAX(ROW(E$2:E509)*(E509=E$2:E509)))))-COUNTBLANK(OFFSET(A$1,,,SUMPRODUCT(MAX(ROW(E$1:E508)*(E2=E$1:E508))))))</f>
        <v> </v>
      </c>
      <c r="K509" s="25" t="str">
        <f>IF(OR(E509="",E509="!!!",F509="NEW"),"",INDEX(J$1:J508,SUMPRODUCT(MAX(ROW(E$1:E508)*(E509=E$1:E508)))))</f>
        <v> </v>
      </c>
      <c r="L509" s="26"/>
    </row>
    <row r="510" spans="1:12">
      <c r="A510" s="20" t="s">
        <v>289</v>
      </c>
      <c r="E510" s="21">
        <f>IF(D510="?OLD","!!!","")</f>
        <v/>
      </c>
      <c r="F510" s="22" t="str">
        <f>IF(OR(E510="",E510="!!!"),"",IF(NOT(ISNA(VLOOKUP(E510,E$1:E509,1,FALSE()))),"OLD",IF(AND(E510&lt;&gt;"",E510&lt;&gt;"!!!"),"NEW","")))</f>
        <v> </v>
      </c>
      <c r="G510" s="23" t="str">
        <f>IF(OR(E510="",E510="!!!"),"",IF(OR(J510=0,AND(J510=1,K510=1),AND(J510=1,I510="SBJ"),AND(J510=1,I510=0)),"?IN_FOCUS",IF(J510&lt;=2,"?ACTIVATED",IF(J510&lt;&gt;"","?FAMILIAR",IF(F510="NEW",IF(ISNA(VLOOKUP(E510,#REF!,1,FALSE())),"?TYPE_IDENTIFIABLE","?REFERENTIAL"),"_")))))</f>
        <v> </v>
      </c>
      <c r="H510" s="24" t="str">
        <f>IF(J510&lt;&gt;1,"",IF(I510="SBJ","CB","?"))</f>
        <v> </v>
      </c>
      <c r="I510" s="25" t="str">
        <f>IF(OR(E510="",E510="!!!",F510="NEW"),"",INDEX(B509:B$2,-1+SUMPRODUCT(MAX(ROW(E509:E$2)*(E510=E509:E$2)))))</f>
        <v> </v>
      </c>
      <c r="J510" s="25" t="str">
        <f>IF(OR(E510="",E510="!!!",F510="NEW"),"",COUNTBLANK(OFFSET(A$1,,,SUMPRODUCT(MAX(ROW(E$2:E510)*(E510=E$2:E510)))))-COUNTBLANK(OFFSET(A$1,,,SUMPRODUCT(MAX(ROW(E$1:E509)*(E2=E$1:E509))))))</f>
        <v> </v>
      </c>
      <c r="K510" s="25" t="str">
        <f>IF(OR(E510="",E510="!!!",F510="NEW"),"",INDEX(J$1:J509,SUMPRODUCT(MAX(ROW(E$1:E509)*(E510=E$1:E509)))))</f>
        <v> </v>
      </c>
      <c r="L510" s="26"/>
    </row>
    <row r="511" spans="1:12">
      <c r="A511" s="20" t="s">
        <v>248</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525</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199</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11</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526</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527</v>
      </c>
      <c r="B516" s="27" t="s">
        <v>291</v>
      </c>
      <c r="C516" s="27" t="s">
        <v>252</v>
      </c>
      <c r="D516" s="27" t="s">
        <v>244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305</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371</v>
      </c>
      <c r="B518" s="27" t="s">
        <v>255</v>
      </c>
      <c r="C518" s="27" t="s">
        <v>256</v>
      </c>
      <c r="D518" s="27" t="s">
        <v>244</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528</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436</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529</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436</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277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530</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t="s">
        <v>439</v>
      </c>
      <c r="B525" s="27" t="s">
        <v>291</v>
      </c>
      <c r="C525" s="27" t="s">
        <v>279</v>
      </c>
      <c r="E525" s="21">
        <f>IF(D525="?OLD","!!!","")</f>
        <v/>
      </c>
      <c r="F525" s="22" t="str">
        <f>IF(OR(E525="",E525="!!!"),"",IF(NOT(ISNA(VLOOKUP(E525,E$1:E524,1,FALSE()))),"OLD",IF(AND(E525&lt;&gt;"",E525&lt;&gt;"!!!"),"NEW","")))</f>
        <v> </v>
      </c>
      <c r="G525" s="23" t="str">
        <f>IF(OR(E525="",E525="!!!"),"",IF(OR(J525=0,AND(J525=1,K525=1),AND(J525=1,I525="SBJ"),AND(J525=1,I525=0)),"?IN_FOCUS",IF(J525&lt;=2,"?ACTIVATED",IF(J525&lt;&gt;"","?FAMILIAR",IF(F525="NEW",IF(ISNA(VLOOKUP(E525,#REF!,1,FALSE())),"?TYPE_IDENTIFIABLE","?REFERENTIAL"),"_")))))</f>
        <v> </v>
      </c>
      <c r="H525" s="24" t="str">
        <f>IF(J525&lt;&gt;1,"",IF(I525="SBJ","CB","?"))</f>
        <v> </v>
      </c>
      <c r="I525" s="25" t="str">
        <f>IF(OR(E525="",E525="!!!",F525="NEW"),"",INDEX(B524:B$2,-1+SUMPRODUCT(MAX(ROW(E524:E$2)*(E525=E524:E$2)))))</f>
        <v> </v>
      </c>
      <c r="J525" s="25" t="str">
        <f>IF(OR(E525="",E525="!!!",F525="NEW"),"",COUNTBLANK(OFFSET(A$1,,,SUMPRODUCT(MAX(ROW(E$2:E525)*(E525=E$2:E525)))))-COUNTBLANK(OFFSET(A$1,,,SUMPRODUCT(MAX(ROW(E$1:E524)*(E2=E$1:E524))))))</f>
        <v> </v>
      </c>
      <c r="K525" s="25" t="str">
        <f>IF(OR(E525="",E525="!!!",F525="NEW"),"",INDEX(J$1:J524,SUMPRODUCT(MAX(ROW(E$1:E524)*(E525=E$1:E524)))))</f>
        <v> </v>
      </c>
      <c r="L525" s="26"/>
    </row>
    <row r="526" spans="1:12">
      <c r="A526" s="20" t="s">
        <v>477</v>
      </c>
      <c r="E526" s="21">
        <f>IF(D526="?OLD","!!!","")</f>
        <v/>
      </c>
      <c r="F526" s="22" t="str">
        <f>IF(OR(E526="",E526="!!!"),"",IF(NOT(ISNA(VLOOKUP(E526,E$1:E525,1,FALSE()))),"OLD",IF(AND(E526&lt;&gt;"",E526&lt;&gt;"!!!"),"NEW","")))</f>
        <v> </v>
      </c>
      <c r="G526" s="23" t="str">
        <f>IF(OR(E526="",E526="!!!"),"",IF(OR(J526=0,AND(J526=1,K526=1),AND(J526=1,I526="SBJ"),AND(J526=1,I526=0)),"?IN_FOCUS",IF(J526&lt;=2,"?ACTIVATED",IF(J526&lt;&gt;"","?FAMILIAR",IF(F526="NEW",IF(ISNA(VLOOKUP(E526,#REF!,1,FALSE())),"?TYPE_IDENTIFIABLE","?REFERENTIAL"),"_")))))</f>
        <v> </v>
      </c>
      <c r="H526" s="24" t="str">
        <f>IF(J526&lt;&gt;1,"",IF(I526="SBJ","CB","?"))</f>
        <v> </v>
      </c>
      <c r="I526" s="25" t="str">
        <f>IF(OR(E526="",E526="!!!",F526="NEW"),"",INDEX(B525:B$2,-1+SUMPRODUCT(MAX(ROW(E525:E$2)*(E526=E525:E$2)))))</f>
        <v> </v>
      </c>
      <c r="J526" s="25" t="str">
        <f>IF(OR(E526="",E526="!!!",F526="NEW"),"",COUNTBLANK(OFFSET(A$1,,,SUMPRODUCT(MAX(ROW(E$2:E526)*(E526=E$2:E526)))))-COUNTBLANK(OFFSET(A$1,,,SUMPRODUCT(MAX(ROW(E$1:E525)*(E2=E$1:E525))))))</f>
        <v> </v>
      </c>
      <c r="K526" s="25" t="str">
        <f>IF(OR(E526="",E526="!!!",F526="NEW"),"",INDEX(J$1:J525,SUMPRODUCT(MAX(ROW(E$1:E525)*(E526=E$1:E525)))))</f>
        <v> </v>
      </c>
      <c r="L526" s="26"/>
    </row>
    <row r="527" spans="1:12">
      <c r="A527" s="20" t="s">
        <v>372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270</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531</v>
      </c>
      <c r="B529" s="27" t="s">
        <v>283</v>
      </c>
      <c r="C529" s="27" t="s">
        <v>281</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442</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532</v>
      </c>
      <c r="B531" s="27" t="s">
        <v>262</v>
      </c>
      <c r="C531" s="27" t="s">
        <v>267</v>
      </c>
      <c r="D531" s="27" t="s">
        <v>244</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285</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row>
    <row r="534" spans="1:12">
      <c r="A534" s="20" t="s">
        <v>533</v>
      </c>
    </row>
    <row r="535" spans="1:12">
      <c r="A535" s="20" t="s">
        <v>489</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400</v>
      </c>
      <c r="B536" s="27" t="s">
        <v>255</v>
      </c>
      <c r="C536" s="27" t="s">
        <v>401</v>
      </c>
      <c r="D536" s="27" t="s">
        <v>244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391</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534</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535</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145</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536</v>
      </c>
      <c r="B541" s="27" t="s">
        <v>301</v>
      </c>
      <c r="C541" s="27" t="s">
        <v>238</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273</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537</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538</v>
      </c>
      <c r="B544" s="27" t="s">
        <v>272</v>
      </c>
      <c r="C544" s="27" t="s">
        <v>281</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276</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539</v>
      </c>
      <c r="B547" s="27" t="s">
        <v>291</v>
      </c>
      <c r="C547" s="27" t="s">
        <v>540</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285</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541</v>
      </c>
    </row>
    <row r="551" spans="1:12">
      <c r="A551" s="20" t="s">
        <v>352</v>
      </c>
      <c r="B551" s="27" t="s">
        <v>255</v>
      </c>
      <c r="C551" s="27" t="s">
        <v>256</v>
      </c>
      <c r="D551" s="27" t="s">
        <v>244</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264</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454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277</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542</v>
      </c>
      <c r="B555" s="27" t="s">
        <v>251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305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254</v>
      </c>
      <c r="B557" s="27" t="s">
        <v>295</v>
      </c>
      <c r="C557" s="27" t="s">
        <v>256</v>
      </c>
      <c r="D557" s="27" t="s">
        <v>244</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324</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305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314</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543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277</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544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305</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314</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543</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545</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546</v>
      </c>
      <c r="B568" s="27" t="s">
        <v>291</v>
      </c>
      <c r="C568" s="27" t="s">
        <v>238</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305</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314</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543</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248</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t="s">
        <v>547</v>
      </c>
      <c r="E573" s="21">
        <f>IF(D573="?OLD","!!!","")</f>
        <v/>
      </c>
      <c r="F573" s="22" t="str">
        <f>IF(OR(E573="",E573="!!!"),"",IF(NOT(ISNA(VLOOKUP(E573,E$1:E572,1,FALSE()))),"OLD",IF(AND(E573&lt;&gt;"",E573&lt;&gt;"!!!"),"NEW","")))</f>
        <v> </v>
      </c>
      <c r="G573" s="23" t="str">
        <f>IF(OR(E573="",E573="!!!"),"",IF(OR(J573=0,AND(J573=1,K573=1),AND(J573=1,I573="SBJ"),AND(J573=1,I573=0)),"?IN_FOCUS",IF(J573&lt;=2,"?ACTIVATED",IF(J573&lt;&gt;"","?FAMILIAR",IF(F573="NEW",IF(ISNA(VLOOKUP(E573,#REF!,1,FALSE())),"?TYPE_IDENTIFIABLE","?REFERENTIAL"),"_")))))</f>
        <v> </v>
      </c>
      <c r="H573" s="24" t="str">
        <f>IF(J573&lt;&gt;1,"",IF(I573="SBJ","CB","?"))</f>
        <v> </v>
      </c>
      <c r="I573" s="25" t="str">
        <f>IF(OR(E573="",E573="!!!",F573="NEW"),"",INDEX(B572:B$2,-1+SUMPRODUCT(MAX(ROW(E572:E$2)*(E573=E572:E$2)))))</f>
        <v> </v>
      </c>
      <c r="J573" s="25" t="str">
        <f>IF(OR(E573="",E573="!!!",F573="NEW"),"",COUNTBLANK(OFFSET(A$1,,,SUMPRODUCT(MAX(ROW(E$2:E573)*(E573=E$2:E573)))))-COUNTBLANK(OFFSET(A$1,,,SUMPRODUCT(MAX(ROW(E$1:E572)*(E2=E$1:E572))))))</f>
        <v> </v>
      </c>
      <c r="K573" s="25" t="str">
        <f>IF(OR(E573="",E573="!!!",F573="NEW"),"",INDEX(J$1:J572,SUMPRODUCT(MAX(ROW(E$1:E572)*(E573=E$1:E572)))))</f>
        <v> </v>
      </c>
      <c r="L573" s="26"/>
    </row>
    <row r="574" spans="1:12">
      <c r="A574" s="20" t="s">
        <v>548</v>
      </c>
      <c r="B574" s="27" t="s">
        <v>266</v>
      </c>
      <c r="C574" s="27" t="s">
        <v>252</v>
      </c>
      <c r="D574" s="27" t="s">
        <v>244</v>
      </c>
      <c r="E574" s="21">
        <f>IF(D574="?OLD","!!!","")</f>
        <v/>
      </c>
      <c r="F574" s="22" t="str">
        <f>IF(OR(E574="",E574="!!!"),"",IF(NOT(ISNA(VLOOKUP(E574,E$1:E573,1,FALSE()))),"OLD",IF(AND(E574&lt;&gt;"",E574&lt;&gt;"!!!"),"NEW","")))</f>
        <v> </v>
      </c>
      <c r="G574" s="23" t="str">
        <f>IF(OR(E574="",E574="!!!"),"",IF(OR(J574=0,AND(J574=1,K574=1),AND(J574=1,I574="SBJ"),AND(J574=1,I574=0)),"?IN_FOCUS",IF(J574&lt;=2,"?ACTIVATED",IF(J574&lt;&gt;"","?FAMILIAR",IF(F574="NEW",IF(ISNA(VLOOKUP(E574,#REF!,1,FALSE())),"?TYPE_IDENTIFIABLE","?REFERENTIAL"),"_")))))</f>
        <v> </v>
      </c>
      <c r="H574" s="24" t="str">
        <f>IF(J574&lt;&gt;1,"",IF(I574="SBJ","CB","?"))</f>
        <v> </v>
      </c>
      <c r="I574" s="25" t="str">
        <f>IF(OR(E574="",E574="!!!",F574="NEW"),"",INDEX(B573:B$2,-1+SUMPRODUCT(MAX(ROW(E573:E$2)*(E574=E573:E$2)))))</f>
        <v> </v>
      </c>
      <c r="J574" s="25" t="str">
        <f>IF(OR(E574="",E574="!!!",F574="NEW"),"",COUNTBLANK(OFFSET(A$1,,,SUMPRODUCT(MAX(ROW(E$2:E574)*(E574=E$2:E574)))))-COUNTBLANK(OFFSET(A$1,,,SUMPRODUCT(MAX(ROW(E$1:E573)*(E2=E$1:E573))))))</f>
        <v> </v>
      </c>
      <c r="K574" s="25" t="str">
        <f>IF(OR(E574="",E574="!!!",F574="NEW"),"",INDEX(J$1:J573,SUMPRODUCT(MAX(ROW(E$1:E573)*(E574=E$1:E573)))))</f>
        <v> </v>
      </c>
      <c r="L574" s="26"/>
    </row>
    <row r="575" spans="1:12">
      <c r="A575" s="20" t="s">
        <v>338</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339</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516</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454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248</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456</v>
      </c>
      <c r="B580" s="27" t="s">
        <v>381</v>
      </c>
      <c r="C580" s="27" t="s">
        <v>252</v>
      </c>
      <c r="D580" s="27" t="s">
        <v>244</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285</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row>
    <row r="583" spans="1:12">
      <c r="A583" s="20" t="s">
        <v>549</v>
      </c>
    </row>
    <row r="584" spans="1:12">
      <c r="A584" s="20" t="s">
        <v>489</v>
      </c>
      <c r="E584" s="21">
        <f>IF(D584="?OLD","!!!","")</f>
        <v/>
      </c>
      <c r="F584" s="22" t="str">
        <f>IF(OR(E584="",E584="!!!"),"",IF(NOT(ISNA(VLOOKUP(E584,E$1:E583,1,FALSE()))),"OLD",IF(AND(E584&lt;&gt;"",E584&lt;&gt;"!!!"),"NEW","")))</f>
        <v> </v>
      </c>
      <c r="G584" s="23" t="str">
        <f>IF(OR(E584="",E584="!!!"),"",IF(OR(J584=0,AND(J584=1,K584=1),AND(J584=1,I584="SBJ"),AND(J584=1,I584=0)),"?IN_FOCUS",IF(J584&lt;=2,"?ACTIVATED",IF(J584&lt;&gt;"","?FAMILIAR",IF(F584="NEW",IF(ISNA(VLOOKUP(E584,#REF!,1,FALSE())),"?TYPE_IDENTIFIABLE","?REFERENTIAL"),"_")))))</f>
        <v> </v>
      </c>
      <c r="H584" s="24" t="str">
        <f>IF(J584&lt;&gt;1,"",IF(I584="SBJ","CB","?"))</f>
        <v> </v>
      </c>
      <c r="I584" s="25" t="str">
        <f>IF(OR(E584="",E584="!!!",F584="NEW"),"",INDEX(B583:B$2,-1+SUMPRODUCT(MAX(ROW(E583:E$2)*(E584=E583:E$2)))))</f>
        <v> </v>
      </c>
      <c r="J584" s="25" t="str">
        <f>IF(OR(E584="",E584="!!!",F584="NEW"),"",COUNTBLANK(OFFSET(A$1,,,SUMPRODUCT(MAX(ROW(E$2:E584)*(E584=E$2:E584)))))-COUNTBLANK(OFFSET(A$1,,,SUMPRODUCT(MAX(ROW(E$1:E583)*(E2=E$1:E583))))))</f>
        <v> </v>
      </c>
      <c r="K584" s="25" t="str">
        <f>IF(OR(E584="",E584="!!!",F584="NEW"),"",INDEX(J$1:J583,SUMPRODUCT(MAX(ROW(E$1:E583)*(E584=E$1:E583)))))</f>
        <v> </v>
      </c>
      <c r="L584" s="26"/>
    </row>
    <row r="585" spans="1:12">
      <c r="A585" s="20" t="s">
        <v>254</v>
      </c>
      <c r="B585" s="27" t="s">
        <v>255</v>
      </c>
      <c r="C585" s="27" t="s">
        <v>256</v>
      </c>
      <c r="D585" s="27" t="s">
        <v>244</v>
      </c>
      <c r="E585" s="21">
        <f>IF(D585="?OLD","!!!","")</f>
        <v/>
      </c>
      <c r="F585" s="22" t="str">
        <f>IF(OR(E585="",E585="!!!"),"",IF(NOT(ISNA(VLOOKUP(E585,E$1:E584,1,FALSE()))),"OLD",IF(AND(E585&lt;&gt;"",E585&lt;&gt;"!!!"),"NEW","")))</f>
        <v> </v>
      </c>
      <c r="G585" s="23" t="str">
        <f>IF(OR(E585="",E585="!!!"),"",IF(OR(J585=0,AND(J585=1,K585=1),AND(J585=1,I585="SBJ"),AND(J585=1,I585=0)),"?IN_FOCUS",IF(J585&lt;=2,"?ACTIVATED",IF(J585&lt;&gt;"","?FAMILIAR",IF(F585="NEW",IF(ISNA(VLOOKUP(E585,#REF!,1,FALSE())),"?TYPE_IDENTIFIABLE","?REFERENTIAL"),"_")))))</f>
        <v> </v>
      </c>
      <c r="H585" s="24" t="str">
        <f>IF(J585&lt;&gt;1,"",IF(I585="SBJ","CB","?"))</f>
        <v> </v>
      </c>
      <c r="I585" s="25" t="str">
        <f>IF(OR(E585="",E585="!!!",F585="NEW"),"",INDEX(B584:B$2,-1+SUMPRODUCT(MAX(ROW(E584:E$2)*(E585=E584:E$2)))))</f>
        <v> </v>
      </c>
      <c r="J585" s="25" t="str">
        <f>IF(OR(E585="",E585="!!!",F585="NEW"),"",COUNTBLANK(OFFSET(A$1,,,SUMPRODUCT(MAX(ROW(E$2:E585)*(E585=E$2:E585)))))-COUNTBLANK(OFFSET(A$1,,,SUMPRODUCT(MAX(ROW(E$1:E584)*(E2=E$1:E584))))))</f>
        <v> </v>
      </c>
      <c r="K585" s="25" t="str">
        <f>IF(OR(E585="",E585="!!!",F585="NEW"),"",INDEX(J$1:J584,SUMPRODUCT(MAX(ROW(E$1:E584)*(E585=E$1:E584)))))</f>
        <v> </v>
      </c>
      <c r="L585" s="26"/>
    </row>
    <row r="586" spans="1:12">
      <c r="A586" s="20" t="s">
        <v>378</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260</v>
      </c>
      <c r="B587" s="27" t="s">
        <v>295</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550</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290</v>
      </c>
      <c r="B589" s="27" t="s">
        <v>301</v>
      </c>
      <c r="C589" s="27" t="s">
        <v>256</v>
      </c>
      <c r="D589" s="27" t="s">
        <v>244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551</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552</v>
      </c>
      <c r="B591" s="27" t="s">
        <v>301</v>
      </c>
      <c r="C591" s="27" t="s">
        <v>281</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305</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314</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328</v>
      </c>
      <c r="B594" s="27" t="s">
        <v>295</v>
      </c>
      <c r="C594" s="27" t="s">
        <v>256</v>
      </c>
      <c r="D594" s="27" t="s">
        <v>244</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427</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553</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371</v>
      </c>
      <c r="B597" s="27" t="s">
        <v>291</v>
      </c>
      <c r="C597" s="27" t="s">
        <v>256</v>
      </c>
      <c r="D597" s="27" t="s">
        <v>244</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319</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314</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319</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285</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row>
    <row r="603" spans="1:12">
      <c r="A603" s="20" t="s">
        <v>554</v>
      </c>
    </row>
    <row r="604" spans="1:12">
      <c r="A604" s="20" t="s">
        <v>555</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556</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557</v>
      </c>
      <c r="B606" s="27" t="s">
        <v>237</v>
      </c>
      <c r="C606" s="27" t="s">
        <v>238</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400</v>
      </c>
      <c r="B607" s="27" t="s">
        <v>255</v>
      </c>
      <c r="C607" s="27" t="s">
        <v>401</v>
      </c>
      <c r="D607" s="27" t="s">
        <v>244</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427</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276</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285</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row>
    <row r="612" spans="1:12">
      <c r="A612" s="20" t="s">
        <v>558</v>
      </c>
    </row>
    <row r="613" spans="1:12">
      <c r="A613" s="20" t="s">
        <v>559</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248</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560</v>
      </c>
      <c r="B615" s="27" t="s">
        <v>237</v>
      </c>
      <c r="C615" s="27" t="s">
        <v>252</v>
      </c>
      <c r="D615" s="27" t="s">
        <v>244</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273</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t="s">
        <v>248</v>
      </c>
      <c r="E617" s="21">
        <f>IF(D617="?OLD","!!!","")</f>
        <v/>
      </c>
      <c r="F617" s="22" t="str">
        <f>IF(OR(E617="",E617="!!!"),"",IF(NOT(ISNA(VLOOKUP(E617,E$1:E616,1,FALSE()))),"OLD",IF(AND(E617&lt;&gt;"",E617&lt;&gt;"!!!"),"NEW","")))</f>
        <v> </v>
      </c>
      <c r="G617" s="23" t="str">
        <f>IF(OR(E617="",E617="!!!"),"",IF(OR(J617=0,AND(J617=1,K617=1),AND(J617=1,I617="SBJ"),AND(J617=1,I617=0)),"?IN_FOCUS",IF(J617&lt;=2,"?ACTIVATED",IF(J617&lt;&gt;"","?FAMILIAR",IF(F617="NEW",IF(ISNA(VLOOKUP(E617,#REF!,1,FALSE())),"?TYPE_IDENTIFIABLE","?REFERENTIAL"),"_")))))</f>
        <v> </v>
      </c>
      <c r="H617" s="24" t="str">
        <f>IF(J617&lt;&gt;1,"",IF(I617="SBJ","CB","?"))</f>
        <v> </v>
      </c>
      <c r="I617" s="25" t="str">
        <f>IF(OR(E617="",E617="!!!",F617="NEW"),"",INDEX(B616:B$2,-1+SUMPRODUCT(MAX(ROW(E616:E$2)*(E617=E616:E$2)))))</f>
        <v> </v>
      </c>
      <c r="J617" s="25" t="str">
        <f>IF(OR(E617="",E617="!!!",F617="NEW"),"",COUNTBLANK(OFFSET(A$1,,,SUMPRODUCT(MAX(ROW(E$2:E617)*(E617=E$2:E617)))))-COUNTBLANK(OFFSET(A$1,,,SUMPRODUCT(MAX(ROW(E$1:E616)*(E2=E$1:E616))))))</f>
        <v> </v>
      </c>
      <c r="K617" s="25" t="str">
        <f>IF(OR(E617="",E617="!!!",F617="NEW"),"",INDEX(J$1:J616,SUMPRODUCT(MAX(ROW(E$1:E616)*(E617=E$1:E616)))))</f>
        <v> </v>
      </c>
      <c r="L617" s="26"/>
    </row>
    <row r="618" spans="1:12">
      <c r="A618" s="20" t="s">
        <v>561</v>
      </c>
      <c r="B618" s="27" t="s">
        <v>291</v>
      </c>
      <c r="C618" s="27" t="s">
        <v>252</v>
      </c>
      <c r="D618" s="27" t="s">
        <v>244</v>
      </c>
      <c r="E618" s="21">
        <f>IF(D618="?OLD","!!!","")</f>
        <v/>
      </c>
      <c r="F618" s="22" t="str">
        <f>IF(OR(E618="",E618="!!!"),"",IF(NOT(ISNA(VLOOKUP(E618,E$1:E617,1,FALSE()))),"OLD",IF(AND(E618&lt;&gt;"",E618&lt;&gt;"!!!"),"NEW","")))</f>
        <v> </v>
      </c>
      <c r="G618" s="23" t="str">
        <f>IF(OR(E618="",E618="!!!"),"",IF(OR(J618=0,AND(J618=1,K618=1),AND(J618=1,I618="SBJ"),AND(J618=1,I618=0)),"?IN_FOCUS",IF(J618&lt;=2,"?ACTIVATED",IF(J618&lt;&gt;"","?FAMILIAR",IF(F618="NEW",IF(ISNA(VLOOKUP(E618,#REF!,1,FALSE())),"?TYPE_IDENTIFIABLE","?REFERENTIAL"),"_")))))</f>
        <v> </v>
      </c>
      <c r="H618" s="24" t="str">
        <f>IF(J618&lt;&gt;1,"",IF(I618="SBJ","CB","?"))</f>
        <v> </v>
      </c>
      <c r="I618" s="25" t="str">
        <f>IF(OR(E618="",E618="!!!",F618="NEW"),"",INDEX(B617:B$2,-1+SUMPRODUCT(MAX(ROW(E617:E$2)*(E618=E617:E$2)))))</f>
        <v> </v>
      </c>
      <c r="J618" s="25" t="str">
        <f>IF(OR(E618="",E618="!!!",F618="NEW"),"",COUNTBLANK(OFFSET(A$1,,,SUMPRODUCT(MAX(ROW(E$2:E618)*(E618=E$2:E618)))))-COUNTBLANK(OFFSET(A$1,,,SUMPRODUCT(MAX(ROW(E$1:E617)*(E2=E$1:E617))))))</f>
        <v> </v>
      </c>
      <c r="K618" s="25" t="str">
        <f>IF(OR(E618="",E618="!!!",F618="NEW"),"",INDEX(J$1:J617,SUMPRODUCT(MAX(ROW(E$1:E617)*(E618=E$1:E617)))))</f>
        <v> </v>
      </c>
      <c r="L618" s="26"/>
    </row>
    <row r="619" spans="1:12">
      <c r="A619" s="20" t="s">
        <v>305</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428</v>
      </c>
      <c r="B620" s="27" t="s">
        <v>255</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273</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248</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434</v>
      </c>
      <c r="B623" s="27" t="s">
        <v>291</v>
      </c>
      <c r="C623" s="27" t="s">
        <v>252</v>
      </c>
      <c r="D623" s="27" t="s">
        <v>244</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268</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258</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562</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260</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328</v>
      </c>
      <c r="B628" s="27" t="s">
        <v>295</v>
      </c>
      <c r="C628" s="27" t="s">
        <v>256</v>
      </c>
      <c r="D628" s="27" t="s">
        <v>244</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563</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372</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276</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248</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564</v>
      </c>
      <c r="B633" s="27" t="s">
        <v>291</v>
      </c>
      <c r="C633" s="27" t="s">
        <v>252</v>
      </c>
      <c r="D633" s="27" t="s">
        <v>244</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565</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566</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305</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290</v>
      </c>
      <c r="B637" s="27" t="s">
        <v>262</v>
      </c>
      <c r="C637" s="27" t="s">
        <v>263</v>
      </c>
      <c r="D637" s="27" t="s">
        <v>244</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567</v>
      </c>
      <c r="B638" s="27" t="s">
        <v>381</v>
      </c>
      <c r="C638" s="27" t="s">
        <v>267</v>
      </c>
      <c r="D638" s="27" t="s">
        <v>244</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307</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318</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270</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248</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568</v>
      </c>
      <c r="B643" s="27" t="s">
        <v>262</v>
      </c>
      <c r="C643" s="27" t="s">
        <v>252</v>
      </c>
      <c r="D643" s="27" t="s">
        <v>244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305</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569</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349</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570</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326</v>
      </c>
      <c r="B648" s="27" t="s">
        <v>364</v>
      </c>
      <c r="C648" s="27" t="s">
        <v>327</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t="s">
        <v>571</v>
      </c>
      <c r="B649" s="27" t="s">
        <v>262</v>
      </c>
      <c r="C649" s="27" t="s">
        <v>243</v>
      </c>
      <c r="D649" s="27" t="s">
        <v>244</v>
      </c>
      <c r="E649" s="21">
        <f>IF(D649="?OLD","!!!","")</f>
        <v/>
      </c>
      <c r="F649" s="22" t="str">
        <f>IF(OR(E649="",E649="!!!"),"",IF(NOT(ISNA(VLOOKUP(E649,E$1:E648,1,FALSE()))),"OLD",IF(AND(E649&lt;&gt;"",E649&lt;&gt;"!!!"),"NEW","")))</f>
        <v> </v>
      </c>
      <c r="G649" s="23" t="str">
        <f>IF(OR(E649="",E649="!!!"),"",IF(OR(J649=0,AND(J649=1,K649=1),AND(J649=1,I649="SBJ"),AND(J649=1,I649=0)),"?IN_FOCUS",IF(J649&lt;=2,"?ACTIVATED",IF(J649&lt;&gt;"","?FAMILIAR",IF(F649="NEW",IF(ISNA(VLOOKUP(E649,#REF!,1,FALSE())),"?TYPE_IDENTIFIABLE","?REFERENTIAL"),"_")))))</f>
        <v> </v>
      </c>
      <c r="H649" s="24" t="str">
        <f>IF(J649&lt;&gt;1,"",IF(I649="SBJ","CB","?"))</f>
        <v> </v>
      </c>
      <c r="I649" s="25" t="str">
        <f>IF(OR(E649="",E649="!!!",F649="NEW"),"",INDEX(B648:B$2,-1+SUMPRODUCT(MAX(ROW(E648:E$2)*(E649=E648:E$2)))))</f>
        <v> </v>
      </c>
      <c r="J649" s="25" t="str">
        <f>IF(OR(E649="",E649="!!!",F649="NEW"),"",COUNTBLANK(OFFSET(A$1,,,SUMPRODUCT(MAX(ROW(E$2:E649)*(E649=E$2:E649)))))-COUNTBLANK(OFFSET(A$1,,,SUMPRODUCT(MAX(ROW(E$1:E648)*(E2=E$1:E648))))))</f>
        <v> </v>
      </c>
      <c r="K649" s="25" t="str">
        <f>IF(OR(E649="",E649="!!!",F649="NEW"),"",INDEX(J$1:J648,SUMPRODUCT(MAX(ROW(E$1:E648)*(E649=E$1:E648)))))</f>
        <v> </v>
      </c>
      <c r="L649" s="26"/>
    </row>
    <row r="650" spans="1:12">
      <c r="A650" s="20"/>
    </row>
    <row r="651" spans="1:12">
      <c r="A651" s="20" t="s">
        <v>572</v>
      </c>
    </row>
    <row r="652" spans="1:12">
      <c r="A652" s="20" t="s">
        <v>573</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344</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574</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260</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575</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576</v>
      </c>
      <c r="B657" s="27" t="s">
        <v>237</v>
      </c>
      <c r="C657" s="27" t="s">
        <v>281</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273</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248</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577</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578</v>
      </c>
      <c r="B661" s="27" t="s">
        <v>291</v>
      </c>
      <c r="C661" s="27" t="s">
        <v>252</v>
      </c>
      <c r="D661" s="27" t="s">
        <v>244</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285</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row>
    <row r="664" spans="1:12">
      <c r="A664" s="20" t="s">
        <v>579</v>
      </c>
    </row>
    <row r="665" spans="1:12">
      <c r="A665" s="20" t="s">
        <v>580</v>
      </c>
      <c r="B665" s="27" t="s">
        <v>255</v>
      </c>
      <c r="C665" s="27" t="s">
        <v>256</v>
      </c>
      <c r="D665" s="27" t="s">
        <v>244</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442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258</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581</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321</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582</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583</v>
      </c>
      <c r="B671" s="27" t="s">
        <v>237</v>
      </c>
      <c r="C671" s="27" t="s">
        <v>281</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305</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584</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442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258</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585</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t="s">
        <v>260</v>
      </c>
      <c r="B677" s="27" t="s">
        <v>266</v>
      </c>
      <c r="C677" s="27" t="s">
        <v>401</v>
      </c>
      <c r="D677" s="27" t="s">
        <v>244</v>
      </c>
      <c r="E677" s="21">
        <f>IF(D677="?OLD","!!!","")</f>
        <v/>
      </c>
      <c r="F677" s="22" t="str">
        <f>IF(OR(E677="",E677="!!!"),"",IF(NOT(ISNA(VLOOKUP(E677,E$1:E676,1,FALSE()))),"OLD",IF(AND(E677&lt;&gt;"",E677&lt;&gt;"!!!"),"NEW","")))</f>
        <v> </v>
      </c>
      <c r="G677" s="23" t="str">
        <f>IF(OR(E677="",E677="!!!"),"",IF(OR(J677=0,AND(J677=1,K677=1),AND(J677=1,I677="SBJ"),AND(J677=1,I677=0)),"?IN_FOCUS",IF(J677&lt;=2,"?ACTIVATED",IF(J677&lt;&gt;"","?FAMILIAR",IF(F677="NEW",IF(ISNA(VLOOKUP(E677,#REF!,1,FALSE())),"?TYPE_IDENTIFIABLE","?REFERENTIAL"),"_")))))</f>
        <v> </v>
      </c>
      <c r="H677" s="24" t="str">
        <f>IF(J677&lt;&gt;1,"",IF(I677="SBJ","CB","?"))</f>
        <v> </v>
      </c>
      <c r="I677" s="25" t="str">
        <f>IF(OR(E677="",E677="!!!",F677="NEW"),"",INDEX(B676:B$2,-1+SUMPRODUCT(MAX(ROW(E676:E$2)*(E677=E676:E$2)))))</f>
        <v> </v>
      </c>
      <c r="J677" s="25" t="str">
        <f>IF(OR(E677="",E677="!!!",F677="NEW"),"",COUNTBLANK(OFFSET(A$1,,,SUMPRODUCT(MAX(ROW(E$2:E677)*(E677=E$2:E677)))))-COUNTBLANK(OFFSET(A$1,,,SUMPRODUCT(MAX(ROW(E$1:E676)*(E2=E$1:E676))))))</f>
        <v> </v>
      </c>
      <c r="K677" s="25" t="str">
        <f>IF(OR(E677="",E677="!!!",F677="NEW"),"",INDEX(J$1:J676,SUMPRODUCT(MAX(ROW(E$1:E676)*(E677=E$1:E676)))))</f>
        <v> </v>
      </c>
      <c r="L677" s="26"/>
    </row>
    <row r="678" spans="1:12">
      <c r="A678" s="20" t="s">
        <v>442</v>
      </c>
      <c r="E678" s="21">
        <f>IF(D678="?OLD","!!!","")</f>
        <v/>
      </c>
      <c r="F678" s="22" t="str">
        <f>IF(OR(E678="",E678="!!!"),"",IF(NOT(ISNA(VLOOKUP(E678,E$1:E677,1,FALSE()))),"OLD",IF(AND(E678&lt;&gt;"",E678&lt;&gt;"!!!"),"NEW","")))</f>
        <v> </v>
      </c>
      <c r="G678" s="23" t="str">
        <f>IF(OR(E678="",E678="!!!"),"",IF(OR(J678=0,AND(J678=1,K678=1),AND(J678=1,I678="SBJ"),AND(J678=1,I678=0)),"?IN_FOCUS",IF(J678&lt;=2,"?ACTIVATED",IF(J678&lt;&gt;"","?FAMILIAR",IF(F678="NEW",IF(ISNA(VLOOKUP(E678,#REF!,1,FALSE())),"?TYPE_IDENTIFIABLE","?REFERENTIAL"),"_")))))</f>
        <v> </v>
      </c>
      <c r="H678" s="24" t="str">
        <f>IF(J678&lt;&gt;1,"",IF(I678="SBJ","CB","?"))</f>
        <v> </v>
      </c>
      <c r="I678" s="25" t="str">
        <f>IF(OR(E678="",E678="!!!",F678="NEW"),"",INDEX(B677:B$2,-1+SUMPRODUCT(MAX(ROW(E677:E$2)*(E678=E677:E$2)))))</f>
        <v> </v>
      </c>
      <c r="J678" s="25" t="str">
        <f>IF(OR(E678="",E678="!!!",F678="NEW"),"",COUNTBLANK(OFFSET(A$1,,,SUMPRODUCT(MAX(ROW(E$2:E678)*(E678=E$2:E678)))))-COUNTBLANK(OFFSET(A$1,,,SUMPRODUCT(MAX(ROW(E$1:E677)*(E2=E$1:E677))))))</f>
        <v> </v>
      </c>
      <c r="K678" s="25" t="str">
        <f>IF(OR(E678="",E678="!!!",F678="NEW"),"",INDEX(J$1:J677,SUMPRODUCT(MAX(ROW(E$1:E677)*(E678=E$1:E677)))))</f>
        <v> </v>
      </c>
      <c r="L678" s="26"/>
    </row>
    <row r="679" spans="1:12">
      <c r="A679" s="20" t="s">
        <v>586</v>
      </c>
      <c r="B679" s="27" t="s">
        <v>295</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587</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371</v>
      </c>
      <c r="B681" s="27" t="s">
        <v>272</v>
      </c>
      <c r="C681" s="27" t="s">
        <v>256</v>
      </c>
      <c r="D681" s="27" t="s">
        <v>244</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588</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305</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349</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589</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270</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326</v>
      </c>
      <c r="B687" s="27" t="s">
        <v>283</v>
      </c>
      <c r="C687" s="27" t="s">
        <v>327</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590</v>
      </c>
      <c r="B688" s="27" t="s">
        <v>262</v>
      </c>
      <c r="C688" s="27" t="s">
        <v>540</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528</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591</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471</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400</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592</v>
      </c>
      <c r="B693" s="27" t="s">
        <v>272</v>
      </c>
      <c r="C693" s="27" t="s">
        <v>334</v>
      </c>
      <c r="D693" s="27" t="s">
        <v>244</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273</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593</v>
      </c>
      <c r="B695" s="27" t="s">
        <v>262</v>
      </c>
      <c r="C695" s="27" t="s">
        <v>281</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305</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t="s">
        <v>326</v>
      </c>
      <c r="B697" s="27" t="s">
        <v>381</v>
      </c>
      <c r="C697" s="27" t="s">
        <v>327</v>
      </c>
      <c r="E697" s="21">
        <f>IF(D697="?OLD","!!!","")</f>
        <v/>
      </c>
      <c r="F697" s="22" t="str">
        <f>IF(OR(E697="",E697="!!!"),"",IF(NOT(ISNA(VLOOKUP(E697,E$1:E696,1,FALSE()))),"OLD",IF(AND(E697&lt;&gt;"",E697&lt;&gt;"!!!"),"NEW","")))</f>
        <v> </v>
      </c>
      <c r="G697" s="23" t="str">
        <f>IF(OR(E697="",E697="!!!"),"",IF(OR(J697=0,AND(J697=1,K697=1),AND(J697=1,I697="SBJ"),AND(J697=1,I697=0)),"?IN_FOCUS",IF(J697&lt;=2,"?ACTIVATED",IF(J697&lt;&gt;"","?FAMILIAR",IF(F697="NEW",IF(ISNA(VLOOKUP(E697,#REF!,1,FALSE())),"?TYPE_IDENTIFIABLE","?REFERENTIAL"),"_")))))</f>
        <v> </v>
      </c>
      <c r="H697" s="24" t="str">
        <f>IF(J697&lt;&gt;1,"",IF(I697="SBJ","CB","?"))</f>
        <v> </v>
      </c>
      <c r="I697" s="25" t="str">
        <f>IF(OR(E697="",E697="!!!",F697="NEW"),"",INDEX(B696:B$2,-1+SUMPRODUCT(MAX(ROW(E696:E$2)*(E697=E696:E$2)))))</f>
        <v> </v>
      </c>
      <c r="J697" s="25" t="str">
        <f>IF(OR(E697="",E697="!!!",F697="NEW"),"",COUNTBLANK(OFFSET(A$1,,,SUMPRODUCT(MAX(ROW(E$2:E697)*(E697=E$2:E697)))))-COUNTBLANK(OFFSET(A$1,,,SUMPRODUCT(MAX(ROW(E$1:E696)*(E2=E$1:E696))))))</f>
        <v> </v>
      </c>
      <c r="K697" s="25" t="str">
        <f>IF(OR(E697="",E697="!!!",F697="NEW"),"",INDEX(J$1:J696,SUMPRODUCT(MAX(ROW(E$1:E696)*(E697=E$1:E696)))))</f>
        <v> </v>
      </c>
      <c r="L697" s="26"/>
    </row>
    <row r="698" spans="1:12">
      <c r="A698" s="20" t="s">
        <v>371</v>
      </c>
      <c r="B698" s="27" t="s">
        <v>266</v>
      </c>
      <c r="C698" s="27" t="s">
        <v>256</v>
      </c>
      <c r="D698" s="27" t="s">
        <v>244</v>
      </c>
      <c r="E698" s="21">
        <f>IF(D698="?OLD","!!!","")</f>
        <v/>
      </c>
      <c r="F698" s="22" t="str">
        <f>IF(OR(E698="",E698="!!!"),"",IF(NOT(ISNA(VLOOKUP(E698,E$1:E697,1,FALSE()))),"OLD",IF(AND(E698&lt;&gt;"",E698&lt;&gt;"!!!"),"NEW","")))</f>
        <v> </v>
      </c>
      <c r="G698" s="23" t="str">
        <f>IF(OR(E698="",E698="!!!"),"",IF(OR(J698=0,AND(J698=1,K698=1),AND(J698=1,I698="SBJ"),AND(J698=1,I698=0)),"?IN_FOCUS",IF(J698&lt;=2,"?ACTIVATED",IF(J698&lt;&gt;"","?FAMILIAR",IF(F698="NEW",IF(ISNA(VLOOKUP(E698,#REF!,1,FALSE())),"?TYPE_IDENTIFIABLE","?REFERENTIAL"),"_")))))</f>
        <v> </v>
      </c>
      <c r="H698" s="24" t="str">
        <f>IF(J698&lt;&gt;1,"",IF(I698="SBJ","CB","?"))</f>
        <v> </v>
      </c>
      <c r="I698" s="25" t="str">
        <f>IF(OR(E698="",E698="!!!",F698="NEW"),"",INDEX(B697:B$2,-1+SUMPRODUCT(MAX(ROW(E697:E$2)*(E698=E697:E$2)))))</f>
        <v> </v>
      </c>
      <c r="J698" s="25" t="str">
        <f>IF(OR(E698="",E698="!!!",F698="NEW"),"",COUNTBLANK(OFFSET(A$1,,,SUMPRODUCT(MAX(ROW(E$2:E698)*(E698=E$2:E698)))))-COUNTBLANK(OFFSET(A$1,,,SUMPRODUCT(MAX(ROW(E$1:E697)*(E2=E$1:E697))))))</f>
        <v> </v>
      </c>
      <c r="K698" s="25" t="str">
        <f>IF(OR(E698="",E698="!!!",F698="NEW"),"",INDEX(J$1:J697,SUMPRODUCT(MAX(ROW(E$1:E697)*(E698=E$1:E697)))))</f>
        <v> </v>
      </c>
      <c r="L698" s="26"/>
    </row>
    <row r="699" spans="1:12">
      <c r="A699" s="20" t="s">
        <v>594</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349</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595</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455</v>
      </c>
      <c r="B702" s="27" t="s">
        <v>283</v>
      </c>
      <c r="C702" s="27" t="s">
        <v>263</v>
      </c>
      <c r="D702" s="27" t="s">
        <v>244</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303</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596</v>
      </c>
      <c r="B704" s="27" t="s">
        <v>423</v>
      </c>
      <c r="C704" s="27" t="s">
        <v>267</v>
      </c>
      <c r="D704" s="27" t="s">
        <v>244</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360</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556</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557</v>
      </c>
      <c r="B707" s="27" t="s">
        <v>262</v>
      </c>
      <c r="C707" s="27" t="s">
        <v>238</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321</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452</v>
      </c>
      <c r="B709" s="27" t="s">
        <v>597</v>
      </c>
      <c r="C709" s="27" t="s">
        <v>281</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349</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454</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277</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456</v>
      </c>
      <c r="B713" s="27" t="s">
        <v>598</v>
      </c>
      <c r="C713" s="27" t="s">
        <v>279</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305</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599</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277</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472</v>
      </c>
      <c r="B717" s="27" t="s">
        <v>507</v>
      </c>
      <c r="C717" s="27" t="s">
        <v>279</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273</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600</v>
      </c>
      <c r="B719" s="27" t="s">
        <v>506</v>
      </c>
      <c r="C719" s="27" t="s">
        <v>281</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t="s">
        <v>321</v>
      </c>
      <c r="E720" s="21">
        <f>IF(D720="?OLD","!!!","")</f>
        <v/>
      </c>
      <c r="F720" s="22" t="str">
        <f>IF(OR(E720="",E720="!!!"),"",IF(NOT(ISNA(VLOOKUP(E720,E$1:E719,1,FALSE()))),"OLD",IF(AND(E720&lt;&gt;"",E720&lt;&gt;"!!!"),"NEW","")))</f>
        <v> </v>
      </c>
      <c r="G720" s="23" t="str">
        <f>IF(OR(E720="",E720="!!!"),"",IF(OR(J720=0,AND(J720=1,K720=1),AND(J720=1,I720="SBJ"),AND(J720=1,I720=0)),"?IN_FOCUS",IF(J720&lt;=2,"?ACTIVATED",IF(J720&lt;&gt;"","?FAMILIAR",IF(F720="NEW",IF(ISNA(VLOOKUP(E720,#REF!,1,FALSE())),"?TYPE_IDENTIFIABLE","?REFERENTIAL"),"_")))))</f>
        <v> </v>
      </c>
      <c r="H720" s="24" t="str">
        <f>IF(J720&lt;&gt;1,"",IF(I720="SBJ","CB","?"))</f>
        <v> </v>
      </c>
      <c r="I720" s="25" t="str">
        <f>IF(OR(E720="",E720="!!!",F720="NEW"),"",INDEX(B719:B$2,-1+SUMPRODUCT(MAX(ROW(E719:E$2)*(E720=E719:E$2)))))</f>
        <v> </v>
      </c>
      <c r="J720" s="25" t="str">
        <f>IF(OR(E720="",E720="!!!",F720="NEW"),"",COUNTBLANK(OFFSET(A$1,,,SUMPRODUCT(MAX(ROW(E$2:E720)*(E720=E$2:E720)))))-COUNTBLANK(OFFSET(A$1,,,SUMPRODUCT(MAX(ROW(E$1:E719)*(E2=E$1:E719))))))</f>
        <v> </v>
      </c>
      <c r="K720" s="25" t="str">
        <f>IF(OR(E720="",E720="!!!",F720="NEW"),"",INDEX(J$1:J719,SUMPRODUCT(MAX(ROW(E$1:E719)*(E720=E$1:E719)))))</f>
        <v> </v>
      </c>
      <c r="L720" s="26"/>
    </row>
    <row r="721" spans="1:12">
      <c r="A721" s="20" t="s">
        <v>601</v>
      </c>
      <c r="B721" s="27" t="s">
        <v>506</v>
      </c>
      <c r="C721" s="27" t="s">
        <v>281</v>
      </c>
      <c r="E721" s="21">
        <f>IF(D721="?OLD","!!!","")</f>
        <v/>
      </c>
      <c r="F721" s="22" t="str">
        <f>IF(OR(E721="",E721="!!!"),"",IF(NOT(ISNA(VLOOKUP(E721,E$1:E720,1,FALSE()))),"OLD",IF(AND(E721&lt;&gt;"",E721&lt;&gt;"!!!"),"NEW","")))</f>
        <v> </v>
      </c>
      <c r="G721" s="23" t="str">
        <f>IF(OR(E721="",E721="!!!"),"",IF(OR(J721=0,AND(J721=1,K721=1),AND(J721=1,I721="SBJ"),AND(J721=1,I721=0)),"?IN_FOCUS",IF(J721&lt;=2,"?ACTIVATED",IF(J721&lt;&gt;"","?FAMILIAR",IF(F721="NEW",IF(ISNA(VLOOKUP(E721,#REF!,1,FALSE())),"?TYPE_IDENTIFIABLE","?REFERENTIAL"),"_")))))</f>
        <v> </v>
      </c>
      <c r="H721" s="24" t="str">
        <f>IF(J721&lt;&gt;1,"",IF(I721="SBJ","CB","?"))</f>
        <v> </v>
      </c>
      <c r="I721" s="25" t="str">
        <f>IF(OR(E721="",E721="!!!",F721="NEW"),"",INDEX(B720:B$2,-1+SUMPRODUCT(MAX(ROW(E720:E$2)*(E721=E720:E$2)))))</f>
        <v> </v>
      </c>
      <c r="J721" s="25" t="str">
        <f>IF(OR(E721="",E721="!!!",F721="NEW"),"",COUNTBLANK(OFFSET(A$1,,,SUMPRODUCT(MAX(ROW(E$2:E721)*(E721=E$2:E721)))))-COUNTBLANK(OFFSET(A$1,,,SUMPRODUCT(MAX(ROW(E$1:E720)*(E2=E$1:E720))))))</f>
        <v> </v>
      </c>
      <c r="K721" s="25" t="str">
        <f>IF(OR(E721="",E721="!!!",F721="NEW"),"",INDEX(J$1:J720,SUMPRODUCT(MAX(ROW(E$1:E720)*(E721=E$1:E720)))))</f>
        <v> </v>
      </c>
      <c r="L721" s="26"/>
    </row>
    <row r="722" spans="1:12">
      <c r="A722" s="20" t="s">
        <v>285</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row>
    <row r="724" spans="1:12">
      <c r="A724" s="20" t="s">
        <v>602</v>
      </c>
    </row>
    <row r="725" spans="1:12">
      <c r="A725" s="20" t="s">
        <v>399</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254</v>
      </c>
      <c r="B726" s="27" t="s">
        <v>255</v>
      </c>
      <c r="C726" s="27" t="s">
        <v>256</v>
      </c>
      <c r="D726" s="27" t="s">
        <v>244</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603</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377</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254</v>
      </c>
      <c r="B729" s="27" t="s">
        <v>295</v>
      </c>
      <c r="C729" s="27" t="s">
        <v>256</v>
      </c>
      <c r="D729" s="27" t="s">
        <v>244</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390</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254</v>
      </c>
      <c r="B731" s="27" t="s">
        <v>266</v>
      </c>
      <c r="C731" s="27" t="s">
        <v>256</v>
      </c>
      <c r="D731" s="27" t="s">
        <v>244</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268</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604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326</v>
      </c>
      <c r="B734" s="27" t="s">
        <v>329</v>
      </c>
      <c r="C734" s="27" t="s">
        <v>327</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442</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258</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581</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349</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605</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305</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260</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t="s">
        <v>606</v>
      </c>
      <c r="B742" s="27" t="s">
        <v>251</v>
      </c>
      <c r="C742" s="27" t="s">
        <v>334</v>
      </c>
      <c r="D742" s="27" t="s">
        <v>244</v>
      </c>
      <c r="E742" s="21">
        <f>IF(D742="?OLD","!!!","")</f>
        <v/>
      </c>
      <c r="F742" s="22" t="str">
        <f>IF(OR(E742="",E742="!!!"),"",IF(NOT(ISNA(VLOOKUP(E742,E$1:E741,1,FALSE()))),"OLD",IF(AND(E742&lt;&gt;"",E742&lt;&gt;"!!!"),"NEW","")))</f>
        <v> </v>
      </c>
      <c r="G742" s="23" t="str">
        <f>IF(OR(E742="",E742="!!!"),"",IF(OR(J742=0,AND(J742=1,K742=1),AND(J742=1,I742="SBJ"),AND(J742=1,I742=0)),"?IN_FOCUS",IF(J742&lt;=2,"?ACTIVATED",IF(J742&lt;&gt;"","?FAMILIAR",IF(F742="NEW",IF(ISNA(VLOOKUP(E742,#REF!,1,FALSE())),"?TYPE_IDENTIFIABLE","?REFERENTIAL"),"_")))))</f>
        <v> </v>
      </c>
      <c r="H742" s="24" t="str">
        <f>IF(J742&lt;&gt;1,"",IF(I742="SBJ","CB","?"))</f>
        <v> </v>
      </c>
      <c r="I742" s="25" t="str">
        <f>IF(OR(E742="",E742="!!!",F742="NEW"),"",INDEX(B741:B$2,-1+SUMPRODUCT(MAX(ROW(E741:E$2)*(E742=E741:E$2)))))</f>
        <v> </v>
      </c>
      <c r="J742" s="25" t="str">
        <f>IF(OR(E742="",E742="!!!",F742="NEW"),"",COUNTBLANK(OFFSET(A$1,,,SUMPRODUCT(MAX(ROW(E$2:E742)*(E742=E$2:E742)))))-COUNTBLANK(OFFSET(A$1,,,SUMPRODUCT(MAX(ROW(E$1:E741)*(E2=E$1:E741))))))</f>
        <v> </v>
      </c>
      <c r="K742" s="25" t="str">
        <f>IF(OR(E742="",E742="!!!",F742="NEW"),"",INDEX(J$1:J741,SUMPRODUCT(MAX(ROW(E$1:E741)*(E742=E$1:E741)))))</f>
        <v> </v>
      </c>
      <c r="L742" s="26"/>
    </row>
    <row r="743" spans="1:12">
      <c r="A743" s="20" t="s">
        <v>510</v>
      </c>
      <c r="E743" s="21">
        <f>IF(D743="?OLD","!!!","")</f>
        <v/>
      </c>
      <c r="F743" s="22" t="str">
        <f>IF(OR(E743="",E743="!!!"),"",IF(NOT(ISNA(VLOOKUP(E743,E$1:E742,1,FALSE()))),"OLD",IF(AND(E743&lt;&gt;"",E743&lt;&gt;"!!!"),"NEW","")))</f>
        <v> </v>
      </c>
      <c r="G743" s="23" t="str">
        <f>IF(OR(E743="",E743="!!!"),"",IF(OR(J743=0,AND(J743=1,K743=1),AND(J743=1,I743="SBJ"),AND(J743=1,I743=0)),"?IN_FOCUS",IF(J743&lt;=2,"?ACTIVATED",IF(J743&lt;&gt;"","?FAMILIAR",IF(F743="NEW",IF(ISNA(VLOOKUP(E743,#REF!,1,FALSE())),"?TYPE_IDENTIFIABLE","?REFERENTIAL"),"_")))))</f>
        <v> </v>
      </c>
      <c r="H743" s="24" t="str">
        <f>IF(J743&lt;&gt;1,"",IF(I743="SBJ","CB","?"))</f>
        <v> </v>
      </c>
      <c r="I743" s="25" t="str">
        <f>IF(OR(E743="",E743="!!!",F743="NEW"),"",INDEX(B742:B$2,-1+SUMPRODUCT(MAX(ROW(E742:E$2)*(E743=E742:E$2)))))</f>
        <v> </v>
      </c>
      <c r="J743" s="25" t="str">
        <f>IF(OR(E743="",E743="!!!",F743="NEW"),"",COUNTBLANK(OFFSET(A$1,,,SUMPRODUCT(MAX(ROW(E$2:E743)*(E743=E$2:E743)))))-COUNTBLANK(OFFSET(A$1,,,SUMPRODUCT(MAX(ROW(E$1:E742)*(E2=E$1:E742))))))</f>
        <v> </v>
      </c>
      <c r="K743" s="25" t="str">
        <f>IF(OR(E743="",E743="!!!",F743="NEW"),"",INDEX(J$1:J742,SUMPRODUCT(MAX(ROW(E$1:E742)*(E743=E$1:E742)))))</f>
        <v> </v>
      </c>
      <c r="L743" s="26"/>
    </row>
    <row r="744" spans="1:12">
      <c r="A744" s="20" t="s">
        <v>386</v>
      </c>
      <c r="B744" s="27" t="s">
        <v>291</v>
      </c>
      <c r="C744" s="27" t="s">
        <v>281</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314</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397</v>
      </c>
      <c r="B746" s="27" t="s">
        <v>272</v>
      </c>
      <c r="C746" s="27" t="s">
        <v>281</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285</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row>
    <row r="749" spans="1:12">
      <c r="A749" s="20" t="s">
        <v>607</v>
      </c>
    </row>
    <row r="750" spans="1:12">
      <c r="A750" s="20" t="s">
        <v>608</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386</v>
      </c>
      <c r="B751" s="27" t="s">
        <v>255</v>
      </c>
      <c r="C751" s="27" t="s">
        <v>281</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391</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609</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260</v>
      </c>
      <c r="B754" s="27" t="s">
        <v>301</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519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520</v>
      </c>
      <c r="B756" s="27" t="s">
        <v>295</v>
      </c>
      <c r="C756" s="27" t="s">
        <v>238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305</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392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397</v>
      </c>
      <c r="B759" s="27" t="s">
        <v>329</v>
      </c>
      <c r="C759" s="27" t="s">
        <v>281</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391</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610</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260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371</v>
      </c>
      <c r="B763" s="27" t="s">
        <v>361</v>
      </c>
      <c r="C763" s="27" t="s">
        <v>256</v>
      </c>
      <c r="D763" s="27" t="s">
        <v>244</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594</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611</v>
      </c>
      <c r="B765" s="27" t="s">
        <v>364</v>
      </c>
      <c r="C765" s="27" t="s">
        <v>343</v>
      </c>
      <c r="D765" s="27" t="s">
        <v>244</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612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337</v>
      </c>
      <c r="B767" s="27" t="s">
        <v>504</v>
      </c>
      <c r="C767" s="27" t="s">
        <v>256</v>
      </c>
      <c r="D767" s="27" t="s">
        <v>244</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t="s">
        <v>613</v>
      </c>
      <c r="E768" s="21">
        <f>IF(D768="?OLD","!!!","")</f>
        <v/>
      </c>
      <c r="F768" s="22" t="str">
        <f>IF(OR(E768="",E768="!!!"),"",IF(NOT(ISNA(VLOOKUP(E768,E$1:E767,1,FALSE()))),"OLD",IF(AND(E768&lt;&gt;"",E768&lt;&gt;"!!!"),"NEW","")))</f>
        <v> </v>
      </c>
      <c r="G768" s="23" t="str">
        <f>IF(OR(E768="",E768="!!!"),"",IF(OR(J768=0,AND(J768=1,K768=1),AND(J768=1,I768="SBJ"),AND(J768=1,I768=0)),"?IN_FOCUS",IF(J768&lt;=2,"?ACTIVATED",IF(J768&lt;&gt;"","?FAMILIAR",IF(F768="NEW",IF(ISNA(VLOOKUP(E768,#REF!,1,FALSE())),"?TYPE_IDENTIFIABLE","?REFERENTIAL"),"_")))))</f>
        <v> </v>
      </c>
      <c r="H768" s="24" t="str">
        <f>IF(J768&lt;&gt;1,"",IF(I768="SBJ","CB","?"))</f>
        <v> </v>
      </c>
      <c r="I768" s="25" t="str">
        <f>IF(OR(E768="",E768="!!!",F768="NEW"),"",INDEX(B767:B$2,-1+SUMPRODUCT(MAX(ROW(E767:E$2)*(E768=E767:E$2)))))</f>
        <v> </v>
      </c>
      <c r="J768" s="25" t="str">
        <f>IF(OR(E768="",E768="!!!",F768="NEW"),"",COUNTBLANK(OFFSET(A$1,,,SUMPRODUCT(MAX(ROW(E$2:E768)*(E768=E$2:E768)))))-COUNTBLANK(OFFSET(A$1,,,SUMPRODUCT(MAX(ROW(E$1:E767)*(E2=E$1:E767))))))</f>
        <v> </v>
      </c>
      <c r="K768" s="25" t="str">
        <f>IF(OR(E768="",E768="!!!",F768="NEW"),"",INDEX(J$1:J767,SUMPRODUCT(MAX(ROW(E$1:E767)*(E768=E$1:E767)))))</f>
        <v> </v>
      </c>
      <c r="L768" s="26"/>
    </row>
    <row r="769" spans="1:12">
      <c r="A769" s="20" t="s">
        <v>339</v>
      </c>
      <c r="E769" s="21">
        <f>IF(D769="?OLD","!!!","")</f>
        <v/>
      </c>
      <c r="F769" s="22" t="str">
        <f>IF(OR(E769="",E769="!!!"),"",IF(NOT(ISNA(VLOOKUP(E769,E$1:E768,1,FALSE()))),"OLD",IF(AND(E769&lt;&gt;"",E769&lt;&gt;"!!!"),"NEW","")))</f>
        <v> </v>
      </c>
      <c r="G769" s="23" t="str">
        <f>IF(OR(E769="",E769="!!!"),"",IF(OR(J769=0,AND(J769=1,K769=1),AND(J769=1,I769="SBJ"),AND(J769=1,I769=0)),"?IN_FOCUS",IF(J769&lt;=2,"?ACTIVATED",IF(J769&lt;&gt;"","?FAMILIAR",IF(F769="NEW",IF(ISNA(VLOOKUP(E769,#REF!,1,FALSE())),"?TYPE_IDENTIFIABLE","?REFERENTIAL"),"_")))))</f>
        <v> </v>
      </c>
      <c r="H769" s="24" t="str">
        <f>IF(J769&lt;&gt;1,"",IF(I769="SBJ","CB","?"))</f>
        <v> </v>
      </c>
      <c r="I769" s="25" t="str">
        <f>IF(OR(E769="",E769="!!!",F769="NEW"),"",INDEX(B768:B$2,-1+SUMPRODUCT(MAX(ROW(E768:E$2)*(E769=E768:E$2)))))</f>
        <v> </v>
      </c>
      <c r="J769" s="25" t="str">
        <f>IF(OR(E769="",E769="!!!",F769="NEW"),"",COUNTBLANK(OFFSET(A$1,,,SUMPRODUCT(MAX(ROW(E$2:E769)*(E769=E$2:E769)))))-COUNTBLANK(OFFSET(A$1,,,SUMPRODUCT(MAX(ROW(E$1:E768)*(E2=E$1:E768))))))</f>
        <v> </v>
      </c>
      <c r="K769" s="25" t="str">
        <f>IF(OR(E769="",E769="!!!",F769="NEW"),"",INDEX(J$1:J768,SUMPRODUCT(MAX(ROW(E$1:E768)*(E769=E$1:E768)))))</f>
        <v> </v>
      </c>
      <c r="L769" s="26"/>
    </row>
    <row r="770" spans="1:12">
      <c r="A770" s="20" t="s">
        <v>614</v>
      </c>
      <c r="E770" s="21">
        <f>IF(D770="?OLD","!!!","")</f>
        <v/>
      </c>
      <c r="F770" s="22" t="str">
        <f>IF(OR(E770="",E770="!!!"),"",IF(NOT(ISNA(VLOOKUP(E770,E$1:E769,1,FALSE()))),"OLD",IF(AND(E770&lt;&gt;"",E770&lt;&gt;"!!!"),"NEW","")))</f>
        <v> </v>
      </c>
      <c r="G770" s="23" t="str">
        <f>IF(OR(E770="",E770="!!!"),"",IF(OR(J770=0,AND(J770=1,K770=1),AND(J770=1,I770="SBJ"),AND(J770=1,I770=0)),"?IN_FOCUS",IF(J770&lt;=2,"?ACTIVATED",IF(J770&lt;&gt;"","?FAMILIAR",IF(F770="NEW",IF(ISNA(VLOOKUP(E770,#REF!,1,FALSE())),"?TYPE_IDENTIFIABLE","?REFERENTIAL"),"_")))))</f>
        <v> </v>
      </c>
      <c r="H770" s="24" t="str">
        <f>IF(J770&lt;&gt;1,"",IF(I770="SBJ","CB","?"))</f>
        <v> </v>
      </c>
      <c r="I770" s="25" t="str">
        <f>IF(OR(E770="",E770="!!!",F770="NEW"),"",INDEX(B769:B$2,-1+SUMPRODUCT(MAX(ROW(E769:E$2)*(E770=E769:E$2)))))</f>
        <v> </v>
      </c>
      <c r="J770" s="25" t="str">
        <f>IF(OR(E770="",E770="!!!",F770="NEW"),"",COUNTBLANK(OFFSET(A$1,,,SUMPRODUCT(MAX(ROW(E$2:E770)*(E770=E$2:E770)))))-COUNTBLANK(OFFSET(A$1,,,SUMPRODUCT(MAX(ROW(E$1:E769)*(E2=E$1:E769))))))</f>
        <v> </v>
      </c>
      <c r="K770" s="25" t="str">
        <f>IF(OR(E770="",E770="!!!",F770="NEW"),"",INDEX(J$1:J769,SUMPRODUCT(MAX(ROW(E$1:E769)*(E770=E$1:E769)))))</f>
        <v> </v>
      </c>
      <c r="L770" s="26"/>
    </row>
    <row r="771" spans="1:12">
      <c r="A771" s="20" t="s">
        <v>371</v>
      </c>
      <c r="B771" s="27" t="s">
        <v>598</v>
      </c>
      <c r="C771" s="27" t="s">
        <v>256</v>
      </c>
      <c r="D771" s="27" t="s">
        <v>244</v>
      </c>
      <c r="E771" s="21">
        <f>IF(D771="?OLD","!!!","")</f>
        <v/>
      </c>
      <c r="F771" s="22" t="str">
        <f>IF(OR(E771="",E771="!!!"),"",IF(NOT(ISNA(VLOOKUP(E771,E$1:E770,1,FALSE()))),"OLD",IF(AND(E771&lt;&gt;"",E771&lt;&gt;"!!!"),"NEW","")))</f>
        <v> </v>
      </c>
      <c r="G771" s="23" t="str">
        <f>IF(OR(E771="",E771="!!!"),"",IF(OR(J771=0,AND(J771=1,K771=1),AND(J771=1,I771="SBJ"),AND(J771=1,I771=0)),"?IN_FOCUS",IF(J771&lt;=2,"?ACTIVATED",IF(J771&lt;&gt;"","?FAMILIAR",IF(F771="NEW",IF(ISNA(VLOOKUP(E771,#REF!,1,FALSE())),"?TYPE_IDENTIFIABLE","?REFERENTIAL"),"_")))))</f>
        <v> </v>
      </c>
      <c r="H771" s="24" t="str">
        <f>IF(J771&lt;&gt;1,"",IF(I771="SBJ","CB","?"))</f>
        <v> </v>
      </c>
      <c r="I771" s="25" t="str">
        <f>IF(OR(E771="",E771="!!!",F771="NEW"),"",INDEX(B770:B$2,-1+SUMPRODUCT(MAX(ROW(E770:E$2)*(E771=E770:E$2)))))</f>
        <v> </v>
      </c>
      <c r="J771" s="25" t="str">
        <f>IF(OR(E771="",E771="!!!",F771="NEW"),"",COUNTBLANK(OFFSET(A$1,,,SUMPRODUCT(MAX(ROW(E$2:E771)*(E771=E$2:E771)))))-COUNTBLANK(OFFSET(A$1,,,SUMPRODUCT(MAX(ROW(E$1:E770)*(E2=E$1:E770))))))</f>
        <v> </v>
      </c>
      <c r="K771" s="25" t="str">
        <f>IF(OR(E771="",E771="!!!",F771="NEW"),"",INDEX(J$1:J770,SUMPRODUCT(MAX(ROW(E$1:E770)*(E771=E$1:E770)))))</f>
        <v> </v>
      </c>
      <c r="L771" s="26"/>
    </row>
    <row r="772" spans="1:12">
      <c r="A772" s="20" t="s">
        <v>319</v>
      </c>
      <c r="E772" s="21">
        <f>IF(D772="?OLD","!!!","")</f>
        <v/>
      </c>
      <c r="F772" s="22" t="str">
        <f>IF(OR(E772="",E772="!!!"),"",IF(NOT(ISNA(VLOOKUP(E772,E$1:E771,1,FALSE()))),"OLD",IF(AND(E772&lt;&gt;"",E772&lt;&gt;"!!!"),"NEW","")))</f>
        <v> </v>
      </c>
      <c r="G772" s="23" t="str">
        <f>IF(OR(E772="",E772="!!!"),"",IF(OR(J772=0,AND(J772=1,K772=1),AND(J772=1,I772="SBJ"),AND(J772=1,I772=0)),"?IN_FOCUS",IF(J772&lt;=2,"?ACTIVATED",IF(J772&lt;&gt;"","?FAMILIAR",IF(F772="NEW",IF(ISNA(VLOOKUP(E772,#REF!,1,FALSE())),"?TYPE_IDENTIFIABLE","?REFERENTIAL"),"_")))))</f>
        <v> </v>
      </c>
      <c r="H772" s="24" t="str">
        <f>IF(J772&lt;&gt;1,"",IF(I772="SBJ","CB","?"))</f>
        <v> </v>
      </c>
      <c r="I772" s="25" t="str">
        <f>IF(OR(E772="",E772="!!!",F772="NEW"),"",INDEX(B771:B$2,-1+SUMPRODUCT(MAX(ROW(E771:E$2)*(E772=E771:E$2)))))</f>
        <v> </v>
      </c>
      <c r="J772" s="25" t="str">
        <f>IF(OR(E772="",E772="!!!",F772="NEW"),"",COUNTBLANK(OFFSET(A$1,,,SUMPRODUCT(MAX(ROW(E$2:E772)*(E772=E$2:E772)))))-COUNTBLANK(OFFSET(A$1,,,SUMPRODUCT(MAX(ROW(E$1:E771)*(E2=E$1:E771))))))</f>
        <v> </v>
      </c>
      <c r="K772" s="25" t="str">
        <f>IF(OR(E772="",E772="!!!",F772="NEW"),"",INDEX(J$1:J771,SUMPRODUCT(MAX(ROW(E$1:E771)*(E772=E$1:E771)))))</f>
        <v> </v>
      </c>
      <c r="L772" s="26"/>
    </row>
    <row r="773" spans="1:12">
      <c r="A773" s="20" t="s">
        <v>314</v>
      </c>
      <c r="E773" s="21">
        <f>IF(D773="?OLD","!!!","")</f>
        <v/>
      </c>
      <c r="F773" s="22" t="str">
        <f>IF(OR(E773="",E773="!!!"),"",IF(NOT(ISNA(VLOOKUP(E773,E$1:E772,1,FALSE()))),"OLD",IF(AND(E773&lt;&gt;"",E773&lt;&gt;"!!!"),"NEW","")))</f>
        <v> </v>
      </c>
      <c r="G773" s="23" t="str">
        <f>IF(OR(E773="",E773="!!!"),"",IF(OR(J773=0,AND(J773=1,K773=1),AND(J773=1,I773="SBJ"),AND(J773=1,I773=0)),"?IN_FOCUS",IF(J773&lt;=2,"?ACTIVATED",IF(J773&lt;&gt;"","?FAMILIAR",IF(F773="NEW",IF(ISNA(VLOOKUP(E773,#REF!,1,FALSE())),"?TYPE_IDENTIFIABLE","?REFERENTIAL"),"_")))))</f>
        <v> </v>
      </c>
      <c r="H773" s="24" t="str">
        <f>IF(J773&lt;&gt;1,"",IF(I773="SBJ","CB","?"))</f>
        <v> </v>
      </c>
      <c r="I773" s="25" t="str">
        <f>IF(OR(E773="",E773="!!!",F773="NEW"),"",INDEX(B772:B$2,-1+SUMPRODUCT(MAX(ROW(E772:E$2)*(E773=E772:E$2)))))</f>
        <v> </v>
      </c>
      <c r="J773" s="25" t="str">
        <f>IF(OR(E773="",E773="!!!",F773="NEW"),"",COUNTBLANK(OFFSET(A$1,,,SUMPRODUCT(MAX(ROW(E$2:E773)*(E773=E$2:E773)))))-COUNTBLANK(OFFSET(A$1,,,SUMPRODUCT(MAX(ROW(E$1:E772)*(E2=E$1:E772))))))</f>
        <v> </v>
      </c>
      <c r="K773" s="25" t="str">
        <f>IF(OR(E773="",E773="!!!",F773="NEW"),"",INDEX(J$1:J772,SUMPRODUCT(MAX(ROW(E$1:E772)*(E773=E$1:E772)))))</f>
        <v> </v>
      </c>
      <c r="L773" s="26"/>
    </row>
    <row r="774" spans="1:12">
      <c r="A774" s="20" t="s">
        <v>319</v>
      </c>
      <c r="E774" s="21">
        <f>IF(D774="?OLD","!!!","")</f>
        <v/>
      </c>
      <c r="F774" s="22" t="str">
        <f>IF(OR(E774="",E774="!!!"),"",IF(NOT(ISNA(VLOOKUP(E774,E$1:E773,1,FALSE()))),"OLD",IF(AND(E774&lt;&gt;"",E774&lt;&gt;"!!!"),"NEW","")))</f>
        <v> </v>
      </c>
      <c r="G774" s="23" t="str">
        <f>IF(OR(E774="",E774="!!!"),"",IF(OR(J774=0,AND(J774=1,K774=1),AND(J774=1,I774="SBJ"),AND(J774=1,I774=0)),"?IN_FOCUS",IF(J774&lt;=2,"?ACTIVATED",IF(J774&lt;&gt;"","?FAMILIAR",IF(F774="NEW",IF(ISNA(VLOOKUP(E774,#REF!,1,FALSE())),"?TYPE_IDENTIFIABLE","?REFERENTIAL"),"_")))))</f>
        <v> </v>
      </c>
      <c r="H774" s="24" t="str">
        <f>IF(J774&lt;&gt;1,"",IF(I774="SBJ","CB","?"))</f>
        <v> </v>
      </c>
      <c r="I774" s="25" t="str">
        <f>IF(OR(E774="",E774="!!!",F774="NEW"),"",INDEX(B773:B$2,-1+SUMPRODUCT(MAX(ROW(E773:E$2)*(E774=E773:E$2)))))</f>
        <v> </v>
      </c>
      <c r="J774" s="25" t="str">
        <f>IF(OR(E774="",E774="!!!",F774="NEW"),"",COUNTBLANK(OFFSET(A$1,,,SUMPRODUCT(MAX(ROW(E$2:E774)*(E774=E$2:E774)))))-COUNTBLANK(OFFSET(A$1,,,SUMPRODUCT(MAX(ROW(E$1:E773)*(E2=E$1:E773))))))</f>
        <v> </v>
      </c>
      <c r="K774" s="25" t="str">
        <f>IF(OR(E774="",E774="!!!",F774="NEW"),"",INDEX(J$1:J773,SUMPRODUCT(MAX(ROW(E$1:E773)*(E774=E$1:E773)))))</f>
        <v> </v>
      </c>
      <c r="L774" s="26"/>
    </row>
    <row r="775" spans="1:12">
      <c r="A775" s="20" t="s">
        <v>285</v>
      </c>
      <c r="E775" s="21">
        <f>IF(D775="?OLD","!!!","")</f>
        <v/>
      </c>
      <c r="F775" s="22" t="str">
        <f>IF(OR(E775="",E775="!!!"),"",IF(NOT(ISNA(VLOOKUP(E775,E$1:E774,1,FALSE()))),"OLD",IF(AND(E775&lt;&gt;"",E775&lt;&gt;"!!!"),"NEW","")))</f>
        <v> </v>
      </c>
      <c r="G775" s="23" t="str">
        <f>IF(OR(E775="",E775="!!!"),"",IF(OR(J775=0,AND(J775=1,K775=1),AND(J775=1,I775="SBJ"),AND(J775=1,I775=0)),"?IN_FOCUS",IF(J775&lt;=2,"?ACTIVATED",IF(J775&lt;&gt;"","?FAMILIAR",IF(F775="NEW",IF(ISNA(VLOOKUP(E775,#REF!,1,FALSE())),"?TYPE_IDENTIFIABLE","?REFERENTIAL"),"_")))))</f>
        <v> </v>
      </c>
      <c r="H775" s="24" t="str">
        <f>IF(J775&lt;&gt;1,"",IF(I775="SBJ","CB","?"))</f>
        <v> </v>
      </c>
      <c r="I775" s="25" t="str">
        <f>IF(OR(E775="",E775="!!!",F775="NEW"),"",INDEX(B774:B$2,-1+SUMPRODUCT(MAX(ROW(E774:E$2)*(E775=E774:E$2)))))</f>
        <v> </v>
      </c>
      <c r="J775" s="25" t="str">
        <f>IF(OR(E775="",E775="!!!",F775="NEW"),"",COUNTBLANK(OFFSET(A$1,,,SUMPRODUCT(MAX(ROW(E$2:E775)*(E775=E$2:E775)))))-COUNTBLANK(OFFSET(A$1,,,SUMPRODUCT(MAX(ROW(E$1:E774)*(E2=E$1:E774))))))</f>
        <v> </v>
      </c>
      <c r="K775" s="25" t="str">
        <f>IF(OR(E775="",E775="!!!",F775="NEW"),"",INDEX(J$1:J774,SUMPRODUCT(MAX(ROW(E$1:E774)*(E775=E$1:E774)))))</f>
        <v> </v>
      </c>
      <c r="L775" s="26"/>
    </row>
    <row r="776" spans="1:12">
      <c r="A776" s="20"/>
    </row>
    <row r="777" spans="1:12">
      <c r="A777" s="20" t="s">
        <v>615</v>
      </c>
    </row>
    <row r="778" spans="1:12">
      <c r="A778" s="20" t="s">
        <v>616</v>
      </c>
      <c r="B778" s="27" t="s">
        <v>255</v>
      </c>
      <c r="C778" s="27" t="s">
        <v>281</v>
      </c>
      <c r="E778" s="21">
        <f>IF(D778="?OLD","!!!","")</f>
        <v/>
      </c>
      <c r="F778" s="22" t="str">
        <f>IF(OR(E778="",E778="!!!"),"",IF(NOT(ISNA(VLOOKUP(E778,E$1:E777,1,FALSE()))),"OLD",IF(AND(E778&lt;&gt;"",E778&lt;&gt;"!!!"),"NEW","")))</f>
        <v> </v>
      </c>
      <c r="G778" s="23" t="str">
        <f>IF(OR(E778="",E778="!!!"),"",IF(OR(J778=0,AND(J778=1,K778=1),AND(J778=1,I778="SBJ"),AND(J778=1,I778=0)),"?IN_FOCUS",IF(J778&lt;=2,"?ACTIVATED",IF(J778&lt;&gt;"","?FAMILIAR",IF(F778="NEW",IF(ISNA(VLOOKUP(E778,#REF!,1,FALSE())),"?TYPE_IDENTIFIABLE","?REFERENTIAL"),"_")))))</f>
        <v> </v>
      </c>
      <c r="H778" s="24" t="str">
        <f>IF(J778&lt;&gt;1,"",IF(I778="SBJ","CB","?"))</f>
        <v> </v>
      </c>
      <c r="I778" s="25" t="str">
        <f>IF(OR(E778="",E778="!!!",F778="NEW"),"",INDEX(B777:B$2,-1+SUMPRODUCT(MAX(ROW(E777:E$2)*(E778=E777:E$2)))))</f>
        <v> </v>
      </c>
      <c r="J778" s="25" t="str">
        <f>IF(OR(E778="",E778="!!!",F778="NEW"),"",COUNTBLANK(OFFSET(A$1,,,SUMPRODUCT(MAX(ROW(E$2:E778)*(E778=E$2:E778)))))-COUNTBLANK(OFFSET(A$1,,,SUMPRODUCT(MAX(ROW(E$1:E777)*(E2=E$1:E777))))))</f>
        <v> </v>
      </c>
      <c r="K778" s="25" t="str">
        <f>IF(OR(E778="",E778="!!!",F778="NEW"),"",INDEX(J$1:J777,SUMPRODUCT(MAX(ROW(E$1:E777)*(E778=E$1:E777)))))</f>
        <v> </v>
      </c>
      <c r="L778" s="26"/>
    </row>
    <row r="779" spans="1:12">
      <c r="A779" s="20" t="s">
        <v>391</v>
      </c>
      <c r="E779" s="21">
        <f>IF(D779="?OLD","!!!","")</f>
        <v/>
      </c>
      <c r="F779" s="22" t="str">
        <f>IF(OR(E779="",E779="!!!"),"",IF(NOT(ISNA(VLOOKUP(E779,E$1:E778,1,FALSE()))),"OLD",IF(AND(E779&lt;&gt;"",E779&lt;&gt;"!!!"),"NEW","")))</f>
        <v> </v>
      </c>
      <c r="G779" s="23" t="str">
        <f>IF(OR(E779="",E779="!!!"),"",IF(OR(J779=0,AND(J779=1,K779=1),AND(J779=1,I779="SBJ"),AND(J779=1,I779=0)),"?IN_FOCUS",IF(J779&lt;=2,"?ACTIVATED",IF(J779&lt;&gt;"","?FAMILIAR",IF(F779="NEW",IF(ISNA(VLOOKUP(E779,#REF!,1,FALSE())),"?TYPE_IDENTIFIABLE","?REFERENTIAL"),"_")))))</f>
        <v> </v>
      </c>
      <c r="H779" s="24" t="str">
        <f>IF(J779&lt;&gt;1,"",IF(I779="SBJ","CB","?"))</f>
        <v> </v>
      </c>
      <c r="I779" s="25" t="str">
        <f>IF(OR(E779="",E779="!!!",F779="NEW"),"",INDEX(B778:B$2,-1+SUMPRODUCT(MAX(ROW(E778:E$2)*(E779=E778:E$2)))))</f>
        <v> </v>
      </c>
      <c r="J779" s="25" t="str">
        <f>IF(OR(E779="",E779="!!!",F779="NEW"),"",COUNTBLANK(OFFSET(A$1,,,SUMPRODUCT(MAX(ROW(E$2:E779)*(E779=E$2:E779)))))-COUNTBLANK(OFFSET(A$1,,,SUMPRODUCT(MAX(ROW(E$1:E778)*(E2=E$1:E778))))))</f>
        <v> </v>
      </c>
      <c r="K779" s="25" t="str">
        <f>IF(OR(E779="",E779="!!!",F779="NEW"),"",INDEX(J$1:J778,SUMPRODUCT(MAX(ROW(E$1:E778)*(E779=E$1:E778)))))</f>
        <v> </v>
      </c>
      <c r="L779" s="26"/>
    </row>
    <row r="780" spans="1:12">
      <c r="A780" s="20" t="s">
        <v>345</v>
      </c>
      <c r="E780" s="21">
        <f>IF(D780="?OLD","!!!","")</f>
        <v/>
      </c>
      <c r="F780" s="22" t="str">
        <f>IF(OR(E780="",E780="!!!"),"",IF(NOT(ISNA(VLOOKUP(E780,E$1:E779,1,FALSE()))),"OLD",IF(AND(E780&lt;&gt;"",E780&lt;&gt;"!!!"),"NEW","")))</f>
        <v> </v>
      </c>
      <c r="G780" s="23" t="str">
        <f>IF(OR(E780="",E780="!!!"),"",IF(OR(J780=0,AND(J780=1,K780=1),AND(J780=1,I780="SBJ"),AND(J780=1,I780=0)),"?IN_FOCUS",IF(J780&lt;=2,"?ACTIVATED",IF(J780&lt;&gt;"","?FAMILIAR",IF(F780="NEW",IF(ISNA(VLOOKUP(E780,#REF!,1,FALSE())),"?TYPE_IDENTIFIABLE","?REFERENTIAL"),"_")))))</f>
        <v> </v>
      </c>
      <c r="H780" s="24" t="str">
        <f>IF(J780&lt;&gt;1,"",IF(I780="SBJ","CB","?"))</f>
        <v> </v>
      </c>
      <c r="I780" s="25" t="str">
        <f>IF(OR(E780="",E780="!!!",F780="NEW"),"",INDEX(B779:B$2,-1+SUMPRODUCT(MAX(ROW(E779:E$2)*(E780=E779:E$2)))))</f>
        <v> </v>
      </c>
      <c r="J780" s="25" t="str">
        <f>IF(OR(E780="",E780="!!!",F780="NEW"),"",COUNTBLANK(OFFSET(A$1,,,SUMPRODUCT(MAX(ROW(E$2:E780)*(E780=E$2:E780)))))-COUNTBLANK(OFFSET(A$1,,,SUMPRODUCT(MAX(ROW(E$1:E779)*(E2=E$1:E779))))))</f>
        <v> </v>
      </c>
      <c r="K780" s="25" t="str">
        <f>IF(OR(E780="",E780="!!!",F780="NEW"),"",INDEX(J$1:J779,SUMPRODUCT(MAX(ROW(E$1:E779)*(E780=E$1:E779)))))</f>
        <v> </v>
      </c>
      <c r="L780" s="26"/>
    </row>
    <row r="781" spans="1:12">
      <c r="A781" s="20" t="s">
        <v>565</v>
      </c>
      <c r="E781" s="21">
        <f>IF(D781="?OLD","!!!","")</f>
        <v/>
      </c>
      <c r="F781" s="22" t="str">
        <f>IF(OR(E781="",E781="!!!"),"",IF(NOT(ISNA(VLOOKUP(E781,E$1:E780,1,FALSE()))),"OLD",IF(AND(E781&lt;&gt;"",E781&lt;&gt;"!!!"),"NEW","")))</f>
        <v> </v>
      </c>
      <c r="G781" s="23" t="str">
        <f>IF(OR(E781="",E781="!!!"),"",IF(OR(J781=0,AND(J781=1,K781=1),AND(J781=1,I781="SBJ"),AND(J781=1,I781=0)),"?IN_FOCUS",IF(J781&lt;=2,"?ACTIVATED",IF(J781&lt;&gt;"","?FAMILIAR",IF(F781="NEW",IF(ISNA(VLOOKUP(E781,#REF!,1,FALSE())),"?TYPE_IDENTIFIABLE","?REFERENTIAL"),"_")))))</f>
        <v> </v>
      </c>
      <c r="H781" s="24" t="str">
        <f>IF(J781&lt;&gt;1,"",IF(I781="SBJ","CB","?"))</f>
        <v> </v>
      </c>
      <c r="I781" s="25" t="str">
        <f>IF(OR(E781="",E781="!!!",F781="NEW"),"",INDEX(B780:B$2,-1+SUMPRODUCT(MAX(ROW(E780:E$2)*(E781=E780:E$2)))))</f>
        <v> </v>
      </c>
      <c r="J781" s="25" t="str">
        <f>IF(OR(E781="",E781="!!!",F781="NEW"),"",COUNTBLANK(OFFSET(A$1,,,SUMPRODUCT(MAX(ROW(E$2:E781)*(E781=E$2:E781)))))-COUNTBLANK(OFFSET(A$1,,,SUMPRODUCT(MAX(ROW(E$1:E780)*(E2=E$1:E780))))))</f>
        <v> </v>
      </c>
      <c r="K781" s="25" t="str">
        <f>IF(OR(E781="",E781="!!!",F781="NEW"),"",INDEX(J$1:J780,SUMPRODUCT(MAX(ROW(E$1:E780)*(E781=E$1:E780)))))</f>
        <v> </v>
      </c>
      <c r="L781" s="26"/>
    </row>
    <row r="782" spans="1:12">
      <c r="A782" s="20" t="s">
        <v>248</v>
      </c>
      <c r="E782" s="21">
        <f>IF(D782="?OLD","!!!","")</f>
        <v/>
      </c>
      <c r="F782" s="22" t="str">
        <f>IF(OR(E782="",E782="!!!"),"",IF(NOT(ISNA(VLOOKUP(E782,E$1:E781,1,FALSE()))),"OLD",IF(AND(E782&lt;&gt;"",E782&lt;&gt;"!!!"),"NEW","")))</f>
        <v> </v>
      </c>
      <c r="G782" s="23" t="str">
        <f>IF(OR(E782="",E782="!!!"),"",IF(OR(J782=0,AND(J782=1,K782=1),AND(J782=1,I782="SBJ"),AND(J782=1,I782=0)),"?IN_FOCUS",IF(J782&lt;=2,"?ACTIVATED",IF(J782&lt;&gt;"","?FAMILIAR",IF(F782="NEW",IF(ISNA(VLOOKUP(E782,#REF!,1,FALSE())),"?TYPE_IDENTIFIABLE","?REFERENTIAL"),"_")))))</f>
        <v> </v>
      </c>
      <c r="H782" s="24" t="str">
        <f>IF(J782&lt;&gt;1,"",IF(I782="SBJ","CB","?"))</f>
        <v> </v>
      </c>
      <c r="I782" s="25" t="str">
        <f>IF(OR(E782="",E782="!!!",F782="NEW"),"",INDEX(B781:B$2,-1+SUMPRODUCT(MAX(ROW(E781:E$2)*(E782=E781:E$2)))))</f>
        <v> </v>
      </c>
      <c r="J782" s="25" t="str">
        <f>IF(OR(E782="",E782="!!!",F782="NEW"),"",COUNTBLANK(OFFSET(A$1,,,SUMPRODUCT(MAX(ROW(E$2:E782)*(E782=E$2:E782)))))-COUNTBLANK(OFFSET(A$1,,,SUMPRODUCT(MAX(ROW(E$1:E781)*(E2=E$1:E781))))))</f>
        <v> </v>
      </c>
      <c r="K782" s="25" t="str">
        <f>IF(OR(E782="",E782="!!!",F782="NEW"),"",INDEX(J$1:J781,SUMPRODUCT(MAX(ROW(E$1:E781)*(E782=E$1:E781)))))</f>
        <v> </v>
      </c>
      <c r="L782" s="26"/>
    </row>
    <row r="783" spans="1:12">
      <c r="A783" s="20" t="s">
        <v>617</v>
      </c>
      <c r="E783" s="21">
        <f>IF(D783="?OLD","!!!","")</f>
        <v/>
      </c>
      <c r="F783" s="22" t="str">
        <f>IF(OR(E783="",E783="!!!"),"",IF(NOT(ISNA(VLOOKUP(E783,E$1:E782,1,FALSE()))),"OLD",IF(AND(E783&lt;&gt;"",E783&lt;&gt;"!!!"),"NEW","")))</f>
        <v> </v>
      </c>
      <c r="G783" s="23" t="str">
        <f>IF(OR(E783="",E783="!!!"),"",IF(OR(J783=0,AND(J783=1,K783=1),AND(J783=1,I783="SBJ"),AND(J783=1,I783=0)),"?IN_FOCUS",IF(J783&lt;=2,"?ACTIVATED",IF(J783&lt;&gt;"","?FAMILIAR",IF(F783="NEW",IF(ISNA(VLOOKUP(E783,#REF!,1,FALSE())),"?TYPE_IDENTIFIABLE","?REFERENTIAL"),"_")))))</f>
        <v> </v>
      </c>
      <c r="H783" s="24" t="str">
        <f>IF(J783&lt;&gt;1,"",IF(I783="SBJ","CB","?"))</f>
        <v> </v>
      </c>
      <c r="I783" s="25" t="str">
        <f>IF(OR(E783="",E783="!!!",F783="NEW"),"",INDEX(B782:B$2,-1+SUMPRODUCT(MAX(ROW(E782:E$2)*(E783=E782:E$2)))))</f>
        <v> </v>
      </c>
      <c r="J783" s="25" t="str">
        <f>IF(OR(E783="",E783="!!!",F783="NEW"),"",COUNTBLANK(OFFSET(A$1,,,SUMPRODUCT(MAX(ROW(E$2:E783)*(E783=E$2:E783)))))-COUNTBLANK(OFFSET(A$1,,,SUMPRODUCT(MAX(ROW(E$1:E782)*(E2=E$1:E782))))))</f>
        <v> </v>
      </c>
      <c r="K783" s="25" t="str">
        <f>IF(OR(E783="",E783="!!!",F783="NEW"),"",INDEX(J$1:J782,SUMPRODUCT(MAX(ROW(E$1:E782)*(E783=E$1:E782)))))</f>
        <v> </v>
      </c>
      <c r="L783" s="26"/>
    </row>
    <row r="784" spans="1:12">
      <c r="A784" s="20" t="s">
        <v>436</v>
      </c>
      <c r="E784" s="21">
        <f>IF(D784="?OLD","!!!","")</f>
        <v/>
      </c>
      <c r="F784" s="22" t="str">
        <f>IF(OR(E784="",E784="!!!"),"",IF(NOT(ISNA(VLOOKUP(E784,E$1:E783,1,FALSE()))),"OLD",IF(AND(E784&lt;&gt;"",E784&lt;&gt;"!!!"),"NEW","")))</f>
        <v> </v>
      </c>
      <c r="G784" s="23" t="str">
        <f>IF(OR(E784="",E784="!!!"),"",IF(OR(J784=0,AND(J784=1,K784=1),AND(J784=1,I784="SBJ"),AND(J784=1,I784=0)),"?IN_FOCUS",IF(J784&lt;=2,"?ACTIVATED",IF(J784&lt;&gt;"","?FAMILIAR",IF(F784="NEW",IF(ISNA(VLOOKUP(E784,#REF!,1,FALSE())),"?TYPE_IDENTIFIABLE","?REFERENTIAL"),"_")))))</f>
        <v> </v>
      </c>
      <c r="H784" s="24" t="str">
        <f>IF(J784&lt;&gt;1,"",IF(I784="SBJ","CB","?"))</f>
        <v> </v>
      </c>
      <c r="I784" s="25" t="str">
        <f>IF(OR(E784="",E784="!!!",F784="NEW"),"",INDEX(B783:B$2,-1+SUMPRODUCT(MAX(ROW(E783:E$2)*(E784=E783:E$2)))))</f>
        <v> </v>
      </c>
      <c r="J784" s="25" t="str">
        <f>IF(OR(E784="",E784="!!!",F784="NEW"),"",COUNTBLANK(OFFSET(A$1,,,SUMPRODUCT(MAX(ROW(E$2:E784)*(E784=E$2:E784)))))-COUNTBLANK(OFFSET(A$1,,,SUMPRODUCT(MAX(ROW(E$1:E783)*(E2=E$1:E783))))))</f>
        <v> </v>
      </c>
      <c r="K784" s="25" t="str">
        <f>IF(OR(E784="",E784="!!!",F784="NEW"),"",INDEX(J$1:J783,SUMPRODUCT(MAX(ROW(E$1:E783)*(E784=E$1:E783)))))</f>
        <v> </v>
      </c>
      <c r="L784" s="26"/>
    </row>
    <row r="785" spans="1:12">
      <c r="A785" s="20" t="s">
        <v>600</v>
      </c>
      <c r="B785" s="27" t="s">
        <v>237</v>
      </c>
      <c r="C785" s="27" t="s">
        <v>281</v>
      </c>
      <c r="E785" s="21">
        <f>IF(D785="?OLD","!!!","")</f>
        <v/>
      </c>
      <c r="F785" s="22" t="str">
        <f>IF(OR(E785="",E785="!!!"),"",IF(NOT(ISNA(VLOOKUP(E785,E$1:E784,1,FALSE()))),"OLD",IF(AND(E785&lt;&gt;"",E785&lt;&gt;"!!!"),"NEW","")))</f>
        <v> </v>
      </c>
      <c r="G785" s="23" t="str">
        <f>IF(OR(E785="",E785="!!!"),"",IF(OR(J785=0,AND(J785=1,K785=1),AND(J785=1,I785="SBJ"),AND(J785=1,I785=0)),"?IN_FOCUS",IF(J785&lt;=2,"?ACTIVATED",IF(J785&lt;&gt;"","?FAMILIAR",IF(F785="NEW",IF(ISNA(VLOOKUP(E785,#REF!,1,FALSE())),"?TYPE_IDENTIFIABLE","?REFERENTIAL"),"_")))))</f>
        <v> </v>
      </c>
      <c r="H785" s="24" t="str">
        <f>IF(J785&lt;&gt;1,"",IF(I785="SBJ","CB","?"))</f>
        <v> </v>
      </c>
      <c r="I785" s="25" t="str">
        <f>IF(OR(E785="",E785="!!!",F785="NEW"),"",INDEX(B784:B$2,-1+SUMPRODUCT(MAX(ROW(E784:E$2)*(E785=E784:E$2)))))</f>
        <v> </v>
      </c>
      <c r="J785" s="25" t="str">
        <f>IF(OR(E785="",E785="!!!",F785="NEW"),"",COUNTBLANK(OFFSET(A$1,,,SUMPRODUCT(MAX(ROW(E$2:E785)*(E785=E$2:E785)))))-COUNTBLANK(OFFSET(A$1,,,SUMPRODUCT(MAX(ROW(E$1:E784)*(E2=E$1:E784))))))</f>
        <v> </v>
      </c>
      <c r="K785" s="25" t="str">
        <f>IF(OR(E785="",E785="!!!",F785="NEW"),"",INDEX(J$1:J784,SUMPRODUCT(MAX(ROW(E$1:E784)*(E785=E$1:E784)))))</f>
        <v> </v>
      </c>
      <c r="L785" s="26"/>
    </row>
    <row r="786" spans="1:12">
      <c r="A786" s="20" t="s">
        <v>305</v>
      </c>
      <c r="E786" s="21">
        <f>IF(D786="?OLD","!!!","")</f>
        <v/>
      </c>
      <c r="F786" s="22" t="str">
        <f>IF(OR(E786="",E786="!!!"),"",IF(NOT(ISNA(VLOOKUP(E786,E$1:E785,1,FALSE()))),"OLD",IF(AND(E786&lt;&gt;"",E786&lt;&gt;"!!!"),"NEW","")))</f>
        <v> </v>
      </c>
      <c r="G786" s="23" t="str">
        <f>IF(OR(E786="",E786="!!!"),"",IF(OR(J786=0,AND(J786=1,K786=1),AND(J786=1,I786="SBJ"),AND(J786=1,I786=0)),"?IN_FOCUS",IF(J786&lt;=2,"?ACTIVATED",IF(J786&lt;&gt;"","?FAMILIAR",IF(F786="NEW",IF(ISNA(VLOOKUP(E786,#REF!,1,FALSE())),"?TYPE_IDENTIFIABLE","?REFERENTIAL"),"_")))))</f>
        <v> </v>
      </c>
      <c r="H786" s="24" t="str">
        <f>IF(J786&lt;&gt;1,"",IF(I786="SBJ","CB","?"))</f>
        <v> </v>
      </c>
      <c r="I786" s="25" t="str">
        <f>IF(OR(E786="",E786="!!!",F786="NEW"),"",INDEX(B785:B$2,-1+SUMPRODUCT(MAX(ROW(E785:E$2)*(E786=E785:E$2)))))</f>
        <v> </v>
      </c>
      <c r="J786" s="25" t="str">
        <f>IF(OR(E786="",E786="!!!",F786="NEW"),"",COUNTBLANK(OFFSET(A$1,,,SUMPRODUCT(MAX(ROW(E$2:E786)*(E786=E$2:E786)))))-COUNTBLANK(OFFSET(A$1,,,SUMPRODUCT(MAX(ROW(E$1:E785)*(E2=E$1:E785))))))</f>
        <v> </v>
      </c>
      <c r="K786" s="25" t="str">
        <f>IF(OR(E786="",E786="!!!",F786="NEW"),"",INDEX(J$1:J785,SUMPRODUCT(MAX(ROW(E$1:E785)*(E786=E$1:E785)))))</f>
        <v> </v>
      </c>
      <c r="L786" s="26"/>
    </row>
    <row r="787" spans="1:12">
      <c r="A787" s="20" t="s">
        <v>618</v>
      </c>
      <c r="E787" s="21">
        <f>IF(D787="?OLD","!!!","")</f>
        <v/>
      </c>
      <c r="F787" s="22" t="str">
        <f>IF(OR(E787="",E787="!!!"),"",IF(NOT(ISNA(VLOOKUP(E787,E$1:E786,1,FALSE()))),"OLD",IF(AND(E787&lt;&gt;"",E787&lt;&gt;"!!!"),"NEW","")))</f>
        <v> </v>
      </c>
      <c r="G787" s="23" t="str">
        <f>IF(OR(E787="",E787="!!!"),"",IF(OR(J787=0,AND(J787=1,K787=1),AND(J787=1,I787="SBJ"),AND(J787=1,I787=0)),"?IN_FOCUS",IF(J787&lt;=2,"?ACTIVATED",IF(J787&lt;&gt;"","?FAMILIAR",IF(F787="NEW",IF(ISNA(VLOOKUP(E787,#REF!,1,FALSE())),"?TYPE_IDENTIFIABLE","?REFERENTIAL"),"_")))))</f>
        <v> </v>
      </c>
      <c r="H787" s="24" t="str">
        <f>IF(J787&lt;&gt;1,"",IF(I787="SBJ","CB","?"))</f>
        <v> </v>
      </c>
      <c r="I787" s="25" t="str">
        <f>IF(OR(E787="",E787="!!!",F787="NEW"),"",INDEX(B786:B$2,-1+SUMPRODUCT(MAX(ROW(E786:E$2)*(E787=E786:E$2)))))</f>
        <v> </v>
      </c>
      <c r="J787" s="25" t="str">
        <f>IF(OR(E787="",E787="!!!",F787="NEW"),"",COUNTBLANK(OFFSET(A$1,,,SUMPRODUCT(MAX(ROW(E$2:E787)*(E787=E$2:E787)))))-COUNTBLANK(OFFSET(A$1,,,SUMPRODUCT(MAX(ROW(E$1:E786)*(E2=E$1:E786))))))</f>
        <v> </v>
      </c>
      <c r="K787" s="25" t="str">
        <f>IF(OR(E787="",E787="!!!",F787="NEW"),"",INDEX(J$1:J786,SUMPRODUCT(MAX(ROW(E$1:E786)*(E787=E$1:E786)))))</f>
        <v> </v>
      </c>
      <c r="L787" s="26"/>
    </row>
    <row r="788" spans="1:12">
      <c r="A788" s="20" t="s">
        <v>285</v>
      </c>
      <c r="E788" s="21">
        <f>IF(D788="?OLD","!!!","")</f>
        <v/>
      </c>
      <c r="F788" s="22" t="str">
        <f>IF(OR(E788="",E788="!!!"),"",IF(NOT(ISNA(VLOOKUP(E788,E$1:E787,1,FALSE()))),"OLD",IF(AND(E788&lt;&gt;"",E788&lt;&gt;"!!!"),"NEW","")))</f>
        <v> </v>
      </c>
      <c r="G788" s="23" t="str">
        <f>IF(OR(E788="",E788="!!!"),"",IF(OR(J788=0,AND(J788=1,K788=1),AND(J788=1,I788="SBJ"),AND(J788=1,I788=0)),"?IN_FOCUS",IF(J788&lt;=2,"?ACTIVATED",IF(J788&lt;&gt;"","?FAMILIAR",IF(F788="NEW",IF(ISNA(VLOOKUP(E788,#REF!,1,FALSE())),"?TYPE_IDENTIFIABLE","?REFERENTIAL"),"_")))))</f>
        <v> </v>
      </c>
      <c r="H788" s="24" t="str">
        <f>IF(J788&lt;&gt;1,"",IF(I788="SBJ","CB","?"))</f>
        <v> </v>
      </c>
      <c r="I788" s="25" t="str">
        <f>IF(OR(E788="",E788="!!!",F788="NEW"),"",INDEX(B787:B$2,-1+SUMPRODUCT(MAX(ROW(E787:E$2)*(E788=E787:E$2)))))</f>
        <v> </v>
      </c>
      <c r="J788" s="25" t="str">
        <f>IF(OR(E788="",E788="!!!",F788="NEW"),"",COUNTBLANK(OFFSET(A$1,,,SUMPRODUCT(MAX(ROW(E$2:E788)*(E788=E$2:E788)))))-COUNTBLANK(OFFSET(A$1,,,SUMPRODUCT(MAX(ROW(E$1:E787)*(E2=E$1:E787))))))</f>
        <v> </v>
      </c>
      <c r="K788" s="25" t="str">
        <f>IF(OR(E788="",E788="!!!",F788="NEW"),"",INDEX(J$1:J787,SUMPRODUCT(MAX(ROW(E$1:E787)*(E788=E$1:E787)))))</f>
        <v> </v>
      </c>
      <c r="L788" s="26"/>
    </row>
    <row r="789" spans="1:12">
      <c r="A789" s="20"/>
    </row>
    <row r="790" spans="1:12">
      <c r="A790" s="20" t="s">
        <v>619</v>
      </c>
    </row>
    <row r="791" spans="1:12">
      <c r="A791" s="20" t="s">
        <v>580</v>
      </c>
      <c r="B791" s="27" t="s">
        <v>255</v>
      </c>
      <c r="C791" s="27" t="s">
        <v>256</v>
      </c>
      <c r="D791" s="27" t="s">
        <v>244</v>
      </c>
      <c r="E791" s="21">
        <f>IF(D791="?OLD","!!!","")</f>
        <v/>
      </c>
      <c r="F791" s="22" t="str">
        <f>IF(OR(E791="",E791="!!!"),"",IF(NOT(ISNA(VLOOKUP(E791,E$1:E790,1,FALSE()))),"OLD",IF(AND(E791&lt;&gt;"",E791&lt;&gt;"!!!"),"NEW","")))</f>
        <v> </v>
      </c>
      <c r="G791" s="23" t="str">
        <f>IF(OR(E791="",E791="!!!"),"",IF(OR(J791=0,AND(J791=1,K791=1),AND(J791=1,I791="SBJ"),AND(J791=1,I791=0)),"?IN_FOCUS",IF(J791&lt;=2,"?ACTIVATED",IF(J791&lt;&gt;"","?FAMILIAR",IF(F791="NEW",IF(ISNA(VLOOKUP(E791,#REF!,1,FALSE())),"?TYPE_IDENTIFIABLE","?REFERENTIAL"),"_")))))</f>
        <v> </v>
      </c>
      <c r="H791" s="24" t="str">
        <f>IF(J791&lt;&gt;1,"",IF(I791="SBJ","CB","?"))</f>
        <v> </v>
      </c>
      <c r="I791" s="25" t="str">
        <f>IF(OR(E791="",E791="!!!",F791="NEW"),"",INDEX(B790:B$2,-1+SUMPRODUCT(MAX(ROW(E790:E$2)*(E791=E790:E$2)))))</f>
        <v> </v>
      </c>
      <c r="J791" s="25" t="str">
        <f>IF(OR(E791="",E791="!!!",F791="NEW"),"",COUNTBLANK(OFFSET(A$1,,,SUMPRODUCT(MAX(ROW(E$2:E791)*(E791=E$2:E791)))))-COUNTBLANK(OFFSET(A$1,,,SUMPRODUCT(MAX(ROW(E$1:E790)*(E2=E$1:E790))))))</f>
        <v> </v>
      </c>
      <c r="K791" s="25" t="str">
        <f>IF(OR(E791="",E791="!!!",F791="NEW"),"",INDEX(J$1:J790,SUMPRODUCT(MAX(ROW(E$1:E790)*(E791=E$1:E790)))))</f>
        <v> </v>
      </c>
      <c r="L791" s="26"/>
    </row>
    <row r="792" spans="1:12">
      <c r="A792" s="20" t="s">
        <v>442</v>
      </c>
      <c r="E792" s="21">
        <f>IF(D792="?OLD","!!!","")</f>
        <v/>
      </c>
      <c r="F792" s="22" t="str">
        <f>IF(OR(E792="",E792="!!!"),"",IF(NOT(ISNA(VLOOKUP(E792,E$1:E791,1,FALSE()))),"OLD",IF(AND(E792&lt;&gt;"",E792&lt;&gt;"!!!"),"NEW","")))</f>
        <v> </v>
      </c>
      <c r="G792" s="23" t="str">
        <f>IF(OR(E792="",E792="!!!"),"",IF(OR(J792=0,AND(J792=1,K792=1),AND(J792=1,I792="SBJ"),AND(J792=1,I792=0)),"?IN_FOCUS",IF(J792&lt;=2,"?ACTIVATED",IF(J792&lt;&gt;"","?FAMILIAR",IF(F792="NEW",IF(ISNA(VLOOKUP(E792,#REF!,1,FALSE())),"?TYPE_IDENTIFIABLE","?REFERENTIAL"),"_")))))</f>
        <v> </v>
      </c>
      <c r="H792" s="24" t="str">
        <f>IF(J792&lt;&gt;1,"",IF(I792="SBJ","CB","?"))</f>
        <v> </v>
      </c>
      <c r="I792" s="25" t="str">
        <f>IF(OR(E792="",E792="!!!",F792="NEW"),"",INDEX(B791:B$2,-1+SUMPRODUCT(MAX(ROW(E791:E$2)*(E792=E791:E$2)))))</f>
        <v> </v>
      </c>
      <c r="J792" s="25" t="str">
        <f>IF(OR(E792="",E792="!!!",F792="NEW"),"",COUNTBLANK(OFFSET(A$1,,,SUMPRODUCT(MAX(ROW(E$2:E792)*(E792=E$2:E792)))))-COUNTBLANK(OFFSET(A$1,,,SUMPRODUCT(MAX(ROW(E$1:E791)*(E2=E$1:E791))))))</f>
        <v> </v>
      </c>
      <c r="K792" s="25" t="str">
        <f>IF(OR(E792="",E792="!!!",F792="NEW"),"",INDEX(J$1:J791,SUMPRODUCT(MAX(ROW(E$1:E791)*(E792=E$1:E791)))))</f>
        <v> </v>
      </c>
      <c r="L792" s="26"/>
    </row>
    <row r="793" spans="1:12">
      <c r="A793" s="20" t="s">
        <v>345</v>
      </c>
      <c r="E793" s="21">
        <f>IF(D793="?OLD","!!!","")</f>
        <v/>
      </c>
      <c r="F793" s="22" t="str">
        <f>IF(OR(E793="",E793="!!!"),"",IF(NOT(ISNA(VLOOKUP(E793,E$1:E792,1,FALSE()))),"OLD",IF(AND(E793&lt;&gt;"",E793&lt;&gt;"!!!"),"NEW","")))</f>
        <v> </v>
      </c>
      <c r="G793" s="23" t="str">
        <f>IF(OR(E793="",E793="!!!"),"",IF(OR(J793=0,AND(J793=1,K793=1),AND(J793=1,I793="SBJ"),AND(J793=1,I793=0)),"?IN_FOCUS",IF(J793&lt;=2,"?ACTIVATED",IF(J793&lt;&gt;"","?FAMILIAR",IF(F793="NEW",IF(ISNA(VLOOKUP(E793,#REF!,1,FALSE())),"?TYPE_IDENTIFIABLE","?REFERENTIAL"),"_")))))</f>
        <v> </v>
      </c>
      <c r="H793" s="24" t="str">
        <f>IF(J793&lt;&gt;1,"",IF(I793="SBJ","CB","?"))</f>
        <v> </v>
      </c>
      <c r="I793" s="25" t="str">
        <f>IF(OR(E793="",E793="!!!",F793="NEW"),"",INDEX(B792:B$2,-1+SUMPRODUCT(MAX(ROW(E792:E$2)*(E793=E792:E$2)))))</f>
        <v> </v>
      </c>
      <c r="J793" s="25" t="str">
        <f>IF(OR(E793="",E793="!!!",F793="NEW"),"",COUNTBLANK(OFFSET(A$1,,,SUMPRODUCT(MAX(ROW(E$2:E793)*(E793=E$2:E793)))))-COUNTBLANK(OFFSET(A$1,,,SUMPRODUCT(MAX(ROW(E$1:E792)*(E2=E$1:E792))))))</f>
        <v> </v>
      </c>
      <c r="K793" s="25" t="str">
        <f>IF(OR(E793="",E793="!!!",F793="NEW"),"",INDEX(J$1:J792,SUMPRODUCT(MAX(ROW(E$1:E792)*(E793=E$1:E792)))))</f>
        <v> </v>
      </c>
      <c r="L793" s="26"/>
    </row>
    <row r="794" spans="1:12">
      <c r="A794" s="20" t="s">
        <v>248</v>
      </c>
      <c r="E794" s="21">
        <f>IF(D794="?OLD","!!!","")</f>
        <v/>
      </c>
      <c r="F794" s="22" t="str">
        <f>IF(OR(E794="",E794="!!!"),"",IF(NOT(ISNA(VLOOKUP(E794,E$1:E793,1,FALSE()))),"OLD",IF(AND(E794&lt;&gt;"",E794&lt;&gt;"!!!"),"NEW","")))</f>
        <v> </v>
      </c>
      <c r="G794" s="23" t="str">
        <f>IF(OR(E794="",E794="!!!"),"",IF(OR(J794=0,AND(J794=1,K794=1),AND(J794=1,I794="SBJ"),AND(J794=1,I794=0)),"?IN_FOCUS",IF(J794&lt;=2,"?ACTIVATED",IF(J794&lt;&gt;"","?FAMILIAR",IF(F794="NEW",IF(ISNA(VLOOKUP(E794,#REF!,1,FALSE())),"?TYPE_IDENTIFIABLE","?REFERENTIAL"),"_")))))</f>
        <v> </v>
      </c>
      <c r="H794" s="24" t="str">
        <f>IF(J794&lt;&gt;1,"",IF(I794="SBJ","CB","?"))</f>
        <v> </v>
      </c>
      <c r="I794" s="25" t="str">
        <f>IF(OR(E794="",E794="!!!",F794="NEW"),"",INDEX(B793:B$2,-1+SUMPRODUCT(MAX(ROW(E793:E$2)*(E794=E793:E$2)))))</f>
        <v> </v>
      </c>
      <c r="J794" s="25" t="str">
        <f>IF(OR(E794="",E794="!!!",F794="NEW"),"",COUNTBLANK(OFFSET(A$1,,,SUMPRODUCT(MAX(ROW(E$2:E794)*(E794=E$2:E794)))))-COUNTBLANK(OFFSET(A$1,,,SUMPRODUCT(MAX(ROW(E$1:E793)*(E2=E$1:E793))))))</f>
        <v> </v>
      </c>
      <c r="K794" s="25" t="str">
        <f>IF(OR(E794="",E794="!!!",F794="NEW"),"",INDEX(J$1:J793,SUMPRODUCT(MAX(ROW(E$1:E793)*(E794=E$1:E793)))))</f>
        <v> </v>
      </c>
      <c r="L794" s="26"/>
    </row>
    <row r="795" spans="1:12">
      <c r="A795" s="20" t="s">
        <v>617</v>
      </c>
      <c r="E795" s="21">
        <f>IF(D795="?OLD","!!!","")</f>
        <v/>
      </c>
      <c r="F795" s="22" t="str">
        <f>IF(OR(E795="",E795="!!!"),"",IF(NOT(ISNA(VLOOKUP(E795,E$1:E794,1,FALSE()))),"OLD",IF(AND(E795&lt;&gt;"",E795&lt;&gt;"!!!"),"NEW","")))</f>
        <v> </v>
      </c>
      <c r="G795" s="23" t="str">
        <f>IF(OR(E795="",E795="!!!"),"",IF(OR(J795=0,AND(J795=1,K795=1),AND(J795=1,I795="SBJ"),AND(J795=1,I795=0)),"?IN_FOCUS",IF(J795&lt;=2,"?ACTIVATED",IF(J795&lt;&gt;"","?FAMILIAR",IF(F795="NEW",IF(ISNA(VLOOKUP(E795,#REF!,1,FALSE())),"?TYPE_IDENTIFIABLE","?REFERENTIAL"),"_")))))</f>
        <v> </v>
      </c>
      <c r="H795" s="24" t="str">
        <f>IF(J795&lt;&gt;1,"",IF(I795="SBJ","CB","?"))</f>
        <v> </v>
      </c>
      <c r="I795" s="25" t="str">
        <f>IF(OR(E795="",E795="!!!",F795="NEW"),"",INDEX(B794:B$2,-1+SUMPRODUCT(MAX(ROW(E794:E$2)*(E795=E794:E$2)))))</f>
        <v> </v>
      </c>
      <c r="J795" s="25" t="str">
        <f>IF(OR(E795="",E795="!!!",F795="NEW"),"",COUNTBLANK(OFFSET(A$1,,,SUMPRODUCT(MAX(ROW(E$2:E795)*(E795=E$2:E795)))))-COUNTBLANK(OFFSET(A$1,,,SUMPRODUCT(MAX(ROW(E$1:E794)*(E2=E$1:E794))))))</f>
        <v> </v>
      </c>
      <c r="K795" s="25" t="str">
        <f>IF(OR(E795="",E795="!!!",F795="NEW"),"",INDEX(J$1:J794,SUMPRODUCT(MAX(ROW(E$1:E794)*(E795=E$1:E794)))))</f>
        <v> </v>
      </c>
      <c r="L795" s="26"/>
    </row>
    <row r="796" spans="1:12">
      <c r="A796" s="20" t="s">
        <v>436</v>
      </c>
      <c r="E796" s="21">
        <f>IF(D796="?OLD","!!!","")</f>
        <v/>
      </c>
      <c r="F796" s="22" t="str">
        <f>IF(OR(E796="",E796="!!!"),"",IF(NOT(ISNA(VLOOKUP(E796,E$1:E795,1,FALSE()))),"OLD",IF(AND(E796&lt;&gt;"",E796&lt;&gt;"!!!"),"NEW","")))</f>
        <v> </v>
      </c>
      <c r="G796" s="23" t="str">
        <f>IF(OR(E796="",E796="!!!"),"",IF(OR(J796=0,AND(J796=1,K796=1),AND(J796=1,I796="SBJ"),AND(J796=1,I796=0)),"?IN_FOCUS",IF(J796&lt;=2,"?ACTIVATED",IF(J796&lt;&gt;"","?FAMILIAR",IF(F796="NEW",IF(ISNA(VLOOKUP(E796,#REF!,1,FALSE())),"?TYPE_IDENTIFIABLE","?REFERENTIAL"),"_")))))</f>
        <v> </v>
      </c>
      <c r="H796" s="24" t="str">
        <f>IF(J796&lt;&gt;1,"",IF(I796="SBJ","CB","?"))</f>
        <v> </v>
      </c>
      <c r="I796" s="25" t="str">
        <f>IF(OR(E796="",E796="!!!",F796="NEW"),"",INDEX(B795:B$2,-1+SUMPRODUCT(MAX(ROW(E795:E$2)*(E796=E795:E$2)))))</f>
        <v> </v>
      </c>
      <c r="J796" s="25" t="str">
        <f>IF(OR(E796="",E796="!!!",F796="NEW"),"",COUNTBLANK(OFFSET(A$1,,,SUMPRODUCT(MAX(ROW(E$2:E796)*(E796=E$2:E796)))))-COUNTBLANK(OFFSET(A$1,,,SUMPRODUCT(MAX(ROW(E$1:E795)*(E2=E$1:E795))))))</f>
        <v> </v>
      </c>
      <c r="K796" s="25" t="str">
        <f>IF(OR(E796="",E796="!!!",F796="NEW"),"",INDEX(J$1:J795,SUMPRODUCT(MAX(ROW(E$1:E795)*(E796=E$1:E795)))))</f>
        <v> </v>
      </c>
      <c r="L796" s="26"/>
    </row>
    <row r="797" spans="1:12">
      <c r="A797" s="20" t="s">
        <v>386</v>
      </c>
      <c r="B797" s="27" t="s">
        <v>237</v>
      </c>
      <c r="C797" s="27" t="s">
        <v>281</v>
      </c>
      <c r="E797" s="21">
        <f>IF(D797="?OLD","!!!","")</f>
        <v/>
      </c>
      <c r="F797" s="22" t="str">
        <f>IF(OR(E797="",E797="!!!"),"",IF(NOT(ISNA(VLOOKUP(E797,E$1:E796,1,FALSE()))),"OLD",IF(AND(E797&lt;&gt;"",E797&lt;&gt;"!!!"),"NEW","")))</f>
        <v> </v>
      </c>
      <c r="G797" s="23" t="str">
        <f>IF(OR(E797="",E797="!!!"),"",IF(OR(J797=0,AND(J797=1,K797=1),AND(J797=1,I797="SBJ"),AND(J797=1,I797=0)),"?IN_FOCUS",IF(J797&lt;=2,"?ACTIVATED",IF(J797&lt;&gt;"","?FAMILIAR",IF(F797="NEW",IF(ISNA(VLOOKUP(E797,#REF!,1,FALSE())),"?TYPE_IDENTIFIABLE","?REFERENTIAL"),"_")))))</f>
        <v> </v>
      </c>
      <c r="H797" s="24" t="str">
        <f>IF(J797&lt;&gt;1,"",IF(I797="SBJ","CB","?"))</f>
        <v> </v>
      </c>
      <c r="I797" s="25" t="str">
        <f>IF(OR(E797="",E797="!!!",F797="NEW"),"",INDEX(B796:B$2,-1+SUMPRODUCT(MAX(ROW(E796:E$2)*(E797=E796:E$2)))))</f>
        <v> </v>
      </c>
      <c r="J797" s="25" t="str">
        <f>IF(OR(E797="",E797="!!!",F797="NEW"),"",COUNTBLANK(OFFSET(A$1,,,SUMPRODUCT(MAX(ROW(E$2:E797)*(E797=E$2:E797)))))-COUNTBLANK(OFFSET(A$1,,,SUMPRODUCT(MAX(ROW(E$1:E796)*(E2=E$1:E796))))))</f>
        <v> </v>
      </c>
      <c r="K797" s="25" t="str">
        <f>IF(OR(E797="",E797="!!!",F797="NEW"),"",INDEX(J$1:J796,SUMPRODUCT(MAX(ROW(E$1:E796)*(E797=E$1:E796)))))</f>
        <v> </v>
      </c>
      <c r="L797" s="26"/>
    </row>
    <row r="798" spans="1:12">
      <c r="A798" s="20" t="s">
        <v>305</v>
      </c>
      <c r="E798" s="21">
        <f>IF(D798="?OLD","!!!","")</f>
        <v/>
      </c>
      <c r="F798" s="22" t="str">
        <f>IF(OR(E798="",E798="!!!"),"",IF(NOT(ISNA(VLOOKUP(E798,E$1:E797,1,FALSE()))),"OLD",IF(AND(E798&lt;&gt;"",E798&lt;&gt;"!!!"),"NEW","")))</f>
        <v> </v>
      </c>
      <c r="G798" s="23" t="str">
        <f>IF(OR(E798="",E798="!!!"),"",IF(OR(J798=0,AND(J798=1,K798=1),AND(J798=1,I798="SBJ"),AND(J798=1,I798=0)),"?IN_FOCUS",IF(J798&lt;=2,"?ACTIVATED",IF(J798&lt;&gt;"","?FAMILIAR",IF(F798="NEW",IF(ISNA(VLOOKUP(E798,#REF!,1,FALSE())),"?TYPE_IDENTIFIABLE","?REFERENTIAL"),"_")))))</f>
        <v> </v>
      </c>
      <c r="H798" s="24" t="str">
        <f>IF(J798&lt;&gt;1,"",IF(I798="SBJ","CB","?"))</f>
        <v> </v>
      </c>
      <c r="I798" s="25" t="str">
        <f>IF(OR(E798="",E798="!!!",F798="NEW"),"",INDEX(B797:B$2,-1+SUMPRODUCT(MAX(ROW(E797:E$2)*(E798=E797:E$2)))))</f>
        <v> </v>
      </c>
      <c r="J798" s="25" t="str">
        <f>IF(OR(E798="",E798="!!!",F798="NEW"),"",COUNTBLANK(OFFSET(A$1,,,SUMPRODUCT(MAX(ROW(E$2:E798)*(E798=E$2:E798)))))-COUNTBLANK(OFFSET(A$1,,,SUMPRODUCT(MAX(ROW(E$1:E797)*(E2=E$1:E797))))))</f>
        <v> </v>
      </c>
      <c r="K798" s="25" t="str">
        <f>IF(OR(E798="",E798="!!!",F798="NEW"),"",INDEX(J$1:J797,SUMPRODUCT(MAX(ROW(E$1:E797)*(E798=E$1:E797)))))</f>
        <v> </v>
      </c>
      <c r="L798" s="26"/>
    </row>
    <row r="799" spans="1:12">
      <c r="A799" s="20" t="s">
        <v>620</v>
      </c>
      <c r="B799" s="27" t="s">
        <v>301</v>
      </c>
      <c r="E799" s="21">
        <f>IF(D799="?OLD","!!!","")</f>
        <v/>
      </c>
      <c r="F799" s="22" t="str">
        <f>IF(OR(E799="",E799="!!!"),"",IF(NOT(ISNA(VLOOKUP(E799,E$1:E798,1,FALSE()))),"OLD",IF(AND(E799&lt;&gt;"",E799&lt;&gt;"!!!"),"NEW","")))</f>
        <v> </v>
      </c>
      <c r="G799" s="23" t="str">
        <f>IF(OR(E799="",E799="!!!"),"",IF(OR(J799=0,AND(J799=1,K799=1),AND(J799=1,I799="SBJ"),AND(J799=1,I799=0)),"?IN_FOCUS",IF(J799&lt;=2,"?ACTIVATED",IF(J799&lt;&gt;"","?FAMILIAR",IF(F799="NEW",IF(ISNA(VLOOKUP(E799,#REF!,1,FALSE())),"?TYPE_IDENTIFIABLE","?REFERENTIAL"),"_")))))</f>
        <v> </v>
      </c>
      <c r="H799" s="24" t="str">
        <f>IF(J799&lt;&gt;1,"",IF(I799="SBJ","CB","?"))</f>
        <v> </v>
      </c>
      <c r="I799" s="25" t="str">
        <f>IF(OR(E799="",E799="!!!",F799="NEW"),"",INDEX(B798:B$2,-1+SUMPRODUCT(MAX(ROW(E798:E$2)*(E799=E798:E$2)))))</f>
        <v> </v>
      </c>
      <c r="J799" s="25" t="str">
        <f>IF(OR(E799="",E799="!!!",F799="NEW"),"",COUNTBLANK(OFFSET(A$1,,,SUMPRODUCT(MAX(ROW(E$2:E799)*(E799=E$2:E799)))))-COUNTBLANK(OFFSET(A$1,,,SUMPRODUCT(MAX(ROW(E$1:E798)*(E2=E$1:E798))))))</f>
        <v> </v>
      </c>
      <c r="K799" s="25" t="str">
        <f>IF(OR(E799="",E799="!!!",F799="NEW"),"",INDEX(J$1:J798,SUMPRODUCT(MAX(ROW(E$1:E798)*(E799=E$1:E798)))))</f>
        <v> </v>
      </c>
      <c r="L799" s="26"/>
    </row>
    <row r="800" spans="1:12">
      <c r="A800" s="20" t="s">
        <v>254</v>
      </c>
      <c r="B800" s="27" t="s">
        <v>295</v>
      </c>
      <c r="C800" s="27" t="s">
        <v>256</v>
      </c>
      <c r="D800" s="27" t="s">
        <v>244</v>
      </c>
      <c r="E800" s="21">
        <f>IF(D800="?OLD","!!!","")</f>
        <v/>
      </c>
      <c r="F800" s="22" t="str">
        <f>IF(OR(E800="",E800="!!!"),"",IF(NOT(ISNA(VLOOKUP(E800,E$1:E799,1,FALSE()))),"OLD",IF(AND(E800&lt;&gt;"",E800&lt;&gt;"!!!"),"NEW","")))</f>
        <v> </v>
      </c>
      <c r="G800" s="23" t="str">
        <f>IF(OR(E800="",E800="!!!"),"",IF(OR(J800=0,AND(J800=1,K800=1),AND(J800=1,I800="SBJ"),AND(J800=1,I800=0)),"?IN_FOCUS",IF(J800&lt;=2,"?ACTIVATED",IF(J800&lt;&gt;"","?FAMILIAR",IF(F800="NEW",IF(ISNA(VLOOKUP(E800,#REF!,1,FALSE())),"?TYPE_IDENTIFIABLE","?REFERENTIAL"),"_")))))</f>
        <v> </v>
      </c>
      <c r="H800" s="24" t="str">
        <f>IF(J800&lt;&gt;1,"",IF(I800="SBJ","CB","?"))</f>
        <v> </v>
      </c>
      <c r="I800" s="25" t="str">
        <f>IF(OR(E800="",E800="!!!",F800="NEW"),"",INDEX(B799:B$2,-1+SUMPRODUCT(MAX(ROW(E799:E$2)*(E800=E799:E$2)))))</f>
        <v> </v>
      </c>
      <c r="J800" s="25" t="str">
        <f>IF(OR(E800="",E800="!!!",F800="NEW"),"",COUNTBLANK(OFFSET(A$1,,,SUMPRODUCT(MAX(ROW(E$2:E800)*(E800=E$2:E800)))))-COUNTBLANK(OFFSET(A$1,,,SUMPRODUCT(MAX(ROW(E$1:E799)*(E2=E$1:E799))))))</f>
        <v> </v>
      </c>
      <c r="K800" s="25" t="str">
        <f>IF(OR(E800="",E800="!!!",F800="NEW"),"",INDEX(J$1:J799,SUMPRODUCT(MAX(ROW(E$1:E799)*(E800=E$1:E799)))))</f>
        <v> </v>
      </c>
      <c r="L800" s="26"/>
    </row>
    <row r="801" spans="1:12">
      <c r="A801" s="20" t="s">
        <v>447</v>
      </c>
      <c r="E801" s="21">
        <f>IF(D801="?OLD","!!!","")</f>
        <v/>
      </c>
      <c r="F801" s="22" t="str">
        <f>IF(OR(E801="",E801="!!!"),"",IF(NOT(ISNA(VLOOKUP(E801,E$1:E800,1,FALSE()))),"OLD",IF(AND(E801&lt;&gt;"",E801&lt;&gt;"!!!"),"NEW","")))</f>
        <v> </v>
      </c>
      <c r="G801" s="23" t="str">
        <f>IF(OR(E801="",E801="!!!"),"",IF(OR(J801=0,AND(J801=1,K801=1),AND(J801=1,I801="SBJ"),AND(J801=1,I801=0)),"?IN_FOCUS",IF(J801&lt;=2,"?ACTIVATED",IF(J801&lt;&gt;"","?FAMILIAR",IF(F801="NEW",IF(ISNA(VLOOKUP(E801,#REF!,1,FALSE())),"?TYPE_IDENTIFIABLE","?REFERENTIAL"),"_")))))</f>
        <v> </v>
      </c>
      <c r="H801" s="24" t="str">
        <f>IF(J801&lt;&gt;1,"",IF(I801="SBJ","CB","?"))</f>
        <v> </v>
      </c>
      <c r="I801" s="25" t="str">
        <f>IF(OR(E801="",E801="!!!",F801="NEW"),"",INDEX(B800:B$2,-1+SUMPRODUCT(MAX(ROW(E800:E$2)*(E801=E800:E$2)))))</f>
        <v> </v>
      </c>
      <c r="J801" s="25" t="str">
        <f>IF(OR(E801="",E801="!!!",F801="NEW"),"",COUNTBLANK(OFFSET(A$1,,,SUMPRODUCT(MAX(ROW(E$2:E801)*(E801=E$2:E801)))))-COUNTBLANK(OFFSET(A$1,,,SUMPRODUCT(MAX(ROW(E$1:E800)*(E2=E$1:E800))))))</f>
        <v> </v>
      </c>
      <c r="K801" s="25" t="str">
        <f>IF(OR(E801="",E801="!!!",F801="NEW"),"",INDEX(J$1:J800,SUMPRODUCT(MAX(ROW(E$1:E800)*(E801=E$1:E800)))))</f>
        <v> </v>
      </c>
      <c r="L801" s="26"/>
    </row>
    <row r="802" spans="1:12">
      <c r="A802" s="20" t="s">
        <v>436</v>
      </c>
      <c r="E802" s="21">
        <f>IF(D802="?OLD","!!!","")</f>
        <v/>
      </c>
      <c r="F802" s="22" t="str">
        <f>IF(OR(E802="",E802="!!!"),"",IF(NOT(ISNA(VLOOKUP(E802,E$1:E801,1,FALSE()))),"OLD",IF(AND(E802&lt;&gt;"",E802&lt;&gt;"!!!"),"NEW","")))</f>
        <v> </v>
      </c>
      <c r="G802" s="23" t="str">
        <f>IF(OR(E802="",E802="!!!"),"",IF(OR(J802=0,AND(J802=1,K802=1),AND(J802=1,I802="SBJ"),AND(J802=1,I802=0)),"?IN_FOCUS",IF(J802&lt;=2,"?ACTIVATED",IF(J802&lt;&gt;"","?FAMILIAR",IF(F802="NEW",IF(ISNA(VLOOKUP(E802,#REF!,1,FALSE())),"?TYPE_IDENTIFIABLE","?REFERENTIAL"),"_")))))</f>
        <v> </v>
      </c>
      <c r="H802" s="24" t="str">
        <f>IF(J802&lt;&gt;1,"",IF(I802="SBJ","CB","?"))</f>
        <v> </v>
      </c>
      <c r="I802" s="25" t="str">
        <f>IF(OR(E802="",E802="!!!",F802="NEW"),"",INDEX(B801:B$2,-1+SUMPRODUCT(MAX(ROW(E801:E$2)*(E802=E801:E$2)))))</f>
        <v> </v>
      </c>
      <c r="J802" s="25" t="str">
        <f>IF(OR(E802="",E802="!!!",F802="NEW"),"",COUNTBLANK(OFFSET(A$1,,,SUMPRODUCT(MAX(ROW(E$2:E802)*(E802=E$2:E802)))))-COUNTBLANK(OFFSET(A$1,,,SUMPRODUCT(MAX(ROW(E$1:E801)*(E2=E$1:E801))))))</f>
        <v> </v>
      </c>
      <c r="K802" s="25" t="str">
        <f>IF(OR(E802="",E802="!!!",F802="NEW"),"",INDEX(J$1:J801,SUMPRODUCT(MAX(ROW(E$1:E801)*(E802=E$1:E801)))))</f>
        <v> </v>
      </c>
      <c r="L802" s="26"/>
    </row>
    <row r="803" spans="1:12">
      <c r="A803" s="20" t="s">
        <v>621</v>
      </c>
      <c r="E803" s="21">
        <f>IF(D803="?OLD","!!!","")</f>
        <v/>
      </c>
      <c r="F803" s="22" t="str">
        <f>IF(OR(E803="",E803="!!!"),"",IF(NOT(ISNA(VLOOKUP(E803,E$1:E802,1,FALSE()))),"OLD",IF(AND(E803&lt;&gt;"",E803&lt;&gt;"!!!"),"NEW","")))</f>
        <v> </v>
      </c>
      <c r="G803" s="23" t="str">
        <f>IF(OR(E803="",E803="!!!"),"",IF(OR(J803=0,AND(J803=1,K803=1),AND(J803=1,I803="SBJ"),AND(J803=1,I803=0)),"?IN_FOCUS",IF(J803&lt;=2,"?ACTIVATED",IF(J803&lt;&gt;"","?FAMILIAR",IF(F803="NEW",IF(ISNA(VLOOKUP(E803,#REF!,1,FALSE())),"?TYPE_IDENTIFIABLE","?REFERENTIAL"),"_")))))</f>
        <v> </v>
      </c>
      <c r="H803" s="24" t="str">
        <f>IF(J803&lt;&gt;1,"",IF(I803="SBJ","CB","?"))</f>
        <v> </v>
      </c>
      <c r="I803" s="25" t="str">
        <f>IF(OR(E803="",E803="!!!",F803="NEW"),"",INDEX(B802:B$2,-1+SUMPRODUCT(MAX(ROW(E802:E$2)*(E803=E802:E$2)))))</f>
        <v> </v>
      </c>
      <c r="J803" s="25" t="str">
        <f>IF(OR(E803="",E803="!!!",F803="NEW"),"",COUNTBLANK(OFFSET(A$1,,,SUMPRODUCT(MAX(ROW(E$2:E803)*(E803=E$2:E803)))))-COUNTBLANK(OFFSET(A$1,,,SUMPRODUCT(MAX(ROW(E$1:E802)*(E2=E$1:E802))))))</f>
        <v> </v>
      </c>
      <c r="K803" s="25" t="str">
        <f>IF(OR(E803="",E803="!!!",F803="NEW"),"",INDEX(J$1:J802,SUMPRODUCT(MAX(ROW(E$1:E802)*(E803=E$1:E802)))))</f>
        <v> </v>
      </c>
      <c r="L803" s="26"/>
    </row>
    <row r="804" spans="1:12">
      <c r="A804" s="20" t="s">
        <v>622</v>
      </c>
      <c r="B804" s="27" t="s">
        <v>291</v>
      </c>
      <c r="C804" s="27" t="s">
        <v>279</v>
      </c>
      <c r="E804" s="21">
        <f>IF(D804="?OLD","!!!","")</f>
        <v/>
      </c>
      <c r="F804" s="22" t="str">
        <f>IF(OR(E804="",E804="!!!"),"",IF(NOT(ISNA(VLOOKUP(E804,E$1:E803,1,FALSE()))),"OLD",IF(AND(E804&lt;&gt;"",E804&lt;&gt;"!!!"),"NEW","")))</f>
        <v> </v>
      </c>
      <c r="G804" s="23" t="str">
        <f>IF(OR(E804="",E804="!!!"),"",IF(OR(J804=0,AND(J804=1,K804=1),AND(J804=1,I804="SBJ"),AND(J804=1,I804=0)),"?IN_FOCUS",IF(J804&lt;=2,"?ACTIVATED",IF(J804&lt;&gt;"","?FAMILIAR",IF(F804="NEW",IF(ISNA(VLOOKUP(E804,#REF!,1,FALSE())),"?TYPE_IDENTIFIABLE","?REFERENTIAL"),"_")))))</f>
        <v> </v>
      </c>
      <c r="H804" s="24" t="str">
        <f>IF(J804&lt;&gt;1,"",IF(I804="SBJ","CB","?"))</f>
        <v> </v>
      </c>
      <c r="I804" s="25" t="str">
        <f>IF(OR(E804="",E804="!!!",F804="NEW"),"",INDEX(B803:B$2,-1+SUMPRODUCT(MAX(ROW(E803:E$2)*(E804=E803:E$2)))))</f>
        <v> </v>
      </c>
      <c r="J804" s="25" t="str">
        <f>IF(OR(E804="",E804="!!!",F804="NEW"),"",COUNTBLANK(OFFSET(A$1,,,SUMPRODUCT(MAX(ROW(E$2:E804)*(E804=E$2:E804)))))-COUNTBLANK(OFFSET(A$1,,,SUMPRODUCT(MAX(ROW(E$1:E803)*(E2=E$1:E803))))))</f>
        <v> </v>
      </c>
      <c r="K804" s="25" t="str">
        <f>IF(OR(E804="",E804="!!!",F804="NEW"),"",INDEX(J$1:J803,SUMPRODUCT(MAX(ROW(E$1:E803)*(E804=E$1:E803)))))</f>
        <v> </v>
      </c>
      <c r="L804" s="26"/>
    </row>
    <row r="805" spans="1:12">
      <c r="A805" s="20" t="s">
        <v>305</v>
      </c>
      <c r="E805" s="21">
        <f>IF(D805="?OLD","!!!","")</f>
        <v/>
      </c>
      <c r="F805" s="22" t="str">
        <f>IF(OR(E805="",E805="!!!"),"",IF(NOT(ISNA(VLOOKUP(E805,E$1:E804,1,FALSE()))),"OLD",IF(AND(E805&lt;&gt;"",E805&lt;&gt;"!!!"),"NEW","")))</f>
        <v> </v>
      </c>
      <c r="G805" s="23" t="str">
        <f>IF(OR(E805="",E805="!!!"),"",IF(OR(J805=0,AND(J805=1,K805=1),AND(J805=1,I805="SBJ"),AND(J805=1,I805=0)),"?IN_FOCUS",IF(J805&lt;=2,"?ACTIVATED",IF(J805&lt;&gt;"","?FAMILIAR",IF(F805="NEW",IF(ISNA(VLOOKUP(E805,#REF!,1,FALSE())),"?TYPE_IDENTIFIABLE","?REFERENTIAL"),"_")))))</f>
        <v> </v>
      </c>
      <c r="H805" s="24" t="str">
        <f>IF(J805&lt;&gt;1,"",IF(I805="SBJ","CB","?"))</f>
        <v> </v>
      </c>
      <c r="I805" s="25" t="str">
        <f>IF(OR(E805="",E805="!!!",F805="NEW"),"",INDEX(B804:B$2,-1+SUMPRODUCT(MAX(ROW(E804:E$2)*(E805=E804:E$2)))))</f>
        <v> </v>
      </c>
      <c r="J805" s="25" t="str">
        <f>IF(OR(E805="",E805="!!!",F805="NEW"),"",COUNTBLANK(OFFSET(A$1,,,SUMPRODUCT(MAX(ROW(E$2:E805)*(E805=E$2:E805)))))-COUNTBLANK(OFFSET(A$1,,,SUMPRODUCT(MAX(ROW(E$1:E804)*(E2=E$1:E804))))))</f>
        <v> </v>
      </c>
      <c r="K805" s="25" t="str">
        <f>IF(OR(E805="",E805="!!!",F805="NEW"),"",INDEX(J$1:J804,SUMPRODUCT(MAX(ROW(E$1:E804)*(E805=E$1:E804)))))</f>
        <v> </v>
      </c>
      <c r="L805" s="26"/>
    </row>
    <row r="806" spans="1:12">
      <c r="A806" s="20" t="s">
        <v>277</v>
      </c>
      <c r="E806" s="21">
        <f>IF(D806="?OLD","!!!","")</f>
        <v/>
      </c>
      <c r="F806" s="22" t="str">
        <f>IF(OR(E806="",E806="!!!"),"",IF(NOT(ISNA(VLOOKUP(E806,E$1:E805,1,FALSE()))),"OLD",IF(AND(E806&lt;&gt;"",E806&lt;&gt;"!!!"),"NEW","")))</f>
        <v> </v>
      </c>
      <c r="G806" s="23" t="str">
        <f>IF(OR(E806="",E806="!!!"),"",IF(OR(J806=0,AND(J806=1,K806=1),AND(J806=1,I806="SBJ"),AND(J806=1,I806=0)),"?IN_FOCUS",IF(J806&lt;=2,"?ACTIVATED",IF(J806&lt;&gt;"","?FAMILIAR",IF(F806="NEW",IF(ISNA(VLOOKUP(E806,#REF!,1,FALSE())),"?TYPE_IDENTIFIABLE","?REFERENTIAL"),"_")))))</f>
        <v> </v>
      </c>
      <c r="H806" s="24" t="str">
        <f>IF(J806&lt;&gt;1,"",IF(I806="SBJ","CB","?"))</f>
        <v> </v>
      </c>
      <c r="I806" s="25" t="str">
        <f>IF(OR(E806="",E806="!!!",F806="NEW"),"",INDEX(B805:B$2,-1+SUMPRODUCT(MAX(ROW(E805:E$2)*(E806=E805:E$2)))))</f>
        <v> </v>
      </c>
      <c r="J806" s="25" t="str">
        <f>IF(OR(E806="",E806="!!!",F806="NEW"),"",COUNTBLANK(OFFSET(A$1,,,SUMPRODUCT(MAX(ROW(E$2:E806)*(E806=E$2:E806)))))-COUNTBLANK(OFFSET(A$1,,,SUMPRODUCT(MAX(ROW(E$1:E805)*(E2=E$1:E805))))))</f>
        <v> </v>
      </c>
      <c r="K806" s="25" t="str">
        <f>IF(OR(E806="",E806="!!!",F806="NEW"),"",INDEX(J$1:J805,SUMPRODUCT(MAX(ROW(E$1:E805)*(E806=E$1:E805)))))</f>
        <v> </v>
      </c>
      <c r="L806" s="26"/>
    </row>
    <row r="807" spans="1:12">
      <c r="A807" s="20" t="s">
        <v>384</v>
      </c>
      <c r="B807" s="27" t="s">
        <v>237</v>
      </c>
      <c r="C807" s="27" t="s">
        <v>279</v>
      </c>
      <c r="E807" s="21">
        <f>IF(D807="?OLD","!!!","")</f>
        <v/>
      </c>
      <c r="F807" s="22" t="str">
        <f>IF(OR(E807="",E807="!!!"),"",IF(NOT(ISNA(VLOOKUP(E807,E$1:E806,1,FALSE()))),"OLD",IF(AND(E807&lt;&gt;"",E807&lt;&gt;"!!!"),"NEW","")))</f>
        <v> </v>
      </c>
      <c r="G807" s="23" t="str">
        <f>IF(OR(E807="",E807="!!!"),"",IF(OR(J807=0,AND(J807=1,K807=1),AND(J807=1,I807="SBJ"),AND(J807=1,I807=0)),"?IN_FOCUS",IF(J807&lt;=2,"?ACTIVATED",IF(J807&lt;&gt;"","?FAMILIAR",IF(F807="NEW",IF(ISNA(VLOOKUP(E807,#REF!,1,FALSE())),"?TYPE_IDENTIFIABLE","?REFERENTIAL"),"_")))))</f>
        <v> </v>
      </c>
      <c r="H807" s="24" t="str">
        <f>IF(J807&lt;&gt;1,"",IF(I807="SBJ","CB","?"))</f>
        <v> </v>
      </c>
      <c r="I807" s="25" t="str">
        <f>IF(OR(E807="",E807="!!!",F807="NEW"),"",INDEX(B806:B$2,-1+SUMPRODUCT(MAX(ROW(E806:E$2)*(E807=E806:E$2)))))</f>
        <v> </v>
      </c>
      <c r="J807" s="25" t="str">
        <f>IF(OR(E807="",E807="!!!",F807="NEW"),"",COUNTBLANK(OFFSET(A$1,,,SUMPRODUCT(MAX(ROW(E$2:E807)*(E807=E$2:E807)))))-COUNTBLANK(OFFSET(A$1,,,SUMPRODUCT(MAX(ROW(E$1:E806)*(E2=E$1:E806))))))</f>
        <v> </v>
      </c>
      <c r="K807" s="25" t="str">
        <f>IF(OR(E807="",E807="!!!",F807="NEW"),"",INDEX(J$1:J806,SUMPRODUCT(MAX(ROW(E$1:E806)*(E807=E$1:E806)))))</f>
        <v> </v>
      </c>
      <c r="L807" s="26"/>
    </row>
    <row r="808" spans="1:12">
      <c r="A808" s="20" t="s">
        <v>321</v>
      </c>
      <c r="E808" s="21">
        <f>IF(D808="?OLD","!!!","")</f>
        <v/>
      </c>
      <c r="F808" s="22" t="str">
        <f>IF(OR(E808="",E808="!!!"),"",IF(NOT(ISNA(VLOOKUP(E808,E$1:E807,1,FALSE()))),"OLD",IF(AND(E808&lt;&gt;"",E808&lt;&gt;"!!!"),"NEW","")))</f>
        <v> </v>
      </c>
      <c r="G808" s="23" t="str">
        <f>IF(OR(E808="",E808="!!!"),"",IF(OR(J808=0,AND(J808=1,K808=1),AND(J808=1,I808="SBJ"),AND(J808=1,I808=0)),"?IN_FOCUS",IF(J808&lt;=2,"?ACTIVATED",IF(J808&lt;&gt;"","?FAMILIAR",IF(F808="NEW",IF(ISNA(VLOOKUP(E808,#REF!,1,FALSE())),"?TYPE_IDENTIFIABLE","?REFERENTIAL"),"_")))))</f>
        <v> </v>
      </c>
      <c r="H808" s="24" t="str">
        <f>IF(J808&lt;&gt;1,"",IF(I808="SBJ","CB","?"))</f>
        <v> </v>
      </c>
      <c r="I808" s="25" t="str">
        <f>IF(OR(E808="",E808="!!!",F808="NEW"),"",INDEX(B807:B$2,-1+SUMPRODUCT(MAX(ROW(E807:E$2)*(E808=E807:E$2)))))</f>
        <v> </v>
      </c>
      <c r="J808" s="25" t="str">
        <f>IF(OR(E808="",E808="!!!",F808="NEW"),"",COUNTBLANK(OFFSET(A$1,,,SUMPRODUCT(MAX(ROW(E$2:E808)*(E808=E$2:E808)))))-COUNTBLANK(OFFSET(A$1,,,SUMPRODUCT(MAX(ROW(E$1:E807)*(E2=E$1:E807))))))</f>
        <v> </v>
      </c>
      <c r="K808" s="25" t="str">
        <f>IF(OR(E808="",E808="!!!",F808="NEW"),"",INDEX(J$1:J807,SUMPRODUCT(MAX(ROW(E$1:E807)*(E808=E$1:E807)))))</f>
        <v> </v>
      </c>
      <c r="L808" s="26"/>
    </row>
    <row r="809" spans="1:12">
      <c r="A809" s="20" t="s">
        <v>623</v>
      </c>
      <c r="B809" s="27" t="s">
        <v>291</v>
      </c>
      <c r="C809" s="27" t="s">
        <v>281</v>
      </c>
      <c r="E809" s="21">
        <f>IF(D809="?OLD","!!!","")</f>
        <v/>
      </c>
      <c r="F809" s="22" t="str">
        <f>IF(OR(E809="",E809="!!!"),"",IF(NOT(ISNA(VLOOKUP(E809,E$1:E808,1,FALSE()))),"OLD",IF(AND(E809&lt;&gt;"",E809&lt;&gt;"!!!"),"NEW","")))</f>
        <v> </v>
      </c>
      <c r="G809" s="23" t="str">
        <f>IF(OR(E809="",E809="!!!"),"",IF(OR(J809=0,AND(J809=1,K809=1),AND(J809=1,I809="SBJ"),AND(J809=1,I809=0)),"?IN_FOCUS",IF(J809&lt;=2,"?ACTIVATED",IF(J809&lt;&gt;"","?FAMILIAR",IF(F809="NEW",IF(ISNA(VLOOKUP(E809,#REF!,1,FALSE())),"?TYPE_IDENTIFIABLE","?REFERENTIAL"),"_")))))</f>
        <v> </v>
      </c>
      <c r="H809" s="24" t="str">
        <f>IF(J809&lt;&gt;1,"",IF(I809="SBJ","CB","?"))</f>
        <v> </v>
      </c>
      <c r="I809" s="25" t="str">
        <f>IF(OR(E809="",E809="!!!",F809="NEW"),"",INDEX(B808:B$2,-1+SUMPRODUCT(MAX(ROW(E808:E$2)*(E809=E808:E$2)))))</f>
        <v> </v>
      </c>
      <c r="J809" s="25" t="str">
        <f>IF(OR(E809="",E809="!!!",F809="NEW"),"",COUNTBLANK(OFFSET(A$1,,,SUMPRODUCT(MAX(ROW(E$2:E809)*(E809=E$2:E809)))))-COUNTBLANK(OFFSET(A$1,,,SUMPRODUCT(MAX(ROW(E$1:E808)*(E2=E$1:E808))))))</f>
        <v> </v>
      </c>
      <c r="K809" s="25" t="str">
        <f>IF(OR(E809="",E809="!!!",F809="NEW"),"",INDEX(J$1:J808,SUMPRODUCT(MAX(ROW(E$1:E808)*(E809=E$1:E808)))))</f>
        <v> </v>
      </c>
      <c r="L809" s="26"/>
    </row>
    <row r="810" spans="1:12">
      <c r="A810" s="20" t="s">
        <v>305</v>
      </c>
      <c r="E810" s="21">
        <f>IF(D810="?OLD","!!!","")</f>
        <v/>
      </c>
      <c r="F810" s="22" t="str">
        <f>IF(OR(E810="",E810="!!!"),"",IF(NOT(ISNA(VLOOKUP(E810,E$1:E809,1,FALSE()))),"OLD",IF(AND(E810&lt;&gt;"",E810&lt;&gt;"!!!"),"NEW","")))</f>
        <v> </v>
      </c>
      <c r="G810" s="23" t="str">
        <f>IF(OR(E810="",E810="!!!"),"",IF(OR(J810=0,AND(J810=1,K810=1),AND(J810=1,I810="SBJ"),AND(J810=1,I810=0)),"?IN_FOCUS",IF(J810&lt;=2,"?ACTIVATED",IF(J810&lt;&gt;"","?FAMILIAR",IF(F810="NEW",IF(ISNA(VLOOKUP(E810,#REF!,1,FALSE())),"?TYPE_IDENTIFIABLE","?REFERENTIAL"),"_")))))</f>
        <v> </v>
      </c>
      <c r="H810" s="24" t="str">
        <f>IF(J810&lt;&gt;1,"",IF(I810="SBJ","CB","?"))</f>
        <v> </v>
      </c>
      <c r="I810" s="25" t="str">
        <f>IF(OR(E810="",E810="!!!",F810="NEW"),"",INDEX(B809:B$2,-1+SUMPRODUCT(MAX(ROW(E809:E$2)*(E810=E809:E$2)))))</f>
        <v> </v>
      </c>
      <c r="J810" s="25" t="str">
        <f>IF(OR(E810="",E810="!!!",F810="NEW"),"",COUNTBLANK(OFFSET(A$1,,,SUMPRODUCT(MAX(ROW(E$2:E810)*(E810=E$2:E810)))))-COUNTBLANK(OFFSET(A$1,,,SUMPRODUCT(MAX(ROW(E$1:E809)*(E2=E$1:E809))))))</f>
        <v> </v>
      </c>
      <c r="K810" s="25" t="str">
        <f>IF(OR(E810="",E810="!!!",F810="NEW"),"",INDEX(J$1:J809,SUMPRODUCT(MAX(ROW(E$1:E809)*(E810=E$1:E809)))))</f>
        <v> </v>
      </c>
      <c r="L810" s="26"/>
    </row>
    <row r="811" spans="1:12">
      <c r="A811" s="20" t="s">
        <v>314</v>
      </c>
      <c r="E811" s="21">
        <f>IF(D811="?OLD","!!!","")</f>
        <v/>
      </c>
      <c r="F811" s="22" t="str">
        <f>IF(OR(E811="",E811="!!!"),"",IF(NOT(ISNA(VLOOKUP(E811,E$1:E810,1,FALSE()))),"OLD",IF(AND(E811&lt;&gt;"",E811&lt;&gt;"!!!"),"NEW","")))</f>
        <v> </v>
      </c>
      <c r="G811" s="23" t="str">
        <f>IF(OR(E811="",E811="!!!"),"",IF(OR(J811=0,AND(J811=1,K811=1),AND(J811=1,I811="SBJ"),AND(J811=1,I811=0)),"?IN_FOCUS",IF(J811&lt;=2,"?ACTIVATED",IF(J811&lt;&gt;"","?FAMILIAR",IF(F811="NEW",IF(ISNA(VLOOKUP(E811,#REF!,1,FALSE())),"?TYPE_IDENTIFIABLE","?REFERENTIAL"),"_")))))</f>
        <v> </v>
      </c>
      <c r="H811" s="24" t="str">
        <f>IF(J811&lt;&gt;1,"",IF(I811="SBJ","CB","?"))</f>
        <v> </v>
      </c>
      <c r="I811" s="25" t="str">
        <f>IF(OR(E811="",E811="!!!",F811="NEW"),"",INDEX(B810:B$2,-1+SUMPRODUCT(MAX(ROW(E810:E$2)*(E811=E810:E$2)))))</f>
        <v> </v>
      </c>
      <c r="J811" s="25" t="str">
        <f>IF(OR(E811="",E811="!!!",F811="NEW"),"",COUNTBLANK(OFFSET(A$1,,,SUMPRODUCT(MAX(ROW(E$2:E811)*(E811=E$2:E811)))))-COUNTBLANK(OFFSET(A$1,,,SUMPRODUCT(MAX(ROW(E$1:E810)*(E2=E$1:E810))))))</f>
        <v> </v>
      </c>
      <c r="K811" s="25" t="str">
        <f>IF(OR(E811="",E811="!!!",F811="NEW"),"",INDEX(J$1:J810,SUMPRODUCT(MAX(ROW(E$1:E810)*(E811=E$1:E810)))))</f>
        <v> </v>
      </c>
      <c r="L811" s="26"/>
    </row>
    <row r="812" spans="1:12">
      <c r="A812" s="20" t="s">
        <v>277</v>
      </c>
      <c r="E812" s="21">
        <f>IF(D812="?OLD","!!!","")</f>
        <v/>
      </c>
      <c r="F812" s="22" t="str">
        <f>IF(OR(E812="",E812="!!!"),"",IF(NOT(ISNA(VLOOKUP(E812,E$1:E811,1,FALSE()))),"OLD",IF(AND(E812&lt;&gt;"",E812&lt;&gt;"!!!"),"NEW","")))</f>
        <v> </v>
      </c>
      <c r="G812" s="23" t="str">
        <f>IF(OR(E812="",E812="!!!"),"",IF(OR(J812=0,AND(J812=1,K812=1),AND(J812=1,I812="SBJ"),AND(J812=1,I812=0)),"?IN_FOCUS",IF(J812&lt;=2,"?ACTIVATED",IF(J812&lt;&gt;"","?FAMILIAR",IF(F812="NEW",IF(ISNA(VLOOKUP(E812,#REF!,1,FALSE())),"?TYPE_IDENTIFIABLE","?REFERENTIAL"),"_")))))</f>
        <v> </v>
      </c>
      <c r="H812" s="24" t="str">
        <f>IF(J812&lt;&gt;1,"",IF(I812="SBJ","CB","?"))</f>
        <v> </v>
      </c>
      <c r="I812" s="25" t="str">
        <f>IF(OR(E812="",E812="!!!",F812="NEW"),"",INDEX(B811:B$2,-1+SUMPRODUCT(MAX(ROW(E811:E$2)*(E812=E811:E$2)))))</f>
        <v> </v>
      </c>
      <c r="J812" s="25" t="str">
        <f>IF(OR(E812="",E812="!!!",F812="NEW"),"",COUNTBLANK(OFFSET(A$1,,,SUMPRODUCT(MAX(ROW(E$2:E812)*(E812=E$2:E812)))))-COUNTBLANK(OFFSET(A$1,,,SUMPRODUCT(MAX(ROW(E$1:E811)*(E2=E$1:E811))))))</f>
        <v> </v>
      </c>
      <c r="K812" s="25" t="str">
        <f>IF(OR(E812="",E812="!!!",F812="NEW"),"",INDEX(J$1:J811,SUMPRODUCT(MAX(ROW(E$1:E811)*(E812=E$1:E811)))))</f>
        <v> </v>
      </c>
      <c r="L812" s="26"/>
    </row>
    <row r="813" spans="1:12">
      <c r="A813" s="20" t="s">
        <v>624</v>
      </c>
      <c r="B813" s="27" t="s">
        <v>291</v>
      </c>
      <c r="C813" s="27" t="s">
        <v>279</v>
      </c>
      <c r="E813" s="21">
        <f>IF(D813="?OLD","!!!","")</f>
        <v/>
      </c>
      <c r="F813" s="22" t="str">
        <f>IF(OR(E813="",E813="!!!"),"",IF(NOT(ISNA(VLOOKUP(E813,E$1:E812,1,FALSE()))),"OLD",IF(AND(E813&lt;&gt;"",E813&lt;&gt;"!!!"),"NEW","")))</f>
        <v> </v>
      </c>
      <c r="G813" s="23" t="str">
        <f>IF(OR(E813="",E813="!!!"),"",IF(OR(J813=0,AND(J813=1,K813=1),AND(J813=1,I813="SBJ"),AND(J813=1,I813=0)),"?IN_FOCUS",IF(J813&lt;=2,"?ACTIVATED",IF(J813&lt;&gt;"","?FAMILIAR",IF(F813="NEW",IF(ISNA(VLOOKUP(E813,#REF!,1,FALSE())),"?TYPE_IDENTIFIABLE","?REFERENTIAL"),"_")))))</f>
        <v> </v>
      </c>
      <c r="H813" s="24" t="str">
        <f>IF(J813&lt;&gt;1,"",IF(I813="SBJ","CB","?"))</f>
        <v> </v>
      </c>
      <c r="I813" s="25" t="str">
        <f>IF(OR(E813="",E813="!!!",F813="NEW"),"",INDEX(B812:B$2,-1+SUMPRODUCT(MAX(ROW(E812:E$2)*(E813=E812:E$2)))))</f>
        <v> </v>
      </c>
      <c r="J813" s="25" t="str">
        <f>IF(OR(E813="",E813="!!!",F813="NEW"),"",COUNTBLANK(OFFSET(A$1,,,SUMPRODUCT(MAX(ROW(E$2:E813)*(E813=E$2:E813)))))-COUNTBLANK(OFFSET(A$1,,,SUMPRODUCT(MAX(ROW(E$1:E812)*(E2=E$1:E812))))))</f>
        <v> </v>
      </c>
      <c r="K813" s="25" t="str">
        <f>IF(OR(E813="",E813="!!!",F813="NEW"),"",INDEX(J$1:J812,SUMPRODUCT(MAX(ROW(E$1:E812)*(E813=E$1:E812)))))</f>
        <v> </v>
      </c>
      <c r="L813" s="26"/>
    </row>
    <row r="814" spans="1:12">
      <c r="A814" s="20" t="s">
        <v>260</v>
      </c>
      <c r="E814" s="21">
        <f>IF(D814="?OLD","!!!","")</f>
        <v/>
      </c>
      <c r="F814" s="22" t="str">
        <f>IF(OR(E814="",E814="!!!"),"",IF(NOT(ISNA(VLOOKUP(E814,E$1:E813,1,FALSE()))),"OLD",IF(AND(E814&lt;&gt;"",E814&lt;&gt;"!!!"),"NEW","")))</f>
        <v> </v>
      </c>
      <c r="G814" s="23" t="str">
        <f>IF(OR(E814="",E814="!!!"),"",IF(OR(J814=0,AND(J814=1,K814=1),AND(J814=1,I814="SBJ"),AND(J814=1,I814=0)),"?IN_FOCUS",IF(J814&lt;=2,"?ACTIVATED",IF(J814&lt;&gt;"","?FAMILIAR",IF(F814="NEW",IF(ISNA(VLOOKUP(E814,#REF!,1,FALSE())),"?TYPE_IDENTIFIABLE","?REFERENTIAL"),"_")))))</f>
        <v> </v>
      </c>
      <c r="H814" s="24" t="str">
        <f>IF(J814&lt;&gt;1,"",IF(I814="SBJ","CB","?"))</f>
        <v> </v>
      </c>
      <c r="I814" s="25" t="str">
        <f>IF(OR(E814="",E814="!!!",F814="NEW"),"",INDEX(B813:B$2,-1+SUMPRODUCT(MAX(ROW(E813:E$2)*(E814=E813:E$2)))))</f>
        <v> </v>
      </c>
      <c r="J814" s="25" t="str">
        <f>IF(OR(E814="",E814="!!!",F814="NEW"),"",COUNTBLANK(OFFSET(A$1,,,SUMPRODUCT(MAX(ROW(E$2:E814)*(E814=E$2:E814)))))-COUNTBLANK(OFFSET(A$1,,,SUMPRODUCT(MAX(ROW(E$1:E813)*(E2=E$1:E813))))))</f>
        <v> </v>
      </c>
      <c r="K814" s="25" t="str">
        <f>IF(OR(E814="",E814="!!!",F814="NEW"),"",INDEX(J$1:J813,SUMPRODUCT(MAX(ROW(E$1:E813)*(E814=E$1:E813)))))</f>
        <v> </v>
      </c>
      <c r="L814" s="26"/>
    </row>
    <row r="815" spans="1:12">
      <c r="A815" s="20" t="s">
        <v>248</v>
      </c>
      <c r="E815" s="21">
        <f>IF(D815="?OLD","!!!","")</f>
        <v/>
      </c>
      <c r="F815" s="22" t="str">
        <f>IF(OR(E815="",E815="!!!"),"",IF(NOT(ISNA(VLOOKUP(E815,E$1:E814,1,FALSE()))),"OLD",IF(AND(E815&lt;&gt;"",E815&lt;&gt;"!!!"),"NEW","")))</f>
        <v> </v>
      </c>
      <c r="G815" s="23" t="str">
        <f>IF(OR(E815="",E815="!!!"),"",IF(OR(J815=0,AND(J815=1,K815=1),AND(J815=1,I815="SBJ"),AND(J815=1,I815=0)),"?IN_FOCUS",IF(J815&lt;=2,"?ACTIVATED",IF(J815&lt;&gt;"","?FAMILIAR",IF(F815="NEW",IF(ISNA(VLOOKUP(E815,#REF!,1,FALSE())),"?TYPE_IDENTIFIABLE","?REFERENTIAL"),"_")))))</f>
        <v> </v>
      </c>
      <c r="H815" s="24" t="str">
        <f>IF(J815&lt;&gt;1,"",IF(I815="SBJ","CB","?"))</f>
        <v> </v>
      </c>
      <c r="I815" s="25" t="str">
        <f>IF(OR(E815="",E815="!!!",F815="NEW"),"",INDEX(B814:B$2,-1+SUMPRODUCT(MAX(ROW(E814:E$2)*(E815=E814:E$2)))))</f>
        <v> </v>
      </c>
      <c r="J815" s="25" t="str">
        <f>IF(OR(E815="",E815="!!!",F815="NEW"),"",COUNTBLANK(OFFSET(A$1,,,SUMPRODUCT(MAX(ROW(E$2:E815)*(E815=E$2:E815)))))-COUNTBLANK(OFFSET(A$1,,,SUMPRODUCT(MAX(ROW(E$1:E814)*(E2=E$1:E814))))))</f>
        <v> </v>
      </c>
      <c r="K815" s="25" t="str">
        <f>IF(OR(E815="",E815="!!!",F815="NEW"),"",INDEX(J$1:J814,SUMPRODUCT(MAX(ROW(E$1:E814)*(E815=E$1:E814)))))</f>
        <v> </v>
      </c>
      <c r="L815" s="26"/>
    </row>
    <row r="816" spans="1:12">
      <c r="A816" s="20" t="s">
        <v>578</v>
      </c>
      <c r="E816" s="21">
        <f>IF(D816="?OLD","!!!","")</f>
        <v/>
      </c>
      <c r="F816" s="22" t="str">
        <f>IF(OR(E816="",E816="!!!"),"",IF(NOT(ISNA(VLOOKUP(E816,E$1:E815,1,FALSE()))),"OLD",IF(AND(E816&lt;&gt;"",E816&lt;&gt;"!!!"),"NEW","")))</f>
        <v> </v>
      </c>
      <c r="G816" s="23" t="str">
        <f>IF(OR(E816="",E816="!!!"),"",IF(OR(J816=0,AND(J816=1,K816=1),AND(J816=1,I816="SBJ"),AND(J816=1,I816=0)),"?IN_FOCUS",IF(J816&lt;=2,"?ACTIVATED",IF(J816&lt;&gt;"","?FAMILIAR",IF(F816="NEW",IF(ISNA(VLOOKUP(E816,#REF!,1,FALSE())),"?TYPE_IDENTIFIABLE","?REFERENTIAL"),"_")))))</f>
        <v> </v>
      </c>
      <c r="H816" s="24" t="str">
        <f>IF(J816&lt;&gt;1,"",IF(I816="SBJ","CB","?"))</f>
        <v> </v>
      </c>
      <c r="I816" s="25" t="str">
        <f>IF(OR(E816="",E816="!!!",F816="NEW"),"",INDEX(B815:B$2,-1+SUMPRODUCT(MAX(ROW(E815:E$2)*(E816=E815:E$2)))))</f>
        <v> </v>
      </c>
      <c r="J816" s="25" t="str">
        <f>IF(OR(E816="",E816="!!!",F816="NEW"),"",COUNTBLANK(OFFSET(A$1,,,SUMPRODUCT(MAX(ROW(E$2:E816)*(E816=E$2:E816)))))-COUNTBLANK(OFFSET(A$1,,,SUMPRODUCT(MAX(ROW(E$1:E815)*(E2=E$1:E815))))))</f>
        <v> </v>
      </c>
      <c r="K816" s="25" t="str">
        <f>IF(OR(E816="",E816="!!!",F816="NEW"),"",INDEX(J$1:J815,SUMPRODUCT(MAX(ROW(E$1:E815)*(E816=E$1:E815)))))</f>
        <v> </v>
      </c>
      <c r="L816" s="26"/>
    </row>
    <row r="817" spans="1:12">
      <c r="A817" s="20" t="s">
        <v>625</v>
      </c>
      <c r="B817" s="27" t="s">
        <v>272</v>
      </c>
      <c r="C817" s="27" t="s">
        <v>252</v>
      </c>
      <c r="D817" s="27" t="s">
        <v>244</v>
      </c>
      <c r="E817" s="21">
        <f>IF(D817="?OLD","!!!","")</f>
        <v/>
      </c>
      <c r="F817" s="22" t="str">
        <f>IF(OR(E817="",E817="!!!"),"",IF(NOT(ISNA(VLOOKUP(E817,E$1:E816,1,FALSE()))),"OLD",IF(AND(E817&lt;&gt;"",E817&lt;&gt;"!!!"),"NEW","")))</f>
        <v> </v>
      </c>
      <c r="G817" s="23" t="str">
        <f>IF(OR(E817="",E817="!!!"),"",IF(OR(J817=0,AND(J817=1,K817=1),AND(J817=1,I817="SBJ"),AND(J817=1,I817=0)),"?IN_FOCUS",IF(J817&lt;=2,"?ACTIVATED",IF(J817&lt;&gt;"","?FAMILIAR",IF(F817="NEW",IF(ISNA(VLOOKUP(E817,#REF!,1,FALSE())),"?TYPE_IDENTIFIABLE","?REFERENTIAL"),"_")))))</f>
        <v> </v>
      </c>
      <c r="H817" s="24" t="str">
        <f>IF(J817&lt;&gt;1,"",IF(I817="SBJ","CB","?"))</f>
        <v> </v>
      </c>
      <c r="I817" s="25" t="str">
        <f>IF(OR(E817="",E817="!!!",F817="NEW"),"",INDEX(B816:B$2,-1+SUMPRODUCT(MAX(ROW(E816:E$2)*(E817=E816:E$2)))))</f>
        <v> </v>
      </c>
      <c r="J817" s="25" t="str">
        <f>IF(OR(E817="",E817="!!!",F817="NEW"),"",COUNTBLANK(OFFSET(A$1,,,SUMPRODUCT(MAX(ROW(E$2:E817)*(E817=E$2:E817)))))-COUNTBLANK(OFFSET(A$1,,,SUMPRODUCT(MAX(ROW(E$1:E816)*(E2=E$1:E816))))))</f>
        <v> </v>
      </c>
      <c r="K817" s="25" t="str">
        <f>IF(OR(E817="",E817="!!!",F817="NEW"),"",INDEX(J$1:J816,SUMPRODUCT(MAX(ROW(E$1:E816)*(E817=E$1:E816)))))</f>
        <v> </v>
      </c>
      <c r="L817" s="26"/>
    </row>
    <row r="818" spans="1:12">
      <c r="A818" s="20" t="s">
        <v>626</v>
      </c>
      <c r="E818" s="21">
        <f>IF(D818="?OLD","!!!","")</f>
        <v/>
      </c>
      <c r="F818" s="22" t="str">
        <f>IF(OR(E818="",E818="!!!"),"",IF(NOT(ISNA(VLOOKUP(E818,E$1:E817,1,FALSE()))),"OLD",IF(AND(E818&lt;&gt;"",E818&lt;&gt;"!!!"),"NEW","")))</f>
        <v> </v>
      </c>
      <c r="G818" s="23" t="str">
        <f>IF(OR(E818="",E818="!!!"),"",IF(OR(J818=0,AND(J818=1,K818=1),AND(J818=1,I818="SBJ"),AND(J818=1,I818=0)),"?IN_FOCUS",IF(J818&lt;=2,"?ACTIVATED",IF(J818&lt;&gt;"","?FAMILIAR",IF(F818="NEW",IF(ISNA(VLOOKUP(E818,#REF!,1,FALSE())),"?TYPE_IDENTIFIABLE","?REFERENTIAL"),"_")))))</f>
        <v> </v>
      </c>
      <c r="H818" s="24" t="str">
        <f>IF(J818&lt;&gt;1,"",IF(I818="SBJ","CB","?"))</f>
        <v> </v>
      </c>
      <c r="I818" s="25" t="str">
        <f>IF(OR(E818="",E818="!!!",F818="NEW"),"",INDEX(B817:B$2,-1+SUMPRODUCT(MAX(ROW(E817:E$2)*(E818=E817:E$2)))))</f>
        <v> </v>
      </c>
      <c r="J818" s="25" t="str">
        <f>IF(OR(E818="",E818="!!!",F818="NEW"),"",COUNTBLANK(OFFSET(A$1,,,SUMPRODUCT(MAX(ROW(E$2:E818)*(E818=E$2:E818)))))-COUNTBLANK(OFFSET(A$1,,,SUMPRODUCT(MAX(ROW(E$1:E817)*(E2=E$1:E817))))))</f>
        <v> </v>
      </c>
      <c r="K818" s="25" t="str">
        <f>IF(OR(E818="",E818="!!!",F818="NEW"),"",INDEX(J$1:J817,SUMPRODUCT(MAX(ROW(E$1:E817)*(E818=E$1:E817)))))</f>
        <v> </v>
      </c>
      <c r="L818" s="26"/>
    </row>
    <row r="819" spans="1:12">
      <c r="A819" s="20" t="s">
        <v>337</v>
      </c>
      <c r="B819" s="27" t="s">
        <v>262</v>
      </c>
      <c r="C819" s="27" t="s">
        <v>256</v>
      </c>
      <c r="D819" s="27" t="s">
        <v>244</v>
      </c>
      <c r="E819" s="21">
        <f>IF(D819="?OLD","!!!","")</f>
        <v/>
      </c>
      <c r="F819" s="22" t="str">
        <f>IF(OR(E819="",E819="!!!"),"",IF(NOT(ISNA(VLOOKUP(E819,E$1:E818,1,FALSE()))),"OLD",IF(AND(E819&lt;&gt;"",E819&lt;&gt;"!!!"),"NEW","")))</f>
        <v> </v>
      </c>
      <c r="G819" s="23" t="str">
        <f>IF(OR(E819="",E819="!!!"),"",IF(OR(J819=0,AND(J819=1,K819=1),AND(J819=1,I819="SBJ"),AND(J819=1,I819=0)),"?IN_FOCUS",IF(J819&lt;=2,"?ACTIVATED",IF(J819&lt;&gt;"","?FAMILIAR",IF(F819="NEW",IF(ISNA(VLOOKUP(E819,#REF!,1,FALSE())),"?TYPE_IDENTIFIABLE","?REFERENTIAL"),"_")))))</f>
        <v> </v>
      </c>
      <c r="H819" s="24" t="str">
        <f>IF(J819&lt;&gt;1,"",IF(I819="SBJ","CB","?"))</f>
        <v> </v>
      </c>
      <c r="I819" s="25" t="str">
        <f>IF(OR(E819="",E819="!!!",F819="NEW"),"",INDEX(B818:B$2,-1+SUMPRODUCT(MAX(ROW(E818:E$2)*(E819=E818:E$2)))))</f>
        <v> </v>
      </c>
      <c r="J819" s="25" t="str">
        <f>IF(OR(E819="",E819="!!!",F819="NEW"),"",COUNTBLANK(OFFSET(A$1,,,SUMPRODUCT(MAX(ROW(E$2:E819)*(E819=E$2:E819)))))-COUNTBLANK(OFFSET(A$1,,,SUMPRODUCT(MAX(ROW(E$1:E818)*(E2=E$1:E818))))))</f>
        <v> </v>
      </c>
      <c r="K819" s="25" t="str">
        <f>IF(OR(E819="",E819="!!!",F819="NEW"),"",INDEX(J$1:J818,SUMPRODUCT(MAX(ROW(E$1:E818)*(E819=E$1:E818)))))</f>
        <v> </v>
      </c>
      <c r="L819" s="26"/>
    </row>
    <row r="820" spans="1:12">
      <c r="A820" s="20" t="s">
        <v>285</v>
      </c>
      <c r="E820" s="21">
        <f>IF(D820="?OLD","!!!","")</f>
        <v/>
      </c>
      <c r="F820" s="22" t="str">
        <f>IF(OR(E820="",E820="!!!"),"",IF(NOT(ISNA(VLOOKUP(E820,E$1:E819,1,FALSE()))),"OLD",IF(AND(E820&lt;&gt;"",E820&lt;&gt;"!!!"),"NEW","")))</f>
        <v> </v>
      </c>
      <c r="G820" s="23" t="str">
        <f>IF(OR(E820="",E820="!!!"),"",IF(OR(J820=0,AND(J820=1,K820=1),AND(J820=1,I820="SBJ"),AND(J820=1,I820=0)),"?IN_FOCUS",IF(J820&lt;=2,"?ACTIVATED",IF(J820&lt;&gt;"","?FAMILIAR",IF(F820="NEW",IF(ISNA(VLOOKUP(E820,#REF!,1,FALSE())),"?TYPE_IDENTIFIABLE","?REFERENTIAL"),"_")))))</f>
        <v> </v>
      </c>
      <c r="H820" s="24" t="str">
        <f>IF(J820&lt;&gt;1,"",IF(I820="SBJ","CB","?"))</f>
        <v> </v>
      </c>
      <c r="I820" s="25" t="str">
        <f>IF(OR(E820="",E820="!!!",F820="NEW"),"",INDEX(B819:B$2,-1+SUMPRODUCT(MAX(ROW(E819:E$2)*(E820=E819:E$2)))))</f>
        <v> </v>
      </c>
      <c r="J820" s="25" t="str">
        <f>IF(OR(E820="",E820="!!!",F820="NEW"),"",COUNTBLANK(OFFSET(A$1,,,SUMPRODUCT(MAX(ROW(E$2:E820)*(E820=E$2:E820)))))-COUNTBLANK(OFFSET(A$1,,,SUMPRODUCT(MAX(ROW(E$1:E819)*(E2=E$1:E819))))))</f>
        <v> </v>
      </c>
      <c r="K820" s="25" t="str">
        <f>IF(OR(E820="",E820="!!!",F820="NEW"),"",INDEX(J$1:J819,SUMPRODUCT(MAX(ROW(E$1:E819)*(E820=E$1:E819)))))</f>
        <v> </v>
      </c>
      <c r="L820" s="26"/>
    </row>
    <row r="821" spans="1:12">
      <c r="A821" s="20"/>
    </row>
    <row r="822" spans="1:12">
      <c r="A822" s="20" t="s">
        <v>627</v>
      </c>
    </row>
    <row r="823" spans="1:12">
      <c r="A823" s="20" t="s">
        <v>616</v>
      </c>
      <c r="B823" s="27" t="s">
        <v>255</v>
      </c>
      <c r="C823" s="27" t="s">
        <v>281</v>
      </c>
      <c r="E823" s="21">
        <f>IF(D823="?OLD","!!!","")</f>
        <v/>
      </c>
      <c r="F823" s="22" t="str">
        <f>IF(OR(E823="",E823="!!!"),"",IF(NOT(ISNA(VLOOKUP(E823,E$1:E822,1,FALSE()))),"OLD",IF(AND(E823&lt;&gt;"",E823&lt;&gt;"!!!"),"NEW","")))</f>
        <v> </v>
      </c>
      <c r="G823" s="23" t="str">
        <f>IF(OR(E823="",E823="!!!"),"",IF(OR(J823=0,AND(J823=1,K823=1),AND(J823=1,I823="SBJ"),AND(J823=1,I823=0)),"?IN_FOCUS",IF(J823&lt;=2,"?ACTIVATED",IF(J823&lt;&gt;"","?FAMILIAR",IF(F823="NEW",IF(ISNA(VLOOKUP(E823,#REF!,1,FALSE())),"?TYPE_IDENTIFIABLE","?REFERENTIAL"),"_")))))</f>
        <v> </v>
      </c>
      <c r="H823" s="24" t="str">
        <f>IF(J823&lt;&gt;1,"",IF(I823="SBJ","CB","?"))</f>
        <v> </v>
      </c>
      <c r="I823" s="25" t="str">
        <f>IF(OR(E823="",E823="!!!",F823="NEW"),"",INDEX(B822:B$2,-1+SUMPRODUCT(MAX(ROW(E822:E$2)*(E823=E822:E$2)))))</f>
        <v> </v>
      </c>
      <c r="J823" s="25" t="str">
        <f>IF(OR(E823="",E823="!!!",F823="NEW"),"",COUNTBLANK(OFFSET(A$1,,,SUMPRODUCT(MAX(ROW(E$2:E823)*(E823=E$2:E823)))))-COUNTBLANK(OFFSET(A$1,,,SUMPRODUCT(MAX(ROW(E$1:E822)*(E2=E$1:E822))))))</f>
        <v> </v>
      </c>
      <c r="K823" s="25" t="str">
        <f>IF(OR(E823="",E823="!!!",F823="NEW"),"",INDEX(J$1:J822,SUMPRODUCT(MAX(ROW(E$1:E822)*(E823=E$1:E822)))))</f>
        <v> </v>
      </c>
      <c r="L823" s="26"/>
    </row>
    <row r="824" spans="1:12">
      <c r="A824" s="20" t="s">
        <v>391</v>
      </c>
      <c r="E824" s="21">
        <f>IF(D824="?OLD","!!!","")</f>
        <v/>
      </c>
      <c r="F824" s="22" t="str">
        <f>IF(OR(E824="",E824="!!!"),"",IF(NOT(ISNA(VLOOKUP(E824,E$1:E823,1,FALSE()))),"OLD",IF(AND(E824&lt;&gt;"",E824&lt;&gt;"!!!"),"NEW","")))</f>
        <v> </v>
      </c>
      <c r="G824" s="23" t="str">
        <f>IF(OR(E824="",E824="!!!"),"",IF(OR(J824=0,AND(J824=1,K824=1),AND(J824=1,I824="SBJ"),AND(J824=1,I824=0)),"?IN_FOCUS",IF(J824&lt;=2,"?ACTIVATED",IF(J824&lt;&gt;"","?FAMILIAR",IF(F824="NEW",IF(ISNA(VLOOKUP(E824,#REF!,1,FALSE())),"?TYPE_IDENTIFIABLE","?REFERENTIAL"),"_")))))</f>
        <v> </v>
      </c>
      <c r="H824" s="24" t="str">
        <f>IF(J824&lt;&gt;1,"",IF(I824="SBJ","CB","?"))</f>
        <v> </v>
      </c>
      <c r="I824" s="25" t="str">
        <f>IF(OR(E824="",E824="!!!",F824="NEW"),"",INDEX(B823:B$2,-1+SUMPRODUCT(MAX(ROW(E823:E$2)*(E824=E823:E$2)))))</f>
        <v> </v>
      </c>
      <c r="J824" s="25" t="str">
        <f>IF(OR(E824="",E824="!!!",F824="NEW"),"",COUNTBLANK(OFFSET(A$1,,,SUMPRODUCT(MAX(ROW(E$2:E824)*(E824=E$2:E824)))))-COUNTBLANK(OFFSET(A$1,,,SUMPRODUCT(MAX(ROW(E$1:E823)*(E2=E$1:E823))))))</f>
        <v> </v>
      </c>
      <c r="K824" s="25" t="str">
        <f>IF(OR(E824="",E824="!!!",F824="NEW"),"",INDEX(J$1:J823,SUMPRODUCT(MAX(ROW(E$1:E823)*(E824=E$1:E823)))))</f>
        <v> </v>
      </c>
      <c r="L824" s="26"/>
    </row>
    <row r="825" spans="1:12">
      <c r="A825" s="20" t="s">
        <v>345</v>
      </c>
      <c r="E825" s="21">
        <f>IF(D825="?OLD","!!!","")</f>
        <v/>
      </c>
      <c r="F825" s="22" t="str">
        <f>IF(OR(E825="",E825="!!!"),"",IF(NOT(ISNA(VLOOKUP(E825,E$1:E824,1,FALSE()))),"OLD",IF(AND(E825&lt;&gt;"",E825&lt;&gt;"!!!"),"NEW","")))</f>
        <v> </v>
      </c>
      <c r="G825" s="23" t="str">
        <f>IF(OR(E825="",E825="!!!"),"",IF(OR(J825=0,AND(J825=1,K825=1),AND(J825=1,I825="SBJ"),AND(J825=1,I825=0)),"?IN_FOCUS",IF(J825&lt;=2,"?ACTIVATED",IF(J825&lt;&gt;"","?FAMILIAR",IF(F825="NEW",IF(ISNA(VLOOKUP(E825,#REF!,1,FALSE())),"?TYPE_IDENTIFIABLE","?REFERENTIAL"),"_")))))</f>
        <v> </v>
      </c>
      <c r="H825" s="24" t="str">
        <f>IF(J825&lt;&gt;1,"",IF(I825="SBJ","CB","?"))</f>
        <v> </v>
      </c>
      <c r="I825" s="25" t="str">
        <f>IF(OR(E825="",E825="!!!",F825="NEW"),"",INDEX(B824:B$2,-1+SUMPRODUCT(MAX(ROW(E824:E$2)*(E825=E824:E$2)))))</f>
        <v> </v>
      </c>
      <c r="J825" s="25" t="str">
        <f>IF(OR(E825="",E825="!!!",F825="NEW"),"",COUNTBLANK(OFFSET(A$1,,,SUMPRODUCT(MAX(ROW(E$2:E825)*(E825=E$2:E825)))))-COUNTBLANK(OFFSET(A$1,,,SUMPRODUCT(MAX(ROW(E$1:E824)*(E2=E$1:E824))))))</f>
        <v> </v>
      </c>
      <c r="K825" s="25" t="str">
        <f>IF(OR(E825="",E825="!!!",F825="NEW"),"",INDEX(J$1:J824,SUMPRODUCT(MAX(ROW(E$1:E824)*(E825=E$1:E824)))))</f>
        <v> </v>
      </c>
      <c r="L825" s="26"/>
    </row>
    <row r="826" spans="1:12">
      <c r="A826" s="20" t="s">
        <v>277</v>
      </c>
      <c r="E826" s="21">
        <f>IF(D826="?OLD","!!!","")</f>
        <v/>
      </c>
      <c r="F826" s="22" t="str">
        <f>IF(OR(E826="",E826="!!!"),"",IF(NOT(ISNA(VLOOKUP(E826,E$1:E825,1,FALSE()))),"OLD",IF(AND(E826&lt;&gt;"",E826&lt;&gt;"!!!"),"NEW","")))</f>
        <v> </v>
      </c>
      <c r="G826" s="23" t="str">
        <f>IF(OR(E826="",E826="!!!"),"",IF(OR(J826=0,AND(J826=1,K826=1),AND(J826=1,I826="SBJ"),AND(J826=1,I826=0)),"?IN_FOCUS",IF(J826&lt;=2,"?ACTIVATED",IF(J826&lt;&gt;"","?FAMILIAR",IF(F826="NEW",IF(ISNA(VLOOKUP(E826,#REF!,1,FALSE())),"?TYPE_IDENTIFIABLE","?REFERENTIAL"),"_")))))</f>
        <v> </v>
      </c>
      <c r="H826" s="24" t="str">
        <f>IF(J826&lt;&gt;1,"",IF(I826="SBJ","CB","?"))</f>
        <v> </v>
      </c>
      <c r="I826" s="25" t="str">
        <f>IF(OR(E826="",E826="!!!",F826="NEW"),"",INDEX(B825:B$2,-1+SUMPRODUCT(MAX(ROW(E825:E$2)*(E826=E825:E$2)))))</f>
        <v> </v>
      </c>
      <c r="J826" s="25" t="str">
        <f>IF(OR(E826="",E826="!!!",F826="NEW"),"",COUNTBLANK(OFFSET(A$1,,,SUMPRODUCT(MAX(ROW(E$2:E826)*(E826=E$2:E826)))))-COUNTBLANK(OFFSET(A$1,,,SUMPRODUCT(MAX(ROW(E$1:E825)*(E2=E$1:E825))))))</f>
        <v> </v>
      </c>
      <c r="K826" s="25" t="str">
        <f>IF(OR(E826="",E826="!!!",F826="NEW"),"",INDEX(J$1:J825,SUMPRODUCT(MAX(ROW(E$1:E825)*(E826=E$1:E825)))))</f>
        <v> </v>
      </c>
      <c r="L826" s="26"/>
    </row>
    <row r="827" spans="1:12">
      <c r="A827" s="20" t="s">
        <v>628</v>
      </c>
      <c r="B827" s="27" t="s">
        <v>237</v>
      </c>
      <c r="C827" s="27" t="s">
        <v>279</v>
      </c>
      <c r="E827" s="21">
        <f>IF(D827="?OLD","!!!","")</f>
        <v/>
      </c>
      <c r="F827" s="22" t="str">
        <f>IF(OR(E827="",E827="!!!"),"",IF(NOT(ISNA(VLOOKUP(E827,E$1:E826,1,FALSE()))),"OLD",IF(AND(E827&lt;&gt;"",E827&lt;&gt;"!!!"),"NEW","")))</f>
        <v> </v>
      </c>
      <c r="G827" s="23" t="str">
        <f>IF(OR(E827="",E827="!!!"),"",IF(OR(J827=0,AND(J827=1,K827=1),AND(J827=1,I827="SBJ"),AND(J827=1,I827=0)),"?IN_FOCUS",IF(J827&lt;=2,"?ACTIVATED",IF(J827&lt;&gt;"","?FAMILIAR",IF(F827="NEW",IF(ISNA(VLOOKUP(E827,#REF!,1,FALSE())),"?TYPE_IDENTIFIABLE","?REFERENTIAL"),"_")))))</f>
        <v> </v>
      </c>
      <c r="H827" s="24" t="str">
        <f>IF(J827&lt;&gt;1,"",IF(I827="SBJ","CB","?"))</f>
        <v> </v>
      </c>
      <c r="I827" s="25" t="str">
        <f>IF(OR(E827="",E827="!!!",F827="NEW"),"",INDEX(B826:B$2,-1+SUMPRODUCT(MAX(ROW(E826:E$2)*(E827=E826:E$2)))))</f>
        <v> </v>
      </c>
      <c r="J827" s="25" t="str">
        <f>IF(OR(E827="",E827="!!!",F827="NEW"),"",COUNTBLANK(OFFSET(A$1,,,SUMPRODUCT(MAX(ROW(E$2:E827)*(E827=E$2:E827)))))-COUNTBLANK(OFFSET(A$1,,,SUMPRODUCT(MAX(ROW(E$1:E826)*(E2=E$1:E826))))))</f>
        <v> </v>
      </c>
      <c r="K827" s="25" t="str">
        <f>IF(OR(E827="",E827="!!!",F827="NEW"),"",INDEX(J$1:J826,SUMPRODUCT(MAX(ROW(E$1:E826)*(E827=E$1:E826)))))</f>
        <v> </v>
      </c>
      <c r="L827" s="26"/>
    </row>
    <row r="828" spans="1:12">
      <c r="A828" s="20" t="s">
        <v>349</v>
      </c>
      <c r="E828" s="21">
        <f>IF(D828="?OLD","!!!","")</f>
        <v/>
      </c>
      <c r="F828" s="22" t="str">
        <f>IF(OR(E828="",E828="!!!"),"",IF(NOT(ISNA(VLOOKUP(E828,E$1:E827,1,FALSE()))),"OLD",IF(AND(E828&lt;&gt;"",E828&lt;&gt;"!!!"),"NEW","")))</f>
        <v> </v>
      </c>
      <c r="G828" s="23" t="str">
        <f>IF(OR(E828="",E828="!!!"),"",IF(OR(J828=0,AND(J828=1,K828=1),AND(J828=1,I828="SBJ"),AND(J828=1,I828=0)),"?IN_FOCUS",IF(J828&lt;=2,"?ACTIVATED",IF(J828&lt;&gt;"","?FAMILIAR",IF(F828="NEW",IF(ISNA(VLOOKUP(E828,#REF!,1,FALSE())),"?TYPE_IDENTIFIABLE","?REFERENTIAL"),"_")))))</f>
        <v> </v>
      </c>
      <c r="H828" s="24" t="str">
        <f>IF(J828&lt;&gt;1,"",IF(I828="SBJ","CB","?"))</f>
        <v> </v>
      </c>
      <c r="I828" s="25" t="str">
        <f>IF(OR(E828="",E828="!!!",F828="NEW"),"",INDEX(B827:B$2,-1+SUMPRODUCT(MAX(ROW(E827:E$2)*(E828=E827:E$2)))))</f>
        <v> </v>
      </c>
      <c r="J828" s="25" t="str">
        <f>IF(OR(E828="",E828="!!!",F828="NEW"),"",COUNTBLANK(OFFSET(A$1,,,SUMPRODUCT(MAX(ROW(E$2:E828)*(E828=E$2:E828)))))-COUNTBLANK(OFFSET(A$1,,,SUMPRODUCT(MAX(ROW(E$1:E827)*(E2=E$1:E827))))))</f>
        <v> </v>
      </c>
      <c r="K828" s="25" t="str">
        <f>IF(OR(E828="",E828="!!!",F828="NEW"),"",INDEX(J$1:J827,SUMPRODUCT(MAX(ROW(E$1:E827)*(E828=E$1:E827)))))</f>
        <v> </v>
      </c>
      <c r="L828" s="26"/>
    </row>
    <row r="829" spans="1:12">
      <c r="A829" s="20" t="s">
        <v>277</v>
      </c>
      <c r="E829" s="21">
        <f>IF(D829="?OLD","!!!","")</f>
        <v/>
      </c>
      <c r="F829" s="22" t="str">
        <f>IF(OR(E829="",E829="!!!"),"",IF(NOT(ISNA(VLOOKUP(E829,E$1:E828,1,FALSE()))),"OLD",IF(AND(E829&lt;&gt;"",E829&lt;&gt;"!!!"),"NEW","")))</f>
        <v> </v>
      </c>
      <c r="G829" s="23" t="str">
        <f>IF(OR(E829="",E829="!!!"),"",IF(OR(J829=0,AND(J829=1,K829=1),AND(J829=1,I829="SBJ"),AND(J829=1,I829=0)),"?IN_FOCUS",IF(J829&lt;=2,"?ACTIVATED",IF(J829&lt;&gt;"","?FAMILIAR",IF(F829="NEW",IF(ISNA(VLOOKUP(E829,#REF!,1,FALSE())),"?TYPE_IDENTIFIABLE","?REFERENTIAL"),"_")))))</f>
        <v> </v>
      </c>
      <c r="H829" s="24" t="str">
        <f>IF(J829&lt;&gt;1,"",IF(I829="SBJ","CB","?"))</f>
        <v> </v>
      </c>
      <c r="I829" s="25" t="str">
        <f>IF(OR(E829="",E829="!!!",F829="NEW"),"",INDEX(B828:B$2,-1+SUMPRODUCT(MAX(ROW(E828:E$2)*(E829=E828:E$2)))))</f>
        <v> </v>
      </c>
      <c r="J829" s="25" t="str">
        <f>IF(OR(E829="",E829="!!!",F829="NEW"),"",COUNTBLANK(OFFSET(A$1,,,SUMPRODUCT(MAX(ROW(E$2:E829)*(E829=E$2:E829)))))-COUNTBLANK(OFFSET(A$1,,,SUMPRODUCT(MAX(ROW(E$1:E828)*(E2=E$1:E828))))))</f>
        <v> </v>
      </c>
      <c r="K829" s="25" t="str">
        <f>IF(OR(E829="",E829="!!!",F829="NEW"),"",INDEX(J$1:J828,SUMPRODUCT(MAX(ROW(E$1:E828)*(E829=E$1:E828)))))</f>
        <v> </v>
      </c>
      <c r="L829" s="26"/>
    </row>
    <row r="830" spans="1:12">
      <c r="A830" s="20" t="s">
        <v>629</v>
      </c>
      <c r="B830" s="27" t="s">
        <v>237</v>
      </c>
      <c r="C830" s="27" t="s">
        <v>279</v>
      </c>
      <c r="E830" s="21">
        <f>IF(D830="?OLD","!!!","")</f>
        <v/>
      </c>
      <c r="F830" s="22" t="str">
        <f>IF(OR(E830="",E830="!!!"),"",IF(NOT(ISNA(VLOOKUP(E830,E$1:E829,1,FALSE()))),"OLD",IF(AND(E830&lt;&gt;"",E830&lt;&gt;"!!!"),"NEW","")))</f>
        <v> </v>
      </c>
      <c r="G830" s="23" t="str">
        <f>IF(OR(E830="",E830="!!!"),"",IF(OR(J830=0,AND(J830=1,K830=1),AND(J830=1,I830="SBJ"),AND(J830=1,I830=0)),"?IN_FOCUS",IF(J830&lt;=2,"?ACTIVATED",IF(J830&lt;&gt;"","?FAMILIAR",IF(F830="NEW",IF(ISNA(VLOOKUP(E830,#REF!,1,FALSE())),"?TYPE_IDENTIFIABLE","?REFERENTIAL"),"_")))))</f>
        <v> </v>
      </c>
      <c r="H830" s="24" t="str">
        <f>IF(J830&lt;&gt;1,"",IF(I830="SBJ","CB","?"))</f>
        <v> </v>
      </c>
      <c r="I830" s="25" t="str">
        <f>IF(OR(E830="",E830="!!!",F830="NEW"),"",INDEX(B829:B$2,-1+SUMPRODUCT(MAX(ROW(E829:E$2)*(E830=E829:E$2)))))</f>
        <v> </v>
      </c>
      <c r="J830" s="25" t="str">
        <f>IF(OR(E830="",E830="!!!",F830="NEW"),"",COUNTBLANK(OFFSET(A$1,,,SUMPRODUCT(MAX(ROW(E$2:E830)*(E830=E$2:E830)))))-COUNTBLANK(OFFSET(A$1,,,SUMPRODUCT(MAX(ROW(E$1:E829)*(E2=E$1:E829))))))</f>
        <v> </v>
      </c>
      <c r="K830" s="25" t="str">
        <f>IF(OR(E830="",E830="!!!",F830="NEW"),"",INDEX(J$1:J829,SUMPRODUCT(MAX(ROW(E$1:E829)*(E830=E$1:E829)))))</f>
        <v> </v>
      </c>
      <c r="L830" s="26"/>
    </row>
    <row r="831" spans="1:12">
      <c r="A831" s="20" t="s">
        <v>392</v>
      </c>
      <c r="E831" s="21">
        <f>IF(D831="?OLD","!!!","")</f>
        <v/>
      </c>
      <c r="F831" s="22" t="str">
        <f>IF(OR(E831="",E831="!!!"),"",IF(NOT(ISNA(VLOOKUP(E831,E$1:E830,1,FALSE()))),"OLD",IF(AND(E831&lt;&gt;"",E831&lt;&gt;"!!!"),"NEW","")))</f>
        <v> </v>
      </c>
      <c r="G831" s="23" t="str">
        <f>IF(OR(E831="",E831="!!!"),"",IF(OR(J831=0,AND(J831=1,K831=1),AND(J831=1,I831="SBJ"),AND(J831=1,I831=0)),"?IN_FOCUS",IF(J831&lt;=2,"?ACTIVATED",IF(J831&lt;&gt;"","?FAMILIAR",IF(F831="NEW",IF(ISNA(VLOOKUP(E831,#REF!,1,FALSE())),"?TYPE_IDENTIFIABLE","?REFERENTIAL"),"_")))))</f>
        <v> </v>
      </c>
      <c r="H831" s="24" t="str">
        <f>IF(J831&lt;&gt;1,"",IF(I831="SBJ","CB","?"))</f>
        <v> </v>
      </c>
      <c r="I831" s="25" t="str">
        <f>IF(OR(E831="",E831="!!!",F831="NEW"),"",INDEX(B830:B$2,-1+SUMPRODUCT(MAX(ROW(E830:E$2)*(E831=E830:E$2)))))</f>
        <v> </v>
      </c>
      <c r="J831" s="25" t="str">
        <f>IF(OR(E831="",E831="!!!",F831="NEW"),"",COUNTBLANK(OFFSET(A$1,,,SUMPRODUCT(MAX(ROW(E$2:E831)*(E831=E$2:E831)))))-COUNTBLANK(OFFSET(A$1,,,SUMPRODUCT(MAX(ROW(E$1:E830)*(E2=E$1:E830))))))</f>
        <v> </v>
      </c>
      <c r="K831" s="25" t="str">
        <f>IF(OR(E831="",E831="!!!",F831="NEW"),"",INDEX(J$1:J830,SUMPRODUCT(MAX(ROW(E$1:E830)*(E831=E$1:E830)))))</f>
        <v> </v>
      </c>
      <c r="L831" s="26"/>
    </row>
    <row r="832" spans="1:12">
      <c r="A832" s="20" t="s">
        <v>349</v>
      </c>
      <c r="E832" s="21">
        <f>IF(D832="?OLD","!!!","")</f>
        <v/>
      </c>
      <c r="F832" s="22" t="str">
        <f>IF(OR(E832="",E832="!!!"),"",IF(NOT(ISNA(VLOOKUP(E832,E$1:E831,1,FALSE()))),"OLD",IF(AND(E832&lt;&gt;"",E832&lt;&gt;"!!!"),"NEW","")))</f>
        <v> </v>
      </c>
      <c r="G832" s="23" t="str">
        <f>IF(OR(E832="",E832="!!!"),"",IF(OR(J832=0,AND(J832=1,K832=1),AND(J832=1,I832="SBJ"),AND(J832=1,I832=0)),"?IN_FOCUS",IF(J832&lt;=2,"?ACTIVATED",IF(J832&lt;&gt;"","?FAMILIAR",IF(F832="NEW",IF(ISNA(VLOOKUP(E832,#REF!,1,FALSE())),"?TYPE_IDENTIFIABLE","?REFERENTIAL"),"_")))))</f>
        <v> </v>
      </c>
      <c r="H832" s="24" t="str">
        <f>IF(J832&lt;&gt;1,"",IF(I832="SBJ","CB","?"))</f>
        <v> </v>
      </c>
      <c r="I832" s="25" t="str">
        <f>IF(OR(E832="",E832="!!!",F832="NEW"),"",INDEX(B831:B$2,-1+SUMPRODUCT(MAX(ROW(E831:E$2)*(E832=E831:E$2)))))</f>
        <v> </v>
      </c>
      <c r="J832" s="25" t="str">
        <f>IF(OR(E832="",E832="!!!",F832="NEW"),"",COUNTBLANK(OFFSET(A$1,,,SUMPRODUCT(MAX(ROW(E$2:E832)*(E832=E$2:E832)))))-COUNTBLANK(OFFSET(A$1,,,SUMPRODUCT(MAX(ROW(E$1:E831)*(E2=E$1:E831))))))</f>
        <v> </v>
      </c>
      <c r="K832" s="25" t="str">
        <f>IF(OR(E832="",E832="!!!",F832="NEW"),"",INDEX(J$1:J831,SUMPRODUCT(MAX(ROW(E$1:E831)*(E832=E$1:E831)))))</f>
        <v> </v>
      </c>
      <c r="L832" s="26"/>
    </row>
    <row r="833" spans="1:12">
      <c r="A833" s="20" t="s">
        <v>277</v>
      </c>
      <c r="E833" s="21">
        <f>IF(D833="?OLD","!!!","")</f>
        <v/>
      </c>
      <c r="F833" s="22" t="str">
        <f>IF(OR(E833="",E833="!!!"),"",IF(NOT(ISNA(VLOOKUP(E833,E$1:E832,1,FALSE()))),"OLD",IF(AND(E833&lt;&gt;"",E833&lt;&gt;"!!!"),"NEW","")))</f>
        <v> </v>
      </c>
      <c r="G833" s="23" t="str">
        <f>IF(OR(E833="",E833="!!!"),"",IF(OR(J833=0,AND(J833=1,K833=1),AND(J833=1,I833="SBJ"),AND(J833=1,I833=0)),"?IN_FOCUS",IF(J833&lt;=2,"?ACTIVATED",IF(J833&lt;&gt;"","?FAMILIAR",IF(F833="NEW",IF(ISNA(VLOOKUP(E833,#REF!,1,FALSE())),"?TYPE_IDENTIFIABLE","?REFERENTIAL"),"_")))))</f>
        <v> </v>
      </c>
      <c r="H833" s="24" t="str">
        <f>IF(J833&lt;&gt;1,"",IF(I833="SBJ","CB","?"))</f>
        <v> </v>
      </c>
      <c r="I833" s="25" t="str">
        <f>IF(OR(E833="",E833="!!!",F833="NEW"),"",INDEX(B832:B$2,-1+SUMPRODUCT(MAX(ROW(E832:E$2)*(E833=E832:E$2)))))</f>
        <v> </v>
      </c>
      <c r="J833" s="25" t="str">
        <f>IF(OR(E833="",E833="!!!",F833="NEW"),"",COUNTBLANK(OFFSET(A$1,,,SUMPRODUCT(MAX(ROW(E$2:E833)*(E833=E$2:E833)))))-COUNTBLANK(OFFSET(A$1,,,SUMPRODUCT(MAX(ROW(E$1:E832)*(E2=E$1:E832))))))</f>
        <v> </v>
      </c>
      <c r="K833" s="25" t="str">
        <f>IF(OR(E833="",E833="!!!",F833="NEW"),"",INDEX(J$1:J832,SUMPRODUCT(MAX(ROW(E$1:E832)*(E833=E$1:E832)))))</f>
        <v> </v>
      </c>
      <c r="L833" s="26"/>
    </row>
    <row r="834" spans="1:12">
      <c r="A834" s="20" t="s">
        <v>630</v>
      </c>
      <c r="E834" s="21">
        <f>IF(D834="?OLD","!!!","")</f>
        <v/>
      </c>
      <c r="F834" s="22" t="str">
        <f>IF(OR(E834="",E834="!!!"),"",IF(NOT(ISNA(VLOOKUP(E834,E$1:E833,1,FALSE()))),"OLD",IF(AND(E834&lt;&gt;"",E834&lt;&gt;"!!!"),"NEW","")))</f>
        <v> </v>
      </c>
      <c r="G834" s="23" t="str">
        <f>IF(OR(E834="",E834="!!!"),"",IF(OR(J834=0,AND(J834=1,K834=1),AND(J834=1,I834="SBJ"),AND(J834=1,I834=0)),"?IN_FOCUS",IF(J834&lt;=2,"?ACTIVATED",IF(J834&lt;&gt;"","?FAMILIAR",IF(F834="NEW",IF(ISNA(VLOOKUP(E834,#REF!,1,FALSE())),"?TYPE_IDENTIFIABLE","?REFERENTIAL"),"_")))))</f>
        <v> </v>
      </c>
      <c r="H834" s="24" t="str">
        <f>IF(J834&lt;&gt;1,"",IF(I834="SBJ","CB","?"))</f>
        <v> </v>
      </c>
      <c r="I834" s="25" t="str">
        <f>IF(OR(E834="",E834="!!!",F834="NEW"),"",INDEX(B833:B$2,-1+SUMPRODUCT(MAX(ROW(E833:E$2)*(E834=E833:E$2)))))</f>
        <v> </v>
      </c>
      <c r="J834" s="25" t="str">
        <f>IF(OR(E834="",E834="!!!",F834="NEW"),"",COUNTBLANK(OFFSET(A$1,,,SUMPRODUCT(MAX(ROW(E$2:E834)*(E834=E$2:E834)))))-COUNTBLANK(OFFSET(A$1,,,SUMPRODUCT(MAX(ROW(E$1:E833)*(E2=E$1:E833))))))</f>
        <v> </v>
      </c>
      <c r="K834" s="25" t="str">
        <f>IF(OR(E834="",E834="!!!",F834="NEW"),"",INDEX(J$1:J833,SUMPRODUCT(MAX(ROW(E$1:E833)*(E834=E$1:E833)))))</f>
        <v> </v>
      </c>
      <c r="L834" s="26"/>
    </row>
    <row r="835" spans="1:12">
      <c r="A835" s="20" t="s">
        <v>631</v>
      </c>
      <c r="B835" s="27" t="s">
        <v>237</v>
      </c>
      <c r="C835" s="27" t="s">
        <v>279</v>
      </c>
      <c r="E835" s="21">
        <f>IF(D835="?OLD","!!!","")</f>
        <v/>
      </c>
      <c r="F835" s="22" t="str">
        <f>IF(OR(E835="",E835="!!!"),"",IF(NOT(ISNA(VLOOKUP(E835,E$1:E834,1,FALSE()))),"OLD",IF(AND(E835&lt;&gt;"",E835&lt;&gt;"!!!"),"NEW","")))</f>
        <v> </v>
      </c>
      <c r="G835" s="23" t="str">
        <f>IF(OR(E835="",E835="!!!"),"",IF(OR(J835=0,AND(J835=1,K835=1),AND(J835=1,I835="SBJ"),AND(J835=1,I835=0)),"?IN_FOCUS",IF(J835&lt;=2,"?ACTIVATED",IF(J835&lt;&gt;"","?FAMILIAR",IF(F835="NEW",IF(ISNA(VLOOKUP(E835,#REF!,1,FALSE())),"?TYPE_IDENTIFIABLE","?REFERENTIAL"),"_")))))</f>
        <v> </v>
      </c>
      <c r="H835" s="24" t="str">
        <f>IF(J835&lt;&gt;1,"",IF(I835="SBJ","CB","?"))</f>
        <v> </v>
      </c>
      <c r="I835" s="25" t="str">
        <f>IF(OR(E835="",E835="!!!",F835="NEW"),"",INDEX(B834:B$2,-1+SUMPRODUCT(MAX(ROW(E834:E$2)*(E835=E834:E$2)))))</f>
        <v> </v>
      </c>
      <c r="J835" s="25" t="str">
        <f>IF(OR(E835="",E835="!!!",F835="NEW"),"",COUNTBLANK(OFFSET(A$1,,,SUMPRODUCT(MAX(ROW(E$2:E835)*(E835=E$2:E835)))))-COUNTBLANK(OFFSET(A$1,,,SUMPRODUCT(MAX(ROW(E$1:E834)*(E2=E$1:E834))))))</f>
        <v> </v>
      </c>
      <c r="K835" s="25" t="str">
        <f>IF(OR(E835="",E835="!!!",F835="NEW"),"",INDEX(J$1:J834,SUMPRODUCT(MAX(ROW(E$1:E834)*(E835=E$1:E834)))))</f>
        <v> </v>
      </c>
      <c r="L835" s="26"/>
    </row>
    <row r="836" spans="1:12">
      <c r="A836" s="20" t="s">
        <v>285</v>
      </c>
      <c r="E836" s="21">
        <f>IF(D836="?OLD","!!!","")</f>
        <v/>
      </c>
      <c r="F836" s="22" t="str">
        <f>IF(OR(E836="",E836="!!!"),"",IF(NOT(ISNA(VLOOKUP(E836,E$1:E835,1,FALSE()))),"OLD",IF(AND(E836&lt;&gt;"",E836&lt;&gt;"!!!"),"NEW","")))</f>
        <v> </v>
      </c>
      <c r="G836" s="23" t="str">
        <f>IF(OR(E836="",E836="!!!"),"",IF(OR(J836=0,AND(J836=1,K836=1),AND(J836=1,I836="SBJ"),AND(J836=1,I836=0)),"?IN_FOCUS",IF(J836&lt;=2,"?ACTIVATED",IF(J836&lt;&gt;"","?FAMILIAR",IF(F836="NEW",IF(ISNA(VLOOKUP(E836,#REF!,1,FALSE())),"?TYPE_IDENTIFIABLE","?REFERENTIAL"),"_")))))</f>
        <v> </v>
      </c>
      <c r="H836" s="24" t="str">
        <f>IF(J836&lt;&gt;1,"",IF(I836="SBJ","CB","?"))</f>
        <v> </v>
      </c>
      <c r="I836" s="25" t="str">
        <f>IF(OR(E836="",E836="!!!",F836="NEW"),"",INDEX(B835:B$2,-1+SUMPRODUCT(MAX(ROW(E835:E$2)*(E836=E835:E$2)))))</f>
        <v> </v>
      </c>
      <c r="J836" s="25" t="str">
        <f>IF(OR(E836="",E836="!!!",F836="NEW"),"",COUNTBLANK(OFFSET(A$1,,,SUMPRODUCT(MAX(ROW(E$2:E836)*(E836=E$2:E836)))))-COUNTBLANK(OFFSET(A$1,,,SUMPRODUCT(MAX(ROW(E$1:E835)*(E2=E$1:E835))))))</f>
        <v> </v>
      </c>
      <c r="K836" s="25" t="str">
        <f>IF(OR(E836="",E836="!!!",F836="NEW"),"",INDEX(J$1:J835,SUMPRODUCT(MAX(ROW(E$1:E835)*(E836=E$1:E835)))))</f>
        <v> </v>
      </c>
      <c r="L836" s="26"/>
    </row>
    <row r="837" spans="1:12">
      <c r="A837" s="20"/>
    </row>
    <row r="838" spans="1:12">
      <c r="A838" s="20" t="s">
        <v>632</v>
      </c>
    </row>
    <row r="839" spans="1:12">
      <c r="A839" s="20" t="s">
        <v>404</v>
      </c>
      <c r="B839" s="27" t="s">
        <v>255</v>
      </c>
      <c r="C839" s="27" t="s">
        <v>327</v>
      </c>
      <c r="E839" s="21">
        <f>IF(D839="?OLD","!!!","")</f>
        <v/>
      </c>
      <c r="F839" s="22" t="str">
        <f>IF(OR(E839="",E839="!!!"),"",IF(NOT(ISNA(VLOOKUP(E839,E$1:E838,1,FALSE()))),"OLD",IF(AND(E839&lt;&gt;"",E839&lt;&gt;"!!!"),"NEW","")))</f>
        <v> </v>
      </c>
      <c r="G839" s="23" t="str">
        <f>IF(OR(E839="",E839="!!!"),"",IF(OR(J839=0,AND(J839=1,K839=1),AND(J839=1,I839="SBJ"),AND(J839=1,I839=0)),"?IN_FOCUS",IF(J839&lt;=2,"?ACTIVATED",IF(J839&lt;&gt;"","?FAMILIAR",IF(F839="NEW",IF(ISNA(VLOOKUP(E839,#REF!,1,FALSE())),"?TYPE_IDENTIFIABLE","?REFERENTIAL"),"_")))))</f>
        <v> </v>
      </c>
      <c r="H839" s="24" t="str">
        <f>IF(J839&lt;&gt;1,"",IF(I839="SBJ","CB","?"))</f>
        <v> </v>
      </c>
      <c r="I839" s="25" t="str">
        <f>IF(OR(E839="",E839="!!!",F839="NEW"),"",INDEX(B838:B$2,-1+SUMPRODUCT(MAX(ROW(E838:E$2)*(E839=E838:E$2)))))</f>
        <v> </v>
      </c>
      <c r="J839" s="25" t="str">
        <f>IF(OR(E839="",E839="!!!",F839="NEW"),"",COUNTBLANK(OFFSET(A$1,,,SUMPRODUCT(MAX(ROW(E$2:E839)*(E839=E$2:E839)))))-COUNTBLANK(OFFSET(A$1,,,SUMPRODUCT(MAX(ROW(E$1:E838)*(E2=E$1:E838))))))</f>
        <v> </v>
      </c>
      <c r="K839" s="25" t="str">
        <f>IF(OR(E839="",E839="!!!",F839="NEW"),"",INDEX(J$1:J838,SUMPRODUCT(MAX(ROW(E$1:E838)*(E839=E$1:E838)))))</f>
        <v> </v>
      </c>
      <c r="L839" s="26"/>
    </row>
    <row r="840" spans="1:12">
      <c r="A840" s="20" t="s">
        <v>405</v>
      </c>
      <c r="E840" s="21">
        <f>IF(D840="?OLD","!!!","")</f>
        <v/>
      </c>
      <c r="F840" s="22" t="str">
        <f>IF(OR(E840="",E840="!!!"),"",IF(NOT(ISNA(VLOOKUP(E840,E$1:E839,1,FALSE()))),"OLD",IF(AND(E840&lt;&gt;"",E840&lt;&gt;"!!!"),"NEW","")))</f>
        <v> </v>
      </c>
      <c r="G840" s="23" t="str">
        <f>IF(OR(E840="",E840="!!!"),"",IF(OR(J840=0,AND(J840=1,K840=1),AND(J840=1,I840="SBJ"),AND(J840=1,I840=0)),"?IN_FOCUS",IF(J840&lt;=2,"?ACTIVATED",IF(J840&lt;&gt;"","?FAMILIAR",IF(F840="NEW",IF(ISNA(VLOOKUP(E840,#REF!,1,FALSE())),"?TYPE_IDENTIFIABLE","?REFERENTIAL"),"_")))))</f>
        <v> </v>
      </c>
      <c r="H840" s="24" t="str">
        <f>IF(J840&lt;&gt;1,"",IF(I840="SBJ","CB","?"))</f>
        <v> </v>
      </c>
      <c r="I840" s="25" t="str">
        <f>IF(OR(E840="",E840="!!!",F840="NEW"),"",INDEX(B839:B$2,-1+SUMPRODUCT(MAX(ROW(E839:E$2)*(E840=E839:E$2)))))</f>
        <v> </v>
      </c>
      <c r="J840" s="25" t="str">
        <f>IF(OR(E840="",E840="!!!",F840="NEW"),"",COUNTBLANK(OFFSET(A$1,,,SUMPRODUCT(MAX(ROW(E$2:E840)*(E840=E$2:E840)))))-COUNTBLANK(OFFSET(A$1,,,SUMPRODUCT(MAX(ROW(E$1:E839)*(E2=E$1:E839))))))</f>
        <v> </v>
      </c>
      <c r="K840" s="25" t="str">
        <f>IF(OR(E840="",E840="!!!",F840="NEW"),"",INDEX(J$1:J839,SUMPRODUCT(MAX(ROW(E$1:E839)*(E840=E$1:E839)))))</f>
        <v> </v>
      </c>
      <c r="L840" s="26"/>
    </row>
    <row r="841" spans="1:12">
      <c r="A841" s="20" t="s">
        <v>406</v>
      </c>
      <c r="B841" s="27" t="s">
        <v>251</v>
      </c>
      <c r="C841" s="27" t="s">
        <v>256</v>
      </c>
      <c r="D841" s="27" t="s">
        <v>244</v>
      </c>
      <c r="E841" s="21">
        <f>IF(D841="?OLD","!!!","")</f>
        <v/>
      </c>
      <c r="F841" s="22" t="str">
        <f>IF(OR(E841="",E841="!!!"),"",IF(NOT(ISNA(VLOOKUP(E841,E$1:E840,1,FALSE()))),"OLD",IF(AND(E841&lt;&gt;"",E841&lt;&gt;"!!!"),"NEW","")))</f>
        <v> </v>
      </c>
      <c r="G841" s="23" t="str">
        <f>IF(OR(E841="",E841="!!!"),"",IF(OR(J841=0,AND(J841=1,K841=1),AND(J841=1,I841="SBJ"),AND(J841=1,I841=0)),"?IN_FOCUS",IF(J841&lt;=2,"?ACTIVATED",IF(J841&lt;&gt;"","?FAMILIAR",IF(F841="NEW",IF(ISNA(VLOOKUP(E841,#REF!,1,FALSE())),"?TYPE_IDENTIFIABLE","?REFERENTIAL"),"_")))))</f>
        <v> </v>
      </c>
      <c r="H841" s="24" t="str">
        <f>IF(J841&lt;&gt;1,"",IF(I841="SBJ","CB","?"))</f>
        <v> </v>
      </c>
      <c r="I841" s="25" t="str">
        <f>IF(OR(E841="",E841="!!!",F841="NEW"),"",INDEX(B840:B$2,-1+SUMPRODUCT(MAX(ROW(E840:E$2)*(E841=E840:E$2)))))</f>
        <v> </v>
      </c>
      <c r="J841" s="25" t="str">
        <f>IF(OR(E841="",E841="!!!",F841="NEW"),"",COUNTBLANK(OFFSET(A$1,,,SUMPRODUCT(MAX(ROW(E$2:E841)*(E841=E$2:E841)))))-COUNTBLANK(OFFSET(A$1,,,SUMPRODUCT(MAX(ROW(E$1:E840)*(E2=E$1:E840))))))</f>
        <v> </v>
      </c>
      <c r="K841" s="25" t="str">
        <f>IF(OR(E841="",E841="!!!",F841="NEW"),"",INDEX(J$1:J840,SUMPRODUCT(MAX(ROW(E$1:E840)*(E841=E$1:E840)))))</f>
        <v> </v>
      </c>
      <c r="L841" s="26"/>
    </row>
    <row r="842" spans="1:12">
      <c r="A842" s="20" t="s">
        <v>349</v>
      </c>
      <c r="E842" s="21">
        <f>IF(D842="?OLD","!!!","")</f>
        <v/>
      </c>
      <c r="F842" s="22" t="str">
        <f>IF(OR(E842="",E842="!!!"),"",IF(NOT(ISNA(VLOOKUP(E842,E$1:E841,1,FALSE()))),"OLD",IF(AND(E842&lt;&gt;"",E842&lt;&gt;"!!!"),"NEW","")))</f>
        <v> </v>
      </c>
      <c r="G842" s="23" t="str">
        <f>IF(OR(E842="",E842="!!!"),"",IF(OR(J842=0,AND(J842=1,K842=1),AND(J842=1,I842="SBJ"),AND(J842=1,I842=0)),"?IN_FOCUS",IF(J842&lt;=2,"?ACTIVATED",IF(J842&lt;&gt;"","?FAMILIAR",IF(F842="NEW",IF(ISNA(VLOOKUP(E842,#REF!,1,FALSE())),"?TYPE_IDENTIFIABLE","?REFERENTIAL"),"_")))))</f>
        <v> </v>
      </c>
      <c r="H842" s="24" t="str">
        <f>IF(J842&lt;&gt;1,"",IF(I842="SBJ","CB","?"))</f>
        <v> </v>
      </c>
      <c r="I842" s="25" t="str">
        <f>IF(OR(E842="",E842="!!!",F842="NEW"),"",INDEX(B841:B$2,-1+SUMPRODUCT(MAX(ROW(E841:E$2)*(E842=E841:E$2)))))</f>
        <v> </v>
      </c>
      <c r="J842" s="25" t="str">
        <f>IF(OR(E842="",E842="!!!",F842="NEW"),"",COUNTBLANK(OFFSET(A$1,,,SUMPRODUCT(MAX(ROW(E$2:E842)*(E842=E$2:E842)))))-COUNTBLANK(OFFSET(A$1,,,SUMPRODUCT(MAX(ROW(E$1:E841)*(E2=E$1:E841))))))</f>
        <v> </v>
      </c>
      <c r="K842" s="25" t="str">
        <f>IF(OR(E842="",E842="!!!",F842="NEW"),"",INDEX(J$1:J841,SUMPRODUCT(MAX(ROW(E$1:E841)*(E842=E$1:E841)))))</f>
        <v> </v>
      </c>
      <c r="L842" s="26"/>
    </row>
    <row r="843" spans="1:12">
      <c r="A843" s="20" t="s">
        <v>614</v>
      </c>
      <c r="E843" s="21">
        <f>IF(D843="?OLD","!!!","")</f>
        <v/>
      </c>
      <c r="F843" s="22" t="str">
        <f>IF(OR(E843="",E843="!!!"),"",IF(NOT(ISNA(VLOOKUP(E843,E$1:E842,1,FALSE()))),"OLD",IF(AND(E843&lt;&gt;"",E843&lt;&gt;"!!!"),"NEW","")))</f>
        <v> </v>
      </c>
      <c r="G843" s="23" t="str">
        <f>IF(OR(E843="",E843="!!!"),"",IF(OR(J843=0,AND(J843=1,K843=1),AND(J843=1,I843="SBJ"),AND(J843=1,I843=0)),"?IN_FOCUS",IF(J843&lt;=2,"?ACTIVATED",IF(J843&lt;&gt;"","?FAMILIAR",IF(F843="NEW",IF(ISNA(VLOOKUP(E843,#REF!,1,FALSE())),"?TYPE_IDENTIFIABLE","?REFERENTIAL"),"_")))))</f>
        <v> </v>
      </c>
      <c r="H843" s="24" t="str">
        <f>IF(J843&lt;&gt;1,"",IF(I843="SBJ","CB","?"))</f>
        <v> </v>
      </c>
      <c r="I843" s="25" t="str">
        <f>IF(OR(E843="",E843="!!!",F843="NEW"),"",INDEX(B842:B$2,-1+SUMPRODUCT(MAX(ROW(E842:E$2)*(E843=E842:E$2)))))</f>
        <v> </v>
      </c>
      <c r="J843" s="25" t="str">
        <f>IF(OR(E843="",E843="!!!",F843="NEW"),"",COUNTBLANK(OFFSET(A$1,,,SUMPRODUCT(MAX(ROW(E$2:E843)*(E843=E$2:E843)))))-COUNTBLANK(OFFSET(A$1,,,SUMPRODUCT(MAX(ROW(E$1:E842)*(E2=E$1:E842))))))</f>
        <v> </v>
      </c>
      <c r="K843" s="25" t="str">
        <f>IF(OR(E843="",E843="!!!",F843="NEW"),"",INDEX(J$1:J842,SUMPRODUCT(MAX(ROW(E$1:E842)*(E843=E$1:E842)))))</f>
        <v> </v>
      </c>
      <c r="L843" s="26"/>
    </row>
    <row r="844" spans="1:12">
      <c r="A844" s="20" t="s">
        <v>400</v>
      </c>
      <c r="B844" s="27" t="s">
        <v>301</v>
      </c>
      <c r="C844" s="27" t="s">
        <v>401</v>
      </c>
      <c r="D844" s="27" t="s">
        <v>244</v>
      </c>
      <c r="E844" s="21">
        <f>IF(D844="?OLD","!!!","")</f>
        <v/>
      </c>
      <c r="F844" s="22" t="str">
        <f>IF(OR(E844="",E844="!!!"),"",IF(NOT(ISNA(VLOOKUP(E844,E$1:E843,1,FALSE()))),"OLD",IF(AND(E844&lt;&gt;"",E844&lt;&gt;"!!!"),"NEW","")))</f>
        <v> </v>
      </c>
      <c r="G844" s="23" t="str">
        <f>IF(OR(E844="",E844="!!!"),"",IF(OR(J844=0,AND(J844=1,K844=1),AND(J844=1,I844="SBJ"),AND(J844=1,I844=0)),"?IN_FOCUS",IF(J844&lt;=2,"?ACTIVATED",IF(J844&lt;&gt;"","?FAMILIAR",IF(F844="NEW",IF(ISNA(VLOOKUP(E844,#REF!,1,FALSE())),"?TYPE_IDENTIFIABLE","?REFERENTIAL"),"_")))))</f>
        <v> </v>
      </c>
      <c r="H844" s="24" t="str">
        <f>IF(J844&lt;&gt;1,"",IF(I844="SBJ","CB","?"))</f>
        <v> </v>
      </c>
      <c r="I844" s="25" t="str">
        <f>IF(OR(E844="",E844="!!!",F844="NEW"),"",INDEX(B843:B$2,-1+SUMPRODUCT(MAX(ROW(E843:E$2)*(E844=E843:E$2)))))</f>
        <v> </v>
      </c>
      <c r="J844" s="25" t="str">
        <f>IF(OR(E844="",E844="!!!",F844="NEW"),"",COUNTBLANK(OFFSET(A$1,,,SUMPRODUCT(MAX(ROW(E$2:E844)*(E844=E$2:E844)))))-COUNTBLANK(OFFSET(A$1,,,SUMPRODUCT(MAX(ROW(E$1:E843)*(E2=E$1:E843))))))</f>
        <v> </v>
      </c>
      <c r="K844" s="25" t="str">
        <f>IF(OR(E844="",E844="!!!",F844="NEW"),"",INDEX(J$1:J843,SUMPRODUCT(MAX(ROW(E$1:E843)*(E844=E$1:E843)))))</f>
        <v> </v>
      </c>
      <c r="L844" s="26"/>
    </row>
    <row r="845" spans="1:12">
      <c r="A845" s="20" t="s">
        <v>305</v>
      </c>
      <c r="E845" s="21">
        <f>IF(D845="?OLD","!!!","")</f>
        <v/>
      </c>
      <c r="F845" s="22" t="str">
        <f>IF(OR(E845="",E845="!!!"),"",IF(NOT(ISNA(VLOOKUP(E845,E$1:E844,1,FALSE()))),"OLD",IF(AND(E845&lt;&gt;"",E845&lt;&gt;"!!!"),"NEW","")))</f>
        <v> </v>
      </c>
      <c r="G845" s="23" t="str">
        <f>IF(OR(E845="",E845="!!!"),"",IF(OR(J845=0,AND(J845=1,K845=1),AND(J845=1,I845="SBJ"),AND(J845=1,I845=0)),"?IN_FOCUS",IF(J845&lt;=2,"?ACTIVATED",IF(J845&lt;&gt;"","?FAMILIAR",IF(F845="NEW",IF(ISNA(VLOOKUP(E845,#REF!,1,FALSE())),"?TYPE_IDENTIFIABLE","?REFERENTIAL"),"_")))))</f>
        <v> </v>
      </c>
      <c r="H845" s="24" t="str">
        <f>IF(J845&lt;&gt;1,"",IF(I845="SBJ","CB","?"))</f>
        <v> </v>
      </c>
      <c r="I845" s="25" t="str">
        <f>IF(OR(E845="",E845="!!!",F845="NEW"),"",INDEX(B844:B$2,-1+SUMPRODUCT(MAX(ROW(E844:E$2)*(E845=E844:E$2)))))</f>
        <v> </v>
      </c>
      <c r="J845" s="25" t="str">
        <f>IF(OR(E845="",E845="!!!",F845="NEW"),"",COUNTBLANK(OFFSET(A$1,,,SUMPRODUCT(MAX(ROW(E$2:E845)*(E845=E$2:E845)))))-COUNTBLANK(OFFSET(A$1,,,SUMPRODUCT(MAX(ROW(E$1:E844)*(E2=E$1:E844))))))</f>
        <v> </v>
      </c>
      <c r="K845" s="25" t="str">
        <f>IF(OR(E845="",E845="!!!",F845="NEW"),"",INDEX(J$1:J844,SUMPRODUCT(MAX(ROW(E$1:E844)*(E845=E$1:E844)))))</f>
        <v> </v>
      </c>
      <c r="L845" s="26"/>
    </row>
    <row r="846" spans="1:12">
      <c r="A846" s="20" t="s">
        <v>326</v>
      </c>
      <c r="B846" s="27" t="s">
        <v>295</v>
      </c>
      <c r="C846" s="27" t="s">
        <v>327</v>
      </c>
      <c r="E846" s="21">
        <f>IF(D846="?OLD","!!!","")</f>
        <v/>
      </c>
      <c r="F846" s="22" t="str">
        <f>IF(OR(E846="",E846="!!!"),"",IF(NOT(ISNA(VLOOKUP(E846,E$1:E845,1,FALSE()))),"OLD",IF(AND(E846&lt;&gt;"",E846&lt;&gt;"!!!"),"NEW","")))</f>
        <v> </v>
      </c>
      <c r="G846" s="23" t="str">
        <f>IF(OR(E846="",E846="!!!"),"",IF(OR(J846=0,AND(J846=1,K846=1),AND(J846=1,I846="SBJ"),AND(J846=1,I846=0)),"?IN_FOCUS",IF(J846&lt;=2,"?ACTIVATED",IF(J846&lt;&gt;"","?FAMILIAR",IF(F846="NEW",IF(ISNA(VLOOKUP(E846,#REF!,1,FALSE())),"?TYPE_IDENTIFIABLE","?REFERENTIAL"),"_")))))</f>
        <v> </v>
      </c>
      <c r="H846" s="24" t="str">
        <f>IF(J846&lt;&gt;1,"",IF(I846="SBJ","CB","?"))</f>
        <v> </v>
      </c>
      <c r="I846" s="25" t="str">
        <f>IF(OR(E846="",E846="!!!",F846="NEW"),"",INDEX(B845:B$2,-1+SUMPRODUCT(MAX(ROW(E845:E$2)*(E846=E845:E$2)))))</f>
        <v> </v>
      </c>
      <c r="J846" s="25" t="str">
        <f>IF(OR(E846="",E846="!!!",F846="NEW"),"",COUNTBLANK(OFFSET(A$1,,,SUMPRODUCT(MAX(ROW(E$2:E846)*(E846=E$2:E846)))))-COUNTBLANK(OFFSET(A$1,,,SUMPRODUCT(MAX(ROW(E$1:E845)*(E2=E$1:E845))))))</f>
        <v> </v>
      </c>
      <c r="K846" s="25" t="str">
        <f>IF(OR(E846="",E846="!!!",F846="NEW"),"",INDEX(J$1:J845,SUMPRODUCT(MAX(ROW(E$1:E845)*(E846=E$1:E845)))))</f>
        <v> </v>
      </c>
      <c r="L846" s="26"/>
    </row>
    <row r="847" spans="1:12">
      <c r="A847" s="20" t="s">
        <v>633</v>
      </c>
      <c r="E847" s="21">
        <f>IF(D847="?OLD","!!!","")</f>
        <v/>
      </c>
      <c r="F847" s="22" t="str">
        <f>IF(OR(E847="",E847="!!!"),"",IF(NOT(ISNA(VLOOKUP(E847,E$1:E846,1,FALSE()))),"OLD",IF(AND(E847&lt;&gt;"",E847&lt;&gt;"!!!"),"NEW","")))</f>
        <v> </v>
      </c>
      <c r="G847" s="23" t="str">
        <f>IF(OR(E847="",E847="!!!"),"",IF(OR(J847=0,AND(J847=1,K847=1),AND(J847=1,I847="SBJ"),AND(J847=1,I847=0)),"?IN_FOCUS",IF(J847&lt;=2,"?ACTIVATED",IF(J847&lt;&gt;"","?FAMILIAR",IF(F847="NEW",IF(ISNA(VLOOKUP(E847,#REF!,1,FALSE())),"?TYPE_IDENTIFIABLE","?REFERENTIAL"),"_")))))</f>
        <v> </v>
      </c>
      <c r="H847" s="24" t="str">
        <f>IF(J847&lt;&gt;1,"",IF(I847="SBJ","CB","?"))</f>
        <v> </v>
      </c>
      <c r="I847" s="25" t="str">
        <f>IF(OR(E847="",E847="!!!",F847="NEW"),"",INDEX(B846:B$2,-1+SUMPRODUCT(MAX(ROW(E846:E$2)*(E847=E846:E$2)))))</f>
        <v> </v>
      </c>
      <c r="J847" s="25" t="str">
        <f>IF(OR(E847="",E847="!!!",F847="NEW"),"",COUNTBLANK(OFFSET(A$1,,,SUMPRODUCT(MAX(ROW(E$2:E847)*(E847=E$2:E847)))))-COUNTBLANK(OFFSET(A$1,,,SUMPRODUCT(MAX(ROW(E$1:E846)*(E2=E$1:E846))))))</f>
        <v> </v>
      </c>
      <c r="K847" s="25" t="str">
        <f>IF(OR(E847="",E847="!!!",F847="NEW"),"",INDEX(J$1:J846,SUMPRODUCT(MAX(ROW(E$1:E846)*(E847=E$1:E846)))))</f>
        <v> </v>
      </c>
      <c r="L847" s="26"/>
    </row>
    <row r="848" spans="1:12">
      <c r="A848" s="20" t="s">
        <v>406</v>
      </c>
      <c r="B848" s="27" t="s">
        <v>423</v>
      </c>
      <c r="C848" s="27" t="s">
        <v>256</v>
      </c>
      <c r="D848" s="27" t="s">
        <v>244</v>
      </c>
      <c r="E848" s="21">
        <f>IF(D848="?OLD","!!!","")</f>
        <v/>
      </c>
      <c r="F848" s="22" t="str">
        <f>IF(OR(E848="",E848="!!!"),"",IF(NOT(ISNA(VLOOKUP(E848,E$1:E847,1,FALSE()))),"OLD",IF(AND(E848&lt;&gt;"",E848&lt;&gt;"!!!"),"NEW","")))</f>
        <v> </v>
      </c>
      <c r="G848" s="23" t="str">
        <f>IF(OR(E848="",E848="!!!"),"",IF(OR(J848=0,AND(J848=1,K848=1),AND(J848=1,I848="SBJ"),AND(J848=1,I848=0)),"?IN_FOCUS",IF(J848&lt;=2,"?ACTIVATED",IF(J848&lt;&gt;"","?FAMILIAR",IF(F848="NEW",IF(ISNA(VLOOKUP(E848,#REF!,1,FALSE())),"?TYPE_IDENTIFIABLE","?REFERENTIAL"),"_")))))</f>
        <v> </v>
      </c>
      <c r="H848" s="24" t="str">
        <f>IF(J848&lt;&gt;1,"",IF(I848="SBJ","CB","?"))</f>
        <v> </v>
      </c>
      <c r="I848" s="25" t="str">
        <f>IF(OR(E848="",E848="!!!",F848="NEW"),"",INDEX(B847:B$2,-1+SUMPRODUCT(MAX(ROW(E847:E$2)*(E848=E847:E$2)))))</f>
        <v> </v>
      </c>
      <c r="J848" s="25" t="str">
        <f>IF(OR(E848="",E848="!!!",F848="NEW"),"",COUNTBLANK(OFFSET(A$1,,,SUMPRODUCT(MAX(ROW(E$2:E848)*(E848=E$2:E848)))))-COUNTBLANK(OFFSET(A$1,,,SUMPRODUCT(MAX(ROW(E$1:E847)*(E2=E$1:E847))))))</f>
        <v> </v>
      </c>
      <c r="K848" s="25" t="str">
        <f>IF(OR(E848="",E848="!!!",F848="NEW"),"",INDEX(J$1:J847,SUMPRODUCT(MAX(ROW(E$1:E847)*(E848=E$1:E847)))))</f>
        <v> </v>
      </c>
      <c r="L848" s="26"/>
    </row>
    <row r="849" spans="1:12">
      <c r="A849" s="20" t="s">
        <v>349</v>
      </c>
      <c r="E849" s="21">
        <f>IF(D849="?OLD","!!!","")</f>
        <v/>
      </c>
      <c r="F849" s="22" t="str">
        <f>IF(OR(E849="",E849="!!!"),"",IF(NOT(ISNA(VLOOKUP(E849,E$1:E848,1,FALSE()))),"OLD",IF(AND(E849&lt;&gt;"",E849&lt;&gt;"!!!"),"NEW","")))</f>
        <v> </v>
      </c>
      <c r="G849" s="23" t="str">
        <f>IF(OR(E849="",E849="!!!"),"",IF(OR(J849=0,AND(J849=1,K849=1),AND(J849=1,I849="SBJ"),AND(J849=1,I849=0)),"?IN_FOCUS",IF(J849&lt;=2,"?ACTIVATED",IF(J849&lt;&gt;"","?FAMILIAR",IF(F849="NEW",IF(ISNA(VLOOKUP(E849,#REF!,1,FALSE())),"?TYPE_IDENTIFIABLE","?REFERENTIAL"),"_")))))</f>
        <v> </v>
      </c>
      <c r="H849" s="24" t="str">
        <f>IF(J849&lt;&gt;1,"",IF(I849="SBJ","CB","?"))</f>
        <v> </v>
      </c>
      <c r="I849" s="25" t="str">
        <f>IF(OR(E849="",E849="!!!",F849="NEW"),"",INDEX(B848:B$2,-1+SUMPRODUCT(MAX(ROW(E848:E$2)*(E849=E848:E$2)))))</f>
        <v> </v>
      </c>
      <c r="J849" s="25" t="str">
        <f>IF(OR(E849="",E849="!!!",F849="NEW"),"",COUNTBLANK(OFFSET(A$1,,,SUMPRODUCT(MAX(ROW(E$2:E849)*(E849=E$2:E849)))))-COUNTBLANK(OFFSET(A$1,,,SUMPRODUCT(MAX(ROW(E$1:E848)*(E2=E$1:E848))))))</f>
        <v> </v>
      </c>
      <c r="K849" s="25" t="str">
        <f>IF(OR(E849="",E849="!!!",F849="NEW"),"",INDEX(J$1:J848,SUMPRODUCT(MAX(ROW(E$1:E848)*(E849=E$1:E848)))))</f>
        <v> </v>
      </c>
      <c r="L849" s="26"/>
    </row>
    <row r="850" spans="1:12">
      <c r="A850" s="20" t="s">
        <v>634</v>
      </c>
      <c r="E850" s="21">
        <f>IF(D850="?OLD","!!!","")</f>
        <v/>
      </c>
      <c r="F850" s="22" t="str">
        <f>IF(OR(E850="",E850="!!!"),"",IF(NOT(ISNA(VLOOKUP(E850,E$1:E849,1,FALSE()))),"OLD",IF(AND(E850&lt;&gt;"",E850&lt;&gt;"!!!"),"NEW","")))</f>
        <v> </v>
      </c>
      <c r="G850" s="23" t="str">
        <f>IF(OR(E850="",E850="!!!"),"",IF(OR(J850=0,AND(J850=1,K850=1),AND(J850=1,I850="SBJ"),AND(J850=1,I850=0)),"?IN_FOCUS",IF(J850&lt;=2,"?ACTIVATED",IF(J850&lt;&gt;"","?FAMILIAR",IF(F850="NEW",IF(ISNA(VLOOKUP(E850,#REF!,1,FALSE())),"?TYPE_IDENTIFIABLE","?REFERENTIAL"),"_")))))</f>
        <v> </v>
      </c>
      <c r="H850" s="24" t="str">
        <f>IF(J850&lt;&gt;1,"",IF(I850="SBJ","CB","?"))</f>
        <v> </v>
      </c>
      <c r="I850" s="25" t="str">
        <f>IF(OR(E850="",E850="!!!",F850="NEW"),"",INDEX(B849:B$2,-1+SUMPRODUCT(MAX(ROW(E849:E$2)*(E850=E849:E$2)))))</f>
        <v> </v>
      </c>
      <c r="J850" s="25" t="str">
        <f>IF(OR(E850="",E850="!!!",F850="NEW"),"",COUNTBLANK(OFFSET(A$1,,,SUMPRODUCT(MAX(ROW(E$2:E850)*(E850=E$2:E850)))))-COUNTBLANK(OFFSET(A$1,,,SUMPRODUCT(MAX(ROW(E$1:E849)*(E2=E$1:E849))))))</f>
        <v> </v>
      </c>
      <c r="K850" s="25" t="str">
        <f>IF(OR(E850="",E850="!!!",F850="NEW"),"",INDEX(J$1:J849,SUMPRODUCT(MAX(ROW(E$1:E849)*(E850=E$1:E849)))))</f>
        <v> </v>
      </c>
      <c r="L850" s="26"/>
    </row>
    <row r="851" spans="1:12">
      <c r="A851" s="20" t="s">
        <v>635</v>
      </c>
      <c r="E851" s="21">
        <f>IF(D851="?OLD","!!!","")</f>
        <v/>
      </c>
      <c r="F851" s="22" t="str">
        <f>IF(OR(E851="",E851="!!!"),"",IF(NOT(ISNA(VLOOKUP(E851,E$1:E850,1,FALSE()))),"OLD",IF(AND(E851&lt;&gt;"",E851&lt;&gt;"!!!"),"NEW","")))</f>
        <v> </v>
      </c>
      <c r="G851" s="23" t="str">
        <f>IF(OR(E851="",E851="!!!"),"",IF(OR(J851=0,AND(J851=1,K851=1),AND(J851=1,I851="SBJ"),AND(J851=1,I851=0)),"?IN_FOCUS",IF(J851&lt;=2,"?ACTIVATED",IF(J851&lt;&gt;"","?FAMILIAR",IF(F851="NEW",IF(ISNA(VLOOKUP(E851,#REF!,1,FALSE())),"?TYPE_IDENTIFIABLE","?REFERENTIAL"),"_")))))</f>
        <v> </v>
      </c>
      <c r="H851" s="24" t="str">
        <f>IF(J851&lt;&gt;1,"",IF(I851="SBJ","CB","?"))</f>
        <v> </v>
      </c>
      <c r="I851" s="25" t="str">
        <f>IF(OR(E851="",E851="!!!",F851="NEW"),"",INDEX(B850:B$2,-1+SUMPRODUCT(MAX(ROW(E850:E$2)*(E851=E850:E$2)))))</f>
        <v> </v>
      </c>
      <c r="J851" s="25" t="str">
        <f>IF(OR(E851="",E851="!!!",F851="NEW"),"",COUNTBLANK(OFFSET(A$1,,,SUMPRODUCT(MAX(ROW(E$2:E851)*(E851=E$2:E851)))))-COUNTBLANK(OFFSET(A$1,,,SUMPRODUCT(MAX(ROW(E$1:E850)*(E2=E$1:E850))))))</f>
        <v> </v>
      </c>
      <c r="K851" s="25" t="str">
        <f>IF(OR(E851="",E851="!!!",F851="NEW"),"",INDEX(J$1:J850,SUMPRODUCT(MAX(ROW(E$1:E850)*(E851=E$1:E850)))))</f>
        <v> </v>
      </c>
      <c r="L851" s="26"/>
    </row>
    <row r="852" spans="1:12">
      <c r="A852" s="20" t="s">
        <v>551</v>
      </c>
      <c r="E852" s="21">
        <f>IF(D852="?OLD","!!!","")</f>
        <v/>
      </c>
      <c r="F852" s="22" t="str">
        <f>IF(OR(E852="",E852="!!!"),"",IF(NOT(ISNA(VLOOKUP(E852,E$1:E851,1,FALSE()))),"OLD",IF(AND(E852&lt;&gt;"",E852&lt;&gt;"!!!"),"NEW","")))</f>
        <v> </v>
      </c>
      <c r="G852" s="23" t="str">
        <f>IF(OR(E852="",E852="!!!"),"",IF(OR(J852=0,AND(J852=1,K852=1),AND(J852=1,I852="SBJ"),AND(J852=1,I852=0)),"?IN_FOCUS",IF(J852&lt;=2,"?ACTIVATED",IF(J852&lt;&gt;"","?FAMILIAR",IF(F852="NEW",IF(ISNA(VLOOKUP(E852,#REF!,1,FALSE())),"?TYPE_IDENTIFIABLE","?REFERENTIAL"),"_")))))</f>
        <v> </v>
      </c>
      <c r="H852" s="24" t="str">
        <f>IF(J852&lt;&gt;1,"",IF(I852="SBJ","CB","?"))</f>
        <v> </v>
      </c>
      <c r="I852" s="25" t="str">
        <f>IF(OR(E852="",E852="!!!",F852="NEW"),"",INDEX(B851:B$2,-1+SUMPRODUCT(MAX(ROW(E851:E$2)*(E852=E851:E$2)))))</f>
        <v> </v>
      </c>
      <c r="J852" s="25" t="str">
        <f>IF(OR(E852="",E852="!!!",F852="NEW"),"",COUNTBLANK(OFFSET(A$1,,,SUMPRODUCT(MAX(ROW(E$2:E852)*(E852=E$2:E852)))))-COUNTBLANK(OFFSET(A$1,,,SUMPRODUCT(MAX(ROW(E$1:E851)*(E2=E$1:E851))))))</f>
        <v> </v>
      </c>
      <c r="K852" s="25" t="str">
        <f>IF(OR(E852="",E852="!!!",F852="NEW"),"",INDEX(J$1:J851,SUMPRODUCT(MAX(ROW(E$1:E851)*(E852=E$1:E851)))))</f>
        <v> </v>
      </c>
      <c r="L852" s="26"/>
    </row>
    <row r="853" spans="1:12">
      <c r="A853" s="20" t="s">
        <v>391</v>
      </c>
      <c r="E853" s="21">
        <f>IF(D853="?OLD","!!!","")</f>
        <v/>
      </c>
      <c r="F853" s="22" t="str">
        <f>IF(OR(E853="",E853="!!!"),"",IF(NOT(ISNA(VLOOKUP(E853,E$1:E852,1,FALSE()))),"OLD",IF(AND(E853&lt;&gt;"",E853&lt;&gt;"!!!"),"NEW","")))</f>
        <v> </v>
      </c>
      <c r="G853" s="23" t="str">
        <f>IF(OR(E853="",E853="!!!"),"",IF(OR(J853=0,AND(J853=1,K853=1),AND(J853=1,I853="SBJ"),AND(J853=1,I853=0)),"?IN_FOCUS",IF(J853&lt;=2,"?ACTIVATED",IF(J853&lt;&gt;"","?FAMILIAR",IF(F853="NEW",IF(ISNA(VLOOKUP(E853,#REF!,1,FALSE())),"?TYPE_IDENTIFIABLE","?REFERENTIAL"),"_")))))</f>
        <v> </v>
      </c>
      <c r="H853" s="24" t="str">
        <f>IF(J853&lt;&gt;1,"",IF(I853="SBJ","CB","?"))</f>
        <v> </v>
      </c>
      <c r="I853" s="25" t="str">
        <f>IF(OR(E853="",E853="!!!",F853="NEW"),"",INDEX(B852:B$2,-1+SUMPRODUCT(MAX(ROW(E852:E$2)*(E853=E852:E$2)))))</f>
        <v> </v>
      </c>
      <c r="J853" s="25" t="str">
        <f>IF(OR(E853="",E853="!!!",F853="NEW"),"",COUNTBLANK(OFFSET(A$1,,,SUMPRODUCT(MAX(ROW(E$2:E853)*(E853=E$2:E853)))))-COUNTBLANK(OFFSET(A$1,,,SUMPRODUCT(MAX(ROW(E$1:E852)*(E2=E$1:E852))))))</f>
        <v> </v>
      </c>
      <c r="K853" s="25" t="str">
        <f>IF(OR(E853="",E853="!!!",F853="NEW"),"",INDEX(J$1:J852,SUMPRODUCT(MAX(ROW(E$1:E852)*(E853=E$1:E852)))))</f>
        <v> </v>
      </c>
      <c r="L853" s="26"/>
    </row>
    <row r="854" spans="1:12">
      <c r="A854" s="20" t="s">
        <v>349</v>
      </c>
      <c r="E854" s="21">
        <f>IF(D854="?OLD","!!!","")</f>
        <v/>
      </c>
      <c r="F854" s="22" t="str">
        <f>IF(OR(E854="",E854="!!!"),"",IF(NOT(ISNA(VLOOKUP(E854,E$1:E853,1,FALSE()))),"OLD",IF(AND(E854&lt;&gt;"",E854&lt;&gt;"!!!"),"NEW","")))</f>
        <v> </v>
      </c>
      <c r="G854" s="23" t="str">
        <f>IF(OR(E854="",E854="!!!"),"",IF(OR(J854=0,AND(J854=1,K854=1),AND(J854=1,I854="SBJ"),AND(J854=1,I854=0)),"?IN_FOCUS",IF(J854&lt;=2,"?ACTIVATED",IF(J854&lt;&gt;"","?FAMILIAR",IF(F854="NEW",IF(ISNA(VLOOKUP(E854,#REF!,1,FALSE())),"?TYPE_IDENTIFIABLE","?REFERENTIAL"),"_")))))</f>
        <v> </v>
      </c>
      <c r="H854" s="24" t="str">
        <f>IF(J854&lt;&gt;1,"",IF(I854="SBJ","CB","?"))</f>
        <v> </v>
      </c>
      <c r="I854" s="25" t="str">
        <f>IF(OR(E854="",E854="!!!",F854="NEW"),"",INDEX(B853:B$2,-1+SUMPRODUCT(MAX(ROW(E853:E$2)*(E854=E853:E$2)))))</f>
        <v> </v>
      </c>
      <c r="J854" s="25" t="str">
        <f>IF(OR(E854="",E854="!!!",F854="NEW"),"",COUNTBLANK(OFFSET(A$1,,,SUMPRODUCT(MAX(ROW(E$2:E854)*(E854=E$2:E854)))))-COUNTBLANK(OFFSET(A$1,,,SUMPRODUCT(MAX(ROW(E$1:E853)*(E2=E$1:E853))))))</f>
        <v> </v>
      </c>
      <c r="K854" s="25" t="str">
        <f>IF(OR(E854="",E854="!!!",F854="NEW"),"",INDEX(J$1:J853,SUMPRODUCT(MAX(ROW(E$1:E853)*(E854=E$1:E853)))))</f>
        <v> </v>
      </c>
      <c r="L854" s="26"/>
    </row>
    <row r="855" spans="1:12">
      <c r="A855" s="20" t="s">
        <v>380</v>
      </c>
      <c r="E855" s="21">
        <f>IF(D855="?OLD","!!!","")</f>
        <v/>
      </c>
      <c r="F855" s="22" t="str">
        <f>IF(OR(E855="",E855="!!!"),"",IF(NOT(ISNA(VLOOKUP(E855,E$1:E854,1,FALSE()))),"OLD",IF(AND(E855&lt;&gt;"",E855&lt;&gt;"!!!"),"NEW","")))</f>
        <v> </v>
      </c>
      <c r="G855" s="23" t="str">
        <f>IF(OR(E855="",E855="!!!"),"",IF(OR(J855=0,AND(J855=1,K855=1),AND(J855=1,I855="SBJ"),AND(J855=1,I855=0)),"?IN_FOCUS",IF(J855&lt;=2,"?ACTIVATED",IF(J855&lt;&gt;"","?FAMILIAR",IF(F855="NEW",IF(ISNA(VLOOKUP(E855,#REF!,1,FALSE())),"?TYPE_IDENTIFIABLE","?REFERENTIAL"),"_")))))</f>
        <v> </v>
      </c>
      <c r="H855" s="24" t="str">
        <f>IF(J855&lt;&gt;1,"",IF(I855="SBJ","CB","?"))</f>
        <v> </v>
      </c>
      <c r="I855" s="25" t="str">
        <f>IF(OR(E855="",E855="!!!",F855="NEW"),"",INDEX(B854:B$2,-1+SUMPRODUCT(MAX(ROW(E854:E$2)*(E855=E854:E$2)))))</f>
        <v> </v>
      </c>
      <c r="J855" s="25" t="str">
        <f>IF(OR(E855="",E855="!!!",F855="NEW"),"",COUNTBLANK(OFFSET(A$1,,,SUMPRODUCT(MAX(ROW(E$2:E855)*(E855=E$2:E855)))))-COUNTBLANK(OFFSET(A$1,,,SUMPRODUCT(MAX(ROW(E$1:E854)*(E2=E$1:E854))))))</f>
        <v> </v>
      </c>
      <c r="K855" s="25" t="str">
        <f>IF(OR(E855="",E855="!!!",F855="NEW"),"",INDEX(J$1:J854,SUMPRODUCT(MAX(ROW(E$1:E854)*(E855=E$1:E854)))))</f>
        <v> </v>
      </c>
      <c r="L855" s="26"/>
    </row>
    <row r="856" spans="1:12">
      <c r="A856" s="20" t="s">
        <v>248</v>
      </c>
      <c r="E856" s="21">
        <f>IF(D856="?OLD","!!!","")</f>
        <v/>
      </c>
      <c r="F856" s="22" t="str">
        <f>IF(OR(E856="",E856="!!!"),"",IF(NOT(ISNA(VLOOKUP(E856,E$1:E855,1,FALSE()))),"OLD",IF(AND(E856&lt;&gt;"",E856&lt;&gt;"!!!"),"NEW","")))</f>
        <v> </v>
      </c>
      <c r="G856" s="23" t="str">
        <f>IF(OR(E856="",E856="!!!"),"",IF(OR(J856=0,AND(J856=1,K856=1),AND(J856=1,I856="SBJ"),AND(J856=1,I856=0)),"?IN_FOCUS",IF(J856&lt;=2,"?ACTIVATED",IF(J856&lt;&gt;"","?FAMILIAR",IF(F856="NEW",IF(ISNA(VLOOKUP(E856,#REF!,1,FALSE())),"?TYPE_IDENTIFIABLE","?REFERENTIAL"),"_")))))</f>
        <v> </v>
      </c>
      <c r="H856" s="24" t="str">
        <f>IF(J856&lt;&gt;1,"",IF(I856="SBJ","CB","?"))</f>
        <v> </v>
      </c>
      <c r="I856" s="25" t="str">
        <f>IF(OR(E856="",E856="!!!",F856="NEW"),"",INDEX(B855:B$2,-1+SUMPRODUCT(MAX(ROW(E855:E$2)*(E856=E855:E$2)))))</f>
        <v> </v>
      </c>
      <c r="J856" s="25" t="str">
        <f>IF(OR(E856="",E856="!!!",F856="NEW"),"",COUNTBLANK(OFFSET(A$1,,,SUMPRODUCT(MAX(ROW(E$2:E856)*(E856=E$2:E856)))))-COUNTBLANK(OFFSET(A$1,,,SUMPRODUCT(MAX(ROW(E$1:E855)*(E2=E$1:E855))))))</f>
        <v> </v>
      </c>
      <c r="K856" s="25" t="str">
        <f>IF(OR(E856="",E856="!!!",F856="NEW"),"",INDEX(J$1:J855,SUMPRODUCT(MAX(ROW(E$1:E855)*(E856=E$1:E855)))))</f>
        <v> </v>
      </c>
      <c r="L856" s="26"/>
    </row>
    <row r="857" spans="1:12">
      <c r="A857" s="20" t="s">
        <v>249</v>
      </c>
      <c r="E857" s="21">
        <f>IF(D857="?OLD","!!!","")</f>
        <v/>
      </c>
      <c r="F857" s="22" t="str">
        <f>IF(OR(E857="",E857="!!!"),"",IF(NOT(ISNA(VLOOKUP(E857,E$1:E856,1,FALSE()))),"OLD",IF(AND(E857&lt;&gt;"",E857&lt;&gt;"!!!"),"NEW","")))</f>
        <v> </v>
      </c>
      <c r="G857" s="23" t="str">
        <f>IF(OR(E857="",E857="!!!"),"",IF(OR(J857=0,AND(J857=1,K857=1),AND(J857=1,I857="SBJ"),AND(J857=1,I857=0)),"?IN_FOCUS",IF(J857&lt;=2,"?ACTIVATED",IF(J857&lt;&gt;"","?FAMILIAR",IF(F857="NEW",IF(ISNA(VLOOKUP(E857,#REF!,1,FALSE())),"?TYPE_IDENTIFIABLE","?REFERENTIAL"),"_")))))</f>
        <v> </v>
      </c>
      <c r="H857" s="24" t="str">
        <f>IF(J857&lt;&gt;1,"",IF(I857="SBJ","CB","?"))</f>
        <v> </v>
      </c>
      <c r="I857" s="25" t="str">
        <f>IF(OR(E857="",E857="!!!",F857="NEW"),"",INDEX(B856:B$2,-1+SUMPRODUCT(MAX(ROW(E856:E$2)*(E857=E856:E$2)))))</f>
        <v> </v>
      </c>
      <c r="J857" s="25" t="str">
        <f>IF(OR(E857="",E857="!!!",F857="NEW"),"",COUNTBLANK(OFFSET(A$1,,,SUMPRODUCT(MAX(ROW(E$2:E857)*(E857=E$2:E857)))))-COUNTBLANK(OFFSET(A$1,,,SUMPRODUCT(MAX(ROW(E$1:E856)*(E2=E$1:E856))))))</f>
        <v> </v>
      </c>
      <c r="K857" s="25" t="str">
        <f>IF(OR(E857="",E857="!!!",F857="NEW"),"",INDEX(J$1:J856,SUMPRODUCT(MAX(ROW(E$1:E856)*(E857=E$1:E856)))))</f>
        <v> </v>
      </c>
      <c r="L857" s="26"/>
    </row>
    <row r="858" spans="1:12">
      <c r="A858" s="20" t="s">
        <v>250</v>
      </c>
      <c r="B858" s="27" t="s">
        <v>381</v>
      </c>
      <c r="C858" s="27" t="s">
        <v>252</v>
      </c>
      <c r="D858" s="27" t="s">
        <v>244</v>
      </c>
      <c r="E858" s="21">
        <f>IF(D858="?OLD","!!!","")</f>
        <v/>
      </c>
      <c r="F858" s="22" t="str">
        <f>IF(OR(E858="",E858="!!!"),"",IF(NOT(ISNA(VLOOKUP(E858,E$1:E857,1,FALSE()))),"OLD",IF(AND(E858&lt;&gt;"",E858&lt;&gt;"!!!"),"NEW","")))</f>
        <v> </v>
      </c>
      <c r="G858" s="23" t="str">
        <f>IF(OR(E858="",E858="!!!"),"",IF(OR(J858=0,AND(J858=1,K858=1),AND(J858=1,I858="SBJ"),AND(J858=1,I858=0)),"?IN_FOCUS",IF(J858&lt;=2,"?ACTIVATED",IF(J858&lt;&gt;"","?FAMILIAR",IF(F858="NEW",IF(ISNA(VLOOKUP(E858,#REF!,1,FALSE())),"?TYPE_IDENTIFIABLE","?REFERENTIAL"),"_")))))</f>
        <v> </v>
      </c>
      <c r="H858" s="24" t="str">
        <f>IF(J858&lt;&gt;1,"",IF(I858="SBJ","CB","?"))</f>
        <v> </v>
      </c>
      <c r="I858" s="25" t="str">
        <f>IF(OR(E858="",E858="!!!",F858="NEW"),"",INDEX(B857:B$2,-1+SUMPRODUCT(MAX(ROW(E857:E$2)*(E858=E857:E$2)))))</f>
        <v> </v>
      </c>
      <c r="J858" s="25" t="str">
        <f>IF(OR(E858="",E858="!!!",F858="NEW"),"",COUNTBLANK(OFFSET(A$1,,,SUMPRODUCT(MAX(ROW(E$2:E858)*(E858=E$2:E858)))))-COUNTBLANK(OFFSET(A$1,,,SUMPRODUCT(MAX(ROW(E$1:E857)*(E2=E$1:E857))))))</f>
        <v> </v>
      </c>
      <c r="K858" s="25" t="str">
        <f>IF(OR(E858="",E858="!!!",F858="NEW"),"",INDEX(J$1:J857,SUMPRODUCT(MAX(ROW(E$1:E857)*(E858=E$1:E857)))))</f>
        <v> </v>
      </c>
      <c r="L858" s="26"/>
    </row>
    <row r="859" spans="1:12">
      <c r="A859" s="20" t="s">
        <v>285</v>
      </c>
      <c r="E859" s="21">
        <f>IF(D859="?OLD","!!!","")</f>
        <v/>
      </c>
      <c r="F859" s="22" t="str">
        <f>IF(OR(E859="",E859="!!!"),"",IF(NOT(ISNA(VLOOKUP(E859,E$1:E858,1,FALSE()))),"OLD",IF(AND(E859&lt;&gt;"",E859&lt;&gt;"!!!"),"NEW","")))</f>
        <v> </v>
      </c>
      <c r="G859" s="23" t="str">
        <f>IF(OR(E859="",E859="!!!"),"",IF(OR(J859=0,AND(J859=1,K859=1),AND(J859=1,I859="SBJ"),AND(J859=1,I859=0)),"?IN_FOCUS",IF(J859&lt;=2,"?ACTIVATED",IF(J859&lt;&gt;"","?FAMILIAR",IF(F859="NEW",IF(ISNA(VLOOKUP(E859,#REF!,1,FALSE())),"?TYPE_IDENTIFIABLE","?REFERENTIAL"),"_")))))</f>
        <v> </v>
      </c>
      <c r="H859" s="24" t="str">
        <f>IF(J859&lt;&gt;1,"",IF(I859="SBJ","CB","?"))</f>
        <v> </v>
      </c>
      <c r="I859" s="25" t="str">
        <f>IF(OR(E859="",E859="!!!",F859="NEW"),"",INDEX(B858:B$2,-1+SUMPRODUCT(MAX(ROW(E858:E$2)*(E859=E858:E$2)))))</f>
        <v> </v>
      </c>
      <c r="J859" s="25" t="str">
        <f>IF(OR(E859="",E859="!!!",F859="NEW"),"",COUNTBLANK(OFFSET(A$1,,,SUMPRODUCT(MAX(ROW(E$2:E859)*(E859=E$2:E859)))))-COUNTBLANK(OFFSET(A$1,,,SUMPRODUCT(MAX(ROW(E$1:E858)*(E2=E$1:E858))))))</f>
        <v> </v>
      </c>
      <c r="K859" s="25" t="str">
        <f>IF(OR(E859="",E859="!!!",F859="NEW"),"",INDEX(J$1:J858,SUMPRODUCT(MAX(ROW(E$1:E858)*(E859=E$1:E858)))))</f>
        <v> </v>
      </c>
      <c r="L859" s="26"/>
    </row>
    <row r="860" spans="1:12">
      <c r="A860" s="20"/>
    </row>
    <row r="861" spans="1:12">
      <c r="A861" s="20" t="s">
        <v>636</v>
      </c>
    </row>
    <row r="862" spans="1:12">
      <c r="A862" s="20" t="s">
        <v>637</v>
      </c>
      <c r="E862" s="21">
        <f>IF(D862="?OLD","!!!","")</f>
        <v/>
      </c>
      <c r="F862" s="22" t="str">
        <f>IF(OR(E862="",E862="!!!"),"",IF(NOT(ISNA(VLOOKUP(E862,E$1:E861,1,FALSE()))),"OLD",IF(AND(E862&lt;&gt;"",E862&lt;&gt;"!!!"),"NEW","")))</f>
        <v> </v>
      </c>
      <c r="G862" s="23" t="str">
        <f>IF(OR(E862="",E862="!!!"),"",IF(OR(J862=0,AND(J862=1,K862=1),AND(J862=1,I862="SBJ"),AND(J862=1,I862=0)),"?IN_FOCUS",IF(J862&lt;=2,"?ACTIVATED",IF(J862&lt;&gt;"","?FAMILIAR",IF(F862="NEW",IF(ISNA(VLOOKUP(E862,#REF!,1,FALSE())),"?TYPE_IDENTIFIABLE","?REFERENTIAL"),"_")))))</f>
        <v> </v>
      </c>
      <c r="H862" s="24" t="str">
        <f>IF(J862&lt;&gt;1,"",IF(I862="SBJ","CB","?"))</f>
        <v> </v>
      </c>
      <c r="I862" s="25" t="str">
        <f>IF(OR(E862="",E862="!!!",F862="NEW"),"",INDEX(B861:B$2,-1+SUMPRODUCT(MAX(ROW(E861:E$2)*(E862=E861:E$2)))))</f>
        <v> </v>
      </c>
      <c r="J862" s="25" t="str">
        <f>IF(OR(E862="",E862="!!!",F862="NEW"),"",COUNTBLANK(OFFSET(A$1,,,SUMPRODUCT(MAX(ROW(E$2:E862)*(E862=E$2:E862)))))-COUNTBLANK(OFFSET(A$1,,,SUMPRODUCT(MAX(ROW(E$1:E861)*(E2=E$1:E861))))))</f>
        <v> </v>
      </c>
      <c r="K862" s="25" t="str">
        <f>IF(OR(E862="",E862="!!!",F862="NEW"),"",INDEX(J$1:J861,SUMPRODUCT(MAX(ROW(E$1:E861)*(E862=E$1:E861)))))</f>
        <v> </v>
      </c>
      <c r="L862" s="26"/>
    </row>
    <row r="863" spans="1:12">
      <c r="A863" s="20" t="s">
        <v>638</v>
      </c>
      <c r="E863" s="21">
        <f>IF(D863="?OLD","!!!","")</f>
        <v/>
      </c>
      <c r="F863" s="22" t="str">
        <f>IF(OR(E863="",E863="!!!"),"",IF(NOT(ISNA(VLOOKUP(E863,E$1:E862,1,FALSE()))),"OLD",IF(AND(E863&lt;&gt;"",E863&lt;&gt;"!!!"),"NEW","")))</f>
        <v> </v>
      </c>
      <c r="G863" s="23" t="str">
        <f>IF(OR(E863="",E863="!!!"),"",IF(OR(J863=0,AND(J863=1,K863=1),AND(J863=1,I863="SBJ"),AND(J863=1,I863=0)),"?IN_FOCUS",IF(J863&lt;=2,"?ACTIVATED",IF(J863&lt;&gt;"","?FAMILIAR",IF(F863="NEW",IF(ISNA(VLOOKUP(E863,#REF!,1,FALSE())),"?TYPE_IDENTIFIABLE","?REFERENTIAL"),"_")))))</f>
        <v> </v>
      </c>
      <c r="H863" s="24" t="str">
        <f>IF(J863&lt;&gt;1,"",IF(I863="SBJ","CB","?"))</f>
        <v> </v>
      </c>
      <c r="I863" s="25" t="str">
        <f>IF(OR(E863="",E863="!!!",F863="NEW"),"",INDEX(B862:B$2,-1+SUMPRODUCT(MAX(ROW(E862:E$2)*(E863=E862:E$2)))))</f>
        <v> </v>
      </c>
      <c r="J863" s="25" t="str">
        <f>IF(OR(E863="",E863="!!!",F863="NEW"),"",COUNTBLANK(OFFSET(A$1,,,SUMPRODUCT(MAX(ROW(E$2:E863)*(E863=E$2:E863)))))-COUNTBLANK(OFFSET(A$1,,,SUMPRODUCT(MAX(ROW(E$1:E862)*(E2=E$1:E862))))))</f>
        <v> </v>
      </c>
      <c r="K863" s="25" t="str">
        <f>IF(OR(E863="",E863="!!!",F863="NEW"),"",INDEX(J$1:J862,SUMPRODUCT(MAX(ROW(E$1:E862)*(E863=E$1:E862)))))</f>
        <v> </v>
      </c>
      <c r="L863" s="26"/>
    </row>
    <row r="864" spans="1:12">
      <c r="A864" s="20" t="s">
        <v>639</v>
      </c>
      <c r="B864" s="27" t="s">
        <v>291</v>
      </c>
      <c r="C864" s="27" t="s">
        <v>238</v>
      </c>
      <c r="E864" s="21">
        <f>IF(D864="?OLD","!!!","")</f>
        <v/>
      </c>
      <c r="F864" s="22" t="str">
        <f>IF(OR(E864="",E864="!!!"),"",IF(NOT(ISNA(VLOOKUP(E864,E$1:E863,1,FALSE()))),"OLD",IF(AND(E864&lt;&gt;"",E864&lt;&gt;"!!!"),"NEW","")))</f>
        <v> </v>
      </c>
      <c r="G864" s="23" t="str">
        <f>IF(OR(E864="",E864="!!!"),"",IF(OR(J864=0,AND(J864=1,K864=1),AND(J864=1,I864="SBJ"),AND(J864=1,I864=0)),"?IN_FOCUS",IF(J864&lt;=2,"?ACTIVATED",IF(J864&lt;&gt;"","?FAMILIAR",IF(F864="NEW",IF(ISNA(VLOOKUP(E864,#REF!,1,FALSE())),"?TYPE_IDENTIFIABLE","?REFERENTIAL"),"_")))))</f>
        <v> </v>
      </c>
      <c r="H864" s="24" t="str">
        <f>IF(J864&lt;&gt;1,"",IF(I864="SBJ","CB","?"))</f>
        <v> </v>
      </c>
      <c r="I864" s="25" t="str">
        <f>IF(OR(E864="",E864="!!!",F864="NEW"),"",INDEX(B863:B$2,-1+SUMPRODUCT(MAX(ROW(E863:E$2)*(E864=E863:E$2)))))</f>
        <v> </v>
      </c>
      <c r="J864" s="25" t="str">
        <f>IF(OR(E864="",E864="!!!",F864="NEW"),"",COUNTBLANK(OFFSET(A$1,,,SUMPRODUCT(MAX(ROW(E$2:E864)*(E864=E$2:E864)))))-COUNTBLANK(OFFSET(A$1,,,SUMPRODUCT(MAX(ROW(E$1:E863)*(E2=E$1:E863))))))</f>
        <v> </v>
      </c>
      <c r="K864" s="25" t="str">
        <f>IF(OR(E864="",E864="!!!",F864="NEW"),"",INDEX(J$1:J863,SUMPRODUCT(MAX(ROW(E$1:E863)*(E864=E$1:E863)))))</f>
        <v> </v>
      </c>
      <c r="L864" s="26"/>
    </row>
    <row r="865" spans="1:12">
      <c r="A865" s="20" t="s">
        <v>346</v>
      </c>
      <c r="E865" s="21">
        <f>IF(D865="?OLD","!!!","")</f>
        <v/>
      </c>
      <c r="F865" s="22" t="str">
        <f>IF(OR(E865="",E865="!!!"),"",IF(NOT(ISNA(VLOOKUP(E865,E$1:E864,1,FALSE()))),"OLD",IF(AND(E865&lt;&gt;"",E865&lt;&gt;"!!!"),"NEW","")))</f>
        <v> </v>
      </c>
      <c r="G865" s="23" t="str">
        <f>IF(OR(E865="",E865="!!!"),"",IF(OR(J865=0,AND(J865=1,K865=1),AND(J865=1,I865="SBJ"),AND(J865=1,I865=0)),"?IN_FOCUS",IF(J865&lt;=2,"?ACTIVATED",IF(J865&lt;&gt;"","?FAMILIAR",IF(F865="NEW",IF(ISNA(VLOOKUP(E865,#REF!,1,FALSE())),"?TYPE_IDENTIFIABLE","?REFERENTIAL"),"_")))))</f>
        <v> </v>
      </c>
      <c r="H865" s="24" t="str">
        <f>IF(J865&lt;&gt;1,"",IF(I865="SBJ","CB","?"))</f>
        <v> </v>
      </c>
      <c r="I865" s="25" t="str">
        <f>IF(OR(E865="",E865="!!!",F865="NEW"),"",INDEX(B864:B$2,-1+SUMPRODUCT(MAX(ROW(E864:E$2)*(E865=E864:E$2)))))</f>
        <v> </v>
      </c>
      <c r="J865" s="25" t="str">
        <f>IF(OR(E865="",E865="!!!",F865="NEW"),"",COUNTBLANK(OFFSET(A$1,,,SUMPRODUCT(MAX(ROW(E$2:E865)*(E865=E$2:E865)))))-COUNTBLANK(OFFSET(A$1,,,SUMPRODUCT(MAX(ROW(E$1:E864)*(E2=E$1:E864))))))</f>
        <v> </v>
      </c>
      <c r="K865" s="25" t="str">
        <f>IF(OR(E865="",E865="!!!",F865="NEW"),"",INDEX(J$1:J864,SUMPRODUCT(MAX(ROW(E$1:E864)*(E865=E$1:E864)))))</f>
        <v> </v>
      </c>
      <c r="L865" s="26"/>
    </row>
    <row r="866" spans="1:12">
      <c r="A866" s="20" t="s">
        <v>393</v>
      </c>
      <c r="B866" s="27" t="s">
        <v>255</v>
      </c>
      <c r="C866" s="27" t="s">
        <v>256</v>
      </c>
      <c r="D866" s="27" t="s">
        <v>244</v>
      </c>
      <c r="E866" s="21">
        <f>IF(D866="?OLD","!!!","")</f>
        <v/>
      </c>
      <c r="F866" s="22" t="str">
        <f>IF(OR(E866="",E866="!!!"),"",IF(NOT(ISNA(VLOOKUP(E866,E$1:E865,1,FALSE()))),"OLD",IF(AND(E866&lt;&gt;"",E866&lt;&gt;"!!!"),"NEW","")))</f>
        <v> </v>
      </c>
      <c r="G866" s="23" t="str">
        <f>IF(OR(E866="",E866="!!!"),"",IF(OR(J866=0,AND(J866=1,K866=1),AND(J866=1,I866="SBJ"),AND(J866=1,I866=0)),"?IN_FOCUS",IF(J866&lt;=2,"?ACTIVATED",IF(J866&lt;&gt;"","?FAMILIAR",IF(F866="NEW",IF(ISNA(VLOOKUP(E866,#REF!,1,FALSE())),"?TYPE_IDENTIFIABLE","?REFERENTIAL"),"_")))))</f>
        <v> </v>
      </c>
      <c r="H866" s="24" t="str">
        <f>IF(J866&lt;&gt;1,"",IF(I866="SBJ","CB","?"))</f>
        <v> </v>
      </c>
      <c r="I866" s="25" t="str">
        <f>IF(OR(E866="",E866="!!!",F866="NEW"),"",INDEX(B865:B$2,-1+SUMPRODUCT(MAX(ROW(E865:E$2)*(E866=E865:E$2)))))</f>
        <v> </v>
      </c>
      <c r="J866" s="25" t="str">
        <f>IF(OR(E866="",E866="!!!",F866="NEW"),"",COUNTBLANK(OFFSET(A$1,,,SUMPRODUCT(MAX(ROW(E$2:E866)*(E866=E$2:E866)))))-COUNTBLANK(OFFSET(A$1,,,SUMPRODUCT(MAX(ROW(E$1:E865)*(E2=E$1:E865))))))</f>
        <v> </v>
      </c>
      <c r="K866" s="25" t="str">
        <f>IF(OR(E866="",E866="!!!",F866="NEW"),"",INDEX(J$1:J865,SUMPRODUCT(MAX(ROW(E$1:E865)*(E866=E$1:E865)))))</f>
        <v> </v>
      </c>
      <c r="L866" s="26"/>
    </row>
    <row r="867" spans="1:12">
      <c r="A867" s="20" t="s">
        <v>640</v>
      </c>
      <c r="E867" s="21">
        <f>IF(D867="?OLD","!!!","")</f>
        <v/>
      </c>
      <c r="F867" s="22" t="str">
        <f>IF(OR(E867="",E867="!!!"),"",IF(NOT(ISNA(VLOOKUP(E867,E$1:E866,1,FALSE()))),"OLD",IF(AND(E867&lt;&gt;"",E867&lt;&gt;"!!!"),"NEW","")))</f>
        <v> </v>
      </c>
      <c r="G867" s="23" t="str">
        <f>IF(OR(E867="",E867="!!!"),"",IF(OR(J867=0,AND(J867=1,K867=1),AND(J867=1,I867="SBJ"),AND(J867=1,I867=0)),"?IN_FOCUS",IF(J867&lt;=2,"?ACTIVATED",IF(J867&lt;&gt;"","?FAMILIAR",IF(F867="NEW",IF(ISNA(VLOOKUP(E867,#REF!,1,FALSE())),"?TYPE_IDENTIFIABLE","?REFERENTIAL"),"_")))))</f>
        <v> </v>
      </c>
      <c r="H867" s="24" t="str">
        <f>IF(J867&lt;&gt;1,"",IF(I867="SBJ","CB","?"))</f>
        <v> </v>
      </c>
      <c r="I867" s="25" t="str">
        <f>IF(OR(E867="",E867="!!!",F867="NEW"),"",INDEX(B866:B$2,-1+SUMPRODUCT(MAX(ROW(E866:E$2)*(E867=E866:E$2)))))</f>
        <v> </v>
      </c>
      <c r="J867" s="25" t="str">
        <f>IF(OR(E867="",E867="!!!",F867="NEW"),"",COUNTBLANK(OFFSET(A$1,,,SUMPRODUCT(MAX(ROW(E$2:E867)*(E867=E$2:E867)))))-COUNTBLANK(OFFSET(A$1,,,SUMPRODUCT(MAX(ROW(E$1:E866)*(E2=E$1:E866))))))</f>
        <v> </v>
      </c>
      <c r="K867" s="25" t="str">
        <f>IF(OR(E867="",E867="!!!",F867="NEW"),"",INDEX(J$1:J866,SUMPRODUCT(MAX(ROW(E$1:E866)*(E867=E$1:E866)))))</f>
        <v> </v>
      </c>
      <c r="L867" s="26"/>
    </row>
    <row r="868" spans="1:12">
      <c r="A868" s="20" t="s">
        <v>458</v>
      </c>
      <c r="B868" s="27" t="s">
        <v>251</v>
      </c>
      <c r="C868" s="27" t="s">
        <v>343</v>
      </c>
      <c r="D868" s="27" t="s">
        <v>244</v>
      </c>
      <c r="E868" s="21">
        <f>IF(D868="?OLD","!!!","")</f>
        <v/>
      </c>
      <c r="F868" s="22" t="str">
        <f>IF(OR(E868="",E868="!!!"),"",IF(NOT(ISNA(VLOOKUP(E868,E$1:E867,1,FALSE()))),"OLD",IF(AND(E868&lt;&gt;"",E868&lt;&gt;"!!!"),"NEW","")))</f>
        <v> </v>
      </c>
      <c r="G868" s="23" t="str">
        <f>IF(OR(E868="",E868="!!!"),"",IF(OR(J868=0,AND(J868=1,K868=1),AND(J868=1,I868="SBJ"),AND(J868=1,I868=0)),"?IN_FOCUS",IF(J868&lt;=2,"?ACTIVATED",IF(J868&lt;&gt;"","?FAMILIAR",IF(F868="NEW",IF(ISNA(VLOOKUP(E868,#REF!,1,FALSE())),"?TYPE_IDENTIFIABLE","?REFERENTIAL"),"_")))))</f>
        <v> </v>
      </c>
      <c r="H868" s="24" t="str">
        <f>IF(J868&lt;&gt;1,"",IF(I868="SBJ","CB","?"))</f>
        <v> </v>
      </c>
      <c r="I868" s="25" t="str">
        <f>IF(OR(E868="",E868="!!!",F868="NEW"),"",INDEX(B867:B$2,-1+SUMPRODUCT(MAX(ROW(E867:E$2)*(E868=E867:E$2)))))</f>
        <v> </v>
      </c>
      <c r="J868" s="25" t="str">
        <f>IF(OR(E868="",E868="!!!",F868="NEW"),"",COUNTBLANK(OFFSET(A$1,,,SUMPRODUCT(MAX(ROW(E$2:E868)*(E868=E$2:E868)))))-COUNTBLANK(OFFSET(A$1,,,SUMPRODUCT(MAX(ROW(E$1:E867)*(E2=E$1:E867))))))</f>
        <v> </v>
      </c>
      <c r="K868" s="25" t="str">
        <f>IF(OR(E868="",E868="!!!",F868="NEW"),"",INDEX(J$1:J867,SUMPRODUCT(MAX(ROW(E$1:E867)*(E868=E$1:E867)))))</f>
        <v> </v>
      </c>
      <c r="L868" s="26"/>
    </row>
    <row r="869" spans="1:12">
      <c r="A869" s="20" t="s">
        <v>277</v>
      </c>
      <c r="E869" s="21">
        <f>IF(D869="?OLD","!!!","")</f>
        <v/>
      </c>
      <c r="F869" s="22" t="str">
        <f>IF(OR(E869="",E869="!!!"),"",IF(NOT(ISNA(VLOOKUP(E869,E$1:E868,1,FALSE()))),"OLD",IF(AND(E869&lt;&gt;"",E869&lt;&gt;"!!!"),"NEW","")))</f>
        <v> </v>
      </c>
      <c r="G869" s="23" t="str">
        <f>IF(OR(E869="",E869="!!!"),"",IF(OR(J869=0,AND(J869=1,K869=1),AND(J869=1,I869="SBJ"),AND(J869=1,I869=0)),"?IN_FOCUS",IF(J869&lt;=2,"?ACTIVATED",IF(J869&lt;&gt;"","?FAMILIAR",IF(F869="NEW",IF(ISNA(VLOOKUP(E869,#REF!,1,FALSE())),"?TYPE_IDENTIFIABLE","?REFERENTIAL"),"_")))))</f>
        <v> </v>
      </c>
      <c r="H869" s="24" t="str">
        <f>IF(J869&lt;&gt;1,"",IF(I869="SBJ","CB","?"))</f>
        <v> </v>
      </c>
      <c r="I869" s="25" t="str">
        <f>IF(OR(E869="",E869="!!!",F869="NEW"),"",INDEX(B868:B$2,-1+SUMPRODUCT(MAX(ROW(E868:E$2)*(E869=E868:E$2)))))</f>
        <v> </v>
      </c>
      <c r="J869" s="25" t="str">
        <f>IF(OR(E869="",E869="!!!",F869="NEW"),"",COUNTBLANK(OFFSET(A$1,,,SUMPRODUCT(MAX(ROW(E$2:E869)*(E869=E$2:E869)))))-COUNTBLANK(OFFSET(A$1,,,SUMPRODUCT(MAX(ROW(E$1:E868)*(E2=E$1:E868))))))</f>
        <v> </v>
      </c>
      <c r="K869" s="25" t="str">
        <f>IF(OR(E869="",E869="!!!",F869="NEW"),"",INDEX(J$1:J868,SUMPRODUCT(MAX(ROW(E$1:E868)*(E869=E$1:E868)))))</f>
        <v> </v>
      </c>
      <c r="L869" s="26"/>
    </row>
    <row r="870" spans="1:12">
      <c r="A870" s="20" t="s">
        <v>641</v>
      </c>
      <c r="B870" s="27" t="s">
        <v>251</v>
      </c>
      <c r="C870" s="27" t="s">
        <v>279</v>
      </c>
      <c r="E870" s="21">
        <f>IF(D870="?OLD","!!!","")</f>
        <v/>
      </c>
      <c r="F870" s="22" t="str">
        <f>IF(OR(E870="",E870="!!!"),"",IF(NOT(ISNA(VLOOKUP(E870,E$1:E869,1,FALSE()))),"OLD",IF(AND(E870&lt;&gt;"",E870&lt;&gt;"!!!"),"NEW","")))</f>
        <v> </v>
      </c>
      <c r="G870" s="23" t="str">
        <f>IF(OR(E870="",E870="!!!"),"",IF(OR(J870=0,AND(J870=1,K870=1),AND(J870=1,I870="SBJ"),AND(J870=1,I870=0)),"?IN_FOCUS",IF(J870&lt;=2,"?ACTIVATED",IF(J870&lt;&gt;"","?FAMILIAR",IF(F870="NEW",IF(ISNA(VLOOKUP(E870,#REF!,1,FALSE())),"?TYPE_IDENTIFIABLE","?REFERENTIAL"),"_")))))</f>
        <v> </v>
      </c>
      <c r="H870" s="24" t="str">
        <f>IF(J870&lt;&gt;1,"",IF(I870="SBJ","CB","?"))</f>
        <v> </v>
      </c>
      <c r="I870" s="25" t="str">
        <f>IF(OR(E870="",E870="!!!",F870="NEW"),"",INDEX(B869:B$2,-1+SUMPRODUCT(MAX(ROW(E869:E$2)*(E870=E869:E$2)))))</f>
        <v> </v>
      </c>
      <c r="J870" s="25" t="str">
        <f>IF(OR(E870="",E870="!!!",F870="NEW"),"",COUNTBLANK(OFFSET(A$1,,,SUMPRODUCT(MAX(ROW(E$2:E870)*(E870=E$2:E870)))))-COUNTBLANK(OFFSET(A$1,,,SUMPRODUCT(MAX(ROW(E$1:E869)*(E2=E$1:E869))))))</f>
        <v> </v>
      </c>
      <c r="K870" s="25" t="str">
        <f>IF(OR(E870="",E870="!!!",F870="NEW"),"",INDEX(J$1:J869,SUMPRODUCT(MAX(ROW(E$1:E869)*(E870=E$1:E869)))))</f>
        <v> </v>
      </c>
      <c r="L870" s="26"/>
    </row>
    <row r="871" spans="1:12">
      <c r="A871" s="20" t="s">
        <v>305</v>
      </c>
      <c r="E871" s="21">
        <f>IF(D871="?OLD","!!!","")</f>
        <v/>
      </c>
      <c r="F871" s="22" t="str">
        <f>IF(OR(E871="",E871="!!!"),"",IF(NOT(ISNA(VLOOKUP(E871,E$1:E870,1,FALSE()))),"OLD",IF(AND(E871&lt;&gt;"",E871&lt;&gt;"!!!"),"NEW","")))</f>
        <v> </v>
      </c>
      <c r="G871" s="23" t="str">
        <f>IF(OR(E871="",E871="!!!"),"",IF(OR(J871=0,AND(J871=1,K871=1),AND(J871=1,I871="SBJ"),AND(J871=1,I871=0)),"?IN_FOCUS",IF(J871&lt;=2,"?ACTIVATED",IF(J871&lt;&gt;"","?FAMILIAR",IF(F871="NEW",IF(ISNA(VLOOKUP(E871,#REF!,1,FALSE())),"?TYPE_IDENTIFIABLE","?REFERENTIAL"),"_")))))</f>
        <v> </v>
      </c>
      <c r="H871" s="24" t="str">
        <f>IF(J871&lt;&gt;1,"",IF(I871="SBJ","CB","?"))</f>
        <v> </v>
      </c>
      <c r="I871" s="25" t="str">
        <f>IF(OR(E871="",E871="!!!",F871="NEW"),"",INDEX(B870:B$2,-1+SUMPRODUCT(MAX(ROW(E870:E$2)*(E871=E870:E$2)))))</f>
        <v> </v>
      </c>
      <c r="J871" s="25" t="str">
        <f>IF(OR(E871="",E871="!!!",F871="NEW"),"",COUNTBLANK(OFFSET(A$1,,,SUMPRODUCT(MAX(ROW(E$2:E871)*(E871=E$2:E871)))))-COUNTBLANK(OFFSET(A$1,,,SUMPRODUCT(MAX(ROW(E$1:E870)*(E2=E$1:E870))))))</f>
        <v> </v>
      </c>
      <c r="K871" s="25" t="str">
        <f>IF(OR(E871="",E871="!!!",F871="NEW"),"",INDEX(J$1:J870,SUMPRODUCT(MAX(ROW(E$1:E870)*(E871=E$1:E870)))))</f>
        <v> </v>
      </c>
      <c r="L871" s="26"/>
    </row>
    <row r="872" spans="1:12">
      <c r="A872" s="20" t="s">
        <v>277</v>
      </c>
      <c r="E872" s="21">
        <f>IF(D872="?OLD","!!!","")</f>
        <v/>
      </c>
      <c r="F872" s="22" t="str">
        <f>IF(OR(E872="",E872="!!!"),"",IF(NOT(ISNA(VLOOKUP(E872,E$1:E871,1,FALSE()))),"OLD",IF(AND(E872&lt;&gt;"",E872&lt;&gt;"!!!"),"NEW","")))</f>
        <v> </v>
      </c>
      <c r="G872" s="23" t="str">
        <f>IF(OR(E872="",E872="!!!"),"",IF(OR(J872=0,AND(J872=1,K872=1),AND(J872=1,I872="SBJ"),AND(J872=1,I872=0)),"?IN_FOCUS",IF(J872&lt;=2,"?ACTIVATED",IF(J872&lt;&gt;"","?FAMILIAR",IF(F872="NEW",IF(ISNA(VLOOKUP(E872,#REF!,1,FALSE())),"?TYPE_IDENTIFIABLE","?REFERENTIAL"),"_")))))</f>
        <v> </v>
      </c>
      <c r="H872" s="24" t="str">
        <f>IF(J872&lt;&gt;1,"",IF(I872="SBJ","CB","?"))</f>
        <v> </v>
      </c>
      <c r="I872" s="25" t="str">
        <f>IF(OR(E872="",E872="!!!",F872="NEW"),"",INDEX(B871:B$2,-1+SUMPRODUCT(MAX(ROW(E871:E$2)*(E872=E871:E$2)))))</f>
        <v> </v>
      </c>
      <c r="J872" s="25" t="str">
        <f>IF(OR(E872="",E872="!!!",F872="NEW"),"",COUNTBLANK(OFFSET(A$1,,,SUMPRODUCT(MAX(ROW(E$2:E872)*(E872=E$2:E872)))))-COUNTBLANK(OFFSET(A$1,,,SUMPRODUCT(MAX(ROW(E$1:E871)*(E2=E$1:E871))))))</f>
        <v> </v>
      </c>
      <c r="K872" s="25" t="str">
        <f>IF(OR(E872="",E872="!!!",F872="NEW"),"",INDEX(J$1:J871,SUMPRODUCT(MAX(ROW(E$1:E871)*(E872=E$1:E871)))))</f>
        <v> </v>
      </c>
      <c r="L872" s="26"/>
    </row>
    <row r="873" spans="1:12">
      <c r="A873" s="20" t="s">
        <v>642</v>
      </c>
      <c r="B873" s="27" t="s">
        <v>291</v>
      </c>
      <c r="C873" s="27" t="s">
        <v>279</v>
      </c>
      <c r="E873" s="21">
        <f>IF(D873="?OLD","!!!","")</f>
        <v/>
      </c>
      <c r="F873" s="22" t="str">
        <f>IF(OR(E873="",E873="!!!"),"",IF(NOT(ISNA(VLOOKUP(E873,E$1:E872,1,FALSE()))),"OLD",IF(AND(E873&lt;&gt;"",E873&lt;&gt;"!!!"),"NEW","")))</f>
        <v> </v>
      </c>
      <c r="G873" s="23" t="str">
        <f>IF(OR(E873="",E873="!!!"),"",IF(OR(J873=0,AND(J873=1,K873=1),AND(J873=1,I873="SBJ"),AND(J873=1,I873=0)),"?IN_FOCUS",IF(J873&lt;=2,"?ACTIVATED",IF(J873&lt;&gt;"","?FAMILIAR",IF(F873="NEW",IF(ISNA(VLOOKUP(E873,#REF!,1,FALSE())),"?TYPE_IDENTIFIABLE","?REFERENTIAL"),"_")))))</f>
        <v> </v>
      </c>
      <c r="H873" s="24" t="str">
        <f>IF(J873&lt;&gt;1,"",IF(I873="SBJ","CB","?"))</f>
        <v> </v>
      </c>
      <c r="I873" s="25" t="str">
        <f>IF(OR(E873="",E873="!!!",F873="NEW"),"",INDEX(B872:B$2,-1+SUMPRODUCT(MAX(ROW(E872:E$2)*(E873=E872:E$2)))))</f>
        <v> </v>
      </c>
      <c r="J873" s="25" t="str">
        <f>IF(OR(E873="",E873="!!!",F873="NEW"),"",COUNTBLANK(OFFSET(A$1,,,SUMPRODUCT(MAX(ROW(E$2:E873)*(E873=E$2:E873)))))-COUNTBLANK(OFFSET(A$1,,,SUMPRODUCT(MAX(ROW(E$1:E872)*(E2=E$1:E872))))))</f>
        <v> </v>
      </c>
      <c r="K873" s="25" t="str">
        <f>IF(OR(E873="",E873="!!!",F873="NEW"),"",INDEX(J$1:J872,SUMPRODUCT(MAX(ROW(E$1:E872)*(E873=E$1:E872)))))</f>
        <v> </v>
      </c>
      <c r="L873" s="26"/>
    </row>
    <row r="874" spans="1:12">
      <c r="A874" s="20" t="s">
        <v>516</v>
      </c>
      <c r="E874" s="21">
        <f>IF(D874="?OLD","!!!","")</f>
        <v/>
      </c>
      <c r="F874" s="22" t="str">
        <f>IF(OR(E874="",E874="!!!"),"",IF(NOT(ISNA(VLOOKUP(E874,E$1:E873,1,FALSE()))),"OLD",IF(AND(E874&lt;&gt;"",E874&lt;&gt;"!!!"),"NEW","")))</f>
        <v> </v>
      </c>
      <c r="G874" s="23" t="str">
        <f>IF(OR(E874="",E874="!!!"),"",IF(OR(J874=0,AND(J874=1,K874=1),AND(J874=1,I874="SBJ"),AND(J874=1,I874=0)),"?IN_FOCUS",IF(J874&lt;=2,"?ACTIVATED",IF(J874&lt;&gt;"","?FAMILIAR",IF(F874="NEW",IF(ISNA(VLOOKUP(E874,#REF!,1,FALSE())),"?TYPE_IDENTIFIABLE","?REFERENTIAL"),"_")))))</f>
        <v> </v>
      </c>
      <c r="H874" s="24" t="str">
        <f>IF(J874&lt;&gt;1,"",IF(I874="SBJ","CB","?"))</f>
        <v> </v>
      </c>
      <c r="I874" s="25" t="str">
        <f>IF(OR(E874="",E874="!!!",F874="NEW"),"",INDEX(B873:B$2,-1+SUMPRODUCT(MAX(ROW(E873:E$2)*(E874=E873:E$2)))))</f>
        <v> </v>
      </c>
      <c r="J874" s="25" t="str">
        <f>IF(OR(E874="",E874="!!!",F874="NEW"),"",COUNTBLANK(OFFSET(A$1,,,SUMPRODUCT(MAX(ROW(E$2:E874)*(E874=E$2:E874)))))-COUNTBLANK(OFFSET(A$1,,,SUMPRODUCT(MAX(ROW(E$1:E873)*(E2=E$1:E873))))))</f>
        <v> </v>
      </c>
      <c r="K874" s="25" t="str">
        <f>IF(OR(E874="",E874="!!!",F874="NEW"),"",INDEX(J$1:J873,SUMPRODUCT(MAX(ROW(E$1:E873)*(E874=E$1:E873)))))</f>
        <v> </v>
      </c>
      <c r="L874" s="26"/>
    </row>
    <row r="875" spans="1:12">
      <c r="A875" s="20" t="s">
        <v>305</v>
      </c>
      <c r="E875" s="21">
        <f>IF(D875="?OLD","!!!","")</f>
        <v/>
      </c>
      <c r="F875" s="22" t="str">
        <f>IF(OR(E875="",E875="!!!"),"",IF(NOT(ISNA(VLOOKUP(E875,E$1:E874,1,FALSE()))),"OLD",IF(AND(E875&lt;&gt;"",E875&lt;&gt;"!!!"),"NEW","")))</f>
        <v> </v>
      </c>
      <c r="G875" s="23" t="str">
        <f>IF(OR(E875="",E875="!!!"),"",IF(OR(J875=0,AND(J875=1,K875=1),AND(J875=1,I875="SBJ"),AND(J875=1,I875=0)),"?IN_FOCUS",IF(J875&lt;=2,"?ACTIVATED",IF(J875&lt;&gt;"","?FAMILIAR",IF(F875="NEW",IF(ISNA(VLOOKUP(E875,#REF!,1,FALSE())),"?TYPE_IDENTIFIABLE","?REFERENTIAL"),"_")))))</f>
        <v> </v>
      </c>
      <c r="H875" s="24" t="str">
        <f>IF(J875&lt;&gt;1,"",IF(I875="SBJ","CB","?"))</f>
        <v> </v>
      </c>
      <c r="I875" s="25" t="str">
        <f>IF(OR(E875="",E875="!!!",F875="NEW"),"",INDEX(B874:B$2,-1+SUMPRODUCT(MAX(ROW(E874:E$2)*(E875=E874:E$2)))))</f>
        <v> </v>
      </c>
      <c r="J875" s="25" t="str">
        <f>IF(OR(E875="",E875="!!!",F875="NEW"),"",COUNTBLANK(OFFSET(A$1,,,SUMPRODUCT(MAX(ROW(E$2:E875)*(E875=E$2:E875)))))-COUNTBLANK(OFFSET(A$1,,,SUMPRODUCT(MAX(ROW(E$1:E874)*(E2=E$1:E874))))))</f>
        <v> </v>
      </c>
      <c r="K875" s="25" t="str">
        <f>IF(OR(E875="",E875="!!!",F875="NEW"),"",INDEX(J$1:J874,SUMPRODUCT(MAX(ROW(E$1:E874)*(E875=E$1:E874)))))</f>
        <v> </v>
      </c>
      <c r="L875" s="26"/>
    </row>
    <row r="876" spans="1:12">
      <c r="A876" s="20" t="s">
        <v>534</v>
      </c>
      <c r="E876" s="21">
        <f>IF(D876="?OLD","!!!","")</f>
        <v/>
      </c>
      <c r="F876" s="22" t="str">
        <f>IF(OR(E876="",E876="!!!"),"",IF(NOT(ISNA(VLOOKUP(E876,E$1:E875,1,FALSE()))),"OLD",IF(AND(E876&lt;&gt;"",E876&lt;&gt;"!!!"),"NEW","")))</f>
        <v> </v>
      </c>
      <c r="G876" s="23" t="str">
        <f>IF(OR(E876="",E876="!!!"),"",IF(OR(J876=0,AND(J876=1,K876=1),AND(J876=1,I876="SBJ"),AND(J876=1,I876=0)),"?IN_FOCUS",IF(J876&lt;=2,"?ACTIVATED",IF(J876&lt;&gt;"","?FAMILIAR",IF(F876="NEW",IF(ISNA(VLOOKUP(E876,#REF!,1,FALSE())),"?TYPE_IDENTIFIABLE","?REFERENTIAL"),"_")))))</f>
        <v> </v>
      </c>
      <c r="H876" s="24" t="str">
        <f>IF(J876&lt;&gt;1,"",IF(I876="SBJ","CB","?"))</f>
        <v> </v>
      </c>
      <c r="I876" s="25" t="str">
        <f>IF(OR(E876="",E876="!!!",F876="NEW"),"",INDEX(B875:B$2,-1+SUMPRODUCT(MAX(ROW(E875:E$2)*(E876=E875:E$2)))))</f>
        <v> </v>
      </c>
      <c r="J876" s="25" t="str">
        <f>IF(OR(E876="",E876="!!!",F876="NEW"),"",COUNTBLANK(OFFSET(A$1,,,SUMPRODUCT(MAX(ROW(E$2:E876)*(E876=E$2:E876)))))-COUNTBLANK(OFFSET(A$1,,,SUMPRODUCT(MAX(ROW(E$1:E875)*(E2=E$1:E875))))))</f>
        <v> </v>
      </c>
      <c r="K876" s="25" t="str">
        <f>IF(OR(E876="",E876="!!!",F876="NEW"),"",INDEX(J$1:J875,SUMPRODUCT(MAX(ROW(E$1:E875)*(E876=E$1:E875)))))</f>
        <v> </v>
      </c>
      <c r="L876" s="26"/>
    </row>
    <row r="877" spans="1:12">
      <c r="A877" s="20" t="s">
        <v>371</v>
      </c>
      <c r="B877" s="27" t="s">
        <v>295</v>
      </c>
      <c r="C877" s="27" t="s">
        <v>256</v>
      </c>
      <c r="D877" s="27" t="s">
        <v>244</v>
      </c>
      <c r="E877" s="21">
        <f>IF(D877="?OLD","!!!","")</f>
        <v/>
      </c>
      <c r="F877" s="22" t="str">
        <f>IF(OR(E877="",E877="!!!"),"",IF(NOT(ISNA(VLOOKUP(E877,E$1:E876,1,FALSE()))),"OLD",IF(AND(E877&lt;&gt;"",E877&lt;&gt;"!!!"),"NEW","")))</f>
        <v> </v>
      </c>
      <c r="G877" s="23" t="str">
        <f>IF(OR(E877="",E877="!!!"),"",IF(OR(J877=0,AND(J877=1,K877=1),AND(J877=1,I877="SBJ"),AND(J877=1,I877=0)),"?IN_FOCUS",IF(J877&lt;=2,"?ACTIVATED",IF(J877&lt;&gt;"","?FAMILIAR",IF(F877="NEW",IF(ISNA(VLOOKUP(E877,#REF!,1,FALSE())),"?TYPE_IDENTIFIABLE","?REFERENTIAL"),"_")))))</f>
        <v> </v>
      </c>
      <c r="H877" s="24" t="str">
        <f>IF(J877&lt;&gt;1,"",IF(I877="SBJ","CB","?"))</f>
        <v> </v>
      </c>
      <c r="I877" s="25" t="str">
        <f>IF(OR(E877="",E877="!!!",F877="NEW"),"",INDEX(B876:B$2,-1+SUMPRODUCT(MAX(ROW(E876:E$2)*(E877=E876:E$2)))))</f>
        <v> </v>
      </c>
      <c r="J877" s="25" t="str">
        <f>IF(OR(E877="",E877="!!!",F877="NEW"),"",COUNTBLANK(OFFSET(A$1,,,SUMPRODUCT(MAX(ROW(E$2:E877)*(E877=E$2:E877)))))-COUNTBLANK(OFFSET(A$1,,,SUMPRODUCT(MAX(ROW(E$1:E876)*(E2=E$1:E876))))))</f>
        <v> </v>
      </c>
      <c r="K877" s="25" t="str">
        <f>IF(OR(E877="",E877="!!!",F877="NEW"),"",INDEX(J$1:J876,SUMPRODUCT(MAX(ROW(E$1:E876)*(E877=E$1:E876)))))</f>
        <v> </v>
      </c>
      <c r="L877" s="26"/>
    </row>
    <row r="878" spans="1:12">
      <c r="A878" s="20" t="s">
        <v>379</v>
      </c>
      <c r="E878" s="21">
        <f>IF(D878="?OLD","!!!","")</f>
        <v/>
      </c>
      <c r="F878" s="22" t="str">
        <f>IF(OR(E878="",E878="!!!"),"",IF(NOT(ISNA(VLOOKUP(E878,E$1:E877,1,FALSE()))),"OLD",IF(AND(E878&lt;&gt;"",E878&lt;&gt;"!!!"),"NEW","")))</f>
        <v> </v>
      </c>
      <c r="G878" s="23" t="str">
        <f>IF(OR(E878="",E878="!!!"),"",IF(OR(J878=0,AND(J878=1,K878=1),AND(J878=1,I878="SBJ"),AND(J878=1,I878=0)),"?IN_FOCUS",IF(J878&lt;=2,"?ACTIVATED",IF(J878&lt;&gt;"","?FAMILIAR",IF(F878="NEW",IF(ISNA(VLOOKUP(E878,#REF!,1,FALSE())),"?TYPE_IDENTIFIABLE","?REFERENTIAL"),"_")))))</f>
        <v> </v>
      </c>
      <c r="H878" s="24" t="str">
        <f>IF(J878&lt;&gt;1,"",IF(I878="SBJ","CB","?"))</f>
        <v> </v>
      </c>
      <c r="I878" s="25" t="str">
        <f>IF(OR(E878="",E878="!!!",F878="NEW"),"",INDEX(B877:B$2,-1+SUMPRODUCT(MAX(ROW(E877:E$2)*(E878=E877:E$2)))))</f>
        <v> </v>
      </c>
      <c r="J878" s="25" t="str">
        <f>IF(OR(E878="",E878="!!!",F878="NEW"),"",COUNTBLANK(OFFSET(A$1,,,SUMPRODUCT(MAX(ROW(E$2:E878)*(E878=E$2:E878)))))-COUNTBLANK(OFFSET(A$1,,,SUMPRODUCT(MAX(ROW(E$1:E877)*(E2=E$1:E877))))))</f>
        <v> </v>
      </c>
      <c r="K878" s="25" t="str">
        <f>IF(OR(E878="",E878="!!!",F878="NEW"),"",INDEX(J$1:J877,SUMPRODUCT(MAX(ROW(E$1:E877)*(E878=E$1:E877)))))</f>
        <v> </v>
      </c>
      <c r="L878" s="26"/>
    </row>
    <row r="879" spans="1:12">
      <c r="A879" s="20" t="s">
        <v>643</v>
      </c>
      <c r="B879" s="27" t="s">
        <v>237</v>
      </c>
      <c r="C879" s="27" t="s">
        <v>281</v>
      </c>
      <c r="E879" s="21">
        <f>IF(D879="?OLD","!!!","")</f>
        <v/>
      </c>
      <c r="F879" s="22" t="str">
        <f>IF(OR(E879="",E879="!!!"),"",IF(NOT(ISNA(VLOOKUP(E879,E$1:E878,1,FALSE()))),"OLD",IF(AND(E879&lt;&gt;"",E879&lt;&gt;"!!!"),"NEW","")))</f>
        <v> </v>
      </c>
      <c r="G879" s="23" t="str">
        <f>IF(OR(E879="",E879="!!!"),"",IF(OR(J879=0,AND(J879=1,K879=1),AND(J879=1,I879="SBJ"),AND(J879=1,I879=0)),"?IN_FOCUS",IF(J879&lt;=2,"?ACTIVATED",IF(J879&lt;&gt;"","?FAMILIAR",IF(F879="NEW",IF(ISNA(VLOOKUP(E879,#REF!,1,FALSE())),"?TYPE_IDENTIFIABLE","?REFERENTIAL"),"_")))))</f>
        <v> </v>
      </c>
      <c r="H879" s="24" t="str">
        <f>IF(J879&lt;&gt;1,"",IF(I879="SBJ","CB","?"))</f>
        <v> </v>
      </c>
      <c r="I879" s="25" t="str">
        <f>IF(OR(E879="",E879="!!!",F879="NEW"),"",INDEX(B878:B$2,-1+SUMPRODUCT(MAX(ROW(E878:E$2)*(E879=E878:E$2)))))</f>
        <v> </v>
      </c>
      <c r="J879" s="25" t="str">
        <f>IF(OR(E879="",E879="!!!",F879="NEW"),"",COUNTBLANK(OFFSET(A$1,,,SUMPRODUCT(MAX(ROW(E$2:E879)*(E879=E$2:E879)))))-COUNTBLANK(OFFSET(A$1,,,SUMPRODUCT(MAX(ROW(E$1:E878)*(E2=E$1:E878))))))</f>
        <v> </v>
      </c>
      <c r="K879" s="25" t="str">
        <f>IF(OR(E879="",E879="!!!",F879="NEW"),"",INDEX(J$1:J878,SUMPRODUCT(MAX(ROW(E$1:E878)*(E879=E$1:E878)))))</f>
        <v> </v>
      </c>
      <c r="L879" s="26"/>
    </row>
    <row r="880" spans="1:12">
      <c r="A880" s="20" t="s">
        <v>644</v>
      </c>
      <c r="E880" s="21">
        <f>IF(D880="?OLD","!!!","")</f>
        <v/>
      </c>
      <c r="F880" s="22" t="str">
        <f>IF(OR(E880="",E880="!!!"),"",IF(NOT(ISNA(VLOOKUP(E880,E$1:E879,1,FALSE()))),"OLD",IF(AND(E880&lt;&gt;"",E880&lt;&gt;"!!!"),"NEW","")))</f>
        <v> </v>
      </c>
      <c r="G880" s="23" t="str">
        <f>IF(OR(E880="",E880="!!!"),"",IF(OR(J880=0,AND(J880=1,K880=1),AND(J880=1,I880="SBJ"),AND(J880=1,I880=0)),"?IN_FOCUS",IF(J880&lt;=2,"?ACTIVATED",IF(J880&lt;&gt;"","?FAMILIAR",IF(F880="NEW",IF(ISNA(VLOOKUP(E880,#REF!,1,FALSE())),"?TYPE_IDENTIFIABLE","?REFERENTIAL"),"_")))))</f>
        <v> </v>
      </c>
      <c r="H880" s="24" t="str">
        <f>IF(J880&lt;&gt;1,"",IF(I880="SBJ","CB","?"))</f>
        <v> </v>
      </c>
      <c r="I880" s="25" t="str">
        <f>IF(OR(E880="",E880="!!!",F880="NEW"),"",INDEX(B879:B$2,-1+SUMPRODUCT(MAX(ROW(E879:E$2)*(E880=E879:E$2)))))</f>
        <v> </v>
      </c>
      <c r="J880" s="25" t="str">
        <f>IF(OR(E880="",E880="!!!",F880="NEW"),"",COUNTBLANK(OFFSET(A$1,,,SUMPRODUCT(MAX(ROW(E$2:E880)*(E880=E$2:E880)))))-COUNTBLANK(OFFSET(A$1,,,SUMPRODUCT(MAX(ROW(E$1:E879)*(E2=E$1:E879))))))</f>
        <v> </v>
      </c>
      <c r="K880" s="25" t="str">
        <f>IF(OR(E880="",E880="!!!",F880="NEW"),"",INDEX(J$1:J879,SUMPRODUCT(MAX(ROW(E$1:E879)*(E880=E$1:E879)))))</f>
        <v> </v>
      </c>
      <c r="L880" s="26"/>
    </row>
    <row r="881" spans="1:12">
      <c r="A881" s="20" t="s">
        <v>371</v>
      </c>
      <c r="B881" s="27" t="s">
        <v>381</v>
      </c>
      <c r="C881" s="27" t="s">
        <v>256</v>
      </c>
      <c r="D881" s="27" t="s">
        <v>244</v>
      </c>
      <c r="E881" s="21">
        <f>IF(D881="?OLD","!!!","")</f>
        <v/>
      </c>
      <c r="F881" s="22" t="str">
        <f>IF(OR(E881="",E881="!!!"),"",IF(NOT(ISNA(VLOOKUP(E881,E$1:E880,1,FALSE()))),"OLD",IF(AND(E881&lt;&gt;"",E881&lt;&gt;"!!!"),"NEW","")))</f>
        <v> </v>
      </c>
      <c r="G881" s="23" t="str">
        <f>IF(OR(E881="",E881="!!!"),"",IF(OR(J881=0,AND(J881=1,K881=1),AND(J881=1,I881="SBJ"),AND(J881=1,I881=0)),"?IN_FOCUS",IF(J881&lt;=2,"?ACTIVATED",IF(J881&lt;&gt;"","?FAMILIAR",IF(F881="NEW",IF(ISNA(VLOOKUP(E881,#REF!,1,FALSE())),"?TYPE_IDENTIFIABLE","?REFERENTIAL"),"_")))))</f>
        <v> </v>
      </c>
      <c r="H881" s="24" t="str">
        <f>IF(J881&lt;&gt;1,"",IF(I881="SBJ","CB","?"))</f>
        <v> </v>
      </c>
      <c r="I881" s="25" t="str">
        <f>IF(OR(E881="",E881="!!!",F881="NEW"),"",INDEX(B880:B$2,-1+SUMPRODUCT(MAX(ROW(E880:E$2)*(E881=E880:E$2)))))</f>
        <v> </v>
      </c>
      <c r="J881" s="25" t="str">
        <f>IF(OR(E881="",E881="!!!",F881="NEW"),"",COUNTBLANK(OFFSET(A$1,,,SUMPRODUCT(MAX(ROW(E$2:E881)*(E881=E$2:E881)))))-COUNTBLANK(OFFSET(A$1,,,SUMPRODUCT(MAX(ROW(E$1:E880)*(E2=E$1:E880))))))</f>
        <v> </v>
      </c>
      <c r="K881" s="25" t="str">
        <f>IF(OR(E881="",E881="!!!",F881="NEW"),"",INDEX(J$1:J880,SUMPRODUCT(MAX(ROW(E$1:E880)*(E881=E$1:E880)))))</f>
        <v> </v>
      </c>
      <c r="L881" s="26"/>
    </row>
    <row r="882" spans="1:12">
      <c r="A882" s="20" t="s">
        <v>645</v>
      </c>
      <c r="E882" s="21">
        <f>IF(D882="?OLD","!!!","")</f>
        <v/>
      </c>
      <c r="F882" s="22" t="str">
        <f>IF(OR(E882="",E882="!!!"),"",IF(NOT(ISNA(VLOOKUP(E882,E$1:E881,1,FALSE()))),"OLD",IF(AND(E882&lt;&gt;"",E882&lt;&gt;"!!!"),"NEW","")))</f>
        <v> </v>
      </c>
      <c r="G882" s="23" t="str">
        <f>IF(OR(E882="",E882="!!!"),"",IF(OR(J882=0,AND(J882=1,K882=1),AND(J882=1,I882="SBJ"),AND(J882=1,I882=0)),"?IN_FOCUS",IF(J882&lt;=2,"?ACTIVATED",IF(J882&lt;&gt;"","?FAMILIAR",IF(F882="NEW",IF(ISNA(VLOOKUP(E882,#REF!,1,FALSE())),"?TYPE_IDENTIFIABLE","?REFERENTIAL"),"_")))))</f>
        <v> </v>
      </c>
      <c r="H882" s="24" t="str">
        <f>IF(J882&lt;&gt;1,"",IF(I882="SBJ","CB","?"))</f>
        <v> </v>
      </c>
      <c r="I882" s="25" t="str">
        <f>IF(OR(E882="",E882="!!!",F882="NEW"),"",INDEX(B881:B$2,-1+SUMPRODUCT(MAX(ROW(E881:E$2)*(E882=E881:E$2)))))</f>
        <v> </v>
      </c>
      <c r="J882" s="25" t="str">
        <f>IF(OR(E882="",E882="!!!",F882="NEW"),"",COUNTBLANK(OFFSET(A$1,,,SUMPRODUCT(MAX(ROW(E$2:E882)*(E882=E$2:E882)))))-COUNTBLANK(OFFSET(A$1,,,SUMPRODUCT(MAX(ROW(E$1:E881)*(E2=E$1:E881))))))</f>
        <v> </v>
      </c>
      <c r="K882" s="25" t="str">
        <f>IF(OR(E882="",E882="!!!",F882="NEW"),"",INDEX(J$1:J881,SUMPRODUCT(MAX(ROW(E$1:E881)*(E882=E$1:E881)))))</f>
        <v> </v>
      </c>
      <c r="L882" s="26"/>
    </row>
    <row r="883" spans="1:12">
      <c r="A883" s="20" t="s">
        <v>646</v>
      </c>
      <c r="E883" s="21">
        <f>IF(D883="?OLD","!!!","")</f>
        <v/>
      </c>
      <c r="F883" s="22" t="str">
        <f>IF(OR(E883="",E883="!!!"),"",IF(NOT(ISNA(VLOOKUP(E883,E$1:E882,1,FALSE()))),"OLD",IF(AND(E883&lt;&gt;"",E883&lt;&gt;"!!!"),"NEW","")))</f>
        <v> </v>
      </c>
      <c r="G883" s="23" t="str">
        <f>IF(OR(E883="",E883="!!!"),"",IF(OR(J883=0,AND(J883=1,K883=1),AND(J883=1,I883="SBJ"),AND(J883=1,I883=0)),"?IN_FOCUS",IF(J883&lt;=2,"?ACTIVATED",IF(J883&lt;&gt;"","?FAMILIAR",IF(F883="NEW",IF(ISNA(VLOOKUP(E883,#REF!,1,FALSE())),"?TYPE_IDENTIFIABLE","?REFERENTIAL"),"_")))))</f>
        <v> </v>
      </c>
      <c r="H883" s="24" t="str">
        <f>IF(J883&lt;&gt;1,"",IF(I883="SBJ","CB","?"))</f>
        <v> </v>
      </c>
      <c r="I883" s="25" t="str">
        <f>IF(OR(E883="",E883="!!!",F883="NEW"),"",INDEX(B882:B$2,-1+SUMPRODUCT(MAX(ROW(E882:E$2)*(E883=E882:E$2)))))</f>
        <v> </v>
      </c>
      <c r="J883" s="25" t="str">
        <f>IF(OR(E883="",E883="!!!",F883="NEW"),"",COUNTBLANK(OFFSET(A$1,,,SUMPRODUCT(MAX(ROW(E$2:E883)*(E883=E$2:E883)))))-COUNTBLANK(OFFSET(A$1,,,SUMPRODUCT(MAX(ROW(E$1:E882)*(E2=E$1:E882))))))</f>
        <v> </v>
      </c>
      <c r="K883" s="25" t="str">
        <f>IF(OR(E883="",E883="!!!",F883="NEW"),"",INDEX(J$1:J882,SUMPRODUCT(MAX(ROW(E$1:E882)*(E883=E$1:E882)))))</f>
        <v> </v>
      </c>
      <c r="L883" s="26"/>
    </row>
    <row r="884" spans="1:12">
      <c r="A884" s="20" t="s">
        <v>305</v>
      </c>
      <c r="E884" s="21">
        <f>IF(D884="?OLD","!!!","")</f>
        <v/>
      </c>
      <c r="F884" s="22" t="str">
        <f>IF(OR(E884="",E884="!!!"),"",IF(NOT(ISNA(VLOOKUP(E884,E$1:E883,1,FALSE()))),"OLD",IF(AND(E884&lt;&gt;"",E884&lt;&gt;"!!!"),"NEW","")))</f>
        <v> </v>
      </c>
      <c r="G884" s="23" t="str">
        <f>IF(OR(E884="",E884="!!!"),"",IF(OR(J884=0,AND(J884=1,K884=1),AND(J884=1,I884="SBJ"),AND(J884=1,I884=0)),"?IN_FOCUS",IF(J884&lt;=2,"?ACTIVATED",IF(J884&lt;&gt;"","?FAMILIAR",IF(F884="NEW",IF(ISNA(VLOOKUP(E884,#REF!,1,FALSE())),"?TYPE_IDENTIFIABLE","?REFERENTIAL"),"_")))))</f>
        <v> </v>
      </c>
      <c r="H884" s="24" t="str">
        <f>IF(J884&lt;&gt;1,"",IF(I884="SBJ","CB","?"))</f>
        <v> </v>
      </c>
      <c r="I884" s="25" t="str">
        <f>IF(OR(E884="",E884="!!!",F884="NEW"),"",INDEX(B883:B$2,-1+SUMPRODUCT(MAX(ROW(E883:E$2)*(E884=E883:E$2)))))</f>
        <v> </v>
      </c>
      <c r="J884" s="25" t="str">
        <f>IF(OR(E884="",E884="!!!",F884="NEW"),"",COUNTBLANK(OFFSET(A$1,,,SUMPRODUCT(MAX(ROW(E$2:E884)*(E884=E$2:E884)))))-COUNTBLANK(OFFSET(A$1,,,SUMPRODUCT(MAX(ROW(E$1:E883)*(E2=E$1:E883))))))</f>
        <v> </v>
      </c>
      <c r="K884" s="25" t="str">
        <f>IF(OR(E884="",E884="!!!",F884="NEW"),"",INDEX(J$1:J883,SUMPRODUCT(MAX(ROW(E$1:E883)*(E884=E$1:E883)))))</f>
        <v> </v>
      </c>
      <c r="L884" s="26"/>
    </row>
    <row r="885" spans="1:12">
      <c r="A885" s="20" t="s">
        <v>647</v>
      </c>
      <c r="E885" s="21">
        <f>IF(D885="?OLD","!!!","")</f>
        <v/>
      </c>
      <c r="F885" s="22" t="str">
        <f>IF(OR(E885="",E885="!!!"),"",IF(NOT(ISNA(VLOOKUP(E885,E$1:E884,1,FALSE()))),"OLD",IF(AND(E885&lt;&gt;"",E885&lt;&gt;"!!!"),"NEW","")))</f>
        <v> </v>
      </c>
      <c r="G885" s="23" t="str">
        <f>IF(OR(E885="",E885="!!!"),"",IF(OR(J885=0,AND(J885=1,K885=1),AND(J885=1,I885="SBJ"),AND(J885=1,I885=0)),"?IN_FOCUS",IF(J885&lt;=2,"?ACTIVATED",IF(J885&lt;&gt;"","?FAMILIAR",IF(F885="NEW",IF(ISNA(VLOOKUP(E885,#REF!,1,FALSE())),"?TYPE_IDENTIFIABLE","?REFERENTIAL"),"_")))))</f>
        <v> </v>
      </c>
      <c r="H885" s="24" t="str">
        <f>IF(J885&lt;&gt;1,"",IF(I885="SBJ","CB","?"))</f>
        <v> </v>
      </c>
      <c r="I885" s="25" t="str">
        <f>IF(OR(E885="",E885="!!!",F885="NEW"),"",INDEX(B884:B$2,-1+SUMPRODUCT(MAX(ROW(E884:E$2)*(E885=E884:E$2)))))</f>
        <v> </v>
      </c>
      <c r="J885" s="25" t="str">
        <f>IF(OR(E885="",E885="!!!",F885="NEW"),"",COUNTBLANK(OFFSET(A$1,,,SUMPRODUCT(MAX(ROW(E$2:E885)*(E885=E$2:E885)))))-COUNTBLANK(OFFSET(A$1,,,SUMPRODUCT(MAX(ROW(E$1:E884)*(E2=E$1:E884))))))</f>
        <v> </v>
      </c>
      <c r="K885" s="25" t="str">
        <f>IF(OR(E885="",E885="!!!",F885="NEW"),"",INDEX(J$1:J884,SUMPRODUCT(MAX(ROW(E$1:E884)*(E885=E$1:E884)))))</f>
        <v> </v>
      </c>
      <c r="L885" s="26"/>
    </row>
    <row r="886" spans="1:12">
      <c r="A886" s="20" t="s">
        <v>471</v>
      </c>
      <c r="E886" s="21">
        <f>IF(D886="?OLD","!!!","")</f>
        <v/>
      </c>
      <c r="F886" s="22" t="str">
        <f>IF(OR(E886="",E886="!!!"),"",IF(NOT(ISNA(VLOOKUP(E886,E$1:E885,1,FALSE()))),"OLD",IF(AND(E886&lt;&gt;"",E886&lt;&gt;"!!!"),"NEW","")))</f>
        <v> </v>
      </c>
      <c r="G886" s="23" t="str">
        <f>IF(OR(E886="",E886="!!!"),"",IF(OR(J886=0,AND(J886=1,K886=1),AND(J886=1,I886="SBJ"),AND(J886=1,I886=0)),"?IN_FOCUS",IF(J886&lt;=2,"?ACTIVATED",IF(J886&lt;&gt;"","?FAMILIAR",IF(F886="NEW",IF(ISNA(VLOOKUP(E886,#REF!,1,FALSE())),"?TYPE_IDENTIFIABLE","?REFERENTIAL"),"_")))))</f>
        <v> </v>
      </c>
      <c r="H886" s="24" t="str">
        <f>IF(J886&lt;&gt;1,"",IF(I886="SBJ","CB","?"))</f>
        <v> </v>
      </c>
      <c r="I886" s="25" t="str">
        <f>IF(OR(E886="",E886="!!!",F886="NEW"),"",INDEX(B885:B$2,-1+SUMPRODUCT(MAX(ROW(E885:E$2)*(E886=E885:E$2)))))</f>
        <v> </v>
      </c>
      <c r="J886" s="25" t="str">
        <f>IF(OR(E886="",E886="!!!",F886="NEW"),"",COUNTBLANK(OFFSET(A$1,,,SUMPRODUCT(MAX(ROW(E$2:E886)*(E886=E$2:E886)))))-COUNTBLANK(OFFSET(A$1,,,SUMPRODUCT(MAX(ROW(E$1:E885)*(E2=E$1:E885))))))</f>
        <v> </v>
      </c>
      <c r="K886" s="25" t="str">
        <f>IF(OR(E886="",E886="!!!",F886="NEW"),"",INDEX(J$1:J885,SUMPRODUCT(MAX(ROW(E$1:E885)*(E886=E$1:E885)))))</f>
        <v> </v>
      </c>
      <c r="L886" s="26"/>
    </row>
    <row r="887" spans="1:12">
      <c r="A887" s="20" t="s">
        <v>648</v>
      </c>
      <c r="B887" s="27" t="s">
        <v>461</v>
      </c>
      <c r="C887" s="27" t="s">
        <v>281</v>
      </c>
      <c r="E887" s="21">
        <f>IF(D887="?OLD","!!!","")</f>
        <v/>
      </c>
      <c r="F887" s="22" t="str">
        <f>IF(OR(E887="",E887="!!!"),"",IF(NOT(ISNA(VLOOKUP(E887,E$1:E886,1,FALSE()))),"OLD",IF(AND(E887&lt;&gt;"",E887&lt;&gt;"!!!"),"NEW","")))</f>
        <v> </v>
      </c>
      <c r="G887" s="23" t="str">
        <f>IF(OR(E887="",E887="!!!"),"",IF(OR(J887=0,AND(J887=1,K887=1),AND(J887=1,I887="SBJ"),AND(J887=1,I887=0)),"?IN_FOCUS",IF(J887&lt;=2,"?ACTIVATED",IF(J887&lt;&gt;"","?FAMILIAR",IF(F887="NEW",IF(ISNA(VLOOKUP(E887,#REF!,1,FALSE())),"?TYPE_IDENTIFIABLE","?REFERENTIAL"),"_")))))</f>
        <v> </v>
      </c>
      <c r="H887" s="24" t="str">
        <f>IF(J887&lt;&gt;1,"",IF(I887="SBJ","CB","?"))</f>
        <v> </v>
      </c>
      <c r="I887" s="25" t="str">
        <f>IF(OR(E887="",E887="!!!",F887="NEW"),"",INDEX(B886:B$2,-1+SUMPRODUCT(MAX(ROW(E886:E$2)*(E887=E886:E$2)))))</f>
        <v> </v>
      </c>
      <c r="J887" s="25" t="str">
        <f>IF(OR(E887="",E887="!!!",F887="NEW"),"",COUNTBLANK(OFFSET(A$1,,,SUMPRODUCT(MAX(ROW(E$2:E887)*(E887=E$2:E887)))))-COUNTBLANK(OFFSET(A$1,,,SUMPRODUCT(MAX(ROW(E$1:E886)*(E2=E$1:E886))))))</f>
        <v> </v>
      </c>
      <c r="K887" s="25" t="str">
        <f>IF(OR(E887="",E887="!!!",F887="NEW"),"",INDEX(J$1:J886,SUMPRODUCT(MAX(ROW(E$1:E886)*(E887=E$1:E886)))))</f>
        <v> </v>
      </c>
      <c r="L887" s="26"/>
    </row>
    <row r="888" spans="1:12">
      <c r="A888" s="20" t="s">
        <v>314</v>
      </c>
      <c r="E888" s="21">
        <f>IF(D888="?OLD","!!!","")</f>
        <v/>
      </c>
      <c r="F888" s="22" t="str">
        <f>IF(OR(E888="",E888="!!!"),"",IF(NOT(ISNA(VLOOKUP(E888,E$1:E887,1,FALSE()))),"OLD",IF(AND(E888&lt;&gt;"",E888&lt;&gt;"!!!"),"NEW","")))</f>
        <v> </v>
      </c>
      <c r="G888" s="23" t="str">
        <f>IF(OR(E888="",E888="!!!"),"",IF(OR(J888=0,AND(J888=1,K888=1),AND(J888=1,I888="SBJ"),AND(J888=1,I888=0)),"?IN_FOCUS",IF(J888&lt;=2,"?ACTIVATED",IF(J888&lt;&gt;"","?FAMILIAR",IF(F888="NEW",IF(ISNA(VLOOKUP(E888,#REF!,1,FALSE())),"?TYPE_IDENTIFIABLE","?REFERENTIAL"),"_")))))</f>
        <v> </v>
      </c>
      <c r="H888" s="24" t="str">
        <f>IF(J888&lt;&gt;1,"",IF(I888="SBJ","CB","?"))</f>
        <v> </v>
      </c>
      <c r="I888" s="25" t="str">
        <f>IF(OR(E888="",E888="!!!",F888="NEW"),"",INDEX(B887:B$2,-1+SUMPRODUCT(MAX(ROW(E887:E$2)*(E888=E887:E$2)))))</f>
        <v> </v>
      </c>
      <c r="J888" s="25" t="str">
        <f>IF(OR(E888="",E888="!!!",F888="NEW"),"",COUNTBLANK(OFFSET(A$1,,,SUMPRODUCT(MAX(ROW(E$2:E888)*(E888=E$2:E888)))))-COUNTBLANK(OFFSET(A$1,,,SUMPRODUCT(MAX(ROW(E$1:E887)*(E2=E$1:E887))))))</f>
        <v> </v>
      </c>
      <c r="K888" s="25" t="str">
        <f>IF(OR(E888="",E888="!!!",F888="NEW"),"",INDEX(J$1:J887,SUMPRODUCT(MAX(ROW(E$1:E887)*(E888=E$1:E887)))))</f>
        <v> </v>
      </c>
      <c r="L888" s="26"/>
    </row>
    <row r="889" spans="1:12">
      <c r="A889" s="20" t="s">
        <v>649</v>
      </c>
      <c r="B889" s="27" t="s">
        <v>597</v>
      </c>
      <c r="C889" s="27" t="s">
        <v>281</v>
      </c>
      <c r="E889" s="21">
        <f>IF(D889="?OLD","!!!","")</f>
        <v/>
      </c>
      <c r="F889" s="22" t="str">
        <f>IF(OR(E889="",E889="!!!"),"",IF(NOT(ISNA(VLOOKUP(E889,E$1:E888,1,FALSE()))),"OLD",IF(AND(E889&lt;&gt;"",E889&lt;&gt;"!!!"),"NEW","")))</f>
        <v> </v>
      </c>
      <c r="G889" s="23" t="str">
        <f>IF(OR(E889="",E889="!!!"),"",IF(OR(J889=0,AND(J889=1,K889=1),AND(J889=1,I889="SBJ"),AND(J889=1,I889=0)),"?IN_FOCUS",IF(J889&lt;=2,"?ACTIVATED",IF(J889&lt;&gt;"","?FAMILIAR",IF(F889="NEW",IF(ISNA(VLOOKUP(E889,#REF!,1,FALSE())),"?TYPE_IDENTIFIABLE","?REFERENTIAL"),"_")))))</f>
        <v> </v>
      </c>
      <c r="H889" s="24" t="str">
        <f>IF(J889&lt;&gt;1,"",IF(I889="SBJ","CB","?"))</f>
        <v> </v>
      </c>
      <c r="I889" s="25" t="str">
        <f>IF(OR(E889="",E889="!!!",F889="NEW"),"",INDEX(B888:B$2,-1+SUMPRODUCT(MAX(ROW(E888:E$2)*(E889=E888:E$2)))))</f>
        <v> </v>
      </c>
      <c r="J889" s="25" t="str">
        <f>IF(OR(E889="",E889="!!!",F889="NEW"),"",COUNTBLANK(OFFSET(A$1,,,SUMPRODUCT(MAX(ROW(E$2:E889)*(E889=E$2:E889)))))-COUNTBLANK(OFFSET(A$1,,,SUMPRODUCT(MAX(ROW(E$1:E888)*(E2=E$1:E888))))))</f>
        <v> </v>
      </c>
      <c r="K889" s="25" t="str">
        <f>IF(OR(E889="",E889="!!!",F889="NEW"),"",INDEX(J$1:J888,SUMPRODUCT(MAX(ROW(E$1:E888)*(E889=E$1:E888)))))</f>
        <v> </v>
      </c>
      <c r="L889" s="26"/>
    </row>
    <row r="890" spans="1:12">
      <c r="A890" s="20" t="s">
        <v>305</v>
      </c>
      <c r="E890" s="21">
        <f>IF(D890="?OLD","!!!","")</f>
        <v/>
      </c>
      <c r="F890" s="22" t="str">
        <f>IF(OR(E890="",E890="!!!"),"",IF(NOT(ISNA(VLOOKUP(E890,E$1:E889,1,FALSE()))),"OLD",IF(AND(E890&lt;&gt;"",E890&lt;&gt;"!!!"),"NEW","")))</f>
        <v> </v>
      </c>
      <c r="G890" s="23" t="str">
        <f>IF(OR(E890="",E890="!!!"),"",IF(OR(J890=0,AND(J890=1,K890=1),AND(J890=1,I890="SBJ"),AND(J890=1,I890=0)),"?IN_FOCUS",IF(J890&lt;=2,"?ACTIVATED",IF(J890&lt;&gt;"","?FAMILIAR",IF(F890="NEW",IF(ISNA(VLOOKUP(E890,#REF!,1,FALSE())),"?TYPE_IDENTIFIABLE","?REFERENTIAL"),"_")))))</f>
        <v> </v>
      </c>
      <c r="H890" s="24" t="str">
        <f>IF(J890&lt;&gt;1,"",IF(I890="SBJ","CB","?"))</f>
        <v> </v>
      </c>
      <c r="I890" s="25" t="str">
        <f>IF(OR(E890="",E890="!!!",F890="NEW"),"",INDEX(B889:B$2,-1+SUMPRODUCT(MAX(ROW(E889:E$2)*(E890=E889:E$2)))))</f>
        <v> </v>
      </c>
      <c r="J890" s="25" t="str">
        <f>IF(OR(E890="",E890="!!!",F890="NEW"),"",COUNTBLANK(OFFSET(A$1,,,SUMPRODUCT(MAX(ROW(E$2:E890)*(E890=E$2:E890)))))-COUNTBLANK(OFFSET(A$1,,,SUMPRODUCT(MAX(ROW(E$1:E889)*(E2=E$1:E889))))))</f>
        <v> </v>
      </c>
      <c r="K890" s="25" t="str">
        <f>IF(OR(E890="",E890="!!!",F890="NEW"),"",INDEX(J$1:J889,SUMPRODUCT(MAX(ROW(E$1:E889)*(E890=E$1:E889)))))</f>
        <v> </v>
      </c>
      <c r="L890" s="26"/>
    </row>
    <row r="891" spans="1:12">
      <c r="A891" s="20" t="s">
        <v>321</v>
      </c>
      <c r="E891" s="21">
        <f>IF(D891="?OLD","!!!","")</f>
        <v/>
      </c>
      <c r="F891" s="22" t="str">
        <f>IF(OR(E891="",E891="!!!"),"",IF(NOT(ISNA(VLOOKUP(E891,E$1:E890,1,FALSE()))),"OLD",IF(AND(E891&lt;&gt;"",E891&lt;&gt;"!!!"),"NEW","")))</f>
        <v> </v>
      </c>
      <c r="G891" s="23" t="str">
        <f>IF(OR(E891="",E891="!!!"),"",IF(OR(J891=0,AND(J891=1,K891=1),AND(J891=1,I891="SBJ"),AND(J891=1,I891=0)),"?IN_FOCUS",IF(J891&lt;=2,"?ACTIVATED",IF(J891&lt;&gt;"","?FAMILIAR",IF(F891="NEW",IF(ISNA(VLOOKUP(E891,#REF!,1,FALSE())),"?TYPE_IDENTIFIABLE","?REFERENTIAL"),"_")))))</f>
        <v> </v>
      </c>
      <c r="H891" s="24" t="str">
        <f>IF(J891&lt;&gt;1,"",IF(I891="SBJ","CB","?"))</f>
        <v> </v>
      </c>
      <c r="I891" s="25" t="str">
        <f>IF(OR(E891="",E891="!!!",F891="NEW"),"",INDEX(B890:B$2,-1+SUMPRODUCT(MAX(ROW(E890:E$2)*(E891=E890:E$2)))))</f>
        <v> </v>
      </c>
      <c r="J891" s="25" t="str">
        <f>IF(OR(E891="",E891="!!!",F891="NEW"),"",COUNTBLANK(OFFSET(A$1,,,SUMPRODUCT(MAX(ROW(E$2:E891)*(E891=E$2:E891)))))-COUNTBLANK(OFFSET(A$1,,,SUMPRODUCT(MAX(ROW(E$1:E890)*(E2=E$1:E890))))))</f>
        <v> </v>
      </c>
      <c r="K891" s="25" t="str">
        <f>IF(OR(E891="",E891="!!!",F891="NEW"),"",INDEX(J$1:J890,SUMPRODUCT(MAX(ROW(E$1:E890)*(E891=E$1:E890)))))</f>
        <v> </v>
      </c>
      <c r="L891" s="26"/>
    </row>
    <row r="892" spans="1:12">
      <c r="A892" s="20" t="s">
        <v>237</v>
      </c>
      <c r="E892" s="21">
        <f>IF(D892="?OLD","!!!","")</f>
        <v/>
      </c>
      <c r="F892" s="22" t="str">
        <f>IF(OR(E892="",E892="!!!"),"",IF(NOT(ISNA(VLOOKUP(E892,E$1:E891,1,FALSE()))),"OLD",IF(AND(E892&lt;&gt;"",E892&lt;&gt;"!!!"),"NEW","")))</f>
        <v> </v>
      </c>
      <c r="G892" s="23" t="str">
        <f>IF(OR(E892="",E892="!!!"),"",IF(OR(J892=0,AND(J892=1,K892=1),AND(J892=1,I892="SBJ"),AND(J892=1,I892=0)),"?IN_FOCUS",IF(J892&lt;=2,"?ACTIVATED",IF(J892&lt;&gt;"","?FAMILIAR",IF(F892="NEW",IF(ISNA(VLOOKUP(E892,#REF!,1,FALSE())),"?TYPE_IDENTIFIABLE","?REFERENTIAL"),"_")))))</f>
        <v> </v>
      </c>
      <c r="H892" s="24" t="str">
        <f>IF(J892&lt;&gt;1,"",IF(I892="SBJ","CB","?"))</f>
        <v> </v>
      </c>
      <c r="I892" s="25" t="str">
        <f>IF(OR(E892="",E892="!!!",F892="NEW"),"",INDEX(B891:B$2,-1+SUMPRODUCT(MAX(ROW(E891:E$2)*(E892=E891:E$2)))))</f>
        <v> </v>
      </c>
      <c r="J892" s="25" t="str">
        <f>IF(OR(E892="",E892="!!!",F892="NEW"),"",COUNTBLANK(OFFSET(A$1,,,SUMPRODUCT(MAX(ROW(E$2:E892)*(E892=E$2:E892)))))-COUNTBLANK(OFFSET(A$1,,,SUMPRODUCT(MAX(ROW(E$1:E891)*(E2=E$1:E891))))))</f>
        <v> </v>
      </c>
      <c r="K892" s="25" t="str">
        <f>IF(OR(E892="",E892="!!!",F892="NEW"),"",INDEX(J$1:J891,SUMPRODUCT(MAX(ROW(E$1:E891)*(E892=E$1:E891)))))</f>
        <v> </v>
      </c>
      <c r="L892" s="26"/>
    </row>
    <row r="893" spans="1:12">
      <c r="A893" s="20" t="s">
        <v>499</v>
      </c>
      <c r="B893" s="27" t="s">
        <v>283</v>
      </c>
      <c r="C893" s="27" t="s">
        <v>281</v>
      </c>
      <c r="E893" s="21">
        <f>IF(D893="?OLD","!!!","")</f>
        <v/>
      </c>
      <c r="F893" s="22" t="str">
        <f>IF(OR(E893="",E893="!!!"),"",IF(NOT(ISNA(VLOOKUP(E893,E$1:E892,1,FALSE()))),"OLD",IF(AND(E893&lt;&gt;"",E893&lt;&gt;"!!!"),"NEW","")))</f>
        <v> </v>
      </c>
      <c r="G893" s="23" t="str">
        <f>IF(OR(E893="",E893="!!!"),"",IF(OR(J893=0,AND(J893=1,K893=1),AND(J893=1,I893="SBJ"),AND(J893=1,I893=0)),"?IN_FOCUS",IF(J893&lt;=2,"?ACTIVATED",IF(J893&lt;&gt;"","?FAMILIAR",IF(F893="NEW",IF(ISNA(VLOOKUP(E893,#REF!,1,FALSE())),"?TYPE_IDENTIFIABLE","?REFERENTIAL"),"_")))))</f>
        <v> </v>
      </c>
      <c r="H893" s="24" t="str">
        <f>IF(J893&lt;&gt;1,"",IF(I893="SBJ","CB","?"))</f>
        <v> </v>
      </c>
      <c r="I893" s="25" t="str">
        <f>IF(OR(E893="",E893="!!!",F893="NEW"),"",INDEX(B892:B$2,-1+SUMPRODUCT(MAX(ROW(E892:E$2)*(E893=E892:E$2)))))</f>
        <v> </v>
      </c>
      <c r="J893" s="25" t="str">
        <f>IF(OR(E893="",E893="!!!",F893="NEW"),"",COUNTBLANK(OFFSET(A$1,,,SUMPRODUCT(MAX(ROW(E$2:E893)*(E893=E$2:E893)))))-COUNTBLANK(OFFSET(A$1,,,SUMPRODUCT(MAX(ROW(E$1:E892)*(E2=E$1:E892))))))</f>
        <v> </v>
      </c>
      <c r="K893" s="25" t="str">
        <f>IF(OR(E893="",E893="!!!",F893="NEW"),"",INDEX(J$1:J892,SUMPRODUCT(MAX(ROW(E$1:E892)*(E893=E$1:E892)))))</f>
        <v> </v>
      </c>
      <c r="L893" s="26"/>
    </row>
    <row r="894" spans="1:12">
      <c r="A894" s="20" t="s">
        <v>305</v>
      </c>
      <c r="E894" s="21">
        <f>IF(D894="?OLD","!!!","")</f>
        <v/>
      </c>
      <c r="F894" s="22" t="str">
        <f>IF(OR(E894="",E894="!!!"),"",IF(NOT(ISNA(VLOOKUP(E894,E$1:E893,1,FALSE()))),"OLD",IF(AND(E894&lt;&gt;"",E894&lt;&gt;"!!!"),"NEW","")))</f>
        <v> </v>
      </c>
      <c r="G894" s="23" t="str">
        <f>IF(OR(E894="",E894="!!!"),"",IF(OR(J894=0,AND(J894=1,K894=1),AND(J894=1,I894="SBJ"),AND(J894=1,I894=0)),"?IN_FOCUS",IF(J894&lt;=2,"?ACTIVATED",IF(J894&lt;&gt;"","?FAMILIAR",IF(F894="NEW",IF(ISNA(VLOOKUP(E894,#REF!,1,FALSE())),"?TYPE_IDENTIFIABLE","?REFERENTIAL"),"_")))))</f>
        <v> </v>
      </c>
      <c r="H894" s="24" t="str">
        <f>IF(J894&lt;&gt;1,"",IF(I894="SBJ","CB","?"))</f>
        <v> </v>
      </c>
      <c r="I894" s="25" t="str">
        <f>IF(OR(E894="",E894="!!!",F894="NEW"),"",INDEX(B893:B$2,-1+SUMPRODUCT(MAX(ROW(E893:E$2)*(E894=E893:E$2)))))</f>
        <v> </v>
      </c>
      <c r="J894" s="25" t="str">
        <f>IF(OR(E894="",E894="!!!",F894="NEW"),"",COUNTBLANK(OFFSET(A$1,,,SUMPRODUCT(MAX(ROW(E$2:E894)*(E894=E$2:E894)))))-COUNTBLANK(OFFSET(A$1,,,SUMPRODUCT(MAX(ROW(E$1:E893)*(E2=E$1:E893))))))</f>
        <v> </v>
      </c>
      <c r="K894" s="25" t="str">
        <f>IF(OR(E894="",E894="!!!",F894="NEW"),"",INDEX(J$1:J893,SUMPRODUCT(MAX(ROW(E$1:E893)*(E894=E$1:E893)))))</f>
        <v> </v>
      </c>
      <c r="L894" s="26"/>
    </row>
    <row r="895" spans="1:12">
      <c r="A895" s="20" t="s">
        <v>277</v>
      </c>
      <c r="E895" s="21">
        <f>IF(D895="?OLD","!!!","")</f>
        <v/>
      </c>
      <c r="F895" s="22" t="str">
        <f>IF(OR(E895="",E895="!!!"),"",IF(NOT(ISNA(VLOOKUP(E895,E$1:E894,1,FALSE()))),"OLD",IF(AND(E895&lt;&gt;"",E895&lt;&gt;"!!!"),"NEW","")))</f>
        <v> </v>
      </c>
      <c r="G895" s="23" t="str">
        <f>IF(OR(E895="",E895="!!!"),"",IF(OR(J895=0,AND(J895=1,K895=1),AND(J895=1,I895="SBJ"),AND(J895=1,I895=0)),"?IN_FOCUS",IF(J895&lt;=2,"?ACTIVATED",IF(J895&lt;&gt;"","?FAMILIAR",IF(F895="NEW",IF(ISNA(VLOOKUP(E895,#REF!,1,FALSE())),"?TYPE_IDENTIFIABLE","?REFERENTIAL"),"_")))))</f>
        <v> </v>
      </c>
      <c r="H895" s="24" t="str">
        <f>IF(J895&lt;&gt;1,"",IF(I895="SBJ","CB","?"))</f>
        <v> </v>
      </c>
      <c r="I895" s="25" t="str">
        <f>IF(OR(E895="",E895="!!!",F895="NEW"),"",INDEX(B894:B$2,-1+SUMPRODUCT(MAX(ROW(E894:E$2)*(E895=E894:E$2)))))</f>
        <v> </v>
      </c>
      <c r="J895" s="25" t="str">
        <f>IF(OR(E895="",E895="!!!",F895="NEW"),"",COUNTBLANK(OFFSET(A$1,,,SUMPRODUCT(MAX(ROW(E$2:E895)*(E895=E$2:E895)))))-COUNTBLANK(OFFSET(A$1,,,SUMPRODUCT(MAX(ROW(E$1:E894)*(E2=E$1:E894))))))</f>
        <v> </v>
      </c>
      <c r="K895" s="25" t="str">
        <f>IF(OR(E895="",E895="!!!",F895="NEW"),"",INDEX(J$1:J894,SUMPRODUCT(MAX(ROW(E$1:E894)*(E895=E$1:E894)))))</f>
        <v> </v>
      </c>
      <c r="L895" s="26"/>
    </row>
    <row r="896" spans="1:12">
      <c r="A896" s="20" t="s">
        <v>249</v>
      </c>
      <c r="E896" s="21">
        <f>IF(D896="?OLD","!!!","")</f>
        <v/>
      </c>
      <c r="F896" s="22" t="str">
        <f>IF(OR(E896="",E896="!!!"),"",IF(NOT(ISNA(VLOOKUP(E896,E$1:E895,1,FALSE()))),"OLD",IF(AND(E896&lt;&gt;"",E896&lt;&gt;"!!!"),"NEW","")))</f>
        <v> </v>
      </c>
      <c r="G896" s="23" t="str">
        <f>IF(OR(E896="",E896="!!!"),"",IF(OR(J896=0,AND(J896=1,K896=1),AND(J896=1,I896="SBJ"),AND(J896=1,I896=0)),"?IN_FOCUS",IF(J896&lt;=2,"?ACTIVATED",IF(J896&lt;&gt;"","?FAMILIAR",IF(F896="NEW",IF(ISNA(VLOOKUP(E896,#REF!,1,FALSE())),"?TYPE_IDENTIFIABLE","?REFERENTIAL"),"_")))))</f>
        <v> </v>
      </c>
      <c r="H896" s="24" t="str">
        <f>IF(J896&lt;&gt;1,"",IF(I896="SBJ","CB","?"))</f>
        <v> </v>
      </c>
      <c r="I896" s="25" t="str">
        <f>IF(OR(E896="",E896="!!!",F896="NEW"),"",INDEX(B895:B$2,-1+SUMPRODUCT(MAX(ROW(E895:E$2)*(E896=E895:E$2)))))</f>
        <v> </v>
      </c>
      <c r="J896" s="25" t="str">
        <f>IF(OR(E896="",E896="!!!",F896="NEW"),"",COUNTBLANK(OFFSET(A$1,,,SUMPRODUCT(MAX(ROW(E$2:E896)*(E896=E$2:E896)))))-COUNTBLANK(OFFSET(A$1,,,SUMPRODUCT(MAX(ROW(E$1:E895)*(E2=E$1:E895))))))</f>
        <v> </v>
      </c>
      <c r="K896" s="25" t="str">
        <f>IF(OR(E896="",E896="!!!",F896="NEW"),"",INDEX(J$1:J895,SUMPRODUCT(MAX(ROW(E$1:E895)*(E896=E$1:E895)))))</f>
        <v> </v>
      </c>
      <c r="L896" s="26"/>
    </row>
    <row r="897" spans="1:12">
      <c r="A897" s="20" t="s">
        <v>250</v>
      </c>
      <c r="B897" s="27" t="s">
        <v>283</v>
      </c>
      <c r="C897" s="27" t="s">
        <v>279</v>
      </c>
      <c r="E897" s="21">
        <f>IF(D897="?OLD","!!!","")</f>
        <v/>
      </c>
      <c r="F897" s="22" t="str">
        <f>IF(OR(E897="",E897="!!!"),"",IF(NOT(ISNA(VLOOKUP(E897,E$1:E896,1,FALSE()))),"OLD",IF(AND(E897&lt;&gt;"",E897&lt;&gt;"!!!"),"NEW","")))</f>
        <v> </v>
      </c>
      <c r="G897" s="23" t="str">
        <f>IF(OR(E897="",E897="!!!"),"",IF(OR(J897=0,AND(J897=1,K897=1),AND(J897=1,I897="SBJ"),AND(J897=1,I897=0)),"?IN_FOCUS",IF(J897&lt;=2,"?ACTIVATED",IF(J897&lt;&gt;"","?FAMILIAR",IF(F897="NEW",IF(ISNA(VLOOKUP(E897,#REF!,1,FALSE())),"?TYPE_IDENTIFIABLE","?REFERENTIAL"),"_")))))</f>
        <v> </v>
      </c>
      <c r="H897" s="24" t="str">
        <f>IF(J897&lt;&gt;1,"",IF(I897="SBJ","CB","?"))</f>
        <v> </v>
      </c>
      <c r="I897" s="25" t="str">
        <f>IF(OR(E897="",E897="!!!",F897="NEW"),"",INDEX(B896:B$2,-1+SUMPRODUCT(MAX(ROW(E896:E$2)*(E897=E896:E$2)))))</f>
        <v> </v>
      </c>
      <c r="J897" s="25" t="str">
        <f>IF(OR(E897="",E897="!!!",F897="NEW"),"",COUNTBLANK(OFFSET(A$1,,,SUMPRODUCT(MAX(ROW(E$2:E897)*(E897=E$2:E897)))))-COUNTBLANK(OFFSET(A$1,,,SUMPRODUCT(MAX(ROW(E$1:E896)*(E2=E$1:E896))))))</f>
        <v> </v>
      </c>
      <c r="K897" s="25" t="str">
        <f>IF(OR(E897="",E897="!!!",F897="NEW"),"",INDEX(J$1:J896,SUMPRODUCT(MAX(ROW(E$1:E896)*(E897=E$1:E896)))))</f>
        <v> </v>
      </c>
      <c r="L897" s="26"/>
    </row>
    <row r="898" spans="1:12">
      <c r="A898" s="20" t="s">
        <v>409</v>
      </c>
      <c r="E898" s="21">
        <f>IF(D898="?OLD","!!!","")</f>
        <v/>
      </c>
      <c r="F898" s="22" t="str">
        <f>IF(OR(E898="",E898="!!!"),"",IF(NOT(ISNA(VLOOKUP(E898,E$1:E897,1,FALSE()))),"OLD",IF(AND(E898&lt;&gt;"",E898&lt;&gt;"!!!"),"NEW","")))</f>
        <v> </v>
      </c>
      <c r="G898" s="23" t="str">
        <f>IF(OR(E898="",E898="!!!"),"",IF(OR(J898=0,AND(J898=1,K898=1),AND(J898=1,I898="SBJ"),AND(J898=1,I898=0)),"?IN_FOCUS",IF(J898&lt;=2,"?ACTIVATED",IF(J898&lt;&gt;"","?FAMILIAR",IF(F898="NEW",IF(ISNA(VLOOKUP(E898,#REF!,1,FALSE())),"?TYPE_IDENTIFIABLE","?REFERENTIAL"),"_")))))</f>
        <v> </v>
      </c>
      <c r="H898" s="24" t="str">
        <f>IF(J898&lt;&gt;1,"",IF(I898="SBJ","CB","?"))</f>
        <v> </v>
      </c>
      <c r="I898" s="25" t="str">
        <f>IF(OR(E898="",E898="!!!",F898="NEW"),"",INDEX(B897:B$2,-1+SUMPRODUCT(MAX(ROW(E897:E$2)*(E898=E897:E$2)))))</f>
        <v> </v>
      </c>
      <c r="J898" s="25" t="str">
        <f>IF(OR(E898="",E898="!!!",F898="NEW"),"",COUNTBLANK(OFFSET(A$1,,,SUMPRODUCT(MAX(ROW(E$2:E898)*(E898=E$2:E898)))))-COUNTBLANK(OFFSET(A$1,,,SUMPRODUCT(MAX(ROW(E$1:E897)*(E2=E$1:E897))))))</f>
        <v> </v>
      </c>
      <c r="K898" s="25" t="str">
        <f>IF(OR(E898="",E898="!!!",F898="NEW"),"",INDEX(J$1:J897,SUMPRODUCT(MAX(ROW(E$1:E897)*(E898=E$1:E897)))))</f>
        <v> </v>
      </c>
      <c r="L898" s="26"/>
    </row>
    <row r="899" spans="1:12">
      <c r="A899" s="20"/>
    </row>
    <row r="900" spans="1:12">
      <c r="A900" s="20" t="s">
        <v>650</v>
      </c>
    </row>
    <row r="901" spans="1:12">
      <c r="A901" s="20" t="s">
        <v>282</v>
      </c>
      <c r="B901" s="27" t="s">
        <v>255</v>
      </c>
      <c r="C901" s="27" t="s">
        <v>243</v>
      </c>
      <c r="D901" s="27" t="s">
        <v>244</v>
      </c>
      <c r="E901" s="21">
        <f>IF(D901="?OLD","!!!","")</f>
        <v/>
      </c>
      <c r="F901" s="22" t="str">
        <f>IF(OR(E901="",E901="!!!"),"",IF(NOT(ISNA(VLOOKUP(E901,E$1:E900,1,FALSE()))),"OLD",IF(AND(E901&lt;&gt;"",E901&lt;&gt;"!!!"),"NEW","")))</f>
        <v> </v>
      </c>
      <c r="G901" s="23" t="str">
        <f>IF(OR(E901="",E901="!!!"),"",IF(OR(J901=0,AND(J901=1,K901=1),AND(J901=1,I901="SBJ"),AND(J901=1,I901=0)),"?IN_FOCUS",IF(J901&lt;=2,"?ACTIVATED",IF(J901&lt;&gt;"","?FAMILIAR",IF(F901="NEW",IF(ISNA(VLOOKUP(E901,#REF!,1,FALSE())),"?TYPE_IDENTIFIABLE","?REFERENTIAL"),"_")))))</f>
        <v> </v>
      </c>
      <c r="H901" s="24" t="str">
        <f>IF(J901&lt;&gt;1,"",IF(I901="SBJ","CB","?"))</f>
        <v> </v>
      </c>
      <c r="I901" s="25" t="str">
        <f>IF(OR(E901="",E901="!!!",F901="NEW"),"",INDEX(B900:B$2,-1+SUMPRODUCT(MAX(ROW(E900:E$2)*(E901=E900:E$2)))))</f>
        <v> </v>
      </c>
      <c r="J901" s="25" t="str">
        <f>IF(OR(E901="",E901="!!!",F901="NEW"),"",COUNTBLANK(OFFSET(A$1,,,SUMPRODUCT(MAX(ROW(E$2:E901)*(E901=E$2:E901)))))-COUNTBLANK(OFFSET(A$1,,,SUMPRODUCT(MAX(ROW(E$1:E900)*(E2=E$1:E900))))))</f>
        <v> </v>
      </c>
      <c r="K901" s="25" t="str">
        <f>IF(OR(E901="",E901="!!!",F901="NEW"),"",INDEX(J$1:J900,SUMPRODUCT(MAX(ROW(E$1:E900)*(E901=E$1:E900)))))</f>
        <v> </v>
      </c>
      <c r="L901" s="26"/>
    </row>
    <row r="902" spans="1:12">
      <c r="A902" s="20" t="s">
        <v>284</v>
      </c>
      <c r="E902" s="21">
        <f>IF(D902="?OLD","!!!","")</f>
        <v/>
      </c>
      <c r="F902" s="22" t="str">
        <f>IF(OR(E902="",E902="!!!"),"",IF(NOT(ISNA(VLOOKUP(E902,E$1:E901,1,FALSE()))),"OLD",IF(AND(E902&lt;&gt;"",E902&lt;&gt;"!!!"),"NEW","")))</f>
        <v> </v>
      </c>
      <c r="G902" s="23" t="str">
        <f>IF(OR(E902="",E902="!!!"),"",IF(OR(J902=0,AND(J902=1,K902=1),AND(J902=1,I902="SBJ"),AND(J902=1,I902=0)),"?IN_FOCUS",IF(J902&lt;=2,"?ACTIVATED",IF(J902&lt;&gt;"","?FAMILIAR",IF(F902="NEW",IF(ISNA(VLOOKUP(E902,#REF!,1,FALSE())),"?TYPE_IDENTIFIABLE","?REFERENTIAL"),"_")))))</f>
        <v> </v>
      </c>
      <c r="H902" s="24" t="str">
        <f>IF(J902&lt;&gt;1,"",IF(I902="SBJ","CB","?"))</f>
        <v> </v>
      </c>
      <c r="I902" s="25" t="str">
        <f>IF(OR(E902="",E902="!!!",F902="NEW"),"",INDEX(B901:B$2,-1+SUMPRODUCT(MAX(ROW(E901:E$2)*(E902=E901:E$2)))))</f>
        <v> </v>
      </c>
      <c r="J902" s="25" t="str">
        <f>IF(OR(E902="",E902="!!!",F902="NEW"),"",COUNTBLANK(OFFSET(A$1,,,SUMPRODUCT(MAX(ROW(E$2:E902)*(E902=E$2:E902)))))-COUNTBLANK(OFFSET(A$1,,,SUMPRODUCT(MAX(ROW(E$1:E901)*(E2=E$1:E901))))))</f>
        <v> </v>
      </c>
      <c r="K902" s="25" t="str">
        <f>IF(OR(E902="",E902="!!!",F902="NEW"),"",INDEX(J$1:J901,SUMPRODUCT(MAX(ROW(E$1:E901)*(E902=E$1:E901)))))</f>
        <v> </v>
      </c>
      <c r="L902" s="26"/>
    </row>
    <row r="903" spans="1:12">
      <c r="A903" s="20" t="s">
        <v>651</v>
      </c>
      <c r="E903" s="21">
        <f>IF(D903="?OLD","!!!","")</f>
        <v/>
      </c>
      <c r="F903" s="22" t="str">
        <f>IF(OR(E903="",E903="!!!"),"",IF(NOT(ISNA(VLOOKUP(E903,E$1:E902,1,FALSE()))),"OLD",IF(AND(E903&lt;&gt;"",E903&lt;&gt;"!!!"),"NEW","")))</f>
        <v> </v>
      </c>
      <c r="G903" s="23" t="str">
        <f>IF(OR(E903="",E903="!!!"),"",IF(OR(J903=0,AND(J903=1,K903=1),AND(J903=1,I903="SBJ"),AND(J903=1,I903=0)),"?IN_FOCUS",IF(J903&lt;=2,"?ACTIVATED",IF(J903&lt;&gt;"","?FAMILIAR",IF(F903="NEW",IF(ISNA(VLOOKUP(E903,#REF!,1,FALSE())),"?TYPE_IDENTIFIABLE","?REFERENTIAL"),"_")))))</f>
        <v> </v>
      </c>
      <c r="H903" s="24" t="str">
        <f>IF(J903&lt;&gt;1,"",IF(I903="SBJ","CB","?"))</f>
        <v> </v>
      </c>
      <c r="I903" s="25" t="str">
        <f>IF(OR(E903="",E903="!!!",F903="NEW"),"",INDEX(B902:B$2,-1+SUMPRODUCT(MAX(ROW(E902:E$2)*(E903=E902:E$2)))))</f>
        <v> </v>
      </c>
      <c r="J903" s="25" t="str">
        <f>IF(OR(E903="",E903="!!!",F903="NEW"),"",COUNTBLANK(OFFSET(A$1,,,SUMPRODUCT(MAX(ROW(E$2:E903)*(E903=E$2:E903)))))-COUNTBLANK(OFFSET(A$1,,,SUMPRODUCT(MAX(ROW(E$1:E902)*(E2=E$1:E902))))))</f>
        <v> </v>
      </c>
      <c r="K903" s="25" t="str">
        <f>IF(OR(E903="",E903="!!!",F903="NEW"),"",INDEX(J$1:J902,SUMPRODUCT(MAX(ROW(E$1:E902)*(E903=E$1:E902)))))</f>
        <v> </v>
      </c>
      <c r="L903" s="26"/>
    </row>
    <row r="904" spans="1:12">
      <c r="A904" s="20" t="s">
        <v>354</v>
      </c>
      <c r="B904" s="27" t="s">
        <v>251</v>
      </c>
      <c r="C904" s="27" t="s">
        <v>256</v>
      </c>
      <c r="D904" s="27" t="s">
        <v>244</v>
      </c>
      <c r="E904" s="21">
        <f>IF(D904="?OLD","!!!","")</f>
        <v/>
      </c>
      <c r="F904" s="22" t="str">
        <f>IF(OR(E904="",E904="!!!"),"",IF(NOT(ISNA(VLOOKUP(E904,E$1:E903,1,FALSE()))),"OLD",IF(AND(E904&lt;&gt;"",E904&lt;&gt;"!!!"),"NEW","")))</f>
        <v> </v>
      </c>
      <c r="G904" s="23" t="str">
        <f>IF(OR(E904="",E904="!!!"),"",IF(OR(J904=0,AND(J904=1,K904=1),AND(J904=1,I904="SBJ"),AND(J904=1,I904=0)),"?IN_FOCUS",IF(J904&lt;=2,"?ACTIVATED",IF(J904&lt;&gt;"","?FAMILIAR",IF(F904="NEW",IF(ISNA(VLOOKUP(E904,#REF!,1,FALSE())),"?TYPE_IDENTIFIABLE","?REFERENTIAL"),"_")))))</f>
        <v> </v>
      </c>
      <c r="H904" s="24" t="str">
        <f>IF(J904&lt;&gt;1,"",IF(I904="SBJ","CB","?"))</f>
        <v> </v>
      </c>
      <c r="I904" s="25" t="str">
        <f>IF(OR(E904="",E904="!!!",F904="NEW"),"",INDEX(B903:B$2,-1+SUMPRODUCT(MAX(ROW(E903:E$2)*(E904=E903:E$2)))))</f>
        <v> </v>
      </c>
      <c r="J904" s="25" t="str">
        <f>IF(OR(E904="",E904="!!!",F904="NEW"),"",COUNTBLANK(OFFSET(A$1,,,SUMPRODUCT(MAX(ROW(E$2:E904)*(E904=E$2:E904)))))-COUNTBLANK(OFFSET(A$1,,,SUMPRODUCT(MAX(ROW(E$1:E903)*(E2=E$1:E903))))))</f>
        <v> </v>
      </c>
      <c r="K904" s="25" t="str">
        <f>IF(OR(E904="",E904="!!!",F904="NEW"),"",INDEX(J$1:J903,SUMPRODUCT(MAX(ROW(E$1:E903)*(E904=E$1:E903)))))</f>
        <v> </v>
      </c>
      <c r="L904" s="26"/>
    </row>
    <row r="905" spans="1:12">
      <c r="A905" s="20" t="s">
        <v>471</v>
      </c>
      <c r="E905" s="21">
        <f>IF(D905="?OLD","!!!","")</f>
        <v/>
      </c>
      <c r="F905" s="22" t="str">
        <f>IF(OR(E905="",E905="!!!"),"",IF(NOT(ISNA(VLOOKUP(E905,E$1:E904,1,FALSE()))),"OLD",IF(AND(E905&lt;&gt;"",E905&lt;&gt;"!!!"),"NEW","")))</f>
        <v> </v>
      </c>
      <c r="G905" s="23" t="str">
        <f>IF(OR(E905="",E905="!!!"),"",IF(OR(J905=0,AND(J905=1,K905=1),AND(J905=1,I905="SBJ"),AND(J905=1,I905=0)),"?IN_FOCUS",IF(J905&lt;=2,"?ACTIVATED",IF(J905&lt;&gt;"","?FAMILIAR",IF(F905="NEW",IF(ISNA(VLOOKUP(E905,#REF!,1,FALSE())),"?TYPE_IDENTIFIABLE","?REFERENTIAL"),"_")))))</f>
        <v> </v>
      </c>
      <c r="H905" s="24" t="str">
        <f>IF(J905&lt;&gt;1,"",IF(I905="SBJ","CB","?"))</f>
        <v> </v>
      </c>
      <c r="I905" s="25" t="str">
        <f>IF(OR(E905="",E905="!!!",F905="NEW"),"",INDEX(B904:B$2,-1+SUMPRODUCT(MAX(ROW(E904:E$2)*(E905=E904:E$2)))))</f>
        <v> </v>
      </c>
      <c r="J905" s="25" t="str">
        <f>IF(OR(E905="",E905="!!!",F905="NEW"),"",COUNTBLANK(OFFSET(A$1,,,SUMPRODUCT(MAX(ROW(E$2:E905)*(E905=E$2:E905)))))-COUNTBLANK(OFFSET(A$1,,,SUMPRODUCT(MAX(ROW(E$1:E904)*(E2=E$1:E904))))))</f>
        <v> </v>
      </c>
      <c r="K905" s="25" t="str">
        <f>IF(OR(E905="",E905="!!!",F905="NEW"),"",INDEX(J$1:J904,SUMPRODUCT(MAX(ROW(E$1:E904)*(E905=E$1:E904)))))</f>
        <v> </v>
      </c>
      <c r="L905" s="26"/>
    </row>
    <row r="906" spans="1:12">
      <c r="A906" s="20" t="s">
        <v>290</v>
      </c>
      <c r="B906" s="27" t="s">
        <v>291</v>
      </c>
      <c r="C906" s="27" t="s">
        <v>263</v>
      </c>
      <c r="D906" s="27" t="s">
        <v>244</v>
      </c>
      <c r="E906" s="21">
        <f>IF(D906="?OLD","!!!","")</f>
        <v/>
      </c>
      <c r="F906" s="22" t="str">
        <f>IF(OR(E906="",E906="!!!"),"",IF(NOT(ISNA(VLOOKUP(E906,E$1:E905,1,FALSE()))),"OLD",IF(AND(E906&lt;&gt;"",E906&lt;&gt;"!!!"),"NEW","")))</f>
        <v> </v>
      </c>
      <c r="G906" s="23" t="str">
        <f>IF(OR(E906="",E906="!!!"),"",IF(OR(J906=0,AND(J906=1,K906=1),AND(J906=1,I906="SBJ"),AND(J906=1,I906=0)),"?IN_FOCUS",IF(J906&lt;=2,"?ACTIVATED",IF(J906&lt;&gt;"","?FAMILIAR",IF(F906="NEW",IF(ISNA(VLOOKUP(E906,#REF!,1,FALSE())),"?TYPE_IDENTIFIABLE","?REFERENTIAL"),"_")))))</f>
        <v> </v>
      </c>
      <c r="H906" s="24" t="str">
        <f>IF(J906&lt;&gt;1,"",IF(I906="SBJ","CB","?"))</f>
        <v> </v>
      </c>
      <c r="I906" s="25" t="str">
        <f>IF(OR(E906="",E906="!!!",F906="NEW"),"",INDEX(B905:B$2,-1+SUMPRODUCT(MAX(ROW(E905:E$2)*(E906=E905:E$2)))))</f>
        <v> </v>
      </c>
      <c r="J906" s="25" t="str">
        <f>IF(OR(E906="",E906="!!!",F906="NEW"),"",COUNTBLANK(OFFSET(A$1,,,SUMPRODUCT(MAX(ROW(E$2:E906)*(E906=E$2:E906)))))-COUNTBLANK(OFFSET(A$1,,,SUMPRODUCT(MAX(ROW(E$1:E905)*(E2=E$1:E905))))))</f>
        <v> </v>
      </c>
      <c r="K906" s="25" t="str">
        <f>IF(OR(E906="",E906="!!!",F906="NEW"),"",INDEX(J$1:J905,SUMPRODUCT(MAX(ROW(E$1:E905)*(E906=E$1:E905)))))</f>
        <v> </v>
      </c>
      <c r="L906" s="26"/>
    </row>
    <row r="907" spans="1:12">
      <c r="A907" s="20" t="s">
        <v>652</v>
      </c>
      <c r="B907" s="27" t="s">
        <v>237</v>
      </c>
      <c r="C907" s="27" t="s">
        <v>267</v>
      </c>
      <c r="D907" s="27" t="s">
        <v>244</v>
      </c>
      <c r="E907" s="21">
        <f>IF(D907="?OLD","!!!","")</f>
        <v/>
      </c>
      <c r="F907" s="22" t="str">
        <f>IF(OR(E907="",E907="!!!"),"",IF(NOT(ISNA(VLOOKUP(E907,E$1:E906,1,FALSE()))),"OLD",IF(AND(E907&lt;&gt;"",E907&lt;&gt;"!!!"),"NEW","")))</f>
        <v> </v>
      </c>
      <c r="G907" s="23" t="str">
        <f>IF(OR(E907="",E907="!!!"),"",IF(OR(J907=0,AND(J907=1,K907=1),AND(J907=1,I907="SBJ"),AND(J907=1,I907=0)),"?IN_FOCUS",IF(J907&lt;=2,"?ACTIVATED",IF(J907&lt;&gt;"","?FAMILIAR",IF(F907="NEW",IF(ISNA(VLOOKUP(E907,#REF!,1,FALSE())),"?TYPE_IDENTIFIABLE","?REFERENTIAL"),"_")))))</f>
        <v> </v>
      </c>
      <c r="H907" s="24" t="str">
        <f>IF(J907&lt;&gt;1,"",IF(I907="SBJ","CB","?"))</f>
        <v> </v>
      </c>
      <c r="I907" s="25" t="str">
        <f>IF(OR(E907="",E907="!!!",F907="NEW"),"",INDEX(B906:B$2,-1+SUMPRODUCT(MAX(ROW(E906:E$2)*(E907=E906:E$2)))))</f>
        <v> </v>
      </c>
      <c r="J907" s="25" t="str">
        <f>IF(OR(E907="",E907="!!!",F907="NEW"),"",COUNTBLANK(OFFSET(A$1,,,SUMPRODUCT(MAX(ROW(E$2:E907)*(E907=E$2:E907)))))-COUNTBLANK(OFFSET(A$1,,,SUMPRODUCT(MAX(ROW(E$1:E906)*(E2=E$1:E906))))))</f>
        <v> </v>
      </c>
      <c r="K907" s="25" t="str">
        <f>IF(OR(E907="",E907="!!!",F907="NEW"),"",INDEX(J$1:J906,SUMPRODUCT(MAX(ROW(E$1:E906)*(E907=E$1:E906)))))</f>
        <v> </v>
      </c>
      <c r="L907" s="26"/>
    </row>
    <row r="908" spans="1:12">
      <c r="A908" s="20" t="s">
        <v>587</v>
      </c>
      <c r="E908" s="21">
        <f>IF(D908="?OLD","!!!","")</f>
        <v/>
      </c>
      <c r="F908" s="22" t="str">
        <f>IF(OR(E908="",E908="!!!"),"",IF(NOT(ISNA(VLOOKUP(E908,E$1:E907,1,FALSE()))),"OLD",IF(AND(E908&lt;&gt;"",E908&lt;&gt;"!!!"),"NEW","")))</f>
        <v> </v>
      </c>
      <c r="G908" s="23" t="str">
        <f>IF(OR(E908="",E908="!!!"),"",IF(OR(J908=0,AND(J908=1,K908=1),AND(J908=1,I908="SBJ"),AND(J908=1,I908=0)),"?IN_FOCUS",IF(J908&lt;=2,"?ACTIVATED",IF(J908&lt;&gt;"","?FAMILIAR",IF(F908="NEW",IF(ISNA(VLOOKUP(E908,#REF!,1,FALSE())),"?TYPE_IDENTIFIABLE","?REFERENTIAL"),"_")))))</f>
        <v> </v>
      </c>
      <c r="H908" s="24" t="str">
        <f>IF(J908&lt;&gt;1,"",IF(I908="SBJ","CB","?"))</f>
        <v> </v>
      </c>
      <c r="I908" s="25" t="str">
        <f>IF(OR(E908="",E908="!!!",F908="NEW"),"",INDEX(B907:B$2,-1+SUMPRODUCT(MAX(ROW(E907:E$2)*(E908=E907:E$2)))))</f>
        <v> </v>
      </c>
      <c r="J908" s="25" t="str">
        <f>IF(OR(E908="",E908="!!!",F908="NEW"),"",COUNTBLANK(OFFSET(A$1,,,SUMPRODUCT(MAX(ROW(E$2:E908)*(E908=E$2:E908)))))-COUNTBLANK(OFFSET(A$1,,,SUMPRODUCT(MAX(ROW(E$1:E907)*(E2=E$1:E907))))))</f>
        <v> </v>
      </c>
      <c r="K908" s="25" t="str">
        <f>IF(OR(E908="",E908="!!!",F908="NEW"),"",INDEX(J$1:J907,SUMPRODUCT(MAX(ROW(E$1:E907)*(E908=E$1:E907)))))</f>
        <v> </v>
      </c>
      <c r="L908" s="26"/>
    </row>
    <row r="909" spans="1:12">
      <c r="A909" s="20" t="s">
        <v>290</v>
      </c>
      <c r="B909" s="27" t="s">
        <v>272</v>
      </c>
      <c r="C909" s="27" t="s">
        <v>263</v>
      </c>
      <c r="D909" s="27" t="s">
        <v>244</v>
      </c>
      <c r="E909" s="21">
        <f>IF(D909="?OLD","!!!","")</f>
        <v/>
      </c>
      <c r="F909" s="22" t="str">
        <f>IF(OR(E909="",E909="!!!"),"",IF(NOT(ISNA(VLOOKUP(E909,E$1:E908,1,FALSE()))),"OLD",IF(AND(E909&lt;&gt;"",E909&lt;&gt;"!!!"),"NEW","")))</f>
        <v> </v>
      </c>
      <c r="G909" s="23" t="str">
        <f>IF(OR(E909="",E909="!!!"),"",IF(OR(J909=0,AND(J909=1,K909=1),AND(J909=1,I909="SBJ"),AND(J909=1,I909=0)),"?IN_FOCUS",IF(J909&lt;=2,"?ACTIVATED",IF(J909&lt;&gt;"","?FAMILIAR",IF(F909="NEW",IF(ISNA(VLOOKUP(E909,#REF!,1,FALSE())),"?TYPE_IDENTIFIABLE","?REFERENTIAL"),"_")))))</f>
        <v> </v>
      </c>
      <c r="H909" s="24" t="str">
        <f>IF(J909&lt;&gt;1,"",IF(I909="SBJ","CB","?"))</f>
        <v> </v>
      </c>
      <c r="I909" s="25" t="str">
        <f>IF(OR(E909="",E909="!!!",F909="NEW"),"",INDEX(B908:B$2,-1+SUMPRODUCT(MAX(ROW(E908:E$2)*(E909=E908:E$2)))))</f>
        <v> </v>
      </c>
      <c r="J909" s="25" t="str">
        <f>IF(OR(E909="",E909="!!!",F909="NEW"),"",COUNTBLANK(OFFSET(A$1,,,SUMPRODUCT(MAX(ROW(E$2:E909)*(E909=E$2:E909)))))-COUNTBLANK(OFFSET(A$1,,,SUMPRODUCT(MAX(ROW(E$1:E908)*(E2=E$1:E908))))))</f>
        <v> </v>
      </c>
      <c r="K909" s="25" t="str">
        <f>IF(OR(E909="",E909="!!!",F909="NEW"),"",INDEX(J$1:J908,SUMPRODUCT(MAX(ROW(E$1:E908)*(E909=E$1:E908)))))</f>
        <v> </v>
      </c>
      <c r="L909" s="26"/>
    </row>
    <row r="910" spans="1:12">
      <c r="A910" s="20" t="s">
        <v>653</v>
      </c>
      <c r="E910" s="21">
        <f>IF(D910="?OLD","!!!","")</f>
        <v/>
      </c>
      <c r="F910" s="22" t="str">
        <f>IF(OR(E910="",E910="!!!"),"",IF(NOT(ISNA(VLOOKUP(E910,E$1:E909,1,FALSE()))),"OLD",IF(AND(E910&lt;&gt;"",E910&lt;&gt;"!!!"),"NEW","")))</f>
        <v> </v>
      </c>
      <c r="G910" s="23" t="str">
        <f>IF(OR(E910="",E910="!!!"),"",IF(OR(J910=0,AND(J910=1,K910=1),AND(J910=1,I910="SBJ"),AND(J910=1,I910=0)),"?IN_FOCUS",IF(J910&lt;=2,"?ACTIVATED",IF(J910&lt;&gt;"","?FAMILIAR",IF(F910="NEW",IF(ISNA(VLOOKUP(E910,#REF!,1,FALSE())),"?TYPE_IDENTIFIABLE","?REFERENTIAL"),"_")))))</f>
        <v> </v>
      </c>
      <c r="H910" s="24" t="str">
        <f>IF(J910&lt;&gt;1,"",IF(I910="SBJ","CB","?"))</f>
        <v> </v>
      </c>
      <c r="I910" s="25" t="str">
        <f>IF(OR(E910="",E910="!!!",F910="NEW"),"",INDEX(B909:B$2,-1+SUMPRODUCT(MAX(ROW(E909:E$2)*(E910=E909:E$2)))))</f>
        <v> </v>
      </c>
      <c r="J910" s="25" t="str">
        <f>IF(OR(E910="",E910="!!!",F910="NEW"),"",COUNTBLANK(OFFSET(A$1,,,SUMPRODUCT(MAX(ROW(E$2:E910)*(E910=E$2:E910)))))-COUNTBLANK(OFFSET(A$1,,,SUMPRODUCT(MAX(ROW(E$1:E909)*(E2=E$1:E909))))))</f>
        <v> </v>
      </c>
      <c r="K910" s="25" t="str">
        <f>IF(OR(E910="",E910="!!!",F910="NEW"),"",INDEX(J$1:J909,SUMPRODUCT(MAX(ROW(E$1:E909)*(E910=E$1:E909)))))</f>
        <v> </v>
      </c>
      <c r="L910" s="26"/>
    </row>
    <row r="911" spans="1:12">
      <c r="A911" s="20" t="s">
        <v>300</v>
      </c>
      <c r="B911" s="27" t="s">
        <v>291</v>
      </c>
      <c r="C911" s="27" t="s">
        <v>267</v>
      </c>
      <c r="D911" s="27" t="s">
        <v>244</v>
      </c>
      <c r="E911" s="21">
        <f>IF(D911="?OLD","!!!","")</f>
        <v/>
      </c>
      <c r="F911" s="22" t="str">
        <f>IF(OR(E911="",E911="!!!"),"",IF(NOT(ISNA(VLOOKUP(E911,E$1:E910,1,FALSE()))),"OLD",IF(AND(E911&lt;&gt;"",E911&lt;&gt;"!!!"),"NEW","")))</f>
        <v> </v>
      </c>
      <c r="G911" s="23" t="str">
        <f>IF(OR(E911="",E911="!!!"),"",IF(OR(J911=0,AND(J911=1,K911=1),AND(J911=1,I911="SBJ"),AND(J911=1,I911=0)),"?IN_FOCUS",IF(J911&lt;=2,"?ACTIVATED",IF(J911&lt;&gt;"","?FAMILIAR",IF(F911="NEW",IF(ISNA(VLOOKUP(E911,#REF!,1,FALSE())),"?TYPE_IDENTIFIABLE","?REFERENTIAL"),"_")))))</f>
        <v> </v>
      </c>
      <c r="H911" s="24" t="str">
        <f>IF(J911&lt;&gt;1,"",IF(I911="SBJ","CB","?"))</f>
        <v> </v>
      </c>
      <c r="I911" s="25" t="str">
        <f>IF(OR(E911="",E911="!!!",F911="NEW"),"",INDEX(B910:B$2,-1+SUMPRODUCT(MAX(ROW(E910:E$2)*(E911=E910:E$2)))))</f>
        <v> </v>
      </c>
      <c r="J911" s="25" t="str">
        <f>IF(OR(E911="",E911="!!!",F911="NEW"),"",COUNTBLANK(OFFSET(A$1,,,SUMPRODUCT(MAX(ROW(E$2:E911)*(E911=E$2:E911)))))-COUNTBLANK(OFFSET(A$1,,,SUMPRODUCT(MAX(ROW(E$1:E910)*(E2=E$1:E910))))))</f>
        <v> </v>
      </c>
      <c r="K911" s="25" t="str">
        <f>IF(OR(E911="",E911="!!!",F911="NEW"),"",INDEX(J$1:J910,SUMPRODUCT(MAX(ROW(E$1:E910)*(E911=E$1:E910)))))</f>
        <v> </v>
      </c>
      <c r="L911" s="26"/>
    </row>
    <row r="912" spans="1:12">
      <c r="A912" s="20" t="s">
        <v>285</v>
      </c>
      <c r="E912" s="21">
        <f>IF(D912="?OLD","!!!","")</f>
        <v/>
      </c>
      <c r="F912" s="22" t="str">
        <f>IF(OR(E912="",E912="!!!"),"",IF(NOT(ISNA(VLOOKUP(E912,E$1:E911,1,FALSE()))),"OLD",IF(AND(E912&lt;&gt;"",E912&lt;&gt;"!!!"),"NEW","")))</f>
        <v> </v>
      </c>
      <c r="G912" s="23" t="str">
        <f>IF(OR(E912="",E912="!!!"),"",IF(OR(J912=0,AND(J912=1,K912=1),AND(J912=1,I912="SBJ"),AND(J912=1,I912=0)),"?IN_FOCUS",IF(J912&lt;=2,"?ACTIVATED",IF(J912&lt;&gt;"","?FAMILIAR",IF(F912="NEW",IF(ISNA(VLOOKUP(E912,#REF!,1,FALSE())),"?TYPE_IDENTIFIABLE","?REFERENTIAL"),"_")))))</f>
        <v> </v>
      </c>
      <c r="H912" s="24" t="str">
        <f>IF(J912&lt;&gt;1,"",IF(I912="SBJ","CB","?"))</f>
        <v> </v>
      </c>
      <c r="I912" s="25" t="str">
        <f>IF(OR(E912="",E912="!!!",F912="NEW"),"",INDEX(B911:B$2,-1+SUMPRODUCT(MAX(ROW(E911:E$2)*(E912=E911:E$2)))))</f>
        <v> </v>
      </c>
      <c r="J912" s="25" t="str">
        <f>IF(OR(E912="",E912="!!!",F912="NEW"),"",COUNTBLANK(OFFSET(A$1,,,SUMPRODUCT(MAX(ROW(E$2:E912)*(E912=E$2:E912)))))-COUNTBLANK(OFFSET(A$1,,,SUMPRODUCT(MAX(ROW(E$1:E911)*(E2=E$1:E911))))))</f>
        <v> </v>
      </c>
      <c r="K912" s="25" t="str">
        <f>IF(OR(E912="",E912="!!!",F912="NEW"),"",INDEX(J$1:J911,SUMPRODUCT(MAX(ROW(E$1:E911)*(E912=E$1:E911)))))</f>
        <v> </v>
      </c>
      <c r="L912" s="26"/>
    </row>
    <row r="913" spans="1:12">
      <c r="A913" s="20"/>
    </row>
    <row r="914" spans="1:12">
      <c r="A914" s="20" t="s">
        <v>654</v>
      </c>
    </row>
    <row r="915" spans="1:12">
      <c r="A915" s="20" t="s">
        <v>655</v>
      </c>
      <c r="B915" s="27" t="s">
        <v>255</v>
      </c>
      <c r="C915" s="27" t="s">
        <v>243</v>
      </c>
      <c r="D915" s="27" t="s">
        <v>244</v>
      </c>
      <c r="E915" s="21">
        <f>IF(D915="?OLD","!!!","")</f>
        <v/>
      </c>
      <c r="F915" s="22" t="str">
        <f>IF(OR(E915="",E915="!!!"),"",IF(NOT(ISNA(VLOOKUP(E915,E$1:E914,1,FALSE()))),"OLD",IF(AND(E915&lt;&gt;"",E915&lt;&gt;"!!!"),"NEW","")))</f>
        <v> </v>
      </c>
      <c r="G915" s="23" t="str">
        <f>IF(OR(E915="",E915="!!!"),"",IF(OR(J915=0,AND(J915=1,K915=1),AND(J915=1,I915="SBJ"),AND(J915=1,I915=0)),"?IN_FOCUS",IF(J915&lt;=2,"?ACTIVATED",IF(J915&lt;&gt;"","?FAMILIAR",IF(F915="NEW",IF(ISNA(VLOOKUP(E915,#REF!,1,FALSE())),"?TYPE_IDENTIFIABLE","?REFERENTIAL"),"_")))))</f>
        <v> </v>
      </c>
      <c r="H915" s="24" t="str">
        <f>IF(J915&lt;&gt;1,"",IF(I915="SBJ","CB","?"))</f>
        <v> </v>
      </c>
      <c r="I915" s="25" t="str">
        <f>IF(OR(E915="",E915="!!!",F915="NEW"),"",INDEX(B914:B$2,-1+SUMPRODUCT(MAX(ROW(E914:E$2)*(E915=E914:E$2)))))</f>
        <v> </v>
      </c>
      <c r="J915" s="25" t="str">
        <f>IF(OR(E915="",E915="!!!",F915="NEW"),"",COUNTBLANK(OFFSET(A$1,,,SUMPRODUCT(MAX(ROW(E$2:E915)*(E915=E$2:E915)))))-COUNTBLANK(OFFSET(A$1,,,SUMPRODUCT(MAX(ROW(E$1:E914)*(E2=E$1:E914))))))</f>
        <v> </v>
      </c>
      <c r="K915" s="25" t="str">
        <f>IF(OR(E915="",E915="!!!",F915="NEW"),"",INDEX(J$1:J914,SUMPRODUCT(MAX(ROW(E$1:E914)*(E915=E$1:E914)))))</f>
        <v> </v>
      </c>
      <c r="L915" s="26"/>
    </row>
    <row r="916" spans="1:12">
      <c r="A916" s="20" t="s">
        <v>656</v>
      </c>
      <c r="E916" s="21">
        <f>IF(D916="?OLD","!!!","")</f>
        <v/>
      </c>
      <c r="F916" s="22" t="str">
        <f>IF(OR(E916="",E916="!!!"),"",IF(NOT(ISNA(VLOOKUP(E916,E$1:E915,1,FALSE()))),"OLD",IF(AND(E916&lt;&gt;"",E916&lt;&gt;"!!!"),"NEW","")))</f>
        <v> </v>
      </c>
      <c r="G916" s="23" t="str">
        <f>IF(OR(E916="",E916="!!!"),"",IF(OR(J916=0,AND(J916=1,K916=1),AND(J916=1,I916="SBJ"),AND(J916=1,I916=0)),"?IN_FOCUS",IF(J916&lt;=2,"?ACTIVATED",IF(J916&lt;&gt;"","?FAMILIAR",IF(F916="NEW",IF(ISNA(VLOOKUP(E916,#REF!,1,FALSE())),"?TYPE_IDENTIFIABLE","?REFERENTIAL"),"_")))))</f>
        <v> </v>
      </c>
      <c r="H916" s="24" t="str">
        <f>IF(J916&lt;&gt;1,"",IF(I916="SBJ","CB","?"))</f>
        <v> </v>
      </c>
      <c r="I916" s="25" t="str">
        <f>IF(OR(E916="",E916="!!!",F916="NEW"),"",INDEX(B915:B$2,-1+SUMPRODUCT(MAX(ROW(E915:E$2)*(E916=E915:E$2)))))</f>
        <v> </v>
      </c>
      <c r="J916" s="25" t="str">
        <f>IF(OR(E916="",E916="!!!",F916="NEW"),"",COUNTBLANK(OFFSET(A$1,,,SUMPRODUCT(MAX(ROW(E$2:E916)*(E916=E$2:E916)))))-COUNTBLANK(OFFSET(A$1,,,SUMPRODUCT(MAX(ROW(E$1:E915)*(E2=E$1:E915))))))</f>
        <v> </v>
      </c>
      <c r="K916" s="25" t="str">
        <f>IF(OR(E916="",E916="!!!",F916="NEW"),"",INDEX(J$1:J915,SUMPRODUCT(MAX(ROW(E$1:E915)*(E916=E$1:E915)))))</f>
        <v> </v>
      </c>
      <c r="L916" s="26"/>
    </row>
    <row r="917" spans="1:12">
      <c r="A917" s="20" t="s">
        <v>657</v>
      </c>
      <c r="E917" s="21">
        <f>IF(D917="?OLD","!!!","")</f>
        <v/>
      </c>
      <c r="F917" s="22" t="str">
        <f>IF(OR(E917="",E917="!!!"),"",IF(NOT(ISNA(VLOOKUP(E917,E$1:E916,1,FALSE()))),"OLD",IF(AND(E917&lt;&gt;"",E917&lt;&gt;"!!!"),"NEW","")))</f>
        <v> </v>
      </c>
      <c r="G917" s="23" t="str">
        <f>IF(OR(E917="",E917="!!!"),"",IF(OR(J917=0,AND(J917=1,K917=1),AND(J917=1,I917="SBJ"),AND(J917=1,I917=0)),"?IN_FOCUS",IF(J917&lt;=2,"?ACTIVATED",IF(J917&lt;&gt;"","?FAMILIAR",IF(F917="NEW",IF(ISNA(VLOOKUP(E917,#REF!,1,FALSE())),"?TYPE_IDENTIFIABLE","?REFERENTIAL"),"_")))))</f>
        <v> </v>
      </c>
      <c r="H917" s="24" t="str">
        <f>IF(J917&lt;&gt;1,"",IF(I917="SBJ","CB","?"))</f>
        <v> </v>
      </c>
      <c r="I917" s="25" t="str">
        <f>IF(OR(E917="",E917="!!!",F917="NEW"),"",INDEX(B916:B$2,-1+SUMPRODUCT(MAX(ROW(E916:E$2)*(E917=E916:E$2)))))</f>
        <v> </v>
      </c>
      <c r="J917" s="25" t="str">
        <f>IF(OR(E917="",E917="!!!",F917="NEW"),"",COUNTBLANK(OFFSET(A$1,,,SUMPRODUCT(MAX(ROW(E$2:E917)*(E917=E$2:E917)))))-COUNTBLANK(OFFSET(A$1,,,SUMPRODUCT(MAX(ROW(E$1:E916)*(E2=E$1:E916))))))</f>
        <v> </v>
      </c>
      <c r="K917" s="25" t="str">
        <f>IF(OR(E917="",E917="!!!",F917="NEW"),"",INDEX(J$1:J916,SUMPRODUCT(MAX(ROW(E$1:E916)*(E917=E$1:E916)))))</f>
        <v> </v>
      </c>
      <c r="L917" s="26"/>
    </row>
    <row r="918" spans="1:12">
      <c r="A918" s="20" t="s">
        <v>258</v>
      </c>
      <c r="E918" s="21">
        <f>IF(D918="?OLD","!!!","")</f>
        <v/>
      </c>
      <c r="F918" s="22" t="str">
        <f>IF(OR(E918="",E918="!!!"),"",IF(NOT(ISNA(VLOOKUP(E918,E$1:E917,1,FALSE()))),"OLD",IF(AND(E918&lt;&gt;"",E918&lt;&gt;"!!!"),"NEW","")))</f>
        <v> </v>
      </c>
      <c r="G918" s="23" t="str">
        <f>IF(OR(E918="",E918="!!!"),"",IF(OR(J918=0,AND(J918=1,K918=1),AND(J918=1,I918="SBJ"),AND(J918=1,I918=0)),"?IN_FOCUS",IF(J918&lt;=2,"?ACTIVATED",IF(J918&lt;&gt;"","?FAMILIAR",IF(F918="NEW",IF(ISNA(VLOOKUP(E918,#REF!,1,FALSE())),"?TYPE_IDENTIFIABLE","?REFERENTIAL"),"_")))))</f>
        <v> </v>
      </c>
      <c r="H918" s="24" t="str">
        <f>IF(J918&lt;&gt;1,"",IF(I918="SBJ","CB","?"))</f>
        <v> </v>
      </c>
      <c r="I918" s="25" t="str">
        <f>IF(OR(E918="",E918="!!!",F918="NEW"),"",INDEX(B917:B$2,-1+SUMPRODUCT(MAX(ROW(E917:E$2)*(E918=E917:E$2)))))</f>
        <v> </v>
      </c>
      <c r="J918" s="25" t="str">
        <f>IF(OR(E918="",E918="!!!",F918="NEW"),"",COUNTBLANK(OFFSET(A$1,,,SUMPRODUCT(MAX(ROW(E$2:E918)*(E918=E$2:E918)))))-COUNTBLANK(OFFSET(A$1,,,SUMPRODUCT(MAX(ROW(E$1:E917)*(E2=E$1:E917))))))</f>
        <v> </v>
      </c>
      <c r="K918" s="25" t="str">
        <f>IF(OR(E918="",E918="!!!",F918="NEW"),"",INDEX(J$1:J917,SUMPRODUCT(MAX(ROW(E$1:E917)*(E918=E$1:E917)))))</f>
        <v> </v>
      </c>
      <c r="L918" s="26"/>
    </row>
    <row r="919" spans="1:12">
      <c r="A919" s="20" t="s">
        <v>658</v>
      </c>
      <c r="E919" s="21">
        <f>IF(D919="?OLD","!!!","")</f>
        <v/>
      </c>
      <c r="F919" s="22" t="str">
        <f>IF(OR(E919="",E919="!!!"),"",IF(NOT(ISNA(VLOOKUP(E919,E$1:E918,1,FALSE()))),"OLD",IF(AND(E919&lt;&gt;"",E919&lt;&gt;"!!!"),"NEW","")))</f>
        <v> </v>
      </c>
      <c r="G919" s="23" t="str">
        <f>IF(OR(E919="",E919="!!!"),"",IF(OR(J919=0,AND(J919=1,K919=1),AND(J919=1,I919="SBJ"),AND(J919=1,I919=0)),"?IN_FOCUS",IF(J919&lt;=2,"?ACTIVATED",IF(J919&lt;&gt;"","?FAMILIAR",IF(F919="NEW",IF(ISNA(VLOOKUP(E919,#REF!,1,FALSE())),"?TYPE_IDENTIFIABLE","?REFERENTIAL"),"_")))))</f>
        <v> </v>
      </c>
      <c r="H919" s="24" t="str">
        <f>IF(J919&lt;&gt;1,"",IF(I919="SBJ","CB","?"))</f>
        <v> </v>
      </c>
      <c r="I919" s="25" t="str">
        <f>IF(OR(E919="",E919="!!!",F919="NEW"),"",INDEX(B918:B$2,-1+SUMPRODUCT(MAX(ROW(E918:E$2)*(E919=E918:E$2)))))</f>
        <v> </v>
      </c>
      <c r="J919" s="25" t="str">
        <f>IF(OR(E919="",E919="!!!",F919="NEW"),"",COUNTBLANK(OFFSET(A$1,,,SUMPRODUCT(MAX(ROW(E$2:E919)*(E919=E$2:E919)))))-COUNTBLANK(OFFSET(A$1,,,SUMPRODUCT(MAX(ROW(E$1:E918)*(E2=E$1:E918))))))</f>
        <v> </v>
      </c>
      <c r="K919" s="25" t="str">
        <f>IF(OR(E919="",E919="!!!",F919="NEW"),"",INDEX(J$1:J918,SUMPRODUCT(MAX(ROW(E$1:E918)*(E919=E$1:E918)))))</f>
        <v> </v>
      </c>
      <c r="L919" s="26"/>
    </row>
    <row r="920" spans="1:12">
      <c r="A920" s="20" t="s">
        <v>330</v>
      </c>
      <c r="E920" s="21">
        <f>IF(D920="?OLD","!!!","")</f>
        <v/>
      </c>
      <c r="F920" s="22" t="str">
        <f>IF(OR(E920="",E920="!!!"),"",IF(NOT(ISNA(VLOOKUP(E920,E$1:E919,1,FALSE()))),"OLD",IF(AND(E920&lt;&gt;"",E920&lt;&gt;"!!!"),"NEW","")))</f>
        <v> </v>
      </c>
      <c r="G920" s="23" t="str">
        <f>IF(OR(E920="",E920="!!!"),"",IF(OR(J920=0,AND(J920=1,K920=1),AND(J920=1,I920="SBJ"),AND(J920=1,I920=0)),"?IN_FOCUS",IF(J920&lt;=2,"?ACTIVATED",IF(J920&lt;&gt;"","?FAMILIAR",IF(F920="NEW",IF(ISNA(VLOOKUP(E920,#REF!,1,FALSE())),"?TYPE_IDENTIFIABLE","?REFERENTIAL"),"_")))))</f>
        <v> </v>
      </c>
      <c r="H920" s="24" t="str">
        <f>IF(J920&lt;&gt;1,"",IF(I920="SBJ","CB","?"))</f>
        <v> </v>
      </c>
      <c r="I920" s="25" t="str">
        <f>IF(OR(E920="",E920="!!!",F920="NEW"),"",INDEX(B919:B$2,-1+SUMPRODUCT(MAX(ROW(E919:E$2)*(E920=E919:E$2)))))</f>
        <v> </v>
      </c>
      <c r="J920" s="25" t="str">
        <f>IF(OR(E920="",E920="!!!",F920="NEW"),"",COUNTBLANK(OFFSET(A$1,,,SUMPRODUCT(MAX(ROW(E$2:E920)*(E920=E$2:E920)))))-COUNTBLANK(OFFSET(A$1,,,SUMPRODUCT(MAX(ROW(E$1:E919)*(E2=E$1:E919))))))</f>
        <v> </v>
      </c>
      <c r="K920" s="25" t="str">
        <f>IF(OR(E920="",E920="!!!",F920="NEW"),"",INDEX(J$1:J919,SUMPRODUCT(MAX(ROW(E$1:E919)*(E920=E$1:E919)))))</f>
        <v> </v>
      </c>
      <c r="L920" s="26"/>
    </row>
    <row r="921" spans="1:12">
      <c r="A921" s="20" t="s">
        <v>659</v>
      </c>
      <c r="B921" s="27" t="s">
        <v>291</v>
      </c>
      <c r="C921" s="27" t="s">
        <v>263</v>
      </c>
      <c r="D921" s="27" t="s">
        <v>244</v>
      </c>
      <c r="E921" s="21">
        <f>IF(D921="?OLD","!!!","")</f>
        <v/>
      </c>
      <c r="F921" s="22" t="str">
        <f>IF(OR(E921="",E921="!!!"),"",IF(NOT(ISNA(VLOOKUP(E921,E$1:E920,1,FALSE()))),"OLD",IF(AND(E921&lt;&gt;"",E921&lt;&gt;"!!!"),"NEW","")))</f>
        <v> </v>
      </c>
      <c r="G921" s="23" t="str">
        <f>IF(OR(E921="",E921="!!!"),"",IF(OR(J921=0,AND(J921=1,K921=1),AND(J921=1,I921="SBJ"),AND(J921=1,I921=0)),"?IN_FOCUS",IF(J921&lt;=2,"?ACTIVATED",IF(J921&lt;&gt;"","?FAMILIAR",IF(F921="NEW",IF(ISNA(VLOOKUP(E921,#REF!,1,FALSE())),"?TYPE_IDENTIFIABLE","?REFERENTIAL"),"_")))))</f>
        <v> </v>
      </c>
      <c r="H921" s="24" t="str">
        <f>IF(J921&lt;&gt;1,"",IF(I921="SBJ","CB","?"))</f>
        <v> </v>
      </c>
      <c r="I921" s="25" t="str">
        <f>IF(OR(E921="",E921="!!!",F921="NEW"),"",INDEX(B920:B$2,-1+SUMPRODUCT(MAX(ROW(E920:E$2)*(E921=E920:E$2)))))</f>
        <v> </v>
      </c>
      <c r="J921" s="25" t="str">
        <f>IF(OR(E921="",E921="!!!",F921="NEW"),"",COUNTBLANK(OFFSET(A$1,,,SUMPRODUCT(MAX(ROW(E$2:E921)*(E921=E$2:E921)))))-COUNTBLANK(OFFSET(A$1,,,SUMPRODUCT(MAX(ROW(E$1:E920)*(E2=E$1:E920))))))</f>
        <v> </v>
      </c>
      <c r="K921" s="25" t="str">
        <f>IF(OR(E921="",E921="!!!",F921="NEW"),"",INDEX(J$1:J920,SUMPRODUCT(MAX(ROW(E$1:E920)*(E921=E$1:E920)))))</f>
        <v> </v>
      </c>
      <c r="L921" s="26"/>
    </row>
    <row r="922" spans="1:12">
      <c r="A922" s="20" t="s">
        <v>333</v>
      </c>
      <c r="B922" s="27" t="s">
        <v>251</v>
      </c>
      <c r="C922" s="27" t="s">
        <v>267</v>
      </c>
      <c r="D922" s="27" t="s">
        <v>244</v>
      </c>
      <c r="E922" s="21">
        <f>IF(D922="?OLD","!!!","")</f>
        <v/>
      </c>
      <c r="F922" s="22" t="str">
        <f>IF(OR(E922="",E922="!!!"),"",IF(NOT(ISNA(VLOOKUP(E922,E$1:E921,1,FALSE()))),"OLD",IF(AND(E922&lt;&gt;"",E922&lt;&gt;"!!!"),"NEW","")))</f>
        <v> </v>
      </c>
      <c r="G922" s="23" t="str">
        <f>IF(OR(E922="",E922="!!!"),"",IF(OR(J922=0,AND(J922=1,K922=1),AND(J922=1,I922="SBJ"),AND(J922=1,I922=0)),"?IN_FOCUS",IF(J922&lt;=2,"?ACTIVATED",IF(J922&lt;&gt;"","?FAMILIAR",IF(F922="NEW",IF(ISNA(VLOOKUP(E922,#REF!,1,FALSE())),"?TYPE_IDENTIFIABLE","?REFERENTIAL"),"_")))))</f>
        <v> </v>
      </c>
      <c r="H922" s="24" t="str">
        <f>IF(J922&lt;&gt;1,"",IF(I922="SBJ","CB","?"))</f>
        <v> </v>
      </c>
      <c r="I922" s="25" t="str">
        <f>IF(OR(E922="",E922="!!!",F922="NEW"),"",INDEX(B921:B$2,-1+SUMPRODUCT(MAX(ROW(E921:E$2)*(E922=E921:E$2)))))</f>
        <v> </v>
      </c>
      <c r="J922" s="25" t="str">
        <f>IF(OR(E922="",E922="!!!",F922="NEW"),"",COUNTBLANK(OFFSET(A$1,,,SUMPRODUCT(MAX(ROW(E$2:E922)*(E922=E$2:E922)))))-COUNTBLANK(OFFSET(A$1,,,SUMPRODUCT(MAX(ROW(E$1:E921)*(E2=E$1:E921))))))</f>
        <v> </v>
      </c>
      <c r="K922" s="25" t="str">
        <f>IF(OR(E922="",E922="!!!",F922="NEW"),"",INDEX(J$1:J921,SUMPRODUCT(MAX(ROW(E$1:E921)*(E922=E$1:E921)))))</f>
        <v> </v>
      </c>
      <c r="L922" s="26"/>
    </row>
    <row r="923" spans="1:12">
      <c r="A923" s="20" t="s">
        <v>311</v>
      </c>
      <c r="E923" s="21">
        <f>IF(D923="?OLD","!!!","")</f>
        <v/>
      </c>
      <c r="F923" s="22" t="str">
        <f>IF(OR(E923="",E923="!!!"),"",IF(NOT(ISNA(VLOOKUP(E923,E$1:E922,1,FALSE()))),"OLD",IF(AND(E923&lt;&gt;"",E923&lt;&gt;"!!!"),"NEW","")))</f>
        <v> </v>
      </c>
      <c r="G923" s="23" t="str">
        <f>IF(OR(E923="",E923="!!!"),"",IF(OR(J923=0,AND(J923=1,K923=1),AND(J923=1,I923="SBJ"),AND(J923=1,I923=0)),"?IN_FOCUS",IF(J923&lt;=2,"?ACTIVATED",IF(J923&lt;&gt;"","?FAMILIAR",IF(F923="NEW",IF(ISNA(VLOOKUP(E923,#REF!,1,FALSE())),"?TYPE_IDENTIFIABLE","?REFERENTIAL"),"_")))))</f>
        <v> </v>
      </c>
      <c r="H923" s="24" t="str">
        <f>IF(J923&lt;&gt;1,"",IF(I923="SBJ","CB","?"))</f>
        <v> </v>
      </c>
      <c r="I923" s="25" t="str">
        <f>IF(OR(E923="",E923="!!!",F923="NEW"),"",INDEX(B922:B$2,-1+SUMPRODUCT(MAX(ROW(E922:E$2)*(E923=E922:E$2)))))</f>
        <v> </v>
      </c>
      <c r="J923" s="25" t="str">
        <f>IF(OR(E923="",E923="!!!",F923="NEW"),"",COUNTBLANK(OFFSET(A$1,,,SUMPRODUCT(MAX(ROW(E$2:E923)*(E923=E$2:E923)))))-COUNTBLANK(OFFSET(A$1,,,SUMPRODUCT(MAX(ROW(E$1:E922)*(E2=E$1:E922))))))</f>
        <v> </v>
      </c>
      <c r="K923" s="25" t="str">
        <f>IF(OR(E923="",E923="!!!",F923="NEW"),"",INDEX(J$1:J922,SUMPRODUCT(MAX(ROW(E$1:E922)*(E923=E$1:E922)))))</f>
        <v> </v>
      </c>
      <c r="L923" s="26"/>
    </row>
    <row r="924" spans="1:12">
      <c r="A924" s="20" t="s">
        <v>660</v>
      </c>
      <c r="E924" s="21">
        <f>IF(D924="?OLD","!!!","")</f>
        <v/>
      </c>
      <c r="F924" s="22" t="str">
        <f>IF(OR(E924="",E924="!!!"),"",IF(NOT(ISNA(VLOOKUP(E924,E$1:E923,1,FALSE()))),"OLD",IF(AND(E924&lt;&gt;"",E924&lt;&gt;"!!!"),"NEW","")))</f>
        <v> </v>
      </c>
      <c r="G924" s="23" t="str">
        <f>IF(OR(E924="",E924="!!!"),"",IF(OR(J924=0,AND(J924=1,K924=1),AND(J924=1,I924="SBJ"),AND(J924=1,I924=0)),"?IN_FOCUS",IF(J924&lt;=2,"?ACTIVATED",IF(J924&lt;&gt;"","?FAMILIAR",IF(F924="NEW",IF(ISNA(VLOOKUP(E924,#REF!,1,FALSE())),"?TYPE_IDENTIFIABLE","?REFERENTIAL"),"_")))))</f>
        <v> </v>
      </c>
      <c r="H924" s="24" t="str">
        <f>IF(J924&lt;&gt;1,"",IF(I924="SBJ","CB","?"))</f>
        <v> </v>
      </c>
      <c r="I924" s="25" t="str">
        <f>IF(OR(E924="",E924="!!!",F924="NEW"),"",INDEX(B923:B$2,-1+SUMPRODUCT(MAX(ROW(E923:E$2)*(E924=E923:E$2)))))</f>
        <v> </v>
      </c>
      <c r="J924" s="25" t="str">
        <f>IF(OR(E924="",E924="!!!",F924="NEW"),"",COUNTBLANK(OFFSET(A$1,,,SUMPRODUCT(MAX(ROW(E$2:E924)*(E924=E$2:E924)))))-COUNTBLANK(OFFSET(A$1,,,SUMPRODUCT(MAX(ROW(E$1:E923)*(E2=E$1:E923))))))</f>
        <v> </v>
      </c>
      <c r="K924" s="25" t="str">
        <f>IF(OR(E924="",E924="!!!",F924="NEW"),"",INDEX(J$1:J923,SUMPRODUCT(MAX(ROW(E$1:E923)*(E924=E$1:E923)))))</f>
        <v> </v>
      </c>
      <c r="L924" s="26"/>
    </row>
    <row r="925" spans="1:12">
      <c r="A925" s="20" t="s">
        <v>260</v>
      </c>
      <c r="E925" s="21">
        <f>IF(D925="?OLD","!!!","")</f>
        <v/>
      </c>
      <c r="F925" s="22" t="str">
        <f>IF(OR(E925="",E925="!!!"),"",IF(NOT(ISNA(VLOOKUP(E925,E$1:E924,1,FALSE()))),"OLD",IF(AND(E925&lt;&gt;"",E925&lt;&gt;"!!!"),"NEW","")))</f>
        <v> </v>
      </c>
      <c r="G925" s="23" t="str">
        <f>IF(OR(E925="",E925="!!!"),"",IF(OR(J925=0,AND(J925=1,K925=1),AND(J925=1,I925="SBJ"),AND(J925=1,I925=0)),"?IN_FOCUS",IF(J925&lt;=2,"?ACTIVATED",IF(J925&lt;&gt;"","?FAMILIAR",IF(F925="NEW",IF(ISNA(VLOOKUP(E925,#REF!,1,FALSE())),"?TYPE_IDENTIFIABLE","?REFERENTIAL"),"_")))))</f>
        <v> </v>
      </c>
      <c r="H925" s="24" t="str">
        <f>IF(J925&lt;&gt;1,"",IF(I925="SBJ","CB","?"))</f>
        <v> </v>
      </c>
      <c r="I925" s="25" t="str">
        <f>IF(OR(E925="",E925="!!!",F925="NEW"),"",INDEX(B924:B$2,-1+SUMPRODUCT(MAX(ROW(E924:E$2)*(E925=E924:E$2)))))</f>
        <v> </v>
      </c>
      <c r="J925" s="25" t="str">
        <f>IF(OR(E925="",E925="!!!",F925="NEW"),"",COUNTBLANK(OFFSET(A$1,,,SUMPRODUCT(MAX(ROW(E$2:E925)*(E925=E$2:E925)))))-COUNTBLANK(OFFSET(A$1,,,SUMPRODUCT(MAX(ROW(E$1:E924)*(E2=E$1:E924))))))</f>
        <v> </v>
      </c>
      <c r="K925" s="25" t="str">
        <f>IF(OR(E925="",E925="!!!",F925="NEW"),"",INDEX(J$1:J924,SUMPRODUCT(MAX(ROW(E$1:E924)*(E925=E$1:E924)))))</f>
        <v> </v>
      </c>
      <c r="L925" s="26"/>
    </row>
    <row r="926" spans="1:12">
      <c r="A926" s="20" t="s">
        <v>661</v>
      </c>
      <c r="B926" s="27" t="s">
        <v>295</v>
      </c>
      <c r="C926" s="27" t="s">
        <v>256</v>
      </c>
      <c r="D926" s="27" t="s">
        <v>244</v>
      </c>
      <c r="E926" s="21">
        <f>IF(D926="?OLD","!!!","")</f>
        <v/>
      </c>
      <c r="F926" s="22" t="str">
        <f>IF(OR(E926="",E926="!!!"),"",IF(NOT(ISNA(VLOOKUP(E926,E$1:E925,1,FALSE()))),"OLD",IF(AND(E926&lt;&gt;"",E926&lt;&gt;"!!!"),"NEW","")))</f>
        <v> </v>
      </c>
      <c r="G926" s="23" t="str">
        <f>IF(OR(E926="",E926="!!!"),"",IF(OR(J926=0,AND(J926=1,K926=1),AND(J926=1,I926="SBJ"),AND(J926=1,I926=0)),"?IN_FOCUS",IF(J926&lt;=2,"?ACTIVATED",IF(J926&lt;&gt;"","?FAMILIAR",IF(F926="NEW",IF(ISNA(VLOOKUP(E926,#REF!,1,FALSE())),"?TYPE_IDENTIFIABLE","?REFERENTIAL"),"_")))))</f>
        <v> </v>
      </c>
      <c r="H926" s="24" t="str">
        <f>IF(J926&lt;&gt;1,"",IF(I926="SBJ","CB","?"))</f>
        <v> </v>
      </c>
      <c r="I926" s="25" t="str">
        <f>IF(OR(E926="",E926="!!!",F926="NEW"),"",INDEX(B925:B$2,-1+SUMPRODUCT(MAX(ROW(E925:E$2)*(E926=E925:E$2)))))</f>
        <v> </v>
      </c>
      <c r="J926" s="25" t="str">
        <f>IF(OR(E926="",E926="!!!",F926="NEW"),"",COUNTBLANK(OFFSET(A$1,,,SUMPRODUCT(MAX(ROW(E$2:E926)*(E926=E$2:E926)))))-COUNTBLANK(OFFSET(A$1,,,SUMPRODUCT(MAX(ROW(E$1:E925)*(E2=E$1:E925))))))</f>
        <v> </v>
      </c>
      <c r="K926" s="25" t="str">
        <f>IF(OR(E926="",E926="!!!",F926="NEW"),"",INDEX(J$1:J925,SUMPRODUCT(MAX(ROW(E$1:E925)*(E926=E$1:E925)))))</f>
        <v> </v>
      </c>
      <c r="L926" s="26"/>
    </row>
    <row r="927" spans="1:12">
      <c r="A927" s="20" t="s">
        <v>316</v>
      </c>
      <c r="E927" s="21">
        <f>IF(D927="?OLD","!!!","")</f>
        <v/>
      </c>
      <c r="F927" s="22" t="str">
        <f>IF(OR(E927="",E927="!!!"),"",IF(NOT(ISNA(VLOOKUP(E927,E$1:E926,1,FALSE()))),"OLD",IF(AND(E927&lt;&gt;"",E927&lt;&gt;"!!!"),"NEW","")))</f>
        <v> </v>
      </c>
      <c r="G927" s="23" t="str">
        <f>IF(OR(E927="",E927="!!!"),"",IF(OR(J927=0,AND(J927=1,K927=1),AND(J927=1,I927="SBJ"),AND(J927=1,I927=0)),"?IN_FOCUS",IF(J927&lt;=2,"?ACTIVATED",IF(J927&lt;&gt;"","?FAMILIAR",IF(F927="NEW",IF(ISNA(VLOOKUP(E927,#REF!,1,FALSE())),"?TYPE_IDENTIFIABLE","?REFERENTIAL"),"_")))))</f>
        <v> </v>
      </c>
      <c r="H927" s="24" t="str">
        <f>IF(J927&lt;&gt;1,"",IF(I927="SBJ","CB","?"))</f>
        <v> </v>
      </c>
      <c r="I927" s="25" t="str">
        <f>IF(OR(E927="",E927="!!!",F927="NEW"),"",INDEX(B926:B$2,-1+SUMPRODUCT(MAX(ROW(E926:E$2)*(E927=E926:E$2)))))</f>
        <v> </v>
      </c>
      <c r="J927" s="25" t="str">
        <f>IF(OR(E927="",E927="!!!",F927="NEW"),"",COUNTBLANK(OFFSET(A$1,,,SUMPRODUCT(MAX(ROW(E$2:E927)*(E927=E$2:E927)))))-COUNTBLANK(OFFSET(A$1,,,SUMPRODUCT(MAX(ROW(E$1:E926)*(E2=E$1:E926))))))</f>
        <v> </v>
      </c>
      <c r="K927" s="25" t="str">
        <f>IF(OR(E927="",E927="!!!",F927="NEW"),"",INDEX(J$1:J926,SUMPRODUCT(MAX(ROW(E$1:E926)*(E927=E$1:E926)))))</f>
        <v> </v>
      </c>
      <c r="L927" s="26"/>
    </row>
    <row r="928" spans="1:12">
      <c r="A928" s="20" t="s">
        <v>662</v>
      </c>
      <c r="E928" s="21">
        <f>IF(D928="?OLD","!!!","")</f>
        <v/>
      </c>
      <c r="F928" s="22" t="str">
        <f>IF(OR(E928="",E928="!!!"),"",IF(NOT(ISNA(VLOOKUP(E928,E$1:E927,1,FALSE()))),"OLD",IF(AND(E928&lt;&gt;"",E928&lt;&gt;"!!!"),"NEW","")))</f>
        <v> </v>
      </c>
      <c r="G928" s="23" t="str">
        <f>IF(OR(E928="",E928="!!!"),"",IF(OR(J928=0,AND(J928=1,K928=1),AND(J928=1,I928="SBJ"),AND(J928=1,I928=0)),"?IN_FOCUS",IF(J928&lt;=2,"?ACTIVATED",IF(J928&lt;&gt;"","?FAMILIAR",IF(F928="NEW",IF(ISNA(VLOOKUP(E928,#REF!,1,FALSE())),"?TYPE_IDENTIFIABLE","?REFERENTIAL"),"_")))))</f>
        <v> </v>
      </c>
      <c r="H928" s="24" t="str">
        <f>IF(J928&lt;&gt;1,"",IF(I928="SBJ","CB","?"))</f>
        <v> </v>
      </c>
      <c r="I928" s="25" t="str">
        <f>IF(OR(E928="",E928="!!!",F928="NEW"),"",INDEX(B927:B$2,-1+SUMPRODUCT(MAX(ROW(E927:E$2)*(E928=E927:E$2)))))</f>
        <v> </v>
      </c>
      <c r="J928" s="25" t="str">
        <f>IF(OR(E928="",E928="!!!",F928="NEW"),"",COUNTBLANK(OFFSET(A$1,,,SUMPRODUCT(MAX(ROW(E$2:E928)*(E928=E$2:E928)))))-COUNTBLANK(OFFSET(A$1,,,SUMPRODUCT(MAX(ROW(E$1:E927)*(E2=E$1:E927))))))</f>
        <v> </v>
      </c>
      <c r="K928" s="25" t="str">
        <f>IF(OR(E928="",E928="!!!",F928="NEW"),"",INDEX(J$1:J927,SUMPRODUCT(MAX(ROW(E$1:E927)*(E928=E$1:E927)))))</f>
        <v> </v>
      </c>
      <c r="L928" s="26"/>
    </row>
    <row r="929" spans="1:12">
      <c r="A929" s="20" t="s">
        <v>663</v>
      </c>
      <c r="E929" s="21">
        <f>IF(D929="?OLD","!!!","")</f>
        <v/>
      </c>
      <c r="F929" s="22" t="str">
        <f>IF(OR(E929="",E929="!!!"),"",IF(NOT(ISNA(VLOOKUP(E929,E$1:E928,1,FALSE()))),"OLD",IF(AND(E929&lt;&gt;"",E929&lt;&gt;"!!!"),"NEW","")))</f>
        <v> </v>
      </c>
      <c r="G929" s="23" t="str">
        <f>IF(OR(E929="",E929="!!!"),"",IF(OR(J929=0,AND(J929=1,K929=1),AND(J929=1,I929="SBJ"),AND(J929=1,I929=0)),"?IN_FOCUS",IF(J929&lt;=2,"?ACTIVATED",IF(J929&lt;&gt;"","?FAMILIAR",IF(F929="NEW",IF(ISNA(VLOOKUP(E929,#REF!,1,FALSE())),"?TYPE_IDENTIFIABLE","?REFERENTIAL"),"_")))))</f>
        <v> </v>
      </c>
      <c r="H929" s="24" t="str">
        <f>IF(J929&lt;&gt;1,"",IF(I929="SBJ","CB","?"))</f>
        <v> </v>
      </c>
      <c r="I929" s="25" t="str">
        <f>IF(OR(E929="",E929="!!!",F929="NEW"),"",INDEX(B928:B$2,-1+SUMPRODUCT(MAX(ROW(E928:E$2)*(E929=E928:E$2)))))</f>
        <v> </v>
      </c>
      <c r="J929" s="25" t="str">
        <f>IF(OR(E929="",E929="!!!",F929="NEW"),"",COUNTBLANK(OFFSET(A$1,,,SUMPRODUCT(MAX(ROW(E$2:E929)*(E929=E$2:E929)))))-COUNTBLANK(OFFSET(A$1,,,SUMPRODUCT(MAX(ROW(E$1:E928)*(E2=E$1:E928))))))</f>
        <v> </v>
      </c>
      <c r="K929" s="25" t="str">
        <f>IF(OR(E929="",E929="!!!",F929="NEW"),"",INDEX(J$1:J928,SUMPRODUCT(MAX(ROW(E$1:E928)*(E929=E$1:E928)))))</f>
        <v> </v>
      </c>
      <c r="L929" s="26"/>
    </row>
    <row r="930" spans="1:12">
      <c r="A930" s="20" t="s">
        <v>363</v>
      </c>
      <c r="B930" s="27" t="s">
        <v>301</v>
      </c>
      <c r="C930" s="27" t="s">
        <v>256</v>
      </c>
      <c r="D930" s="27" t="s">
        <v>244</v>
      </c>
      <c r="E930" s="21">
        <f>IF(D930="?OLD","!!!","")</f>
        <v/>
      </c>
      <c r="F930" s="22" t="str">
        <f>IF(OR(E930="",E930="!!!"),"",IF(NOT(ISNA(VLOOKUP(E930,E$1:E929,1,FALSE()))),"OLD",IF(AND(E930&lt;&gt;"",E930&lt;&gt;"!!!"),"NEW","")))</f>
        <v> </v>
      </c>
      <c r="G930" s="23" t="str">
        <f>IF(OR(E930="",E930="!!!"),"",IF(OR(J930=0,AND(J930=1,K930=1),AND(J930=1,I930="SBJ"),AND(J930=1,I930=0)),"?IN_FOCUS",IF(J930&lt;=2,"?ACTIVATED",IF(J930&lt;&gt;"","?FAMILIAR",IF(F930="NEW",IF(ISNA(VLOOKUP(E930,#REF!,1,FALSE())),"?TYPE_IDENTIFIABLE","?REFERENTIAL"),"_")))))</f>
        <v> </v>
      </c>
      <c r="H930" s="24" t="str">
        <f>IF(J930&lt;&gt;1,"",IF(I930="SBJ","CB","?"))</f>
        <v> </v>
      </c>
      <c r="I930" s="25" t="str">
        <f>IF(OR(E930="",E930="!!!",F930="NEW"),"",INDEX(B929:B$2,-1+SUMPRODUCT(MAX(ROW(E929:E$2)*(E930=E929:E$2)))))</f>
        <v> </v>
      </c>
      <c r="J930" s="25" t="str">
        <f>IF(OR(E930="",E930="!!!",F930="NEW"),"",COUNTBLANK(OFFSET(A$1,,,SUMPRODUCT(MAX(ROW(E$2:E930)*(E930=E$2:E930)))))-COUNTBLANK(OFFSET(A$1,,,SUMPRODUCT(MAX(ROW(E$1:E929)*(E2=E$1:E929))))))</f>
        <v> </v>
      </c>
      <c r="K930" s="25" t="str">
        <f>IF(OR(E930="",E930="!!!",F930="NEW"),"",INDEX(J$1:J929,SUMPRODUCT(MAX(ROW(E$1:E929)*(E930=E$1:E929)))))</f>
        <v> </v>
      </c>
      <c r="L930" s="26"/>
    </row>
    <row r="931" spans="1:12">
      <c r="A931" s="20" t="s">
        <v>664</v>
      </c>
      <c r="E931" s="21">
        <f>IF(D931="?OLD","!!!","")</f>
        <v/>
      </c>
      <c r="F931" s="22" t="str">
        <f>IF(OR(E931="",E931="!!!"),"",IF(NOT(ISNA(VLOOKUP(E931,E$1:E930,1,FALSE()))),"OLD",IF(AND(E931&lt;&gt;"",E931&lt;&gt;"!!!"),"NEW","")))</f>
        <v> </v>
      </c>
      <c r="G931" s="23" t="str">
        <f>IF(OR(E931="",E931="!!!"),"",IF(OR(J931=0,AND(J931=1,K931=1),AND(J931=1,I931="SBJ"),AND(J931=1,I931=0)),"?IN_FOCUS",IF(J931&lt;=2,"?ACTIVATED",IF(J931&lt;&gt;"","?FAMILIAR",IF(F931="NEW",IF(ISNA(VLOOKUP(E931,#REF!,1,FALSE())),"?TYPE_IDENTIFIABLE","?REFERENTIAL"),"_")))))</f>
        <v> </v>
      </c>
      <c r="H931" s="24" t="str">
        <f>IF(J931&lt;&gt;1,"",IF(I931="SBJ","CB","?"))</f>
        <v> </v>
      </c>
      <c r="I931" s="25" t="str">
        <f>IF(OR(E931="",E931="!!!",F931="NEW"),"",INDEX(B930:B$2,-1+SUMPRODUCT(MAX(ROW(E930:E$2)*(E931=E930:E$2)))))</f>
        <v> </v>
      </c>
      <c r="J931" s="25" t="str">
        <f>IF(OR(E931="",E931="!!!",F931="NEW"),"",COUNTBLANK(OFFSET(A$1,,,SUMPRODUCT(MAX(ROW(E$2:E931)*(E931=E$2:E931)))))-COUNTBLANK(OFFSET(A$1,,,SUMPRODUCT(MAX(ROW(E$1:E930)*(E2=E$1:E930))))))</f>
        <v> </v>
      </c>
      <c r="K931" s="25" t="str">
        <f>IF(OR(E931="",E931="!!!",F931="NEW"),"",INDEX(J$1:J930,SUMPRODUCT(MAX(ROW(E$1:E930)*(E931=E$1:E930)))))</f>
        <v> </v>
      </c>
      <c r="L931" s="26"/>
    </row>
    <row r="932" spans="1:12">
      <c r="A932" s="20" t="s">
        <v>471</v>
      </c>
      <c r="E932" s="21">
        <f>IF(D932="?OLD","!!!","")</f>
        <v/>
      </c>
      <c r="F932" s="22" t="str">
        <f>IF(OR(E932="",E932="!!!"),"",IF(NOT(ISNA(VLOOKUP(E932,E$1:E931,1,FALSE()))),"OLD",IF(AND(E932&lt;&gt;"",E932&lt;&gt;"!!!"),"NEW","")))</f>
        <v> </v>
      </c>
      <c r="G932" s="23" t="str">
        <f>IF(OR(E932="",E932="!!!"),"",IF(OR(J932=0,AND(J932=1,K932=1),AND(J932=1,I932="SBJ"),AND(J932=1,I932=0)),"?IN_FOCUS",IF(J932&lt;=2,"?ACTIVATED",IF(J932&lt;&gt;"","?FAMILIAR",IF(F932="NEW",IF(ISNA(VLOOKUP(E932,#REF!,1,FALSE())),"?TYPE_IDENTIFIABLE","?REFERENTIAL"),"_")))))</f>
        <v> </v>
      </c>
      <c r="H932" s="24" t="str">
        <f>IF(J932&lt;&gt;1,"",IF(I932="SBJ","CB","?"))</f>
        <v> </v>
      </c>
      <c r="I932" s="25" t="str">
        <f>IF(OR(E932="",E932="!!!",F932="NEW"),"",INDEX(B931:B$2,-1+SUMPRODUCT(MAX(ROW(E931:E$2)*(E932=E931:E$2)))))</f>
        <v> </v>
      </c>
      <c r="J932" s="25" t="str">
        <f>IF(OR(E932="",E932="!!!",F932="NEW"),"",COUNTBLANK(OFFSET(A$1,,,SUMPRODUCT(MAX(ROW(E$2:E932)*(E932=E$2:E932)))))-COUNTBLANK(OFFSET(A$1,,,SUMPRODUCT(MAX(ROW(E$1:E931)*(E2=E$1:E931))))))</f>
        <v> </v>
      </c>
      <c r="K932" s="25" t="str">
        <f>IF(OR(E932="",E932="!!!",F932="NEW"),"",INDEX(J$1:J931,SUMPRODUCT(MAX(ROW(E$1:E931)*(E932=E$1:E931)))))</f>
        <v> </v>
      </c>
      <c r="L932" s="26"/>
    </row>
    <row r="933" spans="1:12">
      <c r="A933" s="20" t="s">
        <v>248</v>
      </c>
      <c r="E933" s="21">
        <f>IF(D933="?OLD","!!!","")</f>
        <v/>
      </c>
      <c r="F933" s="22" t="str">
        <f>IF(OR(E933="",E933="!!!"),"",IF(NOT(ISNA(VLOOKUP(E933,E$1:E932,1,FALSE()))),"OLD",IF(AND(E933&lt;&gt;"",E933&lt;&gt;"!!!"),"NEW","")))</f>
        <v> </v>
      </c>
      <c r="G933" s="23" t="str">
        <f>IF(OR(E933="",E933="!!!"),"",IF(OR(J933=0,AND(J933=1,K933=1),AND(J933=1,I933="SBJ"),AND(J933=1,I933=0)),"?IN_FOCUS",IF(J933&lt;=2,"?ACTIVATED",IF(J933&lt;&gt;"","?FAMILIAR",IF(F933="NEW",IF(ISNA(VLOOKUP(E933,#REF!,1,FALSE())),"?TYPE_IDENTIFIABLE","?REFERENTIAL"),"_")))))</f>
        <v> </v>
      </c>
      <c r="H933" s="24" t="str">
        <f>IF(J933&lt;&gt;1,"",IF(I933="SBJ","CB","?"))</f>
        <v> </v>
      </c>
      <c r="I933" s="25" t="str">
        <f>IF(OR(E933="",E933="!!!",F933="NEW"),"",INDEX(B932:B$2,-1+SUMPRODUCT(MAX(ROW(E932:E$2)*(E933=E932:E$2)))))</f>
        <v> </v>
      </c>
      <c r="J933" s="25" t="str">
        <f>IF(OR(E933="",E933="!!!",F933="NEW"),"",COUNTBLANK(OFFSET(A$1,,,SUMPRODUCT(MAX(ROW(E$2:E933)*(E933=E$2:E933)))))-COUNTBLANK(OFFSET(A$1,,,SUMPRODUCT(MAX(ROW(E$1:E932)*(E2=E$1:E932))))))</f>
        <v> </v>
      </c>
      <c r="K933" s="25" t="str">
        <f>IF(OR(E933="",E933="!!!",F933="NEW"),"",INDEX(J$1:J932,SUMPRODUCT(MAX(ROW(E$1:E932)*(E933=E$1:E932)))))</f>
        <v> </v>
      </c>
      <c r="L933" s="26"/>
    </row>
    <row r="934" spans="1:12">
      <c r="A934" s="20" t="s">
        <v>665</v>
      </c>
      <c r="B934" s="27" t="s">
        <v>291</v>
      </c>
      <c r="C934" s="27" t="s">
        <v>252</v>
      </c>
      <c r="D934" s="27" t="s">
        <v>244</v>
      </c>
      <c r="E934" s="21">
        <f>IF(D934="?OLD","!!!","")</f>
        <v/>
      </c>
      <c r="F934" s="22" t="str">
        <f>IF(OR(E934="",E934="!!!"),"",IF(NOT(ISNA(VLOOKUP(E934,E$1:E933,1,FALSE()))),"OLD",IF(AND(E934&lt;&gt;"",E934&lt;&gt;"!!!"),"NEW","")))</f>
        <v> </v>
      </c>
      <c r="G934" s="23" t="str">
        <f>IF(OR(E934="",E934="!!!"),"",IF(OR(J934=0,AND(J934=1,K934=1),AND(J934=1,I934="SBJ"),AND(J934=1,I934=0)),"?IN_FOCUS",IF(J934&lt;=2,"?ACTIVATED",IF(J934&lt;&gt;"","?FAMILIAR",IF(F934="NEW",IF(ISNA(VLOOKUP(E934,#REF!,1,FALSE())),"?TYPE_IDENTIFIABLE","?REFERENTIAL"),"_")))))</f>
        <v> </v>
      </c>
      <c r="H934" s="24" t="str">
        <f>IF(J934&lt;&gt;1,"",IF(I934="SBJ","CB","?"))</f>
        <v> </v>
      </c>
      <c r="I934" s="25" t="str">
        <f>IF(OR(E934="",E934="!!!",F934="NEW"),"",INDEX(B933:B$2,-1+SUMPRODUCT(MAX(ROW(E933:E$2)*(E934=E933:E$2)))))</f>
        <v> </v>
      </c>
      <c r="J934" s="25" t="str">
        <f>IF(OR(E934="",E934="!!!",F934="NEW"),"",COUNTBLANK(OFFSET(A$1,,,SUMPRODUCT(MAX(ROW(E$2:E934)*(E934=E$2:E934)))))-COUNTBLANK(OFFSET(A$1,,,SUMPRODUCT(MAX(ROW(E$1:E933)*(E2=E$1:E933))))))</f>
        <v> </v>
      </c>
      <c r="K934" s="25" t="str">
        <f>IF(OR(E934="",E934="!!!",F934="NEW"),"",INDEX(J$1:J933,SUMPRODUCT(MAX(ROW(E$1:E933)*(E934=E$1:E933)))))</f>
        <v> </v>
      </c>
      <c r="L934" s="26"/>
    </row>
    <row r="935" spans="1:12">
      <c r="A935" s="20" t="s">
        <v>273</v>
      </c>
      <c r="E935" s="21">
        <f>IF(D935="?OLD","!!!","")</f>
        <v/>
      </c>
      <c r="F935" s="22" t="str">
        <f>IF(OR(E935="",E935="!!!"),"",IF(NOT(ISNA(VLOOKUP(E935,E$1:E934,1,FALSE()))),"OLD",IF(AND(E935&lt;&gt;"",E935&lt;&gt;"!!!"),"NEW","")))</f>
        <v> </v>
      </c>
      <c r="G935" s="23" t="str">
        <f>IF(OR(E935="",E935="!!!"),"",IF(OR(J935=0,AND(J935=1,K935=1),AND(J935=1,I935="SBJ"),AND(J935=1,I935=0)),"?IN_FOCUS",IF(J935&lt;=2,"?ACTIVATED",IF(J935&lt;&gt;"","?FAMILIAR",IF(F935="NEW",IF(ISNA(VLOOKUP(E935,#REF!,1,FALSE())),"?TYPE_IDENTIFIABLE","?REFERENTIAL"),"_")))))</f>
        <v> </v>
      </c>
      <c r="H935" s="24" t="str">
        <f>IF(J935&lt;&gt;1,"",IF(I935="SBJ","CB","?"))</f>
        <v> </v>
      </c>
      <c r="I935" s="25" t="str">
        <f>IF(OR(E935="",E935="!!!",F935="NEW"),"",INDEX(B934:B$2,-1+SUMPRODUCT(MAX(ROW(E934:E$2)*(E935=E934:E$2)))))</f>
        <v> </v>
      </c>
      <c r="J935" s="25" t="str">
        <f>IF(OR(E935="",E935="!!!",F935="NEW"),"",COUNTBLANK(OFFSET(A$1,,,SUMPRODUCT(MAX(ROW(E$2:E935)*(E935=E$2:E935)))))-COUNTBLANK(OFFSET(A$1,,,SUMPRODUCT(MAX(ROW(E$1:E934)*(E2=E$1:E934))))))</f>
        <v> </v>
      </c>
      <c r="K935" s="25" t="str">
        <f>IF(OR(E935="",E935="!!!",F935="NEW"),"",INDEX(J$1:J934,SUMPRODUCT(MAX(ROW(E$1:E934)*(E935=E$1:E934)))))</f>
        <v> </v>
      </c>
      <c r="L935" s="26"/>
    </row>
    <row r="936" spans="1:12">
      <c r="A936" s="20" t="s">
        <v>666</v>
      </c>
      <c r="E936" s="21">
        <f>IF(D936="?OLD","!!!","")</f>
        <v/>
      </c>
      <c r="F936" s="22" t="str">
        <f>IF(OR(E936="",E936="!!!"),"",IF(NOT(ISNA(VLOOKUP(E936,E$1:E935,1,FALSE()))),"OLD",IF(AND(E936&lt;&gt;"",E936&lt;&gt;"!!!"),"NEW","")))</f>
        <v> </v>
      </c>
      <c r="G936" s="23" t="str">
        <f>IF(OR(E936="",E936="!!!"),"",IF(OR(J936=0,AND(J936=1,K936=1),AND(J936=1,I936="SBJ"),AND(J936=1,I936=0)),"?IN_FOCUS",IF(J936&lt;=2,"?ACTIVATED",IF(J936&lt;&gt;"","?FAMILIAR",IF(F936="NEW",IF(ISNA(VLOOKUP(E936,#REF!,1,FALSE())),"?TYPE_IDENTIFIABLE","?REFERENTIAL"),"_")))))</f>
        <v> </v>
      </c>
      <c r="H936" s="24" t="str">
        <f>IF(J936&lt;&gt;1,"",IF(I936="SBJ","CB","?"))</f>
        <v> </v>
      </c>
      <c r="I936" s="25" t="str">
        <f>IF(OR(E936="",E936="!!!",F936="NEW"),"",INDEX(B935:B$2,-1+SUMPRODUCT(MAX(ROW(E935:E$2)*(E936=E935:E$2)))))</f>
        <v> </v>
      </c>
      <c r="J936" s="25" t="str">
        <f>IF(OR(E936="",E936="!!!",F936="NEW"),"",COUNTBLANK(OFFSET(A$1,,,SUMPRODUCT(MAX(ROW(E$2:E936)*(E936=E$2:E936)))))-COUNTBLANK(OFFSET(A$1,,,SUMPRODUCT(MAX(ROW(E$1:E935)*(E2=E$1:E935))))))</f>
        <v> </v>
      </c>
      <c r="K936" s="25" t="str">
        <f>IF(OR(E936="",E936="!!!",F936="NEW"),"",INDEX(J$1:J935,SUMPRODUCT(MAX(ROW(E$1:E935)*(E936=E$1:E935)))))</f>
        <v> </v>
      </c>
      <c r="L936" s="26"/>
    </row>
    <row r="937" spans="1:12">
      <c r="A937" s="20" t="s">
        <v>363</v>
      </c>
      <c r="B937" s="27" t="s">
        <v>423</v>
      </c>
      <c r="C937" s="27" t="s">
        <v>256</v>
      </c>
      <c r="D937" s="27" t="s">
        <v>244</v>
      </c>
      <c r="E937" s="21">
        <f>IF(D937="?OLD","!!!","")</f>
        <v/>
      </c>
      <c r="F937" s="22" t="str">
        <f>IF(OR(E937="",E937="!!!"),"",IF(NOT(ISNA(VLOOKUP(E937,E$1:E936,1,FALSE()))),"OLD",IF(AND(E937&lt;&gt;"",E937&lt;&gt;"!!!"),"NEW","")))</f>
        <v> </v>
      </c>
      <c r="G937" s="23" t="str">
        <f>IF(OR(E937="",E937="!!!"),"",IF(OR(J937=0,AND(J937=1,K937=1),AND(J937=1,I937="SBJ"),AND(J937=1,I937=0)),"?IN_FOCUS",IF(J937&lt;=2,"?ACTIVATED",IF(J937&lt;&gt;"","?FAMILIAR",IF(F937="NEW",IF(ISNA(VLOOKUP(E937,#REF!,1,FALSE())),"?TYPE_IDENTIFIABLE","?REFERENTIAL"),"_")))))</f>
        <v> </v>
      </c>
      <c r="H937" s="24" t="str">
        <f>IF(J937&lt;&gt;1,"",IF(I937="SBJ","CB","?"))</f>
        <v> </v>
      </c>
      <c r="I937" s="25" t="str">
        <f>IF(OR(E937="",E937="!!!",F937="NEW"),"",INDEX(B936:B$2,-1+SUMPRODUCT(MAX(ROW(E936:E$2)*(E937=E936:E$2)))))</f>
        <v> </v>
      </c>
      <c r="J937" s="25" t="str">
        <f>IF(OR(E937="",E937="!!!",F937="NEW"),"",COUNTBLANK(OFFSET(A$1,,,SUMPRODUCT(MAX(ROW(E$2:E937)*(E937=E$2:E937)))))-COUNTBLANK(OFFSET(A$1,,,SUMPRODUCT(MAX(ROW(E$1:E936)*(E2=E$1:E936))))))</f>
        <v> </v>
      </c>
      <c r="K937" s="25" t="str">
        <f>IF(OR(E937="",E937="!!!",F937="NEW"),"",INDEX(J$1:J936,SUMPRODUCT(MAX(ROW(E$1:E936)*(E937=E$1:E936)))))</f>
        <v> </v>
      </c>
      <c r="L937" s="26"/>
    </row>
    <row r="938" spans="1:12">
      <c r="A938" s="20" t="s">
        <v>667</v>
      </c>
      <c r="E938" s="21">
        <f>IF(D938="?OLD","!!!","")</f>
        <v/>
      </c>
      <c r="F938" s="22" t="str">
        <f>IF(OR(E938="",E938="!!!"),"",IF(NOT(ISNA(VLOOKUP(E938,E$1:E937,1,FALSE()))),"OLD",IF(AND(E938&lt;&gt;"",E938&lt;&gt;"!!!"),"NEW","")))</f>
        <v> </v>
      </c>
      <c r="G938" s="23" t="str">
        <f>IF(OR(E938="",E938="!!!"),"",IF(OR(J938=0,AND(J938=1,K938=1),AND(J938=1,I938="SBJ"),AND(J938=1,I938=0)),"?IN_FOCUS",IF(J938&lt;=2,"?ACTIVATED",IF(J938&lt;&gt;"","?FAMILIAR",IF(F938="NEW",IF(ISNA(VLOOKUP(E938,#REF!,1,FALSE())),"?TYPE_IDENTIFIABLE","?REFERENTIAL"),"_")))))</f>
        <v> </v>
      </c>
      <c r="H938" s="24" t="str">
        <f>IF(J938&lt;&gt;1,"",IF(I938="SBJ","CB","?"))</f>
        <v> </v>
      </c>
      <c r="I938" s="25" t="str">
        <f>IF(OR(E938="",E938="!!!",F938="NEW"),"",INDEX(B937:B$2,-1+SUMPRODUCT(MAX(ROW(E937:E$2)*(E938=E937:E$2)))))</f>
        <v> </v>
      </c>
      <c r="J938" s="25" t="str">
        <f>IF(OR(E938="",E938="!!!",F938="NEW"),"",COUNTBLANK(OFFSET(A$1,,,SUMPRODUCT(MAX(ROW(E$2:E938)*(E938=E$2:E938)))))-COUNTBLANK(OFFSET(A$1,,,SUMPRODUCT(MAX(ROW(E$1:E937)*(E2=E$1:E937))))))</f>
        <v> </v>
      </c>
      <c r="K938" s="25" t="str">
        <f>IF(OR(E938="",E938="!!!",F938="NEW"),"",INDEX(J$1:J937,SUMPRODUCT(MAX(ROW(E$1:E937)*(E938=E$1:E937)))))</f>
        <v> </v>
      </c>
      <c r="L938" s="26"/>
    </row>
    <row r="939" spans="1:12">
      <c r="A939" s="20" t="s">
        <v>318</v>
      </c>
      <c r="E939" s="21">
        <f>IF(D939="?OLD","!!!","")</f>
        <v/>
      </c>
      <c r="F939" s="22" t="str">
        <f>IF(OR(E939="",E939="!!!"),"",IF(NOT(ISNA(VLOOKUP(E939,E$1:E938,1,FALSE()))),"OLD",IF(AND(E939&lt;&gt;"",E939&lt;&gt;"!!!"),"NEW","")))</f>
        <v> </v>
      </c>
      <c r="G939" s="23" t="str">
        <f>IF(OR(E939="",E939="!!!"),"",IF(OR(J939=0,AND(J939=1,K939=1),AND(J939=1,I939="SBJ"),AND(J939=1,I939=0)),"?IN_FOCUS",IF(J939&lt;=2,"?ACTIVATED",IF(J939&lt;&gt;"","?FAMILIAR",IF(F939="NEW",IF(ISNA(VLOOKUP(E939,#REF!,1,FALSE())),"?TYPE_IDENTIFIABLE","?REFERENTIAL"),"_")))))</f>
        <v> </v>
      </c>
      <c r="H939" s="24" t="str">
        <f>IF(J939&lt;&gt;1,"",IF(I939="SBJ","CB","?"))</f>
        <v> </v>
      </c>
      <c r="I939" s="25" t="str">
        <f>IF(OR(E939="",E939="!!!",F939="NEW"),"",INDEX(B938:B$2,-1+SUMPRODUCT(MAX(ROW(E938:E$2)*(E939=E938:E$2)))))</f>
        <v> </v>
      </c>
      <c r="J939" s="25" t="str">
        <f>IF(OR(E939="",E939="!!!",F939="NEW"),"",COUNTBLANK(OFFSET(A$1,,,SUMPRODUCT(MAX(ROW(E$2:E939)*(E939=E$2:E939)))))-COUNTBLANK(OFFSET(A$1,,,SUMPRODUCT(MAX(ROW(E$1:E938)*(E2=E$1:E938))))))</f>
        <v> </v>
      </c>
      <c r="K939" s="25" t="str">
        <f>IF(OR(E939="",E939="!!!",F939="NEW"),"",INDEX(J$1:J938,SUMPRODUCT(MAX(ROW(E$1:E938)*(E939=E$1:E938)))))</f>
        <v> </v>
      </c>
      <c r="L939" s="26"/>
    </row>
    <row r="940" spans="1:12">
      <c r="A940" s="20" t="s">
        <v>319</v>
      </c>
      <c r="E940" s="21">
        <f>IF(D940="?OLD","!!!","")</f>
        <v/>
      </c>
      <c r="F940" s="22" t="str">
        <f>IF(OR(E940="",E940="!!!"),"",IF(NOT(ISNA(VLOOKUP(E940,E$1:E939,1,FALSE()))),"OLD",IF(AND(E940&lt;&gt;"",E940&lt;&gt;"!!!"),"NEW","")))</f>
        <v> </v>
      </c>
      <c r="G940" s="23" t="str">
        <f>IF(OR(E940="",E940="!!!"),"",IF(OR(J940=0,AND(J940=1,K940=1),AND(J940=1,I940="SBJ"),AND(J940=1,I940=0)),"?IN_FOCUS",IF(J940&lt;=2,"?ACTIVATED",IF(J940&lt;&gt;"","?FAMILIAR",IF(F940="NEW",IF(ISNA(VLOOKUP(E940,#REF!,1,FALSE())),"?TYPE_IDENTIFIABLE","?REFERENTIAL"),"_")))))</f>
        <v> </v>
      </c>
      <c r="H940" s="24" t="str">
        <f>IF(J940&lt;&gt;1,"",IF(I940="SBJ","CB","?"))</f>
        <v> </v>
      </c>
      <c r="I940" s="25" t="str">
        <f>IF(OR(E940="",E940="!!!",F940="NEW"),"",INDEX(B939:B$2,-1+SUMPRODUCT(MAX(ROW(E939:E$2)*(E940=E939:E$2)))))</f>
        <v> </v>
      </c>
      <c r="J940" s="25" t="str">
        <f>IF(OR(E940="",E940="!!!",F940="NEW"),"",COUNTBLANK(OFFSET(A$1,,,SUMPRODUCT(MAX(ROW(E$2:E940)*(E940=E$2:E940)))))-COUNTBLANK(OFFSET(A$1,,,SUMPRODUCT(MAX(ROW(E$1:E939)*(E2=E$1:E939))))))</f>
        <v> </v>
      </c>
      <c r="K940" s="25" t="str">
        <f>IF(OR(E940="",E940="!!!",F940="NEW"),"",INDEX(J$1:J939,SUMPRODUCT(MAX(ROW(E$1:E939)*(E940=E$1:E939)))))</f>
        <v> </v>
      </c>
      <c r="L940" s="26"/>
    </row>
    <row r="941" spans="1:12">
      <c r="A941" s="20" t="s">
        <v>305</v>
      </c>
      <c r="E941" s="21">
        <f>IF(D941="?OLD","!!!","")</f>
        <v/>
      </c>
      <c r="F941" s="22" t="str">
        <f>IF(OR(E941="",E941="!!!"),"",IF(NOT(ISNA(VLOOKUP(E941,E$1:E940,1,FALSE()))),"OLD",IF(AND(E941&lt;&gt;"",E941&lt;&gt;"!!!"),"NEW","")))</f>
        <v> </v>
      </c>
      <c r="G941" s="23" t="str">
        <f>IF(OR(E941="",E941="!!!"),"",IF(OR(J941=0,AND(J941=1,K941=1),AND(J941=1,I941="SBJ"),AND(J941=1,I941=0)),"?IN_FOCUS",IF(J941&lt;=2,"?ACTIVATED",IF(J941&lt;&gt;"","?FAMILIAR",IF(F941="NEW",IF(ISNA(VLOOKUP(E941,#REF!,1,FALSE())),"?TYPE_IDENTIFIABLE","?REFERENTIAL"),"_")))))</f>
        <v> </v>
      </c>
      <c r="H941" s="24" t="str">
        <f>IF(J941&lt;&gt;1,"",IF(I941="SBJ","CB","?"))</f>
        <v> </v>
      </c>
      <c r="I941" s="25" t="str">
        <f>IF(OR(E941="",E941="!!!",F941="NEW"),"",INDEX(B940:B$2,-1+SUMPRODUCT(MAX(ROW(E940:E$2)*(E941=E940:E$2)))))</f>
        <v> </v>
      </c>
      <c r="J941" s="25" t="str">
        <f>IF(OR(E941="",E941="!!!",F941="NEW"),"",COUNTBLANK(OFFSET(A$1,,,SUMPRODUCT(MAX(ROW(E$2:E941)*(E941=E$2:E941)))))-COUNTBLANK(OFFSET(A$1,,,SUMPRODUCT(MAX(ROW(E$1:E940)*(E2=E$1:E940))))))</f>
        <v> </v>
      </c>
      <c r="K941" s="25" t="str">
        <f>IF(OR(E941="",E941="!!!",F941="NEW"),"",INDEX(J$1:J940,SUMPRODUCT(MAX(ROW(E$1:E940)*(E941=E$1:E940)))))</f>
        <v> </v>
      </c>
      <c r="L941" s="26"/>
    </row>
    <row r="942" spans="1:12">
      <c r="A942" s="20" t="s">
        <v>392</v>
      </c>
      <c r="E942" s="21">
        <f>IF(D942="?OLD","!!!","")</f>
        <v/>
      </c>
      <c r="F942" s="22" t="str">
        <f>IF(OR(E942="",E942="!!!"),"",IF(NOT(ISNA(VLOOKUP(E942,E$1:E941,1,FALSE()))),"OLD",IF(AND(E942&lt;&gt;"",E942&lt;&gt;"!!!"),"NEW","")))</f>
        <v> </v>
      </c>
      <c r="G942" s="23" t="str">
        <f>IF(OR(E942="",E942="!!!"),"",IF(OR(J942=0,AND(J942=1,K942=1),AND(J942=1,I942="SBJ"),AND(J942=1,I942=0)),"?IN_FOCUS",IF(J942&lt;=2,"?ACTIVATED",IF(J942&lt;&gt;"","?FAMILIAR",IF(F942="NEW",IF(ISNA(VLOOKUP(E942,#REF!,1,FALSE())),"?TYPE_IDENTIFIABLE","?REFERENTIAL"),"_")))))</f>
        <v> </v>
      </c>
      <c r="H942" s="24" t="str">
        <f>IF(J942&lt;&gt;1,"",IF(I942="SBJ","CB","?"))</f>
        <v> </v>
      </c>
      <c r="I942" s="25" t="str">
        <f>IF(OR(E942="",E942="!!!",F942="NEW"),"",INDEX(B941:B$2,-1+SUMPRODUCT(MAX(ROW(E941:E$2)*(E942=E941:E$2)))))</f>
        <v> </v>
      </c>
      <c r="J942" s="25" t="str">
        <f>IF(OR(E942="",E942="!!!",F942="NEW"),"",COUNTBLANK(OFFSET(A$1,,,SUMPRODUCT(MAX(ROW(E$2:E942)*(E942=E$2:E942)))))-COUNTBLANK(OFFSET(A$1,,,SUMPRODUCT(MAX(ROW(E$1:E941)*(E2=E$1:E941))))))</f>
        <v> </v>
      </c>
      <c r="K942" s="25" t="str">
        <f>IF(OR(E942="",E942="!!!",F942="NEW"),"",INDEX(J$1:J941,SUMPRODUCT(MAX(ROW(E$1:E941)*(E942=E$1:E941)))))</f>
        <v> </v>
      </c>
      <c r="L942" s="26"/>
    </row>
    <row r="943" spans="1:12">
      <c r="A943" s="20" t="s">
        <v>270</v>
      </c>
      <c r="E943" s="21">
        <f>IF(D943="?OLD","!!!","")</f>
        <v/>
      </c>
      <c r="F943" s="22" t="str">
        <f>IF(OR(E943="",E943="!!!"),"",IF(NOT(ISNA(VLOOKUP(E943,E$1:E942,1,FALSE()))),"OLD",IF(AND(E943&lt;&gt;"",E943&lt;&gt;"!!!"),"NEW","")))</f>
        <v> </v>
      </c>
      <c r="G943" s="23" t="str">
        <f>IF(OR(E943="",E943="!!!"),"",IF(OR(J943=0,AND(J943=1,K943=1),AND(J943=1,I943="SBJ"),AND(J943=1,I943=0)),"?IN_FOCUS",IF(J943&lt;=2,"?ACTIVATED",IF(J943&lt;&gt;"","?FAMILIAR",IF(F943="NEW",IF(ISNA(VLOOKUP(E943,#REF!,1,FALSE())),"?TYPE_IDENTIFIABLE","?REFERENTIAL"),"_")))))</f>
        <v> </v>
      </c>
      <c r="H943" s="24" t="str">
        <f>IF(J943&lt;&gt;1,"",IF(I943="SBJ","CB","?"))</f>
        <v> </v>
      </c>
      <c r="I943" s="25" t="str">
        <f>IF(OR(E943="",E943="!!!",F943="NEW"),"",INDEX(B942:B$2,-1+SUMPRODUCT(MAX(ROW(E942:E$2)*(E943=E942:E$2)))))</f>
        <v> </v>
      </c>
      <c r="J943" s="25" t="str">
        <f>IF(OR(E943="",E943="!!!",F943="NEW"),"",COUNTBLANK(OFFSET(A$1,,,SUMPRODUCT(MAX(ROW(E$2:E943)*(E943=E$2:E943)))))-COUNTBLANK(OFFSET(A$1,,,SUMPRODUCT(MAX(ROW(E$1:E942)*(E2=E$1:E942))))))</f>
        <v> </v>
      </c>
      <c r="K943" s="25" t="str">
        <f>IF(OR(E943="",E943="!!!",F943="NEW"),"",INDEX(J$1:J942,SUMPRODUCT(MAX(ROW(E$1:E942)*(E943=E$1:E942)))))</f>
        <v> </v>
      </c>
      <c r="L943" s="26"/>
    </row>
    <row r="944" spans="1:12">
      <c r="A944" s="20" t="s">
        <v>248</v>
      </c>
      <c r="E944" s="21">
        <f>IF(D944="?OLD","!!!","")</f>
        <v/>
      </c>
      <c r="F944" s="22" t="str">
        <f>IF(OR(E944="",E944="!!!"),"",IF(NOT(ISNA(VLOOKUP(E944,E$1:E943,1,FALSE()))),"OLD",IF(AND(E944&lt;&gt;"",E944&lt;&gt;"!!!"),"NEW","")))</f>
        <v> </v>
      </c>
      <c r="G944" s="23" t="str">
        <f>IF(OR(E944="",E944="!!!"),"",IF(OR(J944=0,AND(J944=1,K944=1),AND(J944=1,I944="SBJ"),AND(J944=1,I944=0)),"?IN_FOCUS",IF(J944&lt;=2,"?ACTIVATED",IF(J944&lt;&gt;"","?FAMILIAR",IF(F944="NEW",IF(ISNA(VLOOKUP(E944,#REF!,1,FALSE())),"?TYPE_IDENTIFIABLE","?REFERENTIAL"),"_")))))</f>
        <v> </v>
      </c>
      <c r="H944" s="24" t="str">
        <f>IF(J944&lt;&gt;1,"",IF(I944="SBJ","CB","?"))</f>
        <v> </v>
      </c>
      <c r="I944" s="25" t="str">
        <f>IF(OR(E944="",E944="!!!",F944="NEW"),"",INDEX(B943:B$2,-1+SUMPRODUCT(MAX(ROW(E943:E$2)*(E944=E943:E$2)))))</f>
        <v> </v>
      </c>
      <c r="J944" s="25" t="str">
        <f>IF(OR(E944="",E944="!!!",F944="NEW"),"",COUNTBLANK(OFFSET(A$1,,,SUMPRODUCT(MAX(ROW(E$2:E944)*(E944=E$2:E944)))))-COUNTBLANK(OFFSET(A$1,,,SUMPRODUCT(MAX(ROW(E$1:E943)*(E2=E$1:E943))))))</f>
        <v> </v>
      </c>
      <c r="K944" s="25" t="str">
        <f>IF(OR(E944="",E944="!!!",F944="NEW"),"",INDEX(J$1:J943,SUMPRODUCT(MAX(ROW(E$1:E943)*(E944=E$1:E943)))))</f>
        <v> </v>
      </c>
      <c r="L944" s="26"/>
    </row>
    <row r="945" spans="1:12">
      <c r="A945" s="20" t="s">
        <v>560</v>
      </c>
      <c r="B945" s="27" t="s">
        <v>272</v>
      </c>
      <c r="C945" s="27" t="s">
        <v>267</v>
      </c>
      <c r="D945" s="27" t="s">
        <v>244</v>
      </c>
      <c r="E945" s="21">
        <f>IF(D945="?OLD","!!!","")</f>
        <v/>
      </c>
      <c r="F945" s="22" t="str">
        <f>IF(OR(E945="",E945="!!!"),"",IF(NOT(ISNA(VLOOKUP(E945,E$1:E944,1,FALSE()))),"OLD",IF(AND(E945&lt;&gt;"",E945&lt;&gt;"!!!"),"NEW","")))</f>
        <v> </v>
      </c>
      <c r="G945" s="23" t="str">
        <f>IF(OR(E945="",E945="!!!"),"",IF(OR(J945=0,AND(J945=1,K945=1),AND(J945=1,I945="SBJ"),AND(J945=1,I945=0)),"?IN_FOCUS",IF(J945&lt;=2,"?ACTIVATED",IF(J945&lt;&gt;"","?FAMILIAR",IF(F945="NEW",IF(ISNA(VLOOKUP(E945,#REF!,1,FALSE())),"?TYPE_IDENTIFIABLE","?REFERENTIAL"),"_")))))</f>
        <v> </v>
      </c>
      <c r="H945" s="24" t="str">
        <f>IF(J945&lt;&gt;1,"",IF(I945="SBJ","CB","?"))</f>
        <v> </v>
      </c>
      <c r="I945" s="25" t="str">
        <f>IF(OR(E945="",E945="!!!",F945="NEW"),"",INDEX(B944:B$2,-1+SUMPRODUCT(MAX(ROW(E944:E$2)*(E945=E944:E$2)))))</f>
        <v> </v>
      </c>
      <c r="J945" s="25" t="str">
        <f>IF(OR(E945="",E945="!!!",F945="NEW"),"",COUNTBLANK(OFFSET(A$1,,,SUMPRODUCT(MAX(ROW(E$2:E945)*(E945=E$2:E945)))))-COUNTBLANK(OFFSET(A$1,,,SUMPRODUCT(MAX(ROW(E$1:E944)*(E2=E$1:E944))))))</f>
        <v> </v>
      </c>
      <c r="K945" s="25" t="str">
        <f>IF(OR(E945="",E945="!!!",F945="NEW"),"",INDEX(J$1:J944,SUMPRODUCT(MAX(ROW(E$1:E944)*(E945=E$1:E944)))))</f>
        <v> </v>
      </c>
      <c r="L945" s="26"/>
    </row>
    <row r="946" spans="1:12">
      <c r="A946" s="20" t="s">
        <v>273</v>
      </c>
      <c r="E946" s="21">
        <f>IF(D946="?OLD","!!!","")</f>
        <v/>
      </c>
      <c r="F946" s="22" t="str">
        <f>IF(OR(E946="",E946="!!!"),"",IF(NOT(ISNA(VLOOKUP(E946,E$1:E945,1,FALSE()))),"OLD",IF(AND(E946&lt;&gt;"",E946&lt;&gt;"!!!"),"NEW","")))</f>
        <v> </v>
      </c>
      <c r="G946" s="23" t="str">
        <f>IF(OR(E946="",E946="!!!"),"",IF(OR(J946=0,AND(J946=1,K946=1),AND(J946=1,I946="SBJ"),AND(J946=1,I946=0)),"?IN_FOCUS",IF(J946&lt;=2,"?ACTIVATED",IF(J946&lt;&gt;"","?FAMILIAR",IF(F946="NEW",IF(ISNA(VLOOKUP(E946,#REF!,1,FALSE())),"?TYPE_IDENTIFIABLE","?REFERENTIAL"),"_")))))</f>
        <v> </v>
      </c>
      <c r="H946" s="24" t="str">
        <f>IF(J946&lt;&gt;1,"",IF(I946="SBJ","CB","?"))</f>
        <v> </v>
      </c>
      <c r="I946" s="25" t="str">
        <f>IF(OR(E946="",E946="!!!",F946="NEW"),"",INDEX(B945:B$2,-1+SUMPRODUCT(MAX(ROW(E945:E$2)*(E946=E945:E$2)))))</f>
        <v> </v>
      </c>
      <c r="J946" s="25" t="str">
        <f>IF(OR(E946="",E946="!!!",F946="NEW"),"",COUNTBLANK(OFFSET(A$1,,,SUMPRODUCT(MAX(ROW(E$2:E946)*(E946=E$2:E946)))))-COUNTBLANK(OFFSET(A$1,,,SUMPRODUCT(MAX(ROW(E$1:E945)*(E2=E$1:E945))))))</f>
        <v> </v>
      </c>
      <c r="K946" s="25" t="str">
        <f>IF(OR(E946="",E946="!!!",F946="NEW"),"",INDEX(J$1:J945,SUMPRODUCT(MAX(ROW(E$1:E945)*(E946=E$1:E945)))))</f>
        <v> </v>
      </c>
      <c r="L946" s="26"/>
    </row>
    <row r="947" spans="1:12">
      <c r="A947" s="20" t="s">
        <v>659</v>
      </c>
      <c r="B947" s="27" t="s">
        <v>283</v>
      </c>
      <c r="C947" s="27" t="s">
        <v>263</v>
      </c>
      <c r="D947" s="27" t="s">
        <v>244</v>
      </c>
      <c r="E947" s="21">
        <f>IF(D947="?OLD","!!!","")</f>
        <v/>
      </c>
      <c r="F947" s="22" t="str">
        <f>IF(OR(E947="",E947="!!!"),"",IF(NOT(ISNA(VLOOKUP(E947,E$1:E946,1,FALSE()))),"OLD",IF(AND(E947&lt;&gt;"",E947&lt;&gt;"!!!"),"NEW","")))</f>
        <v> </v>
      </c>
      <c r="G947" s="23" t="str">
        <f>IF(OR(E947="",E947="!!!"),"",IF(OR(J947=0,AND(J947=1,K947=1),AND(J947=1,I947="SBJ"),AND(J947=1,I947=0)),"?IN_FOCUS",IF(J947&lt;=2,"?ACTIVATED",IF(J947&lt;&gt;"","?FAMILIAR",IF(F947="NEW",IF(ISNA(VLOOKUP(E947,#REF!,1,FALSE())),"?TYPE_IDENTIFIABLE","?REFERENTIAL"),"_")))))</f>
        <v> </v>
      </c>
      <c r="H947" s="24" t="str">
        <f>IF(J947&lt;&gt;1,"",IF(I947="SBJ","CB","?"))</f>
        <v> </v>
      </c>
      <c r="I947" s="25" t="str">
        <f>IF(OR(E947="",E947="!!!",F947="NEW"),"",INDEX(B946:B$2,-1+SUMPRODUCT(MAX(ROW(E946:E$2)*(E947=E946:E$2)))))</f>
        <v> </v>
      </c>
      <c r="J947" s="25" t="str">
        <f>IF(OR(E947="",E947="!!!",F947="NEW"),"",COUNTBLANK(OFFSET(A$1,,,SUMPRODUCT(MAX(ROW(E$2:E947)*(E947=E$2:E947)))))-COUNTBLANK(OFFSET(A$1,,,SUMPRODUCT(MAX(ROW(E$1:E946)*(E2=E$1:E946))))))</f>
        <v> </v>
      </c>
      <c r="K947" s="25" t="str">
        <f>IF(OR(E947="",E947="!!!",F947="NEW"),"",INDEX(J$1:J946,SUMPRODUCT(MAX(ROW(E$1:E946)*(E947=E$1:E946)))))</f>
        <v> </v>
      </c>
      <c r="L947" s="26"/>
    </row>
    <row r="948" spans="1:12">
      <c r="A948" s="20" t="s">
        <v>322</v>
      </c>
      <c r="B948" s="27" t="s">
        <v>262</v>
      </c>
      <c r="C948" s="27" t="s">
        <v>267</v>
      </c>
      <c r="D948" s="27" t="s">
        <v>244</v>
      </c>
      <c r="E948" s="21">
        <f>IF(D948="?OLD","!!!","")</f>
        <v/>
      </c>
      <c r="F948" s="22" t="str">
        <f>IF(OR(E948="",E948="!!!"),"",IF(NOT(ISNA(VLOOKUP(E948,E$1:E947,1,FALSE()))),"OLD",IF(AND(E948&lt;&gt;"",E948&lt;&gt;"!!!"),"NEW","")))</f>
        <v> </v>
      </c>
      <c r="G948" s="23" t="str">
        <f>IF(OR(E948="",E948="!!!"),"",IF(OR(J948=0,AND(J948=1,K948=1),AND(J948=1,I948="SBJ"),AND(J948=1,I948=0)),"?IN_FOCUS",IF(J948&lt;=2,"?ACTIVATED",IF(J948&lt;&gt;"","?FAMILIAR",IF(F948="NEW",IF(ISNA(VLOOKUP(E948,#REF!,1,FALSE())),"?TYPE_IDENTIFIABLE","?REFERENTIAL"),"_")))))</f>
        <v> </v>
      </c>
      <c r="H948" s="24" t="str">
        <f>IF(J948&lt;&gt;1,"",IF(I948="SBJ","CB","?"))</f>
        <v> </v>
      </c>
      <c r="I948" s="25" t="str">
        <f>IF(OR(E948="",E948="!!!",F948="NEW"),"",INDEX(B947:B$2,-1+SUMPRODUCT(MAX(ROW(E947:E$2)*(E948=E947:E$2)))))</f>
        <v> </v>
      </c>
      <c r="J948" s="25" t="str">
        <f>IF(OR(E948="",E948="!!!",F948="NEW"),"",COUNTBLANK(OFFSET(A$1,,,SUMPRODUCT(MAX(ROW(E$2:E948)*(E948=E$2:E948)))))-COUNTBLANK(OFFSET(A$1,,,SUMPRODUCT(MAX(ROW(E$1:E947)*(E2=E$1:E947))))))</f>
        <v> </v>
      </c>
      <c r="K948" s="25" t="str">
        <f>IF(OR(E948="",E948="!!!",F948="NEW"),"",INDEX(J$1:J947,SUMPRODUCT(MAX(ROW(E$1:E947)*(E948=E$1:E947)))))</f>
        <v> </v>
      </c>
      <c r="L948" s="26"/>
    </row>
    <row r="949" spans="1:12">
      <c r="A949" s="20" t="s">
        <v>305</v>
      </c>
      <c r="E949" s="21">
        <f>IF(D949="?OLD","!!!","")</f>
        <v/>
      </c>
      <c r="F949" s="22" t="str">
        <f>IF(OR(E949="",E949="!!!"),"",IF(NOT(ISNA(VLOOKUP(E949,E$1:E948,1,FALSE()))),"OLD",IF(AND(E949&lt;&gt;"",E949&lt;&gt;"!!!"),"NEW","")))</f>
        <v> </v>
      </c>
      <c r="G949" s="23" t="str">
        <f>IF(OR(E949="",E949="!!!"),"",IF(OR(J949=0,AND(J949=1,K949=1),AND(J949=1,I949="SBJ"),AND(J949=1,I949=0)),"?IN_FOCUS",IF(J949&lt;=2,"?ACTIVATED",IF(J949&lt;&gt;"","?FAMILIAR",IF(F949="NEW",IF(ISNA(VLOOKUP(E949,#REF!,1,FALSE())),"?TYPE_IDENTIFIABLE","?REFERENTIAL"),"_")))))</f>
        <v> </v>
      </c>
      <c r="H949" s="24" t="str">
        <f>IF(J949&lt;&gt;1,"",IF(I949="SBJ","CB","?"))</f>
        <v> </v>
      </c>
      <c r="I949" s="25" t="str">
        <f>IF(OR(E949="",E949="!!!",F949="NEW"),"",INDEX(B948:B$2,-1+SUMPRODUCT(MAX(ROW(E948:E$2)*(E949=E948:E$2)))))</f>
        <v> </v>
      </c>
      <c r="J949" s="25" t="str">
        <f>IF(OR(E949="",E949="!!!",F949="NEW"),"",COUNTBLANK(OFFSET(A$1,,,SUMPRODUCT(MAX(ROW(E$2:E949)*(E949=E$2:E949)))))-COUNTBLANK(OFFSET(A$1,,,SUMPRODUCT(MAX(ROW(E$1:E948)*(E2=E$1:E948))))))</f>
        <v> </v>
      </c>
      <c r="K949" s="25" t="str">
        <f>IF(OR(E949="",E949="!!!",F949="NEW"),"",INDEX(J$1:J948,SUMPRODUCT(MAX(ROW(E$1:E948)*(E949=E$1:E948)))))</f>
        <v> </v>
      </c>
      <c r="L949" s="26"/>
    </row>
    <row r="950" spans="1:12">
      <c r="A950" s="20" t="s">
        <v>248</v>
      </c>
      <c r="E950" s="21">
        <f>IF(D950="?OLD","!!!","")</f>
        <v/>
      </c>
      <c r="F950" s="22" t="str">
        <f>IF(OR(E950="",E950="!!!"),"",IF(NOT(ISNA(VLOOKUP(E950,E$1:E949,1,FALSE()))),"OLD",IF(AND(E950&lt;&gt;"",E950&lt;&gt;"!!!"),"NEW","")))</f>
        <v> </v>
      </c>
      <c r="G950" s="23" t="str">
        <f>IF(OR(E950="",E950="!!!"),"",IF(OR(J950=0,AND(J950=1,K950=1),AND(J950=1,I950="SBJ"),AND(J950=1,I950=0)),"?IN_FOCUS",IF(J950&lt;=2,"?ACTIVATED",IF(J950&lt;&gt;"","?FAMILIAR",IF(F950="NEW",IF(ISNA(VLOOKUP(E950,#REF!,1,FALSE())),"?TYPE_IDENTIFIABLE","?REFERENTIAL"),"_")))))</f>
        <v> </v>
      </c>
      <c r="H950" s="24" t="str">
        <f>IF(J950&lt;&gt;1,"",IF(I950="SBJ","CB","?"))</f>
        <v> </v>
      </c>
      <c r="I950" s="25" t="str">
        <f>IF(OR(E950="",E950="!!!",F950="NEW"),"",INDEX(B949:B$2,-1+SUMPRODUCT(MAX(ROW(E949:E$2)*(E950=E949:E$2)))))</f>
        <v> </v>
      </c>
      <c r="J950" s="25" t="str">
        <f>IF(OR(E950="",E950="!!!",F950="NEW"),"",COUNTBLANK(OFFSET(A$1,,,SUMPRODUCT(MAX(ROW(E$2:E950)*(E950=E$2:E950)))))-COUNTBLANK(OFFSET(A$1,,,SUMPRODUCT(MAX(ROW(E$1:E949)*(E2=E$1:E949))))))</f>
        <v> </v>
      </c>
      <c r="K950" s="25" t="str">
        <f>IF(OR(E950="",E950="!!!",F950="NEW"),"",INDEX(J$1:J949,SUMPRODUCT(MAX(ROW(E$1:E949)*(E950=E$1:E949)))))</f>
        <v> </v>
      </c>
      <c r="L950" s="26"/>
    </row>
    <row r="951" spans="1:12">
      <c r="A951" s="20" t="s">
        <v>44</v>
      </c>
      <c r="B951" s="27" t="s">
        <v>266</v>
      </c>
      <c r="C951" s="27" t="s">
        <v>252</v>
      </c>
      <c r="D951" s="27" t="s">
        <v>244</v>
      </c>
      <c r="E951" s="21">
        <f>IF(D951="?OLD","!!!","")</f>
        <v/>
      </c>
      <c r="F951" s="22" t="str">
        <f>IF(OR(E951="",E951="!!!"),"",IF(NOT(ISNA(VLOOKUP(E951,E$1:E950,1,FALSE()))),"OLD",IF(AND(E951&lt;&gt;"",E951&lt;&gt;"!!!"),"NEW","")))</f>
        <v> </v>
      </c>
      <c r="G951" s="23" t="str">
        <f>IF(OR(E951="",E951="!!!"),"",IF(OR(J951=0,AND(J951=1,K951=1),AND(J951=1,I951="SBJ"),AND(J951=1,I951=0)),"?IN_FOCUS",IF(J951&lt;=2,"?ACTIVATED",IF(J951&lt;&gt;"","?FAMILIAR",IF(F951="NEW",IF(ISNA(VLOOKUP(E951,#REF!,1,FALSE())),"?TYPE_IDENTIFIABLE","?REFERENTIAL"),"_")))))</f>
        <v> </v>
      </c>
      <c r="H951" s="24" t="str">
        <f>IF(J951&lt;&gt;1,"",IF(I951="SBJ","CB","?"))</f>
        <v> </v>
      </c>
      <c r="I951" s="25" t="str">
        <f>IF(OR(E951="",E951="!!!",F951="NEW"),"",INDEX(B950:B$2,-1+SUMPRODUCT(MAX(ROW(E950:E$2)*(E951=E950:E$2)))))</f>
        <v> </v>
      </c>
      <c r="J951" s="25" t="str">
        <f>IF(OR(E951="",E951="!!!",F951="NEW"),"",COUNTBLANK(OFFSET(A$1,,,SUMPRODUCT(MAX(ROW(E$2:E951)*(E951=E$2:E951)))))-COUNTBLANK(OFFSET(A$1,,,SUMPRODUCT(MAX(ROW(E$1:E950)*(E2=E$1:E950))))))</f>
        <v> </v>
      </c>
      <c r="K951" s="25" t="str">
        <f>IF(OR(E951="",E951="!!!",F951="NEW"),"",INDEX(J$1:J950,SUMPRODUCT(MAX(ROW(E$1:E950)*(E951=E$1:E950)))))</f>
        <v> </v>
      </c>
      <c r="L951" s="26"/>
    </row>
    <row r="952" spans="1:12">
      <c r="A952" s="20" t="s">
        <v>268</v>
      </c>
      <c r="E952" s="21">
        <f>IF(D952="?OLD","!!!","")</f>
        <v/>
      </c>
      <c r="F952" s="22" t="str">
        <f>IF(OR(E952="",E952="!!!"),"",IF(NOT(ISNA(VLOOKUP(E952,E$1:E951,1,FALSE()))),"OLD",IF(AND(E952&lt;&gt;"",E952&lt;&gt;"!!!"),"NEW","")))</f>
        <v> </v>
      </c>
      <c r="G952" s="23" t="str">
        <f>IF(OR(E952="",E952="!!!"),"",IF(OR(J952=0,AND(J952=1,K952=1),AND(J952=1,I952="SBJ"),AND(J952=1,I952=0)),"?IN_FOCUS",IF(J952&lt;=2,"?ACTIVATED",IF(J952&lt;&gt;"","?FAMILIAR",IF(F952="NEW",IF(ISNA(VLOOKUP(E952,#REF!,1,FALSE())),"?TYPE_IDENTIFIABLE","?REFERENTIAL"),"_")))))</f>
        <v> </v>
      </c>
      <c r="H952" s="24" t="str">
        <f>IF(J952&lt;&gt;1,"",IF(I952="SBJ","CB","?"))</f>
        <v> </v>
      </c>
      <c r="I952" s="25" t="str">
        <f>IF(OR(E952="",E952="!!!",F952="NEW"),"",INDEX(B951:B$2,-1+SUMPRODUCT(MAX(ROW(E951:E$2)*(E952=E951:E$2)))))</f>
        <v> </v>
      </c>
      <c r="J952" s="25" t="str">
        <f>IF(OR(E952="",E952="!!!",F952="NEW"),"",COUNTBLANK(OFFSET(A$1,,,SUMPRODUCT(MAX(ROW(E$2:E952)*(E952=E$2:E952)))))-COUNTBLANK(OFFSET(A$1,,,SUMPRODUCT(MAX(ROW(E$1:E951)*(E2=E$1:E951))))))</f>
        <v> </v>
      </c>
      <c r="K952" s="25" t="str">
        <f>IF(OR(E952="",E952="!!!",F952="NEW"),"",INDEX(J$1:J951,SUMPRODUCT(MAX(ROW(E$1:E951)*(E952=E$1:E951)))))</f>
        <v> </v>
      </c>
      <c r="L952" s="26"/>
    </row>
    <row r="953" spans="1:12">
      <c r="A953" s="20" t="s">
        <v>260</v>
      </c>
      <c r="E953" s="21">
        <f>IF(D953="?OLD","!!!","")</f>
        <v/>
      </c>
      <c r="F953" s="22" t="str">
        <f>IF(OR(E953="",E953="!!!"),"",IF(NOT(ISNA(VLOOKUP(E953,E$1:E952,1,FALSE()))),"OLD",IF(AND(E953&lt;&gt;"",E953&lt;&gt;"!!!"),"NEW","")))</f>
        <v> </v>
      </c>
      <c r="G953" s="23" t="str">
        <f>IF(OR(E953="",E953="!!!"),"",IF(OR(J953=0,AND(J953=1,K953=1),AND(J953=1,I953="SBJ"),AND(J953=1,I953=0)),"?IN_FOCUS",IF(J953&lt;=2,"?ACTIVATED",IF(J953&lt;&gt;"","?FAMILIAR",IF(F953="NEW",IF(ISNA(VLOOKUP(E953,#REF!,1,FALSE())),"?TYPE_IDENTIFIABLE","?REFERENTIAL"),"_")))))</f>
        <v> </v>
      </c>
      <c r="H953" s="24" t="str">
        <f>IF(J953&lt;&gt;1,"",IF(I953="SBJ","CB","?"))</f>
        <v> </v>
      </c>
      <c r="I953" s="25" t="str">
        <f>IF(OR(E953="",E953="!!!",F953="NEW"),"",INDEX(B952:B$2,-1+SUMPRODUCT(MAX(ROW(E952:E$2)*(E953=E952:E$2)))))</f>
        <v> </v>
      </c>
      <c r="J953" s="25" t="str">
        <f>IF(OR(E953="",E953="!!!",F953="NEW"),"",COUNTBLANK(OFFSET(A$1,,,SUMPRODUCT(MAX(ROW(E$2:E953)*(E953=E$2:E953)))))-COUNTBLANK(OFFSET(A$1,,,SUMPRODUCT(MAX(ROW(E$1:E952)*(E2=E$1:E952))))))</f>
        <v> </v>
      </c>
      <c r="K953" s="25" t="str">
        <f>IF(OR(E953="",E953="!!!",F953="NEW"),"",INDEX(J$1:J952,SUMPRODUCT(MAX(ROW(E$1:E952)*(E953=E$1:E952)))))</f>
        <v> </v>
      </c>
      <c r="L953" s="26"/>
    </row>
    <row r="954" spans="1:12">
      <c r="A954" s="20" t="s">
        <v>661</v>
      </c>
      <c r="B954" s="27" t="s">
        <v>329</v>
      </c>
      <c r="C954" s="27" t="s">
        <v>256</v>
      </c>
      <c r="D954" s="27" t="s">
        <v>244</v>
      </c>
      <c r="E954" s="21">
        <f>IF(D954="?OLD","!!!","")</f>
        <v/>
      </c>
      <c r="F954" s="22" t="str">
        <f>IF(OR(E954="",E954="!!!"),"",IF(NOT(ISNA(VLOOKUP(E954,E$1:E953,1,FALSE()))),"OLD",IF(AND(E954&lt;&gt;"",E954&lt;&gt;"!!!"),"NEW","")))</f>
        <v> </v>
      </c>
      <c r="G954" s="23" t="str">
        <f>IF(OR(E954="",E954="!!!"),"",IF(OR(J954=0,AND(J954=1,K954=1),AND(J954=1,I954="SBJ"),AND(J954=1,I954=0)),"?IN_FOCUS",IF(J954&lt;=2,"?ACTIVATED",IF(J954&lt;&gt;"","?FAMILIAR",IF(F954="NEW",IF(ISNA(VLOOKUP(E954,#REF!,1,FALSE())),"?TYPE_IDENTIFIABLE","?REFERENTIAL"),"_")))))</f>
        <v> </v>
      </c>
      <c r="H954" s="24" t="str">
        <f>IF(J954&lt;&gt;1,"",IF(I954="SBJ","CB","?"))</f>
        <v> </v>
      </c>
      <c r="I954" s="25" t="str">
        <f>IF(OR(E954="",E954="!!!",F954="NEW"),"",INDEX(B953:B$2,-1+SUMPRODUCT(MAX(ROW(E953:E$2)*(E954=E953:E$2)))))</f>
        <v> </v>
      </c>
      <c r="J954" s="25" t="str">
        <f>IF(OR(E954="",E954="!!!",F954="NEW"),"",COUNTBLANK(OFFSET(A$1,,,SUMPRODUCT(MAX(ROW(E$2:E954)*(E954=E$2:E954)))))-COUNTBLANK(OFFSET(A$1,,,SUMPRODUCT(MAX(ROW(E$1:E953)*(E2=E$1:E953))))))</f>
        <v> </v>
      </c>
      <c r="K954" s="25" t="str">
        <f>IF(OR(E954="",E954="!!!",F954="NEW"),"",INDEX(J$1:J953,SUMPRODUCT(MAX(ROW(E$1:E953)*(E954=E$1:E953)))))</f>
        <v> </v>
      </c>
      <c r="L954" s="26"/>
    </row>
    <row r="955" spans="1:12">
      <c r="A955" s="20" t="s">
        <v>369</v>
      </c>
      <c r="E955" s="21">
        <f>IF(D955="?OLD","!!!","")</f>
        <v/>
      </c>
      <c r="F955" s="22" t="str">
        <f>IF(OR(E955="",E955="!!!"),"",IF(NOT(ISNA(VLOOKUP(E955,E$1:E954,1,FALSE()))),"OLD",IF(AND(E955&lt;&gt;"",E955&lt;&gt;"!!!"),"NEW","")))</f>
        <v> </v>
      </c>
      <c r="G955" s="23" t="str">
        <f>IF(OR(E955="",E955="!!!"),"",IF(OR(J955=0,AND(J955=1,K955=1),AND(J955=1,I955="SBJ"),AND(J955=1,I955=0)),"?IN_FOCUS",IF(J955&lt;=2,"?ACTIVATED",IF(J955&lt;&gt;"","?FAMILIAR",IF(F955="NEW",IF(ISNA(VLOOKUP(E955,#REF!,1,FALSE())),"?TYPE_IDENTIFIABLE","?REFERENTIAL"),"_")))))</f>
        <v> </v>
      </c>
      <c r="H955" s="24" t="str">
        <f>IF(J955&lt;&gt;1,"",IF(I955="SBJ","CB","?"))</f>
        <v> </v>
      </c>
      <c r="I955" s="25" t="str">
        <f>IF(OR(E955="",E955="!!!",F955="NEW"),"",INDEX(B954:B$2,-1+SUMPRODUCT(MAX(ROW(E954:E$2)*(E955=E954:E$2)))))</f>
        <v> </v>
      </c>
      <c r="J955" s="25" t="str">
        <f>IF(OR(E955="",E955="!!!",F955="NEW"),"",COUNTBLANK(OFFSET(A$1,,,SUMPRODUCT(MAX(ROW(E$2:E955)*(E955=E$2:E955)))))-COUNTBLANK(OFFSET(A$1,,,SUMPRODUCT(MAX(ROW(E$1:E954)*(E2=E$1:E954))))))</f>
        <v> </v>
      </c>
      <c r="K955" s="25" t="str">
        <f>IF(OR(E955="",E955="!!!",F955="NEW"),"",INDEX(J$1:J954,SUMPRODUCT(MAX(ROW(E$1:E954)*(E955=E$1:E954)))))</f>
        <v> </v>
      </c>
      <c r="L955" s="26"/>
    </row>
    <row r="956" spans="1:12">
      <c r="A956" s="20" t="s">
        <v>668</v>
      </c>
      <c r="E956" s="21">
        <f>IF(D956="?OLD","!!!","")</f>
        <v/>
      </c>
      <c r="F956" s="22" t="str">
        <f>IF(OR(E956="",E956="!!!"),"",IF(NOT(ISNA(VLOOKUP(E956,E$1:E955,1,FALSE()))),"OLD",IF(AND(E956&lt;&gt;"",E956&lt;&gt;"!!!"),"NEW","")))</f>
        <v> </v>
      </c>
      <c r="G956" s="23" t="str">
        <f>IF(OR(E956="",E956="!!!"),"",IF(OR(J956=0,AND(J956=1,K956=1),AND(J956=1,I956="SBJ"),AND(J956=1,I956=0)),"?IN_FOCUS",IF(J956&lt;=2,"?ACTIVATED",IF(J956&lt;&gt;"","?FAMILIAR",IF(F956="NEW",IF(ISNA(VLOOKUP(E956,#REF!,1,FALSE())),"?TYPE_IDENTIFIABLE","?REFERENTIAL"),"_")))))</f>
        <v> </v>
      </c>
      <c r="H956" s="24" t="str">
        <f>IF(J956&lt;&gt;1,"",IF(I956="SBJ","CB","?"))</f>
        <v> </v>
      </c>
      <c r="I956" s="25" t="str">
        <f>IF(OR(E956="",E956="!!!",F956="NEW"),"",INDEX(B955:B$2,-1+SUMPRODUCT(MAX(ROW(E955:E$2)*(E956=E955:E$2)))))</f>
        <v> </v>
      </c>
      <c r="J956" s="25" t="str">
        <f>IF(OR(E956="",E956="!!!",F956="NEW"),"",COUNTBLANK(OFFSET(A$1,,,SUMPRODUCT(MAX(ROW(E$2:E956)*(E956=E$2:E956)))))-COUNTBLANK(OFFSET(A$1,,,SUMPRODUCT(MAX(ROW(E$1:E955)*(E2=E$1:E955))))))</f>
        <v> </v>
      </c>
      <c r="K956" s="25" t="str">
        <f>IF(OR(E956="",E956="!!!",F956="NEW"),"",INDEX(J$1:J955,SUMPRODUCT(MAX(ROW(E$1:E955)*(E956=E$1:E955)))))</f>
        <v> </v>
      </c>
      <c r="L956" s="26"/>
    </row>
    <row r="957" spans="1:12">
      <c r="A957" s="20" t="s">
        <v>669</v>
      </c>
      <c r="E957" s="21">
        <f>IF(D957="?OLD","!!!","")</f>
        <v/>
      </c>
      <c r="F957" s="22" t="str">
        <f>IF(OR(E957="",E957="!!!"),"",IF(NOT(ISNA(VLOOKUP(E957,E$1:E956,1,FALSE()))),"OLD",IF(AND(E957&lt;&gt;"",E957&lt;&gt;"!!!"),"NEW","")))</f>
        <v> </v>
      </c>
      <c r="G957" s="23" t="str">
        <f>IF(OR(E957="",E957="!!!"),"",IF(OR(J957=0,AND(J957=1,K957=1),AND(J957=1,I957="SBJ"),AND(J957=1,I957=0)),"?IN_FOCUS",IF(J957&lt;=2,"?ACTIVATED",IF(J957&lt;&gt;"","?FAMILIAR",IF(F957="NEW",IF(ISNA(VLOOKUP(E957,#REF!,1,FALSE())),"?TYPE_IDENTIFIABLE","?REFERENTIAL"),"_")))))</f>
        <v> </v>
      </c>
      <c r="H957" s="24" t="str">
        <f>IF(J957&lt;&gt;1,"",IF(I957="SBJ","CB","?"))</f>
        <v> </v>
      </c>
      <c r="I957" s="25" t="str">
        <f>IF(OR(E957="",E957="!!!",F957="NEW"),"",INDEX(B956:B$2,-1+SUMPRODUCT(MAX(ROW(E956:E$2)*(E957=E956:E$2)))))</f>
        <v> </v>
      </c>
      <c r="J957" s="25" t="str">
        <f>IF(OR(E957="",E957="!!!",F957="NEW"),"",COUNTBLANK(OFFSET(A$1,,,SUMPRODUCT(MAX(ROW(E$2:E957)*(E957=E$2:E957)))))-COUNTBLANK(OFFSET(A$1,,,SUMPRODUCT(MAX(ROW(E$1:E956)*(E2=E$1:E956))))))</f>
        <v> </v>
      </c>
      <c r="K957" s="25" t="str">
        <f>IF(OR(E957="",E957="!!!",F957="NEW"),"",INDEX(J$1:J956,SUMPRODUCT(MAX(ROW(E$1:E956)*(E957=E$1:E956)))))</f>
        <v> </v>
      </c>
      <c r="L957" s="26"/>
    </row>
    <row r="958" spans="1:12">
      <c r="A958" s="20" t="s">
        <v>33</v>
      </c>
      <c r="E958" s="21">
        <f>IF(D958="?OLD","!!!","")</f>
        <v/>
      </c>
      <c r="F958" s="22" t="str">
        <f>IF(OR(E958="",E958="!!!"),"",IF(NOT(ISNA(VLOOKUP(E958,E$1:E957,1,FALSE()))),"OLD",IF(AND(E958&lt;&gt;"",E958&lt;&gt;"!!!"),"NEW","")))</f>
        <v> </v>
      </c>
      <c r="G958" s="23" t="str">
        <f>IF(OR(E958="",E958="!!!"),"",IF(OR(J958=0,AND(J958=1,K958=1),AND(J958=1,I958="SBJ"),AND(J958=1,I958=0)),"?IN_FOCUS",IF(J958&lt;=2,"?ACTIVATED",IF(J958&lt;&gt;"","?FAMILIAR",IF(F958="NEW",IF(ISNA(VLOOKUP(E958,#REF!,1,FALSE())),"?TYPE_IDENTIFIABLE","?REFERENTIAL"),"_")))))</f>
        <v> </v>
      </c>
      <c r="H958" s="24" t="str">
        <f>IF(J958&lt;&gt;1,"",IF(I958="SBJ","CB","?"))</f>
        <v> </v>
      </c>
      <c r="I958" s="25" t="str">
        <f>IF(OR(E958="",E958="!!!",F958="NEW"),"",INDEX(B957:B$2,-1+SUMPRODUCT(MAX(ROW(E957:E$2)*(E958=E957:E$2)))))</f>
        <v> </v>
      </c>
      <c r="J958" s="25" t="str">
        <f>IF(OR(E958="",E958="!!!",F958="NEW"),"",COUNTBLANK(OFFSET(A$1,,,SUMPRODUCT(MAX(ROW(E$2:E958)*(E958=E$2:E958)))))-COUNTBLANK(OFFSET(A$1,,,SUMPRODUCT(MAX(ROW(E$1:E957)*(E2=E$1:E957))))))</f>
        <v> </v>
      </c>
      <c r="K958" s="25" t="str">
        <f>IF(OR(E958="",E958="!!!",F958="NEW"),"",INDEX(J$1:J957,SUMPRODUCT(MAX(ROW(E$1:E957)*(E958=E$1:E957)))))</f>
        <v> </v>
      </c>
      <c r="L958" s="26"/>
    </row>
    <row r="959" spans="1:12">
      <c r="A959" s="20" t="s">
        <v>670</v>
      </c>
      <c r="B959" s="27" t="s">
        <v>364</v>
      </c>
      <c r="C959" s="27" t="s">
        <v>267</v>
      </c>
      <c r="D959" s="27" t="s">
        <v>244</v>
      </c>
      <c r="E959" s="21">
        <f>IF(D959="?OLD","!!!","")</f>
        <v/>
      </c>
      <c r="F959" s="22" t="str">
        <f>IF(OR(E959="",E959="!!!"),"",IF(NOT(ISNA(VLOOKUP(E959,E$1:E958,1,FALSE()))),"OLD",IF(AND(E959&lt;&gt;"",E959&lt;&gt;"!!!"),"NEW","")))</f>
        <v> </v>
      </c>
      <c r="G959" s="23" t="str">
        <f>IF(OR(E959="",E959="!!!"),"",IF(OR(J959=0,AND(J959=1,K959=1),AND(J959=1,I959="SBJ"),AND(J959=1,I959=0)),"?IN_FOCUS",IF(J959&lt;=2,"?ACTIVATED",IF(J959&lt;&gt;"","?FAMILIAR",IF(F959="NEW",IF(ISNA(VLOOKUP(E959,#REF!,1,FALSE())),"?TYPE_IDENTIFIABLE","?REFERENTIAL"),"_")))))</f>
        <v> </v>
      </c>
      <c r="H959" s="24" t="str">
        <f>IF(J959&lt;&gt;1,"",IF(I959="SBJ","CB","?"))</f>
        <v> </v>
      </c>
      <c r="I959" s="25" t="str">
        <f>IF(OR(E959="",E959="!!!",F959="NEW"),"",INDEX(B958:B$2,-1+SUMPRODUCT(MAX(ROW(E958:E$2)*(E959=E958:E$2)))))</f>
        <v> </v>
      </c>
      <c r="J959" s="25" t="str">
        <f>IF(OR(E959="",E959="!!!",F959="NEW"),"",COUNTBLANK(OFFSET(A$1,,,SUMPRODUCT(MAX(ROW(E$2:E959)*(E959=E$2:E959)))))-COUNTBLANK(OFFSET(A$1,,,SUMPRODUCT(MAX(ROW(E$1:E958)*(E2=E$1:E958))))))</f>
        <v> </v>
      </c>
      <c r="K959" s="25" t="str">
        <f>IF(OR(E959="",E959="!!!",F959="NEW"),"",INDEX(J$1:J958,SUMPRODUCT(MAX(ROW(E$1:E958)*(E959=E$1:E958)))))</f>
        <v> </v>
      </c>
      <c r="L959" s="26"/>
    </row>
    <row r="960" spans="1:12">
      <c r="A960" s="20" t="s">
        <v>273</v>
      </c>
      <c r="E960" s="21">
        <f>IF(D960="?OLD","!!!","")</f>
        <v/>
      </c>
      <c r="F960" s="22" t="str">
        <f>IF(OR(E960="",E960="!!!"),"",IF(NOT(ISNA(VLOOKUP(E960,E$1:E959,1,FALSE()))),"OLD",IF(AND(E960&lt;&gt;"",E960&lt;&gt;"!!!"),"NEW","")))</f>
        <v> </v>
      </c>
      <c r="G960" s="23" t="str">
        <f>IF(OR(E960="",E960="!!!"),"",IF(OR(J960=0,AND(J960=1,K960=1),AND(J960=1,I960="SBJ"),AND(J960=1,I960=0)),"?IN_FOCUS",IF(J960&lt;=2,"?ACTIVATED",IF(J960&lt;&gt;"","?FAMILIAR",IF(F960="NEW",IF(ISNA(VLOOKUP(E960,#REF!,1,FALSE())),"?TYPE_IDENTIFIABLE","?REFERENTIAL"),"_")))))</f>
        <v> </v>
      </c>
      <c r="H960" s="24" t="str">
        <f>IF(J960&lt;&gt;1,"",IF(I960="SBJ","CB","?"))</f>
        <v> </v>
      </c>
      <c r="I960" s="25" t="str">
        <f>IF(OR(E960="",E960="!!!",F960="NEW"),"",INDEX(B959:B$2,-1+SUMPRODUCT(MAX(ROW(E959:E$2)*(E960=E959:E$2)))))</f>
        <v> </v>
      </c>
      <c r="J960" s="25" t="str">
        <f>IF(OR(E960="",E960="!!!",F960="NEW"),"",COUNTBLANK(OFFSET(A$1,,,SUMPRODUCT(MAX(ROW(E$2:E960)*(E960=E$2:E960)))))-COUNTBLANK(OFFSET(A$1,,,SUMPRODUCT(MAX(ROW(E$1:E959)*(E2=E$1:E959))))))</f>
        <v> </v>
      </c>
      <c r="K960" s="25" t="str">
        <f>IF(OR(E960="",E960="!!!",F960="NEW"),"",INDEX(J$1:J959,SUMPRODUCT(MAX(ROW(E$1:E959)*(E960=E$1:E959)))))</f>
        <v> </v>
      </c>
      <c r="L960" s="26"/>
    </row>
    <row r="961" spans="1:12">
      <c r="A961" s="20" t="s">
        <v>659</v>
      </c>
      <c r="B961" s="27" t="s">
        <v>597</v>
      </c>
      <c r="C961" s="27" t="s">
        <v>263</v>
      </c>
      <c r="D961" s="27" t="s">
        <v>244</v>
      </c>
      <c r="E961" s="21">
        <f>IF(D961="?OLD","!!!","")</f>
        <v/>
      </c>
      <c r="F961" s="22" t="str">
        <f>IF(OR(E961="",E961="!!!"),"",IF(NOT(ISNA(VLOOKUP(E961,E$1:E960,1,FALSE()))),"OLD",IF(AND(E961&lt;&gt;"",E961&lt;&gt;"!!!"),"NEW","")))</f>
        <v> </v>
      </c>
      <c r="G961" s="23" t="str">
        <f>IF(OR(E961="",E961="!!!"),"",IF(OR(J961=0,AND(J961=1,K961=1),AND(J961=1,I961="SBJ"),AND(J961=1,I961=0)),"?IN_FOCUS",IF(J961&lt;=2,"?ACTIVATED",IF(J961&lt;&gt;"","?FAMILIAR",IF(F961="NEW",IF(ISNA(VLOOKUP(E961,#REF!,1,FALSE())),"?TYPE_IDENTIFIABLE","?REFERENTIAL"),"_")))))</f>
        <v> </v>
      </c>
      <c r="H961" s="24" t="str">
        <f>IF(J961&lt;&gt;1,"",IF(I961="SBJ","CB","?"))</f>
        <v> </v>
      </c>
      <c r="I961" s="25" t="str">
        <f>IF(OR(E961="",E961="!!!",F961="NEW"),"",INDEX(B960:B$2,-1+SUMPRODUCT(MAX(ROW(E960:E$2)*(E961=E960:E$2)))))</f>
        <v> </v>
      </c>
      <c r="J961" s="25" t="str">
        <f>IF(OR(E961="",E961="!!!",F961="NEW"),"",COUNTBLANK(OFFSET(A$1,,,SUMPRODUCT(MAX(ROW(E$2:E961)*(E961=E$2:E961)))))-COUNTBLANK(OFFSET(A$1,,,SUMPRODUCT(MAX(ROW(E$1:E960)*(E2=E$1:E960))))))</f>
        <v> </v>
      </c>
      <c r="K961" s="25" t="str">
        <f>IF(OR(E961="",E961="!!!",F961="NEW"),"",INDEX(J$1:J960,SUMPRODUCT(MAX(ROW(E$1:E960)*(E961=E$1:E960)))))</f>
        <v> </v>
      </c>
      <c r="L961" s="26"/>
    </row>
    <row r="962" spans="1:12">
      <c r="A962" s="20" t="s">
        <v>300</v>
      </c>
      <c r="B962" s="27" t="s">
        <v>461</v>
      </c>
      <c r="C962" s="27" t="s">
        <v>267</v>
      </c>
      <c r="D962" s="27" t="s">
        <v>244</v>
      </c>
      <c r="E962" s="21">
        <f>IF(D962="?OLD","!!!","")</f>
        <v/>
      </c>
      <c r="F962" s="22" t="str">
        <f>IF(OR(E962="",E962="!!!"),"",IF(NOT(ISNA(VLOOKUP(E962,E$1:E961,1,FALSE()))),"OLD",IF(AND(E962&lt;&gt;"",E962&lt;&gt;"!!!"),"NEW","")))</f>
        <v> </v>
      </c>
      <c r="G962" s="23" t="str">
        <f>IF(OR(E962="",E962="!!!"),"",IF(OR(J962=0,AND(J962=1,K962=1),AND(J962=1,I962="SBJ"),AND(J962=1,I962=0)),"?IN_FOCUS",IF(J962&lt;=2,"?ACTIVATED",IF(J962&lt;&gt;"","?FAMILIAR",IF(F962="NEW",IF(ISNA(VLOOKUP(E962,#REF!,1,FALSE())),"?TYPE_IDENTIFIABLE","?REFERENTIAL"),"_")))))</f>
        <v> </v>
      </c>
      <c r="H962" s="24" t="str">
        <f>IF(J962&lt;&gt;1,"",IF(I962="SBJ","CB","?"))</f>
        <v> </v>
      </c>
      <c r="I962" s="25" t="str">
        <f>IF(OR(E962="",E962="!!!",F962="NEW"),"",INDEX(B961:B$2,-1+SUMPRODUCT(MAX(ROW(E961:E$2)*(E962=E961:E$2)))))</f>
        <v> </v>
      </c>
      <c r="J962" s="25" t="str">
        <f>IF(OR(E962="",E962="!!!",F962="NEW"),"",COUNTBLANK(OFFSET(A$1,,,SUMPRODUCT(MAX(ROW(E$2:E962)*(E962=E$2:E962)))))-COUNTBLANK(OFFSET(A$1,,,SUMPRODUCT(MAX(ROW(E$1:E961)*(E2=E$1:E961))))))</f>
        <v> </v>
      </c>
      <c r="K962" s="25" t="str">
        <f>IF(OR(E962="",E962="!!!",F962="NEW"),"",INDEX(J$1:J961,SUMPRODUCT(MAX(ROW(E$1:E961)*(E962=E$1:E961)))))</f>
        <v> </v>
      </c>
      <c r="L962" s="26"/>
    </row>
    <row r="963" spans="1:12">
      <c r="A963" s="20" t="s">
        <v>285</v>
      </c>
      <c r="E963" s="21">
        <f>IF(D963="?OLD","!!!","")</f>
        <v/>
      </c>
      <c r="F963" s="22" t="str">
        <f>IF(OR(E963="",E963="!!!"),"",IF(NOT(ISNA(VLOOKUP(E963,E$1:E962,1,FALSE()))),"OLD",IF(AND(E963&lt;&gt;"",E963&lt;&gt;"!!!"),"NEW","")))</f>
        <v> </v>
      </c>
      <c r="G963" s="23" t="str">
        <f>IF(OR(E963="",E963="!!!"),"",IF(OR(J963=0,AND(J963=1,K963=1),AND(J963=1,I963="SBJ"),AND(J963=1,I963=0)),"?IN_FOCUS",IF(J963&lt;=2,"?ACTIVATED",IF(J963&lt;&gt;"","?FAMILIAR",IF(F963="NEW",IF(ISNA(VLOOKUP(E963,#REF!,1,FALSE())),"?TYPE_IDENTIFIABLE","?REFERENTIAL"),"_")))))</f>
        <v> </v>
      </c>
      <c r="H963" s="24" t="str">
        <f>IF(J963&lt;&gt;1,"",IF(I963="SBJ","CB","?"))</f>
        <v> </v>
      </c>
      <c r="I963" s="25" t="str">
        <f>IF(OR(E963="",E963="!!!",F963="NEW"),"",INDEX(B962:B$2,-1+SUMPRODUCT(MAX(ROW(E962:E$2)*(E963=E962:E$2)))))</f>
        <v> </v>
      </c>
      <c r="J963" s="25" t="str">
        <f>IF(OR(E963="",E963="!!!",F963="NEW"),"",COUNTBLANK(OFFSET(A$1,,,SUMPRODUCT(MAX(ROW(E$2:E963)*(E963=E$2:E963)))))-COUNTBLANK(OFFSET(A$1,,,SUMPRODUCT(MAX(ROW(E$1:E962)*(E2=E$1:E962))))))</f>
        <v> </v>
      </c>
      <c r="K963" s="25" t="str">
        <f>IF(OR(E963="",E963="!!!",F963="NEW"),"",INDEX(J$1:J962,SUMPRODUCT(MAX(ROW(E$1:E962)*(E963=E$1:E962)))))</f>
        <v> </v>
      </c>
      <c r="L963" s="26"/>
    </row>
    <row r="964" spans="1:12">
      <c r="A964" s="20"/>
    </row>
    <row r="965" spans="1:12">
      <c r="A965" s="20" t="s">
        <v>671</v>
      </c>
      <c r="E965" s="21">
        <f>IF(D965="?OLD","!!!","")</f>
        <v/>
      </c>
      <c r="F965" s="22" t="str">
        <f>IF(OR(E965="",E965="!!!"),"",IF(NOT(ISNA(VLOOKUP(E965,E$1:E964,1,FALSE()))),"OLD",IF(AND(E965&lt;&gt;"",E965&lt;&gt;"!!!"),"NEW","")))</f>
        <v> </v>
      </c>
      <c r="G965" s="23" t="str">
        <f>IF(OR(E965="",E965="!!!"),"",IF(OR(J965=0,AND(J965=1,K965=1),AND(J965=1,I965="SBJ"),AND(J965=1,I965=0)),"?IN_FOCUS",IF(J965&lt;=2,"?ACTIVATED",IF(J965&lt;&gt;"","?FAMILIAR",IF(F965="NEW",IF(ISNA(VLOOKUP(E965,#REF!,1,FALSE())),"?TYPE_IDENTIFIABLE","?REFERENTIAL"),"_")))))</f>
        <v> </v>
      </c>
      <c r="H965" s="24" t="str">
        <f>IF(J965&lt;&gt;1,"",IF(I965="SBJ","CB","?"))</f>
        <v> </v>
      </c>
      <c r="I965" s="25" t="str">
        <f>IF(OR(E965="",E965="!!!",F965="NEW"),"",INDEX(B964:B$2,-1+SUMPRODUCT(MAX(ROW(E964:E$2)*(E965=E964:E$2)))))</f>
        <v> </v>
      </c>
      <c r="J965" s="25" t="str">
        <f>IF(OR(E965="",E965="!!!",F965="NEW"),"",COUNTBLANK(OFFSET(A$1,,,SUMPRODUCT(MAX(ROW(E$2:E965)*(E965=E$2:E965)))))-COUNTBLANK(OFFSET(A$1,,,SUMPRODUCT(MAX(ROW(E$1:E964)*(E2=E$1:E964))))))</f>
        <v> </v>
      </c>
      <c r="K965" s="25" t="str">
        <f>IF(OR(E965="",E965="!!!",F965="NEW"),"",INDEX(J$1:J964,SUMPRODUCT(MAX(ROW(E$1:E964)*(E965=E$1:E964)))))</f>
        <v> </v>
      </c>
      <c r="L965" s="26"/>
    </row>
    <row r="966" spans="1:12">
      <c r="A966" s="20" t="s">
        <v>672</v>
      </c>
    </row>
    <row r="967" spans="1:12">
      <c r="A967" s="20" t="s">
        <v>673</v>
      </c>
      <c r="B967" s="27" t="s">
        <v>272</v>
      </c>
      <c r="C967" s="27" t="s">
        <v>263</v>
      </c>
      <c r="D967" s="27" t="s">
        <v>244</v>
      </c>
      <c r="E967" s="21">
        <f>IF(D967="?OLD","!!!","")</f>
        <v/>
      </c>
      <c r="F967" s="22" t="str">
        <f>IF(OR(E967="",E967="!!!"),"",IF(NOT(ISNA(VLOOKUP(E967,E$1:E966,1,FALSE()))),"OLD",IF(AND(E967&lt;&gt;"",E967&lt;&gt;"!!!"),"NEW","")))</f>
        <v> </v>
      </c>
      <c r="G967" s="23" t="str">
        <f>IF(OR(E967="",E967="!!!"),"",IF(OR(J967=0,AND(J967=1,K967=1),AND(J967=1,I967="SBJ"),AND(J967=1,I967=0)),"?IN_FOCUS",IF(J967&lt;=2,"?ACTIVATED",IF(J967&lt;&gt;"","?FAMILIAR",IF(F967="NEW",IF(ISNA(VLOOKUP(E967,#REF!,1,FALSE())),"?TYPE_IDENTIFIABLE","?REFERENTIAL"),"_")))))</f>
        <v> </v>
      </c>
      <c r="H967" s="24" t="str">
        <f>IF(J967&lt;&gt;1,"",IF(I967="SBJ","CB","?"))</f>
        <v> </v>
      </c>
      <c r="I967" s="25" t="str">
        <f>IF(OR(E967="",E967="!!!",F967="NEW"),"",INDEX(B966:B$2,-1+SUMPRODUCT(MAX(ROW(E966:E$2)*(E967=E966:E$2)))))</f>
        <v> </v>
      </c>
      <c r="J967" s="25" t="str">
        <f>IF(OR(E967="",E967="!!!",F967="NEW"),"",COUNTBLANK(OFFSET(A$1,,,SUMPRODUCT(MAX(ROW(E$2:E967)*(E967=E$2:E967)))))-COUNTBLANK(OFFSET(A$1,,,SUMPRODUCT(MAX(ROW(E$1:E966)*(E2=E$1:E966))))))</f>
        <v> </v>
      </c>
      <c r="K967" s="25" t="str">
        <f>IF(OR(E967="",E967="!!!",F967="NEW"),"",INDEX(J$1:J966,SUMPRODUCT(MAX(ROW(E$1:E966)*(E967=E$1:E966)))))</f>
        <v> </v>
      </c>
      <c r="L967" s="26"/>
    </row>
    <row r="968" spans="1:12">
      <c r="A968" s="20" t="s">
        <v>674</v>
      </c>
      <c r="E968" s="21">
        <f>IF(D968="?OLD","!!!","")</f>
        <v/>
      </c>
      <c r="F968" s="22" t="str">
        <f>IF(OR(E968="",E968="!!!"),"",IF(NOT(ISNA(VLOOKUP(E968,E$1:E967,1,FALSE()))),"OLD",IF(AND(E968&lt;&gt;"",E968&lt;&gt;"!!!"),"NEW","")))</f>
        <v> </v>
      </c>
      <c r="G968" s="23" t="str">
        <f>IF(OR(E968="",E968="!!!"),"",IF(OR(J968=0,AND(J968=1,K968=1),AND(J968=1,I968="SBJ"),AND(J968=1,I968=0)),"?IN_FOCUS",IF(J968&lt;=2,"?ACTIVATED",IF(J968&lt;&gt;"","?FAMILIAR",IF(F968="NEW",IF(ISNA(VLOOKUP(E968,#REF!,1,FALSE())),"?TYPE_IDENTIFIABLE","?REFERENTIAL"),"_")))))</f>
        <v> </v>
      </c>
      <c r="H968" s="24" t="str">
        <f>IF(J968&lt;&gt;1,"",IF(I968="SBJ","CB","?"))</f>
        <v> </v>
      </c>
      <c r="I968" s="25" t="str">
        <f>IF(OR(E968="",E968="!!!",F968="NEW"),"",INDEX(B967:B$2,-1+SUMPRODUCT(MAX(ROW(E967:E$2)*(E968=E967:E$2)))))</f>
        <v> </v>
      </c>
      <c r="J968" s="25" t="str">
        <f>IF(OR(E968="",E968="!!!",F968="NEW"),"",COUNTBLANK(OFFSET(A$1,,,SUMPRODUCT(MAX(ROW(E$2:E968)*(E968=E$2:E968)))))-COUNTBLANK(OFFSET(A$1,,,SUMPRODUCT(MAX(ROW(E$1:E967)*(E2=E$1:E967))))))</f>
        <v> </v>
      </c>
      <c r="K968" s="25" t="str">
        <f>IF(OR(E968="",E968="!!!",F968="NEW"),"",INDEX(J$1:J967,SUMPRODUCT(MAX(ROW(E$1:E967)*(E968=E$1:E967)))))</f>
        <v> </v>
      </c>
      <c r="L968" s="26"/>
    </row>
    <row r="969" spans="1:12">
      <c r="A969" s="20" t="s">
        <v>675</v>
      </c>
      <c r="B969" s="27" t="s">
        <v>295</v>
      </c>
      <c r="C969" s="27" t="s">
        <v>267</v>
      </c>
      <c r="D969" s="27" t="s">
        <v>244</v>
      </c>
      <c r="E969" s="21">
        <f>IF(D969="?OLD","!!!","")</f>
        <v/>
      </c>
      <c r="F969" s="22" t="str">
        <f>IF(OR(E969="",E969="!!!"),"",IF(NOT(ISNA(VLOOKUP(E969,E$1:E968,1,FALSE()))),"OLD",IF(AND(E969&lt;&gt;"",E969&lt;&gt;"!!!"),"NEW","")))</f>
        <v> </v>
      </c>
      <c r="G969" s="23" t="str">
        <f>IF(OR(E969="",E969="!!!"),"",IF(OR(J969=0,AND(J969=1,K969=1),AND(J969=1,I969="SBJ"),AND(J969=1,I969=0)),"?IN_FOCUS",IF(J969&lt;=2,"?ACTIVATED",IF(J969&lt;&gt;"","?FAMILIAR",IF(F969="NEW",IF(ISNA(VLOOKUP(E969,#REF!,1,FALSE())),"?TYPE_IDENTIFIABLE","?REFERENTIAL"),"_")))))</f>
        <v> </v>
      </c>
      <c r="H969" s="24" t="str">
        <f>IF(J969&lt;&gt;1,"",IF(I969="SBJ","CB","?"))</f>
        <v> </v>
      </c>
      <c r="I969" s="25" t="str">
        <f>IF(OR(E969="",E969="!!!",F969="NEW"),"",INDEX(B968:B$2,-1+SUMPRODUCT(MAX(ROW(E968:E$2)*(E969=E968:E$2)))))</f>
        <v> </v>
      </c>
      <c r="J969" s="25" t="str">
        <f>IF(OR(E969="",E969="!!!",F969="NEW"),"",COUNTBLANK(OFFSET(A$1,,,SUMPRODUCT(MAX(ROW(E$2:E969)*(E969=E$2:E969)))))-COUNTBLANK(OFFSET(A$1,,,SUMPRODUCT(MAX(ROW(E$1:E968)*(E2=E$1:E968))))))</f>
        <v> </v>
      </c>
      <c r="K969" s="25" t="str">
        <f>IF(OR(E969="",E969="!!!",F969="NEW"),"",INDEX(J$1:J968,SUMPRODUCT(MAX(ROW(E$1:E968)*(E969=E$1:E968)))))</f>
        <v> </v>
      </c>
      <c r="L969" s="26"/>
    </row>
    <row r="970" spans="1:12">
      <c r="A970" s="20" t="s">
        <v>268</v>
      </c>
      <c r="E970" s="21">
        <f>IF(D970="?OLD","!!!","")</f>
        <v/>
      </c>
      <c r="F970" s="22" t="str">
        <f>IF(OR(E970="",E970="!!!"),"",IF(NOT(ISNA(VLOOKUP(E970,E$1:E969,1,FALSE()))),"OLD",IF(AND(E970&lt;&gt;"",E970&lt;&gt;"!!!"),"NEW","")))</f>
        <v> </v>
      </c>
      <c r="G970" s="23" t="str">
        <f>IF(OR(E970="",E970="!!!"),"",IF(OR(J970=0,AND(J970=1,K970=1),AND(J970=1,I970="SBJ"),AND(J970=1,I970=0)),"?IN_FOCUS",IF(J970&lt;=2,"?ACTIVATED",IF(J970&lt;&gt;"","?FAMILIAR",IF(F970="NEW",IF(ISNA(VLOOKUP(E970,#REF!,1,FALSE())),"?TYPE_IDENTIFIABLE","?REFERENTIAL"),"_")))))</f>
        <v> </v>
      </c>
      <c r="H970" s="24" t="str">
        <f>IF(J970&lt;&gt;1,"",IF(I970="SBJ","CB","?"))</f>
        <v> </v>
      </c>
      <c r="I970" s="25" t="str">
        <f>IF(OR(E970="",E970="!!!",F970="NEW"),"",INDEX(B969:B$2,-1+SUMPRODUCT(MAX(ROW(E969:E$2)*(E970=E969:E$2)))))</f>
        <v> </v>
      </c>
      <c r="J970" s="25" t="str">
        <f>IF(OR(E970="",E970="!!!",F970="NEW"),"",COUNTBLANK(OFFSET(A$1,,,SUMPRODUCT(MAX(ROW(E$2:E970)*(E970=E$2:E970)))))-COUNTBLANK(OFFSET(A$1,,,SUMPRODUCT(MAX(ROW(E$1:E969)*(E2=E$1:E969))))))</f>
        <v> </v>
      </c>
      <c r="K970" s="25" t="str">
        <f>IF(OR(E970="",E970="!!!",F970="NEW"),"",INDEX(J$1:J969,SUMPRODUCT(MAX(ROW(E$1:E969)*(E970=E$1:E969)))))</f>
        <v> </v>
      </c>
      <c r="L970" s="26"/>
    </row>
    <row r="971" spans="1:12">
      <c r="A971" s="20" t="s">
        <v>676</v>
      </c>
      <c r="E971" s="21">
        <f>IF(D971="?OLD","!!!","")</f>
        <v/>
      </c>
      <c r="F971" s="22" t="str">
        <f>IF(OR(E971="",E971="!!!"),"",IF(NOT(ISNA(VLOOKUP(E971,E$1:E970,1,FALSE()))),"OLD",IF(AND(E971&lt;&gt;"",E971&lt;&gt;"!!!"),"NEW","")))</f>
        <v> </v>
      </c>
      <c r="G971" s="23" t="str">
        <f>IF(OR(E971="",E971="!!!"),"",IF(OR(J971=0,AND(J971=1,K971=1),AND(J971=1,I971="SBJ"),AND(J971=1,I971=0)),"?IN_FOCUS",IF(J971&lt;=2,"?ACTIVATED",IF(J971&lt;&gt;"","?FAMILIAR",IF(F971="NEW",IF(ISNA(VLOOKUP(E971,#REF!,1,FALSE())),"?TYPE_IDENTIFIABLE","?REFERENTIAL"),"_")))))</f>
        <v> </v>
      </c>
      <c r="H971" s="24" t="str">
        <f>IF(J971&lt;&gt;1,"",IF(I971="SBJ","CB","?"))</f>
        <v> </v>
      </c>
      <c r="I971" s="25" t="str">
        <f>IF(OR(E971="",E971="!!!",F971="NEW"),"",INDEX(B970:B$2,-1+SUMPRODUCT(MAX(ROW(E970:E$2)*(E971=E970:E$2)))))</f>
        <v> </v>
      </c>
      <c r="J971" s="25" t="str">
        <f>IF(OR(E971="",E971="!!!",F971="NEW"),"",COUNTBLANK(OFFSET(A$1,,,SUMPRODUCT(MAX(ROW(E$2:E971)*(E971=E$2:E971)))))-COUNTBLANK(OFFSET(A$1,,,SUMPRODUCT(MAX(ROW(E$1:E970)*(E2=E$1:E970))))))</f>
        <v> </v>
      </c>
      <c r="K971" s="25" t="str">
        <f>IF(OR(E971="",E971="!!!",F971="NEW"),"",INDEX(J$1:J970,SUMPRODUCT(MAX(ROW(E$1:E970)*(E971=E$1:E970)))))</f>
        <v> </v>
      </c>
      <c r="L971" s="26"/>
    </row>
    <row r="972" spans="1:12">
      <c r="A972" s="20" t="s">
        <v>524</v>
      </c>
      <c r="E972" s="21">
        <f>IF(D972="?OLD","!!!","")</f>
        <v/>
      </c>
      <c r="F972" s="22" t="str">
        <f>IF(OR(E972="",E972="!!!"),"",IF(NOT(ISNA(VLOOKUP(E972,E$1:E971,1,FALSE()))),"OLD",IF(AND(E972&lt;&gt;"",E972&lt;&gt;"!!!"),"NEW","")))</f>
        <v> </v>
      </c>
      <c r="G972" s="23" t="str">
        <f>IF(OR(E972="",E972="!!!"),"",IF(OR(J972=0,AND(J972=1,K972=1),AND(J972=1,I972="SBJ"),AND(J972=1,I972=0)),"?IN_FOCUS",IF(J972&lt;=2,"?ACTIVATED",IF(J972&lt;&gt;"","?FAMILIAR",IF(F972="NEW",IF(ISNA(VLOOKUP(E972,#REF!,1,FALSE())),"?TYPE_IDENTIFIABLE","?REFERENTIAL"),"_")))))</f>
        <v> </v>
      </c>
      <c r="H972" s="24" t="str">
        <f>IF(J972&lt;&gt;1,"",IF(I972="SBJ","CB","?"))</f>
        <v> </v>
      </c>
      <c r="I972" s="25" t="str">
        <f>IF(OR(E972="",E972="!!!",F972="NEW"),"",INDEX(B971:B$2,-1+SUMPRODUCT(MAX(ROW(E971:E$2)*(E972=E971:E$2)))))</f>
        <v> </v>
      </c>
      <c r="J972" s="25" t="str">
        <f>IF(OR(E972="",E972="!!!",F972="NEW"),"",COUNTBLANK(OFFSET(A$1,,,SUMPRODUCT(MAX(ROW(E$2:E972)*(E972=E$2:E972)))))-COUNTBLANK(OFFSET(A$1,,,SUMPRODUCT(MAX(ROW(E$1:E971)*(E2=E$1:E971))))))</f>
        <v> </v>
      </c>
      <c r="K972" s="25" t="str">
        <f>IF(OR(E972="",E972="!!!",F972="NEW"),"",INDEX(J$1:J971,SUMPRODUCT(MAX(ROW(E$1:E971)*(E972=E$1:E971)))))</f>
        <v> </v>
      </c>
      <c r="L972" s="26"/>
    </row>
    <row r="973" spans="1:12">
      <c r="A973" s="20" t="s">
        <v>677</v>
      </c>
      <c r="E973" s="21">
        <f>IF(D973="?OLD","!!!","")</f>
        <v/>
      </c>
      <c r="F973" s="22" t="str">
        <f>IF(OR(E973="",E973="!!!"),"",IF(NOT(ISNA(VLOOKUP(E973,E$1:E972,1,FALSE()))),"OLD",IF(AND(E973&lt;&gt;"",E973&lt;&gt;"!!!"),"NEW","")))</f>
        <v> </v>
      </c>
      <c r="G973" s="23" t="str">
        <f>IF(OR(E973="",E973="!!!"),"",IF(OR(J973=0,AND(J973=1,K973=1),AND(J973=1,I973="SBJ"),AND(J973=1,I973=0)),"?IN_FOCUS",IF(J973&lt;=2,"?ACTIVATED",IF(J973&lt;&gt;"","?FAMILIAR",IF(F973="NEW",IF(ISNA(VLOOKUP(E973,#REF!,1,FALSE())),"?TYPE_IDENTIFIABLE","?REFERENTIAL"),"_")))))</f>
        <v> </v>
      </c>
      <c r="H973" s="24" t="str">
        <f>IF(J973&lt;&gt;1,"",IF(I973="SBJ","CB","?"))</f>
        <v> </v>
      </c>
      <c r="I973" s="25" t="str">
        <f>IF(OR(E973="",E973="!!!",F973="NEW"),"",INDEX(B972:B$2,-1+SUMPRODUCT(MAX(ROW(E972:E$2)*(E973=E972:E$2)))))</f>
        <v> </v>
      </c>
      <c r="J973" s="25" t="str">
        <f>IF(OR(E973="",E973="!!!",F973="NEW"),"",COUNTBLANK(OFFSET(A$1,,,SUMPRODUCT(MAX(ROW(E$2:E973)*(E973=E$2:E973)))))-COUNTBLANK(OFFSET(A$1,,,SUMPRODUCT(MAX(ROW(E$1:E972)*(E2=E$1:E972))))))</f>
        <v> </v>
      </c>
      <c r="K973" s="25" t="str">
        <f>IF(OR(E973="",E973="!!!",F973="NEW"),"",INDEX(J$1:J972,SUMPRODUCT(MAX(ROW(E$1:E972)*(E973=E$1:E972)))))</f>
        <v> </v>
      </c>
      <c r="L973" s="26"/>
    </row>
    <row r="974" spans="1:12">
      <c r="A974" s="20" t="s">
        <v>678</v>
      </c>
      <c r="B974" s="27" t="s">
        <v>237</v>
      </c>
      <c r="C974" s="27" t="s">
        <v>243</v>
      </c>
      <c r="D974" s="27" t="s">
        <v>244</v>
      </c>
      <c r="E974" s="21">
        <f>IF(D974="?OLD","!!!","")</f>
        <v/>
      </c>
      <c r="F974" s="22" t="str">
        <f>IF(OR(E974="",E974="!!!"),"",IF(NOT(ISNA(VLOOKUP(E974,E$1:E973,1,FALSE()))),"OLD",IF(AND(E974&lt;&gt;"",E974&lt;&gt;"!!!"),"NEW","")))</f>
        <v> </v>
      </c>
      <c r="G974" s="23" t="str">
        <f>IF(OR(E974="",E974="!!!"),"",IF(OR(J974=0,AND(J974=1,K974=1),AND(J974=1,I974="SBJ"),AND(J974=1,I974=0)),"?IN_FOCUS",IF(J974&lt;=2,"?ACTIVATED",IF(J974&lt;&gt;"","?FAMILIAR",IF(F974="NEW",IF(ISNA(VLOOKUP(E974,#REF!,1,FALSE())),"?TYPE_IDENTIFIABLE","?REFERENTIAL"),"_")))))</f>
        <v> </v>
      </c>
      <c r="H974" s="24" t="str">
        <f>IF(J974&lt;&gt;1,"",IF(I974="SBJ","CB","?"))</f>
        <v> </v>
      </c>
      <c r="I974" s="25" t="str">
        <f>IF(OR(E974="",E974="!!!",F974="NEW"),"",INDEX(B973:B$2,-1+SUMPRODUCT(MAX(ROW(E973:E$2)*(E974=E973:E$2)))))</f>
        <v> </v>
      </c>
      <c r="J974" s="25" t="str">
        <f>IF(OR(E974="",E974="!!!",F974="NEW"),"",COUNTBLANK(OFFSET(A$1,,,SUMPRODUCT(MAX(ROW(E$2:E974)*(E974=E$2:E974)))))-COUNTBLANK(OFFSET(A$1,,,SUMPRODUCT(MAX(ROW(E$1:E973)*(E2=E$1:E973))))))</f>
        <v> </v>
      </c>
      <c r="K974" s="25" t="str">
        <f>IF(OR(E974="",E974="!!!",F974="NEW"),"",INDEX(J$1:J973,SUMPRODUCT(MAX(ROW(E$1:E973)*(E974=E$1:E973)))))</f>
        <v> </v>
      </c>
      <c r="L974" s="26"/>
    </row>
    <row r="975" spans="1:12">
      <c r="A975" s="20" t="s">
        <v>679</v>
      </c>
      <c r="E975" s="21">
        <f>IF(D975="?OLD","!!!","")</f>
        <v/>
      </c>
      <c r="F975" s="22" t="str">
        <f>IF(OR(E975="",E975="!!!"),"",IF(NOT(ISNA(VLOOKUP(E975,E$1:E974,1,FALSE()))),"OLD",IF(AND(E975&lt;&gt;"",E975&lt;&gt;"!!!"),"NEW","")))</f>
        <v> </v>
      </c>
      <c r="G975" s="23" t="str">
        <f>IF(OR(E975="",E975="!!!"),"",IF(OR(J975=0,AND(J975=1,K975=1),AND(J975=1,I975="SBJ"),AND(J975=1,I975=0)),"?IN_FOCUS",IF(J975&lt;=2,"?ACTIVATED",IF(J975&lt;&gt;"","?FAMILIAR",IF(F975="NEW",IF(ISNA(VLOOKUP(E975,#REF!,1,FALSE())),"?TYPE_IDENTIFIABLE","?REFERENTIAL"),"_")))))</f>
        <v> </v>
      </c>
      <c r="H975" s="24" t="str">
        <f>IF(J975&lt;&gt;1,"",IF(I975="SBJ","CB","?"))</f>
        <v> </v>
      </c>
      <c r="I975" s="25" t="str">
        <f>IF(OR(E975="",E975="!!!",F975="NEW"),"",INDEX(B974:B$2,-1+SUMPRODUCT(MAX(ROW(E974:E$2)*(E975=E974:E$2)))))</f>
        <v> </v>
      </c>
      <c r="J975" s="25" t="str">
        <f>IF(OR(E975="",E975="!!!",F975="NEW"),"",COUNTBLANK(OFFSET(A$1,,,SUMPRODUCT(MAX(ROW(E$2:E975)*(E975=E$2:E975)))))-COUNTBLANK(OFFSET(A$1,,,SUMPRODUCT(MAX(ROW(E$1:E974)*(E2=E$1:E974))))))</f>
        <v> </v>
      </c>
      <c r="K975" s="25" t="str">
        <f>IF(OR(E975="",E975="!!!",F975="NEW"),"",INDEX(J$1:J974,SUMPRODUCT(MAX(ROW(E$1:E974)*(E975=E$1:E974)))))</f>
        <v> </v>
      </c>
      <c r="L975" s="26"/>
    </row>
    <row r="976" spans="1:12">
      <c r="A976" s="20"/>
    </row>
    <row r="977" spans="1:12">
      <c r="A977" s="20" t="s">
        <v>671</v>
      </c>
      <c r="E977" s="21">
        <f>IF(D977="?OLD","!!!","")</f>
        <v/>
      </c>
      <c r="F977" s="22" t="str">
        <f>IF(OR(E977="",E977="!!!"),"",IF(NOT(ISNA(VLOOKUP(E977,E$1:E976,1,FALSE()))),"OLD",IF(AND(E977&lt;&gt;"",E977&lt;&gt;"!!!"),"NEW","")))</f>
        <v> </v>
      </c>
      <c r="G977" s="23" t="str">
        <f>IF(OR(E977="",E977="!!!"),"",IF(OR(J977=0,AND(J977=1,K977=1),AND(J977=1,I977="SBJ"),AND(J977=1,I977=0)),"?IN_FOCUS",IF(J977&lt;=2,"?ACTIVATED",IF(J977&lt;&gt;"","?FAMILIAR",IF(F977="NEW",IF(ISNA(VLOOKUP(E977,#REF!,1,FALSE())),"?TYPE_IDENTIFIABLE","?REFERENTIAL"),"_")))))</f>
        <v> </v>
      </c>
      <c r="H977" s="24" t="str">
        <f>IF(J977&lt;&gt;1,"",IF(I977="SBJ","CB","?"))</f>
        <v> </v>
      </c>
      <c r="I977" s="25" t="str">
        <f>IF(OR(E977="",E977="!!!",F977="NEW"),"",INDEX(B976:B$2,-1+SUMPRODUCT(MAX(ROW(E976:E$2)*(E977=E976:E$2)))))</f>
        <v> </v>
      </c>
      <c r="J977" s="25" t="str">
        <f>IF(OR(E977="",E977="!!!",F977="NEW"),"",COUNTBLANK(OFFSET(A$1,,,SUMPRODUCT(MAX(ROW(E$2:E977)*(E977=E$2:E977)))))-COUNTBLANK(OFFSET(A$1,,,SUMPRODUCT(MAX(ROW(E$1:E976)*(E2=E$1:E976))))))</f>
        <v> </v>
      </c>
      <c r="K977" s="25" t="str">
        <f>IF(OR(E977="",E977="!!!",F977="NEW"),"",INDEX(J$1:J976,SUMPRODUCT(MAX(ROW(E$1:E976)*(E977=E$1:E976)))))</f>
        <v> </v>
      </c>
      <c r="L977" s="26"/>
    </row>
    <row r="978" spans="1:12">
      <c r="A978" s="20" t="s">
        <v>680</v>
      </c>
    </row>
    <row r="979" spans="1:12">
      <c r="A979" s="20" t="s">
        <v>681</v>
      </c>
      <c r="B979" s="27" t="s">
        <v>237</v>
      </c>
      <c r="C979" s="27" t="s">
        <v>281</v>
      </c>
      <c r="E979" s="21">
        <f>IF(D979="?OLD","!!!","")</f>
        <v/>
      </c>
      <c r="F979" s="22" t="str">
        <f>IF(OR(E979="",E979="!!!"),"",IF(NOT(ISNA(VLOOKUP(E979,E$1:E978,1,FALSE()))),"OLD",IF(AND(E979&lt;&gt;"",E979&lt;&gt;"!!!"),"NEW","")))</f>
        <v> </v>
      </c>
      <c r="G979" s="23" t="str">
        <f>IF(OR(E979="",E979="!!!"),"",IF(OR(J979=0,AND(J979=1,K979=1),AND(J979=1,I979="SBJ"),AND(J979=1,I979=0)),"?IN_FOCUS",IF(J979&lt;=2,"?ACTIVATED",IF(J979&lt;&gt;"","?FAMILIAR",IF(F979="NEW",IF(ISNA(VLOOKUP(E979,#REF!,1,FALSE())),"?TYPE_IDENTIFIABLE","?REFERENTIAL"),"_")))))</f>
        <v> </v>
      </c>
      <c r="H979" s="24" t="str">
        <f>IF(J979&lt;&gt;1,"",IF(I979="SBJ","CB","?"))</f>
        <v> </v>
      </c>
      <c r="I979" s="25" t="str">
        <f>IF(OR(E979="",E979="!!!",F979="NEW"),"",INDEX(B978:B$2,-1+SUMPRODUCT(MAX(ROW(E978:E$2)*(E979=E978:E$2)))))</f>
        <v> </v>
      </c>
      <c r="J979" s="25" t="str">
        <f>IF(OR(E979="",E979="!!!",F979="NEW"),"",COUNTBLANK(OFFSET(A$1,,,SUMPRODUCT(MAX(ROW(E$2:E979)*(E979=E$2:E979)))))-COUNTBLANK(OFFSET(A$1,,,SUMPRODUCT(MAX(ROW(E$1:E978)*(E2=E$1:E978))))))</f>
        <v> </v>
      </c>
      <c r="K979" s="25" t="str">
        <f>IF(OR(E979="",E979="!!!",F979="NEW"),"",INDEX(J$1:J978,SUMPRODUCT(MAX(ROW(E$1:E978)*(E979=E$1:E978)))))</f>
        <v> </v>
      </c>
      <c r="L979" s="26"/>
    </row>
    <row r="980" spans="1:12">
      <c r="A980" s="20" t="s">
        <v>676</v>
      </c>
      <c r="E980" s="21">
        <f>IF(D980="?OLD","!!!","")</f>
        <v/>
      </c>
      <c r="F980" s="22" t="str">
        <f>IF(OR(E980="",E980="!!!"),"",IF(NOT(ISNA(VLOOKUP(E980,E$1:E979,1,FALSE()))),"OLD",IF(AND(E980&lt;&gt;"",E980&lt;&gt;"!!!"),"NEW","")))</f>
        <v> </v>
      </c>
      <c r="G980" s="23" t="str">
        <f>IF(OR(E980="",E980="!!!"),"",IF(OR(J980=0,AND(J980=1,K980=1),AND(J980=1,I980="SBJ"),AND(J980=1,I980=0)),"?IN_FOCUS",IF(J980&lt;=2,"?ACTIVATED",IF(J980&lt;&gt;"","?FAMILIAR",IF(F980="NEW",IF(ISNA(VLOOKUP(E980,#REF!,1,FALSE())),"?TYPE_IDENTIFIABLE","?REFERENTIAL"),"_")))))</f>
        <v> </v>
      </c>
      <c r="H980" s="24" t="str">
        <f>IF(J980&lt;&gt;1,"",IF(I980="SBJ","CB","?"))</f>
        <v> </v>
      </c>
      <c r="I980" s="25" t="str">
        <f>IF(OR(E980="",E980="!!!",F980="NEW"),"",INDEX(B979:B$2,-1+SUMPRODUCT(MAX(ROW(E979:E$2)*(E980=E979:E$2)))))</f>
        <v> </v>
      </c>
      <c r="J980" s="25" t="str">
        <f>IF(OR(E980="",E980="!!!",F980="NEW"),"",COUNTBLANK(OFFSET(A$1,,,SUMPRODUCT(MAX(ROW(E$2:E980)*(E980=E$2:E980)))))-COUNTBLANK(OFFSET(A$1,,,SUMPRODUCT(MAX(ROW(E$1:E979)*(E2=E$1:E979))))))</f>
        <v> </v>
      </c>
      <c r="K980" s="25" t="str">
        <f>IF(OR(E980="",E980="!!!",F980="NEW"),"",INDEX(J$1:J979,SUMPRODUCT(MAX(ROW(E$1:E979)*(E980=E$1:E979)))))</f>
        <v> </v>
      </c>
      <c r="L980" s="26"/>
    </row>
    <row r="981" spans="1:12">
      <c r="A981" s="20" t="s">
        <v>682</v>
      </c>
      <c r="E981" s="21">
        <f>IF(D981="?OLD","!!!","")</f>
        <v/>
      </c>
      <c r="F981" s="22" t="str">
        <f>IF(OR(E981="",E981="!!!"),"",IF(NOT(ISNA(VLOOKUP(E981,E$1:E980,1,FALSE()))),"OLD",IF(AND(E981&lt;&gt;"",E981&lt;&gt;"!!!"),"NEW","")))</f>
        <v> </v>
      </c>
      <c r="G981" s="23" t="str">
        <f>IF(OR(E981="",E981="!!!"),"",IF(OR(J981=0,AND(J981=1,K981=1),AND(J981=1,I981="SBJ"),AND(J981=1,I981=0)),"?IN_FOCUS",IF(J981&lt;=2,"?ACTIVATED",IF(J981&lt;&gt;"","?FAMILIAR",IF(F981="NEW",IF(ISNA(VLOOKUP(E981,#REF!,1,FALSE())),"?TYPE_IDENTIFIABLE","?REFERENTIAL"),"_")))))</f>
        <v> </v>
      </c>
      <c r="H981" s="24" t="str">
        <f>IF(J981&lt;&gt;1,"",IF(I981="SBJ","CB","?"))</f>
        <v> </v>
      </c>
      <c r="I981" s="25" t="str">
        <f>IF(OR(E981="",E981="!!!",F981="NEW"),"",INDEX(B980:B$2,-1+SUMPRODUCT(MAX(ROW(E980:E$2)*(E981=E980:E$2)))))</f>
        <v> </v>
      </c>
      <c r="J981" s="25" t="str">
        <f>IF(OR(E981="",E981="!!!",F981="NEW"),"",COUNTBLANK(OFFSET(A$1,,,SUMPRODUCT(MAX(ROW(E$2:E981)*(E981=E$2:E981)))))-COUNTBLANK(OFFSET(A$1,,,SUMPRODUCT(MAX(ROW(E$1:E980)*(E2=E$1:E980))))))</f>
        <v> </v>
      </c>
      <c r="K981" s="25" t="str">
        <f>IF(OR(E981="",E981="!!!",F981="NEW"),"",INDEX(J$1:J980,SUMPRODUCT(MAX(ROW(E$1:E980)*(E981=E$1:E980)))))</f>
        <v> </v>
      </c>
      <c r="L981" s="26"/>
    </row>
    <row r="982" spans="1:12">
      <c r="A982" s="20" t="s">
        <v>683</v>
      </c>
      <c r="E982" s="21">
        <f>IF(D982="?OLD","!!!","")</f>
        <v/>
      </c>
      <c r="F982" s="22" t="str">
        <f>IF(OR(E982="",E982="!!!"),"",IF(NOT(ISNA(VLOOKUP(E982,E$1:E981,1,FALSE()))),"OLD",IF(AND(E982&lt;&gt;"",E982&lt;&gt;"!!!"),"NEW","")))</f>
        <v> </v>
      </c>
      <c r="G982" s="23" t="str">
        <f>IF(OR(E982="",E982="!!!"),"",IF(OR(J982=0,AND(J982=1,K982=1),AND(J982=1,I982="SBJ"),AND(J982=1,I982=0)),"?IN_FOCUS",IF(J982&lt;=2,"?ACTIVATED",IF(J982&lt;&gt;"","?FAMILIAR",IF(F982="NEW",IF(ISNA(VLOOKUP(E982,#REF!,1,FALSE())),"?TYPE_IDENTIFIABLE","?REFERENTIAL"),"_")))))</f>
        <v> </v>
      </c>
      <c r="H982" s="24" t="str">
        <f>IF(J982&lt;&gt;1,"",IF(I982="SBJ","CB","?"))</f>
        <v> </v>
      </c>
      <c r="I982" s="25" t="str">
        <f>IF(OR(E982="",E982="!!!",F982="NEW"),"",INDEX(B981:B$2,-1+SUMPRODUCT(MAX(ROW(E981:E$2)*(E982=E981:E$2)))))</f>
        <v> </v>
      </c>
      <c r="J982" s="25" t="str">
        <f>IF(OR(E982="",E982="!!!",F982="NEW"),"",COUNTBLANK(OFFSET(A$1,,,SUMPRODUCT(MAX(ROW(E$2:E982)*(E982=E$2:E982)))))-COUNTBLANK(OFFSET(A$1,,,SUMPRODUCT(MAX(ROW(E$1:E981)*(E2=E$1:E981))))))</f>
        <v> </v>
      </c>
      <c r="K982" s="25" t="str">
        <f>IF(OR(E982="",E982="!!!",F982="NEW"),"",INDEX(J$1:J981,SUMPRODUCT(MAX(ROW(E$1:E981)*(E982=E$1:E981)))))</f>
        <v> </v>
      </c>
      <c r="L982" s="26"/>
    </row>
    <row r="983" spans="1:12">
      <c r="A983" s="20" t="s">
        <v>684</v>
      </c>
      <c r="E983" s="21">
        <f>IF(D983="?OLD","!!!","")</f>
        <v/>
      </c>
      <c r="F983" s="22" t="str">
        <f>IF(OR(E983="",E983="!!!"),"",IF(NOT(ISNA(VLOOKUP(E983,E$1:E982,1,FALSE()))),"OLD",IF(AND(E983&lt;&gt;"",E983&lt;&gt;"!!!"),"NEW","")))</f>
        <v> </v>
      </c>
      <c r="G983" s="23" t="str">
        <f>IF(OR(E983="",E983="!!!"),"",IF(OR(J983=0,AND(J983=1,K983=1),AND(J983=1,I983="SBJ"),AND(J983=1,I983=0)),"?IN_FOCUS",IF(J983&lt;=2,"?ACTIVATED",IF(J983&lt;&gt;"","?FAMILIAR",IF(F983="NEW",IF(ISNA(VLOOKUP(E983,#REF!,1,FALSE())),"?TYPE_IDENTIFIABLE","?REFERENTIAL"),"_")))))</f>
        <v> </v>
      </c>
      <c r="H983" s="24" t="str">
        <f>IF(J983&lt;&gt;1,"",IF(I983="SBJ","CB","?"))</f>
        <v> </v>
      </c>
      <c r="I983" s="25" t="str">
        <f>IF(OR(E983="",E983="!!!",F983="NEW"),"",INDEX(B982:B$2,-1+SUMPRODUCT(MAX(ROW(E982:E$2)*(E983=E982:E$2)))))</f>
        <v> </v>
      </c>
      <c r="J983" s="25" t="str">
        <f>IF(OR(E983="",E983="!!!",F983="NEW"),"",COUNTBLANK(OFFSET(A$1,,,SUMPRODUCT(MAX(ROW(E$2:E983)*(E983=E$2:E983)))))-COUNTBLANK(OFFSET(A$1,,,SUMPRODUCT(MAX(ROW(E$1:E982)*(E2=E$1:E982))))))</f>
        <v> </v>
      </c>
      <c r="K983" s="25" t="str">
        <f>IF(OR(E983="",E983="!!!",F983="NEW"),"",INDEX(J$1:J982,SUMPRODUCT(MAX(ROW(E$1:E982)*(E983=E$1:E982)))))</f>
        <v> </v>
      </c>
      <c r="L983" s="26"/>
    </row>
    <row r="984" spans="1:12">
      <c r="A984" s="20" t="s">
        <v>685</v>
      </c>
      <c r="E984" s="21">
        <f>IF(D984="?OLD","!!!","")</f>
        <v/>
      </c>
      <c r="F984" s="22" t="str">
        <f>IF(OR(E984="",E984="!!!"),"",IF(NOT(ISNA(VLOOKUP(E984,E$1:E983,1,FALSE()))),"OLD",IF(AND(E984&lt;&gt;"",E984&lt;&gt;"!!!"),"NEW","")))</f>
        <v> </v>
      </c>
      <c r="G984" s="23" t="str">
        <f>IF(OR(E984="",E984="!!!"),"",IF(OR(J984=0,AND(J984=1,K984=1),AND(J984=1,I984="SBJ"),AND(J984=1,I984=0)),"?IN_FOCUS",IF(J984&lt;=2,"?ACTIVATED",IF(J984&lt;&gt;"","?FAMILIAR",IF(F984="NEW",IF(ISNA(VLOOKUP(E984,#REF!,1,FALSE())),"?TYPE_IDENTIFIABLE","?REFERENTIAL"),"_")))))</f>
        <v> </v>
      </c>
      <c r="H984" s="24" t="str">
        <f>IF(J984&lt;&gt;1,"",IF(I984="SBJ","CB","?"))</f>
        <v> </v>
      </c>
      <c r="I984" s="25" t="str">
        <f>IF(OR(E984="",E984="!!!",F984="NEW"),"",INDEX(B983:B$2,-1+SUMPRODUCT(MAX(ROW(E983:E$2)*(E984=E983:E$2)))))</f>
        <v> </v>
      </c>
      <c r="J984" s="25" t="str">
        <f>IF(OR(E984="",E984="!!!",F984="NEW"),"",COUNTBLANK(OFFSET(A$1,,,SUMPRODUCT(MAX(ROW(E$2:E984)*(E984=E$2:E984)))))-COUNTBLANK(OFFSET(A$1,,,SUMPRODUCT(MAX(ROW(E$1:E983)*(E2=E$1:E983))))))</f>
        <v> </v>
      </c>
      <c r="K984" s="25" t="str">
        <f>IF(OR(E984="",E984="!!!",F984="NEW"),"",INDEX(J$1:J983,SUMPRODUCT(MAX(ROW(E$1:E983)*(E984=E$1:E983)))))</f>
        <v> </v>
      </c>
      <c r="L984" s="26"/>
    </row>
    <row r="985" spans="1:12">
      <c r="A985" s="20" t="s">
        <v>305</v>
      </c>
      <c r="E985" s="21">
        <f>IF(D985="?OLD","!!!","")</f>
        <v/>
      </c>
      <c r="F985" s="22" t="str">
        <f>IF(OR(E985="",E985="!!!"),"",IF(NOT(ISNA(VLOOKUP(E985,E$1:E984,1,FALSE()))),"OLD",IF(AND(E985&lt;&gt;"",E985&lt;&gt;"!!!"),"NEW","")))</f>
        <v> </v>
      </c>
      <c r="G985" s="23" t="str">
        <f>IF(OR(E985="",E985="!!!"),"",IF(OR(J985=0,AND(J985=1,K985=1),AND(J985=1,I985="SBJ"),AND(J985=1,I985=0)),"?IN_FOCUS",IF(J985&lt;=2,"?ACTIVATED",IF(J985&lt;&gt;"","?FAMILIAR",IF(F985="NEW",IF(ISNA(VLOOKUP(E985,#REF!,1,FALSE())),"?TYPE_IDENTIFIABLE","?REFERENTIAL"),"_")))))</f>
        <v> </v>
      </c>
      <c r="H985" s="24" t="str">
        <f>IF(J985&lt;&gt;1,"",IF(I985="SBJ","CB","?"))</f>
        <v> </v>
      </c>
      <c r="I985" s="25" t="str">
        <f>IF(OR(E985="",E985="!!!",F985="NEW"),"",INDEX(B984:B$2,-1+SUMPRODUCT(MAX(ROW(E984:E$2)*(E985=E984:E$2)))))</f>
        <v> </v>
      </c>
      <c r="J985" s="25" t="str">
        <f>IF(OR(E985="",E985="!!!",F985="NEW"),"",COUNTBLANK(OFFSET(A$1,,,SUMPRODUCT(MAX(ROW(E$2:E985)*(E985=E$2:E985)))))-COUNTBLANK(OFFSET(A$1,,,SUMPRODUCT(MAX(ROW(E$1:E984)*(E2=E$1:E984))))))</f>
        <v> </v>
      </c>
      <c r="K985" s="25" t="str">
        <f>IF(OR(E985="",E985="!!!",F985="NEW"),"",INDEX(J$1:J984,SUMPRODUCT(MAX(ROW(E$1:E984)*(E985=E$1:E984)))))</f>
        <v> </v>
      </c>
      <c r="L985" s="26"/>
    </row>
    <row r="986" spans="1:12">
      <c r="A986" s="20" t="s">
        <v>314</v>
      </c>
      <c r="E986" s="21">
        <f>IF(D986="?OLD","!!!","")</f>
        <v/>
      </c>
      <c r="F986" s="22" t="str">
        <f>IF(OR(E986="",E986="!!!"),"",IF(NOT(ISNA(VLOOKUP(E986,E$1:E985,1,FALSE()))),"OLD",IF(AND(E986&lt;&gt;"",E986&lt;&gt;"!!!"),"NEW","")))</f>
        <v> </v>
      </c>
      <c r="G986" s="23" t="str">
        <f>IF(OR(E986="",E986="!!!"),"",IF(OR(J986=0,AND(J986=1,K986=1),AND(J986=1,I986="SBJ"),AND(J986=1,I986=0)),"?IN_FOCUS",IF(J986&lt;=2,"?ACTIVATED",IF(J986&lt;&gt;"","?FAMILIAR",IF(F986="NEW",IF(ISNA(VLOOKUP(E986,#REF!,1,FALSE())),"?TYPE_IDENTIFIABLE","?REFERENTIAL"),"_")))))</f>
        <v> </v>
      </c>
      <c r="H986" s="24" t="str">
        <f>IF(J986&lt;&gt;1,"",IF(I986="SBJ","CB","?"))</f>
        <v> </v>
      </c>
      <c r="I986" s="25" t="str">
        <f>IF(OR(E986="",E986="!!!",F986="NEW"),"",INDEX(B985:B$2,-1+SUMPRODUCT(MAX(ROW(E985:E$2)*(E986=E985:E$2)))))</f>
        <v> </v>
      </c>
      <c r="J986" s="25" t="str">
        <f>IF(OR(E986="",E986="!!!",F986="NEW"),"",COUNTBLANK(OFFSET(A$1,,,SUMPRODUCT(MAX(ROW(E$2:E986)*(E986=E$2:E986)))))-COUNTBLANK(OFFSET(A$1,,,SUMPRODUCT(MAX(ROW(E$1:E985)*(E2=E$1:E985))))))</f>
        <v> </v>
      </c>
      <c r="K986" s="25" t="str">
        <f>IF(OR(E986="",E986="!!!",F986="NEW"),"",INDEX(J$1:J985,SUMPRODUCT(MAX(ROW(E$1:E985)*(E986=E$1:E985)))))</f>
        <v> </v>
      </c>
      <c r="L986" s="26"/>
    </row>
    <row r="987" spans="1:12">
      <c r="A987" s="20" t="s">
        <v>661</v>
      </c>
      <c r="B987" s="27" t="s">
        <v>295</v>
      </c>
      <c r="C987" s="27" t="s">
        <v>256</v>
      </c>
      <c r="D987" s="27" t="s">
        <v>244</v>
      </c>
      <c r="E987" s="21">
        <f>IF(D987="?OLD","!!!","")</f>
        <v/>
      </c>
      <c r="F987" s="22" t="str">
        <f>IF(OR(E987="",E987="!!!"),"",IF(NOT(ISNA(VLOOKUP(E987,E$1:E986,1,FALSE()))),"OLD",IF(AND(E987&lt;&gt;"",E987&lt;&gt;"!!!"),"NEW","")))</f>
        <v> </v>
      </c>
      <c r="G987" s="23" t="str">
        <f>IF(OR(E987="",E987="!!!"),"",IF(OR(J987=0,AND(J987=1,K987=1),AND(J987=1,I987="SBJ"),AND(J987=1,I987=0)),"?IN_FOCUS",IF(J987&lt;=2,"?ACTIVATED",IF(J987&lt;&gt;"","?FAMILIAR",IF(F987="NEW",IF(ISNA(VLOOKUP(E987,#REF!,1,FALSE())),"?TYPE_IDENTIFIABLE","?REFERENTIAL"),"_")))))</f>
        <v> </v>
      </c>
      <c r="H987" s="24" t="str">
        <f>IF(J987&lt;&gt;1,"",IF(I987="SBJ","CB","?"))</f>
        <v> </v>
      </c>
      <c r="I987" s="25" t="str">
        <f>IF(OR(E987="",E987="!!!",F987="NEW"),"",INDEX(B986:B$2,-1+SUMPRODUCT(MAX(ROW(E986:E$2)*(E987=E986:E$2)))))</f>
        <v> </v>
      </c>
      <c r="J987" s="25" t="str">
        <f>IF(OR(E987="",E987="!!!",F987="NEW"),"",COUNTBLANK(OFFSET(A$1,,,SUMPRODUCT(MAX(ROW(E$2:E987)*(E987=E$2:E987)))))-COUNTBLANK(OFFSET(A$1,,,SUMPRODUCT(MAX(ROW(E$1:E986)*(E2=E$1:E986))))))</f>
        <v> </v>
      </c>
      <c r="K987" s="25" t="str">
        <f>IF(OR(E987="",E987="!!!",F987="NEW"),"",INDEX(J$1:J986,SUMPRODUCT(MAX(ROW(E$1:E986)*(E987=E$1:E986)))))</f>
        <v> </v>
      </c>
      <c r="L987" s="26"/>
    </row>
    <row r="988" spans="1:12">
      <c r="A988" s="20" t="s">
        <v>686</v>
      </c>
      <c r="E988" s="21">
        <f>IF(D988="?OLD","!!!","")</f>
        <v/>
      </c>
      <c r="F988" s="22" t="str">
        <f>IF(OR(E988="",E988="!!!"),"",IF(NOT(ISNA(VLOOKUP(E988,E$1:E987,1,FALSE()))),"OLD",IF(AND(E988&lt;&gt;"",E988&lt;&gt;"!!!"),"NEW","")))</f>
        <v> </v>
      </c>
      <c r="G988" s="23" t="str">
        <f>IF(OR(E988="",E988="!!!"),"",IF(OR(J988=0,AND(J988=1,K988=1),AND(J988=1,I988="SBJ"),AND(J988=1,I988=0)),"?IN_FOCUS",IF(J988&lt;=2,"?ACTIVATED",IF(J988&lt;&gt;"","?FAMILIAR",IF(F988="NEW",IF(ISNA(VLOOKUP(E988,#REF!,1,FALSE())),"?TYPE_IDENTIFIABLE","?REFERENTIAL"),"_")))))</f>
        <v> </v>
      </c>
      <c r="H988" s="24" t="str">
        <f>IF(J988&lt;&gt;1,"",IF(I988="SBJ","CB","?"))</f>
        <v> </v>
      </c>
      <c r="I988" s="25" t="str">
        <f>IF(OR(E988="",E988="!!!",F988="NEW"),"",INDEX(B987:B$2,-1+SUMPRODUCT(MAX(ROW(E987:E$2)*(E988=E987:E$2)))))</f>
        <v> </v>
      </c>
      <c r="J988" s="25" t="str">
        <f>IF(OR(E988="",E988="!!!",F988="NEW"),"",COUNTBLANK(OFFSET(A$1,,,SUMPRODUCT(MAX(ROW(E$2:E988)*(E988=E$2:E988)))))-COUNTBLANK(OFFSET(A$1,,,SUMPRODUCT(MAX(ROW(E$1:E987)*(E2=E$1:E987))))))</f>
        <v> </v>
      </c>
      <c r="K988" s="25" t="str">
        <f>IF(OR(E988="",E988="!!!",F988="NEW"),"",INDEX(J$1:J987,SUMPRODUCT(MAX(ROW(E$1:E987)*(E988=E$1:E987)))))</f>
        <v> </v>
      </c>
      <c r="L988" s="26"/>
    </row>
    <row r="989" spans="1:12">
      <c r="A989" s="20" t="s">
        <v>248</v>
      </c>
      <c r="E989" s="21">
        <f>IF(D989="?OLD","!!!","")</f>
        <v/>
      </c>
      <c r="F989" s="22" t="str">
        <f>IF(OR(E989="",E989="!!!"),"",IF(NOT(ISNA(VLOOKUP(E989,E$1:E988,1,FALSE()))),"OLD",IF(AND(E989&lt;&gt;"",E989&lt;&gt;"!!!"),"NEW","")))</f>
        <v> </v>
      </c>
      <c r="G989" s="23" t="str">
        <f>IF(OR(E989="",E989="!!!"),"",IF(OR(J989=0,AND(J989=1,K989=1),AND(J989=1,I989="SBJ"),AND(J989=1,I989=0)),"?IN_FOCUS",IF(J989&lt;=2,"?ACTIVATED",IF(J989&lt;&gt;"","?FAMILIAR",IF(F989="NEW",IF(ISNA(VLOOKUP(E989,#REF!,1,FALSE())),"?TYPE_IDENTIFIABLE","?REFERENTIAL"),"_")))))</f>
        <v> </v>
      </c>
      <c r="H989" s="24" t="str">
        <f>IF(J989&lt;&gt;1,"",IF(I989="SBJ","CB","?"))</f>
        <v> </v>
      </c>
      <c r="I989" s="25" t="str">
        <f>IF(OR(E989="",E989="!!!",F989="NEW"),"",INDEX(B988:B$2,-1+SUMPRODUCT(MAX(ROW(E988:E$2)*(E989=E988:E$2)))))</f>
        <v> </v>
      </c>
      <c r="J989" s="25" t="str">
        <f>IF(OR(E989="",E989="!!!",F989="NEW"),"",COUNTBLANK(OFFSET(A$1,,,SUMPRODUCT(MAX(ROW(E$2:E989)*(E989=E$2:E989)))))-COUNTBLANK(OFFSET(A$1,,,SUMPRODUCT(MAX(ROW(E$1:E988)*(E2=E$1:E988))))))</f>
        <v> </v>
      </c>
      <c r="K989" s="25" t="str">
        <f>IF(OR(E989="",E989="!!!",F989="NEW"),"",INDEX(J$1:J988,SUMPRODUCT(MAX(ROW(E$1:E988)*(E989=E$1:E988)))))</f>
        <v> </v>
      </c>
      <c r="L989" s="26"/>
    </row>
    <row r="990" spans="1:12">
      <c r="A990" s="20" t="s">
        <v>687</v>
      </c>
      <c r="B990" s="27" t="s">
        <v>266</v>
      </c>
      <c r="C990" s="27" t="s">
        <v>252</v>
      </c>
      <c r="D990" s="27" t="s">
        <v>244</v>
      </c>
      <c r="E990" s="21">
        <f>IF(D990="?OLD","!!!","")</f>
        <v/>
      </c>
      <c r="F990" s="22" t="str">
        <f>IF(OR(E990="",E990="!!!"),"",IF(NOT(ISNA(VLOOKUP(E990,E$1:E989,1,FALSE()))),"OLD",IF(AND(E990&lt;&gt;"",E990&lt;&gt;"!!!"),"NEW","")))</f>
        <v> </v>
      </c>
      <c r="G990" s="23" t="str">
        <f>IF(OR(E990="",E990="!!!"),"",IF(OR(J990=0,AND(J990=1,K990=1),AND(J990=1,I990="SBJ"),AND(J990=1,I990=0)),"?IN_FOCUS",IF(J990&lt;=2,"?ACTIVATED",IF(J990&lt;&gt;"","?FAMILIAR",IF(F990="NEW",IF(ISNA(VLOOKUP(E990,#REF!,1,FALSE())),"?TYPE_IDENTIFIABLE","?REFERENTIAL"),"_")))))</f>
        <v> </v>
      </c>
      <c r="H990" s="24" t="str">
        <f>IF(J990&lt;&gt;1,"",IF(I990="SBJ","CB","?"))</f>
        <v> </v>
      </c>
      <c r="I990" s="25" t="str">
        <f>IF(OR(E990="",E990="!!!",F990="NEW"),"",INDEX(B989:B$2,-1+SUMPRODUCT(MAX(ROW(E989:E$2)*(E990=E989:E$2)))))</f>
        <v> </v>
      </c>
      <c r="J990" s="25" t="str">
        <f>IF(OR(E990="",E990="!!!",F990="NEW"),"",COUNTBLANK(OFFSET(A$1,,,SUMPRODUCT(MAX(ROW(E$2:E990)*(E990=E$2:E990)))))-COUNTBLANK(OFFSET(A$1,,,SUMPRODUCT(MAX(ROW(E$1:E989)*(E2=E$1:E989))))))</f>
        <v> </v>
      </c>
      <c r="K990" s="25" t="str">
        <f>IF(OR(E990="",E990="!!!",F990="NEW"),"",INDEX(J$1:J989,SUMPRODUCT(MAX(ROW(E$1:E989)*(E990=E$1:E989)))))</f>
        <v> </v>
      </c>
      <c r="L990" s="26"/>
    </row>
    <row r="991" spans="1:12">
      <c r="A991" s="20" t="s">
        <v>268</v>
      </c>
      <c r="E991" s="21">
        <f>IF(D991="?OLD","!!!","")</f>
        <v/>
      </c>
      <c r="F991" s="22" t="str">
        <f>IF(OR(E991="",E991="!!!"),"",IF(NOT(ISNA(VLOOKUP(E991,E$1:E990,1,FALSE()))),"OLD",IF(AND(E991&lt;&gt;"",E991&lt;&gt;"!!!"),"NEW","")))</f>
        <v> </v>
      </c>
      <c r="G991" s="23" t="str">
        <f>IF(OR(E991="",E991="!!!"),"",IF(OR(J991=0,AND(J991=1,K991=1),AND(J991=1,I991="SBJ"),AND(J991=1,I991=0)),"?IN_FOCUS",IF(J991&lt;=2,"?ACTIVATED",IF(J991&lt;&gt;"","?FAMILIAR",IF(F991="NEW",IF(ISNA(VLOOKUP(E991,#REF!,1,FALSE())),"?TYPE_IDENTIFIABLE","?REFERENTIAL"),"_")))))</f>
        <v> </v>
      </c>
      <c r="H991" s="24" t="str">
        <f>IF(J991&lt;&gt;1,"",IF(I991="SBJ","CB","?"))</f>
        <v> </v>
      </c>
      <c r="I991" s="25" t="str">
        <f>IF(OR(E991="",E991="!!!",F991="NEW"),"",INDEX(B990:B$2,-1+SUMPRODUCT(MAX(ROW(E990:E$2)*(E991=E990:E$2)))))</f>
        <v> </v>
      </c>
      <c r="J991" s="25" t="str">
        <f>IF(OR(E991="",E991="!!!",F991="NEW"),"",COUNTBLANK(OFFSET(A$1,,,SUMPRODUCT(MAX(ROW(E$2:E991)*(E991=E$2:E991)))))-COUNTBLANK(OFFSET(A$1,,,SUMPRODUCT(MAX(ROW(E$1:E990)*(E2=E$1:E990))))))</f>
        <v> </v>
      </c>
      <c r="K991" s="25" t="str">
        <f>IF(OR(E991="",E991="!!!",F991="NEW"),"",INDEX(J$1:J990,SUMPRODUCT(MAX(ROW(E$1:E990)*(E991=E$1:E990)))))</f>
        <v> </v>
      </c>
      <c r="L991" s="26"/>
    </row>
    <row r="992" spans="1:12">
      <c r="A992" s="20" t="s">
        <v>248</v>
      </c>
      <c r="E992" s="21">
        <f>IF(D992="?OLD","!!!","")</f>
        <v/>
      </c>
      <c r="F992" s="22" t="str">
        <f>IF(OR(E992="",E992="!!!"),"",IF(NOT(ISNA(VLOOKUP(E992,E$1:E991,1,FALSE()))),"OLD",IF(AND(E992&lt;&gt;"",E992&lt;&gt;"!!!"),"NEW","")))</f>
        <v> </v>
      </c>
      <c r="G992" s="23" t="str">
        <f>IF(OR(E992="",E992="!!!"),"",IF(OR(J992=0,AND(J992=1,K992=1),AND(J992=1,I992="SBJ"),AND(J992=1,I992=0)),"?IN_FOCUS",IF(J992&lt;=2,"?ACTIVATED",IF(J992&lt;&gt;"","?FAMILIAR",IF(F992="NEW",IF(ISNA(VLOOKUP(E992,#REF!,1,FALSE())),"?TYPE_IDENTIFIABLE","?REFERENTIAL"),"_")))))</f>
        <v> </v>
      </c>
      <c r="H992" s="24" t="str">
        <f>IF(J992&lt;&gt;1,"",IF(I992="SBJ","CB","?"))</f>
        <v> </v>
      </c>
      <c r="I992" s="25" t="str">
        <f>IF(OR(E992="",E992="!!!",F992="NEW"),"",INDEX(B991:B$2,-1+SUMPRODUCT(MAX(ROW(E991:E$2)*(E992=E991:E$2)))))</f>
        <v> </v>
      </c>
      <c r="J992" s="25" t="str">
        <f>IF(OR(E992="",E992="!!!",F992="NEW"),"",COUNTBLANK(OFFSET(A$1,,,SUMPRODUCT(MAX(ROW(E$2:E992)*(E992=E$2:E992)))))-COUNTBLANK(OFFSET(A$1,,,SUMPRODUCT(MAX(ROW(E$1:E991)*(E2=E$1:E991))))))</f>
        <v> </v>
      </c>
      <c r="K992" s="25" t="str">
        <f>IF(OR(E992="",E992="!!!",F992="NEW"),"",INDEX(J$1:J991,SUMPRODUCT(MAX(ROW(E$1:E991)*(E992=E$1:E991)))))</f>
        <v> </v>
      </c>
      <c r="L992" s="26"/>
    </row>
    <row r="993" spans="1:12">
      <c r="A993" s="20" t="s">
        <v>280</v>
      </c>
      <c r="B993" s="27" t="s">
        <v>291</v>
      </c>
      <c r="C993" s="27" t="s">
        <v>252</v>
      </c>
      <c r="D993" s="27" t="s">
        <v>244</v>
      </c>
      <c r="E993" s="21">
        <f>IF(D993="?OLD","!!!","")</f>
        <v/>
      </c>
      <c r="F993" s="22" t="str">
        <f>IF(OR(E993="",E993="!!!"),"",IF(NOT(ISNA(VLOOKUP(E993,E$1:E992,1,FALSE()))),"OLD",IF(AND(E993&lt;&gt;"",E993&lt;&gt;"!!!"),"NEW","")))</f>
        <v> </v>
      </c>
      <c r="G993" s="23" t="str">
        <f>IF(OR(E993="",E993="!!!"),"",IF(OR(J993=0,AND(J993=1,K993=1),AND(J993=1,I993="SBJ"),AND(J993=1,I993=0)),"?IN_FOCUS",IF(J993&lt;=2,"?ACTIVATED",IF(J993&lt;&gt;"","?FAMILIAR",IF(F993="NEW",IF(ISNA(VLOOKUP(E993,#REF!,1,FALSE())),"?TYPE_IDENTIFIABLE","?REFERENTIAL"),"_")))))</f>
        <v> </v>
      </c>
      <c r="H993" s="24" t="str">
        <f>IF(J993&lt;&gt;1,"",IF(I993="SBJ","CB","?"))</f>
        <v> </v>
      </c>
      <c r="I993" s="25" t="str">
        <f>IF(OR(E993="",E993="!!!",F993="NEW"),"",INDEX(B992:B$2,-1+SUMPRODUCT(MAX(ROW(E992:E$2)*(E993=E992:E$2)))))</f>
        <v> </v>
      </c>
      <c r="J993" s="25" t="str">
        <f>IF(OR(E993="",E993="!!!",F993="NEW"),"",COUNTBLANK(OFFSET(A$1,,,SUMPRODUCT(MAX(ROW(E$2:E993)*(E993=E$2:E993)))))-COUNTBLANK(OFFSET(A$1,,,SUMPRODUCT(MAX(ROW(E$1:E992)*(E2=E$1:E992))))))</f>
        <v> </v>
      </c>
      <c r="K993" s="25" t="str">
        <f>IF(OR(E993="",E993="!!!",F993="NEW"),"",INDEX(J$1:J992,SUMPRODUCT(MAX(ROW(E$1:E992)*(E993=E$1:E992)))))</f>
        <v> </v>
      </c>
      <c r="L993" s="26"/>
    </row>
    <row r="994" spans="1:12">
      <c r="A994" s="20" t="s">
        <v>688</v>
      </c>
      <c r="B994" s="27" t="s">
        <v>272</v>
      </c>
      <c r="C994" s="27" t="s">
        <v>256</v>
      </c>
      <c r="D994" s="27" t="s">
        <v>244</v>
      </c>
      <c r="E994" s="21">
        <f>IF(D994="?OLD","!!!","")</f>
        <v/>
      </c>
      <c r="F994" s="22" t="str">
        <f>IF(OR(E994="",E994="!!!"),"",IF(NOT(ISNA(VLOOKUP(E994,E$1:E993,1,FALSE()))),"OLD",IF(AND(E994&lt;&gt;"",E994&lt;&gt;"!!!"),"NEW","")))</f>
        <v> </v>
      </c>
      <c r="G994" s="23" t="str">
        <f>IF(OR(E994="",E994="!!!"),"",IF(OR(J994=0,AND(J994=1,K994=1),AND(J994=1,I994="SBJ"),AND(J994=1,I994=0)),"?IN_FOCUS",IF(J994&lt;=2,"?ACTIVATED",IF(J994&lt;&gt;"","?FAMILIAR",IF(F994="NEW",IF(ISNA(VLOOKUP(E994,#REF!,1,FALSE())),"?TYPE_IDENTIFIABLE","?REFERENTIAL"),"_")))))</f>
        <v> </v>
      </c>
      <c r="H994" s="24" t="str">
        <f>IF(J994&lt;&gt;1,"",IF(I994="SBJ","CB","?"))</f>
        <v> </v>
      </c>
      <c r="I994" s="25" t="str">
        <f>IF(OR(E994="",E994="!!!",F994="NEW"),"",INDEX(B993:B$2,-1+SUMPRODUCT(MAX(ROW(E993:E$2)*(E994=E993:E$2)))))</f>
        <v> </v>
      </c>
      <c r="J994" s="25" t="str">
        <f>IF(OR(E994="",E994="!!!",F994="NEW"),"",COUNTBLANK(OFFSET(A$1,,,SUMPRODUCT(MAX(ROW(E$2:E994)*(E994=E$2:E994)))))-COUNTBLANK(OFFSET(A$1,,,SUMPRODUCT(MAX(ROW(E$1:E993)*(E2=E$1:E993))))))</f>
        <v> </v>
      </c>
      <c r="K994" s="25" t="str">
        <f>IF(OR(E994="",E994="!!!",F994="NEW"),"",INDEX(J$1:J993,SUMPRODUCT(MAX(ROW(E$1:E993)*(E994=E$1:E993)))))</f>
        <v> </v>
      </c>
      <c r="L994" s="26"/>
    </row>
    <row r="995" spans="1:12">
      <c r="A995" s="20" t="s">
        <v>285</v>
      </c>
      <c r="E995" s="21">
        <f>IF(D995="?OLD","!!!","")</f>
        <v/>
      </c>
      <c r="F995" s="22" t="str">
        <f>IF(OR(E995="",E995="!!!"),"",IF(NOT(ISNA(VLOOKUP(E995,E$1:E994,1,FALSE()))),"OLD",IF(AND(E995&lt;&gt;"",E995&lt;&gt;"!!!"),"NEW","")))</f>
        <v> </v>
      </c>
      <c r="G995" s="23" t="str">
        <f>IF(OR(E995="",E995="!!!"),"",IF(OR(J995=0,AND(J995=1,K995=1),AND(J995=1,I995="SBJ"),AND(J995=1,I995=0)),"?IN_FOCUS",IF(J995&lt;=2,"?ACTIVATED",IF(J995&lt;&gt;"","?FAMILIAR",IF(F995="NEW",IF(ISNA(VLOOKUP(E995,#REF!,1,FALSE())),"?TYPE_IDENTIFIABLE","?REFERENTIAL"),"_")))))</f>
        <v> </v>
      </c>
      <c r="H995" s="24" t="str">
        <f>IF(J995&lt;&gt;1,"",IF(I995="SBJ","CB","?"))</f>
        <v> </v>
      </c>
      <c r="I995" s="25" t="str">
        <f>IF(OR(E995="",E995="!!!",F995="NEW"),"",INDEX(B994:B$2,-1+SUMPRODUCT(MAX(ROW(E994:E$2)*(E995=E994:E$2)))))</f>
        <v> </v>
      </c>
      <c r="J995" s="25" t="str">
        <f>IF(OR(E995="",E995="!!!",F995="NEW"),"",COUNTBLANK(OFFSET(A$1,,,SUMPRODUCT(MAX(ROW(E$2:E995)*(E995=E$2:E995)))))-COUNTBLANK(OFFSET(A$1,,,SUMPRODUCT(MAX(ROW(E$1:E994)*(E2=E$1:E994))))))</f>
        <v> </v>
      </c>
      <c r="K995" s="25" t="str">
        <f>IF(OR(E995="",E995="!!!",F995="NEW"),"",INDEX(J$1:J994,SUMPRODUCT(MAX(ROW(E$1:E994)*(E995=E$1:E994)))))</f>
        <v> </v>
      </c>
      <c r="L995" s="26"/>
    </row>
    <row r="996" spans="1:12">
      <c r="A996" s="20"/>
    </row>
    <row r="997" spans="1:12">
      <c r="A997" s="20" t="s">
        <v>689</v>
      </c>
    </row>
    <row r="998" spans="1:12">
      <c r="A998" s="20" t="s">
        <v>690</v>
      </c>
      <c r="B998" s="27" t="s">
        <v>255</v>
      </c>
      <c r="C998" s="27" t="s">
        <v>243</v>
      </c>
      <c r="D998" s="27" t="s">
        <v>244</v>
      </c>
      <c r="E998" s="21">
        <f>IF(D998="?OLD","!!!","")</f>
        <v/>
      </c>
      <c r="F998" s="22" t="str">
        <f>IF(OR(E998="",E998="!!!"),"",IF(NOT(ISNA(VLOOKUP(E998,E$1:E997,1,FALSE()))),"OLD",IF(AND(E998&lt;&gt;"",E998&lt;&gt;"!!!"),"NEW","")))</f>
        <v> </v>
      </c>
      <c r="G998" s="23" t="str">
        <f>IF(OR(E998="",E998="!!!"),"",IF(OR(J998=0,AND(J998=1,K998=1),AND(J998=1,I998="SBJ"),AND(J998=1,I998=0)),"?IN_FOCUS",IF(J998&lt;=2,"?ACTIVATED",IF(J998&lt;&gt;"","?FAMILIAR",IF(F998="NEW",IF(ISNA(VLOOKUP(E998,#REF!,1,FALSE())),"?TYPE_IDENTIFIABLE","?REFERENTIAL"),"_")))))</f>
        <v> </v>
      </c>
      <c r="H998" s="24" t="str">
        <f>IF(J998&lt;&gt;1,"",IF(I998="SBJ","CB","?"))</f>
        <v> </v>
      </c>
      <c r="I998" s="25" t="str">
        <f>IF(OR(E998="",E998="!!!",F998="NEW"),"",INDEX(B997:B$2,-1+SUMPRODUCT(MAX(ROW(E997:E$2)*(E998=E997:E$2)))))</f>
        <v> </v>
      </c>
      <c r="J998" s="25" t="str">
        <f>IF(OR(E998="",E998="!!!",F998="NEW"),"",COUNTBLANK(OFFSET(A$1,,,SUMPRODUCT(MAX(ROW(E$2:E998)*(E998=E$2:E998)))))-COUNTBLANK(OFFSET(A$1,,,SUMPRODUCT(MAX(ROW(E$1:E997)*(E2=E$1:E997))))))</f>
        <v> </v>
      </c>
      <c r="K998" s="25" t="str">
        <f>IF(OR(E998="",E998="!!!",F998="NEW"),"",INDEX(J$1:J997,SUMPRODUCT(MAX(ROW(E$1:E997)*(E998=E$1:E997)))))</f>
        <v> </v>
      </c>
      <c r="L998" s="26"/>
    </row>
    <row r="999" spans="1:12">
      <c r="A999" s="20" t="s">
        <v>691</v>
      </c>
      <c r="E999" s="21">
        <f>IF(D999="?OLD","!!!","")</f>
        <v/>
      </c>
      <c r="F999" s="22" t="str">
        <f>IF(OR(E999="",E999="!!!"),"",IF(NOT(ISNA(VLOOKUP(E999,E$1:E998,1,FALSE()))),"OLD",IF(AND(E999&lt;&gt;"",E999&lt;&gt;"!!!"),"NEW","")))</f>
        <v> </v>
      </c>
      <c r="G999" s="23" t="str">
        <f>IF(OR(E999="",E999="!!!"),"",IF(OR(J999=0,AND(J999=1,K999=1),AND(J999=1,I999="SBJ"),AND(J999=1,I999=0)),"?IN_FOCUS",IF(J999&lt;=2,"?ACTIVATED",IF(J999&lt;&gt;"","?FAMILIAR",IF(F999="NEW",IF(ISNA(VLOOKUP(E999,#REF!,1,FALSE())),"?TYPE_IDENTIFIABLE","?REFERENTIAL"),"_")))))</f>
        <v> </v>
      </c>
      <c r="H999" s="24" t="str">
        <f>IF(J999&lt;&gt;1,"",IF(I999="SBJ","CB","?"))</f>
        <v> </v>
      </c>
      <c r="I999" s="25" t="str">
        <f>IF(OR(E999="",E999="!!!",F999="NEW"),"",INDEX(B998:B$2,-1+SUMPRODUCT(MAX(ROW(E998:E$2)*(E999=E998:E$2)))))</f>
        <v> </v>
      </c>
      <c r="J999" s="25" t="str">
        <f>IF(OR(E999="",E999="!!!",F999="NEW"),"",COUNTBLANK(OFFSET(A$1,,,SUMPRODUCT(MAX(ROW(E$2:E999)*(E999=E$2:E999)))))-COUNTBLANK(OFFSET(A$1,,,SUMPRODUCT(MAX(ROW(E$1:E998)*(E2=E$1:E998))))))</f>
        <v> </v>
      </c>
      <c r="K999" s="25" t="str">
        <f>IF(OR(E999="",E999="!!!",F999="NEW"),"",INDEX(J$1:J998,SUMPRODUCT(MAX(ROW(E$1:E998)*(E999=E$1:E998)))))</f>
        <v> </v>
      </c>
      <c r="L999" s="26"/>
    </row>
    <row r="1000" spans="1:12">
      <c r="A1000" s="20" t="s">
        <v>378</v>
      </c>
      <c r="E1000" s="21">
        <f>IF(D1000="?OLD","!!!","")</f>
        <v/>
      </c>
      <c r="F1000" s="22" t="str">
        <f>IF(OR(E1000="",E1000="!!!"),"",IF(NOT(ISNA(VLOOKUP(E1000,E$1:E999,1,FALSE()))),"OLD",IF(AND(E1000&lt;&gt;"",E1000&lt;&gt;"!!!"),"NEW","")))</f>
        <v> </v>
      </c>
      <c r="G1000" s="23" t="str">
        <f>IF(OR(E1000="",E1000="!!!"),"",IF(OR(J1000=0,AND(J1000=1,K1000=1),AND(J1000=1,I1000="SBJ"),AND(J1000=1,I1000=0)),"?IN_FOCUS",IF(J1000&lt;=2,"?ACTIVATED",IF(J1000&lt;&gt;"","?FAMILIAR",IF(F1000="NEW",IF(ISNA(VLOOKUP(E1000,#REF!,1,FALSE())),"?TYPE_IDENTIFIABLE","?REFERENTIAL"),"_")))))</f>
        <v> </v>
      </c>
      <c r="H1000" s="24" t="str">
        <f>IF(J1000&lt;&gt;1,"",IF(I1000="SBJ","CB","?"))</f>
        <v> </v>
      </c>
      <c r="I1000" s="25" t="str">
        <f>IF(OR(E1000="",E1000="!!!",F1000="NEW"),"",INDEX(B999:B$2,-1+SUMPRODUCT(MAX(ROW(E999:E$2)*(E1000=E999:E$2)))))</f>
        <v> </v>
      </c>
      <c r="J1000" s="25" t="str">
        <f>IF(OR(E1000="",E1000="!!!",F1000="NEW"),"",COUNTBLANK(OFFSET(A$1,,,SUMPRODUCT(MAX(ROW(E$2:E1000)*(E1000=E$2:E1000)))))-COUNTBLANK(OFFSET(A$1,,,SUMPRODUCT(MAX(ROW(E$1:E999)*(E2=E$1:E999))))))</f>
        <v> </v>
      </c>
      <c r="K1000" s="25" t="str">
        <f>IF(OR(E1000="",E1000="!!!",F1000="NEW"),"",INDEX(J$1:J999,SUMPRODUCT(MAX(ROW(E$1:E999)*(E1000=E$1:E999)))))</f>
        <v> </v>
      </c>
      <c r="L1000" s="26"/>
    </row>
    <row r="1001" spans="1:12">
      <c r="A1001" s="20" t="s">
        <v>692</v>
      </c>
      <c r="B1001" s="27" t="s">
        <v>251</v>
      </c>
      <c r="C1001" s="27" t="s">
        <v>281</v>
      </c>
      <c r="E1001" s="21">
        <f>IF(D1001="?OLD","!!!","")</f>
        <v/>
      </c>
      <c r="F1001" s="22" t="str">
        <f>IF(OR(E1001="",E1001="!!!"),"",IF(NOT(ISNA(VLOOKUP(E1001,E$1:E1000,1,FALSE()))),"OLD",IF(AND(E1001&lt;&gt;"",E1001&lt;&gt;"!!!"),"NEW","")))</f>
        <v> </v>
      </c>
      <c r="G1001" s="23" t="str">
        <f>IF(OR(E1001="",E1001="!!!"),"",IF(OR(J1001=0,AND(J1001=1,K1001=1),AND(J1001=1,I1001="SBJ"),AND(J1001=1,I1001=0)),"?IN_FOCUS",IF(J1001&lt;=2,"?ACTIVATED",IF(J1001&lt;&gt;"","?FAMILIAR",IF(F1001="NEW",IF(ISNA(VLOOKUP(E1001,#REF!,1,FALSE())),"?TYPE_IDENTIFIABLE","?REFERENTIAL"),"_")))))</f>
        <v> </v>
      </c>
      <c r="H1001" s="24" t="str">
        <f>IF(J1001&lt;&gt;1,"",IF(I1001="SBJ","CB","?"))</f>
        <v> </v>
      </c>
      <c r="I1001" s="25" t="str">
        <f>IF(OR(E1001="",E1001="!!!",F1001="NEW"),"",INDEX(B1000:B$2,-1+SUMPRODUCT(MAX(ROW(E1000:E$2)*(E1001=E1000:E$2)))))</f>
        <v> </v>
      </c>
      <c r="J1001" s="25" t="str">
        <f>IF(OR(E1001="",E1001="!!!",F1001="NEW"),"",COUNTBLANK(OFFSET(A$1,,,SUMPRODUCT(MAX(ROW(E$2:E1001)*(E1001=E$2:E1001)))))-COUNTBLANK(OFFSET(A$1,,,SUMPRODUCT(MAX(ROW(E$1:E1000)*(E2=E$1:E1000))))))</f>
        <v> </v>
      </c>
      <c r="K1001" s="25" t="str">
        <f>IF(OR(E1001="",E1001="!!!",F1001="NEW"),"",INDEX(J$1:J1000,SUMPRODUCT(MAX(ROW(E$1:E1000)*(E1001=E$1:E1000)))))</f>
        <v> </v>
      </c>
      <c r="L1001" s="26"/>
    </row>
    <row r="1002" spans="1:12">
      <c r="A1002" s="20" t="s">
        <v>420</v>
      </c>
      <c r="E1002" s="21">
        <f>IF(D1002="?OLD","!!!","")</f>
        <v/>
      </c>
      <c r="F1002" s="22" t="str">
        <f>IF(OR(E1002="",E1002="!!!"),"",IF(NOT(ISNA(VLOOKUP(E1002,E$1:E1001,1,FALSE()))),"OLD",IF(AND(E1002&lt;&gt;"",E1002&lt;&gt;"!!!"),"NEW","")))</f>
        <v> </v>
      </c>
      <c r="G1002" s="23" t="str">
        <f>IF(OR(E1002="",E1002="!!!"),"",IF(OR(J1002=0,AND(J1002=1,K1002=1),AND(J1002=1,I1002="SBJ"),AND(J1002=1,I1002=0)),"?IN_FOCUS",IF(J1002&lt;=2,"?ACTIVATED",IF(J1002&lt;&gt;"","?FAMILIAR",IF(F1002="NEW",IF(ISNA(VLOOKUP(E1002,#REF!,1,FALSE())),"?TYPE_IDENTIFIABLE","?REFERENTIAL"),"_")))))</f>
        <v> </v>
      </c>
      <c r="H1002" s="24" t="str">
        <f>IF(J1002&lt;&gt;1,"",IF(I1002="SBJ","CB","?"))</f>
        <v> </v>
      </c>
      <c r="I1002" s="25" t="str">
        <f>IF(OR(E1002="",E1002="!!!",F1002="NEW"),"",INDEX(B1001:B$2,-1+SUMPRODUCT(MAX(ROW(E1001:E$2)*(E1002=E1001:E$2)))))</f>
        <v> </v>
      </c>
      <c r="J1002" s="25" t="str">
        <f>IF(OR(E1002="",E1002="!!!",F1002="NEW"),"",COUNTBLANK(OFFSET(A$1,,,SUMPRODUCT(MAX(ROW(E$2:E1002)*(E1002=E$2:E1002)))))-COUNTBLANK(OFFSET(A$1,,,SUMPRODUCT(MAX(ROW(E$1:E1001)*(E2=E$1:E1001))))))</f>
        <v> </v>
      </c>
      <c r="K1002" s="25" t="str">
        <f>IF(OR(E1002="",E1002="!!!",F1002="NEW"),"",INDEX(J$1:J1001,SUMPRODUCT(MAX(ROW(E$1:E1001)*(E1002=E$1:E1001)))))</f>
        <v> </v>
      </c>
      <c r="L1002" s="26"/>
    </row>
    <row r="1003" spans="1:12">
      <c r="A1003" s="20" t="s">
        <v>693</v>
      </c>
      <c r="B1003" s="27" t="s">
        <v>295</v>
      </c>
      <c r="C1003" s="27" t="s">
        <v>281</v>
      </c>
      <c r="E1003" s="21">
        <f>IF(D1003="?OLD","!!!","")</f>
        <v/>
      </c>
      <c r="F1003" s="22" t="str">
        <f>IF(OR(E1003="",E1003="!!!"),"",IF(NOT(ISNA(VLOOKUP(E1003,E$1:E1002,1,FALSE()))),"OLD",IF(AND(E1003&lt;&gt;"",E1003&lt;&gt;"!!!"),"NEW","")))</f>
        <v> </v>
      </c>
      <c r="G1003" s="23" t="str">
        <f>IF(OR(E1003="",E1003="!!!"),"",IF(OR(J1003=0,AND(J1003=1,K1003=1),AND(J1003=1,I1003="SBJ"),AND(J1003=1,I1003=0)),"?IN_FOCUS",IF(J1003&lt;=2,"?ACTIVATED",IF(J1003&lt;&gt;"","?FAMILIAR",IF(F1003="NEW",IF(ISNA(VLOOKUP(E1003,#REF!,1,FALSE())),"?TYPE_IDENTIFIABLE","?REFERENTIAL"),"_")))))</f>
        <v> </v>
      </c>
      <c r="H1003" s="24" t="str">
        <f>IF(J1003&lt;&gt;1,"",IF(I1003="SBJ","CB","?"))</f>
        <v> </v>
      </c>
      <c r="I1003" s="25" t="str">
        <f>IF(OR(E1003="",E1003="!!!",F1003="NEW"),"",INDEX(B1002:B$2,-1+SUMPRODUCT(MAX(ROW(E1002:E$2)*(E1003=E1002:E$2)))))</f>
        <v> </v>
      </c>
      <c r="J1003" s="25" t="str">
        <f>IF(OR(E1003="",E1003="!!!",F1003="NEW"),"",COUNTBLANK(OFFSET(A$1,,,SUMPRODUCT(MAX(ROW(E$2:E1003)*(E1003=E$2:E1003)))))-COUNTBLANK(OFFSET(A$1,,,SUMPRODUCT(MAX(ROW(E$1:E1002)*(E2=E$1:E1002))))))</f>
        <v> </v>
      </c>
      <c r="K1003" s="25" t="str">
        <f>IF(OR(E1003="",E1003="!!!",F1003="NEW"),"",INDEX(J$1:J1002,SUMPRODUCT(MAX(ROW(E$1:E1002)*(E1003=E$1:E1002)))))</f>
        <v> </v>
      </c>
      <c r="L1003" s="26"/>
    </row>
    <row r="1004" spans="1:12">
      <c r="A1004" s="20" t="s">
        <v>316</v>
      </c>
      <c r="E1004" s="21">
        <f>IF(D1004="?OLD","!!!","")</f>
        <v/>
      </c>
      <c r="F1004" s="22" t="str">
        <f>IF(OR(E1004="",E1004="!!!"),"",IF(NOT(ISNA(VLOOKUP(E1004,E$1:E1003,1,FALSE()))),"OLD",IF(AND(E1004&lt;&gt;"",E1004&lt;&gt;"!!!"),"NEW","")))</f>
        <v> </v>
      </c>
      <c r="G1004" s="23" t="str">
        <f>IF(OR(E1004="",E1004="!!!"),"",IF(OR(J1004=0,AND(J1004=1,K1004=1),AND(J1004=1,I1004="SBJ"),AND(J1004=1,I1004=0)),"?IN_FOCUS",IF(J1004&lt;=2,"?ACTIVATED",IF(J1004&lt;&gt;"","?FAMILIAR",IF(F1004="NEW",IF(ISNA(VLOOKUP(E1004,#REF!,1,FALSE())),"?TYPE_IDENTIFIABLE","?REFERENTIAL"),"_")))))</f>
        <v> </v>
      </c>
      <c r="H1004" s="24" t="str">
        <f>IF(J1004&lt;&gt;1,"",IF(I1004="SBJ","CB","?"))</f>
        <v> </v>
      </c>
      <c r="I1004" s="25" t="str">
        <f>IF(OR(E1004="",E1004="!!!",F1004="NEW"),"",INDEX(B1003:B$2,-1+SUMPRODUCT(MAX(ROW(E1003:E$2)*(E1004=E1003:E$2)))))</f>
        <v> </v>
      </c>
      <c r="J1004" s="25" t="str">
        <f>IF(OR(E1004="",E1004="!!!",F1004="NEW"),"",COUNTBLANK(OFFSET(A$1,,,SUMPRODUCT(MAX(ROW(E$2:E1004)*(E1004=E$2:E1004)))))-COUNTBLANK(OFFSET(A$1,,,SUMPRODUCT(MAX(ROW(E$1:E1003)*(E2=E$1:E1003))))))</f>
        <v> </v>
      </c>
      <c r="K1004" s="25" t="str">
        <f>IF(OR(E1004="",E1004="!!!",F1004="NEW"),"",INDEX(J$1:J1003,SUMPRODUCT(MAX(ROW(E$1:E1003)*(E1004=E$1:E1003)))))</f>
        <v> </v>
      </c>
      <c r="L1004" s="26"/>
    </row>
    <row r="1005" spans="1:12">
      <c r="A1005" s="20" t="s">
        <v>570</v>
      </c>
      <c r="E1005" s="21">
        <f>IF(D1005="?OLD","!!!","")</f>
        <v/>
      </c>
      <c r="F1005" s="22" t="str">
        <f>IF(OR(E1005="",E1005="!!!"),"",IF(NOT(ISNA(VLOOKUP(E1005,E$1:E1004,1,FALSE()))),"OLD",IF(AND(E1005&lt;&gt;"",E1005&lt;&gt;"!!!"),"NEW","")))</f>
        <v> </v>
      </c>
      <c r="G1005" s="23" t="str">
        <f>IF(OR(E1005="",E1005="!!!"),"",IF(OR(J1005=0,AND(J1005=1,K1005=1),AND(J1005=1,I1005="SBJ"),AND(J1005=1,I1005=0)),"?IN_FOCUS",IF(J1005&lt;=2,"?ACTIVATED",IF(J1005&lt;&gt;"","?FAMILIAR",IF(F1005="NEW",IF(ISNA(VLOOKUP(E1005,#REF!,1,FALSE())),"?TYPE_IDENTIFIABLE","?REFERENTIAL"),"_")))))</f>
        <v> </v>
      </c>
      <c r="H1005" s="24" t="str">
        <f>IF(J1005&lt;&gt;1,"",IF(I1005="SBJ","CB","?"))</f>
        <v> </v>
      </c>
      <c r="I1005" s="25" t="str">
        <f>IF(OR(E1005="",E1005="!!!",F1005="NEW"),"",INDEX(B1004:B$2,-1+SUMPRODUCT(MAX(ROW(E1004:E$2)*(E1005=E1004:E$2)))))</f>
        <v> </v>
      </c>
      <c r="J1005" s="25" t="str">
        <f>IF(OR(E1005="",E1005="!!!",F1005="NEW"),"",COUNTBLANK(OFFSET(A$1,,,SUMPRODUCT(MAX(ROW(E$2:E1005)*(E1005=E$2:E1005)))))-COUNTBLANK(OFFSET(A$1,,,SUMPRODUCT(MAX(ROW(E$1:E1004)*(E2=E$1:E1004))))))</f>
        <v> </v>
      </c>
      <c r="K1005" s="25" t="str">
        <f>IF(OR(E1005="",E1005="!!!",F1005="NEW"),"",INDEX(J$1:J1004,SUMPRODUCT(MAX(ROW(E$1:E1004)*(E1005=E$1:E1004)))))</f>
        <v> </v>
      </c>
      <c r="L1005" s="26"/>
    </row>
    <row r="1006" spans="1:12">
      <c r="A1006" s="20" t="s">
        <v>668</v>
      </c>
      <c r="E1006" s="21">
        <f>IF(D1006="?OLD","!!!","")</f>
        <v/>
      </c>
      <c r="F1006" s="22" t="str">
        <f>IF(OR(E1006="",E1006="!!!"),"",IF(NOT(ISNA(VLOOKUP(E1006,E$1:E1005,1,FALSE()))),"OLD",IF(AND(E1006&lt;&gt;"",E1006&lt;&gt;"!!!"),"NEW","")))</f>
        <v> </v>
      </c>
      <c r="G1006" s="23" t="str">
        <f>IF(OR(E1006="",E1006="!!!"),"",IF(OR(J1006=0,AND(J1006=1,K1006=1),AND(J1006=1,I1006="SBJ"),AND(J1006=1,I1006=0)),"?IN_FOCUS",IF(J1006&lt;=2,"?ACTIVATED",IF(J1006&lt;&gt;"","?FAMILIAR",IF(F1006="NEW",IF(ISNA(VLOOKUP(E1006,#REF!,1,FALSE())),"?TYPE_IDENTIFIABLE","?REFERENTIAL"),"_")))))</f>
        <v> </v>
      </c>
      <c r="H1006" s="24" t="str">
        <f>IF(J1006&lt;&gt;1,"",IF(I1006="SBJ","CB","?"))</f>
        <v> </v>
      </c>
      <c r="I1006" s="25" t="str">
        <f>IF(OR(E1006="",E1006="!!!",F1006="NEW"),"",INDEX(B1005:B$2,-1+SUMPRODUCT(MAX(ROW(E1005:E$2)*(E1006=E1005:E$2)))))</f>
        <v> </v>
      </c>
      <c r="J1006" s="25" t="str">
        <f>IF(OR(E1006="",E1006="!!!",F1006="NEW"),"",COUNTBLANK(OFFSET(A$1,,,SUMPRODUCT(MAX(ROW(E$2:E1006)*(E1006=E$2:E1006)))))-COUNTBLANK(OFFSET(A$1,,,SUMPRODUCT(MAX(ROW(E$1:E1005)*(E2=E$1:E1005))))))</f>
        <v> </v>
      </c>
      <c r="K1006" s="25" t="str">
        <f>IF(OR(E1006="",E1006="!!!",F1006="NEW"),"",INDEX(J$1:J1005,SUMPRODUCT(MAX(ROW(E$1:E1005)*(E1006=E$1:E1005)))))</f>
        <v> </v>
      </c>
      <c r="L1006" s="26"/>
    </row>
    <row r="1007" spans="1:12">
      <c r="A1007" s="20" t="s">
        <v>333</v>
      </c>
      <c r="E1007" s="21">
        <f>IF(D1007="?OLD","!!!","")</f>
        <v/>
      </c>
      <c r="F1007" s="22" t="str">
        <f>IF(OR(E1007="",E1007="!!!"),"",IF(NOT(ISNA(VLOOKUP(E1007,E$1:E1006,1,FALSE()))),"OLD",IF(AND(E1007&lt;&gt;"",E1007&lt;&gt;"!!!"),"NEW","")))</f>
        <v> </v>
      </c>
      <c r="G1007" s="23" t="str">
        <f>IF(OR(E1007="",E1007="!!!"),"",IF(OR(J1007=0,AND(J1007=1,K1007=1),AND(J1007=1,I1007="SBJ"),AND(J1007=1,I1007=0)),"?IN_FOCUS",IF(J1007&lt;=2,"?ACTIVATED",IF(J1007&lt;&gt;"","?FAMILIAR",IF(F1007="NEW",IF(ISNA(VLOOKUP(E1007,#REF!,1,FALSE())),"?TYPE_IDENTIFIABLE","?REFERENTIAL"),"_")))))</f>
        <v> </v>
      </c>
      <c r="H1007" s="24" t="str">
        <f>IF(J1007&lt;&gt;1,"",IF(I1007="SBJ","CB","?"))</f>
        <v> </v>
      </c>
      <c r="I1007" s="25" t="str">
        <f>IF(OR(E1007="",E1007="!!!",F1007="NEW"),"",INDEX(B1006:B$2,-1+SUMPRODUCT(MAX(ROW(E1006:E$2)*(E1007=E1006:E$2)))))</f>
        <v> </v>
      </c>
      <c r="J1007" s="25" t="str">
        <f>IF(OR(E1007="",E1007="!!!",F1007="NEW"),"",COUNTBLANK(OFFSET(A$1,,,SUMPRODUCT(MAX(ROW(E$2:E1007)*(E1007=E$2:E1007)))))-COUNTBLANK(OFFSET(A$1,,,SUMPRODUCT(MAX(ROW(E$1:E1006)*(E2=E$1:E1006))))))</f>
        <v> </v>
      </c>
      <c r="K1007" s="25" t="str">
        <f>IF(OR(E1007="",E1007="!!!",F1007="NEW"),"",INDEX(J$1:J1006,SUMPRODUCT(MAX(ROW(E$1:E1006)*(E1007=E$1:E1006)))))</f>
        <v> </v>
      </c>
      <c r="L1007" s="26"/>
    </row>
    <row r="1008" spans="1:12">
      <c r="A1008" s="20" t="s">
        <v>349</v>
      </c>
      <c r="E1008" s="21">
        <f>IF(D1008="?OLD","!!!","")</f>
        <v/>
      </c>
      <c r="F1008" s="22" t="str">
        <f>IF(OR(E1008="",E1008="!!!"),"",IF(NOT(ISNA(VLOOKUP(E1008,E$1:E1007,1,FALSE()))),"OLD",IF(AND(E1008&lt;&gt;"",E1008&lt;&gt;"!!!"),"NEW","")))</f>
        <v> </v>
      </c>
      <c r="G1008" s="23" t="str">
        <f>IF(OR(E1008="",E1008="!!!"),"",IF(OR(J1008=0,AND(J1008=1,K1008=1),AND(J1008=1,I1008="SBJ"),AND(J1008=1,I1008=0)),"?IN_FOCUS",IF(J1008&lt;=2,"?ACTIVATED",IF(J1008&lt;&gt;"","?FAMILIAR",IF(F1008="NEW",IF(ISNA(VLOOKUP(E1008,#REF!,1,FALSE())),"?TYPE_IDENTIFIABLE","?REFERENTIAL"),"_")))))</f>
        <v> </v>
      </c>
      <c r="H1008" s="24" t="str">
        <f>IF(J1008&lt;&gt;1,"",IF(I1008="SBJ","CB","?"))</f>
        <v> </v>
      </c>
      <c r="I1008" s="25" t="str">
        <f>IF(OR(E1008="",E1008="!!!",F1008="NEW"),"",INDEX(B1007:B$2,-1+SUMPRODUCT(MAX(ROW(E1007:E$2)*(E1008=E1007:E$2)))))</f>
        <v> </v>
      </c>
      <c r="J1008" s="25" t="str">
        <f>IF(OR(E1008="",E1008="!!!",F1008="NEW"),"",COUNTBLANK(OFFSET(A$1,,,SUMPRODUCT(MAX(ROW(E$2:E1008)*(E1008=E$2:E1008)))))-COUNTBLANK(OFFSET(A$1,,,SUMPRODUCT(MAX(ROW(E$1:E1007)*(E2=E$1:E1007))))))</f>
        <v> </v>
      </c>
      <c r="K1008" s="25" t="str">
        <f>IF(OR(E1008="",E1008="!!!",F1008="NEW"),"",INDEX(J$1:J1007,SUMPRODUCT(MAX(ROW(E$1:E1007)*(E1008=E$1:E1007)))))</f>
        <v> </v>
      </c>
      <c r="L1008" s="26"/>
    </row>
    <row r="1009" spans="1:12">
      <c r="A1009" s="20" t="s">
        <v>694</v>
      </c>
      <c r="E1009" s="21">
        <f>IF(D1009="?OLD","!!!","")</f>
        <v/>
      </c>
      <c r="F1009" s="22" t="str">
        <f>IF(OR(E1009="",E1009="!!!"),"",IF(NOT(ISNA(VLOOKUP(E1009,E$1:E1008,1,FALSE()))),"OLD",IF(AND(E1009&lt;&gt;"",E1009&lt;&gt;"!!!"),"NEW","")))</f>
        <v> </v>
      </c>
      <c r="G1009" s="23" t="str">
        <f>IF(OR(E1009="",E1009="!!!"),"",IF(OR(J1009=0,AND(J1009=1,K1009=1),AND(J1009=1,I1009="SBJ"),AND(J1009=1,I1009=0)),"?IN_FOCUS",IF(J1009&lt;=2,"?ACTIVATED",IF(J1009&lt;&gt;"","?FAMILIAR",IF(F1009="NEW",IF(ISNA(VLOOKUP(E1009,#REF!,1,FALSE())),"?TYPE_IDENTIFIABLE","?REFERENTIAL"),"_")))))</f>
        <v> </v>
      </c>
      <c r="H1009" s="24" t="str">
        <f>IF(J1009&lt;&gt;1,"",IF(I1009="SBJ","CB","?"))</f>
        <v> </v>
      </c>
      <c r="I1009" s="25" t="str">
        <f>IF(OR(E1009="",E1009="!!!",F1009="NEW"),"",INDEX(B1008:B$2,-1+SUMPRODUCT(MAX(ROW(E1008:E$2)*(E1009=E1008:E$2)))))</f>
        <v> </v>
      </c>
      <c r="J1009" s="25" t="str">
        <f>IF(OR(E1009="",E1009="!!!",F1009="NEW"),"",COUNTBLANK(OFFSET(A$1,,,SUMPRODUCT(MAX(ROW(E$2:E1009)*(E1009=E$2:E1009)))))-COUNTBLANK(OFFSET(A$1,,,SUMPRODUCT(MAX(ROW(E$1:E1008)*(E2=E$1:E1008))))))</f>
        <v> </v>
      </c>
      <c r="K1009" s="25" t="str">
        <f>IF(OR(E1009="",E1009="!!!",F1009="NEW"),"",INDEX(J$1:J1008,SUMPRODUCT(MAX(ROW(E$1:E1008)*(E1009=E$1:E1008)))))</f>
        <v> </v>
      </c>
      <c r="L1009" s="26"/>
    </row>
    <row r="1010" spans="1:12">
      <c r="A1010" s="20" t="s">
        <v>305</v>
      </c>
      <c r="E1010" s="21">
        <f>IF(D1010="?OLD","!!!","")</f>
        <v/>
      </c>
      <c r="F1010" s="22" t="str">
        <f>IF(OR(E1010="",E1010="!!!"),"",IF(NOT(ISNA(VLOOKUP(E1010,E$1:E1009,1,FALSE()))),"OLD",IF(AND(E1010&lt;&gt;"",E1010&lt;&gt;"!!!"),"NEW","")))</f>
        <v> </v>
      </c>
      <c r="G1010" s="23" t="str">
        <f>IF(OR(E1010="",E1010="!!!"),"",IF(OR(J1010=0,AND(J1010=1,K1010=1),AND(J1010=1,I1010="SBJ"),AND(J1010=1,I1010=0)),"?IN_FOCUS",IF(J1010&lt;=2,"?ACTIVATED",IF(J1010&lt;&gt;"","?FAMILIAR",IF(F1010="NEW",IF(ISNA(VLOOKUP(E1010,#REF!,1,FALSE())),"?TYPE_IDENTIFIABLE","?REFERENTIAL"),"_")))))</f>
        <v> </v>
      </c>
      <c r="H1010" s="24" t="str">
        <f>IF(J1010&lt;&gt;1,"",IF(I1010="SBJ","CB","?"))</f>
        <v> </v>
      </c>
      <c r="I1010" s="25" t="str">
        <f>IF(OR(E1010="",E1010="!!!",F1010="NEW"),"",INDEX(B1009:B$2,-1+SUMPRODUCT(MAX(ROW(E1009:E$2)*(E1010=E1009:E$2)))))</f>
        <v> </v>
      </c>
      <c r="J1010" s="25" t="str">
        <f>IF(OR(E1010="",E1010="!!!",F1010="NEW"),"",COUNTBLANK(OFFSET(A$1,,,SUMPRODUCT(MAX(ROW(E$2:E1010)*(E1010=E$2:E1010)))))-COUNTBLANK(OFFSET(A$1,,,SUMPRODUCT(MAX(ROW(E$1:E1009)*(E2=E$1:E1009))))))</f>
        <v> </v>
      </c>
      <c r="K1010" s="25" t="str">
        <f>IF(OR(E1010="",E1010="!!!",F1010="NEW"),"",INDEX(J$1:J1009,SUMPRODUCT(MAX(ROW(E$1:E1009)*(E1010=E$1:E1009)))))</f>
        <v> </v>
      </c>
      <c r="L1010" s="26"/>
    </row>
    <row r="1011" spans="1:12">
      <c r="A1011" s="20" t="s">
        <v>258</v>
      </c>
      <c r="E1011" s="21">
        <f>IF(D1011="?OLD","!!!","")</f>
        <v/>
      </c>
      <c r="F1011" s="22" t="str">
        <f>IF(OR(E1011="",E1011="!!!"),"",IF(NOT(ISNA(VLOOKUP(E1011,E$1:E1010,1,FALSE()))),"OLD",IF(AND(E1011&lt;&gt;"",E1011&lt;&gt;"!!!"),"NEW","")))</f>
        <v> </v>
      </c>
      <c r="G1011" s="23" t="str">
        <f>IF(OR(E1011="",E1011="!!!"),"",IF(OR(J1011=0,AND(J1011=1,K1011=1),AND(J1011=1,I1011="SBJ"),AND(J1011=1,I1011=0)),"?IN_FOCUS",IF(J1011&lt;=2,"?ACTIVATED",IF(J1011&lt;&gt;"","?FAMILIAR",IF(F1011="NEW",IF(ISNA(VLOOKUP(E1011,#REF!,1,FALSE())),"?TYPE_IDENTIFIABLE","?REFERENTIAL"),"_")))))</f>
        <v> </v>
      </c>
      <c r="H1011" s="24" t="str">
        <f>IF(J1011&lt;&gt;1,"",IF(I1011="SBJ","CB","?"))</f>
        <v> </v>
      </c>
      <c r="I1011" s="25" t="str">
        <f>IF(OR(E1011="",E1011="!!!",F1011="NEW"),"",INDEX(B1010:B$2,-1+SUMPRODUCT(MAX(ROW(E1010:E$2)*(E1011=E1010:E$2)))))</f>
        <v> </v>
      </c>
      <c r="J1011" s="25" t="str">
        <f>IF(OR(E1011="",E1011="!!!",F1011="NEW"),"",COUNTBLANK(OFFSET(A$1,,,SUMPRODUCT(MAX(ROW(E$2:E1011)*(E1011=E$2:E1011)))))-COUNTBLANK(OFFSET(A$1,,,SUMPRODUCT(MAX(ROW(E$1:E1010)*(E2=E$1:E1010))))))</f>
        <v> </v>
      </c>
      <c r="K1011" s="25" t="str">
        <f>IF(OR(E1011="",E1011="!!!",F1011="NEW"),"",INDEX(J$1:J1010,SUMPRODUCT(MAX(ROW(E$1:E1010)*(E1011=E$1:E1010)))))</f>
        <v> </v>
      </c>
      <c r="L1011" s="26"/>
    </row>
    <row r="1012" spans="1:12">
      <c r="A1012" s="20" t="s">
        <v>288</v>
      </c>
      <c r="E1012" s="21">
        <f>IF(D1012="?OLD","!!!","")</f>
        <v/>
      </c>
      <c r="F1012" s="22" t="str">
        <f>IF(OR(E1012="",E1012="!!!"),"",IF(NOT(ISNA(VLOOKUP(E1012,E$1:E1011,1,FALSE()))),"OLD",IF(AND(E1012&lt;&gt;"",E1012&lt;&gt;"!!!"),"NEW","")))</f>
        <v> </v>
      </c>
      <c r="G1012" s="23" t="str">
        <f>IF(OR(E1012="",E1012="!!!"),"",IF(OR(J1012=0,AND(J1012=1,K1012=1),AND(J1012=1,I1012="SBJ"),AND(J1012=1,I1012=0)),"?IN_FOCUS",IF(J1012&lt;=2,"?ACTIVATED",IF(J1012&lt;&gt;"","?FAMILIAR",IF(F1012="NEW",IF(ISNA(VLOOKUP(E1012,#REF!,1,FALSE())),"?TYPE_IDENTIFIABLE","?REFERENTIAL"),"_")))))</f>
        <v> </v>
      </c>
      <c r="H1012" s="24" t="str">
        <f>IF(J1012&lt;&gt;1,"",IF(I1012="SBJ","CB","?"))</f>
        <v> </v>
      </c>
      <c r="I1012" s="25" t="str">
        <f>IF(OR(E1012="",E1012="!!!",F1012="NEW"),"",INDEX(B1011:B$2,-1+SUMPRODUCT(MAX(ROW(E1011:E$2)*(E1012=E1011:E$2)))))</f>
        <v> </v>
      </c>
      <c r="J1012" s="25" t="str">
        <f>IF(OR(E1012="",E1012="!!!",F1012="NEW"),"",COUNTBLANK(OFFSET(A$1,,,SUMPRODUCT(MAX(ROW(E$2:E1012)*(E1012=E$2:E1012)))))-COUNTBLANK(OFFSET(A$1,,,SUMPRODUCT(MAX(ROW(E$1:E1011)*(E2=E$1:E1011))))))</f>
        <v> </v>
      </c>
      <c r="K1012" s="25" t="str">
        <f>IF(OR(E1012="",E1012="!!!",F1012="NEW"),"",INDEX(J$1:J1011,SUMPRODUCT(MAX(ROW(E$1:E1011)*(E1012=E$1:E1011)))))</f>
        <v> </v>
      </c>
      <c r="L1012" s="26"/>
    </row>
    <row r="1013" spans="1:12">
      <c r="A1013" s="20" t="s">
        <v>258</v>
      </c>
      <c r="E1013" s="21">
        <f>IF(D1013="?OLD","!!!","")</f>
        <v/>
      </c>
      <c r="F1013" s="22" t="str">
        <f>IF(OR(E1013="",E1013="!!!"),"",IF(NOT(ISNA(VLOOKUP(E1013,E$1:E1012,1,FALSE()))),"OLD",IF(AND(E1013&lt;&gt;"",E1013&lt;&gt;"!!!"),"NEW","")))</f>
        <v> </v>
      </c>
      <c r="G1013" s="23" t="str">
        <f>IF(OR(E1013="",E1013="!!!"),"",IF(OR(J1013=0,AND(J1013=1,K1013=1),AND(J1013=1,I1013="SBJ"),AND(J1013=1,I1013=0)),"?IN_FOCUS",IF(J1013&lt;=2,"?ACTIVATED",IF(J1013&lt;&gt;"","?FAMILIAR",IF(F1013="NEW",IF(ISNA(VLOOKUP(E1013,#REF!,1,FALSE())),"?TYPE_IDENTIFIABLE","?REFERENTIAL"),"_")))))</f>
        <v> </v>
      </c>
      <c r="H1013" s="24" t="str">
        <f>IF(J1013&lt;&gt;1,"",IF(I1013="SBJ","CB","?"))</f>
        <v> </v>
      </c>
      <c r="I1013" s="25" t="str">
        <f>IF(OR(E1013="",E1013="!!!",F1013="NEW"),"",INDEX(B1012:B$2,-1+SUMPRODUCT(MAX(ROW(E1012:E$2)*(E1013=E1012:E$2)))))</f>
        <v> </v>
      </c>
      <c r="J1013" s="25" t="str">
        <f>IF(OR(E1013="",E1013="!!!",F1013="NEW"),"",COUNTBLANK(OFFSET(A$1,,,SUMPRODUCT(MAX(ROW(E$2:E1013)*(E1013=E$2:E1013)))))-COUNTBLANK(OFFSET(A$1,,,SUMPRODUCT(MAX(ROW(E$1:E1012)*(E2=E$1:E1012))))))</f>
        <v> </v>
      </c>
      <c r="K1013" s="25" t="str">
        <f>IF(OR(E1013="",E1013="!!!",F1013="NEW"),"",INDEX(J$1:J1012,SUMPRODUCT(MAX(ROW(E$1:E1012)*(E1013=E$1:E1012)))))</f>
        <v> </v>
      </c>
      <c r="L1013" s="26"/>
    </row>
    <row r="1014" spans="1:12">
      <c r="A1014" s="20" t="s">
        <v>260</v>
      </c>
      <c r="E1014" s="21">
        <f>IF(D1014="?OLD","!!!","")</f>
        <v/>
      </c>
      <c r="F1014" s="22" t="str">
        <f>IF(OR(E1014="",E1014="!!!"),"",IF(NOT(ISNA(VLOOKUP(E1014,E$1:E1013,1,FALSE()))),"OLD",IF(AND(E1014&lt;&gt;"",E1014&lt;&gt;"!!!"),"NEW","")))</f>
        <v> </v>
      </c>
      <c r="G1014" s="23" t="str">
        <f>IF(OR(E1014="",E1014="!!!"),"",IF(OR(J1014=0,AND(J1014=1,K1014=1),AND(J1014=1,I1014="SBJ"),AND(J1014=1,I1014=0)),"?IN_FOCUS",IF(J1014&lt;=2,"?ACTIVATED",IF(J1014&lt;&gt;"","?FAMILIAR",IF(F1014="NEW",IF(ISNA(VLOOKUP(E1014,#REF!,1,FALSE())),"?TYPE_IDENTIFIABLE","?REFERENTIAL"),"_")))))</f>
        <v> </v>
      </c>
      <c r="H1014" s="24" t="str">
        <f>IF(J1014&lt;&gt;1,"",IF(I1014="SBJ","CB","?"))</f>
        <v> </v>
      </c>
      <c r="I1014" s="25" t="str">
        <f>IF(OR(E1014="",E1014="!!!",F1014="NEW"),"",INDEX(B1013:B$2,-1+SUMPRODUCT(MAX(ROW(E1013:E$2)*(E1014=E1013:E$2)))))</f>
        <v> </v>
      </c>
      <c r="J1014" s="25" t="str">
        <f>IF(OR(E1014="",E1014="!!!",F1014="NEW"),"",COUNTBLANK(OFFSET(A$1,,,SUMPRODUCT(MAX(ROW(E$2:E1014)*(E1014=E$2:E1014)))))-COUNTBLANK(OFFSET(A$1,,,SUMPRODUCT(MAX(ROW(E$1:E1013)*(E2=E$1:E1013))))))</f>
        <v> </v>
      </c>
      <c r="K1014" s="25" t="str">
        <f>IF(OR(E1014="",E1014="!!!",F1014="NEW"),"",INDEX(J$1:J1013,SUMPRODUCT(MAX(ROW(E$1:E1013)*(E1014=E$1:E1013)))))</f>
        <v> </v>
      </c>
      <c r="L1014" s="26"/>
    </row>
    <row r="1015" spans="1:12">
      <c r="A1015" s="20" t="s">
        <v>661</v>
      </c>
      <c r="B1015" s="27" t="s">
        <v>295</v>
      </c>
      <c r="C1015" s="27" t="s">
        <v>256</v>
      </c>
      <c r="D1015" s="27" t="s">
        <v>244</v>
      </c>
      <c r="E1015" s="21">
        <f>IF(D1015="?OLD","!!!","")</f>
        <v/>
      </c>
      <c r="F1015" s="22" t="str">
        <f>IF(OR(E1015="",E1015="!!!"),"",IF(NOT(ISNA(VLOOKUP(E1015,E$1:E1014,1,FALSE()))),"OLD",IF(AND(E1015&lt;&gt;"",E1015&lt;&gt;"!!!"),"NEW","")))</f>
        <v> </v>
      </c>
      <c r="G1015" s="23" t="str">
        <f>IF(OR(E1015="",E1015="!!!"),"",IF(OR(J1015=0,AND(J1015=1,K1015=1),AND(J1015=1,I1015="SBJ"),AND(J1015=1,I1015=0)),"?IN_FOCUS",IF(J1015&lt;=2,"?ACTIVATED",IF(J1015&lt;&gt;"","?FAMILIAR",IF(F1015="NEW",IF(ISNA(VLOOKUP(E1015,#REF!,1,FALSE())),"?TYPE_IDENTIFIABLE","?REFERENTIAL"),"_")))))</f>
        <v> </v>
      </c>
      <c r="H1015" s="24" t="str">
        <f>IF(J1015&lt;&gt;1,"",IF(I1015="SBJ","CB","?"))</f>
        <v> </v>
      </c>
      <c r="I1015" s="25" t="str">
        <f>IF(OR(E1015="",E1015="!!!",F1015="NEW"),"",INDEX(B1014:B$2,-1+SUMPRODUCT(MAX(ROW(E1014:E$2)*(E1015=E1014:E$2)))))</f>
        <v> </v>
      </c>
      <c r="J1015" s="25" t="str">
        <f>IF(OR(E1015="",E1015="!!!",F1015="NEW"),"",COUNTBLANK(OFFSET(A$1,,,SUMPRODUCT(MAX(ROW(E$2:E1015)*(E1015=E$2:E1015)))))-COUNTBLANK(OFFSET(A$1,,,SUMPRODUCT(MAX(ROW(E$1:E1014)*(E2=E$1:E1014))))))</f>
        <v> </v>
      </c>
      <c r="K1015" s="25" t="str">
        <f>IF(OR(E1015="",E1015="!!!",F1015="NEW"),"",INDEX(J$1:J1014,SUMPRODUCT(MAX(ROW(E$1:E1014)*(E1015=E$1:E1014)))))</f>
        <v> </v>
      </c>
      <c r="L1015" s="26"/>
    </row>
    <row r="1016" spans="1:12">
      <c r="A1016" s="20" t="s">
        <v>362</v>
      </c>
      <c r="E1016" s="21">
        <f>IF(D1016="?OLD","!!!","")</f>
        <v/>
      </c>
      <c r="F1016" s="22" t="str">
        <f>IF(OR(E1016="",E1016="!!!"),"",IF(NOT(ISNA(VLOOKUP(E1016,E$1:E1015,1,FALSE()))),"OLD",IF(AND(E1016&lt;&gt;"",E1016&lt;&gt;"!!!"),"NEW","")))</f>
        <v> </v>
      </c>
      <c r="G1016" s="23" t="str">
        <f>IF(OR(E1016="",E1016="!!!"),"",IF(OR(J1016=0,AND(J1016=1,K1016=1),AND(J1016=1,I1016="SBJ"),AND(J1016=1,I1016=0)),"?IN_FOCUS",IF(J1016&lt;=2,"?ACTIVATED",IF(J1016&lt;&gt;"","?FAMILIAR",IF(F1016="NEW",IF(ISNA(VLOOKUP(E1016,#REF!,1,FALSE())),"?TYPE_IDENTIFIABLE","?REFERENTIAL"),"_")))))</f>
        <v> </v>
      </c>
      <c r="H1016" s="24" t="str">
        <f>IF(J1016&lt;&gt;1,"",IF(I1016="SBJ","CB","?"))</f>
        <v> </v>
      </c>
      <c r="I1016" s="25" t="str">
        <f>IF(OR(E1016="",E1016="!!!",F1016="NEW"),"",INDEX(B1015:B$2,-1+SUMPRODUCT(MAX(ROW(E1015:E$2)*(E1016=E1015:E$2)))))</f>
        <v> </v>
      </c>
      <c r="J1016" s="25" t="str">
        <f>IF(OR(E1016="",E1016="!!!",F1016="NEW"),"",COUNTBLANK(OFFSET(A$1,,,SUMPRODUCT(MAX(ROW(E$2:E1016)*(E1016=E$2:E1016)))))-COUNTBLANK(OFFSET(A$1,,,SUMPRODUCT(MAX(ROW(E$1:E1015)*(E2=E$1:E1015))))))</f>
        <v> </v>
      </c>
      <c r="K1016" s="25" t="str">
        <f>IF(OR(E1016="",E1016="!!!",F1016="NEW"),"",INDEX(J$1:J1015,SUMPRODUCT(MAX(ROW(E$1:E1015)*(E1016=E$1:E1015)))))</f>
        <v> </v>
      </c>
      <c r="L1016" s="26"/>
    </row>
    <row r="1017" spans="1:12">
      <c r="A1017" s="20" t="s">
        <v>299</v>
      </c>
      <c r="B1017" s="27" t="s">
        <v>301</v>
      </c>
      <c r="C1017" s="27" t="s">
        <v>267</v>
      </c>
      <c r="D1017" s="27" t="s">
        <v>244</v>
      </c>
      <c r="E1017" s="21">
        <f>IF(D1017="?OLD","!!!","")</f>
        <v/>
      </c>
      <c r="F1017" s="22" t="str">
        <f>IF(OR(E1017="",E1017="!!!"),"",IF(NOT(ISNA(VLOOKUP(E1017,E$1:E1016,1,FALSE()))),"OLD",IF(AND(E1017&lt;&gt;"",E1017&lt;&gt;"!!!"),"NEW","")))</f>
        <v> </v>
      </c>
      <c r="G1017" s="23" t="str">
        <f>IF(OR(E1017="",E1017="!!!"),"",IF(OR(J1017=0,AND(J1017=1,K1017=1),AND(J1017=1,I1017="SBJ"),AND(J1017=1,I1017=0)),"?IN_FOCUS",IF(J1017&lt;=2,"?ACTIVATED",IF(J1017&lt;&gt;"","?FAMILIAR",IF(F1017="NEW",IF(ISNA(VLOOKUP(E1017,#REF!,1,FALSE())),"?TYPE_IDENTIFIABLE","?REFERENTIAL"),"_")))))</f>
        <v> </v>
      </c>
      <c r="H1017" s="24" t="str">
        <f>IF(J1017&lt;&gt;1,"",IF(I1017="SBJ","CB","?"))</f>
        <v> </v>
      </c>
      <c r="I1017" s="25" t="str">
        <f>IF(OR(E1017="",E1017="!!!",F1017="NEW"),"",INDEX(B1016:B$2,-1+SUMPRODUCT(MAX(ROW(E1016:E$2)*(E1017=E1016:E$2)))))</f>
        <v> </v>
      </c>
      <c r="J1017" s="25" t="str">
        <f>IF(OR(E1017="",E1017="!!!",F1017="NEW"),"",COUNTBLANK(OFFSET(A$1,,,SUMPRODUCT(MAX(ROW(E$2:E1017)*(E1017=E$2:E1017)))))-COUNTBLANK(OFFSET(A$1,,,SUMPRODUCT(MAX(ROW(E$1:E1016)*(E2=E$1:E1016))))))</f>
        <v> </v>
      </c>
      <c r="K1017" s="25" t="str">
        <f>IF(OR(E1017="",E1017="!!!",F1017="NEW"),"",INDEX(J$1:J1016,SUMPRODUCT(MAX(ROW(E$1:E1016)*(E1017=E$1:E1016)))))</f>
        <v> </v>
      </c>
      <c r="L1017" s="26"/>
    </row>
    <row r="1018" spans="1:12">
      <c r="A1018" s="20" t="s">
        <v>273</v>
      </c>
      <c r="E1018" s="21">
        <f>IF(D1018="?OLD","!!!","")</f>
        <v/>
      </c>
      <c r="F1018" s="22" t="str">
        <f>IF(OR(E1018="",E1018="!!!"),"",IF(NOT(ISNA(VLOOKUP(E1018,E$1:E1017,1,FALSE()))),"OLD",IF(AND(E1018&lt;&gt;"",E1018&lt;&gt;"!!!"),"NEW","")))</f>
        <v> </v>
      </c>
      <c r="G1018" s="23" t="str">
        <f>IF(OR(E1018="",E1018="!!!"),"",IF(OR(J1018=0,AND(J1018=1,K1018=1),AND(J1018=1,I1018="SBJ"),AND(J1018=1,I1018=0)),"?IN_FOCUS",IF(J1018&lt;=2,"?ACTIVATED",IF(J1018&lt;&gt;"","?FAMILIAR",IF(F1018="NEW",IF(ISNA(VLOOKUP(E1018,#REF!,1,FALSE())),"?TYPE_IDENTIFIABLE","?REFERENTIAL"),"_")))))</f>
        <v> </v>
      </c>
      <c r="H1018" s="24" t="str">
        <f>IF(J1018&lt;&gt;1,"",IF(I1018="SBJ","CB","?"))</f>
        <v> </v>
      </c>
      <c r="I1018" s="25" t="str">
        <f>IF(OR(E1018="",E1018="!!!",F1018="NEW"),"",INDEX(B1017:B$2,-1+SUMPRODUCT(MAX(ROW(E1017:E$2)*(E1018=E1017:E$2)))))</f>
        <v> </v>
      </c>
      <c r="J1018" s="25" t="str">
        <f>IF(OR(E1018="",E1018="!!!",F1018="NEW"),"",COUNTBLANK(OFFSET(A$1,,,SUMPRODUCT(MAX(ROW(E$2:E1018)*(E1018=E$2:E1018)))))-COUNTBLANK(OFFSET(A$1,,,SUMPRODUCT(MAX(ROW(E$1:E1017)*(E2=E$1:E1017))))))</f>
        <v> </v>
      </c>
      <c r="K1018" s="25" t="str">
        <f>IF(OR(E1018="",E1018="!!!",F1018="NEW"),"",INDEX(J$1:J1017,SUMPRODUCT(MAX(ROW(E$1:E1017)*(E1018=E$1:E1017)))))</f>
        <v> </v>
      </c>
      <c r="L1018" s="26"/>
    </row>
    <row r="1019" spans="1:12">
      <c r="A1019" s="20" t="s">
        <v>659</v>
      </c>
      <c r="B1019" s="27" t="s">
        <v>262</v>
      </c>
      <c r="C1019" s="27" t="s">
        <v>263</v>
      </c>
      <c r="D1019" s="27" t="s">
        <v>244</v>
      </c>
      <c r="E1019" s="21">
        <f>IF(D1019="?OLD","!!!","")</f>
        <v/>
      </c>
      <c r="F1019" s="22" t="str">
        <f>IF(OR(E1019="",E1019="!!!"),"",IF(NOT(ISNA(VLOOKUP(E1019,E$1:E1018,1,FALSE()))),"OLD",IF(AND(E1019&lt;&gt;"",E1019&lt;&gt;"!!!"),"NEW","")))</f>
        <v> </v>
      </c>
      <c r="G1019" s="23" t="str">
        <f>IF(OR(E1019="",E1019="!!!"),"",IF(OR(J1019=0,AND(J1019=1,K1019=1),AND(J1019=1,I1019="SBJ"),AND(J1019=1,I1019=0)),"?IN_FOCUS",IF(J1019&lt;=2,"?ACTIVATED",IF(J1019&lt;&gt;"","?FAMILIAR",IF(F1019="NEW",IF(ISNA(VLOOKUP(E1019,#REF!,1,FALSE())),"?TYPE_IDENTIFIABLE","?REFERENTIAL"),"_")))))</f>
        <v> </v>
      </c>
      <c r="H1019" s="24" t="str">
        <f>IF(J1019&lt;&gt;1,"",IF(I1019="SBJ","CB","?"))</f>
        <v> </v>
      </c>
      <c r="I1019" s="25" t="str">
        <f>IF(OR(E1019="",E1019="!!!",F1019="NEW"),"",INDEX(B1018:B$2,-1+SUMPRODUCT(MAX(ROW(E1018:E$2)*(E1019=E1018:E$2)))))</f>
        <v> </v>
      </c>
      <c r="J1019" s="25" t="str">
        <f>IF(OR(E1019="",E1019="!!!",F1019="NEW"),"",COUNTBLANK(OFFSET(A$1,,,SUMPRODUCT(MAX(ROW(E$2:E1019)*(E1019=E$2:E1019)))))-COUNTBLANK(OFFSET(A$1,,,SUMPRODUCT(MAX(ROW(E$1:E1018)*(E2=E$1:E1018))))))</f>
        <v> </v>
      </c>
      <c r="K1019" s="25" t="str">
        <f>IF(OR(E1019="",E1019="!!!",F1019="NEW"),"",INDEX(J$1:J1018,SUMPRODUCT(MAX(ROW(E$1:E1018)*(E1019=E$1:E1018)))))</f>
        <v> </v>
      </c>
      <c r="L1019" s="26"/>
    </row>
    <row r="1020" spans="1:12">
      <c r="A1020" s="20" t="s">
        <v>695</v>
      </c>
      <c r="B1020" s="27" t="s">
        <v>272</v>
      </c>
      <c r="C1020" s="27" t="s">
        <v>267</v>
      </c>
      <c r="D1020" s="27" t="s">
        <v>244</v>
      </c>
      <c r="E1020" s="21">
        <f>IF(D1020="?OLD","!!!","")</f>
        <v/>
      </c>
      <c r="F1020" s="22" t="str">
        <f>IF(OR(E1020="",E1020="!!!"),"",IF(NOT(ISNA(VLOOKUP(E1020,E$1:E1019,1,FALSE()))),"OLD",IF(AND(E1020&lt;&gt;"",E1020&lt;&gt;"!!!"),"NEW","")))</f>
        <v> </v>
      </c>
      <c r="G1020" s="23" t="str">
        <f>IF(OR(E1020="",E1020="!!!"),"",IF(OR(J1020=0,AND(J1020=1,K1020=1),AND(J1020=1,I1020="SBJ"),AND(J1020=1,I1020=0)),"?IN_FOCUS",IF(J1020&lt;=2,"?ACTIVATED",IF(J1020&lt;&gt;"","?FAMILIAR",IF(F1020="NEW",IF(ISNA(VLOOKUP(E1020,#REF!,1,FALSE())),"?TYPE_IDENTIFIABLE","?REFERENTIAL"),"_")))))</f>
        <v> </v>
      </c>
      <c r="H1020" s="24" t="str">
        <f>IF(J1020&lt;&gt;1,"",IF(I1020="SBJ","CB","?"))</f>
        <v> </v>
      </c>
      <c r="I1020" s="25" t="str">
        <f>IF(OR(E1020="",E1020="!!!",F1020="NEW"),"",INDEX(B1019:B$2,-1+SUMPRODUCT(MAX(ROW(E1019:E$2)*(E1020=E1019:E$2)))))</f>
        <v> </v>
      </c>
      <c r="J1020" s="25" t="str">
        <f>IF(OR(E1020="",E1020="!!!",F1020="NEW"),"",COUNTBLANK(OFFSET(A$1,,,SUMPRODUCT(MAX(ROW(E$2:E1020)*(E1020=E$2:E1020)))))-COUNTBLANK(OFFSET(A$1,,,SUMPRODUCT(MAX(ROW(E$1:E1019)*(E2=E$1:E1019))))))</f>
        <v> </v>
      </c>
      <c r="K1020" s="25" t="str">
        <f>IF(OR(E1020="",E1020="!!!",F1020="NEW"),"",INDEX(J$1:J1019,SUMPRODUCT(MAX(ROW(E$1:E1019)*(E1020=E$1:E1019)))))</f>
        <v> </v>
      </c>
      <c r="L1020" s="26"/>
    </row>
    <row r="1021" spans="1:12">
      <c r="A1021" s="20" t="s">
        <v>305</v>
      </c>
      <c r="E1021" s="21">
        <f>IF(D1021="?OLD","!!!","")</f>
        <v/>
      </c>
      <c r="F1021" s="22" t="str">
        <f>IF(OR(E1021="",E1021="!!!"),"",IF(NOT(ISNA(VLOOKUP(E1021,E$1:E1020,1,FALSE()))),"OLD",IF(AND(E1021&lt;&gt;"",E1021&lt;&gt;"!!!"),"NEW","")))</f>
        <v> </v>
      </c>
      <c r="G1021" s="23" t="str">
        <f>IF(OR(E1021="",E1021="!!!"),"",IF(OR(J1021=0,AND(J1021=1,K1021=1),AND(J1021=1,I1021="SBJ"),AND(J1021=1,I1021=0)),"?IN_FOCUS",IF(J1021&lt;=2,"?ACTIVATED",IF(J1021&lt;&gt;"","?FAMILIAR",IF(F1021="NEW",IF(ISNA(VLOOKUP(E1021,#REF!,1,FALSE())),"?TYPE_IDENTIFIABLE","?REFERENTIAL"),"_")))))</f>
        <v> </v>
      </c>
      <c r="H1021" s="24" t="str">
        <f>IF(J1021&lt;&gt;1,"",IF(I1021="SBJ","CB","?"))</f>
        <v> </v>
      </c>
      <c r="I1021" s="25" t="str">
        <f>IF(OR(E1021="",E1021="!!!",F1021="NEW"),"",INDEX(B1020:B$2,-1+SUMPRODUCT(MAX(ROW(E1020:E$2)*(E1021=E1020:E$2)))))</f>
        <v> </v>
      </c>
      <c r="J1021" s="25" t="str">
        <f>IF(OR(E1021="",E1021="!!!",F1021="NEW"),"",COUNTBLANK(OFFSET(A$1,,,SUMPRODUCT(MAX(ROW(E$2:E1021)*(E1021=E$2:E1021)))))-COUNTBLANK(OFFSET(A$1,,,SUMPRODUCT(MAX(ROW(E$1:E1020)*(E2=E$1:E1020))))))</f>
        <v> </v>
      </c>
      <c r="K1021" s="25" t="str">
        <f>IF(OR(E1021="",E1021="!!!",F1021="NEW"),"",INDEX(J$1:J1020,SUMPRODUCT(MAX(ROW(E$1:E1020)*(E1021=E$1:E1020)))))</f>
        <v> </v>
      </c>
      <c r="L1021" s="26"/>
    </row>
    <row r="1022" spans="1:12">
      <c r="A1022" s="20" t="s">
        <v>696</v>
      </c>
      <c r="B1022" s="27" t="s">
        <v>262</v>
      </c>
      <c r="C1022" s="27" t="s">
        <v>281</v>
      </c>
      <c r="E1022" s="21">
        <f>IF(D1022="?OLD","!!!","")</f>
        <v/>
      </c>
      <c r="F1022" s="22" t="str">
        <f>IF(OR(E1022="",E1022="!!!"),"",IF(NOT(ISNA(VLOOKUP(E1022,E$1:E1021,1,FALSE()))),"OLD",IF(AND(E1022&lt;&gt;"",E1022&lt;&gt;"!!!"),"NEW","")))</f>
        <v> </v>
      </c>
      <c r="G1022" s="23" t="str">
        <f>IF(OR(E1022="",E1022="!!!"),"",IF(OR(J1022=0,AND(J1022=1,K1022=1),AND(J1022=1,I1022="SBJ"),AND(J1022=1,I1022=0)),"?IN_FOCUS",IF(J1022&lt;=2,"?ACTIVATED",IF(J1022&lt;&gt;"","?FAMILIAR",IF(F1022="NEW",IF(ISNA(VLOOKUP(E1022,#REF!,1,FALSE())),"?TYPE_IDENTIFIABLE","?REFERENTIAL"),"_")))))</f>
        <v> </v>
      </c>
      <c r="H1022" s="24" t="str">
        <f>IF(J1022&lt;&gt;1,"",IF(I1022="SBJ","CB","?"))</f>
        <v> </v>
      </c>
      <c r="I1022" s="25" t="str">
        <f>IF(OR(E1022="",E1022="!!!",F1022="NEW"),"",INDEX(B1021:B$2,-1+SUMPRODUCT(MAX(ROW(E1021:E$2)*(E1022=E1021:E$2)))))</f>
        <v> </v>
      </c>
      <c r="J1022" s="25" t="str">
        <f>IF(OR(E1022="",E1022="!!!",F1022="NEW"),"",COUNTBLANK(OFFSET(A$1,,,SUMPRODUCT(MAX(ROW(E$2:E1022)*(E1022=E$2:E1022)))))-COUNTBLANK(OFFSET(A$1,,,SUMPRODUCT(MAX(ROW(E$1:E1021)*(E2=E$1:E1021))))))</f>
        <v> </v>
      </c>
      <c r="K1022" s="25" t="str">
        <f>IF(OR(E1022="",E1022="!!!",F1022="NEW"),"",INDEX(J$1:J1021,SUMPRODUCT(MAX(ROW(E$1:E1021)*(E1022=E$1:E1021)))))</f>
        <v> </v>
      </c>
      <c r="L1022" s="26"/>
    </row>
    <row r="1023" spans="1:12">
      <c r="A1023" s="20" t="s">
        <v>305</v>
      </c>
      <c r="E1023" s="21">
        <f>IF(D1023="?OLD","!!!","")</f>
        <v/>
      </c>
      <c r="F1023" s="22" t="str">
        <f>IF(OR(E1023="",E1023="!!!"),"",IF(NOT(ISNA(VLOOKUP(E1023,E$1:E1022,1,FALSE()))),"OLD",IF(AND(E1023&lt;&gt;"",E1023&lt;&gt;"!!!"),"NEW","")))</f>
        <v> </v>
      </c>
      <c r="G1023" s="23" t="str">
        <f>IF(OR(E1023="",E1023="!!!"),"",IF(OR(J1023=0,AND(J1023=1,K1023=1),AND(J1023=1,I1023="SBJ"),AND(J1023=1,I1023=0)),"?IN_FOCUS",IF(J1023&lt;=2,"?ACTIVATED",IF(J1023&lt;&gt;"","?FAMILIAR",IF(F1023="NEW",IF(ISNA(VLOOKUP(E1023,#REF!,1,FALSE())),"?TYPE_IDENTIFIABLE","?REFERENTIAL"),"_")))))</f>
        <v> </v>
      </c>
      <c r="H1023" s="24" t="str">
        <f>IF(J1023&lt;&gt;1,"",IF(I1023="SBJ","CB","?"))</f>
        <v> </v>
      </c>
      <c r="I1023" s="25" t="str">
        <f>IF(OR(E1023="",E1023="!!!",F1023="NEW"),"",INDEX(B1022:B$2,-1+SUMPRODUCT(MAX(ROW(E1022:E$2)*(E1023=E1022:E$2)))))</f>
        <v> </v>
      </c>
      <c r="J1023" s="25" t="str">
        <f>IF(OR(E1023="",E1023="!!!",F1023="NEW"),"",COUNTBLANK(OFFSET(A$1,,,SUMPRODUCT(MAX(ROW(E$2:E1023)*(E1023=E$2:E1023)))))-COUNTBLANK(OFFSET(A$1,,,SUMPRODUCT(MAX(ROW(E$1:E1022)*(E2=E$1:E1022))))))</f>
        <v> </v>
      </c>
      <c r="K1023" s="25" t="str">
        <f>IF(OR(E1023="",E1023="!!!",F1023="NEW"),"",INDEX(J$1:J1022,SUMPRODUCT(MAX(ROW(E$1:E1022)*(E1023=E$1:E1022)))))</f>
        <v> </v>
      </c>
      <c r="L1023" s="26"/>
    </row>
    <row r="1024" spans="1:12">
      <c r="A1024" s="20" t="s">
        <v>697</v>
      </c>
      <c r="B1024" s="27" t="s">
        <v>262</v>
      </c>
      <c r="C1024" s="27" t="s">
        <v>281</v>
      </c>
      <c r="E1024" s="21">
        <f>IF(D1024="?OLD","!!!","")</f>
        <v/>
      </c>
      <c r="F1024" s="22" t="str">
        <f>IF(OR(E1024="",E1024="!!!"),"",IF(NOT(ISNA(VLOOKUP(E1024,E$1:E1023,1,FALSE()))),"OLD",IF(AND(E1024&lt;&gt;"",E1024&lt;&gt;"!!!"),"NEW","")))</f>
        <v> </v>
      </c>
      <c r="G1024" s="23" t="str">
        <f>IF(OR(E1024="",E1024="!!!"),"",IF(OR(J1024=0,AND(J1024=1,K1024=1),AND(J1024=1,I1024="SBJ"),AND(J1024=1,I1024=0)),"?IN_FOCUS",IF(J1024&lt;=2,"?ACTIVATED",IF(J1024&lt;&gt;"","?FAMILIAR",IF(F1024="NEW",IF(ISNA(VLOOKUP(E1024,#REF!,1,FALSE())),"?TYPE_IDENTIFIABLE","?REFERENTIAL"),"_")))))</f>
        <v> </v>
      </c>
      <c r="H1024" s="24" t="str">
        <f>IF(J1024&lt;&gt;1,"",IF(I1024="SBJ","CB","?"))</f>
        <v> </v>
      </c>
      <c r="I1024" s="25" t="str">
        <f>IF(OR(E1024="",E1024="!!!",F1024="NEW"),"",INDEX(B1023:B$2,-1+SUMPRODUCT(MAX(ROW(E1023:E$2)*(E1024=E1023:E$2)))))</f>
        <v> </v>
      </c>
      <c r="J1024" s="25" t="str">
        <f>IF(OR(E1024="",E1024="!!!",F1024="NEW"),"",COUNTBLANK(OFFSET(A$1,,,SUMPRODUCT(MAX(ROW(E$2:E1024)*(E1024=E$2:E1024)))))-COUNTBLANK(OFFSET(A$1,,,SUMPRODUCT(MAX(ROW(E$1:E1023)*(E2=E$1:E1023))))))</f>
        <v> </v>
      </c>
      <c r="K1024" s="25" t="str">
        <f>IF(OR(E1024="",E1024="!!!",F1024="NEW"),"",INDEX(J$1:J1023,SUMPRODUCT(MAX(ROW(E$1:E1023)*(E1024=E$1:E1023)))))</f>
        <v> </v>
      </c>
      <c r="L1024" s="26"/>
    </row>
    <row r="1025" spans="1:12">
      <c r="A1025" s="20" t="s">
        <v>314</v>
      </c>
      <c r="E1025" s="21">
        <f>IF(D1025="?OLD","!!!","")</f>
        <v/>
      </c>
      <c r="F1025" s="22" t="str">
        <f>IF(OR(E1025="",E1025="!!!"),"",IF(NOT(ISNA(VLOOKUP(E1025,E$1:E1024,1,FALSE()))),"OLD",IF(AND(E1025&lt;&gt;"",E1025&lt;&gt;"!!!"),"NEW","")))</f>
        <v> </v>
      </c>
      <c r="G1025" s="23" t="str">
        <f>IF(OR(E1025="",E1025="!!!"),"",IF(OR(J1025=0,AND(J1025=1,K1025=1),AND(J1025=1,I1025="SBJ"),AND(J1025=1,I1025=0)),"?IN_FOCUS",IF(J1025&lt;=2,"?ACTIVATED",IF(J1025&lt;&gt;"","?FAMILIAR",IF(F1025="NEW",IF(ISNA(VLOOKUP(E1025,#REF!,1,FALSE())),"?TYPE_IDENTIFIABLE","?REFERENTIAL"),"_")))))</f>
        <v> </v>
      </c>
      <c r="H1025" s="24" t="str">
        <f>IF(J1025&lt;&gt;1,"",IF(I1025="SBJ","CB","?"))</f>
        <v> </v>
      </c>
      <c r="I1025" s="25" t="str">
        <f>IF(OR(E1025="",E1025="!!!",F1025="NEW"),"",INDEX(B1024:B$2,-1+SUMPRODUCT(MAX(ROW(E1024:E$2)*(E1025=E1024:E$2)))))</f>
        <v> </v>
      </c>
      <c r="J1025" s="25" t="str">
        <f>IF(OR(E1025="",E1025="!!!",F1025="NEW"),"",COUNTBLANK(OFFSET(A$1,,,SUMPRODUCT(MAX(ROW(E$2:E1025)*(E1025=E$2:E1025)))))-COUNTBLANK(OFFSET(A$1,,,SUMPRODUCT(MAX(ROW(E$1:E1024)*(E2=E$1:E1024))))))</f>
        <v> </v>
      </c>
      <c r="K1025" s="25" t="str">
        <f>IF(OR(E1025="",E1025="!!!",F1025="NEW"),"",INDEX(J$1:J1024,SUMPRODUCT(MAX(ROW(E$1:E1024)*(E1025=E$1:E1024)))))</f>
        <v> </v>
      </c>
      <c r="L1025" s="26"/>
    </row>
    <row r="1026" spans="1:12">
      <c r="A1026" s="20" t="s">
        <v>516</v>
      </c>
      <c r="E1026" s="21">
        <f>IF(D1026="?OLD","!!!","")</f>
        <v/>
      </c>
      <c r="F1026" s="22" t="str">
        <f>IF(OR(E1026="",E1026="!!!"),"",IF(NOT(ISNA(VLOOKUP(E1026,E$1:E1025,1,FALSE()))),"OLD",IF(AND(E1026&lt;&gt;"",E1026&lt;&gt;"!!!"),"NEW","")))</f>
        <v> </v>
      </c>
      <c r="G1026" s="23" t="str">
        <f>IF(OR(E1026="",E1026="!!!"),"",IF(OR(J1026=0,AND(J1026=1,K1026=1),AND(J1026=1,I1026="SBJ"),AND(J1026=1,I1026=0)),"?IN_FOCUS",IF(J1026&lt;=2,"?ACTIVATED",IF(J1026&lt;&gt;"","?FAMILIAR",IF(F1026="NEW",IF(ISNA(VLOOKUP(E1026,#REF!,1,FALSE())),"?TYPE_IDENTIFIABLE","?REFERENTIAL"),"_")))))</f>
        <v> </v>
      </c>
      <c r="H1026" s="24" t="str">
        <f>IF(J1026&lt;&gt;1,"",IF(I1026="SBJ","CB","?"))</f>
        <v> </v>
      </c>
      <c r="I1026" s="25" t="str">
        <f>IF(OR(E1026="",E1026="!!!",F1026="NEW"),"",INDEX(B1025:B$2,-1+SUMPRODUCT(MAX(ROW(E1025:E$2)*(E1026=E1025:E$2)))))</f>
        <v> </v>
      </c>
      <c r="J1026" s="25" t="str">
        <f>IF(OR(E1026="",E1026="!!!",F1026="NEW"),"",COUNTBLANK(OFFSET(A$1,,,SUMPRODUCT(MAX(ROW(E$2:E1026)*(E1026=E$2:E1026)))))-COUNTBLANK(OFFSET(A$1,,,SUMPRODUCT(MAX(ROW(E$1:E1025)*(E2=E$1:E1025))))))</f>
        <v> </v>
      </c>
      <c r="K1026" s="25" t="str">
        <f>IF(OR(E1026="",E1026="!!!",F1026="NEW"),"",INDEX(J$1:J1025,SUMPRODUCT(MAX(ROW(E$1:E1025)*(E1026=E$1:E1025)))))</f>
        <v> </v>
      </c>
      <c r="L1026" s="26"/>
    </row>
    <row r="1027" spans="1:12">
      <c r="A1027" s="20" t="s">
        <v>698</v>
      </c>
      <c r="B1027" s="27" t="s">
        <v>262</v>
      </c>
      <c r="C1027" s="27" t="s">
        <v>281</v>
      </c>
      <c r="E1027" s="21">
        <f>IF(D1027="?OLD","!!!","")</f>
        <v/>
      </c>
      <c r="F1027" s="22" t="str">
        <f>IF(OR(E1027="",E1027="!!!"),"",IF(NOT(ISNA(VLOOKUP(E1027,E$1:E1026,1,FALSE()))),"OLD",IF(AND(E1027&lt;&gt;"",E1027&lt;&gt;"!!!"),"NEW","")))</f>
        <v> </v>
      </c>
      <c r="G1027" s="23" t="str">
        <f>IF(OR(E1027="",E1027="!!!"),"",IF(OR(J1027=0,AND(J1027=1,K1027=1),AND(J1027=1,I1027="SBJ"),AND(J1027=1,I1027=0)),"?IN_FOCUS",IF(J1027&lt;=2,"?ACTIVATED",IF(J1027&lt;&gt;"","?FAMILIAR",IF(F1027="NEW",IF(ISNA(VLOOKUP(E1027,#REF!,1,FALSE())),"?TYPE_IDENTIFIABLE","?REFERENTIAL"),"_")))))</f>
        <v> </v>
      </c>
      <c r="H1027" s="24" t="str">
        <f>IF(J1027&lt;&gt;1,"",IF(I1027="SBJ","CB","?"))</f>
        <v> </v>
      </c>
      <c r="I1027" s="25" t="str">
        <f>IF(OR(E1027="",E1027="!!!",F1027="NEW"),"",INDEX(B1026:B$2,-1+SUMPRODUCT(MAX(ROW(E1026:E$2)*(E1027=E1026:E$2)))))</f>
        <v> </v>
      </c>
      <c r="J1027" s="25" t="str">
        <f>IF(OR(E1027="",E1027="!!!",F1027="NEW"),"",COUNTBLANK(OFFSET(A$1,,,SUMPRODUCT(MAX(ROW(E$2:E1027)*(E1027=E$2:E1027)))))-COUNTBLANK(OFFSET(A$1,,,SUMPRODUCT(MAX(ROW(E$1:E1026)*(E2=E$1:E1026))))))</f>
        <v> </v>
      </c>
      <c r="K1027" s="25" t="str">
        <f>IF(OR(E1027="",E1027="!!!",F1027="NEW"),"",INDEX(J$1:J1026,SUMPRODUCT(MAX(ROW(E$1:E1026)*(E1027=E$1:E1026)))))</f>
        <v> </v>
      </c>
      <c r="L1027" s="26"/>
    </row>
    <row r="1028" spans="1:12">
      <c r="A1028" s="20" t="s">
        <v>699</v>
      </c>
      <c r="E1028" s="21">
        <f>IF(D1028="?OLD","!!!","")</f>
        <v/>
      </c>
      <c r="F1028" s="22" t="str">
        <f>IF(OR(E1028="",E1028="!!!"),"",IF(NOT(ISNA(VLOOKUP(E1028,E$1:E1027,1,FALSE()))),"OLD",IF(AND(E1028&lt;&gt;"",E1028&lt;&gt;"!!!"),"NEW","")))</f>
        <v> </v>
      </c>
      <c r="G1028" s="23" t="str">
        <f>IF(OR(E1028="",E1028="!!!"),"",IF(OR(J1028=0,AND(J1028=1,K1028=1),AND(J1028=1,I1028="SBJ"),AND(J1028=1,I1028=0)),"?IN_FOCUS",IF(J1028&lt;=2,"?ACTIVATED",IF(J1028&lt;&gt;"","?FAMILIAR",IF(F1028="NEW",IF(ISNA(VLOOKUP(E1028,#REF!,1,FALSE())),"?TYPE_IDENTIFIABLE","?REFERENTIAL"),"_")))))</f>
        <v> </v>
      </c>
      <c r="H1028" s="24" t="str">
        <f>IF(J1028&lt;&gt;1,"",IF(I1028="SBJ","CB","?"))</f>
        <v> </v>
      </c>
      <c r="I1028" s="25" t="str">
        <f>IF(OR(E1028="",E1028="!!!",F1028="NEW"),"",INDEX(B1027:B$2,-1+SUMPRODUCT(MAX(ROW(E1027:E$2)*(E1028=E1027:E$2)))))</f>
        <v> </v>
      </c>
      <c r="J1028" s="25" t="str">
        <f>IF(OR(E1028="",E1028="!!!",F1028="NEW"),"",COUNTBLANK(OFFSET(A$1,,,SUMPRODUCT(MAX(ROW(E$2:E1028)*(E1028=E$2:E1028)))))-COUNTBLANK(OFFSET(A$1,,,SUMPRODUCT(MAX(ROW(E$1:E1027)*(E2=E$1:E1027))))))</f>
        <v> </v>
      </c>
      <c r="K1028" s="25" t="str">
        <f>IF(OR(E1028="",E1028="!!!",F1028="NEW"),"",INDEX(J$1:J1027,SUMPRODUCT(MAX(ROW(E$1:E1027)*(E1028=E$1:E1027)))))</f>
        <v> </v>
      </c>
      <c r="L1028" s="26"/>
    </row>
    <row r="1029" spans="1:12">
      <c r="A1029" s="20" t="s">
        <v>626</v>
      </c>
      <c r="E1029" s="21">
        <f>IF(D1029="?OLD","!!!","")</f>
        <v/>
      </c>
      <c r="F1029" s="22" t="str">
        <f>IF(OR(E1029="",E1029="!!!"),"",IF(NOT(ISNA(VLOOKUP(E1029,E$1:E1028,1,FALSE()))),"OLD",IF(AND(E1029&lt;&gt;"",E1029&lt;&gt;"!!!"),"NEW","")))</f>
        <v> </v>
      </c>
      <c r="G1029" s="23" t="str">
        <f>IF(OR(E1029="",E1029="!!!"),"",IF(OR(J1029=0,AND(J1029=1,K1029=1),AND(J1029=1,I1029="SBJ"),AND(J1029=1,I1029=0)),"?IN_FOCUS",IF(J1029&lt;=2,"?ACTIVATED",IF(J1029&lt;&gt;"","?FAMILIAR",IF(F1029="NEW",IF(ISNA(VLOOKUP(E1029,#REF!,1,FALSE())),"?TYPE_IDENTIFIABLE","?REFERENTIAL"),"_")))))</f>
        <v> </v>
      </c>
      <c r="H1029" s="24" t="str">
        <f>IF(J1029&lt;&gt;1,"",IF(I1029="SBJ","CB","?"))</f>
        <v> </v>
      </c>
      <c r="I1029" s="25" t="str">
        <f>IF(OR(E1029="",E1029="!!!",F1029="NEW"),"",INDEX(B1028:B$2,-1+SUMPRODUCT(MAX(ROW(E1028:E$2)*(E1029=E1028:E$2)))))</f>
        <v> </v>
      </c>
      <c r="J1029" s="25" t="str">
        <f>IF(OR(E1029="",E1029="!!!",F1029="NEW"),"",COUNTBLANK(OFFSET(A$1,,,SUMPRODUCT(MAX(ROW(E$2:E1029)*(E1029=E$2:E1029)))))-COUNTBLANK(OFFSET(A$1,,,SUMPRODUCT(MAX(ROW(E$1:E1028)*(E2=E$1:E1028))))))</f>
        <v> </v>
      </c>
      <c r="K1029" s="25" t="str">
        <f>IF(OR(E1029="",E1029="!!!",F1029="NEW"),"",INDEX(J$1:J1028,SUMPRODUCT(MAX(ROW(E$1:E1028)*(E1029=E$1:E1028)))))</f>
        <v> </v>
      </c>
      <c r="L1029" s="26"/>
    </row>
    <row r="1030" spans="1:12">
      <c r="A1030" s="20" t="s">
        <v>659</v>
      </c>
      <c r="B1030" s="27" t="s">
        <v>272</v>
      </c>
      <c r="C1030" s="27" t="s">
        <v>263</v>
      </c>
      <c r="D1030" s="27" t="s">
        <v>244</v>
      </c>
      <c r="E1030" s="21">
        <f>IF(D1030="?OLD","!!!","")</f>
        <v/>
      </c>
      <c r="F1030" s="22" t="str">
        <f>IF(OR(E1030="",E1030="!!!"),"",IF(NOT(ISNA(VLOOKUP(E1030,E$1:E1029,1,FALSE()))),"OLD",IF(AND(E1030&lt;&gt;"",E1030&lt;&gt;"!!!"),"NEW","")))</f>
        <v> </v>
      </c>
      <c r="G1030" s="23" t="str">
        <f>IF(OR(E1030="",E1030="!!!"),"",IF(OR(J1030=0,AND(J1030=1,K1030=1),AND(J1030=1,I1030="SBJ"),AND(J1030=1,I1030=0)),"?IN_FOCUS",IF(J1030&lt;=2,"?ACTIVATED",IF(J1030&lt;&gt;"","?FAMILIAR",IF(F1030="NEW",IF(ISNA(VLOOKUP(E1030,#REF!,1,FALSE())),"?TYPE_IDENTIFIABLE","?REFERENTIAL"),"_")))))</f>
        <v> </v>
      </c>
      <c r="H1030" s="24" t="str">
        <f>IF(J1030&lt;&gt;1,"",IF(I1030="SBJ","CB","?"))</f>
        <v> </v>
      </c>
      <c r="I1030" s="25" t="str">
        <f>IF(OR(E1030="",E1030="!!!",F1030="NEW"),"",INDEX(B1029:B$2,-1+SUMPRODUCT(MAX(ROW(E1029:E$2)*(E1030=E1029:E$2)))))</f>
        <v> </v>
      </c>
      <c r="J1030" s="25" t="str">
        <f>IF(OR(E1030="",E1030="!!!",F1030="NEW"),"",COUNTBLANK(OFFSET(A$1,,,SUMPRODUCT(MAX(ROW(E$2:E1030)*(E1030=E$2:E1030)))))-COUNTBLANK(OFFSET(A$1,,,SUMPRODUCT(MAX(ROW(E$1:E1029)*(E2=E$1:E1029))))))</f>
        <v> </v>
      </c>
      <c r="K1030" s="25" t="str">
        <f>IF(OR(E1030="",E1030="!!!",F1030="NEW"),"",INDEX(J$1:J1029,SUMPRODUCT(MAX(ROW(E$1:E1029)*(E1030=E$1:E1029)))))</f>
        <v> </v>
      </c>
      <c r="L1030" s="26"/>
    </row>
    <row r="1031" spans="1:12">
      <c r="A1031" s="20" t="s">
        <v>700</v>
      </c>
      <c r="B1031" s="27" t="s">
        <v>291</v>
      </c>
      <c r="C1031" s="27" t="s">
        <v>267</v>
      </c>
      <c r="D1031" s="27" t="s">
        <v>244</v>
      </c>
      <c r="E1031" s="21">
        <f>IF(D1031="?OLD","!!!","")</f>
        <v/>
      </c>
      <c r="F1031" s="22" t="str">
        <f>IF(OR(E1031="",E1031="!!!"),"",IF(NOT(ISNA(VLOOKUP(E1031,E$1:E1030,1,FALSE()))),"OLD",IF(AND(E1031&lt;&gt;"",E1031&lt;&gt;"!!!"),"NEW","")))</f>
        <v> </v>
      </c>
      <c r="G1031" s="23" t="str">
        <f>IF(OR(E1031="",E1031="!!!"),"",IF(OR(J1031=0,AND(J1031=1,K1031=1),AND(J1031=1,I1031="SBJ"),AND(J1031=1,I1031=0)),"?IN_FOCUS",IF(J1031&lt;=2,"?ACTIVATED",IF(J1031&lt;&gt;"","?FAMILIAR",IF(F1031="NEW",IF(ISNA(VLOOKUP(E1031,#REF!,1,FALSE())),"?TYPE_IDENTIFIABLE","?REFERENTIAL"),"_")))))</f>
        <v> </v>
      </c>
      <c r="H1031" s="24" t="str">
        <f>IF(J1031&lt;&gt;1,"",IF(I1031="SBJ","CB","?"))</f>
        <v> </v>
      </c>
      <c r="I1031" s="25" t="str">
        <f>IF(OR(E1031="",E1031="!!!",F1031="NEW"),"",INDEX(B1030:B$2,-1+SUMPRODUCT(MAX(ROW(E1030:E$2)*(E1031=E1030:E$2)))))</f>
        <v> </v>
      </c>
      <c r="J1031" s="25" t="str">
        <f>IF(OR(E1031="",E1031="!!!",F1031="NEW"),"",COUNTBLANK(OFFSET(A$1,,,SUMPRODUCT(MAX(ROW(E$2:E1031)*(E1031=E$2:E1031)))))-COUNTBLANK(OFFSET(A$1,,,SUMPRODUCT(MAX(ROW(E$1:E1030)*(E2=E$1:E1030))))))</f>
        <v> </v>
      </c>
      <c r="K1031" s="25" t="str">
        <f>IF(OR(E1031="",E1031="!!!",F1031="NEW"),"",INDEX(J$1:J1030,SUMPRODUCT(MAX(ROW(E$1:E1030)*(E1031=E$1:E1030)))))</f>
        <v> </v>
      </c>
      <c r="L1031" s="26"/>
    </row>
    <row r="1032" spans="1:12">
      <c r="A1032" s="20" t="s">
        <v>285</v>
      </c>
      <c r="E1032" s="21">
        <f>IF(D1032="?OLD","!!!","")</f>
        <v/>
      </c>
      <c r="F1032" s="22" t="str">
        <f>IF(OR(E1032="",E1032="!!!"),"",IF(NOT(ISNA(VLOOKUP(E1032,E$1:E1031,1,FALSE()))),"OLD",IF(AND(E1032&lt;&gt;"",E1032&lt;&gt;"!!!"),"NEW","")))</f>
        <v> </v>
      </c>
      <c r="G1032" s="23" t="str">
        <f>IF(OR(E1032="",E1032="!!!"),"",IF(OR(J1032=0,AND(J1032=1,K1032=1),AND(J1032=1,I1032="SBJ"),AND(J1032=1,I1032=0)),"?IN_FOCUS",IF(J1032&lt;=2,"?ACTIVATED",IF(J1032&lt;&gt;"","?FAMILIAR",IF(F1032="NEW",IF(ISNA(VLOOKUP(E1032,#REF!,1,FALSE())),"?TYPE_IDENTIFIABLE","?REFERENTIAL"),"_")))))</f>
        <v> </v>
      </c>
      <c r="H1032" s="24" t="str">
        <f>IF(J1032&lt;&gt;1,"",IF(I1032="SBJ","CB","?"))</f>
        <v> </v>
      </c>
      <c r="I1032" s="25" t="str">
        <f>IF(OR(E1032="",E1032="!!!",F1032="NEW"),"",INDEX(B1031:B$2,-1+SUMPRODUCT(MAX(ROW(E1031:E$2)*(E1032=E1031:E$2)))))</f>
        <v> </v>
      </c>
      <c r="J1032" s="25" t="str">
        <f>IF(OR(E1032="",E1032="!!!",F1032="NEW"),"",COUNTBLANK(OFFSET(A$1,,,SUMPRODUCT(MAX(ROW(E$2:E1032)*(E1032=E$2:E1032)))))-COUNTBLANK(OFFSET(A$1,,,SUMPRODUCT(MAX(ROW(E$1:E1031)*(E2=E$1:E1031))))))</f>
        <v> </v>
      </c>
      <c r="K1032" s="25" t="str">
        <f>IF(OR(E1032="",E1032="!!!",F1032="NEW"),"",INDEX(J$1:J1031,SUMPRODUCT(MAX(ROW(E$1:E1031)*(E1032=E$1:E1031)))))</f>
        <v> </v>
      </c>
      <c r="L1032" s="26"/>
    </row>
    <row r="1033" spans="1:12">
      <c r="A1033" s="20"/>
    </row>
    <row r="1034" spans="1:12">
      <c r="A1034" s="20" t="s">
        <v>671</v>
      </c>
      <c r="E1034" s="21">
        <f>IF(D1034="?OLD","!!!","")</f>
        <v/>
      </c>
      <c r="F1034" s="22" t="str">
        <f>IF(OR(E1034="",E1034="!!!"),"",IF(NOT(ISNA(VLOOKUP(E1034,E$1:E1033,1,FALSE()))),"OLD",IF(AND(E1034&lt;&gt;"",E1034&lt;&gt;"!!!"),"NEW","")))</f>
        <v> </v>
      </c>
      <c r="G1034" s="23" t="str">
        <f>IF(OR(E1034="",E1034="!!!"),"",IF(OR(J1034=0,AND(J1034=1,K1034=1),AND(J1034=1,I1034="SBJ"),AND(J1034=1,I1034=0)),"?IN_FOCUS",IF(J1034&lt;=2,"?ACTIVATED",IF(J1034&lt;&gt;"","?FAMILIAR",IF(F1034="NEW",IF(ISNA(VLOOKUP(E1034,#REF!,1,FALSE())),"?TYPE_IDENTIFIABLE","?REFERENTIAL"),"_")))))</f>
        <v> </v>
      </c>
      <c r="H1034" s="24" t="str">
        <f>IF(J1034&lt;&gt;1,"",IF(I1034="SBJ","CB","?"))</f>
        <v> </v>
      </c>
      <c r="I1034" s="25" t="str">
        <f>IF(OR(E1034="",E1034="!!!",F1034="NEW"),"",INDEX(B1033:B$2,-1+SUMPRODUCT(MAX(ROW(E1033:E$2)*(E1034=E1033:E$2)))))</f>
        <v> </v>
      </c>
      <c r="J1034" s="25" t="str">
        <f>IF(OR(E1034="",E1034="!!!",F1034="NEW"),"",COUNTBLANK(OFFSET(A$1,,,SUMPRODUCT(MAX(ROW(E$2:E1034)*(E1034=E$2:E1034)))))-COUNTBLANK(OFFSET(A$1,,,SUMPRODUCT(MAX(ROW(E$1:E1033)*(E2=E$1:E1033))))))</f>
        <v> </v>
      </c>
      <c r="K1034" s="25" t="str">
        <f>IF(OR(E1034="",E1034="!!!",F1034="NEW"),"",INDEX(J$1:J1033,SUMPRODUCT(MAX(ROW(E$1:E1033)*(E1034=E$1:E1033)))))</f>
        <v> </v>
      </c>
      <c r="L1034" s="26"/>
    </row>
    <row r="1035" spans="1:12">
      <c r="A1035" s="20" t="s">
        <v>701</v>
      </c>
    </row>
    <row r="1036" spans="1:12">
      <c r="A1036" s="20" t="s">
        <v>673</v>
      </c>
      <c r="B1036" s="27" t="s">
        <v>291</v>
      </c>
      <c r="C1036" s="27" t="s">
        <v>263</v>
      </c>
      <c r="D1036" s="27" t="s">
        <v>244</v>
      </c>
      <c r="E1036" s="21">
        <f>IF(D1036="?OLD","!!!","")</f>
        <v/>
      </c>
      <c r="F1036" s="22" t="str">
        <f>IF(OR(E1036="",E1036="!!!"),"",IF(NOT(ISNA(VLOOKUP(E1036,E$1:E1035,1,FALSE()))),"OLD",IF(AND(E1036&lt;&gt;"",E1036&lt;&gt;"!!!"),"NEW","")))</f>
        <v> </v>
      </c>
      <c r="G1036" s="23" t="str">
        <f>IF(OR(E1036="",E1036="!!!"),"",IF(OR(J1036=0,AND(J1036=1,K1036=1),AND(J1036=1,I1036="SBJ"),AND(J1036=1,I1036=0)),"?IN_FOCUS",IF(J1036&lt;=2,"?ACTIVATED",IF(J1036&lt;&gt;"","?FAMILIAR",IF(F1036="NEW",IF(ISNA(VLOOKUP(E1036,#REF!,1,FALSE())),"?TYPE_IDENTIFIABLE","?REFERENTIAL"),"_")))))</f>
        <v> </v>
      </c>
      <c r="H1036" s="24" t="str">
        <f>IF(J1036&lt;&gt;1,"",IF(I1036="SBJ","CB","?"))</f>
        <v> </v>
      </c>
      <c r="I1036" s="25" t="str">
        <f>IF(OR(E1036="",E1036="!!!",F1036="NEW"),"",INDEX(B1035:B$2,-1+SUMPRODUCT(MAX(ROW(E1035:E$2)*(E1036=E1035:E$2)))))</f>
        <v> </v>
      </c>
      <c r="J1036" s="25" t="str">
        <f>IF(OR(E1036="",E1036="!!!",F1036="NEW"),"",COUNTBLANK(OFFSET(A$1,,,SUMPRODUCT(MAX(ROW(E$2:E1036)*(E1036=E$2:E1036)))))-COUNTBLANK(OFFSET(A$1,,,SUMPRODUCT(MAX(ROW(E$1:E1035)*(E2=E$1:E1035))))))</f>
        <v> </v>
      </c>
      <c r="K1036" s="25" t="str">
        <f>IF(OR(E1036="",E1036="!!!",F1036="NEW"),"",INDEX(J$1:J1035,SUMPRODUCT(MAX(ROW(E$1:E1035)*(E1036=E$1:E1035)))))</f>
        <v> </v>
      </c>
      <c r="L1036" s="26"/>
    </row>
    <row r="1037" spans="1:12">
      <c r="A1037" s="20" t="s">
        <v>702</v>
      </c>
      <c r="B1037" s="27" t="s">
        <v>255</v>
      </c>
      <c r="C1037" s="27" t="s">
        <v>267</v>
      </c>
      <c r="D1037" s="27" t="s">
        <v>244</v>
      </c>
      <c r="E1037" s="21">
        <f>IF(D1037="?OLD","!!!","")</f>
        <v/>
      </c>
      <c r="F1037" s="22" t="str">
        <f>IF(OR(E1037="",E1037="!!!"),"",IF(NOT(ISNA(VLOOKUP(E1037,E$1:E1036,1,FALSE()))),"OLD",IF(AND(E1037&lt;&gt;"",E1037&lt;&gt;"!!!"),"NEW","")))</f>
        <v> </v>
      </c>
      <c r="G1037" s="23" t="str">
        <f>IF(OR(E1037="",E1037="!!!"),"",IF(OR(J1037=0,AND(J1037=1,K1037=1),AND(J1037=1,I1037="SBJ"),AND(J1037=1,I1037=0)),"?IN_FOCUS",IF(J1037&lt;=2,"?ACTIVATED",IF(J1037&lt;&gt;"","?FAMILIAR",IF(F1037="NEW",IF(ISNA(VLOOKUP(E1037,#REF!,1,FALSE())),"?TYPE_IDENTIFIABLE","?REFERENTIAL"),"_")))))</f>
        <v> </v>
      </c>
      <c r="H1037" s="24" t="str">
        <f>IF(J1037&lt;&gt;1,"",IF(I1037="SBJ","CB","?"))</f>
        <v> </v>
      </c>
      <c r="I1037" s="25" t="str">
        <f>IF(OR(E1037="",E1037="!!!",F1037="NEW"),"",INDEX(B1036:B$2,-1+SUMPRODUCT(MAX(ROW(E1036:E$2)*(E1037=E1036:E$2)))))</f>
        <v> </v>
      </c>
      <c r="J1037" s="25" t="str">
        <f>IF(OR(E1037="",E1037="!!!",F1037="NEW"),"",COUNTBLANK(OFFSET(A$1,,,SUMPRODUCT(MAX(ROW(E$2:E1037)*(E1037=E$2:E1037)))))-COUNTBLANK(OFFSET(A$1,,,SUMPRODUCT(MAX(ROW(E$1:E1036)*(E2=E$1:E1036))))))</f>
        <v> </v>
      </c>
      <c r="K1037" s="25" t="str">
        <f>IF(OR(E1037="",E1037="!!!",F1037="NEW"),"",INDEX(J$1:J1036,SUMPRODUCT(MAX(ROW(E$1:E1036)*(E1037=E$1:E1036)))))</f>
        <v> </v>
      </c>
      <c r="L1037" s="26"/>
    </row>
    <row r="1038" spans="1:12">
      <c r="A1038" s="20" t="s">
        <v>703</v>
      </c>
      <c r="E1038" s="21">
        <f>IF(D1038="?OLD","!!!","")</f>
        <v/>
      </c>
      <c r="F1038" s="22" t="str">
        <f>IF(OR(E1038="",E1038="!!!"),"",IF(NOT(ISNA(VLOOKUP(E1038,E$1:E1037,1,FALSE()))),"OLD",IF(AND(E1038&lt;&gt;"",E1038&lt;&gt;"!!!"),"NEW","")))</f>
        <v> </v>
      </c>
      <c r="G1038" s="23" t="str">
        <f>IF(OR(E1038="",E1038="!!!"),"",IF(OR(J1038=0,AND(J1038=1,K1038=1),AND(J1038=1,I1038="SBJ"),AND(J1038=1,I1038=0)),"?IN_FOCUS",IF(J1038&lt;=2,"?ACTIVATED",IF(J1038&lt;&gt;"","?FAMILIAR",IF(F1038="NEW",IF(ISNA(VLOOKUP(E1038,#REF!,1,FALSE())),"?TYPE_IDENTIFIABLE","?REFERENTIAL"),"_")))))</f>
        <v> </v>
      </c>
      <c r="H1038" s="24" t="str">
        <f>IF(J1038&lt;&gt;1,"",IF(I1038="SBJ","CB","?"))</f>
        <v> </v>
      </c>
      <c r="I1038" s="25" t="str">
        <f>IF(OR(E1038="",E1038="!!!",F1038="NEW"),"",INDEX(B1037:B$2,-1+SUMPRODUCT(MAX(ROW(E1037:E$2)*(E1038=E1037:E$2)))))</f>
        <v> </v>
      </c>
      <c r="J1038" s="25" t="str">
        <f>IF(OR(E1038="",E1038="!!!",F1038="NEW"),"",COUNTBLANK(OFFSET(A$1,,,SUMPRODUCT(MAX(ROW(E$2:E1038)*(E1038=E$2:E1038)))))-COUNTBLANK(OFFSET(A$1,,,SUMPRODUCT(MAX(ROW(E$1:E1037)*(E2=E$1:E1037))))))</f>
        <v> </v>
      </c>
      <c r="K1038" s="25" t="str">
        <f>IF(OR(E1038="",E1038="!!!",F1038="NEW"),"",INDEX(J$1:J1037,SUMPRODUCT(MAX(ROW(E$1:E1037)*(E1038=E$1:E1037)))))</f>
        <v> </v>
      </c>
      <c r="L1038" s="26"/>
    </row>
    <row r="1039" spans="1:12">
      <c r="A1039" s="20" t="s">
        <v>349</v>
      </c>
      <c r="E1039" s="21">
        <f>IF(D1039="?OLD","!!!","")</f>
        <v/>
      </c>
      <c r="F1039" s="22" t="str">
        <f>IF(OR(E1039="",E1039="!!!"),"",IF(NOT(ISNA(VLOOKUP(E1039,E$1:E1038,1,FALSE()))),"OLD",IF(AND(E1039&lt;&gt;"",E1039&lt;&gt;"!!!"),"NEW","")))</f>
        <v> </v>
      </c>
      <c r="G1039" s="23" t="str">
        <f>IF(OR(E1039="",E1039="!!!"),"",IF(OR(J1039=0,AND(J1039=1,K1039=1),AND(J1039=1,I1039="SBJ"),AND(J1039=1,I1039=0)),"?IN_FOCUS",IF(J1039&lt;=2,"?ACTIVATED",IF(J1039&lt;&gt;"","?FAMILIAR",IF(F1039="NEW",IF(ISNA(VLOOKUP(E1039,#REF!,1,FALSE())),"?TYPE_IDENTIFIABLE","?REFERENTIAL"),"_")))))</f>
        <v> </v>
      </c>
      <c r="H1039" s="24" t="str">
        <f>IF(J1039&lt;&gt;1,"",IF(I1039="SBJ","CB","?"))</f>
        <v> </v>
      </c>
      <c r="I1039" s="25" t="str">
        <f>IF(OR(E1039="",E1039="!!!",F1039="NEW"),"",INDEX(B1038:B$2,-1+SUMPRODUCT(MAX(ROW(E1038:E$2)*(E1039=E1038:E$2)))))</f>
        <v> </v>
      </c>
      <c r="J1039" s="25" t="str">
        <f>IF(OR(E1039="",E1039="!!!",F1039="NEW"),"",COUNTBLANK(OFFSET(A$1,,,SUMPRODUCT(MAX(ROW(E$2:E1039)*(E1039=E$2:E1039)))))-COUNTBLANK(OFFSET(A$1,,,SUMPRODUCT(MAX(ROW(E$1:E1038)*(E2=E$1:E1038))))))</f>
        <v> </v>
      </c>
      <c r="K1039" s="25" t="str">
        <f>IF(OR(E1039="",E1039="!!!",F1039="NEW"),"",INDEX(J$1:J1038,SUMPRODUCT(MAX(ROW(E$1:E1038)*(E1039=E$1:E1038)))))</f>
        <v> </v>
      </c>
      <c r="L1039" s="26"/>
    </row>
    <row r="1040" spans="1:12">
      <c r="A1040" s="20" t="s">
        <v>704</v>
      </c>
      <c r="E1040" s="21">
        <f>IF(D1040="?OLD","!!!","")</f>
        <v/>
      </c>
      <c r="F1040" s="22" t="str">
        <f>IF(OR(E1040="",E1040="!!!"),"",IF(NOT(ISNA(VLOOKUP(E1040,E$1:E1039,1,FALSE()))),"OLD",IF(AND(E1040&lt;&gt;"",E1040&lt;&gt;"!!!"),"NEW","")))</f>
        <v> </v>
      </c>
      <c r="G1040" s="23" t="str">
        <f>IF(OR(E1040="",E1040="!!!"),"",IF(OR(J1040=0,AND(J1040=1,K1040=1),AND(J1040=1,I1040="SBJ"),AND(J1040=1,I1040=0)),"?IN_FOCUS",IF(J1040&lt;=2,"?ACTIVATED",IF(J1040&lt;&gt;"","?FAMILIAR",IF(F1040="NEW",IF(ISNA(VLOOKUP(E1040,#REF!,1,FALSE())),"?TYPE_IDENTIFIABLE","?REFERENTIAL"),"_")))))</f>
        <v> </v>
      </c>
      <c r="H1040" s="24" t="str">
        <f>IF(J1040&lt;&gt;1,"",IF(I1040="SBJ","CB","?"))</f>
        <v> </v>
      </c>
      <c r="I1040" s="25" t="str">
        <f>IF(OR(E1040="",E1040="!!!",F1040="NEW"),"",INDEX(B1039:B$2,-1+SUMPRODUCT(MAX(ROW(E1039:E$2)*(E1040=E1039:E$2)))))</f>
        <v> </v>
      </c>
      <c r="J1040" s="25" t="str">
        <f>IF(OR(E1040="",E1040="!!!",F1040="NEW"),"",COUNTBLANK(OFFSET(A$1,,,SUMPRODUCT(MAX(ROW(E$2:E1040)*(E1040=E$2:E1040)))))-COUNTBLANK(OFFSET(A$1,,,SUMPRODUCT(MAX(ROW(E$1:E1039)*(E2=E$1:E1039))))))</f>
        <v> </v>
      </c>
      <c r="K1040" s="25" t="str">
        <f>IF(OR(E1040="",E1040="!!!",F1040="NEW"),"",INDEX(J$1:J1039,SUMPRODUCT(MAX(ROW(E$1:E1039)*(E1040=E$1:E1039)))))</f>
        <v> </v>
      </c>
      <c r="L1040" s="26"/>
    </row>
    <row r="1041" spans="1:12">
      <c r="A1041" s="20" t="s">
        <v>248</v>
      </c>
      <c r="E1041" s="21">
        <f>IF(D1041="?OLD","!!!","")</f>
        <v/>
      </c>
      <c r="F1041" s="22" t="str">
        <f>IF(OR(E1041="",E1041="!!!"),"",IF(NOT(ISNA(VLOOKUP(E1041,E$1:E1040,1,FALSE()))),"OLD",IF(AND(E1041&lt;&gt;"",E1041&lt;&gt;"!!!"),"NEW","")))</f>
        <v> </v>
      </c>
      <c r="G1041" s="23" t="str">
        <f>IF(OR(E1041="",E1041="!!!"),"",IF(OR(J1041=0,AND(J1041=1,K1041=1),AND(J1041=1,I1041="SBJ"),AND(J1041=1,I1041=0)),"?IN_FOCUS",IF(J1041&lt;=2,"?ACTIVATED",IF(J1041&lt;&gt;"","?FAMILIAR",IF(F1041="NEW",IF(ISNA(VLOOKUP(E1041,#REF!,1,FALSE())),"?TYPE_IDENTIFIABLE","?REFERENTIAL"),"_")))))</f>
        <v> </v>
      </c>
      <c r="H1041" s="24" t="str">
        <f>IF(J1041&lt;&gt;1,"",IF(I1041="SBJ","CB","?"))</f>
        <v> </v>
      </c>
      <c r="I1041" s="25" t="str">
        <f>IF(OR(E1041="",E1041="!!!",F1041="NEW"),"",INDEX(B1040:B$2,-1+SUMPRODUCT(MAX(ROW(E1040:E$2)*(E1041=E1040:E$2)))))</f>
        <v> </v>
      </c>
      <c r="J1041" s="25" t="str">
        <f>IF(OR(E1041="",E1041="!!!",F1041="NEW"),"",COUNTBLANK(OFFSET(A$1,,,SUMPRODUCT(MAX(ROW(E$2:E1041)*(E1041=E$2:E1041)))))-COUNTBLANK(OFFSET(A$1,,,SUMPRODUCT(MAX(ROW(E$1:E1040)*(E2=E$1:E1040))))))</f>
        <v> </v>
      </c>
      <c r="K1041" s="25" t="str">
        <f>IF(OR(E1041="",E1041="!!!",F1041="NEW"),"",INDEX(J$1:J1040,SUMPRODUCT(MAX(ROW(E$1:E1040)*(E1041=E$1:E1040)))))</f>
        <v> </v>
      </c>
      <c r="L1041" s="26"/>
    </row>
    <row r="1042" spans="1:12">
      <c r="A1042" s="20" t="s">
        <v>705</v>
      </c>
      <c r="B1042" s="27" t="s">
        <v>301</v>
      </c>
      <c r="C1042" s="27" t="s">
        <v>252</v>
      </c>
      <c r="D1042" s="27" t="s">
        <v>244</v>
      </c>
      <c r="E1042" s="21">
        <f>IF(D1042="?OLD","!!!","")</f>
        <v/>
      </c>
      <c r="F1042" s="22" t="str">
        <f>IF(OR(E1042="",E1042="!!!"),"",IF(NOT(ISNA(VLOOKUP(E1042,E$1:E1041,1,FALSE()))),"OLD",IF(AND(E1042&lt;&gt;"",E1042&lt;&gt;"!!!"),"NEW","")))</f>
        <v> </v>
      </c>
      <c r="G1042" s="23" t="str">
        <f>IF(OR(E1042="",E1042="!!!"),"",IF(OR(J1042=0,AND(J1042=1,K1042=1),AND(J1042=1,I1042="SBJ"),AND(J1042=1,I1042=0)),"?IN_FOCUS",IF(J1042&lt;=2,"?ACTIVATED",IF(J1042&lt;&gt;"","?FAMILIAR",IF(F1042="NEW",IF(ISNA(VLOOKUP(E1042,#REF!,1,FALSE())),"?TYPE_IDENTIFIABLE","?REFERENTIAL"),"_")))))</f>
        <v> </v>
      </c>
      <c r="H1042" s="24" t="str">
        <f>IF(J1042&lt;&gt;1,"",IF(I1042="SBJ","CB","?"))</f>
        <v> </v>
      </c>
      <c r="I1042" s="25" t="str">
        <f>IF(OR(E1042="",E1042="!!!",F1042="NEW"),"",INDEX(B1041:B$2,-1+SUMPRODUCT(MAX(ROW(E1041:E$2)*(E1042=E1041:E$2)))))</f>
        <v> </v>
      </c>
      <c r="J1042" s="25" t="str">
        <f>IF(OR(E1042="",E1042="!!!",F1042="NEW"),"",COUNTBLANK(OFFSET(A$1,,,SUMPRODUCT(MAX(ROW(E$2:E1042)*(E1042=E$2:E1042)))))-COUNTBLANK(OFFSET(A$1,,,SUMPRODUCT(MAX(ROW(E$1:E1041)*(E2=E$1:E1041))))))</f>
        <v> </v>
      </c>
      <c r="K1042" s="25" t="str">
        <f>IF(OR(E1042="",E1042="!!!",F1042="NEW"),"",INDEX(J$1:J1041,SUMPRODUCT(MAX(ROW(E$1:E1041)*(E1042=E$1:E1041)))))</f>
        <v> </v>
      </c>
      <c r="L1042" s="26"/>
    </row>
    <row r="1043" spans="1:12">
      <c r="A1043" s="20" t="s">
        <v>305</v>
      </c>
      <c r="E1043" s="21">
        <f>IF(D1043="?OLD","!!!","")</f>
        <v/>
      </c>
      <c r="F1043" s="22" t="str">
        <f>IF(OR(E1043="",E1043="!!!"),"",IF(NOT(ISNA(VLOOKUP(E1043,E$1:E1042,1,FALSE()))),"OLD",IF(AND(E1043&lt;&gt;"",E1043&lt;&gt;"!!!"),"NEW","")))</f>
        <v> </v>
      </c>
      <c r="G1043" s="23" t="str">
        <f>IF(OR(E1043="",E1043="!!!"),"",IF(OR(J1043=0,AND(J1043=1,K1043=1),AND(J1043=1,I1043="SBJ"),AND(J1043=1,I1043=0)),"?IN_FOCUS",IF(J1043&lt;=2,"?ACTIVATED",IF(J1043&lt;&gt;"","?FAMILIAR",IF(F1043="NEW",IF(ISNA(VLOOKUP(E1043,#REF!,1,FALSE())),"?TYPE_IDENTIFIABLE","?REFERENTIAL"),"_")))))</f>
        <v> </v>
      </c>
      <c r="H1043" s="24" t="str">
        <f>IF(J1043&lt;&gt;1,"",IF(I1043="SBJ","CB","?"))</f>
        <v> </v>
      </c>
      <c r="I1043" s="25" t="str">
        <f>IF(OR(E1043="",E1043="!!!",F1043="NEW"),"",INDEX(B1042:B$2,-1+SUMPRODUCT(MAX(ROW(E1042:E$2)*(E1043=E1042:E$2)))))</f>
        <v> </v>
      </c>
      <c r="J1043" s="25" t="str">
        <f>IF(OR(E1043="",E1043="!!!",F1043="NEW"),"",COUNTBLANK(OFFSET(A$1,,,SUMPRODUCT(MAX(ROW(E$2:E1043)*(E1043=E$2:E1043)))))-COUNTBLANK(OFFSET(A$1,,,SUMPRODUCT(MAX(ROW(E$1:E1042)*(E2=E$1:E1042))))))</f>
        <v> </v>
      </c>
      <c r="K1043" s="25" t="str">
        <f>IF(OR(E1043="",E1043="!!!",F1043="NEW"),"",INDEX(J$1:J1042,SUMPRODUCT(MAX(ROW(E$1:E1042)*(E1043=E$1:E1042)))))</f>
        <v> </v>
      </c>
      <c r="L1043" s="26"/>
    </row>
    <row r="1044" spans="1:12">
      <c r="A1044" s="20" t="s">
        <v>314</v>
      </c>
      <c r="E1044" s="21">
        <f>IF(D1044="?OLD","!!!","")</f>
        <v/>
      </c>
      <c r="F1044" s="22" t="str">
        <f>IF(OR(E1044="",E1044="!!!"),"",IF(NOT(ISNA(VLOOKUP(E1044,E$1:E1043,1,FALSE()))),"OLD",IF(AND(E1044&lt;&gt;"",E1044&lt;&gt;"!!!"),"NEW","")))</f>
        <v> </v>
      </c>
      <c r="G1044" s="23" t="str">
        <f>IF(OR(E1044="",E1044="!!!"),"",IF(OR(J1044=0,AND(J1044=1,K1044=1),AND(J1044=1,I1044="SBJ"),AND(J1044=1,I1044=0)),"?IN_FOCUS",IF(J1044&lt;=2,"?ACTIVATED",IF(J1044&lt;&gt;"","?FAMILIAR",IF(F1044="NEW",IF(ISNA(VLOOKUP(E1044,#REF!,1,FALSE())),"?TYPE_IDENTIFIABLE","?REFERENTIAL"),"_")))))</f>
        <v> </v>
      </c>
      <c r="H1044" s="24" t="str">
        <f>IF(J1044&lt;&gt;1,"",IF(I1044="SBJ","CB","?"))</f>
        <v> </v>
      </c>
      <c r="I1044" s="25" t="str">
        <f>IF(OR(E1044="",E1044="!!!",F1044="NEW"),"",INDEX(B1043:B$2,-1+SUMPRODUCT(MAX(ROW(E1043:E$2)*(E1044=E1043:E$2)))))</f>
        <v> </v>
      </c>
      <c r="J1044" s="25" t="str">
        <f>IF(OR(E1044="",E1044="!!!",F1044="NEW"),"",COUNTBLANK(OFFSET(A$1,,,SUMPRODUCT(MAX(ROW(E$2:E1044)*(E1044=E$2:E1044)))))-COUNTBLANK(OFFSET(A$1,,,SUMPRODUCT(MAX(ROW(E$1:E1043)*(E2=E$1:E1043))))))</f>
        <v> </v>
      </c>
      <c r="K1044" s="25" t="str">
        <f>IF(OR(E1044="",E1044="!!!",F1044="NEW"),"",INDEX(J$1:J1043,SUMPRODUCT(MAX(ROW(E$1:E1043)*(E1044=E$1:E1043)))))</f>
        <v> </v>
      </c>
      <c r="L1044" s="26"/>
    </row>
    <row r="1045" spans="1:12">
      <c r="A1045" s="20" t="s">
        <v>377</v>
      </c>
      <c r="E1045" s="21">
        <f>IF(D1045="?OLD","!!!","")</f>
        <v/>
      </c>
      <c r="F1045" s="22" t="str">
        <f>IF(OR(E1045="",E1045="!!!"),"",IF(NOT(ISNA(VLOOKUP(E1045,E$1:E1044,1,FALSE()))),"OLD",IF(AND(E1045&lt;&gt;"",E1045&lt;&gt;"!!!"),"NEW","")))</f>
        <v> </v>
      </c>
      <c r="G1045" s="23" t="str">
        <f>IF(OR(E1045="",E1045="!!!"),"",IF(OR(J1045=0,AND(J1045=1,K1045=1),AND(J1045=1,I1045="SBJ"),AND(J1045=1,I1045=0)),"?IN_FOCUS",IF(J1045&lt;=2,"?ACTIVATED",IF(J1045&lt;&gt;"","?FAMILIAR",IF(F1045="NEW",IF(ISNA(VLOOKUP(E1045,#REF!,1,FALSE())),"?TYPE_IDENTIFIABLE","?REFERENTIAL"),"_")))))</f>
        <v> </v>
      </c>
      <c r="H1045" s="24" t="str">
        <f>IF(J1045&lt;&gt;1,"",IF(I1045="SBJ","CB","?"))</f>
        <v> </v>
      </c>
      <c r="I1045" s="25" t="str">
        <f>IF(OR(E1045="",E1045="!!!",F1045="NEW"),"",INDEX(B1044:B$2,-1+SUMPRODUCT(MAX(ROW(E1044:E$2)*(E1045=E1044:E$2)))))</f>
        <v> </v>
      </c>
      <c r="J1045" s="25" t="str">
        <f>IF(OR(E1045="",E1045="!!!",F1045="NEW"),"",COUNTBLANK(OFFSET(A$1,,,SUMPRODUCT(MAX(ROW(E$2:E1045)*(E1045=E$2:E1045)))))-COUNTBLANK(OFFSET(A$1,,,SUMPRODUCT(MAX(ROW(E$1:E1044)*(E2=E$1:E1044))))))</f>
        <v> </v>
      </c>
      <c r="K1045" s="25" t="str">
        <f>IF(OR(E1045="",E1045="!!!",F1045="NEW"),"",INDEX(J$1:J1044,SUMPRODUCT(MAX(ROW(E$1:E1044)*(E1045=E$1:E1044)))))</f>
        <v> </v>
      </c>
      <c r="L1045" s="26"/>
    </row>
    <row r="1046" spans="1:12">
      <c r="A1046" s="20" t="s">
        <v>273</v>
      </c>
      <c r="E1046" s="21">
        <f>IF(D1046="?OLD","!!!","")</f>
        <v/>
      </c>
      <c r="F1046" s="22" t="str">
        <f>IF(OR(E1046="",E1046="!!!"),"",IF(NOT(ISNA(VLOOKUP(E1046,E$1:E1045,1,FALSE()))),"OLD",IF(AND(E1046&lt;&gt;"",E1046&lt;&gt;"!!!"),"NEW","")))</f>
        <v> </v>
      </c>
      <c r="G1046" s="23" t="str">
        <f>IF(OR(E1046="",E1046="!!!"),"",IF(OR(J1046=0,AND(J1046=1,K1046=1),AND(J1046=1,I1046="SBJ"),AND(J1046=1,I1046=0)),"?IN_FOCUS",IF(J1046&lt;=2,"?ACTIVATED",IF(J1046&lt;&gt;"","?FAMILIAR",IF(F1046="NEW",IF(ISNA(VLOOKUP(E1046,#REF!,1,FALSE())),"?TYPE_IDENTIFIABLE","?REFERENTIAL"),"_")))))</f>
        <v> </v>
      </c>
      <c r="H1046" s="24" t="str">
        <f>IF(J1046&lt;&gt;1,"",IF(I1046="SBJ","CB","?"))</f>
        <v> </v>
      </c>
      <c r="I1046" s="25" t="str">
        <f>IF(OR(E1046="",E1046="!!!",F1046="NEW"),"",INDEX(B1045:B$2,-1+SUMPRODUCT(MAX(ROW(E1045:E$2)*(E1046=E1045:E$2)))))</f>
        <v> </v>
      </c>
      <c r="J1046" s="25" t="str">
        <f>IF(OR(E1046="",E1046="!!!",F1046="NEW"),"",COUNTBLANK(OFFSET(A$1,,,SUMPRODUCT(MAX(ROW(E$2:E1046)*(E1046=E$2:E1046)))))-COUNTBLANK(OFFSET(A$1,,,SUMPRODUCT(MAX(ROW(E$1:E1045)*(E2=E$1:E1045))))))</f>
        <v> </v>
      </c>
      <c r="K1046" s="25" t="str">
        <f>IF(OR(E1046="",E1046="!!!",F1046="NEW"),"",INDEX(J$1:J1045,SUMPRODUCT(MAX(ROW(E$1:E1045)*(E1046=E$1:E1045)))))</f>
        <v> </v>
      </c>
      <c r="L1046" s="26"/>
    </row>
    <row r="1047" spans="1:12">
      <c r="A1047" s="20" t="s">
        <v>260</v>
      </c>
      <c r="B1047" s="27" t="s">
        <v>291</v>
      </c>
      <c r="C1047" s="27" t="s">
        <v>401</v>
      </c>
      <c r="D1047" s="27" t="s">
        <v>244</v>
      </c>
      <c r="E1047" s="21">
        <f>IF(D1047="?OLD","!!!","")</f>
        <v/>
      </c>
      <c r="F1047" s="22" t="str">
        <f>IF(OR(E1047="",E1047="!!!"),"",IF(NOT(ISNA(VLOOKUP(E1047,E$1:E1046,1,FALSE()))),"OLD",IF(AND(E1047&lt;&gt;"",E1047&lt;&gt;"!!!"),"NEW","")))</f>
        <v> </v>
      </c>
      <c r="G1047" s="23" t="str">
        <f>IF(OR(E1047="",E1047="!!!"),"",IF(OR(J1047=0,AND(J1047=1,K1047=1),AND(J1047=1,I1047="SBJ"),AND(J1047=1,I1047=0)),"?IN_FOCUS",IF(J1047&lt;=2,"?ACTIVATED",IF(J1047&lt;&gt;"","?FAMILIAR",IF(F1047="NEW",IF(ISNA(VLOOKUP(E1047,#REF!,1,FALSE())),"?TYPE_IDENTIFIABLE","?REFERENTIAL"),"_")))))</f>
        <v> </v>
      </c>
      <c r="H1047" s="24" t="str">
        <f>IF(J1047&lt;&gt;1,"",IF(I1047="SBJ","CB","?"))</f>
        <v> </v>
      </c>
      <c r="I1047" s="25" t="str">
        <f>IF(OR(E1047="",E1047="!!!",F1047="NEW"),"",INDEX(B1046:B$2,-1+SUMPRODUCT(MAX(ROW(E1046:E$2)*(E1047=E1046:E$2)))))</f>
        <v> </v>
      </c>
      <c r="J1047" s="25" t="str">
        <f>IF(OR(E1047="",E1047="!!!",F1047="NEW"),"",COUNTBLANK(OFFSET(A$1,,,SUMPRODUCT(MAX(ROW(E$2:E1047)*(E1047=E$2:E1047)))))-COUNTBLANK(OFFSET(A$1,,,SUMPRODUCT(MAX(ROW(E$1:E1046)*(E2=E$1:E1046))))))</f>
        <v> </v>
      </c>
      <c r="K1047" s="25" t="str">
        <f>IF(OR(E1047="",E1047="!!!",F1047="NEW"),"",INDEX(J$1:J1046,SUMPRODUCT(MAX(ROW(E$1:E1046)*(E1047=E$1:E1046)))))</f>
        <v> </v>
      </c>
      <c r="L1047" s="26"/>
    </row>
    <row r="1048" spans="1:12">
      <c r="A1048" s="20" t="s">
        <v>305</v>
      </c>
      <c r="E1048" s="21">
        <f>IF(D1048="?OLD","!!!","")</f>
        <v/>
      </c>
      <c r="F1048" s="22" t="str">
        <f>IF(OR(E1048="",E1048="!!!"),"",IF(NOT(ISNA(VLOOKUP(E1048,E$1:E1047,1,FALSE()))),"OLD",IF(AND(E1048&lt;&gt;"",E1048&lt;&gt;"!!!"),"NEW","")))</f>
        <v> </v>
      </c>
      <c r="G1048" s="23" t="str">
        <f>IF(OR(E1048="",E1048="!!!"),"",IF(OR(J1048=0,AND(J1048=1,K1048=1),AND(J1048=1,I1048="SBJ"),AND(J1048=1,I1048=0)),"?IN_FOCUS",IF(J1048&lt;=2,"?ACTIVATED",IF(J1048&lt;&gt;"","?FAMILIAR",IF(F1048="NEW",IF(ISNA(VLOOKUP(E1048,#REF!,1,FALSE())),"?TYPE_IDENTIFIABLE","?REFERENTIAL"),"_")))))</f>
        <v> </v>
      </c>
      <c r="H1048" s="24" t="str">
        <f>IF(J1048&lt;&gt;1,"",IF(I1048="SBJ","CB","?"))</f>
        <v> </v>
      </c>
      <c r="I1048" s="25" t="str">
        <f>IF(OR(E1048="",E1048="!!!",F1048="NEW"),"",INDEX(B1047:B$2,-1+SUMPRODUCT(MAX(ROW(E1047:E$2)*(E1048=E1047:E$2)))))</f>
        <v> </v>
      </c>
      <c r="J1048" s="25" t="str">
        <f>IF(OR(E1048="",E1048="!!!",F1048="NEW"),"",COUNTBLANK(OFFSET(A$1,,,SUMPRODUCT(MAX(ROW(E$2:E1048)*(E1048=E$2:E1048)))))-COUNTBLANK(OFFSET(A$1,,,SUMPRODUCT(MAX(ROW(E$1:E1047)*(E2=E$1:E1047))))))</f>
        <v> </v>
      </c>
      <c r="K1048" s="25" t="str">
        <f>IF(OR(E1048="",E1048="!!!",F1048="NEW"),"",INDEX(J$1:J1047,SUMPRODUCT(MAX(ROW(E$1:E1047)*(E1048=E$1:E1047)))))</f>
        <v> </v>
      </c>
      <c r="L1048" s="26"/>
    </row>
    <row r="1049" spans="1:12">
      <c r="A1049" s="20" t="s">
        <v>393</v>
      </c>
      <c r="B1049" s="27" t="s">
        <v>295</v>
      </c>
      <c r="C1049" s="27" t="s">
        <v>256</v>
      </c>
      <c r="D1049" s="27" t="s">
        <v>244</v>
      </c>
      <c r="E1049" s="21">
        <f>IF(D1049="?OLD","!!!","")</f>
        <v/>
      </c>
      <c r="F1049" s="22" t="str">
        <f>IF(OR(E1049="",E1049="!!!"),"",IF(NOT(ISNA(VLOOKUP(E1049,E$1:E1048,1,FALSE()))),"OLD",IF(AND(E1049&lt;&gt;"",E1049&lt;&gt;"!!!"),"NEW","")))</f>
        <v> </v>
      </c>
      <c r="G1049" s="23" t="str">
        <f>IF(OR(E1049="",E1049="!!!"),"",IF(OR(J1049=0,AND(J1049=1,K1049=1),AND(J1049=1,I1049="SBJ"),AND(J1049=1,I1049=0)),"?IN_FOCUS",IF(J1049&lt;=2,"?ACTIVATED",IF(J1049&lt;&gt;"","?FAMILIAR",IF(F1049="NEW",IF(ISNA(VLOOKUP(E1049,#REF!,1,FALSE())),"?TYPE_IDENTIFIABLE","?REFERENTIAL"),"_")))))</f>
        <v> </v>
      </c>
      <c r="H1049" s="24" t="str">
        <f>IF(J1049&lt;&gt;1,"",IF(I1049="SBJ","CB","?"))</f>
        <v> </v>
      </c>
      <c r="I1049" s="25" t="str">
        <f>IF(OR(E1049="",E1049="!!!",F1049="NEW"),"",INDEX(B1048:B$2,-1+SUMPRODUCT(MAX(ROW(E1048:E$2)*(E1049=E1048:E$2)))))</f>
        <v> </v>
      </c>
      <c r="J1049" s="25" t="str">
        <f>IF(OR(E1049="",E1049="!!!",F1049="NEW"),"",COUNTBLANK(OFFSET(A$1,,,SUMPRODUCT(MAX(ROW(E$2:E1049)*(E1049=E$2:E1049)))))-COUNTBLANK(OFFSET(A$1,,,SUMPRODUCT(MAX(ROW(E$1:E1048)*(E2=E$1:E1048))))))</f>
        <v> </v>
      </c>
      <c r="K1049" s="25" t="str">
        <f>IF(OR(E1049="",E1049="!!!",F1049="NEW"),"",INDEX(J$1:J1048,SUMPRODUCT(MAX(ROW(E$1:E1048)*(E1049=E$1:E1048)))))</f>
        <v> </v>
      </c>
      <c r="L1049" s="26"/>
    </row>
    <row r="1050" spans="1:12">
      <c r="A1050" s="20" t="s">
        <v>706</v>
      </c>
      <c r="E1050" s="21">
        <f>IF(D1050="?OLD","!!!","")</f>
        <v/>
      </c>
      <c r="F1050" s="22" t="str">
        <f>IF(OR(E1050="",E1050="!!!"),"",IF(NOT(ISNA(VLOOKUP(E1050,E$1:E1049,1,FALSE()))),"OLD",IF(AND(E1050&lt;&gt;"",E1050&lt;&gt;"!!!"),"NEW","")))</f>
        <v> </v>
      </c>
      <c r="G1050" s="23" t="str">
        <f>IF(OR(E1050="",E1050="!!!"),"",IF(OR(J1050=0,AND(J1050=1,K1050=1),AND(J1050=1,I1050="SBJ"),AND(J1050=1,I1050=0)),"?IN_FOCUS",IF(J1050&lt;=2,"?ACTIVATED",IF(J1050&lt;&gt;"","?FAMILIAR",IF(F1050="NEW",IF(ISNA(VLOOKUP(E1050,#REF!,1,FALSE())),"?TYPE_IDENTIFIABLE","?REFERENTIAL"),"_")))))</f>
        <v> </v>
      </c>
      <c r="H1050" s="24" t="str">
        <f>IF(J1050&lt;&gt;1,"",IF(I1050="SBJ","CB","?"))</f>
        <v> </v>
      </c>
      <c r="I1050" s="25" t="str">
        <f>IF(OR(E1050="",E1050="!!!",F1050="NEW"),"",INDEX(B1049:B$2,-1+SUMPRODUCT(MAX(ROW(E1049:E$2)*(E1050=E1049:E$2)))))</f>
        <v> </v>
      </c>
      <c r="J1050" s="25" t="str">
        <f>IF(OR(E1050="",E1050="!!!",F1050="NEW"),"",COUNTBLANK(OFFSET(A$1,,,SUMPRODUCT(MAX(ROW(E$2:E1050)*(E1050=E$2:E1050)))))-COUNTBLANK(OFFSET(A$1,,,SUMPRODUCT(MAX(ROW(E$1:E1049)*(E2=E$1:E1049))))))</f>
        <v> </v>
      </c>
      <c r="K1050" s="25" t="str">
        <f>IF(OR(E1050="",E1050="!!!",F1050="NEW"),"",INDEX(J$1:J1049,SUMPRODUCT(MAX(ROW(E$1:E1049)*(E1050=E$1:E1049)))))</f>
        <v> </v>
      </c>
      <c r="L1050" s="26"/>
    </row>
    <row r="1051" spans="1:12">
      <c r="A1051" s="20" t="s">
        <v>346</v>
      </c>
      <c r="E1051" s="21">
        <f>IF(D1051="?OLD","!!!","")</f>
        <v/>
      </c>
      <c r="F1051" s="22" t="str">
        <f>IF(OR(E1051="",E1051="!!!"),"",IF(NOT(ISNA(VLOOKUP(E1051,E$1:E1050,1,FALSE()))),"OLD",IF(AND(E1051&lt;&gt;"",E1051&lt;&gt;"!!!"),"NEW","")))</f>
        <v> </v>
      </c>
      <c r="G1051" s="23" t="str">
        <f>IF(OR(E1051="",E1051="!!!"),"",IF(OR(J1051=0,AND(J1051=1,K1051=1),AND(J1051=1,I1051="SBJ"),AND(J1051=1,I1051=0)),"?IN_FOCUS",IF(J1051&lt;=2,"?ACTIVATED",IF(J1051&lt;&gt;"","?FAMILIAR",IF(F1051="NEW",IF(ISNA(VLOOKUP(E1051,#REF!,1,FALSE())),"?TYPE_IDENTIFIABLE","?REFERENTIAL"),"_")))))</f>
        <v> </v>
      </c>
      <c r="H1051" s="24" t="str">
        <f>IF(J1051&lt;&gt;1,"",IF(I1051="SBJ","CB","?"))</f>
        <v> </v>
      </c>
      <c r="I1051" s="25" t="str">
        <f>IF(OR(E1051="",E1051="!!!",F1051="NEW"),"",INDEX(B1050:B$2,-1+SUMPRODUCT(MAX(ROW(E1050:E$2)*(E1051=E1050:E$2)))))</f>
        <v> </v>
      </c>
      <c r="J1051" s="25" t="str">
        <f>IF(OR(E1051="",E1051="!!!",F1051="NEW"),"",COUNTBLANK(OFFSET(A$1,,,SUMPRODUCT(MAX(ROW(E$2:E1051)*(E1051=E$2:E1051)))))-COUNTBLANK(OFFSET(A$1,,,SUMPRODUCT(MAX(ROW(E$1:E1050)*(E2=E$1:E1050))))))</f>
        <v> </v>
      </c>
      <c r="K1051" s="25" t="str">
        <f>IF(OR(E1051="",E1051="!!!",F1051="NEW"),"",INDEX(J$1:J1050,SUMPRODUCT(MAX(ROW(E$1:E1050)*(E1051=E$1:E1050)))))</f>
        <v> </v>
      </c>
      <c r="L1051" s="26"/>
    </row>
    <row r="1052" spans="1:12">
      <c r="A1052" s="20" t="s">
        <v>299</v>
      </c>
      <c r="E1052" s="21">
        <f>IF(D1052="?OLD","!!!","")</f>
        <v/>
      </c>
      <c r="F1052" s="22" t="str">
        <f>IF(OR(E1052="",E1052="!!!"),"",IF(NOT(ISNA(VLOOKUP(E1052,E$1:E1051,1,FALSE()))),"OLD",IF(AND(E1052&lt;&gt;"",E1052&lt;&gt;"!!!"),"NEW","")))</f>
        <v> </v>
      </c>
      <c r="G1052" s="23" t="str">
        <f>IF(OR(E1052="",E1052="!!!"),"",IF(OR(J1052=0,AND(J1052=1,K1052=1),AND(J1052=1,I1052="SBJ"),AND(J1052=1,I1052=0)),"?IN_FOCUS",IF(J1052&lt;=2,"?ACTIVATED",IF(J1052&lt;&gt;"","?FAMILIAR",IF(F1052="NEW",IF(ISNA(VLOOKUP(E1052,#REF!,1,FALSE())),"?TYPE_IDENTIFIABLE","?REFERENTIAL"),"_")))))</f>
        <v> </v>
      </c>
      <c r="H1052" s="24" t="str">
        <f>IF(J1052&lt;&gt;1,"",IF(I1052="SBJ","CB","?"))</f>
        <v> </v>
      </c>
      <c r="I1052" s="25" t="str">
        <f>IF(OR(E1052="",E1052="!!!",F1052="NEW"),"",INDEX(B1051:B$2,-1+SUMPRODUCT(MAX(ROW(E1051:E$2)*(E1052=E1051:E$2)))))</f>
        <v> </v>
      </c>
      <c r="J1052" s="25" t="str">
        <f>IF(OR(E1052="",E1052="!!!",F1052="NEW"),"",COUNTBLANK(OFFSET(A$1,,,SUMPRODUCT(MAX(ROW(E$2:E1052)*(E1052=E$2:E1052)))))-COUNTBLANK(OFFSET(A$1,,,SUMPRODUCT(MAX(ROW(E$1:E1051)*(E2=E$1:E1051))))))</f>
        <v> </v>
      </c>
      <c r="K1052" s="25" t="str">
        <f>IF(OR(E1052="",E1052="!!!",F1052="NEW"),"",INDEX(J$1:J1051,SUMPRODUCT(MAX(ROW(E$1:E1051)*(E1052=E$1:E1051)))))</f>
        <v> </v>
      </c>
      <c r="L1052" s="26"/>
    </row>
    <row r="1053" spans="1:12">
      <c r="A1053" s="20" t="s">
        <v>248</v>
      </c>
      <c r="E1053" s="21">
        <f>IF(D1053="?OLD","!!!","")</f>
        <v/>
      </c>
      <c r="F1053" s="22" t="str">
        <f>IF(OR(E1053="",E1053="!!!"),"",IF(NOT(ISNA(VLOOKUP(E1053,E$1:E1052,1,FALSE()))),"OLD",IF(AND(E1053&lt;&gt;"",E1053&lt;&gt;"!!!"),"NEW","")))</f>
        <v> </v>
      </c>
      <c r="G1053" s="23" t="str">
        <f>IF(OR(E1053="",E1053="!!!"),"",IF(OR(J1053=0,AND(J1053=1,K1053=1),AND(J1053=1,I1053="SBJ"),AND(J1053=1,I1053=0)),"?IN_FOCUS",IF(J1053&lt;=2,"?ACTIVATED",IF(J1053&lt;&gt;"","?FAMILIAR",IF(F1053="NEW",IF(ISNA(VLOOKUP(E1053,#REF!,1,FALSE())),"?TYPE_IDENTIFIABLE","?REFERENTIAL"),"_")))))</f>
        <v> </v>
      </c>
      <c r="H1053" s="24" t="str">
        <f>IF(J1053&lt;&gt;1,"",IF(I1053="SBJ","CB","?"))</f>
        <v> </v>
      </c>
      <c r="I1053" s="25" t="str">
        <f>IF(OR(E1053="",E1053="!!!",F1053="NEW"),"",INDEX(B1052:B$2,-1+SUMPRODUCT(MAX(ROW(E1052:E$2)*(E1053=E1052:E$2)))))</f>
        <v> </v>
      </c>
      <c r="J1053" s="25" t="str">
        <f>IF(OR(E1053="",E1053="!!!",F1053="NEW"),"",COUNTBLANK(OFFSET(A$1,,,SUMPRODUCT(MAX(ROW(E$2:E1053)*(E1053=E$2:E1053)))))-COUNTBLANK(OFFSET(A$1,,,SUMPRODUCT(MAX(ROW(E$1:E1052)*(E2=E$1:E1052))))))</f>
        <v> </v>
      </c>
      <c r="K1053" s="25" t="str">
        <f>IF(OR(E1053="",E1053="!!!",F1053="NEW"),"",INDEX(J$1:J1052,SUMPRODUCT(MAX(ROW(E$1:E1052)*(E1053=E$1:E1052)))))</f>
        <v> </v>
      </c>
      <c r="L1053" s="26"/>
    </row>
    <row r="1054" spans="1:12">
      <c r="A1054" s="20" t="s">
        <v>333</v>
      </c>
      <c r="B1054" s="27" t="s">
        <v>301</v>
      </c>
      <c r="C1054" s="27" t="s">
        <v>252</v>
      </c>
      <c r="D1054" s="27" t="s">
        <v>244</v>
      </c>
      <c r="E1054" s="21">
        <f>IF(D1054="?OLD","!!!","")</f>
        <v/>
      </c>
      <c r="F1054" s="22" t="str">
        <f>IF(OR(E1054="",E1054="!!!"),"",IF(NOT(ISNA(VLOOKUP(E1054,E$1:E1053,1,FALSE()))),"OLD",IF(AND(E1054&lt;&gt;"",E1054&lt;&gt;"!!!"),"NEW","")))</f>
        <v> </v>
      </c>
      <c r="G1054" s="23" t="str">
        <f>IF(OR(E1054="",E1054="!!!"),"",IF(OR(J1054=0,AND(J1054=1,K1054=1),AND(J1054=1,I1054="SBJ"),AND(J1054=1,I1054=0)),"?IN_FOCUS",IF(J1054&lt;=2,"?ACTIVATED",IF(J1054&lt;&gt;"","?FAMILIAR",IF(F1054="NEW",IF(ISNA(VLOOKUP(E1054,#REF!,1,FALSE())),"?TYPE_IDENTIFIABLE","?REFERENTIAL"),"_")))))</f>
        <v> </v>
      </c>
      <c r="H1054" s="24" t="str">
        <f>IF(J1054&lt;&gt;1,"",IF(I1054="SBJ","CB","?"))</f>
        <v> </v>
      </c>
      <c r="I1054" s="25" t="str">
        <f>IF(OR(E1054="",E1054="!!!",F1054="NEW"),"",INDEX(B1053:B$2,-1+SUMPRODUCT(MAX(ROW(E1053:E$2)*(E1054=E1053:E$2)))))</f>
        <v> </v>
      </c>
      <c r="J1054" s="25" t="str">
        <f>IF(OR(E1054="",E1054="!!!",F1054="NEW"),"",COUNTBLANK(OFFSET(A$1,,,SUMPRODUCT(MAX(ROW(E$2:E1054)*(E1054=E$2:E1054)))))-COUNTBLANK(OFFSET(A$1,,,SUMPRODUCT(MAX(ROW(E$1:E1053)*(E2=E$1:E1053))))))</f>
        <v> </v>
      </c>
      <c r="K1054" s="25" t="str">
        <f>IF(OR(E1054="",E1054="!!!",F1054="NEW"),"",INDEX(J$1:J1053,SUMPRODUCT(MAX(ROW(E$1:E1053)*(E1054=E$1:E1053)))))</f>
        <v> </v>
      </c>
      <c r="L1054" s="26"/>
    </row>
    <row r="1055" spans="1:12">
      <c r="A1055" s="20" t="s">
        <v>393</v>
      </c>
      <c r="B1055" s="27" t="s">
        <v>329</v>
      </c>
      <c r="C1055" s="27" t="s">
        <v>256</v>
      </c>
      <c r="D1055" s="27" t="s">
        <v>244</v>
      </c>
      <c r="E1055" s="21">
        <f>IF(D1055="?OLD","!!!","")</f>
        <v/>
      </c>
      <c r="F1055" s="22" t="str">
        <f>IF(OR(E1055="",E1055="!!!"),"",IF(NOT(ISNA(VLOOKUP(E1055,E$1:E1054,1,FALSE()))),"OLD",IF(AND(E1055&lt;&gt;"",E1055&lt;&gt;"!!!"),"NEW","")))</f>
        <v> </v>
      </c>
      <c r="G1055" s="23" t="str">
        <f>IF(OR(E1055="",E1055="!!!"),"",IF(OR(J1055=0,AND(J1055=1,K1055=1),AND(J1055=1,I1055="SBJ"),AND(J1055=1,I1055=0)),"?IN_FOCUS",IF(J1055&lt;=2,"?ACTIVATED",IF(J1055&lt;&gt;"","?FAMILIAR",IF(F1055="NEW",IF(ISNA(VLOOKUP(E1055,#REF!,1,FALSE())),"?TYPE_IDENTIFIABLE","?REFERENTIAL"),"_")))))</f>
        <v> </v>
      </c>
      <c r="H1055" s="24" t="str">
        <f>IF(J1055&lt;&gt;1,"",IF(I1055="SBJ","CB","?"))</f>
        <v> </v>
      </c>
      <c r="I1055" s="25" t="str">
        <f>IF(OR(E1055="",E1055="!!!",F1055="NEW"),"",INDEX(B1054:B$2,-1+SUMPRODUCT(MAX(ROW(E1054:E$2)*(E1055=E1054:E$2)))))</f>
        <v> </v>
      </c>
      <c r="J1055" s="25" t="str">
        <f>IF(OR(E1055="",E1055="!!!",F1055="NEW"),"",COUNTBLANK(OFFSET(A$1,,,SUMPRODUCT(MAX(ROW(E$2:E1055)*(E1055=E$2:E1055)))))-COUNTBLANK(OFFSET(A$1,,,SUMPRODUCT(MAX(ROW(E$1:E1054)*(E2=E$1:E1054))))))</f>
        <v> </v>
      </c>
      <c r="K1055" s="25" t="str">
        <f>IF(OR(E1055="",E1055="!!!",F1055="NEW"),"",INDEX(J$1:J1054,SUMPRODUCT(MAX(ROW(E$1:E1054)*(E1055=E$1:E1054)))))</f>
        <v> </v>
      </c>
      <c r="L1055" s="26"/>
    </row>
    <row r="1056" spans="1:12">
      <c r="A1056" s="20" t="s">
        <v>706</v>
      </c>
      <c r="E1056" s="21">
        <f>IF(D1056="?OLD","!!!","")</f>
        <v/>
      </c>
      <c r="F1056" s="22" t="str">
        <f>IF(OR(E1056="",E1056="!!!"),"",IF(NOT(ISNA(VLOOKUP(E1056,E$1:E1055,1,FALSE()))),"OLD",IF(AND(E1056&lt;&gt;"",E1056&lt;&gt;"!!!"),"NEW","")))</f>
        <v> </v>
      </c>
      <c r="G1056" s="23" t="str">
        <f>IF(OR(E1056="",E1056="!!!"),"",IF(OR(J1056=0,AND(J1056=1,K1056=1),AND(J1056=1,I1056="SBJ"),AND(J1056=1,I1056=0)),"?IN_FOCUS",IF(J1056&lt;=2,"?ACTIVATED",IF(J1056&lt;&gt;"","?FAMILIAR",IF(F1056="NEW",IF(ISNA(VLOOKUP(E1056,#REF!,1,FALSE())),"?TYPE_IDENTIFIABLE","?REFERENTIAL"),"_")))))</f>
        <v> </v>
      </c>
      <c r="H1056" s="24" t="str">
        <f>IF(J1056&lt;&gt;1,"",IF(I1056="SBJ","CB","?"))</f>
        <v> </v>
      </c>
      <c r="I1056" s="25" t="str">
        <f>IF(OR(E1056="",E1056="!!!",F1056="NEW"),"",INDEX(B1055:B$2,-1+SUMPRODUCT(MAX(ROW(E1055:E$2)*(E1056=E1055:E$2)))))</f>
        <v> </v>
      </c>
      <c r="J1056" s="25" t="str">
        <f>IF(OR(E1056="",E1056="!!!",F1056="NEW"),"",COUNTBLANK(OFFSET(A$1,,,SUMPRODUCT(MAX(ROW(E$2:E1056)*(E1056=E$2:E1056)))))-COUNTBLANK(OFFSET(A$1,,,SUMPRODUCT(MAX(ROW(E$1:E1055)*(E2=E$1:E1055))))))</f>
        <v> </v>
      </c>
      <c r="K1056" s="25" t="str">
        <f>IF(OR(E1056="",E1056="!!!",F1056="NEW"),"",INDEX(J$1:J1055,SUMPRODUCT(MAX(ROW(E$1:E1055)*(E1056=E$1:E1055)))))</f>
        <v> </v>
      </c>
      <c r="L1056" s="26"/>
    </row>
    <row r="1057" spans="1:12">
      <c r="A1057" s="20" t="s">
        <v>614</v>
      </c>
      <c r="E1057" s="21">
        <f>IF(D1057="?OLD","!!!","")</f>
        <v/>
      </c>
      <c r="F1057" s="22" t="str">
        <f>IF(OR(E1057="",E1057="!!!"),"",IF(NOT(ISNA(VLOOKUP(E1057,E$1:E1056,1,FALSE()))),"OLD",IF(AND(E1057&lt;&gt;"",E1057&lt;&gt;"!!!"),"NEW","")))</f>
        <v> </v>
      </c>
      <c r="G1057" s="23" t="str">
        <f>IF(OR(E1057="",E1057="!!!"),"",IF(OR(J1057=0,AND(J1057=1,K1057=1),AND(J1057=1,I1057="SBJ"),AND(J1057=1,I1057=0)),"?IN_FOCUS",IF(J1057&lt;=2,"?ACTIVATED",IF(J1057&lt;&gt;"","?FAMILIAR",IF(F1057="NEW",IF(ISNA(VLOOKUP(E1057,#REF!,1,FALSE())),"?TYPE_IDENTIFIABLE","?REFERENTIAL"),"_")))))</f>
        <v> </v>
      </c>
      <c r="H1057" s="24" t="str">
        <f>IF(J1057&lt;&gt;1,"",IF(I1057="SBJ","CB","?"))</f>
        <v> </v>
      </c>
      <c r="I1057" s="25" t="str">
        <f>IF(OR(E1057="",E1057="!!!",F1057="NEW"),"",INDEX(B1056:B$2,-1+SUMPRODUCT(MAX(ROW(E1056:E$2)*(E1057=E1056:E$2)))))</f>
        <v> </v>
      </c>
      <c r="J1057" s="25" t="str">
        <f>IF(OR(E1057="",E1057="!!!",F1057="NEW"),"",COUNTBLANK(OFFSET(A$1,,,SUMPRODUCT(MAX(ROW(E$2:E1057)*(E1057=E$2:E1057)))))-COUNTBLANK(OFFSET(A$1,,,SUMPRODUCT(MAX(ROW(E$1:E1056)*(E2=E$1:E1056))))))</f>
        <v> </v>
      </c>
      <c r="K1057" s="25" t="str">
        <f>IF(OR(E1057="",E1057="!!!",F1057="NEW"),"",INDEX(J$1:J1056,SUMPRODUCT(MAX(ROW(E$1:E1056)*(E1057=E$1:E1056)))))</f>
        <v> </v>
      </c>
      <c r="L1057" s="26"/>
    </row>
    <row r="1058" spans="1:12">
      <c r="A1058" s="20" t="s">
        <v>682</v>
      </c>
      <c r="E1058" s="21">
        <f>IF(D1058="?OLD","!!!","")</f>
        <v/>
      </c>
      <c r="F1058" s="22" t="str">
        <f>IF(OR(E1058="",E1058="!!!"),"",IF(NOT(ISNA(VLOOKUP(E1058,E$1:E1057,1,FALSE()))),"OLD",IF(AND(E1058&lt;&gt;"",E1058&lt;&gt;"!!!"),"NEW","")))</f>
        <v> </v>
      </c>
      <c r="G1058" s="23" t="str">
        <f>IF(OR(E1058="",E1058="!!!"),"",IF(OR(J1058=0,AND(J1058=1,K1058=1),AND(J1058=1,I1058="SBJ"),AND(J1058=1,I1058=0)),"?IN_FOCUS",IF(J1058&lt;=2,"?ACTIVATED",IF(J1058&lt;&gt;"","?FAMILIAR",IF(F1058="NEW",IF(ISNA(VLOOKUP(E1058,#REF!,1,FALSE())),"?TYPE_IDENTIFIABLE","?REFERENTIAL"),"_")))))</f>
        <v> </v>
      </c>
      <c r="H1058" s="24" t="str">
        <f>IF(J1058&lt;&gt;1,"",IF(I1058="SBJ","CB","?"))</f>
        <v> </v>
      </c>
      <c r="I1058" s="25" t="str">
        <f>IF(OR(E1058="",E1058="!!!",F1058="NEW"),"",INDEX(B1057:B$2,-1+SUMPRODUCT(MAX(ROW(E1057:E$2)*(E1058=E1057:E$2)))))</f>
        <v> </v>
      </c>
      <c r="J1058" s="25" t="str">
        <f>IF(OR(E1058="",E1058="!!!",F1058="NEW"),"",COUNTBLANK(OFFSET(A$1,,,SUMPRODUCT(MAX(ROW(E$2:E1058)*(E1058=E$2:E1058)))))-COUNTBLANK(OFFSET(A$1,,,SUMPRODUCT(MAX(ROW(E$1:E1057)*(E2=E$1:E1057))))))</f>
        <v> </v>
      </c>
      <c r="K1058" s="25" t="str">
        <f>IF(OR(E1058="",E1058="!!!",F1058="NEW"),"",INDEX(J$1:J1057,SUMPRODUCT(MAX(ROW(E$1:E1057)*(E1058=E$1:E1057)))))</f>
        <v> </v>
      </c>
      <c r="L1058" s="26"/>
    </row>
    <row r="1059" spans="1:12">
      <c r="A1059" s="20" t="s">
        <v>691</v>
      </c>
      <c r="B1059" s="27" t="s">
        <v>237</v>
      </c>
      <c r="C1059" s="27" t="s">
        <v>243</v>
      </c>
      <c r="D1059" s="27" t="s">
        <v>244</v>
      </c>
      <c r="E1059" s="21">
        <f>IF(D1059="?OLD","!!!","")</f>
        <v/>
      </c>
      <c r="F1059" s="22" t="str">
        <f>IF(OR(E1059="",E1059="!!!"),"",IF(NOT(ISNA(VLOOKUP(E1059,E$1:E1058,1,FALSE()))),"OLD",IF(AND(E1059&lt;&gt;"",E1059&lt;&gt;"!!!"),"NEW","")))</f>
        <v> </v>
      </c>
      <c r="G1059" s="23" t="str">
        <f>IF(OR(E1059="",E1059="!!!"),"",IF(OR(J1059=0,AND(J1059=1,K1059=1),AND(J1059=1,I1059="SBJ"),AND(J1059=1,I1059=0)),"?IN_FOCUS",IF(J1059&lt;=2,"?ACTIVATED",IF(J1059&lt;&gt;"","?FAMILIAR",IF(F1059="NEW",IF(ISNA(VLOOKUP(E1059,#REF!,1,FALSE())),"?TYPE_IDENTIFIABLE","?REFERENTIAL"),"_")))))</f>
        <v> </v>
      </c>
      <c r="H1059" s="24" t="str">
        <f>IF(J1059&lt;&gt;1,"",IF(I1059="SBJ","CB","?"))</f>
        <v> </v>
      </c>
      <c r="I1059" s="25" t="str">
        <f>IF(OR(E1059="",E1059="!!!",F1059="NEW"),"",INDEX(B1058:B$2,-1+SUMPRODUCT(MAX(ROW(E1058:E$2)*(E1059=E1058:E$2)))))</f>
        <v> </v>
      </c>
      <c r="J1059" s="25" t="str">
        <f>IF(OR(E1059="",E1059="!!!",F1059="NEW"),"",COUNTBLANK(OFFSET(A$1,,,SUMPRODUCT(MAX(ROW(E$2:E1059)*(E1059=E$2:E1059)))))-COUNTBLANK(OFFSET(A$1,,,SUMPRODUCT(MAX(ROW(E$1:E1058)*(E2=E$1:E1058))))))</f>
        <v> </v>
      </c>
      <c r="K1059" s="25" t="str">
        <f>IF(OR(E1059="",E1059="!!!",F1059="NEW"),"",INDEX(J$1:J1058,SUMPRODUCT(MAX(ROW(E$1:E1058)*(E1059=E$1:E1058)))))</f>
        <v> </v>
      </c>
      <c r="L1059" s="26"/>
    </row>
    <row r="1060" spans="1:12">
      <c r="A1060" s="20" t="s">
        <v>239</v>
      </c>
      <c r="E1060" s="21">
        <f>IF(D1060="?OLD","!!!","")</f>
        <v/>
      </c>
      <c r="F1060" s="22" t="str">
        <f>IF(OR(E1060="",E1060="!!!"),"",IF(NOT(ISNA(VLOOKUP(E1060,E$1:E1059,1,FALSE()))),"OLD",IF(AND(E1060&lt;&gt;"",E1060&lt;&gt;"!!!"),"NEW","")))</f>
        <v> </v>
      </c>
      <c r="G1060" s="23" t="str">
        <f>IF(OR(E1060="",E1060="!!!"),"",IF(OR(J1060=0,AND(J1060=1,K1060=1),AND(J1060=1,I1060="SBJ"),AND(J1060=1,I1060=0)),"?IN_FOCUS",IF(J1060&lt;=2,"?ACTIVATED",IF(J1060&lt;&gt;"","?FAMILIAR",IF(F1060="NEW",IF(ISNA(VLOOKUP(E1060,#REF!,1,FALSE())),"?TYPE_IDENTIFIABLE","?REFERENTIAL"),"_")))))</f>
        <v> </v>
      </c>
      <c r="H1060" s="24" t="str">
        <f>IF(J1060&lt;&gt;1,"",IF(I1060="SBJ","CB","?"))</f>
        <v> </v>
      </c>
      <c r="I1060" s="25" t="str">
        <f>IF(OR(E1060="",E1060="!!!",F1060="NEW"),"",INDEX(B1059:B$2,-1+SUMPRODUCT(MAX(ROW(E1059:E$2)*(E1060=E1059:E$2)))))</f>
        <v> </v>
      </c>
      <c r="J1060" s="25" t="str">
        <f>IF(OR(E1060="",E1060="!!!",F1060="NEW"),"",COUNTBLANK(OFFSET(A$1,,,SUMPRODUCT(MAX(ROW(E$2:E1060)*(E1060=E$2:E1060)))))-COUNTBLANK(OFFSET(A$1,,,SUMPRODUCT(MAX(ROW(E$1:E1059)*(E2=E$1:E1059))))))</f>
        <v> </v>
      </c>
      <c r="K1060" s="25" t="str">
        <f>IF(OR(E1060="",E1060="!!!",F1060="NEW"),"",INDEX(J$1:J1059,SUMPRODUCT(MAX(ROW(E$1:E1059)*(E1060=E$1:E1059)))))</f>
        <v> </v>
      </c>
      <c r="L1060" s="26"/>
    </row>
    <row r="1061" spans="1:12">
      <c r="A1061" s="20" t="s">
        <v>676</v>
      </c>
      <c r="E1061" s="21">
        <f>IF(D1061="?OLD","!!!","")</f>
        <v/>
      </c>
      <c r="F1061" s="22" t="str">
        <f>IF(OR(E1061="",E1061="!!!"),"",IF(NOT(ISNA(VLOOKUP(E1061,E$1:E1060,1,FALSE()))),"OLD",IF(AND(E1061&lt;&gt;"",E1061&lt;&gt;"!!!"),"NEW","")))</f>
        <v> </v>
      </c>
      <c r="G1061" s="23" t="str">
        <f>IF(OR(E1061="",E1061="!!!"),"",IF(OR(J1061=0,AND(J1061=1,K1061=1),AND(J1061=1,I1061="SBJ"),AND(J1061=1,I1061=0)),"?IN_FOCUS",IF(J1061&lt;=2,"?ACTIVATED",IF(J1061&lt;&gt;"","?FAMILIAR",IF(F1061="NEW",IF(ISNA(VLOOKUP(E1061,#REF!,1,FALSE())),"?TYPE_IDENTIFIABLE","?REFERENTIAL"),"_")))))</f>
        <v> </v>
      </c>
      <c r="H1061" s="24" t="str">
        <f>IF(J1061&lt;&gt;1,"",IF(I1061="SBJ","CB","?"))</f>
        <v> </v>
      </c>
      <c r="I1061" s="25" t="str">
        <f>IF(OR(E1061="",E1061="!!!",F1061="NEW"),"",INDEX(B1060:B$2,-1+SUMPRODUCT(MAX(ROW(E1060:E$2)*(E1061=E1060:E$2)))))</f>
        <v> </v>
      </c>
      <c r="J1061" s="25" t="str">
        <f>IF(OR(E1061="",E1061="!!!",F1061="NEW"),"",COUNTBLANK(OFFSET(A$1,,,SUMPRODUCT(MAX(ROW(E$2:E1061)*(E1061=E$2:E1061)))))-COUNTBLANK(OFFSET(A$1,,,SUMPRODUCT(MAX(ROW(E$1:E1060)*(E2=E$1:E1060))))))</f>
        <v> </v>
      </c>
      <c r="K1061" s="25" t="str">
        <f>IF(OR(E1061="",E1061="!!!",F1061="NEW"),"",INDEX(J$1:J1060,SUMPRODUCT(MAX(ROW(E$1:E1060)*(E1061=E$1:E1060)))))</f>
        <v> </v>
      </c>
      <c r="L1061" s="26"/>
    </row>
    <row r="1062" spans="1:12">
      <c r="A1062" s="20" t="s">
        <v>707</v>
      </c>
      <c r="B1062" s="27" t="s">
        <v>251</v>
      </c>
      <c r="C1062" s="27" t="s">
        <v>243</v>
      </c>
      <c r="D1062" s="27" t="s">
        <v>244</v>
      </c>
      <c r="E1062" s="21">
        <f>IF(D1062="?OLD","!!!","")</f>
        <v/>
      </c>
      <c r="F1062" s="22" t="str">
        <f>IF(OR(E1062="",E1062="!!!"),"",IF(NOT(ISNA(VLOOKUP(E1062,E$1:E1061,1,FALSE()))),"OLD",IF(AND(E1062&lt;&gt;"",E1062&lt;&gt;"!!!"),"NEW","")))</f>
        <v> </v>
      </c>
      <c r="G1062" s="23" t="str">
        <f>IF(OR(E1062="",E1062="!!!"),"",IF(OR(J1062=0,AND(J1062=1,K1062=1),AND(J1062=1,I1062="SBJ"),AND(J1062=1,I1062=0)),"?IN_FOCUS",IF(J1062&lt;=2,"?ACTIVATED",IF(J1062&lt;&gt;"","?FAMILIAR",IF(F1062="NEW",IF(ISNA(VLOOKUP(E1062,#REF!,1,FALSE())),"?TYPE_IDENTIFIABLE","?REFERENTIAL"),"_")))))</f>
        <v> </v>
      </c>
      <c r="H1062" s="24" t="str">
        <f>IF(J1062&lt;&gt;1,"",IF(I1062="SBJ","CB","?"))</f>
        <v> </v>
      </c>
      <c r="I1062" s="25" t="str">
        <f>IF(OR(E1062="",E1062="!!!",F1062="NEW"),"",INDEX(B1061:B$2,-1+SUMPRODUCT(MAX(ROW(E1061:E$2)*(E1062=E1061:E$2)))))</f>
        <v> </v>
      </c>
      <c r="J1062" s="25" t="str">
        <f>IF(OR(E1062="",E1062="!!!",F1062="NEW"),"",COUNTBLANK(OFFSET(A$1,,,SUMPRODUCT(MAX(ROW(E$2:E1062)*(E1062=E$2:E1062)))))-COUNTBLANK(OFFSET(A$1,,,SUMPRODUCT(MAX(ROW(E$1:E1061)*(E2=E$1:E1061))))))</f>
        <v> </v>
      </c>
      <c r="K1062" s="25" t="str">
        <f>IF(OR(E1062="",E1062="!!!",F1062="NEW"),"",INDEX(J$1:J1061,SUMPRODUCT(MAX(ROW(E$1:E1061)*(E1062=E$1:E1061)))))</f>
        <v> </v>
      </c>
      <c r="L1062" s="26"/>
    </row>
    <row r="1063" spans="1:12">
      <c r="A1063" s="20" t="s">
        <v>305</v>
      </c>
      <c r="E1063" s="21">
        <f>IF(D1063="?OLD","!!!","")</f>
        <v/>
      </c>
      <c r="F1063" s="22" t="str">
        <f>IF(OR(E1063="",E1063="!!!"),"",IF(NOT(ISNA(VLOOKUP(E1063,E$1:E1062,1,FALSE()))),"OLD",IF(AND(E1063&lt;&gt;"",E1063&lt;&gt;"!!!"),"NEW","")))</f>
        <v> </v>
      </c>
      <c r="G1063" s="23" t="str">
        <f>IF(OR(E1063="",E1063="!!!"),"",IF(OR(J1063=0,AND(J1063=1,K1063=1),AND(J1063=1,I1063="SBJ"),AND(J1063=1,I1063=0)),"?IN_FOCUS",IF(J1063&lt;=2,"?ACTIVATED",IF(J1063&lt;&gt;"","?FAMILIAR",IF(F1063="NEW",IF(ISNA(VLOOKUP(E1063,#REF!,1,FALSE())),"?TYPE_IDENTIFIABLE","?REFERENTIAL"),"_")))))</f>
        <v> </v>
      </c>
      <c r="H1063" s="24" t="str">
        <f>IF(J1063&lt;&gt;1,"",IF(I1063="SBJ","CB","?"))</f>
        <v> </v>
      </c>
      <c r="I1063" s="25" t="str">
        <f>IF(OR(E1063="",E1063="!!!",F1063="NEW"),"",INDEX(B1062:B$2,-1+SUMPRODUCT(MAX(ROW(E1062:E$2)*(E1063=E1062:E$2)))))</f>
        <v> </v>
      </c>
      <c r="J1063" s="25" t="str">
        <f>IF(OR(E1063="",E1063="!!!",F1063="NEW"),"",COUNTBLANK(OFFSET(A$1,,,SUMPRODUCT(MAX(ROW(E$2:E1063)*(E1063=E$2:E1063)))))-COUNTBLANK(OFFSET(A$1,,,SUMPRODUCT(MAX(ROW(E$1:E1062)*(E2=E$1:E1062))))))</f>
        <v> </v>
      </c>
      <c r="K1063" s="25" t="str">
        <f>IF(OR(E1063="",E1063="!!!",F1063="NEW"),"",INDEX(J$1:J1062,SUMPRODUCT(MAX(ROW(E$1:E1062)*(E1063=E$1:E1062)))))</f>
        <v> </v>
      </c>
      <c r="L1063" s="26"/>
    </row>
    <row r="1064" spans="1:12">
      <c r="A1064" s="20" t="s">
        <v>676</v>
      </c>
      <c r="E1064" s="21">
        <f>IF(D1064="?OLD","!!!","")</f>
        <v/>
      </c>
      <c r="F1064" s="22" t="str">
        <f>IF(OR(E1064="",E1064="!!!"),"",IF(NOT(ISNA(VLOOKUP(E1064,E$1:E1063,1,FALSE()))),"OLD",IF(AND(E1064&lt;&gt;"",E1064&lt;&gt;"!!!"),"NEW","")))</f>
        <v> </v>
      </c>
      <c r="G1064" s="23" t="str">
        <f>IF(OR(E1064="",E1064="!!!"),"",IF(OR(J1064=0,AND(J1064=1,K1064=1),AND(J1064=1,I1064="SBJ"),AND(J1064=1,I1064=0)),"?IN_FOCUS",IF(J1064&lt;=2,"?ACTIVATED",IF(J1064&lt;&gt;"","?FAMILIAR",IF(F1064="NEW",IF(ISNA(VLOOKUP(E1064,#REF!,1,FALSE())),"?TYPE_IDENTIFIABLE","?REFERENTIAL"),"_")))))</f>
        <v> </v>
      </c>
      <c r="H1064" s="24" t="str">
        <f>IF(J1064&lt;&gt;1,"",IF(I1064="SBJ","CB","?"))</f>
        <v> </v>
      </c>
      <c r="I1064" s="25" t="str">
        <f>IF(OR(E1064="",E1064="!!!",F1064="NEW"),"",INDEX(B1063:B$2,-1+SUMPRODUCT(MAX(ROW(E1063:E$2)*(E1064=E1063:E$2)))))</f>
        <v> </v>
      </c>
      <c r="J1064" s="25" t="str">
        <f>IF(OR(E1064="",E1064="!!!",F1064="NEW"),"",COUNTBLANK(OFFSET(A$1,,,SUMPRODUCT(MAX(ROW(E$2:E1064)*(E1064=E$2:E1064)))))-COUNTBLANK(OFFSET(A$1,,,SUMPRODUCT(MAX(ROW(E$1:E1063)*(E2=E$1:E1063))))))</f>
        <v> </v>
      </c>
      <c r="K1064" s="25" t="str">
        <f>IF(OR(E1064="",E1064="!!!",F1064="NEW"),"",INDEX(J$1:J1063,SUMPRODUCT(MAX(ROW(E$1:E1063)*(E1064=E$1:E1063)))))</f>
        <v> </v>
      </c>
      <c r="L1064" s="26"/>
    </row>
    <row r="1065" spans="1:12">
      <c r="A1065" s="20" t="s">
        <v>676</v>
      </c>
      <c r="E1065" s="21">
        <f>IF(D1065="?OLD","!!!","")</f>
        <v/>
      </c>
      <c r="F1065" s="22" t="str">
        <f>IF(OR(E1065="",E1065="!!!"),"",IF(NOT(ISNA(VLOOKUP(E1065,E$1:E1064,1,FALSE()))),"OLD",IF(AND(E1065&lt;&gt;"",E1065&lt;&gt;"!!!"),"NEW","")))</f>
        <v> </v>
      </c>
      <c r="G1065" s="23" t="str">
        <f>IF(OR(E1065="",E1065="!!!"),"",IF(OR(J1065=0,AND(J1065=1,K1065=1),AND(J1065=1,I1065="SBJ"),AND(J1065=1,I1065=0)),"?IN_FOCUS",IF(J1065&lt;=2,"?ACTIVATED",IF(J1065&lt;&gt;"","?FAMILIAR",IF(F1065="NEW",IF(ISNA(VLOOKUP(E1065,#REF!,1,FALSE())),"?TYPE_IDENTIFIABLE","?REFERENTIAL"),"_")))))</f>
        <v> </v>
      </c>
      <c r="H1065" s="24" t="str">
        <f>IF(J1065&lt;&gt;1,"",IF(I1065="SBJ","CB","?"))</f>
        <v> </v>
      </c>
      <c r="I1065" s="25" t="str">
        <f>IF(OR(E1065="",E1065="!!!",F1065="NEW"),"",INDEX(B1064:B$2,-1+SUMPRODUCT(MAX(ROW(E1064:E$2)*(E1065=E1064:E$2)))))</f>
        <v> </v>
      </c>
      <c r="J1065" s="25" t="str">
        <f>IF(OR(E1065="",E1065="!!!",F1065="NEW"),"",COUNTBLANK(OFFSET(A$1,,,SUMPRODUCT(MAX(ROW(E$2:E1065)*(E1065=E$2:E1065)))))-COUNTBLANK(OFFSET(A$1,,,SUMPRODUCT(MAX(ROW(E$1:E1064)*(E2=E$1:E1064))))))</f>
        <v> </v>
      </c>
      <c r="K1065" s="25" t="str">
        <f>IF(OR(E1065="",E1065="!!!",F1065="NEW"),"",INDEX(J$1:J1064,SUMPRODUCT(MAX(ROW(E$1:E1064)*(E1065=E$1:E1064)))))</f>
        <v> </v>
      </c>
      <c r="L1065" s="26"/>
    </row>
    <row r="1066" spans="1:12">
      <c r="A1066" s="20" t="s">
        <v>524</v>
      </c>
      <c r="E1066" s="21">
        <f>IF(D1066="?OLD","!!!","")</f>
        <v/>
      </c>
      <c r="F1066" s="22" t="str">
        <f>IF(OR(E1066="",E1066="!!!"),"",IF(NOT(ISNA(VLOOKUP(E1066,E$1:E1065,1,FALSE()))),"OLD",IF(AND(E1066&lt;&gt;"",E1066&lt;&gt;"!!!"),"NEW","")))</f>
        <v> </v>
      </c>
      <c r="G1066" s="23" t="str">
        <f>IF(OR(E1066="",E1066="!!!"),"",IF(OR(J1066=0,AND(J1066=1,K1066=1),AND(J1066=1,I1066="SBJ"),AND(J1066=1,I1066=0)),"?IN_FOCUS",IF(J1066&lt;=2,"?ACTIVATED",IF(J1066&lt;&gt;"","?FAMILIAR",IF(F1066="NEW",IF(ISNA(VLOOKUP(E1066,#REF!,1,FALSE())),"?TYPE_IDENTIFIABLE","?REFERENTIAL"),"_")))))</f>
        <v> </v>
      </c>
      <c r="H1066" s="24" t="str">
        <f>IF(J1066&lt;&gt;1,"",IF(I1066="SBJ","CB","?"))</f>
        <v> </v>
      </c>
      <c r="I1066" s="25" t="str">
        <f>IF(OR(E1066="",E1066="!!!",F1066="NEW"),"",INDEX(B1065:B$2,-1+SUMPRODUCT(MAX(ROW(E1065:E$2)*(E1066=E1065:E$2)))))</f>
        <v> </v>
      </c>
      <c r="J1066" s="25" t="str">
        <f>IF(OR(E1066="",E1066="!!!",F1066="NEW"),"",COUNTBLANK(OFFSET(A$1,,,SUMPRODUCT(MAX(ROW(E$2:E1066)*(E1066=E$2:E1066)))))-COUNTBLANK(OFFSET(A$1,,,SUMPRODUCT(MAX(ROW(E$1:E1065)*(E2=E$1:E1065))))))</f>
        <v> </v>
      </c>
      <c r="K1066" s="25" t="str">
        <f>IF(OR(E1066="",E1066="!!!",F1066="NEW"),"",INDEX(J$1:J1065,SUMPRODUCT(MAX(ROW(E$1:E1065)*(E1066=E$1:E1065)))))</f>
        <v> </v>
      </c>
      <c r="L1066" s="26"/>
    </row>
    <row r="1067" spans="1:12">
      <c r="A1067" s="20" t="s">
        <v>708</v>
      </c>
      <c r="B1067" s="27" t="s">
        <v>251</v>
      </c>
      <c r="C1067" s="27" t="s">
        <v>243</v>
      </c>
      <c r="D1067" s="27" t="s">
        <v>244</v>
      </c>
      <c r="E1067" s="21">
        <f>IF(D1067="?OLD","!!!","")</f>
        <v/>
      </c>
      <c r="F1067" s="22" t="str">
        <f>IF(OR(E1067="",E1067="!!!"),"",IF(NOT(ISNA(VLOOKUP(E1067,E$1:E1066,1,FALSE()))),"OLD",IF(AND(E1067&lt;&gt;"",E1067&lt;&gt;"!!!"),"NEW","")))</f>
        <v> </v>
      </c>
      <c r="G1067" s="23" t="str">
        <f>IF(OR(E1067="",E1067="!!!"),"",IF(OR(J1067=0,AND(J1067=1,K1067=1),AND(J1067=1,I1067="SBJ"),AND(J1067=1,I1067=0)),"?IN_FOCUS",IF(J1067&lt;=2,"?ACTIVATED",IF(J1067&lt;&gt;"","?FAMILIAR",IF(F1067="NEW",IF(ISNA(VLOOKUP(E1067,#REF!,1,FALSE())),"?TYPE_IDENTIFIABLE","?REFERENTIAL"),"_")))))</f>
        <v> </v>
      </c>
      <c r="H1067" s="24" t="str">
        <f>IF(J1067&lt;&gt;1,"",IF(I1067="SBJ","CB","?"))</f>
        <v> </v>
      </c>
      <c r="I1067" s="25" t="str">
        <f>IF(OR(E1067="",E1067="!!!",F1067="NEW"),"",INDEX(B1066:B$2,-1+SUMPRODUCT(MAX(ROW(E1066:E$2)*(E1067=E1066:E$2)))))</f>
        <v> </v>
      </c>
      <c r="J1067" s="25" t="str">
        <f>IF(OR(E1067="",E1067="!!!",F1067="NEW"),"",COUNTBLANK(OFFSET(A$1,,,SUMPRODUCT(MAX(ROW(E$2:E1067)*(E1067=E$2:E1067)))))-COUNTBLANK(OFFSET(A$1,,,SUMPRODUCT(MAX(ROW(E$1:E1066)*(E2=E$1:E1066))))))</f>
        <v> </v>
      </c>
      <c r="K1067" s="25" t="str">
        <f>IF(OR(E1067="",E1067="!!!",F1067="NEW"),"",INDEX(J$1:J1066,SUMPRODUCT(MAX(ROW(E$1:E1066)*(E1067=E$1:E1066)))))</f>
        <v> </v>
      </c>
      <c r="L1067" s="26"/>
    </row>
    <row r="1068" spans="1:12">
      <c r="A1068" s="20" t="s">
        <v>676</v>
      </c>
      <c r="E1068" s="21">
        <f>IF(D1068="?OLD","!!!","")</f>
        <v/>
      </c>
      <c r="F1068" s="22" t="str">
        <f>IF(OR(E1068="",E1068="!!!"),"",IF(NOT(ISNA(VLOOKUP(E1068,E$1:E1067,1,FALSE()))),"OLD",IF(AND(E1068&lt;&gt;"",E1068&lt;&gt;"!!!"),"NEW","")))</f>
        <v> </v>
      </c>
      <c r="G1068" s="23" t="str">
        <f>IF(OR(E1068="",E1068="!!!"),"",IF(OR(J1068=0,AND(J1068=1,K1068=1),AND(J1068=1,I1068="SBJ"),AND(J1068=1,I1068=0)),"?IN_FOCUS",IF(J1068&lt;=2,"?ACTIVATED",IF(J1068&lt;&gt;"","?FAMILIAR",IF(F1068="NEW",IF(ISNA(VLOOKUP(E1068,#REF!,1,FALSE())),"?TYPE_IDENTIFIABLE","?REFERENTIAL"),"_")))))</f>
        <v> </v>
      </c>
      <c r="H1068" s="24" t="str">
        <f>IF(J1068&lt;&gt;1,"",IF(I1068="SBJ","CB","?"))</f>
        <v> </v>
      </c>
      <c r="I1068" s="25" t="str">
        <f>IF(OR(E1068="",E1068="!!!",F1068="NEW"),"",INDEX(B1067:B$2,-1+SUMPRODUCT(MAX(ROW(E1067:E$2)*(E1068=E1067:E$2)))))</f>
        <v> </v>
      </c>
      <c r="J1068" s="25" t="str">
        <f>IF(OR(E1068="",E1068="!!!",F1068="NEW"),"",COUNTBLANK(OFFSET(A$1,,,SUMPRODUCT(MAX(ROW(E$2:E1068)*(E1068=E$2:E1068)))))-COUNTBLANK(OFFSET(A$1,,,SUMPRODUCT(MAX(ROW(E$1:E1067)*(E2=E$1:E1067))))))</f>
        <v> </v>
      </c>
      <c r="K1068" s="25" t="str">
        <f>IF(OR(E1068="",E1068="!!!",F1068="NEW"),"",INDEX(J$1:J1067,SUMPRODUCT(MAX(ROW(E$1:E1067)*(E1068=E$1:E1067)))))</f>
        <v> </v>
      </c>
      <c r="L1068" s="26"/>
    </row>
    <row r="1069" spans="1:12">
      <c r="A1069" s="20" t="s">
        <v>314</v>
      </c>
      <c r="E1069" s="21">
        <f>IF(D1069="?OLD","!!!","")</f>
        <v/>
      </c>
      <c r="F1069" s="22" t="str">
        <f>IF(OR(E1069="",E1069="!!!"),"",IF(NOT(ISNA(VLOOKUP(E1069,E$1:E1068,1,FALSE()))),"OLD",IF(AND(E1069&lt;&gt;"",E1069&lt;&gt;"!!!"),"NEW","")))</f>
        <v> </v>
      </c>
      <c r="G1069" s="23" t="str">
        <f>IF(OR(E1069="",E1069="!!!"),"",IF(OR(J1069=0,AND(J1069=1,K1069=1),AND(J1069=1,I1069="SBJ"),AND(J1069=1,I1069=0)),"?IN_FOCUS",IF(J1069&lt;=2,"?ACTIVATED",IF(J1069&lt;&gt;"","?FAMILIAR",IF(F1069="NEW",IF(ISNA(VLOOKUP(E1069,#REF!,1,FALSE())),"?TYPE_IDENTIFIABLE","?REFERENTIAL"),"_")))))</f>
        <v> </v>
      </c>
      <c r="H1069" s="24" t="str">
        <f>IF(J1069&lt;&gt;1,"",IF(I1069="SBJ","CB","?"))</f>
        <v> </v>
      </c>
      <c r="I1069" s="25" t="str">
        <f>IF(OR(E1069="",E1069="!!!",F1069="NEW"),"",INDEX(B1068:B$2,-1+SUMPRODUCT(MAX(ROW(E1068:E$2)*(E1069=E1068:E$2)))))</f>
        <v> </v>
      </c>
      <c r="J1069" s="25" t="str">
        <f>IF(OR(E1069="",E1069="!!!",F1069="NEW"),"",COUNTBLANK(OFFSET(A$1,,,SUMPRODUCT(MAX(ROW(E$2:E1069)*(E1069=E$2:E1069)))))-COUNTBLANK(OFFSET(A$1,,,SUMPRODUCT(MAX(ROW(E$1:E1068)*(E2=E$1:E1068))))))</f>
        <v> </v>
      </c>
      <c r="K1069" s="25" t="str">
        <f>IF(OR(E1069="",E1069="!!!",F1069="NEW"),"",INDEX(J$1:J1068,SUMPRODUCT(MAX(ROW(E$1:E1068)*(E1069=E$1:E1068)))))</f>
        <v> </v>
      </c>
      <c r="L1069" s="26"/>
    </row>
    <row r="1070" spans="1:12">
      <c r="A1070" s="20" t="s">
        <v>676</v>
      </c>
      <c r="E1070" s="21">
        <f>IF(D1070="?OLD","!!!","")</f>
        <v/>
      </c>
      <c r="F1070" s="22" t="str">
        <f>IF(OR(E1070="",E1070="!!!"),"",IF(NOT(ISNA(VLOOKUP(E1070,E$1:E1069,1,FALSE()))),"OLD",IF(AND(E1070&lt;&gt;"",E1070&lt;&gt;"!!!"),"NEW","")))</f>
        <v> </v>
      </c>
      <c r="G1070" s="23" t="str">
        <f>IF(OR(E1070="",E1070="!!!"),"",IF(OR(J1070=0,AND(J1070=1,K1070=1),AND(J1070=1,I1070="SBJ"),AND(J1070=1,I1070=0)),"?IN_FOCUS",IF(J1070&lt;=2,"?ACTIVATED",IF(J1070&lt;&gt;"","?FAMILIAR",IF(F1070="NEW",IF(ISNA(VLOOKUP(E1070,#REF!,1,FALSE())),"?TYPE_IDENTIFIABLE","?REFERENTIAL"),"_")))))</f>
        <v> </v>
      </c>
      <c r="H1070" s="24" t="str">
        <f>IF(J1070&lt;&gt;1,"",IF(I1070="SBJ","CB","?"))</f>
        <v> </v>
      </c>
      <c r="I1070" s="25" t="str">
        <f>IF(OR(E1070="",E1070="!!!",F1070="NEW"),"",INDEX(B1069:B$2,-1+SUMPRODUCT(MAX(ROW(E1069:E$2)*(E1070=E1069:E$2)))))</f>
        <v> </v>
      </c>
      <c r="J1070" s="25" t="str">
        <f>IF(OR(E1070="",E1070="!!!",F1070="NEW"),"",COUNTBLANK(OFFSET(A$1,,,SUMPRODUCT(MAX(ROW(E$2:E1070)*(E1070=E$2:E1070)))))-COUNTBLANK(OFFSET(A$1,,,SUMPRODUCT(MAX(ROW(E$1:E1069)*(E2=E$1:E1069))))))</f>
        <v> </v>
      </c>
      <c r="K1070" s="25" t="str">
        <f>IF(OR(E1070="",E1070="!!!",F1070="NEW"),"",INDEX(J$1:J1069,SUMPRODUCT(MAX(ROW(E$1:E1069)*(E1070=E$1:E1069)))))</f>
        <v> </v>
      </c>
      <c r="L1070" s="26"/>
    </row>
    <row r="1071" spans="1:12">
      <c r="A1071" s="20" t="s">
        <v>524</v>
      </c>
      <c r="E1071" s="21">
        <f>IF(D1071="?OLD","!!!","")</f>
        <v/>
      </c>
      <c r="F1071" s="22" t="str">
        <f>IF(OR(E1071="",E1071="!!!"),"",IF(NOT(ISNA(VLOOKUP(E1071,E$1:E1070,1,FALSE()))),"OLD",IF(AND(E1071&lt;&gt;"",E1071&lt;&gt;"!!!"),"NEW","")))</f>
        <v> </v>
      </c>
      <c r="G1071" s="23" t="str">
        <f>IF(OR(E1071="",E1071="!!!"),"",IF(OR(J1071=0,AND(J1071=1,K1071=1),AND(J1071=1,I1071="SBJ"),AND(J1071=1,I1071=0)),"?IN_FOCUS",IF(J1071&lt;=2,"?ACTIVATED",IF(J1071&lt;&gt;"","?FAMILIAR",IF(F1071="NEW",IF(ISNA(VLOOKUP(E1071,#REF!,1,FALSE())),"?TYPE_IDENTIFIABLE","?REFERENTIAL"),"_")))))</f>
        <v> </v>
      </c>
      <c r="H1071" s="24" t="str">
        <f>IF(J1071&lt;&gt;1,"",IF(I1071="SBJ","CB","?"))</f>
        <v> </v>
      </c>
      <c r="I1071" s="25" t="str">
        <f>IF(OR(E1071="",E1071="!!!",F1071="NEW"),"",INDEX(B1070:B$2,-1+SUMPRODUCT(MAX(ROW(E1070:E$2)*(E1071=E1070:E$2)))))</f>
        <v> </v>
      </c>
      <c r="J1071" s="25" t="str">
        <f>IF(OR(E1071="",E1071="!!!",F1071="NEW"),"",COUNTBLANK(OFFSET(A$1,,,SUMPRODUCT(MAX(ROW(E$2:E1071)*(E1071=E$2:E1071)))))-COUNTBLANK(OFFSET(A$1,,,SUMPRODUCT(MAX(ROW(E$1:E1070)*(E2=E$1:E1070))))))</f>
        <v> </v>
      </c>
      <c r="K1071" s="25" t="str">
        <f>IF(OR(E1071="",E1071="!!!",F1071="NEW"),"",INDEX(J$1:J1070,SUMPRODUCT(MAX(ROW(E$1:E1070)*(E1071=E$1:E1070)))))</f>
        <v> </v>
      </c>
      <c r="L1071" s="26"/>
    </row>
    <row r="1072" spans="1:12">
      <c r="A1072" s="20" t="s">
        <v>709</v>
      </c>
      <c r="B1072" s="27" t="s">
        <v>291</v>
      </c>
      <c r="C1072" s="27" t="s">
        <v>252</v>
      </c>
      <c r="D1072" s="27" t="s">
        <v>244</v>
      </c>
      <c r="E1072" s="21">
        <f>IF(D1072="?OLD","!!!","")</f>
        <v/>
      </c>
      <c r="F1072" s="22" t="str">
        <f>IF(OR(E1072="",E1072="!!!"),"",IF(NOT(ISNA(VLOOKUP(E1072,E$1:E1071,1,FALSE()))),"OLD",IF(AND(E1072&lt;&gt;"",E1072&lt;&gt;"!!!"),"NEW","")))</f>
        <v> </v>
      </c>
      <c r="G1072" s="23" t="str">
        <f>IF(OR(E1072="",E1072="!!!"),"",IF(OR(J1072=0,AND(J1072=1,K1072=1),AND(J1072=1,I1072="SBJ"),AND(J1072=1,I1072=0)),"?IN_FOCUS",IF(J1072&lt;=2,"?ACTIVATED",IF(J1072&lt;&gt;"","?FAMILIAR",IF(F1072="NEW",IF(ISNA(VLOOKUP(E1072,#REF!,1,FALSE())),"?TYPE_IDENTIFIABLE","?REFERENTIAL"),"_")))))</f>
        <v> </v>
      </c>
      <c r="H1072" s="24" t="str">
        <f>IF(J1072&lt;&gt;1,"",IF(I1072="SBJ","CB","?"))</f>
        <v> </v>
      </c>
      <c r="I1072" s="25" t="str">
        <f>IF(OR(E1072="",E1072="!!!",F1072="NEW"),"",INDEX(B1071:B$2,-1+SUMPRODUCT(MAX(ROW(E1071:E$2)*(E1072=E1071:E$2)))))</f>
        <v> </v>
      </c>
      <c r="J1072" s="25" t="str">
        <f>IF(OR(E1072="",E1072="!!!",F1072="NEW"),"",COUNTBLANK(OFFSET(A$1,,,SUMPRODUCT(MAX(ROW(E$2:E1072)*(E1072=E$2:E1072)))))-COUNTBLANK(OFFSET(A$1,,,SUMPRODUCT(MAX(ROW(E$1:E1071)*(E2=E$1:E1071))))))</f>
        <v> </v>
      </c>
      <c r="K1072" s="25" t="str">
        <f>IF(OR(E1072="",E1072="!!!",F1072="NEW"),"",INDEX(J$1:J1071,SUMPRODUCT(MAX(ROW(E$1:E1071)*(E1072=E$1:E1071)))))</f>
        <v> </v>
      </c>
      <c r="L1072" s="26"/>
    </row>
    <row r="1073" spans="1:12">
      <c r="A1073" s="20" t="s">
        <v>305</v>
      </c>
      <c r="E1073" s="21">
        <f>IF(D1073="?OLD","!!!","")</f>
        <v/>
      </c>
      <c r="F1073" s="22" t="str">
        <f>IF(OR(E1073="",E1073="!!!"),"",IF(NOT(ISNA(VLOOKUP(E1073,E$1:E1072,1,FALSE()))),"OLD",IF(AND(E1073&lt;&gt;"",E1073&lt;&gt;"!!!"),"NEW","")))</f>
        <v> </v>
      </c>
      <c r="G1073" s="23" t="str">
        <f>IF(OR(E1073="",E1073="!!!"),"",IF(OR(J1073=0,AND(J1073=1,K1073=1),AND(J1073=1,I1073="SBJ"),AND(J1073=1,I1073=0)),"?IN_FOCUS",IF(J1073&lt;=2,"?ACTIVATED",IF(J1073&lt;&gt;"","?FAMILIAR",IF(F1073="NEW",IF(ISNA(VLOOKUP(E1073,#REF!,1,FALSE())),"?TYPE_IDENTIFIABLE","?REFERENTIAL"),"_")))))</f>
        <v> </v>
      </c>
      <c r="H1073" s="24" t="str">
        <f>IF(J1073&lt;&gt;1,"",IF(I1073="SBJ","CB","?"))</f>
        <v> </v>
      </c>
      <c r="I1073" s="25" t="str">
        <f>IF(OR(E1073="",E1073="!!!",F1073="NEW"),"",INDEX(B1072:B$2,-1+SUMPRODUCT(MAX(ROW(E1072:E$2)*(E1073=E1072:E$2)))))</f>
        <v> </v>
      </c>
      <c r="J1073" s="25" t="str">
        <f>IF(OR(E1073="",E1073="!!!",F1073="NEW"),"",COUNTBLANK(OFFSET(A$1,,,SUMPRODUCT(MAX(ROW(E$2:E1073)*(E1073=E$2:E1073)))))-COUNTBLANK(OFFSET(A$1,,,SUMPRODUCT(MAX(ROW(E$1:E1072)*(E2=E$1:E1072))))))</f>
        <v> </v>
      </c>
      <c r="K1073" s="25" t="str">
        <f>IF(OR(E1073="",E1073="!!!",F1073="NEW"),"",INDEX(J$1:J1072,SUMPRODUCT(MAX(ROW(E$1:E1072)*(E1073=E$1:E1072)))))</f>
        <v> </v>
      </c>
      <c r="L1073" s="26"/>
    </row>
    <row r="1074" spans="1:12">
      <c r="A1074" s="20" t="s">
        <v>676</v>
      </c>
      <c r="E1074" s="21">
        <f>IF(D1074="?OLD","!!!","")</f>
        <v/>
      </c>
      <c r="F1074" s="22" t="str">
        <f>IF(OR(E1074="",E1074="!!!"),"",IF(NOT(ISNA(VLOOKUP(E1074,E$1:E1073,1,FALSE()))),"OLD",IF(AND(E1074&lt;&gt;"",E1074&lt;&gt;"!!!"),"NEW","")))</f>
        <v> </v>
      </c>
      <c r="G1074" s="23" t="str">
        <f>IF(OR(E1074="",E1074="!!!"),"",IF(OR(J1074=0,AND(J1074=1,K1074=1),AND(J1074=1,I1074="SBJ"),AND(J1074=1,I1074=0)),"?IN_FOCUS",IF(J1074&lt;=2,"?ACTIVATED",IF(J1074&lt;&gt;"","?FAMILIAR",IF(F1074="NEW",IF(ISNA(VLOOKUP(E1074,#REF!,1,FALSE())),"?TYPE_IDENTIFIABLE","?REFERENTIAL"),"_")))))</f>
        <v> </v>
      </c>
      <c r="H1074" s="24" t="str">
        <f>IF(J1074&lt;&gt;1,"",IF(I1074="SBJ","CB","?"))</f>
        <v> </v>
      </c>
      <c r="I1074" s="25" t="str">
        <f>IF(OR(E1074="",E1074="!!!",F1074="NEW"),"",INDEX(B1073:B$2,-1+SUMPRODUCT(MAX(ROW(E1073:E$2)*(E1074=E1073:E$2)))))</f>
        <v> </v>
      </c>
      <c r="J1074" s="25" t="str">
        <f>IF(OR(E1074="",E1074="!!!",F1074="NEW"),"",COUNTBLANK(OFFSET(A$1,,,SUMPRODUCT(MAX(ROW(E$2:E1074)*(E1074=E$2:E1074)))))-COUNTBLANK(OFFSET(A$1,,,SUMPRODUCT(MAX(ROW(E$1:E1073)*(E2=E$1:E1073))))))</f>
        <v> </v>
      </c>
      <c r="K1074" s="25" t="str">
        <f>IF(OR(E1074="",E1074="!!!",F1074="NEW"),"",INDEX(J$1:J1073,SUMPRODUCT(MAX(ROW(E$1:E1073)*(E1074=E$1:E1073)))))</f>
        <v> </v>
      </c>
      <c r="L1074" s="26"/>
    </row>
    <row r="1075" spans="1:12">
      <c r="A1075" s="20" t="s">
        <v>277</v>
      </c>
      <c r="E1075" s="21">
        <f>IF(D1075="?OLD","!!!","")</f>
        <v/>
      </c>
      <c r="F1075" s="22" t="str">
        <f>IF(OR(E1075="",E1075="!!!"),"",IF(NOT(ISNA(VLOOKUP(E1075,E$1:E1074,1,FALSE()))),"OLD",IF(AND(E1075&lt;&gt;"",E1075&lt;&gt;"!!!"),"NEW","")))</f>
        <v> </v>
      </c>
      <c r="G1075" s="23" t="str">
        <f>IF(OR(E1075="",E1075="!!!"),"",IF(OR(J1075=0,AND(J1075=1,K1075=1),AND(J1075=1,I1075="SBJ"),AND(J1075=1,I1075=0)),"?IN_FOCUS",IF(J1075&lt;=2,"?ACTIVATED",IF(J1075&lt;&gt;"","?FAMILIAR",IF(F1075="NEW",IF(ISNA(VLOOKUP(E1075,#REF!,1,FALSE())),"?TYPE_IDENTIFIABLE","?REFERENTIAL"),"_")))))</f>
        <v> </v>
      </c>
      <c r="H1075" s="24" t="str">
        <f>IF(J1075&lt;&gt;1,"",IF(I1075="SBJ","CB","?"))</f>
        <v> </v>
      </c>
      <c r="I1075" s="25" t="str">
        <f>IF(OR(E1075="",E1075="!!!",F1075="NEW"),"",INDEX(B1074:B$2,-1+SUMPRODUCT(MAX(ROW(E1074:E$2)*(E1075=E1074:E$2)))))</f>
        <v> </v>
      </c>
      <c r="J1075" s="25" t="str">
        <f>IF(OR(E1075="",E1075="!!!",F1075="NEW"),"",COUNTBLANK(OFFSET(A$1,,,SUMPRODUCT(MAX(ROW(E$2:E1075)*(E1075=E$2:E1075)))))-COUNTBLANK(OFFSET(A$1,,,SUMPRODUCT(MAX(ROW(E$1:E1074)*(E2=E$1:E1074))))))</f>
        <v> </v>
      </c>
      <c r="K1075" s="25" t="str">
        <f>IF(OR(E1075="",E1075="!!!",F1075="NEW"),"",INDEX(J$1:J1074,SUMPRODUCT(MAX(ROW(E$1:E1074)*(E1075=E$1:E1074)))))</f>
        <v> </v>
      </c>
      <c r="L1075" s="26"/>
    </row>
    <row r="1076" spans="1:12">
      <c r="A1076" s="20" t="s">
        <v>304</v>
      </c>
      <c r="B1076" s="27" t="s">
        <v>251</v>
      </c>
      <c r="C1076" s="27" t="s">
        <v>279</v>
      </c>
      <c r="E1076" s="21">
        <f>IF(D1076="?OLD","!!!","")</f>
        <v/>
      </c>
      <c r="F1076" s="22" t="str">
        <f>IF(OR(E1076="",E1076="!!!"),"",IF(NOT(ISNA(VLOOKUP(E1076,E$1:E1075,1,FALSE()))),"OLD",IF(AND(E1076&lt;&gt;"",E1076&lt;&gt;"!!!"),"NEW","")))</f>
        <v> </v>
      </c>
      <c r="G1076" s="23" t="str">
        <f>IF(OR(E1076="",E1076="!!!"),"",IF(OR(J1076=0,AND(J1076=1,K1076=1),AND(J1076=1,I1076="SBJ"),AND(J1076=1,I1076=0)),"?IN_FOCUS",IF(J1076&lt;=2,"?ACTIVATED",IF(J1076&lt;&gt;"","?FAMILIAR",IF(F1076="NEW",IF(ISNA(VLOOKUP(E1076,#REF!,1,FALSE())),"?TYPE_IDENTIFIABLE","?REFERENTIAL"),"_")))))</f>
        <v> </v>
      </c>
      <c r="H1076" s="24" t="str">
        <f>IF(J1076&lt;&gt;1,"",IF(I1076="SBJ","CB","?"))</f>
        <v> </v>
      </c>
      <c r="I1076" s="25" t="str">
        <f>IF(OR(E1076="",E1076="!!!",F1076="NEW"),"",INDEX(B1075:B$2,-1+SUMPRODUCT(MAX(ROW(E1075:E$2)*(E1076=E1075:E$2)))))</f>
        <v> </v>
      </c>
      <c r="J1076" s="25" t="str">
        <f>IF(OR(E1076="",E1076="!!!",F1076="NEW"),"",COUNTBLANK(OFFSET(A$1,,,SUMPRODUCT(MAX(ROW(E$2:E1076)*(E1076=E$2:E1076)))))-COUNTBLANK(OFFSET(A$1,,,SUMPRODUCT(MAX(ROW(E$1:E1075)*(E2=E$1:E1075))))))</f>
        <v> </v>
      </c>
      <c r="K1076" s="25" t="str">
        <f>IF(OR(E1076="",E1076="!!!",F1076="NEW"),"",INDEX(J$1:J1075,SUMPRODUCT(MAX(ROW(E$1:E1075)*(E1076=E$1:E1075)))))</f>
        <v> </v>
      </c>
      <c r="L1076" s="26"/>
    </row>
    <row r="1077" spans="1:12">
      <c r="A1077" s="20" t="s">
        <v>258</v>
      </c>
      <c r="E1077" s="21">
        <f>IF(D1077="?OLD","!!!","")</f>
        <v/>
      </c>
      <c r="F1077" s="22" t="str">
        <f>IF(OR(E1077="",E1077="!!!"),"",IF(NOT(ISNA(VLOOKUP(E1077,E$1:E1076,1,FALSE()))),"OLD",IF(AND(E1077&lt;&gt;"",E1077&lt;&gt;"!!!"),"NEW","")))</f>
        <v> </v>
      </c>
      <c r="G1077" s="23" t="str">
        <f>IF(OR(E1077="",E1077="!!!"),"",IF(OR(J1077=0,AND(J1077=1,K1077=1),AND(J1077=1,I1077="SBJ"),AND(J1077=1,I1077=0)),"?IN_FOCUS",IF(J1077&lt;=2,"?ACTIVATED",IF(J1077&lt;&gt;"","?FAMILIAR",IF(F1077="NEW",IF(ISNA(VLOOKUP(E1077,#REF!,1,FALSE())),"?TYPE_IDENTIFIABLE","?REFERENTIAL"),"_")))))</f>
        <v> </v>
      </c>
      <c r="H1077" s="24" t="str">
        <f>IF(J1077&lt;&gt;1,"",IF(I1077="SBJ","CB","?"))</f>
        <v> </v>
      </c>
      <c r="I1077" s="25" t="str">
        <f>IF(OR(E1077="",E1077="!!!",F1077="NEW"),"",INDEX(B1076:B$2,-1+SUMPRODUCT(MAX(ROW(E1076:E$2)*(E1077=E1076:E$2)))))</f>
        <v> </v>
      </c>
      <c r="J1077" s="25" t="str">
        <f>IF(OR(E1077="",E1077="!!!",F1077="NEW"),"",COUNTBLANK(OFFSET(A$1,,,SUMPRODUCT(MAX(ROW(E$2:E1077)*(E1077=E$2:E1077)))))-COUNTBLANK(OFFSET(A$1,,,SUMPRODUCT(MAX(ROW(E$1:E1076)*(E2=E$1:E1076))))))</f>
        <v> </v>
      </c>
      <c r="K1077" s="25" t="str">
        <f>IF(OR(E1077="",E1077="!!!",F1077="NEW"),"",INDEX(J$1:J1076,SUMPRODUCT(MAX(ROW(E$1:E1076)*(E1077=E$1:E1076)))))</f>
        <v> </v>
      </c>
      <c r="L1077" s="26"/>
    </row>
    <row r="1078" spans="1:12">
      <c r="A1078" s="20" t="s">
        <v>660</v>
      </c>
      <c r="E1078" s="21">
        <f>IF(D1078="?OLD","!!!","")</f>
        <v/>
      </c>
      <c r="F1078" s="22" t="str">
        <f>IF(OR(E1078="",E1078="!!!"),"",IF(NOT(ISNA(VLOOKUP(E1078,E$1:E1077,1,FALSE()))),"OLD",IF(AND(E1078&lt;&gt;"",E1078&lt;&gt;"!!!"),"NEW","")))</f>
        <v> </v>
      </c>
      <c r="G1078" s="23" t="str">
        <f>IF(OR(E1078="",E1078="!!!"),"",IF(OR(J1078=0,AND(J1078=1,K1078=1),AND(J1078=1,I1078="SBJ"),AND(J1078=1,I1078=0)),"?IN_FOCUS",IF(J1078&lt;=2,"?ACTIVATED",IF(J1078&lt;&gt;"","?FAMILIAR",IF(F1078="NEW",IF(ISNA(VLOOKUP(E1078,#REF!,1,FALSE())),"?TYPE_IDENTIFIABLE","?REFERENTIAL"),"_")))))</f>
        <v> </v>
      </c>
      <c r="H1078" s="24" t="str">
        <f>IF(J1078&lt;&gt;1,"",IF(I1078="SBJ","CB","?"))</f>
        <v> </v>
      </c>
      <c r="I1078" s="25" t="str">
        <f>IF(OR(E1078="",E1078="!!!",F1078="NEW"),"",INDEX(B1077:B$2,-1+SUMPRODUCT(MAX(ROW(E1077:E$2)*(E1078=E1077:E$2)))))</f>
        <v> </v>
      </c>
      <c r="J1078" s="25" t="str">
        <f>IF(OR(E1078="",E1078="!!!",F1078="NEW"),"",COUNTBLANK(OFFSET(A$1,,,SUMPRODUCT(MAX(ROW(E$2:E1078)*(E1078=E$2:E1078)))))-COUNTBLANK(OFFSET(A$1,,,SUMPRODUCT(MAX(ROW(E$1:E1077)*(E2=E$1:E1077))))))</f>
        <v> </v>
      </c>
      <c r="K1078" s="25" t="str">
        <f>IF(OR(E1078="",E1078="!!!",F1078="NEW"),"",INDEX(J$1:J1077,SUMPRODUCT(MAX(ROW(E$1:E1077)*(E1078=E$1:E1077)))))</f>
        <v> </v>
      </c>
      <c r="L1078" s="26"/>
    </row>
    <row r="1079" spans="1:12">
      <c r="A1079" s="20" t="s">
        <v>371</v>
      </c>
      <c r="B1079" s="27" t="s">
        <v>295</v>
      </c>
      <c r="C1079" s="27" t="s">
        <v>256</v>
      </c>
      <c r="D1079" s="27" t="s">
        <v>244</v>
      </c>
      <c r="E1079" s="21">
        <f>IF(D1079="?OLD","!!!","")</f>
        <v/>
      </c>
      <c r="F1079" s="22" t="str">
        <f>IF(OR(E1079="",E1079="!!!"),"",IF(NOT(ISNA(VLOOKUP(E1079,E$1:E1078,1,FALSE()))),"OLD",IF(AND(E1079&lt;&gt;"",E1079&lt;&gt;"!!!"),"NEW","")))</f>
        <v> </v>
      </c>
      <c r="G1079" s="23" t="str">
        <f>IF(OR(E1079="",E1079="!!!"),"",IF(OR(J1079=0,AND(J1079=1,K1079=1),AND(J1079=1,I1079="SBJ"),AND(J1079=1,I1079=0)),"?IN_FOCUS",IF(J1079&lt;=2,"?ACTIVATED",IF(J1079&lt;&gt;"","?FAMILIAR",IF(F1079="NEW",IF(ISNA(VLOOKUP(E1079,#REF!,1,FALSE())),"?TYPE_IDENTIFIABLE","?REFERENTIAL"),"_")))))</f>
        <v> </v>
      </c>
      <c r="H1079" s="24" t="str">
        <f>IF(J1079&lt;&gt;1,"",IF(I1079="SBJ","CB","?"))</f>
        <v> </v>
      </c>
      <c r="I1079" s="25" t="str">
        <f>IF(OR(E1079="",E1079="!!!",F1079="NEW"),"",INDEX(B1078:B$2,-1+SUMPRODUCT(MAX(ROW(E1078:E$2)*(E1079=E1078:E$2)))))</f>
        <v> </v>
      </c>
      <c r="J1079" s="25" t="str">
        <f>IF(OR(E1079="",E1079="!!!",F1079="NEW"),"",COUNTBLANK(OFFSET(A$1,,,SUMPRODUCT(MAX(ROW(E$2:E1079)*(E1079=E$2:E1079)))))-COUNTBLANK(OFFSET(A$1,,,SUMPRODUCT(MAX(ROW(E$1:E1078)*(E2=E$1:E1078))))))</f>
        <v> </v>
      </c>
      <c r="K1079" s="25" t="str">
        <f>IF(OR(E1079="",E1079="!!!",F1079="NEW"),"",INDEX(J$1:J1078,SUMPRODUCT(MAX(ROW(E$1:E1078)*(E1079=E$1:E1078)))))</f>
        <v> </v>
      </c>
      <c r="L1079" s="26"/>
    </row>
    <row r="1080" spans="1:12">
      <c r="A1080" s="20" t="s">
        <v>516</v>
      </c>
      <c r="E1080" s="21">
        <f>IF(D1080="?OLD","!!!","")</f>
        <v/>
      </c>
      <c r="F1080" s="22" t="str">
        <f>IF(OR(E1080="",E1080="!!!"),"",IF(NOT(ISNA(VLOOKUP(E1080,E$1:E1079,1,FALSE()))),"OLD",IF(AND(E1080&lt;&gt;"",E1080&lt;&gt;"!!!"),"NEW","")))</f>
        <v> </v>
      </c>
      <c r="G1080" s="23" t="str">
        <f>IF(OR(E1080="",E1080="!!!"),"",IF(OR(J1080=0,AND(J1080=1,K1080=1),AND(J1080=1,I1080="SBJ"),AND(J1080=1,I1080=0)),"?IN_FOCUS",IF(J1080&lt;=2,"?ACTIVATED",IF(J1080&lt;&gt;"","?FAMILIAR",IF(F1080="NEW",IF(ISNA(VLOOKUP(E1080,#REF!,1,FALSE())),"?TYPE_IDENTIFIABLE","?REFERENTIAL"),"_")))))</f>
        <v> </v>
      </c>
      <c r="H1080" s="24" t="str">
        <f>IF(J1080&lt;&gt;1,"",IF(I1080="SBJ","CB","?"))</f>
        <v> </v>
      </c>
      <c r="I1080" s="25" t="str">
        <f>IF(OR(E1080="",E1080="!!!",F1080="NEW"),"",INDEX(B1079:B$2,-1+SUMPRODUCT(MAX(ROW(E1079:E$2)*(E1080=E1079:E$2)))))</f>
        <v> </v>
      </c>
      <c r="J1080" s="25" t="str">
        <f>IF(OR(E1080="",E1080="!!!",F1080="NEW"),"",COUNTBLANK(OFFSET(A$1,,,SUMPRODUCT(MAX(ROW(E$2:E1080)*(E1080=E$2:E1080)))))-COUNTBLANK(OFFSET(A$1,,,SUMPRODUCT(MAX(ROW(E$1:E1079)*(E2=E$1:E1079))))))</f>
        <v> </v>
      </c>
      <c r="K1080" s="25" t="str">
        <f>IF(OR(E1080="",E1080="!!!",F1080="NEW"),"",INDEX(J$1:J1079,SUMPRODUCT(MAX(ROW(E$1:E1079)*(E1080=E$1:E1079)))))</f>
        <v> </v>
      </c>
      <c r="L1080" s="26"/>
    </row>
    <row r="1081" spans="1:12">
      <c r="A1081" s="20" t="s">
        <v>710</v>
      </c>
      <c r="E1081" s="21">
        <f>IF(D1081="?OLD","!!!","")</f>
        <v/>
      </c>
      <c r="F1081" s="22" t="str">
        <f>IF(OR(E1081="",E1081="!!!"),"",IF(NOT(ISNA(VLOOKUP(E1081,E$1:E1080,1,FALSE()))),"OLD",IF(AND(E1081&lt;&gt;"",E1081&lt;&gt;"!!!"),"NEW","")))</f>
        <v> </v>
      </c>
      <c r="G1081" s="23" t="str">
        <f>IF(OR(E1081="",E1081="!!!"),"",IF(OR(J1081=0,AND(J1081=1,K1081=1),AND(J1081=1,I1081="SBJ"),AND(J1081=1,I1081=0)),"?IN_FOCUS",IF(J1081&lt;=2,"?ACTIVATED",IF(J1081&lt;&gt;"","?FAMILIAR",IF(F1081="NEW",IF(ISNA(VLOOKUP(E1081,#REF!,1,FALSE())),"?TYPE_IDENTIFIABLE","?REFERENTIAL"),"_")))))</f>
        <v> </v>
      </c>
      <c r="H1081" s="24" t="str">
        <f>IF(J1081&lt;&gt;1,"",IF(I1081="SBJ","CB","?"))</f>
        <v> </v>
      </c>
      <c r="I1081" s="25" t="str">
        <f>IF(OR(E1081="",E1081="!!!",F1081="NEW"),"",INDEX(B1080:B$2,-1+SUMPRODUCT(MAX(ROW(E1080:E$2)*(E1081=E1080:E$2)))))</f>
        <v> </v>
      </c>
      <c r="J1081" s="25" t="str">
        <f>IF(OR(E1081="",E1081="!!!",F1081="NEW"),"",COUNTBLANK(OFFSET(A$1,,,SUMPRODUCT(MAX(ROW(E$2:E1081)*(E1081=E$2:E1081)))))-COUNTBLANK(OFFSET(A$1,,,SUMPRODUCT(MAX(ROW(E$1:E1080)*(E2=E$1:E1080))))))</f>
        <v> </v>
      </c>
      <c r="K1081" s="25" t="str">
        <f>IF(OR(E1081="",E1081="!!!",F1081="NEW"),"",INDEX(J$1:J1080,SUMPRODUCT(MAX(ROW(E$1:E1080)*(E1081=E$1:E1080)))))</f>
        <v> </v>
      </c>
      <c r="L1081" s="26"/>
    </row>
    <row r="1082" spans="1:12">
      <c r="A1082" s="20" t="s">
        <v>711</v>
      </c>
      <c r="B1082" s="27" t="s">
        <v>301</v>
      </c>
      <c r="C1082" s="27" t="s">
        <v>281</v>
      </c>
      <c r="E1082" s="21">
        <f>IF(D1082="?OLD","!!!","")</f>
        <v/>
      </c>
      <c r="F1082" s="22" t="str">
        <f>IF(OR(E1082="",E1082="!!!"),"",IF(NOT(ISNA(VLOOKUP(E1082,E$1:E1081,1,FALSE()))),"OLD",IF(AND(E1082&lt;&gt;"",E1082&lt;&gt;"!!!"),"NEW","")))</f>
        <v> </v>
      </c>
      <c r="G1082" s="23" t="str">
        <f>IF(OR(E1082="",E1082="!!!"),"",IF(OR(J1082=0,AND(J1082=1,K1082=1),AND(J1082=1,I1082="SBJ"),AND(J1082=1,I1082=0)),"?IN_FOCUS",IF(J1082&lt;=2,"?ACTIVATED",IF(J1082&lt;&gt;"","?FAMILIAR",IF(F1082="NEW",IF(ISNA(VLOOKUP(E1082,#REF!,1,FALSE())),"?TYPE_IDENTIFIABLE","?REFERENTIAL"),"_")))))</f>
        <v> </v>
      </c>
      <c r="H1082" s="24" t="str">
        <f>IF(J1082&lt;&gt;1,"",IF(I1082="SBJ","CB","?"))</f>
        <v> </v>
      </c>
      <c r="I1082" s="25" t="str">
        <f>IF(OR(E1082="",E1082="!!!",F1082="NEW"),"",INDEX(B1081:B$2,-1+SUMPRODUCT(MAX(ROW(E1081:E$2)*(E1082=E1081:E$2)))))</f>
        <v> </v>
      </c>
      <c r="J1082" s="25" t="str">
        <f>IF(OR(E1082="",E1082="!!!",F1082="NEW"),"",COUNTBLANK(OFFSET(A$1,,,SUMPRODUCT(MAX(ROW(E$2:E1082)*(E1082=E$2:E1082)))))-COUNTBLANK(OFFSET(A$1,,,SUMPRODUCT(MAX(ROW(E$1:E1081)*(E2=E$1:E1081))))))</f>
        <v> </v>
      </c>
      <c r="K1082" s="25" t="str">
        <f>IF(OR(E1082="",E1082="!!!",F1082="NEW"),"",INDEX(J$1:J1081,SUMPRODUCT(MAX(ROW(E$1:E1081)*(E1082=E$1:E1081)))))</f>
        <v> </v>
      </c>
      <c r="L1082" s="26"/>
    </row>
    <row r="1083" spans="1:12">
      <c r="A1083" s="20" t="s">
        <v>285</v>
      </c>
      <c r="E1083" s="21">
        <f>IF(D1083="?OLD","!!!","")</f>
        <v/>
      </c>
      <c r="F1083" s="22" t="str">
        <f>IF(OR(E1083="",E1083="!!!"),"",IF(NOT(ISNA(VLOOKUP(E1083,E$1:E1082,1,FALSE()))),"OLD",IF(AND(E1083&lt;&gt;"",E1083&lt;&gt;"!!!"),"NEW","")))</f>
        <v> </v>
      </c>
      <c r="G1083" s="23" t="str">
        <f>IF(OR(E1083="",E1083="!!!"),"",IF(OR(J1083=0,AND(J1083=1,K1083=1),AND(J1083=1,I1083="SBJ"),AND(J1083=1,I1083=0)),"?IN_FOCUS",IF(J1083&lt;=2,"?ACTIVATED",IF(J1083&lt;&gt;"","?FAMILIAR",IF(F1083="NEW",IF(ISNA(VLOOKUP(E1083,#REF!,1,FALSE())),"?TYPE_IDENTIFIABLE","?REFERENTIAL"),"_")))))</f>
        <v> </v>
      </c>
      <c r="H1083" s="24" t="str">
        <f>IF(J1083&lt;&gt;1,"",IF(I1083="SBJ","CB","?"))</f>
        <v> </v>
      </c>
      <c r="I1083" s="25" t="str">
        <f>IF(OR(E1083="",E1083="!!!",F1083="NEW"),"",INDEX(B1082:B$2,-1+SUMPRODUCT(MAX(ROW(E1082:E$2)*(E1083=E1082:E$2)))))</f>
        <v> </v>
      </c>
      <c r="J1083" s="25" t="str">
        <f>IF(OR(E1083="",E1083="!!!",F1083="NEW"),"",COUNTBLANK(OFFSET(A$1,,,SUMPRODUCT(MAX(ROW(E$2:E1083)*(E1083=E$2:E1083)))))-COUNTBLANK(OFFSET(A$1,,,SUMPRODUCT(MAX(ROW(E$1:E1082)*(E2=E$1:E1082))))))</f>
        <v> </v>
      </c>
      <c r="K1083" s="25" t="str">
        <f>IF(OR(E1083="",E1083="!!!",F1083="NEW"),"",INDEX(J$1:J1082,SUMPRODUCT(MAX(ROW(E$1:E1082)*(E1083=E$1:E1082)))))</f>
        <v> </v>
      </c>
      <c r="L1083" s="26"/>
    </row>
    <row r="1084" spans="1:12">
      <c r="A1084" s="20"/>
    </row>
    <row r="1085" spans="1:12">
      <c r="A1085" s="20" t="s">
        <v>712</v>
      </c>
    </row>
    <row r="1086" spans="1:12">
      <c r="A1086" s="20" t="s">
        <v>524</v>
      </c>
      <c r="E1086" s="21">
        <f>IF(D1086="?OLD","!!!","")</f>
        <v/>
      </c>
      <c r="F1086" s="22" t="str">
        <f>IF(OR(E1086="",E1086="!!!"),"",IF(NOT(ISNA(VLOOKUP(E1086,E$1:E1085,1,FALSE()))),"OLD",IF(AND(E1086&lt;&gt;"",E1086&lt;&gt;"!!!"),"NEW","")))</f>
        <v> </v>
      </c>
      <c r="G1086" s="23" t="str">
        <f>IF(OR(E1086="",E1086="!!!"),"",IF(OR(J1086=0,AND(J1086=1,K1086=1),AND(J1086=1,I1086="SBJ"),AND(J1086=1,I1086=0)),"?IN_FOCUS",IF(J1086&lt;=2,"?ACTIVATED",IF(J1086&lt;&gt;"","?FAMILIAR",IF(F1086="NEW",IF(ISNA(VLOOKUP(E1086,#REF!,1,FALSE())),"?TYPE_IDENTIFIABLE","?REFERENTIAL"),"_")))))</f>
        <v> </v>
      </c>
      <c r="H1086" s="24" t="str">
        <f>IF(J1086&lt;&gt;1,"",IF(I1086="SBJ","CB","?"))</f>
        <v> </v>
      </c>
      <c r="I1086" s="25" t="str">
        <f>IF(OR(E1086="",E1086="!!!",F1086="NEW"),"",INDEX(B1085:B$2,-1+SUMPRODUCT(MAX(ROW(E1085:E$2)*(E1086=E1085:E$2)))))</f>
        <v> </v>
      </c>
      <c r="J1086" s="25" t="str">
        <f>IF(OR(E1086="",E1086="!!!",F1086="NEW"),"",COUNTBLANK(OFFSET(A$1,,,SUMPRODUCT(MAX(ROW(E$2:E1086)*(E1086=E$2:E1086)))))-COUNTBLANK(OFFSET(A$1,,,SUMPRODUCT(MAX(ROW(E$1:E1085)*(E2=E$1:E1085))))))</f>
        <v> </v>
      </c>
      <c r="K1086" s="25" t="str">
        <f>IF(OR(E1086="",E1086="!!!",F1086="NEW"),"",INDEX(J$1:J1085,SUMPRODUCT(MAX(ROW(E$1:E1085)*(E1086=E$1:E1085)))))</f>
        <v> </v>
      </c>
      <c r="L1086" s="26"/>
    </row>
    <row r="1087" spans="1:12">
      <c r="A1087" s="20" t="s">
        <v>631</v>
      </c>
      <c r="B1087" s="27" t="s">
        <v>237</v>
      </c>
      <c r="C1087" s="27" t="s">
        <v>252</v>
      </c>
      <c r="D1087" s="27" t="s">
        <v>244</v>
      </c>
      <c r="E1087" s="21">
        <f>IF(D1087="?OLD","!!!","")</f>
        <v/>
      </c>
      <c r="F1087" s="22" t="str">
        <f>IF(OR(E1087="",E1087="!!!"),"",IF(NOT(ISNA(VLOOKUP(E1087,E$1:E1086,1,FALSE()))),"OLD",IF(AND(E1087&lt;&gt;"",E1087&lt;&gt;"!!!"),"NEW","")))</f>
        <v> </v>
      </c>
      <c r="G1087" s="23" t="str">
        <f>IF(OR(E1087="",E1087="!!!"),"",IF(OR(J1087=0,AND(J1087=1,K1087=1),AND(J1087=1,I1087="SBJ"),AND(J1087=1,I1087=0)),"?IN_FOCUS",IF(J1087&lt;=2,"?ACTIVATED",IF(J1087&lt;&gt;"","?FAMILIAR",IF(F1087="NEW",IF(ISNA(VLOOKUP(E1087,#REF!,1,FALSE())),"?TYPE_IDENTIFIABLE","?REFERENTIAL"),"_")))))</f>
        <v> </v>
      </c>
      <c r="H1087" s="24" t="str">
        <f>IF(J1087&lt;&gt;1,"",IF(I1087="SBJ","CB","?"))</f>
        <v> </v>
      </c>
      <c r="I1087" s="25" t="str">
        <f>IF(OR(E1087="",E1087="!!!",F1087="NEW"),"",INDEX(B1086:B$2,-1+SUMPRODUCT(MAX(ROW(E1086:E$2)*(E1087=E1086:E$2)))))</f>
        <v> </v>
      </c>
      <c r="J1087" s="25" t="str">
        <f>IF(OR(E1087="",E1087="!!!",F1087="NEW"),"",COUNTBLANK(OFFSET(A$1,,,SUMPRODUCT(MAX(ROW(E$2:E1087)*(E1087=E$2:E1087)))))-COUNTBLANK(OFFSET(A$1,,,SUMPRODUCT(MAX(ROW(E$1:E1086)*(E2=E$1:E1086))))))</f>
        <v> </v>
      </c>
      <c r="K1087" s="25" t="str">
        <f>IF(OR(E1087="",E1087="!!!",F1087="NEW"),"",INDEX(J$1:J1086,SUMPRODUCT(MAX(ROW(E$1:E1086)*(E1087=E$1:E1086)))))</f>
        <v> </v>
      </c>
      <c r="L1087" s="26"/>
    </row>
    <row r="1088" spans="1:12">
      <c r="A1088" s="20" t="s">
        <v>273</v>
      </c>
      <c r="E1088" s="21">
        <f>IF(D1088="?OLD","!!!","")</f>
        <v/>
      </c>
      <c r="F1088" s="22" t="str">
        <f>IF(OR(E1088="",E1088="!!!"),"",IF(NOT(ISNA(VLOOKUP(E1088,E$1:E1087,1,FALSE()))),"OLD",IF(AND(E1088&lt;&gt;"",E1088&lt;&gt;"!!!"),"NEW","")))</f>
        <v> </v>
      </c>
      <c r="G1088" s="23" t="str">
        <f>IF(OR(E1088="",E1088="!!!"),"",IF(OR(J1088=0,AND(J1088=1,K1088=1),AND(J1088=1,I1088="SBJ"),AND(J1088=1,I1088=0)),"?IN_FOCUS",IF(J1088&lt;=2,"?ACTIVATED",IF(J1088&lt;&gt;"","?FAMILIAR",IF(F1088="NEW",IF(ISNA(VLOOKUP(E1088,#REF!,1,FALSE())),"?TYPE_IDENTIFIABLE","?REFERENTIAL"),"_")))))</f>
        <v> </v>
      </c>
      <c r="H1088" s="24" t="str">
        <f>IF(J1088&lt;&gt;1,"",IF(I1088="SBJ","CB","?"))</f>
        <v> </v>
      </c>
      <c r="I1088" s="25" t="str">
        <f>IF(OR(E1088="",E1088="!!!",F1088="NEW"),"",INDEX(B1087:B$2,-1+SUMPRODUCT(MAX(ROW(E1087:E$2)*(E1088=E1087:E$2)))))</f>
        <v> </v>
      </c>
      <c r="J1088" s="25" t="str">
        <f>IF(OR(E1088="",E1088="!!!",F1088="NEW"),"",COUNTBLANK(OFFSET(A$1,,,SUMPRODUCT(MAX(ROW(E$2:E1088)*(E1088=E$2:E1088)))))-COUNTBLANK(OFFSET(A$1,,,SUMPRODUCT(MAX(ROW(E$1:E1087)*(E2=E$1:E1087))))))</f>
        <v> </v>
      </c>
      <c r="K1088" s="25" t="str">
        <f>IF(OR(E1088="",E1088="!!!",F1088="NEW"),"",INDEX(J$1:J1087,SUMPRODUCT(MAX(ROW(E$1:E1087)*(E1088=E$1:E1087)))))</f>
        <v> </v>
      </c>
      <c r="L1088" s="26"/>
    </row>
    <row r="1089" spans="1:12">
      <c r="A1089" s="20" t="s">
        <v>397</v>
      </c>
      <c r="B1089" s="27" t="s">
        <v>237</v>
      </c>
      <c r="C1089" s="27" t="s">
        <v>281</v>
      </c>
      <c r="E1089" s="21">
        <f>IF(D1089="?OLD","!!!","")</f>
        <v/>
      </c>
      <c r="F1089" s="22" t="str">
        <f>IF(OR(E1089="",E1089="!!!"),"",IF(NOT(ISNA(VLOOKUP(E1089,E$1:E1088,1,FALSE()))),"OLD",IF(AND(E1089&lt;&gt;"",E1089&lt;&gt;"!!!"),"NEW","")))</f>
        <v> </v>
      </c>
      <c r="G1089" s="23" t="str">
        <f>IF(OR(E1089="",E1089="!!!"),"",IF(OR(J1089=0,AND(J1089=1,K1089=1),AND(J1089=1,I1089="SBJ"),AND(J1089=1,I1089=0)),"?IN_FOCUS",IF(J1089&lt;=2,"?ACTIVATED",IF(J1089&lt;&gt;"","?FAMILIAR",IF(F1089="NEW",IF(ISNA(VLOOKUP(E1089,#REF!,1,FALSE())),"?TYPE_IDENTIFIABLE","?REFERENTIAL"),"_")))))</f>
        <v> </v>
      </c>
      <c r="H1089" s="24" t="str">
        <f>IF(J1089&lt;&gt;1,"",IF(I1089="SBJ","CB","?"))</f>
        <v> </v>
      </c>
      <c r="I1089" s="25" t="str">
        <f>IF(OR(E1089="",E1089="!!!",F1089="NEW"),"",INDEX(B1088:B$2,-1+SUMPRODUCT(MAX(ROW(E1088:E$2)*(E1089=E1088:E$2)))))</f>
        <v> </v>
      </c>
      <c r="J1089" s="25" t="str">
        <f>IF(OR(E1089="",E1089="!!!",F1089="NEW"),"",COUNTBLANK(OFFSET(A$1,,,SUMPRODUCT(MAX(ROW(E$2:E1089)*(E1089=E$2:E1089)))))-COUNTBLANK(OFFSET(A$1,,,SUMPRODUCT(MAX(ROW(E$1:E1088)*(E2=E$1:E1088))))))</f>
        <v> </v>
      </c>
      <c r="K1089" s="25" t="str">
        <f>IF(OR(E1089="",E1089="!!!",F1089="NEW"),"",INDEX(J$1:J1088,SUMPRODUCT(MAX(ROW(E$1:E1088)*(E1089=E$1:E1088)))))</f>
        <v> </v>
      </c>
      <c r="L1089" s="26"/>
    </row>
    <row r="1090" spans="1:12">
      <c r="A1090" s="20" t="s">
        <v>305</v>
      </c>
      <c r="E1090" s="21">
        <f>IF(D1090="?OLD","!!!","")</f>
        <v/>
      </c>
      <c r="F1090" s="22" t="str">
        <f>IF(OR(E1090="",E1090="!!!"),"",IF(NOT(ISNA(VLOOKUP(E1090,E$1:E1089,1,FALSE()))),"OLD",IF(AND(E1090&lt;&gt;"",E1090&lt;&gt;"!!!"),"NEW","")))</f>
        <v> </v>
      </c>
      <c r="G1090" s="23" t="str">
        <f>IF(OR(E1090="",E1090="!!!"),"",IF(OR(J1090=0,AND(J1090=1,K1090=1),AND(J1090=1,I1090="SBJ"),AND(J1090=1,I1090=0)),"?IN_FOCUS",IF(J1090&lt;=2,"?ACTIVATED",IF(J1090&lt;&gt;"","?FAMILIAR",IF(F1090="NEW",IF(ISNA(VLOOKUP(E1090,#REF!,1,FALSE())),"?TYPE_IDENTIFIABLE","?REFERENTIAL"),"_")))))</f>
        <v> </v>
      </c>
      <c r="H1090" s="24" t="str">
        <f>IF(J1090&lt;&gt;1,"",IF(I1090="SBJ","CB","?"))</f>
        <v> </v>
      </c>
      <c r="I1090" s="25" t="str">
        <f>IF(OR(E1090="",E1090="!!!",F1090="NEW"),"",INDEX(B1089:B$2,-1+SUMPRODUCT(MAX(ROW(E1089:E$2)*(E1090=E1089:E$2)))))</f>
        <v> </v>
      </c>
      <c r="J1090" s="25" t="str">
        <f>IF(OR(E1090="",E1090="!!!",F1090="NEW"),"",COUNTBLANK(OFFSET(A$1,,,SUMPRODUCT(MAX(ROW(E$2:E1090)*(E1090=E$2:E1090)))))-COUNTBLANK(OFFSET(A$1,,,SUMPRODUCT(MAX(ROW(E$1:E1089)*(E2=E$1:E1089))))))</f>
        <v> </v>
      </c>
      <c r="K1090" s="25" t="str">
        <f>IF(OR(E1090="",E1090="!!!",F1090="NEW"),"",INDEX(J$1:J1089,SUMPRODUCT(MAX(ROW(E$1:E1089)*(E1090=E$1:E1089)))))</f>
        <v> </v>
      </c>
      <c r="L1090" s="26"/>
    </row>
    <row r="1091" spans="1:12">
      <c r="A1091" s="20" t="s">
        <v>321</v>
      </c>
      <c r="E1091" s="21">
        <f>IF(D1091="?OLD","!!!","")</f>
        <v/>
      </c>
      <c r="F1091" s="22" t="str">
        <f>IF(OR(E1091="",E1091="!!!"),"",IF(NOT(ISNA(VLOOKUP(E1091,E$1:E1090,1,FALSE()))),"OLD",IF(AND(E1091&lt;&gt;"",E1091&lt;&gt;"!!!"),"NEW","")))</f>
        <v> </v>
      </c>
      <c r="G1091" s="23" t="str">
        <f>IF(OR(E1091="",E1091="!!!"),"",IF(OR(J1091=0,AND(J1091=1,K1091=1),AND(J1091=1,I1091="SBJ"),AND(J1091=1,I1091=0)),"?IN_FOCUS",IF(J1091&lt;=2,"?ACTIVATED",IF(J1091&lt;&gt;"","?FAMILIAR",IF(F1091="NEW",IF(ISNA(VLOOKUP(E1091,#REF!,1,FALSE())),"?TYPE_IDENTIFIABLE","?REFERENTIAL"),"_")))))</f>
        <v> </v>
      </c>
      <c r="H1091" s="24" t="str">
        <f>IF(J1091&lt;&gt;1,"",IF(I1091="SBJ","CB","?"))</f>
        <v> </v>
      </c>
      <c r="I1091" s="25" t="str">
        <f>IF(OR(E1091="",E1091="!!!",F1091="NEW"),"",INDEX(B1090:B$2,-1+SUMPRODUCT(MAX(ROW(E1090:E$2)*(E1091=E1090:E$2)))))</f>
        <v> </v>
      </c>
      <c r="J1091" s="25" t="str">
        <f>IF(OR(E1091="",E1091="!!!",F1091="NEW"),"",COUNTBLANK(OFFSET(A$1,,,SUMPRODUCT(MAX(ROW(E$2:E1091)*(E1091=E$2:E1091)))))-COUNTBLANK(OFFSET(A$1,,,SUMPRODUCT(MAX(ROW(E$1:E1090)*(E2=E$1:E1090))))))</f>
        <v> </v>
      </c>
      <c r="K1091" s="25" t="str">
        <f>IF(OR(E1091="",E1091="!!!",F1091="NEW"),"",INDEX(J$1:J1090,SUMPRODUCT(MAX(ROW(E$1:E1090)*(E1091=E$1:E1090)))))</f>
        <v> </v>
      </c>
      <c r="L1091" s="26"/>
    </row>
    <row r="1092" spans="1:12">
      <c r="A1092" s="20" t="s">
        <v>237</v>
      </c>
      <c r="E1092" s="21">
        <f>IF(D1092="?OLD","!!!","")</f>
        <v/>
      </c>
      <c r="F1092" s="22" t="str">
        <f>IF(OR(E1092="",E1092="!!!"),"",IF(NOT(ISNA(VLOOKUP(E1092,E$1:E1091,1,FALSE()))),"OLD",IF(AND(E1092&lt;&gt;"",E1092&lt;&gt;"!!!"),"NEW","")))</f>
        <v> </v>
      </c>
      <c r="G1092" s="23" t="str">
        <f>IF(OR(E1092="",E1092="!!!"),"",IF(OR(J1092=0,AND(J1092=1,K1092=1),AND(J1092=1,I1092="SBJ"),AND(J1092=1,I1092=0)),"?IN_FOCUS",IF(J1092&lt;=2,"?ACTIVATED",IF(J1092&lt;&gt;"","?FAMILIAR",IF(F1092="NEW",IF(ISNA(VLOOKUP(E1092,#REF!,1,FALSE())),"?TYPE_IDENTIFIABLE","?REFERENTIAL"),"_")))))</f>
        <v> </v>
      </c>
      <c r="H1092" s="24" t="str">
        <f>IF(J1092&lt;&gt;1,"",IF(I1092="SBJ","CB","?"))</f>
        <v> </v>
      </c>
      <c r="I1092" s="25" t="str">
        <f>IF(OR(E1092="",E1092="!!!",F1092="NEW"),"",INDEX(B1091:B$2,-1+SUMPRODUCT(MAX(ROW(E1091:E$2)*(E1092=E1091:E$2)))))</f>
        <v> </v>
      </c>
      <c r="J1092" s="25" t="str">
        <f>IF(OR(E1092="",E1092="!!!",F1092="NEW"),"",COUNTBLANK(OFFSET(A$1,,,SUMPRODUCT(MAX(ROW(E$2:E1092)*(E1092=E$2:E1092)))))-COUNTBLANK(OFFSET(A$1,,,SUMPRODUCT(MAX(ROW(E$1:E1091)*(E2=E$1:E1091))))))</f>
        <v> </v>
      </c>
      <c r="K1092" s="25" t="str">
        <f>IF(OR(E1092="",E1092="!!!",F1092="NEW"),"",INDEX(J$1:J1091,SUMPRODUCT(MAX(ROW(E$1:E1091)*(E1092=E$1:E1091)))))</f>
        <v> </v>
      </c>
      <c r="L1092" s="26"/>
    </row>
    <row r="1093" spans="1:12">
      <c r="A1093" s="20" t="s">
        <v>499</v>
      </c>
      <c r="B1093" s="27" t="s">
        <v>237</v>
      </c>
      <c r="C1093" s="27" t="s">
        <v>281</v>
      </c>
      <c r="E1093" s="21">
        <f>IF(D1093="?OLD","!!!","")</f>
        <v/>
      </c>
      <c r="F1093" s="22" t="str">
        <f>IF(OR(E1093="",E1093="!!!"),"",IF(NOT(ISNA(VLOOKUP(E1093,E$1:E1092,1,FALSE()))),"OLD",IF(AND(E1093&lt;&gt;"",E1093&lt;&gt;"!!!"),"NEW","")))</f>
        <v> </v>
      </c>
      <c r="G1093" s="23" t="str">
        <f>IF(OR(E1093="",E1093="!!!"),"",IF(OR(J1093=0,AND(J1093=1,K1093=1),AND(J1093=1,I1093="SBJ"),AND(J1093=1,I1093=0)),"?IN_FOCUS",IF(J1093&lt;=2,"?ACTIVATED",IF(J1093&lt;&gt;"","?FAMILIAR",IF(F1093="NEW",IF(ISNA(VLOOKUP(E1093,#REF!,1,FALSE())),"?TYPE_IDENTIFIABLE","?REFERENTIAL"),"_")))))</f>
        <v> </v>
      </c>
      <c r="H1093" s="24" t="str">
        <f>IF(J1093&lt;&gt;1,"",IF(I1093="SBJ","CB","?"))</f>
        <v> </v>
      </c>
      <c r="I1093" s="25" t="str">
        <f>IF(OR(E1093="",E1093="!!!",F1093="NEW"),"",INDEX(B1092:B$2,-1+SUMPRODUCT(MAX(ROW(E1092:E$2)*(E1093=E1092:E$2)))))</f>
        <v> </v>
      </c>
      <c r="J1093" s="25" t="str">
        <f>IF(OR(E1093="",E1093="!!!",F1093="NEW"),"",COUNTBLANK(OFFSET(A$1,,,SUMPRODUCT(MAX(ROW(E$2:E1093)*(E1093=E$2:E1093)))))-COUNTBLANK(OFFSET(A$1,,,SUMPRODUCT(MAX(ROW(E$1:E1092)*(E2=E$1:E1092))))))</f>
        <v> </v>
      </c>
      <c r="K1093" s="25" t="str">
        <f>IF(OR(E1093="",E1093="!!!",F1093="NEW"),"",INDEX(J$1:J1092,SUMPRODUCT(MAX(ROW(E$1:E1092)*(E1093=E$1:E1092)))))</f>
        <v> </v>
      </c>
      <c r="L1093" s="26"/>
    </row>
    <row r="1094" spans="1:12">
      <c r="A1094" s="20" t="s">
        <v>305</v>
      </c>
      <c r="E1094" s="21">
        <f>IF(D1094="?OLD","!!!","")</f>
        <v/>
      </c>
      <c r="F1094" s="22" t="str">
        <f>IF(OR(E1094="",E1094="!!!"),"",IF(NOT(ISNA(VLOOKUP(E1094,E$1:E1093,1,FALSE()))),"OLD",IF(AND(E1094&lt;&gt;"",E1094&lt;&gt;"!!!"),"NEW","")))</f>
        <v> </v>
      </c>
      <c r="G1094" s="23" t="str">
        <f>IF(OR(E1094="",E1094="!!!"),"",IF(OR(J1094=0,AND(J1094=1,K1094=1),AND(J1094=1,I1094="SBJ"),AND(J1094=1,I1094=0)),"?IN_FOCUS",IF(J1094&lt;=2,"?ACTIVATED",IF(J1094&lt;&gt;"","?FAMILIAR",IF(F1094="NEW",IF(ISNA(VLOOKUP(E1094,#REF!,1,FALSE())),"?TYPE_IDENTIFIABLE","?REFERENTIAL"),"_")))))</f>
        <v> </v>
      </c>
      <c r="H1094" s="24" t="str">
        <f>IF(J1094&lt;&gt;1,"",IF(I1094="SBJ","CB","?"))</f>
        <v> </v>
      </c>
      <c r="I1094" s="25" t="str">
        <f>IF(OR(E1094="",E1094="!!!",F1094="NEW"),"",INDEX(B1093:B$2,-1+SUMPRODUCT(MAX(ROW(E1093:E$2)*(E1094=E1093:E$2)))))</f>
        <v> </v>
      </c>
      <c r="J1094" s="25" t="str">
        <f>IF(OR(E1094="",E1094="!!!",F1094="NEW"),"",COUNTBLANK(OFFSET(A$1,,,SUMPRODUCT(MAX(ROW(E$2:E1094)*(E1094=E$2:E1094)))))-COUNTBLANK(OFFSET(A$1,,,SUMPRODUCT(MAX(ROW(E$1:E1093)*(E2=E$1:E1093))))))</f>
        <v> </v>
      </c>
      <c r="K1094" s="25" t="str">
        <f>IF(OR(E1094="",E1094="!!!",F1094="NEW"),"",INDEX(J$1:J1093,SUMPRODUCT(MAX(ROW(E$1:E1093)*(E1094=E$1:E1093)))))</f>
        <v> </v>
      </c>
      <c r="L1094" s="26"/>
    </row>
    <row r="1095" spans="1:12">
      <c r="A1095" s="20" t="s">
        <v>391</v>
      </c>
      <c r="E1095" s="21">
        <f>IF(D1095="?OLD","!!!","")</f>
        <v/>
      </c>
      <c r="F1095" s="22" t="str">
        <f>IF(OR(E1095="",E1095="!!!"),"",IF(NOT(ISNA(VLOOKUP(E1095,E$1:E1094,1,FALSE()))),"OLD",IF(AND(E1095&lt;&gt;"",E1095&lt;&gt;"!!!"),"NEW","")))</f>
        <v> </v>
      </c>
      <c r="G1095" s="23" t="str">
        <f>IF(OR(E1095="",E1095="!!!"),"",IF(OR(J1095=0,AND(J1095=1,K1095=1),AND(J1095=1,I1095="SBJ"),AND(J1095=1,I1095=0)),"?IN_FOCUS",IF(J1095&lt;=2,"?ACTIVATED",IF(J1095&lt;&gt;"","?FAMILIAR",IF(F1095="NEW",IF(ISNA(VLOOKUP(E1095,#REF!,1,FALSE())),"?TYPE_IDENTIFIABLE","?REFERENTIAL"),"_")))))</f>
        <v> </v>
      </c>
      <c r="H1095" s="24" t="str">
        <f>IF(J1095&lt;&gt;1,"",IF(I1095="SBJ","CB","?"))</f>
        <v> </v>
      </c>
      <c r="I1095" s="25" t="str">
        <f>IF(OR(E1095="",E1095="!!!",F1095="NEW"),"",INDEX(B1094:B$2,-1+SUMPRODUCT(MAX(ROW(E1094:E$2)*(E1095=E1094:E$2)))))</f>
        <v> </v>
      </c>
      <c r="J1095" s="25" t="str">
        <f>IF(OR(E1095="",E1095="!!!",F1095="NEW"),"",COUNTBLANK(OFFSET(A$1,,,SUMPRODUCT(MAX(ROW(E$2:E1095)*(E1095=E$2:E1095)))))-COUNTBLANK(OFFSET(A$1,,,SUMPRODUCT(MAX(ROW(E$1:E1094)*(E2=E$1:E1094))))))</f>
        <v> </v>
      </c>
      <c r="K1095" s="25" t="str">
        <f>IF(OR(E1095="",E1095="!!!",F1095="NEW"),"",INDEX(J$1:J1094,SUMPRODUCT(MAX(ROW(E$1:E1094)*(E1095=E$1:E1094)))))</f>
        <v> </v>
      </c>
      <c r="L1095" s="26"/>
    </row>
    <row r="1096" spans="1:12">
      <c r="A1096" s="20" t="s">
        <v>621</v>
      </c>
      <c r="E1096" s="21">
        <f>IF(D1096="?OLD","!!!","")</f>
        <v/>
      </c>
      <c r="F1096" s="22" t="str">
        <f>IF(OR(E1096="",E1096="!!!"),"",IF(NOT(ISNA(VLOOKUP(E1096,E$1:E1095,1,FALSE()))),"OLD",IF(AND(E1096&lt;&gt;"",E1096&lt;&gt;"!!!"),"NEW","")))</f>
        <v> </v>
      </c>
      <c r="G1096" s="23" t="str">
        <f>IF(OR(E1096="",E1096="!!!"),"",IF(OR(J1096=0,AND(J1096=1,K1096=1),AND(J1096=1,I1096="SBJ"),AND(J1096=1,I1096=0)),"?IN_FOCUS",IF(J1096&lt;=2,"?ACTIVATED",IF(J1096&lt;&gt;"","?FAMILIAR",IF(F1096="NEW",IF(ISNA(VLOOKUP(E1096,#REF!,1,FALSE())),"?TYPE_IDENTIFIABLE","?REFERENTIAL"),"_")))))</f>
        <v> </v>
      </c>
      <c r="H1096" s="24" t="str">
        <f>IF(J1096&lt;&gt;1,"",IF(I1096="SBJ","CB","?"))</f>
        <v> </v>
      </c>
      <c r="I1096" s="25" t="str">
        <f>IF(OR(E1096="",E1096="!!!",F1096="NEW"),"",INDEX(B1095:B$2,-1+SUMPRODUCT(MAX(ROW(E1095:E$2)*(E1096=E1095:E$2)))))</f>
        <v> </v>
      </c>
      <c r="J1096" s="25" t="str">
        <f>IF(OR(E1096="",E1096="!!!",F1096="NEW"),"",COUNTBLANK(OFFSET(A$1,,,SUMPRODUCT(MAX(ROW(E$2:E1096)*(E1096=E$2:E1096)))))-COUNTBLANK(OFFSET(A$1,,,SUMPRODUCT(MAX(ROW(E$1:E1095)*(E2=E$1:E1095))))))</f>
        <v> </v>
      </c>
      <c r="K1096" s="25" t="str">
        <f>IF(OR(E1096="",E1096="!!!",F1096="NEW"),"",INDEX(J$1:J1095,SUMPRODUCT(MAX(ROW(E$1:E1095)*(E1096=E$1:E1095)))))</f>
        <v> </v>
      </c>
      <c r="L1096" s="26"/>
    </row>
    <row r="1097" spans="1:12">
      <c r="A1097" s="20" t="s">
        <v>713</v>
      </c>
      <c r="E1097" s="21">
        <f>IF(D1097="?OLD","!!!","")</f>
        <v/>
      </c>
      <c r="F1097" s="22" t="str">
        <f>IF(OR(E1097="",E1097="!!!"),"",IF(NOT(ISNA(VLOOKUP(E1097,E$1:E1096,1,FALSE()))),"OLD",IF(AND(E1097&lt;&gt;"",E1097&lt;&gt;"!!!"),"NEW","")))</f>
        <v> </v>
      </c>
      <c r="G1097" s="23" t="str">
        <f>IF(OR(E1097="",E1097="!!!"),"",IF(OR(J1097=0,AND(J1097=1,K1097=1),AND(J1097=1,I1097="SBJ"),AND(J1097=1,I1097=0)),"?IN_FOCUS",IF(J1097&lt;=2,"?ACTIVATED",IF(J1097&lt;&gt;"","?FAMILIAR",IF(F1097="NEW",IF(ISNA(VLOOKUP(E1097,#REF!,1,FALSE())),"?TYPE_IDENTIFIABLE","?REFERENTIAL"),"_")))))</f>
        <v> </v>
      </c>
      <c r="H1097" s="24" t="str">
        <f>IF(J1097&lt;&gt;1,"",IF(I1097="SBJ","CB","?"))</f>
        <v> </v>
      </c>
      <c r="I1097" s="25" t="str">
        <f>IF(OR(E1097="",E1097="!!!",F1097="NEW"),"",INDEX(B1096:B$2,-1+SUMPRODUCT(MAX(ROW(E1096:E$2)*(E1097=E1096:E$2)))))</f>
        <v> </v>
      </c>
      <c r="J1097" s="25" t="str">
        <f>IF(OR(E1097="",E1097="!!!",F1097="NEW"),"",COUNTBLANK(OFFSET(A$1,,,SUMPRODUCT(MAX(ROW(E$2:E1097)*(E1097=E$2:E1097)))))-COUNTBLANK(OFFSET(A$1,,,SUMPRODUCT(MAX(ROW(E$1:E1096)*(E2=E$1:E1096))))))</f>
        <v> </v>
      </c>
      <c r="K1097" s="25" t="str">
        <f>IF(OR(E1097="",E1097="!!!",F1097="NEW"),"",INDEX(J$1:J1096,SUMPRODUCT(MAX(ROW(E$1:E1096)*(E1097=E$1:E1096)))))</f>
        <v> </v>
      </c>
      <c r="L1097" s="26"/>
    </row>
    <row r="1098" spans="1:12">
      <c r="A1098" s="20" t="s">
        <v>11</v>
      </c>
      <c r="E1098" s="21">
        <f>IF(D1098="?OLD","!!!","")</f>
        <v/>
      </c>
      <c r="F1098" s="22" t="str">
        <f>IF(OR(E1098="",E1098="!!!"),"",IF(NOT(ISNA(VLOOKUP(E1098,E$1:E1097,1,FALSE()))),"OLD",IF(AND(E1098&lt;&gt;"",E1098&lt;&gt;"!!!"),"NEW","")))</f>
        <v> </v>
      </c>
      <c r="G1098" s="23" t="str">
        <f>IF(OR(E1098="",E1098="!!!"),"",IF(OR(J1098=0,AND(J1098=1,K1098=1),AND(J1098=1,I1098="SBJ"),AND(J1098=1,I1098=0)),"?IN_FOCUS",IF(J1098&lt;=2,"?ACTIVATED",IF(J1098&lt;&gt;"","?FAMILIAR",IF(F1098="NEW",IF(ISNA(VLOOKUP(E1098,#REF!,1,FALSE())),"?TYPE_IDENTIFIABLE","?REFERENTIAL"),"_")))))</f>
        <v> </v>
      </c>
      <c r="H1098" s="24" t="str">
        <f>IF(J1098&lt;&gt;1,"",IF(I1098="SBJ","CB","?"))</f>
        <v> </v>
      </c>
      <c r="I1098" s="25" t="str">
        <f>IF(OR(E1098="",E1098="!!!",F1098="NEW"),"",INDEX(B1097:B$2,-1+SUMPRODUCT(MAX(ROW(E1097:E$2)*(E1098=E1097:E$2)))))</f>
        <v> </v>
      </c>
      <c r="J1098" s="25" t="str">
        <f>IF(OR(E1098="",E1098="!!!",F1098="NEW"),"",COUNTBLANK(OFFSET(A$1,,,SUMPRODUCT(MAX(ROW(E$2:E1098)*(E1098=E$2:E1098)))))-COUNTBLANK(OFFSET(A$1,,,SUMPRODUCT(MAX(ROW(E$1:E1097)*(E2=E$1:E1097))))))</f>
        <v> </v>
      </c>
      <c r="K1098" s="25" t="str">
        <f>IF(OR(E1098="",E1098="!!!",F1098="NEW"),"",INDEX(J$1:J1097,SUMPRODUCT(MAX(ROW(E$1:E1097)*(E1098=E$1:E1097)))))</f>
        <v> </v>
      </c>
      <c r="L1098" s="26"/>
    </row>
    <row r="1099" spans="1:12">
      <c r="A1099" s="20" t="s">
        <v>714</v>
      </c>
      <c r="E1099" s="21">
        <f>IF(D1099="?OLD","!!!","")</f>
        <v/>
      </c>
      <c r="F1099" s="22" t="str">
        <f>IF(OR(E1099="",E1099="!!!"),"",IF(NOT(ISNA(VLOOKUP(E1099,E$1:E1098,1,FALSE()))),"OLD",IF(AND(E1099&lt;&gt;"",E1099&lt;&gt;"!!!"),"NEW","")))</f>
        <v> </v>
      </c>
      <c r="G1099" s="23" t="str">
        <f>IF(OR(E1099="",E1099="!!!"),"",IF(OR(J1099=0,AND(J1099=1,K1099=1),AND(J1099=1,I1099="SBJ"),AND(J1099=1,I1099=0)),"?IN_FOCUS",IF(J1099&lt;=2,"?ACTIVATED",IF(J1099&lt;&gt;"","?FAMILIAR",IF(F1099="NEW",IF(ISNA(VLOOKUP(E1099,#REF!,1,FALSE())),"?TYPE_IDENTIFIABLE","?REFERENTIAL"),"_")))))</f>
        <v> </v>
      </c>
      <c r="H1099" s="24" t="str">
        <f>IF(J1099&lt;&gt;1,"",IF(I1099="SBJ","CB","?"))</f>
        <v> </v>
      </c>
      <c r="I1099" s="25" t="str">
        <f>IF(OR(E1099="",E1099="!!!",F1099="NEW"),"",INDEX(B1098:B$2,-1+SUMPRODUCT(MAX(ROW(E1098:E$2)*(E1099=E1098:E$2)))))</f>
        <v> </v>
      </c>
      <c r="J1099" s="25" t="str">
        <f>IF(OR(E1099="",E1099="!!!",F1099="NEW"),"",COUNTBLANK(OFFSET(A$1,,,SUMPRODUCT(MAX(ROW(E$2:E1099)*(E1099=E$2:E1099)))))-COUNTBLANK(OFFSET(A$1,,,SUMPRODUCT(MAX(ROW(E$1:E1098)*(E2=E$1:E1098))))))</f>
        <v> </v>
      </c>
      <c r="K1099" s="25" t="str">
        <f>IF(OR(E1099="",E1099="!!!",F1099="NEW"),"",INDEX(J$1:J1098,SUMPRODUCT(MAX(ROW(E$1:E1098)*(E1099=E$1:E1098)))))</f>
        <v> </v>
      </c>
      <c r="L1099" s="26"/>
    </row>
    <row r="1100" spans="1:12">
      <c r="A1100" s="20" t="s">
        <v>715</v>
      </c>
      <c r="E1100" s="21">
        <f>IF(D1100="?OLD","!!!","")</f>
        <v/>
      </c>
      <c r="F1100" s="22" t="str">
        <f>IF(OR(E1100="",E1100="!!!"),"",IF(NOT(ISNA(VLOOKUP(E1100,E$1:E1099,1,FALSE()))),"OLD",IF(AND(E1100&lt;&gt;"",E1100&lt;&gt;"!!!"),"NEW","")))</f>
        <v> </v>
      </c>
      <c r="G1100" s="23" t="str">
        <f>IF(OR(E1100="",E1100="!!!"),"",IF(OR(J1100=0,AND(J1100=1,K1100=1),AND(J1100=1,I1100="SBJ"),AND(J1100=1,I1100=0)),"?IN_FOCUS",IF(J1100&lt;=2,"?ACTIVATED",IF(J1100&lt;&gt;"","?FAMILIAR",IF(F1100="NEW",IF(ISNA(VLOOKUP(E1100,#REF!,1,FALSE())),"?TYPE_IDENTIFIABLE","?REFERENTIAL"),"_")))))</f>
        <v> </v>
      </c>
      <c r="H1100" s="24" t="str">
        <f>IF(J1100&lt;&gt;1,"",IF(I1100="SBJ","CB","?"))</f>
        <v> </v>
      </c>
      <c r="I1100" s="25" t="str">
        <f>IF(OR(E1100="",E1100="!!!",F1100="NEW"),"",INDEX(B1099:B$2,-1+SUMPRODUCT(MAX(ROW(E1099:E$2)*(E1100=E1099:E$2)))))</f>
        <v> </v>
      </c>
      <c r="J1100" s="25" t="str">
        <f>IF(OR(E1100="",E1100="!!!",F1100="NEW"),"",COUNTBLANK(OFFSET(A$1,,,SUMPRODUCT(MAX(ROW(E$2:E1100)*(E1100=E$2:E1100)))))-COUNTBLANK(OFFSET(A$1,,,SUMPRODUCT(MAX(ROW(E$1:E1099)*(E2=E$1:E1099))))))</f>
        <v> </v>
      </c>
      <c r="K1100" s="25" t="str">
        <f>IF(OR(E1100="",E1100="!!!",F1100="NEW"),"",INDEX(J$1:J1099,SUMPRODUCT(MAX(ROW(E$1:E1099)*(E1100=E$1:E1099)))))</f>
        <v> </v>
      </c>
      <c r="L1100" s="26"/>
    </row>
    <row r="1101" spans="1:12">
      <c r="A1101" s="20" t="s">
        <v>285</v>
      </c>
      <c r="E1101" s="21">
        <f>IF(D1101="?OLD","!!!","")</f>
        <v/>
      </c>
      <c r="F1101" s="22" t="str">
        <f>IF(OR(E1101="",E1101="!!!"),"",IF(NOT(ISNA(VLOOKUP(E1101,E$1:E1100,1,FALSE()))),"OLD",IF(AND(E1101&lt;&gt;"",E1101&lt;&gt;"!!!"),"NEW","")))</f>
        <v> </v>
      </c>
      <c r="G1101" s="23" t="str">
        <f>IF(OR(E1101="",E1101="!!!"),"",IF(OR(J1101=0,AND(J1101=1,K1101=1),AND(J1101=1,I1101="SBJ"),AND(J1101=1,I1101=0)),"?IN_FOCUS",IF(J1101&lt;=2,"?ACTIVATED",IF(J1101&lt;&gt;"","?FAMILIAR",IF(F1101="NEW",IF(ISNA(VLOOKUP(E1101,#REF!,1,FALSE())),"?TYPE_IDENTIFIABLE","?REFERENTIAL"),"_")))))</f>
        <v> </v>
      </c>
      <c r="H1101" s="24" t="str">
        <f>IF(J1101&lt;&gt;1,"",IF(I1101="SBJ","CB","?"))</f>
        <v> </v>
      </c>
      <c r="I1101" s="25" t="str">
        <f>IF(OR(E1101="",E1101="!!!",F1101="NEW"),"",INDEX(B1100:B$2,-1+SUMPRODUCT(MAX(ROW(E1100:E$2)*(E1101=E1100:E$2)))))</f>
        <v> </v>
      </c>
      <c r="J1101" s="25" t="str">
        <f>IF(OR(E1101="",E1101="!!!",F1101="NEW"),"",COUNTBLANK(OFFSET(A$1,,,SUMPRODUCT(MAX(ROW(E$2:E1101)*(E1101=E$2:E1101)))))-COUNTBLANK(OFFSET(A$1,,,SUMPRODUCT(MAX(ROW(E$1:E1100)*(E2=E$1:E1100))))))</f>
        <v> </v>
      </c>
      <c r="K1101" s="25" t="str">
        <f>IF(OR(E1101="",E1101="!!!",F1101="NEW"),"",INDEX(J$1:J1100,SUMPRODUCT(MAX(ROW(E$1:E1100)*(E1101=E$1:E1100)))))</f>
        <v> </v>
      </c>
      <c r="L1101" s="26"/>
    </row>
    <row r="1102" spans="1:12">
      <c r="A1102" s="20"/>
    </row>
    <row r="1103" spans="1:12">
      <c r="A1103" s="20" t="s">
        <v>671</v>
      </c>
      <c r="E1103" s="21">
        <f>IF(D1103="?OLD","!!!","")</f>
        <v/>
      </c>
      <c r="F1103" s="22" t="str">
        <f>IF(OR(E1103="",E1103="!!!"),"",IF(NOT(ISNA(VLOOKUP(E1103,E$1:E1102,1,FALSE()))),"OLD",IF(AND(E1103&lt;&gt;"",E1103&lt;&gt;"!!!"),"NEW","")))</f>
        <v> </v>
      </c>
      <c r="G1103" s="23" t="str">
        <f>IF(OR(E1103="",E1103="!!!"),"",IF(OR(J1103=0,AND(J1103=1,K1103=1),AND(J1103=1,I1103="SBJ"),AND(J1103=1,I1103=0)),"?IN_FOCUS",IF(J1103&lt;=2,"?ACTIVATED",IF(J1103&lt;&gt;"","?FAMILIAR",IF(F1103="NEW",IF(ISNA(VLOOKUP(E1103,#REF!,1,FALSE())),"?TYPE_IDENTIFIABLE","?REFERENTIAL"),"_")))))</f>
        <v> </v>
      </c>
      <c r="H1103" s="24" t="str">
        <f>IF(J1103&lt;&gt;1,"",IF(I1103="SBJ","CB","?"))</f>
        <v> </v>
      </c>
      <c r="I1103" s="25" t="str">
        <f>IF(OR(E1103="",E1103="!!!",F1103="NEW"),"",INDEX(B1102:B$2,-1+SUMPRODUCT(MAX(ROW(E1102:E$2)*(E1103=E1102:E$2)))))</f>
        <v> </v>
      </c>
      <c r="J1103" s="25" t="str">
        <f>IF(OR(E1103="",E1103="!!!",F1103="NEW"),"",COUNTBLANK(OFFSET(A$1,,,SUMPRODUCT(MAX(ROW(E$2:E1103)*(E1103=E$2:E1103)))))-COUNTBLANK(OFFSET(A$1,,,SUMPRODUCT(MAX(ROW(E$1:E1102)*(E2=E$1:E1102))))))</f>
        <v> </v>
      </c>
      <c r="K1103" s="25" t="str">
        <f>IF(OR(E1103="",E1103="!!!",F1103="NEW"),"",INDEX(J$1:J1102,SUMPRODUCT(MAX(ROW(E$1:E1102)*(E1103=E$1:E1102)))))</f>
        <v> </v>
      </c>
      <c r="L1103" s="26"/>
    </row>
    <row r="1104" spans="1:12">
      <c r="A1104" s="20" t="s">
        <v>716</v>
      </c>
    </row>
    <row r="1105" spans="1:12">
      <c r="A1105" s="20" t="s">
        <v>676</v>
      </c>
      <c r="E1105" s="21">
        <f>IF(D1105="?OLD","!!!","")</f>
        <v/>
      </c>
      <c r="F1105" s="22" t="str">
        <f>IF(OR(E1105="",E1105="!!!"),"",IF(NOT(ISNA(VLOOKUP(E1105,E$1:E1104,1,FALSE()))),"OLD",IF(AND(E1105&lt;&gt;"",E1105&lt;&gt;"!!!"),"NEW","")))</f>
        <v> </v>
      </c>
      <c r="G1105" s="23" t="str">
        <f>IF(OR(E1105="",E1105="!!!"),"",IF(OR(J1105=0,AND(J1105=1,K1105=1),AND(J1105=1,I1105="SBJ"),AND(J1105=1,I1105=0)),"?IN_FOCUS",IF(J1105&lt;=2,"?ACTIVATED",IF(J1105&lt;&gt;"","?FAMILIAR",IF(F1105="NEW",IF(ISNA(VLOOKUP(E1105,#REF!,1,FALSE())),"?TYPE_IDENTIFIABLE","?REFERENTIAL"),"_")))))</f>
        <v> </v>
      </c>
      <c r="H1105" s="24" t="str">
        <f>IF(J1105&lt;&gt;1,"",IF(I1105="SBJ","CB","?"))</f>
        <v> </v>
      </c>
      <c r="I1105" s="25" t="str">
        <f>IF(OR(E1105="",E1105="!!!",F1105="NEW"),"",INDEX(B1104:B$2,-1+SUMPRODUCT(MAX(ROW(E1104:E$2)*(E1105=E1104:E$2)))))</f>
        <v> </v>
      </c>
      <c r="J1105" s="25" t="str">
        <f>IF(OR(E1105="",E1105="!!!",F1105="NEW"),"",COUNTBLANK(OFFSET(A$1,,,SUMPRODUCT(MAX(ROW(E$2:E1105)*(E1105=E$2:E1105)))))-COUNTBLANK(OFFSET(A$1,,,SUMPRODUCT(MAX(ROW(E$1:E1104)*(E2=E$1:E1104))))))</f>
        <v> </v>
      </c>
      <c r="K1105" s="25" t="str">
        <f>IF(OR(E1105="",E1105="!!!",F1105="NEW"),"",INDEX(J$1:J1104,SUMPRODUCT(MAX(ROW(E$1:E1104)*(E1105=E$1:E1104)))))</f>
        <v> </v>
      </c>
      <c r="L1105" s="26"/>
    </row>
    <row r="1106" spans="1:12">
      <c r="A1106" s="20" t="s">
        <v>717</v>
      </c>
      <c r="B1106" s="27" t="s">
        <v>255</v>
      </c>
      <c r="C1106" s="27" t="s">
        <v>243</v>
      </c>
      <c r="D1106" s="27" t="s">
        <v>244</v>
      </c>
      <c r="E1106" s="21">
        <f>IF(D1106="?OLD","!!!","")</f>
        <v/>
      </c>
      <c r="F1106" s="22" t="str">
        <f>IF(OR(E1106="",E1106="!!!"),"",IF(NOT(ISNA(VLOOKUP(E1106,E$1:E1105,1,FALSE()))),"OLD",IF(AND(E1106&lt;&gt;"",E1106&lt;&gt;"!!!"),"NEW","")))</f>
        <v> </v>
      </c>
      <c r="G1106" s="23" t="str">
        <f>IF(OR(E1106="",E1106="!!!"),"",IF(OR(J1106=0,AND(J1106=1,K1106=1),AND(J1106=1,I1106="SBJ"),AND(J1106=1,I1106=0)),"?IN_FOCUS",IF(J1106&lt;=2,"?ACTIVATED",IF(J1106&lt;&gt;"","?FAMILIAR",IF(F1106="NEW",IF(ISNA(VLOOKUP(E1106,#REF!,1,FALSE())),"?TYPE_IDENTIFIABLE","?REFERENTIAL"),"_")))))</f>
        <v> </v>
      </c>
      <c r="H1106" s="24" t="str">
        <f>IF(J1106&lt;&gt;1,"",IF(I1106="SBJ","CB","?"))</f>
        <v> </v>
      </c>
      <c r="I1106" s="25" t="str">
        <f>IF(OR(E1106="",E1106="!!!",F1106="NEW"),"",INDEX(B1105:B$2,-1+SUMPRODUCT(MAX(ROW(E1105:E$2)*(E1106=E1105:E$2)))))</f>
        <v> </v>
      </c>
      <c r="J1106" s="25" t="str">
        <f>IF(OR(E1106="",E1106="!!!",F1106="NEW"),"",COUNTBLANK(OFFSET(A$1,,,SUMPRODUCT(MAX(ROW(E$2:E1106)*(E1106=E$2:E1106)))))-COUNTBLANK(OFFSET(A$1,,,SUMPRODUCT(MAX(ROW(E$1:E1105)*(E2=E$1:E1105))))))</f>
        <v> </v>
      </c>
      <c r="K1106" s="25" t="str">
        <f>IF(OR(E1106="",E1106="!!!",F1106="NEW"),"",INDEX(J$1:J1105,SUMPRODUCT(MAX(ROW(E$1:E1105)*(E1106=E$1:E1105)))))</f>
        <v> </v>
      </c>
      <c r="L1106" s="26"/>
    </row>
    <row r="1107" spans="1:12">
      <c r="A1107" s="20" t="s">
        <v>305</v>
      </c>
      <c r="E1107" s="21">
        <f>IF(D1107="?OLD","!!!","")</f>
        <v/>
      </c>
      <c r="F1107" s="22" t="str">
        <f>IF(OR(E1107="",E1107="!!!"),"",IF(NOT(ISNA(VLOOKUP(E1107,E$1:E1106,1,FALSE()))),"OLD",IF(AND(E1107&lt;&gt;"",E1107&lt;&gt;"!!!"),"NEW","")))</f>
        <v> </v>
      </c>
      <c r="G1107" s="23" t="str">
        <f>IF(OR(E1107="",E1107="!!!"),"",IF(OR(J1107=0,AND(J1107=1,K1107=1),AND(J1107=1,I1107="SBJ"),AND(J1107=1,I1107=0)),"?IN_FOCUS",IF(J1107&lt;=2,"?ACTIVATED",IF(J1107&lt;&gt;"","?FAMILIAR",IF(F1107="NEW",IF(ISNA(VLOOKUP(E1107,#REF!,1,FALSE())),"?TYPE_IDENTIFIABLE","?REFERENTIAL"),"_")))))</f>
        <v> </v>
      </c>
      <c r="H1107" s="24" t="str">
        <f>IF(J1107&lt;&gt;1,"",IF(I1107="SBJ","CB","?"))</f>
        <v> </v>
      </c>
      <c r="I1107" s="25" t="str">
        <f>IF(OR(E1107="",E1107="!!!",F1107="NEW"),"",INDEX(B1106:B$2,-1+SUMPRODUCT(MAX(ROW(E1106:E$2)*(E1107=E1106:E$2)))))</f>
        <v> </v>
      </c>
      <c r="J1107" s="25" t="str">
        <f>IF(OR(E1107="",E1107="!!!",F1107="NEW"),"",COUNTBLANK(OFFSET(A$1,,,SUMPRODUCT(MAX(ROW(E$2:E1107)*(E1107=E$2:E1107)))))-COUNTBLANK(OFFSET(A$1,,,SUMPRODUCT(MAX(ROW(E$1:E1106)*(E2=E$1:E1106))))))</f>
        <v> </v>
      </c>
      <c r="K1107" s="25" t="str">
        <f>IF(OR(E1107="",E1107="!!!",F1107="NEW"),"",INDEX(J$1:J1106,SUMPRODUCT(MAX(ROW(E$1:E1106)*(E1107=E$1:E1106)))))</f>
        <v> </v>
      </c>
      <c r="L1107" s="26"/>
    </row>
    <row r="1108" spans="1:12">
      <c r="A1108" s="20" t="s">
        <v>718</v>
      </c>
      <c r="B1108" s="27" t="s">
        <v>291</v>
      </c>
      <c r="C1108" s="27" t="s">
        <v>281</v>
      </c>
      <c r="E1108" s="21">
        <f>IF(D1108="?OLD","!!!","")</f>
        <v/>
      </c>
      <c r="F1108" s="22" t="str">
        <f>IF(OR(E1108="",E1108="!!!"),"",IF(NOT(ISNA(VLOOKUP(E1108,E$1:E1107,1,FALSE()))),"OLD",IF(AND(E1108&lt;&gt;"",E1108&lt;&gt;"!!!"),"NEW","")))</f>
        <v> </v>
      </c>
      <c r="G1108" s="23" t="str">
        <f>IF(OR(E1108="",E1108="!!!"),"",IF(OR(J1108=0,AND(J1108=1,K1108=1),AND(J1108=1,I1108="SBJ"),AND(J1108=1,I1108=0)),"?IN_FOCUS",IF(J1108&lt;=2,"?ACTIVATED",IF(J1108&lt;&gt;"","?FAMILIAR",IF(F1108="NEW",IF(ISNA(VLOOKUP(E1108,#REF!,1,FALSE())),"?TYPE_IDENTIFIABLE","?REFERENTIAL"),"_")))))</f>
        <v> </v>
      </c>
      <c r="H1108" s="24" t="str">
        <f>IF(J1108&lt;&gt;1,"",IF(I1108="SBJ","CB","?"))</f>
        <v> </v>
      </c>
      <c r="I1108" s="25" t="str">
        <f>IF(OR(E1108="",E1108="!!!",F1108="NEW"),"",INDEX(B1107:B$2,-1+SUMPRODUCT(MAX(ROW(E1107:E$2)*(E1108=E1107:E$2)))))</f>
        <v> </v>
      </c>
      <c r="J1108" s="25" t="str">
        <f>IF(OR(E1108="",E1108="!!!",F1108="NEW"),"",COUNTBLANK(OFFSET(A$1,,,SUMPRODUCT(MAX(ROW(E$2:E1108)*(E1108=E$2:E1108)))))-COUNTBLANK(OFFSET(A$1,,,SUMPRODUCT(MAX(ROW(E$1:E1107)*(E2=E$1:E1107))))))</f>
        <v> </v>
      </c>
      <c r="K1108" s="25" t="str">
        <f>IF(OR(E1108="",E1108="!!!",F1108="NEW"),"",INDEX(J$1:J1107,SUMPRODUCT(MAX(ROW(E$1:E1107)*(E1108=E$1:E1107)))))</f>
        <v> </v>
      </c>
      <c r="L1108" s="26"/>
    </row>
    <row r="1109" spans="1:12">
      <c r="A1109" s="20" t="s">
        <v>260</v>
      </c>
      <c r="B1109" s="27" t="s">
        <v>423</v>
      </c>
      <c r="E1109" s="21">
        <f>IF(D1109="?OLD","!!!","")</f>
        <v/>
      </c>
      <c r="F1109" s="22" t="str">
        <f>IF(OR(E1109="",E1109="!!!"),"",IF(NOT(ISNA(VLOOKUP(E1109,E$1:E1108,1,FALSE()))),"OLD",IF(AND(E1109&lt;&gt;"",E1109&lt;&gt;"!!!"),"NEW","")))</f>
        <v> </v>
      </c>
      <c r="G1109" s="23" t="str">
        <f>IF(OR(E1109="",E1109="!!!"),"",IF(OR(J1109=0,AND(J1109=1,K1109=1),AND(J1109=1,I1109="SBJ"),AND(J1109=1,I1109=0)),"?IN_FOCUS",IF(J1109&lt;=2,"?ACTIVATED",IF(J1109&lt;&gt;"","?FAMILIAR",IF(F1109="NEW",IF(ISNA(VLOOKUP(E1109,#REF!,1,FALSE())),"?TYPE_IDENTIFIABLE","?REFERENTIAL"),"_")))))</f>
        <v> </v>
      </c>
      <c r="H1109" s="24" t="str">
        <f>IF(J1109&lt;&gt;1,"",IF(I1109="SBJ","CB","?"))</f>
        <v> </v>
      </c>
      <c r="I1109" s="25" t="str">
        <f>IF(OR(E1109="",E1109="!!!",F1109="NEW"),"",INDEX(B1108:B$2,-1+SUMPRODUCT(MAX(ROW(E1108:E$2)*(E1109=E1108:E$2)))))</f>
        <v> </v>
      </c>
      <c r="J1109" s="25" t="str">
        <f>IF(OR(E1109="",E1109="!!!",F1109="NEW"),"",COUNTBLANK(OFFSET(A$1,,,SUMPRODUCT(MAX(ROW(E$2:E1109)*(E1109=E$2:E1109)))))-COUNTBLANK(OFFSET(A$1,,,SUMPRODUCT(MAX(ROW(E$1:E1108)*(E2=E$1:E1108))))))</f>
        <v> </v>
      </c>
      <c r="K1109" s="25" t="str">
        <f>IF(OR(E1109="",E1109="!!!",F1109="NEW"),"",INDEX(J$1:J1108,SUMPRODUCT(MAX(ROW(E$1:E1108)*(E1109=E$1:E1108)))))</f>
        <v> </v>
      </c>
      <c r="L1109" s="26"/>
    </row>
    <row r="1110" spans="1:12">
      <c r="A1110" s="20" t="s">
        <v>254</v>
      </c>
      <c r="B1110" s="27" t="s">
        <v>329</v>
      </c>
      <c r="C1110" s="27" t="s">
        <v>256</v>
      </c>
      <c r="D1110" s="27" t="s">
        <v>244</v>
      </c>
      <c r="E1110" s="21">
        <f>IF(D1110="?OLD","!!!","")</f>
        <v/>
      </c>
      <c r="F1110" s="22" t="str">
        <f>IF(OR(E1110="",E1110="!!!"),"",IF(NOT(ISNA(VLOOKUP(E1110,E$1:E1109,1,FALSE()))),"OLD",IF(AND(E1110&lt;&gt;"",E1110&lt;&gt;"!!!"),"NEW","")))</f>
        <v> </v>
      </c>
      <c r="G1110" s="23" t="str">
        <f>IF(OR(E1110="",E1110="!!!"),"",IF(OR(J1110=0,AND(J1110=1,K1110=1),AND(J1110=1,I1110="SBJ"),AND(J1110=1,I1110=0)),"?IN_FOCUS",IF(J1110&lt;=2,"?ACTIVATED",IF(J1110&lt;&gt;"","?FAMILIAR",IF(F1110="NEW",IF(ISNA(VLOOKUP(E1110,#REF!,1,FALSE())),"?TYPE_IDENTIFIABLE","?REFERENTIAL"),"_")))))</f>
        <v> </v>
      </c>
      <c r="H1110" s="24" t="str">
        <f>IF(J1110&lt;&gt;1,"",IF(I1110="SBJ","CB","?"))</f>
        <v> </v>
      </c>
      <c r="I1110" s="25" t="str">
        <f>IF(OR(E1110="",E1110="!!!",F1110="NEW"),"",INDEX(B1109:B$2,-1+SUMPRODUCT(MAX(ROW(E1109:E$2)*(E1110=E1109:E$2)))))</f>
        <v> </v>
      </c>
      <c r="J1110" s="25" t="str">
        <f>IF(OR(E1110="",E1110="!!!",F1110="NEW"),"",COUNTBLANK(OFFSET(A$1,,,SUMPRODUCT(MAX(ROW(E$2:E1110)*(E1110=E$2:E1110)))))-COUNTBLANK(OFFSET(A$1,,,SUMPRODUCT(MAX(ROW(E$1:E1109)*(E2=E$1:E1109))))))</f>
        <v> </v>
      </c>
      <c r="K1110" s="25" t="str">
        <f>IF(OR(E1110="",E1110="!!!",F1110="NEW"),"",INDEX(J$1:J1109,SUMPRODUCT(MAX(ROW(E$1:E1109)*(E1110=E$1:E1109)))))</f>
        <v> </v>
      </c>
      <c r="L1110" s="26"/>
    </row>
    <row r="1111" spans="1:12">
      <c r="A1111" s="20" t="s">
        <v>719</v>
      </c>
      <c r="E1111" s="21">
        <f>IF(D1111="?OLD","!!!","")</f>
        <v/>
      </c>
      <c r="F1111" s="22" t="str">
        <f>IF(OR(E1111="",E1111="!!!"),"",IF(NOT(ISNA(VLOOKUP(E1111,E$1:E1110,1,FALSE()))),"OLD",IF(AND(E1111&lt;&gt;"",E1111&lt;&gt;"!!!"),"NEW","")))</f>
        <v> </v>
      </c>
      <c r="G1111" s="23" t="str">
        <f>IF(OR(E1111="",E1111="!!!"),"",IF(OR(J1111=0,AND(J1111=1,K1111=1),AND(J1111=1,I1111="SBJ"),AND(J1111=1,I1111=0)),"?IN_FOCUS",IF(J1111&lt;=2,"?ACTIVATED",IF(J1111&lt;&gt;"","?FAMILIAR",IF(F1111="NEW",IF(ISNA(VLOOKUP(E1111,#REF!,1,FALSE())),"?TYPE_IDENTIFIABLE","?REFERENTIAL"),"_")))))</f>
        <v> </v>
      </c>
      <c r="H1111" s="24" t="str">
        <f>IF(J1111&lt;&gt;1,"",IF(I1111="SBJ","CB","?"))</f>
        <v> </v>
      </c>
      <c r="I1111" s="25" t="str">
        <f>IF(OR(E1111="",E1111="!!!",F1111="NEW"),"",INDEX(B1110:B$2,-1+SUMPRODUCT(MAX(ROW(E1110:E$2)*(E1111=E1110:E$2)))))</f>
        <v> </v>
      </c>
      <c r="J1111" s="25" t="str">
        <f>IF(OR(E1111="",E1111="!!!",F1111="NEW"),"",COUNTBLANK(OFFSET(A$1,,,SUMPRODUCT(MAX(ROW(E$2:E1111)*(E1111=E$2:E1111)))))-COUNTBLANK(OFFSET(A$1,,,SUMPRODUCT(MAX(ROW(E$1:E1110)*(E2=E$1:E1110))))))</f>
        <v> </v>
      </c>
      <c r="K1111" s="25" t="str">
        <f>IF(OR(E1111="",E1111="!!!",F1111="NEW"),"",INDEX(J$1:J1110,SUMPRODUCT(MAX(ROW(E$1:E1110)*(E1111=E$1:E1110)))))</f>
        <v> </v>
      </c>
      <c r="L1111" s="26"/>
    </row>
    <row r="1112" spans="1:12">
      <c r="A1112" s="20" t="s">
        <v>551</v>
      </c>
      <c r="E1112" s="21">
        <f>IF(D1112="?OLD","!!!","")</f>
        <v/>
      </c>
      <c r="F1112" s="22" t="str">
        <f>IF(OR(E1112="",E1112="!!!"),"",IF(NOT(ISNA(VLOOKUP(E1112,E$1:E1111,1,FALSE()))),"OLD",IF(AND(E1112&lt;&gt;"",E1112&lt;&gt;"!!!"),"NEW","")))</f>
        <v> </v>
      </c>
      <c r="G1112" s="23" t="str">
        <f>IF(OR(E1112="",E1112="!!!"),"",IF(OR(J1112=0,AND(J1112=1,K1112=1),AND(J1112=1,I1112="SBJ"),AND(J1112=1,I1112=0)),"?IN_FOCUS",IF(J1112&lt;=2,"?ACTIVATED",IF(J1112&lt;&gt;"","?FAMILIAR",IF(F1112="NEW",IF(ISNA(VLOOKUP(E1112,#REF!,1,FALSE())),"?TYPE_IDENTIFIABLE","?REFERENTIAL"),"_")))))</f>
        <v> </v>
      </c>
      <c r="H1112" s="24" t="str">
        <f>IF(J1112&lt;&gt;1,"",IF(I1112="SBJ","CB","?"))</f>
        <v> </v>
      </c>
      <c r="I1112" s="25" t="str">
        <f>IF(OR(E1112="",E1112="!!!",F1112="NEW"),"",INDEX(B1111:B$2,-1+SUMPRODUCT(MAX(ROW(E1111:E$2)*(E1112=E1111:E$2)))))</f>
        <v> </v>
      </c>
      <c r="J1112" s="25" t="str">
        <f>IF(OR(E1112="",E1112="!!!",F1112="NEW"),"",COUNTBLANK(OFFSET(A$1,,,SUMPRODUCT(MAX(ROW(E$2:E1112)*(E1112=E$2:E1112)))))-COUNTBLANK(OFFSET(A$1,,,SUMPRODUCT(MAX(ROW(E$1:E1111)*(E2=E$1:E1111))))))</f>
        <v> </v>
      </c>
      <c r="K1112" s="25" t="str">
        <f>IF(OR(E1112="",E1112="!!!",F1112="NEW"),"",INDEX(J$1:J1111,SUMPRODUCT(MAX(ROW(E$1:E1111)*(E1112=E$1:E1111)))))</f>
        <v> </v>
      </c>
      <c r="L1112" s="26"/>
    </row>
    <row r="1113" spans="1:12">
      <c r="A1113" s="20" t="s">
        <v>720</v>
      </c>
      <c r="E1113" s="21">
        <f>IF(D1113="?OLD","!!!","")</f>
        <v/>
      </c>
      <c r="F1113" s="22" t="str">
        <f>IF(OR(E1113="",E1113="!!!"),"",IF(NOT(ISNA(VLOOKUP(E1113,E$1:E1112,1,FALSE()))),"OLD",IF(AND(E1113&lt;&gt;"",E1113&lt;&gt;"!!!"),"NEW","")))</f>
        <v> </v>
      </c>
      <c r="G1113" s="23" t="str">
        <f>IF(OR(E1113="",E1113="!!!"),"",IF(OR(J1113=0,AND(J1113=1,K1113=1),AND(J1113=1,I1113="SBJ"),AND(J1113=1,I1113=0)),"?IN_FOCUS",IF(J1113&lt;=2,"?ACTIVATED",IF(J1113&lt;&gt;"","?FAMILIAR",IF(F1113="NEW",IF(ISNA(VLOOKUP(E1113,#REF!,1,FALSE())),"?TYPE_IDENTIFIABLE","?REFERENTIAL"),"_")))))</f>
        <v> </v>
      </c>
      <c r="H1113" s="24" t="str">
        <f>IF(J1113&lt;&gt;1,"",IF(I1113="SBJ","CB","?"))</f>
        <v> </v>
      </c>
      <c r="I1113" s="25" t="str">
        <f>IF(OR(E1113="",E1113="!!!",F1113="NEW"),"",INDEX(B1112:B$2,-1+SUMPRODUCT(MAX(ROW(E1112:E$2)*(E1113=E1112:E$2)))))</f>
        <v> </v>
      </c>
      <c r="J1113" s="25" t="str">
        <f>IF(OR(E1113="",E1113="!!!",F1113="NEW"),"",COUNTBLANK(OFFSET(A$1,,,SUMPRODUCT(MAX(ROW(E$2:E1113)*(E1113=E$2:E1113)))))-COUNTBLANK(OFFSET(A$1,,,SUMPRODUCT(MAX(ROW(E$1:E1112)*(E2=E$1:E1112))))))</f>
        <v> </v>
      </c>
      <c r="K1113" s="25" t="str">
        <f>IF(OR(E1113="",E1113="!!!",F1113="NEW"),"",INDEX(J$1:J1112,SUMPRODUCT(MAX(ROW(E$1:E1112)*(E1113=E$1:E1112)))))</f>
        <v> </v>
      </c>
      <c r="L1113" s="26"/>
    </row>
    <row r="1114" spans="1:12">
      <c r="A1114" s="20" t="s">
        <v>254</v>
      </c>
      <c r="B1114" s="27" t="s">
        <v>504</v>
      </c>
      <c r="C1114" s="27" t="s">
        <v>256</v>
      </c>
      <c r="D1114" s="27" t="s">
        <v>244</v>
      </c>
      <c r="E1114" s="21">
        <f>IF(D1114="?OLD","!!!","")</f>
        <v/>
      </c>
      <c r="F1114" s="22" t="str">
        <f>IF(OR(E1114="",E1114="!!!"),"",IF(NOT(ISNA(VLOOKUP(E1114,E$1:E1113,1,FALSE()))),"OLD",IF(AND(E1114&lt;&gt;"",E1114&lt;&gt;"!!!"),"NEW","")))</f>
        <v> </v>
      </c>
      <c r="G1114" s="23" t="str">
        <f>IF(OR(E1114="",E1114="!!!"),"",IF(OR(J1114=0,AND(J1114=1,K1114=1),AND(J1114=1,I1114="SBJ"),AND(J1114=1,I1114=0)),"?IN_FOCUS",IF(J1114&lt;=2,"?ACTIVATED",IF(J1114&lt;&gt;"","?FAMILIAR",IF(F1114="NEW",IF(ISNA(VLOOKUP(E1114,#REF!,1,FALSE())),"?TYPE_IDENTIFIABLE","?REFERENTIAL"),"_")))))</f>
        <v> </v>
      </c>
      <c r="H1114" s="24" t="str">
        <f>IF(J1114&lt;&gt;1,"",IF(I1114="SBJ","CB","?"))</f>
        <v> </v>
      </c>
      <c r="I1114" s="25" t="str">
        <f>IF(OR(E1114="",E1114="!!!",F1114="NEW"),"",INDEX(B1113:B$2,-1+SUMPRODUCT(MAX(ROW(E1113:E$2)*(E1114=E1113:E$2)))))</f>
        <v> </v>
      </c>
      <c r="J1114" s="25" t="str">
        <f>IF(OR(E1114="",E1114="!!!",F1114="NEW"),"",COUNTBLANK(OFFSET(A$1,,,SUMPRODUCT(MAX(ROW(E$2:E1114)*(E1114=E$2:E1114)))))-COUNTBLANK(OFFSET(A$1,,,SUMPRODUCT(MAX(ROW(E$1:E1113)*(E2=E$1:E1113))))))</f>
        <v> </v>
      </c>
      <c r="K1114" s="25" t="str">
        <f>IF(OR(E1114="",E1114="!!!",F1114="NEW"),"",INDEX(J$1:J1113,SUMPRODUCT(MAX(ROW(E$1:E1113)*(E1114=E$1:E1113)))))</f>
        <v> </v>
      </c>
      <c r="L1114" s="26"/>
    </row>
    <row r="1115" spans="1:12">
      <c r="A1115" s="20" t="s">
        <v>721</v>
      </c>
      <c r="E1115" s="21">
        <f>IF(D1115="?OLD","!!!","")</f>
        <v/>
      </c>
      <c r="F1115" s="22" t="str">
        <f>IF(OR(E1115="",E1115="!!!"),"",IF(NOT(ISNA(VLOOKUP(E1115,E$1:E1114,1,FALSE()))),"OLD",IF(AND(E1115&lt;&gt;"",E1115&lt;&gt;"!!!"),"NEW","")))</f>
        <v> </v>
      </c>
      <c r="G1115" s="23" t="str">
        <f>IF(OR(E1115="",E1115="!!!"),"",IF(OR(J1115=0,AND(J1115=1,K1115=1),AND(J1115=1,I1115="SBJ"),AND(J1115=1,I1115=0)),"?IN_FOCUS",IF(J1115&lt;=2,"?ACTIVATED",IF(J1115&lt;&gt;"","?FAMILIAR",IF(F1115="NEW",IF(ISNA(VLOOKUP(E1115,#REF!,1,FALSE())),"?TYPE_IDENTIFIABLE","?REFERENTIAL"),"_")))))</f>
        <v> </v>
      </c>
      <c r="H1115" s="24" t="str">
        <f>IF(J1115&lt;&gt;1,"",IF(I1115="SBJ","CB","?"))</f>
        <v> </v>
      </c>
      <c r="I1115" s="25" t="str">
        <f>IF(OR(E1115="",E1115="!!!",F1115="NEW"),"",INDEX(B1114:B$2,-1+SUMPRODUCT(MAX(ROW(E1114:E$2)*(E1115=E1114:E$2)))))</f>
        <v> </v>
      </c>
      <c r="J1115" s="25" t="str">
        <f>IF(OR(E1115="",E1115="!!!",F1115="NEW"),"",COUNTBLANK(OFFSET(A$1,,,SUMPRODUCT(MAX(ROW(E$2:E1115)*(E1115=E$2:E1115)))))-COUNTBLANK(OFFSET(A$1,,,SUMPRODUCT(MAX(ROW(E$1:E1114)*(E2=E$1:E1114))))))</f>
        <v> </v>
      </c>
      <c r="K1115" s="25" t="str">
        <f>IF(OR(E1115="",E1115="!!!",F1115="NEW"),"",INDEX(J$1:J1114,SUMPRODUCT(MAX(ROW(E$1:E1114)*(E1115=E$1:E1114)))))</f>
        <v> </v>
      </c>
      <c r="L1115" s="26"/>
    </row>
    <row r="1116" spans="1:12">
      <c r="A1116" s="20" t="s">
        <v>722</v>
      </c>
      <c r="E1116" s="21">
        <f>IF(D1116="?OLD","!!!","")</f>
        <v/>
      </c>
      <c r="F1116" s="22" t="str">
        <f>IF(OR(E1116="",E1116="!!!"),"",IF(NOT(ISNA(VLOOKUP(E1116,E$1:E1115,1,FALSE()))),"OLD",IF(AND(E1116&lt;&gt;"",E1116&lt;&gt;"!!!"),"NEW","")))</f>
        <v> </v>
      </c>
      <c r="G1116" s="23" t="str">
        <f>IF(OR(E1116="",E1116="!!!"),"",IF(OR(J1116=0,AND(J1116=1,K1116=1),AND(J1116=1,I1116="SBJ"),AND(J1116=1,I1116=0)),"?IN_FOCUS",IF(J1116&lt;=2,"?ACTIVATED",IF(J1116&lt;&gt;"","?FAMILIAR",IF(F1116="NEW",IF(ISNA(VLOOKUP(E1116,#REF!,1,FALSE())),"?TYPE_IDENTIFIABLE","?REFERENTIAL"),"_")))))</f>
        <v> </v>
      </c>
      <c r="H1116" s="24" t="str">
        <f>IF(J1116&lt;&gt;1,"",IF(I1116="SBJ","CB","?"))</f>
        <v> </v>
      </c>
      <c r="I1116" s="25" t="str">
        <f>IF(OR(E1116="",E1116="!!!",F1116="NEW"),"",INDEX(B1115:B$2,-1+SUMPRODUCT(MAX(ROW(E1115:E$2)*(E1116=E1115:E$2)))))</f>
        <v> </v>
      </c>
      <c r="J1116" s="25" t="str">
        <f>IF(OR(E1116="",E1116="!!!",F1116="NEW"),"",COUNTBLANK(OFFSET(A$1,,,SUMPRODUCT(MAX(ROW(E$2:E1116)*(E1116=E$2:E1116)))))-COUNTBLANK(OFFSET(A$1,,,SUMPRODUCT(MAX(ROW(E$1:E1115)*(E2=E$1:E1115))))))</f>
        <v> </v>
      </c>
      <c r="K1116" s="25" t="str">
        <f>IF(OR(E1116="",E1116="!!!",F1116="NEW"),"",INDEX(J$1:J1115,SUMPRODUCT(MAX(ROW(E$1:E1115)*(E1116=E$1:E1115)))))</f>
        <v> </v>
      </c>
      <c r="L1116" s="26"/>
    </row>
    <row r="1117" spans="1:12">
      <c r="A1117" s="20" t="s">
        <v>305</v>
      </c>
      <c r="E1117" s="21">
        <f>IF(D1117="?OLD","!!!","")</f>
        <v/>
      </c>
      <c r="F1117" s="22" t="str">
        <f>IF(OR(E1117="",E1117="!!!"),"",IF(NOT(ISNA(VLOOKUP(E1117,E$1:E1116,1,FALSE()))),"OLD",IF(AND(E1117&lt;&gt;"",E1117&lt;&gt;"!!!"),"NEW","")))</f>
        <v> </v>
      </c>
      <c r="G1117" s="23" t="str">
        <f>IF(OR(E1117="",E1117="!!!"),"",IF(OR(J1117=0,AND(J1117=1,K1117=1),AND(J1117=1,I1117="SBJ"),AND(J1117=1,I1117=0)),"?IN_FOCUS",IF(J1117&lt;=2,"?ACTIVATED",IF(J1117&lt;&gt;"","?FAMILIAR",IF(F1117="NEW",IF(ISNA(VLOOKUP(E1117,#REF!,1,FALSE())),"?TYPE_IDENTIFIABLE","?REFERENTIAL"),"_")))))</f>
        <v> </v>
      </c>
      <c r="H1117" s="24" t="str">
        <f>IF(J1117&lt;&gt;1,"",IF(I1117="SBJ","CB","?"))</f>
        <v> </v>
      </c>
      <c r="I1117" s="25" t="str">
        <f>IF(OR(E1117="",E1117="!!!",F1117="NEW"),"",INDEX(B1116:B$2,-1+SUMPRODUCT(MAX(ROW(E1116:E$2)*(E1117=E1116:E$2)))))</f>
        <v> </v>
      </c>
      <c r="J1117" s="25" t="str">
        <f>IF(OR(E1117="",E1117="!!!",F1117="NEW"),"",COUNTBLANK(OFFSET(A$1,,,SUMPRODUCT(MAX(ROW(E$2:E1117)*(E1117=E$2:E1117)))))-COUNTBLANK(OFFSET(A$1,,,SUMPRODUCT(MAX(ROW(E$1:E1116)*(E2=E$1:E1116))))))</f>
        <v> </v>
      </c>
      <c r="K1117" s="25" t="str">
        <f>IF(OR(E1117="",E1117="!!!",F1117="NEW"),"",INDEX(J$1:J1116,SUMPRODUCT(MAX(ROW(E$1:E1116)*(E1117=E$1:E1116)))))</f>
        <v> </v>
      </c>
      <c r="L1117" s="26"/>
    </row>
    <row r="1118" spans="1:12">
      <c r="A1118" s="20" t="s">
        <v>676</v>
      </c>
      <c r="E1118" s="21">
        <f>IF(D1118="?OLD","!!!","")</f>
        <v/>
      </c>
      <c r="F1118" s="22" t="str">
        <f>IF(OR(E1118="",E1118="!!!"),"",IF(NOT(ISNA(VLOOKUP(E1118,E$1:E1117,1,FALSE()))),"OLD",IF(AND(E1118&lt;&gt;"",E1118&lt;&gt;"!!!"),"NEW","")))</f>
        <v> </v>
      </c>
      <c r="G1118" s="23" t="str">
        <f>IF(OR(E1118="",E1118="!!!"),"",IF(OR(J1118=0,AND(J1118=1,K1118=1),AND(J1118=1,I1118="SBJ"),AND(J1118=1,I1118=0)),"?IN_FOCUS",IF(J1118&lt;=2,"?ACTIVATED",IF(J1118&lt;&gt;"","?FAMILIAR",IF(F1118="NEW",IF(ISNA(VLOOKUP(E1118,#REF!,1,FALSE())),"?TYPE_IDENTIFIABLE","?REFERENTIAL"),"_")))))</f>
        <v> </v>
      </c>
      <c r="H1118" s="24" t="str">
        <f>IF(J1118&lt;&gt;1,"",IF(I1118="SBJ","CB","?"))</f>
        <v> </v>
      </c>
      <c r="I1118" s="25" t="str">
        <f>IF(OR(E1118="",E1118="!!!",F1118="NEW"),"",INDEX(B1117:B$2,-1+SUMPRODUCT(MAX(ROW(E1117:E$2)*(E1118=E1117:E$2)))))</f>
        <v> </v>
      </c>
      <c r="J1118" s="25" t="str">
        <f>IF(OR(E1118="",E1118="!!!",F1118="NEW"),"",COUNTBLANK(OFFSET(A$1,,,SUMPRODUCT(MAX(ROW(E$2:E1118)*(E1118=E$2:E1118)))))-COUNTBLANK(OFFSET(A$1,,,SUMPRODUCT(MAX(ROW(E$1:E1117)*(E2=E$1:E1117))))))</f>
        <v> </v>
      </c>
      <c r="K1118" s="25" t="str">
        <f>IF(OR(E1118="",E1118="!!!",F1118="NEW"),"",INDEX(J$1:J1117,SUMPRODUCT(MAX(ROW(E$1:E1117)*(E1118=E$1:E1117)))))</f>
        <v> </v>
      </c>
      <c r="L1118" s="26"/>
    </row>
    <row r="1119" spans="1:12">
      <c r="A1119" s="20" t="s">
        <v>723</v>
      </c>
      <c r="E1119" s="21">
        <f>IF(D1119="?OLD","!!!","")</f>
        <v/>
      </c>
      <c r="F1119" s="22" t="str">
        <f>IF(OR(E1119="",E1119="!!!"),"",IF(NOT(ISNA(VLOOKUP(E1119,E$1:E1118,1,FALSE()))),"OLD",IF(AND(E1119&lt;&gt;"",E1119&lt;&gt;"!!!"),"NEW","")))</f>
        <v> </v>
      </c>
      <c r="G1119" s="23" t="str">
        <f>IF(OR(E1119="",E1119="!!!"),"",IF(OR(J1119=0,AND(J1119=1,K1119=1),AND(J1119=1,I1119="SBJ"),AND(J1119=1,I1119=0)),"?IN_FOCUS",IF(J1119&lt;=2,"?ACTIVATED",IF(J1119&lt;&gt;"","?FAMILIAR",IF(F1119="NEW",IF(ISNA(VLOOKUP(E1119,#REF!,1,FALSE())),"?TYPE_IDENTIFIABLE","?REFERENTIAL"),"_")))))</f>
        <v> </v>
      </c>
      <c r="H1119" s="24" t="str">
        <f>IF(J1119&lt;&gt;1,"",IF(I1119="SBJ","CB","?"))</f>
        <v> </v>
      </c>
      <c r="I1119" s="25" t="str">
        <f>IF(OR(E1119="",E1119="!!!",F1119="NEW"),"",INDEX(B1118:B$2,-1+SUMPRODUCT(MAX(ROW(E1118:E$2)*(E1119=E1118:E$2)))))</f>
        <v> </v>
      </c>
      <c r="J1119" s="25" t="str">
        <f>IF(OR(E1119="",E1119="!!!",F1119="NEW"),"",COUNTBLANK(OFFSET(A$1,,,SUMPRODUCT(MAX(ROW(E$2:E1119)*(E1119=E$2:E1119)))))-COUNTBLANK(OFFSET(A$1,,,SUMPRODUCT(MAX(ROW(E$1:E1118)*(E2=E$1:E1118))))))</f>
        <v> </v>
      </c>
      <c r="K1119" s="25" t="str">
        <f>IF(OR(E1119="",E1119="!!!",F1119="NEW"),"",INDEX(J$1:J1118,SUMPRODUCT(MAX(ROW(E$1:E1118)*(E1119=E$1:E1118)))))</f>
        <v> </v>
      </c>
      <c r="L1119" s="26"/>
    </row>
    <row r="1120" spans="1:12">
      <c r="A1120" s="20" t="s">
        <v>724</v>
      </c>
      <c r="E1120" s="21">
        <f>IF(D1120="?OLD","!!!","")</f>
        <v/>
      </c>
      <c r="F1120" s="22" t="str">
        <f>IF(OR(E1120="",E1120="!!!"),"",IF(NOT(ISNA(VLOOKUP(E1120,E$1:E1119,1,FALSE()))),"OLD",IF(AND(E1120&lt;&gt;"",E1120&lt;&gt;"!!!"),"NEW","")))</f>
        <v> </v>
      </c>
      <c r="G1120" s="23" t="str">
        <f>IF(OR(E1120="",E1120="!!!"),"",IF(OR(J1120=0,AND(J1120=1,K1120=1),AND(J1120=1,I1120="SBJ"),AND(J1120=1,I1120=0)),"?IN_FOCUS",IF(J1120&lt;=2,"?ACTIVATED",IF(J1120&lt;&gt;"","?FAMILIAR",IF(F1120="NEW",IF(ISNA(VLOOKUP(E1120,#REF!,1,FALSE())),"?TYPE_IDENTIFIABLE","?REFERENTIAL"),"_")))))</f>
        <v> </v>
      </c>
      <c r="H1120" s="24" t="str">
        <f>IF(J1120&lt;&gt;1,"",IF(I1120="SBJ","CB","?"))</f>
        <v> </v>
      </c>
      <c r="I1120" s="25" t="str">
        <f>IF(OR(E1120="",E1120="!!!",F1120="NEW"),"",INDEX(B1119:B$2,-1+SUMPRODUCT(MAX(ROW(E1119:E$2)*(E1120=E1119:E$2)))))</f>
        <v> </v>
      </c>
      <c r="J1120" s="25" t="str">
        <f>IF(OR(E1120="",E1120="!!!",F1120="NEW"),"",COUNTBLANK(OFFSET(A$1,,,SUMPRODUCT(MAX(ROW(E$2:E1120)*(E1120=E$2:E1120)))))-COUNTBLANK(OFFSET(A$1,,,SUMPRODUCT(MAX(ROW(E$1:E1119)*(E2=E$1:E1119))))))</f>
        <v> </v>
      </c>
      <c r="K1120" s="25" t="str">
        <f>IF(OR(E1120="",E1120="!!!",F1120="NEW"),"",INDEX(J$1:J1119,SUMPRODUCT(MAX(ROW(E$1:E1119)*(E1120=E$1:E1119)))))</f>
        <v> </v>
      </c>
      <c r="L1120" s="26"/>
    </row>
    <row r="1121" spans="1:12">
      <c r="A1121" s="20" t="s">
        <v>305</v>
      </c>
      <c r="E1121" s="21">
        <f>IF(D1121="?OLD","!!!","")</f>
        <v/>
      </c>
      <c r="F1121" s="22" t="str">
        <f>IF(OR(E1121="",E1121="!!!"),"",IF(NOT(ISNA(VLOOKUP(E1121,E$1:E1120,1,FALSE()))),"OLD",IF(AND(E1121&lt;&gt;"",E1121&lt;&gt;"!!!"),"NEW","")))</f>
        <v> </v>
      </c>
      <c r="G1121" s="23" t="str">
        <f>IF(OR(E1121="",E1121="!!!"),"",IF(OR(J1121=0,AND(J1121=1,K1121=1),AND(J1121=1,I1121="SBJ"),AND(J1121=1,I1121=0)),"?IN_FOCUS",IF(J1121&lt;=2,"?ACTIVATED",IF(J1121&lt;&gt;"","?FAMILIAR",IF(F1121="NEW",IF(ISNA(VLOOKUP(E1121,#REF!,1,FALSE())),"?TYPE_IDENTIFIABLE","?REFERENTIAL"),"_")))))</f>
        <v> </v>
      </c>
      <c r="H1121" s="24" t="str">
        <f>IF(J1121&lt;&gt;1,"",IF(I1121="SBJ","CB","?"))</f>
        <v> </v>
      </c>
      <c r="I1121" s="25" t="str">
        <f>IF(OR(E1121="",E1121="!!!",F1121="NEW"),"",INDEX(B1120:B$2,-1+SUMPRODUCT(MAX(ROW(E1120:E$2)*(E1121=E1120:E$2)))))</f>
        <v> </v>
      </c>
      <c r="J1121" s="25" t="str">
        <f>IF(OR(E1121="",E1121="!!!",F1121="NEW"),"",COUNTBLANK(OFFSET(A$1,,,SUMPRODUCT(MAX(ROW(E$2:E1121)*(E1121=E$2:E1121)))))-COUNTBLANK(OFFSET(A$1,,,SUMPRODUCT(MAX(ROW(E$1:E1120)*(E2=E$1:E1120))))))</f>
        <v> </v>
      </c>
      <c r="K1121" s="25" t="str">
        <f>IF(OR(E1121="",E1121="!!!",F1121="NEW"),"",INDEX(J$1:J1120,SUMPRODUCT(MAX(ROW(E$1:E1120)*(E1121=E$1:E1120)))))</f>
        <v> </v>
      </c>
      <c r="L1121" s="26"/>
    </row>
    <row r="1122" spans="1:12">
      <c r="A1122" s="20" t="s">
        <v>436</v>
      </c>
      <c r="E1122" s="21">
        <f>IF(D1122="?OLD","!!!","")</f>
        <v/>
      </c>
      <c r="F1122" s="22" t="str">
        <f>IF(OR(E1122="",E1122="!!!"),"",IF(NOT(ISNA(VLOOKUP(E1122,E$1:E1121,1,FALSE()))),"OLD",IF(AND(E1122&lt;&gt;"",E1122&lt;&gt;"!!!"),"NEW","")))</f>
        <v> </v>
      </c>
      <c r="G1122" s="23" t="str">
        <f>IF(OR(E1122="",E1122="!!!"),"",IF(OR(J1122=0,AND(J1122=1,K1122=1),AND(J1122=1,I1122="SBJ"),AND(J1122=1,I1122=0)),"?IN_FOCUS",IF(J1122&lt;=2,"?ACTIVATED",IF(J1122&lt;&gt;"","?FAMILIAR",IF(F1122="NEW",IF(ISNA(VLOOKUP(E1122,#REF!,1,FALSE())),"?TYPE_IDENTIFIABLE","?REFERENTIAL"),"_")))))</f>
        <v> </v>
      </c>
      <c r="H1122" s="24" t="str">
        <f>IF(J1122&lt;&gt;1,"",IF(I1122="SBJ","CB","?"))</f>
        <v> </v>
      </c>
      <c r="I1122" s="25" t="str">
        <f>IF(OR(E1122="",E1122="!!!",F1122="NEW"),"",INDEX(B1121:B$2,-1+SUMPRODUCT(MAX(ROW(E1121:E$2)*(E1122=E1121:E$2)))))</f>
        <v> </v>
      </c>
      <c r="J1122" s="25" t="str">
        <f>IF(OR(E1122="",E1122="!!!",F1122="NEW"),"",COUNTBLANK(OFFSET(A$1,,,SUMPRODUCT(MAX(ROW(E$2:E1122)*(E1122=E$2:E1122)))))-COUNTBLANK(OFFSET(A$1,,,SUMPRODUCT(MAX(ROW(E$1:E1121)*(E2=E$1:E1121))))))</f>
        <v> </v>
      </c>
      <c r="K1122" s="25" t="str">
        <f>IF(OR(E1122="",E1122="!!!",F1122="NEW"),"",INDEX(J$1:J1121,SUMPRODUCT(MAX(ROW(E$1:E1121)*(E1122=E$1:E1121)))))</f>
        <v> </v>
      </c>
      <c r="L1122" s="26"/>
    </row>
    <row r="1123" spans="1:12">
      <c r="A1123" s="20" t="s">
        <v>612</v>
      </c>
      <c r="E1123" s="21">
        <f>IF(D1123="?OLD","!!!","")</f>
        <v/>
      </c>
      <c r="F1123" s="22" t="str">
        <f>IF(OR(E1123="",E1123="!!!"),"",IF(NOT(ISNA(VLOOKUP(E1123,E$1:E1122,1,FALSE()))),"OLD",IF(AND(E1123&lt;&gt;"",E1123&lt;&gt;"!!!"),"NEW","")))</f>
        <v> </v>
      </c>
      <c r="G1123" s="23" t="str">
        <f>IF(OR(E1123="",E1123="!!!"),"",IF(OR(J1123=0,AND(J1123=1,K1123=1),AND(J1123=1,I1123="SBJ"),AND(J1123=1,I1123=0)),"?IN_FOCUS",IF(J1123&lt;=2,"?ACTIVATED",IF(J1123&lt;&gt;"","?FAMILIAR",IF(F1123="NEW",IF(ISNA(VLOOKUP(E1123,#REF!,1,FALSE())),"?TYPE_IDENTIFIABLE","?REFERENTIAL"),"_")))))</f>
        <v> </v>
      </c>
      <c r="H1123" s="24" t="str">
        <f>IF(J1123&lt;&gt;1,"",IF(I1123="SBJ","CB","?"))</f>
        <v> </v>
      </c>
      <c r="I1123" s="25" t="str">
        <f>IF(OR(E1123="",E1123="!!!",F1123="NEW"),"",INDEX(B1122:B$2,-1+SUMPRODUCT(MAX(ROW(E1122:E$2)*(E1123=E1122:E$2)))))</f>
        <v> </v>
      </c>
      <c r="J1123" s="25" t="str">
        <f>IF(OR(E1123="",E1123="!!!",F1123="NEW"),"",COUNTBLANK(OFFSET(A$1,,,SUMPRODUCT(MAX(ROW(E$2:E1123)*(E1123=E$2:E1123)))))-COUNTBLANK(OFFSET(A$1,,,SUMPRODUCT(MAX(ROW(E$1:E1122)*(E2=E$1:E1122))))))</f>
        <v> </v>
      </c>
      <c r="K1123" s="25" t="str">
        <f>IF(OR(E1123="",E1123="!!!",F1123="NEW"),"",INDEX(J$1:J1122,SUMPRODUCT(MAX(ROW(E$1:E1122)*(E1123=E$1:E1122)))))</f>
        <v> </v>
      </c>
      <c r="L1123" s="26"/>
    </row>
    <row r="1124" spans="1:12">
      <c r="A1124" s="20" t="s">
        <v>349</v>
      </c>
      <c r="E1124" s="21">
        <f>IF(D1124="?OLD","!!!","")</f>
        <v/>
      </c>
      <c r="F1124" s="22" t="str">
        <f>IF(OR(E1124="",E1124="!!!"),"",IF(NOT(ISNA(VLOOKUP(E1124,E$1:E1123,1,FALSE()))),"OLD",IF(AND(E1124&lt;&gt;"",E1124&lt;&gt;"!!!"),"NEW","")))</f>
        <v> </v>
      </c>
      <c r="G1124" s="23" t="str">
        <f>IF(OR(E1124="",E1124="!!!"),"",IF(OR(J1124=0,AND(J1124=1,K1124=1),AND(J1124=1,I1124="SBJ"),AND(J1124=1,I1124=0)),"?IN_FOCUS",IF(J1124&lt;=2,"?ACTIVATED",IF(J1124&lt;&gt;"","?FAMILIAR",IF(F1124="NEW",IF(ISNA(VLOOKUP(E1124,#REF!,1,FALSE())),"?TYPE_IDENTIFIABLE","?REFERENTIAL"),"_")))))</f>
        <v> </v>
      </c>
      <c r="H1124" s="24" t="str">
        <f>IF(J1124&lt;&gt;1,"",IF(I1124="SBJ","CB","?"))</f>
        <v> </v>
      </c>
      <c r="I1124" s="25" t="str">
        <f>IF(OR(E1124="",E1124="!!!",F1124="NEW"),"",INDEX(B1123:B$2,-1+SUMPRODUCT(MAX(ROW(E1123:E$2)*(E1124=E1123:E$2)))))</f>
        <v> </v>
      </c>
      <c r="J1124" s="25" t="str">
        <f>IF(OR(E1124="",E1124="!!!",F1124="NEW"),"",COUNTBLANK(OFFSET(A$1,,,SUMPRODUCT(MAX(ROW(E$2:E1124)*(E1124=E$2:E1124)))))-COUNTBLANK(OFFSET(A$1,,,SUMPRODUCT(MAX(ROW(E$1:E1123)*(E2=E$1:E1123))))))</f>
        <v> </v>
      </c>
      <c r="K1124" s="25" t="str">
        <f>IF(OR(E1124="",E1124="!!!",F1124="NEW"),"",INDEX(J$1:J1123,SUMPRODUCT(MAX(ROW(E$1:E1123)*(E1124=E$1:E1123)))))</f>
        <v> </v>
      </c>
      <c r="L1124" s="26"/>
    </row>
    <row r="1125" spans="1:12">
      <c r="A1125" s="20" t="s">
        <v>260</v>
      </c>
      <c r="E1125" s="21">
        <f>IF(D1125="?OLD","!!!","")</f>
        <v/>
      </c>
      <c r="F1125" s="22" t="str">
        <f>IF(OR(E1125="",E1125="!!!"),"",IF(NOT(ISNA(VLOOKUP(E1125,E$1:E1124,1,FALSE()))),"OLD",IF(AND(E1125&lt;&gt;"",E1125&lt;&gt;"!!!"),"NEW","")))</f>
        <v> </v>
      </c>
      <c r="G1125" s="23" t="str">
        <f>IF(OR(E1125="",E1125="!!!"),"",IF(OR(J1125=0,AND(J1125=1,K1125=1),AND(J1125=1,I1125="SBJ"),AND(J1125=1,I1125=0)),"?IN_FOCUS",IF(J1125&lt;=2,"?ACTIVATED",IF(J1125&lt;&gt;"","?FAMILIAR",IF(F1125="NEW",IF(ISNA(VLOOKUP(E1125,#REF!,1,FALSE())),"?TYPE_IDENTIFIABLE","?REFERENTIAL"),"_")))))</f>
        <v> </v>
      </c>
      <c r="H1125" s="24" t="str">
        <f>IF(J1125&lt;&gt;1,"",IF(I1125="SBJ","CB","?"))</f>
        <v> </v>
      </c>
      <c r="I1125" s="25" t="str">
        <f>IF(OR(E1125="",E1125="!!!",F1125="NEW"),"",INDEX(B1124:B$2,-1+SUMPRODUCT(MAX(ROW(E1124:E$2)*(E1125=E1124:E$2)))))</f>
        <v> </v>
      </c>
      <c r="J1125" s="25" t="str">
        <f>IF(OR(E1125="",E1125="!!!",F1125="NEW"),"",COUNTBLANK(OFFSET(A$1,,,SUMPRODUCT(MAX(ROW(E$2:E1125)*(E1125=E$2:E1125)))))-COUNTBLANK(OFFSET(A$1,,,SUMPRODUCT(MAX(ROW(E$1:E1124)*(E2=E$1:E1124))))))</f>
        <v> </v>
      </c>
      <c r="K1125" s="25" t="str">
        <f>IF(OR(E1125="",E1125="!!!",F1125="NEW"),"",INDEX(J$1:J1124,SUMPRODUCT(MAX(ROW(E$1:E1124)*(E1125=E$1:E1124)))))</f>
        <v> </v>
      </c>
      <c r="L1125" s="26"/>
    </row>
    <row r="1126" spans="1:12">
      <c r="A1126" s="20" t="s">
        <v>725</v>
      </c>
      <c r="E1126" s="21">
        <f>IF(D1126="?OLD","!!!","")</f>
        <v/>
      </c>
      <c r="F1126" s="22" t="str">
        <f>IF(OR(E1126="",E1126="!!!"),"",IF(NOT(ISNA(VLOOKUP(E1126,E$1:E1125,1,FALSE()))),"OLD",IF(AND(E1126&lt;&gt;"",E1126&lt;&gt;"!!!"),"NEW","")))</f>
        <v> </v>
      </c>
      <c r="G1126" s="23" t="str">
        <f>IF(OR(E1126="",E1126="!!!"),"",IF(OR(J1126=0,AND(J1126=1,K1126=1),AND(J1126=1,I1126="SBJ"),AND(J1126=1,I1126=0)),"?IN_FOCUS",IF(J1126&lt;=2,"?ACTIVATED",IF(J1126&lt;&gt;"","?FAMILIAR",IF(F1126="NEW",IF(ISNA(VLOOKUP(E1126,#REF!,1,FALSE())),"?TYPE_IDENTIFIABLE","?REFERENTIAL"),"_")))))</f>
        <v> </v>
      </c>
      <c r="H1126" s="24" t="str">
        <f>IF(J1126&lt;&gt;1,"",IF(I1126="SBJ","CB","?"))</f>
        <v> </v>
      </c>
      <c r="I1126" s="25" t="str">
        <f>IF(OR(E1126="",E1126="!!!",F1126="NEW"),"",INDEX(B1125:B$2,-1+SUMPRODUCT(MAX(ROW(E1125:E$2)*(E1126=E1125:E$2)))))</f>
        <v> </v>
      </c>
      <c r="J1126" s="25" t="str">
        <f>IF(OR(E1126="",E1126="!!!",F1126="NEW"),"",COUNTBLANK(OFFSET(A$1,,,SUMPRODUCT(MAX(ROW(E$2:E1126)*(E1126=E$2:E1126)))))-COUNTBLANK(OFFSET(A$1,,,SUMPRODUCT(MAX(ROW(E$1:E1125)*(E2=E$1:E1125))))))</f>
        <v> </v>
      </c>
      <c r="K1126" s="25" t="str">
        <f>IF(OR(E1126="",E1126="!!!",F1126="NEW"),"",INDEX(J$1:J1125,SUMPRODUCT(MAX(ROW(E$1:E1125)*(E1126=E$1:E1125)))))</f>
        <v> </v>
      </c>
      <c r="L1126" s="26"/>
    </row>
    <row r="1127" spans="1:12">
      <c r="A1127" s="20" t="s">
        <v>726</v>
      </c>
      <c r="E1127" s="21">
        <f>IF(D1127="?OLD","!!!","")</f>
        <v/>
      </c>
      <c r="F1127" s="22" t="str">
        <f>IF(OR(E1127="",E1127="!!!"),"",IF(NOT(ISNA(VLOOKUP(E1127,E$1:E1126,1,FALSE()))),"OLD",IF(AND(E1127&lt;&gt;"",E1127&lt;&gt;"!!!"),"NEW","")))</f>
        <v> </v>
      </c>
      <c r="G1127" s="23" t="str">
        <f>IF(OR(E1127="",E1127="!!!"),"",IF(OR(J1127=0,AND(J1127=1,K1127=1),AND(J1127=1,I1127="SBJ"),AND(J1127=1,I1127=0)),"?IN_FOCUS",IF(J1127&lt;=2,"?ACTIVATED",IF(J1127&lt;&gt;"","?FAMILIAR",IF(F1127="NEW",IF(ISNA(VLOOKUP(E1127,#REF!,1,FALSE())),"?TYPE_IDENTIFIABLE","?REFERENTIAL"),"_")))))</f>
        <v> </v>
      </c>
      <c r="H1127" s="24" t="str">
        <f>IF(J1127&lt;&gt;1,"",IF(I1127="SBJ","CB","?"))</f>
        <v> </v>
      </c>
      <c r="I1127" s="25" t="str">
        <f>IF(OR(E1127="",E1127="!!!",F1127="NEW"),"",INDEX(B1126:B$2,-1+SUMPRODUCT(MAX(ROW(E1126:E$2)*(E1127=E1126:E$2)))))</f>
        <v> </v>
      </c>
      <c r="J1127" s="25" t="str">
        <f>IF(OR(E1127="",E1127="!!!",F1127="NEW"),"",COUNTBLANK(OFFSET(A$1,,,SUMPRODUCT(MAX(ROW(E$2:E1127)*(E1127=E$2:E1127)))))-COUNTBLANK(OFFSET(A$1,,,SUMPRODUCT(MAX(ROW(E$1:E1126)*(E2=E$1:E1126))))))</f>
        <v> </v>
      </c>
      <c r="K1127" s="25" t="str">
        <f>IF(OR(E1127="",E1127="!!!",F1127="NEW"),"",INDEX(J$1:J1126,SUMPRODUCT(MAX(ROW(E$1:E1126)*(E1127=E$1:E1126)))))</f>
        <v> </v>
      </c>
      <c r="L1127" s="26"/>
    </row>
    <row r="1128" spans="1:12">
      <c r="A1128" s="20" t="s">
        <v>727</v>
      </c>
      <c r="B1128" s="27" t="s">
        <v>272</v>
      </c>
      <c r="C1128" s="27" t="s">
        <v>243</v>
      </c>
      <c r="D1128" s="27" t="s">
        <v>244</v>
      </c>
      <c r="E1128" s="21">
        <f>IF(D1128="?OLD","!!!","")</f>
        <v/>
      </c>
      <c r="F1128" s="22" t="str">
        <f>IF(OR(E1128="",E1128="!!!"),"",IF(NOT(ISNA(VLOOKUP(E1128,E$1:E1127,1,FALSE()))),"OLD",IF(AND(E1128&lt;&gt;"",E1128&lt;&gt;"!!!"),"NEW","")))</f>
        <v> </v>
      </c>
      <c r="G1128" s="23" t="str">
        <f>IF(OR(E1128="",E1128="!!!"),"",IF(OR(J1128=0,AND(J1128=1,K1128=1),AND(J1128=1,I1128="SBJ"),AND(J1128=1,I1128=0)),"?IN_FOCUS",IF(J1128&lt;=2,"?ACTIVATED",IF(J1128&lt;&gt;"","?FAMILIAR",IF(F1128="NEW",IF(ISNA(VLOOKUP(E1128,#REF!,1,FALSE())),"?TYPE_IDENTIFIABLE","?REFERENTIAL"),"_")))))</f>
        <v> </v>
      </c>
      <c r="H1128" s="24" t="str">
        <f>IF(J1128&lt;&gt;1,"",IF(I1128="SBJ","CB","?"))</f>
        <v> </v>
      </c>
      <c r="I1128" s="25" t="str">
        <f>IF(OR(E1128="",E1128="!!!",F1128="NEW"),"",INDEX(B1127:B$2,-1+SUMPRODUCT(MAX(ROW(E1127:E$2)*(E1128=E1127:E$2)))))</f>
        <v> </v>
      </c>
      <c r="J1128" s="25" t="str">
        <f>IF(OR(E1128="",E1128="!!!",F1128="NEW"),"",COUNTBLANK(OFFSET(A$1,,,SUMPRODUCT(MAX(ROW(E$2:E1128)*(E1128=E$2:E1128)))))-COUNTBLANK(OFFSET(A$1,,,SUMPRODUCT(MAX(ROW(E$1:E1127)*(E2=E$1:E1127))))))</f>
        <v> </v>
      </c>
      <c r="K1128" s="25" t="str">
        <f>IF(OR(E1128="",E1128="!!!",F1128="NEW"),"",INDEX(J$1:J1127,SUMPRODUCT(MAX(ROW(E$1:E1127)*(E1128=E$1:E1127)))))</f>
        <v> </v>
      </c>
      <c r="L1128" s="26"/>
    </row>
    <row r="1129" spans="1:12">
      <c r="A1129" s="20" t="s">
        <v>276</v>
      </c>
      <c r="E1129" s="21">
        <f>IF(D1129="?OLD","!!!","")</f>
        <v/>
      </c>
      <c r="F1129" s="22" t="str">
        <f>IF(OR(E1129="",E1129="!!!"),"",IF(NOT(ISNA(VLOOKUP(E1129,E$1:E1128,1,FALSE()))),"OLD",IF(AND(E1129&lt;&gt;"",E1129&lt;&gt;"!!!"),"NEW","")))</f>
        <v> </v>
      </c>
      <c r="G1129" s="23" t="str">
        <f>IF(OR(E1129="",E1129="!!!"),"",IF(OR(J1129=0,AND(J1129=1,K1129=1),AND(J1129=1,I1129="SBJ"),AND(J1129=1,I1129=0)),"?IN_FOCUS",IF(J1129&lt;=2,"?ACTIVATED",IF(J1129&lt;&gt;"","?FAMILIAR",IF(F1129="NEW",IF(ISNA(VLOOKUP(E1129,#REF!,1,FALSE())),"?TYPE_IDENTIFIABLE","?REFERENTIAL"),"_")))))</f>
        <v> </v>
      </c>
      <c r="H1129" s="24" t="str">
        <f>IF(J1129&lt;&gt;1,"",IF(I1129="SBJ","CB","?"))</f>
        <v> </v>
      </c>
      <c r="I1129" s="25" t="str">
        <f>IF(OR(E1129="",E1129="!!!",F1129="NEW"),"",INDEX(B1128:B$2,-1+SUMPRODUCT(MAX(ROW(E1128:E$2)*(E1129=E1128:E$2)))))</f>
        <v> </v>
      </c>
      <c r="J1129" s="25" t="str">
        <f>IF(OR(E1129="",E1129="!!!",F1129="NEW"),"",COUNTBLANK(OFFSET(A$1,,,SUMPRODUCT(MAX(ROW(E$2:E1129)*(E1129=E$2:E1129)))))-COUNTBLANK(OFFSET(A$1,,,SUMPRODUCT(MAX(ROW(E$1:E1128)*(E2=E$1:E1128))))))</f>
        <v> </v>
      </c>
      <c r="K1129" s="25" t="str">
        <f>IF(OR(E1129="",E1129="!!!",F1129="NEW"),"",INDEX(J$1:J1128,SUMPRODUCT(MAX(ROW(E$1:E1128)*(E1129=E$1:E1128)))))</f>
        <v> </v>
      </c>
      <c r="L1129" s="26"/>
    </row>
    <row r="1130" spans="1:12">
      <c r="A1130" s="20" t="s">
        <v>248</v>
      </c>
      <c r="E1130" s="21">
        <f>IF(D1130="?OLD","!!!","")</f>
        <v/>
      </c>
      <c r="F1130" s="22" t="str">
        <f>IF(OR(E1130="",E1130="!!!"),"",IF(NOT(ISNA(VLOOKUP(E1130,E$1:E1129,1,FALSE()))),"OLD",IF(AND(E1130&lt;&gt;"",E1130&lt;&gt;"!!!"),"NEW","")))</f>
        <v> </v>
      </c>
      <c r="G1130" s="23" t="str">
        <f>IF(OR(E1130="",E1130="!!!"),"",IF(OR(J1130=0,AND(J1130=1,K1130=1),AND(J1130=1,I1130="SBJ"),AND(J1130=1,I1130=0)),"?IN_FOCUS",IF(J1130&lt;=2,"?ACTIVATED",IF(J1130&lt;&gt;"","?FAMILIAR",IF(F1130="NEW",IF(ISNA(VLOOKUP(E1130,#REF!,1,FALSE())),"?TYPE_IDENTIFIABLE","?REFERENTIAL"),"_")))))</f>
        <v> </v>
      </c>
      <c r="H1130" s="24" t="str">
        <f>IF(J1130&lt;&gt;1,"",IF(I1130="SBJ","CB","?"))</f>
        <v> </v>
      </c>
      <c r="I1130" s="25" t="str">
        <f>IF(OR(E1130="",E1130="!!!",F1130="NEW"),"",INDEX(B1129:B$2,-1+SUMPRODUCT(MAX(ROW(E1129:E$2)*(E1130=E1129:E$2)))))</f>
        <v> </v>
      </c>
      <c r="J1130" s="25" t="str">
        <f>IF(OR(E1130="",E1130="!!!",F1130="NEW"),"",COUNTBLANK(OFFSET(A$1,,,SUMPRODUCT(MAX(ROW(E$2:E1130)*(E1130=E$2:E1130)))))-COUNTBLANK(OFFSET(A$1,,,SUMPRODUCT(MAX(ROW(E$1:E1129)*(E2=E$1:E1129))))))</f>
        <v> </v>
      </c>
      <c r="K1130" s="25" t="str">
        <f>IF(OR(E1130="",E1130="!!!",F1130="NEW"),"",INDEX(J$1:J1129,SUMPRODUCT(MAX(ROW(E$1:E1129)*(E1130=E$1:E1129)))))</f>
        <v> </v>
      </c>
      <c r="L1130" s="26"/>
    </row>
    <row r="1131" spans="1:12">
      <c r="A1131" s="20" t="s">
        <v>728</v>
      </c>
      <c r="E1131" s="21">
        <f>IF(D1131="?OLD","!!!","")</f>
        <v/>
      </c>
      <c r="F1131" s="22" t="str">
        <f>IF(OR(E1131="",E1131="!!!"),"",IF(NOT(ISNA(VLOOKUP(E1131,E$1:E1130,1,FALSE()))),"OLD",IF(AND(E1131&lt;&gt;"",E1131&lt;&gt;"!!!"),"NEW","")))</f>
        <v> </v>
      </c>
      <c r="G1131" s="23" t="str">
        <f>IF(OR(E1131="",E1131="!!!"),"",IF(OR(J1131=0,AND(J1131=1,K1131=1),AND(J1131=1,I1131="SBJ"),AND(J1131=1,I1131=0)),"?IN_FOCUS",IF(J1131&lt;=2,"?ACTIVATED",IF(J1131&lt;&gt;"","?FAMILIAR",IF(F1131="NEW",IF(ISNA(VLOOKUP(E1131,#REF!,1,FALSE())),"?TYPE_IDENTIFIABLE","?REFERENTIAL"),"_")))))</f>
        <v> </v>
      </c>
      <c r="H1131" s="24" t="str">
        <f>IF(J1131&lt;&gt;1,"",IF(I1131="SBJ","CB","?"))</f>
        <v> </v>
      </c>
      <c r="I1131" s="25" t="str">
        <f>IF(OR(E1131="",E1131="!!!",F1131="NEW"),"",INDEX(B1130:B$2,-1+SUMPRODUCT(MAX(ROW(E1130:E$2)*(E1131=E1130:E$2)))))</f>
        <v> </v>
      </c>
      <c r="J1131" s="25" t="str">
        <f>IF(OR(E1131="",E1131="!!!",F1131="NEW"),"",COUNTBLANK(OFFSET(A$1,,,SUMPRODUCT(MAX(ROW(E$2:E1131)*(E1131=E$2:E1131)))))-COUNTBLANK(OFFSET(A$1,,,SUMPRODUCT(MAX(ROW(E$1:E1130)*(E2=E$1:E1130))))))</f>
        <v> </v>
      </c>
      <c r="K1131" s="25" t="str">
        <f>IF(OR(E1131="",E1131="!!!",F1131="NEW"),"",INDEX(J$1:J1130,SUMPRODUCT(MAX(ROW(E$1:E1130)*(E1131=E$1:E1130)))))</f>
        <v> </v>
      </c>
      <c r="L1131" s="26"/>
    </row>
    <row r="1132" spans="1:12">
      <c r="A1132" s="20" t="s">
        <v>729</v>
      </c>
      <c r="B1132" s="27" t="s">
        <v>262</v>
      </c>
      <c r="C1132" s="27" t="s">
        <v>243</v>
      </c>
      <c r="D1132" s="27" t="s">
        <v>244</v>
      </c>
      <c r="E1132" s="21">
        <f>IF(D1132="?OLD","!!!","")</f>
        <v/>
      </c>
      <c r="F1132" s="22" t="str">
        <f>IF(OR(E1132="",E1132="!!!"),"",IF(NOT(ISNA(VLOOKUP(E1132,E$1:E1131,1,FALSE()))),"OLD",IF(AND(E1132&lt;&gt;"",E1132&lt;&gt;"!!!"),"NEW","")))</f>
        <v> </v>
      </c>
      <c r="G1132" s="23" t="str">
        <f>IF(OR(E1132="",E1132="!!!"),"",IF(OR(J1132=0,AND(J1132=1,K1132=1),AND(J1132=1,I1132="SBJ"),AND(J1132=1,I1132=0)),"?IN_FOCUS",IF(J1132&lt;=2,"?ACTIVATED",IF(J1132&lt;&gt;"","?FAMILIAR",IF(F1132="NEW",IF(ISNA(VLOOKUP(E1132,#REF!,1,FALSE())),"?TYPE_IDENTIFIABLE","?REFERENTIAL"),"_")))))</f>
        <v> </v>
      </c>
      <c r="H1132" s="24" t="str">
        <f>IF(J1132&lt;&gt;1,"",IF(I1132="SBJ","CB","?"))</f>
        <v> </v>
      </c>
      <c r="I1132" s="25" t="str">
        <f>IF(OR(E1132="",E1132="!!!",F1132="NEW"),"",INDEX(B1131:B$2,-1+SUMPRODUCT(MAX(ROW(E1131:E$2)*(E1132=E1131:E$2)))))</f>
        <v> </v>
      </c>
      <c r="J1132" s="25" t="str">
        <f>IF(OR(E1132="",E1132="!!!",F1132="NEW"),"",COUNTBLANK(OFFSET(A$1,,,SUMPRODUCT(MAX(ROW(E$2:E1132)*(E1132=E$2:E1132)))))-COUNTBLANK(OFFSET(A$1,,,SUMPRODUCT(MAX(ROW(E$1:E1131)*(E2=E$1:E1131))))))</f>
        <v> </v>
      </c>
      <c r="K1132" s="25" t="str">
        <f>IF(OR(E1132="",E1132="!!!",F1132="NEW"),"",INDEX(J$1:J1131,SUMPRODUCT(MAX(ROW(E$1:E1131)*(E1132=E$1:E1131)))))</f>
        <v> </v>
      </c>
      <c r="L1132" s="26"/>
    </row>
    <row r="1133" spans="1:12">
      <c r="A1133" s="20" t="s">
        <v>305</v>
      </c>
      <c r="E1133" s="21">
        <f>IF(D1133="?OLD","!!!","")</f>
        <v/>
      </c>
      <c r="F1133" s="22" t="str">
        <f>IF(OR(E1133="",E1133="!!!"),"",IF(NOT(ISNA(VLOOKUP(E1133,E$1:E1132,1,FALSE()))),"OLD",IF(AND(E1133&lt;&gt;"",E1133&lt;&gt;"!!!"),"NEW","")))</f>
        <v> </v>
      </c>
      <c r="G1133" s="23" t="str">
        <f>IF(OR(E1133="",E1133="!!!"),"",IF(OR(J1133=0,AND(J1133=1,K1133=1),AND(J1133=1,I1133="SBJ"),AND(J1133=1,I1133=0)),"?IN_FOCUS",IF(J1133&lt;=2,"?ACTIVATED",IF(J1133&lt;&gt;"","?FAMILIAR",IF(F1133="NEW",IF(ISNA(VLOOKUP(E1133,#REF!,1,FALSE())),"?TYPE_IDENTIFIABLE","?REFERENTIAL"),"_")))))</f>
        <v> </v>
      </c>
      <c r="H1133" s="24" t="str">
        <f>IF(J1133&lt;&gt;1,"",IF(I1133="SBJ","CB","?"))</f>
        <v> </v>
      </c>
      <c r="I1133" s="25" t="str">
        <f>IF(OR(E1133="",E1133="!!!",F1133="NEW"),"",INDEX(B1132:B$2,-1+SUMPRODUCT(MAX(ROW(E1132:E$2)*(E1133=E1132:E$2)))))</f>
        <v> </v>
      </c>
      <c r="J1133" s="25" t="str">
        <f>IF(OR(E1133="",E1133="!!!",F1133="NEW"),"",COUNTBLANK(OFFSET(A$1,,,SUMPRODUCT(MAX(ROW(E$2:E1133)*(E1133=E$2:E1133)))))-COUNTBLANK(OFFSET(A$1,,,SUMPRODUCT(MAX(ROW(E$1:E1132)*(E2=E$1:E1132))))))</f>
        <v> </v>
      </c>
      <c r="K1133" s="25" t="str">
        <f>IF(OR(E1133="",E1133="!!!",F1133="NEW"),"",INDEX(J$1:J1132,SUMPRODUCT(MAX(ROW(E$1:E1132)*(E1133=E$1:E1132)))))</f>
        <v> </v>
      </c>
      <c r="L1133" s="26"/>
    </row>
    <row r="1134" spans="1:12">
      <c r="A1134" s="20" t="s">
        <v>314</v>
      </c>
      <c r="E1134" s="21">
        <f>IF(D1134="?OLD","!!!","")</f>
        <v/>
      </c>
      <c r="F1134" s="22" t="str">
        <f>IF(OR(E1134="",E1134="!!!"),"",IF(NOT(ISNA(VLOOKUP(E1134,E$1:E1133,1,FALSE()))),"OLD",IF(AND(E1134&lt;&gt;"",E1134&lt;&gt;"!!!"),"NEW","")))</f>
        <v> </v>
      </c>
      <c r="G1134" s="23" t="str">
        <f>IF(OR(E1134="",E1134="!!!"),"",IF(OR(J1134=0,AND(J1134=1,K1134=1),AND(J1134=1,I1134="SBJ"),AND(J1134=1,I1134=0)),"?IN_FOCUS",IF(J1134&lt;=2,"?ACTIVATED",IF(J1134&lt;&gt;"","?FAMILIAR",IF(F1134="NEW",IF(ISNA(VLOOKUP(E1134,#REF!,1,FALSE())),"?TYPE_IDENTIFIABLE","?REFERENTIAL"),"_")))))</f>
        <v> </v>
      </c>
      <c r="H1134" s="24" t="str">
        <f>IF(J1134&lt;&gt;1,"",IF(I1134="SBJ","CB","?"))</f>
        <v> </v>
      </c>
      <c r="I1134" s="25" t="str">
        <f>IF(OR(E1134="",E1134="!!!",F1134="NEW"),"",INDEX(B1133:B$2,-1+SUMPRODUCT(MAX(ROW(E1133:E$2)*(E1134=E1133:E$2)))))</f>
        <v> </v>
      </c>
      <c r="J1134" s="25" t="str">
        <f>IF(OR(E1134="",E1134="!!!",F1134="NEW"),"",COUNTBLANK(OFFSET(A$1,,,SUMPRODUCT(MAX(ROW(E$2:E1134)*(E1134=E$2:E1134)))))-COUNTBLANK(OFFSET(A$1,,,SUMPRODUCT(MAX(ROW(E$1:E1133)*(E2=E$1:E1133))))))</f>
        <v> </v>
      </c>
      <c r="K1134" s="25" t="str">
        <f>IF(OR(E1134="",E1134="!!!",F1134="NEW"),"",INDEX(J$1:J1133,SUMPRODUCT(MAX(ROW(E$1:E1133)*(E1134=E$1:E1133)))))</f>
        <v> </v>
      </c>
      <c r="L1134" s="26"/>
    </row>
    <row r="1135" spans="1:12">
      <c r="A1135" s="20" t="s">
        <v>661</v>
      </c>
      <c r="B1135" s="27" t="s">
        <v>266</v>
      </c>
      <c r="C1135" s="27" t="s">
        <v>256</v>
      </c>
      <c r="D1135" s="27" t="s">
        <v>244</v>
      </c>
      <c r="E1135" s="21">
        <f>IF(D1135="?OLD","!!!","")</f>
        <v/>
      </c>
      <c r="F1135" s="22" t="str">
        <f>IF(OR(E1135="",E1135="!!!"),"",IF(NOT(ISNA(VLOOKUP(E1135,E$1:E1134,1,FALSE()))),"OLD",IF(AND(E1135&lt;&gt;"",E1135&lt;&gt;"!!!"),"NEW","")))</f>
        <v> </v>
      </c>
      <c r="G1135" s="23" t="str">
        <f>IF(OR(E1135="",E1135="!!!"),"",IF(OR(J1135=0,AND(J1135=1,K1135=1),AND(J1135=1,I1135="SBJ"),AND(J1135=1,I1135=0)),"?IN_FOCUS",IF(J1135&lt;=2,"?ACTIVATED",IF(J1135&lt;&gt;"","?FAMILIAR",IF(F1135="NEW",IF(ISNA(VLOOKUP(E1135,#REF!,1,FALSE())),"?TYPE_IDENTIFIABLE","?REFERENTIAL"),"_")))))</f>
        <v> </v>
      </c>
      <c r="H1135" s="24" t="str">
        <f>IF(J1135&lt;&gt;1,"",IF(I1135="SBJ","CB","?"))</f>
        <v> </v>
      </c>
      <c r="I1135" s="25" t="str">
        <f>IF(OR(E1135="",E1135="!!!",F1135="NEW"),"",INDEX(B1134:B$2,-1+SUMPRODUCT(MAX(ROW(E1134:E$2)*(E1135=E1134:E$2)))))</f>
        <v> </v>
      </c>
      <c r="J1135" s="25" t="str">
        <f>IF(OR(E1135="",E1135="!!!",F1135="NEW"),"",COUNTBLANK(OFFSET(A$1,,,SUMPRODUCT(MAX(ROW(E$2:E1135)*(E1135=E$2:E1135)))))-COUNTBLANK(OFFSET(A$1,,,SUMPRODUCT(MAX(ROW(E$1:E1134)*(E2=E$1:E1134))))))</f>
        <v> </v>
      </c>
      <c r="K1135" s="25" t="str">
        <f>IF(OR(E1135="",E1135="!!!",F1135="NEW"),"",INDEX(J$1:J1134,SUMPRODUCT(MAX(ROW(E$1:E1134)*(E1135=E$1:E1134)))))</f>
        <v> </v>
      </c>
      <c r="L1135" s="26"/>
    </row>
    <row r="1136" spans="1:12">
      <c r="A1136" s="20" t="s">
        <v>688</v>
      </c>
      <c r="B1136" s="27" t="s">
        <v>262</v>
      </c>
      <c r="C1136" s="27" t="s">
        <v>256</v>
      </c>
      <c r="D1136" s="27" t="s">
        <v>244</v>
      </c>
      <c r="E1136" s="21">
        <f>IF(D1136="?OLD","!!!","")</f>
        <v/>
      </c>
      <c r="F1136" s="22" t="str">
        <f>IF(OR(E1136="",E1136="!!!"),"",IF(NOT(ISNA(VLOOKUP(E1136,E$1:E1135,1,FALSE()))),"OLD",IF(AND(E1136&lt;&gt;"",E1136&lt;&gt;"!!!"),"NEW","")))</f>
        <v> </v>
      </c>
      <c r="G1136" s="23" t="str">
        <f>IF(OR(E1136="",E1136="!!!"),"",IF(OR(J1136=0,AND(J1136=1,K1136=1),AND(J1136=1,I1136="SBJ"),AND(J1136=1,I1136=0)),"?IN_FOCUS",IF(J1136&lt;=2,"?ACTIVATED",IF(J1136&lt;&gt;"","?FAMILIAR",IF(F1136="NEW",IF(ISNA(VLOOKUP(E1136,#REF!,1,FALSE())),"?TYPE_IDENTIFIABLE","?REFERENTIAL"),"_")))))</f>
        <v> </v>
      </c>
      <c r="H1136" s="24" t="str">
        <f>IF(J1136&lt;&gt;1,"",IF(I1136="SBJ","CB","?"))</f>
        <v> </v>
      </c>
      <c r="I1136" s="25" t="str">
        <f>IF(OR(E1136="",E1136="!!!",F1136="NEW"),"",INDEX(B1135:B$2,-1+SUMPRODUCT(MAX(ROW(E1135:E$2)*(E1136=E1135:E$2)))))</f>
        <v> </v>
      </c>
      <c r="J1136" s="25" t="str">
        <f>IF(OR(E1136="",E1136="!!!",F1136="NEW"),"",COUNTBLANK(OFFSET(A$1,,,SUMPRODUCT(MAX(ROW(E$2:E1136)*(E1136=E$2:E1136)))))-COUNTBLANK(OFFSET(A$1,,,SUMPRODUCT(MAX(ROW(E$1:E1135)*(E2=E$1:E1135))))))</f>
        <v> </v>
      </c>
      <c r="K1136" s="25" t="str">
        <f>IF(OR(E1136="",E1136="!!!",F1136="NEW"),"",INDEX(J$1:J1135,SUMPRODUCT(MAX(ROW(E$1:E1135)*(E1136=E$1:E1135)))))</f>
        <v> </v>
      </c>
      <c r="L1136" s="26"/>
    </row>
    <row r="1137" spans="1:12">
      <c r="A1137" s="20" t="s">
        <v>268</v>
      </c>
      <c r="E1137" s="21">
        <f>IF(D1137="?OLD","!!!","")</f>
        <v/>
      </c>
      <c r="F1137" s="22" t="str">
        <f>IF(OR(E1137="",E1137="!!!"),"",IF(NOT(ISNA(VLOOKUP(E1137,E$1:E1136,1,FALSE()))),"OLD",IF(AND(E1137&lt;&gt;"",E1137&lt;&gt;"!!!"),"NEW","")))</f>
        <v> </v>
      </c>
      <c r="G1137" s="23" t="str">
        <f>IF(OR(E1137="",E1137="!!!"),"",IF(OR(J1137=0,AND(J1137=1,K1137=1),AND(J1137=1,I1137="SBJ"),AND(J1137=1,I1137=0)),"?IN_FOCUS",IF(J1137&lt;=2,"?ACTIVATED",IF(J1137&lt;&gt;"","?FAMILIAR",IF(F1137="NEW",IF(ISNA(VLOOKUP(E1137,#REF!,1,FALSE())),"?TYPE_IDENTIFIABLE","?REFERENTIAL"),"_")))))</f>
        <v> </v>
      </c>
      <c r="H1137" s="24" t="str">
        <f>IF(J1137&lt;&gt;1,"",IF(I1137="SBJ","CB","?"))</f>
        <v> </v>
      </c>
      <c r="I1137" s="25" t="str">
        <f>IF(OR(E1137="",E1137="!!!",F1137="NEW"),"",INDEX(B1136:B$2,-1+SUMPRODUCT(MAX(ROW(E1136:E$2)*(E1137=E1136:E$2)))))</f>
        <v> </v>
      </c>
      <c r="J1137" s="25" t="str">
        <f>IF(OR(E1137="",E1137="!!!",F1137="NEW"),"",COUNTBLANK(OFFSET(A$1,,,SUMPRODUCT(MAX(ROW(E$2:E1137)*(E1137=E$2:E1137)))))-COUNTBLANK(OFFSET(A$1,,,SUMPRODUCT(MAX(ROW(E$1:E1136)*(E2=E$1:E1136))))))</f>
        <v> </v>
      </c>
      <c r="K1137" s="25" t="str">
        <f>IF(OR(E1137="",E1137="!!!",F1137="NEW"),"",INDEX(J$1:J1136,SUMPRODUCT(MAX(ROW(E$1:E1136)*(E1137=E$1:E1136)))))</f>
        <v> </v>
      </c>
      <c r="L1137" s="26"/>
    </row>
    <row r="1138" spans="1:12">
      <c r="A1138" s="20" t="s">
        <v>260</v>
      </c>
      <c r="E1138" s="21">
        <f>IF(D1138="?OLD","!!!","")</f>
        <v/>
      </c>
      <c r="F1138" s="22" t="str">
        <f>IF(OR(E1138="",E1138="!!!"),"",IF(NOT(ISNA(VLOOKUP(E1138,E$1:E1137,1,FALSE()))),"OLD",IF(AND(E1138&lt;&gt;"",E1138&lt;&gt;"!!!"),"NEW","")))</f>
        <v> </v>
      </c>
      <c r="G1138" s="23" t="str">
        <f>IF(OR(E1138="",E1138="!!!"),"",IF(OR(J1138=0,AND(J1138=1,K1138=1),AND(J1138=1,I1138="SBJ"),AND(J1138=1,I1138=0)),"?IN_FOCUS",IF(J1138&lt;=2,"?ACTIVATED",IF(J1138&lt;&gt;"","?FAMILIAR",IF(F1138="NEW",IF(ISNA(VLOOKUP(E1138,#REF!,1,FALSE())),"?TYPE_IDENTIFIABLE","?REFERENTIAL"),"_")))))</f>
        <v> </v>
      </c>
      <c r="H1138" s="24" t="str">
        <f>IF(J1138&lt;&gt;1,"",IF(I1138="SBJ","CB","?"))</f>
        <v> </v>
      </c>
      <c r="I1138" s="25" t="str">
        <f>IF(OR(E1138="",E1138="!!!",F1138="NEW"),"",INDEX(B1137:B$2,-1+SUMPRODUCT(MAX(ROW(E1137:E$2)*(E1138=E1137:E$2)))))</f>
        <v> </v>
      </c>
      <c r="J1138" s="25" t="str">
        <f>IF(OR(E1138="",E1138="!!!",F1138="NEW"),"",COUNTBLANK(OFFSET(A$1,,,SUMPRODUCT(MAX(ROW(E$2:E1138)*(E1138=E$2:E1138)))))-COUNTBLANK(OFFSET(A$1,,,SUMPRODUCT(MAX(ROW(E$1:E1137)*(E2=E$1:E1137))))))</f>
        <v> </v>
      </c>
      <c r="K1138" s="25" t="str">
        <f>IF(OR(E1138="",E1138="!!!",F1138="NEW"),"",INDEX(J$1:J1137,SUMPRODUCT(MAX(ROW(E$1:E1137)*(E1138=E$1:E1137)))))</f>
        <v> </v>
      </c>
      <c r="L1138" s="26"/>
    </row>
    <row r="1139" spans="1:12">
      <c r="A1139" s="20" t="s">
        <v>730</v>
      </c>
      <c r="B1139" s="27" t="s">
        <v>295</v>
      </c>
      <c r="C1139" s="27" t="s">
        <v>334</v>
      </c>
      <c r="D1139" s="27" t="s">
        <v>244</v>
      </c>
      <c r="E1139" s="21">
        <f>IF(D1139="?OLD","!!!","")</f>
        <v/>
      </c>
      <c r="F1139" s="22" t="str">
        <f>IF(OR(E1139="",E1139="!!!"),"",IF(NOT(ISNA(VLOOKUP(E1139,E$1:E1138,1,FALSE()))),"OLD",IF(AND(E1139&lt;&gt;"",E1139&lt;&gt;"!!!"),"NEW","")))</f>
        <v> </v>
      </c>
      <c r="G1139" s="23" t="str">
        <f>IF(OR(E1139="",E1139="!!!"),"",IF(OR(J1139=0,AND(J1139=1,K1139=1),AND(J1139=1,I1139="SBJ"),AND(J1139=1,I1139=0)),"?IN_FOCUS",IF(J1139&lt;=2,"?ACTIVATED",IF(J1139&lt;&gt;"","?FAMILIAR",IF(F1139="NEW",IF(ISNA(VLOOKUP(E1139,#REF!,1,FALSE())),"?TYPE_IDENTIFIABLE","?REFERENTIAL"),"_")))))</f>
        <v> </v>
      </c>
      <c r="H1139" s="24" t="str">
        <f>IF(J1139&lt;&gt;1,"",IF(I1139="SBJ","CB","?"))</f>
        <v> </v>
      </c>
      <c r="I1139" s="25" t="str">
        <f>IF(OR(E1139="",E1139="!!!",F1139="NEW"),"",INDEX(B1138:B$2,-1+SUMPRODUCT(MAX(ROW(E1138:E$2)*(E1139=E1138:E$2)))))</f>
        <v> </v>
      </c>
      <c r="J1139" s="25" t="str">
        <f>IF(OR(E1139="",E1139="!!!",F1139="NEW"),"",COUNTBLANK(OFFSET(A$1,,,SUMPRODUCT(MAX(ROW(E$2:E1139)*(E1139=E$2:E1139)))))-COUNTBLANK(OFFSET(A$1,,,SUMPRODUCT(MAX(ROW(E$1:E1138)*(E2=E$1:E1138))))))</f>
        <v> </v>
      </c>
      <c r="K1139" s="25" t="str">
        <f>IF(OR(E1139="",E1139="!!!",F1139="NEW"),"",INDEX(J$1:J1138,SUMPRODUCT(MAX(ROW(E$1:E1138)*(E1139=E$1:E1138)))))</f>
        <v> </v>
      </c>
      <c r="L1139" s="26"/>
    </row>
    <row r="1140" spans="1:12">
      <c r="A1140" s="20" t="s">
        <v>471</v>
      </c>
      <c r="E1140" s="21">
        <f>IF(D1140="?OLD","!!!","")</f>
        <v/>
      </c>
      <c r="F1140" s="22" t="str">
        <f>IF(OR(E1140="",E1140="!!!"),"",IF(NOT(ISNA(VLOOKUP(E1140,E$1:E1139,1,FALSE()))),"OLD",IF(AND(E1140&lt;&gt;"",E1140&lt;&gt;"!!!"),"NEW","")))</f>
        <v> </v>
      </c>
      <c r="G1140" s="23" t="str">
        <f>IF(OR(E1140="",E1140="!!!"),"",IF(OR(J1140=0,AND(J1140=1,K1140=1),AND(J1140=1,I1140="SBJ"),AND(J1140=1,I1140=0)),"?IN_FOCUS",IF(J1140&lt;=2,"?ACTIVATED",IF(J1140&lt;&gt;"","?FAMILIAR",IF(F1140="NEW",IF(ISNA(VLOOKUP(E1140,#REF!,1,FALSE())),"?TYPE_IDENTIFIABLE","?REFERENTIAL"),"_")))))</f>
        <v> </v>
      </c>
      <c r="H1140" s="24" t="str">
        <f>IF(J1140&lt;&gt;1,"",IF(I1140="SBJ","CB","?"))</f>
        <v> </v>
      </c>
      <c r="I1140" s="25" t="str">
        <f>IF(OR(E1140="",E1140="!!!",F1140="NEW"),"",INDEX(B1139:B$2,-1+SUMPRODUCT(MAX(ROW(E1139:E$2)*(E1140=E1139:E$2)))))</f>
        <v> </v>
      </c>
      <c r="J1140" s="25" t="str">
        <f>IF(OR(E1140="",E1140="!!!",F1140="NEW"),"",COUNTBLANK(OFFSET(A$1,,,SUMPRODUCT(MAX(ROW(E$2:E1140)*(E1140=E$2:E1140)))))-COUNTBLANK(OFFSET(A$1,,,SUMPRODUCT(MAX(ROW(E$1:E1139)*(E2=E$1:E1139))))))</f>
        <v> </v>
      </c>
      <c r="K1140" s="25" t="str">
        <f>IF(OR(E1140="",E1140="!!!",F1140="NEW"),"",INDEX(J$1:J1139,SUMPRODUCT(MAX(ROW(E$1:E1139)*(E1140=E$1:E1139)))))</f>
        <v> </v>
      </c>
      <c r="L1140" s="26"/>
    </row>
    <row r="1141" spans="1:12">
      <c r="A1141" s="20" t="s">
        <v>659</v>
      </c>
      <c r="B1141" s="27" t="s">
        <v>272</v>
      </c>
      <c r="C1141" s="27" t="s">
        <v>263</v>
      </c>
      <c r="D1141" s="27" t="s">
        <v>244</v>
      </c>
      <c r="E1141" s="21">
        <f>IF(D1141="?OLD","!!!","")</f>
        <v/>
      </c>
      <c r="F1141" s="22" t="str">
        <f>IF(OR(E1141="",E1141="!!!"),"",IF(NOT(ISNA(VLOOKUP(E1141,E$1:E1140,1,FALSE()))),"OLD",IF(AND(E1141&lt;&gt;"",E1141&lt;&gt;"!!!"),"NEW","")))</f>
        <v> </v>
      </c>
      <c r="G1141" s="23" t="str">
        <f>IF(OR(E1141="",E1141="!!!"),"",IF(OR(J1141=0,AND(J1141=1,K1141=1),AND(J1141=1,I1141="SBJ"),AND(J1141=1,I1141=0)),"?IN_FOCUS",IF(J1141&lt;=2,"?ACTIVATED",IF(J1141&lt;&gt;"","?FAMILIAR",IF(F1141="NEW",IF(ISNA(VLOOKUP(E1141,#REF!,1,FALSE())),"?TYPE_IDENTIFIABLE","?REFERENTIAL"),"_")))))</f>
        <v> </v>
      </c>
      <c r="H1141" s="24" t="str">
        <f>IF(J1141&lt;&gt;1,"",IF(I1141="SBJ","CB","?"))</f>
        <v> </v>
      </c>
      <c r="I1141" s="25" t="str">
        <f>IF(OR(E1141="",E1141="!!!",F1141="NEW"),"",INDEX(B1140:B$2,-1+SUMPRODUCT(MAX(ROW(E1140:E$2)*(E1141=E1140:E$2)))))</f>
        <v> </v>
      </c>
      <c r="J1141" s="25" t="str">
        <f>IF(OR(E1141="",E1141="!!!",F1141="NEW"),"",COUNTBLANK(OFFSET(A$1,,,SUMPRODUCT(MAX(ROW(E$2:E1141)*(E1141=E$2:E1141)))))-COUNTBLANK(OFFSET(A$1,,,SUMPRODUCT(MAX(ROW(E$1:E1140)*(E2=E$1:E1140))))))</f>
        <v> </v>
      </c>
      <c r="K1141" s="25" t="str">
        <f>IF(OR(E1141="",E1141="!!!",F1141="NEW"),"",INDEX(J$1:J1140,SUMPRODUCT(MAX(ROW(E$1:E1140)*(E1141=E$1:E1140)))))</f>
        <v> </v>
      </c>
      <c r="L1141" s="26"/>
    </row>
    <row r="1142" spans="1:12">
      <c r="A1142" s="20" t="s">
        <v>731</v>
      </c>
      <c r="B1142" s="27" t="s">
        <v>295</v>
      </c>
      <c r="C1142" s="27" t="s">
        <v>267</v>
      </c>
      <c r="D1142" s="27" t="s">
        <v>244</v>
      </c>
      <c r="E1142" s="21">
        <f>IF(D1142="?OLD","!!!","")</f>
        <v/>
      </c>
      <c r="F1142" s="22" t="str">
        <f>IF(OR(E1142="",E1142="!!!"),"",IF(NOT(ISNA(VLOOKUP(E1142,E$1:E1141,1,FALSE()))),"OLD",IF(AND(E1142&lt;&gt;"",E1142&lt;&gt;"!!!"),"NEW","")))</f>
        <v> </v>
      </c>
      <c r="G1142" s="23" t="str">
        <f>IF(OR(E1142="",E1142="!!!"),"",IF(OR(J1142=0,AND(J1142=1,K1142=1),AND(J1142=1,I1142="SBJ"),AND(J1142=1,I1142=0)),"?IN_FOCUS",IF(J1142&lt;=2,"?ACTIVATED",IF(J1142&lt;&gt;"","?FAMILIAR",IF(F1142="NEW",IF(ISNA(VLOOKUP(E1142,#REF!,1,FALSE())),"?TYPE_IDENTIFIABLE","?REFERENTIAL"),"_")))))</f>
        <v> </v>
      </c>
      <c r="H1142" s="24" t="str">
        <f>IF(J1142&lt;&gt;1,"",IF(I1142="SBJ","CB","?"))</f>
        <v> </v>
      </c>
      <c r="I1142" s="25" t="str">
        <f>IF(OR(E1142="",E1142="!!!",F1142="NEW"),"",INDEX(B1141:B$2,-1+SUMPRODUCT(MAX(ROW(E1141:E$2)*(E1142=E1141:E$2)))))</f>
        <v> </v>
      </c>
      <c r="J1142" s="25" t="str">
        <f>IF(OR(E1142="",E1142="!!!",F1142="NEW"),"",COUNTBLANK(OFFSET(A$1,,,SUMPRODUCT(MAX(ROW(E$2:E1142)*(E1142=E$2:E1142)))))-COUNTBLANK(OFFSET(A$1,,,SUMPRODUCT(MAX(ROW(E$1:E1141)*(E2=E$1:E1141))))))</f>
        <v> </v>
      </c>
      <c r="K1142" s="25" t="str">
        <f>IF(OR(E1142="",E1142="!!!",F1142="NEW"),"",INDEX(J$1:J1141,SUMPRODUCT(MAX(ROW(E$1:E1141)*(E1142=E$1:E1141)))))</f>
        <v> </v>
      </c>
      <c r="L1142" s="26"/>
    </row>
    <row r="1143" spans="1:12">
      <c r="A1143" s="20" t="s">
        <v>732</v>
      </c>
      <c r="E1143" s="21">
        <f>IF(D1143="?OLD","!!!","")</f>
        <v/>
      </c>
      <c r="F1143" s="22" t="str">
        <f>IF(OR(E1143="",E1143="!!!"),"",IF(NOT(ISNA(VLOOKUP(E1143,E$1:E1142,1,FALSE()))),"OLD",IF(AND(E1143&lt;&gt;"",E1143&lt;&gt;"!!!"),"NEW","")))</f>
        <v> </v>
      </c>
      <c r="G1143" s="23" t="str">
        <f>IF(OR(E1143="",E1143="!!!"),"",IF(OR(J1143=0,AND(J1143=1,K1143=1),AND(J1143=1,I1143="SBJ"),AND(J1143=1,I1143=0)),"?IN_FOCUS",IF(J1143&lt;=2,"?ACTIVATED",IF(J1143&lt;&gt;"","?FAMILIAR",IF(F1143="NEW",IF(ISNA(VLOOKUP(E1143,#REF!,1,FALSE())),"?TYPE_IDENTIFIABLE","?REFERENTIAL"),"_")))))</f>
        <v> </v>
      </c>
      <c r="H1143" s="24" t="str">
        <f>IF(J1143&lt;&gt;1,"",IF(I1143="SBJ","CB","?"))</f>
        <v> </v>
      </c>
      <c r="I1143" s="25" t="str">
        <f>IF(OR(E1143="",E1143="!!!",F1143="NEW"),"",INDEX(B1142:B$2,-1+SUMPRODUCT(MAX(ROW(E1142:E$2)*(E1143=E1142:E$2)))))</f>
        <v> </v>
      </c>
      <c r="J1143" s="25" t="str">
        <f>IF(OR(E1143="",E1143="!!!",F1143="NEW"),"",COUNTBLANK(OFFSET(A$1,,,SUMPRODUCT(MAX(ROW(E$2:E1143)*(E1143=E$2:E1143)))))-COUNTBLANK(OFFSET(A$1,,,SUMPRODUCT(MAX(ROW(E$1:E1142)*(E2=E$1:E1142))))))</f>
        <v> </v>
      </c>
      <c r="K1143" s="25" t="str">
        <f>IF(OR(E1143="",E1143="!!!",F1143="NEW"),"",INDEX(J$1:J1142,SUMPRODUCT(MAX(ROW(E$1:E1142)*(E1143=E$1:E1142)))))</f>
        <v> </v>
      </c>
      <c r="L1143" s="26"/>
    </row>
    <row r="1144" spans="1:12">
      <c r="A1144" s="20" t="s">
        <v>314</v>
      </c>
      <c r="E1144" s="21">
        <f>IF(D1144="?OLD","!!!","")</f>
        <v/>
      </c>
      <c r="F1144" s="22" t="str">
        <f>IF(OR(E1144="",E1144="!!!"),"",IF(NOT(ISNA(VLOOKUP(E1144,E$1:E1143,1,FALSE()))),"OLD",IF(AND(E1144&lt;&gt;"",E1144&lt;&gt;"!!!"),"NEW","")))</f>
        <v> </v>
      </c>
      <c r="G1144" s="23" t="str">
        <f>IF(OR(E1144="",E1144="!!!"),"",IF(OR(J1144=0,AND(J1144=1,K1144=1),AND(J1144=1,I1144="SBJ"),AND(J1144=1,I1144=0)),"?IN_FOCUS",IF(J1144&lt;=2,"?ACTIVATED",IF(J1144&lt;&gt;"","?FAMILIAR",IF(F1144="NEW",IF(ISNA(VLOOKUP(E1144,#REF!,1,FALSE())),"?TYPE_IDENTIFIABLE","?REFERENTIAL"),"_")))))</f>
        <v> </v>
      </c>
      <c r="H1144" s="24" t="str">
        <f>IF(J1144&lt;&gt;1,"",IF(I1144="SBJ","CB","?"))</f>
        <v> </v>
      </c>
      <c r="I1144" s="25" t="str">
        <f>IF(OR(E1144="",E1144="!!!",F1144="NEW"),"",INDEX(B1143:B$2,-1+SUMPRODUCT(MAX(ROW(E1143:E$2)*(E1144=E1143:E$2)))))</f>
        <v> </v>
      </c>
      <c r="J1144" s="25" t="str">
        <f>IF(OR(E1144="",E1144="!!!",F1144="NEW"),"",COUNTBLANK(OFFSET(A$1,,,SUMPRODUCT(MAX(ROW(E$2:E1144)*(E1144=E$2:E1144)))))-COUNTBLANK(OFFSET(A$1,,,SUMPRODUCT(MAX(ROW(E$1:E1143)*(E2=E$1:E1143))))))</f>
        <v> </v>
      </c>
      <c r="K1144" s="25" t="str">
        <f>IF(OR(E1144="",E1144="!!!",F1144="NEW"),"",INDEX(J$1:J1143,SUMPRODUCT(MAX(ROW(E$1:E1143)*(E1144=E$1:E1143)))))</f>
        <v> </v>
      </c>
      <c r="L1144" s="26"/>
    </row>
    <row r="1145" spans="1:12">
      <c r="A1145" s="20" t="s">
        <v>345</v>
      </c>
      <c r="E1145" s="21">
        <f>IF(D1145="?OLD","!!!","")</f>
        <v/>
      </c>
      <c r="F1145" s="22" t="str">
        <f>IF(OR(E1145="",E1145="!!!"),"",IF(NOT(ISNA(VLOOKUP(E1145,E$1:E1144,1,FALSE()))),"OLD",IF(AND(E1145&lt;&gt;"",E1145&lt;&gt;"!!!"),"NEW","")))</f>
        <v> </v>
      </c>
      <c r="G1145" s="23" t="str">
        <f>IF(OR(E1145="",E1145="!!!"),"",IF(OR(J1145=0,AND(J1145=1,K1145=1),AND(J1145=1,I1145="SBJ"),AND(J1145=1,I1145=0)),"?IN_FOCUS",IF(J1145&lt;=2,"?ACTIVATED",IF(J1145&lt;&gt;"","?FAMILIAR",IF(F1145="NEW",IF(ISNA(VLOOKUP(E1145,#REF!,1,FALSE())),"?TYPE_IDENTIFIABLE","?REFERENTIAL"),"_")))))</f>
        <v> </v>
      </c>
      <c r="H1145" s="24" t="str">
        <f>IF(J1145&lt;&gt;1,"",IF(I1145="SBJ","CB","?"))</f>
        <v> </v>
      </c>
      <c r="I1145" s="25" t="str">
        <f>IF(OR(E1145="",E1145="!!!",F1145="NEW"),"",INDEX(B1144:B$2,-1+SUMPRODUCT(MAX(ROW(E1144:E$2)*(E1145=E1144:E$2)))))</f>
        <v> </v>
      </c>
      <c r="J1145" s="25" t="str">
        <f>IF(OR(E1145="",E1145="!!!",F1145="NEW"),"",COUNTBLANK(OFFSET(A$1,,,SUMPRODUCT(MAX(ROW(E$2:E1145)*(E1145=E$2:E1145)))))-COUNTBLANK(OFFSET(A$1,,,SUMPRODUCT(MAX(ROW(E$1:E1144)*(E2=E$1:E1144))))))</f>
        <v> </v>
      </c>
      <c r="K1145" s="25" t="str">
        <f>IF(OR(E1145="",E1145="!!!",F1145="NEW"),"",INDEX(J$1:J1144,SUMPRODUCT(MAX(ROW(E$1:E1144)*(E1145=E$1:E1144)))))</f>
        <v> </v>
      </c>
      <c r="L1145" s="26"/>
    </row>
    <row r="1146" spans="1:12">
      <c r="A1146" s="20" t="s">
        <v>356</v>
      </c>
      <c r="E1146" s="21">
        <f>IF(D1146="?OLD","!!!","")</f>
        <v/>
      </c>
      <c r="F1146" s="22" t="str">
        <f>IF(OR(E1146="",E1146="!!!"),"",IF(NOT(ISNA(VLOOKUP(E1146,E$1:E1145,1,FALSE()))),"OLD",IF(AND(E1146&lt;&gt;"",E1146&lt;&gt;"!!!"),"NEW","")))</f>
        <v> </v>
      </c>
      <c r="G1146" s="23" t="str">
        <f>IF(OR(E1146="",E1146="!!!"),"",IF(OR(J1146=0,AND(J1146=1,K1146=1),AND(J1146=1,I1146="SBJ"),AND(J1146=1,I1146=0)),"?IN_FOCUS",IF(J1146&lt;=2,"?ACTIVATED",IF(J1146&lt;&gt;"","?FAMILIAR",IF(F1146="NEW",IF(ISNA(VLOOKUP(E1146,#REF!,1,FALSE())),"?TYPE_IDENTIFIABLE","?REFERENTIAL"),"_")))))</f>
        <v> </v>
      </c>
      <c r="H1146" s="24" t="str">
        <f>IF(J1146&lt;&gt;1,"",IF(I1146="SBJ","CB","?"))</f>
        <v> </v>
      </c>
      <c r="I1146" s="25" t="str">
        <f>IF(OR(E1146="",E1146="!!!",F1146="NEW"),"",INDEX(B1145:B$2,-1+SUMPRODUCT(MAX(ROW(E1145:E$2)*(E1146=E1145:E$2)))))</f>
        <v> </v>
      </c>
      <c r="J1146" s="25" t="str">
        <f>IF(OR(E1146="",E1146="!!!",F1146="NEW"),"",COUNTBLANK(OFFSET(A$1,,,SUMPRODUCT(MAX(ROW(E$2:E1146)*(E1146=E$2:E1146)))))-COUNTBLANK(OFFSET(A$1,,,SUMPRODUCT(MAX(ROW(E$1:E1145)*(E2=E$1:E1145))))))</f>
        <v> </v>
      </c>
      <c r="K1146" s="25" t="str">
        <f>IF(OR(E1146="",E1146="!!!",F1146="NEW"),"",INDEX(J$1:J1145,SUMPRODUCT(MAX(ROW(E$1:E1145)*(E1146=E$1:E1145)))))</f>
        <v> </v>
      </c>
      <c r="L1146" s="26"/>
    </row>
    <row r="1147" spans="1:12">
      <c r="A1147" s="20" t="s">
        <v>733</v>
      </c>
      <c r="E1147" s="21">
        <f>IF(D1147="?OLD","!!!","")</f>
        <v/>
      </c>
      <c r="F1147" s="22" t="str">
        <f>IF(OR(E1147="",E1147="!!!"),"",IF(NOT(ISNA(VLOOKUP(E1147,E$1:E1146,1,FALSE()))),"OLD",IF(AND(E1147&lt;&gt;"",E1147&lt;&gt;"!!!"),"NEW","")))</f>
        <v> </v>
      </c>
      <c r="G1147" s="23" t="str">
        <f>IF(OR(E1147="",E1147="!!!"),"",IF(OR(J1147=0,AND(J1147=1,K1147=1),AND(J1147=1,I1147="SBJ"),AND(J1147=1,I1147=0)),"?IN_FOCUS",IF(J1147&lt;=2,"?ACTIVATED",IF(J1147&lt;&gt;"","?FAMILIAR",IF(F1147="NEW",IF(ISNA(VLOOKUP(E1147,#REF!,1,FALSE())),"?TYPE_IDENTIFIABLE","?REFERENTIAL"),"_")))))</f>
        <v> </v>
      </c>
      <c r="H1147" s="24" t="str">
        <f>IF(J1147&lt;&gt;1,"",IF(I1147="SBJ","CB","?"))</f>
        <v> </v>
      </c>
      <c r="I1147" s="25" t="str">
        <f>IF(OR(E1147="",E1147="!!!",F1147="NEW"),"",INDEX(B1146:B$2,-1+SUMPRODUCT(MAX(ROW(E1146:E$2)*(E1147=E1146:E$2)))))</f>
        <v> </v>
      </c>
      <c r="J1147" s="25" t="str">
        <f>IF(OR(E1147="",E1147="!!!",F1147="NEW"),"",COUNTBLANK(OFFSET(A$1,,,SUMPRODUCT(MAX(ROW(E$2:E1147)*(E1147=E$2:E1147)))))-COUNTBLANK(OFFSET(A$1,,,SUMPRODUCT(MAX(ROW(E$1:E1146)*(E2=E$1:E1146))))))</f>
        <v> </v>
      </c>
      <c r="K1147" s="25" t="str">
        <f>IF(OR(E1147="",E1147="!!!",F1147="NEW"),"",INDEX(J$1:J1146,SUMPRODUCT(MAX(ROW(E$1:E1146)*(E1147=E$1:E1146)))))</f>
        <v> </v>
      </c>
      <c r="L1147" s="26"/>
    </row>
    <row r="1148" spans="1:12">
      <c r="A1148" s="20" t="s">
        <v>260</v>
      </c>
      <c r="E1148" s="21">
        <f>IF(D1148="?OLD","!!!","")</f>
        <v/>
      </c>
      <c r="F1148" s="22" t="str">
        <f>IF(OR(E1148="",E1148="!!!"),"",IF(NOT(ISNA(VLOOKUP(E1148,E$1:E1147,1,FALSE()))),"OLD",IF(AND(E1148&lt;&gt;"",E1148&lt;&gt;"!!!"),"NEW","")))</f>
        <v> </v>
      </c>
      <c r="G1148" s="23" t="str">
        <f>IF(OR(E1148="",E1148="!!!"),"",IF(OR(J1148=0,AND(J1148=1,K1148=1),AND(J1148=1,I1148="SBJ"),AND(J1148=1,I1148=0)),"?IN_FOCUS",IF(J1148&lt;=2,"?ACTIVATED",IF(J1148&lt;&gt;"","?FAMILIAR",IF(F1148="NEW",IF(ISNA(VLOOKUP(E1148,#REF!,1,FALSE())),"?TYPE_IDENTIFIABLE","?REFERENTIAL"),"_")))))</f>
        <v> </v>
      </c>
      <c r="H1148" s="24" t="str">
        <f>IF(J1148&lt;&gt;1,"",IF(I1148="SBJ","CB","?"))</f>
        <v> </v>
      </c>
      <c r="I1148" s="25" t="str">
        <f>IF(OR(E1148="",E1148="!!!",F1148="NEW"),"",INDEX(B1147:B$2,-1+SUMPRODUCT(MAX(ROW(E1147:E$2)*(E1148=E1147:E$2)))))</f>
        <v> </v>
      </c>
      <c r="J1148" s="25" t="str">
        <f>IF(OR(E1148="",E1148="!!!",F1148="NEW"),"",COUNTBLANK(OFFSET(A$1,,,SUMPRODUCT(MAX(ROW(E$2:E1148)*(E1148=E$2:E1148)))))-COUNTBLANK(OFFSET(A$1,,,SUMPRODUCT(MAX(ROW(E$1:E1147)*(E2=E$1:E1147))))))</f>
        <v> </v>
      </c>
      <c r="K1148" s="25" t="str">
        <f>IF(OR(E1148="",E1148="!!!",F1148="NEW"),"",INDEX(J$1:J1147,SUMPRODUCT(MAX(ROW(E$1:E1147)*(E1148=E$1:E1147)))))</f>
        <v> </v>
      </c>
      <c r="L1148" s="26"/>
    </row>
    <row r="1149" spans="1:12">
      <c r="A1149" s="20" t="s">
        <v>727</v>
      </c>
      <c r="B1149" s="27" t="s">
        <v>272</v>
      </c>
      <c r="C1149" s="27" t="s">
        <v>243</v>
      </c>
      <c r="D1149" s="27" t="s">
        <v>244</v>
      </c>
      <c r="E1149" s="21">
        <f>IF(D1149="?OLD","!!!","")</f>
        <v/>
      </c>
      <c r="F1149" s="22" t="str">
        <f>IF(OR(E1149="",E1149="!!!"),"",IF(NOT(ISNA(VLOOKUP(E1149,E$1:E1148,1,FALSE()))),"OLD",IF(AND(E1149&lt;&gt;"",E1149&lt;&gt;"!!!"),"NEW","")))</f>
        <v> </v>
      </c>
      <c r="G1149" s="23" t="str">
        <f>IF(OR(E1149="",E1149="!!!"),"",IF(OR(J1149=0,AND(J1149=1,K1149=1),AND(J1149=1,I1149="SBJ"),AND(J1149=1,I1149=0)),"?IN_FOCUS",IF(J1149&lt;=2,"?ACTIVATED",IF(J1149&lt;&gt;"","?FAMILIAR",IF(F1149="NEW",IF(ISNA(VLOOKUP(E1149,#REF!,1,FALSE())),"?TYPE_IDENTIFIABLE","?REFERENTIAL"),"_")))))</f>
        <v> </v>
      </c>
      <c r="H1149" s="24" t="str">
        <f>IF(J1149&lt;&gt;1,"",IF(I1149="SBJ","CB","?"))</f>
        <v> </v>
      </c>
      <c r="I1149" s="25" t="str">
        <f>IF(OR(E1149="",E1149="!!!",F1149="NEW"),"",INDEX(B1148:B$2,-1+SUMPRODUCT(MAX(ROW(E1148:E$2)*(E1149=E1148:E$2)))))</f>
        <v> </v>
      </c>
      <c r="J1149" s="25" t="str">
        <f>IF(OR(E1149="",E1149="!!!",F1149="NEW"),"",COUNTBLANK(OFFSET(A$1,,,SUMPRODUCT(MAX(ROW(E$2:E1149)*(E1149=E$2:E1149)))))-COUNTBLANK(OFFSET(A$1,,,SUMPRODUCT(MAX(ROW(E$1:E1148)*(E2=E$1:E1148))))))</f>
        <v> </v>
      </c>
      <c r="K1149" s="25" t="str">
        <f>IF(OR(E1149="",E1149="!!!",F1149="NEW"),"",INDEX(J$1:J1148,SUMPRODUCT(MAX(ROW(E$1:E1148)*(E1149=E$1:E1148)))))</f>
        <v> </v>
      </c>
      <c r="L1149" s="26"/>
    </row>
    <row r="1150" spans="1:12">
      <c r="A1150" s="20" t="s">
        <v>442</v>
      </c>
      <c r="E1150" s="21">
        <f>IF(D1150="?OLD","!!!","")</f>
        <v/>
      </c>
      <c r="F1150" s="22" t="str">
        <f>IF(OR(E1150="",E1150="!!!"),"",IF(NOT(ISNA(VLOOKUP(E1150,E$1:E1149,1,FALSE()))),"OLD",IF(AND(E1150&lt;&gt;"",E1150&lt;&gt;"!!!"),"NEW","")))</f>
        <v> </v>
      </c>
      <c r="G1150" s="23" t="str">
        <f>IF(OR(E1150="",E1150="!!!"),"",IF(OR(J1150=0,AND(J1150=1,K1150=1),AND(J1150=1,I1150="SBJ"),AND(J1150=1,I1150=0)),"?IN_FOCUS",IF(J1150&lt;=2,"?ACTIVATED",IF(J1150&lt;&gt;"","?FAMILIAR",IF(F1150="NEW",IF(ISNA(VLOOKUP(E1150,#REF!,1,FALSE())),"?TYPE_IDENTIFIABLE","?REFERENTIAL"),"_")))))</f>
        <v> </v>
      </c>
      <c r="H1150" s="24" t="str">
        <f>IF(J1150&lt;&gt;1,"",IF(I1150="SBJ","CB","?"))</f>
        <v> </v>
      </c>
      <c r="I1150" s="25" t="str">
        <f>IF(OR(E1150="",E1150="!!!",F1150="NEW"),"",INDEX(B1149:B$2,-1+SUMPRODUCT(MAX(ROW(E1149:E$2)*(E1150=E1149:E$2)))))</f>
        <v> </v>
      </c>
      <c r="J1150" s="25" t="str">
        <f>IF(OR(E1150="",E1150="!!!",F1150="NEW"),"",COUNTBLANK(OFFSET(A$1,,,SUMPRODUCT(MAX(ROW(E$2:E1150)*(E1150=E$2:E1150)))))-COUNTBLANK(OFFSET(A$1,,,SUMPRODUCT(MAX(ROW(E$1:E1149)*(E2=E$1:E1149))))))</f>
        <v> </v>
      </c>
      <c r="K1150" s="25" t="str">
        <f>IF(OR(E1150="",E1150="!!!",F1150="NEW"),"",INDEX(J$1:J1149,SUMPRODUCT(MAX(ROW(E$1:E1149)*(E1150=E$1:E1149)))))</f>
        <v> </v>
      </c>
      <c r="L1150" s="26"/>
    </row>
    <row r="1151" spans="1:12">
      <c r="A1151" s="20" t="s">
        <v>483</v>
      </c>
      <c r="B1151" s="27" t="s">
        <v>301</v>
      </c>
      <c r="C1151" s="27" t="s">
        <v>267</v>
      </c>
      <c r="D1151" s="27" t="s">
        <v>244</v>
      </c>
      <c r="E1151" s="21">
        <f>IF(D1151="?OLD","!!!","")</f>
        <v/>
      </c>
      <c r="F1151" s="22" t="str">
        <f>IF(OR(E1151="",E1151="!!!"),"",IF(NOT(ISNA(VLOOKUP(E1151,E$1:E1150,1,FALSE()))),"OLD",IF(AND(E1151&lt;&gt;"",E1151&lt;&gt;"!!!"),"NEW","")))</f>
        <v> </v>
      </c>
      <c r="G1151" s="23" t="str">
        <f>IF(OR(E1151="",E1151="!!!"),"",IF(OR(J1151=0,AND(J1151=1,K1151=1),AND(J1151=1,I1151="SBJ"),AND(J1151=1,I1151=0)),"?IN_FOCUS",IF(J1151&lt;=2,"?ACTIVATED",IF(J1151&lt;&gt;"","?FAMILIAR",IF(F1151="NEW",IF(ISNA(VLOOKUP(E1151,#REF!,1,FALSE())),"?TYPE_IDENTIFIABLE","?REFERENTIAL"),"_")))))</f>
        <v> </v>
      </c>
      <c r="H1151" s="24" t="str">
        <f>IF(J1151&lt;&gt;1,"",IF(I1151="SBJ","CB","?"))</f>
        <v> </v>
      </c>
      <c r="I1151" s="25" t="str">
        <f>IF(OR(E1151="",E1151="!!!",F1151="NEW"),"",INDEX(B1150:B$2,-1+SUMPRODUCT(MAX(ROW(E1150:E$2)*(E1151=E1150:E$2)))))</f>
        <v> </v>
      </c>
      <c r="J1151" s="25" t="str">
        <f>IF(OR(E1151="",E1151="!!!",F1151="NEW"),"",COUNTBLANK(OFFSET(A$1,,,SUMPRODUCT(MAX(ROW(E$2:E1151)*(E1151=E$2:E1151)))))-COUNTBLANK(OFFSET(A$1,,,SUMPRODUCT(MAX(ROW(E$1:E1150)*(E2=E$1:E1150))))))</f>
        <v> </v>
      </c>
      <c r="K1151" s="25" t="str">
        <f>IF(OR(E1151="",E1151="!!!",F1151="NEW"),"",INDEX(J$1:J1150,SUMPRODUCT(MAX(ROW(E$1:E1150)*(E1151=E$1:E1150)))))</f>
        <v> </v>
      </c>
      <c r="L1151" s="26"/>
    </row>
    <row r="1152" spans="1:12">
      <c r="A1152" s="20" t="s">
        <v>285</v>
      </c>
      <c r="E1152" s="21">
        <f>IF(D1152="?OLD","!!!","")</f>
        <v/>
      </c>
      <c r="F1152" s="22" t="str">
        <f>IF(OR(E1152="",E1152="!!!"),"",IF(NOT(ISNA(VLOOKUP(E1152,E$1:E1151,1,FALSE()))),"OLD",IF(AND(E1152&lt;&gt;"",E1152&lt;&gt;"!!!"),"NEW","")))</f>
        <v> </v>
      </c>
      <c r="G1152" s="23" t="str">
        <f>IF(OR(E1152="",E1152="!!!"),"",IF(OR(J1152=0,AND(J1152=1,K1152=1),AND(J1152=1,I1152="SBJ"),AND(J1152=1,I1152=0)),"?IN_FOCUS",IF(J1152&lt;=2,"?ACTIVATED",IF(J1152&lt;&gt;"","?FAMILIAR",IF(F1152="NEW",IF(ISNA(VLOOKUP(E1152,#REF!,1,FALSE())),"?TYPE_IDENTIFIABLE","?REFERENTIAL"),"_")))))</f>
        <v> </v>
      </c>
      <c r="H1152" s="24" t="str">
        <f>IF(J1152&lt;&gt;1,"",IF(I1152="SBJ","CB","?"))</f>
        <v> </v>
      </c>
      <c r="I1152" s="25" t="str">
        <f>IF(OR(E1152="",E1152="!!!",F1152="NEW"),"",INDEX(B1151:B$2,-1+SUMPRODUCT(MAX(ROW(E1151:E$2)*(E1152=E1151:E$2)))))</f>
        <v> </v>
      </c>
      <c r="J1152" s="25" t="str">
        <f>IF(OR(E1152="",E1152="!!!",F1152="NEW"),"",COUNTBLANK(OFFSET(A$1,,,SUMPRODUCT(MAX(ROW(E$2:E1152)*(E1152=E$2:E1152)))))-COUNTBLANK(OFFSET(A$1,,,SUMPRODUCT(MAX(ROW(E$1:E1151)*(E2=E$1:E1151))))))</f>
        <v> </v>
      </c>
      <c r="K1152" s="25" t="str">
        <f>IF(OR(E1152="",E1152="!!!",F1152="NEW"),"",INDEX(J$1:J1151,SUMPRODUCT(MAX(ROW(E$1:E1151)*(E1152=E$1:E1151)))))</f>
        <v> </v>
      </c>
      <c r="L1152" s="26"/>
    </row>
    <row r="1153" spans="1:12">
      <c r="A1153" s="20"/>
    </row>
    <row r="1154" spans="1:12">
      <c r="A1154" s="20" t="s">
        <v>734</v>
      </c>
    </row>
    <row r="1155" spans="1:12">
      <c r="A1155" s="20" t="s">
        <v>616</v>
      </c>
      <c r="B1155" s="27" t="s">
        <v>255</v>
      </c>
      <c r="C1155" s="27" t="s">
        <v>281</v>
      </c>
      <c r="E1155" s="21">
        <f>IF(D1155="?OLD","!!!","")</f>
        <v/>
      </c>
      <c r="F1155" s="22" t="str">
        <f>IF(OR(E1155="",E1155="!!!"),"",IF(NOT(ISNA(VLOOKUP(E1155,E$1:E1154,1,FALSE()))),"OLD",IF(AND(E1155&lt;&gt;"",E1155&lt;&gt;"!!!"),"NEW","")))</f>
        <v> </v>
      </c>
      <c r="G1155" s="23" t="str">
        <f>IF(OR(E1155="",E1155="!!!"),"",IF(OR(J1155=0,AND(J1155=1,K1155=1),AND(J1155=1,I1155="SBJ"),AND(J1155=1,I1155=0)),"?IN_FOCUS",IF(J1155&lt;=2,"?ACTIVATED",IF(J1155&lt;&gt;"","?FAMILIAR",IF(F1155="NEW",IF(ISNA(VLOOKUP(E1155,#REF!,1,FALSE())),"?TYPE_IDENTIFIABLE","?REFERENTIAL"),"_")))))</f>
        <v> </v>
      </c>
      <c r="H1155" s="24" t="str">
        <f>IF(J1155&lt;&gt;1,"",IF(I1155="SBJ","CB","?"))</f>
        <v> </v>
      </c>
      <c r="I1155" s="25" t="str">
        <f>IF(OR(E1155="",E1155="!!!",F1155="NEW"),"",INDEX(B1154:B$2,-1+SUMPRODUCT(MAX(ROW(E1154:E$2)*(E1155=E1154:E$2)))))</f>
        <v> </v>
      </c>
      <c r="J1155" s="25" t="str">
        <f>IF(OR(E1155="",E1155="!!!",F1155="NEW"),"",COUNTBLANK(OFFSET(A$1,,,SUMPRODUCT(MAX(ROW(E$2:E1155)*(E1155=E$2:E1155)))))-COUNTBLANK(OFFSET(A$1,,,SUMPRODUCT(MAX(ROW(E$1:E1154)*(E2=E$1:E1154))))))</f>
        <v> </v>
      </c>
      <c r="K1155" s="25" t="str">
        <f>IF(OR(E1155="",E1155="!!!",F1155="NEW"),"",INDEX(J$1:J1154,SUMPRODUCT(MAX(ROW(E$1:E1154)*(E1155=E$1:E1154)))))</f>
        <v> </v>
      </c>
      <c r="L1155" s="26"/>
    </row>
    <row r="1156" spans="1:12">
      <c r="A1156" s="20" t="s">
        <v>391</v>
      </c>
      <c r="E1156" s="21">
        <f>IF(D1156="?OLD","!!!","")</f>
        <v/>
      </c>
      <c r="F1156" s="22" t="str">
        <f>IF(OR(E1156="",E1156="!!!"),"",IF(NOT(ISNA(VLOOKUP(E1156,E$1:E1155,1,FALSE()))),"OLD",IF(AND(E1156&lt;&gt;"",E1156&lt;&gt;"!!!"),"NEW","")))</f>
        <v> </v>
      </c>
      <c r="G1156" s="23" t="str">
        <f>IF(OR(E1156="",E1156="!!!"),"",IF(OR(J1156=0,AND(J1156=1,K1156=1),AND(J1156=1,I1156="SBJ"),AND(J1156=1,I1156=0)),"?IN_FOCUS",IF(J1156&lt;=2,"?ACTIVATED",IF(J1156&lt;&gt;"","?FAMILIAR",IF(F1156="NEW",IF(ISNA(VLOOKUP(E1156,#REF!,1,FALSE())),"?TYPE_IDENTIFIABLE","?REFERENTIAL"),"_")))))</f>
        <v> </v>
      </c>
      <c r="H1156" s="24" t="str">
        <f>IF(J1156&lt;&gt;1,"",IF(I1156="SBJ","CB","?"))</f>
        <v> </v>
      </c>
      <c r="I1156" s="25" t="str">
        <f>IF(OR(E1156="",E1156="!!!",F1156="NEW"),"",INDEX(B1155:B$2,-1+SUMPRODUCT(MAX(ROW(E1155:E$2)*(E1156=E1155:E$2)))))</f>
        <v> </v>
      </c>
      <c r="J1156" s="25" t="str">
        <f>IF(OR(E1156="",E1156="!!!",F1156="NEW"),"",COUNTBLANK(OFFSET(A$1,,,SUMPRODUCT(MAX(ROW(E$2:E1156)*(E1156=E$2:E1156)))))-COUNTBLANK(OFFSET(A$1,,,SUMPRODUCT(MAX(ROW(E$1:E1155)*(E2=E$1:E1155))))))</f>
        <v> </v>
      </c>
      <c r="K1156" s="25" t="str">
        <f>IF(OR(E1156="",E1156="!!!",F1156="NEW"),"",INDEX(J$1:J1155,SUMPRODUCT(MAX(ROW(E$1:E1155)*(E1156=E$1:E1155)))))</f>
        <v> </v>
      </c>
      <c r="L1156" s="26"/>
    </row>
    <row r="1157" spans="1:12">
      <c r="A1157" s="20" t="s">
        <v>321</v>
      </c>
      <c r="E1157" s="21">
        <f>IF(D1157="?OLD","!!!","")</f>
        <v/>
      </c>
      <c r="F1157" s="22" t="str">
        <f>IF(OR(E1157="",E1157="!!!"),"",IF(NOT(ISNA(VLOOKUP(E1157,E$1:E1156,1,FALSE()))),"OLD",IF(AND(E1157&lt;&gt;"",E1157&lt;&gt;"!!!"),"NEW","")))</f>
        <v> </v>
      </c>
      <c r="G1157" s="23" t="str">
        <f>IF(OR(E1157="",E1157="!!!"),"",IF(OR(J1157=0,AND(J1157=1,K1157=1),AND(J1157=1,I1157="SBJ"),AND(J1157=1,I1157=0)),"?IN_FOCUS",IF(J1157&lt;=2,"?ACTIVATED",IF(J1157&lt;&gt;"","?FAMILIAR",IF(F1157="NEW",IF(ISNA(VLOOKUP(E1157,#REF!,1,FALSE())),"?TYPE_IDENTIFIABLE","?REFERENTIAL"),"_")))))</f>
        <v> </v>
      </c>
      <c r="H1157" s="24" t="str">
        <f>IF(J1157&lt;&gt;1,"",IF(I1157="SBJ","CB","?"))</f>
        <v> </v>
      </c>
      <c r="I1157" s="25" t="str">
        <f>IF(OR(E1157="",E1157="!!!",F1157="NEW"),"",INDEX(B1156:B$2,-1+SUMPRODUCT(MAX(ROW(E1156:E$2)*(E1157=E1156:E$2)))))</f>
        <v> </v>
      </c>
      <c r="J1157" s="25" t="str">
        <f>IF(OR(E1157="",E1157="!!!",F1157="NEW"),"",COUNTBLANK(OFFSET(A$1,,,SUMPRODUCT(MAX(ROW(E$2:E1157)*(E1157=E$2:E1157)))))-COUNTBLANK(OFFSET(A$1,,,SUMPRODUCT(MAX(ROW(E$1:E1156)*(E2=E$1:E1156))))))</f>
        <v> </v>
      </c>
      <c r="K1157" s="25" t="str">
        <f>IF(OR(E1157="",E1157="!!!",F1157="NEW"),"",INDEX(J$1:J1156,SUMPRODUCT(MAX(ROW(E$1:E1156)*(E1157=E$1:E1156)))))</f>
        <v> </v>
      </c>
      <c r="L1157" s="26"/>
    </row>
    <row r="1158" spans="1:12">
      <c r="A1158" s="20" t="s">
        <v>248</v>
      </c>
      <c r="E1158" s="21">
        <f>IF(D1158="?OLD","!!!","")</f>
        <v/>
      </c>
      <c r="F1158" s="22" t="str">
        <f>IF(OR(E1158="",E1158="!!!"),"",IF(NOT(ISNA(VLOOKUP(E1158,E$1:E1157,1,FALSE()))),"OLD",IF(AND(E1158&lt;&gt;"",E1158&lt;&gt;"!!!"),"NEW","")))</f>
        <v> </v>
      </c>
      <c r="G1158" s="23" t="str">
        <f>IF(OR(E1158="",E1158="!!!"),"",IF(OR(J1158=0,AND(J1158=1,K1158=1),AND(J1158=1,I1158="SBJ"),AND(J1158=1,I1158=0)),"?IN_FOCUS",IF(J1158&lt;=2,"?ACTIVATED",IF(J1158&lt;&gt;"","?FAMILIAR",IF(F1158="NEW",IF(ISNA(VLOOKUP(E1158,#REF!,1,FALSE())),"?TYPE_IDENTIFIABLE","?REFERENTIAL"),"_")))))</f>
        <v> </v>
      </c>
      <c r="H1158" s="24" t="str">
        <f>IF(J1158&lt;&gt;1,"",IF(I1158="SBJ","CB","?"))</f>
        <v> </v>
      </c>
      <c r="I1158" s="25" t="str">
        <f>IF(OR(E1158="",E1158="!!!",F1158="NEW"),"",INDEX(B1157:B$2,-1+SUMPRODUCT(MAX(ROW(E1157:E$2)*(E1158=E1157:E$2)))))</f>
        <v> </v>
      </c>
      <c r="J1158" s="25" t="str">
        <f>IF(OR(E1158="",E1158="!!!",F1158="NEW"),"",COUNTBLANK(OFFSET(A$1,,,SUMPRODUCT(MAX(ROW(E$2:E1158)*(E1158=E$2:E1158)))))-COUNTBLANK(OFFSET(A$1,,,SUMPRODUCT(MAX(ROW(E$1:E1157)*(E2=E$1:E1157))))))</f>
        <v> </v>
      </c>
      <c r="K1158" s="25" t="str">
        <f>IF(OR(E1158="",E1158="!!!",F1158="NEW"),"",INDEX(J$1:J1157,SUMPRODUCT(MAX(ROW(E$1:E1157)*(E1158=E$1:E1157)))))</f>
        <v> </v>
      </c>
      <c r="L1158" s="26"/>
    </row>
    <row r="1159" spans="1:12">
      <c r="A1159" s="20" t="s">
        <v>735</v>
      </c>
      <c r="B1159" s="27" t="s">
        <v>237</v>
      </c>
      <c r="C1159" s="27" t="s">
        <v>252</v>
      </c>
      <c r="D1159" s="27" t="s">
        <v>244</v>
      </c>
      <c r="E1159" s="21">
        <f>IF(D1159="?OLD","!!!","")</f>
        <v/>
      </c>
      <c r="F1159" s="22" t="str">
        <f>IF(OR(E1159="",E1159="!!!"),"",IF(NOT(ISNA(VLOOKUP(E1159,E$1:E1158,1,FALSE()))),"OLD",IF(AND(E1159&lt;&gt;"",E1159&lt;&gt;"!!!"),"NEW","")))</f>
        <v> </v>
      </c>
      <c r="G1159" s="23" t="str">
        <f>IF(OR(E1159="",E1159="!!!"),"",IF(OR(J1159=0,AND(J1159=1,K1159=1),AND(J1159=1,I1159="SBJ"),AND(J1159=1,I1159=0)),"?IN_FOCUS",IF(J1159&lt;=2,"?ACTIVATED",IF(J1159&lt;&gt;"","?FAMILIAR",IF(F1159="NEW",IF(ISNA(VLOOKUP(E1159,#REF!,1,FALSE())),"?TYPE_IDENTIFIABLE","?REFERENTIAL"),"_")))))</f>
        <v> </v>
      </c>
      <c r="H1159" s="24" t="str">
        <f>IF(J1159&lt;&gt;1,"",IF(I1159="SBJ","CB","?"))</f>
        <v> </v>
      </c>
      <c r="I1159" s="25" t="str">
        <f>IF(OR(E1159="",E1159="!!!",F1159="NEW"),"",INDEX(B1158:B$2,-1+SUMPRODUCT(MAX(ROW(E1158:E$2)*(E1159=E1158:E$2)))))</f>
        <v> </v>
      </c>
      <c r="J1159" s="25" t="str">
        <f>IF(OR(E1159="",E1159="!!!",F1159="NEW"),"",COUNTBLANK(OFFSET(A$1,,,SUMPRODUCT(MAX(ROW(E$2:E1159)*(E1159=E$2:E1159)))))-COUNTBLANK(OFFSET(A$1,,,SUMPRODUCT(MAX(ROW(E$1:E1158)*(E2=E$1:E1158))))))</f>
        <v> </v>
      </c>
      <c r="K1159" s="25" t="str">
        <f>IF(OR(E1159="",E1159="!!!",F1159="NEW"),"",INDEX(J$1:J1158,SUMPRODUCT(MAX(ROW(E$1:E1158)*(E1159=E$1:E1158)))))</f>
        <v> </v>
      </c>
      <c r="L1159" s="26"/>
    </row>
    <row r="1160" spans="1:12">
      <c r="A1160" s="20" t="s">
        <v>305</v>
      </c>
      <c r="E1160" s="21">
        <f>IF(D1160="?OLD","!!!","")</f>
        <v/>
      </c>
      <c r="F1160" s="22" t="str">
        <f>IF(OR(E1160="",E1160="!!!"),"",IF(NOT(ISNA(VLOOKUP(E1160,E$1:E1159,1,FALSE()))),"OLD",IF(AND(E1160&lt;&gt;"",E1160&lt;&gt;"!!!"),"NEW","")))</f>
        <v> </v>
      </c>
      <c r="G1160" s="23" t="str">
        <f>IF(OR(E1160="",E1160="!!!"),"",IF(OR(J1160=0,AND(J1160=1,K1160=1),AND(J1160=1,I1160="SBJ"),AND(J1160=1,I1160=0)),"?IN_FOCUS",IF(J1160&lt;=2,"?ACTIVATED",IF(J1160&lt;&gt;"","?FAMILIAR",IF(F1160="NEW",IF(ISNA(VLOOKUP(E1160,#REF!,1,FALSE())),"?TYPE_IDENTIFIABLE","?REFERENTIAL"),"_")))))</f>
        <v> </v>
      </c>
      <c r="H1160" s="24" t="str">
        <f>IF(J1160&lt;&gt;1,"",IF(I1160="SBJ","CB","?"))</f>
        <v> </v>
      </c>
      <c r="I1160" s="25" t="str">
        <f>IF(OR(E1160="",E1160="!!!",F1160="NEW"),"",INDEX(B1159:B$2,-1+SUMPRODUCT(MAX(ROW(E1159:E$2)*(E1160=E1159:E$2)))))</f>
        <v> </v>
      </c>
      <c r="J1160" s="25" t="str">
        <f>IF(OR(E1160="",E1160="!!!",F1160="NEW"),"",COUNTBLANK(OFFSET(A$1,,,SUMPRODUCT(MAX(ROW(E$2:E1160)*(E1160=E$2:E1160)))))-COUNTBLANK(OFFSET(A$1,,,SUMPRODUCT(MAX(ROW(E$1:E1159)*(E2=E$1:E1159))))))</f>
        <v> </v>
      </c>
      <c r="K1160" s="25" t="str">
        <f>IF(OR(E1160="",E1160="!!!",F1160="NEW"),"",INDEX(J$1:J1159,SUMPRODUCT(MAX(ROW(E$1:E1159)*(E1160=E$1:E1159)))))</f>
        <v> </v>
      </c>
      <c r="L1160" s="26"/>
    </row>
    <row r="1161" spans="1:12">
      <c r="A1161" s="20" t="s">
        <v>345</v>
      </c>
      <c r="E1161" s="21">
        <f>IF(D1161="?OLD","!!!","")</f>
        <v/>
      </c>
      <c r="F1161" s="22" t="str">
        <f>IF(OR(E1161="",E1161="!!!"),"",IF(NOT(ISNA(VLOOKUP(E1161,E$1:E1160,1,FALSE()))),"OLD",IF(AND(E1161&lt;&gt;"",E1161&lt;&gt;"!!!"),"NEW","")))</f>
        <v> </v>
      </c>
      <c r="G1161" s="23" t="str">
        <f>IF(OR(E1161="",E1161="!!!"),"",IF(OR(J1161=0,AND(J1161=1,K1161=1),AND(J1161=1,I1161="SBJ"),AND(J1161=1,I1161=0)),"?IN_FOCUS",IF(J1161&lt;=2,"?ACTIVATED",IF(J1161&lt;&gt;"","?FAMILIAR",IF(F1161="NEW",IF(ISNA(VLOOKUP(E1161,#REF!,1,FALSE())),"?TYPE_IDENTIFIABLE","?REFERENTIAL"),"_")))))</f>
        <v> </v>
      </c>
      <c r="H1161" s="24" t="str">
        <f>IF(J1161&lt;&gt;1,"",IF(I1161="SBJ","CB","?"))</f>
        <v> </v>
      </c>
      <c r="I1161" s="25" t="str">
        <f>IF(OR(E1161="",E1161="!!!",F1161="NEW"),"",INDEX(B1160:B$2,-1+SUMPRODUCT(MAX(ROW(E1160:E$2)*(E1161=E1160:E$2)))))</f>
        <v> </v>
      </c>
      <c r="J1161" s="25" t="str">
        <f>IF(OR(E1161="",E1161="!!!",F1161="NEW"),"",COUNTBLANK(OFFSET(A$1,,,SUMPRODUCT(MAX(ROW(E$2:E1161)*(E1161=E$2:E1161)))))-COUNTBLANK(OFFSET(A$1,,,SUMPRODUCT(MAX(ROW(E$1:E1160)*(E2=E$1:E1160))))))</f>
        <v> </v>
      </c>
      <c r="K1161" s="25" t="str">
        <f>IF(OR(E1161="",E1161="!!!",F1161="NEW"),"",INDEX(J$1:J1160,SUMPRODUCT(MAX(ROW(E$1:E1160)*(E1161=E$1:E1160)))))</f>
        <v> </v>
      </c>
      <c r="L1161" s="26"/>
    </row>
    <row r="1162" spans="1:12">
      <c r="A1162" s="20" t="s">
        <v>248</v>
      </c>
      <c r="E1162" s="21">
        <f>IF(D1162="?OLD","!!!","")</f>
        <v/>
      </c>
      <c r="F1162" s="22" t="str">
        <f>IF(OR(E1162="",E1162="!!!"),"",IF(NOT(ISNA(VLOOKUP(E1162,E$1:E1161,1,FALSE()))),"OLD",IF(AND(E1162&lt;&gt;"",E1162&lt;&gt;"!!!"),"NEW","")))</f>
        <v> </v>
      </c>
      <c r="G1162" s="23" t="str">
        <f>IF(OR(E1162="",E1162="!!!"),"",IF(OR(J1162=0,AND(J1162=1,K1162=1),AND(J1162=1,I1162="SBJ"),AND(J1162=1,I1162=0)),"?IN_FOCUS",IF(J1162&lt;=2,"?ACTIVATED",IF(J1162&lt;&gt;"","?FAMILIAR",IF(F1162="NEW",IF(ISNA(VLOOKUP(E1162,#REF!,1,FALSE())),"?TYPE_IDENTIFIABLE","?REFERENTIAL"),"_")))))</f>
        <v> </v>
      </c>
      <c r="H1162" s="24" t="str">
        <f>IF(J1162&lt;&gt;1,"",IF(I1162="SBJ","CB","?"))</f>
        <v> </v>
      </c>
      <c r="I1162" s="25" t="str">
        <f>IF(OR(E1162="",E1162="!!!",F1162="NEW"),"",INDEX(B1161:B$2,-1+SUMPRODUCT(MAX(ROW(E1161:E$2)*(E1162=E1161:E$2)))))</f>
        <v> </v>
      </c>
      <c r="J1162" s="25" t="str">
        <f>IF(OR(E1162="",E1162="!!!",F1162="NEW"),"",COUNTBLANK(OFFSET(A$1,,,SUMPRODUCT(MAX(ROW(E$2:E1162)*(E1162=E$2:E1162)))))-COUNTBLANK(OFFSET(A$1,,,SUMPRODUCT(MAX(ROW(E$1:E1161)*(E2=E$1:E1161))))))</f>
        <v> </v>
      </c>
      <c r="K1162" s="25" t="str">
        <f>IF(OR(E1162="",E1162="!!!",F1162="NEW"),"",INDEX(J$1:J1161,SUMPRODUCT(MAX(ROW(E$1:E1161)*(E1162=E$1:E1161)))))</f>
        <v> </v>
      </c>
      <c r="L1162" s="26"/>
    </row>
    <row r="1163" spans="1:12">
      <c r="A1163" s="20" t="s">
        <v>736</v>
      </c>
      <c r="B1163" s="27" t="s">
        <v>237</v>
      </c>
      <c r="C1163" s="27" t="s">
        <v>252</v>
      </c>
      <c r="D1163" s="27" t="s">
        <v>244</v>
      </c>
      <c r="E1163" s="21">
        <f>IF(D1163="?OLD","!!!","")</f>
        <v/>
      </c>
      <c r="F1163" s="22" t="str">
        <f>IF(OR(E1163="",E1163="!!!"),"",IF(NOT(ISNA(VLOOKUP(E1163,E$1:E1162,1,FALSE()))),"OLD",IF(AND(E1163&lt;&gt;"",E1163&lt;&gt;"!!!"),"NEW","")))</f>
        <v> </v>
      </c>
      <c r="G1163" s="23" t="str">
        <f>IF(OR(E1163="",E1163="!!!"),"",IF(OR(J1163=0,AND(J1163=1,K1163=1),AND(J1163=1,I1163="SBJ"),AND(J1163=1,I1163=0)),"?IN_FOCUS",IF(J1163&lt;=2,"?ACTIVATED",IF(J1163&lt;&gt;"","?FAMILIAR",IF(F1163="NEW",IF(ISNA(VLOOKUP(E1163,#REF!,1,FALSE())),"?TYPE_IDENTIFIABLE","?REFERENTIAL"),"_")))))</f>
        <v> </v>
      </c>
      <c r="H1163" s="24" t="str">
        <f>IF(J1163&lt;&gt;1,"",IF(I1163="SBJ","CB","?"))</f>
        <v> </v>
      </c>
      <c r="I1163" s="25" t="str">
        <f>IF(OR(E1163="",E1163="!!!",F1163="NEW"),"",INDEX(B1162:B$2,-1+SUMPRODUCT(MAX(ROW(E1162:E$2)*(E1163=E1162:E$2)))))</f>
        <v> </v>
      </c>
      <c r="J1163" s="25" t="str">
        <f>IF(OR(E1163="",E1163="!!!",F1163="NEW"),"",COUNTBLANK(OFFSET(A$1,,,SUMPRODUCT(MAX(ROW(E$2:E1163)*(E1163=E$2:E1163)))))-COUNTBLANK(OFFSET(A$1,,,SUMPRODUCT(MAX(ROW(E$1:E1162)*(E2=E$1:E1162))))))</f>
        <v> </v>
      </c>
      <c r="K1163" s="25" t="str">
        <f>IF(OR(E1163="",E1163="!!!",F1163="NEW"),"",INDEX(J$1:J1162,SUMPRODUCT(MAX(ROW(E$1:E1162)*(E1163=E$1:E1162)))))</f>
        <v> </v>
      </c>
      <c r="L1163" s="26"/>
    </row>
    <row r="1164" spans="1:12">
      <c r="A1164" s="20" t="s">
        <v>285</v>
      </c>
      <c r="E1164" s="21">
        <f>IF(D1164="?OLD","!!!","")</f>
        <v/>
      </c>
      <c r="F1164" s="22" t="str">
        <f>IF(OR(E1164="",E1164="!!!"),"",IF(NOT(ISNA(VLOOKUP(E1164,E$1:E1163,1,FALSE()))),"OLD",IF(AND(E1164&lt;&gt;"",E1164&lt;&gt;"!!!"),"NEW","")))</f>
        <v> </v>
      </c>
      <c r="G1164" s="23" t="str">
        <f>IF(OR(E1164="",E1164="!!!"),"",IF(OR(J1164=0,AND(J1164=1,K1164=1),AND(J1164=1,I1164="SBJ"),AND(J1164=1,I1164=0)),"?IN_FOCUS",IF(J1164&lt;=2,"?ACTIVATED",IF(J1164&lt;&gt;"","?FAMILIAR",IF(F1164="NEW",IF(ISNA(VLOOKUP(E1164,#REF!,1,FALSE())),"?TYPE_IDENTIFIABLE","?REFERENTIAL"),"_")))))</f>
        <v> </v>
      </c>
      <c r="H1164" s="24" t="str">
        <f>IF(J1164&lt;&gt;1,"",IF(I1164="SBJ","CB","?"))</f>
        <v> </v>
      </c>
      <c r="I1164" s="25" t="str">
        <f>IF(OR(E1164="",E1164="!!!",F1164="NEW"),"",INDEX(B1163:B$2,-1+SUMPRODUCT(MAX(ROW(E1163:E$2)*(E1164=E1163:E$2)))))</f>
        <v> </v>
      </c>
      <c r="J1164" s="25" t="str">
        <f>IF(OR(E1164="",E1164="!!!",F1164="NEW"),"",COUNTBLANK(OFFSET(A$1,,,SUMPRODUCT(MAX(ROW(E$2:E1164)*(E1164=E$2:E1164)))))-COUNTBLANK(OFFSET(A$1,,,SUMPRODUCT(MAX(ROW(E$1:E1163)*(E2=E$1:E1163))))))</f>
        <v> </v>
      </c>
      <c r="K1164" s="25" t="str">
        <f>IF(OR(E1164="",E1164="!!!",F1164="NEW"),"",INDEX(J$1:J1163,SUMPRODUCT(MAX(ROW(E$1:E1163)*(E1164=E$1:E1163)))))</f>
        <v> </v>
      </c>
      <c r="L1164" s="26"/>
    </row>
    <row r="1165" spans="1:12">
      <c r="A1165" s="20"/>
    </row>
    <row r="1166" spans="1:12">
      <c r="A1166" s="20" t="s">
        <v>737</v>
      </c>
    </row>
    <row r="1167" spans="1:12">
      <c r="A1167" s="20" t="s">
        <v>580</v>
      </c>
      <c r="B1167" s="27" t="s">
        <v>255</v>
      </c>
      <c r="C1167" s="27" t="s">
        <v>256</v>
      </c>
      <c r="D1167" s="27" t="s">
        <v>244</v>
      </c>
      <c r="E1167" s="21">
        <f>IF(D1167="?OLD","!!!","")</f>
        <v/>
      </c>
      <c r="F1167" s="22" t="str">
        <f>IF(OR(E1167="",E1167="!!!"),"",IF(NOT(ISNA(VLOOKUP(E1167,E$1:E1166,1,FALSE()))),"OLD",IF(AND(E1167&lt;&gt;"",E1167&lt;&gt;"!!!"),"NEW","")))</f>
        <v> </v>
      </c>
      <c r="G1167" s="23" t="str">
        <f>IF(OR(E1167="",E1167="!!!"),"",IF(OR(J1167=0,AND(J1167=1,K1167=1),AND(J1167=1,I1167="SBJ"),AND(J1167=1,I1167=0)),"?IN_FOCUS",IF(J1167&lt;=2,"?ACTIVATED",IF(J1167&lt;&gt;"","?FAMILIAR",IF(F1167="NEW",IF(ISNA(VLOOKUP(E1167,#REF!,1,FALSE())),"?TYPE_IDENTIFIABLE","?REFERENTIAL"),"_")))))</f>
        <v> </v>
      </c>
      <c r="H1167" s="24" t="str">
        <f>IF(J1167&lt;&gt;1,"",IF(I1167="SBJ","CB","?"))</f>
        <v> </v>
      </c>
      <c r="I1167" s="25" t="str">
        <f>IF(OR(E1167="",E1167="!!!",F1167="NEW"),"",INDEX(B1166:B$2,-1+SUMPRODUCT(MAX(ROW(E1166:E$2)*(E1167=E1166:E$2)))))</f>
        <v> </v>
      </c>
      <c r="J1167" s="25" t="str">
        <f>IF(OR(E1167="",E1167="!!!",F1167="NEW"),"",COUNTBLANK(OFFSET(A$1,,,SUMPRODUCT(MAX(ROW(E$2:E1167)*(E1167=E$2:E1167)))))-COUNTBLANK(OFFSET(A$1,,,SUMPRODUCT(MAX(ROW(E$1:E1166)*(E2=E$1:E1166))))))</f>
        <v> </v>
      </c>
      <c r="K1167" s="25" t="str">
        <f>IF(OR(E1167="",E1167="!!!",F1167="NEW"),"",INDEX(J$1:J1166,SUMPRODUCT(MAX(ROW(E$1:E1166)*(E1167=E$1:E1166)))))</f>
        <v> </v>
      </c>
      <c r="L1167" s="26"/>
    </row>
    <row r="1168" spans="1:12">
      <c r="A1168" s="20" t="s">
        <v>442</v>
      </c>
      <c r="E1168" s="21">
        <f>IF(D1168="?OLD","!!!","")</f>
        <v/>
      </c>
      <c r="F1168" s="22" t="str">
        <f>IF(OR(E1168="",E1168="!!!"),"",IF(NOT(ISNA(VLOOKUP(E1168,E$1:E1167,1,FALSE()))),"OLD",IF(AND(E1168&lt;&gt;"",E1168&lt;&gt;"!!!"),"NEW","")))</f>
        <v> </v>
      </c>
      <c r="G1168" s="23" t="str">
        <f>IF(OR(E1168="",E1168="!!!"),"",IF(OR(J1168=0,AND(J1168=1,K1168=1),AND(J1168=1,I1168="SBJ"),AND(J1168=1,I1168=0)),"?IN_FOCUS",IF(J1168&lt;=2,"?ACTIVATED",IF(J1168&lt;&gt;"","?FAMILIAR",IF(F1168="NEW",IF(ISNA(VLOOKUP(E1168,#REF!,1,FALSE())),"?TYPE_IDENTIFIABLE","?REFERENTIAL"),"_")))))</f>
        <v> </v>
      </c>
      <c r="H1168" s="24" t="str">
        <f>IF(J1168&lt;&gt;1,"",IF(I1168="SBJ","CB","?"))</f>
        <v> </v>
      </c>
      <c r="I1168" s="25" t="str">
        <f>IF(OR(E1168="",E1168="!!!",F1168="NEW"),"",INDEX(B1167:B$2,-1+SUMPRODUCT(MAX(ROW(E1167:E$2)*(E1168=E1167:E$2)))))</f>
        <v> </v>
      </c>
      <c r="J1168" s="25" t="str">
        <f>IF(OR(E1168="",E1168="!!!",F1168="NEW"),"",COUNTBLANK(OFFSET(A$1,,,SUMPRODUCT(MAX(ROW(E$2:E1168)*(E1168=E$2:E1168)))))-COUNTBLANK(OFFSET(A$1,,,SUMPRODUCT(MAX(ROW(E$1:E1167)*(E2=E$1:E1167))))))</f>
        <v> </v>
      </c>
      <c r="K1168" s="25" t="str">
        <f>IF(OR(E1168="",E1168="!!!",F1168="NEW"),"",INDEX(J$1:J1167,SUMPRODUCT(MAX(ROW(E$1:E1167)*(E1168=E$1:E1167)))))</f>
        <v> </v>
      </c>
      <c r="L1168" s="26"/>
    </row>
    <row r="1169" spans="1:12">
      <c r="A1169" s="20" t="s">
        <v>321</v>
      </c>
      <c r="E1169" s="21">
        <f>IF(D1169="?OLD","!!!","")</f>
        <v/>
      </c>
      <c r="F1169" s="22" t="str">
        <f>IF(OR(E1169="",E1169="!!!"),"",IF(NOT(ISNA(VLOOKUP(E1169,E$1:E1168,1,FALSE()))),"OLD",IF(AND(E1169&lt;&gt;"",E1169&lt;&gt;"!!!"),"NEW","")))</f>
        <v> </v>
      </c>
      <c r="G1169" s="23" t="str">
        <f>IF(OR(E1169="",E1169="!!!"),"",IF(OR(J1169=0,AND(J1169=1,K1169=1),AND(J1169=1,I1169="SBJ"),AND(J1169=1,I1169=0)),"?IN_FOCUS",IF(J1169&lt;=2,"?ACTIVATED",IF(J1169&lt;&gt;"","?FAMILIAR",IF(F1169="NEW",IF(ISNA(VLOOKUP(E1169,#REF!,1,FALSE())),"?TYPE_IDENTIFIABLE","?REFERENTIAL"),"_")))))</f>
        <v> </v>
      </c>
      <c r="H1169" s="24" t="str">
        <f>IF(J1169&lt;&gt;1,"",IF(I1169="SBJ","CB","?"))</f>
        <v> </v>
      </c>
      <c r="I1169" s="25" t="str">
        <f>IF(OR(E1169="",E1169="!!!",F1169="NEW"),"",INDEX(B1168:B$2,-1+SUMPRODUCT(MAX(ROW(E1168:E$2)*(E1169=E1168:E$2)))))</f>
        <v> </v>
      </c>
      <c r="J1169" s="25" t="str">
        <f>IF(OR(E1169="",E1169="!!!",F1169="NEW"),"",COUNTBLANK(OFFSET(A$1,,,SUMPRODUCT(MAX(ROW(E$2:E1169)*(E1169=E$2:E1169)))))-COUNTBLANK(OFFSET(A$1,,,SUMPRODUCT(MAX(ROW(E$1:E1168)*(E2=E$1:E1168))))))</f>
        <v> </v>
      </c>
      <c r="K1169" s="25" t="str">
        <f>IF(OR(E1169="",E1169="!!!",F1169="NEW"),"",INDEX(J$1:J1168,SUMPRODUCT(MAX(ROW(E$1:E1168)*(E1169=E$1:E1168)))))</f>
        <v> </v>
      </c>
      <c r="L1169" s="26"/>
    </row>
    <row r="1170" spans="1:12">
      <c r="A1170" s="20" t="s">
        <v>738</v>
      </c>
      <c r="E1170" s="21">
        <f>IF(D1170="?OLD","!!!","")</f>
        <v/>
      </c>
      <c r="F1170" s="22" t="str">
        <f>IF(OR(E1170="",E1170="!!!"),"",IF(NOT(ISNA(VLOOKUP(E1170,E$1:E1169,1,FALSE()))),"OLD",IF(AND(E1170&lt;&gt;"",E1170&lt;&gt;"!!!"),"NEW","")))</f>
        <v> </v>
      </c>
      <c r="G1170" s="23" t="str">
        <f>IF(OR(E1170="",E1170="!!!"),"",IF(OR(J1170=0,AND(J1170=1,K1170=1),AND(J1170=1,I1170="SBJ"),AND(J1170=1,I1170=0)),"?IN_FOCUS",IF(J1170&lt;=2,"?ACTIVATED",IF(J1170&lt;&gt;"","?FAMILIAR",IF(F1170="NEW",IF(ISNA(VLOOKUP(E1170,#REF!,1,FALSE())),"?TYPE_IDENTIFIABLE","?REFERENTIAL"),"_")))))</f>
        <v> </v>
      </c>
      <c r="H1170" s="24" t="str">
        <f>IF(J1170&lt;&gt;1,"",IF(I1170="SBJ","CB","?"))</f>
        <v> </v>
      </c>
      <c r="I1170" s="25" t="str">
        <f>IF(OR(E1170="",E1170="!!!",F1170="NEW"),"",INDEX(B1169:B$2,-1+SUMPRODUCT(MAX(ROW(E1169:E$2)*(E1170=E1169:E$2)))))</f>
        <v> </v>
      </c>
      <c r="J1170" s="25" t="str">
        <f>IF(OR(E1170="",E1170="!!!",F1170="NEW"),"",COUNTBLANK(OFFSET(A$1,,,SUMPRODUCT(MAX(ROW(E$2:E1170)*(E1170=E$2:E1170)))))-COUNTBLANK(OFFSET(A$1,,,SUMPRODUCT(MAX(ROW(E$1:E1169)*(E2=E$1:E1169))))))</f>
        <v> </v>
      </c>
      <c r="K1170" s="25" t="str">
        <f>IF(OR(E1170="",E1170="!!!",F1170="NEW"),"",INDEX(J$1:J1169,SUMPRODUCT(MAX(ROW(E$1:E1169)*(E1170=E$1:E1169)))))</f>
        <v> </v>
      </c>
      <c r="L1170" s="26"/>
    </row>
    <row r="1171" spans="1:12">
      <c r="A1171" s="20" t="s">
        <v>739</v>
      </c>
      <c r="E1171" s="21">
        <f>IF(D1171="?OLD","!!!","")</f>
        <v/>
      </c>
      <c r="F1171" s="22" t="str">
        <f>IF(OR(E1171="",E1171="!!!"),"",IF(NOT(ISNA(VLOOKUP(E1171,E$1:E1170,1,FALSE()))),"OLD",IF(AND(E1171&lt;&gt;"",E1171&lt;&gt;"!!!"),"NEW","")))</f>
        <v> </v>
      </c>
      <c r="G1171" s="23" t="str">
        <f>IF(OR(E1171="",E1171="!!!"),"",IF(OR(J1171=0,AND(J1171=1,K1171=1),AND(J1171=1,I1171="SBJ"),AND(J1171=1,I1171=0)),"?IN_FOCUS",IF(J1171&lt;=2,"?ACTIVATED",IF(J1171&lt;&gt;"","?FAMILIAR",IF(F1171="NEW",IF(ISNA(VLOOKUP(E1171,#REF!,1,FALSE())),"?TYPE_IDENTIFIABLE","?REFERENTIAL"),"_")))))</f>
        <v> </v>
      </c>
      <c r="H1171" s="24" t="str">
        <f>IF(J1171&lt;&gt;1,"",IF(I1171="SBJ","CB","?"))</f>
        <v> </v>
      </c>
      <c r="I1171" s="25" t="str">
        <f>IF(OR(E1171="",E1171="!!!",F1171="NEW"),"",INDEX(B1170:B$2,-1+SUMPRODUCT(MAX(ROW(E1170:E$2)*(E1171=E1170:E$2)))))</f>
        <v> </v>
      </c>
      <c r="J1171" s="25" t="str">
        <f>IF(OR(E1171="",E1171="!!!",F1171="NEW"),"",COUNTBLANK(OFFSET(A$1,,,SUMPRODUCT(MAX(ROW(E$2:E1171)*(E1171=E$2:E1171)))))-COUNTBLANK(OFFSET(A$1,,,SUMPRODUCT(MAX(ROW(E$1:E1170)*(E2=E$1:E1170))))))</f>
        <v> </v>
      </c>
      <c r="K1171" s="25" t="str">
        <f>IF(OR(E1171="",E1171="!!!",F1171="NEW"),"",INDEX(J$1:J1170,SUMPRODUCT(MAX(ROW(E$1:E1170)*(E1171=E$1:E1170)))))</f>
        <v> </v>
      </c>
      <c r="L1171" s="26"/>
    </row>
    <row r="1172" spans="1:12">
      <c r="A1172" s="20" t="s">
        <v>349</v>
      </c>
      <c r="E1172" s="21">
        <f>IF(D1172="?OLD","!!!","")</f>
        <v/>
      </c>
      <c r="F1172" s="22" t="str">
        <f>IF(OR(E1172="",E1172="!!!"),"",IF(NOT(ISNA(VLOOKUP(E1172,E$1:E1171,1,FALSE()))),"OLD",IF(AND(E1172&lt;&gt;"",E1172&lt;&gt;"!!!"),"NEW","")))</f>
        <v> </v>
      </c>
      <c r="G1172" s="23" t="str">
        <f>IF(OR(E1172="",E1172="!!!"),"",IF(OR(J1172=0,AND(J1172=1,K1172=1),AND(J1172=1,I1172="SBJ"),AND(J1172=1,I1172=0)),"?IN_FOCUS",IF(J1172&lt;=2,"?ACTIVATED",IF(J1172&lt;&gt;"","?FAMILIAR",IF(F1172="NEW",IF(ISNA(VLOOKUP(E1172,#REF!,1,FALSE())),"?TYPE_IDENTIFIABLE","?REFERENTIAL"),"_")))))</f>
        <v> </v>
      </c>
      <c r="H1172" s="24" t="str">
        <f>IF(J1172&lt;&gt;1,"",IF(I1172="SBJ","CB","?"))</f>
        <v> </v>
      </c>
      <c r="I1172" s="25" t="str">
        <f>IF(OR(E1172="",E1172="!!!",F1172="NEW"),"",INDEX(B1171:B$2,-1+SUMPRODUCT(MAX(ROW(E1171:E$2)*(E1172=E1171:E$2)))))</f>
        <v> </v>
      </c>
      <c r="J1172" s="25" t="str">
        <f>IF(OR(E1172="",E1172="!!!",F1172="NEW"),"",COUNTBLANK(OFFSET(A$1,,,SUMPRODUCT(MAX(ROW(E$2:E1172)*(E1172=E$2:E1172)))))-COUNTBLANK(OFFSET(A$1,,,SUMPRODUCT(MAX(ROW(E$1:E1171)*(E2=E$1:E1171))))))</f>
        <v> </v>
      </c>
      <c r="K1172" s="25" t="str">
        <f>IF(OR(E1172="",E1172="!!!",F1172="NEW"),"",INDEX(J$1:J1171,SUMPRODUCT(MAX(ROW(E$1:E1171)*(E1172=E$1:E1171)))))</f>
        <v> </v>
      </c>
      <c r="L1172" s="26"/>
    </row>
    <row r="1173" spans="1:12">
      <c r="A1173" s="20" t="s">
        <v>740</v>
      </c>
      <c r="E1173" s="21">
        <f>IF(D1173="?OLD","!!!","")</f>
        <v/>
      </c>
      <c r="F1173" s="22" t="str">
        <f>IF(OR(E1173="",E1173="!!!"),"",IF(NOT(ISNA(VLOOKUP(E1173,E$1:E1172,1,FALSE()))),"OLD",IF(AND(E1173&lt;&gt;"",E1173&lt;&gt;"!!!"),"NEW","")))</f>
        <v> </v>
      </c>
      <c r="G1173" s="23" t="str">
        <f>IF(OR(E1173="",E1173="!!!"),"",IF(OR(J1173=0,AND(J1173=1,K1173=1),AND(J1173=1,I1173="SBJ"),AND(J1173=1,I1173=0)),"?IN_FOCUS",IF(J1173&lt;=2,"?ACTIVATED",IF(J1173&lt;&gt;"","?FAMILIAR",IF(F1173="NEW",IF(ISNA(VLOOKUP(E1173,#REF!,1,FALSE())),"?TYPE_IDENTIFIABLE","?REFERENTIAL"),"_")))))</f>
        <v> </v>
      </c>
      <c r="H1173" s="24" t="str">
        <f>IF(J1173&lt;&gt;1,"",IF(I1173="SBJ","CB","?"))</f>
        <v> </v>
      </c>
      <c r="I1173" s="25" t="str">
        <f>IF(OR(E1173="",E1173="!!!",F1173="NEW"),"",INDEX(B1172:B$2,-1+SUMPRODUCT(MAX(ROW(E1172:E$2)*(E1173=E1172:E$2)))))</f>
        <v> </v>
      </c>
      <c r="J1173" s="25" t="str">
        <f>IF(OR(E1173="",E1173="!!!",F1173="NEW"),"",COUNTBLANK(OFFSET(A$1,,,SUMPRODUCT(MAX(ROW(E$2:E1173)*(E1173=E$2:E1173)))))-COUNTBLANK(OFFSET(A$1,,,SUMPRODUCT(MAX(ROW(E$1:E1172)*(E2=E$1:E1172))))))</f>
        <v> </v>
      </c>
      <c r="K1173" s="25" t="str">
        <f>IF(OR(E1173="",E1173="!!!",F1173="NEW"),"",INDEX(J$1:J1172,SUMPRODUCT(MAX(ROW(E$1:E1172)*(E1173=E$1:E1172)))))</f>
        <v> </v>
      </c>
      <c r="L1173" s="26"/>
    </row>
    <row r="1174" spans="1:12">
      <c r="A1174" s="20" t="s">
        <v>260</v>
      </c>
      <c r="E1174" s="21">
        <f>IF(D1174="?OLD","!!!","")</f>
        <v/>
      </c>
      <c r="F1174" s="22" t="str">
        <f>IF(OR(E1174="",E1174="!!!"),"",IF(NOT(ISNA(VLOOKUP(E1174,E$1:E1173,1,FALSE()))),"OLD",IF(AND(E1174&lt;&gt;"",E1174&lt;&gt;"!!!"),"NEW","")))</f>
        <v> </v>
      </c>
      <c r="G1174" s="23" t="str">
        <f>IF(OR(E1174="",E1174="!!!"),"",IF(OR(J1174=0,AND(J1174=1,K1174=1),AND(J1174=1,I1174="SBJ"),AND(J1174=1,I1174=0)),"?IN_FOCUS",IF(J1174&lt;=2,"?ACTIVATED",IF(J1174&lt;&gt;"","?FAMILIAR",IF(F1174="NEW",IF(ISNA(VLOOKUP(E1174,#REF!,1,FALSE())),"?TYPE_IDENTIFIABLE","?REFERENTIAL"),"_")))))</f>
        <v> </v>
      </c>
      <c r="H1174" s="24" t="str">
        <f>IF(J1174&lt;&gt;1,"",IF(I1174="SBJ","CB","?"))</f>
        <v> </v>
      </c>
      <c r="I1174" s="25" t="str">
        <f>IF(OR(E1174="",E1174="!!!",F1174="NEW"),"",INDEX(B1173:B$2,-1+SUMPRODUCT(MAX(ROW(E1173:E$2)*(E1174=E1173:E$2)))))</f>
        <v> </v>
      </c>
      <c r="J1174" s="25" t="str">
        <f>IF(OR(E1174="",E1174="!!!",F1174="NEW"),"",COUNTBLANK(OFFSET(A$1,,,SUMPRODUCT(MAX(ROW(E$2:E1174)*(E1174=E$2:E1174)))))-COUNTBLANK(OFFSET(A$1,,,SUMPRODUCT(MAX(ROW(E$1:E1173)*(E2=E$1:E1173))))))</f>
        <v> </v>
      </c>
      <c r="K1174" s="25" t="str">
        <f>IF(OR(E1174="",E1174="!!!",F1174="NEW"),"",INDEX(J$1:J1173,SUMPRODUCT(MAX(ROW(E$1:E1173)*(E1174=E$1:E1173)))))</f>
        <v> </v>
      </c>
      <c r="L1174" s="26"/>
    </row>
    <row r="1175" spans="1:12">
      <c r="A1175" s="20" t="s">
        <v>741</v>
      </c>
      <c r="B1175" s="27" t="s">
        <v>301</v>
      </c>
      <c r="C1175" s="27" t="s">
        <v>334</v>
      </c>
      <c r="D1175" s="27" t="s">
        <v>244</v>
      </c>
      <c r="E1175" s="21">
        <f>IF(D1175="?OLD","!!!","")</f>
        <v/>
      </c>
      <c r="F1175" s="22" t="str">
        <f>IF(OR(E1175="",E1175="!!!"),"",IF(NOT(ISNA(VLOOKUP(E1175,E$1:E1174,1,FALSE()))),"OLD",IF(AND(E1175&lt;&gt;"",E1175&lt;&gt;"!!!"),"NEW","")))</f>
        <v> </v>
      </c>
      <c r="G1175" s="23" t="str">
        <f>IF(OR(E1175="",E1175="!!!"),"",IF(OR(J1175=0,AND(J1175=1,K1175=1),AND(J1175=1,I1175="SBJ"),AND(J1175=1,I1175=0)),"?IN_FOCUS",IF(J1175&lt;=2,"?ACTIVATED",IF(J1175&lt;&gt;"","?FAMILIAR",IF(F1175="NEW",IF(ISNA(VLOOKUP(E1175,#REF!,1,FALSE())),"?TYPE_IDENTIFIABLE","?REFERENTIAL"),"_")))))</f>
        <v> </v>
      </c>
      <c r="H1175" s="24" t="str">
        <f>IF(J1175&lt;&gt;1,"",IF(I1175="SBJ","CB","?"))</f>
        <v> </v>
      </c>
      <c r="I1175" s="25" t="str">
        <f>IF(OR(E1175="",E1175="!!!",F1175="NEW"),"",INDEX(B1174:B$2,-1+SUMPRODUCT(MAX(ROW(E1174:E$2)*(E1175=E1174:E$2)))))</f>
        <v> </v>
      </c>
      <c r="J1175" s="25" t="str">
        <f>IF(OR(E1175="",E1175="!!!",F1175="NEW"),"",COUNTBLANK(OFFSET(A$1,,,SUMPRODUCT(MAX(ROW(E$2:E1175)*(E1175=E$2:E1175)))))-COUNTBLANK(OFFSET(A$1,,,SUMPRODUCT(MAX(ROW(E$1:E1174)*(E2=E$1:E1174))))))</f>
        <v> </v>
      </c>
      <c r="K1175" s="25" t="str">
        <f>IF(OR(E1175="",E1175="!!!",F1175="NEW"),"",INDEX(J$1:J1174,SUMPRODUCT(MAX(ROW(E$1:E1174)*(E1175=E$1:E1174)))))</f>
        <v> </v>
      </c>
      <c r="L1175" s="26"/>
    </row>
    <row r="1176" spans="1:12">
      <c r="A1176" s="20" t="s">
        <v>510</v>
      </c>
      <c r="E1176" s="21">
        <f>IF(D1176="?OLD","!!!","")</f>
        <v/>
      </c>
      <c r="F1176" s="22" t="str">
        <f>IF(OR(E1176="",E1176="!!!"),"",IF(NOT(ISNA(VLOOKUP(E1176,E$1:E1175,1,FALSE()))),"OLD",IF(AND(E1176&lt;&gt;"",E1176&lt;&gt;"!!!"),"NEW","")))</f>
        <v> </v>
      </c>
      <c r="G1176" s="23" t="str">
        <f>IF(OR(E1176="",E1176="!!!"),"",IF(OR(J1176=0,AND(J1176=1,K1176=1),AND(J1176=1,I1176="SBJ"),AND(J1176=1,I1176=0)),"?IN_FOCUS",IF(J1176&lt;=2,"?ACTIVATED",IF(J1176&lt;&gt;"","?FAMILIAR",IF(F1176="NEW",IF(ISNA(VLOOKUP(E1176,#REF!,1,FALSE())),"?TYPE_IDENTIFIABLE","?REFERENTIAL"),"_")))))</f>
        <v> </v>
      </c>
      <c r="H1176" s="24" t="str">
        <f>IF(J1176&lt;&gt;1,"",IF(I1176="SBJ","CB","?"))</f>
        <v> </v>
      </c>
      <c r="I1176" s="25" t="str">
        <f>IF(OR(E1176="",E1176="!!!",F1176="NEW"),"",INDEX(B1175:B$2,-1+SUMPRODUCT(MAX(ROW(E1175:E$2)*(E1176=E1175:E$2)))))</f>
        <v> </v>
      </c>
      <c r="J1176" s="25" t="str">
        <f>IF(OR(E1176="",E1176="!!!",F1176="NEW"),"",COUNTBLANK(OFFSET(A$1,,,SUMPRODUCT(MAX(ROW(E$2:E1176)*(E1176=E$2:E1176)))))-COUNTBLANK(OFFSET(A$1,,,SUMPRODUCT(MAX(ROW(E$1:E1175)*(E2=E$1:E1175))))))</f>
        <v> </v>
      </c>
      <c r="K1176" s="25" t="str">
        <f>IF(OR(E1176="",E1176="!!!",F1176="NEW"),"",INDEX(J$1:J1175,SUMPRODUCT(MAX(ROW(E$1:E1175)*(E1176=E$1:E1175)))))</f>
        <v> </v>
      </c>
      <c r="L1176" s="26"/>
    </row>
    <row r="1177" spans="1:12">
      <c r="A1177" s="20" t="s">
        <v>742</v>
      </c>
      <c r="B1177" s="27" t="s">
        <v>291</v>
      </c>
      <c r="C1177" s="27" t="s">
        <v>327</v>
      </c>
      <c r="E1177" s="21">
        <f>IF(D1177="?OLD","!!!","")</f>
        <v/>
      </c>
      <c r="F1177" s="22" t="str">
        <f>IF(OR(E1177="",E1177="!!!"),"",IF(NOT(ISNA(VLOOKUP(E1177,E$1:E1176,1,FALSE()))),"OLD",IF(AND(E1177&lt;&gt;"",E1177&lt;&gt;"!!!"),"NEW","")))</f>
        <v> </v>
      </c>
      <c r="G1177" s="23" t="str">
        <f>IF(OR(E1177="",E1177="!!!"),"",IF(OR(J1177=0,AND(J1177=1,K1177=1),AND(J1177=1,I1177="SBJ"),AND(J1177=1,I1177=0)),"?IN_FOCUS",IF(J1177&lt;=2,"?ACTIVATED",IF(J1177&lt;&gt;"","?FAMILIAR",IF(F1177="NEW",IF(ISNA(VLOOKUP(E1177,#REF!,1,FALSE())),"?TYPE_IDENTIFIABLE","?REFERENTIAL"),"_")))))</f>
        <v> </v>
      </c>
      <c r="H1177" s="24" t="str">
        <f>IF(J1177&lt;&gt;1,"",IF(I1177="SBJ","CB","?"))</f>
        <v> </v>
      </c>
      <c r="I1177" s="25" t="str">
        <f>IF(OR(E1177="",E1177="!!!",F1177="NEW"),"",INDEX(B1176:B$2,-1+SUMPRODUCT(MAX(ROW(E1176:E$2)*(E1177=E1176:E$2)))))</f>
        <v> </v>
      </c>
      <c r="J1177" s="25" t="str">
        <f>IF(OR(E1177="",E1177="!!!",F1177="NEW"),"",COUNTBLANK(OFFSET(A$1,,,SUMPRODUCT(MAX(ROW(E$2:E1177)*(E1177=E$2:E1177)))))-COUNTBLANK(OFFSET(A$1,,,SUMPRODUCT(MAX(ROW(E$1:E1176)*(E2=E$1:E1176))))))</f>
        <v> </v>
      </c>
      <c r="K1177" s="25" t="str">
        <f>IF(OR(E1177="",E1177="!!!",F1177="NEW"),"",INDEX(J$1:J1176,SUMPRODUCT(MAX(ROW(E$1:E1176)*(E1177=E$1:E1176)))))</f>
        <v> </v>
      </c>
      <c r="L1177" s="26"/>
    </row>
    <row r="1178" spans="1:12">
      <c r="A1178" s="20" t="s">
        <v>337</v>
      </c>
      <c r="B1178" s="27" t="s">
        <v>266</v>
      </c>
      <c r="C1178" s="27" t="s">
        <v>256</v>
      </c>
      <c r="D1178" s="27" t="s">
        <v>244</v>
      </c>
      <c r="E1178" s="21">
        <f>IF(D1178="?OLD","!!!","")</f>
        <v/>
      </c>
      <c r="F1178" s="22" t="str">
        <f>IF(OR(E1178="",E1178="!!!"),"",IF(NOT(ISNA(VLOOKUP(E1178,E$1:E1177,1,FALSE()))),"OLD",IF(AND(E1178&lt;&gt;"",E1178&lt;&gt;"!!!"),"NEW","")))</f>
        <v> </v>
      </c>
      <c r="G1178" s="23" t="str">
        <f>IF(OR(E1178="",E1178="!!!"),"",IF(OR(J1178=0,AND(J1178=1,K1178=1),AND(J1178=1,I1178="SBJ"),AND(J1178=1,I1178=0)),"?IN_FOCUS",IF(J1178&lt;=2,"?ACTIVATED",IF(J1178&lt;&gt;"","?FAMILIAR",IF(F1178="NEW",IF(ISNA(VLOOKUP(E1178,#REF!,1,FALSE())),"?TYPE_IDENTIFIABLE","?REFERENTIAL"),"_")))))</f>
        <v> </v>
      </c>
      <c r="H1178" s="24" t="str">
        <f>IF(J1178&lt;&gt;1,"",IF(I1178="SBJ","CB","?"))</f>
        <v> </v>
      </c>
      <c r="I1178" s="25" t="str">
        <f>IF(OR(E1178="",E1178="!!!",F1178="NEW"),"",INDEX(B1177:B$2,-1+SUMPRODUCT(MAX(ROW(E1177:E$2)*(E1178=E1177:E$2)))))</f>
        <v> </v>
      </c>
      <c r="J1178" s="25" t="str">
        <f>IF(OR(E1178="",E1178="!!!",F1178="NEW"),"",COUNTBLANK(OFFSET(A$1,,,SUMPRODUCT(MAX(ROW(E$2:E1178)*(E1178=E$2:E1178)))))-COUNTBLANK(OFFSET(A$1,,,SUMPRODUCT(MAX(ROW(E$1:E1177)*(E2=E$1:E1177))))))</f>
        <v> </v>
      </c>
      <c r="K1178" s="25" t="str">
        <f>IF(OR(E1178="",E1178="!!!",F1178="NEW"),"",INDEX(J$1:J1177,SUMPRODUCT(MAX(ROW(E$1:E1177)*(E1178=E$1:E1177)))))</f>
        <v> </v>
      </c>
      <c r="L1178" s="26"/>
    </row>
    <row r="1179" spans="1:12">
      <c r="A1179" s="20" t="s">
        <v>743</v>
      </c>
      <c r="E1179" s="21">
        <f>IF(D1179="?OLD","!!!","")</f>
        <v/>
      </c>
      <c r="F1179" s="22" t="str">
        <f>IF(OR(E1179="",E1179="!!!"),"",IF(NOT(ISNA(VLOOKUP(E1179,E$1:E1178,1,FALSE()))),"OLD",IF(AND(E1179&lt;&gt;"",E1179&lt;&gt;"!!!"),"NEW","")))</f>
        <v> </v>
      </c>
      <c r="G1179" s="23" t="str">
        <f>IF(OR(E1179="",E1179="!!!"),"",IF(OR(J1179=0,AND(J1179=1,K1179=1),AND(J1179=1,I1179="SBJ"),AND(J1179=1,I1179=0)),"?IN_FOCUS",IF(J1179&lt;=2,"?ACTIVATED",IF(J1179&lt;&gt;"","?FAMILIAR",IF(F1179="NEW",IF(ISNA(VLOOKUP(E1179,#REF!,1,FALSE())),"?TYPE_IDENTIFIABLE","?REFERENTIAL"),"_")))))</f>
        <v> </v>
      </c>
      <c r="H1179" s="24" t="str">
        <f>IF(J1179&lt;&gt;1,"",IF(I1179="SBJ","CB","?"))</f>
        <v> </v>
      </c>
      <c r="I1179" s="25" t="str">
        <f>IF(OR(E1179="",E1179="!!!",F1179="NEW"),"",INDEX(B1178:B$2,-1+SUMPRODUCT(MAX(ROW(E1178:E$2)*(E1179=E1178:E$2)))))</f>
        <v> </v>
      </c>
      <c r="J1179" s="25" t="str">
        <f>IF(OR(E1179="",E1179="!!!",F1179="NEW"),"",COUNTBLANK(OFFSET(A$1,,,SUMPRODUCT(MAX(ROW(E$2:E1179)*(E1179=E$2:E1179)))))-COUNTBLANK(OFFSET(A$1,,,SUMPRODUCT(MAX(ROW(E$1:E1178)*(E2=E$1:E1178))))))</f>
        <v> </v>
      </c>
      <c r="K1179" s="25" t="str">
        <f>IF(OR(E1179="",E1179="!!!",F1179="NEW"),"",INDEX(J$1:J1178,SUMPRODUCT(MAX(ROW(E$1:E1178)*(E1179=E$1:E1178)))))</f>
        <v> </v>
      </c>
      <c r="L1179" s="26"/>
    </row>
    <row r="1180" spans="1:12">
      <c r="A1180" s="20" t="s">
        <v>314</v>
      </c>
      <c r="E1180" s="21">
        <f>IF(D1180="?OLD","!!!","")</f>
        <v/>
      </c>
      <c r="F1180" s="22" t="str">
        <f>IF(OR(E1180="",E1180="!!!"),"",IF(NOT(ISNA(VLOOKUP(E1180,E$1:E1179,1,FALSE()))),"OLD",IF(AND(E1180&lt;&gt;"",E1180&lt;&gt;"!!!"),"NEW","")))</f>
        <v> </v>
      </c>
      <c r="G1180" s="23" t="str">
        <f>IF(OR(E1180="",E1180="!!!"),"",IF(OR(J1180=0,AND(J1180=1,K1180=1),AND(J1180=1,I1180="SBJ"),AND(J1180=1,I1180=0)),"?IN_FOCUS",IF(J1180&lt;=2,"?ACTIVATED",IF(J1180&lt;&gt;"","?FAMILIAR",IF(F1180="NEW",IF(ISNA(VLOOKUP(E1180,#REF!,1,FALSE())),"?TYPE_IDENTIFIABLE","?REFERENTIAL"),"_")))))</f>
        <v> </v>
      </c>
      <c r="H1180" s="24" t="str">
        <f>IF(J1180&lt;&gt;1,"",IF(I1180="SBJ","CB","?"))</f>
        <v> </v>
      </c>
      <c r="I1180" s="25" t="str">
        <f>IF(OR(E1180="",E1180="!!!",F1180="NEW"),"",INDEX(B1179:B$2,-1+SUMPRODUCT(MAX(ROW(E1179:E$2)*(E1180=E1179:E$2)))))</f>
        <v> </v>
      </c>
      <c r="J1180" s="25" t="str">
        <f>IF(OR(E1180="",E1180="!!!",F1180="NEW"),"",COUNTBLANK(OFFSET(A$1,,,SUMPRODUCT(MAX(ROW(E$2:E1180)*(E1180=E$2:E1180)))))-COUNTBLANK(OFFSET(A$1,,,SUMPRODUCT(MAX(ROW(E$1:E1179)*(E2=E$1:E1179))))))</f>
        <v> </v>
      </c>
      <c r="K1180" s="25" t="str">
        <f>IF(OR(E1180="",E1180="!!!",F1180="NEW"),"",INDEX(J$1:J1179,SUMPRODUCT(MAX(ROW(E$1:E1179)*(E1180=E$1:E1179)))))</f>
        <v> </v>
      </c>
      <c r="L1180" s="26"/>
    </row>
    <row r="1181" spans="1:12">
      <c r="A1181" s="20" t="s">
        <v>742</v>
      </c>
      <c r="E1181" s="21">
        <f>IF(D1181="?OLD","!!!","")</f>
        <v/>
      </c>
      <c r="F1181" s="22" t="str">
        <f>IF(OR(E1181="",E1181="!!!"),"",IF(NOT(ISNA(VLOOKUP(E1181,E$1:E1180,1,FALSE()))),"OLD",IF(AND(E1181&lt;&gt;"",E1181&lt;&gt;"!!!"),"NEW","")))</f>
        <v> </v>
      </c>
      <c r="G1181" s="23" t="str">
        <f>IF(OR(E1181="",E1181="!!!"),"",IF(OR(J1181=0,AND(J1181=1,K1181=1),AND(J1181=1,I1181="SBJ"),AND(J1181=1,I1181=0)),"?IN_FOCUS",IF(J1181&lt;=2,"?ACTIVATED",IF(J1181&lt;&gt;"","?FAMILIAR",IF(F1181="NEW",IF(ISNA(VLOOKUP(E1181,#REF!,1,FALSE())),"?TYPE_IDENTIFIABLE","?REFERENTIAL"),"_")))))</f>
        <v> </v>
      </c>
      <c r="H1181" s="24" t="str">
        <f>IF(J1181&lt;&gt;1,"",IF(I1181="SBJ","CB","?"))</f>
        <v> </v>
      </c>
      <c r="I1181" s="25" t="str">
        <f>IF(OR(E1181="",E1181="!!!",F1181="NEW"),"",INDEX(B1180:B$2,-1+SUMPRODUCT(MAX(ROW(E1180:E$2)*(E1181=E1180:E$2)))))</f>
        <v> </v>
      </c>
      <c r="J1181" s="25" t="str">
        <f>IF(OR(E1181="",E1181="!!!",F1181="NEW"),"",COUNTBLANK(OFFSET(A$1,,,SUMPRODUCT(MAX(ROW(E$2:E1181)*(E1181=E$2:E1181)))))-COUNTBLANK(OFFSET(A$1,,,SUMPRODUCT(MAX(ROW(E$1:E1180)*(E2=E$1:E1180))))))</f>
        <v> </v>
      </c>
      <c r="K1181" s="25" t="str">
        <f>IF(OR(E1181="",E1181="!!!",F1181="NEW"),"",INDEX(J$1:J1180,SUMPRODUCT(MAX(ROW(E$1:E1180)*(E1181=E$1:E1180)))))</f>
        <v> </v>
      </c>
      <c r="L1181" s="26"/>
    </row>
    <row r="1182" spans="1:12">
      <c r="A1182" s="20" t="s">
        <v>337</v>
      </c>
      <c r="B1182" s="27" t="s">
        <v>329</v>
      </c>
      <c r="C1182" s="27" t="s">
        <v>256</v>
      </c>
      <c r="D1182" s="27" t="s">
        <v>244</v>
      </c>
      <c r="E1182" s="21">
        <f>IF(D1182="?OLD","!!!","")</f>
        <v/>
      </c>
      <c r="F1182" s="22" t="str">
        <f>IF(OR(E1182="",E1182="!!!"),"",IF(NOT(ISNA(VLOOKUP(E1182,E$1:E1181,1,FALSE()))),"OLD",IF(AND(E1182&lt;&gt;"",E1182&lt;&gt;"!!!"),"NEW","")))</f>
        <v> </v>
      </c>
      <c r="G1182" s="23" t="str">
        <f>IF(OR(E1182="",E1182="!!!"),"",IF(OR(J1182=0,AND(J1182=1,K1182=1),AND(J1182=1,I1182="SBJ"),AND(J1182=1,I1182=0)),"?IN_FOCUS",IF(J1182&lt;=2,"?ACTIVATED",IF(J1182&lt;&gt;"","?FAMILIAR",IF(F1182="NEW",IF(ISNA(VLOOKUP(E1182,#REF!,1,FALSE())),"?TYPE_IDENTIFIABLE","?REFERENTIAL"),"_")))))</f>
        <v> </v>
      </c>
      <c r="H1182" s="24" t="str">
        <f>IF(J1182&lt;&gt;1,"",IF(I1182="SBJ","CB","?"))</f>
        <v> </v>
      </c>
      <c r="I1182" s="25" t="str">
        <f>IF(OR(E1182="",E1182="!!!",F1182="NEW"),"",INDEX(B1181:B$2,-1+SUMPRODUCT(MAX(ROW(E1181:E$2)*(E1182=E1181:E$2)))))</f>
        <v> </v>
      </c>
      <c r="J1182" s="25" t="str">
        <f>IF(OR(E1182="",E1182="!!!",F1182="NEW"),"",COUNTBLANK(OFFSET(A$1,,,SUMPRODUCT(MAX(ROW(E$2:E1182)*(E1182=E$2:E1182)))))-COUNTBLANK(OFFSET(A$1,,,SUMPRODUCT(MAX(ROW(E$1:E1181)*(E2=E$1:E1181))))))</f>
        <v> </v>
      </c>
      <c r="K1182" s="25" t="str">
        <f>IF(OR(E1182="",E1182="!!!",F1182="NEW"),"",INDEX(J$1:J1181,SUMPRODUCT(MAX(ROW(E$1:E1181)*(E1182=E$1:E1181)))))</f>
        <v> </v>
      </c>
      <c r="L1182" s="26"/>
    </row>
    <row r="1183" spans="1:12">
      <c r="A1183" s="20" t="s">
        <v>744</v>
      </c>
      <c r="E1183" s="21">
        <f>IF(D1183="?OLD","!!!","")</f>
        <v/>
      </c>
      <c r="F1183" s="22" t="str">
        <f>IF(OR(E1183="",E1183="!!!"),"",IF(NOT(ISNA(VLOOKUP(E1183,E$1:E1182,1,FALSE()))),"OLD",IF(AND(E1183&lt;&gt;"",E1183&lt;&gt;"!!!"),"NEW","")))</f>
        <v> </v>
      </c>
      <c r="G1183" s="23" t="str">
        <f>IF(OR(E1183="",E1183="!!!"),"",IF(OR(J1183=0,AND(J1183=1,K1183=1),AND(J1183=1,I1183="SBJ"),AND(J1183=1,I1183=0)),"?IN_FOCUS",IF(J1183&lt;=2,"?ACTIVATED",IF(J1183&lt;&gt;"","?FAMILIAR",IF(F1183="NEW",IF(ISNA(VLOOKUP(E1183,#REF!,1,FALSE())),"?TYPE_IDENTIFIABLE","?REFERENTIAL"),"_")))))</f>
        <v> </v>
      </c>
      <c r="H1183" s="24" t="str">
        <f>IF(J1183&lt;&gt;1,"",IF(I1183="SBJ","CB","?"))</f>
        <v> </v>
      </c>
      <c r="I1183" s="25" t="str">
        <f>IF(OR(E1183="",E1183="!!!",F1183="NEW"),"",INDEX(B1182:B$2,-1+SUMPRODUCT(MAX(ROW(E1182:E$2)*(E1183=E1182:E$2)))))</f>
        <v> </v>
      </c>
      <c r="J1183" s="25" t="str">
        <f>IF(OR(E1183="",E1183="!!!",F1183="NEW"),"",COUNTBLANK(OFFSET(A$1,,,SUMPRODUCT(MAX(ROW(E$2:E1183)*(E1183=E$2:E1183)))))-COUNTBLANK(OFFSET(A$1,,,SUMPRODUCT(MAX(ROW(E$1:E1182)*(E2=E$1:E1182))))))</f>
        <v> </v>
      </c>
      <c r="K1183" s="25" t="str">
        <f>IF(OR(E1183="",E1183="!!!",F1183="NEW"),"",INDEX(J$1:J1182,SUMPRODUCT(MAX(ROW(E$1:E1182)*(E1183=E$1:E1182)))))</f>
        <v> </v>
      </c>
      <c r="L1183" s="26"/>
    </row>
    <row r="1184" spans="1:12">
      <c r="A1184" s="20" t="s">
        <v>349</v>
      </c>
      <c r="E1184" s="21">
        <f>IF(D1184="?OLD","!!!","")</f>
        <v/>
      </c>
      <c r="F1184" s="22" t="str">
        <f>IF(OR(E1184="",E1184="!!!"),"",IF(NOT(ISNA(VLOOKUP(E1184,E$1:E1183,1,FALSE()))),"OLD",IF(AND(E1184&lt;&gt;"",E1184&lt;&gt;"!!!"),"NEW","")))</f>
        <v> </v>
      </c>
      <c r="G1184" s="23" t="str">
        <f>IF(OR(E1184="",E1184="!!!"),"",IF(OR(J1184=0,AND(J1184=1,K1184=1),AND(J1184=1,I1184="SBJ"),AND(J1184=1,I1184=0)),"?IN_FOCUS",IF(J1184&lt;=2,"?ACTIVATED",IF(J1184&lt;&gt;"","?FAMILIAR",IF(F1184="NEW",IF(ISNA(VLOOKUP(E1184,#REF!,1,FALSE())),"?TYPE_IDENTIFIABLE","?REFERENTIAL"),"_")))))</f>
        <v> </v>
      </c>
      <c r="H1184" s="24" t="str">
        <f>IF(J1184&lt;&gt;1,"",IF(I1184="SBJ","CB","?"))</f>
        <v> </v>
      </c>
      <c r="I1184" s="25" t="str">
        <f>IF(OR(E1184="",E1184="!!!",F1184="NEW"),"",INDEX(B1183:B$2,-1+SUMPRODUCT(MAX(ROW(E1183:E$2)*(E1184=E1183:E$2)))))</f>
        <v> </v>
      </c>
      <c r="J1184" s="25" t="str">
        <f>IF(OR(E1184="",E1184="!!!",F1184="NEW"),"",COUNTBLANK(OFFSET(A$1,,,SUMPRODUCT(MAX(ROW(E$2:E1184)*(E1184=E$2:E1184)))))-COUNTBLANK(OFFSET(A$1,,,SUMPRODUCT(MAX(ROW(E$1:E1183)*(E2=E$1:E1183))))))</f>
        <v> </v>
      </c>
      <c r="K1184" s="25" t="str">
        <f>IF(OR(E1184="",E1184="!!!",F1184="NEW"),"",INDEX(J$1:J1183,SUMPRODUCT(MAX(ROW(E$1:E1183)*(E1184=E$1:E1183)))))</f>
        <v> </v>
      </c>
      <c r="L1184" s="26"/>
    </row>
    <row r="1185" spans="1:12">
      <c r="A1185" s="20" t="s">
        <v>365</v>
      </c>
      <c r="E1185" s="21">
        <f>IF(D1185="?OLD","!!!","")</f>
        <v/>
      </c>
      <c r="F1185" s="22" t="str">
        <f>IF(OR(E1185="",E1185="!!!"),"",IF(NOT(ISNA(VLOOKUP(E1185,E$1:E1184,1,FALSE()))),"OLD",IF(AND(E1185&lt;&gt;"",E1185&lt;&gt;"!!!"),"NEW","")))</f>
        <v> </v>
      </c>
      <c r="G1185" s="23" t="str">
        <f>IF(OR(E1185="",E1185="!!!"),"",IF(OR(J1185=0,AND(J1185=1,K1185=1),AND(J1185=1,I1185="SBJ"),AND(J1185=1,I1185=0)),"?IN_FOCUS",IF(J1185&lt;=2,"?ACTIVATED",IF(J1185&lt;&gt;"","?FAMILIAR",IF(F1185="NEW",IF(ISNA(VLOOKUP(E1185,#REF!,1,FALSE())),"?TYPE_IDENTIFIABLE","?REFERENTIAL"),"_")))))</f>
        <v> </v>
      </c>
      <c r="H1185" s="24" t="str">
        <f>IF(J1185&lt;&gt;1,"",IF(I1185="SBJ","CB","?"))</f>
        <v> </v>
      </c>
      <c r="I1185" s="25" t="str">
        <f>IF(OR(E1185="",E1185="!!!",F1185="NEW"),"",INDEX(B1184:B$2,-1+SUMPRODUCT(MAX(ROW(E1184:E$2)*(E1185=E1184:E$2)))))</f>
        <v> </v>
      </c>
      <c r="J1185" s="25" t="str">
        <f>IF(OR(E1185="",E1185="!!!",F1185="NEW"),"",COUNTBLANK(OFFSET(A$1,,,SUMPRODUCT(MAX(ROW(E$2:E1185)*(E1185=E$2:E1185)))))-COUNTBLANK(OFFSET(A$1,,,SUMPRODUCT(MAX(ROW(E$1:E1184)*(E2=E$1:E1184))))))</f>
        <v> </v>
      </c>
      <c r="K1185" s="25" t="str">
        <f>IF(OR(E1185="",E1185="!!!",F1185="NEW"),"",INDEX(J$1:J1184,SUMPRODUCT(MAX(ROW(E$1:E1184)*(E1185=E$1:E1184)))))</f>
        <v> </v>
      </c>
      <c r="L1185" s="26"/>
    </row>
    <row r="1186" spans="1:12">
      <c r="A1186" s="20" t="s">
        <v>285</v>
      </c>
      <c r="E1186" s="21">
        <f>IF(D1186="?OLD","!!!","")</f>
        <v/>
      </c>
      <c r="F1186" s="22" t="str">
        <f>IF(OR(E1186="",E1186="!!!"),"",IF(NOT(ISNA(VLOOKUP(E1186,E$1:E1185,1,FALSE()))),"OLD",IF(AND(E1186&lt;&gt;"",E1186&lt;&gt;"!!!"),"NEW","")))</f>
        <v> </v>
      </c>
      <c r="G1186" s="23" t="str">
        <f>IF(OR(E1186="",E1186="!!!"),"",IF(OR(J1186=0,AND(J1186=1,K1186=1),AND(J1186=1,I1186="SBJ"),AND(J1186=1,I1186=0)),"?IN_FOCUS",IF(J1186&lt;=2,"?ACTIVATED",IF(J1186&lt;&gt;"","?FAMILIAR",IF(F1186="NEW",IF(ISNA(VLOOKUP(E1186,#REF!,1,FALSE())),"?TYPE_IDENTIFIABLE","?REFERENTIAL"),"_")))))</f>
        <v> </v>
      </c>
      <c r="H1186" s="24" t="str">
        <f>IF(J1186&lt;&gt;1,"",IF(I1186="SBJ","CB","?"))</f>
        <v> </v>
      </c>
      <c r="I1186" s="25" t="str">
        <f>IF(OR(E1186="",E1186="!!!",F1186="NEW"),"",INDEX(B1185:B$2,-1+SUMPRODUCT(MAX(ROW(E1185:E$2)*(E1186=E1185:E$2)))))</f>
        <v> </v>
      </c>
      <c r="J1186" s="25" t="str">
        <f>IF(OR(E1186="",E1186="!!!",F1186="NEW"),"",COUNTBLANK(OFFSET(A$1,,,SUMPRODUCT(MAX(ROW(E$2:E1186)*(E1186=E$2:E1186)))))-COUNTBLANK(OFFSET(A$1,,,SUMPRODUCT(MAX(ROW(E$1:E1185)*(E2=E$1:E1185))))))</f>
        <v> </v>
      </c>
      <c r="K1186" s="25" t="str">
        <f>IF(OR(E1186="",E1186="!!!",F1186="NEW"),"",INDEX(J$1:J1185,SUMPRODUCT(MAX(ROW(E$1:E1185)*(E1186=E$1:E1185)))))</f>
        <v> </v>
      </c>
      <c r="L1186" s="26"/>
    </row>
    <row r="1187" spans="1:12">
      <c r="A1187" s="20"/>
    </row>
    <row r="1188" spans="1:12">
      <c r="A1188" s="20" t="s">
        <v>745</v>
      </c>
    </row>
    <row r="1189" spans="1:12">
      <c r="A1189" s="20" t="s">
        <v>616</v>
      </c>
      <c r="B1189" s="27" t="s">
        <v>255</v>
      </c>
      <c r="C1189" s="27" t="s">
        <v>281</v>
      </c>
      <c r="E1189" s="21">
        <f>IF(D1189="?OLD","!!!","")</f>
        <v/>
      </c>
      <c r="F1189" s="22" t="str">
        <f>IF(OR(E1189="",E1189="!!!"),"",IF(NOT(ISNA(VLOOKUP(E1189,E$1:E1188,1,FALSE()))),"OLD",IF(AND(E1189&lt;&gt;"",E1189&lt;&gt;"!!!"),"NEW","")))</f>
        <v> </v>
      </c>
      <c r="G1189" s="23" t="str">
        <f>IF(OR(E1189="",E1189="!!!"),"",IF(OR(J1189=0,AND(J1189=1,K1189=1),AND(J1189=1,I1189="SBJ"),AND(J1189=1,I1189=0)),"?IN_FOCUS",IF(J1189&lt;=2,"?ACTIVATED",IF(J1189&lt;&gt;"","?FAMILIAR",IF(F1189="NEW",IF(ISNA(VLOOKUP(E1189,#REF!,1,FALSE())),"?TYPE_IDENTIFIABLE","?REFERENTIAL"),"_")))))</f>
        <v> </v>
      </c>
      <c r="H1189" s="24" t="str">
        <f>IF(J1189&lt;&gt;1,"",IF(I1189="SBJ","CB","?"))</f>
        <v> </v>
      </c>
      <c r="I1189" s="25" t="str">
        <f>IF(OR(E1189="",E1189="!!!",F1189="NEW"),"",INDEX(B1188:B$2,-1+SUMPRODUCT(MAX(ROW(E1188:E$2)*(E1189=E1188:E$2)))))</f>
        <v> </v>
      </c>
      <c r="J1189" s="25" t="str">
        <f>IF(OR(E1189="",E1189="!!!",F1189="NEW"),"",COUNTBLANK(OFFSET(A$1,,,SUMPRODUCT(MAX(ROW(E$2:E1189)*(E1189=E$2:E1189)))))-COUNTBLANK(OFFSET(A$1,,,SUMPRODUCT(MAX(ROW(E$1:E1188)*(E2=E$1:E1188))))))</f>
        <v> </v>
      </c>
      <c r="K1189" s="25" t="str">
        <f>IF(OR(E1189="",E1189="!!!",F1189="NEW"),"",INDEX(J$1:J1188,SUMPRODUCT(MAX(ROW(E$1:E1188)*(E1189=E$1:E1188)))))</f>
        <v> </v>
      </c>
      <c r="L1189" s="26"/>
    </row>
    <row r="1190" spans="1:12">
      <c r="A1190" s="20" t="s">
        <v>391</v>
      </c>
      <c r="E1190" s="21">
        <f>IF(D1190="?OLD","!!!","")</f>
        <v/>
      </c>
      <c r="F1190" s="22" t="str">
        <f>IF(OR(E1190="",E1190="!!!"),"",IF(NOT(ISNA(VLOOKUP(E1190,E$1:E1189,1,FALSE()))),"OLD",IF(AND(E1190&lt;&gt;"",E1190&lt;&gt;"!!!"),"NEW","")))</f>
        <v> </v>
      </c>
      <c r="G1190" s="23" t="str">
        <f>IF(OR(E1190="",E1190="!!!"),"",IF(OR(J1190=0,AND(J1190=1,K1190=1),AND(J1190=1,I1190="SBJ"),AND(J1190=1,I1190=0)),"?IN_FOCUS",IF(J1190&lt;=2,"?ACTIVATED",IF(J1190&lt;&gt;"","?FAMILIAR",IF(F1190="NEW",IF(ISNA(VLOOKUP(E1190,#REF!,1,FALSE())),"?TYPE_IDENTIFIABLE","?REFERENTIAL"),"_")))))</f>
        <v> </v>
      </c>
      <c r="H1190" s="24" t="str">
        <f>IF(J1190&lt;&gt;1,"",IF(I1190="SBJ","CB","?"))</f>
        <v> </v>
      </c>
      <c r="I1190" s="25" t="str">
        <f>IF(OR(E1190="",E1190="!!!",F1190="NEW"),"",INDEX(B1189:B$2,-1+SUMPRODUCT(MAX(ROW(E1189:E$2)*(E1190=E1189:E$2)))))</f>
        <v> </v>
      </c>
      <c r="J1190" s="25" t="str">
        <f>IF(OR(E1190="",E1190="!!!",F1190="NEW"),"",COUNTBLANK(OFFSET(A$1,,,SUMPRODUCT(MAX(ROW(E$2:E1190)*(E1190=E$2:E1190)))))-COUNTBLANK(OFFSET(A$1,,,SUMPRODUCT(MAX(ROW(E$1:E1189)*(E2=E$1:E1189))))))</f>
        <v> </v>
      </c>
      <c r="K1190" s="25" t="str">
        <f>IF(OR(E1190="",E1190="!!!",F1190="NEW"),"",INDEX(J$1:J1189,SUMPRODUCT(MAX(ROW(E$1:E1189)*(E1190=E$1:E1189)))))</f>
        <v> </v>
      </c>
      <c r="L1190" s="26"/>
    </row>
    <row r="1191" spans="1:12">
      <c r="A1191" s="20" t="s">
        <v>587</v>
      </c>
      <c r="E1191" s="21">
        <f>IF(D1191="?OLD","!!!","")</f>
        <v/>
      </c>
      <c r="F1191" s="22" t="str">
        <f>IF(OR(E1191="",E1191="!!!"),"",IF(NOT(ISNA(VLOOKUP(E1191,E$1:E1190,1,FALSE()))),"OLD",IF(AND(E1191&lt;&gt;"",E1191&lt;&gt;"!!!"),"NEW","")))</f>
        <v> </v>
      </c>
      <c r="G1191" s="23" t="str">
        <f>IF(OR(E1191="",E1191="!!!"),"",IF(OR(J1191=0,AND(J1191=1,K1191=1),AND(J1191=1,I1191="SBJ"),AND(J1191=1,I1191=0)),"?IN_FOCUS",IF(J1191&lt;=2,"?ACTIVATED",IF(J1191&lt;&gt;"","?FAMILIAR",IF(F1191="NEW",IF(ISNA(VLOOKUP(E1191,#REF!,1,FALSE())),"?TYPE_IDENTIFIABLE","?REFERENTIAL"),"_")))))</f>
        <v> </v>
      </c>
      <c r="H1191" s="24" t="str">
        <f>IF(J1191&lt;&gt;1,"",IF(I1191="SBJ","CB","?"))</f>
        <v> </v>
      </c>
      <c r="I1191" s="25" t="str">
        <f>IF(OR(E1191="",E1191="!!!",F1191="NEW"),"",INDEX(B1190:B$2,-1+SUMPRODUCT(MAX(ROW(E1190:E$2)*(E1191=E1190:E$2)))))</f>
        <v> </v>
      </c>
      <c r="J1191" s="25" t="str">
        <f>IF(OR(E1191="",E1191="!!!",F1191="NEW"),"",COUNTBLANK(OFFSET(A$1,,,SUMPRODUCT(MAX(ROW(E$2:E1191)*(E1191=E$2:E1191)))))-COUNTBLANK(OFFSET(A$1,,,SUMPRODUCT(MAX(ROW(E$1:E1190)*(E2=E$1:E1190))))))</f>
        <v> </v>
      </c>
      <c r="K1191" s="25" t="str">
        <f>IF(OR(E1191="",E1191="!!!",F1191="NEW"),"",INDEX(J$1:J1190,SUMPRODUCT(MAX(ROW(E$1:E1190)*(E1191=E$1:E1190)))))</f>
        <v> </v>
      </c>
      <c r="L1191" s="26"/>
    </row>
    <row r="1192" spans="1:12">
      <c r="A1192" s="20" t="s">
        <v>746</v>
      </c>
      <c r="E1192" s="21">
        <f>IF(D1192="?OLD","!!!","")</f>
        <v/>
      </c>
      <c r="F1192" s="22" t="str">
        <f>IF(OR(E1192="",E1192="!!!"),"",IF(NOT(ISNA(VLOOKUP(E1192,E$1:E1191,1,FALSE()))),"OLD",IF(AND(E1192&lt;&gt;"",E1192&lt;&gt;"!!!"),"NEW","")))</f>
        <v> </v>
      </c>
      <c r="G1192" s="23" t="str">
        <f>IF(OR(E1192="",E1192="!!!"),"",IF(OR(J1192=0,AND(J1192=1,K1192=1),AND(J1192=1,I1192="SBJ"),AND(J1192=1,I1192=0)),"?IN_FOCUS",IF(J1192&lt;=2,"?ACTIVATED",IF(J1192&lt;&gt;"","?FAMILIAR",IF(F1192="NEW",IF(ISNA(VLOOKUP(E1192,#REF!,1,FALSE())),"?TYPE_IDENTIFIABLE","?REFERENTIAL"),"_")))))</f>
        <v> </v>
      </c>
      <c r="H1192" s="24" t="str">
        <f>IF(J1192&lt;&gt;1,"",IF(I1192="SBJ","CB","?"))</f>
        <v> </v>
      </c>
      <c r="I1192" s="25" t="str">
        <f>IF(OR(E1192="",E1192="!!!",F1192="NEW"),"",INDEX(B1191:B$2,-1+SUMPRODUCT(MAX(ROW(E1191:E$2)*(E1192=E1191:E$2)))))</f>
        <v> </v>
      </c>
      <c r="J1192" s="25" t="str">
        <f>IF(OR(E1192="",E1192="!!!",F1192="NEW"),"",COUNTBLANK(OFFSET(A$1,,,SUMPRODUCT(MAX(ROW(E$2:E1192)*(E1192=E$2:E1192)))))-COUNTBLANK(OFFSET(A$1,,,SUMPRODUCT(MAX(ROW(E$1:E1191)*(E2=E$1:E1191))))))</f>
        <v> </v>
      </c>
      <c r="K1192" s="25" t="str">
        <f>IF(OR(E1192="",E1192="!!!",F1192="NEW"),"",INDEX(J$1:J1191,SUMPRODUCT(MAX(ROW(E$1:E1191)*(E1192=E$1:E1191)))))</f>
        <v> </v>
      </c>
      <c r="L1192" s="26"/>
    </row>
    <row r="1193" spans="1:12">
      <c r="A1193" s="20" t="s">
        <v>360</v>
      </c>
      <c r="E1193" s="21">
        <f>IF(D1193="?OLD","!!!","")</f>
        <v/>
      </c>
      <c r="F1193" s="22" t="str">
        <f>IF(OR(E1193="",E1193="!!!"),"",IF(NOT(ISNA(VLOOKUP(E1193,E$1:E1192,1,FALSE()))),"OLD",IF(AND(E1193&lt;&gt;"",E1193&lt;&gt;"!!!"),"NEW","")))</f>
        <v> </v>
      </c>
      <c r="G1193" s="23" t="str">
        <f>IF(OR(E1193="",E1193="!!!"),"",IF(OR(J1193=0,AND(J1193=1,K1193=1),AND(J1193=1,I1193="SBJ"),AND(J1193=1,I1193=0)),"?IN_FOCUS",IF(J1193&lt;=2,"?ACTIVATED",IF(J1193&lt;&gt;"","?FAMILIAR",IF(F1193="NEW",IF(ISNA(VLOOKUP(E1193,#REF!,1,FALSE())),"?TYPE_IDENTIFIABLE","?REFERENTIAL"),"_")))))</f>
        <v> </v>
      </c>
      <c r="H1193" s="24" t="str">
        <f>IF(J1193&lt;&gt;1,"",IF(I1193="SBJ","CB","?"))</f>
        <v> </v>
      </c>
      <c r="I1193" s="25" t="str">
        <f>IF(OR(E1193="",E1193="!!!",F1193="NEW"),"",INDEX(B1192:B$2,-1+SUMPRODUCT(MAX(ROW(E1192:E$2)*(E1193=E1192:E$2)))))</f>
        <v> </v>
      </c>
      <c r="J1193" s="25" t="str">
        <f>IF(OR(E1193="",E1193="!!!",F1193="NEW"),"",COUNTBLANK(OFFSET(A$1,,,SUMPRODUCT(MAX(ROW(E$2:E1193)*(E1193=E$2:E1193)))))-COUNTBLANK(OFFSET(A$1,,,SUMPRODUCT(MAX(ROW(E$1:E1192)*(E2=E$1:E1192))))))</f>
        <v> </v>
      </c>
      <c r="K1193" s="25" t="str">
        <f>IF(OR(E1193="",E1193="!!!",F1193="NEW"),"",INDEX(J$1:J1192,SUMPRODUCT(MAX(ROW(E$1:E1192)*(E1193=E$1:E1192)))))</f>
        <v> </v>
      </c>
      <c r="L1193" s="26"/>
    </row>
    <row r="1194" spans="1:12">
      <c r="A1194" s="20" t="s">
        <v>455</v>
      </c>
      <c r="B1194" s="27" t="s">
        <v>272</v>
      </c>
      <c r="C1194" s="27" t="s">
        <v>263</v>
      </c>
      <c r="D1194" s="27" t="s">
        <v>244</v>
      </c>
      <c r="E1194" s="21">
        <f>IF(D1194="?OLD","!!!","")</f>
        <v/>
      </c>
      <c r="F1194" s="22" t="str">
        <f>IF(OR(E1194="",E1194="!!!"),"",IF(NOT(ISNA(VLOOKUP(E1194,E$1:E1193,1,FALSE()))),"OLD",IF(AND(E1194&lt;&gt;"",E1194&lt;&gt;"!!!"),"NEW","")))</f>
        <v> </v>
      </c>
      <c r="G1194" s="23" t="str">
        <f>IF(OR(E1194="",E1194="!!!"),"",IF(OR(J1194=0,AND(J1194=1,K1194=1),AND(J1194=1,I1194="SBJ"),AND(J1194=1,I1194=0)),"?IN_FOCUS",IF(J1194&lt;=2,"?ACTIVATED",IF(J1194&lt;&gt;"","?FAMILIAR",IF(F1194="NEW",IF(ISNA(VLOOKUP(E1194,#REF!,1,FALSE())),"?TYPE_IDENTIFIABLE","?REFERENTIAL"),"_")))))</f>
        <v> </v>
      </c>
      <c r="H1194" s="24" t="str">
        <f>IF(J1194&lt;&gt;1,"",IF(I1194="SBJ","CB","?"))</f>
        <v> </v>
      </c>
      <c r="I1194" s="25" t="str">
        <f>IF(OR(E1194="",E1194="!!!",F1194="NEW"),"",INDEX(B1193:B$2,-1+SUMPRODUCT(MAX(ROW(E1193:E$2)*(E1194=E1193:E$2)))))</f>
        <v> </v>
      </c>
      <c r="J1194" s="25" t="str">
        <f>IF(OR(E1194="",E1194="!!!",F1194="NEW"),"",COUNTBLANK(OFFSET(A$1,,,SUMPRODUCT(MAX(ROW(E$2:E1194)*(E1194=E$2:E1194)))))-COUNTBLANK(OFFSET(A$1,,,SUMPRODUCT(MAX(ROW(E$1:E1193)*(E2=E$1:E1193))))))</f>
        <v> </v>
      </c>
      <c r="K1194" s="25" t="str">
        <f>IF(OR(E1194="",E1194="!!!",F1194="NEW"),"",INDEX(J$1:J1193,SUMPRODUCT(MAX(ROW(E$1:E1193)*(E1194=E$1:E1193)))))</f>
        <v> </v>
      </c>
      <c r="L1194" s="26"/>
    </row>
    <row r="1195" spans="1:12">
      <c r="A1195" s="20" t="s">
        <v>747</v>
      </c>
      <c r="B1195" s="27" t="s">
        <v>291</v>
      </c>
      <c r="C1195" s="27" t="s">
        <v>267</v>
      </c>
      <c r="D1195" s="27" t="s">
        <v>244</v>
      </c>
      <c r="E1195" s="21">
        <f>IF(D1195="?OLD","!!!","")</f>
        <v/>
      </c>
      <c r="F1195" s="22" t="str">
        <f>IF(OR(E1195="",E1195="!!!"),"",IF(NOT(ISNA(VLOOKUP(E1195,E$1:E1194,1,FALSE()))),"OLD",IF(AND(E1195&lt;&gt;"",E1195&lt;&gt;"!!!"),"NEW","")))</f>
        <v> </v>
      </c>
      <c r="G1195" s="23" t="str">
        <f>IF(OR(E1195="",E1195="!!!"),"",IF(OR(J1195=0,AND(J1195=1,K1195=1),AND(J1195=1,I1195="SBJ"),AND(J1195=1,I1195=0)),"?IN_FOCUS",IF(J1195&lt;=2,"?ACTIVATED",IF(J1195&lt;&gt;"","?FAMILIAR",IF(F1195="NEW",IF(ISNA(VLOOKUP(E1195,#REF!,1,FALSE())),"?TYPE_IDENTIFIABLE","?REFERENTIAL"),"_")))))</f>
        <v> </v>
      </c>
      <c r="H1195" s="24" t="str">
        <f>IF(J1195&lt;&gt;1,"",IF(I1195="SBJ","CB","?"))</f>
        <v> </v>
      </c>
      <c r="I1195" s="25" t="str">
        <f>IF(OR(E1195="",E1195="!!!",F1195="NEW"),"",INDEX(B1194:B$2,-1+SUMPRODUCT(MAX(ROW(E1194:E$2)*(E1195=E1194:E$2)))))</f>
        <v> </v>
      </c>
      <c r="J1195" s="25" t="str">
        <f>IF(OR(E1195="",E1195="!!!",F1195="NEW"),"",COUNTBLANK(OFFSET(A$1,,,SUMPRODUCT(MAX(ROW(E$2:E1195)*(E1195=E$2:E1195)))))-COUNTBLANK(OFFSET(A$1,,,SUMPRODUCT(MAX(ROW(E$1:E1194)*(E2=E$1:E1194))))))</f>
        <v> </v>
      </c>
      <c r="K1195" s="25" t="str">
        <f>IF(OR(E1195="",E1195="!!!",F1195="NEW"),"",INDEX(J$1:J1194,SUMPRODUCT(MAX(ROW(E$1:E1194)*(E1195=E$1:E1194)))))</f>
        <v> </v>
      </c>
      <c r="L1195" s="26"/>
    </row>
    <row r="1196" spans="1:12">
      <c r="A1196" s="20" t="s">
        <v>314</v>
      </c>
      <c r="E1196" s="21">
        <f>IF(D1196="?OLD","!!!","")</f>
        <v/>
      </c>
      <c r="F1196" s="22" t="str">
        <f>IF(OR(E1196="",E1196="!!!"),"",IF(NOT(ISNA(VLOOKUP(E1196,E$1:E1195,1,FALSE()))),"OLD",IF(AND(E1196&lt;&gt;"",E1196&lt;&gt;"!!!"),"NEW","")))</f>
        <v> </v>
      </c>
      <c r="G1196" s="23" t="str">
        <f>IF(OR(E1196="",E1196="!!!"),"",IF(OR(J1196=0,AND(J1196=1,K1196=1),AND(J1196=1,I1196="SBJ"),AND(J1196=1,I1196=0)),"?IN_FOCUS",IF(J1196&lt;=2,"?ACTIVATED",IF(J1196&lt;&gt;"","?FAMILIAR",IF(F1196="NEW",IF(ISNA(VLOOKUP(E1196,#REF!,1,FALSE())),"?TYPE_IDENTIFIABLE","?REFERENTIAL"),"_")))))</f>
        <v> </v>
      </c>
      <c r="H1196" s="24" t="str">
        <f>IF(J1196&lt;&gt;1,"",IF(I1196="SBJ","CB","?"))</f>
        <v> </v>
      </c>
      <c r="I1196" s="25" t="str">
        <f>IF(OR(E1196="",E1196="!!!",F1196="NEW"),"",INDEX(B1195:B$2,-1+SUMPRODUCT(MAX(ROW(E1195:E$2)*(E1196=E1195:E$2)))))</f>
        <v> </v>
      </c>
      <c r="J1196" s="25" t="str">
        <f>IF(OR(E1196="",E1196="!!!",F1196="NEW"),"",COUNTBLANK(OFFSET(A$1,,,SUMPRODUCT(MAX(ROW(E$2:E1196)*(E1196=E$2:E1196)))))-COUNTBLANK(OFFSET(A$1,,,SUMPRODUCT(MAX(ROW(E$1:E1195)*(E2=E$1:E1195))))))</f>
        <v> </v>
      </c>
      <c r="K1196" s="25" t="str">
        <f>IF(OR(E1196="",E1196="!!!",F1196="NEW"),"",INDEX(J$1:J1195,SUMPRODUCT(MAX(ROW(E$1:E1195)*(E1196=E$1:E1195)))))</f>
        <v> </v>
      </c>
      <c r="L1196" s="26"/>
    </row>
    <row r="1197" spans="1:12">
      <c r="A1197" s="20" t="s">
        <v>345</v>
      </c>
      <c r="E1197" s="21">
        <f>IF(D1197="?OLD","!!!","")</f>
        <v/>
      </c>
      <c r="F1197" s="22" t="str">
        <f>IF(OR(E1197="",E1197="!!!"),"",IF(NOT(ISNA(VLOOKUP(E1197,E$1:E1196,1,FALSE()))),"OLD",IF(AND(E1197&lt;&gt;"",E1197&lt;&gt;"!!!"),"NEW","")))</f>
        <v> </v>
      </c>
      <c r="G1197" s="23" t="str">
        <f>IF(OR(E1197="",E1197="!!!"),"",IF(OR(J1197=0,AND(J1197=1,K1197=1),AND(J1197=1,I1197="SBJ"),AND(J1197=1,I1197=0)),"?IN_FOCUS",IF(J1197&lt;=2,"?ACTIVATED",IF(J1197&lt;&gt;"","?FAMILIAR",IF(F1197="NEW",IF(ISNA(VLOOKUP(E1197,#REF!,1,FALSE())),"?TYPE_IDENTIFIABLE","?REFERENTIAL"),"_")))))</f>
        <v> </v>
      </c>
      <c r="H1197" s="24" t="str">
        <f>IF(J1197&lt;&gt;1,"",IF(I1197="SBJ","CB","?"))</f>
        <v> </v>
      </c>
      <c r="I1197" s="25" t="str">
        <f>IF(OR(E1197="",E1197="!!!",F1197="NEW"),"",INDEX(B1196:B$2,-1+SUMPRODUCT(MAX(ROW(E1196:E$2)*(E1197=E1196:E$2)))))</f>
        <v> </v>
      </c>
      <c r="J1197" s="25" t="str">
        <f>IF(OR(E1197="",E1197="!!!",F1197="NEW"),"",COUNTBLANK(OFFSET(A$1,,,SUMPRODUCT(MAX(ROW(E$2:E1197)*(E1197=E$2:E1197)))))-COUNTBLANK(OFFSET(A$1,,,SUMPRODUCT(MAX(ROW(E$1:E1196)*(E2=E$1:E1196))))))</f>
        <v> </v>
      </c>
      <c r="K1197" s="25" t="str">
        <f>IF(OR(E1197="",E1197="!!!",F1197="NEW"),"",INDEX(J$1:J1196,SUMPRODUCT(MAX(ROW(E$1:E1196)*(E1197=E$1:E1196)))))</f>
        <v> </v>
      </c>
      <c r="L1197" s="26"/>
    </row>
    <row r="1198" spans="1:12">
      <c r="A1198" s="20" t="s">
        <v>360</v>
      </c>
      <c r="E1198" s="21">
        <f>IF(D1198="?OLD","!!!","")</f>
        <v/>
      </c>
      <c r="F1198" s="22" t="str">
        <f>IF(OR(E1198="",E1198="!!!"),"",IF(NOT(ISNA(VLOOKUP(E1198,E$1:E1197,1,FALSE()))),"OLD",IF(AND(E1198&lt;&gt;"",E1198&lt;&gt;"!!!"),"NEW","")))</f>
        <v> </v>
      </c>
      <c r="G1198" s="23" t="str">
        <f>IF(OR(E1198="",E1198="!!!"),"",IF(OR(J1198=0,AND(J1198=1,K1198=1),AND(J1198=1,I1198="SBJ"),AND(J1198=1,I1198=0)),"?IN_FOCUS",IF(J1198&lt;=2,"?ACTIVATED",IF(J1198&lt;&gt;"","?FAMILIAR",IF(F1198="NEW",IF(ISNA(VLOOKUP(E1198,#REF!,1,FALSE())),"?TYPE_IDENTIFIABLE","?REFERENTIAL"),"_")))))</f>
        <v> </v>
      </c>
      <c r="H1198" s="24" t="str">
        <f>IF(J1198&lt;&gt;1,"",IF(I1198="SBJ","CB","?"))</f>
        <v> </v>
      </c>
      <c r="I1198" s="25" t="str">
        <f>IF(OR(E1198="",E1198="!!!",F1198="NEW"),"",INDEX(B1197:B$2,-1+SUMPRODUCT(MAX(ROW(E1197:E$2)*(E1198=E1197:E$2)))))</f>
        <v> </v>
      </c>
      <c r="J1198" s="25" t="str">
        <f>IF(OR(E1198="",E1198="!!!",F1198="NEW"),"",COUNTBLANK(OFFSET(A$1,,,SUMPRODUCT(MAX(ROW(E$2:E1198)*(E1198=E$2:E1198)))))-COUNTBLANK(OFFSET(A$1,,,SUMPRODUCT(MAX(ROW(E$1:E1197)*(E2=E$1:E1197))))))</f>
        <v> </v>
      </c>
      <c r="K1198" s="25" t="str">
        <f>IF(OR(E1198="",E1198="!!!",F1198="NEW"),"",INDEX(J$1:J1197,SUMPRODUCT(MAX(ROW(E$1:E1197)*(E1198=E$1:E1197)))))</f>
        <v> </v>
      </c>
      <c r="L1198" s="26"/>
    </row>
    <row r="1199" spans="1:12">
      <c r="A1199" s="20" t="s">
        <v>248</v>
      </c>
      <c r="E1199" s="21">
        <f>IF(D1199="?OLD","!!!","")</f>
        <v/>
      </c>
      <c r="F1199" s="22" t="str">
        <f>IF(OR(E1199="",E1199="!!!"),"",IF(NOT(ISNA(VLOOKUP(E1199,E$1:E1198,1,FALSE()))),"OLD",IF(AND(E1199&lt;&gt;"",E1199&lt;&gt;"!!!"),"NEW","")))</f>
        <v> </v>
      </c>
      <c r="G1199" s="23" t="str">
        <f>IF(OR(E1199="",E1199="!!!"),"",IF(OR(J1199=0,AND(J1199=1,K1199=1),AND(J1199=1,I1199="SBJ"),AND(J1199=1,I1199=0)),"?IN_FOCUS",IF(J1199&lt;=2,"?ACTIVATED",IF(J1199&lt;&gt;"","?FAMILIAR",IF(F1199="NEW",IF(ISNA(VLOOKUP(E1199,#REF!,1,FALSE())),"?TYPE_IDENTIFIABLE","?REFERENTIAL"),"_")))))</f>
        <v> </v>
      </c>
      <c r="H1199" s="24" t="str">
        <f>IF(J1199&lt;&gt;1,"",IF(I1199="SBJ","CB","?"))</f>
        <v> </v>
      </c>
      <c r="I1199" s="25" t="str">
        <f>IF(OR(E1199="",E1199="!!!",F1199="NEW"),"",INDEX(B1198:B$2,-1+SUMPRODUCT(MAX(ROW(E1198:E$2)*(E1199=E1198:E$2)))))</f>
        <v> </v>
      </c>
      <c r="J1199" s="25" t="str">
        <f>IF(OR(E1199="",E1199="!!!",F1199="NEW"),"",COUNTBLANK(OFFSET(A$1,,,SUMPRODUCT(MAX(ROW(E$2:E1199)*(E1199=E$2:E1199)))))-COUNTBLANK(OFFSET(A$1,,,SUMPRODUCT(MAX(ROW(E$1:E1198)*(E2=E$1:E1198))))))</f>
        <v> </v>
      </c>
      <c r="K1199" s="25" t="str">
        <f>IF(OR(E1199="",E1199="!!!",F1199="NEW"),"",INDEX(J$1:J1198,SUMPRODUCT(MAX(ROW(E$1:E1198)*(E1199=E$1:E1198)))))</f>
        <v> </v>
      </c>
      <c r="L1199" s="26"/>
    </row>
    <row r="1200" spans="1:12">
      <c r="A1200" s="20" t="s">
        <v>748</v>
      </c>
      <c r="B1200" s="27" t="s">
        <v>291</v>
      </c>
      <c r="C1200" s="27" t="s">
        <v>252</v>
      </c>
      <c r="D1200" s="27" t="s">
        <v>244</v>
      </c>
      <c r="E1200" s="21">
        <f>IF(D1200="?OLD","!!!","")</f>
        <v/>
      </c>
      <c r="F1200" s="22" t="str">
        <f>IF(OR(E1200="",E1200="!!!"),"",IF(NOT(ISNA(VLOOKUP(E1200,E$1:E1199,1,FALSE()))),"OLD",IF(AND(E1200&lt;&gt;"",E1200&lt;&gt;"!!!"),"NEW","")))</f>
        <v> </v>
      </c>
      <c r="G1200" s="23" t="str">
        <f>IF(OR(E1200="",E1200="!!!"),"",IF(OR(J1200=0,AND(J1200=1,K1200=1),AND(J1200=1,I1200="SBJ"),AND(J1200=1,I1200=0)),"?IN_FOCUS",IF(J1200&lt;=2,"?ACTIVATED",IF(J1200&lt;&gt;"","?FAMILIAR",IF(F1200="NEW",IF(ISNA(VLOOKUP(E1200,#REF!,1,FALSE())),"?TYPE_IDENTIFIABLE","?REFERENTIAL"),"_")))))</f>
        <v> </v>
      </c>
      <c r="H1200" s="24" t="str">
        <f>IF(J1200&lt;&gt;1,"",IF(I1200="SBJ","CB","?"))</f>
        <v> </v>
      </c>
      <c r="I1200" s="25" t="str">
        <f>IF(OR(E1200="",E1200="!!!",F1200="NEW"),"",INDEX(B1199:B$2,-1+SUMPRODUCT(MAX(ROW(E1199:E$2)*(E1200=E1199:E$2)))))</f>
        <v> </v>
      </c>
      <c r="J1200" s="25" t="str">
        <f>IF(OR(E1200="",E1200="!!!",F1200="NEW"),"",COUNTBLANK(OFFSET(A$1,,,SUMPRODUCT(MAX(ROW(E$2:E1200)*(E1200=E$2:E1200)))))-COUNTBLANK(OFFSET(A$1,,,SUMPRODUCT(MAX(ROW(E$1:E1199)*(E2=E$1:E1199))))))</f>
        <v> </v>
      </c>
      <c r="K1200" s="25" t="str">
        <f>IF(OR(E1200="",E1200="!!!",F1200="NEW"),"",INDEX(J$1:J1199,SUMPRODUCT(MAX(ROW(E$1:E1199)*(E1200=E$1:E1199)))))</f>
        <v> </v>
      </c>
      <c r="L1200" s="26"/>
    </row>
    <row r="1201" spans="1:12">
      <c r="A1201" s="20" t="s">
        <v>273</v>
      </c>
      <c r="E1201" s="21">
        <f>IF(D1201="?OLD","!!!","")</f>
        <v/>
      </c>
      <c r="F1201" s="22" t="str">
        <f>IF(OR(E1201="",E1201="!!!"),"",IF(NOT(ISNA(VLOOKUP(E1201,E$1:E1200,1,FALSE()))),"OLD",IF(AND(E1201&lt;&gt;"",E1201&lt;&gt;"!!!"),"NEW","")))</f>
        <v> </v>
      </c>
      <c r="G1201" s="23" t="str">
        <f>IF(OR(E1201="",E1201="!!!"),"",IF(OR(J1201=0,AND(J1201=1,K1201=1),AND(J1201=1,I1201="SBJ"),AND(J1201=1,I1201=0)),"?IN_FOCUS",IF(J1201&lt;=2,"?ACTIVATED",IF(J1201&lt;&gt;"","?FAMILIAR",IF(F1201="NEW",IF(ISNA(VLOOKUP(E1201,#REF!,1,FALSE())),"?TYPE_IDENTIFIABLE","?REFERENTIAL"),"_")))))</f>
        <v> </v>
      </c>
      <c r="H1201" s="24" t="str">
        <f>IF(J1201&lt;&gt;1,"",IF(I1201="SBJ","CB","?"))</f>
        <v> </v>
      </c>
      <c r="I1201" s="25" t="str">
        <f>IF(OR(E1201="",E1201="!!!",F1201="NEW"),"",INDEX(B1200:B$2,-1+SUMPRODUCT(MAX(ROW(E1200:E$2)*(E1201=E1200:E$2)))))</f>
        <v> </v>
      </c>
      <c r="J1201" s="25" t="str">
        <f>IF(OR(E1201="",E1201="!!!",F1201="NEW"),"",COUNTBLANK(OFFSET(A$1,,,SUMPRODUCT(MAX(ROW(E$2:E1201)*(E1201=E$2:E1201)))))-COUNTBLANK(OFFSET(A$1,,,SUMPRODUCT(MAX(ROW(E$1:E1200)*(E2=E$1:E1200))))))</f>
        <v> </v>
      </c>
      <c r="K1201" s="25" t="str">
        <f>IF(OR(E1201="",E1201="!!!",F1201="NEW"),"",INDEX(J$1:J1200,SUMPRODUCT(MAX(ROW(E$1:E1200)*(E1201=E$1:E1200)))))</f>
        <v> </v>
      </c>
      <c r="L1201" s="26"/>
    </row>
    <row r="1202" spans="1:12">
      <c r="A1202" s="20" t="s">
        <v>749</v>
      </c>
      <c r="E1202" s="21">
        <f>IF(D1202="?OLD","!!!","")</f>
        <v/>
      </c>
      <c r="F1202" s="22" t="str">
        <f>IF(OR(E1202="",E1202="!!!"),"",IF(NOT(ISNA(VLOOKUP(E1202,E$1:E1201,1,FALSE()))),"OLD",IF(AND(E1202&lt;&gt;"",E1202&lt;&gt;"!!!"),"NEW","")))</f>
        <v> </v>
      </c>
      <c r="G1202" s="23" t="str">
        <f>IF(OR(E1202="",E1202="!!!"),"",IF(OR(J1202=0,AND(J1202=1,K1202=1),AND(J1202=1,I1202="SBJ"),AND(J1202=1,I1202=0)),"?IN_FOCUS",IF(J1202&lt;=2,"?ACTIVATED",IF(J1202&lt;&gt;"","?FAMILIAR",IF(F1202="NEW",IF(ISNA(VLOOKUP(E1202,#REF!,1,FALSE())),"?TYPE_IDENTIFIABLE","?REFERENTIAL"),"_")))))</f>
        <v> </v>
      </c>
      <c r="H1202" s="24" t="str">
        <f>IF(J1202&lt;&gt;1,"",IF(I1202="SBJ","CB","?"))</f>
        <v> </v>
      </c>
      <c r="I1202" s="25" t="str">
        <f>IF(OR(E1202="",E1202="!!!",F1202="NEW"),"",INDEX(B1201:B$2,-1+SUMPRODUCT(MAX(ROW(E1201:E$2)*(E1202=E1201:E$2)))))</f>
        <v> </v>
      </c>
      <c r="J1202" s="25" t="str">
        <f>IF(OR(E1202="",E1202="!!!",F1202="NEW"),"",COUNTBLANK(OFFSET(A$1,,,SUMPRODUCT(MAX(ROW(E$2:E1202)*(E1202=E$2:E1202)))))-COUNTBLANK(OFFSET(A$1,,,SUMPRODUCT(MAX(ROW(E$1:E1201)*(E2=E$1:E1201))))))</f>
        <v> </v>
      </c>
      <c r="K1202" s="25" t="str">
        <f>IF(OR(E1202="",E1202="!!!",F1202="NEW"),"",INDEX(J$1:J1201,SUMPRODUCT(MAX(ROW(E$1:E1201)*(E1202=E$1:E1201)))))</f>
        <v> </v>
      </c>
      <c r="L1202" s="26"/>
    </row>
    <row r="1203" spans="1:12">
      <c r="A1203" s="20" t="s">
        <v>455</v>
      </c>
      <c r="B1203" s="27" t="s">
        <v>283</v>
      </c>
      <c r="C1203" s="27" t="s">
        <v>263</v>
      </c>
      <c r="D1203" s="27" t="s">
        <v>244</v>
      </c>
      <c r="E1203" s="21">
        <f>IF(D1203="?OLD","!!!","")</f>
        <v/>
      </c>
      <c r="F1203" s="22" t="str">
        <f>IF(OR(E1203="",E1203="!!!"),"",IF(NOT(ISNA(VLOOKUP(E1203,E$1:E1202,1,FALSE()))),"OLD",IF(AND(E1203&lt;&gt;"",E1203&lt;&gt;"!!!"),"NEW","")))</f>
        <v> </v>
      </c>
      <c r="G1203" s="23" t="str">
        <f>IF(OR(E1203="",E1203="!!!"),"",IF(OR(J1203=0,AND(J1203=1,K1203=1),AND(J1203=1,I1203="SBJ"),AND(J1203=1,I1203=0)),"?IN_FOCUS",IF(J1203&lt;=2,"?ACTIVATED",IF(J1203&lt;&gt;"","?FAMILIAR",IF(F1203="NEW",IF(ISNA(VLOOKUP(E1203,#REF!,1,FALSE())),"?TYPE_IDENTIFIABLE","?REFERENTIAL"),"_")))))</f>
        <v> </v>
      </c>
      <c r="H1203" s="24" t="str">
        <f>IF(J1203&lt;&gt;1,"",IF(I1203="SBJ","CB","?"))</f>
        <v> </v>
      </c>
      <c r="I1203" s="25" t="str">
        <f>IF(OR(E1203="",E1203="!!!",F1203="NEW"),"",INDEX(B1202:B$2,-1+SUMPRODUCT(MAX(ROW(E1202:E$2)*(E1203=E1202:E$2)))))</f>
        <v> </v>
      </c>
      <c r="J1203" s="25" t="str">
        <f>IF(OR(E1203="",E1203="!!!",F1203="NEW"),"",COUNTBLANK(OFFSET(A$1,,,SUMPRODUCT(MAX(ROW(E$2:E1203)*(E1203=E$2:E1203)))))-COUNTBLANK(OFFSET(A$1,,,SUMPRODUCT(MAX(ROW(E$1:E1202)*(E2=E$1:E1202))))))</f>
        <v> </v>
      </c>
      <c r="K1203" s="25" t="str">
        <f>IF(OR(E1203="",E1203="!!!",F1203="NEW"),"",INDEX(J$1:J1202,SUMPRODUCT(MAX(ROW(E$1:E1202)*(E1203=E$1:E1202)))))</f>
        <v> </v>
      </c>
      <c r="L1203" s="26"/>
    </row>
    <row r="1204" spans="1:12">
      <c r="A1204" s="20" t="s">
        <v>750</v>
      </c>
      <c r="B1204" s="27" t="s">
        <v>423</v>
      </c>
      <c r="C1204" s="27" t="s">
        <v>267</v>
      </c>
      <c r="D1204" s="27" t="s">
        <v>244</v>
      </c>
      <c r="E1204" s="21">
        <f>IF(D1204="?OLD","!!!","")</f>
        <v/>
      </c>
      <c r="F1204" s="22" t="str">
        <f>IF(OR(E1204="",E1204="!!!"),"",IF(NOT(ISNA(VLOOKUP(E1204,E$1:E1203,1,FALSE()))),"OLD",IF(AND(E1204&lt;&gt;"",E1204&lt;&gt;"!!!"),"NEW","")))</f>
        <v> </v>
      </c>
      <c r="G1204" s="23" t="str">
        <f>IF(OR(E1204="",E1204="!!!"),"",IF(OR(J1204=0,AND(J1204=1,K1204=1),AND(J1204=1,I1204="SBJ"),AND(J1204=1,I1204=0)),"?IN_FOCUS",IF(J1204&lt;=2,"?ACTIVATED",IF(J1204&lt;&gt;"","?FAMILIAR",IF(F1204="NEW",IF(ISNA(VLOOKUP(E1204,#REF!,1,FALSE())),"?TYPE_IDENTIFIABLE","?REFERENTIAL"),"_")))))</f>
        <v> </v>
      </c>
      <c r="H1204" s="24" t="str">
        <f>IF(J1204&lt;&gt;1,"",IF(I1204="SBJ","CB","?"))</f>
        <v> </v>
      </c>
      <c r="I1204" s="25" t="str">
        <f>IF(OR(E1204="",E1204="!!!",F1204="NEW"),"",INDEX(B1203:B$2,-1+SUMPRODUCT(MAX(ROW(E1203:E$2)*(E1204=E1203:E$2)))))</f>
        <v> </v>
      </c>
      <c r="J1204" s="25" t="str">
        <f>IF(OR(E1204="",E1204="!!!",F1204="NEW"),"",COUNTBLANK(OFFSET(A$1,,,SUMPRODUCT(MAX(ROW(E$2:E1204)*(E1204=E$2:E1204)))))-COUNTBLANK(OFFSET(A$1,,,SUMPRODUCT(MAX(ROW(E$1:E1203)*(E2=E$1:E1203))))))</f>
        <v> </v>
      </c>
      <c r="K1204" s="25" t="str">
        <f>IF(OR(E1204="",E1204="!!!",F1204="NEW"),"",INDEX(J$1:J1203,SUMPRODUCT(MAX(ROW(E$1:E1203)*(E1204=E$1:E1203)))))</f>
        <v> </v>
      </c>
      <c r="L1204" s="26"/>
    </row>
    <row r="1205" spans="1:12">
      <c r="A1205" s="20" t="s">
        <v>285</v>
      </c>
      <c r="E1205" s="21">
        <f>IF(D1205="?OLD","!!!","")</f>
        <v/>
      </c>
      <c r="F1205" s="22" t="str">
        <f>IF(OR(E1205="",E1205="!!!"),"",IF(NOT(ISNA(VLOOKUP(E1205,E$1:E1204,1,FALSE()))),"OLD",IF(AND(E1205&lt;&gt;"",E1205&lt;&gt;"!!!"),"NEW","")))</f>
        <v> </v>
      </c>
      <c r="G1205" s="23" t="str">
        <f>IF(OR(E1205="",E1205="!!!"),"",IF(OR(J1205=0,AND(J1205=1,K1205=1),AND(J1205=1,I1205="SBJ"),AND(J1205=1,I1205=0)),"?IN_FOCUS",IF(J1205&lt;=2,"?ACTIVATED",IF(J1205&lt;&gt;"","?FAMILIAR",IF(F1205="NEW",IF(ISNA(VLOOKUP(E1205,#REF!,1,FALSE())),"?TYPE_IDENTIFIABLE","?REFERENTIAL"),"_")))))</f>
        <v> </v>
      </c>
      <c r="H1205" s="24" t="str">
        <f>IF(J1205&lt;&gt;1,"",IF(I1205="SBJ","CB","?"))</f>
        <v> </v>
      </c>
      <c r="I1205" s="25" t="str">
        <f>IF(OR(E1205="",E1205="!!!",F1205="NEW"),"",INDEX(B1204:B$2,-1+SUMPRODUCT(MAX(ROW(E1204:E$2)*(E1205=E1204:E$2)))))</f>
        <v> </v>
      </c>
      <c r="J1205" s="25" t="str">
        <f>IF(OR(E1205="",E1205="!!!",F1205="NEW"),"",COUNTBLANK(OFFSET(A$1,,,SUMPRODUCT(MAX(ROW(E$2:E1205)*(E1205=E$2:E1205)))))-COUNTBLANK(OFFSET(A$1,,,SUMPRODUCT(MAX(ROW(E$1:E1204)*(E2=E$1:E1204))))))</f>
        <v> </v>
      </c>
      <c r="K1205" s="25" t="str">
        <f>IF(OR(E1205="",E1205="!!!",F1205="NEW"),"",INDEX(J$1:J1204,SUMPRODUCT(MAX(ROW(E$1:E1204)*(E1205=E$1:E1204)))))</f>
        <v> </v>
      </c>
      <c r="L1205" s="26"/>
    </row>
    <row r="1206" spans="1:12">
      <c r="A1206" s="20"/>
    </row>
    <row r="1207" spans="1:12">
      <c r="A1207" s="20" t="s">
        <v>751</v>
      </c>
    </row>
    <row r="1208" spans="1:12">
      <c r="A1208" s="20" t="s">
        <v>637</v>
      </c>
      <c r="E1208" s="21">
        <f>IF(D1208="?OLD","!!!","")</f>
        <v/>
      </c>
      <c r="F1208" s="22" t="str">
        <f>IF(OR(E1208="",E1208="!!!"),"",IF(NOT(ISNA(VLOOKUP(E1208,E$1:E1207,1,FALSE()))),"OLD",IF(AND(E1208&lt;&gt;"",E1208&lt;&gt;"!!!"),"NEW","")))</f>
        <v> </v>
      </c>
      <c r="G1208" s="23" t="str">
        <f>IF(OR(E1208="",E1208="!!!"),"",IF(OR(J1208=0,AND(J1208=1,K1208=1),AND(J1208=1,I1208="SBJ"),AND(J1208=1,I1208=0)),"?IN_FOCUS",IF(J1208&lt;=2,"?ACTIVATED",IF(J1208&lt;&gt;"","?FAMILIAR",IF(F1208="NEW",IF(ISNA(VLOOKUP(E1208,#REF!,1,FALSE())),"?TYPE_IDENTIFIABLE","?REFERENTIAL"),"_")))))</f>
        <v> </v>
      </c>
      <c r="H1208" s="24" t="str">
        <f>IF(J1208&lt;&gt;1,"",IF(I1208="SBJ","CB","?"))</f>
        <v> </v>
      </c>
      <c r="I1208" s="25" t="str">
        <f>IF(OR(E1208="",E1208="!!!",F1208="NEW"),"",INDEX(B1207:B$2,-1+SUMPRODUCT(MAX(ROW(E1207:E$2)*(E1208=E1207:E$2)))))</f>
        <v> </v>
      </c>
      <c r="J1208" s="25" t="str">
        <f>IF(OR(E1208="",E1208="!!!",F1208="NEW"),"",COUNTBLANK(OFFSET(A$1,,,SUMPRODUCT(MAX(ROW(E$2:E1208)*(E1208=E$2:E1208)))))-COUNTBLANK(OFFSET(A$1,,,SUMPRODUCT(MAX(ROW(E$1:E1207)*(E2=E$1:E1207))))))</f>
        <v> </v>
      </c>
      <c r="K1208" s="25" t="str">
        <f>IF(OR(E1208="",E1208="!!!",F1208="NEW"),"",INDEX(J$1:J1207,SUMPRODUCT(MAX(ROW(E$1:E1207)*(E1208=E$1:E1207)))))</f>
        <v> </v>
      </c>
      <c r="L1208" s="26"/>
    </row>
    <row r="1209" spans="1:12">
      <c r="A1209" s="20" t="s">
        <v>638</v>
      </c>
      <c r="E1209" s="21">
        <f>IF(D1209="?OLD","!!!","")</f>
        <v/>
      </c>
      <c r="F1209" s="22" t="str">
        <f>IF(OR(E1209="",E1209="!!!"),"",IF(NOT(ISNA(VLOOKUP(E1209,E$1:E1208,1,FALSE()))),"OLD",IF(AND(E1209&lt;&gt;"",E1209&lt;&gt;"!!!"),"NEW","")))</f>
        <v> </v>
      </c>
      <c r="G1209" s="23" t="str">
        <f>IF(OR(E1209="",E1209="!!!"),"",IF(OR(J1209=0,AND(J1209=1,K1209=1),AND(J1209=1,I1209="SBJ"),AND(J1209=1,I1209=0)),"?IN_FOCUS",IF(J1209&lt;=2,"?ACTIVATED",IF(J1209&lt;&gt;"","?FAMILIAR",IF(F1209="NEW",IF(ISNA(VLOOKUP(E1209,#REF!,1,FALSE())),"?TYPE_IDENTIFIABLE","?REFERENTIAL"),"_")))))</f>
        <v> </v>
      </c>
      <c r="H1209" s="24" t="str">
        <f>IF(J1209&lt;&gt;1,"",IF(I1209="SBJ","CB","?"))</f>
        <v> </v>
      </c>
      <c r="I1209" s="25" t="str">
        <f>IF(OR(E1209="",E1209="!!!",F1209="NEW"),"",INDEX(B1208:B$2,-1+SUMPRODUCT(MAX(ROW(E1208:E$2)*(E1209=E1208:E$2)))))</f>
        <v> </v>
      </c>
      <c r="J1209" s="25" t="str">
        <f>IF(OR(E1209="",E1209="!!!",F1209="NEW"),"",COUNTBLANK(OFFSET(A$1,,,SUMPRODUCT(MAX(ROW(E$2:E1209)*(E1209=E$2:E1209)))))-COUNTBLANK(OFFSET(A$1,,,SUMPRODUCT(MAX(ROW(E$1:E1208)*(E2=E$1:E1208))))))</f>
        <v> </v>
      </c>
      <c r="K1209" s="25" t="str">
        <f>IF(OR(E1209="",E1209="!!!",F1209="NEW"),"",INDEX(J$1:J1208,SUMPRODUCT(MAX(ROW(E$1:E1208)*(E1209=E$1:E1208)))))</f>
        <v> </v>
      </c>
      <c r="L1209" s="26"/>
    </row>
    <row r="1210" spans="1:12">
      <c r="A1210" s="20" t="s">
        <v>752</v>
      </c>
      <c r="B1210" s="27" t="s">
        <v>255</v>
      </c>
      <c r="C1210" s="27" t="s">
        <v>238</v>
      </c>
      <c r="E1210" s="21">
        <f>IF(D1210="?OLD","!!!","")</f>
        <v/>
      </c>
      <c r="F1210" s="22" t="str">
        <f>IF(OR(E1210="",E1210="!!!"),"",IF(NOT(ISNA(VLOOKUP(E1210,E$1:E1209,1,FALSE()))),"OLD",IF(AND(E1210&lt;&gt;"",E1210&lt;&gt;"!!!"),"NEW","")))</f>
        <v> </v>
      </c>
      <c r="G1210" s="23" t="str">
        <f>IF(OR(E1210="",E1210="!!!"),"",IF(OR(J1210=0,AND(J1210=1,K1210=1),AND(J1210=1,I1210="SBJ"),AND(J1210=1,I1210=0)),"?IN_FOCUS",IF(J1210&lt;=2,"?ACTIVATED",IF(J1210&lt;&gt;"","?FAMILIAR",IF(F1210="NEW",IF(ISNA(VLOOKUP(E1210,#REF!,1,FALSE())),"?TYPE_IDENTIFIABLE","?REFERENTIAL"),"_")))))</f>
        <v> </v>
      </c>
      <c r="H1210" s="24" t="str">
        <f>IF(J1210&lt;&gt;1,"",IF(I1210="SBJ","CB","?"))</f>
        <v> </v>
      </c>
      <c r="I1210" s="25" t="str">
        <f>IF(OR(E1210="",E1210="!!!",F1210="NEW"),"",INDEX(B1209:B$2,-1+SUMPRODUCT(MAX(ROW(E1209:E$2)*(E1210=E1209:E$2)))))</f>
        <v> </v>
      </c>
      <c r="J1210" s="25" t="str">
        <f>IF(OR(E1210="",E1210="!!!",F1210="NEW"),"",COUNTBLANK(OFFSET(A$1,,,SUMPRODUCT(MAX(ROW(E$2:E1210)*(E1210=E$2:E1210)))))-COUNTBLANK(OFFSET(A$1,,,SUMPRODUCT(MAX(ROW(E$1:E1209)*(E2=E$1:E1209))))))</f>
        <v> </v>
      </c>
      <c r="K1210" s="25" t="str">
        <f>IF(OR(E1210="",E1210="!!!",F1210="NEW"),"",INDEX(J$1:J1209,SUMPRODUCT(MAX(ROW(E$1:E1209)*(E1210=E$1:E1209)))))</f>
        <v> </v>
      </c>
      <c r="L1210" s="26"/>
    </row>
    <row r="1211" spans="1:12">
      <c r="A1211" s="20" t="s">
        <v>314</v>
      </c>
      <c r="E1211" s="21">
        <f>IF(D1211="?OLD","!!!","")</f>
        <v/>
      </c>
      <c r="F1211" s="22" t="str">
        <f>IF(OR(E1211="",E1211="!!!"),"",IF(NOT(ISNA(VLOOKUP(E1211,E$1:E1210,1,FALSE()))),"OLD",IF(AND(E1211&lt;&gt;"",E1211&lt;&gt;"!!!"),"NEW","")))</f>
        <v> </v>
      </c>
      <c r="G1211" s="23" t="str">
        <f>IF(OR(E1211="",E1211="!!!"),"",IF(OR(J1211=0,AND(J1211=1,K1211=1),AND(J1211=1,I1211="SBJ"),AND(J1211=1,I1211=0)),"?IN_FOCUS",IF(J1211&lt;=2,"?ACTIVATED",IF(J1211&lt;&gt;"","?FAMILIAR",IF(F1211="NEW",IF(ISNA(VLOOKUP(E1211,#REF!,1,FALSE())),"?TYPE_IDENTIFIABLE","?REFERENTIAL"),"_")))))</f>
        <v> </v>
      </c>
      <c r="H1211" s="24" t="str">
        <f>IF(J1211&lt;&gt;1,"",IF(I1211="SBJ","CB","?"))</f>
        <v> </v>
      </c>
      <c r="I1211" s="25" t="str">
        <f>IF(OR(E1211="",E1211="!!!",F1211="NEW"),"",INDEX(B1210:B$2,-1+SUMPRODUCT(MAX(ROW(E1210:E$2)*(E1211=E1210:E$2)))))</f>
        <v> </v>
      </c>
      <c r="J1211" s="25" t="str">
        <f>IF(OR(E1211="",E1211="!!!",F1211="NEW"),"",COUNTBLANK(OFFSET(A$1,,,SUMPRODUCT(MAX(ROW(E$2:E1211)*(E1211=E$2:E1211)))))-COUNTBLANK(OFFSET(A$1,,,SUMPRODUCT(MAX(ROW(E$1:E1210)*(E2=E$1:E1210))))))</f>
        <v> </v>
      </c>
      <c r="K1211" s="25" t="str">
        <f>IF(OR(E1211="",E1211="!!!",F1211="NEW"),"",INDEX(J$1:J1210,SUMPRODUCT(MAX(ROW(E$1:E1210)*(E1211=E$1:E1210)))))</f>
        <v> </v>
      </c>
      <c r="L1211" s="26"/>
    </row>
    <row r="1212" spans="1:12">
      <c r="A1212" s="20" t="s">
        <v>753</v>
      </c>
      <c r="E1212" s="21">
        <f>IF(D1212="?OLD","!!!","")</f>
        <v/>
      </c>
      <c r="F1212" s="22" t="str">
        <f>IF(OR(E1212="",E1212="!!!"),"",IF(NOT(ISNA(VLOOKUP(E1212,E$1:E1211,1,FALSE()))),"OLD",IF(AND(E1212&lt;&gt;"",E1212&lt;&gt;"!!!"),"NEW","")))</f>
        <v> </v>
      </c>
      <c r="G1212" s="23" t="str">
        <f>IF(OR(E1212="",E1212="!!!"),"",IF(OR(J1212=0,AND(J1212=1,K1212=1),AND(J1212=1,I1212="SBJ"),AND(J1212=1,I1212=0)),"?IN_FOCUS",IF(J1212&lt;=2,"?ACTIVATED",IF(J1212&lt;&gt;"","?FAMILIAR",IF(F1212="NEW",IF(ISNA(VLOOKUP(E1212,#REF!,1,FALSE())),"?TYPE_IDENTIFIABLE","?REFERENTIAL"),"_")))))</f>
        <v> </v>
      </c>
      <c r="H1212" s="24" t="str">
        <f>IF(J1212&lt;&gt;1,"",IF(I1212="SBJ","CB","?"))</f>
        <v> </v>
      </c>
      <c r="I1212" s="25" t="str">
        <f>IF(OR(E1212="",E1212="!!!",F1212="NEW"),"",INDEX(B1211:B$2,-1+SUMPRODUCT(MAX(ROW(E1211:E$2)*(E1212=E1211:E$2)))))</f>
        <v> </v>
      </c>
      <c r="J1212" s="25" t="str">
        <f>IF(OR(E1212="",E1212="!!!",F1212="NEW"),"",COUNTBLANK(OFFSET(A$1,,,SUMPRODUCT(MAX(ROW(E$2:E1212)*(E1212=E$2:E1212)))))-COUNTBLANK(OFFSET(A$1,,,SUMPRODUCT(MAX(ROW(E$1:E1211)*(E2=E$1:E1211))))))</f>
        <v> </v>
      </c>
      <c r="K1212" s="25" t="str">
        <f>IF(OR(E1212="",E1212="!!!",F1212="NEW"),"",INDEX(J$1:J1211,SUMPRODUCT(MAX(ROW(E$1:E1211)*(E1212=E$1:E1211)))))</f>
        <v> </v>
      </c>
      <c r="L1212" s="26"/>
    </row>
    <row r="1213" spans="1:12">
      <c r="A1213" s="20" t="s">
        <v>754</v>
      </c>
      <c r="B1213" s="27" t="s">
        <v>291</v>
      </c>
      <c r="C1213" s="27" t="s">
        <v>281</v>
      </c>
      <c r="E1213" s="21">
        <f>IF(D1213="?OLD","!!!","")</f>
        <v/>
      </c>
      <c r="F1213" s="22" t="str">
        <f>IF(OR(E1213="",E1213="!!!"),"",IF(NOT(ISNA(VLOOKUP(E1213,E$1:E1212,1,FALSE()))),"OLD",IF(AND(E1213&lt;&gt;"",E1213&lt;&gt;"!!!"),"NEW","")))</f>
        <v> </v>
      </c>
      <c r="G1213" s="23" t="str">
        <f>IF(OR(E1213="",E1213="!!!"),"",IF(OR(J1213=0,AND(J1213=1,K1213=1),AND(J1213=1,I1213="SBJ"),AND(J1213=1,I1213=0)),"?IN_FOCUS",IF(J1213&lt;=2,"?ACTIVATED",IF(J1213&lt;&gt;"","?FAMILIAR",IF(F1213="NEW",IF(ISNA(VLOOKUP(E1213,#REF!,1,FALSE())),"?TYPE_IDENTIFIABLE","?REFERENTIAL"),"_")))))</f>
        <v> </v>
      </c>
      <c r="H1213" s="24" t="str">
        <f>IF(J1213&lt;&gt;1,"",IF(I1213="SBJ","CB","?"))</f>
        <v> </v>
      </c>
      <c r="I1213" s="25" t="str">
        <f>IF(OR(E1213="",E1213="!!!",F1213="NEW"),"",INDEX(B1212:B$2,-1+SUMPRODUCT(MAX(ROW(E1212:E$2)*(E1213=E1212:E$2)))))</f>
        <v> </v>
      </c>
      <c r="J1213" s="25" t="str">
        <f>IF(OR(E1213="",E1213="!!!",F1213="NEW"),"",COUNTBLANK(OFFSET(A$1,,,SUMPRODUCT(MAX(ROW(E$2:E1213)*(E1213=E$2:E1213)))))-COUNTBLANK(OFFSET(A$1,,,SUMPRODUCT(MAX(ROW(E$1:E1212)*(E2=E$1:E1212))))))</f>
        <v> </v>
      </c>
      <c r="K1213" s="25" t="str">
        <f>IF(OR(E1213="",E1213="!!!",F1213="NEW"),"",INDEX(J$1:J1212,SUMPRODUCT(MAX(ROW(E$1:E1212)*(E1213=E$1:E1212)))))</f>
        <v> </v>
      </c>
      <c r="L1213" s="26"/>
    </row>
    <row r="1214" spans="1:12">
      <c r="A1214" s="20" t="s">
        <v>755</v>
      </c>
      <c r="E1214" s="21">
        <f>IF(D1214="?OLD","!!!","")</f>
        <v/>
      </c>
      <c r="F1214" s="22" t="str">
        <f>IF(OR(E1214="",E1214="!!!"),"",IF(NOT(ISNA(VLOOKUP(E1214,E$1:E1213,1,FALSE()))),"OLD",IF(AND(E1214&lt;&gt;"",E1214&lt;&gt;"!!!"),"NEW","")))</f>
        <v> </v>
      </c>
      <c r="G1214" s="23" t="str">
        <f>IF(OR(E1214="",E1214="!!!"),"",IF(OR(J1214=0,AND(J1214=1,K1214=1),AND(J1214=1,I1214="SBJ"),AND(J1214=1,I1214=0)),"?IN_FOCUS",IF(J1214&lt;=2,"?ACTIVATED",IF(J1214&lt;&gt;"","?FAMILIAR",IF(F1214="NEW",IF(ISNA(VLOOKUP(E1214,#REF!,1,FALSE())),"?TYPE_IDENTIFIABLE","?REFERENTIAL"),"_")))))</f>
        <v> </v>
      </c>
      <c r="H1214" s="24" t="str">
        <f>IF(J1214&lt;&gt;1,"",IF(I1214="SBJ","CB","?"))</f>
        <v> </v>
      </c>
      <c r="I1214" s="25" t="str">
        <f>IF(OR(E1214="",E1214="!!!",F1214="NEW"),"",INDEX(B1213:B$2,-1+SUMPRODUCT(MAX(ROW(E1213:E$2)*(E1214=E1213:E$2)))))</f>
        <v> </v>
      </c>
      <c r="J1214" s="25" t="str">
        <f>IF(OR(E1214="",E1214="!!!",F1214="NEW"),"",COUNTBLANK(OFFSET(A$1,,,SUMPRODUCT(MAX(ROW(E$2:E1214)*(E1214=E$2:E1214)))))-COUNTBLANK(OFFSET(A$1,,,SUMPRODUCT(MAX(ROW(E$1:E1213)*(E2=E$1:E1213))))))</f>
        <v> </v>
      </c>
      <c r="K1214" s="25" t="str">
        <f>IF(OR(E1214="",E1214="!!!",F1214="NEW"),"",INDEX(J$1:J1213,SUMPRODUCT(MAX(ROW(E$1:E1213)*(E1214=E$1:E1213)))))</f>
        <v> </v>
      </c>
      <c r="L1214" s="26"/>
    </row>
    <row r="1215" spans="1:12">
      <c r="A1215" s="20" t="s">
        <v>372</v>
      </c>
      <c r="E1215" s="21">
        <f>IF(D1215="?OLD","!!!","")</f>
        <v/>
      </c>
      <c r="F1215" s="22" t="str">
        <f>IF(OR(E1215="",E1215="!!!"),"",IF(NOT(ISNA(VLOOKUP(E1215,E$1:E1214,1,FALSE()))),"OLD",IF(AND(E1215&lt;&gt;"",E1215&lt;&gt;"!!!"),"NEW","")))</f>
        <v> </v>
      </c>
      <c r="G1215" s="23" t="str">
        <f>IF(OR(E1215="",E1215="!!!"),"",IF(OR(J1215=0,AND(J1215=1,K1215=1),AND(J1215=1,I1215="SBJ"),AND(J1215=1,I1215=0)),"?IN_FOCUS",IF(J1215&lt;=2,"?ACTIVATED",IF(J1215&lt;&gt;"","?FAMILIAR",IF(F1215="NEW",IF(ISNA(VLOOKUP(E1215,#REF!,1,FALSE())),"?TYPE_IDENTIFIABLE","?REFERENTIAL"),"_")))))</f>
        <v> </v>
      </c>
      <c r="H1215" s="24" t="str">
        <f>IF(J1215&lt;&gt;1,"",IF(I1215="SBJ","CB","?"))</f>
        <v> </v>
      </c>
      <c r="I1215" s="25" t="str">
        <f>IF(OR(E1215="",E1215="!!!",F1215="NEW"),"",INDEX(B1214:B$2,-1+SUMPRODUCT(MAX(ROW(E1214:E$2)*(E1215=E1214:E$2)))))</f>
        <v> </v>
      </c>
      <c r="J1215" s="25" t="str">
        <f>IF(OR(E1215="",E1215="!!!",F1215="NEW"),"",COUNTBLANK(OFFSET(A$1,,,SUMPRODUCT(MAX(ROW(E$2:E1215)*(E1215=E$2:E1215)))))-COUNTBLANK(OFFSET(A$1,,,SUMPRODUCT(MAX(ROW(E$1:E1214)*(E2=E$1:E1214))))))</f>
        <v> </v>
      </c>
      <c r="K1215" s="25" t="str">
        <f>IF(OR(E1215="",E1215="!!!",F1215="NEW"),"",INDEX(J$1:J1214,SUMPRODUCT(MAX(ROW(E$1:E1214)*(E1215=E$1:E1214)))))</f>
        <v> </v>
      </c>
      <c r="L1215" s="26"/>
    </row>
    <row r="1216" spans="1:12">
      <c r="A1216" s="20" t="s">
        <v>400</v>
      </c>
      <c r="E1216" s="21">
        <f>IF(D1216="?OLD","!!!","")</f>
        <v/>
      </c>
      <c r="F1216" s="22" t="str">
        <f>IF(OR(E1216="",E1216="!!!"),"",IF(NOT(ISNA(VLOOKUP(E1216,E$1:E1215,1,FALSE()))),"OLD",IF(AND(E1216&lt;&gt;"",E1216&lt;&gt;"!!!"),"NEW","")))</f>
        <v> </v>
      </c>
      <c r="G1216" s="23" t="str">
        <f>IF(OR(E1216="",E1216="!!!"),"",IF(OR(J1216=0,AND(J1216=1,K1216=1),AND(J1216=1,I1216="SBJ"),AND(J1216=1,I1216=0)),"?IN_FOCUS",IF(J1216&lt;=2,"?ACTIVATED",IF(J1216&lt;&gt;"","?FAMILIAR",IF(F1216="NEW",IF(ISNA(VLOOKUP(E1216,#REF!,1,FALSE())),"?TYPE_IDENTIFIABLE","?REFERENTIAL"),"_")))))</f>
        <v> </v>
      </c>
      <c r="H1216" s="24" t="str">
        <f>IF(J1216&lt;&gt;1,"",IF(I1216="SBJ","CB","?"))</f>
        <v> </v>
      </c>
      <c r="I1216" s="25" t="str">
        <f>IF(OR(E1216="",E1216="!!!",F1216="NEW"),"",INDEX(B1215:B$2,-1+SUMPRODUCT(MAX(ROW(E1215:E$2)*(E1216=E1215:E$2)))))</f>
        <v> </v>
      </c>
      <c r="J1216" s="25" t="str">
        <f>IF(OR(E1216="",E1216="!!!",F1216="NEW"),"",COUNTBLANK(OFFSET(A$1,,,SUMPRODUCT(MAX(ROW(E$2:E1216)*(E1216=E$2:E1216)))))-COUNTBLANK(OFFSET(A$1,,,SUMPRODUCT(MAX(ROW(E$1:E1215)*(E2=E$1:E1215))))))</f>
        <v> </v>
      </c>
      <c r="K1216" s="25" t="str">
        <f>IF(OR(E1216="",E1216="!!!",F1216="NEW"),"",INDEX(J$1:J1215,SUMPRODUCT(MAX(ROW(E$1:E1215)*(E1216=E$1:E1215)))))</f>
        <v> </v>
      </c>
      <c r="L1216" s="26"/>
    </row>
    <row r="1217" spans="1:12">
      <c r="A1217" s="20" t="s">
        <v>756</v>
      </c>
      <c r="B1217" s="27" t="s">
        <v>237</v>
      </c>
      <c r="C1217" s="27" t="s">
        <v>334</v>
      </c>
      <c r="D1217" s="27" t="s">
        <v>244</v>
      </c>
      <c r="E1217" s="21">
        <f>IF(D1217="?OLD","!!!","")</f>
        <v/>
      </c>
      <c r="F1217" s="22" t="str">
        <f>IF(OR(E1217="",E1217="!!!"),"",IF(NOT(ISNA(VLOOKUP(E1217,E$1:E1216,1,FALSE()))),"OLD",IF(AND(E1217&lt;&gt;"",E1217&lt;&gt;"!!!"),"NEW","")))</f>
        <v> </v>
      </c>
      <c r="G1217" s="23" t="str">
        <f>IF(OR(E1217="",E1217="!!!"),"",IF(OR(J1217=0,AND(J1217=1,K1217=1),AND(J1217=1,I1217="SBJ"),AND(J1217=1,I1217=0)),"?IN_FOCUS",IF(J1217&lt;=2,"?ACTIVATED",IF(J1217&lt;&gt;"","?FAMILIAR",IF(F1217="NEW",IF(ISNA(VLOOKUP(E1217,#REF!,1,FALSE())),"?TYPE_IDENTIFIABLE","?REFERENTIAL"),"_")))))</f>
        <v> </v>
      </c>
      <c r="H1217" s="24" t="str">
        <f>IF(J1217&lt;&gt;1,"",IF(I1217="SBJ","CB","?"))</f>
        <v> </v>
      </c>
      <c r="I1217" s="25" t="str">
        <f>IF(OR(E1217="",E1217="!!!",F1217="NEW"),"",INDEX(B1216:B$2,-1+SUMPRODUCT(MAX(ROW(E1216:E$2)*(E1217=E1216:E$2)))))</f>
        <v> </v>
      </c>
      <c r="J1217" s="25" t="str">
        <f>IF(OR(E1217="",E1217="!!!",F1217="NEW"),"",COUNTBLANK(OFFSET(A$1,,,SUMPRODUCT(MAX(ROW(E$2:E1217)*(E1217=E$2:E1217)))))-COUNTBLANK(OFFSET(A$1,,,SUMPRODUCT(MAX(ROW(E$1:E1216)*(E2=E$1:E1216))))))</f>
        <v> </v>
      </c>
      <c r="K1217" s="25" t="str">
        <f>IF(OR(E1217="",E1217="!!!",F1217="NEW"),"",INDEX(J$1:J1216,SUMPRODUCT(MAX(ROW(E$1:E1216)*(E1217=E$1:E1216)))))</f>
        <v> </v>
      </c>
      <c r="L1217" s="26"/>
    </row>
    <row r="1218" spans="1:12">
      <c r="A1218" s="20" t="s">
        <v>409</v>
      </c>
      <c r="E1218" s="21">
        <f>IF(D1218="?OLD","!!!","")</f>
        <v/>
      </c>
      <c r="F1218" s="22" t="str">
        <f>IF(OR(E1218="",E1218="!!!"),"",IF(NOT(ISNA(VLOOKUP(E1218,E$1:E1217,1,FALSE()))),"OLD",IF(AND(E1218&lt;&gt;"",E1218&lt;&gt;"!!!"),"NEW","")))</f>
        <v> </v>
      </c>
      <c r="G1218" s="23" t="str">
        <f>IF(OR(E1218="",E1218="!!!"),"",IF(OR(J1218=0,AND(J1218=1,K1218=1),AND(J1218=1,I1218="SBJ"),AND(J1218=1,I1218=0)),"?IN_FOCUS",IF(J1218&lt;=2,"?ACTIVATED",IF(J1218&lt;&gt;"","?FAMILIAR",IF(F1218="NEW",IF(ISNA(VLOOKUP(E1218,#REF!,1,FALSE())),"?TYPE_IDENTIFIABLE","?REFERENTIAL"),"_")))))</f>
        <v> </v>
      </c>
      <c r="H1218" s="24" t="str">
        <f>IF(J1218&lt;&gt;1,"",IF(I1218="SBJ","CB","?"))</f>
        <v> </v>
      </c>
      <c r="I1218" s="25" t="str">
        <f>IF(OR(E1218="",E1218="!!!",F1218="NEW"),"",INDEX(B1217:B$2,-1+SUMPRODUCT(MAX(ROW(E1217:E$2)*(E1218=E1217:E$2)))))</f>
        <v> </v>
      </c>
      <c r="J1218" s="25" t="str">
        <f>IF(OR(E1218="",E1218="!!!",F1218="NEW"),"",COUNTBLANK(OFFSET(A$1,,,SUMPRODUCT(MAX(ROW(E$2:E1218)*(E1218=E$2:E1218)))))-COUNTBLANK(OFFSET(A$1,,,SUMPRODUCT(MAX(ROW(E$1:E1217)*(E2=E$1:E1217))))))</f>
        <v> </v>
      </c>
      <c r="K1218" s="25" t="str">
        <f>IF(OR(E1218="",E1218="!!!",F1218="NEW"),"",INDEX(J$1:J1217,SUMPRODUCT(MAX(ROW(E$1:E1217)*(E1218=E$1:E1217)))))</f>
        <v> </v>
      </c>
      <c r="L1218" s="26"/>
    </row>
    <row r="1219" spans="1:12">
      <c r="A1219" s="20"/>
    </row>
    <row r="1220" spans="1:12">
      <c r="A1220" s="20" t="s">
        <v>757</v>
      </c>
    </row>
    <row r="1221" spans="1:12">
      <c r="A1221" s="20" t="s">
        <v>758</v>
      </c>
      <c r="B1221" s="27" t="s">
        <v>255</v>
      </c>
      <c r="C1221" s="27" t="s">
        <v>256</v>
      </c>
      <c r="D1221" s="27" t="s">
        <v>244</v>
      </c>
      <c r="E1221" s="21">
        <f>IF(D1221="?OLD","!!!","")</f>
        <v/>
      </c>
      <c r="F1221" s="22" t="str">
        <f>IF(OR(E1221="",E1221="!!!"),"",IF(NOT(ISNA(VLOOKUP(E1221,E$1:E1220,1,FALSE()))),"OLD",IF(AND(E1221&lt;&gt;"",E1221&lt;&gt;"!!!"),"NEW","")))</f>
        <v> </v>
      </c>
      <c r="G1221" s="23" t="str">
        <f>IF(OR(E1221="",E1221="!!!"),"",IF(OR(J1221=0,AND(J1221=1,K1221=1),AND(J1221=1,I1221="SBJ"),AND(J1221=1,I1221=0)),"?IN_FOCUS",IF(J1221&lt;=2,"?ACTIVATED",IF(J1221&lt;&gt;"","?FAMILIAR",IF(F1221="NEW",IF(ISNA(VLOOKUP(E1221,#REF!,1,FALSE())),"?TYPE_IDENTIFIABLE","?REFERENTIAL"),"_")))))</f>
        <v> </v>
      </c>
      <c r="H1221" s="24" t="str">
        <f>IF(J1221&lt;&gt;1,"",IF(I1221="SBJ","CB","?"))</f>
        <v> </v>
      </c>
      <c r="I1221" s="25" t="str">
        <f>IF(OR(E1221="",E1221="!!!",F1221="NEW"),"",INDEX(B1220:B$2,-1+SUMPRODUCT(MAX(ROW(E1220:E$2)*(E1221=E1220:E$2)))))</f>
        <v> </v>
      </c>
      <c r="J1221" s="25" t="str">
        <f>IF(OR(E1221="",E1221="!!!",F1221="NEW"),"",COUNTBLANK(OFFSET(A$1,,,SUMPRODUCT(MAX(ROW(E$2:E1221)*(E1221=E$2:E1221)))))-COUNTBLANK(OFFSET(A$1,,,SUMPRODUCT(MAX(ROW(E$1:E1220)*(E2=E$1:E1220))))))</f>
        <v> </v>
      </c>
      <c r="K1221" s="25" t="str">
        <f>IF(OR(E1221="",E1221="!!!",F1221="NEW"),"",INDEX(J$1:J1220,SUMPRODUCT(MAX(ROW(E$1:E1220)*(E1221=E$1:E1220)))))</f>
        <v> </v>
      </c>
      <c r="L1221" s="26"/>
    </row>
    <row r="1222" spans="1:12">
      <c r="A1222" s="20" t="s">
        <v>447</v>
      </c>
      <c r="E1222" s="21">
        <f>IF(D1222="?OLD","!!!","")</f>
        <v/>
      </c>
      <c r="F1222" s="22" t="str">
        <f>IF(OR(E1222="",E1222="!!!"),"",IF(NOT(ISNA(VLOOKUP(E1222,E$1:E1221,1,FALSE()))),"OLD",IF(AND(E1222&lt;&gt;"",E1222&lt;&gt;"!!!"),"NEW","")))</f>
        <v> </v>
      </c>
      <c r="G1222" s="23" t="str">
        <f>IF(OR(E1222="",E1222="!!!"),"",IF(OR(J1222=0,AND(J1222=1,K1222=1),AND(J1222=1,I1222="SBJ"),AND(J1222=1,I1222=0)),"?IN_FOCUS",IF(J1222&lt;=2,"?ACTIVATED",IF(J1222&lt;&gt;"","?FAMILIAR",IF(F1222="NEW",IF(ISNA(VLOOKUP(E1222,#REF!,1,FALSE())),"?TYPE_IDENTIFIABLE","?REFERENTIAL"),"_")))))</f>
        <v> </v>
      </c>
      <c r="H1222" s="24" t="str">
        <f>IF(J1222&lt;&gt;1,"",IF(I1222="SBJ","CB","?"))</f>
        <v> </v>
      </c>
      <c r="I1222" s="25" t="str">
        <f>IF(OR(E1222="",E1222="!!!",F1222="NEW"),"",INDEX(B1221:B$2,-1+SUMPRODUCT(MAX(ROW(E1221:E$2)*(E1222=E1221:E$2)))))</f>
        <v> </v>
      </c>
      <c r="J1222" s="25" t="str">
        <f>IF(OR(E1222="",E1222="!!!",F1222="NEW"),"",COUNTBLANK(OFFSET(A$1,,,SUMPRODUCT(MAX(ROW(E$2:E1222)*(E1222=E$2:E1222)))))-COUNTBLANK(OFFSET(A$1,,,SUMPRODUCT(MAX(ROW(E$1:E1221)*(E2=E$1:E1221))))))</f>
        <v> </v>
      </c>
      <c r="K1222" s="25" t="str">
        <f>IF(OR(E1222="",E1222="!!!",F1222="NEW"),"",INDEX(J$1:J1221,SUMPRODUCT(MAX(ROW(E$1:E1221)*(E1222=E$1:E1221)))))</f>
        <v> </v>
      </c>
      <c r="L1222" s="26"/>
    </row>
    <row r="1223" spans="1:12">
      <c r="A1223" s="20" t="s">
        <v>371</v>
      </c>
      <c r="B1223" s="27" t="s">
        <v>251</v>
      </c>
      <c r="C1223" s="27" t="s">
        <v>256</v>
      </c>
      <c r="D1223" s="27" t="s">
        <v>244</v>
      </c>
      <c r="E1223" s="21">
        <f>IF(D1223="?OLD","!!!","")</f>
        <v/>
      </c>
      <c r="F1223" s="22" t="str">
        <f>IF(OR(E1223="",E1223="!!!"),"",IF(NOT(ISNA(VLOOKUP(E1223,E$1:E1222,1,FALSE()))),"OLD",IF(AND(E1223&lt;&gt;"",E1223&lt;&gt;"!!!"),"NEW","")))</f>
        <v> </v>
      </c>
      <c r="G1223" s="23" t="str">
        <f>IF(OR(E1223="",E1223="!!!"),"",IF(OR(J1223=0,AND(J1223=1,K1223=1),AND(J1223=1,I1223="SBJ"),AND(J1223=1,I1223=0)),"?IN_FOCUS",IF(J1223&lt;=2,"?ACTIVATED",IF(J1223&lt;&gt;"","?FAMILIAR",IF(F1223="NEW",IF(ISNA(VLOOKUP(E1223,#REF!,1,FALSE())),"?TYPE_IDENTIFIABLE","?REFERENTIAL"),"_")))))</f>
        <v> </v>
      </c>
      <c r="H1223" s="24" t="str">
        <f>IF(J1223&lt;&gt;1,"",IF(I1223="SBJ","CB","?"))</f>
        <v> </v>
      </c>
      <c r="I1223" s="25" t="str">
        <f>IF(OR(E1223="",E1223="!!!",F1223="NEW"),"",INDEX(B1222:B$2,-1+SUMPRODUCT(MAX(ROW(E1222:E$2)*(E1223=E1222:E$2)))))</f>
        <v> </v>
      </c>
      <c r="J1223" s="25" t="str">
        <f>IF(OR(E1223="",E1223="!!!",F1223="NEW"),"",COUNTBLANK(OFFSET(A$1,,,SUMPRODUCT(MAX(ROW(E$2:E1223)*(E1223=E$2:E1223)))))-COUNTBLANK(OFFSET(A$1,,,SUMPRODUCT(MAX(ROW(E$1:E1222)*(E2=E$1:E1222))))))</f>
        <v> </v>
      </c>
      <c r="K1223" s="25" t="str">
        <f>IF(OR(E1223="",E1223="!!!",F1223="NEW"),"",INDEX(J$1:J1222,SUMPRODUCT(MAX(ROW(E$1:E1222)*(E1223=E$1:E1222)))))</f>
        <v> </v>
      </c>
      <c r="L1223" s="26"/>
    </row>
    <row r="1224" spans="1:12">
      <c r="A1224" s="20" t="s">
        <v>516</v>
      </c>
      <c r="E1224" s="21">
        <f>IF(D1224="?OLD","!!!","")</f>
        <v/>
      </c>
      <c r="F1224" s="22" t="str">
        <f>IF(OR(E1224="",E1224="!!!"),"",IF(NOT(ISNA(VLOOKUP(E1224,E$1:E1223,1,FALSE()))),"OLD",IF(AND(E1224&lt;&gt;"",E1224&lt;&gt;"!!!"),"NEW","")))</f>
        <v> </v>
      </c>
      <c r="G1224" s="23" t="str">
        <f>IF(OR(E1224="",E1224="!!!"),"",IF(OR(J1224=0,AND(J1224=1,K1224=1),AND(J1224=1,I1224="SBJ"),AND(J1224=1,I1224=0)),"?IN_FOCUS",IF(J1224&lt;=2,"?ACTIVATED",IF(J1224&lt;&gt;"","?FAMILIAR",IF(F1224="NEW",IF(ISNA(VLOOKUP(E1224,#REF!,1,FALSE())),"?TYPE_IDENTIFIABLE","?REFERENTIAL"),"_")))))</f>
        <v> </v>
      </c>
      <c r="H1224" s="24" t="str">
        <f>IF(J1224&lt;&gt;1,"",IF(I1224="SBJ","CB","?"))</f>
        <v> </v>
      </c>
      <c r="I1224" s="25" t="str">
        <f>IF(OR(E1224="",E1224="!!!",F1224="NEW"),"",INDEX(B1223:B$2,-1+SUMPRODUCT(MAX(ROW(E1223:E$2)*(E1224=E1223:E$2)))))</f>
        <v> </v>
      </c>
      <c r="J1224" s="25" t="str">
        <f>IF(OR(E1224="",E1224="!!!",F1224="NEW"),"",COUNTBLANK(OFFSET(A$1,,,SUMPRODUCT(MAX(ROW(E$2:E1224)*(E1224=E$2:E1224)))))-COUNTBLANK(OFFSET(A$1,,,SUMPRODUCT(MAX(ROW(E$1:E1223)*(E2=E$1:E1223))))))</f>
        <v> </v>
      </c>
      <c r="K1224" s="25" t="str">
        <f>IF(OR(E1224="",E1224="!!!",F1224="NEW"),"",INDEX(J$1:J1223,SUMPRODUCT(MAX(ROW(E$1:E1223)*(E1224=E$1:E1223)))))</f>
        <v> </v>
      </c>
      <c r="L1224" s="26"/>
    </row>
    <row r="1225" spans="1:12">
      <c r="A1225" s="20" t="s">
        <v>321</v>
      </c>
      <c r="E1225" s="21">
        <f>IF(D1225="?OLD","!!!","")</f>
        <v/>
      </c>
      <c r="F1225" s="22" t="str">
        <f>IF(OR(E1225="",E1225="!!!"),"",IF(NOT(ISNA(VLOOKUP(E1225,E$1:E1224,1,FALSE()))),"OLD",IF(AND(E1225&lt;&gt;"",E1225&lt;&gt;"!!!"),"NEW","")))</f>
        <v> </v>
      </c>
      <c r="G1225" s="23" t="str">
        <f>IF(OR(E1225="",E1225="!!!"),"",IF(OR(J1225=0,AND(J1225=1,K1225=1),AND(J1225=1,I1225="SBJ"),AND(J1225=1,I1225=0)),"?IN_FOCUS",IF(J1225&lt;=2,"?ACTIVATED",IF(J1225&lt;&gt;"","?FAMILIAR",IF(F1225="NEW",IF(ISNA(VLOOKUP(E1225,#REF!,1,FALSE())),"?TYPE_IDENTIFIABLE","?REFERENTIAL"),"_")))))</f>
        <v> </v>
      </c>
      <c r="H1225" s="24" t="str">
        <f>IF(J1225&lt;&gt;1,"",IF(I1225="SBJ","CB","?"))</f>
        <v> </v>
      </c>
      <c r="I1225" s="25" t="str">
        <f>IF(OR(E1225="",E1225="!!!",F1225="NEW"),"",INDEX(B1224:B$2,-1+SUMPRODUCT(MAX(ROW(E1224:E$2)*(E1225=E1224:E$2)))))</f>
        <v> </v>
      </c>
      <c r="J1225" s="25" t="str">
        <f>IF(OR(E1225="",E1225="!!!",F1225="NEW"),"",COUNTBLANK(OFFSET(A$1,,,SUMPRODUCT(MAX(ROW(E$2:E1225)*(E1225=E$2:E1225)))))-COUNTBLANK(OFFSET(A$1,,,SUMPRODUCT(MAX(ROW(E$1:E1224)*(E2=E$1:E1224))))))</f>
        <v> </v>
      </c>
      <c r="K1225" s="25" t="str">
        <f>IF(OR(E1225="",E1225="!!!",F1225="NEW"),"",INDEX(J$1:J1224,SUMPRODUCT(MAX(ROW(E$1:E1224)*(E1225=E$1:E1224)))))</f>
        <v> </v>
      </c>
      <c r="L1225" s="26"/>
    </row>
    <row r="1226" spans="1:12">
      <c r="A1226" s="20" t="s">
        <v>248</v>
      </c>
      <c r="E1226" s="21">
        <f>IF(D1226="?OLD","!!!","")</f>
        <v/>
      </c>
      <c r="F1226" s="22" t="str">
        <f>IF(OR(E1226="",E1226="!!!"),"",IF(NOT(ISNA(VLOOKUP(E1226,E$1:E1225,1,FALSE()))),"OLD",IF(AND(E1226&lt;&gt;"",E1226&lt;&gt;"!!!"),"NEW","")))</f>
        <v> </v>
      </c>
      <c r="G1226" s="23" t="str">
        <f>IF(OR(E1226="",E1226="!!!"),"",IF(OR(J1226=0,AND(J1226=1,K1226=1),AND(J1226=1,I1226="SBJ"),AND(J1226=1,I1226=0)),"?IN_FOCUS",IF(J1226&lt;=2,"?ACTIVATED",IF(J1226&lt;&gt;"","?FAMILIAR",IF(F1226="NEW",IF(ISNA(VLOOKUP(E1226,#REF!,1,FALSE())),"?TYPE_IDENTIFIABLE","?REFERENTIAL"),"_")))))</f>
        <v> </v>
      </c>
      <c r="H1226" s="24" t="str">
        <f>IF(J1226&lt;&gt;1,"",IF(I1226="SBJ","CB","?"))</f>
        <v> </v>
      </c>
      <c r="I1226" s="25" t="str">
        <f>IF(OR(E1226="",E1226="!!!",F1226="NEW"),"",INDEX(B1225:B$2,-1+SUMPRODUCT(MAX(ROW(E1225:E$2)*(E1226=E1225:E$2)))))</f>
        <v> </v>
      </c>
      <c r="J1226" s="25" t="str">
        <f>IF(OR(E1226="",E1226="!!!",F1226="NEW"),"",COUNTBLANK(OFFSET(A$1,,,SUMPRODUCT(MAX(ROW(E$2:E1226)*(E1226=E$2:E1226)))))-COUNTBLANK(OFFSET(A$1,,,SUMPRODUCT(MAX(ROW(E$1:E1225)*(E2=E$1:E1225))))))</f>
        <v> </v>
      </c>
      <c r="K1226" s="25" t="str">
        <f>IF(OR(E1226="",E1226="!!!",F1226="NEW"),"",INDEX(J$1:J1225,SUMPRODUCT(MAX(ROW(E$1:E1225)*(E1226=E$1:E1225)))))</f>
        <v> </v>
      </c>
      <c r="L1226" s="26"/>
    </row>
    <row r="1227" spans="1:12">
      <c r="A1227" s="20" t="s">
        <v>322</v>
      </c>
      <c r="B1227" s="27" t="s">
        <v>237</v>
      </c>
      <c r="C1227" s="27" t="s">
        <v>267</v>
      </c>
      <c r="D1227" s="27" t="s">
        <v>244</v>
      </c>
      <c r="E1227" s="21">
        <f>IF(D1227="?OLD","!!!","")</f>
        <v/>
      </c>
      <c r="F1227" s="22" t="str">
        <f>IF(OR(E1227="",E1227="!!!"),"",IF(NOT(ISNA(VLOOKUP(E1227,E$1:E1226,1,FALSE()))),"OLD",IF(AND(E1227&lt;&gt;"",E1227&lt;&gt;"!!!"),"NEW","")))</f>
        <v> </v>
      </c>
      <c r="G1227" s="23" t="str">
        <f>IF(OR(E1227="",E1227="!!!"),"",IF(OR(J1227=0,AND(J1227=1,K1227=1),AND(J1227=1,I1227="SBJ"),AND(J1227=1,I1227=0)),"?IN_FOCUS",IF(J1227&lt;=2,"?ACTIVATED",IF(J1227&lt;&gt;"","?FAMILIAR",IF(F1227="NEW",IF(ISNA(VLOOKUP(E1227,#REF!,1,FALSE())),"?TYPE_IDENTIFIABLE","?REFERENTIAL"),"_")))))</f>
        <v> </v>
      </c>
      <c r="H1227" s="24" t="str">
        <f>IF(J1227&lt;&gt;1,"",IF(I1227="SBJ","CB","?"))</f>
        <v> </v>
      </c>
      <c r="I1227" s="25" t="str">
        <f>IF(OR(E1227="",E1227="!!!",F1227="NEW"),"",INDEX(B1226:B$2,-1+SUMPRODUCT(MAX(ROW(E1226:E$2)*(E1227=E1226:E$2)))))</f>
        <v> </v>
      </c>
      <c r="J1227" s="25" t="str">
        <f>IF(OR(E1227="",E1227="!!!",F1227="NEW"),"",COUNTBLANK(OFFSET(A$1,,,SUMPRODUCT(MAX(ROW(E$2:E1227)*(E1227=E$2:E1227)))))-COUNTBLANK(OFFSET(A$1,,,SUMPRODUCT(MAX(ROW(E$1:E1226)*(E2=E$1:E1226))))))</f>
        <v> </v>
      </c>
      <c r="K1227" s="25" t="str">
        <f>IF(OR(E1227="",E1227="!!!",F1227="NEW"),"",INDEX(J$1:J1226,SUMPRODUCT(MAX(ROW(E$1:E1226)*(E1227=E$1:E1226)))))</f>
        <v> </v>
      </c>
      <c r="L1227" s="26"/>
    </row>
    <row r="1228" spans="1:12">
      <c r="A1228" s="20" t="s">
        <v>273</v>
      </c>
      <c r="E1228" s="21">
        <f>IF(D1228="?OLD","!!!","")</f>
        <v/>
      </c>
      <c r="F1228" s="22" t="str">
        <f>IF(OR(E1228="",E1228="!!!"),"",IF(NOT(ISNA(VLOOKUP(E1228,E$1:E1227,1,FALSE()))),"OLD",IF(AND(E1228&lt;&gt;"",E1228&lt;&gt;"!!!"),"NEW","")))</f>
        <v> </v>
      </c>
      <c r="G1228" s="23" t="str">
        <f>IF(OR(E1228="",E1228="!!!"),"",IF(OR(J1228=0,AND(J1228=1,K1228=1),AND(J1228=1,I1228="SBJ"),AND(J1228=1,I1228=0)),"?IN_FOCUS",IF(J1228&lt;=2,"?ACTIVATED",IF(J1228&lt;&gt;"","?FAMILIAR",IF(F1228="NEW",IF(ISNA(VLOOKUP(E1228,#REF!,1,FALSE())),"?TYPE_IDENTIFIABLE","?REFERENTIAL"),"_")))))</f>
        <v> </v>
      </c>
      <c r="H1228" s="24" t="str">
        <f>IF(J1228&lt;&gt;1,"",IF(I1228="SBJ","CB","?"))</f>
        <v> </v>
      </c>
      <c r="I1228" s="25" t="str">
        <f>IF(OR(E1228="",E1228="!!!",F1228="NEW"),"",INDEX(B1227:B$2,-1+SUMPRODUCT(MAX(ROW(E1227:E$2)*(E1228=E1227:E$2)))))</f>
        <v> </v>
      </c>
      <c r="J1228" s="25" t="str">
        <f>IF(OR(E1228="",E1228="!!!",F1228="NEW"),"",COUNTBLANK(OFFSET(A$1,,,SUMPRODUCT(MAX(ROW(E$2:E1228)*(E1228=E$2:E1228)))))-COUNTBLANK(OFFSET(A$1,,,SUMPRODUCT(MAX(ROW(E$1:E1227)*(E2=E$1:E1227))))))</f>
        <v> </v>
      </c>
      <c r="K1228" s="25" t="str">
        <f>IF(OR(E1228="",E1228="!!!",F1228="NEW"),"",INDEX(J$1:J1227,SUMPRODUCT(MAX(ROW(E$1:E1227)*(E1228=E$1:E1227)))))</f>
        <v> </v>
      </c>
      <c r="L1228" s="26"/>
    </row>
    <row r="1229" spans="1:12">
      <c r="A1229" s="20" t="s">
        <v>248</v>
      </c>
      <c r="E1229" s="21">
        <f>IF(D1229="?OLD","!!!","")</f>
        <v/>
      </c>
      <c r="F1229" s="22" t="str">
        <f>IF(OR(E1229="",E1229="!!!"),"",IF(NOT(ISNA(VLOOKUP(E1229,E$1:E1228,1,FALSE()))),"OLD",IF(AND(E1229&lt;&gt;"",E1229&lt;&gt;"!!!"),"NEW","")))</f>
        <v> </v>
      </c>
      <c r="G1229" s="23" t="str">
        <f>IF(OR(E1229="",E1229="!!!"),"",IF(OR(J1229=0,AND(J1229=1,K1229=1),AND(J1229=1,I1229="SBJ"),AND(J1229=1,I1229=0)),"?IN_FOCUS",IF(J1229&lt;=2,"?ACTIVATED",IF(J1229&lt;&gt;"","?FAMILIAR",IF(F1229="NEW",IF(ISNA(VLOOKUP(E1229,#REF!,1,FALSE())),"?TYPE_IDENTIFIABLE","?REFERENTIAL"),"_")))))</f>
        <v> </v>
      </c>
      <c r="H1229" s="24" t="str">
        <f>IF(J1229&lt;&gt;1,"",IF(I1229="SBJ","CB","?"))</f>
        <v> </v>
      </c>
      <c r="I1229" s="25" t="str">
        <f>IF(OR(E1229="",E1229="!!!",F1229="NEW"),"",INDEX(B1228:B$2,-1+SUMPRODUCT(MAX(ROW(E1228:E$2)*(E1229=E1228:E$2)))))</f>
        <v> </v>
      </c>
      <c r="J1229" s="25" t="str">
        <f>IF(OR(E1229="",E1229="!!!",F1229="NEW"),"",COUNTBLANK(OFFSET(A$1,,,SUMPRODUCT(MAX(ROW(E$2:E1229)*(E1229=E$2:E1229)))))-COUNTBLANK(OFFSET(A$1,,,SUMPRODUCT(MAX(ROW(E$1:E1228)*(E2=E$1:E1228))))))</f>
        <v> </v>
      </c>
      <c r="K1229" s="25" t="str">
        <f>IF(OR(E1229="",E1229="!!!",F1229="NEW"),"",INDEX(J$1:J1228,SUMPRODUCT(MAX(ROW(E$1:E1228)*(E1229=E$1:E1228)))))</f>
        <v> </v>
      </c>
      <c r="L1229" s="26"/>
    </row>
    <row r="1230" spans="1:12">
      <c r="A1230" s="20" t="s">
        <v>759</v>
      </c>
      <c r="E1230" s="21">
        <f>IF(D1230="?OLD","!!!","")</f>
        <v/>
      </c>
      <c r="F1230" s="22" t="str">
        <f>IF(OR(E1230="",E1230="!!!"),"",IF(NOT(ISNA(VLOOKUP(E1230,E$1:E1229,1,FALSE()))),"OLD",IF(AND(E1230&lt;&gt;"",E1230&lt;&gt;"!!!"),"NEW","")))</f>
        <v> </v>
      </c>
      <c r="G1230" s="23" t="str">
        <f>IF(OR(E1230="",E1230="!!!"),"",IF(OR(J1230=0,AND(J1230=1,K1230=1),AND(J1230=1,I1230="SBJ"),AND(J1230=1,I1230=0)),"?IN_FOCUS",IF(J1230&lt;=2,"?ACTIVATED",IF(J1230&lt;&gt;"","?FAMILIAR",IF(F1230="NEW",IF(ISNA(VLOOKUP(E1230,#REF!,1,FALSE())),"?TYPE_IDENTIFIABLE","?REFERENTIAL"),"_")))))</f>
        <v> </v>
      </c>
      <c r="H1230" s="24" t="str">
        <f>IF(J1230&lt;&gt;1,"",IF(I1230="SBJ","CB","?"))</f>
        <v> </v>
      </c>
      <c r="I1230" s="25" t="str">
        <f>IF(OR(E1230="",E1230="!!!",F1230="NEW"),"",INDEX(B1229:B$2,-1+SUMPRODUCT(MAX(ROW(E1229:E$2)*(E1230=E1229:E$2)))))</f>
        <v> </v>
      </c>
      <c r="J1230" s="25" t="str">
        <f>IF(OR(E1230="",E1230="!!!",F1230="NEW"),"",COUNTBLANK(OFFSET(A$1,,,SUMPRODUCT(MAX(ROW(E$2:E1230)*(E1230=E$2:E1230)))))-COUNTBLANK(OFFSET(A$1,,,SUMPRODUCT(MAX(ROW(E$1:E1229)*(E2=E$1:E1229))))))</f>
        <v> </v>
      </c>
      <c r="K1230" s="25" t="str">
        <f>IF(OR(E1230="",E1230="!!!",F1230="NEW"),"",INDEX(J$1:J1229,SUMPRODUCT(MAX(ROW(E$1:E1229)*(E1230=E$1:E1229)))))</f>
        <v> </v>
      </c>
      <c r="L1230" s="26"/>
    </row>
    <row r="1231" spans="1:12">
      <c r="A1231" s="20" t="s">
        <v>760</v>
      </c>
      <c r="B1231" s="27" t="s">
        <v>291</v>
      </c>
      <c r="C1231" s="27" t="s">
        <v>243</v>
      </c>
      <c r="D1231" s="27" t="s">
        <v>244</v>
      </c>
      <c r="E1231" s="21">
        <f>IF(D1231="?OLD","!!!","")</f>
        <v/>
      </c>
      <c r="F1231" s="22" t="str">
        <f>IF(OR(E1231="",E1231="!!!"),"",IF(NOT(ISNA(VLOOKUP(E1231,E$1:E1230,1,FALSE()))),"OLD",IF(AND(E1231&lt;&gt;"",E1231&lt;&gt;"!!!"),"NEW","")))</f>
        <v> </v>
      </c>
      <c r="G1231" s="23" t="str">
        <f>IF(OR(E1231="",E1231="!!!"),"",IF(OR(J1231=0,AND(J1231=1,K1231=1),AND(J1231=1,I1231="SBJ"),AND(J1231=1,I1231=0)),"?IN_FOCUS",IF(J1231&lt;=2,"?ACTIVATED",IF(J1231&lt;&gt;"","?FAMILIAR",IF(F1231="NEW",IF(ISNA(VLOOKUP(E1231,#REF!,1,FALSE())),"?TYPE_IDENTIFIABLE","?REFERENTIAL"),"_")))))</f>
        <v> </v>
      </c>
      <c r="H1231" s="24" t="str">
        <f>IF(J1231&lt;&gt;1,"",IF(I1231="SBJ","CB","?"))</f>
        <v> </v>
      </c>
      <c r="I1231" s="25" t="str">
        <f>IF(OR(E1231="",E1231="!!!",F1231="NEW"),"",INDEX(B1230:B$2,-1+SUMPRODUCT(MAX(ROW(E1230:E$2)*(E1231=E1230:E$2)))))</f>
        <v> </v>
      </c>
      <c r="J1231" s="25" t="str">
        <f>IF(OR(E1231="",E1231="!!!",F1231="NEW"),"",COUNTBLANK(OFFSET(A$1,,,SUMPRODUCT(MAX(ROW(E$2:E1231)*(E1231=E$2:E1231)))))-COUNTBLANK(OFFSET(A$1,,,SUMPRODUCT(MAX(ROW(E$1:E1230)*(E2=E$1:E1230))))))</f>
        <v> </v>
      </c>
      <c r="K1231" s="25" t="str">
        <f>IF(OR(E1231="",E1231="!!!",F1231="NEW"),"",INDEX(J$1:J1230,SUMPRODUCT(MAX(ROW(E$1:E1230)*(E1231=E$1:E1230)))))</f>
        <v> </v>
      </c>
      <c r="L1231" s="26"/>
    </row>
    <row r="1232" spans="1:12">
      <c r="A1232" s="20" t="s">
        <v>761</v>
      </c>
      <c r="E1232" s="21">
        <f>IF(D1232="?OLD","!!!","")</f>
        <v/>
      </c>
      <c r="F1232" s="22" t="str">
        <f>IF(OR(E1232="",E1232="!!!"),"",IF(NOT(ISNA(VLOOKUP(E1232,E$1:E1231,1,FALSE()))),"OLD",IF(AND(E1232&lt;&gt;"",E1232&lt;&gt;"!!!"),"NEW","")))</f>
        <v> </v>
      </c>
      <c r="G1232" s="23" t="str">
        <f>IF(OR(E1232="",E1232="!!!"),"",IF(OR(J1232=0,AND(J1232=1,K1232=1),AND(J1232=1,I1232="SBJ"),AND(J1232=1,I1232=0)),"?IN_FOCUS",IF(J1232&lt;=2,"?ACTIVATED",IF(J1232&lt;&gt;"","?FAMILIAR",IF(F1232="NEW",IF(ISNA(VLOOKUP(E1232,#REF!,1,FALSE())),"?TYPE_IDENTIFIABLE","?REFERENTIAL"),"_")))))</f>
        <v> </v>
      </c>
      <c r="H1232" s="24" t="str">
        <f>IF(J1232&lt;&gt;1,"",IF(I1232="SBJ","CB","?"))</f>
        <v> </v>
      </c>
      <c r="I1232" s="25" t="str">
        <f>IF(OR(E1232="",E1232="!!!",F1232="NEW"),"",INDEX(B1231:B$2,-1+SUMPRODUCT(MAX(ROW(E1231:E$2)*(E1232=E1231:E$2)))))</f>
        <v> </v>
      </c>
      <c r="J1232" s="25" t="str">
        <f>IF(OR(E1232="",E1232="!!!",F1232="NEW"),"",COUNTBLANK(OFFSET(A$1,,,SUMPRODUCT(MAX(ROW(E$2:E1232)*(E1232=E$2:E1232)))))-COUNTBLANK(OFFSET(A$1,,,SUMPRODUCT(MAX(ROW(E$1:E1231)*(E2=E$1:E1231))))))</f>
        <v> </v>
      </c>
      <c r="K1232" s="25" t="str">
        <f>IF(OR(E1232="",E1232="!!!",F1232="NEW"),"",INDEX(J$1:J1231,SUMPRODUCT(MAX(ROW(E$1:E1231)*(E1232=E$1:E1231)))))</f>
        <v> </v>
      </c>
      <c r="L1232" s="26"/>
    </row>
    <row r="1233" spans="1:12">
      <c r="A1233" s="20" t="s">
        <v>762</v>
      </c>
      <c r="B1233" s="27" t="s">
        <v>272</v>
      </c>
      <c r="C1233" s="27" t="s">
        <v>243</v>
      </c>
      <c r="D1233" s="27" t="s">
        <v>244</v>
      </c>
      <c r="E1233" s="21">
        <f>IF(D1233="?OLD","!!!","")</f>
        <v/>
      </c>
      <c r="F1233" s="22" t="str">
        <f>IF(OR(E1233="",E1233="!!!"),"",IF(NOT(ISNA(VLOOKUP(E1233,E$1:E1232,1,FALSE()))),"OLD",IF(AND(E1233&lt;&gt;"",E1233&lt;&gt;"!!!"),"NEW","")))</f>
        <v> </v>
      </c>
      <c r="G1233" s="23" t="str">
        <f>IF(OR(E1233="",E1233="!!!"),"",IF(OR(J1233=0,AND(J1233=1,K1233=1),AND(J1233=1,I1233="SBJ"),AND(J1233=1,I1233=0)),"?IN_FOCUS",IF(J1233&lt;=2,"?ACTIVATED",IF(J1233&lt;&gt;"","?FAMILIAR",IF(F1233="NEW",IF(ISNA(VLOOKUP(E1233,#REF!,1,FALSE())),"?TYPE_IDENTIFIABLE","?REFERENTIAL"),"_")))))</f>
        <v> </v>
      </c>
      <c r="H1233" s="24" t="str">
        <f>IF(J1233&lt;&gt;1,"",IF(I1233="SBJ","CB","?"))</f>
        <v> </v>
      </c>
      <c r="I1233" s="25" t="str">
        <f>IF(OR(E1233="",E1233="!!!",F1233="NEW"),"",INDEX(B1232:B$2,-1+SUMPRODUCT(MAX(ROW(E1232:E$2)*(E1233=E1232:E$2)))))</f>
        <v> </v>
      </c>
      <c r="J1233" s="25" t="str">
        <f>IF(OR(E1233="",E1233="!!!",F1233="NEW"),"",COUNTBLANK(OFFSET(A$1,,,SUMPRODUCT(MAX(ROW(E$2:E1233)*(E1233=E$2:E1233)))))-COUNTBLANK(OFFSET(A$1,,,SUMPRODUCT(MAX(ROW(E$1:E1232)*(E2=E$1:E1232))))))</f>
        <v> </v>
      </c>
      <c r="K1233" s="25" t="str">
        <f>IF(OR(E1233="",E1233="!!!",F1233="NEW"),"",INDEX(J$1:J1232,SUMPRODUCT(MAX(ROW(E$1:E1232)*(E1233=E$1:E1232)))))</f>
        <v> </v>
      </c>
      <c r="L1233" s="26"/>
    </row>
    <row r="1234" spans="1:12">
      <c r="A1234" s="20" t="s">
        <v>763</v>
      </c>
      <c r="E1234" s="21">
        <f>IF(D1234="?OLD","!!!","")</f>
        <v/>
      </c>
      <c r="F1234" s="22" t="str">
        <f>IF(OR(E1234="",E1234="!!!"),"",IF(NOT(ISNA(VLOOKUP(E1234,E$1:E1233,1,FALSE()))),"OLD",IF(AND(E1234&lt;&gt;"",E1234&lt;&gt;"!!!"),"NEW","")))</f>
        <v> </v>
      </c>
      <c r="G1234" s="23" t="str">
        <f>IF(OR(E1234="",E1234="!!!"),"",IF(OR(J1234=0,AND(J1234=1,K1234=1),AND(J1234=1,I1234="SBJ"),AND(J1234=1,I1234=0)),"?IN_FOCUS",IF(J1234&lt;=2,"?ACTIVATED",IF(J1234&lt;&gt;"","?FAMILIAR",IF(F1234="NEW",IF(ISNA(VLOOKUP(E1234,#REF!,1,FALSE())),"?TYPE_IDENTIFIABLE","?REFERENTIAL"),"_")))))</f>
        <v> </v>
      </c>
      <c r="H1234" s="24" t="str">
        <f>IF(J1234&lt;&gt;1,"",IF(I1234="SBJ","CB","?"))</f>
        <v> </v>
      </c>
      <c r="I1234" s="25" t="str">
        <f>IF(OR(E1234="",E1234="!!!",F1234="NEW"),"",INDEX(B1233:B$2,-1+SUMPRODUCT(MAX(ROW(E1233:E$2)*(E1234=E1233:E$2)))))</f>
        <v> </v>
      </c>
      <c r="J1234" s="25" t="str">
        <f>IF(OR(E1234="",E1234="!!!",F1234="NEW"),"",COUNTBLANK(OFFSET(A$1,,,SUMPRODUCT(MAX(ROW(E$2:E1234)*(E1234=E$2:E1234)))))-COUNTBLANK(OFFSET(A$1,,,SUMPRODUCT(MAX(ROW(E$1:E1233)*(E2=E$1:E1233))))))</f>
        <v> </v>
      </c>
      <c r="K1234" s="25" t="str">
        <f>IF(OR(E1234="",E1234="!!!",F1234="NEW"),"",INDEX(J$1:J1233,SUMPRODUCT(MAX(ROW(E$1:E1233)*(E1234=E$1:E1233)))))</f>
        <v> </v>
      </c>
      <c r="L1234" s="26"/>
    </row>
    <row r="1235" spans="1:12">
      <c r="A1235" s="20" t="s">
        <v>305</v>
      </c>
      <c r="E1235" s="21">
        <f>IF(D1235="?OLD","!!!","")</f>
        <v/>
      </c>
      <c r="F1235" s="22" t="str">
        <f>IF(OR(E1235="",E1235="!!!"),"",IF(NOT(ISNA(VLOOKUP(E1235,E$1:E1234,1,FALSE()))),"OLD",IF(AND(E1235&lt;&gt;"",E1235&lt;&gt;"!!!"),"NEW","")))</f>
        <v> </v>
      </c>
      <c r="G1235" s="23" t="str">
        <f>IF(OR(E1235="",E1235="!!!"),"",IF(OR(J1235=0,AND(J1235=1,K1235=1),AND(J1235=1,I1235="SBJ"),AND(J1235=1,I1235=0)),"?IN_FOCUS",IF(J1235&lt;=2,"?ACTIVATED",IF(J1235&lt;&gt;"","?FAMILIAR",IF(F1235="NEW",IF(ISNA(VLOOKUP(E1235,#REF!,1,FALSE())),"?TYPE_IDENTIFIABLE","?REFERENTIAL"),"_")))))</f>
        <v> </v>
      </c>
      <c r="H1235" s="24" t="str">
        <f>IF(J1235&lt;&gt;1,"",IF(I1235="SBJ","CB","?"))</f>
        <v> </v>
      </c>
      <c r="I1235" s="25" t="str">
        <f>IF(OR(E1235="",E1235="!!!",F1235="NEW"),"",INDEX(B1234:B$2,-1+SUMPRODUCT(MAX(ROW(E1234:E$2)*(E1235=E1234:E$2)))))</f>
        <v> </v>
      </c>
      <c r="J1235" s="25" t="str">
        <f>IF(OR(E1235="",E1235="!!!",F1235="NEW"),"",COUNTBLANK(OFFSET(A$1,,,SUMPRODUCT(MAX(ROW(E$2:E1235)*(E1235=E$2:E1235)))))-COUNTBLANK(OFFSET(A$1,,,SUMPRODUCT(MAX(ROW(E$1:E1234)*(E2=E$1:E1234))))))</f>
        <v> </v>
      </c>
      <c r="K1235" s="25" t="str">
        <f>IF(OR(E1235="",E1235="!!!",F1235="NEW"),"",INDEX(J$1:J1234,SUMPRODUCT(MAX(ROW(E$1:E1234)*(E1235=E$1:E1234)))))</f>
        <v> </v>
      </c>
      <c r="L1235" s="26"/>
    </row>
    <row r="1236" spans="1:12">
      <c r="A1236" s="20" t="s">
        <v>513</v>
      </c>
      <c r="B1236" s="27" t="s">
        <v>361</v>
      </c>
      <c r="E1236" s="21">
        <f>IF(D1236="?OLD","!!!","")</f>
        <v/>
      </c>
      <c r="F1236" s="22" t="str">
        <f>IF(OR(E1236="",E1236="!!!"),"",IF(NOT(ISNA(VLOOKUP(E1236,E$1:E1235,1,FALSE()))),"OLD",IF(AND(E1236&lt;&gt;"",E1236&lt;&gt;"!!!"),"NEW","")))</f>
        <v> </v>
      </c>
      <c r="G1236" s="23" t="str">
        <f>IF(OR(E1236="",E1236="!!!"),"",IF(OR(J1236=0,AND(J1236=1,K1236=1),AND(J1236=1,I1236="SBJ"),AND(J1236=1,I1236=0)),"?IN_FOCUS",IF(J1236&lt;=2,"?ACTIVATED",IF(J1236&lt;&gt;"","?FAMILIAR",IF(F1236="NEW",IF(ISNA(VLOOKUP(E1236,#REF!,1,FALSE())),"?TYPE_IDENTIFIABLE","?REFERENTIAL"),"_")))))</f>
        <v> </v>
      </c>
      <c r="H1236" s="24" t="str">
        <f>IF(J1236&lt;&gt;1,"",IF(I1236="SBJ","CB","?"))</f>
        <v> </v>
      </c>
      <c r="I1236" s="25" t="str">
        <f>IF(OR(E1236="",E1236="!!!",F1236="NEW"),"",INDEX(B1235:B$2,-1+SUMPRODUCT(MAX(ROW(E1235:E$2)*(E1236=E1235:E$2)))))</f>
        <v> </v>
      </c>
      <c r="J1236" s="25" t="str">
        <f>IF(OR(E1236="",E1236="!!!",F1236="NEW"),"",COUNTBLANK(OFFSET(A$1,,,SUMPRODUCT(MAX(ROW(E$2:E1236)*(E1236=E$2:E1236)))))-COUNTBLANK(OFFSET(A$1,,,SUMPRODUCT(MAX(ROW(E$1:E1235)*(E2=E$1:E1235))))))</f>
        <v> </v>
      </c>
      <c r="K1236" s="25" t="str">
        <f>IF(OR(E1236="",E1236="!!!",F1236="NEW"),"",INDEX(J$1:J1235,SUMPRODUCT(MAX(ROW(E$1:E1235)*(E1236=E$1:E1235)))))</f>
        <v> </v>
      </c>
      <c r="L1236" s="26"/>
    </row>
    <row r="1237" spans="1:12">
      <c r="A1237" s="20" t="s">
        <v>764</v>
      </c>
      <c r="E1237" s="21">
        <f>IF(D1237="?OLD","!!!","")</f>
        <v/>
      </c>
      <c r="F1237" s="22" t="str">
        <f>IF(OR(E1237="",E1237="!!!"),"",IF(NOT(ISNA(VLOOKUP(E1237,E$1:E1236,1,FALSE()))),"OLD",IF(AND(E1237&lt;&gt;"",E1237&lt;&gt;"!!!"),"NEW","")))</f>
        <v> </v>
      </c>
      <c r="G1237" s="23" t="str">
        <f>IF(OR(E1237="",E1237="!!!"),"",IF(OR(J1237=0,AND(J1237=1,K1237=1),AND(J1237=1,I1237="SBJ"),AND(J1237=1,I1237=0)),"?IN_FOCUS",IF(J1237&lt;=2,"?ACTIVATED",IF(J1237&lt;&gt;"","?FAMILIAR",IF(F1237="NEW",IF(ISNA(VLOOKUP(E1237,#REF!,1,FALSE())),"?TYPE_IDENTIFIABLE","?REFERENTIAL"),"_")))))</f>
        <v> </v>
      </c>
      <c r="H1237" s="24" t="str">
        <f>IF(J1237&lt;&gt;1,"",IF(I1237="SBJ","CB","?"))</f>
        <v> </v>
      </c>
      <c r="I1237" s="25" t="str">
        <f>IF(OR(E1237="",E1237="!!!",F1237="NEW"),"",INDEX(B1236:B$2,-1+SUMPRODUCT(MAX(ROW(E1236:E$2)*(E1237=E1236:E$2)))))</f>
        <v> </v>
      </c>
      <c r="J1237" s="25" t="str">
        <f>IF(OR(E1237="",E1237="!!!",F1237="NEW"),"",COUNTBLANK(OFFSET(A$1,,,SUMPRODUCT(MAX(ROW(E$2:E1237)*(E1237=E$2:E1237)))))-COUNTBLANK(OFFSET(A$1,,,SUMPRODUCT(MAX(ROW(E$1:E1236)*(E2=E$1:E1236))))))</f>
        <v> </v>
      </c>
      <c r="K1237" s="25" t="str">
        <f>IF(OR(E1237="",E1237="!!!",F1237="NEW"),"",INDEX(J$1:J1236,SUMPRODUCT(MAX(ROW(E$1:E1236)*(E1237=E$1:E1236)))))</f>
        <v> </v>
      </c>
      <c r="L1237" s="26"/>
    </row>
    <row r="1238" spans="1:12">
      <c r="A1238" s="20" t="s">
        <v>354</v>
      </c>
      <c r="B1238" s="27" t="s">
        <v>364</v>
      </c>
      <c r="C1238" s="27" t="s">
        <v>256</v>
      </c>
      <c r="D1238" s="27" t="s">
        <v>244</v>
      </c>
      <c r="E1238" s="21">
        <f>IF(D1238="?OLD","!!!","")</f>
        <v/>
      </c>
      <c r="F1238" s="22" t="str">
        <f>IF(OR(E1238="",E1238="!!!"),"",IF(NOT(ISNA(VLOOKUP(E1238,E$1:E1237,1,FALSE()))),"OLD",IF(AND(E1238&lt;&gt;"",E1238&lt;&gt;"!!!"),"NEW","")))</f>
        <v> </v>
      </c>
      <c r="G1238" s="23" t="str">
        <f>IF(OR(E1238="",E1238="!!!"),"",IF(OR(J1238=0,AND(J1238=1,K1238=1),AND(J1238=1,I1238="SBJ"),AND(J1238=1,I1238=0)),"?IN_FOCUS",IF(J1238&lt;=2,"?ACTIVATED",IF(J1238&lt;&gt;"","?FAMILIAR",IF(F1238="NEW",IF(ISNA(VLOOKUP(E1238,#REF!,1,FALSE())),"?TYPE_IDENTIFIABLE","?REFERENTIAL"),"_")))))</f>
        <v> </v>
      </c>
      <c r="H1238" s="24" t="str">
        <f>IF(J1238&lt;&gt;1,"",IF(I1238="SBJ","CB","?"))</f>
        <v> </v>
      </c>
      <c r="I1238" s="25" t="str">
        <f>IF(OR(E1238="",E1238="!!!",F1238="NEW"),"",INDEX(B1237:B$2,-1+SUMPRODUCT(MAX(ROW(E1237:E$2)*(E1238=E1237:E$2)))))</f>
        <v> </v>
      </c>
      <c r="J1238" s="25" t="str">
        <f>IF(OR(E1238="",E1238="!!!",F1238="NEW"),"",COUNTBLANK(OFFSET(A$1,,,SUMPRODUCT(MAX(ROW(E$2:E1238)*(E1238=E$2:E1238)))))-COUNTBLANK(OFFSET(A$1,,,SUMPRODUCT(MAX(ROW(E$1:E1237)*(E2=E$1:E1237))))))</f>
        <v> </v>
      </c>
      <c r="K1238" s="25" t="str">
        <f>IF(OR(E1238="",E1238="!!!",F1238="NEW"),"",INDEX(J$1:J1237,SUMPRODUCT(MAX(ROW(E$1:E1237)*(E1238=E$1:E1237)))))</f>
        <v> </v>
      </c>
      <c r="L1238" s="26"/>
    </row>
    <row r="1239" spans="1:12">
      <c r="A1239" s="20" t="s">
        <v>260</v>
      </c>
      <c r="E1239" s="21">
        <f>IF(D1239="?OLD","!!!","")</f>
        <v/>
      </c>
      <c r="F1239" s="22" t="str">
        <f>IF(OR(E1239="",E1239="!!!"),"",IF(NOT(ISNA(VLOOKUP(E1239,E$1:E1238,1,FALSE()))),"OLD",IF(AND(E1239&lt;&gt;"",E1239&lt;&gt;"!!!"),"NEW","")))</f>
        <v> </v>
      </c>
      <c r="G1239" s="23" t="str">
        <f>IF(OR(E1239="",E1239="!!!"),"",IF(OR(J1239=0,AND(J1239=1,K1239=1),AND(J1239=1,I1239="SBJ"),AND(J1239=1,I1239=0)),"?IN_FOCUS",IF(J1239&lt;=2,"?ACTIVATED",IF(J1239&lt;&gt;"","?FAMILIAR",IF(F1239="NEW",IF(ISNA(VLOOKUP(E1239,#REF!,1,FALSE())),"?TYPE_IDENTIFIABLE","?REFERENTIAL"),"_")))))</f>
        <v> </v>
      </c>
      <c r="H1239" s="24" t="str">
        <f>IF(J1239&lt;&gt;1,"",IF(I1239="SBJ","CB","?"))</f>
        <v> </v>
      </c>
      <c r="I1239" s="25" t="str">
        <f>IF(OR(E1239="",E1239="!!!",F1239="NEW"),"",INDEX(B1238:B$2,-1+SUMPRODUCT(MAX(ROW(E1238:E$2)*(E1239=E1238:E$2)))))</f>
        <v> </v>
      </c>
      <c r="J1239" s="25" t="str">
        <f>IF(OR(E1239="",E1239="!!!",F1239="NEW"),"",COUNTBLANK(OFFSET(A$1,,,SUMPRODUCT(MAX(ROW(E$2:E1239)*(E1239=E$2:E1239)))))-COUNTBLANK(OFFSET(A$1,,,SUMPRODUCT(MAX(ROW(E$1:E1238)*(E2=E$1:E1238))))))</f>
        <v> </v>
      </c>
      <c r="K1239" s="25" t="str">
        <f>IF(OR(E1239="",E1239="!!!",F1239="NEW"),"",INDEX(J$1:J1238,SUMPRODUCT(MAX(ROW(E$1:E1238)*(E1239=E$1:E1238)))))</f>
        <v> </v>
      </c>
      <c r="L1239" s="26"/>
    </row>
    <row r="1240" spans="1:12">
      <c r="A1240" s="20" t="s">
        <v>659</v>
      </c>
      <c r="B1240" s="27" t="s">
        <v>597</v>
      </c>
      <c r="C1240" s="27" t="s">
        <v>263</v>
      </c>
      <c r="D1240" s="27" t="s">
        <v>244</v>
      </c>
      <c r="E1240" s="21">
        <f>IF(D1240="?OLD","!!!","")</f>
        <v/>
      </c>
      <c r="F1240" s="22" t="str">
        <f>IF(OR(E1240="",E1240="!!!"),"",IF(NOT(ISNA(VLOOKUP(E1240,E$1:E1239,1,FALSE()))),"OLD",IF(AND(E1240&lt;&gt;"",E1240&lt;&gt;"!!!"),"NEW","")))</f>
        <v> </v>
      </c>
      <c r="G1240" s="23" t="str">
        <f>IF(OR(E1240="",E1240="!!!"),"",IF(OR(J1240=0,AND(J1240=1,K1240=1),AND(J1240=1,I1240="SBJ"),AND(J1240=1,I1240=0)),"?IN_FOCUS",IF(J1240&lt;=2,"?ACTIVATED",IF(J1240&lt;&gt;"","?FAMILIAR",IF(F1240="NEW",IF(ISNA(VLOOKUP(E1240,#REF!,1,FALSE())),"?TYPE_IDENTIFIABLE","?REFERENTIAL"),"_")))))</f>
        <v> </v>
      </c>
      <c r="H1240" s="24" t="str">
        <f>IF(J1240&lt;&gt;1,"",IF(I1240="SBJ","CB","?"))</f>
        <v> </v>
      </c>
      <c r="I1240" s="25" t="str">
        <f>IF(OR(E1240="",E1240="!!!",F1240="NEW"),"",INDEX(B1239:B$2,-1+SUMPRODUCT(MAX(ROW(E1239:E$2)*(E1240=E1239:E$2)))))</f>
        <v> </v>
      </c>
      <c r="J1240" s="25" t="str">
        <f>IF(OR(E1240="",E1240="!!!",F1240="NEW"),"",COUNTBLANK(OFFSET(A$1,,,SUMPRODUCT(MAX(ROW(E$2:E1240)*(E1240=E$2:E1240)))))-COUNTBLANK(OFFSET(A$1,,,SUMPRODUCT(MAX(ROW(E$1:E1239)*(E2=E$1:E1239))))))</f>
        <v> </v>
      </c>
      <c r="K1240" s="25" t="str">
        <f>IF(OR(E1240="",E1240="!!!",F1240="NEW"),"",INDEX(J$1:J1239,SUMPRODUCT(MAX(ROW(E$1:E1239)*(E1240=E$1:E1239)))))</f>
        <v> </v>
      </c>
      <c r="L1240" s="26"/>
    </row>
    <row r="1241" spans="1:12">
      <c r="A1241" s="20" t="s">
        <v>765</v>
      </c>
      <c r="B1241" s="27" t="s">
        <v>504</v>
      </c>
      <c r="C1241" s="27" t="s">
        <v>267</v>
      </c>
      <c r="D1241" s="27" t="s">
        <v>244</v>
      </c>
      <c r="E1241" s="21">
        <f>IF(D1241="?OLD","!!!","")</f>
        <v/>
      </c>
      <c r="F1241" s="22" t="str">
        <f>IF(OR(E1241="",E1241="!!!"),"",IF(NOT(ISNA(VLOOKUP(E1241,E$1:E1240,1,FALSE()))),"OLD",IF(AND(E1241&lt;&gt;"",E1241&lt;&gt;"!!!"),"NEW","")))</f>
        <v> </v>
      </c>
      <c r="G1241" s="23" t="str">
        <f>IF(OR(E1241="",E1241="!!!"),"",IF(OR(J1241=0,AND(J1241=1,K1241=1),AND(J1241=1,I1241="SBJ"),AND(J1241=1,I1241=0)),"?IN_FOCUS",IF(J1241&lt;=2,"?ACTIVATED",IF(J1241&lt;&gt;"","?FAMILIAR",IF(F1241="NEW",IF(ISNA(VLOOKUP(E1241,#REF!,1,FALSE())),"?TYPE_IDENTIFIABLE","?REFERENTIAL"),"_")))))</f>
        <v> </v>
      </c>
      <c r="H1241" s="24" t="str">
        <f>IF(J1241&lt;&gt;1,"",IF(I1241="SBJ","CB","?"))</f>
        <v> </v>
      </c>
      <c r="I1241" s="25" t="str">
        <f>IF(OR(E1241="",E1241="!!!",F1241="NEW"),"",INDEX(B1240:B$2,-1+SUMPRODUCT(MAX(ROW(E1240:E$2)*(E1241=E1240:E$2)))))</f>
        <v> </v>
      </c>
      <c r="J1241" s="25" t="str">
        <f>IF(OR(E1241="",E1241="!!!",F1241="NEW"),"",COUNTBLANK(OFFSET(A$1,,,SUMPRODUCT(MAX(ROW(E$2:E1241)*(E1241=E$2:E1241)))))-COUNTBLANK(OFFSET(A$1,,,SUMPRODUCT(MAX(ROW(E$1:E1240)*(E2=E$1:E1240))))))</f>
        <v> </v>
      </c>
      <c r="K1241" s="25" t="str">
        <f>IF(OR(E1241="",E1241="!!!",F1241="NEW"),"",INDEX(J$1:J1240,SUMPRODUCT(MAX(ROW(E$1:E1240)*(E1241=E$1:E1240)))))</f>
        <v> </v>
      </c>
      <c r="L1241" s="26"/>
    </row>
    <row r="1242" spans="1:12">
      <c r="A1242" s="20" t="s">
        <v>743</v>
      </c>
      <c r="E1242" s="21">
        <f>IF(D1242="?OLD","!!!","")</f>
        <v/>
      </c>
      <c r="F1242" s="22" t="str">
        <f>IF(OR(E1242="",E1242="!!!"),"",IF(NOT(ISNA(VLOOKUP(E1242,E$1:E1241,1,FALSE()))),"OLD",IF(AND(E1242&lt;&gt;"",E1242&lt;&gt;"!!!"),"NEW","")))</f>
        <v> </v>
      </c>
      <c r="G1242" s="23" t="str">
        <f>IF(OR(E1242="",E1242="!!!"),"",IF(OR(J1242=0,AND(J1242=1,K1242=1),AND(J1242=1,I1242="SBJ"),AND(J1242=1,I1242=0)),"?IN_FOCUS",IF(J1242&lt;=2,"?ACTIVATED",IF(J1242&lt;&gt;"","?FAMILIAR",IF(F1242="NEW",IF(ISNA(VLOOKUP(E1242,#REF!,1,FALSE())),"?TYPE_IDENTIFIABLE","?REFERENTIAL"),"_")))))</f>
        <v> </v>
      </c>
      <c r="H1242" s="24" t="str">
        <f>IF(J1242&lt;&gt;1,"",IF(I1242="SBJ","CB","?"))</f>
        <v> </v>
      </c>
      <c r="I1242" s="25" t="str">
        <f>IF(OR(E1242="",E1242="!!!",F1242="NEW"),"",INDEX(B1241:B$2,-1+SUMPRODUCT(MAX(ROW(E1241:E$2)*(E1242=E1241:E$2)))))</f>
        <v> </v>
      </c>
      <c r="J1242" s="25" t="str">
        <f>IF(OR(E1242="",E1242="!!!",F1242="NEW"),"",COUNTBLANK(OFFSET(A$1,,,SUMPRODUCT(MAX(ROW(E$2:E1242)*(E1242=E$2:E1242)))))-COUNTBLANK(OFFSET(A$1,,,SUMPRODUCT(MAX(ROW(E$1:E1241)*(E2=E$1:E1241))))))</f>
        <v> </v>
      </c>
      <c r="K1242" s="25" t="str">
        <f>IF(OR(E1242="",E1242="!!!",F1242="NEW"),"",INDEX(J$1:J1241,SUMPRODUCT(MAX(ROW(E$1:E1241)*(E1242=E$1:E1241)))))</f>
        <v> </v>
      </c>
      <c r="L1242" s="26"/>
    </row>
    <row r="1243" spans="1:12">
      <c r="A1243" s="20" t="s">
        <v>345</v>
      </c>
      <c r="E1243" s="21">
        <f>IF(D1243="?OLD","!!!","")</f>
        <v/>
      </c>
      <c r="F1243" s="22" t="str">
        <f>IF(OR(E1243="",E1243="!!!"),"",IF(NOT(ISNA(VLOOKUP(E1243,E$1:E1242,1,FALSE()))),"OLD",IF(AND(E1243&lt;&gt;"",E1243&lt;&gt;"!!!"),"NEW","")))</f>
        <v> </v>
      </c>
      <c r="G1243" s="23" t="str">
        <f>IF(OR(E1243="",E1243="!!!"),"",IF(OR(J1243=0,AND(J1243=1,K1243=1),AND(J1243=1,I1243="SBJ"),AND(J1243=1,I1243=0)),"?IN_FOCUS",IF(J1243&lt;=2,"?ACTIVATED",IF(J1243&lt;&gt;"","?FAMILIAR",IF(F1243="NEW",IF(ISNA(VLOOKUP(E1243,#REF!,1,FALSE())),"?TYPE_IDENTIFIABLE","?REFERENTIAL"),"_")))))</f>
        <v> </v>
      </c>
      <c r="H1243" s="24" t="str">
        <f>IF(J1243&lt;&gt;1,"",IF(I1243="SBJ","CB","?"))</f>
        <v> </v>
      </c>
      <c r="I1243" s="25" t="str">
        <f>IF(OR(E1243="",E1243="!!!",F1243="NEW"),"",INDEX(B1242:B$2,-1+SUMPRODUCT(MAX(ROW(E1242:E$2)*(E1243=E1242:E$2)))))</f>
        <v> </v>
      </c>
      <c r="J1243" s="25" t="str">
        <f>IF(OR(E1243="",E1243="!!!",F1243="NEW"),"",COUNTBLANK(OFFSET(A$1,,,SUMPRODUCT(MAX(ROW(E$2:E1243)*(E1243=E$2:E1243)))))-COUNTBLANK(OFFSET(A$1,,,SUMPRODUCT(MAX(ROW(E$1:E1242)*(E2=E$1:E1242))))))</f>
        <v> </v>
      </c>
      <c r="K1243" s="25" t="str">
        <f>IF(OR(E1243="",E1243="!!!",F1243="NEW"),"",INDEX(J$1:J1242,SUMPRODUCT(MAX(ROW(E$1:E1242)*(E1243=E$1:E1242)))))</f>
        <v> </v>
      </c>
      <c r="L1243" s="26"/>
    </row>
    <row r="1244" spans="1:12">
      <c r="A1244" s="20" t="s">
        <v>766</v>
      </c>
      <c r="E1244" s="21">
        <f>IF(D1244="?OLD","!!!","")</f>
        <v/>
      </c>
      <c r="F1244" s="22" t="str">
        <f>IF(OR(E1244="",E1244="!!!"),"",IF(NOT(ISNA(VLOOKUP(E1244,E$1:E1243,1,FALSE()))),"OLD",IF(AND(E1244&lt;&gt;"",E1244&lt;&gt;"!!!"),"NEW","")))</f>
        <v> </v>
      </c>
      <c r="G1244" s="23" t="str">
        <f>IF(OR(E1244="",E1244="!!!"),"",IF(OR(J1244=0,AND(J1244=1,K1244=1),AND(J1244=1,I1244="SBJ"),AND(J1244=1,I1244=0)),"?IN_FOCUS",IF(J1244&lt;=2,"?ACTIVATED",IF(J1244&lt;&gt;"","?FAMILIAR",IF(F1244="NEW",IF(ISNA(VLOOKUP(E1244,#REF!,1,FALSE())),"?TYPE_IDENTIFIABLE","?REFERENTIAL"),"_")))))</f>
        <v> </v>
      </c>
      <c r="H1244" s="24" t="str">
        <f>IF(J1244&lt;&gt;1,"",IF(I1244="SBJ","CB","?"))</f>
        <v> </v>
      </c>
      <c r="I1244" s="25" t="str">
        <f>IF(OR(E1244="",E1244="!!!",F1244="NEW"),"",INDEX(B1243:B$2,-1+SUMPRODUCT(MAX(ROW(E1243:E$2)*(E1244=E1243:E$2)))))</f>
        <v> </v>
      </c>
      <c r="J1244" s="25" t="str">
        <f>IF(OR(E1244="",E1244="!!!",F1244="NEW"),"",COUNTBLANK(OFFSET(A$1,,,SUMPRODUCT(MAX(ROW(E$2:E1244)*(E1244=E$2:E1244)))))-COUNTBLANK(OFFSET(A$1,,,SUMPRODUCT(MAX(ROW(E$1:E1243)*(E2=E$1:E1243))))))</f>
        <v> </v>
      </c>
      <c r="K1244" s="25" t="str">
        <f>IF(OR(E1244="",E1244="!!!",F1244="NEW"),"",INDEX(J$1:J1243,SUMPRODUCT(MAX(ROW(E$1:E1243)*(E1244=E$1:E1243)))))</f>
        <v> </v>
      </c>
      <c r="L1244" s="26"/>
    </row>
    <row r="1245" spans="1:12">
      <c r="A1245" s="20" t="s">
        <v>248</v>
      </c>
      <c r="E1245" s="21">
        <f>IF(D1245="?OLD","!!!","")</f>
        <v/>
      </c>
      <c r="F1245" s="22" t="str">
        <f>IF(OR(E1245="",E1245="!!!"),"",IF(NOT(ISNA(VLOOKUP(E1245,E$1:E1244,1,FALSE()))),"OLD",IF(AND(E1245&lt;&gt;"",E1245&lt;&gt;"!!!"),"NEW","")))</f>
        <v> </v>
      </c>
      <c r="G1245" s="23" t="str">
        <f>IF(OR(E1245="",E1245="!!!"),"",IF(OR(J1245=0,AND(J1245=1,K1245=1),AND(J1245=1,I1245="SBJ"),AND(J1245=1,I1245=0)),"?IN_FOCUS",IF(J1245&lt;=2,"?ACTIVATED",IF(J1245&lt;&gt;"","?FAMILIAR",IF(F1245="NEW",IF(ISNA(VLOOKUP(E1245,#REF!,1,FALSE())),"?TYPE_IDENTIFIABLE","?REFERENTIAL"),"_")))))</f>
        <v> </v>
      </c>
      <c r="H1245" s="24" t="str">
        <f>IF(J1245&lt;&gt;1,"",IF(I1245="SBJ","CB","?"))</f>
        <v> </v>
      </c>
      <c r="I1245" s="25" t="str">
        <f>IF(OR(E1245="",E1245="!!!",F1245="NEW"),"",INDEX(B1244:B$2,-1+SUMPRODUCT(MAX(ROW(E1244:E$2)*(E1245=E1244:E$2)))))</f>
        <v> </v>
      </c>
      <c r="J1245" s="25" t="str">
        <f>IF(OR(E1245="",E1245="!!!",F1245="NEW"),"",COUNTBLANK(OFFSET(A$1,,,SUMPRODUCT(MAX(ROW(E$2:E1245)*(E1245=E$2:E1245)))))-COUNTBLANK(OFFSET(A$1,,,SUMPRODUCT(MAX(ROW(E$1:E1244)*(E2=E$1:E1244))))))</f>
        <v> </v>
      </c>
      <c r="K1245" s="25" t="str">
        <f>IF(OR(E1245="",E1245="!!!",F1245="NEW"),"",INDEX(J$1:J1244,SUMPRODUCT(MAX(ROW(E$1:E1244)*(E1245=E$1:E1244)))))</f>
        <v> </v>
      </c>
      <c r="L1245" s="26"/>
    </row>
    <row r="1246" spans="1:12">
      <c r="A1246" s="20" t="s">
        <v>44</v>
      </c>
      <c r="B1246" s="27" t="s">
        <v>283</v>
      </c>
      <c r="C1246" s="27" t="s">
        <v>252</v>
      </c>
      <c r="D1246" s="27" t="s">
        <v>244</v>
      </c>
      <c r="E1246" s="21">
        <f>IF(D1246="?OLD","!!!","")</f>
        <v/>
      </c>
      <c r="F1246" s="22" t="str">
        <f>IF(OR(E1246="",E1246="!!!"),"",IF(NOT(ISNA(VLOOKUP(E1246,E$1:E1245,1,FALSE()))),"OLD",IF(AND(E1246&lt;&gt;"",E1246&lt;&gt;"!!!"),"NEW","")))</f>
        <v> </v>
      </c>
      <c r="G1246" s="23" t="str">
        <f>IF(OR(E1246="",E1246="!!!"),"",IF(OR(J1246=0,AND(J1246=1,K1246=1),AND(J1246=1,I1246="SBJ"),AND(J1246=1,I1246=0)),"?IN_FOCUS",IF(J1246&lt;=2,"?ACTIVATED",IF(J1246&lt;&gt;"","?FAMILIAR",IF(F1246="NEW",IF(ISNA(VLOOKUP(E1246,#REF!,1,FALSE())),"?TYPE_IDENTIFIABLE","?REFERENTIAL"),"_")))))</f>
        <v> </v>
      </c>
      <c r="H1246" s="24" t="str">
        <f>IF(J1246&lt;&gt;1,"",IF(I1246="SBJ","CB","?"))</f>
        <v> </v>
      </c>
      <c r="I1246" s="25" t="str">
        <f>IF(OR(E1246="",E1246="!!!",F1246="NEW"),"",INDEX(B1245:B$2,-1+SUMPRODUCT(MAX(ROW(E1245:E$2)*(E1246=E1245:E$2)))))</f>
        <v> </v>
      </c>
      <c r="J1246" s="25" t="str">
        <f>IF(OR(E1246="",E1246="!!!",F1246="NEW"),"",COUNTBLANK(OFFSET(A$1,,,SUMPRODUCT(MAX(ROW(E$2:E1246)*(E1246=E$2:E1246)))))-COUNTBLANK(OFFSET(A$1,,,SUMPRODUCT(MAX(ROW(E$1:E1245)*(E2=E$1:E1245))))))</f>
        <v> </v>
      </c>
      <c r="K1246" s="25" t="str">
        <f>IF(OR(E1246="",E1246="!!!",F1246="NEW"),"",INDEX(J$1:J1245,SUMPRODUCT(MAX(ROW(E$1:E1245)*(E1246=E$1:E1245)))))</f>
        <v> </v>
      </c>
      <c r="L1246" s="26"/>
    </row>
    <row r="1247" spans="1:12">
      <c r="A1247" s="20" t="s">
        <v>273</v>
      </c>
      <c r="E1247" s="21">
        <f>IF(D1247="?OLD","!!!","")</f>
        <v/>
      </c>
      <c r="F1247" s="22" t="str">
        <f>IF(OR(E1247="",E1247="!!!"),"",IF(NOT(ISNA(VLOOKUP(E1247,E$1:E1246,1,FALSE()))),"OLD",IF(AND(E1247&lt;&gt;"",E1247&lt;&gt;"!!!"),"NEW","")))</f>
        <v> </v>
      </c>
      <c r="G1247" s="23" t="str">
        <f>IF(OR(E1247="",E1247="!!!"),"",IF(OR(J1247=0,AND(J1247=1,K1247=1),AND(J1247=1,I1247="SBJ"),AND(J1247=1,I1247=0)),"?IN_FOCUS",IF(J1247&lt;=2,"?ACTIVATED",IF(J1247&lt;&gt;"","?FAMILIAR",IF(F1247="NEW",IF(ISNA(VLOOKUP(E1247,#REF!,1,FALSE())),"?TYPE_IDENTIFIABLE","?REFERENTIAL"),"_")))))</f>
        <v> </v>
      </c>
      <c r="H1247" s="24" t="str">
        <f>IF(J1247&lt;&gt;1,"",IF(I1247="SBJ","CB","?"))</f>
        <v> </v>
      </c>
      <c r="I1247" s="25" t="str">
        <f>IF(OR(E1247="",E1247="!!!",F1247="NEW"),"",INDEX(B1246:B$2,-1+SUMPRODUCT(MAX(ROW(E1246:E$2)*(E1247=E1246:E$2)))))</f>
        <v> </v>
      </c>
      <c r="J1247" s="25" t="str">
        <f>IF(OR(E1247="",E1247="!!!",F1247="NEW"),"",COUNTBLANK(OFFSET(A$1,,,SUMPRODUCT(MAX(ROW(E$2:E1247)*(E1247=E$2:E1247)))))-COUNTBLANK(OFFSET(A$1,,,SUMPRODUCT(MAX(ROW(E$1:E1246)*(E2=E$1:E1246))))))</f>
        <v> </v>
      </c>
      <c r="K1247" s="25" t="str">
        <f>IF(OR(E1247="",E1247="!!!",F1247="NEW"),"",INDEX(J$1:J1246,SUMPRODUCT(MAX(ROW(E$1:E1246)*(E1247=E$1:E1246)))))</f>
        <v> </v>
      </c>
      <c r="L1247" s="26"/>
    </row>
    <row r="1248" spans="1:12">
      <c r="A1248" s="20" t="s">
        <v>277</v>
      </c>
      <c r="E1248" s="21">
        <f>IF(D1248="?OLD","!!!","")</f>
        <v/>
      </c>
      <c r="F1248" s="22" t="str">
        <f>IF(OR(E1248="",E1248="!!!"),"",IF(NOT(ISNA(VLOOKUP(E1248,E$1:E1247,1,FALSE()))),"OLD",IF(AND(E1248&lt;&gt;"",E1248&lt;&gt;"!!!"),"NEW","")))</f>
        <v> </v>
      </c>
      <c r="G1248" s="23" t="str">
        <f>IF(OR(E1248="",E1248="!!!"),"",IF(OR(J1248=0,AND(J1248=1,K1248=1),AND(J1248=1,I1248="SBJ"),AND(J1248=1,I1248=0)),"?IN_FOCUS",IF(J1248&lt;=2,"?ACTIVATED",IF(J1248&lt;&gt;"","?FAMILIAR",IF(F1248="NEW",IF(ISNA(VLOOKUP(E1248,#REF!,1,FALSE())),"?TYPE_IDENTIFIABLE","?REFERENTIAL"),"_")))))</f>
        <v> </v>
      </c>
      <c r="H1248" s="24" t="str">
        <f>IF(J1248&lt;&gt;1,"",IF(I1248="SBJ","CB","?"))</f>
        <v> </v>
      </c>
      <c r="I1248" s="25" t="str">
        <f>IF(OR(E1248="",E1248="!!!",F1248="NEW"),"",INDEX(B1247:B$2,-1+SUMPRODUCT(MAX(ROW(E1247:E$2)*(E1248=E1247:E$2)))))</f>
        <v> </v>
      </c>
      <c r="J1248" s="25" t="str">
        <f>IF(OR(E1248="",E1248="!!!",F1248="NEW"),"",COUNTBLANK(OFFSET(A$1,,,SUMPRODUCT(MAX(ROW(E$2:E1248)*(E1248=E$2:E1248)))))-COUNTBLANK(OFFSET(A$1,,,SUMPRODUCT(MAX(ROW(E$1:E1247)*(E2=E$1:E1247))))))</f>
        <v> </v>
      </c>
      <c r="K1248" s="25" t="str">
        <f>IF(OR(E1248="",E1248="!!!",F1248="NEW"),"",INDEX(J$1:J1247,SUMPRODUCT(MAX(ROW(E$1:E1247)*(E1248=E$1:E1247)))))</f>
        <v> </v>
      </c>
      <c r="L1248" s="26"/>
    </row>
    <row r="1249" spans="1:12">
      <c r="A1249" s="20" t="s">
        <v>767</v>
      </c>
      <c r="E1249" s="21">
        <f>IF(D1249="?OLD","!!!","")</f>
        <v/>
      </c>
      <c r="F1249" s="22" t="str">
        <f>IF(OR(E1249="",E1249="!!!"),"",IF(NOT(ISNA(VLOOKUP(E1249,E$1:E1248,1,FALSE()))),"OLD",IF(AND(E1249&lt;&gt;"",E1249&lt;&gt;"!!!"),"NEW","")))</f>
        <v> </v>
      </c>
      <c r="G1249" s="23" t="str">
        <f>IF(OR(E1249="",E1249="!!!"),"",IF(OR(J1249=0,AND(J1249=1,K1249=1),AND(J1249=1,I1249="SBJ"),AND(J1249=1,I1249=0)),"?IN_FOCUS",IF(J1249&lt;=2,"?ACTIVATED",IF(J1249&lt;&gt;"","?FAMILIAR",IF(F1249="NEW",IF(ISNA(VLOOKUP(E1249,#REF!,1,FALSE())),"?TYPE_IDENTIFIABLE","?REFERENTIAL"),"_")))))</f>
        <v> </v>
      </c>
      <c r="H1249" s="24" t="str">
        <f>IF(J1249&lt;&gt;1,"",IF(I1249="SBJ","CB","?"))</f>
        <v> </v>
      </c>
      <c r="I1249" s="25" t="str">
        <f>IF(OR(E1249="",E1249="!!!",F1249="NEW"),"",INDEX(B1248:B$2,-1+SUMPRODUCT(MAX(ROW(E1248:E$2)*(E1249=E1248:E$2)))))</f>
        <v> </v>
      </c>
      <c r="J1249" s="25" t="str">
        <f>IF(OR(E1249="",E1249="!!!",F1249="NEW"),"",COUNTBLANK(OFFSET(A$1,,,SUMPRODUCT(MAX(ROW(E$2:E1249)*(E1249=E$2:E1249)))))-COUNTBLANK(OFFSET(A$1,,,SUMPRODUCT(MAX(ROW(E$1:E1248)*(E2=E$1:E1248))))))</f>
        <v> </v>
      </c>
      <c r="K1249" s="25" t="str">
        <f>IF(OR(E1249="",E1249="!!!",F1249="NEW"),"",INDEX(J$1:J1248,SUMPRODUCT(MAX(ROW(E$1:E1248)*(E1249=E$1:E1248)))))</f>
        <v> </v>
      </c>
      <c r="L1249" s="26"/>
    </row>
    <row r="1250" spans="1:12">
      <c r="A1250" s="20" t="s">
        <v>768</v>
      </c>
      <c r="B1250" s="27" t="s">
        <v>461</v>
      </c>
      <c r="C1250" s="27" t="s">
        <v>279</v>
      </c>
      <c r="E1250" s="21">
        <f>IF(D1250="?OLD","!!!","")</f>
        <v/>
      </c>
      <c r="F1250" s="22" t="str">
        <f>IF(OR(E1250="",E1250="!!!"),"",IF(NOT(ISNA(VLOOKUP(E1250,E$1:E1249,1,FALSE()))),"OLD",IF(AND(E1250&lt;&gt;"",E1250&lt;&gt;"!!!"),"NEW","")))</f>
        <v> </v>
      </c>
      <c r="G1250" s="23" t="str">
        <f>IF(OR(E1250="",E1250="!!!"),"",IF(OR(J1250=0,AND(J1250=1,K1250=1),AND(J1250=1,I1250="SBJ"),AND(J1250=1,I1250=0)),"?IN_FOCUS",IF(J1250&lt;=2,"?ACTIVATED",IF(J1250&lt;&gt;"","?FAMILIAR",IF(F1250="NEW",IF(ISNA(VLOOKUP(E1250,#REF!,1,FALSE())),"?TYPE_IDENTIFIABLE","?REFERENTIAL"),"_")))))</f>
        <v> </v>
      </c>
      <c r="H1250" s="24" t="str">
        <f>IF(J1250&lt;&gt;1,"",IF(I1250="SBJ","CB","?"))</f>
        <v> </v>
      </c>
      <c r="I1250" s="25" t="str">
        <f>IF(OR(E1250="",E1250="!!!",F1250="NEW"),"",INDEX(B1249:B$2,-1+SUMPRODUCT(MAX(ROW(E1249:E$2)*(E1250=E1249:E$2)))))</f>
        <v> </v>
      </c>
      <c r="J1250" s="25" t="str">
        <f>IF(OR(E1250="",E1250="!!!",F1250="NEW"),"",COUNTBLANK(OFFSET(A$1,,,SUMPRODUCT(MAX(ROW(E$2:E1250)*(E1250=E$2:E1250)))))-COUNTBLANK(OFFSET(A$1,,,SUMPRODUCT(MAX(ROW(E$1:E1249)*(E2=E$1:E1249))))))</f>
        <v> </v>
      </c>
      <c r="K1250" s="25" t="str">
        <f>IF(OR(E1250="",E1250="!!!",F1250="NEW"),"",INDEX(J$1:J1249,SUMPRODUCT(MAX(ROW(E$1:E1249)*(E1250=E$1:E1249)))))</f>
        <v> </v>
      </c>
      <c r="L1250" s="26"/>
    </row>
    <row r="1251" spans="1:12">
      <c r="A1251" s="20" t="s">
        <v>305</v>
      </c>
      <c r="E1251" s="21">
        <f>IF(D1251="?OLD","!!!","")</f>
        <v/>
      </c>
      <c r="F1251" s="22" t="str">
        <f>IF(OR(E1251="",E1251="!!!"),"",IF(NOT(ISNA(VLOOKUP(E1251,E$1:E1250,1,FALSE()))),"OLD",IF(AND(E1251&lt;&gt;"",E1251&lt;&gt;"!!!"),"NEW","")))</f>
        <v> </v>
      </c>
      <c r="G1251" s="23" t="str">
        <f>IF(OR(E1251="",E1251="!!!"),"",IF(OR(J1251=0,AND(J1251=1,K1251=1),AND(J1251=1,I1251="SBJ"),AND(J1251=1,I1251=0)),"?IN_FOCUS",IF(J1251&lt;=2,"?ACTIVATED",IF(J1251&lt;&gt;"","?FAMILIAR",IF(F1251="NEW",IF(ISNA(VLOOKUP(E1251,#REF!,1,FALSE())),"?TYPE_IDENTIFIABLE","?REFERENTIAL"),"_")))))</f>
        <v> </v>
      </c>
      <c r="H1251" s="24" t="str">
        <f>IF(J1251&lt;&gt;1,"",IF(I1251="SBJ","CB","?"))</f>
        <v> </v>
      </c>
      <c r="I1251" s="25" t="str">
        <f>IF(OR(E1251="",E1251="!!!",F1251="NEW"),"",INDEX(B1250:B$2,-1+SUMPRODUCT(MAX(ROW(E1250:E$2)*(E1251=E1250:E$2)))))</f>
        <v> </v>
      </c>
      <c r="J1251" s="25" t="str">
        <f>IF(OR(E1251="",E1251="!!!",F1251="NEW"),"",COUNTBLANK(OFFSET(A$1,,,SUMPRODUCT(MAX(ROW(E$2:E1251)*(E1251=E$2:E1251)))))-COUNTBLANK(OFFSET(A$1,,,SUMPRODUCT(MAX(ROW(E$1:E1250)*(E2=E$1:E1250))))))</f>
        <v> </v>
      </c>
      <c r="K1251" s="25" t="str">
        <f>IF(OR(E1251="",E1251="!!!",F1251="NEW"),"",INDEX(J$1:J1250,SUMPRODUCT(MAX(ROW(E$1:E1250)*(E1251=E$1:E1250)))))</f>
        <v> </v>
      </c>
      <c r="L1251" s="26"/>
    </row>
    <row r="1252" spans="1:12">
      <c r="A1252" s="20" t="s">
        <v>392</v>
      </c>
      <c r="E1252" s="21">
        <f>IF(D1252="?OLD","!!!","")</f>
        <v/>
      </c>
      <c r="F1252" s="22" t="str">
        <f>IF(OR(E1252="",E1252="!!!"),"",IF(NOT(ISNA(VLOOKUP(E1252,E$1:E1251,1,FALSE()))),"OLD",IF(AND(E1252&lt;&gt;"",E1252&lt;&gt;"!!!"),"NEW","")))</f>
        <v> </v>
      </c>
      <c r="G1252" s="23" t="str">
        <f>IF(OR(E1252="",E1252="!!!"),"",IF(OR(J1252=0,AND(J1252=1,K1252=1),AND(J1252=1,I1252="SBJ"),AND(J1252=1,I1252=0)),"?IN_FOCUS",IF(J1252&lt;=2,"?ACTIVATED",IF(J1252&lt;&gt;"","?FAMILIAR",IF(F1252="NEW",IF(ISNA(VLOOKUP(E1252,#REF!,1,FALSE())),"?TYPE_IDENTIFIABLE","?REFERENTIAL"),"_")))))</f>
        <v> </v>
      </c>
      <c r="H1252" s="24" t="str">
        <f>IF(J1252&lt;&gt;1,"",IF(I1252="SBJ","CB","?"))</f>
        <v> </v>
      </c>
      <c r="I1252" s="25" t="str">
        <f>IF(OR(E1252="",E1252="!!!",F1252="NEW"),"",INDEX(B1251:B$2,-1+SUMPRODUCT(MAX(ROW(E1251:E$2)*(E1252=E1251:E$2)))))</f>
        <v> </v>
      </c>
      <c r="J1252" s="25" t="str">
        <f>IF(OR(E1252="",E1252="!!!",F1252="NEW"),"",COUNTBLANK(OFFSET(A$1,,,SUMPRODUCT(MAX(ROW(E$2:E1252)*(E1252=E$2:E1252)))))-COUNTBLANK(OFFSET(A$1,,,SUMPRODUCT(MAX(ROW(E$1:E1251)*(E2=E$1:E1251))))))</f>
        <v> </v>
      </c>
      <c r="K1252" s="25" t="str">
        <f>IF(OR(E1252="",E1252="!!!",F1252="NEW"),"",INDEX(J$1:J1251,SUMPRODUCT(MAX(ROW(E$1:E1251)*(E1252=E$1:E1251)))))</f>
        <v> </v>
      </c>
      <c r="L1252" s="26"/>
    </row>
    <row r="1253" spans="1:12">
      <c r="A1253" s="20" t="s">
        <v>273</v>
      </c>
      <c r="E1253" s="21">
        <f>IF(D1253="?OLD","!!!","")</f>
        <v/>
      </c>
      <c r="F1253" s="22" t="str">
        <f>IF(OR(E1253="",E1253="!!!"),"",IF(NOT(ISNA(VLOOKUP(E1253,E$1:E1252,1,FALSE()))),"OLD",IF(AND(E1253&lt;&gt;"",E1253&lt;&gt;"!!!"),"NEW","")))</f>
        <v> </v>
      </c>
      <c r="G1253" s="23" t="str">
        <f>IF(OR(E1253="",E1253="!!!"),"",IF(OR(J1253=0,AND(J1253=1,K1253=1),AND(J1253=1,I1253="SBJ"),AND(J1253=1,I1253=0)),"?IN_FOCUS",IF(J1253&lt;=2,"?ACTIVATED",IF(J1253&lt;&gt;"","?FAMILIAR",IF(F1253="NEW",IF(ISNA(VLOOKUP(E1253,#REF!,1,FALSE())),"?TYPE_IDENTIFIABLE","?REFERENTIAL"),"_")))))</f>
        <v> </v>
      </c>
      <c r="H1253" s="24" t="str">
        <f>IF(J1253&lt;&gt;1,"",IF(I1253="SBJ","CB","?"))</f>
        <v> </v>
      </c>
      <c r="I1253" s="25" t="str">
        <f>IF(OR(E1253="",E1253="!!!",F1253="NEW"),"",INDEX(B1252:B$2,-1+SUMPRODUCT(MAX(ROW(E1252:E$2)*(E1253=E1252:E$2)))))</f>
        <v> </v>
      </c>
      <c r="J1253" s="25" t="str">
        <f>IF(OR(E1253="",E1253="!!!",F1253="NEW"),"",COUNTBLANK(OFFSET(A$1,,,SUMPRODUCT(MAX(ROW(E$2:E1253)*(E1253=E$2:E1253)))))-COUNTBLANK(OFFSET(A$1,,,SUMPRODUCT(MAX(ROW(E$1:E1252)*(E2=E$1:E1252))))))</f>
        <v> </v>
      </c>
      <c r="K1253" s="25" t="str">
        <f>IF(OR(E1253="",E1253="!!!",F1253="NEW"),"",INDEX(J$1:J1252,SUMPRODUCT(MAX(ROW(E$1:E1252)*(E1253=E$1:E1252)))))</f>
        <v> </v>
      </c>
      <c r="L1253" s="26"/>
    </row>
    <row r="1254" spans="1:12">
      <c r="A1254" s="20" t="s">
        <v>248</v>
      </c>
      <c r="E1254" s="21">
        <f>IF(D1254="?OLD","!!!","")</f>
        <v/>
      </c>
      <c r="F1254" s="22" t="str">
        <f>IF(OR(E1254="",E1254="!!!"),"",IF(NOT(ISNA(VLOOKUP(E1254,E$1:E1253,1,FALSE()))),"OLD",IF(AND(E1254&lt;&gt;"",E1254&lt;&gt;"!!!"),"NEW","")))</f>
        <v> </v>
      </c>
      <c r="G1254" s="23" t="str">
        <f>IF(OR(E1254="",E1254="!!!"),"",IF(OR(J1254=0,AND(J1254=1,K1254=1),AND(J1254=1,I1254="SBJ"),AND(J1254=1,I1254=0)),"?IN_FOCUS",IF(J1254&lt;=2,"?ACTIVATED",IF(J1254&lt;&gt;"","?FAMILIAR",IF(F1254="NEW",IF(ISNA(VLOOKUP(E1254,#REF!,1,FALSE())),"?TYPE_IDENTIFIABLE","?REFERENTIAL"),"_")))))</f>
        <v> </v>
      </c>
      <c r="H1254" s="24" t="str">
        <f>IF(J1254&lt;&gt;1,"",IF(I1254="SBJ","CB","?"))</f>
        <v> </v>
      </c>
      <c r="I1254" s="25" t="str">
        <f>IF(OR(E1254="",E1254="!!!",F1254="NEW"),"",INDEX(B1253:B$2,-1+SUMPRODUCT(MAX(ROW(E1253:E$2)*(E1254=E1253:E$2)))))</f>
        <v> </v>
      </c>
      <c r="J1254" s="25" t="str">
        <f>IF(OR(E1254="",E1254="!!!",F1254="NEW"),"",COUNTBLANK(OFFSET(A$1,,,SUMPRODUCT(MAX(ROW(E$2:E1254)*(E1254=E$2:E1254)))))-COUNTBLANK(OFFSET(A$1,,,SUMPRODUCT(MAX(ROW(E$1:E1253)*(E2=E$1:E1253))))))</f>
        <v> </v>
      </c>
      <c r="K1254" s="25" t="str">
        <f>IF(OR(E1254="",E1254="!!!",F1254="NEW"),"",INDEX(J$1:J1253,SUMPRODUCT(MAX(ROW(E$1:E1253)*(E1254=E$1:E1253)))))</f>
        <v> </v>
      </c>
      <c r="L1254" s="26"/>
    </row>
    <row r="1255" spans="1:12">
      <c r="A1255" s="20" t="s">
        <v>769</v>
      </c>
      <c r="B1255" s="27" t="s">
        <v>237</v>
      </c>
      <c r="C1255" s="27" t="s">
        <v>252</v>
      </c>
      <c r="D1255" s="27" t="s">
        <v>244</v>
      </c>
      <c r="E1255" s="21">
        <f>IF(D1255="?OLD","!!!","")</f>
        <v/>
      </c>
      <c r="F1255" s="22" t="str">
        <f>IF(OR(E1255="",E1255="!!!"),"",IF(NOT(ISNA(VLOOKUP(E1255,E$1:E1254,1,FALSE()))),"OLD",IF(AND(E1255&lt;&gt;"",E1255&lt;&gt;"!!!"),"NEW","")))</f>
        <v> </v>
      </c>
      <c r="G1255" s="23" t="str">
        <f>IF(OR(E1255="",E1255="!!!"),"",IF(OR(J1255=0,AND(J1255=1,K1255=1),AND(J1255=1,I1255="SBJ"),AND(J1255=1,I1255=0)),"?IN_FOCUS",IF(J1255&lt;=2,"?ACTIVATED",IF(J1255&lt;&gt;"","?FAMILIAR",IF(F1255="NEW",IF(ISNA(VLOOKUP(E1255,#REF!,1,FALSE())),"?TYPE_IDENTIFIABLE","?REFERENTIAL"),"_")))))</f>
        <v> </v>
      </c>
      <c r="H1255" s="24" t="str">
        <f>IF(J1255&lt;&gt;1,"",IF(I1255="SBJ","CB","?"))</f>
        <v> </v>
      </c>
      <c r="I1255" s="25" t="str">
        <f>IF(OR(E1255="",E1255="!!!",F1255="NEW"),"",INDEX(B1254:B$2,-1+SUMPRODUCT(MAX(ROW(E1254:E$2)*(E1255=E1254:E$2)))))</f>
        <v> </v>
      </c>
      <c r="J1255" s="25" t="str">
        <f>IF(OR(E1255="",E1255="!!!",F1255="NEW"),"",COUNTBLANK(OFFSET(A$1,,,SUMPRODUCT(MAX(ROW(E$2:E1255)*(E1255=E$2:E1255)))))-COUNTBLANK(OFFSET(A$1,,,SUMPRODUCT(MAX(ROW(E$1:E1254)*(E2=E$1:E1254))))))</f>
        <v> </v>
      </c>
      <c r="K1255" s="25" t="str">
        <f>IF(OR(E1255="",E1255="!!!",F1255="NEW"),"",INDEX(J$1:J1254,SUMPRODUCT(MAX(ROW(E$1:E1254)*(E1255=E$1:E1254)))))</f>
        <v> </v>
      </c>
      <c r="L1255" s="26"/>
    </row>
    <row r="1256" spans="1:12">
      <c r="A1256" s="20" t="s">
        <v>273</v>
      </c>
      <c r="E1256" s="21">
        <f>IF(D1256="?OLD","!!!","")</f>
        <v/>
      </c>
      <c r="F1256" s="22" t="str">
        <f>IF(OR(E1256="",E1256="!!!"),"",IF(NOT(ISNA(VLOOKUP(E1256,E$1:E1255,1,FALSE()))),"OLD",IF(AND(E1256&lt;&gt;"",E1256&lt;&gt;"!!!"),"NEW","")))</f>
        <v> </v>
      </c>
      <c r="G1256" s="23" t="str">
        <f>IF(OR(E1256="",E1256="!!!"),"",IF(OR(J1256=0,AND(J1256=1,K1256=1),AND(J1256=1,I1256="SBJ"),AND(J1256=1,I1256=0)),"?IN_FOCUS",IF(J1256&lt;=2,"?ACTIVATED",IF(J1256&lt;&gt;"","?FAMILIAR",IF(F1256="NEW",IF(ISNA(VLOOKUP(E1256,#REF!,1,FALSE())),"?TYPE_IDENTIFIABLE","?REFERENTIAL"),"_")))))</f>
        <v> </v>
      </c>
      <c r="H1256" s="24" t="str">
        <f>IF(J1256&lt;&gt;1,"",IF(I1256="SBJ","CB","?"))</f>
        <v> </v>
      </c>
      <c r="I1256" s="25" t="str">
        <f>IF(OR(E1256="",E1256="!!!",F1256="NEW"),"",INDEX(B1255:B$2,-1+SUMPRODUCT(MAX(ROW(E1255:E$2)*(E1256=E1255:E$2)))))</f>
        <v> </v>
      </c>
      <c r="J1256" s="25" t="str">
        <f>IF(OR(E1256="",E1256="!!!",F1256="NEW"),"",COUNTBLANK(OFFSET(A$1,,,SUMPRODUCT(MAX(ROW(E$2:E1256)*(E1256=E$2:E1256)))))-COUNTBLANK(OFFSET(A$1,,,SUMPRODUCT(MAX(ROW(E$1:E1255)*(E2=E$1:E1255))))))</f>
        <v> </v>
      </c>
      <c r="K1256" s="25" t="str">
        <f>IF(OR(E1256="",E1256="!!!",F1256="NEW"),"",INDEX(J$1:J1255,SUMPRODUCT(MAX(ROW(E$1:E1255)*(E1256=E$1:E1255)))))</f>
        <v> </v>
      </c>
      <c r="L1256" s="26"/>
    </row>
    <row r="1257" spans="1:12">
      <c r="A1257" s="20" t="s">
        <v>277</v>
      </c>
      <c r="E1257" s="21">
        <f>IF(D1257="?OLD","!!!","")</f>
        <v/>
      </c>
      <c r="F1257" s="22" t="str">
        <f>IF(OR(E1257="",E1257="!!!"),"",IF(NOT(ISNA(VLOOKUP(E1257,E$1:E1256,1,FALSE()))),"OLD",IF(AND(E1257&lt;&gt;"",E1257&lt;&gt;"!!!"),"NEW","")))</f>
        <v> </v>
      </c>
      <c r="G1257" s="23" t="str">
        <f>IF(OR(E1257="",E1257="!!!"),"",IF(OR(J1257=0,AND(J1257=1,K1257=1),AND(J1257=1,I1257="SBJ"),AND(J1257=1,I1257=0)),"?IN_FOCUS",IF(J1257&lt;=2,"?ACTIVATED",IF(J1257&lt;&gt;"","?FAMILIAR",IF(F1257="NEW",IF(ISNA(VLOOKUP(E1257,#REF!,1,FALSE())),"?TYPE_IDENTIFIABLE","?REFERENTIAL"),"_")))))</f>
        <v> </v>
      </c>
      <c r="H1257" s="24" t="str">
        <f>IF(J1257&lt;&gt;1,"",IF(I1257="SBJ","CB","?"))</f>
        <v> </v>
      </c>
      <c r="I1257" s="25" t="str">
        <f>IF(OR(E1257="",E1257="!!!",F1257="NEW"),"",INDEX(B1256:B$2,-1+SUMPRODUCT(MAX(ROW(E1256:E$2)*(E1257=E1256:E$2)))))</f>
        <v> </v>
      </c>
      <c r="J1257" s="25" t="str">
        <f>IF(OR(E1257="",E1257="!!!",F1257="NEW"),"",COUNTBLANK(OFFSET(A$1,,,SUMPRODUCT(MAX(ROW(E$2:E1257)*(E1257=E$2:E1257)))))-COUNTBLANK(OFFSET(A$1,,,SUMPRODUCT(MAX(ROW(E$1:E1256)*(E2=E$1:E1256))))))</f>
        <v> </v>
      </c>
      <c r="K1257" s="25" t="str">
        <f>IF(OR(E1257="",E1257="!!!",F1257="NEW"),"",INDEX(J$1:J1256,SUMPRODUCT(MAX(ROW(E$1:E1256)*(E1257=E$1:E1256)))))</f>
        <v> </v>
      </c>
      <c r="L1257" s="26"/>
    </row>
    <row r="1258" spans="1:12">
      <c r="A1258" s="20" t="s">
        <v>770</v>
      </c>
      <c r="B1258" s="27" t="s">
        <v>291</v>
      </c>
      <c r="C1258" s="27" t="s">
        <v>279</v>
      </c>
      <c r="E1258" s="21">
        <f>IF(D1258="?OLD","!!!","")</f>
        <v/>
      </c>
      <c r="F1258" s="22" t="str">
        <f>IF(OR(E1258="",E1258="!!!"),"",IF(NOT(ISNA(VLOOKUP(E1258,E$1:E1257,1,FALSE()))),"OLD",IF(AND(E1258&lt;&gt;"",E1258&lt;&gt;"!!!"),"NEW","")))</f>
        <v> </v>
      </c>
      <c r="G1258" s="23" t="str">
        <f>IF(OR(E1258="",E1258="!!!"),"",IF(OR(J1258=0,AND(J1258=1,K1258=1),AND(J1258=1,I1258="SBJ"),AND(J1258=1,I1258=0)),"?IN_FOCUS",IF(J1258&lt;=2,"?ACTIVATED",IF(J1258&lt;&gt;"","?FAMILIAR",IF(F1258="NEW",IF(ISNA(VLOOKUP(E1258,#REF!,1,FALSE())),"?TYPE_IDENTIFIABLE","?REFERENTIAL"),"_")))))</f>
        <v> </v>
      </c>
      <c r="H1258" s="24" t="str">
        <f>IF(J1258&lt;&gt;1,"",IF(I1258="SBJ","CB","?"))</f>
        <v> </v>
      </c>
      <c r="I1258" s="25" t="str">
        <f>IF(OR(E1258="",E1258="!!!",F1258="NEW"),"",INDEX(B1257:B$2,-1+SUMPRODUCT(MAX(ROW(E1257:E$2)*(E1258=E1257:E$2)))))</f>
        <v> </v>
      </c>
      <c r="J1258" s="25" t="str">
        <f>IF(OR(E1258="",E1258="!!!",F1258="NEW"),"",COUNTBLANK(OFFSET(A$1,,,SUMPRODUCT(MAX(ROW(E$2:E1258)*(E1258=E$2:E1258)))))-COUNTBLANK(OFFSET(A$1,,,SUMPRODUCT(MAX(ROW(E$1:E1257)*(E2=E$1:E1257))))))</f>
        <v> </v>
      </c>
      <c r="K1258" s="25" t="str">
        <f>IF(OR(E1258="",E1258="!!!",F1258="NEW"),"",INDEX(J$1:J1257,SUMPRODUCT(MAX(ROW(E$1:E1257)*(E1258=E$1:E1257)))))</f>
        <v> </v>
      </c>
      <c r="L1258" s="26"/>
    </row>
    <row r="1259" spans="1:12">
      <c r="A1259" s="20" t="s">
        <v>273</v>
      </c>
      <c r="E1259" s="21">
        <f>IF(D1259="?OLD","!!!","")</f>
        <v/>
      </c>
      <c r="F1259" s="22" t="str">
        <f>IF(OR(E1259="",E1259="!!!"),"",IF(NOT(ISNA(VLOOKUP(E1259,E$1:E1258,1,FALSE()))),"OLD",IF(AND(E1259&lt;&gt;"",E1259&lt;&gt;"!!!"),"NEW","")))</f>
        <v> </v>
      </c>
      <c r="G1259" s="23" t="str">
        <f>IF(OR(E1259="",E1259="!!!"),"",IF(OR(J1259=0,AND(J1259=1,K1259=1),AND(J1259=1,I1259="SBJ"),AND(J1259=1,I1259=0)),"?IN_FOCUS",IF(J1259&lt;=2,"?ACTIVATED",IF(J1259&lt;&gt;"","?FAMILIAR",IF(F1259="NEW",IF(ISNA(VLOOKUP(E1259,#REF!,1,FALSE())),"?TYPE_IDENTIFIABLE","?REFERENTIAL"),"_")))))</f>
        <v> </v>
      </c>
      <c r="H1259" s="24" t="str">
        <f>IF(J1259&lt;&gt;1,"",IF(I1259="SBJ","CB","?"))</f>
        <v> </v>
      </c>
      <c r="I1259" s="25" t="str">
        <f>IF(OR(E1259="",E1259="!!!",F1259="NEW"),"",INDEX(B1258:B$2,-1+SUMPRODUCT(MAX(ROW(E1258:E$2)*(E1259=E1258:E$2)))))</f>
        <v> </v>
      </c>
      <c r="J1259" s="25" t="str">
        <f>IF(OR(E1259="",E1259="!!!",F1259="NEW"),"",COUNTBLANK(OFFSET(A$1,,,SUMPRODUCT(MAX(ROW(E$2:E1259)*(E1259=E$2:E1259)))))-COUNTBLANK(OFFSET(A$1,,,SUMPRODUCT(MAX(ROW(E$1:E1258)*(E2=E$1:E1258))))))</f>
        <v> </v>
      </c>
      <c r="K1259" s="25" t="str">
        <f>IF(OR(E1259="",E1259="!!!",F1259="NEW"),"",INDEX(J$1:J1258,SUMPRODUCT(MAX(ROW(E$1:E1258)*(E1259=E$1:E1258)))))</f>
        <v> </v>
      </c>
      <c r="L1259" s="26"/>
    </row>
    <row r="1260" spans="1:12">
      <c r="A1260" s="20" t="s">
        <v>249</v>
      </c>
      <c r="E1260" s="21">
        <f>IF(D1260="?OLD","!!!","")</f>
        <v/>
      </c>
      <c r="F1260" s="22" t="str">
        <f>IF(OR(E1260="",E1260="!!!"),"",IF(NOT(ISNA(VLOOKUP(E1260,E$1:E1259,1,FALSE()))),"OLD",IF(AND(E1260&lt;&gt;"",E1260&lt;&gt;"!!!"),"NEW","")))</f>
        <v> </v>
      </c>
      <c r="G1260" s="23" t="str">
        <f>IF(OR(E1260="",E1260="!!!"),"",IF(OR(J1260=0,AND(J1260=1,K1260=1),AND(J1260=1,I1260="SBJ"),AND(J1260=1,I1260=0)),"?IN_FOCUS",IF(J1260&lt;=2,"?ACTIVATED",IF(J1260&lt;&gt;"","?FAMILIAR",IF(F1260="NEW",IF(ISNA(VLOOKUP(E1260,#REF!,1,FALSE())),"?TYPE_IDENTIFIABLE","?REFERENTIAL"),"_")))))</f>
        <v> </v>
      </c>
      <c r="H1260" s="24" t="str">
        <f>IF(J1260&lt;&gt;1,"",IF(I1260="SBJ","CB","?"))</f>
        <v> </v>
      </c>
      <c r="I1260" s="25" t="str">
        <f>IF(OR(E1260="",E1260="!!!",F1260="NEW"),"",INDEX(B1259:B$2,-1+SUMPRODUCT(MAX(ROW(E1259:E$2)*(E1260=E1259:E$2)))))</f>
        <v> </v>
      </c>
      <c r="J1260" s="25" t="str">
        <f>IF(OR(E1260="",E1260="!!!",F1260="NEW"),"",COUNTBLANK(OFFSET(A$1,,,SUMPRODUCT(MAX(ROW(E$2:E1260)*(E1260=E$2:E1260)))))-COUNTBLANK(OFFSET(A$1,,,SUMPRODUCT(MAX(ROW(E$1:E1259)*(E2=E$1:E1259))))))</f>
        <v> </v>
      </c>
      <c r="K1260" s="25" t="str">
        <f>IF(OR(E1260="",E1260="!!!",F1260="NEW"),"",INDEX(J$1:J1259,SUMPRODUCT(MAX(ROW(E$1:E1259)*(E1260=E$1:E1259)))))</f>
        <v> </v>
      </c>
      <c r="L1260" s="26"/>
    </row>
    <row r="1261" spans="1:12">
      <c r="A1261" s="20" t="s">
        <v>771</v>
      </c>
      <c r="B1261" s="27" t="s">
        <v>272</v>
      </c>
      <c r="C1261" s="27" t="s">
        <v>281</v>
      </c>
      <c r="E1261" s="21">
        <f>IF(D1261="?OLD","!!!","")</f>
        <v/>
      </c>
      <c r="F1261" s="22" t="str">
        <f>IF(OR(E1261="",E1261="!!!"),"",IF(NOT(ISNA(VLOOKUP(E1261,E$1:E1260,1,FALSE()))),"OLD",IF(AND(E1261&lt;&gt;"",E1261&lt;&gt;"!!!"),"NEW","")))</f>
        <v> </v>
      </c>
      <c r="G1261" s="23" t="str">
        <f>IF(OR(E1261="",E1261="!!!"),"",IF(OR(J1261=0,AND(J1261=1,K1261=1),AND(J1261=1,I1261="SBJ"),AND(J1261=1,I1261=0)),"?IN_FOCUS",IF(J1261&lt;=2,"?ACTIVATED",IF(J1261&lt;&gt;"","?FAMILIAR",IF(F1261="NEW",IF(ISNA(VLOOKUP(E1261,#REF!,1,FALSE())),"?TYPE_IDENTIFIABLE","?REFERENTIAL"),"_")))))</f>
        <v> </v>
      </c>
      <c r="H1261" s="24" t="str">
        <f>IF(J1261&lt;&gt;1,"",IF(I1261="SBJ","CB","?"))</f>
        <v> </v>
      </c>
      <c r="I1261" s="25" t="str">
        <f>IF(OR(E1261="",E1261="!!!",F1261="NEW"),"",INDEX(B1260:B$2,-1+SUMPRODUCT(MAX(ROW(E1260:E$2)*(E1261=E1260:E$2)))))</f>
        <v> </v>
      </c>
      <c r="J1261" s="25" t="str">
        <f>IF(OR(E1261="",E1261="!!!",F1261="NEW"),"",COUNTBLANK(OFFSET(A$1,,,SUMPRODUCT(MAX(ROW(E$2:E1261)*(E1261=E$2:E1261)))))-COUNTBLANK(OFFSET(A$1,,,SUMPRODUCT(MAX(ROW(E$1:E1260)*(E2=E$1:E1260))))))</f>
        <v> </v>
      </c>
      <c r="K1261" s="25" t="str">
        <f>IF(OR(E1261="",E1261="!!!",F1261="NEW"),"",INDEX(J$1:J1260,SUMPRODUCT(MAX(ROW(E$1:E1260)*(E1261=E$1:E1260)))))</f>
        <v> </v>
      </c>
      <c r="L1261" s="26"/>
    </row>
    <row r="1262" spans="1:12">
      <c r="A1262" s="20" t="s">
        <v>285</v>
      </c>
      <c r="E1262" s="21">
        <f>IF(D1262="?OLD","!!!","")</f>
        <v/>
      </c>
      <c r="F1262" s="22" t="str">
        <f>IF(OR(E1262="",E1262="!!!"),"",IF(NOT(ISNA(VLOOKUP(E1262,E$1:E1261,1,FALSE()))),"OLD",IF(AND(E1262&lt;&gt;"",E1262&lt;&gt;"!!!"),"NEW","")))</f>
        <v> </v>
      </c>
      <c r="G1262" s="23" t="str">
        <f>IF(OR(E1262="",E1262="!!!"),"",IF(OR(J1262=0,AND(J1262=1,K1262=1),AND(J1262=1,I1262="SBJ"),AND(J1262=1,I1262=0)),"?IN_FOCUS",IF(J1262&lt;=2,"?ACTIVATED",IF(J1262&lt;&gt;"","?FAMILIAR",IF(F1262="NEW",IF(ISNA(VLOOKUP(E1262,#REF!,1,FALSE())),"?TYPE_IDENTIFIABLE","?REFERENTIAL"),"_")))))</f>
        <v> </v>
      </c>
      <c r="H1262" s="24" t="str">
        <f>IF(J1262&lt;&gt;1,"",IF(I1262="SBJ","CB","?"))</f>
        <v> </v>
      </c>
      <c r="I1262" s="25" t="str">
        <f>IF(OR(E1262="",E1262="!!!",F1262="NEW"),"",INDEX(B1261:B$2,-1+SUMPRODUCT(MAX(ROW(E1261:E$2)*(E1262=E1261:E$2)))))</f>
        <v> </v>
      </c>
      <c r="J1262" s="25" t="str">
        <f>IF(OR(E1262="",E1262="!!!",F1262="NEW"),"",COUNTBLANK(OFFSET(A$1,,,SUMPRODUCT(MAX(ROW(E$2:E1262)*(E1262=E$2:E1262)))))-COUNTBLANK(OFFSET(A$1,,,SUMPRODUCT(MAX(ROW(E$1:E1261)*(E2=E$1:E1261))))))</f>
        <v> </v>
      </c>
      <c r="K1262" s="25" t="str">
        <f>IF(OR(E1262="",E1262="!!!",F1262="NEW"),"",INDEX(J$1:J1261,SUMPRODUCT(MAX(ROW(E$1:E1261)*(E1262=E$1:E1261)))))</f>
        <v> </v>
      </c>
      <c r="L1262" s="26"/>
    </row>
    <row r="1263" spans="1:12">
      <c r="A1263" s="20"/>
    </row>
    <row r="1264" spans="1:12">
      <c r="A1264" s="20" t="s">
        <v>772</v>
      </c>
    </row>
    <row r="1265" spans="1:12">
      <c r="A1265" s="20" t="s">
        <v>758</v>
      </c>
      <c r="B1265" s="27" t="s">
        <v>255</v>
      </c>
      <c r="C1265" s="27" t="s">
        <v>256</v>
      </c>
      <c r="D1265" s="27" t="s">
        <v>244</v>
      </c>
      <c r="E1265" s="21">
        <f>IF(D1265="?OLD","!!!","")</f>
        <v/>
      </c>
      <c r="F1265" s="22" t="str">
        <f>IF(OR(E1265="",E1265="!!!"),"",IF(NOT(ISNA(VLOOKUP(E1265,E$1:E1264,1,FALSE()))),"OLD",IF(AND(E1265&lt;&gt;"",E1265&lt;&gt;"!!!"),"NEW","")))</f>
        <v> </v>
      </c>
      <c r="G1265" s="23" t="str">
        <f>IF(OR(E1265="",E1265="!!!"),"",IF(OR(J1265=0,AND(J1265=1,K1265=1),AND(J1265=1,I1265="SBJ"),AND(J1265=1,I1265=0)),"?IN_FOCUS",IF(J1265&lt;=2,"?ACTIVATED",IF(J1265&lt;&gt;"","?FAMILIAR",IF(F1265="NEW",IF(ISNA(VLOOKUP(E1265,#REF!,1,FALSE())),"?TYPE_IDENTIFIABLE","?REFERENTIAL"),"_")))))</f>
        <v> </v>
      </c>
      <c r="H1265" s="24" t="str">
        <f>IF(J1265&lt;&gt;1,"",IF(I1265="SBJ","CB","?"))</f>
        <v> </v>
      </c>
      <c r="I1265" s="25" t="str">
        <f>IF(OR(E1265="",E1265="!!!",F1265="NEW"),"",INDEX(B1264:B$2,-1+SUMPRODUCT(MAX(ROW(E1264:E$2)*(E1265=E1264:E$2)))))</f>
        <v> </v>
      </c>
      <c r="J1265" s="25" t="str">
        <f>IF(OR(E1265="",E1265="!!!",F1265="NEW"),"",COUNTBLANK(OFFSET(A$1,,,SUMPRODUCT(MAX(ROW(E$2:E1265)*(E1265=E$2:E1265)))))-COUNTBLANK(OFFSET(A$1,,,SUMPRODUCT(MAX(ROW(E$1:E1264)*(E2=E$1:E1264))))))</f>
        <v> </v>
      </c>
      <c r="K1265" s="25" t="str">
        <f>IF(OR(E1265="",E1265="!!!",F1265="NEW"),"",INDEX(J$1:J1264,SUMPRODUCT(MAX(ROW(E$1:E1264)*(E1265=E$1:E1264)))))</f>
        <v> </v>
      </c>
      <c r="L1265" s="26"/>
    </row>
    <row r="1266" spans="1:12">
      <c r="A1266" s="20" t="s">
        <v>773</v>
      </c>
      <c r="E1266" s="21">
        <f>IF(D1266="?OLD","!!!","")</f>
        <v/>
      </c>
      <c r="F1266" s="22" t="str">
        <f>IF(OR(E1266="",E1266="!!!"),"",IF(NOT(ISNA(VLOOKUP(E1266,E$1:E1265,1,FALSE()))),"OLD",IF(AND(E1266&lt;&gt;"",E1266&lt;&gt;"!!!"),"NEW","")))</f>
        <v> </v>
      </c>
      <c r="G1266" s="23" t="str">
        <f>IF(OR(E1266="",E1266="!!!"),"",IF(OR(J1266=0,AND(J1266=1,K1266=1),AND(J1266=1,I1266="SBJ"),AND(J1266=1,I1266=0)),"?IN_FOCUS",IF(J1266&lt;=2,"?ACTIVATED",IF(J1266&lt;&gt;"","?FAMILIAR",IF(F1266="NEW",IF(ISNA(VLOOKUP(E1266,#REF!,1,FALSE())),"?TYPE_IDENTIFIABLE","?REFERENTIAL"),"_")))))</f>
        <v> </v>
      </c>
      <c r="H1266" s="24" t="str">
        <f>IF(J1266&lt;&gt;1,"",IF(I1266="SBJ","CB","?"))</f>
        <v> </v>
      </c>
      <c r="I1266" s="25" t="str">
        <f>IF(OR(E1266="",E1266="!!!",F1266="NEW"),"",INDEX(B1265:B$2,-1+SUMPRODUCT(MAX(ROW(E1265:E$2)*(E1266=E1265:E$2)))))</f>
        <v> </v>
      </c>
      <c r="J1266" s="25" t="str">
        <f>IF(OR(E1266="",E1266="!!!",F1266="NEW"),"",COUNTBLANK(OFFSET(A$1,,,SUMPRODUCT(MAX(ROW(E$2:E1266)*(E1266=E$2:E1266)))))-COUNTBLANK(OFFSET(A$1,,,SUMPRODUCT(MAX(ROW(E$1:E1265)*(E2=E$1:E1265))))))</f>
        <v> </v>
      </c>
      <c r="K1266" s="25" t="str">
        <f>IF(OR(E1266="",E1266="!!!",F1266="NEW"),"",INDEX(J$1:J1265,SUMPRODUCT(MAX(ROW(E$1:E1265)*(E1266=E$1:E1265)))))</f>
        <v> </v>
      </c>
      <c r="L1266" s="26"/>
    </row>
    <row r="1267" spans="1:12">
      <c r="A1267" s="20" t="s">
        <v>420</v>
      </c>
      <c r="E1267" s="21">
        <f>IF(D1267="?OLD","!!!","")</f>
        <v/>
      </c>
      <c r="F1267" s="22" t="str">
        <f>IF(OR(E1267="",E1267="!!!"),"",IF(NOT(ISNA(VLOOKUP(E1267,E$1:E1266,1,FALSE()))),"OLD",IF(AND(E1267&lt;&gt;"",E1267&lt;&gt;"!!!"),"NEW","")))</f>
        <v> </v>
      </c>
      <c r="G1267" s="23" t="str">
        <f>IF(OR(E1267="",E1267="!!!"),"",IF(OR(J1267=0,AND(J1267=1,K1267=1),AND(J1267=1,I1267="SBJ"),AND(J1267=1,I1267=0)),"?IN_FOCUS",IF(J1267&lt;=2,"?ACTIVATED",IF(J1267&lt;&gt;"","?FAMILIAR",IF(F1267="NEW",IF(ISNA(VLOOKUP(E1267,#REF!,1,FALSE())),"?TYPE_IDENTIFIABLE","?REFERENTIAL"),"_")))))</f>
        <v> </v>
      </c>
      <c r="H1267" s="24" t="str">
        <f>IF(J1267&lt;&gt;1,"",IF(I1267="SBJ","CB","?"))</f>
        <v> </v>
      </c>
      <c r="I1267" s="25" t="str">
        <f>IF(OR(E1267="",E1267="!!!",F1267="NEW"),"",INDEX(B1266:B$2,-1+SUMPRODUCT(MAX(ROW(E1266:E$2)*(E1267=E1266:E$2)))))</f>
        <v> </v>
      </c>
      <c r="J1267" s="25" t="str">
        <f>IF(OR(E1267="",E1267="!!!",F1267="NEW"),"",COUNTBLANK(OFFSET(A$1,,,SUMPRODUCT(MAX(ROW(E$2:E1267)*(E1267=E$2:E1267)))))-COUNTBLANK(OFFSET(A$1,,,SUMPRODUCT(MAX(ROW(E$1:E1266)*(E2=E$1:E1266))))))</f>
        <v> </v>
      </c>
      <c r="K1267" s="25" t="str">
        <f>IF(OR(E1267="",E1267="!!!",F1267="NEW"),"",INDEX(J$1:J1266,SUMPRODUCT(MAX(ROW(E$1:E1266)*(E1267=E$1:E1266)))))</f>
        <v> </v>
      </c>
      <c r="L1267" s="26"/>
    </row>
    <row r="1268" spans="1:12">
      <c r="A1268" s="20" t="s">
        <v>393</v>
      </c>
      <c r="B1268" s="27" t="s">
        <v>295</v>
      </c>
      <c r="C1268" s="27" t="s">
        <v>256</v>
      </c>
      <c r="D1268" s="27" t="s">
        <v>244</v>
      </c>
      <c r="E1268" s="21">
        <f>IF(D1268="?OLD","!!!","")</f>
        <v/>
      </c>
      <c r="F1268" s="22" t="str">
        <f>IF(OR(E1268="",E1268="!!!"),"",IF(NOT(ISNA(VLOOKUP(E1268,E$1:E1267,1,FALSE()))),"OLD",IF(AND(E1268&lt;&gt;"",E1268&lt;&gt;"!!!"),"NEW","")))</f>
        <v> </v>
      </c>
      <c r="G1268" s="23" t="str">
        <f>IF(OR(E1268="",E1268="!!!"),"",IF(OR(J1268=0,AND(J1268=1,K1268=1),AND(J1268=1,I1268="SBJ"),AND(J1268=1,I1268=0)),"?IN_FOCUS",IF(J1268&lt;=2,"?ACTIVATED",IF(J1268&lt;&gt;"","?FAMILIAR",IF(F1268="NEW",IF(ISNA(VLOOKUP(E1268,#REF!,1,FALSE())),"?TYPE_IDENTIFIABLE","?REFERENTIAL"),"_")))))</f>
        <v> </v>
      </c>
      <c r="H1268" s="24" t="str">
        <f>IF(J1268&lt;&gt;1,"",IF(I1268="SBJ","CB","?"))</f>
        <v> </v>
      </c>
      <c r="I1268" s="25" t="str">
        <f>IF(OR(E1268="",E1268="!!!",F1268="NEW"),"",INDEX(B1267:B$2,-1+SUMPRODUCT(MAX(ROW(E1267:E$2)*(E1268=E1267:E$2)))))</f>
        <v> </v>
      </c>
      <c r="J1268" s="25" t="str">
        <f>IF(OR(E1268="",E1268="!!!",F1268="NEW"),"",COUNTBLANK(OFFSET(A$1,,,SUMPRODUCT(MAX(ROW(E$2:E1268)*(E1268=E$2:E1268)))))-COUNTBLANK(OFFSET(A$1,,,SUMPRODUCT(MAX(ROW(E$1:E1267)*(E2=E$1:E1267))))))</f>
        <v> </v>
      </c>
      <c r="K1268" s="25" t="str">
        <f>IF(OR(E1268="",E1268="!!!",F1268="NEW"),"",INDEX(J$1:J1267,SUMPRODUCT(MAX(ROW(E$1:E1267)*(E1268=E$1:E1267)))))</f>
        <v> </v>
      </c>
      <c r="L1268" s="26"/>
    </row>
    <row r="1269" spans="1:12">
      <c r="A1269" s="20" t="s">
        <v>774</v>
      </c>
      <c r="E1269" s="21">
        <f>IF(D1269="?OLD","!!!","")</f>
        <v/>
      </c>
      <c r="F1269" s="22" t="str">
        <f>IF(OR(E1269="",E1269="!!!"),"",IF(NOT(ISNA(VLOOKUP(E1269,E$1:E1268,1,FALSE()))),"OLD",IF(AND(E1269&lt;&gt;"",E1269&lt;&gt;"!!!"),"NEW","")))</f>
        <v> </v>
      </c>
      <c r="G1269" s="23" t="str">
        <f>IF(OR(E1269="",E1269="!!!"),"",IF(OR(J1269=0,AND(J1269=1,K1269=1),AND(J1269=1,I1269="SBJ"),AND(J1269=1,I1269=0)),"?IN_FOCUS",IF(J1269&lt;=2,"?ACTIVATED",IF(J1269&lt;&gt;"","?FAMILIAR",IF(F1269="NEW",IF(ISNA(VLOOKUP(E1269,#REF!,1,FALSE())),"?TYPE_IDENTIFIABLE","?REFERENTIAL"),"_")))))</f>
        <v> </v>
      </c>
      <c r="H1269" s="24" t="str">
        <f>IF(J1269&lt;&gt;1,"",IF(I1269="SBJ","CB","?"))</f>
        <v> </v>
      </c>
      <c r="I1269" s="25" t="str">
        <f>IF(OR(E1269="",E1269="!!!",F1269="NEW"),"",INDEX(B1268:B$2,-1+SUMPRODUCT(MAX(ROW(E1268:E$2)*(E1269=E1268:E$2)))))</f>
        <v> </v>
      </c>
      <c r="J1269" s="25" t="str">
        <f>IF(OR(E1269="",E1269="!!!",F1269="NEW"),"",COUNTBLANK(OFFSET(A$1,,,SUMPRODUCT(MAX(ROW(E$2:E1269)*(E1269=E$2:E1269)))))-COUNTBLANK(OFFSET(A$1,,,SUMPRODUCT(MAX(ROW(E$1:E1268)*(E2=E$1:E1268))))))</f>
        <v> </v>
      </c>
      <c r="K1269" s="25" t="str">
        <f>IF(OR(E1269="",E1269="!!!",F1269="NEW"),"",INDEX(J$1:J1268,SUMPRODUCT(MAX(ROW(E$1:E1268)*(E1269=E$1:E1268)))))</f>
        <v> </v>
      </c>
      <c r="L1269" s="26"/>
    </row>
    <row r="1270" spans="1:12">
      <c r="A1270" s="20" t="s">
        <v>270</v>
      </c>
      <c r="E1270" s="21">
        <f>IF(D1270="?OLD","!!!","")</f>
        <v/>
      </c>
      <c r="F1270" s="22" t="str">
        <f>IF(OR(E1270="",E1270="!!!"),"",IF(NOT(ISNA(VLOOKUP(E1270,E$1:E1269,1,FALSE()))),"OLD",IF(AND(E1270&lt;&gt;"",E1270&lt;&gt;"!!!"),"NEW","")))</f>
        <v> </v>
      </c>
      <c r="G1270" s="23" t="str">
        <f>IF(OR(E1270="",E1270="!!!"),"",IF(OR(J1270=0,AND(J1270=1,K1270=1),AND(J1270=1,I1270="SBJ"),AND(J1270=1,I1270=0)),"?IN_FOCUS",IF(J1270&lt;=2,"?ACTIVATED",IF(J1270&lt;&gt;"","?FAMILIAR",IF(F1270="NEW",IF(ISNA(VLOOKUP(E1270,#REF!,1,FALSE())),"?TYPE_IDENTIFIABLE","?REFERENTIAL"),"_")))))</f>
        <v> </v>
      </c>
      <c r="H1270" s="24" t="str">
        <f>IF(J1270&lt;&gt;1,"",IF(I1270="SBJ","CB","?"))</f>
        <v> </v>
      </c>
      <c r="I1270" s="25" t="str">
        <f>IF(OR(E1270="",E1270="!!!",F1270="NEW"),"",INDEX(B1269:B$2,-1+SUMPRODUCT(MAX(ROW(E1269:E$2)*(E1270=E1269:E$2)))))</f>
        <v> </v>
      </c>
      <c r="J1270" s="25" t="str">
        <f>IF(OR(E1270="",E1270="!!!",F1270="NEW"),"",COUNTBLANK(OFFSET(A$1,,,SUMPRODUCT(MAX(ROW(E$2:E1270)*(E1270=E$2:E1270)))))-COUNTBLANK(OFFSET(A$1,,,SUMPRODUCT(MAX(ROW(E$1:E1269)*(E2=E$1:E1269))))))</f>
        <v> </v>
      </c>
      <c r="K1270" s="25" t="str">
        <f>IF(OR(E1270="",E1270="!!!",F1270="NEW"),"",INDEX(J$1:J1269,SUMPRODUCT(MAX(ROW(E$1:E1269)*(E1270=E$1:E1269)))))</f>
        <v> </v>
      </c>
      <c r="L1270" s="26"/>
    </row>
    <row r="1271" spans="1:12">
      <c r="A1271" s="20" t="s">
        <v>775</v>
      </c>
      <c r="B1271" s="27" t="s">
        <v>272</v>
      </c>
      <c r="C1271" s="27" t="s">
        <v>263</v>
      </c>
      <c r="D1271" s="27" t="s">
        <v>244</v>
      </c>
      <c r="E1271" s="21">
        <f>IF(D1271="?OLD","!!!","")</f>
        <v/>
      </c>
      <c r="F1271" s="22" t="str">
        <f>IF(OR(E1271="",E1271="!!!"),"",IF(NOT(ISNA(VLOOKUP(E1271,E$1:E1270,1,FALSE()))),"OLD",IF(AND(E1271&lt;&gt;"",E1271&lt;&gt;"!!!"),"NEW","")))</f>
        <v> </v>
      </c>
      <c r="G1271" s="23" t="str">
        <f>IF(OR(E1271="",E1271="!!!"),"",IF(OR(J1271=0,AND(J1271=1,K1271=1),AND(J1271=1,I1271="SBJ"),AND(J1271=1,I1271=0)),"?IN_FOCUS",IF(J1271&lt;=2,"?ACTIVATED",IF(J1271&lt;&gt;"","?FAMILIAR",IF(F1271="NEW",IF(ISNA(VLOOKUP(E1271,#REF!,1,FALSE())),"?TYPE_IDENTIFIABLE","?REFERENTIAL"),"_")))))</f>
        <v> </v>
      </c>
      <c r="H1271" s="24" t="str">
        <f>IF(J1271&lt;&gt;1,"",IF(I1271="SBJ","CB","?"))</f>
        <v> </v>
      </c>
      <c r="I1271" s="25" t="str">
        <f>IF(OR(E1271="",E1271="!!!",F1271="NEW"),"",INDEX(B1270:B$2,-1+SUMPRODUCT(MAX(ROW(E1270:E$2)*(E1271=E1270:E$2)))))</f>
        <v> </v>
      </c>
      <c r="J1271" s="25" t="str">
        <f>IF(OR(E1271="",E1271="!!!",F1271="NEW"),"",COUNTBLANK(OFFSET(A$1,,,SUMPRODUCT(MAX(ROW(E$2:E1271)*(E1271=E$2:E1271)))))-COUNTBLANK(OFFSET(A$1,,,SUMPRODUCT(MAX(ROW(E$1:E1270)*(E2=E$1:E1270))))))</f>
        <v> </v>
      </c>
      <c r="K1271" s="25" t="str">
        <f>IF(OR(E1271="",E1271="!!!",F1271="NEW"),"",INDEX(J$1:J1270,SUMPRODUCT(MAX(ROW(E$1:E1270)*(E1271=E$1:E1270)))))</f>
        <v> </v>
      </c>
      <c r="L1271" s="26"/>
    </row>
    <row r="1272" spans="1:12">
      <c r="A1272" s="20" t="s">
        <v>358</v>
      </c>
      <c r="E1272" s="21">
        <f>IF(D1272="?OLD","!!!","")</f>
        <v/>
      </c>
      <c r="F1272" s="22" t="str">
        <f>IF(OR(E1272="",E1272="!!!"),"",IF(NOT(ISNA(VLOOKUP(E1272,E$1:E1271,1,FALSE()))),"OLD",IF(AND(E1272&lt;&gt;"",E1272&lt;&gt;"!!!"),"NEW","")))</f>
        <v> </v>
      </c>
      <c r="G1272" s="23" t="str">
        <f>IF(OR(E1272="",E1272="!!!"),"",IF(OR(J1272=0,AND(J1272=1,K1272=1),AND(J1272=1,I1272="SBJ"),AND(J1272=1,I1272=0)),"?IN_FOCUS",IF(J1272&lt;=2,"?ACTIVATED",IF(J1272&lt;&gt;"","?FAMILIAR",IF(F1272="NEW",IF(ISNA(VLOOKUP(E1272,#REF!,1,FALSE())),"?TYPE_IDENTIFIABLE","?REFERENTIAL"),"_")))))</f>
        <v> </v>
      </c>
      <c r="H1272" s="24" t="str">
        <f>IF(J1272&lt;&gt;1,"",IF(I1272="SBJ","CB","?"))</f>
        <v> </v>
      </c>
      <c r="I1272" s="25" t="str">
        <f>IF(OR(E1272="",E1272="!!!",F1272="NEW"),"",INDEX(B1271:B$2,-1+SUMPRODUCT(MAX(ROW(E1271:E$2)*(E1272=E1271:E$2)))))</f>
        <v> </v>
      </c>
      <c r="J1272" s="25" t="str">
        <f>IF(OR(E1272="",E1272="!!!",F1272="NEW"),"",COUNTBLANK(OFFSET(A$1,,,SUMPRODUCT(MAX(ROW(E$2:E1272)*(E1272=E$2:E1272)))))-COUNTBLANK(OFFSET(A$1,,,SUMPRODUCT(MAX(ROW(E$1:E1271)*(E2=E$1:E1271))))))</f>
        <v> </v>
      </c>
      <c r="K1272" s="25" t="str">
        <f>IF(OR(E1272="",E1272="!!!",F1272="NEW"),"",INDEX(J$1:J1271,SUMPRODUCT(MAX(ROW(E$1:E1271)*(E1272=E$1:E1271)))))</f>
        <v> </v>
      </c>
      <c r="L1272" s="26"/>
    </row>
    <row r="1273" spans="1:12">
      <c r="A1273" s="20" t="s">
        <v>776</v>
      </c>
      <c r="E1273" s="21">
        <f>IF(D1273="?OLD","!!!","")</f>
        <v/>
      </c>
      <c r="F1273" s="22" t="str">
        <f>IF(OR(E1273="",E1273="!!!"),"",IF(NOT(ISNA(VLOOKUP(E1273,E$1:E1272,1,FALSE()))),"OLD",IF(AND(E1273&lt;&gt;"",E1273&lt;&gt;"!!!"),"NEW","")))</f>
        <v> </v>
      </c>
      <c r="G1273" s="23" t="str">
        <f>IF(OR(E1273="",E1273="!!!"),"",IF(OR(J1273=0,AND(J1273=1,K1273=1),AND(J1273=1,I1273="SBJ"),AND(J1273=1,I1273=0)),"?IN_FOCUS",IF(J1273&lt;=2,"?ACTIVATED",IF(J1273&lt;&gt;"","?FAMILIAR",IF(F1273="NEW",IF(ISNA(VLOOKUP(E1273,#REF!,1,FALSE())),"?TYPE_IDENTIFIABLE","?REFERENTIAL"),"_")))))</f>
        <v> </v>
      </c>
      <c r="H1273" s="24" t="str">
        <f>IF(J1273&lt;&gt;1,"",IF(I1273="SBJ","CB","?"))</f>
        <v> </v>
      </c>
      <c r="I1273" s="25" t="str">
        <f>IF(OR(E1273="",E1273="!!!",F1273="NEW"),"",INDEX(B1272:B$2,-1+SUMPRODUCT(MAX(ROW(E1272:E$2)*(E1273=E1272:E$2)))))</f>
        <v> </v>
      </c>
      <c r="J1273" s="25" t="str">
        <f>IF(OR(E1273="",E1273="!!!",F1273="NEW"),"",COUNTBLANK(OFFSET(A$1,,,SUMPRODUCT(MAX(ROW(E$2:E1273)*(E1273=E$2:E1273)))))-COUNTBLANK(OFFSET(A$1,,,SUMPRODUCT(MAX(ROW(E$1:E1272)*(E2=E$1:E1272))))))</f>
        <v> </v>
      </c>
      <c r="K1273" s="25" t="str">
        <f>IF(OR(E1273="",E1273="!!!",F1273="NEW"),"",INDEX(J$1:J1272,SUMPRODUCT(MAX(ROW(E$1:E1272)*(E1273=E$1:E1272)))))</f>
        <v> </v>
      </c>
      <c r="L1273" s="26"/>
    </row>
    <row r="1274" spans="1:12">
      <c r="A1274" s="20" t="s">
        <v>777</v>
      </c>
      <c r="B1274" s="27" t="s">
        <v>291</v>
      </c>
      <c r="C1274" s="27" t="s">
        <v>267</v>
      </c>
      <c r="D1274" s="27" t="s">
        <v>244</v>
      </c>
      <c r="E1274" s="21">
        <f>IF(D1274="?OLD","!!!","")</f>
        <v/>
      </c>
      <c r="F1274" s="22" t="str">
        <f>IF(OR(E1274="",E1274="!!!"),"",IF(NOT(ISNA(VLOOKUP(E1274,E$1:E1273,1,FALSE()))),"OLD",IF(AND(E1274&lt;&gt;"",E1274&lt;&gt;"!!!"),"NEW","")))</f>
        <v> </v>
      </c>
      <c r="G1274" s="23" t="str">
        <f>IF(OR(E1274="",E1274="!!!"),"",IF(OR(J1274=0,AND(J1274=1,K1274=1),AND(J1274=1,I1274="SBJ"),AND(J1274=1,I1274=0)),"?IN_FOCUS",IF(J1274&lt;=2,"?ACTIVATED",IF(J1274&lt;&gt;"","?FAMILIAR",IF(F1274="NEW",IF(ISNA(VLOOKUP(E1274,#REF!,1,FALSE())),"?TYPE_IDENTIFIABLE","?REFERENTIAL"),"_")))))</f>
        <v> </v>
      </c>
      <c r="H1274" s="24" t="str">
        <f>IF(J1274&lt;&gt;1,"",IF(I1274="SBJ","CB","?"))</f>
        <v> </v>
      </c>
      <c r="I1274" s="25" t="str">
        <f>IF(OR(E1274="",E1274="!!!",F1274="NEW"),"",INDEX(B1273:B$2,-1+SUMPRODUCT(MAX(ROW(E1273:E$2)*(E1274=E1273:E$2)))))</f>
        <v> </v>
      </c>
      <c r="J1274" s="25" t="str">
        <f>IF(OR(E1274="",E1274="!!!",F1274="NEW"),"",COUNTBLANK(OFFSET(A$1,,,SUMPRODUCT(MAX(ROW(E$2:E1274)*(E1274=E$2:E1274)))))-COUNTBLANK(OFFSET(A$1,,,SUMPRODUCT(MAX(ROW(E$1:E1273)*(E2=E$1:E1273))))))</f>
        <v> </v>
      </c>
      <c r="K1274" s="25" t="str">
        <f>IF(OR(E1274="",E1274="!!!",F1274="NEW"),"",INDEX(J$1:J1273,SUMPRODUCT(MAX(ROW(E$1:E1273)*(E1274=E$1:E1273)))))</f>
        <v> </v>
      </c>
      <c r="L1274" s="26"/>
    </row>
    <row r="1275" spans="1:12">
      <c r="A1275" s="20" t="s">
        <v>285</v>
      </c>
      <c r="E1275" s="21">
        <f>IF(D1275="?OLD","!!!","")</f>
        <v/>
      </c>
      <c r="F1275" s="22" t="str">
        <f>IF(OR(E1275="",E1275="!!!"),"",IF(NOT(ISNA(VLOOKUP(E1275,E$1:E1274,1,FALSE()))),"OLD",IF(AND(E1275&lt;&gt;"",E1275&lt;&gt;"!!!"),"NEW","")))</f>
        <v> </v>
      </c>
      <c r="G1275" s="23" t="str">
        <f>IF(OR(E1275="",E1275="!!!"),"",IF(OR(J1275=0,AND(J1275=1,K1275=1),AND(J1275=1,I1275="SBJ"),AND(J1275=1,I1275=0)),"?IN_FOCUS",IF(J1275&lt;=2,"?ACTIVATED",IF(J1275&lt;&gt;"","?FAMILIAR",IF(F1275="NEW",IF(ISNA(VLOOKUP(E1275,#REF!,1,FALSE())),"?TYPE_IDENTIFIABLE","?REFERENTIAL"),"_")))))</f>
        <v> </v>
      </c>
      <c r="H1275" s="24" t="str">
        <f>IF(J1275&lt;&gt;1,"",IF(I1275="SBJ","CB","?"))</f>
        <v> </v>
      </c>
      <c r="I1275" s="25" t="str">
        <f>IF(OR(E1275="",E1275="!!!",F1275="NEW"),"",INDEX(B1274:B$2,-1+SUMPRODUCT(MAX(ROW(E1274:E$2)*(E1275=E1274:E$2)))))</f>
        <v> </v>
      </c>
      <c r="J1275" s="25" t="str">
        <f>IF(OR(E1275="",E1275="!!!",F1275="NEW"),"",COUNTBLANK(OFFSET(A$1,,,SUMPRODUCT(MAX(ROW(E$2:E1275)*(E1275=E$2:E1275)))))-COUNTBLANK(OFFSET(A$1,,,SUMPRODUCT(MAX(ROW(E$1:E1274)*(E2=E$1:E1274))))))</f>
        <v> </v>
      </c>
      <c r="K1275" s="25" t="str">
        <f>IF(OR(E1275="",E1275="!!!",F1275="NEW"),"",INDEX(J$1:J1274,SUMPRODUCT(MAX(ROW(E$1:E1274)*(E1275=E$1:E1274)))))</f>
        <v> </v>
      </c>
      <c r="L1275" s="26"/>
    </row>
    <row r="1276" spans="1:12">
      <c r="A1276" s="20"/>
    </row>
    <row r="1277" spans="1:12">
      <c r="A1277" s="20" t="s">
        <v>778</v>
      </c>
    </row>
    <row r="1278" spans="1:12">
      <c r="A1278" s="20" t="s">
        <v>580</v>
      </c>
      <c r="B1278" s="27" t="s">
        <v>255</v>
      </c>
      <c r="C1278" s="27" t="s">
        <v>256</v>
      </c>
      <c r="D1278" s="27" t="s">
        <v>244</v>
      </c>
      <c r="E1278" s="21">
        <f>IF(D1278="?OLD","!!!","")</f>
        <v/>
      </c>
      <c r="F1278" s="22" t="str">
        <f>IF(OR(E1278="",E1278="!!!"),"",IF(NOT(ISNA(VLOOKUP(E1278,E$1:E1277,1,FALSE()))),"OLD",IF(AND(E1278&lt;&gt;"",E1278&lt;&gt;"!!!"),"NEW","")))</f>
        <v> </v>
      </c>
      <c r="G1278" s="23" t="str">
        <f>IF(OR(E1278="",E1278="!!!"),"",IF(OR(J1278=0,AND(J1278=1,K1278=1),AND(J1278=1,I1278="SBJ"),AND(J1278=1,I1278=0)),"?IN_FOCUS",IF(J1278&lt;=2,"?ACTIVATED",IF(J1278&lt;&gt;"","?FAMILIAR",IF(F1278="NEW",IF(ISNA(VLOOKUP(E1278,#REF!,1,FALSE())),"?TYPE_IDENTIFIABLE","?REFERENTIAL"),"_")))))</f>
        <v> </v>
      </c>
      <c r="H1278" s="24" t="str">
        <f>IF(J1278&lt;&gt;1,"",IF(I1278="SBJ","CB","?"))</f>
        <v> </v>
      </c>
      <c r="I1278" s="25" t="str">
        <f>IF(OR(E1278="",E1278="!!!",F1278="NEW"),"",INDEX(B1277:B$2,-1+SUMPRODUCT(MAX(ROW(E1277:E$2)*(E1278=E1277:E$2)))))</f>
        <v> </v>
      </c>
      <c r="J1278" s="25" t="str">
        <f>IF(OR(E1278="",E1278="!!!",F1278="NEW"),"",COUNTBLANK(OFFSET(A$1,,,SUMPRODUCT(MAX(ROW(E$2:E1278)*(E1278=E$2:E1278)))))-COUNTBLANK(OFFSET(A$1,,,SUMPRODUCT(MAX(ROW(E$1:E1277)*(E2=E$1:E1277))))))</f>
        <v> </v>
      </c>
      <c r="K1278" s="25" t="str">
        <f>IF(OR(E1278="",E1278="!!!",F1278="NEW"),"",INDEX(J$1:J1277,SUMPRODUCT(MAX(ROW(E$1:E1277)*(E1278=E$1:E1277)))))</f>
        <v> </v>
      </c>
      <c r="L1278" s="26"/>
    </row>
    <row r="1279" spans="1:12">
      <c r="A1279" s="20" t="s">
        <v>442</v>
      </c>
      <c r="E1279" s="21">
        <f>IF(D1279="?OLD","!!!","")</f>
        <v/>
      </c>
      <c r="F1279" s="22" t="str">
        <f>IF(OR(E1279="",E1279="!!!"),"",IF(NOT(ISNA(VLOOKUP(E1279,E$1:E1278,1,FALSE()))),"OLD",IF(AND(E1279&lt;&gt;"",E1279&lt;&gt;"!!!"),"NEW","")))</f>
        <v> </v>
      </c>
      <c r="G1279" s="23" t="str">
        <f>IF(OR(E1279="",E1279="!!!"),"",IF(OR(J1279=0,AND(J1279=1,K1279=1),AND(J1279=1,I1279="SBJ"),AND(J1279=1,I1279=0)),"?IN_FOCUS",IF(J1279&lt;=2,"?ACTIVATED",IF(J1279&lt;&gt;"","?FAMILIAR",IF(F1279="NEW",IF(ISNA(VLOOKUP(E1279,#REF!,1,FALSE())),"?TYPE_IDENTIFIABLE","?REFERENTIAL"),"_")))))</f>
        <v> </v>
      </c>
      <c r="H1279" s="24" t="str">
        <f>IF(J1279&lt;&gt;1,"",IF(I1279="SBJ","CB","?"))</f>
        <v> </v>
      </c>
      <c r="I1279" s="25" t="str">
        <f>IF(OR(E1279="",E1279="!!!",F1279="NEW"),"",INDEX(B1278:B$2,-1+SUMPRODUCT(MAX(ROW(E1278:E$2)*(E1279=E1278:E$2)))))</f>
        <v> </v>
      </c>
      <c r="J1279" s="25" t="str">
        <f>IF(OR(E1279="",E1279="!!!",F1279="NEW"),"",COUNTBLANK(OFFSET(A$1,,,SUMPRODUCT(MAX(ROW(E$2:E1279)*(E1279=E$2:E1279)))))-COUNTBLANK(OFFSET(A$1,,,SUMPRODUCT(MAX(ROW(E$1:E1278)*(E2=E$1:E1278))))))</f>
        <v> </v>
      </c>
      <c r="K1279" s="25" t="str">
        <f>IF(OR(E1279="",E1279="!!!",F1279="NEW"),"",INDEX(J$1:J1278,SUMPRODUCT(MAX(ROW(E$1:E1278)*(E1279=E$1:E1278)))))</f>
        <v> </v>
      </c>
      <c r="L1279" s="26"/>
    </row>
    <row r="1280" spans="1:12">
      <c r="A1280" s="20" t="s">
        <v>277</v>
      </c>
      <c r="E1280" s="21">
        <f>IF(D1280="?OLD","!!!","")</f>
        <v/>
      </c>
      <c r="F1280" s="22" t="str">
        <f>IF(OR(E1280="",E1280="!!!"),"",IF(NOT(ISNA(VLOOKUP(E1280,E$1:E1279,1,FALSE()))),"OLD",IF(AND(E1280&lt;&gt;"",E1280&lt;&gt;"!!!"),"NEW","")))</f>
        <v> </v>
      </c>
      <c r="G1280" s="23" t="str">
        <f>IF(OR(E1280="",E1280="!!!"),"",IF(OR(J1280=0,AND(J1280=1,K1280=1),AND(J1280=1,I1280="SBJ"),AND(J1280=1,I1280=0)),"?IN_FOCUS",IF(J1280&lt;=2,"?ACTIVATED",IF(J1280&lt;&gt;"","?FAMILIAR",IF(F1280="NEW",IF(ISNA(VLOOKUP(E1280,#REF!,1,FALSE())),"?TYPE_IDENTIFIABLE","?REFERENTIAL"),"_")))))</f>
        <v> </v>
      </c>
      <c r="H1280" s="24" t="str">
        <f>IF(J1280&lt;&gt;1,"",IF(I1280="SBJ","CB","?"))</f>
        <v> </v>
      </c>
      <c r="I1280" s="25" t="str">
        <f>IF(OR(E1280="",E1280="!!!",F1280="NEW"),"",INDEX(B1279:B$2,-1+SUMPRODUCT(MAX(ROW(E1279:E$2)*(E1280=E1279:E$2)))))</f>
        <v> </v>
      </c>
      <c r="J1280" s="25" t="str">
        <f>IF(OR(E1280="",E1280="!!!",F1280="NEW"),"",COUNTBLANK(OFFSET(A$1,,,SUMPRODUCT(MAX(ROW(E$2:E1280)*(E1280=E$2:E1280)))))-COUNTBLANK(OFFSET(A$1,,,SUMPRODUCT(MAX(ROW(E$1:E1279)*(E2=E$1:E1279))))))</f>
        <v> </v>
      </c>
      <c r="K1280" s="25" t="str">
        <f>IF(OR(E1280="",E1280="!!!",F1280="NEW"),"",INDEX(J$1:J1279,SUMPRODUCT(MAX(ROW(E$1:E1279)*(E1280=E$1:E1279)))))</f>
        <v> </v>
      </c>
      <c r="L1280" s="26"/>
    </row>
    <row r="1281" spans="1:12">
      <c r="A1281" s="20" t="s">
        <v>779</v>
      </c>
      <c r="B1281" s="27" t="s">
        <v>237</v>
      </c>
      <c r="C1281" s="27" t="s">
        <v>279</v>
      </c>
      <c r="E1281" s="21">
        <f>IF(D1281="?OLD","!!!","")</f>
        <v/>
      </c>
      <c r="F1281" s="22" t="str">
        <f>IF(OR(E1281="",E1281="!!!"),"",IF(NOT(ISNA(VLOOKUP(E1281,E$1:E1280,1,FALSE()))),"OLD",IF(AND(E1281&lt;&gt;"",E1281&lt;&gt;"!!!"),"NEW","")))</f>
        <v> </v>
      </c>
      <c r="G1281" s="23" t="str">
        <f>IF(OR(E1281="",E1281="!!!"),"",IF(OR(J1281=0,AND(J1281=1,K1281=1),AND(J1281=1,I1281="SBJ"),AND(J1281=1,I1281=0)),"?IN_FOCUS",IF(J1281&lt;=2,"?ACTIVATED",IF(J1281&lt;&gt;"","?FAMILIAR",IF(F1281="NEW",IF(ISNA(VLOOKUP(E1281,#REF!,1,FALSE())),"?TYPE_IDENTIFIABLE","?REFERENTIAL"),"_")))))</f>
        <v> </v>
      </c>
      <c r="H1281" s="24" t="str">
        <f>IF(J1281&lt;&gt;1,"",IF(I1281="SBJ","CB","?"))</f>
        <v> </v>
      </c>
      <c r="I1281" s="25" t="str">
        <f>IF(OR(E1281="",E1281="!!!",F1281="NEW"),"",INDEX(B1280:B$2,-1+SUMPRODUCT(MAX(ROW(E1280:E$2)*(E1281=E1280:E$2)))))</f>
        <v> </v>
      </c>
      <c r="J1281" s="25" t="str">
        <f>IF(OR(E1281="",E1281="!!!",F1281="NEW"),"",COUNTBLANK(OFFSET(A$1,,,SUMPRODUCT(MAX(ROW(E$2:E1281)*(E1281=E$2:E1281)))))-COUNTBLANK(OFFSET(A$1,,,SUMPRODUCT(MAX(ROW(E$1:E1280)*(E2=E$1:E1280))))))</f>
        <v> </v>
      </c>
      <c r="K1281" s="25" t="str">
        <f>IF(OR(E1281="",E1281="!!!",F1281="NEW"),"",INDEX(J$1:J1280,SUMPRODUCT(MAX(ROW(E$1:E1280)*(E1281=E$1:E1280)))))</f>
        <v> </v>
      </c>
      <c r="L1281" s="26"/>
    </row>
    <row r="1282" spans="1:12">
      <c r="A1282" s="20" t="s">
        <v>780</v>
      </c>
      <c r="E1282" s="21">
        <f>IF(D1282="?OLD","!!!","")</f>
        <v/>
      </c>
      <c r="F1282" s="22" t="str">
        <f>IF(OR(E1282="",E1282="!!!"),"",IF(NOT(ISNA(VLOOKUP(E1282,E$1:E1281,1,FALSE()))),"OLD",IF(AND(E1282&lt;&gt;"",E1282&lt;&gt;"!!!"),"NEW","")))</f>
        <v> </v>
      </c>
      <c r="G1282" s="23" t="str">
        <f>IF(OR(E1282="",E1282="!!!"),"",IF(OR(J1282=0,AND(J1282=1,K1282=1),AND(J1282=1,I1282="SBJ"),AND(J1282=1,I1282=0)),"?IN_FOCUS",IF(J1282&lt;=2,"?ACTIVATED",IF(J1282&lt;&gt;"","?FAMILIAR",IF(F1282="NEW",IF(ISNA(VLOOKUP(E1282,#REF!,1,FALSE())),"?TYPE_IDENTIFIABLE","?REFERENTIAL"),"_")))))</f>
        <v> </v>
      </c>
      <c r="H1282" s="24" t="str">
        <f>IF(J1282&lt;&gt;1,"",IF(I1282="SBJ","CB","?"))</f>
        <v> </v>
      </c>
      <c r="I1282" s="25" t="str">
        <f>IF(OR(E1282="",E1282="!!!",F1282="NEW"),"",INDEX(B1281:B$2,-1+SUMPRODUCT(MAX(ROW(E1281:E$2)*(E1282=E1281:E$2)))))</f>
        <v> </v>
      </c>
      <c r="J1282" s="25" t="str">
        <f>IF(OR(E1282="",E1282="!!!",F1282="NEW"),"",COUNTBLANK(OFFSET(A$1,,,SUMPRODUCT(MAX(ROW(E$2:E1282)*(E1282=E$2:E1282)))))-COUNTBLANK(OFFSET(A$1,,,SUMPRODUCT(MAX(ROW(E$1:E1281)*(E2=E$1:E1281))))))</f>
        <v> </v>
      </c>
      <c r="K1282" s="25" t="str">
        <f>IF(OR(E1282="",E1282="!!!",F1282="NEW"),"",INDEX(J$1:J1281,SUMPRODUCT(MAX(ROW(E$1:E1281)*(E1282=E$1:E1281)))))</f>
        <v> </v>
      </c>
      <c r="L1282" s="26"/>
    </row>
    <row r="1283" spans="1:12">
      <c r="A1283" s="20" t="s">
        <v>682</v>
      </c>
      <c r="E1283" s="21">
        <f>IF(D1283="?OLD","!!!","")</f>
        <v/>
      </c>
      <c r="F1283" s="22" t="str">
        <f>IF(OR(E1283="",E1283="!!!"),"",IF(NOT(ISNA(VLOOKUP(E1283,E$1:E1282,1,FALSE()))),"OLD",IF(AND(E1283&lt;&gt;"",E1283&lt;&gt;"!!!"),"NEW","")))</f>
        <v> </v>
      </c>
      <c r="G1283" s="23" t="str">
        <f>IF(OR(E1283="",E1283="!!!"),"",IF(OR(J1283=0,AND(J1283=1,K1283=1),AND(J1283=1,I1283="SBJ"),AND(J1283=1,I1283=0)),"?IN_FOCUS",IF(J1283&lt;=2,"?ACTIVATED",IF(J1283&lt;&gt;"","?FAMILIAR",IF(F1283="NEW",IF(ISNA(VLOOKUP(E1283,#REF!,1,FALSE())),"?TYPE_IDENTIFIABLE","?REFERENTIAL"),"_")))))</f>
        <v> </v>
      </c>
      <c r="H1283" s="24" t="str">
        <f>IF(J1283&lt;&gt;1,"",IF(I1283="SBJ","CB","?"))</f>
        <v> </v>
      </c>
      <c r="I1283" s="25" t="str">
        <f>IF(OR(E1283="",E1283="!!!",F1283="NEW"),"",INDEX(B1282:B$2,-1+SUMPRODUCT(MAX(ROW(E1282:E$2)*(E1283=E1282:E$2)))))</f>
        <v> </v>
      </c>
      <c r="J1283" s="25" t="str">
        <f>IF(OR(E1283="",E1283="!!!",F1283="NEW"),"",COUNTBLANK(OFFSET(A$1,,,SUMPRODUCT(MAX(ROW(E$2:E1283)*(E1283=E$2:E1283)))))-COUNTBLANK(OFFSET(A$1,,,SUMPRODUCT(MAX(ROW(E$1:E1282)*(E2=E$1:E1282))))))</f>
        <v> </v>
      </c>
      <c r="K1283" s="25" t="str">
        <f>IF(OR(E1283="",E1283="!!!",F1283="NEW"),"",INDEX(J$1:J1282,SUMPRODUCT(MAX(ROW(E$1:E1282)*(E1283=E$1:E1282)))))</f>
        <v> </v>
      </c>
      <c r="L1283" s="26"/>
    </row>
    <row r="1284" spans="1:12">
      <c r="A1284" s="20" t="s">
        <v>781</v>
      </c>
      <c r="B1284" s="27" t="s">
        <v>291</v>
      </c>
      <c r="C1284" s="27" t="s">
        <v>243</v>
      </c>
      <c r="D1284" s="27" t="s">
        <v>244</v>
      </c>
      <c r="E1284" s="21">
        <f>IF(D1284="?OLD","!!!","")</f>
        <v/>
      </c>
      <c r="F1284" s="22" t="str">
        <f>IF(OR(E1284="",E1284="!!!"),"",IF(NOT(ISNA(VLOOKUP(E1284,E$1:E1283,1,FALSE()))),"OLD",IF(AND(E1284&lt;&gt;"",E1284&lt;&gt;"!!!"),"NEW","")))</f>
        <v> </v>
      </c>
      <c r="G1284" s="23" t="str">
        <f>IF(OR(E1284="",E1284="!!!"),"",IF(OR(J1284=0,AND(J1284=1,K1284=1),AND(J1284=1,I1284="SBJ"),AND(J1284=1,I1284=0)),"?IN_FOCUS",IF(J1284&lt;=2,"?ACTIVATED",IF(J1284&lt;&gt;"","?FAMILIAR",IF(F1284="NEW",IF(ISNA(VLOOKUP(E1284,#REF!,1,FALSE())),"?TYPE_IDENTIFIABLE","?REFERENTIAL"),"_")))))</f>
        <v> </v>
      </c>
      <c r="H1284" s="24" t="str">
        <f>IF(J1284&lt;&gt;1,"",IF(I1284="SBJ","CB","?"))</f>
        <v> </v>
      </c>
      <c r="I1284" s="25" t="str">
        <f>IF(OR(E1284="",E1284="!!!",F1284="NEW"),"",INDEX(B1283:B$2,-1+SUMPRODUCT(MAX(ROW(E1283:E$2)*(E1284=E1283:E$2)))))</f>
        <v> </v>
      </c>
      <c r="J1284" s="25" t="str">
        <f>IF(OR(E1284="",E1284="!!!",F1284="NEW"),"",COUNTBLANK(OFFSET(A$1,,,SUMPRODUCT(MAX(ROW(E$2:E1284)*(E1284=E$2:E1284)))))-COUNTBLANK(OFFSET(A$1,,,SUMPRODUCT(MAX(ROW(E$1:E1283)*(E2=E$1:E1283))))))</f>
        <v> </v>
      </c>
      <c r="K1284" s="25" t="str">
        <f>IF(OR(E1284="",E1284="!!!",F1284="NEW"),"",INDEX(J$1:J1283,SUMPRODUCT(MAX(ROW(E$1:E1283)*(E1284=E$1:E1283)))))</f>
        <v> </v>
      </c>
      <c r="L1284" s="26"/>
    </row>
    <row r="1285" spans="1:12">
      <c r="A1285" s="20" t="s">
        <v>782</v>
      </c>
      <c r="E1285" s="21">
        <f>IF(D1285="?OLD","!!!","")</f>
        <v/>
      </c>
      <c r="F1285" s="22" t="str">
        <f>IF(OR(E1285="",E1285="!!!"),"",IF(NOT(ISNA(VLOOKUP(E1285,E$1:E1284,1,FALSE()))),"OLD",IF(AND(E1285&lt;&gt;"",E1285&lt;&gt;"!!!"),"NEW","")))</f>
        <v> </v>
      </c>
      <c r="G1285" s="23" t="str">
        <f>IF(OR(E1285="",E1285="!!!"),"",IF(OR(J1285=0,AND(J1285=1,K1285=1),AND(J1285=1,I1285="SBJ"),AND(J1285=1,I1285=0)),"?IN_FOCUS",IF(J1285&lt;=2,"?ACTIVATED",IF(J1285&lt;&gt;"","?FAMILIAR",IF(F1285="NEW",IF(ISNA(VLOOKUP(E1285,#REF!,1,FALSE())),"?TYPE_IDENTIFIABLE","?REFERENTIAL"),"_")))))</f>
        <v> </v>
      </c>
      <c r="H1285" s="24" t="str">
        <f>IF(J1285&lt;&gt;1,"",IF(I1285="SBJ","CB","?"))</f>
        <v> </v>
      </c>
      <c r="I1285" s="25" t="str">
        <f>IF(OR(E1285="",E1285="!!!",F1285="NEW"),"",INDEX(B1284:B$2,-1+SUMPRODUCT(MAX(ROW(E1284:E$2)*(E1285=E1284:E$2)))))</f>
        <v> </v>
      </c>
      <c r="J1285" s="25" t="str">
        <f>IF(OR(E1285="",E1285="!!!",F1285="NEW"),"",COUNTBLANK(OFFSET(A$1,,,SUMPRODUCT(MAX(ROW(E$2:E1285)*(E1285=E$2:E1285)))))-COUNTBLANK(OFFSET(A$1,,,SUMPRODUCT(MAX(ROW(E$1:E1284)*(E2=E$1:E1284))))))</f>
        <v> </v>
      </c>
      <c r="K1285" s="25" t="str">
        <f>IF(OR(E1285="",E1285="!!!",F1285="NEW"),"",INDEX(J$1:J1284,SUMPRODUCT(MAX(ROW(E$1:E1284)*(E1285=E$1:E1284)))))</f>
        <v> </v>
      </c>
      <c r="L1285" s="26"/>
    </row>
    <row r="1286" spans="1:12">
      <c r="A1286" s="20" t="s">
        <v>305</v>
      </c>
      <c r="E1286" s="21">
        <f>IF(D1286="?OLD","!!!","")</f>
        <v/>
      </c>
      <c r="F1286" s="22" t="str">
        <f>IF(OR(E1286="",E1286="!!!"),"",IF(NOT(ISNA(VLOOKUP(E1286,E$1:E1285,1,FALSE()))),"OLD",IF(AND(E1286&lt;&gt;"",E1286&lt;&gt;"!!!"),"NEW","")))</f>
        <v> </v>
      </c>
      <c r="G1286" s="23" t="str">
        <f>IF(OR(E1286="",E1286="!!!"),"",IF(OR(J1286=0,AND(J1286=1,K1286=1),AND(J1286=1,I1286="SBJ"),AND(J1286=1,I1286=0)),"?IN_FOCUS",IF(J1286&lt;=2,"?ACTIVATED",IF(J1286&lt;&gt;"","?FAMILIAR",IF(F1286="NEW",IF(ISNA(VLOOKUP(E1286,#REF!,1,FALSE())),"?TYPE_IDENTIFIABLE","?REFERENTIAL"),"_")))))</f>
        <v> </v>
      </c>
      <c r="H1286" s="24" t="str">
        <f>IF(J1286&lt;&gt;1,"",IF(I1286="SBJ","CB","?"))</f>
        <v> </v>
      </c>
      <c r="I1286" s="25" t="str">
        <f>IF(OR(E1286="",E1286="!!!",F1286="NEW"),"",INDEX(B1285:B$2,-1+SUMPRODUCT(MAX(ROW(E1285:E$2)*(E1286=E1285:E$2)))))</f>
        <v> </v>
      </c>
      <c r="J1286" s="25" t="str">
        <f>IF(OR(E1286="",E1286="!!!",F1286="NEW"),"",COUNTBLANK(OFFSET(A$1,,,SUMPRODUCT(MAX(ROW(E$2:E1286)*(E1286=E$2:E1286)))))-COUNTBLANK(OFFSET(A$1,,,SUMPRODUCT(MAX(ROW(E$1:E1285)*(E2=E$1:E1285))))))</f>
        <v> </v>
      </c>
      <c r="K1286" s="25" t="str">
        <f>IF(OR(E1286="",E1286="!!!",F1286="NEW"),"",INDEX(J$1:J1285,SUMPRODUCT(MAX(ROW(E$1:E1285)*(E1286=E$1:E1285)))))</f>
        <v> </v>
      </c>
      <c r="L1286" s="26"/>
    </row>
    <row r="1287" spans="1:12">
      <c r="A1287" s="20" t="s">
        <v>513</v>
      </c>
      <c r="B1287" s="27" t="s">
        <v>329</v>
      </c>
      <c r="E1287" s="21">
        <f>IF(D1287="?OLD","!!!","")</f>
        <v/>
      </c>
      <c r="F1287" s="22" t="str">
        <f>IF(OR(E1287="",E1287="!!!"),"",IF(NOT(ISNA(VLOOKUP(E1287,E$1:E1286,1,FALSE()))),"OLD",IF(AND(E1287&lt;&gt;"",E1287&lt;&gt;"!!!"),"NEW","")))</f>
        <v> </v>
      </c>
      <c r="G1287" s="23" t="str">
        <f>IF(OR(E1287="",E1287="!!!"),"",IF(OR(J1287=0,AND(J1287=1,K1287=1),AND(J1287=1,I1287="SBJ"),AND(J1287=1,I1287=0)),"?IN_FOCUS",IF(J1287&lt;=2,"?ACTIVATED",IF(J1287&lt;&gt;"","?FAMILIAR",IF(F1287="NEW",IF(ISNA(VLOOKUP(E1287,#REF!,1,FALSE())),"?TYPE_IDENTIFIABLE","?REFERENTIAL"),"_")))))</f>
        <v> </v>
      </c>
      <c r="H1287" s="24" t="str">
        <f>IF(J1287&lt;&gt;1,"",IF(I1287="SBJ","CB","?"))</f>
        <v> </v>
      </c>
      <c r="I1287" s="25" t="str">
        <f>IF(OR(E1287="",E1287="!!!",F1287="NEW"),"",INDEX(B1286:B$2,-1+SUMPRODUCT(MAX(ROW(E1286:E$2)*(E1287=E1286:E$2)))))</f>
        <v> </v>
      </c>
      <c r="J1287" s="25" t="str">
        <f>IF(OR(E1287="",E1287="!!!",F1287="NEW"),"",COUNTBLANK(OFFSET(A$1,,,SUMPRODUCT(MAX(ROW(E$2:E1287)*(E1287=E$2:E1287)))))-COUNTBLANK(OFFSET(A$1,,,SUMPRODUCT(MAX(ROW(E$1:E1286)*(E2=E$1:E1286))))))</f>
        <v> </v>
      </c>
      <c r="K1287" s="25" t="str">
        <f>IF(OR(E1287="",E1287="!!!",F1287="NEW"),"",INDEX(J$1:J1286,SUMPRODUCT(MAX(ROW(E$1:E1286)*(E1287=E$1:E1286)))))</f>
        <v> </v>
      </c>
      <c r="L1287" s="26"/>
    </row>
    <row r="1288" spans="1:12">
      <c r="A1288" s="20" t="s">
        <v>783</v>
      </c>
      <c r="E1288" s="21">
        <f>IF(D1288="?OLD","!!!","")</f>
        <v/>
      </c>
      <c r="F1288" s="22" t="str">
        <f>IF(OR(E1288="",E1288="!!!"),"",IF(NOT(ISNA(VLOOKUP(E1288,E$1:E1287,1,FALSE()))),"OLD",IF(AND(E1288&lt;&gt;"",E1288&lt;&gt;"!!!"),"NEW","")))</f>
        <v> </v>
      </c>
      <c r="G1288" s="23" t="str">
        <f>IF(OR(E1288="",E1288="!!!"),"",IF(OR(J1288=0,AND(J1288=1,K1288=1),AND(J1288=1,I1288="SBJ"),AND(J1288=1,I1288=0)),"?IN_FOCUS",IF(J1288&lt;=2,"?ACTIVATED",IF(J1288&lt;&gt;"","?FAMILIAR",IF(F1288="NEW",IF(ISNA(VLOOKUP(E1288,#REF!,1,FALSE())),"?TYPE_IDENTIFIABLE","?REFERENTIAL"),"_")))))</f>
        <v> </v>
      </c>
      <c r="H1288" s="24" t="str">
        <f>IF(J1288&lt;&gt;1,"",IF(I1288="SBJ","CB","?"))</f>
        <v> </v>
      </c>
      <c r="I1288" s="25" t="str">
        <f>IF(OR(E1288="",E1288="!!!",F1288="NEW"),"",INDEX(B1287:B$2,-1+SUMPRODUCT(MAX(ROW(E1287:E$2)*(E1288=E1287:E$2)))))</f>
        <v> </v>
      </c>
      <c r="J1288" s="25" t="str">
        <f>IF(OR(E1288="",E1288="!!!",F1288="NEW"),"",COUNTBLANK(OFFSET(A$1,,,SUMPRODUCT(MAX(ROW(E$2:E1288)*(E1288=E$2:E1288)))))-COUNTBLANK(OFFSET(A$1,,,SUMPRODUCT(MAX(ROW(E$1:E1287)*(E2=E$1:E1287))))))</f>
        <v> </v>
      </c>
      <c r="K1288" s="25" t="str">
        <f>IF(OR(E1288="",E1288="!!!",F1288="NEW"),"",INDEX(J$1:J1287,SUMPRODUCT(MAX(ROW(E$1:E1287)*(E1288=E$1:E1287)))))</f>
        <v> </v>
      </c>
      <c r="L1288" s="26"/>
    </row>
    <row r="1289" spans="1:12">
      <c r="A1289" s="20" t="s">
        <v>260</v>
      </c>
      <c r="E1289" s="21">
        <f>IF(D1289="?OLD","!!!","")</f>
        <v/>
      </c>
      <c r="F1289" s="22" t="str">
        <f>IF(OR(E1289="",E1289="!!!"),"",IF(NOT(ISNA(VLOOKUP(E1289,E$1:E1288,1,FALSE()))),"OLD",IF(AND(E1289&lt;&gt;"",E1289&lt;&gt;"!!!"),"NEW","")))</f>
        <v> </v>
      </c>
      <c r="G1289" s="23" t="str">
        <f>IF(OR(E1289="",E1289="!!!"),"",IF(OR(J1289=0,AND(J1289=1,K1289=1),AND(J1289=1,I1289="SBJ"),AND(J1289=1,I1289=0)),"?IN_FOCUS",IF(J1289&lt;=2,"?ACTIVATED",IF(J1289&lt;&gt;"","?FAMILIAR",IF(F1289="NEW",IF(ISNA(VLOOKUP(E1289,#REF!,1,FALSE())),"?TYPE_IDENTIFIABLE","?REFERENTIAL"),"_")))))</f>
        <v> </v>
      </c>
      <c r="H1289" s="24" t="str">
        <f>IF(J1289&lt;&gt;1,"",IF(I1289="SBJ","CB","?"))</f>
        <v> </v>
      </c>
      <c r="I1289" s="25" t="str">
        <f>IF(OR(E1289="",E1289="!!!",F1289="NEW"),"",INDEX(B1288:B$2,-1+SUMPRODUCT(MAX(ROW(E1288:E$2)*(E1289=E1288:E$2)))))</f>
        <v> </v>
      </c>
      <c r="J1289" s="25" t="str">
        <f>IF(OR(E1289="",E1289="!!!",F1289="NEW"),"",COUNTBLANK(OFFSET(A$1,,,SUMPRODUCT(MAX(ROW(E$2:E1289)*(E1289=E$2:E1289)))))-COUNTBLANK(OFFSET(A$1,,,SUMPRODUCT(MAX(ROW(E$1:E1288)*(E2=E$1:E1288))))))</f>
        <v> </v>
      </c>
      <c r="K1289" s="25" t="str">
        <f>IF(OR(E1289="",E1289="!!!",F1289="NEW"),"",INDEX(J$1:J1288,SUMPRODUCT(MAX(ROW(E$1:E1288)*(E1289=E$1:E1288)))))</f>
        <v> </v>
      </c>
      <c r="L1289" s="26"/>
    </row>
    <row r="1290" spans="1:12">
      <c r="A1290" s="20" t="s">
        <v>659</v>
      </c>
      <c r="B1290" s="27" t="s">
        <v>461</v>
      </c>
      <c r="C1290" s="27" t="s">
        <v>263</v>
      </c>
      <c r="D1290" s="27" t="s">
        <v>244</v>
      </c>
      <c r="E1290" s="21">
        <f>IF(D1290="?OLD","!!!","")</f>
        <v/>
      </c>
      <c r="F1290" s="22" t="str">
        <f>IF(OR(E1290="",E1290="!!!"),"",IF(NOT(ISNA(VLOOKUP(E1290,E$1:E1289,1,FALSE()))),"OLD",IF(AND(E1290&lt;&gt;"",E1290&lt;&gt;"!!!"),"NEW","")))</f>
        <v> </v>
      </c>
      <c r="G1290" s="23" t="str">
        <f>IF(OR(E1290="",E1290="!!!"),"",IF(OR(J1290=0,AND(J1290=1,K1290=1),AND(J1290=1,I1290="SBJ"),AND(J1290=1,I1290=0)),"?IN_FOCUS",IF(J1290&lt;=2,"?ACTIVATED",IF(J1290&lt;&gt;"","?FAMILIAR",IF(F1290="NEW",IF(ISNA(VLOOKUP(E1290,#REF!,1,FALSE())),"?TYPE_IDENTIFIABLE","?REFERENTIAL"),"_")))))</f>
        <v> </v>
      </c>
      <c r="H1290" s="24" t="str">
        <f>IF(J1290&lt;&gt;1,"",IF(I1290="SBJ","CB","?"))</f>
        <v> </v>
      </c>
      <c r="I1290" s="25" t="str">
        <f>IF(OR(E1290="",E1290="!!!",F1290="NEW"),"",INDEX(B1289:B$2,-1+SUMPRODUCT(MAX(ROW(E1289:E$2)*(E1290=E1289:E$2)))))</f>
        <v> </v>
      </c>
      <c r="J1290" s="25" t="str">
        <f>IF(OR(E1290="",E1290="!!!",F1290="NEW"),"",COUNTBLANK(OFFSET(A$1,,,SUMPRODUCT(MAX(ROW(E$2:E1290)*(E1290=E$2:E1290)))))-COUNTBLANK(OFFSET(A$1,,,SUMPRODUCT(MAX(ROW(E$1:E1289)*(E2=E$1:E1289))))))</f>
        <v> </v>
      </c>
      <c r="K1290" s="25" t="str">
        <f>IF(OR(E1290="",E1290="!!!",F1290="NEW"),"",INDEX(J$1:J1289,SUMPRODUCT(MAX(ROW(E$1:E1289)*(E1290=E$1:E1289)))))</f>
        <v> </v>
      </c>
      <c r="L1290" s="26"/>
    </row>
    <row r="1291" spans="1:12">
      <c r="A1291" s="20" t="s">
        <v>674</v>
      </c>
      <c r="E1291" s="21">
        <f>IF(D1291="?OLD","!!!","")</f>
        <v/>
      </c>
      <c r="F1291" s="22" t="str">
        <f>IF(OR(E1291="",E1291="!!!"),"",IF(NOT(ISNA(VLOOKUP(E1291,E$1:E1290,1,FALSE()))),"OLD",IF(AND(E1291&lt;&gt;"",E1291&lt;&gt;"!!!"),"NEW","")))</f>
        <v> </v>
      </c>
      <c r="G1291" s="23" t="str">
        <f>IF(OR(E1291="",E1291="!!!"),"",IF(OR(J1291=0,AND(J1291=1,K1291=1),AND(J1291=1,I1291="SBJ"),AND(J1291=1,I1291=0)),"?IN_FOCUS",IF(J1291&lt;=2,"?ACTIVATED",IF(J1291&lt;&gt;"","?FAMILIAR",IF(F1291="NEW",IF(ISNA(VLOOKUP(E1291,#REF!,1,FALSE())),"?TYPE_IDENTIFIABLE","?REFERENTIAL"),"_")))))</f>
        <v> </v>
      </c>
      <c r="H1291" s="24" t="str">
        <f>IF(J1291&lt;&gt;1,"",IF(I1291="SBJ","CB","?"))</f>
        <v> </v>
      </c>
      <c r="I1291" s="25" t="str">
        <f>IF(OR(E1291="",E1291="!!!",F1291="NEW"),"",INDEX(B1290:B$2,-1+SUMPRODUCT(MAX(ROW(E1290:E$2)*(E1291=E1290:E$2)))))</f>
        <v> </v>
      </c>
      <c r="J1291" s="25" t="str">
        <f>IF(OR(E1291="",E1291="!!!",F1291="NEW"),"",COUNTBLANK(OFFSET(A$1,,,SUMPRODUCT(MAX(ROW(E$2:E1291)*(E1291=E$2:E1291)))))-COUNTBLANK(OFFSET(A$1,,,SUMPRODUCT(MAX(ROW(E$1:E1290)*(E2=E$1:E1290))))))</f>
        <v> </v>
      </c>
      <c r="K1291" s="25" t="str">
        <f>IF(OR(E1291="",E1291="!!!",F1291="NEW"),"",INDEX(J$1:J1290,SUMPRODUCT(MAX(ROW(E$1:E1290)*(E1291=E$1:E1290)))))</f>
        <v> </v>
      </c>
      <c r="L1291" s="26"/>
    </row>
    <row r="1292" spans="1:12">
      <c r="A1292" s="20" t="s">
        <v>784</v>
      </c>
      <c r="B1292" s="27" t="s">
        <v>361</v>
      </c>
      <c r="C1292" s="27" t="s">
        <v>267</v>
      </c>
      <c r="D1292" s="27" t="s">
        <v>244</v>
      </c>
      <c r="E1292" s="21">
        <f>IF(D1292="?OLD","!!!","")</f>
        <v/>
      </c>
      <c r="F1292" s="22" t="str">
        <f>IF(OR(E1292="",E1292="!!!"),"",IF(NOT(ISNA(VLOOKUP(E1292,E$1:E1291,1,FALSE()))),"OLD",IF(AND(E1292&lt;&gt;"",E1292&lt;&gt;"!!!"),"NEW","")))</f>
        <v> </v>
      </c>
      <c r="G1292" s="23" t="str">
        <f>IF(OR(E1292="",E1292="!!!"),"",IF(OR(J1292=0,AND(J1292=1,K1292=1),AND(J1292=1,I1292="SBJ"),AND(J1292=1,I1292=0)),"?IN_FOCUS",IF(J1292&lt;=2,"?ACTIVATED",IF(J1292&lt;&gt;"","?FAMILIAR",IF(F1292="NEW",IF(ISNA(VLOOKUP(E1292,#REF!,1,FALSE())),"?TYPE_IDENTIFIABLE","?REFERENTIAL"),"_")))))</f>
        <v> </v>
      </c>
      <c r="H1292" s="24" t="str">
        <f>IF(J1292&lt;&gt;1,"",IF(I1292="SBJ","CB","?"))</f>
        <v> </v>
      </c>
      <c r="I1292" s="25" t="str">
        <f>IF(OR(E1292="",E1292="!!!",F1292="NEW"),"",INDEX(B1291:B$2,-1+SUMPRODUCT(MAX(ROW(E1291:E$2)*(E1292=E1291:E$2)))))</f>
        <v> </v>
      </c>
      <c r="J1292" s="25" t="str">
        <f>IF(OR(E1292="",E1292="!!!",F1292="NEW"),"",COUNTBLANK(OFFSET(A$1,,,SUMPRODUCT(MAX(ROW(E$2:E1292)*(E1292=E$2:E1292)))))-COUNTBLANK(OFFSET(A$1,,,SUMPRODUCT(MAX(ROW(E$1:E1291)*(E2=E$1:E1291))))))</f>
        <v> </v>
      </c>
      <c r="K1292" s="25" t="str">
        <f>IF(OR(E1292="",E1292="!!!",F1292="NEW"),"",INDEX(J$1:J1291,SUMPRODUCT(MAX(ROW(E$1:E1291)*(E1292=E$1:E1291)))))</f>
        <v> </v>
      </c>
      <c r="L1292" s="26"/>
    </row>
    <row r="1293" spans="1:12">
      <c r="A1293" s="20" t="s">
        <v>372</v>
      </c>
      <c r="E1293" s="21">
        <f>IF(D1293="?OLD","!!!","")</f>
        <v/>
      </c>
      <c r="F1293" s="22" t="str">
        <f>IF(OR(E1293="",E1293="!!!"),"",IF(NOT(ISNA(VLOOKUP(E1293,E$1:E1292,1,FALSE()))),"OLD",IF(AND(E1293&lt;&gt;"",E1293&lt;&gt;"!!!"),"NEW","")))</f>
        <v> </v>
      </c>
      <c r="G1293" s="23" t="str">
        <f>IF(OR(E1293="",E1293="!!!"),"",IF(OR(J1293=0,AND(J1293=1,K1293=1),AND(J1293=1,I1293="SBJ"),AND(J1293=1,I1293=0)),"?IN_FOCUS",IF(J1293&lt;=2,"?ACTIVATED",IF(J1293&lt;&gt;"","?FAMILIAR",IF(F1293="NEW",IF(ISNA(VLOOKUP(E1293,#REF!,1,FALSE())),"?TYPE_IDENTIFIABLE","?REFERENTIAL"),"_")))))</f>
        <v> </v>
      </c>
      <c r="H1293" s="24" t="str">
        <f>IF(J1293&lt;&gt;1,"",IF(I1293="SBJ","CB","?"))</f>
        <v> </v>
      </c>
      <c r="I1293" s="25" t="str">
        <f>IF(OR(E1293="",E1293="!!!",F1293="NEW"),"",INDEX(B1292:B$2,-1+SUMPRODUCT(MAX(ROW(E1292:E$2)*(E1293=E1292:E$2)))))</f>
        <v> </v>
      </c>
      <c r="J1293" s="25" t="str">
        <f>IF(OR(E1293="",E1293="!!!",F1293="NEW"),"",COUNTBLANK(OFFSET(A$1,,,SUMPRODUCT(MAX(ROW(E$2:E1293)*(E1293=E$2:E1293)))))-COUNTBLANK(OFFSET(A$1,,,SUMPRODUCT(MAX(ROW(E$1:E1292)*(E2=E$1:E1292))))))</f>
        <v> </v>
      </c>
      <c r="K1293" s="25" t="str">
        <f>IF(OR(E1293="",E1293="!!!",F1293="NEW"),"",INDEX(J$1:J1292,SUMPRODUCT(MAX(ROW(E$1:E1292)*(E1293=E$1:E1292)))))</f>
        <v> </v>
      </c>
      <c r="L1293" s="26"/>
    </row>
    <row r="1294" spans="1:12">
      <c r="A1294" s="20" t="s">
        <v>273</v>
      </c>
      <c r="E1294" s="21">
        <f>IF(D1294="?OLD","!!!","")</f>
        <v/>
      </c>
      <c r="F1294" s="22" t="str">
        <f>IF(OR(E1294="",E1294="!!!"),"",IF(NOT(ISNA(VLOOKUP(E1294,E$1:E1293,1,FALSE()))),"OLD",IF(AND(E1294&lt;&gt;"",E1294&lt;&gt;"!!!"),"NEW","")))</f>
        <v> </v>
      </c>
      <c r="G1294" s="23" t="str">
        <f>IF(OR(E1294="",E1294="!!!"),"",IF(OR(J1294=0,AND(J1294=1,K1294=1),AND(J1294=1,I1294="SBJ"),AND(J1294=1,I1294=0)),"?IN_FOCUS",IF(J1294&lt;=2,"?ACTIVATED",IF(J1294&lt;&gt;"","?FAMILIAR",IF(F1294="NEW",IF(ISNA(VLOOKUP(E1294,#REF!,1,FALSE())),"?TYPE_IDENTIFIABLE","?REFERENTIAL"),"_")))))</f>
        <v> </v>
      </c>
      <c r="H1294" s="24" t="str">
        <f>IF(J1294&lt;&gt;1,"",IF(I1294="SBJ","CB","?"))</f>
        <v> </v>
      </c>
      <c r="I1294" s="25" t="str">
        <f>IF(OR(E1294="",E1294="!!!",F1294="NEW"),"",INDEX(B1293:B$2,-1+SUMPRODUCT(MAX(ROW(E1293:E$2)*(E1294=E1293:E$2)))))</f>
        <v> </v>
      </c>
      <c r="J1294" s="25" t="str">
        <f>IF(OR(E1294="",E1294="!!!",F1294="NEW"),"",COUNTBLANK(OFFSET(A$1,,,SUMPRODUCT(MAX(ROW(E$2:E1294)*(E1294=E$2:E1294)))))-COUNTBLANK(OFFSET(A$1,,,SUMPRODUCT(MAX(ROW(E$1:E1293)*(E2=E$1:E1293))))))</f>
        <v> </v>
      </c>
      <c r="K1294" s="25" t="str">
        <f>IF(OR(E1294="",E1294="!!!",F1294="NEW"),"",INDEX(J$1:J1293,SUMPRODUCT(MAX(ROW(E$1:E1293)*(E1294=E$1:E1293)))))</f>
        <v> </v>
      </c>
      <c r="L1294" s="26"/>
    </row>
    <row r="1295" spans="1:12">
      <c r="A1295" s="20" t="s">
        <v>659</v>
      </c>
      <c r="B1295" s="27" t="s">
        <v>597</v>
      </c>
      <c r="C1295" s="27" t="s">
        <v>263</v>
      </c>
      <c r="D1295" s="27" t="s">
        <v>244</v>
      </c>
      <c r="E1295" s="21">
        <f>IF(D1295="?OLD","!!!","")</f>
        <v/>
      </c>
      <c r="F1295" s="22" t="str">
        <f>IF(OR(E1295="",E1295="!!!"),"",IF(NOT(ISNA(VLOOKUP(E1295,E$1:E1294,1,FALSE()))),"OLD",IF(AND(E1295&lt;&gt;"",E1295&lt;&gt;"!!!"),"NEW","")))</f>
        <v> </v>
      </c>
      <c r="G1295" s="23" t="str">
        <f>IF(OR(E1295="",E1295="!!!"),"",IF(OR(J1295=0,AND(J1295=1,K1295=1),AND(J1295=1,I1295="SBJ"),AND(J1295=1,I1295=0)),"?IN_FOCUS",IF(J1295&lt;=2,"?ACTIVATED",IF(J1295&lt;&gt;"","?FAMILIAR",IF(F1295="NEW",IF(ISNA(VLOOKUP(E1295,#REF!,1,FALSE())),"?TYPE_IDENTIFIABLE","?REFERENTIAL"),"_")))))</f>
        <v> </v>
      </c>
      <c r="H1295" s="24" t="str">
        <f>IF(J1295&lt;&gt;1,"",IF(I1295="SBJ","CB","?"))</f>
        <v> </v>
      </c>
      <c r="I1295" s="25" t="str">
        <f>IF(OR(E1295="",E1295="!!!",F1295="NEW"),"",INDEX(B1294:B$2,-1+SUMPRODUCT(MAX(ROW(E1294:E$2)*(E1295=E1294:E$2)))))</f>
        <v> </v>
      </c>
      <c r="J1295" s="25" t="str">
        <f>IF(OR(E1295="",E1295="!!!",F1295="NEW"),"",COUNTBLANK(OFFSET(A$1,,,SUMPRODUCT(MAX(ROW(E$2:E1295)*(E1295=E$2:E1295)))))-COUNTBLANK(OFFSET(A$1,,,SUMPRODUCT(MAX(ROW(E$1:E1294)*(E2=E$1:E1294))))))</f>
        <v> </v>
      </c>
      <c r="K1295" s="25" t="str">
        <f>IF(OR(E1295="",E1295="!!!",F1295="NEW"),"",INDEX(J$1:J1294,SUMPRODUCT(MAX(ROW(E$1:E1294)*(E1295=E$1:E1294)))))</f>
        <v> </v>
      </c>
      <c r="L1295" s="26"/>
    </row>
    <row r="1296" spans="1:12">
      <c r="A1296" s="20" t="s">
        <v>785</v>
      </c>
      <c r="B1296" s="27" t="s">
        <v>461</v>
      </c>
      <c r="C1296" s="27" t="s">
        <v>267</v>
      </c>
      <c r="D1296" s="27" t="s">
        <v>244</v>
      </c>
      <c r="E1296" s="21">
        <f>IF(D1296="?OLD","!!!","")</f>
        <v/>
      </c>
      <c r="F1296" s="22" t="str">
        <f>IF(OR(E1296="",E1296="!!!"),"",IF(NOT(ISNA(VLOOKUP(E1296,E$1:E1295,1,FALSE()))),"OLD",IF(AND(E1296&lt;&gt;"",E1296&lt;&gt;"!!!"),"NEW","")))</f>
        <v> </v>
      </c>
      <c r="G1296" s="23" t="str">
        <f>IF(OR(E1296="",E1296="!!!"),"",IF(OR(J1296=0,AND(J1296=1,K1296=1),AND(J1296=1,I1296="SBJ"),AND(J1296=1,I1296=0)),"?IN_FOCUS",IF(J1296&lt;=2,"?ACTIVATED",IF(J1296&lt;&gt;"","?FAMILIAR",IF(F1296="NEW",IF(ISNA(VLOOKUP(E1296,#REF!,1,FALSE())),"?TYPE_IDENTIFIABLE","?REFERENTIAL"),"_")))))</f>
        <v> </v>
      </c>
      <c r="H1296" s="24" t="str">
        <f>IF(J1296&lt;&gt;1,"",IF(I1296="SBJ","CB","?"))</f>
        <v> </v>
      </c>
      <c r="I1296" s="25" t="str">
        <f>IF(OR(E1296="",E1296="!!!",F1296="NEW"),"",INDEX(B1295:B$2,-1+SUMPRODUCT(MAX(ROW(E1295:E$2)*(E1296=E1295:E$2)))))</f>
        <v> </v>
      </c>
      <c r="J1296" s="25" t="str">
        <f>IF(OR(E1296="",E1296="!!!",F1296="NEW"),"",COUNTBLANK(OFFSET(A$1,,,SUMPRODUCT(MAX(ROW(E$2:E1296)*(E1296=E$2:E1296)))))-COUNTBLANK(OFFSET(A$1,,,SUMPRODUCT(MAX(ROW(E$1:E1295)*(E2=E$1:E1295))))))</f>
        <v> </v>
      </c>
      <c r="K1296" s="25" t="str">
        <f>IF(OR(E1296="",E1296="!!!",F1296="NEW"),"",INDEX(J$1:J1295,SUMPRODUCT(MAX(ROW(E$1:E1295)*(E1296=E$1:E1295)))))</f>
        <v> </v>
      </c>
      <c r="L1296" s="26"/>
    </row>
    <row r="1297" spans="1:12">
      <c r="A1297" s="20" t="s">
        <v>268</v>
      </c>
      <c r="E1297" s="21">
        <f>IF(D1297="?OLD","!!!","")</f>
        <v/>
      </c>
      <c r="F1297" s="22" t="str">
        <f>IF(OR(E1297="",E1297="!!!"),"",IF(NOT(ISNA(VLOOKUP(E1297,E$1:E1296,1,FALSE()))),"OLD",IF(AND(E1297&lt;&gt;"",E1297&lt;&gt;"!!!"),"NEW","")))</f>
        <v> </v>
      </c>
      <c r="G1297" s="23" t="str">
        <f>IF(OR(E1297="",E1297="!!!"),"",IF(OR(J1297=0,AND(J1297=1,K1297=1),AND(J1297=1,I1297="SBJ"),AND(J1297=1,I1297=0)),"?IN_FOCUS",IF(J1297&lt;=2,"?ACTIVATED",IF(J1297&lt;&gt;"","?FAMILIAR",IF(F1297="NEW",IF(ISNA(VLOOKUP(E1297,#REF!,1,FALSE())),"?TYPE_IDENTIFIABLE","?REFERENTIAL"),"_")))))</f>
        <v> </v>
      </c>
      <c r="H1297" s="24" t="str">
        <f>IF(J1297&lt;&gt;1,"",IF(I1297="SBJ","CB","?"))</f>
        <v> </v>
      </c>
      <c r="I1297" s="25" t="str">
        <f>IF(OR(E1297="",E1297="!!!",F1297="NEW"),"",INDEX(B1296:B$2,-1+SUMPRODUCT(MAX(ROW(E1296:E$2)*(E1297=E1296:E$2)))))</f>
        <v> </v>
      </c>
      <c r="J1297" s="25" t="str">
        <f>IF(OR(E1297="",E1297="!!!",F1297="NEW"),"",COUNTBLANK(OFFSET(A$1,,,SUMPRODUCT(MAX(ROW(E$2:E1297)*(E1297=E$2:E1297)))))-COUNTBLANK(OFFSET(A$1,,,SUMPRODUCT(MAX(ROW(E$1:E1296)*(E2=E$1:E1296))))))</f>
        <v> </v>
      </c>
      <c r="K1297" s="25" t="str">
        <f>IF(OR(E1297="",E1297="!!!",F1297="NEW"),"",INDEX(J$1:J1296,SUMPRODUCT(MAX(ROW(E$1:E1296)*(E1297=E$1:E1296)))))</f>
        <v> </v>
      </c>
      <c r="L1297" s="26"/>
    </row>
    <row r="1298" spans="1:12">
      <c r="A1298" s="20" t="s">
        <v>395</v>
      </c>
      <c r="E1298" s="21">
        <f>IF(D1298="?OLD","!!!","")</f>
        <v/>
      </c>
      <c r="F1298" s="22" t="str">
        <f>IF(OR(E1298="",E1298="!!!"),"",IF(NOT(ISNA(VLOOKUP(E1298,E$1:E1297,1,FALSE()))),"OLD",IF(AND(E1298&lt;&gt;"",E1298&lt;&gt;"!!!"),"NEW","")))</f>
        <v> </v>
      </c>
      <c r="G1298" s="23" t="str">
        <f>IF(OR(E1298="",E1298="!!!"),"",IF(OR(J1298=0,AND(J1298=1,K1298=1),AND(J1298=1,I1298="SBJ"),AND(J1298=1,I1298=0)),"?IN_FOCUS",IF(J1298&lt;=2,"?ACTIVATED",IF(J1298&lt;&gt;"","?FAMILIAR",IF(F1298="NEW",IF(ISNA(VLOOKUP(E1298,#REF!,1,FALSE())),"?TYPE_IDENTIFIABLE","?REFERENTIAL"),"_")))))</f>
        <v> </v>
      </c>
      <c r="H1298" s="24" t="str">
        <f>IF(J1298&lt;&gt;1,"",IF(I1298="SBJ","CB","?"))</f>
        <v> </v>
      </c>
      <c r="I1298" s="25" t="str">
        <f>IF(OR(E1298="",E1298="!!!",F1298="NEW"),"",INDEX(B1297:B$2,-1+SUMPRODUCT(MAX(ROW(E1297:E$2)*(E1298=E1297:E$2)))))</f>
        <v> </v>
      </c>
      <c r="J1298" s="25" t="str">
        <f>IF(OR(E1298="",E1298="!!!",F1298="NEW"),"",COUNTBLANK(OFFSET(A$1,,,SUMPRODUCT(MAX(ROW(E$2:E1298)*(E1298=E$2:E1298)))))-COUNTBLANK(OFFSET(A$1,,,SUMPRODUCT(MAX(ROW(E$1:E1297)*(E2=E$1:E1297))))))</f>
        <v> </v>
      </c>
      <c r="K1298" s="25" t="str">
        <f>IF(OR(E1298="",E1298="!!!",F1298="NEW"),"",INDEX(J$1:J1297,SUMPRODUCT(MAX(ROW(E$1:E1297)*(E1298=E$1:E1297)))))</f>
        <v> </v>
      </c>
      <c r="L1298" s="26"/>
    </row>
    <row r="1299" spans="1:12">
      <c r="A1299" s="20" t="s">
        <v>248</v>
      </c>
      <c r="E1299" s="21">
        <f>IF(D1299="?OLD","!!!","")</f>
        <v/>
      </c>
      <c r="F1299" s="22" t="str">
        <f>IF(OR(E1299="",E1299="!!!"),"",IF(NOT(ISNA(VLOOKUP(E1299,E$1:E1298,1,FALSE()))),"OLD",IF(AND(E1299&lt;&gt;"",E1299&lt;&gt;"!!!"),"NEW","")))</f>
        <v> </v>
      </c>
      <c r="G1299" s="23" t="str">
        <f>IF(OR(E1299="",E1299="!!!"),"",IF(OR(J1299=0,AND(J1299=1,K1299=1),AND(J1299=1,I1299="SBJ"),AND(J1299=1,I1299=0)),"?IN_FOCUS",IF(J1299&lt;=2,"?ACTIVATED",IF(J1299&lt;&gt;"","?FAMILIAR",IF(F1299="NEW",IF(ISNA(VLOOKUP(E1299,#REF!,1,FALSE())),"?TYPE_IDENTIFIABLE","?REFERENTIAL"),"_")))))</f>
        <v> </v>
      </c>
      <c r="H1299" s="24" t="str">
        <f>IF(J1299&lt;&gt;1,"",IF(I1299="SBJ","CB","?"))</f>
        <v> </v>
      </c>
      <c r="I1299" s="25" t="str">
        <f>IF(OR(E1299="",E1299="!!!",F1299="NEW"),"",INDEX(B1298:B$2,-1+SUMPRODUCT(MAX(ROW(E1298:E$2)*(E1299=E1298:E$2)))))</f>
        <v> </v>
      </c>
      <c r="J1299" s="25" t="str">
        <f>IF(OR(E1299="",E1299="!!!",F1299="NEW"),"",COUNTBLANK(OFFSET(A$1,,,SUMPRODUCT(MAX(ROW(E$2:E1299)*(E1299=E$2:E1299)))))-COUNTBLANK(OFFSET(A$1,,,SUMPRODUCT(MAX(ROW(E$1:E1298)*(E2=E$1:E1298))))))</f>
        <v> </v>
      </c>
      <c r="K1299" s="25" t="str">
        <f>IF(OR(E1299="",E1299="!!!",F1299="NEW"),"",INDEX(J$1:J1298,SUMPRODUCT(MAX(ROW(E$1:E1298)*(E1299=E$1:E1298)))))</f>
        <v> </v>
      </c>
      <c r="L1299" s="26"/>
    </row>
    <row r="1300" spans="1:12">
      <c r="A1300" s="20" t="s">
        <v>547</v>
      </c>
      <c r="E1300" s="21">
        <f>IF(D1300="?OLD","!!!","")</f>
        <v/>
      </c>
      <c r="F1300" s="22" t="str">
        <f>IF(OR(E1300="",E1300="!!!"),"",IF(NOT(ISNA(VLOOKUP(E1300,E$1:E1299,1,FALSE()))),"OLD",IF(AND(E1300&lt;&gt;"",E1300&lt;&gt;"!!!"),"NEW","")))</f>
        <v> </v>
      </c>
      <c r="G1300" s="23" t="str">
        <f>IF(OR(E1300="",E1300="!!!"),"",IF(OR(J1300=0,AND(J1300=1,K1300=1),AND(J1300=1,I1300="SBJ"),AND(J1300=1,I1300=0)),"?IN_FOCUS",IF(J1300&lt;=2,"?ACTIVATED",IF(J1300&lt;&gt;"","?FAMILIAR",IF(F1300="NEW",IF(ISNA(VLOOKUP(E1300,#REF!,1,FALSE())),"?TYPE_IDENTIFIABLE","?REFERENTIAL"),"_")))))</f>
        <v> </v>
      </c>
      <c r="H1300" s="24" t="str">
        <f>IF(J1300&lt;&gt;1,"",IF(I1300="SBJ","CB","?"))</f>
        <v> </v>
      </c>
      <c r="I1300" s="25" t="str">
        <f>IF(OR(E1300="",E1300="!!!",F1300="NEW"),"",INDEX(B1299:B$2,-1+SUMPRODUCT(MAX(ROW(E1299:E$2)*(E1300=E1299:E$2)))))</f>
        <v> </v>
      </c>
      <c r="J1300" s="25" t="str">
        <f>IF(OR(E1300="",E1300="!!!",F1300="NEW"),"",COUNTBLANK(OFFSET(A$1,,,SUMPRODUCT(MAX(ROW(E$2:E1300)*(E1300=E$2:E1300)))))-COUNTBLANK(OFFSET(A$1,,,SUMPRODUCT(MAX(ROW(E$1:E1299)*(E2=E$1:E1299))))))</f>
        <v> </v>
      </c>
      <c r="K1300" s="25" t="str">
        <f>IF(OR(E1300="",E1300="!!!",F1300="NEW"),"",INDEX(J$1:J1299,SUMPRODUCT(MAX(ROW(E$1:E1299)*(E1300=E$1:E1299)))))</f>
        <v> </v>
      </c>
      <c r="L1300" s="26"/>
    </row>
    <row r="1301" spans="1:12">
      <c r="A1301" s="20" t="s">
        <v>428</v>
      </c>
      <c r="E1301" s="21">
        <f>IF(D1301="?OLD","!!!","")</f>
        <v/>
      </c>
      <c r="F1301" s="22" t="str">
        <f>IF(OR(E1301="",E1301="!!!"),"",IF(NOT(ISNA(VLOOKUP(E1301,E$1:E1300,1,FALSE()))),"OLD",IF(AND(E1301&lt;&gt;"",E1301&lt;&gt;"!!!"),"NEW","")))</f>
        <v> </v>
      </c>
      <c r="G1301" s="23" t="str">
        <f>IF(OR(E1301="",E1301="!!!"),"",IF(OR(J1301=0,AND(J1301=1,K1301=1),AND(J1301=1,I1301="SBJ"),AND(J1301=1,I1301=0)),"?IN_FOCUS",IF(J1301&lt;=2,"?ACTIVATED",IF(J1301&lt;&gt;"","?FAMILIAR",IF(F1301="NEW",IF(ISNA(VLOOKUP(E1301,#REF!,1,FALSE())),"?TYPE_IDENTIFIABLE","?REFERENTIAL"),"_")))))</f>
        <v> </v>
      </c>
      <c r="H1301" s="24" t="str">
        <f>IF(J1301&lt;&gt;1,"",IF(I1301="SBJ","CB","?"))</f>
        <v> </v>
      </c>
      <c r="I1301" s="25" t="str">
        <f>IF(OR(E1301="",E1301="!!!",F1301="NEW"),"",INDEX(B1300:B$2,-1+SUMPRODUCT(MAX(ROW(E1300:E$2)*(E1301=E1300:E$2)))))</f>
        <v> </v>
      </c>
      <c r="J1301" s="25" t="str">
        <f>IF(OR(E1301="",E1301="!!!",F1301="NEW"),"",COUNTBLANK(OFFSET(A$1,,,SUMPRODUCT(MAX(ROW(E$2:E1301)*(E1301=E$2:E1301)))))-COUNTBLANK(OFFSET(A$1,,,SUMPRODUCT(MAX(ROW(E$1:E1300)*(E2=E$1:E1300))))))</f>
        <v> </v>
      </c>
      <c r="K1301" s="25" t="str">
        <f>IF(OR(E1301="",E1301="!!!",F1301="NEW"),"",INDEX(J$1:J1300,SUMPRODUCT(MAX(ROW(E$1:E1300)*(E1301=E$1:E1300)))))</f>
        <v> </v>
      </c>
      <c r="L1301" s="26"/>
    </row>
    <row r="1302" spans="1:12">
      <c r="A1302" s="20" t="s">
        <v>305</v>
      </c>
      <c r="E1302" s="21">
        <f>IF(D1302="?OLD","!!!","")</f>
        <v/>
      </c>
      <c r="F1302" s="22" t="str">
        <f>IF(OR(E1302="",E1302="!!!"),"",IF(NOT(ISNA(VLOOKUP(E1302,E$1:E1301,1,FALSE()))),"OLD",IF(AND(E1302&lt;&gt;"",E1302&lt;&gt;"!!!"),"NEW","")))</f>
        <v> </v>
      </c>
      <c r="G1302" s="23" t="str">
        <f>IF(OR(E1302="",E1302="!!!"),"",IF(OR(J1302=0,AND(J1302=1,K1302=1),AND(J1302=1,I1302="SBJ"),AND(J1302=1,I1302=0)),"?IN_FOCUS",IF(J1302&lt;=2,"?ACTIVATED",IF(J1302&lt;&gt;"","?FAMILIAR",IF(F1302="NEW",IF(ISNA(VLOOKUP(E1302,#REF!,1,FALSE())),"?TYPE_IDENTIFIABLE","?REFERENTIAL"),"_")))))</f>
        <v> </v>
      </c>
      <c r="H1302" s="24" t="str">
        <f>IF(J1302&lt;&gt;1,"",IF(I1302="SBJ","CB","?"))</f>
        <v> </v>
      </c>
      <c r="I1302" s="25" t="str">
        <f>IF(OR(E1302="",E1302="!!!",F1302="NEW"),"",INDEX(B1301:B$2,-1+SUMPRODUCT(MAX(ROW(E1301:E$2)*(E1302=E1301:E$2)))))</f>
        <v> </v>
      </c>
      <c r="J1302" s="25" t="str">
        <f>IF(OR(E1302="",E1302="!!!",F1302="NEW"),"",COUNTBLANK(OFFSET(A$1,,,SUMPRODUCT(MAX(ROW(E$2:E1302)*(E1302=E$2:E1302)))))-COUNTBLANK(OFFSET(A$1,,,SUMPRODUCT(MAX(ROW(E$1:E1301)*(E2=E$1:E1301))))))</f>
        <v> </v>
      </c>
      <c r="K1302" s="25" t="str">
        <f>IF(OR(E1302="",E1302="!!!",F1302="NEW"),"",INDEX(J$1:J1301,SUMPRODUCT(MAX(ROW(E$1:E1301)*(E1302=E$1:E1301)))))</f>
        <v> </v>
      </c>
      <c r="L1302" s="26"/>
    </row>
    <row r="1303" spans="1:12">
      <c r="A1303" s="20" t="s">
        <v>395</v>
      </c>
      <c r="E1303" s="21">
        <f>IF(D1303="?OLD","!!!","")</f>
        <v/>
      </c>
      <c r="F1303" s="22" t="str">
        <f>IF(OR(E1303="",E1303="!!!"),"",IF(NOT(ISNA(VLOOKUP(E1303,E$1:E1302,1,FALSE()))),"OLD",IF(AND(E1303&lt;&gt;"",E1303&lt;&gt;"!!!"),"NEW","")))</f>
        <v> </v>
      </c>
      <c r="G1303" s="23" t="str">
        <f>IF(OR(E1303="",E1303="!!!"),"",IF(OR(J1303=0,AND(J1303=1,K1303=1),AND(J1303=1,I1303="SBJ"),AND(J1303=1,I1303=0)),"?IN_FOCUS",IF(J1303&lt;=2,"?ACTIVATED",IF(J1303&lt;&gt;"","?FAMILIAR",IF(F1303="NEW",IF(ISNA(VLOOKUP(E1303,#REF!,1,FALSE())),"?TYPE_IDENTIFIABLE","?REFERENTIAL"),"_")))))</f>
        <v> </v>
      </c>
      <c r="H1303" s="24" t="str">
        <f>IF(J1303&lt;&gt;1,"",IF(I1303="SBJ","CB","?"))</f>
        <v> </v>
      </c>
      <c r="I1303" s="25" t="str">
        <f>IF(OR(E1303="",E1303="!!!",F1303="NEW"),"",INDEX(B1302:B$2,-1+SUMPRODUCT(MAX(ROW(E1302:E$2)*(E1303=E1302:E$2)))))</f>
        <v> </v>
      </c>
      <c r="J1303" s="25" t="str">
        <f>IF(OR(E1303="",E1303="!!!",F1303="NEW"),"",COUNTBLANK(OFFSET(A$1,,,SUMPRODUCT(MAX(ROW(E$2:E1303)*(E1303=E$2:E1303)))))-COUNTBLANK(OFFSET(A$1,,,SUMPRODUCT(MAX(ROW(E$1:E1302)*(E2=E$1:E1302))))))</f>
        <v> </v>
      </c>
      <c r="K1303" s="25" t="str">
        <f>IF(OR(E1303="",E1303="!!!",F1303="NEW"),"",INDEX(J$1:J1302,SUMPRODUCT(MAX(ROW(E$1:E1302)*(E1303=E$1:E1302)))))</f>
        <v> </v>
      </c>
      <c r="L1303" s="26"/>
    </row>
    <row r="1304" spans="1:12">
      <c r="A1304" s="20" t="s">
        <v>248</v>
      </c>
      <c r="E1304" s="21">
        <f>IF(D1304="?OLD","!!!","")</f>
        <v/>
      </c>
      <c r="F1304" s="22" t="str">
        <f>IF(OR(E1304="",E1304="!!!"),"",IF(NOT(ISNA(VLOOKUP(E1304,E$1:E1303,1,FALSE()))),"OLD",IF(AND(E1304&lt;&gt;"",E1304&lt;&gt;"!!!"),"NEW","")))</f>
        <v> </v>
      </c>
      <c r="G1304" s="23" t="str">
        <f>IF(OR(E1304="",E1304="!!!"),"",IF(OR(J1304=0,AND(J1304=1,K1304=1),AND(J1304=1,I1304="SBJ"),AND(J1304=1,I1304=0)),"?IN_FOCUS",IF(J1304&lt;=2,"?ACTIVATED",IF(J1304&lt;&gt;"","?FAMILIAR",IF(F1304="NEW",IF(ISNA(VLOOKUP(E1304,#REF!,1,FALSE())),"?TYPE_IDENTIFIABLE","?REFERENTIAL"),"_")))))</f>
        <v> </v>
      </c>
      <c r="H1304" s="24" t="str">
        <f>IF(J1304&lt;&gt;1,"",IF(I1304="SBJ","CB","?"))</f>
        <v> </v>
      </c>
      <c r="I1304" s="25" t="str">
        <f>IF(OR(E1304="",E1304="!!!",F1304="NEW"),"",INDEX(B1303:B$2,-1+SUMPRODUCT(MAX(ROW(E1303:E$2)*(E1304=E1303:E$2)))))</f>
        <v> </v>
      </c>
      <c r="J1304" s="25" t="str">
        <f>IF(OR(E1304="",E1304="!!!",F1304="NEW"),"",COUNTBLANK(OFFSET(A$1,,,SUMPRODUCT(MAX(ROW(E$2:E1304)*(E1304=E$2:E1304)))))-COUNTBLANK(OFFSET(A$1,,,SUMPRODUCT(MAX(ROW(E$1:E1303)*(E2=E$1:E1303))))))</f>
        <v> </v>
      </c>
      <c r="K1304" s="25" t="str">
        <f>IF(OR(E1304="",E1304="!!!",F1304="NEW"),"",INDEX(J$1:J1303,SUMPRODUCT(MAX(ROW(E$1:E1303)*(E1304=E$1:E1303)))))</f>
        <v> </v>
      </c>
      <c r="L1304" s="26"/>
    </row>
    <row r="1305" spans="1:12">
      <c r="A1305" s="20" t="s">
        <v>428</v>
      </c>
      <c r="B1305" s="27" t="s">
        <v>272</v>
      </c>
      <c r="C1305" s="27" t="s">
        <v>252</v>
      </c>
      <c r="D1305" s="27" t="s">
        <v>244</v>
      </c>
      <c r="E1305" s="21">
        <f>IF(D1305="?OLD","!!!","")</f>
        <v/>
      </c>
      <c r="F1305" s="22" t="str">
        <f>IF(OR(E1305="",E1305="!!!"),"",IF(NOT(ISNA(VLOOKUP(E1305,E$1:E1304,1,FALSE()))),"OLD",IF(AND(E1305&lt;&gt;"",E1305&lt;&gt;"!!!"),"NEW","")))</f>
        <v> </v>
      </c>
      <c r="G1305" s="23" t="str">
        <f>IF(OR(E1305="",E1305="!!!"),"",IF(OR(J1305=0,AND(J1305=1,K1305=1),AND(J1305=1,I1305="SBJ"),AND(J1305=1,I1305=0)),"?IN_FOCUS",IF(J1305&lt;=2,"?ACTIVATED",IF(J1305&lt;&gt;"","?FAMILIAR",IF(F1305="NEW",IF(ISNA(VLOOKUP(E1305,#REF!,1,FALSE())),"?TYPE_IDENTIFIABLE","?REFERENTIAL"),"_")))))</f>
        <v> </v>
      </c>
      <c r="H1305" s="24" t="str">
        <f>IF(J1305&lt;&gt;1,"",IF(I1305="SBJ","CB","?"))</f>
        <v> </v>
      </c>
      <c r="I1305" s="25" t="str">
        <f>IF(OR(E1305="",E1305="!!!",F1305="NEW"),"",INDEX(B1304:B$2,-1+SUMPRODUCT(MAX(ROW(E1304:E$2)*(E1305=E1304:E$2)))))</f>
        <v> </v>
      </c>
      <c r="J1305" s="25" t="str">
        <f>IF(OR(E1305="",E1305="!!!",F1305="NEW"),"",COUNTBLANK(OFFSET(A$1,,,SUMPRODUCT(MAX(ROW(E$2:E1305)*(E1305=E$2:E1305)))))-COUNTBLANK(OFFSET(A$1,,,SUMPRODUCT(MAX(ROW(E$1:E1304)*(E2=E$1:E1304))))))</f>
        <v> </v>
      </c>
      <c r="K1305" s="25" t="str">
        <f>IF(OR(E1305="",E1305="!!!",F1305="NEW"),"",INDEX(J$1:J1304,SUMPRODUCT(MAX(ROW(E$1:E1304)*(E1305=E$1:E1304)))))</f>
        <v> </v>
      </c>
      <c r="L1305" s="26"/>
    </row>
    <row r="1306" spans="1:12">
      <c r="A1306" s="20" t="s">
        <v>661</v>
      </c>
      <c r="B1306" s="27" t="s">
        <v>361</v>
      </c>
      <c r="C1306" s="27" t="s">
        <v>256</v>
      </c>
      <c r="D1306" s="27" t="s">
        <v>244</v>
      </c>
      <c r="E1306" s="21">
        <f>IF(D1306="?OLD","!!!","")</f>
        <v/>
      </c>
      <c r="F1306" s="22" t="str">
        <f>IF(OR(E1306="",E1306="!!!"),"",IF(NOT(ISNA(VLOOKUP(E1306,E$1:E1305,1,FALSE()))),"OLD",IF(AND(E1306&lt;&gt;"",E1306&lt;&gt;"!!!"),"NEW","")))</f>
        <v> </v>
      </c>
      <c r="G1306" s="23" t="str">
        <f>IF(OR(E1306="",E1306="!!!"),"",IF(OR(J1306=0,AND(J1306=1,K1306=1),AND(J1306=1,I1306="SBJ"),AND(J1306=1,I1306=0)),"?IN_FOCUS",IF(J1306&lt;=2,"?ACTIVATED",IF(J1306&lt;&gt;"","?FAMILIAR",IF(F1306="NEW",IF(ISNA(VLOOKUP(E1306,#REF!,1,FALSE())),"?TYPE_IDENTIFIABLE","?REFERENTIAL"),"_")))))</f>
        <v> </v>
      </c>
      <c r="H1306" s="24" t="str">
        <f>IF(J1306&lt;&gt;1,"",IF(I1306="SBJ","CB","?"))</f>
        <v> </v>
      </c>
      <c r="I1306" s="25" t="str">
        <f>IF(OR(E1306="",E1306="!!!",F1306="NEW"),"",INDEX(B1305:B$2,-1+SUMPRODUCT(MAX(ROW(E1305:E$2)*(E1306=E1305:E$2)))))</f>
        <v> </v>
      </c>
      <c r="J1306" s="25" t="str">
        <f>IF(OR(E1306="",E1306="!!!",F1306="NEW"),"",COUNTBLANK(OFFSET(A$1,,,SUMPRODUCT(MAX(ROW(E$2:E1306)*(E1306=E$2:E1306)))))-COUNTBLANK(OFFSET(A$1,,,SUMPRODUCT(MAX(ROW(E$1:E1305)*(E2=E$1:E1305))))))</f>
        <v> </v>
      </c>
      <c r="K1306" s="25" t="str">
        <f>IF(OR(E1306="",E1306="!!!",F1306="NEW"),"",INDEX(J$1:J1305,SUMPRODUCT(MAX(ROW(E$1:E1305)*(E1306=E$1:E1305)))))</f>
        <v> </v>
      </c>
      <c r="L1306" s="26"/>
    </row>
    <row r="1307" spans="1:12">
      <c r="A1307" s="20" t="s">
        <v>369</v>
      </c>
      <c r="E1307" s="21">
        <f>IF(D1307="?OLD","!!!","")</f>
        <v/>
      </c>
      <c r="F1307" s="22" t="str">
        <f>IF(OR(E1307="",E1307="!!!"),"",IF(NOT(ISNA(VLOOKUP(E1307,E$1:E1306,1,FALSE()))),"OLD",IF(AND(E1307&lt;&gt;"",E1307&lt;&gt;"!!!"),"NEW","")))</f>
        <v> </v>
      </c>
      <c r="G1307" s="23" t="str">
        <f>IF(OR(E1307="",E1307="!!!"),"",IF(OR(J1307=0,AND(J1307=1,K1307=1),AND(J1307=1,I1307="SBJ"),AND(J1307=1,I1307=0)),"?IN_FOCUS",IF(J1307&lt;=2,"?ACTIVATED",IF(J1307&lt;&gt;"","?FAMILIAR",IF(F1307="NEW",IF(ISNA(VLOOKUP(E1307,#REF!,1,FALSE())),"?TYPE_IDENTIFIABLE","?REFERENTIAL"),"_")))))</f>
        <v> </v>
      </c>
      <c r="H1307" s="24" t="str">
        <f>IF(J1307&lt;&gt;1,"",IF(I1307="SBJ","CB","?"))</f>
        <v> </v>
      </c>
      <c r="I1307" s="25" t="str">
        <f>IF(OR(E1307="",E1307="!!!",F1307="NEW"),"",INDEX(B1306:B$2,-1+SUMPRODUCT(MAX(ROW(E1306:E$2)*(E1307=E1306:E$2)))))</f>
        <v> </v>
      </c>
      <c r="J1307" s="25" t="str">
        <f>IF(OR(E1307="",E1307="!!!",F1307="NEW"),"",COUNTBLANK(OFFSET(A$1,,,SUMPRODUCT(MAX(ROW(E$2:E1307)*(E1307=E$2:E1307)))))-COUNTBLANK(OFFSET(A$1,,,SUMPRODUCT(MAX(ROW(E$1:E1306)*(E2=E$1:E1306))))))</f>
        <v> </v>
      </c>
      <c r="K1307" s="25" t="str">
        <f>IF(OR(E1307="",E1307="!!!",F1307="NEW"),"",INDEX(J$1:J1306,SUMPRODUCT(MAX(ROW(E$1:E1306)*(E1307=E$1:E1306)))))</f>
        <v> </v>
      </c>
      <c r="L1307" s="26"/>
    </row>
    <row r="1308" spans="1:12">
      <c r="A1308" s="20" t="s">
        <v>786</v>
      </c>
      <c r="E1308" s="21">
        <f>IF(D1308="?OLD","!!!","")</f>
        <v/>
      </c>
      <c r="F1308" s="22" t="str">
        <f>IF(OR(E1308="",E1308="!!!"),"",IF(NOT(ISNA(VLOOKUP(E1308,E$1:E1307,1,FALSE()))),"OLD",IF(AND(E1308&lt;&gt;"",E1308&lt;&gt;"!!!"),"NEW","")))</f>
        <v> </v>
      </c>
      <c r="G1308" s="23" t="str">
        <f>IF(OR(E1308="",E1308="!!!"),"",IF(OR(J1308=0,AND(J1308=1,K1308=1),AND(J1308=1,I1308="SBJ"),AND(J1308=1,I1308=0)),"?IN_FOCUS",IF(J1308&lt;=2,"?ACTIVATED",IF(J1308&lt;&gt;"","?FAMILIAR",IF(F1308="NEW",IF(ISNA(VLOOKUP(E1308,#REF!,1,FALSE())),"?TYPE_IDENTIFIABLE","?REFERENTIAL"),"_")))))</f>
        <v> </v>
      </c>
      <c r="H1308" s="24" t="str">
        <f>IF(J1308&lt;&gt;1,"",IF(I1308="SBJ","CB","?"))</f>
        <v> </v>
      </c>
      <c r="I1308" s="25" t="str">
        <f>IF(OR(E1308="",E1308="!!!",F1308="NEW"),"",INDEX(B1307:B$2,-1+SUMPRODUCT(MAX(ROW(E1307:E$2)*(E1308=E1307:E$2)))))</f>
        <v> </v>
      </c>
      <c r="J1308" s="25" t="str">
        <f>IF(OR(E1308="",E1308="!!!",F1308="NEW"),"",COUNTBLANK(OFFSET(A$1,,,SUMPRODUCT(MAX(ROW(E$2:E1308)*(E1308=E$2:E1308)))))-COUNTBLANK(OFFSET(A$1,,,SUMPRODUCT(MAX(ROW(E$1:E1307)*(E2=E$1:E1307))))))</f>
        <v> </v>
      </c>
      <c r="K1308" s="25" t="str">
        <f>IF(OR(E1308="",E1308="!!!",F1308="NEW"),"",INDEX(J$1:J1307,SUMPRODUCT(MAX(ROW(E$1:E1307)*(E1308=E$1:E1307)))))</f>
        <v> </v>
      </c>
      <c r="L1308" s="26"/>
    </row>
    <row r="1309" spans="1:12">
      <c r="A1309" s="20" t="s">
        <v>349</v>
      </c>
      <c r="E1309" s="21">
        <f>IF(D1309="?OLD","!!!","")</f>
        <v/>
      </c>
      <c r="F1309" s="22" t="str">
        <f>IF(OR(E1309="",E1309="!!!"),"",IF(NOT(ISNA(VLOOKUP(E1309,E$1:E1308,1,FALSE()))),"OLD",IF(AND(E1309&lt;&gt;"",E1309&lt;&gt;"!!!"),"NEW","")))</f>
        <v> </v>
      </c>
      <c r="G1309" s="23" t="str">
        <f>IF(OR(E1309="",E1309="!!!"),"",IF(OR(J1309=0,AND(J1309=1,K1309=1),AND(J1309=1,I1309="SBJ"),AND(J1309=1,I1309=0)),"?IN_FOCUS",IF(J1309&lt;=2,"?ACTIVATED",IF(J1309&lt;&gt;"","?FAMILIAR",IF(F1309="NEW",IF(ISNA(VLOOKUP(E1309,#REF!,1,FALSE())),"?TYPE_IDENTIFIABLE","?REFERENTIAL"),"_")))))</f>
        <v> </v>
      </c>
      <c r="H1309" s="24" t="str">
        <f>IF(J1309&lt;&gt;1,"",IF(I1309="SBJ","CB","?"))</f>
        <v> </v>
      </c>
      <c r="I1309" s="25" t="str">
        <f>IF(OR(E1309="",E1309="!!!",F1309="NEW"),"",INDEX(B1308:B$2,-1+SUMPRODUCT(MAX(ROW(E1308:E$2)*(E1309=E1308:E$2)))))</f>
        <v> </v>
      </c>
      <c r="J1309" s="25" t="str">
        <f>IF(OR(E1309="",E1309="!!!",F1309="NEW"),"",COUNTBLANK(OFFSET(A$1,,,SUMPRODUCT(MAX(ROW(E$2:E1309)*(E1309=E$2:E1309)))))-COUNTBLANK(OFFSET(A$1,,,SUMPRODUCT(MAX(ROW(E$1:E1308)*(E2=E$1:E1308))))))</f>
        <v> </v>
      </c>
      <c r="K1309" s="25" t="str">
        <f>IF(OR(E1309="",E1309="!!!",F1309="NEW"),"",INDEX(J$1:J1308,SUMPRODUCT(MAX(ROW(E$1:E1308)*(E1309=E$1:E1308)))))</f>
        <v> </v>
      </c>
      <c r="L1309" s="26"/>
    </row>
    <row r="1310" spans="1:12">
      <c r="A1310" s="20" t="s">
        <v>787</v>
      </c>
      <c r="E1310" s="21">
        <f>IF(D1310="?OLD","!!!","")</f>
        <v/>
      </c>
      <c r="F1310" s="22" t="str">
        <f>IF(OR(E1310="",E1310="!!!"),"",IF(NOT(ISNA(VLOOKUP(E1310,E$1:E1309,1,FALSE()))),"OLD",IF(AND(E1310&lt;&gt;"",E1310&lt;&gt;"!!!"),"NEW","")))</f>
        <v> </v>
      </c>
      <c r="G1310" s="23" t="str">
        <f>IF(OR(E1310="",E1310="!!!"),"",IF(OR(J1310=0,AND(J1310=1,K1310=1),AND(J1310=1,I1310="SBJ"),AND(J1310=1,I1310=0)),"?IN_FOCUS",IF(J1310&lt;=2,"?ACTIVATED",IF(J1310&lt;&gt;"","?FAMILIAR",IF(F1310="NEW",IF(ISNA(VLOOKUP(E1310,#REF!,1,FALSE())),"?TYPE_IDENTIFIABLE","?REFERENTIAL"),"_")))))</f>
        <v> </v>
      </c>
      <c r="H1310" s="24" t="str">
        <f>IF(J1310&lt;&gt;1,"",IF(I1310="SBJ","CB","?"))</f>
        <v> </v>
      </c>
      <c r="I1310" s="25" t="str">
        <f>IF(OR(E1310="",E1310="!!!",F1310="NEW"),"",INDEX(B1309:B$2,-1+SUMPRODUCT(MAX(ROW(E1309:E$2)*(E1310=E1309:E$2)))))</f>
        <v> </v>
      </c>
      <c r="J1310" s="25" t="str">
        <f>IF(OR(E1310="",E1310="!!!",F1310="NEW"),"",COUNTBLANK(OFFSET(A$1,,,SUMPRODUCT(MAX(ROW(E$2:E1310)*(E1310=E$2:E1310)))))-COUNTBLANK(OFFSET(A$1,,,SUMPRODUCT(MAX(ROW(E$1:E1309)*(E2=E$1:E1309))))))</f>
        <v> </v>
      </c>
      <c r="K1310" s="25" t="str">
        <f>IF(OR(E1310="",E1310="!!!",F1310="NEW"),"",INDEX(J$1:J1309,SUMPRODUCT(MAX(ROW(E$1:E1309)*(E1310=E$1:E1309)))))</f>
        <v> </v>
      </c>
      <c r="L1310" s="26"/>
    </row>
    <row r="1311" spans="1:12">
      <c r="A1311" s="20" t="s">
        <v>285</v>
      </c>
      <c r="E1311" s="21">
        <f>IF(D1311="?OLD","!!!","")</f>
        <v/>
      </c>
      <c r="F1311" s="22" t="str">
        <f>IF(OR(E1311="",E1311="!!!"),"",IF(NOT(ISNA(VLOOKUP(E1311,E$1:E1310,1,FALSE()))),"OLD",IF(AND(E1311&lt;&gt;"",E1311&lt;&gt;"!!!"),"NEW","")))</f>
        <v> </v>
      </c>
      <c r="G1311" s="23" t="str">
        <f>IF(OR(E1311="",E1311="!!!"),"",IF(OR(J1311=0,AND(J1311=1,K1311=1),AND(J1311=1,I1311="SBJ"),AND(J1311=1,I1311=0)),"?IN_FOCUS",IF(J1311&lt;=2,"?ACTIVATED",IF(J1311&lt;&gt;"","?FAMILIAR",IF(F1311="NEW",IF(ISNA(VLOOKUP(E1311,#REF!,1,FALSE())),"?TYPE_IDENTIFIABLE","?REFERENTIAL"),"_")))))</f>
        <v> </v>
      </c>
      <c r="H1311" s="24" t="str">
        <f>IF(J1311&lt;&gt;1,"",IF(I1311="SBJ","CB","?"))</f>
        <v> </v>
      </c>
      <c r="I1311" s="25" t="str">
        <f>IF(OR(E1311="",E1311="!!!",F1311="NEW"),"",INDEX(B1310:B$2,-1+SUMPRODUCT(MAX(ROW(E1310:E$2)*(E1311=E1310:E$2)))))</f>
        <v> </v>
      </c>
      <c r="J1311" s="25" t="str">
        <f>IF(OR(E1311="",E1311="!!!",F1311="NEW"),"",COUNTBLANK(OFFSET(A$1,,,SUMPRODUCT(MAX(ROW(E$2:E1311)*(E1311=E$2:E1311)))))-COUNTBLANK(OFFSET(A$1,,,SUMPRODUCT(MAX(ROW(E$1:E1310)*(E2=E$1:E1310))))))</f>
        <v> </v>
      </c>
      <c r="K1311" s="25" t="str">
        <f>IF(OR(E1311="",E1311="!!!",F1311="NEW"),"",INDEX(J$1:J1310,SUMPRODUCT(MAX(ROW(E$1:E1310)*(E1311=E$1:E1310)))))</f>
        <v> </v>
      </c>
      <c r="L1311" s="26"/>
    </row>
    <row r="1312" spans="1:12">
      <c r="A1312" s="20"/>
    </row>
    <row r="1313" spans="1:12">
      <c r="A1313" s="20" t="s">
        <v>788</v>
      </c>
    </row>
    <row r="1314" spans="1:12">
      <c r="A1314" s="20" t="s">
        <v>789</v>
      </c>
      <c r="B1314" s="27" t="s">
        <v>255</v>
      </c>
      <c r="C1314" s="27" t="s">
        <v>281</v>
      </c>
      <c r="E1314" s="21">
        <f>IF(D1314="?OLD","!!!","")</f>
        <v/>
      </c>
      <c r="F1314" s="22" t="str">
        <f>IF(OR(E1314="",E1314="!!!"),"",IF(NOT(ISNA(VLOOKUP(E1314,E$1:E1313,1,FALSE()))),"OLD",IF(AND(E1314&lt;&gt;"",E1314&lt;&gt;"!!!"),"NEW","")))</f>
        <v> </v>
      </c>
      <c r="G1314" s="23" t="str">
        <f>IF(OR(E1314="",E1314="!!!"),"",IF(OR(J1314=0,AND(J1314=1,K1314=1),AND(J1314=1,I1314="SBJ"),AND(J1314=1,I1314=0)),"?IN_FOCUS",IF(J1314&lt;=2,"?ACTIVATED",IF(J1314&lt;&gt;"","?FAMILIAR",IF(F1314="NEW",IF(ISNA(VLOOKUP(E1314,#REF!,1,FALSE())),"?TYPE_IDENTIFIABLE","?REFERENTIAL"),"_")))))</f>
        <v> </v>
      </c>
      <c r="H1314" s="24" t="str">
        <f>IF(J1314&lt;&gt;1,"",IF(I1314="SBJ","CB","?"))</f>
        <v> </v>
      </c>
      <c r="I1314" s="25" t="str">
        <f>IF(OR(E1314="",E1314="!!!",F1314="NEW"),"",INDEX(B1313:B$2,-1+SUMPRODUCT(MAX(ROW(E1313:E$2)*(E1314=E1313:E$2)))))</f>
        <v> </v>
      </c>
      <c r="J1314" s="25" t="str">
        <f>IF(OR(E1314="",E1314="!!!",F1314="NEW"),"",COUNTBLANK(OFFSET(A$1,,,SUMPRODUCT(MAX(ROW(E$2:E1314)*(E1314=E$2:E1314)))))-COUNTBLANK(OFFSET(A$1,,,SUMPRODUCT(MAX(ROW(E$1:E1313)*(E2=E$1:E1313))))))</f>
        <v> </v>
      </c>
      <c r="K1314" s="25" t="str">
        <f>IF(OR(E1314="",E1314="!!!",F1314="NEW"),"",INDEX(J$1:J1313,SUMPRODUCT(MAX(ROW(E$1:E1313)*(E1314=E$1:E1313)))))</f>
        <v> </v>
      </c>
      <c r="L1314" s="26"/>
    </row>
    <row r="1315" spans="1:12">
      <c r="A1315" s="20" t="s">
        <v>273</v>
      </c>
      <c r="E1315" s="21">
        <f>IF(D1315="?OLD","!!!","")</f>
        <v/>
      </c>
      <c r="F1315" s="22" t="str">
        <f>IF(OR(E1315="",E1315="!!!"),"",IF(NOT(ISNA(VLOOKUP(E1315,E$1:E1314,1,FALSE()))),"OLD",IF(AND(E1315&lt;&gt;"",E1315&lt;&gt;"!!!"),"NEW","")))</f>
        <v> </v>
      </c>
      <c r="G1315" s="23" t="str">
        <f>IF(OR(E1315="",E1315="!!!"),"",IF(OR(J1315=0,AND(J1315=1,K1315=1),AND(J1315=1,I1315="SBJ"),AND(J1315=1,I1315=0)),"?IN_FOCUS",IF(J1315&lt;=2,"?ACTIVATED",IF(J1315&lt;&gt;"","?FAMILIAR",IF(F1315="NEW",IF(ISNA(VLOOKUP(E1315,#REF!,1,FALSE())),"?TYPE_IDENTIFIABLE","?REFERENTIAL"),"_")))))</f>
        <v> </v>
      </c>
      <c r="H1315" s="24" t="str">
        <f>IF(J1315&lt;&gt;1,"",IF(I1315="SBJ","CB","?"))</f>
        <v> </v>
      </c>
      <c r="I1315" s="25" t="str">
        <f>IF(OR(E1315="",E1315="!!!",F1315="NEW"),"",INDEX(B1314:B$2,-1+SUMPRODUCT(MAX(ROW(E1314:E$2)*(E1315=E1314:E$2)))))</f>
        <v> </v>
      </c>
      <c r="J1315" s="25" t="str">
        <f>IF(OR(E1315="",E1315="!!!",F1315="NEW"),"",COUNTBLANK(OFFSET(A$1,,,SUMPRODUCT(MAX(ROW(E$2:E1315)*(E1315=E$2:E1315)))))-COUNTBLANK(OFFSET(A$1,,,SUMPRODUCT(MAX(ROW(E$1:E1314)*(E2=E$1:E1314))))))</f>
        <v> </v>
      </c>
      <c r="K1315" s="25" t="str">
        <f>IF(OR(E1315="",E1315="!!!",F1315="NEW"),"",INDEX(J$1:J1314,SUMPRODUCT(MAX(ROW(E$1:E1314)*(E1315=E$1:E1314)))))</f>
        <v> </v>
      </c>
      <c r="L1315" s="26"/>
    </row>
    <row r="1316" spans="1:12">
      <c r="A1316" s="20" t="s">
        <v>248</v>
      </c>
      <c r="E1316" s="21">
        <f>IF(D1316="?OLD","!!!","")</f>
        <v/>
      </c>
      <c r="F1316" s="22" t="str">
        <f>IF(OR(E1316="",E1316="!!!"),"",IF(NOT(ISNA(VLOOKUP(E1316,E$1:E1315,1,FALSE()))),"OLD",IF(AND(E1316&lt;&gt;"",E1316&lt;&gt;"!!!"),"NEW","")))</f>
        <v> </v>
      </c>
      <c r="G1316" s="23" t="str">
        <f>IF(OR(E1316="",E1316="!!!"),"",IF(OR(J1316=0,AND(J1316=1,K1316=1),AND(J1316=1,I1316="SBJ"),AND(J1316=1,I1316=0)),"?IN_FOCUS",IF(J1316&lt;=2,"?ACTIVATED",IF(J1316&lt;&gt;"","?FAMILIAR",IF(F1316="NEW",IF(ISNA(VLOOKUP(E1316,#REF!,1,FALSE())),"?TYPE_IDENTIFIABLE","?REFERENTIAL"),"_")))))</f>
        <v> </v>
      </c>
      <c r="H1316" s="24" t="str">
        <f>IF(J1316&lt;&gt;1,"",IF(I1316="SBJ","CB","?"))</f>
        <v> </v>
      </c>
      <c r="I1316" s="25" t="str">
        <f>IF(OR(E1316="",E1316="!!!",F1316="NEW"),"",INDEX(B1315:B$2,-1+SUMPRODUCT(MAX(ROW(E1315:E$2)*(E1316=E1315:E$2)))))</f>
        <v> </v>
      </c>
      <c r="J1316" s="25" t="str">
        <f>IF(OR(E1316="",E1316="!!!",F1316="NEW"),"",COUNTBLANK(OFFSET(A$1,,,SUMPRODUCT(MAX(ROW(E$2:E1316)*(E1316=E$2:E1316)))))-COUNTBLANK(OFFSET(A$1,,,SUMPRODUCT(MAX(ROW(E$1:E1315)*(E2=E$1:E1315))))))</f>
        <v> </v>
      </c>
      <c r="K1316" s="25" t="str">
        <f>IF(OR(E1316="",E1316="!!!",F1316="NEW"),"",INDEX(J$1:J1315,SUMPRODUCT(MAX(ROW(E$1:E1315)*(E1316=E$1:E1315)))))</f>
        <v> </v>
      </c>
      <c r="L1316" s="26"/>
    </row>
    <row r="1317" spans="1:12">
      <c r="A1317" s="20" t="s">
        <v>23</v>
      </c>
      <c r="B1317" s="27" t="s">
        <v>291</v>
      </c>
      <c r="C1317" s="27" t="s">
        <v>252</v>
      </c>
      <c r="D1317" s="27" t="s">
        <v>244</v>
      </c>
      <c r="E1317" s="21">
        <f>IF(D1317="?OLD","!!!","")</f>
        <v/>
      </c>
      <c r="F1317" s="22" t="str">
        <f>IF(OR(E1317="",E1317="!!!"),"",IF(NOT(ISNA(VLOOKUP(E1317,E$1:E1316,1,FALSE()))),"OLD",IF(AND(E1317&lt;&gt;"",E1317&lt;&gt;"!!!"),"NEW","")))</f>
        <v> </v>
      </c>
      <c r="G1317" s="23" t="str">
        <f>IF(OR(E1317="",E1317="!!!"),"",IF(OR(J1317=0,AND(J1317=1,K1317=1),AND(J1317=1,I1317="SBJ"),AND(J1317=1,I1317=0)),"?IN_FOCUS",IF(J1317&lt;=2,"?ACTIVATED",IF(J1317&lt;&gt;"","?FAMILIAR",IF(F1317="NEW",IF(ISNA(VLOOKUP(E1317,#REF!,1,FALSE())),"?TYPE_IDENTIFIABLE","?REFERENTIAL"),"_")))))</f>
        <v> </v>
      </c>
      <c r="H1317" s="24" t="str">
        <f>IF(J1317&lt;&gt;1,"",IF(I1317="SBJ","CB","?"))</f>
        <v> </v>
      </c>
      <c r="I1317" s="25" t="str">
        <f>IF(OR(E1317="",E1317="!!!",F1317="NEW"),"",INDEX(B1316:B$2,-1+SUMPRODUCT(MAX(ROW(E1316:E$2)*(E1317=E1316:E$2)))))</f>
        <v> </v>
      </c>
      <c r="J1317" s="25" t="str">
        <f>IF(OR(E1317="",E1317="!!!",F1317="NEW"),"",COUNTBLANK(OFFSET(A$1,,,SUMPRODUCT(MAX(ROW(E$2:E1317)*(E1317=E$2:E1317)))))-COUNTBLANK(OFFSET(A$1,,,SUMPRODUCT(MAX(ROW(E$1:E1316)*(E2=E$1:E1316))))))</f>
        <v> </v>
      </c>
      <c r="K1317" s="25" t="str">
        <f>IF(OR(E1317="",E1317="!!!",F1317="NEW"),"",INDEX(J$1:J1316,SUMPRODUCT(MAX(ROW(E$1:E1316)*(E1317=E$1:E1316)))))</f>
        <v> </v>
      </c>
      <c r="L1317" s="26"/>
    </row>
    <row r="1318" spans="1:12">
      <c r="A1318" s="20" t="s">
        <v>260</v>
      </c>
      <c r="E1318" s="21">
        <f>IF(D1318="?OLD","!!!","")</f>
        <v/>
      </c>
      <c r="F1318" s="22" t="str">
        <f>IF(OR(E1318="",E1318="!!!"),"",IF(NOT(ISNA(VLOOKUP(E1318,E$1:E1317,1,FALSE()))),"OLD",IF(AND(E1318&lt;&gt;"",E1318&lt;&gt;"!!!"),"NEW","")))</f>
        <v> </v>
      </c>
      <c r="G1318" s="23" t="str">
        <f>IF(OR(E1318="",E1318="!!!"),"",IF(OR(J1318=0,AND(J1318=1,K1318=1),AND(J1318=1,I1318="SBJ"),AND(J1318=1,I1318=0)),"?IN_FOCUS",IF(J1318&lt;=2,"?ACTIVATED",IF(J1318&lt;&gt;"","?FAMILIAR",IF(F1318="NEW",IF(ISNA(VLOOKUP(E1318,#REF!,1,FALSE())),"?TYPE_IDENTIFIABLE","?REFERENTIAL"),"_")))))</f>
        <v> </v>
      </c>
      <c r="H1318" s="24" t="str">
        <f>IF(J1318&lt;&gt;1,"",IF(I1318="SBJ","CB","?"))</f>
        <v> </v>
      </c>
      <c r="I1318" s="25" t="str">
        <f>IF(OR(E1318="",E1318="!!!",F1318="NEW"),"",INDEX(B1317:B$2,-1+SUMPRODUCT(MAX(ROW(E1317:E$2)*(E1318=E1317:E$2)))))</f>
        <v> </v>
      </c>
      <c r="J1318" s="25" t="str">
        <f>IF(OR(E1318="",E1318="!!!",F1318="NEW"),"",COUNTBLANK(OFFSET(A$1,,,SUMPRODUCT(MAX(ROW(E$2:E1318)*(E1318=E$2:E1318)))))-COUNTBLANK(OFFSET(A$1,,,SUMPRODUCT(MAX(ROW(E$1:E1317)*(E2=E$1:E1317))))))</f>
        <v> </v>
      </c>
      <c r="K1318" s="25" t="str">
        <f>IF(OR(E1318="",E1318="!!!",F1318="NEW"),"",INDEX(J$1:J1317,SUMPRODUCT(MAX(ROW(E$1:E1317)*(E1318=E$1:E1317)))))</f>
        <v> </v>
      </c>
      <c r="L1318" s="26"/>
    </row>
    <row r="1319" spans="1:12">
      <c r="A1319" s="20" t="s">
        <v>248</v>
      </c>
      <c r="E1319" s="21">
        <f>IF(D1319="?OLD","!!!","")</f>
        <v/>
      </c>
      <c r="F1319" s="22" t="str">
        <f>IF(OR(E1319="",E1319="!!!"),"",IF(NOT(ISNA(VLOOKUP(E1319,E$1:E1318,1,FALSE()))),"OLD",IF(AND(E1319&lt;&gt;"",E1319&lt;&gt;"!!!"),"NEW","")))</f>
        <v> </v>
      </c>
      <c r="G1319" s="23" t="str">
        <f>IF(OR(E1319="",E1319="!!!"),"",IF(OR(J1319=0,AND(J1319=1,K1319=1),AND(J1319=1,I1319="SBJ"),AND(J1319=1,I1319=0)),"?IN_FOCUS",IF(J1319&lt;=2,"?ACTIVATED",IF(J1319&lt;&gt;"","?FAMILIAR",IF(F1319="NEW",IF(ISNA(VLOOKUP(E1319,#REF!,1,FALSE())),"?TYPE_IDENTIFIABLE","?REFERENTIAL"),"_")))))</f>
        <v> </v>
      </c>
      <c r="H1319" s="24" t="str">
        <f>IF(J1319&lt;&gt;1,"",IF(I1319="SBJ","CB","?"))</f>
        <v> </v>
      </c>
      <c r="I1319" s="25" t="str">
        <f>IF(OR(E1319="",E1319="!!!",F1319="NEW"),"",INDEX(B1318:B$2,-1+SUMPRODUCT(MAX(ROW(E1318:E$2)*(E1319=E1318:E$2)))))</f>
        <v> </v>
      </c>
      <c r="J1319" s="25" t="str">
        <f>IF(OR(E1319="",E1319="!!!",F1319="NEW"),"",COUNTBLANK(OFFSET(A$1,,,SUMPRODUCT(MAX(ROW(E$2:E1319)*(E1319=E$2:E1319)))))-COUNTBLANK(OFFSET(A$1,,,SUMPRODUCT(MAX(ROW(E$1:E1318)*(E2=E$1:E1318))))))</f>
        <v> </v>
      </c>
      <c r="K1319" s="25" t="str">
        <f>IF(OR(E1319="",E1319="!!!",F1319="NEW"),"",INDEX(J$1:J1318,SUMPRODUCT(MAX(ROW(E$1:E1318)*(E1319=E$1:E1318)))))</f>
        <v> </v>
      </c>
      <c r="L1319" s="26"/>
    </row>
    <row r="1320" spans="1:12">
      <c r="A1320" s="20" t="s">
        <v>249</v>
      </c>
      <c r="E1320" s="21">
        <f>IF(D1320="?OLD","!!!","")</f>
        <v/>
      </c>
      <c r="F1320" s="22" t="str">
        <f>IF(OR(E1320="",E1320="!!!"),"",IF(NOT(ISNA(VLOOKUP(E1320,E$1:E1319,1,FALSE()))),"OLD",IF(AND(E1320&lt;&gt;"",E1320&lt;&gt;"!!!"),"NEW","")))</f>
        <v> </v>
      </c>
      <c r="G1320" s="23" t="str">
        <f>IF(OR(E1320="",E1320="!!!"),"",IF(OR(J1320=0,AND(J1320=1,K1320=1),AND(J1320=1,I1320="SBJ"),AND(J1320=1,I1320=0)),"?IN_FOCUS",IF(J1320&lt;=2,"?ACTIVATED",IF(J1320&lt;&gt;"","?FAMILIAR",IF(F1320="NEW",IF(ISNA(VLOOKUP(E1320,#REF!,1,FALSE())),"?TYPE_IDENTIFIABLE","?REFERENTIAL"),"_")))))</f>
        <v> </v>
      </c>
      <c r="H1320" s="24" t="str">
        <f>IF(J1320&lt;&gt;1,"",IF(I1320="SBJ","CB","?"))</f>
        <v> </v>
      </c>
      <c r="I1320" s="25" t="str">
        <f>IF(OR(E1320="",E1320="!!!",F1320="NEW"),"",INDEX(B1319:B$2,-1+SUMPRODUCT(MAX(ROW(E1319:E$2)*(E1320=E1319:E$2)))))</f>
        <v> </v>
      </c>
      <c r="J1320" s="25" t="str">
        <f>IF(OR(E1320="",E1320="!!!",F1320="NEW"),"",COUNTBLANK(OFFSET(A$1,,,SUMPRODUCT(MAX(ROW(E$2:E1320)*(E1320=E$2:E1320)))))-COUNTBLANK(OFFSET(A$1,,,SUMPRODUCT(MAX(ROW(E$1:E1319)*(E2=E$1:E1319))))))</f>
        <v> </v>
      </c>
      <c r="K1320" s="25" t="str">
        <f>IF(OR(E1320="",E1320="!!!",F1320="NEW"),"",INDEX(J$1:J1319,SUMPRODUCT(MAX(ROW(E$1:E1319)*(E1320=E$1:E1319)))))</f>
        <v> </v>
      </c>
      <c r="L1320" s="26"/>
    </row>
    <row r="1321" spans="1:12">
      <c r="A1321" s="20" t="s">
        <v>250</v>
      </c>
      <c r="B1321" s="27" t="s">
        <v>329</v>
      </c>
      <c r="C1321" s="27" t="s">
        <v>252</v>
      </c>
      <c r="D1321" s="27" t="s">
        <v>244</v>
      </c>
      <c r="E1321" s="21">
        <f>IF(D1321="?OLD","!!!","")</f>
        <v/>
      </c>
      <c r="F1321" s="22" t="str">
        <f>IF(OR(E1321="",E1321="!!!"),"",IF(NOT(ISNA(VLOOKUP(E1321,E$1:E1320,1,FALSE()))),"OLD",IF(AND(E1321&lt;&gt;"",E1321&lt;&gt;"!!!"),"NEW","")))</f>
        <v> </v>
      </c>
      <c r="G1321" s="23" t="str">
        <f>IF(OR(E1321="",E1321="!!!"),"",IF(OR(J1321=0,AND(J1321=1,K1321=1),AND(J1321=1,I1321="SBJ"),AND(J1321=1,I1321=0)),"?IN_FOCUS",IF(J1321&lt;=2,"?ACTIVATED",IF(J1321&lt;&gt;"","?FAMILIAR",IF(F1321="NEW",IF(ISNA(VLOOKUP(E1321,#REF!,1,FALSE())),"?TYPE_IDENTIFIABLE","?REFERENTIAL"),"_")))))</f>
        <v> </v>
      </c>
      <c r="H1321" s="24" t="str">
        <f>IF(J1321&lt;&gt;1,"",IF(I1321="SBJ","CB","?"))</f>
        <v> </v>
      </c>
      <c r="I1321" s="25" t="str">
        <f>IF(OR(E1321="",E1321="!!!",F1321="NEW"),"",INDEX(B1320:B$2,-1+SUMPRODUCT(MAX(ROW(E1320:E$2)*(E1321=E1320:E$2)))))</f>
        <v> </v>
      </c>
      <c r="J1321" s="25" t="str">
        <f>IF(OR(E1321="",E1321="!!!",F1321="NEW"),"",COUNTBLANK(OFFSET(A$1,,,SUMPRODUCT(MAX(ROW(E$2:E1321)*(E1321=E$2:E1321)))))-COUNTBLANK(OFFSET(A$1,,,SUMPRODUCT(MAX(ROW(E$1:E1320)*(E2=E$1:E1320))))))</f>
        <v> </v>
      </c>
      <c r="K1321" s="25" t="str">
        <f>IF(OR(E1321="",E1321="!!!",F1321="NEW"),"",INDEX(J$1:J1320,SUMPRODUCT(MAX(ROW(E$1:E1320)*(E1321=E$1:E1320)))))</f>
        <v> </v>
      </c>
      <c r="L1321" s="26"/>
    </row>
    <row r="1322" spans="1:12">
      <c r="A1322" s="20" t="s">
        <v>391</v>
      </c>
      <c r="E1322" s="21">
        <f>IF(D1322="?OLD","!!!","")</f>
        <v/>
      </c>
      <c r="F1322" s="22" t="str">
        <f>IF(OR(E1322="",E1322="!!!"),"",IF(NOT(ISNA(VLOOKUP(E1322,E$1:E1321,1,FALSE()))),"OLD",IF(AND(E1322&lt;&gt;"",E1322&lt;&gt;"!!!"),"NEW","")))</f>
        <v> </v>
      </c>
      <c r="G1322" s="23" t="str">
        <f>IF(OR(E1322="",E1322="!!!"),"",IF(OR(J1322=0,AND(J1322=1,K1322=1),AND(J1322=1,I1322="SBJ"),AND(J1322=1,I1322=0)),"?IN_FOCUS",IF(J1322&lt;=2,"?ACTIVATED",IF(J1322&lt;&gt;"","?FAMILIAR",IF(F1322="NEW",IF(ISNA(VLOOKUP(E1322,#REF!,1,FALSE())),"?TYPE_IDENTIFIABLE","?REFERENTIAL"),"_")))))</f>
        <v> </v>
      </c>
      <c r="H1322" s="24" t="str">
        <f>IF(J1322&lt;&gt;1,"",IF(I1322="SBJ","CB","?"))</f>
        <v> </v>
      </c>
      <c r="I1322" s="25" t="str">
        <f>IF(OR(E1322="",E1322="!!!",F1322="NEW"),"",INDEX(B1321:B$2,-1+SUMPRODUCT(MAX(ROW(E1321:E$2)*(E1322=E1321:E$2)))))</f>
        <v> </v>
      </c>
      <c r="J1322" s="25" t="str">
        <f>IF(OR(E1322="",E1322="!!!",F1322="NEW"),"",COUNTBLANK(OFFSET(A$1,,,SUMPRODUCT(MAX(ROW(E$2:E1322)*(E1322=E$2:E1322)))))-COUNTBLANK(OFFSET(A$1,,,SUMPRODUCT(MAX(ROW(E$1:E1321)*(E2=E$1:E1321))))))</f>
        <v> </v>
      </c>
      <c r="K1322" s="25" t="str">
        <f>IF(OR(E1322="",E1322="!!!",F1322="NEW"),"",INDEX(J$1:J1321,SUMPRODUCT(MAX(ROW(E$1:E1321)*(E1322=E$1:E1321)))))</f>
        <v> </v>
      </c>
      <c r="L1322" s="26"/>
    </row>
    <row r="1323" spans="1:12">
      <c r="A1323" s="20" t="s">
        <v>790</v>
      </c>
      <c r="E1323" s="21">
        <f>IF(D1323="?OLD","!!!","")</f>
        <v/>
      </c>
      <c r="F1323" s="22" t="str">
        <f>IF(OR(E1323="",E1323="!!!"),"",IF(NOT(ISNA(VLOOKUP(E1323,E$1:E1322,1,FALSE()))),"OLD",IF(AND(E1323&lt;&gt;"",E1323&lt;&gt;"!!!"),"NEW","")))</f>
        <v> </v>
      </c>
      <c r="G1323" s="23" t="str">
        <f>IF(OR(E1323="",E1323="!!!"),"",IF(OR(J1323=0,AND(J1323=1,K1323=1),AND(J1323=1,I1323="SBJ"),AND(J1323=1,I1323=0)),"?IN_FOCUS",IF(J1323&lt;=2,"?ACTIVATED",IF(J1323&lt;&gt;"","?FAMILIAR",IF(F1323="NEW",IF(ISNA(VLOOKUP(E1323,#REF!,1,FALSE())),"?TYPE_IDENTIFIABLE","?REFERENTIAL"),"_")))))</f>
        <v> </v>
      </c>
      <c r="H1323" s="24" t="str">
        <f>IF(J1323&lt;&gt;1,"",IF(I1323="SBJ","CB","?"))</f>
        <v> </v>
      </c>
      <c r="I1323" s="25" t="str">
        <f>IF(OR(E1323="",E1323="!!!",F1323="NEW"),"",INDEX(B1322:B$2,-1+SUMPRODUCT(MAX(ROW(E1322:E$2)*(E1323=E1322:E$2)))))</f>
        <v> </v>
      </c>
      <c r="J1323" s="25" t="str">
        <f>IF(OR(E1323="",E1323="!!!",F1323="NEW"),"",COUNTBLANK(OFFSET(A$1,,,SUMPRODUCT(MAX(ROW(E$2:E1323)*(E1323=E$2:E1323)))))-COUNTBLANK(OFFSET(A$1,,,SUMPRODUCT(MAX(ROW(E$1:E1322)*(E2=E$1:E1322))))))</f>
        <v> </v>
      </c>
      <c r="K1323" s="25" t="str">
        <f>IF(OR(E1323="",E1323="!!!",F1323="NEW"),"",INDEX(J$1:J1322,SUMPRODUCT(MAX(ROW(E$1:E1322)*(E1323=E$1:E1322)))))</f>
        <v> </v>
      </c>
      <c r="L1323" s="26"/>
    </row>
    <row r="1324" spans="1:12">
      <c r="A1324" s="20" t="s">
        <v>349</v>
      </c>
      <c r="E1324" s="21">
        <f>IF(D1324="?OLD","!!!","")</f>
        <v/>
      </c>
      <c r="F1324" s="22" t="str">
        <f>IF(OR(E1324="",E1324="!!!"),"",IF(NOT(ISNA(VLOOKUP(E1324,E$1:E1323,1,FALSE()))),"OLD",IF(AND(E1324&lt;&gt;"",E1324&lt;&gt;"!!!"),"NEW","")))</f>
        <v> </v>
      </c>
      <c r="G1324" s="23" t="str">
        <f>IF(OR(E1324="",E1324="!!!"),"",IF(OR(J1324=0,AND(J1324=1,K1324=1),AND(J1324=1,I1324="SBJ"),AND(J1324=1,I1324=0)),"?IN_FOCUS",IF(J1324&lt;=2,"?ACTIVATED",IF(J1324&lt;&gt;"","?FAMILIAR",IF(F1324="NEW",IF(ISNA(VLOOKUP(E1324,#REF!,1,FALSE())),"?TYPE_IDENTIFIABLE","?REFERENTIAL"),"_")))))</f>
        <v> </v>
      </c>
      <c r="H1324" s="24" t="str">
        <f>IF(J1324&lt;&gt;1,"",IF(I1324="SBJ","CB","?"))</f>
        <v> </v>
      </c>
      <c r="I1324" s="25" t="str">
        <f>IF(OR(E1324="",E1324="!!!",F1324="NEW"),"",INDEX(B1323:B$2,-1+SUMPRODUCT(MAX(ROW(E1323:E$2)*(E1324=E1323:E$2)))))</f>
        <v> </v>
      </c>
      <c r="J1324" s="25" t="str">
        <f>IF(OR(E1324="",E1324="!!!",F1324="NEW"),"",COUNTBLANK(OFFSET(A$1,,,SUMPRODUCT(MAX(ROW(E$2:E1324)*(E1324=E$2:E1324)))))-COUNTBLANK(OFFSET(A$1,,,SUMPRODUCT(MAX(ROW(E$1:E1323)*(E2=E$1:E1323))))))</f>
        <v> </v>
      </c>
      <c r="K1324" s="25" t="str">
        <f>IF(OR(E1324="",E1324="!!!",F1324="NEW"),"",INDEX(J$1:J1323,SUMPRODUCT(MAX(ROW(E$1:E1323)*(E1324=E$1:E1323)))))</f>
        <v> </v>
      </c>
      <c r="L1324" s="26"/>
    </row>
    <row r="1325" spans="1:12">
      <c r="A1325" s="20" t="s">
        <v>397</v>
      </c>
      <c r="E1325" s="21">
        <f>IF(D1325="?OLD","!!!","")</f>
        <v/>
      </c>
      <c r="F1325" s="22" t="str">
        <f>IF(OR(E1325="",E1325="!!!"),"",IF(NOT(ISNA(VLOOKUP(E1325,E$1:E1324,1,FALSE()))),"OLD",IF(AND(E1325&lt;&gt;"",E1325&lt;&gt;"!!!"),"NEW","")))</f>
        <v> </v>
      </c>
      <c r="G1325" s="23" t="str">
        <f>IF(OR(E1325="",E1325="!!!"),"",IF(OR(J1325=0,AND(J1325=1,K1325=1),AND(J1325=1,I1325="SBJ"),AND(J1325=1,I1325=0)),"?IN_FOCUS",IF(J1325&lt;=2,"?ACTIVATED",IF(J1325&lt;&gt;"","?FAMILIAR",IF(F1325="NEW",IF(ISNA(VLOOKUP(E1325,#REF!,1,FALSE())),"?TYPE_IDENTIFIABLE","?REFERENTIAL"),"_")))))</f>
        <v> </v>
      </c>
      <c r="H1325" s="24" t="str">
        <f>IF(J1325&lt;&gt;1,"",IF(I1325="SBJ","CB","?"))</f>
        <v> </v>
      </c>
      <c r="I1325" s="25" t="str">
        <f>IF(OR(E1325="",E1325="!!!",F1325="NEW"),"",INDEX(B1324:B$2,-1+SUMPRODUCT(MAX(ROW(E1324:E$2)*(E1325=E1324:E$2)))))</f>
        <v> </v>
      </c>
      <c r="J1325" s="25" t="str">
        <f>IF(OR(E1325="",E1325="!!!",F1325="NEW"),"",COUNTBLANK(OFFSET(A$1,,,SUMPRODUCT(MAX(ROW(E$2:E1325)*(E1325=E$2:E1325)))))-COUNTBLANK(OFFSET(A$1,,,SUMPRODUCT(MAX(ROW(E$1:E1324)*(E2=E$1:E1324))))))</f>
        <v> </v>
      </c>
      <c r="K1325" s="25" t="str">
        <f>IF(OR(E1325="",E1325="!!!",F1325="NEW"),"",INDEX(J$1:J1324,SUMPRODUCT(MAX(ROW(E$1:E1324)*(E1325=E$1:E1324)))))</f>
        <v> </v>
      </c>
      <c r="L1325" s="26"/>
    </row>
    <row r="1326" spans="1:12">
      <c r="A1326" s="20" t="s">
        <v>391</v>
      </c>
      <c r="E1326" s="21">
        <f>IF(D1326="?OLD","!!!","")</f>
        <v/>
      </c>
      <c r="F1326" s="22" t="str">
        <f>IF(OR(E1326="",E1326="!!!"),"",IF(NOT(ISNA(VLOOKUP(E1326,E$1:E1325,1,FALSE()))),"OLD",IF(AND(E1326&lt;&gt;"",E1326&lt;&gt;"!!!"),"NEW","")))</f>
        <v> </v>
      </c>
      <c r="G1326" s="23" t="str">
        <f>IF(OR(E1326="",E1326="!!!"),"",IF(OR(J1326=0,AND(J1326=1,K1326=1),AND(J1326=1,I1326="SBJ"),AND(J1326=1,I1326=0)),"?IN_FOCUS",IF(J1326&lt;=2,"?ACTIVATED",IF(J1326&lt;&gt;"","?FAMILIAR",IF(F1326="NEW",IF(ISNA(VLOOKUP(E1326,#REF!,1,FALSE())),"?TYPE_IDENTIFIABLE","?REFERENTIAL"),"_")))))</f>
        <v> </v>
      </c>
      <c r="H1326" s="24" t="str">
        <f>IF(J1326&lt;&gt;1,"",IF(I1326="SBJ","CB","?"))</f>
        <v> </v>
      </c>
      <c r="I1326" s="25" t="str">
        <f>IF(OR(E1326="",E1326="!!!",F1326="NEW"),"",INDEX(B1325:B$2,-1+SUMPRODUCT(MAX(ROW(E1325:E$2)*(E1326=E1325:E$2)))))</f>
        <v> </v>
      </c>
      <c r="J1326" s="25" t="str">
        <f>IF(OR(E1326="",E1326="!!!",F1326="NEW"),"",COUNTBLANK(OFFSET(A$1,,,SUMPRODUCT(MAX(ROW(E$2:E1326)*(E1326=E$2:E1326)))))-COUNTBLANK(OFFSET(A$1,,,SUMPRODUCT(MAX(ROW(E$1:E1325)*(E2=E$1:E1325))))))</f>
        <v> </v>
      </c>
      <c r="K1326" s="25" t="str">
        <f>IF(OR(E1326="",E1326="!!!",F1326="NEW"),"",INDEX(J$1:J1325,SUMPRODUCT(MAX(ROW(E$1:E1325)*(E1326=E$1:E1325)))))</f>
        <v> </v>
      </c>
      <c r="L1326" s="26"/>
    </row>
    <row r="1327" spans="1:12">
      <c r="A1327" s="20" t="s">
        <v>377</v>
      </c>
      <c r="E1327" s="21">
        <f>IF(D1327="?OLD","!!!","")</f>
        <v/>
      </c>
      <c r="F1327" s="22" t="str">
        <f>IF(OR(E1327="",E1327="!!!"),"",IF(NOT(ISNA(VLOOKUP(E1327,E$1:E1326,1,FALSE()))),"OLD",IF(AND(E1327&lt;&gt;"",E1327&lt;&gt;"!!!"),"NEW","")))</f>
        <v> </v>
      </c>
      <c r="G1327" s="23" t="str">
        <f>IF(OR(E1327="",E1327="!!!"),"",IF(OR(J1327=0,AND(J1327=1,K1327=1),AND(J1327=1,I1327="SBJ"),AND(J1327=1,I1327=0)),"?IN_FOCUS",IF(J1327&lt;=2,"?ACTIVATED",IF(J1327&lt;&gt;"","?FAMILIAR",IF(F1327="NEW",IF(ISNA(VLOOKUP(E1327,#REF!,1,FALSE())),"?TYPE_IDENTIFIABLE","?REFERENTIAL"),"_")))))</f>
        <v> </v>
      </c>
      <c r="H1327" s="24" t="str">
        <f>IF(J1327&lt;&gt;1,"",IF(I1327="SBJ","CB","?"))</f>
        <v> </v>
      </c>
      <c r="I1327" s="25" t="str">
        <f>IF(OR(E1327="",E1327="!!!",F1327="NEW"),"",INDEX(B1326:B$2,-1+SUMPRODUCT(MAX(ROW(E1326:E$2)*(E1327=E1326:E$2)))))</f>
        <v> </v>
      </c>
      <c r="J1327" s="25" t="str">
        <f>IF(OR(E1327="",E1327="!!!",F1327="NEW"),"",COUNTBLANK(OFFSET(A$1,,,SUMPRODUCT(MAX(ROW(E$2:E1327)*(E1327=E$2:E1327)))))-COUNTBLANK(OFFSET(A$1,,,SUMPRODUCT(MAX(ROW(E$1:E1326)*(E2=E$1:E1326))))))</f>
        <v> </v>
      </c>
      <c r="K1327" s="25" t="str">
        <f>IF(OR(E1327="",E1327="!!!",F1327="NEW"),"",INDEX(J$1:J1326,SUMPRODUCT(MAX(ROW(E$1:E1326)*(E1327=E$1:E1326)))))</f>
        <v> </v>
      </c>
      <c r="L1327" s="26"/>
    </row>
    <row r="1328" spans="1:12">
      <c r="A1328" s="20" t="s">
        <v>248</v>
      </c>
      <c r="E1328" s="21">
        <f>IF(D1328="?OLD","!!!","")</f>
        <v/>
      </c>
      <c r="F1328" s="22" t="str">
        <f>IF(OR(E1328="",E1328="!!!"),"",IF(NOT(ISNA(VLOOKUP(E1328,E$1:E1327,1,FALSE()))),"OLD",IF(AND(E1328&lt;&gt;"",E1328&lt;&gt;"!!!"),"NEW","")))</f>
        <v> </v>
      </c>
      <c r="G1328" s="23" t="str">
        <f>IF(OR(E1328="",E1328="!!!"),"",IF(OR(J1328=0,AND(J1328=1,K1328=1),AND(J1328=1,I1328="SBJ"),AND(J1328=1,I1328=0)),"?IN_FOCUS",IF(J1328&lt;=2,"?ACTIVATED",IF(J1328&lt;&gt;"","?FAMILIAR",IF(F1328="NEW",IF(ISNA(VLOOKUP(E1328,#REF!,1,FALSE())),"?TYPE_IDENTIFIABLE","?REFERENTIAL"),"_")))))</f>
        <v> </v>
      </c>
      <c r="H1328" s="24" t="str">
        <f>IF(J1328&lt;&gt;1,"",IF(I1328="SBJ","CB","?"))</f>
        <v> </v>
      </c>
      <c r="I1328" s="25" t="str">
        <f>IF(OR(E1328="",E1328="!!!",F1328="NEW"),"",INDEX(B1327:B$2,-1+SUMPRODUCT(MAX(ROW(E1327:E$2)*(E1328=E1327:E$2)))))</f>
        <v> </v>
      </c>
      <c r="J1328" s="25" t="str">
        <f>IF(OR(E1328="",E1328="!!!",F1328="NEW"),"",COUNTBLANK(OFFSET(A$1,,,SUMPRODUCT(MAX(ROW(E$2:E1328)*(E1328=E$2:E1328)))))-COUNTBLANK(OFFSET(A$1,,,SUMPRODUCT(MAX(ROW(E$1:E1327)*(E2=E$1:E1327))))))</f>
        <v> </v>
      </c>
      <c r="K1328" s="25" t="str">
        <f>IF(OR(E1328="",E1328="!!!",F1328="NEW"),"",INDEX(J$1:J1327,SUMPRODUCT(MAX(ROW(E$1:E1327)*(E1328=E$1:E1327)))))</f>
        <v> </v>
      </c>
      <c r="L1328" s="26"/>
    </row>
    <row r="1329" spans="1:12">
      <c r="A1329" s="20" t="s">
        <v>791</v>
      </c>
      <c r="E1329" s="21">
        <f>IF(D1329="?OLD","!!!","")</f>
        <v/>
      </c>
      <c r="F1329" s="22" t="str">
        <f>IF(OR(E1329="",E1329="!!!"),"",IF(NOT(ISNA(VLOOKUP(E1329,E$1:E1328,1,FALSE()))),"OLD",IF(AND(E1329&lt;&gt;"",E1329&lt;&gt;"!!!"),"NEW","")))</f>
        <v> </v>
      </c>
      <c r="G1329" s="23" t="str">
        <f>IF(OR(E1329="",E1329="!!!"),"",IF(OR(J1329=0,AND(J1329=1,K1329=1),AND(J1329=1,I1329="SBJ"),AND(J1329=1,I1329=0)),"?IN_FOCUS",IF(J1329&lt;=2,"?ACTIVATED",IF(J1329&lt;&gt;"","?FAMILIAR",IF(F1329="NEW",IF(ISNA(VLOOKUP(E1329,#REF!,1,FALSE())),"?TYPE_IDENTIFIABLE","?REFERENTIAL"),"_")))))</f>
        <v> </v>
      </c>
      <c r="H1329" s="24" t="str">
        <f>IF(J1329&lt;&gt;1,"",IF(I1329="SBJ","CB","?"))</f>
        <v> </v>
      </c>
      <c r="I1329" s="25" t="str">
        <f>IF(OR(E1329="",E1329="!!!",F1329="NEW"),"",INDEX(B1328:B$2,-1+SUMPRODUCT(MAX(ROW(E1328:E$2)*(E1329=E1328:E$2)))))</f>
        <v> </v>
      </c>
      <c r="J1329" s="25" t="str">
        <f>IF(OR(E1329="",E1329="!!!",F1329="NEW"),"",COUNTBLANK(OFFSET(A$1,,,SUMPRODUCT(MAX(ROW(E$2:E1329)*(E1329=E$2:E1329)))))-COUNTBLANK(OFFSET(A$1,,,SUMPRODUCT(MAX(ROW(E$1:E1328)*(E2=E$1:E1328))))))</f>
        <v> </v>
      </c>
      <c r="K1329" s="25" t="str">
        <f>IF(OR(E1329="",E1329="!!!",F1329="NEW"),"",INDEX(J$1:J1328,SUMPRODUCT(MAX(ROW(E$1:E1328)*(E1329=E$1:E1328)))))</f>
        <v> </v>
      </c>
      <c r="L1329" s="26"/>
    </row>
    <row r="1330" spans="1:12">
      <c r="A1330" s="20" t="s">
        <v>775</v>
      </c>
      <c r="B1330" s="27" t="s">
        <v>272</v>
      </c>
      <c r="C1330" s="27" t="s">
        <v>263</v>
      </c>
      <c r="D1330" s="27" t="s">
        <v>244</v>
      </c>
      <c r="E1330" s="21">
        <f>IF(D1330="?OLD","!!!","")</f>
        <v/>
      </c>
      <c r="F1330" s="22" t="str">
        <f>IF(OR(E1330="",E1330="!!!"),"",IF(NOT(ISNA(VLOOKUP(E1330,E$1:E1329,1,FALSE()))),"OLD",IF(AND(E1330&lt;&gt;"",E1330&lt;&gt;"!!!"),"NEW","")))</f>
        <v> </v>
      </c>
      <c r="G1330" s="23" t="str">
        <f>IF(OR(E1330="",E1330="!!!"),"",IF(OR(J1330=0,AND(J1330=1,K1330=1),AND(J1330=1,I1330="SBJ"),AND(J1330=1,I1330=0)),"?IN_FOCUS",IF(J1330&lt;=2,"?ACTIVATED",IF(J1330&lt;&gt;"","?FAMILIAR",IF(F1330="NEW",IF(ISNA(VLOOKUP(E1330,#REF!,1,FALSE())),"?TYPE_IDENTIFIABLE","?REFERENTIAL"),"_")))))</f>
        <v> </v>
      </c>
      <c r="H1330" s="24" t="str">
        <f>IF(J1330&lt;&gt;1,"",IF(I1330="SBJ","CB","?"))</f>
        <v> </v>
      </c>
      <c r="I1330" s="25" t="str">
        <f>IF(OR(E1330="",E1330="!!!",F1330="NEW"),"",INDEX(B1329:B$2,-1+SUMPRODUCT(MAX(ROW(E1329:E$2)*(E1330=E1329:E$2)))))</f>
        <v> </v>
      </c>
      <c r="J1330" s="25" t="str">
        <f>IF(OR(E1330="",E1330="!!!",F1330="NEW"),"",COUNTBLANK(OFFSET(A$1,,,SUMPRODUCT(MAX(ROW(E$2:E1330)*(E1330=E$2:E1330)))))-COUNTBLANK(OFFSET(A$1,,,SUMPRODUCT(MAX(ROW(E$1:E1329)*(E2=E$1:E1329))))))</f>
        <v> </v>
      </c>
      <c r="K1330" s="25" t="str">
        <f>IF(OR(E1330="",E1330="!!!",F1330="NEW"),"",INDEX(J$1:J1329,SUMPRODUCT(MAX(ROW(E$1:E1329)*(E1330=E$1:E1329)))))</f>
        <v> </v>
      </c>
      <c r="L1330" s="26"/>
    </row>
    <row r="1331" spans="1:12">
      <c r="A1331" s="20" t="s">
        <v>792</v>
      </c>
      <c r="B1331" s="27" t="s">
        <v>295</v>
      </c>
      <c r="C1331" s="27" t="s">
        <v>267</v>
      </c>
      <c r="D1331" s="27" t="s">
        <v>244</v>
      </c>
      <c r="E1331" s="21">
        <f>IF(D1331="?OLD","!!!","")</f>
        <v/>
      </c>
      <c r="F1331" s="22" t="str">
        <f>IF(OR(E1331="",E1331="!!!"),"",IF(NOT(ISNA(VLOOKUP(E1331,E$1:E1330,1,FALSE()))),"OLD",IF(AND(E1331&lt;&gt;"",E1331&lt;&gt;"!!!"),"NEW","")))</f>
        <v> </v>
      </c>
      <c r="G1331" s="23" t="str">
        <f>IF(OR(E1331="",E1331="!!!"),"",IF(OR(J1331=0,AND(J1331=1,K1331=1),AND(J1331=1,I1331="SBJ"),AND(J1331=1,I1331=0)),"?IN_FOCUS",IF(J1331&lt;=2,"?ACTIVATED",IF(J1331&lt;&gt;"","?FAMILIAR",IF(F1331="NEW",IF(ISNA(VLOOKUP(E1331,#REF!,1,FALSE())),"?TYPE_IDENTIFIABLE","?REFERENTIAL"),"_")))))</f>
        <v> </v>
      </c>
      <c r="H1331" s="24" t="str">
        <f>IF(J1331&lt;&gt;1,"",IF(I1331="SBJ","CB","?"))</f>
        <v> </v>
      </c>
      <c r="I1331" s="25" t="str">
        <f>IF(OR(E1331="",E1331="!!!",F1331="NEW"),"",INDEX(B1330:B$2,-1+SUMPRODUCT(MAX(ROW(E1330:E$2)*(E1331=E1330:E$2)))))</f>
        <v> </v>
      </c>
      <c r="J1331" s="25" t="str">
        <f>IF(OR(E1331="",E1331="!!!",F1331="NEW"),"",COUNTBLANK(OFFSET(A$1,,,SUMPRODUCT(MAX(ROW(E$2:E1331)*(E1331=E$2:E1331)))))-COUNTBLANK(OFFSET(A$1,,,SUMPRODUCT(MAX(ROW(E$1:E1330)*(E2=E$1:E1330))))))</f>
        <v> </v>
      </c>
      <c r="K1331" s="25" t="str">
        <f>IF(OR(E1331="",E1331="!!!",F1331="NEW"),"",INDEX(J$1:J1330,SUMPRODUCT(MAX(ROW(E$1:E1330)*(E1331=E$1:E1330)))))</f>
        <v> </v>
      </c>
      <c r="L1331" s="26"/>
    </row>
    <row r="1332" spans="1:12">
      <c r="A1332" s="20" t="s">
        <v>305</v>
      </c>
      <c r="E1332" s="21">
        <f>IF(D1332="?OLD","!!!","")</f>
        <v/>
      </c>
      <c r="F1332" s="22" t="str">
        <f>IF(OR(E1332="",E1332="!!!"),"",IF(NOT(ISNA(VLOOKUP(E1332,E$1:E1331,1,FALSE()))),"OLD",IF(AND(E1332&lt;&gt;"",E1332&lt;&gt;"!!!"),"NEW","")))</f>
        <v> </v>
      </c>
      <c r="G1332" s="23" t="str">
        <f>IF(OR(E1332="",E1332="!!!"),"",IF(OR(J1332=0,AND(J1332=1,K1332=1),AND(J1332=1,I1332="SBJ"),AND(J1332=1,I1332=0)),"?IN_FOCUS",IF(J1332&lt;=2,"?ACTIVATED",IF(J1332&lt;&gt;"","?FAMILIAR",IF(F1332="NEW",IF(ISNA(VLOOKUP(E1332,#REF!,1,FALSE())),"?TYPE_IDENTIFIABLE","?REFERENTIAL"),"_")))))</f>
        <v> </v>
      </c>
      <c r="H1332" s="24" t="str">
        <f>IF(J1332&lt;&gt;1,"",IF(I1332="SBJ","CB","?"))</f>
        <v> </v>
      </c>
      <c r="I1332" s="25" t="str">
        <f>IF(OR(E1332="",E1332="!!!",F1332="NEW"),"",INDEX(B1331:B$2,-1+SUMPRODUCT(MAX(ROW(E1331:E$2)*(E1332=E1331:E$2)))))</f>
        <v> </v>
      </c>
      <c r="J1332" s="25" t="str">
        <f>IF(OR(E1332="",E1332="!!!",F1332="NEW"),"",COUNTBLANK(OFFSET(A$1,,,SUMPRODUCT(MAX(ROW(E$2:E1332)*(E1332=E$2:E1332)))))-COUNTBLANK(OFFSET(A$1,,,SUMPRODUCT(MAX(ROW(E$1:E1331)*(E2=E$1:E1331))))))</f>
        <v> </v>
      </c>
      <c r="K1332" s="25" t="str">
        <f>IF(OR(E1332="",E1332="!!!",F1332="NEW"),"",INDEX(J$1:J1331,SUMPRODUCT(MAX(ROW(E$1:E1331)*(E1332=E$1:E1331)))))</f>
        <v> </v>
      </c>
      <c r="L1332" s="26"/>
    </row>
    <row r="1333" spans="1:12">
      <c r="A1333" s="20" t="s">
        <v>248</v>
      </c>
      <c r="E1333" s="21">
        <f>IF(D1333="?OLD","!!!","")</f>
        <v/>
      </c>
      <c r="F1333" s="22" t="str">
        <f>IF(OR(E1333="",E1333="!!!"),"",IF(NOT(ISNA(VLOOKUP(E1333,E$1:E1332,1,FALSE()))),"OLD",IF(AND(E1333&lt;&gt;"",E1333&lt;&gt;"!!!"),"NEW","")))</f>
        <v> </v>
      </c>
      <c r="G1333" s="23" t="str">
        <f>IF(OR(E1333="",E1333="!!!"),"",IF(OR(J1333=0,AND(J1333=1,K1333=1),AND(J1333=1,I1333="SBJ"),AND(J1333=1,I1333=0)),"?IN_FOCUS",IF(J1333&lt;=2,"?ACTIVATED",IF(J1333&lt;&gt;"","?FAMILIAR",IF(F1333="NEW",IF(ISNA(VLOOKUP(E1333,#REF!,1,FALSE())),"?TYPE_IDENTIFIABLE","?REFERENTIAL"),"_")))))</f>
        <v> </v>
      </c>
      <c r="H1333" s="24" t="str">
        <f>IF(J1333&lt;&gt;1,"",IF(I1333="SBJ","CB","?"))</f>
        <v> </v>
      </c>
      <c r="I1333" s="25" t="str">
        <f>IF(OR(E1333="",E1333="!!!",F1333="NEW"),"",INDEX(B1332:B$2,-1+SUMPRODUCT(MAX(ROW(E1332:E$2)*(E1333=E1332:E$2)))))</f>
        <v> </v>
      </c>
      <c r="J1333" s="25" t="str">
        <f>IF(OR(E1333="",E1333="!!!",F1333="NEW"),"",COUNTBLANK(OFFSET(A$1,,,SUMPRODUCT(MAX(ROW(E$2:E1333)*(E1333=E$2:E1333)))))-COUNTBLANK(OFFSET(A$1,,,SUMPRODUCT(MAX(ROW(E$1:E1332)*(E2=E$1:E1332))))))</f>
        <v> </v>
      </c>
      <c r="K1333" s="25" t="str">
        <f>IF(OR(E1333="",E1333="!!!",F1333="NEW"),"",INDEX(J$1:J1332,SUMPRODUCT(MAX(ROW(E$1:E1332)*(E1333=E$1:E1332)))))</f>
        <v> </v>
      </c>
      <c r="L1333" s="26"/>
    </row>
    <row r="1334" spans="1:12">
      <c r="A1334" s="20" t="s">
        <v>551</v>
      </c>
      <c r="E1334" s="21">
        <f>IF(D1334="?OLD","!!!","")</f>
        <v/>
      </c>
      <c r="F1334" s="22" t="str">
        <f>IF(OR(E1334="",E1334="!!!"),"",IF(NOT(ISNA(VLOOKUP(E1334,E$1:E1333,1,FALSE()))),"OLD",IF(AND(E1334&lt;&gt;"",E1334&lt;&gt;"!!!"),"NEW","")))</f>
        <v> </v>
      </c>
      <c r="G1334" s="23" t="str">
        <f>IF(OR(E1334="",E1334="!!!"),"",IF(OR(J1334=0,AND(J1334=1,K1334=1),AND(J1334=1,I1334="SBJ"),AND(J1334=1,I1334=0)),"?IN_FOCUS",IF(J1334&lt;=2,"?ACTIVATED",IF(J1334&lt;&gt;"","?FAMILIAR",IF(F1334="NEW",IF(ISNA(VLOOKUP(E1334,#REF!,1,FALSE())),"?TYPE_IDENTIFIABLE","?REFERENTIAL"),"_")))))</f>
        <v> </v>
      </c>
      <c r="H1334" s="24" t="str">
        <f>IF(J1334&lt;&gt;1,"",IF(I1334="SBJ","CB","?"))</f>
        <v> </v>
      </c>
      <c r="I1334" s="25" t="str">
        <f>IF(OR(E1334="",E1334="!!!",F1334="NEW"),"",INDEX(B1333:B$2,-1+SUMPRODUCT(MAX(ROW(E1333:E$2)*(E1334=E1333:E$2)))))</f>
        <v> </v>
      </c>
      <c r="J1334" s="25" t="str">
        <f>IF(OR(E1334="",E1334="!!!",F1334="NEW"),"",COUNTBLANK(OFFSET(A$1,,,SUMPRODUCT(MAX(ROW(E$2:E1334)*(E1334=E$2:E1334)))))-COUNTBLANK(OFFSET(A$1,,,SUMPRODUCT(MAX(ROW(E$1:E1333)*(E2=E$1:E1333))))))</f>
        <v> </v>
      </c>
      <c r="K1334" s="25" t="str">
        <f>IF(OR(E1334="",E1334="!!!",F1334="NEW"),"",INDEX(J$1:J1333,SUMPRODUCT(MAX(ROW(E$1:E1333)*(E1334=E$1:E1333)))))</f>
        <v> </v>
      </c>
      <c r="L1334" s="26"/>
    </row>
    <row r="1335" spans="1:12">
      <c r="A1335" s="20" t="s">
        <v>793</v>
      </c>
      <c r="E1335" s="21">
        <f>IF(D1335="?OLD","!!!","")</f>
        <v/>
      </c>
      <c r="F1335" s="22" t="str">
        <f>IF(OR(E1335="",E1335="!!!"),"",IF(NOT(ISNA(VLOOKUP(E1335,E$1:E1334,1,FALSE()))),"OLD",IF(AND(E1335&lt;&gt;"",E1335&lt;&gt;"!!!"),"NEW","")))</f>
        <v> </v>
      </c>
      <c r="G1335" s="23" t="str">
        <f>IF(OR(E1335="",E1335="!!!"),"",IF(OR(J1335=0,AND(J1335=1,K1335=1),AND(J1335=1,I1335="SBJ"),AND(J1335=1,I1335=0)),"?IN_FOCUS",IF(J1335&lt;=2,"?ACTIVATED",IF(J1335&lt;&gt;"","?FAMILIAR",IF(F1335="NEW",IF(ISNA(VLOOKUP(E1335,#REF!,1,FALSE())),"?TYPE_IDENTIFIABLE","?REFERENTIAL"),"_")))))</f>
        <v> </v>
      </c>
      <c r="H1335" s="24" t="str">
        <f>IF(J1335&lt;&gt;1,"",IF(I1335="SBJ","CB","?"))</f>
        <v> </v>
      </c>
      <c r="I1335" s="25" t="str">
        <f>IF(OR(E1335="",E1335="!!!",F1335="NEW"),"",INDEX(B1334:B$2,-1+SUMPRODUCT(MAX(ROW(E1334:E$2)*(E1335=E1334:E$2)))))</f>
        <v> </v>
      </c>
      <c r="J1335" s="25" t="str">
        <f>IF(OR(E1335="",E1335="!!!",F1335="NEW"),"",COUNTBLANK(OFFSET(A$1,,,SUMPRODUCT(MAX(ROW(E$2:E1335)*(E1335=E$2:E1335)))))-COUNTBLANK(OFFSET(A$1,,,SUMPRODUCT(MAX(ROW(E$1:E1334)*(E2=E$1:E1334))))))</f>
        <v> </v>
      </c>
      <c r="K1335" s="25" t="str">
        <f>IF(OR(E1335="",E1335="!!!",F1335="NEW"),"",INDEX(J$1:J1334,SUMPRODUCT(MAX(ROW(E$1:E1334)*(E1335=E$1:E1334)))))</f>
        <v> </v>
      </c>
      <c r="L1335" s="26"/>
    </row>
    <row r="1336" spans="1:12">
      <c r="A1336" s="20" t="s">
        <v>393</v>
      </c>
      <c r="B1336" s="27" t="s">
        <v>295</v>
      </c>
      <c r="C1336" s="27" t="s">
        <v>256</v>
      </c>
      <c r="D1336" s="27" t="s">
        <v>244</v>
      </c>
      <c r="E1336" s="21">
        <f>IF(D1336="?OLD","!!!","")</f>
        <v/>
      </c>
      <c r="F1336" s="22" t="str">
        <f>IF(OR(E1336="",E1336="!!!"),"",IF(NOT(ISNA(VLOOKUP(E1336,E$1:E1335,1,FALSE()))),"OLD",IF(AND(E1336&lt;&gt;"",E1336&lt;&gt;"!!!"),"NEW","")))</f>
        <v> </v>
      </c>
      <c r="G1336" s="23" t="str">
        <f>IF(OR(E1336="",E1336="!!!"),"",IF(OR(J1336=0,AND(J1336=1,K1336=1),AND(J1336=1,I1336="SBJ"),AND(J1336=1,I1336=0)),"?IN_FOCUS",IF(J1336&lt;=2,"?ACTIVATED",IF(J1336&lt;&gt;"","?FAMILIAR",IF(F1336="NEW",IF(ISNA(VLOOKUP(E1336,#REF!,1,FALSE())),"?TYPE_IDENTIFIABLE","?REFERENTIAL"),"_")))))</f>
        <v> </v>
      </c>
      <c r="H1336" s="24" t="str">
        <f>IF(J1336&lt;&gt;1,"",IF(I1336="SBJ","CB","?"))</f>
        <v> </v>
      </c>
      <c r="I1336" s="25" t="str">
        <f>IF(OR(E1336="",E1336="!!!",F1336="NEW"),"",INDEX(B1335:B$2,-1+SUMPRODUCT(MAX(ROW(E1335:E$2)*(E1336=E1335:E$2)))))</f>
        <v> </v>
      </c>
      <c r="J1336" s="25" t="str">
        <f>IF(OR(E1336="",E1336="!!!",F1336="NEW"),"",COUNTBLANK(OFFSET(A$1,,,SUMPRODUCT(MAX(ROW(E$2:E1336)*(E1336=E$2:E1336)))))-COUNTBLANK(OFFSET(A$1,,,SUMPRODUCT(MAX(ROW(E$1:E1335)*(E2=E$1:E1335))))))</f>
        <v> </v>
      </c>
      <c r="K1336" s="25" t="str">
        <f>IF(OR(E1336="",E1336="!!!",F1336="NEW"),"",INDEX(J$1:J1335,SUMPRODUCT(MAX(ROW(E$1:E1335)*(E1336=E$1:E1335)))))</f>
        <v> </v>
      </c>
      <c r="L1336" s="26"/>
    </row>
    <row r="1337" spans="1:12">
      <c r="A1337" s="20" t="s">
        <v>344</v>
      </c>
      <c r="E1337" s="21">
        <f>IF(D1337="?OLD","!!!","")</f>
        <v/>
      </c>
      <c r="F1337" s="22" t="str">
        <f>IF(OR(E1337="",E1337="!!!"),"",IF(NOT(ISNA(VLOOKUP(E1337,E$1:E1336,1,FALSE()))),"OLD",IF(AND(E1337&lt;&gt;"",E1337&lt;&gt;"!!!"),"NEW","")))</f>
        <v> </v>
      </c>
      <c r="G1337" s="23" t="str">
        <f>IF(OR(E1337="",E1337="!!!"),"",IF(OR(J1337=0,AND(J1337=1,K1337=1),AND(J1337=1,I1337="SBJ"),AND(J1337=1,I1337=0)),"?IN_FOCUS",IF(J1337&lt;=2,"?ACTIVATED",IF(J1337&lt;&gt;"","?FAMILIAR",IF(F1337="NEW",IF(ISNA(VLOOKUP(E1337,#REF!,1,FALSE())),"?TYPE_IDENTIFIABLE","?REFERENTIAL"),"_")))))</f>
        <v> </v>
      </c>
      <c r="H1337" s="24" t="str">
        <f>IF(J1337&lt;&gt;1,"",IF(I1337="SBJ","CB","?"))</f>
        <v> </v>
      </c>
      <c r="I1337" s="25" t="str">
        <f>IF(OR(E1337="",E1337="!!!",F1337="NEW"),"",INDEX(B1336:B$2,-1+SUMPRODUCT(MAX(ROW(E1336:E$2)*(E1337=E1336:E$2)))))</f>
        <v> </v>
      </c>
      <c r="J1337" s="25" t="str">
        <f>IF(OR(E1337="",E1337="!!!",F1337="NEW"),"",COUNTBLANK(OFFSET(A$1,,,SUMPRODUCT(MAX(ROW(E$2:E1337)*(E1337=E$2:E1337)))))-COUNTBLANK(OFFSET(A$1,,,SUMPRODUCT(MAX(ROW(E$1:E1336)*(E2=E$1:E1336))))))</f>
        <v> </v>
      </c>
      <c r="K1337" s="25" t="str">
        <f>IF(OR(E1337="",E1337="!!!",F1337="NEW"),"",INDEX(J$1:J1336,SUMPRODUCT(MAX(ROW(E$1:E1336)*(E1337=E$1:E1336)))))</f>
        <v> </v>
      </c>
      <c r="L1337" s="26"/>
    </row>
    <row r="1338" spans="1:12">
      <c r="A1338" s="20" t="s">
        <v>447</v>
      </c>
      <c r="E1338" s="21">
        <f>IF(D1338="?OLD","!!!","")</f>
        <v/>
      </c>
      <c r="F1338" s="22" t="str">
        <f>IF(OR(E1338="",E1338="!!!"),"",IF(NOT(ISNA(VLOOKUP(E1338,E$1:E1337,1,FALSE()))),"OLD",IF(AND(E1338&lt;&gt;"",E1338&lt;&gt;"!!!"),"NEW","")))</f>
        <v> </v>
      </c>
      <c r="G1338" s="23" t="str">
        <f>IF(OR(E1338="",E1338="!!!"),"",IF(OR(J1338=0,AND(J1338=1,K1338=1),AND(J1338=1,I1338="SBJ"),AND(J1338=1,I1338=0)),"?IN_FOCUS",IF(J1338&lt;=2,"?ACTIVATED",IF(J1338&lt;&gt;"","?FAMILIAR",IF(F1338="NEW",IF(ISNA(VLOOKUP(E1338,#REF!,1,FALSE())),"?TYPE_IDENTIFIABLE","?REFERENTIAL"),"_")))))</f>
        <v> </v>
      </c>
      <c r="H1338" s="24" t="str">
        <f>IF(J1338&lt;&gt;1,"",IF(I1338="SBJ","CB","?"))</f>
        <v> </v>
      </c>
      <c r="I1338" s="25" t="str">
        <f>IF(OR(E1338="",E1338="!!!",F1338="NEW"),"",INDEX(B1337:B$2,-1+SUMPRODUCT(MAX(ROW(E1337:E$2)*(E1338=E1337:E$2)))))</f>
        <v> </v>
      </c>
      <c r="J1338" s="25" t="str">
        <f>IF(OR(E1338="",E1338="!!!",F1338="NEW"),"",COUNTBLANK(OFFSET(A$1,,,SUMPRODUCT(MAX(ROW(E$2:E1338)*(E1338=E$2:E1338)))))-COUNTBLANK(OFFSET(A$1,,,SUMPRODUCT(MAX(ROW(E$1:E1337)*(E2=E$1:E1337))))))</f>
        <v> </v>
      </c>
      <c r="K1338" s="25" t="str">
        <f>IF(OR(E1338="",E1338="!!!",F1338="NEW"),"",INDEX(J$1:J1337,SUMPRODUCT(MAX(ROW(E$1:E1337)*(E1338=E$1:E1337)))))</f>
        <v> </v>
      </c>
      <c r="L1338" s="26"/>
    </row>
    <row r="1339" spans="1:12">
      <c r="A1339" s="20" t="s">
        <v>260</v>
      </c>
      <c r="E1339" s="21">
        <f>IF(D1339="?OLD","!!!","")</f>
        <v/>
      </c>
      <c r="F1339" s="22" t="str">
        <f>IF(OR(E1339="",E1339="!!!"),"",IF(NOT(ISNA(VLOOKUP(E1339,E$1:E1338,1,FALSE()))),"OLD",IF(AND(E1339&lt;&gt;"",E1339&lt;&gt;"!!!"),"NEW","")))</f>
        <v> </v>
      </c>
      <c r="G1339" s="23" t="str">
        <f>IF(OR(E1339="",E1339="!!!"),"",IF(OR(J1339=0,AND(J1339=1,K1339=1),AND(J1339=1,I1339="SBJ"),AND(J1339=1,I1339=0)),"?IN_FOCUS",IF(J1339&lt;=2,"?ACTIVATED",IF(J1339&lt;&gt;"","?FAMILIAR",IF(F1339="NEW",IF(ISNA(VLOOKUP(E1339,#REF!,1,FALSE())),"?TYPE_IDENTIFIABLE","?REFERENTIAL"),"_")))))</f>
        <v> </v>
      </c>
      <c r="H1339" s="24" t="str">
        <f>IF(J1339&lt;&gt;1,"",IF(I1339="SBJ","CB","?"))</f>
        <v> </v>
      </c>
      <c r="I1339" s="25" t="str">
        <f>IF(OR(E1339="",E1339="!!!",F1339="NEW"),"",INDEX(B1338:B$2,-1+SUMPRODUCT(MAX(ROW(E1338:E$2)*(E1339=E1338:E$2)))))</f>
        <v> </v>
      </c>
      <c r="J1339" s="25" t="str">
        <f>IF(OR(E1339="",E1339="!!!",F1339="NEW"),"",COUNTBLANK(OFFSET(A$1,,,SUMPRODUCT(MAX(ROW(E$2:E1339)*(E1339=E$2:E1339)))))-COUNTBLANK(OFFSET(A$1,,,SUMPRODUCT(MAX(ROW(E$1:E1338)*(E2=E$1:E1338))))))</f>
        <v> </v>
      </c>
      <c r="K1339" s="25" t="str">
        <f>IF(OR(E1339="",E1339="!!!",F1339="NEW"),"",INDEX(J$1:J1338,SUMPRODUCT(MAX(ROW(E$1:E1338)*(E1339=E$1:E1338)))))</f>
        <v> </v>
      </c>
      <c r="L1339" s="26"/>
    </row>
    <row r="1340" spans="1:12">
      <c r="A1340" s="20" t="s">
        <v>393</v>
      </c>
      <c r="B1340" s="27" t="s">
        <v>266</v>
      </c>
      <c r="C1340" s="27" t="s">
        <v>256</v>
      </c>
      <c r="D1340" s="27" t="s">
        <v>244</v>
      </c>
      <c r="E1340" s="21">
        <f>IF(D1340="?OLD","!!!","")</f>
        <v/>
      </c>
      <c r="F1340" s="22" t="str">
        <f>IF(OR(E1340="",E1340="!!!"),"",IF(NOT(ISNA(VLOOKUP(E1340,E$1:E1339,1,FALSE()))),"OLD",IF(AND(E1340&lt;&gt;"",E1340&lt;&gt;"!!!"),"NEW","")))</f>
        <v> </v>
      </c>
      <c r="G1340" s="23" t="str">
        <f>IF(OR(E1340="",E1340="!!!"),"",IF(OR(J1340=0,AND(J1340=1,K1340=1),AND(J1340=1,I1340="SBJ"),AND(J1340=1,I1340=0)),"?IN_FOCUS",IF(J1340&lt;=2,"?ACTIVATED",IF(J1340&lt;&gt;"","?FAMILIAR",IF(F1340="NEW",IF(ISNA(VLOOKUP(E1340,#REF!,1,FALSE())),"?TYPE_IDENTIFIABLE","?REFERENTIAL"),"_")))))</f>
        <v> </v>
      </c>
      <c r="H1340" s="24" t="str">
        <f>IF(J1340&lt;&gt;1,"",IF(I1340="SBJ","CB","?"))</f>
        <v> </v>
      </c>
      <c r="I1340" s="25" t="str">
        <f>IF(OR(E1340="",E1340="!!!",F1340="NEW"),"",INDEX(B1339:B$2,-1+SUMPRODUCT(MAX(ROW(E1339:E$2)*(E1340=E1339:E$2)))))</f>
        <v> </v>
      </c>
      <c r="J1340" s="25" t="str">
        <f>IF(OR(E1340="",E1340="!!!",F1340="NEW"),"",COUNTBLANK(OFFSET(A$1,,,SUMPRODUCT(MAX(ROW(E$2:E1340)*(E1340=E$2:E1340)))))-COUNTBLANK(OFFSET(A$1,,,SUMPRODUCT(MAX(ROW(E$1:E1339)*(E2=E$1:E1339))))))</f>
        <v> </v>
      </c>
      <c r="K1340" s="25" t="str">
        <f>IF(OR(E1340="",E1340="!!!",F1340="NEW"),"",INDEX(J$1:J1339,SUMPRODUCT(MAX(ROW(E$1:E1339)*(E1340=E$1:E1339)))))</f>
        <v> </v>
      </c>
      <c r="L1340" s="26"/>
    </row>
    <row r="1341" spans="1:12">
      <c r="A1341" s="20" t="s">
        <v>614</v>
      </c>
      <c r="E1341" s="21">
        <f>IF(D1341="?OLD","!!!","")</f>
        <v/>
      </c>
      <c r="F1341" s="22" t="str">
        <f>IF(OR(E1341="",E1341="!!!"),"",IF(NOT(ISNA(VLOOKUP(E1341,E$1:E1340,1,FALSE()))),"OLD",IF(AND(E1341&lt;&gt;"",E1341&lt;&gt;"!!!"),"NEW","")))</f>
        <v> </v>
      </c>
      <c r="G1341" s="23" t="str">
        <f>IF(OR(E1341="",E1341="!!!"),"",IF(OR(J1341=0,AND(J1341=1,K1341=1),AND(J1341=1,I1341="SBJ"),AND(J1341=1,I1341=0)),"?IN_FOCUS",IF(J1341&lt;=2,"?ACTIVATED",IF(J1341&lt;&gt;"","?FAMILIAR",IF(F1341="NEW",IF(ISNA(VLOOKUP(E1341,#REF!,1,FALSE())),"?TYPE_IDENTIFIABLE","?REFERENTIAL"),"_")))))</f>
        <v> </v>
      </c>
      <c r="H1341" s="24" t="str">
        <f>IF(J1341&lt;&gt;1,"",IF(I1341="SBJ","CB","?"))</f>
        <v> </v>
      </c>
      <c r="I1341" s="25" t="str">
        <f>IF(OR(E1341="",E1341="!!!",F1341="NEW"),"",INDEX(B1340:B$2,-1+SUMPRODUCT(MAX(ROW(E1340:E$2)*(E1341=E1340:E$2)))))</f>
        <v> </v>
      </c>
      <c r="J1341" s="25" t="str">
        <f>IF(OR(E1341="",E1341="!!!",F1341="NEW"),"",COUNTBLANK(OFFSET(A$1,,,SUMPRODUCT(MAX(ROW(E$2:E1341)*(E1341=E$2:E1341)))))-COUNTBLANK(OFFSET(A$1,,,SUMPRODUCT(MAX(ROW(E$1:E1340)*(E2=E$1:E1340))))))</f>
        <v> </v>
      </c>
      <c r="K1341" s="25" t="str">
        <f>IF(OR(E1341="",E1341="!!!",F1341="NEW"),"",INDEX(J$1:J1340,SUMPRODUCT(MAX(ROW(E$1:E1340)*(E1341=E$1:E1340)))))</f>
        <v> </v>
      </c>
      <c r="L1341" s="26"/>
    </row>
    <row r="1342" spans="1:12">
      <c r="A1342" s="20" t="s">
        <v>339</v>
      </c>
      <c r="E1342" s="21">
        <f>IF(D1342="?OLD","!!!","")</f>
        <v/>
      </c>
      <c r="F1342" s="22" t="str">
        <f>IF(OR(E1342="",E1342="!!!"),"",IF(NOT(ISNA(VLOOKUP(E1342,E$1:E1341,1,FALSE()))),"OLD",IF(AND(E1342&lt;&gt;"",E1342&lt;&gt;"!!!"),"NEW","")))</f>
        <v> </v>
      </c>
      <c r="G1342" s="23" t="str">
        <f>IF(OR(E1342="",E1342="!!!"),"",IF(OR(J1342=0,AND(J1342=1,K1342=1),AND(J1342=1,I1342="SBJ"),AND(J1342=1,I1342=0)),"?IN_FOCUS",IF(J1342&lt;=2,"?ACTIVATED",IF(J1342&lt;&gt;"","?FAMILIAR",IF(F1342="NEW",IF(ISNA(VLOOKUP(E1342,#REF!,1,FALSE())),"?TYPE_IDENTIFIABLE","?REFERENTIAL"),"_")))))</f>
        <v> </v>
      </c>
      <c r="H1342" s="24" t="str">
        <f>IF(J1342&lt;&gt;1,"",IF(I1342="SBJ","CB","?"))</f>
        <v> </v>
      </c>
      <c r="I1342" s="25" t="str">
        <f>IF(OR(E1342="",E1342="!!!",F1342="NEW"),"",INDEX(B1341:B$2,-1+SUMPRODUCT(MAX(ROW(E1341:E$2)*(E1342=E1341:E$2)))))</f>
        <v> </v>
      </c>
      <c r="J1342" s="25" t="str">
        <f>IF(OR(E1342="",E1342="!!!",F1342="NEW"),"",COUNTBLANK(OFFSET(A$1,,,SUMPRODUCT(MAX(ROW(E$2:E1342)*(E1342=E$2:E1342)))))-COUNTBLANK(OFFSET(A$1,,,SUMPRODUCT(MAX(ROW(E$1:E1341)*(E2=E$1:E1341))))))</f>
        <v> </v>
      </c>
      <c r="K1342" s="25" t="str">
        <f>IF(OR(E1342="",E1342="!!!",F1342="NEW"),"",INDEX(J$1:J1341,SUMPRODUCT(MAX(ROW(E$1:E1341)*(E1342=E$1:E1341)))))</f>
        <v> </v>
      </c>
      <c r="L1342" s="26"/>
    </row>
    <row r="1343" spans="1:12">
      <c r="A1343" s="20" t="s">
        <v>340</v>
      </c>
      <c r="E1343" s="21">
        <f>IF(D1343="?OLD","!!!","")</f>
        <v/>
      </c>
      <c r="F1343" s="22" t="str">
        <f>IF(OR(E1343="",E1343="!!!"),"",IF(NOT(ISNA(VLOOKUP(E1343,E$1:E1342,1,FALSE()))),"OLD",IF(AND(E1343&lt;&gt;"",E1343&lt;&gt;"!!!"),"NEW","")))</f>
        <v> </v>
      </c>
      <c r="G1343" s="23" t="str">
        <f>IF(OR(E1343="",E1343="!!!"),"",IF(OR(J1343=0,AND(J1343=1,K1343=1),AND(J1343=1,I1343="SBJ"),AND(J1343=1,I1343=0)),"?IN_FOCUS",IF(J1343&lt;=2,"?ACTIVATED",IF(J1343&lt;&gt;"","?FAMILIAR",IF(F1343="NEW",IF(ISNA(VLOOKUP(E1343,#REF!,1,FALSE())),"?TYPE_IDENTIFIABLE","?REFERENTIAL"),"_")))))</f>
        <v> </v>
      </c>
      <c r="H1343" s="24" t="str">
        <f>IF(J1343&lt;&gt;1,"",IF(I1343="SBJ","CB","?"))</f>
        <v> </v>
      </c>
      <c r="I1343" s="25" t="str">
        <f>IF(OR(E1343="",E1343="!!!",F1343="NEW"),"",INDEX(B1342:B$2,-1+SUMPRODUCT(MAX(ROW(E1342:E$2)*(E1343=E1342:E$2)))))</f>
        <v> </v>
      </c>
      <c r="J1343" s="25" t="str">
        <f>IF(OR(E1343="",E1343="!!!",F1343="NEW"),"",COUNTBLANK(OFFSET(A$1,,,SUMPRODUCT(MAX(ROW(E$2:E1343)*(E1343=E$2:E1343)))))-COUNTBLANK(OFFSET(A$1,,,SUMPRODUCT(MAX(ROW(E$1:E1342)*(E2=E$1:E1342))))))</f>
        <v> </v>
      </c>
      <c r="K1343" s="25" t="str">
        <f>IF(OR(E1343="",E1343="!!!",F1343="NEW"),"",INDEX(J$1:J1342,SUMPRODUCT(MAX(ROW(E$1:E1342)*(E1343=E$1:E1342)))))</f>
        <v> </v>
      </c>
      <c r="L1343" s="26"/>
    </row>
    <row r="1344" spans="1:12">
      <c r="A1344" s="20" t="s">
        <v>299</v>
      </c>
      <c r="E1344" s="21">
        <f>IF(D1344="?OLD","!!!","")</f>
        <v/>
      </c>
      <c r="F1344" s="22" t="str">
        <f>IF(OR(E1344="",E1344="!!!"),"",IF(NOT(ISNA(VLOOKUP(E1344,E$1:E1343,1,FALSE()))),"OLD",IF(AND(E1344&lt;&gt;"",E1344&lt;&gt;"!!!"),"NEW","")))</f>
        <v> </v>
      </c>
      <c r="G1344" s="23" t="str">
        <f>IF(OR(E1344="",E1344="!!!"),"",IF(OR(J1344=0,AND(J1344=1,K1344=1),AND(J1344=1,I1344="SBJ"),AND(J1344=1,I1344=0)),"?IN_FOCUS",IF(J1344&lt;=2,"?ACTIVATED",IF(J1344&lt;&gt;"","?FAMILIAR",IF(F1344="NEW",IF(ISNA(VLOOKUP(E1344,#REF!,1,FALSE())),"?TYPE_IDENTIFIABLE","?REFERENTIAL"),"_")))))</f>
        <v> </v>
      </c>
      <c r="H1344" s="24" t="str">
        <f>IF(J1344&lt;&gt;1,"",IF(I1344="SBJ","CB","?"))</f>
        <v> </v>
      </c>
      <c r="I1344" s="25" t="str">
        <f>IF(OR(E1344="",E1344="!!!",F1344="NEW"),"",INDEX(B1343:B$2,-1+SUMPRODUCT(MAX(ROW(E1343:E$2)*(E1344=E1343:E$2)))))</f>
        <v> </v>
      </c>
      <c r="J1344" s="25" t="str">
        <f>IF(OR(E1344="",E1344="!!!",F1344="NEW"),"",COUNTBLANK(OFFSET(A$1,,,SUMPRODUCT(MAX(ROW(E$2:E1344)*(E1344=E$2:E1344)))))-COUNTBLANK(OFFSET(A$1,,,SUMPRODUCT(MAX(ROW(E$1:E1343)*(E2=E$1:E1343))))))</f>
        <v> </v>
      </c>
      <c r="K1344" s="25" t="str">
        <f>IF(OR(E1344="",E1344="!!!",F1344="NEW"),"",INDEX(J$1:J1343,SUMPRODUCT(MAX(ROW(E$1:E1343)*(E1344=E$1:E1343)))))</f>
        <v> </v>
      </c>
      <c r="L1344" s="26"/>
    </row>
    <row r="1345" spans="1:12">
      <c r="A1345" s="20" t="s">
        <v>260</v>
      </c>
      <c r="E1345" s="21">
        <f>IF(D1345="?OLD","!!!","")</f>
        <v/>
      </c>
      <c r="F1345" s="22" t="str">
        <f>IF(OR(E1345="",E1345="!!!"),"",IF(NOT(ISNA(VLOOKUP(E1345,E$1:E1344,1,FALSE()))),"OLD",IF(AND(E1345&lt;&gt;"",E1345&lt;&gt;"!!!"),"NEW","")))</f>
        <v> </v>
      </c>
      <c r="G1345" s="23" t="str">
        <f>IF(OR(E1345="",E1345="!!!"),"",IF(OR(J1345=0,AND(J1345=1,K1345=1),AND(J1345=1,I1345="SBJ"),AND(J1345=1,I1345=0)),"?IN_FOCUS",IF(J1345&lt;=2,"?ACTIVATED",IF(J1345&lt;&gt;"","?FAMILIAR",IF(F1345="NEW",IF(ISNA(VLOOKUP(E1345,#REF!,1,FALSE())),"?TYPE_IDENTIFIABLE","?REFERENTIAL"),"_")))))</f>
        <v> </v>
      </c>
      <c r="H1345" s="24" t="str">
        <f>IF(J1345&lt;&gt;1,"",IF(I1345="SBJ","CB","?"))</f>
        <v> </v>
      </c>
      <c r="I1345" s="25" t="str">
        <f>IF(OR(E1345="",E1345="!!!",F1345="NEW"),"",INDEX(B1344:B$2,-1+SUMPRODUCT(MAX(ROW(E1344:E$2)*(E1345=E1344:E$2)))))</f>
        <v> </v>
      </c>
      <c r="J1345" s="25" t="str">
        <f>IF(OR(E1345="",E1345="!!!",F1345="NEW"),"",COUNTBLANK(OFFSET(A$1,,,SUMPRODUCT(MAX(ROW(E$2:E1345)*(E1345=E$2:E1345)))))-COUNTBLANK(OFFSET(A$1,,,SUMPRODUCT(MAX(ROW(E$1:E1344)*(E2=E$1:E1344))))))</f>
        <v> </v>
      </c>
      <c r="K1345" s="25" t="str">
        <f>IF(OR(E1345="",E1345="!!!",F1345="NEW"),"",INDEX(J$1:J1344,SUMPRODUCT(MAX(ROW(E$1:E1344)*(E1345=E$1:E1344)))))</f>
        <v> </v>
      </c>
      <c r="L1345" s="26"/>
    </row>
    <row r="1346" spans="1:12">
      <c r="A1346" s="20" t="s">
        <v>393</v>
      </c>
      <c r="B1346" s="27" t="s">
        <v>329</v>
      </c>
      <c r="C1346" s="27" t="s">
        <v>256</v>
      </c>
      <c r="D1346" s="27" t="s">
        <v>244</v>
      </c>
      <c r="E1346" s="21">
        <f>IF(D1346="?OLD","!!!","")</f>
        <v/>
      </c>
      <c r="F1346" s="22" t="str">
        <f>IF(OR(E1346="",E1346="!!!"),"",IF(NOT(ISNA(VLOOKUP(E1346,E$1:E1345,1,FALSE()))),"OLD",IF(AND(E1346&lt;&gt;"",E1346&lt;&gt;"!!!"),"NEW","")))</f>
        <v> </v>
      </c>
      <c r="G1346" s="23" t="str">
        <f>IF(OR(E1346="",E1346="!!!"),"",IF(OR(J1346=0,AND(J1346=1,K1346=1),AND(J1346=1,I1346="SBJ"),AND(J1346=1,I1346=0)),"?IN_FOCUS",IF(J1346&lt;=2,"?ACTIVATED",IF(J1346&lt;&gt;"","?FAMILIAR",IF(F1346="NEW",IF(ISNA(VLOOKUP(E1346,#REF!,1,FALSE())),"?TYPE_IDENTIFIABLE","?REFERENTIAL"),"_")))))</f>
        <v> </v>
      </c>
      <c r="H1346" s="24" t="str">
        <f>IF(J1346&lt;&gt;1,"",IF(I1346="SBJ","CB","?"))</f>
        <v> </v>
      </c>
      <c r="I1346" s="25" t="str">
        <f>IF(OR(E1346="",E1346="!!!",F1346="NEW"),"",INDEX(B1345:B$2,-1+SUMPRODUCT(MAX(ROW(E1345:E$2)*(E1346=E1345:E$2)))))</f>
        <v> </v>
      </c>
      <c r="J1346" s="25" t="str">
        <f>IF(OR(E1346="",E1346="!!!",F1346="NEW"),"",COUNTBLANK(OFFSET(A$1,,,SUMPRODUCT(MAX(ROW(E$2:E1346)*(E1346=E$2:E1346)))))-COUNTBLANK(OFFSET(A$1,,,SUMPRODUCT(MAX(ROW(E$1:E1345)*(E2=E$1:E1345))))))</f>
        <v> </v>
      </c>
      <c r="K1346" s="25" t="str">
        <f>IF(OR(E1346="",E1346="!!!",F1346="NEW"),"",INDEX(J$1:J1345,SUMPRODUCT(MAX(ROW(E$1:E1345)*(E1346=E$1:E1345)))))</f>
        <v> </v>
      </c>
      <c r="L1346" s="26"/>
    </row>
    <row r="1347" spans="1:12">
      <c r="A1347" s="20" t="s">
        <v>330</v>
      </c>
      <c r="E1347" s="21">
        <f>IF(D1347="?OLD","!!!","")</f>
        <v/>
      </c>
      <c r="F1347" s="22" t="str">
        <f>IF(OR(E1347="",E1347="!!!"),"",IF(NOT(ISNA(VLOOKUP(E1347,E$1:E1346,1,FALSE()))),"OLD",IF(AND(E1347&lt;&gt;"",E1347&lt;&gt;"!!!"),"NEW","")))</f>
        <v> </v>
      </c>
      <c r="G1347" s="23" t="str">
        <f>IF(OR(E1347="",E1347="!!!"),"",IF(OR(J1347=0,AND(J1347=1,K1347=1),AND(J1347=1,I1347="SBJ"),AND(J1347=1,I1347=0)),"?IN_FOCUS",IF(J1347&lt;=2,"?ACTIVATED",IF(J1347&lt;&gt;"","?FAMILIAR",IF(F1347="NEW",IF(ISNA(VLOOKUP(E1347,#REF!,1,FALSE())),"?TYPE_IDENTIFIABLE","?REFERENTIAL"),"_")))))</f>
        <v> </v>
      </c>
      <c r="H1347" s="24" t="str">
        <f>IF(J1347&lt;&gt;1,"",IF(I1347="SBJ","CB","?"))</f>
        <v> </v>
      </c>
      <c r="I1347" s="25" t="str">
        <f>IF(OR(E1347="",E1347="!!!",F1347="NEW"),"",INDEX(B1346:B$2,-1+SUMPRODUCT(MAX(ROW(E1346:E$2)*(E1347=E1346:E$2)))))</f>
        <v> </v>
      </c>
      <c r="J1347" s="25" t="str">
        <f>IF(OR(E1347="",E1347="!!!",F1347="NEW"),"",COUNTBLANK(OFFSET(A$1,,,SUMPRODUCT(MAX(ROW(E$2:E1347)*(E1347=E$2:E1347)))))-COUNTBLANK(OFFSET(A$1,,,SUMPRODUCT(MAX(ROW(E$1:E1346)*(E2=E$1:E1346))))))</f>
        <v> </v>
      </c>
      <c r="K1347" s="25" t="str">
        <f>IF(OR(E1347="",E1347="!!!",F1347="NEW"),"",INDEX(J$1:J1346,SUMPRODUCT(MAX(ROW(E$1:E1346)*(E1347=E$1:E1346)))))</f>
        <v> </v>
      </c>
      <c r="L1347" s="26"/>
    </row>
    <row r="1348" spans="1:12">
      <c r="A1348" s="20" t="s">
        <v>393</v>
      </c>
      <c r="B1348" s="27" t="s">
        <v>361</v>
      </c>
      <c r="C1348" s="27" t="s">
        <v>256</v>
      </c>
      <c r="D1348" s="27" t="s">
        <v>244</v>
      </c>
      <c r="E1348" s="21">
        <f>IF(D1348="?OLD","!!!","")</f>
        <v/>
      </c>
      <c r="F1348" s="22" t="str">
        <f>IF(OR(E1348="",E1348="!!!"),"",IF(NOT(ISNA(VLOOKUP(E1348,E$1:E1347,1,FALSE()))),"OLD",IF(AND(E1348&lt;&gt;"",E1348&lt;&gt;"!!!"),"NEW","")))</f>
        <v> </v>
      </c>
      <c r="G1348" s="23" t="str">
        <f>IF(OR(E1348="",E1348="!!!"),"",IF(OR(J1348=0,AND(J1348=1,K1348=1),AND(J1348=1,I1348="SBJ"),AND(J1348=1,I1348=0)),"?IN_FOCUS",IF(J1348&lt;=2,"?ACTIVATED",IF(J1348&lt;&gt;"","?FAMILIAR",IF(F1348="NEW",IF(ISNA(VLOOKUP(E1348,#REF!,1,FALSE())),"?TYPE_IDENTIFIABLE","?REFERENTIAL"),"_")))))</f>
        <v> </v>
      </c>
      <c r="H1348" s="24" t="str">
        <f>IF(J1348&lt;&gt;1,"",IF(I1348="SBJ","CB","?"))</f>
        <v> </v>
      </c>
      <c r="I1348" s="25" t="str">
        <f>IF(OR(E1348="",E1348="!!!",F1348="NEW"),"",INDEX(B1347:B$2,-1+SUMPRODUCT(MAX(ROW(E1347:E$2)*(E1348=E1347:E$2)))))</f>
        <v> </v>
      </c>
      <c r="J1348" s="25" t="str">
        <f>IF(OR(E1348="",E1348="!!!",F1348="NEW"),"",COUNTBLANK(OFFSET(A$1,,,SUMPRODUCT(MAX(ROW(E$2:E1348)*(E1348=E$2:E1348)))))-COUNTBLANK(OFFSET(A$1,,,SUMPRODUCT(MAX(ROW(E$1:E1347)*(E2=E$1:E1347))))))</f>
        <v> </v>
      </c>
      <c r="K1348" s="25" t="str">
        <f>IF(OR(E1348="",E1348="!!!",F1348="NEW"),"",INDEX(J$1:J1347,SUMPRODUCT(MAX(ROW(E$1:E1347)*(E1348=E$1:E1347)))))</f>
        <v> </v>
      </c>
      <c r="L1348" s="26"/>
    </row>
    <row r="1349" spans="1:12">
      <c r="A1349" s="20" t="s">
        <v>338</v>
      </c>
      <c r="E1349" s="21">
        <f>IF(D1349="?OLD","!!!","")</f>
        <v/>
      </c>
      <c r="F1349" s="22" t="str">
        <f>IF(OR(E1349="",E1349="!!!"),"",IF(NOT(ISNA(VLOOKUP(E1349,E$1:E1348,1,FALSE()))),"OLD",IF(AND(E1349&lt;&gt;"",E1349&lt;&gt;"!!!"),"NEW","")))</f>
        <v> </v>
      </c>
      <c r="G1349" s="23" t="str">
        <f>IF(OR(E1349="",E1349="!!!"),"",IF(OR(J1349=0,AND(J1349=1,K1349=1),AND(J1349=1,I1349="SBJ"),AND(J1349=1,I1349=0)),"?IN_FOCUS",IF(J1349&lt;=2,"?ACTIVATED",IF(J1349&lt;&gt;"","?FAMILIAR",IF(F1349="NEW",IF(ISNA(VLOOKUP(E1349,#REF!,1,FALSE())),"?TYPE_IDENTIFIABLE","?REFERENTIAL"),"_")))))</f>
        <v> </v>
      </c>
      <c r="H1349" s="24" t="str">
        <f>IF(J1349&lt;&gt;1,"",IF(I1349="SBJ","CB","?"))</f>
        <v> </v>
      </c>
      <c r="I1349" s="25" t="str">
        <f>IF(OR(E1349="",E1349="!!!",F1349="NEW"),"",INDEX(B1348:B$2,-1+SUMPRODUCT(MAX(ROW(E1348:E$2)*(E1349=E1348:E$2)))))</f>
        <v> </v>
      </c>
      <c r="J1349" s="25" t="str">
        <f>IF(OR(E1349="",E1349="!!!",F1349="NEW"),"",COUNTBLANK(OFFSET(A$1,,,SUMPRODUCT(MAX(ROW(E$2:E1349)*(E1349=E$2:E1349)))))-COUNTBLANK(OFFSET(A$1,,,SUMPRODUCT(MAX(ROW(E$1:E1348)*(E2=E$1:E1348))))))</f>
        <v> </v>
      </c>
      <c r="K1349" s="25" t="str">
        <f>IF(OR(E1349="",E1349="!!!",F1349="NEW"),"",INDEX(J$1:J1348,SUMPRODUCT(MAX(ROW(E$1:E1348)*(E1349=E$1:E1348)))))</f>
        <v> </v>
      </c>
      <c r="L1349" s="26"/>
    </row>
    <row r="1350" spans="1:12">
      <c r="A1350" s="20" t="s">
        <v>285</v>
      </c>
      <c r="E1350" s="21">
        <f>IF(D1350="?OLD","!!!","")</f>
        <v/>
      </c>
      <c r="F1350" s="22" t="str">
        <f>IF(OR(E1350="",E1350="!!!"),"",IF(NOT(ISNA(VLOOKUP(E1350,E$1:E1349,1,FALSE()))),"OLD",IF(AND(E1350&lt;&gt;"",E1350&lt;&gt;"!!!"),"NEW","")))</f>
        <v> </v>
      </c>
      <c r="G1350" s="23" t="str">
        <f>IF(OR(E1350="",E1350="!!!"),"",IF(OR(J1350=0,AND(J1350=1,K1350=1),AND(J1350=1,I1350="SBJ"),AND(J1350=1,I1350=0)),"?IN_FOCUS",IF(J1350&lt;=2,"?ACTIVATED",IF(J1350&lt;&gt;"","?FAMILIAR",IF(F1350="NEW",IF(ISNA(VLOOKUP(E1350,#REF!,1,FALSE())),"?TYPE_IDENTIFIABLE","?REFERENTIAL"),"_")))))</f>
        <v> </v>
      </c>
      <c r="H1350" s="24" t="str">
        <f>IF(J1350&lt;&gt;1,"",IF(I1350="SBJ","CB","?"))</f>
        <v> </v>
      </c>
      <c r="I1350" s="25" t="str">
        <f>IF(OR(E1350="",E1350="!!!",F1350="NEW"),"",INDEX(B1349:B$2,-1+SUMPRODUCT(MAX(ROW(E1349:E$2)*(E1350=E1349:E$2)))))</f>
        <v> </v>
      </c>
      <c r="J1350" s="25" t="str">
        <f>IF(OR(E1350="",E1350="!!!",F1350="NEW"),"",COUNTBLANK(OFFSET(A$1,,,SUMPRODUCT(MAX(ROW(E$2:E1350)*(E1350=E$2:E1350)))))-COUNTBLANK(OFFSET(A$1,,,SUMPRODUCT(MAX(ROW(E$1:E1349)*(E2=E$1:E1349))))))</f>
        <v> </v>
      </c>
      <c r="K1350" s="25" t="str">
        <f>IF(OR(E1350="",E1350="!!!",F1350="NEW"),"",INDEX(J$1:J1349,SUMPRODUCT(MAX(ROW(E$1:E1349)*(E1350=E$1:E1349)))))</f>
        <v> </v>
      </c>
      <c r="L1350" s="26"/>
    </row>
    <row r="1351" spans="1:12">
      <c r="A1351" s="20"/>
    </row>
    <row r="1352" spans="1:12">
      <c r="A1352" s="20" t="s">
        <v>794</v>
      </c>
    </row>
    <row r="1353" spans="1:12">
      <c r="A1353" s="20" t="s">
        <v>580</v>
      </c>
      <c r="B1353" s="27" t="s">
        <v>255</v>
      </c>
      <c r="C1353" s="27" t="s">
        <v>256</v>
      </c>
      <c r="D1353" s="27" t="s">
        <v>244</v>
      </c>
      <c r="E1353" s="21">
        <f>IF(D1353="?OLD","!!!","")</f>
        <v/>
      </c>
      <c r="F1353" s="22" t="str">
        <f>IF(OR(E1353="",E1353="!!!"),"",IF(NOT(ISNA(VLOOKUP(E1353,E$1:E1352,1,FALSE()))),"OLD",IF(AND(E1353&lt;&gt;"",E1353&lt;&gt;"!!!"),"NEW","")))</f>
        <v> </v>
      </c>
      <c r="G1353" s="23" t="str">
        <f>IF(OR(E1353="",E1353="!!!"),"",IF(OR(J1353=0,AND(J1353=1,K1353=1),AND(J1353=1,I1353="SBJ"),AND(J1353=1,I1353=0)),"?IN_FOCUS",IF(J1353&lt;=2,"?ACTIVATED",IF(J1353&lt;&gt;"","?FAMILIAR",IF(F1353="NEW",IF(ISNA(VLOOKUP(E1353,#REF!,1,FALSE())),"?TYPE_IDENTIFIABLE","?REFERENTIAL"),"_")))))</f>
        <v> </v>
      </c>
      <c r="H1353" s="24" t="str">
        <f>IF(J1353&lt;&gt;1,"",IF(I1353="SBJ","CB","?"))</f>
        <v> </v>
      </c>
      <c r="I1353" s="25" t="str">
        <f>IF(OR(E1353="",E1353="!!!",F1353="NEW"),"",INDEX(B1352:B$2,-1+SUMPRODUCT(MAX(ROW(E1352:E$2)*(E1353=E1352:E$2)))))</f>
        <v> </v>
      </c>
      <c r="J1353" s="25" t="str">
        <f>IF(OR(E1353="",E1353="!!!",F1353="NEW"),"",COUNTBLANK(OFFSET(A$1,,,SUMPRODUCT(MAX(ROW(E$2:E1353)*(E1353=E$2:E1353)))))-COUNTBLANK(OFFSET(A$1,,,SUMPRODUCT(MAX(ROW(E$1:E1352)*(E2=E$1:E1352))))))</f>
        <v> </v>
      </c>
      <c r="K1353" s="25" t="str">
        <f>IF(OR(E1353="",E1353="!!!",F1353="NEW"),"",INDEX(J$1:J1352,SUMPRODUCT(MAX(ROW(E$1:E1352)*(E1353=E$1:E1352)))))</f>
        <v> </v>
      </c>
      <c r="L1353" s="26"/>
    </row>
    <row r="1354" spans="1:12">
      <c r="A1354" s="20" t="s">
        <v>442</v>
      </c>
      <c r="E1354" s="21">
        <f>IF(D1354="?OLD","!!!","")</f>
        <v/>
      </c>
      <c r="F1354" s="22" t="str">
        <f>IF(OR(E1354="",E1354="!!!"),"",IF(NOT(ISNA(VLOOKUP(E1354,E$1:E1353,1,FALSE()))),"OLD",IF(AND(E1354&lt;&gt;"",E1354&lt;&gt;"!!!"),"NEW","")))</f>
        <v> </v>
      </c>
      <c r="G1354" s="23" t="str">
        <f>IF(OR(E1354="",E1354="!!!"),"",IF(OR(J1354=0,AND(J1354=1,K1354=1),AND(J1354=1,I1354="SBJ"),AND(J1354=1,I1354=0)),"?IN_FOCUS",IF(J1354&lt;=2,"?ACTIVATED",IF(J1354&lt;&gt;"","?FAMILIAR",IF(F1354="NEW",IF(ISNA(VLOOKUP(E1354,#REF!,1,FALSE())),"?TYPE_IDENTIFIABLE","?REFERENTIAL"),"_")))))</f>
        <v> </v>
      </c>
      <c r="H1354" s="24" t="str">
        <f>IF(J1354&lt;&gt;1,"",IF(I1354="SBJ","CB","?"))</f>
        <v> </v>
      </c>
      <c r="I1354" s="25" t="str">
        <f>IF(OR(E1354="",E1354="!!!",F1354="NEW"),"",INDEX(B1353:B$2,-1+SUMPRODUCT(MAX(ROW(E1353:E$2)*(E1354=E1353:E$2)))))</f>
        <v> </v>
      </c>
      <c r="J1354" s="25" t="str">
        <f>IF(OR(E1354="",E1354="!!!",F1354="NEW"),"",COUNTBLANK(OFFSET(A$1,,,SUMPRODUCT(MAX(ROW(E$2:E1354)*(E1354=E$2:E1354)))))-COUNTBLANK(OFFSET(A$1,,,SUMPRODUCT(MAX(ROW(E$1:E1353)*(E2=E$1:E1353))))))</f>
        <v> </v>
      </c>
      <c r="K1354" s="25" t="str">
        <f>IF(OR(E1354="",E1354="!!!",F1354="NEW"),"",INDEX(J$1:J1353,SUMPRODUCT(MAX(ROW(E$1:E1353)*(E1354=E$1:E1353)))))</f>
        <v> </v>
      </c>
      <c r="L1354" s="26"/>
    </row>
    <row r="1355" spans="1:12">
      <c r="A1355" s="20" t="s">
        <v>448</v>
      </c>
      <c r="E1355" s="21">
        <f>IF(D1355="?OLD","!!!","")</f>
        <v/>
      </c>
      <c r="F1355" s="22" t="str">
        <f>IF(OR(E1355="",E1355="!!!"),"",IF(NOT(ISNA(VLOOKUP(E1355,E$1:E1354,1,FALSE()))),"OLD",IF(AND(E1355&lt;&gt;"",E1355&lt;&gt;"!!!"),"NEW","")))</f>
        <v> </v>
      </c>
      <c r="G1355" s="23" t="str">
        <f>IF(OR(E1355="",E1355="!!!"),"",IF(OR(J1355=0,AND(J1355=1,K1355=1),AND(J1355=1,I1355="SBJ"),AND(J1355=1,I1355=0)),"?IN_FOCUS",IF(J1355&lt;=2,"?ACTIVATED",IF(J1355&lt;&gt;"","?FAMILIAR",IF(F1355="NEW",IF(ISNA(VLOOKUP(E1355,#REF!,1,FALSE())),"?TYPE_IDENTIFIABLE","?REFERENTIAL"),"_")))))</f>
        <v> </v>
      </c>
      <c r="H1355" s="24" t="str">
        <f>IF(J1355&lt;&gt;1,"",IF(I1355="SBJ","CB","?"))</f>
        <v> </v>
      </c>
      <c r="I1355" s="25" t="str">
        <f>IF(OR(E1355="",E1355="!!!",F1355="NEW"),"",INDEX(B1354:B$2,-1+SUMPRODUCT(MAX(ROW(E1354:E$2)*(E1355=E1354:E$2)))))</f>
        <v> </v>
      </c>
      <c r="J1355" s="25" t="str">
        <f>IF(OR(E1355="",E1355="!!!",F1355="NEW"),"",COUNTBLANK(OFFSET(A$1,,,SUMPRODUCT(MAX(ROW(E$2:E1355)*(E1355=E$2:E1355)))))-COUNTBLANK(OFFSET(A$1,,,SUMPRODUCT(MAX(ROW(E$1:E1354)*(E2=E$1:E1354))))))</f>
        <v> </v>
      </c>
      <c r="K1355" s="25" t="str">
        <f>IF(OR(E1355="",E1355="!!!",F1355="NEW"),"",INDEX(J$1:J1354,SUMPRODUCT(MAX(ROW(E$1:E1354)*(E1355=E$1:E1354)))))</f>
        <v> </v>
      </c>
      <c r="L1355" s="26"/>
    </row>
    <row r="1356" spans="1:12">
      <c r="A1356" s="20" t="s">
        <v>248</v>
      </c>
      <c r="E1356" s="21">
        <f>IF(D1356="?OLD","!!!","")</f>
        <v/>
      </c>
      <c r="F1356" s="22" t="str">
        <f>IF(OR(E1356="",E1356="!!!"),"",IF(NOT(ISNA(VLOOKUP(E1356,E$1:E1355,1,FALSE()))),"OLD",IF(AND(E1356&lt;&gt;"",E1356&lt;&gt;"!!!"),"NEW","")))</f>
        <v> </v>
      </c>
      <c r="G1356" s="23" t="str">
        <f>IF(OR(E1356="",E1356="!!!"),"",IF(OR(J1356=0,AND(J1356=1,K1356=1),AND(J1356=1,I1356="SBJ"),AND(J1356=1,I1356=0)),"?IN_FOCUS",IF(J1356&lt;=2,"?ACTIVATED",IF(J1356&lt;&gt;"","?FAMILIAR",IF(F1356="NEW",IF(ISNA(VLOOKUP(E1356,#REF!,1,FALSE())),"?TYPE_IDENTIFIABLE","?REFERENTIAL"),"_")))))</f>
        <v> </v>
      </c>
      <c r="H1356" s="24" t="str">
        <f>IF(J1356&lt;&gt;1,"",IF(I1356="SBJ","CB","?"))</f>
        <v> </v>
      </c>
      <c r="I1356" s="25" t="str">
        <f>IF(OR(E1356="",E1356="!!!",F1356="NEW"),"",INDEX(B1355:B$2,-1+SUMPRODUCT(MAX(ROW(E1355:E$2)*(E1356=E1355:E$2)))))</f>
        <v> </v>
      </c>
      <c r="J1356" s="25" t="str">
        <f>IF(OR(E1356="",E1356="!!!",F1356="NEW"),"",COUNTBLANK(OFFSET(A$1,,,SUMPRODUCT(MAX(ROW(E$2:E1356)*(E1356=E$2:E1356)))))-COUNTBLANK(OFFSET(A$1,,,SUMPRODUCT(MAX(ROW(E$1:E1355)*(E2=E$1:E1355))))))</f>
        <v> </v>
      </c>
      <c r="K1356" s="25" t="str">
        <f>IF(OR(E1356="",E1356="!!!",F1356="NEW"),"",INDEX(J$1:J1355,SUMPRODUCT(MAX(ROW(E$1:E1355)*(E1356=E$1:E1355)))))</f>
        <v> </v>
      </c>
      <c r="L1356" s="26"/>
    </row>
    <row r="1357" spans="1:12">
      <c r="A1357" s="20" t="s">
        <v>795</v>
      </c>
      <c r="E1357" s="21">
        <f>IF(D1357="?OLD","!!!","")</f>
        <v/>
      </c>
      <c r="F1357" s="22" t="str">
        <f>IF(OR(E1357="",E1357="!!!"),"",IF(NOT(ISNA(VLOOKUP(E1357,E$1:E1356,1,FALSE()))),"OLD",IF(AND(E1357&lt;&gt;"",E1357&lt;&gt;"!!!"),"NEW","")))</f>
        <v> </v>
      </c>
      <c r="G1357" s="23" t="str">
        <f>IF(OR(E1357="",E1357="!!!"),"",IF(OR(J1357=0,AND(J1357=1,K1357=1),AND(J1357=1,I1357="SBJ"),AND(J1357=1,I1357=0)),"?IN_FOCUS",IF(J1357&lt;=2,"?ACTIVATED",IF(J1357&lt;&gt;"","?FAMILIAR",IF(F1357="NEW",IF(ISNA(VLOOKUP(E1357,#REF!,1,FALSE())),"?TYPE_IDENTIFIABLE","?REFERENTIAL"),"_")))))</f>
        <v> </v>
      </c>
      <c r="H1357" s="24" t="str">
        <f>IF(J1357&lt;&gt;1,"",IF(I1357="SBJ","CB","?"))</f>
        <v> </v>
      </c>
      <c r="I1357" s="25" t="str">
        <f>IF(OR(E1357="",E1357="!!!",F1357="NEW"),"",INDEX(B1356:B$2,-1+SUMPRODUCT(MAX(ROW(E1356:E$2)*(E1357=E1356:E$2)))))</f>
        <v> </v>
      </c>
      <c r="J1357" s="25" t="str">
        <f>IF(OR(E1357="",E1357="!!!",F1357="NEW"),"",COUNTBLANK(OFFSET(A$1,,,SUMPRODUCT(MAX(ROW(E$2:E1357)*(E1357=E$2:E1357)))))-COUNTBLANK(OFFSET(A$1,,,SUMPRODUCT(MAX(ROW(E$1:E1356)*(E2=E$1:E1356))))))</f>
        <v> </v>
      </c>
      <c r="K1357" s="25" t="str">
        <f>IF(OR(E1357="",E1357="!!!",F1357="NEW"),"",INDEX(J$1:J1356,SUMPRODUCT(MAX(ROW(E$1:E1356)*(E1357=E$1:E1356)))))</f>
        <v> </v>
      </c>
      <c r="L1357" s="26"/>
    </row>
    <row r="1358" spans="1:12">
      <c r="A1358" s="20" t="s">
        <v>796</v>
      </c>
      <c r="E1358" s="21">
        <f>IF(D1358="?OLD","!!!","")</f>
        <v/>
      </c>
      <c r="F1358" s="22" t="str">
        <f>IF(OR(E1358="",E1358="!!!"),"",IF(NOT(ISNA(VLOOKUP(E1358,E$1:E1357,1,FALSE()))),"OLD",IF(AND(E1358&lt;&gt;"",E1358&lt;&gt;"!!!"),"NEW","")))</f>
        <v> </v>
      </c>
      <c r="G1358" s="23" t="str">
        <f>IF(OR(E1358="",E1358="!!!"),"",IF(OR(J1358=0,AND(J1358=1,K1358=1),AND(J1358=1,I1358="SBJ"),AND(J1358=1,I1358=0)),"?IN_FOCUS",IF(J1358&lt;=2,"?ACTIVATED",IF(J1358&lt;&gt;"","?FAMILIAR",IF(F1358="NEW",IF(ISNA(VLOOKUP(E1358,#REF!,1,FALSE())),"?TYPE_IDENTIFIABLE","?REFERENTIAL"),"_")))))</f>
        <v> </v>
      </c>
      <c r="H1358" s="24" t="str">
        <f>IF(J1358&lt;&gt;1,"",IF(I1358="SBJ","CB","?"))</f>
        <v> </v>
      </c>
      <c r="I1358" s="25" t="str">
        <f>IF(OR(E1358="",E1358="!!!",F1358="NEW"),"",INDEX(B1357:B$2,-1+SUMPRODUCT(MAX(ROW(E1357:E$2)*(E1358=E1357:E$2)))))</f>
        <v> </v>
      </c>
      <c r="J1358" s="25" t="str">
        <f>IF(OR(E1358="",E1358="!!!",F1358="NEW"),"",COUNTBLANK(OFFSET(A$1,,,SUMPRODUCT(MAX(ROW(E$2:E1358)*(E1358=E$2:E1358)))))-COUNTBLANK(OFFSET(A$1,,,SUMPRODUCT(MAX(ROW(E$1:E1357)*(E2=E$1:E1357))))))</f>
        <v> </v>
      </c>
      <c r="K1358" s="25" t="str">
        <f>IF(OR(E1358="",E1358="!!!",F1358="NEW"),"",INDEX(J$1:J1357,SUMPRODUCT(MAX(ROW(E$1:E1357)*(E1358=E$1:E1357)))))</f>
        <v> </v>
      </c>
      <c r="L1358" s="26"/>
    </row>
    <row r="1359" spans="1:12">
      <c r="A1359" s="20" t="s">
        <v>797</v>
      </c>
      <c r="E1359" s="21">
        <f>IF(D1359="?OLD","!!!","")</f>
        <v/>
      </c>
      <c r="F1359" s="22" t="str">
        <f>IF(OR(E1359="",E1359="!!!"),"",IF(NOT(ISNA(VLOOKUP(E1359,E$1:E1358,1,FALSE()))),"OLD",IF(AND(E1359&lt;&gt;"",E1359&lt;&gt;"!!!"),"NEW","")))</f>
        <v> </v>
      </c>
      <c r="G1359" s="23" t="str">
        <f>IF(OR(E1359="",E1359="!!!"),"",IF(OR(J1359=0,AND(J1359=1,K1359=1),AND(J1359=1,I1359="SBJ"),AND(J1359=1,I1359=0)),"?IN_FOCUS",IF(J1359&lt;=2,"?ACTIVATED",IF(J1359&lt;&gt;"","?FAMILIAR",IF(F1359="NEW",IF(ISNA(VLOOKUP(E1359,#REF!,1,FALSE())),"?TYPE_IDENTIFIABLE","?REFERENTIAL"),"_")))))</f>
        <v> </v>
      </c>
      <c r="H1359" s="24" t="str">
        <f>IF(J1359&lt;&gt;1,"",IF(I1359="SBJ","CB","?"))</f>
        <v> </v>
      </c>
      <c r="I1359" s="25" t="str">
        <f>IF(OR(E1359="",E1359="!!!",F1359="NEW"),"",INDEX(B1358:B$2,-1+SUMPRODUCT(MAX(ROW(E1358:E$2)*(E1359=E1358:E$2)))))</f>
        <v> </v>
      </c>
      <c r="J1359" s="25" t="str">
        <f>IF(OR(E1359="",E1359="!!!",F1359="NEW"),"",COUNTBLANK(OFFSET(A$1,,,SUMPRODUCT(MAX(ROW(E$2:E1359)*(E1359=E$2:E1359)))))-COUNTBLANK(OFFSET(A$1,,,SUMPRODUCT(MAX(ROW(E$1:E1358)*(E2=E$1:E1358))))))</f>
        <v> </v>
      </c>
      <c r="K1359" s="25" t="str">
        <f>IF(OR(E1359="",E1359="!!!",F1359="NEW"),"",INDEX(J$1:J1358,SUMPRODUCT(MAX(ROW(E$1:E1358)*(E1359=E$1:E1358)))))</f>
        <v> </v>
      </c>
      <c r="L1359" s="26"/>
    </row>
    <row r="1360" spans="1:12">
      <c r="A1360" s="20" t="s">
        <v>798</v>
      </c>
      <c r="B1360" s="27" t="s">
        <v>237</v>
      </c>
      <c r="C1360" s="27" t="s">
        <v>252</v>
      </c>
      <c r="D1360" s="27" t="s">
        <v>244</v>
      </c>
      <c r="E1360" s="21">
        <f>IF(D1360="?OLD","!!!","")</f>
        <v/>
      </c>
      <c r="F1360" s="22" t="str">
        <f>IF(OR(E1360="",E1360="!!!"),"",IF(NOT(ISNA(VLOOKUP(E1360,E$1:E1359,1,FALSE()))),"OLD",IF(AND(E1360&lt;&gt;"",E1360&lt;&gt;"!!!"),"NEW","")))</f>
        <v> </v>
      </c>
      <c r="G1360" s="23" t="str">
        <f>IF(OR(E1360="",E1360="!!!"),"",IF(OR(J1360=0,AND(J1360=1,K1360=1),AND(J1360=1,I1360="SBJ"),AND(J1360=1,I1360=0)),"?IN_FOCUS",IF(J1360&lt;=2,"?ACTIVATED",IF(J1360&lt;&gt;"","?FAMILIAR",IF(F1360="NEW",IF(ISNA(VLOOKUP(E1360,#REF!,1,FALSE())),"?TYPE_IDENTIFIABLE","?REFERENTIAL"),"_")))))</f>
        <v> </v>
      </c>
      <c r="H1360" s="24" t="str">
        <f>IF(J1360&lt;&gt;1,"",IF(I1360="SBJ","CB","?"))</f>
        <v> </v>
      </c>
      <c r="I1360" s="25" t="str">
        <f>IF(OR(E1360="",E1360="!!!",F1360="NEW"),"",INDEX(B1359:B$2,-1+SUMPRODUCT(MAX(ROW(E1359:E$2)*(E1360=E1359:E$2)))))</f>
        <v> </v>
      </c>
      <c r="J1360" s="25" t="str">
        <f>IF(OR(E1360="",E1360="!!!",F1360="NEW"),"",COUNTBLANK(OFFSET(A$1,,,SUMPRODUCT(MAX(ROW(E$2:E1360)*(E1360=E$2:E1360)))))-COUNTBLANK(OFFSET(A$1,,,SUMPRODUCT(MAX(ROW(E$1:E1359)*(E2=E$1:E1359))))))</f>
        <v> </v>
      </c>
      <c r="K1360" s="25" t="str">
        <f>IF(OR(E1360="",E1360="!!!",F1360="NEW"),"",INDEX(J$1:J1359,SUMPRODUCT(MAX(ROW(E$1:E1359)*(E1360=E$1:E1359)))))</f>
        <v> </v>
      </c>
      <c r="L1360" s="26"/>
    </row>
    <row r="1361" spans="1:12">
      <c r="A1361" s="20" t="s">
        <v>285</v>
      </c>
      <c r="E1361" s="21">
        <f>IF(D1361="?OLD","!!!","")</f>
        <v/>
      </c>
      <c r="F1361" s="22" t="str">
        <f>IF(OR(E1361="",E1361="!!!"),"",IF(NOT(ISNA(VLOOKUP(E1361,E$1:E1360,1,FALSE()))),"OLD",IF(AND(E1361&lt;&gt;"",E1361&lt;&gt;"!!!"),"NEW","")))</f>
        <v> </v>
      </c>
      <c r="G1361" s="23" t="str">
        <f>IF(OR(E1361="",E1361="!!!"),"",IF(OR(J1361=0,AND(J1361=1,K1361=1),AND(J1361=1,I1361="SBJ"),AND(J1361=1,I1361=0)),"?IN_FOCUS",IF(J1361&lt;=2,"?ACTIVATED",IF(J1361&lt;&gt;"","?FAMILIAR",IF(F1361="NEW",IF(ISNA(VLOOKUP(E1361,#REF!,1,FALSE())),"?TYPE_IDENTIFIABLE","?REFERENTIAL"),"_")))))</f>
        <v> </v>
      </c>
      <c r="H1361" s="24" t="str">
        <f>IF(J1361&lt;&gt;1,"",IF(I1361="SBJ","CB","?"))</f>
        <v> </v>
      </c>
      <c r="I1361" s="25" t="str">
        <f>IF(OR(E1361="",E1361="!!!",F1361="NEW"),"",INDEX(B1360:B$2,-1+SUMPRODUCT(MAX(ROW(E1360:E$2)*(E1361=E1360:E$2)))))</f>
        <v> </v>
      </c>
      <c r="J1361" s="25" t="str">
        <f>IF(OR(E1361="",E1361="!!!",F1361="NEW"),"",COUNTBLANK(OFFSET(A$1,,,SUMPRODUCT(MAX(ROW(E$2:E1361)*(E1361=E$2:E1361)))))-COUNTBLANK(OFFSET(A$1,,,SUMPRODUCT(MAX(ROW(E$1:E1360)*(E2=E$1:E1360))))))</f>
        <v> </v>
      </c>
      <c r="K1361" s="25" t="str">
        <f>IF(OR(E1361="",E1361="!!!",F1361="NEW"),"",INDEX(J$1:J1360,SUMPRODUCT(MAX(ROW(E$1:E1360)*(E1361=E$1:E1360)))))</f>
        <v> </v>
      </c>
      <c r="L1361" s="26"/>
    </row>
    <row r="1362" spans="1:12">
      <c r="A1362" s="20"/>
    </row>
    <row r="1363" spans="1:12">
      <c r="A1363" s="20" t="s">
        <v>671</v>
      </c>
      <c r="E1363" s="21">
        <f>IF(D1363="?OLD","!!!","")</f>
        <v/>
      </c>
      <c r="F1363" s="22" t="str">
        <f>IF(OR(E1363="",E1363="!!!"),"",IF(NOT(ISNA(VLOOKUP(E1363,E$1:E1362,1,FALSE()))),"OLD",IF(AND(E1363&lt;&gt;"",E1363&lt;&gt;"!!!"),"NEW","")))</f>
        <v> </v>
      </c>
      <c r="G1363" s="23" t="str">
        <f>IF(OR(E1363="",E1363="!!!"),"",IF(OR(J1363=0,AND(J1363=1,K1363=1),AND(J1363=1,I1363="SBJ"),AND(J1363=1,I1363=0)),"?IN_FOCUS",IF(J1363&lt;=2,"?ACTIVATED",IF(J1363&lt;&gt;"","?FAMILIAR",IF(F1363="NEW",IF(ISNA(VLOOKUP(E1363,#REF!,1,FALSE())),"?TYPE_IDENTIFIABLE","?REFERENTIAL"),"_")))))</f>
        <v> </v>
      </c>
      <c r="H1363" s="24" t="str">
        <f>IF(J1363&lt;&gt;1,"",IF(I1363="SBJ","CB","?"))</f>
        <v> </v>
      </c>
      <c r="I1363" s="25" t="str">
        <f>IF(OR(E1363="",E1363="!!!",F1363="NEW"),"",INDEX(B1362:B$2,-1+SUMPRODUCT(MAX(ROW(E1362:E$2)*(E1363=E1362:E$2)))))</f>
        <v> </v>
      </c>
      <c r="J1363" s="25" t="str">
        <f>IF(OR(E1363="",E1363="!!!",F1363="NEW"),"",COUNTBLANK(OFFSET(A$1,,,SUMPRODUCT(MAX(ROW(E$2:E1363)*(E1363=E$2:E1363)))))-COUNTBLANK(OFFSET(A$1,,,SUMPRODUCT(MAX(ROW(E$1:E1362)*(E2=E$1:E1362))))))</f>
        <v> </v>
      </c>
      <c r="K1363" s="25" t="str">
        <f>IF(OR(E1363="",E1363="!!!",F1363="NEW"),"",INDEX(J$1:J1362,SUMPRODUCT(MAX(ROW(E$1:E1362)*(E1363=E$1:E1362)))))</f>
        <v> </v>
      </c>
      <c r="L1363" s="26"/>
    </row>
    <row r="1364" spans="1:12">
      <c r="A1364" s="20" t="s">
        <v>799</v>
      </c>
    </row>
    <row r="1365" spans="1:12">
      <c r="A1365" s="20" t="s">
        <v>524</v>
      </c>
      <c r="E1365" s="21">
        <f>IF(D1365="?OLD","!!!","")</f>
        <v/>
      </c>
      <c r="F1365" s="22" t="str">
        <f>IF(OR(E1365="",E1365="!!!"),"",IF(NOT(ISNA(VLOOKUP(E1365,E$1:E1364,1,FALSE()))),"OLD",IF(AND(E1365&lt;&gt;"",E1365&lt;&gt;"!!!"),"NEW","")))</f>
        <v> </v>
      </c>
      <c r="G1365" s="23" t="str">
        <f>IF(OR(E1365="",E1365="!!!"),"",IF(OR(J1365=0,AND(J1365=1,K1365=1),AND(J1365=1,I1365="SBJ"),AND(J1365=1,I1365=0)),"?IN_FOCUS",IF(J1365&lt;=2,"?ACTIVATED",IF(J1365&lt;&gt;"","?FAMILIAR",IF(F1365="NEW",IF(ISNA(VLOOKUP(E1365,#REF!,1,FALSE())),"?TYPE_IDENTIFIABLE","?REFERENTIAL"),"_")))))</f>
        <v> </v>
      </c>
      <c r="H1365" s="24" t="str">
        <f>IF(J1365&lt;&gt;1,"",IF(I1365="SBJ","CB","?"))</f>
        <v> </v>
      </c>
      <c r="I1365" s="25" t="str">
        <f>IF(OR(E1365="",E1365="!!!",F1365="NEW"),"",INDEX(B1364:B$2,-1+SUMPRODUCT(MAX(ROW(E1364:E$2)*(E1365=E1364:E$2)))))</f>
        <v> </v>
      </c>
      <c r="J1365" s="25" t="str">
        <f>IF(OR(E1365="",E1365="!!!",F1365="NEW"),"",COUNTBLANK(OFFSET(A$1,,,SUMPRODUCT(MAX(ROW(E$2:E1365)*(E1365=E$2:E1365)))))-COUNTBLANK(OFFSET(A$1,,,SUMPRODUCT(MAX(ROW(E$1:E1364)*(E2=E$1:E1364))))))</f>
        <v> </v>
      </c>
      <c r="K1365" s="25" t="str">
        <f>IF(OR(E1365="",E1365="!!!",F1365="NEW"),"",INDEX(J$1:J1364,SUMPRODUCT(MAX(ROW(E$1:E1364)*(E1365=E$1:E1364)))))</f>
        <v> </v>
      </c>
      <c r="L1365" s="26"/>
    </row>
    <row r="1366" spans="1:12">
      <c r="A1366" s="20" t="s">
        <v>800</v>
      </c>
      <c r="E1366" s="21">
        <f>IF(D1366="?OLD","!!!","")</f>
        <v/>
      </c>
      <c r="F1366" s="22" t="str">
        <f>IF(OR(E1366="",E1366="!!!"),"",IF(NOT(ISNA(VLOOKUP(E1366,E$1:E1365,1,FALSE()))),"OLD",IF(AND(E1366&lt;&gt;"",E1366&lt;&gt;"!!!"),"NEW","")))</f>
        <v> </v>
      </c>
      <c r="G1366" s="23" t="str">
        <f>IF(OR(E1366="",E1366="!!!"),"",IF(OR(J1366=0,AND(J1366=1,K1366=1),AND(J1366=1,I1366="SBJ"),AND(J1366=1,I1366=0)),"?IN_FOCUS",IF(J1366&lt;=2,"?ACTIVATED",IF(J1366&lt;&gt;"","?FAMILIAR",IF(F1366="NEW",IF(ISNA(VLOOKUP(E1366,#REF!,1,FALSE())),"?TYPE_IDENTIFIABLE","?REFERENTIAL"),"_")))))</f>
        <v> </v>
      </c>
      <c r="H1366" s="24" t="str">
        <f>IF(J1366&lt;&gt;1,"",IF(I1366="SBJ","CB","?"))</f>
        <v> </v>
      </c>
      <c r="I1366" s="25" t="str">
        <f>IF(OR(E1366="",E1366="!!!",F1366="NEW"),"",INDEX(B1365:B$2,-1+SUMPRODUCT(MAX(ROW(E1365:E$2)*(E1366=E1365:E$2)))))</f>
        <v> </v>
      </c>
      <c r="J1366" s="25" t="str">
        <f>IF(OR(E1366="",E1366="!!!",F1366="NEW"),"",COUNTBLANK(OFFSET(A$1,,,SUMPRODUCT(MAX(ROW(E$2:E1366)*(E1366=E$2:E1366)))))-COUNTBLANK(OFFSET(A$1,,,SUMPRODUCT(MAX(ROW(E$1:E1365)*(E2=E$1:E1365))))))</f>
        <v> </v>
      </c>
      <c r="K1366" s="25" t="str">
        <f>IF(OR(E1366="",E1366="!!!",F1366="NEW"),"",INDEX(J$1:J1365,SUMPRODUCT(MAX(ROW(E$1:E1365)*(E1366=E$1:E1365)))))</f>
        <v> </v>
      </c>
      <c r="L1366" s="26"/>
    </row>
    <row r="1367" spans="1:12">
      <c r="A1367" s="20" t="s">
        <v>801</v>
      </c>
      <c r="B1367" s="27" t="s">
        <v>255</v>
      </c>
      <c r="C1367" s="27" t="s">
        <v>243</v>
      </c>
      <c r="D1367" s="27" t="s">
        <v>244</v>
      </c>
      <c r="E1367" s="21">
        <f>IF(D1367="?OLD","!!!","")</f>
        <v/>
      </c>
      <c r="F1367" s="22" t="str">
        <f>IF(OR(E1367="",E1367="!!!"),"",IF(NOT(ISNA(VLOOKUP(E1367,E$1:E1366,1,FALSE()))),"OLD",IF(AND(E1367&lt;&gt;"",E1367&lt;&gt;"!!!"),"NEW","")))</f>
        <v> </v>
      </c>
      <c r="G1367" s="23" t="str">
        <f>IF(OR(E1367="",E1367="!!!"),"",IF(OR(J1367=0,AND(J1367=1,K1367=1),AND(J1367=1,I1367="SBJ"),AND(J1367=1,I1367=0)),"?IN_FOCUS",IF(J1367&lt;=2,"?ACTIVATED",IF(J1367&lt;&gt;"","?FAMILIAR",IF(F1367="NEW",IF(ISNA(VLOOKUP(E1367,#REF!,1,FALSE())),"?TYPE_IDENTIFIABLE","?REFERENTIAL"),"_")))))</f>
        <v> </v>
      </c>
      <c r="H1367" s="24" t="str">
        <f>IF(J1367&lt;&gt;1,"",IF(I1367="SBJ","CB","?"))</f>
        <v> </v>
      </c>
      <c r="I1367" s="25" t="str">
        <f>IF(OR(E1367="",E1367="!!!",F1367="NEW"),"",INDEX(B1366:B$2,-1+SUMPRODUCT(MAX(ROW(E1366:E$2)*(E1367=E1366:E$2)))))</f>
        <v> </v>
      </c>
      <c r="J1367" s="25" t="str">
        <f>IF(OR(E1367="",E1367="!!!",F1367="NEW"),"",COUNTBLANK(OFFSET(A$1,,,SUMPRODUCT(MAX(ROW(E$2:E1367)*(E1367=E$2:E1367)))))-COUNTBLANK(OFFSET(A$1,,,SUMPRODUCT(MAX(ROW(E$1:E1366)*(E2=E$1:E1366))))))</f>
        <v> </v>
      </c>
      <c r="K1367" s="25" t="str">
        <f>IF(OR(E1367="",E1367="!!!",F1367="NEW"),"",INDEX(J$1:J1366,SUMPRODUCT(MAX(ROW(E$1:E1366)*(E1367=E$1:E1366)))))</f>
        <v> </v>
      </c>
      <c r="L1367" s="26"/>
    </row>
    <row r="1368" spans="1:12">
      <c r="A1368" s="20" t="s">
        <v>802</v>
      </c>
      <c r="E1368" s="21">
        <f>IF(D1368="?OLD","!!!","")</f>
        <v/>
      </c>
      <c r="F1368" s="22" t="str">
        <f>IF(OR(E1368="",E1368="!!!"),"",IF(NOT(ISNA(VLOOKUP(E1368,E$1:E1367,1,FALSE()))),"OLD",IF(AND(E1368&lt;&gt;"",E1368&lt;&gt;"!!!"),"NEW","")))</f>
        <v> </v>
      </c>
      <c r="G1368" s="23" t="str">
        <f>IF(OR(E1368="",E1368="!!!"),"",IF(OR(J1368=0,AND(J1368=1,K1368=1),AND(J1368=1,I1368="SBJ"),AND(J1368=1,I1368=0)),"?IN_FOCUS",IF(J1368&lt;=2,"?ACTIVATED",IF(J1368&lt;&gt;"","?FAMILIAR",IF(F1368="NEW",IF(ISNA(VLOOKUP(E1368,#REF!,1,FALSE())),"?TYPE_IDENTIFIABLE","?REFERENTIAL"),"_")))))</f>
        <v> </v>
      </c>
      <c r="H1368" s="24" t="str">
        <f>IF(J1368&lt;&gt;1,"",IF(I1368="SBJ","CB","?"))</f>
        <v> </v>
      </c>
      <c r="I1368" s="25" t="str">
        <f>IF(OR(E1368="",E1368="!!!",F1368="NEW"),"",INDEX(B1367:B$2,-1+SUMPRODUCT(MAX(ROW(E1367:E$2)*(E1368=E1367:E$2)))))</f>
        <v> </v>
      </c>
      <c r="J1368" s="25" t="str">
        <f>IF(OR(E1368="",E1368="!!!",F1368="NEW"),"",COUNTBLANK(OFFSET(A$1,,,SUMPRODUCT(MAX(ROW(E$2:E1368)*(E1368=E$2:E1368)))))-COUNTBLANK(OFFSET(A$1,,,SUMPRODUCT(MAX(ROW(E$1:E1367)*(E2=E$1:E1367))))))</f>
        <v> </v>
      </c>
      <c r="K1368" s="25" t="str">
        <f>IF(OR(E1368="",E1368="!!!",F1368="NEW"),"",INDEX(J$1:J1367,SUMPRODUCT(MAX(ROW(E$1:E1367)*(E1368=E$1:E1367)))))</f>
        <v> </v>
      </c>
      <c r="L1368" s="26"/>
    </row>
    <row r="1369" spans="1:12">
      <c r="A1369" s="20" t="s">
        <v>371</v>
      </c>
      <c r="B1369" s="27" t="s">
        <v>251</v>
      </c>
      <c r="C1369" s="27" t="s">
        <v>256</v>
      </c>
      <c r="D1369" s="27" t="s">
        <v>244</v>
      </c>
      <c r="E1369" s="21">
        <f>IF(D1369="?OLD","!!!","")</f>
        <v/>
      </c>
      <c r="F1369" s="22" t="str">
        <f>IF(OR(E1369="",E1369="!!!"),"",IF(NOT(ISNA(VLOOKUP(E1369,E$1:E1368,1,FALSE()))),"OLD",IF(AND(E1369&lt;&gt;"",E1369&lt;&gt;"!!!"),"NEW","")))</f>
        <v> </v>
      </c>
      <c r="G1369" s="23" t="str">
        <f>IF(OR(E1369="",E1369="!!!"),"",IF(OR(J1369=0,AND(J1369=1,K1369=1),AND(J1369=1,I1369="SBJ"),AND(J1369=1,I1369=0)),"?IN_FOCUS",IF(J1369&lt;=2,"?ACTIVATED",IF(J1369&lt;&gt;"","?FAMILIAR",IF(F1369="NEW",IF(ISNA(VLOOKUP(E1369,#REF!,1,FALSE())),"?TYPE_IDENTIFIABLE","?REFERENTIAL"),"_")))))</f>
        <v> </v>
      </c>
      <c r="H1369" s="24" t="str">
        <f>IF(J1369&lt;&gt;1,"",IF(I1369="SBJ","CB","?"))</f>
        <v> </v>
      </c>
      <c r="I1369" s="25" t="str">
        <f>IF(OR(E1369="",E1369="!!!",F1369="NEW"),"",INDEX(B1368:B$2,-1+SUMPRODUCT(MAX(ROW(E1368:E$2)*(E1369=E1368:E$2)))))</f>
        <v> </v>
      </c>
      <c r="J1369" s="25" t="str">
        <f>IF(OR(E1369="",E1369="!!!",F1369="NEW"),"",COUNTBLANK(OFFSET(A$1,,,SUMPRODUCT(MAX(ROW(E$2:E1369)*(E1369=E$2:E1369)))))-COUNTBLANK(OFFSET(A$1,,,SUMPRODUCT(MAX(ROW(E$1:E1368)*(E2=E$1:E1368))))))</f>
        <v> </v>
      </c>
      <c r="K1369" s="25" t="str">
        <f>IF(OR(E1369="",E1369="!!!",F1369="NEW"),"",INDEX(J$1:J1368,SUMPRODUCT(MAX(ROW(E$1:E1368)*(E1369=E$1:E1368)))))</f>
        <v> </v>
      </c>
      <c r="L1369" s="26"/>
    </row>
    <row r="1370" spans="1:12">
      <c r="A1370" s="20" t="s">
        <v>372</v>
      </c>
      <c r="E1370" s="21">
        <f>IF(D1370="?OLD","!!!","")</f>
        <v/>
      </c>
      <c r="F1370" s="22" t="str">
        <f>IF(OR(E1370="",E1370="!!!"),"",IF(NOT(ISNA(VLOOKUP(E1370,E$1:E1369,1,FALSE()))),"OLD",IF(AND(E1370&lt;&gt;"",E1370&lt;&gt;"!!!"),"NEW","")))</f>
        <v> </v>
      </c>
      <c r="G1370" s="23" t="str">
        <f>IF(OR(E1370="",E1370="!!!"),"",IF(OR(J1370=0,AND(J1370=1,K1370=1),AND(J1370=1,I1370="SBJ"),AND(J1370=1,I1370=0)),"?IN_FOCUS",IF(J1370&lt;=2,"?ACTIVATED",IF(J1370&lt;&gt;"","?FAMILIAR",IF(F1370="NEW",IF(ISNA(VLOOKUP(E1370,#REF!,1,FALSE())),"?TYPE_IDENTIFIABLE","?REFERENTIAL"),"_")))))</f>
        <v> </v>
      </c>
      <c r="H1370" s="24" t="str">
        <f>IF(J1370&lt;&gt;1,"",IF(I1370="SBJ","CB","?"))</f>
        <v> </v>
      </c>
      <c r="I1370" s="25" t="str">
        <f>IF(OR(E1370="",E1370="!!!",F1370="NEW"),"",INDEX(B1369:B$2,-1+SUMPRODUCT(MAX(ROW(E1369:E$2)*(E1370=E1369:E$2)))))</f>
        <v> </v>
      </c>
      <c r="J1370" s="25" t="str">
        <f>IF(OR(E1370="",E1370="!!!",F1370="NEW"),"",COUNTBLANK(OFFSET(A$1,,,SUMPRODUCT(MAX(ROW(E$2:E1370)*(E1370=E$2:E1370)))))-COUNTBLANK(OFFSET(A$1,,,SUMPRODUCT(MAX(ROW(E$1:E1369)*(E2=E$1:E1369))))))</f>
        <v> </v>
      </c>
      <c r="K1370" s="25" t="str">
        <f>IF(OR(E1370="",E1370="!!!",F1370="NEW"),"",INDEX(J$1:J1369,SUMPRODUCT(MAX(ROW(E$1:E1369)*(E1370=E$1:E1369)))))</f>
        <v> </v>
      </c>
      <c r="L1370" s="26"/>
    </row>
    <row r="1371" spans="1:12">
      <c r="A1371" s="20" t="s">
        <v>273</v>
      </c>
      <c r="E1371" s="21">
        <f>IF(D1371="?OLD","!!!","")</f>
        <v/>
      </c>
      <c r="F1371" s="22" t="str">
        <f>IF(OR(E1371="",E1371="!!!"),"",IF(NOT(ISNA(VLOOKUP(E1371,E$1:E1370,1,FALSE()))),"OLD",IF(AND(E1371&lt;&gt;"",E1371&lt;&gt;"!!!"),"NEW","")))</f>
        <v> </v>
      </c>
      <c r="G1371" s="23" t="str">
        <f>IF(OR(E1371="",E1371="!!!"),"",IF(OR(J1371=0,AND(J1371=1,K1371=1),AND(J1371=1,I1371="SBJ"),AND(J1371=1,I1371=0)),"?IN_FOCUS",IF(J1371&lt;=2,"?ACTIVATED",IF(J1371&lt;&gt;"","?FAMILIAR",IF(F1371="NEW",IF(ISNA(VLOOKUP(E1371,#REF!,1,FALSE())),"?TYPE_IDENTIFIABLE","?REFERENTIAL"),"_")))))</f>
        <v> </v>
      </c>
      <c r="H1371" s="24" t="str">
        <f>IF(J1371&lt;&gt;1,"",IF(I1371="SBJ","CB","?"))</f>
        <v> </v>
      </c>
      <c r="I1371" s="25" t="str">
        <f>IF(OR(E1371="",E1371="!!!",F1371="NEW"),"",INDEX(B1370:B$2,-1+SUMPRODUCT(MAX(ROW(E1370:E$2)*(E1371=E1370:E$2)))))</f>
        <v> </v>
      </c>
      <c r="J1371" s="25" t="str">
        <f>IF(OR(E1371="",E1371="!!!",F1371="NEW"),"",COUNTBLANK(OFFSET(A$1,,,SUMPRODUCT(MAX(ROW(E$2:E1371)*(E1371=E$2:E1371)))))-COUNTBLANK(OFFSET(A$1,,,SUMPRODUCT(MAX(ROW(E$1:E1370)*(E2=E$1:E1370))))))</f>
        <v> </v>
      </c>
      <c r="K1371" s="25" t="str">
        <f>IF(OR(E1371="",E1371="!!!",F1371="NEW"),"",INDEX(J$1:J1370,SUMPRODUCT(MAX(ROW(E$1:E1370)*(E1371=E$1:E1370)))))</f>
        <v> </v>
      </c>
      <c r="L1371" s="26"/>
    </row>
    <row r="1372" spans="1:12">
      <c r="A1372" s="20" t="s">
        <v>803</v>
      </c>
      <c r="B1372" s="27" t="s">
        <v>237</v>
      </c>
      <c r="C1372" s="27" t="s">
        <v>243</v>
      </c>
      <c r="D1372" s="27" t="s">
        <v>244</v>
      </c>
      <c r="E1372" s="21">
        <f>IF(D1372="?OLD","!!!","")</f>
        <v/>
      </c>
      <c r="F1372" s="22" t="str">
        <f>IF(OR(E1372="",E1372="!!!"),"",IF(NOT(ISNA(VLOOKUP(E1372,E$1:E1371,1,FALSE()))),"OLD",IF(AND(E1372&lt;&gt;"",E1372&lt;&gt;"!!!"),"NEW","")))</f>
        <v> </v>
      </c>
      <c r="G1372" s="23" t="str">
        <f>IF(OR(E1372="",E1372="!!!"),"",IF(OR(J1372=0,AND(J1372=1,K1372=1),AND(J1372=1,I1372="SBJ"),AND(J1372=1,I1372=0)),"?IN_FOCUS",IF(J1372&lt;=2,"?ACTIVATED",IF(J1372&lt;&gt;"","?FAMILIAR",IF(F1372="NEW",IF(ISNA(VLOOKUP(E1372,#REF!,1,FALSE())),"?TYPE_IDENTIFIABLE","?REFERENTIAL"),"_")))))</f>
        <v> </v>
      </c>
      <c r="H1372" s="24" t="str">
        <f>IF(J1372&lt;&gt;1,"",IF(I1372="SBJ","CB","?"))</f>
        <v> </v>
      </c>
      <c r="I1372" s="25" t="str">
        <f>IF(OR(E1372="",E1372="!!!",F1372="NEW"),"",INDEX(B1371:B$2,-1+SUMPRODUCT(MAX(ROW(E1371:E$2)*(E1372=E1371:E$2)))))</f>
        <v> </v>
      </c>
      <c r="J1372" s="25" t="str">
        <f>IF(OR(E1372="",E1372="!!!",F1372="NEW"),"",COUNTBLANK(OFFSET(A$1,,,SUMPRODUCT(MAX(ROW(E$2:E1372)*(E1372=E$2:E1372)))))-COUNTBLANK(OFFSET(A$1,,,SUMPRODUCT(MAX(ROW(E$1:E1371)*(E2=E$1:E1371))))))</f>
        <v> </v>
      </c>
      <c r="K1372" s="25" t="str">
        <f>IF(OR(E1372="",E1372="!!!",F1372="NEW"),"",INDEX(J$1:J1371,SUMPRODUCT(MAX(ROW(E$1:E1371)*(E1372=E$1:E1371)))))</f>
        <v> </v>
      </c>
      <c r="L1372" s="26"/>
    </row>
    <row r="1373" spans="1:12">
      <c r="A1373" s="20" t="s">
        <v>804</v>
      </c>
      <c r="E1373" s="21">
        <f>IF(D1373="?OLD","!!!","")</f>
        <v/>
      </c>
      <c r="F1373" s="22" t="str">
        <f>IF(OR(E1373="",E1373="!!!"),"",IF(NOT(ISNA(VLOOKUP(E1373,E$1:E1372,1,FALSE()))),"OLD",IF(AND(E1373&lt;&gt;"",E1373&lt;&gt;"!!!"),"NEW","")))</f>
        <v> </v>
      </c>
      <c r="G1373" s="23" t="str">
        <f>IF(OR(E1373="",E1373="!!!"),"",IF(OR(J1373=0,AND(J1373=1,K1373=1),AND(J1373=1,I1373="SBJ"),AND(J1373=1,I1373=0)),"?IN_FOCUS",IF(J1373&lt;=2,"?ACTIVATED",IF(J1373&lt;&gt;"","?FAMILIAR",IF(F1373="NEW",IF(ISNA(VLOOKUP(E1373,#REF!,1,FALSE())),"?TYPE_IDENTIFIABLE","?REFERENTIAL"),"_")))))</f>
        <v> </v>
      </c>
      <c r="H1373" s="24" t="str">
        <f>IF(J1373&lt;&gt;1,"",IF(I1373="SBJ","CB","?"))</f>
        <v> </v>
      </c>
      <c r="I1373" s="25" t="str">
        <f>IF(OR(E1373="",E1373="!!!",F1373="NEW"),"",INDEX(B1372:B$2,-1+SUMPRODUCT(MAX(ROW(E1372:E$2)*(E1373=E1372:E$2)))))</f>
        <v> </v>
      </c>
      <c r="J1373" s="25" t="str">
        <f>IF(OR(E1373="",E1373="!!!",F1373="NEW"),"",COUNTBLANK(OFFSET(A$1,,,SUMPRODUCT(MAX(ROW(E$2:E1373)*(E1373=E$2:E1373)))))-COUNTBLANK(OFFSET(A$1,,,SUMPRODUCT(MAX(ROW(E$1:E1372)*(E2=E$1:E1372))))))</f>
        <v> </v>
      </c>
      <c r="K1373" s="25" t="str">
        <f>IF(OR(E1373="",E1373="!!!",F1373="NEW"),"",INDEX(J$1:J1372,SUMPRODUCT(MAX(ROW(E$1:E1372)*(E1373=E$1:E1372)))))</f>
        <v> </v>
      </c>
      <c r="L1373" s="26"/>
    </row>
    <row r="1374" spans="1:12">
      <c r="A1374" s="20" t="s">
        <v>420</v>
      </c>
      <c r="E1374" s="21">
        <f>IF(D1374="?OLD","!!!","")</f>
        <v/>
      </c>
      <c r="F1374" s="22" t="str">
        <f>IF(OR(E1374="",E1374="!!!"),"",IF(NOT(ISNA(VLOOKUP(E1374,E$1:E1373,1,FALSE()))),"OLD",IF(AND(E1374&lt;&gt;"",E1374&lt;&gt;"!!!"),"NEW","")))</f>
        <v> </v>
      </c>
      <c r="G1374" s="23" t="str">
        <f>IF(OR(E1374="",E1374="!!!"),"",IF(OR(J1374=0,AND(J1374=1,K1374=1),AND(J1374=1,I1374="SBJ"),AND(J1374=1,I1374=0)),"?IN_FOCUS",IF(J1374&lt;=2,"?ACTIVATED",IF(J1374&lt;&gt;"","?FAMILIAR",IF(F1374="NEW",IF(ISNA(VLOOKUP(E1374,#REF!,1,FALSE())),"?TYPE_IDENTIFIABLE","?REFERENTIAL"),"_")))))</f>
        <v> </v>
      </c>
      <c r="H1374" s="24" t="str">
        <f>IF(J1374&lt;&gt;1,"",IF(I1374="SBJ","CB","?"))</f>
        <v> </v>
      </c>
      <c r="I1374" s="25" t="str">
        <f>IF(OR(E1374="",E1374="!!!",F1374="NEW"),"",INDEX(B1373:B$2,-1+SUMPRODUCT(MAX(ROW(E1373:E$2)*(E1374=E1373:E$2)))))</f>
        <v> </v>
      </c>
      <c r="J1374" s="25" t="str">
        <f>IF(OR(E1374="",E1374="!!!",F1374="NEW"),"",COUNTBLANK(OFFSET(A$1,,,SUMPRODUCT(MAX(ROW(E$2:E1374)*(E1374=E$2:E1374)))))-COUNTBLANK(OFFSET(A$1,,,SUMPRODUCT(MAX(ROW(E$1:E1373)*(E2=E$1:E1373))))))</f>
        <v> </v>
      </c>
      <c r="K1374" s="25" t="str">
        <f>IF(OR(E1374="",E1374="!!!",F1374="NEW"),"",INDEX(J$1:J1373,SUMPRODUCT(MAX(ROW(E$1:E1373)*(E1374=E$1:E1373)))))</f>
        <v> </v>
      </c>
      <c r="L1374" s="26"/>
    </row>
    <row r="1375" spans="1:12">
      <c r="A1375" s="20" t="s">
        <v>341</v>
      </c>
      <c r="B1375" s="27" t="s">
        <v>295</v>
      </c>
      <c r="C1375" s="27" t="s">
        <v>256</v>
      </c>
      <c r="D1375" s="27" t="s">
        <v>244</v>
      </c>
      <c r="E1375" s="21">
        <f>IF(D1375="?OLD","!!!","")</f>
        <v/>
      </c>
      <c r="F1375" s="22" t="str">
        <f>IF(OR(E1375="",E1375="!!!"),"",IF(NOT(ISNA(VLOOKUP(E1375,E$1:E1374,1,FALSE()))),"OLD",IF(AND(E1375&lt;&gt;"",E1375&lt;&gt;"!!!"),"NEW","")))</f>
        <v> </v>
      </c>
      <c r="G1375" s="23" t="str">
        <f>IF(OR(E1375="",E1375="!!!"),"",IF(OR(J1375=0,AND(J1375=1,K1375=1),AND(J1375=1,I1375="SBJ"),AND(J1375=1,I1375=0)),"?IN_FOCUS",IF(J1375&lt;=2,"?ACTIVATED",IF(J1375&lt;&gt;"","?FAMILIAR",IF(F1375="NEW",IF(ISNA(VLOOKUP(E1375,#REF!,1,FALSE())),"?TYPE_IDENTIFIABLE","?REFERENTIAL"),"_")))))</f>
        <v> </v>
      </c>
      <c r="H1375" s="24" t="str">
        <f>IF(J1375&lt;&gt;1,"",IF(I1375="SBJ","CB","?"))</f>
        <v> </v>
      </c>
      <c r="I1375" s="25" t="str">
        <f>IF(OR(E1375="",E1375="!!!",F1375="NEW"),"",INDEX(B1374:B$2,-1+SUMPRODUCT(MAX(ROW(E1374:E$2)*(E1375=E1374:E$2)))))</f>
        <v> </v>
      </c>
      <c r="J1375" s="25" t="str">
        <f>IF(OR(E1375="",E1375="!!!",F1375="NEW"),"",COUNTBLANK(OFFSET(A$1,,,SUMPRODUCT(MAX(ROW(E$2:E1375)*(E1375=E$2:E1375)))))-COUNTBLANK(OFFSET(A$1,,,SUMPRODUCT(MAX(ROW(E$1:E1374)*(E2=E$1:E1374))))))</f>
        <v> </v>
      </c>
      <c r="K1375" s="25" t="str">
        <f>IF(OR(E1375="",E1375="!!!",F1375="NEW"),"",INDEX(J$1:J1374,SUMPRODUCT(MAX(ROW(E$1:E1374)*(E1375=E$1:E1374)))))</f>
        <v> </v>
      </c>
      <c r="L1375" s="26"/>
    </row>
    <row r="1376" spans="1:12">
      <c r="A1376" s="20" t="s">
        <v>415</v>
      </c>
      <c r="E1376" s="21">
        <f>IF(D1376="?OLD","!!!","")</f>
        <v/>
      </c>
      <c r="F1376" s="22" t="str">
        <f>IF(OR(E1376="",E1376="!!!"),"",IF(NOT(ISNA(VLOOKUP(E1376,E$1:E1375,1,FALSE()))),"OLD",IF(AND(E1376&lt;&gt;"",E1376&lt;&gt;"!!!"),"NEW","")))</f>
        <v> </v>
      </c>
      <c r="G1376" s="23" t="str">
        <f>IF(OR(E1376="",E1376="!!!"),"",IF(OR(J1376=0,AND(J1376=1,K1376=1),AND(J1376=1,I1376="SBJ"),AND(J1376=1,I1376=0)),"?IN_FOCUS",IF(J1376&lt;=2,"?ACTIVATED",IF(J1376&lt;&gt;"","?FAMILIAR",IF(F1376="NEW",IF(ISNA(VLOOKUP(E1376,#REF!,1,FALSE())),"?TYPE_IDENTIFIABLE","?REFERENTIAL"),"_")))))</f>
        <v> </v>
      </c>
      <c r="H1376" s="24" t="str">
        <f>IF(J1376&lt;&gt;1,"",IF(I1376="SBJ","CB","?"))</f>
        <v> </v>
      </c>
      <c r="I1376" s="25" t="str">
        <f>IF(OR(E1376="",E1376="!!!",F1376="NEW"),"",INDEX(B1375:B$2,-1+SUMPRODUCT(MAX(ROW(E1375:E$2)*(E1376=E1375:E$2)))))</f>
        <v> </v>
      </c>
      <c r="J1376" s="25" t="str">
        <f>IF(OR(E1376="",E1376="!!!",F1376="NEW"),"",COUNTBLANK(OFFSET(A$1,,,SUMPRODUCT(MAX(ROW(E$2:E1376)*(E1376=E$2:E1376)))))-COUNTBLANK(OFFSET(A$1,,,SUMPRODUCT(MAX(ROW(E$1:E1375)*(E2=E$1:E1375))))))</f>
        <v> </v>
      </c>
      <c r="K1376" s="25" t="str">
        <f>IF(OR(E1376="",E1376="!!!",F1376="NEW"),"",INDEX(J$1:J1375,SUMPRODUCT(MAX(ROW(E$1:E1375)*(E1376=E$1:E1375)))))</f>
        <v> </v>
      </c>
      <c r="L1376" s="26"/>
    </row>
    <row r="1377" spans="1:12">
      <c r="A1377" s="20" t="s">
        <v>805</v>
      </c>
      <c r="B1377" s="27" t="s">
        <v>301</v>
      </c>
      <c r="C1377" s="27" t="s">
        <v>256</v>
      </c>
      <c r="D1377" s="27" t="s">
        <v>244</v>
      </c>
      <c r="E1377" s="21">
        <f>IF(D1377="?OLD","!!!","")</f>
        <v/>
      </c>
      <c r="F1377" s="22" t="str">
        <f>IF(OR(E1377="",E1377="!!!"),"",IF(NOT(ISNA(VLOOKUP(E1377,E$1:E1376,1,FALSE()))),"OLD",IF(AND(E1377&lt;&gt;"",E1377&lt;&gt;"!!!"),"NEW","")))</f>
        <v> </v>
      </c>
      <c r="G1377" s="23" t="str">
        <f>IF(OR(E1377="",E1377="!!!"),"",IF(OR(J1377=0,AND(J1377=1,K1377=1),AND(J1377=1,I1377="SBJ"),AND(J1377=1,I1377=0)),"?IN_FOCUS",IF(J1377&lt;=2,"?ACTIVATED",IF(J1377&lt;&gt;"","?FAMILIAR",IF(F1377="NEW",IF(ISNA(VLOOKUP(E1377,#REF!,1,FALSE())),"?TYPE_IDENTIFIABLE","?REFERENTIAL"),"_")))))</f>
        <v> </v>
      </c>
      <c r="H1377" s="24" t="str">
        <f>IF(J1377&lt;&gt;1,"",IF(I1377="SBJ","CB","?"))</f>
        <v> </v>
      </c>
      <c r="I1377" s="25" t="str">
        <f>IF(OR(E1377="",E1377="!!!",F1377="NEW"),"",INDEX(B1376:B$2,-1+SUMPRODUCT(MAX(ROW(E1376:E$2)*(E1377=E1376:E$2)))))</f>
        <v> </v>
      </c>
      <c r="J1377" s="25" t="str">
        <f>IF(OR(E1377="",E1377="!!!",F1377="NEW"),"",COUNTBLANK(OFFSET(A$1,,,SUMPRODUCT(MAX(ROW(E$2:E1377)*(E1377=E$2:E1377)))))-COUNTBLANK(OFFSET(A$1,,,SUMPRODUCT(MAX(ROW(E$1:E1376)*(E2=E$1:E1376))))))</f>
        <v> </v>
      </c>
      <c r="K1377" s="25" t="str">
        <f>IF(OR(E1377="",E1377="!!!",F1377="NEW"),"",INDEX(J$1:J1376,SUMPRODUCT(MAX(ROW(E$1:E1376)*(E1377=E$1:E1376)))))</f>
        <v> </v>
      </c>
      <c r="L1377" s="26"/>
    </row>
    <row r="1378" spans="1:12">
      <c r="A1378" s="20" t="s">
        <v>305</v>
      </c>
      <c r="E1378" s="21">
        <f>IF(D1378="?OLD","!!!","")</f>
        <v/>
      </c>
      <c r="F1378" s="22" t="str">
        <f>IF(OR(E1378="",E1378="!!!"),"",IF(NOT(ISNA(VLOOKUP(E1378,E$1:E1377,1,FALSE()))),"OLD",IF(AND(E1378&lt;&gt;"",E1378&lt;&gt;"!!!"),"NEW","")))</f>
        <v> </v>
      </c>
      <c r="G1378" s="23" t="str">
        <f>IF(OR(E1378="",E1378="!!!"),"",IF(OR(J1378=0,AND(J1378=1,K1378=1),AND(J1378=1,I1378="SBJ"),AND(J1378=1,I1378=0)),"?IN_FOCUS",IF(J1378&lt;=2,"?ACTIVATED",IF(J1378&lt;&gt;"","?FAMILIAR",IF(F1378="NEW",IF(ISNA(VLOOKUP(E1378,#REF!,1,FALSE())),"?TYPE_IDENTIFIABLE","?REFERENTIAL"),"_")))))</f>
        <v> </v>
      </c>
      <c r="H1378" s="24" t="str">
        <f>IF(J1378&lt;&gt;1,"",IF(I1378="SBJ","CB","?"))</f>
        <v> </v>
      </c>
      <c r="I1378" s="25" t="str">
        <f>IF(OR(E1378="",E1378="!!!",F1378="NEW"),"",INDEX(B1377:B$2,-1+SUMPRODUCT(MAX(ROW(E1377:E$2)*(E1378=E1377:E$2)))))</f>
        <v> </v>
      </c>
      <c r="J1378" s="25" t="str">
        <f>IF(OR(E1378="",E1378="!!!",F1378="NEW"),"",COUNTBLANK(OFFSET(A$1,,,SUMPRODUCT(MAX(ROW(E$2:E1378)*(E1378=E$2:E1378)))))-COUNTBLANK(OFFSET(A$1,,,SUMPRODUCT(MAX(ROW(E$1:E1377)*(E2=E$1:E1377))))))</f>
        <v> </v>
      </c>
      <c r="K1378" s="25" t="str">
        <f>IF(OR(E1378="",E1378="!!!",F1378="NEW"),"",INDEX(J$1:J1377,SUMPRODUCT(MAX(ROW(E$1:E1377)*(E1378=E$1:E1377)))))</f>
        <v> </v>
      </c>
      <c r="L1378" s="26"/>
    </row>
    <row r="1379" spans="1:12">
      <c r="A1379" s="20" t="s">
        <v>676</v>
      </c>
      <c r="E1379" s="21">
        <f>IF(D1379="?OLD","!!!","")</f>
        <v/>
      </c>
      <c r="F1379" s="22" t="str">
        <f>IF(OR(E1379="",E1379="!!!"),"",IF(NOT(ISNA(VLOOKUP(E1379,E$1:E1378,1,FALSE()))),"OLD",IF(AND(E1379&lt;&gt;"",E1379&lt;&gt;"!!!"),"NEW","")))</f>
        <v> </v>
      </c>
      <c r="G1379" s="23" t="str">
        <f>IF(OR(E1379="",E1379="!!!"),"",IF(OR(J1379=0,AND(J1379=1,K1379=1),AND(J1379=1,I1379="SBJ"),AND(J1379=1,I1379=0)),"?IN_FOCUS",IF(J1379&lt;=2,"?ACTIVATED",IF(J1379&lt;&gt;"","?FAMILIAR",IF(F1379="NEW",IF(ISNA(VLOOKUP(E1379,#REF!,1,FALSE())),"?TYPE_IDENTIFIABLE","?REFERENTIAL"),"_")))))</f>
        <v> </v>
      </c>
      <c r="H1379" s="24" t="str">
        <f>IF(J1379&lt;&gt;1,"",IF(I1379="SBJ","CB","?"))</f>
        <v> </v>
      </c>
      <c r="I1379" s="25" t="str">
        <f>IF(OR(E1379="",E1379="!!!",F1379="NEW"),"",INDEX(B1378:B$2,-1+SUMPRODUCT(MAX(ROW(E1378:E$2)*(E1379=E1378:E$2)))))</f>
        <v> </v>
      </c>
      <c r="J1379" s="25" t="str">
        <f>IF(OR(E1379="",E1379="!!!",F1379="NEW"),"",COUNTBLANK(OFFSET(A$1,,,SUMPRODUCT(MAX(ROW(E$2:E1379)*(E1379=E$2:E1379)))))-COUNTBLANK(OFFSET(A$1,,,SUMPRODUCT(MAX(ROW(E$1:E1378)*(E2=E$1:E1378))))))</f>
        <v> </v>
      </c>
      <c r="K1379" s="25" t="str">
        <f>IF(OR(E1379="",E1379="!!!",F1379="NEW"),"",INDEX(J$1:J1378,SUMPRODUCT(MAX(ROW(E$1:E1378)*(E1379=E$1:E1378)))))</f>
        <v> </v>
      </c>
      <c r="L1379" s="26"/>
    </row>
    <row r="1380" spans="1:12">
      <c r="A1380" s="20" t="s">
        <v>404</v>
      </c>
      <c r="B1380" s="27" t="s">
        <v>381</v>
      </c>
      <c r="C1380" s="27" t="s">
        <v>327</v>
      </c>
      <c r="E1380" s="21">
        <f>IF(D1380="?OLD","!!!","")</f>
        <v/>
      </c>
      <c r="F1380" s="22" t="str">
        <f>IF(OR(E1380="",E1380="!!!"),"",IF(NOT(ISNA(VLOOKUP(E1380,E$1:E1379,1,FALSE()))),"OLD",IF(AND(E1380&lt;&gt;"",E1380&lt;&gt;"!!!"),"NEW","")))</f>
        <v> </v>
      </c>
      <c r="G1380" s="23" t="str">
        <f>IF(OR(E1380="",E1380="!!!"),"",IF(OR(J1380=0,AND(J1380=1,K1380=1),AND(J1380=1,I1380="SBJ"),AND(J1380=1,I1380=0)),"?IN_FOCUS",IF(J1380&lt;=2,"?ACTIVATED",IF(J1380&lt;&gt;"","?FAMILIAR",IF(F1380="NEW",IF(ISNA(VLOOKUP(E1380,#REF!,1,FALSE())),"?TYPE_IDENTIFIABLE","?REFERENTIAL"),"_")))))</f>
        <v> </v>
      </c>
      <c r="H1380" s="24" t="str">
        <f>IF(J1380&lt;&gt;1,"",IF(I1380="SBJ","CB","?"))</f>
        <v> </v>
      </c>
      <c r="I1380" s="25" t="str">
        <f>IF(OR(E1380="",E1380="!!!",F1380="NEW"),"",INDEX(B1379:B$2,-1+SUMPRODUCT(MAX(ROW(E1379:E$2)*(E1380=E1379:E$2)))))</f>
        <v> </v>
      </c>
      <c r="J1380" s="25" t="str">
        <f>IF(OR(E1380="",E1380="!!!",F1380="NEW"),"",COUNTBLANK(OFFSET(A$1,,,SUMPRODUCT(MAX(ROW(E$2:E1380)*(E1380=E$2:E1380)))))-COUNTBLANK(OFFSET(A$1,,,SUMPRODUCT(MAX(ROW(E$1:E1379)*(E2=E$1:E1379))))))</f>
        <v> </v>
      </c>
      <c r="K1380" s="25" t="str">
        <f>IF(OR(E1380="",E1380="!!!",F1380="NEW"),"",INDEX(J$1:J1379,SUMPRODUCT(MAX(ROW(E$1:E1379)*(E1380=E$1:E1379)))))</f>
        <v> </v>
      </c>
      <c r="L1380" s="26"/>
    </row>
    <row r="1381" spans="1:12">
      <c r="A1381" s="20" t="s">
        <v>614</v>
      </c>
      <c r="E1381" s="21">
        <f>IF(D1381="?OLD","!!!","")</f>
        <v/>
      </c>
      <c r="F1381" s="22" t="str">
        <f>IF(OR(E1381="",E1381="!!!"),"",IF(NOT(ISNA(VLOOKUP(E1381,E$1:E1380,1,FALSE()))),"OLD",IF(AND(E1381&lt;&gt;"",E1381&lt;&gt;"!!!"),"NEW","")))</f>
        <v> </v>
      </c>
      <c r="G1381" s="23" t="str">
        <f>IF(OR(E1381="",E1381="!!!"),"",IF(OR(J1381=0,AND(J1381=1,K1381=1),AND(J1381=1,I1381="SBJ"),AND(J1381=1,I1381=0)),"?IN_FOCUS",IF(J1381&lt;=2,"?ACTIVATED",IF(J1381&lt;&gt;"","?FAMILIAR",IF(F1381="NEW",IF(ISNA(VLOOKUP(E1381,#REF!,1,FALSE())),"?TYPE_IDENTIFIABLE","?REFERENTIAL"),"_")))))</f>
        <v> </v>
      </c>
      <c r="H1381" s="24" t="str">
        <f>IF(J1381&lt;&gt;1,"",IF(I1381="SBJ","CB","?"))</f>
        <v> </v>
      </c>
      <c r="I1381" s="25" t="str">
        <f>IF(OR(E1381="",E1381="!!!",F1381="NEW"),"",INDEX(B1380:B$2,-1+SUMPRODUCT(MAX(ROW(E1380:E$2)*(E1381=E1380:E$2)))))</f>
        <v> </v>
      </c>
      <c r="J1381" s="25" t="str">
        <f>IF(OR(E1381="",E1381="!!!",F1381="NEW"),"",COUNTBLANK(OFFSET(A$1,,,SUMPRODUCT(MAX(ROW(E$2:E1381)*(E1381=E$2:E1381)))))-COUNTBLANK(OFFSET(A$1,,,SUMPRODUCT(MAX(ROW(E$1:E1380)*(E2=E$1:E1380))))))</f>
        <v> </v>
      </c>
      <c r="K1381" s="25" t="str">
        <f>IF(OR(E1381="",E1381="!!!",F1381="NEW"),"",INDEX(J$1:J1380,SUMPRODUCT(MAX(ROW(E$1:E1380)*(E1381=E$1:E1380)))))</f>
        <v> </v>
      </c>
      <c r="L1381" s="26"/>
    </row>
    <row r="1382" spans="1:12">
      <c r="A1382" s="20" t="s">
        <v>337</v>
      </c>
      <c r="B1382" s="27" t="s">
        <v>266</v>
      </c>
      <c r="C1382" s="27" t="s">
        <v>256</v>
      </c>
      <c r="D1382" s="27" t="s">
        <v>244</v>
      </c>
      <c r="E1382" s="21">
        <f>IF(D1382="?OLD","!!!","")</f>
        <v/>
      </c>
      <c r="F1382" s="22" t="str">
        <f>IF(OR(E1382="",E1382="!!!"),"",IF(NOT(ISNA(VLOOKUP(E1382,E$1:E1381,1,FALSE()))),"OLD",IF(AND(E1382&lt;&gt;"",E1382&lt;&gt;"!!!"),"NEW","")))</f>
        <v> </v>
      </c>
      <c r="G1382" s="23" t="str">
        <f>IF(OR(E1382="",E1382="!!!"),"",IF(OR(J1382=0,AND(J1382=1,K1382=1),AND(J1382=1,I1382="SBJ"),AND(J1382=1,I1382=0)),"?IN_FOCUS",IF(J1382&lt;=2,"?ACTIVATED",IF(J1382&lt;&gt;"","?FAMILIAR",IF(F1382="NEW",IF(ISNA(VLOOKUP(E1382,#REF!,1,FALSE())),"?TYPE_IDENTIFIABLE","?REFERENTIAL"),"_")))))</f>
        <v> </v>
      </c>
      <c r="H1382" s="24" t="str">
        <f>IF(J1382&lt;&gt;1,"",IF(I1382="SBJ","CB","?"))</f>
        <v> </v>
      </c>
      <c r="I1382" s="25" t="str">
        <f>IF(OR(E1382="",E1382="!!!",F1382="NEW"),"",INDEX(B1381:B$2,-1+SUMPRODUCT(MAX(ROW(E1381:E$2)*(E1382=E1381:E$2)))))</f>
        <v> </v>
      </c>
      <c r="J1382" s="25" t="str">
        <f>IF(OR(E1382="",E1382="!!!",F1382="NEW"),"",COUNTBLANK(OFFSET(A$1,,,SUMPRODUCT(MAX(ROW(E$2:E1382)*(E1382=E$2:E1382)))))-COUNTBLANK(OFFSET(A$1,,,SUMPRODUCT(MAX(ROW(E$1:E1381)*(E2=E$1:E1381))))))</f>
        <v> </v>
      </c>
      <c r="K1382" s="25" t="str">
        <f>IF(OR(E1382="",E1382="!!!",F1382="NEW"),"",INDEX(J$1:J1381,SUMPRODUCT(MAX(ROW(E$1:E1381)*(E1382=E$1:E1381)))))</f>
        <v> </v>
      </c>
      <c r="L1382" s="26"/>
    </row>
    <row r="1383" spans="1:12">
      <c r="A1383" s="20" t="s">
        <v>418</v>
      </c>
      <c r="E1383" s="21">
        <f>IF(D1383="?OLD","!!!","")</f>
        <v/>
      </c>
      <c r="F1383" s="22" t="str">
        <f>IF(OR(E1383="",E1383="!!!"),"",IF(NOT(ISNA(VLOOKUP(E1383,E$1:E1382,1,FALSE()))),"OLD",IF(AND(E1383&lt;&gt;"",E1383&lt;&gt;"!!!"),"NEW","")))</f>
        <v> </v>
      </c>
      <c r="G1383" s="23" t="str">
        <f>IF(OR(E1383="",E1383="!!!"),"",IF(OR(J1383=0,AND(J1383=1,K1383=1),AND(J1383=1,I1383="SBJ"),AND(J1383=1,I1383=0)),"?IN_FOCUS",IF(J1383&lt;=2,"?ACTIVATED",IF(J1383&lt;&gt;"","?FAMILIAR",IF(F1383="NEW",IF(ISNA(VLOOKUP(E1383,#REF!,1,FALSE())),"?TYPE_IDENTIFIABLE","?REFERENTIAL"),"_")))))</f>
        <v> </v>
      </c>
      <c r="H1383" s="24" t="str">
        <f>IF(J1383&lt;&gt;1,"",IF(I1383="SBJ","CB","?"))</f>
        <v> </v>
      </c>
      <c r="I1383" s="25" t="str">
        <f>IF(OR(E1383="",E1383="!!!",F1383="NEW"),"",INDEX(B1382:B$2,-1+SUMPRODUCT(MAX(ROW(E1382:E$2)*(E1383=E1382:E$2)))))</f>
        <v> </v>
      </c>
      <c r="J1383" s="25" t="str">
        <f>IF(OR(E1383="",E1383="!!!",F1383="NEW"),"",COUNTBLANK(OFFSET(A$1,,,SUMPRODUCT(MAX(ROW(E$2:E1383)*(E1383=E$2:E1383)))))-COUNTBLANK(OFFSET(A$1,,,SUMPRODUCT(MAX(ROW(E$1:E1382)*(E2=E$1:E1382))))))</f>
        <v> </v>
      </c>
      <c r="K1383" s="25" t="str">
        <f>IF(OR(E1383="",E1383="!!!",F1383="NEW"),"",INDEX(J$1:J1382,SUMPRODUCT(MAX(ROW(E$1:E1382)*(E1383=E$1:E1382)))))</f>
        <v> </v>
      </c>
      <c r="L1383" s="26"/>
    </row>
    <row r="1384" spans="1:12">
      <c r="A1384" s="20" t="s">
        <v>806</v>
      </c>
      <c r="B1384" s="27" t="s">
        <v>381</v>
      </c>
      <c r="C1384" s="27" t="s">
        <v>281</v>
      </c>
      <c r="E1384" s="21">
        <f>IF(D1384="?OLD","!!!","")</f>
        <v/>
      </c>
      <c r="F1384" s="22" t="str">
        <f>IF(OR(E1384="",E1384="!!!"),"",IF(NOT(ISNA(VLOOKUP(E1384,E$1:E1383,1,FALSE()))),"OLD",IF(AND(E1384&lt;&gt;"",E1384&lt;&gt;"!!!"),"NEW","")))</f>
        <v> </v>
      </c>
      <c r="G1384" s="23" t="str">
        <f>IF(OR(E1384="",E1384="!!!"),"",IF(OR(J1384=0,AND(J1384=1,K1384=1),AND(J1384=1,I1384="SBJ"),AND(J1384=1,I1384=0)),"?IN_FOCUS",IF(J1384&lt;=2,"?ACTIVATED",IF(J1384&lt;&gt;"","?FAMILIAR",IF(F1384="NEW",IF(ISNA(VLOOKUP(E1384,#REF!,1,FALSE())),"?TYPE_IDENTIFIABLE","?REFERENTIAL"),"_")))))</f>
        <v> </v>
      </c>
      <c r="H1384" s="24" t="str">
        <f>IF(J1384&lt;&gt;1,"",IF(I1384="SBJ","CB","?"))</f>
        <v> </v>
      </c>
      <c r="I1384" s="25" t="str">
        <f>IF(OR(E1384="",E1384="!!!",F1384="NEW"),"",INDEX(B1383:B$2,-1+SUMPRODUCT(MAX(ROW(E1383:E$2)*(E1384=E1383:E$2)))))</f>
        <v> </v>
      </c>
      <c r="J1384" s="25" t="str">
        <f>IF(OR(E1384="",E1384="!!!",F1384="NEW"),"",COUNTBLANK(OFFSET(A$1,,,SUMPRODUCT(MAX(ROW(E$2:E1384)*(E1384=E$2:E1384)))))-COUNTBLANK(OFFSET(A$1,,,SUMPRODUCT(MAX(ROW(E$1:E1383)*(E2=E$1:E1383))))))</f>
        <v> </v>
      </c>
      <c r="K1384" s="25" t="str">
        <f>IF(OR(E1384="",E1384="!!!",F1384="NEW"),"",INDEX(J$1:J1383,SUMPRODUCT(MAX(ROW(E$1:E1383)*(E1384=E$1:E1383)))))</f>
        <v> </v>
      </c>
      <c r="L1384" s="26"/>
    </row>
    <row r="1385" spans="1:12">
      <c r="A1385" s="20" t="s">
        <v>471</v>
      </c>
      <c r="E1385" s="21">
        <f>IF(D1385="?OLD","!!!","")</f>
        <v/>
      </c>
      <c r="F1385" s="22" t="str">
        <f>IF(OR(E1385="",E1385="!!!"),"",IF(NOT(ISNA(VLOOKUP(E1385,E$1:E1384,1,FALSE()))),"OLD",IF(AND(E1385&lt;&gt;"",E1385&lt;&gt;"!!!"),"NEW","")))</f>
        <v> </v>
      </c>
      <c r="G1385" s="23" t="str">
        <f>IF(OR(E1385="",E1385="!!!"),"",IF(OR(J1385=0,AND(J1385=1,K1385=1),AND(J1385=1,I1385="SBJ"),AND(J1385=1,I1385=0)),"?IN_FOCUS",IF(J1385&lt;=2,"?ACTIVATED",IF(J1385&lt;&gt;"","?FAMILIAR",IF(F1385="NEW",IF(ISNA(VLOOKUP(E1385,#REF!,1,FALSE())),"?TYPE_IDENTIFIABLE","?REFERENTIAL"),"_")))))</f>
        <v> </v>
      </c>
      <c r="H1385" s="24" t="str">
        <f>IF(J1385&lt;&gt;1,"",IF(I1385="SBJ","CB","?"))</f>
        <v> </v>
      </c>
      <c r="I1385" s="25" t="str">
        <f>IF(OR(E1385="",E1385="!!!",F1385="NEW"),"",INDEX(B1384:B$2,-1+SUMPRODUCT(MAX(ROW(E1384:E$2)*(E1385=E1384:E$2)))))</f>
        <v> </v>
      </c>
      <c r="J1385" s="25" t="str">
        <f>IF(OR(E1385="",E1385="!!!",F1385="NEW"),"",COUNTBLANK(OFFSET(A$1,,,SUMPRODUCT(MAX(ROW(E$2:E1385)*(E1385=E$2:E1385)))))-COUNTBLANK(OFFSET(A$1,,,SUMPRODUCT(MAX(ROW(E$1:E1384)*(E2=E$1:E1384))))))</f>
        <v> </v>
      </c>
      <c r="K1385" s="25" t="str">
        <f>IF(OR(E1385="",E1385="!!!",F1385="NEW"),"",INDEX(J$1:J1384,SUMPRODUCT(MAX(ROW(E$1:E1384)*(E1385=E$1:E1384)))))</f>
        <v> </v>
      </c>
      <c r="L1385" s="26"/>
    </row>
    <row r="1386" spans="1:12">
      <c r="A1386" s="20" t="s">
        <v>807</v>
      </c>
      <c r="B1386" s="27" t="s">
        <v>262</v>
      </c>
      <c r="C1386" s="27" t="s">
        <v>281</v>
      </c>
      <c r="E1386" s="21">
        <f>IF(D1386="?OLD","!!!","")</f>
        <v/>
      </c>
      <c r="F1386" s="22" t="str">
        <f>IF(OR(E1386="",E1386="!!!"),"",IF(NOT(ISNA(VLOOKUP(E1386,E$1:E1385,1,FALSE()))),"OLD",IF(AND(E1386&lt;&gt;"",E1386&lt;&gt;"!!!"),"NEW","")))</f>
        <v> </v>
      </c>
      <c r="G1386" s="23" t="str">
        <f>IF(OR(E1386="",E1386="!!!"),"",IF(OR(J1386=0,AND(J1386=1,K1386=1),AND(J1386=1,I1386="SBJ"),AND(J1386=1,I1386=0)),"?IN_FOCUS",IF(J1386&lt;=2,"?ACTIVATED",IF(J1386&lt;&gt;"","?FAMILIAR",IF(F1386="NEW",IF(ISNA(VLOOKUP(E1386,#REF!,1,FALSE())),"?TYPE_IDENTIFIABLE","?REFERENTIAL"),"_")))))</f>
        <v> </v>
      </c>
      <c r="H1386" s="24" t="str">
        <f>IF(J1386&lt;&gt;1,"",IF(I1386="SBJ","CB","?"))</f>
        <v> </v>
      </c>
      <c r="I1386" s="25" t="str">
        <f>IF(OR(E1386="",E1386="!!!",F1386="NEW"),"",INDEX(B1385:B$2,-1+SUMPRODUCT(MAX(ROW(E1385:E$2)*(E1386=E1385:E$2)))))</f>
        <v> </v>
      </c>
      <c r="J1386" s="25" t="str">
        <f>IF(OR(E1386="",E1386="!!!",F1386="NEW"),"",COUNTBLANK(OFFSET(A$1,,,SUMPRODUCT(MAX(ROW(E$2:E1386)*(E1386=E$2:E1386)))))-COUNTBLANK(OFFSET(A$1,,,SUMPRODUCT(MAX(ROW(E$1:E1385)*(E2=E$1:E1385))))))</f>
        <v> </v>
      </c>
      <c r="K1386" s="25" t="str">
        <f>IF(OR(E1386="",E1386="!!!",F1386="NEW"),"",INDEX(J$1:J1385,SUMPRODUCT(MAX(ROW(E$1:E1385)*(E1386=E$1:E1385)))))</f>
        <v> </v>
      </c>
      <c r="L1386" s="26"/>
    </row>
    <row r="1387" spans="1:12">
      <c r="A1387" s="20" t="s">
        <v>409</v>
      </c>
      <c r="E1387" s="21">
        <f>IF(D1387="?OLD","!!!","")</f>
        <v/>
      </c>
      <c r="F1387" s="22" t="str">
        <f>IF(OR(E1387="",E1387="!!!"),"",IF(NOT(ISNA(VLOOKUP(E1387,E$1:E1386,1,FALSE()))),"OLD",IF(AND(E1387&lt;&gt;"",E1387&lt;&gt;"!!!"),"NEW","")))</f>
        <v> </v>
      </c>
      <c r="G1387" s="23" t="str">
        <f>IF(OR(E1387="",E1387="!!!"),"",IF(OR(J1387=0,AND(J1387=1,K1387=1),AND(J1387=1,I1387="SBJ"),AND(J1387=1,I1387=0)),"?IN_FOCUS",IF(J1387&lt;=2,"?ACTIVATED",IF(J1387&lt;&gt;"","?FAMILIAR",IF(F1387="NEW",IF(ISNA(VLOOKUP(E1387,#REF!,1,FALSE())),"?TYPE_IDENTIFIABLE","?REFERENTIAL"),"_")))))</f>
        <v> </v>
      </c>
      <c r="H1387" s="24" t="str">
        <f>IF(J1387&lt;&gt;1,"",IF(I1387="SBJ","CB","?"))</f>
        <v> </v>
      </c>
      <c r="I1387" s="25" t="str">
        <f>IF(OR(E1387="",E1387="!!!",F1387="NEW"),"",INDEX(B1386:B$2,-1+SUMPRODUCT(MAX(ROW(E1386:E$2)*(E1387=E1386:E$2)))))</f>
        <v> </v>
      </c>
      <c r="J1387" s="25" t="str">
        <f>IF(OR(E1387="",E1387="!!!",F1387="NEW"),"",COUNTBLANK(OFFSET(A$1,,,SUMPRODUCT(MAX(ROW(E$2:E1387)*(E1387=E$2:E1387)))))-COUNTBLANK(OFFSET(A$1,,,SUMPRODUCT(MAX(ROW(E$1:E1386)*(E2=E$1:E1386))))))</f>
        <v> </v>
      </c>
      <c r="K1387" s="25" t="str">
        <f>IF(OR(E1387="",E1387="!!!",F1387="NEW"),"",INDEX(J$1:J1386,SUMPRODUCT(MAX(ROW(E$1:E1386)*(E1387=E$1:E1386)))))</f>
        <v> </v>
      </c>
      <c r="L1387" s="26"/>
    </row>
    <row r="1388" spans="1:12">
      <c r="A1388" s="20" t="s">
        <v>676</v>
      </c>
      <c r="E1388" s="21">
        <f>IF(D1388="?OLD","!!!","")</f>
        <v/>
      </c>
      <c r="F1388" s="22" t="str">
        <f>IF(OR(E1388="",E1388="!!!"),"",IF(NOT(ISNA(VLOOKUP(E1388,E$1:E1387,1,FALSE()))),"OLD",IF(AND(E1388&lt;&gt;"",E1388&lt;&gt;"!!!"),"NEW","")))</f>
        <v> </v>
      </c>
      <c r="G1388" s="23" t="str">
        <f>IF(OR(E1388="",E1388="!!!"),"",IF(OR(J1388=0,AND(J1388=1,K1388=1),AND(J1388=1,I1388="SBJ"),AND(J1388=1,I1388=0)),"?IN_FOCUS",IF(J1388&lt;=2,"?ACTIVATED",IF(J1388&lt;&gt;"","?FAMILIAR",IF(F1388="NEW",IF(ISNA(VLOOKUP(E1388,#REF!,1,FALSE())),"?TYPE_IDENTIFIABLE","?REFERENTIAL"),"_")))))</f>
        <v> </v>
      </c>
      <c r="H1388" s="24" t="str">
        <f>IF(J1388&lt;&gt;1,"",IF(I1388="SBJ","CB","?"))</f>
        <v> </v>
      </c>
      <c r="I1388" s="25" t="str">
        <f>IF(OR(E1388="",E1388="!!!",F1388="NEW"),"",INDEX(B1387:B$2,-1+SUMPRODUCT(MAX(ROW(E1387:E$2)*(E1388=E1387:E$2)))))</f>
        <v> </v>
      </c>
      <c r="J1388" s="25" t="str">
        <f>IF(OR(E1388="",E1388="!!!",F1388="NEW"),"",COUNTBLANK(OFFSET(A$1,,,SUMPRODUCT(MAX(ROW(E$2:E1388)*(E1388=E$2:E1388)))))-COUNTBLANK(OFFSET(A$1,,,SUMPRODUCT(MAX(ROW(E$1:E1387)*(E2=E$1:E1387))))))</f>
        <v> </v>
      </c>
      <c r="K1388" s="25" t="str">
        <f>IF(OR(E1388="",E1388="!!!",F1388="NEW"),"",INDEX(J$1:J1387,SUMPRODUCT(MAX(ROW(E$1:E1387)*(E1388=E$1:E1387)))))</f>
        <v> </v>
      </c>
      <c r="L1388" s="26"/>
    </row>
    <row r="1389" spans="1:12">
      <c r="A1389" s="20"/>
    </row>
    <row r="1390" spans="1:12">
      <c r="A1390" s="20" t="s">
        <v>671</v>
      </c>
      <c r="E1390" s="21">
        <f>IF(D1390="?OLD","!!!","")</f>
        <v/>
      </c>
      <c r="F1390" s="22" t="str">
        <f>IF(OR(E1390="",E1390="!!!"),"",IF(NOT(ISNA(VLOOKUP(E1390,E$1:E1389,1,FALSE()))),"OLD",IF(AND(E1390&lt;&gt;"",E1390&lt;&gt;"!!!"),"NEW","")))</f>
        <v> </v>
      </c>
      <c r="G1390" s="23" t="str">
        <f>IF(OR(E1390="",E1390="!!!"),"",IF(OR(J1390=0,AND(J1390=1,K1390=1),AND(J1390=1,I1390="SBJ"),AND(J1390=1,I1390=0)),"?IN_FOCUS",IF(J1390&lt;=2,"?ACTIVATED",IF(J1390&lt;&gt;"","?FAMILIAR",IF(F1390="NEW",IF(ISNA(VLOOKUP(E1390,#REF!,1,FALSE())),"?TYPE_IDENTIFIABLE","?REFERENTIAL"),"_")))))</f>
        <v> </v>
      </c>
      <c r="H1390" s="24" t="str">
        <f>IF(J1390&lt;&gt;1,"",IF(I1390="SBJ","CB","?"))</f>
        <v> </v>
      </c>
      <c r="I1390" s="25" t="str">
        <f>IF(OR(E1390="",E1390="!!!",F1390="NEW"),"",INDEX(B1389:B$2,-1+SUMPRODUCT(MAX(ROW(E1389:E$2)*(E1390=E1389:E$2)))))</f>
        <v> </v>
      </c>
      <c r="J1390" s="25" t="str">
        <f>IF(OR(E1390="",E1390="!!!",F1390="NEW"),"",COUNTBLANK(OFFSET(A$1,,,SUMPRODUCT(MAX(ROW(E$2:E1390)*(E1390=E$2:E1390)))))-COUNTBLANK(OFFSET(A$1,,,SUMPRODUCT(MAX(ROW(E$1:E1389)*(E2=E$1:E1389))))))</f>
        <v> </v>
      </c>
      <c r="K1390" s="25" t="str">
        <f>IF(OR(E1390="",E1390="!!!",F1390="NEW"),"",INDEX(J$1:J1389,SUMPRODUCT(MAX(ROW(E$1:E1389)*(E1390=E$1:E1389)))))</f>
        <v> </v>
      </c>
      <c r="L1390" s="26"/>
    </row>
    <row r="1391" spans="1:12">
      <c r="A1391" s="20" t="s">
        <v>808</v>
      </c>
    </row>
    <row r="1392" spans="1:12">
      <c r="A1392" s="20" t="s">
        <v>314</v>
      </c>
      <c r="E1392" s="21">
        <f>IF(D1392="?OLD","!!!","")</f>
        <v/>
      </c>
      <c r="F1392" s="22" t="str">
        <f>IF(OR(E1392="",E1392="!!!"),"",IF(NOT(ISNA(VLOOKUP(E1392,E$1:E1391,1,FALSE()))),"OLD",IF(AND(E1392&lt;&gt;"",E1392&lt;&gt;"!!!"),"NEW","")))</f>
        <v> </v>
      </c>
      <c r="G1392" s="23" t="str">
        <f>IF(OR(E1392="",E1392="!!!"),"",IF(OR(J1392=0,AND(J1392=1,K1392=1),AND(J1392=1,I1392="SBJ"),AND(J1392=1,I1392=0)),"?IN_FOCUS",IF(J1392&lt;=2,"?ACTIVATED",IF(J1392&lt;&gt;"","?FAMILIAR",IF(F1392="NEW",IF(ISNA(VLOOKUP(E1392,#REF!,1,FALSE())),"?TYPE_IDENTIFIABLE","?REFERENTIAL"),"_")))))</f>
        <v> </v>
      </c>
      <c r="H1392" s="24" t="str">
        <f>IF(J1392&lt;&gt;1,"",IF(I1392="SBJ","CB","?"))</f>
        <v> </v>
      </c>
      <c r="I1392" s="25" t="str">
        <f>IF(OR(E1392="",E1392="!!!",F1392="NEW"),"",INDEX(B1391:B$2,-1+SUMPRODUCT(MAX(ROW(E1391:E$2)*(E1392=E1391:E$2)))))</f>
        <v> </v>
      </c>
      <c r="J1392" s="25" t="str">
        <f>IF(OR(E1392="",E1392="!!!",F1392="NEW"),"",COUNTBLANK(OFFSET(A$1,,,SUMPRODUCT(MAX(ROW(E$2:E1392)*(E1392=E$2:E1392)))))-COUNTBLANK(OFFSET(A$1,,,SUMPRODUCT(MAX(ROW(E$1:E1391)*(E2=E$1:E1391))))))</f>
        <v> </v>
      </c>
      <c r="K1392" s="25" t="str">
        <f>IF(OR(E1392="",E1392="!!!",F1392="NEW"),"",INDEX(J$1:J1391,SUMPRODUCT(MAX(ROW(E$1:E1391)*(E1392=E$1:E1391)))))</f>
        <v> </v>
      </c>
      <c r="L1392" s="26"/>
    </row>
    <row r="1393" spans="1:12">
      <c r="A1393" s="20" t="s">
        <v>661</v>
      </c>
      <c r="B1393" s="27" t="s">
        <v>255</v>
      </c>
      <c r="C1393" s="27" t="s">
        <v>256</v>
      </c>
      <c r="D1393" s="27" t="s">
        <v>244</v>
      </c>
      <c r="E1393" s="21">
        <f>IF(D1393="?OLD","!!!","")</f>
        <v/>
      </c>
      <c r="F1393" s="22" t="str">
        <f>IF(OR(E1393="",E1393="!!!"),"",IF(NOT(ISNA(VLOOKUP(E1393,E$1:E1392,1,FALSE()))),"OLD",IF(AND(E1393&lt;&gt;"",E1393&lt;&gt;"!!!"),"NEW","")))</f>
        <v> </v>
      </c>
      <c r="G1393" s="23" t="str">
        <f>IF(OR(E1393="",E1393="!!!"),"",IF(OR(J1393=0,AND(J1393=1,K1393=1),AND(J1393=1,I1393="SBJ"),AND(J1393=1,I1393=0)),"?IN_FOCUS",IF(J1393&lt;=2,"?ACTIVATED",IF(J1393&lt;&gt;"","?FAMILIAR",IF(F1393="NEW",IF(ISNA(VLOOKUP(E1393,#REF!,1,FALSE())),"?TYPE_IDENTIFIABLE","?REFERENTIAL"),"_")))))</f>
        <v> </v>
      </c>
      <c r="H1393" s="24" t="str">
        <f>IF(J1393&lt;&gt;1,"",IF(I1393="SBJ","CB","?"))</f>
        <v> </v>
      </c>
      <c r="I1393" s="25" t="str">
        <f>IF(OR(E1393="",E1393="!!!",F1393="NEW"),"",INDEX(B1392:B$2,-1+SUMPRODUCT(MAX(ROW(E1392:E$2)*(E1393=E1392:E$2)))))</f>
        <v> </v>
      </c>
      <c r="J1393" s="25" t="str">
        <f>IF(OR(E1393="",E1393="!!!",F1393="NEW"),"",COUNTBLANK(OFFSET(A$1,,,SUMPRODUCT(MAX(ROW(E$2:E1393)*(E1393=E$2:E1393)))))-COUNTBLANK(OFFSET(A$1,,,SUMPRODUCT(MAX(ROW(E$1:E1392)*(E2=E$1:E1392))))))</f>
        <v> </v>
      </c>
      <c r="K1393" s="25" t="str">
        <f>IF(OR(E1393="",E1393="!!!",F1393="NEW"),"",INDEX(J$1:J1392,SUMPRODUCT(MAX(ROW(E$1:E1392)*(E1393=E$1:E1392)))))</f>
        <v> </v>
      </c>
      <c r="L1393" s="26"/>
    </row>
    <row r="1394" spans="1:12">
      <c r="A1394" s="20" t="s">
        <v>783</v>
      </c>
      <c r="E1394" s="21">
        <f>IF(D1394="?OLD","!!!","")</f>
        <v/>
      </c>
      <c r="F1394" s="22" t="str">
        <f>IF(OR(E1394="",E1394="!!!"),"",IF(NOT(ISNA(VLOOKUP(E1394,E$1:E1393,1,FALSE()))),"OLD",IF(AND(E1394&lt;&gt;"",E1394&lt;&gt;"!!!"),"NEW","")))</f>
        <v> </v>
      </c>
      <c r="G1394" s="23" t="str">
        <f>IF(OR(E1394="",E1394="!!!"),"",IF(OR(J1394=0,AND(J1394=1,K1394=1),AND(J1394=1,I1394="SBJ"),AND(J1394=1,I1394=0)),"?IN_FOCUS",IF(J1394&lt;=2,"?ACTIVATED",IF(J1394&lt;&gt;"","?FAMILIAR",IF(F1394="NEW",IF(ISNA(VLOOKUP(E1394,#REF!,1,FALSE())),"?TYPE_IDENTIFIABLE","?REFERENTIAL"),"_")))))</f>
        <v> </v>
      </c>
      <c r="H1394" s="24" t="str">
        <f>IF(J1394&lt;&gt;1,"",IF(I1394="SBJ","CB","?"))</f>
        <v> </v>
      </c>
      <c r="I1394" s="25" t="str">
        <f>IF(OR(E1394="",E1394="!!!",F1394="NEW"),"",INDEX(B1393:B$2,-1+SUMPRODUCT(MAX(ROW(E1393:E$2)*(E1394=E1393:E$2)))))</f>
        <v> </v>
      </c>
      <c r="J1394" s="25" t="str">
        <f>IF(OR(E1394="",E1394="!!!",F1394="NEW"),"",COUNTBLANK(OFFSET(A$1,,,SUMPRODUCT(MAX(ROW(E$2:E1394)*(E1394=E$2:E1394)))))-COUNTBLANK(OFFSET(A$1,,,SUMPRODUCT(MAX(ROW(E$1:E1393)*(E2=E$1:E1393))))))</f>
        <v> </v>
      </c>
      <c r="K1394" s="25" t="str">
        <f>IF(OR(E1394="",E1394="!!!",F1394="NEW"),"",INDEX(J$1:J1393,SUMPRODUCT(MAX(ROW(E$1:E1393)*(E1394=E$1:E1393)))))</f>
        <v> </v>
      </c>
      <c r="L1394" s="26"/>
    </row>
    <row r="1395" spans="1:12">
      <c r="A1395" s="20" t="s">
        <v>305</v>
      </c>
      <c r="E1395" s="21">
        <f>IF(D1395="?OLD","!!!","")</f>
        <v/>
      </c>
      <c r="F1395" s="22" t="str">
        <f>IF(OR(E1395="",E1395="!!!"),"",IF(NOT(ISNA(VLOOKUP(E1395,E$1:E1394,1,FALSE()))),"OLD",IF(AND(E1395&lt;&gt;"",E1395&lt;&gt;"!!!"),"NEW","")))</f>
        <v> </v>
      </c>
      <c r="G1395" s="23" t="str">
        <f>IF(OR(E1395="",E1395="!!!"),"",IF(OR(J1395=0,AND(J1395=1,K1395=1),AND(J1395=1,I1395="SBJ"),AND(J1395=1,I1395=0)),"?IN_FOCUS",IF(J1395&lt;=2,"?ACTIVATED",IF(J1395&lt;&gt;"","?FAMILIAR",IF(F1395="NEW",IF(ISNA(VLOOKUP(E1395,#REF!,1,FALSE())),"?TYPE_IDENTIFIABLE","?REFERENTIAL"),"_")))))</f>
        <v> </v>
      </c>
      <c r="H1395" s="24" t="str">
        <f>IF(J1395&lt;&gt;1,"",IF(I1395="SBJ","CB","?"))</f>
        <v> </v>
      </c>
      <c r="I1395" s="25" t="str">
        <f>IF(OR(E1395="",E1395="!!!",F1395="NEW"),"",INDEX(B1394:B$2,-1+SUMPRODUCT(MAX(ROW(E1394:E$2)*(E1395=E1394:E$2)))))</f>
        <v> </v>
      </c>
      <c r="J1395" s="25" t="str">
        <f>IF(OR(E1395="",E1395="!!!",F1395="NEW"),"",COUNTBLANK(OFFSET(A$1,,,SUMPRODUCT(MAX(ROW(E$2:E1395)*(E1395=E$2:E1395)))))-COUNTBLANK(OFFSET(A$1,,,SUMPRODUCT(MAX(ROW(E$1:E1394)*(E2=E$1:E1394))))))</f>
        <v> </v>
      </c>
      <c r="K1395" s="25" t="str">
        <f>IF(OR(E1395="",E1395="!!!",F1395="NEW"),"",INDEX(J$1:J1394,SUMPRODUCT(MAX(ROW(E$1:E1394)*(E1395=E$1:E1394)))))</f>
        <v> </v>
      </c>
      <c r="L1395" s="26"/>
    </row>
    <row r="1396" spans="1:12">
      <c r="A1396" s="20" t="s">
        <v>676</v>
      </c>
      <c r="E1396" s="21">
        <f>IF(D1396="?OLD","!!!","")</f>
        <v/>
      </c>
      <c r="F1396" s="22" t="str">
        <f>IF(OR(E1396="",E1396="!!!"),"",IF(NOT(ISNA(VLOOKUP(E1396,E$1:E1395,1,FALSE()))),"OLD",IF(AND(E1396&lt;&gt;"",E1396&lt;&gt;"!!!"),"NEW","")))</f>
        <v> </v>
      </c>
      <c r="G1396" s="23" t="str">
        <f>IF(OR(E1396="",E1396="!!!"),"",IF(OR(J1396=0,AND(J1396=1,K1396=1),AND(J1396=1,I1396="SBJ"),AND(J1396=1,I1396=0)),"?IN_FOCUS",IF(J1396&lt;=2,"?ACTIVATED",IF(J1396&lt;&gt;"","?FAMILIAR",IF(F1396="NEW",IF(ISNA(VLOOKUP(E1396,#REF!,1,FALSE())),"?TYPE_IDENTIFIABLE","?REFERENTIAL"),"_")))))</f>
        <v> </v>
      </c>
      <c r="H1396" s="24" t="str">
        <f>IF(J1396&lt;&gt;1,"",IF(I1396="SBJ","CB","?"))</f>
        <v> </v>
      </c>
      <c r="I1396" s="25" t="str">
        <f>IF(OR(E1396="",E1396="!!!",F1396="NEW"),"",INDEX(B1395:B$2,-1+SUMPRODUCT(MAX(ROW(E1395:E$2)*(E1396=E1395:E$2)))))</f>
        <v> </v>
      </c>
      <c r="J1396" s="25" t="str">
        <f>IF(OR(E1396="",E1396="!!!",F1396="NEW"),"",COUNTBLANK(OFFSET(A$1,,,SUMPRODUCT(MAX(ROW(E$2:E1396)*(E1396=E$2:E1396)))))-COUNTBLANK(OFFSET(A$1,,,SUMPRODUCT(MAX(ROW(E$1:E1395)*(E2=E$1:E1395))))))</f>
        <v> </v>
      </c>
      <c r="K1396" s="25" t="str">
        <f>IF(OR(E1396="",E1396="!!!",F1396="NEW"),"",INDEX(J$1:J1395,SUMPRODUCT(MAX(ROW(E$1:E1395)*(E1396=E$1:E1395)))))</f>
        <v> </v>
      </c>
      <c r="L1396" s="26"/>
    </row>
    <row r="1397" spans="1:12">
      <c r="A1397" s="20" t="s">
        <v>809</v>
      </c>
      <c r="B1397" s="27" t="s">
        <v>295</v>
      </c>
      <c r="C1397" s="27" t="s">
        <v>256</v>
      </c>
      <c r="D1397" s="27" t="s">
        <v>244</v>
      </c>
      <c r="E1397" s="21">
        <f>IF(D1397="?OLD","!!!","")</f>
        <v/>
      </c>
      <c r="F1397" s="22" t="str">
        <f>IF(OR(E1397="",E1397="!!!"),"",IF(NOT(ISNA(VLOOKUP(E1397,E$1:E1396,1,FALSE()))),"OLD",IF(AND(E1397&lt;&gt;"",E1397&lt;&gt;"!!!"),"NEW","")))</f>
        <v> </v>
      </c>
      <c r="G1397" s="23" t="str">
        <f>IF(OR(E1397="",E1397="!!!"),"",IF(OR(J1397=0,AND(J1397=1,K1397=1),AND(J1397=1,I1397="SBJ"),AND(J1397=1,I1397=0)),"?IN_FOCUS",IF(J1397&lt;=2,"?ACTIVATED",IF(J1397&lt;&gt;"","?FAMILIAR",IF(F1397="NEW",IF(ISNA(VLOOKUP(E1397,#REF!,1,FALSE())),"?TYPE_IDENTIFIABLE","?REFERENTIAL"),"_")))))</f>
        <v> </v>
      </c>
      <c r="H1397" s="24" t="str">
        <f>IF(J1397&lt;&gt;1,"",IF(I1397="SBJ","CB","?"))</f>
        <v> </v>
      </c>
      <c r="I1397" s="25" t="str">
        <f>IF(OR(E1397="",E1397="!!!",F1397="NEW"),"",INDEX(B1396:B$2,-1+SUMPRODUCT(MAX(ROW(E1396:E$2)*(E1397=E1396:E$2)))))</f>
        <v> </v>
      </c>
      <c r="J1397" s="25" t="str">
        <f>IF(OR(E1397="",E1397="!!!",F1397="NEW"),"",COUNTBLANK(OFFSET(A$1,,,SUMPRODUCT(MAX(ROW(E$2:E1397)*(E1397=E$2:E1397)))))-COUNTBLANK(OFFSET(A$1,,,SUMPRODUCT(MAX(ROW(E$1:E1396)*(E2=E$1:E1396))))))</f>
        <v> </v>
      </c>
      <c r="K1397" s="25" t="str">
        <f>IF(OR(E1397="",E1397="!!!",F1397="NEW"),"",INDEX(J$1:J1396,SUMPRODUCT(MAX(ROW(E$1:E1396)*(E1397=E$1:E1396)))))</f>
        <v> </v>
      </c>
      <c r="L1397" s="26"/>
    </row>
    <row r="1398" spans="1:12">
      <c r="A1398" s="20" t="s">
        <v>810</v>
      </c>
      <c r="E1398" s="21">
        <f>IF(D1398="?OLD","!!!","")</f>
        <v/>
      </c>
      <c r="F1398" s="22" t="str">
        <f>IF(OR(E1398="",E1398="!!!"),"",IF(NOT(ISNA(VLOOKUP(E1398,E$1:E1397,1,FALSE()))),"OLD",IF(AND(E1398&lt;&gt;"",E1398&lt;&gt;"!!!"),"NEW","")))</f>
        <v> </v>
      </c>
      <c r="G1398" s="23" t="str">
        <f>IF(OR(E1398="",E1398="!!!"),"",IF(OR(J1398=0,AND(J1398=1,K1398=1),AND(J1398=1,I1398="SBJ"),AND(J1398=1,I1398=0)),"?IN_FOCUS",IF(J1398&lt;=2,"?ACTIVATED",IF(J1398&lt;&gt;"","?FAMILIAR",IF(F1398="NEW",IF(ISNA(VLOOKUP(E1398,#REF!,1,FALSE())),"?TYPE_IDENTIFIABLE","?REFERENTIAL"),"_")))))</f>
        <v> </v>
      </c>
      <c r="H1398" s="24" t="str">
        <f>IF(J1398&lt;&gt;1,"",IF(I1398="SBJ","CB","?"))</f>
        <v> </v>
      </c>
      <c r="I1398" s="25" t="str">
        <f>IF(OR(E1398="",E1398="!!!",F1398="NEW"),"",INDEX(B1397:B$2,-1+SUMPRODUCT(MAX(ROW(E1397:E$2)*(E1398=E1397:E$2)))))</f>
        <v> </v>
      </c>
      <c r="J1398" s="25" t="str">
        <f>IF(OR(E1398="",E1398="!!!",F1398="NEW"),"",COUNTBLANK(OFFSET(A$1,,,SUMPRODUCT(MAX(ROW(E$2:E1398)*(E1398=E$2:E1398)))))-COUNTBLANK(OFFSET(A$1,,,SUMPRODUCT(MAX(ROW(E$1:E1397)*(E2=E$1:E1397))))))</f>
        <v> </v>
      </c>
      <c r="K1398" s="25" t="str">
        <f>IF(OR(E1398="",E1398="!!!",F1398="NEW"),"",INDEX(J$1:J1397,SUMPRODUCT(MAX(ROW(E$1:E1397)*(E1398=E$1:E1397)))))</f>
        <v> </v>
      </c>
      <c r="L1398" s="26"/>
    </row>
    <row r="1399" spans="1:12">
      <c r="A1399" s="20" t="s">
        <v>503</v>
      </c>
      <c r="E1399" s="21">
        <f>IF(D1399="?OLD","!!!","")</f>
        <v/>
      </c>
      <c r="F1399" s="22" t="str">
        <f>IF(OR(E1399="",E1399="!!!"),"",IF(NOT(ISNA(VLOOKUP(E1399,E$1:E1398,1,FALSE()))),"OLD",IF(AND(E1399&lt;&gt;"",E1399&lt;&gt;"!!!"),"NEW","")))</f>
        <v> </v>
      </c>
      <c r="G1399" s="23" t="str">
        <f>IF(OR(E1399="",E1399="!!!"),"",IF(OR(J1399=0,AND(J1399=1,K1399=1),AND(J1399=1,I1399="SBJ"),AND(J1399=1,I1399=0)),"?IN_FOCUS",IF(J1399&lt;=2,"?ACTIVATED",IF(J1399&lt;&gt;"","?FAMILIAR",IF(F1399="NEW",IF(ISNA(VLOOKUP(E1399,#REF!,1,FALSE())),"?TYPE_IDENTIFIABLE","?REFERENTIAL"),"_")))))</f>
        <v> </v>
      </c>
      <c r="H1399" s="24" t="str">
        <f>IF(J1399&lt;&gt;1,"",IF(I1399="SBJ","CB","?"))</f>
        <v> </v>
      </c>
      <c r="I1399" s="25" t="str">
        <f>IF(OR(E1399="",E1399="!!!",F1399="NEW"),"",INDEX(B1398:B$2,-1+SUMPRODUCT(MAX(ROW(E1398:E$2)*(E1399=E1398:E$2)))))</f>
        <v> </v>
      </c>
      <c r="J1399" s="25" t="str">
        <f>IF(OR(E1399="",E1399="!!!",F1399="NEW"),"",COUNTBLANK(OFFSET(A$1,,,SUMPRODUCT(MAX(ROW(E$2:E1399)*(E1399=E$2:E1399)))))-COUNTBLANK(OFFSET(A$1,,,SUMPRODUCT(MAX(ROW(E$1:E1398)*(E2=E$1:E1398))))))</f>
        <v> </v>
      </c>
      <c r="K1399" s="25" t="str">
        <f>IF(OR(E1399="",E1399="!!!",F1399="NEW"),"",INDEX(J$1:J1398,SUMPRODUCT(MAX(ROW(E$1:E1398)*(E1399=E$1:E1398)))))</f>
        <v> </v>
      </c>
      <c r="L1399" s="26"/>
    </row>
    <row r="1400" spans="1:12">
      <c r="A1400" s="20" t="s">
        <v>585</v>
      </c>
      <c r="E1400" s="21">
        <f>IF(D1400="?OLD","!!!","")</f>
        <v/>
      </c>
      <c r="F1400" s="22" t="str">
        <f>IF(OR(E1400="",E1400="!!!"),"",IF(NOT(ISNA(VLOOKUP(E1400,E$1:E1399,1,FALSE()))),"OLD",IF(AND(E1400&lt;&gt;"",E1400&lt;&gt;"!!!"),"NEW","")))</f>
        <v> </v>
      </c>
      <c r="G1400" s="23" t="str">
        <f>IF(OR(E1400="",E1400="!!!"),"",IF(OR(J1400=0,AND(J1400=1,K1400=1),AND(J1400=1,I1400="SBJ"),AND(J1400=1,I1400=0)),"?IN_FOCUS",IF(J1400&lt;=2,"?ACTIVATED",IF(J1400&lt;&gt;"","?FAMILIAR",IF(F1400="NEW",IF(ISNA(VLOOKUP(E1400,#REF!,1,FALSE())),"?TYPE_IDENTIFIABLE","?REFERENTIAL"),"_")))))</f>
        <v> </v>
      </c>
      <c r="H1400" s="24" t="str">
        <f>IF(J1400&lt;&gt;1,"",IF(I1400="SBJ","CB","?"))</f>
        <v> </v>
      </c>
      <c r="I1400" s="25" t="str">
        <f>IF(OR(E1400="",E1400="!!!",F1400="NEW"),"",INDEX(B1399:B$2,-1+SUMPRODUCT(MAX(ROW(E1399:E$2)*(E1400=E1399:E$2)))))</f>
        <v> </v>
      </c>
      <c r="J1400" s="25" t="str">
        <f>IF(OR(E1400="",E1400="!!!",F1400="NEW"),"",COUNTBLANK(OFFSET(A$1,,,SUMPRODUCT(MAX(ROW(E$2:E1400)*(E1400=E$2:E1400)))))-COUNTBLANK(OFFSET(A$1,,,SUMPRODUCT(MAX(ROW(E$1:E1399)*(E2=E$1:E1399))))))</f>
        <v> </v>
      </c>
      <c r="K1400" s="25" t="str">
        <f>IF(OR(E1400="",E1400="!!!",F1400="NEW"),"",INDEX(J$1:J1399,SUMPRODUCT(MAX(ROW(E$1:E1399)*(E1400=E$1:E1399)))))</f>
        <v> </v>
      </c>
      <c r="L1400" s="26"/>
    </row>
    <row r="1401" spans="1:12">
      <c r="A1401" s="20" t="s">
        <v>337</v>
      </c>
      <c r="B1401" s="27" t="s">
        <v>266</v>
      </c>
      <c r="C1401" s="27" t="s">
        <v>256</v>
      </c>
      <c r="D1401" s="27" t="s">
        <v>244</v>
      </c>
      <c r="E1401" s="21">
        <f>IF(D1401="?OLD","!!!","")</f>
        <v/>
      </c>
      <c r="F1401" s="22" t="str">
        <f>IF(OR(E1401="",E1401="!!!"),"",IF(NOT(ISNA(VLOOKUP(E1401,E$1:E1400,1,FALSE()))),"OLD",IF(AND(E1401&lt;&gt;"",E1401&lt;&gt;"!!!"),"NEW","")))</f>
        <v> </v>
      </c>
      <c r="G1401" s="23" t="str">
        <f>IF(OR(E1401="",E1401="!!!"),"",IF(OR(J1401=0,AND(J1401=1,K1401=1),AND(J1401=1,I1401="SBJ"),AND(J1401=1,I1401=0)),"?IN_FOCUS",IF(J1401&lt;=2,"?ACTIVATED",IF(J1401&lt;&gt;"","?FAMILIAR",IF(F1401="NEW",IF(ISNA(VLOOKUP(E1401,#REF!,1,FALSE())),"?TYPE_IDENTIFIABLE","?REFERENTIAL"),"_")))))</f>
        <v> </v>
      </c>
      <c r="H1401" s="24" t="str">
        <f>IF(J1401&lt;&gt;1,"",IF(I1401="SBJ","CB","?"))</f>
        <v> </v>
      </c>
      <c r="I1401" s="25" t="str">
        <f>IF(OR(E1401="",E1401="!!!",F1401="NEW"),"",INDEX(B1400:B$2,-1+SUMPRODUCT(MAX(ROW(E1400:E$2)*(E1401=E1400:E$2)))))</f>
        <v> </v>
      </c>
      <c r="J1401" s="25" t="str">
        <f>IF(OR(E1401="",E1401="!!!",F1401="NEW"),"",COUNTBLANK(OFFSET(A$1,,,SUMPRODUCT(MAX(ROW(E$2:E1401)*(E1401=E$2:E1401)))))-COUNTBLANK(OFFSET(A$1,,,SUMPRODUCT(MAX(ROW(E$1:E1400)*(E2=E$1:E1400))))))</f>
        <v> </v>
      </c>
      <c r="K1401" s="25" t="str">
        <f>IF(OR(E1401="",E1401="!!!",F1401="NEW"),"",INDEX(J$1:J1400,SUMPRODUCT(MAX(ROW(E$1:E1400)*(E1401=E$1:E1400)))))</f>
        <v> </v>
      </c>
      <c r="L1401" s="26"/>
    </row>
    <row r="1402" spans="1:12">
      <c r="A1402" s="20" t="s">
        <v>340</v>
      </c>
      <c r="E1402" s="21">
        <f>IF(D1402="?OLD","!!!","")</f>
        <v/>
      </c>
      <c r="F1402" s="22" t="str">
        <f>IF(OR(E1402="",E1402="!!!"),"",IF(NOT(ISNA(VLOOKUP(E1402,E$1:E1401,1,FALSE()))),"OLD",IF(AND(E1402&lt;&gt;"",E1402&lt;&gt;"!!!"),"NEW","")))</f>
        <v> </v>
      </c>
      <c r="G1402" s="23" t="str">
        <f>IF(OR(E1402="",E1402="!!!"),"",IF(OR(J1402=0,AND(J1402=1,K1402=1),AND(J1402=1,I1402="SBJ"),AND(J1402=1,I1402=0)),"?IN_FOCUS",IF(J1402&lt;=2,"?ACTIVATED",IF(J1402&lt;&gt;"","?FAMILIAR",IF(F1402="NEW",IF(ISNA(VLOOKUP(E1402,#REF!,1,FALSE())),"?TYPE_IDENTIFIABLE","?REFERENTIAL"),"_")))))</f>
        <v> </v>
      </c>
      <c r="H1402" s="24" t="str">
        <f>IF(J1402&lt;&gt;1,"",IF(I1402="SBJ","CB","?"))</f>
        <v> </v>
      </c>
      <c r="I1402" s="25" t="str">
        <f>IF(OR(E1402="",E1402="!!!",F1402="NEW"),"",INDEX(B1401:B$2,-1+SUMPRODUCT(MAX(ROW(E1401:E$2)*(E1402=E1401:E$2)))))</f>
        <v> </v>
      </c>
      <c r="J1402" s="25" t="str">
        <f>IF(OR(E1402="",E1402="!!!",F1402="NEW"),"",COUNTBLANK(OFFSET(A$1,,,SUMPRODUCT(MAX(ROW(E$2:E1402)*(E1402=E$2:E1402)))))-COUNTBLANK(OFFSET(A$1,,,SUMPRODUCT(MAX(ROW(E$1:E1401)*(E2=E$1:E1401))))))</f>
        <v> </v>
      </c>
      <c r="K1402" s="25" t="str">
        <f>IF(OR(E1402="",E1402="!!!",F1402="NEW"),"",INDEX(J$1:J1401,SUMPRODUCT(MAX(ROW(E$1:E1401)*(E1402=E$1:E1401)))))</f>
        <v> </v>
      </c>
      <c r="L1402" s="26"/>
    </row>
    <row r="1403" spans="1:12">
      <c r="A1403" s="20" t="s">
        <v>285</v>
      </c>
      <c r="E1403" s="21">
        <f>IF(D1403="?OLD","!!!","")</f>
        <v/>
      </c>
      <c r="F1403" s="22" t="str">
        <f>IF(OR(E1403="",E1403="!!!"),"",IF(NOT(ISNA(VLOOKUP(E1403,E$1:E1402,1,FALSE()))),"OLD",IF(AND(E1403&lt;&gt;"",E1403&lt;&gt;"!!!"),"NEW","")))</f>
        <v> </v>
      </c>
      <c r="G1403" s="23" t="str">
        <f>IF(OR(E1403="",E1403="!!!"),"",IF(OR(J1403=0,AND(J1403=1,K1403=1),AND(J1403=1,I1403="SBJ"),AND(J1403=1,I1403=0)),"?IN_FOCUS",IF(J1403&lt;=2,"?ACTIVATED",IF(J1403&lt;&gt;"","?FAMILIAR",IF(F1403="NEW",IF(ISNA(VLOOKUP(E1403,#REF!,1,FALSE())),"?TYPE_IDENTIFIABLE","?REFERENTIAL"),"_")))))</f>
        <v> </v>
      </c>
      <c r="H1403" s="24" t="str">
        <f>IF(J1403&lt;&gt;1,"",IF(I1403="SBJ","CB","?"))</f>
        <v> </v>
      </c>
      <c r="I1403" s="25" t="str">
        <f>IF(OR(E1403="",E1403="!!!",F1403="NEW"),"",INDEX(B1402:B$2,-1+SUMPRODUCT(MAX(ROW(E1402:E$2)*(E1403=E1402:E$2)))))</f>
        <v> </v>
      </c>
      <c r="J1403" s="25" t="str">
        <f>IF(OR(E1403="",E1403="!!!",F1403="NEW"),"",COUNTBLANK(OFFSET(A$1,,,SUMPRODUCT(MAX(ROW(E$2:E1403)*(E1403=E$2:E1403)))))-COUNTBLANK(OFFSET(A$1,,,SUMPRODUCT(MAX(ROW(E$1:E1402)*(E2=E$1:E1402))))))</f>
        <v> </v>
      </c>
      <c r="K1403" s="25" t="str">
        <f>IF(OR(E1403="",E1403="!!!",F1403="NEW"),"",INDEX(J$1:J1402,SUMPRODUCT(MAX(ROW(E$1:E1402)*(E1403=E$1:E1402)))))</f>
        <v> </v>
      </c>
      <c r="L1403" s="26"/>
    </row>
    <row r="1404" spans="1:12">
      <c r="A1404" s="20" t="s">
        <v>676</v>
      </c>
      <c r="E1404" s="21">
        <f>IF(D1404="?OLD","!!!","")</f>
        <v/>
      </c>
      <c r="F1404" s="22" t="str">
        <f>IF(OR(E1404="",E1404="!!!"),"",IF(NOT(ISNA(VLOOKUP(E1404,E$1:E1403,1,FALSE()))),"OLD",IF(AND(E1404&lt;&gt;"",E1404&lt;&gt;"!!!"),"NEW","")))</f>
        <v> </v>
      </c>
      <c r="G1404" s="23" t="str">
        <f>IF(OR(E1404="",E1404="!!!"),"",IF(OR(J1404=0,AND(J1404=1,K1404=1),AND(J1404=1,I1404="SBJ"),AND(J1404=1,I1404=0)),"?IN_FOCUS",IF(J1404&lt;=2,"?ACTIVATED",IF(J1404&lt;&gt;"","?FAMILIAR",IF(F1404="NEW",IF(ISNA(VLOOKUP(E1404,#REF!,1,FALSE())),"?TYPE_IDENTIFIABLE","?REFERENTIAL"),"_")))))</f>
        <v> </v>
      </c>
      <c r="H1404" s="24" t="str">
        <f>IF(J1404&lt;&gt;1,"",IF(I1404="SBJ","CB","?"))</f>
        <v> </v>
      </c>
      <c r="I1404" s="25" t="str">
        <f>IF(OR(E1404="",E1404="!!!",F1404="NEW"),"",INDEX(B1403:B$2,-1+SUMPRODUCT(MAX(ROW(E1403:E$2)*(E1404=E1403:E$2)))))</f>
        <v> </v>
      </c>
      <c r="J1404" s="25" t="str">
        <f>IF(OR(E1404="",E1404="!!!",F1404="NEW"),"",COUNTBLANK(OFFSET(A$1,,,SUMPRODUCT(MAX(ROW(E$2:E1404)*(E1404=E$2:E1404)))))-COUNTBLANK(OFFSET(A$1,,,SUMPRODUCT(MAX(ROW(E$1:E1403)*(E2=E$1:E1403))))))</f>
        <v> </v>
      </c>
      <c r="K1404" s="25" t="str">
        <f>IF(OR(E1404="",E1404="!!!",F1404="NEW"),"",INDEX(J$1:J1403,SUMPRODUCT(MAX(ROW(E$1:E1403)*(E1404=E$1:E1403)))))</f>
        <v> </v>
      </c>
      <c r="L1404" s="26"/>
    </row>
    <row r="1405" spans="1:12">
      <c r="A1405" s="20"/>
    </row>
    <row r="1406" spans="1:12">
      <c r="A1406" s="20" t="s">
        <v>811</v>
      </c>
    </row>
    <row r="1407" spans="1:12">
      <c r="A1407" s="20" t="s">
        <v>812</v>
      </c>
      <c r="B1407" s="27" t="s">
        <v>255</v>
      </c>
      <c r="C1407" s="27" t="s">
        <v>281</v>
      </c>
      <c r="E1407" s="21">
        <f>IF(D1407="?OLD","!!!","")</f>
        <v/>
      </c>
      <c r="F1407" s="22" t="str">
        <f>IF(OR(E1407="",E1407="!!!"),"",IF(NOT(ISNA(VLOOKUP(E1407,E$1:E1406,1,FALSE()))),"OLD",IF(AND(E1407&lt;&gt;"",E1407&lt;&gt;"!!!"),"NEW","")))</f>
        <v> </v>
      </c>
      <c r="G1407" s="23" t="str">
        <f>IF(OR(E1407="",E1407="!!!"),"",IF(OR(J1407=0,AND(J1407=1,K1407=1),AND(J1407=1,I1407="SBJ"),AND(J1407=1,I1407=0)),"?IN_FOCUS",IF(J1407&lt;=2,"?ACTIVATED",IF(J1407&lt;&gt;"","?FAMILIAR",IF(F1407="NEW",IF(ISNA(VLOOKUP(E1407,#REF!,1,FALSE())),"?TYPE_IDENTIFIABLE","?REFERENTIAL"),"_")))))</f>
        <v> </v>
      </c>
      <c r="H1407" s="24" t="str">
        <f>IF(J1407&lt;&gt;1,"",IF(I1407="SBJ","CB","?"))</f>
        <v> </v>
      </c>
      <c r="I1407" s="25" t="str">
        <f>IF(OR(E1407="",E1407="!!!",F1407="NEW"),"",INDEX(B1406:B$2,-1+SUMPRODUCT(MAX(ROW(E1406:E$2)*(E1407=E1406:E$2)))))</f>
        <v> </v>
      </c>
      <c r="J1407" s="25" t="str">
        <f>IF(OR(E1407="",E1407="!!!",F1407="NEW"),"",COUNTBLANK(OFFSET(A$1,,,SUMPRODUCT(MAX(ROW(E$2:E1407)*(E1407=E$2:E1407)))))-COUNTBLANK(OFFSET(A$1,,,SUMPRODUCT(MAX(ROW(E$1:E1406)*(E2=E$1:E1406))))))</f>
        <v> </v>
      </c>
      <c r="K1407" s="25" t="str">
        <f>IF(OR(E1407="",E1407="!!!",F1407="NEW"),"",INDEX(J$1:J1406,SUMPRODUCT(MAX(ROW(E$1:E1406)*(E1407=E$1:E1406)))))</f>
        <v> </v>
      </c>
      <c r="L1407" s="26"/>
    </row>
    <row r="1408" spans="1:12">
      <c r="A1408" s="20" t="s">
        <v>813</v>
      </c>
      <c r="E1408" s="21">
        <f>IF(D1408="?OLD","!!!","")</f>
        <v/>
      </c>
      <c r="F1408" s="22" t="str">
        <f>IF(OR(E1408="",E1408="!!!"),"",IF(NOT(ISNA(VLOOKUP(E1408,E$1:E1407,1,FALSE()))),"OLD",IF(AND(E1408&lt;&gt;"",E1408&lt;&gt;"!!!"),"NEW","")))</f>
        <v> </v>
      </c>
      <c r="G1408" s="23" t="str">
        <f>IF(OR(E1408="",E1408="!!!"),"",IF(OR(J1408=0,AND(J1408=1,K1408=1),AND(J1408=1,I1408="SBJ"),AND(J1408=1,I1408=0)),"?IN_FOCUS",IF(J1408&lt;=2,"?ACTIVATED",IF(J1408&lt;&gt;"","?FAMILIAR",IF(F1408="NEW",IF(ISNA(VLOOKUP(E1408,#REF!,1,FALSE())),"?TYPE_IDENTIFIABLE","?REFERENTIAL"),"_")))))</f>
        <v> </v>
      </c>
      <c r="H1408" s="24" t="str">
        <f>IF(J1408&lt;&gt;1,"",IF(I1408="SBJ","CB","?"))</f>
        <v> </v>
      </c>
      <c r="I1408" s="25" t="str">
        <f>IF(OR(E1408="",E1408="!!!",F1408="NEW"),"",INDEX(B1407:B$2,-1+SUMPRODUCT(MAX(ROW(E1407:E$2)*(E1408=E1407:E$2)))))</f>
        <v> </v>
      </c>
      <c r="J1408" s="25" t="str">
        <f>IF(OR(E1408="",E1408="!!!",F1408="NEW"),"",COUNTBLANK(OFFSET(A$1,,,SUMPRODUCT(MAX(ROW(E$2:E1408)*(E1408=E$2:E1408)))))-COUNTBLANK(OFFSET(A$1,,,SUMPRODUCT(MAX(ROW(E$1:E1407)*(E2=E$1:E1407))))))</f>
        <v> </v>
      </c>
      <c r="K1408" s="25" t="str">
        <f>IF(OR(E1408="",E1408="!!!",F1408="NEW"),"",INDEX(J$1:J1407,SUMPRODUCT(MAX(ROW(E$1:E1407)*(E1408=E$1:E1407)))))</f>
        <v> </v>
      </c>
      <c r="L1408" s="26"/>
    </row>
    <row r="1409" spans="1:12">
      <c r="A1409" s="20" t="s">
        <v>406</v>
      </c>
      <c r="B1409" s="27" t="s">
        <v>251</v>
      </c>
      <c r="C1409" s="27" t="s">
        <v>256</v>
      </c>
      <c r="D1409" s="27" t="s">
        <v>244</v>
      </c>
      <c r="E1409" s="21">
        <f>IF(D1409="?OLD","!!!","")</f>
        <v/>
      </c>
      <c r="F1409" s="22" t="str">
        <f>IF(OR(E1409="",E1409="!!!"),"",IF(NOT(ISNA(VLOOKUP(E1409,E$1:E1408,1,FALSE()))),"OLD",IF(AND(E1409&lt;&gt;"",E1409&lt;&gt;"!!!"),"NEW","")))</f>
        <v> </v>
      </c>
      <c r="G1409" s="23" t="str">
        <f>IF(OR(E1409="",E1409="!!!"),"",IF(OR(J1409=0,AND(J1409=1,K1409=1),AND(J1409=1,I1409="SBJ"),AND(J1409=1,I1409=0)),"?IN_FOCUS",IF(J1409&lt;=2,"?ACTIVATED",IF(J1409&lt;&gt;"","?FAMILIAR",IF(F1409="NEW",IF(ISNA(VLOOKUP(E1409,#REF!,1,FALSE())),"?TYPE_IDENTIFIABLE","?REFERENTIAL"),"_")))))</f>
        <v> </v>
      </c>
      <c r="H1409" s="24" t="str">
        <f>IF(J1409&lt;&gt;1,"",IF(I1409="SBJ","CB","?"))</f>
        <v> </v>
      </c>
      <c r="I1409" s="25" t="str">
        <f>IF(OR(E1409="",E1409="!!!",F1409="NEW"),"",INDEX(B1408:B$2,-1+SUMPRODUCT(MAX(ROW(E1408:E$2)*(E1409=E1408:E$2)))))</f>
        <v> </v>
      </c>
      <c r="J1409" s="25" t="str">
        <f>IF(OR(E1409="",E1409="!!!",F1409="NEW"),"",COUNTBLANK(OFFSET(A$1,,,SUMPRODUCT(MAX(ROW(E$2:E1409)*(E1409=E$2:E1409)))))-COUNTBLANK(OFFSET(A$1,,,SUMPRODUCT(MAX(ROW(E$1:E1408)*(E2=E$1:E1408))))))</f>
        <v> </v>
      </c>
      <c r="K1409" s="25" t="str">
        <f>IF(OR(E1409="",E1409="!!!",F1409="NEW"),"",INDEX(J$1:J1408,SUMPRODUCT(MAX(ROW(E$1:E1408)*(E1409=E$1:E1408)))))</f>
        <v> </v>
      </c>
      <c r="L1409" s="26"/>
    </row>
    <row r="1410" spans="1:12">
      <c r="A1410" s="20" t="s">
        <v>305</v>
      </c>
      <c r="E1410" s="21">
        <f>IF(D1410="?OLD","!!!","")</f>
        <v/>
      </c>
      <c r="F1410" s="22" t="str">
        <f>IF(OR(E1410="",E1410="!!!"),"",IF(NOT(ISNA(VLOOKUP(E1410,E$1:E1409,1,FALSE()))),"OLD",IF(AND(E1410&lt;&gt;"",E1410&lt;&gt;"!!!"),"NEW","")))</f>
        <v> </v>
      </c>
      <c r="G1410" s="23" t="str">
        <f>IF(OR(E1410="",E1410="!!!"),"",IF(OR(J1410=0,AND(J1410=1,K1410=1),AND(J1410=1,I1410="SBJ"),AND(J1410=1,I1410=0)),"?IN_FOCUS",IF(J1410&lt;=2,"?ACTIVATED",IF(J1410&lt;&gt;"","?FAMILIAR",IF(F1410="NEW",IF(ISNA(VLOOKUP(E1410,#REF!,1,FALSE())),"?TYPE_IDENTIFIABLE","?REFERENTIAL"),"_")))))</f>
        <v> </v>
      </c>
      <c r="H1410" s="24" t="str">
        <f>IF(J1410&lt;&gt;1,"",IF(I1410="SBJ","CB","?"))</f>
        <v> </v>
      </c>
      <c r="I1410" s="25" t="str">
        <f>IF(OR(E1410="",E1410="!!!",F1410="NEW"),"",INDEX(B1409:B$2,-1+SUMPRODUCT(MAX(ROW(E1409:E$2)*(E1410=E1409:E$2)))))</f>
        <v> </v>
      </c>
      <c r="J1410" s="25" t="str">
        <f>IF(OR(E1410="",E1410="!!!",F1410="NEW"),"",COUNTBLANK(OFFSET(A$1,,,SUMPRODUCT(MAX(ROW(E$2:E1410)*(E1410=E$2:E1410)))))-COUNTBLANK(OFFSET(A$1,,,SUMPRODUCT(MAX(ROW(E$1:E1409)*(E2=E$1:E1409))))))</f>
        <v> </v>
      </c>
      <c r="K1410" s="25" t="str">
        <f>IF(OR(E1410="",E1410="!!!",F1410="NEW"),"",INDEX(J$1:J1409,SUMPRODUCT(MAX(ROW(E$1:E1409)*(E1410=E$1:E1409)))))</f>
        <v> </v>
      </c>
      <c r="L1410" s="26"/>
    </row>
    <row r="1411" spans="1:12">
      <c r="A1411" s="20" t="s">
        <v>392</v>
      </c>
      <c r="E1411" s="21">
        <f>IF(D1411="?OLD","!!!","")</f>
        <v/>
      </c>
      <c r="F1411" s="22" t="str">
        <f>IF(OR(E1411="",E1411="!!!"),"",IF(NOT(ISNA(VLOOKUP(E1411,E$1:E1410,1,FALSE()))),"OLD",IF(AND(E1411&lt;&gt;"",E1411&lt;&gt;"!!!"),"NEW","")))</f>
        <v> </v>
      </c>
      <c r="G1411" s="23" t="str">
        <f>IF(OR(E1411="",E1411="!!!"),"",IF(OR(J1411=0,AND(J1411=1,K1411=1),AND(J1411=1,I1411="SBJ"),AND(J1411=1,I1411=0)),"?IN_FOCUS",IF(J1411&lt;=2,"?ACTIVATED",IF(J1411&lt;&gt;"","?FAMILIAR",IF(F1411="NEW",IF(ISNA(VLOOKUP(E1411,#REF!,1,FALSE())),"?TYPE_IDENTIFIABLE","?REFERENTIAL"),"_")))))</f>
        <v> </v>
      </c>
      <c r="H1411" s="24" t="str">
        <f>IF(J1411&lt;&gt;1,"",IF(I1411="SBJ","CB","?"))</f>
        <v> </v>
      </c>
      <c r="I1411" s="25" t="str">
        <f>IF(OR(E1411="",E1411="!!!",F1411="NEW"),"",INDEX(B1410:B$2,-1+SUMPRODUCT(MAX(ROW(E1410:E$2)*(E1411=E1410:E$2)))))</f>
        <v> </v>
      </c>
      <c r="J1411" s="25" t="str">
        <f>IF(OR(E1411="",E1411="!!!",F1411="NEW"),"",COUNTBLANK(OFFSET(A$1,,,SUMPRODUCT(MAX(ROW(E$2:E1411)*(E1411=E$2:E1411)))))-COUNTBLANK(OFFSET(A$1,,,SUMPRODUCT(MAX(ROW(E$1:E1410)*(E2=E$1:E1410))))))</f>
        <v> </v>
      </c>
      <c r="K1411" s="25" t="str">
        <f>IF(OR(E1411="",E1411="!!!",F1411="NEW"),"",INDEX(J$1:J1410,SUMPRODUCT(MAX(ROW(E$1:E1410)*(E1411=E$1:E1410)))))</f>
        <v> </v>
      </c>
      <c r="L1411" s="26"/>
    </row>
    <row r="1412" spans="1:12">
      <c r="A1412" s="20" t="s">
        <v>277</v>
      </c>
      <c r="E1412" s="21">
        <f>IF(D1412="?OLD","!!!","")</f>
        <v/>
      </c>
      <c r="F1412" s="22" t="str">
        <f>IF(OR(E1412="",E1412="!!!"),"",IF(NOT(ISNA(VLOOKUP(E1412,E$1:E1411,1,FALSE()))),"OLD",IF(AND(E1412&lt;&gt;"",E1412&lt;&gt;"!!!"),"NEW","")))</f>
        <v> </v>
      </c>
      <c r="G1412" s="23" t="str">
        <f>IF(OR(E1412="",E1412="!!!"),"",IF(OR(J1412=0,AND(J1412=1,K1412=1),AND(J1412=1,I1412="SBJ"),AND(J1412=1,I1412=0)),"?IN_FOCUS",IF(J1412&lt;=2,"?ACTIVATED",IF(J1412&lt;&gt;"","?FAMILIAR",IF(F1412="NEW",IF(ISNA(VLOOKUP(E1412,#REF!,1,FALSE())),"?TYPE_IDENTIFIABLE","?REFERENTIAL"),"_")))))</f>
        <v> </v>
      </c>
      <c r="H1412" s="24" t="str">
        <f>IF(J1412&lt;&gt;1,"",IF(I1412="SBJ","CB","?"))</f>
        <v> </v>
      </c>
      <c r="I1412" s="25" t="str">
        <f>IF(OR(E1412="",E1412="!!!",F1412="NEW"),"",INDEX(B1411:B$2,-1+SUMPRODUCT(MAX(ROW(E1411:E$2)*(E1412=E1411:E$2)))))</f>
        <v> </v>
      </c>
      <c r="J1412" s="25" t="str">
        <f>IF(OR(E1412="",E1412="!!!",F1412="NEW"),"",COUNTBLANK(OFFSET(A$1,,,SUMPRODUCT(MAX(ROW(E$2:E1412)*(E1412=E$2:E1412)))))-COUNTBLANK(OFFSET(A$1,,,SUMPRODUCT(MAX(ROW(E$1:E1411)*(E2=E$1:E1411))))))</f>
        <v> </v>
      </c>
      <c r="K1412" s="25" t="str">
        <f>IF(OR(E1412="",E1412="!!!",F1412="NEW"),"",INDEX(J$1:J1411,SUMPRODUCT(MAX(ROW(E$1:E1411)*(E1412=E$1:E1411)))))</f>
        <v> </v>
      </c>
      <c r="L1412" s="26"/>
    </row>
    <row r="1413" spans="1:12">
      <c r="A1413" s="20" t="s">
        <v>249</v>
      </c>
      <c r="E1413" s="21">
        <f>IF(D1413="?OLD","!!!","")</f>
        <v/>
      </c>
      <c r="F1413" s="22" t="str">
        <f>IF(OR(E1413="",E1413="!!!"),"",IF(NOT(ISNA(VLOOKUP(E1413,E$1:E1412,1,FALSE()))),"OLD",IF(AND(E1413&lt;&gt;"",E1413&lt;&gt;"!!!"),"NEW","")))</f>
        <v> </v>
      </c>
      <c r="G1413" s="23" t="str">
        <f>IF(OR(E1413="",E1413="!!!"),"",IF(OR(J1413=0,AND(J1413=1,K1413=1),AND(J1413=1,I1413="SBJ"),AND(J1413=1,I1413=0)),"?IN_FOCUS",IF(J1413&lt;=2,"?ACTIVATED",IF(J1413&lt;&gt;"","?FAMILIAR",IF(F1413="NEW",IF(ISNA(VLOOKUP(E1413,#REF!,1,FALSE())),"?TYPE_IDENTIFIABLE","?REFERENTIAL"),"_")))))</f>
        <v> </v>
      </c>
      <c r="H1413" s="24" t="str">
        <f>IF(J1413&lt;&gt;1,"",IF(I1413="SBJ","CB","?"))</f>
        <v> </v>
      </c>
      <c r="I1413" s="25" t="str">
        <f>IF(OR(E1413="",E1413="!!!",F1413="NEW"),"",INDEX(B1412:B$2,-1+SUMPRODUCT(MAX(ROW(E1412:E$2)*(E1413=E1412:E$2)))))</f>
        <v> </v>
      </c>
      <c r="J1413" s="25" t="str">
        <f>IF(OR(E1413="",E1413="!!!",F1413="NEW"),"",COUNTBLANK(OFFSET(A$1,,,SUMPRODUCT(MAX(ROW(E$2:E1413)*(E1413=E$2:E1413)))))-COUNTBLANK(OFFSET(A$1,,,SUMPRODUCT(MAX(ROW(E$1:E1412)*(E2=E$1:E1412))))))</f>
        <v> </v>
      </c>
      <c r="K1413" s="25" t="str">
        <f>IF(OR(E1413="",E1413="!!!",F1413="NEW"),"",INDEX(J$1:J1412,SUMPRODUCT(MAX(ROW(E$1:E1412)*(E1413=E$1:E1412)))))</f>
        <v> </v>
      </c>
      <c r="L1413" s="26"/>
    </row>
    <row r="1414" spans="1:12">
      <c r="A1414" s="20" t="s">
        <v>250</v>
      </c>
      <c r="B1414" s="27" t="s">
        <v>295</v>
      </c>
      <c r="C1414" s="27" t="s">
        <v>279</v>
      </c>
      <c r="E1414" s="21">
        <f>IF(D1414="?OLD","!!!","")</f>
        <v/>
      </c>
      <c r="F1414" s="22" t="str">
        <f>IF(OR(E1414="",E1414="!!!"),"",IF(NOT(ISNA(VLOOKUP(E1414,E$1:E1413,1,FALSE()))),"OLD",IF(AND(E1414&lt;&gt;"",E1414&lt;&gt;"!!!"),"NEW","")))</f>
        <v> </v>
      </c>
      <c r="G1414" s="23" t="str">
        <f>IF(OR(E1414="",E1414="!!!"),"",IF(OR(J1414=0,AND(J1414=1,K1414=1),AND(J1414=1,I1414="SBJ"),AND(J1414=1,I1414=0)),"?IN_FOCUS",IF(J1414&lt;=2,"?ACTIVATED",IF(J1414&lt;&gt;"","?FAMILIAR",IF(F1414="NEW",IF(ISNA(VLOOKUP(E1414,#REF!,1,FALSE())),"?TYPE_IDENTIFIABLE","?REFERENTIAL"),"_")))))</f>
        <v> </v>
      </c>
      <c r="H1414" s="24" t="str">
        <f>IF(J1414&lt;&gt;1,"",IF(I1414="SBJ","CB","?"))</f>
        <v> </v>
      </c>
      <c r="I1414" s="25" t="str">
        <f>IF(OR(E1414="",E1414="!!!",F1414="NEW"),"",INDEX(B1413:B$2,-1+SUMPRODUCT(MAX(ROW(E1413:E$2)*(E1414=E1413:E$2)))))</f>
        <v> </v>
      </c>
      <c r="J1414" s="25" t="str">
        <f>IF(OR(E1414="",E1414="!!!",F1414="NEW"),"",COUNTBLANK(OFFSET(A$1,,,SUMPRODUCT(MAX(ROW(E$2:E1414)*(E1414=E$2:E1414)))))-COUNTBLANK(OFFSET(A$1,,,SUMPRODUCT(MAX(ROW(E$1:E1413)*(E2=E$1:E1413))))))</f>
        <v> </v>
      </c>
      <c r="K1414" s="25" t="str">
        <f>IF(OR(E1414="",E1414="!!!",F1414="NEW"),"",INDEX(J$1:J1413,SUMPRODUCT(MAX(ROW(E$1:E1413)*(E1414=E$1:E1413)))))</f>
        <v> </v>
      </c>
      <c r="L1414" s="26"/>
    </row>
    <row r="1415" spans="1:12">
      <c r="A1415" s="20" t="s">
        <v>721</v>
      </c>
      <c r="E1415" s="21">
        <f>IF(D1415="?OLD","!!!","")</f>
        <v/>
      </c>
      <c r="F1415" s="22" t="str">
        <f>IF(OR(E1415="",E1415="!!!"),"",IF(NOT(ISNA(VLOOKUP(E1415,E$1:E1414,1,FALSE()))),"OLD",IF(AND(E1415&lt;&gt;"",E1415&lt;&gt;"!!!"),"NEW","")))</f>
        <v> </v>
      </c>
      <c r="G1415" s="23" t="str">
        <f>IF(OR(E1415="",E1415="!!!"),"",IF(OR(J1415=0,AND(J1415=1,K1415=1),AND(J1415=1,I1415="SBJ"),AND(J1415=1,I1415=0)),"?IN_FOCUS",IF(J1415&lt;=2,"?ACTIVATED",IF(J1415&lt;&gt;"","?FAMILIAR",IF(F1415="NEW",IF(ISNA(VLOOKUP(E1415,#REF!,1,FALSE())),"?TYPE_IDENTIFIABLE","?REFERENTIAL"),"_")))))</f>
        <v> </v>
      </c>
      <c r="H1415" s="24" t="str">
        <f>IF(J1415&lt;&gt;1,"",IF(I1415="SBJ","CB","?"))</f>
        <v> </v>
      </c>
      <c r="I1415" s="25" t="str">
        <f>IF(OR(E1415="",E1415="!!!",F1415="NEW"),"",INDEX(B1414:B$2,-1+SUMPRODUCT(MAX(ROW(E1414:E$2)*(E1415=E1414:E$2)))))</f>
        <v> </v>
      </c>
      <c r="J1415" s="25" t="str">
        <f>IF(OR(E1415="",E1415="!!!",F1415="NEW"),"",COUNTBLANK(OFFSET(A$1,,,SUMPRODUCT(MAX(ROW(E$2:E1415)*(E1415=E$2:E1415)))))-COUNTBLANK(OFFSET(A$1,,,SUMPRODUCT(MAX(ROW(E$1:E1414)*(E2=E$1:E1414))))))</f>
        <v> </v>
      </c>
      <c r="K1415" s="25" t="str">
        <f>IF(OR(E1415="",E1415="!!!",F1415="NEW"),"",INDEX(J$1:J1414,SUMPRODUCT(MAX(ROW(E$1:E1414)*(E1415=E$1:E1414)))))</f>
        <v> </v>
      </c>
      <c r="L1415" s="26"/>
    </row>
    <row r="1416" spans="1:12">
      <c r="A1416" s="20" t="s">
        <v>814</v>
      </c>
      <c r="E1416" s="21">
        <f>IF(D1416="?OLD","!!!","")</f>
        <v/>
      </c>
      <c r="F1416" s="22" t="str">
        <f>IF(OR(E1416="",E1416="!!!"),"",IF(NOT(ISNA(VLOOKUP(E1416,E$1:E1415,1,FALSE()))),"OLD",IF(AND(E1416&lt;&gt;"",E1416&lt;&gt;"!!!"),"NEW","")))</f>
        <v> </v>
      </c>
      <c r="G1416" s="23" t="str">
        <f>IF(OR(E1416="",E1416="!!!"),"",IF(OR(J1416=0,AND(J1416=1,K1416=1),AND(J1416=1,I1416="SBJ"),AND(J1416=1,I1416=0)),"?IN_FOCUS",IF(J1416&lt;=2,"?ACTIVATED",IF(J1416&lt;&gt;"","?FAMILIAR",IF(F1416="NEW",IF(ISNA(VLOOKUP(E1416,#REF!,1,FALSE())),"?TYPE_IDENTIFIABLE","?REFERENTIAL"),"_")))))</f>
        <v> </v>
      </c>
      <c r="H1416" s="24" t="str">
        <f>IF(J1416&lt;&gt;1,"",IF(I1416="SBJ","CB","?"))</f>
        <v> </v>
      </c>
      <c r="I1416" s="25" t="str">
        <f>IF(OR(E1416="",E1416="!!!",F1416="NEW"),"",INDEX(B1415:B$2,-1+SUMPRODUCT(MAX(ROW(E1415:E$2)*(E1416=E1415:E$2)))))</f>
        <v> </v>
      </c>
      <c r="J1416" s="25" t="str">
        <f>IF(OR(E1416="",E1416="!!!",F1416="NEW"),"",COUNTBLANK(OFFSET(A$1,,,SUMPRODUCT(MAX(ROW(E$2:E1416)*(E1416=E$2:E1416)))))-COUNTBLANK(OFFSET(A$1,,,SUMPRODUCT(MAX(ROW(E$1:E1415)*(E2=E$1:E1415))))))</f>
        <v> </v>
      </c>
      <c r="K1416" s="25" t="str">
        <f>IF(OR(E1416="",E1416="!!!",F1416="NEW"),"",INDEX(J$1:J1415,SUMPRODUCT(MAX(ROW(E$1:E1415)*(E1416=E$1:E1415)))))</f>
        <v> </v>
      </c>
      <c r="L1416" s="26"/>
    </row>
    <row r="1417" spans="1:12">
      <c r="A1417" s="20" t="s">
        <v>406</v>
      </c>
      <c r="B1417" s="27" t="s">
        <v>301</v>
      </c>
      <c r="C1417" s="27" t="s">
        <v>256</v>
      </c>
      <c r="D1417" s="27" t="s">
        <v>244</v>
      </c>
      <c r="E1417" s="21">
        <f>IF(D1417="?OLD","!!!","")</f>
        <v/>
      </c>
      <c r="F1417" s="22" t="str">
        <f>IF(OR(E1417="",E1417="!!!"),"",IF(NOT(ISNA(VLOOKUP(E1417,E$1:E1416,1,FALSE()))),"OLD",IF(AND(E1417&lt;&gt;"",E1417&lt;&gt;"!!!"),"NEW","")))</f>
        <v> </v>
      </c>
      <c r="G1417" s="23" t="str">
        <f>IF(OR(E1417="",E1417="!!!"),"",IF(OR(J1417=0,AND(J1417=1,K1417=1),AND(J1417=1,I1417="SBJ"),AND(J1417=1,I1417=0)),"?IN_FOCUS",IF(J1417&lt;=2,"?ACTIVATED",IF(J1417&lt;&gt;"","?FAMILIAR",IF(F1417="NEW",IF(ISNA(VLOOKUP(E1417,#REF!,1,FALSE())),"?TYPE_IDENTIFIABLE","?REFERENTIAL"),"_")))))</f>
        <v> </v>
      </c>
      <c r="H1417" s="24" t="str">
        <f>IF(J1417&lt;&gt;1,"",IF(I1417="SBJ","CB","?"))</f>
        <v> </v>
      </c>
      <c r="I1417" s="25" t="str">
        <f>IF(OR(E1417="",E1417="!!!",F1417="NEW"),"",INDEX(B1416:B$2,-1+SUMPRODUCT(MAX(ROW(E1416:E$2)*(E1417=E1416:E$2)))))</f>
        <v> </v>
      </c>
      <c r="J1417" s="25" t="str">
        <f>IF(OR(E1417="",E1417="!!!",F1417="NEW"),"",COUNTBLANK(OFFSET(A$1,,,SUMPRODUCT(MAX(ROW(E$2:E1417)*(E1417=E$2:E1417)))))-COUNTBLANK(OFFSET(A$1,,,SUMPRODUCT(MAX(ROW(E$1:E1416)*(E2=E$1:E1416))))))</f>
        <v> </v>
      </c>
      <c r="K1417" s="25" t="str">
        <f>IF(OR(E1417="",E1417="!!!",F1417="NEW"),"",INDEX(J$1:J1416,SUMPRODUCT(MAX(ROW(E$1:E1416)*(E1417=E$1:E1416)))))</f>
        <v> </v>
      </c>
      <c r="L1417" s="26"/>
    </row>
    <row r="1418" spans="1:12">
      <c r="A1418" s="20" t="s">
        <v>321</v>
      </c>
      <c r="E1418" s="21">
        <f>IF(D1418="?OLD","!!!","")</f>
        <v/>
      </c>
      <c r="F1418" s="22" t="str">
        <f>IF(OR(E1418="",E1418="!!!"),"",IF(NOT(ISNA(VLOOKUP(E1418,E$1:E1417,1,FALSE()))),"OLD",IF(AND(E1418&lt;&gt;"",E1418&lt;&gt;"!!!"),"NEW","")))</f>
        <v> </v>
      </c>
      <c r="G1418" s="23" t="str">
        <f>IF(OR(E1418="",E1418="!!!"),"",IF(OR(J1418=0,AND(J1418=1,K1418=1),AND(J1418=1,I1418="SBJ"),AND(J1418=1,I1418=0)),"?IN_FOCUS",IF(J1418&lt;=2,"?ACTIVATED",IF(J1418&lt;&gt;"","?FAMILIAR",IF(F1418="NEW",IF(ISNA(VLOOKUP(E1418,#REF!,1,FALSE())),"?TYPE_IDENTIFIABLE","?REFERENTIAL"),"_")))))</f>
        <v> </v>
      </c>
      <c r="H1418" s="24" t="str">
        <f>IF(J1418&lt;&gt;1,"",IF(I1418="SBJ","CB","?"))</f>
        <v> </v>
      </c>
      <c r="I1418" s="25" t="str">
        <f>IF(OR(E1418="",E1418="!!!",F1418="NEW"),"",INDEX(B1417:B$2,-1+SUMPRODUCT(MAX(ROW(E1417:E$2)*(E1418=E1417:E$2)))))</f>
        <v> </v>
      </c>
      <c r="J1418" s="25" t="str">
        <f>IF(OR(E1418="",E1418="!!!",F1418="NEW"),"",COUNTBLANK(OFFSET(A$1,,,SUMPRODUCT(MAX(ROW(E$2:E1418)*(E1418=E$2:E1418)))))-COUNTBLANK(OFFSET(A$1,,,SUMPRODUCT(MAX(ROW(E$1:E1417)*(E2=E$1:E1417))))))</f>
        <v> </v>
      </c>
      <c r="K1418" s="25" t="str">
        <f>IF(OR(E1418="",E1418="!!!",F1418="NEW"),"",INDEX(J$1:J1417,SUMPRODUCT(MAX(ROW(E$1:E1417)*(E1418=E$1:E1417)))))</f>
        <v> </v>
      </c>
      <c r="L1418" s="26"/>
    </row>
    <row r="1419" spans="1:12">
      <c r="A1419" s="20" t="s">
        <v>621</v>
      </c>
      <c r="E1419" s="21">
        <f>IF(D1419="?OLD","!!!","")</f>
        <v/>
      </c>
      <c r="F1419" s="22" t="str">
        <f>IF(OR(E1419="",E1419="!!!"),"",IF(NOT(ISNA(VLOOKUP(E1419,E$1:E1418,1,FALSE()))),"OLD",IF(AND(E1419&lt;&gt;"",E1419&lt;&gt;"!!!"),"NEW","")))</f>
        <v> </v>
      </c>
      <c r="G1419" s="23" t="str">
        <f>IF(OR(E1419="",E1419="!!!"),"",IF(OR(J1419=0,AND(J1419=1,K1419=1),AND(J1419=1,I1419="SBJ"),AND(J1419=1,I1419=0)),"?IN_FOCUS",IF(J1419&lt;=2,"?ACTIVATED",IF(J1419&lt;&gt;"","?FAMILIAR",IF(F1419="NEW",IF(ISNA(VLOOKUP(E1419,#REF!,1,FALSE())),"?TYPE_IDENTIFIABLE","?REFERENTIAL"),"_")))))</f>
        <v> </v>
      </c>
      <c r="H1419" s="24" t="str">
        <f>IF(J1419&lt;&gt;1,"",IF(I1419="SBJ","CB","?"))</f>
        <v> </v>
      </c>
      <c r="I1419" s="25" t="str">
        <f>IF(OR(E1419="",E1419="!!!",F1419="NEW"),"",INDEX(B1418:B$2,-1+SUMPRODUCT(MAX(ROW(E1418:E$2)*(E1419=E1418:E$2)))))</f>
        <v> </v>
      </c>
      <c r="J1419" s="25" t="str">
        <f>IF(OR(E1419="",E1419="!!!",F1419="NEW"),"",COUNTBLANK(OFFSET(A$1,,,SUMPRODUCT(MAX(ROW(E$2:E1419)*(E1419=E$2:E1419)))))-COUNTBLANK(OFFSET(A$1,,,SUMPRODUCT(MAX(ROW(E$1:E1418)*(E2=E$1:E1418))))))</f>
        <v> </v>
      </c>
      <c r="K1419" s="25" t="str">
        <f>IF(OR(E1419="",E1419="!!!",F1419="NEW"),"",INDEX(J$1:J1418,SUMPRODUCT(MAX(ROW(E$1:E1418)*(E1419=E$1:E1418)))))</f>
        <v> </v>
      </c>
      <c r="L1419" s="26"/>
    </row>
    <row r="1420" spans="1:12">
      <c r="A1420" s="20" t="s">
        <v>815</v>
      </c>
      <c r="E1420" s="21">
        <f>IF(D1420="?OLD","!!!","")</f>
        <v/>
      </c>
      <c r="F1420" s="22" t="str">
        <f>IF(OR(E1420="",E1420="!!!"),"",IF(NOT(ISNA(VLOOKUP(E1420,E$1:E1419,1,FALSE()))),"OLD",IF(AND(E1420&lt;&gt;"",E1420&lt;&gt;"!!!"),"NEW","")))</f>
        <v> </v>
      </c>
      <c r="G1420" s="23" t="str">
        <f>IF(OR(E1420="",E1420="!!!"),"",IF(OR(J1420=0,AND(J1420=1,K1420=1),AND(J1420=1,I1420="SBJ"),AND(J1420=1,I1420=0)),"?IN_FOCUS",IF(J1420&lt;=2,"?ACTIVATED",IF(J1420&lt;&gt;"","?FAMILIAR",IF(F1420="NEW",IF(ISNA(VLOOKUP(E1420,#REF!,1,FALSE())),"?TYPE_IDENTIFIABLE","?REFERENTIAL"),"_")))))</f>
        <v> </v>
      </c>
      <c r="H1420" s="24" t="str">
        <f>IF(J1420&lt;&gt;1,"",IF(I1420="SBJ","CB","?"))</f>
        <v> </v>
      </c>
      <c r="I1420" s="25" t="str">
        <f>IF(OR(E1420="",E1420="!!!",F1420="NEW"),"",INDEX(B1419:B$2,-1+SUMPRODUCT(MAX(ROW(E1419:E$2)*(E1420=E1419:E$2)))))</f>
        <v> </v>
      </c>
      <c r="J1420" s="25" t="str">
        <f>IF(OR(E1420="",E1420="!!!",F1420="NEW"),"",COUNTBLANK(OFFSET(A$1,,,SUMPRODUCT(MAX(ROW(E$2:E1420)*(E1420=E$2:E1420)))))-COUNTBLANK(OFFSET(A$1,,,SUMPRODUCT(MAX(ROW(E$1:E1419)*(E2=E$1:E1419))))))</f>
        <v> </v>
      </c>
      <c r="K1420" s="25" t="str">
        <f>IF(OR(E1420="",E1420="!!!",F1420="NEW"),"",INDEX(J$1:J1419,SUMPRODUCT(MAX(ROW(E$1:E1419)*(E1420=E$1:E1419)))))</f>
        <v> </v>
      </c>
      <c r="L1420" s="26"/>
    </row>
    <row r="1421" spans="1:12">
      <c r="A1421" s="20" t="s">
        <v>816</v>
      </c>
      <c r="B1421" s="27" t="s">
        <v>291</v>
      </c>
      <c r="C1421" s="27" t="s">
        <v>279</v>
      </c>
      <c r="E1421" s="21">
        <f>IF(D1421="?OLD","!!!","")</f>
        <v/>
      </c>
      <c r="F1421" s="22" t="str">
        <f>IF(OR(E1421="",E1421="!!!"),"",IF(NOT(ISNA(VLOOKUP(E1421,E$1:E1420,1,FALSE()))),"OLD",IF(AND(E1421&lt;&gt;"",E1421&lt;&gt;"!!!"),"NEW","")))</f>
        <v> </v>
      </c>
      <c r="G1421" s="23" t="str">
        <f>IF(OR(E1421="",E1421="!!!"),"",IF(OR(J1421=0,AND(J1421=1,K1421=1),AND(J1421=1,I1421="SBJ"),AND(J1421=1,I1421=0)),"?IN_FOCUS",IF(J1421&lt;=2,"?ACTIVATED",IF(J1421&lt;&gt;"","?FAMILIAR",IF(F1421="NEW",IF(ISNA(VLOOKUP(E1421,#REF!,1,FALSE())),"?TYPE_IDENTIFIABLE","?REFERENTIAL"),"_")))))</f>
        <v> </v>
      </c>
      <c r="H1421" s="24" t="str">
        <f>IF(J1421&lt;&gt;1,"",IF(I1421="SBJ","CB","?"))</f>
        <v> </v>
      </c>
      <c r="I1421" s="25" t="str">
        <f>IF(OR(E1421="",E1421="!!!",F1421="NEW"),"",INDEX(B1420:B$2,-1+SUMPRODUCT(MAX(ROW(E1420:E$2)*(E1421=E1420:E$2)))))</f>
        <v> </v>
      </c>
      <c r="J1421" s="25" t="str">
        <f>IF(OR(E1421="",E1421="!!!",F1421="NEW"),"",COUNTBLANK(OFFSET(A$1,,,SUMPRODUCT(MAX(ROW(E$2:E1421)*(E1421=E$2:E1421)))))-COUNTBLANK(OFFSET(A$1,,,SUMPRODUCT(MAX(ROW(E$1:E1420)*(E2=E$1:E1420))))))</f>
        <v> </v>
      </c>
      <c r="K1421" s="25" t="str">
        <f>IF(OR(E1421="",E1421="!!!",F1421="NEW"),"",INDEX(J$1:J1420,SUMPRODUCT(MAX(ROW(E$1:E1420)*(E1421=E$1:E1420)))))</f>
        <v> </v>
      </c>
      <c r="L1421" s="26"/>
    </row>
    <row r="1422" spans="1:12">
      <c r="A1422" s="20" t="s">
        <v>285</v>
      </c>
      <c r="E1422" s="21">
        <f>IF(D1422="?OLD","!!!","")</f>
        <v/>
      </c>
      <c r="F1422" s="22" t="str">
        <f>IF(OR(E1422="",E1422="!!!"),"",IF(NOT(ISNA(VLOOKUP(E1422,E$1:E1421,1,FALSE()))),"OLD",IF(AND(E1422&lt;&gt;"",E1422&lt;&gt;"!!!"),"NEW","")))</f>
        <v> </v>
      </c>
      <c r="G1422" s="23" t="str">
        <f>IF(OR(E1422="",E1422="!!!"),"",IF(OR(J1422=0,AND(J1422=1,K1422=1),AND(J1422=1,I1422="SBJ"),AND(J1422=1,I1422=0)),"?IN_FOCUS",IF(J1422&lt;=2,"?ACTIVATED",IF(J1422&lt;&gt;"","?FAMILIAR",IF(F1422="NEW",IF(ISNA(VLOOKUP(E1422,#REF!,1,FALSE())),"?TYPE_IDENTIFIABLE","?REFERENTIAL"),"_")))))</f>
        <v> </v>
      </c>
      <c r="H1422" s="24" t="str">
        <f>IF(J1422&lt;&gt;1,"",IF(I1422="SBJ","CB","?"))</f>
        <v> </v>
      </c>
      <c r="I1422" s="25" t="str">
        <f>IF(OR(E1422="",E1422="!!!",F1422="NEW"),"",INDEX(B1421:B$2,-1+SUMPRODUCT(MAX(ROW(E1421:E$2)*(E1422=E1421:E$2)))))</f>
        <v> </v>
      </c>
      <c r="J1422" s="25" t="str">
        <f>IF(OR(E1422="",E1422="!!!",F1422="NEW"),"",COUNTBLANK(OFFSET(A$1,,,SUMPRODUCT(MAX(ROW(E$2:E1422)*(E1422=E$2:E1422)))))-COUNTBLANK(OFFSET(A$1,,,SUMPRODUCT(MAX(ROW(E$1:E1421)*(E2=E$1:E1421))))))</f>
        <v> </v>
      </c>
      <c r="K1422" s="25" t="str">
        <f>IF(OR(E1422="",E1422="!!!",F1422="NEW"),"",INDEX(J$1:J1421,SUMPRODUCT(MAX(ROW(E$1:E1421)*(E1422=E$1:E1421)))))</f>
        <v> </v>
      </c>
      <c r="L1422" s="26"/>
    </row>
    <row r="1423" spans="1:12">
      <c r="A1423" s="20"/>
    </row>
    <row r="1424" spans="1:12">
      <c r="A1424" s="20" t="s">
        <v>817</v>
      </c>
    </row>
    <row r="1425" spans="1:12">
      <c r="A1425" s="20" t="s">
        <v>367</v>
      </c>
      <c r="B1425" s="27" t="s">
        <v>255</v>
      </c>
      <c r="E1425" s="21">
        <f>IF(D1425="?OLD","!!!","")</f>
        <v/>
      </c>
      <c r="F1425" s="22" t="str">
        <f>IF(OR(E1425="",E1425="!!!"),"",IF(NOT(ISNA(VLOOKUP(E1425,E$1:E1424,1,FALSE()))),"OLD",IF(AND(E1425&lt;&gt;"",E1425&lt;&gt;"!!!"),"NEW","")))</f>
        <v> </v>
      </c>
      <c r="G1425" s="23" t="str">
        <f>IF(OR(E1425="",E1425="!!!"),"",IF(OR(J1425=0,AND(J1425=1,K1425=1),AND(J1425=1,I1425="SBJ"),AND(J1425=1,I1425=0)),"?IN_FOCUS",IF(J1425&lt;=2,"?ACTIVATED",IF(J1425&lt;&gt;"","?FAMILIAR",IF(F1425="NEW",IF(ISNA(VLOOKUP(E1425,#REF!,1,FALSE())),"?TYPE_IDENTIFIABLE","?REFERENTIAL"),"_")))))</f>
        <v> </v>
      </c>
      <c r="H1425" s="24" t="str">
        <f>IF(J1425&lt;&gt;1,"",IF(I1425="SBJ","CB","?"))</f>
        <v> </v>
      </c>
      <c r="I1425" s="25" t="str">
        <f>IF(OR(E1425="",E1425="!!!",F1425="NEW"),"",INDEX(B1424:B$2,-1+SUMPRODUCT(MAX(ROW(E1424:E$2)*(E1425=E1424:E$2)))))</f>
        <v> </v>
      </c>
      <c r="J1425" s="25" t="str">
        <f>IF(OR(E1425="",E1425="!!!",F1425="NEW"),"",COUNTBLANK(OFFSET(A$1,,,SUMPRODUCT(MAX(ROW(E$2:E1425)*(E1425=E$2:E1425)))))-COUNTBLANK(OFFSET(A$1,,,SUMPRODUCT(MAX(ROW(E$1:E1424)*(E2=E$1:E1424))))))</f>
        <v> </v>
      </c>
      <c r="K1425" s="25" t="str">
        <f>IF(OR(E1425="",E1425="!!!",F1425="NEW"),"",INDEX(J$1:J1424,SUMPRODUCT(MAX(ROW(E$1:E1424)*(E1425=E$1:E1424)))))</f>
        <v> </v>
      </c>
      <c r="L1425" s="26"/>
    </row>
    <row r="1426" spans="1:12">
      <c r="A1426" s="20" t="s">
        <v>273</v>
      </c>
      <c r="E1426" s="21">
        <f>IF(D1426="?OLD","!!!","")</f>
        <v/>
      </c>
      <c r="F1426" s="22" t="str">
        <f>IF(OR(E1426="",E1426="!!!"),"",IF(NOT(ISNA(VLOOKUP(E1426,E$1:E1425,1,FALSE()))),"OLD",IF(AND(E1426&lt;&gt;"",E1426&lt;&gt;"!!!"),"NEW","")))</f>
        <v> </v>
      </c>
      <c r="G1426" s="23" t="str">
        <f>IF(OR(E1426="",E1426="!!!"),"",IF(OR(J1426=0,AND(J1426=1,K1426=1),AND(J1426=1,I1426="SBJ"),AND(J1426=1,I1426=0)),"?IN_FOCUS",IF(J1426&lt;=2,"?ACTIVATED",IF(J1426&lt;&gt;"","?FAMILIAR",IF(F1426="NEW",IF(ISNA(VLOOKUP(E1426,#REF!,1,FALSE())),"?TYPE_IDENTIFIABLE","?REFERENTIAL"),"_")))))</f>
        <v> </v>
      </c>
      <c r="H1426" s="24" t="str">
        <f>IF(J1426&lt;&gt;1,"",IF(I1426="SBJ","CB","?"))</f>
        <v> </v>
      </c>
      <c r="I1426" s="25" t="str">
        <f>IF(OR(E1426="",E1426="!!!",F1426="NEW"),"",INDEX(B1425:B$2,-1+SUMPRODUCT(MAX(ROW(E1425:E$2)*(E1426=E1425:E$2)))))</f>
        <v> </v>
      </c>
      <c r="J1426" s="25" t="str">
        <f>IF(OR(E1426="",E1426="!!!",F1426="NEW"),"",COUNTBLANK(OFFSET(A$1,,,SUMPRODUCT(MAX(ROW(E$2:E1426)*(E1426=E$2:E1426)))))-COUNTBLANK(OFFSET(A$1,,,SUMPRODUCT(MAX(ROW(E$1:E1425)*(E2=E$1:E1425))))))</f>
        <v> </v>
      </c>
      <c r="K1426" s="25" t="str">
        <f>IF(OR(E1426="",E1426="!!!",F1426="NEW"),"",INDEX(J$1:J1425,SUMPRODUCT(MAX(ROW(E$1:E1425)*(E1426=E$1:E1425)))))</f>
        <v> </v>
      </c>
      <c r="L1426" s="26"/>
    </row>
    <row r="1427" spans="1:12">
      <c r="A1427" s="20" t="s">
        <v>248</v>
      </c>
      <c r="E1427" s="21">
        <f>IF(D1427="?OLD","!!!","")</f>
        <v/>
      </c>
      <c r="F1427" s="22" t="str">
        <f>IF(OR(E1427="",E1427="!!!"),"",IF(NOT(ISNA(VLOOKUP(E1427,E$1:E1426,1,FALSE()))),"OLD",IF(AND(E1427&lt;&gt;"",E1427&lt;&gt;"!!!"),"NEW","")))</f>
        <v> </v>
      </c>
      <c r="G1427" s="23" t="str">
        <f>IF(OR(E1427="",E1427="!!!"),"",IF(OR(J1427=0,AND(J1427=1,K1427=1),AND(J1427=1,I1427="SBJ"),AND(J1427=1,I1427=0)),"?IN_FOCUS",IF(J1427&lt;=2,"?ACTIVATED",IF(J1427&lt;&gt;"","?FAMILIAR",IF(F1427="NEW",IF(ISNA(VLOOKUP(E1427,#REF!,1,FALSE())),"?TYPE_IDENTIFIABLE","?REFERENTIAL"),"_")))))</f>
        <v> </v>
      </c>
      <c r="H1427" s="24" t="str">
        <f>IF(J1427&lt;&gt;1,"",IF(I1427="SBJ","CB","?"))</f>
        <v> </v>
      </c>
      <c r="I1427" s="25" t="str">
        <f>IF(OR(E1427="",E1427="!!!",F1427="NEW"),"",INDEX(B1426:B$2,-1+SUMPRODUCT(MAX(ROW(E1426:E$2)*(E1427=E1426:E$2)))))</f>
        <v> </v>
      </c>
      <c r="J1427" s="25" t="str">
        <f>IF(OR(E1427="",E1427="!!!",F1427="NEW"),"",COUNTBLANK(OFFSET(A$1,,,SUMPRODUCT(MAX(ROW(E$2:E1427)*(E1427=E$2:E1427)))))-COUNTBLANK(OFFSET(A$1,,,SUMPRODUCT(MAX(ROW(E$1:E1426)*(E2=E$1:E1426))))))</f>
        <v> </v>
      </c>
      <c r="K1427" s="25" t="str">
        <f>IF(OR(E1427="",E1427="!!!",F1427="NEW"),"",INDEX(J$1:J1426,SUMPRODUCT(MAX(ROW(E$1:E1426)*(E1427=E$1:E1426)))))</f>
        <v> </v>
      </c>
      <c r="L1427" s="26"/>
    </row>
    <row r="1428" spans="1:12">
      <c r="A1428" s="20" t="s">
        <v>818</v>
      </c>
      <c r="E1428" s="21">
        <f>IF(D1428="?OLD","!!!","")</f>
        <v/>
      </c>
      <c r="F1428" s="22" t="str">
        <f>IF(OR(E1428="",E1428="!!!"),"",IF(NOT(ISNA(VLOOKUP(E1428,E$1:E1427,1,FALSE()))),"OLD",IF(AND(E1428&lt;&gt;"",E1428&lt;&gt;"!!!"),"NEW","")))</f>
        <v> </v>
      </c>
      <c r="G1428" s="23" t="str">
        <f>IF(OR(E1428="",E1428="!!!"),"",IF(OR(J1428=0,AND(J1428=1,K1428=1),AND(J1428=1,I1428="SBJ"),AND(J1428=1,I1428=0)),"?IN_FOCUS",IF(J1428&lt;=2,"?ACTIVATED",IF(J1428&lt;&gt;"","?FAMILIAR",IF(F1428="NEW",IF(ISNA(VLOOKUP(E1428,#REF!,1,FALSE())),"?TYPE_IDENTIFIABLE","?REFERENTIAL"),"_")))))</f>
        <v> </v>
      </c>
      <c r="H1428" s="24" t="str">
        <f>IF(J1428&lt;&gt;1,"",IF(I1428="SBJ","CB","?"))</f>
        <v> </v>
      </c>
      <c r="I1428" s="25" t="str">
        <f>IF(OR(E1428="",E1428="!!!",F1428="NEW"),"",INDEX(B1427:B$2,-1+SUMPRODUCT(MAX(ROW(E1427:E$2)*(E1428=E1427:E$2)))))</f>
        <v> </v>
      </c>
      <c r="J1428" s="25" t="str">
        <f>IF(OR(E1428="",E1428="!!!",F1428="NEW"),"",COUNTBLANK(OFFSET(A$1,,,SUMPRODUCT(MAX(ROW(E$2:E1428)*(E1428=E$2:E1428)))))-COUNTBLANK(OFFSET(A$1,,,SUMPRODUCT(MAX(ROW(E$1:E1427)*(E2=E$1:E1427))))))</f>
        <v> </v>
      </c>
      <c r="K1428" s="25" t="str">
        <f>IF(OR(E1428="",E1428="!!!",F1428="NEW"),"",INDEX(J$1:J1427,SUMPRODUCT(MAX(ROW(E$1:E1427)*(E1428=E$1:E1427)))))</f>
        <v> </v>
      </c>
      <c r="L1428" s="26"/>
    </row>
    <row r="1429" spans="1:12">
      <c r="A1429" s="20" t="s">
        <v>819</v>
      </c>
      <c r="E1429" s="21">
        <f>IF(D1429="?OLD","!!!","")</f>
        <v/>
      </c>
      <c r="F1429" s="22" t="str">
        <f>IF(OR(E1429="",E1429="!!!"),"",IF(NOT(ISNA(VLOOKUP(E1429,E$1:E1428,1,FALSE()))),"OLD",IF(AND(E1429&lt;&gt;"",E1429&lt;&gt;"!!!"),"NEW","")))</f>
        <v> </v>
      </c>
      <c r="G1429" s="23" t="str">
        <f>IF(OR(E1429="",E1429="!!!"),"",IF(OR(J1429=0,AND(J1429=1,K1429=1),AND(J1429=1,I1429="SBJ"),AND(J1429=1,I1429=0)),"?IN_FOCUS",IF(J1429&lt;=2,"?ACTIVATED",IF(J1429&lt;&gt;"","?FAMILIAR",IF(F1429="NEW",IF(ISNA(VLOOKUP(E1429,#REF!,1,FALSE())),"?TYPE_IDENTIFIABLE","?REFERENTIAL"),"_")))))</f>
        <v> </v>
      </c>
      <c r="H1429" s="24" t="str">
        <f>IF(J1429&lt;&gt;1,"",IF(I1429="SBJ","CB","?"))</f>
        <v> </v>
      </c>
      <c r="I1429" s="25" t="str">
        <f>IF(OR(E1429="",E1429="!!!",F1429="NEW"),"",INDEX(B1428:B$2,-1+SUMPRODUCT(MAX(ROW(E1428:E$2)*(E1429=E1428:E$2)))))</f>
        <v> </v>
      </c>
      <c r="J1429" s="25" t="str">
        <f>IF(OR(E1429="",E1429="!!!",F1429="NEW"),"",COUNTBLANK(OFFSET(A$1,,,SUMPRODUCT(MAX(ROW(E$2:E1429)*(E1429=E$2:E1429)))))-COUNTBLANK(OFFSET(A$1,,,SUMPRODUCT(MAX(ROW(E$1:E1428)*(E2=E$1:E1428))))))</f>
        <v> </v>
      </c>
      <c r="K1429" s="25" t="str">
        <f>IF(OR(E1429="",E1429="!!!",F1429="NEW"),"",INDEX(J$1:J1428,SUMPRODUCT(MAX(ROW(E$1:E1428)*(E1429=E$1:E1428)))))</f>
        <v> </v>
      </c>
      <c r="L1429" s="26"/>
    </row>
    <row r="1430" spans="1:12">
      <c r="A1430" s="20" t="s">
        <v>820</v>
      </c>
      <c r="B1430" s="27" t="s">
        <v>291</v>
      </c>
      <c r="C1430" s="27" t="s">
        <v>267</v>
      </c>
      <c r="D1430" s="27" t="s">
        <v>244</v>
      </c>
      <c r="E1430" s="21">
        <f>IF(D1430="?OLD","!!!","")</f>
        <v/>
      </c>
      <c r="F1430" s="22" t="str">
        <f>IF(OR(E1430="",E1430="!!!"),"",IF(NOT(ISNA(VLOOKUP(E1430,E$1:E1429,1,FALSE()))),"OLD",IF(AND(E1430&lt;&gt;"",E1430&lt;&gt;"!!!"),"NEW","")))</f>
        <v> </v>
      </c>
      <c r="G1430" s="23" t="str">
        <f>IF(OR(E1430="",E1430="!!!"),"",IF(OR(J1430=0,AND(J1430=1,K1430=1),AND(J1430=1,I1430="SBJ"),AND(J1430=1,I1430=0)),"?IN_FOCUS",IF(J1430&lt;=2,"?ACTIVATED",IF(J1430&lt;&gt;"","?FAMILIAR",IF(F1430="NEW",IF(ISNA(VLOOKUP(E1430,#REF!,1,FALSE())),"?TYPE_IDENTIFIABLE","?REFERENTIAL"),"_")))))</f>
        <v> </v>
      </c>
      <c r="H1430" s="24" t="str">
        <f>IF(J1430&lt;&gt;1,"",IF(I1430="SBJ","CB","?"))</f>
        <v> </v>
      </c>
      <c r="I1430" s="25" t="str">
        <f>IF(OR(E1430="",E1430="!!!",F1430="NEW"),"",INDEX(B1429:B$2,-1+SUMPRODUCT(MAX(ROW(E1429:E$2)*(E1430=E1429:E$2)))))</f>
        <v> </v>
      </c>
      <c r="J1430" s="25" t="str">
        <f>IF(OR(E1430="",E1430="!!!",F1430="NEW"),"",COUNTBLANK(OFFSET(A$1,,,SUMPRODUCT(MAX(ROW(E$2:E1430)*(E1430=E$2:E1430)))))-COUNTBLANK(OFFSET(A$1,,,SUMPRODUCT(MAX(ROW(E$1:E1429)*(E2=E$1:E1429))))))</f>
        <v> </v>
      </c>
      <c r="K1430" s="25" t="str">
        <f>IF(OR(E1430="",E1430="!!!",F1430="NEW"),"",INDEX(J$1:J1429,SUMPRODUCT(MAX(ROW(E$1:E1429)*(E1430=E$1:E1429)))))</f>
        <v> </v>
      </c>
      <c r="L1430" s="26"/>
    </row>
    <row r="1431" spans="1:12">
      <c r="A1431" s="20" t="s">
        <v>273</v>
      </c>
      <c r="E1431" s="21">
        <f>IF(D1431="?OLD","!!!","")</f>
        <v/>
      </c>
      <c r="F1431" s="22" t="str">
        <f>IF(OR(E1431="",E1431="!!!"),"",IF(NOT(ISNA(VLOOKUP(E1431,E$1:E1430,1,FALSE()))),"OLD",IF(AND(E1431&lt;&gt;"",E1431&lt;&gt;"!!!"),"NEW","")))</f>
        <v> </v>
      </c>
      <c r="G1431" s="23" t="str">
        <f>IF(OR(E1431="",E1431="!!!"),"",IF(OR(J1431=0,AND(J1431=1,K1431=1),AND(J1431=1,I1431="SBJ"),AND(J1431=1,I1431=0)),"?IN_FOCUS",IF(J1431&lt;=2,"?ACTIVATED",IF(J1431&lt;&gt;"","?FAMILIAR",IF(F1431="NEW",IF(ISNA(VLOOKUP(E1431,#REF!,1,FALSE())),"?TYPE_IDENTIFIABLE","?REFERENTIAL"),"_")))))</f>
        <v> </v>
      </c>
      <c r="H1431" s="24" t="str">
        <f>IF(J1431&lt;&gt;1,"",IF(I1431="SBJ","CB","?"))</f>
        <v> </v>
      </c>
      <c r="I1431" s="25" t="str">
        <f>IF(OR(E1431="",E1431="!!!",F1431="NEW"),"",INDEX(B1430:B$2,-1+SUMPRODUCT(MAX(ROW(E1430:E$2)*(E1431=E1430:E$2)))))</f>
        <v> </v>
      </c>
      <c r="J1431" s="25" t="str">
        <f>IF(OR(E1431="",E1431="!!!",F1431="NEW"),"",COUNTBLANK(OFFSET(A$1,,,SUMPRODUCT(MAX(ROW(E$2:E1431)*(E1431=E$2:E1431)))))-COUNTBLANK(OFFSET(A$1,,,SUMPRODUCT(MAX(ROW(E$1:E1430)*(E2=E$1:E1430))))))</f>
        <v> </v>
      </c>
      <c r="K1431" s="25" t="str">
        <f>IF(OR(E1431="",E1431="!!!",F1431="NEW"),"",INDEX(J$1:J1430,SUMPRODUCT(MAX(ROW(E$1:E1430)*(E1431=E$1:E1430)))))</f>
        <v> </v>
      </c>
      <c r="L1431" s="26"/>
    </row>
    <row r="1432" spans="1:12">
      <c r="A1432" s="20" t="s">
        <v>400</v>
      </c>
      <c r="B1432" s="27" t="s">
        <v>272</v>
      </c>
      <c r="C1432" s="27" t="s">
        <v>401</v>
      </c>
      <c r="D1432" s="27" t="s">
        <v>244</v>
      </c>
      <c r="E1432" s="21">
        <f>IF(D1432="?OLD","!!!","")</f>
        <v/>
      </c>
      <c r="F1432" s="22" t="str">
        <f>IF(OR(E1432="",E1432="!!!"),"",IF(NOT(ISNA(VLOOKUP(E1432,E$1:E1431,1,FALSE()))),"OLD",IF(AND(E1432&lt;&gt;"",E1432&lt;&gt;"!!!"),"NEW","")))</f>
        <v> </v>
      </c>
      <c r="G1432" s="23" t="str">
        <f>IF(OR(E1432="",E1432="!!!"),"",IF(OR(J1432=0,AND(J1432=1,K1432=1),AND(J1432=1,I1432="SBJ"),AND(J1432=1,I1432=0)),"?IN_FOCUS",IF(J1432&lt;=2,"?ACTIVATED",IF(J1432&lt;&gt;"","?FAMILIAR",IF(F1432="NEW",IF(ISNA(VLOOKUP(E1432,#REF!,1,FALSE())),"?TYPE_IDENTIFIABLE","?REFERENTIAL"),"_")))))</f>
        <v> </v>
      </c>
      <c r="H1432" s="24" t="str">
        <f>IF(J1432&lt;&gt;1,"",IF(I1432="SBJ","CB","?"))</f>
        <v> </v>
      </c>
      <c r="I1432" s="25" t="str">
        <f>IF(OR(E1432="",E1432="!!!",F1432="NEW"),"",INDEX(B1431:B$2,-1+SUMPRODUCT(MAX(ROW(E1431:E$2)*(E1432=E1431:E$2)))))</f>
        <v> </v>
      </c>
      <c r="J1432" s="25" t="str">
        <f>IF(OR(E1432="",E1432="!!!",F1432="NEW"),"",COUNTBLANK(OFFSET(A$1,,,SUMPRODUCT(MAX(ROW(E$2:E1432)*(E1432=E$2:E1432)))))-COUNTBLANK(OFFSET(A$1,,,SUMPRODUCT(MAX(ROW(E$1:E1431)*(E2=E$1:E1431))))))</f>
        <v> </v>
      </c>
      <c r="K1432" s="25" t="str">
        <f>IF(OR(E1432="",E1432="!!!",F1432="NEW"),"",INDEX(J$1:J1431,SUMPRODUCT(MAX(ROW(E$1:E1431)*(E1432=E$1:E1431)))))</f>
        <v> </v>
      </c>
      <c r="L1432" s="26"/>
    </row>
    <row r="1433" spans="1:12">
      <c r="A1433" s="20" t="s">
        <v>419</v>
      </c>
      <c r="E1433" s="21">
        <f>IF(D1433="?OLD","!!!","")</f>
        <v/>
      </c>
      <c r="F1433" s="22" t="str">
        <f>IF(OR(E1433="",E1433="!!!"),"",IF(NOT(ISNA(VLOOKUP(E1433,E$1:E1432,1,FALSE()))),"OLD",IF(AND(E1433&lt;&gt;"",E1433&lt;&gt;"!!!"),"NEW","")))</f>
        <v> </v>
      </c>
      <c r="G1433" s="23" t="str">
        <f>IF(OR(E1433="",E1433="!!!"),"",IF(OR(J1433=0,AND(J1433=1,K1433=1),AND(J1433=1,I1433="SBJ"),AND(J1433=1,I1433=0)),"?IN_FOCUS",IF(J1433&lt;=2,"?ACTIVATED",IF(J1433&lt;&gt;"","?FAMILIAR",IF(F1433="NEW",IF(ISNA(VLOOKUP(E1433,#REF!,1,FALSE())),"?TYPE_IDENTIFIABLE","?REFERENTIAL"),"_")))))</f>
        <v> </v>
      </c>
      <c r="H1433" s="24" t="str">
        <f>IF(J1433&lt;&gt;1,"",IF(I1433="SBJ","CB","?"))</f>
        <v> </v>
      </c>
      <c r="I1433" s="25" t="str">
        <f>IF(OR(E1433="",E1433="!!!",F1433="NEW"),"",INDEX(B1432:B$2,-1+SUMPRODUCT(MAX(ROW(E1432:E$2)*(E1433=E1432:E$2)))))</f>
        <v> </v>
      </c>
      <c r="J1433" s="25" t="str">
        <f>IF(OR(E1433="",E1433="!!!",F1433="NEW"),"",COUNTBLANK(OFFSET(A$1,,,SUMPRODUCT(MAX(ROW(E$2:E1433)*(E1433=E$2:E1433)))))-COUNTBLANK(OFFSET(A$1,,,SUMPRODUCT(MAX(ROW(E$1:E1432)*(E2=E$1:E1432))))))</f>
        <v> </v>
      </c>
      <c r="K1433" s="25" t="str">
        <f>IF(OR(E1433="",E1433="!!!",F1433="NEW"),"",INDEX(J$1:J1432,SUMPRODUCT(MAX(ROW(E$1:E1432)*(E1433=E$1:E1432)))))</f>
        <v> </v>
      </c>
      <c r="L1433" s="26"/>
    </row>
    <row r="1434" spans="1:12">
      <c r="A1434" s="20" t="s">
        <v>420</v>
      </c>
      <c r="E1434" s="21">
        <f>IF(D1434="?OLD","!!!","")</f>
        <v/>
      </c>
      <c r="F1434" s="22" t="str">
        <f>IF(OR(E1434="",E1434="!!!"),"",IF(NOT(ISNA(VLOOKUP(E1434,E$1:E1433,1,FALSE()))),"OLD",IF(AND(E1434&lt;&gt;"",E1434&lt;&gt;"!!!"),"NEW","")))</f>
        <v> </v>
      </c>
      <c r="G1434" s="23" t="str">
        <f>IF(OR(E1434="",E1434="!!!"),"",IF(OR(J1434=0,AND(J1434=1,K1434=1),AND(J1434=1,I1434="SBJ"),AND(J1434=1,I1434=0)),"?IN_FOCUS",IF(J1434&lt;=2,"?ACTIVATED",IF(J1434&lt;&gt;"","?FAMILIAR",IF(F1434="NEW",IF(ISNA(VLOOKUP(E1434,#REF!,1,FALSE())),"?TYPE_IDENTIFIABLE","?REFERENTIAL"),"_")))))</f>
        <v> </v>
      </c>
      <c r="H1434" s="24" t="str">
        <f>IF(J1434&lt;&gt;1,"",IF(I1434="SBJ","CB","?"))</f>
        <v> </v>
      </c>
      <c r="I1434" s="25" t="str">
        <f>IF(OR(E1434="",E1434="!!!",F1434="NEW"),"",INDEX(B1433:B$2,-1+SUMPRODUCT(MAX(ROW(E1433:E$2)*(E1434=E1433:E$2)))))</f>
        <v> </v>
      </c>
      <c r="J1434" s="25" t="str">
        <f>IF(OR(E1434="",E1434="!!!",F1434="NEW"),"",COUNTBLANK(OFFSET(A$1,,,SUMPRODUCT(MAX(ROW(E$2:E1434)*(E1434=E$2:E1434)))))-COUNTBLANK(OFFSET(A$1,,,SUMPRODUCT(MAX(ROW(E$1:E1433)*(E2=E$1:E1433))))))</f>
        <v> </v>
      </c>
      <c r="K1434" s="25" t="str">
        <f>IF(OR(E1434="",E1434="!!!",F1434="NEW"),"",INDEX(J$1:J1433,SUMPRODUCT(MAX(ROW(E$1:E1433)*(E1434=E$1:E1433)))))</f>
        <v> </v>
      </c>
      <c r="L1434" s="26"/>
    </row>
    <row r="1435" spans="1:12">
      <c r="A1435" s="20" t="s">
        <v>393</v>
      </c>
      <c r="B1435" s="27" t="s">
        <v>295</v>
      </c>
      <c r="C1435" s="27" t="s">
        <v>256</v>
      </c>
      <c r="D1435" s="27" t="s">
        <v>244</v>
      </c>
      <c r="E1435" s="21">
        <f>IF(D1435="?OLD","!!!","")</f>
        <v/>
      </c>
      <c r="F1435" s="22" t="str">
        <f>IF(OR(E1435="",E1435="!!!"),"",IF(NOT(ISNA(VLOOKUP(E1435,E$1:E1434,1,FALSE()))),"OLD",IF(AND(E1435&lt;&gt;"",E1435&lt;&gt;"!!!"),"NEW","")))</f>
        <v> </v>
      </c>
      <c r="G1435" s="23" t="str">
        <f>IF(OR(E1435="",E1435="!!!"),"",IF(OR(J1435=0,AND(J1435=1,K1435=1),AND(J1435=1,I1435="SBJ"),AND(J1435=1,I1435=0)),"?IN_FOCUS",IF(J1435&lt;=2,"?ACTIVATED",IF(J1435&lt;&gt;"","?FAMILIAR",IF(F1435="NEW",IF(ISNA(VLOOKUP(E1435,#REF!,1,FALSE())),"?TYPE_IDENTIFIABLE","?REFERENTIAL"),"_")))))</f>
        <v> </v>
      </c>
      <c r="H1435" s="24" t="str">
        <f>IF(J1435&lt;&gt;1,"",IF(I1435="SBJ","CB","?"))</f>
        <v> </v>
      </c>
      <c r="I1435" s="25" t="str">
        <f>IF(OR(E1435="",E1435="!!!",F1435="NEW"),"",INDEX(B1434:B$2,-1+SUMPRODUCT(MAX(ROW(E1434:E$2)*(E1435=E1434:E$2)))))</f>
        <v> </v>
      </c>
      <c r="J1435" s="25" t="str">
        <f>IF(OR(E1435="",E1435="!!!",F1435="NEW"),"",COUNTBLANK(OFFSET(A$1,,,SUMPRODUCT(MAX(ROW(E$2:E1435)*(E1435=E$2:E1435)))))-COUNTBLANK(OFFSET(A$1,,,SUMPRODUCT(MAX(ROW(E$1:E1434)*(E2=E$1:E1434))))))</f>
        <v> </v>
      </c>
      <c r="K1435" s="25" t="str">
        <f>IF(OR(E1435="",E1435="!!!",F1435="NEW"),"",INDEX(J$1:J1434,SUMPRODUCT(MAX(ROW(E$1:E1434)*(E1435=E$1:E1434)))))</f>
        <v> </v>
      </c>
      <c r="L1435" s="26"/>
    </row>
    <row r="1436" spans="1:12">
      <c r="A1436" s="20" t="s">
        <v>589</v>
      </c>
      <c r="E1436" s="21">
        <f>IF(D1436="?OLD","!!!","")</f>
        <v/>
      </c>
      <c r="F1436" s="22" t="str">
        <f>IF(OR(E1436="",E1436="!!!"),"",IF(NOT(ISNA(VLOOKUP(E1436,E$1:E1435,1,FALSE()))),"OLD",IF(AND(E1436&lt;&gt;"",E1436&lt;&gt;"!!!"),"NEW","")))</f>
        <v> </v>
      </c>
      <c r="G1436" s="23" t="str">
        <f>IF(OR(E1436="",E1436="!!!"),"",IF(OR(J1436=0,AND(J1436=1,K1436=1),AND(J1436=1,I1436="SBJ"),AND(J1436=1,I1436=0)),"?IN_FOCUS",IF(J1436&lt;=2,"?ACTIVATED",IF(J1436&lt;&gt;"","?FAMILIAR",IF(F1436="NEW",IF(ISNA(VLOOKUP(E1436,#REF!,1,FALSE())),"?TYPE_IDENTIFIABLE","?REFERENTIAL"),"_")))))</f>
        <v> </v>
      </c>
      <c r="H1436" s="24" t="str">
        <f>IF(J1436&lt;&gt;1,"",IF(I1436="SBJ","CB","?"))</f>
        <v> </v>
      </c>
      <c r="I1436" s="25" t="str">
        <f>IF(OR(E1436="",E1436="!!!",F1436="NEW"),"",INDEX(B1435:B$2,-1+SUMPRODUCT(MAX(ROW(E1435:E$2)*(E1436=E1435:E$2)))))</f>
        <v> </v>
      </c>
      <c r="J1436" s="25" t="str">
        <f>IF(OR(E1436="",E1436="!!!",F1436="NEW"),"",COUNTBLANK(OFFSET(A$1,,,SUMPRODUCT(MAX(ROW(E$2:E1436)*(E1436=E$2:E1436)))))-COUNTBLANK(OFFSET(A$1,,,SUMPRODUCT(MAX(ROW(E$1:E1435)*(E2=E$1:E1435))))))</f>
        <v> </v>
      </c>
      <c r="K1436" s="25" t="str">
        <f>IF(OR(E1436="",E1436="!!!",F1436="NEW"),"",INDEX(J$1:J1435,SUMPRODUCT(MAX(ROW(E$1:E1435)*(E1436=E$1:E1435)))))</f>
        <v> </v>
      </c>
      <c r="L1436" s="26"/>
    </row>
    <row r="1437" spans="1:12">
      <c r="A1437" s="20" t="s">
        <v>270</v>
      </c>
      <c r="E1437" s="21">
        <f>IF(D1437="?OLD","!!!","")</f>
        <v/>
      </c>
      <c r="F1437" s="22" t="str">
        <f>IF(OR(E1437="",E1437="!!!"),"",IF(NOT(ISNA(VLOOKUP(E1437,E$1:E1436,1,FALSE()))),"OLD",IF(AND(E1437&lt;&gt;"",E1437&lt;&gt;"!!!"),"NEW","")))</f>
        <v> </v>
      </c>
      <c r="G1437" s="23" t="str">
        <f>IF(OR(E1437="",E1437="!!!"),"",IF(OR(J1437=0,AND(J1437=1,K1437=1),AND(J1437=1,I1437="SBJ"),AND(J1437=1,I1437=0)),"?IN_FOCUS",IF(J1437&lt;=2,"?ACTIVATED",IF(J1437&lt;&gt;"","?FAMILIAR",IF(F1437="NEW",IF(ISNA(VLOOKUP(E1437,#REF!,1,FALSE())),"?TYPE_IDENTIFIABLE","?REFERENTIAL"),"_")))))</f>
        <v> </v>
      </c>
      <c r="H1437" s="24" t="str">
        <f>IF(J1437&lt;&gt;1,"",IF(I1437="SBJ","CB","?"))</f>
        <v> </v>
      </c>
      <c r="I1437" s="25" t="str">
        <f>IF(OR(E1437="",E1437="!!!",F1437="NEW"),"",INDEX(B1436:B$2,-1+SUMPRODUCT(MAX(ROW(E1436:E$2)*(E1437=E1436:E$2)))))</f>
        <v> </v>
      </c>
      <c r="J1437" s="25" t="str">
        <f>IF(OR(E1437="",E1437="!!!",F1437="NEW"),"",COUNTBLANK(OFFSET(A$1,,,SUMPRODUCT(MAX(ROW(E$2:E1437)*(E1437=E$2:E1437)))))-COUNTBLANK(OFFSET(A$1,,,SUMPRODUCT(MAX(ROW(E$1:E1436)*(E2=E$1:E1436))))))</f>
        <v> </v>
      </c>
      <c r="K1437" s="25" t="str">
        <f>IF(OR(E1437="",E1437="!!!",F1437="NEW"),"",INDEX(J$1:J1436,SUMPRODUCT(MAX(ROW(E$1:E1436)*(E1437=E$1:E1436)))))</f>
        <v> </v>
      </c>
      <c r="L1437" s="26"/>
    </row>
    <row r="1438" spans="1:12">
      <c r="A1438" s="20" t="s">
        <v>248</v>
      </c>
      <c r="E1438" s="21">
        <f>IF(D1438="?OLD","!!!","")</f>
        <v/>
      </c>
      <c r="F1438" s="22" t="str">
        <f>IF(OR(E1438="",E1438="!!!"),"",IF(NOT(ISNA(VLOOKUP(E1438,E$1:E1437,1,FALSE()))),"OLD",IF(AND(E1438&lt;&gt;"",E1438&lt;&gt;"!!!"),"NEW","")))</f>
        <v> </v>
      </c>
      <c r="G1438" s="23" t="str">
        <f>IF(OR(E1438="",E1438="!!!"),"",IF(OR(J1438=0,AND(J1438=1,K1438=1),AND(J1438=1,I1438="SBJ"),AND(J1438=1,I1438=0)),"?IN_FOCUS",IF(J1438&lt;=2,"?ACTIVATED",IF(J1438&lt;&gt;"","?FAMILIAR",IF(F1438="NEW",IF(ISNA(VLOOKUP(E1438,#REF!,1,FALSE())),"?TYPE_IDENTIFIABLE","?REFERENTIAL"),"_")))))</f>
        <v> </v>
      </c>
      <c r="H1438" s="24" t="str">
        <f>IF(J1438&lt;&gt;1,"",IF(I1438="SBJ","CB","?"))</f>
        <v> </v>
      </c>
      <c r="I1438" s="25" t="str">
        <f>IF(OR(E1438="",E1438="!!!",F1438="NEW"),"",INDEX(B1437:B$2,-1+SUMPRODUCT(MAX(ROW(E1437:E$2)*(E1438=E1437:E$2)))))</f>
        <v> </v>
      </c>
      <c r="J1438" s="25" t="str">
        <f>IF(OR(E1438="",E1438="!!!",F1438="NEW"),"",COUNTBLANK(OFFSET(A$1,,,SUMPRODUCT(MAX(ROW(E$2:E1438)*(E1438=E$2:E1438)))))-COUNTBLANK(OFFSET(A$1,,,SUMPRODUCT(MAX(ROW(E$1:E1437)*(E2=E$1:E1437))))))</f>
        <v> </v>
      </c>
      <c r="K1438" s="25" t="str">
        <f>IF(OR(E1438="",E1438="!!!",F1438="NEW"),"",INDEX(J$1:J1437,SUMPRODUCT(MAX(ROW(E$1:E1437)*(E1438=E$1:E1437)))))</f>
        <v> </v>
      </c>
      <c r="L1438" s="26"/>
    </row>
    <row r="1439" spans="1:12">
      <c r="A1439" s="20" t="s">
        <v>606</v>
      </c>
      <c r="B1439" s="27" t="s">
        <v>291</v>
      </c>
      <c r="C1439" s="27" t="s">
        <v>252</v>
      </c>
      <c r="D1439" s="27" t="s">
        <v>244</v>
      </c>
      <c r="E1439" s="21">
        <f>IF(D1439="?OLD","!!!","")</f>
        <v/>
      </c>
      <c r="F1439" s="22" t="str">
        <f>IF(OR(E1439="",E1439="!!!"),"",IF(NOT(ISNA(VLOOKUP(E1439,E$1:E1438,1,FALSE()))),"OLD",IF(AND(E1439&lt;&gt;"",E1439&lt;&gt;"!!!"),"NEW","")))</f>
        <v> </v>
      </c>
      <c r="G1439" s="23" t="str">
        <f>IF(OR(E1439="",E1439="!!!"),"",IF(OR(J1439=0,AND(J1439=1,K1439=1),AND(J1439=1,I1439="SBJ"),AND(J1439=1,I1439=0)),"?IN_FOCUS",IF(J1439&lt;=2,"?ACTIVATED",IF(J1439&lt;&gt;"","?FAMILIAR",IF(F1439="NEW",IF(ISNA(VLOOKUP(E1439,#REF!,1,FALSE())),"?TYPE_IDENTIFIABLE","?REFERENTIAL"),"_")))))</f>
        <v> </v>
      </c>
      <c r="H1439" s="24" t="str">
        <f>IF(J1439&lt;&gt;1,"",IF(I1439="SBJ","CB","?"))</f>
        <v> </v>
      </c>
      <c r="I1439" s="25" t="str">
        <f>IF(OR(E1439="",E1439="!!!",F1439="NEW"),"",INDEX(B1438:B$2,-1+SUMPRODUCT(MAX(ROW(E1438:E$2)*(E1439=E1438:E$2)))))</f>
        <v> </v>
      </c>
      <c r="J1439" s="25" t="str">
        <f>IF(OR(E1439="",E1439="!!!",F1439="NEW"),"",COUNTBLANK(OFFSET(A$1,,,SUMPRODUCT(MAX(ROW(E$2:E1439)*(E1439=E$2:E1439)))))-COUNTBLANK(OFFSET(A$1,,,SUMPRODUCT(MAX(ROW(E$1:E1438)*(E2=E$1:E1438))))))</f>
        <v> </v>
      </c>
      <c r="K1439" s="25" t="str">
        <f>IF(OR(E1439="",E1439="!!!",F1439="NEW"),"",INDEX(J$1:J1438,SUMPRODUCT(MAX(ROW(E$1:E1438)*(E1439=E$1:E1438)))))</f>
        <v> </v>
      </c>
      <c r="L1439" s="26"/>
    </row>
    <row r="1440" spans="1:12">
      <c r="A1440" s="20" t="s">
        <v>510</v>
      </c>
      <c r="E1440" s="21">
        <f>IF(D1440="?OLD","!!!","")</f>
        <v/>
      </c>
      <c r="F1440" s="22" t="str">
        <f>IF(OR(E1440="",E1440="!!!"),"",IF(NOT(ISNA(VLOOKUP(E1440,E$1:E1439,1,FALSE()))),"OLD",IF(AND(E1440&lt;&gt;"",E1440&lt;&gt;"!!!"),"NEW","")))</f>
        <v> </v>
      </c>
      <c r="G1440" s="23" t="str">
        <f>IF(OR(E1440="",E1440="!!!"),"",IF(OR(J1440=0,AND(J1440=1,K1440=1),AND(J1440=1,I1440="SBJ"),AND(J1440=1,I1440=0)),"?IN_FOCUS",IF(J1440&lt;=2,"?ACTIVATED",IF(J1440&lt;&gt;"","?FAMILIAR",IF(F1440="NEW",IF(ISNA(VLOOKUP(E1440,#REF!,1,FALSE())),"?TYPE_IDENTIFIABLE","?REFERENTIAL"),"_")))))</f>
        <v> </v>
      </c>
      <c r="H1440" s="24" t="str">
        <f>IF(J1440&lt;&gt;1,"",IF(I1440="SBJ","CB","?"))</f>
        <v> </v>
      </c>
      <c r="I1440" s="25" t="str">
        <f>IF(OR(E1440="",E1440="!!!",F1440="NEW"),"",INDEX(B1439:B$2,-1+SUMPRODUCT(MAX(ROW(E1439:E$2)*(E1440=E1439:E$2)))))</f>
        <v> </v>
      </c>
      <c r="J1440" s="25" t="str">
        <f>IF(OR(E1440="",E1440="!!!",F1440="NEW"),"",COUNTBLANK(OFFSET(A$1,,,SUMPRODUCT(MAX(ROW(E$2:E1440)*(E1440=E$2:E1440)))))-COUNTBLANK(OFFSET(A$1,,,SUMPRODUCT(MAX(ROW(E$1:E1439)*(E2=E$1:E1439))))))</f>
        <v> </v>
      </c>
      <c r="K1440" s="25" t="str">
        <f>IF(OR(E1440="",E1440="!!!",F1440="NEW"),"",INDEX(J$1:J1439,SUMPRODUCT(MAX(ROW(E$1:E1439)*(E1440=E$1:E1439)))))</f>
        <v> </v>
      </c>
      <c r="L1440" s="26"/>
    </row>
    <row r="1441" spans="1:12">
      <c r="A1441" s="20" t="s">
        <v>821</v>
      </c>
      <c r="E1441" s="21">
        <f>IF(D1441="?OLD","!!!","")</f>
        <v/>
      </c>
      <c r="F1441" s="22" t="str">
        <f>IF(OR(E1441="",E1441="!!!"),"",IF(NOT(ISNA(VLOOKUP(E1441,E$1:E1440,1,FALSE()))),"OLD",IF(AND(E1441&lt;&gt;"",E1441&lt;&gt;"!!!"),"NEW","")))</f>
        <v> </v>
      </c>
      <c r="G1441" s="23" t="str">
        <f>IF(OR(E1441="",E1441="!!!"),"",IF(OR(J1441=0,AND(J1441=1,K1441=1),AND(J1441=1,I1441="SBJ"),AND(J1441=1,I1441=0)),"?IN_FOCUS",IF(J1441&lt;=2,"?ACTIVATED",IF(J1441&lt;&gt;"","?FAMILIAR",IF(F1441="NEW",IF(ISNA(VLOOKUP(E1441,#REF!,1,FALSE())),"?TYPE_IDENTIFIABLE","?REFERENTIAL"),"_")))))</f>
        <v> </v>
      </c>
      <c r="H1441" s="24" t="str">
        <f>IF(J1441&lt;&gt;1,"",IF(I1441="SBJ","CB","?"))</f>
        <v> </v>
      </c>
      <c r="I1441" s="25" t="str">
        <f>IF(OR(E1441="",E1441="!!!",F1441="NEW"),"",INDEX(B1440:B$2,-1+SUMPRODUCT(MAX(ROW(E1440:E$2)*(E1441=E1440:E$2)))))</f>
        <v> </v>
      </c>
      <c r="J1441" s="25" t="str">
        <f>IF(OR(E1441="",E1441="!!!",F1441="NEW"),"",COUNTBLANK(OFFSET(A$1,,,SUMPRODUCT(MAX(ROW(E$2:E1441)*(E1441=E$2:E1441)))))-COUNTBLANK(OFFSET(A$1,,,SUMPRODUCT(MAX(ROW(E$1:E1440)*(E2=E$1:E1440))))))</f>
        <v> </v>
      </c>
      <c r="K1441" s="25" t="str">
        <f>IF(OR(E1441="",E1441="!!!",F1441="NEW"),"",INDEX(J$1:J1440,SUMPRODUCT(MAX(ROW(E$1:E1440)*(E1441=E$1:E1440)))))</f>
        <v> </v>
      </c>
      <c r="L1441" s="26"/>
    </row>
    <row r="1442" spans="1:12">
      <c r="A1442" s="20" t="s">
        <v>822</v>
      </c>
      <c r="E1442" s="21">
        <f>IF(D1442="?OLD","!!!","")</f>
        <v/>
      </c>
      <c r="F1442" s="22" t="str">
        <f>IF(OR(E1442="",E1442="!!!"),"",IF(NOT(ISNA(VLOOKUP(E1442,E$1:E1441,1,FALSE()))),"OLD",IF(AND(E1442&lt;&gt;"",E1442&lt;&gt;"!!!"),"NEW","")))</f>
        <v> </v>
      </c>
      <c r="G1442" s="23" t="str">
        <f>IF(OR(E1442="",E1442="!!!"),"",IF(OR(J1442=0,AND(J1442=1,K1442=1),AND(J1442=1,I1442="SBJ"),AND(J1442=1,I1442=0)),"?IN_FOCUS",IF(J1442&lt;=2,"?ACTIVATED",IF(J1442&lt;&gt;"","?FAMILIAR",IF(F1442="NEW",IF(ISNA(VLOOKUP(E1442,#REF!,1,FALSE())),"?TYPE_IDENTIFIABLE","?REFERENTIAL"),"_")))))</f>
        <v> </v>
      </c>
      <c r="H1442" s="24" t="str">
        <f>IF(J1442&lt;&gt;1,"",IF(I1442="SBJ","CB","?"))</f>
        <v> </v>
      </c>
      <c r="I1442" s="25" t="str">
        <f>IF(OR(E1442="",E1442="!!!",F1442="NEW"),"",INDEX(B1441:B$2,-1+SUMPRODUCT(MAX(ROW(E1441:E$2)*(E1442=E1441:E$2)))))</f>
        <v> </v>
      </c>
      <c r="J1442" s="25" t="str">
        <f>IF(OR(E1442="",E1442="!!!",F1442="NEW"),"",COUNTBLANK(OFFSET(A$1,,,SUMPRODUCT(MAX(ROW(E$2:E1442)*(E1442=E$2:E1442)))))-COUNTBLANK(OFFSET(A$1,,,SUMPRODUCT(MAX(ROW(E$1:E1441)*(E2=E$1:E1441))))))</f>
        <v> </v>
      </c>
      <c r="K1442" s="25" t="str">
        <f>IF(OR(E1442="",E1442="!!!",F1442="NEW"),"",INDEX(J$1:J1441,SUMPRODUCT(MAX(ROW(E$1:E1441)*(E1442=E$1:E1441)))))</f>
        <v> </v>
      </c>
      <c r="L1442" s="26"/>
    </row>
    <row r="1443" spans="1:12">
      <c r="A1443" s="20" t="s">
        <v>823</v>
      </c>
      <c r="B1443" s="27" t="s">
        <v>272</v>
      </c>
      <c r="C1443" s="27" t="s">
        <v>281</v>
      </c>
      <c r="E1443" s="21">
        <f>IF(D1443="?OLD","!!!","")</f>
        <v/>
      </c>
      <c r="F1443" s="22" t="str">
        <f>IF(OR(E1443="",E1443="!!!"),"",IF(NOT(ISNA(VLOOKUP(E1443,E$1:E1442,1,FALSE()))),"OLD",IF(AND(E1443&lt;&gt;"",E1443&lt;&gt;"!!!"),"NEW","")))</f>
        <v> </v>
      </c>
      <c r="G1443" s="23" t="str">
        <f>IF(OR(E1443="",E1443="!!!"),"",IF(OR(J1443=0,AND(J1443=1,K1443=1),AND(J1443=1,I1443="SBJ"),AND(J1443=1,I1443=0)),"?IN_FOCUS",IF(J1443&lt;=2,"?ACTIVATED",IF(J1443&lt;&gt;"","?FAMILIAR",IF(F1443="NEW",IF(ISNA(VLOOKUP(E1443,#REF!,1,FALSE())),"?TYPE_IDENTIFIABLE","?REFERENTIAL"),"_")))))</f>
        <v> </v>
      </c>
      <c r="H1443" s="24" t="str">
        <f>IF(J1443&lt;&gt;1,"",IF(I1443="SBJ","CB","?"))</f>
        <v> </v>
      </c>
      <c r="I1443" s="25" t="str">
        <f>IF(OR(E1443="",E1443="!!!",F1443="NEW"),"",INDEX(B1442:B$2,-1+SUMPRODUCT(MAX(ROW(E1442:E$2)*(E1443=E1442:E$2)))))</f>
        <v> </v>
      </c>
      <c r="J1443" s="25" t="str">
        <f>IF(OR(E1443="",E1443="!!!",F1443="NEW"),"",COUNTBLANK(OFFSET(A$1,,,SUMPRODUCT(MAX(ROW(E$2:E1443)*(E1443=E$2:E1443)))))-COUNTBLANK(OFFSET(A$1,,,SUMPRODUCT(MAX(ROW(E$1:E1442)*(E2=E$1:E1442))))))</f>
        <v> </v>
      </c>
      <c r="K1443" s="25" t="str">
        <f>IF(OR(E1443="",E1443="!!!",F1443="NEW"),"",INDEX(J$1:J1442,SUMPRODUCT(MAX(ROW(E$1:E1442)*(E1443=E$1:E1442)))))</f>
        <v> </v>
      </c>
      <c r="L1443" s="26"/>
    </row>
    <row r="1444" spans="1:12">
      <c r="A1444" s="20" t="s">
        <v>314</v>
      </c>
      <c r="E1444" s="21">
        <f>IF(D1444="?OLD","!!!","")</f>
        <v/>
      </c>
      <c r="F1444" s="22" t="str">
        <f>IF(OR(E1444="",E1444="!!!"),"",IF(NOT(ISNA(VLOOKUP(E1444,E$1:E1443,1,FALSE()))),"OLD",IF(AND(E1444&lt;&gt;"",E1444&lt;&gt;"!!!"),"NEW","")))</f>
        <v> </v>
      </c>
      <c r="G1444" s="23" t="str">
        <f>IF(OR(E1444="",E1444="!!!"),"",IF(OR(J1444=0,AND(J1444=1,K1444=1),AND(J1444=1,I1444="SBJ"),AND(J1444=1,I1444=0)),"?IN_FOCUS",IF(J1444&lt;=2,"?ACTIVATED",IF(J1444&lt;&gt;"","?FAMILIAR",IF(F1444="NEW",IF(ISNA(VLOOKUP(E1444,#REF!,1,FALSE())),"?TYPE_IDENTIFIABLE","?REFERENTIAL"),"_")))))</f>
        <v> </v>
      </c>
      <c r="H1444" s="24" t="str">
        <f>IF(J1444&lt;&gt;1,"",IF(I1444="SBJ","CB","?"))</f>
        <v> </v>
      </c>
      <c r="I1444" s="25" t="str">
        <f>IF(OR(E1444="",E1444="!!!",F1444="NEW"),"",INDEX(B1443:B$2,-1+SUMPRODUCT(MAX(ROW(E1443:E$2)*(E1444=E1443:E$2)))))</f>
        <v> </v>
      </c>
      <c r="J1444" s="25" t="str">
        <f>IF(OR(E1444="",E1444="!!!",F1444="NEW"),"",COUNTBLANK(OFFSET(A$1,,,SUMPRODUCT(MAX(ROW(E$2:E1444)*(E1444=E$2:E1444)))))-COUNTBLANK(OFFSET(A$1,,,SUMPRODUCT(MAX(ROW(E$1:E1443)*(E2=E$1:E1443))))))</f>
        <v> </v>
      </c>
      <c r="K1444" s="25" t="str">
        <f>IF(OR(E1444="",E1444="!!!",F1444="NEW"),"",INDEX(J$1:J1443,SUMPRODUCT(MAX(ROW(E$1:E1443)*(E1444=E$1:E1443)))))</f>
        <v> </v>
      </c>
      <c r="L1444" s="26"/>
    </row>
    <row r="1445" spans="1:12">
      <c r="A1445" s="20" t="s">
        <v>824</v>
      </c>
      <c r="E1445" s="21">
        <f>IF(D1445="?OLD","!!!","")</f>
        <v/>
      </c>
      <c r="F1445" s="22" t="str">
        <f>IF(OR(E1445="",E1445="!!!"),"",IF(NOT(ISNA(VLOOKUP(E1445,E$1:E1444,1,FALSE()))),"OLD",IF(AND(E1445&lt;&gt;"",E1445&lt;&gt;"!!!"),"NEW","")))</f>
        <v> </v>
      </c>
      <c r="G1445" s="23" t="str">
        <f>IF(OR(E1445="",E1445="!!!"),"",IF(OR(J1445=0,AND(J1445=1,K1445=1),AND(J1445=1,I1445="SBJ"),AND(J1445=1,I1445=0)),"?IN_FOCUS",IF(J1445&lt;=2,"?ACTIVATED",IF(J1445&lt;&gt;"","?FAMILIAR",IF(F1445="NEW",IF(ISNA(VLOOKUP(E1445,#REF!,1,FALSE())),"?TYPE_IDENTIFIABLE","?REFERENTIAL"),"_")))))</f>
        <v> </v>
      </c>
      <c r="H1445" s="24" t="str">
        <f>IF(J1445&lt;&gt;1,"",IF(I1445="SBJ","CB","?"))</f>
        <v> </v>
      </c>
      <c r="I1445" s="25" t="str">
        <f>IF(OR(E1445="",E1445="!!!",F1445="NEW"),"",INDEX(B1444:B$2,-1+SUMPRODUCT(MAX(ROW(E1444:E$2)*(E1445=E1444:E$2)))))</f>
        <v> </v>
      </c>
      <c r="J1445" s="25" t="str">
        <f>IF(OR(E1445="",E1445="!!!",F1445="NEW"),"",COUNTBLANK(OFFSET(A$1,,,SUMPRODUCT(MAX(ROW(E$2:E1445)*(E1445=E$2:E1445)))))-COUNTBLANK(OFFSET(A$1,,,SUMPRODUCT(MAX(ROW(E$1:E1444)*(E2=E$1:E1444))))))</f>
        <v> </v>
      </c>
      <c r="K1445" s="25" t="str">
        <f>IF(OR(E1445="",E1445="!!!",F1445="NEW"),"",INDEX(J$1:J1444,SUMPRODUCT(MAX(ROW(E$1:E1444)*(E1445=E$1:E1444)))))</f>
        <v> </v>
      </c>
      <c r="L1445" s="26"/>
    </row>
    <row r="1446" spans="1:12">
      <c r="A1446" s="20" t="s">
        <v>823</v>
      </c>
      <c r="B1446" s="27" t="s">
        <v>262</v>
      </c>
      <c r="C1446" s="27" t="s">
        <v>281</v>
      </c>
      <c r="E1446" s="21">
        <f>IF(D1446="?OLD","!!!","")</f>
        <v/>
      </c>
      <c r="F1446" s="22" t="str">
        <f>IF(OR(E1446="",E1446="!!!"),"",IF(NOT(ISNA(VLOOKUP(E1446,E$1:E1445,1,FALSE()))),"OLD",IF(AND(E1446&lt;&gt;"",E1446&lt;&gt;"!!!"),"NEW","")))</f>
        <v> </v>
      </c>
      <c r="G1446" s="23" t="str">
        <f>IF(OR(E1446="",E1446="!!!"),"",IF(OR(J1446=0,AND(J1446=1,K1446=1),AND(J1446=1,I1446="SBJ"),AND(J1446=1,I1446=0)),"?IN_FOCUS",IF(J1446&lt;=2,"?ACTIVATED",IF(J1446&lt;&gt;"","?FAMILIAR",IF(F1446="NEW",IF(ISNA(VLOOKUP(E1446,#REF!,1,FALSE())),"?TYPE_IDENTIFIABLE","?REFERENTIAL"),"_")))))</f>
        <v> </v>
      </c>
      <c r="H1446" s="24" t="str">
        <f>IF(J1446&lt;&gt;1,"",IF(I1446="SBJ","CB","?"))</f>
        <v> </v>
      </c>
      <c r="I1446" s="25" t="str">
        <f>IF(OR(E1446="",E1446="!!!",F1446="NEW"),"",INDEX(B1445:B$2,-1+SUMPRODUCT(MAX(ROW(E1445:E$2)*(E1446=E1445:E$2)))))</f>
        <v> </v>
      </c>
      <c r="J1446" s="25" t="str">
        <f>IF(OR(E1446="",E1446="!!!",F1446="NEW"),"",COUNTBLANK(OFFSET(A$1,,,SUMPRODUCT(MAX(ROW(E$2:E1446)*(E1446=E$2:E1446)))))-COUNTBLANK(OFFSET(A$1,,,SUMPRODUCT(MAX(ROW(E$1:E1445)*(E2=E$1:E1445))))))</f>
        <v> </v>
      </c>
      <c r="K1446" s="25" t="str">
        <f>IF(OR(E1446="",E1446="!!!",F1446="NEW"),"",INDEX(J$1:J1445,SUMPRODUCT(MAX(ROW(E$1:E1445)*(E1446=E$1:E1445)))))</f>
        <v> </v>
      </c>
      <c r="L1446" s="26"/>
    </row>
    <row r="1447" spans="1:12">
      <c r="A1447" s="20" t="s">
        <v>553</v>
      </c>
      <c r="E1447" s="21">
        <f>IF(D1447="?OLD","!!!","")</f>
        <v/>
      </c>
      <c r="F1447" s="22" t="str">
        <f>IF(OR(E1447="",E1447="!!!"),"",IF(NOT(ISNA(VLOOKUP(E1447,E$1:E1446,1,FALSE()))),"OLD",IF(AND(E1447&lt;&gt;"",E1447&lt;&gt;"!!!"),"NEW","")))</f>
        <v> </v>
      </c>
      <c r="G1447" s="23" t="str">
        <f>IF(OR(E1447="",E1447="!!!"),"",IF(OR(J1447=0,AND(J1447=1,K1447=1),AND(J1447=1,I1447="SBJ"),AND(J1447=1,I1447=0)),"?IN_FOCUS",IF(J1447&lt;=2,"?ACTIVATED",IF(J1447&lt;&gt;"","?FAMILIAR",IF(F1447="NEW",IF(ISNA(VLOOKUP(E1447,#REF!,1,FALSE())),"?TYPE_IDENTIFIABLE","?REFERENTIAL"),"_")))))</f>
        <v> </v>
      </c>
      <c r="H1447" s="24" t="str">
        <f>IF(J1447&lt;&gt;1,"",IF(I1447="SBJ","CB","?"))</f>
        <v> </v>
      </c>
      <c r="I1447" s="25" t="str">
        <f>IF(OR(E1447="",E1447="!!!",F1447="NEW"),"",INDEX(B1446:B$2,-1+SUMPRODUCT(MAX(ROW(E1446:E$2)*(E1447=E1446:E$2)))))</f>
        <v> </v>
      </c>
      <c r="J1447" s="25" t="str">
        <f>IF(OR(E1447="",E1447="!!!",F1447="NEW"),"",COUNTBLANK(OFFSET(A$1,,,SUMPRODUCT(MAX(ROW(E$2:E1447)*(E1447=E$2:E1447)))))-COUNTBLANK(OFFSET(A$1,,,SUMPRODUCT(MAX(ROW(E$1:E1446)*(E2=E$1:E1446))))))</f>
        <v> </v>
      </c>
      <c r="K1447" s="25" t="str">
        <f>IF(OR(E1447="",E1447="!!!",F1447="NEW"),"",INDEX(J$1:J1446,SUMPRODUCT(MAX(ROW(E$1:E1446)*(E1447=E$1:E1446)))))</f>
        <v> </v>
      </c>
      <c r="L1447" s="26"/>
    </row>
    <row r="1448" spans="1:12">
      <c r="A1448" s="20" t="s">
        <v>277</v>
      </c>
      <c r="E1448" s="21">
        <f>IF(D1448="?OLD","!!!","")</f>
        <v/>
      </c>
      <c r="F1448" s="22" t="str">
        <f>IF(OR(E1448="",E1448="!!!"),"",IF(NOT(ISNA(VLOOKUP(E1448,E$1:E1447,1,FALSE()))),"OLD",IF(AND(E1448&lt;&gt;"",E1448&lt;&gt;"!!!"),"NEW","")))</f>
        <v> </v>
      </c>
      <c r="G1448" s="23" t="str">
        <f>IF(OR(E1448="",E1448="!!!"),"",IF(OR(J1448=0,AND(J1448=1,K1448=1),AND(J1448=1,I1448="SBJ"),AND(J1448=1,I1448=0)),"?IN_FOCUS",IF(J1448&lt;=2,"?ACTIVATED",IF(J1448&lt;&gt;"","?FAMILIAR",IF(F1448="NEW",IF(ISNA(VLOOKUP(E1448,#REF!,1,FALSE())),"?TYPE_IDENTIFIABLE","?REFERENTIAL"),"_")))))</f>
        <v> </v>
      </c>
      <c r="H1448" s="24" t="str">
        <f>IF(J1448&lt;&gt;1,"",IF(I1448="SBJ","CB","?"))</f>
        <v> </v>
      </c>
      <c r="I1448" s="25" t="str">
        <f>IF(OR(E1448="",E1448="!!!",F1448="NEW"),"",INDEX(B1447:B$2,-1+SUMPRODUCT(MAX(ROW(E1447:E$2)*(E1448=E1447:E$2)))))</f>
        <v> </v>
      </c>
      <c r="J1448" s="25" t="str">
        <f>IF(OR(E1448="",E1448="!!!",F1448="NEW"),"",COUNTBLANK(OFFSET(A$1,,,SUMPRODUCT(MAX(ROW(E$2:E1448)*(E1448=E$2:E1448)))))-COUNTBLANK(OFFSET(A$1,,,SUMPRODUCT(MAX(ROW(E$1:E1447)*(E2=E$1:E1447))))))</f>
        <v> </v>
      </c>
      <c r="K1448" s="25" t="str">
        <f>IF(OR(E1448="",E1448="!!!",F1448="NEW"),"",INDEX(J$1:J1447,SUMPRODUCT(MAX(ROW(E$1:E1447)*(E1448=E$1:E1447)))))</f>
        <v> </v>
      </c>
      <c r="L1448" s="26"/>
    </row>
    <row r="1449" spans="1:12">
      <c r="A1449" s="20" t="s">
        <v>825</v>
      </c>
      <c r="B1449" s="27" t="s">
        <v>291</v>
      </c>
      <c r="C1449" s="27" t="s">
        <v>279</v>
      </c>
      <c r="E1449" s="21">
        <f>IF(D1449="?OLD","!!!","")</f>
        <v/>
      </c>
      <c r="F1449" s="22" t="str">
        <f>IF(OR(E1449="",E1449="!!!"),"",IF(NOT(ISNA(VLOOKUP(E1449,E$1:E1448,1,FALSE()))),"OLD",IF(AND(E1449&lt;&gt;"",E1449&lt;&gt;"!!!"),"NEW","")))</f>
        <v> </v>
      </c>
      <c r="G1449" s="23" t="str">
        <f>IF(OR(E1449="",E1449="!!!"),"",IF(OR(J1449=0,AND(J1449=1,K1449=1),AND(J1449=1,I1449="SBJ"),AND(J1449=1,I1449=0)),"?IN_FOCUS",IF(J1449&lt;=2,"?ACTIVATED",IF(J1449&lt;&gt;"","?FAMILIAR",IF(F1449="NEW",IF(ISNA(VLOOKUP(E1449,#REF!,1,FALSE())),"?TYPE_IDENTIFIABLE","?REFERENTIAL"),"_")))))</f>
        <v> </v>
      </c>
      <c r="H1449" s="24" t="str">
        <f>IF(J1449&lt;&gt;1,"",IF(I1449="SBJ","CB","?"))</f>
        <v> </v>
      </c>
      <c r="I1449" s="25" t="str">
        <f>IF(OR(E1449="",E1449="!!!",F1449="NEW"),"",INDEX(B1448:B$2,-1+SUMPRODUCT(MAX(ROW(E1448:E$2)*(E1449=E1448:E$2)))))</f>
        <v> </v>
      </c>
      <c r="J1449" s="25" t="str">
        <f>IF(OR(E1449="",E1449="!!!",F1449="NEW"),"",COUNTBLANK(OFFSET(A$1,,,SUMPRODUCT(MAX(ROW(E$2:E1449)*(E1449=E$2:E1449)))))-COUNTBLANK(OFFSET(A$1,,,SUMPRODUCT(MAX(ROW(E$1:E1448)*(E2=E$1:E1448))))))</f>
        <v> </v>
      </c>
      <c r="K1449" s="25" t="str">
        <f>IF(OR(E1449="",E1449="!!!",F1449="NEW"),"",INDEX(J$1:J1448,SUMPRODUCT(MAX(ROW(E$1:E1448)*(E1449=E$1:E1448)))))</f>
        <v> </v>
      </c>
      <c r="L1449" s="26"/>
    </row>
    <row r="1450" spans="1:12">
      <c r="A1450" s="20" t="s">
        <v>285</v>
      </c>
      <c r="E1450" s="21">
        <f>IF(D1450="?OLD","!!!","")</f>
        <v/>
      </c>
      <c r="F1450" s="22" t="str">
        <f>IF(OR(E1450="",E1450="!!!"),"",IF(NOT(ISNA(VLOOKUP(E1450,E$1:E1449,1,FALSE()))),"OLD",IF(AND(E1450&lt;&gt;"",E1450&lt;&gt;"!!!"),"NEW","")))</f>
        <v> </v>
      </c>
      <c r="G1450" s="23" t="str">
        <f>IF(OR(E1450="",E1450="!!!"),"",IF(OR(J1450=0,AND(J1450=1,K1450=1),AND(J1450=1,I1450="SBJ"),AND(J1450=1,I1450=0)),"?IN_FOCUS",IF(J1450&lt;=2,"?ACTIVATED",IF(J1450&lt;&gt;"","?FAMILIAR",IF(F1450="NEW",IF(ISNA(VLOOKUP(E1450,#REF!,1,FALSE())),"?TYPE_IDENTIFIABLE","?REFERENTIAL"),"_")))))</f>
        <v> </v>
      </c>
      <c r="H1450" s="24" t="str">
        <f>IF(J1450&lt;&gt;1,"",IF(I1450="SBJ","CB","?"))</f>
        <v> </v>
      </c>
      <c r="I1450" s="25" t="str">
        <f>IF(OR(E1450="",E1450="!!!",F1450="NEW"),"",INDEX(B1449:B$2,-1+SUMPRODUCT(MAX(ROW(E1449:E$2)*(E1450=E1449:E$2)))))</f>
        <v> </v>
      </c>
      <c r="J1450" s="25" t="str">
        <f>IF(OR(E1450="",E1450="!!!",F1450="NEW"),"",COUNTBLANK(OFFSET(A$1,,,SUMPRODUCT(MAX(ROW(E$2:E1450)*(E1450=E$2:E1450)))))-COUNTBLANK(OFFSET(A$1,,,SUMPRODUCT(MAX(ROW(E$1:E1449)*(E2=E$1:E1449))))))</f>
        <v> </v>
      </c>
      <c r="K1450" s="25" t="str">
        <f>IF(OR(E1450="",E1450="!!!",F1450="NEW"),"",INDEX(J$1:J1449,SUMPRODUCT(MAX(ROW(E$1:E1449)*(E1450=E$1:E1449)))))</f>
        <v> </v>
      </c>
      <c r="L1450" s="26"/>
    </row>
    <row r="1451" spans="1:12">
      <c r="A1451" s="20"/>
    </row>
    <row r="1452" spans="1:12">
      <c r="A1452" s="20" t="s">
        <v>826</v>
      </c>
    </row>
    <row r="1453" spans="1:12">
      <c r="A1453" s="20" t="s">
        <v>827</v>
      </c>
      <c r="B1453" s="27" t="s">
        <v>255</v>
      </c>
      <c r="C1453" s="27" t="s">
        <v>243</v>
      </c>
      <c r="D1453" s="27" t="s">
        <v>244</v>
      </c>
      <c r="E1453" s="21">
        <f>IF(D1453="?OLD","!!!","")</f>
        <v/>
      </c>
      <c r="F1453" s="22" t="str">
        <f>IF(OR(E1453="",E1453="!!!"),"",IF(NOT(ISNA(VLOOKUP(E1453,E$1:E1452,1,FALSE()))),"OLD",IF(AND(E1453&lt;&gt;"",E1453&lt;&gt;"!!!"),"NEW","")))</f>
        <v> </v>
      </c>
      <c r="G1453" s="23" t="str">
        <f>IF(OR(E1453="",E1453="!!!"),"",IF(OR(J1453=0,AND(J1453=1,K1453=1),AND(J1453=1,I1453="SBJ"),AND(J1453=1,I1453=0)),"?IN_FOCUS",IF(J1453&lt;=2,"?ACTIVATED",IF(J1453&lt;&gt;"","?FAMILIAR",IF(F1453="NEW",IF(ISNA(VLOOKUP(E1453,#REF!,1,FALSE())),"?TYPE_IDENTIFIABLE","?REFERENTIAL"),"_")))))</f>
        <v> </v>
      </c>
      <c r="H1453" s="24" t="str">
        <f>IF(J1453&lt;&gt;1,"",IF(I1453="SBJ","CB","?"))</f>
        <v> </v>
      </c>
      <c r="I1453" s="25" t="str">
        <f>IF(OR(E1453="",E1453="!!!",F1453="NEW"),"",INDEX(B1452:B$2,-1+SUMPRODUCT(MAX(ROW(E1452:E$2)*(E1453=E1452:E$2)))))</f>
        <v> </v>
      </c>
      <c r="J1453" s="25" t="str">
        <f>IF(OR(E1453="",E1453="!!!",F1453="NEW"),"",COUNTBLANK(OFFSET(A$1,,,SUMPRODUCT(MAX(ROW(E$2:E1453)*(E1453=E$2:E1453)))))-COUNTBLANK(OFFSET(A$1,,,SUMPRODUCT(MAX(ROW(E$1:E1452)*(E2=E$1:E1452))))))</f>
        <v> </v>
      </c>
      <c r="K1453" s="25" t="str">
        <f>IF(OR(E1453="",E1453="!!!",F1453="NEW"),"",INDEX(J$1:J1452,SUMPRODUCT(MAX(ROW(E$1:E1452)*(E1453=E$1:E1452)))))</f>
        <v> </v>
      </c>
      <c r="L1453" s="26"/>
    </row>
    <row r="1454" spans="1:12">
      <c r="A1454" s="20" t="s">
        <v>828</v>
      </c>
      <c r="E1454" s="21">
        <f>IF(D1454="?OLD","!!!","")</f>
        <v/>
      </c>
      <c r="F1454" s="22" t="str">
        <f>IF(OR(E1454="",E1454="!!!"),"",IF(NOT(ISNA(VLOOKUP(E1454,E$1:E1453,1,FALSE()))),"OLD",IF(AND(E1454&lt;&gt;"",E1454&lt;&gt;"!!!"),"NEW","")))</f>
        <v> </v>
      </c>
      <c r="G1454" s="23" t="str">
        <f>IF(OR(E1454="",E1454="!!!"),"",IF(OR(J1454=0,AND(J1454=1,K1454=1),AND(J1454=1,I1454="SBJ"),AND(J1454=1,I1454=0)),"?IN_FOCUS",IF(J1454&lt;=2,"?ACTIVATED",IF(J1454&lt;&gt;"","?FAMILIAR",IF(F1454="NEW",IF(ISNA(VLOOKUP(E1454,#REF!,1,FALSE())),"?TYPE_IDENTIFIABLE","?REFERENTIAL"),"_")))))</f>
        <v> </v>
      </c>
      <c r="H1454" s="24" t="str">
        <f>IF(J1454&lt;&gt;1,"",IF(I1454="SBJ","CB","?"))</f>
        <v> </v>
      </c>
      <c r="I1454" s="25" t="str">
        <f>IF(OR(E1454="",E1454="!!!",F1454="NEW"),"",INDEX(B1453:B$2,-1+SUMPRODUCT(MAX(ROW(E1453:E$2)*(E1454=E1453:E$2)))))</f>
        <v> </v>
      </c>
      <c r="J1454" s="25" t="str">
        <f>IF(OR(E1454="",E1454="!!!",F1454="NEW"),"",COUNTBLANK(OFFSET(A$1,,,SUMPRODUCT(MAX(ROW(E$2:E1454)*(E1454=E$2:E1454)))))-COUNTBLANK(OFFSET(A$1,,,SUMPRODUCT(MAX(ROW(E$1:E1453)*(E2=E$1:E1453))))))</f>
        <v> </v>
      </c>
      <c r="K1454" s="25" t="str">
        <f>IF(OR(E1454="",E1454="!!!",F1454="NEW"),"",INDEX(J$1:J1453,SUMPRODUCT(MAX(ROW(E$1:E1453)*(E1454=E$1:E1453)))))</f>
        <v> </v>
      </c>
      <c r="L1454" s="26"/>
    </row>
    <row r="1455" spans="1:12">
      <c r="A1455" s="20" t="s">
        <v>314</v>
      </c>
      <c r="E1455" s="21">
        <f>IF(D1455="?OLD","!!!","")</f>
        <v/>
      </c>
      <c r="F1455" s="22" t="str">
        <f>IF(OR(E1455="",E1455="!!!"),"",IF(NOT(ISNA(VLOOKUP(E1455,E$1:E1454,1,FALSE()))),"OLD",IF(AND(E1455&lt;&gt;"",E1455&lt;&gt;"!!!"),"NEW","")))</f>
        <v> </v>
      </c>
      <c r="G1455" s="23" t="str">
        <f>IF(OR(E1455="",E1455="!!!"),"",IF(OR(J1455=0,AND(J1455=1,K1455=1),AND(J1455=1,I1455="SBJ"),AND(J1455=1,I1455=0)),"?IN_FOCUS",IF(J1455&lt;=2,"?ACTIVATED",IF(J1455&lt;&gt;"","?FAMILIAR",IF(F1455="NEW",IF(ISNA(VLOOKUP(E1455,#REF!,1,FALSE())),"?TYPE_IDENTIFIABLE","?REFERENTIAL"),"_")))))</f>
        <v> </v>
      </c>
      <c r="H1455" s="24" t="str">
        <f>IF(J1455&lt;&gt;1,"",IF(I1455="SBJ","CB","?"))</f>
        <v> </v>
      </c>
      <c r="I1455" s="25" t="str">
        <f>IF(OR(E1455="",E1455="!!!",F1455="NEW"),"",INDEX(B1454:B$2,-1+SUMPRODUCT(MAX(ROW(E1454:E$2)*(E1455=E1454:E$2)))))</f>
        <v> </v>
      </c>
      <c r="J1455" s="25" t="str">
        <f>IF(OR(E1455="",E1455="!!!",F1455="NEW"),"",COUNTBLANK(OFFSET(A$1,,,SUMPRODUCT(MAX(ROW(E$2:E1455)*(E1455=E$2:E1455)))))-COUNTBLANK(OFFSET(A$1,,,SUMPRODUCT(MAX(ROW(E$1:E1454)*(E2=E$1:E1454))))))</f>
        <v> </v>
      </c>
      <c r="K1455" s="25" t="str">
        <f>IF(OR(E1455="",E1455="!!!",F1455="NEW"),"",INDEX(J$1:J1454,SUMPRODUCT(MAX(ROW(E$1:E1454)*(E1455=E$1:E1454)))))</f>
        <v> </v>
      </c>
      <c r="L1455" s="26"/>
    </row>
    <row r="1456" spans="1:12">
      <c r="A1456" s="20" t="s">
        <v>659</v>
      </c>
      <c r="B1456" s="27" t="s">
        <v>272</v>
      </c>
      <c r="C1456" s="27" t="s">
        <v>263</v>
      </c>
      <c r="D1456" s="27" t="s">
        <v>244</v>
      </c>
      <c r="E1456" s="21">
        <f>IF(D1456="?OLD","!!!","")</f>
        <v/>
      </c>
      <c r="F1456" s="22" t="str">
        <f>IF(OR(E1456="",E1456="!!!"),"",IF(NOT(ISNA(VLOOKUP(E1456,E$1:E1455,1,FALSE()))),"OLD",IF(AND(E1456&lt;&gt;"",E1456&lt;&gt;"!!!"),"NEW","")))</f>
        <v> </v>
      </c>
      <c r="G1456" s="23" t="str">
        <f>IF(OR(E1456="",E1456="!!!"),"",IF(OR(J1456=0,AND(J1456=1,K1456=1),AND(J1456=1,I1456="SBJ"),AND(J1456=1,I1456=0)),"?IN_FOCUS",IF(J1456&lt;=2,"?ACTIVATED",IF(J1456&lt;&gt;"","?FAMILIAR",IF(F1456="NEW",IF(ISNA(VLOOKUP(E1456,#REF!,1,FALSE())),"?TYPE_IDENTIFIABLE","?REFERENTIAL"),"_")))))</f>
        <v> </v>
      </c>
      <c r="H1456" s="24" t="str">
        <f>IF(J1456&lt;&gt;1,"",IF(I1456="SBJ","CB","?"))</f>
        <v> </v>
      </c>
      <c r="I1456" s="25" t="str">
        <f>IF(OR(E1456="",E1456="!!!",F1456="NEW"),"",INDEX(B1455:B$2,-1+SUMPRODUCT(MAX(ROW(E1455:E$2)*(E1456=E1455:E$2)))))</f>
        <v> </v>
      </c>
      <c r="J1456" s="25" t="str">
        <f>IF(OR(E1456="",E1456="!!!",F1456="NEW"),"",COUNTBLANK(OFFSET(A$1,,,SUMPRODUCT(MAX(ROW(E$2:E1456)*(E1456=E$2:E1456)))))-COUNTBLANK(OFFSET(A$1,,,SUMPRODUCT(MAX(ROW(E$1:E1455)*(E2=E$1:E1455))))))</f>
        <v> </v>
      </c>
      <c r="K1456" s="25" t="str">
        <f>IF(OR(E1456="",E1456="!!!",F1456="NEW"),"",INDEX(J$1:J1455,SUMPRODUCT(MAX(ROW(E$1:E1455)*(E1456=E$1:E1455)))))</f>
        <v> </v>
      </c>
      <c r="L1456" s="26"/>
    </row>
    <row r="1457" spans="1:12">
      <c r="A1457" s="20" t="s">
        <v>829</v>
      </c>
      <c r="B1457" s="27" t="s">
        <v>291</v>
      </c>
      <c r="C1457" s="27" t="s">
        <v>267</v>
      </c>
      <c r="D1457" s="27" t="s">
        <v>244</v>
      </c>
      <c r="E1457" s="21">
        <f>IF(D1457="?OLD","!!!","")</f>
        <v/>
      </c>
      <c r="F1457" s="22" t="str">
        <f>IF(OR(E1457="",E1457="!!!"),"",IF(NOT(ISNA(VLOOKUP(E1457,E$1:E1456,1,FALSE()))),"OLD",IF(AND(E1457&lt;&gt;"",E1457&lt;&gt;"!!!"),"NEW","")))</f>
        <v> </v>
      </c>
      <c r="G1457" s="23" t="str">
        <f>IF(OR(E1457="",E1457="!!!"),"",IF(OR(J1457=0,AND(J1457=1,K1457=1),AND(J1457=1,I1457="SBJ"),AND(J1457=1,I1457=0)),"?IN_FOCUS",IF(J1457&lt;=2,"?ACTIVATED",IF(J1457&lt;&gt;"","?FAMILIAR",IF(F1457="NEW",IF(ISNA(VLOOKUP(E1457,#REF!,1,FALSE())),"?TYPE_IDENTIFIABLE","?REFERENTIAL"),"_")))))</f>
        <v> </v>
      </c>
      <c r="H1457" s="24" t="str">
        <f>IF(J1457&lt;&gt;1,"",IF(I1457="SBJ","CB","?"))</f>
        <v> </v>
      </c>
      <c r="I1457" s="25" t="str">
        <f>IF(OR(E1457="",E1457="!!!",F1457="NEW"),"",INDEX(B1456:B$2,-1+SUMPRODUCT(MAX(ROW(E1456:E$2)*(E1457=E1456:E$2)))))</f>
        <v> </v>
      </c>
      <c r="J1457" s="25" t="str">
        <f>IF(OR(E1457="",E1457="!!!",F1457="NEW"),"",COUNTBLANK(OFFSET(A$1,,,SUMPRODUCT(MAX(ROW(E$2:E1457)*(E1457=E$2:E1457)))))-COUNTBLANK(OFFSET(A$1,,,SUMPRODUCT(MAX(ROW(E$1:E1456)*(E2=E$1:E1456))))))</f>
        <v> </v>
      </c>
      <c r="K1457" s="25" t="str">
        <f>IF(OR(E1457="",E1457="!!!",F1457="NEW"),"",INDEX(J$1:J1456,SUMPRODUCT(MAX(ROW(E$1:E1456)*(E1457=E$1:E1456)))))</f>
        <v> </v>
      </c>
      <c r="L1457" s="26"/>
    </row>
    <row r="1458" spans="1:12">
      <c r="A1458" s="20" t="s">
        <v>289</v>
      </c>
      <c r="E1458" s="21">
        <f>IF(D1458="?OLD","!!!","")</f>
        <v/>
      </c>
      <c r="F1458" s="22" t="str">
        <f>IF(OR(E1458="",E1458="!!!"),"",IF(NOT(ISNA(VLOOKUP(E1458,E$1:E1457,1,FALSE()))),"OLD",IF(AND(E1458&lt;&gt;"",E1458&lt;&gt;"!!!"),"NEW","")))</f>
        <v> </v>
      </c>
      <c r="G1458" s="23" t="str">
        <f>IF(OR(E1458="",E1458="!!!"),"",IF(OR(J1458=0,AND(J1458=1,K1458=1),AND(J1458=1,I1458="SBJ"),AND(J1458=1,I1458=0)),"?IN_FOCUS",IF(J1458&lt;=2,"?ACTIVATED",IF(J1458&lt;&gt;"","?FAMILIAR",IF(F1458="NEW",IF(ISNA(VLOOKUP(E1458,#REF!,1,FALSE())),"?TYPE_IDENTIFIABLE","?REFERENTIAL"),"_")))))</f>
        <v> </v>
      </c>
      <c r="H1458" s="24" t="str">
        <f>IF(J1458&lt;&gt;1,"",IF(I1458="SBJ","CB","?"))</f>
        <v> </v>
      </c>
      <c r="I1458" s="25" t="str">
        <f>IF(OR(E1458="",E1458="!!!",F1458="NEW"),"",INDEX(B1457:B$2,-1+SUMPRODUCT(MAX(ROW(E1457:E$2)*(E1458=E1457:E$2)))))</f>
        <v> </v>
      </c>
      <c r="J1458" s="25" t="str">
        <f>IF(OR(E1458="",E1458="!!!",F1458="NEW"),"",COUNTBLANK(OFFSET(A$1,,,SUMPRODUCT(MAX(ROW(E$2:E1458)*(E1458=E$2:E1458)))))-COUNTBLANK(OFFSET(A$1,,,SUMPRODUCT(MAX(ROW(E$1:E1457)*(E2=E$1:E1457))))))</f>
        <v> </v>
      </c>
      <c r="K1458" s="25" t="str">
        <f>IF(OR(E1458="",E1458="!!!",F1458="NEW"),"",INDEX(J$1:J1457,SUMPRODUCT(MAX(ROW(E$1:E1457)*(E1458=E$1:E1457)))))</f>
        <v> </v>
      </c>
      <c r="L1458" s="26"/>
    </row>
    <row r="1459" spans="1:12">
      <c r="A1459" s="20" t="s">
        <v>830</v>
      </c>
      <c r="B1459" s="27" t="s">
        <v>291</v>
      </c>
      <c r="C1459" s="27" t="s">
        <v>243</v>
      </c>
      <c r="D1459" s="27" t="s">
        <v>244</v>
      </c>
      <c r="E1459" s="21">
        <f>IF(D1459="?OLD","!!!","")</f>
        <v/>
      </c>
      <c r="F1459" s="22" t="str">
        <f>IF(OR(E1459="",E1459="!!!"),"",IF(NOT(ISNA(VLOOKUP(E1459,E$1:E1458,1,FALSE()))),"OLD",IF(AND(E1459&lt;&gt;"",E1459&lt;&gt;"!!!"),"NEW","")))</f>
        <v> </v>
      </c>
      <c r="G1459" s="23" t="str">
        <f>IF(OR(E1459="",E1459="!!!"),"",IF(OR(J1459=0,AND(J1459=1,K1459=1),AND(J1459=1,I1459="SBJ"),AND(J1459=1,I1459=0)),"?IN_FOCUS",IF(J1459&lt;=2,"?ACTIVATED",IF(J1459&lt;&gt;"","?FAMILIAR",IF(F1459="NEW",IF(ISNA(VLOOKUP(E1459,#REF!,1,FALSE())),"?TYPE_IDENTIFIABLE","?REFERENTIAL"),"_")))))</f>
        <v> </v>
      </c>
      <c r="H1459" s="24" t="str">
        <f>IF(J1459&lt;&gt;1,"",IF(I1459="SBJ","CB","?"))</f>
        <v> </v>
      </c>
      <c r="I1459" s="25" t="str">
        <f>IF(OR(E1459="",E1459="!!!",F1459="NEW"),"",INDEX(B1458:B$2,-1+SUMPRODUCT(MAX(ROW(E1458:E$2)*(E1459=E1458:E$2)))))</f>
        <v> </v>
      </c>
      <c r="J1459" s="25" t="str">
        <f>IF(OR(E1459="",E1459="!!!",F1459="NEW"),"",COUNTBLANK(OFFSET(A$1,,,SUMPRODUCT(MAX(ROW(E$2:E1459)*(E1459=E$2:E1459)))))-COUNTBLANK(OFFSET(A$1,,,SUMPRODUCT(MAX(ROW(E$1:E1458)*(E2=E$1:E1458))))))</f>
        <v> </v>
      </c>
      <c r="K1459" s="25" t="str">
        <f>IF(OR(E1459="",E1459="!!!",F1459="NEW"),"",INDEX(J$1:J1458,SUMPRODUCT(MAX(ROW(E$1:E1458)*(E1459=E$1:E1458)))))</f>
        <v> </v>
      </c>
      <c r="L1459" s="26"/>
    </row>
    <row r="1460" spans="1:12">
      <c r="A1460" s="20" t="s">
        <v>831</v>
      </c>
      <c r="E1460" s="21">
        <f>IF(D1460="?OLD","!!!","")</f>
        <v/>
      </c>
      <c r="F1460" s="22" t="str">
        <f>IF(OR(E1460="",E1460="!!!"),"",IF(NOT(ISNA(VLOOKUP(E1460,E$1:E1459,1,FALSE()))),"OLD",IF(AND(E1460&lt;&gt;"",E1460&lt;&gt;"!!!"),"NEW","")))</f>
        <v> </v>
      </c>
      <c r="G1460" s="23" t="str">
        <f>IF(OR(E1460="",E1460="!!!"),"",IF(OR(J1460=0,AND(J1460=1,K1460=1),AND(J1460=1,I1460="SBJ"),AND(J1460=1,I1460=0)),"?IN_FOCUS",IF(J1460&lt;=2,"?ACTIVATED",IF(J1460&lt;&gt;"","?FAMILIAR",IF(F1460="NEW",IF(ISNA(VLOOKUP(E1460,#REF!,1,FALSE())),"?TYPE_IDENTIFIABLE","?REFERENTIAL"),"_")))))</f>
        <v> </v>
      </c>
      <c r="H1460" s="24" t="str">
        <f>IF(J1460&lt;&gt;1,"",IF(I1460="SBJ","CB","?"))</f>
        <v> </v>
      </c>
      <c r="I1460" s="25" t="str">
        <f>IF(OR(E1460="",E1460="!!!",F1460="NEW"),"",INDEX(B1459:B$2,-1+SUMPRODUCT(MAX(ROW(E1459:E$2)*(E1460=E1459:E$2)))))</f>
        <v> </v>
      </c>
      <c r="J1460" s="25" t="str">
        <f>IF(OR(E1460="",E1460="!!!",F1460="NEW"),"",COUNTBLANK(OFFSET(A$1,,,SUMPRODUCT(MAX(ROW(E$2:E1460)*(E1460=E$2:E1460)))))-COUNTBLANK(OFFSET(A$1,,,SUMPRODUCT(MAX(ROW(E$1:E1459)*(E2=E$1:E1459))))))</f>
        <v> </v>
      </c>
      <c r="K1460" s="25" t="str">
        <f>IF(OR(E1460="",E1460="!!!",F1460="NEW"),"",INDEX(J$1:J1459,SUMPRODUCT(MAX(ROW(E$1:E1459)*(E1460=E$1:E1459)))))</f>
        <v> </v>
      </c>
      <c r="L1460" s="26"/>
    </row>
    <row r="1461" spans="1:12">
      <c r="A1461" s="20" t="s">
        <v>400</v>
      </c>
      <c r="E1461" s="21">
        <f>IF(D1461="?OLD","!!!","")</f>
        <v/>
      </c>
      <c r="F1461" s="22" t="str">
        <f>IF(OR(E1461="",E1461="!!!"),"",IF(NOT(ISNA(VLOOKUP(E1461,E$1:E1460,1,FALSE()))),"OLD",IF(AND(E1461&lt;&gt;"",E1461&lt;&gt;"!!!"),"NEW","")))</f>
        <v> </v>
      </c>
      <c r="G1461" s="23" t="str">
        <f>IF(OR(E1461="",E1461="!!!"),"",IF(OR(J1461=0,AND(J1461=1,K1461=1),AND(J1461=1,I1461="SBJ"),AND(J1461=1,I1461=0)),"?IN_FOCUS",IF(J1461&lt;=2,"?ACTIVATED",IF(J1461&lt;&gt;"","?FAMILIAR",IF(F1461="NEW",IF(ISNA(VLOOKUP(E1461,#REF!,1,FALSE())),"?TYPE_IDENTIFIABLE","?REFERENTIAL"),"_")))))</f>
        <v> </v>
      </c>
      <c r="H1461" s="24" t="str">
        <f>IF(J1461&lt;&gt;1,"",IF(I1461="SBJ","CB","?"))</f>
        <v> </v>
      </c>
      <c r="I1461" s="25" t="str">
        <f>IF(OR(E1461="",E1461="!!!",F1461="NEW"),"",INDEX(B1460:B$2,-1+SUMPRODUCT(MAX(ROW(E1460:E$2)*(E1461=E1460:E$2)))))</f>
        <v> </v>
      </c>
      <c r="J1461" s="25" t="str">
        <f>IF(OR(E1461="",E1461="!!!",F1461="NEW"),"",COUNTBLANK(OFFSET(A$1,,,SUMPRODUCT(MAX(ROW(E$2:E1461)*(E1461=E$2:E1461)))))-COUNTBLANK(OFFSET(A$1,,,SUMPRODUCT(MAX(ROW(E$1:E1460)*(E2=E$1:E1460))))))</f>
        <v> </v>
      </c>
      <c r="K1461" s="25" t="str">
        <f>IF(OR(E1461="",E1461="!!!",F1461="NEW"),"",INDEX(J$1:J1460,SUMPRODUCT(MAX(ROW(E$1:E1460)*(E1461=E$1:E1460)))))</f>
        <v> </v>
      </c>
      <c r="L1461" s="26"/>
    </row>
    <row r="1462" spans="1:12">
      <c r="A1462" s="20" t="s">
        <v>606</v>
      </c>
      <c r="B1462" s="27" t="s">
        <v>251</v>
      </c>
      <c r="C1462" s="27" t="s">
        <v>334</v>
      </c>
      <c r="D1462" s="27" t="s">
        <v>244</v>
      </c>
      <c r="E1462" s="21">
        <f>IF(D1462="?OLD","!!!","")</f>
        <v/>
      </c>
      <c r="F1462" s="22" t="str">
        <f>IF(OR(E1462="",E1462="!!!"),"",IF(NOT(ISNA(VLOOKUP(E1462,E$1:E1461,1,FALSE()))),"OLD",IF(AND(E1462&lt;&gt;"",E1462&lt;&gt;"!!!"),"NEW","")))</f>
        <v> </v>
      </c>
      <c r="G1462" s="23" t="str">
        <f>IF(OR(E1462="",E1462="!!!"),"",IF(OR(J1462=0,AND(J1462=1,K1462=1),AND(J1462=1,I1462="SBJ"),AND(J1462=1,I1462=0)),"?IN_FOCUS",IF(J1462&lt;=2,"?ACTIVATED",IF(J1462&lt;&gt;"","?FAMILIAR",IF(F1462="NEW",IF(ISNA(VLOOKUP(E1462,#REF!,1,FALSE())),"?TYPE_IDENTIFIABLE","?REFERENTIAL"),"_")))))</f>
        <v> </v>
      </c>
      <c r="H1462" s="24" t="str">
        <f>IF(J1462&lt;&gt;1,"",IF(I1462="SBJ","CB","?"))</f>
        <v> </v>
      </c>
      <c r="I1462" s="25" t="str">
        <f>IF(OR(E1462="",E1462="!!!",F1462="NEW"),"",INDEX(B1461:B$2,-1+SUMPRODUCT(MAX(ROW(E1461:E$2)*(E1462=E1461:E$2)))))</f>
        <v> </v>
      </c>
      <c r="J1462" s="25" t="str">
        <f>IF(OR(E1462="",E1462="!!!",F1462="NEW"),"",COUNTBLANK(OFFSET(A$1,,,SUMPRODUCT(MAX(ROW(E$2:E1462)*(E1462=E$2:E1462)))))-COUNTBLANK(OFFSET(A$1,,,SUMPRODUCT(MAX(ROW(E$1:E1461)*(E2=E$1:E1461))))))</f>
        <v> </v>
      </c>
      <c r="K1462" s="25" t="str">
        <f>IF(OR(E1462="",E1462="!!!",F1462="NEW"),"",INDEX(J$1:J1461,SUMPRODUCT(MAX(ROW(E$1:E1461)*(E1462=E$1:E1461)))))</f>
        <v> </v>
      </c>
      <c r="L1462" s="26"/>
    </row>
    <row r="1463" spans="1:12">
      <c r="A1463" s="20" t="s">
        <v>314</v>
      </c>
      <c r="E1463" s="21">
        <f>IF(D1463="?OLD","!!!","")</f>
        <v/>
      </c>
      <c r="F1463" s="22" t="str">
        <f>IF(OR(E1463="",E1463="!!!"),"",IF(NOT(ISNA(VLOOKUP(E1463,E$1:E1462,1,FALSE()))),"OLD",IF(AND(E1463&lt;&gt;"",E1463&lt;&gt;"!!!"),"NEW","")))</f>
        <v> </v>
      </c>
      <c r="G1463" s="23" t="str">
        <f>IF(OR(E1463="",E1463="!!!"),"",IF(OR(J1463=0,AND(J1463=1,K1463=1),AND(J1463=1,I1463="SBJ"),AND(J1463=1,I1463=0)),"?IN_FOCUS",IF(J1463&lt;=2,"?ACTIVATED",IF(J1463&lt;&gt;"","?FAMILIAR",IF(F1463="NEW",IF(ISNA(VLOOKUP(E1463,#REF!,1,FALSE())),"?TYPE_IDENTIFIABLE","?REFERENTIAL"),"_")))))</f>
        <v> </v>
      </c>
      <c r="H1463" s="24" t="str">
        <f>IF(J1463&lt;&gt;1,"",IF(I1463="SBJ","CB","?"))</f>
        <v> </v>
      </c>
      <c r="I1463" s="25" t="str">
        <f>IF(OR(E1463="",E1463="!!!",F1463="NEW"),"",INDEX(B1462:B$2,-1+SUMPRODUCT(MAX(ROW(E1462:E$2)*(E1463=E1462:E$2)))))</f>
        <v> </v>
      </c>
      <c r="J1463" s="25" t="str">
        <f>IF(OR(E1463="",E1463="!!!",F1463="NEW"),"",COUNTBLANK(OFFSET(A$1,,,SUMPRODUCT(MAX(ROW(E$2:E1463)*(E1463=E$2:E1463)))))-COUNTBLANK(OFFSET(A$1,,,SUMPRODUCT(MAX(ROW(E$1:E1462)*(E2=E$1:E1462))))))</f>
        <v> </v>
      </c>
      <c r="K1463" s="25" t="str">
        <f>IF(OR(E1463="",E1463="!!!",F1463="NEW"),"",INDEX(J$1:J1462,SUMPRODUCT(MAX(ROW(E$1:E1462)*(E1463=E$1:E1462)))))</f>
        <v> </v>
      </c>
      <c r="L1463" s="26"/>
    </row>
    <row r="1464" spans="1:12">
      <c r="A1464" s="20" t="s">
        <v>832</v>
      </c>
      <c r="E1464" s="21">
        <f>IF(D1464="?OLD","!!!","")</f>
        <v/>
      </c>
      <c r="F1464" s="22" t="str">
        <f>IF(OR(E1464="",E1464="!!!"),"",IF(NOT(ISNA(VLOOKUP(E1464,E$1:E1463,1,FALSE()))),"OLD",IF(AND(E1464&lt;&gt;"",E1464&lt;&gt;"!!!"),"NEW","")))</f>
        <v> </v>
      </c>
      <c r="G1464" s="23" t="str">
        <f>IF(OR(E1464="",E1464="!!!"),"",IF(OR(J1464=0,AND(J1464=1,K1464=1),AND(J1464=1,I1464="SBJ"),AND(J1464=1,I1464=0)),"?IN_FOCUS",IF(J1464&lt;=2,"?ACTIVATED",IF(J1464&lt;&gt;"","?FAMILIAR",IF(F1464="NEW",IF(ISNA(VLOOKUP(E1464,#REF!,1,FALSE())),"?TYPE_IDENTIFIABLE","?REFERENTIAL"),"_")))))</f>
        <v> </v>
      </c>
      <c r="H1464" s="24" t="str">
        <f>IF(J1464&lt;&gt;1,"",IF(I1464="SBJ","CB","?"))</f>
        <v> </v>
      </c>
      <c r="I1464" s="25" t="str">
        <f>IF(OR(E1464="",E1464="!!!",F1464="NEW"),"",INDEX(B1463:B$2,-1+SUMPRODUCT(MAX(ROW(E1463:E$2)*(E1464=E1463:E$2)))))</f>
        <v> </v>
      </c>
      <c r="J1464" s="25" t="str">
        <f>IF(OR(E1464="",E1464="!!!",F1464="NEW"),"",COUNTBLANK(OFFSET(A$1,,,SUMPRODUCT(MAX(ROW(E$2:E1464)*(E1464=E$2:E1464)))))-COUNTBLANK(OFFSET(A$1,,,SUMPRODUCT(MAX(ROW(E$1:E1463)*(E2=E$1:E1463))))))</f>
        <v> </v>
      </c>
      <c r="K1464" s="25" t="str">
        <f>IF(OR(E1464="",E1464="!!!",F1464="NEW"),"",INDEX(J$1:J1463,SUMPRODUCT(MAX(ROW(E$1:E1463)*(E1464=E$1:E1463)))))</f>
        <v> </v>
      </c>
      <c r="L1464" s="26"/>
    </row>
    <row r="1465" spans="1:12">
      <c r="A1465" s="20" t="s">
        <v>260</v>
      </c>
      <c r="E1465" s="21">
        <f>IF(D1465="?OLD","!!!","")</f>
        <v/>
      </c>
      <c r="F1465" s="22" t="str">
        <f>IF(OR(E1465="",E1465="!!!"),"",IF(NOT(ISNA(VLOOKUP(E1465,E$1:E1464,1,FALSE()))),"OLD",IF(AND(E1465&lt;&gt;"",E1465&lt;&gt;"!!!"),"NEW","")))</f>
        <v> </v>
      </c>
      <c r="G1465" s="23" t="str">
        <f>IF(OR(E1465="",E1465="!!!"),"",IF(OR(J1465=0,AND(J1465=1,K1465=1),AND(J1465=1,I1465="SBJ"),AND(J1465=1,I1465=0)),"?IN_FOCUS",IF(J1465&lt;=2,"?ACTIVATED",IF(J1465&lt;&gt;"","?FAMILIAR",IF(F1465="NEW",IF(ISNA(VLOOKUP(E1465,#REF!,1,FALSE())),"?TYPE_IDENTIFIABLE","?REFERENTIAL"),"_")))))</f>
        <v> </v>
      </c>
      <c r="H1465" s="24" t="str">
        <f>IF(J1465&lt;&gt;1,"",IF(I1465="SBJ","CB","?"))</f>
        <v> </v>
      </c>
      <c r="I1465" s="25" t="str">
        <f>IF(OR(E1465="",E1465="!!!",F1465="NEW"),"",INDEX(B1464:B$2,-1+SUMPRODUCT(MAX(ROW(E1464:E$2)*(E1465=E1464:E$2)))))</f>
        <v> </v>
      </c>
      <c r="J1465" s="25" t="str">
        <f>IF(OR(E1465="",E1465="!!!",F1465="NEW"),"",COUNTBLANK(OFFSET(A$1,,,SUMPRODUCT(MAX(ROW(E$2:E1465)*(E1465=E$2:E1465)))))-COUNTBLANK(OFFSET(A$1,,,SUMPRODUCT(MAX(ROW(E$1:E1464)*(E2=E$1:E1464))))))</f>
        <v> </v>
      </c>
      <c r="K1465" s="25" t="str">
        <f>IF(OR(E1465="",E1465="!!!",F1465="NEW"),"",INDEX(J$1:J1464,SUMPRODUCT(MAX(ROW(E$1:E1464)*(E1465=E$1:E1464)))))</f>
        <v> </v>
      </c>
      <c r="L1465" s="26"/>
    </row>
    <row r="1466" spans="1:12">
      <c r="A1466" s="20" t="s">
        <v>248</v>
      </c>
      <c r="E1466" s="21">
        <f>IF(D1466="?OLD","!!!","")</f>
        <v/>
      </c>
      <c r="F1466" s="22" t="str">
        <f>IF(OR(E1466="",E1466="!!!"),"",IF(NOT(ISNA(VLOOKUP(E1466,E$1:E1465,1,FALSE()))),"OLD",IF(AND(E1466&lt;&gt;"",E1466&lt;&gt;"!!!"),"NEW","")))</f>
        <v> </v>
      </c>
      <c r="G1466" s="23" t="str">
        <f>IF(OR(E1466="",E1466="!!!"),"",IF(OR(J1466=0,AND(J1466=1,K1466=1),AND(J1466=1,I1466="SBJ"),AND(J1466=1,I1466=0)),"?IN_FOCUS",IF(J1466&lt;=2,"?ACTIVATED",IF(J1466&lt;&gt;"","?FAMILIAR",IF(F1466="NEW",IF(ISNA(VLOOKUP(E1466,#REF!,1,FALSE())),"?TYPE_IDENTIFIABLE","?REFERENTIAL"),"_")))))</f>
        <v> </v>
      </c>
      <c r="H1466" s="24" t="str">
        <f>IF(J1466&lt;&gt;1,"",IF(I1466="SBJ","CB","?"))</f>
        <v> </v>
      </c>
      <c r="I1466" s="25" t="str">
        <f>IF(OR(E1466="",E1466="!!!",F1466="NEW"),"",INDEX(B1465:B$2,-1+SUMPRODUCT(MAX(ROW(E1465:E$2)*(E1466=E1465:E$2)))))</f>
        <v> </v>
      </c>
      <c r="J1466" s="25" t="str">
        <f>IF(OR(E1466="",E1466="!!!",F1466="NEW"),"",COUNTBLANK(OFFSET(A$1,,,SUMPRODUCT(MAX(ROW(E$2:E1466)*(E1466=E$2:E1466)))))-COUNTBLANK(OFFSET(A$1,,,SUMPRODUCT(MAX(ROW(E$1:E1465)*(E2=E$1:E1465))))))</f>
        <v> </v>
      </c>
      <c r="K1466" s="25" t="str">
        <f>IF(OR(E1466="",E1466="!!!",F1466="NEW"),"",INDEX(J$1:J1465,SUMPRODUCT(MAX(ROW(E$1:E1465)*(E1466=E$1:E1465)))))</f>
        <v> </v>
      </c>
      <c r="L1466" s="26"/>
    </row>
    <row r="1467" spans="1:12">
      <c r="A1467" s="20" t="s">
        <v>833</v>
      </c>
      <c r="E1467" s="21">
        <f>IF(D1467="?OLD","!!!","")</f>
        <v/>
      </c>
      <c r="F1467" s="22" t="str">
        <f>IF(OR(E1467="",E1467="!!!"),"",IF(NOT(ISNA(VLOOKUP(E1467,E$1:E1466,1,FALSE()))),"OLD",IF(AND(E1467&lt;&gt;"",E1467&lt;&gt;"!!!"),"NEW","")))</f>
        <v> </v>
      </c>
      <c r="G1467" s="23" t="str">
        <f>IF(OR(E1467="",E1467="!!!"),"",IF(OR(J1467=0,AND(J1467=1,K1467=1),AND(J1467=1,I1467="SBJ"),AND(J1467=1,I1467=0)),"?IN_FOCUS",IF(J1467&lt;=2,"?ACTIVATED",IF(J1467&lt;&gt;"","?FAMILIAR",IF(F1467="NEW",IF(ISNA(VLOOKUP(E1467,#REF!,1,FALSE())),"?TYPE_IDENTIFIABLE","?REFERENTIAL"),"_")))))</f>
        <v> </v>
      </c>
      <c r="H1467" s="24" t="str">
        <f>IF(J1467&lt;&gt;1,"",IF(I1467="SBJ","CB","?"))</f>
        <v> </v>
      </c>
      <c r="I1467" s="25" t="str">
        <f>IF(OR(E1467="",E1467="!!!",F1467="NEW"),"",INDEX(B1466:B$2,-1+SUMPRODUCT(MAX(ROW(E1466:E$2)*(E1467=E1466:E$2)))))</f>
        <v> </v>
      </c>
      <c r="J1467" s="25" t="str">
        <f>IF(OR(E1467="",E1467="!!!",F1467="NEW"),"",COUNTBLANK(OFFSET(A$1,,,SUMPRODUCT(MAX(ROW(E$2:E1467)*(E1467=E$2:E1467)))))-COUNTBLANK(OFFSET(A$1,,,SUMPRODUCT(MAX(ROW(E$1:E1466)*(E2=E$1:E1466))))))</f>
        <v> </v>
      </c>
      <c r="K1467" s="25" t="str">
        <f>IF(OR(E1467="",E1467="!!!",F1467="NEW"),"",INDEX(J$1:J1466,SUMPRODUCT(MAX(ROW(E$1:E1466)*(E1467=E$1:E1466)))))</f>
        <v> </v>
      </c>
      <c r="L1467" s="26"/>
    </row>
    <row r="1468" spans="1:12">
      <c r="A1468" s="20" t="s">
        <v>822</v>
      </c>
      <c r="E1468" s="21">
        <f>IF(D1468="?OLD","!!!","")</f>
        <v/>
      </c>
      <c r="F1468" s="22" t="str">
        <f>IF(OR(E1468="",E1468="!!!"),"",IF(NOT(ISNA(VLOOKUP(E1468,E$1:E1467,1,FALSE()))),"OLD",IF(AND(E1468&lt;&gt;"",E1468&lt;&gt;"!!!"),"NEW","")))</f>
        <v> </v>
      </c>
      <c r="G1468" s="23" t="str">
        <f>IF(OR(E1468="",E1468="!!!"),"",IF(OR(J1468=0,AND(J1468=1,K1468=1),AND(J1468=1,I1468="SBJ"),AND(J1468=1,I1468=0)),"?IN_FOCUS",IF(J1468&lt;=2,"?ACTIVATED",IF(J1468&lt;&gt;"","?FAMILIAR",IF(F1468="NEW",IF(ISNA(VLOOKUP(E1468,#REF!,1,FALSE())),"?TYPE_IDENTIFIABLE","?REFERENTIAL"),"_")))))</f>
        <v> </v>
      </c>
      <c r="H1468" s="24" t="str">
        <f>IF(J1468&lt;&gt;1,"",IF(I1468="SBJ","CB","?"))</f>
        <v> </v>
      </c>
      <c r="I1468" s="25" t="str">
        <f>IF(OR(E1468="",E1468="!!!",F1468="NEW"),"",INDEX(B1467:B$2,-1+SUMPRODUCT(MAX(ROW(E1467:E$2)*(E1468=E1467:E$2)))))</f>
        <v> </v>
      </c>
      <c r="J1468" s="25" t="str">
        <f>IF(OR(E1468="",E1468="!!!",F1468="NEW"),"",COUNTBLANK(OFFSET(A$1,,,SUMPRODUCT(MAX(ROW(E$2:E1468)*(E1468=E$2:E1468)))))-COUNTBLANK(OFFSET(A$1,,,SUMPRODUCT(MAX(ROW(E$1:E1467)*(E2=E$1:E1467))))))</f>
        <v> </v>
      </c>
      <c r="K1468" s="25" t="str">
        <f>IF(OR(E1468="",E1468="!!!",F1468="NEW"),"",INDEX(J$1:J1467,SUMPRODUCT(MAX(ROW(E$1:E1467)*(E1468=E$1:E1467)))))</f>
        <v> </v>
      </c>
      <c r="L1468" s="26"/>
    </row>
    <row r="1469" spans="1:12">
      <c r="A1469" s="20" t="s">
        <v>823</v>
      </c>
      <c r="B1469" s="27" t="s">
        <v>266</v>
      </c>
      <c r="C1469" s="27" t="s">
        <v>252</v>
      </c>
      <c r="D1469" s="27" t="s">
        <v>244</v>
      </c>
      <c r="E1469" s="21">
        <f>IF(D1469="?OLD","!!!","")</f>
        <v/>
      </c>
      <c r="F1469" s="22" t="str">
        <f>IF(OR(E1469="",E1469="!!!"),"",IF(NOT(ISNA(VLOOKUP(E1469,E$1:E1468,1,FALSE()))),"OLD",IF(AND(E1469&lt;&gt;"",E1469&lt;&gt;"!!!"),"NEW","")))</f>
        <v> </v>
      </c>
      <c r="G1469" s="23" t="str">
        <f>IF(OR(E1469="",E1469="!!!"),"",IF(OR(J1469=0,AND(J1469=1,K1469=1),AND(J1469=1,I1469="SBJ"),AND(J1469=1,I1469=0)),"?IN_FOCUS",IF(J1469&lt;=2,"?ACTIVATED",IF(J1469&lt;&gt;"","?FAMILIAR",IF(F1469="NEW",IF(ISNA(VLOOKUP(E1469,#REF!,1,FALSE())),"?TYPE_IDENTIFIABLE","?REFERENTIAL"),"_")))))</f>
        <v> </v>
      </c>
      <c r="H1469" s="24" t="str">
        <f>IF(J1469&lt;&gt;1,"",IF(I1469="SBJ","CB","?"))</f>
        <v> </v>
      </c>
      <c r="I1469" s="25" t="str">
        <f>IF(OR(E1469="",E1469="!!!",F1469="NEW"),"",INDEX(B1468:B$2,-1+SUMPRODUCT(MAX(ROW(E1468:E$2)*(E1469=E1468:E$2)))))</f>
        <v> </v>
      </c>
      <c r="J1469" s="25" t="str">
        <f>IF(OR(E1469="",E1469="!!!",F1469="NEW"),"",COUNTBLANK(OFFSET(A$1,,,SUMPRODUCT(MAX(ROW(E$2:E1469)*(E1469=E$2:E1469)))))-COUNTBLANK(OFFSET(A$1,,,SUMPRODUCT(MAX(ROW(E$1:E1468)*(E2=E$1:E1468))))))</f>
        <v> </v>
      </c>
      <c r="K1469" s="25" t="str">
        <f>IF(OR(E1469="",E1469="!!!",F1469="NEW"),"",INDEX(J$1:J1468,SUMPRODUCT(MAX(ROW(E$1:E1468)*(E1469=E$1:E1468)))))</f>
        <v> </v>
      </c>
      <c r="L1469" s="26"/>
    </row>
    <row r="1470" spans="1:12">
      <c r="A1470" s="20" t="s">
        <v>257</v>
      </c>
      <c r="E1470" s="21">
        <f>IF(D1470="?OLD","!!!","")</f>
        <v/>
      </c>
      <c r="F1470" s="22" t="str">
        <f>IF(OR(E1470="",E1470="!!!"),"",IF(NOT(ISNA(VLOOKUP(E1470,E$1:E1469,1,FALSE()))),"OLD",IF(AND(E1470&lt;&gt;"",E1470&lt;&gt;"!!!"),"NEW","")))</f>
        <v> </v>
      </c>
      <c r="G1470" s="23" t="str">
        <f>IF(OR(E1470="",E1470="!!!"),"",IF(OR(J1470=0,AND(J1470=1,K1470=1),AND(J1470=1,I1470="SBJ"),AND(J1470=1,I1470=0)),"?IN_FOCUS",IF(J1470&lt;=2,"?ACTIVATED",IF(J1470&lt;&gt;"","?FAMILIAR",IF(F1470="NEW",IF(ISNA(VLOOKUP(E1470,#REF!,1,FALSE())),"?TYPE_IDENTIFIABLE","?REFERENTIAL"),"_")))))</f>
        <v> </v>
      </c>
      <c r="H1470" s="24" t="str">
        <f>IF(J1470&lt;&gt;1,"",IF(I1470="SBJ","CB","?"))</f>
        <v> </v>
      </c>
      <c r="I1470" s="25" t="str">
        <f>IF(OR(E1470="",E1470="!!!",F1470="NEW"),"",INDEX(B1469:B$2,-1+SUMPRODUCT(MAX(ROW(E1469:E$2)*(E1470=E1469:E$2)))))</f>
        <v> </v>
      </c>
      <c r="J1470" s="25" t="str">
        <f>IF(OR(E1470="",E1470="!!!",F1470="NEW"),"",COUNTBLANK(OFFSET(A$1,,,SUMPRODUCT(MAX(ROW(E$2:E1470)*(E1470=E$2:E1470)))))-COUNTBLANK(OFFSET(A$1,,,SUMPRODUCT(MAX(ROW(E$1:E1469)*(E2=E$1:E1469))))))</f>
        <v> </v>
      </c>
      <c r="K1470" s="25" t="str">
        <f>IF(OR(E1470="",E1470="!!!",F1470="NEW"),"",INDEX(J$1:J1469,SUMPRODUCT(MAX(ROW(E$1:E1469)*(E1470=E$1:E1469)))))</f>
        <v> </v>
      </c>
      <c r="L1470" s="26"/>
    </row>
    <row r="1471" spans="1:12">
      <c r="A1471" s="20" t="s">
        <v>834</v>
      </c>
      <c r="E1471" s="21">
        <f>IF(D1471="?OLD","!!!","")</f>
        <v/>
      </c>
      <c r="F1471" s="22" t="str">
        <f>IF(OR(E1471="",E1471="!!!"),"",IF(NOT(ISNA(VLOOKUP(E1471,E$1:E1470,1,FALSE()))),"OLD",IF(AND(E1471&lt;&gt;"",E1471&lt;&gt;"!!!"),"NEW","")))</f>
        <v> </v>
      </c>
      <c r="G1471" s="23" t="str">
        <f>IF(OR(E1471="",E1471="!!!"),"",IF(OR(J1471=0,AND(J1471=1,K1471=1),AND(J1471=1,I1471="SBJ"),AND(J1471=1,I1471=0)),"?IN_FOCUS",IF(J1471&lt;=2,"?ACTIVATED",IF(J1471&lt;&gt;"","?FAMILIAR",IF(F1471="NEW",IF(ISNA(VLOOKUP(E1471,#REF!,1,FALSE())),"?TYPE_IDENTIFIABLE","?REFERENTIAL"),"_")))))</f>
        <v> </v>
      </c>
      <c r="H1471" s="24" t="str">
        <f>IF(J1471&lt;&gt;1,"",IF(I1471="SBJ","CB","?"))</f>
        <v> </v>
      </c>
      <c r="I1471" s="25" t="str">
        <f>IF(OR(E1471="",E1471="!!!",F1471="NEW"),"",INDEX(B1470:B$2,-1+SUMPRODUCT(MAX(ROW(E1470:E$2)*(E1471=E1470:E$2)))))</f>
        <v> </v>
      </c>
      <c r="J1471" s="25" t="str">
        <f>IF(OR(E1471="",E1471="!!!",F1471="NEW"),"",COUNTBLANK(OFFSET(A$1,,,SUMPRODUCT(MAX(ROW(E$2:E1471)*(E1471=E$2:E1471)))))-COUNTBLANK(OFFSET(A$1,,,SUMPRODUCT(MAX(ROW(E$1:E1470)*(E2=E$1:E1470))))))</f>
        <v> </v>
      </c>
      <c r="K1471" s="25" t="str">
        <f>IF(OR(E1471="",E1471="!!!",F1471="NEW"),"",INDEX(J$1:J1470,SUMPRODUCT(MAX(ROW(E$1:E1470)*(E1471=E$1:E1470)))))</f>
        <v> </v>
      </c>
      <c r="L1471" s="26"/>
    </row>
    <row r="1472" spans="1:12">
      <c r="A1472" s="20" t="s">
        <v>349</v>
      </c>
      <c r="E1472" s="21">
        <f>IF(D1472="?OLD","!!!","")</f>
        <v/>
      </c>
      <c r="F1472" s="22" t="str">
        <f>IF(OR(E1472="",E1472="!!!"),"",IF(NOT(ISNA(VLOOKUP(E1472,E$1:E1471,1,FALSE()))),"OLD",IF(AND(E1472&lt;&gt;"",E1472&lt;&gt;"!!!"),"NEW","")))</f>
        <v> </v>
      </c>
      <c r="G1472" s="23" t="str">
        <f>IF(OR(E1472="",E1472="!!!"),"",IF(OR(J1472=0,AND(J1472=1,K1472=1),AND(J1472=1,I1472="SBJ"),AND(J1472=1,I1472=0)),"?IN_FOCUS",IF(J1472&lt;=2,"?ACTIVATED",IF(J1472&lt;&gt;"","?FAMILIAR",IF(F1472="NEW",IF(ISNA(VLOOKUP(E1472,#REF!,1,FALSE())),"?TYPE_IDENTIFIABLE","?REFERENTIAL"),"_")))))</f>
        <v> </v>
      </c>
      <c r="H1472" s="24" t="str">
        <f>IF(J1472&lt;&gt;1,"",IF(I1472="SBJ","CB","?"))</f>
        <v> </v>
      </c>
      <c r="I1472" s="25" t="str">
        <f>IF(OR(E1472="",E1472="!!!",F1472="NEW"),"",INDEX(B1471:B$2,-1+SUMPRODUCT(MAX(ROW(E1471:E$2)*(E1472=E1471:E$2)))))</f>
        <v> </v>
      </c>
      <c r="J1472" s="25" t="str">
        <f>IF(OR(E1472="",E1472="!!!",F1472="NEW"),"",COUNTBLANK(OFFSET(A$1,,,SUMPRODUCT(MAX(ROW(E$2:E1472)*(E1472=E$2:E1472)))))-COUNTBLANK(OFFSET(A$1,,,SUMPRODUCT(MAX(ROW(E$1:E1471)*(E2=E$1:E1471))))))</f>
        <v> </v>
      </c>
      <c r="K1472" s="25" t="str">
        <f>IF(OR(E1472="",E1472="!!!",F1472="NEW"),"",INDEX(J$1:J1471,SUMPRODUCT(MAX(ROW(E$1:E1471)*(E1472=E$1:E1471)))))</f>
        <v> </v>
      </c>
      <c r="L1472" s="26"/>
    </row>
    <row r="1473" spans="1:12">
      <c r="A1473" s="20" t="s">
        <v>824</v>
      </c>
      <c r="B1473" s="27" t="s">
        <v>272</v>
      </c>
      <c r="C1473" s="27" t="s">
        <v>281</v>
      </c>
      <c r="E1473" s="21">
        <f>IF(D1473="?OLD","!!!","")</f>
        <v/>
      </c>
      <c r="F1473" s="22" t="str">
        <f>IF(OR(E1473="",E1473="!!!"),"",IF(NOT(ISNA(VLOOKUP(E1473,E$1:E1472,1,FALSE()))),"OLD",IF(AND(E1473&lt;&gt;"",E1473&lt;&gt;"!!!"),"NEW","")))</f>
        <v> </v>
      </c>
      <c r="G1473" s="23" t="str">
        <f>IF(OR(E1473="",E1473="!!!"),"",IF(OR(J1473=0,AND(J1473=1,K1473=1),AND(J1473=1,I1473="SBJ"),AND(J1473=1,I1473=0)),"?IN_FOCUS",IF(J1473&lt;=2,"?ACTIVATED",IF(J1473&lt;&gt;"","?FAMILIAR",IF(F1473="NEW",IF(ISNA(VLOOKUP(E1473,#REF!,1,FALSE())),"?TYPE_IDENTIFIABLE","?REFERENTIAL"),"_")))))</f>
        <v> </v>
      </c>
      <c r="H1473" s="24" t="str">
        <f>IF(J1473&lt;&gt;1,"",IF(I1473="SBJ","CB","?"))</f>
        <v> </v>
      </c>
      <c r="I1473" s="25" t="str">
        <f>IF(OR(E1473="",E1473="!!!",F1473="NEW"),"",INDEX(B1472:B$2,-1+SUMPRODUCT(MAX(ROW(E1472:E$2)*(E1473=E1472:E$2)))))</f>
        <v> </v>
      </c>
      <c r="J1473" s="25" t="str">
        <f>IF(OR(E1473="",E1473="!!!",F1473="NEW"),"",COUNTBLANK(OFFSET(A$1,,,SUMPRODUCT(MAX(ROW(E$2:E1473)*(E1473=E$2:E1473)))))-COUNTBLANK(OFFSET(A$1,,,SUMPRODUCT(MAX(ROW(E$1:E1472)*(E2=E$1:E1472))))))</f>
        <v> </v>
      </c>
      <c r="K1473" s="25" t="str">
        <f>IF(OR(E1473="",E1473="!!!",F1473="NEW"),"",INDEX(J$1:J1472,SUMPRODUCT(MAX(ROW(E$1:E1472)*(E1473=E$1:E1472)))))</f>
        <v> </v>
      </c>
      <c r="L1473" s="26"/>
    </row>
    <row r="1474" spans="1:12">
      <c r="A1474" s="20" t="s">
        <v>305</v>
      </c>
      <c r="E1474" s="21">
        <f>IF(D1474="?OLD","!!!","")</f>
        <v/>
      </c>
      <c r="F1474" s="22" t="str">
        <f>IF(OR(E1474="",E1474="!!!"),"",IF(NOT(ISNA(VLOOKUP(E1474,E$1:E1473,1,FALSE()))),"OLD",IF(AND(E1474&lt;&gt;"",E1474&lt;&gt;"!!!"),"NEW","")))</f>
        <v> </v>
      </c>
      <c r="G1474" s="23" t="str">
        <f>IF(OR(E1474="",E1474="!!!"),"",IF(OR(J1474=0,AND(J1474=1,K1474=1),AND(J1474=1,I1474="SBJ"),AND(J1474=1,I1474=0)),"?IN_FOCUS",IF(J1474&lt;=2,"?ACTIVATED",IF(J1474&lt;&gt;"","?FAMILIAR",IF(F1474="NEW",IF(ISNA(VLOOKUP(E1474,#REF!,1,FALSE())),"?TYPE_IDENTIFIABLE","?REFERENTIAL"),"_")))))</f>
        <v> </v>
      </c>
      <c r="H1474" s="24" t="str">
        <f>IF(J1474&lt;&gt;1,"",IF(I1474="SBJ","CB","?"))</f>
        <v> </v>
      </c>
      <c r="I1474" s="25" t="str">
        <f>IF(OR(E1474="",E1474="!!!",F1474="NEW"),"",INDEX(B1473:B$2,-1+SUMPRODUCT(MAX(ROW(E1473:E$2)*(E1474=E1473:E$2)))))</f>
        <v> </v>
      </c>
      <c r="J1474" s="25" t="str">
        <f>IF(OR(E1474="",E1474="!!!",F1474="NEW"),"",COUNTBLANK(OFFSET(A$1,,,SUMPRODUCT(MAX(ROW(E$2:E1474)*(E1474=E$2:E1474)))))-COUNTBLANK(OFFSET(A$1,,,SUMPRODUCT(MAX(ROW(E$1:E1473)*(E2=E$1:E1473))))))</f>
        <v> </v>
      </c>
      <c r="K1474" s="25" t="str">
        <f>IF(OR(E1474="",E1474="!!!",F1474="NEW"),"",INDEX(J$1:J1473,SUMPRODUCT(MAX(ROW(E$1:E1473)*(E1474=E$1:E1473)))))</f>
        <v> </v>
      </c>
      <c r="L1474" s="26"/>
    </row>
    <row r="1475" spans="1:12">
      <c r="A1475" s="20" t="s">
        <v>513</v>
      </c>
      <c r="B1475" s="27" t="s">
        <v>361</v>
      </c>
      <c r="E1475" s="21">
        <f>IF(D1475="?OLD","!!!","")</f>
        <v/>
      </c>
      <c r="F1475" s="22" t="str">
        <f>IF(OR(E1475="",E1475="!!!"),"",IF(NOT(ISNA(VLOOKUP(E1475,E$1:E1474,1,FALSE()))),"OLD",IF(AND(E1475&lt;&gt;"",E1475&lt;&gt;"!!!"),"NEW","")))</f>
        <v> </v>
      </c>
      <c r="G1475" s="23" t="str">
        <f>IF(OR(E1475="",E1475="!!!"),"",IF(OR(J1475=0,AND(J1475=1,K1475=1),AND(J1475=1,I1475="SBJ"),AND(J1475=1,I1475=0)),"?IN_FOCUS",IF(J1475&lt;=2,"?ACTIVATED",IF(J1475&lt;&gt;"","?FAMILIAR",IF(F1475="NEW",IF(ISNA(VLOOKUP(E1475,#REF!,1,FALSE())),"?TYPE_IDENTIFIABLE","?REFERENTIAL"),"_")))))</f>
        <v> </v>
      </c>
      <c r="H1475" s="24" t="str">
        <f>IF(J1475&lt;&gt;1,"",IF(I1475="SBJ","CB","?"))</f>
        <v> </v>
      </c>
      <c r="I1475" s="25" t="str">
        <f>IF(OR(E1475="",E1475="!!!",F1475="NEW"),"",INDEX(B1474:B$2,-1+SUMPRODUCT(MAX(ROW(E1474:E$2)*(E1475=E1474:E$2)))))</f>
        <v> </v>
      </c>
      <c r="J1475" s="25" t="str">
        <f>IF(OR(E1475="",E1475="!!!",F1475="NEW"),"",COUNTBLANK(OFFSET(A$1,,,SUMPRODUCT(MAX(ROW(E$2:E1475)*(E1475=E$2:E1475)))))-COUNTBLANK(OFFSET(A$1,,,SUMPRODUCT(MAX(ROW(E$1:E1474)*(E2=E$1:E1474))))))</f>
        <v> </v>
      </c>
      <c r="K1475" s="25" t="str">
        <f>IF(OR(E1475="",E1475="!!!",F1475="NEW"),"",INDEX(J$1:J1474,SUMPRODUCT(MAX(ROW(E$1:E1474)*(E1475=E$1:E1474)))))</f>
        <v> </v>
      </c>
      <c r="L1475" s="26"/>
    </row>
    <row r="1476" spans="1:12">
      <c r="A1476" s="20" t="s">
        <v>743</v>
      </c>
      <c r="E1476" s="21">
        <f>IF(D1476="?OLD","!!!","")</f>
        <v/>
      </c>
      <c r="F1476" s="22" t="str">
        <f>IF(OR(E1476="",E1476="!!!"),"",IF(NOT(ISNA(VLOOKUP(E1476,E$1:E1475,1,FALSE()))),"OLD",IF(AND(E1476&lt;&gt;"",E1476&lt;&gt;"!!!"),"NEW","")))</f>
        <v> </v>
      </c>
      <c r="G1476" s="23" t="str">
        <f>IF(OR(E1476="",E1476="!!!"),"",IF(OR(J1476=0,AND(J1476=1,K1476=1),AND(J1476=1,I1476="SBJ"),AND(J1476=1,I1476=0)),"?IN_FOCUS",IF(J1476&lt;=2,"?ACTIVATED",IF(J1476&lt;&gt;"","?FAMILIAR",IF(F1476="NEW",IF(ISNA(VLOOKUP(E1476,#REF!,1,FALSE())),"?TYPE_IDENTIFIABLE","?REFERENTIAL"),"_")))))</f>
        <v> </v>
      </c>
      <c r="H1476" s="24" t="str">
        <f>IF(J1476&lt;&gt;1,"",IF(I1476="SBJ","CB","?"))</f>
        <v> </v>
      </c>
      <c r="I1476" s="25" t="str">
        <f>IF(OR(E1476="",E1476="!!!",F1476="NEW"),"",INDEX(B1475:B$2,-1+SUMPRODUCT(MAX(ROW(E1475:E$2)*(E1476=E1475:E$2)))))</f>
        <v> </v>
      </c>
      <c r="J1476" s="25" t="str">
        <f>IF(OR(E1476="",E1476="!!!",F1476="NEW"),"",COUNTBLANK(OFFSET(A$1,,,SUMPRODUCT(MAX(ROW(E$2:E1476)*(E1476=E$2:E1476)))))-COUNTBLANK(OFFSET(A$1,,,SUMPRODUCT(MAX(ROW(E$1:E1475)*(E2=E$1:E1475))))))</f>
        <v> </v>
      </c>
      <c r="K1476" s="25" t="str">
        <f>IF(OR(E1476="",E1476="!!!",F1476="NEW"),"",INDEX(J$1:J1475,SUMPRODUCT(MAX(ROW(E$1:E1475)*(E1476=E$1:E1475)))))</f>
        <v> </v>
      </c>
      <c r="L1476" s="26"/>
    </row>
    <row r="1477" spans="1:12">
      <c r="A1477" s="20" t="s">
        <v>835</v>
      </c>
      <c r="E1477" s="21">
        <f>IF(D1477="?OLD","!!!","")</f>
        <v/>
      </c>
      <c r="F1477" s="22" t="str">
        <f>IF(OR(E1477="",E1477="!!!"),"",IF(NOT(ISNA(VLOOKUP(E1477,E$1:E1476,1,FALSE()))),"OLD",IF(AND(E1477&lt;&gt;"",E1477&lt;&gt;"!!!"),"NEW","")))</f>
        <v> </v>
      </c>
      <c r="G1477" s="23" t="str">
        <f>IF(OR(E1477="",E1477="!!!"),"",IF(OR(J1477=0,AND(J1477=1,K1477=1),AND(J1477=1,I1477="SBJ"),AND(J1477=1,I1477=0)),"?IN_FOCUS",IF(J1477&lt;=2,"?ACTIVATED",IF(J1477&lt;&gt;"","?FAMILIAR",IF(F1477="NEW",IF(ISNA(VLOOKUP(E1477,#REF!,1,FALSE())),"?TYPE_IDENTIFIABLE","?REFERENTIAL"),"_")))))</f>
        <v> </v>
      </c>
      <c r="H1477" s="24" t="str">
        <f>IF(J1477&lt;&gt;1,"",IF(I1477="SBJ","CB","?"))</f>
        <v> </v>
      </c>
      <c r="I1477" s="25" t="str">
        <f>IF(OR(E1477="",E1477="!!!",F1477="NEW"),"",INDEX(B1476:B$2,-1+SUMPRODUCT(MAX(ROW(E1476:E$2)*(E1477=E1476:E$2)))))</f>
        <v> </v>
      </c>
      <c r="J1477" s="25" t="str">
        <f>IF(OR(E1477="",E1477="!!!",F1477="NEW"),"",COUNTBLANK(OFFSET(A$1,,,SUMPRODUCT(MAX(ROW(E$2:E1477)*(E1477=E$2:E1477)))))-COUNTBLANK(OFFSET(A$1,,,SUMPRODUCT(MAX(ROW(E$1:E1476)*(E2=E$1:E1476))))))</f>
        <v> </v>
      </c>
      <c r="K1477" s="25" t="str">
        <f>IF(OR(E1477="",E1477="!!!",F1477="NEW"),"",INDEX(J$1:J1476,SUMPRODUCT(MAX(ROW(E$1:E1476)*(E1477=E$1:E1476)))))</f>
        <v> </v>
      </c>
      <c r="L1477" s="26"/>
    </row>
    <row r="1478" spans="1:12">
      <c r="A1478" s="20" t="s">
        <v>277</v>
      </c>
      <c r="E1478" s="21">
        <f>IF(D1478="?OLD","!!!","")</f>
        <v/>
      </c>
      <c r="F1478" s="22" t="str">
        <f>IF(OR(E1478="",E1478="!!!"),"",IF(NOT(ISNA(VLOOKUP(E1478,E$1:E1477,1,FALSE()))),"OLD",IF(AND(E1478&lt;&gt;"",E1478&lt;&gt;"!!!"),"NEW","")))</f>
        <v> </v>
      </c>
      <c r="G1478" s="23" t="str">
        <f>IF(OR(E1478="",E1478="!!!"),"",IF(OR(J1478=0,AND(J1478=1,K1478=1),AND(J1478=1,I1478="SBJ"),AND(J1478=1,I1478=0)),"?IN_FOCUS",IF(J1478&lt;=2,"?ACTIVATED",IF(J1478&lt;&gt;"","?FAMILIAR",IF(F1478="NEW",IF(ISNA(VLOOKUP(E1478,#REF!,1,FALSE())),"?TYPE_IDENTIFIABLE","?REFERENTIAL"),"_")))))</f>
        <v> </v>
      </c>
      <c r="H1478" s="24" t="str">
        <f>IF(J1478&lt;&gt;1,"",IF(I1478="SBJ","CB","?"))</f>
        <v> </v>
      </c>
      <c r="I1478" s="25" t="str">
        <f>IF(OR(E1478="",E1478="!!!",F1478="NEW"),"",INDEX(B1477:B$2,-1+SUMPRODUCT(MAX(ROW(E1477:E$2)*(E1478=E1477:E$2)))))</f>
        <v> </v>
      </c>
      <c r="J1478" s="25" t="str">
        <f>IF(OR(E1478="",E1478="!!!",F1478="NEW"),"",COUNTBLANK(OFFSET(A$1,,,SUMPRODUCT(MAX(ROW(E$2:E1478)*(E1478=E$2:E1478)))))-COUNTBLANK(OFFSET(A$1,,,SUMPRODUCT(MAX(ROW(E$1:E1477)*(E2=E$1:E1477))))))</f>
        <v> </v>
      </c>
      <c r="K1478" s="25" t="str">
        <f>IF(OR(E1478="",E1478="!!!",F1478="NEW"),"",INDEX(J$1:J1477,SUMPRODUCT(MAX(ROW(E$1:E1477)*(E1478=E$1:E1477)))))</f>
        <v> </v>
      </c>
      <c r="L1478" s="26"/>
    </row>
    <row r="1479" spans="1:12">
      <c r="A1479" s="20" t="s">
        <v>836</v>
      </c>
      <c r="B1479" s="27" t="s">
        <v>461</v>
      </c>
      <c r="C1479" s="27" t="s">
        <v>279</v>
      </c>
      <c r="E1479" s="21">
        <f>IF(D1479="?OLD","!!!","")</f>
        <v/>
      </c>
      <c r="F1479" s="22" t="str">
        <f>IF(OR(E1479="",E1479="!!!"),"",IF(NOT(ISNA(VLOOKUP(E1479,E$1:E1478,1,FALSE()))),"OLD",IF(AND(E1479&lt;&gt;"",E1479&lt;&gt;"!!!"),"NEW","")))</f>
        <v> </v>
      </c>
      <c r="G1479" s="23" t="str">
        <f>IF(OR(E1479="",E1479="!!!"),"",IF(OR(J1479=0,AND(J1479=1,K1479=1),AND(J1479=1,I1479="SBJ"),AND(J1479=1,I1479=0)),"?IN_FOCUS",IF(J1479&lt;=2,"?ACTIVATED",IF(J1479&lt;&gt;"","?FAMILIAR",IF(F1479="NEW",IF(ISNA(VLOOKUP(E1479,#REF!,1,FALSE())),"?TYPE_IDENTIFIABLE","?REFERENTIAL"),"_")))))</f>
        <v> </v>
      </c>
      <c r="H1479" s="24" t="str">
        <f>IF(J1479&lt;&gt;1,"",IF(I1479="SBJ","CB","?"))</f>
        <v> </v>
      </c>
      <c r="I1479" s="25" t="str">
        <f>IF(OR(E1479="",E1479="!!!",F1479="NEW"),"",INDEX(B1478:B$2,-1+SUMPRODUCT(MAX(ROW(E1478:E$2)*(E1479=E1478:E$2)))))</f>
        <v> </v>
      </c>
      <c r="J1479" s="25" t="str">
        <f>IF(OR(E1479="",E1479="!!!",F1479="NEW"),"",COUNTBLANK(OFFSET(A$1,,,SUMPRODUCT(MAX(ROW(E$2:E1479)*(E1479=E$2:E1479)))))-COUNTBLANK(OFFSET(A$1,,,SUMPRODUCT(MAX(ROW(E$1:E1478)*(E2=E$1:E1478))))))</f>
        <v> </v>
      </c>
      <c r="K1479" s="25" t="str">
        <f>IF(OR(E1479="",E1479="!!!",F1479="NEW"),"",INDEX(J$1:J1478,SUMPRODUCT(MAX(ROW(E$1:E1478)*(E1479=E$1:E1478)))))</f>
        <v> </v>
      </c>
      <c r="L1479" s="26"/>
    </row>
    <row r="1480" spans="1:12">
      <c r="A1480" s="20" t="s">
        <v>551</v>
      </c>
      <c r="E1480" s="21">
        <f>IF(D1480="?OLD","!!!","")</f>
        <v/>
      </c>
      <c r="F1480" s="22" t="str">
        <f>IF(OR(E1480="",E1480="!!!"),"",IF(NOT(ISNA(VLOOKUP(E1480,E$1:E1479,1,FALSE()))),"OLD",IF(AND(E1480&lt;&gt;"",E1480&lt;&gt;"!!!"),"NEW","")))</f>
        <v> </v>
      </c>
      <c r="G1480" s="23" t="str">
        <f>IF(OR(E1480="",E1480="!!!"),"",IF(OR(J1480=0,AND(J1480=1,K1480=1),AND(J1480=1,I1480="SBJ"),AND(J1480=1,I1480=0)),"?IN_FOCUS",IF(J1480&lt;=2,"?ACTIVATED",IF(J1480&lt;&gt;"","?FAMILIAR",IF(F1480="NEW",IF(ISNA(VLOOKUP(E1480,#REF!,1,FALSE())),"?TYPE_IDENTIFIABLE","?REFERENTIAL"),"_")))))</f>
        <v> </v>
      </c>
      <c r="H1480" s="24" t="str">
        <f>IF(J1480&lt;&gt;1,"",IF(I1480="SBJ","CB","?"))</f>
        <v> </v>
      </c>
      <c r="I1480" s="25" t="str">
        <f>IF(OR(E1480="",E1480="!!!",F1480="NEW"),"",INDEX(B1479:B$2,-1+SUMPRODUCT(MAX(ROW(E1479:E$2)*(E1480=E1479:E$2)))))</f>
        <v> </v>
      </c>
      <c r="J1480" s="25" t="str">
        <f>IF(OR(E1480="",E1480="!!!",F1480="NEW"),"",COUNTBLANK(OFFSET(A$1,,,SUMPRODUCT(MAX(ROW(E$2:E1480)*(E1480=E$2:E1480)))))-COUNTBLANK(OFFSET(A$1,,,SUMPRODUCT(MAX(ROW(E$1:E1479)*(E2=E$1:E1479))))))</f>
        <v> </v>
      </c>
      <c r="K1480" s="25" t="str">
        <f>IF(OR(E1480="",E1480="!!!",F1480="NEW"),"",INDEX(J$1:J1479,SUMPRODUCT(MAX(ROW(E$1:E1479)*(E1480=E$1:E1479)))))</f>
        <v> </v>
      </c>
      <c r="L1480" s="26"/>
    </row>
    <row r="1481" spans="1:12">
      <c r="A1481" s="20" t="s">
        <v>837</v>
      </c>
      <c r="E1481" s="21">
        <f>IF(D1481="?OLD","!!!","")</f>
        <v/>
      </c>
      <c r="F1481" s="22" t="str">
        <f>IF(OR(E1481="",E1481="!!!"),"",IF(NOT(ISNA(VLOOKUP(E1481,E$1:E1480,1,FALSE()))),"OLD",IF(AND(E1481&lt;&gt;"",E1481&lt;&gt;"!!!"),"NEW","")))</f>
        <v> </v>
      </c>
      <c r="G1481" s="23" t="str">
        <f>IF(OR(E1481="",E1481="!!!"),"",IF(OR(J1481=0,AND(J1481=1,K1481=1),AND(J1481=1,I1481="SBJ"),AND(J1481=1,I1481=0)),"?IN_FOCUS",IF(J1481&lt;=2,"?ACTIVATED",IF(J1481&lt;&gt;"","?FAMILIAR",IF(F1481="NEW",IF(ISNA(VLOOKUP(E1481,#REF!,1,FALSE())),"?TYPE_IDENTIFIABLE","?REFERENTIAL"),"_")))))</f>
        <v> </v>
      </c>
      <c r="H1481" s="24" t="str">
        <f>IF(J1481&lt;&gt;1,"",IF(I1481="SBJ","CB","?"))</f>
        <v> </v>
      </c>
      <c r="I1481" s="25" t="str">
        <f>IF(OR(E1481="",E1481="!!!",F1481="NEW"),"",INDEX(B1480:B$2,-1+SUMPRODUCT(MAX(ROW(E1480:E$2)*(E1481=E1480:E$2)))))</f>
        <v> </v>
      </c>
      <c r="J1481" s="25" t="str">
        <f>IF(OR(E1481="",E1481="!!!",F1481="NEW"),"",COUNTBLANK(OFFSET(A$1,,,SUMPRODUCT(MAX(ROW(E$2:E1481)*(E1481=E$2:E1481)))))-COUNTBLANK(OFFSET(A$1,,,SUMPRODUCT(MAX(ROW(E$1:E1480)*(E2=E$1:E1480))))))</f>
        <v> </v>
      </c>
      <c r="K1481" s="25" t="str">
        <f>IF(OR(E1481="",E1481="!!!",F1481="NEW"),"",INDEX(J$1:J1480,SUMPRODUCT(MAX(ROW(E$1:E1480)*(E1481=E$1:E1480)))))</f>
        <v> </v>
      </c>
      <c r="L1481" s="26"/>
    </row>
    <row r="1482" spans="1:12">
      <c r="A1482" s="20" t="s">
        <v>349</v>
      </c>
      <c r="E1482" s="21">
        <f>IF(D1482="?OLD","!!!","")</f>
        <v/>
      </c>
      <c r="F1482" s="22" t="str">
        <f>IF(OR(E1482="",E1482="!!!"),"",IF(NOT(ISNA(VLOOKUP(E1482,E$1:E1481,1,FALSE()))),"OLD",IF(AND(E1482&lt;&gt;"",E1482&lt;&gt;"!!!"),"NEW","")))</f>
        <v> </v>
      </c>
      <c r="G1482" s="23" t="str">
        <f>IF(OR(E1482="",E1482="!!!"),"",IF(OR(J1482=0,AND(J1482=1,K1482=1),AND(J1482=1,I1482="SBJ"),AND(J1482=1,I1482=0)),"?IN_FOCUS",IF(J1482&lt;=2,"?ACTIVATED",IF(J1482&lt;&gt;"","?FAMILIAR",IF(F1482="NEW",IF(ISNA(VLOOKUP(E1482,#REF!,1,FALSE())),"?TYPE_IDENTIFIABLE","?REFERENTIAL"),"_")))))</f>
        <v> </v>
      </c>
      <c r="H1482" s="24" t="str">
        <f>IF(J1482&lt;&gt;1,"",IF(I1482="SBJ","CB","?"))</f>
        <v> </v>
      </c>
      <c r="I1482" s="25" t="str">
        <f>IF(OR(E1482="",E1482="!!!",F1482="NEW"),"",INDEX(B1481:B$2,-1+SUMPRODUCT(MAX(ROW(E1481:E$2)*(E1482=E1481:E$2)))))</f>
        <v> </v>
      </c>
      <c r="J1482" s="25" t="str">
        <f>IF(OR(E1482="",E1482="!!!",F1482="NEW"),"",COUNTBLANK(OFFSET(A$1,,,SUMPRODUCT(MAX(ROW(E$2:E1482)*(E1482=E$2:E1482)))))-COUNTBLANK(OFFSET(A$1,,,SUMPRODUCT(MAX(ROW(E$1:E1481)*(E2=E$1:E1481))))))</f>
        <v> </v>
      </c>
      <c r="K1482" s="25" t="str">
        <f>IF(OR(E1482="",E1482="!!!",F1482="NEW"),"",INDEX(J$1:J1481,SUMPRODUCT(MAX(ROW(E$1:E1481)*(E1482=E$1:E1481)))))</f>
        <v> </v>
      </c>
      <c r="L1482" s="26"/>
    </row>
    <row r="1483" spans="1:12">
      <c r="A1483" s="20" t="s">
        <v>346</v>
      </c>
      <c r="E1483" s="21">
        <f>IF(D1483="?OLD","!!!","")</f>
        <v/>
      </c>
      <c r="F1483" s="22" t="str">
        <f>IF(OR(E1483="",E1483="!!!"),"",IF(NOT(ISNA(VLOOKUP(E1483,E$1:E1482,1,FALSE()))),"OLD",IF(AND(E1483&lt;&gt;"",E1483&lt;&gt;"!!!"),"NEW","")))</f>
        <v> </v>
      </c>
      <c r="G1483" s="23" t="str">
        <f>IF(OR(E1483="",E1483="!!!"),"",IF(OR(J1483=0,AND(J1483=1,K1483=1),AND(J1483=1,I1483="SBJ"),AND(J1483=1,I1483=0)),"?IN_FOCUS",IF(J1483&lt;=2,"?ACTIVATED",IF(J1483&lt;&gt;"","?FAMILIAR",IF(F1483="NEW",IF(ISNA(VLOOKUP(E1483,#REF!,1,FALSE())),"?TYPE_IDENTIFIABLE","?REFERENTIAL"),"_")))))</f>
        <v> </v>
      </c>
      <c r="H1483" s="24" t="str">
        <f>IF(J1483&lt;&gt;1,"",IF(I1483="SBJ","CB","?"))</f>
        <v> </v>
      </c>
      <c r="I1483" s="25" t="str">
        <f>IF(OR(E1483="",E1483="!!!",F1483="NEW"),"",INDEX(B1482:B$2,-1+SUMPRODUCT(MAX(ROW(E1482:E$2)*(E1483=E1482:E$2)))))</f>
        <v> </v>
      </c>
      <c r="J1483" s="25" t="str">
        <f>IF(OR(E1483="",E1483="!!!",F1483="NEW"),"",COUNTBLANK(OFFSET(A$1,,,SUMPRODUCT(MAX(ROW(E$2:E1483)*(E1483=E$2:E1483)))))-COUNTBLANK(OFFSET(A$1,,,SUMPRODUCT(MAX(ROW(E$1:E1482)*(E2=E$1:E1482))))))</f>
        <v> </v>
      </c>
      <c r="K1483" s="25" t="str">
        <f>IF(OR(E1483="",E1483="!!!",F1483="NEW"),"",INDEX(J$1:J1482,SUMPRODUCT(MAX(ROW(E$1:E1482)*(E1483=E$1:E1482)))))</f>
        <v> </v>
      </c>
      <c r="L1483" s="26"/>
    </row>
    <row r="1484" spans="1:12">
      <c r="A1484" s="20" t="s">
        <v>565</v>
      </c>
      <c r="E1484" s="21">
        <f>IF(D1484="?OLD","!!!","")</f>
        <v/>
      </c>
      <c r="F1484" s="22" t="str">
        <f>IF(OR(E1484="",E1484="!!!"),"",IF(NOT(ISNA(VLOOKUP(E1484,E$1:E1483,1,FALSE()))),"OLD",IF(AND(E1484&lt;&gt;"",E1484&lt;&gt;"!!!"),"NEW","")))</f>
        <v> </v>
      </c>
      <c r="G1484" s="23" t="str">
        <f>IF(OR(E1484="",E1484="!!!"),"",IF(OR(J1484=0,AND(J1484=1,K1484=1),AND(J1484=1,I1484="SBJ"),AND(J1484=1,I1484=0)),"?IN_FOCUS",IF(J1484&lt;=2,"?ACTIVATED",IF(J1484&lt;&gt;"","?FAMILIAR",IF(F1484="NEW",IF(ISNA(VLOOKUP(E1484,#REF!,1,FALSE())),"?TYPE_IDENTIFIABLE","?REFERENTIAL"),"_")))))</f>
        <v> </v>
      </c>
      <c r="H1484" s="24" t="str">
        <f>IF(J1484&lt;&gt;1,"",IF(I1484="SBJ","CB","?"))</f>
        <v> </v>
      </c>
      <c r="I1484" s="25" t="str">
        <f>IF(OR(E1484="",E1484="!!!",F1484="NEW"),"",INDEX(B1483:B$2,-1+SUMPRODUCT(MAX(ROW(E1483:E$2)*(E1484=E1483:E$2)))))</f>
        <v> </v>
      </c>
      <c r="J1484" s="25" t="str">
        <f>IF(OR(E1484="",E1484="!!!",F1484="NEW"),"",COUNTBLANK(OFFSET(A$1,,,SUMPRODUCT(MAX(ROW(E$2:E1484)*(E1484=E$2:E1484)))))-COUNTBLANK(OFFSET(A$1,,,SUMPRODUCT(MAX(ROW(E$1:E1483)*(E2=E$1:E1483))))))</f>
        <v> </v>
      </c>
      <c r="K1484" s="25" t="str">
        <f>IF(OR(E1484="",E1484="!!!",F1484="NEW"),"",INDEX(J$1:J1483,SUMPRODUCT(MAX(ROW(E$1:E1483)*(E1484=E$1:E1483)))))</f>
        <v> </v>
      </c>
      <c r="L1484" s="26"/>
    </row>
    <row r="1485" spans="1:12">
      <c r="A1485" s="20" t="s">
        <v>345</v>
      </c>
      <c r="E1485" s="21">
        <f>IF(D1485="?OLD","!!!","")</f>
        <v/>
      </c>
      <c r="F1485" s="22" t="str">
        <f>IF(OR(E1485="",E1485="!!!"),"",IF(NOT(ISNA(VLOOKUP(E1485,E$1:E1484,1,FALSE()))),"OLD",IF(AND(E1485&lt;&gt;"",E1485&lt;&gt;"!!!"),"NEW","")))</f>
        <v> </v>
      </c>
      <c r="G1485" s="23" t="str">
        <f>IF(OR(E1485="",E1485="!!!"),"",IF(OR(J1485=0,AND(J1485=1,K1485=1),AND(J1485=1,I1485="SBJ"),AND(J1485=1,I1485=0)),"?IN_FOCUS",IF(J1485&lt;=2,"?ACTIVATED",IF(J1485&lt;&gt;"","?FAMILIAR",IF(F1485="NEW",IF(ISNA(VLOOKUP(E1485,#REF!,1,FALSE())),"?TYPE_IDENTIFIABLE","?REFERENTIAL"),"_")))))</f>
        <v> </v>
      </c>
      <c r="H1485" s="24" t="str">
        <f>IF(J1485&lt;&gt;1,"",IF(I1485="SBJ","CB","?"))</f>
        <v> </v>
      </c>
      <c r="I1485" s="25" t="str">
        <f>IF(OR(E1485="",E1485="!!!",F1485="NEW"),"",INDEX(B1484:B$2,-1+SUMPRODUCT(MAX(ROW(E1484:E$2)*(E1485=E1484:E$2)))))</f>
        <v> </v>
      </c>
      <c r="J1485" s="25" t="str">
        <f>IF(OR(E1485="",E1485="!!!",F1485="NEW"),"",COUNTBLANK(OFFSET(A$1,,,SUMPRODUCT(MAX(ROW(E$2:E1485)*(E1485=E$2:E1485)))))-COUNTBLANK(OFFSET(A$1,,,SUMPRODUCT(MAX(ROW(E$1:E1484)*(E2=E$1:E1484))))))</f>
        <v> </v>
      </c>
      <c r="K1485" s="25" t="str">
        <f>IF(OR(E1485="",E1485="!!!",F1485="NEW"),"",INDEX(J$1:J1484,SUMPRODUCT(MAX(ROW(E$1:E1484)*(E1485=E$1:E1484)))))</f>
        <v> </v>
      </c>
      <c r="L1485" s="26"/>
    </row>
    <row r="1486" spans="1:12">
      <c r="A1486" s="20" t="s">
        <v>838</v>
      </c>
      <c r="E1486" s="21">
        <f>IF(D1486="?OLD","!!!","")</f>
        <v/>
      </c>
      <c r="F1486" s="22" t="str">
        <f>IF(OR(E1486="",E1486="!!!"),"",IF(NOT(ISNA(VLOOKUP(E1486,E$1:E1485,1,FALSE()))),"OLD",IF(AND(E1486&lt;&gt;"",E1486&lt;&gt;"!!!"),"NEW","")))</f>
        <v> </v>
      </c>
      <c r="G1486" s="23" t="str">
        <f>IF(OR(E1486="",E1486="!!!"),"",IF(OR(J1486=0,AND(J1486=1,K1486=1),AND(J1486=1,I1486="SBJ"),AND(J1486=1,I1486=0)),"?IN_FOCUS",IF(J1486&lt;=2,"?ACTIVATED",IF(J1486&lt;&gt;"","?FAMILIAR",IF(F1486="NEW",IF(ISNA(VLOOKUP(E1486,#REF!,1,FALSE())),"?TYPE_IDENTIFIABLE","?REFERENTIAL"),"_")))))</f>
        <v> </v>
      </c>
      <c r="H1486" s="24" t="str">
        <f>IF(J1486&lt;&gt;1,"",IF(I1486="SBJ","CB","?"))</f>
        <v> </v>
      </c>
      <c r="I1486" s="25" t="str">
        <f>IF(OR(E1486="",E1486="!!!",F1486="NEW"),"",INDEX(B1485:B$2,-1+SUMPRODUCT(MAX(ROW(E1485:E$2)*(E1486=E1485:E$2)))))</f>
        <v> </v>
      </c>
      <c r="J1486" s="25" t="str">
        <f>IF(OR(E1486="",E1486="!!!",F1486="NEW"),"",COUNTBLANK(OFFSET(A$1,,,SUMPRODUCT(MAX(ROW(E$2:E1486)*(E1486=E$2:E1486)))))-COUNTBLANK(OFFSET(A$1,,,SUMPRODUCT(MAX(ROW(E$1:E1485)*(E2=E$1:E1485))))))</f>
        <v> </v>
      </c>
      <c r="K1486" s="25" t="str">
        <f>IF(OR(E1486="",E1486="!!!",F1486="NEW"),"",INDEX(J$1:J1485,SUMPRODUCT(MAX(ROW(E$1:E1485)*(E1486=E$1:E1485)))))</f>
        <v> </v>
      </c>
      <c r="L1486" s="26"/>
    </row>
    <row r="1487" spans="1:12">
      <c r="A1487" s="20" t="s">
        <v>839</v>
      </c>
      <c r="E1487" s="21">
        <f>IF(D1487="?OLD","!!!","")</f>
        <v/>
      </c>
      <c r="F1487" s="22" t="str">
        <f>IF(OR(E1487="",E1487="!!!"),"",IF(NOT(ISNA(VLOOKUP(E1487,E$1:E1486,1,FALSE()))),"OLD",IF(AND(E1487&lt;&gt;"",E1487&lt;&gt;"!!!"),"NEW","")))</f>
        <v> </v>
      </c>
      <c r="G1487" s="23" t="str">
        <f>IF(OR(E1487="",E1487="!!!"),"",IF(OR(J1487=0,AND(J1487=1,K1487=1),AND(J1487=1,I1487="SBJ"),AND(J1487=1,I1487=0)),"?IN_FOCUS",IF(J1487&lt;=2,"?ACTIVATED",IF(J1487&lt;&gt;"","?FAMILIAR",IF(F1487="NEW",IF(ISNA(VLOOKUP(E1487,#REF!,1,FALSE())),"?TYPE_IDENTIFIABLE","?REFERENTIAL"),"_")))))</f>
        <v> </v>
      </c>
      <c r="H1487" s="24" t="str">
        <f>IF(J1487&lt;&gt;1,"",IF(I1487="SBJ","CB","?"))</f>
        <v> </v>
      </c>
      <c r="I1487" s="25" t="str">
        <f>IF(OR(E1487="",E1487="!!!",F1487="NEW"),"",INDEX(B1486:B$2,-1+SUMPRODUCT(MAX(ROW(E1486:E$2)*(E1487=E1486:E$2)))))</f>
        <v> </v>
      </c>
      <c r="J1487" s="25" t="str">
        <f>IF(OR(E1487="",E1487="!!!",F1487="NEW"),"",COUNTBLANK(OFFSET(A$1,,,SUMPRODUCT(MAX(ROW(E$2:E1487)*(E1487=E$2:E1487)))))-COUNTBLANK(OFFSET(A$1,,,SUMPRODUCT(MAX(ROW(E$1:E1486)*(E2=E$1:E1486))))))</f>
        <v> </v>
      </c>
      <c r="K1487" s="25" t="str">
        <f>IF(OR(E1487="",E1487="!!!",F1487="NEW"),"",INDEX(J$1:J1486,SUMPRODUCT(MAX(ROW(E$1:E1486)*(E1487=E$1:E1486)))))</f>
        <v> </v>
      </c>
      <c r="L1487" s="26"/>
    </row>
    <row r="1488" spans="1:12">
      <c r="A1488" s="20" t="s">
        <v>840</v>
      </c>
      <c r="B1488" s="27" t="s">
        <v>507</v>
      </c>
      <c r="C1488" s="27" t="s">
        <v>281</v>
      </c>
      <c r="E1488" s="21">
        <f>IF(D1488="?OLD","!!!","")</f>
        <v/>
      </c>
      <c r="F1488" s="22" t="str">
        <f>IF(OR(E1488="",E1488="!!!"),"",IF(NOT(ISNA(VLOOKUP(E1488,E$1:E1487,1,FALSE()))),"OLD",IF(AND(E1488&lt;&gt;"",E1488&lt;&gt;"!!!"),"NEW","")))</f>
        <v> </v>
      </c>
      <c r="G1488" s="23" t="str">
        <f>IF(OR(E1488="",E1488="!!!"),"",IF(OR(J1488=0,AND(J1488=1,K1488=1),AND(J1488=1,I1488="SBJ"),AND(J1488=1,I1488=0)),"?IN_FOCUS",IF(J1488&lt;=2,"?ACTIVATED",IF(J1488&lt;&gt;"","?FAMILIAR",IF(F1488="NEW",IF(ISNA(VLOOKUP(E1488,#REF!,1,FALSE())),"?TYPE_IDENTIFIABLE","?REFERENTIAL"),"_")))))</f>
        <v> </v>
      </c>
      <c r="H1488" s="24" t="str">
        <f>IF(J1488&lt;&gt;1,"",IF(I1488="SBJ","CB","?"))</f>
        <v> </v>
      </c>
      <c r="I1488" s="25" t="str">
        <f>IF(OR(E1488="",E1488="!!!",F1488="NEW"),"",INDEX(B1487:B$2,-1+SUMPRODUCT(MAX(ROW(E1487:E$2)*(E1488=E1487:E$2)))))</f>
        <v> </v>
      </c>
      <c r="J1488" s="25" t="str">
        <f>IF(OR(E1488="",E1488="!!!",F1488="NEW"),"",COUNTBLANK(OFFSET(A$1,,,SUMPRODUCT(MAX(ROW(E$2:E1488)*(E1488=E$2:E1488)))))-COUNTBLANK(OFFSET(A$1,,,SUMPRODUCT(MAX(ROW(E$1:E1487)*(E2=E$1:E1487))))))</f>
        <v> </v>
      </c>
      <c r="K1488" s="25" t="str">
        <f>IF(OR(E1488="",E1488="!!!",F1488="NEW"),"",INDEX(J$1:J1487,SUMPRODUCT(MAX(ROW(E$1:E1487)*(E1488=E$1:E1487)))))</f>
        <v> </v>
      </c>
      <c r="L1488" s="26"/>
    </row>
    <row r="1489" spans="1:12">
      <c r="A1489" s="20" t="s">
        <v>314</v>
      </c>
      <c r="E1489" s="21">
        <f>IF(D1489="?OLD","!!!","")</f>
        <v/>
      </c>
      <c r="F1489" s="22" t="str">
        <f>IF(OR(E1489="",E1489="!!!"),"",IF(NOT(ISNA(VLOOKUP(E1489,E$1:E1488,1,FALSE()))),"OLD",IF(AND(E1489&lt;&gt;"",E1489&lt;&gt;"!!!"),"NEW","")))</f>
        <v> </v>
      </c>
      <c r="G1489" s="23" t="str">
        <f>IF(OR(E1489="",E1489="!!!"),"",IF(OR(J1489=0,AND(J1489=1,K1489=1),AND(J1489=1,I1489="SBJ"),AND(J1489=1,I1489=0)),"?IN_FOCUS",IF(J1489&lt;=2,"?ACTIVATED",IF(J1489&lt;&gt;"","?FAMILIAR",IF(F1489="NEW",IF(ISNA(VLOOKUP(E1489,#REF!,1,FALSE())),"?TYPE_IDENTIFIABLE","?REFERENTIAL"),"_")))))</f>
        <v> </v>
      </c>
      <c r="H1489" s="24" t="str">
        <f>IF(J1489&lt;&gt;1,"",IF(I1489="SBJ","CB","?"))</f>
        <v> </v>
      </c>
      <c r="I1489" s="25" t="str">
        <f>IF(OR(E1489="",E1489="!!!",F1489="NEW"),"",INDEX(B1488:B$2,-1+SUMPRODUCT(MAX(ROW(E1488:E$2)*(E1489=E1488:E$2)))))</f>
        <v> </v>
      </c>
      <c r="J1489" s="25" t="str">
        <f>IF(OR(E1489="",E1489="!!!",F1489="NEW"),"",COUNTBLANK(OFFSET(A$1,,,SUMPRODUCT(MAX(ROW(E$2:E1489)*(E1489=E$2:E1489)))))-COUNTBLANK(OFFSET(A$1,,,SUMPRODUCT(MAX(ROW(E$1:E1488)*(E2=E$1:E1488))))))</f>
        <v> </v>
      </c>
      <c r="K1489" s="25" t="str">
        <f>IF(OR(E1489="",E1489="!!!",F1489="NEW"),"",INDEX(J$1:J1488,SUMPRODUCT(MAX(ROW(E$1:E1488)*(E1489=E$1:E1488)))))</f>
        <v> </v>
      </c>
      <c r="L1489" s="26"/>
    </row>
    <row r="1490" spans="1:12">
      <c r="A1490" s="20" t="s">
        <v>345</v>
      </c>
      <c r="E1490" s="21">
        <f>IF(D1490="?OLD","!!!","")</f>
        <v/>
      </c>
      <c r="F1490" s="22" t="str">
        <f>IF(OR(E1490="",E1490="!!!"),"",IF(NOT(ISNA(VLOOKUP(E1490,E$1:E1489,1,FALSE()))),"OLD",IF(AND(E1490&lt;&gt;"",E1490&lt;&gt;"!!!"),"NEW","")))</f>
        <v> </v>
      </c>
      <c r="G1490" s="23" t="str">
        <f>IF(OR(E1490="",E1490="!!!"),"",IF(OR(J1490=0,AND(J1490=1,K1490=1),AND(J1490=1,I1490="SBJ"),AND(J1490=1,I1490=0)),"?IN_FOCUS",IF(J1490&lt;=2,"?ACTIVATED",IF(J1490&lt;&gt;"","?FAMILIAR",IF(F1490="NEW",IF(ISNA(VLOOKUP(E1490,#REF!,1,FALSE())),"?TYPE_IDENTIFIABLE","?REFERENTIAL"),"_")))))</f>
        <v> </v>
      </c>
      <c r="H1490" s="24" t="str">
        <f>IF(J1490&lt;&gt;1,"",IF(I1490="SBJ","CB","?"))</f>
        <v> </v>
      </c>
      <c r="I1490" s="25" t="str">
        <f>IF(OR(E1490="",E1490="!!!",F1490="NEW"),"",INDEX(B1489:B$2,-1+SUMPRODUCT(MAX(ROW(E1489:E$2)*(E1490=E1489:E$2)))))</f>
        <v> </v>
      </c>
      <c r="J1490" s="25" t="str">
        <f>IF(OR(E1490="",E1490="!!!",F1490="NEW"),"",COUNTBLANK(OFFSET(A$1,,,SUMPRODUCT(MAX(ROW(E$2:E1490)*(E1490=E$2:E1490)))))-COUNTBLANK(OFFSET(A$1,,,SUMPRODUCT(MAX(ROW(E$1:E1489)*(E2=E$1:E1489))))))</f>
        <v> </v>
      </c>
      <c r="K1490" s="25" t="str">
        <f>IF(OR(E1490="",E1490="!!!",F1490="NEW"),"",INDEX(J$1:J1489,SUMPRODUCT(MAX(ROW(E$1:E1489)*(E1490=E$1:E1489)))))</f>
        <v> </v>
      </c>
      <c r="L1490" s="26"/>
    </row>
    <row r="1491" spans="1:12">
      <c r="A1491" s="20" t="s">
        <v>841</v>
      </c>
      <c r="E1491" s="21">
        <f>IF(D1491="?OLD","!!!","")</f>
        <v/>
      </c>
      <c r="F1491" s="22" t="str">
        <f>IF(OR(E1491="",E1491="!!!"),"",IF(NOT(ISNA(VLOOKUP(E1491,E$1:E1490,1,FALSE()))),"OLD",IF(AND(E1491&lt;&gt;"",E1491&lt;&gt;"!!!"),"NEW","")))</f>
        <v> </v>
      </c>
      <c r="G1491" s="23" t="str">
        <f>IF(OR(E1491="",E1491="!!!"),"",IF(OR(J1491=0,AND(J1491=1,K1491=1),AND(J1491=1,I1491="SBJ"),AND(J1491=1,I1491=0)),"?IN_FOCUS",IF(J1491&lt;=2,"?ACTIVATED",IF(J1491&lt;&gt;"","?FAMILIAR",IF(F1491="NEW",IF(ISNA(VLOOKUP(E1491,#REF!,1,FALSE())),"?TYPE_IDENTIFIABLE","?REFERENTIAL"),"_")))))</f>
        <v> </v>
      </c>
      <c r="H1491" s="24" t="str">
        <f>IF(J1491&lt;&gt;1,"",IF(I1491="SBJ","CB","?"))</f>
        <v> </v>
      </c>
      <c r="I1491" s="25" t="str">
        <f>IF(OR(E1491="",E1491="!!!",F1491="NEW"),"",INDEX(B1490:B$2,-1+SUMPRODUCT(MAX(ROW(E1490:E$2)*(E1491=E1490:E$2)))))</f>
        <v> </v>
      </c>
      <c r="J1491" s="25" t="str">
        <f>IF(OR(E1491="",E1491="!!!",F1491="NEW"),"",COUNTBLANK(OFFSET(A$1,,,SUMPRODUCT(MAX(ROW(E$2:E1491)*(E1491=E$2:E1491)))))-COUNTBLANK(OFFSET(A$1,,,SUMPRODUCT(MAX(ROW(E$1:E1490)*(E2=E$1:E1490))))))</f>
        <v> </v>
      </c>
      <c r="K1491" s="25" t="str">
        <f>IF(OR(E1491="",E1491="!!!",F1491="NEW"),"",INDEX(J$1:J1490,SUMPRODUCT(MAX(ROW(E$1:E1490)*(E1491=E$1:E1490)))))</f>
        <v> </v>
      </c>
      <c r="L1491" s="26"/>
    </row>
    <row r="1492" spans="1:12">
      <c r="A1492" s="20" t="s">
        <v>270</v>
      </c>
      <c r="E1492" s="21">
        <f>IF(D1492="?OLD","!!!","")</f>
        <v/>
      </c>
      <c r="F1492" s="22" t="str">
        <f>IF(OR(E1492="",E1492="!!!"),"",IF(NOT(ISNA(VLOOKUP(E1492,E$1:E1491,1,FALSE()))),"OLD",IF(AND(E1492&lt;&gt;"",E1492&lt;&gt;"!!!"),"NEW","")))</f>
        <v> </v>
      </c>
      <c r="G1492" s="23" t="str">
        <f>IF(OR(E1492="",E1492="!!!"),"",IF(OR(J1492=0,AND(J1492=1,K1492=1),AND(J1492=1,I1492="SBJ"),AND(J1492=1,I1492=0)),"?IN_FOCUS",IF(J1492&lt;=2,"?ACTIVATED",IF(J1492&lt;&gt;"","?FAMILIAR",IF(F1492="NEW",IF(ISNA(VLOOKUP(E1492,#REF!,1,FALSE())),"?TYPE_IDENTIFIABLE","?REFERENTIAL"),"_")))))</f>
        <v> </v>
      </c>
      <c r="H1492" s="24" t="str">
        <f>IF(J1492&lt;&gt;1,"",IF(I1492="SBJ","CB","?"))</f>
        <v> </v>
      </c>
      <c r="I1492" s="25" t="str">
        <f>IF(OR(E1492="",E1492="!!!",F1492="NEW"),"",INDEX(B1491:B$2,-1+SUMPRODUCT(MAX(ROW(E1491:E$2)*(E1492=E1491:E$2)))))</f>
        <v> </v>
      </c>
      <c r="J1492" s="25" t="str">
        <f>IF(OR(E1492="",E1492="!!!",F1492="NEW"),"",COUNTBLANK(OFFSET(A$1,,,SUMPRODUCT(MAX(ROW(E$2:E1492)*(E1492=E$2:E1492)))))-COUNTBLANK(OFFSET(A$1,,,SUMPRODUCT(MAX(ROW(E$1:E1491)*(E2=E$1:E1491))))))</f>
        <v> </v>
      </c>
      <c r="K1492" s="25" t="str">
        <f>IF(OR(E1492="",E1492="!!!",F1492="NEW"),"",INDEX(J$1:J1491,SUMPRODUCT(MAX(ROW(E$1:E1491)*(E1492=E$1:E1491)))))</f>
        <v> </v>
      </c>
      <c r="L1492" s="26"/>
    </row>
    <row r="1493" spans="1:12">
      <c r="A1493" s="20" t="s">
        <v>299</v>
      </c>
      <c r="E1493" s="21">
        <f>IF(D1493="?OLD","!!!","")</f>
        <v/>
      </c>
      <c r="F1493" s="22" t="str">
        <f>IF(OR(E1493="",E1493="!!!"),"",IF(NOT(ISNA(VLOOKUP(E1493,E$1:E1492,1,FALSE()))),"OLD",IF(AND(E1493&lt;&gt;"",E1493&lt;&gt;"!!!"),"NEW","")))</f>
        <v> </v>
      </c>
      <c r="G1493" s="23" t="str">
        <f>IF(OR(E1493="",E1493="!!!"),"",IF(OR(J1493=0,AND(J1493=1,K1493=1),AND(J1493=1,I1493="SBJ"),AND(J1493=1,I1493=0)),"?IN_FOCUS",IF(J1493&lt;=2,"?ACTIVATED",IF(J1493&lt;&gt;"","?FAMILIAR",IF(F1493="NEW",IF(ISNA(VLOOKUP(E1493,#REF!,1,FALSE())),"?TYPE_IDENTIFIABLE","?REFERENTIAL"),"_")))))</f>
        <v> </v>
      </c>
      <c r="H1493" s="24" t="str">
        <f>IF(J1493&lt;&gt;1,"",IF(I1493="SBJ","CB","?"))</f>
        <v> </v>
      </c>
      <c r="I1493" s="25" t="str">
        <f>IF(OR(E1493="",E1493="!!!",F1493="NEW"),"",INDEX(B1492:B$2,-1+SUMPRODUCT(MAX(ROW(E1492:E$2)*(E1493=E1492:E$2)))))</f>
        <v> </v>
      </c>
      <c r="J1493" s="25" t="str">
        <f>IF(OR(E1493="",E1493="!!!",F1493="NEW"),"",COUNTBLANK(OFFSET(A$1,,,SUMPRODUCT(MAX(ROW(E$2:E1493)*(E1493=E$2:E1493)))))-COUNTBLANK(OFFSET(A$1,,,SUMPRODUCT(MAX(ROW(E$1:E1492)*(E2=E$1:E1492))))))</f>
        <v> </v>
      </c>
      <c r="K1493" s="25" t="str">
        <f>IF(OR(E1493="",E1493="!!!",F1493="NEW"),"",INDEX(J$1:J1492,SUMPRODUCT(MAX(ROW(E$1:E1492)*(E1493=E$1:E1492)))))</f>
        <v> </v>
      </c>
      <c r="L1493" s="26"/>
    </row>
    <row r="1494" spans="1:12">
      <c r="A1494" s="20" t="s">
        <v>305</v>
      </c>
      <c r="E1494" s="21">
        <f>IF(D1494="?OLD","!!!","")</f>
        <v/>
      </c>
      <c r="F1494" s="22" t="str">
        <f>IF(OR(E1494="",E1494="!!!"),"",IF(NOT(ISNA(VLOOKUP(E1494,E$1:E1493,1,FALSE()))),"OLD",IF(AND(E1494&lt;&gt;"",E1494&lt;&gt;"!!!"),"NEW","")))</f>
        <v> </v>
      </c>
      <c r="G1494" s="23" t="str">
        <f>IF(OR(E1494="",E1494="!!!"),"",IF(OR(J1494=0,AND(J1494=1,K1494=1),AND(J1494=1,I1494="SBJ"),AND(J1494=1,I1494=0)),"?IN_FOCUS",IF(J1494&lt;=2,"?ACTIVATED",IF(J1494&lt;&gt;"","?FAMILIAR",IF(F1494="NEW",IF(ISNA(VLOOKUP(E1494,#REF!,1,FALSE())),"?TYPE_IDENTIFIABLE","?REFERENTIAL"),"_")))))</f>
        <v> </v>
      </c>
      <c r="H1494" s="24" t="str">
        <f>IF(J1494&lt;&gt;1,"",IF(I1494="SBJ","CB","?"))</f>
        <v> </v>
      </c>
      <c r="I1494" s="25" t="str">
        <f>IF(OR(E1494="",E1494="!!!",F1494="NEW"),"",INDEX(B1493:B$2,-1+SUMPRODUCT(MAX(ROW(E1493:E$2)*(E1494=E1493:E$2)))))</f>
        <v> </v>
      </c>
      <c r="J1494" s="25" t="str">
        <f>IF(OR(E1494="",E1494="!!!",F1494="NEW"),"",COUNTBLANK(OFFSET(A$1,,,SUMPRODUCT(MAX(ROW(E$2:E1494)*(E1494=E$2:E1494)))))-COUNTBLANK(OFFSET(A$1,,,SUMPRODUCT(MAX(ROW(E$1:E1493)*(E2=E$1:E1493))))))</f>
        <v> </v>
      </c>
      <c r="K1494" s="25" t="str">
        <f>IF(OR(E1494="",E1494="!!!",F1494="NEW"),"",INDEX(J$1:J1493,SUMPRODUCT(MAX(ROW(E$1:E1493)*(E1494=E$1:E1493)))))</f>
        <v> </v>
      </c>
      <c r="L1494" s="26"/>
    </row>
    <row r="1495" spans="1:12">
      <c r="A1495" s="20" t="s">
        <v>842</v>
      </c>
      <c r="E1495" s="21">
        <f>IF(D1495="?OLD","!!!","")</f>
        <v/>
      </c>
      <c r="F1495" s="22" t="str">
        <f>IF(OR(E1495="",E1495="!!!"),"",IF(NOT(ISNA(VLOOKUP(E1495,E$1:E1494,1,FALSE()))),"OLD",IF(AND(E1495&lt;&gt;"",E1495&lt;&gt;"!!!"),"NEW","")))</f>
        <v> </v>
      </c>
      <c r="G1495" s="23" t="str">
        <f>IF(OR(E1495="",E1495="!!!"),"",IF(OR(J1495=0,AND(J1495=1,K1495=1),AND(J1495=1,I1495="SBJ"),AND(J1495=1,I1495=0)),"?IN_FOCUS",IF(J1495&lt;=2,"?ACTIVATED",IF(J1495&lt;&gt;"","?FAMILIAR",IF(F1495="NEW",IF(ISNA(VLOOKUP(E1495,#REF!,1,FALSE())),"?TYPE_IDENTIFIABLE","?REFERENTIAL"),"_")))))</f>
        <v> </v>
      </c>
      <c r="H1495" s="24" t="str">
        <f>IF(J1495&lt;&gt;1,"",IF(I1495="SBJ","CB","?"))</f>
        <v> </v>
      </c>
      <c r="I1495" s="25" t="str">
        <f>IF(OR(E1495="",E1495="!!!",F1495="NEW"),"",INDEX(B1494:B$2,-1+SUMPRODUCT(MAX(ROW(E1494:E$2)*(E1495=E1494:E$2)))))</f>
        <v> </v>
      </c>
      <c r="J1495" s="25" t="str">
        <f>IF(OR(E1495="",E1495="!!!",F1495="NEW"),"",COUNTBLANK(OFFSET(A$1,,,SUMPRODUCT(MAX(ROW(E$2:E1495)*(E1495=E$2:E1495)))))-COUNTBLANK(OFFSET(A$1,,,SUMPRODUCT(MAX(ROW(E$1:E1494)*(E2=E$1:E1494))))))</f>
        <v> </v>
      </c>
      <c r="K1495" s="25" t="str">
        <f>IF(OR(E1495="",E1495="!!!",F1495="NEW"),"",INDEX(J$1:J1494,SUMPRODUCT(MAX(ROW(E$1:E1494)*(E1495=E$1:E1494)))))</f>
        <v> </v>
      </c>
      <c r="L1495" s="26"/>
    </row>
    <row r="1496" spans="1:12">
      <c r="A1496" s="20" t="s">
        <v>822</v>
      </c>
      <c r="B1496" s="27" t="s">
        <v>266</v>
      </c>
      <c r="C1496" s="27" t="s">
        <v>327</v>
      </c>
      <c r="E1496" s="21">
        <f>IF(D1496="?OLD","!!!","")</f>
        <v/>
      </c>
      <c r="F1496" s="22" t="str">
        <f>IF(OR(E1496="",E1496="!!!"),"",IF(NOT(ISNA(VLOOKUP(E1496,E$1:E1495,1,FALSE()))),"OLD",IF(AND(E1496&lt;&gt;"",E1496&lt;&gt;"!!!"),"NEW","")))</f>
        <v> </v>
      </c>
      <c r="G1496" s="23" t="str">
        <f>IF(OR(E1496="",E1496="!!!"),"",IF(OR(J1496=0,AND(J1496=1,K1496=1),AND(J1496=1,I1496="SBJ"),AND(J1496=1,I1496=0)),"?IN_FOCUS",IF(J1496&lt;=2,"?ACTIVATED",IF(J1496&lt;&gt;"","?FAMILIAR",IF(F1496="NEW",IF(ISNA(VLOOKUP(E1496,#REF!,1,FALSE())),"?TYPE_IDENTIFIABLE","?REFERENTIAL"),"_")))))</f>
        <v> </v>
      </c>
      <c r="H1496" s="24" t="str">
        <f>IF(J1496&lt;&gt;1,"",IF(I1496="SBJ","CB","?"))</f>
        <v> </v>
      </c>
      <c r="I1496" s="25" t="str">
        <f>IF(OR(E1496="",E1496="!!!",F1496="NEW"),"",INDEX(B1495:B$2,-1+SUMPRODUCT(MAX(ROW(E1495:E$2)*(E1496=E1495:E$2)))))</f>
        <v> </v>
      </c>
      <c r="J1496" s="25" t="str">
        <f>IF(OR(E1496="",E1496="!!!",F1496="NEW"),"",COUNTBLANK(OFFSET(A$1,,,SUMPRODUCT(MAX(ROW(E$2:E1496)*(E1496=E$2:E1496)))))-COUNTBLANK(OFFSET(A$1,,,SUMPRODUCT(MAX(ROW(E$1:E1495)*(E2=E$1:E1495))))))</f>
        <v> </v>
      </c>
      <c r="K1496" s="25" t="str">
        <f>IF(OR(E1496="",E1496="!!!",F1496="NEW"),"",INDEX(J$1:J1495,SUMPRODUCT(MAX(ROW(E$1:E1495)*(E1496=E$1:E1495)))))</f>
        <v> </v>
      </c>
      <c r="L1496" s="26"/>
    </row>
    <row r="1497" spans="1:12">
      <c r="A1497" s="20" t="s">
        <v>823</v>
      </c>
      <c r="E1497" s="21">
        <f>IF(D1497="?OLD","!!!","")</f>
        <v/>
      </c>
      <c r="F1497" s="22" t="str">
        <f>IF(OR(E1497="",E1497="!!!"),"",IF(NOT(ISNA(VLOOKUP(E1497,E$1:E1496,1,FALSE()))),"OLD",IF(AND(E1497&lt;&gt;"",E1497&lt;&gt;"!!!"),"NEW","")))</f>
        <v> </v>
      </c>
      <c r="G1497" s="23" t="str">
        <f>IF(OR(E1497="",E1497="!!!"),"",IF(OR(J1497=0,AND(J1497=1,K1497=1),AND(J1497=1,I1497="SBJ"),AND(J1497=1,I1497=0)),"?IN_FOCUS",IF(J1497&lt;=2,"?ACTIVATED",IF(J1497&lt;&gt;"","?FAMILIAR",IF(F1497="NEW",IF(ISNA(VLOOKUP(E1497,#REF!,1,FALSE())),"?TYPE_IDENTIFIABLE","?REFERENTIAL"),"_")))))</f>
        <v> </v>
      </c>
      <c r="H1497" s="24" t="str">
        <f>IF(J1497&lt;&gt;1,"",IF(I1497="SBJ","CB","?"))</f>
        <v> </v>
      </c>
      <c r="I1497" s="25" t="str">
        <f>IF(OR(E1497="",E1497="!!!",F1497="NEW"),"",INDEX(B1496:B$2,-1+SUMPRODUCT(MAX(ROW(E1496:E$2)*(E1497=E1496:E$2)))))</f>
        <v> </v>
      </c>
      <c r="J1497" s="25" t="str">
        <f>IF(OR(E1497="",E1497="!!!",F1497="NEW"),"",COUNTBLANK(OFFSET(A$1,,,SUMPRODUCT(MAX(ROW(E$2:E1497)*(E1497=E$2:E1497)))))-COUNTBLANK(OFFSET(A$1,,,SUMPRODUCT(MAX(ROW(E$1:E1496)*(E2=E$1:E1496))))))</f>
        <v> </v>
      </c>
      <c r="K1497" s="25" t="str">
        <f>IF(OR(E1497="",E1497="!!!",F1497="NEW"),"",INDEX(J$1:J1496,SUMPRODUCT(MAX(ROW(E$1:E1496)*(E1497=E$1:E1496)))))</f>
        <v> </v>
      </c>
      <c r="L1497" s="26"/>
    </row>
    <row r="1498" spans="1:12">
      <c r="A1498" s="20" t="s">
        <v>277</v>
      </c>
      <c r="E1498" s="21">
        <f>IF(D1498="?OLD","!!!","")</f>
        <v/>
      </c>
      <c r="F1498" s="22" t="str">
        <f>IF(OR(E1498="",E1498="!!!"),"",IF(NOT(ISNA(VLOOKUP(E1498,E$1:E1497,1,FALSE()))),"OLD",IF(AND(E1498&lt;&gt;"",E1498&lt;&gt;"!!!"),"NEW","")))</f>
        <v> </v>
      </c>
      <c r="G1498" s="23" t="str">
        <f>IF(OR(E1498="",E1498="!!!"),"",IF(OR(J1498=0,AND(J1498=1,K1498=1),AND(J1498=1,I1498="SBJ"),AND(J1498=1,I1498=0)),"?IN_FOCUS",IF(J1498&lt;=2,"?ACTIVATED",IF(J1498&lt;&gt;"","?FAMILIAR",IF(F1498="NEW",IF(ISNA(VLOOKUP(E1498,#REF!,1,FALSE())),"?TYPE_IDENTIFIABLE","?REFERENTIAL"),"_")))))</f>
        <v> </v>
      </c>
      <c r="H1498" s="24" t="str">
        <f>IF(J1498&lt;&gt;1,"",IF(I1498="SBJ","CB","?"))</f>
        <v> </v>
      </c>
      <c r="I1498" s="25" t="str">
        <f>IF(OR(E1498="",E1498="!!!",F1498="NEW"),"",INDEX(B1497:B$2,-1+SUMPRODUCT(MAX(ROW(E1497:E$2)*(E1498=E1497:E$2)))))</f>
        <v> </v>
      </c>
      <c r="J1498" s="25" t="str">
        <f>IF(OR(E1498="",E1498="!!!",F1498="NEW"),"",COUNTBLANK(OFFSET(A$1,,,SUMPRODUCT(MAX(ROW(E$2:E1498)*(E1498=E$2:E1498)))))-COUNTBLANK(OFFSET(A$1,,,SUMPRODUCT(MAX(ROW(E$1:E1497)*(E2=E$1:E1497))))))</f>
        <v> </v>
      </c>
      <c r="K1498" s="25" t="str">
        <f>IF(OR(E1498="",E1498="!!!",F1498="NEW"),"",INDEX(J$1:J1497,SUMPRODUCT(MAX(ROW(E$1:E1497)*(E1498=E$1:E1497)))))</f>
        <v> </v>
      </c>
      <c r="L1498" s="26"/>
    </row>
    <row r="1499" spans="1:12">
      <c r="A1499" s="20" t="s">
        <v>474</v>
      </c>
      <c r="B1499" s="27" t="s">
        <v>381</v>
      </c>
      <c r="C1499" s="27" t="s">
        <v>279</v>
      </c>
      <c r="E1499" s="21">
        <f>IF(D1499="?OLD","!!!","")</f>
        <v/>
      </c>
      <c r="F1499" s="22" t="str">
        <f>IF(OR(E1499="",E1499="!!!"),"",IF(NOT(ISNA(VLOOKUP(E1499,E$1:E1498,1,FALSE()))),"OLD",IF(AND(E1499&lt;&gt;"",E1499&lt;&gt;"!!!"),"NEW","")))</f>
        <v> </v>
      </c>
      <c r="G1499" s="23" t="str">
        <f>IF(OR(E1499="",E1499="!!!"),"",IF(OR(J1499=0,AND(J1499=1,K1499=1),AND(J1499=1,I1499="SBJ"),AND(J1499=1,I1499=0)),"?IN_FOCUS",IF(J1499&lt;=2,"?ACTIVATED",IF(J1499&lt;&gt;"","?FAMILIAR",IF(F1499="NEW",IF(ISNA(VLOOKUP(E1499,#REF!,1,FALSE())),"?TYPE_IDENTIFIABLE","?REFERENTIAL"),"_")))))</f>
        <v> </v>
      </c>
      <c r="H1499" s="24" t="str">
        <f>IF(J1499&lt;&gt;1,"",IF(I1499="SBJ","CB","?"))</f>
        <v> </v>
      </c>
      <c r="I1499" s="25" t="str">
        <f>IF(OR(E1499="",E1499="!!!",F1499="NEW"),"",INDEX(B1498:B$2,-1+SUMPRODUCT(MAX(ROW(E1498:E$2)*(E1499=E1498:E$2)))))</f>
        <v> </v>
      </c>
      <c r="J1499" s="25" t="str">
        <f>IF(OR(E1499="",E1499="!!!",F1499="NEW"),"",COUNTBLANK(OFFSET(A$1,,,SUMPRODUCT(MAX(ROW(E$2:E1499)*(E1499=E$2:E1499)))))-COUNTBLANK(OFFSET(A$1,,,SUMPRODUCT(MAX(ROW(E$1:E1498)*(E2=E$1:E1498))))))</f>
        <v> </v>
      </c>
      <c r="K1499" s="25" t="str">
        <f>IF(OR(E1499="",E1499="!!!",F1499="NEW"),"",INDEX(J$1:J1498,SUMPRODUCT(MAX(ROW(E$1:E1498)*(E1499=E$1:E1498)))))</f>
        <v> </v>
      </c>
      <c r="L1499" s="26"/>
    </row>
    <row r="1500" spans="1:12">
      <c r="A1500" s="20" t="s">
        <v>276</v>
      </c>
      <c r="E1500" s="21">
        <f>IF(D1500="?OLD","!!!","")</f>
        <v/>
      </c>
      <c r="F1500" s="22" t="str">
        <f>IF(OR(E1500="",E1500="!!!"),"",IF(NOT(ISNA(VLOOKUP(E1500,E$1:E1499,1,FALSE()))),"OLD",IF(AND(E1500&lt;&gt;"",E1500&lt;&gt;"!!!"),"NEW","")))</f>
        <v> </v>
      </c>
      <c r="G1500" s="23" t="str">
        <f>IF(OR(E1500="",E1500="!!!"),"",IF(OR(J1500=0,AND(J1500=1,K1500=1),AND(J1500=1,I1500="SBJ"),AND(J1500=1,I1500=0)),"?IN_FOCUS",IF(J1500&lt;=2,"?ACTIVATED",IF(J1500&lt;&gt;"","?FAMILIAR",IF(F1500="NEW",IF(ISNA(VLOOKUP(E1500,#REF!,1,FALSE())),"?TYPE_IDENTIFIABLE","?REFERENTIAL"),"_")))))</f>
        <v> </v>
      </c>
      <c r="H1500" s="24" t="str">
        <f>IF(J1500&lt;&gt;1,"",IF(I1500="SBJ","CB","?"))</f>
        <v> </v>
      </c>
      <c r="I1500" s="25" t="str">
        <f>IF(OR(E1500="",E1500="!!!",F1500="NEW"),"",INDEX(B1499:B$2,-1+SUMPRODUCT(MAX(ROW(E1499:E$2)*(E1500=E1499:E$2)))))</f>
        <v> </v>
      </c>
      <c r="J1500" s="25" t="str">
        <f>IF(OR(E1500="",E1500="!!!",F1500="NEW"),"",COUNTBLANK(OFFSET(A$1,,,SUMPRODUCT(MAX(ROW(E$2:E1500)*(E1500=E$2:E1500)))))-COUNTBLANK(OFFSET(A$1,,,SUMPRODUCT(MAX(ROW(E$1:E1499)*(E2=E$1:E1499))))))</f>
        <v> </v>
      </c>
      <c r="K1500" s="25" t="str">
        <f>IF(OR(E1500="",E1500="!!!",F1500="NEW"),"",INDEX(J$1:J1499,SUMPRODUCT(MAX(ROW(E$1:E1499)*(E1500=E$1:E1499)))))</f>
        <v> </v>
      </c>
      <c r="L1500" s="26"/>
    </row>
    <row r="1501" spans="1:12">
      <c r="A1501" s="20" t="s">
        <v>843</v>
      </c>
      <c r="E1501" s="21">
        <f>IF(D1501="?OLD","!!!","")</f>
        <v/>
      </c>
      <c r="F1501" s="22" t="str">
        <f>IF(OR(E1501="",E1501="!!!"),"",IF(NOT(ISNA(VLOOKUP(E1501,E$1:E1500,1,FALSE()))),"OLD",IF(AND(E1501&lt;&gt;"",E1501&lt;&gt;"!!!"),"NEW","")))</f>
        <v> </v>
      </c>
      <c r="G1501" s="23" t="str">
        <f>IF(OR(E1501="",E1501="!!!"),"",IF(OR(J1501=0,AND(J1501=1,K1501=1),AND(J1501=1,I1501="SBJ"),AND(J1501=1,I1501=0)),"?IN_FOCUS",IF(J1501&lt;=2,"?ACTIVATED",IF(J1501&lt;&gt;"","?FAMILIAR",IF(F1501="NEW",IF(ISNA(VLOOKUP(E1501,#REF!,1,FALSE())),"?TYPE_IDENTIFIABLE","?REFERENTIAL"),"_")))))</f>
        <v> </v>
      </c>
      <c r="H1501" s="24" t="str">
        <f>IF(J1501&lt;&gt;1,"",IF(I1501="SBJ","CB","?"))</f>
        <v> </v>
      </c>
      <c r="I1501" s="25" t="str">
        <f>IF(OR(E1501="",E1501="!!!",F1501="NEW"),"",INDEX(B1500:B$2,-1+SUMPRODUCT(MAX(ROW(E1500:E$2)*(E1501=E1500:E$2)))))</f>
        <v> </v>
      </c>
      <c r="J1501" s="25" t="str">
        <f>IF(OR(E1501="",E1501="!!!",F1501="NEW"),"",COUNTBLANK(OFFSET(A$1,,,SUMPRODUCT(MAX(ROW(E$2:E1501)*(E1501=E$2:E1501)))))-COUNTBLANK(OFFSET(A$1,,,SUMPRODUCT(MAX(ROW(E$1:E1500)*(E2=E$1:E1500))))))</f>
        <v> </v>
      </c>
      <c r="K1501" s="25" t="str">
        <f>IF(OR(E1501="",E1501="!!!",F1501="NEW"),"",INDEX(J$1:J1500,SUMPRODUCT(MAX(ROW(E$1:E1500)*(E1501=E$1:E1500)))))</f>
        <v> </v>
      </c>
      <c r="L1501" s="26"/>
    </row>
    <row r="1502" spans="1:12">
      <c r="A1502" s="20" t="s">
        <v>11</v>
      </c>
      <c r="E1502" s="21">
        <f>IF(D1502="?OLD","!!!","")</f>
        <v/>
      </c>
      <c r="F1502" s="22" t="str">
        <f>IF(OR(E1502="",E1502="!!!"),"",IF(NOT(ISNA(VLOOKUP(E1502,E$1:E1501,1,FALSE()))),"OLD",IF(AND(E1502&lt;&gt;"",E1502&lt;&gt;"!!!"),"NEW","")))</f>
        <v> </v>
      </c>
      <c r="G1502" s="23" t="str">
        <f>IF(OR(E1502="",E1502="!!!"),"",IF(OR(J1502=0,AND(J1502=1,K1502=1),AND(J1502=1,I1502="SBJ"),AND(J1502=1,I1502=0)),"?IN_FOCUS",IF(J1502&lt;=2,"?ACTIVATED",IF(J1502&lt;&gt;"","?FAMILIAR",IF(F1502="NEW",IF(ISNA(VLOOKUP(E1502,#REF!,1,FALSE())),"?TYPE_IDENTIFIABLE","?REFERENTIAL"),"_")))))</f>
        <v> </v>
      </c>
      <c r="H1502" s="24" t="str">
        <f>IF(J1502&lt;&gt;1,"",IF(I1502="SBJ","CB","?"))</f>
        <v> </v>
      </c>
      <c r="I1502" s="25" t="str">
        <f>IF(OR(E1502="",E1502="!!!",F1502="NEW"),"",INDEX(B1501:B$2,-1+SUMPRODUCT(MAX(ROW(E1501:E$2)*(E1502=E1501:E$2)))))</f>
        <v> </v>
      </c>
      <c r="J1502" s="25" t="str">
        <f>IF(OR(E1502="",E1502="!!!",F1502="NEW"),"",COUNTBLANK(OFFSET(A$1,,,SUMPRODUCT(MAX(ROW(E$2:E1502)*(E1502=E$2:E1502)))))-COUNTBLANK(OFFSET(A$1,,,SUMPRODUCT(MAX(ROW(E$1:E1501)*(E2=E$1:E1501))))))</f>
        <v> </v>
      </c>
      <c r="K1502" s="25" t="str">
        <f>IF(OR(E1502="",E1502="!!!",F1502="NEW"),"",INDEX(J$1:J1501,SUMPRODUCT(MAX(ROW(E$1:E1501)*(E1502=E$1:E1501)))))</f>
        <v> </v>
      </c>
      <c r="L1502" s="26"/>
    </row>
    <row r="1503" spans="1:12">
      <c r="A1503" s="20" t="s">
        <v>318</v>
      </c>
      <c r="E1503" s="21">
        <f>IF(D1503="?OLD","!!!","")</f>
        <v/>
      </c>
      <c r="F1503" s="22" t="str">
        <f>IF(OR(E1503="",E1503="!!!"),"",IF(NOT(ISNA(VLOOKUP(E1503,E$1:E1502,1,FALSE()))),"OLD",IF(AND(E1503&lt;&gt;"",E1503&lt;&gt;"!!!"),"NEW","")))</f>
        <v> </v>
      </c>
      <c r="G1503" s="23" t="str">
        <f>IF(OR(E1503="",E1503="!!!"),"",IF(OR(J1503=0,AND(J1503=1,K1503=1),AND(J1503=1,I1503="SBJ"),AND(J1503=1,I1503=0)),"?IN_FOCUS",IF(J1503&lt;=2,"?ACTIVATED",IF(J1503&lt;&gt;"","?FAMILIAR",IF(F1503="NEW",IF(ISNA(VLOOKUP(E1503,#REF!,1,FALSE())),"?TYPE_IDENTIFIABLE","?REFERENTIAL"),"_")))))</f>
        <v> </v>
      </c>
      <c r="H1503" s="24" t="str">
        <f>IF(J1503&lt;&gt;1,"",IF(I1503="SBJ","CB","?"))</f>
        <v> </v>
      </c>
      <c r="I1503" s="25" t="str">
        <f>IF(OR(E1503="",E1503="!!!",F1503="NEW"),"",INDEX(B1502:B$2,-1+SUMPRODUCT(MAX(ROW(E1502:E$2)*(E1503=E1502:E$2)))))</f>
        <v> </v>
      </c>
      <c r="J1503" s="25" t="str">
        <f>IF(OR(E1503="",E1503="!!!",F1503="NEW"),"",COUNTBLANK(OFFSET(A$1,,,SUMPRODUCT(MAX(ROW(E$2:E1503)*(E1503=E$2:E1503)))))-COUNTBLANK(OFFSET(A$1,,,SUMPRODUCT(MAX(ROW(E$1:E1502)*(E2=E$1:E1502))))))</f>
        <v> </v>
      </c>
      <c r="K1503" s="25" t="str">
        <f>IF(OR(E1503="",E1503="!!!",F1503="NEW"),"",INDEX(J$1:J1502,SUMPRODUCT(MAX(ROW(E$1:E1502)*(E1503=E$1:E1502)))))</f>
        <v> </v>
      </c>
      <c r="L1503" s="26"/>
    </row>
    <row r="1504" spans="1:12">
      <c r="A1504" s="20" t="s">
        <v>825</v>
      </c>
      <c r="B1504" s="27" t="s">
        <v>262</v>
      </c>
      <c r="C1504" s="27" t="s">
        <v>281</v>
      </c>
      <c r="E1504" s="21">
        <f>IF(D1504="?OLD","!!!","")</f>
        <v/>
      </c>
      <c r="F1504" s="22" t="str">
        <f>IF(OR(E1504="",E1504="!!!"),"",IF(NOT(ISNA(VLOOKUP(E1504,E$1:E1503,1,FALSE()))),"OLD",IF(AND(E1504&lt;&gt;"",E1504&lt;&gt;"!!!"),"NEW","")))</f>
        <v> </v>
      </c>
      <c r="G1504" s="23" t="str">
        <f>IF(OR(E1504="",E1504="!!!"),"",IF(OR(J1504=0,AND(J1504=1,K1504=1),AND(J1504=1,I1504="SBJ"),AND(J1504=1,I1504=0)),"?IN_FOCUS",IF(J1504&lt;=2,"?ACTIVATED",IF(J1504&lt;&gt;"","?FAMILIAR",IF(F1504="NEW",IF(ISNA(VLOOKUP(E1504,#REF!,1,FALSE())),"?TYPE_IDENTIFIABLE","?REFERENTIAL"),"_")))))</f>
        <v> </v>
      </c>
      <c r="H1504" s="24" t="str">
        <f>IF(J1504&lt;&gt;1,"",IF(I1504="SBJ","CB","?"))</f>
        <v> </v>
      </c>
      <c r="I1504" s="25" t="str">
        <f>IF(OR(E1504="",E1504="!!!",F1504="NEW"),"",INDEX(B1503:B$2,-1+SUMPRODUCT(MAX(ROW(E1503:E$2)*(E1504=E1503:E$2)))))</f>
        <v> </v>
      </c>
      <c r="J1504" s="25" t="str">
        <f>IF(OR(E1504="",E1504="!!!",F1504="NEW"),"",COUNTBLANK(OFFSET(A$1,,,SUMPRODUCT(MAX(ROW(E$2:E1504)*(E1504=E$2:E1504)))))-COUNTBLANK(OFFSET(A$1,,,SUMPRODUCT(MAX(ROW(E$1:E1503)*(E2=E$1:E1503))))))</f>
        <v> </v>
      </c>
      <c r="K1504" s="25" t="str">
        <f>IF(OR(E1504="",E1504="!!!",F1504="NEW"),"",INDEX(J$1:J1503,SUMPRODUCT(MAX(ROW(E$1:E1503)*(E1504=E$1:E1503)))))</f>
        <v> </v>
      </c>
      <c r="L1504" s="26"/>
    </row>
    <row r="1505" spans="1:12">
      <c r="A1505" s="20" t="s">
        <v>285</v>
      </c>
      <c r="E1505" s="21">
        <f>IF(D1505="?OLD","!!!","")</f>
        <v/>
      </c>
      <c r="F1505" s="22" t="str">
        <f>IF(OR(E1505="",E1505="!!!"),"",IF(NOT(ISNA(VLOOKUP(E1505,E$1:E1504,1,FALSE()))),"OLD",IF(AND(E1505&lt;&gt;"",E1505&lt;&gt;"!!!"),"NEW","")))</f>
        <v> </v>
      </c>
      <c r="G1505" s="23" t="str">
        <f>IF(OR(E1505="",E1505="!!!"),"",IF(OR(J1505=0,AND(J1505=1,K1505=1),AND(J1505=1,I1505="SBJ"),AND(J1505=1,I1505=0)),"?IN_FOCUS",IF(J1505&lt;=2,"?ACTIVATED",IF(J1505&lt;&gt;"","?FAMILIAR",IF(F1505="NEW",IF(ISNA(VLOOKUP(E1505,#REF!,1,FALSE())),"?TYPE_IDENTIFIABLE","?REFERENTIAL"),"_")))))</f>
        <v> </v>
      </c>
      <c r="H1505" s="24" t="str">
        <f>IF(J1505&lt;&gt;1,"",IF(I1505="SBJ","CB","?"))</f>
        <v> </v>
      </c>
      <c r="I1505" s="25" t="str">
        <f>IF(OR(E1505="",E1505="!!!",F1505="NEW"),"",INDEX(B1504:B$2,-1+SUMPRODUCT(MAX(ROW(E1504:E$2)*(E1505=E1504:E$2)))))</f>
        <v> </v>
      </c>
      <c r="J1505" s="25" t="str">
        <f>IF(OR(E1505="",E1505="!!!",F1505="NEW"),"",COUNTBLANK(OFFSET(A$1,,,SUMPRODUCT(MAX(ROW(E$2:E1505)*(E1505=E$2:E1505)))))-COUNTBLANK(OFFSET(A$1,,,SUMPRODUCT(MAX(ROW(E$1:E1504)*(E2=E$1:E1504))))))</f>
        <v> </v>
      </c>
      <c r="K1505" s="25" t="str">
        <f>IF(OR(E1505="",E1505="!!!",F1505="NEW"),"",INDEX(J$1:J1504,SUMPRODUCT(MAX(ROW(E$1:E1504)*(E1505=E$1:E1504)))))</f>
        <v> </v>
      </c>
      <c r="L1505" s="26"/>
    </row>
    <row r="1506" spans="1:12">
      <c r="A1506" s="20"/>
    </row>
    <row r="1507" spans="1:12">
      <c r="A1507" s="20" t="s">
        <v>844</v>
      </c>
    </row>
    <row r="1508" spans="1:12">
      <c r="A1508" s="20" t="s">
        <v>758</v>
      </c>
      <c r="B1508" s="27" t="s">
        <v>255</v>
      </c>
      <c r="C1508" s="27" t="s">
        <v>256</v>
      </c>
      <c r="D1508" s="27" t="s">
        <v>244</v>
      </c>
      <c r="E1508" s="21">
        <f>IF(D1508="?OLD","!!!","")</f>
        <v/>
      </c>
      <c r="F1508" s="22" t="str">
        <f>IF(OR(E1508="",E1508="!!!"),"",IF(NOT(ISNA(VLOOKUP(E1508,E$1:E1507,1,FALSE()))),"OLD",IF(AND(E1508&lt;&gt;"",E1508&lt;&gt;"!!!"),"NEW","")))</f>
        <v> </v>
      </c>
      <c r="G1508" s="23" t="str">
        <f>IF(OR(E1508="",E1508="!!!"),"",IF(OR(J1508=0,AND(J1508=1,K1508=1),AND(J1508=1,I1508="SBJ"),AND(J1508=1,I1508=0)),"?IN_FOCUS",IF(J1508&lt;=2,"?ACTIVATED",IF(J1508&lt;&gt;"","?FAMILIAR",IF(F1508="NEW",IF(ISNA(VLOOKUP(E1508,#REF!,1,FALSE())),"?TYPE_IDENTIFIABLE","?REFERENTIAL"),"_")))))</f>
        <v> </v>
      </c>
      <c r="H1508" s="24" t="str">
        <f>IF(J1508&lt;&gt;1,"",IF(I1508="SBJ","CB","?"))</f>
        <v> </v>
      </c>
      <c r="I1508" s="25" t="str">
        <f>IF(OR(E1508="",E1508="!!!",F1508="NEW"),"",INDEX(B1507:B$2,-1+SUMPRODUCT(MAX(ROW(E1507:E$2)*(E1508=E1507:E$2)))))</f>
        <v> </v>
      </c>
      <c r="J1508" s="25" t="str">
        <f>IF(OR(E1508="",E1508="!!!",F1508="NEW"),"",COUNTBLANK(OFFSET(A$1,,,SUMPRODUCT(MAX(ROW(E$2:E1508)*(E1508=E$2:E1508)))))-COUNTBLANK(OFFSET(A$1,,,SUMPRODUCT(MAX(ROW(E$1:E1507)*(E2=E$1:E1507))))))</f>
        <v> </v>
      </c>
      <c r="K1508" s="25" t="str">
        <f>IF(OR(E1508="",E1508="!!!",F1508="NEW"),"",INDEX(J$1:J1507,SUMPRODUCT(MAX(ROW(E$1:E1507)*(E1508=E$1:E1507)))))</f>
        <v> </v>
      </c>
      <c r="L1508" s="26"/>
    </row>
    <row r="1509" spans="1:12">
      <c r="A1509" s="20" t="s">
        <v>447</v>
      </c>
      <c r="E1509" s="21">
        <f>IF(D1509="?OLD","!!!","")</f>
        <v/>
      </c>
      <c r="F1509" s="22" t="str">
        <f>IF(OR(E1509="",E1509="!!!"),"",IF(NOT(ISNA(VLOOKUP(E1509,E$1:E1508,1,FALSE()))),"OLD",IF(AND(E1509&lt;&gt;"",E1509&lt;&gt;"!!!"),"NEW","")))</f>
        <v> </v>
      </c>
      <c r="G1509" s="23" t="str">
        <f>IF(OR(E1509="",E1509="!!!"),"",IF(OR(J1509=0,AND(J1509=1,K1509=1),AND(J1509=1,I1509="SBJ"),AND(J1509=1,I1509=0)),"?IN_FOCUS",IF(J1509&lt;=2,"?ACTIVATED",IF(J1509&lt;&gt;"","?FAMILIAR",IF(F1509="NEW",IF(ISNA(VLOOKUP(E1509,#REF!,1,FALSE())),"?TYPE_IDENTIFIABLE","?REFERENTIAL"),"_")))))</f>
        <v> </v>
      </c>
      <c r="H1509" s="24" t="str">
        <f>IF(J1509&lt;&gt;1,"",IF(I1509="SBJ","CB","?"))</f>
        <v> </v>
      </c>
      <c r="I1509" s="25" t="str">
        <f>IF(OR(E1509="",E1509="!!!",F1509="NEW"),"",INDEX(B1508:B$2,-1+SUMPRODUCT(MAX(ROW(E1508:E$2)*(E1509=E1508:E$2)))))</f>
        <v> </v>
      </c>
      <c r="J1509" s="25" t="str">
        <f>IF(OR(E1509="",E1509="!!!",F1509="NEW"),"",COUNTBLANK(OFFSET(A$1,,,SUMPRODUCT(MAX(ROW(E$2:E1509)*(E1509=E$2:E1509)))))-COUNTBLANK(OFFSET(A$1,,,SUMPRODUCT(MAX(ROW(E$1:E1508)*(E2=E$1:E1508))))))</f>
        <v> </v>
      </c>
      <c r="K1509" s="25" t="str">
        <f>IF(OR(E1509="",E1509="!!!",F1509="NEW"),"",INDEX(J$1:J1508,SUMPRODUCT(MAX(ROW(E$1:E1508)*(E1509=E$1:E1508)))))</f>
        <v> </v>
      </c>
      <c r="L1509" s="26"/>
    </row>
    <row r="1510" spans="1:12">
      <c r="A1510" s="20" t="s">
        <v>371</v>
      </c>
      <c r="B1510" s="27" t="s">
        <v>251</v>
      </c>
      <c r="C1510" s="27" t="s">
        <v>256</v>
      </c>
      <c r="D1510" s="27" t="s">
        <v>244</v>
      </c>
      <c r="E1510" s="21">
        <f>IF(D1510="?OLD","!!!","")</f>
        <v/>
      </c>
      <c r="F1510" s="22" t="str">
        <f>IF(OR(E1510="",E1510="!!!"),"",IF(NOT(ISNA(VLOOKUP(E1510,E$1:E1509,1,FALSE()))),"OLD",IF(AND(E1510&lt;&gt;"",E1510&lt;&gt;"!!!"),"NEW","")))</f>
        <v> </v>
      </c>
      <c r="G1510" s="23" t="str">
        <f>IF(OR(E1510="",E1510="!!!"),"",IF(OR(J1510=0,AND(J1510=1,K1510=1),AND(J1510=1,I1510="SBJ"),AND(J1510=1,I1510=0)),"?IN_FOCUS",IF(J1510&lt;=2,"?ACTIVATED",IF(J1510&lt;&gt;"","?FAMILIAR",IF(F1510="NEW",IF(ISNA(VLOOKUP(E1510,#REF!,1,FALSE())),"?TYPE_IDENTIFIABLE","?REFERENTIAL"),"_")))))</f>
        <v> </v>
      </c>
      <c r="H1510" s="24" t="str">
        <f>IF(J1510&lt;&gt;1,"",IF(I1510="SBJ","CB","?"))</f>
        <v> </v>
      </c>
      <c r="I1510" s="25" t="str">
        <f>IF(OR(E1510="",E1510="!!!",F1510="NEW"),"",INDEX(B1509:B$2,-1+SUMPRODUCT(MAX(ROW(E1509:E$2)*(E1510=E1509:E$2)))))</f>
        <v> </v>
      </c>
      <c r="J1510" s="25" t="str">
        <f>IF(OR(E1510="",E1510="!!!",F1510="NEW"),"",COUNTBLANK(OFFSET(A$1,,,SUMPRODUCT(MAX(ROW(E$2:E1510)*(E1510=E$2:E1510)))))-COUNTBLANK(OFFSET(A$1,,,SUMPRODUCT(MAX(ROW(E$1:E1509)*(E2=E$1:E1509))))))</f>
        <v> </v>
      </c>
      <c r="K1510" s="25" t="str">
        <f>IF(OR(E1510="",E1510="!!!",F1510="NEW"),"",INDEX(J$1:J1509,SUMPRODUCT(MAX(ROW(E$1:E1509)*(E1510=E$1:E1509)))))</f>
        <v> </v>
      </c>
      <c r="L1510" s="26"/>
    </row>
    <row r="1511" spans="1:12">
      <c r="A1511" s="20" t="s">
        <v>516</v>
      </c>
      <c r="E1511" s="21">
        <f>IF(D1511="?OLD","!!!","")</f>
        <v/>
      </c>
      <c r="F1511" s="22" t="str">
        <f>IF(OR(E1511="",E1511="!!!"),"",IF(NOT(ISNA(VLOOKUP(E1511,E$1:E1510,1,FALSE()))),"OLD",IF(AND(E1511&lt;&gt;"",E1511&lt;&gt;"!!!"),"NEW","")))</f>
        <v> </v>
      </c>
      <c r="G1511" s="23" t="str">
        <f>IF(OR(E1511="",E1511="!!!"),"",IF(OR(J1511=0,AND(J1511=1,K1511=1),AND(J1511=1,I1511="SBJ"),AND(J1511=1,I1511=0)),"?IN_FOCUS",IF(J1511&lt;=2,"?ACTIVATED",IF(J1511&lt;&gt;"","?FAMILIAR",IF(F1511="NEW",IF(ISNA(VLOOKUP(E1511,#REF!,1,FALSE())),"?TYPE_IDENTIFIABLE","?REFERENTIAL"),"_")))))</f>
        <v> </v>
      </c>
      <c r="H1511" s="24" t="str">
        <f>IF(J1511&lt;&gt;1,"",IF(I1511="SBJ","CB","?"))</f>
        <v> </v>
      </c>
      <c r="I1511" s="25" t="str">
        <f>IF(OR(E1511="",E1511="!!!",F1511="NEW"),"",INDEX(B1510:B$2,-1+SUMPRODUCT(MAX(ROW(E1510:E$2)*(E1511=E1510:E$2)))))</f>
        <v> </v>
      </c>
      <c r="J1511" s="25" t="str">
        <f>IF(OR(E1511="",E1511="!!!",F1511="NEW"),"",COUNTBLANK(OFFSET(A$1,,,SUMPRODUCT(MAX(ROW(E$2:E1511)*(E1511=E$2:E1511)))))-COUNTBLANK(OFFSET(A$1,,,SUMPRODUCT(MAX(ROW(E$1:E1510)*(E2=E$1:E1510))))))</f>
        <v> </v>
      </c>
      <c r="K1511" s="25" t="str">
        <f>IF(OR(E1511="",E1511="!!!",F1511="NEW"),"",INDEX(J$1:J1510,SUMPRODUCT(MAX(ROW(E$1:E1510)*(E1511=E$1:E1510)))))</f>
        <v> </v>
      </c>
      <c r="L1511" s="26"/>
    </row>
    <row r="1512" spans="1:12">
      <c r="A1512" s="20" t="s">
        <v>321</v>
      </c>
      <c r="E1512" s="21">
        <f>IF(D1512="?OLD","!!!","")</f>
        <v/>
      </c>
      <c r="F1512" s="22" t="str">
        <f>IF(OR(E1512="",E1512="!!!"),"",IF(NOT(ISNA(VLOOKUP(E1512,E$1:E1511,1,FALSE()))),"OLD",IF(AND(E1512&lt;&gt;"",E1512&lt;&gt;"!!!"),"NEW","")))</f>
        <v> </v>
      </c>
      <c r="G1512" s="23" t="str">
        <f>IF(OR(E1512="",E1512="!!!"),"",IF(OR(J1512=0,AND(J1512=1,K1512=1),AND(J1512=1,I1512="SBJ"),AND(J1512=1,I1512=0)),"?IN_FOCUS",IF(J1512&lt;=2,"?ACTIVATED",IF(J1512&lt;&gt;"","?FAMILIAR",IF(F1512="NEW",IF(ISNA(VLOOKUP(E1512,#REF!,1,FALSE())),"?TYPE_IDENTIFIABLE","?REFERENTIAL"),"_")))))</f>
        <v> </v>
      </c>
      <c r="H1512" s="24" t="str">
        <f>IF(J1512&lt;&gt;1,"",IF(I1512="SBJ","CB","?"))</f>
        <v> </v>
      </c>
      <c r="I1512" s="25" t="str">
        <f>IF(OR(E1512="",E1512="!!!",F1512="NEW"),"",INDEX(B1511:B$2,-1+SUMPRODUCT(MAX(ROW(E1511:E$2)*(E1512=E1511:E$2)))))</f>
        <v> </v>
      </c>
      <c r="J1512" s="25" t="str">
        <f>IF(OR(E1512="",E1512="!!!",F1512="NEW"),"",COUNTBLANK(OFFSET(A$1,,,SUMPRODUCT(MAX(ROW(E$2:E1512)*(E1512=E$2:E1512)))))-COUNTBLANK(OFFSET(A$1,,,SUMPRODUCT(MAX(ROW(E$1:E1511)*(E2=E$1:E1511))))))</f>
        <v> </v>
      </c>
      <c r="K1512" s="25" t="str">
        <f>IF(OR(E1512="",E1512="!!!",F1512="NEW"),"",INDEX(J$1:J1511,SUMPRODUCT(MAX(ROW(E$1:E1511)*(E1512=E$1:E1511)))))</f>
        <v> </v>
      </c>
      <c r="L1512" s="26"/>
    </row>
    <row r="1513" spans="1:12">
      <c r="A1513" s="20" t="s">
        <v>248</v>
      </c>
      <c r="E1513" s="21">
        <f>IF(D1513="?OLD","!!!","")</f>
        <v/>
      </c>
      <c r="F1513" s="22" t="str">
        <f>IF(OR(E1513="",E1513="!!!"),"",IF(NOT(ISNA(VLOOKUP(E1513,E$1:E1512,1,FALSE()))),"OLD",IF(AND(E1513&lt;&gt;"",E1513&lt;&gt;"!!!"),"NEW","")))</f>
        <v> </v>
      </c>
      <c r="G1513" s="23" t="str">
        <f>IF(OR(E1513="",E1513="!!!"),"",IF(OR(J1513=0,AND(J1513=1,K1513=1),AND(J1513=1,I1513="SBJ"),AND(J1513=1,I1513=0)),"?IN_FOCUS",IF(J1513&lt;=2,"?ACTIVATED",IF(J1513&lt;&gt;"","?FAMILIAR",IF(F1513="NEW",IF(ISNA(VLOOKUP(E1513,#REF!,1,FALSE())),"?TYPE_IDENTIFIABLE","?REFERENTIAL"),"_")))))</f>
        <v> </v>
      </c>
      <c r="H1513" s="24" t="str">
        <f>IF(J1513&lt;&gt;1,"",IF(I1513="SBJ","CB","?"))</f>
        <v> </v>
      </c>
      <c r="I1513" s="25" t="str">
        <f>IF(OR(E1513="",E1513="!!!",F1513="NEW"),"",INDEX(B1512:B$2,-1+SUMPRODUCT(MAX(ROW(E1512:E$2)*(E1513=E1512:E$2)))))</f>
        <v> </v>
      </c>
      <c r="J1513" s="25" t="str">
        <f>IF(OR(E1513="",E1513="!!!",F1513="NEW"),"",COUNTBLANK(OFFSET(A$1,,,SUMPRODUCT(MAX(ROW(E$2:E1513)*(E1513=E$2:E1513)))))-COUNTBLANK(OFFSET(A$1,,,SUMPRODUCT(MAX(ROW(E$1:E1512)*(E2=E$1:E1512))))))</f>
        <v> </v>
      </c>
      <c r="K1513" s="25" t="str">
        <f>IF(OR(E1513="",E1513="!!!",F1513="NEW"),"",INDEX(J$1:J1512,SUMPRODUCT(MAX(ROW(E$1:E1512)*(E1513=E$1:E1512)))))</f>
        <v> </v>
      </c>
      <c r="L1513" s="26"/>
    </row>
    <row r="1514" spans="1:12">
      <c r="A1514" s="20" t="s">
        <v>845</v>
      </c>
      <c r="E1514" s="21">
        <f>IF(D1514="?OLD","!!!","")</f>
        <v/>
      </c>
      <c r="F1514" s="22" t="str">
        <f>IF(OR(E1514="",E1514="!!!"),"",IF(NOT(ISNA(VLOOKUP(E1514,E$1:E1513,1,FALSE()))),"OLD",IF(AND(E1514&lt;&gt;"",E1514&lt;&gt;"!!!"),"NEW","")))</f>
        <v> </v>
      </c>
      <c r="G1514" s="23" t="str">
        <f>IF(OR(E1514="",E1514="!!!"),"",IF(OR(J1514=0,AND(J1514=1,K1514=1),AND(J1514=1,I1514="SBJ"),AND(J1514=1,I1514=0)),"?IN_FOCUS",IF(J1514&lt;=2,"?ACTIVATED",IF(J1514&lt;&gt;"","?FAMILIAR",IF(F1514="NEW",IF(ISNA(VLOOKUP(E1514,#REF!,1,FALSE())),"?TYPE_IDENTIFIABLE","?REFERENTIAL"),"_")))))</f>
        <v> </v>
      </c>
      <c r="H1514" s="24" t="str">
        <f>IF(J1514&lt;&gt;1,"",IF(I1514="SBJ","CB","?"))</f>
        <v> </v>
      </c>
      <c r="I1514" s="25" t="str">
        <f>IF(OR(E1514="",E1514="!!!",F1514="NEW"),"",INDEX(B1513:B$2,-1+SUMPRODUCT(MAX(ROW(E1513:E$2)*(E1514=E1513:E$2)))))</f>
        <v> </v>
      </c>
      <c r="J1514" s="25" t="str">
        <f>IF(OR(E1514="",E1514="!!!",F1514="NEW"),"",COUNTBLANK(OFFSET(A$1,,,SUMPRODUCT(MAX(ROW(E$2:E1514)*(E1514=E$2:E1514)))))-COUNTBLANK(OFFSET(A$1,,,SUMPRODUCT(MAX(ROW(E$1:E1513)*(E2=E$1:E1513))))))</f>
        <v> </v>
      </c>
      <c r="K1514" s="25" t="str">
        <f>IF(OR(E1514="",E1514="!!!",F1514="NEW"),"",INDEX(J$1:J1513,SUMPRODUCT(MAX(ROW(E$1:E1513)*(E1514=E$1:E1513)))))</f>
        <v> </v>
      </c>
      <c r="L1514" s="26"/>
    </row>
    <row r="1515" spans="1:12">
      <c r="A1515" s="20" t="s">
        <v>846</v>
      </c>
      <c r="B1515" s="27" t="s">
        <v>237</v>
      </c>
      <c r="C1515" s="27" t="s">
        <v>252</v>
      </c>
      <c r="D1515" s="27" t="s">
        <v>244</v>
      </c>
      <c r="E1515" s="21">
        <f>IF(D1515="?OLD","!!!","")</f>
        <v/>
      </c>
      <c r="F1515" s="22" t="str">
        <f>IF(OR(E1515="",E1515="!!!"),"",IF(NOT(ISNA(VLOOKUP(E1515,E$1:E1514,1,FALSE()))),"OLD",IF(AND(E1515&lt;&gt;"",E1515&lt;&gt;"!!!"),"NEW","")))</f>
        <v> </v>
      </c>
      <c r="G1515" s="23" t="str">
        <f>IF(OR(E1515="",E1515="!!!"),"",IF(OR(J1515=0,AND(J1515=1,K1515=1),AND(J1515=1,I1515="SBJ"),AND(J1515=1,I1515=0)),"?IN_FOCUS",IF(J1515&lt;=2,"?ACTIVATED",IF(J1515&lt;&gt;"","?FAMILIAR",IF(F1515="NEW",IF(ISNA(VLOOKUP(E1515,#REF!,1,FALSE())),"?TYPE_IDENTIFIABLE","?REFERENTIAL"),"_")))))</f>
        <v> </v>
      </c>
      <c r="H1515" s="24" t="str">
        <f>IF(J1515&lt;&gt;1,"",IF(I1515="SBJ","CB","?"))</f>
        <v> </v>
      </c>
      <c r="I1515" s="25" t="str">
        <f>IF(OR(E1515="",E1515="!!!",F1515="NEW"),"",INDEX(B1514:B$2,-1+SUMPRODUCT(MAX(ROW(E1514:E$2)*(E1515=E1514:E$2)))))</f>
        <v> </v>
      </c>
      <c r="J1515" s="25" t="str">
        <f>IF(OR(E1515="",E1515="!!!",F1515="NEW"),"",COUNTBLANK(OFFSET(A$1,,,SUMPRODUCT(MAX(ROW(E$2:E1515)*(E1515=E$2:E1515)))))-COUNTBLANK(OFFSET(A$1,,,SUMPRODUCT(MAX(ROW(E$1:E1514)*(E2=E$1:E1514))))))</f>
        <v> </v>
      </c>
      <c r="K1515" s="25" t="str">
        <f>IF(OR(E1515="",E1515="!!!",F1515="NEW"),"",INDEX(J$1:J1514,SUMPRODUCT(MAX(ROW(E$1:E1514)*(E1515=E$1:E1514)))))</f>
        <v> </v>
      </c>
      <c r="L1515" s="26"/>
    </row>
    <row r="1516" spans="1:12">
      <c r="A1516" s="20" t="s">
        <v>260</v>
      </c>
      <c r="E1516" s="21">
        <f>IF(D1516="?OLD","!!!","")</f>
        <v/>
      </c>
      <c r="F1516" s="22" t="str">
        <f>IF(OR(E1516="",E1516="!!!"),"",IF(NOT(ISNA(VLOOKUP(E1516,E$1:E1515,1,FALSE()))),"OLD",IF(AND(E1516&lt;&gt;"",E1516&lt;&gt;"!!!"),"NEW","")))</f>
        <v> </v>
      </c>
      <c r="G1516" s="23" t="str">
        <f>IF(OR(E1516="",E1516="!!!"),"",IF(OR(J1516=0,AND(J1516=1,K1516=1),AND(J1516=1,I1516="SBJ"),AND(J1516=1,I1516=0)),"?IN_FOCUS",IF(J1516&lt;=2,"?ACTIVATED",IF(J1516&lt;&gt;"","?FAMILIAR",IF(F1516="NEW",IF(ISNA(VLOOKUP(E1516,#REF!,1,FALSE())),"?TYPE_IDENTIFIABLE","?REFERENTIAL"),"_")))))</f>
        <v> </v>
      </c>
      <c r="H1516" s="24" t="str">
        <f>IF(J1516&lt;&gt;1,"",IF(I1516="SBJ","CB","?"))</f>
        <v> </v>
      </c>
      <c r="I1516" s="25" t="str">
        <f>IF(OR(E1516="",E1516="!!!",F1516="NEW"),"",INDEX(B1515:B$2,-1+SUMPRODUCT(MAX(ROW(E1515:E$2)*(E1516=E1515:E$2)))))</f>
        <v> </v>
      </c>
      <c r="J1516" s="25" t="str">
        <f>IF(OR(E1516="",E1516="!!!",F1516="NEW"),"",COUNTBLANK(OFFSET(A$1,,,SUMPRODUCT(MAX(ROW(E$2:E1516)*(E1516=E$2:E1516)))))-COUNTBLANK(OFFSET(A$1,,,SUMPRODUCT(MAX(ROW(E$1:E1515)*(E2=E$1:E1515))))))</f>
        <v> </v>
      </c>
      <c r="K1516" s="25" t="str">
        <f>IF(OR(E1516="",E1516="!!!",F1516="NEW"),"",INDEX(J$1:J1515,SUMPRODUCT(MAX(ROW(E$1:E1515)*(E1516=E$1:E1515)))))</f>
        <v> </v>
      </c>
      <c r="L1516" s="26"/>
    </row>
    <row r="1517" spans="1:12">
      <c r="A1517" s="20" t="s">
        <v>847</v>
      </c>
      <c r="E1517" s="21">
        <f>IF(D1517="?OLD","!!!","")</f>
        <v/>
      </c>
      <c r="F1517" s="22" t="str">
        <f>IF(OR(E1517="",E1517="!!!"),"",IF(NOT(ISNA(VLOOKUP(E1517,E$1:E1516,1,FALSE()))),"OLD",IF(AND(E1517&lt;&gt;"",E1517&lt;&gt;"!!!"),"NEW","")))</f>
        <v> </v>
      </c>
      <c r="G1517" s="23" t="str">
        <f>IF(OR(E1517="",E1517="!!!"),"",IF(OR(J1517=0,AND(J1517=1,K1517=1),AND(J1517=1,I1517="SBJ"),AND(J1517=1,I1517=0)),"?IN_FOCUS",IF(J1517&lt;=2,"?ACTIVATED",IF(J1517&lt;&gt;"","?FAMILIAR",IF(F1517="NEW",IF(ISNA(VLOOKUP(E1517,#REF!,1,FALSE())),"?TYPE_IDENTIFIABLE","?REFERENTIAL"),"_")))))</f>
        <v> </v>
      </c>
      <c r="H1517" s="24" t="str">
        <f>IF(J1517&lt;&gt;1,"",IF(I1517="SBJ","CB","?"))</f>
        <v> </v>
      </c>
      <c r="I1517" s="25" t="str">
        <f>IF(OR(E1517="",E1517="!!!",F1517="NEW"),"",INDEX(B1516:B$2,-1+SUMPRODUCT(MAX(ROW(E1516:E$2)*(E1517=E1516:E$2)))))</f>
        <v> </v>
      </c>
      <c r="J1517" s="25" t="str">
        <f>IF(OR(E1517="",E1517="!!!",F1517="NEW"),"",COUNTBLANK(OFFSET(A$1,,,SUMPRODUCT(MAX(ROW(E$2:E1517)*(E1517=E$2:E1517)))))-COUNTBLANK(OFFSET(A$1,,,SUMPRODUCT(MAX(ROW(E$1:E1516)*(E2=E$1:E1516))))))</f>
        <v> </v>
      </c>
      <c r="K1517" s="25" t="str">
        <f>IF(OR(E1517="",E1517="!!!",F1517="NEW"),"",INDEX(J$1:J1516,SUMPRODUCT(MAX(ROW(E$1:E1516)*(E1517=E$1:E1516)))))</f>
        <v> </v>
      </c>
      <c r="L1517" s="26"/>
    </row>
    <row r="1518" spans="1:12">
      <c r="A1518" s="20" t="s">
        <v>848</v>
      </c>
      <c r="E1518" s="21">
        <f>IF(D1518="?OLD","!!!","")</f>
        <v/>
      </c>
      <c r="F1518" s="22" t="str">
        <f>IF(OR(E1518="",E1518="!!!"),"",IF(NOT(ISNA(VLOOKUP(E1518,E$1:E1517,1,FALSE()))),"OLD",IF(AND(E1518&lt;&gt;"",E1518&lt;&gt;"!!!"),"NEW","")))</f>
        <v> </v>
      </c>
      <c r="G1518" s="23" t="str">
        <f>IF(OR(E1518="",E1518="!!!"),"",IF(OR(J1518=0,AND(J1518=1,K1518=1),AND(J1518=1,I1518="SBJ"),AND(J1518=1,I1518=0)),"?IN_FOCUS",IF(J1518&lt;=2,"?ACTIVATED",IF(J1518&lt;&gt;"","?FAMILIAR",IF(F1518="NEW",IF(ISNA(VLOOKUP(E1518,#REF!,1,FALSE())),"?TYPE_IDENTIFIABLE","?REFERENTIAL"),"_")))))</f>
        <v> </v>
      </c>
      <c r="H1518" s="24" t="str">
        <f>IF(J1518&lt;&gt;1,"",IF(I1518="SBJ","CB","?"))</f>
        <v> </v>
      </c>
      <c r="I1518" s="25" t="str">
        <f>IF(OR(E1518="",E1518="!!!",F1518="NEW"),"",INDEX(B1517:B$2,-1+SUMPRODUCT(MAX(ROW(E1517:E$2)*(E1518=E1517:E$2)))))</f>
        <v> </v>
      </c>
      <c r="J1518" s="25" t="str">
        <f>IF(OR(E1518="",E1518="!!!",F1518="NEW"),"",COUNTBLANK(OFFSET(A$1,,,SUMPRODUCT(MAX(ROW(E$2:E1518)*(E1518=E$2:E1518)))))-COUNTBLANK(OFFSET(A$1,,,SUMPRODUCT(MAX(ROW(E$1:E1517)*(E2=E$1:E1517))))))</f>
        <v> </v>
      </c>
      <c r="K1518" s="25" t="str">
        <f>IF(OR(E1518="",E1518="!!!",F1518="NEW"),"",INDEX(J$1:J1517,SUMPRODUCT(MAX(ROW(E$1:E1517)*(E1518=E$1:E1517)))))</f>
        <v> </v>
      </c>
      <c r="L1518" s="26"/>
    </row>
    <row r="1519" spans="1:12">
      <c r="A1519" s="20" t="s">
        <v>318</v>
      </c>
      <c r="E1519" s="21">
        <f>IF(D1519="?OLD","!!!","")</f>
        <v/>
      </c>
      <c r="F1519" s="22" t="str">
        <f>IF(OR(E1519="",E1519="!!!"),"",IF(NOT(ISNA(VLOOKUP(E1519,E$1:E1518,1,FALSE()))),"OLD",IF(AND(E1519&lt;&gt;"",E1519&lt;&gt;"!!!"),"NEW","")))</f>
        <v> </v>
      </c>
      <c r="G1519" s="23" t="str">
        <f>IF(OR(E1519="",E1519="!!!"),"",IF(OR(J1519=0,AND(J1519=1,K1519=1),AND(J1519=1,I1519="SBJ"),AND(J1519=1,I1519=0)),"?IN_FOCUS",IF(J1519&lt;=2,"?ACTIVATED",IF(J1519&lt;&gt;"","?FAMILIAR",IF(F1519="NEW",IF(ISNA(VLOOKUP(E1519,#REF!,1,FALSE())),"?TYPE_IDENTIFIABLE","?REFERENTIAL"),"_")))))</f>
        <v> </v>
      </c>
      <c r="H1519" s="24" t="str">
        <f>IF(J1519&lt;&gt;1,"",IF(I1519="SBJ","CB","?"))</f>
        <v> </v>
      </c>
      <c r="I1519" s="25" t="str">
        <f>IF(OR(E1519="",E1519="!!!",F1519="NEW"),"",INDEX(B1518:B$2,-1+SUMPRODUCT(MAX(ROW(E1518:E$2)*(E1519=E1518:E$2)))))</f>
        <v> </v>
      </c>
      <c r="J1519" s="25" t="str">
        <f>IF(OR(E1519="",E1519="!!!",F1519="NEW"),"",COUNTBLANK(OFFSET(A$1,,,SUMPRODUCT(MAX(ROW(E$2:E1519)*(E1519=E$2:E1519)))))-COUNTBLANK(OFFSET(A$1,,,SUMPRODUCT(MAX(ROW(E$1:E1518)*(E2=E$1:E1518))))))</f>
        <v> </v>
      </c>
      <c r="K1519" s="25" t="str">
        <f>IF(OR(E1519="",E1519="!!!",F1519="NEW"),"",INDEX(J$1:J1518,SUMPRODUCT(MAX(ROW(E$1:E1518)*(E1519=E$1:E1518)))))</f>
        <v> </v>
      </c>
      <c r="L1519" s="26"/>
    </row>
    <row r="1520" spans="1:12">
      <c r="A1520" s="20" t="s">
        <v>276</v>
      </c>
      <c r="E1520" s="21">
        <f>IF(D1520="?OLD","!!!","")</f>
        <v/>
      </c>
      <c r="F1520" s="22" t="str">
        <f>IF(OR(E1520="",E1520="!!!"),"",IF(NOT(ISNA(VLOOKUP(E1520,E$1:E1519,1,FALSE()))),"OLD",IF(AND(E1520&lt;&gt;"",E1520&lt;&gt;"!!!"),"NEW","")))</f>
        <v> </v>
      </c>
      <c r="G1520" s="23" t="str">
        <f>IF(OR(E1520="",E1520="!!!"),"",IF(OR(J1520=0,AND(J1520=1,K1520=1),AND(J1520=1,I1520="SBJ"),AND(J1520=1,I1520=0)),"?IN_FOCUS",IF(J1520&lt;=2,"?ACTIVATED",IF(J1520&lt;&gt;"","?FAMILIAR",IF(F1520="NEW",IF(ISNA(VLOOKUP(E1520,#REF!,1,FALSE())),"?TYPE_IDENTIFIABLE","?REFERENTIAL"),"_")))))</f>
        <v> </v>
      </c>
      <c r="H1520" s="24" t="str">
        <f>IF(J1520&lt;&gt;1,"",IF(I1520="SBJ","CB","?"))</f>
        <v> </v>
      </c>
      <c r="I1520" s="25" t="str">
        <f>IF(OR(E1520="",E1520="!!!",F1520="NEW"),"",INDEX(B1519:B$2,-1+SUMPRODUCT(MAX(ROW(E1519:E$2)*(E1520=E1519:E$2)))))</f>
        <v> </v>
      </c>
      <c r="J1520" s="25" t="str">
        <f>IF(OR(E1520="",E1520="!!!",F1520="NEW"),"",COUNTBLANK(OFFSET(A$1,,,SUMPRODUCT(MAX(ROW(E$2:E1520)*(E1520=E$2:E1520)))))-COUNTBLANK(OFFSET(A$1,,,SUMPRODUCT(MAX(ROW(E$1:E1519)*(E2=E$1:E1519))))))</f>
        <v> </v>
      </c>
      <c r="K1520" s="25" t="str">
        <f>IF(OR(E1520="",E1520="!!!",F1520="NEW"),"",INDEX(J$1:J1519,SUMPRODUCT(MAX(ROW(E$1:E1519)*(E1520=E$1:E1519)))))</f>
        <v> </v>
      </c>
      <c r="L1520" s="26"/>
    </row>
    <row r="1521" spans="1:12">
      <c r="A1521" s="20" t="s">
        <v>400</v>
      </c>
      <c r="E1521" s="21">
        <f>IF(D1521="?OLD","!!!","")</f>
        <v/>
      </c>
      <c r="F1521" s="22" t="str">
        <f>IF(OR(E1521="",E1521="!!!"),"",IF(NOT(ISNA(VLOOKUP(E1521,E$1:E1520,1,FALSE()))),"OLD",IF(AND(E1521&lt;&gt;"",E1521&lt;&gt;"!!!"),"NEW","")))</f>
        <v> </v>
      </c>
      <c r="G1521" s="23" t="str">
        <f>IF(OR(E1521="",E1521="!!!"),"",IF(OR(J1521=0,AND(J1521=1,K1521=1),AND(J1521=1,I1521="SBJ"),AND(J1521=1,I1521=0)),"?IN_FOCUS",IF(J1521&lt;=2,"?ACTIVATED",IF(J1521&lt;&gt;"","?FAMILIAR",IF(F1521="NEW",IF(ISNA(VLOOKUP(E1521,#REF!,1,FALSE())),"?TYPE_IDENTIFIABLE","?REFERENTIAL"),"_")))))</f>
        <v> </v>
      </c>
      <c r="H1521" s="24" t="str">
        <f>IF(J1521&lt;&gt;1,"",IF(I1521="SBJ","CB","?"))</f>
        <v> </v>
      </c>
      <c r="I1521" s="25" t="str">
        <f>IF(OR(E1521="",E1521="!!!",F1521="NEW"),"",INDEX(B1520:B$2,-1+SUMPRODUCT(MAX(ROW(E1520:E$2)*(E1521=E1520:E$2)))))</f>
        <v> </v>
      </c>
      <c r="J1521" s="25" t="str">
        <f>IF(OR(E1521="",E1521="!!!",F1521="NEW"),"",COUNTBLANK(OFFSET(A$1,,,SUMPRODUCT(MAX(ROW(E$2:E1521)*(E1521=E$2:E1521)))))-COUNTBLANK(OFFSET(A$1,,,SUMPRODUCT(MAX(ROW(E$1:E1520)*(E2=E$1:E1520))))))</f>
        <v> </v>
      </c>
      <c r="K1521" s="25" t="str">
        <f>IF(OR(E1521="",E1521="!!!",F1521="NEW"),"",INDEX(J$1:J1520,SUMPRODUCT(MAX(ROW(E$1:E1520)*(E1521=E$1:E1520)))))</f>
        <v> </v>
      </c>
      <c r="L1521" s="26"/>
    </row>
    <row r="1522" spans="1:12">
      <c r="A1522" s="20" t="s">
        <v>756</v>
      </c>
      <c r="B1522" s="27" t="s">
        <v>291</v>
      </c>
      <c r="C1522" s="27" t="s">
        <v>334</v>
      </c>
      <c r="D1522" s="27" t="s">
        <v>244</v>
      </c>
      <c r="E1522" s="21">
        <f>IF(D1522="?OLD","!!!","")</f>
        <v/>
      </c>
      <c r="F1522" s="22" t="str">
        <f>IF(OR(E1522="",E1522="!!!"),"",IF(NOT(ISNA(VLOOKUP(E1522,E$1:E1521,1,FALSE()))),"OLD",IF(AND(E1522&lt;&gt;"",E1522&lt;&gt;"!!!"),"NEW","")))</f>
        <v> </v>
      </c>
      <c r="G1522" s="23" t="str">
        <f>IF(OR(E1522="",E1522="!!!"),"",IF(OR(J1522=0,AND(J1522=1,K1522=1),AND(J1522=1,I1522="SBJ"),AND(J1522=1,I1522=0)),"?IN_FOCUS",IF(J1522&lt;=2,"?ACTIVATED",IF(J1522&lt;&gt;"","?FAMILIAR",IF(F1522="NEW",IF(ISNA(VLOOKUP(E1522,#REF!,1,FALSE())),"?TYPE_IDENTIFIABLE","?REFERENTIAL"),"_")))))</f>
        <v> </v>
      </c>
      <c r="H1522" s="24" t="str">
        <f>IF(J1522&lt;&gt;1,"",IF(I1522="SBJ","CB","?"))</f>
        <v> </v>
      </c>
      <c r="I1522" s="25" t="str">
        <f>IF(OR(E1522="",E1522="!!!",F1522="NEW"),"",INDEX(B1521:B$2,-1+SUMPRODUCT(MAX(ROW(E1521:E$2)*(E1522=E1521:E$2)))))</f>
        <v> </v>
      </c>
      <c r="J1522" s="25" t="str">
        <f>IF(OR(E1522="",E1522="!!!",F1522="NEW"),"",COUNTBLANK(OFFSET(A$1,,,SUMPRODUCT(MAX(ROW(E$2:E1522)*(E1522=E$2:E1522)))))-COUNTBLANK(OFFSET(A$1,,,SUMPRODUCT(MAX(ROW(E$1:E1521)*(E2=E$1:E1521))))))</f>
        <v> </v>
      </c>
      <c r="K1522" s="25" t="str">
        <f>IF(OR(E1522="",E1522="!!!",F1522="NEW"),"",INDEX(J$1:J1521,SUMPRODUCT(MAX(ROW(E$1:E1521)*(E1522=E$1:E1521)))))</f>
        <v> </v>
      </c>
      <c r="L1522" s="26"/>
    </row>
    <row r="1523" spans="1:12">
      <c r="A1523" s="20" t="s">
        <v>273</v>
      </c>
      <c r="E1523" s="21">
        <f>IF(D1523="?OLD","!!!","")</f>
        <v/>
      </c>
      <c r="F1523" s="22" t="str">
        <f>IF(OR(E1523="",E1523="!!!"),"",IF(NOT(ISNA(VLOOKUP(E1523,E$1:E1522,1,FALSE()))),"OLD",IF(AND(E1523&lt;&gt;"",E1523&lt;&gt;"!!!"),"NEW","")))</f>
        <v> </v>
      </c>
      <c r="G1523" s="23" t="str">
        <f>IF(OR(E1523="",E1523="!!!"),"",IF(OR(J1523=0,AND(J1523=1,K1523=1),AND(J1523=1,I1523="SBJ"),AND(J1523=1,I1523=0)),"?IN_FOCUS",IF(J1523&lt;=2,"?ACTIVATED",IF(J1523&lt;&gt;"","?FAMILIAR",IF(F1523="NEW",IF(ISNA(VLOOKUP(E1523,#REF!,1,FALSE())),"?TYPE_IDENTIFIABLE","?REFERENTIAL"),"_")))))</f>
        <v> </v>
      </c>
      <c r="H1523" s="24" t="str">
        <f>IF(J1523&lt;&gt;1,"",IF(I1523="SBJ","CB","?"))</f>
        <v> </v>
      </c>
      <c r="I1523" s="25" t="str">
        <f>IF(OR(E1523="",E1523="!!!",F1523="NEW"),"",INDEX(B1522:B$2,-1+SUMPRODUCT(MAX(ROW(E1522:E$2)*(E1523=E1522:E$2)))))</f>
        <v> </v>
      </c>
      <c r="J1523" s="25" t="str">
        <f>IF(OR(E1523="",E1523="!!!",F1523="NEW"),"",COUNTBLANK(OFFSET(A$1,,,SUMPRODUCT(MAX(ROW(E$2:E1523)*(E1523=E$2:E1523)))))-COUNTBLANK(OFFSET(A$1,,,SUMPRODUCT(MAX(ROW(E$1:E1522)*(E2=E$1:E1522))))))</f>
        <v> </v>
      </c>
      <c r="K1523" s="25" t="str">
        <f>IF(OR(E1523="",E1523="!!!",F1523="NEW"),"",INDEX(J$1:J1522,SUMPRODUCT(MAX(ROW(E$1:E1522)*(E1523=E$1:E1522)))))</f>
        <v> </v>
      </c>
      <c r="L1523" s="26"/>
    </row>
    <row r="1524" spans="1:12">
      <c r="A1524" s="20" t="s">
        <v>248</v>
      </c>
      <c r="E1524" s="21">
        <f>IF(D1524="?OLD","!!!","")</f>
        <v/>
      </c>
      <c r="F1524" s="22" t="str">
        <f>IF(OR(E1524="",E1524="!!!"),"",IF(NOT(ISNA(VLOOKUP(E1524,E$1:E1523,1,FALSE()))),"OLD",IF(AND(E1524&lt;&gt;"",E1524&lt;&gt;"!!!"),"NEW","")))</f>
        <v> </v>
      </c>
      <c r="G1524" s="23" t="str">
        <f>IF(OR(E1524="",E1524="!!!"),"",IF(OR(J1524=0,AND(J1524=1,K1524=1),AND(J1524=1,I1524="SBJ"),AND(J1524=1,I1524=0)),"?IN_FOCUS",IF(J1524&lt;=2,"?ACTIVATED",IF(J1524&lt;&gt;"","?FAMILIAR",IF(F1524="NEW",IF(ISNA(VLOOKUP(E1524,#REF!,1,FALSE())),"?TYPE_IDENTIFIABLE","?REFERENTIAL"),"_")))))</f>
        <v> </v>
      </c>
      <c r="H1524" s="24" t="str">
        <f>IF(J1524&lt;&gt;1,"",IF(I1524="SBJ","CB","?"))</f>
        <v> </v>
      </c>
      <c r="I1524" s="25" t="str">
        <f>IF(OR(E1524="",E1524="!!!",F1524="NEW"),"",INDEX(B1523:B$2,-1+SUMPRODUCT(MAX(ROW(E1523:E$2)*(E1524=E1523:E$2)))))</f>
        <v> </v>
      </c>
      <c r="J1524" s="25" t="str">
        <f>IF(OR(E1524="",E1524="!!!",F1524="NEW"),"",COUNTBLANK(OFFSET(A$1,,,SUMPRODUCT(MAX(ROW(E$2:E1524)*(E1524=E$2:E1524)))))-COUNTBLANK(OFFSET(A$1,,,SUMPRODUCT(MAX(ROW(E$1:E1523)*(E2=E$1:E1523))))))</f>
        <v> </v>
      </c>
      <c r="K1524" s="25" t="str">
        <f>IF(OR(E1524="",E1524="!!!",F1524="NEW"),"",INDEX(J$1:J1523,SUMPRODUCT(MAX(ROW(E$1:E1523)*(E1524=E$1:E1523)))))</f>
        <v> </v>
      </c>
      <c r="L1524" s="26"/>
    </row>
    <row r="1525" spans="1:12">
      <c r="A1525" s="20" t="s">
        <v>249</v>
      </c>
      <c r="E1525" s="21">
        <f>IF(D1525="?OLD","!!!","")</f>
        <v/>
      </c>
      <c r="F1525" s="22" t="str">
        <f>IF(OR(E1525="",E1525="!!!"),"",IF(NOT(ISNA(VLOOKUP(E1525,E$1:E1524,1,FALSE()))),"OLD",IF(AND(E1525&lt;&gt;"",E1525&lt;&gt;"!!!"),"NEW","")))</f>
        <v> </v>
      </c>
      <c r="G1525" s="23" t="str">
        <f>IF(OR(E1525="",E1525="!!!"),"",IF(OR(J1525=0,AND(J1525=1,K1525=1),AND(J1525=1,I1525="SBJ"),AND(J1525=1,I1525=0)),"?IN_FOCUS",IF(J1525&lt;=2,"?ACTIVATED",IF(J1525&lt;&gt;"","?FAMILIAR",IF(F1525="NEW",IF(ISNA(VLOOKUP(E1525,#REF!,1,FALSE())),"?TYPE_IDENTIFIABLE","?REFERENTIAL"),"_")))))</f>
        <v> </v>
      </c>
      <c r="H1525" s="24" t="str">
        <f>IF(J1525&lt;&gt;1,"",IF(I1525="SBJ","CB","?"))</f>
        <v> </v>
      </c>
      <c r="I1525" s="25" t="str">
        <f>IF(OR(E1525="",E1525="!!!",F1525="NEW"),"",INDEX(B1524:B$2,-1+SUMPRODUCT(MAX(ROW(E1524:E$2)*(E1525=E1524:E$2)))))</f>
        <v> </v>
      </c>
      <c r="J1525" s="25" t="str">
        <f>IF(OR(E1525="",E1525="!!!",F1525="NEW"),"",COUNTBLANK(OFFSET(A$1,,,SUMPRODUCT(MAX(ROW(E$2:E1525)*(E1525=E$2:E1525)))))-COUNTBLANK(OFFSET(A$1,,,SUMPRODUCT(MAX(ROW(E$1:E1524)*(E2=E$1:E1524))))))</f>
        <v> </v>
      </c>
      <c r="K1525" s="25" t="str">
        <f>IF(OR(E1525="",E1525="!!!",F1525="NEW"),"",INDEX(J$1:J1524,SUMPRODUCT(MAX(ROW(E$1:E1524)*(E1525=E$1:E1524)))))</f>
        <v> </v>
      </c>
      <c r="L1525" s="26"/>
    </row>
    <row r="1526" spans="1:12">
      <c r="A1526" s="20" t="s">
        <v>250</v>
      </c>
      <c r="B1526" s="27" t="s">
        <v>272</v>
      </c>
      <c r="C1526" s="27" t="s">
        <v>252</v>
      </c>
      <c r="D1526" s="27" t="s">
        <v>244</v>
      </c>
      <c r="E1526" s="21">
        <f>IF(D1526="?OLD","!!!","")</f>
        <v/>
      </c>
      <c r="F1526" s="22" t="str">
        <f>IF(OR(E1526="",E1526="!!!"),"",IF(NOT(ISNA(VLOOKUP(E1526,E$1:E1525,1,FALSE()))),"OLD",IF(AND(E1526&lt;&gt;"",E1526&lt;&gt;"!!!"),"NEW","")))</f>
        <v> </v>
      </c>
      <c r="G1526" s="23" t="str">
        <f>IF(OR(E1526="",E1526="!!!"),"",IF(OR(J1526=0,AND(J1526=1,K1526=1),AND(J1526=1,I1526="SBJ"),AND(J1526=1,I1526=0)),"?IN_FOCUS",IF(J1526&lt;=2,"?ACTIVATED",IF(J1526&lt;&gt;"","?FAMILIAR",IF(F1526="NEW",IF(ISNA(VLOOKUP(E1526,#REF!,1,FALSE())),"?TYPE_IDENTIFIABLE","?REFERENTIAL"),"_")))))</f>
        <v> </v>
      </c>
      <c r="H1526" s="24" t="str">
        <f>IF(J1526&lt;&gt;1,"",IF(I1526="SBJ","CB","?"))</f>
        <v> </v>
      </c>
      <c r="I1526" s="25" t="str">
        <f>IF(OR(E1526="",E1526="!!!",F1526="NEW"),"",INDEX(B1525:B$2,-1+SUMPRODUCT(MAX(ROW(E1525:E$2)*(E1526=E1525:E$2)))))</f>
        <v> </v>
      </c>
      <c r="J1526" s="25" t="str">
        <f>IF(OR(E1526="",E1526="!!!",F1526="NEW"),"",COUNTBLANK(OFFSET(A$1,,,SUMPRODUCT(MAX(ROW(E$2:E1526)*(E1526=E$2:E1526)))))-COUNTBLANK(OFFSET(A$1,,,SUMPRODUCT(MAX(ROW(E$1:E1525)*(E2=E$1:E1525))))))</f>
        <v> </v>
      </c>
      <c r="K1526" s="25" t="str">
        <f>IF(OR(E1526="",E1526="!!!",F1526="NEW"),"",INDEX(J$1:J1525,SUMPRODUCT(MAX(ROW(E$1:E1525)*(E1526=E$1:E1525)))))</f>
        <v> </v>
      </c>
      <c r="L1526" s="26"/>
    </row>
    <row r="1527" spans="1:12">
      <c r="A1527" s="20" t="s">
        <v>314</v>
      </c>
      <c r="E1527" s="21">
        <f>IF(D1527="?OLD","!!!","")</f>
        <v/>
      </c>
      <c r="F1527" s="22" t="str">
        <f>IF(OR(E1527="",E1527="!!!"),"",IF(NOT(ISNA(VLOOKUP(E1527,E$1:E1526,1,FALSE()))),"OLD",IF(AND(E1527&lt;&gt;"",E1527&lt;&gt;"!!!"),"NEW","")))</f>
        <v> </v>
      </c>
      <c r="G1527" s="23" t="str">
        <f>IF(OR(E1527="",E1527="!!!"),"",IF(OR(J1527=0,AND(J1527=1,K1527=1),AND(J1527=1,I1527="SBJ"),AND(J1527=1,I1527=0)),"?IN_FOCUS",IF(J1527&lt;=2,"?ACTIVATED",IF(J1527&lt;&gt;"","?FAMILIAR",IF(F1527="NEW",IF(ISNA(VLOOKUP(E1527,#REF!,1,FALSE())),"?TYPE_IDENTIFIABLE","?REFERENTIAL"),"_")))))</f>
        <v> </v>
      </c>
      <c r="H1527" s="24" t="str">
        <f>IF(J1527&lt;&gt;1,"",IF(I1527="SBJ","CB","?"))</f>
        <v> </v>
      </c>
      <c r="I1527" s="25" t="str">
        <f>IF(OR(E1527="",E1527="!!!",F1527="NEW"),"",INDEX(B1526:B$2,-1+SUMPRODUCT(MAX(ROW(E1526:E$2)*(E1527=E1526:E$2)))))</f>
        <v> </v>
      </c>
      <c r="J1527" s="25" t="str">
        <f>IF(OR(E1527="",E1527="!!!",F1527="NEW"),"",COUNTBLANK(OFFSET(A$1,,,SUMPRODUCT(MAX(ROW(E$2:E1527)*(E1527=E$2:E1527)))))-COUNTBLANK(OFFSET(A$1,,,SUMPRODUCT(MAX(ROW(E$1:E1526)*(E2=E$1:E1526))))))</f>
        <v> </v>
      </c>
      <c r="K1527" s="25" t="str">
        <f>IF(OR(E1527="",E1527="!!!",F1527="NEW"),"",INDEX(J$1:J1526,SUMPRODUCT(MAX(ROW(E$1:E1526)*(E1527=E$1:E1526)))))</f>
        <v> </v>
      </c>
      <c r="L1527" s="26"/>
    </row>
    <row r="1528" spans="1:12">
      <c r="A1528" s="20" t="s">
        <v>849</v>
      </c>
      <c r="E1528" s="21">
        <f>IF(D1528="?OLD","!!!","")</f>
        <v/>
      </c>
      <c r="F1528" s="22" t="str">
        <f>IF(OR(E1528="",E1528="!!!"),"",IF(NOT(ISNA(VLOOKUP(E1528,E$1:E1527,1,FALSE()))),"OLD",IF(AND(E1528&lt;&gt;"",E1528&lt;&gt;"!!!"),"NEW","")))</f>
        <v> </v>
      </c>
      <c r="G1528" s="23" t="str">
        <f>IF(OR(E1528="",E1528="!!!"),"",IF(OR(J1528=0,AND(J1528=1,K1528=1),AND(J1528=1,I1528="SBJ"),AND(J1528=1,I1528=0)),"?IN_FOCUS",IF(J1528&lt;=2,"?ACTIVATED",IF(J1528&lt;&gt;"","?FAMILIAR",IF(F1528="NEW",IF(ISNA(VLOOKUP(E1528,#REF!,1,FALSE())),"?TYPE_IDENTIFIABLE","?REFERENTIAL"),"_")))))</f>
        <v> </v>
      </c>
      <c r="H1528" s="24" t="str">
        <f>IF(J1528&lt;&gt;1,"",IF(I1528="SBJ","CB","?"))</f>
        <v> </v>
      </c>
      <c r="I1528" s="25" t="str">
        <f>IF(OR(E1528="",E1528="!!!",F1528="NEW"),"",INDEX(B1527:B$2,-1+SUMPRODUCT(MAX(ROW(E1527:E$2)*(E1528=E1527:E$2)))))</f>
        <v> </v>
      </c>
      <c r="J1528" s="25" t="str">
        <f>IF(OR(E1528="",E1528="!!!",F1528="NEW"),"",COUNTBLANK(OFFSET(A$1,,,SUMPRODUCT(MAX(ROW(E$2:E1528)*(E1528=E$2:E1528)))))-COUNTBLANK(OFFSET(A$1,,,SUMPRODUCT(MAX(ROW(E$1:E1527)*(E2=E$1:E1527))))))</f>
        <v> </v>
      </c>
      <c r="K1528" s="25" t="str">
        <f>IF(OR(E1528="",E1528="!!!",F1528="NEW"),"",INDEX(J$1:J1527,SUMPRODUCT(MAX(ROW(E$1:E1527)*(E1528=E$1:E1527)))))</f>
        <v> </v>
      </c>
      <c r="L1528" s="26"/>
    </row>
    <row r="1529" spans="1:12">
      <c r="A1529" s="20" t="s">
        <v>467</v>
      </c>
      <c r="E1529" s="21">
        <f>IF(D1529="?OLD","!!!","")</f>
        <v/>
      </c>
      <c r="F1529" s="22" t="str">
        <f>IF(OR(E1529="",E1529="!!!"),"",IF(NOT(ISNA(VLOOKUP(E1529,E$1:E1528,1,FALSE()))),"OLD",IF(AND(E1529&lt;&gt;"",E1529&lt;&gt;"!!!"),"NEW","")))</f>
        <v> </v>
      </c>
      <c r="G1529" s="23" t="str">
        <f>IF(OR(E1529="",E1529="!!!"),"",IF(OR(J1529=0,AND(J1529=1,K1529=1),AND(J1529=1,I1529="SBJ"),AND(J1529=1,I1529=0)),"?IN_FOCUS",IF(J1529&lt;=2,"?ACTIVATED",IF(J1529&lt;&gt;"","?FAMILIAR",IF(F1529="NEW",IF(ISNA(VLOOKUP(E1529,#REF!,1,FALSE())),"?TYPE_IDENTIFIABLE","?REFERENTIAL"),"_")))))</f>
        <v> </v>
      </c>
      <c r="H1529" s="24" t="str">
        <f>IF(J1529&lt;&gt;1,"",IF(I1529="SBJ","CB","?"))</f>
        <v> </v>
      </c>
      <c r="I1529" s="25" t="str">
        <f>IF(OR(E1529="",E1529="!!!",F1529="NEW"),"",INDEX(B1528:B$2,-1+SUMPRODUCT(MAX(ROW(E1528:E$2)*(E1529=E1528:E$2)))))</f>
        <v> </v>
      </c>
      <c r="J1529" s="25" t="str">
        <f>IF(OR(E1529="",E1529="!!!",F1529="NEW"),"",COUNTBLANK(OFFSET(A$1,,,SUMPRODUCT(MAX(ROW(E$2:E1529)*(E1529=E$2:E1529)))))-COUNTBLANK(OFFSET(A$1,,,SUMPRODUCT(MAX(ROW(E$1:E1528)*(E2=E$1:E1528))))))</f>
        <v> </v>
      </c>
      <c r="K1529" s="25" t="str">
        <f>IF(OR(E1529="",E1529="!!!",F1529="NEW"),"",INDEX(J$1:J1528,SUMPRODUCT(MAX(ROW(E$1:E1528)*(E1529=E$1:E1528)))))</f>
        <v> </v>
      </c>
      <c r="L1529" s="26"/>
    </row>
    <row r="1530" spans="1:12">
      <c r="A1530" s="20" t="s">
        <v>850</v>
      </c>
      <c r="E1530" s="21">
        <f>IF(D1530="?OLD","!!!","")</f>
        <v/>
      </c>
      <c r="F1530" s="22" t="str">
        <f>IF(OR(E1530="",E1530="!!!"),"",IF(NOT(ISNA(VLOOKUP(E1530,E$1:E1529,1,FALSE()))),"OLD",IF(AND(E1530&lt;&gt;"",E1530&lt;&gt;"!!!"),"NEW","")))</f>
        <v> </v>
      </c>
      <c r="G1530" s="23" t="str">
        <f>IF(OR(E1530="",E1530="!!!"),"",IF(OR(J1530=0,AND(J1530=1,K1530=1),AND(J1530=1,I1530="SBJ"),AND(J1530=1,I1530=0)),"?IN_FOCUS",IF(J1530&lt;=2,"?ACTIVATED",IF(J1530&lt;&gt;"","?FAMILIAR",IF(F1530="NEW",IF(ISNA(VLOOKUP(E1530,#REF!,1,FALSE())),"?TYPE_IDENTIFIABLE","?REFERENTIAL"),"_")))))</f>
        <v> </v>
      </c>
      <c r="H1530" s="24" t="str">
        <f>IF(J1530&lt;&gt;1,"",IF(I1530="SBJ","CB","?"))</f>
        <v> </v>
      </c>
      <c r="I1530" s="25" t="str">
        <f>IF(OR(E1530="",E1530="!!!",F1530="NEW"),"",INDEX(B1529:B$2,-1+SUMPRODUCT(MAX(ROW(E1529:E$2)*(E1530=E1529:E$2)))))</f>
        <v> </v>
      </c>
      <c r="J1530" s="25" t="str">
        <f>IF(OR(E1530="",E1530="!!!",F1530="NEW"),"",COUNTBLANK(OFFSET(A$1,,,SUMPRODUCT(MAX(ROW(E$2:E1530)*(E1530=E$2:E1530)))))-COUNTBLANK(OFFSET(A$1,,,SUMPRODUCT(MAX(ROW(E$1:E1529)*(E2=E$1:E1529))))))</f>
        <v> </v>
      </c>
      <c r="K1530" s="25" t="str">
        <f>IF(OR(E1530="",E1530="!!!",F1530="NEW"),"",INDEX(J$1:J1529,SUMPRODUCT(MAX(ROW(E$1:E1529)*(E1530=E$1:E1529)))))</f>
        <v> </v>
      </c>
      <c r="L1530" s="26"/>
    </row>
    <row r="1531" spans="1:12">
      <c r="A1531" s="20" t="s">
        <v>11</v>
      </c>
      <c r="E1531" s="21">
        <f>IF(D1531="?OLD","!!!","")</f>
        <v/>
      </c>
      <c r="F1531" s="22" t="str">
        <f>IF(OR(E1531="",E1531="!!!"),"",IF(NOT(ISNA(VLOOKUP(E1531,E$1:E1530,1,FALSE()))),"OLD",IF(AND(E1531&lt;&gt;"",E1531&lt;&gt;"!!!"),"NEW","")))</f>
        <v> </v>
      </c>
      <c r="G1531" s="23" t="str">
        <f>IF(OR(E1531="",E1531="!!!"),"",IF(OR(J1531=0,AND(J1531=1,K1531=1),AND(J1531=1,I1531="SBJ"),AND(J1531=1,I1531=0)),"?IN_FOCUS",IF(J1531&lt;=2,"?ACTIVATED",IF(J1531&lt;&gt;"","?FAMILIAR",IF(F1531="NEW",IF(ISNA(VLOOKUP(E1531,#REF!,1,FALSE())),"?TYPE_IDENTIFIABLE","?REFERENTIAL"),"_")))))</f>
        <v> </v>
      </c>
      <c r="H1531" s="24" t="str">
        <f>IF(J1531&lt;&gt;1,"",IF(I1531="SBJ","CB","?"))</f>
        <v> </v>
      </c>
      <c r="I1531" s="25" t="str">
        <f>IF(OR(E1531="",E1531="!!!",F1531="NEW"),"",INDEX(B1530:B$2,-1+SUMPRODUCT(MAX(ROW(E1530:E$2)*(E1531=E1530:E$2)))))</f>
        <v> </v>
      </c>
      <c r="J1531" s="25" t="str">
        <f>IF(OR(E1531="",E1531="!!!",F1531="NEW"),"",COUNTBLANK(OFFSET(A$1,,,SUMPRODUCT(MAX(ROW(E$2:E1531)*(E1531=E$2:E1531)))))-COUNTBLANK(OFFSET(A$1,,,SUMPRODUCT(MAX(ROW(E$1:E1530)*(E2=E$1:E1530))))))</f>
        <v> </v>
      </c>
      <c r="K1531" s="25" t="str">
        <f>IF(OR(E1531="",E1531="!!!",F1531="NEW"),"",INDEX(J$1:J1530,SUMPRODUCT(MAX(ROW(E$1:E1530)*(E1531=E$1:E1530)))))</f>
        <v> </v>
      </c>
      <c r="L1531" s="26"/>
    </row>
    <row r="1532" spans="1:12">
      <c r="A1532" s="20" t="s">
        <v>851</v>
      </c>
      <c r="E1532" s="21">
        <f>IF(D1532="?OLD","!!!","")</f>
        <v/>
      </c>
      <c r="F1532" s="22" t="str">
        <f>IF(OR(E1532="",E1532="!!!"),"",IF(NOT(ISNA(VLOOKUP(E1532,E$1:E1531,1,FALSE()))),"OLD",IF(AND(E1532&lt;&gt;"",E1532&lt;&gt;"!!!"),"NEW","")))</f>
        <v> </v>
      </c>
      <c r="G1532" s="23" t="str">
        <f>IF(OR(E1532="",E1532="!!!"),"",IF(OR(J1532=0,AND(J1532=1,K1532=1),AND(J1532=1,I1532="SBJ"),AND(J1532=1,I1532=0)),"?IN_FOCUS",IF(J1532&lt;=2,"?ACTIVATED",IF(J1532&lt;&gt;"","?FAMILIAR",IF(F1532="NEW",IF(ISNA(VLOOKUP(E1532,#REF!,1,FALSE())),"?TYPE_IDENTIFIABLE","?REFERENTIAL"),"_")))))</f>
        <v> </v>
      </c>
      <c r="H1532" s="24" t="str">
        <f>IF(J1532&lt;&gt;1,"",IF(I1532="SBJ","CB","?"))</f>
        <v> </v>
      </c>
      <c r="I1532" s="25" t="str">
        <f>IF(OR(E1532="",E1532="!!!",F1532="NEW"),"",INDEX(B1531:B$2,-1+SUMPRODUCT(MAX(ROW(E1531:E$2)*(E1532=E1531:E$2)))))</f>
        <v> </v>
      </c>
      <c r="J1532" s="25" t="str">
        <f>IF(OR(E1532="",E1532="!!!",F1532="NEW"),"",COUNTBLANK(OFFSET(A$1,,,SUMPRODUCT(MAX(ROW(E$2:E1532)*(E1532=E$2:E1532)))))-COUNTBLANK(OFFSET(A$1,,,SUMPRODUCT(MAX(ROW(E$1:E1531)*(E2=E$1:E1531))))))</f>
        <v> </v>
      </c>
      <c r="K1532" s="25" t="str">
        <f>IF(OR(E1532="",E1532="!!!",F1532="NEW"),"",INDEX(J$1:J1531,SUMPRODUCT(MAX(ROW(E$1:E1531)*(E1532=E$1:E1531)))))</f>
        <v> </v>
      </c>
      <c r="L1532" s="26"/>
    </row>
    <row r="1533" spans="1:12">
      <c r="A1533" s="20" t="s">
        <v>852</v>
      </c>
      <c r="B1533" s="27" t="s">
        <v>423</v>
      </c>
      <c r="C1533" s="27" t="s">
        <v>334</v>
      </c>
      <c r="D1533" s="27" t="s">
        <v>244</v>
      </c>
      <c r="E1533" s="21">
        <f>IF(D1533="?OLD","!!!","")</f>
        <v/>
      </c>
      <c r="F1533" s="22" t="str">
        <f>IF(OR(E1533="",E1533="!!!"),"",IF(NOT(ISNA(VLOOKUP(E1533,E$1:E1532,1,FALSE()))),"OLD",IF(AND(E1533&lt;&gt;"",E1533&lt;&gt;"!!!"),"NEW","")))</f>
        <v> </v>
      </c>
      <c r="G1533" s="23" t="str">
        <f>IF(OR(E1533="",E1533="!!!"),"",IF(OR(J1533=0,AND(J1533=1,K1533=1),AND(J1533=1,I1533="SBJ"),AND(J1533=1,I1533=0)),"?IN_FOCUS",IF(J1533&lt;=2,"?ACTIVATED",IF(J1533&lt;&gt;"","?FAMILIAR",IF(F1533="NEW",IF(ISNA(VLOOKUP(E1533,#REF!,1,FALSE())),"?TYPE_IDENTIFIABLE","?REFERENTIAL"),"_")))))</f>
        <v> </v>
      </c>
      <c r="H1533" s="24" t="str">
        <f>IF(J1533&lt;&gt;1,"",IF(I1533="SBJ","CB","?"))</f>
        <v> </v>
      </c>
      <c r="I1533" s="25" t="str">
        <f>IF(OR(E1533="",E1533="!!!",F1533="NEW"),"",INDEX(B1532:B$2,-1+SUMPRODUCT(MAX(ROW(E1532:E$2)*(E1533=E1532:E$2)))))</f>
        <v> </v>
      </c>
      <c r="J1533" s="25" t="str">
        <f>IF(OR(E1533="",E1533="!!!",F1533="NEW"),"",COUNTBLANK(OFFSET(A$1,,,SUMPRODUCT(MAX(ROW(E$2:E1533)*(E1533=E$2:E1533)))))-COUNTBLANK(OFFSET(A$1,,,SUMPRODUCT(MAX(ROW(E$1:E1532)*(E2=E$1:E1532))))))</f>
        <v> </v>
      </c>
      <c r="K1533" s="25" t="str">
        <f>IF(OR(E1533="",E1533="!!!",F1533="NEW"),"",INDEX(J$1:J1532,SUMPRODUCT(MAX(ROW(E$1:E1532)*(E1533=E$1:E1532)))))</f>
        <v> </v>
      </c>
      <c r="L1533" s="26"/>
    </row>
    <row r="1534" spans="1:12">
      <c r="A1534" s="20" t="s">
        <v>260</v>
      </c>
      <c r="B1534" s="27" t="s">
        <v>504</v>
      </c>
      <c r="E1534" s="21">
        <f>IF(D1534="?OLD","!!!","")</f>
        <v/>
      </c>
      <c r="F1534" s="22" t="str">
        <f>IF(OR(E1534="",E1534="!!!"),"",IF(NOT(ISNA(VLOOKUP(E1534,E$1:E1533,1,FALSE()))),"OLD",IF(AND(E1534&lt;&gt;"",E1534&lt;&gt;"!!!"),"NEW","")))</f>
        <v> </v>
      </c>
      <c r="G1534" s="23" t="str">
        <f>IF(OR(E1534="",E1534="!!!"),"",IF(OR(J1534=0,AND(J1534=1,K1534=1),AND(J1534=1,I1534="SBJ"),AND(J1534=1,I1534=0)),"?IN_FOCUS",IF(J1534&lt;=2,"?ACTIVATED",IF(J1534&lt;&gt;"","?FAMILIAR",IF(F1534="NEW",IF(ISNA(VLOOKUP(E1534,#REF!,1,FALSE())),"?TYPE_IDENTIFIABLE","?REFERENTIAL"),"_")))))</f>
        <v> </v>
      </c>
      <c r="H1534" s="24" t="str">
        <f>IF(J1534&lt;&gt;1,"",IF(I1534="SBJ","CB","?"))</f>
        <v> </v>
      </c>
      <c r="I1534" s="25" t="str">
        <f>IF(OR(E1534="",E1534="!!!",F1534="NEW"),"",INDEX(B1533:B$2,-1+SUMPRODUCT(MAX(ROW(E1533:E$2)*(E1534=E1533:E$2)))))</f>
        <v> </v>
      </c>
      <c r="J1534" s="25" t="str">
        <f>IF(OR(E1534="",E1534="!!!",F1534="NEW"),"",COUNTBLANK(OFFSET(A$1,,,SUMPRODUCT(MAX(ROW(E$2:E1534)*(E1534=E$2:E1534)))))-COUNTBLANK(OFFSET(A$1,,,SUMPRODUCT(MAX(ROW(E$1:E1533)*(E2=E$1:E1533))))))</f>
        <v> </v>
      </c>
      <c r="K1534" s="25" t="str">
        <f>IF(OR(E1534="",E1534="!!!",F1534="NEW"),"",INDEX(J$1:J1533,SUMPRODUCT(MAX(ROW(E$1:E1533)*(E1534=E$1:E1533)))))</f>
        <v> </v>
      </c>
      <c r="L1534" s="26"/>
    </row>
    <row r="1535" spans="1:12">
      <c r="A1535" s="20" t="s">
        <v>369</v>
      </c>
      <c r="E1535" s="21">
        <f>IF(D1535="?OLD","!!!","")</f>
        <v/>
      </c>
      <c r="F1535" s="22" t="str">
        <f>IF(OR(E1535="",E1535="!!!"),"",IF(NOT(ISNA(VLOOKUP(E1535,E$1:E1534,1,FALSE()))),"OLD",IF(AND(E1535&lt;&gt;"",E1535&lt;&gt;"!!!"),"NEW","")))</f>
        <v> </v>
      </c>
      <c r="G1535" s="23" t="str">
        <f>IF(OR(E1535="",E1535="!!!"),"",IF(OR(J1535=0,AND(J1535=1,K1535=1),AND(J1535=1,I1535="SBJ"),AND(J1535=1,I1535=0)),"?IN_FOCUS",IF(J1535&lt;=2,"?ACTIVATED",IF(J1535&lt;&gt;"","?FAMILIAR",IF(F1535="NEW",IF(ISNA(VLOOKUP(E1535,#REF!,1,FALSE())),"?TYPE_IDENTIFIABLE","?REFERENTIAL"),"_")))))</f>
        <v> </v>
      </c>
      <c r="H1535" s="24" t="str">
        <f>IF(J1535&lt;&gt;1,"",IF(I1535="SBJ","CB","?"))</f>
        <v> </v>
      </c>
      <c r="I1535" s="25" t="str">
        <f>IF(OR(E1535="",E1535="!!!",F1535="NEW"),"",INDEX(B1534:B$2,-1+SUMPRODUCT(MAX(ROW(E1534:E$2)*(E1535=E1534:E$2)))))</f>
        <v> </v>
      </c>
      <c r="J1535" s="25" t="str">
        <f>IF(OR(E1535="",E1535="!!!",F1535="NEW"),"",COUNTBLANK(OFFSET(A$1,,,SUMPRODUCT(MAX(ROW(E$2:E1535)*(E1535=E$2:E1535)))))-COUNTBLANK(OFFSET(A$1,,,SUMPRODUCT(MAX(ROW(E$1:E1534)*(E2=E$1:E1534))))))</f>
        <v> </v>
      </c>
      <c r="K1535" s="25" t="str">
        <f>IF(OR(E1535="",E1535="!!!",F1535="NEW"),"",INDEX(J$1:J1534,SUMPRODUCT(MAX(ROW(E$1:E1534)*(E1535=E$1:E1534)))))</f>
        <v> </v>
      </c>
      <c r="L1535" s="26"/>
    </row>
    <row r="1536" spans="1:12">
      <c r="A1536" s="20" t="s">
        <v>277</v>
      </c>
      <c r="E1536" s="21">
        <f>IF(D1536="?OLD","!!!","")</f>
        <v/>
      </c>
      <c r="F1536" s="22" t="str">
        <f>IF(OR(E1536="",E1536="!!!"),"",IF(NOT(ISNA(VLOOKUP(E1536,E$1:E1535,1,FALSE()))),"OLD",IF(AND(E1536&lt;&gt;"",E1536&lt;&gt;"!!!"),"NEW","")))</f>
        <v> </v>
      </c>
      <c r="G1536" s="23" t="str">
        <f>IF(OR(E1536="",E1536="!!!"),"",IF(OR(J1536=0,AND(J1536=1,K1536=1),AND(J1536=1,I1536="SBJ"),AND(J1536=1,I1536=0)),"?IN_FOCUS",IF(J1536&lt;=2,"?ACTIVATED",IF(J1536&lt;&gt;"","?FAMILIAR",IF(F1536="NEW",IF(ISNA(VLOOKUP(E1536,#REF!,1,FALSE())),"?TYPE_IDENTIFIABLE","?REFERENTIAL"),"_")))))</f>
        <v> </v>
      </c>
      <c r="H1536" s="24" t="str">
        <f>IF(J1536&lt;&gt;1,"",IF(I1536="SBJ","CB","?"))</f>
        <v> </v>
      </c>
      <c r="I1536" s="25" t="str">
        <f>IF(OR(E1536="",E1536="!!!",F1536="NEW"),"",INDEX(B1535:B$2,-1+SUMPRODUCT(MAX(ROW(E1535:E$2)*(E1536=E1535:E$2)))))</f>
        <v> </v>
      </c>
      <c r="J1536" s="25" t="str">
        <f>IF(OR(E1536="",E1536="!!!",F1536="NEW"),"",COUNTBLANK(OFFSET(A$1,,,SUMPRODUCT(MAX(ROW(E$2:E1536)*(E1536=E$2:E1536)))))-COUNTBLANK(OFFSET(A$1,,,SUMPRODUCT(MAX(ROW(E$1:E1535)*(E2=E$1:E1535))))))</f>
        <v> </v>
      </c>
      <c r="K1536" s="25" t="str">
        <f>IF(OR(E1536="",E1536="!!!",F1536="NEW"),"",INDEX(J$1:J1535,SUMPRODUCT(MAX(ROW(E$1:E1535)*(E1536=E$1:E1535)))))</f>
        <v> </v>
      </c>
      <c r="L1536" s="26"/>
    </row>
    <row r="1537" spans="1:12">
      <c r="A1537" s="20" t="s">
        <v>853</v>
      </c>
      <c r="E1537" s="21">
        <f>IF(D1537="?OLD","!!!","")</f>
        <v/>
      </c>
      <c r="F1537" s="22" t="str">
        <f>IF(OR(E1537="",E1537="!!!"),"",IF(NOT(ISNA(VLOOKUP(E1537,E$1:E1536,1,FALSE()))),"OLD",IF(AND(E1537&lt;&gt;"",E1537&lt;&gt;"!!!"),"NEW","")))</f>
        <v> </v>
      </c>
      <c r="G1537" s="23" t="str">
        <f>IF(OR(E1537="",E1537="!!!"),"",IF(OR(J1537=0,AND(J1537=1,K1537=1),AND(J1537=1,I1537="SBJ"),AND(J1537=1,I1537=0)),"?IN_FOCUS",IF(J1537&lt;=2,"?ACTIVATED",IF(J1537&lt;&gt;"","?FAMILIAR",IF(F1537="NEW",IF(ISNA(VLOOKUP(E1537,#REF!,1,FALSE())),"?TYPE_IDENTIFIABLE","?REFERENTIAL"),"_")))))</f>
        <v> </v>
      </c>
      <c r="H1537" s="24" t="str">
        <f>IF(J1537&lt;&gt;1,"",IF(I1537="SBJ","CB","?"))</f>
        <v> </v>
      </c>
      <c r="I1537" s="25" t="str">
        <f>IF(OR(E1537="",E1537="!!!",F1537="NEW"),"",INDEX(B1536:B$2,-1+SUMPRODUCT(MAX(ROW(E1536:E$2)*(E1537=E1536:E$2)))))</f>
        <v> </v>
      </c>
      <c r="J1537" s="25" t="str">
        <f>IF(OR(E1537="",E1537="!!!",F1537="NEW"),"",COUNTBLANK(OFFSET(A$1,,,SUMPRODUCT(MAX(ROW(E$2:E1537)*(E1537=E$2:E1537)))))-COUNTBLANK(OFFSET(A$1,,,SUMPRODUCT(MAX(ROW(E$1:E1536)*(E2=E$1:E1536))))))</f>
        <v> </v>
      </c>
      <c r="K1537" s="25" t="str">
        <f>IF(OR(E1537="",E1537="!!!",F1537="NEW"),"",INDEX(J$1:J1536,SUMPRODUCT(MAX(ROW(E$1:E1536)*(E1537=E$1:E1536)))))</f>
        <v> </v>
      </c>
      <c r="L1537" s="26"/>
    </row>
    <row r="1538" spans="1:12">
      <c r="A1538" s="20" t="s">
        <v>720</v>
      </c>
      <c r="E1538" s="21">
        <f>IF(D1538="?OLD","!!!","")</f>
        <v/>
      </c>
      <c r="F1538" s="22" t="str">
        <f>IF(OR(E1538="",E1538="!!!"),"",IF(NOT(ISNA(VLOOKUP(E1538,E$1:E1537,1,FALSE()))),"OLD",IF(AND(E1538&lt;&gt;"",E1538&lt;&gt;"!!!"),"NEW","")))</f>
        <v> </v>
      </c>
      <c r="G1538" s="23" t="str">
        <f>IF(OR(E1538="",E1538="!!!"),"",IF(OR(J1538=0,AND(J1538=1,K1538=1),AND(J1538=1,I1538="SBJ"),AND(J1538=1,I1538=0)),"?IN_FOCUS",IF(J1538&lt;=2,"?ACTIVATED",IF(J1538&lt;&gt;"","?FAMILIAR",IF(F1538="NEW",IF(ISNA(VLOOKUP(E1538,#REF!,1,FALSE())),"?TYPE_IDENTIFIABLE","?REFERENTIAL"),"_")))))</f>
        <v> </v>
      </c>
      <c r="H1538" s="24" t="str">
        <f>IF(J1538&lt;&gt;1,"",IF(I1538="SBJ","CB","?"))</f>
        <v> </v>
      </c>
      <c r="I1538" s="25" t="str">
        <f>IF(OR(E1538="",E1538="!!!",F1538="NEW"),"",INDEX(B1537:B$2,-1+SUMPRODUCT(MAX(ROW(E1537:E$2)*(E1538=E1537:E$2)))))</f>
        <v> </v>
      </c>
      <c r="J1538" s="25" t="str">
        <f>IF(OR(E1538="",E1538="!!!",F1538="NEW"),"",COUNTBLANK(OFFSET(A$1,,,SUMPRODUCT(MAX(ROW(E$2:E1538)*(E1538=E$2:E1538)))))-COUNTBLANK(OFFSET(A$1,,,SUMPRODUCT(MAX(ROW(E$1:E1537)*(E2=E$1:E1537))))))</f>
        <v> </v>
      </c>
      <c r="K1538" s="25" t="str">
        <f>IF(OR(E1538="",E1538="!!!",F1538="NEW"),"",INDEX(J$1:J1537,SUMPRODUCT(MAX(ROW(E$1:E1537)*(E1538=E$1:E1537)))))</f>
        <v> </v>
      </c>
      <c r="L1538" s="26"/>
    </row>
    <row r="1539" spans="1:12">
      <c r="A1539" s="20" t="s">
        <v>854</v>
      </c>
      <c r="E1539" s="21">
        <f>IF(D1539="?OLD","!!!","")</f>
        <v/>
      </c>
      <c r="F1539" s="22" t="str">
        <f>IF(OR(E1539="",E1539="!!!"),"",IF(NOT(ISNA(VLOOKUP(E1539,E$1:E1538,1,FALSE()))),"OLD",IF(AND(E1539&lt;&gt;"",E1539&lt;&gt;"!!!"),"NEW","")))</f>
        <v> </v>
      </c>
      <c r="G1539" s="23" t="str">
        <f>IF(OR(E1539="",E1539="!!!"),"",IF(OR(J1539=0,AND(J1539=1,K1539=1),AND(J1539=1,I1539="SBJ"),AND(J1539=1,I1539=0)),"?IN_FOCUS",IF(J1539&lt;=2,"?ACTIVATED",IF(J1539&lt;&gt;"","?FAMILIAR",IF(F1539="NEW",IF(ISNA(VLOOKUP(E1539,#REF!,1,FALSE())),"?TYPE_IDENTIFIABLE","?REFERENTIAL"),"_")))))</f>
        <v> </v>
      </c>
      <c r="H1539" s="24" t="str">
        <f>IF(J1539&lt;&gt;1,"",IF(I1539="SBJ","CB","?"))</f>
        <v> </v>
      </c>
      <c r="I1539" s="25" t="str">
        <f>IF(OR(E1539="",E1539="!!!",F1539="NEW"),"",INDEX(B1538:B$2,-1+SUMPRODUCT(MAX(ROW(E1538:E$2)*(E1539=E1538:E$2)))))</f>
        <v> </v>
      </c>
      <c r="J1539" s="25" t="str">
        <f>IF(OR(E1539="",E1539="!!!",F1539="NEW"),"",COUNTBLANK(OFFSET(A$1,,,SUMPRODUCT(MAX(ROW(E$2:E1539)*(E1539=E$2:E1539)))))-COUNTBLANK(OFFSET(A$1,,,SUMPRODUCT(MAX(ROW(E$1:E1538)*(E2=E$1:E1538))))))</f>
        <v> </v>
      </c>
      <c r="K1539" s="25" t="str">
        <f>IF(OR(E1539="",E1539="!!!",F1539="NEW"),"",INDEX(J$1:J1538,SUMPRODUCT(MAX(ROW(E$1:E1538)*(E1539=E$1:E1538)))))</f>
        <v> </v>
      </c>
      <c r="L1539" s="26"/>
    </row>
    <row r="1540" spans="1:12">
      <c r="A1540" s="20" t="s">
        <v>855</v>
      </c>
      <c r="B1540" s="27" t="s">
        <v>598</v>
      </c>
      <c r="C1540" s="27" t="s">
        <v>279</v>
      </c>
      <c r="E1540" s="21">
        <f>IF(D1540="?OLD","!!!","")</f>
        <v/>
      </c>
      <c r="F1540" s="22" t="str">
        <f>IF(OR(E1540="",E1540="!!!"),"",IF(NOT(ISNA(VLOOKUP(E1540,E$1:E1539,1,FALSE()))),"OLD",IF(AND(E1540&lt;&gt;"",E1540&lt;&gt;"!!!"),"NEW","")))</f>
        <v> </v>
      </c>
      <c r="G1540" s="23" t="str">
        <f>IF(OR(E1540="",E1540="!!!"),"",IF(OR(J1540=0,AND(J1540=1,K1540=1),AND(J1540=1,I1540="SBJ"),AND(J1540=1,I1540=0)),"?IN_FOCUS",IF(J1540&lt;=2,"?ACTIVATED",IF(J1540&lt;&gt;"","?FAMILIAR",IF(F1540="NEW",IF(ISNA(VLOOKUP(E1540,#REF!,1,FALSE())),"?TYPE_IDENTIFIABLE","?REFERENTIAL"),"_")))))</f>
        <v> </v>
      </c>
      <c r="H1540" s="24" t="str">
        <f>IF(J1540&lt;&gt;1,"",IF(I1540="SBJ","CB","?"))</f>
        <v> </v>
      </c>
      <c r="I1540" s="25" t="str">
        <f>IF(OR(E1540="",E1540="!!!",F1540="NEW"),"",INDEX(B1539:B$2,-1+SUMPRODUCT(MAX(ROW(E1539:E$2)*(E1540=E1539:E$2)))))</f>
        <v> </v>
      </c>
      <c r="J1540" s="25" t="str">
        <f>IF(OR(E1540="",E1540="!!!",F1540="NEW"),"",COUNTBLANK(OFFSET(A$1,,,SUMPRODUCT(MAX(ROW(E$2:E1540)*(E1540=E$2:E1540)))))-COUNTBLANK(OFFSET(A$1,,,SUMPRODUCT(MAX(ROW(E$1:E1539)*(E2=E$1:E1539))))))</f>
        <v> </v>
      </c>
      <c r="K1540" s="25" t="str">
        <f>IF(OR(E1540="",E1540="!!!",F1540="NEW"),"",INDEX(J$1:J1539,SUMPRODUCT(MAX(ROW(E$1:E1539)*(E1540=E$1:E1539)))))</f>
        <v> </v>
      </c>
      <c r="L1540" s="26"/>
    </row>
    <row r="1541" spans="1:12">
      <c r="A1541" s="20" t="s">
        <v>273</v>
      </c>
      <c r="E1541" s="21">
        <f>IF(D1541="?OLD","!!!","")</f>
        <v/>
      </c>
      <c r="F1541" s="22" t="str">
        <f>IF(OR(E1541="",E1541="!!!"),"",IF(NOT(ISNA(VLOOKUP(E1541,E$1:E1540,1,FALSE()))),"OLD",IF(AND(E1541&lt;&gt;"",E1541&lt;&gt;"!!!"),"NEW","")))</f>
        <v> </v>
      </c>
      <c r="G1541" s="23" t="str">
        <f>IF(OR(E1541="",E1541="!!!"),"",IF(OR(J1541=0,AND(J1541=1,K1541=1),AND(J1541=1,I1541="SBJ"),AND(J1541=1,I1541=0)),"?IN_FOCUS",IF(J1541&lt;=2,"?ACTIVATED",IF(J1541&lt;&gt;"","?FAMILIAR",IF(F1541="NEW",IF(ISNA(VLOOKUP(E1541,#REF!,1,FALSE())),"?TYPE_IDENTIFIABLE","?REFERENTIAL"),"_")))))</f>
        <v> </v>
      </c>
      <c r="H1541" s="24" t="str">
        <f>IF(J1541&lt;&gt;1,"",IF(I1541="SBJ","CB","?"))</f>
        <v> </v>
      </c>
      <c r="I1541" s="25" t="str">
        <f>IF(OR(E1541="",E1541="!!!",F1541="NEW"),"",INDEX(B1540:B$2,-1+SUMPRODUCT(MAX(ROW(E1540:E$2)*(E1541=E1540:E$2)))))</f>
        <v> </v>
      </c>
      <c r="J1541" s="25" t="str">
        <f>IF(OR(E1541="",E1541="!!!",F1541="NEW"),"",COUNTBLANK(OFFSET(A$1,,,SUMPRODUCT(MAX(ROW(E$2:E1541)*(E1541=E$2:E1541)))))-COUNTBLANK(OFFSET(A$1,,,SUMPRODUCT(MAX(ROW(E$1:E1540)*(E2=E$1:E1540))))))</f>
        <v> </v>
      </c>
      <c r="K1541" s="25" t="str">
        <f>IF(OR(E1541="",E1541="!!!",F1541="NEW"),"",INDEX(J$1:J1540,SUMPRODUCT(MAX(ROW(E$1:E1540)*(E1541=E$1:E1540)))))</f>
        <v> </v>
      </c>
      <c r="L1541" s="26"/>
    </row>
    <row r="1542" spans="1:12">
      <c r="A1542" s="20" t="s">
        <v>249</v>
      </c>
      <c r="E1542" s="21">
        <f>IF(D1542="?OLD","!!!","")</f>
        <v/>
      </c>
      <c r="F1542" s="22" t="str">
        <f>IF(OR(E1542="",E1542="!!!"),"",IF(NOT(ISNA(VLOOKUP(E1542,E$1:E1541,1,FALSE()))),"OLD",IF(AND(E1542&lt;&gt;"",E1542&lt;&gt;"!!!"),"NEW","")))</f>
        <v> </v>
      </c>
      <c r="G1542" s="23" t="str">
        <f>IF(OR(E1542="",E1542="!!!"),"",IF(OR(J1542=0,AND(J1542=1,K1542=1),AND(J1542=1,I1542="SBJ"),AND(J1542=1,I1542=0)),"?IN_FOCUS",IF(J1542&lt;=2,"?ACTIVATED",IF(J1542&lt;&gt;"","?FAMILIAR",IF(F1542="NEW",IF(ISNA(VLOOKUP(E1542,#REF!,1,FALSE())),"?TYPE_IDENTIFIABLE","?REFERENTIAL"),"_")))))</f>
        <v> </v>
      </c>
      <c r="H1542" s="24" t="str">
        <f>IF(J1542&lt;&gt;1,"",IF(I1542="SBJ","CB","?"))</f>
        <v> </v>
      </c>
      <c r="I1542" s="25" t="str">
        <f>IF(OR(E1542="",E1542="!!!",F1542="NEW"),"",INDEX(B1541:B$2,-1+SUMPRODUCT(MAX(ROW(E1541:E$2)*(E1542=E1541:E$2)))))</f>
        <v> </v>
      </c>
      <c r="J1542" s="25" t="str">
        <f>IF(OR(E1542="",E1542="!!!",F1542="NEW"),"",COUNTBLANK(OFFSET(A$1,,,SUMPRODUCT(MAX(ROW(E$2:E1542)*(E1542=E$2:E1542)))))-COUNTBLANK(OFFSET(A$1,,,SUMPRODUCT(MAX(ROW(E$1:E1541)*(E2=E$1:E1541))))))</f>
        <v> </v>
      </c>
      <c r="K1542" s="25" t="str">
        <f>IF(OR(E1542="",E1542="!!!",F1542="NEW"),"",INDEX(J$1:J1541,SUMPRODUCT(MAX(ROW(E$1:E1541)*(E1542=E$1:E1541)))))</f>
        <v> </v>
      </c>
      <c r="L1542" s="26"/>
    </row>
    <row r="1543" spans="1:12">
      <c r="A1543" s="20" t="s">
        <v>771</v>
      </c>
      <c r="B1543" s="27" t="s">
        <v>597</v>
      </c>
      <c r="C1543" s="27" t="s">
        <v>281</v>
      </c>
      <c r="E1543" s="21">
        <f>IF(D1543="?OLD","!!!","")</f>
        <v/>
      </c>
      <c r="F1543" s="22" t="str">
        <f>IF(OR(E1543="",E1543="!!!"),"",IF(NOT(ISNA(VLOOKUP(E1543,E$1:E1542,1,FALSE()))),"OLD",IF(AND(E1543&lt;&gt;"",E1543&lt;&gt;"!!!"),"NEW","")))</f>
        <v> </v>
      </c>
      <c r="G1543" s="23" t="str">
        <f>IF(OR(E1543="",E1543="!!!"),"",IF(OR(J1543=0,AND(J1543=1,K1543=1),AND(J1543=1,I1543="SBJ"),AND(J1543=1,I1543=0)),"?IN_FOCUS",IF(J1543&lt;=2,"?ACTIVATED",IF(J1543&lt;&gt;"","?FAMILIAR",IF(F1543="NEW",IF(ISNA(VLOOKUP(E1543,#REF!,1,FALSE())),"?TYPE_IDENTIFIABLE","?REFERENTIAL"),"_")))))</f>
        <v> </v>
      </c>
      <c r="H1543" s="24" t="str">
        <f>IF(J1543&lt;&gt;1,"",IF(I1543="SBJ","CB","?"))</f>
        <v> </v>
      </c>
      <c r="I1543" s="25" t="str">
        <f>IF(OR(E1543="",E1543="!!!",F1543="NEW"),"",INDEX(B1542:B$2,-1+SUMPRODUCT(MAX(ROW(E1542:E$2)*(E1543=E1542:E$2)))))</f>
        <v> </v>
      </c>
      <c r="J1543" s="25" t="str">
        <f>IF(OR(E1543="",E1543="!!!",F1543="NEW"),"",COUNTBLANK(OFFSET(A$1,,,SUMPRODUCT(MAX(ROW(E$2:E1543)*(E1543=E$2:E1543)))))-COUNTBLANK(OFFSET(A$1,,,SUMPRODUCT(MAX(ROW(E$1:E1542)*(E2=E$1:E1542))))))</f>
        <v> </v>
      </c>
      <c r="K1543" s="25" t="str">
        <f>IF(OR(E1543="",E1543="!!!",F1543="NEW"),"",INDEX(J$1:J1542,SUMPRODUCT(MAX(ROW(E$1:E1542)*(E1543=E$1:E1542)))))</f>
        <v> </v>
      </c>
      <c r="L1543" s="26"/>
    </row>
    <row r="1544" spans="1:12">
      <c r="A1544" s="20" t="s">
        <v>314</v>
      </c>
      <c r="E1544" s="21">
        <f>IF(D1544="?OLD","!!!","")</f>
        <v/>
      </c>
      <c r="F1544" s="22" t="str">
        <f>IF(OR(E1544="",E1544="!!!"),"",IF(NOT(ISNA(VLOOKUP(E1544,E$1:E1543,1,FALSE()))),"OLD",IF(AND(E1544&lt;&gt;"",E1544&lt;&gt;"!!!"),"NEW","")))</f>
        <v> </v>
      </c>
      <c r="G1544" s="23" t="str">
        <f>IF(OR(E1544="",E1544="!!!"),"",IF(OR(J1544=0,AND(J1544=1,K1544=1),AND(J1544=1,I1544="SBJ"),AND(J1544=1,I1544=0)),"?IN_FOCUS",IF(J1544&lt;=2,"?ACTIVATED",IF(J1544&lt;&gt;"","?FAMILIAR",IF(F1544="NEW",IF(ISNA(VLOOKUP(E1544,#REF!,1,FALSE())),"?TYPE_IDENTIFIABLE","?REFERENTIAL"),"_")))))</f>
        <v> </v>
      </c>
      <c r="H1544" s="24" t="str">
        <f>IF(J1544&lt;&gt;1,"",IF(I1544="SBJ","CB","?"))</f>
        <v> </v>
      </c>
      <c r="I1544" s="25" t="str">
        <f>IF(OR(E1544="",E1544="!!!",F1544="NEW"),"",INDEX(B1543:B$2,-1+SUMPRODUCT(MAX(ROW(E1543:E$2)*(E1544=E1543:E$2)))))</f>
        <v> </v>
      </c>
      <c r="J1544" s="25" t="str">
        <f>IF(OR(E1544="",E1544="!!!",F1544="NEW"),"",COUNTBLANK(OFFSET(A$1,,,SUMPRODUCT(MAX(ROW(E$2:E1544)*(E1544=E$2:E1544)))))-COUNTBLANK(OFFSET(A$1,,,SUMPRODUCT(MAX(ROW(E$1:E1543)*(E2=E$1:E1543))))))</f>
        <v> </v>
      </c>
      <c r="K1544" s="25" t="str">
        <f>IF(OR(E1544="",E1544="!!!",F1544="NEW"),"",INDEX(J$1:J1543,SUMPRODUCT(MAX(ROW(E$1:E1543)*(E1544=E$1:E1543)))))</f>
        <v> </v>
      </c>
      <c r="L1544" s="26"/>
    </row>
    <row r="1545" spans="1:12">
      <c r="A1545" s="20" t="s">
        <v>258</v>
      </c>
      <c r="E1545" s="21">
        <f>IF(D1545="?OLD","!!!","")</f>
        <v/>
      </c>
      <c r="F1545" s="22" t="str">
        <f>IF(OR(E1545="",E1545="!!!"),"",IF(NOT(ISNA(VLOOKUP(E1545,E$1:E1544,1,FALSE()))),"OLD",IF(AND(E1545&lt;&gt;"",E1545&lt;&gt;"!!!"),"NEW","")))</f>
        <v> </v>
      </c>
      <c r="G1545" s="23" t="str">
        <f>IF(OR(E1545="",E1545="!!!"),"",IF(OR(J1545=0,AND(J1545=1,K1545=1),AND(J1545=1,I1545="SBJ"),AND(J1545=1,I1545=0)),"?IN_FOCUS",IF(J1545&lt;=2,"?ACTIVATED",IF(J1545&lt;&gt;"","?FAMILIAR",IF(F1545="NEW",IF(ISNA(VLOOKUP(E1545,#REF!,1,FALSE())),"?TYPE_IDENTIFIABLE","?REFERENTIAL"),"_")))))</f>
        <v> </v>
      </c>
      <c r="H1545" s="24" t="str">
        <f>IF(J1545&lt;&gt;1,"",IF(I1545="SBJ","CB","?"))</f>
        <v> </v>
      </c>
      <c r="I1545" s="25" t="str">
        <f>IF(OR(E1545="",E1545="!!!",F1545="NEW"),"",INDEX(B1544:B$2,-1+SUMPRODUCT(MAX(ROW(E1544:E$2)*(E1545=E1544:E$2)))))</f>
        <v> </v>
      </c>
      <c r="J1545" s="25" t="str">
        <f>IF(OR(E1545="",E1545="!!!",F1545="NEW"),"",COUNTBLANK(OFFSET(A$1,,,SUMPRODUCT(MAX(ROW(E$2:E1545)*(E1545=E$2:E1545)))))-COUNTBLANK(OFFSET(A$1,,,SUMPRODUCT(MAX(ROW(E$1:E1544)*(E2=E$1:E1544))))))</f>
        <v> </v>
      </c>
      <c r="K1545" s="25" t="str">
        <f>IF(OR(E1545="",E1545="!!!",F1545="NEW"),"",INDEX(J$1:J1544,SUMPRODUCT(MAX(ROW(E$1:E1544)*(E1545=E$1:E1544)))))</f>
        <v> </v>
      </c>
      <c r="L1545" s="26"/>
    </row>
    <row r="1546" spans="1:12">
      <c r="A1546" s="20" t="s">
        <v>856</v>
      </c>
      <c r="E1546" s="21">
        <f>IF(D1546="?OLD","!!!","")</f>
        <v/>
      </c>
      <c r="F1546" s="22" t="str">
        <f>IF(OR(E1546="",E1546="!!!"),"",IF(NOT(ISNA(VLOOKUP(E1546,E$1:E1545,1,FALSE()))),"OLD",IF(AND(E1546&lt;&gt;"",E1546&lt;&gt;"!!!"),"NEW","")))</f>
        <v> </v>
      </c>
      <c r="G1546" s="23" t="str">
        <f>IF(OR(E1546="",E1546="!!!"),"",IF(OR(J1546=0,AND(J1546=1,K1546=1),AND(J1546=1,I1546="SBJ"),AND(J1546=1,I1546=0)),"?IN_FOCUS",IF(J1546&lt;=2,"?ACTIVATED",IF(J1546&lt;&gt;"","?FAMILIAR",IF(F1546="NEW",IF(ISNA(VLOOKUP(E1546,#REF!,1,FALSE())),"?TYPE_IDENTIFIABLE","?REFERENTIAL"),"_")))))</f>
        <v> </v>
      </c>
      <c r="H1546" s="24" t="str">
        <f>IF(J1546&lt;&gt;1,"",IF(I1546="SBJ","CB","?"))</f>
        <v> </v>
      </c>
      <c r="I1546" s="25" t="str">
        <f>IF(OR(E1546="",E1546="!!!",F1546="NEW"),"",INDEX(B1545:B$2,-1+SUMPRODUCT(MAX(ROW(E1545:E$2)*(E1546=E1545:E$2)))))</f>
        <v> </v>
      </c>
      <c r="J1546" s="25" t="str">
        <f>IF(OR(E1546="",E1546="!!!",F1546="NEW"),"",COUNTBLANK(OFFSET(A$1,,,SUMPRODUCT(MAX(ROW(E$2:E1546)*(E1546=E$2:E1546)))))-COUNTBLANK(OFFSET(A$1,,,SUMPRODUCT(MAX(ROW(E$1:E1545)*(E2=E$1:E1545))))))</f>
        <v> </v>
      </c>
      <c r="K1546" s="25" t="str">
        <f>IF(OR(E1546="",E1546="!!!",F1546="NEW"),"",INDEX(J$1:J1545,SUMPRODUCT(MAX(ROW(E$1:E1545)*(E1546=E$1:E1545)))))</f>
        <v> </v>
      </c>
      <c r="L1546" s="26"/>
    </row>
    <row r="1547" spans="1:12">
      <c r="A1547" s="20" t="s">
        <v>857</v>
      </c>
      <c r="B1547" s="27" t="s">
        <v>291</v>
      </c>
      <c r="C1547" s="27" t="s">
        <v>281</v>
      </c>
      <c r="E1547" s="21">
        <f>IF(D1547="?OLD","!!!","")</f>
        <v/>
      </c>
      <c r="F1547" s="22" t="str">
        <f>IF(OR(E1547="",E1547="!!!"),"",IF(NOT(ISNA(VLOOKUP(E1547,E$1:E1546,1,FALSE()))),"OLD",IF(AND(E1547&lt;&gt;"",E1547&lt;&gt;"!!!"),"NEW","")))</f>
        <v> </v>
      </c>
      <c r="G1547" s="23" t="str">
        <f>IF(OR(E1547="",E1547="!!!"),"",IF(OR(J1547=0,AND(J1547=1,K1547=1),AND(J1547=1,I1547="SBJ"),AND(J1547=1,I1547=0)),"?IN_FOCUS",IF(J1547&lt;=2,"?ACTIVATED",IF(J1547&lt;&gt;"","?FAMILIAR",IF(F1547="NEW",IF(ISNA(VLOOKUP(E1547,#REF!,1,FALSE())),"?TYPE_IDENTIFIABLE","?REFERENTIAL"),"_")))))</f>
        <v> </v>
      </c>
      <c r="H1547" s="24" t="str">
        <f>IF(J1547&lt;&gt;1,"",IF(I1547="SBJ","CB","?"))</f>
        <v> </v>
      </c>
      <c r="I1547" s="25" t="str">
        <f>IF(OR(E1547="",E1547="!!!",F1547="NEW"),"",INDEX(B1546:B$2,-1+SUMPRODUCT(MAX(ROW(E1546:E$2)*(E1547=E1546:E$2)))))</f>
        <v> </v>
      </c>
      <c r="J1547" s="25" t="str">
        <f>IF(OR(E1547="",E1547="!!!",F1547="NEW"),"",COUNTBLANK(OFFSET(A$1,,,SUMPRODUCT(MAX(ROW(E$2:E1547)*(E1547=E$2:E1547)))))-COUNTBLANK(OFFSET(A$1,,,SUMPRODUCT(MAX(ROW(E$1:E1546)*(E2=E$1:E1546))))))</f>
        <v> </v>
      </c>
      <c r="K1547" s="25" t="str">
        <f>IF(OR(E1547="",E1547="!!!",F1547="NEW"),"",INDEX(J$1:J1546,SUMPRODUCT(MAX(ROW(E$1:E1546)*(E1547=E$1:E1546)))))</f>
        <v> </v>
      </c>
      <c r="L1547" s="26"/>
    </row>
    <row r="1548" spans="1:12">
      <c r="A1548" s="20" t="s">
        <v>349</v>
      </c>
      <c r="E1548" s="21">
        <f>IF(D1548="?OLD","!!!","")</f>
        <v/>
      </c>
      <c r="F1548" s="22" t="str">
        <f>IF(OR(E1548="",E1548="!!!"),"",IF(NOT(ISNA(VLOOKUP(E1548,E$1:E1547,1,FALSE()))),"OLD",IF(AND(E1548&lt;&gt;"",E1548&lt;&gt;"!!!"),"NEW","")))</f>
        <v> </v>
      </c>
      <c r="G1548" s="23" t="str">
        <f>IF(OR(E1548="",E1548="!!!"),"",IF(OR(J1548=0,AND(J1548=1,K1548=1),AND(J1548=1,I1548="SBJ"),AND(J1548=1,I1548=0)),"?IN_FOCUS",IF(J1548&lt;=2,"?ACTIVATED",IF(J1548&lt;&gt;"","?FAMILIAR",IF(F1548="NEW",IF(ISNA(VLOOKUP(E1548,#REF!,1,FALSE())),"?TYPE_IDENTIFIABLE","?REFERENTIAL"),"_")))))</f>
        <v> </v>
      </c>
      <c r="H1548" s="24" t="str">
        <f>IF(J1548&lt;&gt;1,"",IF(I1548="SBJ","CB","?"))</f>
        <v> </v>
      </c>
      <c r="I1548" s="25" t="str">
        <f>IF(OR(E1548="",E1548="!!!",F1548="NEW"),"",INDEX(B1547:B$2,-1+SUMPRODUCT(MAX(ROW(E1547:E$2)*(E1548=E1547:E$2)))))</f>
        <v> </v>
      </c>
      <c r="J1548" s="25" t="str">
        <f>IF(OR(E1548="",E1548="!!!",F1548="NEW"),"",COUNTBLANK(OFFSET(A$1,,,SUMPRODUCT(MAX(ROW(E$2:E1548)*(E1548=E$2:E1548)))))-COUNTBLANK(OFFSET(A$1,,,SUMPRODUCT(MAX(ROW(E$1:E1547)*(E2=E$1:E1547))))))</f>
        <v> </v>
      </c>
      <c r="K1548" s="25" t="str">
        <f>IF(OR(E1548="",E1548="!!!",F1548="NEW"),"",INDEX(J$1:J1547,SUMPRODUCT(MAX(ROW(E$1:E1547)*(E1548=E$1:E1547)))))</f>
        <v> </v>
      </c>
      <c r="L1548" s="26"/>
    </row>
    <row r="1549" spans="1:12">
      <c r="A1549" s="20" t="s">
        <v>858</v>
      </c>
      <c r="E1549" s="21">
        <f>IF(D1549="?OLD","!!!","")</f>
        <v/>
      </c>
      <c r="F1549" s="22" t="str">
        <f>IF(OR(E1549="",E1549="!!!"),"",IF(NOT(ISNA(VLOOKUP(E1549,E$1:E1548,1,FALSE()))),"OLD",IF(AND(E1549&lt;&gt;"",E1549&lt;&gt;"!!!"),"NEW","")))</f>
        <v> </v>
      </c>
      <c r="G1549" s="23" t="str">
        <f>IF(OR(E1549="",E1549="!!!"),"",IF(OR(J1549=0,AND(J1549=1,K1549=1),AND(J1549=1,I1549="SBJ"),AND(J1549=1,I1549=0)),"?IN_FOCUS",IF(J1549&lt;=2,"?ACTIVATED",IF(J1549&lt;&gt;"","?FAMILIAR",IF(F1549="NEW",IF(ISNA(VLOOKUP(E1549,#REF!,1,FALSE())),"?TYPE_IDENTIFIABLE","?REFERENTIAL"),"_")))))</f>
        <v> </v>
      </c>
      <c r="H1549" s="24" t="str">
        <f>IF(J1549&lt;&gt;1,"",IF(I1549="SBJ","CB","?"))</f>
        <v> </v>
      </c>
      <c r="I1549" s="25" t="str">
        <f>IF(OR(E1549="",E1549="!!!",F1549="NEW"),"",INDEX(B1548:B$2,-1+SUMPRODUCT(MAX(ROW(E1548:E$2)*(E1549=E1548:E$2)))))</f>
        <v> </v>
      </c>
      <c r="J1549" s="25" t="str">
        <f>IF(OR(E1549="",E1549="!!!",F1549="NEW"),"",COUNTBLANK(OFFSET(A$1,,,SUMPRODUCT(MAX(ROW(E$2:E1549)*(E1549=E$2:E1549)))))-COUNTBLANK(OFFSET(A$1,,,SUMPRODUCT(MAX(ROW(E$1:E1548)*(E2=E$1:E1548))))))</f>
        <v> </v>
      </c>
      <c r="K1549" s="25" t="str">
        <f>IF(OR(E1549="",E1549="!!!",F1549="NEW"),"",INDEX(J$1:J1548,SUMPRODUCT(MAX(ROW(E$1:E1548)*(E1549=E$1:E1548)))))</f>
        <v> </v>
      </c>
      <c r="L1549" s="26"/>
    </row>
    <row r="1550" spans="1:12">
      <c r="A1550" s="20" t="s">
        <v>551</v>
      </c>
      <c r="E1550" s="21">
        <f>IF(D1550="?OLD","!!!","")</f>
        <v/>
      </c>
      <c r="F1550" s="22" t="str">
        <f>IF(OR(E1550="",E1550="!!!"),"",IF(NOT(ISNA(VLOOKUP(E1550,E$1:E1549,1,FALSE()))),"OLD",IF(AND(E1550&lt;&gt;"",E1550&lt;&gt;"!!!"),"NEW","")))</f>
        <v> </v>
      </c>
      <c r="G1550" s="23" t="str">
        <f>IF(OR(E1550="",E1550="!!!"),"",IF(OR(J1550=0,AND(J1550=1,K1550=1),AND(J1550=1,I1550="SBJ"),AND(J1550=1,I1550=0)),"?IN_FOCUS",IF(J1550&lt;=2,"?ACTIVATED",IF(J1550&lt;&gt;"","?FAMILIAR",IF(F1550="NEW",IF(ISNA(VLOOKUP(E1550,#REF!,1,FALSE())),"?TYPE_IDENTIFIABLE","?REFERENTIAL"),"_")))))</f>
        <v> </v>
      </c>
      <c r="H1550" s="24" t="str">
        <f>IF(J1550&lt;&gt;1,"",IF(I1550="SBJ","CB","?"))</f>
        <v> </v>
      </c>
      <c r="I1550" s="25" t="str">
        <f>IF(OR(E1550="",E1550="!!!",F1550="NEW"),"",INDEX(B1549:B$2,-1+SUMPRODUCT(MAX(ROW(E1549:E$2)*(E1550=E1549:E$2)))))</f>
        <v> </v>
      </c>
      <c r="J1550" s="25" t="str">
        <f>IF(OR(E1550="",E1550="!!!",F1550="NEW"),"",COUNTBLANK(OFFSET(A$1,,,SUMPRODUCT(MAX(ROW(E$2:E1550)*(E1550=E$2:E1550)))))-COUNTBLANK(OFFSET(A$1,,,SUMPRODUCT(MAX(ROW(E$1:E1549)*(E2=E$1:E1549))))))</f>
        <v> </v>
      </c>
      <c r="K1550" s="25" t="str">
        <f>IF(OR(E1550="",E1550="!!!",F1550="NEW"),"",INDEX(J$1:J1549,SUMPRODUCT(MAX(ROW(E$1:E1549)*(E1550=E$1:E1549)))))</f>
        <v> </v>
      </c>
      <c r="L1550" s="26"/>
    </row>
    <row r="1551" spans="1:12">
      <c r="A1551" s="20" t="s">
        <v>852</v>
      </c>
      <c r="B1551" s="27" t="s">
        <v>423</v>
      </c>
      <c r="C1551" s="27" t="s">
        <v>281</v>
      </c>
      <c r="E1551" s="21">
        <f>IF(D1551="?OLD","!!!","")</f>
        <v/>
      </c>
      <c r="F1551" s="22" t="str">
        <f>IF(OR(E1551="",E1551="!!!"),"",IF(NOT(ISNA(VLOOKUP(E1551,E$1:E1550,1,FALSE()))),"OLD",IF(AND(E1551&lt;&gt;"",E1551&lt;&gt;"!!!"),"NEW","")))</f>
        <v> </v>
      </c>
      <c r="G1551" s="23" t="str">
        <f>IF(OR(E1551="",E1551="!!!"),"",IF(OR(J1551=0,AND(J1551=1,K1551=1),AND(J1551=1,I1551="SBJ"),AND(J1551=1,I1551=0)),"?IN_FOCUS",IF(J1551&lt;=2,"?ACTIVATED",IF(J1551&lt;&gt;"","?FAMILIAR",IF(F1551="NEW",IF(ISNA(VLOOKUP(E1551,#REF!,1,FALSE())),"?TYPE_IDENTIFIABLE","?REFERENTIAL"),"_")))))</f>
        <v> </v>
      </c>
      <c r="H1551" s="24" t="str">
        <f>IF(J1551&lt;&gt;1,"",IF(I1551="SBJ","CB","?"))</f>
        <v> </v>
      </c>
      <c r="I1551" s="25" t="str">
        <f>IF(OR(E1551="",E1551="!!!",F1551="NEW"),"",INDEX(B1550:B$2,-1+SUMPRODUCT(MAX(ROW(E1550:E$2)*(E1551=E1550:E$2)))))</f>
        <v> </v>
      </c>
      <c r="J1551" s="25" t="str">
        <f>IF(OR(E1551="",E1551="!!!",F1551="NEW"),"",COUNTBLANK(OFFSET(A$1,,,SUMPRODUCT(MAX(ROW(E$2:E1551)*(E1551=E$2:E1551)))))-COUNTBLANK(OFFSET(A$1,,,SUMPRODUCT(MAX(ROW(E$1:E1550)*(E2=E$1:E1550))))))</f>
        <v> </v>
      </c>
      <c r="K1551" s="25" t="str">
        <f>IF(OR(E1551="",E1551="!!!",F1551="NEW"),"",INDEX(J$1:J1550,SUMPRODUCT(MAX(ROW(E$1:E1550)*(E1551=E$1:E1550)))))</f>
        <v> </v>
      </c>
      <c r="L1551" s="26"/>
    </row>
    <row r="1552" spans="1:12">
      <c r="A1552" s="20" t="s">
        <v>260</v>
      </c>
      <c r="E1552" s="21">
        <f>IF(D1552="?OLD","!!!","")</f>
        <v/>
      </c>
      <c r="F1552" s="22" t="str">
        <f>IF(OR(E1552="",E1552="!!!"),"",IF(NOT(ISNA(VLOOKUP(E1552,E$1:E1551,1,FALSE()))),"OLD",IF(AND(E1552&lt;&gt;"",E1552&lt;&gt;"!!!"),"NEW","")))</f>
        <v> </v>
      </c>
      <c r="G1552" s="23" t="str">
        <f>IF(OR(E1552="",E1552="!!!"),"",IF(OR(J1552=0,AND(J1552=1,K1552=1),AND(J1552=1,I1552="SBJ"),AND(J1552=1,I1552=0)),"?IN_FOCUS",IF(J1552&lt;=2,"?ACTIVATED",IF(J1552&lt;&gt;"","?FAMILIAR",IF(F1552="NEW",IF(ISNA(VLOOKUP(E1552,#REF!,1,FALSE())),"?TYPE_IDENTIFIABLE","?REFERENTIAL"),"_")))))</f>
        <v> </v>
      </c>
      <c r="H1552" s="24" t="str">
        <f>IF(J1552&lt;&gt;1,"",IF(I1552="SBJ","CB","?"))</f>
        <v> </v>
      </c>
      <c r="I1552" s="25" t="str">
        <f>IF(OR(E1552="",E1552="!!!",F1552="NEW"),"",INDEX(B1551:B$2,-1+SUMPRODUCT(MAX(ROW(E1551:E$2)*(E1552=E1551:E$2)))))</f>
        <v> </v>
      </c>
      <c r="J1552" s="25" t="str">
        <f>IF(OR(E1552="",E1552="!!!",F1552="NEW"),"",COUNTBLANK(OFFSET(A$1,,,SUMPRODUCT(MAX(ROW(E$2:E1552)*(E1552=E$2:E1552)))))-COUNTBLANK(OFFSET(A$1,,,SUMPRODUCT(MAX(ROW(E$1:E1551)*(E2=E$1:E1551))))))</f>
        <v> </v>
      </c>
      <c r="K1552" s="25" t="str">
        <f>IF(OR(E1552="",E1552="!!!",F1552="NEW"),"",INDEX(J$1:J1551,SUMPRODUCT(MAX(ROW(E$1:E1551)*(E1552=E$1:E1551)))))</f>
        <v> </v>
      </c>
      <c r="L1552" s="26"/>
    </row>
    <row r="1553" spans="1:12">
      <c r="A1553" s="20" t="s">
        <v>341</v>
      </c>
      <c r="B1553" s="27" t="s">
        <v>504</v>
      </c>
      <c r="C1553" s="27" t="s">
        <v>256</v>
      </c>
      <c r="D1553" s="27" t="s">
        <v>244</v>
      </c>
      <c r="E1553" s="21">
        <f>IF(D1553="?OLD","!!!","")</f>
        <v/>
      </c>
      <c r="F1553" s="22" t="str">
        <f>IF(OR(E1553="",E1553="!!!"),"",IF(NOT(ISNA(VLOOKUP(E1553,E$1:E1552,1,FALSE()))),"OLD",IF(AND(E1553&lt;&gt;"",E1553&lt;&gt;"!!!"),"NEW","")))</f>
        <v> </v>
      </c>
      <c r="G1553" s="23" t="str">
        <f>IF(OR(E1553="",E1553="!!!"),"",IF(OR(J1553=0,AND(J1553=1,K1553=1),AND(J1553=1,I1553="SBJ"),AND(J1553=1,I1553=0)),"?IN_FOCUS",IF(J1553&lt;=2,"?ACTIVATED",IF(J1553&lt;&gt;"","?FAMILIAR",IF(F1553="NEW",IF(ISNA(VLOOKUP(E1553,#REF!,1,FALSE())),"?TYPE_IDENTIFIABLE","?REFERENTIAL"),"_")))))</f>
        <v> </v>
      </c>
      <c r="H1553" s="24" t="str">
        <f>IF(J1553&lt;&gt;1,"",IF(I1553="SBJ","CB","?"))</f>
        <v> </v>
      </c>
      <c r="I1553" s="25" t="str">
        <f>IF(OR(E1553="",E1553="!!!",F1553="NEW"),"",INDEX(B1552:B$2,-1+SUMPRODUCT(MAX(ROW(E1552:E$2)*(E1553=E1552:E$2)))))</f>
        <v> </v>
      </c>
      <c r="J1553" s="25" t="str">
        <f>IF(OR(E1553="",E1553="!!!",F1553="NEW"),"",COUNTBLANK(OFFSET(A$1,,,SUMPRODUCT(MAX(ROW(E$2:E1553)*(E1553=E$2:E1553)))))-COUNTBLANK(OFFSET(A$1,,,SUMPRODUCT(MAX(ROW(E$1:E1552)*(E2=E$1:E1552))))))</f>
        <v> </v>
      </c>
      <c r="K1553" s="25" t="str">
        <f>IF(OR(E1553="",E1553="!!!",F1553="NEW"),"",INDEX(J$1:J1552,SUMPRODUCT(MAX(ROW(E$1:E1552)*(E1553=E$1:E1552)))))</f>
        <v> </v>
      </c>
      <c r="L1553" s="26"/>
    </row>
    <row r="1554" spans="1:12">
      <c r="A1554" s="20" t="s">
        <v>311</v>
      </c>
      <c r="E1554" s="21">
        <f>IF(D1554="?OLD","!!!","")</f>
        <v/>
      </c>
      <c r="F1554" s="22" t="str">
        <f>IF(OR(E1554="",E1554="!!!"),"",IF(NOT(ISNA(VLOOKUP(E1554,E$1:E1553,1,FALSE()))),"OLD",IF(AND(E1554&lt;&gt;"",E1554&lt;&gt;"!!!"),"NEW","")))</f>
        <v> </v>
      </c>
      <c r="G1554" s="23" t="str">
        <f>IF(OR(E1554="",E1554="!!!"),"",IF(OR(J1554=0,AND(J1554=1,K1554=1),AND(J1554=1,I1554="SBJ"),AND(J1554=1,I1554=0)),"?IN_FOCUS",IF(J1554&lt;=2,"?ACTIVATED",IF(J1554&lt;&gt;"","?FAMILIAR",IF(F1554="NEW",IF(ISNA(VLOOKUP(E1554,#REF!,1,FALSE())),"?TYPE_IDENTIFIABLE","?REFERENTIAL"),"_")))))</f>
        <v> </v>
      </c>
      <c r="H1554" s="24" t="str">
        <f>IF(J1554&lt;&gt;1,"",IF(I1554="SBJ","CB","?"))</f>
        <v> </v>
      </c>
      <c r="I1554" s="25" t="str">
        <f>IF(OR(E1554="",E1554="!!!",F1554="NEW"),"",INDEX(B1553:B$2,-1+SUMPRODUCT(MAX(ROW(E1553:E$2)*(E1554=E1553:E$2)))))</f>
        <v> </v>
      </c>
      <c r="J1554" s="25" t="str">
        <f>IF(OR(E1554="",E1554="!!!",F1554="NEW"),"",COUNTBLANK(OFFSET(A$1,,,SUMPRODUCT(MAX(ROW(E$2:E1554)*(E1554=E$2:E1554)))))-COUNTBLANK(OFFSET(A$1,,,SUMPRODUCT(MAX(ROW(E$1:E1553)*(E2=E$1:E1553))))))</f>
        <v> </v>
      </c>
      <c r="K1554" s="25" t="str">
        <f>IF(OR(E1554="",E1554="!!!",F1554="NEW"),"",INDEX(J$1:J1553,SUMPRODUCT(MAX(ROW(E$1:E1553)*(E1554=E$1:E1553)))))</f>
        <v> </v>
      </c>
      <c r="L1554" s="26"/>
    </row>
    <row r="1555" spans="1:12">
      <c r="A1555" s="20" t="s">
        <v>448</v>
      </c>
      <c r="E1555" s="21">
        <f>IF(D1555="?OLD","!!!","")</f>
        <v/>
      </c>
      <c r="F1555" s="22" t="str">
        <f>IF(OR(E1555="",E1555="!!!"),"",IF(NOT(ISNA(VLOOKUP(E1555,E$1:E1554,1,FALSE()))),"OLD",IF(AND(E1555&lt;&gt;"",E1555&lt;&gt;"!!!"),"NEW","")))</f>
        <v> </v>
      </c>
      <c r="G1555" s="23" t="str">
        <f>IF(OR(E1555="",E1555="!!!"),"",IF(OR(J1555=0,AND(J1555=1,K1555=1),AND(J1555=1,I1555="SBJ"),AND(J1555=1,I1555=0)),"?IN_FOCUS",IF(J1555&lt;=2,"?ACTIVATED",IF(J1555&lt;&gt;"","?FAMILIAR",IF(F1555="NEW",IF(ISNA(VLOOKUP(E1555,#REF!,1,FALSE())),"?TYPE_IDENTIFIABLE","?REFERENTIAL"),"_")))))</f>
        <v> </v>
      </c>
      <c r="H1555" s="24" t="str">
        <f>IF(J1555&lt;&gt;1,"",IF(I1555="SBJ","CB","?"))</f>
        <v> </v>
      </c>
      <c r="I1555" s="25" t="str">
        <f>IF(OR(E1555="",E1555="!!!",F1555="NEW"),"",INDEX(B1554:B$2,-1+SUMPRODUCT(MAX(ROW(E1554:E$2)*(E1555=E1554:E$2)))))</f>
        <v> </v>
      </c>
      <c r="J1555" s="25" t="str">
        <f>IF(OR(E1555="",E1555="!!!",F1555="NEW"),"",COUNTBLANK(OFFSET(A$1,,,SUMPRODUCT(MAX(ROW(E$2:E1555)*(E1555=E$2:E1555)))))-COUNTBLANK(OFFSET(A$1,,,SUMPRODUCT(MAX(ROW(E$1:E1554)*(E2=E$1:E1554))))))</f>
        <v> </v>
      </c>
      <c r="K1555" s="25" t="str">
        <f>IF(OR(E1555="",E1555="!!!",F1555="NEW"),"",INDEX(J$1:J1554,SUMPRODUCT(MAX(ROW(E$1:E1554)*(E1555=E$1:E1554)))))</f>
        <v> </v>
      </c>
      <c r="L1555" s="26"/>
    </row>
    <row r="1556" spans="1:12">
      <c r="A1556" s="20" t="s">
        <v>859</v>
      </c>
      <c r="E1556" s="21">
        <f>IF(D1556="?OLD","!!!","")</f>
        <v/>
      </c>
      <c r="F1556" s="22" t="str">
        <f>IF(OR(E1556="",E1556="!!!"),"",IF(NOT(ISNA(VLOOKUP(E1556,E$1:E1555,1,FALSE()))),"OLD",IF(AND(E1556&lt;&gt;"",E1556&lt;&gt;"!!!"),"NEW","")))</f>
        <v> </v>
      </c>
      <c r="G1556" s="23" t="str">
        <f>IF(OR(E1556="",E1556="!!!"),"",IF(OR(J1556=0,AND(J1556=1,K1556=1),AND(J1556=1,I1556="SBJ"),AND(J1556=1,I1556=0)),"?IN_FOCUS",IF(J1556&lt;=2,"?ACTIVATED",IF(J1556&lt;&gt;"","?FAMILIAR",IF(F1556="NEW",IF(ISNA(VLOOKUP(E1556,#REF!,1,FALSE())),"?TYPE_IDENTIFIABLE","?REFERENTIAL"),"_")))))</f>
        <v> </v>
      </c>
      <c r="H1556" s="24" t="str">
        <f>IF(J1556&lt;&gt;1,"",IF(I1556="SBJ","CB","?"))</f>
        <v> </v>
      </c>
      <c r="I1556" s="25" t="str">
        <f>IF(OR(E1556="",E1556="!!!",F1556="NEW"),"",INDEX(B1555:B$2,-1+SUMPRODUCT(MAX(ROW(E1555:E$2)*(E1556=E1555:E$2)))))</f>
        <v> </v>
      </c>
      <c r="J1556" s="25" t="str">
        <f>IF(OR(E1556="",E1556="!!!",F1556="NEW"),"",COUNTBLANK(OFFSET(A$1,,,SUMPRODUCT(MAX(ROW(E$2:E1556)*(E1556=E$2:E1556)))))-COUNTBLANK(OFFSET(A$1,,,SUMPRODUCT(MAX(ROW(E$1:E1555)*(E2=E$1:E1555))))))</f>
        <v> </v>
      </c>
      <c r="K1556" s="25" t="str">
        <f>IF(OR(E1556="",E1556="!!!",F1556="NEW"),"",INDEX(J$1:J1555,SUMPRODUCT(MAX(ROW(E$1:E1555)*(E1556=E$1:E1555)))))</f>
        <v> </v>
      </c>
      <c r="L1556" s="26"/>
    </row>
    <row r="1557" spans="1:12">
      <c r="A1557" s="20" t="s">
        <v>11</v>
      </c>
      <c r="E1557" s="21">
        <f>IF(D1557="?OLD","!!!","")</f>
        <v/>
      </c>
      <c r="F1557" s="22" t="str">
        <f>IF(OR(E1557="",E1557="!!!"),"",IF(NOT(ISNA(VLOOKUP(E1557,E$1:E1556,1,FALSE()))),"OLD",IF(AND(E1557&lt;&gt;"",E1557&lt;&gt;"!!!"),"NEW","")))</f>
        <v> </v>
      </c>
      <c r="G1557" s="23" t="str">
        <f>IF(OR(E1557="",E1557="!!!"),"",IF(OR(J1557=0,AND(J1557=1,K1557=1),AND(J1557=1,I1557="SBJ"),AND(J1557=1,I1557=0)),"?IN_FOCUS",IF(J1557&lt;=2,"?ACTIVATED",IF(J1557&lt;&gt;"","?FAMILIAR",IF(F1557="NEW",IF(ISNA(VLOOKUP(E1557,#REF!,1,FALSE())),"?TYPE_IDENTIFIABLE","?REFERENTIAL"),"_")))))</f>
        <v> </v>
      </c>
      <c r="H1557" s="24" t="str">
        <f>IF(J1557&lt;&gt;1,"",IF(I1557="SBJ","CB","?"))</f>
        <v> </v>
      </c>
      <c r="I1557" s="25" t="str">
        <f>IF(OR(E1557="",E1557="!!!",F1557="NEW"),"",INDEX(B1556:B$2,-1+SUMPRODUCT(MAX(ROW(E1556:E$2)*(E1557=E1556:E$2)))))</f>
        <v> </v>
      </c>
      <c r="J1557" s="25" t="str">
        <f>IF(OR(E1557="",E1557="!!!",F1557="NEW"),"",COUNTBLANK(OFFSET(A$1,,,SUMPRODUCT(MAX(ROW(E$2:E1557)*(E1557=E$2:E1557)))))-COUNTBLANK(OFFSET(A$1,,,SUMPRODUCT(MAX(ROW(E$1:E1556)*(E2=E$1:E1556))))))</f>
        <v> </v>
      </c>
      <c r="K1557" s="25" t="str">
        <f>IF(OR(E1557="",E1557="!!!",F1557="NEW"),"",INDEX(J$1:J1556,SUMPRODUCT(MAX(ROW(E$1:E1556)*(E1557=E$1:E1556)))))</f>
        <v> </v>
      </c>
      <c r="L1557" s="26"/>
    </row>
    <row r="1558" spans="1:12">
      <c r="A1558" s="20" t="s">
        <v>860</v>
      </c>
      <c r="B1558" s="27" t="s">
        <v>461</v>
      </c>
      <c r="C1558" s="27" t="s">
        <v>281</v>
      </c>
      <c r="E1558" s="21">
        <f>IF(D1558="?OLD","!!!","")</f>
        <v/>
      </c>
      <c r="F1558" s="22" t="str">
        <f>IF(OR(E1558="",E1558="!!!"),"",IF(NOT(ISNA(VLOOKUP(E1558,E$1:E1557,1,FALSE()))),"OLD",IF(AND(E1558&lt;&gt;"",E1558&lt;&gt;"!!!"),"NEW","")))</f>
        <v> </v>
      </c>
      <c r="G1558" s="23" t="str">
        <f>IF(OR(E1558="",E1558="!!!"),"",IF(OR(J1558=0,AND(J1558=1,K1558=1),AND(J1558=1,I1558="SBJ"),AND(J1558=1,I1558=0)),"?IN_FOCUS",IF(J1558&lt;=2,"?ACTIVATED",IF(J1558&lt;&gt;"","?FAMILIAR",IF(F1558="NEW",IF(ISNA(VLOOKUP(E1558,#REF!,1,FALSE())),"?TYPE_IDENTIFIABLE","?REFERENTIAL"),"_")))))</f>
        <v> </v>
      </c>
      <c r="H1558" s="24" t="str">
        <f>IF(J1558&lt;&gt;1,"",IF(I1558="SBJ","CB","?"))</f>
        <v> </v>
      </c>
      <c r="I1558" s="25" t="str">
        <f>IF(OR(E1558="",E1558="!!!",F1558="NEW"),"",INDEX(B1557:B$2,-1+SUMPRODUCT(MAX(ROW(E1557:E$2)*(E1558=E1557:E$2)))))</f>
        <v> </v>
      </c>
      <c r="J1558" s="25" t="str">
        <f>IF(OR(E1558="",E1558="!!!",F1558="NEW"),"",COUNTBLANK(OFFSET(A$1,,,SUMPRODUCT(MAX(ROW(E$2:E1558)*(E1558=E$2:E1558)))))-COUNTBLANK(OFFSET(A$1,,,SUMPRODUCT(MAX(ROW(E$1:E1557)*(E2=E$1:E1557))))))</f>
        <v> </v>
      </c>
      <c r="K1558" s="25" t="str">
        <f>IF(OR(E1558="",E1558="!!!",F1558="NEW"),"",INDEX(J$1:J1557,SUMPRODUCT(MAX(ROW(E$1:E1557)*(E1558=E$1:E1557)))))</f>
        <v> </v>
      </c>
      <c r="L1558" s="26"/>
    </row>
    <row r="1559" spans="1:12">
      <c r="A1559" s="20" t="s">
        <v>305</v>
      </c>
      <c r="E1559" s="21">
        <f>IF(D1559="?OLD","!!!","")</f>
        <v/>
      </c>
      <c r="F1559" s="22" t="str">
        <f>IF(OR(E1559="",E1559="!!!"),"",IF(NOT(ISNA(VLOOKUP(E1559,E$1:E1558,1,FALSE()))),"OLD",IF(AND(E1559&lt;&gt;"",E1559&lt;&gt;"!!!"),"NEW","")))</f>
        <v> </v>
      </c>
      <c r="G1559" s="23" t="str">
        <f>IF(OR(E1559="",E1559="!!!"),"",IF(OR(J1559=0,AND(J1559=1,K1559=1),AND(J1559=1,I1559="SBJ"),AND(J1559=1,I1559=0)),"?IN_FOCUS",IF(J1559&lt;=2,"?ACTIVATED",IF(J1559&lt;&gt;"","?FAMILIAR",IF(F1559="NEW",IF(ISNA(VLOOKUP(E1559,#REF!,1,FALSE())),"?TYPE_IDENTIFIABLE","?REFERENTIAL"),"_")))))</f>
        <v> </v>
      </c>
      <c r="H1559" s="24" t="str">
        <f>IF(J1559&lt;&gt;1,"",IF(I1559="SBJ","CB","?"))</f>
        <v> </v>
      </c>
      <c r="I1559" s="25" t="str">
        <f>IF(OR(E1559="",E1559="!!!",F1559="NEW"),"",INDEX(B1558:B$2,-1+SUMPRODUCT(MAX(ROW(E1558:E$2)*(E1559=E1558:E$2)))))</f>
        <v> </v>
      </c>
      <c r="J1559" s="25" t="str">
        <f>IF(OR(E1559="",E1559="!!!",F1559="NEW"),"",COUNTBLANK(OFFSET(A$1,,,SUMPRODUCT(MAX(ROW(E$2:E1559)*(E1559=E$2:E1559)))))-COUNTBLANK(OFFSET(A$1,,,SUMPRODUCT(MAX(ROW(E$1:E1558)*(E2=E$1:E1558))))))</f>
        <v> </v>
      </c>
      <c r="K1559" s="25" t="str">
        <f>IF(OR(E1559="",E1559="!!!",F1559="NEW"),"",INDEX(J$1:J1558,SUMPRODUCT(MAX(ROW(E$1:E1558)*(E1559=E$1:E1558)))))</f>
        <v> </v>
      </c>
      <c r="L1559" s="26"/>
    </row>
    <row r="1560" spans="1:12">
      <c r="A1560" s="20" t="s">
        <v>314</v>
      </c>
      <c r="E1560" s="21">
        <f>IF(D1560="?OLD","!!!","")</f>
        <v/>
      </c>
      <c r="F1560" s="22" t="str">
        <f>IF(OR(E1560="",E1560="!!!"),"",IF(NOT(ISNA(VLOOKUP(E1560,E$1:E1559,1,FALSE()))),"OLD",IF(AND(E1560&lt;&gt;"",E1560&lt;&gt;"!!!"),"NEW","")))</f>
        <v> </v>
      </c>
      <c r="G1560" s="23" t="str">
        <f>IF(OR(E1560="",E1560="!!!"),"",IF(OR(J1560=0,AND(J1560=1,K1560=1),AND(J1560=1,I1560="SBJ"),AND(J1560=1,I1560=0)),"?IN_FOCUS",IF(J1560&lt;=2,"?ACTIVATED",IF(J1560&lt;&gt;"","?FAMILIAR",IF(F1560="NEW",IF(ISNA(VLOOKUP(E1560,#REF!,1,FALSE())),"?TYPE_IDENTIFIABLE","?REFERENTIAL"),"_")))))</f>
        <v> </v>
      </c>
      <c r="H1560" s="24" t="str">
        <f>IF(J1560&lt;&gt;1,"",IF(I1560="SBJ","CB","?"))</f>
        <v> </v>
      </c>
      <c r="I1560" s="25" t="str">
        <f>IF(OR(E1560="",E1560="!!!",F1560="NEW"),"",INDEX(B1559:B$2,-1+SUMPRODUCT(MAX(ROW(E1559:E$2)*(E1560=E1559:E$2)))))</f>
        <v> </v>
      </c>
      <c r="J1560" s="25" t="str">
        <f>IF(OR(E1560="",E1560="!!!",F1560="NEW"),"",COUNTBLANK(OFFSET(A$1,,,SUMPRODUCT(MAX(ROW(E$2:E1560)*(E1560=E$2:E1560)))))-COUNTBLANK(OFFSET(A$1,,,SUMPRODUCT(MAX(ROW(E$1:E1559)*(E2=E$1:E1559))))))</f>
        <v> </v>
      </c>
      <c r="K1560" s="25" t="str">
        <f>IF(OR(E1560="",E1560="!!!",F1560="NEW"),"",INDEX(J$1:J1559,SUMPRODUCT(MAX(ROW(E$1:E1559)*(E1560=E$1:E1559)))))</f>
        <v> </v>
      </c>
      <c r="L1560" s="26"/>
    </row>
    <row r="1561" spans="1:12">
      <c r="A1561" s="20" t="s">
        <v>311</v>
      </c>
      <c r="E1561" s="21">
        <f>IF(D1561="?OLD","!!!","")</f>
        <v/>
      </c>
      <c r="F1561" s="22" t="str">
        <f>IF(OR(E1561="",E1561="!!!"),"",IF(NOT(ISNA(VLOOKUP(E1561,E$1:E1560,1,FALSE()))),"OLD",IF(AND(E1561&lt;&gt;"",E1561&lt;&gt;"!!!"),"NEW","")))</f>
        <v> </v>
      </c>
      <c r="G1561" s="23" t="str">
        <f>IF(OR(E1561="",E1561="!!!"),"",IF(OR(J1561=0,AND(J1561=1,K1561=1),AND(J1561=1,I1561="SBJ"),AND(J1561=1,I1561=0)),"?IN_FOCUS",IF(J1561&lt;=2,"?ACTIVATED",IF(J1561&lt;&gt;"","?FAMILIAR",IF(F1561="NEW",IF(ISNA(VLOOKUP(E1561,#REF!,1,FALSE())),"?TYPE_IDENTIFIABLE","?REFERENTIAL"),"_")))))</f>
        <v> </v>
      </c>
      <c r="H1561" s="24" t="str">
        <f>IF(J1561&lt;&gt;1,"",IF(I1561="SBJ","CB","?"))</f>
        <v> </v>
      </c>
      <c r="I1561" s="25" t="str">
        <f>IF(OR(E1561="",E1561="!!!",F1561="NEW"),"",INDEX(B1560:B$2,-1+SUMPRODUCT(MAX(ROW(E1560:E$2)*(E1561=E1560:E$2)))))</f>
        <v> </v>
      </c>
      <c r="J1561" s="25" t="str">
        <f>IF(OR(E1561="",E1561="!!!",F1561="NEW"),"",COUNTBLANK(OFFSET(A$1,,,SUMPRODUCT(MAX(ROW(E$2:E1561)*(E1561=E$2:E1561)))))-COUNTBLANK(OFFSET(A$1,,,SUMPRODUCT(MAX(ROW(E$1:E1560)*(E2=E$1:E1560))))))</f>
        <v> </v>
      </c>
      <c r="K1561" s="25" t="str">
        <f>IF(OR(E1561="",E1561="!!!",F1561="NEW"),"",INDEX(J$1:J1560,SUMPRODUCT(MAX(ROW(E$1:E1560)*(E1561=E$1:E1560)))))</f>
        <v> </v>
      </c>
      <c r="L1561" s="26"/>
    </row>
    <row r="1562" spans="1:12">
      <c r="A1562" s="20" t="s">
        <v>370</v>
      </c>
      <c r="E1562" s="21">
        <f>IF(D1562="?OLD","!!!","")</f>
        <v/>
      </c>
      <c r="F1562" s="22" t="str">
        <f>IF(OR(E1562="",E1562="!!!"),"",IF(NOT(ISNA(VLOOKUP(E1562,E$1:E1561,1,FALSE()))),"OLD",IF(AND(E1562&lt;&gt;"",E1562&lt;&gt;"!!!"),"NEW","")))</f>
        <v> </v>
      </c>
      <c r="G1562" s="23" t="str">
        <f>IF(OR(E1562="",E1562="!!!"),"",IF(OR(J1562=0,AND(J1562=1,K1562=1),AND(J1562=1,I1562="SBJ"),AND(J1562=1,I1562=0)),"?IN_FOCUS",IF(J1562&lt;=2,"?ACTIVATED",IF(J1562&lt;&gt;"","?FAMILIAR",IF(F1562="NEW",IF(ISNA(VLOOKUP(E1562,#REF!,1,FALSE())),"?TYPE_IDENTIFIABLE","?REFERENTIAL"),"_")))))</f>
        <v> </v>
      </c>
      <c r="H1562" s="24" t="str">
        <f>IF(J1562&lt;&gt;1,"",IF(I1562="SBJ","CB","?"))</f>
        <v> </v>
      </c>
      <c r="I1562" s="25" t="str">
        <f>IF(OR(E1562="",E1562="!!!",F1562="NEW"),"",INDEX(B1561:B$2,-1+SUMPRODUCT(MAX(ROW(E1561:E$2)*(E1562=E1561:E$2)))))</f>
        <v> </v>
      </c>
      <c r="J1562" s="25" t="str">
        <f>IF(OR(E1562="",E1562="!!!",F1562="NEW"),"",COUNTBLANK(OFFSET(A$1,,,SUMPRODUCT(MAX(ROW(E$2:E1562)*(E1562=E$2:E1562)))))-COUNTBLANK(OFFSET(A$1,,,SUMPRODUCT(MAX(ROW(E$1:E1561)*(E2=E$1:E1561))))))</f>
        <v> </v>
      </c>
      <c r="K1562" s="25" t="str">
        <f>IF(OR(E1562="",E1562="!!!",F1562="NEW"),"",INDEX(J$1:J1561,SUMPRODUCT(MAX(ROW(E$1:E1561)*(E1562=E$1:E1561)))))</f>
        <v> </v>
      </c>
      <c r="L1562" s="26"/>
    </row>
    <row r="1563" spans="1:12">
      <c r="A1563" s="20" t="s">
        <v>276</v>
      </c>
      <c r="E1563" s="21">
        <f>IF(D1563="?OLD","!!!","")</f>
        <v/>
      </c>
      <c r="F1563" s="22" t="str">
        <f>IF(OR(E1563="",E1563="!!!"),"",IF(NOT(ISNA(VLOOKUP(E1563,E$1:E1562,1,FALSE()))),"OLD",IF(AND(E1563&lt;&gt;"",E1563&lt;&gt;"!!!"),"NEW","")))</f>
        <v> </v>
      </c>
      <c r="G1563" s="23" t="str">
        <f>IF(OR(E1563="",E1563="!!!"),"",IF(OR(J1563=0,AND(J1563=1,K1563=1),AND(J1563=1,I1563="SBJ"),AND(J1563=1,I1563=0)),"?IN_FOCUS",IF(J1563&lt;=2,"?ACTIVATED",IF(J1563&lt;&gt;"","?FAMILIAR",IF(F1563="NEW",IF(ISNA(VLOOKUP(E1563,#REF!,1,FALSE())),"?TYPE_IDENTIFIABLE","?REFERENTIAL"),"_")))))</f>
        <v> </v>
      </c>
      <c r="H1563" s="24" t="str">
        <f>IF(J1563&lt;&gt;1,"",IF(I1563="SBJ","CB","?"))</f>
        <v> </v>
      </c>
      <c r="I1563" s="25" t="str">
        <f>IF(OR(E1563="",E1563="!!!",F1563="NEW"),"",INDEX(B1562:B$2,-1+SUMPRODUCT(MAX(ROW(E1562:E$2)*(E1563=E1562:E$2)))))</f>
        <v> </v>
      </c>
      <c r="J1563" s="25" t="str">
        <f>IF(OR(E1563="",E1563="!!!",F1563="NEW"),"",COUNTBLANK(OFFSET(A$1,,,SUMPRODUCT(MAX(ROW(E$2:E1563)*(E1563=E$2:E1563)))))-COUNTBLANK(OFFSET(A$1,,,SUMPRODUCT(MAX(ROW(E$1:E1562)*(E2=E$1:E1562))))))</f>
        <v> </v>
      </c>
      <c r="K1563" s="25" t="str">
        <f>IF(OR(E1563="",E1563="!!!",F1563="NEW"),"",INDEX(J$1:J1562,SUMPRODUCT(MAX(ROW(E$1:E1562)*(E1563=E$1:E1562)))))</f>
        <v> </v>
      </c>
      <c r="L1563" s="26"/>
    </row>
    <row r="1564" spans="1:12">
      <c r="A1564" s="20" t="s">
        <v>277</v>
      </c>
      <c r="E1564" s="21">
        <f>IF(D1564="?OLD","!!!","")</f>
        <v/>
      </c>
      <c r="F1564" s="22" t="str">
        <f>IF(OR(E1564="",E1564="!!!"),"",IF(NOT(ISNA(VLOOKUP(E1564,E$1:E1563,1,FALSE()))),"OLD",IF(AND(E1564&lt;&gt;"",E1564&lt;&gt;"!!!"),"NEW","")))</f>
        <v> </v>
      </c>
      <c r="G1564" s="23" t="str">
        <f>IF(OR(E1564="",E1564="!!!"),"",IF(OR(J1564=0,AND(J1564=1,K1564=1),AND(J1564=1,I1564="SBJ"),AND(J1564=1,I1564=0)),"?IN_FOCUS",IF(J1564&lt;=2,"?ACTIVATED",IF(J1564&lt;&gt;"","?FAMILIAR",IF(F1564="NEW",IF(ISNA(VLOOKUP(E1564,#REF!,1,FALSE())),"?TYPE_IDENTIFIABLE","?REFERENTIAL"),"_")))))</f>
        <v> </v>
      </c>
      <c r="H1564" s="24" t="str">
        <f>IF(J1564&lt;&gt;1,"",IF(I1564="SBJ","CB","?"))</f>
        <v> </v>
      </c>
      <c r="I1564" s="25" t="str">
        <f>IF(OR(E1564="",E1564="!!!",F1564="NEW"),"",INDEX(B1563:B$2,-1+SUMPRODUCT(MAX(ROW(E1563:E$2)*(E1564=E1563:E$2)))))</f>
        <v> </v>
      </c>
      <c r="J1564" s="25" t="str">
        <f>IF(OR(E1564="",E1564="!!!",F1564="NEW"),"",COUNTBLANK(OFFSET(A$1,,,SUMPRODUCT(MAX(ROW(E$2:E1564)*(E1564=E$2:E1564)))))-COUNTBLANK(OFFSET(A$1,,,SUMPRODUCT(MAX(ROW(E$1:E1563)*(E2=E$1:E1563))))))</f>
        <v> </v>
      </c>
      <c r="K1564" s="25" t="str">
        <f>IF(OR(E1564="",E1564="!!!",F1564="NEW"),"",INDEX(J$1:J1563,SUMPRODUCT(MAX(ROW(E$1:E1563)*(E1564=E$1:E1563)))))</f>
        <v> </v>
      </c>
      <c r="L1564" s="26"/>
    </row>
    <row r="1565" spans="1:12">
      <c r="A1565" s="20" t="s">
        <v>845</v>
      </c>
      <c r="E1565" s="21">
        <f>IF(D1565="?OLD","!!!","")</f>
        <v/>
      </c>
      <c r="F1565" s="22" t="str">
        <f>IF(OR(E1565="",E1565="!!!"),"",IF(NOT(ISNA(VLOOKUP(E1565,E$1:E1564,1,FALSE()))),"OLD",IF(AND(E1565&lt;&gt;"",E1565&lt;&gt;"!!!"),"NEW","")))</f>
        <v> </v>
      </c>
      <c r="G1565" s="23" t="str">
        <f>IF(OR(E1565="",E1565="!!!"),"",IF(OR(J1565=0,AND(J1565=1,K1565=1),AND(J1565=1,I1565="SBJ"),AND(J1565=1,I1565=0)),"?IN_FOCUS",IF(J1565&lt;=2,"?ACTIVATED",IF(J1565&lt;&gt;"","?FAMILIAR",IF(F1565="NEW",IF(ISNA(VLOOKUP(E1565,#REF!,1,FALSE())),"?TYPE_IDENTIFIABLE","?REFERENTIAL"),"_")))))</f>
        <v> </v>
      </c>
      <c r="H1565" s="24" t="str">
        <f>IF(J1565&lt;&gt;1,"",IF(I1565="SBJ","CB","?"))</f>
        <v> </v>
      </c>
      <c r="I1565" s="25" t="str">
        <f>IF(OR(E1565="",E1565="!!!",F1565="NEW"),"",INDEX(B1564:B$2,-1+SUMPRODUCT(MAX(ROW(E1564:E$2)*(E1565=E1564:E$2)))))</f>
        <v> </v>
      </c>
      <c r="J1565" s="25" t="str">
        <f>IF(OR(E1565="",E1565="!!!",F1565="NEW"),"",COUNTBLANK(OFFSET(A$1,,,SUMPRODUCT(MAX(ROW(E$2:E1565)*(E1565=E$2:E1565)))))-COUNTBLANK(OFFSET(A$1,,,SUMPRODUCT(MAX(ROW(E$1:E1564)*(E2=E$1:E1564))))))</f>
        <v> </v>
      </c>
      <c r="K1565" s="25" t="str">
        <f>IF(OR(E1565="",E1565="!!!",F1565="NEW"),"",INDEX(J$1:J1564,SUMPRODUCT(MAX(ROW(E$1:E1564)*(E1565=E$1:E1564)))))</f>
        <v> </v>
      </c>
      <c r="L1565" s="26"/>
    </row>
    <row r="1566" spans="1:12">
      <c r="A1566" s="20" t="s">
        <v>846</v>
      </c>
      <c r="E1566" s="21">
        <f>IF(D1566="?OLD","!!!","")</f>
        <v/>
      </c>
      <c r="F1566" s="22" t="str">
        <f>IF(OR(E1566="",E1566="!!!"),"",IF(NOT(ISNA(VLOOKUP(E1566,E$1:E1565,1,FALSE()))),"OLD",IF(AND(E1566&lt;&gt;"",E1566&lt;&gt;"!!!"),"NEW","")))</f>
        <v> </v>
      </c>
      <c r="G1566" s="23" t="str">
        <f>IF(OR(E1566="",E1566="!!!"),"",IF(OR(J1566=0,AND(J1566=1,K1566=1),AND(J1566=1,I1566="SBJ"),AND(J1566=1,I1566=0)),"?IN_FOCUS",IF(J1566&lt;=2,"?ACTIVATED",IF(J1566&lt;&gt;"","?FAMILIAR",IF(F1566="NEW",IF(ISNA(VLOOKUP(E1566,#REF!,1,FALSE())),"?TYPE_IDENTIFIABLE","?REFERENTIAL"),"_")))))</f>
        <v> </v>
      </c>
      <c r="H1566" s="24" t="str">
        <f>IF(J1566&lt;&gt;1,"",IF(I1566="SBJ","CB","?"))</f>
        <v> </v>
      </c>
      <c r="I1566" s="25" t="str">
        <f>IF(OR(E1566="",E1566="!!!",F1566="NEW"),"",INDEX(B1565:B$2,-1+SUMPRODUCT(MAX(ROW(E1565:E$2)*(E1566=E1565:E$2)))))</f>
        <v> </v>
      </c>
      <c r="J1566" s="25" t="str">
        <f>IF(OR(E1566="",E1566="!!!",F1566="NEW"),"",COUNTBLANK(OFFSET(A$1,,,SUMPRODUCT(MAX(ROW(E$2:E1566)*(E1566=E$2:E1566)))))-COUNTBLANK(OFFSET(A$1,,,SUMPRODUCT(MAX(ROW(E$1:E1565)*(E2=E$1:E1565))))))</f>
        <v> </v>
      </c>
      <c r="K1566" s="25" t="str">
        <f>IF(OR(E1566="",E1566="!!!",F1566="NEW"),"",INDEX(J$1:J1565,SUMPRODUCT(MAX(ROW(E$1:E1565)*(E1566=E$1:E1565)))))</f>
        <v> </v>
      </c>
      <c r="L1566" s="26"/>
    </row>
    <row r="1567" spans="1:12">
      <c r="A1567" s="20" t="s">
        <v>370</v>
      </c>
      <c r="B1567" s="27" t="s">
        <v>272</v>
      </c>
      <c r="C1567" s="27" t="s">
        <v>279</v>
      </c>
      <c r="E1567" s="21">
        <f>IF(D1567="?OLD","!!!","")</f>
        <v/>
      </c>
      <c r="F1567" s="22" t="str">
        <f>IF(OR(E1567="",E1567="!!!"),"",IF(NOT(ISNA(VLOOKUP(E1567,E$1:E1566,1,FALSE()))),"OLD",IF(AND(E1567&lt;&gt;"",E1567&lt;&gt;"!!!"),"NEW","")))</f>
        <v> </v>
      </c>
      <c r="G1567" s="23" t="str">
        <f>IF(OR(E1567="",E1567="!!!"),"",IF(OR(J1567=0,AND(J1567=1,K1567=1),AND(J1567=1,I1567="SBJ"),AND(J1567=1,I1567=0)),"?IN_FOCUS",IF(J1567&lt;=2,"?ACTIVATED",IF(J1567&lt;&gt;"","?FAMILIAR",IF(F1567="NEW",IF(ISNA(VLOOKUP(E1567,#REF!,1,FALSE())),"?TYPE_IDENTIFIABLE","?REFERENTIAL"),"_")))))</f>
        <v> </v>
      </c>
      <c r="H1567" s="24" t="str">
        <f>IF(J1567&lt;&gt;1,"",IF(I1567="SBJ","CB","?"))</f>
        <v> </v>
      </c>
      <c r="I1567" s="25" t="str">
        <f>IF(OR(E1567="",E1567="!!!",F1567="NEW"),"",INDEX(B1566:B$2,-1+SUMPRODUCT(MAX(ROW(E1566:E$2)*(E1567=E1566:E$2)))))</f>
        <v> </v>
      </c>
      <c r="J1567" s="25" t="str">
        <f>IF(OR(E1567="",E1567="!!!",F1567="NEW"),"",COUNTBLANK(OFFSET(A$1,,,SUMPRODUCT(MAX(ROW(E$2:E1567)*(E1567=E$2:E1567)))))-COUNTBLANK(OFFSET(A$1,,,SUMPRODUCT(MAX(ROW(E$1:E1566)*(E2=E$1:E1566))))))</f>
        <v> </v>
      </c>
      <c r="K1567" s="25" t="str">
        <f>IF(OR(E1567="",E1567="!!!",F1567="NEW"),"",INDEX(J$1:J1566,SUMPRODUCT(MAX(ROW(E$1:E1566)*(E1567=E$1:E1566)))))</f>
        <v> </v>
      </c>
      <c r="L1567" s="26"/>
    </row>
    <row r="1568" spans="1:12">
      <c r="A1568" s="20" t="s">
        <v>273</v>
      </c>
      <c r="E1568" s="21">
        <f>IF(D1568="?OLD","!!!","")</f>
        <v/>
      </c>
      <c r="F1568" s="22" t="str">
        <f>IF(OR(E1568="",E1568="!!!"),"",IF(NOT(ISNA(VLOOKUP(E1568,E$1:E1567,1,FALSE()))),"OLD",IF(AND(E1568&lt;&gt;"",E1568&lt;&gt;"!!!"),"NEW","")))</f>
        <v> </v>
      </c>
      <c r="G1568" s="23" t="str">
        <f>IF(OR(E1568="",E1568="!!!"),"",IF(OR(J1568=0,AND(J1568=1,K1568=1),AND(J1568=1,I1568="SBJ"),AND(J1568=1,I1568=0)),"?IN_FOCUS",IF(J1568&lt;=2,"?ACTIVATED",IF(J1568&lt;&gt;"","?FAMILIAR",IF(F1568="NEW",IF(ISNA(VLOOKUP(E1568,#REF!,1,FALSE())),"?TYPE_IDENTIFIABLE","?REFERENTIAL"),"_")))))</f>
        <v> </v>
      </c>
      <c r="H1568" s="24" t="str">
        <f>IF(J1568&lt;&gt;1,"",IF(I1568="SBJ","CB","?"))</f>
        <v> </v>
      </c>
      <c r="I1568" s="25" t="str">
        <f>IF(OR(E1568="",E1568="!!!",F1568="NEW"),"",INDEX(B1567:B$2,-1+SUMPRODUCT(MAX(ROW(E1567:E$2)*(E1568=E1567:E$2)))))</f>
        <v> </v>
      </c>
      <c r="J1568" s="25" t="str">
        <f>IF(OR(E1568="",E1568="!!!",F1568="NEW"),"",COUNTBLANK(OFFSET(A$1,,,SUMPRODUCT(MAX(ROW(E$2:E1568)*(E1568=E$2:E1568)))))-COUNTBLANK(OFFSET(A$1,,,SUMPRODUCT(MAX(ROW(E$1:E1567)*(E2=E$1:E1567))))))</f>
        <v> </v>
      </c>
      <c r="K1568" s="25" t="str">
        <f>IF(OR(E1568="",E1568="!!!",F1568="NEW"),"",INDEX(J$1:J1567,SUMPRODUCT(MAX(ROW(E$1:E1567)*(E1568=E$1:E1567)))))</f>
        <v> </v>
      </c>
      <c r="L1568" s="26"/>
    </row>
    <row r="1569" spans="1:12">
      <c r="A1569" s="20" t="s">
        <v>861</v>
      </c>
      <c r="B1569" s="27" t="s">
        <v>262</v>
      </c>
      <c r="C1569" s="27" t="s">
        <v>281</v>
      </c>
      <c r="E1569" s="21">
        <f>IF(D1569="?OLD","!!!","")</f>
        <v/>
      </c>
      <c r="F1569" s="22" t="str">
        <f>IF(OR(E1569="",E1569="!!!"),"",IF(NOT(ISNA(VLOOKUP(E1569,E$1:E1568,1,FALSE()))),"OLD",IF(AND(E1569&lt;&gt;"",E1569&lt;&gt;"!!!"),"NEW","")))</f>
        <v> </v>
      </c>
      <c r="G1569" s="23" t="str">
        <f>IF(OR(E1569="",E1569="!!!"),"",IF(OR(J1569=0,AND(J1569=1,K1569=1),AND(J1569=1,I1569="SBJ"),AND(J1569=1,I1569=0)),"?IN_FOCUS",IF(J1569&lt;=2,"?ACTIVATED",IF(J1569&lt;&gt;"","?FAMILIAR",IF(F1569="NEW",IF(ISNA(VLOOKUP(E1569,#REF!,1,FALSE())),"?TYPE_IDENTIFIABLE","?REFERENTIAL"),"_")))))</f>
        <v> </v>
      </c>
      <c r="H1569" s="24" t="str">
        <f>IF(J1569&lt;&gt;1,"",IF(I1569="SBJ","CB","?"))</f>
        <v> </v>
      </c>
      <c r="I1569" s="25" t="str">
        <f>IF(OR(E1569="",E1569="!!!",F1569="NEW"),"",INDEX(B1568:B$2,-1+SUMPRODUCT(MAX(ROW(E1568:E$2)*(E1569=E1568:E$2)))))</f>
        <v> </v>
      </c>
      <c r="J1569" s="25" t="str">
        <f>IF(OR(E1569="",E1569="!!!",F1569="NEW"),"",COUNTBLANK(OFFSET(A$1,,,SUMPRODUCT(MAX(ROW(E$2:E1569)*(E1569=E$2:E1569)))))-COUNTBLANK(OFFSET(A$1,,,SUMPRODUCT(MAX(ROW(E$1:E1568)*(E2=E$1:E1568))))))</f>
        <v> </v>
      </c>
      <c r="K1569" s="25" t="str">
        <f>IF(OR(E1569="",E1569="!!!",F1569="NEW"),"",INDEX(J$1:J1568,SUMPRODUCT(MAX(ROW(E$1:E1568)*(E1569=E$1:E1568)))))</f>
        <v> </v>
      </c>
      <c r="L1569" s="26"/>
    </row>
    <row r="1570" spans="1:12">
      <c r="A1570" s="20" t="s">
        <v>321</v>
      </c>
      <c r="E1570" s="21">
        <f>IF(D1570="?OLD","!!!","")</f>
        <v/>
      </c>
      <c r="F1570" s="22" t="str">
        <f>IF(OR(E1570="",E1570="!!!"),"",IF(NOT(ISNA(VLOOKUP(E1570,E$1:E1569,1,FALSE()))),"OLD",IF(AND(E1570&lt;&gt;"",E1570&lt;&gt;"!!!"),"NEW","")))</f>
        <v> </v>
      </c>
      <c r="G1570" s="23" t="str">
        <f>IF(OR(E1570="",E1570="!!!"),"",IF(OR(J1570=0,AND(J1570=1,K1570=1),AND(J1570=1,I1570="SBJ"),AND(J1570=1,I1570=0)),"?IN_FOCUS",IF(J1570&lt;=2,"?ACTIVATED",IF(J1570&lt;&gt;"","?FAMILIAR",IF(F1570="NEW",IF(ISNA(VLOOKUP(E1570,#REF!,1,FALSE())),"?TYPE_IDENTIFIABLE","?REFERENTIAL"),"_")))))</f>
        <v> </v>
      </c>
      <c r="H1570" s="24" t="str">
        <f>IF(J1570&lt;&gt;1,"",IF(I1570="SBJ","CB","?"))</f>
        <v> </v>
      </c>
      <c r="I1570" s="25" t="str">
        <f>IF(OR(E1570="",E1570="!!!",F1570="NEW"),"",INDEX(B1569:B$2,-1+SUMPRODUCT(MAX(ROW(E1569:E$2)*(E1570=E1569:E$2)))))</f>
        <v> </v>
      </c>
      <c r="J1570" s="25" t="str">
        <f>IF(OR(E1570="",E1570="!!!",F1570="NEW"),"",COUNTBLANK(OFFSET(A$1,,,SUMPRODUCT(MAX(ROW(E$2:E1570)*(E1570=E$2:E1570)))))-COUNTBLANK(OFFSET(A$1,,,SUMPRODUCT(MAX(ROW(E$1:E1569)*(E2=E$1:E1569))))))</f>
        <v> </v>
      </c>
      <c r="K1570" s="25" t="str">
        <f>IF(OR(E1570="",E1570="!!!",F1570="NEW"),"",INDEX(J$1:J1569,SUMPRODUCT(MAX(ROW(E$1:E1569)*(E1570=E$1:E1569)))))</f>
        <v> </v>
      </c>
      <c r="L1570" s="26"/>
    </row>
    <row r="1571" spans="1:12">
      <c r="A1571" s="20" t="s">
        <v>862</v>
      </c>
      <c r="B1571" s="27" t="s">
        <v>283</v>
      </c>
      <c r="C1571" s="27" t="s">
        <v>243</v>
      </c>
      <c r="D1571" s="27" t="s">
        <v>244</v>
      </c>
      <c r="E1571" s="21">
        <f>IF(D1571="?OLD","!!!","")</f>
        <v/>
      </c>
      <c r="F1571" s="22" t="str">
        <f>IF(OR(E1571="",E1571="!!!"),"",IF(NOT(ISNA(VLOOKUP(E1571,E$1:E1570,1,FALSE()))),"OLD",IF(AND(E1571&lt;&gt;"",E1571&lt;&gt;"!!!"),"NEW","")))</f>
        <v> </v>
      </c>
      <c r="G1571" s="23" t="str">
        <f>IF(OR(E1571="",E1571="!!!"),"",IF(OR(J1571=0,AND(J1571=1,K1571=1),AND(J1571=1,I1571="SBJ"),AND(J1571=1,I1571=0)),"?IN_FOCUS",IF(J1571&lt;=2,"?ACTIVATED",IF(J1571&lt;&gt;"","?FAMILIAR",IF(F1571="NEW",IF(ISNA(VLOOKUP(E1571,#REF!,1,FALSE())),"?TYPE_IDENTIFIABLE","?REFERENTIAL"),"_")))))</f>
        <v> </v>
      </c>
      <c r="H1571" s="24" t="str">
        <f>IF(J1571&lt;&gt;1,"",IF(I1571="SBJ","CB","?"))</f>
        <v> </v>
      </c>
      <c r="I1571" s="25" t="str">
        <f>IF(OR(E1571="",E1571="!!!",F1571="NEW"),"",INDEX(B1570:B$2,-1+SUMPRODUCT(MAX(ROW(E1570:E$2)*(E1571=E1570:E$2)))))</f>
        <v> </v>
      </c>
      <c r="J1571" s="25" t="str">
        <f>IF(OR(E1571="",E1571="!!!",F1571="NEW"),"",COUNTBLANK(OFFSET(A$1,,,SUMPRODUCT(MAX(ROW(E$2:E1571)*(E1571=E$2:E1571)))))-COUNTBLANK(OFFSET(A$1,,,SUMPRODUCT(MAX(ROW(E$1:E1570)*(E2=E$1:E1570))))))</f>
        <v> </v>
      </c>
      <c r="K1571" s="25" t="str">
        <f>IF(OR(E1571="",E1571="!!!",F1571="NEW"),"",INDEX(J$1:J1570,SUMPRODUCT(MAX(ROW(E$1:E1570)*(E1571=E$1:E1570)))))</f>
        <v> </v>
      </c>
      <c r="L1571" s="26"/>
    </row>
    <row r="1572" spans="1:12">
      <c r="A1572" s="20" t="s">
        <v>321</v>
      </c>
      <c r="E1572" s="21">
        <f>IF(D1572="?OLD","!!!","")</f>
        <v/>
      </c>
      <c r="F1572" s="22" t="str">
        <f>IF(OR(E1572="",E1572="!!!"),"",IF(NOT(ISNA(VLOOKUP(E1572,E$1:E1571,1,FALSE()))),"OLD",IF(AND(E1572&lt;&gt;"",E1572&lt;&gt;"!!!"),"NEW","")))</f>
        <v> </v>
      </c>
      <c r="G1572" s="23" t="str">
        <f>IF(OR(E1572="",E1572="!!!"),"",IF(OR(J1572=0,AND(J1572=1,K1572=1),AND(J1572=1,I1572="SBJ"),AND(J1572=1,I1572=0)),"?IN_FOCUS",IF(J1572&lt;=2,"?ACTIVATED",IF(J1572&lt;&gt;"","?FAMILIAR",IF(F1572="NEW",IF(ISNA(VLOOKUP(E1572,#REF!,1,FALSE())),"?TYPE_IDENTIFIABLE","?REFERENTIAL"),"_")))))</f>
        <v> </v>
      </c>
      <c r="H1572" s="24" t="str">
        <f>IF(J1572&lt;&gt;1,"",IF(I1572="SBJ","CB","?"))</f>
        <v> </v>
      </c>
      <c r="I1572" s="25" t="str">
        <f>IF(OR(E1572="",E1572="!!!",F1572="NEW"),"",INDEX(B1571:B$2,-1+SUMPRODUCT(MAX(ROW(E1571:E$2)*(E1572=E1571:E$2)))))</f>
        <v> </v>
      </c>
      <c r="J1572" s="25" t="str">
        <f>IF(OR(E1572="",E1572="!!!",F1572="NEW"),"",COUNTBLANK(OFFSET(A$1,,,SUMPRODUCT(MAX(ROW(E$2:E1572)*(E1572=E$2:E1572)))))-COUNTBLANK(OFFSET(A$1,,,SUMPRODUCT(MAX(ROW(E$1:E1571)*(E2=E$1:E1571))))))</f>
        <v> </v>
      </c>
      <c r="K1572" s="25" t="str">
        <f>IF(OR(E1572="",E1572="!!!",F1572="NEW"),"",INDEX(J$1:J1571,SUMPRODUCT(MAX(ROW(E$1:E1571)*(E1572=E$1:E1571)))))</f>
        <v> </v>
      </c>
      <c r="L1572" s="26"/>
    </row>
    <row r="1573" spans="1:12">
      <c r="A1573" s="20" t="s">
        <v>248</v>
      </c>
      <c r="E1573" s="21">
        <f>IF(D1573="?OLD","!!!","")</f>
        <v/>
      </c>
      <c r="F1573" s="22" t="str">
        <f>IF(OR(E1573="",E1573="!!!"),"",IF(NOT(ISNA(VLOOKUP(E1573,E$1:E1572,1,FALSE()))),"OLD",IF(AND(E1573&lt;&gt;"",E1573&lt;&gt;"!!!"),"NEW","")))</f>
        <v> </v>
      </c>
      <c r="G1573" s="23" t="str">
        <f>IF(OR(E1573="",E1573="!!!"),"",IF(OR(J1573=0,AND(J1573=1,K1573=1),AND(J1573=1,I1573="SBJ"),AND(J1573=1,I1573=0)),"?IN_FOCUS",IF(J1573&lt;=2,"?ACTIVATED",IF(J1573&lt;&gt;"","?FAMILIAR",IF(F1573="NEW",IF(ISNA(VLOOKUP(E1573,#REF!,1,FALSE())),"?TYPE_IDENTIFIABLE","?REFERENTIAL"),"_")))))</f>
        <v> </v>
      </c>
      <c r="H1573" s="24" t="str">
        <f>IF(J1573&lt;&gt;1,"",IF(I1573="SBJ","CB","?"))</f>
        <v> </v>
      </c>
      <c r="I1573" s="25" t="str">
        <f>IF(OR(E1573="",E1573="!!!",F1573="NEW"),"",INDEX(B1572:B$2,-1+SUMPRODUCT(MAX(ROW(E1572:E$2)*(E1573=E1572:E$2)))))</f>
        <v> </v>
      </c>
      <c r="J1573" s="25" t="str">
        <f>IF(OR(E1573="",E1573="!!!",F1573="NEW"),"",COUNTBLANK(OFFSET(A$1,,,SUMPRODUCT(MAX(ROW(E$2:E1573)*(E1573=E$2:E1573)))))-COUNTBLANK(OFFSET(A$1,,,SUMPRODUCT(MAX(ROW(E$1:E1572)*(E2=E$1:E1572))))))</f>
        <v> </v>
      </c>
      <c r="K1573" s="25" t="str">
        <f>IF(OR(E1573="",E1573="!!!",F1573="NEW"),"",INDEX(J$1:J1572,SUMPRODUCT(MAX(ROW(E$1:E1572)*(E1573=E$1:E1572)))))</f>
        <v> </v>
      </c>
      <c r="L1573" s="26"/>
    </row>
    <row r="1574" spans="1:12">
      <c r="A1574" s="20" t="s">
        <v>308</v>
      </c>
      <c r="B1574" s="27" t="s">
        <v>262</v>
      </c>
      <c r="C1574" s="27" t="s">
        <v>252</v>
      </c>
      <c r="D1574" s="27" t="s">
        <v>244</v>
      </c>
      <c r="E1574" s="21">
        <f>IF(D1574="?OLD","!!!","")</f>
        <v/>
      </c>
      <c r="F1574" s="22" t="str">
        <f>IF(OR(E1574="",E1574="!!!"),"",IF(NOT(ISNA(VLOOKUP(E1574,E$1:E1573,1,FALSE()))),"OLD",IF(AND(E1574&lt;&gt;"",E1574&lt;&gt;"!!!"),"NEW","")))</f>
        <v> </v>
      </c>
      <c r="G1574" s="23" t="str">
        <f>IF(OR(E1574="",E1574="!!!"),"",IF(OR(J1574=0,AND(J1574=1,K1574=1),AND(J1574=1,I1574="SBJ"),AND(J1574=1,I1574=0)),"?IN_FOCUS",IF(J1574&lt;=2,"?ACTIVATED",IF(J1574&lt;&gt;"","?FAMILIAR",IF(F1574="NEW",IF(ISNA(VLOOKUP(E1574,#REF!,1,FALSE())),"?TYPE_IDENTIFIABLE","?REFERENTIAL"),"_")))))</f>
        <v> </v>
      </c>
      <c r="H1574" s="24" t="str">
        <f>IF(J1574&lt;&gt;1,"",IF(I1574="SBJ","CB","?"))</f>
        <v> </v>
      </c>
      <c r="I1574" s="25" t="str">
        <f>IF(OR(E1574="",E1574="!!!",F1574="NEW"),"",INDEX(B1573:B$2,-1+SUMPRODUCT(MAX(ROW(E1573:E$2)*(E1574=E1573:E$2)))))</f>
        <v> </v>
      </c>
      <c r="J1574" s="25" t="str">
        <f>IF(OR(E1574="",E1574="!!!",F1574="NEW"),"",COUNTBLANK(OFFSET(A$1,,,SUMPRODUCT(MAX(ROW(E$2:E1574)*(E1574=E$2:E1574)))))-COUNTBLANK(OFFSET(A$1,,,SUMPRODUCT(MAX(ROW(E$1:E1573)*(E2=E$1:E1573))))))</f>
        <v> </v>
      </c>
      <c r="K1574" s="25" t="str">
        <f>IF(OR(E1574="",E1574="!!!",F1574="NEW"),"",INDEX(J$1:J1573,SUMPRODUCT(MAX(ROW(E$1:E1573)*(E1574=E$1:E1573)))))</f>
        <v> </v>
      </c>
      <c r="L1574" s="26"/>
    </row>
    <row r="1575" spans="1:12">
      <c r="A1575" s="20" t="s">
        <v>285</v>
      </c>
      <c r="E1575" s="21">
        <f>IF(D1575="?OLD","!!!","")</f>
        <v/>
      </c>
      <c r="F1575" s="22" t="str">
        <f>IF(OR(E1575="",E1575="!!!"),"",IF(NOT(ISNA(VLOOKUP(E1575,E$1:E1574,1,FALSE()))),"OLD",IF(AND(E1575&lt;&gt;"",E1575&lt;&gt;"!!!"),"NEW","")))</f>
        <v> </v>
      </c>
      <c r="G1575" s="23" t="str">
        <f>IF(OR(E1575="",E1575="!!!"),"",IF(OR(J1575=0,AND(J1575=1,K1575=1),AND(J1575=1,I1575="SBJ"),AND(J1575=1,I1575=0)),"?IN_FOCUS",IF(J1575&lt;=2,"?ACTIVATED",IF(J1575&lt;&gt;"","?FAMILIAR",IF(F1575="NEW",IF(ISNA(VLOOKUP(E1575,#REF!,1,FALSE())),"?TYPE_IDENTIFIABLE","?REFERENTIAL"),"_")))))</f>
        <v> </v>
      </c>
      <c r="H1575" s="24" t="str">
        <f>IF(J1575&lt;&gt;1,"",IF(I1575="SBJ","CB","?"))</f>
        <v> </v>
      </c>
      <c r="I1575" s="25" t="str">
        <f>IF(OR(E1575="",E1575="!!!",F1575="NEW"),"",INDEX(B1574:B$2,-1+SUMPRODUCT(MAX(ROW(E1574:E$2)*(E1575=E1574:E$2)))))</f>
        <v> </v>
      </c>
      <c r="J1575" s="25" t="str">
        <f>IF(OR(E1575="",E1575="!!!",F1575="NEW"),"",COUNTBLANK(OFFSET(A$1,,,SUMPRODUCT(MAX(ROW(E$2:E1575)*(E1575=E$2:E1575)))))-COUNTBLANK(OFFSET(A$1,,,SUMPRODUCT(MAX(ROW(E$1:E1574)*(E2=E$1:E1574))))))</f>
        <v> </v>
      </c>
      <c r="K1575" s="25" t="str">
        <f>IF(OR(E1575="",E1575="!!!",F1575="NEW"),"",INDEX(J$1:J1574,SUMPRODUCT(MAX(ROW(E$1:E1574)*(E1575=E$1:E1574)))))</f>
        <v> </v>
      </c>
      <c r="L1575" s="26"/>
    </row>
    <row r="1576" spans="1:12">
      <c r="A1576" s="20"/>
    </row>
    <row r="1577" spans="1:12">
      <c r="A1577" s="20" t="s">
        <v>863</v>
      </c>
    </row>
    <row r="1578" spans="1:12">
      <c r="A1578" s="20" t="s">
        <v>524</v>
      </c>
      <c r="E1578" s="21">
        <f>IF(D1578="?OLD","!!!","")</f>
        <v/>
      </c>
      <c r="F1578" s="22" t="str">
        <f>IF(OR(E1578="",E1578="!!!"),"",IF(NOT(ISNA(VLOOKUP(E1578,E$1:E1577,1,FALSE()))),"OLD",IF(AND(E1578&lt;&gt;"",E1578&lt;&gt;"!!!"),"NEW","")))</f>
        <v> </v>
      </c>
      <c r="G1578" s="23" t="str">
        <f>IF(OR(E1578="",E1578="!!!"),"",IF(OR(J1578=0,AND(J1578=1,K1578=1),AND(J1578=1,I1578="SBJ"),AND(J1578=1,I1578=0)),"?IN_FOCUS",IF(J1578&lt;=2,"?ACTIVATED",IF(J1578&lt;&gt;"","?FAMILIAR",IF(F1578="NEW",IF(ISNA(VLOOKUP(E1578,#REF!,1,FALSE())),"?TYPE_IDENTIFIABLE","?REFERENTIAL"),"_")))))</f>
        <v> </v>
      </c>
      <c r="H1578" s="24" t="str">
        <f>IF(J1578&lt;&gt;1,"",IF(I1578="SBJ","CB","?"))</f>
        <v> </v>
      </c>
      <c r="I1578" s="25" t="str">
        <f>IF(OR(E1578="",E1578="!!!",F1578="NEW"),"",INDEX(B1577:B$2,-1+SUMPRODUCT(MAX(ROW(E1577:E$2)*(E1578=E1577:E$2)))))</f>
        <v> </v>
      </c>
      <c r="J1578" s="25" t="str">
        <f>IF(OR(E1578="",E1578="!!!",F1578="NEW"),"",COUNTBLANK(OFFSET(A$1,,,SUMPRODUCT(MAX(ROW(E$2:E1578)*(E1578=E$2:E1578)))))-COUNTBLANK(OFFSET(A$1,,,SUMPRODUCT(MAX(ROW(E$1:E1577)*(E2=E$1:E1577))))))</f>
        <v> </v>
      </c>
      <c r="K1578" s="25" t="str">
        <f>IF(OR(E1578="",E1578="!!!",F1578="NEW"),"",INDEX(J$1:J1577,SUMPRODUCT(MAX(ROW(E$1:E1577)*(E1578=E$1:E1577)))))</f>
        <v> </v>
      </c>
      <c r="L1578" s="26"/>
    </row>
    <row r="1579" spans="1:12">
      <c r="A1579" s="20" t="s">
        <v>23</v>
      </c>
      <c r="B1579" s="27" t="s">
        <v>255</v>
      </c>
      <c r="C1579" s="27" t="s">
        <v>252</v>
      </c>
      <c r="D1579" s="27" t="s">
        <v>244</v>
      </c>
      <c r="E1579" s="21">
        <f>IF(D1579="?OLD","!!!","")</f>
        <v/>
      </c>
      <c r="F1579" s="22" t="str">
        <f>IF(OR(E1579="",E1579="!!!"),"",IF(NOT(ISNA(VLOOKUP(E1579,E$1:E1578,1,FALSE()))),"OLD",IF(AND(E1579&lt;&gt;"",E1579&lt;&gt;"!!!"),"NEW","")))</f>
        <v> </v>
      </c>
      <c r="G1579" s="23" t="str">
        <f>IF(OR(E1579="",E1579="!!!"),"",IF(OR(J1579=0,AND(J1579=1,K1579=1),AND(J1579=1,I1579="SBJ"),AND(J1579=1,I1579=0)),"?IN_FOCUS",IF(J1579&lt;=2,"?ACTIVATED",IF(J1579&lt;&gt;"","?FAMILIAR",IF(F1579="NEW",IF(ISNA(VLOOKUP(E1579,#REF!,1,FALSE())),"?TYPE_IDENTIFIABLE","?REFERENTIAL"),"_")))))</f>
        <v> </v>
      </c>
      <c r="H1579" s="24" t="str">
        <f>IF(J1579&lt;&gt;1,"",IF(I1579="SBJ","CB","?"))</f>
        <v> </v>
      </c>
      <c r="I1579" s="25" t="str">
        <f>IF(OR(E1579="",E1579="!!!",F1579="NEW"),"",INDEX(B1578:B$2,-1+SUMPRODUCT(MAX(ROW(E1578:E$2)*(E1579=E1578:E$2)))))</f>
        <v> </v>
      </c>
      <c r="J1579" s="25" t="str">
        <f>IF(OR(E1579="",E1579="!!!",F1579="NEW"),"",COUNTBLANK(OFFSET(A$1,,,SUMPRODUCT(MAX(ROW(E$2:E1579)*(E1579=E$2:E1579)))))-COUNTBLANK(OFFSET(A$1,,,SUMPRODUCT(MAX(ROW(E$1:E1578)*(E2=E$1:E1578))))))</f>
        <v> </v>
      </c>
      <c r="K1579" s="25" t="str">
        <f>IF(OR(E1579="",E1579="!!!",F1579="NEW"),"",INDEX(J$1:J1578,SUMPRODUCT(MAX(ROW(E$1:E1578)*(E1579=E$1:E1578)))))</f>
        <v> </v>
      </c>
      <c r="L1579" s="26"/>
    </row>
    <row r="1580" spans="1:12">
      <c r="A1580" s="20" t="s">
        <v>248</v>
      </c>
      <c r="E1580" s="21">
        <f>IF(D1580="?OLD","!!!","")</f>
        <v/>
      </c>
      <c r="F1580" s="22" t="str">
        <f>IF(OR(E1580="",E1580="!!!"),"",IF(NOT(ISNA(VLOOKUP(E1580,E$1:E1579,1,FALSE()))),"OLD",IF(AND(E1580&lt;&gt;"",E1580&lt;&gt;"!!!"),"NEW","")))</f>
        <v> </v>
      </c>
      <c r="G1580" s="23" t="str">
        <f>IF(OR(E1580="",E1580="!!!"),"",IF(OR(J1580=0,AND(J1580=1,K1580=1),AND(J1580=1,I1580="SBJ"),AND(J1580=1,I1580=0)),"?IN_FOCUS",IF(J1580&lt;=2,"?ACTIVATED",IF(J1580&lt;&gt;"","?FAMILIAR",IF(F1580="NEW",IF(ISNA(VLOOKUP(E1580,#REF!,1,FALSE())),"?TYPE_IDENTIFIABLE","?REFERENTIAL"),"_")))))</f>
        <v> </v>
      </c>
      <c r="H1580" s="24" t="str">
        <f>IF(J1580&lt;&gt;1,"",IF(I1580="SBJ","CB","?"))</f>
        <v> </v>
      </c>
      <c r="I1580" s="25" t="str">
        <f>IF(OR(E1580="",E1580="!!!",F1580="NEW"),"",INDEX(B1579:B$2,-1+SUMPRODUCT(MAX(ROW(E1579:E$2)*(E1580=E1579:E$2)))))</f>
        <v> </v>
      </c>
      <c r="J1580" s="25" t="str">
        <f>IF(OR(E1580="",E1580="!!!",F1580="NEW"),"",COUNTBLANK(OFFSET(A$1,,,SUMPRODUCT(MAX(ROW(E$2:E1580)*(E1580=E$2:E1580)))))-COUNTBLANK(OFFSET(A$1,,,SUMPRODUCT(MAX(ROW(E$1:E1579)*(E2=E$1:E1579))))))</f>
        <v> </v>
      </c>
      <c r="K1580" s="25" t="str">
        <f>IF(OR(E1580="",E1580="!!!",F1580="NEW"),"",INDEX(J$1:J1579,SUMPRODUCT(MAX(ROW(E$1:E1579)*(E1580=E$1:E1579)))))</f>
        <v> </v>
      </c>
      <c r="L1580" s="26"/>
    </row>
    <row r="1581" spans="1:12">
      <c r="A1581" s="20" t="s">
        <v>249</v>
      </c>
      <c r="E1581" s="21">
        <f>IF(D1581="?OLD","!!!","")</f>
        <v/>
      </c>
      <c r="F1581" s="22" t="str">
        <f>IF(OR(E1581="",E1581="!!!"),"",IF(NOT(ISNA(VLOOKUP(E1581,E$1:E1580,1,FALSE()))),"OLD",IF(AND(E1581&lt;&gt;"",E1581&lt;&gt;"!!!"),"NEW","")))</f>
        <v> </v>
      </c>
      <c r="G1581" s="23" t="str">
        <f>IF(OR(E1581="",E1581="!!!"),"",IF(OR(J1581=0,AND(J1581=1,K1581=1),AND(J1581=1,I1581="SBJ"),AND(J1581=1,I1581=0)),"?IN_FOCUS",IF(J1581&lt;=2,"?ACTIVATED",IF(J1581&lt;&gt;"","?FAMILIAR",IF(F1581="NEW",IF(ISNA(VLOOKUP(E1581,#REF!,1,FALSE())),"?TYPE_IDENTIFIABLE","?REFERENTIAL"),"_")))))</f>
        <v> </v>
      </c>
      <c r="H1581" s="24" t="str">
        <f>IF(J1581&lt;&gt;1,"",IF(I1581="SBJ","CB","?"))</f>
        <v> </v>
      </c>
      <c r="I1581" s="25" t="str">
        <f>IF(OR(E1581="",E1581="!!!",F1581="NEW"),"",INDEX(B1580:B$2,-1+SUMPRODUCT(MAX(ROW(E1580:E$2)*(E1581=E1580:E$2)))))</f>
        <v> </v>
      </c>
      <c r="J1581" s="25" t="str">
        <f>IF(OR(E1581="",E1581="!!!",F1581="NEW"),"",COUNTBLANK(OFFSET(A$1,,,SUMPRODUCT(MAX(ROW(E$2:E1581)*(E1581=E$2:E1581)))))-COUNTBLANK(OFFSET(A$1,,,SUMPRODUCT(MAX(ROW(E$1:E1580)*(E2=E$1:E1580))))))</f>
        <v> </v>
      </c>
      <c r="K1581" s="25" t="str">
        <f>IF(OR(E1581="",E1581="!!!",F1581="NEW"),"",INDEX(J$1:J1580,SUMPRODUCT(MAX(ROW(E$1:E1580)*(E1581=E$1:E1580)))))</f>
        <v> </v>
      </c>
      <c r="L1581" s="26"/>
    </row>
    <row r="1582" spans="1:12">
      <c r="A1582" s="20" t="s">
        <v>250</v>
      </c>
      <c r="B1582" s="27" t="s">
        <v>295</v>
      </c>
      <c r="C1582" s="27" t="s">
        <v>252</v>
      </c>
      <c r="D1582" s="27" t="s">
        <v>244</v>
      </c>
      <c r="E1582" s="21">
        <f>IF(D1582="?OLD","!!!","")</f>
        <v/>
      </c>
      <c r="F1582" s="22" t="str">
        <f>IF(OR(E1582="",E1582="!!!"),"",IF(NOT(ISNA(VLOOKUP(E1582,E$1:E1581,1,FALSE()))),"OLD",IF(AND(E1582&lt;&gt;"",E1582&lt;&gt;"!!!"),"NEW","")))</f>
        <v> </v>
      </c>
      <c r="G1582" s="23" t="str">
        <f>IF(OR(E1582="",E1582="!!!"),"",IF(OR(J1582=0,AND(J1582=1,K1582=1),AND(J1582=1,I1582="SBJ"),AND(J1582=1,I1582=0)),"?IN_FOCUS",IF(J1582&lt;=2,"?ACTIVATED",IF(J1582&lt;&gt;"","?FAMILIAR",IF(F1582="NEW",IF(ISNA(VLOOKUP(E1582,#REF!,1,FALSE())),"?TYPE_IDENTIFIABLE","?REFERENTIAL"),"_")))))</f>
        <v> </v>
      </c>
      <c r="H1582" s="24" t="str">
        <f>IF(J1582&lt;&gt;1,"",IF(I1582="SBJ","CB","?"))</f>
        <v> </v>
      </c>
      <c r="I1582" s="25" t="str">
        <f>IF(OR(E1582="",E1582="!!!",F1582="NEW"),"",INDEX(B1581:B$2,-1+SUMPRODUCT(MAX(ROW(E1581:E$2)*(E1582=E1581:E$2)))))</f>
        <v> </v>
      </c>
      <c r="J1582" s="25" t="str">
        <f>IF(OR(E1582="",E1582="!!!",F1582="NEW"),"",COUNTBLANK(OFFSET(A$1,,,SUMPRODUCT(MAX(ROW(E$2:E1582)*(E1582=E$2:E1582)))))-COUNTBLANK(OFFSET(A$1,,,SUMPRODUCT(MAX(ROW(E$1:E1581)*(E2=E$1:E1581))))))</f>
        <v> </v>
      </c>
      <c r="K1582" s="25" t="str">
        <f>IF(OR(E1582="",E1582="!!!",F1582="NEW"),"",INDEX(J$1:J1581,SUMPRODUCT(MAX(ROW(E$1:E1581)*(E1582=E$1:E1581)))))</f>
        <v> </v>
      </c>
      <c r="L1582" s="26"/>
    </row>
    <row r="1583" spans="1:12">
      <c r="A1583" s="20" t="s">
        <v>864</v>
      </c>
      <c r="E1583" s="21">
        <f>IF(D1583="?OLD","!!!","")</f>
        <v/>
      </c>
      <c r="F1583" s="22" t="str">
        <f>IF(OR(E1583="",E1583="!!!"),"",IF(NOT(ISNA(VLOOKUP(E1583,E$1:E1582,1,FALSE()))),"OLD",IF(AND(E1583&lt;&gt;"",E1583&lt;&gt;"!!!"),"NEW","")))</f>
        <v> </v>
      </c>
      <c r="G1583" s="23" t="str">
        <f>IF(OR(E1583="",E1583="!!!"),"",IF(OR(J1583=0,AND(J1583=1,K1583=1),AND(J1583=1,I1583="SBJ"),AND(J1583=1,I1583=0)),"?IN_FOCUS",IF(J1583&lt;=2,"?ACTIVATED",IF(J1583&lt;&gt;"","?FAMILIAR",IF(F1583="NEW",IF(ISNA(VLOOKUP(E1583,#REF!,1,FALSE())),"?TYPE_IDENTIFIABLE","?REFERENTIAL"),"_")))))</f>
        <v> </v>
      </c>
      <c r="H1583" s="24" t="str">
        <f>IF(J1583&lt;&gt;1,"",IF(I1583="SBJ","CB","?"))</f>
        <v> </v>
      </c>
      <c r="I1583" s="25" t="str">
        <f>IF(OR(E1583="",E1583="!!!",F1583="NEW"),"",INDEX(B1582:B$2,-1+SUMPRODUCT(MAX(ROW(E1582:E$2)*(E1583=E1582:E$2)))))</f>
        <v> </v>
      </c>
      <c r="J1583" s="25" t="str">
        <f>IF(OR(E1583="",E1583="!!!",F1583="NEW"),"",COUNTBLANK(OFFSET(A$1,,,SUMPRODUCT(MAX(ROW(E$2:E1583)*(E1583=E$2:E1583)))))-COUNTBLANK(OFFSET(A$1,,,SUMPRODUCT(MAX(ROW(E$1:E1582)*(E2=E$1:E1582))))))</f>
        <v> </v>
      </c>
      <c r="K1583" s="25" t="str">
        <f>IF(OR(E1583="",E1583="!!!",F1583="NEW"),"",INDEX(J$1:J1582,SUMPRODUCT(MAX(ROW(E$1:E1582)*(E1583=E$1:E1582)))))</f>
        <v> </v>
      </c>
      <c r="L1583" s="26"/>
    </row>
    <row r="1584" spans="1:12">
      <c r="A1584" s="20" t="s">
        <v>277</v>
      </c>
      <c r="E1584" s="21">
        <f>IF(D1584="?OLD","!!!","")</f>
        <v/>
      </c>
      <c r="F1584" s="22" t="str">
        <f>IF(OR(E1584="",E1584="!!!"),"",IF(NOT(ISNA(VLOOKUP(E1584,E$1:E1583,1,FALSE()))),"OLD",IF(AND(E1584&lt;&gt;"",E1584&lt;&gt;"!!!"),"NEW","")))</f>
        <v> </v>
      </c>
      <c r="G1584" s="23" t="str">
        <f>IF(OR(E1584="",E1584="!!!"),"",IF(OR(J1584=0,AND(J1584=1,K1584=1),AND(J1584=1,I1584="SBJ"),AND(J1584=1,I1584=0)),"?IN_FOCUS",IF(J1584&lt;=2,"?ACTIVATED",IF(J1584&lt;&gt;"","?FAMILIAR",IF(F1584="NEW",IF(ISNA(VLOOKUP(E1584,#REF!,1,FALSE())),"?TYPE_IDENTIFIABLE","?REFERENTIAL"),"_")))))</f>
        <v> </v>
      </c>
      <c r="H1584" s="24" t="str">
        <f>IF(J1584&lt;&gt;1,"",IF(I1584="SBJ","CB","?"))</f>
        <v> </v>
      </c>
      <c r="I1584" s="25" t="str">
        <f>IF(OR(E1584="",E1584="!!!",F1584="NEW"),"",INDEX(B1583:B$2,-1+SUMPRODUCT(MAX(ROW(E1583:E$2)*(E1584=E1583:E$2)))))</f>
        <v> </v>
      </c>
      <c r="J1584" s="25" t="str">
        <f>IF(OR(E1584="",E1584="!!!",F1584="NEW"),"",COUNTBLANK(OFFSET(A$1,,,SUMPRODUCT(MAX(ROW(E$2:E1584)*(E1584=E$2:E1584)))))-COUNTBLANK(OFFSET(A$1,,,SUMPRODUCT(MAX(ROW(E$1:E1583)*(E2=E$1:E1583))))))</f>
        <v> </v>
      </c>
      <c r="K1584" s="25" t="str">
        <f>IF(OR(E1584="",E1584="!!!",F1584="NEW"),"",INDEX(J$1:J1583,SUMPRODUCT(MAX(ROW(E$1:E1583)*(E1584=E$1:E1583)))))</f>
        <v> </v>
      </c>
      <c r="L1584" s="26"/>
    </row>
    <row r="1585" spans="1:12">
      <c r="A1585" s="20" t="s">
        <v>769</v>
      </c>
      <c r="B1585" s="27" t="s">
        <v>255</v>
      </c>
      <c r="C1585" s="27" t="s">
        <v>279</v>
      </c>
      <c r="E1585" s="21">
        <f>IF(D1585="?OLD","!!!","")</f>
        <v/>
      </c>
      <c r="F1585" s="22" t="str">
        <f>IF(OR(E1585="",E1585="!!!"),"",IF(NOT(ISNA(VLOOKUP(E1585,E$1:E1584,1,FALSE()))),"OLD",IF(AND(E1585&lt;&gt;"",E1585&lt;&gt;"!!!"),"NEW","")))</f>
        <v> </v>
      </c>
      <c r="G1585" s="23" t="str">
        <f>IF(OR(E1585="",E1585="!!!"),"",IF(OR(J1585=0,AND(J1585=1,K1585=1),AND(J1585=1,I1585="SBJ"),AND(J1585=1,I1585=0)),"?IN_FOCUS",IF(J1585&lt;=2,"?ACTIVATED",IF(J1585&lt;&gt;"","?FAMILIAR",IF(F1585="NEW",IF(ISNA(VLOOKUP(E1585,#REF!,1,FALSE())),"?TYPE_IDENTIFIABLE","?REFERENTIAL"),"_")))))</f>
        <v> </v>
      </c>
      <c r="H1585" s="24" t="str">
        <f>IF(J1585&lt;&gt;1,"",IF(I1585="SBJ","CB","?"))</f>
        <v> </v>
      </c>
      <c r="I1585" s="25" t="str">
        <f>IF(OR(E1585="",E1585="!!!",F1585="NEW"),"",INDEX(B1584:B$2,-1+SUMPRODUCT(MAX(ROW(E1584:E$2)*(E1585=E1584:E$2)))))</f>
        <v> </v>
      </c>
      <c r="J1585" s="25" t="str">
        <f>IF(OR(E1585="",E1585="!!!",F1585="NEW"),"",COUNTBLANK(OFFSET(A$1,,,SUMPRODUCT(MAX(ROW(E$2:E1585)*(E1585=E$2:E1585)))))-COUNTBLANK(OFFSET(A$1,,,SUMPRODUCT(MAX(ROW(E$1:E1584)*(E2=E$1:E1584))))))</f>
        <v> </v>
      </c>
      <c r="K1585" s="25" t="str">
        <f>IF(OR(E1585="",E1585="!!!",F1585="NEW"),"",INDEX(J$1:J1584,SUMPRODUCT(MAX(ROW(E$1:E1584)*(E1585=E$1:E1584)))))</f>
        <v> </v>
      </c>
      <c r="L1585" s="26"/>
    </row>
    <row r="1586" spans="1:12">
      <c r="A1586" s="20" t="s">
        <v>391</v>
      </c>
      <c r="E1586" s="21">
        <f>IF(D1586="?OLD","!!!","")</f>
        <v/>
      </c>
      <c r="F1586" s="22" t="str">
        <f>IF(OR(E1586="",E1586="!!!"),"",IF(NOT(ISNA(VLOOKUP(E1586,E$1:E1585,1,FALSE()))),"OLD",IF(AND(E1586&lt;&gt;"",E1586&lt;&gt;"!!!"),"NEW","")))</f>
        <v> </v>
      </c>
      <c r="G1586" s="23" t="str">
        <f>IF(OR(E1586="",E1586="!!!"),"",IF(OR(J1586=0,AND(J1586=1,K1586=1),AND(J1586=1,I1586="SBJ"),AND(J1586=1,I1586=0)),"?IN_FOCUS",IF(J1586&lt;=2,"?ACTIVATED",IF(J1586&lt;&gt;"","?FAMILIAR",IF(F1586="NEW",IF(ISNA(VLOOKUP(E1586,#REF!,1,FALSE())),"?TYPE_IDENTIFIABLE","?REFERENTIAL"),"_")))))</f>
        <v> </v>
      </c>
      <c r="H1586" s="24" t="str">
        <f>IF(J1586&lt;&gt;1,"",IF(I1586="SBJ","CB","?"))</f>
        <v> </v>
      </c>
      <c r="I1586" s="25" t="str">
        <f>IF(OR(E1586="",E1586="!!!",F1586="NEW"),"",INDEX(B1585:B$2,-1+SUMPRODUCT(MAX(ROW(E1585:E$2)*(E1586=E1585:E$2)))))</f>
        <v> </v>
      </c>
      <c r="J1586" s="25" t="str">
        <f>IF(OR(E1586="",E1586="!!!",F1586="NEW"),"",COUNTBLANK(OFFSET(A$1,,,SUMPRODUCT(MAX(ROW(E$2:E1586)*(E1586=E$2:E1586)))))-COUNTBLANK(OFFSET(A$1,,,SUMPRODUCT(MAX(ROW(E$1:E1585)*(E2=E$1:E1585))))))</f>
        <v> </v>
      </c>
      <c r="K1586" s="25" t="str">
        <f>IF(OR(E1586="",E1586="!!!",F1586="NEW"),"",INDEX(J$1:J1585,SUMPRODUCT(MAX(ROW(E$1:E1585)*(E1586=E$1:E1585)))))</f>
        <v> </v>
      </c>
      <c r="L1586" s="26"/>
    </row>
    <row r="1587" spans="1:12">
      <c r="A1587" s="20" t="s">
        <v>377</v>
      </c>
      <c r="E1587" s="21">
        <f>IF(D1587="?OLD","!!!","")</f>
        <v/>
      </c>
      <c r="F1587" s="22" t="str">
        <f>IF(OR(E1587="",E1587="!!!"),"",IF(NOT(ISNA(VLOOKUP(E1587,E$1:E1586,1,FALSE()))),"OLD",IF(AND(E1587&lt;&gt;"",E1587&lt;&gt;"!!!"),"NEW","")))</f>
        <v> </v>
      </c>
      <c r="G1587" s="23" t="str">
        <f>IF(OR(E1587="",E1587="!!!"),"",IF(OR(J1587=0,AND(J1587=1,K1587=1),AND(J1587=1,I1587="SBJ"),AND(J1587=1,I1587=0)),"?IN_FOCUS",IF(J1587&lt;=2,"?ACTIVATED",IF(J1587&lt;&gt;"","?FAMILIAR",IF(F1587="NEW",IF(ISNA(VLOOKUP(E1587,#REF!,1,FALSE())),"?TYPE_IDENTIFIABLE","?REFERENTIAL"),"_")))))</f>
        <v> </v>
      </c>
      <c r="H1587" s="24" t="str">
        <f>IF(J1587&lt;&gt;1,"",IF(I1587="SBJ","CB","?"))</f>
        <v> </v>
      </c>
      <c r="I1587" s="25" t="str">
        <f>IF(OR(E1587="",E1587="!!!",F1587="NEW"),"",INDEX(B1586:B$2,-1+SUMPRODUCT(MAX(ROW(E1586:E$2)*(E1587=E1586:E$2)))))</f>
        <v> </v>
      </c>
      <c r="J1587" s="25" t="str">
        <f>IF(OR(E1587="",E1587="!!!",F1587="NEW"),"",COUNTBLANK(OFFSET(A$1,,,SUMPRODUCT(MAX(ROW(E$2:E1587)*(E1587=E$2:E1587)))))-COUNTBLANK(OFFSET(A$1,,,SUMPRODUCT(MAX(ROW(E$1:E1586)*(E2=E$1:E1586))))))</f>
        <v> </v>
      </c>
      <c r="K1587" s="25" t="str">
        <f>IF(OR(E1587="",E1587="!!!",F1587="NEW"),"",INDEX(J$1:J1586,SUMPRODUCT(MAX(ROW(E$1:E1586)*(E1587=E$1:E1586)))))</f>
        <v> </v>
      </c>
      <c r="L1587" s="26"/>
    </row>
    <row r="1588" spans="1:12">
      <c r="A1588" s="20" t="s">
        <v>371</v>
      </c>
      <c r="B1588" s="27" t="s">
        <v>295</v>
      </c>
      <c r="C1588" s="27" t="s">
        <v>256</v>
      </c>
      <c r="D1588" s="27" t="s">
        <v>244</v>
      </c>
      <c r="E1588" s="21">
        <f>IF(D1588="?OLD","!!!","")</f>
        <v/>
      </c>
      <c r="F1588" s="22" t="str">
        <f>IF(OR(E1588="",E1588="!!!"),"",IF(NOT(ISNA(VLOOKUP(E1588,E$1:E1587,1,FALSE()))),"OLD",IF(AND(E1588&lt;&gt;"",E1588&lt;&gt;"!!!"),"NEW","")))</f>
        <v> </v>
      </c>
      <c r="G1588" s="23" t="str">
        <f>IF(OR(E1588="",E1588="!!!"),"",IF(OR(J1588=0,AND(J1588=1,K1588=1),AND(J1588=1,I1588="SBJ"),AND(J1588=1,I1588=0)),"?IN_FOCUS",IF(J1588&lt;=2,"?ACTIVATED",IF(J1588&lt;&gt;"","?FAMILIAR",IF(F1588="NEW",IF(ISNA(VLOOKUP(E1588,#REF!,1,FALSE())),"?TYPE_IDENTIFIABLE","?REFERENTIAL"),"_")))))</f>
        <v> </v>
      </c>
      <c r="H1588" s="24" t="str">
        <f>IF(J1588&lt;&gt;1,"",IF(I1588="SBJ","CB","?"))</f>
        <v> </v>
      </c>
      <c r="I1588" s="25" t="str">
        <f>IF(OR(E1588="",E1588="!!!",F1588="NEW"),"",INDEX(B1587:B$2,-1+SUMPRODUCT(MAX(ROW(E1587:E$2)*(E1588=E1587:E$2)))))</f>
        <v> </v>
      </c>
      <c r="J1588" s="25" t="str">
        <f>IF(OR(E1588="",E1588="!!!",F1588="NEW"),"",COUNTBLANK(OFFSET(A$1,,,SUMPRODUCT(MAX(ROW(E$2:E1588)*(E1588=E$2:E1588)))))-COUNTBLANK(OFFSET(A$1,,,SUMPRODUCT(MAX(ROW(E$1:E1587)*(E2=E$1:E1587))))))</f>
        <v> </v>
      </c>
      <c r="K1588" s="25" t="str">
        <f>IF(OR(E1588="",E1588="!!!",F1588="NEW"),"",INDEX(J$1:J1587,SUMPRODUCT(MAX(ROW(E$1:E1587)*(E1588=E$1:E1587)))))</f>
        <v> </v>
      </c>
      <c r="L1588" s="26"/>
    </row>
    <row r="1589" spans="1:12">
      <c r="A1589" s="20" t="s">
        <v>865</v>
      </c>
      <c r="E1589" s="21">
        <f>IF(D1589="?OLD","!!!","")</f>
        <v/>
      </c>
      <c r="F1589" s="22" t="str">
        <f>IF(OR(E1589="",E1589="!!!"),"",IF(NOT(ISNA(VLOOKUP(E1589,E$1:E1588,1,FALSE()))),"OLD",IF(AND(E1589&lt;&gt;"",E1589&lt;&gt;"!!!"),"NEW","")))</f>
        <v> </v>
      </c>
      <c r="G1589" s="23" t="str">
        <f>IF(OR(E1589="",E1589="!!!"),"",IF(OR(J1589=0,AND(J1589=1,K1589=1),AND(J1589=1,I1589="SBJ"),AND(J1589=1,I1589=0)),"?IN_FOCUS",IF(J1589&lt;=2,"?ACTIVATED",IF(J1589&lt;&gt;"","?FAMILIAR",IF(F1589="NEW",IF(ISNA(VLOOKUP(E1589,#REF!,1,FALSE())),"?TYPE_IDENTIFIABLE","?REFERENTIAL"),"_")))))</f>
        <v> </v>
      </c>
      <c r="H1589" s="24" t="str">
        <f>IF(J1589&lt;&gt;1,"",IF(I1589="SBJ","CB","?"))</f>
        <v> </v>
      </c>
      <c r="I1589" s="25" t="str">
        <f>IF(OR(E1589="",E1589="!!!",F1589="NEW"),"",INDEX(B1588:B$2,-1+SUMPRODUCT(MAX(ROW(E1588:E$2)*(E1589=E1588:E$2)))))</f>
        <v> </v>
      </c>
      <c r="J1589" s="25" t="str">
        <f>IF(OR(E1589="",E1589="!!!",F1589="NEW"),"",COUNTBLANK(OFFSET(A$1,,,SUMPRODUCT(MAX(ROW(E$2:E1589)*(E1589=E$2:E1589)))))-COUNTBLANK(OFFSET(A$1,,,SUMPRODUCT(MAX(ROW(E$1:E1588)*(E2=E$1:E1588))))))</f>
        <v> </v>
      </c>
      <c r="K1589" s="25" t="str">
        <f>IF(OR(E1589="",E1589="!!!",F1589="NEW"),"",INDEX(J$1:J1588,SUMPRODUCT(MAX(ROW(E$1:E1588)*(E1589=E$1:E1588)))))</f>
        <v> </v>
      </c>
      <c r="L1589" s="26"/>
    </row>
    <row r="1590" spans="1:12">
      <c r="A1590" s="20" t="s">
        <v>775</v>
      </c>
      <c r="B1590" s="27" t="s">
        <v>272</v>
      </c>
      <c r="C1590" s="27" t="s">
        <v>263</v>
      </c>
      <c r="D1590" s="27" t="s">
        <v>244</v>
      </c>
      <c r="E1590" s="21">
        <f>IF(D1590="?OLD","!!!","")</f>
        <v/>
      </c>
      <c r="F1590" s="22" t="str">
        <f>IF(OR(E1590="",E1590="!!!"),"",IF(NOT(ISNA(VLOOKUP(E1590,E$1:E1589,1,FALSE()))),"OLD",IF(AND(E1590&lt;&gt;"",E1590&lt;&gt;"!!!"),"NEW","")))</f>
        <v> </v>
      </c>
      <c r="G1590" s="23" t="str">
        <f>IF(OR(E1590="",E1590="!!!"),"",IF(OR(J1590=0,AND(J1590=1,K1590=1),AND(J1590=1,I1590="SBJ"),AND(J1590=1,I1590=0)),"?IN_FOCUS",IF(J1590&lt;=2,"?ACTIVATED",IF(J1590&lt;&gt;"","?FAMILIAR",IF(F1590="NEW",IF(ISNA(VLOOKUP(E1590,#REF!,1,FALSE())),"?TYPE_IDENTIFIABLE","?REFERENTIAL"),"_")))))</f>
        <v> </v>
      </c>
      <c r="H1590" s="24" t="str">
        <f>IF(J1590&lt;&gt;1,"",IF(I1590="SBJ","CB","?"))</f>
        <v> </v>
      </c>
      <c r="I1590" s="25" t="str">
        <f>IF(OR(E1590="",E1590="!!!",F1590="NEW"),"",INDEX(B1589:B$2,-1+SUMPRODUCT(MAX(ROW(E1589:E$2)*(E1590=E1589:E$2)))))</f>
        <v> </v>
      </c>
      <c r="J1590" s="25" t="str">
        <f>IF(OR(E1590="",E1590="!!!",F1590="NEW"),"",COUNTBLANK(OFFSET(A$1,,,SUMPRODUCT(MAX(ROW(E$2:E1590)*(E1590=E$2:E1590)))))-COUNTBLANK(OFFSET(A$1,,,SUMPRODUCT(MAX(ROW(E$1:E1589)*(E2=E$1:E1589))))))</f>
        <v> </v>
      </c>
      <c r="K1590" s="25" t="str">
        <f>IF(OR(E1590="",E1590="!!!",F1590="NEW"),"",INDEX(J$1:J1589,SUMPRODUCT(MAX(ROW(E$1:E1589)*(E1590=E$1:E1589)))))</f>
        <v> </v>
      </c>
      <c r="L1590" s="26"/>
    </row>
    <row r="1591" spans="1:12">
      <c r="A1591" s="20" t="s">
        <v>385</v>
      </c>
      <c r="B1591" s="27" t="s">
        <v>301</v>
      </c>
      <c r="C1591" s="27" t="s">
        <v>267</v>
      </c>
      <c r="D1591" s="27" t="s">
        <v>244</v>
      </c>
      <c r="E1591" s="21">
        <f>IF(D1591="?OLD","!!!","")</f>
        <v/>
      </c>
      <c r="F1591" s="22" t="str">
        <f>IF(OR(E1591="",E1591="!!!"),"",IF(NOT(ISNA(VLOOKUP(E1591,E$1:E1590,1,FALSE()))),"OLD",IF(AND(E1591&lt;&gt;"",E1591&lt;&gt;"!!!"),"NEW","")))</f>
        <v> </v>
      </c>
      <c r="G1591" s="23" t="str">
        <f>IF(OR(E1591="",E1591="!!!"),"",IF(OR(J1591=0,AND(J1591=1,K1591=1),AND(J1591=1,I1591="SBJ"),AND(J1591=1,I1591=0)),"?IN_FOCUS",IF(J1591&lt;=2,"?ACTIVATED",IF(J1591&lt;&gt;"","?FAMILIAR",IF(F1591="NEW",IF(ISNA(VLOOKUP(E1591,#REF!,1,FALSE())),"?TYPE_IDENTIFIABLE","?REFERENTIAL"),"_")))))</f>
        <v> </v>
      </c>
      <c r="H1591" s="24" t="str">
        <f>IF(J1591&lt;&gt;1,"",IF(I1591="SBJ","CB","?"))</f>
        <v> </v>
      </c>
      <c r="I1591" s="25" t="str">
        <f>IF(OR(E1591="",E1591="!!!",F1591="NEW"),"",INDEX(B1590:B$2,-1+SUMPRODUCT(MAX(ROW(E1590:E$2)*(E1591=E1590:E$2)))))</f>
        <v> </v>
      </c>
      <c r="J1591" s="25" t="str">
        <f>IF(OR(E1591="",E1591="!!!",F1591="NEW"),"",COUNTBLANK(OFFSET(A$1,,,SUMPRODUCT(MAX(ROW(E$2:E1591)*(E1591=E$2:E1591)))))-COUNTBLANK(OFFSET(A$1,,,SUMPRODUCT(MAX(ROW(E$1:E1590)*(E2=E$1:E1590))))))</f>
        <v> </v>
      </c>
      <c r="K1591" s="25" t="str">
        <f>IF(OR(E1591="",E1591="!!!",F1591="NEW"),"",INDEX(J$1:J1590,SUMPRODUCT(MAX(ROW(E$1:E1590)*(E1591=E$1:E1590)))))</f>
        <v> </v>
      </c>
      <c r="L1591" s="26"/>
    </row>
    <row r="1592" spans="1:12">
      <c r="A1592" s="20" t="s">
        <v>273</v>
      </c>
      <c r="E1592" s="21">
        <f>IF(D1592="?OLD","!!!","")</f>
        <v/>
      </c>
      <c r="F1592" s="22" t="str">
        <f>IF(OR(E1592="",E1592="!!!"),"",IF(NOT(ISNA(VLOOKUP(E1592,E$1:E1591,1,FALSE()))),"OLD",IF(AND(E1592&lt;&gt;"",E1592&lt;&gt;"!!!"),"NEW","")))</f>
        <v> </v>
      </c>
      <c r="G1592" s="23" t="str">
        <f>IF(OR(E1592="",E1592="!!!"),"",IF(OR(J1592=0,AND(J1592=1,K1592=1),AND(J1592=1,I1592="SBJ"),AND(J1592=1,I1592=0)),"?IN_FOCUS",IF(J1592&lt;=2,"?ACTIVATED",IF(J1592&lt;&gt;"","?FAMILIAR",IF(F1592="NEW",IF(ISNA(VLOOKUP(E1592,#REF!,1,FALSE())),"?TYPE_IDENTIFIABLE","?REFERENTIAL"),"_")))))</f>
        <v> </v>
      </c>
      <c r="H1592" s="24" t="str">
        <f>IF(J1592&lt;&gt;1,"",IF(I1592="SBJ","CB","?"))</f>
        <v> </v>
      </c>
      <c r="I1592" s="25" t="str">
        <f>IF(OR(E1592="",E1592="!!!",F1592="NEW"),"",INDEX(B1591:B$2,-1+SUMPRODUCT(MAX(ROW(E1591:E$2)*(E1592=E1591:E$2)))))</f>
        <v> </v>
      </c>
      <c r="J1592" s="25" t="str">
        <f>IF(OR(E1592="",E1592="!!!",F1592="NEW"),"",COUNTBLANK(OFFSET(A$1,,,SUMPRODUCT(MAX(ROW(E$2:E1592)*(E1592=E$2:E1592)))))-COUNTBLANK(OFFSET(A$1,,,SUMPRODUCT(MAX(ROW(E$1:E1591)*(E2=E$1:E1591))))))</f>
        <v> </v>
      </c>
      <c r="K1592" s="25" t="str">
        <f>IF(OR(E1592="",E1592="!!!",F1592="NEW"),"",INDEX(J$1:J1591,SUMPRODUCT(MAX(ROW(E$1:E1591)*(E1592=E$1:E1591)))))</f>
        <v> </v>
      </c>
      <c r="L1592" s="26"/>
    </row>
    <row r="1593" spans="1:12">
      <c r="A1593" s="20" t="s">
        <v>248</v>
      </c>
      <c r="E1593" s="21">
        <f>IF(D1593="?OLD","!!!","")</f>
        <v/>
      </c>
      <c r="F1593" s="22" t="str">
        <f>IF(OR(E1593="",E1593="!!!"),"",IF(NOT(ISNA(VLOOKUP(E1593,E$1:E1592,1,FALSE()))),"OLD",IF(AND(E1593&lt;&gt;"",E1593&lt;&gt;"!!!"),"NEW","")))</f>
        <v> </v>
      </c>
      <c r="G1593" s="23" t="str">
        <f>IF(OR(E1593="",E1593="!!!"),"",IF(OR(J1593=0,AND(J1593=1,K1593=1),AND(J1593=1,I1593="SBJ"),AND(J1593=1,I1593=0)),"?IN_FOCUS",IF(J1593&lt;=2,"?ACTIVATED",IF(J1593&lt;&gt;"","?FAMILIAR",IF(F1593="NEW",IF(ISNA(VLOOKUP(E1593,#REF!,1,FALSE())),"?TYPE_IDENTIFIABLE","?REFERENTIAL"),"_")))))</f>
        <v> </v>
      </c>
      <c r="H1593" s="24" t="str">
        <f>IF(J1593&lt;&gt;1,"",IF(I1593="SBJ","CB","?"))</f>
        <v> </v>
      </c>
      <c r="I1593" s="25" t="str">
        <f>IF(OR(E1593="",E1593="!!!",F1593="NEW"),"",INDEX(B1592:B$2,-1+SUMPRODUCT(MAX(ROW(E1592:E$2)*(E1593=E1592:E$2)))))</f>
        <v> </v>
      </c>
      <c r="J1593" s="25" t="str">
        <f>IF(OR(E1593="",E1593="!!!",F1593="NEW"),"",COUNTBLANK(OFFSET(A$1,,,SUMPRODUCT(MAX(ROW(E$2:E1593)*(E1593=E$2:E1593)))))-COUNTBLANK(OFFSET(A$1,,,SUMPRODUCT(MAX(ROW(E$1:E1592)*(E2=E$1:E1592))))))</f>
        <v> </v>
      </c>
      <c r="K1593" s="25" t="str">
        <f>IF(OR(E1593="",E1593="!!!",F1593="NEW"),"",INDEX(J$1:J1592,SUMPRODUCT(MAX(ROW(E$1:E1592)*(E1593=E$1:E1592)))))</f>
        <v> </v>
      </c>
      <c r="L1593" s="26"/>
    </row>
    <row r="1594" spans="1:12">
      <c r="A1594" s="20" t="s">
        <v>866</v>
      </c>
      <c r="B1594" s="27" t="s">
        <v>272</v>
      </c>
      <c r="C1594" s="27" t="s">
        <v>252</v>
      </c>
      <c r="D1594" s="27" t="s">
        <v>244</v>
      </c>
      <c r="E1594" s="21">
        <f>IF(D1594="?OLD","!!!","")</f>
        <v/>
      </c>
      <c r="F1594" s="22" t="str">
        <f>IF(OR(E1594="",E1594="!!!"),"",IF(NOT(ISNA(VLOOKUP(E1594,E$1:E1593,1,FALSE()))),"OLD",IF(AND(E1594&lt;&gt;"",E1594&lt;&gt;"!!!"),"NEW","")))</f>
        <v> </v>
      </c>
      <c r="G1594" s="23" t="str">
        <f>IF(OR(E1594="",E1594="!!!"),"",IF(OR(J1594=0,AND(J1594=1,K1594=1),AND(J1594=1,I1594="SBJ"),AND(J1594=1,I1594=0)),"?IN_FOCUS",IF(J1594&lt;=2,"?ACTIVATED",IF(J1594&lt;&gt;"","?FAMILIAR",IF(F1594="NEW",IF(ISNA(VLOOKUP(E1594,#REF!,1,FALSE())),"?TYPE_IDENTIFIABLE","?REFERENTIAL"),"_")))))</f>
        <v> </v>
      </c>
      <c r="H1594" s="24" t="str">
        <f>IF(J1594&lt;&gt;1,"",IF(I1594="SBJ","CB","?"))</f>
        <v> </v>
      </c>
      <c r="I1594" s="25" t="str">
        <f>IF(OR(E1594="",E1594="!!!",F1594="NEW"),"",INDEX(B1593:B$2,-1+SUMPRODUCT(MAX(ROW(E1593:E$2)*(E1594=E1593:E$2)))))</f>
        <v> </v>
      </c>
      <c r="J1594" s="25" t="str">
        <f>IF(OR(E1594="",E1594="!!!",F1594="NEW"),"",COUNTBLANK(OFFSET(A$1,,,SUMPRODUCT(MAX(ROW(E$2:E1594)*(E1594=E$2:E1594)))))-COUNTBLANK(OFFSET(A$1,,,SUMPRODUCT(MAX(ROW(E$1:E1593)*(E2=E$1:E1593))))))</f>
        <v> </v>
      </c>
      <c r="K1594" s="25" t="str">
        <f>IF(OR(E1594="",E1594="!!!",F1594="NEW"),"",INDEX(J$1:J1593,SUMPRODUCT(MAX(ROW(E$1:E1593)*(E1594=E$1:E1593)))))</f>
        <v> </v>
      </c>
      <c r="L1594" s="26"/>
    </row>
    <row r="1595" spans="1:12">
      <c r="A1595" s="20" t="s">
        <v>314</v>
      </c>
      <c r="E1595" s="21">
        <f>IF(D1595="?OLD","!!!","")</f>
        <v/>
      </c>
      <c r="F1595" s="22" t="str">
        <f>IF(OR(E1595="",E1595="!!!"),"",IF(NOT(ISNA(VLOOKUP(E1595,E$1:E1594,1,FALSE()))),"OLD",IF(AND(E1595&lt;&gt;"",E1595&lt;&gt;"!!!"),"NEW","")))</f>
        <v> </v>
      </c>
      <c r="G1595" s="23" t="str">
        <f>IF(OR(E1595="",E1595="!!!"),"",IF(OR(J1595=0,AND(J1595=1,K1595=1),AND(J1595=1,I1595="SBJ"),AND(J1595=1,I1595=0)),"?IN_FOCUS",IF(J1595&lt;=2,"?ACTIVATED",IF(J1595&lt;&gt;"","?FAMILIAR",IF(F1595="NEW",IF(ISNA(VLOOKUP(E1595,#REF!,1,FALSE())),"?TYPE_IDENTIFIABLE","?REFERENTIAL"),"_")))))</f>
        <v> </v>
      </c>
      <c r="H1595" s="24" t="str">
        <f>IF(J1595&lt;&gt;1,"",IF(I1595="SBJ","CB","?"))</f>
        <v> </v>
      </c>
      <c r="I1595" s="25" t="str">
        <f>IF(OR(E1595="",E1595="!!!",F1595="NEW"),"",INDEX(B1594:B$2,-1+SUMPRODUCT(MAX(ROW(E1594:E$2)*(E1595=E1594:E$2)))))</f>
        <v> </v>
      </c>
      <c r="J1595" s="25" t="str">
        <f>IF(OR(E1595="",E1595="!!!",F1595="NEW"),"",COUNTBLANK(OFFSET(A$1,,,SUMPRODUCT(MAX(ROW(E$2:E1595)*(E1595=E$2:E1595)))))-COUNTBLANK(OFFSET(A$1,,,SUMPRODUCT(MAX(ROW(E$1:E1594)*(E2=E$1:E1594))))))</f>
        <v> </v>
      </c>
      <c r="K1595" s="25" t="str">
        <f>IF(OR(E1595="",E1595="!!!",F1595="NEW"),"",INDEX(J$1:J1594,SUMPRODUCT(MAX(ROW(E$1:E1594)*(E1595=E$1:E1594)))))</f>
        <v> </v>
      </c>
      <c r="L1595" s="26"/>
    </row>
    <row r="1596" spans="1:12">
      <c r="A1596" s="20" t="s">
        <v>867</v>
      </c>
      <c r="E1596" s="21">
        <f>IF(D1596="?OLD","!!!","")</f>
        <v/>
      </c>
      <c r="F1596" s="22" t="str">
        <f>IF(OR(E1596="",E1596="!!!"),"",IF(NOT(ISNA(VLOOKUP(E1596,E$1:E1595,1,FALSE()))),"OLD",IF(AND(E1596&lt;&gt;"",E1596&lt;&gt;"!!!"),"NEW","")))</f>
        <v> </v>
      </c>
      <c r="G1596" s="23" t="str">
        <f>IF(OR(E1596="",E1596="!!!"),"",IF(OR(J1596=0,AND(J1596=1,K1596=1),AND(J1596=1,I1596="SBJ"),AND(J1596=1,I1596=0)),"?IN_FOCUS",IF(J1596&lt;=2,"?ACTIVATED",IF(J1596&lt;&gt;"","?FAMILIAR",IF(F1596="NEW",IF(ISNA(VLOOKUP(E1596,#REF!,1,FALSE())),"?TYPE_IDENTIFIABLE","?REFERENTIAL"),"_")))))</f>
        <v> </v>
      </c>
      <c r="H1596" s="24" t="str">
        <f>IF(J1596&lt;&gt;1,"",IF(I1596="SBJ","CB","?"))</f>
        <v> </v>
      </c>
      <c r="I1596" s="25" t="str">
        <f>IF(OR(E1596="",E1596="!!!",F1596="NEW"),"",INDEX(B1595:B$2,-1+SUMPRODUCT(MAX(ROW(E1595:E$2)*(E1596=E1595:E$2)))))</f>
        <v> </v>
      </c>
      <c r="J1596" s="25" t="str">
        <f>IF(OR(E1596="",E1596="!!!",F1596="NEW"),"",COUNTBLANK(OFFSET(A$1,,,SUMPRODUCT(MAX(ROW(E$2:E1596)*(E1596=E$2:E1596)))))-COUNTBLANK(OFFSET(A$1,,,SUMPRODUCT(MAX(ROW(E$1:E1595)*(E2=E$1:E1595))))))</f>
        <v> </v>
      </c>
      <c r="K1596" s="25" t="str">
        <f>IF(OR(E1596="",E1596="!!!",F1596="NEW"),"",INDEX(J$1:J1595,SUMPRODUCT(MAX(ROW(E$1:E1595)*(E1596=E$1:E1595)))))</f>
        <v> </v>
      </c>
      <c r="L1596" s="26"/>
    </row>
    <row r="1597" spans="1:12">
      <c r="A1597" s="20" t="s">
        <v>775</v>
      </c>
      <c r="B1597" s="27" t="s">
        <v>262</v>
      </c>
      <c r="C1597" s="27" t="s">
        <v>263</v>
      </c>
      <c r="D1597" s="27" t="s">
        <v>244</v>
      </c>
      <c r="E1597" s="21">
        <f>IF(D1597="?OLD","!!!","")</f>
        <v/>
      </c>
      <c r="F1597" s="22" t="str">
        <f>IF(OR(E1597="",E1597="!!!"),"",IF(NOT(ISNA(VLOOKUP(E1597,E$1:E1596,1,FALSE()))),"OLD",IF(AND(E1597&lt;&gt;"",E1597&lt;&gt;"!!!"),"NEW","")))</f>
        <v> </v>
      </c>
      <c r="G1597" s="23" t="str">
        <f>IF(OR(E1597="",E1597="!!!"),"",IF(OR(J1597=0,AND(J1597=1,K1597=1),AND(J1597=1,I1597="SBJ"),AND(J1597=1,I1597=0)),"?IN_FOCUS",IF(J1597&lt;=2,"?ACTIVATED",IF(J1597&lt;&gt;"","?FAMILIAR",IF(F1597="NEW",IF(ISNA(VLOOKUP(E1597,#REF!,1,FALSE())),"?TYPE_IDENTIFIABLE","?REFERENTIAL"),"_")))))</f>
        <v> </v>
      </c>
      <c r="H1597" s="24" t="str">
        <f>IF(J1597&lt;&gt;1,"",IF(I1597="SBJ","CB","?"))</f>
        <v> </v>
      </c>
      <c r="I1597" s="25" t="str">
        <f>IF(OR(E1597="",E1597="!!!",F1597="NEW"),"",INDEX(B1596:B$2,-1+SUMPRODUCT(MAX(ROW(E1596:E$2)*(E1597=E1596:E$2)))))</f>
        <v> </v>
      </c>
      <c r="J1597" s="25" t="str">
        <f>IF(OR(E1597="",E1597="!!!",F1597="NEW"),"",COUNTBLANK(OFFSET(A$1,,,SUMPRODUCT(MAX(ROW(E$2:E1597)*(E1597=E$2:E1597)))))-COUNTBLANK(OFFSET(A$1,,,SUMPRODUCT(MAX(ROW(E$1:E1596)*(E2=E$1:E1596))))))</f>
        <v> </v>
      </c>
      <c r="K1597" s="25" t="str">
        <f>IF(OR(E1597="",E1597="!!!",F1597="NEW"),"",INDEX(J$1:J1596,SUMPRODUCT(MAX(ROW(E$1:E1596)*(E1597=E$1:E1596)))))</f>
        <v> </v>
      </c>
      <c r="L1597" s="26"/>
    </row>
    <row r="1598" spans="1:12">
      <c r="A1598" s="20" t="s">
        <v>868</v>
      </c>
      <c r="B1598" s="27" t="s">
        <v>381</v>
      </c>
      <c r="C1598" s="27" t="s">
        <v>267</v>
      </c>
      <c r="D1598" s="27" t="s">
        <v>244</v>
      </c>
      <c r="E1598" s="21">
        <f>IF(D1598="?OLD","!!!","")</f>
        <v/>
      </c>
      <c r="F1598" s="22" t="str">
        <f>IF(OR(E1598="",E1598="!!!"),"",IF(NOT(ISNA(VLOOKUP(E1598,E$1:E1597,1,FALSE()))),"OLD",IF(AND(E1598&lt;&gt;"",E1598&lt;&gt;"!!!"),"NEW","")))</f>
        <v> </v>
      </c>
      <c r="G1598" s="23" t="str">
        <f>IF(OR(E1598="",E1598="!!!"),"",IF(OR(J1598=0,AND(J1598=1,K1598=1),AND(J1598=1,I1598="SBJ"),AND(J1598=1,I1598=0)),"?IN_FOCUS",IF(J1598&lt;=2,"?ACTIVATED",IF(J1598&lt;&gt;"","?FAMILIAR",IF(F1598="NEW",IF(ISNA(VLOOKUP(E1598,#REF!,1,FALSE())),"?TYPE_IDENTIFIABLE","?REFERENTIAL"),"_")))))</f>
        <v> </v>
      </c>
      <c r="H1598" s="24" t="str">
        <f>IF(J1598&lt;&gt;1,"",IF(I1598="SBJ","CB","?"))</f>
        <v> </v>
      </c>
      <c r="I1598" s="25" t="str">
        <f>IF(OR(E1598="",E1598="!!!",F1598="NEW"),"",INDEX(B1597:B$2,-1+SUMPRODUCT(MAX(ROW(E1597:E$2)*(E1598=E1597:E$2)))))</f>
        <v> </v>
      </c>
      <c r="J1598" s="25" t="str">
        <f>IF(OR(E1598="",E1598="!!!",F1598="NEW"),"",COUNTBLANK(OFFSET(A$1,,,SUMPRODUCT(MAX(ROW(E$2:E1598)*(E1598=E$2:E1598)))))-COUNTBLANK(OFFSET(A$1,,,SUMPRODUCT(MAX(ROW(E$1:E1597)*(E2=E$1:E1597))))))</f>
        <v> </v>
      </c>
      <c r="K1598" s="25" t="str">
        <f>IF(OR(E1598="",E1598="!!!",F1598="NEW"),"",INDEX(J$1:J1597,SUMPRODUCT(MAX(ROW(E$1:E1597)*(E1598=E$1:E1597)))))</f>
        <v> </v>
      </c>
      <c r="L1598" s="26"/>
    </row>
    <row r="1599" spans="1:12">
      <c r="A1599" s="20" t="s">
        <v>305</v>
      </c>
      <c r="E1599" s="21">
        <f>IF(D1599="?OLD","!!!","")</f>
        <v/>
      </c>
      <c r="F1599" s="22" t="str">
        <f>IF(OR(E1599="",E1599="!!!"),"",IF(NOT(ISNA(VLOOKUP(E1599,E$1:E1598,1,FALSE()))),"OLD",IF(AND(E1599&lt;&gt;"",E1599&lt;&gt;"!!!"),"NEW","")))</f>
        <v> </v>
      </c>
      <c r="G1599" s="23" t="str">
        <f>IF(OR(E1599="",E1599="!!!"),"",IF(OR(J1599=0,AND(J1599=1,K1599=1),AND(J1599=1,I1599="SBJ"),AND(J1599=1,I1599=0)),"?IN_FOCUS",IF(J1599&lt;=2,"?ACTIVATED",IF(J1599&lt;&gt;"","?FAMILIAR",IF(F1599="NEW",IF(ISNA(VLOOKUP(E1599,#REF!,1,FALSE())),"?TYPE_IDENTIFIABLE","?REFERENTIAL"),"_")))))</f>
        <v> </v>
      </c>
      <c r="H1599" s="24" t="str">
        <f>IF(J1599&lt;&gt;1,"",IF(I1599="SBJ","CB","?"))</f>
        <v> </v>
      </c>
      <c r="I1599" s="25" t="str">
        <f>IF(OR(E1599="",E1599="!!!",F1599="NEW"),"",INDEX(B1598:B$2,-1+SUMPRODUCT(MAX(ROW(E1598:E$2)*(E1599=E1598:E$2)))))</f>
        <v> </v>
      </c>
      <c r="J1599" s="25" t="str">
        <f>IF(OR(E1599="",E1599="!!!",F1599="NEW"),"",COUNTBLANK(OFFSET(A$1,,,SUMPRODUCT(MAX(ROW(E$2:E1599)*(E1599=E$2:E1599)))))-COUNTBLANK(OFFSET(A$1,,,SUMPRODUCT(MAX(ROW(E$1:E1598)*(E2=E$1:E1598))))))</f>
        <v> </v>
      </c>
      <c r="K1599" s="25" t="str">
        <f>IF(OR(E1599="",E1599="!!!",F1599="NEW"),"",INDEX(J$1:J1598,SUMPRODUCT(MAX(ROW(E$1:E1598)*(E1599=E$1:E1598)))))</f>
        <v> </v>
      </c>
      <c r="L1599" s="26"/>
    </row>
    <row r="1600" spans="1:12">
      <c r="A1600" s="20" t="s">
        <v>620</v>
      </c>
      <c r="B1600" s="27" t="s">
        <v>364</v>
      </c>
      <c r="E1600" s="21">
        <f>IF(D1600="?OLD","!!!","")</f>
        <v/>
      </c>
      <c r="F1600" s="22" t="str">
        <f>IF(OR(E1600="",E1600="!!!"),"",IF(NOT(ISNA(VLOOKUP(E1600,E$1:E1599,1,FALSE()))),"OLD",IF(AND(E1600&lt;&gt;"",E1600&lt;&gt;"!!!"),"NEW","")))</f>
        <v> </v>
      </c>
      <c r="G1600" s="23" t="str">
        <f>IF(OR(E1600="",E1600="!!!"),"",IF(OR(J1600=0,AND(J1600=1,K1600=1),AND(J1600=1,I1600="SBJ"),AND(J1600=1,I1600=0)),"?IN_FOCUS",IF(J1600&lt;=2,"?ACTIVATED",IF(J1600&lt;&gt;"","?FAMILIAR",IF(F1600="NEW",IF(ISNA(VLOOKUP(E1600,#REF!,1,FALSE())),"?TYPE_IDENTIFIABLE","?REFERENTIAL"),"_")))))</f>
        <v> </v>
      </c>
      <c r="H1600" s="24" t="str">
        <f>IF(J1600&lt;&gt;1,"",IF(I1600="SBJ","CB","?"))</f>
        <v> </v>
      </c>
      <c r="I1600" s="25" t="str">
        <f>IF(OR(E1600="",E1600="!!!",F1600="NEW"),"",INDEX(B1599:B$2,-1+SUMPRODUCT(MAX(ROW(E1599:E$2)*(E1600=E1599:E$2)))))</f>
        <v> </v>
      </c>
      <c r="J1600" s="25" t="str">
        <f>IF(OR(E1600="",E1600="!!!",F1600="NEW"),"",COUNTBLANK(OFFSET(A$1,,,SUMPRODUCT(MAX(ROW(E$2:E1600)*(E1600=E$2:E1600)))))-COUNTBLANK(OFFSET(A$1,,,SUMPRODUCT(MAX(ROW(E$1:E1599)*(E2=E$1:E1599))))))</f>
        <v> </v>
      </c>
      <c r="K1600" s="25" t="str">
        <f>IF(OR(E1600="",E1600="!!!",F1600="NEW"),"",INDEX(J$1:J1599,SUMPRODUCT(MAX(ROW(E$1:E1599)*(E1600=E$1:E1599)))))</f>
        <v> </v>
      </c>
      <c r="L1600" s="26"/>
    </row>
    <row r="1601" spans="1:12">
      <c r="A1601" s="20" t="s">
        <v>393</v>
      </c>
      <c r="B1601" s="27" t="s">
        <v>361</v>
      </c>
      <c r="C1601" s="27" t="s">
        <v>256</v>
      </c>
      <c r="D1601" s="27" t="s">
        <v>244</v>
      </c>
      <c r="E1601" s="21">
        <f>IF(D1601="?OLD","!!!","")</f>
        <v/>
      </c>
      <c r="F1601" s="22" t="str">
        <f>IF(OR(E1601="",E1601="!!!"),"",IF(NOT(ISNA(VLOOKUP(E1601,E$1:E1600,1,FALSE()))),"OLD",IF(AND(E1601&lt;&gt;"",E1601&lt;&gt;"!!!"),"NEW","")))</f>
        <v> </v>
      </c>
      <c r="G1601" s="23" t="str">
        <f>IF(OR(E1601="",E1601="!!!"),"",IF(OR(J1601=0,AND(J1601=1,K1601=1),AND(J1601=1,I1601="SBJ"),AND(J1601=1,I1601=0)),"?IN_FOCUS",IF(J1601&lt;=2,"?ACTIVATED",IF(J1601&lt;&gt;"","?FAMILIAR",IF(F1601="NEW",IF(ISNA(VLOOKUP(E1601,#REF!,1,FALSE())),"?TYPE_IDENTIFIABLE","?REFERENTIAL"),"_")))))</f>
        <v> </v>
      </c>
      <c r="H1601" s="24" t="str">
        <f>IF(J1601&lt;&gt;1,"",IF(I1601="SBJ","CB","?"))</f>
        <v> </v>
      </c>
      <c r="I1601" s="25" t="str">
        <f>IF(OR(E1601="",E1601="!!!",F1601="NEW"),"",INDEX(B1600:B$2,-1+SUMPRODUCT(MAX(ROW(E1600:E$2)*(E1601=E1600:E$2)))))</f>
        <v> </v>
      </c>
      <c r="J1601" s="25" t="str">
        <f>IF(OR(E1601="",E1601="!!!",F1601="NEW"),"",COUNTBLANK(OFFSET(A$1,,,SUMPRODUCT(MAX(ROW(E$2:E1601)*(E1601=E$2:E1601)))))-COUNTBLANK(OFFSET(A$1,,,SUMPRODUCT(MAX(ROW(E$1:E1600)*(E2=E$1:E1600))))))</f>
        <v> </v>
      </c>
      <c r="K1601" s="25" t="str">
        <f>IF(OR(E1601="",E1601="!!!",F1601="NEW"),"",INDEX(J$1:J1600,SUMPRODUCT(MAX(ROW(E$1:E1600)*(E1601=E$1:E1600)))))</f>
        <v> </v>
      </c>
      <c r="L1601" s="26"/>
    </row>
    <row r="1602" spans="1:12">
      <c r="A1602" s="20" t="s">
        <v>869</v>
      </c>
      <c r="E1602" s="21">
        <f>IF(D1602="?OLD","!!!","")</f>
        <v/>
      </c>
      <c r="F1602" s="22" t="str">
        <f>IF(OR(E1602="",E1602="!!!"),"",IF(NOT(ISNA(VLOOKUP(E1602,E$1:E1601,1,FALSE()))),"OLD",IF(AND(E1602&lt;&gt;"",E1602&lt;&gt;"!!!"),"NEW","")))</f>
        <v> </v>
      </c>
      <c r="G1602" s="23" t="str">
        <f>IF(OR(E1602="",E1602="!!!"),"",IF(OR(J1602=0,AND(J1602=1,K1602=1),AND(J1602=1,I1602="SBJ"),AND(J1602=1,I1602=0)),"?IN_FOCUS",IF(J1602&lt;=2,"?ACTIVATED",IF(J1602&lt;&gt;"","?FAMILIAR",IF(F1602="NEW",IF(ISNA(VLOOKUP(E1602,#REF!,1,FALSE())),"?TYPE_IDENTIFIABLE","?REFERENTIAL"),"_")))))</f>
        <v> </v>
      </c>
      <c r="H1602" s="24" t="str">
        <f>IF(J1602&lt;&gt;1,"",IF(I1602="SBJ","CB","?"))</f>
        <v> </v>
      </c>
      <c r="I1602" s="25" t="str">
        <f>IF(OR(E1602="",E1602="!!!",F1602="NEW"),"",INDEX(B1601:B$2,-1+SUMPRODUCT(MAX(ROW(E1601:E$2)*(E1602=E1601:E$2)))))</f>
        <v> </v>
      </c>
      <c r="J1602" s="25" t="str">
        <f>IF(OR(E1602="",E1602="!!!",F1602="NEW"),"",COUNTBLANK(OFFSET(A$1,,,SUMPRODUCT(MAX(ROW(E$2:E1602)*(E1602=E$2:E1602)))))-COUNTBLANK(OFFSET(A$1,,,SUMPRODUCT(MAX(ROW(E$1:E1601)*(E2=E$1:E1601))))))</f>
        <v> </v>
      </c>
      <c r="K1602" s="25" t="str">
        <f>IF(OR(E1602="",E1602="!!!",F1602="NEW"),"",INDEX(J$1:J1601,SUMPRODUCT(MAX(ROW(E$1:E1601)*(E1602=E$1:E1601)))))</f>
        <v> </v>
      </c>
      <c r="L1602" s="26"/>
    </row>
    <row r="1603" spans="1:12">
      <c r="A1603" s="20" t="s">
        <v>349</v>
      </c>
      <c r="E1603" s="21">
        <f>IF(D1603="?OLD","!!!","")</f>
        <v/>
      </c>
      <c r="F1603" s="22" t="str">
        <f>IF(OR(E1603="",E1603="!!!"),"",IF(NOT(ISNA(VLOOKUP(E1603,E$1:E1602,1,FALSE()))),"OLD",IF(AND(E1603&lt;&gt;"",E1603&lt;&gt;"!!!"),"NEW","")))</f>
        <v> </v>
      </c>
      <c r="G1603" s="23" t="str">
        <f>IF(OR(E1603="",E1603="!!!"),"",IF(OR(J1603=0,AND(J1603=1,K1603=1),AND(J1603=1,I1603="SBJ"),AND(J1603=1,I1603=0)),"?IN_FOCUS",IF(J1603&lt;=2,"?ACTIVATED",IF(J1603&lt;&gt;"","?FAMILIAR",IF(F1603="NEW",IF(ISNA(VLOOKUP(E1603,#REF!,1,FALSE())),"?TYPE_IDENTIFIABLE","?REFERENTIAL"),"_")))))</f>
        <v> </v>
      </c>
      <c r="H1603" s="24" t="str">
        <f>IF(J1603&lt;&gt;1,"",IF(I1603="SBJ","CB","?"))</f>
        <v> </v>
      </c>
      <c r="I1603" s="25" t="str">
        <f>IF(OR(E1603="",E1603="!!!",F1603="NEW"),"",INDEX(B1602:B$2,-1+SUMPRODUCT(MAX(ROW(E1602:E$2)*(E1603=E1602:E$2)))))</f>
        <v> </v>
      </c>
      <c r="J1603" s="25" t="str">
        <f>IF(OR(E1603="",E1603="!!!",F1603="NEW"),"",COUNTBLANK(OFFSET(A$1,,,SUMPRODUCT(MAX(ROW(E$2:E1603)*(E1603=E$2:E1603)))))-COUNTBLANK(OFFSET(A$1,,,SUMPRODUCT(MAX(ROW(E$1:E1602)*(E2=E$1:E1602))))))</f>
        <v> </v>
      </c>
      <c r="K1603" s="25" t="str">
        <f>IF(OR(E1603="",E1603="!!!",F1603="NEW"),"",INDEX(J$1:J1602,SUMPRODUCT(MAX(ROW(E$1:E1602)*(E1603=E$1:E1602)))))</f>
        <v> </v>
      </c>
      <c r="L1603" s="26"/>
    </row>
    <row r="1604" spans="1:12">
      <c r="A1604" s="20" t="s">
        <v>870</v>
      </c>
      <c r="E1604" s="21">
        <f>IF(D1604="?OLD","!!!","")</f>
        <v/>
      </c>
      <c r="F1604" s="22" t="str">
        <f>IF(OR(E1604="",E1604="!!!"),"",IF(NOT(ISNA(VLOOKUP(E1604,E$1:E1603,1,FALSE()))),"OLD",IF(AND(E1604&lt;&gt;"",E1604&lt;&gt;"!!!"),"NEW","")))</f>
        <v> </v>
      </c>
      <c r="G1604" s="23" t="str">
        <f>IF(OR(E1604="",E1604="!!!"),"",IF(OR(J1604=0,AND(J1604=1,K1604=1),AND(J1604=1,I1604="SBJ"),AND(J1604=1,I1604=0)),"?IN_FOCUS",IF(J1604&lt;=2,"?ACTIVATED",IF(J1604&lt;&gt;"","?FAMILIAR",IF(F1604="NEW",IF(ISNA(VLOOKUP(E1604,#REF!,1,FALSE())),"?TYPE_IDENTIFIABLE","?REFERENTIAL"),"_")))))</f>
        <v> </v>
      </c>
      <c r="H1604" s="24" t="str">
        <f>IF(J1604&lt;&gt;1,"",IF(I1604="SBJ","CB","?"))</f>
        <v> </v>
      </c>
      <c r="I1604" s="25" t="str">
        <f>IF(OR(E1604="",E1604="!!!",F1604="NEW"),"",INDEX(B1603:B$2,-1+SUMPRODUCT(MAX(ROW(E1603:E$2)*(E1604=E1603:E$2)))))</f>
        <v> </v>
      </c>
      <c r="J1604" s="25" t="str">
        <f>IF(OR(E1604="",E1604="!!!",F1604="NEW"),"",COUNTBLANK(OFFSET(A$1,,,SUMPRODUCT(MAX(ROW(E$2:E1604)*(E1604=E$2:E1604)))))-COUNTBLANK(OFFSET(A$1,,,SUMPRODUCT(MAX(ROW(E$1:E1603)*(E2=E$1:E1603))))))</f>
        <v> </v>
      </c>
      <c r="K1604" s="25" t="str">
        <f>IF(OR(E1604="",E1604="!!!",F1604="NEW"),"",INDEX(J$1:J1603,SUMPRODUCT(MAX(ROW(E$1:E1603)*(E1604=E$1:E1603)))))</f>
        <v> </v>
      </c>
      <c r="L1604" s="26"/>
    </row>
    <row r="1605" spans="1:12">
      <c r="A1605" s="20" t="s">
        <v>270</v>
      </c>
      <c r="E1605" s="21">
        <f>IF(D1605="?OLD","!!!","")</f>
        <v/>
      </c>
      <c r="F1605" s="22" t="str">
        <f>IF(OR(E1605="",E1605="!!!"),"",IF(NOT(ISNA(VLOOKUP(E1605,E$1:E1604,1,FALSE()))),"OLD",IF(AND(E1605&lt;&gt;"",E1605&lt;&gt;"!!!"),"NEW","")))</f>
        <v> </v>
      </c>
      <c r="G1605" s="23" t="str">
        <f>IF(OR(E1605="",E1605="!!!"),"",IF(OR(J1605=0,AND(J1605=1,K1605=1),AND(J1605=1,I1605="SBJ"),AND(J1605=1,I1605=0)),"?IN_FOCUS",IF(J1605&lt;=2,"?ACTIVATED",IF(J1605&lt;&gt;"","?FAMILIAR",IF(F1605="NEW",IF(ISNA(VLOOKUP(E1605,#REF!,1,FALSE())),"?TYPE_IDENTIFIABLE","?REFERENTIAL"),"_")))))</f>
        <v> </v>
      </c>
      <c r="H1605" s="24" t="str">
        <f>IF(J1605&lt;&gt;1,"",IF(I1605="SBJ","CB","?"))</f>
        <v> </v>
      </c>
      <c r="I1605" s="25" t="str">
        <f>IF(OR(E1605="",E1605="!!!",F1605="NEW"),"",INDEX(B1604:B$2,-1+SUMPRODUCT(MAX(ROW(E1604:E$2)*(E1605=E1604:E$2)))))</f>
        <v> </v>
      </c>
      <c r="J1605" s="25" t="str">
        <f>IF(OR(E1605="",E1605="!!!",F1605="NEW"),"",COUNTBLANK(OFFSET(A$1,,,SUMPRODUCT(MAX(ROW(E$2:E1605)*(E1605=E$2:E1605)))))-COUNTBLANK(OFFSET(A$1,,,SUMPRODUCT(MAX(ROW(E$1:E1604)*(E2=E$1:E1604))))))</f>
        <v> </v>
      </c>
      <c r="K1605" s="25" t="str">
        <f>IF(OR(E1605="",E1605="!!!",F1605="NEW"),"",INDEX(J$1:J1604,SUMPRODUCT(MAX(ROW(E$1:E1604)*(E1605=E$1:E1604)))))</f>
        <v> </v>
      </c>
      <c r="L1605" s="26"/>
    </row>
    <row r="1606" spans="1:12">
      <c r="A1606" s="20" t="s">
        <v>277</v>
      </c>
      <c r="E1606" s="21">
        <f>IF(D1606="?OLD","!!!","")</f>
        <v/>
      </c>
      <c r="F1606" s="22" t="str">
        <f>IF(OR(E1606="",E1606="!!!"),"",IF(NOT(ISNA(VLOOKUP(E1606,E$1:E1605,1,FALSE()))),"OLD",IF(AND(E1606&lt;&gt;"",E1606&lt;&gt;"!!!"),"NEW","")))</f>
        <v> </v>
      </c>
      <c r="G1606" s="23" t="str">
        <f>IF(OR(E1606="",E1606="!!!"),"",IF(OR(J1606=0,AND(J1606=1,K1606=1),AND(J1606=1,I1606="SBJ"),AND(J1606=1,I1606=0)),"?IN_FOCUS",IF(J1606&lt;=2,"?ACTIVATED",IF(J1606&lt;&gt;"","?FAMILIAR",IF(F1606="NEW",IF(ISNA(VLOOKUP(E1606,#REF!,1,FALSE())),"?TYPE_IDENTIFIABLE","?REFERENTIAL"),"_")))))</f>
        <v> </v>
      </c>
      <c r="H1606" s="24" t="str">
        <f>IF(J1606&lt;&gt;1,"",IF(I1606="SBJ","CB","?"))</f>
        <v> </v>
      </c>
      <c r="I1606" s="25" t="str">
        <f>IF(OR(E1606="",E1606="!!!",F1606="NEW"),"",INDEX(B1605:B$2,-1+SUMPRODUCT(MAX(ROW(E1605:E$2)*(E1606=E1605:E$2)))))</f>
        <v> </v>
      </c>
      <c r="J1606" s="25" t="str">
        <f>IF(OR(E1606="",E1606="!!!",F1606="NEW"),"",COUNTBLANK(OFFSET(A$1,,,SUMPRODUCT(MAX(ROW(E$2:E1606)*(E1606=E$2:E1606)))))-COUNTBLANK(OFFSET(A$1,,,SUMPRODUCT(MAX(ROW(E$1:E1605)*(E2=E$1:E1605))))))</f>
        <v> </v>
      </c>
      <c r="K1606" s="25" t="str">
        <f>IF(OR(E1606="",E1606="!!!",F1606="NEW"),"",INDEX(J$1:J1605,SUMPRODUCT(MAX(ROW(E$1:E1605)*(E1606=E$1:E1605)))))</f>
        <v> </v>
      </c>
      <c r="L1606" s="26"/>
    </row>
    <row r="1607" spans="1:12">
      <c r="A1607" s="20" t="s">
        <v>527</v>
      </c>
      <c r="B1607" s="27" t="s">
        <v>461</v>
      </c>
      <c r="C1607" s="27" t="s">
        <v>279</v>
      </c>
      <c r="E1607" s="21">
        <f>IF(D1607="?OLD","!!!","")</f>
        <v/>
      </c>
      <c r="F1607" s="22" t="str">
        <f>IF(OR(E1607="",E1607="!!!"),"",IF(NOT(ISNA(VLOOKUP(E1607,E$1:E1606,1,FALSE()))),"OLD",IF(AND(E1607&lt;&gt;"",E1607&lt;&gt;"!!!"),"NEW","")))</f>
        <v> </v>
      </c>
      <c r="G1607" s="23" t="str">
        <f>IF(OR(E1607="",E1607="!!!"),"",IF(OR(J1607=0,AND(J1607=1,K1607=1),AND(J1607=1,I1607="SBJ"),AND(J1607=1,I1607=0)),"?IN_FOCUS",IF(J1607&lt;=2,"?ACTIVATED",IF(J1607&lt;&gt;"","?FAMILIAR",IF(F1607="NEW",IF(ISNA(VLOOKUP(E1607,#REF!,1,FALSE())),"?TYPE_IDENTIFIABLE","?REFERENTIAL"),"_")))))</f>
        <v> </v>
      </c>
      <c r="H1607" s="24" t="str">
        <f>IF(J1607&lt;&gt;1,"",IF(I1607="SBJ","CB","?"))</f>
        <v> </v>
      </c>
      <c r="I1607" s="25" t="str">
        <f>IF(OR(E1607="",E1607="!!!",F1607="NEW"),"",INDEX(B1606:B$2,-1+SUMPRODUCT(MAX(ROW(E1606:E$2)*(E1607=E1606:E$2)))))</f>
        <v> </v>
      </c>
      <c r="J1607" s="25" t="str">
        <f>IF(OR(E1607="",E1607="!!!",F1607="NEW"),"",COUNTBLANK(OFFSET(A$1,,,SUMPRODUCT(MAX(ROW(E$2:E1607)*(E1607=E$2:E1607)))))-COUNTBLANK(OFFSET(A$1,,,SUMPRODUCT(MAX(ROW(E$1:E1606)*(E2=E$1:E1606))))))</f>
        <v> </v>
      </c>
      <c r="K1607" s="25" t="str">
        <f>IF(OR(E1607="",E1607="!!!",F1607="NEW"),"",INDEX(J$1:J1606,SUMPRODUCT(MAX(ROW(E$1:E1606)*(E1607=E$1:E1606)))))</f>
        <v> </v>
      </c>
      <c r="L1607" s="26"/>
    </row>
    <row r="1608" spans="1:12">
      <c r="A1608" s="20" t="s">
        <v>305</v>
      </c>
      <c r="E1608" s="21">
        <f>IF(D1608="?OLD","!!!","")</f>
        <v/>
      </c>
      <c r="F1608" s="22" t="str">
        <f>IF(OR(E1608="",E1608="!!!"),"",IF(NOT(ISNA(VLOOKUP(E1608,E$1:E1607,1,FALSE()))),"OLD",IF(AND(E1608&lt;&gt;"",E1608&lt;&gt;"!!!"),"NEW","")))</f>
        <v> </v>
      </c>
      <c r="G1608" s="23" t="str">
        <f>IF(OR(E1608="",E1608="!!!"),"",IF(OR(J1608=0,AND(J1608=1,K1608=1),AND(J1608=1,I1608="SBJ"),AND(J1608=1,I1608=0)),"?IN_FOCUS",IF(J1608&lt;=2,"?ACTIVATED",IF(J1608&lt;&gt;"","?FAMILIAR",IF(F1608="NEW",IF(ISNA(VLOOKUP(E1608,#REF!,1,FALSE())),"?TYPE_IDENTIFIABLE","?REFERENTIAL"),"_")))))</f>
        <v> </v>
      </c>
      <c r="H1608" s="24" t="str">
        <f>IF(J1608&lt;&gt;1,"",IF(I1608="SBJ","CB","?"))</f>
        <v> </v>
      </c>
      <c r="I1608" s="25" t="str">
        <f>IF(OR(E1608="",E1608="!!!",F1608="NEW"),"",INDEX(B1607:B$2,-1+SUMPRODUCT(MAX(ROW(E1607:E$2)*(E1608=E1607:E$2)))))</f>
        <v> </v>
      </c>
      <c r="J1608" s="25" t="str">
        <f>IF(OR(E1608="",E1608="!!!",F1608="NEW"),"",COUNTBLANK(OFFSET(A$1,,,SUMPRODUCT(MAX(ROW(E$2:E1608)*(E1608=E$2:E1608)))))-COUNTBLANK(OFFSET(A$1,,,SUMPRODUCT(MAX(ROW(E$1:E1607)*(E2=E$1:E1607))))))</f>
        <v> </v>
      </c>
      <c r="K1608" s="25" t="str">
        <f>IF(OR(E1608="",E1608="!!!",F1608="NEW"),"",INDEX(J$1:J1607,SUMPRODUCT(MAX(ROW(E$1:E1607)*(E1608=E$1:E1607)))))</f>
        <v> </v>
      </c>
      <c r="L1608" s="26"/>
    </row>
    <row r="1609" spans="1:12">
      <c r="A1609" s="20" t="s">
        <v>408</v>
      </c>
      <c r="E1609" s="21">
        <f>IF(D1609="?OLD","!!!","")</f>
        <v/>
      </c>
      <c r="F1609" s="22" t="str">
        <f>IF(OR(E1609="",E1609="!!!"),"",IF(NOT(ISNA(VLOOKUP(E1609,E$1:E1608,1,FALSE()))),"OLD",IF(AND(E1609&lt;&gt;"",E1609&lt;&gt;"!!!"),"NEW","")))</f>
        <v> </v>
      </c>
      <c r="G1609" s="23" t="str">
        <f>IF(OR(E1609="",E1609="!!!"),"",IF(OR(J1609=0,AND(J1609=1,K1609=1),AND(J1609=1,I1609="SBJ"),AND(J1609=1,I1609=0)),"?IN_FOCUS",IF(J1609&lt;=2,"?ACTIVATED",IF(J1609&lt;&gt;"","?FAMILIAR",IF(F1609="NEW",IF(ISNA(VLOOKUP(E1609,#REF!,1,FALSE())),"?TYPE_IDENTIFIABLE","?REFERENTIAL"),"_")))))</f>
        <v> </v>
      </c>
      <c r="H1609" s="24" t="str">
        <f>IF(J1609&lt;&gt;1,"",IF(I1609="SBJ","CB","?"))</f>
        <v> </v>
      </c>
      <c r="I1609" s="25" t="str">
        <f>IF(OR(E1609="",E1609="!!!",F1609="NEW"),"",INDEX(B1608:B$2,-1+SUMPRODUCT(MAX(ROW(E1608:E$2)*(E1609=E1608:E$2)))))</f>
        <v> </v>
      </c>
      <c r="J1609" s="25" t="str">
        <f>IF(OR(E1609="",E1609="!!!",F1609="NEW"),"",COUNTBLANK(OFFSET(A$1,,,SUMPRODUCT(MAX(ROW(E$2:E1609)*(E1609=E$2:E1609)))))-COUNTBLANK(OFFSET(A$1,,,SUMPRODUCT(MAX(ROW(E$1:E1608)*(E2=E$1:E1608))))))</f>
        <v> </v>
      </c>
      <c r="K1609" s="25" t="str">
        <f>IF(OR(E1609="",E1609="!!!",F1609="NEW"),"",INDEX(J$1:J1608,SUMPRODUCT(MAX(ROW(E$1:E1608)*(E1609=E$1:E1608)))))</f>
        <v> </v>
      </c>
      <c r="L1609" s="26"/>
    </row>
    <row r="1610" spans="1:12">
      <c r="A1610" s="20" t="s">
        <v>551</v>
      </c>
      <c r="E1610" s="21">
        <f>IF(D1610="?OLD","!!!","")</f>
        <v/>
      </c>
      <c r="F1610" s="22" t="str">
        <f>IF(OR(E1610="",E1610="!!!"),"",IF(NOT(ISNA(VLOOKUP(E1610,E$1:E1609,1,FALSE()))),"OLD",IF(AND(E1610&lt;&gt;"",E1610&lt;&gt;"!!!"),"NEW","")))</f>
        <v> </v>
      </c>
      <c r="G1610" s="23" t="str">
        <f>IF(OR(E1610="",E1610="!!!"),"",IF(OR(J1610=0,AND(J1610=1,K1610=1),AND(J1610=1,I1610="SBJ"),AND(J1610=1,I1610=0)),"?IN_FOCUS",IF(J1610&lt;=2,"?ACTIVATED",IF(J1610&lt;&gt;"","?FAMILIAR",IF(F1610="NEW",IF(ISNA(VLOOKUP(E1610,#REF!,1,FALSE())),"?TYPE_IDENTIFIABLE","?REFERENTIAL"),"_")))))</f>
        <v> </v>
      </c>
      <c r="H1610" s="24" t="str">
        <f>IF(J1610&lt;&gt;1,"",IF(I1610="SBJ","CB","?"))</f>
        <v> </v>
      </c>
      <c r="I1610" s="25" t="str">
        <f>IF(OR(E1610="",E1610="!!!",F1610="NEW"),"",INDEX(B1609:B$2,-1+SUMPRODUCT(MAX(ROW(E1609:E$2)*(E1610=E1609:E$2)))))</f>
        <v> </v>
      </c>
      <c r="J1610" s="25" t="str">
        <f>IF(OR(E1610="",E1610="!!!",F1610="NEW"),"",COUNTBLANK(OFFSET(A$1,,,SUMPRODUCT(MAX(ROW(E$2:E1610)*(E1610=E$2:E1610)))))-COUNTBLANK(OFFSET(A$1,,,SUMPRODUCT(MAX(ROW(E$1:E1609)*(E2=E$1:E1609))))))</f>
        <v> </v>
      </c>
      <c r="K1610" s="25" t="str">
        <f>IF(OR(E1610="",E1610="!!!",F1610="NEW"),"",INDEX(J$1:J1609,SUMPRODUCT(MAX(ROW(E$1:E1609)*(E1610=E$1:E1609)))))</f>
        <v> </v>
      </c>
      <c r="L1610" s="26"/>
    </row>
    <row r="1611" spans="1:12">
      <c r="A1611" s="20" t="s">
        <v>871</v>
      </c>
      <c r="E1611" s="21">
        <f>IF(D1611="?OLD","!!!","")</f>
        <v/>
      </c>
      <c r="F1611" s="22" t="str">
        <f>IF(OR(E1611="",E1611="!!!"),"",IF(NOT(ISNA(VLOOKUP(E1611,E$1:E1610,1,FALSE()))),"OLD",IF(AND(E1611&lt;&gt;"",E1611&lt;&gt;"!!!"),"NEW","")))</f>
        <v> </v>
      </c>
      <c r="G1611" s="23" t="str">
        <f>IF(OR(E1611="",E1611="!!!"),"",IF(OR(J1611=0,AND(J1611=1,K1611=1),AND(J1611=1,I1611="SBJ"),AND(J1611=1,I1611=0)),"?IN_FOCUS",IF(J1611&lt;=2,"?ACTIVATED",IF(J1611&lt;&gt;"","?FAMILIAR",IF(F1611="NEW",IF(ISNA(VLOOKUP(E1611,#REF!,1,FALSE())),"?TYPE_IDENTIFIABLE","?REFERENTIAL"),"_")))))</f>
        <v> </v>
      </c>
      <c r="H1611" s="24" t="str">
        <f>IF(J1611&lt;&gt;1,"",IF(I1611="SBJ","CB","?"))</f>
        <v> </v>
      </c>
      <c r="I1611" s="25" t="str">
        <f>IF(OR(E1611="",E1611="!!!",F1611="NEW"),"",INDEX(B1610:B$2,-1+SUMPRODUCT(MAX(ROW(E1610:E$2)*(E1611=E1610:E$2)))))</f>
        <v> </v>
      </c>
      <c r="J1611" s="25" t="str">
        <f>IF(OR(E1611="",E1611="!!!",F1611="NEW"),"",COUNTBLANK(OFFSET(A$1,,,SUMPRODUCT(MAX(ROW(E$2:E1611)*(E1611=E$2:E1611)))))-COUNTBLANK(OFFSET(A$1,,,SUMPRODUCT(MAX(ROW(E$1:E1610)*(E2=E$1:E1610))))))</f>
        <v> </v>
      </c>
      <c r="K1611" s="25" t="str">
        <f>IF(OR(E1611="",E1611="!!!",F1611="NEW"),"",INDEX(J$1:J1610,SUMPRODUCT(MAX(ROW(E$1:E1610)*(E1611=E$1:E1610)))))</f>
        <v> </v>
      </c>
      <c r="L1611" s="26"/>
    </row>
    <row r="1612" spans="1:12">
      <c r="A1612" s="20" t="s">
        <v>872</v>
      </c>
      <c r="B1612" s="27" t="s">
        <v>461</v>
      </c>
      <c r="C1612" s="27" t="s">
        <v>281</v>
      </c>
      <c r="E1612" s="21">
        <f>IF(D1612="?OLD","!!!","")</f>
        <v/>
      </c>
      <c r="F1612" s="22" t="str">
        <f>IF(OR(E1612="",E1612="!!!"),"",IF(NOT(ISNA(VLOOKUP(E1612,E$1:E1611,1,FALSE()))),"OLD",IF(AND(E1612&lt;&gt;"",E1612&lt;&gt;"!!!"),"NEW","")))</f>
        <v> </v>
      </c>
      <c r="G1612" s="23" t="str">
        <f>IF(OR(E1612="",E1612="!!!"),"",IF(OR(J1612=0,AND(J1612=1,K1612=1),AND(J1612=1,I1612="SBJ"),AND(J1612=1,I1612=0)),"?IN_FOCUS",IF(J1612&lt;=2,"?ACTIVATED",IF(J1612&lt;&gt;"","?FAMILIAR",IF(F1612="NEW",IF(ISNA(VLOOKUP(E1612,#REF!,1,FALSE())),"?TYPE_IDENTIFIABLE","?REFERENTIAL"),"_")))))</f>
        <v> </v>
      </c>
      <c r="H1612" s="24" t="str">
        <f>IF(J1612&lt;&gt;1,"",IF(I1612="SBJ","CB","?"))</f>
        <v> </v>
      </c>
      <c r="I1612" s="25" t="str">
        <f>IF(OR(E1612="",E1612="!!!",F1612="NEW"),"",INDEX(B1611:B$2,-1+SUMPRODUCT(MAX(ROW(E1611:E$2)*(E1612=E1611:E$2)))))</f>
        <v> </v>
      </c>
      <c r="J1612" s="25" t="str">
        <f>IF(OR(E1612="",E1612="!!!",F1612="NEW"),"",COUNTBLANK(OFFSET(A$1,,,SUMPRODUCT(MAX(ROW(E$2:E1612)*(E1612=E$2:E1612)))))-COUNTBLANK(OFFSET(A$1,,,SUMPRODUCT(MAX(ROW(E$1:E1611)*(E2=E$1:E1611))))))</f>
        <v> </v>
      </c>
      <c r="K1612" s="25" t="str">
        <f>IF(OR(E1612="",E1612="!!!",F1612="NEW"),"",INDEX(J$1:J1611,SUMPRODUCT(MAX(ROW(E$1:E1611)*(E1612=E$1:E1611)))))</f>
        <v> </v>
      </c>
      <c r="L1612" s="26"/>
    </row>
    <row r="1613" spans="1:12">
      <c r="A1613" s="20" t="s">
        <v>349</v>
      </c>
      <c r="E1613" s="21">
        <f>IF(D1613="?OLD","!!!","")</f>
        <v/>
      </c>
      <c r="F1613" s="22" t="str">
        <f>IF(OR(E1613="",E1613="!!!"),"",IF(NOT(ISNA(VLOOKUP(E1613,E$1:E1612,1,FALSE()))),"OLD",IF(AND(E1613&lt;&gt;"",E1613&lt;&gt;"!!!"),"NEW","")))</f>
        <v> </v>
      </c>
      <c r="G1613" s="23" t="str">
        <f>IF(OR(E1613="",E1613="!!!"),"",IF(OR(J1613=0,AND(J1613=1,K1613=1),AND(J1613=1,I1613="SBJ"),AND(J1613=1,I1613=0)),"?IN_FOCUS",IF(J1613&lt;=2,"?ACTIVATED",IF(J1613&lt;&gt;"","?FAMILIAR",IF(F1613="NEW",IF(ISNA(VLOOKUP(E1613,#REF!,1,FALSE())),"?TYPE_IDENTIFIABLE","?REFERENTIAL"),"_")))))</f>
        <v> </v>
      </c>
      <c r="H1613" s="24" t="str">
        <f>IF(J1613&lt;&gt;1,"",IF(I1613="SBJ","CB","?"))</f>
        <v> </v>
      </c>
      <c r="I1613" s="25" t="str">
        <f>IF(OR(E1613="",E1613="!!!",F1613="NEW"),"",INDEX(B1612:B$2,-1+SUMPRODUCT(MAX(ROW(E1612:E$2)*(E1613=E1612:E$2)))))</f>
        <v> </v>
      </c>
      <c r="J1613" s="25" t="str">
        <f>IF(OR(E1613="",E1613="!!!",F1613="NEW"),"",COUNTBLANK(OFFSET(A$1,,,SUMPRODUCT(MAX(ROW(E$2:E1613)*(E1613=E$2:E1613)))))-COUNTBLANK(OFFSET(A$1,,,SUMPRODUCT(MAX(ROW(E$1:E1612)*(E2=E$1:E1612))))))</f>
        <v> </v>
      </c>
      <c r="K1613" s="25" t="str">
        <f>IF(OR(E1613="",E1613="!!!",F1613="NEW"),"",INDEX(J$1:J1612,SUMPRODUCT(MAX(ROW(E$1:E1612)*(E1613=E$1:E1612)))))</f>
        <v> </v>
      </c>
      <c r="L1613" s="26"/>
    </row>
    <row r="1614" spans="1:12">
      <c r="A1614" s="20" t="s">
        <v>742</v>
      </c>
      <c r="B1614" s="27" t="s">
        <v>461</v>
      </c>
      <c r="C1614" s="27" t="s">
        <v>327</v>
      </c>
      <c r="E1614" s="21">
        <f>IF(D1614="?OLD","!!!","")</f>
        <v/>
      </c>
      <c r="F1614" s="22" t="str">
        <f>IF(OR(E1614="",E1614="!!!"),"",IF(NOT(ISNA(VLOOKUP(E1614,E$1:E1613,1,FALSE()))),"OLD",IF(AND(E1614&lt;&gt;"",E1614&lt;&gt;"!!!"),"NEW","")))</f>
        <v> </v>
      </c>
      <c r="G1614" s="23" t="str">
        <f>IF(OR(E1614="",E1614="!!!"),"",IF(OR(J1614=0,AND(J1614=1,K1614=1),AND(J1614=1,I1614="SBJ"),AND(J1614=1,I1614=0)),"?IN_FOCUS",IF(J1614&lt;=2,"?ACTIVATED",IF(J1614&lt;&gt;"","?FAMILIAR",IF(F1614="NEW",IF(ISNA(VLOOKUP(E1614,#REF!,1,FALSE())),"?TYPE_IDENTIFIABLE","?REFERENTIAL"),"_")))))</f>
        <v> </v>
      </c>
      <c r="H1614" s="24" t="str">
        <f>IF(J1614&lt;&gt;1,"",IF(I1614="SBJ","CB","?"))</f>
        <v> </v>
      </c>
      <c r="I1614" s="25" t="str">
        <f>IF(OR(E1614="",E1614="!!!",F1614="NEW"),"",INDEX(B1613:B$2,-1+SUMPRODUCT(MAX(ROW(E1613:E$2)*(E1614=E1613:E$2)))))</f>
        <v> </v>
      </c>
      <c r="J1614" s="25" t="str">
        <f>IF(OR(E1614="",E1614="!!!",F1614="NEW"),"",COUNTBLANK(OFFSET(A$1,,,SUMPRODUCT(MAX(ROW(E$2:E1614)*(E1614=E$2:E1614)))))-COUNTBLANK(OFFSET(A$1,,,SUMPRODUCT(MAX(ROW(E$1:E1613)*(E2=E$1:E1613))))))</f>
        <v> </v>
      </c>
      <c r="K1614" s="25" t="str">
        <f>IF(OR(E1614="",E1614="!!!",F1614="NEW"),"",INDEX(J$1:J1613,SUMPRODUCT(MAX(ROW(E$1:E1613)*(E1614=E$1:E1613)))))</f>
        <v> </v>
      </c>
      <c r="L1614" s="26"/>
    </row>
    <row r="1615" spans="1:12">
      <c r="A1615" s="20" t="s">
        <v>393</v>
      </c>
      <c r="B1615" s="27" t="s">
        <v>873</v>
      </c>
      <c r="C1615" s="27" t="s">
        <v>256</v>
      </c>
      <c r="D1615" s="27" t="s">
        <v>244</v>
      </c>
      <c r="E1615" s="21">
        <f>IF(D1615="?OLD","!!!","")</f>
        <v/>
      </c>
      <c r="F1615" s="22" t="str">
        <f>IF(OR(E1615="",E1615="!!!"),"",IF(NOT(ISNA(VLOOKUP(E1615,E$1:E1614,1,FALSE()))),"OLD",IF(AND(E1615&lt;&gt;"",E1615&lt;&gt;"!!!"),"NEW","")))</f>
        <v> </v>
      </c>
      <c r="G1615" s="23" t="str">
        <f>IF(OR(E1615="",E1615="!!!"),"",IF(OR(J1615=0,AND(J1615=1,K1615=1),AND(J1615=1,I1615="SBJ"),AND(J1615=1,I1615=0)),"?IN_FOCUS",IF(J1615&lt;=2,"?ACTIVATED",IF(J1615&lt;&gt;"","?FAMILIAR",IF(F1615="NEW",IF(ISNA(VLOOKUP(E1615,#REF!,1,FALSE())),"?TYPE_IDENTIFIABLE","?REFERENTIAL"),"_")))))</f>
        <v> </v>
      </c>
      <c r="H1615" s="24" t="str">
        <f>IF(J1615&lt;&gt;1,"",IF(I1615="SBJ","CB","?"))</f>
        <v> </v>
      </c>
      <c r="I1615" s="25" t="str">
        <f>IF(OR(E1615="",E1615="!!!",F1615="NEW"),"",INDEX(B1614:B$2,-1+SUMPRODUCT(MAX(ROW(E1614:E$2)*(E1615=E1614:E$2)))))</f>
        <v> </v>
      </c>
      <c r="J1615" s="25" t="str">
        <f>IF(OR(E1615="",E1615="!!!",F1615="NEW"),"",COUNTBLANK(OFFSET(A$1,,,SUMPRODUCT(MAX(ROW(E$2:E1615)*(E1615=E$2:E1615)))))-COUNTBLANK(OFFSET(A$1,,,SUMPRODUCT(MAX(ROW(E$1:E1614)*(E2=E$1:E1614))))))</f>
        <v> </v>
      </c>
      <c r="K1615" s="25" t="str">
        <f>IF(OR(E1615="",E1615="!!!",F1615="NEW"),"",INDEX(J$1:J1614,SUMPRODUCT(MAX(ROW(E$1:E1614)*(E1615=E$1:E1614)))))</f>
        <v> </v>
      </c>
      <c r="L1615" s="26"/>
    </row>
    <row r="1616" spans="1:12">
      <c r="A1616" s="20" t="s">
        <v>874</v>
      </c>
      <c r="E1616" s="21">
        <f>IF(D1616="?OLD","!!!","")</f>
        <v/>
      </c>
      <c r="F1616" s="22" t="str">
        <f>IF(OR(E1616="",E1616="!!!"),"",IF(NOT(ISNA(VLOOKUP(E1616,E$1:E1615,1,FALSE()))),"OLD",IF(AND(E1616&lt;&gt;"",E1616&lt;&gt;"!!!"),"NEW","")))</f>
        <v> </v>
      </c>
      <c r="G1616" s="23" t="str">
        <f>IF(OR(E1616="",E1616="!!!"),"",IF(OR(J1616=0,AND(J1616=1,K1616=1),AND(J1616=1,I1616="SBJ"),AND(J1616=1,I1616=0)),"?IN_FOCUS",IF(J1616&lt;=2,"?ACTIVATED",IF(J1616&lt;&gt;"","?FAMILIAR",IF(F1616="NEW",IF(ISNA(VLOOKUP(E1616,#REF!,1,FALSE())),"?TYPE_IDENTIFIABLE","?REFERENTIAL"),"_")))))</f>
        <v> </v>
      </c>
      <c r="H1616" s="24" t="str">
        <f>IF(J1616&lt;&gt;1,"",IF(I1616="SBJ","CB","?"))</f>
        <v> </v>
      </c>
      <c r="I1616" s="25" t="str">
        <f>IF(OR(E1616="",E1616="!!!",F1616="NEW"),"",INDEX(B1615:B$2,-1+SUMPRODUCT(MAX(ROW(E1615:E$2)*(E1616=E1615:E$2)))))</f>
        <v> </v>
      </c>
      <c r="J1616" s="25" t="str">
        <f>IF(OR(E1616="",E1616="!!!",F1616="NEW"),"",COUNTBLANK(OFFSET(A$1,,,SUMPRODUCT(MAX(ROW(E$2:E1616)*(E1616=E$2:E1616)))))-COUNTBLANK(OFFSET(A$1,,,SUMPRODUCT(MAX(ROW(E$1:E1615)*(E2=E$1:E1615))))))</f>
        <v> </v>
      </c>
      <c r="K1616" s="25" t="str">
        <f>IF(OR(E1616="",E1616="!!!",F1616="NEW"),"",INDEX(J$1:J1615,SUMPRODUCT(MAX(ROW(E$1:E1615)*(E1616=E$1:E1615)))))</f>
        <v> </v>
      </c>
      <c r="L1616" s="26"/>
    </row>
    <row r="1617" spans="1:12">
      <c r="A1617" s="20" t="s">
        <v>285</v>
      </c>
      <c r="E1617" s="21">
        <f>IF(D1617="?OLD","!!!","")</f>
        <v/>
      </c>
      <c r="F1617" s="22" t="str">
        <f>IF(OR(E1617="",E1617="!!!"),"",IF(NOT(ISNA(VLOOKUP(E1617,E$1:E1616,1,FALSE()))),"OLD",IF(AND(E1617&lt;&gt;"",E1617&lt;&gt;"!!!"),"NEW","")))</f>
        <v> </v>
      </c>
      <c r="G1617" s="23" t="str">
        <f>IF(OR(E1617="",E1617="!!!"),"",IF(OR(J1617=0,AND(J1617=1,K1617=1),AND(J1617=1,I1617="SBJ"),AND(J1617=1,I1617=0)),"?IN_FOCUS",IF(J1617&lt;=2,"?ACTIVATED",IF(J1617&lt;&gt;"","?FAMILIAR",IF(F1617="NEW",IF(ISNA(VLOOKUP(E1617,#REF!,1,FALSE())),"?TYPE_IDENTIFIABLE","?REFERENTIAL"),"_")))))</f>
        <v> </v>
      </c>
      <c r="H1617" s="24" t="str">
        <f>IF(J1617&lt;&gt;1,"",IF(I1617="SBJ","CB","?"))</f>
        <v> </v>
      </c>
      <c r="I1617" s="25" t="str">
        <f>IF(OR(E1617="",E1617="!!!",F1617="NEW"),"",INDEX(B1616:B$2,-1+SUMPRODUCT(MAX(ROW(E1616:E$2)*(E1617=E1616:E$2)))))</f>
        <v> </v>
      </c>
      <c r="J1617" s="25" t="str">
        <f>IF(OR(E1617="",E1617="!!!",F1617="NEW"),"",COUNTBLANK(OFFSET(A$1,,,SUMPRODUCT(MAX(ROW(E$2:E1617)*(E1617=E$2:E1617)))))-COUNTBLANK(OFFSET(A$1,,,SUMPRODUCT(MAX(ROW(E$1:E1616)*(E2=E$1:E1616))))))</f>
        <v> </v>
      </c>
      <c r="K1617" s="25" t="str">
        <f>IF(OR(E1617="",E1617="!!!",F1617="NEW"),"",INDEX(J$1:J1616,SUMPRODUCT(MAX(ROW(E$1:E1616)*(E1617=E$1:E1616)))))</f>
        <v> </v>
      </c>
      <c r="L1617" s="26"/>
    </row>
    <row r="1618" spans="1:12">
      <c r="A1618" s="20"/>
    </row>
    <row r="1619" spans="1:12">
      <c r="A1619" s="20" t="s">
        <v>875</v>
      </c>
    </row>
    <row r="1620" spans="1:12">
      <c r="A1620" s="20" t="s">
        <v>336</v>
      </c>
      <c r="E1620" s="21">
        <f>IF(D1620="?OLD","!!!","")</f>
        <v/>
      </c>
      <c r="F1620" s="22" t="str">
        <f>IF(OR(E1620="",E1620="!!!"),"",IF(NOT(ISNA(VLOOKUP(E1620,E$1:E1619,1,FALSE()))),"OLD",IF(AND(E1620&lt;&gt;"",E1620&lt;&gt;"!!!"),"NEW","")))</f>
        <v> </v>
      </c>
      <c r="G1620" s="23" t="str">
        <f>IF(OR(E1620="",E1620="!!!"),"",IF(OR(J1620=0,AND(J1620=1,K1620=1),AND(J1620=1,I1620="SBJ"),AND(J1620=1,I1620=0)),"?IN_FOCUS",IF(J1620&lt;=2,"?ACTIVATED",IF(J1620&lt;&gt;"","?FAMILIAR",IF(F1620="NEW",IF(ISNA(VLOOKUP(E1620,#REF!,1,FALSE())),"?TYPE_IDENTIFIABLE","?REFERENTIAL"),"_")))))</f>
        <v> </v>
      </c>
      <c r="H1620" s="24" t="str">
        <f>IF(J1620&lt;&gt;1,"",IF(I1620="SBJ","CB","?"))</f>
        <v> </v>
      </c>
      <c r="I1620" s="25" t="str">
        <f>IF(OR(E1620="",E1620="!!!",F1620="NEW"),"",INDEX(B1619:B$2,-1+SUMPRODUCT(MAX(ROW(E1619:E$2)*(E1620=E1619:E$2)))))</f>
        <v> </v>
      </c>
      <c r="J1620" s="25" t="str">
        <f>IF(OR(E1620="",E1620="!!!",F1620="NEW"),"",COUNTBLANK(OFFSET(A$1,,,SUMPRODUCT(MAX(ROW(E$2:E1620)*(E1620=E$2:E1620)))))-COUNTBLANK(OFFSET(A$1,,,SUMPRODUCT(MAX(ROW(E$1:E1619)*(E2=E$1:E1619))))))</f>
        <v> </v>
      </c>
      <c r="K1620" s="25" t="str">
        <f>IF(OR(E1620="",E1620="!!!",F1620="NEW"),"",INDEX(J$1:J1619,SUMPRODUCT(MAX(ROW(E$1:E1619)*(E1620=E$1:E1619)))))</f>
        <v> </v>
      </c>
      <c r="L1620" s="26"/>
    </row>
    <row r="1621" spans="1:12">
      <c r="A1621" s="20" t="s">
        <v>254</v>
      </c>
      <c r="B1621" s="27" t="s">
        <v>295</v>
      </c>
      <c r="C1621" s="27" t="s">
        <v>256</v>
      </c>
      <c r="D1621" s="27" t="s">
        <v>244</v>
      </c>
      <c r="E1621" s="21">
        <f>IF(D1621="?OLD","!!!","")</f>
        <v/>
      </c>
      <c r="F1621" s="22" t="str">
        <f>IF(OR(E1621="",E1621="!!!"),"",IF(NOT(ISNA(VLOOKUP(E1621,E$1:E1620,1,FALSE()))),"OLD",IF(AND(E1621&lt;&gt;"",E1621&lt;&gt;"!!!"),"NEW","")))</f>
        <v> </v>
      </c>
      <c r="G1621" s="23" t="str">
        <f>IF(OR(E1621="",E1621="!!!"),"",IF(OR(J1621=0,AND(J1621=1,K1621=1),AND(J1621=1,I1621="SBJ"),AND(J1621=1,I1621=0)),"?IN_FOCUS",IF(J1621&lt;=2,"?ACTIVATED",IF(J1621&lt;&gt;"","?FAMILIAR",IF(F1621="NEW",IF(ISNA(VLOOKUP(E1621,#REF!,1,FALSE())),"?TYPE_IDENTIFIABLE","?REFERENTIAL"),"_")))))</f>
        <v> </v>
      </c>
      <c r="H1621" s="24" t="str">
        <f>IF(J1621&lt;&gt;1,"",IF(I1621="SBJ","CB","?"))</f>
        <v> </v>
      </c>
      <c r="I1621" s="25" t="str">
        <f>IF(OR(E1621="",E1621="!!!",F1621="NEW"),"",INDEX(B1620:B$2,-1+SUMPRODUCT(MAX(ROW(E1620:E$2)*(E1621=E1620:E$2)))))</f>
        <v> </v>
      </c>
      <c r="J1621" s="25" t="str">
        <f>IF(OR(E1621="",E1621="!!!",F1621="NEW"),"",COUNTBLANK(OFFSET(A$1,,,SUMPRODUCT(MAX(ROW(E$2:E1621)*(E1621=E$2:E1621)))))-COUNTBLANK(OFFSET(A$1,,,SUMPRODUCT(MAX(ROW(E$1:E1620)*(E2=E$1:E1620))))))</f>
        <v> </v>
      </c>
      <c r="K1621" s="25" t="str">
        <f>IF(OR(E1621="",E1621="!!!",F1621="NEW"),"",INDEX(J$1:J1620,SUMPRODUCT(MAX(ROW(E$1:E1620)*(E1621=E$1:E1620)))))</f>
        <v> </v>
      </c>
      <c r="L1621" s="26"/>
    </row>
    <row r="1622" spans="1:12">
      <c r="A1622" s="20" t="s">
        <v>876</v>
      </c>
      <c r="E1622" s="21">
        <f>IF(D1622="?OLD","!!!","")</f>
        <v/>
      </c>
      <c r="F1622" s="22" t="str">
        <f>IF(OR(E1622="",E1622="!!!"),"",IF(NOT(ISNA(VLOOKUP(E1622,E$1:E1621,1,FALSE()))),"OLD",IF(AND(E1622&lt;&gt;"",E1622&lt;&gt;"!!!"),"NEW","")))</f>
        <v> </v>
      </c>
      <c r="G1622" s="23" t="str">
        <f>IF(OR(E1622="",E1622="!!!"),"",IF(OR(J1622=0,AND(J1622=1,K1622=1),AND(J1622=1,I1622="SBJ"),AND(J1622=1,I1622=0)),"?IN_FOCUS",IF(J1622&lt;=2,"?ACTIVATED",IF(J1622&lt;&gt;"","?FAMILIAR",IF(F1622="NEW",IF(ISNA(VLOOKUP(E1622,#REF!,1,FALSE())),"?TYPE_IDENTIFIABLE","?REFERENTIAL"),"_")))))</f>
        <v> </v>
      </c>
      <c r="H1622" s="24" t="str">
        <f>IF(J1622&lt;&gt;1,"",IF(I1622="SBJ","CB","?"))</f>
        <v> </v>
      </c>
      <c r="I1622" s="25" t="str">
        <f>IF(OR(E1622="",E1622="!!!",F1622="NEW"),"",INDEX(B1621:B$2,-1+SUMPRODUCT(MAX(ROW(E1621:E$2)*(E1622=E1621:E$2)))))</f>
        <v> </v>
      </c>
      <c r="J1622" s="25" t="str">
        <f>IF(OR(E1622="",E1622="!!!",F1622="NEW"),"",COUNTBLANK(OFFSET(A$1,,,SUMPRODUCT(MAX(ROW(E$2:E1622)*(E1622=E$2:E1622)))))-COUNTBLANK(OFFSET(A$1,,,SUMPRODUCT(MAX(ROW(E$1:E1621)*(E2=E$1:E1621))))))</f>
        <v> </v>
      </c>
      <c r="K1622" s="25" t="str">
        <f>IF(OR(E1622="",E1622="!!!",F1622="NEW"),"",INDEX(J$1:J1621,SUMPRODUCT(MAX(ROW(E$1:E1621)*(E1622=E$1:E1621)))))</f>
        <v> </v>
      </c>
      <c r="L1622" s="26"/>
    </row>
    <row r="1623" spans="1:12">
      <c r="A1623" s="20" t="s">
        <v>337</v>
      </c>
      <c r="B1623" s="27" t="s">
        <v>301</v>
      </c>
      <c r="C1623" s="27" t="s">
        <v>256</v>
      </c>
      <c r="D1623" s="27" t="s">
        <v>244</v>
      </c>
      <c r="E1623" s="21">
        <f>IF(D1623="?OLD","!!!","")</f>
        <v/>
      </c>
      <c r="F1623" s="22" t="str">
        <f>IF(OR(E1623="",E1623="!!!"),"",IF(NOT(ISNA(VLOOKUP(E1623,E$1:E1622,1,FALSE()))),"OLD",IF(AND(E1623&lt;&gt;"",E1623&lt;&gt;"!!!"),"NEW","")))</f>
        <v> </v>
      </c>
      <c r="G1623" s="23" t="str">
        <f>IF(OR(E1623="",E1623="!!!"),"",IF(OR(J1623=0,AND(J1623=1,K1623=1),AND(J1623=1,I1623="SBJ"),AND(J1623=1,I1623=0)),"?IN_FOCUS",IF(J1623&lt;=2,"?ACTIVATED",IF(J1623&lt;&gt;"","?FAMILIAR",IF(F1623="NEW",IF(ISNA(VLOOKUP(E1623,#REF!,1,FALSE())),"?TYPE_IDENTIFIABLE","?REFERENTIAL"),"_")))))</f>
        <v> </v>
      </c>
      <c r="H1623" s="24" t="str">
        <f>IF(J1623&lt;&gt;1,"",IF(I1623="SBJ","CB","?"))</f>
        <v> </v>
      </c>
      <c r="I1623" s="25" t="str">
        <f>IF(OR(E1623="",E1623="!!!",F1623="NEW"),"",INDEX(B1622:B$2,-1+SUMPRODUCT(MAX(ROW(E1622:E$2)*(E1623=E1622:E$2)))))</f>
        <v> </v>
      </c>
      <c r="J1623" s="25" t="str">
        <f>IF(OR(E1623="",E1623="!!!",F1623="NEW"),"",COUNTBLANK(OFFSET(A$1,,,SUMPRODUCT(MAX(ROW(E$2:E1623)*(E1623=E$2:E1623)))))-COUNTBLANK(OFFSET(A$1,,,SUMPRODUCT(MAX(ROW(E$1:E1622)*(E2=E$1:E1622))))))</f>
        <v> </v>
      </c>
      <c r="K1623" s="25" t="str">
        <f>IF(OR(E1623="",E1623="!!!",F1623="NEW"),"",INDEX(J$1:J1622,SUMPRODUCT(MAX(ROW(E$1:E1622)*(E1623=E$1:E1622)))))</f>
        <v> </v>
      </c>
      <c r="L1623" s="26"/>
    </row>
    <row r="1624" spans="1:12">
      <c r="A1624" s="20" t="s">
        <v>349</v>
      </c>
      <c r="E1624" s="21">
        <f>IF(D1624="?OLD","!!!","")</f>
        <v/>
      </c>
      <c r="F1624" s="22" t="str">
        <f>IF(OR(E1624="",E1624="!!!"),"",IF(NOT(ISNA(VLOOKUP(E1624,E$1:E1623,1,FALSE()))),"OLD",IF(AND(E1624&lt;&gt;"",E1624&lt;&gt;"!!!"),"NEW","")))</f>
        <v> </v>
      </c>
      <c r="G1624" s="23" t="str">
        <f>IF(OR(E1624="",E1624="!!!"),"",IF(OR(J1624=0,AND(J1624=1,K1624=1),AND(J1624=1,I1624="SBJ"),AND(J1624=1,I1624=0)),"?IN_FOCUS",IF(J1624&lt;=2,"?ACTIVATED",IF(J1624&lt;&gt;"","?FAMILIAR",IF(F1624="NEW",IF(ISNA(VLOOKUP(E1624,#REF!,1,FALSE())),"?TYPE_IDENTIFIABLE","?REFERENTIAL"),"_")))))</f>
        <v> </v>
      </c>
      <c r="H1624" s="24" t="str">
        <f>IF(J1624&lt;&gt;1,"",IF(I1624="SBJ","CB","?"))</f>
        <v> </v>
      </c>
      <c r="I1624" s="25" t="str">
        <f>IF(OR(E1624="",E1624="!!!",F1624="NEW"),"",INDEX(B1623:B$2,-1+SUMPRODUCT(MAX(ROW(E1623:E$2)*(E1624=E1623:E$2)))))</f>
        <v> </v>
      </c>
      <c r="J1624" s="25" t="str">
        <f>IF(OR(E1624="",E1624="!!!",F1624="NEW"),"",COUNTBLANK(OFFSET(A$1,,,SUMPRODUCT(MAX(ROW(E$2:E1624)*(E1624=E$2:E1624)))))-COUNTBLANK(OFFSET(A$1,,,SUMPRODUCT(MAX(ROW(E$1:E1623)*(E2=E$1:E1623))))))</f>
        <v> </v>
      </c>
      <c r="K1624" s="25" t="str">
        <f>IF(OR(E1624="",E1624="!!!",F1624="NEW"),"",INDEX(J$1:J1623,SUMPRODUCT(MAX(ROW(E$1:E1623)*(E1624=E$1:E1623)))))</f>
        <v> </v>
      </c>
      <c r="L1624" s="26"/>
    </row>
    <row r="1625" spans="1:12">
      <c r="A1625" s="20" t="s">
        <v>877</v>
      </c>
      <c r="E1625" s="21">
        <f>IF(D1625="?OLD","!!!","")</f>
        <v/>
      </c>
      <c r="F1625" s="22" t="str">
        <f>IF(OR(E1625="",E1625="!!!"),"",IF(NOT(ISNA(VLOOKUP(E1625,E$1:E1624,1,FALSE()))),"OLD",IF(AND(E1625&lt;&gt;"",E1625&lt;&gt;"!!!"),"NEW","")))</f>
        <v> </v>
      </c>
      <c r="G1625" s="23" t="str">
        <f>IF(OR(E1625="",E1625="!!!"),"",IF(OR(J1625=0,AND(J1625=1,K1625=1),AND(J1625=1,I1625="SBJ"),AND(J1625=1,I1625=0)),"?IN_FOCUS",IF(J1625&lt;=2,"?ACTIVATED",IF(J1625&lt;&gt;"","?FAMILIAR",IF(F1625="NEW",IF(ISNA(VLOOKUP(E1625,#REF!,1,FALSE())),"?TYPE_IDENTIFIABLE","?REFERENTIAL"),"_")))))</f>
        <v> </v>
      </c>
      <c r="H1625" s="24" t="str">
        <f>IF(J1625&lt;&gt;1,"",IF(I1625="SBJ","CB","?"))</f>
        <v> </v>
      </c>
      <c r="I1625" s="25" t="str">
        <f>IF(OR(E1625="",E1625="!!!",F1625="NEW"),"",INDEX(B1624:B$2,-1+SUMPRODUCT(MAX(ROW(E1624:E$2)*(E1625=E1624:E$2)))))</f>
        <v> </v>
      </c>
      <c r="J1625" s="25" t="str">
        <f>IF(OR(E1625="",E1625="!!!",F1625="NEW"),"",COUNTBLANK(OFFSET(A$1,,,SUMPRODUCT(MAX(ROW(E$2:E1625)*(E1625=E$2:E1625)))))-COUNTBLANK(OFFSET(A$1,,,SUMPRODUCT(MAX(ROW(E$1:E1624)*(E2=E$1:E1624))))))</f>
        <v> </v>
      </c>
      <c r="K1625" s="25" t="str">
        <f>IF(OR(E1625="",E1625="!!!",F1625="NEW"),"",INDEX(J$1:J1624,SUMPRODUCT(MAX(ROW(E$1:E1624)*(E1625=E$1:E1624)))))</f>
        <v> </v>
      </c>
      <c r="L1625" s="26"/>
    </row>
    <row r="1626" spans="1:12">
      <c r="A1626" s="20" t="s">
        <v>326</v>
      </c>
      <c r="B1626" s="27" t="s">
        <v>381</v>
      </c>
      <c r="C1626" s="27" t="s">
        <v>327</v>
      </c>
      <c r="E1626" s="21">
        <f>IF(D1626="?OLD","!!!","")</f>
        <v/>
      </c>
      <c r="F1626" s="22" t="str">
        <f>IF(OR(E1626="",E1626="!!!"),"",IF(NOT(ISNA(VLOOKUP(E1626,E$1:E1625,1,FALSE()))),"OLD",IF(AND(E1626&lt;&gt;"",E1626&lt;&gt;"!!!"),"NEW","")))</f>
        <v> </v>
      </c>
      <c r="G1626" s="23" t="str">
        <f>IF(OR(E1626="",E1626="!!!"),"",IF(OR(J1626=0,AND(J1626=1,K1626=1),AND(J1626=1,I1626="SBJ"),AND(J1626=1,I1626=0)),"?IN_FOCUS",IF(J1626&lt;=2,"?ACTIVATED",IF(J1626&lt;&gt;"","?FAMILIAR",IF(F1626="NEW",IF(ISNA(VLOOKUP(E1626,#REF!,1,FALSE())),"?TYPE_IDENTIFIABLE","?REFERENTIAL"),"_")))))</f>
        <v> </v>
      </c>
      <c r="H1626" s="24" t="str">
        <f>IF(J1626&lt;&gt;1,"",IF(I1626="SBJ","CB","?"))</f>
        <v> </v>
      </c>
      <c r="I1626" s="25" t="str">
        <f>IF(OR(E1626="",E1626="!!!",F1626="NEW"),"",INDEX(B1625:B$2,-1+SUMPRODUCT(MAX(ROW(E1625:E$2)*(E1626=E1625:E$2)))))</f>
        <v> </v>
      </c>
      <c r="J1626" s="25" t="str">
        <f>IF(OR(E1626="",E1626="!!!",F1626="NEW"),"",COUNTBLANK(OFFSET(A$1,,,SUMPRODUCT(MAX(ROW(E$2:E1626)*(E1626=E$2:E1626)))))-COUNTBLANK(OFFSET(A$1,,,SUMPRODUCT(MAX(ROW(E$1:E1625)*(E2=E$1:E1625))))))</f>
        <v> </v>
      </c>
      <c r="K1626" s="25" t="str">
        <f>IF(OR(E1626="",E1626="!!!",F1626="NEW"),"",INDEX(J$1:J1625,SUMPRODUCT(MAX(ROW(E$1:E1625)*(E1626=E$1:E1625)))))</f>
        <v> </v>
      </c>
      <c r="L1626" s="26"/>
    </row>
    <row r="1627" spans="1:12">
      <c r="A1627" s="20" t="s">
        <v>277</v>
      </c>
      <c r="E1627" s="21">
        <f>IF(D1627="?OLD","!!!","")</f>
        <v/>
      </c>
      <c r="F1627" s="22" t="str">
        <f>IF(OR(E1627="",E1627="!!!"),"",IF(NOT(ISNA(VLOOKUP(E1627,E$1:E1626,1,FALSE()))),"OLD",IF(AND(E1627&lt;&gt;"",E1627&lt;&gt;"!!!"),"NEW","")))</f>
        <v> </v>
      </c>
      <c r="G1627" s="23" t="str">
        <f>IF(OR(E1627="",E1627="!!!"),"",IF(OR(J1627=0,AND(J1627=1,K1627=1),AND(J1627=1,I1627="SBJ"),AND(J1627=1,I1627=0)),"?IN_FOCUS",IF(J1627&lt;=2,"?ACTIVATED",IF(J1627&lt;&gt;"","?FAMILIAR",IF(F1627="NEW",IF(ISNA(VLOOKUP(E1627,#REF!,1,FALSE())),"?TYPE_IDENTIFIABLE","?REFERENTIAL"),"_")))))</f>
        <v> </v>
      </c>
      <c r="H1627" s="24" t="str">
        <f>IF(J1627&lt;&gt;1,"",IF(I1627="SBJ","CB","?"))</f>
        <v> </v>
      </c>
      <c r="I1627" s="25" t="str">
        <f>IF(OR(E1627="",E1627="!!!",F1627="NEW"),"",INDEX(B1626:B$2,-1+SUMPRODUCT(MAX(ROW(E1626:E$2)*(E1627=E1626:E$2)))))</f>
        <v> </v>
      </c>
      <c r="J1627" s="25" t="str">
        <f>IF(OR(E1627="",E1627="!!!",F1627="NEW"),"",COUNTBLANK(OFFSET(A$1,,,SUMPRODUCT(MAX(ROW(E$2:E1627)*(E1627=E$2:E1627)))))-COUNTBLANK(OFFSET(A$1,,,SUMPRODUCT(MAX(ROW(E$1:E1626)*(E2=E$1:E1626))))))</f>
        <v> </v>
      </c>
      <c r="K1627" s="25" t="str">
        <f>IF(OR(E1627="",E1627="!!!",F1627="NEW"),"",INDEX(J$1:J1626,SUMPRODUCT(MAX(ROW(E$1:E1626)*(E1627=E$1:E1626)))))</f>
        <v> </v>
      </c>
      <c r="L1627" s="26"/>
    </row>
    <row r="1628" spans="1:12">
      <c r="A1628" s="20" t="s">
        <v>878</v>
      </c>
      <c r="E1628" s="21">
        <f>IF(D1628="?OLD","!!!","")</f>
        <v/>
      </c>
      <c r="F1628" s="22" t="str">
        <f>IF(OR(E1628="",E1628="!!!"),"",IF(NOT(ISNA(VLOOKUP(E1628,E$1:E1627,1,FALSE()))),"OLD",IF(AND(E1628&lt;&gt;"",E1628&lt;&gt;"!!!"),"NEW","")))</f>
        <v> </v>
      </c>
      <c r="G1628" s="23" t="str">
        <f>IF(OR(E1628="",E1628="!!!"),"",IF(OR(J1628=0,AND(J1628=1,K1628=1),AND(J1628=1,I1628="SBJ"),AND(J1628=1,I1628=0)),"?IN_FOCUS",IF(J1628&lt;=2,"?ACTIVATED",IF(J1628&lt;&gt;"","?FAMILIAR",IF(F1628="NEW",IF(ISNA(VLOOKUP(E1628,#REF!,1,FALSE())),"?TYPE_IDENTIFIABLE","?REFERENTIAL"),"_")))))</f>
        <v> </v>
      </c>
      <c r="H1628" s="24" t="str">
        <f>IF(J1628&lt;&gt;1,"",IF(I1628="SBJ","CB","?"))</f>
        <v> </v>
      </c>
      <c r="I1628" s="25" t="str">
        <f>IF(OR(E1628="",E1628="!!!",F1628="NEW"),"",INDEX(B1627:B$2,-1+SUMPRODUCT(MAX(ROW(E1627:E$2)*(E1628=E1627:E$2)))))</f>
        <v> </v>
      </c>
      <c r="J1628" s="25" t="str">
        <f>IF(OR(E1628="",E1628="!!!",F1628="NEW"),"",COUNTBLANK(OFFSET(A$1,,,SUMPRODUCT(MAX(ROW(E$2:E1628)*(E1628=E$2:E1628)))))-COUNTBLANK(OFFSET(A$1,,,SUMPRODUCT(MAX(ROW(E$1:E1627)*(E2=E$1:E1627))))))</f>
        <v> </v>
      </c>
      <c r="K1628" s="25" t="str">
        <f>IF(OR(E1628="",E1628="!!!",F1628="NEW"),"",INDEX(J$1:J1627,SUMPRODUCT(MAX(ROW(E$1:E1627)*(E1628=E$1:E1627)))))</f>
        <v> </v>
      </c>
      <c r="L1628" s="26"/>
    </row>
    <row r="1629" spans="1:12">
      <c r="A1629" s="20" t="s">
        <v>431</v>
      </c>
      <c r="B1629" s="27" t="s">
        <v>361</v>
      </c>
      <c r="C1629" s="27" t="s">
        <v>279</v>
      </c>
      <c r="E1629" s="21">
        <f>IF(D1629="?OLD","!!!","")</f>
        <v/>
      </c>
      <c r="F1629" s="22" t="str">
        <f>IF(OR(E1629="",E1629="!!!"),"",IF(NOT(ISNA(VLOOKUP(E1629,E$1:E1628,1,FALSE()))),"OLD",IF(AND(E1629&lt;&gt;"",E1629&lt;&gt;"!!!"),"NEW","")))</f>
        <v> </v>
      </c>
      <c r="G1629" s="23" t="str">
        <f>IF(OR(E1629="",E1629="!!!"),"",IF(OR(J1629=0,AND(J1629=1,K1629=1),AND(J1629=1,I1629="SBJ"),AND(J1629=1,I1629=0)),"?IN_FOCUS",IF(J1629&lt;=2,"?ACTIVATED",IF(J1629&lt;&gt;"","?FAMILIAR",IF(F1629="NEW",IF(ISNA(VLOOKUP(E1629,#REF!,1,FALSE())),"?TYPE_IDENTIFIABLE","?REFERENTIAL"),"_")))))</f>
        <v> </v>
      </c>
      <c r="H1629" s="24" t="str">
        <f>IF(J1629&lt;&gt;1,"",IF(I1629="SBJ","CB","?"))</f>
        <v> </v>
      </c>
      <c r="I1629" s="25" t="str">
        <f>IF(OR(E1629="",E1629="!!!",F1629="NEW"),"",INDEX(B1628:B$2,-1+SUMPRODUCT(MAX(ROW(E1628:E$2)*(E1629=E1628:E$2)))))</f>
        <v> </v>
      </c>
      <c r="J1629" s="25" t="str">
        <f>IF(OR(E1629="",E1629="!!!",F1629="NEW"),"",COUNTBLANK(OFFSET(A$1,,,SUMPRODUCT(MAX(ROW(E$2:E1629)*(E1629=E$2:E1629)))))-COUNTBLANK(OFFSET(A$1,,,SUMPRODUCT(MAX(ROW(E$1:E1628)*(E2=E$1:E1628))))))</f>
        <v> </v>
      </c>
      <c r="K1629" s="25" t="str">
        <f>IF(OR(E1629="",E1629="!!!",F1629="NEW"),"",INDEX(J$1:J1628,SUMPRODUCT(MAX(ROW(E$1:E1628)*(E1629=E$1:E1628)))))</f>
        <v> </v>
      </c>
      <c r="L1629" s="26"/>
    </row>
    <row r="1630" spans="1:12">
      <c r="A1630" s="20" t="s">
        <v>528</v>
      </c>
      <c r="E1630" s="21">
        <f>IF(D1630="?OLD","!!!","")</f>
        <v/>
      </c>
      <c r="F1630" s="22" t="str">
        <f>IF(OR(E1630="",E1630="!!!"),"",IF(NOT(ISNA(VLOOKUP(E1630,E$1:E1629,1,FALSE()))),"OLD",IF(AND(E1630&lt;&gt;"",E1630&lt;&gt;"!!!"),"NEW","")))</f>
        <v> </v>
      </c>
      <c r="G1630" s="23" t="str">
        <f>IF(OR(E1630="",E1630="!!!"),"",IF(OR(J1630=0,AND(J1630=1,K1630=1),AND(J1630=1,I1630="SBJ"),AND(J1630=1,I1630=0)),"?IN_FOCUS",IF(J1630&lt;=2,"?ACTIVATED",IF(J1630&lt;&gt;"","?FAMILIAR",IF(F1630="NEW",IF(ISNA(VLOOKUP(E1630,#REF!,1,FALSE())),"?TYPE_IDENTIFIABLE","?REFERENTIAL"),"_")))))</f>
        <v> </v>
      </c>
      <c r="H1630" s="24" t="str">
        <f>IF(J1630&lt;&gt;1,"",IF(I1630="SBJ","CB","?"))</f>
        <v> </v>
      </c>
      <c r="I1630" s="25" t="str">
        <f>IF(OR(E1630="",E1630="!!!",F1630="NEW"),"",INDEX(B1629:B$2,-1+SUMPRODUCT(MAX(ROW(E1629:E$2)*(E1630=E1629:E$2)))))</f>
        <v> </v>
      </c>
      <c r="J1630" s="25" t="str">
        <f>IF(OR(E1630="",E1630="!!!",F1630="NEW"),"",COUNTBLANK(OFFSET(A$1,,,SUMPRODUCT(MAX(ROW(E$2:E1630)*(E1630=E$2:E1630)))))-COUNTBLANK(OFFSET(A$1,,,SUMPRODUCT(MAX(ROW(E$1:E1629)*(E2=E$1:E1629))))))</f>
        <v> </v>
      </c>
      <c r="K1630" s="25" t="str">
        <f>IF(OR(E1630="",E1630="!!!",F1630="NEW"),"",INDEX(J$1:J1629,SUMPRODUCT(MAX(ROW(E$1:E1629)*(E1630=E$1:E1629)))))</f>
        <v> </v>
      </c>
      <c r="L1630" s="26"/>
    </row>
    <row r="1631" spans="1:12">
      <c r="A1631" s="20" t="s">
        <v>591</v>
      </c>
      <c r="E1631" s="21">
        <f>IF(D1631="?OLD","!!!","")</f>
        <v/>
      </c>
      <c r="F1631" s="22" t="str">
        <f>IF(OR(E1631="",E1631="!!!"),"",IF(NOT(ISNA(VLOOKUP(E1631,E$1:E1630,1,FALSE()))),"OLD",IF(AND(E1631&lt;&gt;"",E1631&lt;&gt;"!!!"),"NEW","")))</f>
        <v> </v>
      </c>
      <c r="G1631" s="23" t="str">
        <f>IF(OR(E1631="",E1631="!!!"),"",IF(OR(J1631=0,AND(J1631=1,K1631=1),AND(J1631=1,I1631="SBJ"),AND(J1631=1,I1631=0)),"?IN_FOCUS",IF(J1631&lt;=2,"?ACTIVATED",IF(J1631&lt;&gt;"","?FAMILIAR",IF(F1631="NEW",IF(ISNA(VLOOKUP(E1631,#REF!,1,FALSE())),"?TYPE_IDENTIFIABLE","?REFERENTIAL"),"_")))))</f>
        <v> </v>
      </c>
      <c r="H1631" s="24" t="str">
        <f>IF(J1631&lt;&gt;1,"",IF(I1631="SBJ","CB","?"))</f>
        <v> </v>
      </c>
      <c r="I1631" s="25" t="str">
        <f>IF(OR(E1631="",E1631="!!!",F1631="NEW"),"",INDEX(B1630:B$2,-1+SUMPRODUCT(MAX(ROW(E1630:E$2)*(E1631=E1630:E$2)))))</f>
        <v> </v>
      </c>
      <c r="J1631" s="25" t="str">
        <f>IF(OR(E1631="",E1631="!!!",F1631="NEW"),"",COUNTBLANK(OFFSET(A$1,,,SUMPRODUCT(MAX(ROW(E$2:E1631)*(E1631=E$2:E1631)))))-COUNTBLANK(OFFSET(A$1,,,SUMPRODUCT(MAX(ROW(E$1:E1630)*(E2=E$1:E1630))))))</f>
        <v> </v>
      </c>
      <c r="K1631" s="25" t="str">
        <f>IF(OR(E1631="",E1631="!!!",F1631="NEW"),"",INDEX(J$1:J1630,SUMPRODUCT(MAX(ROW(E$1:E1630)*(E1631=E$1:E1630)))))</f>
        <v> </v>
      </c>
      <c r="L1631" s="26"/>
    </row>
    <row r="1632" spans="1:12">
      <c r="A1632" s="20" t="s">
        <v>547</v>
      </c>
      <c r="E1632" s="21">
        <f>IF(D1632="?OLD","!!!","")</f>
        <v/>
      </c>
      <c r="F1632" s="22" t="str">
        <f>IF(OR(E1632="",E1632="!!!"),"",IF(NOT(ISNA(VLOOKUP(E1632,E$1:E1631,1,FALSE()))),"OLD",IF(AND(E1632&lt;&gt;"",E1632&lt;&gt;"!!!"),"NEW","")))</f>
        <v> </v>
      </c>
      <c r="G1632" s="23" t="str">
        <f>IF(OR(E1632="",E1632="!!!"),"",IF(OR(J1632=0,AND(J1632=1,K1632=1),AND(J1632=1,I1632="SBJ"),AND(J1632=1,I1632=0)),"?IN_FOCUS",IF(J1632&lt;=2,"?ACTIVATED",IF(J1632&lt;&gt;"","?FAMILIAR",IF(F1632="NEW",IF(ISNA(VLOOKUP(E1632,#REF!,1,FALSE())),"?TYPE_IDENTIFIABLE","?REFERENTIAL"),"_")))))</f>
        <v> </v>
      </c>
      <c r="H1632" s="24" t="str">
        <f>IF(J1632&lt;&gt;1,"",IF(I1632="SBJ","CB","?"))</f>
        <v> </v>
      </c>
      <c r="I1632" s="25" t="str">
        <f>IF(OR(E1632="",E1632="!!!",F1632="NEW"),"",INDEX(B1631:B$2,-1+SUMPRODUCT(MAX(ROW(E1631:E$2)*(E1632=E1631:E$2)))))</f>
        <v> </v>
      </c>
      <c r="J1632" s="25" t="str">
        <f>IF(OR(E1632="",E1632="!!!",F1632="NEW"),"",COUNTBLANK(OFFSET(A$1,,,SUMPRODUCT(MAX(ROW(E$2:E1632)*(E1632=E$2:E1632)))))-COUNTBLANK(OFFSET(A$1,,,SUMPRODUCT(MAX(ROW(E$1:E1631)*(E2=E$1:E1631))))))</f>
        <v> </v>
      </c>
      <c r="K1632" s="25" t="str">
        <f>IF(OR(E1632="",E1632="!!!",F1632="NEW"),"",INDEX(J$1:J1631,SUMPRODUCT(MAX(ROW(E$1:E1631)*(E1632=E$1:E1631)))))</f>
        <v> </v>
      </c>
      <c r="L1632" s="26"/>
    </row>
    <row r="1633" spans="1:12">
      <c r="A1633" s="20" t="s">
        <v>879</v>
      </c>
      <c r="B1633" s="27" t="s">
        <v>283</v>
      </c>
      <c r="C1633" s="27" t="s">
        <v>281</v>
      </c>
      <c r="E1633" s="21">
        <f>IF(D1633="?OLD","!!!","")</f>
        <v/>
      </c>
      <c r="F1633" s="22" t="str">
        <f>IF(OR(E1633="",E1633="!!!"),"",IF(NOT(ISNA(VLOOKUP(E1633,E$1:E1632,1,FALSE()))),"OLD",IF(AND(E1633&lt;&gt;"",E1633&lt;&gt;"!!!"),"NEW","")))</f>
        <v> </v>
      </c>
      <c r="G1633" s="23" t="str">
        <f>IF(OR(E1633="",E1633="!!!"),"",IF(OR(J1633=0,AND(J1633=1,K1633=1),AND(J1633=1,I1633="SBJ"),AND(J1633=1,I1633=0)),"?IN_FOCUS",IF(J1633&lt;=2,"?ACTIVATED",IF(J1633&lt;&gt;"","?FAMILIAR",IF(F1633="NEW",IF(ISNA(VLOOKUP(E1633,#REF!,1,FALSE())),"?TYPE_IDENTIFIABLE","?REFERENTIAL"),"_")))))</f>
        <v> </v>
      </c>
      <c r="H1633" s="24" t="str">
        <f>IF(J1633&lt;&gt;1,"",IF(I1633="SBJ","CB","?"))</f>
        <v> </v>
      </c>
      <c r="I1633" s="25" t="str">
        <f>IF(OR(E1633="",E1633="!!!",F1633="NEW"),"",INDEX(B1632:B$2,-1+SUMPRODUCT(MAX(ROW(E1632:E$2)*(E1633=E1632:E$2)))))</f>
        <v> </v>
      </c>
      <c r="J1633" s="25" t="str">
        <f>IF(OR(E1633="",E1633="!!!",F1633="NEW"),"",COUNTBLANK(OFFSET(A$1,,,SUMPRODUCT(MAX(ROW(E$2:E1633)*(E1633=E$2:E1633)))))-COUNTBLANK(OFFSET(A$1,,,SUMPRODUCT(MAX(ROW(E$1:E1632)*(E2=E$1:E1632))))))</f>
        <v> </v>
      </c>
      <c r="K1633" s="25" t="str">
        <f>IF(OR(E1633="",E1633="!!!",F1633="NEW"),"",INDEX(J$1:J1632,SUMPRODUCT(MAX(ROW(E$1:E1632)*(E1633=E$1:E1632)))))</f>
        <v> </v>
      </c>
      <c r="L1633" s="26"/>
    </row>
    <row r="1634" spans="1:12">
      <c r="A1634" s="20" t="s">
        <v>305</v>
      </c>
      <c r="E1634" s="21">
        <f>IF(D1634="?OLD","!!!","")</f>
        <v/>
      </c>
      <c r="F1634" s="22" t="str">
        <f>IF(OR(E1634="",E1634="!!!"),"",IF(NOT(ISNA(VLOOKUP(E1634,E$1:E1633,1,FALSE()))),"OLD",IF(AND(E1634&lt;&gt;"",E1634&lt;&gt;"!!!"),"NEW","")))</f>
        <v> </v>
      </c>
      <c r="G1634" s="23" t="str">
        <f>IF(OR(E1634="",E1634="!!!"),"",IF(OR(J1634=0,AND(J1634=1,K1634=1),AND(J1634=1,I1634="SBJ"),AND(J1634=1,I1634=0)),"?IN_FOCUS",IF(J1634&lt;=2,"?ACTIVATED",IF(J1634&lt;&gt;"","?FAMILIAR",IF(F1634="NEW",IF(ISNA(VLOOKUP(E1634,#REF!,1,FALSE())),"?TYPE_IDENTIFIABLE","?REFERENTIAL"),"_")))))</f>
        <v> </v>
      </c>
      <c r="H1634" s="24" t="str">
        <f>IF(J1634&lt;&gt;1,"",IF(I1634="SBJ","CB","?"))</f>
        <v> </v>
      </c>
      <c r="I1634" s="25" t="str">
        <f>IF(OR(E1634="",E1634="!!!",F1634="NEW"),"",INDEX(B1633:B$2,-1+SUMPRODUCT(MAX(ROW(E1633:E$2)*(E1634=E1633:E$2)))))</f>
        <v> </v>
      </c>
      <c r="J1634" s="25" t="str">
        <f>IF(OR(E1634="",E1634="!!!",F1634="NEW"),"",COUNTBLANK(OFFSET(A$1,,,SUMPRODUCT(MAX(ROW(E$2:E1634)*(E1634=E$2:E1634)))))-COUNTBLANK(OFFSET(A$1,,,SUMPRODUCT(MAX(ROW(E$1:E1633)*(E2=E$1:E1633))))))</f>
        <v> </v>
      </c>
      <c r="K1634" s="25" t="str">
        <f>IF(OR(E1634="",E1634="!!!",F1634="NEW"),"",INDEX(J$1:J1633,SUMPRODUCT(MAX(ROW(E$1:E1633)*(E1634=E$1:E1633)))))</f>
        <v> </v>
      </c>
      <c r="L1634" s="26"/>
    </row>
    <row r="1635" spans="1:12">
      <c r="A1635" s="20" t="s">
        <v>337</v>
      </c>
      <c r="B1635" s="27" t="s">
        <v>255</v>
      </c>
      <c r="C1635" s="27" t="s">
        <v>256</v>
      </c>
      <c r="D1635" s="27" t="s">
        <v>244</v>
      </c>
      <c r="E1635" s="21">
        <f>IF(D1635="?OLD","!!!","")</f>
        <v/>
      </c>
      <c r="F1635" s="22" t="str">
        <f>IF(OR(E1635="",E1635="!!!"),"",IF(NOT(ISNA(VLOOKUP(E1635,E$1:E1634,1,FALSE()))),"OLD",IF(AND(E1635&lt;&gt;"",E1635&lt;&gt;"!!!"),"NEW","")))</f>
        <v> </v>
      </c>
      <c r="G1635" s="23" t="str">
        <f>IF(OR(E1635="",E1635="!!!"),"",IF(OR(J1635=0,AND(J1635=1,K1635=1),AND(J1635=1,I1635="SBJ"),AND(J1635=1,I1635=0)),"?IN_FOCUS",IF(J1635&lt;=2,"?ACTIVATED",IF(J1635&lt;&gt;"","?FAMILIAR",IF(F1635="NEW",IF(ISNA(VLOOKUP(E1635,#REF!,1,FALSE())),"?TYPE_IDENTIFIABLE","?REFERENTIAL"),"_")))))</f>
        <v> </v>
      </c>
      <c r="H1635" s="24" t="str">
        <f>IF(J1635&lt;&gt;1,"",IF(I1635="SBJ","CB","?"))</f>
        <v> </v>
      </c>
      <c r="I1635" s="25" t="str">
        <f>IF(OR(E1635="",E1635="!!!",F1635="NEW"),"",INDEX(B1634:B$2,-1+SUMPRODUCT(MAX(ROW(E1634:E$2)*(E1635=E1634:E$2)))))</f>
        <v> </v>
      </c>
      <c r="J1635" s="25" t="str">
        <f>IF(OR(E1635="",E1635="!!!",F1635="NEW"),"",COUNTBLANK(OFFSET(A$1,,,SUMPRODUCT(MAX(ROW(E$2:E1635)*(E1635=E$2:E1635)))))-COUNTBLANK(OFFSET(A$1,,,SUMPRODUCT(MAX(ROW(E$1:E1634)*(E2=E$1:E1634))))))</f>
        <v> </v>
      </c>
      <c r="K1635" s="25" t="str">
        <f>IF(OR(E1635="",E1635="!!!",F1635="NEW"),"",INDEX(J$1:J1634,SUMPRODUCT(MAX(ROW(E$1:E1634)*(E1635=E$1:E1634)))))</f>
        <v> </v>
      </c>
      <c r="L1635" s="26"/>
    </row>
    <row r="1636" spans="1:12">
      <c r="A1636" s="20" t="s">
        <v>344</v>
      </c>
      <c r="E1636" s="21">
        <f>IF(D1636="?OLD","!!!","")</f>
        <v/>
      </c>
      <c r="F1636" s="22" t="str">
        <f>IF(OR(E1636="",E1636="!!!"),"",IF(NOT(ISNA(VLOOKUP(E1636,E$1:E1635,1,FALSE()))),"OLD",IF(AND(E1636&lt;&gt;"",E1636&lt;&gt;"!!!"),"NEW","")))</f>
        <v> </v>
      </c>
      <c r="G1636" s="23" t="str">
        <f>IF(OR(E1636="",E1636="!!!"),"",IF(OR(J1636=0,AND(J1636=1,K1636=1),AND(J1636=1,I1636="SBJ"),AND(J1636=1,I1636=0)),"?IN_FOCUS",IF(J1636&lt;=2,"?ACTIVATED",IF(J1636&lt;&gt;"","?FAMILIAR",IF(F1636="NEW",IF(ISNA(VLOOKUP(E1636,#REF!,1,FALSE())),"?TYPE_IDENTIFIABLE","?REFERENTIAL"),"_")))))</f>
        <v> </v>
      </c>
      <c r="H1636" s="24" t="str">
        <f>IF(J1636&lt;&gt;1,"",IF(I1636="SBJ","CB","?"))</f>
        <v> </v>
      </c>
      <c r="I1636" s="25" t="str">
        <f>IF(OR(E1636="",E1636="!!!",F1636="NEW"),"",INDEX(B1635:B$2,-1+SUMPRODUCT(MAX(ROW(E1635:E$2)*(E1636=E1635:E$2)))))</f>
        <v> </v>
      </c>
      <c r="J1636" s="25" t="str">
        <f>IF(OR(E1636="",E1636="!!!",F1636="NEW"),"",COUNTBLANK(OFFSET(A$1,,,SUMPRODUCT(MAX(ROW(E$2:E1636)*(E1636=E$2:E1636)))))-COUNTBLANK(OFFSET(A$1,,,SUMPRODUCT(MAX(ROW(E$1:E1635)*(E2=E$1:E1635))))))</f>
        <v> </v>
      </c>
      <c r="K1636" s="25" t="str">
        <f>IF(OR(E1636="",E1636="!!!",F1636="NEW"),"",INDEX(J$1:J1635,SUMPRODUCT(MAX(ROW(E$1:E1635)*(E1636=E$1:E1635)))))</f>
        <v> </v>
      </c>
      <c r="L1636" s="26"/>
    </row>
    <row r="1637" spans="1:12">
      <c r="A1637" s="20" t="s">
        <v>880</v>
      </c>
      <c r="E1637" s="21">
        <f>IF(D1637="?OLD","!!!","")</f>
        <v/>
      </c>
      <c r="F1637" s="22" t="str">
        <f>IF(OR(E1637="",E1637="!!!"),"",IF(NOT(ISNA(VLOOKUP(E1637,E$1:E1636,1,FALSE()))),"OLD",IF(AND(E1637&lt;&gt;"",E1637&lt;&gt;"!!!"),"NEW","")))</f>
        <v> </v>
      </c>
      <c r="G1637" s="23" t="str">
        <f>IF(OR(E1637="",E1637="!!!"),"",IF(OR(J1637=0,AND(J1637=1,K1637=1),AND(J1637=1,I1637="SBJ"),AND(J1637=1,I1637=0)),"?IN_FOCUS",IF(J1637&lt;=2,"?ACTIVATED",IF(J1637&lt;&gt;"","?FAMILIAR",IF(F1637="NEW",IF(ISNA(VLOOKUP(E1637,#REF!,1,FALSE())),"?TYPE_IDENTIFIABLE","?REFERENTIAL"),"_")))))</f>
        <v> </v>
      </c>
      <c r="H1637" s="24" t="str">
        <f>IF(J1637&lt;&gt;1,"",IF(I1637="SBJ","CB","?"))</f>
        <v> </v>
      </c>
      <c r="I1637" s="25" t="str">
        <f>IF(OR(E1637="",E1637="!!!",F1637="NEW"),"",INDEX(B1636:B$2,-1+SUMPRODUCT(MAX(ROW(E1636:E$2)*(E1637=E1636:E$2)))))</f>
        <v> </v>
      </c>
      <c r="J1637" s="25" t="str">
        <f>IF(OR(E1637="",E1637="!!!",F1637="NEW"),"",COUNTBLANK(OFFSET(A$1,,,SUMPRODUCT(MAX(ROW(E$2:E1637)*(E1637=E$2:E1637)))))-COUNTBLANK(OFFSET(A$1,,,SUMPRODUCT(MAX(ROW(E$1:E1636)*(E2=E$1:E1636))))))</f>
        <v> </v>
      </c>
      <c r="K1637" s="25" t="str">
        <f>IF(OR(E1637="",E1637="!!!",F1637="NEW"),"",INDEX(J$1:J1636,SUMPRODUCT(MAX(ROW(E$1:E1636)*(E1637=E$1:E1636)))))</f>
        <v> </v>
      </c>
      <c r="L1637" s="26"/>
    </row>
    <row r="1638" spans="1:12">
      <c r="A1638" s="20" t="s">
        <v>371</v>
      </c>
      <c r="B1638" s="27" t="s">
        <v>251</v>
      </c>
      <c r="C1638" s="27" t="s">
        <v>256</v>
      </c>
      <c r="D1638" s="27" t="s">
        <v>244</v>
      </c>
      <c r="E1638" s="21">
        <f>IF(D1638="?OLD","!!!","")</f>
        <v/>
      </c>
      <c r="F1638" s="22" t="str">
        <f>IF(OR(E1638="",E1638="!!!"),"",IF(NOT(ISNA(VLOOKUP(E1638,E$1:E1637,1,FALSE()))),"OLD",IF(AND(E1638&lt;&gt;"",E1638&lt;&gt;"!!!"),"NEW","")))</f>
        <v> </v>
      </c>
      <c r="G1638" s="23" t="str">
        <f>IF(OR(E1638="",E1638="!!!"),"",IF(OR(J1638=0,AND(J1638=1,K1638=1),AND(J1638=1,I1638="SBJ"),AND(J1638=1,I1638=0)),"?IN_FOCUS",IF(J1638&lt;=2,"?ACTIVATED",IF(J1638&lt;&gt;"","?FAMILIAR",IF(F1638="NEW",IF(ISNA(VLOOKUP(E1638,#REF!,1,FALSE())),"?TYPE_IDENTIFIABLE","?REFERENTIAL"),"_")))))</f>
        <v> </v>
      </c>
      <c r="H1638" s="24" t="str">
        <f>IF(J1638&lt;&gt;1,"",IF(I1638="SBJ","CB","?"))</f>
        <v> </v>
      </c>
      <c r="I1638" s="25" t="str">
        <f>IF(OR(E1638="",E1638="!!!",F1638="NEW"),"",INDEX(B1637:B$2,-1+SUMPRODUCT(MAX(ROW(E1637:E$2)*(E1638=E1637:E$2)))))</f>
        <v> </v>
      </c>
      <c r="J1638" s="25" t="str">
        <f>IF(OR(E1638="",E1638="!!!",F1638="NEW"),"",COUNTBLANK(OFFSET(A$1,,,SUMPRODUCT(MAX(ROW(E$2:E1638)*(E1638=E$2:E1638)))))-COUNTBLANK(OFFSET(A$1,,,SUMPRODUCT(MAX(ROW(E$1:E1637)*(E2=E$1:E1637))))))</f>
        <v> </v>
      </c>
      <c r="K1638" s="25" t="str">
        <f>IF(OR(E1638="",E1638="!!!",F1638="NEW"),"",INDEX(J$1:J1637,SUMPRODUCT(MAX(ROW(E$1:E1637)*(E1638=E$1:E1637)))))</f>
        <v> </v>
      </c>
      <c r="L1638" s="26"/>
    </row>
    <row r="1639" spans="1:12">
      <c r="A1639" s="20" t="s">
        <v>321</v>
      </c>
      <c r="E1639" s="21">
        <f>IF(D1639="?OLD","!!!","")</f>
        <v/>
      </c>
      <c r="F1639" s="22" t="str">
        <f>IF(OR(E1639="",E1639="!!!"),"",IF(NOT(ISNA(VLOOKUP(E1639,E$1:E1638,1,FALSE()))),"OLD",IF(AND(E1639&lt;&gt;"",E1639&lt;&gt;"!!!"),"NEW","")))</f>
        <v> </v>
      </c>
      <c r="G1639" s="23" t="str">
        <f>IF(OR(E1639="",E1639="!!!"),"",IF(OR(J1639=0,AND(J1639=1,K1639=1),AND(J1639=1,I1639="SBJ"),AND(J1639=1,I1639=0)),"?IN_FOCUS",IF(J1639&lt;=2,"?ACTIVATED",IF(J1639&lt;&gt;"","?FAMILIAR",IF(F1639="NEW",IF(ISNA(VLOOKUP(E1639,#REF!,1,FALSE())),"?TYPE_IDENTIFIABLE","?REFERENTIAL"),"_")))))</f>
        <v> </v>
      </c>
      <c r="H1639" s="24" t="str">
        <f>IF(J1639&lt;&gt;1,"",IF(I1639="SBJ","CB","?"))</f>
        <v> </v>
      </c>
      <c r="I1639" s="25" t="str">
        <f>IF(OR(E1639="",E1639="!!!",F1639="NEW"),"",INDEX(B1638:B$2,-1+SUMPRODUCT(MAX(ROW(E1638:E$2)*(E1639=E1638:E$2)))))</f>
        <v> </v>
      </c>
      <c r="J1639" s="25" t="str">
        <f>IF(OR(E1639="",E1639="!!!",F1639="NEW"),"",COUNTBLANK(OFFSET(A$1,,,SUMPRODUCT(MAX(ROW(E$2:E1639)*(E1639=E$2:E1639)))))-COUNTBLANK(OFFSET(A$1,,,SUMPRODUCT(MAX(ROW(E$1:E1638)*(E2=E$1:E1638))))))</f>
        <v> </v>
      </c>
      <c r="K1639" s="25" t="str">
        <f>IF(OR(E1639="",E1639="!!!",F1639="NEW"),"",INDEX(J$1:J1638,SUMPRODUCT(MAX(ROW(E$1:E1638)*(E1639=E$1:E1638)))))</f>
        <v> </v>
      </c>
      <c r="L1639" s="26"/>
    </row>
    <row r="1640" spans="1:12">
      <c r="A1640" s="20" t="s">
        <v>551</v>
      </c>
      <c r="E1640" s="21">
        <f>IF(D1640="?OLD","!!!","")</f>
        <v/>
      </c>
      <c r="F1640" s="22" t="str">
        <f>IF(OR(E1640="",E1640="!!!"),"",IF(NOT(ISNA(VLOOKUP(E1640,E$1:E1639,1,FALSE()))),"OLD",IF(AND(E1640&lt;&gt;"",E1640&lt;&gt;"!!!"),"NEW","")))</f>
        <v> </v>
      </c>
      <c r="G1640" s="23" t="str">
        <f>IF(OR(E1640="",E1640="!!!"),"",IF(OR(J1640=0,AND(J1640=1,K1640=1),AND(J1640=1,I1640="SBJ"),AND(J1640=1,I1640=0)),"?IN_FOCUS",IF(J1640&lt;=2,"?ACTIVATED",IF(J1640&lt;&gt;"","?FAMILIAR",IF(F1640="NEW",IF(ISNA(VLOOKUP(E1640,#REF!,1,FALSE())),"?TYPE_IDENTIFIABLE","?REFERENTIAL"),"_")))))</f>
        <v> </v>
      </c>
      <c r="H1640" s="24" t="str">
        <f>IF(J1640&lt;&gt;1,"",IF(I1640="SBJ","CB","?"))</f>
        <v> </v>
      </c>
      <c r="I1640" s="25" t="str">
        <f>IF(OR(E1640="",E1640="!!!",F1640="NEW"),"",INDEX(B1639:B$2,-1+SUMPRODUCT(MAX(ROW(E1639:E$2)*(E1640=E1639:E$2)))))</f>
        <v> </v>
      </c>
      <c r="J1640" s="25" t="str">
        <f>IF(OR(E1640="",E1640="!!!",F1640="NEW"),"",COUNTBLANK(OFFSET(A$1,,,SUMPRODUCT(MAX(ROW(E$2:E1640)*(E1640=E$2:E1640)))))-COUNTBLANK(OFFSET(A$1,,,SUMPRODUCT(MAX(ROW(E$1:E1639)*(E2=E$1:E1639))))))</f>
        <v> </v>
      </c>
      <c r="K1640" s="25" t="str">
        <f>IF(OR(E1640="",E1640="!!!",F1640="NEW"),"",INDEX(J$1:J1639,SUMPRODUCT(MAX(ROW(E$1:E1639)*(E1640=E$1:E1639)))))</f>
        <v> </v>
      </c>
      <c r="L1640" s="26"/>
    </row>
    <row r="1641" spans="1:12">
      <c r="A1641" s="20" t="s">
        <v>881</v>
      </c>
      <c r="E1641" s="21">
        <f>IF(D1641="?OLD","!!!","")</f>
        <v/>
      </c>
      <c r="F1641" s="22" t="str">
        <f>IF(OR(E1641="",E1641="!!!"),"",IF(NOT(ISNA(VLOOKUP(E1641,E$1:E1640,1,FALSE()))),"OLD",IF(AND(E1641&lt;&gt;"",E1641&lt;&gt;"!!!"),"NEW","")))</f>
        <v> </v>
      </c>
      <c r="G1641" s="23" t="str">
        <f>IF(OR(E1641="",E1641="!!!"),"",IF(OR(J1641=0,AND(J1641=1,K1641=1),AND(J1641=1,I1641="SBJ"),AND(J1641=1,I1641=0)),"?IN_FOCUS",IF(J1641&lt;=2,"?ACTIVATED",IF(J1641&lt;&gt;"","?FAMILIAR",IF(F1641="NEW",IF(ISNA(VLOOKUP(E1641,#REF!,1,FALSE())),"?TYPE_IDENTIFIABLE","?REFERENTIAL"),"_")))))</f>
        <v> </v>
      </c>
      <c r="H1641" s="24" t="str">
        <f>IF(J1641&lt;&gt;1,"",IF(I1641="SBJ","CB","?"))</f>
        <v> </v>
      </c>
      <c r="I1641" s="25" t="str">
        <f>IF(OR(E1641="",E1641="!!!",F1641="NEW"),"",INDEX(B1640:B$2,-1+SUMPRODUCT(MAX(ROW(E1640:E$2)*(E1641=E1640:E$2)))))</f>
        <v> </v>
      </c>
      <c r="J1641" s="25" t="str">
        <f>IF(OR(E1641="",E1641="!!!",F1641="NEW"),"",COUNTBLANK(OFFSET(A$1,,,SUMPRODUCT(MAX(ROW(E$2:E1641)*(E1641=E$2:E1641)))))-COUNTBLANK(OFFSET(A$1,,,SUMPRODUCT(MAX(ROW(E$1:E1640)*(E2=E$1:E1640))))))</f>
        <v> </v>
      </c>
      <c r="K1641" s="25" t="str">
        <f>IF(OR(E1641="",E1641="!!!",F1641="NEW"),"",INDEX(J$1:J1640,SUMPRODUCT(MAX(ROW(E$1:E1640)*(E1641=E$1:E1640)))))</f>
        <v> </v>
      </c>
      <c r="L1641" s="26"/>
    </row>
    <row r="1642" spans="1:12">
      <c r="A1642" s="20" t="s">
        <v>882</v>
      </c>
      <c r="B1642" s="27" t="s">
        <v>251</v>
      </c>
      <c r="C1642" s="27" t="s">
        <v>281</v>
      </c>
      <c r="E1642" s="21">
        <f>IF(D1642="?OLD","!!!","")</f>
        <v/>
      </c>
      <c r="F1642" s="22" t="str">
        <f>IF(OR(E1642="",E1642="!!!"),"",IF(NOT(ISNA(VLOOKUP(E1642,E$1:E1641,1,FALSE()))),"OLD",IF(AND(E1642&lt;&gt;"",E1642&lt;&gt;"!!!"),"NEW","")))</f>
        <v> </v>
      </c>
      <c r="G1642" s="23" t="str">
        <f>IF(OR(E1642="",E1642="!!!"),"",IF(OR(J1642=0,AND(J1642=1,K1642=1),AND(J1642=1,I1642="SBJ"),AND(J1642=1,I1642=0)),"?IN_FOCUS",IF(J1642&lt;=2,"?ACTIVATED",IF(J1642&lt;&gt;"","?FAMILIAR",IF(F1642="NEW",IF(ISNA(VLOOKUP(E1642,#REF!,1,FALSE())),"?TYPE_IDENTIFIABLE","?REFERENTIAL"),"_")))))</f>
        <v> </v>
      </c>
      <c r="H1642" s="24" t="str">
        <f>IF(J1642&lt;&gt;1,"",IF(I1642="SBJ","CB","?"))</f>
        <v> </v>
      </c>
      <c r="I1642" s="25" t="str">
        <f>IF(OR(E1642="",E1642="!!!",F1642="NEW"),"",INDEX(B1641:B$2,-1+SUMPRODUCT(MAX(ROW(E1641:E$2)*(E1642=E1641:E$2)))))</f>
        <v> </v>
      </c>
      <c r="J1642" s="25" t="str">
        <f>IF(OR(E1642="",E1642="!!!",F1642="NEW"),"",COUNTBLANK(OFFSET(A$1,,,SUMPRODUCT(MAX(ROW(E$2:E1642)*(E1642=E$2:E1642)))))-COUNTBLANK(OFFSET(A$1,,,SUMPRODUCT(MAX(ROW(E$1:E1641)*(E2=E$1:E1641))))))</f>
        <v> </v>
      </c>
      <c r="K1642" s="25" t="str">
        <f>IF(OR(E1642="",E1642="!!!",F1642="NEW"),"",INDEX(J$1:J1641,SUMPRODUCT(MAX(ROW(E$1:E1641)*(E1642=E$1:E1641)))))</f>
        <v> </v>
      </c>
      <c r="L1642" s="26"/>
    </row>
    <row r="1643" spans="1:12">
      <c r="A1643" s="20" t="s">
        <v>285</v>
      </c>
      <c r="E1643" s="21">
        <f>IF(D1643="?OLD","!!!","")</f>
        <v/>
      </c>
      <c r="F1643" s="22" t="str">
        <f>IF(OR(E1643="",E1643="!!!"),"",IF(NOT(ISNA(VLOOKUP(E1643,E$1:E1642,1,FALSE()))),"OLD",IF(AND(E1643&lt;&gt;"",E1643&lt;&gt;"!!!"),"NEW","")))</f>
        <v> </v>
      </c>
      <c r="G1643" s="23" t="str">
        <f>IF(OR(E1643="",E1643="!!!"),"",IF(OR(J1643=0,AND(J1643=1,K1643=1),AND(J1643=1,I1643="SBJ"),AND(J1643=1,I1643=0)),"?IN_FOCUS",IF(J1643&lt;=2,"?ACTIVATED",IF(J1643&lt;&gt;"","?FAMILIAR",IF(F1643="NEW",IF(ISNA(VLOOKUP(E1643,#REF!,1,FALSE())),"?TYPE_IDENTIFIABLE","?REFERENTIAL"),"_")))))</f>
        <v> </v>
      </c>
      <c r="H1643" s="24" t="str">
        <f>IF(J1643&lt;&gt;1,"",IF(I1643="SBJ","CB","?"))</f>
        <v> </v>
      </c>
      <c r="I1643" s="25" t="str">
        <f>IF(OR(E1643="",E1643="!!!",F1643="NEW"),"",INDEX(B1642:B$2,-1+SUMPRODUCT(MAX(ROW(E1642:E$2)*(E1643=E1642:E$2)))))</f>
        <v> </v>
      </c>
      <c r="J1643" s="25" t="str">
        <f>IF(OR(E1643="",E1643="!!!",F1643="NEW"),"",COUNTBLANK(OFFSET(A$1,,,SUMPRODUCT(MAX(ROW(E$2:E1643)*(E1643=E$2:E1643)))))-COUNTBLANK(OFFSET(A$1,,,SUMPRODUCT(MAX(ROW(E$1:E1642)*(E2=E$1:E1642))))))</f>
        <v> </v>
      </c>
      <c r="K1643" s="25" t="str">
        <f>IF(OR(E1643="",E1643="!!!",F1643="NEW"),"",INDEX(J$1:J1642,SUMPRODUCT(MAX(ROW(E$1:E1642)*(E1643=E$1:E1642)))))</f>
        <v> </v>
      </c>
      <c r="L1643" s="26"/>
    </row>
    <row r="1644" spans="1:12">
      <c r="A1644" s="20"/>
    </row>
    <row r="1645" spans="1:12">
      <c r="A1645" s="20" t="s">
        <v>883</v>
      </c>
    </row>
    <row r="1646" spans="1:12">
      <c r="A1646" s="20" t="s">
        <v>399</v>
      </c>
      <c r="E1646" s="21">
        <f>IF(D1646="?OLD","!!!","")</f>
        <v/>
      </c>
      <c r="F1646" s="22" t="str">
        <f>IF(OR(E1646="",E1646="!!!"),"",IF(NOT(ISNA(VLOOKUP(E1646,E$1:E1645,1,FALSE()))),"OLD",IF(AND(E1646&lt;&gt;"",E1646&lt;&gt;"!!!"),"NEW","")))</f>
        <v> </v>
      </c>
      <c r="G1646" s="23" t="str">
        <f>IF(OR(E1646="",E1646="!!!"),"",IF(OR(J1646=0,AND(J1646=1,K1646=1),AND(J1646=1,I1646="SBJ"),AND(J1646=1,I1646=0)),"?IN_FOCUS",IF(J1646&lt;=2,"?ACTIVATED",IF(J1646&lt;&gt;"","?FAMILIAR",IF(F1646="NEW",IF(ISNA(VLOOKUP(E1646,#REF!,1,FALSE())),"?TYPE_IDENTIFIABLE","?REFERENTIAL"),"_")))))</f>
        <v> </v>
      </c>
      <c r="H1646" s="24" t="str">
        <f>IF(J1646&lt;&gt;1,"",IF(I1646="SBJ","CB","?"))</f>
        <v> </v>
      </c>
      <c r="I1646" s="25" t="str">
        <f>IF(OR(E1646="",E1646="!!!",F1646="NEW"),"",INDEX(B1645:B$2,-1+SUMPRODUCT(MAX(ROW(E1645:E$2)*(E1646=E1645:E$2)))))</f>
        <v> </v>
      </c>
      <c r="J1646" s="25" t="str">
        <f>IF(OR(E1646="",E1646="!!!",F1646="NEW"),"",COUNTBLANK(OFFSET(A$1,,,SUMPRODUCT(MAX(ROW(E$2:E1646)*(E1646=E$2:E1646)))))-COUNTBLANK(OFFSET(A$1,,,SUMPRODUCT(MAX(ROW(E$1:E1645)*(E2=E$1:E1645))))))</f>
        <v> </v>
      </c>
      <c r="K1646" s="25" t="str">
        <f>IF(OR(E1646="",E1646="!!!",F1646="NEW"),"",INDEX(J$1:J1645,SUMPRODUCT(MAX(ROW(E$1:E1645)*(E1646=E$1:E1645)))))</f>
        <v> </v>
      </c>
      <c r="L1646" s="26"/>
    </row>
    <row r="1647" spans="1:12">
      <c r="A1647" s="20" t="s">
        <v>612</v>
      </c>
      <c r="E1647" s="21">
        <f>IF(D1647="?OLD","!!!","")</f>
        <v/>
      </c>
      <c r="F1647" s="22" t="str">
        <f>IF(OR(E1647="",E1647="!!!"),"",IF(NOT(ISNA(VLOOKUP(E1647,E$1:E1646,1,FALSE()))),"OLD",IF(AND(E1647&lt;&gt;"",E1647&lt;&gt;"!!!"),"NEW","")))</f>
        <v> </v>
      </c>
      <c r="G1647" s="23" t="str">
        <f>IF(OR(E1647="",E1647="!!!"),"",IF(OR(J1647=0,AND(J1647=1,K1647=1),AND(J1647=1,I1647="SBJ"),AND(J1647=1,I1647=0)),"?IN_FOCUS",IF(J1647&lt;=2,"?ACTIVATED",IF(J1647&lt;&gt;"","?FAMILIAR",IF(F1647="NEW",IF(ISNA(VLOOKUP(E1647,#REF!,1,FALSE())),"?TYPE_IDENTIFIABLE","?REFERENTIAL"),"_")))))</f>
        <v> </v>
      </c>
      <c r="H1647" s="24" t="str">
        <f>IF(J1647&lt;&gt;1,"",IF(I1647="SBJ","CB","?"))</f>
        <v> </v>
      </c>
      <c r="I1647" s="25" t="str">
        <f>IF(OR(E1647="",E1647="!!!",F1647="NEW"),"",INDEX(B1646:B$2,-1+SUMPRODUCT(MAX(ROW(E1646:E$2)*(E1647=E1646:E$2)))))</f>
        <v> </v>
      </c>
      <c r="J1647" s="25" t="str">
        <f>IF(OR(E1647="",E1647="!!!",F1647="NEW"),"",COUNTBLANK(OFFSET(A$1,,,SUMPRODUCT(MAX(ROW(E$2:E1647)*(E1647=E$2:E1647)))))-COUNTBLANK(OFFSET(A$1,,,SUMPRODUCT(MAX(ROW(E$1:E1646)*(E2=E$1:E1646))))))</f>
        <v> </v>
      </c>
      <c r="K1647" s="25" t="str">
        <f>IF(OR(E1647="",E1647="!!!",F1647="NEW"),"",INDEX(J$1:J1646,SUMPRODUCT(MAX(ROW(E$1:E1646)*(E1647=E$1:E1646)))))</f>
        <v> </v>
      </c>
      <c r="L1647" s="26"/>
    </row>
    <row r="1648" spans="1:12">
      <c r="A1648" s="20" t="s">
        <v>254</v>
      </c>
      <c r="B1648" s="27" t="s">
        <v>295</v>
      </c>
      <c r="C1648" s="27" t="s">
        <v>256</v>
      </c>
      <c r="D1648" s="27" t="s">
        <v>244</v>
      </c>
      <c r="E1648" s="21">
        <f>IF(D1648="?OLD","!!!","")</f>
        <v/>
      </c>
      <c r="F1648" s="22" t="str">
        <f>IF(OR(E1648="",E1648="!!!"),"",IF(NOT(ISNA(VLOOKUP(E1648,E$1:E1647,1,FALSE()))),"OLD",IF(AND(E1648&lt;&gt;"",E1648&lt;&gt;"!!!"),"NEW","")))</f>
        <v> </v>
      </c>
      <c r="G1648" s="23" t="str">
        <f>IF(OR(E1648="",E1648="!!!"),"",IF(OR(J1648=0,AND(J1648=1,K1648=1),AND(J1648=1,I1648="SBJ"),AND(J1648=1,I1648=0)),"?IN_FOCUS",IF(J1648&lt;=2,"?ACTIVATED",IF(J1648&lt;&gt;"","?FAMILIAR",IF(F1648="NEW",IF(ISNA(VLOOKUP(E1648,#REF!,1,FALSE())),"?TYPE_IDENTIFIABLE","?REFERENTIAL"),"_")))))</f>
        <v> </v>
      </c>
      <c r="H1648" s="24" t="str">
        <f>IF(J1648&lt;&gt;1,"",IF(I1648="SBJ","CB","?"))</f>
        <v> </v>
      </c>
      <c r="I1648" s="25" t="str">
        <f>IF(OR(E1648="",E1648="!!!",F1648="NEW"),"",INDEX(B1647:B$2,-1+SUMPRODUCT(MAX(ROW(E1647:E$2)*(E1648=E1647:E$2)))))</f>
        <v> </v>
      </c>
      <c r="J1648" s="25" t="str">
        <f>IF(OR(E1648="",E1648="!!!",F1648="NEW"),"",COUNTBLANK(OFFSET(A$1,,,SUMPRODUCT(MAX(ROW(E$2:E1648)*(E1648=E$2:E1648)))))-COUNTBLANK(OFFSET(A$1,,,SUMPRODUCT(MAX(ROW(E$1:E1647)*(E2=E$1:E1647))))))</f>
        <v> </v>
      </c>
      <c r="K1648" s="25" t="str">
        <f>IF(OR(E1648="",E1648="!!!",F1648="NEW"),"",INDEX(J$1:J1647,SUMPRODUCT(MAX(ROW(E$1:E1647)*(E1648=E$1:E1647)))))</f>
        <v> </v>
      </c>
      <c r="L1648" s="26"/>
    </row>
    <row r="1649" spans="1:12">
      <c r="A1649" s="20" t="s">
        <v>876</v>
      </c>
      <c r="E1649" s="21">
        <f>IF(D1649="?OLD","!!!","")</f>
        <v/>
      </c>
      <c r="F1649" s="22" t="str">
        <f>IF(OR(E1649="",E1649="!!!"),"",IF(NOT(ISNA(VLOOKUP(E1649,E$1:E1648,1,FALSE()))),"OLD",IF(AND(E1649&lt;&gt;"",E1649&lt;&gt;"!!!"),"NEW","")))</f>
        <v> </v>
      </c>
      <c r="G1649" s="23" t="str">
        <f>IF(OR(E1649="",E1649="!!!"),"",IF(OR(J1649=0,AND(J1649=1,K1649=1),AND(J1649=1,I1649="SBJ"),AND(J1649=1,I1649=0)),"?IN_FOCUS",IF(J1649&lt;=2,"?ACTIVATED",IF(J1649&lt;&gt;"","?FAMILIAR",IF(F1649="NEW",IF(ISNA(VLOOKUP(E1649,#REF!,1,FALSE())),"?TYPE_IDENTIFIABLE","?REFERENTIAL"),"_")))))</f>
        <v> </v>
      </c>
      <c r="H1649" s="24" t="str">
        <f>IF(J1649&lt;&gt;1,"",IF(I1649="SBJ","CB","?"))</f>
        <v> </v>
      </c>
      <c r="I1649" s="25" t="str">
        <f>IF(OR(E1649="",E1649="!!!",F1649="NEW"),"",INDEX(B1648:B$2,-1+SUMPRODUCT(MAX(ROW(E1648:E$2)*(E1649=E1648:E$2)))))</f>
        <v> </v>
      </c>
      <c r="J1649" s="25" t="str">
        <f>IF(OR(E1649="",E1649="!!!",F1649="NEW"),"",COUNTBLANK(OFFSET(A$1,,,SUMPRODUCT(MAX(ROW(E$2:E1649)*(E1649=E$2:E1649)))))-COUNTBLANK(OFFSET(A$1,,,SUMPRODUCT(MAX(ROW(E$1:E1648)*(E2=E$1:E1648))))))</f>
        <v> </v>
      </c>
      <c r="K1649" s="25" t="str">
        <f>IF(OR(E1649="",E1649="!!!",F1649="NEW"),"",INDEX(J$1:J1648,SUMPRODUCT(MAX(ROW(E$1:E1648)*(E1649=E$1:E1648)))))</f>
        <v> </v>
      </c>
      <c r="L1649" s="26"/>
    </row>
    <row r="1650" spans="1:12">
      <c r="A1650" s="20" t="s">
        <v>337</v>
      </c>
      <c r="B1650" s="27" t="s">
        <v>301</v>
      </c>
      <c r="C1650" s="27" t="s">
        <v>256</v>
      </c>
      <c r="D1650" s="27" t="s">
        <v>244</v>
      </c>
      <c r="E1650" s="21">
        <f>IF(D1650="?OLD","!!!","")</f>
        <v/>
      </c>
      <c r="F1650" s="22" t="str">
        <f>IF(OR(E1650="",E1650="!!!"),"",IF(NOT(ISNA(VLOOKUP(E1650,E$1:E1649,1,FALSE()))),"OLD",IF(AND(E1650&lt;&gt;"",E1650&lt;&gt;"!!!"),"NEW","")))</f>
        <v> </v>
      </c>
      <c r="G1650" s="23" t="str">
        <f>IF(OR(E1650="",E1650="!!!"),"",IF(OR(J1650=0,AND(J1650=1,K1650=1),AND(J1650=1,I1650="SBJ"),AND(J1650=1,I1650=0)),"?IN_FOCUS",IF(J1650&lt;=2,"?ACTIVATED",IF(J1650&lt;&gt;"","?FAMILIAR",IF(F1650="NEW",IF(ISNA(VLOOKUP(E1650,#REF!,1,FALSE())),"?TYPE_IDENTIFIABLE","?REFERENTIAL"),"_")))))</f>
        <v> </v>
      </c>
      <c r="H1650" s="24" t="str">
        <f>IF(J1650&lt;&gt;1,"",IF(I1650="SBJ","CB","?"))</f>
        <v> </v>
      </c>
      <c r="I1650" s="25" t="str">
        <f>IF(OR(E1650="",E1650="!!!",F1650="NEW"),"",INDEX(B1649:B$2,-1+SUMPRODUCT(MAX(ROW(E1649:E$2)*(E1650=E1649:E$2)))))</f>
        <v> </v>
      </c>
      <c r="J1650" s="25" t="str">
        <f>IF(OR(E1650="",E1650="!!!",F1650="NEW"),"",COUNTBLANK(OFFSET(A$1,,,SUMPRODUCT(MAX(ROW(E$2:E1650)*(E1650=E$2:E1650)))))-COUNTBLANK(OFFSET(A$1,,,SUMPRODUCT(MAX(ROW(E$1:E1649)*(E2=E$1:E1649))))))</f>
        <v> </v>
      </c>
      <c r="K1650" s="25" t="str">
        <f>IF(OR(E1650="",E1650="!!!",F1650="NEW"),"",INDEX(J$1:J1649,SUMPRODUCT(MAX(ROW(E$1:E1649)*(E1650=E$1:E1649)))))</f>
        <v> </v>
      </c>
      <c r="L1650" s="26"/>
    </row>
    <row r="1651" spans="1:12">
      <c r="A1651" s="20" t="s">
        <v>349</v>
      </c>
      <c r="E1651" s="21">
        <f>IF(D1651="?OLD","!!!","")</f>
        <v/>
      </c>
      <c r="F1651" s="22" t="str">
        <f>IF(OR(E1651="",E1651="!!!"),"",IF(NOT(ISNA(VLOOKUP(E1651,E$1:E1650,1,FALSE()))),"OLD",IF(AND(E1651&lt;&gt;"",E1651&lt;&gt;"!!!"),"NEW","")))</f>
        <v> </v>
      </c>
      <c r="G1651" s="23" t="str">
        <f>IF(OR(E1651="",E1651="!!!"),"",IF(OR(J1651=0,AND(J1651=1,K1651=1),AND(J1651=1,I1651="SBJ"),AND(J1651=1,I1651=0)),"?IN_FOCUS",IF(J1651&lt;=2,"?ACTIVATED",IF(J1651&lt;&gt;"","?FAMILIAR",IF(F1651="NEW",IF(ISNA(VLOOKUP(E1651,#REF!,1,FALSE())),"?TYPE_IDENTIFIABLE","?REFERENTIAL"),"_")))))</f>
        <v> </v>
      </c>
      <c r="H1651" s="24" t="str">
        <f>IF(J1651&lt;&gt;1,"",IF(I1651="SBJ","CB","?"))</f>
        <v> </v>
      </c>
      <c r="I1651" s="25" t="str">
        <f>IF(OR(E1651="",E1651="!!!",F1651="NEW"),"",INDEX(B1650:B$2,-1+SUMPRODUCT(MAX(ROW(E1650:E$2)*(E1651=E1650:E$2)))))</f>
        <v> </v>
      </c>
      <c r="J1651" s="25" t="str">
        <f>IF(OR(E1651="",E1651="!!!",F1651="NEW"),"",COUNTBLANK(OFFSET(A$1,,,SUMPRODUCT(MAX(ROW(E$2:E1651)*(E1651=E$2:E1651)))))-COUNTBLANK(OFFSET(A$1,,,SUMPRODUCT(MAX(ROW(E$1:E1650)*(E2=E$1:E1650))))))</f>
        <v> </v>
      </c>
      <c r="K1651" s="25" t="str">
        <f>IF(OR(E1651="",E1651="!!!",F1651="NEW"),"",INDEX(J$1:J1650,SUMPRODUCT(MAX(ROW(E$1:E1650)*(E1651=E$1:E1650)))))</f>
        <v> </v>
      </c>
      <c r="L1651" s="26"/>
    </row>
    <row r="1652" spans="1:12">
      <c r="A1652" s="20" t="s">
        <v>880</v>
      </c>
      <c r="E1652" s="21">
        <f>IF(D1652="?OLD","!!!","")</f>
        <v/>
      </c>
      <c r="F1652" s="22" t="str">
        <f>IF(OR(E1652="",E1652="!!!"),"",IF(NOT(ISNA(VLOOKUP(E1652,E$1:E1651,1,FALSE()))),"OLD",IF(AND(E1652&lt;&gt;"",E1652&lt;&gt;"!!!"),"NEW","")))</f>
        <v> </v>
      </c>
      <c r="G1652" s="23" t="str">
        <f>IF(OR(E1652="",E1652="!!!"),"",IF(OR(J1652=0,AND(J1652=1,K1652=1),AND(J1652=1,I1652="SBJ"),AND(J1652=1,I1652=0)),"?IN_FOCUS",IF(J1652&lt;=2,"?ACTIVATED",IF(J1652&lt;&gt;"","?FAMILIAR",IF(F1652="NEW",IF(ISNA(VLOOKUP(E1652,#REF!,1,FALSE())),"?TYPE_IDENTIFIABLE","?REFERENTIAL"),"_")))))</f>
        <v> </v>
      </c>
      <c r="H1652" s="24" t="str">
        <f>IF(J1652&lt;&gt;1,"",IF(I1652="SBJ","CB","?"))</f>
        <v> </v>
      </c>
      <c r="I1652" s="25" t="str">
        <f>IF(OR(E1652="",E1652="!!!",F1652="NEW"),"",INDEX(B1651:B$2,-1+SUMPRODUCT(MAX(ROW(E1651:E$2)*(E1652=E1651:E$2)))))</f>
        <v> </v>
      </c>
      <c r="J1652" s="25" t="str">
        <f>IF(OR(E1652="",E1652="!!!",F1652="NEW"),"",COUNTBLANK(OFFSET(A$1,,,SUMPRODUCT(MAX(ROW(E$2:E1652)*(E1652=E$2:E1652)))))-COUNTBLANK(OFFSET(A$1,,,SUMPRODUCT(MAX(ROW(E$1:E1651)*(E2=E$1:E1651))))))</f>
        <v> </v>
      </c>
      <c r="K1652" s="25" t="str">
        <f>IF(OR(E1652="",E1652="!!!",F1652="NEW"),"",INDEX(J$1:J1651,SUMPRODUCT(MAX(ROW(E$1:E1651)*(E1652=E$1:E1651)))))</f>
        <v> </v>
      </c>
      <c r="L1652" s="26"/>
    </row>
    <row r="1653" spans="1:12">
      <c r="A1653" s="20" t="s">
        <v>277</v>
      </c>
      <c r="E1653" s="21">
        <f>IF(D1653="?OLD","!!!","")</f>
        <v/>
      </c>
      <c r="F1653" s="22" t="str">
        <f>IF(OR(E1653="",E1653="!!!"),"",IF(NOT(ISNA(VLOOKUP(E1653,E$1:E1652,1,FALSE()))),"OLD",IF(AND(E1653&lt;&gt;"",E1653&lt;&gt;"!!!"),"NEW","")))</f>
        <v> </v>
      </c>
      <c r="G1653" s="23" t="str">
        <f>IF(OR(E1653="",E1653="!!!"),"",IF(OR(J1653=0,AND(J1653=1,K1653=1),AND(J1653=1,I1653="SBJ"),AND(J1653=1,I1653=0)),"?IN_FOCUS",IF(J1653&lt;=2,"?ACTIVATED",IF(J1653&lt;&gt;"","?FAMILIAR",IF(F1653="NEW",IF(ISNA(VLOOKUP(E1653,#REF!,1,FALSE())),"?TYPE_IDENTIFIABLE","?REFERENTIAL"),"_")))))</f>
        <v> </v>
      </c>
      <c r="H1653" s="24" t="str">
        <f>IF(J1653&lt;&gt;1,"",IF(I1653="SBJ","CB","?"))</f>
        <v> </v>
      </c>
      <c r="I1653" s="25" t="str">
        <f>IF(OR(E1653="",E1653="!!!",F1653="NEW"),"",INDEX(B1652:B$2,-1+SUMPRODUCT(MAX(ROW(E1652:E$2)*(E1653=E1652:E$2)))))</f>
        <v> </v>
      </c>
      <c r="J1653" s="25" t="str">
        <f>IF(OR(E1653="",E1653="!!!",F1653="NEW"),"",COUNTBLANK(OFFSET(A$1,,,SUMPRODUCT(MAX(ROW(E$2:E1653)*(E1653=E$2:E1653)))))-COUNTBLANK(OFFSET(A$1,,,SUMPRODUCT(MAX(ROW(E$1:E1652)*(E2=E$1:E1652))))))</f>
        <v> </v>
      </c>
      <c r="K1653" s="25" t="str">
        <f>IF(OR(E1653="",E1653="!!!",F1653="NEW"),"",INDEX(J$1:J1652,SUMPRODUCT(MAX(ROW(E$1:E1652)*(E1653=E$1:E1652)))))</f>
        <v> </v>
      </c>
      <c r="L1653" s="26"/>
    </row>
    <row r="1654" spans="1:12">
      <c r="A1654" s="20" t="s">
        <v>878</v>
      </c>
      <c r="E1654" s="21">
        <f>IF(D1654="?OLD","!!!","")</f>
        <v/>
      </c>
      <c r="F1654" s="22" t="str">
        <f>IF(OR(E1654="",E1654="!!!"),"",IF(NOT(ISNA(VLOOKUP(E1654,E$1:E1653,1,FALSE()))),"OLD",IF(AND(E1654&lt;&gt;"",E1654&lt;&gt;"!!!"),"NEW","")))</f>
        <v> </v>
      </c>
      <c r="G1654" s="23" t="str">
        <f>IF(OR(E1654="",E1654="!!!"),"",IF(OR(J1654=0,AND(J1654=1,K1654=1),AND(J1654=1,I1654="SBJ"),AND(J1654=1,I1654=0)),"?IN_FOCUS",IF(J1654&lt;=2,"?ACTIVATED",IF(J1654&lt;&gt;"","?FAMILIAR",IF(F1654="NEW",IF(ISNA(VLOOKUP(E1654,#REF!,1,FALSE())),"?TYPE_IDENTIFIABLE","?REFERENTIAL"),"_")))))</f>
        <v> </v>
      </c>
      <c r="H1654" s="24" t="str">
        <f>IF(J1654&lt;&gt;1,"",IF(I1654="SBJ","CB","?"))</f>
        <v> </v>
      </c>
      <c r="I1654" s="25" t="str">
        <f>IF(OR(E1654="",E1654="!!!",F1654="NEW"),"",INDEX(B1653:B$2,-1+SUMPRODUCT(MAX(ROW(E1653:E$2)*(E1654=E1653:E$2)))))</f>
        <v> </v>
      </c>
      <c r="J1654" s="25" t="str">
        <f>IF(OR(E1654="",E1654="!!!",F1654="NEW"),"",COUNTBLANK(OFFSET(A$1,,,SUMPRODUCT(MAX(ROW(E$2:E1654)*(E1654=E$2:E1654)))))-COUNTBLANK(OFFSET(A$1,,,SUMPRODUCT(MAX(ROW(E$1:E1653)*(E2=E$1:E1653))))))</f>
        <v> </v>
      </c>
      <c r="K1654" s="25" t="str">
        <f>IF(OR(E1654="",E1654="!!!",F1654="NEW"),"",INDEX(J$1:J1653,SUMPRODUCT(MAX(ROW(E$1:E1653)*(E1654=E$1:E1653)))))</f>
        <v> </v>
      </c>
      <c r="L1654" s="26"/>
    </row>
    <row r="1655" spans="1:12">
      <c r="A1655" s="20" t="s">
        <v>431</v>
      </c>
      <c r="B1655" s="27" t="s">
        <v>381</v>
      </c>
      <c r="C1655" s="27" t="s">
        <v>279</v>
      </c>
      <c r="E1655" s="21">
        <f>IF(D1655="?OLD","!!!","")</f>
        <v/>
      </c>
      <c r="F1655" s="22" t="str">
        <f>IF(OR(E1655="",E1655="!!!"),"",IF(NOT(ISNA(VLOOKUP(E1655,E$1:E1654,1,FALSE()))),"OLD",IF(AND(E1655&lt;&gt;"",E1655&lt;&gt;"!!!"),"NEW","")))</f>
        <v> </v>
      </c>
      <c r="G1655" s="23" t="str">
        <f>IF(OR(E1655="",E1655="!!!"),"",IF(OR(J1655=0,AND(J1655=1,K1655=1),AND(J1655=1,I1655="SBJ"),AND(J1655=1,I1655=0)),"?IN_FOCUS",IF(J1655&lt;=2,"?ACTIVATED",IF(J1655&lt;&gt;"","?FAMILIAR",IF(F1655="NEW",IF(ISNA(VLOOKUP(E1655,#REF!,1,FALSE())),"?TYPE_IDENTIFIABLE","?REFERENTIAL"),"_")))))</f>
        <v> </v>
      </c>
      <c r="H1655" s="24" t="str">
        <f>IF(J1655&lt;&gt;1,"",IF(I1655="SBJ","CB","?"))</f>
        <v> </v>
      </c>
      <c r="I1655" s="25" t="str">
        <f>IF(OR(E1655="",E1655="!!!",F1655="NEW"),"",INDEX(B1654:B$2,-1+SUMPRODUCT(MAX(ROW(E1654:E$2)*(E1655=E1654:E$2)))))</f>
        <v> </v>
      </c>
      <c r="J1655" s="25" t="str">
        <f>IF(OR(E1655="",E1655="!!!",F1655="NEW"),"",COUNTBLANK(OFFSET(A$1,,,SUMPRODUCT(MAX(ROW(E$2:E1655)*(E1655=E$2:E1655)))))-COUNTBLANK(OFFSET(A$1,,,SUMPRODUCT(MAX(ROW(E$1:E1654)*(E2=E$1:E1654))))))</f>
        <v> </v>
      </c>
      <c r="K1655" s="25" t="str">
        <f>IF(OR(E1655="",E1655="!!!",F1655="NEW"),"",INDEX(J$1:J1654,SUMPRODUCT(MAX(ROW(E$1:E1654)*(E1655=E$1:E1654)))))</f>
        <v> </v>
      </c>
      <c r="L1655" s="26"/>
    </row>
    <row r="1656" spans="1:12">
      <c r="A1656" s="20" t="s">
        <v>270</v>
      </c>
      <c r="E1656" s="21">
        <f>IF(D1656="?OLD","!!!","")</f>
        <v/>
      </c>
      <c r="F1656" s="22" t="str">
        <f>IF(OR(E1656="",E1656="!!!"),"",IF(NOT(ISNA(VLOOKUP(E1656,E$1:E1655,1,FALSE()))),"OLD",IF(AND(E1656&lt;&gt;"",E1656&lt;&gt;"!!!"),"NEW","")))</f>
        <v> </v>
      </c>
      <c r="G1656" s="23" t="str">
        <f>IF(OR(E1656="",E1656="!!!"),"",IF(OR(J1656=0,AND(J1656=1,K1656=1),AND(J1656=1,I1656="SBJ"),AND(J1656=1,I1656=0)),"?IN_FOCUS",IF(J1656&lt;=2,"?ACTIVATED",IF(J1656&lt;&gt;"","?FAMILIAR",IF(F1656="NEW",IF(ISNA(VLOOKUP(E1656,#REF!,1,FALSE())),"?TYPE_IDENTIFIABLE","?REFERENTIAL"),"_")))))</f>
        <v> </v>
      </c>
      <c r="H1656" s="24" t="str">
        <f>IF(J1656&lt;&gt;1,"",IF(I1656="SBJ","CB","?"))</f>
        <v> </v>
      </c>
      <c r="I1656" s="25" t="str">
        <f>IF(OR(E1656="",E1656="!!!",F1656="NEW"),"",INDEX(B1655:B$2,-1+SUMPRODUCT(MAX(ROW(E1655:E$2)*(E1656=E1655:E$2)))))</f>
        <v> </v>
      </c>
      <c r="J1656" s="25" t="str">
        <f>IF(OR(E1656="",E1656="!!!",F1656="NEW"),"",COUNTBLANK(OFFSET(A$1,,,SUMPRODUCT(MAX(ROW(E$2:E1656)*(E1656=E$2:E1656)))))-COUNTBLANK(OFFSET(A$1,,,SUMPRODUCT(MAX(ROW(E$1:E1655)*(E2=E$1:E1655))))))</f>
        <v> </v>
      </c>
      <c r="K1656" s="25" t="str">
        <f>IF(OR(E1656="",E1656="!!!",F1656="NEW"),"",INDEX(J$1:J1655,SUMPRODUCT(MAX(ROW(E$1:E1655)*(E1656=E$1:E1655)))))</f>
        <v> </v>
      </c>
      <c r="L1656" s="26"/>
    </row>
    <row r="1657" spans="1:12">
      <c r="A1657" s="20" t="s">
        <v>884</v>
      </c>
      <c r="B1657" s="27" t="s">
        <v>272</v>
      </c>
      <c r="C1657" s="27" t="s">
        <v>281</v>
      </c>
      <c r="E1657" s="21">
        <f>IF(D1657="?OLD","!!!","")</f>
        <v/>
      </c>
      <c r="F1657" s="22" t="str">
        <f>IF(OR(E1657="",E1657="!!!"),"",IF(NOT(ISNA(VLOOKUP(E1657,E$1:E1656,1,FALSE()))),"OLD",IF(AND(E1657&lt;&gt;"",E1657&lt;&gt;"!!!"),"NEW","")))</f>
        <v> </v>
      </c>
      <c r="G1657" s="23" t="str">
        <f>IF(OR(E1657="",E1657="!!!"),"",IF(OR(J1657=0,AND(J1657=1,K1657=1),AND(J1657=1,I1657="SBJ"),AND(J1657=1,I1657=0)),"?IN_FOCUS",IF(J1657&lt;=2,"?ACTIVATED",IF(J1657&lt;&gt;"","?FAMILIAR",IF(F1657="NEW",IF(ISNA(VLOOKUP(E1657,#REF!,1,FALSE())),"?TYPE_IDENTIFIABLE","?REFERENTIAL"),"_")))))</f>
        <v> </v>
      </c>
      <c r="H1657" s="24" t="str">
        <f>IF(J1657&lt;&gt;1,"",IF(I1657="SBJ","CB","?"))</f>
        <v> </v>
      </c>
      <c r="I1657" s="25" t="str">
        <f>IF(OR(E1657="",E1657="!!!",F1657="NEW"),"",INDEX(B1656:B$2,-1+SUMPRODUCT(MAX(ROW(E1656:E$2)*(E1657=E1656:E$2)))))</f>
        <v> </v>
      </c>
      <c r="J1657" s="25" t="str">
        <f>IF(OR(E1657="",E1657="!!!",F1657="NEW"),"",COUNTBLANK(OFFSET(A$1,,,SUMPRODUCT(MAX(ROW(E$2:E1657)*(E1657=E$2:E1657)))))-COUNTBLANK(OFFSET(A$1,,,SUMPRODUCT(MAX(ROW(E$1:E1656)*(E2=E$1:E1656))))))</f>
        <v> </v>
      </c>
      <c r="K1657" s="25" t="str">
        <f>IF(OR(E1657="",E1657="!!!",F1657="NEW"),"",INDEX(J$1:J1656,SUMPRODUCT(MAX(ROW(E$1:E1656)*(E1657=E$1:E1656)))))</f>
        <v> </v>
      </c>
      <c r="L1657" s="26"/>
    </row>
    <row r="1658" spans="1:12">
      <c r="A1658" s="20" t="s">
        <v>885</v>
      </c>
      <c r="B1658" s="27" t="s">
        <v>291</v>
      </c>
      <c r="C1658" s="27" t="s">
        <v>281</v>
      </c>
      <c r="E1658" s="21">
        <f>IF(D1658="?OLD","!!!","")</f>
        <v/>
      </c>
      <c r="F1658" s="22" t="str">
        <f>IF(OR(E1658="",E1658="!!!"),"",IF(NOT(ISNA(VLOOKUP(E1658,E$1:E1657,1,FALSE()))),"OLD",IF(AND(E1658&lt;&gt;"",E1658&lt;&gt;"!!!"),"NEW","")))</f>
        <v> </v>
      </c>
      <c r="G1658" s="23" t="str">
        <f>IF(OR(E1658="",E1658="!!!"),"",IF(OR(J1658=0,AND(J1658=1,K1658=1),AND(J1658=1,I1658="SBJ"),AND(J1658=1,I1658=0)),"?IN_FOCUS",IF(J1658&lt;=2,"?ACTIVATED",IF(J1658&lt;&gt;"","?FAMILIAR",IF(F1658="NEW",IF(ISNA(VLOOKUP(E1658,#REF!,1,FALSE())),"?TYPE_IDENTIFIABLE","?REFERENTIAL"),"_")))))</f>
        <v> </v>
      </c>
      <c r="H1658" s="24" t="str">
        <f>IF(J1658&lt;&gt;1,"",IF(I1658="SBJ","CB","?"))</f>
        <v> </v>
      </c>
      <c r="I1658" s="25" t="str">
        <f>IF(OR(E1658="",E1658="!!!",F1658="NEW"),"",INDEX(B1657:B$2,-1+SUMPRODUCT(MAX(ROW(E1657:E$2)*(E1658=E1657:E$2)))))</f>
        <v> </v>
      </c>
      <c r="J1658" s="25" t="str">
        <f>IF(OR(E1658="",E1658="!!!",F1658="NEW"),"",COUNTBLANK(OFFSET(A$1,,,SUMPRODUCT(MAX(ROW(E$2:E1658)*(E1658=E$2:E1658)))))-COUNTBLANK(OFFSET(A$1,,,SUMPRODUCT(MAX(ROW(E$1:E1657)*(E2=E$1:E1657))))))</f>
        <v> </v>
      </c>
      <c r="K1658" s="25" t="str">
        <f>IF(OR(E1658="",E1658="!!!",F1658="NEW"),"",INDEX(J$1:J1657,SUMPRODUCT(MAX(ROW(E$1:E1657)*(E1658=E$1:E1657)))))</f>
        <v> </v>
      </c>
      <c r="L1658" s="26"/>
    </row>
    <row r="1659" spans="1:12">
      <c r="A1659" s="20" t="s">
        <v>305</v>
      </c>
      <c r="E1659" s="21">
        <f>IF(D1659="?OLD","!!!","")</f>
        <v/>
      </c>
      <c r="F1659" s="22" t="str">
        <f>IF(OR(E1659="",E1659="!!!"),"",IF(NOT(ISNA(VLOOKUP(E1659,E$1:E1658,1,FALSE()))),"OLD",IF(AND(E1659&lt;&gt;"",E1659&lt;&gt;"!!!"),"NEW","")))</f>
        <v> </v>
      </c>
      <c r="G1659" s="23" t="str">
        <f>IF(OR(E1659="",E1659="!!!"),"",IF(OR(J1659=0,AND(J1659=1,K1659=1),AND(J1659=1,I1659="SBJ"),AND(J1659=1,I1659=0)),"?IN_FOCUS",IF(J1659&lt;=2,"?ACTIVATED",IF(J1659&lt;&gt;"","?FAMILIAR",IF(F1659="NEW",IF(ISNA(VLOOKUP(E1659,#REF!,1,FALSE())),"?TYPE_IDENTIFIABLE","?REFERENTIAL"),"_")))))</f>
        <v> </v>
      </c>
      <c r="H1659" s="24" t="str">
        <f>IF(J1659&lt;&gt;1,"",IF(I1659="SBJ","CB","?"))</f>
        <v> </v>
      </c>
      <c r="I1659" s="25" t="str">
        <f>IF(OR(E1659="",E1659="!!!",F1659="NEW"),"",INDEX(B1658:B$2,-1+SUMPRODUCT(MAX(ROW(E1658:E$2)*(E1659=E1658:E$2)))))</f>
        <v> </v>
      </c>
      <c r="J1659" s="25" t="str">
        <f>IF(OR(E1659="",E1659="!!!",F1659="NEW"),"",COUNTBLANK(OFFSET(A$1,,,SUMPRODUCT(MAX(ROW(E$2:E1659)*(E1659=E$2:E1659)))))-COUNTBLANK(OFFSET(A$1,,,SUMPRODUCT(MAX(ROW(E$1:E1658)*(E2=E$1:E1658))))))</f>
        <v> </v>
      </c>
      <c r="K1659" s="25" t="str">
        <f>IF(OR(E1659="",E1659="!!!",F1659="NEW"),"",INDEX(J$1:J1658,SUMPRODUCT(MAX(ROW(E$1:E1658)*(E1659=E$1:E1658)))))</f>
        <v> </v>
      </c>
      <c r="L1659" s="26"/>
    </row>
    <row r="1660" spans="1:12">
      <c r="A1660" s="20" t="s">
        <v>337</v>
      </c>
      <c r="B1660" s="27" t="s">
        <v>255</v>
      </c>
      <c r="C1660" s="27" t="s">
        <v>256</v>
      </c>
      <c r="D1660" s="27" t="s">
        <v>244</v>
      </c>
      <c r="E1660" s="21">
        <f>IF(D1660="?OLD","!!!","")</f>
        <v/>
      </c>
      <c r="F1660" s="22" t="str">
        <f>IF(OR(E1660="",E1660="!!!"),"",IF(NOT(ISNA(VLOOKUP(E1660,E$1:E1659,1,FALSE()))),"OLD",IF(AND(E1660&lt;&gt;"",E1660&lt;&gt;"!!!"),"NEW","")))</f>
        <v> </v>
      </c>
      <c r="G1660" s="23" t="str">
        <f>IF(OR(E1660="",E1660="!!!"),"",IF(OR(J1660=0,AND(J1660=1,K1660=1),AND(J1660=1,I1660="SBJ"),AND(J1660=1,I1660=0)),"?IN_FOCUS",IF(J1660&lt;=2,"?ACTIVATED",IF(J1660&lt;&gt;"","?FAMILIAR",IF(F1660="NEW",IF(ISNA(VLOOKUP(E1660,#REF!,1,FALSE())),"?TYPE_IDENTIFIABLE","?REFERENTIAL"),"_")))))</f>
        <v> </v>
      </c>
      <c r="H1660" s="24" t="str">
        <f>IF(J1660&lt;&gt;1,"",IF(I1660="SBJ","CB","?"))</f>
        <v> </v>
      </c>
      <c r="I1660" s="25" t="str">
        <f>IF(OR(E1660="",E1660="!!!",F1660="NEW"),"",INDEX(B1659:B$2,-1+SUMPRODUCT(MAX(ROW(E1659:E$2)*(E1660=E1659:E$2)))))</f>
        <v> </v>
      </c>
      <c r="J1660" s="25" t="str">
        <f>IF(OR(E1660="",E1660="!!!",F1660="NEW"),"",COUNTBLANK(OFFSET(A$1,,,SUMPRODUCT(MAX(ROW(E$2:E1660)*(E1660=E$2:E1660)))))-COUNTBLANK(OFFSET(A$1,,,SUMPRODUCT(MAX(ROW(E$1:E1659)*(E2=E$1:E1659))))))</f>
        <v> </v>
      </c>
      <c r="K1660" s="25" t="str">
        <f>IF(OR(E1660="",E1660="!!!",F1660="NEW"),"",INDEX(J$1:J1659,SUMPRODUCT(MAX(ROW(E$1:E1659)*(E1660=E$1:E1659)))))</f>
        <v> </v>
      </c>
      <c r="L1660" s="26"/>
    </row>
    <row r="1661" spans="1:12">
      <c r="A1661" s="20" t="s">
        <v>344</v>
      </c>
      <c r="E1661" s="21">
        <f>IF(D1661="?OLD","!!!","")</f>
        <v/>
      </c>
      <c r="F1661" s="22" t="str">
        <f>IF(OR(E1661="",E1661="!!!"),"",IF(NOT(ISNA(VLOOKUP(E1661,E$1:E1660,1,FALSE()))),"OLD",IF(AND(E1661&lt;&gt;"",E1661&lt;&gt;"!!!"),"NEW","")))</f>
        <v> </v>
      </c>
      <c r="G1661" s="23" t="str">
        <f>IF(OR(E1661="",E1661="!!!"),"",IF(OR(J1661=0,AND(J1661=1,K1661=1),AND(J1661=1,I1661="SBJ"),AND(J1661=1,I1661=0)),"?IN_FOCUS",IF(J1661&lt;=2,"?ACTIVATED",IF(J1661&lt;&gt;"","?FAMILIAR",IF(F1661="NEW",IF(ISNA(VLOOKUP(E1661,#REF!,1,FALSE())),"?TYPE_IDENTIFIABLE","?REFERENTIAL"),"_")))))</f>
        <v> </v>
      </c>
      <c r="H1661" s="24" t="str">
        <f>IF(J1661&lt;&gt;1,"",IF(I1661="SBJ","CB","?"))</f>
        <v> </v>
      </c>
      <c r="I1661" s="25" t="str">
        <f>IF(OR(E1661="",E1661="!!!",F1661="NEW"),"",INDEX(B1660:B$2,-1+SUMPRODUCT(MAX(ROW(E1660:E$2)*(E1661=E1660:E$2)))))</f>
        <v> </v>
      </c>
      <c r="J1661" s="25" t="str">
        <f>IF(OR(E1661="",E1661="!!!",F1661="NEW"),"",COUNTBLANK(OFFSET(A$1,,,SUMPRODUCT(MAX(ROW(E$2:E1661)*(E1661=E$2:E1661)))))-COUNTBLANK(OFFSET(A$1,,,SUMPRODUCT(MAX(ROW(E$1:E1660)*(E2=E$1:E1660))))))</f>
        <v> </v>
      </c>
      <c r="K1661" s="25" t="str">
        <f>IF(OR(E1661="",E1661="!!!",F1661="NEW"),"",INDEX(J$1:J1660,SUMPRODUCT(MAX(ROW(E$1:E1660)*(E1661=E$1:E1660)))))</f>
        <v> </v>
      </c>
      <c r="L1661" s="26"/>
    </row>
    <row r="1662" spans="1:12">
      <c r="A1662" s="20" t="s">
        <v>880</v>
      </c>
      <c r="E1662" s="21">
        <f>IF(D1662="?OLD","!!!","")</f>
        <v/>
      </c>
      <c r="F1662" s="22" t="str">
        <f>IF(OR(E1662="",E1662="!!!"),"",IF(NOT(ISNA(VLOOKUP(E1662,E$1:E1661,1,FALSE()))),"OLD",IF(AND(E1662&lt;&gt;"",E1662&lt;&gt;"!!!"),"NEW","")))</f>
        <v> </v>
      </c>
      <c r="G1662" s="23" t="str">
        <f>IF(OR(E1662="",E1662="!!!"),"",IF(OR(J1662=0,AND(J1662=1,K1662=1),AND(J1662=1,I1662="SBJ"),AND(J1662=1,I1662=0)),"?IN_FOCUS",IF(J1662&lt;=2,"?ACTIVATED",IF(J1662&lt;&gt;"","?FAMILIAR",IF(F1662="NEW",IF(ISNA(VLOOKUP(E1662,#REF!,1,FALSE())),"?TYPE_IDENTIFIABLE","?REFERENTIAL"),"_")))))</f>
        <v> </v>
      </c>
      <c r="H1662" s="24" t="str">
        <f>IF(J1662&lt;&gt;1,"",IF(I1662="SBJ","CB","?"))</f>
        <v> </v>
      </c>
      <c r="I1662" s="25" t="str">
        <f>IF(OR(E1662="",E1662="!!!",F1662="NEW"),"",INDEX(B1661:B$2,-1+SUMPRODUCT(MAX(ROW(E1661:E$2)*(E1662=E1661:E$2)))))</f>
        <v> </v>
      </c>
      <c r="J1662" s="25" t="str">
        <f>IF(OR(E1662="",E1662="!!!",F1662="NEW"),"",COUNTBLANK(OFFSET(A$1,,,SUMPRODUCT(MAX(ROW(E$2:E1662)*(E1662=E$2:E1662)))))-COUNTBLANK(OFFSET(A$1,,,SUMPRODUCT(MAX(ROW(E$1:E1661)*(E2=E$1:E1661))))))</f>
        <v> </v>
      </c>
      <c r="K1662" s="25" t="str">
        <f>IF(OR(E1662="",E1662="!!!",F1662="NEW"),"",INDEX(J$1:J1661,SUMPRODUCT(MAX(ROW(E$1:E1661)*(E1662=E$1:E1661)))))</f>
        <v> </v>
      </c>
      <c r="L1662" s="26"/>
    </row>
    <row r="1663" spans="1:12">
      <c r="A1663" s="20" t="s">
        <v>371</v>
      </c>
      <c r="B1663" s="27" t="s">
        <v>251</v>
      </c>
      <c r="C1663" s="27" t="s">
        <v>256</v>
      </c>
      <c r="D1663" s="27" t="s">
        <v>244</v>
      </c>
      <c r="E1663" s="21">
        <f>IF(D1663="?OLD","!!!","")</f>
        <v/>
      </c>
      <c r="F1663" s="22" t="str">
        <f>IF(OR(E1663="",E1663="!!!"),"",IF(NOT(ISNA(VLOOKUP(E1663,E$1:E1662,1,FALSE()))),"OLD",IF(AND(E1663&lt;&gt;"",E1663&lt;&gt;"!!!"),"NEW","")))</f>
        <v> </v>
      </c>
      <c r="G1663" s="23" t="str">
        <f>IF(OR(E1663="",E1663="!!!"),"",IF(OR(J1663=0,AND(J1663=1,K1663=1),AND(J1663=1,I1663="SBJ"),AND(J1663=1,I1663=0)),"?IN_FOCUS",IF(J1663&lt;=2,"?ACTIVATED",IF(J1663&lt;&gt;"","?FAMILIAR",IF(F1663="NEW",IF(ISNA(VLOOKUP(E1663,#REF!,1,FALSE())),"?TYPE_IDENTIFIABLE","?REFERENTIAL"),"_")))))</f>
        <v> </v>
      </c>
      <c r="H1663" s="24" t="str">
        <f>IF(J1663&lt;&gt;1,"",IF(I1663="SBJ","CB","?"))</f>
        <v> </v>
      </c>
      <c r="I1663" s="25" t="str">
        <f>IF(OR(E1663="",E1663="!!!",F1663="NEW"),"",INDEX(B1662:B$2,-1+SUMPRODUCT(MAX(ROW(E1662:E$2)*(E1663=E1662:E$2)))))</f>
        <v> </v>
      </c>
      <c r="J1663" s="25" t="str">
        <f>IF(OR(E1663="",E1663="!!!",F1663="NEW"),"",COUNTBLANK(OFFSET(A$1,,,SUMPRODUCT(MAX(ROW(E$2:E1663)*(E1663=E$2:E1663)))))-COUNTBLANK(OFFSET(A$1,,,SUMPRODUCT(MAX(ROW(E$1:E1662)*(E2=E$1:E1662))))))</f>
        <v> </v>
      </c>
      <c r="K1663" s="25" t="str">
        <f>IF(OR(E1663="",E1663="!!!",F1663="NEW"),"",INDEX(J$1:J1662,SUMPRODUCT(MAX(ROW(E$1:E1662)*(E1663=E$1:E1662)))))</f>
        <v> </v>
      </c>
      <c r="L1663" s="26"/>
    </row>
    <row r="1664" spans="1:12">
      <c r="A1664" s="20" t="s">
        <v>471</v>
      </c>
      <c r="E1664" s="21">
        <f>IF(D1664="?OLD","!!!","")</f>
        <v/>
      </c>
      <c r="F1664" s="22" t="str">
        <f>IF(OR(E1664="",E1664="!!!"),"",IF(NOT(ISNA(VLOOKUP(E1664,E$1:E1663,1,FALSE()))),"OLD",IF(AND(E1664&lt;&gt;"",E1664&lt;&gt;"!!!"),"NEW","")))</f>
        <v> </v>
      </c>
      <c r="G1664" s="23" t="str">
        <f>IF(OR(E1664="",E1664="!!!"),"",IF(OR(J1664=0,AND(J1664=1,K1664=1),AND(J1664=1,I1664="SBJ"),AND(J1664=1,I1664=0)),"?IN_FOCUS",IF(J1664&lt;=2,"?ACTIVATED",IF(J1664&lt;&gt;"","?FAMILIAR",IF(F1664="NEW",IF(ISNA(VLOOKUP(E1664,#REF!,1,FALSE())),"?TYPE_IDENTIFIABLE","?REFERENTIAL"),"_")))))</f>
        <v> </v>
      </c>
      <c r="H1664" s="24" t="str">
        <f>IF(J1664&lt;&gt;1,"",IF(I1664="SBJ","CB","?"))</f>
        <v> </v>
      </c>
      <c r="I1664" s="25" t="str">
        <f>IF(OR(E1664="",E1664="!!!",F1664="NEW"),"",INDEX(B1663:B$2,-1+SUMPRODUCT(MAX(ROW(E1663:E$2)*(E1664=E1663:E$2)))))</f>
        <v> </v>
      </c>
      <c r="J1664" s="25" t="str">
        <f>IF(OR(E1664="",E1664="!!!",F1664="NEW"),"",COUNTBLANK(OFFSET(A$1,,,SUMPRODUCT(MAX(ROW(E$2:E1664)*(E1664=E$2:E1664)))))-COUNTBLANK(OFFSET(A$1,,,SUMPRODUCT(MAX(ROW(E$1:E1663)*(E2=E$1:E1663))))))</f>
        <v> </v>
      </c>
      <c r="K1664" s="25" t="str">
        <f>IF(OR(E1664="",E1664="!!!",F1664="NEW"),"",INDEX(J$1:J1663,SUMPRODUCT(MAX(ROW(E$1:E1663)*(E1664=E$1:E1663)))))</f>
        <v> </v>
      </c>
      <c r="L1664" s="26"/>
    </row>
    <row r="1665" spans="1:12">
      <c r="A1665" s="20" t="s">
        <v>886</v>
      </c>
      <c r="B1665" s="27" t="s">
        <v>237</v>
      </c>
      <c r="C1665" s="27" t="s">
        <v>281</v>
      </c>
      <c r="E1665" s="21">
        <f>IF(D1665="?OLD","!!!","")</f>
        <v/>
      </c>
      <c r="F1665" s="22" t="str">
        <f>IF(OR(E1665="",E1665="!!!"),"",IF(NOT(ISNA(VLOOKUP(E1665,E$1:E1664,1,FALSE()))),"OLD",IF(AND(E1665&lt;&gt;"",E1665&lt;&gt;"!!!"),"NEW","")))</f>
        <v> </v>
      </c>
      <c r="G1665" s="23" t="str">
        <f>IF(OR(E1665="",E1665="!!!"),"",IF(OR(J1665=0,AND(J1665=1,K1665=1),AND(J1665=1,I1665="SBJ"),AND(J1665=1,I1665=0)),"?IN_FOCUS",IF(J1665&lt;=2,"?ACTIVATED",IF(J1665&lt;&gt;"","?FAMILIAR",IF(F1665="NEW",IF(ISNA(VLOOKUP(E1665,#REF!,1,FALSE())),"?TYPE_IDENTIFIABLE","?REFERENTIAL"),"_")))))</f>
        <v> </v>
      </c>
      <c r="H1665" s="24" t="str">
        <f>IF(J1665&lt;&gt;1,"",IF(I1665="SBJ","CB","?"))</f>
        <v> </v>
      </c>
      <c r="I1665" s="25" t="str">
        <f>IF(OR(E1665="",E1665="!!!",F1665="NEW"),"",INDEX(B1664:B$2,-1+SUMPRODUCT(MAX(ROW(E1664:E$2)*(E1665=E1664:E$2)))))</f>
        <v> </v>
      </c>
      <c r="J1665" s="25" t="str">
        <f>IF(OR(E1665="",E1665="!!!",F1665="NEW"),"",COUNTBLANK(OFFSET(A$1,,,SUMPRODUCT(MAX(ROW(E$2:E1665)*(E1665=E$2:E1665)))))-COUNTBLANK(OFFSET(A$1,,,SUMPRODUCT(MAX(ROW(E$1:E1664)*(E2=E$1:E1664))))))</f>
        <v> </v>
      </c>
      <c r="K1665" s="25" t="str">
        <f>IF(OR(E1665="",E1665="!!!",F1665="NEW"),"",INDEX(J$1:J1664,SUMPRODUCT(MAX(ROW(E$1:E1664)*(E1665=E$1:E1664)))))</f>
        <v> </v>
      </c>
      <c r="L1665" s="26"/>
    </row>
    <row r="1666" spans="1:12">
      <c r="A1666" s="20" t="s">
        <v>305</v>
      </c>
      <c r="E1666" s="21">
        <f>IF(D1666="?OLD","!!!","")</f>
        <v/>
      </c>
      <c r="F1666" s="22" t="str">
        <f>IF(OR(E1666="",E1666="!!!"),"",IF(NOT(ISNA(VLOOKUP(E1666,E$1:E1665,1,FALSE()))),"OLD",IF(AND(E1666&lt;&gt;"",E1666&lt;&gt;"!!!"),"NEW","")))</f>
        <v> </v>
      </c>
      <c r="G1666" s="23" t="str">
        <f>IF(OR(E1666="",E1666="!!!"),"",IF(OR(J1666=0,AND(J1666=1,K1666=1),AND(J1666=1,I1666="SBJ"),AND(J1666=1,I1666=0)),"?IN_FOCUS",IF(J1666&lt;=2,"?ACTIVATED",IF(J1666&lt;&gt;"","?FAMILIAR",IF(F1666="NEW",IF(ISNA(VLOOKUP(E1666,#REF!,1,FALSE())),"?TYPE_IDENTIFIABLE","?REFERENTIAL"),"_")))))</f>
        <v> </v>
      </c>
      <c r="H1666" s="24" t="str">
        <f>IF(J1666&lt;&gt;1,"",IF(I1666="SBJ","CB","?"))</f>
        <v> </v>
      </c>
      <c r="I1666" s="25" t="str">
        <f>IF(OR(E1666="",E1666="!!!",F1666="NEW"),"",INDEX(B1665:B$2,-1+SUMPRODUCT(MAX(ROW(E1665:E$2)*(E1666=E1665:E$2)))))</f>
        <v> </v>
      </c>
      <c r="J1666" s="25" t="str">
        <f>IF(OR(E1666="",E1666="!!!",F1666="NEW"),"",COUNTBLANK(OFFSET(A$1,,,SUMPRODUCT(MAX(ROW(E$2:E1666)*(E1666=E$2:E1666)))))-COUNTBLANK(OFFSET(A$1,,,SUMPRODUCT(MAX(ROW(E$1:E1665)*(E2=E$1:E1665))))))</f>
        <v> </v>
      </c>
      <c r="K1666" s="25" t="str">
        <f>IF(OR(E1666="",E1666="!!!",F1666="NEW"),"",INDEX(J$1:J1665,SUMPRODUCT(MAX(ROW(E$1:E1665)*(E1666=E$1:E1665)))))</f>
        <v> </v>
      </c>
      <c r="L1666" s="26"/>
    </row>
    <row r="1667" spans="1:12">
      <c r="A1667" s="20" t="s">
        <v>887</v>
      </c>
      <c r="E1667" s="21">
        <f>IF(D1667="?OLD","!!!","")</f>
        <v/>
      </c>
      <c r="F1667" s="22" t="str">
        <f>IF(OR(E1667="",E1667="!!!"),"",IF(NOT(ISNA(VLOOKUP(E1667,E$1:E1666,1,FALSE()))),"OLD",IF(AND(E1667&lt;&gt;"",E1667&lt;&gt;"!!!"),"NEW","")))</f>
        <v> </v>
      </c>
      <c r="G1667" s="23" t="str">
        <f>IF(OR(E1667="",E1667="!!!"),"",IF(OR(J1667=0,AND(J1667=1,K1667=1),AND(J1667=1,I1667="SBJ"),AND(J1667=1,I1667=0)),"?IN_FOCUS",IF(J1667&lt;=2,"?ACTIVATED",IF(J1667&lt;&gt;"","?FAMILIAR",IF(F1667="NEW",IF(ISNA(VLOOKUP(E1667,#REF!,1,FALSE())),"?TYPE_IDENTIFIABLE","?REFERENTIAL"),"_")))))</f>
        <v> </v>
      </c>
      <c r="H1667" s="24" t="str">
        <f>IF(J1667&lt;&gt;1,"",IF(I1667="SBJ","CB","?"))</f>
        <v> </v>
      </c>
      <c r="I1667" s="25" t="str">
        <f>IF(OR(E1667="",E1667="!!!",F1667="NEW"),"",INDEX(B1666:B$2,-1+SUMPRODUCT(MAX(ROW(E1666:E$2)*(E1667=E1666:E$2)))))</f>
        <v> </v>
      </c>
      <c r="J1667" s="25" t="str">
        <f>IF(OR(E1667="",E1667="!!!",F1667="NEW"),"",COUNTBLANK(OFFSET(A$1,,,SUMPRODUCT(MAX(ROW(E$2:E1667)*(E1667=E$2:E1667)))))-COUNTBLANK(OFFSET(A$1,,,SUMPRODUCT(MAX(ROW(E$1:E1666)*(E2=E$1:E1666))))))</f>
        <v> </v>
      </c>
      <c r="K1667" s="25" t="str">
        <f>IF(OR(E1667="",E1667="!!!",F1667="NEW"),"",INDEX(J$1:J1666,SUMPRODUCT(MAX(ROW(E$1:E1666)*(E1667=E$1:E1666)))))</f>
        <v> </v>
      </c>
      <c r="L1667" s="26"/>
    </row>
    <row r="1668" spans="1:12">
      <c r="A1668" s="20" t="s">
        <v>888</v>
      </c>
      <c r="B1668" s="27" t="s">
        <v>291</v>
      </c>
      <c r="C1668" s="27" t="s">
        <v>281</v>
      </c>
      <c r="E1668" s="21">
        <f>IF(D1668="?OLD","!!!","")</f>
        <v/>
      </c>
      <c r="F1668" s="22" t="str">
        <f>IF(OR(E1668="",E1668="!!!"),"",IF(NOT(ISNA(VLOOKUP(E1668,E$1:E1667,1,FALSE()))),"OLD",IF(AND(E1668&lt;&gt;"",E1668&lt;&gt;"!!!"),"NEW","")))</f>
        <v> </v>
      </c>
      <c r="G1668" s="23" t="str">
        <f>IF(OR(E1668="",E1668="!!!"),"",IF(OR(J1668=0,AND(J1668=1,K1668=1),AND(J1668=1,I1668="SBJ"),AND(J1668=1,I1668=0)),"?IN_FOCUS",IF(J1668&lt;=2,"?ACTIVATED",IF(J1668&lt;&gt;"","?FAMILIAR",IF(F1668="NEW",IF(ISNA(VLOOKUP(E1668,#REF!,1,FALSE())),"?TYPE_IDENTIFIABLE","?REFERENTIAL"),"_")))))</f>
        <v> </v>
      </c>
      <c r="H1668" s="24" t="str">
        <f>IF(J1668&lt;&gt;1,"",IF(I1668="SBJ","CB","?"))</f>
        <v> </v>
      </c>
      <c r="I1668" s="25" t="str">
        <f>IF(OR(E1668="",E1668="!!!",F1668="NEW"),"",INDEX(B1667:B$2,-1+SUMPRODUCT(MAX(ROW(E1667:E$2)*(E1668=E1667:E$2)))))</f>
        <v> </v>
      </c>
      <c r="J1668" s="25" t="str">
        <f>IF(OR(E1668="",E1668="!!!",F1668="NEW"),"",COUNTBLANK(OFFSET(A$1,,,SUMPRODUCT(MAX(ROW(E$2:E1668)*(E1668=E$2:E1668)))))-COUNTBLANK(OFFSET(A$1,,,SUMPRODUCT(MAX(ROW(E$1:E1667)*(E2=E$1:E1667))))))</f>
        <v> </v>
      </c>
      <c r="K1668" s="25" t="str">
        <f>IF(OR(E1668="",E1668="!!!",F1668="NEW"),"",INDEX(J$1:J1667,SUMPRODUCT(MAX(ROW(E$1:E1667)*(E1668=E$1:E1667)))))</f>
        <v> </v>
      </c>
      <c r="L1668" s="26"/>
    </row>
    <row r="1669" spans="1:12">
      <c r="A1669" s="20" t="s">
        <v>285</v>
      </c>
      <c r="E1669" s="21">
        <f>IF(D1669="?OLD","!!!","")</f>
        <v/>
      </c>
      <c r="F1669" s="22" t="str">
        <f>IF(OR(E1669="",E1669="!!!"),"",IF(NOT(ISNA(VLOOKUP(E1669,E$1:E1668,1,FALSE()))),"OLD",IF(AND(E1669&lt;&gt;"",E1669&lt;&gt;"!!!"),"NEW","")))</f>
        <v> </v>
      </c>
      <c r="G1669" s="23" t="str">
        <f>IF(OR(E1669="",E1669="!!!"),"",IF(OR(J1669=0,AND(J1669=1,K1669=1),AND(J1669=1,I1669="SBJ"),AND(J1669=1,I1669=0)),"?IN_FOCUS",IF(J1669&lt;=2,"?ACTIVATED",IF(J1669&lt;&gt;"","?FAMILIAR",IF(F1669="NEW",IF(ISNA(VLOOKUP(E1669,#REF!,1,FALSE())),"?TYPE_IDENTIFIABLE","?REFERENTIAL"),"_")))))</f>
        <v> </v>
      </c>
      <c r="H1669" s="24" t="str">
        <f>IF(J1669&lt;&gt;1,"",IF(I1669="SBJ","CB","?"))</f>
        <v> </v>
      </c>
      <c r="I1669" s="25" t="str">
        <f>IF(OR(E1669="",E1669="!!!",F1669="NEW"),"",INDEX(B1668:B$2,-1+SUMPRODUCT(MAX(ROW(E1668:E$2)*(E1669=E1668:E$2)))))</f>
        <v> </v>
      </c>
      <c r="J1669" s="25" t="str">
        <f>IF(OR(E1669="",E1669="!!!",F1669="NEW"),"",COUNTBLANK(OFFSET(A$1,,,SUMPRODUCT(MAX(ROW(E$2:E1669)*(E1669=E$2:E1669)))))-COUNTBLANK(OFFSET(A$1,,,SUMPRODUCT(MAX(ROW(E$1:E1668)*(E2=E$1:E1668))))))</f>
        <v> </v>
      </c>
      <c r="K1669" s="25" t="str">
        <f>IF(OR(E1669="",E1669="!!!",F1669="NEW"),"",INDEX(J$1:J1668,SUMPRODUCT(MAX(ROW(E$1:E1668)*(E1669=E$1:E1668)))))</f>
        <v> </v>
      </c>
      <c r="L1669" s="26"/>
    </row>
    <row r="1670" spans="1:12">
      <c r="A1670" s="20"/>
    </row>
    <row r="1671" spans="1:12">
      <c r="A1671" s="20" t="s">
        <v>889</v>
      </c>
    </row>
    <row r="1672" spans="1:12">
      <c r="A1672" s="20" t="s">
        <v>489</v>
      </c>
      <c r="E1672" s="21">
        <f>IF(D1672="?OLD","!!!","")</f>
        <v/>
      </c>
      <c r="F1672" s="22" t="str">
        <f>IF(OR(E1672="",E1672="!!!"),"",IF(NOT(ISNA(VLOOKUP(E1672,E$1:E1671,1,FALSE()))),"OLD",IF(AND(E1672&lt;&gt;"",E1672&lt;&gt;"!!!"),"NEW","")))</f>
        <v> </v>
      </c>
      <c r="G1672" s="23" t="str">
        <f>IF(OR(E1672="",E1672="!!!"),"",IF(OR(J1672=0,AND(J1672=1,K1672=1),AND(J1672=1,I1672="SBJ"),AND(J1672=1,I1672=0)),"?IN_FOCUS",IF(J1672&lt;=2,"?ACTIVATED",IF(J1672&lt;&gt;"","?FAMILIAR",IF(F1672="NEW",IF(ISNA(VLOOKUP(E1672,#REF!,1,FALSE())),"?TYPE_IDENTIFIABLE","?REFERENTIAL"),"_")))))</f>
        <v> </v>
      </c>
      <c r="H1672" s="24" t="str">
        <f>IF(J1672&lt;&gt;1,"",IF(I1672="SBJ","CB","?"))</f>
        <v> </v>
      </c>
      <c r="I1672" s="25" t="str">
        <f>IF(OR(E1672="",E1672="!!!",F1672="NEW"),"",INDEX(B1671:B$2,-1+SUMPRODUCT(MAX(ROW(E1671:E$2)*(E1672=E1671:E$2)))))</f>
        <v> </v>
      </c>
      <c r="J1672" s="25" t="str">
        <f>IF(OR(E1672="",E1672="!!!",F1672="NEW"),"",COUNTBLANK(OFFSET(A$1,,,SUMPRODUCT(MAX(ROW(E$2:E1672)*(E1672=E$2:E1672)))))-COUNTBLANK(OFFSET(A$1,,,SUMPRODUCT(MAX(ROW(E$1:E1671)*(E2=E$1:E1671))))))</f>
        <v> </v>
      </c>
      <c r="K1672" s="25" t="str">
        <f>IF(OR(E1672="",E1672="!!!",F1672="NEW"),"",INDEX(J$1:J1671,SUMPRODUCT(MAX(ROW(E$1:E1671)*(E1672=E$1:E1671)))))</f>
        <v> </v>
      </c>
      <c r="L1672" s="26"/>
    </row>
    <row r="1673" spans="1:12">
      <c r="A1673" s="20" t="s">
        <v>400</v>
      </c>
      <c r="B1673" s="27" t="s">
        <v>255</v>
      </c>
      <c r="C1673" s="27" t="s">
        <v>401</v>
      </c>
      <c r="D1673" s="27" t="s">
        <v>244</v>
      </c>
      <c r="E1673" s="21">
        <f>IF(D1673="?OLD","!!!","")</f>
        <v/>
      </c>
      <c r="F1673" s="22" t="str">
        <f>IF(OR(E1673="",E1673="!!!"),"",IF(NOT(ISNA(VLOOKUP(E1673,E$1:E1672,1,FALSE()))),"OLD",IF(AND(E1673&lt;&gt;"",E1673&lt;&gt;"!!!"),"NEW","")))</f>
        <v> </v>
      </c>
      <c r="G1673" s="23" t="str">
        <f>IF(OR(E1673="",E1673="!!!"),"",IF(OR(J1673=0,AND(J1673=1,K1673=1),AND(J1673=1,I1673="SBJ"),AND(J1673=1,I1673=0)),"?IN_FOCUS",IF(J1673&lt;=2,"?ACTIVATED",IF(J1673&lt;&gt;"","?FAMILIAR",IF(F1673="NEW",IF(ISNA(VLOOKUP(E1673,#REF!,1,FALSE())),"?TYPE_IDENTIFIABLE","?REFERENTIAL"),"_")))))</f>
        <v> </v>
      </c>
      <c r="H1673" s="24" t="str">
        <f>IF(J1673&lt;&gt;1,"",IF(I1673="SBJ","CB","?"))</f>
        <v> </v>
      </c>
      <c r="I1673" s="25" t="str">
        <f>IF(OR(E1673="",E1673="!!!",F1673="NEW"),"",INDEX(B1672:B$2,-1+SUMPRODUCT(MAX(ROW(E1672:E$2)*(E1673=E1672:E$2)))))</f>
        <v> </v>
      </c>
      <c r="J1673" s="25" t="str">
        <f>IF(OR(E1673="",E1673="!!!",F1673="NEW"),"",COUNTBLANK(OFFSET(A$1,,,SUMPRODUCT(MAX(ROW(E$2:E1673)*(E1673=E$2:E1673)))))-COUNTBLANK(OFFSET(A$1,,,SUMPRODUCT(MAX(ROW(E$1:E1672)*(E2=E$1:E1672))))))</f>
        <v> </v>
      </c>
      <c r="K1673" s="25" t="str">
        <f>IF(OR(E1673="",E1673="!!!",F1673="NEW"),"",INDEX(J$1:J1672,SUMPRODUCT(MAX(ROW(E$1:E1672)*(E1673=E$1:E1672)))))</f>
        <v> </v>
      </c>
      <c r="L1673" s="26"/>
    </row>
    <row r="1674" spans="1:12">
      <c r="A1674" s="20" t="s">
        <v>391</v>
      </c>
      <c r="E1674" s="21">
        <f>IF(D1674="?OLD","!!!","")</f>
        <v/>
      </c>
      <c r="F1674" s="22" t="str">
        <f>IF(OR(E1674="",E1674="!!!"),"",IF(NOT(ISNA(VLOOKUP(E1674,E$1:E1673,1,FALSE()))),"OLD",IF(AND(E1674&lt;&gt;"",E1674&lt;&gt;"!!!"),"NEW","")))</f>
        <v> </v>
      </c>
      <c r="G1674" s="23" t="str">
        <f>IF(OR(E1674="",E1674="!!!"),"",IF(OR(J1674=0,AND(J1674=1,K1674=1),AND(J1674=1,I1674="SBJ"),AND(J1674=1,I1674=0)),"?IN_FOCUS",IF(J1674&lt;=2,"?ACTIVATED",IF(J1674&lt;&gt;"","?FAMILIAR",IF(F1674="NEW",IF(ISNA(VLOOKUP(E1674,#REF!,1,FALSE())),"?TYPE_IDENTIFIABLE","?REFERENTIAL"),"_")))))</f>
        <v> </v>
      </c>
      <c r="H1674" s="24" t="str">
        <f>IF(J1674&lt;&gt;1,"",IF(I1674="SBJ","CB","?"))</f>
        <v> </v>
      </c>
      <c r="I1674" s="25" t="str">
        <f>IF(OR(E1674="",E1674="!!!",F1674="NEW"),"",INDEX(B1673:B$2,-1+SUMPRODUCT(MAX(ROW(E1673:E$2)*(E1674=E1673:E$2)))))</f>
        <v> </v>
      </c>
      <c r="J1674" s="25" t="str">
        <f>IF(OR(E1674="",E1674="!!!",F1674="NEW"),"",COUNTBLANK(OFFSET(A$1,,,SUMPRODUCT(MAX(ROW(E$2:E1674)*(E1674=E$2:E1674)))))-COUNTBLANK(OFFSET(A$1,,,SUMPRODUCT(MAX(ROW(E$1:E1673)*(E2=E$1:E1673))))))</f>
        <v> </v>
      </c>
      <c r="K1674" s="25" t="str">
        <f>IF(OR(E1674="",E1674="!!!",F1674="NEW"),"",INDEX(J$1:J1673,SUMPRODUCT(MAX(ROW(E$1:E1673)*(E1674=E$1:E1673)))))</f>
        <v> </v>
      </c>
      <c r="L1674" s="26"/>
    </row>
    <row r="1675" spans="1:12">
      <c r="A1675" s="20" t="s">
        <v>326</v>
      </c>
      <c r="B1675" s="27" t="s">
        <v>237</v>
      </c>
      <c r="C1675" s="27" t="s">
        <v>327</v>
      </c>
      <c r="E1675" s="21">
        <f>IF(D1675="?OLD","!!!","")</f>
        <v/>
      </c>
      <c r="F1675" s="22" t="str">
        <f>IF(OR(E1675="",E1675="!!!"),"",IF(NOT(ISNA(VLOOKUP(E1675,E$1:E1674,1,FALSE()))),"OLD",IF(AND(E1675&lt;&gt;"",E1675&lt;&gt;"!!!"),"NEW","")))</f>
        <v> </v>
      </c>
      <c r="G1675" s="23" t="str">
        <f>IF(OR(E1675="",E1675="!!!"),"",IF(OR(J1675=0,AND(J1675=1,K1675=1),AND(J1675=1,I1675="SBJ"),AND(J1675=1,I1675=0)),"?IN_FOCUS",IF(J1675&lt;=2,"?ACTIVATED",IF(J1675&lt;&gt;"","?FAMILIAR",IF(F1675="NEW",IF(ISNA(VLOOKUP(E1675,#REF!,1,FALSE())),"?TYPE_IDENTIFIABLE","?REFERENTIAL"),"_")))))</f>
        <v> </v>
      </c>
      <c r="H1675" s="24" t="str">
        <f>IF(J1675&lt;&gt;1,"",IF(I1675="SBJ","CB","?"))</f>
        <v> </v>
      </c>
      <c r="I1675" s="25" t="str">
        <f>IF(OR(E1675="",E1675="!!!",F1675="NEW"),"",INDEX(B1674:B$2,-1+SUMPRODUCT(MAX(ROW(E1674:E$2)*(E1675=E1674:E$2)))))</f>
        <v> </v>
      </c>
      <c r="J1675" s="25" t="str">
        <f>IF(OR(E1675="",E1675="!!!",F1675="NEW"),"",COUNTBLANK(OFFSET(A$1,,,SUMPRODUCT(MAX(ROW(E$2:E1675)*(E1675=E$2:E1675)))))-COUNTBLANK(OFFSET(A$1,,,SUMPRODUCT(MAX(ROW(E$1:E1674)*(E2=E$1:E1674))))))</f>
        <v> </v>
      </c>
      <c r="K1675" s="25" t="str">
        <f>IF(OR(E1675="",E1675="!!!",F1675="NEW"),"",INDEX(J$1:J1674,SUMPRODUCT(MAX(ROW(E$1:E1674)*(E1675=E$1:E1674)))))</f>
        <v> </v>
      </c>
      <c r="L1675" s="26"/>
    </row>
    <row r="1676" spans="1:12">
      <c r="A1676" s="20" t="s">
        <v>277</v>
      </c>
      <c r="E1676" s="21">
        <f>IF(D1676="?OLD","!!!","")</f>
        <v/>
      </c>
      <c r="F1676" s="22" t="str">
        <f>IF(OR(E1676="",E1676="!!!"),"",IF(NOT(ISNA(VLOOKUP(E1676,E$1:E1675,1,FALSE()))),"OLD",IF(AND(E1676&lt;&gt;"",E1676&lt;&gt;"!!!"),"NEW","")))</f>
        <v> </v>
      </c>
      <c r="G1676" s="23" t="str">
        <f>IF(OR(E1676="",E1676="!!!"),"",IF(OR(J1676=0,AND(J1676=1,K1676=1),AND(J1676=1,I1676="SBJ"),AND(J1676=1,I1676=0)),"?IN_FOCUS",IF(J1676&lt;=2,"?ACTIVATED",IF(J1676&lt;&gt;"","?FAMILIAR",IF(F1676="NEW",IF(ISNA(VLOOKUP(E1676,#REF!,1,FALSE())),"?TYPE_IDENTIFIABLE","?REFERENTIAL"),"_")))))</f>
        <v> </v>
      </c>
      <c r="H1676" s="24" t="str">
        <f>IF(J1676&lt;&gt;1,"",IF(I1676="SBJ","CB","?"))</f>
        <v> </v>
      </c>
      <c r="I1676" s="25" t="str">
        <f>IF(OR(E1676="",E1676="!!!",F1676="NEW"),"",INDEX(B1675:B$2,-1+SUMPRODUCT(MAX(ROW(E1675:E$2)*(E1676=E1675:E$2)))))</f>
        <v> </v>
      </c>
      <c r="J1676" s="25" t="str">
        <f>IF(OR(E1676="",E1676="!!!",F1676="NEW"),"",COUNTBLANK(OFFSET(A$1,,,SUMPRODUCT(MAX(ROW(E$2:E1676)*(E1676=E$2:E1676)))))-COUNTBLANK(OFFSET(A$1,,,SUMPRODUCT(MAX(ROW(E$1:E1675)*(E2=E$1:E1675))))))</f>
        <v> </v>
      </c>
      <c r="K1676" s="25" t="str">
        <f>IF(OR(E1676="",E1676="!!!",F1676="NEW"),"",INDEX(J$1:J1675,SUMPRODUCT(MAX(ROW(E$1:E1675)*(E1676=E$1:E1675)))))</f>
        <v> </v>
      </c>
      <c r="L1676" s="26"/>
    </row>
    <row r="1677" spans="1:12">
      <c r="A1677" s="20" t="s">
        <v>249</v>
      </c>
      <c r="E1677" s="21">
        <f>IF(D1677="?OLD","!!!","")</f>
        <v/>
      </c>
      <c r="F1677" s="22" t="str">
        <f>IF(OR(E1677="",E1677="!!!"),"",IF(NOT(ISNA(VLOOKUP(E1677,E$1:E1676,1,FALSE()))),"OLD",IF(AND(E1677&lt;&gt;"",E1677&lt;&gt;"!!!"),"NEW","")))</f>
        <v> </v>
      </c>
      <c r="G1677" s="23" t="str">
        <f>IF(OR(E1677="",E1677="!!!"),"",IF(OR(J1677=0,AND(J1677=1,K1677=1),AND(J1677=1,I1677="SBJ"),AND(J1677=1,I1677=0)),"?IN_FOCUS",IF(J1677&lt;=2,"?ACTIVATED",IF(J1677&lt;&gt;"","?FAMILIAR",IF(F1677="NEW",IF(ISNA(VLOOKUP(E1677,#REF!,1,FALSE())),"?TYPE_IDENTIFIABLE","?REFERENTIAL"),"_")))))</f>
        <v> </v>
      </c>
      <c r="H1677" s="24" t="str">
        <f>IF(J1677&lt;&gt;1,"",IF(I1677="SBJ","CB","?"))</f>
        <v> </v>
      </c>
      <c r="I1677" s="25" t="str">
        <f>IF(OR(E1677="",E1677="!!!",F1677="NEW"),"",INDEX(B1676:B$2,-1+SUMPRODUCT(MAX(ROW(E1676:E$2)*(E1677=E1676:E$2)))))</f>
        <v> </v>
      </c>
      <c r="J1677" s="25" t="str">
        <f>IF(OR(E1677="",E1677="!!!",F1677="NEW"),"",COUNTBLANK(OFFSET(A$1,,,SUMPRODUCT(MAX(ROW(E$2:E1677)*(E1677=E$2:E1677)))))-COUNTBLANK(OFFSET(A$1,,,SUMPRODUCT(MAX(ROW(E$1:E1676)*(E2=E$1:E1676))))))</f>
        <v> </v>
      </c>
      <c r="K1677" s="25" t="str">
        <f>IF(OR(E1677="",E1677="!!!",F1677="NEW"),"",INDEX(J$1:J1676,SUMPRODUCT(MAX(ROW(E$1:E1676)*(E1677=E$1:E1676)))))</f>
        <v> </v>
      </c>
      <c r="L1677" s="26"/>
    </row>
    <row r="1678" spans="1:12">
      <c r="A1678" s="20" t="s">
        <v>250</v>
      </c>
      <c r="B1678" s="27" t="s">
        <v>295</v>
      </c>
      <c r="C1678" s="27" t="s">
        <v>279</v>
      </c>
      <c r="E1678" s="21">
        <f>IF(D1678="?OLD","!!!","")</f>
        <v/>
      </c>
      <c r="F1678" s="22" t="str">
        <f>IF(OR(E1678="",E1678="!!!"),"",IF(NOT(ISNA(VLOOKUP(E1678,E$1:E1677,1,FALSE()))),"OLD",IF(AND(E1678&lt;&gt;"",E1678&lt;&gt;"!!!"),"NEW","")))</f>
        <v> </v>
      </c>
      <c r="G1678" s="23" t="str">
        <f>IF(OR(E1678="",E1678="!!!"),"",IF(OR(J1678=0,AND(J1678=1,K1678=1),AND(J1678=1,I1678="SBJ"),AND(J1678=1,I1678=0)),"?IN_FOCUS",IF(J1678&lt;=2,"?ACTIVATED",IF(J1678&lt;&gt;"","?FAMILIAR",IF(F1678="NEW",IF(ISNA(VLOOKUP(E1678,#REF!,1,FALSE())),"?TYPE_IDENTIFIABLE","?REFERENTIAL"),"_")))))</f>
        <v> </v>
      </c>
      <c r="H1678" s="24" t="str">
        <f>IF(J1678&lt;&gt;1,"",IF(I1678="SBJ","CB","?"))</f>
        <v> </v>
      </c>
      <c r="I1678" s="25" t="str">
        <f>IF(OR(E1678="",E1678="!!!",F1678="NEW"),"",INDEX(B1677:B$2,-1+SUMPRODUCT(MAX(ROW(E1677:E$2)*(E1678=E1677:E$2)))))</f>
        <v> </v>
      </c>
      <c r="J1678" s="25" t="str">
        <f>IF(OR(E1678="",E1678="!!!",F1678="NEW"),"",COUNTBLANK(OFFSET(A$1,,,SUMPRODUCT(MAX(ROW(E$2:E1678)*(E1678=E$2:E1678)))))-COUNTBLANK(OFFSET(A$1,,,SUMPRODUCT(MAX(ROW(E$1:E1677)*(E2=E$1:E1677))))))</f>
        <v> </v>
      </c>
      <c r="K1678" s="25" t="str">
        <f>IF(OR(E1678="",E1678="!!!",F1678="NEW"),"",INDEX(J$1:J1677,SUMPRODUCT(MAX(ROW(E$1:E1677)*(E1678=E$1:E1677)))))</f>
        <v> </v>
      </c>
      <c r="L1678" s="26"/>
    </row>
    <row r="1679" spans="1:12">
      <c r="A1679" s="20" t="s">
        <v>890</v>
      </c>
      <c r="E1679" s="21">
        <f>IF(D1679="?OLD","!!!","")</f>
        <v/>
      </c>
      <c r="F1679" s="22" t="str">
        <f>IF(OR(E1679="",E1679="!!!"),"",IF(NOT(ISNA(VLOOKUP(E1679,E$1:E1678,1,FALSE()))),"OLD",IF(AND(E1679&lt;&gt;"",E1679&lt;&gt;"!!!"),"NEW","")))</f>
        <v> </v>
      </c>
      <c r="G1679" s="23" t="str">
        <f>IF(OR(E1679="",E1679="!!!"),"",IF(OR(J1679=0,AND(J1679=1,K1679=1),AND(J1679=1,I1679="SBJ"),AND(J1679=1,I1679=0)),"?IN_FOCUS",IF(J1679&lt;=2,"?ACTIVATED",IF(J1679&lt;&gt;"","?FAMILIAR",IF(F1679="NEW",IF(ISNA(VLOOKUP(E1679,#REF!,1,FALSE())),"?TYPE_IDENTIFIABLE","?REFERENTIAL"),"_")))))</f>
        <v> </v>
      </c>
      <c r="H1679" s="24" t="str">
        <f>IF(J1679&lt;&gt;1,"",IF(I1679="SBJ","CB","?"))</f>
        <v> </v>
      </c>
      <c r="I1679" s="25" t="str">
        <f>IF(OR(E1679="",E1679="!!!",F1679="NEW"),"",INDEX(B1678:B$2,-1+SUMPRODUCT(MAX(ROW(E1678:E$2)*(E1679=E1678:E$2)))))</f>
        <v> </v>
      </c>
      <c r="J1679" s="25" t="str">
        <f>IF(OR(E1679="",E1679="!!!",F1679="NEW"),"",COUNTBLANK(OFFSET(A$1,,,SUMPRODUCT(MAX(ROW(E$2:E1679)*(E1679=E$2:E1679)))))-COUNTBLANK(OFFSET(A$1,,,SUMPRODUCT(MAX(ROW(E$1:E1678)*(E2=E$1:E1678))))))</f>
        <v> </v>
      </c>
      <c r="K1679" s="25" t="str">
        <f>IF(OR(E1679="",E1679="!!!",F1679="NEW"),"",INDEX(J$1:J1678,SUMPRODUCT(MAX(ROW(E$1:E1678)*(E1679=E$1:E1678)))))</f>
        <v> </v>
      </c>
      <c r="L1679" s="26"/>
    </row>
    <row r="1680" spans="1:12">
      <c r="A1680" s="20" t="s">
        <v>285</v>
      </c>
      <c r="E1680" s="21">
        <f>IF(D1680="?OLD","!!!","")</f>
        <v/>
      </c>
      <c r="F1680" s="22" t="str">
        <f>IF(OR(E1680="",E1680="!!!"),"",IF(NOT(ISNA(VLOOKUP(E1680,E$1:E1679,1,FALSE()))),"OLD",IF(AND(E1680&lt;&gt;"",E1680&lt;&gt;"!!!"),"NEW","")))</f>
        <v> </v>
      </c>
      <c r="G1680" s="23" t="str">
        <f>IF(OR(E1680="",E1680="!!!"),"",IF(OR(J1680=0,AND(J1680=1,K1680=1),AND(J1680=1,I1680="SBJ"),AND(J1680=1,I1680=0)),"?IN_FOCUS",IF(J1680&lt;=2,"?ACTIVATED",IF(J1680&lt;&gt;"","?FAMILIAR",IF(F1680="NEW",IF(ISNA(VLOOKUP(E1680,#REF!,1,FALSE())),"?TYPE_IDENTIFIABLE","?REFERENTIAL"),"_")))))</f>
        <v> </v>
      </c>
      <c r="H1680" s="24" t="str">
        <f>IF(J1680&lt;&gt;1,"",IF(I1680="SBJ","CB","?"))</f>
        <v> </v>
      </c>
      <c r="I1680" s="25" t="str">
        <f>IF(OR(E1680="",E1680="!!!",F1680="NEW"),"",INDEX(B1679:B$2,-1+SUMPRODUCT(MAX(ROW(E1679:E$2)*(E1680=E1679:E$2)))))</f>
        <v> </v>
      </c>
      <c r="J1680" s="25" t="str">
        <f>IF(OR(E1680="",E1680="!!!",F1680="NEW"),"",COUNTBLANK(OFFSET(A$1,,,SUMPRODUCT(MAX(ROW(E$2:E1680)*(E1680=E$2:E1680)))))-COUNTBLANK(OFFSET(A$1,,,SUMPRODUCT(MAX(ROW(E$1:E1679)*(E2=E$1:E1679))))))</f>
        <v> </v>
      </c>
      <c r="K1680" s="25" t="str">
        <f>IF(OR(E1680="",E1680="!!!",F1680="NEW"),"",INDEX(J$1:J1679,SUMPRODUCT(MAX(ROW(E$1:E1679)*(E1680=E$1:E1679)))))</f>
        <v> </v>
      </c>
      <c r="L1680" s="26"/>
    </row>
    <row r="1681" spans="1:12">
      <c r="A1681" s="20"/>
    </row>
    <row r="1682" spans="1:12">
      <c r="A1682" s="20" t="s">
        <v>891</v>
      </c>
    </row>
    <row r="1683" spans="1:12">
      <c r="A1683" s="20" t="s">
        <v>580</v>
      </c>
      <c r="E1683" s="21">
        <f>IF(D1683="?OLD","!!!","")</f>
        <v/>
      </c>
      <c r="F1683" s="22" t="str">
        <f>IF(OR(E1683="",E1683="!!!"),"",IF(NOT(ISNA(VLOOKUP(E1683,E$1:E1682,1,FALSE()))),"OLD",IF(AND(E1683&lt;&gt;"",E1683&lt;&gt;"!!!"),"NEW","")))</f>
        <v> </v>
      </c>
      <c r="G1683" s="23" t="str">
        <f>IF(OR(E1683="",E1683="!!!"),"",IF(OR(J1683=0,AND(J1683=1,K1683=1),AND(J1683=1,I1683="SBJ"),AND(J1683=1,I1683=0)),"?IN_FOCUS",IF(J1683&lt;=2,"?ACTIVATED",IF(J1683&lt;&gt;"","?FAMILIAR",IF(F1683="NEW",IF(ISNA(VLOOKUP(E1683,#REF!,1,FALSE())),"?TYPE_IDENTIFIABLE","?REFERENTIAL"),"_")))))</f>
        <v> </v>
      </c>
      <c r="H1683" s="24" t="str">
        <f>IF(J1683&lt;&gt;1,"",IF(I1683="SBJ","CB","?"))</f>
        <v> </v>
      </c>
      <c r="I1683" s="25" t="str">
        <f>IF(OR(E1683="",E1683="!!!",F1683="NEW"),"",INDEX(B1682:B$2,-1+SUMPRODUCT(MAX(ROW(E1682:E$2)*(E1683=E1682:E$2)))))</f>
        <v> </v>
      </c>
      <c r="J1683" s="25" t="str">
        <f>IF(OR(E1683="",E1683="!!!",F1683="NEW"),"",COUNTBLANK(OFFSET(A$1,,,SUMPRODUCT(MAX(ROW(E$2:E1683)*(E1683=E$2:E1683)))))-COUNTBLANK(OFFSET(A$1,,,SUMPRODUCT(MAX(ROW(E$1:E1682)*(E2=E$1:E1682))))))</f>
        <v> </v>
      </c>
      <c r="K1683" s="25" t="str">
        <f>IF(OR(E1683="",E1683="!!!",F1683="NEW"),"",INDEX(J$1:J1682,SUMPRODUCT(MAX(ROW(E$1:E1682)*(E1683=E$1:E1682)))))</f>
        <v> </v>
      </c>
      <c r="L1683" s="26"/>
    </row>
    <row r="1684" spans="1:12">
      <c r="A1684" s="20" t="s">
        <v>405</v>
      </c>
      <c r="E1684" s="21">
        <f>IF(D1684="?OLD","!!!","")</f>
        <v/>
      </c>
      <c r="F1684" s="22" t="str">
        <f>IF(OR(E1684="",E1684="!!!"),"",IF(NOT(ISNA(VLOOKUP(E1684,E$1:E1683,1,FALSE()))),"OLD",IF(AND(E1684&lt;&gt;"",E1684&lt;&gt;"!!!"),"NEW","")))</f>
        <v> </v>
      </c>
      <c r="G1684" s="23" t="str">
        <f>IF(OR(E1684="",E1684="!!!"),"",IF(OR(J1684=0,AND(J1684=1,K1684=1),AND(J1684=1,I1684="SBJ"),AND(J1684=1,I1684=0)),"?IN_FOCUS",IF(J1684&lt;=2,"?ACTIVATED",IF(J1684&lt;&gt;"","?FAMILIAR",IF(F1684="NEW",IF(ISNA(VLOOKUP(E1684,#REF!,1,FALSE())),"?TYPE_IDENTIFIABLE","?REFERENTIAL"),"_")))))</f>
        <v> </v>
      </c>
      <c r="H1684" s="24" t="str">
        <f>IF(J1684&lt;&gt;1,"",IF(I1684="SBJ","CB","?"))</f>
        <v> </v>
      </c>
      <c r="I1684" s="25" t="str">
        <f>IF(OR(E1684="",E1684="!!!",F1684="NEW"),"",INDEX(B1683:B$2,-1+SUMPRODUCT(MAX(ROW(E1683:E$2)*(E1684=E1683:E$2)))))</f>
        <v> </v>
      </c>
      <c r="J1684" s="25" t="str">
        <f>IF(OR(E1684="",E1684="!!!",F1684="NEW"),"",COUNTBLANK(OFFSET(A$1,,,SUMPRODUCT(MAX(ROW(E$2:E1684)*(E1684=E$2:E1684)))))-COUNTBLANK(OFFSET(A$1,,,SUMPRODUCT(MAX(ROW(E$1:E1683)*(E2=E$1:E1683))))))</f>
        <v> </v>
      </c>
      <c r="K1684" s="25" t="str">
        <f>IF(OR(E1684="",E1684="!!!",F1684="NEW"),"",INDEX(J$1:J1683,SUMPRODUCT(MAX(ROW(E$1:E1683)*(E1684=E$1:E1683)))))</f>
        <v> </v>
      </c>
      <c r="L1684" s="26"/>
    </row>
    <row r="1685" spans="1:12">
      <c r="A1685" s="20" t="s">
        <v>406</v>
      </c>
      <c r="B1685" s="27" t="s">
        <v>251</v>
      </c>
      <c r="C1685" s="27" t="s">
        <v>256</v>
      </c>
      <c r="D1685" s="27" t="s">
        <v>244</v>
      </c>
      <c r="E1685" s="21">
        <f>IF(D1685="?OLD","!!!","")</f>
        <v/>
      </c>
      <c r="F1685" s="22" t="str">
        <f>IF(OR(E1685="",E1685="!!!"),"",IF(NOT(ISNA(VLOOKUP(E1685,E$1:E1684,1,FALSE()))),"OLD",IF(AND(E1685&lt;&gt;"",E1685&lt;&gt;"!!!"),"NEW","")))</f>
        <v> </v>
      </c>
      <c r="G1685" s="23" t="str">
        <f>IF(OR(E1685="",E1685="!!!"),"",IF(OR(J1685=0,AND(J1685=1,K1685=1),AND(J1685=1,I1685="SBJ"),AND(J1685=1,I1685=0)),"?IN_FOCUS",IF(J1685&lt;=2,"?ACTIVATED",IF(J1685&lt;&gt;"","?FAMILIAR",IF(F1685="NEW",IF(ISNA(VLOOKUP(E1685,#REF!,1,FALSE())),"?TYPE_IDENTIFIABLE","?REFERENTIAL"),"_")))))</f>
        <v> </v>
      </c>
      <c r="H1685" s="24" t="str">
        <f>IF(J1685&lt;&gt;1,"",IF(I1685="SBJ","CB","?"))</f>
        <v> </v>
      </c>
      <c r="I1685" s="25" t="str">
        <f>IF(OR(E1685="",E1685="!!!",F1685="NEW"),"",INDEX(B1684:B$2,-1+SUMPRODUCT(MAX(ROW(E1684:E$2)*(E1685=E1684:E$2)))))</f>
        <v> </v>
      </c>
      <c r="J1685" s="25" t="str">
        <f>IF(OR(E1685="",E1685="!!!",F1685="NEW"),"",COUNTBLANK(OFFSET(A$1,,,SUMPRODUCT(MAX(ROW(E$2:E1685)*(E1685=E$2:E1685)))))-COUNTBLANK(OFFSET(A$1,,,SUMPRODUCT(MAX(ROW(E$1:E1684)*(E2=E$1:E1684))))))</f>
        <v> </v>
      </c>
      <c r="K1685" s="25" t="str">
        <f>IF(OR(E1685="",E1685="!!!",F1685="NEW"),"",INDEX(J$1:J1684,SUMPRODUCT(MAX(ROW(E$1:E1684)*(E1685=E$1:E1684)))))</f>
        <v> </v>
      </c>
      <c r="L1685" s="26"/>
    </row>
    <row r="1686" spans="1:12">
      <c r="A1686" s="20" t="s">
        <v>349</v>
      </c>
      <c r="E1686" s="21">
        <f>IF(D1686="?OLD","!!!","")</f>
        <v/>
      </c>
      <c r="F1686" s="22" t="str">
        <f>IF(OR(E1686="",E1686="!!!"),"",IF(NOT(ISNA(VLOOKUP(E1686,E$1:E1685,1,FALSE()))),"OLD",IF(AND(E1686&lt;&gt;"",E1686&lt;&gt;"!!!"),"NEW","")))</f>
        <v> </v>
      </c>
      <c r="G1686" s="23" t="str">
        <f>IF(OR(E1686="",E1686="!!!"),"",IF(OR(J1686=0,AND(J1686=1,K1686=1),AND(J1686=1,I1686="SBJ"),AND(J1686=1,I1686=0)),"?IN_FOCUS",IF(J1686&lt;=2,"?ACTIVATED",IF(J1686&lt;&gt;"","?FAMILIAR",IF(F1686="NEW",IF(ISNA(VLOOKUP(E1686,#REF!,1,FALSE())),"?TYPE_IDENTIFIABLE","?REFERENTIAL"),"_")))))</f>
        <v> </v>
      </c>
      <c r="H1686" s="24" t="str">
        <f>IF(J1686&lt;&gt;1,"",IF(I1686="SBJ","CB","?"))</f>
        <v> </v>
      </c>
      <c r="I1686" s="25" t="str">
        <f>IF(OR(E1686="",E1686="!!!",F1686="NEW"),"",INDEX(B1685:B$2,-1+SUMPRODUCT(MAX(ROW(E1685:E$2)*(E1686=E1685:E$2)))))</f>
        <v> </v>
      </c>
      <c r="J1686" s="25" t="str">
        <f>IF(OR(E1686="",E1686="!!!",F1686="NEW"),"",COUNTBLANK(OFFSET(A$1,,,SUMPRODUCT(MAX(ROW(E$2:E1686)*(E1686=E$2:E1686)))))-COUNTBLANK(OFFSET(A$1,,,SUMPRODUCT(MAX(ROW(E$1:E1685)*(E2=E$1:E1685))))))</f>
        <v> </v>
      </c>
      <c r="K1686" s="25" t="str">
        <f>IF(OR(E1686="",E1686="!!!",F1686="NEW"),"",INDEX(J$1:J1685,SUMPRODUCT(MAX(ROW(E$1:E1685)*(E1686=E$1:E1685)))))</f>
        <v> </v>
      </c>
      <c r="L1686" s="26"/>
    </row>
    <row r="1687" spans="1:12">
      <c r="A1687" s="20" t="s">
        <v>474</v>
      </c>
      <c r="E1687" s="21">
        <f>IF(D1687="?OLD","!!!","")</f>
        <v/>
      </c>
      <c r="F1687" s="22" t="str">
        <f>IF(OR(E1687="",E1687="!!!"),"",IF(NOT(ISNA(VLOOKUP(E1687,E$1:E1686,1,FALSE()))),"OLD",IF(AND(E1687&lt;&gt;"",E1687&lt;&gt;"!!!"),"NEW","")))</f>
        <v> </v>
      </c>
      <c r="G1687" s="23" t="str">
        <f>IF(OR(E1687="",E1687="!!!"),"",IF(OR(J1687=0,AND(J1687=1,K1687=1),AND(J1687=1,I1687="SBJ"),AND(J1687=1,I1687=0)),"?IN_FOCUS",IF(J1687&lt;=2,"?ACTIVATED",IF(J1687&lt;&gt;"","?FAMILIAR",IF(F1687="NEW",IF(ISNA(VLOOKUP(E1687,#REF!,1,FALSE())),"?TYPE_IDENTIFIABLE","?REFERENTIAL"),"_")))))</f>
        <v> </v>
      </c>
      <c r="H1687" s="24" t="str">
        <f>IF(J1687&lt;&gt;1,"",IF(I1687="SBJ","CB","?"))</f>
        <v> </v>
      </c>
      <c r="I1687" s="25" t="str">
        <f>IF(OR(E1687="",E1687="!!!",F1687="NEW"),"",INDEX(B1686:B$2,-1+SUMPRODUCT(MAX(ROW(E1686:E$2)*(E1687=E1686:E$2)))))</f>
        <v> </v>
      </c>
      <c r="J1687" s="25" t="str">
        <f>IF(OR(E1687="",E1687="!!!",F1687="NEW"),"",COUNTBLANK(OFFSET(A$1,,,SUMPRODUCT(MAX(ROW(E$2:E1687)*(E1687=E$2:E1687)))))-COUNTBLANK(OFFSET(A$1,,,SUMPRODUCT(MAX(ROW(E$1:E1686)*(E2=E$1:E1686))))))</f>
        <v> </v>
      </c>
      <c r="K1687" s="25" t="str">
        <f>IF(OR(E1687="",E1687="!!!",F1687="NEW"),"",INDEX(J$1:J1686,SUMPRODUCT(MAX(ROW(E$1:E1686)*(E1687=E$1:E1686)))))</f>
        <v> </v>
      </c>
      <c r="L1687" s="26"/>
    </row>
    <row r="1688" spans="1:12">
      <c r="A1688" s="20" t="s">
        <v>276</v>
      </c>
      <c r="E1688" s="21">
        <f>IF(D1688="?OLD","!!!","")</f>
        <v/>
      </c>
      <c r="F1688" s="22" t="str">
        <f>IF(OR(E1688="",E1688="!!!"),"",IF(NOT(ISNA(VLOOKUP(E1688,E$1:E1687,1,FALSE()))),"OLD",IF(AND(E1688&lt;&gt;"",E1688&lt;&gt;"!!!"),"NEW","")))</f>
        <v> </v>
      </c>
      <c r="G1688" s="23" t="str">
        <f>IF(OR(E1688="",E1688="!!!"),"",IF(OR(J1688=0,AND(J1688=1,K1688=1),AND(J1688=1,I1688="SBJ"),AND(J1688=1,I1688=0)),"?IN_FOCUS",IF(J1688&lt;=2,"?ACTIVATED",IF(J1688&lt;&gt;"","?FAMILIAR",IF(F1688="NEW",IF(ISNA(VLOOKUP(E1688,#REF!,1,FALSE())),"?TYPE_IDENTIFIABLE","?REFERENTIAL"),"_")))))</f>
        <v> </v>
      </c>
      <c r="H1688" s="24" t="str">
        <f>IF(J1688&lt;&gt;1,"",IF(I1688="SBJ","CB","?"))</f>
        <v> </v>
      </c>
      <c r="I1688" s="25" t="str">
        <f>IF(OR(E1688="",E1688="!!!",F1688="NEW"),"",INDEX(B1687:B$2,-1+SUMPRODUCT(MAX(ROW(E1687:E$2)*(E1688=E1687:E$2)))))</f>
        <v> </v>
      </c>
      <c r="J1688" s="25" t="str">
        <f>IF(OR(E1688="",E1688="!!!",F1688="NEW"),"",COUNTBLANK(OFFSET(A$1,,,SUMPRODUCT(MAX(ROW(E$2:E1688)*(E1688=E$2:E1688)))))-COUNTBLANK(OFFSET(A$1,,,SUMPRODUCT(MAX(ROW(E$1:E1687)*(E2=E$1:E1687))))))</f>
        <v> </v>
      </c>
      <c r="K1688" s="25" t="str">
        <f>IF(OR(E1688="",E1688="!!!",F1688="NEW"),"",INDEX(J$1:J1687,SUMPRODUCT(MAX(ROW(E$1:E1687)*(E1688=E$1:E1687)))))</f>
        <v> </v>
      </c>
      <c r="L1688" s="26"/>
    </row>
    <row r="1689" spans="1:12">
      <c r="A1689" s="20" t="s">
        <v>326</v>
      </c>
      <c r="B1689" s="27" t="s">
        <v>272</v>
      </c>
      <c r="C1689" s="27" t="s">
        <v>327</v>
      </c>
      <c r="E1689" s="21">
        <f>IF(D1689="?OLD","!!!","")</f>
        <v/>
      </c>
      <c r="F1689" s="22" t="str">
        <f>IF(OR(E1689="",E1689="!!!"),"",IF(NOT(ISNA(VLOOKUP(E1689,E$1:E1688,1,FALSE()))),"OLD",IF(AND(E1689&lt;&gt;"",E1689&lt;&gt;"!!!"),"NEW","")))</f>
        <v> </v>
      </c>
      <c r="G1689" s="23" t="str">
        <f>IF(OR(E1689="",E1689="!!!"),"",IF(OR(J1689=0,AND(J1689=1,K1689=1),AND(J1689=1,I1689="SBJ"),AND(J1689=1,I1689=0)),"?IN_FOCUS",IF(J1689&lt;=2,"?ACTIVATED",IF(J1689&lt;&gt;"","?FAMILIAR",IF(F1689="NEW",IF(ISNA(VLOOKUP(E1689,#REF!,1,FALSE())),"?TYPE_IDENTIFIABLE","?REFERENTIAL"),"_")))))</f>
        <v> </v>
      </c>
      <c r="H1689" s="24" t="str">
        <f>IF(J1689&lt;&gt;1,"",IF(I1689="SBJ","CB","?"))</f>
        <v> </v>
      </c>
      <c r="I1689" s="25" t="str">
        <f>IF(OR(E1689="",E1689="!!!",F1689="NEW"),"",INDEX(B1688:B$2,-1+SUMPRODUCT(MAX(ROW(E1688:E$2)*(E1689=E1688:E$2)))))</f>
        <v> </v>
      </c>
      <c r="J1689" s="25" t="str">
        <f>IF(OR(E1689="",E1689="!!!",F1689="NEW"),"",COUNTBLANK(OFFSET(A$1,,,SUMPRODUCT(MAX(ROW(E$2:E1689)*(E1689=E$2:E1689)))))-COUNTBLANK(OFFSET(A$1,,,SUMPRODUCT(MAX(ROW(E$1:E1688)*(E2=E$1:E1688))))))</f>
        <v> </v>
      </c>
      <c r="K1689" s="25" t="str">
        <f>IF(OR(E1689="",E1689="!!!",F1689="NEW"),"",INDEX(J$1:J1688,SUMPRODUCT(MAX(ROW(E$1:E1688)*(E1689=E$1:E1688)))))</f>
        <v> </v>
      </c>
      <c r="L1689" s="26"/>
    </row>
    <row r="1690" spans="1:12">
      <c r="A1690" s="20" t="s">
        <v>305</v>
      </c>
      <c r="E1690" s="21">
        <f>IF(D1690="?OLD","!!!","")</f>
        <v/>
      </c>
      <c r="F1690" s="22" t="str">
        <f>IF(OR(E1690="",E1690="!!!"),"",IF(NOT(ISNA(VLOOKUP(E1690,E$1:E1689,1,FALSE()))),"OLD",IF(AND(E1690&lt;&gt;"",E1690&lt;&gt;"!!!"),"NEW","")))</f>
        <v> </v>
      </c>
      <c r="G1690" s="23" t="str">
        <f>IF(OR(E1690="",E1690="!!!"),"",IF(OR(J1690=0,AND(J1690=1,K1690=1),AND(J1690=1,I1690="SBJ"),AND(J1690=1,I1690=0)),"?IN_FOCUS",IF(J1690&lt;=2,"?ACTIVATED",IF(J1690&lt;&gt;"","?FAMILIAR",IF(F1690="NEW",IF(ISNA(VLOOKUP(E1690,#REF!,1,FALSE())),"?TYPE_IDENTIFIABLE","?REFERENTIAL"),"_")))))</f>
        <v> </v>
      </c>
      <c r="H1690" s="24" t="str">
        <f>IF(J1690&lt;&gt;1,"",IF(I1690="SBJ","CB","?"))</f>
        <v> </v>
      </c>
      <c r="I1690" s="25" t="str">
        <f>IF(OR(E1690="",E1690="!!!",F1690="NEW"),"",INDEX(B1689:B$2,-1+SUMPRODUCT(MAX(ROW(E1689:E$2)*(E1690=E1689:E$2)))))</f>
        <v> </v>
      </c>
      <c r="J1690" s="25" t="str">
        <f>IF(OR(E1690="",E1690="!!!",F1690="NEW"),"",COUNTBLANK(OFFSET(A$1,,,SUMPRODUCT(MAX(ROW(E$2:E1690)*(E1690=E$2:E1690)))))-COUNTBLANK(OFFSET(A$1,,,SUMPRODUCT(MAX(ROW(E$1:E1689)*(E2=E$1:E1689))))))</f>
        <v> </v>
      </c>
      <c r="K1690" s="25" t="str">
        <f>IF(OR(E1690="",E1690="!!!",F1690="NEW"),"",INDEX(J$1:J1689,SUMPRODUCT(MAX(ROW(E$1:E1689)*(E1690=E$1:E1689)))))</f>
        <v> </v>
      </c>
      <c r="L1690" s="26"/>
    </row>
    <row r="1691" spans="1:12">
      <c r="A1691" s="20" t="s">
        <v>892</v>
      </c>
      <c r="E1691" s="21">
        <f>IF(D1691="?OLD","!!!","")</f>
        <v/>
      </c>
      <c r="F1691" s="22" t="str">
        <f>IF(OR(E1691="",E1691="!!!"),"",IF(NOT(ISNA(VLOOKUP(E1691,E$1:E1690,1,FALSE()))),"OLD",IF(AND(E1691&lt;&gt;"",E1691&lt;&gt;"!!!"),"NEW","")))</f>
        <v> </v>
      </c>
      <c r="G1691" s="23" t="str">
        <f>IF(OR(E1691="",E1691="!!!"),"",IF(OR(J1691=0,AND(J1691=1,K1691=1),AND(J1691=1,I1691="SBJ"),AND(J1691=1,I1691=0)),"?IN_FOCUS",IF(J1691&lt;=2,"?ACTIVATED",IF(J1691&lt;&gt;"","?FAMILIAR",IF(F1691="NEW",IF(ISNA(VLOOKUP(E1691,#REF!,1,FALSE())),"?TYPE_IDENTIFIABLE","?REFERENTIAL"),"_")))))</f>
        <v> </v>
      </c>
      <c r="H1691" s="24" t="str">
        <f>IF(J1691&lt;&gt;1,"",IF(I1691="SBJ","CB","?"))</f>
        <v> </v>
      </c>
      <c r="I1691" s="25" t="str">
        <f>IF(OR(E1691="",E1691="!!!",F1691="NEW"),"",INDEX(B1690:B$2,-1+SUMPRODUCT(MAX(ROW(E1690:E$2)*(E1691=E1690:E$2)))))</f>
        <v> </v>
      </c>
      <c r="J1691" s="25" t="str">
        <f>IF(OR(E1691="",E1691="!!!",F1691="NEW"),"",COUNTBLANK(OFFSET(A$1,,,SUMPRODUCT(MAX(ROW(E$2:E1691)*(E1691=E$2:E1691)))))-COUNTBLANK(OFFSET(A$1,,,SUMPRODUCT(MAX(ROW(E$1:E1690)*(E2=E$1:E1690))))))</f>
        <v> </v>
      </c>
      <c r="K1691" s="25" t="str">
        <f>IF(OR(E1691="",E1691="!!!",F1691="NEW"),"",INDEX(J$1:J1690,SUMPRODUCT(MAX(ROW(E$1:E1690)*(E1691=E$1:E1690)))))</f>
        <v> </v>
      </c>
      <c r="L1691" s="26"/>
    </row>
    <row r="1692" spans="1:12">
      <c r="A1692" s="20" t="s">
        <v>706</v>
      </c>
      <c r="E1692" s="21">
        <f>IF(D1692="?OLD","!!!","")</f>
        <v/>
      </c>
      <c r="F1692" s="22" t="str">
        <f>IF(OR(E1692="",E1692="!!!"),"",IF(NOT(ISNA(VLOOKUP(E1692,E$1:E1691,1,FALSE()))),"OLD",IF(AND(E1692&lt;&gt;"",E1692&lt;&gt;"!!!"),"NEW","")))</f>
        <v> </v>
      </c>
      <c r="G1692" s="23" t="str">
        <f>IF(OR(E1692="",E1692="!!!"),"",IF(OR(J1692=0,AND(J1692=1,K1692=1),AND(J1692=1,I1692="SBJ"),AND(J1692=1,I1692=0)),"?IN_FOCUS",IF(J1692&lt;=2,"?ACTIVATED",IF(J1692&lt;&gt;"","?FAMILIAR",IF(F1692="NEW",IF(ISNA(VLOOKUP(E1692,#REF!,1,FALSE())),"?TYPE_IDENTIFIABLE","?REFERENTIAL"),"_")))))</f>
        <v> </v>
      </c>
      <c r="H1692" s="24" t="str">
        <f>IF(J1692&lt;&gt;1,"",IF(I1692="SBJ","CB","?"))</f>
        <v> </v>
      </c>
      <c r="I1692" s="25" t="str">
        <f>IF(OR(E1692="",E1692="!!!",F1692="NEW"),"",INDEX(B1691:B$2,-1+SUMPRODUCT(MAX(ROW(E1691:E$2)*(E1692=E1691:E$2)))))</f>
        <v> </v>
      </c>
      <c r="J1692" s="25" t="str">
        <f>IF(OR(E1692="",E1692="!!!",F1692="NEW"),"",COUNTBLANK(OFFSET(A$1,,,SUMPRODUCT(MAX(ROW(E$2:E1692)*(E1692=E$2:E1692)))))-COUNTBLANK(OFFSET(A$1,,,SUMPRODUCT(MAX(ROW(E$1:E1691)*(E2=E$1:E1691))))))</f>
        <v> </v>
      </c>
      <c r="K1692" s="25" t="str">
        <f>IF(OR(E1692="",E1692="!!!",F1692="NEW"),"",INDEX(J$1:J1691,SUMPRODUCT(MAX(ROW(E$1:E1691)*(E1692=E$1:E1691)))))</f>
        <v> </v>
      </c>
      <c r="L1692" s="26"/>
    </row>
    <row r="1693" spans="1:12">
      <c r="A1693" s="20" t="s">
        <v>305</v>
      </c>
      <c r="E1693" s="21">
        <f>IF(D1693="?OLD","!!!","")</f>
        <v/>
      </c>
      <c r="F1693" s="22" t="str">
        <f>IF(OR(E1693="",E1693="!!!"),"",IF(NOT(ISNA(VLOOKUP(E1693,E$1:E1692,1,FALSE()))),"OLD",IF(AND(E1693&lt;&gt;"",E1693&lt;&gt;"!!!"),"NEW","")))</f>
        <v> </v>
      </c>
      <c r="G1693" s="23" t="str">
        <f>IF(OR(E1693="",E1693="!!!"),"",IF(OR(J1693=0,AND(J1693=1,K1693=1),AND(J1693=1,I1693="SBJ"),AND(J1693=1,I1693=0)),"?IN_FOCUS",IF(J1693&lt;=2,"?ACTIVATED",IF(J1693&lt;&gt;"","?FAMILIAR",IF(F1693="NEW",IF(ISNA(VLOOKUP(E1693,#REF!,1,FALSE())),"?TYPE_IDENTIFIABLE","?REFERENTIAL"),"_")))))</f>
        <v> </v>
      </c>
      <c r="H1693" s="24" t="str">
        <f>IF(J1693&lt;&gt;1,"",IF(I1693="SBJ","CB","?"))</f>
        <v> </v>
      </c>
      <c r="I1693" s="25" t="str">
        <f>IF(OR(E1693="",E1693="!!!",F1693="NEW"),"",INDEX(B1692:B$2,-1+SUMPRODUCT(MAX(ROW(E1692:E$2)*(E1693=E1692:E$2)))))</f>
        <v> </v>
      </c>
      <c r="J1693" s="25" t="str">
        <f>IF(OR(E1693="",E1693="!!!",F1693="NEW"),"",COUNTBLANK(OFFSET(A$1,,,SUMPRODUCT(MAX(ROW(E$2:E1693)*(E1693=E$2:E1693)))))-COUNTBLANK(OFFSET(A$1,,,SUMPRODUCT(MAX(ROW(E$1:E1692)*(E2=E$1:E1692))))))</f>
        <v> </v>
      </c>
      <c r="K1693" s="25" t="str">
        <f>IF(OR(E1693="",E1693="!!!",F1693="NEW"),"",INDEX(J$1:J1692,SUMPRODUCT(MAX(ROW(E$1:E1692)*(E1693=E$1:E1692)))))</f>
        <v> </v>
      </c>
      <c r="L1693" s="26"/>
    </row>
    <row r="1694" spans="1:12">
      <c r="A1694" s="20" t="s">
        <v>393</v>
      </c>
      <c r="B1694" s="27" t="s">
        <v>266</v>
      </c>
      <c r="C1694" s="27" t="s">
        <v>256</v>
      </c>
      <c r="D1694" s="27" t="s">
        <v>244</v>
      </c>
      <c r="E1694" s="21">
        <f>IF(D1694="?OLD","!!!","")</f>
        <v/>
      </c>
      <c r="F1694" s="22" t="str">
        <f>IF(OR(E1694="",E1694="!!!"),"",IF(NOT(ISNA(VLOOKUP(E1694,E$1:E1693,1,FALSE()))),"OLD",IF(AND(E1694&lt;&gt;"",E1694&lt;&gt;"!!!"),"NEW","")))</f>
        <v> </v>
      </c>
      <c r="G1694" s="23" t="str">
        <f>IF(OR(E1694="",E1694="!!!"),"",IF(OR(J1694=0,AND(J1694=1,K1694=1),AND(J1694=1,I1694="SBJ"),AND(J1694=1,I1694=0)),"?IN_FOCUS",IF(J1694&lt;=2,"?ACTIVATED",IF(J1694&lt;&gt;"","?FAMILIAR",IF(F1694="NEW",IF(ISNA(VLOOKUP(E1694,#REF!,1,FALSE())),"?TYPE_IDENTIFIABLE","?REFERENTIAL"),"_")))))</f>
        <v> </v>
      </c>
      <c r="H1694" s="24" t="str">
        <f>IF(J1694&lt;&gt;1,"",IF(I1694="SBJ","CB","?"))</f>
        <v> </v>
      </c>
      <c r="I1694" s="25" t="str">
        <f>IF(OR(E1694="",E1694="!!!",F1694="NEW"),"",INDEX(B1693:B$2,-1+SUMPRODUCT(MAX(ROW(E1693:E$2)*(E1694=E1693:E$2)))))</f>
        <v> </v>
      </c>
      <c r="J1694" s="25" t="str">
        <f>IF(OR(E1694="",E1694="!!!",F1694="NEW"),"",COUNTBLANK(OFFSET(A$1,,,SUMPRODUCT(MAX(ROW(E$2:E1694)*(E1694=E$2:E1694)))))-COUNTBLANK(OFFSET(A$1,,,SUMPRODUCT(MAX(ROW(E$1:E1693)*(E2=E$1:E1693))))))</f>
        <v> </v>
      </c>
      <c r="K1694" s="25" t="str">
        <f>IF(OR(E1694="",E1694="!!!",F1694="NEW"),"",INDEX(J$1:J1693,SUMPRODUCT(MAX(ROW(E$1:E1693)*(E1694=E$1:E1693)))))</f>
        <v> </v>
      </c>
      <c r="L1694" s="26"/>
    </row>
    <row r="1695" spans="1:12">
      <c r="A1695" s="20" t="s">
        <v>505</v>
      </c>
      <c r="E1695" s="21">
        <f>IF(D1695="?OLD","!!!","")</f>
        <v/>
      </c>
      <c r="F1695" s="22" t="str">
        <f>IF(OR(E1695="",E1695="!!!"),"",IF(NOT(ISNA(VLOOKUP(E1695,E$1:E1694,1,FALSE()))),"OLD",IF(AND(E1695&lt;&gt;"",E1695&lt;&gt;"!!!"),"NEW","")))</f>
        <v> </v>
      </c>
      <c r="G1695" s="23" t="str">
        <f>IF(OR(E1695="",E1695="!!!"),"",IF(OR(J1695=0,AND(J1695=1,K1695=1),AND(J1695=1,I1695="SBJ"),AND(J1695=1,I1695=0)),"?IN_FOCUS",IF(J1695&lt;=2,"?ACTIVATED",IF(J1695&lt;&gt;"","?FAMILIAR",IF(F1695="NEW",IF(ISNA(VLOOKUP(E1695,#REF!,1,FALSE())),"?TYPE_IDENTIFIABLE","?REFERENTIAL"),"_")))))</f>
        <v> </v>
      </c>
      <c r="H1695" s="24" t="str">
        <f>IF(J1695&lt;&gt;1,"",IF(I1695="SBJ","CB","?"))</f>
        <v> </v>
      </c>
      <c r="I1695" s="25" t="str">
        <f>IF(OR(E1695="",E1695="!!!",F1695="NEW"),"",INDEX(B1694:B$2,-1+SUMPRODUCT(MAX(ROW(E1694:E$2)*(E1695=E1694:E$2)))))</f>
        <v> </v>
      </c>
      <c r="J1695" s="25" t="str">
        <f>IF(OR(E1695="",E1695="!!!",F1695="NEW"),"",COUNTBLANK(OFFSET(A$1,,,SUMPRODUCT(MAX(ROW(E$2:E1695)*(E1695=E$2:E1695)))))-COUNTBLANK(OFFSET(A$1,,,SUMPRODUCT(MAX(ROW(E$1:E1694)*(E2=E$1:E1694))))))</f>
        <v> </v>
      </c>
      <c r="K1695" s="25" t="str">
        <f>IF(OR(E1695="",E1695="!!!",F1695="NEW"),"",INDEX(J$1:J1694,SUMPRODUCT(MAX(ROW(E$1:E1694)*(E1695=E$1:E1694)))))</f>
        <v> </v>
      </c>
      <c r="L1695" s="26"/>
    </row>
    <row r="1696" spans="1:12">
      <c r="A1696" s="20" t="s">
        <v>349</v>
      </c>
      <c r="E1696" s="21">
        <f>IF(D1696="?OLD","!!!","")</f>
        <v/>
      </c>
      <c r="F1696" s="22" t="str">
        <f>IF(OR(E1696="",E1696="!!!"),"",IF(NOT(ISNA(VLOOKUP(E1696,E$1:E1695,1,FALSE()))),"OLD",IF(AND(E1696&lt;&gt;"",E1696&lt;&gt;"!!!"),"NEW","")))</f>
        <v> </v>
      </c>
      <c r="G1696" s="23" t="str">
        <f>IF(OR(E1696="",E1696="!!!"),"",IF(OR(J1696=0,AND(J1696=1,K1696=1),AND(J1696=1,I1696="SBJ"),AND(J1696=1,I1696=0)),"?IN_FOCUS",IF(J1696&lt;=2,"?ACTIVATED",IF(J1696&lt;&gt;"","?FAMILIAR",IF(F1696="NEW",IF(ISNA(VLOOKUP(E1696,#REF!,1,FALSE())),"?TYPE_IDENTIFIABLE","?REFERENTIAL"),"_")))))</f>
        <v> </v>
      </c>
      <c r="H1696" s="24" t="str">
        <f>IF(J1696&lt;&gt;1,"",IF(I1696="SBJ","CB","?"))</f>
        <v> </v>
      </c>
      <c r="I1696" s="25" t="str">
        <f>IF(OR(E1696="",E1696="!!!",F1696="NEW"),"",INDEX(B1695:B$2,-1+SUMPRODUCT(MAX(ROW(E1695:E$2)*(E1696=E1695:E$2)))))</f>
        <v> </v>
      </c>
      <c r="J1696" s="25" t="str">
        <f>IF(OR(E1696="",E1696="!!!",F1696="NEW"),"",COUNTBLANK(OFFSET(A$1,,,SUMPRODUCT(MAX(ROW(E$2:E1696)*(E1696=E$2:E1696)))))-COUNTBLANK(OFFSET(A$1,,,SUMPRODUCT(MAX(ROW(E$1:E1695)*(E2=E$1:E1695))))))</f>
        <v> </v>
      </c>
      <c r="K1696" s="25" t="str">
        <f>IF(OR(E1696="",E1696="!!!",F1696="NEW"),"",INDEX(J$1:J1695,SUMPRODUCT(MAX(ROW(E$1:E1695)*(E1696=E$1:E1695)))))</f>
        <v> </v>
      </c>
      <c r="L1696" s="26"/>
    </row>
    <row r="1697" spans="1:12">
      <c r="A1697" s="20" t="s">
        <v>614</v>
      </c>
      <c r="E1697" s="21">
        <f>IF(D1697="?OLD","!!!","")</f>
        <v/>
      </c>
      <c r="F1697" s="22" t="str">
        <f>IF(OR(E1697="",E1697="!!!"),"",IF(NOT(ISNA(VLOOKUP(E1697,E$1:E1696,1,FALSE()))),"OLD",IF(AND(E1697&lt;&gt;"",E1697&lt;&gt;"!!!"),"NEW","")))</f>
        <v> </v>
      </c>
      <c r="G1697" s="23" t="str">
        <f>IF(OR(E1697="",E1697="!!!"),"",IF(OR(J1697=0,AND(J1697=1,K1697=1),AND(J1697=1,I1697="SBJ"),AND(J1697=1,I1697=0)),"?IN_FOCUS",IF(J1697&lt;=2,"?ACTIVATED",IF(J1697&lt;&gt;"","?FAMILIAR",IF(F1697="NEW",IF(ISNA(VLOOKUP(E1697,#REF!,1,FALSE())),"?TYPE_IDENTIFIABLE","?REFERENTIAL"),"_")))))</f>
        <v> </v>
      </c>
      <c r="H1697" s="24" t="str">
        <f>IF(J1697&lt;&gt;1,"",IF(I1697="SBJ","CB","?"))</f>
        <v> </v>
      </c>
      <c r="I1697" s="25" t="str">
        <f>IF(OR(E1697="",E1697="!!!",F1697="NEW"),"",INDEX(B1696:B$2,-1+SUMPRODUCT(MAX(ROW(E1696:E$2)*(E1697=E1696:E$2)))))</f>
        <v> </v>
      </c>
      <c r="J1697" s="25" t="str">
        <f>IF(OR(E1697="",E1697="!!!",F1697="NEW"),"",COUNTBLANK(OFFSET(A$1,,,SUMPRODUCT(MAX(ROW(E$2:E1697)*(E1697=E$2:E1697)))))-COUNTBLANK(OFFSET(A$1,,,SUMPRODUCT(MAX(ROW(E$1:E1696)*(E2=E$1:E1696))))))</f>
        <v> </v>
      </c>
      <c r="K1697" s="25" t="str">
        <f>IF(OR(E1697="",E1697="!!!",F1697="NEW"),"",INDEX(J$1:J1696,SUMPRODUCT(MAX(ROW(E$1:E1696)*(E1697=E$1:E1696)))))</f>
        <v> </v>
      </c>
      <c r="L1697" s="26"/>
    </row>
    <row r="1698" spans="1:12">
      <c r="A1698" s="20" t="s">
        <v>349</v>
      </c>
      <c r="E1698" s="21">
        <f>IF(D1698="?OLD","!!!","")</f>
        <v/>
      </c>
      <c r="F1698" s="22" t="str">
        <f>IF(OR(E1698="",E1698="!!!"),"",IF(NOT(ISNA(VLOOKUP(E1698,E$1:E1697,1,FALSE()))),"OLD",IF(AND(E1698&lt;&gt;"",E1698&lt;&gt;"!!!"),"NEW","")))</f>
        <v> </v>
      </c>
      <c r="G1698" s="23" t="str">
        <f>IF(OR(E1698="",E1698="!!!"),"",IF(OR(J1698=0,AND(J1698=1,K1698=1),AND(J1698=1,I1698="SBJ"),AND(J1698=1,I1698=0)),"?IN_FOCUS",IF(J1698&lt;=2,"?ACTIVATED",IF(J1698&lt;&gt;"","?FAMILIAR",IF(F1698="NEW",IF(ISNA(VLOOKUP(E1698,#REF!,1,FALSE())),"?TYPE_IDENTIFIABLE","?REFERENTIAL"),"_")))))</f>
        <v> </v>
      </c>
      <c r="H1698" s="24" t="str">
        <f>IF(J1698&lt;&gt;1,"",IF(I1698="SBJ","CB","?"))</f>
        <v> </v>
      </c>
      <c r="I1698" s="25" t="str">
        <f>IF(OR(E1698="",E1698="!!!",F1698="NEW"),"",INDEX(B1697:B$2,-1+SUMPRODUCT(MAX(ROW(E1697:E$2)*(E1698=E1697:E$2)))))</f>
        <v> </v>
      </c>
      <c r="J1698" s="25" t="str">
        <f>IF(OR(E1698="",E1698="!!!",F1698="NEW"),"",COUNTBLANK(OFFSET(A$1,,,SUMPRODUCT(MAX(ROW(E$2:E1698)*(E1698=E$2:E1698)))))-COUNTBLANK(OFFSET(A$1,,,SUMPRODUCT(MAX(ROW(E$1:E1697)*(E2=E$1:E1697))))))</f>
        <v> </v>
      </c>
      <c r="K1698" s="25" t="str">
        <f>IF(OR(E1698="",E1698="!!!",F1698="NEW"),"",INDEX(J$1:J1697,SUMPRODUCT(MAX(ROW(E$1:E1697)*(E1698=E$1:E1697)))))</f>
        <v> </v>
      </c>
      <c r="L1698" s="26"/>
    </row>
    <row r="1699" spans="1:12">
      <c r="A1699" s="20" t="s">
        <v>893</v>
      </c>
      <c r="E1699" s="21">
        <f>IF(D1699="?OLD","!!!","")</f>
        <v/>
      </c>
      <c r="F1699" s="22" t="str">
        <f>IF(OR(E1699="",E1699="!!!"),"",IF(NOT(ISNA(VLOOKUP(E1699,E$1:E1698,1,FALSE()))),"OLD",IF(AND(E1699&lt;&gt;"",E1699&lt;&gt;"!!!"),"NEW","")))</f>
        <v> </v>
      </c>
      <c r="G1699" s="23" t="str">
        <f>IF(OR(E1699="",E1699="!!!"),"",IF(OR(J1699=0,AND(J1699=1,K1699=1),AND(J1699=1,I1699="SBJ"),AND(J1699=1,I1699=0)),"?IN_FOCUS",IF(J1699&lt;=2,"?ACTIVATED",IF(J1699&lt;&gt;"","?FAMILIAR",IF(F1699="NEW",IF(ISNA(VLOOKUP(E1699,#REF!,1,FALSE())),"?TYPE_IDENTIFIABLE","?REFERENTIAL"),"_")))))</f>
        <v> </v>
      </c>
      <c r="H1699" s="24" t="str">
        <f>IF(J1699&lt;&gt;1,"",IF(I1699="SBJ","CB","?"))</f>
        <v> </v>
      </c>
      <c r="I1699" s="25" t="str">
        <f>IF(OR(E1699="",E1699="!!!",F1699="NEW"),"",INDEX(B1698:B$2,-1+SUMPRODUCT(MAX(ROW(E1698:E$2)*(E1699=E1698:E$2)))))</f>
        <v> </v>
      </c>
      <c r="J1699" s="25" t="str">
        <f>IF(OR(E1699="",E1699="!!!",F1699="NEW"),"",COUNTBLANK(OFFSET(A$1,,,SUMPRODUCT(MAX(ROW(E$2:E1699)*(E1699=E$2:E1699)))))-COUNTBLANK(OFFSET(A$1,,,SUMPRODUCT(MAX(ROW(E$1:E1698)*(E2=E$1:E1698))))))</f>
        <v> </v>
      </c>
      <c r="K1699" s="25" t="str">
        <f>IF(OR(E1699="",E1699="!!!",F1699="NEW"),"",INDEX(J$1:J1698,SUMPRODUCT(MAX(ROW(E$1:E1698)*(E1699=E$1:E1698)))))</f>
        <v> </v>
      </c>
      <c r="L1699" s="26"/>
    </row>
    <row r="1700" spans="1:12">
      <c r="A1700" s="20" t="s">
        <v>260</v>
      </c>
      <c r="E1700" s="21">
        <f>IF(D1700="?OLD","!!!","")</f>
        <v/>
      </c>
      <c r="F1700" s="22" t="str">
        <f>IF(OR(E1700="",E1700="!!!"),"",IF(NOT(ISNA(VLOOKUP(E1700,E$1:E1699,1,FALSE()))),"OLD",IF(AND(E1700&lt;&gt;"",E1700&lt;&gt;"!!!"),"NEW","")))</f>
        <v> </v>
      </c>
      <c r="G1700" s="23" t="str">
        <f>IF(OR(E1700="",E1700="!!!"),"",IF(OR(J1700=0,AND(J1700=1,K1700=1),AND(J1700=1,I1700="SBJ"),AND(J1700=1,I1700=0)),"?IN_FOCUS",IF(J1700&lt;=2,"?ACTIVATED",IF(J1700&lt;&gt;"","?FAMILIAR",IF(F1700="NEW",IF(ISNA(VLOOKUP(E1700,#REF!,1,FALSE())),"?TYPE_IDENTIFIABLE","?REFERENTIAL"),"_")))))</f>
        <v> </v>
      </c>
      <c r="H1700" s="24" t="str">
        <f>IF(J1700&lt;&gt;1,"",IF(I1700="SBJ","CB","?"))</f>
        <v> </v>
      </c>
      <c r="I1700" s="25" t="str">
        <f>IF(OR(E1700="",E1700="!!!",F1700="NEW"),"",INDEX(B1699:B$2,-1+SUMPRODUCT(MAX(ROW(E1699:E$2)*(E1700=E1699:E$2)))))</f>
        <v> </v>
      </c>
      <c r="J1700" s="25" t="str">
        <f>IF(OR(E1700="",E1700="!!!",F1700="NEW"),"",COUNTBLANK(OFFSET(A$1,,,SUMPRODUCT(MAX(ROW(E$2:E1700)*(E1700=E$2:E1700)))))-COUNTBLANK(OFFSET(A$1,,,SUMPRODUCT(MAX(ROW(E$1:E1699)*(E2=E$1:E1699))))))</f>
        <v> </v>
      </c>
      <c r="K1700" s="25" t="str">
        <f>IF(OR(E1700="",E1700="!!!",F1700="NEW"),"",INDEX(J$1:J1699,SUMPRODUCT(MAX(ROW(E$1:E1699)*(E1700=E$1:E1699)))))</f>
        <v> </v>
      </c>
      <c r="L1700" s="26"/>
    </row>
    <row r="1701" spans="1:12">
      <c r="A1701" s="20" t="s">
        <v>894</v>
      </c>
      <c r="B1701" s="27" t="s">
        <v>364</v>
      </c>
      <c r="C1701" s="27" t="s">
        <v>334</v>
      </c>
      <c r="D1701" s="27" t="s">
        <v>244</v>
      </c>
      <c r="E1701" s="21">
        <f>IF(D1701="?OLD","!!!","")</f>
        <v/>
      </c>
      <c r="F1701" s="22" t="str">
        <f>IF(OR(E1701="",E1701="!!!"),"",IF(NOT(ISNA(VLOOKUP(E1701,E$1:E1700,1,FALSE()))),"OLD",IF(AND(E1701&lt;&gt;"",E1701&lt;&gt;"!!!"),"NEW","")))</f>
        <v> </v>
      </c>
      <c r="G1701" s="23" t="str">
        <f>IF(OR(E1701="",E1701="!!!"),"",IF(OR(J1701=0,AND(J1701=1,K1701=1),AND(J1701=1,I1701="SBJ"),AND(J1701=1,I1701=0)),"?IN_FOCUS",IF(J1701&lt;=2,"?ACTIVATED",IF(J1701&lt;&gt;"","?FAMILIAR",IF(F1701="NEW",IF(ISNA(VLOOKUP(E1701,#REF!,1,FALSE())),"?TYPE_IDENTIFIABLE","?REFERENTIAL"),"_")))))</f>
        <v> </v>
      </c>
      <c r="H1701" s="24" t="str">
        <f>IF(J1701&lt;&gt;1,"",IF(I1701="SBJ","CB","?"))</f>
        <v> </v>
      </c>
      <c r="I1701" s="25" t="str">
        <f>IF(OR(E1701="",E1701="!!!",F1701="NEW"),"",INDEX(B1700:B$2,-1+SUMPRODUCT(MAX(ROW(E1700:E$2)*(E1701=E1700:E$2)))))</f>
        <v> </v>
      </c>
      <c r="J1701" s="25" t="str">
        <f>IF(OR(E1701="",E1701="!!!",F1701="NEW"),"",COUNTBLANK(OFFSET(A$1,,,SUMPRODUCT(MAX(ROW(E$2:E1701)*(E1701=E$2:E1701)))))-COUNTBLANK(OFFSET(A$1,,,SUMPRODUCT(MAX(ROW(E$1:E1700)*(E2=E$1:E1700))))))</f>
        <v> </v>
      </c>
      <c r="K1701" s="25" t="str">
        <f>IF(OR(E1701="",E1701="!!!",F1701="NEW"),"",INDEX(J$1:J1700,SUMPRODUCT(MAX(ROW(E$1:E1700)*(E1701=E$1:E1700)))))</f>
        <v> </v>
      </c>
      <c r="L1701" s="26"/>
    </row>
    <row r="1702" spans="1:12">
      <c r="A1702" s="20" t="s">
        <v>321</v>
      </c>
      <c r="E1702" s="21">
        <f>IF(D1702="?OLD","!!!","")</f>
        <v/>
      </c>
      <c r="F1702" s="22" t="str">
        <f>IF(OR(E1702="",E1702="!!!"),"",IF(NOT(ISNA(VLOOKUP(E1702,E$1:E1701,1,FALSE()))),"OLD",IF(AND(E1702&lt;&gt;"",E1702&lt;&gt;"!!!"),"NEW","")))</f>
        <v> </v>
      </c>
      <c r="G1702" s="23" t="str">
        <f>IF(OR(E1702="",E1702="!!!"),"",IF(OR(J1702=0,AND(J1702=1,K1702=1),AND(J1702=1,I1702="SBJ"),AND(J1702=1,I1702=0)),"?IN_FOCUS",IF(J1702&lt;=2,"?ACTIVATED",IF(J1702&lt;&gt;"","?FAMILIAR",IF(F1702="NEW",IF(ISNA(VLOOKUP(E1702,#REF!,1,FALSE())),"?TYPE_IDENTIFIABLE","?REFERENTIAL"),"_")))))</f>
        <v> </v>
      </c>
      <c r="H1702" s="24" t="str">
        <f>IF(J1702&lt;&gt;1,"",IF(I1702="SBJ","CB","?"))</f>
        <v> </v>
      </c>
      <c r="I1702" s="25" t="str">
        <f>IF(OR(E1702="",E1702="!!!",F1702="NEW"),"",INDEX(B1701:B$2,-1+SUMPRODUCT(MAX(ROW(E1701:E$2)*(E1702=E1701:E$2)))))</f>
        <v> </v>
      </c>
      <c r="J1702" s="25" t="str">
        <f>IF(OR(E1702="",E1702="!!!",F1702="NEW"),"",COUNTBLANK(OFFSET(A$1,,,SUMPRODUCT(MAX(ROW(E$2:E1702)*(E1702=E$2:E1702)))))-COUNTBLANK(OFFSET(A$1,,,SUMPRODUCT(MAX(ROW(E$1:E1701)*(E2=E$1:E1701))))))</f>
        <v> </v>
      </c>
      <c r="K1702" s="25" t="str">
        <f>IF(OR(E1702="",E1702="!!!",F1702="NEW"),"",INDEX(J$1:J1701,SUMPRODUCT(MAX(ROW(E$1:E1701)*(E1702=E$1:E1701)))))</f>
        <v> </v>
      </c>
      <c r="L1702" s="26"/>
    </row>
    <row r="1703" spans="1:12">
      <c r="A1703" s="20" t="s">
        <v>775</v>
      </c>
      <c r="B1703" s="27" t="s">
        <v>461</v>
      </c>
      <c r="C1703" s="27" t="s">
        <v>263</v>
      </c>
      <c r="D1703" s="27" t="s">
        <v>244</v>
      </c>
      <c r="E1703" s="21">
        <f>IF(D1703="?OLD","!!!","")</f>
        <v/>
      </c>
      <c r="F1703" s="22" t="str">
        <f>IF(OR(E1703="",E1703="!!!"),"",IF(NOT(ISNA(VLOOKUP(E1703,E$1:E1702,1,FALSE()))),"OLD",IF(AND(E1703&lt;&gt;"",E1703&lt;&gt;"!!!"),"NEW","")))</f>
        <v> </v>
      </c>
      <c r="G1703" s="23" t="str">
        <f>IF(OR(E1703="",E1703="!!!"),"",IF(OR(J1703=0,AND(J1703=1,K1703=1),AND(J1703=1,I1703="SBJ"),AND(J1703=1,I1703=0)),"?IN_FOCUS",IF(J1703&lt;=2,"?ACTIVATED",IF(J1703&lt;&gt;"","?FAMILIAR",IF(F1703="NEW",IF(ISNA(VLOOKUP(E1703,#REF!,1,FALSE())),"?TYPE_IDENTIFIABLE","?REFERENTIAL"),"_")))))</f>
        <v> </v>
      </c>
      <c r="H1703" s="24" t="str">
        <f>IF(J1703&lt;&gt;1,"",IF(I1703="SBJ","CB","?"))</f>
        <v> </v>
      </c>
      <c r="I1703" s="25" t="str">
        <f>IF(OR(E1703="",E1703="!!!",F1703="NEW"),"",INDEX(B1702:B$2,-1+SUMPRODUCT(MAX(ROW(E1702:E$2)*(E1703=E1702:E$2)))))</f>
        <v> </v>
      </c>
      <c r="J1703" s="25" t="str">
        <f>IF(OR(E1703="",E1703="!!!",F1703="NEW"),"",COUNTBLANK(OFFSET(A$1,,,SUMPRODUCT(MAX(ROW(E$2:E1703)*(E1703=E$2:E1703)))))-COUNTBLANK(OFFSET(A$1,,,SUMPRODUCT(MAX(ROW(E$1:E1702)*(E2=E$1:E1702))))))</f>
        <v> </v>
      </c>
      <c r="K1703" s="25" t="str">
        <f>IF(OR(E1703="",E1703="!!!",F1703="NEW"),"",INDEX(J$1:J1702,SUMPRODUCT(MAX(ROW(E$1:E1702)*(E1703=E$1:E1702)))))</f>
        <v> </v>
      </c>
      <c r="L1703" s="26"/>
    </row>
    <row r="1704" spans="1:12">
      <c r="A1704" s="20" t="s">
        <v>895</v>
      </c>
      <c r="B1704" s="27" t="s">
        <v>283</v>
      </c>
      <c r="C1704" s="27" t="s">
        <v>267</v>
      </c>
      <c r="D1704" s="27" t="s">
        <v>244</v>
      </c>
      <c r="E1704" s="21">
        <f>IF(D1704="?OLD","!!!","")</f>
        <v/>
      </c>
      <c r="F1704" s="22" t="str">
        <f>IF(OR(E1704="",E1704="!!!"),"",IF(NOT(ISNA(VLOOKUP(E1704,E$1:E1703,1,FALSE()))),"OLD",IF(AND(E1704&lt;&gt;"",E1704&lt;&gt;"!!!"),"NEW","")))</f>
        <v> </v>
      </c>
      <c r="G1704" s="23" t="str">
        <f>IF(OR(E1704="",E1704="!!!"),"",IF(OR(J1704=0,AND(J1704=1,K1704=1),AND(J1704=1,I1704="SBJ"),AND(J1704=1,I1704=0)),"?IN_FOCUS",IF(J1704&lt;=2,"?ACTIVATED",IF(J1704&lt;&gt;"","?FAMILIAR",IF(F1704="NEW",IF(ISNA(VLOOKUP(E1704,#REF!,1,FALSE())),"?TYPE_IDENTIFIABLE","?REFERENTIAL"),"_")))))</f>
        <v> </v>
      </c>
      <c r="H1704" s="24" t="str">
        <f>IF(J1704&lt;&gt;1,"",IF(I1704="SBJ","CB","?"))</f>
        <v> </v>
      </c>
      <c r="I1704" s="25" t="str">
        <f>IF(OR(E1704="",E1704="!!!",F1704="NEW"),"",INDEX(B1703:B$2,-1+SUMPRODUCT(MAX(ROW(E1703:E$2)*(E1704=E1703:E$2)))))</f>
        <v> </v>
      </c>
      <c r="J1704" s="25" t="str">
        <f>IF(OR(E1704="",E1704="!!!",F1704="NEW"),"",COUNTBLANK(OFFSET(A$1,,,SUMPRODUCT(MAX(ROW(E$2:E1704)*(E1704=E$2:E1704)))))-COUNTBLANK(OFFSET(A$1,,,SUMPRODUCT(MAX(ROW(E$1:E1703)*(E2=E$1:E1703))))))</f>
        <v> </v>
      </c>
      <c r="K1704" s="25" t="str">
        <f>IF(OR(E1704="",E1704="!!!",F1704="NEW"),"",INDEX(J$1:J1703,SUMPRODUCT(MAX(ROW(E$1:E1703)*(E1704=E$1:E1703)))))</f>
        <v> </v>
      </c>
      <c r="L1704" s="26"/>
    </row>
    <row r="1705" spans="1:12">
      <c r="A1705" s="20" t="s">
        <v>285</v>
      </c>
      <c r="E1705" s="21">
        <f>IF(D1705="?OLD","!!!","")</f>
        <v/>
      </c>
      <c r="F1705" s="22" t="str">
        <f>IF(OR(E1705="",E1705="!!!"),"",IF(NOT(ISNA(VLOOKUP(E1705,E$1:E1704,1,FALSE()))),"OLD",IF(AND(E1705&lt;&gt;"",E1705&lt;&gt;"!!!"),"NEW","")))</f>
        <v> </v>
      </c>
      <c r="G1705" s="23" t="str">
        <f>IF(OR(E1705="",E1705="!!!"),"",IF(OR(J1705=0,AND(J1705=1,K1705=1),AND(J1705=1,I1705="SBJ"),AND(J1705=1,I1705=0)),"?IN_FOCUS",IF(J1705&lt;=2,"?ACTIVATED",IF(J1705&lt;&gt;"","?FAMILIAR",IF(F1705="NEW",IF(ISNA(VLOOKUP(E1705,#REF!,1,FALSE())),"?TYPE_IDENTIFIABLE","?REFERENTIAL"),"_")))))</f>
        <v> </v>
      </c>
      <c r="H1705" s="24" t="str">
        <f>IF(J1705&lt;&gt;1,"",IF(I1705="SBJ","CB","?"))</f>
        <v> </v>
      </c>
      <c r="I1705" s="25" t="str">
        <f>IF(OR(E1705="",E1705="!!!",F1705="NEW"),"",INDEX(B1704:B$2,-1+SUMPRODUCT(MAX(ROW(E1704:E$2)*(E1705=E1704:E$2)))))</f>
        <v> </v>
      </c>
      <c r="J1705" s="25" t="str">
        <f>IF(OR(E1705="",E1705="!!!",F1705="NEW"),"",COUNTBLANK(OFFSET(A$1,,,SUMPRODUCT(MAX(ROW(E$2:E1705)*(E1705=E$2:E1705)))))-COUNTBLANK(OFFSET(A$1,,,SUMPRODUCT(MAX(ROW(E$1:E1704)*(E2=E$1:E1704))))))</f>
        <v> </v>
      </c>
      <c r="K1705" s="25" t="str">
        <f>IF(OR(E1705="",E1705="!!!",F1705="NEW"),"",INDEX(J$1:J1704,SUMPRODUCT(MAX(ROW(E$1:E1704)*(E1705=E$1:E1704)))))</f>
        <v> </v>
      </c>
      <c r="L1705" s="26"/>
    </row>
    <row r="1706" spans="1:12">
      <c r="A1706" s="20"/>
    </row>
    <row r="1707" spans="1:12">
      <c r="A1707" s="20" t="s">
        <v>896</v>
      </c>
    </row>
    <row r="1708" spans="1:12">
      <c r="A1708" s="20" t="s">
        <v>580</v>
      </c>
      <c r="B1708" s="27" t="s">
        <v>255</v>
      </c>
      <c r="C1708" s="27" t="s">
        <v>256</v>
      </c>
      <c r="D1708" s="27" t="s">
        <v>244</v>
      </c>
      <c r="E1708" s="21">
        <f>IF(D1708="?OLD","!!!","")</f>
        <v/>
      </c>
      <c r="F1708" s="22" t="str">
        <f>IF(OR(E1708="",E1708="!!!"),"",IF(NOT(ISNA(VLOOKUP(E1708,E$1:E1707,1,FALSE()))),"OLD",IF(AND(E1708&lt;&gt;"",E1708&lt;&gt;"!!!"),"NEW","")))</f>
        <v> </v>
      </c>
      <c r="G1708" s="23" t="str">
        <f>IF(OR(E1708="",E1708="!!!"),"",IF(OR(J1708=0,AND(J1708=1,K1708=1),AND(J1708=1,I1708="SBJ"),AND(J1708=1,I1708=0)),"?IN_FOCUS",IF(J1708&lt;=2,"?ACTIVATED",IF(J1708&lt;&gt;"","?FAMILIAR",IF(F1708="NEW",IF(ISNA(VLOOKUP(E1708,#REF!,1,FALSE())),"?TYPE_IDENTIFIABLE","?REFERENTIAL"),"_")))))</f>
        <v> </v>
      </c>
      <c r="H1708" s="24" t="str">
        <f>IF(J1708&lt;&gt;1,"",IF(I1708="SBJ","CB","?"))</f>
        <v> </v>
      </c>
      <c r="I1708" s="25" t="str">
        <f>IF(OR(E1708="",E1708="!!!",F1708="NEW"),"",INDEX(B1707:B$2,-1+SUMPRODUCT(MAX(ROW(E1707:E$2)*(E1708=E1707:E$2)))))</f>
        <v> </v>
      </c>
      <c r="J1708" s="25" t="str">
        <f>IF(OR(E1708="",E1708="!!!",F1708="NEW"),"",COUNTBLANK(OFFSET(A$1,,,SUMPRODUCT(MAX(ROW(E$2:E1708)*(E1708=E$2:E1708)))))-COUNTBLANK(OFFSET(A$1,,,SUMPRODUCT(MAX(ROW(E$1:E1707)*(E2=E$1:E1707))))))</f>
        <v> </v>
      </c>
      <c r="K1708" s="25" t="str">
        <f>IF(OR(E1708="",E1708="!!!",F1708="NEW"),"",INDEX(J$1:J1707,SUMPRODUCT(MAX(ROW(E$1:E1707)*(E1708=E$1:E1707)))))</f>
        <v> </v>
      </c>
      <c r="L1708" s="26"/>
    </row>
    <row r="1709" spans="1:12">
      <c r="A1709" s="20" t="s">
        <v>442</v>
      </c>
      <c r="E1709" s="21">
        <f>IF(D1709="?OLD","!!!","")</f>
        <v/>
      </c>
      <c r="F1709" s="22" t="str">
        <f>IF(OR(E1709="",E1709="!!!"),"",IF(NOT(ISNA(VLOOKUP(E1709,E$1:E1708,1,FALSE()))),"OLD",IF(AND(E1709&lt;&gt;"",E1709&lt;&gt;"!!!"),"NEW","")))</f>
        <v> </v>
      </c>
      <c r="G1709" s="23" t="str">
        <f>IF(OR(E1709="",E1709="!!!"),"",IF(OR(J1709=0,AND(J1709=1,K1709=1),AND(J1709=1,I1709="SBJ"),AND(J1709=1,I1709=0)),"?IN_FOCUS",IF(J1709&lt;=2,"?ACTIVATED",IF(J1709&lt;&gt;"","?FAMILIAR",IF(F1709="NEW",IF(ISNA(VLOOKUP(E1709,#REF!,1,FALSE())),"?TYPE_IDENTIFIABLE","?REFERENTIAL"),"_")))))</f>
        <v> </v>
      </c>
      <c r="H1709" s="24" t="str">
        <f>IF(J1709&lt;&gt;1,"",IF(I1709="SBJ","CB","?"))</f>
        <v> </v>
      </c>
      <c r="I1709" s="25" t="str">
        <f>IF(OR(E1709="",E1709="!!!",F1709="NEW"),"",INDEX(B1708:B$2,-1+SUMPRODUCT(MAX(ROW(E1708:E$2)*(E1709=E1708:E$2)))))</f>
        <v> </v>
      </c>
      <c r="J1709" s="25" t="str">
        <f>IF(OR(E1709="",E1709="!!!",F1709="NEW"),"",COUNTBLANK(OFFSET(A$1,,,SUMPRODUCT(MAX(ROW(E$2:E1709)*(E1709=E$2:E1709)))))-COUNTBLANK(OFFSET(A$1,,,SUMPRODUCT(MAX(ROW(E$1:E1708)*(E2=E$1:E1708))))))</f>
        <v> </v>
      </c>
      <c r="K1709" s="25" t="str">
        <f>IF(OR(E1709="",E1709="!!!",F1709="NEW"),"",INDEX(J$1:J1708,SUMPRODUCT(MAX(ROW(E$1:E1708)*(E1709=E$1:E1708)))))</f>
        <v> </v>
      </c>
      <c r="L1709" s="26"/>
    </row>
    <row r="1710" spans="1:12">
      <c r="A1710" s="20" t="s">
        <v>897</v>
      </c>
      <c r="B1710" s="27" t="s">
        <v>237</v>
      </c>
      <c r="C1710" s="27" t="s">
        <v>243</v>
      </c>
      <c r="D1710" s="27" t="s">
        <v>244</v>
      </c>
      <c r="E1710" s="21">
        <f>IF(D1710="?OLD","!!!","")</f>
        <v/>
      </c>
      <c r="F1710" s="22" t="str">
        <f>IF(OR(E1710="",E1710="!!!"),"",IF(NOT(ISNA(VLOOKUP(E1710,E$1:E1709,1,FALSE()))),"OLD",IF(AND(E1710&lt;&gt;"",E1710&lt;&gt;"!!!"),"NEW","")))</f>
        <v> </v>
      </c>
      <c r="G1710" s="23" t="str">
        <f>IF(OR(E1710="",E1710="!!!"),"",IF(OR(J1710=0,AND(J1710=1,K1710=1),AND(J1710=1,I1710="SBJ"),AND(J1710=1,I1710=0)),"?IN_FOCUS",IF(J1710&lt;=2,"?ACTIVATED",IF(J1710&lt;&gt;"","?FAMILIAR",IF(F1710="NEW",IF(ISNA(VLOOKUP(E1710,#REF!,1,FALSE())),"?TYPE_IDENTIFIABLE","?REFERENTIAL"),"_")))))</f>
        <v> </v>
      </c>
      <c r="H1710" s="24" t="str">
        <f>IF(J1710&lt;&gt;1,"",IF(I1710="SBJ","CB","?"))</f>
        <v> </v>
      </c>
      <c r="I1710" s="25" t="str">
        <f>IF(OR(E1710="",E1710="!!!",F1710="NEW"),"",INDEX(B1709:B$2,-1+SUMPRODUCT(MAX(ROW(E1709:E$2)*(E1710=E1709:E$2)))))</f>
        <v> </v>
      </c>
      <c r="J1710" s="25" t="str">
        <f>IF(OR(E1710="",E1710="!!!",F1710="NEW"),"",COUNTBLANK(OFFSET(A$1,,,SUMPRODUCT(MAX(ROW(E$2:E1710)*(E1710=E$2:E1710)))))-COUNTBLANK(OFFSET(A$1,,,SUMPRODUCT(MAX(ROW(E$1:E1709)*(E2=E$1:E1709))))))</f>
        <v> </v>
      </c>
      <c r="K1710" s="25" t="str">
        <f>IF(OR(E1710="",E1710="!!!",F1710="NEW"),"",INDEX(J$1:J1709,SUMPRODUCT(MAX(ROW(E$1:E1709)*(E1710=E$1:E1709)))))</f>
        <v> </v>
      </c>
      <c r="L1710" s="26"/>
    </row>
    <row r="1711" spans="1:12">
      <c r="A1711" s="20" t="s">
        <v>898</v>
      </c>
      <c r="E1711" s="21">
        <f>IF(D1711="?OLD","!!!","")</f>
        <v/>
      </c>
      <c r="F1711" s="22" t="str">
        <f>IF(OR(E1711="",E1711="!!!"),"",IF(NOT(ISNA(VLOOKUP(E1711,E$1:E1710,1,FALSE()))),"OLD",IF(AND(E1711&lt;&gt;"",E1711&lt;&gt;"!!!"),"NEW","")))</f>
        <v> </v>
      </c>
      <c r="G1711" s="23" t="str">
        <f>IF(OR(E1711="",E1711="!!!"),"",IF(OR(J1711=0,AND(J1711=1,K1711=1),AND(J1711=1,I1711="SBJ"),AND(J1711=1,I1711=0)),"?IN_FOCUS",IF(J1711&lt;=2,"?ACTIVATED",IF(J1711&lt;&gt;"","?FAMILIAR",IF(F1711="NEW",IF(ISNA(VLOOKUP(E1711,#REF!,1,FALSE())),"?TYPE_IDENTIFIABLE","?REFERENTIAL"),"_")))))</f>
        <v> </v>
      </c>
      <c r="H1711" s="24" t="str">
        <f>IF(J1711&lt;&gt;1,"",IF(I1711="SBJ","CB","?"))</f>
        <v> </v>
      </c>
      <c r="I1711" s="25" t="str">
        <f>IF(OR(E1711="",E1711="!!!",F1711="NEW"),"",INDEX(B1710:B$2,-1+SUMPRODUCT(MAX(ROW(E1710:E$2)*(E1711=E1710:E$2)))))</f>
        <v> </v>
      </c>
      <c r="J1711" s="25" t="str">
        <f>IF(OR(E1711="",E1711="!!!",F1711="NEW"),"",COUNTBLANK(OFFSET(A$1,,,SUMPRODUCT(MAX(ROW(E$2:E1711)*(E1711=E$2:E1711)))))-COUNTBLANK(OFFSET(A$1,,,SUMPRODUCT(MAX(ROW(E$1:E1710)*(E2=E$1:E1710))))))</f>
        <v> </v>
      </c>
      <c r="K1711" s="25" t="str">
        <f>IF(OR(E1711="",E1711="!!!",F1711="NEW"),"",INDEX(J$1:J1710,SUMPRODUCT(MAX(ROW(E$1:E1710)*(E1711=E$1:E1710)))))</f>
        <v> </v>
      </c>
      <c r="L1711" s="26"/>
    </row>
    <row r="1712" spans="1:12">
      <c r="A1712" s="20" t="s">
        <v>11</v>
      </c>
      <c r="E1712" s="21">
        <f>IF(D1712="?OLD","!!!","")</f>
        <v/>
      </c>
      <c r="F1712" s="22" t="str">
        <f>IF(OR(E1712="",E1712="!!!"),"",IF(NOT(ISNA(VLOOKUP(E1712,E$1:E1711,1,FALSE()))),"OLD",IF(AND(E1712&lt;&gt;"",E1712&lt;&gt;"!!!"),"NEW","")))</f>
        <v> </v>
      </c>
      <c r="G1712" s="23" t="str">
        <f>IF(OR(E1712="",E1712="!!!"),"",IF(OR(J1712=0,AND(J1712=1,K1712=1),AND(J1712=1,I1712="SBJ"),AND(J1712=1,I1712=0)),"?IN_FOCUS",IF(J1712&lt;=2,"?ACTIVATED",IF(J1712&lt;&gt;"","?FAMILIAR",IF(F1712="NEW",IF(ISNA(VLOOKUP(E1712,#REF!,1,FALSE())),"?TYPE_IDENTIFIABLE","?REFERENTIAL"),"_")))))</f>
        <v> </v>
      </c>
      <c r="H1712" s="24" t="str">
        <f>IF(J1712&lt;&gt;1,"",IF(I1712="SBJ","CB","?"))</f>
        <v> </v>
      </c>
      <c r="I1712" s="25" t="str">
        <f>IF(OR(E1712="",E1712="!!!",F1712="NEW"),"",INDEX(B1711:B$2,-1+SUMPRODUCT(MAX(ROW(E1711:E$2)*(E1712=E1711:E$2)))))</f>
        <v> </v>
      </c>
      <c r="J1712" s="25" t="str">
        <f>IF(OR(E1712="",E1712="!!!",F1712="NEW"),"",COUNTBLANK(OFFSET(A$1,,,SUMPRODUCT(MAX(ROW(E$2:E1712)*(E1712=E$2:E1712)))))-COUNTBLANK(OFFSET(A$1,,,SUMPRODUCT(MAX(ROW(E$1:E1711)*(E2=E$1:E1711))))))</f>
        <v> </v>
      </c>
      <c r="K1712" s="25" t="str">
        <f>IF(OR(E1712="",E1712="!!!",F1712="NEW"),"",INDEX(J$1:J1711,SUMPRODUCT(MAX(ROW(E$1:E1711)*(E1712=E$1:E1711)))))</f>
        <v> </v>
      </c>
      <c r="L1712" s="26"/>
    </row>
    <row r="1713" spans="1:12">
      <c r="A1713" s="20" t="s">
        <v>899</v>
      </c>
      <c r="E1713" s="21">
        <f>IF(D1713="?OLD","!!!","")</f>
        <v/>
      </c>
      <c r="F1713" s="22" t="str">
        <f>IF(OR(E1713="",E1713="!!!"),"",IF(NOT(ISNA(VLOOKUP(E1713,E$1:E1712,1,FALSE()))),"OLD",IF(AND(E1713&lt;&gt;"",E1713&lt;&gt;"!!!"),"NEW","")))</f>
        <v> </v>
      </c>
      <c r="G1713" s="23" t="str">
        <f>IF(OR(E1713="",E1713="!!!"),"",IF(OR(J1713=0,AND(J1713=1,K1713=1),AND(J1713=1,I1713="SBJ"),AND(J1713=1,I1713=0)),"?IN_FOCUS",IF(J1713&lt;=2,"?ACTIVATED",IF(J1713&lt;&gt;"","?FAMILIAR",IF(F1713="NEW",IF(ISNA(VLOOKUP(E1713,#REF!,1,FALSE())),"?TYPE_IDENTIFIABLE","?REFERENTIAL"),"_")))))</f>
        <v> </v>
      </c>
      <c r="H1713" s="24" t="str">
        <f>IF(J1713&lt;&gt;1,"",IF(I1713="SBJ","CB","?"))</f>
        <v> </v>
      </c>
      <c r="I1713" s="25" t="str">
        <f>IF(OR(E1713="",E1713="!!!",F1713="NEW"),"",INDEX(B1712:B$2,-1+SUMPRODUCT(MAX(ROW(E1712:E$2)*(E1713=E1712:E$2)))))</f>
        <v> </v>
      </c>
      <c r="J1713" s="25" t="str">
        <f>IF(OR(E1713="",E1713="!!!",F1713="NEW"),"",COUNTBLANK(OFFSET(A$1,,,SUMPRODUCT(MAX(ROW(E$2:E1713)*(E1713=E$2:E1713)))))-COUNTBLANK(OFFSET(A$1,,,SUMPRODUCT(MAX(ROW(E$1:E1712)*(E2=E$1:E1712))))))</f>
        <v> </v>
      </c>
      <c r="K1713" s="25" t="str">
        <f>IF(OR(E1713="",E1713="!!!",F1713="NEW"),"",INDEX(J$1:J1712,SUMPRODUCT(MAX(ROW(E$1:E1712)*(E1713=E$1:E1712)))))</f>
        <v> </v>
      </c>
      <c r="L1713" s="26"/>
    </row>
    <row r="1714" spans="1:12">
      <c r="A1714" s="20" t="s">
        <v>305</v>
      </c>
      <c r="E1714" s="21">
        <f>IF(D1714="?OLD","!!!","")</f>
        <v/>
      </c>
      <c r="F1714" s="22" t="str">
        <f>IF(OR(E1714="",E1714="!!!"),"",IF(NOT(ISNA(VLOOKUP(E1714,E$1:E1713,1,FALSE()))),"OLD",IF(AND(E1714&lt;&gt;"",E1714&lt;&gt;"!!!"),"NEW","")))</f>
        <v> </v>
      </c>
      <c r="G1714" s="23" t="str">
        <f>IF(OR(E1714="",E1714="!!!"),"",IF(OR(J1714=0,AND(J1714=1,K1714=1),AND(J1714=1,I1714="SBJ"),AND(J1714=1,I1714=0)),"?IN_FOCUS",IF(J1714&lt;=2,"?ACTIVATED",IF(J1714&lt;&gt;"","?FAMILIAR",IF(F1714="NEW",IF(ISNA(VLOOKUP(E1714,#REF!,1,FALSE())),"?TYPE_IDENTIFIABLE","?REFERENTIAL"),"_")))))</f>
        <v> </v>
      </c>
      <c r="H1714" s="24" t="str">
        <f>IF(J1714&lt;&gt;1,"",IF(I1714="SBJ","CB","?"))</f>
        <v> </v>
      </c>
      <c r="I1714" s="25" t="str">
        <f>IF(OR(E1714="",E1714="!!!",F1714="NEW"),"",INDEX(B1713:B$2,-1+SUMPRODUCT(MAX(ROW(E1713:E$2)*(E1714=E1713:E$2)))))</f>
        <v> </v>
      </c>
      <c r="J1714" s="25" t="str">
        <f>IF(OR(E1714="",E1714="!!!",F1714="NEW"),"",COUNTBLANK(OFFSET(A$1,,,SUMPRODUCT(MAX(ROW(E$2:E1714)*(E1714=E$2:E1714)))))-COUNTBLANK(OFFSET(A$1,,,SUMPRODUCT(MAX(ROW(E$1:E1713)*(E2=E$1:E1713))))))</f>
        <v> </v>
      </c>
      <c r="K1714" s="25" t="str">
        <f>IF(OR(E1714="",E1714="!!!",F1714="NEW"),"",INDEX(J$1:J1713,SUMPRODUCT(MAX(ROW(E$1:E1713)*(E1714=E$1:E1713)))))</f>
        <v> </v>
      </c>
      <c r="L1714" s="26"/>
    </row>
    <row r="1715" spans="1:12">
      <c r="A1715" s="20" t="s">
        <v>513</v>
      </c>
      <c r="B1715" s="27" t="s">
        <v>295</v>
      </c>
      <c r="E1715" s="21">
        <f>IF(D1715="?OLD","!!!","")</f>
        <v/>
      </c>
      <c r="F1715" s="22" t="str">
        <f>IF(OR(E1715="",E1715="!!!"),"",IF(NOT(ISNA(VLOOKUP(E1715,E$1:E1714,1,FALSE()))),"OLD",IF(AND(E1715&lt;&gt;"",E1715&lt;&gt;"!!!"),"NEW","")))</f>
        <v> </v>
      </c>
      <c r="G1715" s="23" t="str">
        <f>IF(OR(E1715="",E1715="!!!"),"",IF(OR(J1715=0,AND(J1715=1,K1715=1),AND(J1715=1,I1715="SBJ"),AND(J1715=1,I1715=0)),"?IN_FOCUS",IF(J1715&lt;=2,"?ACTIVATED",IF(J1715&lt;&gt;"","?FAMILIAR",IF(F1715="NEW",IF(ISNA(VLOOKUP(E1715,#REF!,1,FALSE())),"?TYPE_IDENTIFIABLE","?REFERENTIAL"),"_")))))</f>
        <v> </v>
      </c>
      <c r="H1715" s="24" t="str">
        <f>IF(J1715&lt;&gt;1,"",IF(I1715="SBJ","CB","?"))</f>
        <v> </v>
      </c>
      <c r="I1715" s="25" t="str">
        <f>IF(OR(E1715="",E1715="!!!",F1715="NEW"),"",INDEX(B1714:B$2,-1+SUMPRODUCT(MAX(ROW(E1714:E$2)*(E1715=E1714:E$2)))))</f>
        <v> </v>
      </c>
      <c r="J1715" s="25" t="str">
        <f>IF(OR(E1715="",E1715="!!!",F1715="NEW"),"",COUNTBLANK(OFFSET(A$1,,,SUMPRODUCT(MAX(ROW(E$2:E1715)*(E1715=E$2:E1715)))))-COUNTBLANK(OFFSET(A$1,,,SUMPRODUCT(MAX(ROW(E$1:E1714)*(E2=E$1:E1714))))))</f>
        <v> </v>
      </c>
      <c r="K1715" s="25" t="str">
        <f>IF(OR(E1715="",E1715="!!!",F1715="NEW"),"",INDEX(J$1:J1714,SUMPRODUCT(MAX(ROW(E$1:E1714)*(E1715=E$1:E1714)))))</f>
        <v> </v>
      </c>
      <c r="L1715" s="26"/>
    </row>
    <row r="1716" spans="1:12">
      <c r="A1716" s="20" t="s">
        <v>321</v>
      </c>
      <c r="E1716" s="21">
        <f>IF(D1716="?OLD","!!!","")</f>
        <v/>
      </c>
      <c r="F1716" s="22" t="str">
        <f>IF(OR(E1716="",E1716="!!!"),"",IF(NOT(ISNA(VLOOKUP(E1716,E$1:E1715,1,FALSE()))),"OLD",IF(AND(E1716&lt;&gt;"",E1716&lt;&gt;"!!!"),"NEW","")))</f>
        <v> </v>
      </c>
      <c r="G1716" s="23" t="str">
        <f>IF(OR(E1716="",E1716="!!!"),"",IF(OR(J1716=0,AND(J1716=1,K1716=1),AND(J1716=1,I1716="SBJ"),AND(J1716=1,I1716=0)),"?IN_FOCUS",IF(J1716&lt;=2,"?ACTIVATED",IF(J1716&lt;&gt;"","?FAMILIAR",IF(F1716="NEW",IF(ISNA(VLOOKUP(E1716,#REF!,1,FALSE())),"?TYPE_IDENTIFIABLE","?REFERENTIAL"),"_")))))</f>
        <v> </v>
      </c>
      <c r="H1716" s="24" t="str">
        <f>IF(J1716&lt;&gt;1,"",IF(I1716="SBJ","CB","?"))</f>
        <v> </v>
      </c>
      <c r="I1716" s="25" t="str">
        <f>IF(OR(E1716="",E1716="!!!",F1716="NEW"),"",INDEX(B1715:B$2,-1+SUMPRODUCT(MAX(ROW(E1715:E$2)*(E1716=E1715:E$2)))))</f>
        <v> </v>
      </c>
      <c r="J1716" s="25" t="str">
        <f>IF(OR(E1716="",E1716="!!!",F1716="NEW"),"",COUNTBLANK(OFFSET(A$1,,,SUMPRODUCT(MAX(ROW(E$2:E1716)*(E1716=E$2:E1716)))))-COUNTBLANK(OFFSET(A$1,,,SUMPRODUCT(MAX(ROW(E$1:E1715)*(E2=E$1:E1715))))))</f>
        <v> </v>
      </c>
      <c r="K1716" s="25" t="str">
        <f>IF(OR(E1716="",E1716="!!!",F1716="NEW"),"",INDEX(J$1:J1715,SUMPRODUCT(MAX(ROW(E$1:E1715)*(E1716=E$1:E1715)))))</f>
        <v> </v>
      </c>
      <c r="L1716" s="26"/>
    </row>
    <row r="1717" spans="1:12">
      <c r="A1717" s="20" t="s">
        <v>900</v>
      </c>
      <c r="B1717" s="27" t="s">
        <v>272</v>
      </c>
      <c r="C1717" s="27" t="s">
        <v>243</v>
      </c>
      <c r="D1717" s="27" t="s">
        <v>244</v>
      </c>
      <c r="E1717" s="21">
        <f>IF(D1717="?OLD","!!!","")</f>
        <v/>
      </c>
      <c r="F1717" s="22" t="str">
        <f>IF(OR(E1717="",E1717="!!!"),"",IF(NOT(ISNA(VLOOKUP(E1717,E$1:E1716,1,FALSE()))),"OLD",IF(AND(E1717&lt;&gt;"",E1717&lt;&gt;"!!!"),"NEW","")))</f>
        <v> </v>
      </c>
      <c r="G1717" s="23" t="str">
        <f>IF(OR(E1717="",E1717="!!!"),"",IF(OR(J1717=0,AND(J1717=1,K1717=1),AND(J1717=1,I1717="SBJ"),AND(J1717=1,I1717=0)),"?IN_FOCUS",IF(J1717&lt;=2,"?ACTIVATED",IF(J1717&lt;&gt;"","?FAMILIAR",IF(F1717="NEW",IF(ISNA(VLOOKUP(E1717,#REF!,1,FALSE())),"?TYPE_IDENTIFIABLE","?REFERENTIAL"),"_")))))</f>
        <v> </v>
      </c>
      <c r="H1717" s="24" t="str">
        <f>IF(J1717&lt;&gt;1,"",IF(I1717="SBJ","CB","?"))</f>
        <v> </v>
      </c>
      <c r="I1717" s="25" t="str">
        <f>IF(OR(E1717="",E1717="!!!",F1717="NEW"),"",INDEX(B1716:B$2,-1+SUMPRODUCT(MAX(ROW(E1716:E$2)*(E1717=E1716:E$2)))))</f>
        <v> </v>
      </c>
      <c r="J1717" s="25" t="str">
        <f>IF(OR(E1717="",E1717="!!!",F1717="NEW"),"",COUNTBLANK(OFFSET(A$1,,,SUMPRODUCT(MAX(ROW(E$2:E1717)*(E1717=E$2:E1717)))))-COUNTBLANK(OFFSET(A$1,,,SUMPRODUCT(MAX(ROW(E$1:E1716)*(E2=E$1:E1716))))))</f>
        <v> </v>
      </c>
      <c r="K1717" s="25" t="str">
        <f>IF(OR(E1717="",E1717="!!!",F1717="NEW"),"",INDEX(J$1:J1716,SUMPRODUCT(MAX(ROW(E$1:E1716)*(E1717=E$1:E1716)))))</f>
        <v> </v>
      </c>
      <c r="L1717" s="26"/>
    </row>
    <row r="1718" spans="1:12">
      <c r="A1718" s="20" t="s">
        <v>901</v>
      </c>
      <c r="E1718" s="21">
        <f>IF(D1718="?OLD","!!!","")</f>
        <v/>
      </c>
      <c r="F1718" s="22" t="str">
        <f>IF(OR(E1718="",E1718="!!!"),"",IF(NOT(ISNA(VLOOKUP(E1718,E$1:E1717,1,FALSE()))),"OLD",IF(AND(E1718&lt;&gt;"",E1718&lt;&gt;"!!!"),"NEW","")))</f>
        <v> </v>
      </c>
      <c r="G1718" s="23" t="str">
        <f>IF(OR(E1718="",E1718="!!!"),"",IF(OR(J1718=0,AND(J1718=1,K1718=1),AND(J1718=1,I1718="SBJ"),AND(J1718=1,I1718=0)),"?IN_FOCUS",IF(J1718&lt;=2,"?ACTIVATED",IF(J1718&lt;&gt;"","?FAMILIAR",IF(F1718="NEW",IF(ISNA(VLOOKUP(E1718,#REF!,1,FALSE())),"?TYPE_IDENTIFIABLE","?REFERENTIAL"),"_")))))</f>
        <v> </v>
      </c>
      <c r="H1718" s="24" t="str">
        <f>IF(J1718&lt;&gt;1,"",IF(I1718="SBJ","CB","?"))</f>
        <v> </v>
      </c>
      <c r="I1718" s="25" t="str">
        <f>IF(OR(E1718="",E1718="!!!",F1718="NEW"),"",INDEX(B1717:B$2,-1+SUMPRODUCT(MAX(ROW(E1717:E$2)*(E1718=E1717:E$2)))))</f>
        <v> </v>
      </c>
      <c r="J1718" s="25" t="str">
        <f>IF(OR(E1718="",E1718="!!!",F1718="NEW"),"",COUNTBLANK(OFFSET(A$1,,,SUMPRODUCT(MAX(ROW(E$2:E1718)*(E1718=E$2:E1718)))))-COUNTBLANK(OFFSET(A$1,,,SUMPRODUCT(MAX(ROW(E$1:E1717)*(E2=E$1:E1717))))))</f>
        <v> </v>
      </c>
      <c r="K1718" s="25" t="str">
        <f>IF(OR(E1718="",E1718="!!!",F1718="NEW"),"",INDEX(J$1:J1717,SUMPRODUCT(MAX(ROW(E$1:E1717)*(E1718=E$1:E1717)))))</f>
        <v> </v>
      </c>
      <c r="L1718" s="26"/>
    </row>
    <row r="1719" spans="1:12">
      <c r="A1719" s="20" t="s">
        <v>902</v>
      </c>
      <c r="E1719" s="21">
        <f>IF(D1719="?OLD","!!!","")</f>
        <v/>
      </c>
      <c r="F1719" s="22" t="str">
        <f>IF(OR(E1719="",E1719="!!!"),"",IF(NOT(ISNA(VLOOKUP(E1719,E$1:E1718,1,FALSE()))),"OLD",IF(AND(E1719&lt;&gt;"",E1719&lt;&gt;"!!!"),"NEW","")))</f>
        <v> </v>
      </c>
      <c r="G1719" s="23" t="str">
        <f>IF(OR(E1719="",E1719="!!!"),"",IF(OR(J1719=0,AND(J1719=1,K1719=1),AND(J1719=1,I1719="SBJ"),AND(J1719=1,I1719=0)),"?IN_FOCUS",IF(J1719&lt;=2,"?ACTIVATED",IF(J1719&lt;&gt;"","?FAMILIAR",IF(F1719="NEW",IF(ISNA(VLOOKUP(E1719,#REF!,1,FALSE())),"?TYPE_IDENTIFIABLE","?REFERENTIAL"),"_")))))</f>
        <v> </v>
      </c>
      <c r="H1719" s="24" t="str">
        <f>IF(J1719&lt;&gt;1,"",IF(I1719="SBJ","CB","?"))</f>
        <v> </v>
      </c>
      <c r="I1719" s="25" t="str">
        <f>IF(OR(E1719="",E1719="!!!",F1719="NEW"),"",INDEX(B1718:B$2,-1+SUMPRODUCT(MAX(ROW(E1718:E$2)*(E1719=E1718:E$2)))))</f>
        <v> </v>
      </c>
      <c r="J1719" s="25" t="str">
        <f>IF(OR(E1719="",E1719="!!!",F1719="NEW"),"",COUNTBLANK(OFFSET(A$1,,,SUMPRODUCT(MAX(ROW(E$2:E1719)*(E1719=E$2:E1719)))))-COUNTBLANK(OFFSET(A$1,,,SUMPRODUCT(MAX(ROW(E$1:E1718)*(E2=E$1:E1718))))))</f>
        <v> </v>
      </c>
      <c r="K1719" s="25" t="str">
        <f>IF(OR(E1719="",E1719="!!!",F1719="NEW"),"",INDEX(J$1:J1718,SUMPRODUCT(MAX(ROW(E$1:E1718)*(E1719=E$1:E1718)))))</f>
        <v> </v>
      </c>
      <c r="L1719" s="26"/>
    </row>
    <row r="1720" spans="1:12">
      <c r="A1720" s="20" t="s">
        <v>248</v>
      </c>
      <c r="E1720" s="21">
        <f>IF(D1720="?OLD","!!!","")</f>
        <v/>
      </c>
      <c r="F1720" s="22" t="str">
        <f>IF(OR(E1720="",E1720="!!!"),"",IF(NOT(ISNA(VLOOKUP(E1720,E$1:E1719,1,FALSE()))),"OLD",IF(AND(E1720&lt;&gt;"",E1720&lt;&gt;"!!!"),"NEW","")))</f>
        <v> </v>
      </c>
      <c r="G1720" s="23" t="str">
        <f>IF(OR(E1720="",E1720="!!!"),"",IF(OR(J1720=0,AND(J1720=1,K1720=1),AND(J1720=1,I1720="SBJ"),AND(J1720=1,I1720=0)),"?IN_FOCUS",IF(J1720&lt;=2,"?ACTIVATED",IF(J1720&lt;&gt;"","?FAMILIAR",IF(F1720="NEW",IF(ISNA(VLOOKUP(E1720,#REF!,1,FALSE())),"?TYPE_IDENTIFIABLE","?REFERENTIAL"),"_")))))</f>
        <v> </v>
      </c>
      <c r="H1720" s="24" t="str">
        <f>IF(J1720&lt;&gt;1,"",IF(I1720="SBJ","CB","?"))</f>
        <v> </v>
      </c>
      <c r="I1720" s="25" t="str">
        <f>IF(OR(E1720="",E1720="!!!",F1720="NEW"),"",INDEX(B1719:B$2,-1+SUMPRODUCT(MAX(ROW(E1719:E$2)*(E1720=E1719:E$2)))))</f>
        <v> </v>
      </c>
      <c r="J1720" s="25" t="str">
        <f>IF(OR(E1720="",E1720="!!!",F1720="NEW"),"",COUNTBLANK(OFFSET(A$1,,,SUMPRODUCT(MAX(ROW(E$2:E1720)*(E1720=E$2:E1720)))))-COUNTBLANK(OFFSET(A$1,,,SUMPRODUCT(MAX(ROW(E$1:E1719)*(E2=E$1:E1719))))))</f>
        <v> </v>
      </c>
      <c r="K1720" s="25" t="str">
        <f>IF(OR(E1720="",E1720="!!!",F1720="NEW"),"",INDEX(J$1:J1719,SUMPRODUCT(MAX(ROW(E$1:E1719)*(E1720=E$1:E1719)))))</f>
        <v> </v>
      </c>
      <c r="L1720" s="26"/>
    </row>
    <row r="1721" spans="1:12">
      <c r="A1721" s="20" t="s">
        <v>903</v>
      </c>
      <c r="B1721" s="27" t="s">
        <v>381</v>
      </c>
      <c r="C1721" s="27" t="s">
        <v>252</v>
      </c>
      <c r="D1721" s="27" t="s">
        <v>244</v>
      </c>
      <c r="E1721" s="21">
        <f>IF(D1721="?OLD","!!!","")</f>
        <v/>
      </c>
      <c r="F1721" s="22" t="str">
        <f>IF(OR(E1721="",E1721="!!!"),"",IF(NOT(ISNA(VLOOKUP(E1721,E$1:E1720,1,FALSE()))),"OLD",IF(AND(E1721&lt;&gt;"",E1721&lt;&gt;"!!!"),"NEW","")))</f>
        <v> </v>
      </c>
      <c r="G1721" s="23" t="str">
        <f>IF(OR(E1721="",E1721="!!!"),"",IF(OR(J1721=0,AND(J1721=1,K1721=1),AND(J1721=1,I1721="SBJ"),AND(J1721=1,I1721=0)),"?IN_FOCUS",IF(J1721&lt;=2,"?ACTIVATED",IF(J1721&lt;&gt;"","?FAMILIAR",IF(F1721="NEW",IF(ISNA(VLOOKUP(E1721,#REF!,1,FALSE())),"?TYPE_IDENTIFIABLE","?REFERENTIAL"),"_")))))</f>
        <v> </v>
      </c>
      <c r="H1721" s="24" t="str">
        <f>IF(J1721&lt;&gt;1,"",IF(I1721="SBJ","CB","?"))</f>
        <v> </v>
      </c>
      <c r="I1721" s="25" t="str">
        <f>IF(OR(E1721="",E1721="!!!",F1721="NEW"),"",INDEX(B1720:B$2,-1+SUMPRODUCT(MAX(ROW(E1720:E$2)*(E1721=E1720:E$2)))))</f>
        <v> </v>
      </c>
      <c r="J1721" s="25" t="str">
        <f>IF(OR(E1721="",E1721="!!!",F1721="NEW"),"",COUNTBLANK(OFFSET(A$1,,,SUMPRODUCT(MAX(ROW(E$2:E1721)*(E1721=E$2:E1721)))))-COUNTBLANK(OFFSET(A$1,,,SUMPRODUCT(MAX(ROW(E$1:E1720)*(E2=E$1:E1720))))))</f>
        <v> </v>
      </c>
      <c r="K1721" s="25" t="str">
        <f>IF(OR(E1721="",E1721="!!!",F1721="NEW"),"",INDEX(J$1:J1720,SUMPRODUCT(MAX(ROW(E$1:E1720)*(E1721=E$1:E1720)))))</f>
        <v> </v>
      </c>
      <c r="L1721" s="26"/>
    </row>
    <row r="1722" spans="1:12">
      <c r="A1722" s="20" t="s">
        <v>321</v>
      </c>
      <c r="E1722" s="21">
        <f>IF(D1722="?OLD","!!!","")</f>
        <v/>
      </c>
      <c r="F1722" s="22" t="str">
        <f>IF(OR(E1722="",E1722="!!!"),"",IF(NOT(ISNA(VLOOKUP(E1722,E$1:E1721,1,FALSE()))),"OLD",IF(AND(E1722&lt;&gt;"",E1722&lt;&gt;"!!!"),"NEW","")))</f>
        <v> </v>
      </c>
      <c r="G1722" s="23" t="str">
        <f>IF(OR(E1722="",E1722="!!!"),"",IF(OR(J1722=0,AND(J1722=1,K1722=1),AND(J1722=1,I1722="SBJ"),AND(J1722=1,I1722=0)),"?IN_FOCUS",IF(J1722&lt;=2,"?ACTIVATED",IF(J1722&lt;&gt;"","?FAMILIAR",IF(F1722="NEW",IF(ISNA(VLOOKUP(E1722,#REF!,1,FALSE())),"?TYPE_IDENTIFIABLE","?REFERENTIAL"),"_")))))</f>
        <v> </v>
      </c>
      <c r="H1722" s="24" t="str">
        <f>IF(J1722&lt;&gt;1,"",IF(I1722="SBJ","CB","?"))</f>
        <v> </v>
      </c>
      <c r="I1722" s="25" t="str">
        <f>IF(OR(E1722="",E1722="!!!",F1722="NEW"),"",INDEX(B1721:B$2,-1+SUMPRODUCT(MAX(ROW(E1721:E$2)*(E1722=E1721:E$2)))))</f>
        <v> </v>
      </c>
      <c r="J1722" s="25" t="str">
        <f>IF(OR(E1722="",E1722="!!!",F1722="NEW"),"",COUNTBLANK(OFFSET(A$1,,,SUMPRODUCT(MAX(ROW(E$2:E1722)*(E1722=E$2:E1722)))))-COUNTBLANK(OFFSET(A$1,,,SUMPRODUCT(MAX(ROW(E$1:E1721)*(E2=E$1:E1721))))))</f>
        <v> </v>
      </c>
      <c r="K1722" s="25" t="str">
        <f>IF(OR(E1722="",E1722="!!!",F1722="NEW"),"",INDEX(J$1:J1721,SUMPRODUCT(MAX(ROW(E$1:E1721)*(E1722=E$1:E1721)))))</f>
        <v> </v>
      </c>
      <c r="L1722" s="26"/>
    </row>
    <row r="1723" spans="1:12">
      <c r="A1723" s="20" t="s">
        <v>248</v>
      </c>
      <c r="E1723" s="21">
        <f>IF(D1723="?OLD","!!!","")</f>
        <v/>
      </c>
      <c r="F1723" s="22" t="str">
        <f>IF(OR(E1723="",E1723="!!!"),"",IF(NOT(ISNA(VLOOKUP(E1723,E$1:E1722,1,FALSE()))),"OLD",IF(AND(E1723&lt;&gt;"",E1723&lt;&gt;"!!!"),"NEW","")))</f>
        <v> </v>
      </c>
      <c r="G1723" s="23" t="str">
        <f>IF(OR(E1723="",E1723="!!!"),"",IF(OR(J1723=0,AND(J1723=1,K1723=1),AND(J1723=1,I1723="SBJ"),AND(J1723=1,I1723=0)),"?IN_FOCUS",IF(J1723&lt;=2,"?ACTIVATED",IF(J1723&lt;&gt;"","?FAMILIAR",IF(F1723="NEW",IF(ISNA(VLOOKUP(E1723,#REF!,1,FALSE())),"?TYPE_IDENTIFIABLE","?REFERENTIAL"),"_")))))</f>
        <v> </v>
      </c>
      <c r="H1723" s="24" t="str">
        <f>IF(J1723&lt;&gt;1,"",IF(I1723="SBJ","CB","?"))</f>
        <v> </v>
      </c>
      <c r="I1723" s="25" t="str">
        <f>IF(OR(E1723="",E1723="!!!",F1723="NEW"),"",INDEX(B1722:B$2,-1+SUMPRODUCT(MAX(ROW(E1722:E$2)*(E1723=E1722:E$2)))))</f>
        <v> </v>
      </c>
      <c r="J1723" s="25" t="str">
        <f>IF(OR(E1723="",E1723="!!!",F1723="NEW"),"",COUNTBLANK(OFFSET(A$1,,,SUMPRODUCT(MAX(ROW(E$2:E1723)*(E1723=E$2:E1723)))))-COUNTBLANK(OFFSET(A$1,,,SUMPRODUCT(MAX(ROW(E$1:E1722)*(E2=E$1:E1722))))))</f>
        <v> </v>
      </c>
      <c r="K1723" s="25" t="str">
        <f>IF(OR(E1723="",E1723="!!!",F1723="NEW"),"",INDEX(J$1:J1722,SUMPRODUCT(MAX(ROW(E$1:E1722)*(E1723=E$1:E1722)))))</f>
        <v> </v>
      </c>
      <c r="L1723" s="26"/>
    </row>
    <row r="1724" spans="1:12">
      <c r="A1724" s="20" t="s">
        <v>904</v>
      </c>
      <c r="B1724" s="27" t="s">
        <v>272</v>
      </c>
      <c r="C1724" s="27" t="s">
        <v>252</v>
      </c>
      <c r="D1724" s="27" t="s">
        <v>244</v>
      </c>
      <c r="E1724" s="21">
        <f>IF(D1724="?OLD","!!!","")</f>
        <v/>
      </c>
      <c r="F1724" s="22" t="str">
        <f>IF(OR(E1724="",E1724="!!!"),"",IF(NOT(ISNA(VLOOKUP(E1724,E$1:E1723,1,FALSE()))),"OLD",IF(AND(E1724&lt;&gt;"",E1724&lt;&gt;"!!!"),"NEW","")))</f>
        <v> </v>
      </c>
      <c r="G1724" s="23" t="str">
        <f>IF(OR(E1724="",E1724="!!!"),"",IF(OR(J1724=0,AND(J1724=1,K1724=1),AND(J1724=1,I1724="SBJ"),AND(J1724=1,I1724=0)),"?IN_FOCUS",IF(J1724&lt;=2,"?ACTIVATED",IF(J1724&lt;&gt;"","?FAMILIAR",IF(F1724="NEW",IF(ISNA(VLOOKUP(E1724,#REF!,1,FALSE())),"?TYPE_IDENTIFIABLE","?REFERENTIAL"),"_")))))</f>
        <v> </v>
      </c>
      <c r="H1724" s="24" t="str">
        <f>IF(J1724&lt;&gt;1,"",IF(I1724="SBJ","CB","?"))</f>
        <v> </v>
      </c>
      <c r="I1724" s="25" t="str">
        <f>IF(OR(E1724="",E1724="!!!",F1724="NEW"),"",INDEX(B1723:B$2,-1+SUMPRODUCT(MAX(ROW(E1723:E$2)*(E1724=E1723:E$2)))))</f>
        <v> </v>
      </c>
      <c r="J1724" s="25" t="str">
        <f>IF(OR(E1724="",E1724="!!!",F1724="NEW"),"",COUNTBLANK(OFFSET(A$1,,,SUMPRODUCT(MAX(ROW(E$2:E1724)*(E1724=E$2:E1724)))))-COUNTBLANK(OFFSET(A$1,,,SUMPRODUCT(MAX(ROW(E$1:E1723)*(E2=E$1:E1723))))))</f>
        <v> </v>
      </c>
      <c r="K1724" s="25" t="str">
        <f>IF(OR(E1724="",E1724="!!!",F1724="NEW"),"",INDEX(J$1:J1723,SUMPRODUCT(MAX(ROW(E$1:E1723)*(E1724=E$1:E1723)))))</f>
        <v> </v>
      </c>
      <c r="L1724" s="26"/>
    </row>
    <row r="1725" spans="1:12">
      <c r="A1725" s="20" t="s">
        <v>682</v>
      </c>
      <c r="E1725" s="21">
        <f>IF(D1725="?OLD","!!!","")</f>
        <v/>
      </c>
      <c r="F1725" s="22" t="str">
        <f>IF(OR(E1725="",E1725="!!!"),"",IF(NOT(ISNA(VLOOKUP(E1725,E$1:E1724,1,FALSE()))),"OLD",IF(AND(E1725&lt;&gt;"",E1725&lt;&gt;"!!!"),"NEW","")))</f>
        <v> </v>
      </c>
      <c r="G1725" s="23" t="str">
        <f>IF(OR(E1725="",E1725="!!!"),"",IF(OR(J1725=0,AND(J1725=1,K1725=1),AND(J1725=1,I1725="SBJ"),AND(J1725=1,I1725=0)),"?IN_FOCUS",IF(J1725&lt;=2,"?ACTIVATED",IF(J1725&lt;&gt;"","?FAMILIAR",IF(F1725="NEW",IF(ISNA(VLOOKUP(E1725,#REF!,1,FALSE())),"?TYPE_IDENTIFIABLE","?REFERENTIAL"),"_")))))</f>
        <v> </v>
      </c>
      <c r="H1725" s="24" t="str">
        <f>IF(J1725&lt;&gt;1,"",IF(I1725="SBJ","CB","?"))</f>
        <v> </v>
      </c>
      <c r="I1725" s="25" t="str">
        <f>IF(OR(E1725="",E1725="!!!",F1725="NEW"),"",INDEX(B1724:B$2,-1+SUMPRODUCT(MAX(ROW(E1724:E$2)*(E1725=E1724:E$2)))))</f>
        <v> </v>
      </c>
      <c r="J1725" s="25" t="str">
        <f>IF(OR(E1725="",E1725="!!!",F1725="NEW"),"",COUNTBLANK(OFFSET(A$1,,,SUMPRODUCT(MAX(ROW(E$2:E1725)*(E1725=E$2:E1725)))))-COUNTBLANK(OFFSET(A$1,,,SUMPRODUCT(MAX(ROW(E$1:E1724)*(E2=E$1:E1724))))))</f>
        <v> </v>
      </c>
      <c r="K1725" s="25" t="str">
        <f>IF(OR(E1725="",E1725="!!!",F1725="NEW"),"",INDEX(J$1:J1724,SUMPRODUCT(MAX(ROW(E$1:E1724)*(E1725=E$1:E1724)))))</f>
        <v> </v>
      </c>
      <c r="L1725" s="26"/>
    </row>
    <row r="1726" spans="1:12">
      <c r="A1726" s="20" t="s">
        <v>428</v>
      </c>
      <c r="E1726" s="21">
        <f>IF(D1726="?OLD","!!!","")</f>
        <v/>
      </c>
      <c r="F1726" s="22" t="str">
        <f>IF(OR(E1726="",E1726="!!!"),"",IF(NOT(ISNA(VLOOKUP(E1726,E$1:E1725,1,FALSE()))),"OLD",IF(AND(E1726&lt;&gt;"",E1726&lt;&gt;"!!!"),"NEW","")))</f>
        <v> </v>
      </c>
      <c r="G1726" s="23" t="str">
        <f>IF(OR(E1726="",E1726="!!!"),"",IF(OR(J1726=0,AND(J1726=1,K1726=1),AND(J1726=1,I1726="SBJ"),AND(J1726=1,I1726=0)),"?IN_FOCUS",IF(J1726&lt;=2,"?ACTIVATED",IF(J1726&lt;&gt;"","?FAMILIAR",IF(F1726="NEW",IF(ISNA(VLOOKUP(E1726,#REF!,1,FALSE())),"?TYPE_IDENTIFIABLE","?REFERENTIAL"),"_")))))</f>
        <v> </v>
      </c>
      <c r="H1726" s="24" t="str">
        <f>IF(J1726&lt;&gt;1,"",IF(I1726="SBJ","CB","?"))</f>
        <v> </v>
      </c>
      <c r="I1726" s="25" t="str">
        <f>IF(OR(E1726="",E1726="!!!",F1726="NEW"),"",INDEX(B1725:B$2,-1+SUMPRODUCT(MAX(ROW(E1725:E$2)*(E1726=E1725:E$2)))))</f>
        <v> </v>
      </c>
      <c r="J1726" s="25" t="str">
        <f>IF(OR(E1726="",E1726="!!!",F1726="NEW"),"",COUNTBLANK(OFFSET(A$1,,,SUMPRODUCT(MAX(ROW(E$2:E1726)*(E1726=E$2:E1726)))))-COUNTBLANK(OFFSET(A$1,,,SUMPRODUCT(MAX(ROW(E$1:E1725)*(E2=E$1:E1725))))))</f>
        <v> </v>
      </c>
      <c r="K1726" s="25" t="str">
        <f>IF(OR(E1726="",E1726="!!!",F1726="NEW"),"",INDEX(J$1:J1725,SUMPRODUCT(MAX(ROW(E$1:E1725)*(E1726=E$1:E1725)))))</f>
        <v> </v>
      </c>
      <c r="L1726" s="26"/>
    </row>
    <row r="1727" spans="1:12">
      <c r="A1727" s="20" t="s">
        <v>905</v>
      </c>
      <c r="E1727" s="21">
        <f>IF(D1727="?OLD","!!!","")</f>
        <v/>
      </c>
      <c r="F1727" s="22" t="str">
        <f>IF(OR(E1727="",E1727="!!!"),"",IF(NOT(ISNA(VLOOKUP(E1727,E$1:E1726,1,FALSE()))),"OLD",IF(AND(E1727&lt;&gt;"",E1727&lt;&gt;"!!!"),"NEW","")))</f>
        <v> </v>
      </c>
      <c r="G1727" s="23" t="str">
        <f>IF(OR(E1727="",E1727="!!!"),"",IF(OR(J1727=0,AND(J1727=1,K1727=1),AND(J1727=1,I1727="SBJ"),AND(J1727=1,I1727=0)),"?IN_FOCUS",IF(J1727&lt;=2,"?ACTIVATED",IF(J1727&lt;&gt;"","?FAMILIAR",IF(F1727="NEW",IF(ISNA(VLOOKUP(E1727,#REF!,1,FALSE())),"?TYPE_IDENTIFIABLE","?REFERENTIAL"),"_")))))</f>
        <v> </v>
      </c>
      <c r="H1727" s="24" t="str">
        <f>IF(J1727&lt;&gt;1,"",IF(I1727="SBJ","CB","?"))</f>
        <v> </v>
      </c>
      <c r="I1727" s="25" t="str">
        <f>IF(OR(E1727="",E1727="!!!",F1727="NEW"),"",INDEX(B1726:B$2,-1+SUMPRODUCT(MAX(ROW(E1726:E$2)*(E1727=E1726:E$2)))))</f>
        <v> </v>
      </c>
      <c r="J1727" s="25" t="str">
        <f>IF(OR(E1727="",E1727="!!!",F1727="NEW"),"",COUNTBLANK(OFFSET(A$1,,,SUMPRODUCT(MAX(ROW(E$2:E1727)*(E1727=E$2:E1727)))))-COUNTBLANK(OFFSET(A$1,,,SUMPRODUCT(MAX(ROW(E$1:E1726)*(E2=E$1:E1726))))))</f>
        <v> </v>
      </c>
      <c r="K1727" s="25" t="str">
        <f>IF(OR(E1727="",E1727="!!!",F1727="NEW"),"",INDEX(J$1:J1726,SUMPRODUCT(MAX(ROW(E$1:E1726)*(E1727=E$1:E1726)))))</f>
        <v> </v>
      </c>
      <c r="L1727" s="26"/>
    </row>
    <row r="1728" spans="1:12">
      <c r="A1728" s="20" t="s">
        <v>273</v>
      </c>
      <c r="E1728" s="21">
        <f>IF(D1728="?OLD","!!!","")</f>
        <v/>
      </c>
      <c r="F1728" s="22" t="str">
        <f>IF(OR(E1728="",E1728="!!!"),"",IF(NOT(ISNA(VLOOKUP(E1728,E$1:E1727,1,FALSE()))),"OLD",IF(AND(E1728&lt;&gt;"",E1728&lt;&gt;"!!!"),"NEW","")))</f>
        <v> </v>
      </c>
      <c r="G1728" s="23" t="str">
        <f>IF(OR(E1728="",E1728="!!!"),"",IF(OR(J1728=0,AND(J1728=1,K1728=1),AND(J1728=1,I1728="SBJ"),AND(J1728=1,I1728=0)),"?IN_FOCUS",IF(J1728&lt;=2,"?ACTIVATED",IF(J1728&lt;&gt;"","?FAMILIAR",IF(F1728="NEW",IF(ISNA(VLOOKUP(E1728,#REF!,1,FALSE())),"?TYPE_IDENTIFIABLE","?REFERENTIAL"),"_")))))</f>
        <v> </v>
      </c>
      <c r="H1728" s="24" t="str">
        <f>IF(J1728&lt;&gt;1,"",IF(I1728="SBJ","CB","?"))</f>
        <v> </v>
      </c>
      <c r="I1728" s="25" t="str">
        <f>IF(OR(E1728="",E1728="!!!",F1728="NEW"),"",INDEX(B1727:B$2,-1+SUMPRODUCT(MAX(ROW(E1727:E$2)*(E1728=E1727:E$2)))))</f>
        <v> </v>
      </c>
      <c r="J1728" s="25" t="str">
        <f>IF(OR(E1728="",E1728="!!!",F1728="NEW"),"",COUNTBLANK(OFFSET(A$1,,,SUMPRODUCT(MAX(ROW(E$2:E1728)*(E1728=E$2:E1728)))))-COUNTBLANK(OFFSET(A$1,,,SUMPRODUCT(MAX(ROW(E$1:E1727)*(E2=E$1:E1727))))))</f>
        <v> </v>
      </c>
      <c r="K1728" s="25" t="str">
        <f>IF(OR(E1728="",E1728="!!!",F1728="NEW"),"",INDEX(J$1:J1727,SUMPRODUCT(MAX(ROW(E$1:E1727)*(E1728=E$1:E1727)))))</f>
        <v> </v>
      </c>
      <c r="L1728" s="26"/>
    </row>
    <row r="1729" spans="1:12">
      <c r="A1729" s="20" t="s">
        <v>277</v>
      </c>
      <c r="E1729" s="21">
        <f>IF(D1729="?OLD","!!!","")</f>
        <v/>
      </c>
      <c r="F1729" s="22" t="str">
        <f>IF(OR(E1729="",E1729="!!!"),"",IF(NOT(ISNA(VLOOKUP(E1729,E$1:E1728,1,FALSE()))),"OLD",IF(AND(E1729&lt;&gt;"",E1729&lt;&gt;"!!!"),"NEW","")))</f>
        <v> </v>
      </c>
      <c r="G1729" s="23" t="str">
        <f>IF(OR(E1729="",E1729="!!!"),"",IF(OR(J1729=0,AND(J1729=1,K1729=1),AND(J1729=1,I1729="SBJ"),AND(J1729=1,I1729=0)),"?IN_FOCUS",IF(J1729&lt;=2,"?ACTIVATED",IF(J1729&lt;&gt;"","?FAMILIAR",IF(F1729="NEW",IF(ISNA(VLOOKUP(E1729,#REF!,1,FALSE())),"?TYPE_IDENTIFIABLE","?REFERENTIAL"),"_")))))</f>
        <v> </v>
      </c>
      <c r="H1729" s="24" t="str">
        <f>IF(J1729&lt;&gt;1,"",IF(I1729="SBJ","CB","?"))</f>
        <v> </v>
      </c>
      <c r="I1729" s="25" t="str">
        <f>IF(OR(E1729="",E1729="!!!",F1729="NEW"),"",INDEX(B1728:B$2,-1+SUMPRODUCT(MAX(ROW(E1728:E$2)*(E1729=E1728:E$2)))))</f>
        <v> </v>
      </c>
      <c r="J1729" s="25" t="str">
        <f>IF(OR(E1729="",E1729="!!!",F1729="NEW"),"",COUNTBLANK(OFFSET(A$1,,,SUMPRODUCT(MAX(ROW(E$2:E1729)*(E1729=E$2:E1729)))))-COUNTBLANK(OFFSET(A$1,,,SUMPRODUCT(MAX(ROW(E$1:E1728)*(E2=E$1:E1728))))))</f>
        <v> </v>
      </c>
      <c r="K1729" s="25" t="str">
        <f>IF(OR(E1729="",E1729="!!!",F1729="NEW"),"",INDEX(J$1:J1728,SUMPRODUCT(MAX(ROW(E$1:E1728)*(E1729=E$1:E1728)))))</f>
        <v> </v>
      </c>
      <c r="L1729" s="26"/>
    </row>
    <row r="1730" spans="1:12">
      <c r="A1730" s="20" t="s">
        <v>906</v>
      </c>
      <c r="B1730" s="27" t="s">
        <v>262</v>
      </c>
      <c r="C1730" s="27" t="s">
        <v>279</v>
      </c>
      <c r="E1730" s="21">
        <f>IF(D1730="?OLD","!!!","")</f>
        <v/>
      </c>
      <c r="F1730" s="22" t="str">
        <f>IF(OR(E1730="",E1730="!!!"),"",IF(NOT(ISNA(VLOOKUP(E1730,E$1:E1729,1,FALSE()))),"OLD",IF(AND(E1730&lt;&gt;"",E1730&lt;&gt;"!!!"),"NEW","")))</f>
        <v> </v>
      </c>
      <c r="G1730" s="23" t="str">
        <f>IF(OR(E1730="",E1730="!!!"),"",IF(OR(J1730=0,AND(J1730=1,K1730=1),AND(J1730=1,I1730="SBJ"),AND(J1730=1,I1730=0)),"?IN_FOCUS",IF(J1730&lt;=2,"?ACTIVATED",IF(J1730&lt;&gt;"","?FAMILIAR",IF(F1730="NEW",IF(ISNA(VLOOKUP(E1730,#REF!,1,FALSE())),"?TYPE_IDENTIFIABLE","?REFERENTIAL"),"_")))))</f>
        <v> </v>
      </c>
      <c r="H1730" s="24" t="str">
        <f>IF(J1730&lt;&gt;1,"",IF(I1730="SBJ","CB","?"))</f>
        <v> </v>
      </c>
      <c r="I1730" s="25" t="str">
        <f>IF(OR(E1730="",E1730="!!!",F1730="NEW"),"",INDEX(B1729:B$2,-1+SUMPRODUCT(MAX(ROW(E1729:E$2)*(E1730=E1729:E$2)))))</f>
        <v> </v>
      </c>
      <c r="J1730" s="25" t="str">
        <f>IF(OR(E1730="",E1730="!!!",F1730="NEW"),"",COUNTBLANK(OFFSET(A$1,,,SUMPRODUCT(MAX(ROW(E$2:E1730)*(E1730=E$2:E1730)))))-COUNTBLANK(OFFSET(A$1,,,SUMPRODUCT(MAX(ROW(E$1:E1729)*(E2=E$1:E1729))))))</f>
        <v> </v>
      </c>
      <c r="K1730" s="25" t="str">
        <f>IF(OR(E1730="",E1730="!!!",F1730="NEW"),"",INDEX(J$1:J1729,SUMPRODUCT(MAX(ROW(E$1:E1729)*(E1730=E$1:E1729)))))</f>
        <v> </v>
      </c>
      <c r="L1730" s="26"/>
    </row>
    <row r="1731" spans="1:12">
      <c r="A1731" s="20" t="s">
        <v>305</v>
      </c>
      <c r="E1731" s="21">
        <f>IF(D1731="?OLD","!!!","")</f>
        <v/>
      </c>
      <c r="F1731" s="22" t="str">
        <f>IF(OR(E1731="",E1731="!!!"),"",IF(NOT(ISNA(VLOOKUP(E1731,E$1:E1730,1,FALSE()))),"OLD",IF(AND(E1731&lt;&gt;"",E1731&lt;&gt;"!!!"),"NEW","")))</f>
        <v> </v>
      </c>
      <c r="G1731" s="23" t="str">
        <f>IF(OR(E1731="",E1731="!!!"),"",IF(OR(J1731=0,AND(J1731=1,K1731=1),AND(J1731=1,I1731="SBJ"),AND(J1731=1,I1731=0)),"?IN_FOCUS",IF(J1731&lt;=2,"?ACTIVATED",IF(J1731&lt;&gt;"","?FAMILIAR",IF(F1731="NEW",IF(ISNA(VLOOKUP(E1731,#REF!,1,FALSE())),"?TYPE_IDENTIFIABLE","?REFERENTIAL"),"_")))))</f>
        <v> </v>
      </c>
      <c r="H1731" s="24" t="str">
        <f>IF(J1731&lt;&gt;1,"",IF(I1731="SBJ","CB","?"))</f>
        <v> </v>
      </c>
      <c r="I1731" s="25" t="str">
        <f>IF(OR(E1731="",E1731="!!!",F1731="NEW"),"",INDEX(B1730:B$2,-1+SUMPRODUCT(MAX(ROW(E1730:E$2)*(E1731=E1730:E$2)))))</f>
        <v> </v>
      </c>
      <c r="J1731" s="25" t="str">
        <f>IF(OR(E1731="",E1731="!!!",F1731="NEW"),"",COUNTBLANK(OFFSET(A$1,,,SUMPRODUCT(MAX(ROW(E$2:E1731)*(E1731=E$2:E1731)))))-COUNTBLANK(OFFSET(A$1,,,SUMPRODUCT(MAX(ROW(E$1:E1730)*(E2=E$1:E1730))))))</f>
        <v> </v>
      </c>
      <c r="K1731" s="25" t="str">
        <f>IF(OR(E1731="",E1731="!!!",F1731="NEW"),"",INDEX(J$1:J1730,SUMPRODUCT(MAX(ROW(E$1:E1730)*(E1731=E$1:E1730)))))</f>
        <v> </v>
      </c>
      <c r="L1731" s="26"/>
    </row>
    <row r="1732" spans="1:12">
      <c r="A1732" s="20" t="s">
        <v>314</v>
      </c>
      <c r="E1732" s="21">
        <f>IF(D1732="?OLD","!!!","")</f>
        <v/>
      </c>
      <c r="F1732" s="22" t="str">
        <f>IF(OR(E1732="",E1732="!!!"),"",IF(NOT(ISNA(VLOOKUP(E1732,E$1:E1731,1,FALSE()))),"OLD",IF(AND(E1732&lt;&gt;"",E1732&lt;&gt;"!!!"),"NEW","")))</f>
        <v> </v>
      </c>
      <c r="G1732" s="23" t="str">
        <f>IF(OR(E1732="",E1732="!!!"),"",IF(OR(J1732=0,AND(J1732=1,K1732=1),AND(J1732=1,I1732="SBJ"),AND(J1732=1,I1732=0)),"?IN_FOCUS",IF(J1732&lt;=2,"?ACTIVATED",IF(J1732&lt;&gt;"","?FAMILIAR",IF(F1732="NEW",IF(ISNA(VLOOKUP(E1732,#REF!,1,FALSE())),"?TYPE_IDENTIFIABLE","?REFERENTIAL"),"_")))))</f>
        <v> </v>
      </c>
      <c r="H1732" s="24" t="str">
        <f>IF(J1732&lt;&gt;1,"",IF(I1732="SBJ","CB","?"))</f>
        <v> </v>
      </c>
      <c r="I1732" s="25" t="str">
        <f>IF(OR(E1732="",E1732="!!!",F1732="NEW"),"",INDEX(B1731:B$2,-1+SUMPRODUCT(MAX(ROW(E1731:E$2)*(E1732=E1731:E$2)))))</f>
        <v> </v>
      </c>
      <c r="J1732" s="25" t="str">
        <f>IF(OR(E1732="",E1732="!!!",F1732="NEW"),"",COUNTBLANK(OFFSET(A$1,,,SUMPRODUCT(MAX(ROW(E$2:E1732)*(E1732=E$2:E1732)))))-COUNTBLANK(OFFSET(A$1,,,SUMPRODUCT(MAX(ROW(E$1:E1731)*(E2=E$1:E1731))))))</f>
        <v> </v>
      </c>
      <c r="K1732" s="25" t="str">
        <f>IF(OR(E1732="",E1732="!!!",F1732="NEW"),"",INDEX(J$1:J1731,SUMPRODUCT(MAX(ROW(E$1:E1731)*(E1732=E$1:E1731)))))</f>
        <v> </v>
      </c>
      <c r="L1732" s="26"/>
    </row>
    <row r="1733" spans="1:12">
      <c r="A1733" s="20" t="s">
        <v>290</v>
      </c>
      <c r="B1733" s="27" t="s">
        <v>283</v>
      </c>
      <c r="C1733" s="27" t="s">
        <v>263</v>
      </c>
      <c r="D1733" s="27" t="s">
        <v>244</v>
      </c>
      <c r="E1733" s="21">
        <f>IF(D1733="?OLD","!!!","")</f>
        <v/>
      </c>
      <c r="F1733" s="22" t="str">
        <f>IF(OR(E1733="",E1733="!!!"),"",IF(NOT(ISNA(VLOOKUP(E1733,E$1:E1732,1,FALSE()))),"OLD",IF(AND(E1733&lt;&gt;"",E1733&lt;&gt;"!!!"),"NEW","")))</f>
        <v> </v>
      </c>
      <c r="G1733" s="23" t="str">
        <f>IF(OR(E1733="",E1733="!!!"),"",IF(OR(J1733=0,AND(J1733=1,K1733=1),AND(J1733=1,I1733="SBJ"),AND(J1733=1,I1733=0)),"?IN_FOCUS",IF(J1733&lt;=2,"?ACTIVATED",IF(J1733&lt;&gt;"","?FAMILIAR",IF(F1733="NEW",IF(ISNA(VLOOKUP(E1733,#REF!,1,FALSE())),"?TYPE_IDENTIFIABLE","?REFERENTIAL"),"_")))))</f>
        <v> </v>
      </c>
      <c r="H1733" s="24" t="str">
        <f>IF(J1733&lt;&gt;1,"",IF(I1733="SBJ","CB","?"))</f>
        <v> </v>
      </c>
      <c r="I1733" s="25" t="str">
        <f>IF(OR(E1733="",E1733="!!!",F1733="NEW"),"",INDEX(B1732:B$2,-1+SUMPRODUCT(MAX(ROW(E1732:E$2)*(E1733=E1732:E$2)))))</f>
        <v> </v>
      </c>
      <c r="J1733" s="25" t="str">
        <f>IF(OR(E1733="",E1733="!!!",F1733="NEW"),"",COUNTBLANK(OFFSET(A$1,,,SUMPRODUCT(MAX(ROW(E$2:E1733)*(E1733=E$2:E1733)))))-COUNTBLANK(OFFSET(A$1,,,SUMPRODUCT(MAX(ROW(E$1:E1732)*(E2=E$1:E1732))))))</f>
        <v> </v>
      </c>
      <c r="K1733" s="25" t="str">
        <f>IF(OR(E1733="",E1733="!!!",F1733="NEW"),"",INDEX(J$1:J1732,SUMPRODUCT(MAX(ROW(E$1:E1732)*(E1733=E$1:E1732)))))</f>
        <v> </v>
      </c>
      <c r="L1733" s="26"/>
    </row>
    <row r="1734" spans="1:12">
      <c r="A1734" s="20" t="s">
        <v>907</v>
      </c>
      <c r="B1734" s="27" t="s">
        <v>329</v>
      </c>
      <c r="C1734" s="27" t="s">
        <v>267</v>
      </c>
      <c r="D1734" s="27" t="s">
        <v>244</v>
      </c>
      <c r="E1734" s="21">
        <f>IF(D1734="?OLD","!!!","")</f>
        <v/>
      </c>
      <c r="F1734" s="22" t="str">
        <f>IF(OR(E1734="",E1734="!!!"),"",IF(NOT(ISNA(VLOOKUP(E1734,E$1:E1733,1,FALSE()))),"OLD",IF(AND(E1734&lt;&gt;"",E1734&lt;&gt;"!!!"),"NEW","")))</f>
        <v> </v>
      </c>
      <c r="G1734" s="23" t="str">
        <f>IF(OR(E1734="",E1734="!!!"),"",IF(OR(J1734=0,AND(J1734=1,K1734=1),AND(J1734=1,I1734="SBJ"),AND(J1734=1,I1734=0)),"?IN_FOCUS",IF(J1734&lt;=2,"?ACTIVATED",IF(J1734&lt;&gt;"","?FAMILIAR",IF(F1734="NEW",IF(ISNA(VLOOKUP(E1734,#REF!,1,FALSE())),"?TYPE_IDENTIFIABLE","?REFERENTIAL"),"_")))))</f>
        <v> </v>
      </c>
      <c r="H1734" s="24" t="str">
        <f>IF(J1734&lt;&gt;1,"",IF(I1734="SBJ","CB","?"))</f>
        <v> </v>
      </c>
      <c r="I1734" s="25" t="str">
        <f>IF(OR(E1734="",E1734="!!!",F1734="NEW"),"",INDEX(B1733:B$2,-1+SUMPRODUCT(MAX(ROW(E1733:E$2)*(E1734=E1733:E$2)))))</f>
        <v> </v>
      </c>
      <c r="J1734" s="25" t="str">
        <f>IF(OR(E1734="",E1734="!!!",F1734="NEW"),"",COUNTBLANK(OFFSET(A$1,,,SUMPRODUCT(MAX(ROW(E$2:E1734)*(E1734=E$2:E1734)))))-COUNTBLANK(OFFSET(A$1,,,SUMPRODUCT(MAX(ROW(E$1:E1733)*(E2=E$1:E1733))))))</f>
        <v> </v>
      </c>
      <c r="K1734" s="25" t="str">
        <f>IF(OR(E1734="",E1734="!!!",F1734="NEW"),"",INDEX(J$1:J1733,SUMPRODUCT(MAX(ROW(E$1:E1733)*(E1734=E$1:E1733)))))</f>
        <v> </v>
      </c>
      <c r="L1734" s="26"/>
    </row>
    <row r="1735" spans="1:12">
      <c r="A1735" s="20" t="s">
        <v>908</v>
      </c>
      <c r="E1735" s="21">
        <f>IF(D1735="?OLD","!!!","")</f>
        <v/>
      </c>
      <c r="F1735" s="22" t="str">
        <f>IF(OR(E1735="",E1735="!!!"),"",IF(NOT(ISNA(VLOOKUP(E1735,E$1:E1734,1,FALSE()))),"OLD",IF(AND(E1735&lt;&gt;"",E1735&lt;&gt;"!!!"),"NEW","")))</f>
        <v> </v>
      </c>
      <c r="G1735" s="23" t="str">
        <f>IF(OR(E1735="",E1735="!!!"),"",IF(OR(J1735=0,AND(J1735=1,K1735=1),AND(J1735=1,I1735="SBJ"),AND(J1735=1,I1735=0)),"?IN_FOCUS",IF(J1735&lt;=2,"?ACTIVATED",IF(J1735&lt;&gt;"","?FAMILIAR",IF(F1735="NEW",IF(ISNA(VLOOKUP(E1735,#REF!,1,FALSE())),"?TYPE_IDENTIFIABLE","?REFERENTIAL"),"_")))))</f>
        <v> </v>
      </c>
      <c r="H1735" s="24" t="str">
        <f>IF(J1735&lt;&gt;1,"",IF(I1735="SBJ","CB","?"))</f>
        <v> </v>
      </c>
      <c r="I1735" s="25" t="str">
        <f>IF(OR(E1735="",E1735="!!!",F1735="NEW"),"",INDEX(B1734:B$2,-1+SUMPRODUCT(MAX(ROW(E1734:E$2)*(E1735=E1734:E$2)))))</f>
        <v> </v>
      </c>
      <c r="J1735" s="25" t="str">
        <f>IF(OR(E1735="",E1735="!!!",F1735="NEW"),"",COUNTBLANK(OFFSET(A$1,,,SUMPRODUCT(MAX(ROW(E$2:E1735)*(E1735=E$2:E1735)))))-COUNTBLANK(OFFSET(A$1,,,SUMPRODUCT(MAX(ROW(E$1:E1734)*(E2=E$1:E1734))))))</f>
        <v> </v>
      </c>
      <c r="K1735" s="25" t="str">
        <f>IF(OR(E1735="",E1735="!!!",F1735="NEW"),"",INDEX(J$1:J1734,SUMPRODUCT(MAX(ROW(E$1:E1734)*(E1735=E$1:E1734)))))</f>
        <v> </v>
      </c>
      <c r="L1735" s="26"/>
    </row>
    <row r="1736" spans="1:12">
      <c r="A1736" s="20" t="s">
        <v>260</v>
      </c>
      <c r="B1736" s="27" t="s">
        <v>361</v>
      </c>
      <c r="C1736" s="27" t="s">
        <v>401</v>
      </c>
      <c r="D1736" s="27" t="s">
        <v>244</v>
      </c>
      <c r="E1736" s="21">
        <f>IF(D1736="?OLD","!!!","")</f>
        <v/>
      </c>
      <c r="F1736" s="22" t="str">
        <f>IF(OR(E1736="",E1736="!!!"),"",IF(NOT(ISNA(VLOOKUP(E1736,E$1:E1735,1,FALSE()))),"OLD",IF(AND(E1736&lt;&gt;"",E1736&lt;&gt;"!!!"),"NEW","")))</f>
        <v> </v>
      </c>
      <c r="G1736" s="23" t="str">
        <f>IF(OR(E1736="",E1736="!!!"),"",IF(OR(J1736=0,AND(J1736=1,K1736=1),AND(J1736=1,I1736="SBJ"),AND(J1736=1,I1736=0)),"?IN_FOCUS",IF(J1736&lt;=2,"?ACTIVATED",IF(J1736&lt;&gt;"","?FAMILIAR",IF(F1736="NEW",IF(ISNA(VLOOKUP(E1736,#REF!,1,FALSE())),"?TYPE_IDENTIFIABLE","?REFERENTIAL"),"_")))))</f>
        <v> </v>
      </c>
      <c r="H1736" s="24" t="str">
        <f>IF(J1736&lt;&gt;1,"",IF(I1736="SBJ","CB","?"))</f>
        <v> </v>
      </c>
      <c r="I1736" s="25" t="str">
        <f>IF(OR(E1736="",E1736="!!!",F1736="NEW"),"",INDEX(B1735:B$2,-1+SUMPRODUCT(MAX(ROW(E1735:E$2)*(E1736=E1735:E$2)))))</f>
        <v> </v>
      </c>
      <c r="J1736" s="25" t="str">
        <f>IF(OR(E1736="",E1736="!!!",F1736="NEW"),"",COUNTBLANK(OFFSET(A$1,,,SUMPRODUCT(MAX(ROW(E$2:E1736)*(E1736=E$2:E1736)))))-COUNTBLANK(OFFSET(A$1,,,SUMPRODUCT(MAX(ROW(E$1:E1735)*(E2=E$1:E1735))))))</f>
        <v> </v>
      </c>
      <c r="K1736" s="25" t="str">
        <f>IF(OR(E1736="",E1736="!!!",F1736="NEW"),"",INDEX(J$1:J1735,SUMPRODUCT(MAX(ROW(E$1:E1735)*(E1736=E$1:E1735)))))</f>
        <v> </v>
      </c>
      <c r="L1736" s="26"/>
    </row>
    <row r="1737" spans="1:12">
      <c r="A1737" s="20" t="s">
        <v>316</v>
      </c>
      <c r="E1737" s="21">
        <f>IF(D1737="?OLD","!!!","")</f>
        <v/>
      </c>
      <c r="F1737" s="22" t="str">
        <f>IF(OR(E1737="",E1737="!!!"),"",IF(NOT(ISNA(VLOOKUP(E1737,E$1:E1736,1,FALSE()))),"OLD",IF(AND(E1737&lt;&gt;"",E1737&lt;&gt;"!!!"),"NEW","")))</f>
        <v> </v>
      </c>
      <c r="G1737" s="23" t="str">
        <f>IF(OR(E1737="",E1737="!!!"),"",IF(OR(J1737=0,AND(J1737=1,K1737=1),AND(J1737=1,I1737="SBJ"),AND(J1737=1,I1737=0)),"?IN_FOCUS",IF(J1737&lt;=2,"?ACTIVATED",IF(J1737&lt;&gt;"","?FAMILIAR",IF(F1737="NEW",IF(ISNA(VLOOKUP(E1737,#REF!,1,FALSE())),"?TYPE_IDENTIFIABLE","?REFERENTIAL"),"_")))))</f>
        <v> </v>
      </c>
      <c r="H1737" s="24" t="str">
        <f>IF(J1737&lt;&gt;1,"",IF(I1737="SBJ","CB","?"))</f>
        <v> </v>
      </c>
      <c r="I1737" s="25" t="str">
        <f>IF(OR(E1737="",E1737="!!!",F1737="NEW"),"",INDEX(B1736:B$2,-1+SUMPRODUCT(MAX(ROW(E1736:E$2)*(E1737=E1736:E$2)))))</f>
        <v> </v>
      </c>
      <c r="J1737" s="25" t="str">
        <f>IF(OR(E1737="",E1737="!!!",F1737="NEW"),"",COUNTBLANK(OFFSET(A$1,,,SUMPRODUCT(MAX(ROW(E$2:E1737)*(E1737=E$2:E1737)))))-COUNTBLANK(OFFSET(A$1,,,SUMPRODUCT(MAX(ROW(E$1:E1736)*(E2=E$1:E1736))))))</f>
        <v> </v>
      </c>
      <c r="K1737" s="25" t="str">
        <f>IF(OR(E1737="",E1737="!!!",F1737="NEW"),"",INDEX(J$1:J1736,SUMPRODUCT(MAX(ROW(E$1:E1736)*(E1737=E$1:E1736)))))</f>
        <v> </v>
      </c>
      <c r="L1737" s="26"/>
    </row>
    <row r="1738" spans="1:12">
      <c r="A1738" s="20" t="s">
        <v>909</v>
      </c>
      <c r="E1738" s="21">
        <f>IF(D1738="?OLD","!!!","")</f>
        <v/>
      </c>
      <c r="F1738" s="22" t="str">
        <f>IF(OR(E1738="",E1738="!!!"),"",IF(NOT(ISNA(VLOOKUP(E1738,E$1:E1737,1,FALSE()))),"OLD",IF(AND(E1738&lt;&gt;"",E1738&lt;&gt;"!!!"),"NEW","")))</f>
        <v> </v>
      </c>
      <c r="G1738" s="23" t="str">
        <f>IF(OR(E1738="",E1738="!!!"),"",IF(OR(J1738=0,AND(J1738=1,K1738=1),AND(J1738=1,I1738="SBJ"),AND(J1738=1,I1738=0)),"?IN_FOCUS",IF(J1738&lt;=2,"?ACTIVATED",IF(J1738&lt;&gt;"","?FAMILIAR",IF(F1738="NEW",IF(ISNA(VLOOKUP(E1738,#REF!,1,FALSE())),"?TYPE_IDENTIFIABLE","?REFERENTIAL"),"_")))))</f>
        <v> </v>
      </c>
      <c r="H1738" s="24" t="str">
        <f>IF(J1738&lt;&gt;1,"",IF(I1738="SBJ","CB","?"))</f>
        <v> </v>
      </c>
      <c r="I1738" s="25" t="str">
        <f>IF(OR(E1738="",E1738="!!!",F1738="NEW"),"",INDEX(B1737:B$2,-1+SUMPRODUCT(MAX(ROW(E1737:E$2)*(E1738=E1737:E$2)))))</f>
        <v> </v>
      </c>
      <c r="J1738" s="25" t="str">
        <f>IF(OR(E1738="",E1738="!!!",F1738="NEW"),"",COUNTBLANK(OFFSET(A$1,,,SUMPRODUCT(MAX(ROW(E$2:E1738)*(E1738=E$2:E1738)))))-COUNTBLANK(OFFSET(A$1,,,SUMPRODUCT(MAX(ROW(E$1:E1737)*(E2=E$1:E1737))))))</f>
        <v> </v>
      </c>
      <c r="K1738" s="25" t="str">
        <f>IF(OR(E1738="",E1738="!!!",F1738="NEW"),"",INDEX(J$1:J1737,SUMPRODUCT(MAX(ROW(E$1:E1737)*(E1738=E$1:E1737)))))</f>
        <v> </v>
      </c>
      <c r="L1738" s="26"/>
    </row>
    <row r="1739" spans="1:12">
      <c r="A1739" s="20" t="s">
        <v>290</v>
      </c>
      <c r="B1739" s="27" t="s">
        <v>364</v>
      </c>
      <c r="C1739" s="27" t="s">
        <v>256</v>
      </c>
      <c r="D1739" s="27" t="s">
        <v>244</v>
      </c>
      <c r="E1739" s="21">
        <f>IF(D1739="?OLD","!!!","")</f>
        <v/>
      </c>
      <c r="F1739" s="22" t="str">
        <f>IF(OR(E1739="",E1739="!!!"),"",IF(NOT(ISNA(VLOOKUP(E1739,E$1:E1738,1,FALSE()))),"OLD",IF(AND(E1739&lt;&gt;"",E1739&lt;&gt;"!!!"),"NEW","")))</f>
        <v> </v>
      </c>
      <c r="G1739" s="23" t="str">
        <f>IF(OR(E1739="",E1739="!!!"),"",IF(OR(J1739=0,AND(J1739=1,K1739=1),AND(J1739=1,I1739="SBJ"),AND(J1739=1,I1739=0)),"?IN_FOCUS",IF(J1739&lt;=2,"?ACTIVATED",IF(J1739&lt;&gt;"","?FAMILIAR",IF(F1739="NEW",IF(ISNA(VLOOKUP(E1739,#REF!,1,FALSE())),"?TYPE_IDENTIFIABLE","?REFERENTIAL"),"_")))))</f>
        <v> </v>
      </c>
      <c r="H1739" s="24" t="str">
        <f>IF(J1739&lt;&gt;1,"",IF(I1739="SBJ","CB","?"))</f>
        <v> </v>
      </c>
      <c r="I1739" s="25" t="str">
        <f>IF(OR(E1739="",E1739="!!!",F1739="NEW"),"",INDEX(B1738:B$2,-1+SUMPRODUCT(MAX(ROW(E1738:E$2)*(E1739=E1738:E$2)))))</f>
        <v> </v>
      </c>
      <c r="J1739" s="25" t="str">
        <f>IF(OR(E1739="",E1739="!!!",F1739="NEW"),"",COUNTBLANK(OFFSET(A$1,,,SUMPRODUCT(MAX(ROW(E$2:E1739)*(E1739=E$2:E1739)))))-COUNTBLANK(OFFSET(A$1,,,SUMPRODUCT(MAX(ROW(E$1:E1738)*(E2=E$1:E1738))))))</f>
        <v> </v>
      </c>
      <c r="K1739" s="25" t="str">
        <f>IF(OR(E1739="",E1739="!!!",F1739="NEW"),"",INDEX(J$1:J1738,SUMPRODUCT(MAX(ROW(E$1:E1738)*(E1739=E$1:E1738)))))</f>
        <v> </v>
      </c>
      <c r="L1739" s="26"/>
    </row>
    <row r="1740" spans="1:12">
      <c r="A1740" s="20" t="s">
        <v>248</v>
      </c>
      <c r="E1740" s="21">
        <f>IF(D1740="?OLD","!!!","")</f>
        <v/>
      </c>
      <c r="F1740" s="22" t="str">
        <f>IF(OR(E1740="",E1740="!!!"),"",IF(NOT(ISNA(VLOOKUP(E1740,E$1:E1739,1,FALSE()))),"OLD",IF(AND(E1740&lt;&gt;"",E1740&lt;&gt;"!!!"),"NEW","")))</f>
        <v> </v>
      </c>
      <c r="G1740" s="23" t="str">
        <f>IF(OR(E1740="",E1740="!!!"),"",IF(OR(J1740=0,AND(J1740=1,K1740=1),AND(J1740=1,I1740="SBJ"),AND(J1740=1,I1740=0)),"?IN_FOCUS",IF(J1740&lt;=2,"?ACTIVATED",IF(J1740&lt;&gt;"","?FAMILIAR",IF(F1740="NEW",IF(ISNA(VLOOKUP(E1740,#REF!,1,FALSE())),"?TYPE_IDENTIFIABLE","?REFERENTIAL"),"_")))))</f>
        <v> </v>
      </c>
      <c r="H1740" s="24" t="str">
        <f>IF(J1740&lt;&gt;1,"",IF(I1740="SBJ","CB","?"))</f>
        <v> </v>
      </c>
      <c r="I1740" s="25" t="str">
        <f>IF(OR(E1740="",E1740="!!!",F1740="NEW"),"",INDEX(B1739:B$2,-1+SUMPRODUCT(MAX(ROW(E1739:E$2)*(E1740=E1739:E$2)))))</f>
        <v> </v>
      </c>
      <c r="J1740" s="25" t="str">
        <f>IF(OR(E1740="",E1740="!!!",F1740="NEW"),"",COUNTBLANK(OFFSET(A$1,,,SUMPRODUCT(MAX(ROW(E$2:E1740)*(E1740=E$2:E1740)))))-COUNTBLANK(OFFSET(A$1,,,SUMPRODUCT(MAX(ROW(E$1:E1739)*(E2=E$1:E1739))))))</f>
        <v> </v>
      </c>
      <c r="K1740" s="25" t="str">
        <f>IF(OR(E1740="",E1740="!!!",F1740="NEW"),"",INDEX(J$1:J1739,SUMPRODUCT(MAX(ROW(E$1:E1739)*(E1740=E$1:E1739)))))</f>
        <v> </v>
      </c>
      <c r="L1740" s="26"/>
    </row>
    <row r="1741" spans="1:12">
      <c r="A1741" s="20" t="s">
        <v>552</v>
      </c>
      <c r="B1741" s="27" t="s">
        <v>364</v>
      </c>
      <c r="C1741" s="27" t="s">
        <v>252</v>
      </c>
      <c r="D1741" s="27" t="s">
        <v>244</v>
      </c>
      <c r="E1741" s="21">
        <f>IF(D1741="?OLD","!!!","")</f>
        <v/>
      </c>
      <c r="F1741" s="22" t="str">
        <f>IF(OR(E1741="",E1741="!!!"),"",IF(NOT(ISNA(VLOOKUP(E1741,E$1:E1740,1,FALSE()))),"OLD",IF(AND(E1741&lt;&gt;"",E1741&lt;&gt;"!!!"),"NEW","")))</f>
        <v> </v>
      </c>
      <c r="G1741" s="23" t="str">
        <f>IF(OR(E1741="",E1741="!!!"),"",IF(OR(J1741=0,AND(J1741=1,K1741=1),AND(J1741=1,I1741="SBJ"),AND(J1741=1,I1741=0)),"?IN_FOCUS",IF(J1741&lt;=2,"?ACTIVATED",IF(J1741&lt;&gt;"","?FAMILIAR",IF(F1741="NEW",IF(ISNA(VLOOKUP(E1741,#REF!,1,FALSE())),"?TYPE_IDENTIFIABLE","?REFERENTIAL"),"_")))))</f>
        <v> </v>
      </c>
      <c r="H1741" s="24" t="str">
        <f>IF(J1741&lt;&gt;1,"",IF(I1741="SBJ","CB","?"))</f>
        <v> </v>
      </c>
      <c r="I1741" s="25" t="str">
        <f>IF(OR(E1741="",E1741="!!!",F1741="NEW"),"",INDEX(B1740:B$2,-1+SUMPRODUCT(MAX(ROW(E1740:E$2)*(E1741=E1740:E$2)))))</f>
        <v> </v>
      </c>
      <c r="J1741" s="25" t="str">
        <f>IF(OR(E1741="",E1741="!!!",F1741="NEW"),"",COUNTBLANK(OFFSET(A$1,,,SUMPRODUCT(MAX(ROW(E$2:E1741)*(E1741=E$2:E1741)))))-COUNTBLANK(OFFSET(A$1,,,SUMPRODUCT(MAX(ROW(E$1:E1740)*(E2=E$1:E1740))))))</f>
        <v> </v>
      </c>
      <c r="K1741" s="25" t="str">
        <f>IF(OR(E1741="",E1741="!!!",F1741="NEW"),"",INDEX(J$1:J1740,SUMPRODUCT(MAX(ROW(E$1:E1740)*(E1741=E$1:E1740)))))</f>
        <v> </v>
      </c>
      <c r="L1741" s="26"/>
    </row>
    <row r="1742" spans="1:12">
      <c r="A1742" s="20" t="s">
        <v>328</v>
      </c>
      <c r="B1742" s="27" t="s">
        <v>517</v>
      </c>
      <c r="C1742" s="27" t="s">
        <v>256</v>
      </c>
      <c r="D1742" s="27" t="s">
        <v>244</v>
      </c>
      <c r="E1742" s="21">
        <f>IF(D1742="?OLD","!!!","")</f>
        <v/>
      </c>
      <c r="F1742" s="22" t="str">
        <f>IF(OR(E1742="",E1742="!!!"),"",IF(NOT(ISNA(VLOOKUP(E1742,E$1:E1741,1,FALSE()))),"OLD",IF(AND(E1742&lt;&gt;"",E1742&lt;&gt;"!!!"),"NEW","")))</f>
        <v> </v>
      </c>
      <c r="G1742" s="23" t="str">
        <f>IF(OR(E1742="",E1742="!!!"),"",IF(OR(J1742=0,AND(J1742=1,K1742=1),AND(J1742=1,I1742="SBJ"),AND(J1742=1,I1742=0)),"?IN_FOCUS",IF(J1742&lt;=2,"?ACTIVATED",IF(J1742&lt;&gt;"","?FAMILIAR",IF(F1742="NEW",IF(ISNA(VLOOKUP(E1742,#REF!,1,FALSE())),"?TYPE_IDENTIFIABLE","?REFERENTIAL"),"_")))))</f>
        <v> </v>
      </c>
      <c r="H1742" s="24" t="str">
        <f>IF(J1742&lt;&gt;1,"",IF(I1742="SBJ","CB","?"))</f>
        <v> </v>
      </c>
      <c r="I1742" s="25" t="str">
        <f>IF(OR(E1742="",E1742="!!!",F1742="NEW"),"",INDEX(B1741:B$2,-1+SUMPRODUCT(MAX(ROW(E1741:E$2)*(E1742=E1741:E$2)))))</f>
        <v> </v>
      </c>
      <c r="J1742" s="25" t="str">
        <f>IF(OR(E1742="",E1742="!!!",F1742="NEW"),"",COUNTBLANK(OFFSET(A$1,,,SUMPRODUCT(MAX(ROW(E$2:E1742)*(E1742=E$2:E1742)))))-COUNTBLANK(OFFSET(A$1,,,SUMPRODUCT(MAX(ROW(E$1:E1741)*(E2=E$1:E1741))))))</f>
        <v> </v>
      </c>
      <c r="K1742" s="25" t="str">
        <f>IF(OR(E1742="",E1742="!!!",F1742="NEW"),"",INDEX(J$1:J1741,SUMPRODUCT(MAX(ROW(E$1:E1741)*(E1742=E$1:E1741)))))</f>
        <v> </v>
      </c>
      <c r="L1742" s="26"/>
    </row>
    <row r="1743" spans="1:12">
      <c r="A1743" s="20" t="s">
        <v>910</v>
      </c>
      <c r="E1743" s="21">
        <f>IF(D1743="?OLD","!!!","")</f>
        <v/>
      </c>
      <c r="F1743" s="22" t="str">
        <f>IF(OR(E1743="",E1743="!!!"),"",IF(NOT(ISNA(VLOOKUP(E1743,E$1:E1742,1,FALSE()))),"OLD",IF(AND(E1743&lt;&gt;"",E1743&lt;&gt;"!!!"),"NEW","")))</f>
        <v> </v>
      </c>
      <c r="G1743" s="23" t="str">
        <f>IF(OR(E1743="",E1743="!!!"),"",IF(OR(J1743=0,AND(J1743=1,K1743=1),AND(J1743=1,I1743="SBJ"),AND(J1743=1,I1743=0)),"?IN_FOCUS",IF(J1743&lt;=2,"?ACTIVATED",IF(J1743&lt;&gt;"","?FAMILIAR",IF(F1743="NEW",IF(ISNA(VLOOKUP(E1743,#REF!,1,FALSE())),"?TYPE_IDENTIFIABLE","?REFERENTIAL"),"_")))))</f>
        <v> </v>
      </c>
      <c r="H1743" s="24" t="str">
        <f>IF(J1743&lt;&gt;1,"",IF(I1743="SBJ","CB","?"))</f>
        <v> </v>
      </c>
      <c r="I1743" s="25" t="str">
        <f>IF(OR(E1743="",E1743="!!!",F1743="NEW"),"",INDEX(B1742:B$2,-1+SUMPRODUCT(MAX(ROW(E1742:E$2)*(E1743=E1742:E$2)))))</f>
        <v> </v>
      </c>
      <c r="J1743" s="25" t="str">
        <f>IF(OR(E1743="",E1743="!!!",F1743="NEW"),"",COUNTBLANK(OFFSET(A$1,,,SUMPRODUCT(MAX(ROW(E$2:E1743)*(E1743=E$2:E1743)))))-COUNTBLANK(OFFSET(A$1,,,SUMPRODUCT(MAX(ROW(E$1:E1742)*(E2=E$1:E1742))))))</f>
        <v> </v>
      </c>
      <c r="K1743" s="25" t="str">
        <f>IF(OR(E1743="",E1743="!!!",F1743="NEW"),"",INDEX(J$1:J1742,SUMPRODUCT(MAX(ROW(E$1:E1742)*(E1743=E$1:E1742)))))</f>
        <v> </v>
      </c>
      <c r="L1743" s="26"/>
    </row>
    <row r="1744" spans="1:12">
      <c r="A1744" s="20" t="s">
        <v>321</v>
      </c>
      <c r="E1744" s="21">
        <f>IF(D1744="?OLD","!!!","")</f>
        <v/>
      </c>
      <c r="F1744" s="22" t="str">
        <f>IF(OR(E1744="",E1744="!!!"),"",IF(NOT(ISNA(VLOOKUP(E1744,E$1:E1743,1,FALSE()))),"OLD",IF(AND(E1744&lt;&gt;"",E1744&lt;&gt;"!!!"),"NEW","")))</f>
        <v> </v>
      </c>
      <c r="G1744" s="23" t="str">
        <f>IF(OR(E1744="",E1744="!!!"),"",IF(OR(J1744=0,AND(J1744=1,K1744=1),AND(J1744=1,I1744="SBJ"),AND(J1744=1,I1744=0)),"?IN_FOCUS",IF(J1744&lt;=2,"?ACTIVATED",IF(J1744&lt;&gt;"","?FAMILIAR",IF(F1744="NEW",IF(ISNA(VLOOKUP(E1744,#REF!,1,FALSE())),"?TYPE_IDENTIFIABLE","?REFERENTIAL"),"_")))))</f>
        <v> </v>
      </c>
      <c r="H1744" s="24" t="str">
        <f>IF(J1744&lt;&gt;1,"",IF(I1744="SBJ","CB","?"))</f>
        <v> </v>
      </c>
      <c r="I1744" s="25" t="str">
        <f>IF(OR(E1744="",E1744="!!!",F1744="NEW"),"",INDEX(B1743:B$2,-1+SUMPRODUCT(MAX(ROW(E1743:E$2)*(E1744=E1743:E$2)))))</f>
        <v> </v>
      </c>
      <c r="J1744" s="25" t="str">
        <f>IF(OR(E1744="",E1744="!!!",F1744="NEW"),"",COUNTBLANK(OFFSET(A$1,,,SUMPRODUCT(MAX(ROW(E$2:E1744)*(E1744=E$2:E1744)))))-COUNTBLANK(OFFSET(A$1,,,SUMPRODUCT(MAX(ROW(E$1:E1743)*(E2=E$1:E1743))))))</f>
        <v> </v>
      </c>
      <c r="K1744" s="25" t="str">
        <f>IF(OR(E1744="",E1744="!!!",F1744="NEW"),"",INDEX(J$1:J1743,SUMPRODUCT(MAX(ROW(E$1:E1743)*(E1744=E$1:E1743)))))</f>
        <v> </v>
      </c>
      <c r="L1744" s="26"/>
    </row>
    <row r="1745" spans="1:12">
      <c r="A1745" s="20" t="s">
        <v>843</v>
      </c>
      <c r="E1745" s="21">
        <f>IF(D1745="?OLD","!!!","")</f>
        <v/>
      </c>
      <c r="F1745" s="22" t="str">
        <f>IF(OR(E1745="",E1745="!!!"),"",IF(NOT(ISNA(VLOOKUP(E1745,E$1:E1744,1,FALSE()))),"OLD",IF(AND(E1745&lt;&gt;"",E1745&lt;&gt;"!!!"),"NEW","")))</f>
        <v> </v>
      </c>
      <c r="G1745" s="23" t="str">
        <f>IF(OR(E1745="",E1745="!!!"),"",IF(OR(J1745=0,AND(J1745=1,K1745=1),AND(J1745=1,I1745="SBJ"),AND(J1745=1,I1745=0)),"?IN_FOCUS",IF(J1745&lt;=2,"?ACTIVATED",IF(J1745&lt;&gt;"","?FAMILIAR",IF(F1745="NEW",IF(ISNA(VLOOKUP(E1745,#REF!,1,FALSE())),"?TYPE_IDENTIFIABLE","?REFERENTIAL"),"_")))))</f>
        <v> </v>
      </c>
      <c r="H1745" s="24" t="str">
        <f>IF(J1745&lt;&gt;1,"",IF(I1745="SBJ","CB","?"))</f>
        <v> </v>
      </c>
      <c r="I1745" s="25" t="str">
        <f>IF(OR(E1745="",E1745="!!!",F1745="NEW"),"",INDEX(B1744:B$2,-1+SUMPRODUCT(MAX(ROW(E1744:E$2)*(E1745=E1744:E$2)))))</f>
        <v> </v>
      </c>
      <c r="J1745" s="25" t="str">
        <f>IF(OR(E1745="",E1745="!!!",F1745="NEW"),"",COUNTBLANK(OFFSET(A$1,,,SUMPRODUCT(MAX(ROW(E$2:E1745)*(E1745=E$2:E1745)))))-COUNTBLANK(OFFSET(A$1,,,SUMPRODUCT(MAX(ROW(E$1:E1744)*(E2=E$1:E1744))))))</f>
        <v> </v>
      </c>
      <c r="K1745" s="25" t="str">
        <f>IF(OR(E1745="",E1745="!!!",F1745="NEW"),"",INDEX(J$1:J1744,SUMPRODUCT(MAX(ROW(E$1:E1744)*(E1745=E$1:E1744)))))</f>
        <v> </v>
      </c>
      <c r="L1745" s="26"/>
    </row>
    <row r="1746" spans="1:12">
      <c r="A1746" s="20" t="s">
        <v>11</v>
      </c>
      <c r="E1746" s="21">
        <f>IF(D1746="?OLD","!!!","")</f>
        <v/>
      </c>
      <c r="F1746" s="22" t="str">
        <f>IF(OR(E1746="",E1746="!!!"),"",IF(NOT(ISNA(VLOOKUP(E1746,E$1:E1745,1,FALSE()))),"OLD",IF(AND(E1746&lt;&gt;"",E1746&lt;&gt;"!!!"),"NEW","")))</f>
        <v> </v>
      </c>
      <c r="G1746" s="23" t="str">
        <f>IF(OR(E1746="",E1746="!!!"),"",IF(OR(J1746=0,AND(J1746=1,K1746=1),AND(J1746=1,I1746="SBJ"),AND(J1746=1,I1746=0)),"?IN_FOCUS",IF(J1746&lt;=2,"?ACTIVATED",IF(J1746&lt;&gt;"","?FAMILIAR",IF(F1746="NEW",IF(ISNA(VLOOKUP(E1746,#REF!,1,FALSE())),"?TYPE_IDENTIFIABLE","?REFERENTIAL"),"_")))))</f>
        <v> </v>
      </c>
      <c r="H1746" s="24" t="str">
        <f>IF(J1746&lt;&gt;1,"",IF(I1746="SBJ","CB","?"))</f>
        <v> </v>
      </c>
      <c r="I1746" s="25" t="str">
        <f>IF(OR(E1746="",E1746="!!!",F1746="NEW"),"",INDEX(B1745:B$2,-1+SUMPRODUCT(MAX(ROW(E1745:E$2)*(E1746=E1745:E$2)))))</f>
        <v> </v>
      </c>
      <c r="J1746" s="25" t="str">
        <f>IF(OR(E1746="",E1746="!!!",F1746="NEW"),"",COUNTBLANK(OFFSET(A$1,,,SUMPRODUCT(MAX(ROW(E$2:E1746)*(E1746=E$2:E1746)))))-COUNTBLANK(OFFSET(A$1,,,SUMPRODUCT(MAX(ROW(E$1:E1745)*(E2=E$1:E1745))))))</f>
        <v> </v>
      </c>
      <c r="K1746" s="25" t="str">
        <f>IF(OR(E1746="",E1746="!!!",F1746="NEW"),"",INDEX(J$1:J1745,SUMPRODUCT(MAX(ROW(E$1:E1745)*(E1746=E$1:E1745)))))</f>
        <v> </v>
      </c>
      <c r="L1746" s="26"/>
    </row>
    <row r="1747" spans="1:12">
      <c r="A1747" s="20" t="s">
        <v>318</v>
      </c>
      <c r="E1747" s="21">
        <f>IF(D1747="?OLD","!!!","")</f>
        <v/>
      </c>
      <c r="F1747" s="22" t="str">
        <f>IF(OR(E1747="",E1747="!!!"),"",IF(NOT(ISNA(VLOOKUP(E1747,E$1:E1746,1,FALSE()))),"OLD",IF(AND(E1747&lt;&gt;"",E1747&lt;&gt;"!!!"),"NEW","")))</f>
        <v> </v>
      </c>
      <c r="G1747" s="23" t="str">
        <f>IF(OR(E1747="",E1747="!!!"),"",IF(OR(J1747=0,AND(J1747=1,K1747=1),AND(J1747=1,I1747="SBJ"),AND(J1747=1,I1747=0)),"?IN_FOCUS",IF(J1747&lt;=2,"?ACTIVATED",IF(J1747&lt;&gt;"","?FAMILIAR",IF(F1747="NEW",IF(ISNA(VLOOKUP(E1747,#REF!,1,FALSE())),"?TYPE_IDENTIFIABLE","?REFERENTIAL"),"_")))))</f>
        <v> </v>
      </c>
      <c r="H1747" s="24" t="str">
        <f>IF(J1747&lt;&gt;1,"",IF(I1747="SBJ","CB","?"))</f>
        <v> </v>
      </c>
      <c r="I1747" s="25" t="str">
        <f>IF(OR(E1747="",E1747="!!!",F1747="NEW"),"",INDEX(B1746:B$2,-1+SUMPRODUCT(MAX(ROW(E1746:E$2)*(E1747=E1746:E$2)))))</f>
        <v> </v>
      </c>
      <c r="J1747" s="25" t="str">
        <f>IF(OR(E1747="",E1747="!!!",F1747="NEW"),"",COUNTBLANK(OFFSET(A$1,,,SUMPRODUCT(MAX(ROW(E$2:E1747)*(E1747=E$2:E1747)))))-COUNTBLANK(OFFSET(A$1,,,SUMPRODUCT(MAX(ROW(E$1:E1746)*(E2=E$1:E1746))))))</f>
        <v> </v>
      </c>
      <c r="K1747" s="25" t="str">
        <f>IF(OR(E1747="",E1747="!!!",F1747="NEW"),"",INDEX(J$1:J1746,SUMPRODUCT(MAX(ROW(E$1:E1746)*(E1747=E$1:E1746)))))</f>
        <v> </v>
      </c>
      <c r="L1747" s="26"/>
    </row>
    <row r="1748" spans="1:12">
      <c r="A1748" s="20" t="s">
        <v>825</v>
      </c>
      <c r="B1748" s="27" t="s">
        <v>597</v>
      </c>
      <c r="C1748" s="27" t="s">
        <v>281</v>
      </c>
      <c r="E1748" s="21">
        <f>IF(D1748="?OLD","!!!","")</f>
        <v/>
      </c>
      <c r="F1748" s="22" t="str">
        <f>IF(OR(E1748="",E1748="!!!"),"",IF(NOT(ISNA(VLOOKUP(E1748,E$1:E1747,1,FALSE()))),"OLD",IF(AND(E1748&lt;&gt;"",E1748&lt;&gt;"!!!"),"NEW","")))</f>
        <v> </v>
      </c>
      <c r="G1748" s="23" t="str">
        <f>IF(OR(E1748="",E1748="!!!"),"",IF(OR(J1748=0,AND(J1748=1,K1748=1),AND(J1748=1,I1748="SBJ"),AND(J1748=1,I1748=0)),"?IN_FOCUS",IF(J1748&lt;=2,"?ACTIVATED",IF(J1748&lt;&gt;"","?FAMILIAR",IF(F1748="NEW",IF(ISNA(VLOOKUP(E1748,#REF!,1,FALSE())),"?TYPE_IDENTIFIABLE","?REFERENTIAL"),"_")))))</f>
        <v> </v>
      </c>
      <c r="H1748" s="24" t="str">
        <f>IF(J1748&lt;&gt;1,"",IF(I1748="SBJ","CB","?"))</f>
        <v> </v>
      </c>
      <c r="I1748" s="25" t="str">
        <f>IF(OR(E1748="",E1748="!!!",F1748="NEW"),"",INDEX(B1747:B$2,-1+SUMPRODUCT(MAX(ROW(E1747:E$2)*(E1748=E1747:E$2)))))</f>
        <v> </v>
      </c>
      <c r="J1748" s="25" t="str">
        <f>IF(OR(E1748="",E1748="!!!",F1748="NEW"),"",COUNTBLANK(OFFSET(A$1,,,SUMPRODUCT(MAX(ROW(E$2:E1748)*(E1748=E$2:E1748)))))-COUNTBLANK(OFFSET(A$1,,,SUMPRODUCT(MAX(ROW(E$1:E1747)*(E2=E$1:E1747))))))</f>
        <v> </v>
      </c>
      <c r="K1748" s="25" t="str">
        <f>IF(OR(E1748="",E1748="!!!",F1748="NEW"),"",INDEX(J$1:J1747,SUMPRODUCT(MAX(ROW(E$1:E1747)*(E1748=E$1:E1747)))))</f>
        <v> </v>
      </c>
      <c r="L1748" s="26"/>
    </row>
    <row r="1749" spans="1:12">
      <c r="A1749" s="20" t="s">
        <v>285</v>
      </c>
      <c r="E1749" s="21">
        <f>IF(D1749="?OLD","!!!","")</f>
        <v/>
      </c>
      <c r="F1749" s="22" t="str">
        <f>IF(OR(E1749="",E1749="!!!"),"",IF(NOT(ISNA(VLOOKUP(E1749,E$1:E1748,1,FALSE()))),"OLD",IF(AND(E1749&lt;&gt;"",E1749&lt;&gt;"!!!"),"NEW","")))</f>
        <v> </v>
      </c>
      <c r="G1749" s="23" t="str">
        <f>IF(OR(E1749="",E1749="!!!"),"",IF(OR(J1749=0,AND(J1749=1,K1749=1),AND(J1749=1,I1749="SBJ"),AND(J1749=1,I1749=0)),"?IN_FOCUS",IF(J1749&lt;=2,"?ACTIVATED",IF(J1749&lt;&gt;"","?FAMILIAR",IF(F1749="NEW",IF(ISNA(VLOOKUP(E1749,#REF!,1,FALSE())),"?TYPE_IDENTIFIABLE","?REFERENTIAL"),"_")))))</f>
        <v> </v>
      </c>
      <c r="H1749" s="24" t="str">
        <f>IF(J1749&lt;&gt;1,"",IF(I1749="SBJ","CB","?"))</f>
        <v> </v>
      </c>
      <c r="I1749" s="25" t="str">
        <f>IF(OR(E1749="",E1749="!!!",F1749="NEW"),"",INDEX(B1748:B$2,-1+SUMPRODUCT(MAX(ROW(E1748:E$2)*(E1749=E1748:E$2)))))</f>
        <v> </v>
      </c>
      <c r="J1749" s="25" t="str">
        <f>IF(OR(E1749="",E1749="!!!",F1749="NEW"),"",COUNTBLANK(OFFSET(A$1,,,SUMPRODUCT(MAX(ROW(E$2:E1749)*(E1749=E$2:E1749)))))-COUNTBLANK(OFFSET(A$1,,,SUMPRODUCT(MAX(ROW(E$1:E1748)*(E2=E$1:E1748))))))</f>
        <v> </v>
      </c>
      <c r="K1749" s="25" t="str">
        <f>IF(OR(E1749="",E1749="!!!",F1749="NEW"),"",INDEX(J$1:J1748,SUMPRODUCT(MAX(ROW(E$1:E1748)*(E1749=E$1:E1748)))))</f>
        <v> </v>
      </c>
      <c r="L1749" s="26"/>
    </row>
    <row r="1750" spans="1:12">
      <c r="A1750" s="20"/>
    </row>
    <row r="1751" spans="1:12">
      <c r="A1751" s="20" t="s">
        <v>911</v>
      </c>
    </row>
    <row r="1752" spans="1:12">
      <c r="A1752" s="20" t="s">
        <v>383</v>
      </c>
      <c r="E1752" s="21">
        <f>IF(D1752="?OLD","!!!","")</f>
        <v/>
      </c>
      <c r="F1752" s="22" t="str">
        <f>IF(OR(E1752="",E1752="!!!"),"",IF(NOT(ISNA(VLOOKUP(E1752,E$1:E1751,1,FALSE()))),"OLD",IF(AND(E1752&lt;&gt;"",E1752&lt;&gt;"!!!"),"NEW","")))</f>
        <v> </v>
      </c>
      <c r="G1752" s="23" t="str">
        <f>IF(OR(E1752="",E1752="!!!"),"",IF(OR(J1752=0,AND(J1752=1,K1752=1),AND(J1752=1,I1752="SBJ"),AND(J1752=1,I1752=0)),"?IN_FOCUS",IF(J1752&lt;=2,"?ACTIVATED",IF(J1752&lt;&gt;"","?FAMILIAR",IF(F1752="NEW",IF(ISNA(VLOOKUP(E1752,#REF!,1,FALSE())),"?TYPE_IDENTIFIABLE","?REFERENTIAL"),"_")))))</f>
        <v> </v>
      </c>
      <c r="H1752" s="24" t="str">
        <f>IF(J1752&lt;&gt;1,"",IF(I1752="SBJ","CB","?"))</f>
        <v> </v>
      </c>
      <c r="I1752" s="25" t="str">
        <f>IF(OR(E1752="",E1752="!!!",F1752="NEW"),"",INDEX(B1751:B$2,-1+SUMPRODUCT(MAX(ROW(E1751:E$2)*(E1752=E1751:E$2)))))</f>
        <v> </v>
      </c>
      <c r="J1752" s="25" t="str">
        <f>IF(OR(E1752="",E1752="!!!",F1752="NEW"),"",COUNTBLANK(OFFSET(A$1,,,SUMPRODUCT(MAX(ROW(E$2:E1752)*(E1752=E$2:E1752)))))-COUNTBLANK(OFFSET(A$1,,,SUMPRODUCT(MAX(ROW(E$1:E1751)*(E2=E$1:E1751))))))</f>
        <v> </v>
      </c>
      <c r="K1752" s="25" t="str">
        <f>IF(OR(E1752="",E1752="!!!",F1752="NEW"),"",INDEX(J$1:J1751,SUMPRODUCT(MAX(ROW(E$1:E1751)*(E1752=E$1:E1751)))))</f>
        <v> </v>
      </c>
      <c r="L1752" s="26"/>
    </row>
    <row r="1753" spans="1:12">
      <c r="A1753" s="20" t="s">
        <v>912</v>
      </c>
      <c r="E1753" s="21">
        <f>IF(D1753="?OLD","!!!","")</f>
        <v/>
      </c>
      <c r="F1753" s="22" t="str">
        <f>IF(OR(E1753="",E1753="!!!"),"",IF(NOT(ISNA(VLOOKUP(E1753,E$1:E1752,1,FALSE()))),"OLD",IF(AND(E1753&lt;&gt;"",E1753&lt;&gt;"!!!"),"NEW","")))</f>
        <v> </v>
      </c>
      <c r="G1753" s="23" t="str">
        <f>IF(OR(E1753="",E1753="!!!"),"",IF(OR(J1753=0,AND(J1753=1,K1753=1),AND(J1753=1,I1753="SBJ"),AND(J1753=1,I1753=0)),"?IN_FOCUS",IF(J1753&lt;=2,"?ACTIVATED",IF(J1753&lt;&gt;"","?FAMILIAR",IF(F1753="NEW",IF(ISNA(VLOOKUP(E1753,#REF!,1,FALSE())),"?TYPE_IDENTIFIABLE","?REFERENTIAL"),"_")))))</f>
        <v> </v>
      </c>
      <c r="H1753" s="24" t="str">
        <f>IF(J1753&lt;&gt;1,"",IF(I1753="SBJ","CB","?"))</f>
        <v> </v>
      </c>
      <c r="I1753" s="25" t="str">
        <f>IF(OR(E1753="",E1753="!!!",F1753="NEW"),"",INDEX(B1752:B$2,-1+SUMPRODUCT(MAX(ROW(E1752:E$2)*(E1753=E1752:E$2)))))</f>
        <v> </v>
      </c>
      <c r="J1753" s="25" t="str">
        <f>IF(OR(E1753="",E1753="!!!",F1753="NEW"),"",COUNTBLANK(OFFSET(A$1,,,SUMPRODUCT(MAX(ROW(E$2:E1753)*(E1753=E$2:E1753)))))-COUNTBLANK(OFFSET(A$1,,,SUMPRODUCT(MAX(ROW(E$1:E1752)*(E2=E$1:E1752))))))</f>
        <v> </v>
      </c>
      <c r="K1753" s="25" t="str">
        <f>IF(OR(E1753="",E1753="!!!",F1753="NEW"),"",INDEX(J$1:J1752,SUMPRODUCT(MAX(ROW(E$1:E1752)*(E1753=E$1:E1752)))))</f>
        <v> </v>
      </c>
      <c r="L1753" s="26"/>
    </row>
    <row r="1754" spans="1:12">
      <c r="A1754" s="20" t="s">
        <v>305</v>
      </c>
      <c r="E1754" s="21">
        <f>IF(D1754="?OLD","!!!","")</f>
        <v/>
      </c>
      <c r="F1754" s="22" t="str">
        <f>IF(OR(E1754="",E1754="!!!"),"",IF(NOT(ISNA(VLOOKUP(E1754,E$1:E1753,1,FALSE()))),"OLD",IF(AND(E1754&lt;&gt;"",E1754&lt;&gt;"!!!"),"NEW","")))</f>
        <v> </v>
      </c>
      <c r="G1754" s="23" t="str">
        <f>IF(OR(E1754="",E1754="!!!"),"",IF(OR(J1754=0,AND(J1754=1,K1754=1),AND(J1754=1,I1754="SBJ"),AND(J1754=1,I1754=0)),"?IN_FOCUS",IF(J1754&lt;=2,"?ACTIVATED",IF(J1754&lt;&gt;"","?FAMILIAR",IF(F1754="NEW",IF(ISNA(VLOOKUP(E1754,#REF!,1,FALSE())),"?TYPE_IDENTIFIABLE","?REFERENTIAL"),"_")))))</f>
        <v> </v>
      </c>
      <c r="H1754" s="24" t="str">
        <f>IF(J1754&lt;&gt;1,"",IF(I1754="SBJ","CB","?"))</f>
        <v> </v>
      </c>
      <c r="I1754" s="25" t="str">
        <f>IF(OR(E1754="",E1754="!!!",F1754="NEW"),"",INDEX(B1753:B$2,-1+SUMPRODUCT(MAX(ROW(E1753:E$2)*(E1754=E1753:E$2)))))</f>
        <v> </v>
      </c>
      <c r="J1754" s="25" t="str">
        <f>IF(OR(E1754="",E1754="!!!",F1754="NEW"),"",COUNTBLANK(OFFSET(A$1,,,SUMPRODUCT(MAX(ROW(E$2:E1754)*(E1754=E$2:E1754)))))-COUNTBLANK(OFFSET(A$1,,,SUMPRODUCT(MAX(ROW(E$1:E1753)*(E2=E$1:E1753))))))</f>
        <v> </v>
      </c>
      <c r="K1754" s="25" t="str">
        <f>IF(OR(E1754="",E1754="!!!",F1754="NEW"),"",INDEX(J$1:J1753,SUMPRODUCT(MAX(ROW(E$1:E1753)*(E1754=E$1:E1753)))))</f>
        <v> </v>
      </c>
      <c r="L1754" s="26"/>
    </row>
    <row r="1755" spans="1:12">
      <c r="A1755" s="20" t="s">
        <v>328</v>
      </c>
      <c r="B1755" s="27" t="s">
        <v>255</v>
      </c>
      <c r="C1755" s="27" t="s">
        <v>256</v>
      </c>
      <c r="D1755" s="27" t="s">
        <v>244</v>
      </c>
      <c r="E1755" s="21">
        <f>IF(D1755="?OLD","!!!","")</f>
        <v/>
      </c>
      <c r="F1755" s="22" t="str">
        <f>IF(OR(E1755="",E1755="!!!"),"",IF(NOT(ISNA(VLOOKUP(E1755,E$1:E1754,1,FALSE()))),"OLD",IF(AND(E1755&lt;&gt;"",E1755&lt;&gt;"!!!"),"NEW","")))</f>
        <v> </v>
      </c>
      <c r="G1755" s="23" t="str">
        <f>IF(OR(E1755="",E1755="!!!"),"",IF(OR(J1755=0,AND(J1755=1,K1755=1),AND(J1755=1,I1755="SBJ"),AND(J1755=1,I1755=0)),"?IN_FOCUS",IF(J1755&lt;=2,"?ACTIVATED",IF(J1755&lt;&gt;"","?FAMILIAR",IF(F1755="NEW",IF(ISNA(VLOOKUP(E1755,#REF!,1,FALSE())),"?TYPE_IDENTIFIABLE","?REFERENTIAL"),"_")))))</f>
        <v> </v>
      </c>
      <c r="H1755" s="24" t="str">
        <f>IF(J1755&lt;&gt;1,"",IF(I1755="SBJ","CB","?"))</f>
        <v> </v>
      </c>
      <c r="I1755" s="25" t="str">
        <f>IF(OR(E1755="",E1755="!!!",F1755="NEW"),"",INDEX(B1754:B$2,-1+SUMPRODUCT(MAX(ROW(E1754:E$2)*(E1755=E1754:E$2)))))</f>
        <v> </v>
      </c>
      <c r="J1755" s="25" t="str">
        <f>IF(OR(E1755="",E1755="!!!",F1755="NEW"),"",COUNTBLANK(OFFSET(A$1,,,SUMPRODUCT(MAX(ROW(E$2:E1755)*(E1755=E$2:E1755)))))-COUNTBLANK(OFFSET(A$1,,,SUMPRODUCT(MAX(ROW(E$1:E1754)*(E2=E$1:E1754))))))</f>
        <v> </v>
      </c>
      <c r="K1755" s="25" t="str">
        <f>IF(OR(E1755="",E1755="!!!",F1755="NEW"),"",INDEX(J$1:J1754,SUMPRODUCT(MAX(ROW(E$1:E1754)*(E1755=E$1:E1754)))))</f>
        <v> </v>
      </c>
      <c r="L1755" s="26"/>
    </row>
    <row r="1756" spans="1:12">
      <c r="A1756" s="20" t="s">
        <v>913</v>
      </c>
      <c r="E1756" s="21">
        <f>IF(D1756="?OLD","!!!","")</f>
        <v/>
      </c>
      <c r="F1756" s="22" t="str">
        <f>IF(OR(E1756="",E1756="!!!"),"",IF(NOT(ISNA(VLOOKUP(E1756,E$1:E1755,1,FALSE()))),"OLD",IF(AND(E1756&lt;&gt;"",E1756&lt;&gt;"!!!"),"NEW","")))</f>
        <v> </v>
      </c>
      <c r="G1756" s="23" t="str">
        <f>IF(OR(E1756="",E1756="!!!"),"",IF(OR(J1756=0,AND(J1756=1,K1756=1),AND(J1756=1,I1756="SBJ"),AND(J1756=1,I1756=0)),"?IN_FOCUS",IF(J1756&lt;=2,"?ACTIVATED",IF(J1756&lt;&gt;"","?FAMILIAR",IF(F1756="NEW",IF(ISNA(VLOOKUP(E1756,#REF!,1,FALSE())),"?TYPE_IDENTIFIABLE","?REFERENTIAL"),"_")))))</f>
        <v> </v>
      </c>
      <c r="H1756" s="24" t="str">
        <f>IF(J1756&lt;&gt;1,"",IF(I1756="SBJ","CB","?"))</f>
        <v> </v>
      </c>
      <c r="I1756" s="25" t="str">
        <f>IF(OR(E1756="",E1756="!!!",F1756="NEW"),"",INDEX(B1755:B$2,-1+SUMPRODUCT(MAX(ROW(E1755:E$2)*(E1756=E1755:E$2)))))</f>
        <v> </v>
      </c>
      <c r="J1756" s="25" t="str">
        <f>IF(OR(E1756="",E1756="!!!",F1756="NEW"),"",COUNTBLANK(OFFSET(A$1,,,SUMPRODUCT(MAX(ROW(E$2:E1756)*(E1756=E$2:E1756)))))-COUNTBLANK(OFFSET(A$1,,,SUMPRODUCT(MAX(ROW(E$1:E1755)*(E2=E$1:E1755))))))</f>
        <v> </v>
      </c>
      <c r="K1756" s="25" t="str">
        <f>IF(OR(E1756="",E1756="!!!",F1756="NEW"),"",INDEX(J$1:J1755,SUMPRODUCT(MAX(ROW(E$1:E1755)*(E1756=E$1:E1755)))))</f>
        <v> </v>
      </c>
      <c r="L1756" s="26"/>
    </row>
    <row r="1757" spans="1:12">
      <c r="A1757" s="20" t="s">
        <v>248</v>
      </c>
      <c r="E1757" s="21">
        <f>IF(D1757="?OLD","!!!","")</f>
        <v/>
      </c>
      <c r="F1757" s="22" t="str">
        <f>IF(OR(E1757="",E1757="!!!"),"",IF(NOT(ISNA(VLOOKUP(E1757,E$1:E1756,1,FALSE()))),"OLD",IF(AND(E1757&lt;&gt;"",E1757&lt;&gt;"!!!"),"NEW","")))</f>
        <v> </v>
      </c>
      <c r="G1757" s="23" t="str">
        <f>IF(OR(E1757="",E1757="!!!"),"",IF(OR(J1757=0,AND(J1757=1,K1757=1),AND(J1757=1,I1757="SBJ"),AND(J1757=1,I1757=0)),"?IN_FOCUS",IF(J1757&lt;=2,"?ACTIVATED",IF(J1757&lt;&gt;"","?FAMILIAR",IF(F1757="NEW",IF(ISNA(VLOOKUP(E1757,#REF!,1,FALSE())),"?TYPE_IDENTIFIABLE","?REFERENTIAL"),"_")))))</f>
        <v> </v>
      </c>
      <c r="H1757" s="24" t="str">
        <f>IF(J1757&lt;&gt;1,"",IF(I1757="SBJ","CB","?"))</f>
        <v> </v>
      </c>
      <c r="I1757" s="25" t="str">
        <f>IF(OR(E1757="",E1757="!!!",F1757="NEW"),"",INDEX(B1756:B$2,-1+SUMPRODUCT(MAX(ROW(E1756:E$2)*(E1757=E1756:E$2)))))</f>
        <v> </v>
      </c>
      <c r="J1757" s="25" t="str">
        <f>IF(OR(E1757="",E1757="!!!",F1757="NEW"),"",COUNTBLANK(OFFSET(A$1,,,SUMPRODUCT(MAX(ROW(E$2:E1757)*(E1757=E$2:E1757)))))-COUNTBLANK(OFFSET(A$1,,,SUMPRODUCT(MAX(ROW(E$1:E1756)*(E2=E$1:E1756))))))</f>
        <v> </v>
      </c>
      <c r="K1757" s="25" t="str">
        <f>IF(OR(E1757="",E1757="!!!",F1757="NEW"),"",INDEX(J$1:J1756,SUMPRODUCT(MAX(ROW(E$1:E1756)*(E1757=E$1:E1756)))))</f>
        <v> </v>
      </c>
      <c r="L1757" s="26"/>
    </row>
    <row r="1758" spans="1:12">
      <c r="A1758" s="20" t="s">
        <v>903</v>
      </c>
      <c r="B1758" s="27" t="s">
        <v>251</v>
      </c>
      <c r="C1758" s="27" t="s">
        <v>252</v>
      </c>
      <c r="D1758" s="27" t="s">
        <v>244</v>
      </c>
      <c r="E1758" s="21">
        <f>IF(D1758="?OLD","!!!","")</f>
        <v/>
      </c>
      <c r="F1758" s="22" t="str">
        <f>IF(OR(E1758="",E1758="!!!"),"",IF(NOT(ISNA(VLOOKUP(E1758,E$1:E1757,1,FALSE()))),"OLD",IF(AND(E1758&lt;&gt;"",E1758&lt;&gt;"!!!"),"NEW","")))</f>
        <v> </v>
      </c>
      <c r="G1758" s="23" t="str">
        <f>IF(OR(E1758="",E1758="!!!"),"",IF(OR(J1758=0,AND(J1758=1,K1758=1),AND(J1758=1,I1758="SBJ"),AND(J1758=1,I1758=0)),"?IN_FOCUS",IF(J1758&lt;=2,"?ACTIVATED",IF(J1758&lt;&gt;"","?FAMILIAR",IF(F1758="NEW",IF(ISNA(VLOOKUP(E1758,#REF!,1,FALSE())),"?TYPE_IDENTIFIABLE","?REFERENTIAL"),"_")))))</f>
        <v> </v>
      </c>
      <c r="H1758" s="24" t="str">
        <f>IF(J1758&lt;&gt;1,"",IF(I1758="SBJ","CB","?"))</f>
        <v> </v>
      </c>
      <c r="I1758" s="25" t="str">
        <f>IF(OR(E1758="",E1758="!!!",F1758="NEW"),"",INDEX(B1757:B$2,-1+SUMPRODUCT(MAX(ROW(E1757:E$2)*(E1758=E1757:E$2)))))</f>
        <v> </v>
      </c>
      <c r="J1758" s="25" t="str">
        <f>IF(OR(E1758="",E1758="!!!",F1758="NEW"),"",COUNTBLANK(OFFSET(A$1,,,SUMPRODUCT(MAX(ROW(E$2:E1758)*(E1758=E$2:E1758)))))-COUNTBLANK(OFFSET(A$1,,,SUMPRODUCT(MAX(ROW(E$1:E1757)*(E2=E$1:E1757))))))</f>
        <v> </v>
      </c>
      <c r="K1758" s="25" t="str">
        <f>IF(OR(E1758="",E1758="!!!",F1758="NEW"),"",INDEX(J$1:J1757,SUMPRODUCT(MAX(ROW(E$1:E1757)*(E1758=E$1:E1757)))))</f>
        <v> </v>
      </c>
      <c r="L1758" s="26"/>
    </row>
    <row r="1759" spans="1:12">
      <c r="A1759" s="20" t="s">
        <v>321</v>
      </c>
      <c r="E1759" s="21">
        <f>IF(D1759="?OLD","!!!","")</f>
        <v/>
      </c>
      <c r="F1759" s="22" t="str">
        <f>IF(OR(E1759="",E1759="!!!"),"",IF(NOT(ISNA(VLOOKUP(E1759,E$1:E1758,1,FALSE()))),"OLD",IF(AND(E1759&lt;&gt;"",E1759&lt;&gt;"!!!"),"NEW","")))</f>
        <v> </v>
      </c>
      <c r="G1759" s="23" t="str">
        <f>IF(OR(E1759="",E1759="!!!"),"",IF(OR(J1759=0,AND(J1759=1,K1759=1),AND(J1759=1,I1759="SBJ"),AND(J1759=1,I1759=0)),"?IN_FOCUS",IF(J1759&lt;=2,"?ACTIVATED",IF(J1759&lt;&gt;"","?FAMILIAR",IF(F1759="NEW",IF(ISNA(VLOOKUP(E1759,#REF!,1,FALSE())),"?TYPE_IDENTIFIABLE","?REFERENTIAL"),"_")))))</f>
        <v> </v>
      </c>
      <c r="H1759" s="24" t="str">
        <f>IF(J1759&lt;&gt;1,"",IF(I1759="SBJ","CB","?"))</f>
        <v> </v>
      </c>
      <c r="I1759" s="25" t="str">
        <f>IF(OR(E1759="",E1759="!!!",F1759="NEW"),"",INDEX(B1758:B$2,-1+SUMPRODUCT(MAX(ROW(E1758:E$2)*(E1759=E1758:E$2)))))</f>
        <v> </v>
      </c>
      <c r="J1759" s="25" t="str">
        <f>IF(OR(E1759="",E1759="!!!",F1759="NEW"),"",COUNTBLANK(OFFSET(A$1,,,SUMPRODUCT(MAX(ROW(E$2:E1759)*(E1759=E$2:E1759)))))-COUNTBLANK(OFFSET(A$1,,,SUMPRODUCT(MAX(ROW(E$1:E1758)*(E2=E$1:E1758))))))</f>
        <v> </v>
      </c>
      <c r="K1759" s="25" t="str">
        <f>IF(OR(E1759="",E1759="!!!",F1759="NEW"),"",INDEX(J$1:J1758,SUMPRODUCT(MAX(ROW(E$1:E1758)*(E1759=E$1:E1758)))))</f>
        <v> </v>
      </c>
      <c r="L1759" s="26"/>
    </row>
    <row r="1760" spans="1:12">
      <c r="A1760" s="20" t="s">
        <v>248</v>
      </c>
      <c r="E1760" s="21">
        <f>IF(D1760="?OLD","!!!","")</f>
        <v/>
      </c>
      <c r="F1760" s="22" t="str">
        <f>IF(OR(E1760="",E1760="!!!"),"",IF(NOT(ISNA(VLOOKUP(E1760,E$1:E1759,1,FALSE()))),"OLD",IF(AND(E1760&lt;&gt;"",E1760&lt;&gt;"!!!"),"NEW","")))</f>
        <v> </v>
      </c>
      <c r="G1760" s="23" t="str">
        <f>IF(OR(E1760="",E1760="!!!"),"",IF(OR(J1760=0,AND(J1760=1,K1760=1),AND(J1760=1,I1760="SBJ"),AND(J1760=1,I1760=0)),"?IN_FOCUS",IF(J1760&lt;=2,"?ACTIVATED",IF(J1760&lt;&gt;"","?FAMILIAR",IF(F1760="NEW",IF(ISNA(VLOOKUP(E1760,#REF!,1,FALSE())),"?TYPE_IDENTIFIABLE","?REFERENTIAL"),"_")))))</f>
        <v> </v>
      </c>
      <c r="H1760" s="24" t="str">
        <f>IF(J1760&lt;&gt;1,"",IF(I1760="SBJ","CB","?"))</f>
        <v> </v>
      </c>
      <c r="I1760" s="25" t="str">
        <f>IF(OR(E1760="",E1760="!!!",F1760="NEW"),"",INDEX(B1759:B$2,-1+SUMPRODUCT(MAX(ROW(E1759:E$2)*(E1760=E1759:E$2)))))</f>
        <v> </v>
      </c>
      <c r="J1760" s="25" t="str">
        <f>IF(OR(E1760="",E1760="!!!",F1760="NEW"),"",COUNTBLANK(OFFSET(A$1,,,SUMPRODUCT(MAX(ROW(E$2:E1760)*(E1760=E$2:E1760)))))-COUNTBLANK(OFFSET(A$1,,,SUMPRODUCT(MAX(ROW(E$1:E1759)*(E2=E$1:E1759))))))</f>
        <v> </v>
      </c>
      <c r="K1760" s="25" t="str">
        <f>IF(OR(E1760="",E1760="!!!",F1760="NEW"),"",INDEX(J$1:J1759,SUMPRODUCT(MAX(ROW(E$1:E1759)*(E1760=E$1:E1759)))))</f>
        <v> </v>
      </c>
      <c r="L1760" s="26"/>
    </row>
    <row r="1761" spans="1:12">
      <c r="A1761" s="20" t="s">
        <v>904</v>
      </c>
      <c r="B1761" s="27" t="s">
        <v>291</v>
      </c>
      <c r="C1761" s="27" t="s">
        <v>252</v>
      </c>
      <c r="D1761" s="27" t="s">
        <v>244</v>
      </c>
      <c r="E1761" s="21">
        <f>IF(D1761="?OLD","!!!","")</f>
        <v/>
      </c>
      <c r="F1761" s="22" t="str">
        <f>IF(OR(E1761="",E1761="!!!"),"",IF(NOT(ISNA(VLOOKUP(E1761,E$1:E1760,1,FALSE()))),"OLD",IF(AND(E1761&lt;&gt;"",E1761&lt;&gt;"!!!"),"NEW","")))</f>
        <v> </v>
      </c>
      <c r="G1761" s="23" t="str">
        <f>IF(OR(E1761="",E1761="!!!"),"",IF(OR(J1761=0,AND(J1761=1,K1761=1),AND(J1761=1,I1761="SBJ"),AND(J1761=1,I1761=0)),"?IN_FOCUS",IF(J1761&lt;=2,"?ACTIVATED",IF(J1761&lt;&gt;"","?FAMILIAR",IF(F1761="NEW",IF(ISNA(VLOOKUP(E1761,#REF!,1,FALSE())),"?TYPE_IDENTIFIABLE","?REFERENTIAL"),"_")))))</f>
        <v> </v>
      </c>
      <c r="H1761" s="24" t="str">
        <f>IF(J1761&lt;&gt;1,"",IF(I1761="SBJ","CB","?"))</f>
        <v> </v>
      </c>
      <c r="I1761" s="25" t="str">
        <f>IF(OR(E1761="",E1761="!!!",F1761="NEW"),"",INDEX(B1760:B$2,-1+SUMPRODUCT(MAX(ROW(E1760:E$2)*(E1761=E1760:E$2)))))</f>
        <v> </v>
      </c>
      <c r="J1761" s="25" t="str">
        <f>IF(OR(E1761="",E1761="!!!",F1761="NEW"),"",COUNTBLANK(OFFSET(A$1,,,SUMPRODUCT(MAX(ROW(E$2:E1761)*(E1761=E$2:E1761)))))-COUNTBLANK(OFFSET(A$1,,,SUMPRODUCT(MAX(ROW(E$1:E1760)*(E2=E$1:E1760))))))</f>
        <v> </v>
      </c>
      <c r="K1761" s="25" t="str">
        <f>IF(OR(E1761="",E1761="!!!",F1761="NEW"),"",INDEX(J$1:J1760,SUMPRODUCT(MAX(ROW(E$1:E1760)*(E1761=E$1:E1760)))))</f>
        <v> </v>
      </c>
      <c r="L1761" s="26"/>
    </row>
    <row r="1762" spans="1:12">
      <c r="A1762" s="20" t="s">
        <v>314</v>
      </c>
      <c r="E1762" s="21">
        <f>IF(D1762="?OLD","!!!","")</f>
        <v/>
      </c>
      <c r="F1762" s="22" t="str">
        <f>IF(OR(E1762="",E1762="!!!"),"",IF(NOT(ISNA(VLOOKUP(E1762,E$1:E1761,1,FALSE()))),"OLD",IF(AND(E1762&lt;&gt;"",E1762&lt;&gt;"!!!"),"NEW","")))</f>
        <v> </v>
      </c>
      <c r="G1762" s="23" t="str">
        <f>IF(OR(E1762="",E1762="!!!"),"",IF(OR(J1762=0,AND(J1762=1,K1762=1),AND(J1762=1,I1762="SBJ"),AND(J1762=1,I1762=0)),"?IN_FOCUS",IF(J1762&lt;=2,"?ACTIVATED",IF(J1762&lt;&gt;"","?FAMILIAR",IF(F1762="NEW",IF(ISNA(VLOOKUP(E1762,#REF!,1,FALSE())),"?TYPE_IDENTIFIABLE","?REFERENTIAL"),"_")))))</f>
        <v> </v>
      </c>
      <c r="H1762" s="24" t="str">
        <f>IF(J1762&lt;&gt;1,"",IF(I1762="SBJ","CB","?"))</f>
        <v> </v>
      </c>
      <c r="I1762" s="25" t="str">
        <f>IF(OR(E1762="",E1762="!!!",F1762="NEW"),"",INDEX(B1761:B$2,-1+SUMPRODUCT(MAX(ROW(E1761:E$2)*(E1762=E1761:E$2)))))</f>
        <v> </v>
      </c>
      <c r="J1762" s="25" t="str">
        <f>IF(OR(E1762="",E1762="!!!",F1762="NEW"),"",COUNTBLANK(OFFSET(A$1,,,SUMPRODUCT(MAX(ROW(E$2:E1762)*(E1762=E$2:E1762)))))-COUNTBLANK(OFFSET(A$1,,,SUMPRODUCT(MAX(ROW(E$1:E1761)*(E2=E$1:E1761))))))</f>
        <v> </v>
      </c>
      <c r="K1762" s="25" t="str">
        <f>IF(OR(E1762="",E1762="!!!",F1762="NEW"),"",INDEX(J$1:J1761,SUMPRODUCT(MAX(ROW(E$1:E1761)*(E1762=E$1:E1761)))))</f>
        <v> </v>
      </c>
      <c r="L1762" s="26"/>
    </row>
    <row r="1763" spans="1:12">
      <c r="A1763" s="20" t="s">
        <v>370</v>
      </c>
      <c r="E1763" s="21">
        <f>IF(D1763="?OLD","!!!","")</f>
        <v/>
      </c>
      <c r="F1763" s="22" t="str">
        <f>IF(OR(E1763="",E1763="!!!"),"",IF(NOT(ISNA(VLOOKUP(E1763,E$1:E1762,1,FALSE()))),"OLD",IF(AND(E1763&lt;&gt;"",E1763&lt;&gt;"!!!"),"NEW","")))</f>
        <v> </v>
      </c>
      <c r="G1763" s="23" t="str">
        <f>IF(OR(E1763="",E1763="!!!"),"",IF(OR(J1763=0,AND(J1763=1,K1763=1),AND(J1763=1,I1763="SBJ"),AND(J1763=1,I1763=0)),"?IN_FOCUS",IF(J1763&lt;=2,"?ACTIVATED",IF(J1763&lt;&gt;"","?FAMILIAR",IF(F1763="NEW",IF(ISNA(VLOOKUP(E1763,#REF!,1,FALSE())),"?TYPE_IDENTIFIABLE","?REFERENTIAL"),"_")))))</f>
        <v> </v>
      </c>
      <c r="H1763" s="24" t="str">
        <f>IF(J1763&lt;&gt;1,"",IF(I1763="SBJ","CB","?"))</f>
        <v> </v>
      </c>
      <c r="I1763" s="25" t="str">
        <f>IF(OR(E1763="",E1763="!!!",F1763="NEW"),"",INDEX(B1762:B$2,-1+SUMPRODUCT(MAX(ROW(E1762:E$2)*(E1763=E1762:E$2)))))</f>
        <v> </v>
      </c>
      <c r="J1763" s="25" t="str">
        <f>IF(OR(E1763="",E1763="!!!",F1763="NEW"),"",COUNTBLANK(OFFSET(A$1,,,SUMPRODUCT(MAX(ROW(E$2:E1763)*(E1763=E$2:E1763)))))-COUNTBLANK(OFFSET(A$1,,,SUMPRODUCT(MAX(ROW(E$1:E1762)*(E2=E$1:E1762))))))</f>
        <v> </v>
      </c>
      <c r="K1763" s="25" t="str">
        <f>IF(OR(E1763="",E1763="!!!",F1763="NEW"),"",INDEX(J$1:J1762,SUMPRODUCT(MAX(ROW(E$1:E1762)*(E1763=E$1:E1762)))))</f>
        <v> </v>
      </c>
      <c r="L1763" s="26"/>
    </row>
    <row r="1764" spans="1:12">
      <c r="A1764" s="20" t="s">
        <v>277</v>
      </c>
      <c r="E1764" s="21">
        <f>IF(D1764="?OLD","!!!","")</f>
        <v/>
      </c>
      <c r="F1764" s="22" t="str">
        <f>IF(OR(E1764="",E1764="!!!"),"",IF(NOT(ISNA(VLOOKUP(E1764,E$1:E1763,1,FALSE()))),"OLD",IF(AND(E1764&lt;&gt;"",E1764&lt;&gt;"!!!"),"NEW","")))</f>
        <v> </v>
      </c>
      <c r="G1764" s="23" t="str">
        <f>IF(OR(E1764="",E1764="!!!"),"",IF(OR(J1764=0,AND(J1764=1,K1764=1),AND(J1764=1,I1764="SBJ"),AND(J1764=1,I1764=0)),"?IN_FOCUS",IF(J1764&lt;=2,"?ACTIVATED",IF(J1764&lt;&gt;"","?FAMILIAR",IF(F1764="NEW",IF(ISNA(VLOOKUP(E1764,#REF!,1,FALSE())),"?TYPE_IDENTIFIABLE","?REFERENTIAL"),"_")))))</f>
        <v> </v>
      </c>
      <c r="H1764" s="24" t="str">
        <f>IF(J1764&lt;&gt;1,"",IF(I1764="SBJ","CB","?"))</f>
        <v> </v>
      </c>
      <c r="I1764" s="25" t="str">
        <f>IF(OR(E1764="",E1764="!!!",F1764="NEW"),"",INDEX(B1763:B$2,-1+SUMPRODUCT(MAX(ROW(E1763:E$2)*(E1764=E1763:E$2)))))</f>
        <v> </v>
      </c>
      <c r="J1764" s="25" t="str">
        <f>IF(OR(E1764="",E1764="!!!",F1764="NEW"),"",COUNTBLANK(OFFSET(A$1,,,SUMPRODUCT(MAX(ROW(E$2:E1764)*(E1764=E$2:E1764)))))-COUNTBLANK(OFFSET(A$1,,,SUMPRODUCT(MAX(ROW(E$1:E1763)*(E2=E$1:E1763))))))</f>
        <v> </v>
      </c>
      <c r="K1764" s="25" t="str">
        <f>IF(OR(E1764="",E1764="!!!",F1764="NEW"),"",INDEX(J$1:J1763,SUMPRODUCT(MAX(ROW(E$1:E1763)*(E1764=E$1:E1763)))))</f>
        <v> </v>
      </c>
      <c r="L1764" s="26"/>
    </row>
    <row r="1765" spans="1:12">
      <c r="A1765" s="20" t="s">
        <v>914</v>
      </c>
      <c r="B1765" s="27" t="s">
        <v>301</v>
      </c>
      <c r="C1765" s="27" t="s">
        <v>279</v>
      </c>
      <c r="E1765" s="21">
        <f>IF(D1765="?OLD","!!!","")</f>
        <v/>
      </c>
      <c r="F1765" s="22" t="str">
        <f>IF(OR(E1765="",E1765="!!!"),"",IF(NOT(ISNA(VLOOKUP(E1765,E$1:E1764,1,FALSE()))),"OLD",IF(AND(E1765&lt;&gt;"",E1765&lt;&gt;"!!!"),"NEW","")))</f>
        <v> </v>
      </c>
      <c r="G1765" s="23" t="str">
        <f>IF(OR(E1765="",E1765="!!!"),"",IF(OR(J1765=0,AND(J1765=1,K1765=1),AND(J1765=1,I1765="SBJ"),AND(J1765=1,I1765=0)),"?IN_FOCUS",IF(J1765&lt;=2,"?ACTIVATED",IF(J1765&lt;&gt;"","?FAMILIAR",IF(F1765="NEW",IF(ISNA(VLOOKUP(E1765,#REF!,1,FALSE())),"?TYPE_IDENTIFIABLE","?REFERENTIAL"),"_")))))</f>
        <v> </v>
      </c>
      <c r="H1765" s="24" t="str">
        <f>IF(J1765&lt;&gt;1,"",IF(I1765="SBJ","CB","?"))</f>
        <v> </v>
      </c>
      <c r="I1765" s="25" t="str">
        <f>IF(OR(E1765="",E1765="!!!",F1765="NEW"),"",INDEX(B1764:B$2,-1+SUMPRODUCT(MAX(ROW(E1764:E$2)*(E1765=E1764:E$2)))))</f>
        <v> </v>
      </c>
      <c r="J1765" s="25" t="str">
        <f>IF(OR(E1765="",E1765="!!!",F1765="NEW"),"",COUNTBLANK(OFFSET(A$1,,,SUMPRODUCT(MAX(ROW(E$2:E1765)*(E1765=E$2:E1765)))))-COUNTBLANK(OFFSET(A$1,,,SUMPRODUCT(MAX(ROW(E$1:E1764)*(E2=E$1:E1764))))))</f>
        <v> </v>
      </c>
      <c r="K1765" s="25" t="str">
        <f>IF(OR(E1765="",E1765="!!!",F1765="NEW"),"",INDEX(J$1:J1764,SUMPRODUCT(MAX(ROW(E$1:E1764)*(E1765=E$1:E1764)))))</f>
        <v> </v>
      </c>
      <c r="L1765" s="26"/>
    </row>
    <row r="1766" spans="1:12">
      <c r="A1766" s="20" t="s">
        <v>273</v>
      </c>
      <c r="E1766" s="21">
        <f>IF(D1766="?OLD","!!!","")</f>
        <v/>
      </c>
      <c r="F1766" s="22" t="str">
        <f>IF(OR(E1766="",E1766="!!!"),"",IF(NOT(ISNA(VLOOKUP(E1766,E$1:E1765,1,FALSE()))),"OLD",IF(AND(E1766&lt;&gt;"",E1766&lt;&gt;"!!!"),"NEW","")))</f>
        <v> </v>
      </c>
      <c r="G1766" s="23" t="str">
        <f>IF(OR(E1766="",E1766="!!!"),"",IF(OR(J1766=0,AND(J1766=1,K1766=1),AND(J1766=1,I1766="SBJ"),AND(J1766=1,I1766=0)),"?IN_FOCUS",IF(J1766&lt;=2,"?ACTIVATED",IF(J1766&lt;&gt;"","?FAMILIAR",IF(F1766="NEW",IF(ISNA(VLOOKUP(E1766,#REF!,1,FALSE())),"?TYPE_IDENTIFIABLE","?REFERENTIAL"),"_")))))</f>
        <v> </v>
      </c>
      <c r="H1766" s="24" t="str">
        <f>IF(J1766&lt;&gt;1,"",IF(I1766="SBJ","CB","?"))</f>
        <v> </v>
      </c>
      <c r="I1766" s="25" t="str">
        <f>IF(OR(E1766="",E1766="!!!",F1766="NEW"),"",INDEX(B1765:B$2,-1+SUMPRODUCT(MAX(ROW(E1765:E$2)*(E1766=E1765:E$2)))))</f>
        <v> </v>
      </c>
      <c r="J1766" s="25" t="str">
        <f>IF(OR(E1766="",E1766="!!!",F1766="NEW"),"",COUNTBLANK(OFFSET(A$1,,,SUMPRODUCT(MAX(ROW(E$2:E1766)*(E1766=E$2:E1766)))))-COUNTBLANK(OFFSET(A$1,,,SUMPRODUCT(MAX(ROW(E$1:E1765)*(E2=E$1:E1765))))))</f>
        <v> </v>
      </c>
      <c r="K1766" s="25" t="str">
        <f>IF(OR(E1766="",E1766="!!!",F1766="NEW"),"",INDEX(J$1:J1765,SUMPRODUCT(MAX(ROW(E$1:E1765)*(E1766=E$1:E1765)))))</f>
        <v> </v>
      </c>
      <c r="L1766" s="26"/>
    </row>
    <row r="1767" spans="1:12">
      <c r="A1767" s="20" t="s">
        <v>915</v>
      </c>
      <c r="E1767" s="21">
        <f>IF(D1767="?OLD","!!!","")</f>
        <v/>
      </c>
      <c r="F1767" s="22" t="str">
        <f>IF(OR(E1767="",E1767="!!!"),"",IF(NOT(ISNA(VLOOKUP(E1767,E$1:E1766,1,FALSE()))),"OLD",IF(AND(E1767&lt;&gt;"",E1767&lt;&gt;"!!!"),"NEW","")))</f>
        <v> </v>
      </c>
      <c r="G1767" s="23" t="str">
        <f>IF(OR(E1767="",E1767="!!!"),"",IF(OR(J1767=0,AND(J1767=1,K1767=1),AND(J1767=1,I1767="SBJ"),AND(J1767=1,I1767=0)),"?IN_FOCUS",IF(J1767&lt;=2,"?ACTIVATED",IF(J1767&lt;&gt;"","?FAMILIAR",IF(F1767="NEW",IF(ISNA(VLOOKUP(E1767,#REF!,1,FALSE())),"?TYPE_IDENTIFIABLE","?REFERENTIAL"),"_")))))</f>
        <v> </v>
      </c>
      <c r="H1767" s="24" t="str">
        <f>IF(J1767&lt;&gt;1,"",IF(I1767="SBJ","CB","?"))</f>
        <v> </v>
      </c>
      <c r="I1767" s="25" t="str">
        <f>IF(OR(E1767="",E1767="!!!",F1767="NEW"),"",INDEX(B1766:B$2,-1+SUMPRODUCT(MAX(ROW(E1766:E$2)*(E1767=E1766:E$2)))))</f>
        <v> </v>
      </c>
      <c r="J1767" s="25" t="str">
        <f>IF(OR(E1767="",E1767="!!!",F1767="NEW"),"",COUNTBLANK(OFFSET(A$1,,,SUMPRODUCT(MAX(ROW(E$2:E1767)*(E1767=E$2:E1767)))))-COUNTBLANK(OFFSET(A$1,,,SUMPRODUCT(MAX(ROW(E$1:E1766)*(E2=E$1:E1766))))))</f>
        <v> </v>
      </c>
      <c r="K1767" s="25" t="str">
        <f>IF(OR(E1767="",E1767="!!!",F1767="NEW"),"",INDEX(J$1:J1766,SUMPRODUCT(MAX(ROW(E$1:E1766)*(E1767=E$1:E1766)))))</f>
        <v> </v>
      </c>
      <c r="L1767" s="26"/>
    </row>
    <row r="1768" spans="1:12">
      <c r="A1768" s="20" t="s">
        <v>916</v>
      </c>
      <c r="B1768" s="27" t="s">
        <v>272</v>
      </c>
      <c r="C1768" s="27" t="s">
        <v>238</v>
      </c>
      <c r="E1768" s="21">
        <f>IF(D1768="?OLD","!!!","")</f>
        <v/>
      </c>
      <c r="F1768" s="22" t="str">
        <f>IF(OR(E1768="",E1768="!!!"),"",IF(NOT(ISNA(VLOOKUP(E1768,E$1:E1767,1,FALSE()))),"OLD",IF(AND(E1768&lt;&gt;"",E1768&lt;&gt;"!!!"),"NEW","")))</f>
        <v> </v>
      </c>
      <c r="G1768" s="23" t="str">
        <f>IF(OR(E1768="",E1768="!!!"),"",IF(OR(J1768=0,AND(J1768=1,K1768=1),AND(J1768=1,I1768="SBJ"),AND(J1768=1,I1768=0)),"?IN_FOCUS",IF(J1768&lt;=2,"?ACTIVATED",IF(J1768&lt;&gt;"","?FAMILIAR",IF(F1768="NEW",IF(ISNA(VLOOKUP(E1768,#REF!,1,FALSE())),"?TYPE_IDENTIFIABLE","?REFERENTIAL"),"_")))))</f>
        <v> </v>
      </c>
      <c r="H1768" s="24" t="str">
        <f>IF(J1768&lt;&gt;1,"",IF(I1768="SBJ","CB","?"))</f>
        <v> </v>
      </c>
      <c r="I1768" s="25" t="str">
        <f>IF(OR(E1768="",E1768="!!!",F1768="NEW"),"",INDEX(B1767:B$2,-1+SUMPRODUCT(MAX(ROW(E1767:E$2)*(E1768=E1767:E$2)))))</f>
        <v> </v>
      </c>
      <c r="J1768" s="25" t="str">
        <f>IF(OR(E1768="",E1768="!!!",F1768="NEW"),"",COUNTBLANK(OFFSET(A$1,,,SUMPRODUCT(MAX(ROW(E$2:E1768)*(E1768=E$2:E1768)))))-COUNTBLANK(OFFSET(A$1,,,SUMPRODUCT(MAX(ROW(E$1:E1767)*(E2=E$1:E1767))))))</f>
        <v> </v>
      </c>
      <c r="K1768" s="25" t="str">
        <f>IF(OR(E1768="",E1768="!!!",F1768="NEW"),"",INDEX(J$1:J1767,SUMPRODUCT(MAX(ROW(E$1:E1767)*(E1768=E$1:E1767)))))</f>
        <v> </v>
      </c>
      <c r="L1768" s="26"/>
    </row>
    <row r="1769" spans="1:12">
      <c r="A1769" s="20" t="s">
        <v>305</v>
      </c>
      <c r="E1769" s="21">
        <f>IF(D1769="?OLD","!!!","")</f>
        <v/>
      </c>
      <c r="F1769" s="22" t="str">
        <f>IF(OR(E1769="",E1769="!!!"),"",IF(NOT(ISNA(VLOOKUP(E1769,E$1:E1768,1,FALSE()))),"OLD",IF(AND(E1769&lt;&gt;"",E1769&lt;&gt;"!!!"),"NEW","")))</f>
        <v> </v>
      </c>
      <c r="G1769" s="23" t="str">
        <f>IF(OR(E1769="",E1769="!!!"),"",IF(OR(J1769=0,AND(J1769=1,K1769=1),AND(J1769=1,I1769="SBJ"),AND(J1769=1,I1769=0)),"?IN_FOCUS",IF(J1769&lt;=2,"?ACTIVATED",IF(J1769&lt;&gt;"","?FAMILIAR",IF(F1769="NEW",IF(ISNA(VLOOKUP(E1769,#REF!,1,FALSE())),"?TYPE_IDENTIFIABLE","?REFERENTIAL"),"_")))))</f>
        <v> </v>
      </c>
      <c r="H1769" s="24" t="str">
        <f>IF(J1769&lt;&gt;1,"",IF(I1769="SBJ","CB","?"))</f>
        <v> </v>
      </c>
      <c r="I1769" s="25" t="str">
        <f>IF(OR(E1769="",E1769="!!!",F1769="NEW"),"",INDEX(B1768:B$2,-1+SUMPRODUCT(MAX(ROW(E1768:E$2)*(E1769=E1768:E$2)))))</f>
        <v> </v>
      </c>
      <c r="J1769" s="25" t="str">
        <f>IF(OR(E1769="",E1769="!!!",F1769="NEW"),"",COUNTBLANK(OFFSET(A$1,,,SUMPRODUCT(MAX(ROW(E$2:E1769)*(E1769=E$2:E1769)))))-COUNTBLANK(OFFSET(A$1,,,SUMPRODUCT(MAX(ROW(E$1:E1768)*(E2=E$1:E1768))))))</f>
        <v> </v>
      </c>
      <c r="K1769" s="25" t="str">
        <f>IF(OR(E1769="",E1769="!!!",F1769="NEW"),"",INDEX(J$1:J1768,SUMPRODUCT(MAX(ROW(E$1:E1768)*(E1769=E$1:E1768)))))</f>
        <v> </v>
      </c>
      <c r="L1769" s="26"/>
    </row>
    <row r="1770" spans="1:12">
      <c r="A1770" s="20" t="s">
        <v>277</v>
      </c>
      <c r="E1770" s="21">
        <f>IF(D1770="?OLD","!!!","")</f>
        <v/>
      </c>
      <c r="F1770" s="22" t="str">
        <f>IF(OR(E1770="",E1770="!!!"),"",IF(NOT(ISNA(VLOOKUP(E1770,E$1:E1769,1,FALSE()))),"OLD",IF(AND(E1770&lt;&gt;"",E1770&lt;&gt;"!!!"),"NEW","")))</f>
        <v> </v>
      </c>
      <c r="G1770" s="23" t="str">
        <f>IF(OR(E1770="",E1770="!!!"),"",IF(OR(J1770=0,AND(J1770=1,K1770=1),AND(J1770=1,I1770="SBJ"),AND(J1770=1,I1770=0)),"?IN_FOCUS",IF(J1770&lt;=2,"?ACTIVATED",IF(J1770&lt;&gt;"","?FAMILIAR",IF(F1770="NEW",IF(ISNA(VLOOKUP(E1770,#REF!,1,FALSE())),"?TYPE_IDENTIFIABLE","?REFERENTIAL"),"_")))))</f>
        <v> </v>
      </c>
      <c r="H1770" s="24" t="str">
        <f>IF(J1770&lt;&gt;1,"",IF(I1770="SBJ","CB","?"))</f>
        <v> </v>
      </c>
      <c r="I1770" s="25" t="str">
        <f>IF(OR(E1770="",E1770="!!!",F1770="NEW"),"",INDEX(B1769:B$2,-1+SUMPRODUCT(MAX(ROW(E1769:E$2)*(E1770=E1769:E$2)))))</f>
        <v> </v>
      </c>
      <c r="J1770" s="25" t="str">
        <f>IF(OR(E1770="",E1770="!!!",F1770="NEW"),"",COUNTBLANK(OFFSET(A$1,,,SUMPRODUCT(MAX(ROW(E$2:E1770)*(E1770=E$2:E1770)))))-COUNTBLANK(OFFSET(A$1,,,SUMPRODUCT(MAX(ROW(E$1:E1769)*(E2=E$1:E1769))))))</f>
        <v> </v>
      </c>
      <c r="K1770" s="25" t="str">
        <f>IF(OR(E1770="",E1770="!!!",F1770="NEW"),"",INDEX(J$1:J1769,SUMPRODUCT(MAX(ROW(E$1:E1769)*(E1770=E$1:E1769)))))</f>
        <v> </v>
      </c>
      <c r="L1770" s="26"/>
    </row>
    <row r="1771" spans="1:12">
      <c r="A1771" s="20" t="s">
        <v>917</v>
      </c>
      <c r="B1771" s="27" t="s">
        <v>251</v>
      </c>
      <c r="C1771" s="27" t="s">
        <v>279</v>
      </c>
      <c r="E1771" s="21">
        <f>IF(D1771="?OLD","!!!","")</f>
        <v/>
      </c>
      <c r="F1771" s="22" t="str">
        <f>IF(OR(E1771="",E1771="!!!"),"",IF(NOT(ISNA(VLOOKUP(E1771,E$1:E1770,1,FALSE()))),"OLD",IF(AND(E1771&lt;&gt;"",E1771&lt;&gt;"!!!"),"NEW","")))</f>
        <v> </v>
      </c>
      <c r="G1771" s="23" t="str">
        <f>IF(OR(E1771="",E1771="!!!"),"",IF(OR(J1771=0,AND(J1771=1,K1771=1),AND(J1771=1,I1771="SBJ"),AND(J1771=1,I1771=0)),"?IN_FOCUS",IF(J1771&lt;=2,"?ACTIVATED",IF(J1771&lt;&gt;"","?FAMILIAR",IF(F1771="NEW",IF(ISNA(VLOOKUP(E1771,#REF!,1,FALSE())),"?TYPE_IDENTIFIABLE","?REFERENTIAL"),"_")))))</f>
        <v> </v>
      </c>
      <c r="H1771" s="24" t="str">
        <f>IF(J1771&lt;&gt;1,"",IF(I1771="SBJ","CB","?"))</f>
        <v> </v>
      </c>
      <c r="I1771" s="25" t="str">
        <f>IF(OR(E1771="",E1771="!!!",F1771="NEW"),"",INDEX(B1770:B$2,-1+SUMPRODUCT(MAX(ROW(E1770:E$2)*(E1771=E1770:E$2)))))</f>
        <v> </v>
      </c>
      <c r="J1771" s="25" t="str">
        <f>IF(OR(E1771="",E1771="!!!",F1771="NEW"),"",COUNTBLANK(OFFSET(A$1,,,SUMPRODUCT(MAX(ROW(E$2:E1771)*(E1771=E$2:E1771)))))-COUNTBLANK(OFFSET(A$1,,,SUMPRODUCT(MAX(ROW(E$1:E1770)*(E2=E$1:E1770))))))</f>
        <v> </v>
      </c>
      <c r="K1771" s="25" t="str">
        <f>IF(OR(E1771="",E1771="!!!",F1771="NEW"),"",INDEX(J$1:J1770,SUMPRODUCT(MAX(ROW(E$1:E1770)*(E1771=E$1:E1770)))))</f>
        <v> </v>
      </c>
      <c r="L1771" s="26"/>
    </row>
    <row r="1772" spans="1:12">
      <c r="A1772" s="20" t="s">
        <v>260</v>
      </c>
      <c r="E1772" s="21">
        <f>IF(D1772="?OLD","!!!","")</f>
        <v/>
      </c>
      <c r="F1772" s="22" t="str">
        <f>IF(OR(E1772="",E1772="!!!"),"",IF(NOT(ISNA(VLOOKUP(E1772,E$1:E1771,1,FALSE()))),"OLD",IF(AND(E1772&lt;&gt;"",E1772&lt;&gt;"!!!"),"NEW","")))</f>
        <v> </v>
      </c>
      <c r="G1772" s="23" t="str">
        <f>IF(OR(E1772="",E1772="!!!"),"",IF(OR(J1772=0,AND(J1772=1,K1772=1),AND(J1772=1,I1772="SBJ"),AND(J1772=1,I1772=0)),"?IN_FOCUS",IF(J1772&lt;=2,"?ACTIVATED",IF(J1772&lt;&gt;"","?FAMILIAR",IF(F1772="NEW",IF(ISNA(VLOOKUP(E1772,#REF!,1,FALSE())),"?TYPE_IDENTIFIABLE","?REFERENTIAL"),"_")))))</f>
        <v> </v>
      </c>
      <c r="H1772" s="24" t="str">
        <f>IF(J1772&lt;&gt;1,"",IF(I1772="SBJ","CB","?"))</f>
        <v> </v>
      </c>
      <c r="I1772" s="25" t="str">
        <f>IF(OR(E1772="",E1772="!!!",F1772="NEW"),"",INDEX(B1771:B$2,-1+SUMPRODUCT(MAX(ROW(E1771:E$2)*(E1772=E1771:E$2)))))</f>
        <v> </v>
      </c>
      <c r="J1772" s="25" t="str">
        <f>IF(OR(E1772="",E1772="!!!",F1772="NEW"),"",COUNTBLANK(OFFSET(A$1,,,SUMPRODUCT(MAX(ROW(E$2:E1772)*(E1772=E$2:E1772)))))-COUNTBLANK(OFFSET(A$1,,,SUMPRODUCT(MAX(ROW(E$1:E1771)*(E2=E$1:E1771))))))</f>
        <v> </v>
      </c>
      <c r="K1772" s="25" t="str">
        <f>IF(OR(E1772="",E1772="!!!",F1772="NEW"),"",INDEX(J$1:J1771,SUMPRODUCT(MAX(ROW(E$1:E1771)*(E1772=E$1:E1771)))))</f>
        <v> </v>
      </c>
      <c r="L1772" s="26"/>
    </row>
    <row r="1773" spans="1:12">
      <c r="A1773" s="20" t="s">
        <v>918</v>
      </c>
      <c r="E1773" s="21">
        <f>IF(D1773="?OLD","!!!","")</f>
        <v/>
      </c>
      <c r="F1773" s="22" t="str">
        <f>IF(OR(E1773="",E1773="!!!"),"",IF(NOT(ISNA(VLOOKUP(E1773,E$1:E1772,1,FALSE()))),"OLD",IF(AND(E1773&lt;&gt;"",E1773&lt;&gt;"!!!"),"NEW","")))</f>
        <v> </v>
      </c>
      <c r="G1773" s="23" t="str">
        <f>IF(OR(E1773="",E1773="!!!"),"",IF(OR(J1773=0,AND(J1773=1,K1773=1),AND(J1773=1,I1773="SBJ"),AND(J1773=1,I1773=0)),"?IN_FOCUS",IF(J1773&lt;=2,"?ACTIVATED",IF(J1773&lt;&gt;"","?FAMILIAR",IF(F1773="NEW",IF(ISNA(VLOOKUP(E1773,#REF!,1,FALSE())),"?TYPE_IDENTIFIABLE","?REFERENTIAL"),"_")))))</f>
        <v> </v>
      </c>
      <c r="H1773" s="24" t="str">
        <f>IF(J1773&lt;&gt;1,"",IF(I1773="SBJ","CB","?"))</f>
        <v> </v>
      </c>
      <c r="I1773" s="25" t="str">
        <f>IF(OR(E1773="",E1773="!!!",F1773="NEW"),"",INDEX(B1772:B$2,-1+SUMPRODUCT(MAX(ROW(E1772:E$2)*(E1773=E1772:E$2)))))</f>
        <v> </v>
      </c>
      <c r="J1773" s="25" t="str">
        <f>IF(OR(E1773="",E1773="!!!",F1773="NEW"),"",COUNTBLANK(OFFSET(A$1,,,SUMPRODUCT(MAX(ROW(E$2:E1773)*(E1773=E$2:E1773)))))-COUNTBLANK(OFFSET(A$1,,,SUMPRODUCT(MAX(ROW(E$1:E1772)*(E2=E$1:E1772))))))</f>
        <v> </v>
      </c>
      <c r="K1773" s="25" t="str">
        <f>IF(OR(E1773="",E1773="!!!",F1773="NEW"),"",INDEX(J$1:J1772,SUMPRODUCT(MAX(ROW(E$1:E1772)*(E1773=E$1:E1772)))))</f>
        <v> </v>
      </c>
      <c r="L1773" s="26"/>
    </row>
    <row r="1774" spans="1:12">
      <c r="A1774" s="20" t="s">
        <v>919</v>
      </c>
      <c r="B1774" s="27" t="s">
        <v>266</v>
      </c>
      <c r="C1774" s="27" t="s">
        <v>238</v>
      </c>
      <c r="E1774" s="21">
        <f>IF(D1774="?OLD","!!!","")</f>
        <v/>
      </c>
      <c r="F1774" s="22" t="str">
        <f>IF(OR(E1774="",E1774="!!!"),"",IF(NOT(ISNA(VLOOKUP(E1774,E$1:E1773,1,FALSE()))),"OLD",IF(AND(E1774&lt;&gt;"",E1774&lt;&gt;"!!!"),"NEW","")))</f>
        <v> </v>
      </c>
      <c r="G1774" s="23" t="str">
        <f>IF(OR(E1774="",E1774="!!!"),"",IF(OR(J1774=0,AND(J1774=1,K1774=1),AND(J1774=1,I1774="SBJ"),AND(J1774=1,I1774=0)),"?IN_FOCUS",IF(J1774&lt;=2,"?ACTIVATED",IF(J1774&lt;&gt;"","?FAMILIAR",IF(F1774="NEW",IF(ISNA(VLOOKUP(E1774,#REF!,1,FALSE())),"?TYPE_IDENTIFIABLE","?REFERENTIAL"),"_")))))</f>
        <v> </v>
      </c>
      <c r="H1774" s="24" t="str">
        <f>IF(J1774&lt;&gt;1,"",IF(I1774="SBJ","CB","?"))</f>
        <v> </v>
      </c>
      <c r="I1774" s="25" t="str">
        <f>IF(OR(E1774="",E1774="!!!",F1774="NEW"),"",INDEX(B1773:B$2,-1+SUMPRODUCT(MAX(ROW(E1773:E$2)*(E1774=E1773:E$2)))))</f>
        <v> </v>
      </c>
      <c r="J1774" s="25" t="str">
        <f>IF(OR(E1774="",E1774="!!!",F1774="NEW"),"",COUNTBLANK(OFFSET(A$1,,,SUMPRODUCT(MAX(ROW(E$2:E1774)*(E1774=E$2:E1774)))))-COUNTBLANK(OFFSET(A$1,,,SUMPRODUCT(MAX(ROW(E$1:E1773)*(E2=E$1:E1773))))))</f>
        <v> </v>
      </c>
      <c r="K1774" s="25" t="str">
        <f>IF(OR(E1774="",E1774="!!!",F1774="NEW"),"",INDEX(J$1:J1773,SUMPRODUCT(MAX(ROW(E$1:E1773)*(E1774=E$1:E1773)))))</f>
        <v> </v>
      </c>
      <c r="L1774" s="26"/>
    </row>
    <row r="1775" spans="1:12">
      <c r="A1775" s="20" t="s">
        <v>864</v>
      </c>
      <c r="E1775" s="21">
        <f>IF(D1775="?OLD","!!!","")</f>
        <v/>
      </c>
      <c r="F1775" s="22" t="str">
        <f>IF(OR(E1775="",E1775="!!!"),"",IF(NOT(ISNA(VLOOKUP(E1775,E$1:E1774,1,FALSE()))),"OLD",IF(AND(E1775&lt;&gt;"",E1775&lt;&gt;"!!!"),"NEW","")))</f>
        <v> </v>
      </c>
      <c r="G1775" s="23" t="str">
        <f>IF(OR(E1775="",E1775="!!!"),"",IF(OR(J1775=0,AND(J1775=1,K1775=1),AND(J1775=1,I1775="SBJ"),AND(J1775=1,I1775=0)),"?IN_FOCUS",IF(J1775&lt;=2,"?ACTIVATED",IF(J1775&lt;&gt;"","?FAMILIAR",IF(F1775="NEW",IF(ISNA(VLOOKUP(E1775,#REF!,1,FALSE())),"?TYPE_IDENTIFIABLE","?REFERENTIAL"),"_")))))</f>
        <v> </v>
      </c>
      <c r="H1775" s="24" t="str">
        <f>IF(J1775&lt;&gt;1,"",IF(I1775="SBJ","CB","?"))</f>
        <v> </v>
      </c>
      <c r="I1775" s="25" t="str">
        <f>IF(OR(E1775="",E1775="!!!",F1775="NEW"),"",INDEX(B1774:B$2,-1+SUMPRODUCT(MAX(ROW(E1774:E$2)*(E1775=E1774:E$2)))))</f>
        <v> </v>
      </c>
      <c r="J1775" s="25" t="str">
        <f>IF(OR(E1775="",E1775="!!!",F1775="NEW"),"",COUNTBLANK(OFFSET(A$1,,,SUMPRODUCT(MAX(ROW(E$2:E1775)*(E1775=E$2:E1775)))))-COUNTBLANK(OFFSET(A$1,,,SUMPRODUCT(MAX(ROW(E$1:E1774)*(E2=E$1:E1774))))))</f>
        <v> </v>
      </c>
      <c r="K1775" s="25" t="str">
        <f>IF(OR(E1775="",E1775="!!!",F1775="NEW"),"",INDEX(J$1:J1774,SUMPRODUCT(MAX(ROW(E$1:E1774)*(E1775=E$1:E1774)))))</f>
        <v> </v>
      </c>
      <c r="L1775" s="26"/>
    </row>
    <row r="1776" spans="1:12">
      <c r="A1776" s="20" t="s">
        <v>317</v>
      </c>
      <c r="E1776" s="21">
        <f>IF(D1776="?OLD","!!!","")</f>
        <v/>
      </c>
      <c r="F1776" s="22" t="str">
        <f>IF(OR(E1776="",E1776="!!!"),"",IF(NOT(ISNA(VLOOKUP(E1776,E$1:E1775,1,FALSE()))),"OLD",IF(AND(E1776&lt;&gt;"",E1776&lt;&gt;"!!!"),"NEW","")))</f>
        <v> </v>
      </c>
      <c r="G1776" s="23" t="str">
        <f>IF(OR(E1776="",E1776="!!!"),"",IF(OR(J1776=0,AND(J1776=1,K1776=1),AND(J1776=1,I1776="SBJ"),AND(J1776=1,I1776=0)),"?IN_FOCUS",IF(J1776&lt;=2,"?ACTIVATED",IF(J1776&lt;&gt;"","?FAMILIAR",IF(F1776="NEW",IF(ISNA(VLOOKUP(E1776,#REF!,1,FALSE())),"?TYPE_IDENTIFIABLE","?REFERENTIAL"),"_")))))</f>
        <v> </v>
      </c>
      <c r="H1776" s="24" t="str">
        <f>IF(J1776&lt;&gt;1,"",IF(I1776="SBJ","CB","?"))</f>
        <v> </v>
      </c>
      <c r="I1776" s="25" t="str">
        <f>IF(OR(E1776="",E1776="!!!",F1776="NEW"),"",INDEX(B1775:B$2,-1+SUMPRODUCT(MAX(ROW(E1775:E$2)*(E1776=E1775:E$2)))))</f>
        <v> </v>
      </c>
      <c r="J1776" s="25" t="str">
        <f>IF(OR(E1776="",E1776="!!!",F1776="NEW"),"",COUNTBLANK(OFFSET(A$1,,,SUMPRODUCT(MAX(ROW(E$2:E1776)*(E1776=E$2:E1776)))))-COUNTBLANK(OFFSET(A$1,,,SUMPRODUCT(MAX(ROW(E$1:E1775)*(E2=E$1:E1775))))))</f>
        <v> </v>
      </c>
      <c r="K1776" s="25" t="str">
        <f>IF(OR(E1776="",E1776="!!!",F1776="NEW"),"",INDEX(J$1:J1775,SUMPRODUCT(MAX(ROW(E$1:E1775)*(E1776=E$1:E1775)))))</f>
        <v> </v>
      </c>
      <c r="L1776" s="26"/>
    </row>
    <row r="1777" spans="1:12">
      <c r="A1777" s="20" t="s">
        <v>920</v>
      </c>
      <c r="E1777" s="21">
        <f>IF(D1777="?OLD","!!!","")</f>
        <v/>
      </c>
      <c r="F1777" s="22" t="str">
        <f>IF(OR(E1777="",E1777="!!!"),"",IF(NOT(ISNA(VLOOKUP(E1777,E$1:E1776,1,FALSE()))),"OLD",IF(AND(E1777&lt;&gt;"",E1777&lt;&gt;"!!!"),"NEW","")))</f>
        <v> </v>
      </c>
      <c r="G1777" s="23" t="str">
        <f>IF(OR(E1777="",E1777="!!!"),"",IF(OR(J1777=0,AND(J1777=1,K1777=1),AND(J1777=1,I1777="SBJ"),AND(J1777=1,I1777=0)),"?IN_FOCUS",IF(J1777&lt;=2,"?ACTIVATED",IF(J1777&lt;&gt;"","?FAMILIAR",IF(F1777="NEW",IF(ISNA(VLOOKUP(E1777,#REF!,1,FALSE())),"?TYPE_IDENTIFIABLE","?REFERENTIAL"),"_")))))</f>
        <v> </v>
      </c>
      <c r="H1777" s="24" t="str">
        <f>IF(J1777&lt;&gt;1,"",IF(I1777="SBJ","CB","?"))</f>
        <v> </v>
      </c>
      <c r="I1777" s="25" t="str">
        <f>IF(OR(E1777="",E1777="!!!",F1777="NEW"),"",INDEX(B1776:B$2,-1+SUMPRODUCT(MAX(ROW(E1776:E$2)*(E1777=E1776:E$2)))))</f>
        <v> </v>
      </c>
      <c r="J1777" s="25" t="str">
        <f>IF(OR(E1777="",E1777="!!!",F1777="NEW"),"",COUNTBLANK(OFFSET(A$1,,,SUMPRODUCT(MAX(ROW(E$2:E1777)*(E1777=E$2:E1777)))))-COUNTBLANK(OFFSET(A$1,,,SUMPRODUCT(MAX(ROW(E$1:E1776)*(E2=E$1:E1776))))))</f>
        <v> </v>
      </c>
      <c r="K1777" s="25" t="str">
        <f>IF(OR(E1777="",E1777="!!!",F1777="NEW"),"",INDEX(J$1:J1776,SUMPRODUCT(MAX(ROW(E$1:E1776)*(E1777=E$1:E1776)))))</f>
        <v> </v>
      </c>
      <c r="L1777" s="26"/>
    </row>
    <row r="1778" spans="1:12">
      <c r="A1778" s="20" t="s">
        <v>740</v>
      </c>
      <c r="E1778" s="21">
        <f>IF(D1778="?OLD","!!!","")</f>
        <v/>
      </c>
      <c r="F1778" s="22" t="str">
        <f>IF(OR(E1778="",E1778="!!!"),"",IF(NOT(ISNA(VLOOKUP(E1778,E$1:E1777,1,FALSE()))),"OLD",IF(AND(E1778&lt;&gt;"",E1778&lt;&gt;"!!!"),"NEW","")))</f>
        <v> </v>
      </c>
      <c r="G1778" s="23" t="str">
        <f>IF(OR(E1778="",E1778="!!!"),"",IF(OR(J1778=0,AND(J1778=1,K1778=1),AND(J1778=1,I1778="SBJ"),AND(J1778=1,I1778=0)),"?IN_FOCUS",IF(J1778&lt;=2,"?ACTIVATED",IF(J1778&lt;&gt;"","?FAMILIAR",IF(F1778="NEW",IF(ISNA(VLOOKUP(E1778,#REF!,1,FALSE())),"?TYPE_IDENTIFIABLE","?REFERENTIAL"),"_")))))</f>
        <v> </v>
      </c>
      <c r="H1778" s="24" t="str">
        <f>IF(J1778&lt;&gt;1,"",IF(I1778="SBJ","CB","?"))</f>
        <v> </v>
      </c>
      <c r="I1778" s="25" t="str">
        <f>IF(OR(E1778="",E1778="!!!",F1778="NEW"),"",INDEX(B1777:B$2,-1+SUMPRODUCT(MAX(ROW(E1777:E$2)*(E1778=E1777:E$2)))))</f>
        <v> </v>
      </c>
      <c r="J1778" s="25" t="str">
        <f>IF(OR(E1778="",E1778="!!!",F1778="NEW"),"",COUNTBLANK(OFFSET(A$1,,,SUMPRODUCT(MAX(ROW(E$2:E1778)*(E1778=E$2:E1778)))))-COUNTBLANK(OFFSET(A$1,,,SUMPRODUCT(MAX(ROW(E$1:E1777)*(E2=E$1:E1777))))))</f>
        <v> </v>
      </c>
      <c r="K1778" s="25" t="str">
        <f>IF(OR(E1778="",E1778="!!!",F1778="NEW"),"",INDEX(J$1:J1777,SUMPRODUCT(MAX(ROW(E$1:E1777)*(E1778=E$1:E1777)))))</f>
        <v> </v>
      </c>
      <c r="L1778" s="26"/>
    </row>
    <row r="1779" spans="1:12">
      <c r="A1779" s="20" t="s">
        <v>349</v>
      </c>
      <c r="E1779" s="21">
        <f>IF(D1779="?OLD","!!!","")</f>
        <v/>
      </c>
      <c r="F1779" s="22" t="str">
        <f>IF(OR(E1779="",E1779="!!!"),"",IF(NOT(ISNA(VLOOKUP(E1779,E$1:E1778,1,FALSE()))),"OLD",IF(AND(E1779&lt;&gt;"",E1779&lt;&gt;"!!!"),"NEW","")))</f>
        <v> </v>
      </c>
      <c r="G1779" s="23" t="str">
        <f>IF(OR(E1779="",E1779="!!!"),"",IF(OR(J1779=0,AND(J1779=1,K1779=1),AND(J1779=1,I1779="SBJ"),AND(J1779=1,I1779=0)),"?IN_FOCUS",IF(J1779&lt;=2,"?ACTIVATED",IF(J1779&lt;&gt;"","?FAMILIAR",IF(F1779="NEW",IF(ISNA(VLOOKUP(E1779,#REF!,1,FALSE())),"?TYPE_IDENTIFIABLE","?REFERENTIAL"),"_")))))</f>
        <v> </v>
      </c>
      <c r="H1779" s="24" t="str">
        <f>IF(J1779&lt;&gt;1,"",IF(I1779="SBJ","CB","?"))</f>
        <v> </v>
      </c>
      <c r="I1779" s="25" t="str">
        <f>IF(OR(E1779="",E1779="!!!",F1779="NEW"),"",INDEX(B1778:B$2,-1+SUMPRODUCT(MAX(ROW(E1778:E$2)*(E1779=E1778:E$2)))))</f>
        <v> </v>
      </c>
      <c r="J1779" s="25" t="str">
        <f>IF(OR(E1779="",E1779="!!!",F1779="NEW"),"",COUNTBLANK(OFFSET(A$1,,,SUMPRODUCT(MAX(ROW(E$2:E1779)*(E1779=E$2:E1779)))))-COUNTBLANK(OFFSET(A$1,,,SUMPRODUCT(MAX(ROW(E$1:E1778)*(E2=E$1:E1778))))))</f>
        <v> </v>
      </c>
      <c r="K1779" s="25" t="str">
        <f>IF(OR(E1779="",E1779="!!!",F1779="NEW"),"",INDEX(J$1:J1778,SUMPRODUCT(MAX(ROW(E$1:E1778)*(E1779=E$1:E1778)))))</f>
        <v> </v>
      </c>
      <c r="L1779" s="26"/>
    </row>
    <row r="1780" spans="1:12">
      <c r="A1780" s="20" t="s">
        <v>921</v>
      </c>
      <c r="E1780" s="21">
        <f>IF(D1780="?OLD","!!!","")</f>
        <v/>
      </c>
      <c r="F1780" s="22" t="str">
        <f>IF(OR(E1780="",E1780="!!!"),"",IF(NOT(ISNA(VLOOKUP(E1780,E$1:E1779,1,FALSE()))),"OLD",IF(AND(E1780&lt;&gt;"",E1780&lt;&gt;"!!!"),"NEW","")))</f>
        <v> </v>
      </c>
      <c r="G1780" s="23" t="str">
        <f>IF(OR(E1780="",E1780="!!!"),"",IF(OR(J1780=0,AND(J1780=1,K1780=1),AND(J1780=1,I1780="SBJ"),AND(J1780=1,I1780=0)),"?IN_FOCUS",IF(J1780&lt;=2,"?ACTIVATED",IF(J1780&lt;&gt;"","?FAMILIAR",IF(F1780="NEW",IF(ISNA(VLOOKUP(E1780,#REF!,1,FALSE())),"?TYPE_IDENTIFIABLE","?REFERENTIAL"),"_")))))</f>
        <v> </v>
      </c>
      <c r="H1780" s="24" t="str">
        <f>IF(J1780&lt;&gt;1,"",IF(I1780="SBJ","CB","?"))</f>
        <v> </v>
      </c>
      <c r="I1780" s="25" t="str">
        <f>IF(OR(E1780="",E1780="!!!",F1780="NEW"),"",INDEX(B1779:B$2,-1+SUMPRODUCT(MAX(ROW(E1779:E$2)*(E1780=E1779:E$2)))))</f>
        <v> </v>
      </c>
      <c r="J1780" s="25" t="str">
        <f>IF(OR(E1780="",E1780="!!!",F1780="NEW"),"",COUNTBLANK(OFFSET(A$1,,,SUMPRODUCT(MAX(ROW(E$2:E1780)*(E1780=E$2:E1780)))))-COUNTBLANK(OFFSET(A$1,,,SUMPRODUCT(MAX(ROW(E$1:E1779)*(E2=E$1:E1779))))))</f>
        <v> </v>
      </c>
      <c r="K1780" s="25" t="str">
        <f>IF(OR(E1780="",E1780="!!!",F1780="NEW"),"",INDEX(J$1:J1779,SUMPRODUCT(MAX(ROW(E$1:E1779)*(E1780=E$1:E1779)))))</f>
        <v> </v>
      </c>
      <c r="L1780" s="26"/>
    </row>
    <row r="1781" spans="1:12">
      <c r="A1781" s="20" t="s">
        <v>285</v>
      </c>
      <c r="E1781" s="21">
        <f>IF(D1781="?OLD","!!!","")</f>
        <v/>
      </c>
      <c r="F1781" s="22" t="str">
        <f>IF(OR(E1781="",E1781="!!!"),"",IF(NOT(ISNA(VLOOKUP(E1781,E$1:E1780,1,FALSE()))),"OLD",IF(AND(E1781&lt;&gt;"",E1781&lt;&gt;"!!!"),"NEW","")))</f>
        <v> </v>
      </c>
      <c r="G1781" s="23" t="str">
        <f>IF(OR(E1781="",E1781="!!!"),"",IF(OR(J1781=0,AND(J1781=1,K1781=1),AND(J1781=1,I1781="SBJ"),AND(J1781=1,I1781=0)),"?IN_FOCUS",IF(J1781&lt;=2,"?ACTIVATED",IF(J1781&lt;&gt;"","?FAMILIAR",IF(F1781="NEW",IF(ISNA(VLOOKUP(E1781,#REF!,1,FALSE())),"?TYPE_IDENTIFIABLE","?REFERENTIAL"),"_")))))</f>
        <v> </v>
      </c>
      <c r="H1781" s="24" t="str">
        <f>IF(J1781&lt;&gt;1,"",IF(I1781="SBJ","CB","?"))</f>
        <v> </v>
      </c>
      <c r="I1781" s="25" t="str">
        <f>IF(OR(E1781="",E1781="!!!",F1781="NEW"),"",INDEX(B1780:B$2,-1+SUMPRODUCT(MAX(ROW(E1780:E$2)*(E1781=E1780:E$2)))))</f>
        <v> </v>
      </c>
      <c r="J1781" s="25" t="str">
        <f>IF(OR(E1781="",E1781="!!!",F1781="NEW"),"",COUNTBLANK(OFFSET(A$1,,,SUMPRODUCT(MAX(ROW(E$2:E1781)*(E1781=E$2:E1781)))))-COUNTBLANK(OFFSET(A$1,,,SUMPRODUCT(MAX(ROW(E$1:E1780)*(E2=E$1:E1780))))))</f>
        <v> </v>
      </c>
      <c r="K1781" s="25" t="str">
        <f>IF(OR(E1781="",E1781="!!!",F1781="NEW"),"",INDEX(J$1:J1780,SUMPRODUCT(MAX(ROW(E$1:E1780)*(E1781=E$1:E1780)))))</f>
        <v> </v>
      </c>
      <c r="L1781" s="26"/>
    </row>
    <row r="1782" spans="1:12">
      <c r="A1782" s="20"/>
    </row>
    <row r="1783" spans="1:12">
      <c r="A1783" s="20" t="s">
        <v>922</v>
      </c>
    </row>
    <row r="1784" spans="1:12">
      <c r="A1784" s="20" t="s">
        <v>758</v>
      </c>
      <c r="B1784" s="27" t="s">
        <v>255</v>
      </c>
      <c r="C1784" s="27" t="s">
        <v>256</v>
      </c>
      <c r="D1784" s="27" t="s">
        <v>244</v>
      </c>
      <c r="E1784" s="21">
        <f>IF(D1784="?OLD","!!!","")</f>
        <v/>
      </c>
      <c r="F1784" s="22" t="str">
        <f>IF(OR(E1784="",E1784="!!!"),"",IF(NOT(ISNA(VLOOKUP(E1784,E$1:E1783,1,FALSE()))),"OLD",IF(AND(E1784&lt;&gt;"",E1784&lt;&gt;"!!!"),"NEW","")))</f>
        <v> </v>
      </c>
      <c r="G1784" s="23" t="str">
        <f>IF(OR(E1784="",E1784="!!!"),"",IF(OR(J1784=0,AND(J1784=1,K1784=1),AND(J1784=1,I1784="SBJ"),AND(J1784=1,I1784=0)),"?IN_FOCUS",IF(J1784&lt;=2,"?ACTIVATED",IF(J1784&lt;&gt;"","?FAMILIAR",IF(F1784="NEW",IF(ISNA(VLOOKUP(E1784,#REF!,1,FALSE())),"?TYPE_IDENTIFIABLE","?REFERENTIAL"),"_")))))</f>
        <v> </v>
      </c>
      <c r="H1784" s="24" t="str">
        <f>IF(J1784&lt;&gt;1,"",IF(I1784="SBJ","CB","?"))</f>
        <v> </v>
      </c>
      <c r="I1784" s="25" t="str">
        <f>IF(OR(E1784="",E1784="!!!",F1784="NEW"),"",INDEX(B1783:B$2,-1+SUMPRODUCT(MAX(ROW(E1783:E$2)*(E1784=E1783:E$2)))))</f>
        <v> </v>
      </c>
      <c r="J1784" s="25" t="str">
        <f>IF(OR(E1784="",E1784="!!!",F1784="NEW"),"",COUNTBLANK(OFFSET(A$1,,,SUMPRODUCT(MAX(ROW(E$2:E1784)*(E1784=E$2:E1784)))))-COUNTBLANK(OFFSET(A$1,,,SUMPRODUCT(MAX(ROW(E$1:E1783)*(E2=E$1:E1783))))))</f>
        <v> </v>
      </c>
      <c r="K1784" s="25" t="str">
        <f>IF(OR(E1784="",E1784="!!!",F1784="NEW"),"",INDEX(J$1:J1783,SUMPRODUCT(MAX(ROW(E$1:E1783)*(E1784=E$1:E1783)))))</f>
        <v> </v>
      </c>
      <c r="L1784" s="26"/>
    </row>
    <row r="1785" spans="1:12">
      <c r="A1785" s="20" t="s">
        <v>773</v>
      </c>
      <c r="E1785" s="21">
        <f>IF(D1785="?OLD","!!!","")</f>
        <v/>
      </c>
      <c r="F1785" s="22" t="str">
        <f>IF(OR(E1785="",E1785="!!!"),"",IF(NOT(ISNA(VLOOKUP(E1785,E$1:E1784,1,FALSE()))),"OLD",IF(AND(E1785&lt;&gt;"",E1785&lt;&gt;"!!!"),"NEW","")))</f>
        <v> </v>
      </c>
      <c r="G1785" s="23" t="str">
        <f>IF(OR(E1785="",E1785="!!!"),"",IF(OR(J1785=0,AND(J1785=1,K1785=1),AND(J1785=1,I1785="SBJ"),AND(J1785=1,I1785=0)),"?IN_FOCUS",IF(J1785&lt;=2,"?ACTIVATED",IF(J1785&lt;&gt;"","?FAMILIAR",IF(F1785="NEW",IF(ISNA(VLOOKUP(E1785,#REF!,1,FALSE())),"?TYPE_IDENTIFIABLE","?REFERENTIAL"),"_")))))</f>
        <v> </v>
      </c>
      <c r="H1785" s="24" t="str">
        <f>IF(J1785&lt;&gt;1,"",IF(I1785="SBJ","CB","?"))</f>
        <v> </v>
      </c>
      <c r="I1785" s="25" t="str">
        <f>IF(OR(E1785="",E1785="!!!",F1785="NEW"),"",INDEX(B1784:B$2,-1+SUMPRODUCT(MAX(ROW(E1784:E$2)*(E1785=E1784:E$2)))))</f>
        <v> </v>
      </c>
      <c r="J1785" s="25" t="str">
        <f>IF(OR(E1785="",E1785="!!!",F1785="NEW"),"",COUNTBLANK(OFFSET(A$1,,,SUMPRODUCT(MAX(ROW(E$2:E1785)*(E1785=E$2:E1785)))))-COUNTBLANK(OFFSET(A$1,,,SUMPRODUCT(MAX(ROW(E$1:E1784)*(E2=E$1:E1784))))))</f>
        <v> </v>
      </c>
      <c r="K1785" s="25" t="str">
        <f>IF(OR(E1785="",E1785="!!!",F1785="NEW"),"",INDEX(J$1:J1784,SUMPRODUCT(MAX(ROW(E$1:E1784)*(E1785=E$1:E1784)))))</f>
        <v> </v>
      </c>
      <c r="L1785" s="26"/>
    </row>
    <row r="1786" spans="1:12">
      <c r="A1786" s="20" t="s">
        <v>345</v>
      </c>
      <c r="E1786" s="21">
        <f>IF(D1786="?OLD","!!!","")</f>
        <v/>
      </c>
      <c r="F1786" s="22" t="str">
        <f>IF(OR(E1786="",E1786="!!!"),"",IF(NOT(ISNA(VLOOKUP(E1786,E$1:E1785,1,FALSE()))),"OLD",IF(AND(E1786&lt;&gt;"",E1786&lt;&gt;"!!!"),"NEW","")))</f>
        <v> </v>
      </c>
      <c r="G1786" s="23" t="str">
        <f>IF(OR(E1786="",E1786="!!!"),"",IF(OR(J1786=0,AND(J1786=1,K1786=1),AND(J1786=1,I1786="SBJ"),AND(J1786=1,I1786=0)),"?IN_FOCUS",IF(J1786&lt;=2,"?ACTIVATED",IF(J1786&lt;&gt;"","?FAMILIAR",IF(F1786="NEW",IF(ISNA(VLOOKUP(E1786,#REF!,1,FALSE())),"?TYPE_IDENTIFIABLE","?REFERENTIAL"),"_")))))</f>
        <v> </v>
      </c>
      <c r="H1786" s="24" t="str">
        <f>IF(J1786&lt;&gt;1,"",IF(I1786="SBJ","CB","?"))</f>
        <v> </v>
      </c>
      <c r="I1786" s="25" t="str">
        <f>IF(OR(E1786="",E1786="!!!",F1786="NEW"),"",INDEX(B1785:B$2,-1+SUMPRODUCT(MAX(ROW(E1785:E$2)*(E1786=E1785:E$2)))))</f>
        <v> </v>
      </c>
      <c r="J1786" s="25" t="str">
        <f>IF(OR(E1786="",E1786="!!!",F1786="NEW"),"",COUNTBLANK(OFFSET(A$1,,,SUMPRODUCT(MAX(ROW(E$2:E1786)*(E1786=E$2:E1786)))))-COUNTBLANK(OFFSET(A$1,,,SUMPRODUCT(MAX(ROW(E$1:E1785)*(E2=E$1:E1785))))))</f>
        <v> </v>
      </c>
      <c r="K1786" s="25" t="str">
        <f>IF(OR(E1786="",E1786="!!!",F1786="NEW"),"",INDEX(J$1:J1785,SUMPRODUCT(MAX(ROW(E$1:E1785)*(E1786=E$1:E1785)))))</f>
        <v> </v>
      </c>
      <c r="L1786" s="26"/>
    </row>
    <row r="1787" spans="1:12">
      <c r="A1787" s="20" t="s">
        <v>420</v>
      </c>
      <c r="E1787" s="21">
        <f>IF(D1787="?OLD","!!!","")</f>
        <v/>
      </c>
      <c r="F1787" s="22" t="str">
        <f>IF(OR(E1787="",E1787="!!!"),"",IF(NOT(ISNA(VLOOKUP(E1787,E$1:E1786,1,FALSE()))),"OLD",IF(AND(E1787&lt;&gt;"",E1787&lt;&gt;"!!!"),"NEW","")))</f>
        <v> </v>
      </c>
      <c r="G1787" s="23" t="str">
        <f>IF(OR(E1787="",E1787="!!!"),"",IF(OR(J1787=0,AND(J1787=1,K1787=1),AND(J1787=1,I1787="SBJ"),AND(J1787=1,I1787=0)),"?IN_FOCUS",IF(J1787&lt;=2,"?ACTIVATED",IF(J1787&lt;&gt;"","?FAMILIAR",IF(F1787="NEW",IF(ISNA(VLOOKUP(E1787,#REF!,1,FALSE())),"?TYPE_IDENTIFIABLE","?REFERENTIAL"),"_")))))</f>
        <v> </v>
      </c>
      <c r="H1787" s="24" t="str">
        <f>IF(J1787&lt;&gt;1,"",IF(I1787="SBJ","CB","?"))</f>
        <v> </v>
      </c>
      <c r="I1787" s="25" t="str">
        <f>IF(OR(E1787="",E1787="!!!",F1787="NEW"),"",INDEX(B1786:B$2,-1+SUMPRODUCT(MAX(ROW(E1786:E$2)*(E1787=E1786:E$2)))))</f>
        <v> </v>
      </c>
      <c r="J1787" s="25" t="str">
        <f>IF(OR(E1787="",E1787="!!!",F1787="NEW"),"",COUNTBLANK(OFFSET(A$1,,,SUMPRODUCT(MAX(ROW(E$2:E1787)*(E1787=E$2:E1787)))))-COUNTBLANK(OFFSET(A$1,,,SUMPRODUCT(MAX(ROW(E$1:E1786)*(E2=E$1:E1786))))))</f>
        <v> </v>
      </c>
      <c r="K1787" s="25" t="str">
        <f>IF(OR(E1787="",E1787="!!!",F1787="NEW"),"",INDEX(J$1:J1786,SUMPRODUCT(MAX(ROW(E$1:E1786)*(E1787=E$1:E1786)))))</f>
        <v> </v>
      </c>
      <c r="L1787" s="26"/>
    </row>
    <row r="1788" spans="1:12">
      <c r="A1788" s="20" t="s">
        <v>393</v>
      </c>
      <c r="B1788" s="27" t="s">
        <v>295</v>
      </c>
      <c r="C1788" s="27" t="s">
        <v>256</v>
      </c>
      <c r="D1788" s="27" t="s">
        <v>244</v>
      </c>
      <c r="E1788" s="21">
        <f>IF(D1788="?OLD","!!!","")</f>
        <v/>
      </c>
      <c r="F1788" s="22" t="str">
        <f>IF(OR(E1788="",E1788="!!!"),"",IF(NOT(ISNA(VLOOKUP(E1788,E$1:E1787,1,FALSE()))),"OLD",IF(AND(E1788&lt;&gt;"",E1788&lt;&gt;"!!!"),"NEW","")))</f>
        <v> </v>
      </c>
      <c r="G1788" s="23" t="str">
        <f>IF(OR(E1788="",E1788="!!!"),"",IF(OR(J1788=0,AND(J1788=1,K1788=1),AND(J1788=1,I1788="SBJ"),AND(J1788=1,I1788=0)),"?IN_FOCUS",IF(J1788&lt;=2,"?ACTIVATED",IF(J1788&lt;&gt;"","?FAMILIAR",IF(F1788="NEW",IF(ISNA(VLOOKUP(E1788,#REF!,1,FALSE())),"?TYPE_IDENTIFIABLE","?REFERENTIAL"),"_")))))</f>
        <v> </v>
      </c>
      <c r="H1788" s="24" t="str">
        <f>IF(J1788&lt;&gt;1,"",IF(I1788="SBJ","CB","?"))</f>
        <v> </v>
      </c>
      <c r="I1788" s="25" t="str">
        <f>IF(OR(E1788="",E1788="!!!",F1788="NEW"),"",INDEX(B1787:B$2,-1+SUMPRODUCT(MAX(ROW(E1787:E$2)*(E1788=E1787:E$2)))))</f>
        <v> </v>
      </c>
      <c r="J1788" s="25" t="str">
        <f>IF(OR(E1788="",E1788="!!!",F1788="NEW"),"",COUNTBLANK(OFFSET(A$1,,,SUMPRODUCT(MAX(ROW(E$2:E1788)*(E1788=E$2:E1788)))))-COUNTBLANK(OFFSET(A$1,,,SUMPRODUCT(MAX(ROW(E$1:E1787)*(E2=E$1:E1787))))))</f>
        <v> </v>
      </c>
      <c r="K1788" s="25" t="str">
        <f>IF(OR(E1788="",E1788="!!!",F1788="NEW"),"",INDEX(J$1:J1787,SUMPRODUCT(MAX(ROW(E$1:E1787)*(E1788=E$1:E1787)))))</f>
        <v> </v>
      </c>
      <c r="L1788" s="26"/>
    </row>
    <row r="1789" spans="1:12">
      <c r="A1789" s="20" t="s">
        <v>413</v>
      </c>
      <c r="E1789" s="21">
        <f>IF(D1789="?OLD","!!!","")</f>
        <v/>
      </c>
      <c r="F1789" s="22" t="str">
        <f>IF(OR(E1789="",E1789="!!!"),"",IF(NOT(ISNA(VLOOKUP(E1789,E$1:E1788,1,FALSE()))),"OLD",IF(AND(E1789&lt;&gt;"",E1789&lt;&gt;"!!!"),"NEW","")))</f>
        <v> </v>
      </c>
      <c r="G1789" s="23" t="str">
        <f>IF(OR(E1789="",E1789="!!!"),"",IF(OR(J1789=0,AND(J1789=1,K1789=1),AND(J1789=1,I1789="SBJ"),AND(J1789=1,I1789=0)),"?IN_FOCUS",IF(J1789&lt;=2,"?ACTIVATED",IF(J1789&lt;&gt;"","?FAMILIAR",IF(F1789="NEW",IF(ISNA(VLOOKUP(E1789,#REF!,1,FALSE())),"?TYPE_IDENTIFIABLE","?REFERENTIAL"),"_")))))</f>
        <v> </v>
      </c>
      <c r="H1789" s="24" t="str">
        <f>IF(J1789&lt;&gt;1,"",IF(I1789="SBJ","CB","?"))</f>
        <v> </v>
      </c>
      <c r="I1789" s="25" t="str">
        <f>IF(OR(E1789="",E1789="!!!",F1789="NEW"),"",INDEX(B1788:B$2,-1+SUMPRODUCT(MAX(ROW(E1788:E$2)*(E1789=E1788:E$2)))))</f>
        <v> </v>
      </c>
      <c r="J1789" s="25" t="str">
        <f>IF(OR(E1789="",E1789="!!!",F1789="NEW"),"",COUNTBLANK(OFFSET(A$1,,,SUMPRODUCT(MAX(ROW(E$2:E1789)*(E1789=E$2:E1789)))))-COUNTBLANK(OFFSET(A$1,,,SUMPRODUCT(MAX(ROW(E$1:E1788)*(E2=E$1:E1788))))))</f>
        <v> </v>
      </c>
      <c r="K1789" s="25" t="str">
        <f>IF(OR(E1789="",E1789="!!!",F1789="NEW"),"",INDEX(J$1:J1788,SUMPRODUCT(MAX(ROW(E$1:E1788)*(E1789=E$1:E1788)))))</f>
        <v> </v>
      </c>
      <c r="L1789" s="26"/>
    </row>
    <row r="1790" spans="1:12">
      <c r="A1790" s="20" t="s">
        <v>923</v>
      </c>
      <c r="E1790" s="21">
        <f>IF(D1790="?OLD","!!!","")</f>
        <v/>
      </c>
      <c r="F1790" s="22" t="str">
        <f>IF(OR(E1790="",E1790="!!!"),"",IF(NOT(ISNA(VLOOKUP(E1790,E$1:E1789,1,FALSE()))),"OLD",IF(AND(E1790&lt;&gt;"",E1790&lt;&gt;"!!!"),"NEW","")))</f>
        <v> </v>
      </c>
      <c r="G1790" s="23" t="str">
        <f>IF(OR(E1790="",E1790="!!!"),"",IF(OR(J1790=0,AND(J1790=1,K1790=1),AND(J1790=1,I1790="SBJ"),AND(J1790=1,I1790=0)),"?IN_FOCUS",IF(J1790&lt;=2,"?ACTIVATED",IF(J1790&lt;&gt;"","?FAMILIAR",IF(F1790="NEW",IF(ISNA(VLOOKUP(E1790,#REF!,1,FALSE())),"?TYPE_IDENTIFIABLE","?REFERENTIAL"),"_")))))</f>
        <v> </v>
      </c>
      <c r="H1790" s="24" t="str">
        <f>IF(J1790&lt;&gt;1,"",IF(I1790="SBJ","CB","?"))</f>
        <v> </v>
      </c>
      <c r="I1790" s="25" t="str">
        <f>IF(OR(E1790="",E1790="!!!",F1790="NEW"),"",INDEX(B1789:B$2,-1+SUMPRODUCT(MAX(ROW(E1789:E$2)*(E1790=E1789:E$2)))))</f>
        <v> </v>
      </c>
      <c r="J1790" s="25" t="str">
        <f>IF(OR(E1790="",E1790="!!!",F1790="NEW"),"",COUNTBLANK(OFFSET(A$1,,,SUMPRODUCT(MAX(ROW(E$2:E1790)*(E1790=E$2:E1790)))))-COUNTBLANK(OFFSET(A$1,,,SUMPRODUCT(MAX(ROW(E$1:E1789)*(E2=E$1:E1789))))))</f>
        <v> </v>
      </c>
      <c r="K1790" s="25" t="str">
        <f>IF(OR(E1790="",E1790="!!!",F1790="NEW"),"",INDEX(J$1:J1789,SUMPRODUCT(MAX(ROW(E$1:E1789)*(E1790=E$1:E1789)))))</f>
        <v> </v>
      </c>
      <c r="L1790" s="26"/>
    </row>
    <row r="1791" spans="1:12">
      <c r="A1791" s="20" t="s">
        <v>371</v>
      </c>
      <c r="B1791" s="27" t="s">
        <v>301</v>
      </c>
      <c r="C1791" s="27" t="s">
        <v>256</v>
      </c>
      <c r="D1791" s="27" t="s">
        <v>244</v>
      </c>
      <c r="E1791" s="21">
        <f>IF(D1791="?OLD","!!!","")</f>
        <v/>
      </c>
      <c r="F1791" s="22" t="str">
        <f>IF(OR(E1791="",E1791="!!!"),"",IF(NOT(ISNA(VLOOKUP(E1791,E$1:E1790,1,FALSE()))),"OLD",IF(AND(E1791&lt;&gt;"",E1791&lt;&gt;"!!!"),"NEW","")))</f>
        <v> </v>
      </c>
      <c r="G1791" s="23" t="str">
        <f>IF(OR(E1791="",E1791="!!!"),"",IF(OR(J1791=0,AND(J1791=1,K1791=1),AND(J1791=1,I1791="SBJ"),AND(J1791=1,I1791=0)),"?IN_FOCUS",IF(J1791&lt;=2,"?ACTIVATED",IF(J1791&lt;&gt;"","?FAMILIAR",IF(F1791="NEW",IF(ISNA(VLOOKUP(E1791,#REF!,1,FALSE())),"?TYPE_IDENTIFIABLE","?REFERENTIAL"),"_")))))</f>
        <v> </v>
      </c>
      <c r="H1791" s="24" t="str">
        <f>IF(J1791&lt;&gt;1,"",IF(I1791="SBJ","CB","?"))</f>
        <v> </v>
      </c>
      <c r="I1791" s="25" t="str">
        <f>IF(OR(E1791="",E1791="!!!",F1791="NEW"),"",INDEX(B1790:B$2,-1+SUMPRODUCT(MAX(ROW(E1790:E$2)*(E1791=E1790:E$2)))))</f>
        <v> </v>
      </c>
      <c r="J1791" s="25" t="str">
        <f>IF(OR(E1791="",E1791="!!!",F1791="NEW"),"",COUNTBLANK(OFFSET(A$1,,,SUMPRODUCT(MAX(ROW(E$2:E1791)*(E1791=E$2:E1791)))))-COUNTBLANK(OFFSET(A$1,,,SUMPRODUCT(MAX(ROW(E$1:E1790)*(E2=E$1:E1790))))))</f>
        <v> </v>
      </c>
      <c r="K1791" s="25" t="str">
        <f>IF(OR(E1791="",E1791="!!!",F1791="NEW"),"",INDEX(J$1:J1790,SUMPRODUCT(MAX(ROW(E$1:E1790)*(E1791=E$1:E1790)))))</f>
        <v> </v>
      </c>
      <c r="L1791" s="26"/>
    </row>
    <row r="1792" spans="1:12">
      <c r="A1792" s="20" t="s">
        <v>299</v>
      </c>
      <c r="E1792" s="21">
        <f>IF(D1792="?OLD","!!!","")</f>
        <v/>
      </c>
      <c r="F1792" s="22" t="str">
        <f>IF(OR(E1792="",E1792="!!!"),"",IF(NOT(ISNA(VLOOKUP(E1792,E$1:E1791,1,FALSE()))),"OLD",IF(AND(E1792&lt;&gt;"",E1792&lt;&gt;"!!!"),"NEW","")))</f>
        <v> </v>
      </c>
      <c r="G1792" s="23" t="str">
        <f>IF(OR(E1792="",E1792="!!!"),"",IF(OR(J1792=0,AND(J1792=1,K1792=1),AND(J1792=1,I1792="SBJ"),AND(J1792=1,I1792=0)),"?IN_FOCUS",IF(J1792&lt;=2,"?ACTIVATED",IF(J1792&lt;&gt;"","?FAMILIAR",IF(F1792="NEW",IF(ISNA(VLOOKUP(E1792,#REF!,1,FALSE())),"?TYPE_IDENTIFIABLE","?REFERENTIAL"),"_")))))</f>
        <v> </v>
      </c>
      <c r="H1792" s="24" t="str">
        <f>IF(J1792&lt;&gt;1,"",IF(I1792="SBJ","CB","?"))</f>
        <v> </v>
      </c>
      <c r="I1792" s="25" t="str">
        <f>IF(OR(E1792="",E1792="!!!",F1792="NEW"),"",INDEX(B1791:B$2,-1+SUMPRODUCT(MAX(ROW(E1791:E$2)*(E1792=E1791:E$2)))))</f>
        <v> </v>
      </c>
      <c r="J1792" s="25" t="str">
        <f>IF(OR(E1792="",E1792="!!!",F1792="NEW"),"",COUNTBLANK(OFFSET(A$1,,,SUMPRODUCT(MAX(ROW(E$2:E1792)*(E1792=E$2:E1792)))))-COUNTBLANK(OFFSET(A$1,,,SUMPRODUCT(MAX(ROW(E$1:E1791)*(E2=E$1:E1791))))))</f>
        <v> </v>
      </c>
      <c r="K1792" s="25" t="str">
        <f>IF(OR(E1792="",E1792="!!!",F1792="NEW"),"",INDEX(J$1:J1791,SUMPRODUCT(MAX(ROW(E$1:E1791)*(E1792=E$1:E1791)))))</f>
        <v> </v>
      </c>
      <c r="L1792" s="26"/>
    </row>
    <row r="1793" spans="1:12">
      <c r="A1793" s="20" t="s">
        <v>305</v>
      </c>
      <c r="E1793" s="21">
        <f>IF(D1793="?OLD","!!!","")</f>
        <v/>
      </c>
      <c r="F1793" s="22" t="str">
        <f>IF(OR(E1793="",E1793="!!!"),"",IF(NOT(ISNA(VLOOKUP(E1793,E$1:E1792,1,FALSE()))),"OLD",IF(AND(E1793&lt;&gt;"",E1793&lt;&gt;"!!!"),"NEW","")))</f>
        <v> </v>
      </c>
      <c r="G1793" s="23" t="str">
        <f>IF(OR(E1793="",E1793="!!!"),"",IF(OR(J1793=0,AND(J1793=1,K1793=1),AND(J1793=1,I1793="SBJ"),AND(J1793=1,I1793=0)),"?IN_FOCUS",IF(J1793&lt;=2,"?ACTIVATED",IF(J1793&lt;&gt;"","?FAMILIAR",IF(F1793="NEW",IF(ISNA(VLOOKUP(E1793,#REF!,1,FALSE())),"?TYPE_IDENTIFIABLE","?REFERENTIAL"),"_")))))</f>
        <v> </v>
      </c>
      <c r="H1793" s="24" t="str">
        <f>IF(J1793&lt;&gt;1,"",IF(I1793="SBJ","CB","?"))</f>
        <v> </v>
      </c>
      <c r="I1793" s="25" t="str">
        <f>IF(OR(E1793="",E1793="!!!",F1793="NEW"),"",INDEX(B1792:B$2,-1+SUMPRODUCT(MAX(ROW(E1792:E$2)*(E1793=E1792:E$2)))))</f>
        <v> </v>
      </c>
      <c r="J1793" s="25" t="str">
        <f>IF(OR(E1793="",E1793="!!!",F1793="NEW"),"",COUNTBLANK(OFFSET(A$1,,,SUMPRODUCT(MAX(ROW(E$2:E1793)*(E1793=E$2:E1793)))))-COUNTBLANK(OFFSET(A$1,,,SUMPRODUCT(MAX(ROW(E$1:E1792)*(E2=E$1:E1792))))))</f>
        <v> </v>
      </c>
      <c r="K1793" s="25" t="str">
        <f>IF(OR(E1793="",E1793="!!!",F1793="NEW"),"",INDEX(J$1:J1792,SUMPRODUCT(MAX(ROW(E$1:E1792)*(E1793=E$1:E1792)))))</f>
        <v> </v>
      </c>
      <c r="L1793" s="26"/>
    </row>
    <row r="1794" spans="1:12">
      <c r="A1794" s="20" t="s">
        <v>392</v>
      </c>
      <c r="E1794" s="21">
        <f>IF(D1794="?OLD","!!!","")</f>
        <v/>
      </c>
      <c r="F1794" s="22" t="str">
        <f>IF(OR(E1794="",E1794="!!!"),"",IF(NOT(ISNA(VLOOKUP(E1794,E$1:E1793,1,FALSE()))),"OLD",IF(AND(E1794&lt;&gt;"",E1794&lt;&gt;"!!!"),"NEW","")))</f>
        <v> </v>
      </c>
      <c r="G1794" s="23" t="str">
        <f>IF(OR(E1794="",E1794="!!!"),"",IF(OR(J1794=0,AND(J1794=1,K1794=1),AND(J1794=1,I1794="SBJ"),AND(J1794=1,I1794=0)),"?IN_FOCUS",IF(J1794&lt;=2,"?ACTIVATED",IF(J1794&lt;&gt;"","?FAMILIAR",IF(F1794="NEW",IF(ISNA(VLOOKUP(E1794,#REF!,1,FALSE())),"?TYPE_IDENTIFIABLE","?REFERENTIAL"),"_")))))</f>
        <v> </v>
      </c>
      <c r="H1794" s="24" t="str">
        <f>IF(J1794&lt;&gt;1,"",IF(I1794="SBJ","CB","?"))</f>
        <v> </v>
      </c>
      <c r="I1794" s="25" t="str">
        <f>IF(OR(E1794="",E1794="!!!",F1794="NEW"),"",INDEX(B1793:B$2,-1+SUMPRODUCT(MAX(ROW(E1793:E$2)*(E1794=E1793:E$2)))))</f>
        <v> </v>
      </c>
      <c r="J1794" s="25" t="str">
        <f>IF(OR(E1794="",E1794="!!!",F1794="NEW"),"",COUNTBLANK(OFFSET(A$1,,,SUMPRODUCT(MAX(ROW(E$2:E1794)*(E1794=E$2:E1794)))))-COUNTBLANK(OFFSET(A$1,,,SUMPRODUCT(MAX(ROW(E$1:E1793)*(E2=E$1:E1793))))))</f>
        <v> </v>
      </c>
      <c r="K1794" s="25" t="str">
        <f>IF(OR(E1794="",E1794="!!!",F1794="NEW"),"",INDEX(J$1:J1793,SUMPRODUCT(MAX(ROW(E$1:E1793)*(E1794=E$1:E1793)))))</f>
        <v> </v>
      </c>
      <c r="L1794" s="26"/>
    </row>
    <row r="1795" spans="1:12">
      <c r="A1795" s="20" t="s">
        <v>420</v>
      </c>
      <c r="E1795" s="21">
        <f>IF(D1795="?OLD","!!!","")</f>
        <v/>
      </c>
      <c r="F1795" s="22" t="str">
        <f>IF(OR(E1795="",E1795="!!!"),"",IF(NOT(ISNA(VLOOKUP(E1795,E$1:E1794,1,FALSE()))),"OLD",IF(AND(E1795&lt;&gt;"",E1795&lt;&gt;"!!!"),"NEW","")))</f>
        <v> </v>
      </c>
      <c r="G1795" s="23" t="str">
        <f>IF(OR(E1795="",E1795="!!!"),"",IF(OR(J1795=0,AND(J1795=1,K1795=1),AND(J1795=1,I1795="SBJ"),AND(J1795=1,I1795=0)),"?IN_FOCUS",IF(J1795&lt;=2,"?ACTIVATED",IF(J1795&lt;&gt;"","?FAMILIAR",IF(F1795="NEW",IF(ISNA(VLOOKUP(E1795,#REF!,1,FALSE())),"?TYPE_IDENTIFIABLE","?REFERENTIAL"),"_")))))</f>
        <v> </v>
      </c>
      <c r="H1795" s="24" t="str">
        <f>IF(J1795&lt;&gt;1,"",IF(I1795="SBJ","CB","?"))</f>
        <v> </v>
      </c>
      <c r="I1795" s="25" t="str">
        <f>IF(OR(E1795="",E1795="!!!",F1795="NEW"),"",INDEX(B1794:B$2,-1+SUMPRODUCT(MAX(ROW(E1794:E$2)*(E1795=E1794:E$2)))))</f>
        <v> </v>
      </c>
      <c r="J1795" s="25" t="str">
        <f>IF(OR(E1795="",E1795="!!!",F1795="NEW"),"",COUNTBLANK(OFFSET(A$1,,,SUMPRODUCT(MAX(ROW(E$2:E1795)*(E1795=E$2:E1795)))))-COUNTBLANK(OFFSET(A$1,,,SUMPRODUCT(MAX(ROW(E$1:E1794)*(E2=E$1:E1794))))))</f>
        <v> </v>
      </c>
      <c r="K1795" s="25" t="str">
        <f>IF(OR(E1795="",E1795="!!!",F1795="NEW"),"",INDEX(J$1:J1794,SUMPRODUCT(MAX(ROW(E$1:E1794)*(E1795=E$1:E1794)))))</f>
        <v> </v>
      </c>
      <c r="L1795" s="26"/>
    </row>
    <row r="1796" spans="1:12">
      <c r="A1796" s="20" t="s">
        <v>393</v>
      </c>
      <c r="B1796" s="27" t="s">
        <v>295</v>
      </c>
      <c r="C1796" s="27" t="s">
        <v>256</v>
      </c>
      <c r="D1796" s="27" t="s">
        <v>244</v>
      </c>
      <c r="E1796" s="21">
        <f>IF(D1796="?OLD","!!!","")</f>
        <v/>
      </c>
      <c r="F1796" s="22" t="str">
        <f>IF(OR(E1796="",E1796="!!!"),"",IF(NOT(ISNA(VLOOKUP(E1796,E$1:E1795,1,FALSE()))),"OLD",IF(AND(E1796&lt;&gt;"",E1796&lt;&gt;"!!!"),"NEW","")))</f>
        <v> </v>
      </c>
      <c r="G1796" s="23" t="str">
        <f>IF(OR(E1796="",E1796="!!!"),"",IF(OR(J1796=0,AND(J1796=1,K1796=1),AND(J1796=1,I1796="SBJ"),AND(J1796=1,I1796=0)),"?IN_FOCUS",IF(J1796&lt;=2,"?ACTIVATED",IF(J1796&lt;&gt;"","?FAMILIAR",IF(F1796="NEW",IF(ISNA(VLOOKUP(E1796,#REF!,1,FALSE())),"?TYPE_IDENTIFIABLE","?REFERENTIAL"),"_")))))</f>
        <v> </v>
      </c>
      <c r="H1796" s="24" t="str">
        <f>IF(J1796&lt;&gt;1,"",IF(I1796="SBJ","CB","?"))</f>
        <v> </v>
      </c>
      <c r="I1796" s="25" t="str">
        <f>IF(OR(E1796="",E1796="!!!",F1796="NEW"),"",INDEX(B1795:B$2,-1+SUMPRODUCT(MAX(ROW(E1795:E$2)*(E1796=E1795:E$2)))))</f>
        <v> </v>
      </c>
      <c r="J1796" s="25" t="str">
        <f>IF(OR(E1796="",E1796="!!!",F1796="NEW"),"",COUNTBLANK(OFFSET(A$1,,,SUMPRODUCT(MAX(ROW(E$2:E1796)*(E1796=E$2:E1796)))))-COUNTBLANK(OFFSET(A$1,,,SUMPRODUCT(MAX(ROW(E$1:E1795)*(E2=E$1:E1795))))))</f>
        <v> </v>
      </c>
      <c r="K1796" s="25" t="str">
        <f>IF(OR(E1796="",E1796="!!!",F1796="NEW"),"",INDEX(J$1:J1795,SUMPRODUCT(MAX(ROW(E$1:E1795)*(E1796=E$1:E1795)))))</f>
        <v> </v>
      </c>
      <c r="L1796" s="26"/>
    </row>
    <row r="1797" spans="1:12">
      <c r="A1797" s="20" t="s">
        <v>575</v>
      </c>
      <c r="E1797" s="21">
        <f>IF(D1797="?OLD","!!!","")</f>
        <v/>
      </c>
      <c r="F1797" s="22" t="str">
        <f>IF(OR(E1797="",E1797="!!!"),"",IF(NOT(ISNA(VLOOKUP(E1797,E$1:E1796,1,FALSE()))),"OLD",IF(AND(E1797&lt;&gt;"",E1797&lt;&gt;"!!!"),"NEW","")))</f>
        <v> </v>
      </c>
      <c r="G1797" s="23" t="str">
        <f>IF(OR(E1797="",E1797="!!!"),"",IF(OR(J1797=0,AND(J1797=1,K1797=1),AND(J1797=1,I1797="SBJ"),AND(J1797=1,I1797=0)),"?IN_FOCUS",IF(J1797&lt;=2,"?ACTIVATED",IF(J1797&lt;&gt;"","?FAMILIAR",IF(F1797="NEW",IF(ISNA(VLOOKUP(E1797,#REF!,1,FALSE())),"?TYPE_IDENTIFIABLE","?REFERENTIAL"),"_")))))</f>
        <v> </v>
      </c>
      <c r="H1797" s="24" t="str">
        <f>IF(J1797&lt;&gt;1,"",IF(I1797="SBJ","CB","?"))</f>
        <v> </v>
      </c>
      <c r="I1797" s="25" t="str">
        <f>IF(OR(E1797="",E1797="!!!",F1797="NEW"),"",INDEX(B1796:B$2,-1+SUMPRODUCT(MAX(ROW(E1796:E$2)*(E1797=E1796:E$2)))))</f>
        <v> </v>
      </c>
      <c r="J1797" s="25" t="str">
        <f>IF(OR(E1797="",E1797="!!!",F1797="NEW"),"",COUNTBLANK(OFFSET(A$1,,,SUMPRODUCT(MAX(ROW(E$2:E1797)*(E1797=E$2:E1797)))))-COUNTBLANK(OFFSET(A$1,,,SUMPRODUCT(MAX(ROW(E$1:E1796)*(E2=E$1:E1796))))))</f>
        <v> </v>
      </c>
      <c r="K1797" s="25" t="str">
        <f>IF(OR(E1797="",E1797="!!!",F1797="NEW"),"",INDEX(J$1:J1796,SUMPRODUCT(MAX(ROW(E$1:E1796)*(E1797=E$1:E1796)))))</f>
        <v> </v>
      </c>
      <c r="L1797" s="26"/>
    </row>
    <row r="1798" spans="1:12">
      <c r="A1798" s="20" t="s">
        <v>346</v>
      </c>
      <c r="E1798" s="21">
        <f>IF(D1798="?OLD","!!!","")</f>
        <v/>
      </c>
      <c r="F1798" s="22" t="str">
        <f>IF(OR(E1798="",E1798="!!!"),"",IF(NOT(ISNA(VLOOKUP(E1798,E$1:E1797,1,FALSE()))),"OLD",IF(AND(E1798&lt;&gt;"",E1798&lt;&gt;"!!!"),"NEW","")))</f>
        <v> </v>
      </c>
      <c r="G1798" s="23" t="str">
        <f>IF(OR(E1798="",E1798="!!!"),"",IF(OR(J1798=0,AND(J1798=1,K1798=1),AND(J1798=1,I1798="SBJ"),AND(J1798=1,I1798=0)),"?IN_FOCUS",IF(J1798&lt;=2,"?ACTIVATED",IF(J1798&lt;&gt;"","?FAMILIAR",IF(F1798="NEW",IF(ISNA(VLOOKUP(E1798,#REF!,1,FALSE())),"?TYPE_IDENTIFIABLE","?REFERENTIAL"),"_")))))</f>
        <v> </v>
      </c>
      <c r="H1798" s="24" t="str">
        <f>IF(J1798&lt;&gt;1,"",IF(I1798="SBJ","CB","?"))</f>
        <v> </v>
      </c>
      <c r="I1798" s="25" t="str">
        <f>IF(OR(E1798="",E1798="!!!",F1798="NEW"),"",INDEX(B1797:B$2,-1+SUMPRODUCT(MAX(ROW(E1797:E$2)*(E1798=E1797:E$2)))))</f>
        <v> </v>
      </c>
      <c r="J1798" s="25" t="str">
        <f>IF(OR(E1798="",E1798="!!!",F1798="NEW"),"",COUNTBLANK(OFFSET(A$1,,,SUMPRODUCT(MAX(ROW(E$2:E1798)*(E1798=E$2:E1798)))))-COUNTBLANK(OFFSET(A$1,,,SUMPRODUCT(MAX(ROW(E$1:E1797)*(E2=E$1:E1797))))))</f>
        <v> </v>
      </c>
      <c r="K1798" s="25" t="str">
        <f>IF(OR(E1798="",E1798="!!!",F1798="NEW"),"",INDEX(J$1:J1797,SUMPRODUCT(MAX(ROW(E$1:E1797)*(E1798=E$1:E1797)))))</f>
        <v> </v>
      </c>
      <c r="L1798" s="26"/>
    </row>
    <row r="1799" spans="1:12">
      <c r="A1799" s="20" t="s">
        <v>551</v>
      </c>
      <c r="B1799" s="27" t="s">
        <v>301</v>
      </c>
      <c r="E1799" s="21">
        <f>IF(D1799="?OLD","!!!","")</f>
        <v/>
      </c>
      <c r="F1799" s="22" t="str">
        <f>IF(OR(E1799="",E1799="!!!"),"",IF(NOT(ISNA(VLOOKUP(E1799,E$1:E1798,1,FALSE()))),"OLD",IF(AND(E1799&lt;&gt;"",E1799&lt;&gt;"!!!"),"NEW","")))</f>
        <v> </v>
      </c>
      <c r="G1799" s="23" t="str">
        <f>IF(OR(E1799="",E1799="!!!"),"",IF(OR(J1799=0,AND(J1799=1,K1799=1),AND(J1799=1,I1799="SBJ"),AND(J1799=1,I1799=0)),"?IN_FOCUS",IF(J1799&lt;=2,"?ACTIVATED",IF(J1799&lt;&gt;"","?FAMILIAR",IF(F1799="NEW",IF(ISNA(VLOOKUP(E1799,#REF!,1,FALSE())),"?TYPE_IDENTIFIABLE","?REFERENTIAL"),"_")))))</f>
        <v> </v>
      </c>
      <c r="H1799" s="24" t="str">
        <f>IF(J1799&lt;&gt;1,"",IF(I1799="SBJ","CB","?"))</f>
        <v> </v>
      </c>
      <c r="I1799" s="25" t="str">
        <f>IF(OR(E1799="",E1799="!!!",F1799="NEW"),"",INDEX(B1798:B$2,-1+SUMPRODUCT(MAX(ROW(E1798:E$2)*(E1799=E1798:E$2)))))</f>
        <v> </v>
      </c>
      <c r="J1799" s="25" t="str">
        <f>IF(OR(E1799="",E1799="!!!",F1799="NEW"),"",COUNTBLANK(OFFSET(A$1,,,SUMPRODUCT(MAX(ROW(E$2:E1799)*(E1799=E$2:E1799)))))-COUNTBLANK(OFFSET(A$1,,,SUMPRODUCT(MAX(ROW(E$1:E1798)*(E2=E$1:E1798))))))</f>
        <v> </v>
      </c>
      <c r="K1799" s="25" t="str">
        <f>IF(OR(E1799="",E1799="!!!",F1799="NEW"),"",INDEX(J$1:J1798,SUMPRODUCT(MAX(ROW(E$1:E1798)*(E1799=E$1:E1798)))))</f>
        <v> </v>
      </c>
      <c r="L1799" s="26"/>
    </row>
    <row r="1800" spans="1:12">
      <c r="A1800" s="20" t="s">
        <v>349</v>
      </c>
      <c r="E1800" s="21">
        <f>IF(D1800="?OLD","!!!","")</f>
        <v/>
      </c>
      <c r="F1800" s="22" t="str">
        <f>IF(OR(E1800="",E1800="!!!"),"",IF(NOT(ISNA(VLOOKUP(E1800,E$1:E1799,1,FALSE()))),"OLD",IF(AND(E1800&lt;&gt;"",E1800&lt;&gt;"!!!"),"NEW","")))</f>
        <v> </v>
      </c>
      <c r="G1800" s="23" t="str">
        <f>IF(OR(E1800="",E1800="!!!"),"",IF(OR(J1800=0,AND(J1800=1,K1800=1),AND(J1800=1,I1800="SBJ"),AND(J1800=1,I1800=0)),"?IN_FOCUS",IF(J1800&lt;=2,"?ACTIVATED",IF(J1800&lt;&gt;"","?FAMILIAR",IF(F1800="NEW",IF(ISNA(VLOOKUP(E1800,#REF!,1,FALSE())),"?TYPE_IDENTIFIABLE","?REFERENTIAL"),"_")))))</f>
        <v> </v>
      </c>
      <c r="H1800" s="24" t="str">
        <f>IF(J1800&lt;&gt;1,"",IF(I1800="SBJ","CB","?"))</f>
        <v> </v>
      </c>
      <c r="I1800" s="25" t="str">
        <f>IF(OR(E1800="",E1800="!!!",F1800="NEW"),"",INDEX(B1799:B$2,-1+SUMPRODUCT(MAX(ROW(E1799:E$2)*(E1800=E1799:E$2)))))</f>
        <v> </v>
      </c>
      <c r="J1800" s="25" t="str">
        <f>IF(OR(E1800="",E1800="!!!",F1800="NEW"),"",COUNTBLANK(OFFSET(A$1,,,SUMPRODUCT(MAX(ROW(E$2:E1800)*(E1800=E$2:E1800)))))-COUNTBLANK(OFFSET(A$1,,,SUMPRODUCT(MAX(ROW(E$1:E1799)*(E2=E$1:E1799))))))</f>
        <v> </v>
      </c>
      <c r="K1800" s="25" t="str">
        <f>IF(OR(E1800="",E1800="!!!",F1800="NEW"),"",INDEX(J$1:J1799,SUMPRODUCT(MAX(ROW(E$1:E1799)*(E1800=E$1:E1799)))))</f>
        <v> </v>
      </c>
      <c r="L1800" s="26"/>
    </row>
    <row r="1801" spans="1:12">
      <c r="A1801" s="20" t="s">
        <v>614</v>
      </c>
      <c r="E1801" s="21">
        <f>IF(D1801="?OLD","!!!","")</f>
        <v/>
      </c>
      <c r="F1801" s="22" t="str">
        <f>IF(OR(E1801="",E1801="!!!"),"",IF(NOT(ISNA(VLOOKUP(E1801,E$1:E1800,1,FALSE()))),"OLD",IF(AND(E1801&lt;&gt;"",E1801&lt;&gt;"!!!"),"NEW","")))</f>
        <v> </v>
      </c>
      <c r="G1801" s="23" t="str">
        <f>IF(OR(E1801="",E1801="!!!"),"",IF(OR(J1801=0,AND(J1801=1,K1801=1),AND(J1801=1,I1801="SBJ"),AND(J1801=1,I1801=0)),"?IN_FOCUS",IF(J1801&lt;=2,"?ACTIVATED",IF(J1801&lt;&gt;"","?FAMILIAR",IF(F1801="NEW",IF(ISNA(VLOOKUP(E1801,#REF!,1,FALSE())),"?TYPE_IDENTIFIABLE","?REFERENTIAL"),"_")))))</f>
        <v> </v>
      </c>
      <c r="H1801" s="24" t="str">
        <f>IF(J1801&lt;&gt;1,"",IF(I1801="SBJ","CB","?"))</f>
        <v> </v>
      </c>
      <c r="I1801" s="25" t="str">
        <f>IF(OR(E1801="",E1801="!!!",F1801="NEW"),"",INDEX(B1800:B$2,-1+SUMPRODUCT(MAX(ROW(E1800:E$2)*(E1801=E1800:E$2)))))</f>
        <v> </v>
      </c>
      <c r="J1801" s="25" t="str">
        <f>IF(OR(E1801="",E1801="!!!",F1801="NEW"),"",COUNTBLANK(OFFSET(A$1,,,SUMPRODUCT(MAX(ROW(E$2:E1801)*(E1801=E$2:E1801)))))-COUNTBLANK(OFFSET(A$1,,,SUMPRODUCT(MAX(ROW(E$1:E1800)*(E2=E$1:E1800))))))</f>
        <v> </v>
      </c>
      <c r="K1801" s="25" t="str">
        <f>IF(OR(E1801="",E1801="!!!",F1801="NEW"),"",INDEX(J$1:J1800,SUMPRODUCT(MAX(ROW(E$1:E1800)*(E1801=E$1:E1800)))))</f>
        <v> </v>
      </c>
      <c r="L1801" s="26"/>
    </row>
    <row r="1802" spans="1:12">
      <c r="A1802" s="20" t="s">
        <v>285</v>
      </c>
      <c r="E1802" s="21">
        <f>IF(D1802="?OLD","!!!","")</f>
        <v/>
      </c>
      <c r="F1802" s="22" t="str">
        <f>IF(OR(E1802="",E1802="!!!"),"",IF(NOT(ISNA(VLOOKUP(E1802,E$1:E1801,1,FALSE()))),"OLD",IF(AND(E1802&lt;&gt;"",E1802&lt;&gt;"!!!"),"NEW","")))</f>
        <v> </v>
      </c>
      <c r="G1802" s="23" t="str">
        <f>IF(OR(E1802="",E1802="!!!"),"",IF(OR(J1802=0,AND(J1802=1,K1802=1),AND(J1802=1,I1802="SBJ"),AND(J1802=1,I1802=0)),"?IN_FOCUS",IF(J1802&lt;=2,"?ACTIVATED",IF(J1802&lt;&gt;"","?FAMILIAR",IF(F1802="NEW",IF(ISNA(VLOOKUP(E1802,#REF!,1,FALSE())),"?TYPE_IDENTIFIABLE","?REFERENTIAL"),"_")))))</f>
        <v> </v>
      </c>
      <c r="H1802" s="24" t="str">
        <f>IF(J1802&lt;&gt;1,"",IF(I1802="SBJ","CB","?"))</f>
        <v> </v>
      </c>
      <c r="I1802" s="25" t="str">
        <f>IF(OR(E1802="",E1802="!!!",F1802="NEW"),"",INDEX(B1801:B$2,-1+SUMPRODUCT(MAX(ROW(E1801:E$2)*(E1802=E1801:E$2)))))</f>
        <v> </v>
      </c>
      <c r="J1802" s="25" t="str">
        <f>IF(OR(E1802="",E1802="!!!",F1802="NEW"),"",COUNTBLANK(OFFSET(A$1,,,SUMPRODUCT(MAX(ROW(E$2:E1802)*(E1802=E$2:E1802)))))-COUNTBLANK(OFFSET(A$1,,,SUMPRODUCT(MAX(ROW(E$1:E1801)*(E2=E$1:E1801))))))</f>
        <v> </v>
      </c>
      <c r="K1802" s="25" t="str">
        <f>IF(OR(E1802="",E1802="!!!",F1802="NEW"),"",INDEX(J$1:J1801,SUMPRODUCT(MAX(ROW(E$1:E1801)*(E1802=E$1:E1801)))))</f>
        <v> </v>
      </c>
      <c r="L1802" s="26"/>
    </row>
    <row r="1803" spans="1:12">
      <c r="A1803" s="20"/>
    </row>
    <row r="1804" spans="1:12">
      <c r="A1804" s="20" t="s">
        <v>924</v>
      </c>
    </row>
    <row r="1805" spans="1:12">
      <c r="A1805" s="20" t="s">
        <v>254</v>
      </c>
      <c r="B1805" s="27" t="s">
        <v>255</v>
      </c>
      <c r="C1805" s="27" t="s">
        <v>256</v>
      </c>
      <c r="D1805" s="27" t="s">
        <v>244</v>
      </c>
      <c r="E1805" s="21">
        <f>IF(D1805="?OLD","!!!","")</f>
        <v/>
      </c>
      <c r="F1805" s="22" t="str">
        <f>IF(OR(E1805="",E1805="!!!"),"",IF(NOT(ISNA(VLOOKUP(E1805,E$1:E1804,1,FALSE()))),"OLD",IF(AND(E1805&lt;&gt;"",E1805&lt;&gt;"!!!"),"NEW","")))</f>
        <v> </v>
      </c>
      <c r="G1805" s="23" t="str">
        <f>IF(OR(E1805="",E1805="!!!"),"",IF(OR(J1805=0,AND(J1805=1,K1805=1),AND(J1805=1,I1805="SBJ"),AND(J1805=1,I1805=0)),"?IN_FOCUS",IF(J1805&lt;=2,"?ACTIVATED",IF(J1805&lt;&gt;"","?FAMILIAR",IF(F1805="NEW",IF(ISNA(VLOOKUP(E1805,#REF!,1,FALSE())),"?TYPE_IDENTIFIABLE","?REFERENTIAL"),"_")))))</f>
        <v> </v>
      </c>
      <c r="H1805" s="24" t="str">
        <f>IF(J1805&lt;&gt;1,"",IF(I1805="SBJ","CB","?"))</f>
        <v> </v>
      </c>
      <c r="I1805" s="25" t="str">
        <f>IF(OR(E1805="",E1805="!!!",F1805="NEW"),"",INDEX(B1804:B$2,-1+SUMPRODUCT(MAX(ROW(E1804:E$2)*(E1805=E1804:E$2)))))</f>
        <v> </v>
      </c>
      <c r="J1805" s="25" t="str">
        <f>IF(OR(E1805="",E1805="!!!",F1805="NEW"),"",COUNTBLANK(OFFSET(A$1,,,SUMPRODUCT(MAX(ROW(E$2:E1805)*(E1805=E$2:E1805)))))-COUNTBLANK(OFFSET(A$1,,,SUMPRODUCT(MAX(ROW(E$1:E1804)*(E2=E$1:E1804))))))</f>
        <v> </v>
      </c>
      <c r="K1805" s="25" t="str">
        <f>IF(OR(E1805="",E1805="!!!",F1805="NEW"),"",INDEX(J$1:J1804,SUMPRODUCT(MAX(ROW(E$1:E1804)*(E1805=E$1:E1804)))))</f>
        <v> </v>
      </c>
      <c r="L1805" s="26"/>
    </row>
    <row r="1806" spans="1:12">
      <c r="A1806" s="20" t="s">
        <v>874</v>
      </c>
      <c r="E1806" s="21">
        <f>IF(D1806="?OLD","!!!","")</f>
        <v/>
      </c>
      <c r="F1806" s="22" t="str">
        <f>IF(OR(E1806="",E1806="!!!"),"",IF(NOT(ISNA(VLOOKUP(E1806,E$1:E1805,1,FALSE()))),"OLD",IF(AND(E1806&lt;&gt;"",E1806&lt;&gt;"!!!"),"NEW","")))</f>
        <v> </v>
      </c>
      <c r="G1806" s="23" t="str">
        <f>IF(OR(E1806="",E1806="!!!"),"",IF(OR(J1806=0,AND(J1806=1,K1806=1),AND(J1806=1,I1806="SBJ"),AND(J1806=1,I1806=0)),"?IN_FOCUS",IF(J1806&lt;=2,"?ACTIVATED",IF(J1806&lt;&gt;"","?FAMILIAR",IF(F1806="NEW",IF(ISNA(VLOOKUP(E1806,#REF!,1,FALSE())),"?TYPE_IDENTIFIABLE","?REFERENTIAL"),"_")))))</f>
        <v> </v>
      </c>
      <c r="H1806" s="24" t="str">
        <f>IF(J1806&lt;&gt;1,"",IF(I1806="SBJ","CB","?"))</f>
        <v> </v>
      </c>
      <c r="I1806" s="25" t="str">
        <f>IF(OR(E1806="",E1806="!!!",F1806="NEW"),"",INDEX(B1805:B$2,-1+SUMPRODUCT(MAX(ROW(E1805:E$2)*(E1806=E1805:E$2)))))</f>
        <v> </v>
      </c>
      <c r="J1806" s="25" t="str">
        <f>IF(OR(E1806="",E1806="!!!",F1806="NEW"),"",COUNTBLANK(OFFSET(A$1,,,SUMPRODUCT(MAX(ROW(E$2:E1806)*(E1806=E$2:E1806)))))-COUNTBLANK(OFFSET(A$1,,,SUMPRODUCT(MAX(ROW(E$1:E1805)*(E2=E$1:E1805))))))</f>
        <v> </v>
      </c>
      <c r="K1806" s="25" t="str">
        <f>IF(OR(E1806="",E1806="!!!",F1806="NEW"),"",INDEX(J$1:J1805,SUMPRODUCT(MAX(ROW(E$1:E1805)*(E1806=E$1:E1805)))))</f>
        <v> </v>
      </c>
      <c r="L1806" s="26"/>
    </row>
    <row r="1807" spans="1:12">
      <c r="A1807" s="20" t="s">
        <v>925</v>
      </c>
      <c r="E1807" s="21">
        <f>IF(D1807="?OLD","!!!","")</f>
        <v/>
      </c>
      <c r="F1807" s="22" t="str">
        <f>IF(OR(E1807="",E1807="!!!"),"",IF(NOT(ISNA(VLOOKUP(E1807,E$1:E1806,1,FALSE()))),"OLD",IF(AND(E1807&lt;&gt;"",E1807&lt;&gt;"!!!"),"NEW","")))</f>
        <v> </v>
      </c>
      <c r="G1807" s="23" t="str">
        <f>IF(OR(E1807="",E1807="!!!"),"",IF(OR(J1807=0,AND(J1807=1,K1807=1),AND(J1807=1,I1807="SBJ"),AND(J1807=1,I1807=0)),"?IN_FOCUS",IF(J1807&lt;=2,"?ACTIVATED",IF(J1807&lt;&gt;"","?FAMILIAR",IF(F1807="NEW",IF(ISNA(VLOOKUP(E1807,#REF!,1,FALSE())),"?TYPE_IDENTIFIABLE","?REFERENTIAL"),"_")))))</f>
        <v> </v>
      </c>
      <c r="H1807" s="24" t="str">
        <f>IF(J1807&lt;&gt;1,"",IF(I1807="SBJ","CB","?"))</f>
        <v> </v>
      </c>
      <c r="I1807" s="25" t="str">
        <f>IF(OR(E1807="",E1807="!!!",F1807="NEW"),"",INDEX(B1806:B$2,-1+SUMPRODUCT(MAX(ROW(E1806:E$2)*(E1807=E1806:E$2)))))</f>
        <v> </v>
      </c>
      <c r="J1807" s="25" t="str">
        <f>IF(OR(E1807="",E1807="!!!",F1807="NEW"),"",COUNTBLANK(OFFSET(A$1,,,SUMPRODUCT(MAX(ROW(E$2:E1807)*(E1807=E$2:E1807)))))-COUNTBLANK(OFFSET(A$1,,,SUMPRODUCT(MAX(ROW(E$1:E1806)*(E2=E$1:E1806))))))</f>
        <v> </v>
      </c>
      <c r="K1807" s="25" t="str">
        <f>IF(OR(E1807="",E1807="!!!",F1807="NEW"),"",INDEX(J$1:J1806,SUMPRODUCT(MAX(ROW(E$1:E1806)*(E1807=E$1:E1806)))))</f>
        <v> </v>
      </c>
      <c r="L1807" s="26"/>
    </row>
    <row r="1808" spans="1:12">
      <c r="A1808" s="20" t="s">
        <v>926</v>
      </c>
      <c r="E1808" s="21">
        <f>IF(D1808="?OLD","!!!","")</f>
        <v/>
      </c>
      <c r="F1808" s="22" t="str">
        <f>IF(OR(E1808="",E1808="!!!"),"",IF(NOT(ISNA(VLOOKUP(E1808,E$1:E1807,1,FALSE()))),"OLD",IF(AND(E1808&lt;&gt;"",E1808&lt;&gt;"!!!"),"NEW","")))</f>
        <v> </v>
      </c>
      <c r="G1808" s="23" t="str">
        <f>IF(OR(E1808="",E1808="!!!"),"",IF(OR(J1808=0,AND(J1808=1,K1808=1),AND(J1808=1,I1808="SBJ"),AND(J1808=1,I1808=0)),"?IN_FOCUS",IF(J1808&lt;=2,"?ACTIVATED",IF(J1808&lt;&gt;"","?FAMILIAR",IF(F1808="NEW",IF(ISNA(VLOOKUP(E1808,#REF!,1,FALSE())),"?TYPE_IDENTIFIABLE","?REFERENTIAL"),"_")))))</f>
        <v> </v>
      </c>
      <c r="H1808" s="24" t="str">
        <f>IF(J1808&lt;&gt;1,"",IF(I1808="SBJ","CB","?"))</f>
        <v> </v>
      </c>
      <c r="I1808" s="25" t="str">
        <f>IF(OR(E1808="",E1808="!!!",F1808="NEW"),"",INDEX(B1807:B$2,-1+SUMPRODUCT(MAX(ROW(E1807:E$2)*(E1808=E1807:E$2)))))</f>
        <v> </v>
      </c>
      <c r="J1808" s="25" t="str">
        <f>IF(OR(E1808="",E1808="!!!",F1808="NEW"),"",COUNTBLANK(OFFSET(A$1,,,SUMPRODUCT(MAX(ROW(E$2:E1808)*(E1808=E$2:E1808)))))-COUNTBLANK(OFFSET(A$1,,,SUMPRODUCT(MAX(ROW(E$1:E1807)*(E2=E$1:E1807))))))</f>
        <v> </v>
      </c>
      <c r="K1808" s="25" t="str">
        <f>IF(OR(E1808="",E1808="!!!",F1808="NEW"),"",INDEX(J$1:J1807,SUMPRODUCT(MAX(ROW(E$1:E1807)*(E1808=E$1:E1807)))))</f>
        <v> </v>
      </c>
      <c r="L1808" s="26"/>
    </row>
    <row r="1809" spans="1:12">
      <c r="A1809" s="20" t="s">
        <v>314</v>
      </c>
      <c r="E1809" s="21">
        <f>IF(D1809="?OLD","!!!","")</f>
        <v/>
      </c>
      <c r="F1809" s="22" t="str">
        <f>IF(OR(E1809="",E1809="!!!"),"",IF(NOT(ISNA(VLOOKUP(E1809,E$1:E1808,1,FALSE()))),"OLD",IF(AND(E1809&lt;&gt;"",E1809&lt;&gt;"!!!"),"NEW","")))</f>
        <v> </v>
      </c>
      <c r="G1809" s="23" t="str">
        <f>IF(OR(E1809="",E1809="!!!"),"",IF(OR(J1809=0,AND(J1809=1,K1809=1),AND(J1809=1,I1809="SBJ"),AND(J1809=1,I1809=0)),"?IN_FOCUS",IF(J1809&lt;=2,"?ACTIVATED",IF(J1809&lt;&gt;"","?FAMILIAR",IF(F1809="NEW",IF(ISNA(VLOOKUP(E1809,#REF!,1,FALSE())),"?TYPE_IDENTIFIABLE","?REFERENTIAL"),"_")))))</f>
        <v> </v>
      </c>
      <c r="H1809" s="24" t="str">
        <f>IF(J1809&lt;&gt;1,"",IF(I1809="SBJ","CB","?"))</f>
        <v> </v>
      </c>
      <c r="I1809" s="25" t="str">
        <f>IF(OR(E1809="",E1809="!!!",F1809="NEW"),"",INDEX(B1808:B$2,-1+SUMPRODUCT(MAX(ROW(E1808:E$2)*(E1809=E1808:E$2)))))</f>
        <v> </v>
      </c>
      <c r="J1809" s="25" t="str">
        <f>IF(OR(E1809="",E1809="!!!",F1809="NEW"),"",COUNTBLANK(OFFSET(A$1,,,SUMPRODUCT(MAX(ROW(E$2:E1809)*(E1809=E$2:E1809)))))-COUNTBLANK(OFFSET(A$1,,,SUMPRODUCT(MAX(ROW(E$1:E1808)*(E2=E$1:E1808))))))</f>
        <v> </v>
      </c>
      <c r="K1809" s="25" t="str">
        <f>IF(OR(E1809="",E1809="!!!",F1809="NEW"),"",INDEX(J$1:J1808,SUMPRODUCT(MAX(ROW(E$1:E1808)*(E1809=E$1:E1808)))))</f>
        <v> </v>
      </c>
      <c r="L1809" s="26"/>
    </row>
    <row r="1810" spans="1:12">
      <c r="A1810" s="20" t="s">
        <v>927</v>
      </c>
      <c r="E1810" s="21">
        <f>IF(D1810="?OLD","!!!","")</f>
        <v/>
      </c>
      <c r="F1810" s="22" t="str">
        <f>IF(OR(E1810="",E1810="!!!"),"",IF(NOT(ISNA(VLOOKUP(E1810,E$1:E1809,1,FALSE()))),"OLD",IF(AND(E1810&lt;&gt;"",E1810&lt;&gt;"!!!"),"NEW","")))</f>
        <v> </v>
      </c>
      <c r="G1810" s="23" t="str">
        <f>IF(OR(E1810="",E1810="!!!"),"",IF(OR(J1810=0,AND(J1810=1,K1810=1),AND(J1810=1,I1810="SBJ"),AND(J1810=1,I1810=0)),"?IN_FOCUS",IF(J1810&lt;=2,"?ACTIVATED",IF(J1810&lt;&gt;"","?FAMILIAR",IF(F1810="NEW",IF(ISNA(VLOOKUP(E1810,#REF!,1,FALSE())),"?TYPE_IDENTIFIABLE","?REFERENTIAL"),"_")))))</f>
        <v> </v>
      </c>
      <c r="H1810" s="24" t="str">
        <f>IF(J1810&lt;&gt;1,"",IF(I1810="SBJ","CB","?"))</f>
        <v> </v>
      </c>
      <c r="I1810" s="25" t="str">
        <f>IF(OR(E1810="",E1810="!!!",F1810="NEW"),"",INDEX(B1809:B$2,-1+SUMPRODUCT(MAX(ROW(E1809:E$2)*(E1810=E1809:E$2)))))</f>
        <v> </v>
      </c>
      <c r="J1810" s="25" t="str">
        <f>IF(OR(E1810="",E1810="!!!",F1810="NEW"),"",COUNTBLANK(OFFSET(A$1,,,SUMPRODUCT(MAX(ROW(E$2:E1810)*(E1810=E$2:E1810)))))-COUNTBLANK(OFFSET(A$1,,,SUMPRODUCT(MAX(ROW(E$1:E1809)*(E2=E$1:E1809))))))</f>
        <v> </v>
      </c>
      <c r="K1810" s="25" t="str">
        <f>IF(OR(E1810="",E1810="!!!",F1810="NEW"),"",INDEX(J$1:J1809,SUMPRODUCT(MAX(ROW(E$1:E1809)*(E1810=E$1:E1809)))))</f>
        <v> </v>
      </c>
      <c r="L1810" s="26"/>
    </row>
    <row r="1811" spans="1:12">
      <c r="A1811" s="20" t="s">
        <v>587</v>
      </c>
      <c r="E1811" s="21">
        <f>IF(D1811="?OLD","!!!","")</f>
        <v/>
      </c>
      <c r="F1811" s="22" t="str">
        <f>IF(OR(E1811="",E1811="!!!"),"",IF(NOT(ISNA(VLOOKUP(E1811,E$1:E1810,1,FALSE()))),"OLD",IF(AND(E1811&lt;&gt;"",E1811&lt;&gt;"!!!"),"NEW","")))</f>
        <v> </v>
      </c>
      <c r="G1811" s="23" t="str">
        <f>IF(OR(E1811="",E1811="!!!"),"",IF(OR(J1811=0,AND(J1811=1,K1811=1),AND(J1811=1,I1811="SBJ"),AND(J1811=1,I1811=0)),"?IN_FOCUS",IF(J1811&lt;=2,"?ACTIVATED",IF(J1811&lt;&gt;"","?FAMILIAR",IF(F1811="NEW",IF(ISNA(VLOOKUP(E1811,#REF!,1,FALSE())),"?TYPE_IDENTIFIABLE","?REFERENTIAL"),"_")))))</f>
        <v> </v>
      </c>
      <c r="H1811" s="24" t="str">
        <f>IF(J1811&lt;&gt;1,"",IF(I1811="SBJ","CB","?"))</f>
        <v> </v>
      </c>
      <c r="I1811" s="25" t="str">
        <f>IF(OR(E1811="",E1811="!!!",F1811="NEW"),"",INDEX(B1810:B$2,-1+SUMPRODUCT(MAX(ROW(E1810:E$2)*(E1811=E1810:E$2)))))</f>
        <v> </v>
      </c>
      <c r="J1811" s="25" t="str">
        <f>IF(OR(E1811="",E1811="!!!",F1811="NEW"),"",COUNTBLANK(OFFSET(A$1,,,SUMPRODUCT(MAX(ROW(E$2:E1811)*(E1811=E$2:E1811)))))-COUNTBLANK(OFFSET(A$1,,,SUMPRODUCT(MAX(ROW(E$1:E1810)*(E2=E$1:E1810))))))</f>
        <v> </v>
      </c>
      <c r="K1811" s="25" t="str">
        <f>IF(OR(E1811="",E1811="!!!",F1811="NEW"),"",INDEX(J$1:J1810,SUMPRODUCT(MAX(ROW(E$1:E1810)*(E1811=E$1:E1810)))))</f>
        <v> </v>
      </c>
      <c r="L1811" s="26"/>
    </row>
    <row r="1812" spans="1:12">
      <c r="A1812" s="20" t="s">
        <v>299</v>
      </c>
      <c r="E1812" s="21">
        <f>IF(D1812="?OLD","!!!","")</f>
        <v/>
      </c>
      <c r="F1812" s="22" t="str">
        <f>IF(OR(E1812="",E1812="!!!"),"",IF(NOT(ISNA(VLOOKUP(E1812,E$1:E1811,1,FALSE()))),"OLD",IF(AND(E1812&lt;&gt;"",E1812&lt;&gt;"!!!"),"NEW","")))</f>
        <v> </v>
      </c>
      <c r="G1812" s="23" t="str">
        <f>IF(OR(E1812="",E1812="!!!"),"",IF(OR(J1812=0,AND(J1812=1,K1812=1),AND(J1812=1,I1812="SBJ"),AND(J1812=1,I1812=0)),"?IN_FOCUS",IF(J1812&lt;=2,"?ACTIVATED",IF(J1812&lt;&gt;"","?FAMILIAR",IF(F1812="NEW",IF(ISNA(VLOOKUP(E1812,#REF!,1,FALSE())),"?TYPE_IDENTIFIABLE","?REFERENTIAL"),"_")))))</f>
        <v> </v>
      </c>
      <c r="H1812" s="24" t="str">
        <f>IF(J1812&lt;&gt;1,"",IF(I1812="SBJ","CB","?"))</f>
        <v> </v>
      </c>
      <c r="I1812" s="25" t="str">
        <f>IF(OR(E1812="",E1812="!!!",F1812="NEW"),"",INDEX(B1811:B$2,-1+SUMPRODUCT(MAX(ROW(E1811:E$2)*(E1812=E1811:E$2)))))</f>
        <v> </v>
      </c>
      <c r="J1812" s="25" t="str">
        <f>IF(OR(E1812="",E1812="!!!",F1812="NEW"),"",COUNTBLANK(OFFSET(A$1,,,SUMPRODUCT(MAX(ROW(E$2:E1812)*(E1812=E$2:E1812)))))-COUNTBLANK(OFFSET(A$1,,,SUMPRODUCT(MAX(ROW(E$1:E1811)*(E2=E$1:E1811))))))</f>
        <v> </v>
      </c>
      <c r="K1812" s="25" t="str">
        <f>IF(OR(E1812="",E1812="!!!",F1812="NEW"),"",INDEX(J$1:J1811,SUMPRODUCT(MAX(ROW(E$1:E1811)*(E1812=E$1:E1811)))))</f>
        <v> </v>
      </c>
      <c r="L1812" s="26"/>
    </row>
    <row r="1813" spans="1:12">
      <c r="A1813" s="20" t="s">
        <v>248</v>
      </c>
      <c r="E1813" s="21">
        <f>IF(D1813="?OLD","!!!","")</f>
        <v/>
      </c>
      <c r="F1813" s="22" t="str">
        <f>IF(OR(E1813="",E1813="!!!"),"",IF(NOT(ISNA(VLOOKUP(E1813,E$1:E1812,1,FALSE()))),"OLD",IF(AND(E1813&lt;&gt;"",E1813&lt;&gt;"!!!"),"NEW","")))</f>
        <v> </v>
      </c>
      <c r="G1813" s="23" t="str">
        <f>IF(OR(E1813="",E1813="!!!"),"",IF(OR(J1813=0,AND(J1813=1,K1813=1),AND(J1813=1,I1813="SBJ"),AND(J1813=1,I1813=0)),"?IN_FOCUS",IF(J1813&lt;=2,"?ACTIVATED",IF(J1813&lt;&gt;"","?FAMILIAR",IF(F1813="NEW",IF(ISNA(VLOOKUP(E1813,#REF!,1,FALSE())),"?TYPE_IDENTIFIABLE","?REFERENTIAL"),"_")))))</f>
        <v> </v>
      </c>
      <c r="H1813" s="24" t="str">
        <f>IF(J1813&lt;&gt;1,"",IF(I1813="SBJ","CB","?"))</f>
        <v> </v>
      </c>
      <c r="I1813" s="25" t="str">
        <f>IF(OR(E1813="",E1813="!!!",F1813="NEW"),"",INDEX(B1812:B$2,-1+SUMPRODUCT(MAX(ROW(E1812:E$2)*(E1813=E1812:E$2)))))</f>
        <v> </v>
      </c>
      <c r="J1813" s="25" t="str">
        <f>IF(OR(E1813="",E1813="!!!",F1813="NEW"),"",COUNTBLANK(OFFSET(A$1,,,SUMPRODUCT(MAX(ROW(E$2:E1813)*(E1813=E$2:E1813)))))-COUNTBLANK(OFFSET(A$1,,,SUMPRODUCT(MAX(ROW(E$1:E1812)*(E2=E$1:E1812))))))</f>
        <v> </v>
      </c>
      <c r="K1813" s="25" t="str">
        <f>IF(OR(E1813="",E1813="!!!",F1813="NEW"),"",INDEX(J$1:J1812,SUMPRODUCT(MAX(ROW(E$1:E1812)*(E1813=E$1:E1812)))))</f>
        <v> </v>
      </c>
      <c r="L1813" s="26"/>
    </row>
    <row r="1814" spans="1:12">
      <c r="A1814" s="20" t="s">
        <v>928</v>
      </c>
      <c r="E1814" s="21">
        <f>IF(D1814="?OLD","!!!","")</f>
        <v/>
      </c>
      <c r="F1814" s="22" t="str">
        <f>IF(OR(E1814="",E1814="!!!"),"",IF(NOT(ISNA(VLOOKUP(E1814,E$1:E1813,1,FALSE()))),"OLD",IF(AND(E1814&lt;&gt;"",E1814&lt;&gt;"!!!"),"NEW","")))</f>
        <v> </v>
      </c>
      <c r="G1814" s="23" t="str">
        <f>IF(OR(E1814="",E1814="!!!"),"",IF(OR(J1814=0,AND(J1814=1,K1814=1),AND(J1814=1,I1814="SBJ"),AND(J1814=1,I1814=0)),"?IN_FOCUS",IF(J1814&lt;=2,"?ACTIVATED",IF(J1814&lt;&gt;"","?FAMILIAR",IF(F1814="NEW",IF(ISNA(VLOOKUP(E1814,#REF!,1,FALSE())),"?TYPE_IDENTIFIABLE","?REFERENTIAL"),"_")))))</f>
        <v> </v>
      </c>
      <c r="H1814" s="24" t="str">
        <f>IF(J1814&lt;&gt;1,"",IF(I1814="SBJ","CB","?"))</f>
        <v> </v>
      </c>
      <c r="I1814" s="25" t="str">
        <f>IF(OR(E1814="",E1814="!!!",F1814="NEW"),"",INDEX(B1813:B$2,-1+SUMPRODUCT(MAX(ROW(E1813:E$2)*(E1814=E1813:E$2)))))</f>
        <v> </v>
      </c>
      <c r="J1814" s="25" t="str">
        <f>IF(OR(E1814="",E1814="!!!",F1814="NEW"),"",COUNTBLANK(OFFSET(A$1,,,SUMPRODUCT(MAX(ROW(E$2:E1814)*(E1814=E$2:E1814)))))-COUNTBLANK(OFFSET(A$1,,,SUMPRODUCT(MAX(ROW(E$1:E1813)*(E2=E$1:E1813))))))</f>
        <v> </v>
      </c>
      <c r="K1814" s="25" t="str">
        <f>IF(OR(E1814="",E1814="!!!",F1814="NEW"),"",INDEX(J$1:J1813,SUMPRODUCT(MAX(ROW(E$1:E1813)*(E1814=E$1:E1813)))))</f>
        <v> </v>
      </c>
      <c r="L1814" s="26"/>
    </row>
    <row r="1815" spans="1:12">
      <c r="A1815" s="20" t="s">
        <v>929</v>
      </c>
      <c r="B1815" s="27" t="s">
        <v>381</v>
      </c>
      <c r="C1815" s="27" t="s">
        <v>252</v>
      </c>
      <c r="D1815" s="27" t="s">
        <v>244</v>
      </c>
      <c r="E1815" s="21">
        <f>IF(D1815="?OLD","!!!","")</f>
        <v/>
      </c>
      <c r="F1815" s="22" t="str">
        <f>IF(OR(E1815="",E1815="!!!"),"",IF(NOT(ISNA(VLOOKUP(E1815,E$1:E1814,1,FALSE()))),"OLD",IF(AND(E1815&lt;&gt;"",E1815&lt;&gt;"!!!"),"NEW","")))</f>
        <v> </v>
      </c>
      <c r="G1815" s="23" t="str">
        <f>IF(OR(E1815="",E1815="!!!"),"",IF(OR(J1815=0,AND(J1815=1,K1815=1),AND(J1815=1,I1815="SBJ"),AND(J1815=1,I1815=0)),"?IN_FOCUS",IF(J1815&lt;=2,"?ACTIVATED",IF(J1815&lt;&gt;"","?FAMILIAR",IF(F1815="NEW",IF(ISNA(VLOOKUP(E1815,#REF!,1,FALSE())),"?TYPE_IDENTIFIABLE","?REFERENTIAL"),"_")))))</f>
        <v> </v>
      </c>
      <c r="H1815" s="24" t="str">
        <f>IF(J1815&lt;&gt;1,"",IF(I1815="SBJ","CB","?"))</f>
        <v> </v>
      </c>
      <c r="I1815" s="25" t="str">
        <f>IF(OR(E1815="",E1815="!!!",F1815="NEW"),"",INDEX(B1814:B$2,-1+SUMPRODUCT(MAX(ROW(E1814:E$2)*(E1815=E1814:E$2)))))</f>
        <v> </v>
      </c>
      <c r="J1815" s="25" t="str">
        <f>IF(OR(E1815="",E1815="!!!",F1815="NEW"),"",COUNTBLANK(OFFSET(A$1,,,SUMPRODUCT(MAX(ROW(E$2:E1815)*(E1815=E$2:E1815)))))-COUNTBLANK(OFFSET(A$1,,,SUMPRODUCT(MAX(ROW(E$1:E1814)*(E2=E$1:E1814))))))</f>
        <v> </v>
      </c>
      <c r="K1815" s="25" t="str">
        <f>IF(OR(E1815="",E1815="!!!",F1815="NEW"),"",INDEX(J$1:J1814,SUMPRODUCT(MAX(ROW(E$1:E1814)*(E1815=E$1:E1814)))))</f>
        <v> </v>
      </c>
      <c r="L1815" s="26"/>
    </row>
    <row r="1816" spans="1:12">
      <c r="A1816" s="20" t="s">
        <v>260</v>
      </c>
      <c r="B1816" s="27" t="s">
        <v>364</v>
      </c>
      <c r="E1816" s="21">
        <f>IF(D1816="?OLD","!!!","")</f>
        <v/>
      </c>
      <c r="F1816" s="22" t="str">
        <f>IF(OR(E1816="",E1816="!!!"),"",IF(NOT(ISNA(VLOOKUP(E1816,E$1:E1815,1,FALSE()))),"OLD",IF(AND(E1816&lt;&gt;"",E1816&lt;&gt;"!!!"),"NEW","")))</f>
        <v> </v>
      </c>
      <c r="G1816" s="23" t="str">
        <f>IF(OR(E1816="",E1816="!!!"),"",IF(OR(J1816=0,AND(J1816=1,K1816=1),AND(J1816=1,I1816="SBJ"),AND(J1816=1,I1816=0)),"?IN_FOCUS",IF(J1816&lt;=2,"?ACTIVATED",IF(J1816&lt;&gt;"","?FAMILIAR",IF(F1816="NEW",IF(ISNA(VLOOKUP(E1816,#REF!,1,FALSE())),"?TYPE_IDENTIFIABLE","?REFERENTIAL"),"_")))))</f>
        <v> </v>
      </c>
      <c r="H1816" s="24" t="str">
        <f>IF(J1816&lt;&gt;1,"",IF(I1816="SBJ","CB","?"))</f>
        <v> </v>
      </c>
      <c r="I1816" s="25" t="str">
        <f>IF(OR(E1816="",E1816="!!!",F1816="NEW"),"",INDEX(B1815:B$2,-1+SUMPRODUCT(MAX(ROW(E1815:E$2)*(E1816=E1815:E$2)))))</f>
        <v> </v>
      </c>
      <c r="J1816" s="25" t="str">
        <f>IF(OR(E1816="",E1816="!!!",F1816="NEW"),"",COUNTBLANK(OFFSET(A$1,,,SUMPRODUCT(MAX(ROW(E$2:E1816)*(E1816=E$2:E1816)))))-COUNTBLANK(OFFSET(A$1,,,SUMPRODUCT(MAX(ROW(E$1:E1815)*(E2=E$1:E1815))))))</f>
        <v> </v>
      </c>
      <c r="K1816" s="25" t="str">
        <f>IF(OR(E1816="",E1816="!!!",F1816="NEW"),"",INDEX(J$1:J1815,SUMPRODUCT(MAX(ROW(E$1:E1815)*(E1816=E$1:E1815)))))</f>
        <v> </v>
      </c>
      <c r="L1816" s="26"/>
    </row>
    <row r="1817" spans="1:12">
      <c r="A1817" s="20" t="s">
        <v>393</v>
      </c>
      <c r="B1817" s="27" t="s">
        <v>361</v>
      </c>
      <c r="C1817" s="27" t="s">
        <v>256</v>
      </c>
      <c r="D1817" s="27" t="s">
        <v>244</v>
      </c>
      <c r="E1817" s="21">
        <f>IF(D1817="?OLD","!!!","")</f>
        <v/>
      </c>
      <c r="F1817" s="22" t="str">
        <f>IF(OR(E1817="",E1817="!!!"),"",IF(NOT(ISNA(VLOOKUP(E1817,E$1:E1816,1,FALSE()))),"OLD",IF(AND(E1817&lt;&gt;"",E1817&lt;&gt;"!!!"),"NEW","")))</f>
        <v> </v>
      </c>
      <c r="G1817" s="23" t="str">
        <f>IF(OR(E1817="",E1817="!!!"),"",IF(OR(J1817=0,AND(J1817=1,K1817=1),AND(J1817=1,I1817="SBJ"),AND(J1817=1,I1817=0)),"?IN_FOCUS",IF(J1817&lt;=2,"?ACTIVATED",IF(J1817&lt;&gt;"","?FAMILIAR",IF(F1817="NEW",IF(ISNA(VLOOKUP(E1817,#REF!,1,FALSE())),"?TYPE_IDENTIFIABLE","?REFERENTIAL"),"_")))))</f>
        <v> </v>
      </c>
      <c r="H1817" s="24" t="str">
        <f>IF(J1817&lt;&gt;1,"",IF(I1817="SBJ","CB","?"))</f>
        <v> </v>
      </c>
      <c r="I1817" s="25" t="str">
        <f>IF(OR(E1817="",E1817="!!!",F1817="NEW"),"",INDEX(B1816:B$2,-1+SUMPRODUCT(MAX(ROW(E1816:E$2)*(E1817=E1816:E$2)))))</f>
        <v> </v>
      </c>
      <c r="J1817" s="25" t="str">
        <f>IF(OR(E1817="",E1817="!!!",F1817="NEW"),"",COUNTBLANK(OFFSET(A$1,,,SUMPRODUCT(MAX(ROW(E$2:E1817)*(E1817=E$2:E1817)))))-COUNTBLANK(OFFSET(A$1,,,SUMPRODUCT(MAX(ROW(E$1:E1816)*(E2=E$1:E1816))))))</f>
        <v> </v>
      </c>
      <c r="K1817" s="25" t="str">
        <f>IF(OR(E1817="",E1817="!!!",F1817="NEW"),"",INDEX(J$1:J1816,SUMPRODUCT(MAX(ROW(E$1:E1816)*(E1817=E$1:E1816)))))</f>
        <v> </v>
      </c>
      <c r="L1817" s="26"/>
    </row>
    <row r="1818" spans="1:12">
      <c r="A1818" s="20" t="s">
        <v>344</v>
      </c>
      <c r="E1818" s="21">
        <f>IF(D1818="?OLD","!!!","")</f>
        <v/>
      </c>
      <c r="F1818" s="22" t="str">
        <f>IF(OR(E1818="",E1818="!!!"),"",IF(NOT(ISNA(VLOOKUP(E1818,E$1:E1817,1,FALSE()))),"OLD",IF(AND(E1818&lt;&gt;"",E1818&lt;&gt;"!!!"),"NEW","")))</f>
        <v> </v>
      </c>
      <c r="G1818" s="23" t="str">
        <f>IF(OR(E1818="",E1818="!!!"),"",IF(OR(J1818=0,AND(J1818=1,K1818=1),AND(J1818=1,I1818="SBJ"),AND(J1818=1,I1818=0)),"?IN_FOCUS",IF(J1818&lt;=2,"?ACTIVATED",IF(J1818&lt;&gt;"","?FAMILIAR",IF(F1818="NEW",IF(ISNA(VLOOKUP(E1818,#REF!,1,FALSE())),"?TYPE_IDENTIFIABLE","?REFERENTIAL"),"_")))))</f>
        <v> </v>
      </c>
      <c r="H1818" s="24" t="str">
        <f>IF(J1818&lt;&gt;1,"",IF(I1818="SBJ","CB","?"))</f>
        <v> </v>
      </c>
      <c r="I1818" s="25" t="str">
        <f>IF(OR(E1818="",E1818="!!!",F1818="NEW"),"",INDEX(B1817:B$2,-1+SUMPRODUCT(MAX(ROW(E1817:E$2)*(E1818=E1817:E$2)))))</f>
        <v> </v>
      </c>
      <c r="J1818" s="25" t="str">
        <f>IF(OR(E1818="",E1818="!!!",F1818="NEW"),"",COUNTBLANK(OFFSET(A$1,,,SUMPRODUCT(MAX(ROW(E$2:E1818)*(E1818=E$2:E1818)))))-COUNTBLANK(OFFSET(A$1,,,SUMPRODUCT(MAX(ROW(E$1:E1817)*(E2=E$1:E1817))))))</f>
        <v> </v>
      </c>
      <c r="K1818" s="25" t="str">
        <f>IF(OR(E1818="",E1818="!!!",F1818="NEW"),"",INDEX(J$1:J1817,SUMPRODUCT(MAX(ROW(E$1:E1817)*(E1818=E$1:E1817)))))</f>
        <v> </v>
      </c>
      <c r="L1818" s="26"/>
    </row>
    <row r="1819" spans="1:12">
      <c r="A1819" s="20" t="s">
        <v>516</v>
      </c>
      <c r="E1819" s="21">
        <f>IF(D1819="?OLD","!!!","")</f>
        <v/>
      </c>
      <c r="F1819" s="22" t="str">
        <f>IF(OR(E1819="",E1819="!!!"),"",IF(NOT(ISNA(VLOOKUP(E1819,E$1:E1818,1,FALSE()))),"OLD",IF(AND(E1819&lt;&gt;"",E1819&lt;&gt;"!!!"),"NEW","")))</f>
        <v> </v>
      </c>
      <c r="G1819" s="23" t="str">
        <f>IF(OR(E1819="",E1819="!!!"),"",IF(OR(J1819=0,AND(J1819=1,K1819=1),AND(J1819=1,I1819="SBJ"),AND(J1819=1,I1819=0)),"?IN_FOCUS",IF(J1819&lt;=2,"?ACTIVATED",IF(J1819&lt;&gt;"","?FAMILIAR",IF(F1819="NEW",IF(ISNA(VLOOKUP(E1819,#REF!,1,FALSE())),"?TYPE_IDENTIFIABLE","?REFERENTIAL"),"_")))))</f>
        <v> </v>
      </c>
      <c r="H1819" s="24" t="str">
        <f>IF(J1819&lt;&gt;1,"",IF(I1819="SBJ","CB","?"))</f>
        <v> </v>
      </c>
      <c r="I1819" s="25" t="str">
        <f>IF(OR(E1819="",E1819="!!!",F1819="NEW"),"",INDEX(B1818:B$2,-1+SUMPRODUCT(MAX(ROW(E1818:E$2)*(E1819=E1818:E$2)))))</f>
        <v> </v>
      </c>
      <c r="J1819" s="25" t="str">
        <f>IF(OR(E1819="",E1819="!!!",F1819="NEW"),"",COUNTBLANK(OFFSET(A$1,,,SUMPRODUCT(MAX(ROW(E$2:E1819)*(E1819=E$2:E1819)))))-COUNTBLANK(OFFSET(A$1,,,SUMPRODUCT(MAX(ROW(E$1:E1818)*(E2=E$1:E1818))))))</f>
        <v> </v>
      </c>
      <c r="K1819" s="25" t="str">
        <f>IF(OR(E1819="",E1819="!!!",F1819="NEW"),"",INDEX(J$1:J1818,SUMPRODUCT(MAX(ROW(E$1:E1818)*(E1819=E$1:E1818)))))</f>
        <v> </v>
      </c>
      <c r="L1819" s="26"/>
    </row>
    <row r="1820" spans="1:12">
      <c r="A1820" s="20" t="s">
        <v>930</v>
      </c>
      <c r="E1820" s="21">
        <f>IF(D1820="?OLD","!!!","")</f>
        <v/>
      </c>
      <c r="F1820" s="22" t="str">
        <f>IF(OR(E1820="",E1820="!!!"),"",IF(NOT(ISNA(VLOOKUP(E1820,E$1:E1819,1,FALSE()))),"OLD",IF(AND(E1820&lt;&gt;"",E1820&lt;&gt;"!!!"),"NEW","")))</f>
        <v> </v>
      </c>
      <c r="G1820" s="23" t="str">
        <f>IF(OR(E1820="",E1820="!!!"),"",IF(OR(J1820=0,AND(J1820=1,K1820=1),AND(J1820=1,I1820="SBJ"),AND(J1820=1,I1820=0)),"?IN_FOCUS",IF(J1820&lt;=2,"?ACTIVATED",IF(J1820&lt;&gt;"","?FAMILIAR",IF(F1820="NEW",IF(ISNA(VLOOKUP(E1820,#REF!,1,FALSE())),"?TYPE_IDENTIFIABLE","?REFERENTIAL"),"_")))))</f>
        <v> </v>
      </c>
      <c r="H1820" s="24" t="str">
        <f>IF(J1820&lt;&gt;1,"",IF(I1820="SBJ","CB","?"))</f>
        <v> </v>
      </c>
      <c r="I1820" s="25" t="str">
        <f>IF(OR(E1820="",E1820="!!!",F1820="NEW"),"",INDEX(B1819:B$2,-1+SUMPRODUCT(MAX(ROW(E1819:E$2)*(E1820=E1819:E$2)))))</f>
        <v> </v>
      </c>
      <c r="J1820" s="25" t="str">
        <f>IF(OR(E1820="",E1820="!!!",F1820="NEW"),"",COUNTBLANK(OFFSET(A$1,,,SUMPRODUCT(MAX(ROW(E$2:E1820)*(E1820=E$2:E1820)))))-COUNTBLANK(OFFSET(A$1,,,SUMPRODUCT(MAX(ROW(E$1:E1819)*(E2=E$1:E1819))))))</f>
        <v> </v>
      </c>
      <c r="K1820" s="25" t="str">
        <f>IF(OR(E1820="",E1820="!!!",F1820="NEW"),"",INDEX(J$1:J1819,SUMPRODUCT(MAX(ROW(E$1:E1819)*(E1820=E$1:E1819)))))</f>
        <v> </v>
      </c>
      <c r="L1820" s="26"/>
    </row>
    <row r="1821" spans="1:12">
      <c r="A1821" s="20" t="s">
        <v>277</v>
      </c>
      <c r="E1821" s="21">
        <f>IF(D1821="?OLD","!!!","")</f>
        <v/>
      </c>
      <c r="F1821" s="22" t="str">
        <f>IF(OR(E1821="",E1821="!!!"),"",IF(NOT(ISNA(VLOOKUP(E1821,E$1:E1820,1,FALSE()))),"OLD",IF(AND(E1821&lt;&gt;"",E1821&lt;&gt;"!!!"),"NEW","")))</f>
        <v> </v>
      </c>
      <c r="G1821" s="23" t="str">
        <f>IF(OR(E1821="",E1821="!!!"),"",IF(OR(J1821=0,AND(J1821=1,K1821=1),AND(J1821=1,I1821="SBJ"),AND(J1821=1,I1821=0)),"?IN_FOCUS",IF(J1821&lt;=2,"?ACTIVATED",IF(J1821&lt;&gt;"","?FAMILIAR",IF(F1821="NEW",IF(ISNA(VLOOKUP(E1821,#REF!,1,FALSE())),"?TYPE_IDENTIFIABLE","?REFERENTIAL"),"_")))))</f>
        <v> </v>
      </c>
      <c r="H1821" s="24" t="str">
        <f>IF(J1821&lt;&gt;1,"",IF(I1821="SBJ","CB","?"))</f>
        <v> </v>
      </c>
      <c r="I1821" s="25" t="str">
        <f>IF(OR(E1821="",E1821="!!!",F1821="NEW"),"",INDEX(B1820:B$2,-1+SUMPRODUCT(MAX(ROW(E1820:E$2)*(E1821=E1820:E$2)))))</f>
        <v> </v>
      </c>
      <c r="J1821" s="25" t="str">
        <f>IF(OR(E1821="",E1821="!!!",F1821="NEW"),"",COUNTBLANK(OFFSET(A$1,,,SUMPRODUCT(MAX(ROW(E$2:E1821)*(E1821=E$2:E1821)))))-COUNTBLANK(OFFSET(A$1,,,SUMPRODUCT(MAX(ROW(E$1:E1820)*(E2=E$1:E1820))))))</f>
        <v> </v>
      </c>
      <c r="K1821" s="25" t="str">
        <f>IF(OR(E1821="",E1821="!!!",F1821="NEW"),"",INDEX(J$1:J1820,SUMPRODUCT(MAX(ROW(E$1:E1820)*(E1821=E$1:E1820)))))</f>
        <v> </v>
      </c>
      <c r="L1821" s="26"/>
    </row>
    <row r="1822" spans="1:12">
      <c r="A1822" s="20" t="s">
        <v>249</v>
      </c>
      <c r="E1822" s="21">
        <f>IF(D1822="?OLD","!!!","")</f>
        <v/>
      </c>
      <c r="F1822" s="22" t="str">
        <f>IF(OR(E1822="",E1822="!!!"),"",IF(NOT(ISNA(VLOOKUP(E1822,E$1:E1821,1,FALSE()))),"OLD",IF(AND(E1822&lt;&gt;"",E1822&lt;&gt;"!!!"),"NEW","")))</f>
        <v> </v>
      </c>
      <c r="G1822" s="23" t="str">
        <f>IF(OR(E1822="",E1822="!!!"),"",IF(OR(J1822=0,AND(J1822=1,K1822=1),AND(J1822=1,I1822="SBJ"),AND(J1822=1,I1822=0)),"?IN_FOCUS",IF(J1822&lt;=2,"?ACTIVATED",IF(J1822&lt;&gt;"","?FAMILIAR",IF(F1822="NEW",IF(ISNA(VLOOKUP(E1822,#REF!,1,FALSE())),"?TYPE_IDENTIFIABLE","?REFERENTIAL"),"_")))))</f>
        <v> </v>
      </c>
      <c r="H1822" s="24" t="str">
        <f>IF(J1822&lt;&gt;1,"",IF(I1822="SBJ","CB","?"))</f>
        <v> </v>
      </c>
      <c r="I1822" s="25" t="str">
        <f>IF(OR(E1822="",E1822="!!!",F1822="NEW"),"",INDEX(B1821:B$2,-1+SUMPRODUCT(MAX(ROW(E1821:E$2)*(E1822=E1821:E$2)))))</f>
        <v> </v>
      </c>
      <c r="J1822" s="25" t="str">
        <f>IF(OR(E1822="",E1822="!!!",F1822="NEW"),"",COUNTBLANK(OFFSET(A$1,,,SUMPRODUCT(MAX(ROW(E$2:E1822)*(E1822=E$2:E1822)))))-COUNTBLANK(OFFSET(A$1,,,SUMPRODUCT(MAX(ROW(E$1:E1821)*(E2=E$1:E1821))))))</f>
        <v> </v>
      </c>
      <c r="K1822" s="25" t="str">
        <f>IF(OR(E1822="",E1822="!!!",F1822="NEW"),"",INDEX(J$1:J1821,SUMPRODUCT(MAX(ROW(E$1:E1821)*(E1822=E$1:E1821)))))</f>
        <v> </v>
      </c>
      <c r="L1822" s="26"/>
    </row>
    <row r="1823" spans="1:12">
      <c r="A1823" s="20" t="s">
        <v>250</v>
      </c>
      <c r="B1823" s="27" t="s">
        <v>364</v>
      </c>
      <c r="C1823" s="27" t="s">
        <v>279</v>
      </c>
      <c r="E1823" s="21">
        <f>IF(D1823="?OLD","!!!","")</f>
        <v/>
      </c>
      <c r="F1823" s="22" t="str">
        <f>IF(OR(E1823="",E1823="!!!"),"",IF(NOT(ISNA(VLOOKUP(E1823,E$1:E1822,1,FALSE()))),"OLD",IF(AND(E1823&lt;&gt;"",E1823&lt;&gt;"!!!"),"NEW","")))</f>
        <v> </v>
      </c>
      <c r="G1823" s="23" t="str">
        <f>IF(OR(E1823="",E1823="!!!"),"",IF(OR(J1823=0,AND(J1823=1,K1823=1),AND(J1823=1,I1823="SBJ"),AND(J1823=1,I1823=0)),"?IN_FOCUS",IF(J1823&lt;=2,"?ACTIVATED",IF(J1823&lt;&gt;"","?FAMILIAR",IF(F1823="NEW",IF(ISNA(VLOOKUP(E1823,#REF!,1,FALSE())),"?TYPE_IDENTIFIABLE","?REFERENTIAL"),"_")))))</f>
        <v> </v>
      </c>
      <c r="H1823" s="24" t="str">
        <f>IF(J1823&lt;&gt;1,"",IF(I1823="SBJ","CB","?"))</f>
        <v> </v>
      </c>
      <c r="I1823" s="25" t="str">
        <f>IF(OR(E1823="",E1823="!!!",F1823="NEW"),"",INDEX(B1822:B$2,-1+SUMPRODUCT(MAX(ROW(E1822:E$2)*(E1823=E1822:E$2)))))</f>
        <v> </v>
      </c>
      <c r="J1823" s="25" t="str">
        <f>IF(OR(E1823="",E1823="!!!",F1823="NEW"),"",COUNTBLANK(OFFSET(A$1,,,SUMPRODUCT(MAX(ROW(E$2:E1823)*(E1823=E$2:E1823)))))-COUNTBLANK(OFFSET(A$1,,,SUMPRODUCT(MAX(ROW(E$1:E1822)*(E2=E$1:E1822))))))</f>
        <v> </v>
      </c>
      <c r="K1823" s="25" t="str">
        <f>IF(OR(E1823="",E1823="!!!",F1823="NEW"),"",INDEX(J$1:J1822,SUMPRODUCT(MAX(ROW(E$1:E1822)*(E1823=E$1:E1822)))))</f>
        <v> </v>
      </c>
      <c r="L1823" s="26"/>
    </row>
    <row r="1824" spans="1:12">
      <c r="A1824" s="20" t="s">
        <v>321</v>
      </c>
      <c r="E1824" s="21">
        <f>IF(D1824="?OLD","!!!","")</f>
        <v/>
      </c>
      <c r="F1824" s="22" t="str">
        <f>IF(OR(E1824="",E1824="!!!"),"",IF(NOT(ISNA(VLOOKUP(E1824,E$1:E1823,1,FALSE()))),"OLD",IF(AND(E1824&lt;&gt;"",E1824&lt;&gt;"!!!"),"NEW","")))</f>
        <v> </v>
      </c>
      <c r="G1824" s="23" t="str">
        <f>IF(OR(E1824="",E1824="!!!"),"",IF(OR(J1824=0,AND(J1824=1,K1824=1),AND(J1824=1,I1824="SBJ"),AND(J1824=1,I1824=0)),"?IN_FOCUS",IF(J1824&lt;=2,"?ACTIVATED",IF(J1824&lt;&gt;"","?FAMILIAR",IF(F1824="NEW",IF(ISNA(VLOOKUP(E1824,#REF!,1,FALSE())),"?TYPE_IDENTIFIABLE","?REFERENTIAL"),"_")))))</f>
        <v> </v>
      </c>
      <c r="H1824" s="24" t="str">
        <f>IF(J1824&lt;&gt;1,"",IF(I1824="SBJ","CB","?"))</f>
        <v> </v>
      </c>
      <c r="I1824" s="25" t="str">
        <f>IF(OR(E1824="",E1824="!!!",F1824="NEW"),"",INDEX(B1823:B$2,-1+SUMPRODUCT(MAX(ROW(E1823:E$2)*(E1824=E1823:E$2)))))</f>
        <v> </v>
      </c>
      <c r="J1824" s="25" t="str">
        <f>IF(OR(E1824="",E1824="!!!",F1824="NEW"),"",COUNTBLANK(OFFSET(A$1,,,SUMPRODUCT(MAX(ROW(E$2:E1824)*(E1824=E$2:E1824)))))-COUNTBLANK(OFFSET(A$1,,,SUMPRODUCT(MAX(ROW(E$1:E1823)*(E2=E$1:E1823))))))</f>
        <v> </v>
      </c>
      <c r="K1824" s="25" t="str">
        <f>IF(OR(E1824="",E1824="!!!",F1824="NEW"),"",INDEX(J$1:J1823,SUMPRODUCT(MAX(ROW(E$1:E1823)*(E1824=E$1:E1823)))))</f>
        <v> </v>
      </c>
      <c r="L1824" s="26"/>
    </row>
    <row r="1825" spans="1:12">
      <c r="A1825" s="20" t="s">
        <v>400</v>
      </c>
      <c r="E1825" s="21">
        <f>IF(D1825="?OLD","!!!","")</f>
        <v/>
      </c>
      <c r="F1825" s="22" t="str">
        <f>IF(OR(E1825="",E1825="!!!"),"",IF(NOT(ISNA(VLOOKUP(E1825,E$1:E1824,1,FALSE()))),"OLD",IF(AND(E1825&lt;&gt;"",E1825&lt;&gt;"!!!"),"NEW","")))</f>
        <v> </v>
      </c>
      <c r="G1825" s="23" t="str">
        <f>IF(OR(E1825="",E1825="!!!"),"",IF(OR(J1825=0,AND(J1825=1,K1825=1),AND(J1825=1,I1825="SBJ"),AND(J1825=1,I1825=0)),"?IN_FOCUS",IF(J1825&lt;=2,"?ACTIVATED",IF(J1825&lt;&gt;"","?FAMILIAR",IF(F1825="NEW",IF(ISNA(VLOOKUP(E1825,#REF!,1,FALSE())),"?TYPE_IDENTIFIABLE","?REFERENTIAL"),"_")))))</f>
        <v> </v>
      </c>
      <c r="H1825" s="24" t="str">
        <f>IF(J1825&lt;&gt;1,"",IF(I1825="SBJ","CB","?"))</f>
        <v> </v>
      </c>
      <c r="I1825" s="25" t="str">
        <f>IF(OR(E1825="",E1825="!!!",F1825="NEW"),"",INDEX(B1824:B$2,-1+SUMPRODUCT(MAX(ROW(E1824:E$2)*(E1825=E1824:E$2)))))</f>
        <v> </v>
      </c>
      <c r="J1825" s="25" t="str">
        <f>IF(OR(E1825="",E1825="!!!",F1825="NEW"),"",COUNTBLANK(OFFSET(A$1,,,SUMPRODUCT(MAX(ROW(E$2:E1825)*(E1825=E$2:E1825)))))-COUNTBLANK(OFFSET(A$1,,,SUMPRODUCT(MAX(ROW(E$1:E1824)*(E2=E$1:E1824))))))</f>
        <v> </v>
      </c>
      <c r="K1825" s="25" t="str">
        <f>IF(OR(E1825="",E1825="!!!",F1825="NEW"),"",INDEX(J$1:J1824,SUMPRODUCT(MAX(ROW(E$1:E1824)*(E1825=E$1:E1824)))))</f>
        <v> </v>
      </c>
      <c r="L1825" s="26"/>
    </row>
    <row r="1826" spans="1:12">
      <c r="A1826" s="20" t="s">
        <v>931</v>
      </c>
      <c r="B1826" s="27" t="s">
        <v>461</v>
      </c>
      <c r="C1826" s="27" t="s">
        <v>334</v>
      </c>
      <c r="D1826" s="27" t="s">
        <v>244</v>
      </c>
      <c r="E1826" s="21">
        <f>IF(D1826="?OLD","!!!","")</f>
        <v/>
      </c>
      <c r="F1826" s="22" t="str">
        <f>IF(OR(E1826="",E1826="!!!"),"",IF(NOT(ISNA(VLOOKUP(E1826,E$1:E1825,1,FALSE()))),"OLD",IF(AND(E1826&lt;&gt;"",E1826&lt;&gt;"!!!"),"NEW","")))</f>
        <v> </v>
      </c>
      <c r="G1826" s="23" t="str">
        <f>IF(OR(E1826="",E1826="!!!"),"",IF(OR(J1826=0,AND(J1826=1,K1826=1),AND(J1826=1,I1826="SBJ"),AND(J1826=1,I1826=0)),"?IN_FOCUS",IF(J1826&lt;=2,"?ACTIVATED",IF(J1826&lt;&gt;"","?FAMILIAR",IF(F1826="NEW",IF(ISNA(VLOOKUP(E1826,#REF!,1,FALSE())),"?TYPE_IDENTIFIABLE","?REFERENTIAL"),"_")))))</f>
        <v> </v>
      </c>
      <c r="H1826" s="24" t="str">
        <f>IF(J1826&lt;&gt;1,"",IF(I1826="SBJ","CB","?"))</f>
        <v> </v>
      </c>
      <c r="I1826" s="25" t="str">
        <f>IF(OR(E1826="",E1826="!!!",F1826="NEW"),"",INDEX(B1825:B$2,-1+SUMPRODUCT(MAX(ROW(E1825:E$2)*(E1826=E1825:E$2)))))</f>
        <v> </v>
      </c>
      <c r="J1826" s="25" t="str">
        <f>IF(OR(E1826="",E1826="!!!",F1826="NEW"),"",COUNTBLANK(OFFSET(A$1,,,SUMPRODUCT(MAX(ROW(E$2:E1826)*(E1826=E$2:E1826)))))-COUNTBLANK(OFFSET(A$1,,,SUMPRODUCT(MAX(ROW(E$1:E1825)*(E2=E$1:E1825))))))</f>
        <v> </v>
      </c>
      <c r="K1826" s="25" t="str">
        <f>IF(OR(E1826="",E1826="!!!",F1826="NEW"),"",INDEX(J$1:J1825,SUMPRODUCT(MAX(ROW(E$1:E1825)*(E1826=E$1:E1825)))))</f>
        <v> </v>
      </c>
      <c r="L1826" s="26"/>
    </row>
    <row r="1827" spans="1:12">
      <c r="A1827" s="20" t="s">
        <v>305</v>
      </c>
      <c r="E1827" s="21">
        <f>IF(D1827="?OLD","!!!","")</f>
        <v/>
      </c>
      <c r="F1827" s="22" t="str">
        <f>IF(OR(E1827="",E1827="!!!"),"",IF(NOT(ISNA(VLOOKUP(E1827,E$1:E1826,1,FALSE()))),"OLD",IF(AND(E1827&lt;&gt;"",E1827&lt;&gt;"!!!"),"NEW","")))</f>
        <v> </v>
      </c>
      <c r="G1827" s="23" t="str">
        <f>IF(OR(E1827="",E1827="!!!"),"",IF(OR(J1827=0,AND(J1827=1,K1827=1),AND(J1827=1,I1827="SBJ"),AND(J1827=1,I1827=0)),"?IN_FOCUS",IF(J1827&lt;=2,"?ACTIVATED",IF(J1827&lt;&gt;"","?FAMILIAR",IF(F1827="NEW",IF(ISNA(VLOOKUP(E1827,#REF!,1,FALSE())),"?TYPE_IDENTIFIABLE","?REFERENTIAL"),"_")))))</f>
        <v> </v>
      </c>
      <c r="H1827" s="24" t="str">
        <f>IF(J1827&lt;&gt;1,"",IF(I1827="SBJ","CB","?"))</f>
        <v> </v>
      </c>
      <c r="I1827" s="25" t="str">
        <f>IF(OR(E1827="",E1827="!!!",F1827="NEW"),"",INDEX(B1826:B$2,-1+SUMPRODUCT(MAX(ROW(E1826:E$2)*(E1827=E1826:E$2)))))</f>
        <v> </v>
      </c>
      <c r="J1827" s="25" t="str">
        <f>IF(OR(E1827="",E1827="!!!",F1827="NEW"),"",COUNTBLANK(OFFSET(A$1,,,SUMPRODUCT(MAX(ROW(E$2:E1827)*(E1827=E$2:E1827)))))-COUNTBLANK(OFFSET(A$1,,,SUMPRODUCT(MAX(ROW(E$1:E1826)*(E2=E$1:E1826))))))</f>
        <v> </v>
      </c>
      <c r="K1827" s="25" t="str">
        <f>IF(OR(E1827="",E1827="!!!",F1827="NEW"),"",INDEX(J$1:J1826,SUMPRODUCT(MAX(ROW(E$1:E1826)*(E1827=E$1:E1826)))))</f>
        <v> </v>
      </c>
      <c r="L1827" s="26"/>
    </row>
    <row r="1828" spans="1:12">
      <c r="A1828" s="20" t="s">
        <v>503</v>
      </c>
      <c r="E1828" s="21">
        <f>IF(D1828="?OLD","!!!","")</f>
        <v/>
      </c>
      <c r="F1828" s="22" t="str">
        <f>IF(OR(E1828="",E1828="!!!"),"",IF(NOT(ISNA(VLOOKUP(E1828,E$1:E1827,1,FALSE()))),"OLD",IF(AND(E1828&lt;&gt;"",E1828&lt;&gt;"!!!"),"NEW","")))</f>
        <v> </v>
      </c>
      <c r="G1828" s="23" t="str">
        <f>IF(OR(E1828="",E1828="!!!"),"",IF(OR(J1828=0,AND(J1828=1,K1828=1),AND(J1828=1,I1828="SBJ"),AND(J1828=1,I1828=0)),"?IN_FOCUS",IF(J1828&lt;=2,"?ACTIVATED",IF(J1828&lt;&gt;"","?FAMILIAR",IF(F1828="NEW",IF(ISNA(VLOOKUP(E1828,#REF!,1,FALSE())),"?TYPE_IDENTIFIABLE","?REFERENTIAL"),"_")))))</f>
        <v> </v>
      </c>
      <c r="H1828" s="24" t="str">
        <f>IF(J1828&lt;&gt;1,"",IF(I1828="SBJ","CB","?"))</f>
        <v> </v>
      </c>
      <c r="I1828" s="25" t="str">
        <f>IF(OR(E1828="",E1828="!!!",F1828="NEW"),"",INDEX(B1827:B$2,-1+SUMPRODUCT(MAX(ROW(E1827:E$2)*(E1828=E1827:E$2)))))</f>
        <v> </v>
      </c>
      <c r="J1828" s="25" t="str">
        <f>IF(OR(E1828="",E1828="!!!",F1828="NEW"),"",COUNTBLANK(OFFSET(A$1,,,SUMPRODUCT(MAX(ROW(E$2:E1828)*(E1828=E$2:E1828)))))-COUNTBLANK(OFFSET(A$1,,,SUMPRODUCT(MAX(ROW(E$1:E1827)*(E2=E$1:E1827))))))</f>
        <v> </v>
      </c>
      <c r="K1828" s="25" t="str">
        <f>IF(OR(E1828="",E1828="!!!",F1828="NEW"),"",INDEX(J$1:J1827,SUMPRODUCT(MAX(ROW(E$1:E1827)*(E1828=E$1:E1827)))))</f>
        <v> </v>
      </c>
      <c r="L1828" s="26"/>
    </row>
    <row r="1829" spans="1:12">
      <c r="A1829" s="20" t="s">
        <v>455</v>
      </c>
      <c r="B1829" s="27" t="s">
        <v>272</v>
      </c>
      <c r="C1829" s="27" t="s">
        <v>263</v>
      </c>
      <c r="D1829" s="27" t="s">
        <v>244</v>
      </c>
      <c r="E1829" s="21">
        <f>IF(D1829="?OLD","!!!","")</f>
        <v/>
      </c>
      <c r="F1829" s="22" t="str">
        <f>IF(OR(E1829="",E1829="!!!"),"",IF(NOT(ISNA(VLOOKUP(E1829,E$1:E1828,1,FALSE()))),"OLD",IF(AND(E1829&lt;&gt;"",E1829&lt;&gt;"!!!"),"NEW","")))</f>
        <v> </v>
      </c>
      <c r="G1829" s="23" t="str">
        <f>IF(OR(E1829="",E1829="!!!"),"",IF(OR(J1829=0,AND(J1829=1,K1829=1),AND(J1829=1,I1829="SBJ"),AND(J1829=1,I1829=0)),"?IN_FOCUS",IF(J1829&lt;=2,"?ACTIVATED",IF(J1829&lt;&gt;"","?FAMILIAR",IF(F1829="NEW",IF(ISNA(VLOOKUP(E1829,#REF!,1,FALSE())),"?TYPE_IDENTIFIABLE","?REFERENTIAL"),"_")))))</f>
        <v> </v>
      </c>
      <c r="H1829" s="24" t="str">
        <f>IF(J1829&lt;&gt;1,"",IF(I1829="SBJ","CB","?"))</f>
        <v> </v>
      </c>
      <c r="I1829" s="25" t="str">
        <f>IF(OR(E1829="",E1829="!!!",F1829="NEW"),"",INDEX(B1828:B$2,-1+SUMPRODUCT(MAX(ROW(E1828:E$2)*(E1829=E1828:E$2)))))</f>
        <v> </v>
      </c>
      <c r="J1829" s="25" t="str">
        <f>IF(OR(E1829="",E1829="!!!",F1829="NEW"),"",COUNTBLANK(OFFSET(A$1,,,SUMPRODUCT(MAX(ROW(E$2:E1829)*(E1829=E$2:E1829)))))-COUNTBLANK(OFFSET(A$1,,,SUMPRODUCT(MAX(ROW(E$1:E1828)*(E2=E$1:E1828))))))</f>
        <v> </v>
      </c>
      <c r="K1829" s="25" t="str">
        <f>IF(OR(E1829="",E1829="!!!",F1829="NEW"),"",INDEX(J$1:J1828,SUMPRODUCT(MAX(ROW(E$1:E1828)*(E1829=E$1:E1828)))))</f>
        <v> </v>
      </c>
      <c r="L1829" s="26"/>
    </row>
    <row r="1830" spans="1:12">
      <c r="A1830" s="20" t="s">
        <v>932</v>
      </c>
      <c r="B1830" s="27" t="s">
        <v>295</v>
      </c>
      <c r="C1830" s="27" t="s">
        <v>267</v>
      </c>
      <c r="D1830" s="27" t="s">
        <v>244</v>
      </c>
      <c r="E1830" s="21">
        <f>IF(D1830="?OLD","!!!","")</f>
        <v/>
      </c>
      <c r="F1830" s="22" t="str">
        <f>IF(OR(E1830="",E1830="!!!"),"",IF(NOT(ISNA(VLOOKUP(E1830,E$1:E1829,1,FALSE()))),"OLD",IF(AND(E1830&lt;&gt;"",E1830&lt;&gt;"!!!"),"NEW","")))</f>
        <v> </v>
      </c>
      <c r="G1830" s="23" t="str">
        <f>IF(OR(E1830="",E1830="!!!"),"",IF(OR(J1830=0,AND(J1830=1,K1830=1),AND(J1830=1,I1830="SBJ"),AND(J1830=1,I1830=0)),"?IN_FOCUS",IF(J1830&lt;=2,"?ACTIVATED",IF(J1830&lt;&gt;"","?FAMILIAR",IF(F1830="NEW",IF(ISNA(VLOOKUP(E1830,#REF!,1,FALSE())),"?TYPE_IDENTIFIABLE","?REFERENTIAL"),"_")))))</f>
        <v> </v>
      </c>
      <c r="H1830" s="24" t="str">
        <f>IF(J1830&lt;&gt;1,"",IF(I1830="SBJ","CB","?"))</f>
        <v> </v>
      </c>
      <c r="I1830" s="25" t="str">
        <f>IF(OR(E1830="",E1830="!!!",F1830="NEW"),"",INDEX(B1829:B$2,-1+SUMPRODUCT(MAX(ROW(E1829:E$2)*(E1830=E1829:E$2)))))</f>
        <v> </v>
      </c>
      <c r="J1830" s="25" t="str">
        <f>IF(OR(E1830="",E1830="!!!",F1830="NEW"),"",COUNTBLANK(OFFSET(A$1,,,SUMPRODUCT(MAX(ROW(E$2:E1830)*(E1830=E$2:E1830)))))-COUNTBLANK(OFFSET(A$1,,,SUMPRODUCT(MAX(ROW(E$1:E1829)*(E2=E$1:E1829))))))</f>
        <v> </v>
      </c>
      <c r="K1830" s="25" t="str">
        <f>IF(OR(E1830="",E1830="!!!",F1830="NEW"),"",INDEX(J$1:J1829,SUMPRODUCT(MAX(ROW(E$1:E1829)*(E1830=E$1:E1829)))))</f>
        <v> </v>
      </c>
      <c r="L1830" s="26"/>
    </row>
    <row r="1831" spans="1:12">
      <c r="A1831" s="20" t="s">
        <v>344</v>
      </c>
      <c r="E1831" s="21">
        <f>IF(D1831="?OLD","!!!","")</f>
        <v/>
      </c>
      <c r="F1831" s="22" t="str">
        <f>IF(OR(E1831="",E1831="!!!"),"",IF(NOT(ISNA(VLOOKUP(E1831,E$1:E1830,1,FALSE()))),"OLD",IF(AND(E1831&lt;&gt;"",E1831&lt;&gt;"!!!"),"NEW","")))</f>
        <v> </v>
      </c>
      <c r="G1831" s="23" t="str">
        <f>IF(OR(E1831="",E1831="!!!"),"",IF(OR(J1831=0,AND(J1831=1,K1831=1),AND(J1831=1,I1831="SBJ"),AND(J1831=1,I1831=0)),"?IN_FOCUS",IF(J1831&lt;=2,"?ACTIVATED",IF(J1831&lt;&gt;"","?FAMILIAR",IF(F1831="NEW",IF(ISNA(VLOOKUP(E1831,#REF!,1,FALSE())),"?TYPE_IDENTIFIABLE","?REFERENTIAL"),"_")))))</f>
        <v> </v>
      </c>
      <c r="H1831" s="24" t="str">
        <f>IF(J1831&lt;&gt;1,"",IF(I1831="SBJ","CB","?"))</f>
        <v> </v>
      </c>
      <c r="I1831" s="25" t="str">
        <f>IF(OR(E1831="",E1831="!!!",F1831="NEW"),"",INDEX(B1830:B$2,-1+SUMPRODUCT(MAX(ROW(E1830:E$2)*(E1831=E1830:E$2)))))</f>
        <v> </v>
      </c>
      <c r="J1831" s="25" t="str">
        <f>IF(OR(E1831="",E1831="!!!",F1831="NEW"),"",COUNTBLANK(OFFSET(A$1,,,SUMPRODUCT(MAX(ROW(E$2:E1831)*(E1831=E$2:E1831)))))-COUNTBLANK(OFFSET(A$1,,,SUMPRODUCT(MAX(ROW(E$1:E1830)*(E2=E$1:E1830))))))</f>
        <v> </v>
      </c>
      <c r="K1831" s="25" t="str">
        <f>IF(OR(E1831="",E1831="!!!",F1831="NEW"),"",INDEX(J$1:J1830,SUMPRODUCT(MAX(ROW(E$1:E1830)*(E1831=E$1:E1830)))))</f>
        <v> </v>
      </c>
      <c r="L1831" s="26"/>
    </row>
    <row r="1832" spans="1:12">
      <c r="A1832" s="20" t="s">
        <v>933</v>
      </c>
      <c r="E1832" s="21">
        <f>IF(D1832="?OLD","!!!","")</f>
        <v/>
      </c>
      <c r="F1832" s="22" t="str">
        <f>IF(OR(E1832="",E1832="!!!"),"",IF(NOT(ISNA(VLOOKUP(E1832,E$1:E1831,1,FALSE()))),"OLD",IF(AND(E1832&lt;&gt;"",E1832&lt;&gt;"!!!"),"NEW","")))</f>
        <v> </v>
      </c>
      <c r="G1832" s="23" t="str">
        <f>IF(OR(E1832="",E1832="!!!"),"",IF(OR(J1832=0,AND(J1832=1,K1832=1),AND(J1832=1,I1832="SBJ"),AND(J1832=1,I1832=0)),"?IN_FOCUS",IF(J1832&lt;=2,"?ACTIVATED",IF(J1832&lt;&gt;"","?FAMILIAR",IF(F1832="NEW",IF(ISNA(VLOOKUP(E1832,#REF!,1,FALSE())),"?TYPE_IDENTIFIABLE","?REFERENTIAL"),"_")))))</f>
        <v> </v>
      </c>
      <c r="H1832" s="24" t="str">
        <f>IF(J1832&lt;&gt;1,"",IF(I1832="SBJ","CB","?"))</f>
        <v> </v>
      </c>
      <c r="I1832" s="25" t="str">
        <f>IF(OR(E1832="",E1832="!!!",F1832="NEW"),"",INDEX(B1831:B$2,-1+SUMPRODUCT(MAX(ROW(E1831:E$2)*(E1832=E1831:E$2)))))</f>
        <v> </v>
      </c>
      <c r="J1832" s="25" t="str">
        <f>IF(OR(E1832="",E1832="!!!",F1832="NEW"),"",COUNTBLANK(OFFSET(A$1,,,SUMPRODUCT(MAX(ROW(E$2:E1832)*(E1832=E$2:E1832)))))-COUNTBLANK(OFFSET(A$1,,,SUMPRODUCT(MAX(ROW(E$1:E1831)*(E2=E$1:E1831))))))</f>
        <v> </v>
      </c>
      <c r="K1832" s="25" t="str">
        <f>IF(OR(E1832="",E1832="!!!",F1832="NEW"),"",INDEX(J$1:J1831,SUMPRODUCT(MAX(ROW(E$1:E1831)*(E1832=E$1:E1831)))))</f>
        <v> </v>
      </c>
      <c r="L1832" s="26"/>
    </row>
    <row r="1833" spans="1:12">
      <c r="A1833" s="20" t="s">
        <v>400</v>
      </c>
      <c r="B1833" s="27" t="s">
        <v>301</v>
      </c>
      <c r="C1833" s="27" t="s">
        <v>401</v>
      </c>
      <c r="D1833" s="27" t="s">
        <v>244</v>
      </c>
      <c r="E1833" s="21">
        <f>IF(D1833="?OLD","!!!","")</f>
        <v/>
      </c>
      <c r="F1833" s="22" t="str">
        <f>IF(OR(E1833="",E1833="!!!"),"",IF(NOT(ISNA(VLOOKUP(E1833,E$1:E1832,1,FALSE()))),"OLD",IF(AND(E1833&lt;&gt;"",E1833&lt;&gt;"!!!"),"NEW","")))</f>
        <v> </v>
      </c>
      <c r="G1833" s="23" t="str">
        <f>IF(OR(E1833="",E1833="!!!"),"",IF(OR(J1833=0,AND(J1833=1,K1833=1),AND(J1833=1,I1833="SBJ"),AND(J1833=1,I1833=0)),"?IN_FOCUS",IF(J1833&lt;=2,"?ACTIVATED",IF(J1833&lt;&gt;"","?FAMILIAR",IF(F1833="NEW",IF(ISNA(VLOOKUP(E1833,#REF!,1,FALSE())),"?TYPE_IDENTIFIABLE","?REFERENTIAL"),"_")))))</f>
        <v> </v>
      </c>
      <c r="H1833" s="24" t="str">
        <f>IF(J1833&lt;&gt;1,"",IF(I1833="SBJ","CB","?"))</f>
        <v> </v>
      </c>
      <c r="I1833" s="25" t="str">
        <f>IF(OR(E1833="",E1833="!!!",F1833="NEW"),"",INDEX(B1832:B$2,-1+SUMPRODUCT(MAX(ROW(E1832:E$2)*(E1833=E1832:E$2)))))</f>
        <v> </v>
      </c>
      <c r="J1833" s="25" t="str">
        <f>IF(OR(E1833="",E1833="!!!",F1833="NEW"),"",COUNTBLANK(OFFSET(A$1,,,SUMPRODUCT(MAX(ROW(E$2:E1833)*(E1833=E$2:E1833)))))-COUNTBLANK(OFFSET(A$1,,,SUMPRODUCT(MAX(ROW(E$1:E1832)*(E2=E$1:E1832))))))</f>
        <v> </v>
      </c>
      <c r="K1833" s="25" t="str">
        <f>IF(OR(E1833="",E1833="!!!",F1833="NEW"),"",INDEX(J$1:J1832,SUMPRODUCT(MAX(ROW(E$1:E1832)*(E1833=E$1:E1832)))))</f>
        <v> </v>
      </c>
      <c r="L1833" s="26"/>
    </row>
    <row r="1834" spans="1:12">
      <c r="A1834" s="20" t="s">
        <v>372</v>
      </c>
      <c r="E1834" s="21">
        <f>IF(D1834="?OLD","!!!","")</f>
        <v/>
      </c>
      <c r="F1834" s="22" t="str">
        <f>IF(OR(E1834="",E1834="!!!"),"",IF(NOT(ISNA(VLOOKUP(E1834,E$1:E1833,1,FALSE()))),"OLD",IF(AND(E1834&lt;&gt;"",E1834&lt;&gt;"!!!"),"NEW","")))</f>
        <v> </v>
      </c>
      <c r="G1834" s="23" t="str">
        <f>IF(OR(E1834="",E1834="!!!"),"",IF(OR(J1834=0,AND(J1834=1,K1834=1),AND(J1834=1,I1834="SBJ"),AND(J1834=1,I1834=0)),"?IN_FOCUS",IF(J1834&lt;=2,"?ACTIVATED",IF(J1834&lt;&gt;"","?FAMILIAR",IF(F1834="NEW",IF(ISNA(VLOOKUP(E1834,#REF!,1,FALSE())),"?TYPE_IDENTIFIABLE","?REFERENTIAL"),"_")))))</f>
        <v> </v>
      </c>
      <c r="H1834" s="24" t="str">
        <f>IF(J1834&lt;&gt;1,"",IF(I1834="SBJ","CB","?"))</f>
        <v> </v>
      </c>
      <c r="I1834" s="25" t="str">
        <f>IF(OR(E1834="",E1834="!!!",F1834="NEW"),"",INDEX(B1833:B$2,-1+SUMPRODUCT(MAX(ROW(E1833:E$2)*(E1834=E1833:E$2)))))</f>
        <v> </v>
      </c>
      <c r="J1834" s="25" t="str">
        <f>IF(OR(E1834="",E1834="!!!",F1834="NEW"),"",COUNTBLANK(OFFSET(A$1,,,SUMPRODUCT(MAX(ROW(E$2:E1834)*(E1834=E$2:E1834)))))-COUNTBLANK(OFFSET(A$1,,,SUMPRODUCT(MAX(ROW(E$1:E1833)*(E2=E$1:E1833))))))</f>
        <v> </v>
      </c>
      <c r="K1834" s="25" t="str">
        <f>IF(OR(E1834="",E1834="!!!",F1834="NEW"),"",INDEX(J$1:J1833,SUMPRODUCT(MAX(ROW(E$1:E1833)*(E1834=E$1:E1833)))))</f>
        <v> </v>
      </c>
      <c r="L1834" s="26"/>
    </row>
    <row r="1835" spans="1:12">
      <c r="A1835" s="20" t="s">
        <v>305</v>
      </c>
      <c r="E1835" s="21">
        <f>IF(D1835="?OLD","!!!","")</f>
        <v/>
      </c>
      <c r="F1835" s="22" t="str">
        <f>IF(OR(E1835="",E1835="!!!"),"",IF(NOT(ISNA(VLOOKUP(E1835,E$1:E1834,1,FALSE()))),"OLD",IF(AND(E1835&lt;&gt;"",E1835&lt;&gt;"!!!"),"NEW","")))</f>
        <v> </v>
      </c>
      <c r="G1835" s="23" t="str">
        <f>IF(OR(E1835="",E1835="!!!"),"",IF(OR(J1835=0,AND(J1835=1,K1835=1),AND(J1835=1,I1835="SBJ"),AND(J1835=1,I1835=0)),"?IN_FOCUS",IF(J1835&lt;=2,"?ACTIVATED",IF(J1835&lt;&gt;"","?FAMILIAR",IF(F1835="NEW",IF(ISNA(VLOOKUP(E1835,#REF!,1,FALSE())),"?TYPE_IDENTIFIABLE","?REFERENTIAL"),"_")))))</f>
        <v> </v>
      </c>
      <c r="H1835" s="24" t="str">
        <f>IF(J1835&lt;&gt;1,"",IF(I1835="SBJ","CB","?"))</f>
        <v> </v>
      </c>
      <c r="I1835" s="25" t="str">
        <f>IF(OR(E1835="",E1835="!!!",F1835="NEW"),"",INDEX(B1834:B$2,-1+SUMPRODUCT(MAX(ROW(E1834:E$2)*(E1835=E1834:E$2)))))</f>
        <v> </v>
      </c>
      <c r="J1835" s="25" t="str">
        <f>IF(OR(E1835="",E1835="!!!",F1835="NEW"),"",COUNTBLANK(OFFSET(A$1,,,SUMPRODUCT(MAX(ROW(E$2:E1835)*(E1835=E$2:E1835)))))-COUNTBLANK(OFFSET(A$1,,,SUMPRODUCT(MAX(ROW(E$1:E1834)*(E2=E$1:E1834))))))</f>
        <v> </v>
      </c>
      <c r="K1835" s="25" t="str">
        <f>IF(OR(E1835="",E1835="!!!",F1835="NEW"),"",INDEX(J$1:J1834,SUMPRODUCT(MAX(ROW(E$1:E1834)*(E1835=E$1:E1834)))))</f>
        <v> </v>
      </c>
      <c r="L1835" s="26"/>
    </row>
    <row r="1836" spans="1:12">
      <c r="A1836" s="20" t="s">
        <v>377</v>
      </c>
      <c r="E1836" s="21">
        <f>IF(D1836="?OLD","!!!","")</f>
        <v/>
      </c>
      <c r="F1836" s="22" t="str">
        <f>IF(OR(E1836="",E1836="!!!"),"",IF(NOT(ISNA(VLOOKUP(E1836,E$1:E1835,1,FALSE()))),"OLD",IF(AND(E1836&lt;&gt;"",E1836&lt;&gt;"!!!"),"NEW","")))</f>
        <v> </v>
      </c>
      <c r="G1836" s="23" t="str">
        <f>IF(OR(E1836="",E1836="!!!"),"",IF(OR(J1836=0,AND(J1836=1,K1836=1),AND(J1836=1,I1836="SBJ"),AND(J1836=1,I1836=0)),"?IN_FOCUS",IF(J1836&lt;=2,"?ACTIVATED",IF(J1836&lt;&gt;"","?FAMILIAR",IF(F1836="NEW",IF(ISNA(VLOOKUP(E1836,#REF!,1,FALSE())),"?TYPE_IDENTIFIABLE","?REFERENTIAL"),"_")))))</f>
        <v> </v>
      </c>
      <c r="H1836" s="24" t="str">
        <f>IF(J1836&lt;&gt;1,"",IF(I1836="SBJ","CB","?"))</f>
        <v> </v>
      </c>
      <c r="I1836" s="25" t="str">
        <f>IF(OR(E1836="",E1836="!!!",F1836="NEW"),"",INDEX(B1835:B$2,-1+SUMPRODUCT(MAX(ROW(E1835:E$2)*(E1836=E1835:E$2)))))</f>
        <v> </v>
      </c>
      <c r="J1836" s="25" t="str">
        <f>IF(OR(E1836="",E1836="!!!",F1836="NEW"),"",COUNTBLANK(OFFSET(A$1,,,SUMPRODUCT(MAX(ROW(E$2:E1836)*(E1836=E$2:E1836)))))-COUNTBLANK(OFFSET(A$1,,,SUMPRODUCT(MAX(ROW(E$1:E1835)*(E2=E$1:E1835))))))</f>
        <v> </v>
      </c>
      <c r="K1836" s="25" t="str">
        <f>IF(OR(E1836="",E1836="!!!",F1836="NEW"),"",INDEX(J$1:J1835,SUMPRODUCT(MAX(ROW(E$1:E1835)*(E1836=E$1:E1835)))))</f>
        <v> </v>
      </c>
      <c r="L1836" s="26"/>
    </row>
    <row r="1837" spans="1:12">
      <c r="A1837" s="20" t="s">
        <v>254</v>
      </c>
      <c r="B1837" s="27" t="s">
        <v>266</v>
      </c>
      <c r="C1837" s="27" t="s">
        <v>256</v>
      </c>
      <c r="D1837" s="27" t="s">
        <v>244</v>
      </c>
      <c r="E1837" s="21">
        <f>IF(D1837="?OLD","!!!","")</f>
        <v/>
      </c>
      <c r="F1837" s="22" t="str">
        <f>IF(OR(E1837="",E1837="!!!"),"",IF(NOT(ISNA(VLOOKUP(E1837,E$1:E1836,1,FALSE()))),"OLD",IF(AND(E1837&lt;&gt;"",E1837&lt;&gt;"!!!"),"NEW","")))</f>
        <v> </v>
      </c>
      <c r="G1837" s="23" t="str">
        <f>IF(OR(E1837="",E1837="!!!"),"",IF(OR(J1837=0,AND(J1837=1,K1837=1),AND(J1837=1,I1837="SBJ"),AND(J1837=1,I1837=0)),"?IN_FOCUS",IF(J1837&lt;=2,"?ACTIVATED",IF(J1837&lt;&gt;"","?FAMILIAR",IF(F1837="NEW",IF(ISNA(VLOOKUP(E1837,#REF!,1,FALSE())),"?TYPE_IDENTIFIABLE","?REFERENTIAL"),"_")))))</f>
        <v> </v>
      </c>
      <c r="H1837" s="24" t="str">
        <f>IF(J1837&lt;&gt;1,"",IF(I1837="SBJ","CB","?"))</f>
        <v> </v>
      </c>
      <c r="I1837" s="25" t="str">
        <f>IF(OR(E1837="",E1837="!!!",F1837="NEW"),"",INDEX(B1836:B$2,-1+SUMPRODUCT(MAX(ROW(E1836:E$2)*(E1837=E1836:E$2)))))</f>
        <v> </v>
      </c>
      <c r="J1837" s="25" t="str">
        <f>IF(OR(E1837="",E1837="!!!",F1837="NEW"),"",COUNTBLANK(OFFSET(A$1,,,SUMPRODUCT(MAX(ROW(E$2:E1837)*(E1837=E$2:E1837)))))-COUNTBLANK(OFFSET(A$1,,,SUMPRODUCT(MAX(ROW(E$1:E1836)*(E2=E$1:E1836))))))</f>
        <v> </v>
      </c>
      <c r="K1837" s="25" t="str">
        <f>IF(OR(E1837="",E1837="!!!",F1837="NEW"),"",INDEX(J$1:J1836,SUMPRODUCT(MAX(ROW(E$1:E1836)*(E1837=E$1:E1836)))))</f>
        <v> </v>
      </c>
      <c r="L1837" s="26"/>
    </row>
    <row r="1838" spans="1:12">
      <c r="A1838" s="20" t="s">
        <v>418</v>
      </c>
      <c r="E1838" s="21">
        <f>IF(D1838="?OLD","!!!","")</f>
        <v/>
      </c>
      <c r="F1838" s="22" t="str">
        <f>IF(OR(E1838="",E1838="!!!"),"",IF(NOT(ISNA(VLOOKUP(E1838,E$1:E1837,1,FALSE()))),"OLD",IF(AND(E1838&lt;&gt;"",E1838&lt;&gt;"!!!"),"NEW","")))</f>
        <v> </v>
      </c>
      <c r="G1838" s="23" t="str">
        <f>IF(OR(E1838="",E1838="!!!"),"",IF(OR(J1838=0,AND(J1838=1,K1838=1),AND(J1838=1,I1838="SBJ"),AND(J1838=1,I1838=0)),"?IN_FOCUS",IF(J1838&lt;=2,"?ACTIVATED",IF(J1838&lt;&gt;"","?FAMILIAR",IF(F1838="NEW",IF(ISNA(VLOOKUP(E1838,#REF!,1,FALSE())),"?TYPE_IDENTIFIABLE","?REFERENTIAL"),"_")))))</f>
        <v> </v>
      </c>
      <c r="H1838" s="24" t="str">
        <f>IF(J1838&lt;&gt;1,"",IF(I1838="SBJ","CB","?"))</f>
        <v> </v>
      </c>
      <c r="I1838" s="25" t="str">
        <f>IF(OR(E1838="",E1838="!!!",F1838="NEW"),"",INDEX(B1837:B$2,-1+SUMPRODUCT(MAX(ROW(E1837:E$2)*(E1838=E1837:E$2)))))</f>
        <v> </v>
      </c>
      <c r="J1838" s="25" t="str">
        <f>IF(OR(E1838="",E1838="!!!",F1838="NEW"),"",COUNTBLANK(OFFSET(A$1,,,SUMPRODUCT(MAX(ROW(E$2:E1838)*(E1838=E$2:E1838)))))-COUNTBLANK(OFFSET(A$1,,,SUMPRODUCT(MAX(ROW(E$1:E1837)*(E2=E$1:E1837))))))</f>
        <v> </v>
      </c>
      <c r="K1838" s="25" t="str">
        <f>IF(OR(E1838="",E1838="!!!",F1838="NEW"),"",INDEX(J$1:J1837,SUMPRODUCT(MAX(ROW(E$1:E1837)*(E1838=E$1:E1837)))))</f>
        <v> </v>
      </c>
      <c r="L1838" s="26"/>
    </row>
    <row r="1839" spans="1:12">
      <c r="A1839" s="20" t="s">
        <v>276</v>
      </c>
      <c r="E1839" s="21">
        <f>IF(D1839="?OLD","!!!","")</f>
        <v/>
      </c>
      <c r="F1839" s="22" t="str">
        <f>IF(OR(E1839="",E1839="!!!"),"",IF(NOT(ISNA(VLOOKUP(E1839,E$1:E1838,1,FALSE()))),"OLD",IF(AND(E1839&lt;&gt;"",E1839&lt;&gt;"!!!"),"NEW","")))</f>
        <v> </v>
      </c>
      <c r="G1839" s="23" t="str">
        <f>IF(OR(E1839="",E1839="!!!"),"",IF(OR(J1839=0,AND(J1839=1,K1839=1),AND(J1839=1,I1839="SBJ"),AND(J1839=1,I1839=0)),"?IN_FOCUS",IF(J1839&lt;=2,"?ACTIVATED",IF(J1839&lt;&gt;"","?FAMILIAR",IF(F1839="NEW",IF(ISNA(VLOOKUP(E1839,#REF!,1,FALSE())),"?TYPE_IDENTIFIABLE","?REFERENTIAL"),"_")))))</f>
        <v> </v>
      </c>
      <c r="H1839" s="24" t="str">
        <f>IF(J1839&lt;&gt;1,"",IF(I1839="SBJ","CB","?"))</f>
        <v> </v>
      </c>
      <c r="I1839" s="25" t="str">
        <f>IF(OR(E1839="",E1839="!!!",F1839="NEW"),"",INDEX(B1838:B$2,-1+SUMPRODUCT(MAX(ROW(E1838:E$2)*(E1839=E1838:E$2)))))</f>
        <v> </v>
      </c>
      <c r="J1839" s="25" t="str">
        <f>IF(OR(E1839="",E1839="!!!",F1839="NEW"),"",COUNTBLANK(OFFSET(A$1,,,SUMPRODUCT(MAX(ROW(E$2:E1839)*(E1839=E$2:E1839)))))-COUNTBLANK(OFFSET(A$1,,,SUMPRODUCT(MAX(ROW(E$1:E1838)*(E2=E$1:E1838))))))</f>
        <v> </v>
      </c>
      <c r="K1839" s="25" t="str">
        <f>IF(OR(E1839="",E1839="!!!",F1839="NEW"),"",INDEX(J$1:J1838,SUMPRODUCT(MAX(ROW(E$1:E1838)*(E1839=E$1:E1838)))))</f>
        <v> </v>
      </c>
      <c r="L1839" s="26"/>
    </row>
    <row r="1840" spans="1:12">
      <c r="A1840" s="20" t="s">
        <v>312</v>
      </c>
      <c r="E1840" s="21">
        <f>IF(D1840="?OLD","!!!","")</f>
        <v/>
      </c>
      <c r="F1840" s="22" t="str">
        <f>IF(OR(E1840="",E1840="!!!"),"",IF(NOT(ISNA(VLOOKUP(E1840,E$1:E1839,1,FALSE()))),"OLD",IF(AND(E1840&lt;&gt;"",E1840&lt;&gt;"!!!"),"NEW","")))</f>
        <v> </v>
      </c>
      <c r="G1840" s="23" t="str">
        <f>IF(OR(E1840="",E1840="!!!"),"",IF(OR(J1840=0,AND(J1840=1,K1840=1),AND(J1840=1,I1840="SBJ"),AND(J1840=1,I1840=0)),"?IN_FOCUS",IF(J1840&lt;=2,"?ACTIVATED",IF(J1840&lt;&gt;"","?FAMILIAR",IF(F1840="NEW",IF(ISNA(VLOOKUP(E1840,#REF!,1,FALSE())),"?TYPE_IDENTIFIABLE","?REFERENTIAL"),"_")))))</f>
        <v> </v>
      </c>
      <c r="H1840" s="24" t="str">
        <f>IF(J1840&lt;&gt;1,"",IF(I1840="SBJ","CB","?"))</f>
        <v> </v>
      </c>
      <c r="I1840" s="25" t="str">
        <f>IF(OR(E1840="",E1840="!!!",F1840="NEW"),"",INDEX(B1839:B$2,-1+SUMPRODUCT(MAX(ROW(E1839:E$2)*(E1840=E1839:E$2)))))</f>
        <v> </v>
      </c>
      <c r="J1840" s="25" t="str">
        <f>IF(OR(E1840="",E1840="!!!",F1840="NEW"),"",COUNTBLANK(OFFSET(A$1,,,SUMPRODUCT(MAX(ROW(E$2:E1840)*(E1840=E$2:E1840)))))-COUNTBLANK(OFFSET(A$1,,,SUMPRODUCT(MAX(ROW(E$1:E1839)*(E2=E$1:E1839))))))</f>
        <v> </v>
      </c>
      <c r="K1840" s="25" t="str">
        <f>IF(OR(E1840="",E1840="!!!",F1840="NEW"),"",INDEX(J$1:J1839,SUMPRODUCT(MAX(ROW(E$1:E1839)*(E1840=E$1:E1839)))))</f>
        <v> </v>
      </c>
      <c r="L1840" s="26"/>
    </row>
    <row r="1841" spans="1:12">
      <c r="A1841" s="20" t="s">
        <v>934</v>
      </c>
      <c r="E1841" s="21">
        <f>IF(D1841="?OLD","!!!","")</f>
        <v/>
      </c>
      <c r="F1841" s="22" t="str">
        <f>IF(OR(E1841="",E1841="!!!"),"",IF(NOT(ISNA(VLOOKUP(E1841,E$1:E1840,1,FALSE()))),"OLD",IF(AND(E1841&lt;&gt;"",E1841&lt;&gt;"!!!"),"NEW","")))</f>
        <v> </v>
      </c>
      <c r="G1841" s="23" t="str">
        <f>IF(OR(E1841="",E1841="!!!"),"",IF(OR(J1841=0,AND(J1841=1,K1841=1),AND(J1841=1,I1841="SBJ"),AND(J1841=1,I1841=0)),"?IN_FOCUS",IF(J1841&lt;=2,"?ACTIVATED",IF(J1841&lt;&gt;"","?FAMILIAR",IF(F1841="NEW",IF(ISNA(VLOOKUP(E1841,#REF!,1,FALSE())),"?TYPE_IDENTIFIABLE","?REFERENTIAL"),"_")))))</f>
        <v> </v>
      </c>
      <c r="H1841" s="24" t="str">
        <f>IF(J1841&lt;&gt;1,"",IF(I1841="SBJ","CB","?"))</f>
        <v> </v>
      </c>
      <c r="I1841" s="25" t="str">
        <f>IF(OR(E1841="",E1841="!!!",F1841="NEW"),"",INDEX(B1840:B$2,-1+SUMPRODUCT(MAX(ROW(E1840:E$2)*(E1841=E1840:E$2)))))</f>
        <v> </v>
      </c>
      <c r="J1841" s="25" t="str">
        <f>IF(OR(E1841="",E1841="!!!",F1841="NEW"),"",COUNTBLANK(OFFSET(A$1,,,SUMPRODUCT(MAX(ROW(E$2:E1841)*(E1841=E$2:E1841)))))-COUNTBLANK(OFFSET(A$1,,,SUMPRODUCT(MAX(ROW(E$1:E1840)*(E2=E$1:E1840))))))</f>
        <v> </v>
      </c>
      <c r="K1841" s="25" t="str">
        <f>IF(OR(E1841="",E1841="!!!",F1841="NEW"),"",INDEX(J$1:J1840,SUMPRODUCT(MAX(ROW(E$1:E1840)*(E1841=E$1:E1840)))))</f>
        <v> </v>
      </c>
      <c r="L1841" s="26"/>
    </row>
    <row r="1842" spans="1:12">
      <c r="A1842" s="20" t="s">
        <v>592</v>
      </c>
      <c r="B1842" s="27" t="s">
        <v>262</v>
      </c>
      <c r="C1842" s="27" t="s">
        <v>238</v>
      </c>
      <c r="E1842" s="21">
        <f>IF(D1842="?OLD","!!!","")</f>
        <v/>
      </c>
      <c r="F1842" s="22" t="str">
        <f>IF(OR(E1842="",E1842="!!!"),"",IF(NOT(ISNA(VLOOKUP(E1842,E$1:E1841,1,FALSE()))),"OLD",IF(AND(E1842&lt;&gt;"",E1842&lt;&gt;"!!!"),"NEW","")))</f>
        <v> </v>
      </c>
      <c r="G1842" s="23" t="str">
        <f>IF(OR(E1842="",E1842="!!!"),"",IF(OR(J1842=0,AND(J1842=1,K1842=1),AND(J1842=1,I1842="SBJ"),AND(J1842=1,I1842=0)),"?IN_FOCUS",IF(J1842&lt;=2,"?ACTIVATED",IF(J1842&lt;&gt;"","?FAMILIAR",IF(F1842="NEW",IF(ISNA(VLOOKUP(E1842,#REF!,1,FALSE())),"?TYPE_IDENTIFIABLE","?REFERENTIAL"),"_")))))</f>
        <v> </v>
      </c>
      <c r="H1842" s="24" t="str">
        <f>IF(J1842&lt;&gt;1,"",IF(I1842="SBJ","CB","?"))</f>
        <v> </v>
      </c>
      <c r="I1842" s="25" t="str">
        <f>IF(OR(E1842="",E1842="!!!",F1842="NEW"),"",INDEX(B1841:B$2,-1+SUMPRODUCT(MAX(ROW(E1841:E$2)*(E1842=E1841:E$2)))))</f>
        <v> </v>
      </c>
      <c r="J1842" s="25" t="str">
        <f>IF(OR(E1842="",E1842="!!!",F1842="NEW"),"",COUNTBLANK(OFFSET(A$1,,,SUMPRODUCT(MAX(ROW(E$2:E1842)*(E1842=E$2:E1842)))))-COUNTBLANK(OFFSET(A$1,,,SUMPRODUCT(MAX(ROW(E$1:E1841)*(E2=E$1:E1841))))))</f>
        <v> </v>
      </c>
      <c r="K1842" s="25" t="str">
        <f>IF(OR(E1842="",E1842="!!!",F1842="NEW"),"",INDEX(J$1:J1841,SUMPRODUCT(MAX(ROW(E$1:E1841)*(E1842=E$1:E1841)))))</f>
        <v> </v>
      </c>
      <c r="L1842" s="26"/>
    </row>
    <row r="1843" spans="1:12">
      <c r="A1843" s="20" t="s">
        <v>393</v>
      </c>
      <c r="B1843" s="27" t="s">
        <v>329</v>
      </c>
      <c r="C1843" s="27" t="s">
        <v>256</v>
      </c>
      <c r="D1843" s="27" t="s">
        <v>244</v>
      </c>
      <c r="E1843" s="21">
        <f>IF(D1843="?OLD","!!!","")</f>
        <v/>
      </c>
      <c r="F1843" s="22" t="str">
        <f>IF(OR(E1843="",E1843="!!!"),"",IF(NOT(ISNA(VLOOKUP(E1843,E$1:E1842,1,FALSE()))),"OLD",IF(AND(E1843&lt;&gt;"",E1843&lt;&gt;"!!!"),"NEW","")))</f>
        <v> </v>
      </c>
      <c r="G1843" s="23" t="str">
        <f>IF(OR(E1843="",E1843="!!!"),"",IF(OR(J1843=0,AND(J1843=1,K1843=1),AND(J1843=1,I1843="SBJ"),AND(J1843=1,I1843=0)),"?IN_FOCUS",IF(J1843&lt;=2,"?ACTIVATED",IF(J1843&lt;&gt;"","?FAMILIAR",IF(F1843="NEW",IF(ISNA(VLOOKUP(E1843,#REF!,1,FALSE())),"?TYPE_IDENTIFIABLE","?REFERENTIAL"),"_")))))</f>
        <v> </v>
      </c>
      <c r="H1843" s="24" t="str">
        <f>IF(J1843&lt;&gt;1,"",IF(I1843="SBJ","CB","?"))</f>
        <v> </v>
      </c>
      <c r="I1843" s="25" t="str">
        <f>IF(OR(E1843="",E1843="!!!",F1843="NEW"),"",INDEX(B1842:B$2,-1+SUMPRODUCT(MAX(ROW(E1842:E$2)*(E1843=E1842:E$2)))))</f>
        <v> </v>
      </c>
      <c r="J1843" s="25" t="str">
        <f>IF(OR(E1843="",E1843="!!!",F1843="NEW"),"",COUNTBLANK(OFFSET(A$1,,,SUMPRODUCT(MAX(ROW(E$2:E1843)*(E1843=E$2:E1843)))))-COUNTBLANK(OFFSET(A$1,,,SUMPRODUCT(MAX(ROW(E$1:E1842)*(E2=E$1:E1842))))))</f>
        <v> </v>
      </c>
      <c r="K1843" s="25" t="str">
        <f>IF(OR(E1843="",E1843="!!!",F1843="NEW"),"",INDEX(J$1:J1842,SUMPRODUCT(MAX(ROW(E$1:E1842)*(E1843=E$1:E1842)))))</f>
        <v> </v>
      </c>
      <c r="L1843" s="26"/>
    </row>
    <row r="1844" spans="1:12">
      <c r="A1844" s="20" t="s">
        <v>614</v>
      </c>
      <c r="E1844" s="21">
        <f>IF(D1844="?OLD","!!!","")</f>
        <v/>
      </c>
      <c r="F1844" s="22" t="str">
        <f>IF(OR(E1844="",E1844="!!!"),"",IF(NOT(ISNA(VLOOKUP(E1844,E$1:E1843,1,FALSE()))),"OLD",IF(AND(E1844&lt;&gt;"",E1844&lt;&gt;"!!!"),"NEW","")))</f>
        <v> </v>
      </c>
      <c r="G1844" s="23" t="str">
        <f>IF(OR(E1844="",E1844="!!!"),"",IF(OR(J1844=0,AND(J1844=1,K1844=1),AND(J1844=1,I1844="SBJ"),AND(J1844=1,I1844=0)),"?IN_FOCUS",IF(J1844&lt;=2,"?ACTIVATED",IF(J1844&lt;&gt;"","?FAMILIAR",IF(F1844="NEW",IF(ISNA(VLOOKUP(E1844,#REF!,1,FALSE())),"?TYPE_IDENTIFIABLE","?REFERENTIAL"),"_")))))</f>
        <v> </v>
      </c>
      <c r="H1844" s="24" t="str">
        <f>IF(J1844&lt;&gt;1,"",IF(I1844="SBJ","CB","?"))</f>
        <v> </v>
      </c>
      <c r="I1844" s="25" t="str">
        <f>IF(OR(E1844="",E1844="!!!",F1844="NEW"),"",INDEX(B1843:B$2,-1+SUMPRODUCT(MAX(ROW(E1843:E$2)*(E1844=E1843:E$2)))))</f>
        <v> </v>
      </c>
      <c r="J1844" s="25" t="str">
        <f>IF(OR(E1844="",E1844="!!!",F1844="NEW"),"",COUNTBLANK(OFFSET(A$1,,,SUMPRODUCT(MAX(ROW(E$2:E1844)*(E1844=E$2:E1844)))))-COUNTBLANK(OFFSET(A$1,,,SUMPRODUCT(MAX(ROW(E$1:E1843)*(E2=E$1:E1843))))))</f>
        <v> </v>
      </c>
      <c r="K1844" s="25" t="str">
        <f>IF(OR(E1844="",E1844="!!!",F1844="NEW"),"",INDEX(J$1:J1843,SUMPRODUCT(MAX(ROW(E$1:E1843)*(E1844=E$1:E1843)))))</f>
        <v> </v>
      </c>
      <c r="L1844" s="26"/>
    </row>
    <row r="1845" spans="1:12">
      <c r="A1845" s="20" t="s">
        <v>340</v>
      </c>
      <c r="E1845" s="21">
        <f>IF(D1845="?OLD","!!!","")</f>
        <v/>
      </c>
      <c r="F1845" s="22" t="str">
        <f>IF(OR(E1845="",E1845="!!!"),"",IF(NOT(ISNA(VLOOKUP(E1845,E$1:E1844,1,FALSE()))),"OLD",IF(AND(E1845&lt;&gt;"",E1845&lt;&gt;"!!!"),"NEW","")))</f>
        <v> </v>
      </c>
      <c r="G1845" s="23" t="str">
        <f>IF(OR(E1845="",E1845="!!!"),"",IF(OR(J1845=0,AND(J1845=1,K1845=1),AND(J1845=1,I1845="SBJ"),AND(J1845=1,I1845=0)),"?IN_FOCUS",IF(J1845&lt;=2,"?ACTIVATED",IF(J1845&lt;&gt;"","?FAMILIAR",IF(F1845="NEW",IF(ISNA(VLOOKUP(E1845,#REF!,1,FALSE())),"?TYPE_IDENTIFIABLE","?REFERENTIAL"),"_")))))</f>
        <v> </v>
      </c>
      <c r="H1845" s="24" t="str">
        <f>IF(J1845&lt;&gt;1,"",IF(I1845="SBJ","CB","?"))</f>
        <v> </v>
      </c>
      <c r="I1845" s="25" t="str">
        <f>IF(OR(E1845="",E1845="!!!",F1845="NEW"),"",INDEX(B1844:B$2,-1+SUMPRODUCT(MAX(ROW(E1844:E$2)*(E1845=E1844:E$2)))))</f>
        <v> </v>
      </c>
      <c r="J1845" s="25" t="str">
        <f>IF(OR(E1845="",E1845="!!!",F1845="NEW"),"",COUNTBLANK(OFFSET(A$1,,,SUMPRODUCT(MAX(ROW(E$2:E1845)*(E1845=E$2:E1845)))))-COUNTBLANK(OFFSET(A$1,,,SUMPRODUCT(MAX(ROW(E$1:E1844)*(E2=E$1:E1844))))))</f>
        <v> </v>
      </c>
      <c r="K1845" s="25" t="str">
        <f>IF(OR(E1845="",E1845="!!!",F1845="NEW"),"",INDEX(J$1:J1844,SUMPRODUCT(MAX(ROW(E$1:E1844)*(E1845=E$1:E1844)))))</f>
        <v> </v>
      </c>
      <c r="L1845" s="26"/>
    </row>
    <row r="1846" spans="1:12">
      <c r="A1846" s="20" t="s">
        <v>400</v>
      </c>
      <c r="B1846" s="27" t="s">
        <v>423</v>
      </c>
      <c r="C1846" s="27" t="s">
        <v>401</v>
      </c>
      <c r="D1846" s="27" t="s">
        <v>244</v>
      </c>
      <c r="E1846" s="21">
        <f>IF(D1846="?OLD","!!!","")</f>
        <v/>
      </c>
      <c r="F1846" s="22" t="str">
        <f>IF(OR(E1846="",E1846="!!!"),"",IF(NOT(ISNA(VLOOKUP(E1846,E$1:E1845,1,FALSE()))),"OLD",IF(AND(E1846&lt;&gt;"",E1846&lt;&gt;"!!!"),"NEW","")))</f>
        <v> </v>
      </c>
      <c r="G1846" s="23" t="str">
        <f>IF(OR(E1846="",E1846="!!!"),"",IF(OR(J1846=0,AND(J1846=1,K1846=1),AND(J1846=1,I1846="SBJ"),AND(J1846=1,I1846=0)),"?IN_FOCUS",IF(J1846&lt;=2,"?ACTIVATED",IF(J1846&lt;&gt;"","?FAMILIAR",IF(F1846="NEW",IF(ISNA(VLOOKUP(E1846,#REF!,1,FALSE())),"?TYPE_IDENTIFIABLE","?REFERENTIAL"),"_")))))</f>
        <v> </v>
      </c>
      <c r="H1846" s="24" t="str">
        <f>IF(J1846&lt;&gt;1,"",IF(I1846="SBJ","CB","?"))</f>
        <v> </v>
      </c>
      <c r="I1846" s="25" t="str">
        <f>IF(OR(E1846="",E1846="!!!",F1846="NEW"),"",INDEX(B1845:B$2,-1+SUMPRODUCT(MAX(ROW(E1845:E$2)*(E1846=E1845:E$2)))))</f>
        <v> </v>
      </c>
      <c r="J1846" s="25" t="str">
        <f>IF(OR(E1846="",E1846="!!!",F1846="NEW"),"",COUNTBLANK(OFFSET(A$1,,,SUMPRODUCT(MAX(ROW(E$2:E1846)*(E1846=E$2:E1846)))))-COUNTBLANK(OFFSET(A$1,,,SUMPRODUCT(MAX(ROW(E$1:E1845)*(E2=E$1:E1845))))))</f>
        <v> </v>
      </c>
      <c r="K1846" s="25" t="str">
        <f>IF(OR(E1846="",E1846="!!!",F1846="NEW"),"",INDEX(J$1:J1845,SUMPRODUCT(MAX(ROW(E$1:E1845)*(E1846=E$1:E1845)))))</f>
        <v> </v>
      </c>
      <c r="L1846" s="26"/>
    </row>
    <row r="1847" spans="1:12">
      <c r="A1847" s="20" t="s">
        <v>285</v>
      </c>
      <c r="E1847" s="21">
        <f>IF(D1847="?OLD","!!!","")</f>
        <v/>
      </c>
      <c r="F1847" s="22" t="str">
        <f>IF(OR(E1847="",E1847="!!!"),"",IF(NOT(ISNA(VLOOKUP(E1847,E$1:E1846,1,FALSE()))),"OLD",IF(AND(E1847&lt;&gt;"",E1847&lt;&gt;"!!!"),"NEW","")))</f>
        <v> </v>
      </c>
      <c r="G1847" s="23" t="str">
        <f>IF(OR(E1847="",E1847="!!!"),"",IF(OR(J1847=0,AND(J1847=1,K1847=1),AND(J1847=1,I1847="SBJ"),AND(J1847=1,I1847=0)),"?IN_FOCUS",IF(J1847&lt;=2,"?ACTIVATED",IF(J1847&lt;&gt;"","?FAMILIAR",IF(F1847="NEW",IF(ISNA(VLOOKUP(E1847,#REF!,1,FALSE())),"?TYPE_IDENTIFIABLE","?REFERENTIAL"),"_")))))</f>
        <v> </v>
      </c>
      <c r="H1847" s="24" t="str">
        <f>IF(J1847&lt;&gt;1,"",IF(I1847="SBJ","CB","?"))</f>
        <v> </v>
      </c>
      <c r="I1847" s="25" t="str">
        <f>IF(OR(E1847="",E1847="!!!",F1847="NEW"),"",INDEX(B1846:B$2,-1+SUMPRODUCT(MAX(ROW(E1846:E$2)*(E1847=E1846:E$2)))))</f>
        <v> </v>
      </c>
      <c r="J1847" s="25" t="str">
        <f>IF(OR(E1847="",E1847="!!!",F1847="NEW"),"",COUNTBLANK(OFFSET(A$1,,,SUMPRODUCT(MAX(ROW(E$2:E1847)*(E1847=E$2:E1847)))))-COUNTBLANK(OFFSET(A$1,,,SUMPRODUCT(MAX(ROW(E$1:E1846)*(E2=E$1:E1846))))))</f>
        <v> </v>
      </c>
      <c r="K1847" s="25" t="str">
        <f>IF(OR(E1847="",E1847="!!!",F1847="NEW"),"",INDEX(J$1:J1846,SUMPRODUCT(MAX(ROW(E$1:E1846)*(E1847=E$1:E1846)))))</f>
        <v> </v>
      </c>
      <c r="L1847" s="26"/>
    </row>
    <row r="1848" spans="1:12">
      <c r="A1848" s="20"/>
    </row>
    <row r="1849" spans="1:12">
      <c r="A1849" s="20" t="s">
        <v>935</v>
      </c>
    </row>
    <row r="1850" spans="1:12">
      <c r="A1850" s="20" t="s">
        <v>758</v>
      </c>
      <c r="B1850" s="27" t="s">
        <v>255</v>
      </c>
      <c r="C1850" s="27" t="s">
        <v>256</v>
      </c>
      <c r="D1850" s="27" t="s">
        <v>244</v>
      </c>
      <c r="E1850" s="21">
        <f>IF(D1850="?OLD","!!!","")</f>
        <v/>
      </c>
      <c r="F1850" s="22" t="str">
        <f>IF(OR(E1850="",E1850="!!!"),"",IF(NOT(ISNA(VLOOKUP(E1850,E$1:E1849,1,FALSE()))),"OLD",IF(AND(E1850&lt;&gt;"",E1850&lt;&gt;"!!!"),"NEW","")))</f>
        <v> </v>
      </c>
      <c r="G1850" s="23" t="str">
        <f>IF(OR(E1850="",E1850="!!!"),"",IF(OR(J1850=0,AND(J1850=1,K1850=1),AND(J1850=1,I1850="SBJ"),AND(J1850=1,I1850=0)),"?IN_FOCUS",IF(J1850&lt;=2,"?ACTIVATED",IF(J1850&lt;&gt;"","?FAMILIAR",IF(F1850="NEW",IF(ISNA(VLOOKUP(E1850,#REF!,1,FALSE())),"?TYPE_IDENTIFIABLE","?REFERENTIAL"),"_")))))</f>
        <v> </v>
      </c>
      <c r="H1850" s="24" t="str">
        <f>IF(J1850&lt;&gt;1,"",IF(I1850="SBJ","CB","?"))</f>
        <v> </v>
      </c>
      <c r="I1850" s="25" t="str">
        <f>IF(OR(E1850="",E1850="!!!",F1850="NEW"),"",INDEX(B1849:B$2,-1+SUMPRODUCT(MAX(ROW(E1849:E$2)*(E1850=E1849:E$2)))))</f>
        <v> </v>
      </c>
      <c r="J1850" s="25" t="str">
        <f>IF(OR(E1850="",E1850="!!!",F1850="NEW"),"",COUNTBLANK(OFFSET(A$1,,,SUMPRODUCT(MAX(ROW(E$2:E1850)*(E1850=E$2:E1850)))))-COUNTBLANK(OFFSET(A$1,,,SUMPRODUCT(MAX(ROW(E$1:E1849)*(E2=E$1:E1849))))))</f>
        <v> </v>
      </c>
      <c r="K1850" s="25" t="str">
        <f>IF(OR(E1850="",E1850="!!!",F1850="NEW"),"",INDEX(J$1:J1849,SUMPRODUCT(MAX(ROW(E$1:E1849)*(E1850=E$1:E1849)))))</f>
        <v> </v>
      </c>
      <c r="L1850" s="26"/>
    </row>
    <row r="1851" spans="1:12">
      <c r="A1851" s="20" t="s">
        <v>340</v>
      </c>
      <c r="E1851" s="21">
        <f>IF(D1851="?OLD","!!!","")</f>
        <v/>
      </c>
      <c r="F1851" s="22" t="str">
        <f>IF(OR(E1851="",E1851="!!!"),"",IF(NOT(ISNA(VLOOKUP(E1851,E$1:E1850,1,FALSE()))),"OLD",IF(AND(E1851&lt;&gt;"",E1851&lt;&gt;"!!!"),"NEW","")))</f>
        <v> </v>
      </c>
      <c r="G1851" s="23" t="str">
        <f>IF(OR(E1851="",E1851="!!!"),"",IF(OR(J1851=0,AND(J1851=1,K1851=1),AND(J1851=1,I1851="SBJ"),AND(J1851=1,I1851=0)),"?IN_FOCUS",IF(J1851&lt;=2,"?ACTIVATED",IF(J1851&lt;&gt;"","?FAMILIAR",IF(F1851="NEW",IF(ISNA(VLOOKUP(E1851,#REF!,1,FALSE())),"?TYPE_IDENTIFIABLE","?REFERENTIAL"),"_")))))</f>
        <v> </v>
      </c>
      <c r="H1851" s="24" t="str">
        <f>IF(J1851&lt;&gt;1,"",IF(I1851="SBJ","CB","?"))</f>
        <v> </v>
      </c>
      <c r="I1851" s="25" t="str">
        <f>IF(OR(E1851="",E1851="!!!",F1851="NEW"),"",INDEX(B1850:B$2,-1+SUMPRODUCT(MAX(ROW(E1850:E$2)*(E1851=E1850:E$2)))))</f>
        <v> </v>
      </c>
      <c r="J1851" s="25" t="str">
        <f>IF(OR(E1851="",E1851="!!!",F1851="NEW"),"",COUNTBLANK(OFFSET(A$1,,,SUMPRODUCT(MAX(ROW(E$2:E1851)*(E1851=E$2:E1851)))))-COUNTBLANK(OFFSET(A$1,,,SUMPRODUCT(MAX(ROW(E$1:E1850)*(E2=E$1:E1850))))))</f>
        <v> </v>
      </c>
      <c r="K1851" s="25" t="str">
        <f>IF(OR(E1851="",E1851="!!!",F1851="NEW"),"",INDEX(J$1:J1850,SUMPRODUCT(MAX(ROW(E$1:E1850)*(E1851=E$1:E1850)))))</f>
        <v> </v>
      </c>
      <c r="L1851" s="26"/>
    </row>
    <row r="1852" spans="1:12">
      <c r="A1852" s="20" t="s">
        <v>260</v>
      </c>
      <c r="E1852" s="21">
        <f>IF(D1852="?OLD","!!!","")</f>
        <v/>
      </c>
      <c r="F1852" s="22" t="str">
        <f>IF(OR(E1852="",E1852="!!!"),"",IF(NOT(ISNA(VLOOKUP(E1852,E$1:E1851,1,FALSE()))),"OLD",IF(AND(E1852&lt;&gt;"",E1852&lt;&gt;"!!!"),"NEW","")))</f>
        <v> </v>
      </c>
      <c r="G1852" s="23" t="str">
        <f>IF(OR(E1852="",E1852="!!!"),"",IF(OR(J1852=0,AND(J1852=1,K1852=1),AND(J1852=1,I1852="SBJ"),AND(J1852=1,I1852=0)),"?IN_FOCUS",IF(J1852&lt;=2,"?ACTIVATED",IF(J1852&lt;&gt;"","?FAMILIAR",IF(F1852="NEW",IF(ISNA(VLOOKUP(E1852,#REF!,1,FALSE())),"?TYPE_IDENTIFIABLE","?REFERENTIAL"),"_")))))</f>
        <v> </v>
      </c>
      <c r="H1852" s="24" t="str">
        <f>IF(J1852&lt;&gt;1,"",IF(I1852="SBJ","CB","?"))</f>
        <v> </v>
      </c>
      <c r="I1852" s="25" t="str">
        <f>IF(OR(E1852="",E1852="!!!",F1852="NEW"),"",INDEX(B1851:B$2,-1+SUMPRODUCT(MAX(ROW(E1851:E$2)*(E1852=E1851:E$2)))))</f>
        <v> </v>
      </c>
      <c r="J1852" s="25" t="str">
        <f>IF(OR(E1852="",E1852="!!!",F1852="NEW"),"",COUNTBLANK(OFFSET(A$1,,,SUMPRODUCT(MAX(ROW(E$2:E1852)*(E1852=E$2:E1852)))))-COUNTBLANK(OFFSET(A$1,,,SUMPRODUCT(MAX(ROW(E$1:E1851)*(E2=E$1:E1851))))))</f>
        <v> </v>
      </c>
      <c r="K1852" s="25" t="str">
        <f>IF(OR(E1852="",E1852="!!!",F1852="NEW"),"",INDEX(J$1:J1851,SUMPRODUCT(MAX(ROW(E$1:E1851)*(E1852=E$1:E1851)))))</f>
        <v> </v>
      </c>
      <c r="L1852" s="26"/>
    </row>
    <row r="1853" spans="1:12">
      <c r="A1853" s="20" t="s">
        <v>393</v>
      </c>
      <c r="B1853" s="27" t="s">
        <v>295</v>
      </c>
      <c r="C1853" s="27" t="s">
        <v>256</v>
      </c>
      <c r="D1853" s="27" t="s">
        <v>244</v>
      </c>
      <c r="E1853" s="21">
        <f>IF(D1853="?OLD","!!!","")</f>
        <v/>
      </c>
      <c r="F1853" s="22" t="str">
        <f>IF(OR(E1853="",E1853="!!!"),"",IF(NOT(ISNA(VLOOKUP(E1853,E$1:E1852,1,FALSE()))),"OLD",IF(AND(E1853&lt;&gt;"",E1853&lt;&gt;"!!!"),"NEW","")))</f>
        <v> </v>
      </c>
      <c r="G1853" s="23" t="str">
        <f>IF(OR(E1853="",E1853="!!!"),"",IF(OR(J1853=0,AND(J1853=1,K1853=1),AND(J1853=1,I1853="SBJ"),AND(J1853=1,I1853=0)),"?IN_FOCUS",IF(J1853&lt;=2,"?ACTIVATED",IF(J1853&lt;&gt;"","?FAMILIAR",IF(F1853="NEW",IF(ISNA(VLOOKUP(E1853,#REF!,1,FALSE())),"?TYPE_IDENTIFIABLE","?REFERENTIAL"),"_")))))</f>
        <v> </v>
      </c>
      <c r="H1853" s="24" t="str">
        <f>IF(J1853&lt;&gt;1,"",IF(I1853="SBJ","CB","?"))</f>
        <v> </v>
      </c>
      <c r="I1853" s="25" t="str">
        <f>IF(OR(E1853="",E1853="!!!",F1853="NEW"),"",INDEX(B1852:B$2,-1+SUMPRODUCT(MAX(ROW(E1852:E$2)*(E1853=E1852:E$2)))))</f>
        <v> </v>
      </c>
      <c r="J1853" s="25" t="str">
        <f>IF(OR(E1853="",E1853="!!!",F1853="NEW"),"",COUNTBLANK(OFFSET(A$1,,,SUMPRODUCT(MAX(ROW(E$2:E1853)*(E1853=E$2:E1853)))))-COUNTBLANK(OFFSET(A$1,,,SUMPRODUCT(MAX(ROW(E$1:E1852)*(E2=E$1:E1852))))))</f>
        <v> </v>
      </c>
      <c r="K1853" s="25" t="str">
        <f>IF(OR(E1853="",E1853="!!!",F1853="NEW"),"",INDEX(J$1:J1852,SUMPRODUCT(MAX(ROW(E$1:E1852)*(E1853=E$1:E1852)))))</f>
        <v> </v>
      </c>
      <c r="L1853" s="26"/>
    </row>
    <row r="1854" spans="1:12">
      <c r="A1854" s="20" t="s">
        <v>773</v>
      </c>
      <c r="E1854" s="21">
        <f>IF(D1854="?OLD","!!!","")</f>
        <v/>
      </c>
      <c r="F1854" s="22" t="str">
        <f>IF(OR(E1854="",E1854="!!!"),"",IF(NOT(ISNA(VLOOKUP(E1854,E$1:E1853,1,FALSE()))),"OLD",IF(AND(E1854&lt;&gt;"",E1854&lt;&gt;"!!!"),"NEW","")))</f>
        <v> </v>
      </c>
      <c r="G1854" s="23" t="str">
        <f>IF(OR(E1854="",E1854="!!!"),"",IF(OR(J1854=0,AND(J1854=1,K1854=1),AND(J1854=1,I1854="SBJ"),AND(J1854=1,I1854=0)),"?IN_FOCUS",IF(J1854&lt;=2,"?ACTIVATED",IF(J1854&lt;&gt;"","?FAMILIAR",IF(F1854="NEW",IF(ISNA(VLOOKUP(E1854,#REF!,1,FALSE())),"?TYPE_IDENTIFIABLE","?REFERENTIAL"),"_")))))</f>
        <v> </v>
      </c>
      <c r="H1854" s="24" t="str">
        <f>IF(J1854&lt;&gt;1,"",IF(I1854="SBJ","CB","?"))</f>
        <v> </v>
      </c>
      <c r="I1854" s="25" t="str">
        <f>IF(OR(E1854="",E1854="!!!",F1854="NEW"),"",INDEX(B1853:B$2,-1+SUMPRODUCT(MAX(ROW(E1853:E$2)*(E1854=E1853:E$2)))))</f>
        <v> </v>
      </c>
      <c r="J1854" s="25" t="str">
        <f>IF(OR(E1854="",E1854="!!!",F1854="NEW"),"",COUNTBLANK(OFFSET(A$1,,,SUMPRODUCT(MAX(ROW(E$2:E1854)*(E1854=E$2:E1854)))))-COUNTBLANK(OFFSET(A$1,,,SUMPRODUCT(MAX(ROW(E$1:E1853)*(E2=E$1:E1853))))))</f>
        <v> </v>
      </c>
      <c r="K1854" s="25" t="str">
        <f>IF(OR(E1854="",E1854="!!!",F1854="NEW"),"",INDEX(J$1:J1853,SUMPRODUCT(MAX(ROW(E$1:E1853)*(E1854=E$1:E1853)))))</f>
        <v> </v>
      </c>
      <c r="L1854" s="26"/>
    </row>
    <row r="1855" spans="1:12">
      <c r="A1855" s="20" t="s">
        <v>420</v>
      </c>
      <c r="E1855" s="21">
        <f>IF(D1855="?OLD","!!!","")</f>
        <v/>
      </c>
      <c r="F1855" s="22" t="str">
        <f>IF(OR(E1855="",E1855="!!!"),"",IF(NOT(ISNA(VLOOKUP(E1855,E$1:E1854,1,FALSE()))),"OLD",IF(AND(E1855&lt;&gt;"",E1855&lt;&gt;"!!!"),"NEW","")))</f>
        <v> </v>
      </c>
      <c r="G1855" s="23" t="str">
        <f>IF(OR(E1855="",E1855="!!!"),"",IF(OR(J1855=0,AND(J1855=1,K1855=1),AND(J1855=1,I1855="SBJ"),AND(J1855=1,I1855=0)),"?IN_FOCUS",IF(J1855&lt;=2,"?ACTIVATED",IF(J1855&lt;&gt;"","?FAMILIAR",IF(F1855="NEW",IF(ISNA(VLOOKUP(E1855,#REF!,1,FALSE())),"?TYPE_IDENTIFIABLE","?REFERENTIAL"),"_")))))</f>
        <v> </v>
      </c>
      <c r="H1855" s="24" t="str">
        <f>IF(J1855&lt;&gt;1,"",IF(I1855="SBJ","CB","?"))</f>
        <v> </v>
      </c>
      <c r="I1855" s="25" t="str">
        <f>IF(OR(E1855="",E1855="!!!",F1855="NEW"),"",INDEX(B1854:B$2,-1+SUMPRODUCT(MAX(ROW(E1854:E$2)*(E1855=E1854:E$2)))))</f>
        <v> </v>
      </c>
      <c r="J1855" s="25" t="str">
        <f>IF(OR(E1855="",E1855="!!!",F1855="NEW"),"",COUNTBLANK(OFFSET(A$1,,,SUMPRODUCT(MAX(ROW(E$2:E1855)*(E1855=E$2:E1855)))))-COUNTBLANK(OFFSET(A$1,,,SUMPRODUCT(MAX(ROW(E$1:E1854)*(E2=E$1:E1854))))))</f>
        <v> </v>
      </c>
      <c r="K1855" s="25" t="str">
        <f>IF(OR(E1855="",E1855="!!!",F1855="NEW"),"",INDEX(J$1:J1854,SUMPRODUCT(MAX(ROW(E$1:E1854)*(E1855=E$1:E1854)))))</f>
        <v> </v>
      </c>
      <c r="L1855" s="26"/>
    </row>
    <row r="1856" spans="1:12">
      <c r="A1856" s="20" t="s">
        <v>393</v>
      </c>
      <c r="B1856" s="27" t="s">
        <v>266</v>
      </c>
      <c r="C1856" s="27" t="s">
        <v>256</v>
      </c>
      <c r="D1856" s="27" t="s">
        <v>244</v>
      </c>
      <c r="E1856" s="21">
        <f>IF(D1856="?OLD","!!!","")</f>
        <v/>
      </c>
      <c r="F1856" s="22" t="str">
        <f>IF(OR(E1856="",E1856="!!!"),"",IF(NOT(ISNA(VLOOKUP(E1856,E$1:E1855,1,FALSE()))),"OLD",IF(AND(E1856&lt;&gt;"",E1856&lt;&gt;"!!!"),"NEW","")))</f>
        <v> </v>
      </c>
      <c r="G1856" s="23" t="str">
        <f>IF(OR(E1856="",E1856="!!!"),"",IF(OR(J1856=0,AND(J1856=1,K1856=1),AND(J1856=1,I1856="SBJ"),AND(J1856=1,I1856=0)),"?IN_FOCUS",IF(J1856&lt;=2,"?ACTIVATED",IF(J1856&lt;&gt;"","?FAMILIAR",IF(F1856="NEW",IF(ISNA(VLOOKUP(E1856,#REF!,1,FALSE())),"?TYPE_IDENTIFIABLE","?REFERENTIAL"),"_")))))</f>
        <v> </v>
      </c>
      <c r="H1856" s="24" t="str">
        <f>IF(J1856&lt;&gt;1,"",IF(I1856="SBJ","CB","?"))</f>
        <v> </v>
      </c>
      <c r="I1856" s="25" t="str">
        <f>IF(OR(E1856="",E1856="!!!",F1856="NEW"),"",INDEX(B1855:B$2,-1+SUMPRODUCT(MAX(ROW(E1855:E$2)*(E1856=E1855:E$2)))))</f>
        <v> </v>
      </c>
      <c r="J1856" s="25" t="str">
        <f>IF(OR(E1856="",E1856="!!!",F1856="NEW"),"",COUNTBLANK(OFFSET(A$1,,,SUMPRODUCT(MAX(ROW(E$2:E1856)*(E1856=E$2:E1856)))))-COUNTBLANK(OFFSET(A$1,,,SUMPRODUCT(MAX(ROW(E$1:E1855)*(E2=E$1:E1855))))))</f>
        <v> </v>
      </c>
      <c r="K1856" s="25" t="str">
        <f>IF(OR(E1856="",E1856="!!!",F1856="NEW"),"",INDEX(J$1:J1855,SUMPRODUCT(MAX(ROW(E$1:E1855)*(E1856=E$1:E1855)))))</f>
        <v> </v>
      </c>
      <c r="L1856" s="26"/>
    </row>
    <row r="1857" spans="1:12">
      <c r="A1857" s="20" t="s">
        <v>774</v>
      </c>
      <c r="E1857" s="21">
        <f>IF(D1857="?OLD","!!!","")</f>
        <v/>
      </c>
      <c r="F1857" s="22" t="str">
        <f>IF(OR(E1857="",E1857="!!!"),"",IF(NOT(ISNA(VLOOKUP(E1857,E$1:E1856,1,FALSE()))),"OLD",IF(AND(E1857&lt;&gt;"",E1857&lt;&gt;"!!!"),"NEW","")))</f>
        <v> </v>
      </c>
      <c r="G1857" s="23" t="str">
        <f>IF(OR(E1857="",E1857="!!!"),"",IF(OR(J1857=0,AND(J1857=1,K1857=1),AND(J1857=1,I1857="SBJ"),AND(J1857=1,I1857=0)),"?IN_FOCUS",IF(J1857&lt;=2,"?ACTIVATED",IF(J1857&lt;&gt;"","?FAMILIAR",IF(F1857="NEW",IF(ISNA(VLOOKUP(E1857,#REF!,1,FALSE())),"?TYPE_IDENTIFIABLE","?REFERENTIAL"),"_")))))</f>
        <v> </v>
      </c>
      <c r="H1857" s="24" t="str">
        <f>IF(J1857&lt;&gt;1,"",IF(I1857="SBJ","CB","?"))</f>
        <v> </v>
      </c>
      <c r="I1857" s="25" t="str">
        <f>IF(OR(E1857="",E1857="!!!",F1857="NEW"),"",INDEX(B1856:B$2,-1+SUMPRODUCT(MAX(ROW(E1856:E$2)*(E1857=E1856:E$2)))))</f>
        <v> </v>
      </c>
      <c r="J1857" s="25" t="str">
        <f>IF(OR(E1857="",E1857="!!!",F1857="NEW"),"",COUNTBLANK(OFFSET(A$1,,,SUMPRODUCT(MAX(ROW(E$2:E1857)*(E1857=E$2:E1857)))))-COUNTBLANK(OFFSET(A$1,,,SUMPRODUCT(MAX(ROW(E$1:E1856)*(E2=E$1:E1856))))))</f>
        <v> </v>
      </c>
      <c r="K1857" s="25" t="str">
        <f>IF(OR(E1857="",E1857="!!!",F1857="NEW"),"",INDEX(J$1:J1856,SUMPRODUCT(MAX(ROW(E$1:E1856)*(E1857=E$1:E1856)))))</f>
        <v> </v>
      </c>
      <c r="L1857" s="26"/>
    </row>
    <row r="1858" spans="1:12">
      <c r="A1858" s="20" t="s">
        <v>270</v>
      </c>
      <c r="E1858" s="21">
        <f>IF(D1858="?OLD","!!!","")</f>
        <v/>
      </c>
      <c r="F1858" s="22" t="str">
        <f>IF(OR(E1858="",E1858="!!!"),"",IF(NOT(ISNA(VLOOKUP(E1858,E$1:E1857,1,FALSE()))),"OLD",IF(AND(E1858&lt;&gt;"",E1858&lt;&gt;"!!!"),"NEW","")))</f>
        <v> </v>
      </c>
      <c r="G1858" s="23" t="str">
        <f>IF(OR(E1858="",E1858="!!!"),"",IF(OR(J1858=0,AND(J1858=1,K1858=1),AND(J1858=1,I1858="SBJ"),AND(J1858=1,I1858=0)),"?IN_FOCUS",IF(J1858&lt;=2,"?ACTIVATED",IF(J1858&lt;&gt;"","?FAMILIAR",IF(F1858="NEW",IF(ISNA(VLOOKUP(E1858,#REF!,1,FALSE())),"?TYPE_IDENTIFIABLE","?REFERENTIAL"),"_")))))</f>
        <v> </v>
      </c>
      <c r="H1858" s="24" t="str">
        <f>IF(J1858&lt;&gt;1,"",IF(I1858="SBJ","CB","?"))</f>
        <v> </v>
      </c>
      <c r="I1858" s="25" t="str">
        <f>IF(OR(E1858="",E1858="!!!",F1858="NEW"),"",INDEX(B1857:B$2,-1+SUMPRODUCT(MAX(ROW(E1857:E$2)*(E1858=E1857:E$2)))))</f>
        <v> </v>
      </c>
      <c r="J1858" s="25" t="str">
        <f>IF(OR(E1858="",E1858="!!!",F1858="NEW"),"",COUNTBLANK(OFFSET(A$1,,,SUMPRODUCT(MAX(ROW(E$2:E1858)*(E1858=E$2:E1858)))))-COUNTBLANK(OFFSET(A$1,,,SUMPRODUCT(MAX(ROW(E$1:E1857)*(E2=E$1:E1857))))))</f>
        <v> </v>
      </c>
      <c r="K1858" s="25" t="str">
        <f>IF(OR(E1858="",E1858="!!!",F1858="NEW"),"",INDEX(J$1:J1857,SUMPRODUCT(MAX(ROW(E$1:E1857)*(E1858=E$1:E1857)))))</f>
        <v> </v>
      </c>
      <c r="L1858" s="26"/>
    </row>
    <row r="1859" spans="1:12">
      <c r="A1859" s="20" t="s">
        <v>775</v>
      </c>
      <c r="B1859" s="27" t="s">
        <v>262</v>
      </c>
      <c r="C1859" s="27" t="s">
        <v>263</v>
      </c>
      <c r="D1859" s="27" t="s">
        <v>244</v>
      </c>
      <c r="E1859" s="21">
        <f>IF(D1859="?OLD","!!!","")</f>
        <v/>
      </c>
      <c r="F1859" s="22" t="str">
        <f>IF(OR(E1859="",E1859="!!!"),"",IF(NOT(ISNA(VLOOKUP(E1859,E$1:E1858,1,FALSE()))),"OLD",IF(AND(E1859&lt;&gt;"",E1859&lt;&gt;"!!!"),"NEW","")))</f>
        <v> </v>
      </c>
      <c r="G1859" s="23" t="str">
        <f>IF(OR(E1859="",E1859="!!!"),"",IF(OR(J1859=0,AND(J1859=1,K1859=1),AND(J1859=1,I1859="SBJ"),AND(J1859=1,I1859=0)),"?IN_FOCUS",IF(J1859&lt;=2,"?ACTIVATED",IF(J1859&lt;&gt;"","?FAMILIAR",IF(F1859="NEW",IF(ISNA(VLOOKUP(E1859,#REF!,1,FALSE())),"?TYPE_IDENTIFIABLE","?REFERENTIAL"),"_")))))</f>
        <v> </v>
      </c>
      <c r="H1859" s="24" t="str">
        <f>IF(J1859&lt;&gt;1,"",IF(I1859="SBJ","CB","?"))</f>
        <v> </v>
      </c>
      <c r="I1859" s="25" t="str">
        <f>IF(OR(E1859="",E1859="!!!",F1859="NEW"),"",INDEX(B1858:B$2,-1+SUMPRODUCT(MAX(ROW(E1858:E$2)*(E1859=E1858:E$2)))))</f>
        <v> </v>
      </c>
      <c r="J1859" s="25" t="str">
        <f>IF(OR(E1859="",E1859="!!!",F1859="NEW"),"",COUNTBLANK(OFFSET(A$1,,,SUMPRODUCT(MAX(ROW(E$2:E1859)*(E1859=E$2:E1859)))))-COUNTBLANK(OFFSET(A$1,,,SUMPRODUCT(MAX(ROW(E$1:E1858)*(E2=E$1:E1858))))))</f>
        <v> </v>
      </c>
      <c r="K1859" s="25" t="str">
        <f>IF(OR(E1859="",E1859="!!!",F1859="NEW"),"",INDEX(J$1:J1858,SUMPRODUCT(MAX(ROW(E$1:E1858)*(E1859=E$1:E1858)))))</f>
        <v> </v>
      </c>
      <c r="L1859" s="26"/>
    </row>
    <row r="1860" spans="1:12">
      <c r="A1860" s="20" t="s">
        <v>358</v>
      </c>
      <c r="E1860" s="21">
        <f>IF(D1860="?OLD","!!!","")</f>
        <v/>
      </c>
      <c r="F1860" s="22" t="str">
        <f>IF(OR(E1860="",E1860="!!!"),"",IF(NOT(ISNA(VLOOKUP(E1860,E$1:E1859,1,FALSE()))),"OLD",IF(AND(E1860&lt;&gt;"",E1860&lt;&gt;"!!!"),"NEW","")))</f>
        <v> </v>
      </c>
      <c r="G1860" s="23" t="str">
        <f>IF(OR(E1860="",E1860="!!!"),"",IF(OR(J1860=0,AND(J1860=1,K1860=1),AND(J1860=1,I1860="SBJ"),AND(J1860=1,I1860=0)),"?IN_FOCUS",IF(J1860&lt;=2,"?ACTIVATED",IF(J1860&lt;&gt;"","?FAMILIAR",IF(F1860="NEW",IF(ISNA(VLOOKUP(E1860,#REF!,1,FALSE())),"?TYPE_IDENTIFIABLE","?REFERENTIAL"),"_")))))</f>
        <v> </v>
      </c>
      <c r="H1860" s="24" t="str">
        <f>IF(J1860&lt;&gt;1,"",IF(I1860="SBJ","CB","?"))</f>
        <v> </v>
      </c>
      <c r="I1860" s="25" t="str">
        <f>IF(OR(E1860="",E1860="!!!",F1860="NEW"),"",INDEX(B1859:B$2,-1+SUMPRODUCT(MAX(ROW(E1859:E$2)*(E1860=E1859:E$2)))))</f>
        <v> </v>
      </c>
      <c r="J1860" s="25" t="str">
        <f>IF(OR(E1860="",E1860="!!!",F1860="NEW"),"",COUNTBLANK(OFFSET(A$1,,,SUMPRODUCT(MAX(ROW(E$2:E1860)*(E1860=E$2:E1860)))))-COUNTBLANK(OFFSET(A$1,,,SUMPRODUCT(MAX(ROW(E$1:E1859)*(E2=E$1:E1859))))))</f>
        <v> </v>
      </c>
      <c r="K1860" s="25" t="str">
        <f>IF(OR(E1860="",E1860="!!!",F1860="NEW"),"",INDEX(J$1:J1859,SUMPRODUCT(MAX(ROW(E$1:E1859)*(E1860=E$1:E1859)))))</f>
        <v> </v>
      </c>
      <c r="L1860" s="26"/>
    </row>
    <row r="1861" spans="1:12">
      <c r="A1861" s="20" t="s">
        <v>776</v>
      </c>
      <c r="E1861" s="21">
        <f>IF(D1861="?OLD","!!!","")</f>
        <v/>
      </c>
      <c r="F1861" s="22" t="str">
        <f>IF(OR(E1861="",E1861="!!!"),"",IF(NOT(ISNA(VLOOKUP(E1861,E$1:E1860,1,FALSE()))),"OLD",IF(AND(E1861&lt;&gt;"",E1861&lt;&gt;"!!!"),"NEW","")))</f>
        <v> </v>
      </c>
      <c r="G1861" s="23" t="str">
        <f>IF(OR(E1861="",E1861="!!!"),"",IF(OR(J1861=0,AND(J1861=1,K1861=1),AND(J1861=1,I1861="SBJ"),AND(J1861=1,I1861=0)),"?IN_FOCUS",IF(J1861&lt;=2,"?ACTIVATED",IF(J1861&lt;&gt;"","?FAMILIAR",IF(F1861="NEW",IF(ISNA(VLOOKUP(E1861,#REF!,1,FALSE())),"?TYPE_IDENTIFIABLE","?REFERENTIAL"),"_")))))</f>
        <v> </v>
      </c>
      <c r="H1861" s="24" t="str">
        <f>IF(J1861&lt;&gt;1,"",IF(I1861="SBJ","CB","?"))</f>
        <v> </v>
      </c>
      <c r="I1861" s="25" t="str">
        <f>IF(OR(E1861="",E1861="!!!",F1861="NEW"),"",INDEX(B1860:B$2,-1+SUMPRODUCT(MAX(ROW(E1860:E$2)*(E1861=E1860:E$2)))))</f>
        <v> </v>
      </c>
      <c r="J1861" s="25" t="str">
        <f>IF(OR(E1861="",E1861="!!!",F1861="NEW"),"",COUNTBLANK(OFFSET(A$1,,,SUMPRODUCT(MAX(ROW(E$2:E1861)*(E1861=E$2:E1861)))))-COUNTBLANK(OFFSET(A$1,,,SUMPRODUCT(MAX(ROW(E$1:E1860)*(E2=E$1:E1860))))))</f>
        <v> </v>
      </c>
      <c r="K1861" s="25" t="str">
        <f>IF(OR(E1861="",E1861="!!!",F1861="NEW"),"",INDEX(J$1:J1860,SUMPRODUCT(MAX(ROW(E$1:E1860)*(E1861=E$1:E1860)))))</f>
        <v> </v>
      </c>
      <c r="L1861" s="26"/>
    </row>
    <row r="1862" spans="1:12">
      <c r="A1862" s="20" t="s">
        <v>777</v>
      </c>
      <c r="B1862" s="27" t="s">
        <v>272</v>
      </c>
      <c r="C1862" s="27" t="s">
        <v>267</v>
      </c>
      <c r="D1862" s="27" t="s">
        <v>244</v>
      </c>
      <c r="E1862" s="21">
        <f>IF(D1862="?OLD","!!!","")</f>
        <v/>
      </c>
      <c r="F1862" s="22" t="str">
        <f>IF(OR(E1862="",E1862="!!!"),"",IF(NOT(ISNA(VLOOKUP(E1862,E$1:E1861,1,FALSE()))),"OLD",IF(AND(E1862&lt;&gt;"",E1862&lt;&gt;"!!!"),"NEW","")))</f>
        <v> </v>
      </c>
      <c r="G1862" s="23" t="str">
        <f>IF(OR(E1862="",E1862="!!!"),"",IF(OR(J1862=0,AND(J1862=1,K1862=1),AND(J1862=1,I1862="SBJ"),AND(J1862=1,I1862=0)),"?IN_FOCUS",IF(J1862&lt;=2,"?ACTIVATED",IF(J1862&lt;&gt;"","?FAMILIAR",IF(F1862="NEW",IF(ISNA(VLOOKUP(E1862,#REF!,1,FALSE())),"?TYPE_IDENTIFIABLE","?REFERENTIAL"),"_")))))</f>
        <v> </v>
      </c>
      <c r="H1862" s="24" t="str">
        <f>IF(J1862&lt;&gt;1,"",IF(I1862="SBJ","CB","?"))</f>
        <v> </v>
      </c>
      <c r="I1862" s="25" t="str">
        <f>IF(OR(E1862="",E1862="!!!",F1862="NEW"),"",INDEX(B1861:B$2,-1+SUMPRODUCT(MAX(ROW(E1861:E$2)*(E1862=E1861:E$2)))))</f>
        <v> </v>
      </c>
      <c r="J1862" s="25" t="str">
        <f>IF(OR(E1862="",E1862="!!!",F1862="NEW"),"",COUNTBLANK(OFFSET(A$1,,,SUMPRODUCT(MAX(ROW(E$2:E1862)*(E1862=E$2:E1862)))))-COUNTBLANK(OFFSET(A$1,,,SUMPRODUCT(MAX(ROW(E$1:E1861)*(E2=E$1:E1861))))))</f>
        <v> </v>
      </c>
      <c r="K1862" s="25" t="str">
        <f>IF(OR(E1862="",E1862="!!!",F1862="NEW"),"",INDEX(J$1:J1861,SUMPRODUCT(MAX(ROW(E$1:E1861)*(E1862=E$1:E1861)))))</f>
        <v> </v>
      </c>
      <c r="L1862" s="26"/>
    </row>
    <row r="1863" spans="1:12">
      <c r="A1863" s="20" t="s">
        <v>305</v>
      </c>
      <c r="E1863" s="21">
        <f>IF(D1863="?OLD","!!!","")</f>
        <v/>
      </c>
      <c r="F1863" s="22" t="str">
        <f>IF(OR(E1863="",E1863="!!!"),"",IF(NOT(ISNA(VLOOKUP(E1863,E$1:E1862,1,FALSE()))),"OLD",IF(AND(E1863&lt;&gt;"",E1863&lt;&gt;"!!!"),"NEW","")))</f>
        <v> </v>
      </c>
      <c r="G1863" s="23" t="str">
        <f>IF(OR(E1863="",E1863="!!!"),"",IF(OR(J1863=0,AND(J1863=1,K1863=1),AND(J1863=1,I1863="SBJ"),AND(J1863=1,I1863=0)),"?IN_FOCUS",IF(J1863&lt;=2,"?ACTIVATED",IF(J1863&lt;&gt;"","?FAMILIAR",IF(F1863="NEW",IF(ISNA(VLOOKUP(E1863,#REF!,1,FALSE())),"?TYPE_IDENTIFIABLE","?REFERENTIAL"),"_")))))</f>
        <v> </v>
      </c>
      <c r="H1863" s="24" t="str">
        <f>IF(J1863&lt;&gt;1,"",IF(I1863="SBJ","CB","?"))</f>
        <v> </v>
      </c>
      <c r="I1863" s="25" t="str">
        <f>IF(OR(E1863="",E1863="!!!",F1863="NEW"),"",INDEX(B1862:B$2,-1+SUMPRODUCT(MAX(ROW(E1862:E$2)*(E1863=E1862:E$2)))))</f>
        <v> </v>
      </c>
      <c r="J1863" s="25" t="str">
        <f>IF(OR(E1863="",E1863="!!!",F1863="NEW"),"",COUNTBLANK(OFFSET(A$1,,,SUMPRODUCT(MAX(ROW(E$2:E1863)*(E1863=E$2:E1863)))))-COUNTBLANK(OFFSET(A$1,,,SUMPRODUCT(MAX(ROW(E$1:E1862)*(E2=E$1:E1862))))))</f>
        <v> </v>
      </c>
      <c r="K1863" s="25" t="str">
        <f>IF(OR(E1863="",E1863="!!!",F1863="NEW"),"",INDEX(J$1:J1862,SUMPRODUCT(MAX(ROW(E$1:E1862)*(E1863=E$1:E1862)))))</f>
        <v> </v>
      </c>
      <c r="L1863" s="26"/>
    </row>
    <row r="1864" spans="1:12">
      <c r="A1864" s="20" t="s">
        <v>314</v>
      </c>
      <c r="E1864" s="21">
        <f>IF(D1864="?OLD","!!!","")</f>
        <v/>
      </c>
      <c r="F1864" s="22" t="str">
        <f>IF(OR(E1864="",E1864="!!!"),"",IF(NOT(ISNA(VLOOKUP(E1864,E$1:E1863,1,FALSE()))),"OLD",IF(AND(E1864&lt;&gt;"",E1864&lt;&gt;"!!!"),"NEW","")))</f>
        <v> </v>
      </c>
      <c r="G1864" s="23" t="str">
        <f>IF(OR(E1864="",E1864="!!!"),"",IF(OR(J1864=0,AND(J1864=1,K1864=1),AND(J1864=1,I1864="SBJ"),AND(J1864=1,I1864=0)),"?IN_FOCUS",IF(J1864&lt;=2,"?ACTIVATED",IF(J1864&lt;&gt;"","?FAMILIAR",IF(F1864="NEW",IF(ISNA(VLOOKUP(E1864,#REF!,1,FALSE())),"?TYPE_IDENTIFIABLE","?REFERENTIAL"),"_")))))</f>
        <v> </v>
      </c>
      <c r="H1864" s="24" t="str">
        <f>IF(J1864&lt;&gt;1,"",IF(I1864="SBJ","CB","?"))</f>
        <v> </v>
      </c>
      <c r="I1864" s="25" t="str">
        <f>IF(OR(E1864="",E1864="!!!",F1864="NEW"),"",INDEX(B1863:B$2,-1+SUMPRODUCT(MAX(ROW(E1863:E$2)*(E1864=E1863:E$2)))))</f>
        <v> </v>
      </c>
      <c r="J1864" s="25" t="str">
        <f>IF(OR(E1864="",E1864="!!!",F1864="NEW"),"",COUNTBLANK(OFFSET(A$1,,,SUMPRODUCT(MAX(ROW(E$2:E1864)*(E1864=E$2:E1864)))))-COUNTBLANK(OFFSET(A$1,,,SUMPRODUCT(MAX(ROW(E$1:E1863)*(E2=E$1:E1863))))))</f>
        <v> </v>
      </c>
      <c r="K1864" s="25" t="str">
        <f>IF(OR(E1864="",E1864="!!!",F1864="NEW"),"",INDEX(J$1:J1863,SUMPRODUCT(MAX(ROW(E$1:E1863)*(E1864=E$1:E1863)))))</f>
        <v> </v>
      </c>
      <c r="L1864" s="26"/>
    </row>
    <row r="1865" spans="1:12">
      <c r="A1865" s="20" t="s">
        <v>371</v>
      </c>
      <c r="B1865" s="27" t="s">
        <v>295</v>
      </c>
      <c r="C1865" s="27" t="s">
        <v>256</v>
      </c>
      <c r="D1865" s="27" t="s">
        <v>244</v>
      </c>
      <c r="E1865" s="21">
        <f>IF(D1865="?OLD","!!!","")</f>
        <v/>
      </c>
      <c r="F1865" s="22" t="str">
        <f>IF(OR(E1865="",E1865="!!!"),"",IF(NOT(ISNA(VLOOKUP(E1865,E$1:E1864,1,FALSE()))),"OLD",IF(AND(E1865&lt;&gt;"",E1865&lt;&gt;"!!!"),"NEW","")))</f>
        <v> </v>
      </c>
      <c r="G1865" s="23" t="str">
        <f>IF(OR(E1865="",E1865="!!!"),"",IF(OR(J1865=0,AND(J1865=1,K1865=1),AND(J1865=1,I1865="SBJ"),AND(J1865=1,I1865=0)),"?IN_FOCUS",IF(J1865&lt;=2,"?ACTIVATED",IF(J1865&lt;&gt;"","?FAMILIAR",IF(F1865="NEW",IF(ISNA(VLOOKUP(E1865,#REF!,1,FALSE())),"?TYPE_IDENTIFIABLE","?REFERENTIAL"),"_")))))</f>
        <v> </v>
      </c>
      <c r="H1865" s="24" t="str">
        <f>IF(J1865&lt;&gt;1,"",IF(I1865="SBJ","CB","?"))</f>
        <v> </v>
      </c>
      <c r="I1865" s="25" t="str">
        <f>IF(OR(E1865="",E1865="!!!",F1865="NEW"),"",INDEX(B1864:B$2,-1+SUMPRODUCT(MAX(ROW(E1864:E$2)*(E1865=E1864:E$2)))))</f>
        <v> </v>
      </c>
      <c r="J1865" s="25" t="str">
        <f>IF(OR(E1865="",E1865="!!!",F1865="NEW"),"",COUNTBLANK(OFFSET(A$1,,,SUMPRODUCT(MAX(ROW(E$2:E1865)*(E1865=E$2:E1865)))))-COUNTBLANK(OFFSET(A$1,,,SUMPRODUCT(MAX(ROW(E$1:E1864)*(E2=E$1:E1864))))))</f>
        <v> </v>
      </c>
      <c r="K1865" s="25" t="str">
        <f>IF(OR(E1865="",E1865="!!!",F1865="NEW"),"",INDEX(J$1:J1864,SUMPRODUCT(MAX(ROW(E$1:E1864)*(E1865=E$1:E1864)))))</f>
        <v> </v>
      </c>
      <c r="L1865" s="26"/>
    </row>
    <row r="1866" spans="1:12">
      <c r="A1866" s="20" t="s">
        <v>442</v>
      </c>
      <c r="E1866" s="21">
        <f>IF(D1866="?OLD","!!!","")</f>
        <v/>
      </c>
      <c r="F1866" s="22" t="str">
        <f>IF(OR(E1866="",E1866="!!!"),"",IF(NOT(ISNA(VLOOKUP(E1866,E$1:E1865,1,FALSE()))),"OLD",IF(AND(E1866&lt;&gt;"",E1866&lt;&gt;"!!!"),"NEW","")))</f>
        <v> </v>
      </c>
      <c r="G1866" s="23" t="str">
        <f>IF(OR(E1866="",E1866="!!!"),"",IF(OR(J1866=0,AND(J1866=1,K1866=1),AND(J1866=1,I1866="SBJ"),AND(J1866=1,I1866=0)),"?IN_FOCUS",IF(J1866&lt;=2,"?ACTIVATED",IF(J1866&lt;&gt;"","?FAMILIAR",IF(F1866="NEW",IF(ISNA(VLOOKUP(E1866,#REF!,1,FALSE())),"?TYPE_IDENTIFIABLE","?REFERENTIAL"),"_")))))</f>
        <v> </v>
      </c>
      <c r="H1866" s="24" t="str">
        <f>IF(J1866&lt;&gt;1,"",IF(I1866="SBJ","CB","?"))</f>
        <v> </v>
      </c>
      <c r="I1866" s="25" t="str">
        <f>IF(OR(E1866="",E1866="!!!",F1866="NEW"),"",INDEX(B1865:B$2,-1+SUMPRODUCT(MAX(ROW(E1865:E$2)*(E1866=E1865:E$2)))))</f>
        <v> </v>
      </c>
      <c r="J1866" s="25" t="str">
        <f>IF(OR(E1866="",E1866="!!!",F1866="NEW"),"",COUNTBLANK(OFFSET(A$1,,,SUMPRODUCT(MAX(ROW(E$2:E1866)*(E1866=E$2:E1866)))))-COUNTBLANK(OFFSET(A$1,,,SUMPRODUCT(MAX(ROW(E$1:E1865)*(E2=E$1:E1865))))))</f>
        <v> </v>
      </c>
      <c r="K1866" s="25" t="str">
        <f>IF(OR(E1866="",E1866="!!!",F1866="NEW"),"",INDEX(J$1:J1865,SUMPRODUCT(MAX(ROW(E$1:E1865)*(E1866=E$1:E1865)))))</f>
        <v> </v>
      </c>
      <c r="L1866" s="26"/>
    </row>
    <row r="1867" spans="1:12">
      <c r="A1867" s="20" t="s">
        <v>936</v>
      </c>
      <c r="E1867" s="21">
        <f>IF(D1867="?OLD","!!!","")</f>
        <v/>
      </c>
      <c r="F1867" s="22" t="str">
        <f>IF(OR(E1867="",E1867="!!!"),"",IF(NOT(ISNA(VLOOKUP(E1867,E$1:E1866,1,FALSE()))),"OLD",IF(AND(E1867&lt;&gt;"",E1867&lt;&gt;"!!!"),"NEW","")))</f>
        <v> </v>
      </c>
      <c r="G1867" s="23" t="str">
        <f>IF(OR(E1867="",E1867="!!!"),"",IF(OR(J1867=0,AND(J1867=1,K1867=1),AND(J1867=1,I1867="SBJ"),AND(J1867=1,I1867=0)),"?IN_FOCUS",IF(J1867&lt;=2,"?ACTIVATED",IF(J1867&lt;&gt;"","?FAMILIAR",IF(F1867="NEW",IF(ISNA(VLOOKUP(E1867,#REF!,1,FALSE())),"?TYPE_IDENTIFIABLE","?REFERENTIAL"),"_")))))</f>
        <v> </v>
      </c>
      <c r="H1867" s="24" t="str">
        <f>IF(J1867&lt;&gt;1,"",IF(I1867="SBJ","CB","?"))</f>
        <v> </v>
      </c>
      <c r="I1867" s="25" t="str">
        <f>IF(OR(E1867="",E1867="!!!",F1867="NEW"),"",INDEX(B1866:B$2,-1+SUMPRODUCT(MAX(ROW(E1866:E$2)*(E1867=E1866:E$2)))))</f>
        <v> </v>
      </c>
      <c r="J1867" s="25" t="str">
        <f>IF(OR(E1867="",E1867="!!!",F1867="NEW"),"",COUNTBLANK(OFFSET(A$1,,,SUMPRODUCT(MAX(ROW(E$2:E1867)*(E1867=E$2:E1867)))))-COUNTBLANK(OFFSET(A$1,,,SUMPRODUCT(MAX(ROW(E$1:E1866)*(E2=E$1:E1866))))))</f>
        <v> </v>
      </c>
      <c r="K1867" s="25" t="str">
        <f>IF(OR(E1867="",E1867="!!!",F1867="NEW"),"",INDEX(J$1:J1866,SUMPRODUCT(MAX(ROW(E$1:E1866)*(E1867=E$1:E1866)))))</f>
        <v> </v>
      </c>
      <c r="L1867" s="26"/>
    </row>
    <row r="1868" spans="1:12">
      <c r="A1868" s="20" t="s">
        <v>248</v>
      </c>
      <c r="E1868" s="21">
        <f>IF(D1868="?OLD","!!!","")</f>
        <v/>
      </c>
      <c r="F1868" s="22" t="str">
        <f>IF(OR(E1868="",E1868="!!!"),"",IF(NOT(ISNA(VLOOKUP(E1868,E$1:E1867,1,FALSE()))),"OLD",IF(AND(E1868&lt;&gt;"",E1868&lt;&gt;"!!!"),"NEW","")))</f>
        <v> </v>
      </c>
      <c r="G1868" s="23" t="str">
        <f>IF(OR(E1868="",E1868="!!!"),"",IF(OR(J1868=0,AND(J1868=1,K1868=1),AND(J1868=1,I1868="SBJ"),AND(J1868=1,I1868=0)),"?IN_FOCUS",IF(J1868&lt;=2,"?ACTIVATED",IF(J1868&lt;&gt;"","?FAMILIAR",IF(F1868="NEW",IF(ISNA(VLOOKUP(E1868,#REF!,1,FALSE())),"?TYPE_IDENTIFIABLE","?REFERENTIAL"),"_")))))</f>
        <v> </v>
      </c>
      <c r="H1868" s="24" t="str">
        <f>IF(J1868&lt;&gt;1,"",IF(I1868="SBJ","CB","?"))</f>
        <v> </v>
      </c>
      <c r="I1868" s="25" t="str">
        <f>IF(OR(E1868="",E1868="!!!",F1868="NEW"),"",INDEX(B1867:B$2,-1+SUMPRODUCT(MAX(ROW(E1867:E$2)*(E1868=E1867:E$2)))))</f>
        <v> </v>
      </c>
      <c r="J1868" s="25" t="str">
        <f>IF(OR(E1868="",E1868="!!!",F1868="NEW"),"",COUNTBLANK(OFFSET(A$1,,,SUMPRODUCT(MAX(ROW(E$2:E1868)*(E1868=E$2:E1868)))))-COUNTBLANK(OFFSET(A$1,,,SUMPRODUCT(MAX(ROW(E$1:E1867)*(E2=E$1:E1867))))))</f>
        <v> </v>
      </c>
      <c r="K1868" s="25" t="str">
        <f>IF(OR(E1868="",E1868="!!!",F1868="NEW"),"",INDEX(J$1:J1867,SUMPRODUCT(MAX(ROW(E$1:E1867)*(E1868=E$1:E1867)))))</f>
        <v> </v>
      </c>
      <c r="L1868" s="26"/>
    </row>
    <row r="1869" spans="1:12">
      <c r="A1869" s="20" t="s">
        <v>937</v>
      </c>
      <c r="E1869" s="21">
        <f>IF(D1869="?OLD","!!!","")</f>
        <v/>
      </c>
      <c r="F1869" s="22" t="str">
        <f>IF(OR(E1869="",E1869="!!!"),"",IF(NOT(ISNA(VLOOKUP(E1869,E$1:E1868,1,FALSE()))),"OLD",IF(AND(E1869&lt;&gt;"",E1869&lt;&gt;"!!!"),"NEW","")))</f>
        <v> </v>
      </c>
      <c r="G1869" s="23" t="str">
        <f>IF(OR(E1869="",E1869="!!!"),"",IF(OR(J1869=0,AND(J1869=1,K1869=1),AND(J1869=1,I1869="SBJ"),AND(J1869=1,I1869=0)),"?IN_FOCUS",IF(J1869&lt;=2,"?ACTIVATED",IF(J1869&lt;&gt;"","?FAMILIAR",IF(F1869="NEW",IF(ISNA(VLOOKUP(E1869,#REF!,1,FALSE())),"?TYPE_IDENTIFIABLE","?REFERENTIAL"),"_")))))</f>
        <v> </v>
      </c>
      <c r="H1869" s="24" t="str">
        <f>IF(J1869&lt;&gt;1,"",IF(I1869="SBJ","CB","?"))</f>
        <v> </v>
      </c>
      <c r="I1869" s="25" t="str">
        <f>IF(OR(E1869="",E1869="!!!",F1869="NEW"),"",INDEX(B1868:B$2,-1+SUMPRODUCT(MAX(ROW(E1868:E$2)*(E1869=E1868:E$2)))))</f>
        <v> </v>
      </c>
      <c r="J1869" s="25" t="str">
        <f>IF(OR(E1869="",E1869="!!!",F1869="NEW"),"",COUNTBLANK(OFFSET(A$1,,,SUMPRODUCT(MAX(ROW(E$2:E1869)*(E1869=E$2:E1869)))))-COUNTBLANK(OFFSET(A$1,,,SUMPRODUCT(MAX(ROW(E$1:E1868)*(E2=E$1:E1868))))))</f>
        <v> </v>
      </c>
      <c r="K1869" s="25" t="str">
        <f>IF(OR(E1869="",E1869="!!!",F1869="NEW"),"",INDEX(J$1:J1868,SUMPRODUCT(MAX(ROW(E$1:E1868)*(E1869=E$1:E1868)))))</f>
        <v> </v>
      </c>
      <c r="L1869" s="26"/>
    </row>
    <row r="1870" spans="1:12">
      <c r="A1870" s="20" t="s">
        <v>660</v>
      </c>
      <c r="B1870" s="27" t="s">
        <v>295</v>
      </c>
      <c r="C1870" s="27" t="s">
        <v>252</v>
      </c>
      <c r="D1870" s="27" t="s">
        <v>244</v>
      </c>
      <c r="E1870" s="21">
        <f>IF(D1870="?OLD","!!!","")</f>
        <v/>
      </c>
      <c r="F1870" s="22" t="str">
        <f>IF(OR(E1870="",E1870="!!!"),"",IF(NOT(ISNA(VLOOKUP(E1870,E$1:E1869,1,FALSE()))),"OLD",IF(AND(E1870&lt;&gt;"",E1870&lt;&gt;"!!!"),"NEW","")))</f>
        <v> </v>
      </c>
      <c r="G1870" s="23" t="str">
        <f>IF(OR(E1870="",E1870="!!!"),"",IF(OR(J1870=0,AND(J1870=1,K1870=1),AND(J1870=1,I1870="SBJ"),AND(J1870=1,I1870=0)),"?IN_FOCUS",IF(J1870&lt;=2,"?ACTIVATED",IF(J1870&lt;&gt;"","?FAMILIAR",IF(F1870="NEW",IF(ISNA(VLOOKUP(E1870,#REF!,1,FALSE())),"?TYPE_IDENTIFIABLE","?REFERENTIAL"),"_")))))</f>
        <v> </v>
      </c>
      <c r="H1870" s="24" t="str">
        <f>IF(J1870&lt;&gt;1,"",IF(I1870="SBJ","CB","?"))</f>
        <v> </v>
      </c>
      <c r="I1870" s="25" t="str">
        <f>IF(OR(E1870="",E1870="!!!",F1870="NEW"),"",INDEX(B1869:B$2,-1+SUMPRODUCT(MAX(ROW(E1869:E$2)*(E1870=E1869:E$2)))))</f>
        <v> </v>
      </c>
      <c r="J1870" s="25" t="str">
        <f>IF(OR(E1870="",E1870="!!!",F1870="NEW"),"",COUNTBLANK(OFFSET(A$1,,,SUMPRODUCT(MAX(ROW(E$2:E1870)*(E1870=E$2:E1870)))))-COUNTBLANK(OFFSET(A$1,,,SUMPRODUCT(MAX(ROW(E$1:E1869)*(E2=E$1:E1869))))))</f>
        <v> </v>
      </c>
      <c r="K1870" s="25" t="str">
        <f>IF(OR(E1870="",E1870="!!!",F1870="NEW"),"",INDEX(J$1:J1869,SUMPRODUCT(MAX(ROW(E$1:E1869)*(E1870=E$1:E1869)))))</f>
        <v> </v>
      </c>
      <c r="L1870" s="26"/>
    </row>
    <row r="1871" spans="1:12">
      <c r="A1871" s="20" t="s">
        <v>391</v>
      </c>
      <c r="E1871" s="21">
        <f>IF(D1871="?OLD","!!!","")</f>
        <v/>
      </c>
      <c r="F1871" s="22" t="str">
        <f>IF(OR(E1871="",E1871="!!!"),"",IF(NOT(ISNA(VLOOKUP(E1871,E$1:E1870,1,FALSE()))),"OLD",IF(AND(E1871&lt;&gt;"",E1871&lt;&gt;"!!!"),"NEW","")))</f>
        <v> </v>
      </c>
      <c r="G1871" s="23" t="str">
        <f>IF(OR(E1871="",E1871="!!!"),"",IF(OR(J1871=0,AND(J1871=1,K1871=1),AND(J1871=1,I1871="SBJ"),AND(J1871=1,I1871=0)),"?IN_FOCUS",IF(J1871&lt;=2,"?ACTIVATED",IF(J1871&lt;&gt;"","?FAMILIAR",IF(F1871="NEW",IF(ISNA(VLOOKUP(E1871,#REF!,1,FALSE())),"?TYPE_IDENTIFIABLE","?REFERENTIAL"),"_")))))</f>
        <v> </v>
      </c>
      <c r="H1871" s="24" t="str">
        <f>IF(J1871&lt;&gt;1,"",IF(I1871="SBJ","CB","?"))</f>
        <v> </v>
      </c>
      <c r="I1871" s="25" t="str">
        <f>IF(OR(E1871="",E1871="!!!",F1871="NEW"),"",INDEX(B1870:B$2,-1+SUMPRODUCT(MAX(ROW(E1870:E$2)*(E1871=E1870:E$2)))))</f>
        <v> </v>
      </c>
      <c r="J1871" s="25" t="str">
        <f>IF(OR(E1871="",E1871="!!!",F1871="NEW"),"",COUNTBLANK(OFFSET(A$1,,,SUMPRODUCT(MAX(ROW(E$2:E1871)*(E1871=E$2:E1871)))))-COUNTBLANK(OFFSET(A$1,,,SUMPRODUCT(MAX(ROW(E$1:E1870)*(E2=E$1:E1870))))))</f>
        <v> </v>
      </c>
      <c r="K1871" s="25" t="str">
        <f>IF(OR(E1871="",E1871="!!!",F1871="NEW"),"",INDEX(J$1:J1870,SUMPRODUCT(MAX(ROW(E$1:E1870)*(E1871=E$1:E1870)))))</f>
        <v> </v>
      </c>
      <c r="L1871" s="26"/>
    </row>
    <row r="1872" spans="1:12">
      <c r="A1872" s="20" t="s">
        <v>790</v>
      </c>
      <c r="E1872" s="21">
        <f>IF(D1872="?OLD","!!!","")</f>
        <v/>
      </c>
      <c r="F1872" s="22" t="str">
        <f>IF(OR(E1872="",E1872="!!!"),"",IF(NOT(ISNA(VLOOKUP(E1872,E$1:E1871,1,FALSE()))),"OLD",IF(AND(E1872&lt;&gt;"",E1872&lt;&gt;"!!!"),"NEW","")))</f>
        <v> </v>
      </c>
      <c r="G1872" s="23" t="str">
        <f>IF(OR(E1872="",E1872="!!!"),"",IF(OR(J1872=0,AND(J1872=1,K1872=1),AND(J1872=1,I1872="SBJ"),AND(J1872=1,I1872=0)),"?IN_FOCUS",IF(J1872&lt;=2,"?ACTIVATED",IF(J1872&lt;&gt;"","?FAMILIAR",IF(F1872="NEW",IF(ISNA(VLOOKUP(E1872,#REF!,1,FALSE())),"?TYPE_IDENTIFIABLE","?REFERENTIAL"),"_")))))</f>
        <v> </v>
      </c>
      <c r="H1872" s="24" t="str">
        <f>IF(J1872&lt;&gt;1,"",IF(I1872="SBJ","CB","?"))</f>
        <v> </v>
      </c>
      <c r="I1872" s="25" t="str">
        <f>IF(OR(E1872="",E1872="!!!",F1872="NEW"),"",INDEX(B1871:B$2,-1+SUMPRODUCT(MAX(ROW(E1871:E$2)*(E1872=E1871:E$2)))))</f>
        <v> </v>
      </c>
      <c r="J1872" s="25" t="str">
        <f>IF(OR(E1872="",E1872="!!!",F1872="NEW"),"",COUNTBLANK(OFFSET(A$1,,,SUMPRODUCT(MAX(ROW(E$2:E1872)*(E1872=E$2:E1872)))))-COUNTBLANK(OFFSET(A$1,,,SUMPRODUCT(MAX(ROW(E$1:E1871)*(E2=E$1:E1871))))))</f>
        <v> </v>
      </c>
      <c r="K1872" s="25" t="str">
        <f>IF(OR(E1872="",E1872="!!!",F1872="NEW"),"",INDEX(J$1:J1871,SUMPRODUCT(MAX(ROW(E$1:E1871)*(E1872=E$1:E1871)))))</f>
        <v> </v>
      </c>
      <c r="L1872" s="26"/>
    </row>
    <row r="1873" spans="1:12">
      <c r="A1873" s="20" t="s">
        <v>408</v>
      </c>
      <c r="E1873" s="21">
        <f>IF(D1873="?OLD","!!!","")</f>
        <v/>
      </c>
      <c r="F1873" s="22" t="str">
        <f>IF(OR(E1873="",E1873="!!!"),"",IF(NOT(ISNA(VLOOKUP(E1873,E$1:E1872,1,FALSE()))),"OLD",IF(AND(E1873&lt;&gt;"",E1873&lt;&gt;"!!!"),"NEW","")))</f>
        <v> </v>
      </c>
      <c r="G1873" s="23" t="str">
        <f>IF(OR(E1873="",E1873="!!!"),"",IF(OR(J1873=0,AND(J1873=1,K1873=1),AND(J1873=1,I1873="SBJ"),AND(J1873=1,I1873=0)),"?IN_FOCUS",IF(J1873&lt;=2,"?ACTIVATED",IF(J1873&lt;&gt;"","?FAMILIAR",IF(F1873="NEW",IF(ISNA(VLOOKUP(E1873,#REF!,1,FALSE())),"?TYPE_IDENTIFIABLE","?REFERENTIAL"),"_")))))</f>
        <v> </v>
      </c>
      <c r="H1873" s="24" t="str">
        <f>IF(J1873&lt;&gt;1,"",IF(I1873="SBJ","CB","?"))</f>
        <v> </v>
      </c>
      <c r="I1873" s="25" t="str">
        <f>IF(OR(E1873="",E1873="!!!",F1873="NEW"),"",INDEX(B1872:B$2,-1+SUMPRODUCT(MAX(ROW(E1872:E$2)*(E1873=E1872:E$2)))))</f>
        <v> </v>
      </c>
      <c r="J1873" s="25" t="str">
        <f>IF(OR(E1873="",E1873="!!!",F1873="NEW"),"",COUNTBLANK(OFFSET(A$1,,,SUMPRODUCT(MAX(ROW(E$2:E1873)*(E1873=E$2:E1873)))))-COUNTBLANK(OFFSET(A$1,,,SUMPRODUCT(MAX(ROW(E$1:E1872)*(E2=E$1:E1872))))))</f>
        <v> </v>
      </c>
      <c r="K1873" s="25" t="str">
        <f>IF(OR(E1873="",E1873="!!!",F1873="NEW"),"",INDEX(J$1:J1872,SUMPRODUCT(MAX(ROW(E$1:E1872)*(E1873=E$1:E1872)))))</f>
        <v> </v>
      </c>
      <c r="L1873" s="26"/>
    </row>
    <row r="1874" spans="1:12">
      <c r="A1874" s="20" t="s">
        <v>938</v>
      </c>
      <c r="E1874" s="21">
        <f>IF(D1874="?OLD","!!!","")</f>
        <v/>
      </c>
      <c r="F1874" s="22" t="str">
        <f>IF(OR(E1874="",E1874="!!!"),"",IF(NOT(ISNA(VLOOKUP(E1874,E$1:E1873,1,FALSE()))),"OLD",IF(AND(E1874&lt;&gt;"",E1874&lt;&gt;"!!!"),"NEW","")))</f>
        <v> </v>
      </c>
      <c r="G1874" s="23" t="str">
        <f>IF(OR(E1874="",E1874="!!!"),"",IF(OR(J1874=0,AND(J1874=1,K1874=1),AND(J1874=1,I1874="SBJ"),AND(J1874=1,I1874=0)),"?IN_FOCUS",IF(J1874&lt;=2,"?ACTIVATED",IF(J1874&lt;&gt;"","?FAMILIAR",IF(F1874="NEW",IF(ISNA(VLOOKUP(E1874,#REF!,1,FALSE())),"?TYPE_IDENTIFIABLE","?REFERENTIAL"),"_")))))</f>
        <v> </v>
      </c>
      <c r="H1874" s="24" t="str">
        <f>IF(J1874&lt;&gt;1,"",IF(I1874="SBJ","CB","?"))</f>
        <v> </v>
      </c>
      <c r="I1874" s="25" t="str">
        <f>IF(OR(E1874="",E1874="!!!",F1874="NEW"),"",INDEX(B1873:B$2,-1+SUMPRODUCT(MAX(ROW(E1873:E$2)*(E1874=E1873:E$2)))))</f>
        <v> </v>
      </c>
      <c r="J1874" s="25" t="str">
        <f>IF(OR(E1874="",E1874="!!!",F1874="NEW"),"",COUNTBLANK(OFFSET(A$1,,,SUMPRODUCT(MAX(ROW(E$2:E1874)*(E1874=E$2:E1874)))))-COUNTBLANK(OFFSET(A$1,,,SUMPRODUCT(MAX(ROW(E$1:E1873)*(E2=E$1:E1873))))))</f>
        <v> </v>
      </c>
      <c r="K1874" s="25" t="str">
        <f>IF(OR(E1874="",E1874="!!!",F1874="NEW"),"",INDEX(J$1:J1873,SUMPRODUCT(MAX(ROW(E$1:E1873)*(E1874=E$1:E1873)))))</f>
        <v> </v>
      </c>
      <c r="L1874" s="26"/>
    </row>
    <row r="1875" spans="1:12">
      <c r="A1875" s="20" t="s">
        <v>939</v>
      </c>
      <c r="B1875" s="27" t="s">
        <v>237</v>
      </c>
      <c r="C1875" s="27" t="s">
        <v>281</v>
      </c>
      <c r="E1875" s="21">
        <f>IF(D1875="?OLD","!!!","")</f>
        <v/>
      </c>
      <c r="F1875" s="22" t="str">
        <f>IF(OR(E1875="",E1875="!!!"),"",IF(NOT(ISNA(VLOOKUP(E1875,E$1:E1874,1,FALSE()))),"OLD",IF(AND(E1875&lt;&gt;"",E1875&lt;&gt;"!!!"),"NEW","")))</f>
        <v> </v>
      </c>
      <c r="G1875" s="23" t="str">
        <f>IF(OR(E1875="",E1875="!!!"),"",IF(OR(J1875=0,AND(J1875=1,K1875=1),AND(J1875=1,I1875="SBJ"),AND(J1875=1,I1875=0)),"?IN_FOCUS",IF(J1875&lt;=2,"?ACTIVATED",IF(J1875&lt;&gt;"","?FAMILIAR",IF(F1875="NEW",IF(ISNA(VLOOKUP(E1875,#REF!,1,FALSE())),"?TYPE_IDENTIFIABLE","?REFERENTIAL"),"_")))))</f>
        <v> </v>
      </c>
      <c r="H1875" s="24" t="str">
        <f>IF(J1875&lt;&gt;1,"",IF(I1875="SBJ","CB","?"))</f>
        <v> </v>
      </c>
      <c r="I1875" s="25" t="str">
        <f>IF(OR(E1875="",E1875="!!!",F1875="NEW"),"",INDEX(B1874:B$2,-1+SUMPRODUCT(MAX(ROW(E1874:E$2)*(E1875=E1874:E$2)))))</f>
        <v> </v>
      </c>
      <c r="J1875" s="25" t="str">
        <f>IF(OR(E1875="",E1875="!!!",F1875="NEW"),"",COUNTBLANK(OFFSET(A$1,,,SUMPRODUCT(MAX(ROW(E$2:E1875)*(E1875=E$2:E1875)))))-COUNTBLANK(OFFSET(A$1,,,SUMPRODUCT(MAX(ROW(E$1:E1874)*(E2=E$1:E1874))))))</f>
        <v> </v>
      </c>
      <c r="K1875" s="25" t="str">
        <f>IF(OR(E1875="",E1875="!!!",F1875="NEW"),"",INDEX(J$1:J1874,SUMPRODUCT(MAX(ROW(E$1:E1874)*(E1875=E$1:E1874)))))</f>
        <v> </v>
      </c>
      <c r="L1875" s="26"/>
    </row>
    <row r="1876" spans="1:12">
      <c r="A1876" s="20" t="s">
        <v>285</v>
      </c>
      <c r="E1876" s="21">
        <f>IF(D1876="?OLD","!!!","")</f>
        <v/>
      </c>
      <c r="F1876" s="22" t="str">
        <f>IF(OR(E1876="",E1876="!!!"),"",IF(NOT(ISNA(VLOOKUP(E1876,E$1:E1875,1,FALSE()))),"OLD",IF(AND(E1876&lt;&gt;"",E1876&lt;&gt;"!!!"),"NEW","")))</f>
        <v> </v>
      </c>
      <c r="G1876" s="23" t="str">
        <f>IF(OR(E1876="",E1876="!!!"),"",IF(OR(J1876=0,AND(J1876=1,K1876=1),AND(J1876=1,I1876="SBJ"),AND(J1876=1,I1876=0)),"?IN_FOCUS",IF(J1876&lt;=2,"?ACTIVATED",IF(J1876&lt;&gt;"","?FAMILIAR",IF(F1876="NEW",IF(ISNA(VLOOKUP(E1876,#REF!,1,FALSE())),"?TYPE_IDENTIFIABLE","?REFERENTIAL"),"_")))))</f>
        <v> </v>
      </c>
      <c r="H1876" s="24" t="str">
        <f>IF(J1876&lt;&gt;1,"",IF(I1876="SBJ","CB","?"))</f>
        <v> </v>
      </c>
      <c r="I1876" s="25" t="str">
        <f>IF(OR(E1876="",E1876="!!!",F1876="NEW"),"",INDEX(B1875:B$2,-1+SUMPRODUCT(MAX(ROW(E1875:E$2)*(E1876=E1875:E$2)))))</f>
        <v> </v>
      </c>
      <c r="J1876" s="25" t="str">
        <f>IF(OR(E1876="",E1876="!!!",F1876="NEW"),"",COUNTBLANK(OFFSET(A$1,,,SUMPRODUCT(MAX(ROW(E$2:E1876)*(E1876=E$2:E1876)))))-COUNTBLANK(OFFSET(A$1,,,SUMPRODUCT(MAX(ROW(E$1:E1875)*(E2=E$1:E1875))))))</f>
        <v> </v>
      </c>
      <c r="K1876" s="25" t="str">
        <f>IF(OR(E1876="",E1876="!!!",F1876="NEW"),"",INDEX(J$1:J1875,SUMPRODUCT(MAX(ROW(E$1:E1875)*(E1876=E$1:E1875)))))</f>
        <v> </v>
      </c>
      <c r="L1876" s="26"/>
    </row>
    <row r="1877" spans="1:12">
      <c r="A1877" s="20"/>
    </row>
    <row r="1878" spans="1:12">
      <c r="A1878" s="20" t="s">
        <v>940</v>
      </c>
    </row>
    <row r="1879" spans="1:12">
      <c r="A1879" s="20" t="s">
        <v>383</v>
      </c>
      <c r="E1879" s="21">
        <f>IF(D1879="?OLD","!!!","")</f>
        <v/>
      </c>
      <c r="F1879" s="22" t="str">
        <f>IF(OR(E1879="",E1879="!!!"),"",IF(NOT(ISNA(VLOOKUP(E1879,E$1:E1878,1,FALSE()))),"OLD",IF(AND(E1879&lt;&gt;"",E1879&lt;&gt;"!!!"),"NEW","")))</f>
        <v> </v>
      </c>
      <c r="G1879" s="23" t="str">
        <f>IF(OR(E1879="",E1879="!!!"),"",IF(OR(J1879=0,AND(J1879=1,K1879=1),AND(J1879=1,I1879="SBJ"),AND(J1879=1,I1879=0)),"?IN_FOCUS",IF(J1879&lt;=2,"?ACTIVATED",IF(J1879&lt;&gt;"","?FAMILIAR",IF(F1879="NEW",IF(ISNA(VLOOKUP(E1879,#REF!,1,FALSE())),"?TYPE_IDENTIFIABLE","?REFERENTIAL"),"_")))))</f>
        <v> </v>
      </c>
      <c r="H1879" s="24" t="str">
        <f>IF(J1879&lt;&gt;1,"",IF(I1879="SBJ","CB","?"))</f>
        <v> </v>
      </c>
      <c r="I1879" s="25" t="str">
        <f>IF(OR(E1879="",E1879="!!!",F1879="NEW"),"",INDEX(B1878:B$2,-1+SUMPRODUCT(MAX(ROW(E1878:E$2)*(E1879=E1878:E$2)))))</f>
        <v> </v>
      </c>
      <c r="J1879" s="25" t="str">
        <f>IF(OR(E1879="",E1879="!!!",F1879="NEW"),"",COUNTBLANK(OFFSET(A$1,,,SUMPRODUCT(MAX(ROW(E$2:E1879)*(E1879=E$2:E1879)))))-COUNTBLANK(OFFSET(A$1,,,SUMPRODUCT(MAX(ROW(E$1:E1878)*(E2=E$1:E1878))))))</f>
        <v> </v>
      </c>
      <c r="K1879" s="25" t="str">
        <f>IF(OR(E1879="",E1879="!!!",F1879="NEW"),"",INDEX(J$1:J1878,SUMPRODUCT(MAX(ROW(E$1:E1878)*(E1879=E$1:E1878)))))</f>
        <v> </v>
      </c>
      <c r="L1879" s="26"/>
    </row>
    <row r="1880" spans="1:12">
      <c r="A1880" s="20" t="s">
        <v>941</v>
      </c>
      <c r="E1880" s="21">
        <f>IF(D1880="?OLD","!!!","")</f>
        <v/>
      </c>
      <c r="F1880" s="22" t="str">
        <f>IF(OR(E1880="",E1880="!!!"),"",IF(NOT(ISNA(VLOOKUP(E1880,E$1:E1879,1,FALSE()))),"OLD",IF(AND(E1880&lt;&gt;"",E1880&lt;&gt;"!!!"),"NEW","")))</f>
        <v> </v>
      </c>
      <c r="G1880" s="23" t="str">
        <f>IF(OR(E1880="",E1880="!!!"),"",IF(OR(J1880=0,AND(J1880=1,K1880=1),AND(J1880=1,I1880="SBJ"),AND(J1880=1,I1880=0)),"?IN_FOCUS",IF(J1880&lt;=2,"?ACTIVATED",IF(J1880&lt;&gt;"","?FAMILIAR",IF(F1880="NEW",IF(ISNA(VLOOKUP(E1880,#REF!,1,FALSE())),"?TYPE_IDENTIFIABLE","?REFERENTIAL"),"_")))))</f>
        <v> </v>
      </c>
      <c r="H1880" s="24" t="str">
        <f>IF(J1880&lt;&gt;1,"",IF(I1880="SBJ","CB","?"))</f>
        <v> </v>
      </c>
      <c r="I1880" s="25" t="str">
        <f>IF(OR(E1880="",E1880="!!!",F1880="NEW"),"",INDEX(B1879:B$2,-1+SUMPRODUCT(MAX(ROW(E1879:E$2)*(E1880=E1879:E$2)))))</f>
        <v> </v>
      </c>
      <c r="J1880" s="25" t="str">
        <f>IF(OR(E1880="",E1880="!!!",F1880="NEW"),"",COUNTBLANK(OFFSET(A$1,,,SUMPRODUCT(MAX(ROW(E$2:E1880)*(E1880=E$2:E1880)))))-COUNTBLANK(OFFSET(A$1,,,SUMPRODUCT(MAX(ROW(E$1:E1879)*(E2=E$1:E1879))))))</f>
        <v> </v>
      </c>
      <c r="K1880" s="25" t="str">
        <f>IF(OR(E1880="",E1880="!!!",F1880="NEW"),"",INDEX(J$1:J1879,SUMPRODUCT(MAX(ROW(E$1:E1879)*(E1880=E$1:E1879)))))</f>
        <v> </v>
      </c>
      <c r="L1880" s="26"/>
    </row>
    <row r="1881" spans="1:12">
      <c r="A1881" s="20" t="s">
        <v>583</v>
      </c>
      <c r="B1881" s="27" t="s">
        <v>237</v>
      </c>
      <c r="C1881" s="27" t="s">
        <v>281</v>
      </c>
      <c r="E1881" s="21">
        <f>IF(D1881="?OLD","!!!","")</f>
        <v/>
      </c>
      <c r="F1881" s="22" t="str">
        <f>IF(OR(E1881="",E1881="!!!"),"",IF(NOT(ISNA(VLOOKUP(E1881,E$1:E1880,1,FALSE()))),"OLD",IF(AND(E1881&lt;&gt;"",E1881&lt;&gt;"!!!"),"NEW","")))</f>
        <v> </v>
      </c>
      <c r="G1881" s="23" t="str">
        <f>IF(OR(E1881="",E1881="!!!"),"",IF(OR(J1881=0,AND(J1881=1,K1881=1),AND(J1881=1,I1881="SBJ"),AND(J1881=1,I1881=0)),"?IN_FOCUS",IF(J1881&lt;=2,"?ACTIVATED",IF(J1881&lt;&gt;"","?FAMILIAR",IF(F1881="NEW",IF(ISNA(VLOOKUP(E1881,#REF!,1,FALSE())),"?TYPE_IDENTIFIABLE","?REFERENTIAL"),"_")))))</f>
        <v> </v>
      </c>
      <c r="H1881" s="24" t="str">
        <f>IF(J1881&lt;&gt;1,"",IF(I1881="SBJ","CB","?"))</f>
        <v> </v>
      </c>
      <c r="I1881" s="25" t="str">
        <f>IF(OR(E1881="",E1881="!!!",F1881="NEW"),"",INDEX(B1880:B$2,-1+SUMPRODUCT(MAX(ROW(E1880:E$2)*(E1881=E1880:E$2)))))</f>
        <v> </v>
      </c>
      <c r="J1881" s="25" t="str">
        <f>IF(OR(E1881="",E1881="!!!",F1881="NEW"),"",COUNTBLANK(OFFSET(A$1,,,SUMPRODUCT(MAX(ROW(E$2:E1881)*(E1881=E$2:E1881)))))-COUNTBLANK(OFFSET(A$1,,,SUMPRODUCT(MAX(ROW(E$1:E1880)*(E2=E$1:E1880))))))</f>
        <v> </v>
      </c>
      <c r="K1881" s="25" t="str">
        <f>IF(OR(E1881="",E1881="!!!",F1881="NEW"),"",INDEX(J$1:J1880,SUMPRODUCT(MAX(ROW(E$1:E1880)*(E1881=E$1:E1880)))))</f>
        <v> </v>
      </c>
      <c r="L1881" s="26"/>
    </row>
    <row r="1882" spans="1:12">
      <c r="A1882" s="20" t="s">
        <v>305</v>
      </c>
      <c r="E1882" s="21">
        <f>IF(D1882="?OLD","!!!","")</f>
        <v/>
      </c>
      <c r="F1882" s="22" t="str">
        <f>IF(OR(E1882="",E1882="!!!"),"",IF(NOT(ISNA(VLOOKUP(E1882,E$1:E1881,1,FALSE()))),"OLD",IF(AND(E1882&lt;&gt;"",E1882&lt;&gt;"!!!"),"NEW","")))</f>
        <v> </v>
      </c>
      <c r="G1882" s="23" t="str">
        <f>IF(OR(E1882="",E1882="!!!"),"",IF(OR(J1882=0,AND(J1882=1,K1882=1),AND(J1882=1,I1882="SBJ"),AND(J1882=1,I1882=0)),"?IN_FOCUS",IF(J1882&lt;=2,"?ACTIVATED",IF(J1882&lt;&gt;"","?FAMILIAR",IF(F1882="NEW",IF(ISNA(VLOOKUP(E1882,#REF!,1,FALSE())),"?TYPE_IDENTIFIABLE","?REFERENTIAL"),"_")))))</f>
        <v> </v>
      </c>
      <c r="H1882" s="24" t="str">
        <f>IF(J1882&lt;&gt;1,"",IF(I1882="SBJ","CB","?"))</f>
        <v> </v>
      </c>
      <c r="I1882" s="25" t="str">
        <f>IF(OR(E1882="",E1882="!!!",F1882="NEW"),"",INDEX(B1881:B$2,-1+SUMPRODUCT(MAX(ROW(E1881:E$2)*(E1882=E1881:E$2)))))</f>
        <v> </v>
      </c>
      <c r="J1882" s="25" t="str">
        <f>IF(OR(E1882="",E1882="!!!",F1882="NEW"),"",COUNTBLANK(OFFSET(A$1,,,SUMPRODUCT(MAX(ROW(E$2:E1882)*(E1882=E$2:E1882)))))-COUNTBLANK(OFFSET(A$1,,,SUMPRODUCT(MAX(ROW(E$1:E1881)*(E2=E$1:E1881))))))</f>
        <v> </v>
      </c>
      <c r="K1882" s="25" t="str">
        <f>IF(OR(E1882="",E1882="!!!",F1882="NEW"),"",INDEX(J$1:J1881,SUMPRODUCT(MAX(ROW(E$1:E1881)*(E1882=E$1:E1881)))))</f>
        <v> </v>
      </c>
      <c r="L1882" s="26"/>
    </row>
    <row r="1883" spans="1:12">
      <c r="A1883" s="20" t="s">
        <v>312</v>
      </c>
      <c r="E1883" s="21">
        <f>IF(D1883="?OLD","!!!","")</f>
        <v/>
      </c>
      <c r="F1883" s="22" t="str">
        <f>IF(OR(E1883="",E1883="!!!"),"",IF(NOT(ISNA(VLOOKUP(E1883,E$1:E1882,1,FALSE()))),"OLD",IF(AND(E1883&lt;&gt;"",E1883&lt;&gt;"!!!"),"NEW","")))</f>
        <v> </v>
      </c>
      <c r="G1883" s="23" t="str">
        <f>IF(OR(E1883="",E1883="!!!"),"",IF(OR(J1883=0,AND(J1883=1,K1883=1),AND(J1883=1,I1883="SBJ"),AND(J1883=1,I1883=0)),"?IN_FOCUS",IF(J1883&lt;=2,"?ACTIVATED",IF(J1883&lt;&gt;"","?FAMILIAR",IF(F1883="NEW",IF(ISNA(VLOOKUP(E1883,#REF!,1,FALSE())),"?TYPE_IDENTIFIABLE","?REFERENTIAL"),"_")))))</f>
        <v> </v>
      </c>
      <c r="H1883" s="24" t="str">
        <f>IF(J1883&lt;&gt;1,"",IF(I1883="SBJ","CB","?"))</f>
        <v> </v>
      </c>
      <c r="I1883" s="25" t="str">
        <f>IF(OR(E1883="",E1883="!!!",F1883="NEW"),"",INDEX(B1882:B$2,-1+SUMPRODUCT(MAX(ROW(E1882:E$2)*(E1883=E1882:E$2)))))</f>
        <v> </v>
      </c>
      <c r="J1883" s="25" t="str">
        <f>IF(OR(E1883="",E1883="!!!",F1883="NEW"),"",COUNTBLANK(OFFSET(A$1,,,SUMPRODUCT(MAX(ROW(E$2:E1883)*(E1883=E$2:E1883)))))-COUNTBLANK(OFFSET(A$1,,,SUMPRODUCT(MAX(ROW(E$1:E1882)*(E2=E$1:E1882))))))</f>
        <v> </v>
      </c>
      <c r="K1883" s="25" t="str">
        <f>IF(OR(E1883="",E1883="!!!",F1883="NEW"),"",INDEX(J$1:J1882,SUMPRODUCT(MAX(ROW(E$1:E1882)*(E1883=E$1:E1882)))))</f>
        <v> </v>
      </c>
      <c r="L1883" s="26"/>
    </row>
    <row r="1884" spans="1:12">
      <c r="A1884" s="20" t="s">
        <v>942</v>
      </c>
      <c r="B1884" s="27" t="s">
        <v>255</v>
      </c>
      <c r="C1884" s="27" t="s">
        <v>238</v>
      </c>
      <c r="E1884" s="21">
        <f>IF(D1884="?OLD","!!!","")</f>
        <v/>
      </c>
      <c r="F1884" s="22" t="str">
        <f>IF(OR(E1884="",E1884="!!!"),"",IF(NOT(ISNA(VLOOKUP(E1884,E$1:E1883,1,FALSE()))),"OLD",IF(AND(E1884&lt;&gt;"",E1884&lt;&gt;"!!!"),"NEW","")))</f>
        <v> </v>
      </c>
      <c r="G1884" s="23" t="str">
        <f>IF(OR(E1884="",E1884="!!!"),"",IF(OR(J1884=0,AND(J1884=1,K1884=1),AND(J1884=1,I1884="SBJ"),AND(J1884=1,I1884=0)),"?IN_FOCUS",IF(J1884&lt;=2,"?ACTIVATED",IF(J1884&lt;&gt;"","?FAMILIAR",IF(F1884="NEW",IF(ISNA(VLOOKUP(E1884,#REF!,1,FALSE())),"?TYPE_IDENTIFIABLE","?REFERENTIAL"),"_")))))</f>
        <v> </v>
      </c>
      <c r="H1884" s="24" t="str">
        <f>IF(J1884&lt;&gt;1,"",IF(I1884="SBJ","CB","?"))</f>
        <v> </v>
      </c>
      <c r="I1884" s="25" t="str">
        <f>IF(OR(E1884="",E1884="!!!",F1884="NEW"),"",INDEX(B1883:B$2,-1+SUMPRODUCT(MAX(ROW(E1883:E$2)*(E1884=E1883:E$2)))))</f>
        <v> </v>
      </c>
      <c r="J1884" s="25" t="str">
        <f>IF(OR(E1884="",E1884="!!!",F1884="NEW"),"",COUNTBLANK(OFFSET(A$1,,,SUMPRODUCT(MAX(ROW(E$2:E1884)*(E1884=E$2:E1884)))))-COUNTBLANK(OFFSET(A$1,,,SUMPRODUCT(MAX(ROW(E$1:E1883)*(E2=E$1:E1883))))))</f>
        <v> </v>
      </c>
      <c r="K1884" s="25" t="str">
        <f>IF(OR(E1884="",E1884="!!!",F1884="NEW"),"",INDEX(J$1:J1883,SUMPRODUCT(MAX(ROW(E$1:E1883)*(E1884=E$1:E1883)))))</f>
        <v> </v>
      </c>
      <c r="L1884" s="26"/>
    </row>
    <row r="1885" spans="1:12">
      <c r="A1885" s="20" t="s">
        <v>314</v>
      </c>
      <c r="E1885" s="21">
        <f>IF(D1885="?OLD","!!!","")</f>
        <v/>
      </c>
      <c r="F1885" s="22" t="str">
        <f>IF(OR(E1885="",E1885="!!!"),"",IF(NOT(ISNA(VLOOKUP(E1885,E$1:E1884,1,FALSE()))),"OLD",IF(AND(E1885&lt;&gt;"",E1885&lt;&gt;"!!!"),"NEW","")))</f>
        <v> </v>
      </c>
      <c r="G1885" s="23" t="str">
        <f>IF(OR(E1885="",E1885="!!!"),"",IF(OR(J1885=0,AND(J1885=1,K1885=1),AND(J1885=1,I1885="SBJ"),AND(J1885=1,I1885=0)),"?IN_FOCUS",IF(J1885&lt;=2,"?ACTIVATED",IF(J1885&lt;&gt;"","?FAMILIAR",IF(F1885="NEW",IF(ISNA(VLOOKUP(E1885,#REF!,1,FALSE())),"?TYPE_IDENTIFIABLE","?REFERENTIAL"),"_")))))</f>
        <v> </v>
      </c>
      <c r="H1885" s="24" t="str">
        <f>IF(J1885&lt;&gt;1,"",IF(I1885="SBJ","CB","?"))</f>
        <v> </v>
      </c>
      <c r="I1885" s="25" t="str">
        <f>IF(OR(E1885="",E1885="!!!",F1885="NEW"),"",INDEX(B1884:B$2,-1+SUMPRODUCT(MAX(ROW(E1884:E$2)*(E1885=E1884:E$2)))))</f>
        <v> </v>
      </c>
      <c r="J1885" s="25" t="str">
        <f>IF(OR(E1885="",E1885="!!!",F1885="NEW"),"",COUNTBLANK(OFFSET(A$1,,,SUMPRODUCT(MAX(ROW(E$2:E1885)*(E1885=E$2:E1885)))))-COUNTBLANK(OFFSET(A$1,,,SUMPRODUCT(MAX(ROW(E$1:E1884)*(E2=E$1:E1884))))))</f>
        <v> </v>
      </c>
      <c r="K1885" s="25" t="str">
        <f>IF(OR(E1885="",E1885="!!!",F1885="NEW"),"",INDEX(J$1:J1884,SUMPRODUCT(MAX(ROW(E$1:E1884)*(E1885=E$1:E1884)))))</f>
        <v> </v>
      </c>
      <c r="L1885" s="26"/>
    </row>
    <row r="1886" spans="1:12">
      <c r="A1886" s="20" t="s">
        <v>435</v>
      </c>
      <c r="B1886" s="27" t="s">
        <v>291</v>
      </c>
      <c r="C1886" s="27" t="s">
        <v>281</v>
      </c>
      <c r="E1886" s="21">
        <f>IF(D1886="?OLD","!!!","")</f>
        <v/>
      </c>
      <c r="F1886" s="22" t="str">
        <f>IF(OR(E1886="",E1886="!!!"),"",IF(NOT(ISNA(VLOOKUP(E1886,E$1:E1885,1,FALSE()))),"OLD",IF(AND(E1886&lt;&gt;"",E1886&lt;&gt;"!!!"),"NEW","")))</f>
        <v> </v>
      </c>
      <c r="G1886" s="23" t="str">
        <f>IF(OR(E1886="",E1886="!!!"),"",IF(OR(J1886=0,AND(J1886=1,K1886=1),AND(J1886=1,I1886="SBJ"),AND(J1886=1,I1886=0)),"?IN_FOCUS",IF(J1886&lt;=2,"?ACTIVATED",IF(J1886&lt;&gt;"","?FAMILIAR",IF(F1886="NEW",IF(ISNA(VLOOKUP(E1886,#REF!,1,FALSE())),"?TYPE_IDENTIFIABLE","?REFERENTIAL"),"_")))))</f>
        <v> </v>
      </c>
      <c r="H1886" s="24" t="str">
        <f>IF(J1886&lt;&gt;1,"",IF(I1886="SBJ","CB","?"))</f>
        <v> </v>
      </c>
      <c r="I1886" s="25" t="str">
        <f>IF(OR(E1886="",E1886="!!!",F1886="NEW"),"",INDEX(B1885:B$2,-1+SUMPRODUCT(MAX(ROW(E1885:E$2)*(E1886=E1885:E$2)))))</f>
        <v> </v>
      </c>
      <c r="J1886" s="25" t="str">
        <f>IF(OR(E1886="",E1886="!!!",F1886="NEW"),"",COUNTBLANK(OFFSET(A$1,,,SUMPRODUCT(MAX(ROW(E$2:E1886)*(E1886=E$2:E1886)))))-COUNTBLANK(OFFSET(A$1,,,SUMPRODUCT(MAX(ROW(E$1:E1885)*(E2=E$1:E1885))))))</f>
        <v> </v>
      </c>
      <c r="K1886" s="25" t="str">
        <f>IF(OR(E1886="",E1886="!!!",F1886="NEW"),"",INDEX(J$1:J1885,SUMPRODUCT(MAX(ROW(E$1:E1885)*(E1886=E$1:E1885)))))</f>
        <v> </v>
      </c>
      <c r="L1886" s="26"/>
    </row>
    <row r="1887" spans="1:12">
      <c r="A1887" s="20" t="s">
        <v>316</v>
      </c>
      <c r="E1887" s="21">
        <f>IF(D1887="?OLD","!!!","")</f>
        <v/>
      </c>
      <c r="F1887" s="22" t="str">
        <f>IF(OR(E1887="",E1887="!!!"),"",IF(NOT(ISNA(VLOOKUP(E1887,E$1:E1886,1,FALSE()))),"OLD",IF(AND(E1887&lt;&gt;"",E1887&lt;&gt;"!!!"),"NEW","")))</f>
        <v> </v>
      </c>
      <c r="G1887" s="23" t="str">
        <f>IF(OR(E1887="",E1887="!!!"),"",IF(OR(J1887=0,AND(J1887=1,K1887=1),AND(J1887=1,I1887="SBJ"),AND(J1887=1,I1887=0)),"?IN_FOCUS",IF(J1887&lt;=2,"?ACTIVATED",IF(J1887&lt;&gt;"","?FAMILIAR",IF(F1887="NEW",IF(ISNA(VLOOKUP(E1887,#REF!,1,FALSE())),"?TYPE_IDENTIFIABLE","?REFERENTIAL"),"_")))))</f>
        <v> </v>
      </c>
      <c r="H1887" s="24" t="str">
        <f>IF(J1887&lt;&gt;1,"",IF(I1887="SBJ","CB","?"))</f>
        <v> </v>
      </c>
      <c r="I1887" s="25" t="str">
        <f>IF(OR(E1887="",E1887="!!!",F1887="NEW"),"",INDEX(B1886:B$2,-1+SUMPRODUCT(MAX(ROW(E1886:E$2)*(E1887=E1886:E$2)))))</f>
        <v> </v>
      </c>
      <c r="J1887" s="25" t="str">
        <f>IF(OR(E1887="",E1887="!!!",F1887="NEW"),"",COUNTBLANK(OFFSET(A$1,,,SUMPRODUCT(MAX(ROW(E$2:E1887)*(E1887=E$2:E1887)))))-COUNTBLANK(OFFSET(A$1,,,SUMPRODUCT(MAX(ROW(E$1:E1886)*(E2=E$1:E1886))))))</f>
        <v> </v>
      </c>
      <c r="K1887" s="25" t="str">
        <f>IF(OR(E1887="",E1887="!!!",F1887="NEW"),"",INDEX(J$1:J1886,SUMPRODUCT(MAX(ROW(E$1:E1886)*(E1887=E$1:E1886)))))</f>
        <v> </v>
      </c>
      <c r="L1887" s="26"/>
    </row>
    <row r="1888" spans="1:12">
      <c r="A1888" s="20" t="s">
        <v>662</v>
      </c>
      <c r="E1888" s="21">
        <f>IF(D1888="?OLD","!!!","")</f>
        <v/>
      </c>
      <c r="F1888" s="22" t="str">
        <f>IF(OR(E1888="",E1888="!!!"),"",IF(NOT(ISNA(VLOOKUP(E1888,E$1:E1887,1,FALSE()))),"OLD",IF(AND(E1888&lt;&gt;"",E1888&lt;&gt;"!!!"),"NEW","")))</f>
        <v> </v>
      </c>
      <c r="G1888" s="23" t="str">
        <f>IF(OR(E1888="",E1888="!!!"),"",IF(OR(J1888=0,AND(J1888=1,K1888=1),AND(J1888=1,I1888="SBJ"),AND(J1888=1,I1888=0)),"?IN_FOCUS",IF(J1888&lt;=2,"?ACTIVATED",IF(J1888&lt;&gt;"","?FAMILIAR",IF(F1888="NEW",IF(ISNA(VLOOKUP(E1888,#REF!,1,FALSE())),"?TYPE_IDENTIFIABLE","?REFERENTIAL"),"_")))))</f>
        <v> </v>
      </c>
      <c r="H1888" s="24" t="str">
        <f>IF(J1888&lt;&gt;1,"",IF(I1888="SBJ","CB","?"))</f>
        <v> </v>
      </c>
      <c r="I1888" s="25" t="str">
        <f>IF(OR(E1888="",E1888="!!!",F1888="NEW"),"",INDEX(B1887:B$2,-1+SUMPRODUCT(MAX(ROW(E1887:E$2)*(E1888=E1887:E$2)))))</f>
        <v> </v>
      </c>
      <c r="J1888" s="25" t="str">
        <f>IF(OR(E1888="",E1888="!!!",F1888="NEW"),"",COUNTBLANK(OFFSET(A$1,,,SUMPRODUCT(MAX(ROW(E$2:E1888)*(E1888=E$2:E1888)))))-COUNTBLANK(OFFSET(A$1,,,SUMPRODUCT(MAX(ROW(E$1:E1887)*(E2=E$1:E1887))))))</f>
        <v> </v>
      </c>
      <c r="K1888" s="25" t="str">
        <f>IF(OR(E1888="",E1888="!!!",F1888="NEW"),"",INDEX(J$1:J1887,SUMPRODUCT(MAX(ROW(E$1:E1887)*(E1888=E$1:E1887)))))</f>
        <v> </v>
      </c>
      <c r="L1888" s="26"/>
    </row>
    <row r="1889" spans="1:12">
      <c r="A1889" s="20" t="s">
        <v>870</v>
      </c>
      <c r="E1889" s="21">
        <f>IF(D1889="?OLD","!!!","")</f>
        <v/>
      </c>
      <c r="F1889" s="22" t="str">
        <f>IF(OR(E1889="",E1889="!!!"),"",IF(NOT(ISNA(VLOOKUP(E1889,E$1:E1888,1,FALSE()))),"OLD",IF(AND(E1889&lt;&gt;"",E1889&lt;&gt;"!!!"),"NEW","")))</f>
        <v> </v>
      </c>
      <c r="G1889" s="23" t="str">
        <f>IF(OR(E1889="",E1889="!!!"),"",IF(OR(J1889=0,AND(J1889=1,K1889=1),AND(J1889=1,I1889="SBJ"),AND(J1889=1,I1889=0)),"?IN_FOCUS",IF(J1889&lt;=2,"?ACTIVATED",IF(J1889&lt;&gt;"","?FAMILIAR",IF(F1889="NEW",IF(ISNA(VLOOKUP(E1889,#REF!,1,FALSE())),"?TYPE_IDENTIFIABLE","?REFERENTIAL"),"_")))))</f>
        <v> </v>
      </c>
      <c r="H1889" s="24" t="str">
        <f>IF(J1889&lt;&gt;1,"",IF(I1889="SBJ","CB","?"))</f>
        <v> </v>
      </c>
      <c r="I1889" s="25" t="str">
        <f>IF(OR(E1889="",E1889="!!!",F1889="NEW"),"",INDEX(B1888:B$2,-1+SUMPRODUCT(MAX(ROW(E1888:E$2)*(E1889=E1888:E$2)))))</f>
        <v> </v>
      </c>
      <c r="J1889" s="25" t="str">
        <f>IF(OR(E1889="",E1889="!!!",F1889="NEW"),"",COUNTBLANK(OFFSET(A$1,,,SUMPRODUCT(MAX(ROW(E$2:E1889)*(E1889=E$2:E1889)))))-COUNTBLANK(OFFSET(A$1,,,SUMPRODUCT(MAX(ROW(E$1:E1888)*(E2=E$1:E1888))))))</f>
        <v> </v>
      </c>
      <c r="K1889" s="25" t="str">
        <f>IF(OR(E1889="",E1889="!!!",F1889="NEW"),"",INDEX(J$1:J1888,SUMPRODUCT(MAX(ROW(E$1:E1888)*(E1889=E$1:E1888)))))</f>
        <v> </v>
      </c>
      <c r="L1889" s="26"/>
    </row>
    <row r="1890" spans="1:12">
      <c r="A1890" s="20" t="s">
        <v>621</v>
      </c>
      <c r="E1890" s="21">
        <f>IF(D1890="?OLD","!!!","")</f>
        <v/>
      </c>
      <c r="F1890" s="22" t="str">
        <f>IF(OR(E1890="",E1890="!!!"),"",IF(NOT(ISNA(VLOOKUP(E1890,E$1:E1889,1,FALSE()))),"OLD",IF(AND(E1890&lt;&gt;"",E1890&lt;&gt;"!!!"),"NEW","")))</f>
        <v> </v>
      </c>
      <c r="G1890" s="23" t="str">
        <f>IF(OR(E1890="",E1890="!!!"),"",IF(OR(J1890=0,AND(J1890=1,K1890=1),AND(J1890=1,I1890="SBJ"),AND(J1890=1,I1890=0)),"?IN_FOCUS",IF(J1890&lt;=2,"?ACTIVATED",IF(J1890&lt;&gt;"","?FAMILIAR",IF(F1890="NEW",IF(ISNA(VLOOKUP(E1890,#REF!,1,FALSE())),"?TYPE_IDENTIFIABLE","?REFERENTIAL"),"_")))))</f>
        <v> </v>
      </c>
      <c r="H1890" s="24" t="str">
        <f>IF(J1890&lt;&gt;1,"",IF(I1890="SBJ","CB","?"))</f>
        <v> </v>
      </c>
      <c r="I1890" s="25" t="str">
        <f>IF(OR(E1890="",E1890="!!!",F1890="NEW"),"",INDEX(B1889:B$2,-1+SUMPRODUCT(MAX(ROW(E1889:E$2)*(E1890=E1889:E$2)))))</f>
        <v> </v>
      </c>
      <c r="J1890" s="25" t="str">
        <f>IF(OR(E1890="",E1890="!!!",F1890="NEW"),"",COUNTBLANK(OFFSET(A$1,,,SUMPRODUCT(MAX(ROW(E$2:E1890)*(E1890=E$2:E1890)))))-COUNTBLANK(OFFSET(A$1,,,SUMPRODUCT(MAX(ROW(E$1:E1889)*(E2=E$1:E1889))))))</f>
        <v> </v>
      </c>
      <c r="K1890" s="25" t="str">
        <f>IF(OR(E1890="",E1890="!!!",F1890="NEW"),"",INDEX(J$1:J1889,SUMPRODUCT(MAX(ROW(E$1:E1889)*(E1890=E$1:E1889)))))</f>
        <v> </v>
      </c>
      <c r="L1890" s="26"/>
    </row>
    <row r="1891" spans="1:12">
      <c r="A1891" s="20" t="s">
        <v>943</v>
      </c>
      <c r="B1891" s="27" t="s">
        <v>251</v>
      </c>
      <c r="C1891" s="27" t="s">
        <v>279</v>
      </c>
      <c r="E1891" s="21">
        <f>IF(D1891="?OLD","!!!","")</f>
        <v/>
      </c>
      <c r="F1891" s="22" t="str">
        <f>IF(OR(E1891="",E1891="!!!"),"",IF(NOT(ISNA(VLOOKUP(E1891,E$1:E1890,1,FALSE()))),"OLD",IF(AND(E1891&lt;&gt;"",E1891&lt;&gt;"!!!"),"NEW","")))</f>
        <v> </v>
      </c>
      <c r="G1891" s="23" t="str">
        <f>IF(OR(E1891="",E1891="!!!"),"",IF(OR(J1891=0,AND(J1891=1,K1891=1),AND(J1891=1,I1891="SBJ"),AND(J1891=1,I1891=0)),"?IN_FOCUS",IF(J1891&lt;=2,"?ACTIVATED",IF(J1891&lt;&gt;"","?FAMILIAR",IF(F1891="NEW",IF(ISNA(VLOOKUP(E1891,#REF!,1,FALSE())),"?TYPE_IDENTIFIABLE","?REFERENTIAL"),"_")))))</f>
        <v> </v>
      </c>
      <c r="H1891" s="24" t="str">
        <f>IF(J1891&lt;&gt;1,"",IF(I1891="SBJ","CB","?"))</f>
        <v> </v>
      </c>
      <c r="I1891" s="25" t="str">
        <f>IF(OR(E1891="",E1891="!!!",F1891="NEW"),"",INDEX(B1890:B$2,-1+SUMPRODUCT(MAX(ROW(E1890:E$2)*(E1891=E1890:E$2)))))</f>
        <v> </v>
      </c>
      <c r="J1891" s="25" t="str">
        <f>IF(OR(E1891="",E1891="!!!",F1891="NEW"),"",COUNTBLANK(OFFSET(A$1,,,SUMPRODUCT(MAX(ROW(E$2:E1891)*(E1891=E$2:E1891)))))-COUNTBLANK(OFFSET(A$1,,,SUMPRODUCT(MAX(ROW(E$1:E1890)*(E2=E$1:E1890))))))</f>
        <v> </v>
      </c>
      <c r="K1891" s="25" t="str">
        <f>IF(OR(E1891="",E1891="!!!",F1891="NEW"),"",INDEX(J$1:J1890,SUMPRODUCT(MAX(ROW(E$1:E1890)*(E1891=E$1:E1890)))))</f>
        <v> </v>
      </c>
      <c r="L1891" s="26"/>
    </row>
    <row r="1892" spans="1:12">
      <c r="A1892" s="20" t="s">
        <v>321</v>
      </c>
      <c r="E1892" s="21">
        <f>IF(D1892="?OLD","!!!","")</f>
        <v/>
      </c>
      <c r="F1892" s="22" t="str">
        <f>IF(OR(E1892="",E1892="!!!"),"",IF(NOT(ISNA(VLOOKUP(E1892,E$1:E1891,1,FALSE()))),"OLD",IF(AND(E1892&lt;&gt;"",E1892&lt;&gt;"!!!"),"NEW","")))</f>
        <v> </v>
      </c>
      <c r="G1892" s="23" t="str">
        <f>IF(OR(E1892="",E1892="!!!"),"",IF(OR(J1892=0,AND(J1892=1,K1892=1),AND(J1892=1,I1892="SBJ"),AND(J1892=1,I1892=0)),"?IN_FOCUS",IF(J1892&lt;=2,"?ACTIVATED",IF(J1892&lt;&gt;"","?FAMILIAR",IF(F1892="NEW",IF(ISNA(VLOOKUP(E1892,#REF!,1,FALSE())),"?TYPE_IDENTIFIABLE","?REFERENTIAL"),"_")))))</f>
        <v> </v>
      </c>
      <c r="H1892" s="24" t="str">
        <f>IF(J1892&lt;&gt;1,"",IF(I1892="SBJ","CB","?"))</f>
        <v> </v>
      </c>
      <c r="I1892" s="25" t="str">
        <f>IF(OR(E1892="",E1892="!!!",F1892="NEW"),"",INDEX(B1891:B$2,-1+SUMPRODUCT(MAX(ROW(E1891:E$2)*(E1892=E1891:E$2)))))</f>
        <v> </v>
      </c>
      <c r="J1892" s="25" t="str">
        <f>IF(OR(E1892="",E1892="!!!",F1892="NEW"),"",COUNTBLANK(OFFSET(A$1,,,SUMPRODUCT(MAX(ROW(E$2:E1892)*(E1892=E$2:E1892)))))-COUNTBLANK(OFFSET(A$1,,,SUMPRODUCT(MAX(ROW(E$1:E1891)*(E2=E$1:E1891))))))</f>
        <v> </v>
      </c>
      <c r="K1892" s="25" t="str">
        <f>IF(OR(E1892="",E1892="!!!",F1892="NEW"),"",INDEX(J$1:J1891,SUMPRODUCT(MAX(ROW(E$1:E1891)*(E1892=E$1:E1891)))))</f>
        <v> </v>
      </c>
      <c r="L1892" s="26"/>
    </row>
    <row r="1893" spans="1:12">
      <c r="A1893" s="20" t="s">
        <v>944</v>
      </c>
      <c r="B1893" s="27" t="s">
        <v>237</v>
      </c>
      <c r="C1893" s="27" t="s">
        <v>281</v>
      </c>
      <c r="E1893" s="21">
        <f>IF(D1893="?OLD","!!!","")</f>
        <v/>
      </c>
      <c r="F1893" s="22" t="str">
        <f>IF(OR(E1893="",E1893="!!!"),"",IF(NOT(ISNA(VLOOKUP(E1893,E$1:E1892,1,FALSE()))),"OLD",IF(AND(E1893&lt;&gt;"",E1893&lt;&gt;"!!!"),"NEW","")))</f>
        <v> </v>
      </c>
      <c r="G1893" s="23" t="str">
        <f>IF(OR(E1893="",E1893="!!!"),"",IF(OR(J1893=0,AND(J1893=1,K1893=1),AND(J1893=1,I1893="SBJ"),AND(J1893=1,I1893=0)),"?IN_FOCUS",IF(J1893&lt;=2,"?ACTIVATED",IF(J1893&lt;&gt;"","?FAMILIAR",IF(F1893="NEW",IF(ISNA(VLOOKUP(E1893,#REF!,1,FALSE())),"?TYPE_IDENTIFIABLE","?REFERENTIAL"),"_")))))</f>
        <v> </v>
      </c>
      <c r="H1893" s="24" t="str">
        <f>IF(J1893&lt;&gt;1,"",IF(I1893="SBJ","CB","?"))</f>
        <v> </v>
      </c>
      <c r="I1893" s="25" t="str">
        <f>IF(OR(E1893="",E1893="!!!",F1893="NEW"),"",INDEX(B1892:B$2,-1+SUMPRODUCT(MAX(ROW(E1892:E$2)*(E1893=E1892:E$2)))))</f>
        <v> </v>
      </c>
      <c r="J1893" s="25" t="str">
        <f>IF(OR(E1893="",E1893="!!!",F1893="NEW"),"",COUNTBLANK(OFFSET(A$1,,,SUMPRODUCT(MAX(ROW(E$2:E1893)*(E1893=E$2:E1893)))))-COUNTBLANK(OFFSET(A$1,,,SUMPRODUCT(MAX(ROW(E$1:E1892)*(E2=E$1:E1892))))))</f>
        <v> </v>
      </c>
      <c r="K1893" s="25" t="str">
        <f>IF(OR(E1893="",E1893="!!!",F1893="NEW"),"",INDEX(J$1:J1892,SUMPRODUCT(MAX(ROW(E$1:E1892)*(E1893=E$1:E1892)))))</f>
        <v> </v>
      </c>
      <c r="L1893" s="26"/>
    </row>
    <row r="1894" spans="1:12">
      <c r="A1894" s="20" t="s">
        <v>314</v>
      </c>
      <c r="E1894" s="21">
        <f>IF(D1894="?OLD","!!!","")</f>
        <v/>
      </c>
      <c r="F1894" s="22" t="str">
        <f>IF(OR(E1894="",E1894="!!!"),"",IF(NOT(ISNA(VLOOKUP(E1894,E$1:E1893,1,FALSE()))),"OLD",IF(AND(E1894&lt;&gt;"",E1894&lt;&gt;"!!!"),"NEW","")))</f>
        <v> </v>
      </c>
      <c r="G1894" s="23" t="str">
        <f>IF(OR(E1894="",E1894="!!!"),"",IF(OR(J1894=0,AND(J1894=1,K1894=1),AND(J1894=1,I1894="SBJ"),AND(J1894=1,I1894=0)),"?IN_FOCUS",IF(J1894&lt;=2,"?ACTIVATED",IF(J1894&lt;&gt;"","?FAMILIAR",IF(F1894="NEW",IF(ISNA(VLOOKUP(E1894,#REF!,1,FALSE())),"?TYPE_IDENTIFIABLE","?REFERENTIAL"),"_")))))</f>
        <v> </v>
      </c>
      <c r="H1894" s="24" t="str">
        <f>IF(J1894&lt;&gt;1,"",IF(I1894="SBJ","CB","?"))</f>
        <v> </v>
      </c>
      <c r="I1894" s="25" t="str">
        <f>IF(OR(E1894="",E1894="!!!",F1894="NEW"),"",INDEX(B1893:B$2,-1+SUMPRODUCT(MAX(ROW(E1893:E$2)*(E1894=E1893:E$2)))))</f>
        <v> </v>
      </c>
      <c r="J1894" s="25" t="str">
        <f>IF(OR(E1894="",E1894="!!!",F1894="NEW"),"",COUNTBLANK(OFFSET(A$1,,,SUMPRODUCT(MAX(ROW(E$2:E1894)*(E1894=E$2:E1894)))))-COUNTBLANK(OFFSET(A$1,,,SUMPRODUCT(MAX(ROW(E$1:E1893)*(E2=E$1:E1893))))))</f>
        <v> </v>
      </c>
      <c r="K1894" s="25" t="str">
        <f>IF(OR(E1894="",E1894="!!!",F1894="NEW"),"",INDEX(J$1:J1893,SUMPRODUCT(MAX(ROW(E$1:E1893)*(E1894=E$1:E1893)))))</f>
        <v> </v>
      </c>
      <c r="L1894" s="26"/>
    </row>
    <row r="1895" spans="1:12">
      <c r="A1895" s="20" t="s">
        <v>945</v>
      </c>
      <c r="B1895" s="27" t="s">
        <v>291</v>
      </c>
      <c r="C1895" s="27" t="s">
        <v>281</v>
      </c>
      <c r="E1895" s="21">
        <f>IF(D1895="?OLD","!!!","")</f>
        <v/>
      </c>
      <c r="F1895" s="22" t="str">
        <f>IF(OR(E1895="",E1895="!!!"),"",IF(NOT(ISNA(VLOOKUP(E1895,E$1:E1894,1,FALSE()))),"OLD",IF(AND(E1895&lt;&gt;"",E1895&lt;&gt;"!!!"),"NEW","")))</f>
        <v> </v>
      </c>
      <c r="G1895" s="23" t="str">
        <f>IF(OR(E1895="",E1895="!!!"),"",IF(OR(J1895=0,AND(J1895=1,K1895=1),AND(J1895=1,I1895="SBJ"),AND(J1895=1,I1895=0)),"?IN_FOCUS",IF(J1895&lt;=2,"?ACTIVATED",IF(J1895&lt;&gt;"","?FAMILIAR",IF(F1895="NEW",IF(ISNA(VLOOKUP(E1895,#REF!,1,FALSE())),"?TYPE_IDENTIFIABLE","?REFERENTIAL"),"_")))))</f>
        <v> </v>
      </c>
      <c r="H1895" s="24" t="str">
        <f>IF(J1895&lt;&gt;1,"",IF(I1895="SBJ","CB","?"))</f>
        <v> </v>
      </c>
      <c r="I1895" s="25" t="str">
        <f>IF(OR(E1895="",E1895="!!!",F1895="NEW"),"",INDEX(B1894:B$2,-1+SUMPRODUCT(MAX(ROW(E1894:E$2)*(E1895=E1894:E$2)))))</f>
        <v> </v>
      </c>
      <c r="J1895" s="25" t="str">
        <f>IF(OR(E1895="",E1895="!!!",F1895="NEW"),"",COUNTBLANK(OFFSET(A$1,,,SUMPRODUCT(MAX(ROW(E$2:E1895)*(E1895=E$2:E1895)))))-COUNTBLANK(OFFSET(A$1,,,SUMPRODUCT(MAX(ROW(E$1:E1894)*(E2=E$1:E1894))))))</f>
        <v> </v>
      </c>
      <c r="K1895" s="25" t="str">
        <f>IF(OR(E1895="",E1895="!!!",F1895="NEW"),"",INDEX(J$1:J1894,SUMPRODUCT(MAX(ROW(E$1:E1894)*(E1895=E$1:E1894)))))</f>
        <v> </v>
      </c>
      <c r="L1895" s="26"/>
    </row>
    <row r="1896" spans="1:12">
      <c r="A1896" s="20" t="s">
        <v>285</v>
      </c>
      <c r="E1896" s="21">
        <f>IF(D1896="?OLD","!!!","")</f>
        <v/>
      </c>
      <c r="F1896" s="22" t="str">
        <f>IF(OR(E1896="",E1896="!!!"),"",IF(NOT(ISNA(VLOOKUP(E1896,E$1:E1895,1,FALSE()))),"OLD",IF(AND(E1896&lt;&gt;"",E1896&lt;&gt;"!!!"),"NEW","")))</f>
        <v> </v>
      </c>
      <c r="G1896" s="23" t="str">
        <f>IF(OR(E1896="",E1896="!!!"),"",IF(OR(J1896=0,AND(J1896=1,K1896=1),AND(J1896=1,I1896="SBJ"),AND(J1896=1,I1896=0)),"?IN_FOCUS",IF(J1896&lt;=2,"?ACTIVATED",IF(J1896&lt;&gt;"","?FAMILIAR",IF(F1896="NEW",IF(ISNA(VLOOKUP(E1896,#REF!,1,FALSE())),"?TYPE_IDENTIFIABLE","?REFERENTIAL"),"_")))))</f>
        <v> </v>
      </c>
      <c r="H1896" s="24" t="str">
        <f>IF(J1896&lt;&gt;1,"",IF(I1896="SBJ","CB","?"))</f>
        <v> </v>
      </c>
      <c r="I1896" s="25" t="str">
        <f>IF(OR(E1896="",E1896="!!!",F1896="NEW"),"",INDEX(B1895:B$2,-1+SUMPRODUCT(MAX(ROW(E1895:E$2)*(E1896=E1895:E$2)))))</f>
        <v> </v>
      </c>
      <c r="J1896" s="25" t="str">
        <f>IF(OR(E1896="",E1896="!!!",F1896="NEW"),"",COUNTBLANK(OFFSET(A$1,,,SUMPRODUCT(MAX(ROW(E$2:E1896)*(E1896=E$2:E1896)))))-COUNTBLANK(OFFSET(A$1,,,SUMPRODUCT(MAX(ROW(E$1:E1895)*(E2=E$1:E1895))))))</f>
        <v> </v>
      </c>
      <c r="K1896" s="25" t="str">
        <f>IF(OR(E1896="",E1896="!!!",F1896="NEW"),"",INDEX(J$1:J1895,SUMPRODUCT(MAX(ROW(E$1:E1895)*(E1896=E$1:E1895)))))</f>
        <v> </v>
      </c>
      <c r="L1896" s="26"/>
    </row>
    <row r="1897" spans="1:12">
      <c r="A1897" s="20"/>
    </row>
    <row r="1898" spans="1:12">
      <c r="A1898" s="20" t="s">
        <v>946</v>
      </c>
    </row>
    <row r="1899" spans="1:12">
      <c r="A1899" s="20" t="s">
        <v>580</v>
      </c>
      <c r="B1899" s="27" t="s">
        <v>255</v>
      </c>
      <c r="C1899" s="27" t="s">
        <v>256</v>
      </c>
      <c r="D1899" s="27" t="s">
        <v>244</v>
      </c>
      <c r="E1899" s="21">
        <f>IF(D1899="?OLD","!!!","")</f>
        <v/>
      </c>
      <c r="F1899" s="22" t="str">
        <f>IF(OR(E1899="",E1899="!!!"),"",IF(NOT(ISNA(VLOOKUP(E1899,E$1:E1898,1,FALSE()))),"OLD",IF(AND(E1899&lt;&gt;"",E1899&lt;&gt;"!!!"),"NEW","")))</f>
        <v> </v>
      </c>
      <c r="G1899" s="23" t="str">
        <f>IF(OR(E1899="",E1899="!!!"),"",IF(OR(J1899=0,AND(J1899=1,K1899=1),AND(J1899=1,I1899="SBJ"),AND(J1899=1,I1899=0)),"?IN_FOCUS",IF(J1899&lt;=2,"?ACTIVATED",IF(J1899&lt;&gt;"","?FAMILIAR",IF(F1899="NEW",IF(ISNA(VLOOKUP(E1899,#REF!,1,FALSE())),"?TYPE_IDENTIFIABLE","?REFERENTIAL"),"_")))))</f>
        <v> </v>
      </c>
      <c r="H1899" s="24" t="str">
        <f>IF(J1899&lt;&gt;1,"",IF(I1899="SBJ","CB","?"))</f>
        <v> </v>
      </c>
      <c r="I1899" s="25" t="str">
        <f>IF(OR(E1899="",E1899="!!!",F1899="NEW"),"",INDEX(B1898:B$2,-1+SUMPRODUCT(MAX(ROW(E1898:E$2)*(E1899=E1898:E$2)))))</f>
        <v> </v>
      </c>
      <c r="J1899" s="25" t="str">
        <f>IF(OR(E1899="",E1899="!!!",F1899="NEW"),"",COUNTBLANK(OFFSET(A$1,,,SUMPRODUCT(MAX(ROW(E$2:E1899)*(E1899=E$2:E1899)))))-COUNTBLANK(OFFSET(A$1,,,SUMPRODUCT(MAX(ROW(E$1:E1898)*(E2=E$1:E1898))))))</f>
        <v> </v>
      </c>
      <c r="K1899" s="25" t="str">
        <f>IF(OR(E1899="",E1899="!!!",F1899="NEW"),"",INDEX(J$1:J1898,SUMPRODUCT(MAX(ROW(E$1:E1898)*(E1899=E$1:E1898)))))</f>
        <v> </v>
      </c>
      <c r="L1899" s="26"/>
    </row>
    <row r="1900" spans="1:12">
      <c r="A1900" s="20" t="s">
        <v>442</v>
      </c>
      <c r="E1900" s="21">
        <f>IF(D1900="?OLD","!!!","")</f>
        <v/>
      </c>
      <c r="F1900" s="22" t="str">
        <f>IF(OR(E1900="",E1900="!!!"),"",IF(NOT(ISNA(VLOOKUP(E1900,E$1:E1899,1,FALSE()))),"OLD",IF(AND(E1900&lt;&gt;"",E1900&lt;&gt;"!!!"),"NEW","")))</f>
        <v> </v>
      </c>
      <c r="G1900" s="23" t="str">
        <f>IF(OR(E1900="",E1900="!!!"),"",IF(OR(J1900=0,AND(J1900=1,K1900=1),AND(J1900=1,I1900="SBJ"),AND(J1900=1,I1900=0)),"?IN_FOCUS",IF(J1900&lt;=2,"?ACTIVATED",IF(J1900&lt;&gt;"","?FAMILIAR",IF(F1900="NEW",IF(ISNA(VLOOKUP(E1900,#REF!,1,FALSE())),"?TYPE_IDENTIFIABLE","?REFERENTIAL"),"_")))))</f>
        <v> </v>
      </c>
      <c r="H1900" s="24" t="str">
        <f>IF(J1900&lt;&gt;1,"",IF(I1900="SBJ","CB","?"))</f>
        <v> </v>
      </c>
      <c r="I1900" s="25" t="str">
        <f>IF(OR(E1900="",E1900="!!!",F1900="NEW"),"",INDEX(B1899:B$2,-1+SUMPRODUCT(MAX(ROW(E1899:E$2)*(E1900=E1899:E$2)))))</f>
        <v> </v>
      </c>
      <c r="J1900" s="25" t="str">
        <f>IF(OR(E1900="",E1900="!!!",F1900="NEW"),"",COUNTBLANK(OFFSET(A$1,,,SUMPRODUCT(MAX(ROW(E$2:E1900)*(E1900=E$2:E1900)))))-COUNTBLANK(OFFSET(A$1,,,SUMPRODUCT(MAX(ROW(E$1:E1899)*(E2=E$1:E1899))))))</f>
        <v> </v>
      </c>
      <c r="K1900" s="25" t="str">
        <f>IF(OR(E1900="",E1900="!!!",F1900="NEW"),"",INDEX(J$1:J1899,SUMPRODUCT(MAX(ROW(E$1:E1899)*(E1900=E$1:E1899)))))</f>
        <v> </v>
      </c>
      <c r="L1900" s="26"/>
    </row>
    <row r="1901" spans="1:12">
      <c r="A1901" s="20" t="s">
        <v>326</v>
      </c>
      <c r="B1901" s="27" t="s">
        <v>255</v>
      </c>
      <c r="C1901" s="27" t="s">
        <v>327</v>
      </c>
      <c r="E1901" s="21">
        <f>IF(D1901="?OLD","!!!","")</f>
        <v/>
      </c>
      <c r="F1901" s="22" t="str">
        <f>IF(OR(E1901="",E1901="!!!"),"",IF(NOT(ISNA(VLOOKUP(E1901,E$1:E1900,1,FALSE()))),"OLD",IF(AND(E1901&lt;&gt;"",E1901&lt;&gt;"!!!"),"NEW","")))</f>
        <v> </v>
      </c>
      <c r="G1901" s="23" t="str">
        <f>IF(OR(E1901="",E1901="!!!"),"",IF(OR(J1901=0,AND(J1901=1,K1901=1),AND(J1901=1,I1901="SBJ"),AND(J1901=1,I1901=0)),"?IN_FOCUS",IF(J1901&lt;=2,"?ACTIVATED",IF(J1901&lt;&gt;"","?FAMILIAR",IF(F1901="NEW",IF(ISNA(VLOOKUP(E1901,#REF!,1,FALSE())),"?TYPE_IDENTIFIABLE","?REFERENTIAL"),"_")))))</f>
        <v> </v>
      </c>
      <c r="H1901" s="24" t="str">
        <f>IF(J1901&lt;&gt;1,"",IF(I1901="SBJ","CB","?"))</f>
        <v> </v>
      </c>
      <c r="I1901" s="25" t="str">
        <f>IF(OR(E1901="",E1901="!!!",F1901="NEW"),"",INDEX(B1900:B$2,-1+SUMPRODUCT(MAX(ROW(E1900:E$2)*(E1901=E1900:E$2)))))</f>
        <v> </v>
      </c>
      <c r="J1901" s="25" t="str">
        <f>IF(OR(E1901="",E1901="!!!",F1901="NEW"),"",COUNTBLANK(OFFSET(A$1,,,SUMPRODUCT(MAX(ROW(E$2:E1901)*(E1901=E$2:E1901)))))-COUNTBLANK(OFFSET(A$1,,,SUMPRODUCT(MAX(ROW(E$1:E1900)*(E2=E$1:E1900))))))</f>
        <v> </v>
      </c>
      <c r="K1901" s="25" t="str">
        <f>IF(OR(E1901="",E1901="!!!",F1901="NEW"),"",INDEX(J$1:J1900,SUMPRODUCT(MAX(ROW(E$1:E1900)*(E1901=E$1:E1900)))))</f>
        <v> </v>
      </c>
      <c r="L1901" s="26"/>
    </row>
    <row r="1902" spans="1:12">
      <c r="A1902" s="20" t="s">
        <v>442</v>
      </c>
      <c r="E1902" s="21">
        <f>IF(D1902="?OLD","!!!","")</f>
        <v/>
      </c>
      <c r="F1902" s="22" t="str">
        <f>IF(OR(E1902="",E1902="!!!"),"",IF(NOT(ISNA(VLOOKUP(E1902,E$1:E1901,1,FALSE()))),"OLD",IF(AND(E1902&lt;&gt;"",E1902&lt;&gt;"!!!"),"NEW","")))</f>
        <v> </v>
      </c>
      <c r="G1902" s="23" t="str">
        <f>IF(OR(E1902="",E1902="!!!"),"",IF(OR(J1902=0,AND(J1902=1,K1902=1),AND(J1902=1,I1902="SBJ"),AND(J1902=1,I1902=0)),"?IN_FOCUS",IF(J1902&lt;=2,"?ACTIVATED",IF(J1902&lt;&gt;"","?FAMILIAR",IF(F1902="NEW",IF(ISNA(VLOOKUP(E1902,#REF!,1,FALSE())),"?TYPE_IDENTIFIABLE","?REFERENTIAL"),"_")))))</f>
        <v> </v>
      </c>
      <c r="H1902" s="24" t="str">
        <f>IF(J1902&lt;&gt;1,"",IF(I1902="SBJ","CB","?"))</f>
        <v> </v>
      </c>
      <c r="I1902" s="25" t="str">
        <f>IF(OR(E1902="",E1902="!!!",F1902="NEW"),"",INDEX(B1901:B$2,-1+SUMPRODUCT(MAX(ROW(E1901:E$2)*(E1902=E1901:E$2)))))</f>
        <v> </v>
      </c>
      <c r="J1902" s="25" t="str">
        <f>IF(OR(E1902="",E1902="!!!",F1902="NEW"),"",COUNTBLANK(OFFSET(A$1,,,SUMPRODUCT(MAX(ROW(E$2:E1902)*(E1902=E$2:E1902)))))-COUNTBLANK(OFFSET(A$1,,,SUMPRODUCT(MAX(ROW(E$1:E1901)*(E2=E$1:E1901))))))</f>
        <v> </v>
      </c>
      <c r="K1902" s="25" t="str">
        <f>IF(OR(E1902="",E1902="!!!",F1902="NEW"),"",INDEX(J$1:J1901,SUMPRODUCT(MAX(ROW(E$1:E1901)*(E1902=E$1:E1901)))))</f>
        <v> </v>
      </c>
      <c r="L1902" s="26"/>
    </row>
    <row r="1903" spans="1:12">
      <c r="A1903" s="20" t="s">
        <v>448</v>
      </c>
      <c r="E1903" s="21">
        <f>IF(D1903="?OLD","!!!","")</f>
        <v/>
      </c>
      <c r="F1903" s="22" t="str">
        <f>IF(OR(E1903="",E1903="!!!"),"",IF(NOT(ISNA(VLOOKUP(E1903,E$1:E1902,1,FALSE()))),"OLD",IF(AND(E1903&lt;&gt;"",E1903&lt;&gt;"!!!"),"NEW","")))</f>
        <v> </v>
      </c>
      <c r="G1903" s="23" t="str">
        <f>IF(OR(E1903="",E1903="!!!"),"",IF(OR(J1903=0,AND(J1903=1,K1903=1),AND(J1903=1,I1903="SBJ"),AND(J1903=1,I1903=0)),"?IN_FOCUS",IF(J1903&lt;=2,"?ACTIVATED",IF(J1903&lt;&gt;"","?FAMILIAR",IF(F1903="NEW",IF(ISNA(VLOOKUP(E1903,#REF!,1,FALSE())),"?TYPE_IDENTIFIABLE","?REFERENTIAL"),"_")))))</f>
        <v> </v>
      </c>
      <c r="H1903" s="24" t="str">
        <f>IF(J1903&lt;&gt;1,"",IF(I1903="SBJ","CB","?"))</f>
        <v> </v>
      </c>
      <c r="I1903" s="25" t="str">
        <f>IF(OR(E1903="",E1903="!!!",F1903="NEW"),"",INDEX(B1902:B$2,-1+SUMPRODUCT(MAX(ROW(E1902:E$2)*(E1903=E1902:E$2)))))</f>
        <v> </v>
      </c>
      <c r="J1903" s="25" t="str">
        <f>IF(OR(E1903="",E1903="!!!",F1903="NEW"),"",COUNTBLANK(OFFSET(A$1,,,SUMPRODUCT(MAX(ROW(E$2:E1903)*(E1903=E$2:E1903)))))-COUNTBLANK(OFFSET(A$1,,,SUMPRODUCT(MAX(ROW(E$1:E1902)*(E2=E$1:E1902))))))</f>
        <v> </v>
      </c>
      <c r="K1903" s="25" t="str">
        <f>IF(OR(E1903="",E1903="!!!",F1903="NEW"),"",INDEX(J$1:J1902,SUMPRODUCT(MAX(ROW(E$1:E1902)*(E1903=E$1:E1902)))))</f>
        <v> </v>
      </c>
      <c r="L1903" s="26"/>
    </row>
    <row r="1904" spans="1:12">
      <c r="A1904" s="20" t="s">
        <v>277</v>
      </c>
      <c r="E1904" s="21">
        <f>IF(D1904="?OLD","!!!","")</f>
        <v/>
      </c>
      <c r="F1904" s="22" t="str">
        <f>IF(OR(E1904="",E1904="!!!"),"",IF(NOT(ISNA(VLOOKUP(E1904,E$1:E1903,1,FALSE()))),"OLD",IF(AND(E1904&lt;&gt;"",E1904&lt;&gt;"!!!"),"NEW","")))</f>
        <v> </v>
      </c>
      <c r="G1904" s="23" t="str">
        <f>IF(OR(E1904="",E1904="!!!"),"",IF(OR(J1904=0,AND(J1904=1,K1904=1),AND(J1904=1,I1904="SBJ"),AND(J1904=1,I1904=0)),"?IN_FOCUS",IF(J1904&lt;=2,"?ACTIVATED",IF(J1904&lt;&gt;"","?FAMILIAR",IF(F1904="NEW",IF(ISNA(VLOOKUP(E1904,#REF!,1,FALSE())),"?TYPE_IDENTIFIABLE","?REFERENTIAL"),"_")))))</f>
        <v> </v>
      </c>
      <c r="H1904" s="24" t="str">
        <f>IF(J1904&lt;&gt;1,"",IF(I1904="SBJ","CB","?"))</f>
        <v> </v>
      </c>
      <c r="I1904" s="25" t="str">
        <f>IF(OR(E1904="",E1904="!!!",F1904="NEW"),"",INDEX(B1903:B$2,-1+SUMPRODUCT(MAX(ROW(E1903:E$2)*(E1904=E1903:E$2)))))</f>
        <v> </v>
      </c>
      <c r="J1904" s="25" t="str">
        <f>IF(OR(E1904="",E1904="!!!",F1904="NEW"),"",COUNTBLANK(OFFSET(A$1,,,SUMPRODUCT(MAX(ROW(E$2:E1904)*(E1904=E$2:E1904)))))-COUNTBLANK(OFFSET(A$1,,,SUMPRODUCT(MAX(ROW(E$1:E1903)*(E2=E$1:E1903))))))</f>
        <v> </v>
      </c>
      <c r="K1904" s="25" t="str">
        <f>IF(OR(E1904="",E1904="!!!",F1904="NEW"),"",INDEX(J$1:J1903,SUMPRODUCT(MAX(ROW(E$1:E1903)*(E1904=E$1:E1903)))))</f>
        <v> </v>
      </c>
      <c r="L1904" s="26"/>
    </row>
    <row r="1905" spans="1:12">
      <c r="A1905" s="20" t="s">
        <v>947</v>
      </c>
      <c r="E1905" s="21">
        <f>IF(D1905="?OLD","!!!","")</f>
        <v/>
      </c>
      <c r="F1905" s="22" t="str">
        <f>IF(OR(E1905="",E1905="!!!"),"",IF(NOT(ISNA(VLOOKUP(E1905,E$1:E1904,1,FALSE()))),"OLD",IF(AND(E1905&lt;&gt;"",E1905&lt;&gt;"!!!"),"NEW","")))</f>
        <v> </v>
      </c>
      <c r="G1905" s="23" t="str">
        <f>IF(OR(E1905="",E1905="!!!"),"",IF(OR(J1905=0,AND(J1905=1,K1905=1),AND(J1905=1,I1905="SBJ"),AND(J1905=1,I1905=0)),"?IN_FOCUS",IF(J1905&lt;=2,"?ACTIVATED",IF(J1905&lt;&gt;"","?FAMILIAR",IF(F1905="NEW",IF(ISNA(VLOOKUP(E1905,#REF!,1,FALSE())),"?TYPE_IDENTIFIABLE","?REFERENTIAL"),"_")))))</f>
        <v> </v>
      </c>
      <c r="H1905" s="24" t="str">
        <f>IF(J1905&lt;&gt;1,"",IF(I1905="SBJ","CB","?"))</f>
        <v> </v>
      </c>
      <c r="I1905" s="25" t="str">
        <f>IF(OR(E1905="",E1905="!!!",F1905="NEW"),"",INDEX(B1904:B$2,-1+SUMPRODUCT(MAX(ROW(E1904:E$2)*(E1905=E1904:E$2)))))</f>
        <v> </v>
      </c>
      <c r="J1905" s="25" t="str">
        <f>IF(OR(E1905="",E1905="!!!",F1905="NEW"),"",COUNTBLANK(OFFSET(A$1,,,SUMPRODUCT(MAX(ROW(E$2:E1905)*(E1905=E$2:E1905)))))-COUNTBLANK(OFFSET(A$1,,,SUMPRODUCT(MAX(ROW(E$1:E1904)*(E2=E$1:E1904))))))</f>
        <v> </v>
      </c>
      <c r="K1905" s="25" t="str">
        <f>IF(OR(E1905="",E1905="!!!",F1905="NEW"),"",INDEX(J$1:J1904,SUMPRODUCT(MAX(ROW(E$1:E1904)*(E1905=E$1:E1904)))))</f>
        <v> </v>
      </c>
      <c r="L1905" s="26"/>
    </row>
    <row r="1906" spans="1:12">
      <c r="A1906" s="20" t="s">
        <v>948</v>
      </c>
      <c r="B1906" s="27" t="s">
        <v>237</v>
      </c>
      <c r="C1906" s="27" t="s">
        <v>279</v>
      </c>
      <c r="E1906" s="21">
        <f>IF(D1906="?OLD","!!!","")</f>
        <v/>
      </c>
      <c r="F1906" s="22" t="str">
        <f>IF(OR(E1906="",E1906="!!!"),"",IF(NOT(ISNA(VLOOKUP(E1906,E$1:E1905,1,FALSE()))),"OLD",IF(AND(E1906&lt;&gt;"",E1906&lt;&gt;"!!!"),"NEW","")))</f>
        <v> </v>
      </c>
      <c r="G1906" s="23" t="str">
        <f>IF(OR(E1906="",E1906="!!!"),"",IF(OR(J1906=0,AND(J1906=1,K1906=1),AND(J1906=1,I1906="SBJ"),AND(J1906=1,I1906=0)),"?IN_FOCUS",IF(J1906&lt;=2,"?ACTIVATED",IF(J1906&lt;&gt;"","?FAMILIAR",IF(F1906="NEW",IF(ISNA(VLOOKUP(E1906,#REF!,1,FALSE())),"?TYPE_IDENTIFIABLE","?REFERENTIAL"),"_")))))</f>
        <v> </v>
      </c>
      <c r="H1906" s="24" t="str">
        <f>IF(J1906&lt;&gt;1,"",IF(I1906="SBJ","CB","?"))</f>
        <v> </v>
      </c>
      <c r="I1906" s="25" t="str">
        <f>IF(OR(E1906="",E1906="!!!",F1906="NEW"),"",INDEX(B1905:B$2,-1+SUMPRODUCT(MAX(ROW(E1905:E$2)*(E1906=E1905:E$2)))))</f>
        <v> </v>
      </c>
      <c r="J1906" s="25" t="str">
        <f>IF(OR(E1906="",E1906="!!!",F1906="NEW"),"",COUNTBLANK(OFFSET(A$1,,,SUMPRODUCT(MAX(ROW(E$2:E1906)*(E1906=E$2:E1906)))))-COUNTBLANK(OFFSET(A$1,,,SUMPRODUCT(MAX(ROW(E$1:E1905)*(E2=E$1:E1905))))))</f>
        <v> </v>
      </c>
      <c r="K1906" s="25" t="str">
        <f>IF(OR(E1906="",E1906="!!!",F1906="NEW"),"",INDEX(J$1:J1905,SUMPRODUCT(MAX(ROW(E$1:E1905)*(E1906=E$1:E1905)))))</f>
        <v> </v>
      </c>
      <c r="L1906" s="26"/>
    </row>
    <row r="1907" spans="1:12">
      <c r="A1907" s="20" t="s">
        <v>305</v>
      </c>
      <c r="E1907" s="21">
        <f>IF(D1907="?OLD","!!!","")</f>
        <v/>
      </c>
      <c r="F1907" s="22" t="str">
        <f>IF(OR(E1907="",E1907="!!!"),"",IF(NOT(ISNA(VLOOKUP(E1907,E$1:E1906,1,FALSE()))),"OLD",IF(AND(E1907&lt;&gt;"",E1907&lt;&gt;"!!!"),"NEW","")))</f>
        <v> </v>
      </c>
      <c r="G1907" s="23" t="str">
        <f>IF(OR(E1907="",E1907="!!!"),"",IF(OR(J1907=0,AND(J1907=1,K1907=1),AND(J1907=1,I1907="SBJ"),AND(J1907=1,I1907=0)),"?IN_FOCUS",IF(J1907&lt;=2,"?ACTIVATED",IF(J1907&lt;&gt;"","?FAMILIAR",IF(F1907="NEW",IF(ISNA(VLOOKUP(E1907,#REF!,1,FALSE())),"?TYPE_IDENTIFIABLE","?REFERENTIAL"),"_")))))</f>
        <v> </v>
      </c>
      <c r="H1907" s="24" t="str">
        <f>IF(J1907&lt;&gt;1,"",IF(I1907="SBJ","CB","?"))</f>
        <v> </v>
      </c>
      <c r="I1907" s="25" t="str">
        <f>IF(OR(E1907="",E1907="!!!",F1907="NEW"),"",INDEX(B1906:B$2,-1+SUMPRODUCT(MAX(ROW(E1906:E$2)*(E1907=E1906:E$2)))))</f>
        <v> </v>
      </c>
      <c r="J1907" s="25" t="str">
        <f>IF(OR(E1907="",E1907="!!!",F1907="NEW"),"",COUNTBLANK(OFFSET(A$1,,,SUMPRODUCT(MAX(ROW(E$2:E1907)*(E1907=E$2:E1907)))))-COUNTBLANK(OFFSET(A$1,,,SUMPRODUCT(MAX(ROW(E$1:E1906)*(E2=E$1:E1906))))))</f>
        <v> </v>
      </c>
      <c r="K1907" s="25" t="str">
        <f>IF(OR(E1907="",E1907="!!!",F1907="NEW"),"",INDEX(J$1:J1906,SUMPRODUCT(MAX(ROW(E$1:E1906)*(E1907=E$1:E1906)))))</f>
        <v> </v>
      </c>
      <c r="L1907" s="26"/>
    </row>
    <row r="1908" spans="1:12">
      <c r="A1908" s="20" t="s">
        <v>277</v>
      </c>
      <c r="E1908" s="21">
        <f>IF(D1908="?OLD","!!!","")</f>
        <v/>
      </c>
      <c r="F1908" s="22" t="str">
        <f>IF(OR(E1908="",E1908="!!!"),"",IF(NOT(ISNA(VLOOKUP(E1908,E$1:E1907,1,FALSE()))),"OLD",IF(AND(E1908&lt;&gt;"",E1908&lt;&gt;"!!!"),"NEW","")))</f>
        <v> </v>
      </c>
      <c r="G1908" s="23" t="str">
        <f>IF(OR(E1908="",E1908="!!!"),"",IF(OR(J1908=0,AND(J1908=1,K1908=1),AND(J1908=1,I1908="SBJ"),AND(J1908=1,I1908=0)),"?IN_FOCUS",IF(J1908&lt;=2,"?ACTIVATED",IF(J1908&lt;&gt;"","?FAMILIAR",IF(F1908="NEW",IF(ISNA(VLOOKUP(E1908,#REF!,1,FALSE())),"?TYPE_IDENTIFIABLE","?REFERENTIAL"),"_")))))</f>
        <v> </v>
      </c>
      <c r="H1908" s="24" t="str">
        <f>IF(J1908&lt;&gt;1,"",IF(I1908="SBJ","CB","?"))</f>
        <v> </v>
      </c>
      <c r="I1908" s="25" t="str">
        <f>IF(OR(E1908="",E1908="!!!",F1908="NEW"),"",INDEX(B1907:B$2,-1+SUMPRODUCT(MAX(ROW(E1907:E$2)*(E1908=E1907:E$2)))))</f>
        <v> </v>
      </c>
      <c r="J1908" s="25" t="str">
        <f>IF(OR(E1908="",E1908="!!!",F1908="NEW"),"",COUNTBLANK(OFFSET(A$1,,,SUMPRODUCT(MAX(ROW(E$2:E1908)*(E1908=E$2:E1908)))))-COUNTBLANK(OFFSET(A$1,,,SUMPRODUCT(MAX(ROW(E$1:E1907)*(E2=E$1:E1907))))))</f>
        <v> </v>
      </c>
      <c r="K1908" s="25" t="str">
        <f>IF(OR(E1908="",E1908="!!!",F1908="NEW"),"",INDEX(J$1:J1907,SUMPRODUCT(MAX(ROW(E$1:E1907)*(E1908=E$1:E1907)))))</f>
        <v> </v>
      </c>
      <c r="L1908" s="26"/>
    </row>
    <row r="1909" spans="1:12">
      <c r="A1909" s="20" t="s">
        <v>937</v>
      </c>
      <c r="E1909" s="21">
        <f>IF(D1909="?OLD","!!!","")</f>
        <v/>
      </c>
      <c r="F1909" s="22" t="str">
        <f>IF(OR(E1909="",E1909="!!!"),"",IF(NOT(ISNA(VLOOKUP(E1909,E$1:E1908,1,FALSE()))),"OLD",IF(AND(E1909&lt;&gt;"",E1909&lt;&gt;"!!!"),"NEW","")))</f>
        <v> </v>
      </c>
      <c r="G1909" s="23" t="str">
        <f>IF(OR(E1909="",E1909="!!!"),"",IF(OR(J1909=0,AND(J1909=1,K1909=1),AND(J1909=1,I1909="SBJ"),AND(J1909=1,I1909=0)),"?IN_FOCUS",IF(J1909&lt;=2,"?ACTIVATED",IF(J1909&lt;&gt;"","?FAMILIAR",IF(F1909="NEW",IF(ISNA(VLOOKUP(E1909,#REF!,1,FALSE())),"?TYPE_IDENTIFIABLE","?REFERENTIAL"),"_")))))</f>
        <v> </v>
      </c>
      <c r="H1909" s="24" t="str">
        <f>IF(J1909&lt;&gt;1,"",IF(I1909="SBJ","CB","?"))</f>
        <v> </v>
      </c>
      <c r="I1909" s="25" t="str">
        <f>IF(OR(E1909="",E1909="!!!",F1909="NEW"),"",INDEX(B1908:B$2,-1+SUMPRODUCT(MAX(ROW(E1908:E$2)*(E1909=E1908:E$2)))))</f>
        <v> </v>
      </c>
      <c r="J1909" s="25" t="str">
        <f>IF(OR(E1909="",E1909="!!!",F1909="NEW"),"",COUNTBLANK(OFFSET(A$1,,,SUMPRODUCT(MAX(ROW(E$2:E1909)*(E1909=E$2:E1909)))))-COUNTBLANK(OFFSET(A$1,,,SUMPRODUCT(MAX(ROW(E$1:E1908)*(E2=E$1:E1908))))))</f>
        <v> </v>
      </c>
      <c r="K1909" s="25" t="str">
        <f>IF(OR(E1909="",E1909="!!!",F1909="NEW"),"",INDEX(J$1:J1908,SUMPRODUCT(MAX(ROW(E$1:E1908)*(E1909=E$1:E1908)))))</f>
        <v> </v>
      </c>
      <c r="L1909" s="26"/>
    </row>
    <row r="1910" spans="1:12">
      <c r="A1910" s="20" t="s">
        <v>949</v>
      </c>
      <c r="B1910" s="27" t="s">
        <v>291</v>
      </c>
      <c r="C1910" s="27" t="s">
        <v>279</v>
      </c>
      <c r="E1910" s="21">
        <f>IF(D1910="?OLD","!!!","")</f>
        <v/>
      </c>
      <c r="F1910" s="22" t="str">
        <f>IF(OR(E1910="",E1910="!!!"),"",IF(NOT(ISNA(VLOOKUP(E1910,E$1:E1909,1,FALSE()))),"OLD",IF(AND(E1910&lt;&gt;"",E1910&lt;&gt;"!!!"),"NEW","")))</f>
        <v> </v>
      </c>
      <c r="G1910" s="23" t="str">
        <f>IF(OR(E1910="",E1910="!!!"),"",IF(OR(J1910=0,AND(J1910=1,K1910=1),AND(J1910=1,I1910="SBJ"),AND(J1910=1,I1910=0)),"?IN_FOCUS",IF(J1910&lt;=2,"?ACTIVATED",IF(J1910&lt;&gt;"","?FAMILIAR",IF(F1910="NEW",IF(ISNA(VLOOKUP(E1910,#REF!,1,FALSE())),"?TYPE_IDENTIFIABLE","?REFERENTIAL"),"_")))))</f>
        <v> </v>
      </c>
      <c r="H1910" s="24" t="str">
        <f>IF(J1910&lt;&gt;1,"",IF(I1910="SBJ","CB","?"))</f>
        <v> </v>
      </c>
      <c r="I1910" s="25" t="str">
        <f>IF(OR(E1910="",E1910="!!!",F1910="NEW"),"",INDEX(B1909:B$2,-1+SUMPRODUCT(MAX(ROW(E1909:E$2)*(E1910=E1909:E$2)))))</f>
        <v> </v>
      </c>
      <c r="J1910" s="25" t="str">
        <f>IF(OR(E1910="",E1910="!!!",F1910="NEW"),"",COUNTBLANK(OFFSET(A$1,,,SUMPRODUCT(MAX(ROW(E$2:E1910)*(E1910=E$2:E1910)))))-COUNTBLANK(OFFSET(A$1,,,SUMPRODUCT(MAX(ROW(E$1:E1909)*(E2=E$1:E1909))))))</f>
        <v> </v>
      </c>
      <c r="K1910" s="25" t="str">
        <f>IF(OR(E1910="",E1910="!!!",F1910="NEW"),"",INDEX(J$1:J1909,SUMPRODUCT(MAX(ROW(E$1:E1909)*(E1910=E$1:E1909)))))</f>
        <v> </v>
      </c>
      <c r="L1910" s="26"/>
    </row>
    <row r="1911" spans="1:12">
      <c r="A1911" s="20" t="s">
        <v>321</v>
      </c>
      <c r="E1911" s="21">
        <f>IF(D1911="?OLD","!!!","")</f>
        <v/>
      </c>
      <c r="F1911" s="22" t="str">
        <f>IF(OR(E1911="",E1911="!!!"),"",IF(NOT(ISNA(VLOOKUP(E1911,E$1:E1910,1,FALSE()))),"OLD",IF(AND(E1911&lt;&gt;"",E1911&lt;&gt;"!!!"),"NEW","")))</f>
        <v> </v>
      </c>
      <c r="G1911" s="23" t="str">
        <f>IF(OR(E1911="",E1911="!!!"),"",IF(OR(J1911=0,AND(J1911=1,K1911=1),AND(J1911=1,I1911="SBJ"),AND(J1911=1,I1911=0)),"?IN_FOCUS",IF(J1911&lt;=2,"?ACTIVATED",IF(J1911&lt;&gt;"","?FAMILIAR",IF(F1911="NEW",IF(ISNA(VLOOKUP(E1911,#REF!,1,FALSE())),"?TYPE_IDENTIFIABLE","?REFERENTIAL"),"_")))))</f>
        <v> </v>
      </c>
      <c r="H1911" s="24" t="str">
        <f>IF(J1911&lt;&gt;1,"",IF(I1911="SBJ","CB","?"))</f>
        <v> </v>
      </c>
      <c r="I1911" s="25" t="str">
        <f>IF(OR(E1911="",E1911="!!!",F1911="NEW"),"",INDEX(B1910:B$2,-1+SUMPRODUCT(MAX(ROW(E1910:E$2)*(E1911=E1910:E$2)))))</f>
        <v> </v>
      </c>
      <c r="J1911" s="25" t="str">
        <f>IF(OR(E1911="",E1911="!!!",F1911="NEW"),"",COUNTBLANK(OFFSET(A$1,,,SUMPRODUCT(MAX(ROW(E$2:E1911)*(E1911=E$2:E1911)))))-COUNTBLANK(OFFSET(A$1,,,SUMPRODUCT(MAX(ROW(E$1:E1910)*(E2=E$1:E1910))))))</f>
        <v> </v>
      </c>
      <c r="K1911" s="25" t="str">
        <f>IF(OR(E1911="",E1911="!!!",F1911="NEW"),"",INDEX(J$1:J1910,SUMPRODUCT(MAX(ROW(E$1:E1910)*(E1911=E$1:E1910)))))</f>
        <v> </v>
      </c>
      <c r="L1911" s="26"/>
    </row>
    <row r="1912" spans="1:12">
      <c r="A1912" s="20" t="s">
        <v>248</v>
      </c>
      <c r="E1912" s="21">
        <f>IF(D1912="?OLD","!!!","")</f>
        <v/>
      </c>
      <c r="F1912" s="22" t="str">
        <f>IF(OR(E1912="",E1912="!!!"),"",IF(NOT(ISNA(VLOOKUP(E1912,E$1:E1911,1,FALSE()))),"OLD",IF(AND(E1912&lt;&gt;"",E1912&lt;&gt;"!!!"),"NEW","")))</f>
        <v> </v>
      </c>
      <c r="G1912" s="23" t="str">
        <f>IF(OR(E1912="",E1912="!!!"),"",IF(OR(J1912=0,AND(J1912=1,K1912=1),AND(J1912=1,I1912="SBJ"),AND(J1912=1,I1912=0)),"?IN_FOCUS",IF(J1912&lt;=2,"?ACTIVATED",IF(J1912&lt;&gt;"","?FAMILIAR",IF(F1912="NEW",IF(ISNA(VLOOKUP(E1912,#REF!,1,FALSE())),"?TYPE_IDENTIFIABLE","?REFERENTIAL"),"_")))))</f>
        <v> </v>
      </c>
      <c r="H1912" s="24" t="str">
        <f>IF(J1912&lt;&gt;1,"",IF(I1912="SBJ","CB","?"))</f>
        <v> </v>
      </c>
      <c r="I1912" s="25" t="str">
        <f>IF(OR(E1912="",E1912="!!!",F1912="NEW"),"",INDEX(B1911:B$2,-1+SUMPRODUCT(MAX(ROW(E1911:E$2)*(E1912=E1911:E$2)))))</f>
        <v> </v>
      </c>
      <c r="J1912" s="25" t="str">
        <f>IF(OR(E1912="",E1912="!!!",F1912="NEW"),"",COUNTBLANK(OFFSET(A$1,,,SUMPRODUCT(MAX(ROW(E$2:E1912)*(E1912=E$2:E1912)))))-COUNTBLANK(OFFSET(A$1,,,SUMPRODUCT(MAX(ROW(E$1:E1911)*(E2=E$1:E1911))))))</f>
        <v> </v>
      </c>
      <c r="K1912" s="25" t="str">
        <f>IF(OR(E1912="",E1912="!!!",F1912="NEW"),"",INDEX(J$1:J1911,SUMPRODUCT(MAX(ROW(E$1:E1911)*(E1912=E$1:E1911)))))</f>
        <v> </v>
      </c>
      <c r="L1912" s="26"/>
    </row>
    <row r="1913" spans="1:12">
      <c r="A1913" s="20" t="s">
        <v>950</v>
      </c>
      <c r="B1913" s="27" t="s">
        <v>272</v>
      </c>
      <c r="C1913" s="27" t="s">
        <v>252</v>
      </c>
      <c r="D1913" s="27" t="s">
        <v>244</v>
      </c>
      <c r="E1913" s="21">
        <f>IF(D1913="?OLD","!!!","")</f>
        <v/>
      </c>
      <c r="F1913" s="22" t="str">
        <f>IF(OR(E1913="",E1913="!!!"),"",IF(NOT(ISNA(VLOOKUP(E1913,E$1:E1912,1,FALSE()))),"OLD",IF(AND(E1913&lt;&gt;"",E1913&lt;&gt;"!!!"),"NEW","")))</f>
        <v> </v>
      </c>
      <c r="G1913" s="23" t="str">
        <f>IF(OR(E1913="",E1913="!!!"),"",IF(OR(J1913=0,AND(J1913=1,K1913=1),AND(J1913=1,I1913="SBJ"),AND(J1913=1,I1913=0)),"?IN_FOCUS",IF(J1913&lt;=2,"?ACTIVATED",IF(J1913&lt;&gt;"","?FAMILIAR",IF(F1913="NEW",IF(ISNA(VLOOKUP(E1913,#REF!,1,FALSE())),"?TYPE_IDENTIFIABLE","?REFERENTIAL"),"_")))))</f>
        <v> </v>
      </c>
      <c r="H1913" s="24" t="str">
        <f>IF(J1913&lt;&gt;1,"",IF(I1913="SBJ","CB","?"))</f>
        <v> </v>
      </c>
      <c r="I1913" s="25" t="str">
        <f>IF(OR(E1913="",E1913="!!!",F1913="NEW"),"",INDEX(B1912:B$2,-1+SUMPRODUCT(MAX(ROW(E1912:E$2)*(E1913=E1912:E$2)))))</f>
        <v> </v>
      </c>
      <c r="J1913" s="25" t="str">
        <f>IF(OR(E1913="",E1913="!!!",F1913="NEW"),"",COUNTBLANK(OFFSET(A$1,,,SUMPRODUCT(MAX(ROW(E$2:E1913)*(E1913=E$2:E1913)))))-COUNTBLANK(OFFSET(A$1,,,SUMPRODUCT(MAX(ROW(E$1:E1912)*(E2=E$1:E1912))))))</f>
        <v> </v>
      </c>
      <c r="K1913" s="25" t="str">
        <f>IF(OR(E1913="",E1913="!!!",F1913="NEW"),"",INDEX(J$1:J1912,SUMPRODUCT(MAX(ROW(E$1:E1912)*(E1913=E$1:E1912)))))</f>
        <v> </v>
      </c>
      <c r="L1913" s="26"/>
    </row>
    <row r="1914" spans="1:12">
      <c r="A1914" s="20" t="s">
        <v>349</v>
      </c>
      <c r="E1914" s="21">
        <f>IF(D1914="?OLD","!!!","")</f>
        <v/>
      </c>
      <c r="F1914" s="22" t="str">
        <f>IF(OR(E1914="",E1914="!!!"),"",IF(NOT(ISNA(VLOOKUP(E1914,E$1:E1913,1,FALSE()))),"OLD",IF(AND(E1914&lt;&gt;"",E1914&lt;&gt;"!!!"),"NEW","")))</f>
        <v> </v>
      </c>
      <c r="G1914" s="23" t="str">
        <f>IF(OR(E1914="",E1914="!!!"),"",IF(OR(J1914=0,AND(J1914=1,K1914=1),AND(J1914=1,I1914="SBJ"),AND(J1914=1,I1914=0)),"?IN_FOCUS",IF(J1914&lt;=2,"?ACTIVATED",IF(J1914&lt;&gt;"","?FAMILIAR",IF(F1914="NEW",IF(ISNA(VLOOKUP(E1914,#REF!,1,FALSE())),"?TYPE_IDENTIFIABLE","?REFERENTIAL"),"_")))))</f>
        <v> </v>
      </c>
      <c r="H1914" s="24" t="str">
        <f>IF(J1914&lt;&gt;1,"",IF(I1914="SBJ","CB","?"))</f>
        <v> </v>
      </c>
      <c r="I1914" s="25" t="str">
        <f>IF(OR(E1914="",E1914="!!!",F1914="NEW"),"",INDEX(B1913:B$2,-1+SUMPRODUCT(MAX(ROW(E1913:E$2)*(E1914=E1913:E$2)))))</f>
        <v> </v>
      </c>
      <c r="J1914" s="25" t="str">
        <f>IF(OR(E1914="",E1914="!!!",F1914="NEW"),"",COUNTBLANK(OFFSET(A$1,,,SUMPRODUCT(MAX(ROW(E$2:E1914)*(E1914=E$2:E1914)))))-COUNTBLANK(OFFSET(A$1,,,SUMPRODUCT(MAX(ROW(E$1:E1913)*(E2=E$1:E1913))))))</f>
        <v> </v>
      </c>
      <c r="K1914" s="25" t="str">
        <f>IF(OR(E1914="",E1914="!!!",F1914="NEW"),"",INDEX(J$1:J1913,SUMPRODUCT(MAX(ROW(E$1:E1913)*(E1914=E$1:E1913)))))</f>
        <v> </v>
      </c>
      <c r="L1914" s="26"/>
    </row>
    <row r="1915" spans="1:12">
      <c r="A1915" s="20" t="s">
        <v>909</v>
      </c>
      <c r="E1915" s="21">
        <f>IF(D1915="?OLD","!!!","")</f>
        <v/>
      </c>
      <c r="F1915" s="22" t="str">
        <f>IF(OR(E1915="",E1915="!!!"),"",IF(NOT(ISNA(VLOOKUP(E1915,E$1:E1914,1,FALSE()))),"OLD",IF(AND(E1915&lt;&gt;"",E1915&lt;&gt;"!!!"),"NEW","")))</f>
        <v> </v>
      </c>
      <c r="G1915" s="23" t="str">
        <f>IF(OR(E1915="",E1915="!!!"),"",IF(OR(J1915=0,AND(J1915=1,K1915=1),AND(J1915=1,I1915="SBJ"),AND(J1915=1,I1915=0)),"?IN_FOCUS",IF(J1915&lt;=2,"?ACTIVATED",IF(J1915&lt;&gt;"","?FAMILIAR",IF(F1915="NEW",IF(ISNA(VLOOKUP(E1915,#REF!,1,FALSE())),"?TYPE_IDENTIFIABLE","?REFERENTIAL"),"_")))))</f>
        <v> </v>
      </c>
      <c r="H1915" s="24" t="str">
        <f>IF(J1915&lt;&gt;1,"",IF(I1915="SBJ","CB","?"))</f>
        <v> </v>
      </c>
      <c r="I1915" s="25" t="str">
        <f>IF(OR(E1915="",E1915="!!!",F1915="NEW"),"",INDEX(B1914:B$2,-1+SUMPRODUCT(MAX(ROW(E1914:E$2)*(E1915=E1914:E$2)))))</f>
        <v> </v>
      </c>
      <c r="J1915" s="25" t="str">
        <f>IF(OR(E1915="",E1915="!!!",F1915="NEW"),"",COUNTBLANK(OFFSET(A$1,,,SUMPRODUCT(MAX(ROW(E$2:E1915)*(E1915=E$2:E1915)))))-COUNTBLANK(OFFSET(A$1,,,SUMPRODUCT(MAX(ROW(E$1:E1914)*(E2=E$1:E1914))))))</f>
        <v> </v>
      </c>
      <c r="K1915" s="25" t="str">
        <f>IF(OR(E1915="",E1915="!!!",F1915="NEW"),"",INDEX(J$1:J1914,SUMPRODUCT(MAX(ROW(E$1:E1914)*(E1915=E$1:E1914)))))</f>
        <v> </v>
      </c>
      <c r="L1915" s="26"/>
    </row>
    <row r="1916" spans="1:12">
      <c r="A1916" s="20" t="s">
        <v>248</v>
      </c>
      <c r="E1916" s="21">
        <f>IF(D1916="?OLD","!!!","")</f>
        <v/>
      </c>
      <c r="F1916" s="22" t="str">
        <f>IF(OR(E1916="",E1916="!!!"),"",IF(NOT(ISNA(VLOOKUP(E1916,E$1:E1915,1,FALSE()))),"OLD",IF(AND(E1916&lt;&gt;"",E1916&lt;&gt;"!!!"),"NEW","")))</f>
        <v> </v>
      </c>
      <c r="G1916" s="23" t="str">
        <f>IF(OR(E1916="",E1916="!!!"),"",IF(OR(J1916=0,AND(J1916=1,K1916=1),AND(J1916=1,I1916="SBJ"),AND(J1916=1,I1916=0)),"?IN_FOCUS",IF(J1916&lt;=2,"?ACTIVATED",IF(J1916&lt;&gt;"","?FAMILIAR",IF(F1916="NEW",IF(ISNA(VLOOKUP(E1916,#REF!,1,FALSE())),"?TYPE_IDENTIFIABLE","?REFERENTIAL"),"_")))))</f>
        <v> </v>
      </c>
      <c r="H1916" s="24" t="str">
        <f>IF(J1916&lt;&gt;1,"",IF(I1916="SBJ","CB","?"))</f>
        <v> </v>
      </c>
      <c r="I1916" s="25" t="str">
        <f>IF(OR(E1916="",E1916="!!!",F1916="NEW"),"",INDEX(B1915:B$2,-1+SUMPRODUCT(MAX(ROW(E1915:E$2)*(E1916=E1915:E$2)))))</f>
        <v> </v>
      </c>
      <c r="J1916" s="25" t="str">
        <f>IF(OR(E1916="",E1916="!!!",F1916="NEW"),"",COUNTBLANK(OFFSET(A$1,,,SUMPRODUCT(MAX(ROW(E$2:E1916)*(E1916=E$2:E1916)))))-COUNTBLANK(OFFSET(A$1,,,SUMPRODUCT(MAX(ROW(E$1:E1915)*(E2=E$1:E1915))))))</f>
        <v> </v>
      </c>
      <c r="K1916" s="25" t="str">
        <f>IF(OR(E1916="",E1916="!!!",F1916="NEW"),"",INDEX(J$1:J1915,SUMPRODUCT(MAX(ROW(E$1:E1915)*(E1916=E$1:E1915)))))</f>
        <v> </v>
      </c>
      <c r="L1916" s="26"/>
    </row>
    <row r="1917" spans="1:12">
      <c r="A1917" s="20" t="s">
        <v>951</v>
      </c>
      <c r="B1917" s="27" t="s">
        <v>423</v>
      </c>
      <c r="C1917" s="27" t="s">
        <v>252</v>
      </c>
      <c r="D1917" s="27" t="s">
        <v>244</v>
      </c>
      <c r="E1917" s="21">
        <f>IF(D1917="?OLD","!!!","")</f>
        <v/>
      </c>
      <c r="F1917" s="22" t="str">
        <f>IF(OR(E1917="",E1917="!!!"),"",IF(NOT(ISNA(VLOOKUP(E1917,E$1:E1916,1,FALSE()))),"OLD",IF(AND(E1917&lt;&gt;"",E1917&lt;&gt;"!!!"),"NEW","")))</f>
        <v> </v>
      </c>
      <c r="G1917" s="23" t="str">
        <f>IF(OR(E1917="",E1917="!!!"),"",IF(OR(J1917=0,AND(J1917=1,K1917=1),AND(J1917=1,I1917="SBJ"),AND(J1917=1,I1917=0)),"?IN_FOCUS",IF(J1917&lt;=2,"?ACTIVATED",IF(J1917&lt;&gt;"","?FAMILIAR",IF(F1917="NEW",IF(ISNA(VLOOKUP(E1917,#REF!,1,FALSE())),"?TYPE_IDENTIFIABLE","?REFERENTIAL"),"_")))))</f>
        <v> </v>
      </c>
      <c r="H1917" s="24" t="str">
        <f>IF(J1917&lt;&gt;1,"",IF(I1917="SBJ","CB","?"))</f>
        <v> </v>
      </c>
      <c r="I1917" s="25" t="str">
        <f>IF(OR(E1917="",E1917="!!!",F1917="NEW"),"",INDEX(B1916:B$2,-1+SUMPRODUCT(MAX(ROW(E1916:E$2)*(E1917=E1916:E$2)))))</f>
        <v> </v>
      </c>
      <c r="J1917" s="25" t="str">
        <f>IF(OR(E1917="",E1917="!!!",F1917="NEW"),"",COUNTBLANK(OFFSET(A$1,,,SUMPRODUCT(MAX(ROW(E$2:E1917)*(E1917=E$2:E1917)))))-COUNTBLANK(OFFSET(A$1,,,SUMPRODUCT(MAX(ROW(E$1:E1916)*(E2=E$1:E1916))))))</f>
        <v> </v>
      </c>
      <c r="K1917" s="25" t="str">
        <f>IF(OR(E1917="",E1917="!!!",F1917="NEW"),"",INDEX(J$1:J1916,SUMPRODUCT(MAX(ROW(E$1:E1916)*(E1917=E$1:E1916)))))</f>
        <v> </v>
      </c>
      <c r="L1917" s="26"/>
    </row>
    <row r="1918" spans="1:12">
      <c r="A1918" s="20" t="s">
        <v>952</v>
      </c>
      <c r="E1918" s="21">
        <f>IF(D1918="?OLD","!!!","")</f>
        <v/>
      </c>
      <c r="F1918" s="22" t="str">
        <f>IF(OR(E1918="",E1918="!!!"),"",IF(NOT(ISNA(VLOOKUP(E1918,E$1:E1917,1,FALSE()))),"OLD",IF(AND(E1918&lt;&gt;"",E1918&lt;&gt;"!!!"),"NEW","")))</f>
        <v> </v>
      </c>
      <c r="G1918" s="23" t="str">
        <f>IF(OR(E1918="",E1918="!!!"),"",IF(OR(J1918=0,AND(J1918=1,K1918=1),AND(J1918=1,I1918="SBJ"),AND(J1918=1,I1918=0)),"?IN_FOCUS",IF(J1918&lt;=2,"?ACTIVATED",IF(J1918&lt;&gt;"","?FAMILIAR",IF(F1918="NEW",IF(ISNA(VLOOKUP(E1918,#REF!,1,FALSE())),"?TYPE_IDENTIFIABLE","?REFERENTIAL"),"_")))))</f>
        <v> </v>
      </c>
      <c r="H1918" s="24" t="str">
        <f>IF(J1918&lt;&gt;1,"",IF(I1918="SBJ","CB","?"))</f>
        <v> </v>
      </c>
      <c r="I1918" s="25" t="str">
        <f>IF(OR(E1918="",E1918="!!!",F1918="NEW"),"",INDEX(B1917:B$2,-1+SUMPRODUCT(MAX(ROW(E1917:E$2)*(E1918=E1917:E$2)))))</f>
        <v> </v>
      </c>
      <c r="J1918" s="25" t="str">
        <f>IF(OR(E1918="",E1918="!!!",F1918="NEW"),"",COUNTBLANK(OFFSET(A$1,,,SUMPRODUCT(MAX(ROW(E$2:E1918)*(E1918=E$2:E1918)))))-COUNTBLANK(OFFSET(A$1,,,SUMPRODUCT(MAX(ROW(E$1:E1917)*(E2=E$1:E1917))))))</f>
        <v> </v>
      </c>
      <c r="K1918" s="25" t="str">
        <f>IF(OR(E1918="",E1918="!!!",F1918="NEW"),"",INDEX(J$1:J1917,SUMPRODUCT(MAX(ROW(E$1:E1917)*(E1918=E$1:E1917)))))</f>
        <v> </v>
      </c>
      <c r="L1918" s="26"/>
    </row>
    <row r="1919" spans="1:12">
      <c r="A1919" s="20" t="s">
        <v>953</v>
      </c>
      <c r="E1919" s="21">
        <f>IF(D1919="?OLD","!!!","")</f>
        <v/>
      </c>
      <c r="F1919" s="22" t="str">
        <f>IF(OR(E1919="",E1919="!!!"),"",IF(NOT(ISNA(VLOOKUP(E1919,E$1:E1918,1,FALSE()))),"OLD",IF(AND(E1919&lt;&gt;"",E1919&lt;&gt;"!!!"),"NEW","")))</f>
        <v> </v>
      </c>
      <c r="G1919" s="23" t="str">
        <f>IF(OR(E1919="",E1919="!!!"),"",IF(OR(J1919=0,AND(J1919=1,K1919=1),AND(J1919=1,I1919="SBJ"),AND(J1919=1,I1919=0)),"?IN_FOCUS",IF(J1919&lt;=2,"?ACTIVATED",IF(J1919&lt;&gt;"","?FAMILIAR",IF(F1919="NEW",IF(ISNA(VLOOKUP(E1919,#REF!,1,FALSE())),"?TYPE_IDENTIFIABLE","?REFERENTIAL"),"_")))))</f>
        <v> </v>
      </c>
      <c r="H1919" s="24" t="str">
        <f>IF(J1919&lt;&gt;1,"",IF(I1919="SBJ","CB","?"))</f>
        <v> </v>
      </c>
      <c r="I1919" s="25" t="str">
        <f>IF(OR(E1919="",E1919="!!!",F1919="NEW"),"",INDEX(B1918:B$2,-1+SUMPRODUCT(MAX(ROW(E1918:E$2)*(E1919=E1918:E$2)))))</f>
        <v> </v>
      </c>
      <c r="J1919" s="25" t="str">
        <f>IF(OR(E1919="",E1919="!!!",F1919="NEW"),"",COUNTBLANK(OFFSET(A$1,,,SUMPRODUCT(MAX(ROW(E$2:E1919)*(E1919=E$2:E1919)))))-COUNTBLANK(OFFSET(A$1,,,SUMPRODUCT(MAX(ROW(E$1:E1918)*(E2=E$1:E1918))))))</f>
        <v> </v>
      </c>
      <c r="K1919" s="25" t="str">
        <f>IF(OR(E1919="",E1919="!!!",F1919="NEW"),"",INDEX(J$1:J1918,SUMPRODUCT(MAX(ROW(E$1:E1918)*(E1919=E$1:E1918)))))</f>
        <v> </v>
      </c>
      <c r="L1919" s="26"/>
    </row>
    <row r="1920" spans="1:12">
      <c r="A1920" s="20" t="s">
        <v>277</v>
      </c>
      <c r="E1920" s="21">
        <f>IF(D1920="?OLD","!!!","")</f>
        <v/>
      </c>
      <c r="F1920" s="22" t="str">
        <f>IF(OR(E1920="",E1920="!!!"),"",IF(NOT(ISNA(VLOOKUP(E1920,E$1:E1919,1,FALSE()))),"OLD",IF(AND(E1920&lt;&gt;"",E1920&lt;&gt;"!!!"),"NEW","")))</f>
        <v> </v>
      </c>
      <c r="G1920" s="23" t="str">
        <f>IF(OR(E1920="",E1920="!!!"),"",IF(OR(J1920=0,AND(J1920=1,K1920=1),AND(J1920=1,I1920="SBJ"),AND(J1920=1,I1920=0)),"?IN_FOCUS",IF(J1920&lt;=2,"?ACTIVATED",IF(J1920&lt;&gt;"","?FAMILIAR",IF(F1920="NEW",IF(ISNA(VLOOKUP(E1920,#REF!,1,FALSE())),"?TYPE_IDENTIFIABLE","?REFERENTIAL"),"_")))))</f>
        <v> </v>
      </c>
      <c r="H1920" s="24" t="str">
        <f>IF(J1920&lt;&gt;1,"",IF(I1920="SBJ","CB","?"))</f>
        <v> </v>
      </c>
      <c r="I1920" s="25" t="str">
        <f>IF(OR(E1920="",E1920="!!!",F1920="NEW"),"",INDEX(B1919:B$2,-1+SUMPRODUCT(MAX(ROW(E1919:E$2)*(E1920=E1919:E$2)))))</f>
        <v> </v>
      </c>
      <c r="J1920" s="25" t="str">
        <f>IF(OR(E1920="",E1920="!!!",F1920="NEW"),"",COUNTBLANK(OFFSET(A$1,,,SUMPRODUCT(MAX(ROW(E$2:E1920)*(E1920=E$2:E1920)))))-COUNTBLANK(OFFSET(A$1,,,SUMPRODUCT(MAX(ROW(E$1:E1919)*(E2=E$1:E1919))))))</f>
        <v> </v>
      </c>
      <c r="K1920" s="25" t="str">
        <f>IF(OR(E1920="",E1920="!!!",F1920="NEW"),"",INDEX(J$1:J1919,SUMPRODUCT(MAX(ROW(E$1:E1919)*(E1920=E$1:E1919)))))</f>
        <v> </v>
      </c>
      <c r="L1920" s="26"/>
    </row>
    <row r="1921" spans="1:12">
      <c r="A1921" s="20" t="s">
        <v>495</v>
      </c>
      <c r="B1921" s="27" t="s">
        <v>461</v>
      </c>
      <c r="C1921" s="27" t="s">
        <v>279</v>
      </c>
      <c r="E1921" s="21">
        <f>IF(D1921="?OLD","!!!","")</f>
        <v/>
      </c>
      <c r="F1921" s="22" t="str">
        <f>IF(OR(E1921="",E1921="!!!"),"",IF(NOT(ISNA(VLOOKUP(E1921,E$1:E1920,1,FALSE()))),"OLD",IF(AND(E1921&lt;&gt;"",E1921&lt;&gt;"!!!"),"NEW","")))</f>
        <v> </v>
      </c>
      <c r="G1921" s="23" t="str">
        <f>IF(OR(E1921="",E1921="!!!"),"",IF(OR(J1921=0,AND(J1921=1,K1921=1),AND(J1921=1,I1921="SBJ"),AND(J1921=1,I1921=0)),"?IN_FOCUS",IF(J1921&lt;=2,"?ACTIVATED",IF(J1921&lt;&gt;"","?FAMILIAR",IF(F1921="NEW",IF(ISNA(VLOOKUP(E1921,#REF!,1,FALSE())),"?TYPE_IDENTIFIABLE","?REFERENTIAL"),"_")))))</f>
        <v> </v>
      </c>
      <c r="H1921" s="24" t="str">
        <f>IF(J1921&lt;&gt;1,"",IF(I1921="SBJ","CB","?"))</f>
        <v> </v>
      </c>
      <c r="I1921" s="25" t="str">
        <f>IF(OR(E1921="",E1921="!!!",F1921="NEW"),"",INDEX(B1920:B$2,-1+SUMPRODUCT(MAX(ROW(E1920:E$2)*(E1921=E1920:E$2)))))</f>
        <v> </v>
      </c>
      <c r="J1921" s="25" t="str">
        <f>IF(OR(E1921="",E1921="!!!",F1921="NEW"),"",COUNTBLANK(OFFSET(A$1,,,SUMPRODUCT(MAX(ROW(E$2:E1921)*(E1921=E$2:E1921)))))-COUNTBLANK(OFFSET(A$1,,,SUMPRODUCT(MAX(ROW(E$1:E1920)*(E2=E$1:E1920))))))</f>
        <v> </v>
      </c>
      <c r="K1921" s="25" t="str">
        <f>IF(OR(E1921="",E1921="!!!",F1921="NEW"),"",INDEX(J$1:J1920,SUMPRODUCT(MAX(ROW(E$1:E1920)*(E1921=E$1:E1920)))))</f>
        <v> </v>
      </c>
      <c r="L1921" s="26"/>
    </row>
    <row r="1922" spans="1:12">
      <c r="A1922" s="20" t="s">
        <v>372</v>
      </c>
      <c r="E1922" s="21">
        <f>IF(D1922="?OLD","!!!","")</f>
        <v/>
      </c>
      <c r="F1922" s="22" t="str">
        <f>IF(OR(E1922="",E1922="!!!"),"",IF(NOT(ISNA(VLOOKUP(E1922,E$1:E1921,1,FALSE()))),"OLD",IF(AND(E1922&lt;&gt;"",E1922&lt;&gt;"!!!"),"NEW","")))</f>
        <v> </v>
      </c>
      <c r="G1922" s="23" t="str">
        <f>IF(OR(E1922="",E1922="!!!"),"",IF(OR(J1922=0,AND(J1922=1,K1922=1),AND(J1922=1,I1922="SBJ"),AND(J1922=1,I1922=0)),"?IN_FOCUS",IF(J1922&lt;=2,"?ACTIVATED",IF(J1922&lt;&gt;"","?FAMILIAR",IF(F1922="NEW",IF(ISNA(VLOOKUP(E1922,#REF!,1,FALSE())),"?TYPE_IDENTIFIABLE","?REFERENTIAL"),"_")))))</f>
        <v> </v>
      </c>
      <c r="H1922" s="24" t="str">
        <f>IF(J1922&lt;&gt;1,"",IF(I1922="SBJ","CB","?"))</f>
        <v> </v>
      </c>
      <c r="I1922" s="25" t="str">
        <f>IF(OR(E1922="",E1922="!!!",F1922="NEW"),"",INDEX(B1921:B$2,-1+SUMPRODUCT(MAX(ROW(E1921:E$2)*(E1922=E1921:E$2)))))</f>
        <v> </v>
      </c>
      <c r="J1922" s="25" t="str">
        <f>IF(OR(E1922="",E1922="!!!",F1922="NEW"),"",COUNTBLANK(OFFSET(A$1,,,SUMPRODUCT(MAX(ROW(E$2:E1922)*(E1922=E$2:E1922)))))-COUNTBLANK(OFFSET(A$1,,,SUMPRODUCT(MAX(ROW(E$1:E1921)*(E2=E$1:E1921))))))</f>
        <v> </v>
      </c>
      <c r="K1922" s="25" t="str">
        <f>IF(OR(E1922="",E1922="!!!",F1922="NEW"),"",INDEX(J$1:J1921,SUMPRODUCT(MAX(ROW(E$1:E1921)*(E1922=E$1:E1921)))))</f>
        <v> </v>
      </c>
      <c r="L1922" s="26"/>
    </row>
    <row r="1923" spans="1:12">
      <c r="A1923" s="20" t="s">
        <v>305</v>
      </c>
      <c r="E1923" s="21">
        <f>IF(D1923="?OLD","!!!","")</f>
        <v/>
      </c>
      <c r="F1923" s="22" t="str">
        <f>IF(OR(E1923="",E1923="!!!"),"",IF(NOT(ISNA(VLOOKUP(E1923,E$1:E1922,1,FALSE()))),"OLD",IF(AND(E1923&lt;&gt;"",E1923&lt;&gt;"!!!"),"NEW","")))</f>
        <v> </v>
      </c>
      <c r="G1923" s="23" t="str">
        <f>IF(OR(E1923="",E1923="!!!"),"",IF(OR(J1923=0,AND(J1923=1,K1923=1),AND(J1923=1,I1923="SBJ"),AND(J1923=1,I1923=0)),"?IN_FOCUS",IF(J1923&lt;=2,"?ACTIVATED",IF(J1923&lt;&gt;"","?FAMILIAR",IF(F1923="NEW",IF(ISNA(VLOOKUP(E1923,#REF!,1,FALSE())),"?TYPE_IDENTIFIABLE","?REFERENTIAL"),"_")))))</f>
        <v> </v>
      </c>
      <c r="H1923" s="24" t="str">
        <f>IF(J1923&lt;&gt;1,"",IF(I1923="SBJ","CB","?"))</f>
        <v> </v>
      </c>
      <c r="I1923" s="25" t="str">
        <f>IF(OR(E1923="",E1923="!!!",F1923="NEW"),"",INDEX(B1922:B$2,-1+SUMPRODUCT(MAX(ROW(E1922:E$2)*(E1923=E1922:E$2)))))</f>
        <v> </v>
      </c>
      <c r="J1923" s="25" t="str">
        <f>IF(OR(E1923="",E1923="!!!",F1923="NEW"),"",COUNTBLANK(OFFSET(A$1,,,SUMPRODUCT(MAX(ROW(E$2:E1923)*(E1923=E$2:E1923)))))-COUNTBLANK(OFFSET(A$1,,,SUMPRODUCT(MAX(ROW(E$1:E1922)*(E2=E$1:E1922))))))</f>
        <v> </v>
      </c>
      <c r="K1923" s="25" t="str">
        <f>IF(OR(E1923="",E1923="!!!",F1923="NEW"),"",INDEX(J$1:J1922,SUMPRODUCT(MAX(ROW(E$1:E1922)*(E1923=E$1:E1922)))))</f>
        <v> </v>
      </c>
      <c r="L1923" s="26"/>
    </row>
    <row r="1924" spans="1:12">
      <c r="A1924" s="20" t="s">
        <v>392</v>
      </c>
      <c r="E1924" s="21">
        <f>IF(D1924="?OLD","!!!","")</f>
        <v/>
      </c>
      <c r="F1924" s="22" t="str">
        <f>IF(OR(E1924="",E1924="!!!"),"",IF(NOT(ISNA(VLOOKUP(E1924,E$1:E1923,1,FALSE()))),"OLD",IF(AND(E1924&lt;&gt;"",E1924&lt;&gt;"!!!"),"NEW","")))</f>
        <v> </v>
      </c>
      <c r="G1924" s="23" t="str">
        <f>IF(OR(E1924="",E1924="!!!"),"",IF(OR(J1924=0,AND(J1924=1,K1924=1),AND(J1924=1,I1924="SBJ"),AND(J1924=1,I1924=0)),"?IN_FOCUS",IF(J1924&lt;=2,"?ACTIVATED",IF(J1924&lt;&gt;"","?FAMILIAR",IF(F1924="NEW",IF(ISNA(VLOOKUP(E1924,#REF!,1,FALSE())),"?TYPE_IDENTIFIABLE","?REFERENTIAL"),"_")))))</f>
        <v> </v>
      </c>
      <c r="H1924" s="24" t="str">
        <f>IF(J1924&lt;&gt;1,"",IF(I1924="SBJ","CB","?"))</f>
        <v> </v>
      </c>
      <c r="I1924" s="25" t="str">
        <f>IF(OR(E1924="",E1924="!!!",F1924="NEW"),"",INDEX(B1923:B$2,-1+SUMPRODUCT(MAX(ROW(E1923:E$2)*(E1924=E1923:E$2)))))</f>
        <v> </v>
      </c>
      <c r="J1924" s="25" t="str">
        <f>IF(OR(E1924="",E1924="!!!",F1924="NEW"),"",COUNTBLANK(OFFSET(A$1,,,SUMPRODUCT(MAX(ROW(E$2:E1924)*(E1924=E$2:E1924)))))-COUNTBLANK(OFFSET(A$1,,,SUMPRODUCT(MAX(ROW(E$1:E1923)*(E2=E$1:E1923))))))</f>
        <v> </v>
      </c>
      <c r="K1924" s="25" t="str">
        <f>IF(OR(E1924="",E1924="!!!",F1924="NEW"),"",INDEX(J$1:J1923,SUMPRODUCT(MAX(ROW(E$1:E1923)*(E1924=E$1:E1923)))))</f>
        <v> </v>
      </c>
      <c r="L1924" s="26"/>
    </row>
    <row r="1925" spans="1:12">
      <c r="A1925" s="20" t="s">
        <v>954</v>
      </c>
      <c r="E1925" s="21">
        <f>IF(D1925="?OLD","!!!","")</f>
        <v/>
      </c>
      <c r="F1925" s="22" t="str">
        <f>IF(OR(E1925="",E1925="!!!"),"",IF(NOT(ISNA(VLOOKUP(E1925,E$1:E1924,1,FALSE()))),"OLD",IF(AND(E1925&lt;&gt;"",E1925&lt;&gt;"!!!"),"NEW","")))</f>
        <v> </v>
      </c>
      <c r="G1925" s="23" t="str">
        <f>IF(OR(E1925="",E1925="!!!"),"",IF(OR(J1925=0,AND(J1925=1,K1925=1),AND(J1925=1,I1925="SBJ"),AND(J1925=1,I1925=0)),"?IN_FOCUS",IF(J1925&lt;=2,"?ACTIVATED",IF(J1925&lt;&gt;"","?FAMILIAR",IF(F1925="NEW",IF(ISNA(VLOOKUP(E1925,#REF!,1,FALSE())),"?TYPE_IDENTIFIABLE","?REFERENTIAL"),"_")))))</f>
        <v> </v>
      </c>
      <c r="H1925" s="24" t="str">
        <f>IF(J1925&lt;&gt;1,"",IF(I1925="SBJ","CB","?"))</f>
        <v> </v>
      </c>
      <c r="I1925" s="25" t="str">
        <f>IF(OR(E1925="",E1925="!!!",F1925="NEW"),"",INDEX(B1924:B$2,-1+SUMPRODUCT(MAX(ROW(E1924:E$2)*(E1925=E1924:E$2)))))</f>
        <v> </v>
      </c>
      <c r="J1925" s="25" t="str">
        <f>IF(OR(E1925="",E1925="!!!",F1925="NEW"),"",COUNTBLANK(OFFSET(A$1,,,SUMPRODUCT(MAX(ROW(E$2:E1925)*(E1925=E$2:E1925)))))-COUNTBLANK(OFFSET(A$1,,,SUMPRODUCT(MAX(ROW(E$1:E1924)*(E2=E$1:E1924))))))</f>
        <v> </v>
      </c>
      <c r="K1925" s="25" t="str">
        <f>IF(OR(E1925="",E1925="!!!",F1925="NEW"),"",INDEX(J$1:J1924,SUMPRODUCT(MAX(ROW(E$1:E1924)*(E1925=E$1:E1924)))))</f>
        <v> </v>
      </c>
      <c r="L1925" s="26"/>
    </row>
    <row r="1926" spans="1:12">
      <c r="A1926" s="20" t="s">
        <v>277</v>
      </c>
      <c r="E1926" s="21">
        <f>IF(D1926="?OLD","!!!","")</f>
        <v/>
      </c>
      <c r="F1926" s="22" t="str">
        <f>IF(OR(E1926="",E1926="!!!"),"",IF(NOT(ISNA(VLOOKUP(E1926,E$1:E1925,1,FALSE()))),"OLD",IF(AND(E1926&lt;&gt;"",E1926&lt;&gt;"!!!"),"NEW","")))</f>
        <v> </v>
      </c>
      <c r="G1926" s="23" t="str">
        <f>IF(OR(E1926="",E1926="!!!"),"",IF(OR(J1926=0,AND(J1926=1,K1926=1),AND(J1926=1,I1926="SBJ"),AND(J1926=1,I1926=0)),"?IN_FOCUS",IF(J1926&lt;=2,"?ACTIVATED",IF(J1926&lt;&gt;"","?FAMILIAR",IF(F1926="NEW",IF(ISNA(VLOOKUP(E1926,#REF!,1,FALSE())),"?TYPE_IDENTIFIABLE","?REFERENTIAL"),"_")))))</f>
        <v> </v>
      </c>
      <c r="H1926" s="24" t="str">
        <f>IF(J1926&lt;&gt;1,"",IF(I1926="SBJ","CB","?"))</f>
        <v> </v>
      </c>
      <c r="I1926" s="25" t="str">
        <f>IF(OR(E1926="",E1926="!!!",F1926="NEW"),"",INDEX(B1925:B$2,-1+SUMPRODUCT(MAX(ROW(E1925:E$2)*(E1926=E1925:E$2)))))</f>
        <v> </v>
      </c>
      <c r="J1926" s="25" t="str">
        <f>IF(OR(E1926="",E1926="!!!",F1926="NEW"),"",COUNTBLANK(OFFSET(A$1,,,SUMPRODUCT(MAX(ROW(E$2:E1926)*(E1926=E$2:E1926)))))-COUNTBLANK(OFFSET(A$1,,,SUMPRODUCT(MAX(ROW(E$1:E1925)*(E2=E$1:E1925))))))</f>
        <v> </v>
      </c>
      <c r="K1926" s="25" t="str">
        <f>IF(OR(E1926="",E1926="!!!",F1926="NEW"),"",INDEX(J$1:J1925,SUMPRODUCT(MAX(ROW(E$1:E1925)*(E1926=E$1:E1925)))))</f>
        <v> </v>
      </c>
      <c r="L1926" s="26"/>
    </row>
    <row r="1927" spans="1:12">
      <c r="A1927" s="20" t="s">
        <v>23</v>
      </c>
      <c r="B1927" s="27" t="s">
        <v>237</v>
      </c>
      <c r="C1927" s="27" t="s">
        <v>279</v>
      </c>
      <c r="E1927" s="21">
        <f>IF(D1927="?OLD","!!!","")</f>
        <v/>
      </c>
      <c r="F1927" s="22" t="str">
        <f>IF(OR(E1927="",E1927="!!!"),"",IF(NOT(ISNA(VLOOKUP(E1927,E$1:E1926,1,FALSE()))),"OLD",IF(AND(E1927&lt;&gt;"",E1927&lt;&gt;"!!!"),"NEW","")))</f>
        <v> </v>
      </c>
      <c r="G1927" s="23" t="str">
        <f>IF(OR(E1927="",E1927="!!!"),"",IF(OR(J1927=0,AND(J1927=1,K1927=1),AND(J1927=1,I1927="SBJ"),AND(J1927=1,I1927=0)),"?IN_FOCUS",IF(J1927&lt;=2,"?ACTIVATED",IF(J1927&lt;&gt;"","?FAMILIAR",IF(F1927="NEW",IF(ISNA(VLOOKUP(E1927,#REF!,1,FALSE())),"?TYPE_IDENTIFIABLE","?REFERENTIAL"),"_")))))</f>
        <v> </v>
      </c>
      <c r="H1927" s="24" t="str">
        <f>IF(J1927&lt;&gt;1,"",IF(I1927="SBJ","CB","?"))</f>
        <v> </v>
      </c>
      <c r="I1927" s="25" t="str">
        <f>IF(OR(E1927="",E1927="!!!",F1927="NEW"),"",INDEX(B1926:B$2,-1+SUMPRODUCT(MAX(ROW(E1926:E$2)*(E1927=E1926:E$2)))))</f>
        <v> </v>
      </c>
      <c r="J1927" s="25" t="str">
        <f>IF(OR(E1927="",E1927="!!!",F1927="NEW"),"",COUNTBLANK(OFFSET(A$1,,,SUMPRODUCT(MAX(ROW(E$2:E1927)*(E1927=E$2:E1927)))))-COUNTBLANK(OFFSET(A$1,,,SUMPRODUCT(MAX(ROW(E$1:E1926)*(E2=E$1:E1926))))))</f>
        <v> </v>
      </c>
      <c r="K1927" s="25" t="str">
        <f>IF(OR(E1927="",E1927="!!!",F1927="NEW"),"",INDEX(J$1:J1926,SUMPRODUCT(MAX(ROW(E$1:E1926)*(E1927=E$1:E1926)))))</f>
        <v> </v>
      </c>
      <c r="L1927" s="26"/>
    </row>
    <row r="1928" spans="1:12">
      <c r="A1928" s="20" t="s">
        <v>349</v>
      </c>
      <c r="E1928" s="21">
        <f>IF(D1928="?OLD","!!!","")</f>
        <v/>
      </c>
      <c r="F1928" s="22" t="str">
        <f>IF(OR(E1928="",E1928="!!!"),"",IF(NOT(ISNA(VLOOKUP(E1928,E$1:E1927,1,FALSE()))),"OLD",IF(AND(E1928&lt;&gt;"",E1928&lt;&gt;"!!!"),"NEW","")))</f>
        <v> </v>
      </c>
      <c r="G1928" s="23" t="str">
        <f>IF(OR(E1928="",E1928="!!!"),"",IF(OR(J1928=0,AND(J1928=1,K1928=1),AND(J1928=1,I1928="SBJ"),AND(J1928=1,I1928=0)),"?IN_FOCUS",IF(J1928&lt;=2,"?ACTIVATED",IF(J1928&lt;&gt;"","?FAMILIAR",IF(F1928="NEW",IF(ISNA(VLOOKUP(E1928,#REF!,1,FALSE())),"?TYPE_IDENTIFIABLE","?REFERENTIAL"),"_")))))</f>
        <v> </v>
      </c>
      <c r="H1928" s="24" t="str">
        <f>IF(J1928&lt;&gt;1,"",IF(I1928="SBJ","CB","?"))</f>
        <v> </v>
      </c>
      <c r="I1928" s="25" t="str">
        <f>IF(OR(E1928="",E1928="!!!",F1928="NEW"),"",INDEX(B1927:B$2,-1+SUMPRODUCT(MAX(ROW(E1927:E$2)*(E1928=E1927:E$2)))))</f>
        <v> </v>
      </c>
      <c r="J1928" s="25" t="str">
        <f>IF(OR(E1928="",E1928="!!!",F1928="NEW"),"",COUNTBLANK(OFFSET(A$1,,,SUMPRODUCT(MAX(ROW(E$2:E1928)*(E1928=E$2:E1928)))))-COUNTBLANK(OFFSET(A$1,,,SUMPRODUCT(MAX(ROW(E$1:E1927)*(E2=E$1:E1927))))))</f>
        <v> </v>
      </c>
      <c r="K1928" s="25" t="str">
        <f>IF(OR(E1928="",E1928="!!!",F1928="NEW"),"",INDEX(J$1:J1927,SUMPRODUCT(MAX(ROW(E$1:E1927)*(E1928=E$1:E1927)))))</f>
        <v> </v>
      </c>
      <c r="L1928" s="26"/>
    </row>
    <row r="1929" spans="1:12">
      <c r="A1929" s="20" t="s">
        <v>955</v>
      </c>
      <c r="E1929" s="21">
        <f>IF(D1929="?OLD","!!!","")</f>
        <v/>
      </c>
      <c r="F1929" s="22" t="str">
        <f>IF(OR(E1929="",E1929="!!!"),"",IF(NOT(ISNA(VLOOKUP(E1929,E$1:E1928,1,FALSE()))),"OLD",IF(AND(E1929&lt;&gt;"",E1929&lt;&gt;"!!!"),"NEW","")))</f>
        <v> </v>
      </c>
      <c r="G1929" s="23" t="str">
        <f>IF(OR(E1929="",E1929="!!!"),"",IF(OR(J1929=0,AND(J1929=1,K1929=1),AND(J1929=1,I1929="SBJ"),AND(J1929=1,I1929=0)),"?IN_FOCUS",IF(J1929&lt;=2,"?ACTIVATED",IF(J1929&lt;&gt;"","?FAMILIAR",IF(F1929="NEW",IF(ISNA(VLOOKUP(E1929,#REF!,1,FALSE())),"?TYPE_IDENTIFIABLE","?REFERENTIAL"),"_")))))</f>
        <v> </v>
      </c>
      <c r="H1929" s="24" t="str">
        <f>IF(J1929&lt;&gt;1,"",IF(I1929="SBJ","CB","?"))</f>
        <v> </v>
      </c>
      <c r="I1929" s="25" t="str">
        <f>IF(OR(E1929="",E1929="!!!",F1929="NEW"),"",INDEX(B1928:B$2,-1+SUMPRODUCT(MAX(ROW(E1928:E$2)*(E1929=E1928:E$2)))))</f>
        <v> </v>
      </c>
      <c r="J1929" s="25" t="str">
        <f>IF(OR(E1929="",E1929="!!!",F1929="NEW"),"",COUNTBLANK(OFFSET(A$1,,,SUMPRODUCT(MAX(ROW(E$2:E1929)*(E1929=E$2:E1929)))))-COUNTBLANK(OFFSET(A$1,,,SUMPRODUCT(MAX(ROW(E$1:E1928)*(E2=E$1:E1928))))))</f>
        <v> </v>
      </c>
      <c r="K1929" s="25" t="str">
        <f>IF(OR(E1929="",E1929="!!!",F1929="NEW"),"",INDEX(J$1:J1928,SUMPRODUCT(MAX(ROW(E$1:E1928)*(E1929=E$1:E1928)))))</f>
        <v> </v>
      </c>
      <c r="L1929" s="26"/>
    </row>
    <row r="1930" spans="1:12">
      <c r="A1930" s="20" t="s">
        <v>956</v>
      </c>
      <c r="E1930" s="21">
        <f>IF(D1930="?OLD","!!!","")</f>
        <v/>
      </c>
      <c r="F1930" s="22" t="str">
        <f>IF(OR(E1930="",E1930="!!!"),"",IF(NOT(ISNA(VLOOKUP(E1930,E$1:E1929,1,FALSE()))),"OLD",IF(AND(E1930&lt;&gt;"",E1930&lt;&gt;"!!!"),"NEW","")))</f>
        <v> </v>
      </c>
      <c r="G1930" s="23" t="str">
        <f>IF(OR(E1930="",E1930="!!!"),"",IF(OR(J1930=0,AND(J1930=1,K1930=1),AND(J1930=1,I1930="SBJ"),AND(J1930=1,I1930=0)),"?IN_FOCUS",IF(J1930&lt;=2,"?ACTIVATED",IF(J1930&lt;&gt;"","?FAMILIAR",IF(F1930="NEW",IF(ISNA(VLOOKUP(E1930,#REF!,1,FALSE())),"?TYPE_IDENTIFIABLE","?REFERENTIAL"),"_")))))</f>
        <v> </v>
      </c>
      <c r="H1930" s="24" t="str">
        <f>IF(J1930&lt;&gt;1,"",IF(I1930="SBJ","CB","?"))</f>
        <v> </v>
      </c>
      <c r="I1930" s="25" t="str">
        <f>IF(OR(E1930="",E1930="!!!",F1930="NEW"),"",INDEX(B1929:B$2,-1+SUMPRODUCT(MAX(ROW(E1929:E$2)*(E1930=E1929:E$2)))))</f>
        <v> </v>
      </c>
      <c r="J1930" s="25" t="str">
        <f>IF(OR(E1930="",E1930="!!!",F1930="NEW"),"",COUNTBLANK(OFFSET(A$1,,,SUMPRODUCT(MAX(ROW(E$2:E1930)*(E1930=E$2:E1930)))))-COUNTBLANK(OFFSET(A$1,,,SUMPRODUCT(MAX(ROW(E$1:E1929)*(E2=E$1:E1929))))))</f>
        <v> </v>
      </c>
      <c r="K1930" s="25" t="str">
        <f>IF(OR(E1930="",E1930="!!!",F1930="NEW"),"",INDEX(J$1:J1929,SUMPRODUCT(MAX(ROW(E$1:E1929)*(E1930=E$1:E1929)))))</f>
        <v> </v>
      </c>
      <c r="L1930" s="26"/>
    </row>
    <row r="1931" spans="1:12">
      <c r="A1931" s="20" t="s">
        <v>304</v>
      </c>
      <c r="B1931" s="27" t="s">
        <v>423</v>
      </c>
      <c r="C1931" s="27" t="s">
        <v>281</v>
      </c>
      <c r="E1931" s="21">
        <f>IF(D1931="?OLD","!!!","")</f>
        <v/>
      </c>
      <c r="F1931" s="22" t="str">
        <f>IF(OR(E1931="",E1931="!!!"),"",IF(NOT(ISNA(VLOOKUP(E1931,E$1:E1930,1,FALSE()))),"OLD",IF(AND(E1931&lt;&gt;"",E1931&lt;&gt;"!!!"),"NEW","")))</f>
        <v> </v>
      </c>
      <c r="G1931" s="23" t="str">
        <f>IF(OR(E1931="",E1931="!!!"),"",IF(OR(J1931=0,AND(J1931=1,K1931=1),AND(J1931=1,I1931="SBJ"),AND(J1931=1,I1931=0)),"?IN_FOCUS",IF(J1931&lt;=2,"?ACTIVATED",IF(J1931&lt;&gt;"","?FAMILIAR",IF(F1931="NEW",IF(ISNA(VLOOKUP(E1931,#REF!,1,FALSE())),"?TYPE_IDENTIFIABLE","?REFERENTIAL"),"_")))))</f>
        <v> </v>
      </c>
      <c r="H1931" s="24" t="str">
        <f>IF(J1931&lt;&gt;1,"",IF(I1931="SBJ","CB","?"))</f>
        <v> </v>
      </c>
      <c r="I1931" s="25" t="str">
        <f>IF(OR(E1931="",E1931="!!!",F1931="NEW"),"",INDEX(B1930:B$2,-1+SUMPRODUCT(MAX(ROW(E1930:E$2)*(E1931=E1930:E$2)))))</f>
        <v> </v>
      </c>
      <c r="J1931" s="25" t="str">
        <f>IF(OR(E1931="",E1931="!!!",F1931="NEW"),"",COUNTBLANK(OFFSET(A$1,,,SUMPRODUCT(MAX(ROW(E$2:E1931)*(E1931=E$2:E1931)))))-COUNTBLANK(OFFSET(A$1,,,SUMPRODUCT(MAX(ROW(E$1:E1930)*(E2=E$1:E1930))))))</f>
        <v> </v>
      </c>
      <c r="K1931" s="25" t="str">
        <f>IF(OR(E1931="",E1931="!!!",F1931="NEW"),"",INDEX(J$1:J1930,SUMPRODUCT(MAX(ROW(E$1:E1930)*(E1931=E$1:E1930)))))</f>
        <v> </v>
      </c>
      <c r="L1931" s="26"/>
    </row>
    <row r="1932" spans="1:12">
      <c r="A1932" s="20" t="s">
        <v>285</v>
      </c>
      <c r="E1932" s="21">
        <f>IF(D1932="?OLD","!!!","")</f>
        <v/>
      </c>
      <c r="F1932" s="22" t="str">
        <f>IF(OR(E1932="",E1932="!!!"),"",IF(NOT(ISNA(VLOOKUP(E1932,E$1:E1931,1,FALSE()))),"OLD",IF(AND(E1932&lt;&gt;"",E1932&lt;&gt;"!!!"),"NEW","")))</f>
        <v> </v>
      </c>
      <c r="G1932" s="23" t="str">
        <f>IF(OR(E1932="",E1932="!!!"),"",IF(OR(J1932=0,AND(J1932=1,K1932=1),AND(J1932=1,I1932="SBJ"),AND(J1932=1,I1932=0)),"?IN_FOCUS",IF(J1932&lt;=2,"?ACTIVATED",IF(J1932&lt;&gt;"","?FAMILIAR",IF(F1932="NEW",IF(ISNA(VLOOKUP(E1932,#REF!,1,FALSE())),"?TYPE_IDENTIFIABLE","?REFERENTIAL"),"_")))))</f>
        <v> </v>
      </c>
      <c r="H1932" s="24" t="str">
        <f>IF(J1932&lt;&gt;1,"",IF(I1932="SBJ","CB","?"))</f>
        <v> </v>
      </c>
      <c r="I1932" s="25" t="str">
        <f>IF(OR(E1932="",E1932="!!!",F1932="NEW"),"",INDEX(B1931:B$2,-1+SUMPRODUCT(MAX(ROW(E1931:E$2)*(E1932=E1931:E$2)))))</f>
        <v> </v>
      </c>
      <c r="J1932" s="25" t="str">
        <f>IF(OR(E1932="",E1932="!!!",F1932="NEW"),"",COUNTBLANK(OFFSET(A$1,,,SUMPRODUCT(MAX(ROW(E$2:E1932)*(E1932=E$2:E1932)))))-COUNTBLANK(OFFSET(A$1,,,SUMPRODUCT(MAX(ROW(E$1:E1931)*(E2=E$1:E1931))))))</f>
        <v> </v>
      </c>
      <c r="K1932" s="25" t="str">
        <f>IF(OR(E1932="",E1932="!!!",F1932="NEW"),"",INDEX(J$1:J1931,SUMPRODUCT(MAX(ROW(E$1:E1931)*(E1932=E$1:E1931)))))</f>
        <v> </v>
      </c>
      <c r="L1932" s="26"/>
    </row>
    <row r="1933" spans="1:12">
      <c r="A1933" s="20"/>
    </row>
    <row r="1934" spans="1:12">
      <c r="A1934" s="20" t="s">
        <v>957</v>
      </c>
    </row>
    <row r="1935" spans="1:12">
      <c r="A1935" s="20" t="s">
        <v>958</v>
      </c>
      <c r="B1935" s="27" t="s">
        <v>255</v>
      </c>
      <c r="C1935" s="27" t="s">
        <v>281</v>
      </c>
      <c r="E1935" s="21">
        <f>IF(D1935="?OLD","!!!","")</f>
        <v/>
      </c>
      <c r="F1935" s="22" t="str">
        <f>IF(OR(E1935="",E1935="!!!"),"",IF(NOT(ISNA(VLOOKUP(E1935,E$1:E1934,1,FALSE()))),"OLD",IF(AND(E1935&lt;&gt;"",E1935&lt;&gt;"!!!"),"NEW","")))</f>
        <v> </v>
      </c>
      <c r="G1935" s="23" t="str">
        <f>IF(OR(E1935="",E1935="!!!"),"",IF(OR(J1935=0,AND(J1935=1,K1935=1),AND(J1935=1,I1935="SBJ"),AND(J1935=1,I1935=0)),"?IN_FOCUS",IF(J1935&lt;=2,"?ACTIVATED",IF(J1935&lt;&gt;"","?FAMILIAR",IF(F1935="NEW",IF(ISNA(VLOOKUP(E1935,#REF!,1,FALSE())),"?TYPE_IDENTIFIABLE","?REFERENTIAL"),"_")))))</f>
        <v> </v>
      </c>
      <c r="H1935" s="24" t="str">
        <f>IF(J1935&lt;&gt;1,"",IF(I1935="SBJ","CB","?"))</f>
        <v> </v>
      </c>
      <c r="I1935" s="25" t="str">
        <f>IF(OR(E1935="",E1935="!!!",F1935="NEW"),"",INDEX(B1934:B$2,-1+SUMPRODUCT(MAX(ROW(E1934:E$2)*(E1935=E1934:E$2)))))</f>
        <v> </v>
      </c>
      <c r="J1935" s="25" t="str">
        <f>IF(OR(E1935="",E1935="!!!",F1935="NEW"),"",COUNTBLANK(OFFSET(A$1,,,SUMPRODUCT(MAX(ROW(E$2:E1935)*(E1935=E$2:E1935)))))-COUNTBLANK(OFFSET(A$1,,,SUMPRODUCT(MAX(ROW(E$1:E1934)*(E2=E$1:E1934))))))</f>
        <v> </v>
      </c>
      <c r="K1935" s="25" t="str">
        <f>IF(OR(E1935="",E1935="!!!",F1935="NEW"),"",INDEX(J$1:J1934,SUMPRODUCT(MAX(ROW(E$1:E1934)*(E1935=E$1:E1934)))))</f>
        <v> </v>
      </c>
      <c r="L1935" s="26"/>
    </row>
    <row r="1936" spans="1:12">
      <c r="A1936" s="20" t="s">
        <v>743</v>
      </c>
      <c r="E1936" s="21">
        <f>IF(D1936="?OLD","!!!","")</f>
        <v/>
      </c>
      <c r="F1936" s="22" t="str">
        <f>IF(OR(E1936="",E1936="!!!"),"",IF(NOT(ISNA(VLOOKUP(E1936,E$1:E1935,1,FALSE()))),"OLD",IF(AND(E1936&lt;&gt;"",E1936&lt;&gt;"!!!"),"NEW","")))</f>
        <v> </v>
      </c>
      <c r="G1936" s="23" t="str">
        <f>IF(OR(E1936="",E1936="!!!"),"",IF(OR(J1936=0,AND(J1936=1,K1936=1),AND(J1936=1,I1936="SBJ"),AND(J1936=1,I1936=0)),"?IN_FOCUS",IF(J1936&lt;=2,"?ACTIVATED",IF(J1936&lt;&gt;"","?FAMILIAR",IF(F1936="NEW",IF(ISNA(VLOOKUP(E1936,#REF!,1,FALSE())),"?TYPE_IDENTIFIABLE","?REFERENTIAL"),"_")))))</f>
        <v> </v>
      </c>
      <c r="H1936" s="24" t="str">
        <f>IF(J1936&lt;&gt;1,"",IF(I1936="SBJ","CB","?"))</f>
        <v> </v>
      </c>
      <c r="I1936" s="25" t="str">
        <f>IF(OR(E1936="",E1936="!!!",F1936="NEW"),"",INDEX(B1935:B$2,-1+SUMPRODUCT(MAX(ROW(E1935:E$2)*(E1936=E1935:E$2)))))</f>
        <v> </v>
      </c>
      <c r="J1936" s="25" t="str">
        <f>IF(OR(E1936="",E1936="!!!",F1936="NEW"),"",COUNTBLANK(OFFSET(A$1,,,SUMPRODUCT(MAX(ROW(E$2:E1936)*(E1936=E$2:E1936)))))-COUNTBLANK(OFFSET(A$1,,,SUMPRODUCT(MAX(ROW(E$1:E1935)*(E2=E$1:E1935))))))</f>
        <v> </v>
      </c>
      <c r="K1936" s="25" t="str">
        <f>IF(OR(E1936="",E1936="!!!",F1936="NEW"),"",INDEX(J$1:J1935,SUMPRODUCT(MAX(ROW(E$1:E1935)*(E1936=E$1:E1935)))))</f>
        <v> </v>
      </c>
      <c r="L1936" s="26"/>
    </row>
    <row r="1937" spans="1:12">
      <c r="A1937" s="20" t="s">
        <v>345</v>
      </c>
      <c r="E1937" s="21">
        <f>IF(D1937="?OLD","!!!","")</f>
        <v/>
      </c>
      <c r="F1937" s="22" t="str">
        <f>IF(OR(E1937="",E1937="!!!"),"",IF(NOT(ISNA(VLOOKUP(E1937,E$1:E1936,1,FALSE()))),"OLD",IF(AND(E1937&lt;&gt;"",E1937&lt;&gt;"!!!"),"NEW","")))</f>
        <v> </v>
      </c>
      <c r="G1937" s="23" t="str">
        <f>IF(OR(E1937="",E1937="!!!"),"",IF(OR(J1937=0,AND(J1937=1,K1937=1),AND(J1937=1,I1937="SBJ"),AND(J1937=1,I1937=0)),"?IN_FOCUS",IF(J1937&lt;=2,"?ACTIVATED",IF(J1937&lt;&gt;"","?FAMILIAR",IF(F1937="NEW",IF(ISNA(VLOOKUP(E1937,#REF!,1,FALSE())),"?TYPE_IDENTIFIABLE","?REFERENTIAL"),"_")))))</f>
        <v> </v>
      </c>
      <c r="H1937" s="24" t="str">
        <f>IF(J1937&lt;&gt;1,"",IF(I1937="SBJ","CB","?"))</f>
        <v> </v>
      </c>
      <c r="I1937" s="25" t="str">
        <f>IF(OR(E1937="",E1937="!!!",F1937="NEW"),"",INDEX(B1936:B$2,-1+SUMPRODUCT(MAX(ROW(E1936:E$2)*(E1937=E1936:E$2)))))</f>
        <v> </v>
      </c>
      <c r="J1937" s="25" t="str">
        <f>IF(OR(E1937="",E1937="!!!",F1937="NEW"),"",COUNTBLANK(OFFSET(A$1,,,SUMPRODUCT(MAX(ROW(E$2:E1937)*(E1937=E$2:E1937)))))-COUNTBLANK(OFFSET(A$1,,,SUMPRODUCT(MAX(ROW(E$1:E1936)*(E2=E$1:E1936))))))</f>
        <v> </v>
      </c>
      <c r="K1937" s="25" t="str">
        <f>IF(OR(E1937="",E1937="!!!",F1937="NEW"),"",INDEX(J$1:J1936,SUMPRODUCT(MAX(ROW(E$1:E1936)*(E1937=E$1:E1936)))))</f>
        <v> </v>
      </c>
      <c r="L1937" s="26"/>
    </row>
    <row r="1938" spans="1:12">
      <c r="A1938" s="20" t="s">
        <v>959</v>
      </c>
      <c r="B1938" s="27" t="s">
        <v>237</v>
      </c>
      <c r="C1938" s="27" t="s">
        <v>281</v>
      </c>
      <c r="E1938" s="21">
        <f>IF(D1938="?OLD","!!!","")</f>
        <v/>
      </c>
      <c r="F1938" s="22" t="str">
        <f>IF(OR(E1938="",E1938="!!!"),"",IF(NOT(ISNA(VLOOKUP(E1938,E$1:E1937,1,FALSE()))),"OLD",IF(AND(E1938&lt;&gt;"",E1938&lt;&gt;"!!!"),"NEW","")))</f>
        <v> </v>
      </c>
      <c r="G1938" s="23" t="str">
        <f>IF(OR(E1938="",E1938="!!!"),"",IF(OR(J1938=0,AND(J1938=1,K1938=1),AND(J1938=1,I1938="SBJ"),AND(J1938=1,I1938=0)),"?IN_FOCUS",IF(J1938&lt;=2,"?ACTIVATED",IF(J1938&lt;&gt;"","?FAMILIAR",IF(F1938="NEW",IF(ISNA(VLOOKUP(E1938,#REF!,1,FALSE())),"?TYPE_IDENTIFIABLE","?REFERENTIAL"),"_")))))</f>
        <v> </v>
      </c>
      <c r="H1938" s="24" t="str">
        <f>IF(J1938&lt;&gt;1,"",IF(I1938="SBJ","CB","?"))</f>
        <v> </v>
      </c>
      <c r="I1938" s="25" t="str">
        <f>IF(OR(E1938="",E1938="!!!",F1938="NEW"),"",INDEX(B1937:B$2,-1+SUMPRODUCT(MAX(ROW(E1937:E$2)*(E1938=E1937:E$2)))))</f>
        <v> </v>
      </c>
      <c r="J1938" s="25" t="str">
        <f>IF(OR(E1938="",E1938="!!!",F1938="NEW"),"",COUNTBLANK(OFFSET(A$1,,,SUMPRODUCT(MAX(ROW(E$2:E1938)*(E1938=E$2:E1938)))))-COUNTBLANK(OFFSET(A$1,,,SUMPRODUCT(MAX(ROW(E$1:E1937)*(E2=E$1:E1937))))))</f>
        <v> </v>
      </c>
      <c r="K1938" s="25" t="str">
        <f>IF(OR(E1938="",E1938="!!!",F1938="NEW"),"",INDEX(J$1:J1937,SUMPRODUCT(MAX(ROW(E$1:E1937)*(E1938=E$1:E1937)))))</f>
        <v> </v>
      </c>
      <c r="L1938" s="26"/>
    </row>
    <row r="1939" spans="1:12">
      <c r="A1939" s="20" t="s">
        <v>377</v>
      </c>
      <c r="E1939" s="21">
        <f>IF(D1939="?OLD","!!!","")</f>
        <v/>
      </c>
      <c r="F1939" s="22" t="str">
        <f>IF(OR(E1939="",E1939="!!!"),"",IF(NOT(ISNA(VLOOKUP(E1939,E$1:E1938,1,FALSE()))),"OLD",IF(AND(E1939&lt;&gt;"",E1939&lt;&gt;"!!!"),"NEW","")))</f>
        <v> </v>
      </c>
      <c r="G1939" s="23" t="str">
        <f>IF(OR(E1939="",E1939="!!!"),"",IF(OR(J1939=0,AND(J1939=1,K1939=1),AND(J1939=1,I1939="SBJ"),AND(J1939=1,I1939=0)),"?IN_FOCUS",IF(J1939&lt;=2,"?ACTIVATED",IF(J1939&lt;&gt;"","?FAMILIAR",IF(F1939="NEW",IF(ISNA(VLOOKUP(E1939,#REF!,1,FALSE())),"?TYPE_IDENTIFIABLE","?REFERENTIAL"),"_")))))</f>
        <v> </v>
      </c>
      <c r="H1939" s="24" t="str">
        <f>IF(J1939&lt;&gt;1,"",IF(I1939="SBJ","CB","?"))</f>
        <v> </v>
      </c>
      <c r="I1939" s="25" t="str">
        <f>IF(OR(E1939="",E1939="!!!",F1939="NEW"),"",INDEX(B1938:B$2,-1+SUMPRODUCT(MAX(ROW(E1938:E$2)*(E1939=E1938:E$2)))))</f>
        <v> </v>
      </c>
      <c r="J1939" s="25" t="str">
        <f>IF(OR(E1939="",E1939="!!!",F1939="NEW"),"",COUNTBLANK(OFFSET(A$1,,,SUMPRODUCT(MAX(ROW(E$2:E1939)*(E1939=E$2:E1939)))))-COUNTBLANK(OFFSET(A$1,,,SUMPRODUCT(MAX(ROW(E$1:E1938)*(E2=E$1:E1938))))))</f>
        <v> </v>
      </c>
      <c r="K1939" s="25" t="str">
        <f>IF(OR(E1939="",E1939="!!!",F1939="NEW"),"",INDEX(J$1:J1938,SUMPRODUCT(MAX(ROW(E$1:E1938)*(E1939=E$1:E1938)))))</f>
        <v> </v>
      </c>
      <c r="L1939" s="26"/>
    </row>
    <row r="1940" spans="1:12">
      <c r="A1940" s="20" t="s">
        <v>341</v>
      </c>
      <c r="B1940" s="27" t="s">
        <v>295</v>
      </c>
      <c r="C1940" s="27" t="s">
        <v>256</v>
      </c>
      <c r="D1940" s="27" t="s">
        <v>244</v>
      </c>
      <c r="E1940" s="21">
        <f>IF(D1940="?OLD","!!!","")</f>
        <v/>
      </c>
      <c r="F1940" s="22" t="str">
        <f>IF(OR(E1940="",E1940="!!!"),"",IF(NOT(ISNA(VLOOKUP(E1940,E$1:E1939,1,FALSE()))),"OLD",IF(AND(E1940&lt;&gt;"",E1940&lt;&gt;"!!!"),"NEW","")))</f>
        <v> </v>
      </c>
      <c r="G1940" s="23" t="str">
        <f>IF(OR(E1940="",E1940="!!!"),"",IF(OR(J1940=0,AND(J1940=1,K1940=1),AND(J1940=1,I1940="SBJ"),AND(J1940=1,I1940=0)),"?IN_FOCUS",IF(J1940&lt;=2,"?ACTIVATED",IF(J1940&lt;&gt;"","?FAMILIAR",IF(F1940="NEW",IF(ISNA(VLOOKUP(E1940,#REF!,1,FALSE())),"?TYPE_IDENTIFIABLE","?REFERENTIAL"),"_")))))</f>
        <v> </v>
      </c>
      <c r="H1940" s="24" t="str">
        <f>IF(J1940&lt;&gt;1,"",IF(I1940="SBJ","CB","?"))</f>
        <v> </v>
      </c>
      <c r="I1940" s="25" t="str">
        <f>IF(OR(E1940="",E1940="!!!",F1940="NEW"),"",INDEX(B1939:B$2,-1+SUMPRODUCT(MAX(ROW(E1939:E$2)*(E1940=E1939:E$2)))))</f>
        <v> </v>
      </c>
      <c r="J1940" s="25" t="str">
        <f>IF(OR(E1940="",E1940="!!!",F1940="NEW"),"",COUNTBLANK(OFFSET(A$1,,,SUMPRODUCT(MAX(ROW(E$2:E1940)*(E1940=E$2:E1940)))))-COUNTBLANK(OFFSET(A$1,,,SUMPRODUCT(MAX(ROW(E$1:E1939)*(E2=E$1:E1939))))))</f>
        <v> </v>
      </c>
      <c r="K1940" s="25" t="str">
        <f>IF(OR(E1940="",E1940="!!!",F1940="NEW"),"",INDEX(J$1:J1939,SUMPRODUCT(MAX(ROW(E$1:E1939)*(E1940=E$1:E1939)))))</f>
        <v> </v>
      </c>
      <c r="L1940" s="26"/>
    </row>
    <row r="1941" spans="1:12">
      <c r="A1941" s="20" t="s">
        <v>960</v>
      </c>
      <c r="E1941" s="21">
        <f>IF(D1941="?OLD","!!!","")</f>
        <v/>
      </c>
      <c r="F1941" s="22" t="str">
        <f>IF(OR(E1941="",E1941="!!!"),"",IF(NOT(ISNA(VLOOKUP(E1941,E$1:E1940,1,FALSE()))),"OLD",IF(AND(E1941&lt;&gt;"",E1941&lt;&gt;"!!!"),"NEW","")))</f>
        <v> </v>
      </c>
      <c r="G1941" s="23" t="str">
        <f>IF(OR(E1941="",E1941="!!!"),"",IF(OR(J1941=0,AND(J1941=1,K1941=1),AND(J1941=1,I1941="SBJ"),AND(J1941=1,I1941=0)),"?IN_FOCUS",IF(J1941&lt;=2,"?ACTIVATED",IF(J1941&lt;&gt;"","?FAMILIAR",IF(F1941="NEW",IF(ISNA(VLOOKUP(E1941,#REF!,1,FALSE())),"?TYPE_IDENTIFIABLE","?REFERENTIAL"),"_")))))</f>
        <v> </v>
      </c>
      <c r="H1941" s="24" t="str">
        <f>IF(J1941&lt;&gt;1,"",IF(I1941="SBJ","CB","?"))</f>
        <v> </v>
      </c>
      <c r="I1941" s="25" t="str">
        <f>IF(OR(E1941="",E1941="!!!",F1941="NEW"),"",INDEX(B1940:B$2,-1+SUMPRODUCT(MAX(ROW(E1940:E$2)*(E1941=E1940:E$2)))))</f>
        <v> </v>
      </c>
      <c r="J1941" s="25" t="str">
        <f>IF(OR(E1941="",E1941="!!!",F1941="NEW"),"",COUNTBLANK(OFFSET(A$1,,,SUMPRODUCT(MAX(ROW(E$2:E1941)*(E1941=E$2:E1941)))))-COUNTBLANK(OFFSET(A$1,,,SUMPRODUCT(MAX(ROW(E$1:E1940)*(E2=E$1:E1940))))))</f>
        <v> </v>
      </c>
      <c r="K1941" s="25" t="str">
        <f>IF(OR(E1941="",E1941="!!!",F1941="NEW"),"",INDEX(J$1:J1940,SUMPRODUCT(MAX(ROW(E$1:E1940)*(E1941=E$1:E1940)))))</f>
        <v> </v>
      </c>
      <c r="L1941" s="26"/>
    </row>
    <row r="1942" spans="1:12">
      <c r="A1942" s="20" t="s">
        <v>277</v>
      </c>
      <c r="E1942" s="21">
        <f>IF(D1942="?OLD","!!!","")</f>
        <v/>
      </c>
      <c r="F1942" s="22" t="str">
        <f>IF(OR(E1942="",E1942="!!!"),"",IF(NOT(ISNA(VLOOKUP(E1942,E$1:E1941,1,FALSE()))),"OLD",IF(AND(E1942&lt;&gt;"",E1942&lt;&gt;"!!!"),"NEW","")))</f>
        <v> </v>
      </c>
      <c r="G1942" s="23" t="str">
        <f>IF(OR(E1942="",E1942="!!!"),"",IF(OR(J1942=0,AND(J1942=1,K1942=1),AND(J1942=1,I1942="SBJ"),AND(J1942=1,I1942=0)),"?IN_FOCUS",IF(J1942&lt;=2,"?ACTIVATED",IF(J1942&lt;&gt;"","?FAMILIAR",IF(F1942="NEW",IF(ISNA(VLOOKUP(E1942,#REF!,1,FALSE())),"?TYPE_IDENTIFIABLE","?REFERENTIAL"),"_")))))</f>
        <v> </v>
      </c>
      <c r="H1942" s="24" t="str">
        <f>IF(J1942&lt;&gt;1,"",IF(I1942="SBJ","CB","?"))</f>
        <v> </v>
      </c>
      <c r="I1942" s="25" t="str">
        <f>IF(OR(E1942="",E1942="!!!",F1942="NEW"),"",INDEX(B1941:B$2,-1+SUMPRODUCT(MAX(ROW(E1941:E$2)*(E1942=E1941:E$2)))))</f>
        <v> </v>
      </c>
      <c r="J1942" s="25" t="str">
        <f>IF(OR(E1942="",E1942="!!!",F1942="NEW"),"",COUNTBLANK(OFFSET(A$1,,,SUMPRODUCT(MAX(ROW(E$2:E1942)*(E1942=E$2:E1942)))))-COUNTBLANK(OFFSET(A$1,,,SUMPRODUCT(MAX(ROW(E$1:E1941)*(E2=E$1:E1941))))))</f>
        <v> </v>
      </c>
      <c r="K1942" s="25" t="str">
        <f>IF(OR(E1942="",E1942="!!!",F1942="NEW"),"",INDEX(J$1:J1941,SUMPRODUCT(MAX(ROW(E$1:E1941)*(E1942=E$1:E1941)))))</f>
        <v> </v>
      </c>
      <c r="L1942" s="26"/>
    </row>
    <row r="1943" spans="1:12">
      <c r="A1943" s="20" t="s">
        <v>961</v>
      </c>
      <c r="B1943" s="27" t="s">
        <v>301</v>
      </c>
      <c r="C1943" s="27" t="s">
        <v>279</v>
      </c>
      <c r="E1943" s="21">
        <f>IF(D1943="?OLD","!!!","")</f>
        <v/>
      </c>
      <c r="F1943" s="22" t="str">
        <f>IF(OR(E1943="",E1943="!!!"),"",IF(NOT(ISNA(VLOOKUP(E1943,E$1:E1942,1,FALSE()))),"OLD",IF(AND(E1943&lt;&gt;"",E1943&lt;&gt;"!!!"),"NEW","")))</f>
        <v> </v>
      </c>
      <c r="G1943" s="23" t="str">
        <f>IF(OR(E1943="",E1943="!!!"),"",IF(OR(J1943=0,AND(J1943=1,K1943=1),AND(J1943=1,I1943="SBJ"),AND(J1943=1,I1943=0)),"?IN_FOCUS",IF(J1943&lt;=2,"?ACTIVATED",IF(J1943&lt;&gt;"","?FAMILIAR",IF(F1943="NEW",IF(ISNA(VLOOKUP(E1943,#REF!,1,FALSE())),"?TYPE_IDENTIFIABLE","?REFERENTIAL"),"_")))))</f>
        <v> </v>
      </c>
      <c r="H1943" s="24" t="str">
        <f>IF(J1943&lt;&gt;1,"",IF(I1943="SBJ","CB","?"))</f>
        <v> </v>
      </c>
      <c r="I1943" s="25" t="str">
        <f>IF(OR(E1943="",E1943="!!!",F1943="NEW"),"",INDEX(B1942:B$2,-1+SUMPRODUCT(MAX(ROW(E1942:E$2)*(E1943=E1942:E$2)))))</f>
        <v> </v>
      </c>
      <c r="J1943" s="25" t="str">
        <f>IF(OR(E1943="",E1943="!!!",F1943="NEW"),"",COUNTBLANK(OFFSET(A$1,,,SUMPRODUCT(MAX(ROW(E$2:E1943)*(E1943=E$2:E1943)))))-COUNTBLANK(OFFSET(A$1,,,SUMPRODUCT(MAX(ROW(E$1:E1942)*(E2=E$1:E1942))))))</f>
        <v> </v>
      </c>
      <c r="K1943" s="25" t="str">
        <f>IF(OR(E1943="",E1943="!!!",F1943="NEW"),"",INDEX(J$1:J1942,SUMPRODUCT(MAX(ROW(E$1:E1942)*(E1943=E$1:E1942)))))</f>
        <v> </v>
      </c>
      <c r="L1943" s="26"/>
    </row>
    <row r="1944" spans="1:12">
      <c r="A1944" s="20" t="s">
        <v>349</v>
      </c>
      <c r="E1944" s="21">
        <f>IF(D1944="?OLD","!!!","")</f>
        <v/>
      </c>
      <c r="F1944" s="22" t="str">
        <f>IF(OR(E1944="",E1944="!!!"),"",IF(NOT(ISNA(VLOOKUP(E1944,E$1:E1943,1,FALSE()))),"OLD",IF(AND(E1944&lt;&gt;"",E1944&lt;&gt;"!!!"),"NEW","")))</f>
        <v> </v>
      </c>
      <c r="G1944" s="23" t="str">
        <f>IF(OR(E1944="",E1944="!!!"),"",IF(OR(J1944=0,AND(J1944=1,K1944=1),AND(J1944=1,I1944="SBJ"),AND(J1944=1,I1944=0)),"?IN_FOCUS",IF(J1944&lt;=2,"?ACTIVATED",IF(J1944&lt;&gt;"","?FAMILIAR",IF(F1944="NEW",IF(ISNA(VLOOKUP(E1944,#REF!,1,FALSE())),"?TYPE_IDENTIFIABLE","?REFERENTIAL"),"_")))))</f>
        <v> </v>
      </c>
      <c r="H1944" s="24" t="str">
        <f>IF(J1944&lt;&gt;1,"",IF(I1944="SBJ","CB","?"))</f>
        <v> </v>
      </c>
      <c r="I1944" s="25" t="str">
        <f>IF(OR(E1944="",E1944="!!!",F1944="NEW"),"",INDEX(B1943:B$2,-1+SUMPRODUCT(MAX(ROW(E1943:E$2)*(E1944=E1943:E$2)))))</f>
        <v> </v>
      </c>
      <c r="J1944" s="25" t="str">
        <f>IF(OR(E1944="",E1944="!!!",F1944="NEW"),"",COUNTBLANK(OFFSET(A$1,,,SUMPRODUCT(MAX(ROW(E$2:E1944)*(E1944=E$2:E1944)))))-COUNTBLANK(OFFSET(A$1,,,SUMPRODUCT(MAX(ROW(E$1:E1943)*(E2=E$1:E1943))))))</f>
        <v> </v>
      </c>
      <c r="K1944" s="25" t="str">
        <f>IF(OR(E1944="",E1944="!!!",F1944="NEW"),"",INDEX(J$1:J1943,SUMPRODUCT(MAX(ROW(E$1:E1943)*(E1944=E$1:E1943)))))</f>
        <v> </v>
      </c>
      <c r="L1944" s="26"/>
    </row>
    <row r="1945" spans="1:12">
      <c r="A1945" s="20" t="s">
        <v>962</v>
      </c>
      <c r="B1945" s="27" t="s">
        <v>272</v>
      </c>
      <c r="C1945" s="27" t="s">
        <v>263</v>
      </c>
      <c r="D1945" s="27" t="s">
        <v>244</v>
      </c>
      <c r="E1945" s="21">
        <f>IF(D1945="?OLD","!!!","")</f>
        <v/>
      </c>
      <c r="F1945" s="22" t="str">
        <f>IF(OR(E1945="",E1945="!!!"),"",IF(NOT(ISNA(VLOOKUP(E1945,E$1:E1944,1,FALSE()))),"OLD",IF(AND(E1945&lt;&gt;"",E1945&lt;&gt;"!!!"),"NEW","")))</f>
        <v> </v>
      </c>
      <c r="G1945" s="23" t="str">
        <f>IF(OR(E1945="",E1945="!!!"),"",IF(OR(J1945=0,AND(J1945=1,K1945=1),AND(J1945=1,I1945="SBJ"),AND(J1945=1,I1945=0)),"?IN_FOCUS",IF(J1945&lt;=2,"?ACTIVATED",IF(J1945&lt;&gt;"","?FAMILIAR",IF(F1945="NEW",IF(ISNA(VLOOKUP(E1945,#REF!,1,FALSE())),"?TYPE_IDENTIFIABLE","?REFERENTIAL"),"_")))))</f>
        <v> </v>
      </c>
      <c r="H1945" s="24" t="str">
        <f>IF(J1945&lt;&gt;1,"",IF(I1945="SBJ","CB","?"))</f>
        <v> </v>
      </c>
      <c r="I1945" s="25" t="str">
        <f>IF(OR(E1945="",E1945="!!!",F1945="NEW"),"",INDEX(B1944:B$2,-1+SUMPRODUCT(MAX(ROW(E1944:E$2)*(E1945=E1944:E$2)))))</f>
        <v> </v>
      </c>
      <c r="J1945" s="25" t="str">
        <f>IF(OR(E1945="",E1945="!!!",F1945="NEW"),"",COUNTBLANK(OFFSET(A$1,,,SUMPRODUCT(MAX(ROW(E$2:E1945)*(E1945=E$2:E1945)))))-COUNTBLANK(OFFSET(A$1,,,SUMPRODUCT(MAX(ROW(E$1:E1944)*(E2=E$1:E1944))))))</f>
        <v> </v>
      </c>
      <c r="K1945" s="25" t="str">
        <f>IF(OR(E1945="",E1945="!!!",F1945="NEW"),"",INDEX(J$1:J1944,SUMPRODUCT(MAX(ROW(E$1:E1944)*(E1945=E$1:E1944)))))</f>
        <v> </v>
      </c>
      <c r="L1945" s="26"/>
    </row>
    <row r="1946" spans="1:12">
      <c r="A1946" s="20" t="s">
        <v>963</v>
      </c>
      <c r="E1946" s="21">
        <f>IF(D1946="?OLD","!!!","")</f>
        <v/>
      </c>
      <c r="F1946" s="22" t="str">
        <f>IF(OR(E1946="",E1946="!!!"),"",IF(NOT(ISNA(VLOOKUP(E1946,E$1:E1945,1,FALSE()))),"OLD",IF(AND(E1946&lt;&gt;"",E1946&lt;&gt;"!!!"),"NEW","")))</f>
        <v> </v>
      </c>
      <c r="G1946" s="23" t="str">
        <f>IF(OR(E1946="",E1946="!!!"),"",IF(OR(J1946=0,AND(J1946=1,K1946=1),AND(J1946=1,I1946="SBJ"),AND(J1946=1,I1946=0)),"?IN_FOCUS",IF(J1946&lt;=2,"?ACTIVATED",IF(J1946&lt;&gt;"","?FAMILIAR",IF(F1946="NEW",IF(ISNA(VLOOKUP(E1946,#REF!,1,FALSE())),"?TYPE_IDENTIFIABLE","?REFERENTIAL"),"_")))))</f>
        <v> </v>
      </c>
      <c r="H1946" s="24" t="str">
        <f>IF(J1946&lt;&gt;1,"",IF(I1946="SBJ","CB","?"))</f>
        <v> </v>
      </c>
      <c r="I1946" s="25" t="str">
        <f>IF(OR(E1946="",E1946="!!!",F1946="NEW"),"",INDEX(B1945:B$2,-1+SUMPRODUCT(MAX(ROW(E1945:E$2)*(E1946=E1945:E$2)))))</f>
        <v> </v>
      </c>
      <c r="J1946" s="25" t="str">
        <f>IF(OR(E1946="",E1946="!!!",F1946="NEW"),"",COUNTBLANK(OFFSET(A$1,,,SUMPRODUCT(MAX(ROW(E$2:E1946)*(E1946=E$2:E1946)))))-COUNTBLANK(OFFSET(A$1,,,SUMPRODUCT(MAX(ROW(E$1:E1945)*(E2=E$1:E1945))))))</f>
        <v> </v>
      </c>
      <c r="K1946" s="25" t="str">
        <f>IF(OR(E1946="",E1946="!!!",F1946="NEW"),"",INDEX(J$1:J1945,SUMPRODUCT(MAX(ROW(E$1:E1945)*(E1946=E$1:E1945)))))</f>
        <v> </v>
      </c>
      <c r="L1946" s="26"/>
    </row>
    <row r="1947" spans="1:12">
      <c r="A1947" s="20" t="s">
        <v>560</v>
      </c>
      <c r="B1947" s="27" t="s">
        <v>291</v>
      </c>
      <c r="C1947" s="27" t="s">
        <v>267</v>
      </c>
      <c r="D1947" s="27" t="s">
        <v>244</v>
      </c>
      <c r="E1947" s="21">
        <f>IF(D1947="?OLD","!!!","")</f>
        <v/>
      </c>
      <c r="F1947" s="22" t="str">
        <f>IF(OR(E1947="",E1947="!!!"),"",IF(NOT(ISNA(VLOOKUP(E1947,E$1:E1946,1,FALSE()))),"OLD",IF(AND(E1947&lt;&gt;"",E1947&lt;&gt;"!!!"),"NEW","")))</f>
        <v> </v>
      </c>
      <c r="G1947" s="23" t="str">
        <f>IF(OR(E1947="",E1947="!!!"),"",IF(OR(J1947=0,AND(J1947=1,K1947=1),AND(J1947=1,I1947="SBJ"),AND(J1947=1,I1947=0)),"?IN_FOCUS",IF(J1947&lt;=2,"?ACTIVATED",IF(J1947&lt;&gt;"","?FAMILIAR",IF(F1947="NEW",IF(ISNA(VLOOKUP(E1947,#REF!,1,FALSE())),"?TYPE_IDENTIFIABLE","?REFERENTIAL"),"_")))))</f>
        <v> </v>
      </c>
      <c r="H1947" s="24" t="str">
        <f>IF(J1947&lt;&gt;1,"",IF(I1947="SBJ","CB","?"))</f>
        <v> </v>
      </c>
      <c r="I1947" s="25" t="str">
        <f>IF(OR(E1947="",E1947="!!!",F1947="NEW"),"",INDEX(B1946:B$2,-1+SUMPRODUCT(MAX(ROW(E1946:E$2)*(E1947=E1946:E$2)))))</f>
        <v> </v>
      </c>
      <c r="J1947" s="25" t="str">
        <f>IF(OR(E1947="",E1947="!!!",F1947="NEW"),"",COUNTBLANK(OFFSET(A$1,,,SUMPRODUCT(MAX(ROW(E$2:E1947)*(E1947=E$2:E1947)))))-COUNTBLANK(OFFSET(A$1,,,SUMPRODUCT(MAX(ROW(E$1:E1946)*(E2=E$1:E1946))))))</f>
        <v> </v>
      </c>
      <c r="K1947" s="25" t="str">
        <f>IF(OR(E1947="",E1947="!!!",F1947="NEW"),"",INDEX(J$1:J1946,SUMPRODUCT(MAX(ROW(E$1:E1946)*(E1947=E$1:E1946)))))</f>
        <v> </v>
      </c>
      <c r="L1947" s="26"/>
    </row>
    <row r="1948" spans="1:12">
      <c r="A1948" s="20" t="s">
        <v>285</v>
      </c>
      <c r="E1948" s="21">
        <f>IF(D1948="?OLD","!!!","")</f>
        <v/>
      </c>
      <c r="F1948" s="22" t="str">
        <f>IF(OR(E1948="",E1948="!!!"),"",IF(NOT(ISNA(VLOOKUP(E1948,E$1:E1947,1,FALSE()))),"OLD",IF(AND(E1948&lt;&gt;"",E1948&lt;&gt;"!!!"),"NEW","")))</f>
        <v> </v>
      </c>
      <c r="G1948" s="23" t="str">
        <f>IF(OR(E1948="",E1948="!!!"),"",IF(OR(J1948=0,AND(J1948=1,K1948=1),AND(J1948=1,I1948="SBJ"),AND(J1948=1,I1948=0)),"?IN_FOCUS",IF(J1948&lt;=2,"?ACTIVATED",IF(J1948&lt;&gt;"","?FAMILIAR",IF(F1948="NEW",IF(ISNA(VLOOKUP(E1948,#REF!,1,FALSE())),"?TYPE_IDENTIFIABLE","?REFERENTIAL"),"_")))))</f>
        <v> </v>
      </c>
      <c r="H1948" s="24" t="str">
        <f>IF(J1948&lt;&gt;1,"",IF(I1948="SBJ","CB","?"))</f>
        <v> </v>
      </c>
      <c r="I1948" s="25" t="str">
        <f>IF(OR(E1948="",E1948="!!!",F1948="NEW"),"",INDEX(B1947:B$2,-1+SUMPRODUCT(MAX(ROW(E1947:E$2)*(E1948=E1947:E$2)))))</f>
        <v> </v>
      </c>
      <c r="J1948" s="25" t="str">
        <f>IF(OR(E1948="",E1948="!!!",F1948="NEW"),"",COUNTBLANK(OFFSET(A$1,,,SUMPRODUCT(MAX(ROW(E$2:E1948)*(E1948=E$2:E1948)))))-COUNTBLANK(OFFSET(A$1,,,SUMPRODUCT(MAX(ROW(E$1:E1947)*(E2=E$1:E1947))))))</f>
        <v> </v>
      </c>
      <c r="K1948" s="25" t="str">
        <f>IF(OR(E1948="",E1948="!!!",F1948="NEW"),"",INDEX(J$1:J1947,SUMPRODUCT(MAX(ROW(E$1:E1947)*(E1948=E$1:E1947)))))</f>
        <v> </v>
      </c>
      <c r="L1948" s="26"/>
    </row>
    <row r="1949" spans="1:12">
      <c r="A1949" s="20"/>
    </row>
    <row r="1950" spans="1:12">
      <c r="A1950" s="20" t="s">
        <v>964</v>
      </c>
    </row>
    <row r="1951" spans="1:12">
      <c r="A1951" s="20" t="s">
        <v>965</v>
      </c>
      <c r="B1951" s="27" t="s">
        <v>255</v>
      </c>
      <c r="C1951" s="27" t="s">
        <v>256</v>
      </c>
      <c r="D1951" s="27" t="s">
        <v>244</v>
      </c>
      <c r="E1951" s="21">
        <f>IF(D1951="?OLD","!!!","")</f>
        <v/>
      </c>
      <c r="F1951" s="22" t="str">
        <f>IF(OR(E1951="",E1951="!!!"),"",IF(NOT(ISNA(VLOOKUP(E1951,E$1:E1950,1,FALSE()))),"OLD",IF(AND(E1951&lt;&gt;"",E1951&lt;&gt;"!!!"),"NEW","")))</f>
        <v> </v>
      </c>
      <c r="G1951" s="23" t="str">
        <f>IF(OR(E1951="",E1951="!!!"),"",IF(OR(J1951=0,AND(J1951=1,K1951=1),AND(J1951=1,I1951="SBJ"),AND(J1951=1,I1951=0)),"?IN_FOCUS",IF(J1951&lt;=2,"?ACTIVATED",IF(J1951&lt;&gt;"","?FAMILIAR",IF(F1951="NEW",IF(ISNA(VLOOKUP(E1951,#REF!,1,FALSE())),"?TYPE_IDENTIFIABLE","?REFERENTIAL"),"_")))))</f>
        <v> </v>
      </c>
      <c r="H1951" s="24" t="str">
        <f>IF(J1951&lt;&gt;1,"",IF(I1951="SBJ","CB","?"))</f>
        <v> </v>
      </c>
      <c r="I1951" s="25" t="str">
        <f>IF(OR(E1951="",E1951="!!!",F1951="NEW"),"",INDEX(B1950:B$2,-1+SUMPRODUCT(MAX(ROW(E1950:E$2)*(E1951=E1950:E$2)))))</f>
        <v> </v>
      </c>
      <c r="J1951" s="25" t="str">
        <f>IF(OR(E1951="",E1951="!!!",F1951="NEW"),"",COUNTBLANK(OFFSET(A$1,,,SUMPRODUCT(MAX(ROW(E$2:E1951)*(E1951=E$2:E1951)))))-COUNTBLANK(OFFSET(A$1,,,SUMPRODUCT(MAX(ROW(E$1:E1950)*(E2=E$1:E1950))))))</f>
        <v> </v>
      </c>
      <c r="K1951" s="25" t="str">
        <f>IF(OR(E1951="",E1951="!!!",F1951="NEW"),"",INDEX(J$1:J1950,SUMPRODUCT(MAX(ROW(E$1:E1950)*(E1951=E$1:E1950)))))</f>
        <v> </v>
      </c>
      <c r="L1951" s="26"/>
    </row>
    <row r="1952" spans="1:12">
      <c r="A1952" s="20" t="s">
        <v>394</v>
      </c>
      <c r="E1952" s="21">
        <f>IF(D1952="?OLD","!!!","")</f>
        <v/>
      </c>
      <c r="F1952" s="22" t="str">
        <f>IF(OR(E1952="",E1952="!!!"),"",IF(NOT(ISNA(VLOOKUP(E1952,E$1:E1951,1,FALSE()))),"OLD",IF(AND(E1952&lt;&gt;"",E1952&lt;&gt;"!!!"),"NEW","")))</f>
        <v> </v>
      </c>
      <c r="G1952" s="23" t="str">
        <f>IF(OR(E1952="",E1952="!!!"),"",IF(OR(J1952=0,AND(J1952=1,K1952=1),AND(J1952=1,I1952="SBJ"),AND(J1952=1,I1952=0)),"?IN_FOCUS",IF(J1952&lt;=2,"?ACTIVATED",IF(J1952&lt;&gt;"","?FAMILIAR",IF(F1952="NEW",IF(ISNA(VLOOKUP(E1952,#REF!,1,FALSE())),"?TYPE_IDENTIFIABLE","?REFERENTIAL"),"_")))))</f>
        <v> </v>
      </c>
      <c r="H1952" s="24" t="str">
        <f>IF(J1952&lt;&gt;1,"",IF(I1952="SBJ","CB","?"))</f>
        <v> </v>
      </c>
      <c r="I1952" s="25" t="str">
        <f>IF(OR(E1952="",E1952="!!!",F1952="NEW"),"",INDEX(B1951:B$2,-1+SUMPRODUCT(MAX(ROW(E1951:E$2)*(E1952=E1951:E$2)))))</f>
        <v> </v>
      </c>
      <c r="J1952" s="25" t="str">
        <f>IF(OR(E1952="",E1952="!!!",F1952="NEW"),"",COUNTBLANK(OFFSET(A$1,,,SUMPRODUCT(MAX(ROW(E$2:E1952)*(E1952=E$2:E1952)))))-COUNTBLANK(OFFSET(A$1,,,SUMPRODUCT(MAX(ROW(E$1:E1951)*(E2=E$1:E1951))))))</f>
        <v> </v>
      </c>
      <c r="K1952" s="25" t="str">
        <f>IF(OR(E1952="",E1952="!!!",F1952="NEW"),"",INDEX(J$1:J1951,SUMPRODUCT(MAX(ROW(E$1:E1951)*(E1952=E$1:E1951)))))</f>
        <v> </v>
      </c>
      <c r="L1952" s="26"/>
    </row>
    <row r="1953" spans="1:12">
      <c r="A1953" s="20" t="s">
        <v>966</v>
      </c>
      <c r="B1953" s="27" t="s">
        <v>237</v>
      </c>
      <c r="C1953" s="27" t="s">
        <v>281</v>
      </c>
      <c r="E1953" s="21">
        <f>IF(D1953="?OLD","!!!","")</f>
        <v/>
      </c>
      <c r="F1953" s="22" t="str">
        <f>IF(OR(E1953="",E1953="!!!"),"",IF(NOT(ISNA(VLOOKUP(E1953,E$1:E1952,1,FALSE()))),"OLD",IF(AND(E1953&lt;&gt;"",E1953&lt;&gt;"!!!"),"NEW","")))</f>
        <v> </v>
      </c>
      <c r="G1953" s="23" t="str">
        <f>IF(OR(E1953="",E1953="!!!"),"",IF(OR(J1953=0,AND(J1953=1,K1953=1),AND(J1953=1,I1953="SBJ"),AND(J1953=1,I1953=0)),"?IN_FOCUS",IF(J1953&lt;=2,"?ACTIVATED",IF(J1953&lt;&gt;"","?FAMILIAR",IF(F1953="NEW",IF(ISNA(VLOOKUP(E1953,#REF!,1,FALSE())),"?TYPE_IDENTIFIABLE","?REFERENTIAL"),"_")))))</f>
        <v> </v>
      </c>
      <c r="H1953" s="24" t="str">
        <f>IF(J1953&lt;&gt;1,"",IF(I1953="SBJ","CB","?"))</f>
        <v> </v>
      </c>
      <c r="I1953" s="25" t="str">
        <f>IF(OR(E1953="",E1953="!!!",F1953="NEW"),"",INDEX(B1952:B$2,-1+SUMPRODUCT(MAX(ROW(E1952:E$2)*(E1953=E1952:E$2)))))</f>
        <v> </v>
      </c>
      <c r="J1953" s="25" t="str">
        <f>IF(OR(E1953="",E1953="!!!",F1953="NEW"),"",COUNTBLANK(OFFSET(A$1,,,SUMPRODUCT(MAX(ROW(E$2:E1953)*(E1953=E$2:E1953)))))-COUNTBLANK(OFFSET(A$1,,,SUMPRODUCT(MAX(ROW(E$1:E1952)*(E2=E$1:E1952))))))</f>
        <v> </v>
      </c>
      <c r="K1953" s="25" t="str">
        <f>IF(OR(E1953="",E1953="!!!",F1953="NEW"),"",INDEX(J$1:J1952,SUMPRODUCT(MAX(ROW(E$1:E1952)*(E1953=E$1:E1952)))))</f>
        <v> </v>
      </c>
      <c r="L1953" s="26"/>
    </row>
    <row r="1954" spans="1:12">
      <c r="A1954" s="20" t="s">
        <v>377</v>
      </c>
      <c r="E1954" s="21">
        <f>IF(D1954="?OLD","!!!","")</f>
        <v/>
      </c>
      <c r="F1954" s="22" t="str">
        <f>IF(OR(E1954="",E1954="!!!"),"",IF(NOT(ISNA(VLOOKUP(E1954,E$1:E1953,1,FALSE()))),"OLD",IF(AND(E1954&lt;&gt;"",E1954&lt;&gt;"!!!"),"NEW","")))</f>
        <v> </v>
      </c>
      <c r="G1954" s="23" t="str">
        <f>IF(OR(E1954="",E1954="!!!"),"",IF(OR(J1954=0,AND(J1954=1,K1954=1),AND(J1954=1,I1954="SBJ"),AND(J1954=1,I1954=0)),"?IN_FOCUS",IF(J1954&lt;=2,"?ACTIVATED",IF(J1954&lt;&gt;"","?FAMILIAR",IF(F1954="NEW",IF(ISNA(VLOOKUP(E1954,#REF!,1,FALSE())),"?TYPE_IDENTIFIABLE","?REFERENTIAL"),"_")))))</f>
        <v> </v>
      </c>
      <c r="H1954" s="24" t="str">
        <f>IF(J1954&lt;&gt;1,"",IF(I1954="SBJ","CB","?"))</f>
        <v> </v>
      </c>
      <c r="I1954" s="25" t="str">
        <f>IF(OR(E1954="",E1954="!!!",F1954="NEW"),"",INDEX(B1953:B$2,-1+SUMPRODUCT(MAX(ROW(E1953:E$2)*(E1954=E1953:E$2)))))</f>
        <v> </v>
      </c>
      <c r="J1954" s="25" t="str">
        <f>IF(OR(E1954="",E1954="!!!",F1954="NEW"),"",COUNTBLANK(OFFSET(A$1,,,SUMPRODUCT(MAX(ROW(E$2:E1954)*(E1954=E$2:E1954)))))-COUNTBLANK(OFFSET(A$1,,,SUMPRODUCT(MAX(ROW(E$1:E1953)*(E2=E$1:E1953))))))</f>
        <v> </v>
      </c>
      <c r="K1954" s="25" t="str">
        <f>IF(OR(E1954="",E1954="!!!",F1954="NEW"),"",INDEX(J$1:J1953,SUMPRODUCT(MAX(ROW(E$1:E1953)*(E1954=E$1:E1953)))))</f>
        <v> </v>
      </c>
      <c r="L1954" s="26"/>
    </row>
    <row r="1955" spans="1:12">
      <c r="A1955" s="20" t="s">
        <v>341</v>
      </c>
      <c r="B1955" s="27" t="s">
        <v>295</v>
      </c>
      <c r="C1955" s="27" t="s">
        <v>256</v>
      </c>
      <c r="D1955" s="27" t="s">
        <v>244</v>
      </c>
      <c r="E1955" s="21">
        <f>IF(D1955="?OLD","!!!","")</f>
        <v/>
      </c>
      <c r="F1955" s="22" t="str">
        <f>IF(OR(E1955="",E1955="!!!"),"",IF(NOT(ISNA(VLOOKUP(E1955,E$1:E1954,1,FALSE()))),"OLD",IF(AND(E1955&lt;&gt;"",E1955&lt;&gt;"!!!"),"NEW","")))</f>
        <v> </v>
      </c>
      <c r="G1955" s="23" t="str">
        <f>IF(OR(E1955="",E1955="!!!"),"",IF(OR(J1955=0,AND(J1955=1,K1955=1),AND(J1955=1,I1955="SBJ"),AND(J1955=1,I1955=0)),"?IN_FOCUS",IF(J1955&lt;=2,"?ACTIVATED",IF(J1955&lt;&gt;"","?FAMILIAR",IF(F1955="NEW",IF(ISNA(VLOOKUP(E1955,#REF!,1,FALSE())),"?TYPE_IDENTIFIABLE","?REFERENTIAL"),"_")))))</f>
        <v> </v>
      </c>
      <c r="H1955" s="24" t="str">
        <f>IF(J1955&lt;&gt;1,"",IF(I1955="SBJ","CB","?"))</f>
        <v> </v>
      </c>
      <c r="I1955" s="25" t="str">
        <f>IF(OR(E1955="",E1955="!!!",F1955="NEW"),"",INDEX(B1954:B$2,-1+SUMPRODUCT(MAX(ROW(E1954:E$2)*(E1955=E1954:E$2)))))</f>
        <v> </v>
      </c>
      <c r="J1955" s="25" t="str">
        <f>IF(OR(E1955="",E1955="!!!",F1955="NEW"),"",COUNTBLANK(OFFSET(A$1,,,SUMPRODUCT(MAX(ROW(E$2:E1955)*(E1955=E$2:E1955)))))-COUNTBLANK(OFFSET(A$1,,,SUMPRODUCT(MAX(ROW(E$1:E1954)*(E2=E$1:E1954))))))</f>
        <v> </v>
      </c>
      <c r="K1955" s="25" t="str">
        <f>IF(OR(E1955="",E1955="!!!",F1955="NEW"),"",INDEX(J$1:J1954,SUMPRODUCT(MAX(ROW(E$1:E1954)*(E1955=E$1:E1954)))))</f>
        <v> </v>
      </c>
      <c r="L1955" s="26"/>
    </row>
    <row r="1956" spans="1:12">
      <c r="A1956" s="20" t="s">
        <v>967</v>
      </c>
      <c r="E1956" s="21">
        <f>IF(D1956="?OLD","!!!","")</f>
        <v/>
      </c>
      <c r="F1956" s="22" t="str">
        <f>IF(OR(E1956="",E1956="!!!"),"",IF(NOT(ISNA(VLOOKUP(E1956,E$1:E1955,1,FALSE()))),"OLD",IF(AND(E1956&lt;&gt;"",E1956&lt;&gt;"!!!"),"NEW","")))</f>
        <v> </v>
      </c>
      <c r="G1956" s="23" t="str">
        <f>IF(OR(E1956="",E1956="!!!"),"",IF(OR(J1956=0,AND(J1956=1,K1956=1),AND(J1956=1,I1956="SBJ"),AND(J1956=1,I1956=0)),"?IN_FOCUS",IF(J1956&lt;=2,"?ACTIVATED",IF(J1956&lt;&gt;"","?FAMILIAR",IF(F1956="NEW",IF(ISNA(VLOOKUP(E1956,#REF!,1,FALSE())),"?TYPE_IDENTIFIABLE","?REFERENTIAL"),"_")))))</f>
        <v> </v>
      </c>
      <c r="H1956" s="24" t="str">
        <f>IF(J1956&lt;&gt;1,"",IF(I1956="SBJ","CB","?"))</f>
        <v> </v>
      </c>
      <c r="I1956" s="25" t="str">
        <f>IF(OR(E1956="",E1956="!!!",F1956="NEW"),"",INDEX(B1955:B$2,-1+SUMPRODUCT(MAX(ROW(E1955:E$2)*(E1956=E1955:E$2)))))</f>
        <v> </v>
      </c>
      <c r="J1956" s="25" t="str">
        <f>IF(OR(E1956="",E1956="!!!",F1956="NEW"),"",COUNTBLANK(OFFSET(A$1,,,SUMPRODUCT(MAX(ROW(E$2:E1956)*(E1956=E$2:E1956)))))-COUNTBLANK(OFFSET(A$1,,,SUMPRODUCT(MAX(ROW(E$1:E1955)*(E2=E$1:E1955))))))</f>
        <v> </v>
      </c>
      <c r="K1956" s="25" t="str">
        <f>IF(OR(E1956="",E1956="!!!",F1956="NEW"),"",INDEX(J$1:J1955,SUMPRODUCT(MAX(ROW(E$1:E1955)*(E1956=E$1:E1955)))))</f>
        <v> </v>
      </c>
      <c r="L1956" s="26"/>
    </row>
    <row r="1957" spans="1:12">
      <c r="A1957" s="20" t="s">
        <v>260</v>
      </c>
      <c r="E1957" s="21">
        <f>IF(D1957="?OLD","!!!","")</f>
        <v/>
      </c>
      <c r="F1957" s="22" t="str">
        <f>IF(OR(E1957="",E1957="!!!"),"",IF(NOT(ISNA(VLOOKUP(E1957,E$1:E1956,1,FALSE()))),"OLD",IF(AND(E1957&lt;&gt;"",E1957&lt;&gt;"!!!"),"NEW","")))</f>
        <v> </v>
      </c>
      <c r="G1957" s="23" t="str">
        <f>IF(OR(E1957="",E1957="!!!"),"",IF(OR(J1957=0,AND(J1957=1,K1957=1),AND(J1957=1,I1957="SBJ"),AND(J1957=1,I1957=0)),"?IN_FOCUS",IF(J1957&lt;=2,"?ACTIVATED",IF(J1957&lt;&gt;"","?FAMILIAR",IF(F1957="NEW",IF(ISNA(VLOOKUP(E1957,#REF!,1,FALSE())),"?TYPE_IDENTIFIABLE","?REFERENTIAL"),"_")))))</f>
        <v> </v>
      </c>
      <c r="H1957" s="24" t="str">
        <f>IF(J1957&lt;&gt;1,"",IF(I1957="SBJ","CB","?"))</f>
        <v> </v>
      </c>
      <c r="I1957" s="25" t="str">
        <f>IF(OR(E1957="",E1957="!!!",F1957="NEW"),"",INDEX(B1956:B$2,-1+SUMPRODUCT(MAX(ROW(E1956:E$2)*(E1957=E1956:E$2)))))</f>
        <v> </v>
      </c>
      <c r="J1957" s="25" t="str">
        <f>IF(OR(E1957="",E1957="!!!",F1957="NEW"),"",COUNTBLANK(OFFSET(A$1,,,SUMPRODUCT(MAX(ROW(E$2:E1957)*(E1957=E$2:E1957)))))-COUNTBLANK(OFFSET(A$1,,,SUMPRODUCT(MAX(ROW(E$1:E1956)*(E2=E$1:E1956))))))</f>
        <v> </v>
      </c>
      <c r="K1957" s="25" t="str">
        <f>IF(OR(E1957="",E1957="!!!",F1957="NEW"),"",INDEX(J$1:J1956,SUMPRODUCT(MAX(ROW(E$1:E1956)*(E1957=E$1:E1956)))))</f>
        <v> </v>
      </c>
      <c r="L1957" s="26"/>
    </row>
    <row r="1958" spans="1:12">
      <c r="A1958" s="20" t="s">
        <v>584</v>
      </c>
      <c r="E1958" s="21">
        <f>IF(D1958="?OLD","!!!","")</f>
        <v/>
      </c>
      <c r="F1958" s="22" t="str">
        <f>IF(OR(E1958="",E1958="!!!"),"",IF(NOT(ISNA(VLOOKUP(E1958,E$1:E1957,1,FALSE()))),"OLD",IF(AND(E1958&lt;&gt;"",E1958&lt;&gt;"!!!"),"NEW","")))</f>
        <v> </v>
      </c>
      <c r="G1958" s="23" t="str">
        <f>IF(OR(E1958="",E1958="!!!"),"",IF(OR(J1958=0,AND(J1958=1,K1958=1),AND(J1958=1,I1958="SBJ"),AND(J1958=1,I1958=0)),"?IN_FOCUS",IF(J1958&lt;=2,"?ACTIVATED",IF(J1958&lt;&gt;"","?FAMILIAR",IF(F1958="NEW",IF(ISNA(VLOOKUP(E1958,#REF!,1,FALSE())),"?TYPE_IDENTIFIABLE","?REFERENTIAL"),"_")))))</f>
        <v> </v>
      </c>
      <c r="H1958" s="24" t="str">
        <f>IF(J1958&lt;&gt;1,"",IF(I1958="SBJ","CB","?"))</f>
        <v> </v>
      </c>
      <c r="I1958" s="25" t="str">
        <f>IF(OR(E1958="",E1958="!!!",F1958="NEW"),"",INDEX(B1957:B$2,-1+SUMPRODUCT(MAX(ROW(E1957:E$2)*(E1958=E1957:E$2)))))</f>
        <v> </v>
      </c>
      <c r="J1958" s="25" t="str">
        <f>IF(OR(E1958="",E1958="!!!",F1958="NEW"),"",COUNTBLANK(OFFSET(A$1,,,SUMPRODUCT(MAX(ROW(E$2:E1958)*(E1958=E$2:E1958)))))-COUNTBLANK(OFFSET(A$1,,,SUMPRODUCT(MAX(ROW(E$1:E1957)*(E2=E$1:E1957))))))</f>
        <v> </v>
      </c>
      <c r="K1958" s="25" t="str">
        <f>IF(OR(E1958="",E1958="!!!",F1958="NEW"),"",INDEX(J$1:J1957,SUMPRODUCT(MAX(ROW(E$1:E1957)*(E1958=E$1:E1957)))))</f>
        <v> </v>
      </c>
      <c r="L1958" s="26"/>
    </row>
    <row r="1959" spans="1:12">
      <c r="A1959" s="20" t="s">
        <v>391</v>
      </c>
      <c r="E1959" s="21">
        <f>IF(D1959="?OLD","!!!","")</f>
        <v/>
      </c>
      <c r="F1959" s="22" t="str">
        <f>IF(OR(E1959="",E1959="!!!"),"",IF(NOT(ISNA(VLOOKUP(E1959,E$1:E1958,1,FALSE()))),"OLD",IF(AND(E1959&lt;&gt;"",E1959&lt;&gt;"!!!"),"NEW","")))</f>
        <v> </v>
      </c>
      <c r="G1959" s="23" t="str">
        <f>IF(OR(E1959="",E1959="!!!"),"",IF(OR(J1959=0,AND(J1959=1,K1959=1),AND(J1959=1,I1959="SBJ"),AND(J1959=1,I1959=0)),"?IN_FOCUS",IF(J1959&lt;=2,"?ACTIVATED",IF(J1959&lt;&gt;"","?FAMILIAR",IF(F1959="NEW",IF(ISNA(VLOOKUP(E1959,#REF!,1,FALSE())),"?TYPE_IDENTIFIABLE","?REFERENTIAL"),"_")))))</f>
        <v> </v>
      </c>
      <c r="H1959" s="24" t="str">
        <f>IF(J1959&lt;&gt;1,"",IF(I1959="SBJ","CB","?"))</f>
        <v> </v>
      </c>
      <c r="I1959" s="25" t="str">
        <f>IF(OR(E1959="",E1959="!!!",F1959="NEW"),"",INDEX(B1958:B$2,-1+SUMPRODUCT(MAX(ROW(E1958:E$2)*(E1959=E1958:E$2)))))</f>
        <v> </v>
      </c>
      <c r="J1959" s="25" t="str">
        <f>IF(OR(E1959="",E1959="!!!",F1959="NEW"),"",COUNTBLANK(OFFSET(A$1,,,SUMPRODUCT(MAX(ROW(E$2:E1959)*(E1959=E$2:E1959)))))-COUNTBLANK(OFFSET(A$1,,,SUMPRODUCT(MAX(ROW(E$1:E1958)*(E2=E$1:E1958))))))</f>
        <v> </v>
      </c>
      <c r="K1959" s="25" t="str">
        <f>IF(OR(E1959="",E1959="!!!",F1959="NEW"),"",INDEX(J$1:J1958,SUMPRODUCT(MAX(ROW(E$1:E1958)*(E1959=E$1:E1958)))))</f>
        <v> </v>
      </c>
      <c r="L1959" s="26"/>
    </row>
    <row r="1960" spans="1:12">
      <c r="A1960" s="20" t="s">
        <v>339</v>
      </c>
      <c r="E1960" s="21">
        <f>IF(D1960="?OLD","!!!","")</f>
        <v/>
      </c>
      <c r="F1960" s="22" t="str">
        <f>IF(OR(E1960="",E1960="!!!"),"",IF(NOT(ISNA(VLOOKUP(E1960,E$1:E1959,1,FALSE()))),"OLD",IF(AND(E1960&lt;&gt;"",E1960&lt;&gt;"!!!"),"NEW","")))</f>
        <v> </v>
      </c>
      <c r="G1960" s="23" t="str">
        <f>IF(OR(E1960="",E1960="!!!"),"",IF(OR(J1960=0,AND(J1960=1,K1960=1),AND(J1960=1,I1960="SBJ"),AND(J1960=1,I1960=0)),"?IN_FOCUS",IF(J1960&lt;=2,"?ACTIVATED",IF(J1960&lt;&gt;"","?FAMILIAR",IF(F1960="NEW",IF(ISNA(VLOOKUP(E1960,#REF!,1,FALSE())),"?TYPE_IDENTIFIABLE","?REFERENTIAL"),"_")))))</f>
        <v> </v>
      </c>
      <c r="H1960" s="24" t="str">
        <f>IF(J1960&lt;&gt;1,"",IF(I1960="SBJ","CB","?"))</f>
        <v> </v>
      </c>
      <c r="I1960" s="25" t="str">
        <f>IF(OR(E1960="",E1960="!!!",F1960="NEW"),"",INDEX(B1959:B$2,-1+SUMPRODUCT(MAX(ROW(E1959:E$2)*(E1960=E1959:E$2)))))</f>
        <v> </v>
      </c>
      <c r="J1960" s="25" t="str">
        <f>IF(OR(E1960="",E1960="!!!",F1960="NEW"),"",COUNTBLANK(OFFSET(A$1,,,SUMPRODUCT(MAX(ROW(E$2:E1960)*(E1960=E$2:E1960)))))-COUNTBLANK(OFFSET(A$1,,,SUMPRODUCT(MAX(ROW(E$1:E1959)*(E2=E$1:E1959))))))</f>
        <v> </v>
      </c>
      <c r="K1960" s="25" t="str">
        <f>IF(OR(E1960="",E1960="!!!",F1960="NEW"),"",INDEX(J$1:J1959,SUMPRODUCT(MAX(ROW(E$1:E1959)*(E1960=E$1:E1959)))))</f>
        <v> </v>
      </c>
      <c r="L1960" s="26"/>
    </row>
    <row r="1961" spans="1:12">
      <c r="A1961" s="20" t="s">
        <v>428</v>
      </c>
      <c r="B1961" s="27" t="s">
        <v>266</v>
      </c>
      <c r="E1961" s="21">
        <f>IF(D1961="?OLD","!!!","")</f>
        <v/>
      </c>
      <c r="F1961" s="22" t="str">
        <f>IF(OR(E1961="",E1961="!!!"),"",IF(NOT(ISNA(VLOOKUP(E1961,E$1:E1960,1,FALSE()))),"OLD",IF(AND(E1961&lt;&gt;"",E1961&lt;&gt;"!!!"),"NEW","")))</f>
        <v> </v>
      </c>
      <c r="G1961" s="23" t="str">
        <f>IF(OR(E1961="",E1961="!!!"),"",IF(OR(J1961=0,AND(J1961=1,K1961=1),AND(J1961=1,I1961="SBJ"),AND(J1961=1,I1961=0)),"?IN_FOCUS",IF(J1961&lt;=2,"?ACTIVATED",IF(J1961&lt;&gt;"","?FAMILIAR",IF(F1961="NEW",IF(ISNA(VLOOKUP(E1961,#REF!,1,FALSE())),"?TYPE_IDENTIFIABLE","?REFERENTIAL"),"_")))))</f>
        <v> </v>
      </c>
      <c r="H1961" s="24" t="str">
        <f>IF(J1961&lt;&gt;1,"",IF(I1961="SBJ","CB","?"))</f>
        <v> </v>
      </c>
      <c r="I1961" s="25" t="str">
        <f>IF(OR(E1961="",E1961="!!!",F1961="NEW"),"",INDEX(B1960:B$2,-1+SUMPRODUCT(MAX(ROW(E1960:E$2)*(E1961=E1960:E$2)))))</f>
        <v> </v>
      </c>
      <c r="J1961" s="25" t="str">
        <f>IF(OR(E1961="",E1961="!!!",F1961="NEW"),"",COUNTBLANK(OFFSET(A$1,,,SUMPRODUCT(MAX(ROW(E$2:E1961)*(E1961=E$2:E1961)))))-COUNTBLANK(OFFSET(A$1,,,SUMPRODUCT(MAX(ROW(E$1:E1960)*(E2=E$1:E1960))))))</f>
        <v> </v>
      </c>
      <c r="K1961" s="25" t="str">
        <f>IF(OR(E1961="",E1961="!!!",F1961="NEW"),"",INDEX(J$1:J1960,SUMPRODUCT(MAX(ROW(E$1:E1960)*(E1961=E$1:E1960)))))</f>
        <v> </v>
      </c>
      <c r="L1961" s="26"/>
    </row>
    <row r="1962" spans="1:12">
      <c r="A1962" s="20" t="s">
        <v>285</v>
      </c>
      <c r="E1962" s="21">
        <f>IF(D1962="?OLD","!!!","")</f>
        <v/>
      </c>
      <c r="F1962" s="22" t="str">
        <f>IF(OR(E1962="",E1962="!!!"),"",IF(NOT(ISNA(VLOOKUP(E1962,E$1:E1961,1,FALSE()))),"OLD",IF(AND(E1962&lt;&gt;"",E1962&lt;&gt;"!!!"),"NEW","")))</f>
        <v> </v>
      </c>
      <c r="G1962" s="23" t="str">
        <f>IF(OR(E1962="",E1962="!!!"),"",IF(OR(J1962=0,AND(J1962=1,K1962=1),AND(J1962=1,I1962="SBJ"),AND(J1962=1,I1962=0)),"?IN_FOCUS",IF(J1962&lt;=2,"?ACTIVATED",IF(J1962&lt;&gt;"","?FAMILIAR",IF(F1962="NEW",IF(ISNA(VLOOKUP(E1962,#REF!,1,FALSE())),"?TYPE_IDENTIFIABLE","?REFERENTIAL"),"_")))))</f>
        <v> </v>
      </c>
      <c r="H1962" s="24" t="str">
        <f>IF(J1962&lt;&gt;1,"",IF(I1962="SBJ","CB","?"))</f>
        <v> </v>
      </c>
      <c r="I1962" s="25" t="str">
        <f>IF(OR(E1962="",E1962="!!!",F1962="NEW"),"",INDEX(B1961:B$2,-1+SUMPRODUCT(MAX(ROW(E1961:E$2)*(E1962=E1961:E$2)))))</f>
        <v> </v>
      </c>
      <c r="J1962" s="25" t="str">
        <f>IF(OR(E1962="",E1962="!!!",F1962="NEW"),"",COUNTBLANK(OFFSET(A$1,,,SUMPRODUCT(MAX(ROW(E$2:E1962)*(E1962=E$2:E1962)))))-COUNTBLANK(OFFSET(A$1,,,SUMPRODUCT(MAX(ROW(E$1:E1961)*(E2=E$1:E1961))))))</f>
        <v> </v>
      </c>
      <c r="K1962" s="25" t="str">
        <f>IF(OR(E1962="",E1962="!!!",F1962="NEW"),"",INDEX(J$1:J1961,SUMPRODUCT(MAX(ROW(E$1:E1961)*(E1962=E$1:E1961)))))</f>
        <v> </v>
      </c>
      <c r="L1962" s="26"/>
    </row>
    <row r="1963" spans="1:12">
      <c r="A1963" s="20"/>
    </row>
    <row r="1964" spans="1:12">
      <c r="A1964" s="20" t="s">
        <v>968</v>
      </c>
    </row>
    <row r="1965" spans="1:12">
      <c r="A1965" s="20" t="s">
        <v>969</v>
      </c>
      <c r="E1965" s="21">
        <f>IF(D1965="?OLD","!!!","")</f>
        <v/>
      </c>
      <c r="F1965" s="22" t="str">
        <f>IF(OR(E1965="",E1965="!!!"),"",IF(NOT(ISNA(VLOOKUP(E1965,E$1:E1964,1,FALSE()))),"OLD",IF(AND(E1965&lt;&gt;"",E1965&lt;&gt;"!!!"),"NEW","")))</f>
        <v> </v>
      </c>
      <c r="G1965" s="23" t="str">
        <f>IF(OR(E1965="",E1965="!!!"),"",IF(OR(J1965=0,AND(J1965=1,K1965=1),AND(J1965=1,I1965="SBJ"),AND(J1965=1,I1965=0)),"?IN_FOCUS",IF(J1965&lt;=2,"?ACTIVATED",IF(J1965&lt;&gt;"","?FAMILIAR",IF(F1965="NEW",IF(ISNA(VLOOKUP(E1965,#REF!,1,FALSE())),"?TYPE_IDENTIFIABLE","?REFERENTIAL"),"_")))))</f>
        <v> </v>
      </c>
      <c r="H1965" s="24" t="str">
        <f>IF(J1965&lt;&gt;1,"",IF(I1965="SBJ","CB","?"))</f>
        <v> </v>
      </c>
      <c r="I1965" s="25" t="str">
        <f>IF(OR(E1965="",E1965="!!!",F1965="NEW"),"",INDEX(B1964:B$2,-1+SUMPRODUCT(MAX(ROW(E1964:E$2)*(E1965=E1964:E$2)))))</f>
        <v> </v>
      </c>
      <c r="J1965" s="25" t="str">
        <f>IF(OR(E1965="",E1965="!!!",F1965="NEW"),"",COUNTBLANK(OFFSET(A$1,,,SUMPRODUCT(MAX(ROW(E$2:E1965)*(E1965=E$2:E1965)))))-COUNTBLANK(OFFSET(A$1,,,SUMPRODUCT(MAX(ROW(E$1:E1964)*(E2=E$1:E1964))))))</f>
        <v> </v>
      </c>
      <c r="K1965" s="25" t="str">
        <f>IF(OR(E1965="",E1965="!!!",F1965="NEW"),"",INDEX(J$1:J1964,SUMPRODUCT(MAX(ROW(E$1:E1964)*(E1965=E$1:E1964)))))</f>
        <v> </v>
      </c>
      <c r="L1965" s="26"/>
    </row>
    <row r="1966" spans="1:12">
      <c r="A1966" s="20" t="s">
        <v>371</v>
      </c>
      <c r="B1966" s="27" t="s">
        <v>255</v>
      </c>
      <c r="C1966" s="27" t="s">
        <v>256</v>
      </c>
      <c r="D1966" s="27" t="s">
        <v>244</v>
      </c>
      <c r="E1966" s="21">
        <f>IF(D1966="?OLD","!!!","")</f>
        <v/>
      </c>
      <c r="F1966" s="22" t="str">
        <f>IF(OR(E1966="",E1966="!!!"),"",IF(NOT(ISNA(VLOOKUP(E1966,E$1:E1965,1,FALSE()))),"OLD",IF(AND(E1966&lt;&gt;"",E1966&lt;&gt;"!!!"),"NEW","")))</f>
        <v> </v>
      </c>
      <c r="G1966" s="23" t="str">
        <f>IF(OR(E1966="",E1966="!!!"),"",IF(OR(J1966=0,AND(J1966=1,K1966=1),AND(J1966=1,I1966="SBJ"),AND(J1966=1,I1966=0)),"?IN_FOCUS",IF(J1966&lt;=2,"?ACTIVATED",IF(J1966&lt;&gt;"","?FAMILIAR",IF(F1966="NEW",IF(ISNA(VLOOKUP(E1966,#REF!,1,FALSE())),"?TYPE_IDENTIFIABLE","?REFERENTIAL"),"_")))))</f>
        <v> </v>
      </c>
      <c r="H1966" s="24" t="str">
        <f>IF(J1966&lt;&gt;1,"",IF(I1966="SBJ","CB","?"))</f>
        <v> </v>
      </c>
      <c r="I1966" s="25" t="str">
        <f>IF(OR(E1966="",E1966="!!!",F1966="NEW"),"",INDEX(B1965:B$2,-1+SUMPRODUCT(MAX(ROW(E1965:E$2)*(E1966=E1965:E$2)))))</f>
        <v> </v>
      </c>
      <c r="J1966" s="25" t="str">
        <f>IF(OR(E1966="",E1966="!!!",F1966="NEW"),"",COUNTBLANK(OFFSET(A$1,,,SUMPRODUCT(MAX(ROW(E$2:E1966)*(E1966=E$2:E1966)))))-COUNTBLANK(OFFSET(A$1,,,SUMPRODUCT(MAX(ROW(E$1:E1965)*(E2=E$1:E1965))))))</f>
        <v> </v>
      </c>
      <c r="K1966" s="25" t="str">
        <f>IF(OR(E1966="",E1966="!!!",F1966="NEW"),"",INDEX(J$1:J1965,SUMPRODUCT(MAX(ROW(E$1:E1965)*(E1966=E$1:E1965)))))</f>
        <v> </v>
      </c>
      <c r="L1966" s="26"/>
    </row>
    <row r="1967" spans="1:12">
      <c r="A1967" s="20" t="s">
        <v>970</v>
      </c>
      <c r="E1967" s="21">
        <f>IF(D1967="?OLD","!!!","")</f>
        <v/>
      </c>
      <c r="F1967" s="22" t="str">
        <f>IF(OR(E1967="",E1967="!!!"),"",IF(NOT(ISNA(VLOOKUP(E1967,E$1:E1966,1,FALSE()))),"OLD",IF(AND(E1967&lt;&gt;"",E1967&lt;&gt;"!!!"),"NEW","")))</f>
        <v> </v>
      </c>
      <c r="G1967" s="23" t="str">
        <f>IF(OR(E1967="",E1967="!!!"),"",IF(OR(J1967=0,AND(J1967=1,K1967=1),AND(J1967=1,I1967="SBJ"),AND(J1967=1,I1967=0)),"?IN_FOCUS",IF(J1967&lt;=2,"?ACTIVATED",IF(J1967&lt;&gt;"","?FAMILIAR",IF(F1967="NEW",IF(ISNA(VLOOKUP(E1967,#REF!,1,FALSE())),"?TYPE_IDENTIFIABLE","?REFERENTIAL"),"_")))))</f>
        <v> </v>
      </c>
      <c r="H1967" s="24" t="str">
        <f>IF(J1967&lt;&gt;1,"",IF(I1967="SBJ","CB","?"))</f>
        <v> </v>
      </c>
      <c r="I1967" s="25" t="str">
        <f>IF(OR(E1967="",E1967="!!!",F1967="NEW"),"",INDEX(B1966:B$2,-1+SUMPRODUCT(MAX(ROW(E1966:E$2)*(E1967=E1966:E$2)))))</f>
        <v> </v>
      </c>
      <c r="J1967" s="25" t="str">
        <f>IF(OR(E1967="",E1967="!!!",F1967="NEW"),"",COUNTBLANK(OFFSET(A$1,,,SUMPRODUCT(MAX(ROW(E$2:E1967)*(E1967=E$2:E1967)))))-COUNTBLANK(OFFSET(A$1,,,SUMPRODUCT(MAX(ROW(E$1:E1966)*(E2=E$1:E1966))))))</f>
        <v> </v>
      </c>
      <c r="K1967" s="25" t="str">
        <f>IF(OR(E1967="",E1967="!!!",F1967="NEW"),"",INDEX(J$1:J1966,SUMPRODUCT(MAX(ROW(E$1:E1966)*(E1967=E$1:E1966)))))</f>
        <v> </v>
      </c>
      <c r="L1967" s="26"/>
    </row>
    <row r="1968" spans="1:12">
      <c r="A1968" s="20" t="s">
        <v>349</v>
      </c>
      <c r="E1968" s="21">
        <f>IF(D1968="?OLD","!!!","")</f>
        <v/>
      </c>
      <c r="F1968" s="22" t="str">
        <f>IF(OR(E1968="",E1968="!!!"),"",IF(NOT(ISNA(VLOOKUP(E1968,E$1:E1967,1,FALSE()))),"OLD",IF(AND(E1968&lt;&gt;"",E1968&lt;&gt;"!!!"),"NEW","")))</f>
        <v> </v>
      </c>
      <c r="G1968" s="23" t="str">
        <f>IF(OR(E1968="",E1968="!!!"),"",IF(OR(J1968=0,AND(J1968=1,K1968=1),AND(J1968=1,I1968="SBJ"),AND(J1968=1,I1968=0)),"?IN_FOCUS",IF(J1968&lt;=2,"?ACTIVATED",IF(J1968&lt;&gt;"","?FAMILIAR",IF(F1968="NEW",IF(ISNA(VLOOKUP(E1968,#REF!,1,FALSE())),"?TYPE_IDENTIFIABLE","?REFERENTIAL"),"_")))))</f>
        <v> </v>
      </c>
      <c r="H1968" s="24" t="str">
        <f>IF(J1968&lt;&gt;1,"",IF(I1968="SBJ","CB","?"))</f>
        <v> </v>
      </c>
      <c r="I1968" s="25" t="str">
        <f>IF(OR(E1968="",E1968="!!!",F1968="NEW"),"",INDEX(B1967:B$2,-1+SUMPRODUCT(MAX(ROW(E1967:E$2)*(E1968=E1967:E$2)))))</f>
        <v> </v>
      </c>
      <c r="J1968" s="25" t="str">
        <f>IF(OR(E1968="",E1968="!!!",F1968="NEW"),"",COUNTBLANK(OFFSET(A$1,,,SUMPRODUCT(MAX(ROW(E$2:E1968)*(E1968=E$2:E1968)))))-COUNTBLANK(OFFSET(A$1,,,SUMPRODUCT(MAX(ROW(E$1:E1967)*(E2=E$1:E1967))))))</f>
        <v> </v>
      </c>
      <c r="K1968" s="25" t="str">
        <f>IF(OR(E1968="",E1968="!!!",F1968="NEW"),"",INDEX(J$1:J1967,SUMPRODUCT(MAX(ROW(E$1:E1967)*(E1968=E$1:E1967)))))</f>
        <v> </v>
      </c>
      <c r="L1968" s="26"/>
    </row>
    <row r="1969" spans="1:12">
      <c r="A1969" s="20" t="s">
        <v>354</v>
      </c>
      <c r="B1969" s="27" t="s">
        <v>237</v>
      </c>
      <c r="C1969" s="27" t="s">
        <v>256</v>
      </c>
      <c r="D1969" s="27" t="s">
        <v>244</v>
      </c>
      <c r="E1969" s="21">
        <f>IF(D1969="?OLD","!!!","")</f>
        <v/>
      </c>
      <c r="F1969" s="22" t="str">
        <f>IF(OR(E1969="",E1969="!!!"),"",IF(NOT(ISNA(VLOOKUP(E1969,E$1:E1968,1,FALSE()))),"OLD",IF(AND(E1969&lt;&gt;"",E1969&lt;&gt;"!!!"),"NEW","")))</f>
        <v> </v>
      </c>
      <c r="G1969" s="23" t="str">
        <f>IF(OR(E1969="",E1969="!!!"),"",IF(OR(J1969=0,AND(J1969=1,K1969=1),AND(J1969=1,I1969="SBJ"),AND(J1969=1,I1969=0)),"?IN_FOCUS",IF(J1969&lt;=2,"?ACTIVATED",IF(J1969&lt;&gt;"","?FAMILIAR",IF(F1969="NEW",IF(ISNA(VLOOKUP(E1969,#REF!,1,FALSE())),"?TYPE_IDENTIFIABLE","?REFERENTIAL"),"_")))))</f>
        <v> </v>
      </c>
      <c r="H1969" s="24" t="str">
        <f>IF(J1969&lt;&gt;1,"",IF(I1969="SBJ","CB","?"))</f>
        <v> </v>
      </c>
      <c r="I1969" s="25" t="str">
        <f>IF(OR(E1969="",E1969="!!!",F1969="NEW"),"",INDEX(B1968:B$2,-1+SUMPRODUCT(MAX(ROW(E1968:E$2)*(E1969=E1968:E$2)))))</f>
        <v> </v>
      </c>
      <c r="J1969" s="25" t="str">
        <f>IF(OR(E1969="",E1969="!!!",F1969="NEW"),"",COUNTBLANK(OFFSET(A$1,,,SUMPRODUCT(MAX(ROW(E$2:E1969)*(E1969=E$2:E1969)))))-COUNTBLANK(OFFSET(A$1,,,SUMPRODUCT(MAX(ROW(E$1:E1968)*(E2=E$1:E1968))))))</f>
        <v> </v>
      </c>
      <c r="K1969" s="25" t="str">
        <f>IF(OR(E1969="",E1969="!!!",F1969="NEW"),"",INDEX(J$1:J1968,SUMPRODUCT(MAX(ROW(E$1:E1968)*(E1969=E$1:E1968)))))</f>
        <v> </v>
      </c>
      <c r="L1969" s="26"/>
    </row>
    <row r="1970" spans="1:12">
      <c r="A1970" s="20" t="s">
        <v>305</v>
      </c>
      <c r="E1970" s="21">
        <f>IF(D1970="?OLD","!!!","")</f>
        <v/>
      </c>
      <c r="F1970" s="22" t="str">
        <f>IF(OR(E1970="",E1970="!!!"),"",IF(NOT(ISNA(VLOOKUP(E1970,E$1:E1969,1,FALSE()))),"OLD",IF(AND(E1970&lt;&gt;"",E1970&lt;&gt;"!!!"),"NEW","")))</f>
        <v> </v>
      </c>
      <c r="G1970" s="23" t="str">
        <f>IF(OR(E1970="",E1970="!!!"),"",IF(OR(J1970=0,AND(J1970=1,K1970=1),AND(J1970=1,I1970="SBJ"),AND(J1970=1,I1970=0)),"?IN_FOCUS",IF(J1970&lt;=2,"?ACTIVATED",IF(J1970&lt;&gt;"","?FAMILIAR",IF(F1970="NEW",IF(ISNA(VLOOKUP(E1970,#REF!,1,FALSE())),"?TYPE_IDENTIFIABLE","?REFERENTIAL"),"_")))))</f>
        <v> </v>
      </c>
      <c r="H1970" s="24" t="str">
        <f>IF(J1970&lt;&gt;1,"",IF(I1970="SBJ","CB","?"))</f>
        <v> </v>
      </c>
      <c r="I1970" s="25" t="str">
        <f>IF(OR(E1970="",E1970="!!!",F1970="NEW"),"",INDEX(B1969:B$2,-1+SUMPRODUCT(MAX(ROW(E1969:E$2)*(E1970=E1969:E$2)))))</f>
        <v> </v>
      </c>
      <c r="J1970" s="25" t="str">
        <f>IF(OR(E1970="",E1970="!!!",F1970="NEW"),"",COUNTBLANK(OFFSET(A$1,,,SUMPRODUCT(MAX(ROW(E$2:E1970)*(E1970=E$2:E1970)))))-COUNTBLANK(OFFSET(A$1,,,SUMPRODUCT(MAX(ROW(E$1:E1969)*(E2=E$1:E1969))))))</f>
        <v> </v>
      </c>
      <c r="K1970" s="25" t="str">
        <f>IF(OR(E1970="",E1970="!!!",F1970="NEW"),"",INDEX(J$1:J1969,SUMPRODUCT(MAX(ROW(E$1:E1969)*(E1970=E$1:E1969)))))</f>
        <v> </v>
      </c>
      <c r="L1970" s="26"/>
    </row>
    <row r="1971" spans="1:12">
      <c r="A1971" s="20" t="s">
        <v>436</v>
      </c>
      <c r="E1971" s="21">
        <f>IF(D1971="?OLD","!!!","")</f>
        <v/>
      </c>
      <c r="F1971" s="22" t="str">
        <f>IF(OR(E1971="",E1971="!!!"),"",IF(NOT(ISNA(VLOOKUP(E1971,E$1:E1970,1,FALSE()))),"OLD",IF(AND(E1971&lt;&gt;"",E1971&lt;&gt;"!!!"),"NEW","")))</f>
        <v> </v>
      </c>
      <c r="G1971" s="23" t="str">
        <f>IF(OR(E1971="",E1971="!!!"),"",IF(OR(J1971=0,AND(J1971=1,K1971=1),AND(J1971=1,I1971="SBJ"),AND(J1971=1,I1971=0)),"?IN_FOCUS",IF(J1971&lt;=2,"?ACTIVATED",IF(J1971&lt;&gt;"","?FAMILIAR",IF(F1971="NEW",IF(ISNA(VLOOKUP(E1971,#REF!,1,FALSE())),"?TYPE_IDENTIFIABLE","?REFERENTIAL"),"_")))))</f>
        <v> </v>
      </c>
      <c r="H1971" s="24" t="str">
        <f>IF(J1971&lt;&gt;1,"",IF(I1971="SBJ","CB","?"))</f>
        <v> </v>
      </c>
      <c r="I1971" s="25" t="str">
        <f>IF(OR(E1971="",E1971="!!!",F1971="NEW"),"",INDEX(B1970:B$2,-1+SUMPRODUCT(MAX(ROW(E1970:E$2)*(E1971=E1970:E$2)))))</f>
        <v> </v>
      </c>
      <c r="J1971" s="25" t="str">
        <f>IF(OR(E1971="",E1971="!!!",F1971="NEW"),"",COUNTBLANK(OFFSET(A$1,,,SUMPRODUCT(MAX(ROW(E$2:E1971)*(E1971=E$2:E1971)))))-COUNTBLANK(OFFSET(A$1,,,SUMPRODUCT(MAX(ROW(E$1:E1970)*(E2=E$1:E1970))))))</f>
        <v> </v>
      </c>
      <c r="K1971" s="25" t="str">
        <f>IF(OR(E1971="",E1971="!!!",F1971="NEW"),"",INDEX(J$1:J1970,SUMPRODUCT(MAX(ROW(E$1:E1970)*(E1971=E$1:E1970)))))</f>
        <v> </v>
      </c>
      <c r="L1971" s="26"/>
    </row>
    <row r="1972" spans="1:12">
      <c r="A1972" s="20" t="s">
        <v>254</v>
      </c>
      <c r="B1972" s="27" t="s">
        <v>266</v>
      </c>
      <c r="C1972" s="27" t="s">
        <v>256</v>
      </c>
      <c r="D1972" s="27" t="s">
        <v>244</v>
      </c>
      <c r="E1972" s="21">
        <f>IF(D1972="?OLD","!!!","")</f>
        <v/>
      </c>
      <c r="F1972" s="22" t="str">
        <f>IF(OR(E1972="",E1972="!!!"),"",IF(NOT(ISNA(VLOOKUP(E1972,E$1:E1971,1,FALSE()))),"OLD",IF(AND(E1972&lt;&gt;"",E1972&lt;&gt;"!!!"),"NEW","")))</f>
        <v> </v>
      </c>
      <c r="G1972" s="23" t="str">
        <f>IF(OR(E1972="",E1972="!!!"),"",IF(OR(J1972=0,AND(J1972=1,K1972=1),AND(J1972=1,I1972="SBJ"),AND(J1972=1,I1972=0)),"?IN_FOCUS",IF(J1972&lt;=2,"?ACTIVATED",IF(J1972&lt;&gt;"","?FAMILIAR",IF(F1972="NEW",IF(ISNA(VLOOKUP(E1972,#REF!,1,FALSE())),"?TYPE_IDENTIFIABLE","?REFERENTIAL"),"_")))))</f>
        <v> </v>
      </c>
      <c r="H1972" s="24" t="str">
        <f>IF(J1972&lt;&gt;1,"",IF(I1972="SBJ","CB","?"))</f>
        <v> </v>
      </c>
      <c r="I1972" s="25" t="str">
        <f>IF(OR(E1972="",E1972="!!!",F1972="NEW"),"",INDEX(B1971:B$2,-1+SUMPRODUCT(MAX(ROW(E1971:E$2)*(E1972=E1971:E$2)))))</f>
        <v> </v>
      </c>
      <c r="J1972" s="25" t="str">
        <f>IF(OR(E1972="",E1972="!!!",F1972="NEW"),"",COUNTBLANK(OFFSET(A$1,,,SUMPRODUCT(MAX(ROW(E$2:E1972)*(E1972=E$2:E1972)))))-COUNTBLANK(OFFSET(A$1,,,SUMPRODUCT(MAX(ROW(E$1:E1971)*(E2=E$1:E1971))))))</f>
        <v> </v>
      </c>
      <c r="K1972" s="25" t="str">
        <f>IF(OR(E1972="",E1972="!!!",F1972="NEW"),"",INDEX(J$1:J1971,SUMPRODUCT(MAX(ROW(E$1:E1971)*(E1972=E$1:E1971)))))</f>
        <v> </v>
      </c>
      <c r="L1972" s="26"/>
    </row>
    <row r="1973" spans="1:12">
      <c r="A1973" s="20" t="s">
        <v>330</v>
      </c>
      <c r="E1973" s="21">
        <f>IF(D1973="?OLD","!!!","")</f>
        <v/>
      </c>
      <c r="F1973" s="22" t="str">
        <f>IF(OR(E1973="",E1973="!!!"),"",IF(NOT(ISNA(VLOOKUP(E1973,E$1:E1972,1,FALSE()))),"OLD",IF(AND(E1973&lt;&gt;"",E1973&lt;&gt;"!!!"),"NEW","")))</f>
        <v> </v>
      </c>
      <c r="G1973" s="23" t="str">
        <f>IF(OR(E1973="",E1973="!!!"),"",IF(OR(J1973=0,AND(J1973=1,K1973=1),AND(J1973=1,I1973="SBJ"),AND(J1973=1,I1973=0)),"?IN_FOCUS",IF(J1973&lt;=2,"?ACTIVATED",IF(J1973&lt;&gt;"","?FAMILIAR",IF(F1973="NEW",IF(ISNA(VLOOKUP(E1973,#REF!,1,FALSE())),"?TYPE_IDENTIFIABLE","?REFERENTIAL"),"_")))))</f>
        <v> </v>
      </c>
      <c r="H1973" s="24" t="str">
        <f>IF(J1973&lt;&gt;1,"",IF(I1973="SBJ","CB","?"))</f>
        <v> </v>
      </c>
      <c r="I1973" s="25" t="str">
        <f>IF(OR(E1973="",E1973="!!!",F1973="NEW"),"",INDEX(B1972:B$2,-1+SUMPRODUCT(MAX(ROW(E1972:E$2)*(E1973=E1972:E$2)))))</f>
        <v> </v>
      </c>
      <c r="J1973" s="25" t="str">
        <f>IF(OR(E1973="",E1973="!!!",F1973="NEW"),"",COUNTBLANK(OFFSET(A$1,,,SUMPRODUCT(MAX(ROW(E$2:E1973)*(E1973=E$2:E1973)))))-COUNTBLANK(OFFSET(A$1,,,SUMPRODUCT(MAX(ROW(E$1:E1972)*(E2=E$1:E1972))))))</f>
        <v> </v>
      </c>
      <c r="K1973" s="25" t="str">
        <f>IF(OR(E1973="",E1973="!!!",F1973="NEW"),"",INDEX(J$1:J1972,SUMPRODUCT(MAX(ROW(E$1:E1972)*(E1973=E$1:E1972)))))</f>
        <v> </v>
      </c>
      <c r="L1973" s="26"/>
    </row>
    <row r="1974" spans="1:12">
      <c r="A1974" s="20" t="s">
        <v>587</v>
      </c>
      <c r="E1974" s="21">
        <f>IF(D1974="?OLD","!!!","")</f>
        <v/>
      </c>
      <c r="F1974" s="22" t="str">
        <f>IF(OR(E1974="",E1974="!!!"),"",IF(NOT(ISNA(VLOOKUP(E1974,E$1:E1973,1,FALSE()))),"OLD",IF(AND(E1974&lt;&gt;"",E1974&lt;&gt;"!!!"),"NEW","")))</f>
        <v> </v>
      </c>
      <c r="G1974" s="23" t="str">
        <f>IF(OR(E1974="",E1974="!!!"),"",IF(OR(J1974=0,AND(J1974=1,K1974=1),AND(J1974=1,I1974="SBJ"),AND(J1974=1,I1974=0)),"?IN_FOCUS",IF(J1974&lt;=2,"?ACTIVATED",IF(J1974&lt;&gt;"","?FAMILIAR",IF(F1974="NEW",IF(ISNA(VLOOKUP(E1974,#REF!,1,FALSE())),"?TYPE_IDENTIFIABLE","?REFERENTIAL"),"_")))))</f>
        <v> </v>
      </c>
      <c r="H1974" s="24" t="str">
        <f>IF(J1974&lt;&gt;1,"",IF(I1974="SBJ","CB","?"))</f>
        <v> </v>
      </c>
      <c r="I1974" s="25" t="str">
        <f>IF(OR(E1974="",E1974="!!!",F1974="NEW"),"",INDEX(B1973:B$2,-1+SUMPRODUCT(MAX(ROW(E1973:E$2)*(E1974=E1973:E$2)))))</f>
        <v> </v>
      </c>
      <c r="J1974" s="25" t="str">
        <f>IF(OR(E1974="",E1974="!!!",F1974="NEW"),"",COUNTBLANK(OFFSET(A$1,,,SUMPRODUCT(MAX(ROW(E$2:E1974)*(E1974=E$2:E1974)))))-COUNTBLANK(OFFSET(A$1,,,SUMPRODUCT(MAX(ROW(E$1:E1973)*(E2=E$1:E1973))))))</f>
        <v> </v>
      </c>
      <c r="K1974" s="25" t="str">
        <f>IF(OR(E1974="",E1974="!!!",F1974="NEW"),"",INDEX(J$1:J1973,SUMPRODUCT(MAX(ROW(E$1:E1973)*(E1974=E$1:E1973)))))</f>
        <v> </v>
      </c>
      <c r="L1974" s="26"/>
    </row>
    <row r="1975" spans="1:12">
      <c r="A1975" s="20" t="s">
        <v>400</v>
      </c>
      <c r="B1975" s="27" t="s">
        <v>272</v>
      </c>
      <c r="C1975" s="27" t="s">
        <v>401</v>
      </c>
      <c r="D1975" s="27" t="s">
        <v>244</v>
      </c>
      <c r="E1975" s="21">
        <f>IF(D1975="?OLD","!!!","")</f>
        <v/>
      </c>
      <c r="F1975" s="22" t="str">
        <f>IF(OR(E1975="",E1975="!!!"),"",IF(NOT(ISNA(VLOOKUP(E1975,E$1:E1974,1,FALSE()))),"OLD",IF(AND(E1975&lt;&gt;"",E1975&lt;&gt;"!!!"),"NEW","")))</f>
        <v> </v>
      </c>
      <c r="G1975" s="23" t="str">
        <f>IF(OR(E1975="",E1975="!!!"),"",IF(OR(J1975=0,AND(J1975=1,K1975=1),AND(J1975=1,I1975="SBJ"),AND(J1975=1,I1975=0)),"?IN_FOCUS",IF(J1975&lt;=2,"?ACTIVATED",IF(J1975&lt;&gt;"","?FAMILIAR",IF(F1975="NEW",IF(ISNA(VLOOKUP(E1975,#REF!,1,FALSE())),"?TYPE_IDENTIFIABLE","?REFERENTIAL"),"_")))))</f>
        <v> </v>
      </c>
      <c r="H1975" s="24" t="str">
        <f>IF(J1975&lt;&gt;1,"",IF(I1975="SBJ","CB","?"))</f>
        <v> </v>
      </c>
      <c r="I1975" s="25" t="str">
        <f>IF(OR(E1975="",E1975="!!!",F1975="NEW"),"",INDEX(B1974:B$2,-1+SUMPRODUCT(MAX(ROW(E1974:E$2)*(E1975=E1974:E$2)))))</f>
        <v> </v>
      </c>
      <c r="J1975" s="25" t="str">
        <f>IF(OR(E1975="",E1975="!!!",F1975="NEW"),"",COUNTBLANK(OFFSET(A$1,,,SUMPRODUCT(MAX(ROW(E$2:E1975)*(E1975=E$2:E1975)))))-COUNTBLANK(OFFSET(A$1,,,SUMPRODUCT(MAX(ROW(E$1:E1974)*(E2=E$1:E1974))))))</f>
        <v> </v>
      </c>
      <c r="K1975" s="25" t="str">
        <f>IF(OR(E1975="",E1975="!!!",F1975="NEW"),"",INDEX(J$1:J1974,SUMPRODUCT(MAX(ROW(E$1:E1974)*(E1975=E$1:E1974)))))</f>
        <v> </v>
      </c>
      <c r="L1975" s="26"/>
    </row>
    <row r="1976" spans="1:12">
      <c r="A1976" s="20" t="s">
        <v>305</v>
      </c>
      <c r="E1976" s="21">
        <f>IF(D1976="?OLD","!!!","")</f>
        <v/>
      </c>
      <c r="F1976" s="22" t="str">
        <f>IF(OR(E1976="",E1976="!!!"),"",IF(NOT(ISNA(VLOOKUP(E1976,E$1:E1975,1,FALSE()))),"OLD",IF(AND(E1976&lt;&gt;"",E1976&lt;&gt;"!!!"),"NEW","")))</f>
        <v> </v>
      </c>
      <c r="G1976" s="23" t="str">
        <f>IF(OR(E1976="",E1976="!!!"),"",IF(OR(J1976=0,AND(J1976=1,K1976=1),AND(J1976=1,I1976="SBJ"),AND(J1976=1,I1976=0)),"?IN_FOCUS",IF(J1976&lt;=2,"?ACTIVATED",IF(J1976&lt;&gt;"","?FAMILIAR",IF(F1976="NEW",IF(ISNA(VLOOKUP(E1976,#REF!,1,FALSE())),"?TYPE_IDENTIFIABLE","?REFERENTIAL"),"_")))))</f>
        <v> </v>
      </c>
      <c r="H1976" s="24" t="str">
        <f>IF(J1976&lt;&gt;1,"",IF(I1976="SBJ","CB","?"))</f>
        <v> </v>
      </c>
      <c r="I1976" s="25" t="str">
        <f>IF(OR(E1976="",E1976="!!!",F1976="NEW"),"",INDEX(B1975:B$2,-1+SUMPRODUCT(MAX(ROW(E1975:E$2)*(E1976=E1975:E$2)))))</f>
        <v> </v>
      </c>
      <c r="J1976" s="25" t="str">
        <f>IF(OR(E1976="",E1976="!!!",F1976="NEW"),"",COUNTBLANK(OFFSET(A$1,,,SUMPRODUCT(MAX(ROW(E$2:E1976)*(E1976=E$2:E1976)))))-COUNTBLANK(OFFSET(A$1,,,SUMPRODUCT(MAX(ROW(E$1:E1975)*(E2=E$1:E1975))))))</f>
        <v> </v>
      </c>
      <c r="K1976" s="25" t="str">
        <f>IF(OR(E1976="",E1976="!!!",F1976="NEW"),"",INDEX(J$1:J1975,SUMPRODUCT(MAX(ROW(E$1:E1975)*(E1976=E$1:E1975)))))</f>
        <v> </v>
      </c>
      <c r="L1976" s="26"/>
    </row>
    <row r="1977" spans="1:12">
      <c r="A1977" s="20" t="s">
        <v>936</v>
      </c>
      <c r="E1977" s="21">
        <f>IF(D1977="?OLD","!!!","")</f>
        <v/>
      </c>
      <c r="F1977" s="22" t="str">
        <f>IF(OR(E1977="",E1977="!!!"),"",IF(NOT(ISNA(VLOOKUP(E1977,E$1:E1976,1,FALSE()))),"OLD",IF(AND(E1977&lt;&gt;"",E1977&lt;&gt;"!!!"),"NEW","")))</f>
        <v> </v>
      </c>
      <c r="G1977" s="23" t="str">
        <f>IF(OR(E1977="",E1977="!!!"),"",IF(OR(J1977=0,AND(J1977=1,K1977=1),AND(J1977=1,I1977="SBJ"),AND(J1977=1,I1977=0)),"?IN_FOCUS",IF(J1977&lt;=2,"?ACTIVATED",IF(J1977&lt;&gt;"","?FAMILIAR",IF(F1977="NEW",IF(ISNA(VLOOKUP(E1977,#REF!,1,FALSE())),"?TYPE_IDENTIFIABLE","?REFERENTIAL"),"_")))))</f>
        <v> </v>
      </c>
      <c r="H1977" s="24" t="str">
        <f>IF(J1977&lt;&gt;1,"",IF(I1977="SBJ","CB","?"))</f>
        <v> </v>
      </c>
      <c r="I1977" s="25" t="str">
        <f>IF(OR(E1977="",E1977="!!!",F1977="NEW"),"",INDEX(B1976:B$2,-1+SUMPRODUCT(MAX(ROW(E1976:E$2)*(E1977=E1976:E$2)))))</f>
        <v> </v>
      </c>
      <c r="J1977" s="25" t="str">
        <f>IF(OR(E1977="",E1977="!!!",F1977="NEW"),"",COUNTBLANK(OFFSET(A$1,,,SUMPRODUCT(MAX(ROW(E$2:E1977)*(E1977=E$2:E1977)))))-COUNTBLANK(OFFSET(A$1,,,SUMPRODUCT(MAX(ROW(E$1:E1976)*(E2=E$1:E1976))))))</f>
        <v> </v>
      </c>
      <c r="K1977" s="25" t="str">
        <f>IF(OR(E1977="",E1977="!!!",F1977="NEW"),"",INDEX(J$1:J1976,SUMPRODUCT(MAX(ROW(E$1:E1976)*(E1977=E$1:E1976)))))</f>
        <v> </v>
      </c>
      <c r="L1977" s="26"/>
    </row>
    <row r="1978" spans="1:12">
      <c r="A1978" s="20" t="s">
        <v>248</v>
      </c>
      <c r="E1978" s="21">
        <f>IF(D1978="?OLD","!!!","")</f>
        <v/>
      </c>
      <c r="F1978" s="22" t="str">
        <f>IF(OR(E1978="",E1978="!!!"),"",IF(NOT(ISNA(VLOOKUP(E1978,E$1:E1977,1,FALSE()))),"OLD",IF(AND(E1978&lt;&gt;"",E1978&lt;&gt;"!!!"),"NEW","")))</f>
        <v> </v>
      </c>
      <c r="G1978" s="23" t="str">
        <f>IF(OR(E1978="",E1978="!!!"),"",IF(OR(J1978=0,AND(J1978=1,K1978=1),AND(J1978=1,I1978="SBJ"),AND(J1978=1,I1978=0)),"?IN_FOCUS",IF(J1978&lt;=2,"?ACTIVATED",IF(J1978&lt;&gt;"","?FAMILIAR",IF(F1978="NEW",IF(ISNA(VLOOKUP(E1978,#REF!,1,FALSE())),"?TYPE_IDENTIFIABLE","?REFERENTIAL"),"_")))))</f>
        <v> </v>
      </c>
      <c r="H1978" s="24" t="str">
        <f>IF(J1978&lt;&gt;1,"",IF(I1978="SBJ","CB","?"))</f>
        <v> </v>
      </c>
      <c r="I1978" s="25" t="str">
        <f>IF(OR(E1978="",E1978="!!!",F1978="NEW"),"",INDEX(B1977:B$2,-1+SUMPRODUCT(MAX(ROW(E1977:E$2)*(E1978=E1977:E$2)))))</f>
        <v> </v>
      </c>
      <c r="J1978" s="25" t="str">
        <f>IF(OR(E1978="",E1978="!!!",F1978="NEW"),"",COUNTBLANK(OFFSET(A$1,,,SUMPRODUCT(MAX(ROW(E$2:E1978)*(E1978=E$2:E1978)))))-COUNTBLANK(OFFSET(A$1,,,SUMPRODUCT(MAX(ROW(E$1:E1977)*(E2=E$1:E1977))))))</f>
        <v> </v>
      </c>
      <c r="K1978" s="25" t="str">
        <f>IF(OR(E1978="",E1978="!!!",F1978="NEW"),"",INDEX(J$1:J1977,SUMPRODUCT(MAX(ROW(E$1:E1977)*(E1978=E$1:E1977)))))</f>
        <v> </v>
      </c>
      <c r="L1978" s="26"/>
    </row>
    <row r="1979" spans="1:12">
      <c r="A1979" s="20" t="s">
        <v>971</v>
      </c>
      <c r="E1979" s="21">
        <f>IF(D1979="?OLD","!!!","")</f>
        <v/>
      </c>
      <c r="F1979" s="22" t="str">
        <f>IF(OR(E1979="",E1979="!!!"),"",IF(NOT(ISNA(VLOOKUP(E1979,E$1:E1978,1,FALSE()))),"OLD",IF(AND(E1979&lt;&gt;"",E1979&lt;&gt;"!!!"),"NEW","")))</f>
        <v> </v>
      </c>
      <c r="G1979" s="23" t="str">
        <f>IF(OR(E1979="",E1979="!!!"),"",IF(OR(J1979=0,AND(J1979=1,K1979=1),AND(J1979=1,I1979="SBJ"),AND(J1979=1,I1979=0)),"?IN_FOCUS",IF(J1979&lt;=2,"?ACTIVATED",IF(J1979&lt;&gt;"","?FAMILIAR",IF(F1979="NEW",IF(ISNA(VLOOKUP(E1979,#REF!,1,FALSE())),"?TYPE_IDENTIFIABLE","?REFERENTIAL"),"_")))))</f>
        <v> </v>
      </c>
      <c r="H1979" s="24" t="str">
        <f>IF(J1979&lt;&gt;1,"",IF(I1979="SBJ","CB","?"))</f>
        <v> </v>
      </c>
      <c r="I1979" s="25" t="str">
        <f>IF(OR(E1979="",E1979="!!!",F1979="NEW"),"",INDEX(B1978:B$2,-1+SUMPRODUCT(MAX(ROW(E1978:E$2)*(E1979=E1978:E$2)))))</f>
        <v> </v>
      </c>
      <c r="J1979" s="25" t="str">
        <f>IF(OR(E1979="",E1979="!!!",F1979="NEW"),"",COUNTBLANK(OFFSET(A$1,,,SUMPRODUCT(MAX(ROW(E$2:E1979)*(E1979=E$2:E1979)))))-COUNTBLANK(OFFSET(A$1,,,SUMPRODUCT(MAX(ROW(E$1:E1978)*(E2=E$1:E1978))))))</f>
        <v> </v>
      </c>
      <c r="K1979" s="25" t="str">
        <f>IF(OR(E1979="",E1979="!!!",F1979="NEW"),"",INDEX(J$1:J1978,SUMPRODUCT(MAX(ROW(E$1:E1978)*(E1979=E$1:E1978)))))</f>
        <v> </v>
      </c>
      <c r="L1979" s="26"/>
    </row>
    <row r="1980" spans="1:12">
      <c r="A1980" s="20" t="s">
        <v>465</v>
      </c>
      <c r="B1980" s="27" t="s">
        <v>295</v>
      </c>
      <c r="C1980" s="27" t="s">
        <v>252</v>
      </c>
      <c r="D1980" s="27" t="s">
        <v>244</v>
      </c>
      <c r="E1980" s="21">
        <f>IF(D1980="?OLD","!!!","")</f>
        <v/>
      </c>
      <c r="F1980" s="22" t="str">
        <f>IF(OR(E1980="",E1980="!!!"),"",IF(NOT(ISNA(VLOOKUP(E1980,E$1:E1979,1,FALSE()))),"OLD",IF(AND(E1980&lt;&gt;"",E1980&lt;&gt;"!!!"),"NEW","")))</f>
        <v> </v>
      </c>
      <c r="G1980" s="23" t="str">
        <f>IF(OR(E1980="",E1980="!!!"),"",IF(OR(J1980=0,AND(J1980=1,K1980=1),AND(J1980=1,I1980="SBJ"),AND(J1980=1,I1980=0)),"?IN_FOCUS",IF(J1980&lt;=2,"?ACTIVATED",IF(J1980&lt;&gt;"","?FAMILIAR",IF(F1980="NEW",IF(ISNA(VLOOKUP(E1980,#REF!,1,FALSE())),"?TYPE_IDENTIFIABLE","?REFERENTIAL"),"_")))))</f>
        <v> </v>
      </c>
      <c r="H1980" s="24" t="str">
        <f>IF(J1980&lt;&gt;1,"",IF(I1980="SBJ","CB","?"))</f>
        <v> </v>
      </c>
      <c r="I1980" s="25" t="str">
        <f>IF(OR(E1980="",E1980="!!!",F1980="NEW"),"",INDEX(B1979:B$2,-1+SUMPRODUCT(MAX(ROW(E1979:E$2)*(E1980=E1979:E$2)))))</f>
        <v> </v>
      </c>
      <c r="J1980" s="25" t="str">
        <f>IF(OR(E1980="",E1980="!!!",F1980="NEW"),"",COUNTBLANK(OFFSET(A$1,,,SUMPRODUCT(MAX(ROW(E$2:E1980)*(E1980=E$2:E1980)))))-COUNTBLANK(OFFSET(A$1,,,SUMPRODUCT(MAX(ROW(E$1:E1979)*(E2=E$1:E1979))))))</f>
        <v> </v>
      </c>
      <c r="K1980" s="25" t="str">
        <f>IF(OR(E1980="",E1980="!!!",F1980="NEW"),"",INDEX(J$1:J1979,SUMPRODUCT(MAX(ROW(E$1:E1979)*(E1980=E$1:E1979)))))</f>
        <v> </v>
      </c>
      <c r="L1980" s="26"/>
    </row>
    <row r="1981" spans="1:12">
      <c r="A1981" s="20" t="s">
        <v>353</v>
      </c>
      <c r="E1981" s="21">
        <f>IF(D1981="?OLD","!!!","")</f>
        <v/>
      </c>
      <c r="F1981" s="22" t="str">
        <f>IF(OR(E1981="",E1981="!!!"),"",IF(NOT(ISNA(VLOOKUP(E1981,E$1:E1980,1,FALSE()))),"OLD",IF(AND(E1981&lt;&gt;"",E1981&lt;&gt;"!!!"),"NEW","")))</f>
        <v> </v>
      </c>
      <c r="G1981" s="23" t="str">
        <f>IF(OR(E1981="",E1981="!!!"),"",IF(OR(J1981=0,AND(J1981=1,K1981=1),AND(J1981=1,I1981="SBJ"),AND(J1981=1,I1981=0)),"?IN_FOCUS",IF(J1981&lt;=2,"?ACTIVATED",IF(J1981&lt;&gt;"","?FAMILIAR",IF(F1981="NEW",IF(ISNA(VLOOKUP(E1981,#REF!,1,FALSE())),"?TYPE_IDENTIFIABLE","?REFERENTIAL"),"_")))))</f>
        <v> </v>
      </c>
      <c r="H1981" s="24" t="str">
        <f>IF(J1981&lt;&gt;1,"",IF(I1981="SBJ","CB","?"))</f>
        <v> </v>
      </c>
      <c r="I1981" s="25" t="str">
        <f>IF(OR(E1981="",E1981="!!!",F1981="NEW"),"",INDEX(B1980:B$2,-1+SUMPRODUCT(MAX(ROW(E1980:E$2)*(E1981=E1980:E$2)))))</f>
        <v> </v>
      </c>
      <c r="J1981" s="25" t="str">
        <f>IF(OR(E1981="",E1981="!!!",F1981="NEW"),"",COUNTBLANK(OFFSET(A$1,,,SUMPRODUCT(MAX(ROW(E$2:E1981)*(E1981=E$2:E1981)))))-COUNTBLANK(OFFSET(A$1,,,SUMPRODUCT(MAX(ROW(E$1:E1980)*(E2=E$1:E1980))))))</f>
        <v> </v>
      </c>
      <c r="K1981" s="25" t="str">
        <f>IF(OR(E1981="",E1981="!!!",F1981="NEW"),"",INDEX(J$1:J1980,SUMPRODUCT(MAX(ROW(E$1:E1980)*(E1981=E$1:E1980)))))</f>
        <v> </v>
      </c>
      <c r="L1981" s="26"/>
    </row>
    <row r="1982" spans="1:12">
      <c r="A1982" s="20" t="s">
        <v>354</v>
      </c>
      <c r="B1982" s="27" t="s">
        <v>301</v>
      </c>
      <c r="C1982" s="27" t="s">
        <v>256</v>
      </c>
      <c r="D1982" s="27" t="s">
        <v>244</v>
      </c>
      <c r="E1982" s="21">
        <f>IF(D1982="?OLD","!!!","")</f>
        <v/>
      </c>
      <c r="F1982" s="22" t="str">
        <f>IF(OR(E1982="",E1982="!!!"),"",IF(NOT(ISNA(VLOOKUP(E1982,E$1:E1981,1,FALSE()))),"OLD",IF(AND(E1982&lt;&gt;"",E1982&lt;&gt;"!!!"),"NEW","")))</f>
        <v> </v>
      </c>
      <c r="G1982" s="23" t="str">
        <f>IF(OR(E1982="",E1982="!!!"),"",IF(OR(J1982=0,AND(J1982=1,K1982=1),AND(J1982=1,I1982="SBJ"),AND(J1982=1,I1982=0)),"?IN_FOCUS",IF(J1982&lt;=2,"?ACTIVATED",IF(J1982&lt;&gt;"","?FAMILIAR",IF(F1982="NEW",IF(ISNA(VLOOKUP(E1982,#REF!,1,FALSE())),"?TYPE_IDENTIFIABLE","?REFERENTIAL"),"_")))))</f>
        <v> </v>
      </c>
      <c r="H1982" s="24" t="str">
        <f>IF(J1982&lt;&gt;1,"",IF(I1982="SBJ","CB","?"))</f>
        <v> </v>
      </c>
      <c r="I1982" s="25" t="str">
        <f>IF(OR(E1982="",E1982="!!!",F1982="NEW"),"",INDEX(B1981:B$2,-1+SUMPRODUCT(MAX(ROW(E1981:E$2)*(E1982=E1981:E$2)))))</f>
        <v> </v>
      </c>
      <c r="J1982" s="25" t="str">
        <f>IF(OR(E1982="",E1982="!!!",F1982="NEW"),"",COUNTBLANK(OFFSET(A$1,,,SUMPRODUCT(MAX(ROW(E$2:E1982)*(E1982=E$2:E1982)))))-COUNTBLANK(OFFSET(A$1,,,SUMPRODUCT(MAX(ROW(E$1:E1981)*(E2=E$1:E1981))))))</f>
        <v> </v>
      </c>
      <c r="K1982" s="25" t="str">
        <f>IF(OR(E1982="",E1982="!!!",F1982="NEW"),"",INDEX(J$1:J1981,SUMPRODUCT(MAX(ROW(E$1:E1981)*(E1982=E$1:E1981)))))</f>
        <v> </v>
      </c>
      <c r="L1982" s="26"/>
    </row>
    <row r="1983" spans="1:12">
      <c r="A1983" s="20" t="s">
        <v>270</v>
      </c>
      <c r="E1983" s="21">
        <f>IF(D1983="?OLD","!!!","")</f>
        <v/>
      </c>
      <c r="F1983" s="22" t="str">
        <f>IF(OR(E1983="",E1983="!!!"),"",IF(NOT(ISNA(VLOOKUP(E1983,E$1:E1982,1,FALSE()))),"OLD",IF(AND(E1983&lt;&gt;"",E1983&lt;&gt;"!!!"),"NEW","")))</f>
        <v> </v>
      </c>
      <c r="G1983" s="23" t="str">
        <f>IF(OR(E1983="",E1983="!!!"),"",IF(OR(J1983=0,AND(J1983=1,K1983=1),AND(J1983=1,I1983="SBJ"),AND(J1983=1,I1983=0)),"?IN_FOCUS",IF(J1983&lt;=2,"?ACTIVATED",IF(J1983&lt;&gt;"","?FAMILIAR",IF(F1983="NEW",IF(ISNA(VLOOKUP(E1983,#REF!,1,FALSE())),"?TYPE_IDENTIFIABLE","?REFERENTIAL"),"_")))))</f>
        <v> </v>
      </c>
      <c r="H1983" s="24" t="str">
        <f>IF(J1983&lt;&gt;1,"",IF(I1983="SBJ","CB","?"))</f>
        <v> </v>
      </c>
      <c r="I1983" s="25" t="str">
        <f>IF(OR(E1983="",E1983="!!!",F1983="NEW"),"",INDEX(B1982:B$2,-1+SUMPRODUCT(MAX(ROW(E1982:E$2)*(E1983=E1982:E$2)))))</f>
        <v> </v>
      </c>
      <c r="J1983" s="25" t="str">
        <f>IF(OR(E1983="",E1983="!!!",F1983="NEW"),"",COUNTBLANK(OFFSET(A$1,,,SUMPRODUCT(MAX(ROW(E$2:E1983)*(E1983=E$2:E1983)))))-COUNTBLANK(OFFSET(A$1,,,SUMPRODUCT(MAX(ROW(E$1:E1982)*(E2=E$1:E1982))))))</f>
        <v> </v>
      </c>
      <c r="K1983" s="25" t="str">
        <f>IF(OR(E1983="",E1983="!!!",F1983="NEW"),"",INDEX(J$1:J1982,SUMPRODUCT(MAX(ROW(E$1:E1982)*(E1983=E$1:E1982)))))</f>
        <v> </v>
      </c>
      <c r="L1983" s="26"/>
    </row>
    <row r="1984" spans="1:12">
      <c r="A1984" s="20" t="s">
        <v>248</v>
      </c>
      <c r="E1984" s="21">
        <f>IF(D1984="?OLD","!!!","")</f>
        <v/>
      </c>
      <c r="F1984" s="22" t="str">
        <f>IF(OR(E1984="",E1984="!!!"),"",IF(NOT(ISNA(VLOOKUP(E1984,E$1:E1983,1,FALSE()))),"OLD",IF(AND(E1984&lt;&gt;"",E1984&lt;&gt;"!!!"),"NEW","")))</f>
        <v> </v>
      </c>
      <c r="G1984" s="23" t="str">
        <f>IF(OR(E1984="",E1984="!!!"),"",IF(OR(J1984=0,AND(J1984=1,K1984=1),AND(J1984=1,I1984="SBJ"),AND(J1984=1,I1984=0)),"?IN_FOCUS",IF(J1984&lt;=2,"?ACTIVATED",IF(J1984&lt;&gt;"","?FAMILIAR",IF(F1984="NEW",IF(ISNA(VLOOKUP(E1984,#REF!,1,FALSE())),"?TYPE_IDENTIFIABLE","?REFERENTIAL"),"_")))))</f>
        <v> </v>
      </c>
      <c r="H1984" s="24" t="str">
        <f>IF(J1984&lt;&gt;1,"",IF(I1984="SBJ","CB","?"))</f>
        <v> </v>
      </c>
      <c r="I1984" s="25" t="str">
        <f>IF(OR(E1984="",E1984="!!!",F1984="NEW"),"",INDEX(B1983:B$2,-1+SUMPRODUCT(MAX(ROW(E1983:E$2)*(E1984=E1983:E$2)))))</f>
        <v> </v>
      </c>
      <c r="J1984" s="25" t="str">
        <f>IF(OR(E1984="",E1984="!!!",F1984="NEW"),"",COUNTBLANK(OFFSET(A$1,,,SUMPRODUCT(MAX(ROW(E$2:E1984)*(E1984=E$2:E1984)))))-COUNTBLANK(OFFSET(A$1,,,SUMPRODUCT(MAX(ROW(E$1:E1983)*(E2=E$1:E1983))))))</f>
        <v> </v>
      </c>
      <c r="K1984" s="25" t="str">
        <f>IF(OR(E1984="",E1984="!!!",F1984="NEW"),"",INDEX(J$1:J1983,SUMPRODUCT(MAX(ROW(E$1:E1983)*(E1984=E$1:E1983)))))</f>
        <v> </v>
      </c>
      <c r="L1984" s="26"/>
    </row>
    <row r="1985" spans="1:12">
      <c r="A1985" s="20" t="s">
        <v>560</v>
      </c>
      <c r="B1985" s="27" t="s">
        <v>291</v>
      </c>
      <c r="C1985" s="27" t="s">
        <v>267</v>
      </c>
      <c r="D1985" s="27" t="s">
        <v>244</v>
      </c>
      <c r="E1985" s="21">
        <f>IF(D1985="?OLD","!!!","")</f>
        <v/>
      </c>
      <c r="F1985" s="22" t="str">
        <f>IF(OR(E1985="",E1985="!!!"),"",IF(NOT(ISNA(VLOOKUP(E1985,E$1:E1984,1,FALSE()))),"OLD",IF(AND(E1985&lt;&gt;"",E1985&lt;&gt;"!!!"),"NEW","")))</f>
        <v> </v>
      </c>
      <c r="G1985" s="23" t="str">
        <f>IF(OR(E1985="",E1985="!!!"),"",IF(OR(J1985=0,AND(J1985=1,K1985=1),AND(J1985=1,I1985="SBJ"),AND(J1985=1,I1985=0)),"?IN_FOCUS",IF(J1985&lt;=2,"?ACTIVATED",IF(J1985&lt;&gt;"","?FAMILIAR",IF(F1985="NEW",IF(ISNA(VLOOKUP(E1985,#REF!,1,FALSE())),"?TYPE_IDENTIFIABLE","?REFERENTIAL"),"_")))))</f>
        <v> </v>
      </c>
      <c r="H1985" s="24" t="str">
        <f>IF(J1985&lt;&gt;1,"",IF(I1985="SBJ","CB","?"))</f>
        <v> </v>
      </c>
      <c r="I1985" s="25" t="str">
        <f>IF(OR(E1985="",E1985="!!!",F1985="NEW"),"",INDEX(B1984:B$2,-1+SUMPRODUCT(MAX(ROW(E1984:E$2)*(E1985=E1984:E$2)))))</f>
        <v> </v>
      </c>
      <c r="J1985" s="25" t="str">
        <f>IF(OR(E1985="",E1985="!!!",F1985="NEW"),"",COUNTBLANK(OFFSET(A$1,,,SUMPRODUCT(MAX(ROW(E$2:E1985)*(E1985=E$2:E1985)))))-COUNTBLANK(OFFSET(A$1,,,SUMPRODUCT(MAX(ROW(E$1:E1984)*(E2=E$1:E1984))))))</f>
        <v> </v>
      </c>
      <c r="K1985" s="25" t="str">
        <f>IF(OR(E1985="",E1985="!!!",F1985="NEW"),"",INDEX(J$1:J1984,SUMPRODUCT(MAX(ROW(E$1:E1984)*(E1985=E$1:E1984)))))</f>
        <v> </v>
      </c>
      <c r="L1985" s="26"/>
    </row>
    <row r="1986" spans="1:12">
      <c r="A1986" s="20" t="s">
        <v>273</v>
      </c>
      <c r="E1986" s="21">
        <f>IF(D1986="?OLD","!!!","")</f>
        <v/>
      </c>
      <c r="F1986" s="22" t="str">
        <f>IF(OR(E1986="",E1986="!!!"),"",IF(NOT(ISNA(VLOOKUP(E1986,E$1:E1985,1,FALSE()))),"OLD",IF(AND(E1986&lt;&gt;"",E1986&lt;&gt;"!!!"),"NEW","")))</f>
        <v> </v>
      </c>
      <c r="G1986" s="23" t="str">
        <f>IF(OR(E1986="",E1986="!!!"),"",IF(OR(J1986=0,AND(J1986=1,K1986=1),AND(J1986=1,I1986="SBJ"),AND(J1986=1,I1986=0)),"?IN_FOCUS",IF(J1986&lt;=2,"?ACTIVATED",IF(J1986&lt;&gt;"","?FAMILIAR",IF(F1986="NEW",IF(ISNA(VLOOKUP(E1986,#REF!,1,FALSE())),"?TYPE_IDENTIFIABLE","?REFERENTIAL"),"_")))))</f>
        <v> </v>
      </c>
      <c r="H1986" s="24" t="str">
        <f>IF(J1986&lt;&gt;1,"",IF(I1986="SBJ","CB","?"))</f>
        <v> </v>
      </c>
      <c r="I1986" s="25" t="str">
        <f>IF(OR(E1986="",E1986="!!!",F1986="NEW"),"",INDEX(B1985:B$2,-1+SUMPRODUCT(MAX(ROW(E1985:E$2)*(E1986=E1985:E$2)))))</f>
        <v> </v>
      </c>
      <c r="J1986" s="25" t="str">
        <f>IF(OR(E1986="",E1986="!!!",F1986="NEW"),"",COUNTBLANK(OFFSET(A$1,,,SUMPRODUCT(MAX(ROW(E$2:E1986)*(E1986=E$2:E1986)))))-COUNTBLANK(OFFSET(A$1,,,SUMPRODUCT(MAX(ROW(E$1:E1985)*(E2=E$1:E1985))))))</f>
        <v> </v>
      </c>
      <c r="K1986" s="25" t="str">
        <f>IF(OR(E1986="",E1986="!!!",F1986="NEW"),"",INDEX(J$1:J1985,SUMPRODUCT(MAX(ROW(E$1:E1985)*(E1986=E$1:E1985)))))</f>
        <v> </v>
      </c>
      <c r="L1986" s="26"/>
    </row>
    <row r="1987" spans="1:12">
      <c r="A1987" s="20" t="s">
        <v>260</v>
      </c>
      <c r="E1987" s="21">
        <f>IF(D1987="?OLD","!!!","")</f>
        <v/>
      </c>
      <c r="F1987" s="22" t="str">
        <f>IF(OR(E1987="",E1987="!!!"),"",IF(NOT(ISNA(VLOOKUP(E1987,E$1:E1986,1,FALSE()))),"OLD",IF(AND(E1987&lt;&gt;"",E1987&lt;&gt;"!!!"),"NEW","")))</f>
        <v> </v>
      </c>
      <c r="G1987" s="23" t="str">
        <f>IF(OR(E1987="",E1987="!!!"),"",IF(OR(J1987=0,AND(J1987=1,K1987=1),AND(J1987=1,I1987="SBJ"),AND(J1987=1,I1987=0)),"?IN_FOCUS",IF(J1987&lt;=2,"?ACTIVATED",IF(J1987&lt;&gt;"","?FAMILIAR",IF(F1987="NEW",IF(ISNA(VLOOKUP(E1987,#REF!,1,FALSE())),"?TYPE_IDENTIFIABLE","?REFERENTIAL"),"_")))))</f>
        <v> </v>
      </c>
      <c r="H1987" s="24" t="str">
        <f>IF(J1987&lt;&gt;1,"",IF(I1987="SBJ","CB","?"))</f>
        <v> </v>
      </c>
      <c r="I1987" s="25" t="str">
        <f>IF(OR(E1987="",E1987="!!!",F1987="NEW"),"",INDEX(B1986:B$2,-1+SUMPRODUCT(MAX(ROW(E1986:E$2)*(E1987=E1986:E$2)))))</f>
        <v> </v>
      </c>
      <c r="J1987" s="25" t="str">
        <f>IF(OR(E1987="",E1987="!!!",F1987="NEW"),"",COUNTBLANK(OFFSET(A$1,,,SUMPRODUCT(MAX(ROW(E$2:E1987)*(E1987=E$2:E1987)))))-COUNTBLANK(OFFSET(A$1,,,SUMPRODUCT(MAX(ROW(E$1:E1986)*(E2=E$1:E1986))))))</f>
        <v> </v>
      </c>
      <c r="K1987" s="25" t="str">
        <f>IF(OR(E1987="",E1987="!!!",F1987="NEW"),"",INDEX(J$1:J1986,SUMPRODUCT(MAX(ROW(E$1:E1986)*(E1987=E$1:E1986)))))</f>
        <v> </v>
      </c>
      <c r="L1987" s="26"/>
    </row>
    <row r="1988" spans="1:12">
      <c r="A1988" s="20" t="s">
        <v>561</v>
      </c>
      <c r="B1988" s="27" t="s">
        <v>272</v>
      </c>
      <c r="C1988" s="27" t="s">
        <v>334</v>
      </c>
      <c r="D1988" s="27" t="s">
        <v>244</v>
      </c>
      <c r="E1988" s="21">
        <f>IF(D1988="?OLD","!!!","")</f>
        <v/>
      </c>
      <c r="F1988" s="22" t="str">
        <f>IF(OR(E1988="",E1988="!!!"),"",IF(NOT(ISNA(VLOOKUP(E1988,E$1:E1987,1,FALSE()))),"OLD",IF(AND(E1988&lt;&gt;"",E1988&lt;&gt;"!!!"),"NEW","")))</f>
        <v> </v>
      </c>
      <c r="G1988" s="23" t="str">
        <f>IF(OR(E1988="",E1988="!!!"),"",IF(OR(J1988=0,AND(J1988=1,K1988=1),AND(J1988=1,I1988="SBJ"),AND(J1988=1,I1988=0)),"?IN_FOCUS",IF(J1988&lt;=2,"?ACTIVATED",IF(J1988&lt;&gt;"","?FAMILIAR",IF(F1988="NEW",IF(ISNA(VLOOKUP(E1988,#REF!,1,FALSE())),"?TYPE_IDENTIFIABLE","?REFERENTIAL"),"_")))))</f>
        <v> </v>
      </c>
      <c r="H1988" s="24" t="str">
        <f>IF(J1988&lt;&gt;1,"",IF(I1988="SBJ","CB","?"))</f>
        <v> </v>
      </c>
      <c r="I1988" s="25" t="str">
        <f>IF(OR(E1988="",E1988="!!!",F1988="NEW"),"",INDEX(B1987:B$2,-1+SUMPRODUCT(MAX(ROW(E1987:E$2)*(E1988=E1987:E$2)))))</f>
        <v> </v>
      </c>
      <c r="J1988" s="25" t="str">
        <f>IF(OR(E1988="",E1988="!!!",F1988="NEW"),"",COUNTBLANK(OFFSET(A$1,,,SUMPRODUCT(MAX(ROW(E$2:E1988)*(E1988=E$2:E1988)))))-COUNTBLANK(OFFSET(A$1,,,SUMPRODUCT(MAX(ROW(E$1:E1987)*(E2=E$1:E1987))))))</f>
        <v> </v>
      </c>
      <c r="K1988" s="25" t="str">
        <f>IF(OR(E1988="",E1988="!!!",F1988="NEW"),"",INDEX(J$1:J1987,SUMPRODUCT(MAX(ROW(E$1:E1987)*(E1988=E$1:E1987)))))</f>
        <v> </v>
      </c>
      <c r="L1988" s="26"/>
    </row>
    <row r="1989" spans="1:12">
      <c r="A1989" s="20" t="s">
        <v>305</v>
      </c>
      <c r="E1989" s="21">
        <f>IF(D1989="?OLD","!!!","")</f>
        <v/>
      </c>
      <c r="F1989" s="22" t="str">
        <f>IF(OR(E1989="",E1989="!!!"),"",IF(NOT(ISNA(VLOOKUP(E1989,E$1:E1988,1,FALSE()))),"OLD",IF(AND(E1989&lt;&gt;"",E1989&lt;&gt;"!!!"),"NEW","")))</f>
        <v> </v>
      </c>
      <c r="G1989" s="23" t="str">
        <f>IF(OR(E1989="",E1989="!!!"),"",IF(OR(J1989=0,AND(J1989=1,K1989=1),AND(J1989=1,I1989="SBJ"),AND(J1989=1,I1989=0)),"?IN_FOCUS",IF(J1989&lt;=2,"?ACTIVATED",IF(J1989&lt;&gt;"","?FAMILIAR",IF(F1989="NEW",IF(ISNA(VLOOKUP(E1989,#REF!,1,FALSE())),"?TYPE_IDENTIFIABLE","?REFERENTIAL"),"_")))))</f>
        <v> </v>
      </c>
      <c r="H1989" s="24" t="str">
        <f>IF(J1989&lt;&gt;1,"",IF(I1989="SBJ","CB","?"))</f>
        <v> </v>
      </c>
      <c r="I1989" s="25" t="str">
        <f>IF(OR(E1989="",E1989="!!!",F1989="NEW"),"",INDEX(B1988:B$2,-1+SUMPRODUCT(MAX(ROW(E1988:E$2)*(E1989=E1988:E$2)))))</f>
        <v> </v>
      </c>
      <c r="J1989" s="25" t="str">
        <f>IF(OR(E1989="",E1989="!!!",F1989="NEW"),"",COUNTBLANK(OFFSET(A$1,,,SUMPRODUCT(MAX(ROW(E$2:E1989)*(E1989=E$2:E1989)))))-COUNTBLANK(OFFSET(A$1,,,SUMPRODUCT(MAX(ROW(E$1:E1988)*(E2=E$1:E1988))))))</f>
        <v> </v>
      </c>
      <c r="K1989" s="25" t="str">
        <f>IF(OR(E1989="",E1989="!!!",F1989="NEW"),"",INDEX(J$1:J1988,SUMPRODUCT(MAX(ROW(E$1:E1988)*(E1989=E$1:E1988)))))</f>
        <v> </v>
      </c>
      <c r="L1989" s="26"/>
    </row>
    <row r="1990" spans="1:12">
      <c r="A1990" s="20" t="s">
        <v>372</v>
      </c>
      <c r="E1990" s="21">
        <f>IF(D1990="?OLD","!!!","")</f>
        <v/>
      </c>
      <c r="F1990" s="22" t="str">
        <f>IF(OR(E1990="",E1990="!!!"),"",IF(NOT(ISNA(VLOOKUP(E1990,E$1:E1989,1,FALSE()))),"OLD",IF(AND(E1990&lt;&gt;"",E1990&lt;&gt;"!!!"),"NEW","")))</f>
        <v> </v>
      </c>
      <c r="G1990" s="23" t="str">
        <f>IF(OR(E1990="",E1990="!!!"),"",IF(OR(J1990=0,AND(J1990=1,K1990=1),AND(J1990=1,I1990="SBJ"),AND(J1990=1,I1990=0)),"?IN_FOCUS",IF(J1990&lt;=2,"?ACTIVATED",IF(J1990&lt;&gt;"","?FAMILIAR",IF(F1990="NEW",IF(ISNA(VLOOKUP(E1990,#REF!,1,FALSE())),"?TYPE_IDENTIFIABLE","?REFERENTIAL"),"_")))))</f>
        <v> </v>
      </c>
      <c r="H1990" s="24" t="str">
        <f>IF(J1990&lt;&gt;1,"",IF(I1990="SBJ","CB","?"))</f>
        <v> </v>
      </c>
      <c r="I1990" s="25" t="str">
        <f>IF(OR(E1990="",E1990="!!!",F1990="NEW"),"",INDEX(B1989:B$2,-1+SUMPRODUCT(MAX(ROW(E1989:E$2)*(E1990=E1989:E$2)))))</f>
        <v> </v>
      </c>
      <c r="J1990" s="25" t="str">
        <f>IF(OR(E1990="",E1990="!!!",F1990="NEW"),"",COUNTBLANK(OFFSET(A$1,,,SUMPRODUCT(MAX(ROW(E$2:E1990)*(E1990=E$2:E1990)))))-COUNTBLANK(OFFSET(A$1,,,SUMPRODUCT(MAX(ROW(E$1:E1989)*(E2=E$1:E1989))))))</f>
        <v> </v>
      </c>
      <c r="K1990" s="25" t="str">
        <f>IF(OR(E1990="",E1990="!!!",F1990="NEW"),"",INDEX(J$1:J1989,SUMPRODUCT(MAX(ROW(E$1:E1989)*(E1990=E$1:E1989)))))</f>
        <v> </v>
      </c>
      <c r="L1990" s="26"/>
    </row>
    <row r="1991" spans="1:12">
      <c r="A1991" s="20" t="s">
        <v>273</v>
      </c>
      <c r="E1991" s="21">
        <f>IF(D1991="?OLD","!!!","")</f>
        <v/>
      </c>
      <c r="F1991" s="22" t="str">
        <f>IF(OR(E1991="",E1991="!!!"),"",IF(NOT(ISNA(VLOOKUP(E1991,E$1:E1990,1,FALSE()))),"OLD",IF(AND(E1991&lt;&gt;"",E1991&lt;&gt;"!!!"),"NEW","")))</f>
        <v> </v>
      </c>
      <c r="G1991" s="23" t="str">
        <f>IF(OR(E1991="",E1991="!!!"),"",IF(OR(J1991=0,AND(J1991=1,K1991=1),AND(J1991=1,I1991="SBJ"),AND(J1991=1,I1991=0)),"?IN_FOCUS",IF(J1991&lt;=2,"?ACTIVATED",IF(J1991&lt;&gt;"","?FAMILIAR",IF(F1991="NEW",IF(ISNA(VLOOKUP(E1991,#REF!,1,FALSE())),"?TYPE_IDENTIFIABLE","?REFERENTIAL"),"_")))))</f>
        <v> </v>
      </c>
      <c r="H1991" s="24" t="str">
        <f>IF(J1991&lt;&gt;1,"",IF(I1991="SBJ","CB","?"))</f>
        <v> </v>
      </c>
      <c r="I1991" s="25" t="str">
        <f>IF(OR(E1991="",E1991="!!!",F1991="NEW"),"",INDEX(B1990:B$2,-1+SUMPRODUCT(MAX(ROW(E1990:E$2)*(E1991=E1990:E$2)))))</f>
        <v> </v>
      </c>
      <c r="J1991" s="25" t="str">
        <f>IF(OR(E1991="",E1991="!!!",F1991="NEW"),"",COUNTBLANK(OFFSET(A$1,,,SUMPRODUCT(MAX(ROW(E$2:E1991)*(E1991=E$2:E1991)))))-COUNTBLANK(OFFSET(A$1,,,SUMPRODUCT(MAX(ROW(E$1:E1990)*(E2=E$1:E1990))))))</f>
        <v> </v>
      </c>
      <c r="K1991" s="25" t="str">
        <f>IF(OR(E1991="",E1991="!!!",F1991="NEW"),"",INDEX(J$1:J1990,SUMPRODUCT(MAX(ROW(E$1:E1990)*(E1991=E$1:E1990)))))</f>
        <v> </v>
      </c>
      <c r="L1991" s="26"/>
    </row>
    <row r="1992" spans="1:12">
      <c r="A1992" s="20" t="s">
        <v>972</v>
      </c>
      <c r="B1992" s="27" t="s">
        <v>291</v>
      </c>
      <c r="C1992" s="27" t="s">
        <v>267</v>
      </c>
      <c r="D1992" s="27" t="s">
        <v>244</v>
      </c>
      <c r="E1992" s="21">
        <f>IF(D1992="?OLD","!!!","")</f>
        <v/>
      </c>
      <c r="F1992" s="22" t="str">
        <f>IF(OR(E1992="",E1992="!!!"),"",IF(NOT(ISNA(VLOOKUP(E1992,E$1:E1991,1,FALSE()))),"OLD",IF(AND(E1992&lt;&gt;"",E1992&lt;&gt;"!!!"),"NEW","")))</f>
        <v> </v>
      </c>
      <c r="G1992" s="23" t="str">
        <f>IF(OR(E1992="",E1992="!!!"),"",IF(OR(J1992=0,AND(J1992=1,K1992=1),AND(J1992=1,I1992="SBJ"),AND(J1992=1,I1992=0)),"?IN_FOCUS",IF(J1992&lt;=2,"?ACTIVATED",IF(J1992&lt;&gt;"","?FAMILIAR",IF(F1992="NEW",IF(ISNA(VLOOKUP(E1992,#REF!,1,FALSE())),"?TYPE_IDENTIFIABLE","?REFERENTIAL"),"_")))))</f>
        <v> </v>
      </c>
      <c r="H1992" s="24" t="str">
        <f>IF(J1992&lt;&gt;1,"",IF(I1992="SBJ","CB","?"))</f>
        <v> </v>
      </c>
      <c r="I1992" s="25" t="str">
        <f>IF(OR(E1992="",E1992="!!!",F1992="NEW"),"",INDEX(B1991:B$2,-1+SUMPRODUCT(MAX(ROW(E1991:E$2)*(E1992=E1991:E$2)))))</f>
        <v> </v>
      </c>
      <c r="J1992" s="25" t="str">
        <f>IF(OR(E1992="",E1992="!!!",F1992="NEW"),"",COUNTBLANK(OFFSET(A$1,,,SUMPRODUCT(MAX(ROW(E$2:E1992)*(E1992=E$2:E1992)))))-COUNTBLANK(OFFSET(A$1,,,SUMPRODUCT(MAX(ROW(E$1:E1991)*(E2=E$1:E1991))))))</f>
        <v> </v>
      </c>
      <c r="K1992" s="25" t="str">
        <f>IF(OR(E1992="",E1992="!!!",F1992="NEW"),"",INDEX(J$1:J1991,SUMPRODUCT(MAX(ROW(E$1:E1991)*(E1992=E$1:E1991)))))</f>
        <v> </v>
      </c>
      <c r="L1992" s="26"/>
    </row>
    <row r="1993" spans="1:12">
      <c r="A1993" s="20" t="s">
        <v>273</v>
      </c>
      <c r="E1993" s="21">
        <f>IF(D1993="?OLD","!!!","")</f>
        <v/>
      </c>
      <c r="F1993" s="22" t="str">
        <f>IF(OR(E1993="",E1993="!!!"),"",IF(NOT(ISNA(VLOOKUP(E1993,E$1:E1992,1,FALSE()))),"OLD",IF(AND(E1993&lt;&gt;"",E1993&lt;&gt;"!!!"),"NEW","")))</f>
        <v> </v>
      </c>
      <c r="G1993" s="23" t="str">
        <f>IF(OR(E1993="",E1993="!!!"),"",IF(OR(J1993=0,AND(J1993=1,K1993=1),AND(J1993=1,I1993="SBJ"),AND(J1993=1,I1993=0)),"?IN_FOCUS",IF(J1993&lt;=2,"?ACTIVATED",IF(J1993&lt;&gt;"","?FAMILIAR",IF(F1993="NEW",IF(ISNA(VLOOKUP(E1993,#REF!,1,FALSE())),"?TYPE_IDENTIFIABLE","?REFERENTIAL"),"_")))))</f>
        <v> </v>
      </c>
      <c r="H1993" s="24" t="str">
        <f>IF(J1993&lt;&gt;1,"",IF(I1993="SBJ","CB","?"))</f>
        <v> </v>
      </c>
      <c r="I1993" s="25" t="str">
        <f>IF(OR(E1993="",E1993="!!!",F1993="NEW"),"",INDEX(B1992:B$2,-1+SUMPRODUCT(MAX(ROW(E1992:E$2)*(E1993=E1992:E$2)))))</f>
        <v> </v>
      </c>
      <c r="J1993" s="25" t="str">
        <f>IF(OR(E1993="",E1993="!!!",F1993="NEW"),"",COUNTBLANK(OFFSET(A$1,,,SUMPRODUCT(MAX(ROW(E$2:E1993)*(E1993=E$2:E1993)))))-COUNTBLANK(OFFSET(A$1,,,SUMPRODUCT(MAX(ROW(E$1:E1992)*(E2=E$1:E1992))))))</f>
        <v> </v>
      </c>
      <c r="K1993" s="25" t="str">
        <f>IF(OR(E1993="",E1993="!!!",F1993="NEW"),"",INDEX(J$1:J1992,SUMPRODUCT(MAX(ROW(E$1:E1992)*(E1993=E$1:E1992)))))</f>
        <v> </v>
      </c>
      <c r="L1993" s="26"/>
    </row>
    <row r="1994" spans="1:12">
      <c r="A1994" s="20" t="s">
        <v>659</v>
      </c>
      <c r="B1994" s="27" t="s">
        <v>262</v>
      </c>
      <c r="C1994" s="27" t="s">
        <v>263</v>
      </c>
      <c r="D1994" s="27" t="s">
        <v>244</v>
      </c>
      <c r="E1994" s="21">
        <f>IF(D1994="?OLD","!!!","")</f>
        <v/>
      </c>
      <c r="F1994" s="22" t="str">
        <f>IF(OR(E1994="",E1994="!!!"),"",IF(NOT(ISNA(VLOOKUP(E1994,E$1:E1993,1,FALSE()))),"OLD",IF(AND(E1994&lt;&gt;"",E1994&lt;&gt;"!!!"),"NEW","")))</f>
        <v> </v>
      </c>
      <c r="G1994" s="23" t="str">
        <f>IF(OR(E1994="",E1994="!!!"),"",IF(OR(J1994=0,AND(J1994=1,K1994=1),AND(J1994=1,I1994="SBJ"),AND(J1994=1,I1994=0)),"?IN_FOCUS",IF(J1994&lt;=2,"?ACTIVATED",IF(J1994&lt;&gt;"","?FAMILIAR",IF(F1994="NEW",IF(ISNA(VLOOKUP(E1994,#REF!,1,FALSE())),"?TYPE_IDENTIFIABLE","?REFERENTIAL"),"_")))))</f>
        <v> </v>
      </c>
      <c r="H1994" s="24" t="str">
        <f>IF(J1994&lt;&gt;1,"",IF(I1994="SBJ","CB","?"))</f>
        <v> </v>
      </c>
      <c r="I1994" s="25" t="str">
        <f>IF(OR(E1994="",E1994="!!!",F1994="NEW"),"",INDEX(B1993:B$2,-1+SUMPRODUCT(MAX(ROW(E1993:E$2)*(E1994=E1993:E$2)))))</f>
        <v> </v>
      </c>
      <c r="J1994" s="25" t="str">
        <f>IF(OR(E1994="",E1994="!!!",F1994="NEW"),"",COUNTBLANK(OFFSET(A$1,,,SUMPRODUCT(MAX(ROW(E$2:E1994)*(E1994=E$2:E1994)))))-COUNTBLANK(OFFSET(A$1,,,SUMPRODUCT(MAX(ROW(E$1:E1993)*(E2=E$1:E1993))))))</f>
        <v> </v>
      </c>
      <c r="K1994" s="25" t="str">
        <f>IF(OR(E1994="",E1994="!!!",F1994="NEW"),"",INDEX(J$1:J1993,SUMPRODUCT(MAX(ROW(E$1:E1993)*(E1994=E$1:E1993)))))</f>
        <v> </v>
      </c>
      <c r="L1994" s="26"/>
    </row>
    <row r="1995" spans="1:12">
      <c r="A1995" s="20" t="s">
        <v>434</v>
      </c>
      <c r="B1995" s="27" t="s">
        <v>272</v>
      </c>
      <c r="C1995" s="27" t="s">
        <v>267</v>
      </c>
      <c r="D1995" s="27" t="s">
        <v>244</v>
      </c>
      <c r="E1995" s="21">
        <f>IF(D1995="?OLD","!!!","")</f>
        <v/>
      </c>
      <c r="F1995" s="22" t="str">
        <f>IF(OR(E1995="",E1995="!!!"),"",IF(NOT(ISNA(VLOOKUP(E1995,E$1:E1994,1,FALSE()))),"OLD",IF(AND(E1995&lt;&gt;"",E1995&lt;&gt;"!!!"),"NEW","")))</f>
        <v> </v>
      </c>
      <c r="G1995" s="23" t="str">
        <f>IF(OR(E1995="",E1995="!!!"),"",IF(OR(J1995=0,AND(J1995=1,K1995=1),AND(J1995=1,I1995="SBJ"),AND(J1995=1,I1995=0)),"?IN_FOCUS",IF(J1995&lt;=2,"?ACTIVATED",IF(J1995&lt;&gt;"","?FAMILIAR",IF(F1995="NEW",IF(ISNA(VLOOKUP(E1995,#REF!,1,FALSE())),"?TYPE_IDENTIFIABLE","?REFERENTIAL"),"_")))))</f>
        <v> </v>
      </c>
      <c r="H1995" s="24" t="str">
        <f>IF(J1995&lt;&gt;1,"",IF(I1995="SBJ","CB","?"))</f>
        <v> </v>
      </c>
      <c r="I1995" s="25" t="str">
        <f>IF(OR(E1995="",E1995="!!!",F1995="NEW"),"",INDEX(B1994:B$2,-1+SUMPRODUCT(MAX(ROW(E1994:E$2)*(E1995=E1994:E$2)))))</f>
        <v> </v>
      </c>
      <c r="J1995" s="25" t="str">
        <f>IF(OR(E1995="",E1995="!!!",F1995="NEW"),"",COUNTBLANK(OFFSET(A$1,,,SUMPRODUCT(MAX(ROW(E$2:E1995)*(E1995=E$2:E1995)))))-COUNTBLANK(OFFSET(A$1,,,SUMPRODUCT(MAX(ROW(E$1:E1994)*(E2=E$1:E1994))))))</f>
        <v> </v>
      </c>
      <c r="K1995" s="25" t="str">
        <f>IF(OR(E1995="",E1995="!!!",F1995="NEW"),"",INDEX(J$1:J1994,SUMPRODUCT(MAX(ROW(E$1:E1994)*(E1995=E$1:E1994)))))</f>
        <v> </v>
      </c>
      <c r="L1995" s="26"/>
    </row>
    <row r="1996" spans="1:12">
      <c r="A1996" s="20" t="s">
        <v>305</v>
      </c>
      <c r="E1996" s="21">
        <f>IF(D1996="?OLD","!!!","")</f>
        <v/>
      </c>
      <c r="F1996" s="22" t="str">
        <f>IF(OR(E1996="",E1996="!!!"),"",IF(NOT(ISNA(VLOOKUP(E1996,E$1:E1995,1,FALSE()))),"OLD",IF(AND(E1996&lt;&gt;"",E1996&lt;&gt;"!!!"),"NEW","")))</f>
        <v> </v>
      </c>
      <c r="G1996" s="23" t="str">
        <f>IF(OR(E1996="",E1996="!!!"),"",IF(OR(J1996=0,AND(J1996=1,K1996=1),AND(J1996=1,I1996="SBJ"),AND(J1996=1,I1996=0)),"?IN_FOCUS",IF(J1996&lt;=2,"?ACTIVATED",IF(J1996&lt;&gt;"","?FAMILIAR",IF(F1996="NEW",IF(ISNA(VLOOKUP(E1996,#REF!,1,FALSE())),"?TYPE_IDENTIFIABLE","?REFERENTIAL"),"_")))))</f>
        <v> </v>
      </c>
      <c r="H1996" s="24" t="str">
        <f>IF(J1996&lt;&gt;1,"",IF(I1996="SBJ","CB","?"))</f>
        <v> </v>
      </c>
      <c r="I1996" s="25" t="str">
        <f>IF(OR(E1996="",E1996="!!!",F1996="NEW"),"",INDEX(B1995:B$2,-1+SUMPRODUCT(MAX(ROW(E1995:E$2)*(E1996=E1995:E$2)))))</f>
        <v> </v>
      </c>
      <c r="J1996" s="25" t="str">
        <f>IF(OR(E1996="",E1996="!!!",F1996="NEW"),"",COUNTBLANK(OFFSET(A$1,,,SUMPRODUCT(MAX(ROW(E$2:E1996)*(E1996=E$2:E1996)))))-COUNTBLANK(OFFSET(A$1,,,SUMPRODUCT(MAX(ROW(E$1:E1995)*(E2=E$1:E1995))))))</f>
        <v> </v>
      </c>
      <c r="K1996" s="25" t="str">
        <f>IF(OR(E1996="",E1996="!!!",F1996="NEW"),"",INDEX(J$1:J1995,SUMPRODUCT(MAX(ROW(E$1:E1995)*(E1996=E$1:E1995)))))</f>
        <v> </v>
      </c>
      <c r="L1996" s="26"/>
    </row>
    <row r="1997" spans="1:12">
      <c r="A1997" s="20" t="s">
        <v>260</v>
      </c>
      <c r="E1997" s="21">
        <f>IF(D1997="?OLD","!!!","")</f>
        <v/>
      </c>
      <c r="F1997" s="22" t="str">
        <f>IF(OR(E1997="",E1997="!!!"),"",IF(NOT(ISNA(VLOOKUP(E1997,E$1:E1996,1,FALSE()))),"OLD",IF(AND(E1997&lt;&gt;"",E1997&lt;&gt;"!!!"),"NEW","")))</f>
        <v> </v>
      </c>
      <c r="G1997" s="23" t="str">
        <f>IF(OR(E1997="",E1997="!!!"),"",IF(OR(J1997=0,AND(J1997=1,K1997=1),AND(J1997=1,I1997="SBJ"),AND(J1997=1,I1997=0)),"?IN_FOCUS",IF(J1997&lt;=2,"?ACTIVATED",IF(J1997&lt;&gt;"","?FAMILIAR",IF(F1997="NEW",IF(ISNA(VLOOKUP(E1997,#REF!,1,FALSE())),"?TYPE_IDENTIFIABLE","?REFERENTIAL"),"_")))))</f>
        <v> </v>
      </c>
      <c r="H1997" s="24" t="str">
        <f>IF(J1997&lt;&gt;1,"",IF(I1997="SBJ","CB","?"))</f>
        <v> </v>
      </c>
      <c r="I1997" s="25" t="str">
        <f>IF(OR(E1997="",E1997="!!!",F1997="NEW"),"",INDEX(B1996:B$2,-1+SUMPRODUCT(MAX(ROW(E1996:E$2)*(E1997=E1996:E$2)))))</f>
        <v> </v>
      </c>
      <c r="J1997" s="25" t="str">
        <f>IF(OR(E1997="",E1997="!!!",F1997="NEW"),"",COUNTBLANK(OFFSET(A$1,,,SUMPRODUCT(MAX(ROW(E$2:E1997)*(E1997=E$2:E1997)))))-COUNTBLANK(OFFSET(A$1,,,SUMPRODUCT(MAX(ROW(E$1:E1996)*(E2=E$1:E1996))))))</f>
        <v> </v>
      </c>
      <c r="K1997" s="25" t="str">
        <f>IF(OR(E1997="",E1997="!!!",F1997="NEW"),"",INDEX(J$1:J1996,SUMPRODUCT(MAX(ROW(E$1:E1996)*(E1997=E$1:E1996)))))</f>
        <v> </v>
      </c>
      <c r="L1997" s="26"/>
    </row>
    <row r="1998" spans="1:12">
      <c r="A1998" s="20" t="s">
        <v>661</v>
      </c>
      <c r="B1998" s="27" t="s">
        <v>266</v>
      </c>
      <c r="C1998" s="27" t="s">
        <v>256</v>
      </c>
      <c r="D1998" s="27" t="s">
        <v>244</v>
      </c>
      <c r="E1998" s="21">
        <f>IF(D1998="?OLD","!!!","")</f>
        <v/>
      </c>
      <c r="F1998" s="22" t="str">
        <f>IF(OR(E1998="",E1998="!!!"),"",IF(NOT(ISNA(VLOOKUP(E1998,E$1:E1997,1,FALSE()))),"OLD",IF(AND(E1998&lt;&gt;"",E1998&lt;&gt;"!!!"),"NEW","")))</f>
        <v> </v>
      </c>
      <c r="G1998" s="23" t="str">
        <f>IF(OR(E1998="",E1998="!!!"),"",IF(OR(J1998=0,AND(J1998=1,K1998=1),AND(J1998=1,I1998="SBJ"),AND(J1998=1,I1998=0)),"?IN_FOCUS",IF(J1998&lt;=2,"?ACTIVATED",IF(J1998&lt;&gt;"","?FAMILIAR",IF(F1998="NEW",IF(ISNA(VLOOKUP(E1998,#REF!,1,FALSE())),"?TYPE_IDENTIFIABLE","?REFERENTIAL"),"_")))))</f>
        <v> </v>
      </c>
      <c r="H1998" s="24" t="str">
        <f>IF(J1998&lt;&gt;1,"",IF(I1998="SBJ","CB","?"))</f>
        <v> </v>
      </c>
      <c r="I1998" s="25" t="str">
        <f>IF(OR(E1998="",E1998="!!!",F1998="NEW"),"",INDEX(B1997:B$2,-1+SUMPRODUCT(MAX(ROW(E1997:E$2)*(E1998=E1997:E$2)))))</f>
        <v> </v>
      </c>
      <c r="J1998" s="25" t="str">
        <f>IF(OR(E1998="",E1998="!!!",F1998="NEW"),"",COUNTBLANK(OFFSET(A$1,,,SUMPRODUCT(MAX(ROW(E$2:E1998)*(E1998=E$2:E1998)))))-COUNTBLANK(OFFSET(A$1,,,SUMPRODUCT(MAX(ROW(E$1:E1997)*(E2=E$1:E1997))))))</f>
        <v> </v>
      </c>
      <c r="K1998" s="25" t="str">
        <f>IF(OR(E1998="",E1998="!!!",F1998="NEW"),"",INDEX(J$1:J1997,SUMPRODUCT(MAX(ROW(E$1:E1997)*(E1998=E$1:E1997)))))</f>
        <v> </v>
      </c>
      <c r="L1998" s="26"/>
    </row>
    <row r="1999" spans="1:12">
      <c r="A1999" s="20" t="s">
        <v>314</v>
      </c>
      <c r="E1999" s="21">
        <f>IF(D1999="?OLD","!!!","")</f>
        <v/>
      </c>
      <c r="F1999" s="22" t="str">
        <f>IF(OR(E1999="",E1999="!!!"),"",IF(NOT(ISNA(VLOOKUP(E1999,E$1:E1998,1,FALSE()))),"OLD",IF(AND(E1999&lt;&gt;"",E1999&lt;&gt;"!!!"),"NEW","")))</f>
        <v> </v>
      </c>
      <c r="G1999" s="23" t="str">
        <f>IF(OR(E1999="",E1999="!!!"),"",IF(OR(J1999=0,AND(J1999=1,K1999=1),AND(J1999=1,I1999="SBJ"),AND(J1999=1,I1999=0)),"?IN_FOCUS",IF(J1999&lt;=2,"?ACTIVATED",IF(J1999&lt;&gt;"","?FAMILIAR",IF(F1999="NEW",IF(ISNA(VLOOKUP(E1999,#REF!,1,FALSE())),"?TYPE_IDENTIFIABLE","?REFERENTIAL"),"_")))))</f>
        <v> </v>
      </c>
      <c r="H1999" s="24" t="str">
        <f>IF(J1999&lt;&gt;1,"",IF(I1999="SBJ","CB","?"))</f>
        <v> </v>
      </c>
      <c r="I1999" s="25" t="str">
        <f>IF(OR(E1999="",E1999="!!!",F1999="NEW"),"",INDEX(B1998:B$2,-1+SUMPRODUCT(MAX(ROW(E1998:E$2)*(E1999=E1998:E$2)))))</f>
        <v> </v>
      </c>
      <c r="J1999" s="25" t="str">
        <f>IF(OR(E1999="",E1999="!!!",F1999="NEW"),"",COUNTBLANK(OFFSET(A$1,,,SUMPRODUCT(MAX(ROW(E$2:E1999)*(E1999=E$2:E1999)))))-COUNTBLANK(OFFSET(A$1,,,SUMPRODUCT(MAX(ROW(E$1:E1998)*(E2=E$1:E1998))))))</f>
        <v> </v>
      </c>
      <c r="K1999" s="25" t="str">
        <f>IF(OR(E1999="",E1999="!!!",F1999="NEW"),"",INDEX(J$1:J1998,SUMPRODUCT(MAX(ROW(E$1:E1998)*(E1999=E$1:E1998)))))</f>
        <v> </v>
      </c>
      <c r="L1999" s="26"/>
    </row>
    <row r="2000" spans="1:12">
      <c r="A2000" s="20" t="s">
        <v>659</v>
      </c>
      <c r="B2000" s="27" t="s">
        <v>283</v>
      </c>
      <c r="C2000" s="27" t="s">
        <v>263</v>
      </c>
      <c r="D2000" s="27" t="s">
        <v>244</v>
      </c>
      <c r="E2000" s="21">
        <f>IF(D2000="?OLD","!!!","")</f>
        <v/>
      </c>
      <c r="F2000" s="22" t="str">
        <f>IF(OR(E2000="",E2000="!!!"),"",IF(NOT(ISNA(VLOOKUP(E2000,E$1:E1999,1,FALSE()))),"OLD",IF(AND(E2000&lt;&gt;"",E2000&lt;&gt;"!!!"),"NEW","")))</f>
        <v> </v>
      </c>
      <c r="G2000" s="23" t="str">
        <f>IF(OR(E2000="",E2000="!!!"),"",IF(OR(J2000=0,AND(J2000=1,K2000=1),AND(J2000=1,I2000="SBJ"),AND(J2000=1,I2000=0)),"?IN_FOCUS",IF(J2000&lt;=2,"?ACTIVATED",IF(J2000&lt;&gt;"","?FAMILIAR",IF(F2000="NEW",IF(ISNA(VLOOKUP(E2000,#REF!,1,FALSE())),"?TYPE_IDENTIFIABLE","?REFERENTIAL"),"_")))))</f>
        <v> </v>
      </c>
      <c r="H2000" s="24" t="str">
        <f>IF(J2000&lt;&gt;1,"",IF(I2000="SBJ","CB","?"))</f>
        <v> </v>
      </c>
      <c r="I2000" s="25" t="str">
        <f>IF(OR(E2000="",E2000="!!!",F2000="NEW"),"",INDEX(B1999:B$2,-1+SUMPRODUCT(MAX(ROW(E1999:E$2)*(E2000=E1999:E$2)))))</f>
        <v> </v>
      </c>
      <c r="J2000" s="25" t="str">
        <f>IF(OR(E2000="",E2000="!!!",F2000="NEW"),"",COUNTBLANK(OFFSET(A$1,,,SUMPRODUCT(MAX(ROW(E$2:E2000)*(E2000=E$2:E2000)))))-COUNTBLANK(OFFSET(A$1,,,SUMPRODUCT(MAX(ROW(E$1:E1999)*(E2=E$1:E1999))))))</f>
        <v> </v>
      </c>
      <c r="K2000" s="25" t="str">
        <f>IF(OR(E2000="",E2000="!!!",F2000="NEW"),"",INDEX(J$1:J1999,SUMPRODUCT(MAX(ROW(E$1:E1999)*(E2000=E$1:E1999)))))</f>
        <v> </v>
      </c>
      <c r="L2000" s="26"/>
    </row>
    <row r="2001" spans="1:12">
      <c r="A2001" s="20" t="s">
        <v>973</v>
      </c>
      <c r="B2001" s="27" t="s">
        <v>262</v>
      </c>
      <c r="C2001" s="27" t="s">
        <v>267</v>
      </c>
      <c r="D2001" s="27" t="s">
        <v>244</v>
      </c>
      <c r="E2001" s="21">
        <f>IF(D2001="?OLD","!!!","")</f>
        <v/>
      </c>
      <c r="F2001" s="22" t="str">
        <f>IF(OR(E2001="",E2001="!!!"),"",IF(NOT(ISNA(VLOOKUP(E2001,E$1:E2000,1,FALSE()))),"OLD",IF(AND(E2001&lt;&gt;"",E2001&lt;&gt;"!!!"),"NEW","")))</f>
        <v> </v>
      </c>
      <c r="G2001" s="23" t="str">
        <f>IF(OR(E2001="",E2001="!!!"),"",IF(OR(J2001=0,AND(J2001=1,K2001=1),AND(J2001=1,I2001="SBJ"),AND(J2001=1,I2001=0)),"?IN_FOCUS",IF(J2001&lt;=2,"?ACTIVATED",IF(J2001&lt;&gt;"","?FAMILIAR",IF(F2001="NEW",IF(ISNA(VLOOKUP(E2001,#REF!,1,FALSE())),"?TYPE_IDENTIFIABLE","?REFERENTIAL"),"_")))))</f>
        <v> </v>
      </c>
      <c r="H2001" s="24" t="str">
        <f>IF(J2001&lt;&gt;1,"",IF(I2001="SBJ","CB","?"))</f>
        <v> </v>
      </c>
      <c r="I2001" s="25" t="str">
        <f>IF(OR(E2001="",E2001="!!!",F2001="NEW"),"",INDEX(B2000:B$2,-1+SUMPRODUCT(MAX(ROW(E2000:E$2)*(E2001=E2000:E$2)))))</f>
        <v> </v>
      </c>
      <c r="J2001" s="25" t="str">
        <f>IF(OR(E2001="",E2001="!!!",F2001="NEW"),"",COUNTBLANK(OFFSET(A$1,,,SUMPRODUCT(MAX(ROW(E$2:E2001)*(E2001=E$2:E2001)))))-COUNTBLANK(OFFSET(A$1,,,SUMPRODUCT(MAX(ROW(E$1:E2000)*(E2=E$1:E2000))))))</f>
        <v> </v>
      </c>
      <c r="K2001" s="25" t="str">
        <f>IF(OR(E2001="",E2001="!!!",F2001="NEW"),"",INDEX(J$1:J2000,SUMPRODUCT(MAX(ROW(E$1:E2000)*(E2001=E$1:E2000)))))</f>
        <v> </v>
      </c>
      <c r="L2001" s="26"/>
    </row>
    <row r="2002" spans="1:12">
      <c r="A2002" s="20" t="s">
        <v>974</v>
      </c>
      <c r="E2002" s="21">
        <f>IF(D2002="?OLD","!!!","")</f>
        <v/>
      </c>
      <c r="F2002" s="22" t="str">
        <f>IF(OR(E2002="",E2002="!!!"),"",IF(NOT(ISNA(VLOOKUP(E2002,E$1:E2001,1,FALSE()))),"OLD",IF(AND(E2002&lt;&gt;"",E2002&lt;&gt;"!!!"),"NEW","")))</f>
        <v> </v>
      </c>
      <c r="G2002" s="23" t="str">
        <f>IF(OR(E2002="",E2002="!!!"),"",IF(OR(J2002=0,AND(J2002=1,K2002=1),AND(J2002=1,I2002="SBJ"),AND(J2002=1,I2002=0)),"?IN_FOCUS",IF(J2002&lt;=2,"?ACTIVATED",IF(J2002&lt;&gt;"","?FAMILIAR",IF(F2002="NEW",IF(ISNA(VLOOKUP(E2002,#REF!,1,FALSE())),"?TYPE_IDENTIFIABLE","?REFERENTIAL"),"_")))))</f>
        <v> </v>
      </c>
      <c r="H2002" s="24" t="str">
        <f>IF(J2002&lt;&gt;1,"",IF(I2002="SBJ","CB","?"))</f>
        <v> </v>
      </c>
      <c r="I2002" s="25" t="str">
        <f>IF(OR(E2002="",E2002="!!!",F2002="NEW"),"",INDEX(B2001:B$2,-1+SUMPRODUCT(MAX(ROW(E2001:E$2)*(E2002=E2001:E$2)))))</f>
        <v> </v>
      </c>
      <c r="J2002" s="25" t="str">
        <f>IF(OR(E2002="",E2002="!!!",F2002="NEW"),"",COUNTBLANK(OFFSET(A$1,,,SUMPRODUCT(MAX(ROW(E$2:E2002)*(E2002=E$2:E2002)))))-COUNTBLANK(OFFSET(A$1,,,SUMPRODUCT(MAX(ROW(E$1:E2001)*(E2=E$1:E2001))))))</f>
        <v> </v>
      </c>
      <c r="K2002" s="25" t="str">
        <f>IF(OR(E2002="",E2002="!!!",F2002="NEW"),"",INDEX(J$1:J2001,SUMPRODUCT(MAX(ROW(E$1:E2001)*(E2002=E$1:E2001)))))</f>
        <v> </v>
      </c>
      <c r="L2002" s="26"/>
    </row>
    <row r="2003" spans="1:12">
      <c r="A2003" s="20" t="s">
        <v>257</v>
      </c>
      <c r="E2003" s="21">
        <f>IF(D2003="?OLD","!!!","")</f>
        <v/>
      </c>
      <c r="F2003" s="22" t="str">
        <f>IF(OR(E2003="",E2003="!!!"),"",IF(NOT(ISNA(VLOOKUP(E2003,E$1:E2002,1,FALSE()))),"OLD",IF(AND(E2003&lt;&gt;"",E2003&lt;&gt;"!!!"),"NEW","")))</f>
        <v> </v>
      </c>
      <c r="G2003" s="23" t="str">
        <f>IF(OR(E2003="",E2003="!!!"),"",IF(OR(J2003=0,AND(J2003=1,K2003=1),AND(J2003=1,I2003="SBJ"),AND(J2003=1,I2003=0)),"?IN_FOCUS",IF(J2003&lt;=2,"?ACTIVATED",IF(J2003&lt;&gt;"","?FAMILIAR",IF(F2003="NEW",IF(ISNA(VLOOKUP(E2003,#REF!,1,FALSE())),"?TYPE_IDENTIFIABLE","?REFERENTIAL"),"_")))))</f>
        <v> </v>
      </c>
      <c r="H2003" s="24" t="str">
        <f>IF(J2003&lt;&gt;1,"",IF(I2003="SBJ","CB","?"))</f>
        <v> </v>
      </c>
      <c r="I2003" s="25" t="str">
        <f>IF(OR(E2003="",E2003="!!!",F2003="NEW"),"",INDEX(B2002:B$2,-1+SUMPRODUCT(MAX(ROW(E2002:E$2)*(E2003=E2002:E$2)))))</f>
        <v> </v>
      </c>
      <c r="J2003" s="25" t="str">
        <f>IF(OR(E2003="",E2003="!!!",F2003="NEW"),"",COUNTBLANK(OFFSET(A$1,,,SUMPRODUCT(MAX(ROW(E$2:E2003)*(E2003=E$2:E2003)))))-COUNTBLANK(OFFSET(A$1,,,SUMPRODUCT(MAX(ROW(E$1:E2002)*(E2=E$1:E2002))))))</f>
        <v> </v>
      </c>
      <c r="K2003" s="25" t="str">
        <f>IF(OR(E2003="",E2003="!!!",F2003="NEW"),"",INDEX(J$1:J2002,SUMPRODUCT(MAX(ROW(E$1:E2002)*(E2003=E$1:E2002)))))</f>
        <v> </v>
      </c>
      <c r="L2003" s="26"/>
    </row>
    <row r="2004" spans="1:12">
      <c r="A2004" s="20" t="s">
        <v>341</v>
      </c>
      <c r="B2004" s="27" t="s">
        <v>329</v>
      </c>
      <c r="C2004" s="27" t="s">
        <v>256</v>
      </c>
      <c r="D2004" s="27" t="s">
        <v>244</v>
      </c>
      <c r="E2004" s="21">
        <f>IF(D2004="?OLD","!!!","")</f>
        <v/>
      </c>
      <c r="F2004" s="22" t="str">
        <f>IF(OR(E2004="",E2004="!!!"),"",IF(NOT(ISNA(VLOOKUP(E2004,E$1:E2003,1,FALSE()))),"OLD",IF(AND(E2004&lt;&gt;"",E2004&lt;&gt;"!!!"),"NEW","")))</f>
        <v> </v>
      </c>
      <c r="G2004" s="23" t="str">
        <f>IF(OR(E2004="",E2004="!!!"),"",IF(OR(J2004=0,AND(J2004=1,K2004=1),AND(J2004=1,I2004="SBJ"),AND(J2004=1,I2004=0)),"?IN_FOCUS",IF(J2004&lt;=2,"?ACTIVATED",IF(J2004&lt;&gt;"","?FAMILIAR",IF(F2004="NEW",IF(ISNA(VLOOKUP(E2004,#REF!,1,FALSE())),"?TYPE_IDENTIFIABLE","?REFERENTIAL"),"_")))))</f>
        <v> </v>
      </c>
      <c r="H2004" s="24" t="str">
        <f>IF(J2004&lt;&gt;1,"",IF(I2004="SBJ","CB","?"))</f>
        <v> </v>
      </c>
      <c r="I2004" s="25" t="str">
        <f>IF(OR(E2004="",E2004="!!!",F2004="NEW"),"",INDEX(B2003:B$2,-1+SUMPRODUCT(MAX(ROW(E2003:E$2)*(E2004=E2003:E$2)))))</f>
        <v> </v>
      </c>
      <c r="J2004" s="25" t="str">
        <f>IF(OR(E2004="",E2004="!!!",F2004="NEW"),"",COUNTBLANK(OFFSET(A$1,,,SUMPRODUCT(MAX(ROW(E$2:E2004)*(E2004=E$2:E2004)))))-COUNTBLANK(OFFSET(A$1,,,SUMPRODUCT(MAX(ROW(E$1:E2003)*(E2=E$1:E2003))))))</f>
        <v> </v>
      </c>
      <c r="K2004" s="25" t="str">
        <f>IF(OR(E2004="",E2004="!!!",F2004="NEW"),"",INDEX(J$1:J2003,SUMPRODUCT(MAX(ROW(E$1:E2003)*(E2004=E$1:E2003)))))</f>
        <v> </v>
      </c>
      <c r="L2004" s="26"/>
    </row>
    <row r="2005" spans="1:12">
      <c r="A2005" s="20" t="s">
        <v>721</v>
      </c>
      <c r="E2005" s="21">
        <f>IF(D2005="?OLD","!!!","")</f>
        <v/>
      </c>
      <c r="F2005" s="22" t="str">
        <f>IF(OR(E2005="",E2005="!!!"),"",IF(NOT(ISNA(VLOOKUP(E2005,E$1:E2004,1,FALSE()))),"OLD",IF(AND(E2005&lt;&gt;"",E2005&lt;&gt;"!!!"),"NEW","")))</f>
        <v> </v>
      </c>
      <c r="G2005" s="23" t="str">
        <f>IF(OR(E2005="",E2005="!!!"),"",IF(OR(J2005=0,AND(J2005=1,K2005=1),AND(J2005=1,I2005="SBJ"),AND(J2005=1,I2005=0)),"?IN_FOCUS",IF(J2005&lt;=2,"?ACTIVATED",IF(J2005&lt;&gt;"","?FAMILIAR",IF(F2005="NEW",IF(ISNA(VLOOKUP(E2005,#REF!,1,FALSE())),"?TYPE_IDENTIFIABLE","?REFERENTIAL"),"_")))))</f>
        <v> </v>
      </c>
      <c r="H2005" s="24" t="str">
        <f>IF(J2005&lt;&gt;1,"",IF(I2005="SBJ","CB","?"))</f>
        <v> </v>
      </c>
      <c r="I2005" s="25" t="str">
        <f>IF(OR(E2005="",E2005="!!!",F2005="NEW"),"",INDEX(B2004:B$2,-1+SUMPRODUCT(MAX(ROW(E2004:E$2)*(E2005=E2004:E$2)))))</f>
        <v> </v>
      </c>
      <c r="J2005" s="25" t="str">
        <f>IF(OR(E2005="",E2005="!!!",F2005="NEW"),"",COUNTBLANK(OFFSET(A$1,,,SUMPRODUCT(MAX(ROW(E$2:E2005)*(E2005=E$2:E2005)))))-COUNTBLANK(OFFSET(A$1,,,SUMPRODUCT(MAX(ROW(E$1:E2004)*(E2=E$1:E2004))))))</f>
        <v> </v>
      </c>
      <c r="K2005" s="25" t="str">
        <f>IF(OR(E2005="",E2005="!!!",F2005="NEW"),"",INDEX(J$1:J2004,SUMPRODUCT(MAX(ROW(E$1:E2004)*(E2005=E$1:E2004)))))</f>
        <v> </v>
      </c>
      <c r="L2005" s="26"/>
    </row>
    <row r="2006" spans="1:12">
      <c r="A2006" s="20" t="s">
        <v>614</v>
      </c>
      <c r="E2006" s="21">
        <f>IF(D2006="?OLD","!!!","")</f>
        <v/>
      </c>
      <c r="F2006" s="22" t="str">
        <f>IF(OR(E2006="",E2006="!!!"),"",IF(NOT(ISNA(VLOOKUP(E2006,E$1:E2005,1,FALSE()))),"OLD",IF(AND(E2006&lt;&gt;"",E2006&lt;&gt;"!!!"),"NEW","")))</f>
        <v> </v>
      </c>
      <c r="G2006" s="23" t="str">
        <f>IF(OR(E2006="",E2006="!!!"),"",IF(OR(J2006=0,AND(J2006=1,K2006=1),AND(J2006=1,I2006="SBJ"),AND(J2006=1,I2006=0)),"?IN_FOCUS",IF(J2006&lt;=2,"?ACTIVATED",IF(J2006&lt;&gt;"","?FAMILIAR",IF(F2006="NEW",IF(ISNA(VLOOKUP(E2006,#REF!,1,FALSE())),"?TYPE_IDENTIFIABLE","?REFERENTIAL"),"_")))))</f>
        <v> </v>
      </c>
      <c r="H2006" s="24" t="str">
        <f>IF(J2006&lt;&gt;1,"",IF(I2006="SBJ","CB","?"))</f>
        <v> </v>
      </c>
      <c r="I2006" s="25" t="str">
        <f>IF(OR(E2006="",E2006="!!!",F2006="NEW"),"",INDEX(B2005:B$2,-1+SUMPRODUCT(MAX(ROW(E2005:E$2)*(E2006=E2005:E$2)))))</f>
        <v> </v>
      </c>
      <c r="J2006" s="25" t="str">
        <f>IF(OR(E2006="",E2006="!!!",F2006="NEW"),"",COUNTBLANK(OFFSET(A$1,,,SUMPRODUCT(MAX(ROW(E$2:E2006)*(E2006=E$2:E2006)))))-COUNTBLANK(OFFSET(A$1,,,SUMPRODUCT(MAX(ROW(E$1:E2005)*(E2=E$1:E2005))))))</f>
        <v> </v>
      </c>
      <c r="K2006" s="25" t="str">
        <f>IF(OR(E2006="",E2006="!!!",F2006="NEW"),"",INDEX(J$1:J2005,SUMPRODUCT(MAX(ROW(E$1:E2005)*(E2006=E$1:E2005)))))</f>
        <v> </v>
      </c>
      <c r="L2006" s="26"/>
    </row>
    <row r="2007" spans="1:12">
      <c r="A2007" s="20" t="s">
        <v>975</v>
      </c>
      <c r="E2007" s="21">
        <f>IF(D2007="?OLD","!!!","")</f>
        <v/>
      </c>
      <c r="F2007" s="22" t="str">
        <f>IF(OR(E2007="",E2007="!!!"),"",IF(NOT(ISNA(VLOOKUP(E2007,E$1:E2006,1,FALSE()))),"OLD",IF(AND(E2007&lt;&gt;"",E2007&lt;&gt;"!!!"),"NEW","")))</f>
        <v> </v>
      </c>
      <c r="G2007" s="23" t="str">
        <f>IF(OR(E2007="",E2007="!!!"),"",IF(OR(J2007=0,AND(J2007=1,K2007=1),AND(J2007=1,I2007="SBJ"),AND(J2007=1,I2007=0)),"?IN_FOCUS",IF(J2007&lt;=2,"?ACTIVATED",IF(J2007&lt;&gt;"","?FAMILIAR",IF(F2007="NEW",IF(ISNA(VLOOKUP(E2007,#REF!,1,FALSE())),"?TYPE_IDENTIFIABLE","?REFERENTIAL"),"_")))))</f>
        <v> </v>
      </c>
      <c r="H2007" s="24" t="str">
        <f>IF(J2007&lt;&gt;1,"",IF(I2007="SBJ","CB","?"))</f>
        <v> </v>
      </c>
      <c r="I2007" s="25" t="str">
        <f>IF(OR(E2007="",E2007="!!!",F2007="NEW"),"",INDEX(B2006:B$2,-1+SUMPRODUCT(MAX(ROW(E2006:E$2)*(E2007=E2006:E$2)))))</f>
        <v> </v>
      </c>
      <c r="J2007" s="25" t="str">
        <f>IF(OR(E2007="",E2007="!!!",F2007="NEW"),"",COUNTBLANK(OFFSET(A$1,,,SUMPRODUCT(MAX(ROW(E$2:E2007)*(E2007=E$2:E2007)))))-COUNTBLANK(OFFSET(A$1,,,SUMPRODUCT(MAX(ROW(E$1:E2006)*(E2=E$1:E2006))))))</f>
        <v> </v>
      </c>
      <c r="K2007" s="25" t="str">
        <f>IF(OR(E2007="",E2007="!!!",F2007="NEW"),"",INDEX(J$1:J2006,SUMPRODUCT(MAX(ROW(E$1:E2006)*(E2007=E$1:E2006)))))</f>
        <v> </v>
      </c>
      <c r="L2007" s="26"/>
    </row>
    <row r="2008" spans="1:12">
      <c r="A2008" s="20" t="s">
        <v>360</v>
      </c>
      <c r="E2008" s="21">
        <f>IF(D2008="?OLD","!!!","")</f>
        <v/>
      </c>
      <c r="F2008" s="22" t="str">
        <f>IF(OR(E2008="",E2008="!!!"),"",IF(NOT(ISNA(VLOOKUP(E2008,E$1:E2007,1,FALSE()))),"OLD",IF(AND(E2008&lt;&gt;"",E2008&lt;&gt;"!!!"),"NEW","")))</f>
        <v> </v>
      </c>
      <c r="G2008" s="23" t="str">
        <f>IF(OR(E2008="",E2008="!!!"),"",IF(OR(J2008=0,AND(J2008=1,K2008=1),AND(J2008=1,I2008="SBJ"),AND(J2008=1,I2008=0)),"?IN_FOCUS",IF(J2008&lt;=2,"?ACTIVATED",IF(J2008&lt;&gt;"","?FAMILIAR",IF(F2008="NEW",IF(ISNA(VLOOKUP(E2008,#REF!,1,FALSE())),"?TYPE_IDENTIFIABLE","?REFERENTIAL"),"_")))))</f>
        <v> </v>
      </c>
      <c r="H2008" s="24" t="str">
        <f>IF(J2008&lt;&gt;1,"",IF(I2008="SBJ","CB","?"))</f>
        <v> </v>
      </c>
      <c r="I2008" s="25" t="str">
        <f>IF(OR(E2008="",E2008="!!!",F2008="NEW"),"",INDEX(B2007:B$2,-1+SUMPRODUCT(MAX(ROW(E2007:E$2)*(E2008=E2007:E$2)))))</f>
        <v> </v>
      </c>
      <c r="J2008" s="25" t="str">
        <f>IF(OR(E2008="",E2008="!!!",F2008="NEW"),"",COUNTBLANK(OFFSET(A$1,,,SUMPRODUCT(MAX(ROW(E$2:E2008)*(E2008=E$2:E2008)))))-COUNTBLANK(OFFSET(A$1,,,SUMPRODUCT(MAX(ROW(E$1:E2007)*(E2=E$1:E2007))))))</f>
        <v> </v>
      </c>
      <c r="K2008" s="25" t="str">
        <f>IF(OR(E2008="",E2008="!!!",F2008="NEW"),"",INDEX(J$1:J2007,SUMPRODUCT(MAX(ROW(E$1:E2007)*(E2008=E$1:E2007)))))</f>
        <v> </v>
      </c>
      <c r="L2008" s="26"/>
    </row>
    <row r="2009" spans="1:12">
      <c r="A2009" s="20" t="s">
        <v>494</v>
      </c>
      <c r="B2009" s="27" t="s">
        <v>283</v>
      </c>
      <c r="C2009" s="27" t="s">
        <v>263</v>
      </c>
      <c r="D2009" s="27" t="s">
        <v>244</v>
      </c>
      <c r="E2009" s="21">
        <f>IF(D2009="?OLD","!!!","")</f>
        <v/>
      </c>
      <c r="F2009" s="22" t="str">
        <f>IF(OR(E2009="",E2009="!!!"),"",IF(NOT(ISNA(VLOOKUP(E2009,E$1:E2008,1,FALSE()))),"OLD",IF(AND(E2009&lt;&gt;"",E2009&lt;&gt;"!!!"),"NEW","")))</f>
        <v> </v>
      </c>
      <c r="G2009" s="23" t="str">
        <f>IF(OR(E2009="",E2009="!!!"),"",IF(OR(J2009=0,AND(J2009=1,K2009=1),AND(J2009=1,I2009="SBJ"),AND(J2009=1,I2009=0)),"?IN_FOCUS",IF(J2009&lt;=2,"?ACTIVATED",IF(J2009&lt;&gt;"","?FAMILIAR",IF(F2009="NEW",IF(ISNA(VLOOKUP(E2009,#REF!,1,FALSE())),"?TYPE_IDENTIFIABLE","?REFERENTIAL"),"_")))))</f>
        <v> </v>
      </c>
      <c r="H2009" s="24" t="str">
        <f>IF(J2009&lt;&gt;1,"",IF(I2009="SBJ","CB","?"))</f>
        <v> </v>
      </c>
      <c r="I2009" s="25" t="str">
        <f>IF(OR(E2009="",E2009="!!!",F2009="NEW"),"",INDEX(B2008:B$2,-1+SUMPRODUCT(MAX(ROW(E2008:E$2)*(E2009=E2008:E$2)))))</f>
        <v> </v>
      </c>
      <c r="J2009" s="25" t="str">
        <f>IF(OR(E2009="",E2009="!!!",F2009="NEW"),"",COUNTBLANK(OFFSET(A$1,,,SUMPRODUCT(MAX(ROW(E$2:E2009)*(E2009=E$2:E2009)))))-COUNTBLANK(OFFSET(A$1,,,SUMPRODUCT(MAX(ROW(E$1:E2008)*(E2=E$1:E2008))))))</f>
        <v> </v>
      </c>
      <c r="K2009" s="25" t="str">
        <f>IF(OR(E2009="",E2009="!!!",F2009="NEW"),"",INDEX(J$1:J2008,SUMPRODUCT(MAX(ROW(E$1:E2008)*(E2009=E$1:E2008)))))</f>
        <v> </v>
      </c>
      <c r="L2009" s="26"/>
    </row>
    <row r="2010" spans="1:12">
      <c r="A2010" s="20" t="s">
        <v>829</v>
      </c>
      <c r="B2010" s="27" t="s">
        <v>262</v>
      </c>
      <c r="C2010" s="27" t="s">
        <v>267</v>
      </c>
      <c r="D2010" s="27" t="s">
        <v>244</v>
      </c>
      <c r="E2010" s="21">
        <f>IF(D2010="?OLD","!!!","")</f>
        <v/>
      </c>
      <c r="F2010" s="22" t="str">
        <f>IF(OR(E2010="",E2010="!!!"),"",IF(NOT(ISNA(VLOOKUP(E2010,E$1:E2009,1,FALSE()))),"OLD",IF(AND(E2010&lt;&gt;"",E2010&lt;&gt;"!!!"),"NEW","")))</f>
        <v> </v>
      </c>
      <c r="G2010" s="23" t="str">
        <f>IF(OR(E2010="",E2010="!!!"),"",IF(OR(J2010=0,AND(J2010=1,K2010=1),AND(J2010=1,I2010="SBJ"),AND(J2010=1,I2010=0)),"?IN_FOCUS",IF(J2010&lt;=2,"?ACTIVATED",IF(J2010&lt;&gt;"","?FAMILIAR",IF(F2010="NEW",IF(ISNA(VLOOKUP(E2010,#REF!,1,FALSE())),"?TYPE_IDENTIFIABLE","?REFERENTIAL"),"_")))))</f>
        <v> </v>
      </c>
      <c r="H2010" s="24" t="str">
        <f>IF(J2010&lt;&gt;1,"",IF(I2010="SBJ","CB","?"))</f>
        <v> </v>
      </c>
      <c r="I2010" s="25" t="str">
        <f>IF(OR(E2010="",E2010="!!!",F2010="NEW"),"",INDEX(B2009:B$2,-1+SUMPRODUCT(MAX(ROW(E2009:E$2)*(E2010=E2009:E$2)))))</f>
        <v> </v>
      </c>
      <c r="J2010" s="25" t="str">
        <f>IF(OR(E2010="",E2010="!!!",F2010="NEW"),"",COUNTBLANK(OFFSET(A$1,,,SUMPRODUCT(MAX(ROW(E$2:E2010)*(E2010=E$2:E2010)))))-COUNTBLANK(OFFSET(A$1,,,SUMPRODUCT(MAX(ROW(E$1:E2009)*(E2=E$1:E2009))))))</f>
        <v> </v>
      </c>
      <c r="K2010" s="25" t="str">
        <f>IF(OR(E2010="",E2010="!!!",F2010="NEW"),"",INDEX(J$1:J2009,SUMPRODUCT(MAX(ROW(E$1:E2009)*(E2010=E$1:E2009)))))</f>
        <v> </v>
      </c>
      <c r="L2010" s="26"/>
    </row>
    <row r="2011" spans="1:12">
      <c r="A2011" s="20" t="s">
        <v>305</v>
      </c>
      <c r="E2011" s="21">
        <f>IF(D2011="?OLD","!!!","")</f>
        <v/>
      </c>
      <c r="F2011" s="22" t="str">
        <f>IF(OR(E2011="",E2011="!!!"),"",IF(NOT(ISNA(VLOOKUP(E2011,E$1:E2010,1,FALSE()))),"OLD",IF(AND(E2011&lt;&gt;"",E2011&lt;&gt;"!!!"),"NEW","")))</f>
        <v> </v>
      </c>
      <c r="G2011" s="23" t="str">
        <f>IF(OR(E2011="",E2011="!!!"),"",IF(OR(J2011=0,AND(J2011=1,K2011=1),AND(J2011=1,I2011="SBJ"),AND(J2011=1,I2011=0)),"?IN_FOCUS",IF(J2011&lt;=2,"?ACTIVATED",IF(J2011&lt;&gt;"","?FAMILIAR",IF(F2011="NEW",IF(ISNA(VLOOKUP(E2011,#REF!,1,FALSE())),"?TYPE_IDENTIFIABLE","?REFERENTIAL"),"_")))))</f>
        <v> </v>
      </c>
      <c r="H2011" s="24" t="str">
        <f>IF(J2011&lt;&gt;1,"",IF(I2011="SBJ","CB","?"))</f>
        <v> </v>
      </c>
      <c r="I2011" s="25" t="str">
        <f>IF(OR(E2011="",E2011="!!!",F2011="NEW"),"",INDEX(B2010:B$2,-1+SUMPRODUCT(MAX(ROW(E2010:E$2)*(E2011=E2010:E$2)))))</f>
        <v> </v>
      </c>
      <c r="J2011" s="25" t="str">
        <f>IF(OR(E2011="",E2011="!!!",F2011="NEW"),"",COUNTBLANK(OFFSET(A$1,,,SUMPRODUCT(MAX(ROW(E$2:E2011)*(E2011=E$2:E2011)))))-COUNTBLANK(OFFSET(A$1,,,SUMPRODUCT(MAX(ROW(E$1:E2010)*(E2=E$1:E2010))))))</f>
        <v> </v>
      </c>
      <c r="K2011" s="25" t="str">
        <f>IF(OR(E2011="",E2011="!!!",F2011="NEW"),"",INDEX(J$1:J2010,SUMPRODUCT(MAX(ROW(E$1:E2010)*(E2011=E$1:E2010)))))</f>
        <v> </v>
      </c>
      <c r="L2011" s="26"/>
    </row>
    <row r="2012" spans="1:12">
      <c r="A2012" s="20" t="s">
        <v>974</v>
      </c>
      <c r="E2012" s="21">
        <f>IF(D2012="?OLD","!!!","")</f>
        <v/>
      </c>
      <c r="F2012" s="22" t="str">
        <f>IF(OR(E2012="",E2012="!!!"),"",IF(NOT(ISNA(VLOOKUP(E2012,E$1:E2011,1,FALSE()))),"OLD",IF(AND(E2012&lt;&gt;"",E2012&lt;&gt;"!!!"),"NEW","")))</f>
        <v> </v>
      </c>
      <c r="G2012" s="23" t="str">
        <f>IF(OR(E2012="",E2012="!!!"),"",IF(OR(J2012=0,AND(J2012=1,K2012=1),AND(J2012=1,I2012="SBJ"),AND(J2012=1,I2012=0)),"?IN_FOCUS",IF(J2012&lt;=2,"?ACTIVATED",IF(J2012&lt;&gt;"","?FAMILIAR",IF(F2012="NEW",IF(ISNA(VLOOKUP(E2012,#REF!,1,FALSE())),"?TYPE_IDENTIFIABLE","?REFERENTIAL"),"_")))))</f>
        <v> </v>
      </c>
      <c r="H2012" s="24" t="str">
        <f>IF(J2012&lt;&gt;1,"",IF(I2012="SBJ","CB","?"))</f>
        <v> </v>
      </c>
      <c r="I2012" s="25" t="str">
        <f>IF(OR(E2012="",E2012="!!!",F2012="NEW"),"",INDEX(B2011:B$2,-1+SUMPRODUCT(MAX(ROW(E2011:E$2)*(E2012=E2011:E$2)))))</f>
        <v> </v>
      </c>
      <c r="J2012" s="25" t="str">
        <f>IF(OR(E2012="",E2012="!!!",F2012="NEW"),"",COUNTBLANK(OFFSET(A$1,,,SUMPRODUCT(MAX(ROW(E$2:E2012)*(E2012=E$2:E2012)))))-COUNTBLANK(OFFSET(A$1,,,SUMPRODUCT(MAX(ROW(E$1:E2011)*(E2=E$1:E2011))))))</f>
        <v> </v>
      </c>
      <c r="K2012" s="25" t="str">
        <f>IF(OR(E2012="",E2012="!!!",F2012="NEW"),"",INDEX(J$1:J2011,SUMPRODUCT(MAX(ROW(E$1:E2011)*(E2012=E$1:E2011)))))</f>
        <v> </v>
      </c>
      <c r="L2012" s="26"/>
    </row>
    <row r="2013" spans="1:12">
      <c r="A2013" s="20" t="s">
        <v>257</v>
      </c>
      <c r="E2013" s="21">
        <f>IF(D2013="?OLD","!!!","")</f>
        <v/>
      </c>
      <c r="F2013" s="22" t="str">
        <f>IF(OR(E2013="",E2013="!!!"),"",IF(NOT(ISNA(VLOOKUP(E2013,E$1:E2012,1,FALSE()))),"OLD",IF(AND(E2013&lt;&gt;"",E2013&lt;&gt;"!!!"),"NEW","")))</f>
        <v> </v>
      </c>
      <c r="G2013" s="23" t="str">
        <f>IF(OR(E2013="",E2013="!!!"),"",IF(OR(J2013=0,AND(J2013=1,K2013=1),AND(J2013=1,I2013="SBJ"),AND(J2013=1,I2013=0)),"?IN_FOCUS",IF(J2013&lt;=2,"?ACTIVATED",IF(J2013&lt;&gt;"","?FAMILIAR",IF(F2013="NEW",IF(ISNA(VLOOKUP(E2013,#REF!,1,FALSE())),"?TYPE_IDENTIFIABLE","?REFERENTIAL"),"_")))))</f>
        <v> </v>
      </c>
      <c r="H2013" s="24" t="str">
        <f>IF(J2013&lt;&gt;1,"",IF(I2013="SBJ","CB","?"))</f>
        <v> </v>
      </c>
      <c r="I2013" s="25" t="str">
        <f>IF(OR(E2013="",E2013="!!!",F2013="NEW"),"",INDEX(B2012:B$2,-1+SUMPRODUCT(MAX(ROW(E2012:E$2)*(E2013=E2012:E$2)))))</f>
        <v> </v>
      </c>
      <c r="J2013" s="25" t="str">
        <f>IF(OR(E2013="",E2013="!!!",F2013="NEW"),"",COUNTBLANK(OFFSET(A$1,,,SUMPRODUCT(MAX(ROW(E$2:E2013)*(E2013=E$2:E2013)))))-COUNTBLANK(OFFSET(A$1,,,SUMPRODUCT(MAX(ROW(E$1:E2012)*(E2=E$1:E2012))))))</f>
        <v> </v>
      </c>
      <c r="K2013" s="25" t="str">
        <f>IF(OR(E2013="",E2013="!!!",F2013="NEW"),"",INDEX(J$1:J2012,SUMPRODUCT(MAX(ROW(E$1:E2012)*(E2013=E$1:E2012)))))</f>
        <v> </v>
      </c>
      <c r="L2013" s="26"/>
    </row>
    <row r="2014" spans="1:12">
      <c r="A2014" s="20" t="s">
        <v>584</v>
      </c>
      <c r="E2014" s="21">
        <f>IF(D2014="?OLD","!!!","")</f>
        <v/>
      </c>
      <c r="F2014" s="22" t="str">
        <f>IF(OR(E2014="",E2014="!!!"),"",IF(NOT(ISNA(VLOOKUP(E2014,E$1:E2013,1,FALSE()))),"OLD",IF(AND(E2014&lt;&gt;"",E2014&lt;&gt;"!!!"),"NEW","")))</f>
        <v> </v>
      </c>
      <c r="G2014" s="23" t="str">
        <f>IF(OR(E2014="",E2014="!!!"),"",IF(OR(J2014=0,AND(J2014=1,K2014=1),AND(J2014=1,I2014="SBJ"),AND(J2014=1,I2014=0)),"?IN_FOCUS",IF(J2014&lt;=2,"?ACTIVATED",IF(J2014&lt;&gt;"","?FAMILIAR",IF(F2014="NEW",IF(ISNA(VLOOKUP(E2014,#REF!,1,FALSE())),"?TYPE_IDENTIFIABLE","?REFERENTIAL"),"_")))))</f>
        <v> </v>
      </c>
      <c r="H2014" s="24" t="str">
        <f>IF(J2014&lt;&gt;1,"",IF(I2014="SBJ","CB","?"))</f>
        <v> </v>
      </c>
      <c r="I2014" s="25" t="str">
        <f>IF(OR(E2014="",E2014="!!!",F2014="NEW"),"",INDEX(B2013:B$2,-1+SUMPRODUCT(MAX(ROW(E2013:E$2)*(E2014=E2013:E$2)))))</f>
        <v> </v>
      </c>
      <c r="J2014" s="25" t="str">
        <f>IF(OR(E2014="",E2014="!!!",F2014="NEW"),"",COUNTBLANK(OFFSET(A$1,,,SUMPRODUCT(MAX(ROW(E$2:E2014)*(E2014=E$2:E2014)))))-COUNTBLANK(OFFSET(A$1,,,SUMPRODUCT(MAX(ROW(E$1:E2013)*(E2=E$1:E2013))))))</f>
        <v> </v>
      </c>
      <c r="K2014" s="25" t="str">
        <f>IF(OR(E2014="",E2014="!!!",F2014="NEW"),"",INDEX(J$1:J2013,SUMPRODUCT(MAX(ROW(E$1:E2013)*(E2014=E$1:E2013)))))</f>
        <v> </v>
      </c>
      <c r="L2014" s="26"/>
    </row>
    <row r="2015" spans="1:12">
      <c r="A2015" s="20" t="s">
        <v>743</v>
      </c>
      <c r="E2015" s="21">
        <f>IF(D2015="?OLD","!!!","")</f>
        <v/>
      </c>
      <c r="F2015" s="22" t="str">
        <f>IF(OR(E2015="",E2015="!!!"),"",IF(NOT(ISNA(VLOOKUP(E2015,E$1:E2014,1,FALSE()))),"OLD",IF(AND(E2015&lt;&gt;"",E2015&lt;&gt;"!!!"),"NEW","")))</f>
        <v> </v>
      </c>
      <c r="G2015" s="23" t="str">
        <f>IF(OR(E2015="",E2015="!!!"),"",IF(OR(J2015=0,AND(J2015=1,K2015=1),AND(J2015=1,I2015="SBJ"),AND(J2015=1,I2015=0)),"?IN_FOCUS",IF(J2015&lt;=2,"?ACTIVATED",IF(J2015&lt;&gt;"","?FAMILIAR",IF(F2015="NEW",IF(ISNA(VLOOKUP(E2015,#REF!,1,FALSE())),"?TYPE_IDENTIFIABLE","?REFERENTIAL"),"_")))))</f>
        <v> </v>
      </c>
      <c r="H2015" s="24" t="str">
        <f>IF(J2015&lt;&gt;1,"",IF(I2015="SBJ","CB","?"))</f>
        <v> </v>
      </c>
      <c r="I2015" s="25" t="str">
        <f>IF(OR(E2015="",E2015="!!!",F2015="NEW"),"",INDEX(B2014:B$2,-1+SUMPRODUCT(MAX(ROW(E2014:E$2)*(E2015=E2014:E$2)))))</f>
        <v> </v>
      </c>
      <c r="J2015" s="25" t="str">
        <f>IF(OR(E2015="",E2015="!!!",F2015="NEW"),"",COUNTBLANK(OFFSET(A$1,,,SUMPRODUCT(MAX(ROW(E$2:E2015)*(E2015=E$2:E2015)))))-COUNTBLANK(OFFSET(A$1,,,SUMPRODUCT(MAX(ROW(E$1:E2014)*(E2=E$1:E2014))))))</f>
        <v> </v>
      </c>
      <c r="K2015" s="25" t="str">
        <f>IF(OR(E2015="",E2015="!!!",F2015="NEW"),"",INDEX(J$1:J2014,SUMPRODUCT(MAX(ROW(E$1:E2014)*(E2015=E$1:E2014)))))</f>
        <v> </v>
      </c>
      <c r="L2015" s="26"/>
    </row>
    <row r="2016" spans="1:12">
      <c r="A2016" s="20" t="s">
        <v>975</v>
      </c>
      <c r="E2016" s="21">
        <f>IF(D2016="?OLD","!!!","")</f>
        <v/>
      </c>
      <c r="F2016" s="22" t="str">
        <f>IF(OR(E2016="",E2016="!!!"),"",IF(NOT(ISNA(VLOOKUP(E2016,E$1:E2015,1,FALSE()))),"OLD",IF(AND(E2016&lt;&gt;"",E2016&lt;&gt;"!!!"),"NEW","")))</f>
        <v> </v>
      </c>
      <c r="G2016" s="23" t="str">
        <f>IF(OR(E2016="",E2016="!!!"),"",IF(OR(J2016=0,AND(J2016=1,K2016=1),AND(J2016=1,I2016="SBJ"),AND(J2016=1,I2016=0)),"?IN_FOCUS",IF(J2016&lt;=2,"?ACTIVATED",IF(J2016&lt;&gt;"","?FAMILIAR",IF(F2016="NEW",IF(ISNA(VLOOKUP(E2016,#REF!,1,FALSE())),"?TYPE_IDENTIFIABLE","?REFERENTIAL"),"_")))))</f>
        <v> </v>
      </c>
      <c r="H2016" s="24" t="str">
        <f>IF(J2016&lt;&gt;1,"",IF(I2016="SBJ","CB","?"))</f>
        <v> </v>
      </c>
      <c r="I2016" s="25" t="str">
        <f>IF(OR(E2016="",E2016="!!!",F2016="NEW"),"",INDEX(B2015:B$2,-1+SUMPRODUCT(MAX(ROW(E2015:E$2)*(E2016=E2015:E$2)))))</f>
        <v> </v>
      </c>
      <c r="J2016" s="25" t="str">
        <f>IF(OR(E2016="",E2016="!!!",F2016="NEW"),"",COUNTBLANK(OFFSET(A$1,,,SUMPRODUCT(MAX(ROW(E$2:E2016)*(E2016=E$2:E2016)))))-COUNTBLANK(OFFSET(A$1,,,SUMPRODUCT(MAX(ROW(E$1:E2015)*(E2=E$1:E2015))))))</f>
        <v> </v>
      </c>
      <c r="K2016" s="25" t="str">
        <f>IF(OR(E2016="",E2016="!!!",F2016="NEW"),"",INDEX(J$1:J2015,SUMPRODUCT(MAX(ROW(E$1:E2015)*(E2016=E$1:E2015)))))</f>
        <v> </v>
      </c>
      <c r="L2016" s="26"/>
    </row>
    <row r="2017" spans="1:12">
      <c r="A2017" s="20" t="s">
        <v>976</v>
      </c>
      <c r="E2017" s="21">
        <f>IF(D2017="?OLD","!!!","")</f>
        <v/>
      </c>
      <c r="F2017" s="22" t="str">
        <f>IF(OR(E2017="",E2017="!!!"),"",IF(NOT(ISNA(VLOOKUP(E2017,E$1:E2016,1,FALSE()))),"OLD",IF(AND(E2017&lt;&gt;"",E2017&lt;&gt;"!!!"),"NEW","")))</f>
        <v> </v>
      </c>
      <c r="G2017" s="23" t="str">
        <f>IF(OR(E2017="",E2017="!!!"),"",IF(OR(J2017=0,AND(J2017=1,K2017=1),AND(J2017=1,I2017="SBJ"),AND(J2017=1,I2017=0)),"?IN_FOCUS",IF(J2017&lt;=2,"?ACTIVATED",IF(J2017&lt;&gt;"","?FAMILIAR",IF(F2017="NEW",IF(ISNA(VLOOKUP(E2017,#REF!,1,FALSE())),"?TYPE_IDENTIFIABLE","?REFERENTIAL"),"_")))))</f>
        <v> </v>
      </c>
      <c r="H2017" s="24" t="str">
        <f>IF(J2017&lt;&gt;1,"",IF(I2017="SBJ","CB","?"))</f>
        <v> </v>
      </c>
      <c r="I2017" s="25" t="str">
        <f>IF(OR(E2017="",E2017="!!!",F2017="NEW"),"",INDEX(B2016:B$2,-1+SUMPRODUCT(MAX(ROW(E2016:E$2)*(E2017=E2016:E$2)))))</f>
        <v> </v>
      </c>
      <c r="J2017" s="25" t="str">
        <f>IF(OR(E2017="",E2017="!!!",F2017="NEW"),"",COUNTBLANK(OFFSET(A$1,,,SUMPRODUCT(MAX(ROW(E$2:E2017)*(E2017=E$2:E2017)))))-COUNTBLANK(OFFSET(A$1,,,SUMPRODUCT(MAX(ROW(E$1:E2016)*(E2=E$1:E2016))))))</f>
        <v> </v>
      </c>
      <c r="K2017" s="25" t="str">
        <f>IF(OR(E2017="",E2017="!!!",F2017="NEW"),"",INDEX(J$1:J2016,SUMPRODUCT(MAX(ROW(E$1:E2016)*(E2017=E$1:E2016)))))</f>
        <v> </v>
      </c>
      <c r="L2017" s="26"/>
    </row>
    <row r="2018" spans="1:12">
      <c r="A2018" s="20" t="s">
        <v>977</v>
      </c>
      <c r="B2018" s="27" t="s">
        <v>361</v>
      </c>
      <c r="C2018" s="27" t="s">
        <v>281</v>
      </c>
      <c r="E2018" s="21">
        <f>IF(D2018="?OLD","!!!","")</f>
        <v/>
      </c>
      <c r="F2018" s="22" t="str">
        <f>IF(OR(E2018="",E2018="!!!"),"",IF(NOT(ISNA(VLOOKUP(E2018,E$1:E2017,1,FALSE()))),"OLD",IF(AND(E2018&lt;&gt;"",E2018&lt;&gt;"!!!"),"NEW","")))</f>
        <v> </v>
      </c>
      <c r="G2018" s="23" t="str">
        <f>IF(OR(E2018="",E2018="!!!"),"",IF(OR(J2018=0,AND(J2018=1,K2018=1),AND(J2018=1,I2018="SBJ"),AND(J2018=1,I2018=0)),"?IN_FOCUS",IF(J2018&lt;=2,"?ACTIVATED",IF(J2018&lt;&gt;"","?FAMILIAR",IF(F2018="NEW",IF(ISNA(VLOOKUP(E2018,#REF!,1,FALSE())),"?TYPE_IDENTIFIABLE","?REFERENTIAL"),"_")))))</f>
        <v> </v>
      </c>
      <c r="H2018" s="24" t="str">
        <f>IF(J2018&lt;&gt;1,"",IF(I2018="SBJ","CB","?"))</f>
        <v> </v>
      </c>
      <c r="I2018" s="25" t="str">
        <f>IF(OR(E2018="",E2018="!!!",F2018="NEW"),"",INDEX(B2017:B$2,-1+SUMPRODUCT(MAX(ROW(E2017:E$2)*(E2018=E2017:E$2)))))</f>
        <v> </v>
      </c>
      <c r="J2018" s="25" t="str">
        <f>IF(OR(E2018="",E2018="!!!",F2018="NEW"),"",COUNTBLANK(OFFSET(A$1,,,SUMPRODUCT(MAX(ROW(E$2:E2018)*(E2018=E$2:E2018)))))-COUNTBLANK(OFFSET(A$1,,,SUMPRODUCT(MAX(ROW(E$1:E2017)*(E2=E$1:E2017))))))</f>
        <v> </v>
      </c>
      <c r="K2018" s="25" t="str">
        <f>IF(OR(E2018="",E2018="!!!",F2018="NEW"),"",INDEX(J$1:J2017,SUMPRODUCT(MAX(ROW(E$1:E2017)*(E2018=E$1:E2017)))))</f>
        <v> </v>
      </c>
      <c r="L2018" s="26"/>
    </row>
    <row r="2019" spans="1:12">
      <c r="A2019" s="20" t="s">
        <v>314</v>
      </c>
      <c r="E2019" s="21">
        <f>IF(D2019="?OLD","!!!","")</f>
        <v/>
      </c>
      <c r="F2019" s="22" t="str">
        <f>IF(OR(E2019="",E2019="!!!"),"",IF(NOT(ISNA(VLOOKUP(E2019,E$1:E2018,1,FALSE()))),"OLD",IF(AND(E2019&lt;&gt;"",E2019&lt;&gt;"!!!"),"NEW","")))</f>
        <v> </v>
      </c>
      <c r="G2019" s="23" t="str">
        <f>IF(OR(E2019="",E2019="!!!"),"",IF(OR(J2019=0,AND(J2019=1,K2019=1),AND(J2019=1,I2019="SBJ"),AND(J2019=1,I2019=0)),"?IN_FOCUS",IF(J2019&lt;=2,"?ACTIVATED",IF(J2019&lt;&gt;"","?FAMILIAR",IF(F2019="NEW",IF(ISNA(VLOOKUP(E2019,#REF!,1,FALSE())),"?TYPE_IDENTIFIABLE","?REFERENTIAL"),"_")))))</f>
        <v> </v>
      </c>
      <c r="H2019" s="24" t="str">
        <f>IF(J2019&lt;&gt;1,"",IF(I2019="SBJ","CB","?"))</f>
        <v> </v>
      </c>
      <c r="I2019" s="25" t="str">
        <f>IF(OR(E2019="",E2019="!!!",F2019="NEW"),"",INDEX(B2018:B$2,-1+SUMPRODUCT(MAX(ROW(E2018:E$2)*(E2019=E2018:E$2)))))</f>
        <v> </v>
      </c>
      <c r="J2019" s="25" t="str">
        <f>IF(OR(E2019="",E2019="!!!",F2019="NEW"),"",COUNTBLANK(OFFSET(A$1,,,SUMPRODUCT(MAX(ROW(E$2:E2019)*(E2019=E$2:E2019)))))-COUNTBLANK(OFFSET(A$1,,,SUMPRODUCT(MAX(ROW(E$1:E2018)*(E2=E$1:E2018))))))</f>
        <v> </v>
      </c>
      <c r="K2019" s="25" t="str">
        <f>IF(OR(E2019="",E2019="!!!",F2019="NEW"),"",INDEX(J$1:J2018,SUMPRODUCT(MAX(ROW(E$1:E2018)*(E2019=E$1:E2018)))))</f>
        <v> </v>
      </c>
      <c r="L2019" s="26"/>
    </row>
    <row r="2020" spans="1:12">
      <c r="A2020" s="20" t="s">
        <v>596</v>
      </c>
      <c r="E2020" s="21">
        <f>IF(D2020="?OLD","!!!","")</f>
        <v/>
      </c>
      <c r="F2020" s="22" t="str">
        <f>IF(OR(E2020="",E2020="!!!"),"",IF(NOT(ISNA(VLOOKUP(E2020,E$1:E2019,1,FALSE()))),"OLD",IF(AND(E2020&lt;&gt;"",E2020&lt;&gt;"!!!"),"NEW","")))</f>
        <v> </v>
      </c>
      <c r="G2020" s="23" t="str">
        <f>IF(OR(E2020="",E2020="!!!"),"",IF(OR(J2020=0,AND(J2020=1,K2020=1),AND(J2020=1,I2020="SBJ"),AND(J2020=1,I2020=0)),"?IN_FOCUS",IF(J2020&lt;=2,"?ACTIVATED",IF(J2020&lt;&gt;"","?FAMILIAR",IF(F2020="NEW",IF(ISNA(VLOOKUP(E2020,#REF!,1,FALSE())),"?TYPE_IDENTIFIABLE","?REFERENTIAL"),"_")))))</f>
        <v> </v>
      </c>
      <c r="H2020" s="24" t="str">
        <f>IF(J2020&lt;&gt;1,"",IF(I2020="SBJ","CB","?"))</f>
        <v> </v>
      </c>
      <c r="I2020" s="25" t="str">
        <f>IF(OR(E2020="",E2020="!!!",F2020="NEW"),"",INDEX(B2019:B$2,-1+SUMPRODUCT(MAX(ROW(E2019:E$2)*(E2020=E2019:E$2)))))</f>
        <v> </v>
      </c>
      <c r="J2020" s="25" t="str">
        <f>IF(OR(E2020="",E2020="!!!",F2020="NEW"),"",COUNTBLANK(OFFSET(A$1,,,SUMPRODUCT(MAX(ROW(E$2:E2020)*(E2020=E$2:E2020)))))-COUNTBLANK(OFFSET(A$1,,,SUMPRODUCT(MAX(ROW(E$1:E2019)*(E2=E$1:E2019))))))</f>
        <v> </v>
      </c>
      <c r="K2020" s="25" t="str">
        <f>IF(OR(E2020="",E2020="!!!",F2020="NEW"),"",INDEX(J$1:J2019,SUMPRODUCT(MAX(ROW(E$1:E2019)*(E2020=E$1:E2019)))))</f>
        <v> </v>
      </c>
      <c r="L2020" s="26"/>
    </row>
    <row r="2021" spans="1:12">
      <c r="A2021" s="20" t="s">
        <v>978</v>
      </c>
      <c r="B2021" s="27" t="s">
        <v>461</v>
      </c>
      <c r="C2021" s="27" t="s">
        <v>281</v>
      </c>
      <c r="E2021" s="21">
        <f>IF(D2021="?OLD","!!!","")</f>
        <v/>
      </c>
      <c r="F2021" s="22" t="str">
        <f>IF(OR(E2021="",E2021="!!!"),"",IF(NOT(ISNA(VLOOKUP(E2021,E$1:E2020,1,FALSE()))),"OLD",IF(AND(E2021&lt;&gt;"",E2021&lt;&gt;"!!!"),"NEW","")))</f>
        <v> </v>
      </c>
      <c r="G2021" s="23" t="str">
        <f>IF(OR(E2021="",E2021="!!!"),"",IF(OR(J2021=0,AND(J2021=1,K2021=1),AND(J2021=1,I2021="SBJ"),AND(J2021=1,I2021=0)),"?IN_FOCUS",IF(J2021&lt;=2,"?ACTIVATED",IF(J2021&lt;&gt;"","?FAMILIAR",IF(F2021="NEW",IF(ISNA(VLOOKUP(E2021,#REF!,1,FALSE())),"?TYPE_IDENTIFIABLE","?REFERENTIAL"),"_")))))</f>
        <v> </v>
      </c>
      <c r="H2021" s="24" t="str">
        <f>IF(J2021&lt;&gt;1,"",IF(I2021="SBJ","CB","?"))</f>
        <v> </v>
      </c>
      <c r="I2021" s="25" t="str">
        <f>IF(OR(E2021="",E2021="!!!",F2021="NEW"),"",INDEX(B2020:B$2,-1+SUMPRODUCT(MAX(ROW(E2020:E$2)*(E2021=E2020:E$2)))))</f>
        <v> </v>
      </c>
      <c r="J2021" s="25" t="str">
        <f>IF(OR(E2021="",E2021="!!!",F2021="NEW"),"",COUNTBLANK(OFFSET(A$1,,,SUMPRODUCT(MAX(ROW(E$2:E2021)*(E2021=E$2:E2021)))))-COUNTBLANK(OFFSET(A$1,,,SUMPRODUCT(MAX(ROW(E$1:E2020)*(E2=E$1:E2020))))))</f>
        <v> </v>
      </c>
      <c r="K2021" s="25" t="str">
        <f>IF(OR(E2021="",E2021="!!!",F2021="NEW"),"",INDEX(J$1:J2020,SUMPRODUCT(MAX(ROW(E$1:E2020)*(E2021=E$1:E2020)))))</f>
        <v> </v>
      </c>
      <c r="L2021" s="26"/>
    </row>
    <row r="2022" spans="1:12">
      <c r="A2022" s="20" t="s">
        <v>349</v>
      </c>
      <c r="E2022" s="21">
        <f>IF(D2022="?OLD","!!!","")</f>
        <v/>
      </c>
      <c r="F2022" s="22" t="str">
        <f>IF(OR(E2022="",E2022="!!!"),"",IF(NOT(ISNA(VLOOKUP(E2022,E$1:E2021,1,FALSE()))),"OLD",IF(AND(E2022&lt;&gt;"",E2022&lt;&gt;"!!!"),"NEW","")))</f>
        <v> </v>
      </c>
      <c r="G2022" s="23" t="str">
        <f>IF(OR(E2022="",E2022="!!!"),"",IF(OR(J2022=0,AND(J2022=1,K2022=1),AND(J2022=1,I2022="SBJ"),AND(J2022=1,I2022=0)),"?IN_FOCUS",IF(J2022&lt;=2,"?ACTIVATED",IF(J2022&lt;&gt;"","?FAMILIAR",IF(F2022="NEW",IF(ISNA(VLOOKUP(E2022,#REF!,1,FALSE())),"?TYPE_IDENTIFIABLE","?REFERENTIAL"),"_")))))</f>
        <v> </v>
      </c>
      <c r="H2022" s="24" t="str">
        <f>IF(J2022&lt;&gt;1,"",IF(I2022="SBJ","CB","?"))</f>
        <v> </v>
      </c>
      <c r="I2022" s="25" t="str">
        <f>IF(OR(E2022="",E2022="!!!",F2022="NEW"),"",INDEX(B2021:B$2,-1+SUMPRODUCT(MAX(ROW(E2021:E$2)*(E2022=E2021:E$2)))))</f>
        <v> </v>
      </c>
      <c r="J2022" s="25" t="str">
        <f>IF(OR(E2022="",E2022="!!!",F2022="NEW"),"",COUNTBLANK(OFFSET(A$1,,,SUMPRODUCT(MAX(ROW(E$2:E2022)*(E2022=E$2:E2022)))))-COUNTBLANK(OFFSET(A$1,,,SUMPRODUCT(MAX(ROW(E$1:E2021)*(E2=E$1:E2021))))))</f>
        <v> </v>
      </c>
      <c r="K2022" s="25" t="str">
        <f>IF(OR(E2022="",E2022="!!!",F2022="NEW"),"",INDEX(J$1:J2021,SUMPRODUCT(MAX(ROW(E$1:E2021)*(E2022=E$1:E2021)))))</f>
        <v> </v>
      </c>
      <c r="L2022" s="26"/>
    </row>
    <row r="2023" spans="1:12">
      <c r="A2023" s="20" t="s">
        <v>979</v>
      </c>
      <c r="E2023" s="21">
        <f>IF(D2023="?OLD","!!!","")</f>
        <v/>
      </c>
      <c r="F2023" s="22" t="str">
        <f>IF(OR(E2023="",E2023="!!!"),"",IF(NOT(ISNA(VLOOKUP(E2023,E$1:E2022,1,FALSE()))),"OLD",IF(AND(E2023&lt;&gt;"",E2023&lt;&gt;"!!!"),"NEW","")))</f>
        <v> </v>
      </c>
      <c r="G2023" s="23" t="str">
        <f>IF(OR(E2023="",E2023="!!!"),"",IF(OR(J2023=0,AND(J2023=1,K2023=1),AND(J2023=1,I2023="SBJ"),AND(J2023=1,I2023=0)),"?IN_FOCUS",IF(J2023&lt;=2,"?ACTIVATED",IF(J2023&lt;&gt;"","?FAMILIAR",IF(F2023="NEW",IF(ISNA(VLOOKUP(E2023,#REF!,1,FALSE())),"?TYPE_IDENTIFIABLE","?REFERENTIAL"),"_")))))</f>
        <v> </v>
      </c>
      <c r="H2023" s="24" t="str">
        <f>IF(J2023&lt;&gt;1,"",IF(I2023="SBJ","CB","?"))</f>
        <v> </v>
      </c>
      <c r="I2023" s="25" t="str">
        <f>IF(OR(E2023="",E2023="!!!",F2023="NEW"),"",INDEX(B2022:B$2,-1+SUMPRODUCT(MAX(ROW(E2022:E$2)*(E2023=E2022:E$2)))))</f>
        <v> </v>
      </c>
      <c r="J2023" s="25" t="str">
        <f>IF(OR(E2023="",E2023="!!!",F2023="NEW"),"",COUNTBLANK(OFFSET(A$1,,,SUMPRODUCT(MAX(ROW(E$2:E2023)*(E2023=E$2:E2023)))))-COUNTBLANK(OFFSET(A$1,,,SUMPRODUCT(MAX(ROW(E$1:E2022)*(E2=E$1:E2022))))))</f>
        <v> </v>
      </c>
      <c r="K2023" s="25" t="str">
        <f>IF(OR(E2023="",E2023="!!!",F2023="NEW"),"",INDEX(J$1:J2022,SUMPRODUCT(MAX(ROW(E$1:E2022)*(E2023=E$1:E2022)))))</f>
        <v> </v>
      </c>
      <c r="L2023" s="26"/>
    </row>
    <row r="2024" spans="1:12">
      <c r="A2024" s="20" t="s">
        <v>363</v>
      </c>
      <c r="B2024" s="27" t="s">
        <v>598</v>
      </c>
      <c r="C2024" s="27" t="s">
        <v>256</v>
      </c>
      <c r="D2024" s="27" t="s">
        <v>244</v>
      </c>
      <c r="E2024" s="21">
        <f>IF(D2024="?OLD","!!!","")</f>
        <v/>
      </c>
      <c r="F2024" s="22" t="str">
        <f>IF(OR(E2024="",E2024="!!!"),"",IF(NOT(ISNA(VLOOKUP(E2024,E$1:E2023,1,FALSE()))),"OLD",IF(AND(E2024&lt;&gt;"",E2024&lt;&gt;"!!!"),"NEW","")))</f>
        <v> </v>
      </c>
      <c r="G2024" s="23" t="str">
        <f>IF(OR(E2024="",E2024="!!!"),"",IF(OR(J2024=0,AND(J2024=1,K2024=1),AND(J2024=1,I2024="SBJ"),AND(J2024=1,I2024=0)),"?IN_FOCUS",IF(J2024&lt;=2,"?ACTIVATED",IF(J2024&lt;&gt;"","?FAMILIAR",IF(F2024="NEW",IF(ISNA(VLOOKUP(E2024,#REF!,1,FALSE())),"?TYPE_IDENTIFIABLE","?REFERENTIAL"),"_")))))</f>
        <v> </v>
      </c>
      <c r="H2024" s="24" t="str">
        <f>IF(J2024&lt;&gt;1,"",IF(I2024="SBJ","CB","?"))</f>
        <v> </v>
      </c>
      <c r="I2024" s="25" t="str">
        <f>IF(OR(E2024="",E2024="!!!",F2024="NEW"),"",INDEX(B2023:B$2,-1+SUMPRODUCT(MAX(ROW(E2023:E$2)*(E2024=E2023:E$2)))))</f>
        <v> </v>
      </c>
      <c r="J2024" s="25" t="str">
        <f>IF(OR(E2024="",E2024="!!!",F2024="NEW"),"",COUNTBLANK(OFFSET(A$1,,,SUMPRODUCT(MAX(ROW(E$2:E2024)*(E2024=E$2:E2024)))))-COUNTBLANK(OFFSET(A$1,,,SUMPRODUCT(MAX(ROW(E$1:E2023)*(E2=E$1:E2023))))))</f>
        <v> </v>
      </c>
      <c r="K2024" s="25" t="str">
        <f>IF(OR(E2024="",E2024="!!!",F2024="NEW"),"",INDEX(J$1:J2023,SUMPRODUCT(MAX(ROW(E$1:E2023)*(E2024=E$1:E2023)))))</f>
        <v> </v>
      </c>
      <c r="L2024" s="26"/>
    </row>
    <row r="2025" spans="1:12">
      <c r="A2025" s="20" t="s">
        <v>980</v>
      </c>
      <c r="E2025" s="21">
        <f>IF(D2025="?OLD","!!!","")</f>
        <v/>
      </c>
      <c r="F2025" s="22" t="str">
        <f>IF(OR(E2025="",E2025="!!!"),"",IF(NOT(ISNA(VLOOKUP(E2025,E$1:E2024,1,FALSE()))),"OLD",IF(AND(E2025&lt;&gt;"",E2025&lt;&gt;"!!!"),"NEW","")))</f>
        <v> </v>
      </c>
      <c r="G2025" s="23" t="str">
        <f>IF(OR(E2025="",E2025="!!!"),"",IF(OR(J2025=0,AND(J2025=1,K2025=1),AND(J2025=1,I2025="SBJ"),AND(J2025=1,I2025=0)),"?IN_FOCUS",IF(J2025&lt;=2,"?ACTIVATED",IF(J2025&lt;&gt;"","?FAMILIAR",IF(F2025="NEW",IF(ISNA(VLOOKUP(E2025,#REF!,1,FALSE())),"?TYPE_IDENTIFIABLE","?REFERENTIAL"),"_")))))</f>
        <v> </v>
      </c>
      <c r="H2025" s="24" t="str">
        <f>IF(J2025&lt;&gt;1,"",IF(I2025="SBJ","CB","?"))</f>
        <v> </v>
      </c>
      <c r="I2025" s="25" t="str">
        <f>IF(OR(E2025="",E2025="!!!",F2025="NEW"),"",INDEX(B2024:B$2,-1+SUMPRODUCT(MAX(ROW(E2024:E$2)*(E2025=E2024:E$2)))))</f>
        <v> </v>
      </c>
      <c r="J2025" s="25" t="str">
        <f>IF(OR(E2025="",E2025="!!!",F2025="NEW"),"",COUNTBLANK(OFFSET(A$1,,,SUMPRODUCT(MAX(ROW(E$2:E2025)*(E2025=E$2:E2025)))))-COUNTBLANK(OFFSET(A$1,,,SUMPRODUCT(MAX(ROW(E$1:E2024)*(E2=E$1:E2024))))))</f>
        <v> </v>
      </c>
      <c r="K2025" s="25" t="str">
        <f>IF(OR(E2025="",E2025="!!!",F2025="NEW"),"",INDEX(J$1:J2024,SUMPRODUCT(MAX(ROW(E$1:E2024)*(E2025=E$1:E2024)))))</f>
        <v> </v>
      </c>
      <c r="L2025" s="26"/>
    </row>
    <row r="2026" spans="1:12">
      <c r="A2026" s="20" t="s">
        <v>331</v>
      </c>
      <c r="E2026" s="21">
        <f>IF(D2026="?OLD","!!!","")</f>
        <v/>
      </c>
      <c r="F2026" s="22" t="str">
        <f>IF(OR(E2026="",E2026="!!!"),"",IF(NOT(ISNA(VLOOKUP(E2026,E$1:E2025,1,FALSE()))),"OLD",IF(AND(E2026&lt;&gt;"",E2026&lt;&gt;"!!!"),"NEW","")))</f>
        <v> </v>
      </c>
      <c r="G2026" s="23" t="str">
        <f>IF(OR(E2026="",E2026="!!!"),"",IF(OR(J2026=0,AND(J2026=1,K2026=1),AND(J2026=1,I2026="SBJ"),AND(J2026=1,I2026=0)),"?IN_FOCUS",IF(J2026&lt;=2,"?ACTIVATED",IF(J2026&lt;&gt;"","?FAMILIAR",IF(F2026="NEW",IF(ISNA(VLOOKUP(E2026,#REF!,1,FALSE())),"?TYPE_IDENTIFIABLE","?REFERENTIAL"),"_")))))</f>
        <v> </v>
      </c>
      <c r="H2026" s="24" t="str">
        <f>IF(J2026&lt;&gt;1,"",IF(I2026="SBJ","CB","?"))</f>
        <v> </v>
      </c>
      <c r="I2026" s="25" t="str">
        <f>IF(OR(E2026="",E2026="!!!",F2026="NEW"),"",INDEX(B2025:B$2,-1+SUMPRODUCT(MAX(ROW(E2025:E$2)*(E2026=E2025:E$2)))))</f>
        <v> </v>
      </c>
      <c r="J2026" s="25" t="str">
        <f>IF(OR(E2026="",E2026="!!!",F2026="NEW"),"",COUNTBLANK(OFFSET(A$1,,,SUMPRODUCT(MAX(ROW(E$2:E2026)*(E2026=E$2:E2026)))))-COUNTBLANK(OFFSET(A$1,,,SUMPRODUCT(MAX(ROW(E$1:E2025)*(E2=E$1:E2025))))))</f>
        <v> </v>
      </c>
      <c r="K2026" s="25" t="str">
        <f>IF(OR(E2026="",E2026="!!!",F2026="NEW"),"",INDEX(J$1:J2025,SUMPRODUCT(MAX(ROW(E$1:E2025)*(E2026=E$1:E2025)))))</f>
        <v> </v>
      </c>
      <c r="L2026" s="26"/>
    </row>
    <row r="2027" spans="1:12">
      <c r="A2027" s="20" t="s">
        <v>630</v>
      </c>
      <c r="E2027" s="21">
        <f>IF(D2027="?OLD","!!!","")</f>
        <v/>
      </c>
      <c r="F2027" s="22" t="str">
        <f>IF(OR(E2027="",E2027="!!!"),"",IF(NOT(ISNA(VLOOKUP(E2027,E$1:E2026,1,FALSE()))),"OLD",IF(AND(E2027&lt;&gt;"",E2027&lt;&gt;"!!!"),"NEW","")))</f>
        <v> </v>
      </c>
      <c r="G2027" s="23" t="str">
        <f>IF(OR(E2027="",E2027="!!!"),"",IF(OR(J2027=0,AND(J2027=1,K2027=1),AND(J2027=1,I2027="SBJ"),AND(J2027=1,I2027=0)),"?IN_FOCUS",IF(J2027&lt;=2,"?ACTIVATED",IF(J2027&lt;&gt;"","?FAMILIAR",IF(F2027="NEW",IF(ISNA(VLOOKUP(E2027,#REF!,1,FALSE())),"?TYPE_IDENTIFIABLE","?REFERENTIAL"),"_")))))</f>
        <v> </v>
      </c>
      <c r="H2027" s="24" t="str">
        <f>IF(J2027&lt;&gt;1,"",IF(I2027="SBJ","CB","?"))</f>
        <v> </v>
      </c>
      <c r="I2027" s="25" t="str">
        <f>IF(OR(E2027="",E2027="!!!",F2027="NEW"),"",INDEX(B2026:B$2,-1+SUMPRODUCT(MAX(ROW(E2026:E$2)*(E2027=E2026:E$2)))))</f>
        <v> </v>
      </c>
      <c r="J2027" s="25" t="str">
        <f>IF(OR(E2027="",E2027="!!!",F2027="NEW"),"",COUNTBLANK(OFFSET(A$1,,,SUMPRODUCT(MAX(ROW(E$2:E2027)*(E2027=E$2:E2027)))))-COUNTBLANK(OFFSET(A$1,,,SUMPRODUCT(MAX(ROW(E$1:E2026)*(E2=E$1:E2026))))))</f>
        <v> </v>
      </c>
      <c r="K2027" s="25" t="str">
        <f>IF(OR(E2027="",E2027="!!!",F2027="NEW"),"",INDEX(J$1:J2026,SUMPRODUCT(MAX(ROW(E$1:E2026)*(E2027=E$1:E2026)))))</f>
        <v> </v>
      </c>
      <c r="L2027" s="26"/>
    </row>
    <row r="2028" spans="1:12">
      <c r="A2028" s="20" t="s">
        <v>249</v>
      </c>
      <c r="E2028" s="21">
        <f>IF(D2028="?OLD","!!!","")</f>
        <v/>
      </c>
      <c r="F2028" s="22" t="str">
        <f>IF(OR(E2028="",E2028="!!!"),"",IF(NOT(ISNA(VLOOKUP(E2028,E$1:E2027,1,FALSE()))),"OLD",IF(AND(E2028&lt;&gt;"",E2028&lt;&gt;"!!!"),"NEW","")))</f>
        <v> </v>
      </c>
      <c r="G2028" s="23" t="str">
        <f>IF(OR(E2028="",E2028="!!!"),"",IF(OR(J2028=0,AND(J2028=1,K2028=1),AND(J2028=1,I2028="SBJ"),AND(J2028=1,I2028=0)),"?IN_FOCUS",IF(J2028&lt;=2,"?ACTIVATED",IF(J2028&lt;&gt;"","?FAMILIAR",IF(F2028="NEW",IF(ISNA(VLOOKUP(E2028,#REF!,1,FALSE())),"?TYPE_IDENTIFIABLE","?REFERENTIAL"),"_")))))</f>
        <v> </v>
      </c>
      <c r="H2028" s="24" t="str">
        <f>IF(J2028&lt;&gt;1,"",IF(I2028="SBJ","CB","?"))</f>
        <v> </v>
      </c>
      <c r="I2028" s="25" t="str">
        <f>IF(OR(E2028="",E2028="!!!",F2028="NEW"),"",INDEX(B2027:B$2,-1+SUMPRODUCT(MAX(ROW(E2027:E$2)*(E2028=E2027:E$2)))))</f>
        <v> </v>
      </c>
      <c r="J2028" s="25" t="str">
        <f>IF(OR(E2028="",E2028="!!!",F2028="NEW"),"",COUNTBLANK(OFFSET(A$1,,,SUMPRODUCT(MAX(ROW(E$2:E2028)*(E2028=E$2:E2028)))))-COUNTBLANK(OFFSET(A$1,,,SUMPRODUCT(MAX(ROW(E$1:E2027)*(E2=E$1:E2027))))))</f>
        <v> </v>
      </c>
      <c r="K2028" s="25" t="str">
        <f>IF(OR(E2028="",E2028="!!!",F2028="NEW"),"",INDEX(J$1:J2027,SUMPRODUCT(MAX(ROW(E$1:E2027)*(E2028=E$1:E2027)))))</f>
        <v> </v>
      </c>
      <c r="L2028" s="26"/>
    </row>
    <row r="2029" spans="1:12">
      <c r="A2029" s="20" t="s">
        <v>771</v>
      </c>
      <c r="B2029" s="27" t="s">
        <v>507</v>
      </c>
      <c r="C2029" s="27" t="s">
        <v>334</v>
      </c>
      <c r="D2029" s="27" t="s">
        <v>244</v>
      </c>
      <c r="E2029" s="21">
        <f>IF(D2029="?OLD","!!!","")</f>
        <v/>
      </c>
      <c r="F2029" s="22" t="str">
        <f>IF(OR(E2029="",E2029="!!!"),"",IF(NOT(ISNA(VLOOKUP(E2029,E$1:E2028,1,FALSE()))),"OLD",IF(AND(E2029&lt;&gt;"",E2029&lt;&gt;"!!!"),"NEW","")))</f>
        <v> </v>
      </c>
      <c r="G2029" s="23" t="str">
        <f>IF(OR(E2029="",E2029="!!!"),"",IF(OR(J2029=0,AND(J2029=1,K2029=1),AND(J2029=1,I2029="SBJ"),AND(J2029=1,I2029=0)),"?IN_FOCUS",IF(J2029&lt;=2,"?ACTIVATED",IF(J2029&lt;&gt;"","?FAMILIAR",IF(F2029="NEW",IF(ISNA(VLOOKUP(E2029,#REF!,1,FALSE())),"?TYPE_IDENTIFIABLE","?REFERENTIAL"),"_")))))</f>
        <v> </v>
      </c>
      <c r="H2029" s="24" t="str">
        <f>IF(J2029&lt;&gt;1,"",IF(I2029="SBJ","CB","?"))</f>
        <v> </v>
      </c>
      <c r="I2029" s="25" t="str">
        <f>IF(OR(E2029="",E2029="!!!",F2029="NEW"),"",INDEX(B2028:B$2,-1+SUMPRODUCT(MAX(ROW(E2028:E$2)*(E2029=E2028:E$2)))))</f>
        <v> </v>
      </c>
      <c r="J2029" s="25" t="str">
        <f>IF(OR(E2029="",E2029="!!!",F2029="NEW"),"",COUNTBLANK(OFFSET(A$1,,,SUMPRODUCT(MAX(ROW(E$2:E2029)*(E2029=E$2:E2029)))))-COUNTBLANK(OFFSET(A$1,,,SUMPRODUCT(MAX(ROW(E$1:E2028)*(E2=E$1:E2028))))))</f>
        <v> </v>
      </c>
      <c r="K2029" s="25" t="str">
        <f>IF(OR(E2029="",E2029="!!!",F2029="NEW"),"",INDEX(J$1:J2028,SUMPRODUCT(MAX(ROW(E$1:E2028)*(E2029=E$1:E2028)))))</f>
        <v> </v>
      </c>
      <c r="L2029" s="26"/>
    </row>
    <row r="2030" spans="1:12">
      <c r="A2030" s="20" t="s">
        <v>285</v>
      </c>
      <c r="E2030" s="21">
        <f>IF(D2030="?OLD","!!!","")</f>
        <v/>
      </c>
      <c r="F2030" s="22" t="str">
        <f>IF(OR(E2030="",E2030="!!!"),"",IF(NOT(ISNA(VLOOKUP(E2030,E$1:E2029,1,FALSE()))),"OLD",IF(AND(E2030&lt;&gt;"",E2030&lt;&gt;"!!!"),"NEW","")))</f>
        <v> </v>
      </c>
      <c r="G2030" s="23" t="str">
        <f>IF(OR(E2030="",E2030="!!!"),"",IF(OR(J2030=0,AND(J2030=1,K2030=1),AND(J2030=1,I2030="SBJ"),AND(J2030=1,I2030=0)),"?IN_FOCUS",IF(J2030&lt;=2,"?ACTIVATED",IF(J2030&lt;&gt;"","?FAMILIAR",IF(F2030="NEW",IF(ISNA(VLOOKUP(E2030,#REF!,1,FALSE())),"?TYPE_IDENTIFIABLE","?REFERENTIAL"),"_")))))</f>
        <v> </v>
      </c>
      <c r="H2030" s="24" t="str">
        <f>IF(J2030&lt;&gt;1,"",IF(I2030="SBJ","CB","?"))</f>
        <v> </v>
      </c>
      <c r="I2030" s="25" t="str">
        <f>IF(OR(E2030="",E2030="!!!",F2030="NEW"),"",INDEX(B2029:B$2,-1+SUMPRODUCT(MAX(ROW(E2029:E$2)*(E2030=E2029:E$2)))))</f>
        <v> </v>
      </c>
      <c r="J2030" s="25" t="str">
        <f>IF(OR(E2030="",E2030="!!!",F2030="NEW"),"",COUNTBLANK(OFFSET(A$1,,,SUMPRODUCT(MAX(ROW(E$2:E2030)*(E2030=E$2:E2030)))))-COUNTBLANK(OFFSET(A$1,,,SUMPRODUCT(MAX(ROW(E$1:E2029)*(E2=E$1:E2029))))))</f>
        <v> </v>
      </c>
      <c r="K2030" s="25" t="str">
        <f>IF(OR(E2030="",E2030="!!!",F2030="NEW"),"",INDEX(J$1:J2029,SUMPRODUCT(MAX(ROW(E$1:E2029)*(E2030=E$1:E2029)))))</f>
        <v> </v>
      </c>
      <c r="L2030" s="26"/>
    </row>
    <row r="2031" spans="1:12">
      <c r="A2031" s="20"/>
    </row>
    <row r="2032" spans="1:12">
      <c r="A2032" s="20" t="s">
        <v>981</v>
      </c>
    </row>
    <row r="2033" spans="1:12">
      <c r="A2033" s="20" t="s">
        <v>580</v>
      </c>
      <c r="B2033" s="27" t="s">
        <v>255</v>
      </c>
      <c r="C2033" s="27" t="s">
        <v>256</v>
      </c>
      <c r="D2033" s="27" t="s">
        <v>244</v>
      </c>
      <c r="E2033" s="21">
        <f>IF(D2033="?OLD","!!!","")</f>
        <v/>
      </c>
      <c r="F2033" s="22" t="str">
        <f>IF(OR(E2033="",E2033="!!!"),"",IF(NOT(ISNA(VLOOKUP(E2033,E$1:E2032,1,FALSE()))),"OLD",IF(AND(E2033&lt;&gt;"",E2033&lt;&gt;"!!!"),"NEW","")))</f>
        <v> </v>
      </c>
      <c r="G2033" s="23" t="str">
        <f>IF(OR(E2033="",E2033="!!!"),"",IF(OR(J2033=0,AND(J2033=1,K2033=1),AND(J2033=1,I2033="SBJ"),AND(J2033=1,I2033=0)),"?IN_FOCUS",IF(J2033&lt;=2,"?ACTIVATED",IF(J2033&lt;&gt;"","?FAMILIAR",IF(F2033="NEW",IF(ISNA(VLOOKUP(E2033,#REF!,1,FALSE())),"?TYPE_IDENTIFIABLE","?REFERENTIAL"),"_")))))</f>
        <v> </v>
      </c>
      <c r="H2033" s="24" t="str">
        <f>IF(J2033&lt;&gt;1,"",IF(I2033="SBJ","CB","?"))</f>
        <v> </v>
      </c>
      <c r="I2033" s="25" t="str">
        <f>IF(OR(E2033="",E2033="!!!",F2033="NEW"),"",INDEX(B2032:B$2,-1+SUMPRODUCT(MAX(ROW(E2032:E$2)*(E2033=E2032:E$2)))))</f>
        <v> </v>
      </c>
      <c r="J2033" s="25" t="str">
        <f>IF(OR(E2033="",E2033="!!!",F2033="NEW"),"",COUNTBLANK(OFFSET(A$1,,,SUMPRODUCT(MAX(ROW(E$2:E2033)*(E2033=E$2:E2033)))))-COUNTBLANK(OFFSET(A$1,,,SUMPRODUCT(MAX(ROW(E$1:E2032)*(E2=E$1:E2032))))))</f>
        <v> </v>
      </c>
      <c r="K2033" s="25" t="str">
        <f>IF(OR(E2033="",E2033="!!!",F2033="NEW"),"",INDEX(J$1:J2032,SUMPRODUCT(MAX(ROW(E$1:E2032)*(E2033=E$1:E2032)))))</f>
        <v> </v>
      </c>
      <c r="L2033" s="26"/>
    </row>
    <row r="2034" spans="1:12">
      <c r="A2034" s="20" t="s">
        <v>338</v>
      </c>
      <c r="E2034" s="21">
        <f>IF(D2034="?OLD","!!!","")</f>
        <v/>
      </c>
      <c r="F2034" s="22" t="str">
        <f>IF(OR(E2034="",E2034="!!!"),"",IF(NOT(ISNA(VLOOKUP(E2034,E$1:E2033,1,FALSE()))),"OLD",IF(AND(E2034&lt;&gt;"",E2034&lt;&gt;"!!!"),"NEW","")))</f>
        <v> </v>
      </c>
      <c r="G2034" s="23" t="str">
        <f>IF(OR(E2034="",E2034="!!!"),"",IF(OR(J2034=0,AND(J2034=1,K2034=1),AND(J2034=1,I2034="SBJ"),AND(J2034=1,I2034=0)),"?IN_FOCUS",IF(J2034&lt;=2,"?ACTIVATED",IF(J2034&lt;&gt;"","?FAMILIAR",IF(F2034="NEW",IF(ISNA(VLOOKUP(E2034,#REF!,1,FALSE())),"?TYPE_IDENTIFIABLE","?REFERENTIAL"),"_")))))</f>
        <v> </v>
      </c>
      <c r="H2034" s="24" t="str">
        <f>IF(J2034&lt;&gt;1,"",IF(I2034="SBJ","CB","?"))</f>
        <v> </v>
      </c>
      <c r="I2034" s="25" t="str">
        <f>IF(OR(E2034="",E2034="!!!",F2034="NEW"),"",INDEX(B2033:B$2,-1+SUMPRODUCT(MAX(ROW(E2033:E$2)*(E2034=E2033:E$2)))))</f>
        <v> </v>
      </c>
      <c r="J2034" s="25" t="str">
        <f>IF(OR(E2034="",E2034="!!!",F2034="NEW"),"",COUNTBLANK(OFFSET(A$1,,,SUMPRODUCT(MAX(ROW(E$2:E2034)*(E2034=E$2:E2034)))))-COUNTBLANK(OFFSET(A$1,,,SUMPRODUCT(MAX(ROW(E$1:E2033)*(E2=E$1:E2033))))))</f>
        <v> </v>
      </c>
      <c r="K2034" s="25" t="str">
        <f>IF(OR(E2034="",E2034="!!!",F2034="NEW"),"",INDEX(J$1:J2033,SUMPRODUCT(MAX(ROW(E$1:E2033)*(E2034=E$1:E2033)))))</f>
        <v> </v>
      </c>
      <c r="L2034" s="26"/>
    </row>
    <row r="2035" spans="1:12">
      <c r="A2035" s="20" t="s">
        <v>339</v>
      </c>
      <c r="E2035" s="21">
        <f>IF(D2035="?OLD","!!!","")</f>
        <v/>
      </c>
      <c r="F2035" s="22" t="str">
        <f>IF(OR(E2035="",E2035="!!!"),"",IF(NOT(ISNA(VLOOKUP(E2035,E$1:E2034,1,FALSE()))),"OLD",IF(AND(E2035&lt;&gt;"",E2035&lt;&gt;"!!!"),"NEW","")))</f>
        <v> </v>
      </c>
      <c r="G2035" s="23" t="str">
        <f>IF(OR(E2035="",E2035="!!!"),"",IF(OR(J2035=0,AND(J2035=1,K2035=1),AND(J2035=1,I2035="SBJ"),AND(J2035=1,I2035=0)),"?IN_FOCUS",IF(J2035&lt;=2,"?ACTIVATED",IF(J2035&lt;&gt;"","?FAMILIAR",IF(F2035="NEW",IF(ISNA(VLOOKUP(E2035,#REF!,1,FALSE())),"?TYPE_IDENTIFIABLE","?REFERENTIAL"),"_")))))</f>
        <v> </v>
      </c>
      <c r="H2035" s="24" t="str">
        <f>IF(J2035&lt;&gt;1,"",IF(I2035="SBJ","CB","?"))</f>
        <v> </v>
      </c>
      <c r="I2035" s="25" t="str">
        <f>IF(OR(E2035="",E2035="!!!",F2035="NEW"),"",INDEX(B2034:B$2,-1+SUMPRODUCT(MAX(ROW(E2034:E$2)*(E2035=E2034:E$2)))))</f>
        <v> </v>
      </c>
      <c r="J2035" s="25" t="str">
        <f>IF(OR(E2035="",E2035="!!!",F2035="NEW"),"",COUNTBLANK(OFFSET(A$1,,,SUMPRODUCT(MAX(ROW(E$2:E2035)*(E2035=E$2:E2035)))))-COUNTBLANK(OFFSET(A$1,,,SUMPRODUCT(MAX(ROW(E$1:E2034)*(E2=E$1:E2034))))))</f>
        <v> </v>
      </c>
      <c r="K2035" s="25" t="str">
        <f>IF(OR(E2035="",E2035="!!!",F2035="NEW"),"",INDEX(J$1:J2034,SUMPRODUCT(MAX(ROW(E$1:E2034)*(E2035=E$1:E2034)))))</f>
        <v> </v>
      </c>
      <c r="L2035" s="26"/>
    </row>
    <row r="2036" spans="1:12">
      <c r="A2036" s="20" t="s">
        <v>982</v>
      </c>
      <c r="E2036" s="21">
        <f>IF(D2036="?OLD","!!!","")</f>
        <v/>
      </c>
      <c r="F2036" s="22" t="str">
        <f>IF(OR(E2036="",E2036="!!!"),"",IF(NOT(ISNA(VLOOKUP(E2036,E$1:E2035,1,FALSE()))),"OLD",IF(AND(E2036&lt;&gt;"",E2036&lt;&gt;"!!!"),"NEW","")))</f>
        <v> </v>
      </c>
      <c r="G2036" s="23" t="str">
        <f>IF(OR(E2036="",E2036="!!!"),"",IF(OR(J2036=0,AND(J2036=1,K2036=1),AND(J2036=1,I2036="SBJ"),AND(J2036=1,I2036=0)),"?IN_FOCUS",IF(J2036&lt;=2,"?ACTIVATED",IF(J2036&lt;&gt;"","?FAMILIAR",IF(F2036="NEW",IF(ISNA(VLOOKUP(E2036,#REF!,1,FALSE())),"?TYPE_IDENTIFIABLE","?REFERENTIAL"),"_")))))</f>
        <v> </v>
      </c>
      <c r="H2036" s="24" t="str">
        <f>IF(J2036&lt;&gt;1,"",IF(I2036="SBJ","CB","?"))</f>
        <v> </v>
      </c>
      <c r="I2036" s="25" t="str">
        <f>IF(OR(E2036="",E2036="!!!",F2036="NEW"),"",INDEX(B2035:B$2,-1+SUMPRODUCT(MAX(ROW(E2035:E$2)*(E2036=E2035:E$2)))))</f>
        <v> </v>
      </c>
      <c r="J2036" s="25" t="str">
        <f>IF(OR(E2036="",E2036="!!!",F2036="NEW"),"",COUNTBLANK(OFFSET(A$1,,,SUMPRODUCT(MAX(ROW(E$2:E2036)*(E2036=E$2:E2036)))))-COUNTBLANK(OFFSET(A$1,,,SUMPRODUCT(MAX(ROW(E$1:E2035)*(E2=E$1:E2035))))))</f>
        <v> </v>
      </c>
      <c r="K2036" s="25" t="str">
        <f>IF(OR(E2036="",E2036="!!!",F2036="NEW"),"",INDEX(J$1:J2035,SUMPRODUCT(MAX(ROW(E$1:E2035)*(E2036=E$1:E2035)))))</f>
        <v> </v>
      </c>
      <c r="L2036" s="26"/>
    </row>
    <row r="2037" spans="1:12">
      <c r="A2037" s="20" t="s">
        <v>591</v>
      </c>
      <c r="E2037" s="21">
        <f>IF(D2037="?OLD","!!!","")</f>
        <v/>
      </c>
      <c r="F2037" s="22" t="str">
        <f>IF(OR(E2037="",E2037="!!!"),"",IF(NOT(ISNA(VLOOKUP(E2037,E$1:E2036,1,FALSE()))),"OLD",IF(AND(E2037&lt;&gt;"",E2037&lt;&gt;"!!!"),"NEW","")))</f>
        <v> </v>
      </c>
      <c r="G2037" s="23" t="str">
        <f>IF(OR(E2037="",E2037="!!!"),"",IF(OR(J2037=0,AND(J2037=1,K2037=1),AND(J2037=1,I2037="SBJ"),AND(J2037=1,I2037=0)),"?IN_FOCUS",IF(J2037&lt;=2,"?ACTIVATED",IF(J2037&lt;&gt;"","?FAMILIAR",IF(F2037="NEW",IF(ISNA(VLOOKUP(E2037,#REF!,1,FALSE())),"?TYPE_IDENTIFIABLE","?REFERENTIAL"),"_")))))</f>
        <v> </v>
      </c>
      <c r="H2037" s="24" t="str">
        <f>IF(J2037&lt;&gt;1,"",IF(I2037="SBJ","CB","?"))</f>
        <v> </v>
      </c>
      <c r="I2037" s="25" t="str">
        <f>IF(OR(E2037="",E2037="!!!",F2037="NEW"),"",INDEX(B2036:B$2,-1+SUMPRODUCT(MAX(ROW(E2036:E$2)*(E2037=E2036:E$2)))))</f>
        <v> </v>
      </c>
      <c r="J2037" s="25" t="str">
        <f>IF(OR(E2037="",E2037="!!!",F2037="NEW"),"",COUNTBLANK(OFFSET(A$1,,,SUMPRODUCT(MAX(ROW(E$2:E2037)*(E2037=E$2:E2037)))))-COUNTBLANK(OFFSET(A$1,,,SUMPRODUCT(MAX(ROW(E$1:E2036)*(E2=E$1:E2036))))))</f>
        <v> </v>
      </c>
      <c r="K2037" s="25" t="str">
        <f>IF(OR(E2037="",E2037="!!!",F2037="NEW"),"",INDEX(J$1:J2036,SUMPRODUCT(MAX(ROW(E$1:E2036)*(E2037=E$1:E2036)))))</f>
        <v> </v>
      </c>
      <c r="L2037" s="26"/>
    </row>
    <row r="2038" spans="1:12">
      <c r="A2038" s="20" t="s">
        <v>277</v>
      </c>
      <c r="E2038" s="21">
        <f>IF(D2038="?OLD","!!!","")</f>
        <v/>
      </c>
      <c r="F2038" s="22" t="str">
        <f>IF(OR(E2038="",E2038="!!!"),"",IF(NOT(ISNA(VLOOKUP(E2038,E$1:E2037,1,FALSE()))),"OLD",IF(AND(E2038&lt;&gt;"",E2038&lt;&gt;"!!!"),"NEW","")))</f>
        <v> </v>
      </c>
      <c r="G2038" s="23" t="str">
        <f>IF(OR(E2038="",E2038="!!!"),"",IF(OR(J2038=0,AND(J2038=1,K2038=1),AND(J2038=1,I2038="SBJ"),AND(J2038=1,I2038=0)),"?IN_FOCUS",IF(J2038&lt;=2,"?ACTIVATED",IF(J2038&lt;&gt;"","?FAMILIAR",IF(F2038="NEW",IF(ISNA(VLOOKUP(E2038,#REF!,1,FALSE())),"?TYPE_IDENTIFIABLE","?REFERENTIAL"),"_")))))</f>
        <v> </v>
      </c>
      <c r="H2038" s="24" t="str">
        <f>IF(J2038&lt;&gt;1,"",IF(I2038="SBJ","CB","?"))</f>
        <v> </v>
      </c>
      <c r="I2038" s="25" t="str">
        <f>IF(OR(E2038="",E2038="!!!",F2038="NEW"),"",INDEX(B2037:B$2,-1+SUMPRODUCT(MAX(ROW(E2037:E$2)*(E2038=E2037:E$2)))))</f>
        <v> </v>
      </c>
      <c r="J2038" s="25" t="str">
        <f>IF(OR(E2038="",E2038="!!!",F2038="NEW"),"",COUNTBLANK(OFFSET(A$1,,,SUMPRODUCT(MAX(ROW(E$2:E2038)*(E2038=E$2:E2038)))))-COUNTBLANK(OFFSET(A$1,,,SUMPRODUCT(MAX(ROW(E$1:E2037)*(E2=E$1:E2037))))))</f>
        <v> </v>
      </c>
      <c r="K2038" s="25" t="str">
        <f>IF(OR(E2038="",E2038="!!!",F2038="NEW"),"",INDEX(J$1:J2037,SUMPRODUCT(MAX(ROW(E$1:E2037)*(E2038=E$1:E2037)))))</f>
        <v> </v>
      </c>
      <c r="L2038" s="26"/>
    </row>
    <row r="2039" spans="1:12">
      <c r="A2039" s="20" t="s">
        <v>983</v>
      </c>
      <c r="B2039" s="27" t="s">
        <v>237</v>
      </c>
      <c r="C2039" s="27" t="s">
        <v>279</v>
      </c>
      <c r="E2039" s="21">
        <f>IF(D2039="?OLD","!!!","")</f>
        <v/>
      </c>
      <c r="F2039" s="22" t="str">
        <f>IF(OR(E2039="",E2039="!!!"),"",IF(NOT(ISNA(VLOOKUP(E2039,E$1:E2038,1,FALSE()))),"OLD",IF(AND(E2039&lt;&gt;"",E2039&lt;&gt;"!!!"),"NEW","")))</f>
        <v> </v>
      </c>
      <c r="G2039" s="23" t="str">
        <f>IF(OR(E2039="",E2039="!!!"),"",IF(OR(J2039=0,AND(J2039=1,K2039=1),AND(J2039=1,I2039="SBJ"),AND(J2039=1,I2039=0)),"?IN_FOCUS",IF(J2039&lt;=2,"?ACTIVATED",IF(J2039&lt;&gt;"","?FAMILIAR",IF(F2039="NEW",IF(ISNA(VLOOKUP(E2039,#REF!,1,FALSE())),"?TYPE_IDENTIFIABLE","?REFERENTIAL"),"_")))))</f>
        <v> </v>
      </c>
      <c r="H2039" s="24" t="str">
        <f>IF(J2039&lt;&gt;1,"",IF(I2039="SBJ","CB","?"))</f>
        <v> </v>
      </c>
      <c r="I2039" s="25" t="str">
        <f>IF(OR(E2039="",E2039="!!!",F2039="NEW"),"",INDEX(B2038:B$2,-1+SUMPRODUCT(MAX(ROW(E2038:E$2)*(E2039=E2038:E$2)))))</f>
        <v> </v>
      </c>
      <c r="J2039" s="25" t="str">
        <f>IF(OR(E2039="",E2039="!!!",F2039="NEW"),"",COUNTBLANK(OFFSET(A$1,,,SUMPRODUCT(MAX(ROW(E$2:E2039)*(E2039=E$2:E2039)))))-COUNTBLANK(OFFSET(A$1,,,SUMPRODUCT(MAX(ROW(E$1:E2038)*(E2=E$1:E2038))))))</f>
        <v> </v>
      </c>
      <c r="K2039" s="25" t="str">
        <f>IF(OR(E2039="",E2039="!!!",F2039="NEW"),"",INDEX(J$1:J2038,SUMPRODUCT(MAX(ROW(E$1:E2038)*(E2039=E$1:E2038)))))</f>
        <v> </v>
      </c>
      <c r="L2039" s="26"/>
    </row>
    <row r="2040" spans="1:12">
      <c r="A2040" s="20" t="s">
        <v>305</v>
      </c>
      <c r="E2040" s="21">
        <f>IF(D2040="?OLD","!!!","")</f>
        <v/>
      </c>
      <c r="F2040" s="22" t="str">
        <f>IF(OR(E2040="",E2040="!!!"),"",IF(NOT(ISNA(VLOOKUP(E2040,E$1:E2039,1,FALSE()))),"OLD",IF(AND(E2040&lt;&gt;"",E2040&lt;&gt;"!!!"),"NEW","")))</f>
        <v> </v>
      </c>
      <c r="G2040" s="23" t="str">
        <f>IF(OR(E2040="",E2040="!!!"),"",IF(OR(J2040=0,AND(J2040=1,K2040=1),AND(J2040=1,I2040="SBJ"),AND(J2040=1,I2040=0)),"?IN_FOCUS",IF(J2040&lt;=2,"?ACTIVATED",IF(J2040&lt;&gt;"","?FAMILIAR",IF(F2040="NEW",IF(ISNA(VLOOKUP(E2040,#REF!,1,FALSE())),"?TYPE_IDENTIFIABLE","?REFERENTIAL"),"_")))))</f>
        <v> </v>
      </c>
      <c r="H2040" s="24" t="str">
        <f>IF(J2040&lt;&gt;1,"",IF(I2040="SBJ","CB","?"))</f>
        <v> </v>
      </c>
      <c r="I2040" s="25" t="str">
        <f>IF(OR(E2040="",E2040="!!!",F2040="NEW"),"",INDEX(B2039:B$2,-1+SUMPRODUCT(MAX(ROW(E2039:E$2)*(E2040=E2039:E$2)))))</f>
        <v> </v>
      </c>
      <c r="J2040" s="25" t="str">
        <f>IF(OR(E2040="",E2040="!!!",F2040="NEW"),"",COUNTBLANK(OFFSET(A$1,,,SUMPRODUCT(MAX(ROW(E$2:E2040)*(E2040=E$2:E2040)))))-COUNTBLANK(OFFSET(A$1,,,SUMPRODUCT(MAX(ROW(E$1:E2039)*(E2=E$1:E2039))))))</f>
        <v> </v>
      </c>
      <c r="K2040" s="25" t="str">
        <f>IF(OR(E2040="",E2040="!!!",F2040="NEW"),"",INDEX(J$1:J2039,SUMPRODUCT(MAX(ROW(E$1:E2039)*(E2040=E$1:E2039)))))</f>
        <v> </v>
      </c>
      <c r="L2040" s="26"/>
    </row>
    <row r="2041" spans="1:12">
      <c r="A2041" s="20" t="s">
        <v>984</v>
      </c>
      <c r="E2041" s="21">
        <f>IF(D2041="?OLD","!!!","")</f>
        <v/>
      </c>
      <c r="F2041" s="22" t="str">
        <f>IF(OR(E2041="",E2041="!!!"),"",IF(NOT(ISNA(VLOOKUP(E2041,E$1:E2040,1,FALSE()))),"OLD",IF(AND(E2041&lt;&gt;"",E2041&lt;&gt;"!!!"),"NEW","")))</f>
        <v> </v>
      </c>
      <c r="G2041" s="23" t="str">
        <f>IF(OR(E2041="",E2041="!!!"),"",IF(OR(J2041=0,AND(J2041=1,K2041=1),AND(J2041=1,I2041="SBJ"),AND(J2041=1,I2041=0)),"?IN_FOCUS",IF(J2041&lt;=2,"?ACTIVATED",IF(J2041&lt;&gt;"","?FAMILIAR",IF(F2041="NEW",IF(ISNA(VLOOKUP(E2041,#REF!,1,FALSE())),"?TYPE_IDENTIFIABLE","?REFERENTIAL"),"_")))))</f>
        <v> </v>
      </c>
      <c r="H2041" s="24" t="str">
        <f>IF(J2041&lt;&gt;1,"",IF(I2041="SBJ","CB","?"))</f>
        <v> </v>
      </c>
      <c r="I2041" s="25" t="str">
        <f>IF(OR(E2041="",E2041="!!!",F2041="NEW"),"",INDEX(B2040:B$2,-1+SUMPRODUCT(MAX(ROW(E2040:E$2)*(E2041=E2040:E$2)))))</f>
        <v> </v>
      </c>
      <c r="J2041" s="25" t="str">
        <f>IF(OR(E2041="",E2041="!!!",F2041="NEW"),"",COUNTBLANK(OFFSET(A$1,,,SUMPRODUCT(MAX(ROW(E$2:E2041)*(E2041=E$2:E2041)))))-COUNTBLANK(OFFSET(A$1,,,SUMPRODUCT(MAX(ROW(E$1:E2040)*(E2=E$1:E2040))))))</f>
        <v> </v>
      </c>
      <c r="K2041" s="25" t="str">
        <f>IF(OR(E2041="",E2041="!!!",F2041="NEW"),"",INDEX(J$1:J2040,SUMPRODUCT(MAX(ROW(E$1:E2040)*(E2041=E$1:E2040)))))</f>
        <v> </v>
      </c>
      <c r="L2041" s="26"/>
    </row>
    <row r="2042" spans="1:12">
      <c r="A2042" s="20" t="s">
        <v>305</v>
      </c>
      <c r="E2042" s="21">
        <f>IF(D2042="?OLD","!!!","")</f>
        <v/>
      </c>
      <c r="F2042" s="22" t="str">
        <f>IF(OR(E2042="",E2042="!!!"),"",IF(NOT(ISNA(VLOOKUP(E2042,E$1:E2041,1,FALSE()))),"OLD",IF(AND(E2042&lt;&gt;"",E2042&lt;&gt;"!!!"),"NEW","")))</f>
        <v> </v>
      </c>
      <c r="G2042" s="23" t="str">
        <f>IF(OR(E2042="",E2042="!!!"),"",IF(OR(J2042=0,AND(J2042=1,K2042=1),AND(J2042=1,I2042="SBJ"),AND(J2042=1,I2042=0)),"?IN_FOCUS",IF(J2042&lt;=2,"?ACTIVATED",IF(J2042&lt;&gt;"","?FAMILIAR",IF(F2042="NEW",IF(ISNA(VLOOKUP(E2042,#REF!,1,FALSE())),"?TYPE_IDENTIFIABLE","?REFERENTIAL"),"_")))))</f>
        <v> </v>
      </c>
      <c r="H2042" s="24" t="str">
        <f>IF(J2042&lt;&gt;1,"",IF(I2042="SBJ","CB","?"))</f>
        <v> </v>
      </c>
      <c r="I2042" s="25" t="str">
        <f>IF(OR(E2042="",E2042="!!!",F2042="NEW"),"",INDEX(B2041:B$2,-1+SUMPRODUCT(MAX(ROW(E2041:E$2)*(E2042=E2041:E$2)))))</f>
        <v> </v>
      </c>
      <c r="J2042" s="25" t="str">
        <f>IF(OR(E2042="",E2042="!!!",F2042="NEW"),"",COUNTBLANK(OFFSET(A$1,,,SUMPRODUCT(MAX(ROW(E$2:E2042)*(E2042=E$2:E2042)))))-COUNTBLANK(OFFSET(A$1,,,SUMPRODUCT(MAX(ROW(E$1:E2041)*(E2=E$1:E2041))))))</f>
        <v> </v>
      </c>
      <c r="K2042" s="25" t="str">
        <f>IF(OR(E2042="",E2042="!!!",F2042="NEW"),"",INDEX(J$1:J2041,SUMPRODUCT(MAX(ROW(E$1:E2041)*(E2042=E$1:E2041)))))</f>
        <v> </v>
      </c>
      <c r="L2042" s="26"/>
    </row>
    <row r="2043" spans="1:12">
      <c r="A2043" s="20" t="s">
        <v>392</v>
      </c>
      <c r="E2043" s="21">
        <f>IF(D2043="?OLD","!!!","")</f>
        <v/>
      </c>
      <c r="F2043" s="22" t="str">
        <f>IF(OR(E2043="",E2043="!!!"),"",IF(NOT(ISNA(VLOOKUP(E2043,E$1:E2042,1,FALSE()))),"OLD",IF(AND(E2043&lt;&gt;"",E2043&lt;&gt;"!!!"),"NEW","")))</f>
        <v> </v>
      </c>
      <c r="G2043" s="23" t="str">
        <f>IF(OR(E2043="",E2043="!!!"),"",IF(OR(J2043=0,AND(J2043=1,K2043=1),AND(J2043=1,I2043="SBJ"),AND(J2043=1,I2043=0)),"?IN_FOCUS",IF(J2043&lt;=2,"?ACTIVATED",IF(J2043&lt;&gt;"","?FAMILIAR",IF(F2043="NEW",IF(ISNA(VLOOKUP(E2043,#REF!,1,FALSE())),"?TYPE_IDENTIFIABLE","?REFERENTIAL"),"_")))))</f>
        <v> </v>
      </c>
      <c r="H2043" s="24" t="str">
        <f>IF(J2043&lt;&gt;1,"",IF(I2043="SBJ","CB","?"))</f>
        <v> </v>
      </c>
      <c r="I2043" s="25" t="str">
        <f>IF(OR(E2043="",E2043="!!!",F2043="NEW"),"",INDEX(B2042:B$2,-1+SUMPRODUCT(MAX(ROW(E2042:E$2)*(E2043=E2042:E$2)))))</f>
        <v> </v>
      </c>
      <c r="J2043" s="25" t="str">
        <f>IF(OR(E2043="",E2043="!!!",F2043="NEW"),"",COUNTBLANK(OFFSET(A$1,,,SUMPRODUCT(MAX(ROW(E$2:E2043)*(E2043=E$2:E2043)))))-COUNTBLANK(OFFSET(A$1,,,SUMPRODUCT(MAX(ROW(E$1:E2042)*(E2=E$1:E2042))))))</f>
        <v> </v>
      </c>
      <c r="K2043" s="25" t="str">
        <f>IF(OR(E2043="",E2043="!!!",F2043="NEW"),"",INDEX(J$1:J2042,SUMPRODUCT(MAX(ROW(E$1:E2042)*(E2043=E$1:E2042)))))</f>
        <v> </v>
      </c>
      <c r="L2043" s="26"/>
    </row>
    <row r="2044" spans="1:12">
      <c r="A2044" s="20" t="s">
        <v>565</v>
      </c>
      <c r="E2044" s="21">
        <f>IF(D2044="?OLD","!!!","")</f>
        <v/>
      </c>
      <c r="F2044" s="22" t="str">
        <f>IF(OR(E2044="",E2044="!!!"),"",IF(NOT(ISNA(VLOOKUP(E2044,E$1:E2043,1,FALSE()))),"OLD",IF(AND(E2044&lt;&gt;"",E2044&lt;&gt;"!!!"),"NEW","")))</f>
        <v> </v>
      </c>
      <c r="G2044" s="23" t="str">
        <f>IF(OR(E2044="",E2044="!!!"),"",IF(OR(J2044=0,AND(J2044=1,K2044=1),AND(J2044=1,I2044="SBJ"),AND(J2044=1,I2044=0)),"?IN_FOCUS",IF(J2044&lt;=2,"?ACTIVATED",IF(J2044&lt;&gt;"","?FAMILIAR",IF(F2044="NEW",IF(ISNA(VLOOKUP(E2044,#REF!,1,FALSE())),"?TYPE_IDENTIFIABLE","?REFERENTIAL"),"_")))))</f>
        <v> </v>
      </c>
      <c r="H2044" s="24" t="str">
        <f>IF(J2044&lt;&gt;1,"",IF(I2044="SBJ","CB","?"))</f>
        <v> </v>
      </c>
      <c r="I2044" s="25" t="str">
        <f>IF(OR(E2044="",E2044="!!!",F2044="NEW"),"",INDEX(B2043:B$2,-1+SUMPRODUCT(MAX(ROW(E2043:E$2)*(E2044=E2043:E$2)))))</f>
        <v> </v>
      </c>
      <c r="J2044" s="25" t="str">
        <f>IF(OR(E2044="",E2044="!!!",F2044="NEW"),"",COUNTBLANK(OFFSET(A$1,,,SUMPRODUCT(MAX(ROW(E$2:E2044)*(E2044=E$2:E2044)))))-COUNTBLANK(OFFSET(A$1,,,SUMPRODUCT(MAX(ROW(E$1:E2043)*(E2=E$1:E2043))))))</f>
        <v> </v>
      </c>
      <c r="K2044" s="25" t="str">
        <f>IF(OR(E2044="",E2044="!!!",F2044="NEW"),"",INDEX(J$1:J2043,SUMPRODUCT(MAX(ROW(E$1:E2043)*(E2044=E$1:E2043)))))</f>
        <v> </v>
      </c>
      <c r="L2044" s="26"/>
    </row>
    <row r="2045" spans="1:12">
      <c r="A2045" s="20" t="s">
        <v>277</v>
      </c>
      <c r="E2045" s="21">
        <f>IF(D2045="?OLD","!!!","")</f>
        <v/>
      </c>
      <c r="F2045" s="22" t="str">
        <f>IF(OR(E2045="",E2045="!!!"),"",IF(NOT(ISNA(VLOOKUP(E2045,E$1:E2044,1,FALSE()))),"OLD",IF(AND(E2045&lt;&gt;"",E2045&lt;&gt;"!!!"),"NEW","")))</f>
        <v> </v>
      </c>
      <c r="G2045" s="23" t="str">
        <f>IF(OR(E2045="",E2045="!!!"),"",IF(OR(J2045=0,AND(J2045=1,K2045=1),AND(J2045=1,I2045="SBJ"),AND(J2045=1,I2045=0)),"?IN_FOCUS",IF(J2045&lt;=2,"?ACTIVATED",IF(J2045&lt;&gt;"","?FAMILIAR",IF(F2045="NEW",IF(ISNA(VLOOKUP(E2045,#REF!,1,FALSE())),"?TYPE_IDENTIFIABLE","?REFERENTIAL"),"_")))))</f>
        <v> </v>
      </c>
      <c r="H2045" s="24" t="str">
        <f>IF(J2045&lt;&gt;1,"",IF(I2045="SBJ","CB","?"))</f>
        <v> </v>
      </c>
      <c r="I2045" s="25" t="str">
        <f>IF(OR(E2045="",E2045="!!!",F2045="NEW"),"",INDEX(B2044:B$2,-1+SUMPRODUCT(MAX(ROW(E2044:E$2)*(E2045=E2044:E$2)))))</f>
        <v> </v>
      </c>
      <c r="J2045" s="25" t="str">
        <f>IF(OR(E2045="",E2045="!!!",F2045="NEW"),"",COUNTBLANK(OFFSET(A$1,,,SUMPRODUCT(MAX(ROW(E$2:E2045)*(E2045=E$2:E2045)))))-COUNTBLANK(OFFSET(A$1,,,SUMPRODUCT(MAX(ROW(E$1:E2044)*(E2=E$1:E2044))))))</f>
        <v> </v>
      </c>
      <c r="K2045" s="25" t="str">
        <f>IF(OR(E2045="",E2045="!!!",F2045="NEW"),"",INDEX(J$1:J2044,SUMPRODUCT(MAX(ROW(E$1:E2044)*(E2045=E$1:E2044)))))</f>
        <v> </v>
      </c>
      <c r="L2045" s="26"/>
    </row>
    <row r="2046" spans="1:12">
      <c r="A2046" s="20" t="s">
        <v>495</v>
      </c>
      <c r="B2046" s="27" t="s">
        <v>237</v>
      </c>
      <c r="C2046" s="27" t="s">
        <v>279</v>
      </c>
      <c r="E2046" s="21">
        <f>IF(D2046="?OLD","!!!","")</f>
        <v/>
      </c>
      <c r="F2046" s="22" t="str">
        <f>IF(OR(E2046="",E2046="!!!"),"",IF(NOT(ISNA(VLOOKUP(E2046,E$1:E2045,1,FALSE()))),"OLD",IF(AND(E2046&lt;&gt;"",E2046&lt;&gt;"!!!"),"NEW","")))</f>
        <v> </v>
      </c>
      <c r="G2046" s="23" t="str">
        <f>IF(OR(E2046="",E2046="!!!"),"",IF(OR(J2046=0,AND(J2046=1,K2046=1),AND(J2046=1,I2046="SBJ"),AND(J2046=1,I2046=0)),"?IN_FOCUS",IF(J2046&lt;=2,"?ACTIVATED",IF(J2046&lt;&gt;"","?FAMILIAR",IF(F2046="NEW",IF(ISNA(VLOOKUP(E2046,#REF!,1,FALSE())),"?TYPE_IDENTIFIABLE","?REFERENTIAL"),"_")))))</f>
        <v> </v>
      </c>
      <c r="H2046" s="24" t="str">
        <f>IF(J2046&lt;&gt;1,"",IF(I2046="SBJ","CB","?"))</f>
        <v> </v>
      </c>
      <c r="I2046" s="25" t="str">
        <f>IF(OR(E2046="",E2046="!!!",F2046="NEW"),"",INDEX(B2045:B$2,-1+SUMPRODUCT(MAX(ROW(E2045:E$2)*(E2046=E2045:E$2)))))</f>
        <v> </v>
      </c>
      <c r="J2046" s="25" t="str">
        <f>IF(OR(E2046="",E2046="!!!",F2046="NEW"),"",COUNTBLANK(OFFSET(A$1,,,SUMPRODUCT(MAX(ROW(E$2:E2046)*(E2046=E$2:E2046)))))-COUNTBLANK(OFFSET(A$1,,,SUMPRODUCT(MAX(ROW(E$1:E2045)*(E2=E$1:E2045))))))</f>
        <v> </v>
      </c>
      <c r="K2046" s="25" t="str">
        <f>IF(OR(E2046="",E2046="!!!",F2046="NEW"),"",INDEX(J$1:J2045,SUMPRODUCT(MAX(ROW(E$1:E2045)*(E2046=E$1:E2045)))))</f>
        <v> </v>
      </c>
      <c r="L2046" s="26"/>
    </row>
    <row r="2047" spans="1:12">
      <c r="A2047" s="20" t="s">
        <v>349</v>
      </c>
      <c r="E2047" s="21">
        <f>IF(D2047="?OLD","!!!","")</f>
        <v/>
      </c>
      <c r="F2047" s="22" t="str">
        <f>IF(OR(E2047="",E2047="!!!"),"",IF(NOT(ISNA(VLOOKUP(E2047,E$1:E2046,1,FALSE()))),"OLD",IF(AND(E2047&lt;&gt;"",E2047&lt;&gt;"!!!"),"NEW","")))</f>
        <v> </v>
      </c>
      <c r="G2047" s="23" t="str">
        <f>IF(OR(E2047="",E2047="!!!"),"",IF(OR(J2047=0,AND(J2047=1,K2047=1),AND(J2047=1,I2047="SBJ"),AND(J2047=1,I2047=0)),"?IN_FOCUS",IF(J2047&lt;=2,"?ACTIVATED",IF(J2047&lt;&gt;"","?FAMILIAR",IF(F2047="NEW",IF(ISNA(VLOOKUP(E2047,#REF!,1,FALSE())),"?TYPE_IDENTIFIABLE","?REFERENTIAL"),"_")))))</f>
        <v> </v>
      </c>
      <c r="H2047" s="24" t="str">
        <f>IF(J2047&lt;&gt;1,"",IF(I2047="SBJ","CB","?"))</f>
        <v> </v>
      </c>
      <c r="I2047" s="25" t="str">
        <f>IF(OR(E2047="",E2047="!!!",F2047="NEW"),"",INDEX(B2046:B$2,-1+SUMPRODUCT(MAX(ROW(E2046:E$2)*(E2047=E2046:E$2)))))</f>
        <v> </v>
      </c>
      <c r="J2047" s="25" t="str">
        <f>IF(OR(E2047="",E2047="!!!",F2047="NEW"),"",COUNTBLANK(OFFSET(A$1,,,SUMPRODUCT(MAX(ROW(E$2:E2047)*(E2047=E$2:E2047)))))-COUNTBLANK(OFFSET(A$1,,,SUMPRODUCT(MAX(ROW(E$1:E2046)*(E2=E$1:E2046))))))</f>
        <v> </v>
      </c>
      <c r="K2047" s="25" t="str">
        <f>IF(OR(E2047="",E2047="!!!",F2047="NEW"),"",INDEX(J$1:J2046,SUMPRODUCT(MAX(ROW(E$1:E2046)*(E2047=E$1:E2046)))))</f>
        <v> </v>
      </c>
      <c r="L2047" s="26"/>
    </row>
    <row r="2048" spans="1:12">
      <c r="A2048" s="20" t="s">
        <v>985</v>
      </c>
      <c r="E2048" s="21">
        <f>IF(D2048="?OLD","!!!","")</f>
        <v/>
      </c>
      <c r="F2048" s="22" t="str">
        <f>IF(OR(E2048="",E2048="!!!"),"",IF(NOT(ISNA(VLOOKUP(E2048,E$1:E2047,1,FALSE()))),"OLD",IF(AND(E2048&lt;&gt;"",E2048&lt;&gt;"!!!"),"NEW","")))</f>
        <v> </v>
      </c>
      <c r="G2048" s="23" t="str">
        <f>IF(OR(E2048="",E2048="!!!"),"",IF(OR(J2048=0,AND(J2048=1,K2048=1),AND(J2048=1,I2048="SBJ"),AND(J2048=1,I2048=0)),"?IN_FOCUS",IF(J2048&lt;=2,"?ACTIVATED",IF(J2048&lt;&gt;"","?FAMILIAR",IF(F2048="NEW",IF(ISNA(VLOOKUP(E2048,#REF!,1,FALSE())),"?TYPE_IDENTIFIABLE","?REFERENTIAL"),"_")))))</f>
        <v> </v>
      </c>
      <c r="H2048" s="24" t="str">
        <f>IF(J2048&lt;&gt;1,"",IF(I2048="SBJ","CB","?"))</f>
        <v> </v>
      </c>
      <c r="I2048" s="25" t="str">
        <f>IF(OR(E2048="",E2048="!!!",F2048="NEW"),"",INDEX(B2047:B$2,-1+SUMPRODUCT(MAX(ROW(E2047:E$2)*(E2048=E2047:E$2)))))</f>
        <v> </v>
      </c>
      <c r="J2048" s="25" t="str">
        <f>IF(OR(E2048="",E2048="!!!",F2048="NEW"),"",COUNTBLANK(OFFSET(A$1,,,SUMPRODUCT(MAX(ROW(E$2:E2048)*(E2048=E$2:E2048)))))-COUNTBLANK(OFFSET(A$1,,,SUMPRODUCT(MAX(ROW(E$1:E2047)*(E2=E$1:E2047))))))</f>
        <v> </v>
      </c>
      <c r="K2048" s="25" t="str">
        <f>IF(OR(E2048="",E2048="!!!",F2048="NEW"),"",INDEX(J$1:J2047,SUMPRODUCT(MAX(ROW(E$1:E2047)*(E2048=E$1:E2047)))))</f>
        <v> </v>
      </c>
      <c r="L2048" s="26"/>
    </row>
    <row r="2049" spans="1:12">
      <c r="A2049" s="20" t="s">
        <v>354</v>
      </c>
      <c r="B2049" s="27" t="s">
        <v>381</v>
      </c>
      <c r="C2049" s="27" t="s">
        <v>256</v>
      </c>
      <c r="D2049" s="27" t="s">
        <v>244</v>
      </c>
      <c r="E2049" s="21">
        <f>IF(D2049="?OLD","!!!","")</f>
        <v/>
      </c>
      <c r="F2049" s="22" t="str">
        <f>IF(OR(E2049="",E2049="!!!"),"",IF(NOT(ISNA(VLOOKUP(E2049,E$1:E2048,1,FALSE()))),"OLD",IF(AND(E2049&lt;&gt;"",E2049&lt;&gt;"!!!"),"NEW","")))</f>
        <v> </v>
      </c>
      <c r="G2049" s="23" t="str">
        <f>IF(OR(E2049="",E2049="!!!"),"",IF(OR(J2049=0,AND(J2049=1,K2049=1),AND(J2049=1,I2049="SBJ"),AND(J2049=1,I2049=0)),"?IN_FOCUS",IF(J2049&lt;=2,"?ACTIVATED",IF(J2049&lt;&gt;"","?FAMILIAR",IF(F2049="NEW",IF(ISNA(VLOOKUP(E2049,#REF!,1,FALSE())),"?TYPE_IDENTIFIABLE","?REFERENTIAL"),"_")))))</f>
        <v> </v>
      </c>
      <c r="H2049" s="24" t="str">
        <f>IF(J2049&lt;&gt;1,"",IF(I2049="SBJ","CB","?"))</f>
        <v> </v>
      </c>
      <c r="I2049" s="25" t="str">
        <f>IF(OR(E2049="",E2049="!!!",F2049="NEW"),"",INDEX(B2048:B$2,-1+SUMPRODUCT(MAX(ROW(E2048:E$2)*(E2049=E2048:E$2)))))</f>
        <v> </v>
      </c>
      <c r="J2049" s="25" t="str">
        <f>IF(OR(E2049="",E2049="!!!",F2049="NEW"),"",COUNTBLANK(OFFSET(A$1,,,SUMPRODUCT(MAX(ROW(E$2:E2049)*(E2049=E$2:E2049)))))-COUNTBLANK(OFFSET(A$1,,,SUMPRODUCT(MAX(ROW(E$1:E2048)*(E2=E$1:E2048))))))</f>
        <v> </v>
      </c>
      <c r="K2049" s="25" t="str">
        <f>IF(OR(E2049="",E2049="!!!",F2049="NEW"),"",INDEX(J$1:J2048,SUMPRODUCT(MAX(ROW(E$1:E2048)*(E2049=E$1:E2048)))))</f>
        <v> </v>
      </c>
      <c r="L2049" s="26"/>
    </row>
    <row r="2050" spans="1:12">
      <c r="A2050" s="20" t="s">
        <v>340</v>
      </c>
      <c r="E2050" s="21">
        <f>IF(D2050="?OLD","!!!","")</f>
        <v/>
      </c>
      <c r="F2050" s="22" t="str">
        <f>IF(OR(E2050="",E2050="!!!"),"",IF(NOT(ISNA(VLOOKUP(E2050,E$1:E2049,1,FALSE()))),"OLD",IF(AND(E2050&lt;&gt;"",E2050&lt;&gt;"!!!"),"NEW","")))</f>
        <v> </v>
      </c>
      <c r="G2050" s="23" t="str">
        <f>IF(OR(E2050="",E2050="!!!"),"",IF(OR(J2050=0,AND(J2050=1,K2050=1),AND(J2050=1,I2050="SBJ"),AND(J2050=1,I2050=0)),"?IN_FOCUS",IF(J2050&lt;=2,"?ACTIVATED",IF(J2050&lt;&gt;"","?FAMILIAR",IF(F2050="NEW",IF(ISNA(VLOOKUP(E2050,#REF!,1,FALSE())),"?TYPE_IDENTIFIABLE","?REFERENTIAL"),"_")))))</f>
        <v> </v>
      </c>
      <c r="H2050" s="24" t="str">
        <f>IF(J2050&lt;&gt;1,"",IF(I2050="SBJ","CB","?"))</f>
        <v> </v>
      </c>
      <c r="I2050" s="25" t="str">
        <f>IF(OR(E2050="",E2050="!!!",F2050="NEW"),"",INDEX(B2049:B$2,-1+SUMPRODUCT(MAX(ROW(E2049:E$2)*(E2050=E2049:E$2)))))</f>
        <v> </v>
      </c>
      <c r="J2050" s="25" t="str">
        <f>IF(OR(E2050="",E2050="!!!",F2050="NEW"),"",COUNTBLANK(OFFSET(A$1,,,SUMPRODUCT(MAX(ROW(E$2:E2050)*(E2050=E$2:E2050)))))-COUNTBLANK(OFFSET(A$1,,,SUMPRODUCT(MAX(ROW(E$1:E2049)*(E2=E$1:E2049))))))</f>
        <v> </v>
      </c>
      <c r="K2050" s="25" t="str">
        <f>IF(OR(E2050="",E2050="!!!",F2050="NEW"),"",INDEX(J$1:J2049,SUMPRODUCT(MAX(ROW(E$1:E2049)*(E2050=E$1:E2049)))))</f>
        <v> </v>
      </c>
      <c r="L2050" s="26"/>
    </row>
    <row r="2051" spans="1:12">
      <c r="A2051" s="20" t="s">
        <v>305</v>
      </c>
      <c r="E2051" s="21">
        <f>IF(D2051="?OLD","!!!","")</f>
        <v/>
      </c>
      <c r="F2051" s="22" t="str">
        <f>IF(OR(E2051="",E2051="!!!"),"",IF(NOT(ISNA(VLOOKUP(E2051,E$1:E2050,1,FALSE()))),"OLD",IF(AND(E2051&lt;&gt;"",E2051&lt;&gt;"!!!"),"NEW","")))</f>
        <v> </v>
      </c>
      <c r="G2051" s="23" t="str">
        <f>IF(OR(E2051="",E2051="!!!"),"",IF(OR(J2051=0,AND(J2051=1,K2051=1),AND(J2051=1,I2051="SBJ"),AND(J2051=1,I2051=0)),"?IN_FOCUS",IF(J2051&lt;=2,"?ACTIVATED",IF(J2051&lt;&gt;"","?FAMILIAR",IF(F2051="NEW",IF(ISNA(VLOOKUP(E2051,#REF!,1,FALSE())),"?TYPE_IDENTIFIABLE","?REFERENTIAL"),"_")))))</f>
        <v> </v>
      </c>
      <c r="H2051" s="24" t="str">
        <f>IF(J2051&lt;&gt;1,"",IF(I2051="SBJ","CB","?"))</f>
        <v> </v>
      </c>
      <c r="I2051" s="25" t="str">
        <f>IF(OR(E2051="",E2051="!!!",F2051="NEW"),"",INDEX(B2050:B$2,-1+SUMPRODUCT(MAX(ROW(E2050:E$2)*(E2051=E2050:E$2)))))</f>
        <v> </v>
      </c>
      <c r="J2051" s="25" t="str">
        <f>IF(OR(E2051="",E2051="!!!",F2051="NEW"),"",COUNTBLANK(OFFSET(A$1,,,SUMPRODUCT(MAX(ROW(E$2:E2051)*(E2051=E$2:E2051)))))-COUNTBLANK(OFFSET(A$1,,,SUMPRODUCT(MAX(ROW(E$1:E2050)*(E2=E$1:E2050))))))</f>
        <v> </v>
      </c>
      <c r="K2051" s="25" t="str">
        <f>IF(OR(E2051="",E2051="!!!",F2051="NEW"),"",INDEX(J$1:J2050,SUMPRODUCT(MAX(ROW(E$1:E2050)*(E2051=E$1:E2050)))))</f>
        <v> </v>
      </c>
      <c r="L2051" s="26"/>
    </row>
    <row r="2052" spans="1:12">
      <c r="A2052" s="20" t="s">
        <v>277</v>
      </c>
      <c r="E2052" s="21">
        <f>IF(D2052="?OLD","!!!","")</f>
        <v/>
      </c>
      <c r="F2052" s="22" t="str">
        <f>IF(OR(E2052="",E2052="!!!"),"",IF(NOT(ISNA(VLOOKUP(E2052,E$1:E2051,1,FALSE()))),"OLD",IF(AND(E2052&lt;&gt;"",E2052&lt;&gt;"!!!"),"NEW","")))</f>
        <v> </v>
      </c>
      <c r="G2052" s="23" t="str">
        <f>IF(OR(E2052="",E2052="!!!"),"",IF(OR(J2052=0,AND(J2052=1,K2052=1),AND(J2052=1,I2052="SBJ"),AND(J2052=1,I2052=0)),"?IN_FOCUS",IF(J2052&lt;=2,"?ACTIVATED",IF(J2052&lt;&gt;"","?FAMILIAR",IF(F2052="NEW",IF(ISNA(VLOOKUP(E2052,#REF!,1,FALSE())),"?TYPE_IDENTIFIABLE","?REFERENTIAL"),"_")))))</f>
        <v> </v>
      </c>
      <c r="H2052" s="24" t="str">
        <f>IF(J2052&lt;&gt;1,"",IF(I2052="SBJ","CB","?"))</f>
        <v> </v>
      </c>
      <c r="I2052" s="25" t="str">
        <f>IF(OR(E2052="",E2052="!!!",F2052="NEW"),"",INDEX(B2051:B$2,-1+SUMPRODUCT(MAX(ROW(E2051:E$2)*(E2052=E2051:E$2)))))</f>
        <v> </v>
      </c>
      <c r="J2052" s="25" t="str">
        <f>IF(OR(E2052="",E2052="!!!",F2052="NEW"),"",COUNTBLANK(OFFSET(A$1,,,SUMPRODUCT(MAX(ROW(E$2:E2052)*(E2052=E$2:E2052)))))-COUNTBLANK(OFFSET(A$1,,,SUMPRODUCT(MAX(ROW(E$1:E2051)*(E2=E$1:E2051))))))</f>
        <v> </v>
      </c>
      <c r="K2052" s="25" t="str">
        <f>IF(OR(E2052="",E2052="!!!",F2052="NEW"),"",INDEX(J$1:J2051,SUMPRODUCT(MAX(ROW(E$1:E2051)*(E2052=E$1:E2051)))))</f>
        <v> </v>
      </c>
      <c r="L2052" s="26"/>
    </row>
    <row r="2053" spans="1:12">
      <c r="A2053" s="20" t="s">
        <v>472</v>
      </c>
      <c r="B2053" s="27" t="s">
        <v>291</v>
      </c>
      <c r="C2053" s="27" t="s">
        <v>279</v>
      </c>
      <c r="E2053" s="21">
        <f>IF(D2053="?OLD","!!!","")</f>
        <v/>
      </c>
      <c r="F2053" s="22" t="str">
        <f>IF(OR(E2053="",E2053="!!!"),"",IF(NOT(ISNA(VLOOKUP(E2053,E$1:E2052,1,FALSE()))),"OLD",IF(AND(E2053&lt;&gt;"",E2053&lt;&gt;"!!!"),"NEW","")))</f>
        <v> </v>
      </c>
      <c r="G2053" s="23" t="str">
        <f>IF(OR(E2053="",E2053="!!!"),"",IF(OR(J2053=0,AND(J2053=1,K2053=1),AND(J2053=1,I2053="SBJ"),AND(J2053=1,I2053=0)),"?IN_FOCUS",IF(J2053&lt;=2,"?ACTIVATED",IF(J2053&lt;&gt;"","?FAMILIAR",IF(F2053="NEW",IF(ISNA(VLOOKUP(E2053,#REF!,1,FALSE())),"?TYPE_IDENTIFIABLE","?REFERENTIAL"),"_")))))</f>
        <v> </v>
      </c>
      <c r="H2053" s="24" t="str">
        <f>IF(J2053&lt;&gt;1,"",IF(I2053="SBJ","CB","?"))</f>
        <v> </v>
      </c>
      <c r="I2053" s="25" t="str">
        <f>IF(OR(E2053="",E2053="!!!",F2053="NEW"),"",INDEX(B2052:B$2,-1+SUMPRODUCT(MAX(ROW(E2052:E$2)*(E2053=E2052:E$2)))))</f>
        <v> </v>
      </c>
      <c r="J2053" s="25" t="str">
        <f>IF(OR(E2053="",E2053="!!!",F2053="NEW"),"",COUNTBLANK(OFFSET(A$1,,,SUMPRODUCT(MAX(ROW(E$2:E2053)*(E2053=E$2:E2053)))))-COUNTBLANK(OFFSET(A$1,,,SUMPRODUCT(MAX(ROW(E$1:E2052)*(E2=E$1:E2052))))))</f>
        <v> </v>
      </c>
      <c r="K2053" s="25" t="str">
        <f>IF(OR(E2053="",E2053="!!!",F2053="NEW"),"",INDEX(J$1:J2052,SUMPRODUCT(MAX(ROW(E$1:E2052)*(E2053=E$1:E2052)))))</f>
        <v> </v>
      </c>
      <c r="L2053" s="26"/>
    </row>
    <row r="2054" spans="1:12">
      <c r="A2054" s="20" t="s">
        <v>273</v>
      </c>
      <c r="E2054" s="21">
        <f>IF(D2054="?OLD","!!!","")</f>
        <v/>
      </c>
      <c r="F2054" s="22" t="str">
        <f>IF(OR(E2054="",E2054="!!!"),"",IF(NOT(ISNA(VLOOKUP(E2054,E$1:E2053,1,FALSE()))),"OLD",IF(AND(E2054&lt;&gt;"",E2054&lt;&gt;"!!!"),"NEW","")))</f>
        <v> </v>
      </c>
      <c r="G2054" s="23" t="str">
        <f>IF(OR(E2054="",E2054="!!!"),"",IF(OR(J2054=0,AND(J2054=1,K2054=1),AND(J2054=1,I2054="SBJ"),AND(J2054=1,I2054=0)),"?IN_FOCUS",IF(J2054&lt;=2,"?ACTIVATED",IF(J2054&lt;&gt;"","?FAMILIAR",IF(F2054="NEW",IF(ISNA(VLOOKUP(E2054,#REF!,1,FALSE())),"?TYPE_IDENTIFIABLE","?REFERENTIAL"),"_")))))</f>
        <v> </v>
      </c>
      <c r="H2054" s="24" t="str">
        <f>IF(J2054&lt;&gt;1,"",IF(I2054="SBJ","CB","?"))</f>
        <v> </v>
      </c>
      <c r="I2054" s="25" t="str">
        <f>IF(OR(E2054="",E2054="!!!",F2054="NEW"),"",INDEX(B2053:B$2,-1+SUMPRODUCT(MAX(ROW(E2053:E$2)*(E2054=E2053:E$2)))))</f>
        <v> </v>
      </c>
      <c r="J2054" s="25" t="str">
        <f>IF(OR(E2054="",E2054="!!!",F2054="NEW"),"",COUNTBLANK(OFFSET(A$1,,,SUMPRODUCT(MAX(ROW(E$2:E2054)*(E2054=E$2:E2054)))))-COUNTBLANK(OFFSET(A$1,,,SUMPRODUCT(MAX(ROW(E$1:E2053)*(E2=E$1:E2053))))))</f>
        <v> </v>
      </c>
      <c r="K2054" s="25" t="str">
        <f>IF(OR(E2054="",E2054="!!!",F2054="NEW"),"",INDEX(J$1:J2053,SUMPRODUCT(MAX(ROW(E$1:E2053)*(E2054=E$1:E2053)))))</f>
        <v> </v>
      </c>
      <c r="L2054" s="26"/>
    </row>
    <row r="2055" spans="1:12">
      <c r="A2055" s="20" t="s">
        <v>986</v>
      </c>
      <c r="E2055" s="21">
        <f>IF(D2055="?OLD","!!!","")</f>
        <v/>
      </c>
      <c r="F2055" s="22" t="str">
        <f>IF(OR(E2055="",E2055="!!!"),"",IF(NOT(ISNA(VLOOKUP(E2055,E$1:E2054,1,FALSE()))),"OLD",IF(AND(E2055&lt;&gt;"",E2055&lt;&gt;"!!!"),"NEW","")))</f>
        <v> </v>
      </c>
      <c r="G2055" s="23" t="str">
        <f>IF(OR(E2055="",E2055="!!!"),"",IF(OR(J2055=0,AND(J2055=1,K2055=1),AND(J2055=1,I2055="SBJ"),AND(J2055=1,I2055=0)),"?IN_FOCUS",IF(J2055&lt;=2,"?ACTIVATED",IF(J2055&lt;&gt;"","?FAMILIAR",IF(F2055="NEW",IF(ISNA(VLOOKUP(E2055,#REF!,1,FALSE())),"?TYPE_IDENTIFIABLE","?REFERENTIAL"),"_")))))</f>
        <v> </v>
      </c>
      <c r="H2055" s="24" t="str">
        <f>IF(J2055&lt;&gt;1,"",IF(I2055="SBJ","CB","?"))</f>
        <v> </v>
      </c>
      <c r="I2055" s="25" t="str">
        <f>IF(OR(E2055="",E2055="!!!",F2055="NEW"),"",INDEX(B2054:B$2,-1+SUMPRODUCT(MAX(ROW(E2054:E$2)*(E2055=E2054:E$2)))))</f>
        <v> </v>
      </c>
      <c r="J2055" s="25" t="str">
        <f>IF(OR(E2055="",E2055="!!!",F2055="NEW"),"",COUNTBLANK(OFFSET(A$1,,,SUMPRODUCT(MAX(ROW(E$2:E2055)*(E2055=E$2:E2055)))))-COUNTBLANK(OFFSET(A$1,,,SUMPRODUCT(MAX(ROW(E$1:E2054)*(E2=E$1:E2054))))))</f>
        <v> </v>
      </c>
      <c r="K2055" s="25" t="str">
        <f>IF(OR(E2055="",E2055="!!!",F2055="NEW"),"",INDEX(J$1:J2054,SUMPRODUCT(MAX(ROW(E$1:E2054)*(E2055=E$1:E2054)))))</f>
        <v> </v>
      </c>
      <c r="L2055" s="26"/>
    </row>
    <row r="2056" spans="1:12">
      <c r="A2056" s="20" t="s">
        <v>652</v>
      </c>
      <c r="B2056" s="27" t="s">
        <v>272</v>
      </c>
      <c r="C2056" s="27" t="s">
        <v>281</v>
      </c>
      <c r="E2056" s="21">
        <f>IF(D2056="?OLD","!!!","")</f>
        <v/>
      </c>
      <c r="F2056" s="22" t="str">
        <f>IF(OR(E2056="",E2056="!!!"),"",IF(NOT(ISNA(VLOOKUP(E2056,E$1:E2055,1,FALSE()))),"OLD",IF(AND(E2056&lt;&gt;"",E2056&lt;&gt;"!!!"),"NEW","")))</f>
        <v> </v>
      </c>
      <c r="G2056" s="23" t="str">
        <f>IF(OR(E2056="",E2056="!!!"),"",IF(OR(J2056=0,AND(J2056=1,K2056=1),AND(J2056=1,I2056="SBJ"),AND(J2056=1,I2056=0)),"?IN_FOCUS",IF(J2056&lt;=2,"?ACTIVATED",IF(J2056&lt;&gt;"","?FAMILIAR",IF(F2056="NEW",IF(ISNA(VLOOKUP(E2056,#REF!,1,FALSE())),"?TYPE_IDENTIFIABLE","?REFERENTIAL"),"_")))))</f>
        <v> </v>
      </c>
      <c r="H2056" s="24" t="str">
        <f>IF(J2056&lt;&gt;1,"",IF(I2056="SBJ","CB","?"))</f>
        <v> </v>
      </c>
      <c r="I2056" s="25" t="str">
        <f>IF(OR(E2056="",E2056="!!!",F2056="NEW"),"",INDEX(B2055:B$2,-1+SUMPRODUCT(MAX(ROW(E2055:E$2)*(E2056=E2055:E$2)))))</f>
        <v> </v>
      </c>
      <c r="J2056" s="25" t="str">
        <f>IF(OR(E2056="",E2056="!!!",F2056="NEW"),"",COUNTBLANK(OFFSET(A$1,,,SUMPRODUCT(MAX(ROW(E$2:E2056)*(E2056=E$2:E2056)))))-COUNTBLANK(OFFSET(A$1,,,SUMPRODUCT(MAX(ROW(E$1:E2055)*(E2=E$1:E2055))))))</f>
        <v> </v>
      </c>
      <c r="K2056" s="25" t="str">
        <f>IF(OR(E2056="",E2056="!!!",F2056="NEW"),"",INDEX(J$1:J2055,SUMPRODUCT(MAX(ROW(E$1:E2055)*(E2056=E$1:E2055)))))</f>
        <v> </v>
      </c>
      <c r="L2056" s="26"/>
    </row>
    <row r="2057" spans="1:12">
      <c r="A2057" s="20" t="s">
        <v>305</v>
      </c>
      <c r="E2057" s="21">
        <f>IF(D2057="?OLD","!!!","")</f>
        <v/>
      </c>
      <c r="F2057" s="22" t="str">
        <f>IF(OR(E2057="",E2057="!!!"),"",IF(NOT(ISNA(VLOOKUP(E2057,E$1:E2056,1,FALSE()))),"OLD",IF(AND(E2057&lt;&gt;"",E2057&lt;&gt;"!!!"),"NEW","")))</f>
        <v> </v>
      </c>
      <c r="G2057" s="23" t="str">
        <f>IF(OR(E2057="",E2057="!!!"),"",IF(OR(J2057=0,AND(J2057=1,K2057=1),AND(J2057=1,I2057="SBJ"),AND(J2057=1,I2057=0)),"?IN_FOCUS",IF(J2057&lt;=2,"?ACTIVATED",IF(J2057&lt;&gt;"","?FAMILIAR",IF(F2057="NEW",IF(ISNA(VLOOKUP(E2057,#REF!,1,FALSE())),"?TYPE_IDENTIFIABLE","?REFERENTIAL"),"_")))))</f>
        <v> </v>
      </c>
      <c r="H2057" s="24" t="str">
        <f>IF(J2057&lt;&gt;1,"",IF(I2057="SBJ","CB","?"))</f>
        <v> </v>
      </c>
      <c r="I2057" s="25" t="str">
        <f>IF(OR(E2057="",E2057="!!!",F2057="NEW"),"",INDEX(B2056:B$2,-1+SUMPRODUCT(MAX(ROW(E2056:E$2)*(E2057=E2056:E$2)))))</f>
        <v> </v>
      </c>
      <c r="J2057" s="25" t="str">
        <f>IF(OR(E2057="",E2057="!!!",F2057="NEW"),"",COUNTBLANK(OFFSET(A$1,,,SUMPRODUCT(MAX(ROW(E$2:E2057)*(E2057=E$2:E2057)))))-COUNTBLANK(OFFSET(A$1,,,SUMPRODUCT(MAX(ROW(E$1:E2056)*(E2=E$1:E2056))))))</f>
        <v> </v>
      </c>
      <c r="K2057" s="25" t="str">
        <f>IF(OR(E2057="",E2057="!!!",F2057="NEW"),"",INDEX(J$1:J2056,SUMPRODUCT(MAX(ROW(E$1:E2056)*(E2057=E$1:E2056)))))</f>
        <v> </v>
      </c>
      <c r="L2057" s="26"/>
    </row>
    <row r="2058" spans="1:12">
      <c r="A2058" s="20" t="s">
        <v>349</v>
      </c>
      <c r="E2058" s="21">
        <f>IF(D2058="?OLD","!!!","")</f>
        <v/>
      </c>
      <c r="F2058" s="22" t="str">
        <f>IF(OR(E2058="",E2058="!!!"),"",IF(NOT(ISNA(VLOOKUP(E2058,E$1:E2057,1,FALSE()))),"OLD",IF(AND(E2058&lt;&gt;"",E2058&lt;&gt;"!!!"),"NEW","")))</f>
        <v> </v>
      </c>
      <c r="G2058" s="23" t="str">
        <f>IF(OR(E2058="",E2058="!!!"),"",IF(OR(J2058=0,AND(J2058=1,K2058=1),AND(J2058=1,I2058="SBJ"),AND(J2058=1,I2058=0)),"?IN_FOCUS",IF(J2058&lt;=2,"?ACTIVATED",IF(J2058&lt;&gt;"","?FAMILIAR",IF(F2058="NEW",IF(ISNA(VLOOKUP(E2058,#REF!,1,FALSE())),"?TYPE_IDENTIFIABLE","?REFERENTIAL"),"_")))))</f>
        <v> </v>
      </c>
      <c r="H2058" s="24" t="str">
        <f>IF(J2058&lt;&gt;1,"",IF(I2058="SBJ","CB","?"))</f>
        <v> </v>
      </c>
      <c r="I2058" s="25" t="str">
        <f>IF(OR(E2058="",E2058="!!!",F2058="NEW"),"",INDEX(B2057:B$2,-1+SUMPRODUCT(MAX(ROW(E2057:E$2)*(E2058=E2057:E$2)))))</f>
        <v> </v>
      </c>
      <c r="J2058" s="25" t="str">
        <f>IF(OR(E2058="",E2058="!!!",F2058="NEW"),"",COUNTBLANK(OFFSET(A$1,,,SUMPRODUCT(MAX(ROW(E$2:E2058)*(E2058=E$2:E2058)))))-COUNTBLANK(OFFSET(A$1,,,SUMPRODUCT(MAX(ROW(E$1:E2057)*(E2=E$1:E2057))))))</f>
        <v> </v>
      </c>
      <c r="K2058" s="25" t="str">
        <f>IF(OR(E2058="",E2058="!!!",F2058="NEW"),"",INDEX(J$1:J2057,SUMPRODUCT(MAX(ROW(E$1:E2057)*(E2058=E$1:E2057)))))</f>
        <v> </v>
      </c>
      <c r="L2058" s="26"/>
    </row>
    <row r="2059" spans="1:12">
      <c r="A2059" s="20" t="s">
        <v>987</v>
      </c>
      <c r="E2059" s="21">
        <f>IF(D2059="?OLD","!!!","")</f>
        <v/>
      </c>
      <c r="F2059" s="22" t="str">
        <f>IF(OR(E2059="",E2059="!!!"),"",IF(NOT(ISNA(VLOOKUP(E2059,E$1:E2058,1,FALSE()))),"OLD",IF(AND(E2059&lt;&gt;"",E2059&lt;&gt;"!!!"),"NEW","")))</f>
        <v> </v>
      </c>
      <c r="G2059" s="23" t="str">
        <f>IF(OR(E2059="",E2059="!!!"),"",IF(OR(J2059=0,AND(J2059=1,K2059=1),AND(J2059=1,I2059="SBJ"),AND(J2059=1,I2059=0)),"?IN_FOCUS",IF(J2059&lt;=2,"?ACTIVATED",IF(J2059&lt;&gt;"","?FAMILIAR",IF(F2059="NEW",IF(ISNA(VLOOKUP(E2059,#REF!,1,FALSE())),"?TYPE_IDENTIFIABLE","?REFERENTIAL"),"_")))))</f>
        <v> </v>
      </c>
      <c r="H2059" s="24" t="str">
        <f>IF(J2059&lt;&gt;1,"",IF(I2059="SBJ","CB","?"))</f>
        <v> </v>
      </c>
      <c r="I2059" s="25" t="str">
        <f>IF(OR(E2059="",E2059="!!!",F2059="NEW"),"",INDEX(B2058:B$2,-1+SUMPRODUCT(MAX(ROW(E2058:E$2)*(E2059=E2058:E$2)))))</f>
        <v> </v>
      </c>
      <c r="J2059" s="25" t="str">
        <f>IF(OR(E2059="",E2059="!!!",F2059="NEW"),"",COUNTBLANK(OFFSET(A$1,,,SUMPRODUCT(MAX(ROW(E$2:E2059)*(E2059=E$2:E2059)))))-COUNTBLANK(OFFSET(A$1,,,SUMPRODUCT(MAX(ROW(E$1:E2058)*(E2=E$1:E2058))))))</f>
        <v> </v>
      </c>
      <c r="K2059" s="25" t="str">
        <f>IF(OR(E2059="",E2059="!!!",F2059="NEW"),"",INDEX(J$1:J2058,SUMPRODUCT(MAX(ROW(E$1:E2058)*(E2059=E$1:E2058)))))</f>
        <v> </v>
      </c>
      <c r="L2059" s="26"/>
    </row>
    <row r="2060" spans="1:12">
      <c r="A2060" s="20" t="s">
        <v>354</v>
      </c>
      <c r="B2060" s="27" t="s">
        <v>301</v>
      </c>
      <c r="C2060" s="27" t="s">
        <v>256</v>
      </c>
      <c r="D2060" s="27" t="s">
        <v>244</v>
      </c>
      <c r="E2060" s="21">
        <f>IF(D2060="?OLD","!!!","")</f>
        <v/>
      </c>
      <c r="F2060" s="22" t="str">
        <f>IF(OR(E2060="",E2060="!!!"),"",IF(NOT(ISNA(VLOOKUP(E2060,E$1:E2059,1,FALSE()))),"OLD",IF(AND(E2060&lt;&gt;"",E2060&lt;&gt;"!!!"),"NEW","")))</f>
        <v> </v>
      </c>
      <c r="G2060" s="23" t="str">
        <f>IF(OR(E2060="",E2060="!!!"),"",IF(OR(J2060=0,AND(J2060=1,K2060=1),AND(J2060=1,I2060="SBJ"),AND(J2060=1,I2060=0)),"?IN_FOCUS",IF(J2060&lt;=2,"?ACTIVATED",IF(J2060&lt;&gt;"","?FAMILIAR",IF(F2060="NEW",IF(ISNA(VLOOKUP(E2060,#REF!,1,FALSE())),"?TYPE_IDENTIFIABLE","?REFERENTIAL"),"_")))))</f>
        <v> </v>
      </c>
      <c r="H2060" s="24" t="str">
        <f>IF(J2060&lt;&gt;1,"",IF(I2060="SBJ","CB","?"))</f>
        <v> </v>
      </c>
      <c r="I2060" s="25" t="str">
        <f>IF(OR(E2060="",E2060="!!!",F2060="NEW"),"",INDEX(B2059:B$2,-1+SUMPRODUCT(MAX(ROW(E2059:E$2)*(E2060=E2059:E$2)))))</f>
        <v> </v>
      </c>
      <c r="J2060" s="25" t="str">
        <f>IF(OR(E2060="",E2060="!!!",F2060="NEW"),"",COUNTBLANK(OFFSET(A$1,,,SUMPRODUCT(MAX(ROW(E$2:E2060)*(E2060=E$2:E2060)))))-COUNTBLANK(OFFSET(A$1,,,SUMPRODUCT(MAX(ROW(E$1:E2059)*(E2=E$1:E2059))))))</f>
        <v> </v>
      </c>
      <c r="K2060" s="25" t="str">
        <f>IF(OR(E2060="",E2060="!!!",F2060="NEW"),"",INDEX(J$1:J2059,SUMPRODUCT(MAX(ROW(E$1:E2059)*(E2060=E$1:E2059)))))</f>
        <v> </v>
      </c>
      <c r="L2060" s="26"/>
    </row>
    <row r="2061" spans="1:12">
      <c r="A2061" s="20" t="s">
        <v>260</v>
      </c>
      <c r="E2061" s="21">
        <f>IF(D2061="?OLD","!!!","")</f>
        <v/>
      </c>
      <c r="F2061" s="22" t="str">
        <f>IF(OR(E2061="",E2061="!!!"),"",IF(NOT(ISNA(VLOOKUP(E2061,E$1:E2060,1,FALSE()))),"OLD",IF(AND(E2061&lt;&gt;"",E2061&lt;&gt;"!!!"),"NEW","")))</f>
        <v> </v>
      </c>
      <c r="G2061" s="23" t="str">
        <f>IF(OR(E2061="",E2061="!!!"),"",IF(OR(J2061=0,AND(J2061=1,K2061=1),AND(J2061=1,I2061="SBJ"),AND(J2061=1,I2061=0)),"?IN_FOCUS",IF(J2061&lt;=2,"?ACTIVATED",IF(J2061&lt;&gt;"","?FAMILIAR",IF(F2061="NEW",IF(ISNA(VLOOKUP(E2061,#REF!,1,FALSE())),"?TYPE_IDENTIFIABLE","?REFERENTIAL"),"_")))))</f>
        <v> </v>
      </c>
      <c r="H2061" s="24" t="str">
        <f>IF(J2061&lt;&gt;1,"",IF(I2061="SBJ","CB","?"))</f>
        <v> </v>
      </c>
      <c r="I2061" s="25" t="str">
        <f>IF(OR(E2061="",E2061="!!!",F2061="NEW"),"",INDEX(B2060:B$2,-1+SUMPRODUCT(MAX(ROW(E2060:E$2)*(E2061=E2060:E$2)))))</f>
        <v> </v>
      </c>
      <c r="J2061" s="25" t="str">
        <f>IF(OR(E2061="",E2061="!!!",F2061="NEW"),"",COUNTBLANK(OFFSET(A$1,,,SUMPRODUCT(MAX(ROW(E$2:E2061)*(E2061=E$2:E2061)))))-COUNTBLANK(OFFSET(A$1,,,SUMPRODUCT(MAX(ROW(E$1:E2060)*(E2=E$1:E2060))))))</f>
        <v> </v>
      </c>
      <c r="K2061" s="25" t="str">
        <f>IF(OR(E2061="",E2061="!!!",F2061="NEW"),"",INDEX(J$1:J2060,SUMPRODUCT(MAX(ROW(E$1:E2060)*(E2061=E$1:E2060)))))</f>
        <v> </v>
      </c>
      <c r="L2061" s="26"/>
    </row>
    <row r="2062" spans="1:12">
      <c r="A2062" s="20" t="s">
        <v>661</v>
      </c>
      <c r="B2062" s="27" t="s">
        <v>266</v>
      </c>
      <c r="C2062" s="27" t="s">
        <v>256</v>
      </c>
      <c r="D2062" s="27" t="s">
        <v>244</v>
      </c>
      <c r="E2062" s="21">
        <f>IF(D2062="?OLD","!!!","")</f>
        <v/>
      </c>
      <c r="F2062" s="22" t="str">
        <f>IF(OR(E2062="",E2062="!!!"),"",IF(NOT(ISNA(VLOOKUP(E2062,E$1:E2061,1,FALSE()))),"OLD",IF(AND(E2062&lt;&gt;"",E2062&lt;&gt;"!!!"),"NEW","")))</f>
        <v> </v>
      </c>
      <c r="G2062" s="23" t="str">
        <f>IF(OR(E2062="",E2062="!!!"),"",IF(OR(J2062=0,AND(J2062=1,K2062=1),AND(J2062=1,I2062="SBJ"),AND(J2062=1,I2062=0)),"?IN_FOCUS",IF(J2062&lt;=2,"?ACTIVATED",IF(J2062&lt;&gt;"","?FAMILIAR",IF(F2062="NEW",IF(ISNA(VLOOKUP(E2062,#REF!,1,FALSE())),"?TYPE_IDENTIFIABLE","?REFERENTIAL"),"_")))))</f>
        <v> </v>
      </c>
      <c r="H2062" s="24" t="str">
        <f>IF(J2062&lt;&gt;1,"",IF(I2062="SBJ","CB","?"))</f>
        <v> </v>
      </c>
      <c r="I2062" s="25" t="str">
        <f>IF(OR(E2062="",E2062="!!!",F2062="NEW"),"",INDEX(B2061:B$2,-1+SUMPRODUCT(MAX(ROW(E2061:E$2)*(E2062=E2061:E$2)))))</f>
        <v> </v>
      </c>
      <c r="J2062" s="25" t="str">
        <f>IF(OR(E2062="",E2062="!!!",F2062="NEW"),"",COUNTBLANK(OFFSET(A$1,,,SUMPRODUCT(MAX(ROW(E$2:E2062)*(E2062=E$2:E2062)))))-COUNTBLANK(OFFSET(A$1,,,SUMPRODUCT(MAX(ROW(E$1:E2061)*(E2=E$1:E2061))))))</f>
        <v> </v>
      </c>
      <c r="K2062" s="25" t="str">
        <f>IF(OR(E2062="",E2062="!!!",F2062="NEW"),"",INDEX(J$1:J2061,SUMPRODUCT(MAX(ROW(E$1:E2061)*(E2062=E$1:E2061)))))</f>
        <v> </v>
      </c>
      <c r="L2062" s="26"/>
    </row>
    <row r="2063" spans="1:12">
      <c r="A2063" s="20" t="s">
        <v>988</v>
      </c>
      <c r="E2063" s="21">
        <f>IF(D2063="?OLD","!!!","")</f>
        <v/>
      </c>
      <c r="F2063" s="22" t="str">
        <f>IF(OR(E2063="",E2063="!!!"),"",IF(NOT(ISNA(VLOOKUP(E2063,E$1:E2062,1,FALSE()))),"OLD",IF(AND(E2063&lt;&gt;"",E2063&lt;&gt;"!!!"),"NEW","")))</f>
        <v> </v>
      </c>
      <c r="G2063" s="23" t="str">
        <f>IF(OR(E2063="",E2063="!!!"),"",IF(OR(J2063=0,AND(J2063=1,K2063=1),AND(J2063=1,I2063="SBJ"),AND(J2063=1,I2063=0)),"?IN_FOCUS",IF(J2063&lt;=2,"?ACTIVATED",IF(J2063&lt;&gt;"","?FAMILIAR",IF(F2063="NEW",IF(ISNA(VLOOKUP(E2063,#REF!,1,FALSE())),"?TYPE_IDENTIFIABLE","?REFERENTIAL"),"_")))))</f>
        <v> </v>
      </c>
      <c r="H2063" s="24" t="str">
        <f>IF(J2063&lt;&gt;1,"",IF(I2063="SBJ","CB","?"))</f>
        <v> </v>
      </c>
      <c r="I2063" s="25" t="str">
        <f>IF(OR(E2063="",E2063="!!!",F2063="NEW"),"",INDEX(B2062:B$2,-1+SUMPRODUCT(MAX(ROW(E2062:E$2)*(E2063=E2062:E$2)))))</f>
        <v> </v>
      </c>
      <c r="J2063" s="25" t="str">
        <f>IF(OR(E2063="",E2063="!!!",F2063="NEW"),"",COUNTBLANK(OFFSET(A$1,,,SUMPRODUCT(MAX(ROW(E$2:E2063)*(E2063=E$2:E2063)))))-COUNTBLANK(OFFSET(A$1,,,SUMPRODUCT(MAX(ROW(E$1:E2062)*(E2=E$1:E2062))))))</f>
        <v> </v>
      </c>
      <c r="K2063" s="25" t="str">
        <f>IF(OR(E2063="",E2063="!!!",F2063="NEW"),"",INDEX(J$1:J2062,SUMPRODUCT(MAX(ROW(E$1:E2062)*(E2063=E$1:E2062)))))</f>
        <v> </v>
      </c>
      <c r="L2063" s="26"/>
    </row>
    <row r="2064" spans="1:12">
      <c r="A2064" s="20" t="s">
        <v>661</v>
      </c>
      <c r="B2064" s="27" t="s">
        <v>329</v>
      </c>
      <c r="C2064" s="27" t="s">
        <v>256</v>
      </c>
      <c r="D2064" s="27" t="s">
        <v>244</v>
      </c>
      <c r="E2064" s="21">
        <f>IF(D2064="?OLD","!!!","")</f>
        <v/>
      </c>
      <c r="F2064" s="22" t="str">
        <f>IF(OR(E2064="",E2064="!!!"),"",IF(NOT(ISNA(VLOOKUP(E2064,E$1:E2063,1,FALSE()))),"OLD",IF(AND(E2064&lt;&gt;"",E2064&lt;&gt;"!!!"),"NEW","")))</f>
        <v> </v>
      </c>
      <c r="G2064" s="23" t="str">
        <f>IF(OR(E2064="",E2064="!!!"),"",IF(OR(J2064=0,AND(J2064=1,K2064=1),AND(J2064=1,I2064="SBJ"),AND(J2064=1,I2064=0)),"?IN_FOCUS",IF(J2064&lt;=2,"?ACTIVATED",IF(J2064&lt;&gt;"","?FAMILIAR",IF(F2064="NEW",IF(ISNA(VLOOKUP(E2064,#REF!,1,FALSE())),"?TYPE_IDENTIFIABLE","?REFERENTIAL"),"_")))))</f>
        <v> </v>
      </c>
      <c r="H2064" s="24" t="str">
        <f>IF(J2064&lt;&gt;1,"",IF(I2064="SBJ","CB","?"))</f>
        <v> </v>
      </c>
      <c r="I2064" s="25" t="str">
        <f>IF(OR(E2064="",E2064="!!!",F2064="NEW"),"",INDEX(B2063:B$2,-1+SUMPRODUCT(MAX(ROW(E2063:E$2)*(E2064=E2063:E$2)))))</f>
        <v> </v>
      </c>
      <c r="J2064" s="25" t="str">
        <f>IF(OR(E2064="",E2064="!!!",F2064="NEW"),"",COUNTBLANK(OFFSET(A$1,,,SUMPRODUCT(MAX(ROW(E$2:E2064)*(E2064=E$2:E2064)))))-COUNTBLANK(OFFSET(A$1,,,SUMPRODUCT(MAX(ROW(E$1:E2063)*(E2=E$1:E2063))))))</f>
        <v> </v>
      </c>
      <c r="K2064" s="25" t="str">
        <f>IF(OR(E2064="",E2064="!!!",F2064="NEW"),"",INDEX(J$1:J2063,SUMPRODUCT(MAX(ROW(E$1:E2063)*(E2064=E$1:E2063)))))</f>
        <v> </v>
      </c>
      <c r="L2064" s="26"/>
    </row>
    <row r="2065" spans="1:12">
      <c r="A2065" s="20" t="s">
        <v>268</v>
      </c>
      <c r="E2065" s="21">
        <f>IF(D2065="?OLD","!!!","")</f>
        <v/>
      </c>
      <c r="F2065" s="22" t="str">
        <f>IF(OR(E2065="",E2065="!!!"),"",IF(NOT(ISNA(VLOOKUP(E2065,E$1:E2064,1,FALSE()))),"OLD",IF(AND(E2065&lt;&gt;"",E2065&lt;&gt;"!!!"),"NEW","")))</f>
        <v> </v>
      </c>
      <c r="G2065" s="23" t="str">
        <f>IF(OR(E2065="",E2065="!!!"),"",IF(OR(J2065=0,AND(J2065=1,K2065=1),AND(J2065=1,I2065="SBJ"),AND(J2065=1,I2065=0)),"?IN_FOCUS",IF(J2065&lt;=2,"?ACTIVATED",IF(J2065&lt;&gt;"","?FAMILIAR",IF(F2065="NEW",IF(ISNA(VLOOKUP(E2065,#REF!,1,FALSE())),"?TYPE_IDENTIFIABLE","?REFERENTIAL"),"_")))))</f>
        <v> </v>
      </c>
      <c r="H2065" s="24" t="str">
        <f>IF(J2065&lt;&gt;1,"",IF(I2065="SBJ","CB","?"))</f>
        <v> </v>
      </c>
      <c r="I2065" s="25" t="str">
        <f>IF(OR(E2065="",E2065="!!!",F2065="NEW"),"",INDEX(B2064:B$2,-1+SUMPRODUCT(MAX(ROW(E2064:E$2)*(E2065=E2064:E$2)))))</f>
        <v> </v>
      </c>
      <c r="J2065" s="25" t="str">
        <f>IF(OR(E2065="",E2065="!!!",F2065="NEW"),"",COUNTBLANK(OFFSET(A$1,,,SUMPRODUCT(MAX(ROW(E$2:E2065)*(E2065=E$2:E2065)))))-COUNTBLANK(OFFSET(A$1,,,SUMPRODUCT(MAX(ROW(E$1:E2064)*(E2=E$1:E2064))))))</f>
        <v> </v>
      </c>
      <c r="K2065" s="25" t="str">
        <f>IF(OR(E2065="",E2065="!!!",F2065="NEW"),"",INDEX(J$1:J2064,SUMPRODUCT(MAX(ROW(E$1:E2064)*(E2065=E$1:E2064)))))</f>
        <v> </v>
      </c>
      <c r="L2065" s="26"/>
    </row>
    <row r="2066" spans="1:12">
      <c r="A2066" s="20" t="s">
        <v>989</v>
      </c>
      <c r="E2066" s="21">
        <f>IF(D2066="?OLD","!!!","")</f>
        <v/>
      </c>
      <c r="F2066" s="22" t="str">
        <f>IF(OR(E2066="",E2066="!!!"),"",IF(NOT(ISNA(VLOOKUP(E2066,E$1:E2065,1,FALSE()))),"OLD",IF(AND(E2066&lt;&gt;"",E2066&lt;&gt;"!!!"),"NEW","")))</f>
        <v> </v>
      </c>
      <c r="G2066" s="23" t="str">
        <f>IF(OR(E2066="",E2066="!!!"),"",IF(OR(J2066=0,AND(J2066=1,K2066=1),AND(J2066=1,I2066="SBJ"),AND(J2066=1,I2066=0)),"?IN_FOCUS",IF(J2066&lt;=2,"?ACTIVATED",IF(J2066&lt;&gt;"","?FAMILIAR",IF(F2066="NEW",IF(ISNA(VLOOKUP(E2066,#REF!,1,FALSE())),"?TYPE_IDENTIFIABLE","?REFERENTIAL"),"_")))))</f>
        <v> </v>
      </c>
      <c r="H2066" s="24" t="str">
        <f>IF(J2066&lt;&gt;1,"",IF(I2066="SBJ","CB","?"))</f>
        <v> </v>
      </c>
      <c r="I2066" s="25" t="str">
        <f>IF(OR(E2066="",E2066="!!!",F2066="NEW"),"",INDEX(B2065:B$2,-1+SUMPRODUCT(MAX(ROW(E2065:E$2)*(E2066=E2065:E$2)))))</f>
        <v> </v>
      </c>
      <c r="J2066" s="25" t="str">
        <f>IF(OR(E2066="",E2066="!!!",F2066="NEW"),"",COUNTBLANK(OFFSET(A$1,,,SUMPRODUCT(MAX(ROW(E$2:E2066)*(E2066=E$2:E2066)))))-COUNTBLANK(OFFSET(A$1,,,SUMPRODUCT(MAX(ROW(E$1:E2065)*(E2=E$1:E2065))))))</f>
        <v> </v>
      </c>
      <c r="K2066" s="25" t="str">
        <f>IF(OR(E2066="",E2066="!!!",F2066="NEW"),"",INDEX(J$1:J2065,SUMPRODUCT(MAX(ROW(E$1:E2065)*(E2066=E$1:E2065)))))</f>
        <v> </v>
      </c>
      <c r="L2066" s="26"/>
    </row>
    <row r="2067" spans="1:12">
      <c r="A2067" s="20" t="s">
        <v>688</v>
      </c>
      <c r="B2067" s="27" t="s">
        <v>423</v>
      </c>
      <c r="E2067" s="21">
        <f>IF(D2067="?OLD","!!!","")</f>
        <v/>
      </c>
      <c r="F2067" s="22" t="str">
        <f>IF(OR(E2067="",E2067="!!!"),"",IF(NOT(ISNA(VLOOKUP(E2067,E$1:E2066,1,FALSE()))),"OLD",IF(AND(E2067&lt;&gt;"",E2067&lt;&gt;"!!!"),"NEW","")))</f>
        <v> </v>
      </c>
      <c r="G2067" s="23" t="str">
        <f>IF(OR(E2067="",E2067="!!!"),"",IF(OR(J2067=0,AND(J2067=1,K2067=1),AND(J2067=1,I2067="SBJ"),AND(J2067=1,I2067=0)),"?IN_FOCUS",IF(J2067&lt;=2,"?ACTIVATED",IF(J2067&lt;&gt;"","?FAMILIAR",IF(F2067="NEW",IF(ISNA(VLOOKUP(E2067,#REF!,1,FALSE())),"?TYPE_IDENTIFIABLE","?REFERENTIAL"),"_")))))</f>
        <v> </v>
      </c>
      <c r="H2067" s="24" t="str">
        <f>IF(J2067&lt;&gt;1,"",IF(I2067="SBJ","CB","?"))</f>
        <v> </v>
      </c>
      <c r="I2067" s="25" t="str">
        <f>IF(OR(E2067="",E2067="!!!",F2067="NEW"),"",INDEX(B2066:B$2,-1+SUMPRODUCT(MAX(ROW(E2066:E$2)*(E2067=E2066:E$2)))))</f>
        <v> </v>
      </c>
      <c r="J2067" s="25" t="str">
        <f>IF(OR(E2067="",E2067="!!!",F2067="NEW"),"",COUNTBLANK(OFFSET(A$1,,,SUMPRODUCT(MAX(ROW(E$2:E2067)*(E2067=E$2:E2067)))))-COUNTBLANK(OFFSET(A$1,,,SUMPRODUCT(MAX(ROW(E$1:E2066)*(E2=E$1:E2066))))))</f>
        <v> </v>
      </c>
      <c r="K2067" s="25" t="str">
        <f>IF(OR(E2067="",E2067="!!!",F2067="NEW"),"",INDEX(J$1:J2066,SUMPRODUCT(MAX(ROW(E$1:E2066)*(E2067=E$1:E2066)))))</f>
        <v> </v>
      </c>
      <c r="L2067" s="26"/>
    </row>
    <row r="2068" spans="1:12">
      <c r="A2068" s="20" t="s">
        <v>990</v>
      </c>
      <c r="E2068" s="21">
        <f>IF(D2068="?OLD","!!!","")</f>
        <v/>
      </c>
      <c r="F2068" s="22" t="str">
        <f>IF(OR(E2068="",E2068="!!!"),"",IF(NOT(ISNA(VLOOKUP(E2068,E$1:E2067,1,FALSE()))),"OLD",IF(AND(E2068&lt;&gt;"",E2068&lt;&gt;"!!!"),"NEW","")))</f>
        <v> </v>
      </c>
      <c r="G2068" s="23" t="str">
        <f>IF(OR(E2068="",E2068="!!!"),"",IF(OR(J2068=0,AND(J2068=1,K2068=1),AND(J2068=1,I2068="SBJ"),AND(J2068=1,I2068=0)),"?IN_FOCUS",IF(J2068&lt;=2,"?ACTIVATED",IF(J2068&lt;&gt;"","?FAMILIAR",IF(F2068="NEW",IF(ISNA(VLOOKUP(E2068,#REF!,1,FALSE())),"?TYPE_IDENTIFIABLE","?REFERENTIAL"),"_")))))</f>
        <v> </v>
      </c>
      <c r="H2068" s="24" t="str">
        <f>IF(J2068&lt;&gt;1,"",IF(I2068="SBJ","CB","?"))</f>
        <v> </v>
      </c>
      <c r="I2068" s="25" t="str">
        <f>IF(OR(E2068="",E2068="!!!",F2068="NEW"),"",INDEX(B2067:B$2,-1+SUMPRODUCT(MAX(ROW(E2067:E$2)*(E2068=E2067:E$2)))))</f>
        <v> </v>
      </c>
      <c r="J2068" s="25" t="str">
        <f>IF(OR(E2068="",E2068="!!!",F2068="NEW"),"",COUNTBLANK(OFFSET(A$1,,,SUMPRODUCT(MAX(ROW(E$2:E2068)*(E2068=E$2:E2068)))))-COUNTBLANK(OFFSET(A$1,,,SUMPRODUCT(MAX(ROW(E$1:E2067)*(E2=E$1:E2067))))))</f>
        <v> </v>
      </c>
      <c r="K2068" s="25" t="str">
        <f>IF(OR(E2068="",E2068="!!!",F2068="NEW"),"",INDEX(J$1:J2067,SUMPRODUCT(MAX(ROW(E$1:E2067)*(E2068=E$1:E2067)))))</f>
        <v> </v>
      </c>
      <c r="L2068" s="26"/>
    </row>
    <row r="2069" spans="1:12">
      <c r="A2069" s="20" t="s">
        <v>349</v>
      </c>
      <c r="E2069" s="21">
        <f>IF(D2069="?OLD","!!!","")</f>
        <v/>
      </c>
      <c r="F2069" s="22" t="str">
        <f>IF(OR(E2069="",E2069="!!!"),"",IF(NOT(ISNA(VLOOKUP(E2069,E$1:E2068,1,FALSE()))),"OLD",IF(AND(E2069&lt;&gt;"",E2069&lt;&gt;"!!!"),"NEW","")))</f>
        <v> </v>
      </c>
      <c r="G2069" s="23" t="str">
        <f>IF(OR(E2069="",E2069="!!!"),"",IF(OR(J2069=0,AND(J2069=1,K2069=1),AND(J2069=1,I2069="SBJ"),AND(J2069=1,I2069=0)),"?IN_FOCUS",IF(J2069&lt;=2,"?ACTIVATED",IF(J2069&lt;&gt;"","?FAMILIAR",IF(F2069="NEW",IF(ISNA(VLOOKUP(E2069,#REF!,1,FALSE())),"?TYPE_IDENTIFIABLE","?REFERENTIAL"),"_")))))</f>
        <v> </v>
      </c>
      <c r="H2069" s="24" t="str">
        <f>IF(J2069&lt;&gt;1,"",IF(I2069="SBJ","CB","?"))</f>
        <v> </v>
      </c>
      <c r="I2069" s="25" t="str">
        <f>IF(OR(E2069="",E2069="!!!",F2069="NEW"),"",INDEX(B2068:B$2,-1+SUMPRODUCT(MAX(ROW(E2068:E$2)*(E2069=E2068:E$2)))))</f>
        <v> </v>
      </c>
      <c r="J2069" s="25" t="str">
        <f>IF(OR(E2069="",E2069="!!!",F2069="NEW"),"",COUNTBLANK(OFFSET(A$1,,,SUMPRODUCT(MAX(ROW(E$2:E2069)*(E2069=E$2:E2069)))))-COUNTBLANK(OFFSET(A$1,,,SUMPRODUCT(MAX(ROW(E$1:E2068)*(E2=E$1:E2068))))))</f>
        <v> </v>
      </c>
      <c r="K2069" s="25" t="str">
        <f>IF(OR(E2069="",E2069="!!!",F2069="NEW"),"",INDEX(J$1:J2068,SUMPRODUCT(MAX(ROW(E$1:E2068)*(E2069=E$1:E2068)))))</f>
        <v> </v>
      </c>
      <c r="L2069" s="26"/>
    </row>
    <row r="2070" spans="1:12">
      <c r="A2070" s="20" t="s">
        <v>277</v>
      </c>
      <c r="E2070" s="21">
        <f>IF(D2070="?OLD","!!!","")</f>
        <v/>
      </c>
      <c r="F2070" s="22" t="str">
        <f>IF(OR(E2070="",E2070="!!!"),"",IF(NOT(ISNA(VLOOKUP(E2070,E$1:E2069,1,FALSE()))),"OLD",IF(AND(E2070&lt;&gt;"",E2070&lt;&gt;"!!!"),"NEW","")))</f>
        <v> </v>
      </c>
      <c r="G2070" s="23" t="str">
        <f>IF(OR(E2070="",E2070="!!!"),"",IF(OR(J2070=0,AND(J2070=1,K2070=1),AND(J2070=1,I2070="SBJ"),AND(J2070=1,I2070=0)),"?IN_FOCUS",IF(J2070&lt;=2,"?ACTIVATED",IF(J2070&lt;&gt;"","?FAMILIAR",IF(F2070="NEW",IF(ISNA(VLOOKUP(E2070,#REF!,1,FALSE())),"?TYPE_IDENTIFIABLE","?REFERENTIAL"),"_")))))</f>
        <v> </v>
      </c>
      <c r="H2070" s="24" t="str">
        <f>IF(J2070&lt;&gt;1,"",IF(I2070="SBJ","CB","?"))</f>
        <v> </v>
      </c>
      <c r="I2070" s="25" t="str">
        <f>IF(OR(E2070="",E2070="!!!",F2070="NEW"),"",INDEX(B2069:B$2,-1+SUMPRODUCT(MAX(ROW(E2069:E$2)*(E2070=E2069:E$2)))))</f>
        <v> </v>
      </c>
      <c r="J2070" s="25" t="str">
        <f>IF(OR(E2070="",E2070="!!!",F2070="NEW"),"",COUNTBLANK(OFFSET(A$1,,,SUMPRODUCT(MAX(ROW(E$2:E2070)*(E2070=E$2:E2070)))))-COUNTBLANK(OFFSET(A$1,,,SUMPRODUCT(MAX(ROW(E$1:E2069)*(E2=E$1:E2069))))))</f>
        <v> </v>
      </c>
      <c r="K2070" s="25" t="str">
        <f>IF(OR(E2070="",E2070="!!!",F2070="NEW"),"",INDEX(J$1:J2069,SUMPRODUCT(MAX(ROW(E$1:E2069)*(E2070=E$1:E2069)))))</f>
        <v> </v>
      </c>
      <c r="L2070" s="26"/>
    </row>
    <row r="2071" spans="1:12">
      <c r="A2071" s="20" t="s">
        <v>991</v>
      </c>
      <c r="E2071" s="21">
        <f>IF(D2071="?OLD","!!!","")</f>
        <v/>
      </c>
      <c r="F2071" s="22" t="str">
        <f>IF(OR(E2071="",E2071="!!!"),"",IF(NOT(ISNA(VLOOKUP(E2071,E$1:E2070,1,FALSE()))),"OLD",IF(AND(E2071&lt;&gt;"",E2071&lt;&gt;"!!!"),"NEW","")))</f>
        <v> </v>
      </c>
      <c r="G2071" s="23" t="str">
        <f>IF(OR(E2071="",E2071="!!!"),"",IF(OR(J2071=0,AND(J2071=1,K2071=1),AND(J2071=1,I2071="SBJ"),AND(J2071=1,I2071=0)),"?IN_FOCUS",IF(J2071&lt;=2,"?ACTIVATED",IF(J2071&lt;&gt;"","?FAMILIAR",IF(F2071="NEW",IF(ISNA(VLOOKUP(E2071,#REF!,1,FALSE())),"?TYPE_IDENTIFIABLE","?REFERENTIAL"),"_")))))</f>
        <v> </v>
      </c>
      <c r="H2071" s="24" t="str">
        <f>IF(J2071&lt;&gt;1,"",IF(I2071="SBJ","CB","?"))</f>
        <v> </v>
      </c>
      <c r="I2071" s="25" t="str">
        <f>IF(OR(E2071="",E2071="!!!",F2071="NEW"),"",INDEX(B2070:B$2,-1+SUMPRODUCT(MAX(ROW(E2070:E$2)*(E2071=E2070:E$2)))))</f>
        <v> </v>
      </c>
      <c r="J2071" s="25" t="str">
        <f>IF(OR(E2071="",E2071="!!!",F2071="NEW"),"",COUNTBLANK(OFFSET(A$1,,,SUMPRODUCT(MAX(ROW(E$2:E2071)*(E2071=E$2:E2071)))))-COUNTBLANK(OFFSET(A$1,,,SUMPRODUCT(MAX(ROW(E$1:E2070)*(E2=E$1:E2070))))))</f>
        <v> </v>
      </c>
      <c r="K2071" s="25" t="str">
        <f>IF(OR(E2071="",E2071="!!!",F2071="NEW"),"",INDEX(J$1:J2070,SUMPRODUCT(MAX(ROW(E$1:E2070)*(E2071=E$1:E2070)))))</f>
        <v> </v>
      </c>
      <c r="L2071" s="26"/>
    </row>
    <row r="2072" spans="1:12">
      <c r="A2072" s="20" t="s">
        <v>305</v>
      </c>
      <c r="E2072" s="21">
        <f>IF(D2072="?OLD","!!!","")</f>
        <v/>
      </c>
      <c r="F2072" s="22" t="str">
        <f>IF(OR(E2072="",E2072="!!!"),"",IF(NOT(ISNA(VLOOKUP(E2072,E$1:E2071,1,FALSE()))),"OLD",IF(AND(E2072&lt;&gt;"",E2072&lt;&gt;"!!!"),"NEW","")))</f>
        <v> </v>
      </c>
      <c r="G2072" s="23" t="str">
        <f>IF(OR(E2072="",E2072="!!!"),"",IF(OR(J2072=0,AND(J2072=1,K2072=1),AND(J2072=1,I2072="SBJ"),AND(J2072=1,I2072=0)),"?IN_FOCUS",IF(J2072&lt;=2,"?ACTIVATED",IF(J2072&lt;&gt;"","?FAMILIAR",IF(F2072="NEW",IF(ISNA(VLOOKUP(E2072,#REF!,1,FALSE())),"?TYPE_IDENTIFIABLE","?REFERENTIAL"),"_")))))</f>
        <v> </v>
      </c>
      <c r="H2072" s="24" t="str">
        <f>IF(J2072&lt;&gt;1,"",IF(I2072="SBJ","CB","?"))</f>
        <v> </v>
      </c>
      <c r="I2072" s="25" t="str">
        <f>IF(OR(E2072="",E2072="!!!",F2072="NEW"),"",INDEX(B2071:B$2,-1+SUMPRODUCT(MAX(ROW(E2071:E$2)*(E2072=E2071:E$2)))))</f>
        <v> </v>
      </c>
      <c r="J2072" s="25" t="str">
        <f>IF(OR(E2072="",E2072="!!!",F2072="NEW"),"",COUNTBLANK(OFFSET(A$1,,,SUMPRODUCT(MAX(ROW(E$2:E2072)*(E2072=E$2:E2072)))))-COUNTBLANK(OFFSET(A$1,,,SUMPRODUCT(MAX(ROW(E$1:E2071)*(E2=E$1:E2071))))))</f>
        <v> </v>
      </c>
      <c r="K2072" s="25" t="str">
        <f>IF(OR(E2072="",E2072="!!!",F2072="NEW"),"",INDEX(J$1:J2071,SUMPRODUCT(MAX(ROW(E$1:E2071)*(E2072=E$1:E2071)))))</f>
        <v> </v>
      </c>
      <c r="L2072" s="26"/>
    </row>
    <row r="2073" spans="1:12">
      <c r="A2073" s="20" t="s">
        <v>646</v>
      </c>
      <c r="E2073" s="21">
        <f>IF(D2073="?OLD","!!!","")</f>
        <v/>
      </c>
      <c r="F2073" s="22" t="str">
        <f>IF(OR(E2073="",E2073="!!!"),"",IF(NOT(ISNA(VLOOKUP(E2073,E$1:E2072,1,FALSE()))),"OLD",IF(AND(E2073&lt;&gt;"",E2073&lt;&gt;"!!!"),"NEW","")))</f>
        <v> </v>
      </c>
      <c r="G2073" s="23" t="str">
        <f>IF(OR(E2073="",E2073="!!!"),"",IF(OR(J2073=0,AND(J2073=1,K2073=1),AND(J2073=1,I2073="SBJ"),AND(J2073=1,I2073=0)),"?IN_FOCUS",IF(J2073&lt;=2,"?ACTIVATED",IF(J2073&lt;&gt;"","?FAMILIAR",IF(F2073="NEW",IF(ISNA(VLOOKUP(E2073,#REF!,1,FALSE())),"?TYPE_IDENTIFIABLE","?REFERENTIAL"),"_")))))</f>
        <v> </v>
      </c>
      <c r="H2073" s="24" t="str">
        <f>IF(J2073&lt;&gt;1,"",IF(I2073="SBJ","CB","?"))</f>
        <v> </v>
      </c>
      <c r="I2073" s="25" t="str">
        <f>IF(OR(E2073="",E2073="!!!",F2073="NEW"),"",INDEX(B2072:B$2,-1+SUMPRODUCT(MAX(ROW(E2072:E$2)*(E2073=E2072:E$2)))))</f>
        <v> </v>
      </c>
      <c r="J2073" s="25" t="str">
        <f>IF(OR(E2073="",E2073="!!!",F2073="NEW"),"",COUNTBLANK(OFFSET(A$1,,,SUMPRODUCT(MAX(ROW(E$2:E2073)*(E2073=E$2:E2073)))))-COUNTBLANK(OFFSET(A$1,,,SUMPRODUCT(MAX(ROW(E$1:E2072)*(E2=E$1:E2072))))))</f>
        <v> </v>
      </c>
      <c r="K2073" s="25" t="str">
        <f>IF(OR(E2073="",E2073="!!!",F2073="NEW"),"",INDEX(J$1:J2072,SUMPRODUCT(MAX(ROW(E$1:E2072)*(E2073=E$1:E2072)))))</f>
        <v> </v>
      </c>
      <c r="L2073" s="26"/>
    </row>
    <row r="2074" spans="1:12">
      <c r="A2074" s="20" t="s">
        <v>992</v>
      </c>
      <c r="B2074" s="27" t="s">
        <v>262</v>
      </c>
      <c r="C2074" s="27" t="s">
        <v>279</v>
      </c>
      <c r="E2074" s="21">
        <f>IF(D2074="?OLD","!!!","")</f>
        <v/>
      </c>
      <c r="F2074" s="22" t="str">
        <f>IF(OR(E2074="",E2074="!!!"),"",IF(NOT(ISNA(VLOOKUP(E2074,E$1:E2073,1,FALSE()))),"OLD",IF(AND(E2074&lt;&gt;"",E2074&lt;&gt;"!!!"),"NEW","")))</f>
        <v> </v>
      </c>
      <c r="G2074" s="23" t="str">
        <f>IF(OR(E2074="",E2074="!!!"),"",IF(OR(J2074=0,AND(J2074=1,K2074=1),AND(J2074=1,I2074="SBJ"),AND(J2074=1,I2074=0)),"?IN_FOCUS",IF(J2074&lt;=2,"?ACTIVATED",IF(J2074&lt;&gt;"","?FAMILIAR",IF(F2074="NEW",IF(ISNA(VLOOKUP(E2074,#REF!,1,FALSE())),"?TYPE_IDENTIFIABLE","?REFERENTIAL"),"_")))))</f>
        <v> </v>
      </c>
      <c r="H2074" s="24" t="str">
        <f>IF(J2074&lt;&gt;1,"",IF(I2074="SBJ","CB","?"))</f>
        <v> </v>
      </c>
      <c r="I2074" s="25" t="str">
        <f>IF(OR(E2074="",E2074="!!!",F2074="NEW"),"",INDEX(B2073:B$2,-1+SUMPRODUCT(MAX(ROW(E2073:E$2)*(E2074=E2073:E$2)))))</f>
        <v> </v>
      </c>
      <c r="J2074" s="25" t="str">
        <f>IF(OR(E2074="",E2074="!!!",F2074="NEW"),"",COUNTBLANK(OFFSET(A$1,,,SUMPRODUCT(MAX(ROW(E$2:E2074)*(E2074=E$2:E2074)))))-COUNTBLANK(OFFSET(A$1,,,SUMPRODUCT(MAX(ROW(E$1:E2073)*(E2=E$1:E2073))))))</f>
        <v> </v>
      </c>
      <c r="K2074" s="25" t="str">
        <f>IF(OR(E2074="",E2074="!!!",F2074="NEW"),"",INDEX(J$1:J2073,SUMPRODUCT(MAX(ROW(E$1:E2073)*(E2074=E$1:E2073)))))</f>
        <v> </v>
      </c>
      <c r="L2074" s="26"/>
    </row>
    <row r="2075" spans="1:12">
      <c r="A2075" s="20" t="s">
        <v>260</v>
      </c>
      <c r="B2075" s="27" t="s">
        <v>504</v>
      </c>
      <c r="E2075" s="21">
        <f>IF(D2075="?OLD","!!!","")</f>
        <v/>
      </c>
      <c r="F2075" s="22" t="str">
        <f>IF(OR(E2075="",E2075="!!!"),"",IF(NOT(ISNA(VLOOKUP(E2075,E$1:E2074,1,FALSE()))),"OLD",IF(AND(E2075&lt;&gt;"",E2075&lt;&gt;"!!!"),"NEW","")))</f>
        <v> </v>
      </c>
      <c r="G2075" s="23" t="str">
        <f>IF(OR(E2075="",E2075="!!!"),"",IF(OR(J2075=0,AND(J2075=1,K2075=1),AND(J2075=1,I2075="SBJ"),AND(J2075=1,I2075=0)),"?IN_FOCUS",IF(J2075&lt;=2,"?ACTIVATED",IF(J2075&lt;&gt;"","?FAMILIAR",IF(F2075="NEW",IF(ISNA(VLOOKUP(E2075,#REF!,1,FALSE())),"?TYPE_IDENTIFIABLE","?REFERENTIAL"),"_")))))</f>
        <v> </v>
      </c>
      <c r="H2075" s="24" t="str">
        <f>IF(J2075&lt;&gt;1,"",IF(I2075="SBJ","CB","?"))</f>
        <v> </v>
      </c>
      <c r="I2075" s="25" t="str">
        <f>IF(OR(E2075="",E2075="!!!",F2075="NEW"),"",INDEX(B2074:B$2,-1+SUMPRODUCT(MAX(ROW(E2074:E$2)*(E2075=E2074:E$2)))))</f>
        <v> </v>
      </c>
      <c r="J2075" s="25" t="str">
        <f>IF(OR(E2075="",E2075="!!!",F2075="NEW"),"",COUNTBLANK(OFFSET(A$1,,,SUMPRODUCT(MAX(ROW(E$2:E2075)*(E2075=E$2:E2075)))))-COUNTBLANK(OFFSET(A$1,,,SUMPRODUCT(MAX(ROW(E$1:E2074)*(E2=E$1:E2074))))))</f>
        <v> </v>
      </c>
      <c r="K2075" s="25" t="str">
        <f>IF(OR(E2075="",E2075="!!!",F2075="NEW"),"",INDEX(J$1:J2074,SUMPRODUCT(MAX(ROW(E$1:E2074)*(E2075=E$1:E2074)))))</f>
        <v> </v>
      </c>
      <c r="L2075" s="26"/>
    </row>
    <row r="2076" spans="1:12">
      <c r="A2076" s="20" t="s">
        <v>395</v>
      </c>
      <c r="E2076" s="21">
        <f>IF(D2076="?OLD","!!!","")</f>
        <v/>
      </c>
      <c r="F2076" s="22" t="str">
        <f>IF(OR(E2076="",E2076="!!!"),"",IF(NOT(ISNA(VLOOKUP(E2076,E$1:E2075,1,FALSE()))),"OLD",IF(AND(E2076&lt;&gt;"",E2076&lt;&gt;"!!!"),"NEW","")))</f>
        <v> </v>
      </c>
      <c r="G2076" s="23" t="str">
        <f>IF(OR(E2076="",E2076="!!!"),"",IF(OR(J2076=0,AND(J2076=1,K2076=1),AND(J2076=1,I2076="SBJ"),AND(J2076=1,I2076=0)),"?IN_FOCUS",IF(J2076&lt;=2,"?ACTIVATED",IF(J2076&lt;&gt;"","?FAMILIAR",IF(F2076="NEW",IF(ISNA(VLOOKUP(E2076,#REF!,1,FALSE())),"?TYPE_IDENTIFIABLE","?REFERENTIAL"),"_")))))</f>
        <v> </v>
      </c>
      <c r="H2076" s="24" t="str">
        <f>IF(J2076&lt;&gt;1,"",IF(I2076="SBJ","CB","?"))</f>
        <v> </v>
      </c>
      <c r="I2076" s="25" t="str">
        <f>IF(OR(E2076="",E2076="!!!",F2076="NEW"),"",INDEX(B2075:B$2,-1+SUMPRODUCT(MAX(ROW(E2075:E$2)*(E2076=E2075:E$2)))))</f>
        <v> </v>
      </c>
      <c r="J2076" s="25" t="str">
        <f>IF(OR(E2076="",E2076="!!!",F2076="NEW"),"",COUNTBLANK(OFFSET(A$1,,,SUMPRODUCT(MAX(ROW(E$2:E2076)*(E2076=E$2:E2076)))))-COUNTBLANK(OFFSET(A$1,,,SUMPRODUCT(MAX(ROW(E$1:E2075)*(E2=E$1:E2075))))))</f>
        <v> </v>
      </c>
      <c r="K2076" s="25" t="str">
        <f>IF(OR(E2076="",E2076="!!!",F2076="NEW"),"",INDEX(J$1:J2075,SUMPRODUCT(MAX(ROW(E$1:E2075)*(E2076=E$1:E2075)))))</f>
        <v> </v>
      </c>
      <c r="L2076" s="26"/>
    </row>
    <row r="2077" spans="1:12">
      <c r="A2077" s="20" t="s">
        <v>993</v>
      </c>
      <c r="E2077" s="21">
        <f>IF(D2077="?OLD","!!!","")</f>
        <v/>
      </c>
      <c r="F2077" s="22" t="str">
        <f>IF(OR(E2077="",E2077="!!!"),"",IF(NOT(ISNA(VLOOKUP(E2077,E$1:E2076,1,FALSE()))),"OLD",IF(AND(E2077&lt;&gt;"",E2077&lt;&gt;"!!!"),"NEW","")))</f>
        <v> </v>
      </c>
      <c r="G2077" s="23" t="str">
        <f>IF(OR(E2077="",E2077="!!!"),"",IF(OR(J2077=0,AND(J2077=1,K2077=1),AND(J2077=1,I2077="SBJ"),AND(J2077=1,I2077=0)),"?IN_FOCUS",IF(J2077&lt;=2,"?ACTIVATED",IF(J2077&lt;&gt;"","?FAMILIAR",IF(F2077="NEW",IF(ISNA(VLOOKUP(E2077,#REF!,1,FALSE())),"?TYPE_IDENTIFIABLE","?REFERENTIAL"),"_")))))</f>
        <v> </v>
      </c>
      <c r="H2077" s="24" t="str">
        <f>IF(J2077&lt;&gt;1,"",IF(I2077="SBJ","CB","?"))</f>
        <v> </v>
      </c>
      <c r="I2077" s="25" t="str">
        <f>IF(OR(E2077="",E2077="!!!",F2077="NEW"),"",INDEX(B2076:B$2,-1+SUMPRODUCT(MAX(ROW(E2076:E$2)*(E2077=E2076:E$2)))))</f>
        <v> </v>
      </c>
      <c r="J2077" s="25" t="str">
        <f>IF(OR(E2077="",E2077="!!!",F2077="NEW"),"",COUNTBLANK(OFFSET(A$1,,,SUMPRODUCT(MAX(ROW(E$2:E2077)*(E2077=E$2:E2077)))))-COUNTBLANK(OFFSET(A$1,,,SUMPRODUCT(MAX(ROW(E$1:E2076)*(E2=E$1:E2076))))))</f>
        <v> </v>
      </c>
      <c r="K2077" s="25" t="str">
        <f>IF(OR(E2077="",E2077="!!!",F2077="NEW"),"",INDEX(J$1:J2076,SUMPRODUCT(MAX(ROW(E$1:E2076)*(E2077=E$1:E2076)))))</f>
        <v> </v>
      </c>
      <c r="L2077" s="26"/>
    </row>
    <row r="2078" spans="1:12">
      <c r="A2078" s="20" t="s">
        <v>551</v>
      </c>
      <c r="E2078" s="21">
        <f>IF(D2078="?OLD","!!!","")</f>
        <v/>
      </c>
      <c r="F2078" s="22" t="str">
        <f>IF(OR(E2078="",E2078="!!!"),"",IF(NOT(ISNA(VLOOKUP(E2078,E$1:E2077,1,FALSE()))),"OLD",IF(AND(E2078&lt;&gt;"",E2078&lt;&gt;"!!!"),"NEW","")))</f>
        <v> </v>
      </c>
      <c r="G2078" s="23" t="str">
        <f>IF(OR(E2078="",E2078="!!!"),"",IF(OR(J2078=0,AND(J2078=1,K2078=1),AND(J2078=1,I2078="SBJ"),AND(J2078=1,I2078=0)),"?IN_FOCUS",IF(J2078&lt;=2,"?ACTIVATED",IF(J2078&lt;&gt;"","?FAMILIAR",IF(F2078="NEW",IF(ISNA(VLOOKUP(E2078,#REF!,1,FALSE())),"?TYPE_IDENTIFIABLE","?REFERENTIAL"),"_")))))</f>
        <v> </v>
      </c>
      <c r="H2078" s="24" t="str">
        <f>IF(J2078&lt;&gt;1,"",IF(I2078="SBJ","CB","?"))</f>
        <v> </v>
      </c>
      <c r="I2078" s="25" t="str">
        <f>IF(OR(E2078="",E2078="!!!",F2078="NEW"),"",INDEX(B2077:B$2,-1+SUMPRODUCT(MAX(ROW(E2077:E$2)*(E2078=E2077:E$2)))))</f>
        <v> </v>
      </c>
      <c r="J2078" s="25" t="str">
        <f>IF(OR(E2078="",E2078="!!!",F2078="NEW"),"",COUNTBLANK(OFFSET(A$1,,,SUMPRODUCT(MAX(ROW(E$2:E2078)*(E2078=E$2:E2078)))))-COUNTBLANK(OFFSET(A$1,,,SUMPRODUCT(MAX(ROW(E$1:E2077)*(E2=E$1:E2077))))))</f>
        <v> </v>
      </c>
      <c r="K2078" s="25" t="str">
        <f>IF(OR(E2078="",E2078="!!!",F2078="NEW"),"",INDEX(J$1:J2077,SUMPRODUCT(MAX(ROW(E$1:E2077)*(E2078=E$1:E2077)))))</f>
        <v> </v>
      </c>
      <c r="L2078" s="26"/>
    </row>
    <row r="2079" spans="1:12">
      <c r="A2079" s="20" t="s">
        <v>285</v>
      </c>
      <c r="E2079" s="21">
        <f>IF(D2079="?OLD","!!!","")</f>
        <v/>
      </c>
      <c r="F2079" s="22" t="str">
        <f>IF(OR(E2079="",E2079="!!!"),"",IF(NOT(ISNA(VLOOKUP(E2079,E$1:E2078,1,FALSE()))),"OLD",IF(AND(E2079&lt;&gt;"",E2079&lt;&gt;"!!!"),"NEW","")))</f>
        <v> </v>
      </c>
      <c r="G2079" s="23" t="str">
        <f>IF(OR(E2079="",E2079="!!!"),"",IF(OR(J2079=0,AND(J2079=1,K2079=1),AND(J2079=1,I2079="SBJ"),AND(J2079=1,I2079=0)),"?IN_FOCUS",IF(J2079&lt;=2,"?ACTIVATED",IF(J2079&lt;&gt;"","?FAMILIAR",IF(F2079="NEW",IF(ISNA(VLOOKUP(E2079,#REF!,1,FALSE())),"?TYPE_IDENTIFIABLE","?REFERENTIAL"),"_")))))</f>
        <v> </v>
      </c>
      <c r="H2079" s="24" t="str">
        <f>IF(J2079&lt;&gt;1,"",IF(I2079="SBJ","CB","?"))</f>
        <v> </v>
      </c>
      <c r="I2079" s="25" t="str">
        <f>IF(OR(E2079="",E2079="!!!",F2079="NEW"),"",INDEX(B2078:B$2,-1+SUMPRODUCT(MAX(ROW(E2078:E$2)*(E2079=E2078:E$2)))))</f>
        <v> </v>
      </c>
      <c r="J2079" s="25" t="str">
        <f>IF(OR(E2079="",E2079="!!!",F2079="NEW"),"",COUNTBLANK(OFFSET(A$1,,,SUMPRODUCT(MAX(ROW(E$2:E2079)*(E2079=E$2:E2079)))))-COUNTBLANK(OFFSET(A$1,,,SUMPRODUCT(MAX(ROW(E$1:E2078)*(E2=E$1:E2078))))))</f>
        <v> </v>
      </c>
      <c r="K2079" s="25" t="str">
        <f>IF(OR(E2079="",E2079="!!!",F2079="NEW"),"",INDEX(J$1:J2078,SUMPRODUCT(MAX(ROW(E$1:E2078)*(E2079=E$1:E2078)))))</f>
        <v> </v>
      </c>
      <c r="L2079" s="26"/>
    </row>
    <row r="2080" spans="1:12">
      <c r="A2080" s="20"/>
    </row>
    <row r="2081" spans="1:12">
      <c r="A2081" s="20" t="s">
        <v>994</v>
      </c>
    </row>
    <row r="2082" spans="1:12">
      <c r="A2082" s="20" t="s">
        <v>758</v>
      </c>
      <c r="B2082" s="27" t="s">
        <v>255</v>
      </c>
      <c r="C2082" s="27" t="s">
        <v>256</v>
      </c>
      <c r="D2082" s="27" t="s">
        <v>244</v>
      </c>
      <c r="E2082" s="21">
        <f>IF(D2082="?OLD","!!!","")</f>
        <v/>
      </c>
      <c r="F2082" s="22" t="str">
        <f>IF(OR(E2082="",E2082="!!!"),"",IF(NOT(ISNA(VLOOKUP(E2082,E$1:E2081,1,FALSE()))),"OLD",IF(AND(E2082&lt;&gt;"",E2082&lt;&gt;"!!!"),"NEW","")))</f>
        <v> </v>
      </c>
      <c r="G2082" s="23" t="str">
        <f>IF(OR(E2082="",E2082="!!!"),"",IF(OR(J2082=0,AND(J2082=1,K2082=1),AND(J2082=1,I2082="SBJ"),AND(J2082=1,I2082=0)),"?IN_FOCUS",IF(J2082&lt;=2,"?ACTIVATED",IF(J2082&lt;&gt;"","?FAMILIAR",IF(F2082="NEW",IF(ISNA(VLOOKUP(E2082,#REF!,1,FALSE())),"?TYPE_IDENTIFIABLE","?REFERENTIAL"),"_")))))</f>
        <v> </v>
      </c>
      <c r="H2082" s="24" t="str">
        <f>IF(J2082&lt;&gt;1,"",IF(I2082="SBJ","CB","?"))</f>
        <v> </v>
      </c>
      <c r="I2082" s="25" t="str">
        <f>IF(OR(E2082="",E2082="!!!",F2082="NEW"),"",INDEX(B2081:B$2,-1+SUMPRODUCT(MAX(ROW(E2081:E$2)*(E2082=E2081:E$2)))))</f>
        <v> </v>
      </c>
      <c r="J2082" s="25" t="str">
        <f>IF(OR(E2082="",E2082="!!!",F2082="NEW"),"",COUNTBLANK(OFFSET(A$1,,,SUMPRODUCT(MAX(ROW(E$2:E2082)*(E2082=E$2:E2082)))))-COUNTBLANK(OFFSET(A$1,,,SUMPRODUCT(MAX(ROW(E$1:E2081)*(E2=E$1:E2081))))))</f>
        <v> </v>
      </c>
      <c r="K2082" s="25" t="str">
        <f>IF(OR(E2082="",E2082="!!!",F2082="NEW"),"",INDEX(J$1:J2081,SUMPRODUCT(MAX(ROW(E$1:E2081)*(E2082=E$1:E2081)))))</f>
        <v> </v>
      </c>
      <c r="L2082" s="26"/>
    </row>
    <row r="2083" spans="1:12">
      <c r="A2083" s="20" t="s">
        <v>995</v>
      </c>
      <c r="E2083" s="21">
        <f>IF(D2083="?OLD","!!!","")</f>
        <v/>
      </c>
      <c r="F2083" s="22" t="str">
        <f>IF(OR(E2083="",E2083="!!!"),"",IF(NOT(ISNA(VLOOKUP(E2083,E$1:E2082,1,FALSE()))),"OLD",IF(AND(E2083&lt;&gt;"",E2083&lt;&gt;"!!!"),"NEW","")))</f>
        <v> </v>
      </c>
      <c r="G2083" s="23" t="str">
        <f>IF(OR(E2083="",E2083="!!!"),"",IF(OR(J2083=0,AND(J2083=1,K2083=1),AND(J2083=1,I2083="SBJ"),AND(J2083=1,I2083=0)),"?IN_FOCUS",IF(J2083&lt;=2,"?ACTIVATED",IF(J2083&lt;&gt;"","?FAMILIAR",IF(F2083="NEW",IF(ISNA(VLOOKUP(E2083,#REF!,1,FALSE())),"?TYPE_IDENTIFIABLE","?REFERENTIAL"),"_")))))</f>
        <v> </v>
      </c>
      <c r="H2083" s="24" t="str">
        <f>IF(J2083&lt;&gt;1,"",IF(I2083="SBJ","CB","?"))</f>
        <v> </v>
      </c>
      <c r="I2083" s="25" t="str">
        <f>IF(OR(E2083="",E2083="!!!",F2083="NEW"),"",INDEX(B2082:B$2,-1+SUMPRODUCT(MAX(ROW(E2082:E$2)*(E2083=E2082:E$2)))))</f>
        <v> </v>
      </c>
      <c r="J2083" s="25" t="str">
        <f>IF(OR(E2083="",E2083="!!!",F2083="NEW"),"",COUNTBLANK(OFFSET(A$1,,,SUMPRODUCT(MAX(ROW(E$2:E2083)*(E2083=E$2:E2083)))))-COUNTBLANK(OFFSET(A$1,,,SUMPRODUCT(MAX(ROW(E$1:E2082)*(E2=E$1:E2082))))))</f>
        <v> </v>
      </c>
      <c r="K2083" s="25" t="str">
        <f>IF(OR(E2083="",E2083="!!!",F2083="NEW"),"",INDEX(J$1:J2082,SUMPRODUCT(MAX(ROW(E$1:E2082)*(E2083=E$1:E2082)))))</f>
        <v> </v>
      </c>
      <c r="L2083" s="26"/>
    </row>
    <row r="2084" spans="1:12">
      <c r="A2084" s="20" t="s">
        <v>372</v>
      </c>
      <c r="E2084" s="21">
        <f>IF(D2084="?OLD","!!!","")</f>
        <v/>
      </c>
      <c r="F2084" s="22" t="str">
        <f>IF(OR(E2084="",E2084="!!!"),"",IF(NOT(ISNA(VLOOKUP(E2084,E$1:E2083,1,FALSE()))),"OLD",IF(AND(E2084&lt;&gt;"",E2084&lt;&gt;"!!!"),"NEW","")))</f>
        <v> </v>
      </c>
      <c r="G2084" s="23" t="str">
        <f>IF(OR(E2084="",E2084="!!!"),"",IF(OR(J2084=0,AND(J2084=1,K2084=1),AND(J2084=1,I2084="SBJ"),AND(J2084=1,I2084=0)),"?IN_FOCUS",IF(J2084&lt;=2,"?ACTIVATED",IF(J2084&lt;&gt;"","?FAMILIAR",IF(F2084="NEW",IF(ISNA(VLOOKUP(E2084,#REF!,1,FALSE())),"?TYPE_IDENTIFIABLE","?REFERENTIAL"),"_")))))</f>
        <v> </v>
      </c>
      <c r="H2084" s="24" t="str">
        <f>IF(J2084&lt;&gt;1,"",IF(I2084="SBJ","CB","?"))</f>
        <v> </v>
      </c>
      <c r="I2084" s="25" t="str">
        <f>IF(OR(E2084="",E2084="!!!",F2084="NEW"),"",INDEX(B2083:B$2,-1+SUMPRODUCT(MAX(ROW(E2083:E$2)*(E2084=E2083:E$2)))))</f>
        <v> </v>
      </c>
      <c r="J2084" s="25" t="str">
        <f>IF(OR(E2084="",E2084="!!!",F2084="NEW"),"",COUNTBLANK(OFFSET(A$1,,,SUMPRODUCT(MAX(ROW(E$2:E2084)*(E2084=E$2:E2084)))))-COUNTBLANK(OFFSET(A$1,,,SUMPRODUCT(MAX(ROW(E$1:E2083)*(E2=E$1:E2083))))))</f>
        <v> </v>
      </c>
      <c r="K2084" s="25" t="str">
        <f>IF(OR(E2084="",E2084="!!!",F2084="NEW"),"",INDEX(J$1:J2083,SUMPRODUCT(MAX(ROW(E$1:E2083)*(E2084=E$1:E2083)))))</f>
        <v> </v>
      </c>
      <c r="L2084" s="26"/>
    </row>
    <row r="2085" spans="1:12">
      <c r="A2085" s="20" t="s">
        <v>273</v>
      </c>
      <c r="E2085" s="21">
        <f>IF(D2085="?OLD","!!!","")</f>
        <v/>
      </c>
      <c r="F2085" s="22" t="str">
        <f>IF(OR(E2085="",E2085="!!!"),"",IF(NOT(ISNA(VLOOKUP(E2085,E$1:E2084,1,FALSE()))),"OLD",IF(AND(E2085&lt;&gt;"",E2085&lt;&gt;"!!!"),"NEW","")))</f>
        <v> </v>
      </c>
      <c r="G2085" s="23" t="str">
        <f>IF(OR(E2085="",E2085="!!!"),"",IF(OR(J2085=0,AND(J2085=1,K2085=1),AND(J2085=1,I2085="SBJ"),AND(J2085=1,I2085=0)),"?IN_FOCUS",IF(J2085&lt;=2,"?ACTIVATED",IF(J2085&lt;&gt;"","?FAMILIAR",IF(F2085="NEW",IF(ISNA(VLOOKUP(E2085,#REF!,1,FALSE())),"?TYPE_IDENTIFIABLE","?REFERENTIAL"),"_")))))</f>
        <v> </v>
      </c>
      <c r="H2085" s="24" t="str">
        <f>IF(J2085&lt;&gt;1,"",IF(I2085="SBJ","CB","?"))</f>
        <v> </v>
      </c>
      <c r="I2085" s="25" t="str">
        <f>IF(OR(E2085="",E2085="!!!",F2085="NEW"),"",INDEX(B2084:B$2,-1+SUMPRODUCT(MAX(ROW(E2084:E$2)*(E2085=E2084:E$2)))))</f>
        <v> </v>
      </c>
      <c r="J2085" s="25" t="str">
        <f>IF(OR(E2085="",E2085="!!!",F2085="NEW"),"",COUNTBLANK(OFFSET(A$1,,,SUMPRODUCT(MAX(ROW(E$2:E2085)*(E2085=E$2:E2085)))))-COUNTBLANK(OFFSET(A$1,,,SUMPRODUCT(MAX(ROW(E$1:E2084)*(E2=E$1:E2084))))))</f>
        <v> </v>
      </c>
      <c r="K2085" s="25" t="str">
        <f>IF(OR(E2085="",E2085="!!!",F2085="NEW"),"",INDEX(J$1:J2084,SUMPRODUCT(MAX(ROW(E$1:E2084)*(E2085=E$1:E2084)))))</f>
        <v> </v>
      </c>
      <c r="L2085" s="26"/>
    </row>
    <row r="2086" spans="1:12">
      <c r="A2086" s="20" t="s">
        <v>248</v>
      </c>
      <c r="E2086" s="21">
        <f>IF(D2086="?OLD","!!!","")</f>
        <v/>
      </c>
      <c r="F2086" s="22" t="str">
        <f>IF(OR(E2086="",E2086="!!!"),"",IF(NOT(ISNA(VLOOKUP(E2086,E$1:E2085,1,FALSE()))),"OLD",IF(AND(E2086&lt;&gt;"",E2086&lt;&gt;"!!!"),"NEW","")))</f>
        <v> </v>
      </c>
      <c r="G2086" s="23" t="str">
        <f>IF(OR(E2086="",E2086="!!!"),"",IF(OR(J2086=0,AND(J2086=1,K2086=1),AND(J2086=1,I2086="SBJ"),AND(J2086=1,I2086=0)),"?IN_FOCUS",IF(J2086&lt;=2,"?ACTIVATED",IF(J2086&lt;&gt;"","?FAMILIAR",IF(F2086="NEW",IF(ISNA(VLOOKUP(E2086,#REF!,1,FALSE())),"?TYPE_IDENTIFIABLE","?REFERENTIAL"),"_")))))</f>
        <v> </v>
      </c>
      <c r="H2086" s="24" t="str">
        <f>IF(J2086&lt;&gt;1,"",IF(I2086="SBJ","CB","?"))</f>
        <v> </v>
      </c>
      <c r="I2086" s="25" t="str">
        <f>IF(OR(E2086="",E2086="!!!",F2086="NEW"),"",INDEX(B2085:B$2,-1+SUMPRODUCT(MAX(ROW(E2085:E$2)*(E2086=E2085:E$2)))))</f>
        <v> </v>
      </c>
      <c r="J2086" s="25" t="str">
        <f>IF(OR(E2086="",E2086="!!!",F2086="NEW"),"",COUNTBLANK(OFFSET(A$1,,,SUMPRODUCT(MAX(ROW(E$2:E2086)*(E2086=E$2:E2086)))))-COUNTBLANK(OFFSET(A$1,,,SUMPRODUCT(MAX(ROW(E$1:E2085)*(E2=E$1:E2085))))))</f>
        <v> </v>
      </c>
      <c r="K2086" s="25" t="str">
        <f>IF(OR(E2086="",E2086="!!!",F2086="NEW"),"",INDEX(J$1:J2085,SUMPRODUCT(MAX(ROW(E$1:E2085)*(E2086=E$1:E2085)))))</f>
        <v> </v>
      </c>
      <c r="L2086" s="26"/>
    </row>
    <row r="2087" spans="1:12">
      <c r="A2087" s="20" t="s">
        <v>646</v>
      </c>
      <c r="E2087" s="21">
        <f>IF(D2087="?OLD","!!!","")</f>
        <v/>
      </c>
      <c r="F2087" s="22" t="str">
        <f>IF(OR(E2087="",E2087="!!!"),"",IF(NOT(ISNA(VLOOKUP(E2087,E$1:E2086,1,FALSE()))),"OLD",IF(AND(E2087&lt;&gt;"",E2087&lt;&gt;"!!!"),"NEW","")))</f>
        <v> </v>
      </c>
      <c r="G2087" s="23" t="str">
        <f>IF(OR(E2087="",E2087="!!!"),"",IF(OR(J2087=0,AND(J2087=1,K2087=1),AND(J2087=1,I2087="SBJ"),AND(J2087=1,I2087=0)),"?IN_FOCUS",IF(J2087&lt;=2,"?ACTIVATED",IF(J2087&lt;&gt;"","?FAMILIAR",IF(F2087="NEW",IF(ISNA(VLOOKUP(E2087,#REF!,1,FALSE())),"?TYPE_IDENTIFIABLE","?REFERENTIAL"),"_")))))</f>
        <v> </v>
      </c>
      <c r="H2087" s="24" t="str">
        <f>IF(J2087&lt;&gt;1,"",IF(I2087="SBJ","CB","?"))</f>
        <v> </v>
      </c>
      <c r="I2087" s="25" t="str">
        <f>IF(OR(E2087="",E2087="!!!",F2087="NEW"),"",INDEX(B2086:B$2,-1+SUMPRODUCT(MAX(ROW(E2086:E$2)*(E2087=E2086:E$2)))))</f>
        <v> </v>
      </c>
      <c r="J2087" s="25" t="str">
        <f>IF(OR(E2087="",E2087="!!!",F2087="NEW"),"",COUNTBLANK(OFFSET(A$1,,,SUMPRODUCT(MAX(ROW(E$2:E2087)*(E2087=E$2:E2087)))))-COUNTBLANK(OFFSET(A$1,,,SUMPRODUCT(MAX(ROW(E$1:E2086)*(E2=E$1:E2086))))))</f>
        <v> </v>
      </c>
      <c r="K2087" s="25" t="str">
        <f>IF(OR(E2087="",E2087="!!!",F2087="NEW"),"",INDEX(J$1:J2086,SUMPRODUCT(MAX(ROW(E$1:E2086)*(E2087=E$1:E2086)))))</f>
        <v> </v>
      </c>
      <c r="L2087" s="26"/>
    </row>
    <row r="2088" spans="1:12">
      <c r="A2088" s="20" t="s">
        <v>451</v>
      </c>
      <c r="B2088" s="27" t="s">
        <v>237</v>
      </c>
      <c r="C2088" s="27" t="s">
        <v>252</v>
      </c>
      <c r="D2088" s="27" t="s">
        <v>244</v>
      </c>
      <c r="E2088" s="21">
        <f>IF(D2088="?OLD","!!!","")</f>
        <v/>
      </c>
      <c r="F2088" s="22" t="str">
        <f>IF(OR(E2088="",E2088="!!!"),"",IF(NOT(ISNA(VLOOKUP(E2088,E$1:E2087,1,FALSE()))),"OLD",IF(AND(E2088&lt;&gt;"",E2088&lt;&gt;"!!!"),"NEW","")))</f>
        <v> </v>
      </c>
      <c r="G2088" s="23" t="str">
        <f>IF(OR(E2088="",E2088="!!!"),"",IF(OR(J2088=0,AND(J2088=1,K2088=1),AND(J2088=1,I2088="SBJ"),AND(J2088=1,I2088=0)),"?IN_FOCUS",IF(J2088&lt;=2,"?ACTIVATED",IF(J2088&lt;&gt;"","?FAMILIAR",IF(F2088="NEW",IF(ISNA(VLOOKUP(E2088,#REF!,1,FALSE())),"?TYPE_IDENTIFIABLE","?REFERENTIAL"),"_")))))</f>
        <v> </v>
      </c>
      <c r="H2088" s="24" t="str">
        <f>IF(J2088&lt;&gt;1,"",IF(I2088="SBJ","CB","?"))</f>
        <v> </v>
      </c>
      <c r="I2088" s="25" t="str">
        <f>IF(OR(E2088="",E2088="!!!",F2088="NEW"),"",INDEX(B2087:B$2,-1+SUMPRODUCT(MAX(ROW(E2087:E$2)*(E2088=E2087:E$2)))))</f>
        <v> </v>
      </c>
      <c r="J2088" s="25" t="str">
        <f>IF(OR(E2088="",E2088="!!!",F2088="NEW"),"",COUNTBLANK(OFFSET(A$1,,,SUMPRODUCT(MAX(ROW(E$2:E2088)*(E2088=E$2:E2088)))))-COUNTBLANK(OFFSET(A$1,,,SUMPRODUCT(MAX(ROW(E$1:E2087)*(E2=E$1:E2087))))))</f>
        <v> </v>
      </c>
      <c r="K2088" s="25" t="str">
        <f>IF(OR(E2088="",E2088="!!!",F2088="NEW"),"",INDEX(J$1:J2087,SUMPRODUCT(MAX(ROW(E$1:E2087)*(E2088=E$1:E2087)))))</f>
        <v> </v>
      </c>
      <c r="L2088" s="26"/>
    </row>
    <row r="2089" spans="1:12">
      <c r="A2089" s="20" t="s">
        <v>305</v>
      </c>
      <c r="E2089" s="21">
        <f>IF(D2089="?OLD","!!!","")</f>
        <v/>
      </c>
      <c r="F2089" s="22" t="str">
        <f>IF(OR(E2089="",E2089="!!!"),"",IF(NOT(ISNA(VLOOKUP(E2089,E$1:E2088,1,FALSE()))),"OLD",IF(AND(E2089&lt;&gt;"",E2089&lt;&gt;"!!!"),"NEW","")))</f>
        <v> </v>
      </c>
      <c r="G2089" s="23" t="str">
        <f>IF(OR(E2089="",E2089="!!!"),"",IF(OR(J2089=0,AND(J2089=1,K2089=1),AND(J2089=1,I2089="SBJ"),AND(J2089=1,I2089=0)),"?IN_FOCUS",IF(J2089&lt;=2,"?ACTIVATED",IF(J2089&lt;&gt;"","?FAMILIAR",IF(F2089="NEW",IF(ISNA(VLOOKUP(E2089,#REF!,1,FALSE())),"?TYPE_IDENTIFIABLE","?REFERENTIAL"),"_")))))</f>
        <v> </v>
      </c>
      <c r="H2089" s="24" t="str">
        <f>IF(J2089&lt;&gt;1,"",IF(I2089="SBJ","CB","?"))</f>
        <v> </v>
      </c>
      <c r="I2089" s="25" t="str">
        <f>IF(OR(E2089="",E2089="!!!",F2089="NEW"),"",INDEX(B2088:B$2,-1+SUMPRODUCT(MAX(ROW(E2088:E$2)*(E2089=E2088:E$2)))))</f>
        <v> </v>
      </c>
      <c r="J2089" s="25" t="str">
        <f>IF(OR(E2089="",E2089="!!!",F2089="NEW"),"",COUNTBLANK(OFFSET(A$1,,,SUMPRODUCT(MAX(ROW(E$2:E2089)*(E2089=E$2:E2089)))))-COUNTBLANK(OFFSET(A$1,,,SUMPRODUCT(MAX(ROW(E$1:E2088)*(E2=E$1:E2088))))))</f>
        <v> </v>
      </c>
      <c r="K2089" s="25" t="str">
        <f>IF(OR(E2089="",E2089="!!!",F2089="NEW"),"",INDEX(J$1:J2088,SUMPRODUCT(MAX(ROW(E$1:E2088)*(E2089=E$1:E2088)))))</f>
        <v> </v>
      </c>
      <c r="L2089" s="26"/>
    </row>
    <row r="2090" spans="1:12">
      <c r="A2090" s="20" t="s">
        <v>516</v>
      </c>
      <c r="E2090" s="21">
        <f>IF(D2090="?OLD","!!!","")</f>
        <v/>
      </c>
      <c r="F2090" s="22" t="str">
        <f>IF(OR(E2090="",E2090="!!!"),"",IF(NOT(ISNA(VLOOKUP(E2090,E$1:E2089,1,FALSE()))),"OLD",IF(AND(E2090&lt;&gt;"",E2090&lt;&gt;"!!!"),"NEW","")))</f>
        <v> </v>
      </c>
      <c r="G2090" s="23" t="str">
        <f>IF(OR(E2090="",E2090="!!!"),"",IF(OR(J2090=0,AND(J2090=1,K2090=1),AND(J2090=1,I2090="SBJ"),AND(J2090=1,I2090=0)),"?IN_FOCUS",IF(J2090&lt;=2,"?ACTIVATED",IF(J2090&lt;&gt;"","?FAMILIAR",IF(F2090="NEW",IF(ISNA(VLOOKUP(E2090,#REF!,1,FALSE())),"?TYPE_IDENTIFIABLE","?REFERENTIAL"),"_")))))</f>
        <v> </v>
      </c>
      <c r="H2090" s="24" t="str">
        <f>IF(J2090&lt;&gt;1,"",IF(I2090="SBJ","CB","?"))</f>
        <v> </v>
      </c>
      <c r="I2090" s="25" t="str">
        <f>IF(OR(E2090="",E2090="!!!",F2090="NEW"),"",INDEX(B2089:B$2,-1+SUMPRODUCT(MAX(ROW(E2089:E$2)*(E2090=E2089:E$2)))))</f>
        <v> </v>
      </c>
      <c r="J2090" s="25" t="str">
        <f>IF(OR(E2090="",E2090="!!!",F2090="NEW"),"",COUNTBLANK(OFFSET(A$1,,,SUMPRODUCT(MAX(ROW(E$2:E2090)*(E2090=E$2:E2090)))))-COUNTBLANK(OFFSET(A$1,,,SUMPRODUCT(MAX(ROW(E$1:E2089)*(E2=E$1:E2089))))))</f>
        <v> </v>
      </c>
      <c r="K2090" s="25" t="str">
        <f>IF(OR(E2090="",E2090="!!!",F2090="NEW"),"",INDEX(J$1:J2089,SUMPRODUCT(MAX(ROW(E$1:E2089)*(E2090=E$1:E2089)))))</f>
        <v> </v>
      </c>
      <c r="L2090" s="26"/>
    </row>
    <row r="2091" spans="1:12">
      <c r="A2091" s="20" t="s">
        <v>612</v>
      </c>
      <c r="E2091" s="21">
        <f>IF(D2091="?OLD","!!!","")</f>
        <v/>
      </c>
      <c r="F2091" s="22" t="str">
        <f>IF(OR(E2091="",E2091="!!!"),"",IF(NOT(ISNA(VLOOKUP(E2091,E$1:E2090,1,FALSE()))),"OLD",IF(AND(E2091&lt;&gt;"",E2091&lt;&gt;"!!!"),"NEW","")))</f>
        <v> </v>
      </c>
      <c r="G2091" s="23" t="str">
        <f>IF(OR(E2091="",E2091="!!!"),"",IF(OR(J2091=0,AND(J2091=1,K2091=1),AND(J2091=1,I2091="SBJ"),AND(J2091=1,I2091=0)),"?IN_FOCUS",IF(J2091&lt;=2,"?ACTIVATED",IF(J2091&lt;&gt;"","?FAMILIAR",IF(F2091="NEW",IF(ISNA(VLOOKUP(E2091,#REF!,1,FALSE())),"?TYPE_IDENTIFIABLE","?REFERENTIAL"),"_")))))</f>
        <v> </v>
      </c>
      <c r="H2091" s="24" t="str">
        <f>IF(J2091&lt;&gt;1,"",IF(I2091="SBJ","CB","?"))</f>
        <v> </v>
      </c>
      <c r="I2091" s="25" t="str">
        <f>IF(OR(E2091="",E2091="!!!",F2091="NEW"),"",INDEX(B2090:B$2,-1+SUMPRODUCT(MAX(ROW(E2090:E$2)*(E2091=E2090:E$2)))))</f>
        <v> </v>
      </c>
      <c r="J2091" s="25" t="str">
        <f>IF(OR(E2091="",E2091="!!!",F2091="NEW"),"",COUNTBLANK(OFFSET(A$1,,,SUMPRODUCT(MAX(ROW(E$2:E2091)*(E2091=E$2:E2091)))))-COUNTBLANK(OFFSET(A$1,,,SUMPRODUCT(MAX(ROW(E$1:E2090)*(E2=E$1:E2090))))))</f>
        <v> </v>
      </c>
      <c r="K2091" s="25" t="str">
        <f>IF(OR(E2091="",E2091="!!!",F2091="NEW"),"",INDEX(J$1:J2090,SUMPRODUCT(MAX(ROW(E$1:E2090)*(E2091=E$1:E2090)))))</f>
        <v> </v>
      </c>
      <c r="L2091" s="26"/>
    </row>
    <row r="2092" spans="1:12">
      <c r="A2092" s="20" t="s">
        <v>260</v>
      </c>
      <c r="E2092" s="21">
        <f>IF(D2092="?OLD","!!!","")</f>
        <v/>
      </c>
      <c r="F2092" s="22" t="str">
        <f>IF(OR(E2092="",E2092="!!!"),"",IF(NOT(ISNA(VLOOKUP(E2092,E$1:E2091,1,FALSE()))),"OLD",IF(AND(E2092&lt;&gt;"",E2092&lt;&gt;"!!!"),"NEW","")))</f>
        <v> </v>
      </c>
      <c r="G2092" s="23" t="str">
        <f>IF(OR(E2092="",E2092="!!!"),"",IF(OR(J2092=0,AND(J2092=1,K2092=1),AND(J2092=1,I2092="SBJ"),AND(J2092=1,I2092=0)),"?IN_FOCUS",IF(J2092&lt;=2,"?ACTIVATED",IF(J2092&lt;&gt;"","?FAMILIAR",IF(F2092="NEW",IF(ISNA(VLOOKUP(E2092,#REF!,1,FALSE())),"?TYPE_IDENTIFIABLE","?REFERENTIAL"),"_")))))</f>
        <v> </v>
      </c>
      <c r="H2092" s="24" t="str">
        <f>IF(J2092&lt;&gt;1,"",IF(I2092="SBJ","CB","?"))</f>
        <v> </v>
      </c>
      <c r="I2092" s="25" t="str">
        <f>IF(OR(E2092="",E2092="!!!",F2092="NEW"),"",INDEX(B2091:B$2,-1+SUMPRODUCT(MAX(ROW(E2091:E$2)*(E2092=E2091:E$2)))))</f>
        <v> </v>
      </c>
      <c r="J2092" s="25" t="str">
        <f>IF(OR(E2092="",E2092="!!!",F2092="NEW"),"",COUNTBLANK(OFFSET(A$1,,,SUMPRODUCT(MAX(ROW(E$2:E2092)*(E2092=E$2:E2092)))))-COUNTBLANK(OFFSET(A$1,,,SUMPRODUCT(MAX(ROW(E$1:E2091)*(E2=E$1:E2091))))))</f>
        <v> </v>
      </c>
      <c r="K2092" s="25" t="str">
        <f>IF(OR(E2092="",E2092="!!!",F2092="NEW"),"",INDEX(J$1:J2091,SUMPRODUCT(MAX(ROW(E$1:E2091)*(E2092=E$1:E2091)))))</f>
        <v> </v>
      </c>
      <c r="L2092" s="26"/>
    </row>
    <row r="2093" spans="1:12">
      <c r="A2093" s="20" t="s">
        <v>451</v>
      </c>
      <c r="B2093" s="27" t="s">
        <v>295</v>
      </c>
      <c r="C2093" s="27" t="s">
        <v>334</v>
      </c>
      <c r="D2093" s="27" t="s">
        <v>244</v>
      </c>
      <c r="E2093" s="21">
        <f>IF(D2093="?OLD","!!!","")</f>
        <v/>
      </c>
      <c r="F2093" s="22" t="str">
        <f>IF(OR(E2093="",E2093="!!!"),"",IF(NOT(ISNA(VLOOKUP(E2093,E$1:E2092,1,FALSE()))),"OLD",IF(AND(E2093&lt;&gt;"",E2093&lt;&gt;"!!!"),"NEW","")))</f>
        <v> </v>
      </c>
      <c r="G2093" s="23" t="str">
        <f>IF(OR(E2093="",E2093="!!!"),"",IF(OR(J2093=0,AND(J2093=1,K2093=1),AND(J2093=1,I2093="SBJ"),AND(J2093=1,I2093=0)),"?IN_FOCUS",IF(J2093&lt;=2,"?ACTIVATED",IF(J2093&lt;&gt;"","?FAMILIAR",IF(F2093="NEW",IF(ISNA(VLOOKUP(E2093,#REF!,1,FALSE())),"?TYPE_IDENTIFIABLE","?REFERENTIAL"),"_")))))</f>
        <v> </v>
      </c>
      <c r="H2093" s="24" t="str">
        <f>IF(J2093&lt;&gt;1,"",IF(I2093="SBJ","CB","?"))</f>
        <v> </v>
      </c>
      <c r="I2093" s="25" t="str">
        <f>IF(OR(E2093="",E2093="!!!",F2093="NEW"),"",INDEX(B2092:B$2,-1+SUMPRODUCT(MAX(ROW(E2092:E$2)*(E2093=E2092:E$2)))))</f>
        <v> </v>
      </c>
      <c r="J2093" s="25" t="str">
        <f>IF(OR(E2093="",E2093="!!!",F2093="NEW"),"",COUNTBLANK(OFFSET(A$1,,,SUMPRODUCT(MAX(ROW(E$2:E2093)*(E2093=E$2:E2093)))))-COUNTBLANK(OFFSET(A$1,,,SUMPRODUCT(MAX(ROW(E$1:E2092)*(E2=E$1:E2092))))))</f>
        <v> </v>
      </c>
      <c r="K2093" s="25" t="str">
        <f>IF(OR(E2093="",E2093="!!!",F2093="NEW"),"",INDEX(J$1:J2092,SUMPRODUCT(MAX(ROW(E$1:E2092)*(E2093=E$1:E2092)))))</f>
        <v> </v>
      </c>
      <c r="L2093" s="26"/>
    </row>
    <row r="2094" spans="1:12">
      <c r="A2094" s="20" t="s">
        <v>391</v>
      </c>
      <c r="E2094" s="21">
        <f>IF(D2094="?OLD","!!!","")</f>
        <v/>
      </c>
      <c r="F2094" s="22" t="str">
        <f>IF(OR(E2094="",E2094="!!!"),"",IF(NOT(ISNA(VLOOKUP(E2094,E$1:E2093,1,FALSE()))),"OLD",IF(AND(E2094&lt;&gt;"",E2094&lt;&gt;"!!!"),"NEW","")))</f>
        <v> </v>
      </c>
      <c r="G2094" s="23" t="str">
        <f>IF(OR(E2094="",E2094="!!!"),"",IF(OR(J2094=0,AND(J2094=1,K2094=1),AND(J2094=1,I2094="SBJ"),AND(J2094=1,I2094=0)),"?IN_FOCUS",IF(J2094&lt;=2,"?ACTIVATED",IF(J2094&lt;&gt;"","?FAMILIAR",IF(F2094="NEW",IF(ISNA(VLOOKUP(E2094,#REF!,1,FALSE())),"?TYPE_IDENTIFIABLE","?REFERENTIAL"),"_")))))</f>
        <v> </v>
      </c>
      <c r="H2094" s="24" t="str">
        <f>IF(J2094&lt;&gt;1,"",IF(I2094="SBJ","CB","?"))</f>
        <v> </v>
      </c>
      <c r="I2094" s="25" t="str">
        <f>IF(OR(E2094="",E2094="!!!",F2094="NEW"),"",INDEX(B2093:B$2,-1+SUMPRODUCT(MAX(ROW(E2093:E$2)*(E2094=E2093:E$2)))))</f>
        <v> </v>
      </c>
      <c r="J2094" s="25" t="str">
        <f>IF(OR(E2094="",E2094="!!!",F2094="NEW"),"",COUNTBLANK(OFFSET(A$1,,,SUMPRODUCT(MAX(ROW(E$2:E2094)*(E2094=E$2:E2094)))))-COUNTBLANK(OFFSET(A$1,,,SUMPRODUCT(MAX(ROW(E$1:E2093)*(E2=E$1:E2093))))))</f>
        <v> </v>
      </c>
      <c r="K2094" s="25" t="str">
        <f>IF(OR(E2094="",E2094="!!!",F2094="NEW"),"",INDEX(J$1:J2093,SUMPRODUCT(MAX(ROW(E$1:E2093)*(E2094=E$1:E2093)))))</f>
        <v> </v>
      </c>
      <c r="L2094" s="26"/>
    </row>
    <row r="2095" spans="1:12">
      <c r="A2095" s="20" t="s">
        <v>775</v>
      </c>
      <c r="B2095" s="27" t="s">
        <v>291</v>
      </c>
      <c r="C2095" s="27" t="s">
        <v>263</v>
      </c>
      <c r="D2095" s="27" t="s">
        <v>244</v>
      </c>
      <c r="E2095" s="21">
        <f>IF(D2095="?OLD","!!!","")</f>
        <v/>
      </c>
      <c r="F2095" s="22" t="str">
        <f>IF(OR(E2095="",E2095="!!!"),"",IF(NOT(ISNA(VLOOKUP(E2095,E$1:E2094,1,FALSE()))),"OLD",IF(AND(E2095&lt;&gt;"",E2095&lt;&gt;"!!!"),"NEW","")))</f>
        <v> </v>
      </c>
      <c r="G2095" s="23" t="str">
        <f>IF(OR(E2095="",E2095="!!!"),"",IF(OR(J2095=0,AND(J2095=1,K2095=1),AND(J2095=1,I2095="SBJ"),AND(J2095=1,I2095=0)),"?IN_FOCUS",IF(J2095&lt;=2,"?ACTIVATED",IF(J2095&lt;&gt;"","?FAMILIAR",IF(F2095="NEW",IF(ISNA(VLOOKUP(E2095,#REF!,1,FALSE())),"?TYPE_IDENTIFIABLE","?REFERENTIAL"),"_")))))</f>
        <v> </v>
      </c>
      <c r="H2095" s="24" t="str">
        <f>IF(J2095&lt;&gt;1,"",IF(I2095="SBJ","CB","?"))</f>
        <v> </v>
      </c>
      <c r="I2095" s="25" t="str">
        <f>IF(OR(E2095="",E2095="!!!",F2095="NEW"),"",INDEX(B2094:B$2,-1+SUMPRODUCT(MAX(ROW(E2094:E$2)*(E2095=E2094:E$2)))))</f>
        <v> </v>
      </c>
      <c r="J2095" s="25" t="str">
        <f>IF(OR(E2095="",E2095="!!!",F2095="NEW"),"",COUNTBLANK(OFFSET(A$1,,,SUMPRODUCT(MAX(ROW(E$2:E2095)*(E2095=E$2:E2095)))))-COUNTBLANK(OFFSET(A$1,,,SUMPRODUCT(MAX(ROW(E$1:E2094)*(E2=E$1:E2094))))))</f>
        <v> </v>
      </c>
      <c r="K2095" s="25" t="str">
        <f>IF(OR(E2095="",E2095="!!!",F2095="NEW"),"",INDEX(J$1:J2094,SUMPRODUCT(MAX(ROW(E$1:E2094)*(E2095=E$1:E2094)))))</f>
        <v> </v>
      </c>
      <c r="L2095" s="26"/>
    </row>
    <row r="2096" spans="1:12">
      <c r="A2096" s="20" t="s">
        <v>996</v>
      </c>
      <c r="E2096" s="21">
        <f>IF(D2096="?OLD","!!!","")</f>
        <v/>
      </c>
      <c r="F2096" s="22" t="str">
        <f>IF(OR(E2096="",E2096="!!!"),"",IF(NOT(ISNA(VLOOKUP(E2096,E$1:E2095,1,FALSE()))),"OLD",IF(AND(E2096&lt;&gt;"",E2096&lt;&gt;"!!!"),"NEW","")))</f>
        <v> </v>
      </c>
      <c r="G2096" s="23" t="str">
        <f>IF(OR(E2096="",E2096="!!!"),"",IF(OR(J2096=0,AND(J2096=1,K2096=1),AND(J2096=1,I2096="SBJ"),AND(J2096=1,I2096=0)),"?IN_FOCUS",IF(J2096&lt;=2,"?ACTIVATED",IF(J2096&lt;&gt;"","?FAMILIAR",IF(F2096="NEW",IF(ISNA(VLOOKUP(E2096,#REF!,1,FALSE())),"?TYPE_IDENTIFIABLE","?REFERENTIAL"),"_")))))</f>
        <v> </v>
      </c>
      <c r="H2096" s="24" t="str">
        <f>IF(J2096&lt;&gt;1,"",IF(I2096="SBJ","CB","?"))</f>
        <v> </v>
      </c>
      <c r="I2096" s="25" t="str">
        <f>IF(OR(E2096="",E2096="!!!",F2096="NEW"),"",INDEX(B2095:B$2,-1+SUMPRODUCT(MAX(ROW(E2095:E$2)*(E2096=E2095:E$2)))))</f>
        <v> </v>
      </c>
      <c r="J2096" s="25" t="str">
        <f>IF(OR(E2096="",E2096="!!!",F2096="NEW"),"",COUNTBLANK(OFFSET(A$1,,,SUMPRODUCT(MAX(ROW(E$2:E2096)*(E2096=E$2:E2096)))))-COUNTBLANK(OFFSET(A$1,,,SUMPRODUCT(MAX(ROW(E$1:E2095)*(E2=E$1:E2095))))))</f>
        <v> </v>
      </c>
      <c r="K2096" s="25" t="str">
        <f>IF(OR(E2096="",E2096="!!!",F2096="NEW"),"",INDEX(J$1:J2095,SUMPRODUCT(MAX(ROW(E$1:E2095)*(E2096=E$1:E2095)))))</f>
        <v> </v>
      </c>
      <c r="L2096" s="26"/>
    </row>
    <row r="2097" spans="1:12">
      <c r="A2097" s="20" t="s">
        <v>997</v>
      </c>
      <c r="B2097" s="27" t="s">
        <v>237</v>
      </c>
      <c r="C2097" s="27" t="s">
        <v>267</v>
      </c>
      <c r="D2097" s="27" t="s">
        <v>244</v>
      </c>
      <c r="E2097" s="21">
        <f>IF(D2097="?OLD","!!!","")</f>
        <v/>
      </c>
      <c r="F2097" s="22" t="str">
        <f>IF(OR(E2097="",E2097="!!!"),"",IF(NOT(ISNA(VLOOKUP(E2097,E$1:E2096,1,FALSE()))),"OLD",IF(AND(E2097&lt;&gt;"",E2097&lt;&gt;"!!!"),"NEW","")))</f>
        <v> </v>
      </c>
      <c r="G2097" s="23" t="str">
        <f>IF(OR(E2097="",E2097="!!!"),"",IF(OR(J2097=0,AND(J2097=1,K2097=1),AND(J2097=1,I2097="SBJ"),AND(J2097=1,I2097=0)),"?IN_FOCUS",IF(J2097&lt;=2,"?ACTIVATED",IF(J2097&lt;&gt;"","?FAMILIAR",IF(F2097="NEW",IF(ISNA(VLOOKUP(E2097,#REF!,1,FALSE())),"?TYPE_IDENTIFIABLE","?REFERENTIAL"),"_")))))</f>
        <v> </v>
      </c>
      <c r="H2097" s="24" t="str">
        <f>IF(J2097&lt;&gt;1,"",IF(I2097="SBJ","CB","?"))</f>
        <v> </v>
      </c>
      <c r="I2097" s="25" t="str">
        <f>IF(OR(E2097="",E2097="!!!",F2097="NEW"),"",INDEX(B2096:B$2,-1+SUMPRODUCT(MAX(ROW(E2096:E$2)*(E2097=E2096:E$2)))))</f>
        <v> </v>
      </c>
      <c r="J2097" s="25" t="str">
        <f>IF(OR(E2097="",E2097="!!!",F2097="NEW"),"",COUNTBLANK(OFFSET(A$1,,,SUMPRODUCT(MAX(ROW(E$2:E2097)*(E2097=E$2:E2097)))))-COUNTBLANK(OFFSET(A$1,,,SUMPRODUCT(MAX(ROW(E$1:E2096)*(E2=E$1:E2096))))))</f>
        <v> </v>
      </c>
      <c r="K2097" s="25" t="str">
        <f>IF(OR(E2097="",E2097="!!!",F2097="NEW"),"",INDEX(J$1:J2096,SUMPRODUCT(MAX(ROW(E$1:E2096)*(E2097=E$1:E2096)))))</f>
        <v> </v>
      </c>
      <c r="L2097" s="26"/>
    </row>
    <row r="2098" spans="1:12">
      <c r="A2098" s="20" t="s">
        <v>285</v>
      </c>
      <c r="E2098" s="21">
        <f>IF(D2098="?OLD","!!!","")</f>
        <v/>
      </c>
      <c r="F2098" s="22" t="str">
        <f>IF(OR(E2098="",E2098="!!!"),"",IF(NOT(ISNA(VLOOKUP(E2098,E$1:E2097,1,FALSE()))),"OLD",IF(AND(E2098&lt;&gt;"",E2098&lt;&gt;"!!!"),"NEW","")))</f>
        <v> </v>
      </c>
      <c r="G2098" s="23" t="str">
        <f>IF(OR(E2098="",E2098="!!!"),"",IF(OR(J2098=0,AND(J2098=1,K2098=1),AND(J2098=1,I2098="SBJ"),AND(J2098=1,I2098=0)),"?IN_FOCUS",IF(J2098&lt;=2,"?ACTIVATED",IF(J2098&lt;&gt;"","?FAMILIAR",IF(F2098="NEW",IF(ISNA(VLOOKUP(E2098,#REF!,1,FALSE())),"?TYPE_IDENTIFIABLE","?REFERENTIAL"),"_")))))</f>
        <v> </v>
      </c>
      <c r="H2098" s="24" t="str">
        <f>IF(J2098&lt;&gt;1,"",IF(I2098="SBJ","CB","?"))</f>
        <v> </v>
      </c>
      <c r="I2098" s="25" t="str">
        <f>IF(OR(E2098="",E2098="!!!",F2098="NEW"),"",INDEX(B2097:B$2,-1+SUMPRODUCT(MAX(ROW(E2097:E$2)*(E2098=E2097:E$2)))))</f>
        <v> </v>
      </c>
      <c r="J2098" s="25" t="str">
        <f>IF(OR(E2098="",E2098="!!!",F2098="NEW"),"",COUNTBLANK(OFFSET(A$1,,,SUMPRODUCT(MAX(ROW(E$2:E2098)*(E2098=E$2:E2098)))))-COUNTBLANK(OFFSET(A$1,,,SUMPRODUCT(MAX(ROW(E$1:E2097)*(E2=E$1:E2097))))))</f>
        <v> </v>
      </c>
      <c r="K2098" s="25" t="str">
        <f>IF(OR(E2098="",E2098="!!!",F2098="NEW"),"",INDEX(J$1:J2097,SUMPRODUCT(MAX(ROW(E$1:E2097)*(E2098=E$1:E2097)))))</f>
        <v> </v>
      </c>
      <c r="L2098" s="26"/>
    </row>
    <row r="2099" spans="1:12">
      <c r="A2099" s="20"/>
    </row>
    <row r="2100" spans="1:12">
      <c r="A2100" s="20" t="s">
        <v>998</v>
      </c>
    </row>
    <row r="2101" spans="1:12">
      <c r="A2101" s="20" t="s">
        <v>411</v>
      </c>
      <c r="B2101" s="27" t="s">
        <v>255</v>
      </c>
      <c r="C2101" s="27" t="s">
        <v>401</v>
      </c>
      <c r="D2101" s="27" t="s">
        <v>244</v>
      </c>
      <c r="E2101" s="21">
        <f>IF(D2101="?OLD","!!!","")</f>
        <v/>
      </c>
      <c r="F2101" s="22" t="str">
        <f>IF(OR(E2101="",E2101="!!!"),"",IF(NOT(ISNA(VLOOKUP(E2101,E$1:E2100,1,FALSE()))),"OLD",IF(AND(E2101&lt;&gt;"",E2101&lt;&gt;"!!!"),"NEW","")))</f>
        <v> </v>
      </c>
      <c r="G2101" s="23" t="str">
        <f>IF(OR(E2101="",E2101="!!!"),"",IF(OR(J2101=0,AND(J2101=1,K2101=1),AND(J2101=1,I2101="SBJ"),AND(J2101=1,I2101=0)),"?IN_FOCUS",IF(J2101&lt;=2,"?ACTIVATED",IF(J2101&lt;&gt;"","?FAMILIAR",IF(F2101="NEW",IF(ISNA(VLOOKUP(E2101,#REF!,1,FALSE())),"?TYPE_IDENTIFIABLE","?REFERENTIAL"),"_")))))</f>
        <v> </v>
      </c>
      <c r="H2101" s="24" t="str">
        <f>IF(J2101&lt;&gt;1,"",IF(I2101="SBJ","CB","?"))</f>
        <v> </v>
      </c>
      <c r="I2101" s="25" t="str">
        <f>IF(OR(E2101="",E2101="!!!",F2101="NEW"),"",INDEX(B2100:B$2,-1+SUMPRODUCT(MAX(ROW(E2100:E$2)*(E2101=E2100:E$2)))))</f>
        <v> </v>
      </c>
      <c r="J2101" s="25" t="str">
        <f>IF(OR(E2101="",E2101="!!!",F2101="NEW"),"",COUNTBLANK(OFFSET(A$1,,,SUMPRODUCT(MAX(ROW(E$2:E2101)*(E2101=E$2:E2101)))))-COUNTBLANK(OFFSET(A$1,,,SUMPRODUCT(MAX(ROW(E$1:E2100)*(E2=E$1:E2100))))))</f>
        <v> </v>
      </c>
      <c r="K2101" s="25" t="str">
        <f>IF(OR(E2101="",E2101="!!!",F2101="NEW"),"",INDEX(J$1:J2100,SUMPRODUCT(MAX(ROW(E$1:E2100)*(E2101=E$1:E2100)))))</f>
        <v> </v>
      </c>
      <c r="L2101" s="26"/>
    </row>
    <row r="2102" spans="1:12">
      <c r="A2102" s="20" t="s">
        <v>391</v>
      </c>
      <c r="E2102" s="21">
        <f>IF(D2102="?OLD","!!!","")</f>
        <v/>
      </c>
      <c r="F2102" s="22" t="str">
        <f>IF(OR(E2102="",E2102="!!!"),"",IF(NOT(ISNA(VLOOKUP(E2102,E$1:E2101,1,FALSE()))),"OLD",IF(AND(E2102&lt;&gt;"",E2102&lt;&gt;"!!!"),"NEW","")))</f>
        <v> </v>
      </c>
      <c r="G2102" s="23" t="str">
        <f>IF(OR(E2102="",E2102="!!!"),"",IF(OR(J2102=0,AND(J2102=1,K2102=1),AND(J2102=1,I2102="SBJ"),AND(J2102=1,I2102=0)),"?IN_FOCUS",IF(J2102&lt;=2,"?ACTIVATED",IF(J2102&lt;&gt;"","?FAMILIAR",IF(F2102="NEW",IF(ISNA(VLOOKUP(E2102,#REF!,1,FALSE())),"?TYPE_IDENTIFIABLE","?REFERENTIAL"),"_")))))</f>
        <v> </v>
      </c>
      <c r="H2102" s="24" t="str">
        <f>IF(J2102&lt;&gt;1,"",IF(I2102="SBJ","CB","?"))</f>
        <v> </v>
      </c>
      <c r="I2102" s="25" t="str">
        <f>IF(OR(E2102="",E2102="!!!",F2102="NEW"),"",INDEX(B2101:B$2,-1+SUMPRODUCT(MAX(ROW(E2101:E$2)*(E2102=E2101:E$2)))))</f>
        <v> </v>
      </c>
      <c r="J2102" s="25" t="str">
        <f>IF(OR(E2102="",E2102="!!!",F2102="NEW"),"",COUNTBLANK(OFFSET(A$1,,,SUMPRODUCT(MAX(ROW(E$2:E2102)*(E2102=E$2:E2102)))))-COUNTBLANK(OFFSET(A$1,,,SUMPRODUCT(MAX(ROW(E$1:E2101)*(E2=E$1:E2101))))))</f>
        <v> </v>
      </c>
      <c r="K2102" s="25" t="str">
        <f>IF(OR(E2102="",E2102="!!!",F2102="NEW"),"",INDEX(J$1:J2101,SUMPRODUCT(MAX(ROW(E$1:E2101)*(E2102=E$1:E2101)))))</f>
        <v> </v>
      </c>
      <c r="L2102" s="26"/>
    </row>
    <row r="2103" spans="1:12">
      <c r="A2103" s="20" t="s">
        <v>248</v>
      </c>
      <c r="E2103" s="21">
        <f>IF(D2103="?OLD","!!!","")</f>
        <v/>
      </c>
      <c r="F2103" s="22" t="str">
        <f>IF(OR(E2103="",E2103="!!!"),"",IF(NOT(ISNA(VLOOKUP(E2103,E$1:E2102,1,FALSE()))),"OLD",IF(AND(E2103&lt;&gt;"",E2103&lt;&gt;"!!!"),"NEW","")))</f>
        <v> </v>
      </c>
      <c r="G2103" s="23" t="str">
        <f>IF(OR(E2103="",E2103="!!!"),"",IF(OR(J2103=0,AND(J2103=1,K2103=1),AND(J2103=1,I2103="SBJ"),AND(J2103=1,I2103=0)),"?IN_FOCUS",IF(J2103&lt;=2,"?ACTIVATED",IF(J2103&lt;&gt;"","?FAMILIAR",IF(F2103="NEW",IF(ISNA(VLOOKUP(E2103,#REF!,1,FALSE())),"?TYPE_IDENTIFIABLE","?REFERENTIAL"),"_")))))</f>
        <v> </v>
      </c>
      <c r="H2103" s="24" t="str">
        <f>IF(J2103&lt;&gt;1,"",IF(I2103="SBJ","CB","?"))</f>
        <v> </v>
      </c>
      <c r="I2103" s="25" t="str">
        <f>IF(OR(E2103="",E2103="!!!",F2103="NEW"),"",INDEX(B2102:B$2,-1+SUMPRODUCT(MAX(ROW(E2102:E$2)*(E2103=E2102:E$2)))))</f>
        <v> </v>
      </c>
      <c r="J2103" s="25" t="str">
        <f>IF(OR(E2103="",E2103="!!!",F2103="NEW"),"",COUNTBLANK(OFFSET(A$1,,,SUMPRODUCT(MAX(ROW(E$2:E2103)*(E2103=E$2:E2103)))))-COUNTBLANK(OFFSET(A$1,,,SUMPRODUCT(MAX(ROW(E$1:E2102)*(E2=E$1:E2102))))))</f>
        <v> </v>
      </c>
      <c r="K2103" s="25" t="str">
        <f>IF(OR(E2103="",E2103="!!!",F2103="NEW"),"",INDEX(J$1:J2102,SUMPRODUCT(MAX(ROW(E$1:E2102)*(E2103=E$1:E2102)))))</f>
        <v> </v>
      </c>
      <c r="L2103" s="26"/>
    </row>
    <row r="2104" spans="1:12">
      <c r="A2104" s="20" t="s">
        <v>999</v>
      </c>
      <c r="B2104" s="27" t="s">
        <v>237</v>
      </c>
      <c r="C2104" s="27" t="s">
        <v>252</v>
      </c>
      <c r="D2104" s="27" t="s">
        <v>244</v>
      </c>
      <c r="E2104" s="21">
        <f>IF(D2104="?OLD","!!!","")</f>
        <v/>
      </c>
      <c r="F2104" s="22" t="str">
        <f>IF(OR(E2104="",E2104="!!!"),"",IF(NOT(ISNA(VLOOKUP(E2104,E$1:E2103,1,FALSE()))),"OLD",IF(AND(E2104&lt;&gt;"",E2104&lt;&gt;"!!!"),"NEW","")))</f>
        <v> </v>
      </c>
      <c r="G2104" s="23" t="str">
        <f>IF(OR(E2104="",E2104="!!!"),"",IF(OR(J2104=0,AND(J2104=1,K2104=1),AND(J2104=1,I2104="SBJ"),AND(J2104=1,I2104=0)),"?IN_FOCUS",IF(J2104&lt;=2,"?ACTIVATED",IF(J2104&lt;&gt;"","?FAMILIAR",IF(F2104="NEW",IF(ISNA(VLOOKUP(E2104,#REF!,1,FALSE())),"?TYPE_IDENTIFIABLE","?REFERENTIAL"),"_")))))</f>
        <v> </v>
      </c>
      <c r="H2104" s="24" t="str">
        <f>IF(J2104&lt;&gt;1,"",IF(I2104="SBJ","CB","?"))</f>
        <v> </v>
      </c>
      <c r="I2104" s="25" t="str">
        <f>IF(OR(E2104="",E2104="!!!",F2104="NEW"),"",INDEX(B2103:B$2,-1+SUMPRODUCT(MAX(ROW(E2103:E$2)*(E2104=E2103:E$2)))))</f>
        <v> </v>
      </c>
      <c r="J2104" s="25" t="str">
        <f>IF(OR(E2104="",E2104="!!!",F2104="NEW"),"",COUNTBLANK(OFFSET(A$1,,,SUMPRODUCT(MAX(ROW(E$2:E2104)*(E2104=E$2:E2104)))))-COUNTBLANK(OFFSET(A$1,,,SUMPRODUCT(MAX(ROW(E$1:E2103)*(E2=E$1:E2103))))))</f>
        <v> </v>
      </c>
      <c r="K2104" s="25" t="str">
        <f>IF(OR(E2104="",E2104="!!!",F2104="NEW"),"",INDEX(J$1:J2103,SUMPRODUCT(MAX(ROW(E$1:E2103)*(E2104=E$1:E2103)))))</f>
        <v> </v>
      </c>
      <c r="L2104" s="26"/>
    </row>
    <row r="2105" spans="1:12">
      <c r="A2105" s="20" t="s">
        <v>273</v>
      </c>
      <c r="E2105" s="21">
        <f>IF(D2105="?OLD","!!!","")</f>
        <v/>
      </c>
      <c r="F2105" s="22" t="str">
        <f>IF(OR(E2105="",E2105="!!!"),"",IF(NOT(ISNA(VLOOKUP(E2105,E$1:E2104,1,FALSE()))),"OLD",IF(AND(E2105&lt;&gt;"",E2105&lt;&gt;"!!!"),"NEW","")))</f>
        <v> </v>
      </c>
      <c r="G2105" s="23" t="str">
        <f>IF(OR(E2105="",E2105="!!!"),"",IF(OR(J2105=0,AND(J2105=1,K2105=1),AND(J2105=1,I2105="SBJ"),AND(J2105=1,I2105=0)),"?IN_FOCUS",IF(J2105&lt;=2,"?ACTIVATED",IF(J2105&lt;&gt;"","?FAMILIAR",IF(F2105="NEW",IF(ISNA(VLOOKUP(E2105,#REF!,1,FALSE())),"?TYPE_IDENTIFIABLE","?REFERENTIAL"),"_")))))</f>
        <v> </v>
      </c>
      <c r="H2105" s="24" t="str">
        <f>IF(J2105&lt;&gt;1,"",IF(I2105="SBJ","CB","?"))</f>
        <v> </v>
      </c>
      <c r="I2105" s="25" t="str">
        <f>IF(OR(E2105="",E2105="!!!",F2105="NEW"),"",INDEX(B2104:B$2,-1+SUMPRODUCT(MAX(ROW(E2104:E$2)*(E2105=E2104:E$2)))))</f>
        <v> </v>
      </c>
      <c r="J2105" s="25" t="str">
        <f>IF(OR(E2105="",E2105="!!!",F2105="NEW"),"",COUNTBLANK(OFFSET(A$1,,,SUMPRODUCT(MAX(ROW(E$2:E2105)*(E2105=E$2:E2105)))))-COUNTBLANK(OFFSET(A$1,,,SUMPRODUCT(MAX(ROW(E$1:E2104)*(E2=E$1:E2104))))))</f>
        <v> </v>
      </c>
      <c r="K2105" s="25" t="str">
        <f>IF(OR(E2105="",E2105="!!!",F2105="NEW"),"",INDEX(J$1:J2104,SUMPRODUCT(MAX(ROW(E$1:E2104)*(E2105=E$1:E2104)))))</f>
        <v> </v>
      </c>
      <c r="L2105" s="26"/>
    </row>
    <row r="2106" spans="1:12">
      <c r="A2106" s="20" t="s">
        <v>397</v>
      </c>
      <c r="B2106" s="27" t="s">
        <v>237</v>
      </c>
      <c r="C2106" s="27" t="s">
        <v>281</v>
      </c>
      <c r="E2106" s="21">
        <f>IF(D2106="?OLD","!!!","")</f>
        <v/>
      </c>
      <c r="F2106" s="22" t="str">
        <f>IF(OR(E2106="",E2106="!!!"),"",IF(NOT(ISNA(VLOOKUP(E2106,E$1:E2105,1,FALSE()))),"OLD",IF(AND(E2106&lt;&gt;"",E2106&lt;&gt;"!!!"),"NEW","")))</f>
        <v> </v>
      </c>
      <c r="G2106" s="23" t="str">
        <f>IF(OR(E2106="",E2106="!!!"),"",IF(OR(J2106=0,AND(J2106=1,K2106=1),AND(J2106=1,I2106="SBJ"),AND(J2106=1,I2106=0)),"?IN_FOCUS",IF(J2106&lt;=2,"?ACTIVATED",IF(J2106&lt;&gt;"","?FAMILIAR",IF(F2106="NEW",IF(ISNA(VLOOKUP(E2106,#REF!,1,FALSE())),"?TYPE_IDENTIFIABLE","?REFERENTIAL"),"_")))))</f>
        <v> </v>
      </c>
      <c r="H2106" s="24" t="str">
        <f>IF(J2106&lt;&gt;1,"",IF(I2106="SBJ","CB","?"))</f>
        <v> </v>
      </c>
      <c r="I2106" s="25" t="str">
        <f>IF(OR(E2106="",E2106="!!!",F2106="NEW"),"",INDEX(B2105:B$2,-1+SUMPRODUCT(MAX(ROW(E2105:E$2)*(E2106=E2105:E$2)))))</f>
        <v> </v>
      </c>
      <c r="J2106" s="25" t="str">
        <f>IF(OR(E2106="",E2106="!!!",F2106="NEW"),"",COUNTBLANK(OFFSET(A$1,,,SUMPRODUCT(MAX(ROW(E$2:E2106)*(E2106=E$2:E2106)))))-COUNTBLANK(OFFSET(A$1,,,SUMPRODUCT(MAX(ROW(E$1:E2105)*(E2=E$1:E2105))))))</f>
        <v> </v>
      </c>
      <c r="K2106" s="25" t="str">
        <f>IF(OR(E2106="",E2106="!!!",F2106="NEW"),"",INDEX(J$1:J2105,SUMPRODUCT(MAX(ROW(E$1:E2105)*(E2106=E$1:E2105)))))</f>
        <v> </v>
      </c>
      <c r="L2106" s="26"/>
    </row>
    <row r="2107" spans="1:12">
      <c r="A2107" s="20" t="s">
        <v>285</v>
      </c>
      <c r="E2107" s="21">
        <f>IF(D2107="?OLD","!!!","")</f>
        <v/>
      </c>
      <c r="F2107" s="22" t="str">
        <f>IF(OR(E2107="",E2107="!!!"),"",IF(NOT(ISNA(VLOOKUP(E2107,E$1:E2106,1,FALSE()))),"OLD",IF(AND(E2107&lt;&gt;"",E2107&lt;&gt;"!!!"),"NEW","")))</f>
        <v> </v>
      </c>
      <c r="G2107" s="23" t="str">
        <f>IF(OR(E2107="",E2107="!!!"),"",IF(OR(J2107=0,AND(J2107=1,K2107=1),AND(J2107=1,I2107="SBJ"),AND(J2107=1,I2107=0)),"?IN_FOCUS",IF(J2107&lt;=2,"?ACTIVATED",IF(J2107&lt;&gt;"","?FAMILIAR",IF(F2107="NEW",IF(ISNA(VLOOKUP(E2107,#REF!,1,FALSE())),"?TYPE_IDENTIFIABLE","?REFERENTIAL"),"_")))))</f>
        <v> </v>
      </c>
      <c r="H2107" s="24" t="str">
        <f>IF(J2107&lt;&gt;1,"",IF(I2107="SBJ","CB","?"))</f>
        <v> </v>
      </c>
      <c r="I2107" s="25" t="str">
        <f>IF(OR(E2107="",E2107="!!!",F2107="NEW"),"",INDEX(B2106:B$2,-1+SUMPRODUCT(MAX(ROW(E2106:E$2)*(E2107=E2106:E$2)))))</f>
        <v> </v>
      </c>
      <c r="J2107" s="25" t="str">
        <f>IF(OR(E2107="",E2107="!!!",F2107="NEW"),"",COUNTBLANK(OFFSET(A$1,,,SUMPRODUCT(MAX(ROW(E$2:E2107)*(E2107=E$2:E2107)))))-COUNTBLANK(OFFSET(A$1,,,SUMPRODUCT(MAX(ROW(E$1:E2106)*(E2=E$1:E2106))))))</f>
        <v> </v>
      </c>
      <c r="K2107" s="25" t="str">
        <f>IF(OR(E2107="",E2107="!!!",F2107="NEW"),"",INDEX(J$1:J2106,SUMPRODUCT(MAX(ROW(E$1:E2106)*(E2107=E$1:E2106)))))</f>
        <v> </v>
      </c>
      <c r="L2107" s="26"/>
    </row>
    <row r="2108" spans="1:12">
      <c r="A2108" s="20"/>
    </row>
    <row r="2109" spans="1:12">
      <c r="A2109" s="20" t="s">
        <v>1000</v>
      </c>
    </row>
    <row r="2110" spans="1:12">
      <c r="A2110" s="20" t="s">
        <v>1001</v>
      </c>
      <c r="B2110" s="27" t="s">
        <v>255</v>
      </c>
      <c r="E2110" s="21">
        <f>IF(D2110="?OLD","!!!","")</f>
        <v/>
      </c>
      <c r="F2110" s="22" t="str">
        <f>IF(OR(E2110="",E2110="!!!"),"",IF(NOT(ISNA(VLOOKUP(E2110,E$1:E2109,1,FALSE()))),"OLD",IF(AND(E2110&lt;&gt;"",E2110&lt;&gt;"!!!"),"NEW","")))</f>
        <v> </v>
      </c>
      <c r="G2110" s="23" t="str">
        <f>IF(OR(E2110="",E2110="!!!"),"",IF(OR(J2110=0,AND(J2110=1,K2110=1),AND(J2110=1,I2110="SBJ"),AND(J2110=1,I2110=0)),"?IN_FOCUS",IF(J2110&lt;=2,"?ACTIVATED",IF(J2110&lt;&gt;"","?FAMILIAR",IF(F2110="NEW",IF(ISNA(VLOOKUP(E2110,#REF!,1,FALSE())),"?TYPE_IDENTIFIABLE","?REFERENTIAL"),"_")))))</f>
        <v> </v>
      </c>
      <c r="H2110" s="24" t="str">
        <f>IF(J2110&lt;&gt;1,"",IF(I2110="SBJ","CB","?"))</f>
        <v> </v>
      </c>
      <c r="I2110" s="25" t="str">
        <f>IF(OR(E2110="",E2110="!!!",F2110="NEW"),"",INDEX(B2109:B$2,-1+SUMPRODUCT(MAX(ROW(E2109:E$2)*(E2110=E2109:E$2)))))</f>
        <v> </v>
      </c>
      <c r="J2110" s="25" t="str">
        <f>IF(OR(E2110="",E2110="!!!",F2110="NEW"),"",COUNTBLANK(OFFSET(A$1,,,SUMPRODUCT(MAX(ROW(E$2:E2110)*(E2110=E$2:E2110)))))-COUNTBLANK(OFFSET(A$1,,,SUMPRODUCT(MAX(ROW(E$1:E2109)*(E2=E$1:E2109))))))</f>
        <v> </v>
      </c>
      <c r="K2110" s="25" t="str">
        <f>IF(OR(E2110="",E2110="!!!",F2110="NEW"),"",INDEX(J$1:J2109,SUMPRODUCT(MAX(ROW(E$1:E2109)*(E2110=E$1:E2109)))))</f>
        <v> </v>
      </c>
      <c r="L2110" s="26"/>
    </row>
    <row r="2111" spans="1:12">
      <c r="A2111" s="20" t="s">
        <v>740</v>
      </c>
      <c r="E2111" s="21">
        <f>IF(D2111="?OLD","!!!","")</f>
        <v/>
      </c>
      <c r="F2111" s="22" t="str">
        <f>IF(OR(E2111="",E2111="!!!"),"",IF(NOT(ISNA(VLOOKUP(E2111,E$1:E2110,1,FALSE()))),"OLD",IF(AND(E2111&lt;&gt;"",E2111&lt;&gt;"!!!"),"NEW","")))</f>
        <v> </v>
      </c>
      <c r="G2111" s="23" t="str">
        <f>IF(OR(E2111="",E2111="!!!"),"",IF(OR(J2111=0,AND(J2111=1,K2111=1),AND(J2111=1,I2111="SBJ"),AND(J2111=1,I2111=0)),"?IN_FOCUS",IF(J2111&lt;=2,"?ACTIVATED",IF(J2111&lt;&gt;"","?FAMILIAR",IF(F2111="NEW",IF(ISNA(VLOOKUP(E2111,#REF!,1,FALSE())),"?TYPE_IDENTIFIABLE","?REFERENTIAL"),"_")))))</f>
        <v> </v>
      </c>
      <c r="H2111" s="24" t="str">
        <f>IF(J2111&lt;&gt;1,"",IF(I2111="SBJ","CB","?"))</f>
        <v> </v>
      </c>
      <c r="I2111" s="25" t="str">
        <f>IF(OR(E2111="",E2111="!!!",F2111="NEW"),"",INDEX(B2110:B$2,-1+SUMPRODUCT(MAX(ROW(E2110:E$2)*(E2111=E2110:E$2)))))</f>
        <v> </v>
      </c>
      <c r="J2111" s="25" t="str">
        <f>IF(OR(E2111="",E2111="!!!",F2111="NEW"),"",COUNTBLANK(OFFSET(A$1,,,SUMPRODUCT(MAX(ROW(E$2:E2111)*(E2111=E$2:E2111)))))-COUNTBLANK(OFFSET(A$1,,,SUMPRODUCT(MAX(ROW(E$1:E2110)*(E2=E$1:E2110))))))</f>
        <v> </v>
      </c>
      <c r="K2111" s="25" t="str">
        <f>IF(OR(E2111="",E2111="!!!",F2111="NEW"),"",INDEX(J$1:J2110,SUMPRODUCT(MAX(ROW(E$1:E2110)*(E2111=E$1:E2110)))))</f>
        <v> </v>
      </c>
      <c r="L2111" s="26"/>
    </row>
    <row r="2112" spans="1:12">
      <c r="A2112" s="20" t="s">
        <v>349</v>
      </c>
      <c r="E2112" s="21">
        <f>IF(D2112="?OLD","!!!","")</f>
        <v/>
      </c>
      <c r="F2112" s="22" t="str">
        <f>IF(OR(E2112="",E2112="!!!"),"",IF(NOT(ISNA(VLOOKUP(E2112,E$1:E2111,1,FALSE()))),"OLD",IF(AND(E2112&lt;&gt;"",E2112&lt;&gt;"!!!"),"NEW","")))</f>
        <v> </v>
      </c>
      <c r="G2112" s="23" t="str">
        <f>IF(OR(E2112="",E2112="!!!"),"",IF(OR(J2112=0,AND(J2112=1,K2112=1),AND(J2112=1,I2112="SBJ"),AND(J2112=1,I2112=0)),"?IN_FOCUS",IF(J2112&lt;=2,"?ACTIVATED",IF(J2112&lt;&gt;"","?FAMILIAR",IF(F2112="NEW",IF(ISNA(VLOOKUP(E2112,#REF!,1,FALSE())),"?TYPE_IDENTIFIABLE","?REFERENTIAL"),"_")))))</f>
        <v> </v>
      </c>
      <c r="H2112" s="24" t="str">
        <f>IF(J2112&lt;&gt;1,"",IF(I2112="SBJ","CB","?"))</f>
        <v> </v>
      </c>
      <c r="I2112" s="25" t="str">
        <f>IF(OR(E2112="",E2112="!!!",F2112="NEW"),"",INDEX(B2111:B$2,-1+SUMPRODUCT(MAX(ROW(E2111:E$2)*(E2112=E2111:E$2)))))</f>
        <v> </v>
      </c>
      <c r="J2112" s="25" t="str">
        <f>IF(OR(E2112="",E2112="!!!",F2112="NEW"),"",COUNTBLANK(OFFSET(A$1,,,SUMPRODUCT(MAX(ROW(E$2:E2112)*(E2112=E$2:E2112)))))-COUNTBLANK(OFFSET(A$1,,,SUMPRODUCT(MAX(ROW(E$1:E2111)*(E2=E$1:E2111))))))</f>
        <v> </v>
      </c>
      <c r="K2112" s="25" t="str">
        <f>IF(OR(E2112="",E2112="!!!",F2112="NEW"),"",INDEX(J$1:J2111,SUMPRODUCT(MAX(ROW(E$1:E2111)*(E2112=E$1:E2111)))))</f>
        <v> </v>
      </c>
      <c r="L2112" s="26"/>
    </row>
    <row r="2113" spans="1:12">
      <c r="A2113" s="20" t="s">
        <v>326</v>
      </c>
      <c r="B2113" s="27" t="s">
        <v>272</v>
      </c>
      <c r="C2113" s="27" t="s">
        <v>327</v>
      </c>
      <c r="E2113" s="21">
        <f>IF(D2113="?OLD","!!!","")</f>
        <v/>
      </c>
      <c r="F2113" s="22" t="str">
        <f>IF(OR(E2113="",E2113="!!!"),"",IF(NOT(ISNA(VLOOKUP(E2113,E$1:E2112,1,FALSE()))),"OLD",IF(AND(E2113&lt;&gt;"",E2113&lt;&gt;"!!!"),"NEW","")))</f>
        <v> </v>
      </c>
      <c r="G2113" s="23" t="str">
        <f>IF(OR(E2113="",E2113="!!!"),"",IF(OR(J2113=0,AND(J2113=1,K2113=1),AND(J2113=1,I2113="SBJ"),AND(J2113=1,I2113=0)),"?IN_FOCUS",IF(J2113&lt;=2,"?ACTIVATED",IF(J2113&lt;&gt;"","?FAMILIAR",IF(F2113="NEW",IF(ISNA(VLOOKUP(E2113,#REF!,1,FALSE())),"?TYPE_IDENTIFIABLE","?REFERENTIAL"),"_")))))</f>
        <v> </v>
      </c>
      <c r="H2113" s="24" t="str">
        <f>IF(J2113&lt;&gt;1,"",IF(I2113="SBJ","CB","?"))</f>
        <v> </v>
      </c>
      <c r="I2113" s="25" t="str">
        <f>IF(OR(E2113="",E2113="!!!",F2113="NEW"),"",INDEX(B2112:B$2,-1+SUMPRODUCT(MAX(ROW(E2112:E$2)*(E2113=E2112:E$2)))))</f>
        <v> </v>
      </c>
      <c r="J2113" s="25" t="str">
        <f>IF(OR(E2113="",E2113="!!!",F2113="NEW"),"",COUNTBLANK(OFFSET(A$1,,,SUMPRODUCT(MAX(ROW(E$2:E2113)*(E2113=E$2:E2113)))))-COUNTBLANK(OFFSET(A$1,,,SUMPRODUCT(MAX(ROW(E$1:E2112)*(E2=E$1:E2112))))))</f>
        <v> </v>
      </c>
      <c r="K2113" s="25" t="str">
        <f>IF(OR(E2113="",E2113="!!!",F2113="NEW"),"",INDEX(J$1:J2112,SUMPRODUCT(MAX(ROW(E$1:E2112)*(E2113=E$1:E2112)))))</f>
        <v> </v>
      </c>
      <c r="L2113" s="26"/>
    </row>
    <row r="2114" spans="1:12">
      <c r="A2114" s="20" t="s">
        <v>337</v>
      </c>
      <c r="B2114" s="27" t="s">
        <v>361</v>
      </c>
      <c r="C2114" s="27" t="s">
        <v>256</v>
      </c>
      <c r="D2114" s="27" t="s">
        <v>244</v>
      </c>
      <c r="E2114" s="21">
        <f>IF(D2114="?OLD","!!!","")</f>
        <v/>
      </c>
      <c r="F2114" s="22" t="str">
        <f>IF(OR(E2114="",E2114="!!!"),"",IF(NOT(ISNA(VLOOKUP(E2114,E$1:E2113,1,FALSE()))),"OLD",IF(AND(E2114&lt;&gt;"",E2114&lt;&gt;"!!!"),"NEW","")))</f>
        <v> </v>
      </c>
      <c r="G2114" s="23" t="str">
        <f>IF(OR(E2114="",E2114="!!!"),"",IF(OR(J2114=0,AND(J2114=1,K2114=1),AND(J2114=1,I2114="SBJ"),AND(J2114=1,I2114=0)),"?IN_FOCUS",IF(J2114&lt;=2,"?ACTIVATED",IF(J2114&lt;&gt;"","?FAMILIAR",IF(F2114="NEW",IF(ISNA(VLOOKUP(E2114,#REF!,1,FALSE())),"?TYPE_IDENTIFIABLE","?REFERENTIAL"),"_")))))</f>
        <v> </v>
      </c>
      <c r="H2114" s="24" t="str">
        <f>IF(J2114&lt;&gt;1,"",IF(I2114="SBJ","CB","?"))</f>
        <v> </v>
      </c>
      <c r="I2114" s="25" t="str">
        <f>IF(OR(E2114="",E2114="!!!",F2114="NEW"),"",INDEX(B2113:B$2,-1+SUMPRODUCT(MAX(ROW(E2113:E$2)*(E2114=E2113:E$2)))))</f>
        <v> </v>
      </c>
      <c r="J2114" s="25" t="str">
        <f>IF(OR(E2114="",E2114="!!!",F2114="NEW"),"",COUNTBLANK(OFFSET(A$1,,,SUMPRODUCT(MAX(ROW(E$2:E2114)*(E2114=E$2:E2114)))))-COUNTBLANK(OFFSET(A$1,,,SUMPRODUCT(MAX(ROW(E$1:E2113)*(E2=E$1:E2113))))))</f>
        <v> </v>
      </c>
      <c r="K2114" s="25" t="str">
        <f>IF(OR(E2114="",E2114="!!!",F2114="NEW"),"",INDEX(J$1:J2113,SUMPRODUCT(MAX(ROW(E$1:E2113)*(E2114=E$1:E2113)))))</f>
        <v> </v>
      </c>
      <c r="L2114" s="26"/>
    </row>
    <row r="2115" spans="1:12">
      <c r="A2115" s="20" t="s">
        <v>330</v>
      </c>
      <c r="E2115" s="21">
        <f>IF(D2115="?OLD","!!!","")</f>
        <v/>
      </c>
      <c r="F2115" s="22" t="str">
        <f>IF(OR(E2115="",E2115="!!!"),"",IF(NOT(ISNA(VLOOKUP(E2115,E$1:E2114,1,FALSE()))),"OLD",IF(AND(E2115&lt;&gt;"",E2115&lt;&gt;"!!!"),"NEW","")))</f>
        <v> </v>
      </c>
      <c r="G2115" s="23" t="str">
        <f>IF(OR(E2115="",E2115="!!!"),"",IF(OR(J2115=0,AND(J2115=1,K2115=1),AND(J2115=1,I2115="SBJ"),AND(J2115=1,I2115=0)),"?IN_FOCUS",IF(J2115&lt;=2,"?ACTIVATED",IF(J2115&lt;&gt;"","?FAMILIAR",IF(F2115="NEW",IF(ISNA(VLOOKUP(E2115,#REF!,1,FALSE())),"?TYPE_IDENTIFIABLE","?REFERENTIAL"),"_")))))</f>
        <v> </v>
      </c>
      <c r="H2115" s="24" t="str">
        <f>IF(J2115&lt;&gt;1,"",IF(I2115="SBJ","CB","?"))</f>
        <v> </v>
      </c>
      <c r="I2115" s="25" t="str">
        <f>IF(OR(E2115="",E2115="!!!",F2115="NEW"),"",INDEX(B2114:B$2,-1+SUMPRODUCT(MAX(ROW(E2114:E$2)*(E2115=E2114:E$2)))))</f>
        <v> </v>
      </c>
      <c r="J2115" s="25" t="str">
        <f>IF(OR(E2115="",E2115="!!!",F2115="NEW"),"",COUNTBLANK(OFFSET(A$1,,,SUMPRODUCT(MAX(ROW(E$2:E2115)*(E2115=E$2:E2115)))))-COUNTBLANK(OFFSET(A$1,,,SUMPRODUCT(MAX(ROW(E$1:E2114)*(E2=E$1:E2114))))))</f>
        <v> </v>
      </c>
      <c r="K2115" s="25" t="str">
        <f>IF(OR(E2115="",E2115="!!!",F2115="NEW"),"",INDEX(J$1:J2114,SUMPRODUCT(MAX(ROW(E$1:E2114)*(E2115=E$1:E2114)))))</f>
        <v> </v>
      </c>
      <c r="L2115" s="26"/>
    </row>
    <row r="2116" spans="1:12">
      <c r="A2116" s="20" t="s">
        <v>337</v>
      </c>
      <c r="B2116" s="27" t="s">
        <v>504</v>
      </c>
      <c r="C2116" s="27" t="s">
        <v>256</v>
      </c>
      <c r="D2116" s="27" t="s">
        <v>244</v>
      </c>
      <c r="E2116" s="21">
        <f>IF(D2116="?OLD","!!!","")</f>
        <v/>
      </c>
      <c r="F2116" s="22" t="str">
        <f>IF(OR(E2116="",E2116="!!!"),"",IF(NOT(ISNA(VLOOKUP(E2116,E$1:E2115,1,FALSE()))),"OLD",IF(AND(E2116&lt;&gt;"",E2116&lt;&gt;"!!!"),"NEW","")))</f>
        <v> </v>
      </c>
      <c r="G2116" s="23" t="str">
        <f>IF(OR(E2116="",E2116="!!!"),"",IF(OR(J2116=0,AND(J2116=1,K2116=1),AND(J2116=1,I2116="SBJ"),AND(J2116=1,I2116=0)),"?IN_FOCUS",IF(J2116&lt;=2,"?ACTIVATED",IF(J2116&lt;&gt;"","?FAMILIAR",IF(F2116="NEW",IF(ISNA(VLOOKUP(E2116,#REF!,1,FALSE())),"?TYPE_IDENTIFIABLE","?REFERENTIAL"),"_")))))</f>
        <v> </v>
      </c>
      <c r="H2116" s="24" t="str">
        <f>IF(J2116&lt;&gt;1,"",IF(I2116="SBJ","CB","?"))</f>
        <v> </v>
      </c>
      <c r="I2116" s="25" t="str">
        <f>IF(OR(E2116="",E2116="!!!",F2116="NEW"),"",INDEX(B2115:B$2,-1+SUMPRODUCT(MAX(ROW(E2115:E$2)*(E2116=E2115:E$2)))))</f>
        <v> </v>
      </c>
      <c r="J2116" s="25" t="str">
        <f>IF(OR(E2116="",E2116="!!!",F2116="NEW"),"",COUNTBLANK(OFFSET(A$1,,,SUMPRODUCT(MAX(ROW(E$2:E2116)*(E2116=E$2:E2116)))))-COUNTBLANK(OFFSET(A$1,,,SUMPRODUCT(MAX(ROW(E$1:E2115)*(E2=E$1:E2115))))))</f>
        <v> </v>
      </c>
      <c r="K2116" s="25" t="str">
        <f>IF(OR(E2116="",E2116="!!!",F2116="NEW"),"",INDEX(J$1:J2115,SUMPRODUCT(MAX(ROW(E$1:E2115)*(E2116=E$1:E2115)))))</f>
        <v> </v>
      </c>
      <c r="L2116" s="26"/>
    </row>
    <row r="2117" spans="1:12">
      <c r="A2117" s="20" t="s">
        <v>362</v>
      </c>
      <c r="E2117" s="21">
        <f>IF(D2117="?OLD","!!!","")</f>
        <v/>
      </c>
      <c r="F2117" s="22" t="str">
        <f>IF(OR(E2117="",E2117="!!!"),"",IF(NOT(ISNA(VLOOKUP(E2117,E$1:E2116,1,FALSE()))),"OLD",IF(AND(E2117&lt;&gt;"",E2117&lt;&gt;"!!!"),"NEW","")))</f>
        <v> </v>
      </c>
      <c r="G2117" s="23" t="str">
        <f>IF(OR(E2117="",E2117="!!!"),"",IF(OR(J2117=0,AND(J2117=1,K2117=1),AND(J2117=1,I2117="SBJ"),AND(J2117=1,I2117=0)),"?IN_FOCUS",IF(J2117&lt;=2,"?ACTIVATED",IF(J2117&lt;&gt;"","?FAMILIAR",IF(F2117="NEW",IF(ISNA(VLOOKUP(E2117,#REF!,1,FALSE())),"?TYPE_IDENTIFIABLE","?REFERENTIAL"),"_")))))</f>
        <v> </v>
      </c>
      <c r="H2117" s="24" t="str">
        <f>IF(J2117&lt;&gt;1,"",IF(I2117="SBJ","CB","?"))</f>
        <v> </v>
      </c>
      <c r="I2117" s="25" t="str">
        <f>IF(OR(E2117="",E2117="!!!",F2117="NEW"),"",INDEX(B2116:B$2,-1+SUMPRODUCT(MAX(ROW(E2116:E$2)*(E2117=E2116:E$2)))))</f>
        <v> </v>
      </c>
      <c r="J2117" s="25" t="str">
        <f>IF(OR(E2117="",E2117="!!!",F2117="NEW"),"",COUNTBLANK(OFFSET(A$1,,,SUMPRODUCT(MAX(ROW(E$2:E2117)*(E2117=E$2:E2117)))))-COUNTBLANK(OFFSET(A$1,,,SUMPRODUCT(MAX(ROW(E$1:E2116)*(E2=E$1:E2116))))))</f>
        <v> </v>
      </c>
      <c r="K2117" s="25" t="str">
        <f>IF(OR(E2117="",E2117="!!!",F2117="NEW"),"",INDEX(J$1:J2116,SUMPRODUCT(MAX(ROW(E$1:E2116)*(E2117=E$1:E2116)))))</f>
        <v> </v>
      </c>
      <c r="L2117" s="26"/>
    </row>
    <row r="2118" spans="1:12">
      <c r="A2118" s="20" t="s">
        <v>721</v>
      </c>
      <c r="E2118" s="21">
        <f>IF(D2118="?OLD","!!!","")</f>
        <v/>
      </c>
      <c r="F2118" s="22" t="str">
        <f>IF(OR(E2118="",E2118="!!!"),"",IF(NOT(ISNA(VLOOKUP(E2118,E$1:E2117,1,FALSE()))),"OLD",IF(AND(E2118&lt;&gt;"",E2118&lt;&gt;"!!!"),"NEW","")))</f>
        <v> </v>
      </c>
      <c r="G2118" s="23" t="str">
        <f>IF(OR(E2118="",E2118="!!!"),"",IF(OR(J2118=0,AND(J2118=1,K2118=1),AND(J2118=1,I2118="SBJ"),AND(J2118=1,I2118=0)),"?IN_FOCUS",IF(J2118&lt;=2,"?ACTIVATED",IF(J2118&lt;&gt;"","?FAMILIAR",IF(F2118="NEW",IF(ISNA(VLOOKUP(E2118,#REF!,1,FALSE())),"?TYPE_IDENTIFIABLE","?REFERENTIAL"),"_")))))</f>
        <v> </v>
      </c>
      <c r="H2118" s="24" t="str">
        <f>IF(J2118&lt;&gt;1,"",IF(I2118="SBJ","CB","?"))</f>
        <v> </v>
      </c>
      <c r="I2118" s="25" t="str">
        <f>IF(OR(E2118="",E2118="!!!",F2118="NEW"),"",INDEX(B2117:B$2,-1+SUMPRODUCT(MAX(ROW(E2117:E$2)*(E2118=E2117:E$2)))))</f>
        <v> </v>
      </c>
      <c r="J2118" s="25" t="str">
        <f>IF(OR(E2118="",E2118="!!!",F2118="NEW"),"",COUNTBLANK(OFFSET(A$1,,,SUMPRODUCT(MAX(ROW(E$2:E2118)*(E2118=E$2:E2118)))))-COUNTBLANK(OFFSET(A$1,,,SUMPRODUCT(MAX(ROW(E$1:E2117)*(E2=E$1:E2117))))))</f>
        <v> </v>
      </c>
      <c r="K2118" s="25" t="str">
        <f>IF(OR(E2118="",E2118="!!!",F2118="NEW"),"",INDEX(J$1:J2117,SUMPRODUCT(MAX(ROW(E$1:E2117)*(E2118=E$1:E2117)))))</f>
        <v> </v>
      </c>
      <c r="L2118" s="26"/>
    </row>
    <row r="2119" spans="1:12">
      <c r="A2119" s="20" t="s">
        <v>979</v>
      </c>
      <c r="E2119" s="21">
        <f>IF(D2119="?OLD","!!!","")</f>
        <v/>
      </c>
      <c r="F2119" s="22" t="str">
        <f>IF(OR(E2119="",E2119="!!!"),"",IF(NOT(ISNA(VLOOKUP(E2119,E$1:E2118,1,FALSE()))),"OLD",IF(AND(E2119&lt;&gt;"",E2119&lt;&gt;"!!!"),"NEW","")))</f>
        <v> </v>
      </c>
      <c r="G2119" s="23" t="str">
        <f>IF(OR(E2119="",E2119="!!!"),"",IF(OR(J2119=0,AND(J2119=1,K2119=1),AND(J2119=1,I2119="SBJ"),AND(J2119=1,I2119=0)),"?IN_FOCUS",IF(J2119&lt;=2,"?ACTIVATED",IF(J2119&lt;&gt;"","?FAMILIAR",IF(F2119="NEW",IF(ISNA(VLOOKUP(E2119,#REF!,1,FALSE())),"?TYPE_IDENTIFIABLE","?REFERENTIAL"),"_")))))</f>
        <v> </v>
      </c>
      <c r="H2119" s="24" t="str">
        <f>IF(J2119&lt;&gt;1,"",IF(I2119="SBJ","CB","?"))</f>
        <v> </v>
      </c>
      <c r="I2119" s="25" t="str">
        <f>IF(OR(E2119="",E2119="!!!",F2119="NEW"),"",INDEX(B2118:B$2,-1+SUMPRODUCT(MAX(ROW(E2118:E$2)*(E2119=E2118:E$2)))))</f>
        <v> </v>
      </c>
      <c r="J2119" s="25" t="str">
        <f>IF(OR(E2119="",E2119="!!!",F2119="NEW"),"",COUNTBLANK(OFFSET(A$1,,,SUMPRODUCT(MAX(ROW(E$2:E2119)*(E2119=E$2:E2119)))))-COUNTBLANK(OFFSET(A$1,,,SUMPRODUCT(MAX(ROW(E$1:E2118)*(E2=E$1:E2118))))))</f>
        <v> </v>
      </c>
      <c r="K2119" s="25" t="str">
        <f>IF(OR(E2119="",E2119="!!!",F2119="NEW"),"",INDEX(J$1:J2118,SUMPRODUCT(MAX(ROW(E$1:E2118)*(E2119=E$1:E2118)))))</f>
        <v> </v>
      </c>
      <c r="L2119" s="26"/>
    </row>
    <row r="2120" spans="1:12">
      <c r="A2120" s="20" t="s">
        <v>337</v>
      </c>
      <c r="B2120" s="27" t="s">
        <v>507</v>
      </c>
      <c r="C2120" s="27" t="s">
        <v>256</v>
      </c>
      <c r="D2120" s="27" t="s">
        <v>244</v>
      </c>
      <c r="E2120" s="21">
        <f>IF(D2120="?OLD","!!!","")</f>
        <v/>
      </c>
      <c r="F2120" s="22" t="str">
        <f>IF(OR(E2120="",E2120="!!!"),"",IF(NOT(ISNA(VLOOKUP(E2120,E$1:E2119,1,FALSE()))),"OLD",IF(AND(E2120&lt;&gt;"",E2120&lt;&gt;"!!!"),"NEW","")))</f>
        <v> </v>
      </c>
      <c r="G2120" s="23" t="str">
        <f>IF(OR(E2120="",E2120="!!!"),"",IF(OR(J2120=0,AND(J2120=1,K2120=1),AND(J2120=1,I2120="SBJ"),AND(J2120=1,I2120=0)),"?IN_FOCUS",IF(J2120&lt;=2,"?ACTIVATED",IF(J2120&lt;&gt;"","?FAMILIAR",IF(F2120="NEW",IF(ISNA(VLOOKUP(E2120,#REF!,1,FALSE())),"?TYPE_IDENTIFIABLE","?REFERENTIAL"),"_")))))</f>
        <v> </v>
      </c>
      <c r="H2120" s="24" t="str">
        <f>IF(J2120&lt;&gt;1,"",IF(I2120="SBJ","CB","?"))</f>
        <v> </v>
      </c>
      <c r="I2120" s="25" t="str">
        <f>IF(OR(E2120="",E2120="!!!",F2120="NEW"),"",INDEX(B2119:B$2,-1+SUMPRODUCT(MAX(ROW(E2119:E$2)*(E2120=E2119:E$2)))))</f>
        <v> </v>
      </c>
      <c r="J2120" s="25" t="str">
        <f>IF(OR(E2120="",E2120="!!!",F2120="NEW"),"",COUNTBLANK(OFFSET(A$1,,,SUMPRODUCT(MAX(ROW(E$2:E2120)*(E2120=E$2:E2120)))))-COUNTBLANK(OFFSET(A$1,,,SUMPRODUCT(MAX(ROW(E$1:E2119)*(E2=E$1:E2119))))))</f>
        <v> </v>
      </c>
      <c r="K2120" s="25" t="str">
        <f>IF(OR(E2120="",E2120="!!!",F2120="NEW"),"",INDEX(J$1:J2119,SUMPRODUCT(MAX(ROW(E$1:E2119)*(E2120=E$1:E2119)))))</f>
        <v> </v>
      </c>
      <c r="L2120" s="26"/>
    </row>
    <row r="2121" spans="1:12">
      <c r="A2121" s="20" t="s">
        <v>1002</v>
      </c>
      <c r="E2121" s="21">
        <f>IF(D2121="?OLD","!!!","")</f>
        <v/>
      </c>
      <c r="F2121" s="22" t="str">
        <f>IF(OR(E2121="",E2121="!!!"),"",IF(NOT(ISNA(VLOOKUP(E2121,E$1:E2120,1,FALSE()))),"OLD",IF(AND(E2121&lt;&gt;"",E2121&lt;&gt;"!!!"),"NEW","")))</f>
        <v> </v>
      </c>
      <c r="G2121" s="23" t="str">
        <f>IF(OR(E2121="",E2121="!!!"),"",IF(OR(J2121=0,AND(J2121=1,K2121=1),AND(J2121=1,I2121="SBJ"),AND(J2121=1,I2121=0)),"?IN_FOCUS",IF(J2121&lt;=2,"?ACTIVATED",IF(J2121&lt;&gt;"","?FAMILIAR",IF(F2121="NEW",IF(ISNA(VLOOKUP(E2121,#REF!,1,FALSE())),"?TYPE_IDENTIFIABLE","?REFERENTIAL"),"_")))))</f>
        <v> </v>
      </c>
      <c r="H2121" s="24" t="str">
        <f>IF(J2121&lt;&gt;1,"",IF(I2121="SBJ","CB","?"))</f>
        <v> </v>
      </c>
      <c r="I2121" s="25" t="str">
        <f>IF(OR(E2121="",E2121="!!!",F2121="NEW"),"",INDEX(B2120:B$2,-1+SUMPRODUCT(MAX(ROW(E2120:E$2)*(E2121=E2120:E$2)))))</f>
        <v> </v>
      </c>
      <c r="J2121" s="25" t="str">
        <f>IF(OR(E2121="",E2121="!!!",F2121="NEW"),"",COUNTBLANK(OFFSET(A$1,,,SUMPRODUCT(MAX(ROW(E$2:E2121)*(E2121=E$2:E2121)))))-COUNTBLANK(OFFSET(A$1,,,SUMPRODUCT(MAX(ROW(E$1:E2120)*(E2=E$1:E2120))))))</f>
        <v> </v>
      </c>
      <c r="K2121" s="25" t="str">
        <f>IF(OR(E2121="",E2121="!!!",F2121="NEW"),"",INDEX(J$1:J2120,SUMPRODUCT(MAX(ROW(E$1:E2120)*(E2121=E$1:E2120)))))</f>
        <v> </v>
      </c>
      <c r="L2121" s="26"/>
    </row>
    <row r="2122" spans="1:12">
      <c r="A2122" s="20" t="s">
        <v>551</v>
      </c>
      <c r="B2122" s="27" t="s">
        <v>521</v>
      </c>
      <c r="E2122" s="21">
        <f>IF(D2122="?OLD","!!!","")</f>
        <v/>
      </c>
      <c r="F2122" s="22" t="str">
        <f>IF(OR(E2122="",E2122="!!!"),"",IF(NOT(ISNA(VLOOKUP(E2122,E$1:E2121,1,FALSE()))),"OLD",IF(AND(E2122&lt;&gt;"",E2122&lt;&gt;"!!!"),"NEW","")))</f>
        <v> </v>
      </c>
      <c r="G2122" s="23" t="str">
        <f>IF(OR(E2122="",E2122="!!!"),"",IF(OR(J2122=0,AND(J2122=1,K2122=1),AND(J2122=1,I2122="SBJ"),AND(J2122=1,I2122=0)),"?IN_FOCUS",IF(J2122&lt;=2,"?ACTIVATED",IF(J2122&lt;&gt;"","?FAMILIAR",IF(F2122="NEW",IF(ISNA(VLOOKUP(E2122,#REF!,1,FALSE())),"?TYPE_IDENTIFIABLE","?REFERENTIAL"),"_")))))</f>
        <v> </v>
      </c>
      <c r="H2122" s="24" t="str">
        <f>IF(J2122&lt;&gt;1,"",IF(I2122="SBJ","CB","?"))</f>
        <v> </v>
      </c>
      <c r="I2122" s="25" t="str">
        <f>IF(OR(E2122="",E2122="!!!",F2122="NEW"),"",INDEX(B2121:B$2,-1+SUMPRODUCT(MAX(ROW(E2121:E$2)*(E2122=E2121:E$2)))))</f>
        <v> </v>
      </c>
      <c r="J2122" s="25" t="str">
        <f>IF(OR(E2122="",E2122="!!!",F2122="NEW"),"",COUNTBLANK(OFFSET(A$1,,,SUMPRODUCT(MAX(ROW(E$2:E2122)*(E2122=E$2:E2122)))))-COUNTBLANK(OFFSET(A$1,,,SUMPRODUCT(MAX(ROW(E$1:E2121)*(E2=E$1:E2121))))))</f>
        <v> </v>
      </c>
      <c r="K2122" s="25" t="str">
        <f>IF(OR(E2122="",E2122="!!!",F2122="NEW"),"",INDEX(J$1:J2121,SUMPRODUCT(MAX(ROW(E$1:E2121)*(E2122=E$1:E2121)))))</f>
        <v> </v>
      </c>
      <c r="L2122" s="26"/>
    </row>
    <row r="2123" spans="1:12">
      <c r="A2123" s="20" t="s">
        <v>720</v>
      </c>
      <c r="E2123" s="21">
        <f>IF(D2123="?OLD","!!!","")</f>
        <v/>
      </c>
      <c r="F2123" s="22" t="str">
        <f>IF(OR(E2123="",E2123="!!!"),"",IF(NOT(ISNA(VLOOKUP(E2123,E$1:E2122,1,FALSE()))),"OLD",IF(AND(E2123&lt;&gt;"",E2123&lt;&gt;"!!!"),"NEW","")))</f>
        <v> </v>
      </c>
      <c r="G2123" s="23" t="str">
        <f>IF(OR(E2123="",E2123="!!!"),"",IF(OR(J2123=0,AND(J2123=1,K2123=1),AND(J2123=1,I2123="SBJ"),AND(J2123=1,I2123=0)),"?IN_FOCUS",IF(J2123&lt;=2,"?ACTIVATED",IF(J2123&lt;&gt;"","?FAMILIAR",IF(F2123="NEW",IF(ISNA(VLOOKUP(E2123,#REF!,1,FALSE())),"?TYPE_IDENTIFIABLE","?REFERENTIAL"),"_")))))</f>
        <v> </v>
      </c>
      <c r="H2123" s="24" t="str">
        <f>IF(J2123&lt;&gt;1,"",IF(I2123="SBJ","CB","?"))</f>
        <v> </v>
      </c>
      <c r="I2123" s="25" t="str">
        <f>IF(OR(E2123="",E2123="!!!",F2123="NEW"),"",INDEX(B2122:B$2,-1+SUMPRODUCT(MAX(ROW(E2122:E$2)*(E2123=E2122:E$2)))))</f>
        <v> </v>
      </c>
      <c r="J2123" s="25" t="str">
        <f>IF(OR(E2123="",E2123="!!!",F2123="NEW"),"",COUNTBLANK(OFFSET(A$1,,,SUMPRODUCT(MAX(ROW(E$2:E2123)*(E2123=E$2:E2123)))))-COUNTBLANK(OFFSET(A$1,,,SUMPRODUCT(MAX(ROW(E$1:E2122)*(E2=E$1:E2122))))))</f>
        <v> </v>
      </c>
      <c r="K2123" s="25" t="str">
        <f>IF(OR(E2123="",E2123="!!!",F2123="NEW"),"",INDEX(J$1:J2122,SUMPRODUCT(MAX(ROW(E$1:E2122)*(E2123=E$1:E2122)))))</f>
        <v> </v>
      </c>
      <c r="L2123" s="26"/>
    </row>
    <row r="2124" spans="1:12">
      <c r="A2124" s="20" t="s">
        <v>337</v>
      </c>
      <c r="B2124" s="27" t="s">
        <v>1003</v>
      </c>
      <c r="C2124" s="27" t="s">
        <v>256</v>
      </c>
      <c r="D2124" s="27" t="s">
        <v>244</v>
      </c>
      <c r="E2124" s="21">
        <f>IF(D2124="?OLD","!!!","")</f>
        <v/>
      </c>
      <c r="F2124" s="22" t="str">
        <f>IF(OR(E2124="",E2124="!!!"),"",IF(NOT(ISNA(VLOOKUP(E2124,E$1:E2123,1,FALSE()))),"OLD",IF(AND(E2124&lt;&gt;"",E2124&lt;&gt;"!!!"),"NEW","")))</f>
        <v> </v>
      </c>
      <c r="G2124" s="23" t="str">
        <f>IF(OR(E2124="",E2124="!!!"),"",IF(OR(J2124=0,AND(J2124=1,K2124=1),AND(J2124=1,I2124="SBJ"),AND(J2124=1,I2124=0)),"?IN_FOCUS",IF(J2124&lt;=2,"?ACTIVATED",IF(J2124&lt;&gt;"","?FAMILIAR",IF(F2124="NEW",IF(ISNA(VLOOKUP(E2124,#REF!,1,FALSE())),"?TYPE_IDENTIFIABLE","?REFERENTIAL"),"_")))))</f>
        <v> </v>
      </c>
      <c r="H2124" s="24" t="str">
        <f>IF(J2124&lt;&gt;1,"",IF(I2124="SBJ","CB","?"))</f>
        <v> </v>
      </c>
      <c r="I2124" s="25" t="str">
        <f>IF(OR(E2124="",E2124="!!!",F2124="NEW"),"",INDEX(B2123:B$2,-1+SUMPRODUCT(MAX(ROW(E2123:E$2)*(E2124=E2123:E$2)))))</f>
        <v> </v>
      </c>
      <c r="J2124" s="25" t="str">
        <f>IF(OR(E2124="",E2124="!!!",F2124="NEW"),"",COUNTBLANK(OFFSET(A$1,,,SUMPRODUCT(MAX(ROW(E$2:E2124)*(E2124=E$2:E2124)))))-COUNTBLANK(OFFSET(A$1,,,SUMPRODUCT(MAX(ROW(E$1:E2123)*(E2=E$1:E2123))))))</f>
        <v> </v>
      </c>
      <c r="K2124" s="25" t="str">
        <f>IF(OR(E2124="",E2124="!!!",F2124="NEW"),"",INDEX(J$1:J2123,SUMPRODUCT(MAX(ROW(E$1:E2123)*(E2124=E$1:E2123)))))</f>
        <v> </v>
      </c>
      <c r="L2124" s="26"/>
    </row>
    <row r="2125" spans="1:12">
      <c r="A2125" s="20" t="s">
        <v>713</v>
      </c>
      <c r="E2125" s="21">
        <f>IF(D2125="?OLD","!!!","")</f>
        <v/>
      </c>
      <c r="F2125" s="22" t="str">
        <f>IF(OR(E2125="",E2125="!!!"),"",IF(NOT(ISNA(VLOOKUP(E2125,E$1:E2124,1,FALSE()))),"OLD",IF(AND(E2125&lt;&gt;"",E2125&lt;&gt;"!!!"),"NEW","")))</f>
        <v> </v>
      </c>
      <c r="G2125" s="23" t="str">
        <f>IF(OR(E2125="",E2125="!!!"),"",IF(OR(J2125=0,AND(J2125=1,K2125=1),AND(J2125=1,I2125="SBJ"),AND(J2125=1,I2125=0)),"?IN_FOCUS",IF(J2125&lt;=2,"?ACTIVATED",IF(J2125&lt;&gt;"","?FAMILIAR",IF(F2125="NEW",IF(ISNA(VLOOKUP(E2125,#REF!,1,FALSE())),"?TYPE_IDENTIFIABLE","?REFERENTIAL"),"_")))))</f>
        <v> </v>
      </c>
      <c r="H2125" s="24" t="str">
        <f>IF(J2125&lt;&gt;1,"",IF(I2125="SBJ","CB","?"))</f>
        <v> </v>
      </c>
      <c r="I2125" s="25" t="str">
        <f>IF(OR(E2125="",E2125="!!!",F2125="NEW"),"",INDEX(B2124:B$2,-1+SUMPRODUCT(MAX(ROW(E2124:E$2)*(E2125=E2124:E$2)))))</f>
        <v> </v>
      </c>
      <c r="J2125" s="25" t="str">
        <f>IF(OR(E2125="",E2125="!!!",F2125="NEW"),"",COUNTBLANK(OFFSET(A$1,,,SUMPRODUCT(MAX(ROW(E$2:E2125)*(E2125=E$2:E2125)))))-COUNTBLANK(OFFSET(A$1,,,SUMPRODUCT(MAX(ROW(E$1:E2124)*(E2=E$1:E2124))))))</f>
        <v> </v>
      </c>
      <c r="K2125" s="25" t="str">
        <f>IF(OR(E2125="",E2125="!!!",F2125="NEW"),"",INDEX(J$1:J2124,SUMPRODUCT(MAX(ROW(E$1:E2124)*(E2125=E$1:E2124)))))</f>
        <v> </v>
      </c>
      <c r="L2125" s="26"/>
    </row>
    <row r="2126" spans="1:12">
      <c r="A2126" s="20" t="s">
        <v>1004</v>
      </c>
      <c r="E2126" s="21">
        <f>IF(D2126="?OLD","!!!","")</f>
        <v/>
      </c>
      <c r="F2126" s="22" t="str">
        <f>IF(OR(E2126="",E2126="!!!"),"",IF(NOT(ISNA(VLOOKUP(E2126,E$1:E2125,1,FALSE()))),"OLD",IF(AND(E2126&lt;&gt;"",E2126&lt;&gt;"!!!"),"NEW","")))</f>
        <v> </v>
      </c>
      <c r="G2126" s="23" t="str">
        <f>IF(OR(E2126="",E2126="!!!"),"",IF(OR(J2126=0,AND(J2126=1,K2126=1),AND(J2126=1,I2126="SBJ"),AND(J2126=1,I2126=0)),"?IN_FOCUS",IF(J2126&lt;=2,"?ACTIVATED",IF(J2126&lt;&gt;"","?FAMILIAR",IF(F2126="NEW",IF(ISNA(VLOOKUP(E2126,#REF!,1,FALSE())),"?TYPE_IDENTIFIABLE","?REFERENTIAL"),"_")))))</f>
        <v> </v>
      </c>
      <c r="H2126" s="24" t="str">
        <f>IF(J2126&lt;&gt;1,"",IF(I2126="SBJ","CB","?"))</f>
        <v> </v>
      </c>
      <c r="I2126" s="25" t="str">
        <f>IF(OR(E2126="",E2126="!!!",F2126="NEW"),"",INDEX(B2125:B$2,-1+SUMPRODUCT(MAX(ROW(E2125:E$2)*(E2126=E2125:E$2)))))</f>
        <v> </v>
      </c>
      <c r="J2126" s="25" t="str">
        <f>IF(OR(E2126="",E2126="!!!",F2126="NEW"),"",COUNTBLANK(OFFSET(A$1,,,SUMPRODUCT(MAX(ROW(E$2:E2126)*(E2126=E$2:E2126)))))-COUNTBLANK(OFFSET(A$1,,,SUMPRODUCT(MAX(ROW(E$1:E2125)*(E2=E$1:E2125))))))</f>
        <v> </v>
      </c>
      <c r="K2126" s="25" t="str">
        <f>IF(OR(E2126="",E2126="!!!",F2126="NEW"),"",INDEX(J$1:J2125,SUMPRODUCT(MAX(ROW(E$1:E2125)*(E2126=E$1:E2125)))))</f>
        <v> </v>
      </c>
      <c r="L2126" s="26"/>
    </row>
    <row r="2127" spans="1:12">
      <c r="A2127" s="20" t="s">
        <v>337</v>
      </c>
      <c r="B2127" s="27" t="s">
        <v>1005</v>
      </c>
      <c r="C2127" s="27" t="s">
        <v>256</v>
      </c>
      <c r="D2127" s="27" t="s">
        <v>244</v>
      </c>
      <c r="E2127" s="21">
        <f>IF(D2127="?OLD","!!!","")</f>
        <v/>
      </c>
      <c r="F2127" s="22" t="str">
        <f>IF(OR(E2127="",E2127="!!!"),"",IF(NOT(ISNA(VLOOKUP(E2127,E$1:E2126,1,FALSE()))),"OLD",IF(AND(E2127&lt;&gt;"",E2127&lt;&gt;"!!!"),"NEW","")))</f>
        <v> </v>
      </c>
      <c r="G2127" s="23" t="str">
        <f>IF(OR(E2127="",E2127="!!!"),"",IF(OR(J2127=0,AND(J2127=1,K2127=1),AND(J2127=1,I2127="SBJ"),AND(J2127=1,I2127=0)),"?IN_FOCUS",IF(J2127&lt;=2,"?ACTIVATED",IF(J2127&lt;&gt;"","?FAMILIAR",IF(F2127="NEW",IF(ISNA(VLOOKUP(E2127,#REF!,1,FALSE())),"?TYPE_IDENTIFIABLE","?REFERENTIAL"),"_")))))</f>
        <v> </v>
      </c>
      <c r="H2127" s="24" t="str">
        <f>IF(J2127&lt;&gt;1,"",IF(I2127="SBJ","CB","?"))</f>
        <v> </v>
      </c>
      <c r="I2127" s="25" t="str">
        <f>IF(OR(E2127="",E2127="!!!",F2127="NEW"),"",INDEX(B2126:B$2,-1+SUMPRODUCT(MAX(ROW(E2126:E$2)*(E2127=E2126:E$2)))))</f>
        <v> </v>
      </c>
      <c r="J2127" s="25" t="str">
        <f>IF(OR(E2127="",E2127="!!!",F2127="NEW"),"",COUNTBLANK(OFFSET(A$1,,,SUMPRODUCT(MAX(ROW(E$2:E2127)*(E2127=E$2:E2127)))))-COUNTBLANK(OFFSET(A$1,,,SUMPRODUCT(MAX(ROW(E$1:E2126)*(E2=E$1:E2126))))))</f>
        <v> </v>
      </c>
      <c r="K2127" s="25" t="str">
        <f>IF(OR(E2127="",E2127="!!!",F2127="NEW"),"",INDEX(J$1:J2126,SUMPRODUCT(MAX(ROW(E$1:E2126)*(E2127=E$1:E2126)))))</f>
        <v> </v>
      </c>
      <c r="L2127" s="26"/>
    </row>
    <row r="2128" spans="1:12">
      <c r="A2128" s="20" t="s">
        <v>1006</v>
      </c>
      <c r="E2128" s="21">
        <f>IF(D2128="?OLD","!!!","")</f>
        <v/>
      </c>
      <c r="F2128" s="22" t="str">
        <f>IF(OR(E2128="",E2128="!!!"),"",IF(NOT(ISNA(VLOOKUP(E2128,E$1:E2127,1,FALSE()))),"OLD",IF(AND(E2128&lt;&gt;"",E2128&lt;&gt;"!!!"),"NEW","")))</f>
        <v> </v>
      </c>
      <c r="G2128" s="23" t="str">
        <f>IF(OR(E2128="",E2128="!!!"),"",IF(OR(J2128=0,AND(J2128=1,K2128=1),AND(J2128=1,I2128="SBJ"),AND(J2128=1,I2128=0)),"?IN_FOCUS",IF(J2128&lt;=2,"?ACTIVATED",IF(J2128&lt;&gt;"","?FAMILIAR",IF(F2128="NEW",IF(ISNA(VLOOKUP(E2128,#REF!,1,FALSE())),"?TYPE_IDENTIFIABLE","?REFERENTIAL"),"_")))))</f>
        <v> </v>
      </c>
      <c r="H2128" s="24" t="str">
        <f>IF(J2128&lt;&gt;1,"",IF(I2128="SBJ","CB","?"))</f>
        <v> </v>
      </c>
      <c r="I2128" s="25" t="str">
        <f>IF(OR(E2128="",E2128="!!!",F2128="NEW"),"",INDEX(B2127:B$2,-1+SUMPRODUCT(MAX(ROW(E2127:E$2)*(E2128=E2127:E$2)))))</f>
        <v> </v>
      </c>
      <c r="J2128" s="25" t="str">
        <f>IF(OR(E2128="",E2128="!!!",F2128="NEW"),"",COUNTBLANK(OFFSET(A$1,,,SUMPRODUCT(MAX(ROW(E$2:E2128)*(E2128=E$2:E2128)))))-COUNTBLANK(OFFSET(A$1,,,SUMPRODUCT(MAX(ROW(E$1:E2127)*(E2=E$1:E2127))))))</f>
        <v> </v>
      </c>
      <c r="K2128" s="25" t="str">
        <f>IF(OR(E2128="",E2128="!!!",F2128="NEW"),"",INDEX(J$1:J2127,SUMPRODUCT(MAX(ROW(E$1:E2127)*(E2128=E$1:E2127)))))</f>
        <v> </v>
      </c>
      <c r="L2128" s="26"/>
    </row>
    <row r="2129" spans="1:12">
      <c r="A2129" s="20" t="s">
        <v>285</v>
      </c>
      <c r="E2129" s="21">
        <f>IF(D2129="?OLD","!!!","")</f>
        <v/>
      </c>
      <c r="F2129" s="22" t="str">
        <f>IF(OR(E2129="",E2129="!!!"),"",IF(NOT(ISNA(VLOOKUP(E2129,E$1:E2128,1,FALSE()))),"OLD",IF(AND(E2129&lt;&gt;"",E2129&lt;&gt;"!!!"),"NEW","")))</f>
        <v> </v>
      </c>
      <c r="G2129" s="23" t="str">
        <f>IF(OR(E2129="",E2129="!!!"),"",IF(OR(J2129=0,AND(J2129=1,K2129=1),AND(J2129=1,I2129="SBJ"),AND(J2129=1,I2129=0)),"?IN_FOCUS",IF(J2129&lt;=2,"?ACTIVATED",IF(J2129&lt;&gt;"","?FAMILIAR",IF(F2129="NEW",IF(ISNA(VLOOKUP(E2129,#REF!,1,FALSE())),"?TYPE_IDENTIFIABLE","?REFERENTIAL"),"_")))))</f>
        <v> </v>
      </c>
      <c r="H2129" s="24" t="str">
        <f>IF(J2129&lt;&gt;1,"",IF(I2129="SBJ","CB","?"))</f>
        <v> </v>
      </c>
      <c r="I2129" s="25" t="str">
        <f>IF(OR(E2129="",E2129="!!!",F2129="NEW"),"",INDEX(B2128:B$2,-1+SUMPRODUCT(MAX(ROW(E2128:E$2)*(E2129=E2128:E$2)))))</f>
        <v> </v>
      </c>
      <c r="J2129" s="25" t="str">
        <f>IF(OR(E2129="",E2129="!!!",F2129="NEW"),"",COUNTBLANK(OFFSET(A$1,,,SUMPRODUCT(MAX(ROW(E$2:E2129)*(E2129=E$2:E2129)))))-COUNTBLANK(OFFSET(A$1,,,SUMPRODUCT(MAX(ROW(E$1:E2128)*(E2=E$1:E2128))))))</f>
        <v> </v>
      </c>
      <c r="K2129" s="25" t="str">
        <f>IF(OR(E2129="",E2129="!!!",F2129="NEW"),"",INDEX(J$1:J2128,SUMPRODUCT(MAX(ROW(E$1:E2128)*(E2129=E$1:E2128)))))</f>
        <v> </v>
      </c>
      <c r="L2129" s="26"/>
    </row>
    <row r="2130" spans="1:12">
      <c r="A2130" s="20"/>
    </row>
    <row r="2131" spans="1:12">
      <c r="A2131" s="20" t="s">
        <v>1007</v>
      </c>
    </row>
    <row r="2132" spans="1:12">
      <c r="A2132" s="20" t="s">
        <v>580</v>
      </c>
      <c r="B2132" s="27" t="s">
        <v>255</v>
      </c>
      <c r="C2132" s="27" t="s">
        <v>256</v>
      </c>
      <c r="D2132" s="27" t="s">
        <v>244</v>
      </c>
      <c r="E2132" s="21">
        <f>IF(D2132="?OLD","!!!","")</f>
        <v/>
      </c>
      <c r="F2132" s="22" t="str">
        <f>IF(OR(E2132="",E2132="!!!"),"",IF(NOT(ISNA(VLOOKUP(E2132,E$1:E2131,1,FALSE()))),"OLD",IF(AND(E2132&lt;&gt;"",E2132&lt;&gt;"!!!"),"NEW","")))</f>
        <v> </v>
      </c>
      <c r="G2132" s="23" t="str">
        <f>IF(OR(E2132="",E2132="!!!"),"",IF(OR(J2132=0,AND(J2132=1,K2132=1),AND(J2132=1,I2132="SBJ"),AND(J2132=1,I2132=0)),"?IN_FOCUS",IF(J2132&lt;=2,"?ACTIVATED",IF(J2132&lt;&gt;"","?FAMILIAR",IF(F2132="NEW",IF(ISNA(VLOOKUP(E2132,#REF!,1,FALSE())),"?TYPE_IDENTIFIABLE","?REFERENTIAL"),"_")))))</f>
        <v> </v>
      </c>
      <c r="H2132" s="24" t="str">
        <f>IF(J2132&lt;&gt;1,"",IF(I2132="SBJ","CB","?"))</f>
        <v> </v>
      </c>
      <c r="I2132" s="25" t="str">
        <f>IF(OR(E2132="",E2132="!!!",F2132="NEW"),"",INDEX(B2131:B$2,-1+SUMPRODUCT(MAX(ROW(E2131:E$2)*(E2132=E2131:E$2)))))</f>
        <v> </v>
      </c>
      <c r="J2132" s="25" t="str">
        <f>IF(OR(E2132="",E2132="!!!",F2132="NEW"),"",COUNTBLANK(OFFSET(A$1,,,SUMPRODUCT(MAX(ROW(E$2:E2132)*(E2132=E$2:E2132)))))-COUNTBLANK(OFFSET(A$1,,,SUMPRODUCT(MAX(ROW(E$1:E2131)*(E2=E$1:E2131))))))</f>
        <v> </v>
      </c>
      <c r="K2132" s="25" t="str">
        <f>IF(OR(E2132="",E2132="!!!",F2132="NEW"),"",INDEX(J$1:J2131,SUMPRODUCT(MAX(ROW(E$1:E2131)*(E2132=E$1:E2131)))))</f>
        <v> </v>
      </c>
      <c r="L2132" s="26"/>
    </row>
    <row r="2133" spans="1:12">
      <c r="A2133" s="20" t="s">
        <v>442</v>
      </c>
      <c r="E2133" s="21">
        <f>IF(D2133="?OLD","!!!","")</f>
        <v/>
      </c>
      <c r="F2133" s="22" t="str">
        <f>IF(OR(E2133="",E2133="!!!"),"",IF(NOT(ISNA(VLOOKUP(E2133,E$1:E2132,1,FALSE()))),"OLD",IF(AND(E2133&lt;&gt;"",E2133&lt;&gt;"!!!"),"NEW","")))</f>
        <v> </v>
      </c>
      <c r="G2133" s="23" t="str">
        <f>IF(OR(E2133="",E2133="!!!"),"",IF(OR(J2133=0,AND(J2133=1,K2133=1),AND(J2133=1,I2133="SBJ"),AND(J2133=1,I2133=0)),"?IN_FOCUS",IF(J2133&lt;=2,"?ACTIVATED",IF(J2133&lt;&gt;"","?FAMILIAR",IF(F2133="NEW",IF(ISNA(VLOOKUP(E2133,#REF!,1,FALSE())),"?TYPE_IDENTIFIABLE","?REFERENTIAL"),"_")))))</f>
        <v> </v>
      </c>
      <c r="H2133" s="24" t="str">
        <f>IF(J2133&lt;&gt;1,"",IF(I2133="SBJ","CB","?"))</f>
        <v> </v>
      </c>
      <c r="I2133" s="25" t="str">
        <f>IF(OR(E2133="",E2133="!!!",F2133="NEW"),"",INDEX(B2132:B$2,-1+SUMPRODUCT(MAX(ROW(E2132:E$2)*(E2133=E2132:E$2)))))</f>
        <v> </v>
      </c>
      <c r="J2133" s="25" t="str">
        <f>IF(OR(E2133="",E2133="!!!",F2133="NEW"),"",COUNTBLANK(OFFSET(A$1,,,SUMPRODUCT(MAX(ROW(E$2:E2133)*(E2133=E$2:E2133)))))-COUNTBLANK(OFFSET(A$1,,,SUMPRODUCT(MAX(ROW(E$1:E2132)*(E2=E$1:E2132))))))</f>
        <v> </v>
      </c>
      <c r="K2133" s="25" t="str">
        <f>IF(OR(E2133="",E2133="!!!",F2133="NEW"),"",INDEX(J$1:J2132,SUMPRODUCT(MAX(ROW(E$1:E2132)*(E2133=E$1:E2132)))))</f>
        <v> </v>
      </c>
      <c r="L2133" s="26"/>
    </row>
    <row r="2134" spans="1:12">
      <c r="A2134" s="20" t="s">
        <v>326</v>
      </c>
      <c r="B2134" s="27" t="s">
        <v>237</v>
      </c>
      <c r="C2134" s="27" t="s">
        <v>327</v>
      </c>
      <c r="E2134" s="21">
        <f>IF(D2134="?OLD","!!!","")</f>
        <v/>
      </c>
      <c r="F2134" s="22" t="str">
        <f>IF(OR(E2134="",E2134="!!!"),"",IF(NOT(ISNA(VLOOKUP(E2134,E$1:E2133,1,FALSE()))),"OLD",IF(AND(E2134&lt;&gt;"",E2134&lt;&gt;"!!!"),"NEW","")))</f>
        <v> </v>
      </c>
      <c r="G2134" s="23" t="str">
        <f>IF(OR(E2134="",E2134="!!!"),"",IF(OR(J2134=0,AND(J2134=1,K2134=1),AND(J2134=1,I2134="SBJ"),AND(J2134=1,I2134=0)),"?IN_FOCUS",IF(J2134&lt;=2,"?ACTIVATED",IF(J2134&lt;&gt;"","?FAMILIAR",IF(F2134="NEW",IF(ISNA(VLOOKUP(E2134,#REF!,1,FALSE())),"?TYPE_IDENTIFIABLE","?REFERENTIAL"),"_")))))</f>
        <v> </v>
      </c>
      <c r="H2134" s="24" t="str">
        <f>IF(J2134&lt;&gt;1,"",IF(I2134="SBJ","CB","?"))</f>
        <v> </v>
      </c>
      <c r="I2134" s="25" t="str">
        <f>IF(OR(E2134="",E2134="!!!",F2134="NEW"),"",INDEX(B2133:B$2,-1+SUMPRODUCT(MAX(ROW(E2133:E$2)*(E2134=E2133:E$2)))))</f>
        <v> </v>
      </c>
      <c r="J2134" s="25" t="str">
        <f>IF(OR(E2134="",E2134="!!!",F2134="NEW"),"",COUNTBLANK(OFFSET(A$1,,,SUMPRODUCT(MAX(ROW(E$2:E2134)*(E2134=E$2:E2134)))))-COUNTBLANK(OFFSET(A$1,,,SUMPRODUCT(MAX(ROW(E$1:E2133)*(E2=E$1:E2133))))))</f>
        <v> </v>
      </c>
      <c r="K2134" s="25" t="str">
        <f>IF(OR(E2134="",E2134="!!!",F2134="NEW"),"",INDEX(J$1:J2133,SUMPRODUCT(MAX(ROW(E$1:E2133)*(E2134=E$1:E2133)))))</f>
        <v> </v>
      </c>
      <c r="L2134" s="26"/>
    </row>
    <row r="2135" spans="1:12">
      <c r="A2135" s="20" t="s">
        <v>254</v>
      </c>
      <c r="B2135" s="27" t="s">
        <v>295</v>
      </c>
      <c r="C2135" s="27" t="s">
        <v>256</v>
      </c>
      <c r="D2135" s="27" t="s">
        <v>244</v>
      </c>
      <c r="E2135" s="21">
        <f>IF(D2135="?OLD","!!!","")</f>
        <v/>
      </c>
      <c r="F2135" s="22" t="str">
        <f>IF(OR(E2135="",E2135="!!!"),"",IF(NOT(ISNA(VLOOKUP(E2135,E$1:E2134,1,FALSE()))),"OLD",IF(AND(E2135&lt;&gt;"",E2135&lt;&gt;"!!!"),"NEW","")))</f>
        <v> </v>
      </c>
      <c r="G2135" s="23" t="str">
        <f>IF(OR(E2135="",E2135="!!!"),"",IF(OR(J2135=0,AND(J2135=1,K2135=1),AND(J2135=1,I2135="SBJ"),AND(J2135=1,I2135=0)),"?IN_FOCUS",IF(J2135&lt;=2,"?ACTIVATED",IF(J2135&lt;&gt;"","?FAMILIAR",IF(F2135="NEW",IF(ISNA(VLOOKUP(E2135,#REF!,1,FALSE())),"?TYPE_IDENTIFIABLE","?REFERENTIAL"),"_")))))</f>
        <v> </v>
      </c>
      <c r="H2135" s="24" t="str">
        <f>IF(J2135&lt;&gt;1,"",IF(I2135="SBJ","CB","?"))</f>
        <v> </v>
      </c>
      <c r="I2135" s="25" t="str">
        <f>IF(OR(E2135="",E2135="!!!",F2135="NEW"),"",INDEX(B2134:B$2,-1+SUMPRODUCT(MAX(ROW(E2134:E$2)*(E2135=E2134:E$2)))))</f>
        <v> </v>
      </c>
      <c r="J2135" s="25" t="str">
        <f>IF(OR(E2135="",E2135="!!!",F2135="NEW"),"",COUNTBLANK(OFFSET(A$1,,,SUMPRODUCT(MAX(ROW(E$2:E2135)*(E2135=E$2:E2135)))))-COUNTBLANK(OFFSET(A$1,,,SUMPRODUCT(MAX(ROW(E$1:E2134)*(E2=E$1:E2134))))))</f>
        <v> </v>
      </c>
      <c r="K2135" s="25" t="str">
        <f>IF(OR(E2135="",E2135="!!!",F2135="NEW"),"",INDEX(J$1:J2134,SUMPRODUCT(MAX(ROW(E$1:E2134)*(E2135=E$1:E2134)))))</f>
        <v> </v>
      </c>
      <c r="L2135" s="26"/>
    </row>
    <row r="2136" spans="1:12">
      <c r="A2136" s="20" t="s">
        <v>346</v>
      </c>
      <c r="E2136" s="21">
        <f>IF(D2136="?OLD","!!!","")</f>
        <v/>
      </c>
      <c r="F2136" s="22" t="str">
        <f>IF(OR(E2136="",E2136="!!!"),"",IF(NOT(ISNA(VLOOKUP(E2136,E$1:E2135,1,FALSE()))),"OLD",IF(AND(E2136&lt;&gt;"",E2136&lt;&gt;"!!!"),"NEW","")))</f>
        <v> </v>
      </c>
      <c r="G2136" s="23" t="str">
        <f>IF(OR(E2136="",E2136="!!!"),"",IF(OR(J2136=0,AND(J2136=1,K2136=1),AND(J2136=1,I2136="SBJ"),AND(J2136=1,I2136=0)),"?IN_FOCUS",IF(J2136&lt;=2,"?ACTIVATED",IF(J2136&lt;&gt;"","?FAMILIAR",IF(F2136="NEW",IF(ISNA(VLOOKUP(E2136,#REF!,1,FALSE())),"?TYPE_IDENTIFIABLE","?REFERENTIAL"),"_")))))</f>
        <v> </v>
      </c>
      <c r="H2136" s="24" t="str">
        <f>IF(J2136&lt;&gt;1,"",IF(I2136="SBJ","CB","?"))</f>
        <v> </v>
      </c>
      <c r="I2136" s="25" t="str">
        <f>IF(OR(E2136="",E2136="!!!",F2136="NEW"),"",INDEX(B2135:B$2,-1+SUMPRODUCT(MAX(ROW(E2135:E$2)*(E2136=E2135:E$2)))))</f>
        <v> </v>
      </c>
      <c r="J2136" s="25" t="str">
        <f>IF(OR(E2136="",E2136="!!!",F2136="NEW"),"",COUNTBLANK(OFFSET(A$1,,,SUMPRODUCT(MAX(ROW(E$2:E2136)*(E2136=E$2:E2136)))))-COUNTBLANK(OFFSET(A$1,,,SUMPRODUCT(MAX(ROW(E$1:E2135)*(E2=E$1:E2135))))))</f>
        <v> </v>
      </c>
      <c r="K2136" s="25" t="str">
        <f>IF(OR(E2136="",E2136="!!!",F2136="NEW"),"",INDEX(J$1:J2135,SUMPRODUCT(MAX(ROW(E$1:E2135)*(E2136=E$1:E2135)))))</f>
        <v> </v>
      </c>
      <c r="L2136" s="26"/>
    </row>
    <row r="2137" spans="1:12">
      <c r="A2137" s="20" t="s">
        <v>349</v>
      </c>
      <c r="E2137" s="21">
        <f>IF(D2137="?OLD","!!!","")</f>
        <v/>
      </c>
      <c r="F2137" s="22" t="str">
        <f>IF(OR(E2137="",E2137="!!!"),"",IF(NOT(ISNA(VLOOKUP(E2137,E$1:E2136,1,FALSE()))),"OLD",IF(AND(E2137&lt;&gt;"",E2137&lt;&gt;"!!!"),"NEW","")))</f>
        <v> </v>
      </c>
      <c r="G2137" s="23" t="str">
        <f>IF(OR(E2137="",E2137="!!!"),"",IF(OR(J2137=0,AND(J2137=1,K2137=1),AND(J2137=1,I2137="SBJ"),AND(J2137=1,I2137=0)),"?IN_FOCUS",IF(J2137&lt;=2,"?ACTIVATED",IF(J2137&lt;&gt;"","?FAMILIAR",IF(F2137="NEW",IF(ISNA(VLOOKUP(E2137,#REF!,1,FALSE())),"?TYPE_IDENTIFIABLE","?REFERENTIAL"),"_")))))</f>
        <v> </v>
      </c>
      <c r="H2137" s="24" t="str">
        <f>IF(J2137&lt;&gt;1,"",IF(I2137="SBJ","CB","?"))</f>
        <v> </v>
      </c>
      <c r="I2137" s="25" t="str">
        <f>IF(OR(E2137="",E2137="!!!",F2137="NEW"),"",INDEX(B2136:B$2,-1+SUMPRODUCT(MAX(ROW(E2136:E$2)*(E2137=E2136:E$2)))))</f>
        <v> </v>
      </c>
      <c r="J2137" s="25" t="str">
        <f>IF(OR(E2137="",E2137="!!!",F2137="NEW"),"",COUNTBLANK(OFFSET(A$1,,,SUMPRODUCT(MAX(ROW(E$2:E2137)*(E2137=E$2:E2137)))))-COUNTBLANK(OFFSET(A$1,,,SUMPRODUCT(MAX(ROW(E$1:E2136)*(E2=E$1:E2136))))))</f>
        <v> </v>
      </c>
      <c r="K2137" s="25" t="str">
        <f>IF(OR(E2137="",E2137="!!!",F2137="NEW"),"",INDEX(J$1:J2136,SUMPRODUCT(MAX(ROW(E$1:E2136)*(E2137=E$1:E2136)))))</f>
        <v> </v>
      </c>
      <c r="L2137" s="26"/>
    </row>
    <row r="2138" spans="1:12">
      <c r="A2138" s="20" t="s">
        <v>1008</v>
      </c>
      <c r="E2138" s="21">
        <f>IF(D2138="?OLD","!!!","")</f>
        <v/>
      </c>
      <c r="F2138" s="22" t="str">
        <f>IF(OR(E2138="",E2138="!!!"),"",IF(NOT(ISNA(VLOOKUP(E2138,E$1:E2137,1,FALSE()))),"OLD",IF(AND(E2138&lt;&gt;"",E2138&lt;&gt;"!!!"),"NEW","")))</f>
        <v> </v>
      </c>
      <c r="G2138" s="23" t="str">
        <f>IF(OR(E2138="",E2138="!!!"),"",IF(OR(J2138=0,AND(J2138=1,K2138=1),AND(J2138=1,I2138="SBJ"),AND(J2138=1,I2138=0)),"?IN_FOCUS",IF(J2138&lt;=2,"?ACTIVATED",IF(J2138&lt;&gt;"","?FAMILIAR",IF(F2138="NEW",IF(ISNA(VLOOKUP(E2138,#REF!,1,FALSE())),"?TYPE_IDENTIFIABLE","?REFERENTIAL"),"_")))))</f>
        <v> </v>
      </c>
      <c r="H2138" s="24" t="str">
        <f>IF(J2138&lt;&gt;1,"",IF(I2138="SBJ","CB","?"))</f>
        <v> </v>
      </c>
      <c r="I2138" s="25" t="str">
        <f>IF(OR(E2138="",E2138="!!!",F2138="NEW"),"",INDEX(B2137:B$2,-1+SUMPRODUCT(MAX(ROW(E2137:E$2)*(E2138=E2137:E$2)))))</f>
        <v> </v>
      </c>
      <c r="J2138" s="25" t="str">
        <f>IF(OR(E2138="",E2138="!!!",F2138="NEW"),"",COUNTBLANK(OFFSET(A$1,,,SUMPRODUCT(MAX(ROW(E$2:E2138)*(E2138=E$2:E2138)))))-COUNTBLANK(OFFSET(A$1,,,SUMPRODUCT(MAX(ROW(E$1:E2137)*(E2=E$1:E2137))))))</f>
        <v> </v>
      </c>
      <c r="K2138" s="25" t="str">
        <f>IF(OR(E2138="",E2138="!!!",F2138="NEW"),"",INDEX(J$1:J2137,SUMPRODUCT(MAX(ROW(E$1:E2137)*(E2138=E$1:E2137)))))</f>
        <v> </v>
      </c>
      <c r="L2138" s="26"/>
    </row>
    <row r="2139" spans="1:12">
      <c r="A2139" s="20" t="s">
        <v>282</v>
      </c>
      <c r="B2139" s="27" t="s">
        <v>329</v>
      </c>
      <c r="C2139" s="27" t="s">
        <v>243</v>
      </c>
      <c r="D2139" s="27" t="s">
        <v>244</v>
      </c>
      <c r="E2139" s="21">
        <f>IF(D2139="?OLD","!!!","")</f>
        <v/>
      </c>
      <c r="F2139" s="22" t="str">
        <f>IF(OR(E2139="",E2139="!!!"),"",IF(NOT(ISNA(VLOOKUP(E2139,E$1:E2138,1,FALSE()))),"OLD",IF(AND(E2139&lt;&gt;"",E2139&lt;&gt;"!!!"),"NEW","")))</f>
        <v> </v>
      </c>
      <c r="G2139" s="23" t="str">
        <f>IF(OR(E2139="",E2139="!!!"),"",IF(OR(J2139=0,AND(J2139=1,K2139=1),AND(J2139=1,I2139="SBJ"),AND(J2139=1,I2139=0)),"?IN_FOCUS",IF(J2139&lt;=2,"?ACTIVATED",IF(J2139&lt;&gt;"","?FAMILIAR",IF(F2139="NEW",IF(ISNA(VLOOKUP(E2139,#REF!,1,FALSE())),"?TYPE_IDENTIFIABLE","?REFERENTIAL"),"_")))))</f>
        <v> </v>
      </c>
      <c r="H2139" s="24" t="str">
        <f>IF(J2139&lt;&gt;1,"",IF(I2139="SBJ","CB","?"))</f>
        <v> </v>
      </c>
      <c r="I2139" s="25" t="str">
        <f>IF(OR(E2139="",E2139="!!!",F2139="NEW"),"",INDEX(B2138:B$2,-1+SUMPRODUCT(MAX(ROW(E2138:E$2)*(E2139=E2138:E$2)))))</f>
        <v> </v>
      </c>
      <c r="J2139" s="25" t="str">
        <f>IF(OR(E2139="",E2139="!!!",F2139="NEW"),"",COUNTBLANK(OFFSET(A$1,,,SUMPRODUCT(MAX(ROW(E$2:E2139)*(E2139=E$2:E2139)))))-COUNTBLANK(OFFSET(A$1,,,SUMPRODUCT(MAX(ROW(E$1:E2138)*(E2=E$1:E2138))))))</f>
        <v> </v>
      </c>
      <c r="K2139" s="25" t="str">
        <f>IF(OR(E2139="",E2139="!!!",F2139="NEW"),"",INDEX(J$1:J2138,SUMPRODUCT(MAX(ROW(E$1:E2138)*(E2139=E$1:E2138)))))</f>
        <v> </v>
      </c>
      <c r="L2139" s="26"/>
    </row>
    <row r="2140" spans="1:12">
      <c r="A2140" s="20" t="s">
        <v>284</v>
      </c>
      <c r="E2140" s="21">
        <f>IF(D2140="?OLD","!!!","")</f>
        <v/>
      </c>
      <c r="F2140" s="22" t="str">
        <f>IF(OR(E2140="",E2140="!!!"),"",IF(NOT(ISNA(VLOOKUP(E2140,E$1:E2139,1,FALSE()))),"OLD",IF(AND(E2140&lt;&gt;"",E2140&lt;&gt;"!!!"),"NEW","")))</f>
        <v> </v>
      </c>
      <c r="G2140" s="23" t="str">
        <f>IF(OR(E2140="",E2140="!!!"),"",IF(OR(J2140=0,AND(J2140=1,K2140=1),AND(J2140=1,I2140="SBJ"),AND(J2140=1,I2140=0)),"?IN_FOCUS",IF(J2140&lt;=2,"?ACTIVATED",IF(J2140&lt;&gt;"","?FAMILIAR",IF(F2140="NEW",IF(ISNA(VLOOKUP(E2140,#REF!,1,FALSE())),"?TYPE_IDENTIFIABLE","?REFERENTIAL"),"_")))))</f>
        <v> </v>
      </c>
      <c r="H2140" s="24" t="str">
        <f>IF(J2140&lt;&gt;1,"",IF(I2140="SBJ","CB","?"))</f>
        <v> </v>
      </c>
      <c r="I2140" s="25" t="str">
        <f>IF(OR(E2140="",E2140="!!!",F2140="NEW"),"",INDEX(B2139:B$2,-1+SUMPRODUCT(MAX(ROW(E2139:E$2)*(E2140=E2139:E$2)))))</f>
        <v> </v>
      </c>
      <c r="J2140" s="25" t="str">
        <f>IF(OR(E2140="",E2140="!!!",F2140="NEW"),"",COUNTBLANK(OFFSET(A$1,,,SUMPRODUCT(MAX(ROW(E$2:E2140)*(E2140=E$2:E2140)))))-COUNTBLANK(OFFSET(A$1,,,SUMPRODUCT(MAX(ROW(E$1:E2139)*(E2=E$1:E2139))))))</f>
        <v> </v>
      </c>
      <c r="K2140" s="25" t="str">
        <f>IF(OR(E2140="",E2140="!!!",F2140="NEW"),"",INDEX(J$1:J2139,SUMPRODUCT(MAX(ROW(E$1:E2139)*(E2140=E$1:E2139)))))</f>
        <v> </v>
      </c>
      <c r="L2140" s="26"/>
    </row>
    <row r="2141" spans="1:12">
      <c r="A2141" s="20" t="s">
        <v>268</v>
      </c>
      <c r="E2141" s="21">
        <f>IF(D2141="?OLD","!!!","")</f>
        <v/>
      </c>
      <c r="F2141" s="22" t="str">
        <f>IF(OR(E2141="",E2141="!!!"),"",IF(NOT(ISNA(VLOOKUP(E2141,E$1:E2140,1,FALSE()))),"OLD",IF(AND(E2141&lt;&gt;"",E2141&lt;&gt;"!!!"),"NEW","")))</f>
        <v> </v>
      </c>
      <c r="G2141" s="23" t="str">
        <f>IF(OR(E2141="",E2141="!!!"),"",IF(OR(J2141=0,AND(J2141=1,K2141=1),AND(J2141=1,I2141="SBJ"),AND(J2141=1,I2141=0)),"?IN_FOCUS",IF(J2141&lt;=2,"?ACTIVATED",IF(J2141&lt;&gt;"","?FAMILIAR",IF(F2141="NEW",IF(ISNA(VLOOKUP(E2141,#REF!,1,FALSE())),"?TYPE_IDENTIFIABLE","?REFERENTIAL"),"_")))))</f>
        <v> </v>
      </c>
      <c r="H2141" s="24" t="str">
        <f>IF(J2141&lt;&gt;1,"",IF(I2141="SBJ","CB","?"))</f>
        <v> </v>
      </c>
      <c r="I2141" s="25" t="str">
        <f>IF(OR(E2141="",E2141="!!!",F2141="NEW"),"",INDEX(B2140:B$2,-1+SUMPRODUCT(MAX(ROW(E2140:E$2)*(E2141=E2140:E$2)))))</f>
        <v> </v>
      </c>
      <c r="J2141" s="25" t="str">
        <f>IF(OR(E2141="",E2141="!!!",F2141="NEW"),"",COUNTBLANK(OFFSET(A$1,,,SUMPRODUCT(MAX(ROW(E$2:E2141)*(E2141=E$2:E2141)))))-COUNTBLANK(OFFSET(A$1,,,SUMPRODUCT(MAX(ROW(E$1:E2140)*(E2=E$1:E2140))))))</f>
        <v> </v>
      </c>
      <c r="K2141" s="25" t="str">
        <f>IF(OR(E2141="",E2141="!!!",F2141="NEW"),"",INDEX(J$1:J2140,SUMPRODUCT(MAX(ROW(E$1:E2140)*(E2141=E$1:E2140)))))</f>
        <v> </v>
      </c>
      <c r="L2141" s="26"/>
    </row>
    <row r="2142" spans="1:12">
      <c r="A2142" s="20" t="s">
        <v>926</v>
      </c>
      <c r="E2142" s="21">
        <f>IF(D2142="?OLD","!!!","")</f>
        <v/>
      </c>
      <c r="F2142" s="22" t="str">
        <f>IF(OR(E2142="",E2142="!!!"),"",IF(NOT(ISNA(VLOOKUP(E2142,E$1:E2141,1,FALSE()))),"OLD",IF(AND(E2142&lt;&gt;"",E2142&lt;&gt;"!!!"),"NEW","")))</f>
        <v> </v>
      </c>
      <c r="G2142" s="23" t="str">
        <f>IF(OR(E2142="",E2142="!!!"),"",IF(OR(J2142=0,AND(J2142=1,K2142=1),AND(J2142=1,I2142="SBJ"),AND(J2142=1,I2142=0)),"?IN_FOCUS",IF(J2142&lt;=2,"?ACTIVATED",IF(J2142&lt;&gt;"","?FAMILIAR",IF(F2142="NEW",IF(ISNA(VLOOKUP(E2142,#REF!,1,FALSE())),"?TYPE_IDENTIFIABLE","?REFERENTIAL"),"_")))))</f>
        <v> </v>
      </c>
      <c r="H2142" s="24" t="str">
        <f>IF(J2142&lt;&gt;1,"",IF(I2142="SBJ","CB","?"))</f>
        <v> </v>
      </c>
      <c r="I2142" s="25" t="str">
        <f>IF(OR(E2142="",E2142="!!!",F2142="NEW"),"",INDEX(B2141:B$2,-1+SUMPRODUCT(MAX(ROW(E2141:E$2)*(E2142=E2141:E$2)))))</f>
        <v> </v>
      </c>
      <c r="J2142" s="25" t="str">
        <f>IF(OR(E2142="",E2142="!!!",F2142="NEW"),"",COUNTBLANK(OFFSET(A$1,,,SUMPRODUCT(MAX(ROW(E$2:E2142)*(E2142=E$2:E2142)))))-COUNTBLANK(OFFSET(A$1,,,SUMPRODUCT(MAX(ROW(E$1:E2141)*(E2=E$1:E2141))))))</f>
        <v> </v>
      </c>
      <c r="K2142" s="25" t="str">
        <f>IF(OR(E2142="",E2142="!!!",F2142="NEW"),"",INDEX(J$1:J2141,SUMPRODUCT(MAX(ROW(E$1:E2141)*(E2142=E$1:E2141)))))</f>
        <v> </v>
      </c>
      <c r="L2142" s="26"/>
    </row>
    <row r="2143" spans="1:12">
      <c r="A2143" s="20" t="s">
        <v>420</v>
      </c>
      <c r="E2143" s="21">
        <f>IF(D2143="?OLD","!!!","")</f>
        <v/>
      </c>
      <c r="F2143" s="22" t="str">
        <f>IF(OR(E2143="",E2143="!!!"),"",IF(NOT(ISNA(VLOOKUP(E2143,E$1:E2142,1,FALSE()))),"OLD",IF(AND(E2143&lt;&gt;"",E2143&lt;&gt;"!!!"),"NEW","")))</f>
        <v> </v>
      </c>
      <c r="G2143" s="23" t="str">
        <f>IF(OR(E2143="",E2143="!!!"),"",IF(OR(J2143=0,AND(J2143=1,K2143=1),AND(J2143=1,I2143="SBJ"),AND(J2143=1,I2143=0)),"?IN_FOCUS",IF(J2143&lt;=2,"?ACTIVATED",IF(J2143&lt;&gt;"","?FAMILIAR",IF(F2143="NEW",IF(ISNA(VLOOKUP(E2143,#REF!,1,FALSE())),"?TYPE_IDENTIFIABLE","?REFERENTIAL"),"_")))))</f>
        <v> </v>
      </c>
      <c r="H2143" s="24" t="str">
        <f>IF(J2143&lt;&gt;1,"",IF(I2143="SBJ","CB","?"))</f>
        <v> </v>
      </c>
      <c r="I2143" s="25" t="str">
        <f>IF(OR(E2143="",E2143="!!!",F2143="NEW"),"",INDEX(B2142:B$2,-1+SUMPRODUCT(MAX(ROW(E2142:E$2)*(E2143=E2142:E$2)))))</f>
        <v> </v>
      </c>
      <c r="J2143" s="25" t="str">
        <f>IF(OR(E2143="",E2143="!!!",F2143="NEW"),"",COUNTBLANK(OFFSET(A$1,,,SUMPRODUCT(MAX(ROW(E$2:E2143)*(E2143=E$2:E2143)))))-COUNTBLANK(OFFSET(A$1,,,SUMPRODUCT(MAX(ROW(E$1:E2142)*(E2=E$1:E2142))))))</f>
        <v> </v>
      </c>
      <c r="K2143" s="25" t="str">
        <f>IF(OR(E2143="",E2143="!!!",F2143="NEW"),"",INDEX(J$1:J2142,SUMPRODUCT(MAX(ROW(E$1:E2142)*(E2143=E$1:E2142)))))</f>
        <v> </v>
      </c>
      <c r="L2143" s="26"/>
    </row>
    <row r="2144" spans="1:12">
      <c r="A2144" s="20" t="s">
        <v>254</v>
      </c>
      <c r="B2144" s="27" t="s">
        <v>361</v>
      </c>
      <c r="C2144" s="27" t="s">
        <v>256</v>
      </c>
      <c r="D2144" s="27" t="s">
        <v>244</v>
      </c>
      <c r="E2144" s="21">
        <f>IF(D2144="?OLD","!!!","")</f>
        <v/>
      </c>
      <c r="F2144" s="22" t="str">
        <f>IF(OR(E2144="",E2144="!!!"),"",IF(NOT(ISNA(VLOOKUP(E2144,E$1:E2143,1,FALSE()))),"OLD",IF(AND(E2144&lt;&gt;"",E2144&lt;&gt;"!!!"),"NEW","")))</f>
        <v> </v>
      </c>
      <c r="G2144" s="23" t="str">
        <f>IF(OR(E2144="",E2144="!!!"),"",IF(OR(J2144=0,AND(J2144=1,K2144=1),AND(J2144=1,I2144="SBJ"),AND(J2144=1,I2144=0)),"?IN_FOCUS",IF(J2144&lt;=2,"?ACTIVATED",IF(J2144&lt;&gt;"","?FAMILIAR",IF(F2144="NEW",IF(ISNA(VLOOKUP(E2144,#REF!,1,FALSE())),"?TYPE_IDENTIFIABLE","?REFERENTIAL"),"_")))))</f>
        <v> </v>
      </c>
      <c r="H2144" s="24" t="str">
        <f>IF(J2144&lt;&gt;1,"",IF(I2144="SBJ","CB","?"))</f>
        <v> </v>
      </c>
      <c r="I2144" s="25" t="str">
        <f>IF(OR(E2144="",E2144="!!!",F2144="NEW"),"",INDEX(B2143:B$2,-1+SUMPRODUCT(MAX(ROW(E2143:E$2)*(E2144=E2143:E$2)))))</f>
        <v> </v>
      </c>
      <c r="J2144" s="25" t="str">
        <f>IF(OR(E2144="",E2144="!!!",F2144="NEW"),"",COUNTBLANK(OFFSET(A$1,,,SUMPRODUCT(MAX(ROW(E$2:E2144)*(E2144=E$2:E2144)))))-COUNTBLANK(OFFSET(A$1,,,SUMPRODUCT(MAX(ROW(E$1:E2143)*(E2=E$1:E2143))))))</f>
        <v> </v>
      </c>
      <c r="K2144" s="25" t="str">
        <f>IF(OR(E2144="",E2144="!!!",F2144="NEW"),"",INDEX(J$1:J2143,SUMPRODUCT(MAX(ROW(E$1:E2143)*(E2144=E$1:E2143)))))</f>
        <v> </v>
      </c>
      <c r="L2144" s="26"/>
    </row>
    <row r="2145" spans="1:12">
      <c r="A2145" s="20" t="s">
        <v>378</v>
      </c>
      <c r="E2145" s="21">
        <f>IF(D2145="?OLD","!!!","")</f>
        <v/>
      </c>
      <c r="F2145" s="22" t="str">
        <f>IF(OR(E2145="",E2145="!!!"),"",IF(NOT(ISNA(VLOOKUP(E2145,E$1:E2144,1,FALSE()))),"OLD",IF(AND(E2145&lt;&gt;"",E2145&lt;&gt;"!!!"),"NEW","")))</f>
        <v> </v>
      </c>
      <c r="G2145" s="23" t="str">
        <f>IF(OR(E2145="",E2145="!!!"),"",IF(OR(J2145=0,AND(J2145=1,K2145=1),AND(J2145=1,I2145="SBJ"),AND(J2145=1,I2145=0)),"?IN_FOCUS",IF(J2145&lt;=2,"?ACTIVATED",IF(J2145&lt;&gt;"","?FAMILIAR",IF(F2145="NEW",IF(ISNA(VLOOKUP(E2145,#REF!,1,FALSE())),"?TYPE_IDENTIFIABLE","?REFERENTIAL"),"_")))))</f>
        <v> </v>
      </c>
      <c r="H2145" s="24" t="str">
        <f>IF(J2145&lt;&gt;1,"",IF(I2145="SBJ","CB","?"))</f>
        <v> </v>
      </c>
      <c r="I2145" s="25" t="str">
        <f>IF(OR(E2145="",E2145="!!!",F2145="NEW"),"",INDEX(B2144:B$2,-1+SUMPRODUCT(MAX(ROW(E2144:E$2)*(E2145=E2144:E$2)))))</f>
        <v> </v>
      </c>
      <c r="J2145" s="25" t="str">
        <f>IF(OR(E2145="",E2145="!!!",F2145="NEW"),"",COUNTBLANK(OFFSET(A$1,,,SUMPRODUCT(MAX(ROW(E$2:E2145)*(E2145=E$2:E2145)))))-COUNTBLANK(OFFSET(A$1,,,SUMPRODUCT(MAX(ROW(E$1:E2144)*(E2=E$1:E2144))))))</f>
        <v> </v>
      </c>
      <c r="K2145" s="25" t="str">
        <f>IF(OR(E2145="",E2145="!!!",F2145="NEW"),"",INDEX(J$1:J2144,SUMPRODUCT(MAX(ROW(E$1:E2144)*(E2145=E$1:E2144)))))</f>
        <v> </v>
      </c>
      <c r="L2145" s="26"/>
    </row>
    <row r="2146" spans="1:12">
      <c r="A2146" s="20" t="s">
        <v>290</v>
      </c>
      <c r="B2146" s="27" t="s">
        <v>504</v>
      </c>
      <c r="C2146" s="27" t="s">
        <v>256</v>
      </c>
      <c r="D2146" s="27" t="s">
        <v>244</v>
      </c>
      <c r="E2146" s="21">
        <f>IF(D2146="?OLD","!!!","")</f>
        <v/>
      </c>
      <c r="F2146" s="22" t="str">
        <f>IF(OR(E2146="",E2146="!!!"),"",IF(NOT(ISNA(VLOOKUP(E2146,E$1:E2145,1,FALSE()))),"OLD",IF(AND(E2146&lt;&gt;"",E2146&lt;&gt;"!!!"),"NEW","")))</f>
        <v> </v>
      </c>
      <c r="G2146" s="23" t="str">
        <f>IF(OR(E2146="",E2146="!!!"),"",IF(OR(J2146=0,AND(J2146=1,K2146=1),AND(J2146=1,I2146="SBJ"),AND(J2146=1,I2146=0)),"?IN_FOCUS",IF(J2146&lt;=2,"?ACTIVATED",IF(J2146&lt;&gt;"","?FAMILIAR",IF(F2146="NEW",IF(ISNA(VLOOKUP(E2146,#REF!,1,FALSE())),"?TYPE_IDENTIFIABLE","?REFERENTIAL"),"_")))))</f>
        <v> </v>
      </c>
      <c r="H2146" s="24" t="str">
        <f>IF(J2146&lt;&gt;1,"",IF(I2146="SBJ","CB","?"))</f>
        <v> </v>
      </c>
      <c r="I2146" s="25" t="str">
        <f>IF(OR(E2146="",E2146="!!!",F2146="NEW"),"",INDEX(B2145:B$2,-1+SUMPRODUCT(MAX(ROW(E2145:E$2)*(E2146=E2145:E$2)))))</f>
        <v> </v>
      </c>
      <c r="J2146" s="25" t="str">
        <f>IF(OR(E2146="",E2146="!!!",F2146="NEW"),"",COUNTBLANK(OFFSET(A$1,,,SUMPRODUCT(MAX(ROW(E$2:E2146)*(E2146=E$2:E2146)))))-COUNTBLANK(OFFSET(A$1,,,SUMPRODUCT(MAX(ROW(E$1:E2145)*(E2=E$1:E2145))))))</f>
        <v> </v>
      </c>
      <c r="K2146" s="25" t="str">
        <f>IF(OR(E2146="",E2146="!!!",F2146="NEW"),"",INDEX(J$1:J2145,SUMPRODUCT(MAX(ROW(E$1:E2145)*(E2146=E$1:E2145)))))</f>
        <v> </v>
      </c>
      <c r="L2146" s="26"/>
    </row>
    <row r="2147" spans="1:12">
      <c r="A2147" s="20" t="s">
        <v>1009</v>
      </c>
      <c r="E2147" s="21">
        <f>IF(D2147="?OLD","!!!","")</f>
        <v/>
      </c>
      <c r="F2147" s="22" t="str">
        <f>IF(OR(E2147="",E2147="!!!"),"",IF(NOT(ISNA(VLOOKUP(E2147,E$1:E2146,1,FALSE()))),"OLD",IF(AND(E2147&lt;&gt;"",E2147&lt;&gt;"!!!"),"NEW","")))</f>
        <v> </v>
      </c>
      <c r="G2147" s="23" t="str">
        <f>IF(OR(E2147="",E2147="!!!"),"",IF(OR(J2147=0,AND(J2147=1,K2147=1),AND(J2147=1,I2147="SBJ"),AND(J2147=1,I2147=0)),"?IN_FOCUS",IF(J2147&lt;=2,"?ACTIVATED",IF(J2147&lt;&gt;"","?FAMILIAR",IF(F2147="NEW",IF(ISNA(VLOOKUP(E2147,#REF!,1,FALSE())),"?TYPE_IDENTIFIABLE","?REFERENTIAL"),"_")))))</f>
        <v> </v>
      </c>
      <c r="H2147" s="24" t="str">
        <f>IF(J2147&lt;&gt;1,"",IF(I2147="SBJ","CB","?"))</f>
        <v> </v>
      </c>
      <c r="I2147" s="25" t="str">
        <f>IF(OR(E2147="",E2147="!!!",F2147="NEW"),"",INDEX(B2146:B$2,-1+SUMPRODUCT(MAX(ROW(E2146:E$2)*(E2147=E2146:E$2)))))</f>
        <v> </v>
      </c>
      <c r="J2147" s="25" t="str">
        <f>IF(OR(E2147="",E2147="!!!",F2147="NEW"),"",COUNTBLANK(OFFSET(A$1,,,SUMPRODUCT(MAX(ROW(E$2:E2147)*(E2147=E$2:E2147)))))-COUNTBLANK(OFFSET(A$1,,,SUMPRODUCT(MAX(ROW(E$1:E2146)*(E2=E$1:E2146))))))</f>
        <v> </v>
      </c>
      <c r="K2147" s="25" t="str">
        <f>IF(OR(E2147="",E2147="!!!",F2147="NEW"),"",INDEX(J$1:J2146,SUMPRODUCT(MAX(ROW(E$1:E2146)*(E2147=E$1:E2146)))))</f>
        <v> </v>
      </c>
      <c r="L2147" s="26"/>
    </row>
    <row r="2148" spans="1:12">
      <c r="A2148" s="20" t="s">
        <v>270</v>
      </c>
      <c r="E2148" s="21">
        <f>IF(D2148="?OLD","!!!","")</f>
        <v/>
      </c>
      <c r="F2148" s="22" t="str">
        <f>IF(OR(E2148="",E2148="!!!"),"",IF(NOT(ISNA(VLOOKUP(E2148,E$1:E2147,1,FALSE()))),"OLD",IF(AND(E2148&lt;&gt;"",E2148&lt;&gt;"!!!"),"NEW","")))</f>
        <v> </v>
      </c>
      <c r="G2148" s="23" t="str">
        <f>IF(OR(E2148="",E2148="!!!"),"",IF(OR(J2148=0,AND(J2148=1,K2148=1),AND(J2148=1,I2148="SBJ"),AND(J2148=1,I2148=0)),"?IN_FOCUS",IF(J2148&lt;=2,"?ACTIVATED",IF(J2148&lt;&gt;"","?FAMILIAR",IF(F2148="NEW",IF(ISNA(VLOOKUP(E2148,#REF!,1,FALSE())),"?TYPE_IDENTIFIABLE","?REFERENTIAL"),"_")))))</f>
        <v> </v>
      </c>
      <c r="H2148" s="24" t="str">
        <f>IF(J2148&lt;&gt;1,"",IF(I2148="SBJ","CB","?"))</f>
        <v> </v>
      </c>
      <c r="I2148" s="25" t="str">
        <f>IF(OR(E2148="",E2148="!!!",F2148="NEW"),"",INDEX(B2147:B$2,-1+SUMPRODUCT(MAX(ROW(E2147:E$2)*(E2148=E2147:E$2)))))</f>
        <v> </v>
      </c>
      <c r="J2148" s="25" t="str">
        <f>IF(OR(E2148="",E2148="!!!",F2148="NEW"),"",COUNTBLANK(OFFSET(A$1,,,SUMPRODUCT(MAX(ROW(E$2:E2148)*(E2148=E$2:E2148)))))-COUNTBLANK(OFFSET(A$1,,,SUMPRODUCT(MAX(ROW(E$1:E2147)*(E2=E$1:E2147))))))</f>
        <v> </v>
      </c>
      <c r="K2148" s="25" t="str">
        <f>IF(OR(E2148="",E2148="!!!",F2148="NEW"),"",INDEX(J$1:J2147,SUMPRODUCT(MAX(ROW(E$1:E2147)*(E2148=E$1:E2147)))))</f>
        <v> </v>
      </c>
      <c r="L2148" s="26"/>
    </row>
    <row r="2149" spans="1:12">
      <c r="A2149" s="20" t="s">
        <v>331</v>
      </c>
      <c r="E2149" s="21">
        <f>IF(D2149="?OLD","!!!","")</f>
        <v/>
      </c>
      <c r="F2149" s="22" t="str">
        <f>IF(OR(E2149="",E2149="!!!"),"",IF(NOT(ISNA(VLOOKUP(E2149,E$1:E2148,1,FALSE()))),"OLD",IF(AND(E2149&lt;&gt;"",E2149&lt;&gt;"!!!"),"NEW","")))</f>
        <v> </v>
      </c>
      <c r="G2149" s="23" t="str">
        <f>IF(OR(E2149="",E2149="!!!"),"",IF(OR(J2149=0,AND(J2149=1,K2149=1),AND(J2149=1,I2149="SBJ"),AND(J2149=1,I2149=0)),"?IN_FOCUS",IF(J2149&lt;=2,"?ACTIVATED",IF(J2149&lt;&gt;"","?FAMILIAR",IF(F2149="NEW",IF(ISNA(VLOOKUP(E2149,#REF!,1,FALSE())),"?TYPE_IDENTIFIABLE","?REFERENTIAL"),"_")))))</f>
        <v> </v>
      </c>
      <c r="H2149" s="24" t="str">
        <f>IF(J2149&lt;&gt;1,"",IF(I2149="SBJ","CB","?"))</f>
        <v> </v>
      </c>
      <c r="I2149" s="25" t="str">
        <f>IF(OR(E2149="",E2149="!!!",F2149="NEW"),"",INDEX(B2148:B$2,-1+SUMPRODUCT(MAX(ROW(E2148:E$2)*(E2149=E2148:E$2)))))</f>
        <v> </v>
      </c>
      <c r="J2149" s="25" t="str">
        <f>IF(OR(E2149="",E2149="!!!",F2149="NEW"),"",COUNTBLANK(OFFSET(A$1,,,SUMPRODUCT(MAX(ROW(E$2:E2149)*(E2149=E$2:E2149)))))-COUNTBLANK(OFFSET(A$1,,,SUMPRODUCT(MAX(ROW(E$1:E2148)*(E2=E$1:E2148))))))</f>
        <v> </v>
      </c>
      <c r="K2149" s="25" t="str">
        <f>IF(OR(E2149="",E2149="!!!",F2149="NEW"),"",INDEX(J$1:J2148,SUMPRODUCT(MAX(ROW(E$1:E2148)*(E2149=E$1:E2148)))))</f>
        <v> </v>
      </c>
      <c r="L2149" s="26"/>
    </row>
    <row r="2150" spans="1:12">
      <c r="A2150" s="20" t="s">
        <v>332</v>
      </c>
      <c r="E2150" s="21">
        <f>IF(D2150="?OLD","!!!","")</f>
        <v/>
      </c>
      <c r="F2150" s="22" t="str">
        <f>IF(OR(E2150="",E2150="!!!"),"",IF(NOT(ISNA(VLOOKUP(E2150,E$1:E2149,1,FALSE()))),"OLD",IF(AND(E2150&lt;&gt;"",E2150&lt;&gt;"!!!"),"NEW","")))</f>
        <v> </v>
      </c>
      <c r="G2150" s="23" t="str">
        <f>IF(OR(E2150="",E2150="!!!"),"",IF(OR(J2150=0,AND(J2150=1,K2150=1),AND(J2150=1,I2150="SBJ"),AND(J2150=1,I2150=0)),"?IN_FOCUS",IF(J2150&lt;=2,"?ACTIVATED",IF(J2150&lt;&gt;"","?FAMILIAR",IF(F2150="NEW",IF(ISNA(VLOOKUP(E2150,#REF!,1,FALSE())),"?TYPE_IDENTIFIABLE","?REFERENTIAL"),"_")))))</f>
        <v> </v>
      </c>
      <c r="H2150" s="24" t="str">
        <f>IF(J2150&lt;&gt;1,"",IF(I2150="SBJ","CB","?"))</f>
        <v> </v>
      </c>
      <c r="I2150" s="25" t="str">
        <f>IF(OR(E2150="",E2150="!!!",F2150="NEW"),"",INDEX(B2149:B$2,-1+SUMPRODUCT(MAX(ROW(E2149:E$2)*(E2150=E2149:E$2)))))</f>
        <v> </v>
      </c>
      <c r="J2150" s="25" t="str">
        <f>IF(OR(E2150="",E2150="!!!",F2150="NEW"),"",COUNTBLANK(OFFSET(A$1,,,SUMPRODUCT(MAX(ROW(E$2:E2150)*(E2150=E$2:E2150)))))-COUNTBLANK(OFFSET(A$1,,,SUMPRODUCT(MAX(ROW(E$1:E2149)*(E2=E$1:E2149))))))</f>
        <v> </v>
      </c>
      <c r="K2150" s="25" t="str">
        <f>IF(OR(E2150="",E2150="!!!",F2150="NEW"),"",INDEX(J$1:J2149,SUMPRODUCT(MAX(ROW(E$1:E2149)*(E2150=E$1:E2149)))))</f>
        <v> </v>
      </c>
      <c r="L2150" s="26"/>
    </row>
    <row r="2151" spans="1:12">
      <c r="A2151" s="20" t="s">
        <v>300</v>
      </c>
      <c r="B2151" s="27" t="s">
        <v>461</v>
      </c>
      <c r="C2151" s="27" t="s">
        <v>334</v>
      </c>
      <c r="D2151" s="27" t="s">
        <v>244</v>
      </c>
      <c r="E2151" s="21">
        <f>IF(D2151="?OLD","!!!","")</f>
        <v/>
      </c>
      <c r="F2151" s="22" t="str">
        <f>IF(OR(E2151="",E2151="!!!"),"",IF(NOT(ISNA(VLOOKUP(E2151,E$1:E2150,1,FALSE()))),"OLD",IF(AND(E2151&lt;&gt;"",E2151&lt;&gt;"!!!"),"NEW","")))</f>
        <v> </v>
      </c>
      <c r="G2151" s="23" t="str">
        <f>IF(OR(E2151="",E2151="!!!"),"",IF(OR(J2151=0,AND(J2151=1,K2151=1),AND(J2151=1,I2151="SBJ"),AND(J2151=1,I2151=0)),"?IN_FOCUS",IF(J2151&lt;=2,"?ACTIVATED",IF(J2151&lt;&gt;"","?FAMILIAR",IF(F2151="NEW",IF(ISNA(VLOOKUP(E2151,#REF!,1,FALSE())),"?TYPE_IDENTIFIABLE","?REFERENTIAL"),"_")))))</f>
        <v> </v>
      </c>
      <c r="H2151" s="24" t="str">
        <f>IF(J2151&lt;&gt;1,"",IF(I2151="SBJ","CB","?"))</f>
        <v> </v>
      </c>
      <c r="I2151" s="25" t="str">
        <f>IF(OR(E2151="",E2151="!!!",F2151="NEW"),"",INDEX(B2150:B$2,-1+SUMPRODUCT(MAX(ROW(E2150:E$2)*(E2151=E2150:E$2)))))</f>
        <v> </v>
      </c>
      <c r="J2151" s="25" t="str">
        <f>IF(OR(E2151="",E2151="!!!",F2151="NEW"),"",COUNTBLANK(OFFSET(A$1,,,SUMPRODUCT(MAX(ROW(E$2:E2151)*(E2151=E$2:E2151)))))-COUNTBLANK(OFFSET(A$1,,,SUMPRODUCT(MAX(ROW(E$1:E2150)*(E2=E$1:E2150))))))</f>
        <v> </v>
      </c>
      <c r="K2151" s="25" t="str">
        <f>IF(OR(E2151="",E2151="!!!",F2151="NEW"),"",INDEX(J$1:J2150,SUMPRODUCT(MAX(ROW(E$1:E2150)*(E2151=E$1:E2150)))))</f>
        <v> </v>
      </c>
      <c r="L2151" s="26"/>
    </row>
    <row r="2152" spans="1:12">
      <c r="A2152" s="20" t="s">
        <v>428</v>
      </c>
      <c r="E2152" s="21">
        <f>IF(D2152="?OLD","!!!","")</f>
        <v/>
      </c>
      <c r="F2152" s="22" t="str">
        <f>IF(OR(E2152="",E2152="!!!"),"",IF(NOT(ISNA(VLOOKUP(E2152,E$1:E2151,1,FALSE()))),"OLD",IF(AND(E2152&lt;&gt;"",E2152&lt;&gt;"!!!"),"NEW","")))</f>
        <v> </v>
      </c>
      <c r="G2152" s="23" t="str">
        <f>IF(OR(E2152="",E2152="!!!"),"",IF(OR(J2152=0,AND(J2152=1,K2152=1),AND(J2152=1,I2152="SBJ"),AND(J2152=1,I2152=0)),"?IN_FOCUS",IF(J2152&lt;=2,"?ACTIVATED",IF(J2152&lt;&gt;"","?FAMILIAR",IF(F2152="NEW",IF(ISNA(VLOOKUP(E2152,#REF!,1,FALSE())),"?TYPE_IDENTIFIABLE","?REFERENTIAL"),"_")))))</f>
        <v> </v>
      </c>
      <c r="H2152" s="24" t="str">
        <f>IF(J2152&lt;&gt;1,"",IF(I2152="SBJ","CB","?"))</f>
        <v> </v>
      </c>
      <c r="I2152" s="25" t="str">
        <f>IF(OR(E2152="",E2152="!!!",F2152="NEW"),"",INDEX(B2151:B$2,-1+SUMPRODUCT(MAX(ROW(E2151:E$2)*(E2152=E2151:E$2)))))</f>
        <v> </v>
      </c>
      <c r="J2152" s="25" t="str">
        <f>IF(OR(E2152="",E2152="!!!",F2152="NEW"),"",COUNTBLANK(OFFSET(A$1,,,SUMPRODUCT(MAX(ROW(E$2:E2152)*(E2152=E$2:E2152)))))-COUNTBLANK(OFFSET(A$1,,,SUMPRODUCT(MAX(ROW(E$1:E2151)*(E2=E$1:E2151))))))</f>
        <v> </v>
      </c>
      <c r="K2152" s="25" t="str">
        <f>IF(OR(E2152="",E2152="!!!",F2152="NEW"),"",INDEX(J$1:J2151,SUMPRODUCT(MAX(ROW(E$1:E2151)*(E2152=E$1:E2151)))))</f>
        <v> </v>
      </c>
      <c r="L2152" s="26"/>
    </row>
    <row r="2153" spans="1:12">
      <c r="A2153" s="20" t="s">
        <v>431</v>
      </c>
      <c r="B2153" s="27" t="s">
        <v>461</v>
      </c>
      <c r="C2153" s="27" t="s">
        <v>238</v>
      </c>
      <c r="E2153" s="21">
        <f>IF(D2153="?OLD","!!!","")</f>
        <v/>
      </c>
      <c r="F2153" s="22" t="str">
        <f>IF(OR(E2153="",E2153="!!!"),"",IF(NOT(ISNA(VLOOKUP(E2153,E$1:E2152,1,FALSE()))),"OLD",IF(AND(E2153&lt;&gt;"",E2153&lt;&gt;"!!!"),"NEW","")))</f>
        <v> </v>
      </c>
      <c r="G2153" s="23" t="str">
        <f>IF(OR(E2153="",E2153="!!!"),"",IF(OR(J2153=0,AND(J2153=1,K2153=1),AND(J2153=1,I2153="SBJ"),AND(J2153=1,I2153=0)),"?IN_FOCUS",IF(J2153&lt;=2,"?ACTIVATED",IF(J2153&lt;&gt;"","?FAMILIAR",IF(F2153="NEW",IF(ISNA(VLOOKUP(E2153,#REF!,1,FALSE())),"?TYPE_IDENTIFIABLE","?REFERENTIAL"),"_")))))</f>
        <v> </v>
      </c>
      <c r="H2153" s="24" t="str">
        <f>IF(J2153&lt;&gt;1,"",IF(I2153="SBJ","CB","?"))</f>
        <v> </v>
      </c>
      <c r="I2153" s="25" t="str">
        <f>IF(OR(E2153="",E2153="!!!",F2153="NEW"),"",INDEX(B2152:B$2,-1+SUMPRODUCT(MAX(ROW(E2152:E$2)*(E2153=E2152:E$2)))))</f>
        <v> </v>
      </c>
      <c r="J2153" s="25" t="str">
        <f>IF(OR(E2153="",E2153="!!!",F2153="NEW"),"",COUNTBLANK(OFFSET(A$1,,,SUMPRODUCT(MAX(ROW(E$2:E2153)*(E2153=E$2:E2153)))))-COUNTBLANK(OFFSET(A$1,,,SUMPRODUCT(MAX(ROW(E$1:E2152)*(E2=E$1:E2152))))))</f>
        <v> </v>
      </c>
      <c r="K2153" s="25" t="str">
        <f>IF(OR(E2153="",E2153="!!!",F2153="NEW"),"",INDEX(J$1:J2152,SUMPRODUCT(MAX(ROW(E$1:E2152)*(E2153=E$1:E2152)))))</f>
        <v> </v>
      </c>
      <c r="L2153" s="26"/>
    </row>
    <row r="2154" spans="1:12">
      <c r="A2154" s="20" t="s">
        <v>321</v>
      </c>
      <c r="E2154" s="21">
        <f>IF(D2154="?OLD","!!!","")</f>
        <v/>
      </c>
      <c r="F2154" s="22" t="str">
        <f>IF(OR(E2154="",E2154="!!!"),"",IF(NOT(ISNA(VLOOKUP(E2154,E$1:E2153,1,FALSE()))),"OLD",IF(AND(E2154&lt;&gt;"",E2154&lt;&gt;"!!!"),"NEW","")))</f>
        <v> </v>
      </c>
      <c r="G2154" s="23" t="str">
        <f>IF(OR(E2154="",E2154="!!!"),"",IF(OR(J2154=0,AND(J2154=1,K2154=1),AND(J2154=1,I2154="SBJ"),AND(J2154=1,I2154=0)),"?IN_FOCUS",IF(J2154&lt;=2,"?ACTIVATED",IF(J2154&lt;&gt;"","?FAMILIAR",IF(F2154="NEW",IF(ISNA(VLOOKUP(E2154,#REF!,1,FALSE())),"?TYPE_IDENTIFIABLE","?REFERENTIAL"),"_")))))</f>
        <v> </v>
      </c>
      <c r="H2154" s="24" t="str">
        <f>IF(J2154&lt;&gt;1,"",IF(I2154="SBJ","CB","?"))</f>
        <v> </v>
      </c>
      <c r="I2154" s="25" t="str">
        <f>IF(OR(E2154="",E2154="!!!",F2154="NEW"),"",INDEX(B2153:B$2,-1+SUMPRODUCT(MAX(ROW(E2153:E$2)*(E2154=E2153:E$2)))))</f>
        <v> </v>
      </c>
      <c r="J2154" s="25" t="str">
        <f>IF(OR(E2154="",E2154="!!!",F2154="NEW"),"",COUNTBLANK(OFFSET(A$1,,,SUMPRODUCT(MAX(ROW(E$2:E2154)*(E2154=E$2:E2154)))))-COUNTBLANK(OFFSET(A$1,,,SUMPRODUCT(MAX(ROW(E$1:E2153)*(E2=E$1:E2153))))))</f>
        <v> </v>
      </c>
      <c r="K2154" s="25" t="str">
        <f>IF(OR(E2154="",E2154="!!!",F2154="NEW"),"",INDEX(J$1:J2153,SUMPRODUCT(MAX(ROW(E$1:E2153)*(E2154=E$1:E2153)))))</f>
        <v> </v>
      </c>
      <c r="L2154" s="26"/>
    </row>
    <row r="2155" spans="1:12">
      <c r="A2155" s="20" t="s">
        <v>248</v>
      </c>
      <c r="E2155" s="21">
        <f>IF(D2155="?OLD","!!!","")</f>
        <v/>
      </c>
      <c r="F2155" s="22" t="str">
        <f>IF(OR(E2155="",E2155="!!!"),"",IF(NOT(ISNA(VLOOKUP(E2155,E$1:E2154,1,FALSE()))),"OLD",IF(AND(E2155&lt;&gt;"",E2155&lt;&gt;"!!!"),"NEW","")))</f>
        <v> </v>
      </c>
      <c r="G2155" s="23" t="str">
        <f>IF(OR(E2155="",E2155="!!!"),"",IF(OR(J2155=0,AND(J2155=1,K2155=1),AND(J2155=1,I2155="SBJ"),AND(J2155=1,I2155=0)),"?IN_FOCUS",IF(J2155&lt;=2,"?ACTIVATED",IF(J2155&lt;&gt;"","?FAMILIAR",IF(F2155="NEW",IF(ISNA(VLOOKUP(E2155,#REF!,1,FALSE())),"?TYPE_IDENTIFIABLE","?REFERENTIAL"),"_")))))</f>
        <v> </v>
      </c>
      <c r="H2155" s="24" t="str">
        <f>IF(J2155&lt;&gt;1,"",IF(I2155="SBJ","CB","?"))</f>
        <v> </v>
      </c>
      <c r="I2155" s="25" t="str">
        <f>IF(OR(E2155="",E2155="!!!",F2155="NEW"),"",INDEX(B2154:B$2,-1+SUMPRODUCT(MAX(ROW(E2154:E$2)*(E2155=E2154:E$2)))))</f>
        <v> </v>
      </c>
      <c r="J2155" s="25" t="str">
        <f>IF(OR(E2155="",E2155="!!!",F2155="NEW"),"",COUNTBLANK(OFFSET(A$1,,,SUMPRODUCT(MAX(ROW(E$2:E2155)*(E2155=E$2:E2155)))))-COUNTBLANK(OFFSET(A$1,,,SUMPRODUCT(MAX(ROW(E$1:E2154)*(E2=E$1:E2154))))))</f>
        <v> </v>
      </c>
      <c r="K2155" s="25" t="str">
        <f>IF(OR(E2155="",E2155="!!!",F2155="NEW"),"",INDEX(J$1:J2154,SUMPRODUCT(MAX(ROW(E$1:E2154)*(E2155=E$1:E2154)))))</f>
        <v> </v>
      </c>
      <c r="L2155" s="26"/>
    </row>
    <row r="2156" spans="1:12">
      <c r="A2156" s="20" t="s">
        <v>1010</v>
      </c>
      <c r="B2156" s="27" t="s">
        <v>461</v>
      </c>
      <c r="C2156" s="27" t="s">
        <v>252</v>
      </c>
      <c r="D2156" s="27" t="s">
        <v>244</v>
      </c>
      <c r="E2156" s="21">
        <f>IF(D2156="?OLD","!!!","")</f>
        <v/>
      </c>
      <c r="F2156" s="22" t="str">
        <f>IF(OR(E2156="",E2156="!!!"),"",IF(NOT(ISNA(VLOOKUP(E2156,E$1:E2155,1,FALSE()))),"OLD",IF(AND(E2156&lt;&gt;"",E2156&lt;&gt;"!!!"),"NEW","")))</f>
        <v> </v>
      </c>
      <c r="G2156" s="23" t="str">
        <f>IF(OR(E2156="",E2156="!!!"),"",IF(OR(J2156=0,AND(J2156=1,K2156=1),AND(J2156=1,I2156="SBJ"),AND(J2156=1,I2156=0)),"?IN_FOCUS",IF(J2156&lt;=2,"?ACTIVATED",IF(J2156&lt;&gt;"","?FAMILIAR",IF(F2156="NEW",IF(ISNA(VLOOKUP(E2156,#REF!,1,FALSE())),"?TYPE_IDENTIFIABLE","?REFERENTIAL"),"_")))))</f>
        <v> </v>
      </c>
      <c r="H2156" s="24" t="str">
        <f>IF(J2156&lt;&gt;1,"",IF(I2156="SBJ","CB","?"))</f>
        <v> </v>
      </c>
      <c r="I2156" s="25" t="str">
        <f>IF(OR(E2156="",E2156="!!!",F2156="NEW"),"",INDEX(B2155:B$2,-1+SUMPRODUCT(MAX(ROW(E2155:E$2)*(E2156=E2155:E$2)))))</f>
        <v> </v>
      </c>
      <c r="J2156" s="25" t="str">
        <f>IF(OR(E2156="",E2156="!!!",F2156="NEW"),"",COUNTBLANK(OFFSET(A$1,,,SUMPRODUCT(MAX(ROW(E$2:E2156)*(E2156=E$2:E2156)))))-COUNTBLANK(OFFSET(A$1,,,SUMPRODUCT(MAX(ROW(E$1:E2155)*(E2=E$1:E2155))))))</f>
        <v> </v>
      </c>
      <c r="K2156" s="25" t="str">
        <f>IF(OR(E2156="",E2156="!!!",F2156="NEW"),"",INDEX(J$1:J2155,SUMPRODUCT(MAX(ROW(E$1:E2155)*(E2156=E$1:E2155)))))</f>
        <v> </v>
      </c>
      <c r="L2156" s="26"/>
    </row>
    <row r="2157" spans="1:12">
      <c r="A2157" s="20" t="s">
        <v>285</v>
      </c>
      <c r="E2157" s="21">
        <f>IF(D2157="?OLD","!!!","")</f>
        <v/>
      </c>
      <c r="F2157" s="22" t="str">
        <f>IF(OR(E2157="",E2157="!!!"),"",IF(NOT(ISNA(VLOOKUP(E2157,E$1:E2156,1,FALSE()))),"OLD",IF(AND(E2157&lt;&gt;"",E2157&lt;&gt;"!!!"),"NEW","")))</f>
        <v> </v>
      </c>
      <c r="G2157" s="23" t="str">
        <f>IF(OR(E2157="",E2157="!!!"),"",IF(OR(J2157=0,AND(J2157=1,K2157=1),AND(J2157=1,I2157="SBJ"),AND(J2157=1,I2157=0)),"?IN_FOCUS",IF(J2157&lt;=2,"?ACTIVATED",IF(J2157&lt;&gt;"","?FAMILIAR",IF(F2157="NEW",IF(ISNA(VLOOKUP(E2157,#REF!,1,FALSE())),"?TYPE_IDENTIFIABLE","?REFERENTIAL"),"_")))))</f>
        <v> </v>
      </c>
      <c r="H2157" s="24" t="str">
        <f>IF(J2157&lt;&gt;1,"",IF(I2157="SBJ","CB","?"))</f>
        <v> </v>
      </c>
      <c r="I2157" s="25" t="str">
        <f>IF(OR(E2157="",E2157="!!!",F2157="NEW"),"",INDEX(B2156:B$2,-1+SUMPRODUCT(MAX(ROW(E2156:E$2)*(E2157=E2156:E$2)))))</f>
        <v> </v>
      </c>
      <c r="J2157" s="25" t="str">
        <f>IF(OR(E2157="",E2157="!!!",F2157="NEW"),"",COUNTBLANK(OFFSET(A$1,,,SUMPRODUCT(MAX(ROW(E$2:E2157)*(E2157=E$2:E2157)))))-COUNTBLANK(OFFSET(A$1,,,SUMPRODUCT(MAX(ROW(E$1:E2156)*(E2=E$1:E2156))))))</f>
        <v> </v>
      </c>
      <c r="K2157" s="25" t="str">
        <f>IF(OR(E2157="",E2157="!!!",F2157="NEW"),"",INDEX(J$1:J2156,SUMPRODUCT(MAX(ROW(E$1:E2156)*(E2157=E$1:E2156)))))</f>
        <v> </v>
      </c>
      <c r="L2157" s="26"/>
    </row>
    <row r="2158" spans="1:12">
      <c r="A2158" s="20"/>
    </row>
    <row r="2159" spans="1:12">
      <c r="A2159" s="20" t="s">
        <v>1011</v>
      </c>
    </row>
    <row r="2160" spans="1:12">
      <c r="A2160" s="20" t="s">
        <v>1012</v>
      </c>
      <c r="E2160" s="21">
        <f>IF(D2160="?OLD","!!!","")</f>
        <v/>
      </c>
      <c r="F2160" s="22" t="str">
        <f>IF(OR(E2160="",E2160="!!!"),"",IF(NOT(ISNA(VLOOKUP(E2160,E$1:E2159,1,FALSE()))),"OLD",IF(AND(E2160&lt;&gt;"",E2160&lt;&gt;"!!!"),"NEW","")))</f>
        <v> </v>
      </c>
      <c r="G2160" s="23" t="str">
        <f>IF(OR(E2160="",E2160="!!!"),"",IF(OR(J2160=0,AND(J2160=1,K2160=1),AND(J2160=1,I2160="SBJ"),AND(J2160=1,I2160=0)),"?IN_FOCUS",IF(J2160&lt;=2,"?ACTIVATED",IF(J2160&lt;&gt;"","?FAMILIAR",IF(F2160="NEW",IF(ISNA(VLOOKUP(E2160,#REF!,1,FALSE())),"?TYPE_IDENTIFIABLE","?REFERENTIAL"),"_")))))</f>
        <v> </v>
      </c>
      <c r="H2160" s="24" t="str">
        <f>IF(J2160&lt;&gt;1,"",IF(I2160="SBJ","CB","?"))</f>
        <v> </v>
      </c>
      <c r="I2160" s="25" t="str">
        <f>IF(OR(E2160="",E2160="!!!",F2160="NEW"),"",INDEX(B2159:B$2,-1+SUMPRODUCT(MAX(ROW(E2159:E$2)*(E2160=E2159:E$2)))))</f>
        <v> </v>
      </c>
      <c r="J2160" s="25" t="str">
        <f>IF(OR(E2160="",E2160="!!!",F2160="NEW"),"",COUNTBLANK(OFFSET(A$1,,,SUMPRODUCT(MAX(ROW(E$2:E2160)*(E2160=E$2:E2160)))))-COUNTBLANK(OFFSET(A$1,,,SUMPRODUCT(MAX(ROW(E$1:E2159)*(E2=E$1:E2159))))))</f>
        <v> </v>
      </c>
      <c r="K2160" s="25" t="str">
        <f>IF(OR(E2160="",E2160="!!!",F2160="NEW"),"",INDEX(J$1:J2159,SUMPRODUCT(MAX(ROW(E$1:E2159)*(E2160=E$1:E2159)))))</f>
        <v> </v>
      </c>
      <c r="L2160" s="26"/>
    </row>
    <row r="2161" spans="1:12">
      <c r="A2161" s="20" t="s">
        <v>612</v>
      </c>
      <c r="E2161" s="21">
        <f>IF(D2161="?OLD","!!!","")</f>
        <v/>
      </c>
      <c r="F2161" s="22" t="str">
        <f>IF(OR(E2161="",E2161="!!!"),"",IF(NOT(ISNA(VLOOKUP(E2161,E$1:E2160,1,FALSE()))),"OLD",IF(AND(E2161&lt;&gt;"",E2161&lt;&gt;"!!!"),"NEW","")))</f>
        <v> </v>
      </c>
      <c r="G2161" s="23" t="str">
        <f>IF(OR(E2161="",E2161="!!!"),"",IF(OR(J2161=0,AND(J2161=1,K2161=1),AND(J2161=1,I2161="SBJ"),AND(J2161=1,I2161=0)),"?IN_FOCUS",IF(J2161&lt;=2,"?ACTIVATED",IF(J2161&lt;&gt;"","?FAMILIAR",IF(F2161="NEW",IF(ISNA(VLOOKUP(E2161,#REF!,1,FALSE())),"?TYPE_IDENTIFIABLE","?REFERENTIAL"),"_")))))</f>
        <v> </v>
      </c>
      <c r="H2161" s="24" t="str">
        <f>IF(J2161&lt;&gt;1,"",IF(I2161="SBJ","CB","?"))</f>
        <v> </v>
      </c>
      <c r="I2161" s="25" t="str">
        <f>IF(OR(E2161="",E2161="!!!",F2161="NEW"),"",INDEX(B2160:B$2,-1+SUMPRODUCT(MAX(ROW(E2160:E$2)*(E2161=E2160:E$2)))))</f>
        <v> </v>
      </c>
      <c r="J2161" s="25" t="str">
        <f>IF(OR(E2161="",E2161="!!!",F2161="NEW"),"",COUNTBLANK(OFFSET(A$1,,,SUMPRODUCT(MAX(ROW(E$2:E2161)*(E2161=E$2:E2161)))))-COUNTBLANK(OFFSET(A$1,,,SUMPRODUCT(MAX(ROW(E$1:E2160)*(E2=E$1:E2160))))))</f>
        <v> </v>
      </c>
      <c r="K2161" s="25" t="str">
        <f>IF(OR(E2161="",E2161="!!!",F2161="NEW"),"",INDEX(J$1:J2160,SUMPRODUCT(MAX(ROW(E$1:E2160)*(E2161=E$1:E2160)))))</f>
        <v> </v>
      </c>
      <c r="L2161" s="26"/>
    </row>
    <row r="2162" spans="1:12">
      <c r="A2162" s="20" t="s">
        <v>393</v>
      </c>
      <c r="B2162" s="27" t="s">
        <v>295</v>
      </c>
      <c r="C2162" s="27" t="s">
        <v>256</v>
      </c>
      <c r="D2162" s="27" t="s">
        <v>244</v>
      </c>
      <c r="E2162" s="21">
        <f>IF(D2162="?OLD","!!!","")</f>
        <v/>
      </c>
      <c r="F2162" s="22" t="str">
        <f>IF(OR(E2162="",E2162="!!!"),"",IF(NOT(ISNA(VLOOKUP(E2162,E$1:E2161,1,FALSE()))),"OLD",IF(AND(E2162&lt;&gt;"",E2162&lt;&gt;"!!!"),"NEW","")))</f>
        <v> </v>
      </c>
      <c r="G2162" s="23" t="str">
        <f>IF(OR(E2162="",E2162="!!!"),"",IF(OR(J2162=0,AND(J2162=1,K2162=1),AND(J2162=1,I2162="SBJ"),AND(J2162=1,I2162=0)),"?IN_FOCUS",IF(J2162&lt;=2,"?ACTIVATED",IF(J2162&lt;&gt;"","?FAMILIAR",IF(F2162="NEW",IF(ISNA(VLOOKUP(E2162,#REF!,1,FALSE())),"?TYPE_IDENTIFIABLE","?REFERENTIAL"),"_")))))</f>
        <v> </v>
      </c>
      <c r="H2162" s="24" t="str">
        <f>IF(J2162&lt;&gt;1,"",IF(I2162="SBJ","CB","?"))</f>
        <v> </v>
      </c>
      <c r="I2162" s="25" t="str">
        <f>IF(OR(E2162="",E2162="!!!",F2162="NEW"),"",INDEX(B2161:B$2,-1+SUMPRODUCT(MAX(ROW(E2161:E$2)*(E2162=E2161:E$2)))))</f>
        <v> </v>
      </c>
      <c r="J2162" s="25" t="str">
        <f>IF(OR(E2162="",E2162="!!!",F2162="NEW"),"",COUNTBLANK(OFFSET(A$1,,,SUMPRODUCT(MAX(ROW(E$2:E2162)*(E2162=E$2:E2162)))))-COUNTBLANK(OFFSET(A$1,,,SUMPRODUCT(MAX(ROW(E$1:E2161)*(E2=E$1:E2161))))))</f>
        <v> </v>
      </c>
      <c r="K2162" s="25" t="str">
        <f>IF(OR(E2162="",E2162="!!!",F2162="NEW"),"",INDEX(J$1:J2161,SUMPRODUCT(MAX(ROW(E$1:E2161)*(E2162=E$1:E2161)))))</f>
        <v> </v>
      </c>
      <c r="L2162" s="26"/>
    </row>
    <row r="2163" spans="1:12">
      <c r="A2163" s="20" t="s">
        <v>849</v>
      </c>
      <c r="E2163" s="21">
        <f>IF(D2163="?OLD","!!!","")</f>
        <v/>
      </c>
      <c r="F2163" s="22" t="str">
        <f>IF(OR(E2163="",E2163="!!!"),"",IF(NOT(ISNA(VLOOKUP(E2163,E$1:E2162,1,FALSE()))),"OLD",IF(AND(E2163&lt;&gt;"",E2163&lt;&gt;"!!!"),"NEW","")))</f>
        <v> </v>
      </c>
      <c r="G2163" s="23" t="str">
        <f>IF(OR(E2163="",E2163="!!!"),"",IF(OR(J2163=0,AND(J2163=1,K2163=1),AND(J2163=1,I2163="SBJ"),AND(J2163=1,I2163=0)),"?IN_FOCUS",IF(J2163&lt;=2,"?ACTIVATED",IF(J2163&lt;&gt;"","?FAMILIAR",IF(F2163="NEW",IF(ISNA(VLOOKUP(E2163,#REF!,1,FALSE())),"?TYPE_IDENTIFIABLE","?REFERENTIAL"),"_")))))</f>
        <v> </v>
      </c>
      <c r="H2163" s="24" t="str">
        <f>IF(J2163&lt;&gt;1,"",IF(I2163="SBJ","CB","?"))</f>
        <v> </v>
      </c>
      <c r="I2163" s="25" t="str">
        <f>IF(OR(E2163="",E2163="!!!",F2163="NEW"),"",INDEX(B2162:B$2,-1+SUMPRODUCT(MAX(ROW(E2162:E$2)*(E2163=E2162:E$2)))))</f>
        <v> </v>
      </c>
      <c r="J2163" s="25" t="str">
        <f>IF(OR(E2163="",E2163="!!!",F2163="NEW"),"",COUNTBLANK(OFFSET(A$1,,,SUMPRODUCT(MAX(ROW(E$2:E2163)*(E2163=E$2:E2163)))))-COUNTBLANK(OFFSET(A$1,,,SUMPRODUCT(MAX(ROW(E$1:E2162)*(E2=E$1:E2162))))))</f>
        <v> </v>
      </c>
      <c r="K2163" s="25" t="str">
        <f>IF(OR(E2163="",E2163="!!!",F2163="NEW"),"",INDEX(J$1:J2162,SUMPRODUCT(MAX(ROW(E$1:E2162)*(E2163=E$1:E2162)))))</f>
        <v> </v>
      </c>
      <c r="L2163" s="26"/>
    </row>
    <row r="2164" spans="1:12">
      <c r="A2164" s="20" t="s">
        <v>1013</v>
      </c>
      <c r="E2164" s="21">
        <f>IF(D2164="?OLD","!!!","")</f>
        <v/>
      </c>
      <c r="F2164" s="22" t="str">
        <f>IF(OR(E2164="",E2164="!!!"),"",IF(NOT(ISNA(VLOOKUP(E2164,E$1:E2163,1,FALSE()))),"OLD",IF(AND(E2164&lt;&gt;"",E2164&lt;&gt;"!!!"),"NEW","")))</f>
        <v> </v>
      </c>
      <c r="G2164" s="23" t="str">
        <f>IF(OR(E2164="",E2164="!!!"),"",IF(OR(J2164=0,AND(J2164=1,K2164=1),AND(J2164=1,I2164="SBJ"),AND(J2164=1,I2164=0)),"?IN_FOCUS",IF(J2164&lt;=2,"?ACTIVATED",IF(J2164&lt;&gt;"","?FAMILIAR",IF(F2164="NEW",IF(ISNA(VLOOKUP(E2164,#REF!,1,FALSE())),"?TYPE_IDENTIFIABLE","?REFERENTIAL"),"_")))))</f>
        <v> </v>
      </c>
      <c r="H2164" s="24" t="str">
        <f>IF(J2164&lt;&gt;1,"",IF(I2164="SBJ","CB","?"))</f>
        <v> </v>
      </c>
      <c r="I2164" s="25" t="str">
        <f>IF(OR(E2164="",E2164="!!!",F2164="NEW"),"",INDEX(B2163:B$2,-1+SUMPRODUCT(MAX(ROW(E2163:E$2)*(E2164=E2163:E$2)))))</f>
        <v> </v>
      </c>
      <c r="J2164" s="25" t="str">
        <f>IF(OR(E2164="",E2164="!!!",F2164="NEW"),"",COUNTBLANK(OFFSET(A$1,,,SUMPRODUCT(MAX(ROW(E$2:E2164)*(E2164=E$2:E2164)))))-COUNTBLANK(OFFSET(A$1,,,SUMPRODUCT(MAX(ROW(E$1:E2163)*(E2=E$1:E2163))))))</f>
        <v> </v>
      </c>
      <c r="K2164" s="25" t="str">
        <f>IF(OR(E2164="",E2164="!!!",F2164="NEW"),"",INDEX(J$1:J2163,SUMPRODUCT(MAX(ROW(E$1:E2163)*(E2164=E$1:E2163)))))</f>
        <v> </v>
      </c>
      <c r="L2164" s="26"/>
    </row>
    <row r="2165" spans="1:12">
      <c r="A2165" s="20" t="s">
        <v>305</v>
      </c>
      <c r="E2165" s="21">
        <f>IF(D2165="?OLD","!!!","")</f>
        <v/>
      </c>
      <c r="F2165" s="22" t="str">
        <f>IF(OR(E2165="",E2165="!!!"),"",IF(NOT(ISNA(VLOOKUP(E2165,E$1:E2164,1,FALSE()))),"OLD",IF(AND(E2165&lt;&gt;"",E2165&lt;&gt;"!!!"),"NEW","")))</f>
        <v> </v>
      </c>
      <c r="G2165" s="23" t="str">
        <f>IF(OR(E2165="",E2165="!!!"),"",IF(OR(J2165=0,AND(J2165=1,K2165=1),AND(J2165=1,I2165="SBJ"),AND(J2165=1,I2165=0)),"?IN_FOCUS",IF(J2165&lt;=2,"?ACTIVATED",IF(J2165&lt;&gt;"","?FAMILIAR",IF(F2165="NEW",IF(ISNA(VLOOKUP(E2165,#REF!,1,FALSE())),"?TYPE_IDENTIFIABLE","?REFERENTIAL"),"_")))))</f>
        <v> </v>
      </c>
      <c r="H2165" s="24" t="str">
        <f>IF(J2165&lt;&gt;1,"",IF(I2165="SBJ","CB","?"))</f>
        <v> </v>
      </c>
      <c r="I2165" s="25" t="str">
        <f>IF(OR(E2165="",E2165="!!!",F2165="NEW"),"",INDEX(B2164:B$2,-1+SUMPRODUCT(MAX(ROW(E2164:E$2)*(E2165=E2164:E$2)))))</f>
        <v> </v>
      </c>
      <c r="J2165" s="25" t="str">
        <f>IF(OR(E2165="",E2165="!!!",F2165="NEW"),"",COUNTBLANK(OFFSET(A$1,,,SUMPRODUCT(MAX(ROW(E$2:E2165)*(E2165=E$2:E2165)))))-COUNTBLANK(OFFSET(A$1,,,SUMPRODUCT(MAX(ROW(E$1:E2164)*(E2=E$1:E2164))))))</f>
        <v> </v>
      </c>
      <c r="K2165" s="25" t="str">
        <f>IF(OR(E2165="",E2165="!!!",F2165="NEW"),"",INDEX(J$1:J2164,SUMPRODUCT(MAX(ROW(E$1:E2164)*(E2165=E$1:E2164)))))</f>
        <v> </v>
      </c>
      <c r="L2165" s="26"/>
    </row>
    <row r="2166" spans="1:12">
      <c r="A2166" s="20" t="s">
        <v>254</v>
      </c>
      <c r="B2166" s="27" t="s">
        <v>255</v>
      </c>
      <c r="C2166" s="27" t="s">
        <v>256</v>
      </c>
      <c r="D2166" s="27" t="s">
        <v>244</v>
      </c>
      <c r="E2166" s="21">
        <f>IF(D2166="?OLD","!!!","")</f>
        <v/>
      </c>
      <c r="F2166" s="22" t="str">
        <f>IF(OR(E2166="",E2166="!!!"),"",IF(NOT(ISNA(VLOOKUP(E2166,E$1:E2165,1,FALSE()))),"OLD",IF(AND(E2166&lt;&gt;"",E2166&lt;&gt;"!!!"),"NEW","")))</f>
        <v> </v>
      </c>
      <c r="G2166" s="23" t="str">
        <f>IF(OR(E2166="",E2166="!!!"),"",IF(OR(J2166=0,AND(J2166=1,K2166=1),AND(J2166=1,I2166="SBJ"),AND(J2166=1,I2166=0)),"?IN_FOCUS",IF(J2166&lt;=2,"?ACTIVATED",IF(J2166&lt;&gt;"","?FAMILIAR",IF(F2166="NEW",IF(ISNA(VLOOKUP(E2166,#REF!,1,FALSE())),"?TYPE_IDENTIFIABLE","?REFERENTIAL"),"_")))))</f>
        <v> </v>
      </c>
      <c r="H2166" s="24" t="str">
        <f>IF(J2166&lt;&gt;1,"",IF(I2166="SBJ","CB","?"))</f>
        <v> </v>
      </c>
      <c r="I2166" s="25" t="str">
        <f>IF(OR(E2166="",E2166="!!!",F2166="NEW"),"",INDEX(B2165:B$2,-1+SUMPRODUCT(MAX(ROW(E2165:E$2)*(E2166=E2165:E$2)))))</f>
        <v> </v>
      </c>
      <c r="J2166" s="25" t="str">
        <f>IF(OR(E2166="",E2166="!!!",F2166="NEW"),"",COUNTBLANK(OFFSET(A$1,,,SUMPRODUCT(MAX(ROW(E$2:E2166)*(E2166=E$2:E2166)))))-COUNTBLANK(OFFSET(A$1,,,SUMPRODUCT(MAX(ROW(E$1:E2165)*(E2=E$1:E2165))))))</f>
        <v> </v>
      </c>
      <c r="K2166" s="25" t="str">
        <f>IF(OR(E2166="",E2166="!!!",F2166="NEW"),"",INDEX(J$1:J2165,SUMPRODUCT(MAX(ROW(E$1:E2165)*(E2166=E$1:E2165)))))</f>
        <v> </v>
      </c>
      <c r="L2166" s="26"/>
    </row>
    <row r="2167" spans="1:12">
      <c r="A2167" s="20" t="s">
        <v>1014</v>
      </c>
      <c r="E2167" s="21">
        <f>IF(D2167="?OLD","!!!","")</f>
        <v/>
      </c>
      <c r="F2167" s="22" t="str">
        <f>IF(OR(E2167="",E2167="!!!"),"",IF(NOT(ISNA(VLOOKUP(E2167,E$1:E2166,1,FALSE()))),"OLD",IF(AND(E2167&lt;&gt;"",E2167&lt;&gt;"!!!"),"NEW","")))</f>
        <v> </v>
      </c>
      <c r="G2167" s="23" t="str">
        <f>IF(OR(E2167="",E2167="!!!"),"",IF(OR(J2167=0,AND(J2167=1,K2167=1),AND(J2167=1,I2167="SBJ"),AND(J2167=1,I2167=0)),"?IN_FOCUS",IF(J2167&lt;=2,"?ACTIVATED",IF(J2167&lt;&gt;"","?FAMILIAR",IF(F2167="NEW",IF(ISNA(VLOOKUP(E2167,#REF!,1,FALSE())),"?TYPE_IDENTIFIABLE","?REFERENTIAL"),"_")))))</f>
        <v> </v>
      </c>
      <c r="H2167" s="24" t="str">
        <f>IF(J2167&lt;&gt;1,"",IF(I2167="SBJ","CB","?"))</f>
        <v> </v>
      </c>
      <c r="I2167" s="25" t="str">
        <f>IF(OR(E2167="",E2167="!!!",F2167="NEW"),"",INDEX(B2166:B$2,-1+SUMPRODUCT(MAX(ROW(E2166:E$2)*(E2167=E2166:E$2)))))</f>
        <v> </v>
      </c>
      <c r="J2167" s="25" t="str">
        <f>IF(OR(E2167="",E2167="!!!",F2167="NEW"),"",COUNTBLANK(OFFSET(A$1,,,SUMPRODUCT(MAX(ROW(E$2:E2167)*(E2167=E$2:E2167)))))-COUNTBLANK(OFFSET(A$1,,,SUMPRODUCT(MAX(ROW(E$1:E2166)*(E2=E$1:E2166))))))</f>
        <v> </v>
      </c>
      <c r="K2167" s="25" t="str">
        <f>IF(OR(E2167="",E2167="!!!",F2167="NEW"),"",INDEX(J$1:J2166,SUMPRODUCT(MAX(ROW(E$1:E2166)*(E2167=E$1:E2166)))))</f>
        <v> </v>
      </c>
      <c r="L2167" s="26"/>
    </row>
    <row r="2168" spans="1:12">
      <c r="A2168" s="20" t="s">
        <v>393</v>
      </c>
      <c r="B2168" s="27" t="s">
        <v>295</v>
      </c>
      <c r="C2168" s="27" t="s">
        <v>256</v>
      </c>
      <c r="D2168" s="27" t="s">
        <v>244</v>
      </c>
      <c r="E2168" s="21">
        <f>IF(D2168="?OLD","!!!","")</f>
        <v/>
      </c>
      <c r="F2168" s="22" t="str">
        <f>IF(OR(E2168="",E2168="!!!"),"",IF(NOT(ISNA(VLOOKUP(E2168,E$1:E2167,1,FALSE()))),"OLD",IF(AND(E2168&lt;&gt;"",E2168&lt;&gt;"!!!"),"NEW","")))</f>
        <v> </v>
      </c>
      <c r="G2168" s="23" t="str">
        <f>IF(OR(E2168="",E2168="!!!"),"",IF(OR(J2168=0,AND(J2168=1,K2168=1),AND(J2168=1,I2168="SBJ"),AND(J2168=1,I2168=0)),"?IN_FOCUS",IF(J2168&lt;=2,"?ACTIVATED",IF(J2168&lt;&gt;"","?FAMILIAR",IF(F2168="NEW",IF(ISNA(VLOOKUP(E2168,#REF!,1,FALSE())),"?TYPE_IDENTIFIABLE","?REFERENTIAL"),"_")))))</f>
        <v> </v>
      </c>
      <c r="H2168" s="24" t="str">
        <f>IF(J2168&lt;&gt;1,"",IF(I2168="SBJ","CB","?"))</f>
        <v> </v>
      </c>
      <c r="I2168" s="25" t="str">
        <f>IF(OR(E2168="",E2168="!!!",F2168="NEW"),"",INDEX(B2167:B$2,-1+SUMPRODUCT(MAX(ROW(E2167:E$2)*(E2168=E2167:E$2)))))</f>
        <v> </v>
      </c>
      <c r="J2168" s="25" t="str">
        <f>IF(OR(E2168="",E2168="!!!",F2168="NEW"),"",COUNTBLANK(OFFSET(A$1,,,SUMPRODUCT(MAX(ROW(E$2:E2168)*(E2168=E$2:E2168)))))-COUNTBLANK(OFFSET(A$1,,,SUMPRODUCT(MAX(ROW(E$1:E2167)*(E2=E$1:E2167))))))</f>
        <v> </v>
      </c>
      <c r="K2168" s="25" t="str">
        <f>IF(OR(E2168="",E2168="!!!",F2168="NEW"),"",INDEX(J$1:J2167,SUMPRODUCT(MAX(ROW(E$1:E2167)*(E2168=E$1:E2167)))))</f>
        <v> </v>
      </c>
      <c r="L2168" s="26"/>
    </row>
    <row r="2169" spans="1:12">
      <c r="A2169" s="20" t="s">
        <v>316</v>
      </c>
      <c r="E2169" s="21">
        <f>IF(D2169="?OLD","!!!","")</f>
        <v/>
      </c>
      <c r="F2169" s="22" t="str">
        <f>IF(OR(E2169="",E2169="!!!"),"",IF(NOT(ISNA(VLOOKUP(E2169,E$1:E2168,1,FALSE()))),"OLD",IF(AND(E2169&lt;&gt;"",E2169&lt;&gt;"!!!"),"NEW","")))</f>
        <v> </v>
      </c>
      <c r="G2169" s="23" t="str">
        <f>IF(OR(E2169="",E2169="!!!"),"",IF(OR(J2169=0,AND(J2169=1,K2169=1),AND(J2169=1,I2169="SBJ"),AND(J2169=1,I2169=0)),"?IN_FOCUS",IF(J2169&lt;=2,"?ACTIVATED",IF(J2169&lt;&gt;"","?FAMILIAR",IF(F2169="NEW",IF(ISNA(VLOOKUP(E2169,#REF!,1,FALSE())),"?TYPE_IDENTIFIABLE","?REFERENTIAL"),"_")))))</f>
        <v> </v>
      </c>
      <c r="H2169" s="24" t="str">
        <f>IF(J2169&lt;&gt;1,"",IF(I2169="SBJ","CB","?"))</f>
        <v> </v>
      </c>
      <c r="I2169" s="25" t="str">
        <f>IF(OR(E2169="",E2169="!!!",F2169="NEW"),"",INDEX(B2168:B$2,-1+SUMPRODUCT(MAX(ROW(E2168:E$2)*(E2169=E2168:E$2)))))</f>
        <v> </v>
      </c>
      <c r="J2169" s="25" t="str">
        <f>IF(OR(E2169="",E2169="!!!",F2169="NEW"),"",COUNTBLANK(OFFSET(A$1,,,SUMPRODUCT(MAX(ROW(E$2:E2169)*(E2169=E$2:E2169)))))-COUNTBLANK(OFFSET(A$1,,,SUMPRODUCT(MAX(ROW(E$1:E2168)*(E2=E$1:E2168))))))</f>
        <v> </v>
      </c>
      <c r="K2169" s="25" t="str">
        <f>IF(OR(E2169="",E2169="!!!",F2169="NEW"),"",INDEX(J$1:J2168,SUMPRODUCT(MAX(ROW(E$1:E2168)*(E2169=E$1:E2168)))))</f>
        <v> </v>
      </c>
      <c r="L2169" s="26"/>
    </row>
    <row r="2170" spans="1:12">
      <c r="A2170" s="20" t="s">
        <v>575</v>
      </c>
      <c r="E2170" s="21">
        <f>IF(D2170="?OLD","!!!","")</f>
        <v/>
      </c>
      <c r="F2170" s="22" t="str">
        <f>IF(OR(E2170="",E2170="!!!"),"",IF(NOT(ISNA(VLOOKUP(E2170,E$1:E2169,1,FALSE()))),"OLD",IF(AND(E2170&lt;&gt;"",E2170&lt;&gt;"!!!"),"NEW","")))</f>
        <v> </v>
      </c>
      <c r="G2170" s="23" t="str">
        <f>IF(OR(E2170="",E2170="!!!"),"",IF(OR(J2170=0,AND(J2170=1,K2170=1),AND(J2170=1,I2170="SBJ"),AND(J2170=1,I2170=0)),"?IN_FOCUS",IF(J2170&lt;=2,"?ACTIVATED",IF(J2170&lt;&gt;"","?FAMILIAR",IF(F2170="NEW",IF(ISNA(VLOOKUP(E2170,#REF!,1,FALSE())),"?TYPE_IDENTIFIABLE","?REFERENTIAL"),"_")))))</f>
        <v> </v>
      </c>
      <c r="H2170" s="24" t="str">
        <f>IF(J2170&lt;&gt;1,"",IF(I2170="SBJ","CB","?"))</f>
        <v> </v>
      </c>
      <c r="I2170" s="25" t="str">
        <f>IF(OR(E2170="",E2170="!!!",F2170="NEW"),"",INDEX(B2169:B$2,-1+SUMPRODUCT(MAX(ROW(E2169:E$2)*(E2170=E2169:E$2)))))</f>
        <v> </v>
      </c>
      <c r="J2170" s="25" t="str">
        <f>IF(OR(E2170="",E2170="!!!",F2170="NEW"),"",COUNTBLANK(OFFSET(A$1,,,SUMPRODUCT(MAX(ROW(E$2:E2170)*(E2170=E$2:E2170)))))-COUNTBLANK(OFFSET(A$1,,,SUMPRODUCT(MAX(ROW(E$1:E2169)*(E2=E$1:E2169))))))</f>
        <v> </v>
      </c>
      <c r="K2170" s="25" t="str">
        <f>IF(OR(E2170="",E2170="!!!",F2170="NEW"),"",INDEX(J$1:J2169,SUMPRODUCT(MAX(ROW(E$1:E2169)*(E2170=E$1:E2169)))))</f>
        <v> </v>
      </c>
      <c r="L2170" s="26"/>
    </row>
    <row r="2171" spans="1:12">
      <c r="A2171" s="20" t="s">
        <v>346</v>
      </c>
      <c r="E2171" s="21">
        <f>IF(D2171="?OLD","!!!","")</f>
        <v/>
      </c>
      <c r="F2171" s="22" t="str">
        <f>IF(OR(E2171="",E2171="!!!"),"",IF(NOT(ISNA(VLOOKUP(E2171,E$1:E2170,1,FALSE()))),"OLD",IF(AND(E2171&lt;&gt;"",E2171&lt;&gt;"!!!"),"NEW","")))</f>
        <v> </v>
      </c>
      <c r="G2171" s="23" t="str">
        <f>IF(OR(E2171="",E2171="!!!"),"",IF(OR(J2171=0,AND(J2171=1,K2171=1),AND(J2171=1,I2171="SBJ"),AND(J2171=1,I2171=0)),"?IN_FOCUS",IF(J2171&lt;=2,"?ACTIVATED",IF(J2171&lt;&gt;"","?FAMILIAR",IF(F2171="NEW",IF(ISNA(VLOOKUP(E2171,#REF!,1,FALSE())),"?TYPE_IDENTIFIABLE","?REFERENTIAL"),"_")))))</f>
        <v> </v>
      </c>
      <c r="H2171" s="24" t="str">
        <f>IF(J2171&lt;&gt;1,"",IF(I2171="SBJ","CB","?"))</f>
        <v> </v>
      </c>
      <c r="I2171" s="25" t="str">
        <f>IF(OR(E2171="",E2171="!!!",F2171="NEW"),"",INDEX(B2170:B$2,-1+SUMPRODUCT(MAX(ROW(E2170:E$2)*(E2171=E2170:E$2)))))</f>
        <v> </v>
      </c>
      <c r="J2171" s="25" t="str">
        <f>IF(OR(E2171="",E2171="!!!",F2171="NEW"),"",COUNTBLANK(OFFSET(A$1,,,SUMPRODUCT(MAX(ROW(E$2:E2171)*(E2171=E$2:E2171)))))-COUNTBLANK(OFFSET(A$1,,,SUMPRODUCT(MAX(ROW(E$1:E2170)*(E2=E$1:E2170))))))</f>
        <v> </v>
      </c>
      <c r="K2171" s="25" t="str">
        <f>IF(OR(E2171="",E2171="!!!",F2171="NEW"),"",INDEX(J$1:J2170,SUMPRODUCT(MAX(ROW(E$1:E2170)*(E2171=E$1:E2170)))))</f>
        <v> </v>
      </c>
      <c r="L2171" s="26"/>
    </row>
    <row r="2172" spans="1:12">
      <c r="A2172" s="20" t="s">
        <v>248</v>
      </c>
      <c r="E2172" s="21">
        <f>IF(D2172="?OLD","!!!","")</f>
        <v/>
      </c>
      <c r="F2172" s="22" t="str">
        <f>IF(OR(E2172="",E2172="!!!"),"",IF(NOT(ISNA(VLOOKUP(E2172,E$1:E2171,1,FALSE()))),"OLD",IF(AND(E2172&lt;&gt;"",E2172&lt;&gt;"!!!"),"NEW","")))</f>
        <v> </v>
      </c>
      <c r="G2172" s="23" t="str">
        <f>IF(OR(E2172="",E2172="!!!"),"",IF(OR(J2172=0,AND(J2172=1,K2172=1),AND(J2172=1,I2172="SBJ"),AND(J2172=1,I2172=0)),"?IN_FOCUS",IF(J2172&lt;=2,"?ACTIVATED",IF(J2172&lt;&gt;"","?FAMILIAR",IF(F2172="NEW",IF(ISNA(VLOOKUP(E2172,#REF!,1,FALSE())),"?TYPE_IDENTIFIABLE","?REFERENTIAL"),"_")))))</f>
        <v> </v>
      </c>
      <c r="H2172" s="24" t="str">
        <f>IF(J2172&lt;&gt;1,"",IF(I2172="SBJ","CB","?"))</f>
        <v> </v>
      </c>
      <c r="I2172" s="25" t="str">
        <f>IF(OR(E2172="",E2172="!!!",F2172="NEW"),"",INDEX(B2171:B$2,-1+SUMPRODUCT(MAX(ROW(E2171:E$2)*(E2172=E2171:E$2)))))</f>
        <v> </v>
      </c>
      <c r="J2172" s="25" t="str">
        <f>IF(OR(E2172="",E2172="!!!",F2172="NEW"),"",COUNTBLANK(OFFSET(A$1,,,SUMPRODUCT(MAX(ROW(E$2:E2172)*(E2172=E$2:E2172)))))-COUNTBLANK(OFFSET(A$1,,,SUMPRODUCT(MAX(ROW(E$1:E2171)*(E2=E$1:E2171))))))</f>
        <v> </v>
      </c>
      <c r="K2172" s="25" t="str">
        <f>IF(OR(E2172="",E2172="!!!",F2172="NEW"),"",INDEX(J$1:J2171,SUMPRODUCT(MAX(ROW(E$1:E2171)*(E2172=E$1:E2171)))))</f>
        <v> </v>
      </c>
      <c r="L2172" s="26"/>
    </row>
    <row r="2173" spans="1:12">
      <c r="A2173" s="20" t="s">
        <v>660</v>
      </c>
      <c r="B2173" s="27" t="s">
        <v>301</v>
      </c>
      <c r="C2173" s="27" t="s">
        <v>252</v>
      </c>
      <c r="D2173" s="27" t="s">
        <v>244</v>
      </c>
      <c r="E2173" s="21">
        <f>IF(D2173="?OLD","!!!","")</f>
        <v/>
      </c>
      <c r="F2173" s="22" t="str">
        <f>IF(OR(E2173="",E2173="!!!"),"",IF(NOT(ISNA(VLOOKUP(E2173,E$1:E2172,1,FALSE()))),"OLD",IF(AND(E2173&lt;&gt;"",E2173&lt;&gt;"!!!"),"NEW","")))</f>
        <v> </v>
      </c>
      <c r="G2173" s="23" t="str">
        <f>IF(OR(E2173="",E2173="!!!"),"",IF(OR(J2173=0,AND(J2173=1,K2173=1),AND(J2173=1,I2173="SBJ"),AND(J2173=1,I2173=0)),"?IN_FOCUS",IF(J2173&lt;=2,"?ACTIVATED",IF(J2173&lt;&gt;"","?FAMILIAR",IF(F2173="NEW",IF(ISNA(VLOOKUP(E2173,#REF!,1,FALSE())),"?TYPE_IDENTIFIABLE","?REFERENTIAL"),"_")))))</f>
        <v> </v>
      </c>
      <c r="H2173" s="24" t="str">
        <f>IF(J2173&lt;&gt;1,"",IF(I2173="SBJ","CB","?"))</f>
        <v> </v>
      </c>
      <c r="I2173" s="25" t="str">
        <f>IF(OR(E2173="",E2173="!!!",F2173="NEW"),"",INDEX(B2172:B$2,-1+SUMPRODUCT(MAX(ROW(E2172:E$2)*(E2173=E2172:E$2)))))</f>
        <v> </v>
      </c>
      <c r="J2173" s="25" t="str">
        <f>IF(OR(E2173="",E2173="!!!",F2173="NEW"),"",COUNTBLANK(OFFSET(A$1,,,SUMPRODUCT(MAX(ROW(E$2:E2173)*(E2173=E$2:E2173)))))-COUNTBLANK(OFFSET(A$1,,,SUMPRODUCT(MAX(ROW(E$1:E2172)*(E2=E$1:E2172))))))</f>
        <v> </v>
      </c>
      <c r="K2173" s="25" t="str">
        <f>IF(OR(E2173="",E2173="!!!",F2173="NEW"),"",INDEX(J$1:J2172,SUMPRODUCT(MAX(ROW(E$1:E2172)*(E2173=E$1:E2172)))))</f>
        <v> </v>
      </c>
      <c r="L2173" s="26"/>
    </row>
    <row r="2174" spans="1:12">
      <c r="A2174" s="20" t="s">
        <v>285</v>
      </c>
      <c r="E2174" s="21">
        <f>IF(D2174="?OLD","!!!","")</f>
        <v/>
      </c>
      <c r="F2174" s="22" t="str">
        <f>IF(OR(E2174="",E2174="!!!"),"",IF(NOT(ISNA(VLOOKUP(E2174,E$1:E2173,1,FALSE()))),"OLD",IF(AND(E2174&lt;&gt;"",E2174&lt;&gt;"!!!"),"NEW","")))</f>
        <v> </v>
      </c>
      <c r="G2174" s="23" t="str">
        <f>IF(OR(E2174="",E2174="!!!"),"",IF(OR(J2174=0,AND(J2174=1,K2174=1),AND(J2174=1,I2174="SBJ"),AND(J2174=1,I2174=0)),"?IN_FOCUS",IF(J2174&lt;=2,"?ACTIVATED",IF(J2174&lt;&gt;"","?FAMILIAR",IF(F2174="NEW",IF(ISNA(VLOOKUP(E2174,#REF!,1,FALSE())),"?TYPE_IDENTIFIABLE","?REFERENTIAL"),"_")))))</f>
        <v> </v>
      </c>
      <c r="H2174" s="24" t="str">
        <f>IF(J2174&lt;&gt;1,"",IF(I2174="SBJ","CB","?"))</f>
        <v> </v>
      </c>
      <c r="I2174" s="25" t="str">
        <f>IF(OR(E2174="",E2174="!!!",F2174="NEW"),"",INDEX(B2173:B$2,-1+SUMPRODUCT(MAX(ROW(E2173:E$2)*(E2174=E2173:E$2)))))</f>
        <v> </v>
      </c>
      <c r="J2174" s="25" t="str">
        <f>IF(OR(E2174="",E2174="!!!",F2174="NEW"),"",COUNTBLANK(OFFSET(A$1,,,SUMPRODUCT(MAX(ROW(E$2:E2174)*(E2174=E$2:E2174)))))-COUNTBLANK(OFFSET(A$1,,,SUMPRODUCT(MAX(ROW(E$1:E2173)*(E2=E$1:E2173))))))</f>
        <v> </v>
      </c>
      <c r="K2174" s="25" t="str">
        <f>IF(OR(E2174="",E2174="!!!",F2174="NEW"),"",INDEX(J$1:J2173,SUMPRODUCT(MAX(ROW(E$1:E2173)*(E2174=E$1:E2173)))))</f>
        <v> </v>
      </c>
      <c r="L2174" s="26"/>
    </row>
    <row r="2175" spans="1:12">
      <c r="A2175" s="20"/>
    </row>
    <row r="2176" spans="1:12">
      <c r="A2176" s="20" t="s">
        <v>1015</v>
      </c>
    </row>
    <row r="2177" spans="1:12">
      <c r="A2177" s="20" t="s">
        <v>1016</v>
      </c>
      <c r="B2177" s="27" t="s">
        <v>255</v>
      </c>
      <c r="C2177" s="27" t="s">
        <v>281</v>
      </c>
      <c r="E2177" s="21">
        <f>IF(D2177="?OLD","!!!","")</f>
        <v/>
      </c>
      <c r="F2177" s="22" t="str">
        <f>IF(OR(E2177="",E2177="!!!"),"",IF(NOT(ISNA(VLOOKUP(E2177,E$1:E2176,1,FALSE()))),"OLD",IF(AND(E2177&lt;&gt;"",E2177&lt;&gt;"!!!"),"NEW","")))</f>
        <v> </v>
      </c>
      <c r="G2177" s="23" t="str">
        <f>IF(OR(E2177="",E2177="!!!"),"",IF(OR(J2177=0,AND(J2177=1,K2177=1),AND(J2177=1,I2177="SBJ"),AND(J2177=1,I2177=0)),"?IN_FOCUS",IF(J2177&lt;=2,"?ACTIVATED",IF(J2177&lt;&gt;"","?FAMILIAR",IF(F2177="NEW",IF(ISNA(VLOOKUP(E2177,#REF!,1,FALSE())),"?TYPE_IDENTIFIABLE","?REFERENTIAL"),"_")))))</f>
        <v> </v>
      </c>
      <c r="H2177" s="24" t="str">
        <f>IF(J2177&lt;&gt;1,"",IF(I2177="SBJ","CB","?"))</f>
        <v> </v>
      </c>
      <c r="I2177" s="25" t="str">
        <f>IF(OR(E2177="",E2177="!!!",F2177="NEW"),"",INDEX(B2176:B$2,-1+SUMPRODUCT(MAX(ROW(E2176:E$2)*(E2177=E2176:E$2)))))</f>
        <v> </v>
      </c>
      <c r="J2177" s="25" t="str">
        <f>IF(OR(E2177="",E2177="!!!",F2177="NEW"),"",COUNTBLANK(OFFSET(A$1,,,SUMPRODUCT(MAX(ROW(E$2:E2177)*(E2177=E$2:E2177)))))-COUNTBLANK(OFFSET(A$1,,,SUMPRODUCT(MAX(ROW(E$1:E2176)*(E2=E$1:E2176))))))</f>
        <v> </v>
      </c>
      <c r="K2177" s="25" t="str">
        <f>IF(OR(E2177="",E2177="!!!",F2177="NEW"),"",INDEX(J$1:J2176,SUMPRODUCT(MAX(ROW(E$1:E2176)*(E2177=E$1:E2176)))))</f>
        <v> </v>
      </c>
      <c r="L2177" s="26"/>
    </row>
    <row r="2178" spans="1:12">
      <c r="A2178" s="20" t="s">
        <v>391</v>
      </c>
      <c r="E2178" s="21">
        <f>IF(D2178="?OLD","!!!","")</f>
        <v/>
      </c>
      <c r="F2178" s="22" t="str">
        <f>IF(OR(E2178="",E2178="!!!"),"",IF(NOT(ISNA(VLOOKUP(E2178,E$1:E2177,1,FALSE()))),"OLD",IF(AND(E2178&lt;&gt;"",E2178&lt;&gt;"!!!"),"NEW","")))</f>
        <v> </v>
      </c>
      <c r="G2178" s="23" t="str">
        <f>IF(OR(E2178="",E2178="!!!"),"",IF(OR(J2178=0,AND(J2178=1,K2178=1),AND(J2178=1,I2178="SBJ"),AND(J2178=1,I2178=0)),"?IN_FOCUS",IF(J2178&lt;=2,"?ACTIVATED",IF(J2178&lt;&gt;"","?FAMILIAR",IF(F2178="NEW",IF(ISNA(VLOOKUP(E2178,#REF!,1,FALSE())),"?TYPE_IDENTIFIABLE","?REFERENTIAL"),"_")))))</f>
        <v> </v>
      </c>
      <c r="H2178" s="24" t="str">
        <f>IF(J2178&lt;&gt;1,"",IF(I2178="SBJ","CB","?"))</f>
        <v> </v>
      </c>
      <c r="I2178" s="25" t="str">
        <f>IF(OR(E2178="",E2178="!!!",F2178="NEW"),"",INDEX(B2177:B$2,-1+SUMPRODUCT(MAX(ROW(E2177:E$2)*(E2178=E2177:E$2)))))</f>
        <v> </v>
      </c>
      <c r="J2178" s="25" t="str">
        <f>IF(OR(E2178="",E2178="!!!",F2178="NEW"),"",COUNTBLANK(OFFSET(A$1,,,SUMPRODUCT(MAX(ROW(E$2:E2178)*(E2178=E$2:E2178)))))-COUNTBLANK(OFFSET(A$1,,,SUMPRODUCT(MAX(ROW(E$1:E2177)*(E2=E$1:E2177))))))</f>
        <v> </v>
      </c>
      <c r="K2178" s="25" t="str">
        <f>IF(OR(E2178="",E2178="!!!",F2178="NEW"),"",INDEX(J$1:J2177,SUMPRODUCT(MAX(ROW(E$1:E2177)*(E2178=E$1:E2177)))))</f>
        <v> </v>
      </c>
      <c r="L2178" s="26"/>
    </row>
    <row r="2179" spans="1:12">
      <c r="A2179" s="20" t="s">
        <v>277</v>
      </c>
      <c r="E2179" s="21">
        <f>IF(D2179="?OLD","!!!","")</f>
        <v/>
      </c>
      <c r="F2179" s="22" t="str">
        <f>IF(OR(E2179="",E2179="!!!"),"",IF(NOT(ISNA(VLOOKUP(E2179,E$1:E2178,1,FALSE()))),"OLD",IF(AND(E2179&lt;&gt;"",E2179&lt;&gt;"!!!"),"NEW","")))</f>
        <v> </v>
      </c>
      <c r="G2179" s="23" t="str">
        <f>IF(OR(E2179="",E2179="!!!"),"",IF(OR(J2179=0,AND(J2179=1,K2179=1),AND(J2179=1,I2179="SBJ"),AND(J2179=1,I2179=0)),"?IN_FOCUS",IF(J2179&lt;=2,"?ACTIVATED",IF(J2179&lt;&gt;"","?FAMILIAR",IF(F2179="NEW",IF(ISNA(VLOOKUP(E2179,#REF!,1,FALSE())),"?TYPE_IDENTIFIABLE","?REFERENTIAL"),"_")))))</f>
        <v> </v>
      </c>
      <c r="H2179" s="24" t="str">
        <f>IF(J2179&lt;&gt;1,"",IF(I2179="SBJ","CB","?"))</f>
        <v> </v>
      </c>
      <c r="I2179" s="25" t="str">
        <f>IF(OR(E2179="",E2179="!!!",F2179="NEW"),"",INDEX(B2178:B$2,-1+SUMPRODUCT(MAX(ROW(E2178:E$2)*(E2179=E2178:E$2)))))</f>
        <v> </v>
      </c>
      <c r="J2179" s="25" t="str">
        <f>IF(OR(E2179="",E2179="!!!",F2179="NEW"),"",COUNTBLANK(OFFSET(A$1,,,SUMPRODUCT(MAX(ROW(E$2:E2179)*(E2179=E$2:E2179)))))-COUNTBLANK(OFFSET(A$1,,,SUMPRODUCT(MAX(ROW(E$1:E2178)*(E2=E$1:E2178))))))</f>
        <v> </v>
      </c>
      <c r="K2179" s="25" t="str">
        <f>IF(OR(E2179="",E2179="!!!",F2179="NEW"),"",INDEX(J$1:J2178,SUMPRODUCT(MAX(ROW(E$1:E2178)*(E2179=E$1:E2178)))))</f>
        <v> </v>
      </c>
      <c r="L2179" s="26"/>
    </row>
    <row r="2180" spans="1:12">
      <c r="A2180" s="20" t="s">
        <v>629</v>
      </c>
      <c r="B2180" s="27" t="s">
        <v>237</v>
      </c>
      <c r="C2180" s="27" t="s">
        <v>279</v>
      </c>
      <c r="E2180" s="21">
        <f>IF(D2180="?OLD","!!!","")</f>
        <v/>
      </c>
      <c r="F2180" s="22" t="str">
        <f>IF(OR(E2180="",E2180="!!!"),"",IF(NOT(ISNA(VLOOKUP(E2180,E$1:E2179,1,FALSE()))),"OLD",IF(AND(E2180&lt;&gt;"",E2180&lt;&gt;"!!!"),"NEW","")))</f>
        <v> </v>
      </c>
      <c r="G2180" s="23" t="str">
        <f>IF(OR(E2180="",E2180="!!!"),"",IF(OR(J2180=0,AND(J2180=1,K2180=1),AND(J2180=1,I2180="SBJ"),AND(J2180=1,I2180=0)),"?IN_FOCUS",IF(J2180&lt;=2,"?ACTIVATED",IF(J2180&lt;&gt;"","?FAMILIAR",IF(F2180="NEW",IF(ISNA(VLOOKUP(E2180,#REF!,1,FALSE())),"?TYPE_IDENTIFIABLE","?REFERENTIAL"),"_")))))</f>
        <v> </v>
      </c>
      <c r="H2180" s="24" t="str">
        <f>IF(J2180&lt;&gt;1,"",IF(I2180="SBJ","CB","?"))</f>
        <v> </v>
      </c>
      <c r="I2180" s="25" t="str">
        <f>IF(OR(E2180="",E2180="!!!",F2180="NEW"),"",INDEX(B2179:B$2,-1+SUMPRODUCT(MAX(ROW(E2179:E$2)*(E2180=E2179:E$2)))))</f>
        <v> </v>
      </c>
      <c r="J2180" s="25" t="str">
        <f>IF(OR(E2180="",E2180="!!!",F2180="NEW"),"",COUNTBLANK(OFFSET(A$1,,,SUMPRODUCT(MAX(ROW(E$2:E2180)*(E2180=E$2:E2180)))))-COUNTBLANK(OFFSET(A$1,,,SUMPRODUCT(MAX(ROW(E$1:E2179)*(E2=E$1:E2179))))))</f>
        <v> </v>
      </c>
      <c r="K2180" s="25" t="str">
        <f>IF(OR(E2180="",E2180="!!!",F2180="NEW"),"",INDEX(J$1:J2179,SUMPRODUCT(MAX(ROW(E$1:E2179)*(E2180=E$1:E2179)))))</f>
        <v> </v>
      </c>
      <c r="L2180" s="26"/>
    </row>
    <row r="2181" spans="1:12">
      <c r="A2181" s="20" t="s">
        <v>305</v>
      </c>
      <c r="E2181" s="21">
        <f>IF(D2181="?OLD","!!!","")</f>
        <v/>
      </c>
      <c r="F2181" s="22" t="str">
        <f>IF(OR(E2181="",E2181="!!!"),"",IF(NOT(ISNA(VLOOKUP(E2181,E$1:E2180,1,FALSE()))),"OLD",IF(AND(E2181&lt;&gt;"",E2181&lt;&gt;"!!!"),"NEW","")))</f>
        <v> </v>
      </c>
      <c r="G2181" s="23" t="str">
        <f>IF(OR(E2181="",E2181="!!!"),"",IF(OR(J2181=0,AND(J2181=1,K2181=1),AND(J2181=1,I2181="SBJ"),AND(J2181=1,I2181=0)),"?IN_FOCUS",IF(J2181&lt;=2,"?ACTIVATED",IF(J2181&lt;&gt;"","?FAMILIAR",IF(F2181="NEW",IF(ISNA(VLOOKUP(E2181,#REF!,1,FALSE())),"?TYPE_IDENTIFIABLE","?REFERENTIAL"),"_")))))</f>
        <v> </v>
      </c>
      <c r="H2181" s="24" t="str">
        <f>IF(J2181&lt;&gt;1,"",IF(I2181="SBJ","CB","?"))</f>
        <v> </v>
      </c>
      <c r="I2181" s="25" t="str">
        <f>IF(OR(E2181="",E2181="!!!",F2181="NEW"),"",INDEX(B2180:B$2,-1+SUMPRODUCT(MAX(ROW(E2180:E$2)*(E2181=E2180:E$2)))))</f>
        <v> </v>
      </c>
      <c r="J2181" s="25" t="str">
        <f>IF(OR(E2181="",E2181="!!!",F2181="NEW"),"",COUNTBLANK(OFFSET(A$1,,,SUMPRODUCT(MAX(ROW(E$2:E2181)*(E2181=E$2:E2181)))))-COUNTBLANK(OFFSET(A$1,,,SUMPRODUCT(MAX(ROW(E$1:E2180)*(E2=E$1:E2180))))))</f>
        <v> </v>
      </c>
      <c r="K2181" s="25" t="str">
        <f>IF(OR(E2181="",E2181="!!!",F2181="NEW"),"",INDEX(J$1:J2180,SUMPRODUCT(MAX(ROW(E$1:E2180)*(E2181=E$1:E2180)))))</f>
        <v> </v>
      </c>
      <c r="L2181" s="26"/>
    </row>
    <row r="2182" spans="1:12">
      <c r="A2182" s="20" t="s">
        <v>392</v>
      </c>
      <c r="E2182" s="21">
        <f>IF(D2182="?OLD","!!!","")</f>
        <v/>
      </c>
      <c r="F2182" s="22" t="str">
        <f>IF(OR(E2182="",E2182="!!!"),"",IF(NOT(ISNA(VLOOKUP(E2182,E$1:E2181,1,FALSE()))),"OLD",IF(AND(E2182&lt;&gt;"",E2182&lt;&gt;"!!!"),"NEW","")))</f>
        <v> </v>
      </c>
      <c r="G2182" s="23" t="str">
        <f>IF(OR(E2182="",E2182="!!!"),"",IF(OR(J2182=0,AND(J2182=1,K2182=1),AND(J2182=1,I2182="SBJ"),AND(J2182=1,I2182=0)),"?IN_FOCUS",IF(J2182&lt;=2,"?ACTIVATED",IF(J2182&lt;&gt;"","?FAMILIAR",IF(F2182="NEW",IF(ISNA(VLOOKUP(E2182,#REF!,1,FALSE())),"?TYPE_IDENTIFIABLE","?REFERENTIAL"),"_")))))</f>
        <v> </v>
      </c>
      <c r="H2182" s="24" t="str">
        <f>IF(J2182&lt;&gt;1,"",IF(I2182="SBJ","CB","?"))</f>
        <v> </v>
      </c>
      <c r="I2182" s="25" t="str">
        <f>IF(OR(E2182="",E2182="!!!",F2182="NEW"),"",INDEX(B2181:B$2,-1+SUMPRODUCT(MAX(ROW(E2181:E$2)*(E2182=E2181:E$2)))))</f>
        <v> </v>
      </c>
      <c r="J2182" s="25" t="str">
        <f>IF(OR(E2182="",E2182="!!!",F2182="NEW"),"",COUNTBLANK(OFFSET(A$1,,,SUMPRODUCT(MAX(ROW(E$2:E2182)*(E2182=E$2:E2182)))))-COUNTBLANK(OFFSET(A$1,,,SUMPRODUCT(MAX(ROW(E$1:E2181)*(E2=E$1:E2181))))))</f>
        <v> </v>
      </c>
      <c r="K2182" s="25" t="str">
        <f>IF(OR(E2182="",E2182="!!!",F2182="NEW"),"",INDEX(J$1:J2181,SUMPRODUCT(MAX(ROW(E$1:E2181)*(E2182=E$1:E2181)))))</f>
        <v> </v>
      </c>
      <c r="L2182" s="26"/>
    </row>
    <row r="2183" spans="1:12">
      <c r="A2183" s="20" t="s">
        <v>393</v>
      </c>
      <c r="B2183" s="27" t="s">
        <v>295</v>
      </c>
      <c r="C2183" s="27" t="s">
        <v>256</v>
      </c>
      <c r="D2183" s="27" t="s">
        <v>244</v>
      </c>
      <c r="E2183" s="21">
        <f>IF(D2183="?OLD","!!!","")</f>
        <v/>
      </c>
      <c r="F2183" s="22" t="str">
        <f>IF(OR(E2183="",E2183="!!!"),"",IF(NOT(ISNA(VLOOKUP(E2183,E$1:E2182,1,FALSE()))),"OLD",IF(AND(E2183&lt;&gt;"",E2183&lt;&gt;"!!!"),"NEW","")))</f>
        <v> </v>
      </c>
      <c r="G2183" s="23" t="str">
        <f>IF(OR(E2183="",E2183="!!!"),"",IF(OR(J2183=0,AND(J2183=1,K2183=1),AND(J2183=1,I2183="SBJ"),AND(J2183=1,I2183=0)),"?IN_FOCUS",IF(J2183&lt;=2,"?ACTIVATED",IF(J2183&lt;&gt;"","?FAMILIAR",IF(F2183="NEW",IF(ISNA(VLOOKUP(E2183,#REF!,1,FALSE())),"?TYPE_IDENTIFIABLE","?REFERENTIAL"),"_")))))</f>
        <v> </v>
      </c>
      <c r="H2183" s="24" t="str">
        <f>IF(J2183&lt;&gt;1,"",IF(I2183="SBJ","CB","?"))</f>
        <v> </v>
      </c>
      <c r="I2183" s="25" t="str">
        <f>IF(OR(E2183="",E2183="!!!",F2183="NEW"),"",INDEX(B2182:B$2,-1+SUMPRODUCT(MAX(ROW(E2182:E$2)*(E2183=E2182:E$2)))))</f>
        <v> </v>
      </c>
      <c r="J2183" s="25" t="str">
        <f>IF(OR(E2183="",E2183="!!!",F2183="NEW"),"",COUNTBLANK(OFFSET(A$1,,,SUMPRODUCT(MAX(ROW(E$2:E2183)*(E2183=E$2:E2183)))))-COUNTBLANK(OFFSET(A$1,,,SUMPRODUCT(MAX(ROW(E$1:E2182)*(E2=E$1:E2182))))))</f>
        <v> </v>
      </c>
      <c r="K2183" s="25" t="str">
        <f>IF(OR(E2183="",E2183="!!!",F2183="NEW"),"",INDEX(J$1:J2182,SUMPRODUCT(MAX(ROW(E$1:E2182)*(E2183=E$1:E2182)))))</f>
        <v> </v>
      </c>
      <c r="L2183" s="26"/>
    </row>
    <row r="2184" spans="1:12">
      <c r="A2184" s="20" t="s">
        <v>1017</v>
      </c>
      <c r="E2184" s="21">
        <f>IF(D2184="?OLD","!!!","")</f>
        <v/>
      </c>
      <c r="F2184" s="22" t="str">
        <f>IF(OR(E2184="",E2184="!!!"),"",IF(NOT(ISNA(VLOOKUP(E2184,E$1:E2183,1,FALSE()))),"OLD",IF(AND(E2184&lt;&gt;"",E2184&lt;&gt;"!!!"),"NEW","")))</f>
        <v> </v>
      </c>
      <c r="G2184" s="23" t="str">
        <f>IF(OR(E2184="",E2184="!!!"),"",IF(OR(J2184=0,AND(J2184=1,K2184=1),AND(J2184=1,I2184="SBJ"),AND(J2184=1,I2184=0)),"?IN_FOCUS",IF(J2184&lt;=2,"?ACTIVATED",IF(J2184&lt;&gt;"","?FAMILIAR",IF(F2184="NEW",IF(ISNA(VLOOKUP(E2184,#REF!,1,FALSE())),"?TYPE_IDENTIFIABLE","?REFERENTIAL"),"_")))))</f>
        <v> </v>
      </c>
      <c r="H2184" s="24" t="str">
        <f>IF(J2184&lt;&gt;1,"",IF(I2184="SBJ","CB","?"))</f>
        <v> </v>
      </c>
      <c r="I2184" s="25" t="str">
        <f>IF(OR(E2184="",E2184="!!!",F2184="NEW"),"",INDEX(B2183:B$2,-1+SUMPRODUCT(MAX(ROW(E2183:E$2)*(E2184=E2183:E$2)))))</f>
        <v> </v>
      </c>
      <c r="J2184" s="25" t="str">
        <f>IF(OR(E2184="",E2184="!!!",F2184="NEW"),"",COUNTBLANK(OFFSET(A$1,,,SUMPRODUCT(MAX(ROW(E$2:E2184)*(E2184=E$2:E2184)))))-COUNTBLANK(OFFSET(A$1,,,SUMPRODUCT(MAX(ROW(E$1:E2183)*(E2=E$1:E2183))))))</f>
        <v> </v>
      </c>
      <c r="K2184" s="25" t="str">
        <f>IF(OR(E2184="",E2184="!!!",F2184="NEW"),"",INDEX(J$1:J2183,SUMPRODUCT(MAX(ROW(E$1:E2183)*(E2184=E$1:E2183)))))</f>
        <v> </v>
      </c>
      <c r="L2184" s="26"/>
    </row>
    <row r="2185" spans="1:12">
      <c r="A2185" s="20" t="s">
        <v>371</v>
      </c>
      <c r="B2185" s="27" t="s">
        <v>266</v>
      </c>
      <c r="C2185" s="27" t="s">
        <v>256</v>
      </c>
      <c r="D2185" s="27" t="s">
        <v>244</v>
      </c>
      <c r="E2185" s="21">
        <f>IF(D2185="?OLD","!!!","")</f>
        <v/>
      </c>
      <c r="F2185" s="22" t="str">
        <f>IF(OR(E2185="",E2185="!!!"),"",IF(NOT(ISNA(VLOOKUP(E2185,E$1:E2184,1,FALSE()))),"OLD",IF(AND(E2185&lt;&gt;"",E2185&lt;&gt;"!!!"),"NEW","")))</f>
        <v> </v>
      </c>
      <c r="G2185" s="23" t="str">
        <f>IF(OR(E2185="",E2185="!!!"),"",IF(OR(J2185=0,AND(J2185=1,K2185=1),AND(J2185=1,I2185="SBJ"),AND(J2185=1,I2185=0)),"?IN_FOCUS",IF(J2185&lt;=2,"?ACTIVATED",IF(J2185&lt;&gt;"","?FAMILIAR",IF(F2185="NEW",IF(ISNA(VLOOKUP(E2185,#REF!,1,FALSE())),"?TYPE_IDENTIFIABLE","?REFERENTIAL"),"_")))))</f>
        <v> </v>
      </c>
      <c r="H2185" s="24" t="str">
        <f>IF(J2185&lt;&gt;1,"",IF(I2185="SBJ","CB","?"))</f>
        <v> </v>
      </c>
      <c r="I2185" s="25" t="str">
        <f>IF(OR(E2185="",E2185="!!!",F2185="NEW"),"",INDEX(B2184:B$2,-1+SUMPRODUCT(MAX(ROW(E2184:E$2)*(E2185=E2184:E$2)))))</f>
        <v> </v>
      </c>
      <c r="J2185" s="25" t="str">
        <f>IF(OR(E2185="",E2185="!!!",F2185="NEW"),"",COUNTBLANK(OFFSET(A$1,,,SUMPRODUCT(MAX(ROW(E$2:E2185)*(E2185=E$2:E2185)))))-COUNTBLANK(OFFSET(A$1,,,SUMPRODUCT(MAX(ROW(E$1:E2184)*(E2=E$1:E2184))))))</f>
        <v> </v>
      </c>
      <c r="K2185" s="25" t="str">
        <f>IF(OR(E2185="",E2185="!!!",F2185="NEW"),"",INDEX(J$1:J2184,SUMPRODUCT(MAX(ROW(E$1:E2184)*(E2185=E$1:E2184)))))</f>
        <v> </v>
      </c>
      <c r="L2185" s="26"/>
    </row>
    <row r="2186" spans="1:12">
      <c r="A2186" s="20" t="s">
        <v>391</v>
      </c>
      <c r="E2186" s="21">
        <f>IF(D2186="?OLD","!!!","")</f>
        <v/>
      </c>
      <c r="F2186" s="22" t="str">
        <f>IF(OR(E2186="",E2186="!!!"),"",IF(NOT(ISNA(VLOOKUP(E2186,E$1:E2185,1,FALSE()))),"OLD",IF(AND(E2186&lt;&gt;"",E2186&lt;&gt;"!!!"),"NEW","")))</f>
        <v> </v>
      </c>
      <c r="G2186" s="23" t="str">
        <f>IF(OR(E2186="",E2186="!!!"),"",IF(OR(J2186=0,AND(J2186=1,K2186=1),AND(J2186=1,I2186="SBJ"),AND(J2186=1,I2186=0)),"?IN_FOCUS",IF(J2186&lt;=2,"?ACTIVATED",IF(J2186&lt;&gt;"","?FAMILIAR",IF(F2186="NEW",IF(ISNA(VLOOKUP(E2186,#REF!,1,FALSE())),"?TYPE_IDENTIFIABLE","?REFERENTIAL"),"_")))))</f>
        <v> </v>
      </c>
      <c r="H2186" s="24" t="str">
        <f>IF(J2186&lt;&gt;1,"",IF(I2186="SBJ","CB","?"))</f>
        <v> </v>
      </c>
      <c r="I2186" s="25" t="str">
        <f>IF(OR(E2186="",E2186="!!!",F2186="NEW"),"",INDEX(B2185:B$2,-1+SUMPRODUCT(MAX(ROW(E2185:E$2)*(E2186=E2185:E$2)))))</f>
        <v> </v>
      </c>
      <c r="J2186" s="25" t="str">
        <f>IF(OR(E2186="",E2186="!!!",F2186="NEW"),"",COUNTBLANK(OFFSET(A$1,,,SUMPRODUCT(MAX(ROW(E$2:E2186)*(E2186=E$2:E2186)))))-COUNTBLANK(OFFSET(A$1,,,SUMPRODUCT(MAX(ROW(E$1:E2185)*(E2=E$1:E2185))))))</f>
        <v> </v>
      </c>
      <c r="K2186" s="25" t="str">
        <f>IF(OR(E2186="",E2186="!!!",F2186="NEW"),"",INDEX(J$1:J2185,SUMPRODUCT(MAX(ROW(E$1:E2185)*(E2186=E$1:E2185)))))</f>
        <v> </v>
      </c>
      <c r="L2186" s="26"/>
    </row>
    <row r="2187" spans="1:12">
      <c r="A2187" s="20" t="s">
        <v>974</v>
      </c>
      <c r="E2187" s="21">
        <f>IF(D2187="?OLD","!!!","")</f>
        <v/>
      </c>
      <c r="F2187" s="22" t="str">
        <f>IF(OR(E2187="",E2187="!!!"),"",IF(NOT(ISNA(VLOOKUP(E2187,E$1:E2186,1,FALSE()))),"OLD",IF(AND(E2187&lt;&gt;"",E2187&lt;&gt;"!!!"),"NEW","")))</f>
        <v> </v>
      </c>
      <c r="G2187" s="23" t="str">
        <f>IF(OR(E2187="",E2187="!!!"),"",IF(OR(J2187=0,AND(J2187=1,K2187=1),AND(J2187=1,I2187="SBJ"),AND(J2187=1,I2187=0)),"?IN_FOCUS",IF(J2187&lt;=2,"?ACTIVATED",IF(J2187&lt;&gt;"","?FAMILIAR",IF(F2187="NEW",IF(ISNA(VLOOKUP(E2187,#REF!,1,FALSE())),"?TYPE_IDENTIFIABLE","?REFERENTIAL"),"_")))))</f>
        <v> </v>
      </c>
      <c r="H2187" s="24" t="str">
        <f>IF(J2187&lt;&gt;1,"",IF(I2187="SBJ","CB","?"))</f>
        <v> </v>
      </c>
      <c r="I2187" s="25" t="str">
        <f>IF(OR(E2187="",E2187="!!!",F2187="NEW"),"",INDEX(B2186:B$2,-1+SUMPRODUCT(MAX(ROW(E2186:E$2)*(E2187=E2186:E$2)))))</f>
        <v> </v>
      </c>
      <c r="J2187" s="25" t="str">
        <f>IF(OR(E2187="",E2187="!!!",F2187="NEW"),"",COUNTBLANK(OFFSET(A$1,,,SUMPRODUCT(MAX(ROW(E$2:E2187)*(E2187=E$2:E2187)))))-COUNTBLANK(OFFSET(A$1,,,SUMPRODUCT(MAX(ROW(E$1:E2186)*(E2=E$1:E2186))))))</f>
        <v> </v>
      </c>
      <c r="K2187" s="25" t="str">
        <f>IF(OR(E2187="",E2187="!!!",F2187="NEW"),"",INDEX(J$1:J2186,SUMPRODUCT(MAX(ROW(E$1:E2186)*(E2187=E$1:E2186)))))</f>
        <v> </v>
      </c>
      <c r="L2187" s="26"/>
    </row>
    <row r="2188" spans="1:12">
      <c r="A2188" s="20" t="s">
        <v>248</v>
      </c>
      <c r="E2188" s="21">
        <f>IF(D2188="?OLD","!!!","")</f>
        <v/>
      </c>
      <c r="F2188" s="22" t="str">
        <f>IF(OR(E2188="",E2188="!!!"),"",IF(NOT(ISNA(VLOOKUP(E2188,E$1:E2187,1,FALSE()))),"OLD",IF(AND(E2188&lt;&gt;"",E2188&lt;&gt;"!!!"),"NEW","")))</f>
        <v> </v>
      </c>
      <c r="G2188" s="23" t="str">
        <f>IF(OR(E2188="",E2188="!!!"),"",IF(OR(J2188=0,AND(J2188=1,K2188=1),AND(J2188=1,I2188="SBJ"),AND(J2188=1,I2188=0)),"?IN_FOCUS",IF(J2188&lt;=2,"?ACTIVATED",IF(J2188&lt;&gt;"","?FAMILIAR",IF(F2188="NEW",IF(ISNA(VLOOKUP(E2188,#REF!,1,FALSE())),"?TYPE_IDENTIFIABLE","?REFERENTIAL"),"_")))))</f>
        <v> </v>
      </c>
      <c r="H2188" s="24" t="str">
        <f>IF(J2188&lt;&gt;1,"",IF(I2188="SBJ","CB","?"))</f>
        <v> </v>
      </c>
      <c r="I2188" s="25" t="str">
        <f>IF(OR(E2188="",E2188="!!!",F2188="NEW"),"",INDEX(B2187:B$2,-1+SUMPRODUCT(MAX(ROW(E2187:E$2)*(E2188=E2187:E$2)))))</f>
        <v> </v>
      </c>
      <c r="J2188" s="25" t="str">
        <f>IF(OR(E2188="",E2188="!!!",F2188="NEW"),"",COUNTBLANK(OFFSET(A$1,,,SUMPRODUCT(MAX(ROW(E$2:E2188)*(E2188=E$2:E2188)))))-COUNTBLANK(OFFSET(A$1,,,SUMPRODUCT(MAX(ROW(E$1:E2187)*(E2=E$1:E2187))))))</f>
        <v> </v>
      </c>
      <c r="K2188" s="25" t="str">
        <f>IF(OR(E2188="",E2188="!!!",F2188="NEW"),"",INDEX(J$1:J2187,SUMPRODUCT(MAX(ROW(E$1:E2187)*(E2188=E$1:E2187)))))</f>
        <v> </v>
      </c>
      <c r="L2188" s="26"/>
    </row>
    <row r="2189" spans="1:12">
      <c r="A2189" s="20" t="s">
        <v>560</v>
      </c>
      <c r="B2189" s="27" t="s">
        <v>291</v>
      </c>
      <c r="C2189" s="27" t="s">
        <v>252</v>
      </c>
      <c r="D2189" s="27" t="s">
        <v>244</v>
      </c>
      <c r="E2189" s="21">
        <f>IF(D2189="?OLD","!!!","")</f>
        <v/>
      </c>
      <c r="F2189" s="22" t="str">
        <f>IF(OR(E2189="",E2189="!!!"),"",IF(NOT(ISNA(VLOOKUP(E2189,E$1:E2188,1,FALSE()))),"OLD",IF(AND(E2189&lt;&gt;"",E2189&lt;&gt;"!!!"),"NEW","")))</f>
        <v> </v>
      </c>
      <c r="G2189" s="23" t="str">
        <f>IF(OR(E2189="",E2189="!!!"),"",IF(OR(J2189=0,AND(J2189=1,K2189=1),AND(J2189=1,I2189="SBJ"),AND(J2189=1,I2189=0)),"?IN_FOCUS",IF(J2189&lt;=2,"?ACTIVATED",IF(J2189&lt;&gt;"","?FAMILIAR",IF(F2189="NEW",IF(ISNA(VLOOKUP(E2189,#REF!,1,FALSE())),"?TYPE_IDENTIFIABLE","?REFERENTIAL"),"_")))))</f>
        <v> </v>
      </c>
      <c r="H2189" s="24" t="str">
        <f>IF(J2189&lt;&gt;1,"",IF(I2189="SBJ","CB","?"))</f>
        <v> </v>
      </c>
      <c r="I2189" s="25" t="str">
        <f>IF(OR(E2189="",E2189="!!!",F2189="NEW"),"",INDEX(B2188:B$2,-1+SUMPRODUCT(MAX(ROW(E2188:E$2)*(E2189=E2188:E$2)))))</f>
        <v> </v>
      </c>
      <c r="J2189" s="25" t="str">
        <f>IF(OR(E2189="",E2189="!!!",F2189="NEW"),"",COUNTBLANK(OFFSET(A$1,,,SUMPRODUCT(MAX(ROW(E$2:E2189)*(E2189=E$2:E2189)))))-COUNTBLANK(OFFSET(A$1,,,SUMPRODUCT(MAX(ROW(E$1:E2188)*(E2=E$1:E2188))))))</f>
        <v> </v>
      </c>
      <c r="K2189" s="25" t="str">
        <f>IF(OR(E2189="",E2189="!!!",F2189="NEW"),"",INDEX(J$1:J2188,SUMPRODUCT(MAX(ROW(E$1:E2188)*(E2189=E$1:E2188)))))</f>
        <v> </v>
      </c>
      <c r="L2189" s="26"/>
    </row>
    <row r="2190" spans="1:12">
      <c r="A2190" s="20" t="s">
        <v>285</v>
      </c>
      <c r="E2190" s="21">
        <f>IF(D2190="?OLD","!!!","")</f>
        <v/>
      </c>
      <c r="F2190" s="22" t="str">
        <f>IF(OR(E2190="",E2190="!!!"),"",IF(NOT(ISNA(VLOOKUP(E2190,E$1:E2189,1,FALSE()))),"OLD",IF(AND(E2190&lt;&gt;"",E2190&lt;&gt;"!!!"),"NEW","")))</f>
        <v> </v>
      </c>
      <c r="G2190" s="23" t="str">
        <f>IF(OR(E2190="",E2190="!!!"),"",IF(OR(J2190=0,AND(J2190=1,K2190=1),AND(J2190=1,I2190="SBJ"),AND(J2190=1,I2190=0)),"?IN_FOCUS",IF(J2190&lt;=2,"?ACTIVATED",IF(J2190&lt;&gt;"","?FAMILIAR",IF(F2190="NEW",IF(ISNA(VLOOKUP(E2190,#REF!,1,FALSE())),"?TYPE_IDENTIFIABLE","?REFERENTIAL"),"_")))))</f>
        <v> </v>
      </c>
      <c r="H2190" s="24" t="str">
        <f>IF(J2190&lt;&gt;1,"",IF(I2190="SBJ","CB","?"))</f>
        <v> </v>
      </c>
      <c r="I2190" s="25" t="str">
        <f>IF(OR(E2190="",E2190="!!!",F2190="NEW"),"",INDEX(B2189:B$2,-1+SUMPRODUCT(MAX(ROW(E2189:E$2)*(E2190=E2189:E$2)))))</f>
        <v> </v>
      </c>
      <c r="J2190" s="25" t="str">
        <f>IF(OR(E2190="",E2190="!!!",F2190="NEW"),"",COUNTBLANK(OFFSET(A$1,,,SUMPRODUCT(MAX(ROW(E$2:E2190)*(E2190=E$2:E2190)))))-COUNTBLANK(OFFSET(A$1,,,SUMPRODUCT(MAX(ROW(E$1:E2189)*(E2=E$1:E2189))))))</f>
        <v> </v>
      </c>
      <c r="K2190" s="25" t="str">
        <f>IF(OR(E2190="",E2190="!!!",F2190="NEW"),"",INDEX(J$1:J2189,SUMPRODUCT(MAX(ROW(E$1:E2189)*(E2190=E$1:E2189)))))</f>
        <v> </v>
      </c>
      <c r="L2190" s="26"/>
    </row>
    <row r="2191" spans="1:12">
      <c r="A2191" s="20"/>
    </row>
    <row r="2192" spans="1:12">
      <c r="A2192" s="20" t="s">
        <v>1018</v>
      </c>
    </row>
    <row r="2193" spans="1:12">
      <c r="A2193" s="20" t="s">
        <v>1019</v>
      </c>
      <c r="E2193" s="21">
        <f>IF(D2193="?OLD","!!!","")</f>
        <v/>
      </c>
      <c r="F2193" s="22" t="str">
        <f>IF(OR(E2193="",E2193="!!!"),"",IF(NOT(ISNA(VLOOKUP(E2193,E$1:E2192,1,FALSE()))),"OLD",IF(AND(E2193&lt;&gt;"",E2193&lt;&gt;"!!!"),"NEW","")))</f>
        <v> </v>
      </c>
      <c r="G2193" s="23" t="str">
        <f>IF(OR(E2193="",E2193="!!!"),"",IF(OR(J2193=0,AND(J2193=1,K2193=1),AND(J2193=1,I2193="SBJ"),AND(J2193=1,I2193=0)),"?IN_FOCUS",IF(J2193&lt;=2,"?ACTIVATED",IF(J2193&lt;&gt;"","?FAMILIAR",IF(F2193="NEW",IF(ISNA(VLOOKUP(E2193,#REF!,1,FALSE())),"?TYPE_IDENTIFIABLE","?REFERENTIAL"),"_")))))</f>
        <v> </v>
      </c>
      <c r="H2193" s="24" t="str">
        <f>IF(J2193&lt;&gt;1,"",IF(I2193="SBJ","CB","?"))</f>
        <v> </v>
      </c>
      <c r="I2193" s="25" t="str">
        <f>IF(OR(E2193="",E2193="!!!",F2193="NEW"),"",INDEX(B2192:B$2,-1+SUMPRODUCT(MAX(ROW(E2192:E$2)*(E2193=E2192:E$2)))))</f>
        <v> </v>
      </c>
      <c r="J2193" s="25" t="str">
        <f>IF(OR(E2193="",E2193="!!!",F2193="NEW"),"",COUNTBLANK(OFFSET(A$1,,,SUMPRODUCT(MAX(ROW(E$2:E2193)*(E2193=E$2:E2193)))))-COUNTBLANK(OFFSET(A$1,,,SUMPRODUCT(MAX(ROW(E$1:E2192)*(E2=E$1:E2192))))))</f>
        <v> </v>
      </c>
      <c r="K2193" s="25" t="str">
        <f>IF(OR(E2193="",E2193="!!!",F2193="NEW"),"",INDEX(J$1:J2192,SUMPRODUCT(MAX(ROW(E$1:E2192)*(E2193=E$1:E2192)))))</f>
        <v> </v>
      </c>
      <c r="L2193" s="26"/>
    </row>
    <row r="2194" spans="1:12">
      <c r="A2194" s="20" t="s">
        <v>337</v>
      </c>
      <c r="B2194" s="27" t="s">
        <v>251</v>
      </c>
      <c r="C2194" s="27" t="s">
        <v>256</v>
      </c>
      <c r="D2194" s="27" t="s">
        <v>244</v>
      </c>
      <c r="E2194" s="21">
        <f>IF(D2194="?OLD","!!!","")</f>
        <v/>
      </c>
      <c r="F2194" s="22" t="str">
        <f>IF(OR(E2194="",E2194="!!!"),"",IF(NOT(ISNA(VLOOKUP(E2194,E$1:E2193,1,FALSE()))),"OLD",IF(AND(E2194&lt;&gt;"",E2194&lt;&gt;"!!!"),"NEW","")))</f>
        <v> </v>
      </c>
      <c r="G2194" s="23" t="str">
        <f>IF(OR(E2194="",E2194="!!!"),"",IF(OR(J2194=0,AND(J2194=1,K2194=1),AND(J2194=1,I2194="SBJ"),AND(J2194=1,I2194=0)),"?IN_FOCUS",IF(J2194&lt;=2,"?ACTIVATED",IF(J2194&lt;&gt;"","?FAMILIAR",IF(F2194="NEW",IF(ISNA(VLOOKUP(E2194,#REF!,1,FALSE())),"?TYPE_IDENTIFIABLE","?REFERENTIAL"),"_")))))</f>
        <v> </v>
      </c>
      <c r="H2194" s="24" t="str">
        <f>IF(J2194&lt;&gt;1,"",IF(I2194="SBJ","CB","?"))</f>
        <v> </v>
      </c>
      <c r="I2194" s="25" t="str">
        <f>IF(OR(E2194="",E2194="!!!",F2194="NEW"),"",INDEX(B2193:B$2,-1+SUMPRODUCT(MAX(ROW(E2193:E$2)*(E2194=E2193:E$2)))))</f>
        <v> </v>
      </c>
      <c r="J2194" s="25" t="str">
        <f>IF(OR(E2194="",E2194="!!!",F2194="NEW"),"",COUNTBLANK(OFFSET(A$1,,,SUMPRODUCT(MAX(ROW(E$2:E2194)*(E2194=E$2:E2194)))))-COUNTBLANK(OFFSET(A$1,,,SUMPRODUCT(MAX(ROW(E$1:E2193)*(E2=E$1:E2193))))))</f>
        <v> </v>
      </c>
      <c r="K2194" s="25" t="str">
        <f>IF(OR(E2194="",E2194="!!!",F2194="NEW"),"",INDEX(J$1:J2193,SUMPRODUCT(MAX(ROW(E$1:E2193)*(E2194=E$1:E2193)))))</f>
        <v> </v>
      </c>
      <c r="L2194" s="26"/>
    </row>
    <row r="2195" spans="1:12">
      <c r="A2195" s="20" t="s">
        <v>285</v>
      </c>
      <c r="E2195" s="21">
        <f>IF(D2195="?OLD","!!!","")</f>
        <v/>
      </c>
      <c r="F2195" s="22" t="str">
        <f>IF(OR(E2195="",E2195="!!!"),"",IF(NOT(ISNA(VLOOKUP(E2195,E$1:E2194,1,FALSE()))),"OLD",IF(AND(E2195&lt;&gt;"",E2195&lt;&gt;"!!!"),"NEW","")))</f>
        <v> </v>
      </c>
      <c r="G2195" s="23" t="str">
        <f>IF(OR(E2195="",E2195="!!!"),"",IF(OR(J2195=0,AND(J2195=1,K2195=1),AND(J2195=1,I2195="SBJ"),AND(J2195=1,I2195=0)),"?IN_FOCUS",IF(J2195&lt;=2,"?ACTIVATED",IF(J2195&lt;&gt;"","?FAMILIAR",IF(F2195="NEW",IF(ISNA(VLOOKUP(E2195,#REF!,1,FALSE())),"?TYPE_IDENTIFIABLE","?REFERENTIAL"),"_")))))</f>
        <v> </v>
      </c>
      <c r="H2195" s="24" t="str">
        <f>IF(J2195&lt;&gt;1,"",IF(I2195="SBJ","CB","?"))</f>
        <v> </v>
      </c>
      <c r="I2195" s="25" t="str">
        <f>IF(OR(E2195="",E2195="!!!",F2195="NEW"),"",INDEX(B2194:B$2,-1+SUMPRODUCT(MAX(ROW(E2194:E$2)*(E2195=E2194:E$2)))))</f>
        <v> </v>
      </c>
      <c r="J2195" s="25" t="str">
        <f>IF(OR(E2195="",E2195="!!!",F2195="NEW"),"",COUNTBLANK(OFFSET(A$1,,,SUMPRODUCT(MAX(ROW(E$2:E2195)*(E2195=E$2:E2195)))))-COUNTBLANK(OFFSET(A$1,,,SUMPRODUCT(MAX(ROW(E$1:E2194)*(E2=E$1:E2194))))))</f>
        <v> </v>
      </c>
      <c r="K2195" s="25" t="str">
        <f>IF(OR(E2195="",E2195="!!!",F2195="NEW"),"",INDEX(J$1:J2194,SUMPRODUCT(MAX(ROW(E$1:E2194)*(E2195=E$1:E2194)))))</f>
        <v> </v>
      </c>
      <c r="L2195" s="26"/>
    </row>
    <row r="2196" spans="1:12">
      <c r="A2196"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2025-07-15T17:44:58Z</dcterms:created>
  <dcterms:modified xsi:type="dcterms:W3CDTF">2025-07-15T17:44:58Z</dcterms:modified>
</cp:coreProperties>
</file>