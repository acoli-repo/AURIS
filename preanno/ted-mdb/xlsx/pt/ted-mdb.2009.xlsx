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<sst xmlns="http://schemas.openxmlformats.org/spreadsheetml/2006/main" count="1896" uniqueCount="567">
  <si>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</si>
  <si>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</si>
  <si>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</si>
  <si>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</si>
  <si>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</si>
  <si>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</si>
  <si>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</si>
  <si>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</si>
  <si>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</si>
  <si>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</si>
  <si>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</si>
  <si>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_</t>
  </si>
  <si>
    <t>Em pequena , sempre imaginei que um dia fugiria .</t>
  </si>
  <si>
    <t>2</t>
  </si>
  <si>
    <t>(por conseguinte)</t>
  </si>
  <si>
    <t>A partir de_ os meus 6 anos , passei a guardar uma mala com roupas e latas de comida escondidas na parte de trás de um roupeiro .</t>
  </si>
  <si>
    <t>Contingency.Cause.Result</t>
  </si>
  <si>
    <t>result</t>
  </si>
  <si>
    <t>(orig: Contingency.Cause.Result)</t>
  </si>
  <si>
    <t>3</t>
  </si>
  <si>
    <t>(pois)</t>
  </si>
  <si>
    <t>Sentia uma profunda inquietação , um medo primordial de que seria vítima de uma vida de rotina e aborrecimento .</t>
  </si>
  <si>
    <t>Contingency.Cause.Reason</t>
  </si>
  <si>
    <t>reason</t>
  </si>
  <si>
    <t>(orig: Contingency.Cause.Reason)</t>
  </si>
  <si>
    <t>4</t>
  </si>
  <si>
    <t>Por isso , muitas de_ as minhas primeiras memórias envolviam sonhar acordada e de forma elaborada onde passaria fronteiras , a recolher bagas e a conhecer todo o tipo de pessoas estranhas , com vidas fora de_ o convencional , pela estrada fora .</t>
  </si>
  <si>
    <t>5</t>
  </si>
  <si>
    <t>(depois)</t>
  </si>
  <si>
    <t>Os anos passaram , mas muitas de_ as aventuras que fantasiava em criança , a viajar e a tecer o meu caminho entre mundos para além de_ o meu próprio , tornaram -se realidade através de_ o meu trabalho como fotógrafa documental .</t>
  </si>
  <si>
    <t>Temporal.Asynchronous.Precedence</t>
  </si>
  <si>
    <t>before</t>
  </si>
  <si>
    <t>(orig: Temporal.Asynchronous.Precedence)</t>
  </si>
  <si>
    <t>6</t>
  </si>
  <si>
    <t>Mas nenhuma outra experiência senti como tão fiel a_ os meus sonhos de infância , de_ o que viver entre companheiros errantes por_ os Estados Unidos e documentar as suas vidas .</t>
  </si>
  <si>
    <t>Comparison.Concession.Arg2-as-denier</t>
  </si>
  <si>
    <t>contra-expectation</t>
  </si>
  <si>
    <t>(orig: Comparison.Concession.Arg2-as-denier)</t>
  </si>
  <si>
    <t>7</t>
  </si>
  <si>
    <t>(de facto)</t>
  </si>
  <si>
    <t>Este é o sonho nómada , um tipo diferente de sonho americano vivido por jovens trabalhadores migratórios , viajantes , pedintes de boleia , vadios e vagabundos .</t>
  </si>
  <si>
    <t>Expansion.Level-of-detail.Arg2-as-detail</t>
  </si>
  <si>
    <t>specific</t>
  </si>
  <si>
    <t>(orig: Expansion.Level-of-detail.Arg2-as-detail)</t>
  </si>
  <si>
    <t>8</t>
  </si>
  <si>
    <t>Na maioria de_ as nossas mentes , o vagabundo é uma criatura de_ o passado .</t>
  </si>
  <si>
    <t>9</t>
  </si>
  <si>
    <t>(e)</t>
  </si>
  <si>
    <t>A palavra " vagabundo " evoca uma velha imagem a preto e branco , de um homem velho coberto com carvão , pernas para fora de uma carruagem de mercadorias .</t>
  </si>
  <si>
    <t>Expansion.Conjunction</t>
  </si>
  <si>
    <t>Conjunction</t>
  </si>
  <si>
    <t>(orig: Expansion.Conjunction)</t>
  </si>
  <si>
    <t>10</t>
  </si>
  <si>
    <t>Mas estas fotos são a cor e retratam uma comunidade que percorre todo o país , ferozmente viva e criativamente livre , observando lados de_ a América que mais ninguém consegue ver .</t>
  </si>
  <si>
    <t>Comparison.Contrast</t>
  </si>
  <si>
    <t>Contrast</t>
  </si>
  <si>
    <t>(orig: Comparison.Contrast)</t>
  </si>
  <si>
    <t>11</t>
  </si>
  <si>
    <t>Tal como os seus antecessores , os nómadas de hoje viajam pelas estradas de aço e asfalto de_ os Estados Unidos .</t>
  </si>
  <si>
    <t>12</t>
  </si>
  <si>
    <t>(assim)</t>
  </si>
  <si>
    <t>De dia , saltam para comboios de mercadorias , levantam os polegares e andam por_ os caminhos com qualquer um , desde camionistas a mães de futebol .</t>
  </si>
  <si>
    <t>13</t>
  </si>
  <si>
    <t>(enquanto)</t>
  </si>
  <si>
    <t>À noite , eles dormem sob as estrelas , amontoados com as suas matilhas de cães , gatos e ratos de companhia entre os seus corpos .</t>
  </si>
  <si>
    <t>14</t>
  </si>
  <si>
    <t>Alguns viajantes metem -se à estrada por opção , renunciam a_ o materialismo , a_ os empregos tradicionais e a_ os graus universitários , em troca de um vislumbre de aventura .</t>
  </si>
  <si>
    <t>15</t>
  </si>
  <si>
    <t>Outros vêm de_ a parte inferior de_ a sociedade , nunca tiveram uma oportunidade de ascender : rejeitados de adoções , adolescentes fugitivos a escapar de abusos e de casas implacáveis .</t>
  </si>
  <si>
    <t>16</t>
  </si>
  <si>
    <t>Onde outros veem histórias de privação e fracasso económico , os viajantes visualizam a sua própria existência através de_ a perspetiva de_ a libertação e liberdade .</t>
  </si>
  <si>
    <t>17</t>
  </si>
  <si>
    <t>Preferem viver fora de_ o excesso de_ o que veem como uma sociedade de consumo e de desperdício , de_ o que aprisionados em_ uma possibilidade irrealista no sonho americano tradicional .</t>
  </si>
  <si>
    <t>18</t>
  </si>
  <si>
    <t>Eles aproveitam -se de_ o facto de , nos Estados Unidos , cerca de 40 % de todos os alimentos acabarem no lixo , para procurar produtos perfeitamente bons em lixeiras e caixotes de_ o lixo .</t>
  </si>
  <si>
    <t>19</t>
  </si>
  <si>
    <t>(além disso)</t>
  </si>
  <si>
    <t>Sacrificam o conforto material em troca de_ o espaço e de_ o tempo para explorar um interior criativo , para sonhar , para ler , para trabalhar em música , arte e escrita .</t>
  </si>
  <si>
    <t>20</t>
  </si>
  <si>
    <t>Mas existem muitos aspetos de_ esta vida que estão longe de ser idílicos .</t>
  </si>
  <si>
    <t>21</t>
  </si>
  <si>
    <t>(porque)</t>
  </si>
  <si>
    <t>Ninguém perde os seus demónios interiores a_ o meter -se à estrada .</t>
  </si>
  <si>
    <t>22</t>
  </si>
  <si>
    <t>O vício é real , os elementos são reais , os comboios de mercadorias mutilam e matam .</t>
  </si>
  <si>
    <t>23</t>
  </si>
  <si>
    <t>Qualquer um que tenha vivido nas ruas pode confirmar a lista exaustiva de leis que criminalizam a existência de_ os sem-abrigo .</t>
  </si>
  <si>
    <t>24</t>
  </si>
  <si>
    <t>(por exemplo)</t>
  </si>
  <si>
    <t>Quem aqui sabe que , em muitas cidades de_ os Estados Unidos , é agora ilegal sentar -se no passeio , embrulhar -se em_ um cobertor , dormir no seu próprio carro , oferecer comida a um estranho ?</t>
  </si>
  <si>
    <t>Expansion.Instantiation</t>
  </si>
  <si>
    <t>instance</t>
  </si>
  <si>
    <t>(orig: Expansion.Instantiation)</t>
  </si>
  <si>
    <t>25</t>
  </si>
  <si>
    <t>Eu conheço estas leis , porque observei como amigos e outros viajantes foram levados para a prisão ou receberam citações por praticarem estes alegados crimes .</t>
  </si>
  <si>
    <t>26</t>
  </si>
  <si>
    <t>Muitos de vocês podem estar a perguntar -se porque alguém escolheria uma vida como esta , sob o domínio de leis discriminatórias , a comer de caixotes de_ o lixo , a dormir debaixo de pontes , a aceitar empregos sazonais aqui e ali .</t>
  </si>
  <si>
    <t>27</t>
  </si>
  <si>
    <t>A resposta a esta pergunta é tão variada como as pessoas que se fazem à estrada , mas os viajantes costumam responder com uma única palavra : liberdade .</t>
  </si>
  <si>
    <t>28</t>
  </si>
  <si>
    <t>Até vivermos em_ uma sociedade em que a cada ser humano seja assegurada a dignidade no seu trabalho , para que possa trabalhar para viver bem , — não apenas trabalhar para sobreviver — haverá sempre quem procure a estrada aberta como meio de fuga , de libertação e , é claro , de rebelião .</t>
  </si>
  <si>
    <t>29</t>
  </si>
  <si>
    <t>Obrigado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</si>
  <si>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</si>
  <si>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</si>
  <si>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</si>
  <si>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</si>
  <si>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</si>
  <si>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</si>
  <si>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</si>
  <si>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</si>
  <si>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</si>
  <si>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</si>
  <si>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</si>
  <si>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Em pequena , sempre imaginei que um dia fugiria .</t>
  </si>
  <si>
    <t>Em</t>
  </si>
  <si>
    <t>pequena</t>
  </si>
  <si>
    <t>,</t>
  </si>
  <si>
    <t>sempre</t>
  </si>
  <si>
    <t>imaginei</t>
  </si>
  <si>
    <t>que</t>
  </si>
  <si>
    <t>um</t>
  </si>
  <si>
    <t>dia</t>
  </si>
  <si>
    <t>SBJ_2</t>
  </si>
  <si>
    <t>indef-np.quant</t>
  </si>
  <si>
    <t>fugiria</t>
  </si>
  <si>
    <t>.</t>
  </si>
  <si>
    <t># text = A partir de_ os meus 6 anos , passei a guardar uma mala com roupas e latas de comida escondidas na parte de trás de um roupeiro .</t>
  </si>
  <si>
    <t>A</t>
  </si>
  <si>
    <t>partir</t>
  </si>
  <si>
    <t>de_</t>
  </si>
  <si>
    <t>other</t>
  </si>
  <si>
    <t>ne</t>
  </si>
  <si>
    <t>?OLD</t>
  </si>
  <si>
    <t>os</t>
  </si>
  <si>
    <t>meus</t>
  </si>
  <si>
    <t>SBJ</t>
  </si>
  <si>
    <t>pron.pper</t>
  </si>
  <si>
    <t>anos</t>
  </si>
  <si>
    <t>other_2</t>
  </si>
  <si>
    <t>passei</t>
  </si>
  <si>
    <t>a</t>
  </si>
  <si>
    <t>guardar</t>
  </si>
  <si>
    <t>uma</t>
  </si>
  <si>
    <t>mala</t>
  </si>
  <si>
    <t>OBJ</t>
  </si>
  <si>
    <t>def-np.poss</t>
  </si>
  <si>
    <t>com</t>
  </si>
  <si>
    <t>roupas</t>
  </si>
  <si>
    <t>e</t>
  </si>
  <si>
    <t>latas</t>
  </si>
  <si>
    <t>other_3</t>
  </si>
  <si>
    <t>indef-np.bare</t>
  </si>
  <si>
    <t>de</t>
  </si>
  <si>
    <t>comida</t>
  </si>
  <si>
    <t>escondidas</t>
  </si>
  <si>
    <t>em</t>
  </si>
  <si>
    <t>parte</t>
  </si>
  <si>
    <t>other_5</t>
  </si>
  <si>
    <t>def-np.the</t>
  </si>
  <si>
    <t>trás</t>
  </si>
  <si>
    <t>roupeiro</t>
  </si>
  <si>
    <t>other_7</t>
  </si>
  <si>
    <t>indef-np.a</t>
  </si>
  <si>
    <t># text = Sentia uma profunda inquietação , um medo primordial de que seria vítima de uma vida de rotina e aborrecimento .</t>
  </si>
  <si>
    <t>Sentia</t>
  </si>
  <si>
    <t>profunda</t>
  </si>
  <si>
    <t>inquietação</t>
  </si>
  <si>
    <t>medo</t>
  </si>
  <si>
    <t>primordial</t>
  </si>
  <si>
    <t>seria</t>
  </si>
  <si>
    <t>vítima</t>
  </si>
  <si>
    <t>vida</t>
  </si>
  <si>
    <t>other_4</t>
  </si>
  <si>
    <t>rotina</t>
  </si>
  <si>
    <t>aborrecimento</t>
  </si>
  <si>
    <t>other_6</t>
  </si>
  <si>
    <t># text = Por isso , muitas de_ as minhas primeiras memórias envolviam sonhar acordada e de forma elaborada onde passaria fronteiras , a recolher bagas e a conhecer todo o tipo de pessoas estranhas , com vidas fora de_ o convencional , pela estrada fora .</t>
  </si>
  <si>
    <t>Por</t>
  </si>
  <si>
    <t>isso</t>
  </si>
  <si>
    <t>pron.pds</t>
  </si>
  <si>
    <t>muitas</t>
  </si>
  <si>
    <t>as</t>
  </si>
  <si>
    <t>minhas</t>
  </si>
  <si>
    <t>pron.ppos</t>
  </si>
  <si>
    <t>primeiras</t>
  </si>
  <si>
    <t>memórias</t>
  </si>
  <si>
    <t>envolviam</t>
  </si>
  <si>
    <t>sonhar</t>
  </si>
  <si>
    <t>acordada</t>
  </si>
  <si>
    <t>forma</t>
  </si>
  <si>
    <t>elaborada</t>
  </si>
  <si>
    <t>onde</t>
  </si>
  <si>
    <t>passaria</t>
  </si>
  <si>
    <t>fronteiras</t>
  </si>
  <si>
    <t>OBJ_5</t>
  </si>
  <si>
    <t>recolher</t>
  </si>
  <si>
    <t>bagas</t>
  </si>
  <si>
    <t>conhecer</t>
  </si>
  <si>
    <t>todo</t>
  </si>
  <si>
    <t>o</t>
  </si>
  <si>
    <t>tipo</t>
  </si>
  <si>
    <t>OBJ_7</t>
  </si>
  <si>
    <t>pessoas</t>
  </si>
  <si>
    <t>other_8</t>
  </si>
  <si>
    <t>estranhas</t>
  </si>
  <si>
    <t>vidas</t>
  </si>
  <si>
    <t>other_9</t>
  </si>
  <si>
    <t>fora</t>
  </si>
  <si>
    <t>other_11</t>
  </si>
  <si>
    <t>convencional</t>
  </si>
  <si>
    <t>other_10</t>
  </si>
  <si>
    <t>por</t>
  </si>
  <si>
    <t>estrada</t>
  </si>
  <si>
    <t># text = Os anos passaram , mas muitas de_ as aventuras que fantasiava em criança , a viajar e a tecer o meu caminho entre mundos para além de_ o meu próprio , tornaram -se realidade através de_ o meu trabalho como fotógrafa documental .</t>
  </si>
  <si>
    <t>Os</t>
  </si>
  <si>
    <t>passaram</t>
  </si>
  <si>
    <t>mas</t>
  </si>
  <si>
    <t>aventuras</t>
  </si>
  <si>
    <t>SBJ_4</t>
  </si>
  <si>
    <t>fantasiava</t>
  </si>
  <si>
    <t>criança</t>
  </si>
  <si>
    <t>viajar</t>
  </si>
  <si>
    <t>tecer</t>
  </si>
  <si>
    <t>meu</t>
  </si>
  <si>
    <t>caminho</t>
  </si>
  <si>
    <t>OBJ_6</t>
  </si>
  <si>
    <t>entre</t>
  </si>
  <si>
    <t>mundos</t>
  </si>
  <si>
    <t>para</t>
  </si>
  <si>
    <t>além</t>
  </si>
  <si>
    <t>próprio</t>
  </si>
  <si>
    <t>SBJ_7</t>
  </si>
  <si>
    <t>tornaram</t>
  </si>
  <si>
    <t>-se</t>
  </si>
  <si>
    <t>realidade</t>
  </si>
  <si>
    <t>através</t>
  </si>
  <si>
    <t>trabalho</t>
  </si>
  <si>
    <t>como</t>
  </si>
  <si>
    <t>fotógrafa</t>
  </si>
  <si>
    <t>documental</t>
  </si>
  <si>
    <t># text = Mas nenhuma outra experiência senti como tão fiel a_ os meus sonhos de infância , de_ o que viver entre companheiros errantes por_ os Estados Unidos e documentar as suas vidas .</t>
  </si>
  <si>
    <t>Mas</t>
  </si>
  <si>
    <t>nenhuma</t>
  </si>
  <si>
    <t>outra</t>
  </si>
  <si>
    <t>experiência</t>
  </si>
  <si>
    <t>senti</t>
  </si>
  <si>
    <t>tão</t>
  </si>
  <si>
    <t>fiel</t>
  </si>
  <si>
    <t>a_</t>
  </si>
  <si>
    <t>sonhos</t>
  </si>
  <si>
    <t>infância</t>
  </si>
  <si>
    <t>viver</t>
  </si>
  <si>
    <t>companheiros</t>
  </si>
  <si>
    <t>errantes</t>
  </si>
  <si>
    <t>por_</t>
  </si>
  <si>
    <t>Estados</t>
  </si>
  <si>
    <t>OBJ_4</t>
  </si>
  <si>
    <t>Unidos</t>
  </si>
  <si>
    <t>documentar</t>
  </si>
  <si>
    <t>suas</t>
  </si>
  <si>
    <t># text = Este é o sonho nómada , um tipo diferente de sonho americano vivido por jovens trabalhadores migratórios , viajantes , pedintes de boleia , vadios e vagabundos .</t>
  </si>
  <si>
    <t>Este</t>
  </si>
  <si>
    <t>é</t>
  </si>
  <si>
    <t>sonho</t>
  </si>
  <si>
    <t>nómada</t>
  </si>
  <si>
    <t>diferente</t>
  </si>
  <si>
    <t>americano</t>
  </si>
  <si>
    <t>vivido</t>
  </si>
  <si>
    <t>jovens</t>
  </si>
  <si>
    <t>trabalhadores</t>
  </si>
  <si>
    <t>migratórios</t>
  </si>
  <si>
    <t>viajantes</t>
  </si>
  <si>
    <t>pedintes</t>
  </si>
  <si>
    <t>boleia</t>
  </si>
  <si>
    <t>vadios</t>
  </si>
  <si>
    <t>vagabundos</t>
  </si>
  <si>
    <t># text = Na maioria de_ as nossas mentes , o vagabundo é uma criatura de_ o passado .</t>
  </si>
  <si>
    <t>maioria</t>
  </si>
  <si>
    <t>nossas</t>
  </si>
  <si>
    <t>mentes</t>
  </si>
  <si>
    <t>vagabundo</t>
  </si>
  <si>
    <t>SBJ_3</t>
  </si>
  <si>
    <t>criatura</t>
  </si>
  <si>
    <t>passado</t>
  </si>
  <si>
    <t>--</t>
  </si>
  <si>
    <t># text = A palavra \" vagabundo \" evoca uma velha imagem a preto e branco , de um homem velho coberto com carvão , pernas para fora de uma carruagem de mercadorias .</t>
  </si>
  <si>
    <t>palavra</t>
  </si>
  <si>
    <t>&amp;quot;</t>
  </si>
  <si>
    <t>pron.pind</t>
  </si>
  <si>
    <t>evoca</t>
  </si>
  <si>
    <t>velha</t>
  </si>
  <si>
    <t>imagem</t>
  </si>
  <si>
    <t>OBJ_2</t>
  </si>
  <si>
    <t>preto</t>
  </si>
  <si>
    <t>branco</t>
  </si>
  <si>
    <t>homem</t>
  </si>
  <si>
    <t>velho</t>
  </si>
  <si>
    <t>coberto</t>
  </si>
  <si>
    <t>carvão</t>
  </si>
  <si>
    <t>pernas</t>
  </si>
  <si>
    <t>carruagem</t>
  </si>
  <si>
    <t>mercadorias</t>
  </si>
  <si>
    <t># text = Mas estas fotos são a cor e retratam uma comunidade que percorre todo o país , ferozmente viva e criativamente livre , observando lados de_ a América que mais ninguém consegue ver .</t>
  </si>
  <si>
    <t>estas</t>
  </si>
  <si>
    <t>fotos</t>
  </si>
  <si>
    <t>def-np.dem</t>
  </si>
  <si>
    <t>são</t>
  </si>
  <si>
    <t>cor</t>
  </si>
  <si>
    <t>retratam</t>
  </si>
  <si>
    <t>comunidade</t>
  </si>
  <si>
    <t>percorre</t>
  </si>
  <si>
    <t>país</t>
  </si>
  <si>
    <t>ferozmente</t>
  </si>
  <si>
    <t>viva</t>
  </si>
  <si>
    <t>criativamente</t>
  </si>
  <si>
    <t>livre</t>
  </si>
  <si>
    <t>observando</t>
  </si>
  <si>
    <t>lados</t>
  </si>
  <si>
    <t>América</t>
  </si>
  <si>
    <t>SBJ_5</t>
  </si>
  <si>
    <t>mais</t>
  </si>
  <si>
    <t>ninguém</t>
  </si>
  <si>
    <t>consegue</t>
  </si>
  <si>
    <t>ver</t>
  </si>
  <si>
    <t># text = Tal como os seus antecessores , os nómadas de hoje viajam pelas estradas de aço e asfalto de_ os Estados Unidos .</t>
  </si>
  <si>
    <t>Tal</t>
  </si>
  <si>
    <t>seus</t>
  </si>
  <si>
    <t>antecessores</t>
  </si>
  <si>
    <t>nómadas</t>
  </si>
  <si>
    <t>hoje</t>
  </si>
  <si>
    <t>viajam</t>
  </si>
  <si>
    <t>estradas</t>
  </si>
  <si>
    <t>aço</t>
  </si>
  <si>
    <t>asfalto</t>
  </si>
  <si>
    <t># text = De dia , saltam para comboios de mercadorias , levantam os polegares e andam por_ os caminhos com qualquer um , desde camionistas a mães de futebol .</t>
  </si>
  <si>
    <t>De</t>
  </si>
  <si>
    <t>saltam</t>
  </si>
  <si>
    <t>comboios</t>
  </si>
  <si>
    <t>levantam</t>
  </si>
  <si>
    <t>polegares</t>
  </si>
  <si>
    <t>andam</t>
  </si>
  <si>
    <t>caminhos</t>
  </si>
  <si>
    <t>qualquer</t>
  </si>
  <si>
    <t>desde</t>
  </si>
  <si>
    <t>camionistas</t>
  </si>
  <si>
    <t>mães</t>
  </si>
  <si>
    <t>futebol</t>
  </si>
  <si>
    <t># text = À noite , eles dormem sob as estrelas , amontoados com as suas matilhas de cães , gatos e ratos de companhia entre os seus corpos .</t>
  </si>
  <si>
    <t>noite</t>
  </si>
  <si>
    <t>eles</t>
  </si>
  <si>
    <t>dormem</t>
  </si>
  <si>
    <t>sob</t>
  </si>
  <si>
    <t>estrelas</t>
  </si>
  <si>
    <t>amontoados</t>
  </si>
  <si>
    <t>matilhas</t>
  </si>
  <si>
    <t>cães</t>
  </si>
  <si>
    <t>gatos</t>
  </si>
  <si>
    <t>ratos</t>
  </si>
  <si>
    <t>companhia</t>
  </si>
  <si>
    <t>corpos</t>
  </si>
  <si>
    <t># text = Alguns viajantes metem -se à estrada por opção , renunciam a_ o materialismo , a_ os empregos tradicionais e a_ os graus universitários , em troca de um vislumbre de aventura .</t>
  </si>
  <si>
    <t>Alguns</t>
  </si>
  <si>
    <t>indef-np</t>
  </si>
  <si>
    <t>metem</t>
  </si>
  <si>
    <t>opção</t>
  </si>
  <si>
    <t>renunciam</t>
  </si>
  <si>
    <t>materialismo</t>
  </si>
  <si>
    <t>empregos</t>
  </si>
  <si>
    <t>tradicionais</t>
  </si>
  <si>
    <t>graus</t>
  </si>
  <si>
    <t>universitários</t>
  </si>
  <si>
    <t>troca</t>
  </si>
  <si>
    <t>vislumbre</t>
  </si>
  <si>
    <t>aventura</t>
  </si>
  <si>
    <t># text = Outros vêm de_ a parte inferior de_ a sociedade , nunca tiveram uma oportunidade de ascender : rejeitados de adoções , adolescentes fugitivos a escapar de abusos e de casas implacáveis .</t>
  </si>
  <si>
    <t>Outros</t>
  </si>
  <si>
    <t>vêm</t>
  </si>
  <si>
    <t>inferior</t>
  </si>
  <si>
    <t>sociedade</t>
  </si>
  <si>
    <t>nunca</t>
  </si>
  <si>
    <t>tiveram</t>
  </si>
  <si>
    <t>oportunidade</t>
  </si>
  <si>
    <t>OBJ_3</t>
  </si>
  <si>
    <t>ascender</t>
  </si>
  <si>
    <t>:</t>
  </si>
  <si>
    <t>rejeitados</t>
  </si>
  <si>
    <t>adoções</t>
  </si>
  <si>
    <t>adolescentes</t>
  </si>
  <si>
    <t>fugitivos</t>
  </si>
  <si>
    <t>escapar</t>
  </si>
  <si>
    <t>abusos</t>
  </si>
  <si>
    <t>OBJ_8</t>
  </si>
  <si>
    <t>casas</t>
  </si>
  <si>
    <t>implacáveis</t>
  </si>
  <si>
    <t># text = Onde outros veem histórias de privação e fracasso económico , os viajantes visualizam a sua própria existência através de_ a perspetiva de_ a libertação e liberdade .</t>
  </si>
  <si>
    <t>Onde</t>
  </si>
  <si>
    <t>outros</t>
  </si>
  <si>
    <t>veem</t>
  </si>
  <si>
    <t>histórias</t>
  </si>
  <si>
    <t>privação</t>
  </si>
  <si>
    <t>fracasso</t>
  </si>
  <si>
    <t>económico</t>
  </si>
  <si>
    <t>visualizam</t>
  </si>
  <si>
    <t>sua</t>
  </si>
  <si>
    <t>própria</t>
  </si>
  <si>
    <t>existência</t>
  </si>
  <si>
    <t>perspetiva</t>
  </si>
  <si>
    <t>libertação</t>
  </si>
  <si>
    <t>liberdade</t>
  </si>
  <si>
    <t># text = Preferem viver fora de_ o excesso de_ o que veem como uma sociedade de consumo e de desperdício , de_ o que aprisionados em_ uma possibilidade irrealista no sonho americano tradicional .</t>
  </si>
  <si>
    <t>Preferem</t>
  </si>
  <si>
    <t>excesso</t>
  </si>
  <si>
    <t>consumo</t>
  </si>
  <si>
    <t>desperdício</t>
  </si>
  <si>
    <t>aprisionados</t>
  </si>
  <si>
    <t>em_</t>
  </si>
  <si>
    <t>possibilidade</t>
  </si>
  <si>
    <t>SBJ_6</t>
  </si>
  <si>
    <t>irrealista</t>
  </si>
  <si>
    <t>tradicional</t>
  </si>
  <si>
    <t># text = Eles aproveitam -se de_ o facto de , nos Estados Unidos , cerca de 40 % de todos os alimentos acabarem no lixo , para procurar produtos perfeitamente bons em lixeiras e caixotes de_ o lixo .</t>
  </si>
  <si>
    <t>Eles</t>
  </si>
  <si>
    <t>aproveitam</t>
  </si>
  <si>
    <t>facto</t>
  </si>
  <si>
    <t>cerca</t>
  </si>
  <si>
    <t>40</t>
  </si>
  <si>
    <t>%</t>
  </si>
  <si>
    <t>todos</t>
  </si>
  <si>
    <t>alimentos</t>
  </si>
  <si>
    <t>acabarem</t>
  </si>
  <si>
    <t>lixo</t>
  </si>
  <si>
    <t>procurar</t>
  </si>
  <si>
    <t>produtos</t>
  </si>
  <si>
    <t>perfeitamente</t>
  </si>
  <si>
    <t>bons</t>
  </si>
  <si>
    <t>lixeiras</t>
  </si>
  <si>
    <t>caixotes</t>
  </si>
  <si>
    <t># text = Sacrificam o conforto material em troca de_ o espaço e de_ o tempo para explorar um interior criativo , para sonhar , para ler , para trabalhar em música , arte e escrita .</t>
  </si>
  <si>
    <t>Sacrificam</t>
  </si>
  <si>
    <t>conforto</t>
  </si>
  <si>
    <t>material</t>
  </si>
  <si>
    <t>espaço</t>
  </si>
  <si>
    <t>tempo</t>
  </si>
  <si>
    <t>explorar</t>
  </si>
  <si>
    <t>interior</t>
  </si>
  <si>
    <t>criativo</t>
  </si>
  <si>
    <t>ler</t>
  </si>
  <si>
    <t>trabalhar</t>
  </si>
  <si>
    <t>música</t>
  </si>
  <si>
    <t>arte</t>
  </si>
  <si>
    <t>escrita</t>
  </si>
  <si>
    <t># text = Mas existem muitos aspetos de_ esta vida que estão longe de ser idílicos .</t>
  </si>
  <si>
    <t>existem</t>
  </si>
  <si>
    <t>muitos</t>
  </si>
  <si>
    <t>aspetos</t>
  </si>
  <si>
    <t>esta</t>
  </si>
  <si>
    <t>estão</t>
  </si>
  <si>
    <t>longe</t>
  </si>
  <si>
    <t>ser</t>
  </si>
  <si>
    <t>idílicos</t>
  </si>
  <si>
    <t># text = Ninguém perde os seus demónios interiores a_ o meter -se à estrada .</t>
  </si>
  <si>
    <t>Ninguém</t>
  </si>
  <si>
    <t>perde</t>
  </si>
  <si>
    <t>demónios</t>
  </si>
  <si>
    <t>interiores</t>
  </si>
  <si>
    <t>meter</t>
  </si>
  <si>
    <t># text = O vício é real , os elementos são reais , os comboios de mercadorias mutilam e matam .</t>
  </si>
  <si>
    <t>vício</t>
  </si>
  <si>
    <t>real</t>
  </si>
  <si>
    <t>elementos</t>
  </si>
  <si>
    <t>reais</t>
  </si>
  <si>
    <t>mutilam</t>
  </si>
  <si>
    <t>matam</t>
  </si>
  <si>
    <t># text = Qualquer um que tenha vivido nas ruas pode confirmar a lista exaustiva de leis que criminalizam a existência de_ os sem-abrigo .</t>
  </si>
  <si>
    <t>Qualquer</t>
  </si>
  <si>
    <t>tenha</t>
  </si>
  <si>
    <t>ruas</t>
  </si>
  <si>
    <t>pode</t>
  </si>
  <si>
    <t>confirmar</t>
  </si>
  <si>
    <t>lista</t>
  </si>
  <si>
    <t>exaustiva</t>
  </si>
  <si>
    <t>leis</t>
  </si>
  <si>
    <t>criminalizam</t>
  </si>
  <si>
    <t>sem-abrigo</t>
  </si>
  <si>
    <t># text = Quem aqui sabe que , em muitas cidades de_ os Estados Unidos , é agora ilegal sentar -se no passeio , embrulhar -se em_ um cobertor , dormir no seu próprio carro , oferecer comida a um estranho ?</t>
  </si>
  <si>
    <t>Quem</t>
  </si>
  <si>
    <t>pron.pint</t>
  </si>
  <si>
    <t>aqui</t>
  </si>
  <si>
    <t>sabe</t>
  </si>
  <si>
    <t>cidades</t>
  </si>
  <si>
    <t>agora</t>
  </si>
  <si>
    <t>ilegal</t>
  </si>
  <si>
    <t>sentar</t>
  </si>
  <si>
    <t>passeio</t>
  </si>
  <si>
    <t>embrulhar</t>
  </si>
  <si>
    <t>cobertor</t>
  </si>
  <si>
    <t>dormir</t>
  </si>
  <si>
    <t>seu</t>
  </si>
  <si>
    <t>carro</t>
  </si>
  <si>
    <t>oferecer</t>
  </si>
  <si>
    <t>estranho</t>
  </si>
  <si>
    <t>?</t>
  </si>
  <si>
    <t># text = Eu conheço estas leis , porque observei como amigos e outros viajantes foram levados para a prisão ou receberam citações por praticarem estes alegados crimes .</t>
  </si>
  <si>
    <t>Eu</t>
  </si>
  <si>
    <t>conheço</t>
  </si>
  <si>
    <t>porque</t>
  </si>
  <si>
    <t>observei</t>
  </si>
  <si>
    <t>amigos</t>
  </si>
  <si>
    <t>foram</t>
  </si>
  <si>
    <t>levados</t>
  </si>
  <si>
    <t>prisão</t>
  </si>
  <si>
    <t>ou</t>
  </si>
  <si>
    <t>receberam</t>
  </si>
  <si>
    <t>citações</t>
  </si>
  <si>
    <t>praticarem</t>
  </si>
  <si>
    <t>estes</t>
  </si>
  <si>
    <t>alegados</t>
  </si>
  <si>
    <t>crimes</t>
  </si>
  <si>
    <t># text = Muitos de vocês podem estar a perguntar -se porque alguém escolheria uma vida como esta , sob o domínio de leis discriminatórias , a comer de caixotes de_ o lixo , a dormir debaixo de pontes , a aceitar empregos sazonais aqui e ali .</t>
  </si>
  <si>
    <t>Muitos</t>
  </si>
  <si>
    <t>vocês</t>
  </si>
  <si>
    <t>podem</t>
  </si>
  <si>
    <t>estar</t>
  </si>
  <si>
    <t>perguntar</t>
  </si>
  <si>
    <t>alguém</t>
  </si>
  <si>
    <t>escolheria</t>
  </si>
  <si>
    <t>domínio</t>
  </si>
  <si>
    <t>discriminatórias</t>
  </si>
  <si>
    <t>comer</t>
  </si>
  <si>
    <t>debaixo</t>
  </si>
  <si>
    <t>pontes</t>
  </si>
  <si>
    <t>aceitar</t>
  </si>
  <si>
    <t>sazonais</t>
  </si>
  <si>
    <t>ali</t>
  </si>
  <si>
    <t># text = A resposta a esta pergunta é tão variada como as pessoas que se fazem à estrada , mas os viajantes costumam responder com uma única palavra : liberdade .</t>
  </si>
  <si>
    <t>resposta</t>
  </si>
  <si>
    <t>pergunta</t>
  </si>
  <si>
    <t>variada</t>
  </si>
  <si>
    <t>se</t>
  </si>
  <si>
    <t>fazem</t>
  </si>
  <si>
    <t>costumam</t>
  </si>
  <si>
    <t>responder</t>
  </si>
  <si>
    <t>única</t>
  </si>
  <si>
    <t># text = Até vivermos em_ uma sociedade em que a cada ser humano seja assegurada a dignidade no seu trabalho , para que possa trabalhar para viver bem , — não apenas trabalhar para sobreviver — haverá sempre quem procure a estrada aberta como meio de fuga , de libertação e , é claro , de rebelião .</t>
  </si>
  <si>
    <t>Até</t>
  </si>
  <si>
    <t>vivermos</t>
  </si>
  <si>
    <t>cada</t>
  </si>
  <si>
    <t>humano</t>
  </si>
  <si>
    <t>seja</t>
  </si>
  <si>
    <t>assegurada</t>
  </si>
  <si>
    <t>dignidade</t>
  </si>
  <si>
    <t>possa</t>
  </si>
  <si>
    <t>bem</t>
  </si>
  <si>
    <t>—</t>
  </si>
  <si>
    <t>não</t>
  </si>
  <si>
    <t>apenas</t>
  </si>
  <si>
    <t>sobreviver</t>
  </si>
  <si>
    <t>haverá</t>
  </si>
  <si>
    <t>quem</t>
  </si>
  <si>
    <t>procure</t>
  </si>
  <si>
    <t>aberta</t>
  </si>
  <si>
    <t>meio</t>
  </si>
  <si>
    <t>fuga</t>
  </si>
  <si>
    <t>claro</t>
  </si>
  <si>
    <t>rebelião</t>
  </si>
  <si>
    <t># text = Obrigado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</si>
</sst>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11</v>
      </c>
      <c r="D2" s="7" t="s">
        <v>11</v>
      </c>
      <c r="E2" s="8" t="s">
        <v>12</v>
      </c>
      <c r="F2" s="6" t="s">
        <v>11</v>
      </c>
      <c r="G2" s="9">
        <f>IF(A2=1,"_",IF(C2="_","???",C2))</f>
        <v/>
      </c>
      <c r="H2" s="10" t="s">
        <v>11</v>
      </c>
      <c r="I2" s="11" t="s">
        <v>11</v>
      </c>
      <c r="J2" s="12"/>
    </row>
    <row r="3" spans="1:10" ht="60" customHeight="1">
      <c r="A3" s="6" t="s">
        <v>13</v>
      </c>
      <c r="B3" s="6" t="s">
        <v>11</v>
      </c>
      <c r="C3" s="6" t="s">
        <v>14</v>
      </c>
      <c r="D3" s="7" t="s">
        <v>11</v>
      </c>
      <c r="E3" s="8" t="s">
        <v>15</v>
      </c>
      <c r="F3" s="6" t="s">
        <v>11</v>
      </c>
      <c r="G3" s="9">
        <f>IF(A3=1,"_",IF(C3="_","???",C3))</f>
        <v/>
      </c>
      <c r="H3" s="10" t="s">
        <v>10</v>
      </c>
      <c r="I3" s="11" t="s">
        <v>17</v>
      </c>
      <c r="J3" s="12" t="s">
        <v>18</v>
      </c>
    </row>
    <row r="4" spans="1:10" ht="60" customHeight="1">
      <c r="A4" s="6" t="s">
        <v>19</v>
      </c>
      <c r="B4" s="6" t="s">
        <v>11</v>
      </c>
      <c r="C4" s="6" t="s">
        <v>20</v>
      </c>
      <c r="D4" s="7" t="s">
        <v>11</v>
      </c>
      <c r="E4" s="8" t="s">
        <v>21</v>
      </c>
      <c r="F4" s="6" t="s">
        <v>11</v>
      </c>
      <c r="G4" s="9">
        <f>IF(A4=1,"_",IF(C4="_","???",C4))</f>
        <v/>
      </c>
      <c r="H4" s="10" t="s">
        <v>13</v>
      </c>
      <c r="I4" s="11" t="s">
        <v>23</v>
      </c>
      <c r="J4" s="12" t="s">
        <v>24</v>
      </c>
    </row>
    <row r="5" spans="1:10" ht="60" customHeight="1">
      <c r="A5" s="6" t="s">
        <v>25</v>
      </c>
      <c r="B5" s="6" t="s">
        <v>11</v>
      </c>
      <c r="C5" s="6" t="s">
        <v>11</v>
      </c>
      <c r="D5" s="7" t="s">
        <v>11</v>
      </c>
      <c r="E5" s="8" t="s">
        <v>26</v>
      </c>
      <c r="F5" s="6" t="s">
        <v>11</v>
      </c>
      <c r="G5" s="9">
        <f>IF(A5=1,"_",IF(C5="_","???",C5))</f>
        <v/>
      </c>
      <c r="H5" s="10" t="s">
        <v>19</v>
      </c>
      <c r="I5" s="11" t="s">
        <v>17</v>
      </c>
      <c r="J5" s="12" t="s">
        <v>18</v>
      </c>
    </row>
    <row r="6" spans="1:10" ht="60" customHeight="1">
      <c r="A6" s="6" t="s">
        <v>27</v>
      </c>
      <c r="B6" s="6" t="s">
        <v>11</v>
      </c>
      <c r="C6" s="6" t="s">
        <v>28</v>
      </c>
      <c r="D6" s="7" t="s">
        <v>11</v>
      </c>
      <c r="E6" s="8" t="s">
        <v>29</v>
      </c>
      <c r="F6" s="6" t="s">
        <v>11</v>
      </c>
      <c r="G6" s="9">
        <f>IF(A6=1,"_",IF(C6="_","???",C6))</f>
        <v/>
      </c>
      <c r="H6" s="10" t="s">
        <v>25</v>
      </c>
      <c r="I6" s="11" t="s">
        <v>31</v>
      </c>
      <c r="J6" s="12" t="s">
        <v>32</v>
      </c>
    </row>
    <row r="7" spans="1:10" ht="60" customHeight="1">
      <c r="A7" s="6" t="s">
        <v>33</v>
      </c>
      <c r="B7" s="6" t="s">
        <v>11</v>
      </c>
      <c r="C7" s="6" t="s">
        <v>11</v>
      </c>
      <c r="D7" s="7" t="s">
        <v>11</v>
      </c>
      <c r="E7" s="8" t="s">
        <v>34</v>
      </c>
      <c r="F7" s="6" t="s">
        <v>11</v>
      </c>
      <c r="G7" s="9">
        <f>IF(A7=1,"_",IF(C7="_","???",C7))</f>
        <v/>
      </c>
      <c r="H7" s="10" t="s">
        <v>27</v>
      </c>
      <c r="I7" s="11" t="s">
        <v>36</v>
      </c>
      <c r="J7" s="12" t="s">
        <v>37</v>
      </c>
    </row>
    <row r="8" spans="1:10" ht="60" customHeight="1">
      <c r="A8" s="6" t="s">
        <v>38</v>
      </c>
      <c r="B8" s="6" t="s">
        <v>11</v>
      </c>
      <c r="C8" s="6" t="s">
        <v>39</v>
      </c>
      <c r="D8" s="7" t="s">
        <v>11</v>
      </c>
      <c r="E8" s="8" t="s">
        <v>40</v>
      </c>
      <c r="F8" s="6" t="s">
        <v>11</v>
      </c>
      <c r="G8" s="9">
        <f>IF(A8=1,"_",IF(C8="_","???",C8))</f>
        <v/>
      </c>
      <c r="H8" s="10" t="s">
        <v>33</v>
      </c>
      <c r="I8" s="11" t="s">
        <v>42</v>
      </c>
      <c r="J8" s="12" t="s">
        <v>43</v>
      </c>
    </row>
    <row r="9" spans="1:10" ht="60" customHeight="1">
      <c r="A9" s="6" t="s">
        <v>44</v>
      </c>
      <c r="B9" s="6" t="s">
        <v>11</v>
      </c>
      <c r="C9" s="6" t="s">
        <v>11</v>
      </c>
      <c r="D9" s="7" t="s">
        <v>11</v>
      </c>
      <c r="E9" s="8" t="s">
        <v>45</v>
      </c>
      <c r="F9" s="6" t="s">
        <v>11</v>
      </c>
      <c r="G9" s="9">
        <f>IF(A9=1,"_",IF(C9="_","???",C9))</f>
        <v/>
      </c>
      <c r="H9" s="10" t="s">
        <v>11</v>
      </c>
      <c r="I9" s="11" t="s">
        <v>11</v>
      </c>
      <c r="J9" s="12"/>
    </row>
    <row r="10" spans="1:10" ht="60" customHeight="1">
      <c r="A10" s="6" t="s">
        <v>46</v>
      </c>
      <c r="B10" s="6" t="s">
        <v>11</v>
      </c>
      <c r="C10" s="6" t="s">
        <v>47</v>
      </c>
      <c r="D10" s="7" t="s">
        <v>11</v>
      </c>
      <c r="E10" s="8" t="s">
        <v>48</v>
      </c>
      <c r="F10" s="6" t="s">
        <v>11</v>
      </c>
      <c r="G10" s="9">
        <f>IF(A10=1,"_",IF(C10="_","???",C10))</f>
        <v/>
      </c>
      <c r="H10" s="10" t="s">
        <v>44</v>
      </c>
      <c r="I10" s="11" t="s">
        <v>50</v>
      </c>
      <c r="J10" s="12" t="s">
        <v>51</v>
      </c>
    </row>
    <row r="11" spans="1:10" ht="60" customHeight="1">
      <c r="A11" s="6" t="s">
        <v>52</v>
      </c>
      <c r="B11" s="6" t="s">
        <v>11</v>
      </c>
      <c r="C11" s="6" t="s">
        <v>11</v>
      </c>
      <c r="D11" s="7" t="s">
        <v>11</v>
      </c>
      <c r="E11" s="8" t="s">
        <v>53</v>
      </c>
      <c r="F11" s="6" t="s">
        <v>11</v>
      </c>
      <c r="G11" s="9">
        <f>IF(A11=1,"_",IF(C11="_","???",C11))</f>
        <v/>
      </c>
      <c r="H11" s="10" t="s">
        <v>46</v>
      </c>
      <c r="I11" s="11" t="s">
        <v>55</v>
      </c>
      <c r="J11" s="12" t="s">
        <v>56</v>
      </c>
    </row>
    <row r="12" spans="1:10" ht="60" customHeight="1">
      <c r="A12" s="6" t="s">
        <v>57</v>
      </c>
      <c r="B12" s="6" t="s">
        <v>11</v>
      </c>
      <c r="C12" s="6" t="s">
        <v>11</v>
      </c>
      <c r="D12" s="7" t="s">
        <v>11</v>
      </c>
      <c r="E12" s="8" t="s">
        <v>58</v>
      </c>
      <c r="F12" s="6" t="s">
        <v>11</v>
      </c>
      <c r="G12" s="9">
        <f>IF(A12=1,"_",IF(C12="_","???",C12))</f>
        <v/>
      </c>
      <c r="H12" s="10" t="s">
        <v>11</v>
      </c>
      <c r="I12" s="11" t="s">
        <v>11</v>
      </c>
      <c r="J12" s="12"/>
    </row>
    <row r="13" spans="1:10" ht="60" customHeight="1">
      <c r="A13" s="6" t="s">
        <v>59</v>
      </c>
      <c r="B13" s="6" t="s">
        <v>11</v>
      </c>
      <c r="C13" s="6" t="s">
        <v>60</v>
      </c>
      <c r="D13" s="7" t="s">
        <v>11</v>
      </c>
      <c r="E13" s="8" t="s">
        <v>61</v>
      </c>
      <c r="F13" s="6" t="s">
        <v>11</v>
      </c>
      <c r="G13" s="9">
        <f>IF(A13=1,"_",IF(C13="_","???",C13))</f>
        <v/>
      </c>
      <c r="H13" s="10" t="s">
        <v>57</v>
      </c>
      <c r="I13" s="11" t="s">
        <v>42</v>
      </c>
      <c r="J13" s="12" t="s">
        <v>43</v>
      </c>
    </row>
    <row r="14" spans="1:10" ht="60" customHeight="1">
      <c r="A14" s="6" t="s">
        <v>62</v>
      </c>
      <c r="B14" s="6" t="s">
        <v>11</v>
      </c>
      <c r="C14" s="6" t="s">
        <v>63</v>
      </c>
      <c r="D14" s="7" t="s">
        <v>11</v>
      </c>
      <c r="E14" s="8" t="s">
        <v>64</v>
      </c>
      <c r="F14" s="6" t="s">
        <v>11</v>
      </c>
      <c r="G14" s="9">
        <f>IF(A14=1,"_",IF(C14="_","???",C14))</f>
        <v/>
      </c>
      <c r="H14" s="10" t="s">
        <v>59</v>
      </c>
      <c r="I14" s="11" t="s">
        <v>50</v>
      </c>
      <c r="J14" s="12" t="s">
        <v>51</v>
      </c>
    </row>
    <row r="15" spans="1:10" ht="60" customHeight="1">
      <c r="A15" s="6" t="s">
        <v>65</v>
      </c>
      <c r="B15" s="6" t="s">
        <v>11</v>
      </c>
      <c r="C15" s="6" t="s">
        <v>11</v>
      </c>
      <c r="D15" s="7" t="s">
        <v>11</v>
      </c>
      <c r="E15" s="8" t="s">
        <v>66</v>
      </c>
      <c r="F15" s="6" t="s">
        <v>11</v>
      </c>
      <c r="G15" s="9">
        <f>IF(A15=1,"_",IF(C15="_","???",C15))</f>
        <v/>
      </c>
      <c r="H15" s="10" t="s">
        <v>11</v>
      </c>
      <c r="I15" s="11" t="s">
        <v>11</v>
      </c>
      <c r="J15" s="12"/>
    </row>
    <row r="16" spans="1:10" ht="60" customHeight="1">
      <c r="A16" s="6" t="s">
        <v>67</v>
      </c>
      <c r="B16" s="6" t="s">
        <v>11</v>
      </c>
      <c r="C16" s="6" t="s">
        <v>63</v>
      </c>
      <c r="D16" s="7" t="s">
        <v>11</v>
      </c>
      <c r="E16" s="8" t="s">
        <v>68</v>
      </c>
      <c r="F16" s="6" t="s">
        <v>11</v>
      </c>
      <c r="G16" s="9">
        <f>IF(A16=1,"_",IF(C16="_","???",C16))</f>
        <v/>
      </c>
      <c r="H16" s="10" t="s">
        <v>65</v>
      </c>
      <c r="I16" s="11" t="s">
        <v>55</v>
      </c>
      <c r="J16" s="12" t="s">
        <v>56</v>
      </c>
    </row>
    <row r="17" spans="1:10" ht="60" customHeight="1">
      <c r="A17" s="6" t="s">
        <v>69</v>
      </c>
      <c r="B17" s="6" t="s">
        <v>11</v>
      </c>
      <c r="C17" s="6" t="s">
        <v>11</v>
      </c>
      <c r="D17" s="7" t="s">
        <v>11</v>
      </c>
      <c r="E17" s="8" t="s">
        <v>70</v>
      </c>
      <c r="F17" s="6" t="s">
        <v>11</v>
      </c>
      <c r="G17" s="9">
        <f>IF(A17=1,"_",IF(C17="_","???",C17))</f>
        <v/>
      </c>
      <c r="H17" s="10" t="s">
        <v>11</v>
      </c>
      <c r="I17" s="11" t="s">
        <v>11</v>
      </c>
      <c r="J17" s="12"/>
    </row>
    <row r="18" spans="1:10" ht="60" customHeight="1">
      <c r="A18" s="6" t="s">
        <v>71</v>
      </c>
      <c r="B18" s="6" t="s">
        <v>11</v>
      </c>
      <c r="C18" s="6" t="s">
        <v>60</v>
      </c>
      <c r="D18" s="7" t="s">
        <v>11</v>
      </c>
      <c r="E18" s="8" t="s">
        <v>72</v>
      </c>
      <c r="F18" s="6" t="s">
        <v>11</v>
      </c>
      <c r="G18" s="9">
        <f>IF(A18=1,"_",IF(C18="_","???",C18))</f>
        <v/>
      </c>
      <c r="H18" s="10" t="s">
        <v>69</v>
      </c>
      <c r="I18" s="11" t="s">
        <v>42</v>
      </c>
      <c r="J18" s="12" t="s">
        <v>43</v>
      </c>
    </row>
    <row r="19" spans="1:10" ht="60" customHeight="1">
      <c r="A19" s="6" t="s">
        <v>73</v>
      </c>
      <c r="B19" s="6" t="s">
        <v>11</v>
      </c>
      <c r="C19" s="6" t="s">
        <v>39</v>
      </c>
      <c r="D19" s="7" t="s">
        <v>11</v>
      </c>
      <c r="E19" s="8" t="s">
        <v>74</v>
      </c>
      <c r="F19" s="6" t="s">
        <v>11</v>
      </c>
      <c r="G19" s="9">
        <f>IF(A19=1,"_",IF(C19="_","???",C19))</f>
        <v/>
      </c>
      <c r="H19" s="10" t="s">
        <v>71</v>
      </c>
      <c r="I19" s="11" t="s">
        <v>42</v>
      </c>
      <c r="J19" s="12" t="s">
        <v>43</v>
      </c>
    </row>
    <row r="20" spans="1:10" ht="60" customHeight="1">
      <c r="A20" s="6" t="s">
        <v>75</v>
      </c>
      <c r="B20" s="6" t="s">
        <v>11</v>
      </c>
      <c r="C20" s="6" t="s">
        <v>76</v>
      </c>
      <c r="D20" s="7" t="s">
        <v>11</v>
      </c>
      <c r="E20" s="8" t="s">
        <v>77</v>
      </c>
      <c r="F20" s="6" t="s">
        <v>11</v>
      </c>
      <c r="G20" s="9">
        <f>IF(A20=1,"_",IF(C20="_","???",C20))</f>
        <v/>
      </c>
      <c r="H20" s="10" t="s">
        <v>73</v>
      </c>
      <c r="I20" s="11" t="s">
        <v>50</v>
      </c>
      <c r="J20" s="12" t="s">
        <v>51</v>
      </c>
    </row>
    <row r="21" spans="1:10" ht="60" customHeight="1">
      <c r="A21" s="6" t="s">
        <v>78</v>
      </c>
      <c r="B21" s="6" t="s">
        <v>11</v>
      </c>
      <c r="C21" s="6" t="s">
        <v>11</v>
      </c>
      <c r="D21" s="7" t="s">
        <v>11</v>
      </c>
      <c r="E21" s="8" t="s">
        <v>79</v>
      </c>
      <c r="F21" s="6" t="s">
        <v>11</v>
      </c>
      <c r="G21" s="9">
        <f>IF(A21=1,"_",IF(C21="_","???",C21))</f>
        <v/>
      </c>
      <c r="H21" s="10" t="s">
        <v>75</v>
      </c>
      <c r="I21" s="11" t="s">
        <v>36</v>
      </c>
      <c r="J21" s="12" t="s">
        <v>37</v>
      </c>
    </row>
    <row r="22" spans="1:10" ht="60" customHeight="1">
      <c r="A22" s="6" t="s">
        <v>80</v>
      </c>
      <c r="B22" s="6" t="s">
        <v>11</v>
      </c>
      <c r="C22" s="6" t="s">
        <v>81</v>
      </c>
      <c r="D22" s="7" t="s">
        <v>11</v>
      </c>
      <c r="E22" s="8" t="s">
        <v>82</v>
      </c>
      <c r="F22" s="6" t="s">
        <v>11</v>
      </c>
      <c r="G22" s="9">
        <f>IF(A22=1,"_",IF(C22="_","???",C22))</f>
        <v/>
      </c>
      <c r="H22" s="10" t="s">
        <v>78</v>
      </c>
      <c r="I22" s="11" t="s">
        <v>23</v>
      </c>
      <c r="J22" s="12" t="s">
        <v>24</v>
      </c>
    </row>
    <row r="23" spans="1:10" ht="60" customHeight="1">
      <c r="A23" s="6" t="s">
        <v>83</v>
      </c>
      <c r="B23" s="6" t="s">
        <v>11</v>
      </c>
      <c r="C23" s="6" t="s">
        <v>47</v>
      </c>
      <c r="D23" s="7" t="s">
        <v>11</v>
      </c>
      <c r="E23" s="8" t="s">
        <v>84</v>
      </c>
      <c r="F23" s="6" t="s">
        <v>11</v>
      </c>
      <c r="G23" s="9">
        <f>IF(A23=1,"_",IF(C23="_","???",C23))</f>
        <v/>
      </c>
      <c r="H23" s="10" t="s">
        <v>80</v>
      </c>
      <c r="I23" s="11" t="s">
        <v>42</v>
      </c>
      <c r="J23" s="12" t="s">
        <v>43</v>
      </c>
    </row>
    <row r="24" spans="1:10" ht="60" customHeight="1">
      <c r="A24" s="6" t="s">
        <v>85</v>
      </c>
      <c r="B24" s="6" t="s">
        <v>11</v>
      </c>
      <c r="C24" s="6" t="s">
        <v>47</v>
      </c>
      <c r="D24" s="7" t="s">
        <v>11</v>
      </c>
      <c r="E24" s="8" t="s">
        <v>86</v>
      </c>
      <c r="F24" s="6" t="s">
        <v>11</v>
      </c>
      <c r="G24" s="9">
        <f>IF(A24=1,"_",IF(C24="_","???",C24))</f>
        <v/>
      </c>
      <c r="H24" s="10" t="s">
        <v>83</v>
      </c>
      <c r="I24" s="11" t="s">
        <v>50</v>
      </c>
      <c r="J24" s="12" t="s">
        <v>51</v>
      </c>
    </row>
    <row r="25" spans="1:10" ht="60" customHeight="1">
      <c r="A25" s="6" t="s">
        <v>87</v>
      </c>
      <c r="B25" s="6" t="s">
        <v>11</v>
      </c>
      <c r="C25" s="6" t="s">
        <v>88</v>
      </c>
      <c r="D25" s="7" t="s">
        <v>11</v>
      </c>
      <c r="E25" s="8" t="s">
        <v>89</v>
      </c>
      <c r="F25" s="6" t="s">
        <v>11</v>
      </c>
      <c r="G25" s="9">
        <f>IF(A25=1,"_",IF(C25="_","???",C25))</f>
        <v/>
      </c>
      <c r="H25" s="10" t="s">
        <v>85</v>
      </c>
      <c r="I25" s="11" t="s">
        <v>91</v>
      </c>
      <c r="J25" s="12" t="s">
        <v>92</v>
      </c>
    </row>
    <row r="26" spans="1:10" ht="60" customHeight="1">
      <c r="A26" s="6" t="s">
        <v>93</v>
      </c>
      <c r="B26" s="6" t="s">
        <v>11</v>
      </c>
      <c r="C26" s="6" t="s">
        <v>11</v>
      </c>
      <c r="D26" s="7" t="s">
        <v>11</v>
      </c>
      <c r="E26" s="8" t="s">
        <v>94</v>
      </c>
      <c r="F26" s="6" t="s">
        <v>11</v>
      </c>
      <c r="G26" s="9">
        <f>IF(A26=1,"_",IF(C26="_","???",C26))</f>
        <v/>
      </c>
      <c r="H26" s="10" t="s">
        <v>11</v>
      </c>
      <c r="I26" s="11" t="s">
        <v>11</v>
      </c>
      <c r="J26" s="12"/>
    </row>
    <row r="27" spans="1:10" ht="60" customHeight="1">
      <c r="A27" s="6" t="s">
        <v>95</v>
      </c>
      <c r="B27" s="6" t="s">
        <v>11</v>
      </c>
      <c r="C27" s="6" t="s">
        <v>11</v>
      </c>
      <c r="D27" s="7" t="s">
        <v>11</v>
      </c>
      <c r="E27" s="8" t="s">
        <v>96</v>
      </c>
      <c r="F27" s="6" t="s">
        <v>11</v>
      </c>
      <c r="G27" s="9">
        <f>IF(A27=1,"_",IF(C27="_","???",C27))</f>
        <v/>
      </c>
      <c r="H27" s="10" t="s">
        <v>97</v>
      </c>
      <c r="I27" s="11" t="s">
        <v>23</v>
      </c>
      <c r="J27" s="12" t="s">
        <v>24</v>
      </c>
    </row>
    <row r="28" spans="1:10" ht="60" customHeight="1">
      <c r="A28" s="6" t="s">
        <v>97</v>
      </c>
      <c r="B28" s="6" t="s">
        <v>11</v>
      </c>
      <c r="C28" s="6" t="s">
        <v>11</v>
      </c>
      <c r="D28" s="7" t="s">
        <v>11</v>
      </c>
      <c r="E28" s="8" t="s">
        <v>98</v>
      </c>
      <c r="F28" s="6" t="s">
        <v>11</v>
      </c>
      <c r="G28" s="9">
        <f>IF(A28=1,"_",IF(C28="_","???",C28))</f>
        <v/>
      </c>
      <c r="H28" s="10" t="s">
        <v>11</v>
      </c>
      <c r="I28" s="11" t="s">
        <v>11</v>
      </c>
      <c r="J28" s="12"/>
    </row>
    <row r="29" spans="1:10" ht="60" customHeight="1">
      <c r="A29" s="6" t="s">
        <v>99</v>
      </c>
      <c r="B29" s="6" t="s">
        <v>11</v>
      </c>
      <c r="C29" s="6" t="s">
        <v>11</v>
      </c>
      <c r="D29" s="7" t="s">
        <v>11</v>
      </c>
      <c r="E29" s="8" t="s">
        <v>100</v>
      </c>
      <c r="F29" s="6" t="s">
        <v>11</v>
      </c>
      <c r="G29" s="9">
        <f>IF(A29=1,"_",IF(C29="_","???",C29))</f>
        <v/>
      </c>
      <c r="H29" s="10" t="s">
        <v>11</v>
      </c>
      <c r="I29" s="11" t="s">
        <v>11</v>
      </c>
      <c r="J29" s="12"/>
    </row>
    <row r="30" spans="1:10" ht="60" customHeight="1">
      <c r="A30" s="6" t="s">
        <v>101</v>
      </c>
      <c r="B30" s="6" t="s">
        <v>11</v>
      </c>
      <c r="C30" s="6" t="s">
        <v>11</v>
      </c>
      <c r="D30" s="7" t="s">
        <v>11</v>
      </c>
      <c r="E30" s="8" t="s">
        <v>102</v>
      </c>
      <c r="F30" s="6" t="s">
        <v>11</v>
      </c>
      <c r="G30" s="9">
        <f>IF(A30=1,"_",IF(C30="_","???",C30))</f>
        <v/>
      </c>
      <c r="H30" s="10" t="s">
        <v>11</v>
      </c>
      <c r="I30" s="11" t="s">
        <v>11</v>
      </c>
      <c r="J30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9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103</v>
      </c>
      <c r="B1" s="13" t="s">
        <v>104</v>
      </c>
      <c r="C1" s="13" t="s">
        <v>105</v>
      </c>
      <c r="D1" s="13" t="s">
        <v>106</v>
      </c>
      <c r="E1" s="14" t="s">
        <v>107</v>
      </c>
      <c r="F1" s="15" t="s">
        <v>108</v>
      </c>
      <c r="G1" s="16" t="s">
        <v>109</v>
      </c>
      <c r="H1" s="17" t="s">
        <v>110</v>
      </c>
      <c r="I1" s="18" t="s">
        <v>111</v>
      </c>
      <c r="J1" s="18" t="s">
        <v>112</v>
      </c>
      <c r="K1" s="18" t="s">
        <v>113</v>
      </c>
      <c r="L1" s="19" t="s">
        <v>9</v>
      </c>
    </row>
    <row r="2" spans="1:12">
      <c r="A2" s="20" t="s">
        <v>114</v>
      </c>
    </row>
    <row r="3" spans="1:12">
      <c r="A3" s="20" t="s">
        <v>115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116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117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118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119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120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121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122</v>
      </c>
      <c r="B10" s="27" t="s">
        <v>123</v>
      </c>
      <c r="C10" s="27" t="s">
        <v>124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125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126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/>
    </row>
    <row r="14" spans="1:12">
      <c r="A14" s="20" t="s">
        <v>127</v>
      </c>
    </row>
    <row r="15" spans="1:12">
      <c r="A15" s="20" t="s">
        <v>128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129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130</v>
      </c>
      <c r="B17" s="27" t="s">
        <v>131</v>
      </c>
      <c r="C17" s="27" t="s">
        <v>132</v>
      </c>
      <c r="D17" s="27" t="s">
        <v>133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134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135</v>
      </c>
      <c r="B19" s="27" t="s">
        <v>136</v>
      </c>
      <c r="C19" s="27" t="s">
        <v>137</v>
      </c>
      <c r="D19" s="27" t="s">
        <v>133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33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138</v>
      </c>
      <c r="B21" s="27" t="s">
        <v>139</v>
      </c>
      <c r="C21" s="27" t="s">
        <v>124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117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140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141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142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143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144</v>
      </c>
      <c r="B27" s="27" t="s">
        <v>145</v>
      </c>
      <c r="C27" s="27" t="s">
        <v>146</v>
      </c>
      <c r="D27" s="27" t="s">
        <v>133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147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148</v>
      </c>
      <c r="B29" s="27" t="s">
        <v>139</v>
      </c>
      <c r="C29" s="27" t="s">
        <v>146</v>
      </c>
      <c r="D29" s="27" t="s">
        <v>133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149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150</v>
      </c>
      <c r="B31" s="27" t="s">
        <v>151</v>
      </c>
      <c r="C31" s="27" t="s">
        <v>152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153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154</v>
      </c>
      <c r="B33" s="27" t="s">
        <v>151</v>
      </c>
      <c r="C33" s="27" t="s">
        <v>152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155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156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141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157</v>
      </c>
      <c r="B37" s="27" t="s">
        <v>158</v>
      </c>
      <c r="C37" s="27" t="s">
        <v>159</v>
      </c>
      <c r="D37" s="27" t="s">
        <v>133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153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160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153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121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161</v>
      </c>
      <c r="B42" s="27" t="s">
        <v>162</v>
      </c>
      <c r="C42" s="27" t="s">
        <v>163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126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/>
    </row>
    <row r="45" spans="1:12">
      <c r="A45" s="20" t="s">
        <v>164</v>
      </c>
    </row>
    <row r="46" spans="1:12">
      <c r="A46" s="20" t="s">
        <v>165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143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166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167</v>
      </c>
      <c r="B49" s="27" t="s">
        <v>145</v>
      </c>
      <c r="C49" s="27" t="s">
        <v>163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117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121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168</v>
      </c>
      <c r="B52" s="27" t="s">
        <v>139</v>
      </c>
      <c r="C52" s="27" t="s">
        <v>163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169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153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120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170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171</v>
      </c>
      <c r="B57" s="27" t="s">
        <v>151</v>
      </c>
      <c r="C57" s="27" t="s">
        <v>146</v>
      </c>
      <c r="D57" s="27" t="s">
        <v>133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153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143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172</v>
      </c>
      <c r="B60" s="27" t="s">
        <v>173</v>
      </c>
      <c r="C60" s="27" t="s">
        <v>146</v>
      </c>
      <c r="D60" s="27" t="s">
        <v>133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153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174</v>
      </c>
      <c r="B62" s="27" t="s">
        <v>158</v>
      </c>
      <c r="C62" s="27" t="s">
        <v>152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149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175</v>
      </c>
      <c r="B64" s="27" t="s">
        <v>176</v>
      </c>
      <c r="C64" s="27" t="s">
        <v>152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126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/>
    </row>
    <row r="67" spans="1:12">
      <c r="A67" s="20" t="s">
        <v>177</v>
      </c>
    </row>
    <row r="68" spans="1:12">
      <c r="A68" s="20" t="s">
        <v>178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179</v>
      </c>
      <c r="B69" s="27" t="s">
        <v>131</v>
      </c>
      <c r="C69" s="27" t="s">
        <v>180</v>
      </c>
      <c r="D69" s="27" t="s">
        <v>133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117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181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130</v>
      </c>
      <c r="B72" s="27" t="s">
        <v>145</v>
      </c>
      <c r="C72" s="27" t="s">
        <v>132</v>
      </c>
      <c r="D72" s="27" t="s">
        <v>133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182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183</v>
      </c>
      <c r="B74" s="27" t="s">
        <v>151</v>
      </c>
      <c r="C74" s="27" t="s">
        <v>184</v>
      </c>
      <c r="D74" s="27" t="s">
        <v>133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185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186</v>
      </c>
      <c r="B76" s="27" t="s">
        <v>123</v>
      </c>
      <c r="C76" s="27" t="s">
        <v>159</v>
      </c>
      <c r="D76" s="27" t="s">
        <v>133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187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188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189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149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153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190</v>
      </c>
      <c r="B82" s="27" t="s">
        <v>151</v>
      </c>
      <c r="C82" s="27" t="s">
        <v>152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191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192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193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194</v>
      </c>
      <c r="B86" s="27" t="s">
        <v>195</v>
      </c>
      <c r="C86" s="27" t="s">
        <v>152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117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141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196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197</v>
      </c>
      <c r="B90" s="27" t="s">
        <v>195</v>
      </c>
      <c r="C90" s="27" t="s">
        <v>152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149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141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198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199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200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201</v>
      </c>
      <c r="B96" s="27" t="s">
        <v>202</v>
      </c>
      <c r="C96" s="27" t="s">
        <v>146</v>
      </c>
      <c r="D96" s="27" t="s">
        <v>133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153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203</v>
      </c>
      <c r="B98" s="27" t="s">
        <v>204</v>
      </c>
      <c r="C98" s="27" t="s">
        <v>146</v>
      </c>
      <c r="D98" s="27" t="s">
        <v>133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205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117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147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206</v>
      </c>
      <c r="B102" s="27" t="s">
        <v>207</v>
      </c>
      <c r="C102" s="27" t="s">
        <v>146</v>
      </c>
      <c r="D102" s="27" t="s">
        <v>133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208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130</v>
      </c>
      <c r="B104" s="27" t="s">
        <v>209</v>
      </c>
      <c r="C104" s="27" t="s">
        <v>132</v>
      </c>
      <c r="D104" s="27" t="s">
        <v>133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200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210</v>
      </c>
      <c r="B106" s="27" t="s">
        <v>211</v>
      </c>
      <c r="C106" s="27" t="s">
        <v>146</v>
      </c>
      <c r="D106" s="27" t="s">
        <v>133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117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212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141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213</v>
      </c>
      <c r="B110" s="27" t="s">
        <v>209</v>
      </c>
      <c r="C110" s="27" t="s">
        <v>159</v>
      </c>
      <c r="D110" s="27" t="s">
        <v>133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208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126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/>
    </row>
    <row r="114" spans="1:12">
      <c r="A114" s="20" t="s">
        <v>214</v>
      </c>
    </row>
    <row r="115" spans="1:12">
      <c r="A115" s="20" t="s">
        <v>215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138</v>
      </c>
      <c r="B116" s="27" t="s">
        <v>136</v>
      </c>
      <c r="C116" s="27" t="s">
        <v>159</v>
      </c>
      <c r="D116" s="27" t="s">
        <v>133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216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117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217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181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130</v>
      </c>
      <c r="B121" s="27" t="s">
        <v>131</v>
      </c>
      <c r="C121" s="27" t="s">
        <v>132</v>
      </c>
      <c r="D121" s="27" t="s">
        <v>133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182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218</v>
      </c>
      <c r="B123" s="27" t="s">
        <v>123</v>
      </c>
      <c r="C123" s="27" t="s">
        <v>159</v>
      </c>
      <c r="D123" s="27" t="s">
        <v>133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120</v>
      </c>
      <c r="B124" s="27" t="s">
        <v>219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220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156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221</v>
      </c>
      <c r="B127" s="27" t="s">
        <v>173</v>
      </c>
      <c r="C127" s="27" t="s">
        <v>152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117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141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222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149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141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223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200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224</v>
      </c>
      <c r="B135" s="27" t="s">
        <v>162</v>
      </c>
      <c r="C135" s="27" t="s">
        <v>184</v>
      </c>
      <c r="D135" s="27" t="s">
        <v>133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225</v>
      </c>
      <c r="B136" s="27" t="s">
        <v>226</v>
      </c>
      <c r="C136" s="27" t="s">
        <v>159</v>
      </c>
      <c r="D136" s="27" t="s">
        <v>133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227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228</v>
      </c>
      <c r="B138" s="27" t="s">
        <v>162</v>
      </c>
      <c r="C138" s="27" t="s">
        <v>152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229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230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130</v>
      </c>
      <c r="B141" s="27" t="s">
        <v>207</v>
      </c>
      <c r="C141" s="27" t="s">
        <v>132</v>
      </c>
      <c r="D141" s="27" t="s">
        <v>133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200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224</v>
      </c>
      <c r="B143" s="27" t="s">
        <v>204</v>
      </c>
      <c r="C143" s="27" t="s">
        <v>184</v>
      </c>
      <c r="D143" s="27" t="s">
        <v>133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231</v>
      </c>
      <c r="B144" s="27" t="s">
        <v>232</v>
      </c>
      <c r="C144" s="27" t="s">
        <v>159</v>
      </c>
      <c r="D144" s="27" t="s">
        <v>133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117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233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234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235</v>
      </c>
      <c r="B148" s="27" t="s">
        <v>202</v>
      </c>
      <c r="C148" s="27" t="s">
        <v>152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236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130</v>
      </c>
      <c r="B150" s="27" t="s">
        <v>176</v>
      </c>
      <c r="C150" s="27" t="s">
        <v>132</v>
      </c>
      <c r="D150" s="27" t="s">
        <v>133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200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224</v>
      </c>
      <c r="B152" s="27" t="s">
        <v>162</v>
      </c>
      <c r="C152" s="27" t="s">
        <v>184</v>
      </c>
      <c r="D152" s="27" t="s">
        <v>133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237</v>
      </c>
      <c r="B153" s="27" t="s">
        <v>176</v>
      </c>
      <c r="C153" s="27" t="s">
        <v>146</v>
      </c>
      <c r="D153" s="27" t="s">
        <v>133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238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239</v>
      </c>
      <c r="B155" s="27" t="s">
        <v>162</v>
      </c>
      <c r="C155" s="27" t="s">
        <v>152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240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126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/>
    </row>
    <row r="159" spans="1:12">
      <c r="A159" s="20" t="s">
        <v>241</v>
      </c>
    </row>
    <row r="160" spans="1:12">
      <c r="A160" s="20" t="s">
        <v>242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243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244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245</v>
      </c>
      <c r="B163" s="27" t="s">
        <v>136</v>
      </c>
      <c r="C163" s="27" t="s">
        <v>124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246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238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247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248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249</v>
      </c>
      <c r="B168" s="27" t="s">
        <v>151</v>
      </c>
      <c r="C168" s="27" t="s">
        <v>132</v>
      </c>
      <c r="D168" s="27" t="s">
        <v>133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134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135</v>
      </c>
      <c r="B170" s="27" t="s">
        <v>139</v>
      </c>
      <c r="C170" s="27" t="s">
        <v>184</v>
      </c>
      <c r="D170" s="27" t="s">
        <v>133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250</v>
      </c>
      <c r="B171" s="27" t="s">
        <v>145</v>
      </c>
      <c r="C171" s="27" t="s">
        <v>146</v>
      </c>
      <c r="D171" s="27" t="s">
        <v>133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153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251</v>
      </c>
      <c r="B173" s="27" t="s">
        <v>139</v>
      </c>
      <c r="C173" s="27" t="s">
        <v>152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117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130</v>
      </c>
      <c r="B175" s="27" t="s">
        <v>151</v>
      </c>
      <c r="C175" s="27" t="s">
        <v>132</v>
      </c>
      <c r="D175" s="27" t="s">
        <v>133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200</v>
      </c>
      <c r="B176" s="27" t="s">
        <v>139</v>
      </c>
      <c r="C176" s="27" t="s">
        <v>180</v>
      </c>
      <c r="D176" s="27" t="s">
        <v>133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120</v>
      </c>
      <c r="B177" s="27" t="s">
        <v>219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252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227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253</v>
      </c>
      <c r="B180" s="27" t="s">
        <v>173</v>
      </c>
      <c r="C180" s="27" t="s">
        <v>152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254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255</v>
      </c>
      <c r="B182" s="27" t="s">
        <v>158</v>
      </c>
      <c r="C182" s="27" t="s">
        <v>132</v>
      </c>
      <c r="D182" s="27" t="s">
        <v>133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134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256</v>
      </c>
      <c r="B184" s="27" t="s">
        <v>257</v>
      </c>
      <c r="C184" s="27" t="s">
        <v>132</v>
      </c>
      <c r="D184" s="27" t="s">
        <v>133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258</v>
      </c>
      <c r="B185" s="27" t="s">
        <v>158</v>
      </c>
      <c r="C185" s="27" t="s">
        <v>132</v>
      </c>
      <c r="D185" s="27" t="s">
        <v>133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149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259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182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260</v>
      </c>
      <c r="B189" s="27" t="s">
        <v>158</v>
      </c>
      <c r="C189" s="27" t="s">
        <v>184</v>
      </c>
      <c r="D189" s="27" t="s">
        <v>133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206</v>
      </c>
      <c r="B190" s="27" t="s">
        <v>257</v>
      </c>
      <c r="C190" s="27" t="s">
        <v>159</v>
      </c>
      <c r="D190" s="27" t="s">
        <v>133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126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/>
    </row>
    <row r="193" spans="1:12">
      <c r="A193" s="20" t="s">
        <v>261</v>
      </c>
    </row>
    <row r="194" spans="1:12">
      <c r="A194" s="20" t="s">
        <v>262</v>
      </c>
      <c r="B194" s="27" t="s">
        <v>136</v>
      </c>
      <c r="C194" s="27" t="s">
        <v>180</v>
      </c>
      <c r="D194" s="27" t="s">
        <v>133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263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200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264</v>
      </c>
      <c r="B197" s="27" t="s">
        <v>131</v>
      </c>
      <c r="C197" s="27" t="s">
        <v>159</v>
      </c>
      <c r="D197" s="27" t="s">
        <v>133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265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117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121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201</v>
      </c>
      <c r="B201" s="27" t="s">
        <v>131</v>
      </c>
      <c r="C201" s="27" t="s">
        <v>163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266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153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264</v>
      </c>
      <c r="B204" s="27" t="s">
        <v>151</v>
      </c>
      <c r="C204" s="27" t="s">
        <v>152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267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268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212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269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270</v>
      </c>
      <c r="B209" s="27" t="s">
        <v>158</v>
      </c>
      <c r="C209" s="27" t="s">
        <v>152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271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117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272</v>
      </c>
      <c r="B212" s="27" t="s">
        <v>176</v>
      </c>
      <c r="C212" s="27" t="s">
        <v>152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117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273</v>
      </c>
      <c r="B214" s="27" t="s">
        <v>162</v>
      </c>
      <c r="C214" s="27" t="s">
        <v>146</v>
      </c>
      <c r="D214" s="27" t="s">
        <v>133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153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274</v>
      </c>
      <c r="B216" s="27" t="s">
        <v>204</v>
      </c>
      <c r="C216" s="27" t="s">
        <v>152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117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275</v>
      </c>
      <c r="B218" s="27" t="s">
        <v>162</v>
      </c>
      <c r="C218" s="27" t="s">
        <v>152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149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276</v>
      </c>
      <c r="B220" s="27" t="s">
        <v>162</v>
      </c>
      <c r="C220" s="27" t="s">
        <v>152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126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/>
    </row>
    <row r="223" spans="1:12">
      <c r="A223" s="20" t="s">
        <v>277</v>
      </c>
    </row>
    <row r="224" spans="1:12">
      <c r="A224" s="20" t="s">
        <v>115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141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278</v>
      </c>
      <c r="B226" s="27" t="s">
        <v>131</v>
      </c>
      <c r="C226" s="27" t="s">
        <v>132</v>
      </c>
      <c r="D226" s="27" t="s">
        <v>133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130</v>
      </c>
      <c r="B227" s="27" t="s">
        <v>131</v>
      </c>
      <c r="C227" s="27" t="s">
        <v>132</v>
      </c>
      <c r="D227" s="27" t="s">
        <v>133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182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279</v>
      </c>
      <c r="B229" s="27" t="s">
        <v>139</v>
      </c>
      <c r="C229" s="27" t="s">
        <v>184</v>
      </c>
      <c r="D229" s="27" t="s">
        <v>133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280</v>
      </c>
      <c r="B230" s="27" t="s">
        <v>131</v>
      </c>
      <c r="C230" s="27" t="s">
        <v>159</v>
      </c>
      <c r="D230" s="27" t="s">
        <v>133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117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200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281</v>
      </c>
      <c r="B233" s="27" t="s">
        <v>282</v>
      </c>
      <c r="C233" s="27" t="s">
        <v>159</v>
      </c>
      <c r="D233" s="27" t="s">
        <v>133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263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143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283</v>
      </c>
      <c r="B236" s="27" t="s">
        <v>139</v>
      </c>
      <c r="C236" s="27" t="s">
        <v>146</v>
      </c>
      <c r="D236" s="27" t="s">
        <v>133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130</v>
      </c>
      <c r="B237" s="27" t="s">
        <v>151</v>
      </c>
      <c r="C237" s="27" t="s">
        <v>132</v>
      </c>
      <c r="D237" s="27" t="s">
        <v>133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200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284</v>
      </c>
      <c r="B239" s="27" t="s">
        <v>151</v>
      </c>
      <c r="C239" s="27" t="s">
        <v>159</v>
      </c>
      <c r="D239" s="27" t="s">
        <v>133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126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/>
    </row>
    <row r="242" spans="1:12">
      <c r="A242" s="20" t="s">
        <v>285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286</v>
      </c>
    </row>
    <row r="244" spans="1:12">
      <c r="A244" s="20" t="s">
        <v>128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287</v>
      </c>
      <c r="B245" s="27" t="s">
        <v>131</v>
      </c>
      <c r="C245" s="27" t="s">
        <v>159</v>
      </c>
      <c r="D245" s="27" t="s">
        <v>133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288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281</v>
      </c>
      <c r="B247" s="27" t="s">
        <v>123</v>
      </c>
      <c r="C247" s="27" t="s">
        <v>289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288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290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143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291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292</v>
      </c>
      <c r="B252" s="27" t="s">
        <v>293</v>
      </c>
      <c r="C252" s="27" t="s">
        <v>146</v>
      </c>
      <c r="D252" s="27" t="s">
        <v>133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141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294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149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295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117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153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121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296</v>
      </c>
      <c r="B260" s="27" t="s">
        <v>151</v>
      </c>
      <c r="C260" s="27" t="s">
        <v>163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297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298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147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299</v>
      </c>
      <c r="B264" s="27" t="s">
        <v>158</v>
      </c>
      <c r="C264" s="27" t="s">
        <v>152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117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300</v>
      </c>
      <c r="B266" s="27" t="s">
        <v>151</v>
      </c>
      <c r="C266" s="27" t="s">
        <v>152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229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208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153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143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301</v>
      </c>
      <c r="B271" s="27" t="s">
        <v>158</v>
      </c>
      <c r="C271" s="27" t="s">
        <v>146</v>
      </c>
      <c r="D271" s="27" t="s">
        <v>133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153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302</v>
      </c>
      <c r="B273" s="27" t="s">
        <v>176</v>
      </c>
      <c r="C273" s="27" t="s">
        <v>152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126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/>
    </row>
    <row r="276" spans="1:12">
      <c r="A276" s="20" t="s">
        <v>303</v>
      </c>
    </row>
    <row r="277" spans="1:12">
      <c r="A277" s="20" t="s">
        <v>242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304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305</v>
      </c>
      <c r="B279" s="27" t="s">
        <v>136</v>
      </c>
      <c r="C279" s="27" t="s">
        <v>306</v>
      </c>
      <c r="D279" s="27" t="s">
        <v>133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307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141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308</v>
      </c>
      <c r="B282" s="27" t="s">
        <v>131</v>
      </c>
      <c r="C282" s="27" t="s">
        <v>159</v>
      </c>
      <c r="D282" s="27" t="s">
        <v>133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149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309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143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310</v>
      </c>
      <c r="B286" s="27" t="s">
        <v>293</v>
      </c>
      <c r="C286" s="27" t="s">
        <v>163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120</v>
      </c>
      <c r="B287" s="27" t="s">
        <v>219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311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199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200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312</v>
      </c>
      <c r="B291" s="27" t="s">
        <v>257</v>
      </c>
      <c r="C291" s="27" t="s">
        <v>159</v>
      </c>
      <c r="D291" s="27" t="s">
        <v>133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117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313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314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149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315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316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117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317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318</v>
      </c>
      <c r="B300" s="27" t="s">
        <v>195</v>
      </c>
      <c r="C300" s="27" t="s">
        <v>152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130</v>
      </c>
      <c r="B301" s="27" t="s">
        <v>176</v>
      </c>
      <c r="C301" s="27" t="s">
        <v>132</v>
      </c>
      <c r="D301" s="27" t="s">
        <v>133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141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319</v>
      </c>
      <c r="B303" s="27" t="s">
        <v>320</v>
      </c>
      <c r="C303" s="27" t="s">
        <v>132</v>
      </c>
      <c r="D303" s="27" t="s">
        <v>133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120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321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322</v>
      </c>
      <c r="B306" s="27" t="s">
        <v>232</v>
      </c>
      <c r="C306" s="27" t="s">
        <v>289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323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324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126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/>
    </row>
    <row r="311" spans="1:12">
      <c r="A311" s="20" t="s">
        <v>325</v>
      </c>
    </row>
    <row r="312" spans="1:12">
      <c r="A312" s="20" t="s">
        <v>326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238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134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327</v>
      </c>
      <c r="B315" s="27" t="s">
        <v>139</v>
      </c>
      <c r="C315" s="27" t="s">
        <v>184</v>
      </c>
      <c r="D315" s="27" t="s">
        <v>133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328</v>
      </c>
      <c r="B316" s="27" t="s">
        <v>131</v>
      </c>
      <c r="C316" s="27" t="s">
        <v>159</v>
      </c>
      <c r="D316" s="27" t="s">
        <v>133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117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134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329</v>
      </c>
      <c r="B319" s="27" t="s">
        <v>136</v>
      </c>
      <c r="C319" s="27" t="s">
        <v>159</v>
      </c>
      <c r="D319" s="27" t="s">
        <v>133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153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330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331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212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182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332</v>
      </c>
      <c r="B325" s="27" t="s">
        <v>131</v>
      </c>
      <c r="C325" s="27" t="s">
        <v>146</v>
      </c>
      <c r="D325" s="27" t="s">
        <v>133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153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333</v>
      </c>
      <c r="B327" s="27" t="s">
        <v>139</v>
      </c>
      <c r="C327" s="27" t="s">
        <v>152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149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334</v>
      </c>
      <c r="B329" s="27" t="s">
        <v>151</v>
      </c>
      <c r="C329" s="27" t="s">
        <v>152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130</v>
      </c>
      <c r="B330" s="27" t="s">
        <v>173</v>
      </c>
      <c r="C330" s="27" t="s">
        <v>132</v>
      </c>
      <c r="D330" s="27" t="s">
        <v>133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134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256</v>
      </c>
      <c r="B332" s="27" t="s">
        <v>139</v>
      </c>
      <c r="C332" s="27" t="s">
        <v>132</v>
      </c>
      <c r="D332" s="27" t="s">
        <v>133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258</v>
      </c>
      <c r="B333" s="27" t="s">
        <v>151</v>
      </c>
      <c r="C333" s="27" t="s">
        <v>132</v>
      </c>
      <c r="D333" s="27" t="s">
        <v>133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126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/>
    </row>
    <row r="336" spans="1:12">
      <c r="A336" s="20" t="s">
        <v>335</v>
      </c>
    </row>
    <row r="337" spans="1:12">
      <c r="A337" s="20" t="s">
        <v>336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122</v>
      </c>
      <c r="B338" s="27" t="s">
        <v>131</v>
      </c>
      <c r="C338" s="27" t="s">
        <v>152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117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337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229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338</v>
      </c>
      <c r="B342" s="27" t="s">
        <v>131</v>
      </c>
      <c r="C342" s="27" t="s">
        <v>146</v>
      </c>
      <c r="D342" s="27" t="s">
        <v>133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153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302</v>
      </c>
      <c r="B344" s="27" t="s">
        <v>139</v>
      </c>
      <c r="C344" s="27" t="s">
        <v>152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117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339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134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340</v>
      </c>
      <c r="B348" s="27" t="s">
        <v>293</v>
      </c>
      <c r="C348" s="27" t="s">
        <v>159</v>
      </c>
      <c r="D348" s="27" t="s">
        <v>133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149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341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255</v>
      </c>
      <c r="B351" s="27" t="s">
        <v>293</v>
      </c>
      <c r="C351" s="27" t="s">
        <v>132</v>
      </c>
      <c r="D351" s="27" t="s">
        <v>133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134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342</v>
      </c>
      <c r="B353" s="27" t="s">
        <v>123</v>
      </c>
      <c r="C353" s="27" t="s">
        <v>146</v>
      </c>
      <c r="D353" s="27" t="s">
        <v>133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147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343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121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117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344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345</v>
      </c>
      <c r="B359" s="27" t="s">
        <v>173</v>
      </c>
      <c r="C359" s="27" t="s">
        <v>146</v>
      </c>
      <c r="D359" s="27" t="s">
        <v>133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141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346</v>
      </c>
      <c r="B361" s="27" t="s">
        <v>158</v>
      </c>
      <c r="C361" s="27" t="s">
        <v>146</v>
      </c>
      <c r="D361" s="27" t="s">
        <v>133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153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347</v>
      </c>
      <c r="B363" s="27" t="s">
        <v>176</v>
      </c>
      <c r="C363" s="27" t="s">
        <v>152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126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/>
    </row>
    <row r="366" spans="1:12">
      <c r="A366" s="20" t="s">
        <v>348</v>
      </c>
    </row>
    <row r="367" spans="1:12">
      <c r="A367" s="20" t="s">
        <v>128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128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349</v>
      </c>
      <c r="B369" s="27" t="s">
        <v>131</v>
      </c>
      <c r="C369" s="27" t="s">
        <v>159</v>
      </c>
      <c r="D369" s="27" t="s">
        <v>133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117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350</v>
      </c>
      <c r="B371" s="27" t="s">
        <v>136</v>
      </c>
      <c r="C371" s="27" t="s">
        <v>137</v>
      </c>
      <c r="D371" s="27" t="s">
        <v>133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351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352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182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353</v>
      </c>
      <c r="B375" s="27" t="s">
        <v>131</v>
      </c>
      <c r="C375" s="27" t="s">
        <v>159</v>
      </c>
      <c r="D375" s="27" t="s">
        <v>133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117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354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147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182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260</v>
      </c>
      <c r="B380" s="27" t="s">
        <v>151</v>
      </c>
      <c r="C380" s="27" t="s">
        <v>184</v>
      </c>
      <c r="D380" s="27" t="s">
        <v>133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355</v>
      </c>
      <c r="B381" s="27" t="s">
        <v>293</v>
      </c>
      <c r="C381" s="27" t="s">
        <v>146</v>
      </c>
      <c r="D381" s="27" t="s">
        <v>133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153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356</v>
      </c>
      <c r="B383" s="27" t="s">
        <v>151</v>
      </c>
      <c r="C383" s="27" t="s">
        <v>146</v>
      </c>
      <c r="D383" s="27" t="s">
        <v>133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117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357</v>
      </c>
      <c r="B385" s="27" t="s">
        <v>173</v>
      </c>
      <c r="C385" s="27" t="s">
        <v>152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149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358</v>
      </c>
      <c r="B387" s="27" t="s">
        <v>173</v>
      </c>
      <c r="C387" s="27" t="s">
        <v>146</v>
      </c>
      <c r="D387" s="27" t="s">
        <v>133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153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359</v>
      </c>
      <c r="B389" s="27" t="s">
        <v>158</v>
      </c>
      <c r="C389" s="27" t="s">
        <v>152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227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134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327</v>
      </c>
      <c r="B392" s="27" t="s">
        <v>158</v>
      </c>
      <c r="C392" s="27" t="s">
        <v>184</v>
      </c>
      <c r="D392" s="27" t="s">
        <v>133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360</v>
      </c>
      <c r="B393" s="27" t="s">
        <v>173</v>
      </c>
      <c r="C393" s="27" t="s">
        <v>159</v>
      </c>
      <c r="D393" s="27" t="s">
        <v>133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126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/>
    </row>
    <row r="396" spans="1:12">
      <c r="A396" s="20" t="s">
        <v>361</v>
      </c>
    </row>
    <row r="397" spans="1:12">
      <c r="A397" s="20" t="s">
        <v>362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272</v>
      </c>
      <c r="B398" s="27" t="s">
        <v>123</v>
      </c>
      <c r="C398" s="27" t="s">
        <v>363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364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234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141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141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213</v>
      </c>
      <c r="B403" s="27" t="s">
        <v>139</v>
      </c>
      <c r="C403" s="27" t="s">
        <v>146</v>
      </c>
      <c r="D403" s="27" t="s">
        <v>133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212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365</v>
      </c>
      <c r="B405" s="27" t="s">
        <v>151</v>
      </c>
      <c r="C405" s="27" t="s">
        <v>152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117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366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249</v>
      </c>
      <c r="B408" s="27" t="s">
        <v>131</v>
      </c>
      <c r="C408" s="27" t="s">
        <v>132</v>
      </c>
      <c r="D408" s="27" t="s">
        <v>133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200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367</v>
      </c>
      <c r="B410" s="27" t="s">
        <v>136</v>
      </c>
      <c r="C410" s="27" t="s">
        <v>159</v>
      </c>
      <c r="D410" s="27" t="s">
        <v>133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117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249</v>
      </c>
      <c r="B412" s="27" t="s">
        <v>139</v>
      </c>
      <c r="C412" s="27" t="s">
        <v>132</v>
      </c>
      <c r="D412" s="27" t="s">
        <v>133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134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368</v>
      </c>
      <c r="B414" s="27" t="s">
        <v>282</v>
      </c>
      <c r="C414" s="27" t="s">
        <v>159</v>
      </c>
      <c r="D414" s="27" t="s">
        <v>133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369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149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249</v>
      </c>
      <c r="B417" s="27" t="s">
        <v>173</v>
      </c>
      <c r="C417" s="27" t="s">
        <v>132</v>
      </c>
      <c r="D417" s="27" t="s">
        <v>133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134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370</v>
      </c>
      <c r="B419" s="27" t="s">
        <v>195</v>
      </c>
      <c r="C419" s="27" t="s">
        <v>146</v>
      </c>
      <c r="D419" s="27" t="s">
        <v>133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371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117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156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372</v>
      </c>
      <c r="B423" s="27" t="s">
        <v>176</v>
      </c>
      <c r="C423" s="27" t="s">
        <v>146</v>
      </c>
      <c r="D423" s="27" t="s">
        <v>133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153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121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373</v>
      </c>
      <c r="B426" s="27" t="s">
        <v>162</v>
      </c>
      <c r="C426" s="27" t="s">
        <v>146</v>
      </c>
      <c r="D426" s="27" t="s">
        <v>133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153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374</v>
      </c>
      <c r="B428" s="27" t="s">
        <v>204</v>
      </c>
      <c r="C428" s="27" t="s">
        <v>152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126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/>
    </row>
    <row r="431" spans="1:12">
      <c r="A431" s="20" t="s">
        <v>375</v>
      </c>
    </row>
    <row r="432" spans="1:12">
      <c r="A432" s="20" t="s">
        <v>376</v>
      </c>
      <c r="B432" s="27" t="s">
        <v>136</v>
      </c>
      <c r="C432" s="27" t="s">
        <v>289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377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130</v>
      </c>
      <c r="B434" s="27" t="s">
        <v>131</v>
      </c>
      <c r="C434" s="27" t="s">
        <v>132</v>
      </c>
      <c r="D434" s="27" t="s">
        <v>133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141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157</v>
      </c>
      <c r="B436" s="27" t="s">
        <v>131</v>
      </c>
      <c r="C436" s="27" t="s">
        <v>159</v>
      </c>
      <c r="D436" s="27" t="s">
        <v>133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378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130</v>
      </c>
      <c r="B438" s="27" t="s">
        <v>139</v>
      </c>
      <c r="C438" s="27" t="s">
        <v>132</v>
      </c>
      <c r="D438" s="27" t="s">
        <v>133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141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379</v>
      </c>
      <c r="B440" s="27" t="s">
        <v>282</v>
      </c>
      <c r="C440" s="27" t="s">
        <v>159</v>
      </c>
      <c r="D440" s="27" t="s">
        <v>133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117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380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381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143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382</v>
      </c>
      <c r="B445" s="27" t="s">
        <v>383</v>
      </c>
      <c r="C445" s="27" t="s">
        <v>163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153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384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385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386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153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387</v>
      </c>
      <c r="B451" s="27" t="s">
        <v>195</v>
      </c>
      <c r="C451" s="27" t="s">
        <v>152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117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388</v>
      </c>
      <c r="B453" s="27" t="s">
        <v>176</v>
      </c>
      <c r="C453" s="27" t="s">
        <v>152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389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141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390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153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391</v>
      </c>
      <c r="B458" s="27" t="s">
        <v>392</v>
      </c>
      <c r="C458" s="27" t="s">
        <v>152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149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153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393</v>
      </c>
      <c r="B461" s="27" t="s">
        <v>207</v>
      </c>
      <c r="C461" s="27" t="s">
        <v>152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394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126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/>
    </row>
    <row r="465" spans="1:12">
      <c r="A465" s="20" t="s">
        <v>395</v>
      </c>
    </row>
    <row r="466" spans="1:12">
      <c r="A466" s="20" t="s">
        <v>396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397</v>
      </c>
      <c r="B467" s="27" t="s">
        <v>123</v>
      </c>
      <c r="C467" s="27" t="s">
        <v>289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398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399</v>
      </c>
      <c r="B469" s="27" t="s">
        <v>293</v>
      </c>
      <c r="C469" s="27" t="s">
        <v>146</v>
      </c>
      <c r="D469" s="27" t="s">
        <v>133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153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400</v>
      </c>
      <c r="B471" s="27" t="s">
        <v>151</v>
      </c>
      <c r="C471" s="27" t="s">
        <v>152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149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401</v>
      </c>
      <c r="B473" s="27" t="s">
        <v>173</v>
      </c>
      <c r="C473" s="27" t="s">
        <v>152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402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117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134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272</v>
      </c>
      <c r="B477" s="27" t="s">
        <v>136</v>
      </c>
      <c r="C477" s="27" t="s">
        <v>159</v>
      </c>
      <c r="D477" s="27" t="s">
        <v>133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403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141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404</v>
      </c>
      <c r="B480" s="27" t="s">
        <v>139</v>
      </c>
      <c r="C480" s="27" t="s">
        <v>184</v>
      </c>
      <c r="D480" s="27" t="s">
        <v>133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405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406</v>
      </c>
      <c r="B482" s="27" t="s">
        <v>145</v>
      </c>
      <c r="C482" s="27" t="s">
        <v>159</v>
      </c>
      <c r="D482" s="27" t="s">
        <v>133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236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130</v>
      </c>
      <c r="B484" s="27" t="s">
        <v>139</v>
      </c>
      <c r="C484" s="27" t="s">
        <v>132</v>
      </c>
      <c r="D484" s="27" t="s">
        <v>133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141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407</v>
      </c>
      <c r="B486" s="27" t="s">
        <v>139</v>
      </c>
      <c r="C486" s="27" t="s">
        <v>132</v>
      </c>
      <c r="D486" s="27" t="s">
        <v>133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130</v>
      </c>
      <c r="B487" s="27" t="s">
        <v>151</v>
      </c>
      <c r="C487" s="27" t="s">
        <v>132</v>
      </c>
      <c r="D487" s="27" t="s">
        <v>133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141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408</v>
      </c>
      <c r="B489" s="27" t="s">
        <v>151</v>
      </c>
      <c r="C489" s="27" t="s">
        <v>159</v>
      </c>
      <c r="D489" s="27" t="s">
        <v>133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149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409</v>
      </c>
      <c r="B491" s="27" t="s">
        <v>173</v>
      </c>
      <c r="C491" s="27" t="s">
        <v>152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126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/>
    </row>
    <row r="494" spans="1:12">
      <c r="A494" s="20" t="s">
        <v>410</v>
      </c>
    </row>
    <row r="495" spans="1:12">
      <c r="A495" s="20" t="s">
        <v>411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252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208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130</v>
      </c>
      <c r="B498" s="27" t="s">
        <v>151</v>
      </c>
      <c r="C498" s="27" t="s">
        <v>132</v>
      </c>
      <c r="D498" s="27" t="s">
        <v>133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200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412</v>
      </c>
      <c r="B500" s="27" t="s">
        <v>293</v>
      </c>
      <c r="C500" s="27" t="s">
        <v>132</v>
      </c>
      <c r="D500" s="27" t="s">
        <v>133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130</v>
      </c>
      <c r="B501" s="27" t="s">
        <v>151</v>
      </c>
      <c r="C501" s="27" t="s">
        <v>132</v>
      </c>
      <c r="D501" s="27" t="s">
        <v>133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200</v>
      </c>
      <c r="B502" s="27" t="s">
        <v>139</v>
      </c>
      <c r="C502" s="27" t="s">
        <v>180</v>
      </c>
      <c r="D502" s="27" t="s">
        <v>133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120</v>
      </c>
      <c r="B503" s="27" t="s">
        <v>219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398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238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143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379</v>
      </c>
      <c r="B507" s="27" t="s">
        <v>173</v>
      </c>
      <c r="C507" s="27" t="s">
        <v>146</v>
      </c>
      <c r="D507" s="27" t="s">
        <v>133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153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413</v>
      </c>
      <c r="B509" s="27" t="s">
        <v>158</v>
      </c>
      <c r="C509" s="27" t="s">
        <v>152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149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153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414</v>
      </c>
      <c r="B512" s="27" t="s">
        <v>158</v>
      </c>
      <c r="C512" s="27" t="s">
        <v>152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117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130</v>
      </c>
      <c r="B514" s="27" t="s">
        <v>158</v>
      </c>
      <c r="C514" s="27" t="s">
        <v>132</v>
      </c>
      <c r="D514" s="27" t="s">
        <v>133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200</v>
      </c>
      <c r="B515" s="27" t="s">
        <v>257</v>
      </c>
      <c r="C515" s="27" t="s">
        <v>180</v>
      </c>
      <c r="D515" s="27" t="s">
        <v>133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120</v>
      </c>
      <c r="B516" s="27" t="s">
        <v>226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415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416</v>
      </c>
      <c r="B518" s="27" t="s">
        <v>176</v>
      </c>
      <c r="C518" s="27" t="s">
        <v>132</v>
      </c>
      <c r="D518" s="27" t="s">
        <v>133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143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417</v>
      </c>
      <c r="B520" s="27" t="s">
        <v>418</v>
      </c>
      <c r="C520" s="27" t="s">
        <v>146</v>
      </c>
      <c r="D520" s="27" t="s">
        <v>133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419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156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200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264</v>
      </c>
      <c r="B524" s="27" t="s">
        <v>162</v>
      </c>
      <c r="C524" s="27" t="s">
        <v>159</v>
      </c>
      <c r="D524" s="27" t="s">
        <v>133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267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420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126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/>
    </row>
    <row r="529" spans="1:12">
      <c r="A529" s="20" t="s">
        <v>421</v>
      </c>
    </row>
    <row r="530" spans="1:12">
      <c r="A530" s="20" t="s">
        <v>422</v>
      </c>
      <c r="B530" s="27" t="s">
        <v>136</v>
      </c>
      <c r="C530" s="27" t="s">
        <v>137</v>
      </c>
      <c r="D530" s="27" t="s">
        <v>133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423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234</v>
      </c>
      <c r="B532" s="27" t="s">
        <v>145</v>
      </c>
      <c r="C532" s="27" t="s">
        <v>132</v>
      </c>
      <c r="D532" s="27" t="s">
        <v>133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130</v>
      </c>
      <c r="B533" s="27" t="s">
        <v>139</v>
      </c>
      <c r="C533" s="27" t="s">
        <v>132</v>
      </c>
      <c r="D533" s="27" t="s">
        <v>133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200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424</v>
      </c>
      <c r="B535" s="27" t="s">
        <v>145</v>
      </c>
      <c r="C535" s="27" t="s">
        <v>159</v>
      </c>
      <c r="D535" s="27" t="s">
        <v>133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153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117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156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134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256</v>
      </c>
      <c r="B540" s="27" t="s">
        <v>151</v>
      </c>
      <c r="C540" s="27" t="s">
        <v>132</v>
      </c>
      <c r="D540" s="27" t="s">
        <v>133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258</v>
      </c>
      <c r="B541" s="27" t="s">
        <v>173</v>
      </c>
      <c r="C541" s="27" t="s">
        <v>132</v>
      </c>
      <c r="D541" s="27" t="s">
        <v>133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117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425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153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426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427</v>
      </c>
      <c r="B546" s="27" t="s">
        <v>282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153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428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134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429</v>
      </c>
      <c r="B550" s="27" t="s">
        <v>173</v>
      </c>
      <c r="C550" s="27" t="s">
        <v>159</v>
      </c>
      <c r="D550" s="27" t="s">
        <v>133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430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156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200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431</v>
      </c>
      <c r="B554" s="27" t="s">
        <v>151</v>
      </c>
      <c r="C554" s="27" t="s">
        <v>159</v>
      </c>
      <c r="D554" s="27" t="s">
        <v>133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117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229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432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433</v>
      </c>
      <c r="B558" s="27" t="s">
        <v>257</v>
      </c>
      <c r="C558" s="27" t="s">
        <v>152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434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435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156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436</v>
      </c>
      <c r="B562" s="27" t="s">
        <v>173</v>
      </c>
      <c r="C562" s="27" t="s">
        <v>152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149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437</v>
      </c>
      <c r="B564" s="27" t="s">
        <v>158</v>
      </c>
      <c r="C564" s="27" t="s">
        <v>146</v>
      </c>
      <c r="D564" s="27" t="s">
        <v>133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130</v>
      </c>
      <c r="B565" s="27" t="s">
        <v>176</v>
      </c>
      <c r="C565" s="27" t="s">
        <v>132</v>
      </c>
      <c r="D565" s="27" t="s">
        <v>133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200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431</v>
      </c>
      <c r="B567" s="27" t="s">
        <v>176</v>
      </c>
      <c r="C567" s="27" t="s">
        <v>159</v>
      </c>
      <c r="D567" s="27" t="s">
        <v>133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126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/>
    </row>
    <row r="570" spans="1:12">
      <c r="A570" s="20" t="s">
        <v>438</v>
      </c>
    </row>
    <row r="571" spans="1:12">
      <c r="A571" s="20" t="s">
        <v>439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200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440</v>
      </c>
      <c r="B573" s="27" t="s">
        <v>145</v>
      </c>
      <c r="C573" s="27" t="s">
        <v>159</v>
      </c>
      <c r="D573" s="27" t="s">
        <v>133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441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156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372</v>
      </c>
      <c r="B576" s="27" t="s">
        <v>131</v>
      </c>
      <c r="C576" s="27" t="s">
        <v>132</v>
      </c>
      <c r="D576" s="27" t="s">
        <v>133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130</v>
      </c>
      <c r="B577" s="27" t="s">
        <v>139</v>
      </c>
      <c r="C577" s="27" t="s">
        <v>132</v>
      </c>
      <c r="D577" s="27" t="s">
        <v>133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200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442</v>
      </c>
      <c r="B579" s="27" t="s">
        <v>136</v>
      </c>
      <c r="C579" s="27" t="s">
        <v>159</v>
      </c>
      <c r="D579" s="27" t="s">
        <v>133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149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130</v>
      </c>
      <c r="B581" s="27" t="s">
        <v>139</v>
      </c>
      <c r="C581" s="27" t="s">
        <v>132</v>
      </c>
      <c r="D581" s="27" t="s">
        <v>133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200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443</v>
      </c>
      <c r="B583" s="27" t="s">
        <v>139</v>
      </c>
      <c r="C583" s="27" t="s">
        <v>159</v>
      </c>
      <c r="D583" s="27" t="s">
        <v>133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229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444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121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445</v>
      </c>
      <c r="B587" s="27" t="s">
        <v>257</v>
      </c>
      <c r="C587" s="27" t="s">
        <v>163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446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117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229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188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117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229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447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117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229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448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156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449</v>
      </c>
      <c r="B599" s="27" t="s">
        <v>202</v>
      </c>
      <c r="C599" s="27" t="s">
        <v>152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117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450</v>
      </c>
      <c r="B601" s="27" t="s">
        <v>204</v>
      </c>
      <c r="C601" s="27" t="s">
        <v>152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149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451</v>
      </c>
      <c r="B603" s="27" t="s">
        <v>204</v>
      </c>
      <c r="C603" s="27" t="s">
        <v>152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126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/>
    </row>
    <row r="606" spans="1:12">
      <c r="A606" s="20" t="s">
        <v>452</v>
      </c>
    </row>
    <row r="607" spans="1:12">
      <c r="A607" s="20" t="s">
        <v>242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453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454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455</v>
      </c>
      <c r="B610" s="27" t="s">
        <v>136</v>
      </c>
      <c r="C610" s="27" t="s">
        <v>363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130</v>
      </c>
      <c r="B611" s="27" t="s">
        <v>139</v>
      </c>
      <c r="C611" s="27" t="s">
        <v>132</v>
      </c>
      <c r="D611" s="27" t="s">
        <v>133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456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172</v>
      </c>
      <c r="B613" s="27" t="s">
        <v>139</v>
      </c>
      <c r="C613" s="27" t="s">
        <v>306</v>
      </c>
      <c r="D613" s="27" t="s">
        <v>133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120</v>
      </c>
      <c r="B614" s="27" t="s">
        <v>219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457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458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153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459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460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126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/>
    </row>
    <row r="622" spans="1:12">
      <c r="A622" s="20" t="s">
        <v>461</v>
      </c>
    </row>
    <row r="623" spans="1:12">
      <c r="A623" s="20" t="s">
        <v>462</v>
      </c>
      <c r="B623" s="27" t="s">
        <v>136</v>
      </c>
      <c r="C623" s="27" t="s">
        <v>289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463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134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327</v>
      </c>
      <c r="B626" s="27" t="s">
        <v>139</v>
      </c>
      <c r="C626" s="27" t="s">
        <v>184</v>
      </c>
      <c r="D626" s="27" t="s">
        <v>133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464</v>
      </c>
      <c r="B627" s="27" t="s">
        <v>145</v>
      </c>
      <c r="C627" s="27" t="s">
        <v>159</v>
      </c>
      <c r="D627" s="27" t="s">
        <v>133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465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249</v>
      </c>
      <c r="B629" s="27" t="s">
        <v>139</v>
      </c>
      <c r="C629" s="27" t="s">
        <v>132</v>
      </c>
      <c r="D629" s="27" t="s">
        <v>133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200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466</v>
      </c>
      <c r="B631" s="27" t="s">
        <v>139</v>
      </c>
      <c r="C631" s="27" t="s">
        <v>146</v>
      </c>
      <c r="D631" s="27" t="s">
        <v>133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234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141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141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213</v>
      </c>
      <c r="B635" s="27" t="s">
        <v>151</v>
      </c>
      <c r="C635" s="27" t="s">
        <v>159</v>
      </c>
      <c r="D635" s="27" t="s">
        <v>133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126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/>
    </row>
    <row r="638" spans="1:12">
      <c r="A638" s="20" t="s">
        <v>467</v>
      </c>
    </row>
    <row r="639" spans="1:12">
      <c r="A639" s="20" t="s">
        <v>11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468</v>
      </c>
      <c r="B640" s="27" t="s">
        <v>123</v>
      </c>
      <c r="C640" s="27" t="s">
        <v>159</v>
      </c>
      <c r="D640" s="27" t="s">
        <v>133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263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469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117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134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470</v>
      </c>
      <c r="B645" s="27" t="s">
        <v>136</v>
      </c>
      <c r="C645" s="27" t="s">
        <v>159</v>
      </c>
      <c r="D645" s="27" t="s">
        <v>133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307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471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117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134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338</v>
      </c>
      <c r="B650" s="27" t="s">
        <v>123</v>
      </c>
      <c r="C650" s="27" t="s">
        <v>146</v>
      </c>
      <c r="D650" s="27" t="s">
        <v>133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153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302</v>
      </c>
      <c r="B652" s="27" t="s">
        <v>151</v>
      </c>
      <c r="C652" s="27" t="s">
        <v>152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472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149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473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126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/>
    </row>
    <row r="658" spans="1:12">
      <c r="A658" s="20" t="s">
        <v>474</v>
      </c>
    </row>
    <row r="659" spans="1:12">
      <c r="A659" s="20" t="s">
        <v>475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121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120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476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268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156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182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477</v>
      </c>
      <c r="B666" s="27" t="s">
        <v>151</v>
      </c>
      <c r="C666" s="27" t="s">
        <v>159</v>
      </c>
      <c r="D666" s="27" t="s">
        <v>133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478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479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141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480</v>
      </c>
      <c r="B670" s="27" t="s">
        <v>293</v>
      </c>
      <c r="C670" s="27" t="s">
        <v>146</v>
      </c>
      <c r="D670" s="27" t="s">
        <v>133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481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153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482</v>
      </c>
      <c r="B673" s="27" t="s">
        <v>151</v>
      </c>
      <c r="C673" s="27" t="s">
        <v>152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120</v>
      </c>
      <c r="B674" s="27" t="s">
        <v>320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483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141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406</v>
      </c>
      <c r="B677" s="27" t="s">
        <v>195</v>
      </c>
      <c r="C677" s="27" t="s">
        <v>159</v>
      </c>
      <c r="D677" s="27" t="s">
        <v>133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130</v>
      </c>
      <c r="B678" s="27" t="s">
        <v>176</v>
      </c>
      <c r="C678" s="27" t="s">
        <v>132</v>
      </c>
      <c r="D678" s="27" t="s">
        <v>133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134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484</v>
      </c>
      <c r="B680" s="27" t="s">
        <v>158</v>
      </c>
      <c r="C680" s="27" t="s">
        <v>159</v>
      </c>
      <c r="D680" s="27" t="s">
        <v>133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126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/>
    </row>
    <row r="683" spans="1:12">
      <c r="A683" s="20" t="s">
        <v>485</v>
      </c>
    </row>
    <row r="684" spans="1:12">
      <c r="A684" s="20" t="s">
        <v>486</v>
      </c>
      <c r="B684" s="27" t="s">
        <v>136</v>
      </c>
      <c r="C684" s="27" t="s">
        <v>487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488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489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120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117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156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181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490</v>
      </c>
      <c r="B691" s="27" t="s">
        <v>139</v>
      </c>
      <c r="C691" s="27" t="s">
        <v>132</v>
      </c>
      <c r="D691" s="27" t="s">
        <v>133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130</v>
      </c>
      <c r="B692" s="27" t="s">
        <v>151</v>
      </c>
      <c r="C692" s="27" t="s">
        <v>132</v>
      </c>
      <c r="D692" s="27" t="s">
        <v>133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134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256</v>
      </c>
      <c r="B694" s="27" t="s">
        <v>123</v>
      </c>
      <c r="C694" s="27" t="s">
        <v>132</v>
      </c>
      <c r="D694" s="27" t="s">
        <v>133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258</v>
      </c>
      <c r="B695" s="27" t="s">
        <v>151</v>
      </c>
      <c r="C695" s="27" t="s">
        <v>132</v>
      </c>
      <c r="D695" s="27" t="s">
        <v>133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117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263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491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492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493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234</v>
      </c>
      <c r="B701" s="27" t="s">
        <v>383</v>
      </c>
      <c r="C701" s="27" t="s">
        <v>152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156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200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494</v>
      </c>
      <c r="B704" s="27" t="s">
        <v>151</v>
      </c>
      <c r="C704" s="27" t="s">
        <v>159</v>
      </c>
      <c r="D704" s="27" t="s">
        <v>133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117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495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234</v>
      </c>
      <c r="B707" s="27" t="s">
        <v>257</v>
      </c>
      <c r="C707" s="27" t="s">
        <v>132</v>
      </c>
      <c r="D707" s="27" t="s">
        <v>133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416</v>
      </c>
      <c r="B708" s="27" t="s">
        <v>158</v>
      </c>
      <c r="C708" s="27" t="s">
        <v>132</v>
      </c>
      <c r="D708" s="27" t="s">
        <v>133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121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496</v>
      </c>
      <c r="B710" s="27" t="s">
        <v>219</v>
      </c>
      <c r="C710" s="27" t="s">
        <v>163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117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497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156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200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498</v>
      </c>
      <c r="B715" s="27" t="s">
        <v>162</v>
      </c>
      <c r="C715" s="27" t="s">
        <v>184</v>
      </c>
      <c r="D715" s="27" t="s">
        <v>133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231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499</v>
      </c>
      <c r="B717" s="27" t="s">
        <v>176</v>
      </c>
      <c r="C717" s="27" t="s">
        <v>159</v>
      </c>
      <c r="D717" s="27" t="s">
        <v>133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117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500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154</v>
      </c>
      <c r="B720" s="27" t="s">
        <v>202</v>
      </c>
      <c r="C720" s="27" t="s">
        <v>152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141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121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501</v>
      </c>
      <c r="B723" s="27" t="s">
        <v>202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502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/>
    </row>
    <row r="726" spans="1:12">
      <c r="A726" s="20" t="s">
        <v>503</v>
      </c>
    </row>
    <row r="727" spans="1:12">
      <c r="A727" s="20" t="s">
        <v>504</v>
      </c>
      <c r="B727" s="27" t="s">
        <v>136</v>
      </c>
      <c r="C727" s="27" t="s">
        <v>137</v>
      </c>
      <c r="D727" s="27" t="s">
        <v>133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505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304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482</v>
      </c>
      <c r="B730" s="27" t="s">
        <v>145</v>
      </c>
      <c r="C730" s="27" t="s">
        <v>306</v>
      </c>
      <c r="D730" s="27" t="s">
        <v>133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117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506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507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238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508</v>
      </c>
      <c r="B735" s="27" t="s">
        <v>139</v>
      </c>
      <c r="C735" s="27" t="s">
        <v>152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149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397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272</v>
      </c>
      <c r="B738" s="27" t="s">
        <v>282</v>
      </c>
      <c r="C738" s="27" t="s">
        <v>363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509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510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229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141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511</v>
      </c>
      <c r="B743" s="27" t="s">
        <v>151</v>
      </c>
      <c r="C743" s="27" t="s">
        <v>159</v>
      </c>
      <c r="D743" s="27" t="s">
        <v>133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 t="s">
        <v>512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513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514</v>
      </c>
      <c r="B746" s="27" t="s">
        <v>293</v>
      </c>
      <c r="C746" s="27" t="s">
        <v>152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212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515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516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517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518</v>
      </c>
      <c r="B751" s="27" t="s">
        <v>383</v>
      </c>
      <c r="C751" s="27" t="s">
        <v>306</v>
      </c>
      <c r="D751" s="27" t="s">
        <v>133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126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/>
    </row>
    <row r="754" spans="1:12">
      <c r="A754" s="20" t="s">
        <v>519</v>
      </c>
    </row>
    <row r="755" spans="1:12">
      <c r="A755" s="20" t="s">
        <v>520</v>
      </c>
      <c r="B755" s="27" t="s">
        <v>123</v>
      </c>
      <c r="C755" s="27" t="s">
        <v>289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153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 t="s">
        <v>521</v>
      </c>
      <c r="B757" s="27" t="s">
        <v>151</v>
      </c>
      <c r="C757" s="27" t="s">
        <v>152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522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523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141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524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234</v>
      </c>
      <c r="B762" s="27" t="s">
        <v>383</v>
      </c>
      <c r="C762" s="27" t="s">
        <v>152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506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525</v>
      </c>
      <c r="B764" s="27" t="s">
        <v>219</v>
      </c>
      <c r="C764" s="27" t="s">
        <v>289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526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143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172</v>
      </c>
      <c r="B767" s="27" t="s">
        <v>257</v>
      </c>
      <c r="C767" s="27" t="s">
        <v>163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 t="s">
        <v>238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 t="s">
        <v>456</v>
      </c>
      <c r="B769" s="27" t="s">
        <v>173</v>
      </c>
      <c r="C769" s="27" t="s">
        <v>180</v>
      </c>
      <c r="D769" s="27" t="s">
        <v>133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 t="s">
        <v>117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 t="s">
        <v>352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200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527</v>
      </c>
      <c r="B773" s="27" t="s">
        <v>151</v>
      </c>
      <c r="C773" s="27" t="s">
        <v>146</v>
      </c>
      <c r="D773" s="27" t="s">
        <v>133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153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482</v>
      </c>
      <c r="B775" s="27" t="s">
        <v>173</v>
      </c>
      <c r="C775" s="27" t="s">
        <v>152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528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 t="s">
        <v>117</v>
      </c>
      <c r="E777" s="21">
        <f>IF(D777="?OLD","!!!","")</f>
        <v/>
      </c>
      <c r="F777" s="22" t="str">
        <f>IF(OR(E777="",E777="!!!"),"",IF(NOT(ISNA(VLOOKUP(E777,E$1:E776,1,FALSE()))),"OLD",IF(AND(E777&lt;&gt;"",E777&lt;&gt;"!!!"),"NEW","")))</f>
        <v> 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4" t="str">
        <f>IF(J777&lt;&gt;1,"",IF(I777="SBJ","CB","?"))</f>
        <v> </v>
      </c>
      <c r="I777" s="25" t="str">
        <f>IF(OR(E777="",E777="!!!",F777="NEW"),"",INDEX(B776:B$2,-1+SUMPRODUCT(MAX(ROW(E776:E$2)*(E777=E776:E$2)))))</f>
        <v> </v>
      </c>
      <c r="J777" s="25" t="str">
        <f>IF(OR(E777="",E777="!!!",F777="NEW"),"",COUNTBLANK(OFFSET(A$1,,,SUMPRODUCT(MAX(ROW(E$2:E777)*(E777=E$2:E777)))))-COUNTBLANK(OFFSET(A$1,,,SUMPRODUCT(MAX(ROW(E$1:E776)*(E2=E$1:E776))))))</f>
        <v> </v>
      </c>
      <c r="K777" s="25" t="str">
        <f>IF(OR(E777="",E777="!!!",F777="NEW"),"",INDEX(J$1:J776,SUMPRODUCT(MAX(ROW(E$1:E776)*(E777=E$1:E776)))))</f>
        <v> </v>
      </c>
      <c r="L777" s="26"/>
    </row>
    <row r="778" spans="1:12">
      <c r="A778" s="20" t="s">
        <v>141</v>
      </c>
      <c r="E778" s="21">
        <f>IF(D778="?OLD","!!!","")</f>
        <v/>
      </c>
      <c r="F778" s="22" t="str">
        <f>IF(OR(E778="",E778="!!!"),"",IF(NOT(ISNA(VLOOKUP(E778,E$1:E777,1,FALSE()))),"OLD",IF(AND(E778&lt;&gt;"",E778&lt;&gt;"!!!"),"NEW","")))</f>
        <v> </v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4" t="str">
        <f>IF(J778&lt;&gt;1,"",IF(I778="SBJ","CB","?"))</f>
        <v> </v>
      </c>
      <c r="I778" s="25" t="str">
        <f>IF(OR(E778="",E778="!!!",F778="NEW"),"",INDEX(B777:B$2,-1+SUMPRODUCT(MAX(ROW(E777:E$2)*(E778=E777:E$2)))))</f>
        <v> </v>
      </c>
      <c r="J778" s="25" t="str">
        <f>IF(OR(E778="",E778="!!!",F778="NEW"),"",COUNTBLANK(OFFSET(A$1,,,SUMPRODUCT(MAX(ROW(E$2:E778)*(E778=E$2:E778)))))-COUNTBLANK(OFFSET(A$1,,,SUMPRODUCT(MAX(ROW(E$1:E777)*(E2=E$1:E777))))))</f>
        <v> </v>
      </c>
      <c r="K778" s="25" t="str">
        <f>IF(OR(E778="",E778="!!!",F778="NEW"),"",INDEX(J$1:J777,SUMPRODUCT(MAX(ROW(E$1:E777)*(E778=E$1:E777)))))</f>
        <v> </v>
      </c>
      <c r="L778" s="26"/>
    </row>
    <row r="779" spans="1:12">
      <c r="A779" s="20" t="s">
        <v>529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153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437</v>
      </c>
      <c r="B781" s="27" t="s">
        <v>173</v>
      </c>
      <c r="C781" s="27" t="s">
        <v>152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130</v>
      </c>
      <c r="B782" s="27" t="s">
        <v>158</v>
      </c>
      <c r="C782" s="27" t="s">
        <v>132</v>
      </c>
      <c r="D782" s="27" t="s">
        <v>133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200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431</v>
      </c>
      <c r="B784" s="27" t="s">
        <v>257</v>
      </c>
      <c r="C784" s="27" t="s">
        <v>159</v>
      </c>
      <c r="D784" s="27" t="s">
        <v>133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117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141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497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530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153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531</v>
      </c>
      <c r="B790" s="27" t="s">
        <v>158</v>
      </c>
      <c r="C790" s="27" t="s">
        <v>152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117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141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532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368</v>
      </c>
      <c r="B794" s="27" t="s">
        <v>195</v>
      </c>
      <c r="C794" s="27" t="s">
        <v>152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533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488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 t="s">
        <v>149</v>
      </c>
      <c r="E797" s="21">
        <f>IF(D797="?OLD","!!!","")</f>
        <v/>
      </c>
      <c r="F797" s="22" t="str">
        <f>IF(OR(E797="",E797="!!!"),"",IF(NOT(ISNA(VLOOKUP(E797,E$1:E796,1,FALSE()))),"OLD",IF(AND(E797&lt;&gt;"",E797&lt;&gt;"!!!"),"NEW","")))</f>
        <v> </v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4" t="str">
        <f>IF(J797&lt;&gt;1,"",IF(I797="SBJ","CB","?"))</f>
        <v> </v>
      </c>
      <c r="I797" s="25" t="str">
        <f>IF(OR(E797="",E797="!!!",F797="NEW"),"",INDEX(B796:B$2,-1+SUMPRODUCT(MAX(ROW(E796:E$2)*(E797=E796:E$2)))))</f>
        <v> </v>
      </c>
      <c r="J797" s="25" t="str">
        <f>IF(OR(E797="",E797="!!!",F797="NEW"),"",COUNTBLANK(OFFSET(A$1,,,SUMPRODUCT(MAX(ROW(E$2:E797)*(E797=E$2:E797)))))-COUNTBLANK(OFFSET(A$1,,,SUMPRODUCT(MAX(ROW(E$1:E796)*(E2=E$1:E796))))))</f>
        <v> </v>
      </c>
      <c r="K797" s="25" t="str">
        <f>IF(OR(E797="",E797="!!!",F797="NEW"),"",INDEX(J$1:J796,SUMPRODUCT(MAX(ROW(E$1:E796)*(E797=E$1:E796)))))</f>
        <v> </v>
      </c>
      <c r="L797" s="26"/>
    </row>
    <row r="798" spans="1:12">
      <c r="A798" s="20" t="s">
        <v>534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126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/>
    </row>
    <row r="801" spans="1:12">
      <c r="A801" s="20" t="s">
        <v>535</v>
      </c>
    </row>
    <row r="802" spans="1:12">
      <c r="A802" s="20" t="s">
        <v>128</v>
      </c>
      <c r="E802" s="21">
        <f>IF(D802="?OLD","!!!","")</f>
        <v/>
      </c>
      <c r="F802" s="22" t="str">
        <f>IF(OR(E802="",E802="!!!"),"",IF(NOT(ISNA(VLOOKUP(E802,E$1:E801,1,FALSE()))),"OLD",IF(AND(E802&lt;&gt;"",E802&lt;&gt;"!!!"),"NEW","")))</f>
        <v> </v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4" t="str">
        <f>IF(J802&lt;&gt;1,"",IF(I802="SBJ","CB","?"))</f>
        <v> </v>
      </c>
      <c r="I802" s="25" t="str">
        <f>IF(OR(E802="",E802="!!!",F802="NEW"),"",INDEX(B801:B$2,-1+SUMPRODUCT(MAX(ROW(E801:E$2)*(E802=E801:E$2)))))</f>
        <v> </v>
      </c>
      <c r="J802" s="25" t="str">
        <f>IF(OR(E802="",E802="!!!",F802="NEW"),"",COUNTBLANK(OFFSET(A$1,,,SUMPRODUCT(MAX(ROW(E$2:E802)*(E802=E$2:E802)))))-COUNTBLANK(OFFSET(A$1,,,SUMPRODUCT(MAX(ROW(E$1:E801)*(E2=E$1:E801))))))</f>
        <v> </v>
      </c>
      <c r="K802" s="25" t="str">
        <f>IF(OR(E802="",E802="!!!",F802="NEW"),"",INDEX(J$1:J801,SUMPRODUCT(MAX(ROW(E$1:E801)*(E802=E$1:E801)))))</f>
        <v> </v>
      </c>
      <c r="L802" s="26"/>
    </row>
    <row r="803" spans="1:12">
      <c r="A803" s="20" t="s">
        <v>536</v>
      </c>
      <c r="B803" s="27" t="s">
        <v>136</v>
      </c>
      <c r="C803" s="27" t="s">
        <v>146</v>
      </c>
      <c r="D803" s="27" t="s">
        <v>133</v>
      </c>
      <c r="E803" s="21">
        <f>IF(D803="?OLD","!!!","")</f>
        <v/>
      </c>
      <c r="F803" s="22" t="str">
        <f>IF(OR(E803="",E803="!!!"),"",IF(NOT(ISNA(VLOOKUP(E803,E$1:E802,1,FALSE()))),"OLD",IF(AND(E803&lt;&gt;"",E803&lt;&gt;"!!!"),"NEW","")))</f>
        <v> </v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4" t="str">
        <f>IF(J803&lt;&gt;1,"",IF(I803="SBJ","CB","?"))</f>
        <v> </v>
      </c>
      <c r="I803" s="25" t="str">
        <f>IF(OR(E803="",E803="!!!",F803="NEW"),"",INDEX(B802:B$2,-1+SUMPRODUCT(MAX(ROW(E802:E$2)*(E803=E802:E$2)))))</f>
        <v> </v>
      </c>
      <c r="J803" s="25" t="str">
        <f>IF(OR(E803="",E803="!!!",F803="NEW"),"",COUNTBLANK(OFFSET(A$1,,,SUMPRODUCT(MAX(ROW(E$2:E803)*(E803=E$2:E803)))))-COUNTBLANK(OFFSET(A$1,,,SUMPRODUCT(MAX(ROW(E$1:E802)*(E2=E$1:E802))))))</f>
        <v> </v>
      </c>
      <c r="K803" s="25" t="str">
        <f>IF(OR(E803="",E803="!!!",F803="NEW"),"",INDEX(J$1:J802,SUMPRODUCT(MAX(ROW(E$1:E802)*(E803=E$1:E802)))))</f>
        <v> </v>
      </c>
      <c r="L803" s="26"/>
    </row>
    <row r="804" spans="1:12">
      <c r="A804" s="20" t="s">
        <v>141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456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537</v>
      </c>
      <c r="B806" s="27" t="s">
        <v>139</v>
      </c>
      <c r="C806" s="27" t="s">
        <v>306</v>
      </c>
      <c r="D806" s="27" t="s">
        <v>133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263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 t="s">
        <v>247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538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 t="s">
        <v>238</v>
      </c>
      <c r="E810" s="21">
        <f>IF(D810="?OLD","!!!","")</f>
        <v/>
      </c>
      <c r="F810" s="22" t="str">
        <f>IF(OR(E810="",E810="!!!"),"",IF(NOT(ISNA(VLOOKUP(E810,E$1:E809,1,FALSE()))),"OLD",IF(AND(E810&lt;&gt;"",E810&lt;&gt;"!!!"),"NEW","")))</f>
        <v> </v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4" t="str">
        <f>IF(J810&lt;&gt;1,"",IF(I810="SBJ","CB","?"))</f>
        <v> </v>
      </c>
      <c r="I810" s="25" t="str">
        <f>IF(OR(E810="",E810="!!!",F810="NEW"),"",INDEX(B809:B$2,-1+SUMPRODUCT(MAX(ROW(E809:E$2)*(E810=E809:E$2)))))</f>
        <v> </v>
      </c>
      <c r="J810" s="25" t="str">
        <f>IF(OR(E810="",E810="!!!",F810="NEW"),"",COUNTBLANK(OFFSET(A$1,,,SUMPRODUCT(MAX(ROW(E$2:E810)*(E810=E$2:E810)))))-COUNTBLANK(OFFSET(A$1,,,SUMPRODUCT(MAX(ROW(E$1:E809)*(E2=E$1:E809))))))</f>
        <v> </v>
      </c>
      <c r="K810" s="25" t="str">
        <f>IF(OR(E810="",E810="!!!",F810="NEW"),"",INDEX(J$1:J809,SUMPRODUCT(MAX(ROW(E$1:E809)*(E810=E$1:E809)))))</f>
        <v> </v>
      </c>
      <c r="L810" s="26"/>
    </row>
    <row r="811" spans="1:12">
      <c r="A811" s="20" t="s">
        <v>182</v>
      </c>
      <c r="E811" s="21">
        <f>IF(D811="?OLD","!!!","")</f>
        <v/>
      </c>
      <c r="F811" s="22" t="str">
        <f>IF(OR(E811="",E811="!!!"),"",IF(NOT(ISNA(VLOOKUP(E811,E$1:E810,1,FALSE()))),"OLD",IF(AND(E811&lt;&gt;"",E811&lt;&gt;"!!!"),"NEW","")))</f>
        <v> </v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4" t="str">
        <f>IF(J811&lt;&gt;1,"",IF(I811="SBJ","CB","?"))</f>
        <v> </v>
      </c>
      <c r="I811" s="25" t="str">
        <f>IF(OR(E811="",E811="!!!",F811="NEW"),"",INDEX(B810:B$2,-1+SUMPRODUCT(MAX(ROW(E810:E$2)*(E811=E810:E$2)))))</f>
        <v> </v>
      </c>
      <c r="J811" s="25" t="str">
        <f>IF(OR(E811="",E811="!!!",F811="NEW"),"",COUNTBLANK(OFFSET(A$1,,,SUMPRODUCT(MAX(ROW(E$2:E811)*(E811=E$2:E811)))))-COUNTBLANK(OFFSET(A$1,,,SUMPRODUCT(MAX(ROW(E$1:E810)*(E2=E$1:E810))))))</f>
        <v> </v>
      </c>
      <c r="K811" s="25" t="str">
        <f>IF(OR(E811="",E811="!!!",F811="NEW"),"",INDEX(J$1:J810,SUMPRODUCT(MAX(ROW(E$1:E810)*(E811=E$1:E810)))))</f>
        <v> </v>
      </c>
      <c r="L811" s="26"/>
    </row>
    <row r="812" spans="1:12">
      <c r="A812" s="20" t="s">
        <v>203</v>
      </c>
      <c r="B812" s="27" t="s">
        <v>131</v>
      </c>
      <c r="C812" s="27" t="s">
        <v>159</v>
      </c>
      <c r="D812" s="27" t="s">
        <v>133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120</v>
      </c>
      <c r="B813" s="27" t="s">
        <v>282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 t="s">
        <v>539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 t="s">
        <v>540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 t="s">
        <v>141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141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 t="s">
        <v>213</v>
      </c>
      <c r="B818" s="27" t="s">
        <v>151</v>
      </c>
      <c r="C818" s="27" t="s">
        <v>159</v>
      </c>
      <c r="D818" s="27" t="s">
        <v>133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 t="s">
        <v>117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 t="s">
        <v>217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134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272</v>
      </c>
      <c r="B822" s="27" t="s">
        <v>123</v>
      </c>
      <c r="C822" s="27" t="s">
        <v>159</v>
      </c>
      <c r="D822" s="27" t="s">
        <v>133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 t="s">
        <v>541</v>
      </c>
      <c r="E823" s="21">
        <f>IF(D823="?OLD","!!!","")</f>
        <v/>
      </c>
      <c r="F823" s="22" t="str">
        <f>IF(OR(E823="",E823="!!!"),"",IF(NOT(ISNA(VLOOKUP(E823,E$1:E822,1,FALSE()))),"OLD",IF(AND(E823&lt;&gt;"",E823&lt;&gt;"!!!"),"NEW","")))</f>
        <v> </v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4" t="str">
        <f>IF(J823&lt;&gt;1,"",IF(I823="SBJ","CB","?"))</f>
        <v> </v>
      </c>
      <c r="I823" s="25" t="str">
        <f>IF(OR(E823="",E823="!!!",F823="NEW"),"",INDEX(B822:B$2,-1+SUMPRODUCT(MAX(ROW(E822:E$2)*(E823=E822:E$2)))))</f>
        <v> </v>
      </c>
      <c r="J823" s="25" t="str">
        <f>IF(OR(E823="",E823="!!!",F823="NEW"),"",COUNTBLANK(OFFSET(A$1,,,SUMPRODUCT(MAX(ROW(E$2:E823)*(E823=E$2:E823)))))-COUNTBLANK(OFFSET(A$1,,,SUMPRODUCT(MAX(ROW(E$1:E822)*(E2=E$1:E822))))))</f>
        <v> </v>
      </c>
      <c r="K823" s="25" t="str">
        <f>IF(OR(E823="",E823="!!!",F823="NEW"),"",INDEX(J$1:J822,SUMPRODUCT(MAX(ROW(E$1:E822)*(E823=E$1:E822)))))</f>
        <v> </v>
      </c>
      <c r="L823" s="26"/>
    </row>
    <row r="824" spans="1:12">
      <c r="A824" s="20" t="s">
        <v>542</v>
      </c>
      <c r="E824" s="21">
        <f>IF(D824="?OLD","!!!","")</f>
        <v/>
      </c>
      <c r="F824" s="22" t="str">
        <f>IF(OR(E824="",E824="!!!"),"",IF(NOT(ISNA(VLOOKUP(E824,E$1:E823,1,FALSE()))),"OLD",IF(AND(E824&lt;&gt;"",E824&lt;&gt;"!!!"),"NEW","")))</f>
        <v> </v>
      </c>
      <c r="G824" s="23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4" t="str">
        <f>IF(J824&lt;&gt;1,"",IF(I824="SBJ","CB","?"))</f>
        <v> </v>
      </c>
      <c r="I824" s="25" t="str">
        <f>IF(OR(E824="",E824="!!!",F824="NEW"),"",INDEX(B823:B$2,-1+SUMPRODUCT(MAX(ROW(E823:E$2)*(E824=E823:E$2)))))</f>
        <v> </v>
      </c>
      <c r="J824" s="25" t="str">
        <f>IF(OR(E824="",E824="!!!",F824="NEW"),"",COUNTBLANK(OFFSET(A$1,,,SUMPRODUCT(MAX(ROW(E$2:E824)*(E824=E$2:E824)))))-COUNTBLANK(OFFSET(A$1,,,SUMPRODUCT(MAX(ROW(E$1:E823)*(E2=E$1:E823))))))</f>
        <v> </v>
      </c>
      <c r="K824" s="25" t="str">
        <f>IF(OR(E824="",E824="!!!",F824="NEW"),"",INDEX(J$1:J823,SUMPRODUCT(MAX(ROW(E$1:E823)*(E824=E$1:E823)))))</f>
        <v> </v>
      </c>
      <c r="L824" s="26"/>
    </row>
    <row r="825" spans="1:12">
      <c r="A825" s="20" t="s">
        <v>147</v>
      </c>
      <c r="E825" s="21">
        <f>IF(D825="?OLD","!!!","")</f>
        <v/>
      </c>
      <c r="F825" s="22" t="str">
        <f>IF(OR(E825="",E825="!!!"),"",IF(NOT(ISNA(VLOOKUP(E825,E$1:E824,1,FALSE()))),"OLD",IF(AND(E825&lt;&gt;"",E825&lt;&gt;"!!!"),"NEW","")))</f>
        <v> </v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4" t="str">
        <f>IF(J825&lt;&gt;1,"",IF(I825="SBJ","CB","?"))</f>
        <v> </v>
      </c>
      <c r="I825" s="25" t="str">
        <f>IF(OR(E825="",E825="!!!",F825="NEW"),"",INDEX(B824:B$2,-1+SUMPRODUCT(MAX(ROW(E824:E$2)*(E825=E824:E$2)))))</f>
        <v> </v>
      </c>
      <c r="J825" s="25" t="str">
        <f>IF(OR(E825="",E825="!!!",F825="NEW"),"",COUNTBLANK(OFFSET(A$1,,,SUMPRODUCT(MAX(ROW(E$2:E825)*(E825=E$2:E825)))))-COUNTBLANK(OFFSET(A$1,,,SUMPRODUCT(MAX(ROW(E$1:E824)*(E2=E$1:E824))))))</f>
        <v> </v>
      </c>
      <c r="K825" s="25" t="str">
        <f>IF(OR(E825="",E825="!!!",F825="NEW"),"",INDEX(J$1:J824,SUMPRODUCT(MAX(ROW(E$1:E824)*(E825=E$1:E824)))))</f>
        <v> </v>
      </c>
      <c r="L825" s="26"/>
    </row>
    <row r="826" spans="1:12">
      <c r="A826" s="20" t="s">
        <v>143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543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 t="s">
        <v>287</v>
      </c>
      <c r="B828" s="27" t="s">
        <v>383</v>
      </c>
      <c r="C828" s="27" t="s">
        <v>163</v>
      </c>
      <c r="E828" s="21">
        <f>IF(D828="?OLD","!!!","")</f>
        <v/>
      </c>
      <c r="F828" s="22" t="str">
        <f>IF(OR(E828="",E828="!!!"),"",IF(NOT(ISNA(VLOOKUP(E828,E$1:E827,1,FALSE()))),"OLD",IF(AND(E828&lt;&gt;"",E828&lt;&gt;"!!!"),"NEW","")))</f>
        <v> </v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4" t="str">
        <f>IF(J828&lt;&gt;1,"",IF(I828="SBJ","CB","?"))</f>
        <v> </v>
      </c>
      <c r="I828" s="25" t="str">
        <f>IF(OR(E828="",E828="!!!",F828="NEW"),"",INDEX(B827:B$2,-1+SUMPRODUCT(MAX(ROW(E827:E$2)*(E828=E827:E$2)))))</f>
        <v> </v>
      </c>
      <c r="J828" s="25" t="str">
        <f>IF(OR(E828="",E828="!!!",F828="NEW"),"",COUNTBLANK(OFFSET(A$1,,,SUMPRODUCT(MAX(ROW(E$2:E828)*(E828=E$2:E828)))))-COUNTBLANK(OFFSET(A$1,,,SUMPRODUCT(MAX(ROW(E$1:E827)*(E2=E$1:E827))))))</f>
        <v> </v>
      </c>
      <c r="K828" s="25" t="str">
        <f>IF(OR(E828="",E828="!!!",F828="NEW"),"",INDEX(J$1:J827,SUMPRODUCT(MAX(ROW(E$1:E827)*(E828=E$1:E827)))))</f>
        <v> </v>
      </c>
      <c r="L828" s="26"/>
    </row>
    <row r="829" spans="1:12">
      <c r="A829" s="20" t="s">
        <v>385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 t="s">
        <v>409</v>
      </c>
      <c r="B830" s="27" t="s">
        <v>173</v>
      </c>
      <c r="C830" s="27" t="s">
        <v>152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 t="s">
        <v>126</v>
      </c>
      <c r="E831" s="21">
        <f>IF(D831="?OLD","!!!","")</f>
        <v/>
      </c>
      <c r="F831" s="22" t="str">
        <f>IF(OR(E831="",E831="!!!"),"",IF(NOT(ISNA(VLOOKUP(E831,E$1:E830,1,FALSE()))),"OLD",IF(AND(E831&lt;&gt;"",E831&lt;&gt;"!!!"),"NEW","")))</f>
        <v> </v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4" t="str">
        <f>IF(J831&lt;&gt;1,"",IF(I831="SBJ","CB","?"))</f>
        <v> </v>
      </c>
      <c r="I831" s="25" t="str">
        <f>IF(OR(E831="",E831="!!!",F831="NEW"),"",INDEX(B830:B$2,-1+SUMPRODUCT(MAX(ROW(E830:E$2)*(E831=E830:E$2)))))</f>
        <v> </v>
      </c>
      <c r="J831" s="25" t="str">
        <f>IF(OR(E831="",E831="!!!",F831="NEW"),"",COUNTBLANK(OFFSET(A$1,,,SUMPRODUCT(MAX(ROW(E$2:E831)*(E831=E$2:E831)))))-COUNTBLANK(OFFSET(A$1,,,SUMPRODUCT(MAX(ROW(E$1:E830)*(E2=E$1:E830))))))</f>
        <v> </v>
      </c>
      <c r="K831" s="25" t="str">
        <f>IF(OR(E831="",E831="!!!",F831="NEW"),"",INDEX(J$1:J830,SUMPRODUCT(MAX(ROW(E$1:E830)*(E831=E$1:E830)))))</f>
        <v> </v>
      </c>
      <c r="L831" s="26"/>
    </row>
    <row r="832" spans="1:12">
      <c r="A832" s="20"/>
    </row>
    <row r="833" spans="1:12">
      <c r="A833" s="20" t="s">
        <v>544</v>
      </c>
    </row>
    <row r="834" spans="1:12">
      <c r="A834" s="20" t="s">
        <v>545</v>
      </c>
      <c r="E834" s="21">
        <f>IF(D834="?OLD","!!!","")</f>
        <v/>
      </c>
      <c r="F834" s="22" t="str">
        <f>IF(OR(E834="",E834="!!!"),"",IF(NOT(ISNA(VLOOKUP(E834,E$1:E833,1,FALSE()))),"OLD",IF(AND(E834&lt;&gt;"",E834&lt;&gt;"!!!"),"NEW","")))</f>
        <v> </v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4" t="str">
        <f>IF(J834&lt;&gt;1,"",IF(I834="SBJ","CB","?"))</f>
        <v> </v>
      </c>
      <c r="I834" s="25" t="str">
        <f>IF(OR(E834="",E834="!!!",F834="NEW"),"",INDEX(B833:B$2,-1+SUMPRODUCT(MAX(ROW(E833:E$2)*(E834=E833:E$2)))))</f>
        <v> </v>
      </c>
      <c r="J834" s="25" t="str">
        <f>IF(OR(E834="",E834="!!!",F834="NEW"),"",COUNTBLANK(OFFSET(A$1,,,SUMPRODUCT(MAX(ROW(E$2:E834)*(E834=E$2:E834)))))-COUNTBLANK(OFFSET(A$1,,,SUMPRODUCT(MAX(ROW(E$1:E833)*(E2=E$1:E833))))))</f>
        <v> </v>
      </c>
      <c r="K834" s="25" t="str">
        <f>IF(OR(E834="",E834="!!!",F834="NEW"),"",INDEX(J$1:J833,SUMPRODUCT(MAX(ROW(E$1:E833)*(E834=E$1:E833)))))</f>
        <v> </v>
      </c>
      <c r="L834" s="26"/>
    </row>
    <row r="835" spans="1:12">
      <c r="A835" s="20" t="s">
        <v>546</v>
      </c>
      <c r="E835" s="21">
        <f>IF(D835="?OLD","!!!","")</f>
        <v/>
      </c>
      <c r="F835" s="22" t="str">
        <f>IF(OR(E835="",E835="!!!"),"",IF(NOT(ISNA(VLOOKUP(E835,E$1:E834,1,FALSE()))),"OLD",IF(AND(E835&lt;&gt;"",E835&lt;&gt;"!!!"),"NEW","")))</f>
        <v> </v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4" t="str">
        <f>IF(J835&lt;&gt;1,"",IF(I835="SBJ","CB","?"))</f>
        <v> </v>
      </c>
      <c r="I835" s="25" t="str">
        <f>IF(OR(E835="",E835="!!!",F835="NEW"),"",INDEX(B834:B$2,-1+SUMPRODUCT(MAX(ROW(E834:E$2)*(E835=E834:E$2)))))</f>
        <v> </v>
      </c>
      <c r="J835" s="25" t="str">
        <f>IF(OR(E835="",E835="!!!",F835="NEW"),"",COUNTBLANK(OFFSET(A$1,,,SUMPRODUCT(MAX(ROW(E$2:E835)*(E835=E$2:E835)))))-COUNTBLANK(OFFSET(A$1,,,SUMPRODUCT(MAX(ROW(E$1:E834)*(E2=E$1:E834))))))</f>
        <v> </v>
      </c>
      <c r="K835" s="25" t="str">
        <f>IF(OR(E835="",E835="!!!",F835="NEW"),"",INDEX(J$1:J834,SUMPRODUCT(MAX(ROW(E$1:E834)*(E835=E$1:E834)))))</f>
        <v> </v>
      </c>
      <c r="L835" s="26"/>
    </row>
    <row r="836" spans="1:12">
      <c r="A836" s="20" t="s">
        <v>416</v>
      </c>
      <c r="B836" s="27" t="s">
        <v>145</v>
      </c>
      <c r="C836" s="27" t="s">
        <v>132</v>
      </c>
      <c r="D836" s="27" t="s">
        <v>133</v>
      </c>
      <c r="E836" s="21">
        <f>IF(D836="?OLD","!!!","")</f>
        <v/>
      </c>
      <c r="F836" s="22" t="str">
        <f>IF(OR(E836="",E836="!!!"),"",IF(NOT(ISNA(VLOOKUP(E836,E$1:E835,1,FALSE()))),"OLD",IF(AND(E836&lt;&gt;"",E836&lt;&gt;"!!!"),"NEW","")))</f>
        <v> </v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4" t="str">
        <f>IF(J836&lt;&gt;1,"",IF(I836="SBJ","CB","?"))</f>
        <v> </v>
      </c>
      <c r="I836" s="25" t="str">
        <f>IF(OR(E836="",E836="!!!",F836="NEW"),"",INDEX(B835:B$2,-1+SUMPRODUCT(MAX(ROW(E835:E$2)*(E836=E835:E$2)))))</f>
        <v> </v>
      </c>
      <c r="J836" s="25" t="str">
        <f>IF(OR(E836="",E836="!!!",F836="NEW"),"",COUNTBLANK(OFFSET(A$1,,,SUMPRODUCT(MAX(ROW(E$2:E836)*(E836=E$2:E836)))))-COUNTBLANK(OFFSET(A$1,,,SUMPRODUCT(MAX(ROW(E$1:E835)*(E2=E$1:E835))))))</f>
        <v> </v>
      </c>
      <c r="K836" s="25" t="str">
        <f>IF(OR(E836="",E836="!!!",F836="NEW"),"",INDEX(J$1:J835,SUMPRODUCT(MAX(ROW(E$1:E835)*(E836=E$1:E835)))))</f>
        <v> </v>
      </c>
      <c r="L836" s="26"/>
    </row>
    <row r="837" spans="1:12">
      <c r="A837" s="20" t="s">
        <v>143</v>
      </c>
      <c r="E837" s="21">
        <f>IF(D837="?OLD","!!!","")</f>
        <v/>
      </c>
      <c r="F837" s="22" t="str">
        <f>IF(OR(E837="",E837="!!!"),"",IF(NOT(ISNA(VLOOKUP(E837,E$1:E836,1,FALSE()))),"OLD",IF(AND(E837&lt;&gt;"",E837&lt;&gt;"!!!"),"NEW","")))</f>
        <v> </v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4" t="str">
        <f>IF(J837&lt;&gt;1,"",IF(I837="SBJ","CB","?"))</f>
        <v> </v>
      </c>
      <c r="I837" s="25" t="str">
        <f>IF(OR(E837="",E837="!!!",F837="NEW"),"",INDEX(B836:B$2,-1+SUMPRODUCT(MAX(ROW(E836:E$2)*(E837=E836:E$2)))))</f>
        <v> </v>
      </c>
      <c r="J837" s="25" t="str">
        <f>IF(OR(E837="",E837="!!!",F837="NEW"),"",COUNTBLANK(OFFSET(A$1,,,SUMPRODUCT(MAX(ROW(E$2:E837)*(E837=E$2:E837)))))-COUNTBLANK(OFFSET(A$1,,,SUMPRODUCT(MAX(ROW(E$1:E836)*(E2=E$1:E836))))))</f>
        <v> </v>
      </c>
      <c r="K837" s="25" t="str">
        <f>IF(OR(E837="",E837="!!!",F837="NEW"),"",INDEX(J$1:J836,SUMPRODUCT(MAX(ROW(E$1:E836)*(E837=E$1:E836)))))</f>
        <v> </v>
      </c>
      <c r="L837" s="26"/>
    </row>
    <row r="838" spans="1:12">
      <c r="A838" s="20" t="s">
        <v>379</v>
      </c>
      <c r="B838" s="27" t="s">
        <v>145</v>
      </c>
      <c r="C838" s="27" t="s">
        <v>163</v>
      </c>
      <c r="E838" s="21">
        <f>IF(D838="?OLD","!!!","")</f>
        <v/>
      </c>
      <c r="F838" s="22" t="str">
        <f>IF(OR(E838="",E838="!!!"),"",IF(NOT(ISNA(VLOOKUP(E838,E$1:E837,1,FALSE()))),"OLD",IF(AND(E838&lt;&gt;"",E838&lt;&gt;"!!!"),"NEW","")))</f>
        <v> </v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4" t="str">
        <f>IF(J838&lt;&gt;1,"",IF(I838="SBJ","CB","?"))</f>
        <v> </v>
      </c>
      <c r="I838" s="25" t="str">
        <f>IF(OR(E838="",E838="!!!",F838="NEW"),"",INDEX(B837:B$2,-1+SUMPRODUCT(MAX(ROW(E837:E$2)*(E838=E837:E$2)))))</f>
        <v> </v>
      </c>
      <c r="J838" s="25" t="str">
        <f>IF(OR(E838="",E838="!!!",F838="NEW"),"",COUNTBLANK(OFFSET(A$1,,,SUMPRODUCT(MAX(ROW(E$2:E838)*(E838=E$2:E838)))))-COUNTBLANK(OFFSET(A$1,,,SUMPRODUCT(MAX(ROW(E$1:E837)*(E2=E$1:E837))))))</f>
        <v> </v>
      </c>
      <c r="K838" s="25" t="str">
        <f>IF(OR(E838="",E838="!!!",F838="NEW"),"",INDEX(J$1:J837,SUMPRODUCT(MAX(ROW(E$1:E837)*(E838=E$1:E837)))))</f>
        <v> </v>
      </c>
      <c r="L838" s="26"/>
    </row>
    <row r="839" spans="1:12">
      <c r="A839" s="20" t="s">
        <v>156</v>
      </c>
      <c r="E839" s="21">
        <f>IF(D839="?OLD","!!!","")</f>
        <v/>
      </c>
      <c r="F839" s="22" t="str">
        <f>IF(OR(E839="",E839="!!!"),"",IF(NOT(ISNA(VLOOKUP(E839,E$1:E838,1,FALSE()))),"OLD",IF(AND(E839&lt;&gt;"",E839&lt;&gt;"!!!"),"NEW","")))</f>
        <v> </v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4" t="str">
        <f>IF(J839&lt;&gt;1,"",IF(I839="SBJ","CB","?"))</f>
        <v> </v>
      </c>
      <c r="I839" s="25" t="str">
        <f>IF(OR(E839="",E839="!!!",F839="NEW"),"",INDEX(B838:B$2,-1+SUMPRODUCT(MAX(ROW(E838:E$2)*(E839=E838:E$2)))))</f>
        <v> </v>
      </c>
      <c r="J839" s="25" t="str">
        <f>IF(OR(E839="",E839="!!!",F839="NEW"),"",COUNTBLANK(OFFSET(A$1,,,SUMPRODUCT(MAX(ROW(E$2:E839)*(E839=E$2:E839)))))-COUNTBLANK(OFFSET(A$1,,,SUMPRODUCT(MAX(ROW(E$1:E838)*(E2=E$1:E838))))))</f>
        <v> </v>
      </c>
      <c r="K839" s="25" t="str">
        <f>IF(OR(E839="",E839="!!!",F839="NEW"),"",INDEX(J$1:J838,SUMPRODUCT(MAX(ROW(E$1:E838)*(E839=E$1:E838)))))</f>
        <v> </v>
      </c>
      <c r="L839" s="26"/>
    </row>
    <row r="840" spans="1:12">
      <c r="A840" s="20" t="s">
        <v>120</v>
      </c>
      <c r="E840" s="21">
        <f>IF(D840="?OLD","!!!","")</f>
        <v/>
      </c>
      <c r="F840" s="22" t="str">
        <f>IF(OR(E840="",E840="!!!"),"",IF(NOT(ISNA(VLOOKUP(E840,E$1:E839,1,FALSE()))),"OLD",IF(AND(E840&lt;&gt;"",E840&lt;&gt;"!!!"),"NEW","")))</f>
        <v> </v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4" t="str">
        <f>IF(J840&lt;&gt;1,"",IF(I840="SBJ","CB","?"))</f>
        <v> </v>
      </c>
      <c r="I840" s="25" t="str">
        <f>IF(OR(E840="",E840="!!!",F840="NEW"),"",INDEX(B839:B$2,-1+SUMPRODUCT(MAX(ROW(E839:E$2)*(E840=E839:E$2)))))</f>
        <v> </v>
      </c>
      <c r="J840" s="25" t="str">
        <f>IF(OR(E840="",E840="!!!",F840="NEW"),"",COUNTBLANK(OFFSET(A$1,,,SUMPRODUCT(MAX(ROW(E$2:E840)*(E840=E$2:E840)))))-COUNTBLANK(OFFSET(A$1,,,SUMPRODUCT(MAX(ROW(E$1:E839)*(E2=E$1:E839))))))</f>
        <v> </v>
      </c>
      <c r="K840" s="25" t="str">
        <f>IF(OR(E840="",E840="!!!",F840="NEW"),"",INDEX(J$1:J839,SUMPRODUCT(MAX(ROW(E$1:E839)*(E840=E$1:E839)))))</f>
        <v> </v>
      </c>
      <c r="L840" s="26"/>
    </row>
    <row r="841" spans="1:12">
      <c r="A841" s="20" t="s">
        <v>141</v>
      </c>
      <c r="E841" s="21">
        <f>IF(D841="?OLD","!!!","")</f>
        <v/>
      </c>
      <c r="F841" s="22" t="str">
        <f>IF(OR(E841="",E841="!!!"),"",IF(NOT(ISNA(VLOOKUP(E841,E$1:E840,1,FALSE()))),"OLD",IF(AND(E841&lt;&gt;"",E841&lt;&gt;"!!!"),"NEW","")))</f>
        <v> </v>
      </c>
      <c r="G841" s="23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4" t="str">
        <f>IF(J841&lt;&gt;1,"",IF(I841="SBJ","CB","?"))</f>
        <v> </v>
      </c>
      <c r="I841" s="25" t="str">
        <f>IF(OR(E841="",E841="!!!",F841="NEW"),"",INDEX(B840:B$2,-1+SUMPRODUCT(MAX(ROW(E840:E$2)*(E841=E840:E$2)))))</f>
        <v> </v>
      </c>
      <c r="J841" s="25" t="str">
        <f>IF(OR(E841="",E841="!!!",F841="NEW"),"",COUNTBLANK(OFFSET(A$1,,,SUMPRODUCT(MAX(ROW(E$2:E841)*(E841=E$2:E841)))))-COUNTBLANK(OFFSET(A$1,,,SUMPRODUCT(MAX(ROW(E$1:E840)*(E2=E$1:E840))))))</f>
        <v> </v>
      </c>
      <c r="K841" s="25" t="str">
        <f>IF(OR(E841="",E841="!!!",F841="NEW"),"",INDEX(J$1:J840,SUMPRODUCT(MAX(ROW(E$1:E840)*(E841=E$1:E840)))))</f>
        <v> </v>
      </c>
      <c r="L841" s="26"/>
    </row>
    <row r="842" spans="1:12">
      <c r="A842" s="20" t="s">
        <v>547</v>
      </c>
      <c r="B842" s="27" t="s">
        <v>282</v>
      </c>
      <c r="C842" s="27" t="s">
        <v>132</v>
      </c>
      <c r="D842" s="27" t="s">
        <v>133</v>
      </c>
      <c r="E842" s="21">
        <f>IF(D842="?OLD","!!!","")</f>
        <v/>
      </c>
      <c r="F842" s="22" t="str">
        <f>IF(OR(E842="",E842="!!!"),"",IF(NOT(ISNA(VLOOKUP(E842,E$1:E841,1,FALSE()))),"OLD",IF(AND(E842&lt;&gt;"",E842&lt;&gt;"!!!"),"NEW","")))</f>
        <v> </v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4" t="str">
        <f>IF(J842&lt;&gt;1,"",IF(I842="SBJ","CB","?"))</f>
        <v> </v>
      </c>
      <c r="I842" s="25" t="str">
        <f>IF(OR(E842="",E842="!!!",F842="NEW"),"",INDEX(B841:B$2,-1+SUMPRODUCT(MAX(ROW(E841:E$2)*(E842=E841:E$2)))))</f>
        <v> </v>
      </c>
      <c r="J842" s="25" t="str">
        <f>IF(OR(E842="",E842="!!!",F842="NEW"),"",COUNTBLANK(OFFSET(A$1,,,SUMPRODUCT(MAX(ROW(E$2:E842)*(E842=E$2:E842)))))-COUNTBLANK(OFFSET(A$1,,,SUMPRODUCT(MAX(ROW(E$1:E841)*(E2=E$1:E841))))))</f>
        <v> </v>
      </c>
      <c r="K842" s="25" t="str">
        <f>IF(OR(E842="",E842="!!!",F842="NEW"),"",INDEX(J$1:J841,SUMPRODUCT(MAX(ROW(E$1:E841)*(E842=E$1:E841)))))</f>
        <v> </v>
      </c>
      <c r="L842" s="26"/>
    </row>
    <row r="843" spans="1:12">
      <c r="A843" s="20" t="s">
        <v>459</v>
      </c>
      <c r="E843" s="21">
        <f>IF(D843="?OLD","!!!","")</f>
        <v/>
      </c>
      <c r="F843" s="22" t="str">
        <f>IF(OR(E843="",E843="!!!"),"",IF(NOT(ISNA(VLOOKUP(E843,E$1:E842,1,FALSE()))),"OLD",IF(AND(E843&lt;&gt;"",E843&lt;&gt;"!!!"),"NEW","")))</f>
        <v> </v>
      </c>
      <c r="G843" s="23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4" t="str">
        <f>IF(J843&lt;&gt;1,"",IF(I843="SBJ","CB","?"))</f>
        <v> </v>
      </c>
      <c r="I843" s="25" t="str">
        <f>IF(OR(E843="",E843="!!!",F843="NEW"),"",INDEX(B842:B$2,-1+SUMPRODUCT(MAX(ROW(E842:E$2)*(E843=E842:E$2)))))</f>
        <v> </v>
      </c>
      <c r="J843" s="25" t="str">
        <f>IF(OR(E843="",E843="!!!",F843="NEW"),"",COUNTBLANK(OFFSET(A$1,,,SUMPRODUCT(MAX(ROW(E$2:E843)*(E843=E$2:E843)))))-COUNTBLANK(OFFSET(A$1,,,SUMPRODUCT(MAX(ROW(E$1:E842)*(E2=E$1:E842))))))</f>
        <v> </v>
      </c>
      <c r="K843" s="25" t="str">
        <f>IF(OR(E843="",E843="!!!",F843="NEW"),"",INDEX(J$1:J842,SUMPRODUCT(MAX(ROW(E$1:E842)*(E843=E$1:E842)))))</f>
        <v> </v>
      </c>
      <c r="L843" s="26"/>
    </row>
    <row r="844" spans="1:12">
      <c r="A844" s="20" t="s">
        <v>548</v>
      </c>
      <c r="E844" s="21">
        <f>IF(D844="?OLD","!!!","")</f>
        <v/>
      </c>
      <c r="F844" s="22" t="str">
        <f>IF(OR(E844="",E844="!!!"),"",IF(NOT(ISNA(VLOOKUP(E844,E$1:E843,1,FALSE()))),"OLD",IF(AND(E844&lt;&gt;"",E844&lt;&gt;"!!!"),"NEW","")))</f>
        <v> </v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4" t="str">
        <f>IF(J844&lt;&gt;1,"",IF(I844="SBJ","CB","?"))</f>
        <v> </v>
      </c>
      <c r="I844" s="25" t="str">
        <f>IF(OR(E844="",E844="!!!",F844="NEW"),"",INDEX(B843:B$2,-1+SUMPRODUCT(MAX(ROW(E843:E$2)*(E844=E843:E$2)))))</f>
        <v> </v>
      </c>
      <c r="J844" s="25" t="str">
        <f>IF(OR(E844="",E844="!!!",F844="NEW"),"",COUNTBLANK(OFFSET(A$1,,,SUMPRODUCT(MAX(ROW(E$2:E844)*(E844=E$2:E844)))))-COUNTBLANK(OFFSET(A$1,,,SUMPRODUCT(MAX(ROW(E$1:E843)*(E2=E$1:E843))))))</f>
        <v> </v>
      </c>
      <c r="K844" s="25" t="str">
        <f>IF(OR(E844="",E844="!!!",F844="NEW"),"",INDEX(J$1:J843,SUMPRODUCT(MAX(ROW(E$1:E843)*(E844=E$1:E843)))))</f>
        <v> </v>
      </c>
      <c r="L844" s="26"/>
    </row>
    <row r="845" spans="1:12">
      <c r="A845" s="20" t="s">
        <v>549</v>
      </c>
      <c r="E845" s="21">
        <f>IF(D845="?OLD","!!!","")</f>
        <v/>
      </c>
      <c r="F845" s="22" t="str">
        <f>IF(OR(E845="",E845="!!!"),"",IF(NOT(ISNA(VLOOKUP(E845,E$1:E844,1,FALSE()))),"OLD",IF(AND(E845&lt;&gt;"",E845&lt;&gt;"!!!"),"NEW","")))</f>
        <v> </v>
      </c>
      <c r="G845" s="23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4" t="str">
        <f>IF(J845&lt;&gt;1,"",IF(I845="SBJ","CB","?"))</f>
        <v> </v>
      </c>
      <c r="I845" s="25" t="str">
        <f>IF(OR(E845="",E845="!!!",F845="NEW"),"",INDEX(B844:B$2,-1+SUMPRODUCT(MAX(ROW(E844:E$2)*(E845=E844:E$2)))))</f>
        <v> </v>
      </c>
      <c r="J845" s="25" t="str">
        <f>IF(OR(E845="",E845="!!!",F845="NEW"),"",COUNTBLANK(OFFSET(A$1,,,SUMPRODUCT(MAX(ROW(E$2:E845)*(E845=E$2:E845)))))-COUNTBLANK(OFFSET(A$1,,,SUMPRODUCT(MAX(ROW(E$1:E844)*(E2=E$1:E844))))))</f>
        <v> </v>
      </c>
      <c r="K845" s="25" t="str">
        <f>IF(OR(E845="",E845="!!!",F845="NEW"),"",INDEX(J$1:J844,SUMPRODUCT(MAX(ROW(E$1:E844)*(E845=E$1:E844)))))</f>
        <v> </v>
      </c>
      <c r="L845" s="26"/>
    </row>
    <row r="846" spans="1:12">
      <c r="A846" s="20" t="s">
        <v>550</v>
      </c>
      <c r="E846" s="21">
        <f>IF(D846="?OLD","!!!","")</f>
        <v/>
      </c>
      <c r="F846" s="22" t="str">
        <f>IF(OR(E846="",E846="!!!"),"",IF(NOT(ISNA(VLOOKUP(E846,E$1:E845,1,FALSE()))),"OLD",IF(AND(E846&lt;&gt;"",E846&lt;&gt;"!!!"),"NEW","")))</f>
        <v> </v>
      </c>
      <c r="G846" s="23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4" t="str">
        <f>IF(J846&lt;&gt;1,"",IF(I846="SBJ","CB","?"))</f>
        <v> </v>
      </c>
      <c r="I846" s="25" t="str">
        <f>IF(OR(E846="",E846="!!!",F846="NEW"),"",INDEX(B845:B$2,-1+SUMPRODUCT(MAX(ROW(E845:E$2)*(E846=E845:E$2)))))</f>
        <v> </v>
      </c>
      <c r="J846" s="25" t="str">
        <f>IF(OR(E846="",E846="!!!",F846="NEW"),"",COUNTBLANK(OFFSET(A$1,,,SUMPRODUCT(MAX(ROW(E$2:E846)*(E846=E$2:E846)))))-COUNTBLANK(OFFSET(A$1,,,SUMPRODUCT(MAX(ROW(E$1:E845)*(E2=E$1:E845))))))</f>
        <v> </v>
      </c>
      <c r="K846" s="25" t="str">
        <f>IF(OR(E846="",E846="!!!",F846="NEW"),"",INDEX(J$1:J845,SUMPRODUCT(MAX(ROW(E$1:E845)*(E846=E$1:E845)))))</f>
        <v> </v>
      </c>
      <c r="L846" s="26"/>
    </row>
    <row r="847" spans="1:12">
      <c r="A847" s="20" t="s">
        <v>141</v>
      </c>
      <c r="E847" s="21">
        <f>IF(D847="?OLD","!!!","")</f>
        <v/>
      </c>
      <c r="F847" s="22" t="str">
        <f>IF(OR(E847="",E847="!!!"),"",IF(NOT(ISNA(VLOOKUP(E847,E$1:E846,1,FALSE()))),"OLD",IF(AND(E847&lt;&gt;"",E847&lt;&gt;"!!!"),"NEW","")))</f>
        <v> </v>
      </c>
      <c r="G847" s="23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4" t="str">
        <f>IF(J847&lt;&gt;1,"",IF(I847="SBJ","CB","?"))</f>
        <v> </v>
      </c>
      <c r="I847" s="25" t="str">
        <f>IF(OR(E847="",E847="!!!",F847="NEW"),"",INDEX(B846:B$2,-1+SUMPRODUCT(MAX(ROW(E846:E$2)*(E847=E846:E$2)))))</f>
        <v> </v>
      </c>
      <c r="J847" s="25" t="str">
        <f>IF(OR(E847="",E847="!!!",F847="NEW"),"",COUNTBLANK(OFFSET(A$1,,,SUMPRODUCT(MAX(ROW(E$2:E847)*(E847=E$2:E847)))))-COUNTBLANK(OFFSET(A$1,,,SUMPRODUCT(MAX(ROW(E$1:E846)*(E2=E$1:E846))))))</f>
        <v> </v>
      </c>
      <c r="K847" s="25" t="str">
        <f>IF(OR(E847="",E847="!!!",F847="NEW"),"",INDEX(J$1:J846,SUMPRODUCT(MAX(ROW(E$1:E846)*(E847=E$1:E846)))))</f>
        <v> </v>
      </c>
      <c r="L847" s="26"/>
    </row>
    <row r="848" spans="1:12">
      <c r="A848" s="20" t="s">
        <v>551</v>
      </c>
      <c r="B848" s="27" t="s">
        <v>219</v>
      </c>
      <c r="C848" s="27" t="s">
        <v>159</v>
      </c>
      <c r="D848" s="27" t="s">
        <v>133</v>
      </c>
      <c r="E848" s="21">
        <f>IF(D848="?OLD","!!!","")</f>
        <v/>
      </c>
      <c r="F848" s="22" t="str">
        <f>IF(OR(E848="",E848="!!!"),"",IF(NOT(ISNA(VLOOKUP(E848,E$1:E847,1,FALSE()))),"OLD",IF(AND(E848&lt;&gt;"",E848&lt;&gt;"!!!"),"NEW","")))</f>
        <v> </v>
      </c>
      <c r="G848" s="23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4" t="str">
        <f>IF(J848&lt;&gt;1,"",IF(I848="SBJ","CB","?"))</f>
        <v> </v>
      </c>
      <c r="I848" s="25" t="str">
        <f>IF(OR(E848="",E848="!!!",F848="NEW"),"",INDEX(B847:B$2,-1+SUMPRODUCT(MAX(ROW(E847:E$2)*(E848=E847:E$2)))))</f>
        <v> </v>
      </c>
      <c r="J848" s="25" t="str">
        <f>IF(OR(E848="",E848="!!!",F848="NEW"),"",COUNTBLANK(OFFSET(A$1,,,SUMPRODUCT(MAX(ROW(E$2:E848)*(E848=E$2:E848)))))-COUNTBLANK(OFFSET(A$1,,,SUMPRODUCT(MAX(ROW(E$1:E847)*(E2=E$1:E847))))))</f>
        <v> </v>
      </c>
      <c r="K848" s="25" t="str">
        <f>IF(OR(E848="",E848="!!!",F848="NEW"),"",INDEX(J$1:J847,SUMPRODUCT(MAX(ROW(E$1:E847)*(E848=E$1:E847)))))</f>
        <v> </v>
      </c>
      <c r="L848" s="26"/>
    </row>
    <row r="849" spans="1:12">
      <c r="A849" s="20" t="s">
        <v>156</v>
      </c>
      <c r="E849" s="21">
        <f>IF(D849="?OLD","!!!","")</f>
        <v/>
      </c>
      <c r="F849" s="22" t="str">
        <f>IF(OR(E849="",E849="!!!"),"",IF(NOT(ISNA(VLOOKUP(E849,E$1:E848,1,FALSE()))),"OLD",IF(AND(E849&lt;&gt;"",E849&lt;&gt;"!!!"),"NEW","")))</f>
        <v> </v>
      </c>
      <c r="G849" s="23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4" t="str">
        <f>IF(J849&lt;&gt;1,"",IF(I849="SBJ","CB","?"))</f>
        <v> </v>
      </c>
      <c r="I849" s="25" t="str">
        <f>IF(OR(E849="",E849="!!!",F849="NEW"),"",INDEX(B848:B$2,-1+SUMPRODUCT(MAX(ROW(E848:E$2)*(E849=E848:E$2)))))</f>
        <v> </v>
      </c>
      <c r="J849" s="25" t="str">
        <f>IF(OR(E849="",E849="!!!",F849="NEW"),"",COUNTBLANK(OFFSET(A$1,,,SUMPRODUCT(MAX(ROW(E$2:E849)*(E849=E$2:E849)))))-COUNTBLANK(OFFSET(A$1,,,SUMPRODUCT(MAX(ROW(E$1:E848)*(E2=E$1:E848))))))</f>
        <v> </v>
      </c>
      <c r="K849" s="25" t="str">
        <f>IF(OR(E849="",E849="!!!",F849="NEW"),"",INDEX(J$1:J848,SUMPRODUCT(MAX(ROW(E$1:E848)*(E849=E$1:E848)))))</f>
        <v> </v>
      </c>
      <c r="L849" s="26"/>
    </row>
    <row r="850" spans="1:12">
      <c r="A850" s="20" t="s">
        <v>200</v>
      </c>
      <c r="E850" s="21">
        <f>IF(D850="?OLD","!!!","")</f>
        <v/>
      </c>
      <c r="F850" s="22" t="str">
        <f>IF(OR(E850="",E850="!!!"),"",IF(NOT(ISNA(VLOOKUP(E850,E$1:E849,1,FALSE()))),"OLD",IF(AND(E850&lt;&gt;"",E850&lt;&gt;"!!!"),"NEW","")))</f>
        <v> </v>
      </c>
      <c r="G850" s="23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4" t="str">
        <f>IF(J850&lt;&gt;1,"",IF(I850="SBJ","CB","?"))</f>
        <v> </v>
      </c>
      <c r="I850" s="25" t="str">
        <f>IF(OR(E850="",E850="!!!",F850="NEW"),"",INDEX(B849:B$2,-1+SUMPRODUCT(MAX(ROW(E849:E$2)*(E850=E849:E$2)))))</f>
        <v> </v>
      </c>
      <c r="J850" s="25" t="str">
        <f>IF(OR(E850="",E850="!!!",F850="NEW"),"",COUNTBLANK(OFFSET(A$1,,,SUMPRODUCT(MAX(ROW(E$2:E850)*(E850=E$2:E850)))))-COUNTBLANK(OFFSET(A$1,,,SUMPRODUCT(MAX(ROW(E$1:E849)*(E2=E$1:E849))))))</f>
        <v> </v>
      </c>
      <c r="K850" s="25" t="str">
        <f>IF(OR(E850="",E850="!!!",F850="NEW"),"",INDEX(J$1:J849,SUMPRODUCT(MAX(ROW(E$1:E849)*(E850=E$1:E849)))))</f>
        <v> </v>
      </c>
      <c r="L850" s="26"/>
    </row>
    <row r="851" spans="1:12">
      <c r="A851" s="20" t="s">
        <v>498</v>
      </c>
      <c r="B851" s="27" t="s">
        <v>158</v>
      </c>
      <c r="C851" s="27" t="s">
        <v>184</v>
      </c>
      <c r="D851" s="27" t="s">
        <v>133</v>
      </c>
      <c r="E851" s="21">
        <f>IF(D851="?OLD","!!!","")</f>
        <v/>
      </c>
      <c r="F851" s="22" t="str">
        <f>IF(OR(E851="",E851="!!!"),"",IF(NOT(ISNA(VLOOKUP(E851,E$1:E850,1,FALSE()))),"OLD",IF(AND(E851&lt;&gt;"",E851&lt;&gt;"!!!"),"NEW","")))</f>
        <v> </v>
      </c>
      <c r="G851" s="23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4" t="str">
        <f>IF(J851&lt;&gt;1,"",IF(I851="SBJ","CB","?"))</f>
        <v> </v>
      </c>
      <c r="I851" s="25" t="str">
        <f>IF(OR(E851="",E851="!!!",F851="NEW"),"",INDEX(B850:B$2,-1+SUMPRODUCT(MAX(ROW(E850:E$2)*(E851=E850:E$2)))))</f>
        <v> </v>
      </c>
      <c r="J851" s="25" t="str">
        <f>IF(OR(E851="",E851="!!!",F851="NEW"),"",COUNTBLANK(OFFSET(A$1,,,SUMPRODUCT(MAX(ROW(E$2:E851)*(E851=E$2:E851)))))-COUNTBLANK(OFFSET(A$1,,,SUMPRODUCT(MAX(ROW(E$1:E850)*(E2=E$1:E850))))))</f>
        <v> </v>
      </c>
      <c r="K851" s="25" t="str">
        <f>IF(OR(E851="",E851="!!!",F851="NEW"),"",INDEX(J$1:J850,SUMPRODUCT(MAX(ROW(E$1:E850)*(E851=E$1:E850)))))</f>
        <v> </v>
      </c>
      <c r="L851" s="26"/>
    </row>
    <row r="852" spans="1:12">
      <c r="A852" s="20" t="s">
        <v>237</v>
      </c>
      <c r="B852" s="27" t="s">
        <v>173</v>
      </c>
      <c r="C852" s="27" t="s">
        <v>159</v>
      </c>
      <c r="D852" s="27" t="s">
        <v>133</v>
      </c>
      <c r="E852" s="21">
        <f>IF(D852="?OLD","!!!","")</f>
        <v/>
      </c>
      <c r="F852" s="22" t="str">
        <f>IF(OR(E852="",E852="!!!"),"",IF(NOT(ISNA(VLOOKUP(E852,E$1:E851,1,FALSE()))),"OLD",IF(AND(E852&lt;&gt;"",E852&lt;&gt;"!!!"),"NEW","")))</f>
        <v> </v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4" t="str">
        <f>IF(J852&lt;&gt;1,"",IF(I852="SBJ","CB","?"))</f>
        <v> </v>
      </c>
      <c r="I852" s="25" t="str">
        <f>IF(OR(E852="",E852="!!!",F852="NEW"),"",INDEX(B851:B$2,-1+SUMPRODUCT(MAX(ROW(E851:E$2)*(E852=E851:E$2)))))</f>
        <v> </v>
      </c>
      <c r="J852" s="25" t="str">
        <f>IF(OR(E852="",E852="!!!",F852="NEW"),"",COUNTBLANK(OFFSET(A$1,,,SUMPRODUCT(MAX(ROW(E$2:E852)*(E852=E$2:E852)))))-COUNTBLANK(OFFSET(A$1,,,SUMPRODUCT(MAX(ROW(E$1:E851)*(E2=E$1:E851))))))</f>
        <v> </v>
      </c>
      <c r="K852" s="25" t="str">
        <f>IF(OR(E852="",E852="!!!",F852="NEW"),"",INDEX(J$1:J851,SUMPRODUCT(MAX(ROW(E$1:E851)*(E852=E$1:E851)))))</f>
        <v> </v>
      </c>
      <c r="L852" s="26"/>
    </row>
    <row r="853" spans="1:12">
      <c r="A853" s="20" t="s">
        <v>117</v>
      </c>
      <c r="E853" s="21">
        <f>IF(D853="?OLD","!!!","")</f>
        <v/>
      </c>
      <c r="F853" s="22" t="str">
        <f>IF(OR(E853="",E853="!!!"),"",IF(NOT(ISNA(VLOOKUP(E853,E$1:E852,1,FALSE()))),"OLD",IF(AND(E853&lt;&gt;"",E853&lt;&gt;"!!!"),"NEW","")))</f>
        <v> </v>
      </c>
      <c r="G853" s="23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4" t="str">
        <f>IF(J853&lt;&gt;1,"",IF(I853="SBJ","CB","?"))</f>
        <v> </v>
      </c>
      <c r="I853" s="25" t="str">
        <f>IF(OR(E853="",E853="!!!",F853="NEW"),"",INDEX(B852:B$2,-1+SUMPRODUCT(MAX(ROW(E852:E$2)*(E853=E852:E$2)))))</f>
        <v> </v>
      </c>
      <c r="J853" s="25" t="str">
        <f>IF(OR(E853="",E853="!!!",F853="NEW"),"",COUNTBLANK(OFFSET(A$1,,,SUMPRODUCT(MAX(ROW(E$2:E853)*(E853=E$2:E853)))))-COUNTBLANK(OFFSET(A$1,,,SUMPRODUCT(MAX(ROW(E$1:E852)*(E2=E$1:E852))))))</f>
        <v> </v>
      </c>
      <c r="K853" s="25" t="str">
        <f>IF(OR(E853="",E853="!!!",F853="NEW"),"",INDEX(J$1:J852,SUMPRODUCT(MAX(ROW(E$1:E852)*(E853=E$1:E852)))))</f>
        <v> </v>
      </c>
      <c r="L853" s="26"/>
    </row>
    <row r="854" spans="1:12">
      <c r="A854" s="20" t="s">
        <v>229</v>
      </c>
      <c r="E854" s="21">
        <f>IF(D854="?OLD","!!!","")</f>
        <v/>
      </c>
      <c r="F854" s="22" t="str">
        <f>IF(OR(E854="",E854="!!!"),"",IF(NOT(ISNA(VLOOKUP(E854,E$1:E853,1,FALSE()))),"OLD",IF(AND(E854&lt;&gt;"",E854&lt;&gt;"!!!"),"NEW","")))</f>
        <v> </v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4" t="str">
        <f>IF(J854&lt;&gt;1,"",IF(I854="SBJ","CB","?"))</f>
        <v> </v>
      </c>
      <c r="I854" s="25" t="str">
        <f>IF(OR(E854="",E854="!!!",F854="NEW"),"",INDEX(B853:B$2,-1+SUMPRODUCT(MAX(ROW(E853:E$2)*(E854=E853:E$2)))))</f>
        <v> </v>
      </c>
      <c r="J854" s="25" t="str">
        <f>IF(OR(E854="",E854="!!!",F854="NEW"),"",COUNTBLANK(OFFSET(A$1,,,SUMPRODUCT(MAX(ROW(E$2:E854)*(E854=E$2:E854)))))-COUNTBLANK(OFFSET(A$1,,,SUMPRODUCT(MAX(ROW(E$1:E853)*(E2=E$1:E853))))))</f>
        <v> </v>
      </c>
      <c r="K854" s="25" t="str">
        <f>IF(OR(E854="",E854="!!!",F854="NEW"),"",INDEX(J$1:J853,SUMPRODUCT(MAX(ROW(E$1:E853)*(E854=E$1:E853)))))</f>
        <v> </v>
      </c>
      <c r="L854" s="26"/>
    </row>
    <row r="855" spans="1:12">
      <c r="A855" s="20" t="s">
        <v>120</v>
      </c>
      <c r="E855" s="21">
        <f>IF(D855="?OLD","!!!","")</f>
        <v/>
      </c>
      <c r="F855" s="22" t="str">
        <f>IF(OR(E855="",E855="!!!"),"",IF(NOT(ISNA(VLOOKUP(E855,E$1:E854,1,FALSE()))),"OLD",IF(AND(E855&lt;&gt;"",E855&lt;&gt;"!!!"),"NEW","")))</f>
        <v> </v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4" t="str">
        <f>IF(J855&lt;&gt;1,"",IF(I855="SBJ","CB","?"))</f>
        <v> </v>
      </c>
      <c r="I855" s="25" t="str">
        <f>IF(OR(E855="",E855="!!!",F855="NEW"),"",INDEX(B854:B$2,-1+SUMPRODUCT(MAX(ROW(E854:E$2)*(E855=E854:E$2)))))</f>
        <v> </v>
      </c>
      <c r="J855" s="25" t="str">
        <f>IF(OR(E855="",E855="!!!",F855="NEW"),"",COUNTBLANK(OFFSET(A$1,,,SUMPRODUCT(MAX(ROW(E$2:E855)*(E855=E$2:E855)))))-COUNTBLANK(OFFSET(A$1,,,SUMPRODUCT(MAX(ROW(E$1:E854)*(E2=E$1:E854))))))</f>
        <v> </v>
      </c>
      <c r="K855" s="25" t="str">
        <f>IF(OR(E855="",E855="!!!",F855="NEW"),"",INDEX(J$1:J854,SUMPRODUCT(MAX(ROW(E$1:E854)*(E855=E$1:E854)))))</f>
        <v> </v>
      </c>
      <c r="L855" s="26"/>
    </row>
    <row r="856" spans="1:12">
      <c r="A856" s="20" t="s">
        <v>552</v>
      </c>
      <c r="E856" s="21">
        <f>IF(D856="?OLD","!!!","")</f>
        <v/>
      </c>
      <c r="F856" s="22" t="str">
        <f>IF(OR(E856="",E856="!!!"),"",IF(NOT(ISNA(VLOOKUP(E856,E$1:E855,1,FALSE()))),"OLD",IF(AND(E856&lt;&gt;"",E856&lt;&gt;"!!!"),"NEW","")))</f>
        <v> </v>
      </c>
      <c r="G856" s="23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4" t="str">
        <f>IF(J856&lt;&gt;1,"",IF(I856="SBJ","CB","?"))</f>
        <v> </v>
      </c>
      <c r="I856" s="25" t="str">
        <f>IF(OR(E856="",E856="!!!",F856="NEW"),"",INDEX(B855:B$2,-1+SUMPRODUCT(MAX(ROW(E855:E$2)*(E856=E855:E$2)))))</f>
        <v> </v>
      </c>
      <c r="J856" s="25" t="str">
        <f>IF(OR(E856="",E856="!!!",F856="NEW"),"",COUNTBLANK(OFFSET(A$1,,,SUMPRODUCT(MAX(ROW(E$2:E856)*(E856=E$2:E856)))))-COUNTBLANK(OFFSET(A$1,,,SUMPRODUCT(MAX(ROW(E$1:E855)*(E2=E$1:E855))))))</f>
        <v> </v>
      </c>
      <c r="K856" s="25" t="str">
        <f>IF(OR(E856="",E856="!!!",F856="NEW"),"",INDEX(J$1:J855,SUMPRODUCT(MAX(ROW(E$1:E855)*(E856=E$1:E855)))))</f>
        <v> </v>
      </c>
      <c r="L856" s="26"/>
    </row>
    <row r="857" spans="1:12">
      <c r="A857" s="20" t="s">
        <v>448</v>
      </c>
      <c r="E857" s="21">
        <f>IF(D857="?OLD","!!!","")</f>
        <v/>
      </c>
      <c r="F857" s="22" t="str">
        <f>IF(OR(E857="",E857="!!!"),"",IF(NOT(ISNA(VLOOKUP(E857,E$1:E856,1,FALSE()))),"OLD",IF(AND(E857&lt;&gt;"",E857&lt;&gt;"!!!"),"NEW","")))</f>
        <v> </v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4" t="str">
        <f>IF(J857&lt;&gt;1,"",IF(I857="SBJ","CB","?"))</f>
        <v> </v>
      </c>
      <c r="I857" s="25" t="str">
        <f>IF(OR(E857="",E857="!!!",F857="NEW"),"",INDEX(B856:B$2,-1+SUMPRODUCT(MAX(ROW(E856:E$2)*(E857=E856:E$2)))))</f>
        <v> </v>
      </c>
      <c r="J857" s="25" t="str">
        <f>IF(OR(E857="",E857="!!!",F857="NEW"),"",COUNTBLANK(OFFSET(A$1,,,SUMPRODUCT(MAX(ROW(E$2:E857)*(E857=E$2:E857)))))-COUNTBLANK(OFFSET(A$1,,,SUMPRODUCT(MAX(ROW(E$1:E856)*(E2=E$1:E856))))))</f>
        <v> </v>
      </c>
      <c r="K857" s="25" t="str">
        <f>IF(OR(E857="",E857="!!!",F857="NEW"),"",INDEX(J$1:J856,SUMPRODUCT(MAX(ROW(E$1:E856)*(E857=E$1:E856)))))</f>
        <v> </v>
      </c>
      <c r="L857" s="26"/>
    </row>
    <row r="858" spans="1:12">
      <c r="A858" s="20" t="s">
        <v>229</v>
      </c>
      <c r="E858" s="21">
        <f>IF(D858="?OLD","!!!","")</f>
        <v/>
      </c>
      <c r="F858" s="22" t="str">
        <f>IF(OR(E858="",E858="!!!"),"",IF(NOT(ISNA(VLOOKUP(E858,E$1:E857,1,FALSE()))),"OLD",IF(AND(E858&lt;&gt;"",E858&lt;&gt;"!!!"),"NEW","")))</f>
        <v> </v>
      </c>
      <c r="G858" s="23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4" t="str">
        <f>IF(J858&lt;&gt;1,"",IF(I858="SBJ","CB","?"))</f>
        <v> </v>
      </c>
      <c r="I858" s="25" t="str">
        <f>IF(OR(E858="",E858="!!!",F858="NEW"),"",INDEX(B857:B$2,-1+SUMPRODUCT(MAX(ROW(E857:E$2)*(E858=E857:E$2)))))</f>
        <v> </v>
      </c>
      <c r="J858" s="25" t="str">
        <f>IF(OR(E858="",E858="!!!",F858="NEW"),"",COUNTBLANK(OFFSET(A$1,,,SUMPRODUCT(MAX(ROW(E$2:E858)*(E858=E$2:E858)))))-COUNTBLANK(OFFSET(A$1,,,SUMPRODUCT(MAX(ROW(E$1:E857)*(E2=E$1:E857))))))</f>
        <v> </v>
      </c>
      <c r="K858" s="25" t="str">
        <f>IF(OR(E858="",E858="!!!",F858="NEW"),"",INDEX(J$1:J857,SUMPRODUCT(MAX(ROW(E$1:E857)*(E858=E$1:E857)))))</f>
        <v> </v>
      </c>
      <c r="L858" s="26"/>
    </row>
    <row r="859" spans="1:12">
      <c r="A859" s="20" t="s">
        <v>252</v>
      </c>
      <c r="E859" s="21">
        <f>IF(D859="?OLD","!!!","")</f>
        <v/>
      </c>
      <c r="F859" s="22" t="str">
        <f>IF(OR(E859="",E859="!!!"),"",IF(NOT(ISNA(VLOOKUP(E859,E$1:E858,1,FALSE()))),"OLD",IF(AND(E859&lt;&gt;"",E859&lt;&gt;"!!!"),"NEW","")))</f>
        <v> </v>
      </c>
      <c r="G859" s="23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4" t="str">
        <f>IF(J859&lt;&gt;1,"",IF(I859="SBJ","CB","?"))</f>
        <v> </v>
      </c>
      <c r="I859" s="25" t="str">
        <f>IF(OR(E859="",E859="!!!",F859="NEW"),"",INDEX(B858:B$2,-1+SUMPRODUCT(MAX(ROW(E858:E$2)*(E859=E858:E$2)))))</f>
        <v> </v>
      </c>
      <c r="J859" s="25" t="str">
        <f>IF(OR(E859="",E859="!!!",F859="NEW"),"",COUNTBLANK(OFFSET(A$1,,,SUMPRODUCT(MAX(ROW(E$2:E859)*(E859=E$2:E859)))))-COUNTBLANK(OFFSET(A$1,,,SUMPRODUCT(MAX(ROW(E$1:E858)*(E2=E$1:E858))))))</f>
        <v> </v>
      </c>
      <c r="K859" s="25" t="str">
        <f>IF(OR(E859="",E859="!!!",F859="NEW"),"",INDEX(J$1:J858,SUMPRODUCT(MAX(ROW(E$1:E858)*(E859=E$1:E858)))))</f>
        <v> </v>
      </c>
      <c r="L859" s="26"/>
    </row>
    <row r="860" spans="1:12">
      <c r="A860" s="20" t="s">
        <v>553</v>
      </c>
      <c r="E860" s="21">
        <f>IF(D860="?OLD","!!!","")</f>
        <v/>
      </c>
      <c r="F860" s="22" t="str">
        <f>IF(OR(E860="",E860="!!!"),"",IF(NOT(ISNA(VLOOKUP(E860,E$1:E859,1,FALSE()))),"OLD",IF(AND(E860&lt;&gt;"",E860&lt;&gt;"!!!"),"NEW","")))</f>
        <v> </v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4" t="str">
        <f>IF(J860&lt;&gt;1,"",IF(I860="SBJ","CB","?"))</f>
        <v> </v>
      </c>
      <c r="I860" s="25" t="str">
        <f>IF(OR(E860="",E860="!!!",F860="NEW"),"",INDEX(B859:B$2,-1+SUMPRODUCT(MAX(ROW(E859:E$2)*(E860=E859:E$2)))))</f>
        <v> </v>
      </c>
      <c r="J860" s="25" t="str">
        <f>IF(OR(E860="",E860="!!!",F860="NEW"),"",COUNTBLANK(OFFSET(A$1,,,SUMPRODUCT(MAX(ROW(E$2:E860)*(E860=E$2:E860)))))-COUNTBLANK(OFFSET(A$1,,,SUMPRODUCT(MAX(ROW(E$1:E859)*(E2=E$1:E859))))))</f>
        <v> </v>
      </c>
      <c r="K860" s="25" t="str">
        <f>IF(OR(E860="",E860="!!!",F860="NEW"),"",INDEX(J$1:J859,SUMPRODUCT(MAX(ROW(E$1:E859)*(E860=E$1:E859)))))</f>
        <v> </v>
      </c>
      <c r="L860" s="26"/>
    </row>
    <row r="861" spans="1:12">
      <c r="A861" s="20" t="s">
        <v>117</v>
      </c>
      <c r="E861" s="21">
        <f>IF(D861="?OLD","!!!","")</f>
        <v/>
      </c>
      <c r="F861" s="22" t="str">
        <f>IF(OR(E861="",E861="!!!"),"",IF(NOT(ISNA(VLOOKUP(E861,E$1:E860,1,FALSE()))),"OLD",IF(AND(E861&lt;&gt;"",E861&lt;&gt;"!!!"),"NEW","")))</f>
        <v> </v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4" t="str">
        <f>IF(J861&lt;&gt;1,"",IF(I861="SBJ","CB","?"))</f>
        <v> </v>
      </c>
      <c r="I861" s="25" t="str">
        <f>IF(OR(E861="",E861="!!!",F861="NEW"),"",INDEX(B860:B$2,-1+SUMPRODUCT(MAX(ROW(E860:E$2)*(E861=E860:E$2)))))</f>
        <v> </v>
      </c>
      <c r="J861" s="25" t="str">
        <f>IF(OR(E861="",E861="!!!",F861="NEW"),"",COUNTBLANK(OFFSET(A$1,,,SUMPRODUCT(MAX(ROW(E$2:E861)*(E861=E$2:E861)))))-COUNTBLANK(OFFSET(A$1,,,SUMPRODUCT(MAX(ROW(E$1:E860)*(E2=E$1:E860))))))</f>
        <v> </v>
      </c>
      <c r="K861" s="25" t="str">
        <f>IF(OR(E861="",E861="!!!",F861="NEW"),"",INDEX(J$1:J860,SUMPRODUCT(MAX(ROW(E$1:E860)*(E861=E$1:E860)))))</f>
        <v> </v>
      </c>
      <c r="L861" s="26"/>
    </row>
    <row r="862" spans="1:12">
      <c r="A862" s="20" t="s">
        <v>554</v>
      </c>
      <c r="E862" s="21">
        <f>IF(D862="?OLD","!!!","")</f>
        <v/>
      </c>
      <c r="F862" s="22" t="str">
        <f>IF(OR(E862="",E862="!!!"),"",IF(NOT(ISNA(VLOOKUP(E862,E$1:E861,1,FALSE()))),"OLD",IF(AND(E862&lt;&gt;"",E862&lt;&gt;"!!!"),"NEW","")))</f>
        <v> </v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4" t="str">
        <f>IF(J862&lt;&gt;1,"",IF(I862="SBJ","CB","?"))</f>
        <v> </v>
      </c>
      <c r="I862" s="25" t="str">
        <f>IF(OR(E862="",E862="!!!",F862="NEW"),"",INDEX(B861:B$2,-1+SUMPRODUCT(MAX(ROW(E861:E$2)*(E862=E861:E$2)))))</f>
        <v> </v>
      </c>
      <c r="J862" s="25" t="str">
        <f>IF(OR(E862="",E862="!!!",F862="NEW"),"",COUNTBLANK(OFFSET(A$1,,,SUMPRODUCT(MAX(ROW(E$2:E862)*(E862=E$2:E862)))))-COUNTBLANK(OFFSET(A$1,,,SUMPRODUCT(MAX(ROW(E$1:E861)*(E2=E$1:E861))))))</f>
        <v> </v>
      </c>
      <c r="K862" s="25" t="str">
        <f>IF(OR(E862="",E862="!!!",F862="NEW"),"",INDEX(J$1:J861,SUMPRODUCT(MAX(ROW(E$1:E861)*(E862=E$1:E861)))))</f>
        <v> </v>
      </c>
      <c r="L862" s="26"/>
    </row>
    <row r="863" spans="1:12">
      <c r="A863" s="20" t="s">
        <v>555</v>
      </c>
      <c r="E863" s="21">
        <f>IF(D863="?OLD","!!!","")</f>
        <v/>
      </c>
      <c r="F863" s="22" t="str">
        <f>IF(OR(E863="",E863="!!!"),"",IF(NOT(ISNA(VLOOKUP(E863,E$1:E862,1,FALSE()))),"OLD",IF(AND(E863&lt;&gt;"",E863&lt;&gt;"!!!"),"NEW","")))</f>
        <v> </v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4" t="str">
        <f>IF(J863&lt;&gt;1,"",IF(I863="SBJ","CB","?"))</f>
        <v> </v>
      </c>
      <c r="I863" s="25" t="str">
        <f>IF(OR(E863="",E863="!!!",F863="NEW"),"",INDEX(B862:B$2,-1+SUMPRODUCT(MAX(ROW(E862:E$2)*(E863=E862:E$2)))))</f>
        <v> </v>
      </c>
      <c r="J863" s="25" t="str">
        <f>IF(OR(E863="",E863="!!!",F863="NEW"),"",COUNTBLANK(OFFSET(A$1,,,SUMPRODUCT(MAX(ROW(E$2:E863)*(E863=E$2:E863)))))-COUNTBLANK(OFFSET(A$1,,,SUMPRODUCT(MAX(ROW(E$1:E862)*(E2=E$1:E862))))))</f>
        <v> </v>
      </c>
      <c r="K863" s="25" t="str">
        <f>IF(OR(E863="",E863="!!!",F863="NEW"),"",INDEX(J$1:J862,SUMPRODUCT(MAX(ROW(E$1:E862)*(E863=E$1:E862)))))</f>
        <v> </v>
      </c>
      <c r="L863" s="26"/>
    </row>
    <row r="864" spans="1:12">
      <c r="A864" s="20" t="s">
        <v>556</v>
      </c>
      <c r="E864" s="21">
        <f>IF(D864="?OLD","!!!","")</f>
        <v/>
      </c>
      <c r="F864" s="22" t="str">
        <f>IF(OR(E864="",E864="!!!"),"",IF(NOT(ISNA(VLOOKUP(E864,E$1:E863,1,FALSE()))),"OLD",IF(AND(E864&lt;&gt;"",E864&lt;&gt;"!!!"),"NEW","")))</f>
        <v> </v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4" t="str">
        <f>IF(J864&lt;&gt;1,"",IF(I864="SBJ","CB","?"))</f>
        <v> </v>
      </c>
      <c r="I864" s="25" t="str">
        <f>IF(OR(E864="",E864="!!!",F864="NEW"),"",INDEX(B863:B$2,-1+SUMPRODUCT(MAX(ROW(E863:E$2)*(E864=E863:E$2)))))</f>
        <v> </v>
      </c>
      <c r="J864" s="25" t="str">
        <f>IF(OR(E864="",E864="!!!",F864="NEW"),"",COUNTBLANK(OFFSET(A$1,,,SUMPRODUCT(MAX(ROW(E$2:E864)*(E864=E$2:E864)))))-COUNTBLANK(OFFSET(A$1,,,SUMPRODUCT(MAX(ROW(E$1:E863)*(E2=E$1:E863))))))</f>
        <v> </v>
      </c>
      <c r="K864" s="25" t="str">
        <f>IF(OR(E864="",E864="!!!",F864="NEW"),"",INDEX(J$1:J863,SUMPRODUCT(MAX(ROW(E$1:E863)*(E864=E$1:E863)))))</f>
        <v> </v>
      </c>
      <c r="L864" s="26"/>
    </row>
    <row r="865" spans="1:12">
      <c r="A865" s="20" t="s">
        <v>448</v>
      </c>
      <c r="E865" s="21">
        <f>IF(D865="?OLD","!!!","")</f>
        <v/>
      </c>
      <c r="F865" s="22" t="str">
        <f>IF(OR(E865="",E865="!!!"),"",IF(NOT(ISNA(VLOOKUP(E865,E$1:E864,1,FALSE()))),"OLD",IF(AND(E865&lt;&gt;"",E865&lt;&gt;"!!!"),"NEW","")))</f>
        <v> </v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4" t="str">
        <f>IF(J865&lt;&gt;1,"",IF(I865="SBJ","CB","?"))</f>
        <v> </v>
      </c>
      <c r="I865" s="25" t="str">
        <f>IF(OR(E865="",E865="!!!",F865="NEW"),"",INDEX(B864:B$2,-1+SUMPRODUCT(MAX(ROW(E864:E$2)*(E865=E864:E$2)))))</f>
        <v> </v>
      </c>
      <c r="J865" s="25" t="str">
        <f>IF(OR(E865="",E865="!!!",F865="NEW"),"",COUNTBLANK(OFFSET(A$1,,,SUMPRODUCT(MAX(ROW(E$2:E865)*(E865=E$2:E865)))))-COUNTBLANK(OFFSET(A$1,,,SUMPRODUCT(MAX(ROW(E$1:E864)*(E2=E$1:E864))))))</f>
        <v> </v>
      </c>
      <c r="K865" s="25" t="str">
        <f>IF(OR(E865="",E865="!!!",F865="NEW"),"",INDEX(J$1:J864,SUMPRODUCT(MAX(ROW(E$1:E864)*(E865=E$1:E864)))))</f>
        <v> </v>
      </c>
      <c r="L865" s="26"/>
    </row>
    <row r="866" spans="1:12">
      <c r="A866" s="20" t="s">
        <v>229</v>
      </c>
      <c r="E866" s="21">
        <f>IF(D866="?OLD","!!!","")</f>
        <v/>
      </c>
      <c r="F866" s="22" t="str">
        <f>IF(OR(E866="",E866="!!!"),"",IF(NOT(ISNA(VLOOKUP(E866,E$1:E865,1,FALSE()))),"OLD",IF(AND(E866&lt;&gt;"",E866&lt;&gt;"!!!"),"NEW","")))</f>
        <v> </v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4" t="str">
        <f>IF(J866&lt;&gt;1,"",IF(I866="SBJ","CB","?"))</f>
        <v> </v>
      </c>
      <c r="I866" s="25" t="str">
        <f>IF(OR(E866="",E866="!!!",F866="NEW"),"",INDEX(B865:B$2,-1+SUMPRODUCT(MAX(ROW(E865:E$2)*(E866=E865:E$2)))))</f>
        <v> </v>
      </c>
      <c r="J866" s="25" t="str">
        <f>IF(OR(E866="",E866="!!!",F866="NEW"),"",COUNTBLANK(OFFSET(A$1,,,SUMPRODUCT(MAX(ROW(E$2:E866)*(E866=E$2:E866)))))-COUNTBLANK(OFFSET(A$1,,,SUMPRODUCT(MAX(ROW(E$1:E865)*(E2=E$1:E865))))))</f>
        <v> </v>
      </c>
      <c r="K866" s="25" t="str">
        <f>IF(OR(E866="",E866="!!!",F866="NEW"),"",INDEX(J$1:J865,SUMPRODUCT(MAX(ROW(E$1:E865)*(E866=E$1:E865)))))</f>
        <v> </v>
      </c>
      <c r="L866" s="26"/>
    </row>
    <row r="867" spans="1:12">
      <c r="A867" s="20" t="s">
        <v>557</v>
      </c>
      <c r="E867" s="21">
        <f>IF(D867="?OLD","!!!","")</f>
        <v/>
      </c>
      <c r="F867" s="22" t="str">
        <f>IF(OR(E867="",E867="!!!"),"",IF(NOT(ISNA(VLOOKUP(E867,E$1:E866,1,FALSE()))),"OLD",IF(AND(E867&lt;&gt;"",E867&lt;&gt;"!!!"),"NEW","")))</f>
        <v> </v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4" t="str">
        <f>IF(J867&lt;&gt;1,"",IF(I867="SBJ","CB","?"))</f>
        <v> </v>
      </c>
      <c r="I867" s="25" t="str">
        <f>IF(OR(E867="",E867="!!!",F867="NEW"),"",INDEX(B866:B$2,-1+SUMPRODUCT(MAX(ROW(E866:E$2)*(E867=E866:E$2)))))</f>
        <v> </v>
      </c>
      <c r="J867" s="25" t="str">
        <f>IF(OR(E867="",E867="!!!",F867="NEW"),"",COUNTBLANK(OFFSET(A$1,,,SUMPRODUCT(MAX(ROW(E$2:E867)*(E867=E$2:E867)))))-COUNTBLANK(OFFSET(A$1,,,SUMPRODUCT(MAX(ROW(E$1:E866)*(E2=E$1:E866))))))</f>
        <v> </v>
      </c>
      <c r="K867" s="25" t="str">
        <f>IF(OR(E867="",E867="!!!",F867="NEW"),"",INDEX(J$1:J866,SUMPRODUCT(MAX(ROW(E$1:E866)*(E867=E$1:E866)))))</f>
        <v> </v>
      </c>
      <c r="L867" s="26"/>
    </row>
    <row r="868" spans="1:12">
      <c r="A868" s="20" t="s">
        <v>554</v>
      </c>
      <c r="E868" s="21">
        <f>IF(D868="?OLD","!!!","")</f>
        <v/>
      </c>
      <c r="F868" s="22" t="str">
        <f>IF(OR(E868="",E868="!!!"),"",IF(NOT(ISNA(VLOOKUP(E868,E$1:E867,1,FALSE()))),"OLD",IF(AND(E868&lt;&gt;"",E868&lt;&gt;"!!!"),"NEW","")))</f>
        <v> </v>
      </c>
      <c r="G868" s="23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4" t="str">
        <f>IF(J868&lt;&gt;1,"",IF(I868="SBJ","CB","?"))</f>
        <v> </v>
      </c>
      <c r="I868" s="25" t="str">
        <f>IF(OR(E868="",E868="!!!",F868="NEW"),"",INDEX(B867:B$2,-1+SUMPRODUCT(MAX(ROW(E867:E$2)*(E868=E867:E$2)))))</f>
        <v> </v>
      </c>
      <c r="J868" s="25" t="str">
        <f>IF(OR(E868="",E868="!!!",F868="NEW"),"",COUNTBLANK(OFFSET(A$1,,,SUMPRODUCT(MAX(ROW(E$2:E868)*(E868=E$2:E868)))))-COUNTBLANK(OFFSET(A$1,,,SUMPRODUCT(MAX(ROW(E$1:E867)*(E2=E$1:E867))))))</f>
        <v> </v>
      </c>
      <c r="K868" s="25" t="str">
        <f>IF(OR(E868="",E868="!!!",F868="NEW"),"",INDEX(J$1:J867,SUMPRODUCT(MAX(ROW(E$1:E867)*(E868=E$1:E867)))))</f>
        <v> </v>
      </c>
      <c r="L868" s="26"/>
    </row>
    <row r="869" spans="1:12">
      <c r="A869" s="20" t="s">
        <v>558</v>
      </c>
      <c r="E869" s="21">
        <f>IF(D869="?OLD","!!!","")</f>
        <v/>
      </c>
      <c r="F869" s="22" t="str">
        <f>IF(OR(E869="",E869="!!!"),"",IF(NOT(ISNA(VLOOKUP(E869,E$1:E868,1,FALSE()))),"OLD",IF(AND(E869&lt;&gt;"",E869&lt;&gt;"!!!"),"NEW","")))</f>
        <v> </v>
      </c>
      <c r="G869" s="23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4" t="str">
        <f>IF(J869&lt;&gt;1,"",IF(I869="SBJ","CB","?"))</f>
        <v> </v>
      </c>
      <c r="I869" s="25" t="str">
        <f>IF(OR(E869="",E869="!!!",F869="NEW"),"",INDEX(B868:B$2,-1+SUMPRODUCT(MAX(ROW(E868:E$2)*(E869=E868:E$2)))))</f>
        <v> </v>
      </c>
      <c r="J869" s="25" t="str">
        <f>IF(OR(E869="",E869="!!!",F869="NEW"),"",COUNTBLANK(OFFSET(A$1,,,SUMPRODUCT(MAX(ROW(E$2:E869)*(E869=E$2:E869)))))-COUNTBLANK(OFFSET(A$1,,,SUMPRODUCT(MAX(ROW(E$1:E868)*(E2=E$1:E868))))))</f>
        <v> </v>
      </c>
      <c r="K869" s="25" t="str">
        <f>IF(OR(E869="",E869="!!!",F869="NEW"),"",INDEX(J$1:J868,SUMPRODUCT(MAX(ROW(E$1:E868)*(E869=E$1:E868)))))</f>
        <v> </v>
      </c>
      <c r="L869" s="26"/>
    </row>
    <row r="870" spans="1:12">
      <c r="A870" s="20" t="s">
        <v>118</v>
      </c>
      <c r="E870" s="21">
        <f>IF(D870="?OLD","!!!","")</f>
        <v/>
      </c>
      <c r="F870" s="22" t="str">
        <f>IF(OR(E870="",E870="!!!"),"",IF(NOT(ISNA(VLOOKUP(E870,E$1:E869,1,FALSE()))),"OLD",IF(AND(E870&lt;&gt;"",E870&lt;&gt;"!!!"),"NEW","")))</f>
        <v> </v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4" t="str">
        <f>IF(J870&lt;&gt;1,"",IF(I870="SBJ","CB","?"))</f>
        <v> </v>
      </c>
      <c r="I870" s="25" t="str">
        <f>IF(OR(E870="",E870="!!!",F870="NEW"),"",INDEX(B869:B$2,-1+SUMPRODUCT(MAX(ROW(E869:E$2)*(E870=E869:E$2)))))</f>
        <v> </v>
      </c>
      <c r="J870" s="25" t="str">
        <f>IF(OR(E870="",E870="!!!",F870="NEW"),"",COUNTBLANK(OFFSET(A$1,,,SUMPRODUCT(MAX(ROW(E$2:E870)*(E870=E$2:E870)))))-COUNTBLANK(OFFSET(A$1,,,SUMPRODUCT(MAX(ROW(E$1:E869)*(E2=E$1:E869))))))</f>
        <v> </v>
      </c>
      <c r="K870" s="25" t="str">
        <f>IF(OR(E870="",E870="!!!",F870="NEW"),"",INDEX(J$1:J869,SUMPRODUCT(MAX(ROW(E$1:E869)*(E870=E$1:E869)))))</f>
        <v> </v>
      </c>
      <c r="L870" s="26"/>
    </row>
    <row r="871" spans="1:12">
      <c r="A871" s="20" t="s">
        <v>559</v>
      </c>
      <c r="B871" s="27" t="s">
        <v>282</v>
      </c>
      <c r="E871" s="21">
        <f>IF(D871="?OLD","!!!","")</f>
        <v/>
      </c>
      <c r="F871" s="22" t="str">
        <f>IF(OR(E871="",E871="!!!"),"",IF(NOT(ISNA(VLOOKUP(E871,E$1:E870,1,FALSE()))),"OLD",IF(AND(E871&lt;&gt;"",E871&lt;&gt;"!!!"),"NEW","")))</f>
        <v> </v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4" t="str">
        <f>IF(J871&lt;&gt;1,"",IF(I871="SBJ","CB","?"))</f>
        <v> </v>
      </c>
      <c r="I871" s="25" t="str">
        <f>IF(OR(E871="",E871="!!!",F871="NEW"),"",INDEX(B870:B$2,-1+SUMPRODUCT(MAX(ROW(E870:E$2)*(E871=E870:E$2)))))</f>
        <v> </v>
      </c>
      <c r="J871" s="25" t="str">
        <f>IF(OR(E871="",E871="!!!",F871="NEW"),"",COUNTBLANK(OFFSET(A$1,,,SUMPRODUCT(MAX(ROW(E$2:E871)*(E871=E$2:E871)))))-COUNTBLANK(OFFSET(A$1,,,SUMPRODUCT(MAX(ROW(E$1:E870)*(E2=E$1:E870))))))</f>
        <v> </v>
      </c>
      <c r="K871" s="25" t="str">
        <f>IF(OR(E871="",E871="!!!",F871="NEW"),"",INDEX(J$1:J870,SUMPRODUCT(MAX(ROW(E$1:E870)*(E871=E$1:E870)))))</f>
        <v> </v>
      </c>
      <c r="L871" s="26"/>
    </row>
    <row r="872" spans="1:12">
      <c r="A872" s="20" t="s">
        <v>560</v>
      </c>
      <c r="E872" s="21">
        <f>IF(D872="?OLD","!!!","")</f>
        <v/>
      </c>
      <c r="F872" s="22" t="str">
        <f>IF(OR(E872="",E872="!!!"),"",IF(NOT(ISNA(VLOOKUP(E872,E$1:E871,1,FALSE()))),"OLD",IF(AND(E872&lt;&gt;"",E872&lt;&gt;"!!!"),"NEW","")))</f>
        <v> </v>
      </c>
      <c r="G872" s="23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4" t="str">
        <f>IF(J872&lt;&gt;1,"",IF(I872="SBJ","CB","?"))</f>
        <v> </v>
      </c>
      <c r="I872" s="25" t="str">
        <f>IF(OR(E872="",E872="!!!",F872="NEW"),"",INDEX(B871:B$2,-1+SUMPRODUCT(MAX(ROW(E871:E$2)*(E872=E871:E$2)))))</f>
        <v> </v>
      </c>
      <c r="J872" s="25" t="str">
        <f>IF(OR(E872="",E872="!!!",F872="NEW"),"",COUNTBLANK(OFFSET(A$1,,,SUMPRODUCT(MAX(ROW(E$2:E872)*(E872=E$2:E872)))))-COUNTBLANK(OFFSET(A$1,,,SUMPRODUCT(MAX(ROW(E$1:E871)*(E2=E$1:E871))))))</f>
        <v> </v>
      </c>
      <c r="K872" s="25" t="str">
        <f>IF(OR(E872="",E872="!!!",F872="NEW"),"",INDEX(J$1:J871,SUMPRODUCT(MAX(ROW(E$1:E871)*(E872=E$1:E871)))))</f>
        <v> </v>
      </c>
      <c r="L872" s="26"/>
    </row>
    <row r="873" spans="1:12">
      <c r="A873" s="20" t="s">
        <v>141</v>
      </c>
      <c r="E873" s="21">
        <f>IF(D873="?OLD","!!!","")</f>
        <v/>
      </c>
      <c r="F873" s="22" t="str">
        <f>IF(OR(E873="",E873="!!!"),"",IF(NOT(ISNA(VLOOKUP(E873,E$1:E872,1,FALSE()))),"OLD",IF(AND(E873&lt;&gt;"",E873&lt;&gt;"!!!"),"NEW","")))</f>
        <v> </v>
      </c>
      <c r="G873" s="23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4" t="str">
        <f>IF(J873&lt;&gt;1,"",IF(I873="SBJ","CB","?"))</f>
        <v> </v>
      </c>
      <c r="I873" s="25" t="str">
        <f>IF(OR(E873="",E873="!!!",F873="NEW"),"",INDEX(B872:B$2,-1+SUMPRODUCT(MAX(ROW(E872:E$2)*(E873=E872:E$2)))))</f>
        <v> </v>
      </c>
      <c r="J873" s="25" t="str">
        <f>IF(OR(E873="",E873="!!!",F873="NEW"),"",COUNTBLANK(OFFSET(A$1,,,SUMPRODUCT(MAX(ROW(E$2:E873)*(E873=E$2:E873)))))-COUNTBLANK(OFFSET(A$1,,,SUMPRODUCT(MAX(ROW(E$1:E872)*(E2=E$1:E872))))))</f>
        <v> </v>
      </c>
      <c r="K873" s="25" t="str">
        <f>IF(OR(E873="",E873="!!!",F873="NEW"),"",INDEX(J$1:J872,SUMPRODUCT(MAX(ROW(E$1:E872)*(E873=E$1:E872)))))</f>
        <v> </v>
      </c>
      <c r="L873" s="26"/>
    </row>
    <row r="874" spans="1:12">
      <c r="A874" s="20" t="s">
        <v>213</v>
      </c>
      <c r="B874" s="27" t="s">
        <v>383</v>
      </c>
      <c r="C874" s="27" t="s">
        <v>159</v>
      </c>
      <c r="D874" s="27" t="s">
        <v>133</v>
      </c>
      <c r="E874" s="21">
        <f>IF(D874="?OLD","!!!","")</f>
        <v/>
      </c>
      <c r="F874" s="22" t="str">
        <f>IF(OR(E874="",E874="!!!"),"",IF(NOT(ISNA(VLOOKUP(E874,E$1:E873,1,FALSE()))),"OLD",IF(AND(E874&lt;&gt;"",E874&lt;&gt;"!!!"),"NEW","")))</f>
        <v> </v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4" t="str">
        <f>IF(J874&lt;&gt;1,"",IF(I874="SBJ","CB","?"))</f>
        <v> </v>
      </c>
      <c r="I874" s="25" t="str">
        <f>IF(OR(E874="",E874="!!!",F874="NEW"),"",INDEX(B873:B$2,-1+SUMPRODUCT(MAX(ROW(E873:E$2)*(E874=E873:E$2)))))</f>
        <v> </v>
      </c>
      <c r="J874" s="25" t="str">
        <f>IF(OR(E874="",E874="!!!",F874="NEW"),"",COUNTBLANK(OFFSET(A$1,,,SUMPRODUCT(MAX(ROW(E$2:E874)*(E874=E$2:E874)))))-COUNTBLANK(OFFSET(A$1,,,SUMPRODUCT(MAX(ROW(E$1:E873)*(E2=E$1:E873))))))</f>
        <v> </v>
      </c>
      <c r="K874" s="25" t="str">
        <f>IF(OR(E874="",E874="!!!",F874="NEW"),"",INDEX(J$1:J873,SUMPRODUCT(MAX(ROW(E$1:E873)*(E874=E$1:E873)))))</f>
        <v> </v>
      </c>
      <c r="L874" s="26"/>
    </row>
    <row r="875" spans="1:12">
      <c r="A875" s="20" t="s">
        <v>561</v>
      </c>
      <c r="E875" s="21">
        <f>IF(D875="?OLD","!!!","")</f>
        <v/>
      </c>
      <c r="F875" s="22" t="str">
        <f>IF(OR(E875="",E875="!!!"),"",IF(NOT(ISNA(VLOOKUP(E875,E$1:E874,1,FALSE()))),"OLD",IF(AND(E875&lt;&gt;"",E875&lt;&gt;"!!!"),"NEW","")))</f>
        <v> </v>
      </c>
      <c r="G875" s="23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4" t="str">
        <f>IF(J875&lt;&gt;1,"",IF(I875="SBJ","CB","?"))</f>
        <v> </v>
      </c>
      <c r="I875" s="25" t="str">
        <f>IF(OR(E875="",E875="!!!",F875="NEW"),"",INDEX(B874:B$2,-1+SUMPRODUCT(MAX(ROW(E874:E$2)*(E875=E874:E$2)))))</f>
        <v> </v>
      </c>
      <c r="J875" s="25" t="str">
        <f>IF(OR(E875="",E875="!!!",F875="NEW"),"",COUNTBLANK(OFFSET(A$1,,,SUMPRODUCT(MAX(ROW(E$2:E875)*(E875=E$2:E875)))))-COUNTBLANK(OFFSET(A$1,,,SUMPRODUCT(MAX(ROW(E$1:E874)*(E2=E$1:E874))))))</f>
        <v> </v>
      </c>
      <c r="K875" s="25" t="str">
        <f>IF(OR(E875="",E875="!!!",F875="NEW"),"",INDEX(J$1:J874,SUMPRODUCT(MAX(ROW(E$1:E874)*(E875=E$1:E874)))))</f>
        <v> </v>
      </c>
      <c r="L875" s="26"/>
    </row>
    <row r="876" spans="1:12">
      <c r="A876" s="20" t="s">
        <v>238</v>
      </c>
      <c r="E876" s="21">
        <f>IF(D876="?OLD","!!!","")</f>
        <v/>
      </c>
      <c r="F876" s="22" t="str">
        <f>IF(OR(E876="",E876="!!!"),"",IF(NOT(ISNA(VLOOKUP(E876,E$1:E875,1,FALSE()))),"OLD",IF(AND(E876&lt;&gt;"",E876&lt;&gt;"!!!"),"NEW","")))</f>
        <v> </v>
      </c>
      <c r="G876" s="23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4" t="str">
        <f>IF(J876&lt;&gt;1,"",IF(I876="SBJ","CB","?"))</f>
        <v> </v>
      </c>
      <c r="I876" s="25" t="str">
        <f>IF(OR(E876="",E876="!!!",F876="NEW"),"",INDEX(B875:B$2,-1+SUMPRODUCT(MAX(ROW(E875:E$2)*(E876=E875:E$2)))))</f>
        <v> </v>
      </c>
      <c r="J876" s="25" t="str">
        <f>IF(OR(E876="",E876="!!!",F876="NEW"),"",COUNTBLANK(OFFSET(A$1,,,SUMPRODUCT(MAX(ROW(E$2:E876)*(E876=E$2:E876)))))-COUNTBLANK(OFFSET(A$1,,,SUMPRODUCT(MAX(ROW(E$1:E875)*(E2=E$1:E875))))))</f>
        <v> </v>
      </c>
      <c r="K876" s="25" t="str">
        <f>IF(OR(E876="",E876="!!!",F876="NEW"),"",INDEX(J$1:J875,SUMPRODUCT(MAX(ROW(E$1:E875)*(E876=E$1:E875)))))</f>
        <v> </v>
      </c>
      <c r="L876" s="26"/>
    </row>
    <row r="877" spans="1:12">
      <c r="A877" s="20" t="s">
        <v>562</v>
      </c>
      <c r="B877" s="27" t="s">
        <v>158</v>
      </c>
      <c r="C877" s="27" t="s">
        <v>146</v>
      </c>
      <c r="D877" s="27" t="s">
        <v>133</v>
      </c>
      <c r="E877" s="21">
        <f>IF(D877="?OLD","!!!","")</f>
        <v/>
      </c>
      <c r="F877" s="22" t="str">
        <f>IF(OR(E877="",E877="!!!"),"",IF(NOT(ISNA(VLOOKUP(E877,E$1:E876,1,FALSE()))),"OLD",IF(AND(E877&lt;&gt;"",E877&lt;&gt;"!!!"),"NEW","")))</f>
        <v> </v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4" t="str">
        <f>IF(J877&lt;&gt;1,"",IF(I877="SBJ","CB","?"))</f>
        <v> </v>
      </c>
      <c r="I877" s="25" t="str">
        <f>IF(OR(E877="",E877="!!!",F877="NEW"),"",INDEX(B876:B$2,-1+SUMPRODUCT(MAX(ROW(E876:E$2)*(E877=E876:E$2)))))</f>
        <v> </v>
      </c>
      <c r="J877" s="25" t="str">
        <f>IF(OR(E877="",E877="!!!",F877="NEW"),"",COUNTBLANK(OFFSET(A$1,,,SUMPRODUCT(MAX(ROW(E$2:E877)*(E877=E$2:E877)))))-COUNTBLANK(OFFSET(A$1,,,SUMPRODUCT(MAX(ROW(E$1:E876)*(E2=E$1:E876))))))</f>
        <v> </v>
      </c>
      <c r="K877" s="25" t="str">
        <f>IF(OR(E877="",E877="!!!",F877="NEW"),"",INDEX(J$1:J876,SUMPRODUCT(MAX(ROW(E$1:E876)*(E877=E$1:E876)))))</f>
        <v> </v>
      </c>
      <c r="L877" s="26"/>
    </row>
    <row r="878" spans="1:12">
      <c r="A878" s="20" t="s">
        <v>153</v>
      </c>
      <c r="E878" s="21">
        <f>IF(D878="?OLD","!!!","")</f>
        <v/>
      </c>
      <c r="F878" s="22" t="str">
        <f>IF(OR(E878="",E878="!!!"),"",IF(NOT(ISNA(VLOOKUP(E878,E$1:E877,1,FALSE()))),"OLD",IF(AND(E878&lt;&gt;"",E878&lt;&gt;"!!!"),"NEW","")))</f>
        <v> </v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4" t="str">
        <f>IF(J878&lt;&gt;1,"",IF(I878="SBJ","CB","?"))</f>
        <v> </v>
      </c>
      <c r="I878" s="25" t="str">
        <f>IF(OR(E878="",E878="!!!",F878="NEW"),"",INDEX(B877:B$2,-1+SUMPRODUCT(MAX(ROW(E877:E$2)*(E878=E877:E$2)))))</f>
        <v> </v>
      </c>
      <c r="J878" s="25" t="str">
        <f>IF(OR(E878="",E878="!!!",F878="NEW"),"",COUNTBLANK(OFFSET(A$1,,,SUMPRODUCT(MAX(ROW(E$2:E878)*(E878=E$2:E878)))))-COUNTBLANK(OFFSET(A$1,,,SUMPRODUCT(MAX(ROW(E$1:E877)*(E2=E$1:E877))))))</f>
        <v> </v>
      </c>
      <c r="K878" s="25" t="str">
        <f>IF(OR(E878="",E878="!!!",F878="NEW"),"",INDEX(J$1:J877,SUMPRODUCT(MAX(ROW(E$1:E877)*(E878=E$1:E877)))))</f>
        <v> </v>
      </c>
      <c r="L878" s="26"/>
    </row>
    <row r="879" spans="1:12">
      <c r="A879" s="20" t="s">
        <v>563</v>
      </c>
      <c r="B879" s="27" t="s">
        <v>176</v>
      </c>
      <c r="C879" s="27" t="s">
        <v>152</v>
      </c>
      <c r="E879" s="21">
        <f>IF(D879="?OLD","!!!","")</f>
        <v/>
      </c>
      <c r="F879" s="22" t="str">
        <f>IF(OR(E879="",E879="!!!"),"",IF(NOT(ISNA(VLOOKUP(E879,E$1:E878,1,FALSE()))),"OLD",IF(AND(E879&lt;&gt;"",E879&lt;&gt;"!!!"),"NEW","")))</f>
        <v> </v>
      </c>
      <c r="G879" s="23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4" t="str">
        <f>IF(J879&lt;&gt;1,"",IF(I879="SBJ","CB","?"))</f>
        <v> </v>
      </c>
      <c r="I879" s="25" t="str">
        <f>IF(OR(E879="",E879="!!!",F879="NEW"),"",INDEX(B878:B$2,-1+SUMPRODUCT(MAX(ROW(E878:E$2)*(E879=E878:E$2)))))</f>
        <v> </v>
      </c>
      <c r="J879" s="25" t="str">
        <f>IF(OR(E879="",E879="!!!",F879="NEW"),"",COUNTBLANK(OFFSET(A$1,,,SUMPRODUCT(MAX(ROW(E$2:E879)*(E879=E$2:E879)))))-COUNTBLANK(OFFSET(A$1,,,SUMPRODUCT(MAX(ROW(E$1:E878)*(E2=E$1:E878))))))</f>
        <v> </v>
      </c>
      <c r="K879" s="25" t="str">
        <f>IF(OR(E879="",E879="!!!",F879="NEW"),"",INDEX(J$1:J878,SUMPRODUCT(MAX(ROW(E$1:E878)*(E879=E$1:E878)))))</f>
        <v> </v>
      </c>
      <c r="L879" s="26"/>
    </row>
    <row r="880" spans="1:12">
      <c r="A880" s="20" t="s">
        <v>117</v>
      </c>
      <c r="E880" s="21">
        <f>IF(D880="?OLD","!!!","")</f>
        <v/>
      </c>
      <c r="F880" s="22" t="str">
        <f>IF(OR(E880="",E880="!!!"),"",IF(NOT(ISNA(VLOOKUP(E880,E$1:E879,1,FALSE()))),"OLD",IF(AND(E880&lt;&gt;"",E880&lt;&gt;"!!!"),"NEW","")))</f>
        <v> </v>
      </c>
      <c r="G880" s="23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4" t="str">
        <f>IF(J880&lt;&gt;1,"",IF(I880="SBJ","CB","?"))</f>
        <v> </v>
      </c>
      <c r="I880" s="25" t="str">
        <f>IF(OR(E880="",E880="!!!",F880="NEW"),"",INDEX(B879:B$2,-1+SUMPRODUCT(MAX(ROW(E879:E$2)*(E880=E879:E$2)))))</f>
        <v> </v>
      </c>
      <c r="J880" s="25" t="str">
        <f>IF(OR(E880="",E880="!!!",F880="NEW"),"",COUNTBLANK(OFFSET(A$1,,,SUMPRODUCT(MAX(ROW(E$2:E880)*(E880=E$2:E880)))))-COUNTBLANK(OFFSET(A$1,,,SUMPRODUCT(MAX(ROW(E$1:E879)*(E2=E$1:E879))))))</f>
        <v> </v>
      </c>
      <c r="K880" s="25" t="str">
        <f>IF(OR(E880="",E880="!!!",F880="NEW"),"",INDEX(J$1:J879,SUMPRODUCT(MAX(ROW(E$1:E879)*(E880=E$1:E879)))))</f>
        <v> </v>
      </c>
      <c r="L880" s="26"/>
    </row>
    <row r="881" spans="1:12">
      <c r="A881" s="20" t="s">
        <v>153</v>
      </c>
      <c r="E881" s="21">
        <f>IF(D881="?OLD","!!!","")</f>
        <v/>
      </c>
      <c r="F881" s="22" t="str">
        <f>IF(OR(E881="",E881="!!!"),"",IF(NOT(ISNA(VLOOKUP(E881,E$1:E880,1,FALSE()))),"OLD",IF(AND(E881&lt;&gt;"",E881&lt;&gt;"!!!"),"NEW","")))</f>
        <v> </v>
      </c>
      <c r="G881" s="23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4" t="str">
        <f>IF(J881&lt;&gt;1,"",IF(I881="SBJ","CB","?"))</f>
        <v> </v>
      </c>
      <c r="I881" s="25" t="str">
        <f>IF(OR(E881="",E881="!!!",F881="NEW"),"",INDEX(B880:B$2,-1+SUMPRODUCT(MAX(ROW(E880:E$2)*(E881=E880:E$2)))))</f>
        <v> </v>
      </c>
      <c r="J881" s="25" t="str">
        <f>IF(OR(E881="",E881="!!!",F881="NEW"),"",COUNTBLANK(OFFSET(A$1,,,SUMPRODUCT(MAX(ROW(E$2:E881)*(E881=E$2:E881)))))-COUNTBLANK(OFFSET(A$1,,,SUMPRODUCT(MAX(ROW(E$1:E880)*(E2=E$1:E880))))))</f>
        <v> </v>
      </c>
      <c r="K881" s="25" t="str">
        <f>IF(OR(E881="",E881="!!!",F881="NEW"),"",INDEX(J$1:J880,SUMPRODUCT(MAX(ROW(E$1:E880)*(E881=E$1:E880)))))</f>
        <v> </v>
      </c>
      <c r="L881" s="26"/>
    </row>
    <row r="882" spans="1:12">
      <c r="A882" s="20" t="s">
        <v>408</v>
      </c>
      <c r="B882" s="27" t="s">
        <v>162</v>
      </c>
      <c r="C882" s="27" t="s">
        <v>152</v>
      </c>
      <c r="E882" s="21">
        <f>IF(D882="?OLD","!!!","")</f>
        <v/>
      </c>
      <c r="F882" s="22" t="str">
        <f>IF(OR(E882="",E882="!!!"),"",IF(NOT(ISNA(VLOOKUP(E882,E$1:E881,1,FALSE()))),"OLD",IF(AND(E882&lt;&gt;"",E882&lt;&gt;"!!!"),"NEW","")))</f>
        <v> </v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4" t="str">
        <f>IF(J882&lt;&gt;1,"",IF(I882="SBJ","CB","?"))</f>
        <v> </v>
      </c>
      <c r="I882" s="25" t="str">
        <f>IF(OR(E882="",E882="!!!",F882="NEW"),"",INDEX(B881:B$2,-1+SUMPRODUCT(MAX(ROW(E881:E$2)*(E882=E881:E$2)))))</f>
        <v> </v>
      </c>
      <c r="J882" s="25" t="str">
        <f>IF(OR(E882="",E882="!!!",F882="NEW"),"",COUNTBLANK(OFFSET(A$1,,,SUMPRODUCT(MAX(ROW(E$2:E882)*(E882=E$2:E882)))))-COUNTBLANK(OFFSET(A$1,,,SUMPRODUCT(MAX(ROW(E$1:E881)*(E2=E$1:E881))))))</f>
        <v> </v>
      </c>
      <c r="K882" s="25" t="str">
        <f>IF(OR(E882="",E882="!!!",F882="NEW"),"",INDEX(J$1:J881,SUMPRODUCT(MAX(ROW(E$1:E881)*(E882=E$1:E881)))))</f>
        <v> </v>
      </c>
      <c r="L882" s="26"/>
    </row>
    <row r="883" spans="1:12">
      <c r="A883" s="20" t="s">
        <v>149</v>
      </c>
      <c r="E883" s="21">
        <f>IF(D883="?OLD","!!!","")</f>
        <v/>
      </c>
      <c r="F883" s="22" t="str">
        <f>IF(OR(E883="",E883="!!!"),"",IF(NOT(ISNA(VLOOKUP(E883,E$1:E882,1,FALSE()))),"OLD",IF(AND(E883&lt;&gt;"",E883&lt;&gt;"!!!"),"NEW","")))</f>
        <v> </v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4" t="str">
        <f>IF(J883&lt;&gt;1,"",IF(I883="SBJ","CB","?"))</f>
        <v> </v>
      </c>
      <c r="I883" s="25" t="str">
        <f>IF(OR(E883="",E883="!!!",F883="NEW"),"",INDEX(B882:B$2,-1+SUMPRODUCT(MAX(ROW(E882:E$2)*(E883=E882:E$2)))))</f>
        <v> </v>
      </c>
      <c r="J883" s="25" t="str">
        <f>IF(OR(E883="",E883="!!!",F883="NEW"),"",COUNTBLANK(OFFSET(A$1,,,SUMPRODUCT(MAX(ROW(E$2:E883)*(E883=E$2:E883)))))-COUNTBLANK(OFFSET(A$1,,,SUMPRODUCT(MAX(ROW(E$1:E882)*(E2=E$1:E882))))))</f>
        <v> </v>
      </c>
      <c r="K883" s="25" t="str">
        <f>IF(OR(E883="",E883="!!!",F883="NEW"),"",INDEX(J$1:J882,SUMPRODUCT(MAX(ROW(E$1:E882)*(E883=E$1:E882)))))</f>
        <v> </v>
      </c>
      <c r="L883" s="26"/>
    </row>
    <row r="884" spans="1:12">
      <c r="A884" s="20" t="s">
        <v>117</v>
      </c>
      <c r="E884" s="21">
        <f>IF(D884="?OLD","!!!","")</f>
        <v/>
      </c>
      <c r="F884" s="22" t="str">
        <f>IF(OR(E884="",E884="!!!"),"",IF(NOT(ISNA(VLOOKUP(E884,E$1:E883,1,FALSE()))),"OLD",IF(AND(E884&lt;&gt;"",E884&lt;&gt;"!!!"),"NEW","")))</f>
        <v> </v>
      </c>
      <c r="G884" s="23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4" t="str">
        <f>IF(J884&lt;&gt;1,"",IF(I884="SBJ","CB","?"))</f>
        <v> </v>
      </c>
      <c r="I884" s="25" t="str">
        <f>IF(OR(E884="",E884="!!!",F884="NEW"),"",INDEX(B883:B$2,-1+SUMPRODUCT(MAX(ROW(E883:E$2)*(E884=E883:E$2)))))</f>
        <v> </v>
      </c>
      <c r="J884" s="25" t="str">
        <f>IF(OR(E884="",E884="!!!",F884="NEW"),"",COUNTBLANK(OFFSET(A$1,,,SUMPRODUCT(MAX(ROW(E$2:E884)*(E884=E$2:E884)))))-COUNTBLANK(OFFSET(A$1,,,SUMPRODUCT(MAX(ROW(E$1:E883)*(E2=E$1:E883))))))</f>
        <v> </v>
      </c>
      <c r="K884" s="25" t="str">
        <f>IF(OR(E884="",E884="!!!",F884="NEW"),"",INDEX(J$1:J883,SUMPRODUCT(MAX(ROW(E$1:E883)*(E884=E$1:E883)))))</f>
        <v> </v>
      </c>
      <c r="L884" s="26"/>
    </row>
    <row r="885" spans="1:12">
      <c r="A885" s="20" t="s">
        <v>263</v>
      </c>
      <c r="E885" s="21">
        <f>IF(D885="?OLD","!!!","")</f>
        <v/>
      </c>
      <c r="F885" s="22" t="str">
        <f>IF(OR(E885="",E885="!!!"),"",IF(NOT(ISNA(VLOOKUP(E885,E$1:E884,1,FALSE()))),"OLD",IF(AND(E885&lt;&gt;"",E885&lt;&gt;"!!!"),"NEW","")))</f>
        <v> </v>
      </c>
      <c r="G885" s="23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4" t="str">
        <f>IF(J885&lt;&gt;1,"",IF(I885="SBJ","CB","?"))</f>
        <v> </v>
      </c>
      <c r="I885" s="25" t="str">
        <f>IF(OR(E885="",E885="!!!",F885="NEW"),"",INDEX(B884:B$2,-1+SUMPRODUCT(MAX(ROW(E884:E$2)*(E885=E884:E$2)))))</f>
        <v> </v>
      </c>
      <c r="J885" s="25" t="str">
        <f>IF(OR(E885="",E885="!!!",F885="NEW"),"",COUNTBLANK(OFFSET(A$1,,,SUMPRODUCT(MAX(ROW(E$2:E885)*(E885=E$2:E885)))))-COUNTBLANK(OFFSET(A$1,,,SUMPRODUCT(MAX(ROW(E$1:E884)*(E2=E$1:E884))))))</f>
        <v> </v>
      </c>
      <c r="K885" s="25" t="str">
        <f>IF(OR(E885="",E885="!!!",F885="NEW"),"",INDEX(J$1:J884,SUMPRODUCT(MAX(ROW(E$1:E884)*(E885=E$1:E884)))))</f>
        <v> </v>
      </c>
      <c r="L885" s="26"/>
    </row>
    <row r="886" spans="1:12">
      <c r="A886" s="20" t="s">
        <v>564</v>
      </c>
      <c r="E886" s="21">
        <f>IF(D886="?OLD","!!!","")</f>
        <v/>
      </c>
      <c r="F886" s="22" t="str">
        <f>IF(OR(E886="",E886="!!!"),"",IF(NOT(ISNA(VLOOKUP(E886,E$1:E885,1,FALSE()))),"OLD",IF(AND(E886&lt;&gt;"",E886&lt;&gt;"!!!"),"NEW","")))</f>
        <v> </v>
      </c>
      <c r="G886" s="23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4" t="str">
        <f>IF(J886&lt;&gt;1,"",IF(I886="SBJ","CB","?"))</f>
        <v> </v>
      </c>
      <c r="I886" s="25" t="str">
        <f>IF(OR(E886="",E886="!!!",F886="NEW"),"",INDEX(B885:B$2,-1+SUMPRODUCT(MAX(ROW(E885:E$2)*(E886=E885:E$2)))))</f>
        <v> </v>
      </c>
      <c r="J886" s="25" t="str">
        <f>IF(OR(E886="",E886="!!!",F886="NEW"),"",COUNTBLANK(OFFSET(A$1,,,SUMPRODUCT(MAX(ROW(E$2:E886)*(E886=E$2:E886)))))-COUNTBLANK(OFFSET(A$1,,,SUMPRODUCT(MAX(ROW(E$1:E885)*(E2=E$1:E885))))))</f>
        <v> </v>
      </c>
      <c r="K886" s="25" t="str">
        <f>IF(OR(E886="",E886="!!!",F886="NEW"),"",INDEX(J$1:J885,SUMPRODUCT(MAX(ROW(E$1:E885)*(E886=E$1:E885)))))</f>
        <v> </v>
      </c>
      <c r="L886" s="26"/>
    </row>
    <row r="887" spans="1:12">
      <c r="A887" s="20" t="s">
        <v>117</v>
      </c>
      <c r="E887" s="21">
        <f>IF(D887="?OLD","!!!","")</f>
        <v/>
      </c>
      <c r="F887" s="22" t="str">
        <f>IF(OR(E887="",E887="!!!"),"",IF(NOT(ISNA(VLOOKUP(E887,E$1:E886,1,FALSE()))),"OLD",IF(AND(E887&lt;&gt;"",E887&lt;&gt;"!!!"),"NEW","")))</f>
        <v> </v>
      </c>
      <c r="G887" s="23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24" t="str">
        <f>IF(J887&lt;&gt;1,"",IF(I887="SBJ","CB","?"))</f>
        <v> </v>
      </c>
      <c r="I887" s="25" t="str">
        <f>IF(OR(E887="",E887="!!!",F887="NEW"),"",INDEX(B886:B$2,-1+SUMPRODUCT(MAX(ROW(E886:E$2)*(E887=E886:E$2)))))</f>
        <v> </v>
      </c>
      <c r="J887" s="25" t="str">
        <f>IF(OR(E887="",E887="!!!",F887="NEW"),"",COUNTBLANK(OFFSET(A$1,,,SUMPRODUCT(MAX(ROW(E$2:E887)*(E887=E$2:E887)))))-COUNTBLANK(OFFSET(A$1,,,SUMPRODUCT(MAX(ROW(E$1:E886)*(E2=E$1:E886))))))</f>
        <v> </v>
      </c>
      <c r="K887" s="25" t="str">
        <f>IF(OR(E887="",E887="!!!",F887="NEW"),"",INDEX(J$1:J886,SUMPRODUCT(MAX(ROW(E$1:E886)*(E887=E$1:E886)))))</f>
        <v> </v>
      </c>
      <c r="L887" s="26"/>
    </row>
    <row r="888" spans="1:12">
      <c r="A888" s="20" t="s">
        <v>153</v>
      </c>
      <c r="E888" s="21">
        <f>IF(D888="?OLD","!!!","")</f>
        <v/>
      </c>
      <c r="F888" s="22" t="str">
        <f>IF(OR(E888="",E888="!!!"),"",IF(NOT(ISNA(VLOOKUP(E888,E$1:E887,1,FALSE()))),"OLD",IF(AND(E888&lt;&gt;"",E888&lt;&gt;"!!!"),"NEW","")))</f>
        <v> </v>
      </c>
      <c r="G888" s="23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4" t="str">
        <f>IF(J888&lt;&gt;1,"",IF(I888="SBJ","CB","?"))</f>
        <v> </v>
      </c>
      <c r="I888" s="25" t="str">
        <f>IF(OR(E888="",E888="!!!",F888="NEW"),"",INDEX(B887:B$2,-1+SUMPRODUCT(MAX(ROW(E887:E$2)*(E888=E887:E$2)))))</f>
        <v> </v>
      </c>
      <c r="J888" s="25" t="str">
        <f>IF(OR(E888="",E888="!!!",F888="NEW"),"",COUNTBLANK(OFFSET(A$1,,,SUMPRODUCT(MAX(ROW(E$2:E888)*(E888=E$2:E888)))))-COUNTBLANK(OFFSET(A$1,,,SUMPRODUCT(MAX(ROW(E$1:E887)*(E2=E$1:E887))))))</f>
        <v> </v>
      </c>
      <c r="K888" s="25" t="str">
        <f>IF(OR(E888="",E888="!!!",F888="NEW"),"",INDEX(J$1:J887,SUMPRODUCT(MAX(ROW(E$1:E887)*(E888=E$1:E887)))))</f>
        <v> </v>
      </c>
      <c r="L888" s="26"/>
    </row>
    <row r="889" spans="1:12">
      <c r="A889" s="20" t="s">
        <v>565</v>
      </c>
      <c r="B889" s="27" t="s">
        <v>139</v>
      </c>
      <c r="C889" s="27" t="s">
        <v>152</v>
      </c>
      <c r="E889" s="21">
        <f>IF(D889="?OLD","!!!","")</f>
        <v/>
      </c>
      <c r="F889" s="22" t="str">
        <f>IF(OR(E889="",E889="!!!"),"",IF(NOT(ISNA(VLOOKUP(E889,E$1:E888,1,FALSE()))),"OLD",IF(AND(E889&lt;&gt;"",E889&lt;&gt;"!!!"),"NEW","")))</f>
        <v> </v>
      </c>
      <c r="G889" s="23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4" t="str">
        <f>IF(J889&lt;&gt;1,"",IF(I889="SBJ","CB","?"))</f>
        <v> </v>
      </c>
      <c r="I889" s="25" t="str">
        <f>IF(OR(E889="",E889="!!!",F889="NEW"),"",INDEX(B888:B$2,-1+SUMPRODUCT(MAX(ROW(E888:E$2)*(E889=E888:E$2)))))</f>
        <v> </v>
      </c>
      <c r="J889" s="25" t="str">
        <f>IF(OR(E889="",E889="!!!",F889="NEW"),"",COUNTBLANK(OFFSET(A$1,,,SUMPRODUCT(MAX(ROW(E$2:E889)*(E889=E$2:E889)))))-COUNTBLANK(OFFSET(A$1,,,SUMPRODUCT(MAX(ROW(E$1:E888)*(E2=E$1:E888))))))</f>
        <v> </v>
      </c>
      <c r="K889" s="25" t="str">
        <f>IF(OR(E889="",E889="!!!",F889="NEW"),"",INDEX(J$1:J888,SUMPRODUCT(MAX(ROW(E$1:E888)*(E889=E$1:E888)))))</f>
        <v> </v>
      </c>
      <c r="L889" s="26"/>
    </row>
    <row r="890" spans="1:12">
      <c r="A890" s="20" t="s">
        <v>126</v>
      </c>
      <c r="E890" s="21">
        <f>IF(D890="?OLD","!!!","")</f>
        <v/>
      </c>
      <c r="F890" s="22" t="str">
        <f>IF(OR(E890="",E890="!!!"),"",IF(NOT(ISNA(VLOOKUP(E890,E$1:E889,1,FALSE()))),"OLD",IF(AND(E890&lt;&gt;"",E890&lt;&gt;"!!!"),"NEW","")))</f>
        <v> </v>
      </c>
      <c r="G890" s="23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4" t="str">
        <f>IF(J890&lt;&gt;1,"",IF(I890="SBJ","CB","?"))</f>
        <v> </v>
      </c>
      <c r="I890" s="25" t="str">
        <f>IF(OR(E890="",E890="!!!",F890="NEW"),"",INDEX(B889:B$2,-1+SUMPRODUCT(MAX(ROW(E889:E$2)*(E890=E889:E$2)))))</f>
        <v> </v>
      </c>
      <c r="J890" s="25" t="str">
        <f>IF(OR(E890="",E890="!!!",F890="NEW"),"",COUNTBLANK(OFFSET(A$1,,,SUMPRODUCT(MAX(ROW(E$2:E890)*(E890=E$2:E890)))))-COUNTBLANK(OFFSET(A$1,,,SUMPRODUCT(MAX(ROW(E$1:E889)*(E2=E$1:E889))))))</f>
        <v> </v>
      </c>
      <c r="K890" s="25" t="str">
        <f>IF(OR(E890="",E890="!!!",F890="NEW"),"",INDEX(J$1:J889,SUMPRODUCT(MAX(ROW(E$1:E889)*(E890=E$1:E889)))))</f>
        <v> </v>
      </c>
      <c r="L890" s="26"/>
    </row>
    <row r="891" spans="1:12">
      <c r="A891" s="20"/>
    </row>
    <row r="892" spans="1:12">
      <c r="A892" s="20" t="s">
        <v>566</v>
      </c>
    </row>
    <row r="893" spans="1:12">
      <c r="A893" s="20" t="s">
        <v>102</v>
      </c>
      <c r="E893" s="21">
        <f>IF(D893="?OLD","!!!","")</f>
        <v/>
      </c>
      <c r="F893" s="22" t="str">
        <f>IF(OR(E893="",E893="!!!"),"",IF(NOT(ISNA(VLOOKUP(E893,E$1:E892,1,FALSE()))),"OLD",IF(AND(E893&lt;&gt;"",E893&lt;&gt;"!!!"),"NEW","")))</f>
        <v> </v>
      </c>
      <c r="G893" s="23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4" t="str">
        <f>IF(J893&lt;&gt;1,"",IF(I893="SBJ","CB","?"))</f>
        <v> </v>
      </c>
      <c r="I893" s="25" t="str">
        <f>IF(OR(E893="",E893="!!!",F893="NEW"),"",INDEX(B892:B$2,-1+SUMPRODUCT(MAX(ROW(E892:E$2)*(E893=E892:E$2)))))</f>
        <v> </v>
      </c>
      <c r="J893" s="25" t="str">
        <f>IF(OR(E893="",E893="!!!",F893="NEW"),"",COUNTBLANK(OFFSET(A$1,,,SUMPRODUCT(MAX(ROW(E$2:E893)*(E893=E$2:E893)))))-COUNTBLANK(OFFSET(A$1,,,SUMPRODUCT(MAX(ROW(E$1:E892)*(E2=E$1:E892))))))</f>
        <v> </v>
      </c>
      <c r="K893" s="25" t="str">
        <f>IF(OR(E893="",E893="!!!",F893="NEW"),"",INDEX(J$1:J892,SUMPRODUCT(MAX(ROW(E$1:E892)*(E893=E$1:E892)))))</f>
        <v> </v>
      </c>
      <c r="L893" s="26"/>
    </row>
    <row r="894" spans="1:12">
      <c r="A894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2025-07-15T17:23:32Z</dcterms:created>
  <dcterms:modified xsi:type="dcterms:W3CDTF">2025-07-15T17:23:32Z</dcterms:modified>
</cp:coreProperties>
</file>