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<sst xmlns="http://schemas.openxmlformats.org/spreadsheetml/2006/main" count="2696" uniqueCount="681">
  <si>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</si>
  <si>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</si>
  <si>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</si>
  <si>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</si>
  <si>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</si>
  <si>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</si>
  <si>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</si>
  <si>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</si>
  <si>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</si>
  <si>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</si>
  <si>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</si>
  <si>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_</t>
  </si>
  <si>
    <t>Quando pensamos em mapas de cidades , pensamos habitualmente em estradas e ruas e edifícios e a narrativa explicativa que levou à sua criação , ou podemos pensar na visão ousada de um paisagista urbano , mas há outras formas de pensar em mapas de cidades e na forma como devem ser feitos .</t>
  </si>
  <si>
    <t>2</t>
  </si>
  <si>
    <t>(por exemplo)</t>
  </si>
  <si>
    <t>Hoje quero mostrar -vos um novo tipo de mapa .</t>
  </si>
  <si>
    <t>Expansion.Instantiation</t>
  </si>
  <si>
    <t>instance</t>
  </si>
  <si>
    <t>(orig: Expansion.Instantiation)</t>
  </si>
  <si>
    <t>3</t>
  </si>
  <si>
    <t>Isto não é um mapa geográfico .</t>
  </si>
  <si>
    <t>4</t>
  </si>
  <si>
    <t>(pelo contrário)</t>
  </si>
  <si>
    <t>Isto é um mapa de_ as relações entre as pessoas na minha cidade de Baltimore , Maryland .</t>
  </si>
  <si>
    <t>Comparison.Contrast</t>
  </si>
  <si>
    <t>Contrast</t>
  </si>
  <si>
    <t>(orig: Comparison.Contrast)</t>
  </si>
  <si>
    <t>5</t>
  </si>
  <si>
    <t>(especificamente)</t>
  </si>
  <si>
    <t>Como veem aqui , cada ponto representa uma pessoa , cada linha representa uma relação entre essas pessoas e cada cor representa uma comunidade dentro de_ a rede .</t>
  </si>
  <si>
    <t>Expansion.Level-of-detail.Arg2-as-detail</t>
  </si>
  <si>
    <t>specific</t>
  </si>
  <si>
    <t>(orig: Expansion.Level-of-detail.Arg2-as-detail)</t>
  </si>
  <si>
    <t>6</t>
  </si>
  <si>
    <t>Eu estou aqui de_ o lado verde , no extremo direito , onde estão os " geeks " , ( Risos )</t>
  </si>
  <si>
    <t>7</t>
  </si>
  <si>
    <t>(e)</t>
  </si>
  <si>
    <t>O TEDx também está em baixo , no extremo direito . ( Risos )</t>
  </si>
  <si>
    <t>Expansion.Conjunction</t>
  </si>
  <si>
    <t>Conjunction</t>
  </si>
  <si>
    <t>(orig: Expansion.Conjunction)</t>
  </si>
  <si>
    <t>8</t>
  </si>
  <si>
    <t>(por outro lado)</t>
  </si>
  <si>
    <t>Na extremidade oposta de_ a rede , há principalmente afro-americanos e latinos que se preocupam com coisas um pouco diferentes de_ o que os " geeks " .</t>
  </si>
  <si>
    <t>9</t>
  </si>
  <si>
    <t>Para que percebam melhor , chamamos</t>
  </si>
  <si>
    <t>10</t>
  </si>
  <si>
    <t>Smalltimore à parte verde de_ a rede , a_ os que ali moram , porque parece que vivemos em_ uma cidade muito pequena .</t>
  </si>
  <si>
    <t>11</t>
  </si>
  <si>
    <t>(porque)</t>
  </si>
  <si>
    <t>Estamos sempre a encontrar as mesmas pessoas , mas isso acontece porque não exploramos toda a profundidade e amplitude de_ a cidade .</t>
  </si>
  <si>
    <t>Contingency.Cause.Reason</t>
  </si>
  <si>
    <t>reason</t>
  </si>
  <si>
    <t>(orig: Contingency.Cause.Reason)</t>
  </si>
  <si>
    <t>12</t>
  </si>
  <si>
    <t>Na outra extremidade de_ a rede , temos pessoas que se interessam por música " hip-hop " e até se identificam dizendo que vivem na área DC / Maryland / Virginia , em vez de dizerem na cidade de Baltimore , a designação apropriada .</t>
  </si>
  <si>
    <t>13</t>
  </si>
  <si>
    <t>Mas , no meio , vemos que há uma coisa que liga as duas comunidades .</t>
  </si>
  <si>
    <t>Comparison.Concession.Arg2-as-denier</t>
  </si>
  <si>
    <t>contra-expectation</t>
  </si>
  <si>
    <t>(orig: Comparison.Concession.Arg2-as-denier)</t>
  </si>
  <si>
    <t>14</t>
  </si>
  <si>
    <t>É o desporto .</t>
  </si>
  <si>
    <t>15</t>
  </si>
  <si>
    <t>Temos os Baltimore Orioles , a equipa de futebol Baltimore Ravens , Michael Phelps , o atleta olímpico , a Under Armour , devem conhecer , uma empresa de Baltimore .</t>
  </si>
  <si>
    <t>16</t>
  </si>
  <si>
    <t>(em suma)</t>
  </si>
  <si>
    <t>O desporto atua como a única ponte entre estas duas pontas de_ a rede .</t>
  </si>
  <si>
    <t>Expansion.Level-of-detail.Arg1-as-detail</t>
  </si>
  <si>
    <t>broad</t>
  </si>
  <si>
    <t>(orig: Expansion.Level-of-detail.Arg1-as-detail)</t>
  </si>
  <si>
    <t>17</t>
  </si>
  <si>
    <t>Olhemos para São Francisco .</t>
  </si>
  <si>
    <t>18</t>
  </si>
  <si>
    <t>(de facto)</t>
  </si>
  <si>
    <t>Vemos uma coisa um pouco diferente a acontecer em São Francisco .</t>
  </si>
  <si>
    <t>19</t>
  </si>
  <si>
    <t>Por um lado , temos os " media " , a política e a imprensa , grupo que também existe em Baltimore e em_ outras cidades , mas também temos este grupo predominante de " geeks " e técnicos que parece ocuparem a metade superior de_ a rede .</t>
  </si>
  <si>
    <t>20</t>
  </si>
  <si>
    <t>Há mesmo um grupo tão distinto e nítido que podemos identificá# -lo como empregados de_ o Twitter , a_ o pé de_ os " geeks " , entre os jogadores e os " geeks " , na extremidade oposta de_ o espetro de_ o " hip-hop " . ( Risos )</t>
  </si>
  <si>
    <t>21</t>
  </si>
  <si>
    <t>Mas podemos ver que são reais as tensões de que ouvimos falar em São Francisco em termos de pessoas preocupadas com a elitização e com todas as empresas tecnológicas que estão a trazer nova riqueza e nova população à cidade .</t>
  </si>
  <si>
    <t>22</t>
  </si>
  <si>
    <t>Podemos ver isso aqui documentado .</t>
  </si>
  <si>
    <t>23</t>
  </si>
  <si>
    <t>(além disso)</t>
  </si>
  <si>
    <t>Vemos que a comunidade LGTB nem por isso se dá muito bem com a comunidade " geek " , com a comunidade de_ as artes , com a comunidade de_ a música .</t>
  </si>
  <si>
    <t>24</t>
  </si>
  <si>
    <t>(consequentemente)</t>
  </si>
  <si>
    <t>Isso leva a coisas deste género . [ Abaixo o Twitter ] Enviaram -me esta foto há umas semanas .</t>
  </si>
  <si>
    <t>Contingency.Cause.Result</t>
  </si>
  <si>
    <t>result</t>
  </si>
  <si>
    <t>(orig: Contingency.Cause.Result)</t>
  </si>
  <si>
    <t>25</t>
  </si>
  <si>
    <t>Mostra o que se passa no terreno , em São Francisco .</t>
  </si>
  <si>
    <t>26</t>
  </si>
  <si>
    <t>Acho que podemos tentar perceber isso , olhando para um mapa como este .</t>
  </si>
  <si>
    <t>27</t>
  </si>
  <si>
    <t>Vejamos o Rio de Janeiro .</t>
  </si>
  <si>
    <t>28</t>
  </si>
  <si>
    <t>Passei umas semanas a reunir dados sobre o Rio .</t>
  </si>
  <si>
    <t>29</t>
  </si>
  <si>
    <t>Uma de_ as coisas que ressaltou em_ esta cidade é que está tudo muito misturado .</t>
  </si>
  <si>
    <t>30</t>
  </si>
  <si>
    <t>É uma cidade muito heterogénea , muito diferente de Baltimore ou São Francisco .</t>
  </si>
  <si>
    <t>31</t>
  </si>
  <si>
    <t>Têm na mesma o grupo de pessoas envolvidas no governo , na imprensa , os políticos , os colunistas .</t>
  </si>
  <si>
    <t>32</t>
  </si>
  <si>
    <t>TEDxRio está em baixo à direita , a_ o pé de_ os bloguistas e escritores .</t>
  </si>
  <si>
    <t>33</t>
  </si>
  <si>
    <t>E também temos esta grande diversidade de pessoas interessadas em diferentes tipos de música .</t>
  </si>
  <si>
    <t>34</t>
  </si>
  <si>
    <t>Até há fãs de Justin Bieber aqui representados . Outras boy bands , cantores " country " , música " gospel , " funk " e " rap " e artistas de comédia " stand-up " .</t>
  </si>
  <si>
    <t>35</t>
  </si>
  <si>
    <t>Há mesmo toda uma secção em torno de drogas e anedotas .</t>
  </si>
  <si>
    <t>36</t>
  </si>
  <si>
    <t>Não é fixe ?</t>
  </si>
  <si>
    <t>37</t>
  </si>
  <si>
    <t>A equipa de futebol</t>
  </si>
  <si>
    <t>38</t>
  </si>
  <si>
    <t>Flamengo também está representada aqui .</t>
  </si>
  <si>
    <t>39</t>
  </si>
  <si>
    <t>Temos assim o mesmo tipo de difusão no desporto , na sociedade civil , na arte e na música , mas está representada de modo muito diferente .</t>
  </si>
  <si>
    <t>40</t>
  </si>
  <si>
    <t>Penso que isso deve corresponder à nossa ideia de que o Rio é uma cidade muito multicultural , musicalmente diversificada .</t>
  </si>
  <si>
    <t>41</t>
  </si>
  <si>
    <t>Temos pois todos estes dados .</t>
  </si>
  <si>
    <t>42</t>
  </si>
  <si>
    <t>É um conjunto de dados muito rico que temos agora sobre as cidades , talvez mais ricos de_ o que todos os que já tivemos até agora .</t>
  </si>
  <si>
    <t>43</t>
  </si>
  <si>
    <t>O que é que podemos fazer com isto ?</t>
  </si>
  <si>
    <t>44</t>
  </si>
  <si>
    <t>Penso que a primeira coisa que podemos tentar compreender é que a segregação é uma construção social .</t>
  </si>
  <si>
    <t>45</t>
  </si>
  <si>
    <t>(isto é)</t>
  </si>
  <si>
    <t>É uma coisa que escolhemos fazer , e podíamos escolher não a fazer .</t>
  </si>
  <si>
    <t>46</t>
  </si>
  <si>
    <t>Se pensarmos bem em_ isso , o que estamos a fazer com estes dados é apontar um telescópio para uma cidade e olhar para ela como uma gigantesca cantina escolar , ver como toda a gente se instala em_ uma planta de lugares .</t>
  </si>
  <si>
    <t>47</t>
  </si>
  <si>
    <t>(mas)</t>
  </si>
  <si>
    <t>Talvez seja altura de baralhar um pouco a planta de lugares .</t>
  </si>
  <si>
    <t>48</t>
  </si>
  <si>
    <t>A outra coisa que começamos a perceber é que as etnias são de facto uma fraca prova para a diversidade .</t>
  </si>
  <si>
    <t>49</t>
  </si>
  <si>
    <t>(já que)</t>
  </si>
  <si>
    <t>Temos pessoas representadas de todos os tipos diferentes de etnias por todo o mapa — olhar apenas para a etnia não contribui muito para o desenvolvimento de_ a diversidade .</t>
  </si>
  <si>
    <t>Contingency.Cause+Belief.Reason+Belief</t>
  </si>
  <si>
    <t>causal|reason</t>
  </si>
  <si>
    <t>(orig: Contingency.Cause+Belief.Reason+Belief)</t>
  </si>
  <si>
    <t>50</t>
  </si>
  <si>
    <t>(por conseguinte)</t>
  </si>
  <si>
    <t>Se tentarmos usar a diversidade como forma de resolver alguns de_ os problemas mais difíceis , precisamos de começar a pensar sobre a diversidade de forma diferente .</t>
  </si>
  <si>
    <t>51</t>
  </si>
  <si>
    <t>E , por fim , temos a possibilidade de criar intervenções para começar a reformular as nossas cidades de modo novo .</t>
  </si>
  <si>
    <t>52</t>
  </si>
  <si>
    <t>(portanto)</t>
  </si>
  <si>
    <t>Creio que , se temos essa capacidade , até podemos ter alguma responsabilidade em fazê# -lo .</t>
  </si>
  <si>
    <t>Contingency.Cause+Belief.Result+Belief</t>
  </si>
  <si>
    <t>causal|result</t>
  </si>
  <si>
    <t>(orig: Contingency.Cause+Belief.Result+Belief)</t>
  </si>
  <si>
    <t>53</t>
  </si>
  <si>
    <t>Então , o que é uma cidade ?</t>
  </si>
  <si>
    <t>54</t>
  </si>
  <si>
    <t>Hypophora</t>
  </si>
  <si>
    <t>Acho que alguns dirão que é uma área geográfica ou um conjunto de ruas e edifícios , mas penso que uma cidade é a soma de_ as relações de_ as pessoas que lá vivem .</t>
  </si>
  <si>
    <t>55</t>
  </si>
  <si>
    <t>Acho que , se começarmos a documentar essas relações de forma real talvez tenhamos uma hipótese para criar o tipo de cidades que gostaríamos de ter , Obrigado .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</si>
  <si>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</si>
  <si>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</si>
  <si>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</si>
  <si>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</si>
  <si>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</si>
  <si>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</si>
  <si>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</si>
  <si>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</si>
  <si>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</si>
  <si>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</si>
  <si>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</si>
  <si>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Quando pensamos em mapas de cidades , pensamos habitualmente em estradas e ruas e edifícios e a narrativa explicativa que levou à sua criação , ou podemos pensar na visão ousada de um paisagista urbano , mas há outras formas de pensar em mapas de cidades e na forma como devem ser feitos .</t>
  </si>
  <si>
    <t>Quando</t>
  </si>
  <si>
    <t>pensamos</t>
  </si>
  <si>
    <t>em</t>
  </si>
  <si>
    <t>mapas</t>
  </si>
  <si>
    <t>other_2</t>
  </si>
  <si>
    <t>def-np.poss</t>
  </si>
  <si>
    <t>?OLD</t>
  </si>
  <si>
    <t>de</t>
  </si>
  <si>
    <t>cidades</t>
  </si>
  <si>
    <t>other_3</t>
  </si>
  <si>
    <t>indef-np.bare</t>
  </si>
  <si>
    <t>,</t>
  </si>
  <si>
    <t>habitualmente</t>
  </si>
  <si>
    <t>estradas</t>
  </si>
  <si>
    <t>OBJ</t>
  </si>
  <si>
    <t>e</t>
  </si>
  <si>
    <t>ruas</t>
  </si>
  <si>
    <t>edifícios</t>
  </si>
  <si>
    <t>a</t>
  </si>
  <si>
    <t>narrativa</t>
  </si>
  <si>
    <t>def-np.the</t>
  </si>
  <si>
    <t>explicativa</t>
  </si>
  <si>
    <t>que</t>
  </si>
  <si>
    <t>SBJ_4</t>
  </si>
  <si>
    <t>levou</t>
  </si>
  <si>
    <t>sua</t>
  </si>
  <si>
    <t>other_5</t>
  </si>
  <si>
    <t>pron.ppos</t>
  </si>
  <si>
    <t>criação</t>
  </si>
  <si>
    <t>OBJ_4</t>
  </si>
  <si>
    <t>ou</t>
  </si>
  <si>
    <t>podemos</t>
  </si>
  <si>
    <t>pensar</t>
  </si>
  <si>
    <t>visão</t>
  </si>
  <si>
    <t>ousada</t>
  </si>
  <si>
    <t>um</t>
  </si>
  <si>
    <t>paisagista</t>
  </si>
  <si>
    <t>other_4</t>
  </si>
  <si>
    <t>indef-np.a</t>
  </si>
  <si>
    <t>urbano</t>
  </si>
  <si>
    <t>mas</t>
  </si>
  <si>
    <t>há</t>
  </si>
  <si>
    <t>outras</t>
  </si>
  <si>
    <t>formas</t>
  </si>
  <si>
    <t>OBJ_2</t>
  </si>
  <si>
    <t>indef-np</t>
  </si>
  <si>
    <t>forma</t>
  </si>
  <si>
    <t>other_6</t>
  </si>
  <si>
    <t>como</t>
  </si>
  <si>
    <t>devem</t>
  </si>
  <si>
    <t>ser</t>
  </si>
  <si>
    <t>feitos</t>
  </si>
  <si>
    <t>.</t>
  </si>
  <si>
    <t># text = Hoje quero mostrar -vos um novo tipo de mapa .</t>
  </si>
  <si>
    <t>Hoje</t>
  </si>
  <si>
    <t>quero</t>
  </si>
  <si>
    <t>mostrar</t>
  </si>
  <si>
    <t>-vos</t>
  </si>
  <si>
    <t>novo</t>
  </si>
  <si>
    <t>tipo</t>
  </si>
  <si>
    <t>mapa</t>
  </si>
  <si>
    <t># text = Isto não é um mapa geográfico .</t>
  </si>
  <si>
    <t>Isto</t>
  </si>
  <si>
    <t>SBJ</t>
  </si>
  <si>
    <t>pron.pds</t>
  </si>
  <si>
    <t>não</t>
  </si>
  <si>
    <t>é</t>
  </si>
  <si>
    <t>other</t>
  </si>
  <si>
    <t>geográfico</t>
  </si>
  <si>
    <t># text = Isto é um mapa de_ as relações entre as pessoas na minha cidade de Baltimore , Maryland .</t>
  </si>
  <si>
    <t>ne</t>
  </si>
  <si>
    <t>de_</t>
  </si>
  <si>
    <t>as</t>
  </si>
  <si>
    <t>relações</t>
  </si>
  <si>
    <t>entre</t>
  </si>
  <si>
    <t>pessoas</t>
  </si>
  <si>
    <t>minha</t>
  </si>
  <si>
    <t>cidade</t>
  </si>
  <si>
    <t>Baltimore</t>
  </si>
  <si>
    <t>Maryland</t>
  </si>
  <si>
    <t># text = Como veem aqui , cada ponto representa uma pessoa , cada linha representa uma relação entre essas pessoas e cada cor representa uma comunidade dentro de_ a rede .</t>
  </si>
  <si>
    <t>Como</t>
  </si>
  <si>
    <t>veem</t>
  </si>
  <si>
    <t>aqui</t>
  </si>
  <si>
    <t>cada</t>
  </si>
  <si>
    <t>ponto</t>
  </si>
  <si>
    <t>indef-np.quant</t>
  </si>
  <si>
    <t>representa</t>
  </si>
  <si>
    <t>uma</t>
  </si>
  <si>
    <t>pessoa</t>
  </si>
  <si>
    <t>linha</t>
  </si>
  <si>
    <t>SBJ_3</t>
  </si>
  <si>
    <t>relação</t>
  </si>
  <si>
    <t>OBJ_3</t>
  </si>
  <si>
    <t>essas</t>
  </si>
  <si>
    <t>def-np.dem</t>
  </si>
  <si>
    <t>cor</t>
  </si>
  <si>
    <t>comunidade</t>
  </si>
  <si>
    <t>dentro</t>
  </si>
  <si>
    <t>rede</t>
  </si>
  <si>
    <t>--</t>
  </si>
  <si>
    <t># text = Eu estou aqui de_ o lado verde , no extremo direito , onde estão os \" geeks \" , ( Risos )</t>
  </si>
  <si>
    <t>Eu</t>
  </si>
  <si>
    <t>pron.pper</t>
  </si>
  <si>
    <t>estou</t>
  </si>
  <si>
    <t>o</t>
  </si>
  <si>
    <t>lado</t>
  </si>
  <si>
    <t>verde</t>
  </si>
  <si>
    <t>extremo</t>
  </si>
  <si>
    <t>direito</t>
  </si>
  <si>
    <t>onde</t>
  </si>
  <si>
    <t>estão</t>
  </si>
  <si>
    <t>os</t>
  </si>
  <si>
    <t>&amp;quot;</t>
  </si>
  <si>
    <t>geeks</t>
  </si>
  <si>
    <t>(</t>
  </si>
  <si>
    <t>Risos</t>
  </si>
  <si>
    <t>)</t>
  </si>
  <si>
    <t># text = O TEDx também está em baixo , no extremo direito . ( Risos )</t>
  </si>
  <si>
    <t>TEDx</t>
  </si>
  <si>
    <t>também</t>
  </si>
  <si>
    <t>está</t>
  </si>
  <si>
    <t>baixo</t>
  </si>
  <si>
    <t># text = Na extremidade oposta de_ a rede , há principalmente afro-americanos e latinos que se preocupam com coisas um pouco diferentes de_ o que os " geeks " .</t>
  </si>
  <si>
    <t>Em</t>
  </si>
  <si>
    <t>extremidade</t>
  </si>
  <si>
    <t>oposta</t>
  </si>
  <si>
    <t>principalmente</t>
  </si>
  <si>
    <t>afro-americanos</t>
  </si>
  <si>
    <t>latinos</t>
  </si>
  <si>
    <t>se</t>
  </si>
  <si>
    <t>preocupam</t>
  </si>
  <si>
    <t>com</t>
  </si>
  <si>
    <t>coisas</t>
  </si>
  <si>
    <t>pouco</t>
  </si>
  <si>
    <t>diferentes</t>
  </si>
  <si>
    <t>OBJ_7</t>
  </si>
  <si>
    <t># text = Para que percebam melhor , chamamos</t>
  </si>
  <si>
    <t>Para</t>
  </si>
  <si>
    <t>percebam</t>
  </si>
  <si>
    <t>melhor</t>
  </si>
  <si>
    <t>chamamos</t>
  </si>
  <si>
    <t># text = Smalltimore à parte verde de_ a rede , a_ os que ali moram , porque parece que vivemos em_ uma cidade muito pequena .</t>
  </si>
  <si>
    <t>Smalltimore</t>
  </si>
  <si>
    <t>parte</t>
  </si>
  <si>
    <t>a_</t>
  </si>
  <si>
    <t>SBJ_6</t>
  </si>
  <si>
    <t>ali</t>
  </si>
  <si>
    <t>moram</t>
  </si>
  <si>
    <t>porque</t>
  </si>
  <si>
    <t>parece</t>
  </si>
  <si>
    <t>vivemos</t>
  </si>
  <si>
    <t>em_</t>
  </si>
  <si>
    <t>SBJ_2</t>
  </si>
  <si>
    <t>muito</t>
  </si>
  <si>
    <t>pequena</t>
  </si>
  <si>
    <t># text = Estamos sempre a encontrar as mesmas pessoas , mas isso acontece porque não exploramos toda a profundidade e amplitude de_ a cidade .</t>
  </si>
  <si>
    <t>Estamos</t>
  </si>
  <si>
    <t>sempre</t>
  </si>
  <si>
    <t>encontrar</t>
  </si>
  <si>
    <t>mesmas</t>
  </si>
  <si>
    <t>isso</t>
  </si>
  <si>
    <t>acontece</t>
  </si>
  <si>
    <t>exploramos</t>
  </si>
  <si>
    <t>toda</t>
  </si>
  <si>
    <t>profundidade</t>
  </si>
  <si>
    <t>amplitude</t>
  </si>
  <si>
    <t># text = Na outra extremidade de_ a rede , temos pessoas que se interessam por música " hip-hop " e até se identificam dizendo que vivem na área DC / Maryland / Virginia , em vez de dizerem na cidade de Baltimore , a designação apropriada .</t>
  </si>
  <si>
    <t>outra</t>
  </si>
  <si>
    <t>temos</t>
  </si>
  <si>
    <t>SBJ_5</t>
  </si>
  <si>
    <t>interessam</t>
  </si>
  <si>
    <t>por</t>
  </si>
  <si>
    <t>música</t>
  </si>
  <si>
    <t>hip-hop</t>
  </si>
  <si>
    <t>até</t>
  </si>
  <si>
    <t>identificam</t>
  </si>
  <si>
    <t>dizendo</t>
  </si>
  <si>
    <t>vivem</t>
  </si>
  <si>
    <t>área</t>
  </si>
  <si>
    <t>other_7</t>
  </si>
  <si>
    <t>DC</t>
  </si>
  <si>
    <t>other_8</t>
  </si>
  <si>
    <t>/</t>
  </si>
  <si>
    <t>other_9</t>
  </si>
  <si>
    <t>Virginia</t>
  </si>
  <si>
    <t>SBJ_10</t>
  </si>
  <si>
    <t>vez</t>
  </si>
  <si>
    <t>other_11</t>
  </si>
  <si>
    <t>dizerem</t>
  </si>
  <si>
    <t>other_10</t>
  </si>
  <si>
    <t>designação</t>
  </si>
  <si>
    <t>OBJ_10</t>
  </si>
  <si>
    <t>apropriada</t>
  </si>
  <si>
    <t># text = Mas , no meio , vemos que há uma coisa que liga as duas comunidades .</t>
  </si>
  <si>
    <t>Mas</t>
  </si>
  <si>
    <t>meio</t>
  </si>
  <si>
    <t>vemos</t>
  </si>
  <si>
    <t>coisa</t>
  </si>
  <si>
    <t>liga</t>
  </si>
  <si>
    <t>duas</t>
  </si>
  <si>
    <t>comunidades</t>
  </si>
  <si>
    <t>def-np.quant</t>
  </si>
  <si>
    <t># text = É o desporto .</t>
  </si>
  <si>
    <t>É</t>
  </si>
  <si>
    <t>desporto</t>
  </si>
  <si>
    <t># text = Temos os Baltimore Orioles , a equipa de futebol Baltimore Ravens , Michael Phelps , o atleta olímpico , a Under Armour , devem conhecer , uma empresa de Baltimore .</t>
  </si>
  <si>
    <t>Temos</t>
  </si>
  <si>
    <t>Orioles</t>
  </si>
  <si>
    <t>equipa</t>
  </si>
  <si>
    <t>futebol</t>
  </si>
  <si>
    <t>Ravens</t>
  </si>
  <si>
    <t>Michael</t>
  </si>
  <si>
    <t>Phelps</t>
  </si>
  <si>
    <t>atleta</t>
  </si>
  <si>
    <t>olímpico</t>
  </si>
  <si>
    <t>Under</t>
  </si>
  <si>
    <t>Armour</t>
  </si>
  <si>
    <t>conhecer</t>
  </si>
  <si>
    <t>empresa</t>
  </si>
  <si>
    <t># text = O desporto atua como a única ponte entre estas duas pontas de_ a rede .</t>
  </si>
  <si>
    <t>atua</t>
  </si>
  <si>
    <t>única</t>
  </si>
  <si>
    <t>ponte</t>
  </si>
  <si>
    <t>estas</t>
  </si>
  <si>
    <t>pontas</t>
  </si>
  <si>
    <t># text = Olhemos para São Francisco .</t>
  </si>
  <si>
    <t>Olhemos</t>
  </si>
  <si>
    <t>para</t>
  </si>
  <si>
    <t>São</t>
  </si>
  <si>
    <t>Francisco</t>
  </si>
  <si>
    <t># text = Vemos uma coisa um pouco diferente a acontecer em São Francisco .</t>
  </si>
  <si>
    <t>Vemos</t>
  </si>
  <si>
    <t>diferente</t>
  </si>
  <si>
    <t>acontecer</t>
  </si>
  <si>
    <t># text = Por um lado , temos os " media " , a política e a imprensa , grupo que também existe em Baltimore e em_ outras cidades , mas também temos este grupo predominante de " geeks " e técnicos que parece ocuparem a metade superior de_ a rede .</t>
  </si>
  <si>
    <t>Por</t>
  </si>
  <si>
    <t>media</t>
  </si>
  <si>
    <t>política</t>
  </si>
  <si>
    <t>imprensa</t>
  </si>
  <si>
    <t>grupo</t>
  </si>
  <si>
    <t>existe</t>
  </si>
  <si>
    <t>este</t>
  </si>
  <si>
    <t>OBJ_6</t>
  </si>
  <si>
    <t>predominante</t>
  </si>
  <si>
    <t>técnicos</t>
  </si>
  <si>
    <t>ocuparem</t>
  </si>
  <si>
    <t>metade</t>
  </si>
  <si>
    <t>SBJ_9</t>
  </si>
  <si>
    <t>superior</t>
  </si>
  <si>
    <t># text = Há mesmo um grupo tão distinto e nítido que podemos identificá -lo como empregados de_ o Twitter , a_ o pé de_ os " geeks " , entre os jogadores e os " geeks " , na extremidade oposta de_ o espetro de_ o " hip-hop " . ( Risos )</t>
  </si>
  <si>
    <t>Há</t>
  </si>
  <si>
    <t>mesmo</t>
  </si>
  <si>
    <t>tão</t>
  </si>
  <si>
    <t>distinto</t>
  </si>
  <si>
    <t>nítido</t>
  </si>
  <si>
    <t>identificá</t>
  </si>
  <si>
    <t>-lo</t>
  </si>
  <si>
    <t>empregados</t>
  </si>
  <si>
    <t>Twitter</t>
  </si>
  <si>
    <t>pé</t>
  </si>
  <si>
    <t>jogadores</t>
  </si>
  <si>
    <t>espetro</t>
  </si>
  <si>
    <t>other_12</t>
  </si>
  <si>
    <t>other_14</t>
  </si>
  <si>
    <t># text = Mas podemos ver que são reais as tensões de que ouvimos falar em São Francisco em termos de pessoas preocupadas com a elitização e com todas as empresas tecnológicas que estão a trazer nova riqueza e nova população à cidade .</t>
  </si>
  <si>
    <t>ver</t>
  </si>
  <si>
    <t>são</t>
  </si>
  <si>
    <t>reais</t>
  </si>
  <si>
    <t>tensões</t>
  </si>
  <si>
    <t>ouvimos</t>
  </si>
  <si>
    <t>falar</t>
  </si>
  <si>
    <t>termos</t>
  </si>
  <si>
    <t>preocupadas</t>
  </si>
  <si>
    <t>elitização</t>
  </si>
  <si>
    <t>todas</t>
  </si>
  <si>
    <t>empresas</t>
  </si>
  <si>
    <t>tecnológicas</t>
  </si>
  <si>
    <t>trazer</t>
  </si>
  <si>
    <t>nova</t>
  </si>
  <si>
    <t>riqueza</t>
  </si>
  <si>
    <t>OBJ_9</t>
  </si>
  <si>
    <t>população</t>
  </si>
  <si>
    <t># text = Podemos ver isso aqui documentado .</t>
  </si>
  <si>
    <t>Podemos</t>
  </si>
  <si>
    <t>documentado</t>
  </si>
  <si>
    <t># text = Vemos que a comunidade LGTB nem por isso se dá muito bem com a comunidade \" geek \" , com a comunidade de_ as artes , com a comunidade de_ a música .</t>
  </si>
  <si>
    <t>LGTB</t>
  </si>
  <si>
    <t>nem</t>
  </si>
  <si>
    <t>dá</t>
  </si>
  <si>
    <t>bem</t>
  </si>
  <si>
    <t>geek</t>
  </si>
  <si>
    <t>artes</t>
  </si>
  <si>
    <t># text = Isso leva a coisas deste género . [ Abaixo o Twitter ] Enviaram -me esta foto há umas semanas .</t>
  </si>
  <si>
    <t>Isso</t>
  </si>
  <si>
    <t>leva</t>
  </si>
  <si>
    <t>género</t>
  </si>
  <si>
    <t>[</t>
  </si>
  <si>
    <t>Abaixo</t>
  </si>
  <si>
    <t>]</t>
  </si>
  <si>
    <t>Enviaram</t>
  </si>
  <si>
    <t>-me</t>
  </si>
  <si>
    <t>esta</t>
  </si>
  <si>
    <t>foto</t>
  </si>
  <si>
    <t>umas</t>
  </si>
  <si>
    <t>semanas</t>
  </si>
  <si>
    <t># text = Mostra o que se passa no terreno , em São Francisco .</t>
  </si>
  <si>
    <t>Mostra</t>
  </si>
  <si>
    <t>passa</t>
  </si>
  <si>
    <t>terreno</t>
  </si>
  <si>
    <t># text = Acho que podemos tentar perceber isso , olhando para um mapa como este .</t>
  </si>
  <si>
    <t>Acho</t>
  </si>
  <si>
    <t>tentar</t>
  </si>
  <si>
    <t>perceber</t>
  </si>
  <si>
    <t>olhando</t>
  </si>
  <si>
    <t># text = Vejamos o Rio de Janeiro .</t>
  </si>
  <si>
    <t>Vejamos</t>
  </si>
  <si>
    <t>Rio</t>
  </si>
  <si>
    <t>Janeiro</t>
  </si>
  <si>
    <t># text = Passei umas semanas a reunir dados sobre o Rio .</t>
  </si>
  <si>
    <t>Passei</t>
  </si>
  <si>
    <t>reunir</t>
  </si>
  <si>
    <t>dados</t>
  </si>
  <si>
    <t>sobre</t>
  </si>
  <si>
    <t># text = Uma de_ as coisas que ressaltou em_ esta cidade é que está tudo muito misturado .</t>
  </si>
  <si>
    <t>Uma</t>
  </si>
  <si>
    <t>ressaltou</t>
  </si>
  <si>
    <t>tudo</t>
  </si>
  <si>
    <t>pron.pind</t>
  </si>
  <si>
    <t>misturado</t>
  </si>
  <si>
    <t># text = É uma cidade muito heterogénea , muito diferente de Baltimore ou São Francisco .</t>
  </si>
  <si>
    <t>heterogénea</t>
  </si>
  <si>
    <t># text = Têm na mesma o grupo de pessoas envolvidas no governo , na imprensa , os políticos , os colunistas .</t>
  </si>
  <si>
    <t>Têm</t>
  </si>
  <si>
    <t>mesma</t>
  </si>
  <si>
    <t>envolvidas</t>
  </si>
  <si>
    <t>governo</t>
  </si>
  <si>
    <t>políticos</t>
  </si>
  <si>
    <t>colunistas</t>
  </si>
  <si>
    <t># text = TEDxRio está em baixo à direita , a_ o pé de_ os bloguistas e escritores .</t>
  </si>
  <si>
    <t>TEDxRio</t>
  </si>
  <si>
    <t>direita</t>
  </si>
  <si>
    <t>bloguistas</t>
  </si>
  <si>
    <t>escritores</t>
  </si>
  <si>
    <t># text = E também temos esta grande diversidade de pessoas interessadas em diferentes tipos de música .</t>
  </si>
  <si>
    <t>E</t>
  </si>
  <si>
    <t>grande</t>
  </si>
  <si>
    <t>diversidade</t>
  </si>
  <si>
    <t>interessadas</t>
  </si>
  <si>
    <t>tipos</t>
  </si>
  <si>
    <t># text = Até há fãs de Justin Bieber aqui representados . Outras boy bands , cantores " country " , música " gospel , " funk " e " rap " e artistas de comédia " stand-up " .</t>
  </si>
  <si>
    <t>Até</t>
  </si>
  <si>
    <t>fãs</t>
  </si>
  <si>
    <t>Justin</t>
  </si>
  <si>
    <t>Bieber</t>
  </si>
  <si>
    <t>representados</t>
  </si>
  <si>
    <t>Outras</t>
  </si>
  <si>
    <t>boy</t>
  </si>
  <si>
    <t>bands</t>
  </si>
  <si>
    <t>OBJ_5</t>
  </si>
  <si>
    <t>cantores</t>
  </si>
  <si>
    <t>country</t>
  </si>
  <si>
    <t>gospel</t>
  </si>
  <si>
    <t>funk</t>
  </si>
  <si>
    <t>rap</t>
  </si>
  <si>
    <t>artistas</t>
  </si>
  <si>
    <t>comédia</t>
  </si>
  <si>
    <t>stand-up</t>
  </si>
  <si>
    <t>other_13</t>
  </si>
  <si>
    <t># text = Há mesmo toda uma secção em torno de drogas e anedotas .</t>
  </si>
  <si>
    <t>secção</t>
  </si>
  <si>
    <t>torno</t>
  </si>
  <si>
    <t>drogas</t>
  </si>
  <si>
    <t>anedotas</t>
  </si>
  <si>
    <t># text = Não é fixe ?</t>
  </si>
  <si>
    <t>Não</t>
  </si>
  <si>
    <t>fixe</t>
  </si>
  <si>
    <t>?</t>
  </si>
  <si>
    <t># text = A equipa de futebol</t>
  </si>
  <si>
    <t>A</t>
  </si>
  <si>
    <t># text = Flamengo também está representada aqui .</t>
  </si>
  <si>
    <t>Flamengo</t>
  </si>
  <si>
    <t>representada</t>
  </si>
  <si>
    <t># text = Temos assim o mesmo tipo de difusão no desporto , na sociedade civil , na arte e na música , mas está representada de modo muito diferente .</t>
  </si>
  <si>
    <t>assim</t>
  </si>
  <si>
    <t>difusão</t>
  </si>
  <si>
    <t>sociedade</t>
  </si>
  <si>
    <t>civil</t>
  </si>
  <si>
    <t>arte</t>
  </si>
  <si>
    <t>modo</t>
  </si>
  <si>
    <t># text = Penso que isso deve corresponder à nossa ideia de que o Rio é uma cidade muito multicultural , musicalmente diversificada .</t>
  </si>
  <si>
    <t>Penso</t>
  </si>
  <si>
    <t>deve</t>
  </si>
  <si>
    <t>corresponder</t>
  </si>
  <si>
    <t>nossa</t>
  </si>
  <si>
    <t>ideia</t>
  </si>
  <si>
    <t>multicultural</t>
  </si>
  <si>
    <t>musicalmente</t>
  </si>
  <si>
    <t>diversificada</t>
  </si>
  <si>
    <t># text = Temos pois todos estes dados .</t>
  </si>
  <si>
    <t>pois</t>
  </si>
  <si>
    <t>todos</t>
  </si>
  <si>
    <t>estes</t>
  </si>
  <si>
    <t># text = É um conjunto de dados muito rico que temos agora sobre as cidades , talvez mais ricos de_ o que todos os que já tivemos até agora .</t>
  </si>
  <si>
    <t>conjunto</t>
  </si>
  <si>
    <t>rico</t>
  </si>
  <si>
    <t>agora</t>
  </si>
  <si>
    <t>talvez</t>
  </si>
  <si>
    <t>mais</t>
  </si>
  <si>
    <t>ricos</t>
  </si>
  <si>
    <t>já</t>
  </si>
  <si>
    <t>tivemos</t>
  </si>
  <si>
    <t># text = O que é que podemos fazer com isto ?</t>
  </si>
  <si>
    <t>pron.pint</t>
  </si>
  <si>
    <t>fazer</t>
  </si>
  <si>
    <t>isto</t>
  </si>
  <si>
    <t># text = Penso que a primeira coisa que podemos tentar compreender é que a segregação é uma construção social .</t>
  </si>
  <si>
    <t>primeira</t>
  </si>
  <si>
    <t>compreender</t>
  </si>
  <si>
    <t>segregação</t>
  </si>
  <si>
    <t>construção</t>
  </si>
  <si>
    <t>social</t>
  </si>
  <si>
    <t># text = É uma coisa que escolhemos fazer , e podíamos escolher não a fazer .</t>
  </si>
  <si>
    <t>escolhemos</t>
  </si>
  <si>
    <t>podíamos</t>
  </si>
  <si>
    <t>escolher</t>
  </si>
  <si>
    <t># text = Se pensarmos bem em_ isso , o que estamos a fazer com estes dados é apontar um telescópio para uma cidade e olhar para ela como uma gigantesca cantina escolar , ver como toda a gente se instala em_ uma planta de lugares .</t>
  </si>
  <si>
    <t>Se</t>
  </si>
  <si>
    <t>pensarmos</t>
  </si>
  <si>
    <t>estamos</t>
  </si>
  <si>
    <t>apontar</t>
  </si>
  <si>
    <t>telescópio</t>
  </si>
  <si>
    <t>olhar</t>
  </si>
  <si>
    <t>ela</t>
  </si>
  <si>
    <t>gigantesca</t>
  </si>
  <si>
    <t>cantina</t>
  </si>
  <si>
    <t>escolar</t>
  </si>
  <si>
    <t>gente</t>
  </si>
  <si>
    <t>instala</t>
  </si>
  <si>
    <t>planta</t>
  </si>
  <si>
    <t>lugares</t>
  </si>
  <si>
    <t># text = Talvez seja altura de baralhar um pouco a planta de lugares .</t>
  </si>
  <si>
    <t>Talvez</t>
  </si>
  <si>
    <t>seja</t>
  </si>
  <si>
    <t>altura</t>
  </si>
  <si>
    <t>baralhar</t>
  </si>
  <si>
    <t># text = A outra coisa que começamos a perceber é que as etnias são de facto uma fraca prova para a diversidade .</t>
  </si>
  <si>
    <t>começamos</t>
  </si>
  <si>
    <t>etnias</t>
  </si>
  <si>
    <t>facto</t>
  </si>
  <si>
    <t>fraca</t>
  </si>
  <si>
    <t>prova</t>
  </si>
  <si>
    <t># text = Temos pessoas representadas de todos os tipos diferentes de etnias por todo o mapa — olhar apenas para a etnia não contribui muito para o desenvolvimento de_ a diversidade .</t>
  </si>
  <si>
    <t>representadas</t>
  </si>
  <si>
    <t>todo</t>
  </si>
  <si>
    <t>—</t>
  </si>
  <si>
    <t>apenas</t>
  </si>
  <si>
    <t>etnia</t>
  </si>
  <si>
    <t>contribui</t>
  </si>
  <si>
    <t>desenvolvimento</t>
  </si>
  <si>
    <t># text = Se tentarmos usar a diversidade como forma de resolver alguns de_ os problemas mais difíceis , precisamos de começar a pensar sobre a diversidade de forma diferente .</t>
  </si>
  <si>
    <t>tentarmos</t>
  </si>
  <si>
    <t>usar</t>
  </si>
  <si>
    <t>resolver</t>
  </si>
  <si>
    <t>alguns</t>
  </si>
  <si>
    <t>problemas</t>
  </si>
  <si>
    <t>difíceis</t>
  </si>
  <si>
    <t>precisamos</t>
  </si>
  <si>
    <t>começar</t>
  </si>
  <si>
    <t>OBJ_8</t>
  </si>
  <si>
    <t># text = E , por fim , temos a possibilidade de criar intervenções para começar a reformular as nossas cidades de modo novo .</t>
  </si>
  <si>
    <t>fim</t>
  </si>
  <si>
    <t>possibilidade</t>
  </si>
  <si>
    <t>criar</t>
  </si>
  <si>
    <t>intervenções</t>
  </si>
  <si>
    <t>reformular</t>
  </si>
  <si>
    <t>nossas</t>
  </si>
  <si>
    <t># text = Creio que , se temos essa capacidade , até podemos ter alguma responsabilidade em fazê# -lo .</t>
  </si>
  <si>
    <t>Creio</t>
  </si>
  <si>
    <t>essa</t>
  </si>
  <si>
    <t>capacidade</t>
  </si>
  <si>
    <t>ter</t>
  </si>
  <si>
    <t>alguma</t>
  </si>
  <si>
    <t>responsabilidade</t>
  </si>
  <si>
    <t>fazê</t>
  </si>
  <si>
    <t># text = Então , o que é uma cidade ?</t>
  </si>
  <si>
    <t>Então</t>
  </si>
  <si>
    <t># text = Acho que alguns dirão que é uma área geográfica ou um conjunto de ruas e edifícios , mas penso que uma cidade é a soma de_ as relações de_ as pessoas que lá vivem .</t>
  </si>
  <si>
    <t>dirão</t>
  </si>
  <si>
    <t>geográfica</t>
  </si>
  <si>
    <t>penso</t>
  </si>
  <si>
    <t>soma</t>
  </si>
  <si>
    <t>SBJ_7</t>
  </si>
  <si>
    <t>lá</t>
  </si>
  <si>
    <t># text = Acho que , se começarmos a documentar essas relações de forma real talvez tenhamos uma hipótese para criar o tipo de cidades que gostaríamos de ter , Obrigado .</t>
  </si>
  <si>
    <t>começarmos</t>
  </si>
  <si>
    <t>documentar</t>
  </si>
  <si>
    <t>real</t>
  </si>
  <si>
    <t>tenhamos</t>
  </si>
  <si>
    <t>hipótese</t>
  </si>
  <si>
    <t>gostaríamos</t>
  </si>
  <si>
    <t>Obrigado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</si>
</sst>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6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11</v>
      </c>
      <c r="D2" s="7" t="s">
        <v>11</v>
      </c>
      <c r="E2" s="8" t="s">
        <v>12</v>
      </c>
      <c r="F2" s="6" t="s">
        <v>11</v>
      </c>
      <c r="G2" s="9">
        <f>IF(A2=1,"_",IF(C2="_","???",C2))</f>
        <v/>
      </c>
      <c r="H2" s="10" t="s">
        <v>11</v>
      </c>
      <c r="I2" s="11" t="s">
        <v>11</v>
      </c>
      <c r="J2" s="12"/>
    </row>
    <row r="3" spans="1:10" ht="60" customHeight="1">
      <c r="A3" s="6" t="s">
        <v>13</v>
      </c>
      <c r="B3" s="6" t="s">
        <v>11</v>
      </c>
      <c r="C3" s="6" t="s">
        <v>14</v>
      </c>
      <c r="D3" s="7" t="s">
        <v>11</v>
      </c>
      <c r="E3" s="8" t="s">
        <v>15</v>
      </c>
      <c r="F3" s="6" t="s">
        <v>11</v>
      </c>
      <c r="G3" s="9">
        <f>IF(A3=1,"_",IF(C3="_","???",C3))</f>
        <v/>
      </c>
      <c r="H3" s="10" t="s">
        <v>10</v>
      </c>
      <c r="I3" s="11" t="s">
        <v>17</v>
      </c>
      <c r="J3" s="12" t="s">
        <v>18</v>
      </c>
    </row>
    <row r="4" spans="1:10" ht="60" customHeight="1">
      <c r="A4" s="6" t="s">
        <v>19</v>
      </c>
      <c r="B4" s="6" t="s">
        <v>11</v>
      </c>
      <c r="C4" s="6" t="s">
        <v>11</v>
      </c>
      <c r="D4" s="7" t="s">
        <v>11</v>
      </c>
      <c r="E4" s="8" t="s">
        <v>20</v>
      </c>
      <c r="F4" s="6" t="s">
        <v>11</v>
      </c>
      <c r="G4" s="9">
        <f>IF(A4=1,"_",IF(C4="_","???",C4))</f>
        <v/>
      </c>
      <c r="H4" s="10" t="s">
        <v>11</v>
      </c>
      <c r="I4" s="11" t="s">
        <v>11</v>
      </c>
      <c r="J4" s="12"/>
    </row>
    <row r="5" spans="1:10" ht="60" customHeight="1">
      <c r="A5" s="6" t="s">
        <v>21</v>
      </c>
      <c r="B5" s="6" t="s">
        <v>11</v>
      </c>
      <c r="C5" s="6" t="s">
        <v>22</v>
      </c>
      <c r="D5" s="7" t="s">
        <v>11</v>
      </c>
      <c r="E5" s="8" t="s">
        <v>23</v>
      </c>
      <c r="F5" s="6" t="s">
        <v>11</v>
      </c>
      <c r="G5" s="9">
        <f>IF(A5=1,"_",IF(C5="_","???",C5))</f>
        <v/>
      </c>
      <c r="H5" s="10" t="s">
        <v>19</v>
      </c>
      <c r="I5" s="11" t="s">
        <v>25</v>
      </c>
      <c r="J5" s="12" t="s">
        <v>26</v>
      </c>
    </row>
    <row r="6" spans="1:10" ht="60" customHeight="1">
      <c r="A6" s="6" t="s">
        <v>27</v>
      </c>
      <c r="B6" s="6" t="s">
        <v>11</v>
      </c>
      <c r="C6" s="6" t="s">
        <v>28</v>
      </c>
      <c r="D6" s="7" t="s">
        <v>11</v>
      </c>
      <c r="E6" s="8" t="s">
        <v>29</v>
      </c>
      <c r="F6" s="6" t="s">
        <v>11</v>
      </c>
      <c r="G6" s="9">
        <f>IF(A6=1,"_",IF(C6="_","???",C6))</f>
        <v/>
      </c>
      <c r="H6" s="10" t="s">
        <v>21</v>
      </c>
      <c r="I6" s="11" t="s">
        <v>31</v>
      </c>
      <c r="J6" s="12" t="s">
        <v>32</v>
      </c>
    </row>
    <row r="7" spans="1:10" ht="60" customHeight="1">
      <c r="A7" s="6" t="s">
        <v>33</v>
      </c>
      <c r="B7" s="6" t="s">
        <v>11</v>
      </c>
      <c r="C7" s="6" t="s">
        <v>14</v>
      </c>
      <c r="D7" s="7" t="s">
        <v>11</v>
      </c>
      <c r="E7" s="8" t="s">
        <v>34</v>
      </c>
      <c r="F7" s="6" t="s">
        <v>11</v>
      </c>
      <c r="G7" s="9">
        <f>IF(A7=1,"_",IF(C7="_","???",C7))</f>
        <v/>
      </c>
      <c r="H7" s="10" t="s">
        <v>27</v>
      </c>
      <c r="I7" s="11" t="s">
        <v>17</v>
      </c>
      <c r="J7" s="12" t="s">
        <v>18</v>
      </c>
    </row>
    <row r="8" spans="1:10" ht="60" customHeight="1">
      <c r="A8" s="6" t="s">
        <v>35</v>
      </c>
      <c r="B8" s="6" t="s">
        <v>11</v>
      </c>
      <c r="C8" s="6" t="s">
        <v>36</v>
      </c>
      <c r="D8" s="7" t="s">
        <v>11</v>
      </c>
      <c r="E8" s="8" t="s">
        <v>37</v>
      </c>
      <c r="F8" s="6" t="s">
        <v>11</v>
      </c>
      <c r="G8" s="9">
        <f>IF(A8=1,"_",IF(C8="_","???",C8))</f>
        <v/>
      </c>
      <c r="H8" s="10" t="s">
        <v>33</v>
      </c>
      <c r="I8" s="11" t="s">
        <v>39</v>
      </c>
      <c r="J8" s="12" t="s">
        <v>40</v>
      </c>
    </row>
    <row r="9" spans="1:10" ht="60" customHeight="1">
      <c r="A9" s="6" t="s">
        <v>41</v>
      </c>
      <c r="B9" s="6" t="s">
        <v>11</v>
      </c>
      <c r="C9" s="6" t="s">
        <v>42</v>
      </c>
      <c r="D9" s="7" t="s">
        <v>11</v>
      </c>
      <c r="E9" s="8" t="s">
        <v>43</v>
      </c>
      <c r="F9" s="6" t="s">
        <v>11</v>
      </c>
      <c r="G9" s="9">
        <f>IF(A9=1,"_",IF(C9="_","???",C9))</f>
        <v/>
      </c>
      <c r="H9" s="10" t="s">
        <v>35</v>
      </c>
      <c r="I9" s="11" t="s">
        <v>25</v>
      </c>
      <c r="J9" s="12" t="s">
        <v>26</v>
      </c>
    </row>
    <row r="10" spans="1:10" ht="60" customHeight="1">
      <c r="A10" s="6" t="s">
        <v>44</v>
      </c>
      <c r="B10" s="6" t="s">
        <v>11</v>
      </c>
      <c r="C10" s="6" t="s">
        <v>11</v>
      </c>
      <c r="D10" s="7" t="s">
        <v>11</v>
      </c>
      <c r="E10" s="8" t="s">
        <v>45</v>
      </c>
      <c r="F10" s="6" t="s">
        <v>11</v>
      </c>
      <c r="G10" s="9">
        <f>IF(A10=1,"_",IF(C10="_","???",C10))</f>
        <v/>
      </c>
      <c r="H10" s="10" t="s">
        <v>11</v>
      </c>
      <c r="I10" s="11" t="s">
        <v>11</v>
      </c>
      <c r="J10" s="12"/>
    </row>
    <row r="11" spans="1:10" ht="60" customHeight="1">
      <c r="A11" s="6" t="s">
        <v>46</v>
      </c>
      <c r="B11" s="6" t="s">
        <v>11</v>
      </c>
      <c r="C11" s="6" t="s">
        <v>11</v>
      </c>
      <c r="D11" s="7" t="s">
        <v>11</v>
      </c>
      <c r="E11" s="8" t="s">
        <v>47</v>
      </c>
      <c r="F11" s="6" t="s">
        <v>11</v>
      </c>
      <c r="G11" s="9">
        <f>IF(A11=1,"_",IF(C11="_","???",C11))</f>
        <v/>
      </c>
      <c r="H11" s="10" t="s">
        <v>41</v>
      </c>
      <c r="I11" s="11" t="s">
        <v>31</v>
      </c>
      <c r="J11" s="12" t="s">
        <v>32</v>
      </c>
    </row>
    <row r="12" spans="1:10" ht="60" customHeight="1">
      <c r="A12" s="6" t="s">
        <v>48</v>
      </c>
      <c r="B12" s="6" t="s">
        <v>11</v>
      </c>
      <c r="C12" s="6" t="s">
        <v>49</v>
      </c>
      <c r="D12" s="7" t="s">
        <v>11</v>
      </c>
      <c r="E12" s="8" t="s">
        <v>50</v>
      </c>
      <c r="F12" s="6" t="s">
        <v>11</v>
      </c>
      <c r="G12" s="9">
        <f>IF(A12=1,"_",IF(C12="_","???",C12))</f>
        <v/>
      </c>
      <c r="H12" s="10" t="s">
        <v>46</v>
      </c>
      <c r="I12" s="11" t="s">
        <v>52</v>
      </c>
      <c r="J12" s="12" t="s">
        <v>53</v>
      </c>
    </row>
    <row r="13" spans="1:10" ht="60" customHeight="1">
      <c r="A13" s="6" t="s">
        <v>54</v>
      </c>
      <c r="B13" s="6" t="s">
        <v>11</v>
      </c>
      <c r="C13" s="6" t="s">
        <v>42</v>
      </c>
      <c r="D13" s="7" t="s">
        <v>11</v>
      </c>
      <c r="E13" s="8" t="s">
        <v>55</v>
      </c>
      <c r="F13" s="6" t="s">
        <v>11</v>
      </c>
      <c r="G13" s="9">
        <f>IF(A13=1,"_",IF(C13="_","???",C13))</f>
        <v/>
      </c>
      <c r="H13" s="10" t="s">
        <v>48</v>
      </c>
      <c r="I13" s="11" t="s">
        <v>25</v>
      </c>
      <c r="J13" s="12" t="s">
        <v>26</v>
      </c>
    </row>
    <row r="14" spans="1:10" ht="60" customHeight="1">
      <c r="A14" s="6" t="s">
        <v>56</v>
      </c>
      <c r="B14" s="6" t="s">
        <v>11</v>
      </c>
      <c r="C14" s="6" t="s">
        <v>11</v>
      </c>
      <c r="D14" s="7" t="s">
        <v>11</v>
      </c>
      <c r="E14" s="8" t="s">
        <v>57</v>
      </c>
      <c r="F14" s="6" t="s">
        <v>11</v>
      </c>
      <c r="G14" s="9">
        <f>IF(A14=1,"_",IF(C14="_","???",C14))</f>
        <v/>
      </c>
      <c r="H14" s="10" t="s">
        <v>54</v>
      </c>
      <c r="I14" s="11" t="s">
        <v>59</v>
      </c>
      <c r="J14" s="12" t="s">
        <v>60</v>
      </c>
    </row>
    <row r="15" spans="1:10" ht="60" customHeight="1">
      <c r="A15" s="6" t="s">
        <v>61</v>
      </c>
      <c r="B15" s="6" t="s">
        <v>11</v>
      </c>
      <c r="C15" s="6" t="s">
        <v>11</v>
      </c>
      <c r="D15" s="7" t="s">
        <v>11</v>
      </c>
      <c r="E15" s="8" t="s">
        <v>62</v>
      </c>
      <c r="F15" s="6" t="s">
        <v>11</v>
      </c>
      <c r="G15" s="9">
        <f>IF(A15=1,"_",IF(C15="_","???",C15))</f>
        <v/>
      </c>
      <c r="H15" s="10" t="s">
        <v>11</v>
      </c>
      <c r="I15" s="11" t="s">
        <v>11</v>
      </c>
      <c r="J15" s="12"/>
    </row>
    <row r="16" spans="1:10" ht="60" customHeight="1">
      <c r="A16" s="6" t="s">
        <v>63</v>
      </c>
      <c r="B16" s="6" t="s">
        <v>11</v>
      </c>
      <c r="C16" s="6" t="s">
        <v>14</v>
      </c>
      <c r="D16" s="7" t="s">
        <v>11</v>
      </c>
      <c r="E16" s="8" t="s">
        <v>64</v>
      </c>
      <c r="F16" s="6" t="s">
        <v>11</v>
      </c>
      <c r="G16" s="9">
        <f>IF(A16=1,"_",IF(C16="_","???",C16))</f>
        <v/>
      </c>
      <c r="H16" s="10" t="s">
        <v>61</v>
      </c>
      <c r="I16" s="11" t="s">
        <v>17</v>
      </c>
      <c r="J16" s="12" t="s">
        <v>18</v>
      </c>
    </row>
    <row r="17" spans="1:10" ht="60" customHeight="1">
      <c r="A17" s="6" t="s">
        <v>65</v>
      </c>
      <c r="B17" s="6" t="s">
        <v>11</v>
      </c>
      <c r="C17" s="6" t="s">
        <v>66</v>
      </c>
      <c r="D17" s="7" t="s">
        <v>11</v>
      </c>
      <c r="E17" s="8" t="s">
        <v>67</v>
      </c>
      <c r="F17" s="6" t="s">
        <v>11</v>
      </c>
      <c r="G17" s="9">
        <f>IF(A17=1,"_",IF(C17="_","???",C17))</f>
        <v/>
      </c>
      <c r="H17" s="10" t="s">
        <v>63</v>
      </c>
      <c r="I17" s="11" t="s">
        <v>69</v>
      </c>
      <c r="J17" s="12" t="s">
        <v>70</v>
      </c>
    </row>
    <row r="18" spans="1:10" ht="60" customHeight="1">
      <c r="A18" s="6" t="s">
        <v>71</v>
      </c>
      <c r="B18" s="6" t="s">
        <v>11</v>
      </c>
      <c r="C18" s="6" t="s">
        <v>11</v>
      </c>
      <c r="D18" s="7" t="s">
        <v>11</v>
      </c>
      <c r="E18" s="8" t="s">
        <v>72</v>
      </c>
      <c r="F18" s="6" t="s">
        <v>11</v>
      </c>
      <c r="G18" s="9">
        <f>IF(A18=1,"_",IF(C18="_","???",C18))</f>
        <v/>
      </c>
      <c r="H18" s="10" t="s">
        <v>11</v>
      </c>
      <c r="I18" s="11" t="s">
        <v>11</v>
      </c>
      <c r="J18" s="12"/>
    </row>
    <row r="19" spans="1:10" ht="60" customHeight="1">
      <c r="A19" s="6" t="s">
        <v>73</v>
      </c>
      <c r="B19" s="6" t="s">
        <v>11</v>
      </c>
      <c r="C19" s="6" t="s">
        <v>74</v>
      </c>
      <c r="D19" s="7" t="s">
        <v>11</v>
      </c>
      <c r="E19" s="8" t="s">
        <v>75</v>
      </c>
      <c r="F19" s="6" t="s">
        <v>11</v>
      </c>
      <c r="G19" s="9">
        <f>IF(A19=1,"_",IF(C19="_","???",C19))</f>
        <v/>
      </c>
      <c r="H19" s="10" t="s">
        <v>71</v>
      </c>
      <c r="I19" s="11" t="s">
        <v>31</v>
      </c>
      <c r="J19" s="12" t="s">
        <v>32</v>
      </c>
    </row>
    <row r="20" spans="1:10" ht="60" customHeight="1">
      <c r="A20" s="6" t="s">
        <v>76</v>
      </c>
      <c r="B20" s="6" t="s">
        <v>11</v>
      </c>
      <c r="C20" s="6" t="s">
        <v>74</v>
      </c>
      <c r="D20" s="7" t="s">
        <v>11</v>
      </c>
      <c r="E20" s="8" t="s">
        <v>77</v>
      </c>
      <c r="F20" s="6" t="s">
        <v>11</v>
      </c>
      <c r="G20" s="9">
        <f>IF(A20=1,"_",IF(C20="_","???",C20))</f>
        <v/>
      </c>
      <c r="H20" s="10" t="s">
        <v>73</v>
      </c>
      <c r="I20" s="11" t="s">
        <v>31</v>
      </c>
      <c r="J20" s="12" t="s">
        <v>32</v>
      </c>
    </row>
    <row r="21" spans="1:10" ht="60" customHeight="1">
      <c r="A21" s="6" t="s">
        <v>78</v>
      </c>
      <c r="B21" s="6" t="s">
        <v>11</v>
      </c>
      <c r="C21" s="6" t="s">
        <v>36</v>
      </c>
      <c r="D21" s="7" t="s">
        <v>11</v>
      </c>
      <c r="E21" s="8" t="s">
        <v>79</v>
      </c>
      <c r="F21" s="6" t="s">
        <v>11</v>
      </c>
      <c r="G21" s="9">
        <f>IF(A21=1,"_",IF(C21="_","???",C21))</f>
        <v/>
      </c>
      <c r="H21" s="10" t="s">
        <v>76</v>
      </c>
      <c r="I21" s="11" t="s">
        <v>39</v>
      </c>
      <c r="J21" s="12" t="s">
        <v>40</v>
      </c>
    </row>
    <row r="22" spans="1:10" ht="60" customHeight="1">
      <c r="A22" s="6" t="s">
        <v>80</v>
      </c>
      <c r="B22" s="6" t="s">
        <v>11</v>
      </c>
      <c r="C22" s="6" t="s">
        <v>11</v>
      </c>
      <c r="D22" s="7" t="s">
        <v>11</v>
      </c>
      <c r="E22" s="8" t="s">
        <v>81</v>
      </c>
      <c r="F22" s="6" t="s">
        <v>11</v>
      </c>
      <c r="G22" s="9">
        <f>IF(A22=1,"_",IF(C22="_","???",C22))</f>
        <v/>
      </c>
      <c r="H22" s="10" t="s">
        <v>78</v>
      </c>
      <c r="I22" s="11" t="s">
        <v>25</v>
      </c>
      <c r="J22" s="12" t="s">
        <v>26</v>
      </c>
    </row>
    <row r="23" spans="1:10" ht="60" customHeight="1">
      <c r="A23" s="6" t="s">
        <v>82</v>
      </c>
      <c r="B23" s="6" t="s">
        <v>11</v>
      </c>
      <c r="C23" s="6" t="s">
        <v>74</v>
      </c>
      <c r="D23" s="7" t="s">
        <v>11</v>
      </c>
      <c r="E23" s="8" t="s">
        <v>83</v>
      </c>
      <c r="F23" s="6" t="s">
        <v>11</v>
      </c>
      <c r="G23" s="9">
        <f>IF(A23=1,"_",IF(C23="_","???",C23))</f>
        <v/>
      </c>
      <c r="H23" s="10" t="s">
        <v>80</v>
      </c>
      <c r="I23" s="11" t="s">
        <v>69</v>
      </c>
      <c r="J23" s="12" t="s">
        <v>70</v>
      </c>
    </row>
    <row r="24" spans="1:10" ht="60" customHeight="1">
      <c r="A24" s="6" t="s">
        <v>84</v>
      </c>
      <c r="B24" s="6" t="s">
        <v>11</v>
      </c>
      <c r="C24" s="6" t="s">
        <v>85</v>
      </c>
      <c r="D24" s="7" t="s">
        <v>11</v>
      </c>
      <c r="E24" s="8" t="s">
        <v>86</v>
      </c>
      <c r="F24" s="6" t="s">
        <v>11</v>
      </c>
      <c r="G24" s="9">
        <f>IF(A24=1,"_",IF(C24="_","???",C24))</f>
        <v/>
      </c>
      <c r="H24" s="10" t="s">
        <v>82</v>
      </c>
      <c r="I24" s="11" t="s">
        <v>39</v>
      </c>
      <c r="J24" s="12" t="s">
        <v>40</v>
      </c>
    </row>
    <row r="25" spans="1:10" ht="60" customHeight="1">
      <c r="A25" s="6" t="s">
        <v>87</v>
      </c>
      <c r="B25" s="6" t="s">
        <v>11</v>
      </c>
      <c r="C25" s="6" t="s">
        <v>88</v>
      </c>
      <c r="D25" s="7" t="s">
        <v>11</v>
      </c>
      <c r="E25" s="8" t="s">
        <v>89</v>
      </c>
      <c r="F25" s="6" t="s">
        <v>11</v>
      </c>
      <c r="G25" s="9">
        <f>IF(A25=1,"_",IF(C25="_","???",C25))</f>
        <v/>
      </c>
      <c r="H25" s="10" t="s">
        <v>84</v>
      </c>
      <c r="I25" s="11" t="s">
        <v>91</v>
      </c>
      <c r="J25" s="12" t="s">
        <v>92</v>
      </c>
    </row>
    <row r="26" spans="1:10" ht="60" customHeight="1">
      <c r="A26" s="6" t="s">
        <v>93</v>
      </c>
      <c r="B26" s="6" t="s">
        <v>11</v>
      </c>
      <c r="C26" s="6" t="s">
        <v>11</v>
      </c>
      <c r="D26" s="7" t="s">
        <v>11</v>
      </c>
      <c r="E26" s="8" t="s">
        <v>94</v>
      </c>
      <c r="F26" s="6" t="s">
        <v>11</v>
      </c>
      <c r="G26" s="9">
        <f>IF(A26=1,"_",IF(C26="_","???",C26))</f>
        <v/>
      </c>
      <c r="H26" s="10" t="s">
        <v>11</v>
      </c>
      <c r="I26" s="11" t="s">
        <v>11</v>
      </c>
      <c r="J26" s="12"/>
    </row>
    <row r="27" spans="1:10" ht="60" customHeight="1">
      <c r="A27" s="6" t="s">
        <v>95</v>
      </c>
      <c r="B27" s="6" t="s">
        <v>11</v>
      </c>
      <c r="C27" s="6" t="s">
        <v>36</v>
      </c>
      <c r="D27" s="7" t="s">
        <v>11</v>
      </c>
      <c r="E27" s="8" t="s">
        <v>96</v>
      </c>
      <c r="F27" s="6" t="s">
        <v>11</v>
      </c>
      <c r="G27" s="9">
        <f>IF(A27=1,"_",IF(C27="_","???",C27))</f>
        <v/>
      </c>
      <c r="H27" s="10" t="s">
        <v>93</v>
      </c>
      <c r="I27" s="11" t="s">
        <v>39</v>
      </c>
      <c r="J27" s="12" t="s">
        <v>40</v>
      </c>
    </row>
    <row r="28" spans="1:10" ht="60" customHeight="1">
      <c r="A28" s="6" t="s">
        <v>97</v>
      </c>
      <c r="B28" s="6" t="s">
        <v>11</v>
      </c>
      <c r="C28" s="6" t="s">
        <v>11</v>
      </c>
      <c r="D28" s="7" t="s">
        <v>11</v>
      </c>
      <c r="E28" s="8" t="s">
        <v>98</v>
      </c>
      <c r="F28" s="6" t="s">
        <v>11</v>
      </c>
      <c r="G28" s="9">
        <f>IF(A28=1,"_",IF(C28="_","???",C28))</f>
        <v/>
      </c>
      <c r="H28" s="10" t="s">
        <v>11</v>
      </c>
      <c r="I28" s="11" t="s">
        <v>11</v>
      </c>
      <c r="J28" s="12"/>
    </row>
    <row r="29" spans="1:10" ht="60" customHeight="1">
      <c r="A29" s="6" t="s">
        <v>99</v>
      </c>
      <c r="B29" s="6" t="s">
        <v>11</v>
      </c>
      <c r="C29" s="6" t="s">
        <v>74</v>
      </c>
      <c r="D29" s="7" t="s">
        <v>11</v>
      </c>
      <c r="E29" s="8" t="s">
        <v>100</v>
      </c>
      <c r="F29" s="6" t="s">
        <v>11</v>
      </c>
      <c r="G29" s="9">
        <f>IF(A29=1,"_",IF(C29="_","???",C29))</f>
        <v/>
      </c>
      <c r="H29" s="10" t="s">
        <v>97</v>
      </c>
      <c r="I29" s="11" t="s">
        <v>31</v>
      </c>
      <c r="J29" s="12" t="s">
        <v>32</v>
      </c>
    </row>
    <row r="30" spans="1:10" ht="60" customHeight="1">
      <c r="A30" s="6" t="s">
        <v>101</v>
      </c>
      <c r="B30" s="6" t="s">
        <v>11</v>
      </c>
      <c r="C30" s="6" t="s">
        <v>36</v>
      </c>
      <c r="D30" s="7" t="s">
        <v>11</v>
      </c>
      <c r="E30" s="8" t="s">
        <v>102</v>
      </c>
      <c r="F30" s="6" t="s">
        <v>11</v>
      </c>
      <c r="G30" s="9">
        <f>IF(A30=1,"_",IF(C30="_","???",C30))</f>
        <v/>
      </c>
      <c r="H30" s="10" t="s">
        <v>99</v>
      </c>
      <c r="I30" s="11" t="s">
        <v>39</v>
      </c>
      <c r="J30" s="12" t="s">
        <v>40</v>
      </c>
    </row>
    <row r="31" spans="1:10" ht="60" customHeight="1">
      <c r="A31" s="6" t="s">
        <v>103</v>
      </c>
      <c r="B31" s="6" t="s">
        <v>11</v>
      </c>
      <c r="C31" s="6" t="s">
        <v>74</v>
      </c>
      <c r="D31" s="7" t="s">
        <v>11</v>
      </c>
      <c r="E31" s="8" t="s">
        <v>104</v>
      </c>
      <c r="F31" s="6" t="s">
        <v>11</v>
      </c>
      <c r="G31" s="9">
        <f>IF(A31=1,"_",IF(C31="_","???",C31))</f>
        <v/>
      </c>
      <c r="H31" s="10" t="s">
        <v>101</v>
      </c>
      <c r="I31" s="11" t="s">
        <v>31</v>
      </c>
      <c r="J31" s="12" t="s">
        <v>32</v>
      </c>
    </row>
    <row r="32" spans="1:10" ht="60" customHeight="1">
      <c r="A32" s="6" t="s">
        <v>105</v>
      </c>
      <c r="B32" s="6" t="s">
        <v>11</v>
      </c>
      <c r="C32" s="6" t="s">
        <v>14</v>
      </c>
      <c r="D32" s="7" t="s">
        <v>11</v>
      </c>
      <c r="E32" s="8" t="s">
        <v>106</v>
      </c>
      <c r="F32" s="6" t="s">
        <v>11</v>
      </c>
      <c r="G32" s="9">
        <f>IF(A32=1,"_",IF(C32="_","???",C32))</f>
        <v/>
      </c>
      <c r="H32" s="10" t="s">
        <v>103</v>
      </c>
      <c r="I32" s="11" t="s">
        <v>17</v>
      </c>
      <c r="J32" s="12" t="s">
        <v>18</v>
      </c>
    </row>
    <row r="33" spans="1:10" ht="60" customHeight="1">
      <c r="A33" s="6" t="s">
        <v>107</v>
      </c>
      <c r="B33" s="6" t="s">
        <v>11</v>
      </c>
      <c r="C33" s="6" t="s">
        <v>85</v>
      </c>
      <c r="D33" s="7" t="s">
        <v>11</v>
      </c>
      <c r="E33" s="8" t="s">
        <v>108</v>
      </c>
      <c r="F33" s="6" t="s">
        <v>11</v>
      </c>
      <c r="G33" s="9">
        <f>IF(A33=1,"_",IF(C33="_","???",C33))</f>
        <v/>
      </c>
      <c r="H33" s="10" t="s">
        <v>105</v>
      </c>
      <c r="I33" s="11" t="s">
        <v>39</v>
      </c>
      <c r="J33" s="12" t="s">
        <v>40</v>
      </c>
    </row>
    <row r="34" spans="1:10" ht="60" customHeight="1">
      <c r="A34" s="6" t="s">
        <v>109</v>
      </c>
      <c r="B34" s="6" t="s">
        <v>11</v>
      </c>
      <c r="C34" s="6" t="s">
        <v>11</v>
      </c>
      <c r="D34" s="7" t="s">
        <v>11</v>
      </c>
      <c r="E34" s="8" t="s">
        <v>110</v>
      </c>
      <c r="F34" s="6" t="s">
        <v>11</v>
      </c>
      <c r="G34" s="9">
        <f>IF(A34=1,"_",IF(C34="_","???",C34))</f>
        <v/>
      </c>
      <c r="H34" s="10" t="s">
        <v>107</v>
      </c>
      <c r="I34" s="11" t="s">
        <v>39</v>
      </c>
      <c r="J34" s="12" t="s">
        <v>40</v>
      </c>
    </row>
    <row r="35" spans="1:10" ht="60" customHeight="1">
      <c r="A35" s="6" t="s">
        <v>111</v>
      </c>
      <c r="B35" s="6" t="s">
        <v>11</v>
      </c>
      <c r="C35" s="6" t="s">
        <v>36</v>
      </c>
      <c r="D35" s="7" t="s">
        <v>11</v>
      </c>
      <c r="E35" s="8" t="s">
        <v>112</v>
      </c>
      <c r="F35" s="6" t="s">
        <v>11</v>
      </c>
      <c r="G35" s="9">
        <f>IF(A35=1,"_",IF(C35="_","???",C35))</f>
        <v/>
      </c>
      <c r="H35" s="10" t="s">
        <v>109</v>
      </c>
      <c r="I35" s="11" t="s">
        <v>39</v>
      </c>
      <c r="J35" s="12" t="s">
        <v>40</v>
      </c>
    </row>
    <row r="36" spans="1:10" ht="60" customHeight="1">
      <c r="A36" s="6" t="s">
        <v>113</v>
      </c>
      <c r="B36" s="6" t="s">
        <v>11</v>
      </c>
      <c r="C36" s="6" t="s">
        <v>36</v>
      </c>
      <c r="D36" s="7" t="s">
        <v>11</v>
      </c>
      <c r="E36" s="8" t="s">
        <v>114</v>
      </c>
      <c r="F36" s="6" t="s">
        <v>11</v>
      </c>
      <c r="G36" s="9">
        <f>IF(A36=1,"_",IF(C36="_","???",C36))</f>
        <v/>
      </c>
      <c r="H36" s="10" t="s">
        <v>111</v>
      </c>
      <c r="I36" s="11" t="s">
        <v>39</v>
      </c>
      <c r="J36" s="12" t="s">
        <v>40</v>
      </c>
    </row>
    <row r="37" spans="1:10" ht="60" customHeight="1">
      <c r="A37" s="6" t="s">
        <v>115</v>
      </c>
      <c r="B37" s="6" t="s">
        <v>11</v>
      </c>
      <c r="C37" s="6" t="s">
        <v>11</v>
      </c>
      <c r="D37" s="7" t="s">
        <v>11</v>
      </c>
      <c r="E37" s="8" t="s">
        <v>116</v>
      </c>
      <c r="F37" s="6" t="s">
        <v>11</v>
      </c>
      <c r="G37" s="9">
        <f>IF(A37=1,"_",IF(C37="_","???",C37))</f>
        <v/>
      </c>
      <c r="H37" s="10" t="s">
        <v>11</v>
      </c>
      <c r="I37" s="11" t="s">
        <v>11</v>
      </c>
      <c r="J37" s="12"/>
    </row>
    <row r="38" spans="1:10" ht="60" customHeight="1">
      <c r="A38" s="6" t="s">
        <v>117</v>
      </c>
      <c r="B38" s="6" t="s">
        <v>11</v>
      </c>
      <c r="C38" s="6" t="s">
        <v>11</v>
      </c>
      <c r="D38" s="7" t="s">
        <v>11</v>
      </c>
      <c r="E38" s="8" t="s">
        <v>118</v>
      </c>
      <c r="F38" s="6" t="s">
        <v>11</v>
      </c>
      <c r="G38" s="9">
        <f>IF(A38=1,"_",IF(C38="_","???",C38))</f>
        <v/>
      </c>
      <c r="H38" s="10" t="s">
        <v>11</v>
      </c>
      <c r="I38" s="11" t="s">
        <v>11</v>
      </c>
      <c r="J38" s="12"/>
    </row>
    <row r="39" spans="1:10" ht="60" customHeight="1">
      <c r="A39" s="6" t="s">
        <v>119</v>
      </c>
      <c r="B39" s="6" t="s">
        <v>11</v>
      </c>
      <c r="C39" s="6" t="s">
        <v>85</v>
      </c>
      <c r="D39" s="7" t="s">
        <v>11</v>
      </c>
      <c r="E39" s="8" t="s">
        <v>120</v>
      </c>
      <c r="F39" s="6" t="s">
        <v>11</v>
      </c>
      <c r="G39" s="9">
        <f>IF(A39=1,"_",IF(C39="_","???",C39))</f>
        <v/>
      </c>
      <c r="H39" s="10" t="s">
        <v>113</v>
      </c>
      <c r="I39" s="11" t="s">
        <v>39</v>
      </c>
      <c r="J39" s="12" t="s">
        <v>40</v>
      </c>
    </row>
    <row r="40" spans="1:10" ht="60" customHeight="1">
      <c r="A40" s="6" t="s">
        <v>121</v>
      </c>
      <c r="B40" s="6" t="s">
        <v>11</v>
      </c>
      <c r="C40" s="6" t="s">
        <v>11</v>
      </c>
      <c r="D40" s="7" t="s">
        <v>11</v>
      </c>
      <c r="E40" s="8" t="s">
        <v>122</v>
      </c>
      <c r="F40" s="6" t="s">
        <v>11</v>
      </c>
      <c r="G40" s="9">
        <f>IF(A40=1,"_",IF(C40="_","???",C40))</f>
        <v/>
      </c>
      <c r="H40" s="10" t="s">
        <v>111</v>
      </c>
      <c r="I40" s="11" t="s">
        <v>91</v>
      </c>
      <c r="J40" s="12" t="s">
        <v>92</v>
      </c>
    </row>
    <row r="41" spans="1:10" ht="60" customHeight="1">
      <c r="A41" s="6" t="s">
        <v>123</v>
      </c>
      <c r="B41" s="6" t="s">
        <v>11</v>
      </c>
      <c r="C41" s="6" t="s">
        <v>36</v>
      </c>
      <c r="D41" s="7" t="s">
        <v>11</v>
      </c>
      <c r="E41" s="8" t="s">
        <v>124</v>
      </c>
      <c r="F41" s="6" t="s">
        <v>11</v>
      </c>
      <c r="G41" s="9">
        <f>IF(A41=1,"_",IF(C41="_","???",C41))</f>
        <v/>
      </c>
      <c r="H41" s="10" t="s">
        <v>121</v>
      </c>
      <c r="I41" s="11" t="s">
        <v>39</v>
      </c>
      <c r="J41" s="12" t="s">
        <v>40</v>
      </c>
    </row>
    <row r="42" spans="1:10" ht="60" customHeight="1">
      <c r="A42" s="6" t="s">
        <v>125</v>
      </c>
      <c r="B42" s="6" t="s">
        <v>11</v>
      </c>
      <c r="C42" s="6" t="s">
        <v>11</v>
      </c>
      <c r="D42" s="7" t="s">
        <v>11</v>
      </c>
      <c r="E42" s="8" t="s">
        <v>126</v>
      </c>
      <c r="F42" s="6" t="s">
        <v>11</v>
      </c>
      <c r="G42" s="9">
        <f>IF(A42=1,"_",IF(C42="_","???",C42))</f>
        <v/>
      </c>
      <c r="H42" s="10" t="s">
        <v>123</v>
      </c>
      <c r="I42" s="11" t="s">
        <v>91</v>
      </c>
      <c r="J42" s="12" t="s">
        <v>92</v>
      </c>
    </row>
    <row r="43" spans="1:10" ht="60" customHeight="1">
      <c r="A43" s="6" t="s">
        <v>127</v>
      </c>
      <c r="B43" s="6" t="s">
        <v>11</v>
      </c>
      <c r="C43" s="6" t="s">
        <v>11</v>
      </c>
      <c r="D43" s="7" t="s">
        <v>11</v>
      </c>
      <c r="E43" s="8" t="s">
        <v>128</v>
      </c>
      <c r="F43" s="6" t="s">
        <v>11</v>
      </c>
      <c r="G43" s="9">
        <f>IF(A43=1,"_",IF(C43="_","???",C43))</f>
        <v/>
      </c>
      <c r="H43" s="10" t="s">
        <v>11</v>
      </c>
      <c r="I43" s="11" t="s">
        <v>11</v>
      </c>
      <c r="J43" s="12"/>
    </row>
    <row r="44" spans="1:10" ht="60" customHeight="1">
      <c r="A44" s="6" t="s">
        <v>129</v>
      </c>
      <c r="B44" s="6" t="s">
        <v>11</v>
      </c>
      <c r="C44" s="6" t="s">
        <v>36</v>
      </c>
      <c r="D44" s="7" t="s">
        <v>11</v>
      </c>
      <c r="E44" s="8" t="s">
        <v>130</v>
      </c>
      <c r="F44" s="6" t="s">
        <v>11</v>
      </c>
      <c r="G44" s="9">
        <f>IF(A44=1,"_",IF(C44="_","???",C44))</f>
        <v/>
      </c>
      <c r="H44" s="10" t="s">
        <v>127</v>
      </c>
      <c r="I44" s="11" t="s">
        <v>39</v>
      </c>
      <c r="J44" s="12" t="s">
        <v>40</v>
      </c>
    </row>
    <row r="45" spans="1:10" ht="60" customHeight="1">
      <c r="A45" s="6" t="s">
        <v>131</v>
      </c>
      <c r="B45" s="6" t="s">
        <v>11</v>
      </c>
      <c r="C45" s="6" t="s">
        <v>11</v>
      </c>
      <c r="D45" s="7" t="s">
        <v>11</v>
      </c>
      <c r="E45" s="8" t="s">
        <v>132</v>
      </c>
      <c r="F45" s="6" t="s">
        <v>11</v>
      </c>
      <c r="G45" s="9">
        <f>IF(A45=1,"_",IF(C45="_","???",C45))</f>
        <v/>
      </c>
      <c r="H45" s="10" t="s">
        <v>11</v>
      </c>
      <c r="I45" s="11" t="s">
        <v>11</v>
      </c>
      <c r="J45" s="12"/>
    </row>
    <row r="46" spans="1:10" ht="60" customHeight="1">
      <c r="A46" s="6" t="s">
        <v>133</v>
      </c>
      <c r="B46" s="6" t="s">
        <v>11</v>
      </c>
      <c r="C46" s="6" t="s">
        <v>134</v>
      </c>
      <c r="D46" s="7" t="s">
        <v>11</v>
      </c>
      <c r="E46" s="8" t="s">
        <v>135</v>
      </c>
      <c r="F46" s="6" t="s">
        <v>11</v>
      </c>
      <c r="G46" s="9">
        <f>IF(A46=1,"_",IF(C46="_","???",C46))</f>
        <v/>
      </c>
      <c r="H46" s="10" t="s">
        <v>131</v>
      </c>
      <c r="I46" s="11" t="s">
        <v>31</v>
      </c>
      <c r="J46" s="12" t="s">
        <v>32</v>
      </c>
    </row>
    <row r="47" spans="1:10" ht="60" customHeight="1">
      <c r="A47" s="6" t="s">
        <v>136</v>
      </c>
      <c r="B47" s="6" t="s">
        <v>11</v>
      </c>
      <c r="C47" s="6" t="s">
        <v>134</v>
      </c>
      <c r="D47" s="7" t="s">
        <v>11</v>
      </c>
      <c r="E47" s="8" t="s">
        <v>137</v>
      </c>
      <c r="F47" s="6" t="s">
        <v>11</v>
      </c>
      <c r="G47" s="9">
        <f>IF(A47=1,"_",IF(C47="_","???",C47))</f>
        <v/>
      </c>
      <c r="H47" s="10" t="s">
        <v>133</v>
      </c>
      <c r="I47" s="11" t="s">
        <v>31</v>
      </c>
      <c r="J47" s="12" t="s">
        <v>32</v>
      </c>
    </row>
    <row r="48" spans="1:10" ht="60" customHeight="1">
      <c r="A48" s="6" t="s">
        <v>138</v>
      </c>
      <c r="B48" s="6" t="s">
        <v>11</v>
      </c>
      <c r="C48" s="6" t="s">
        <v>139</v>
      </c>
      <c r="D48" s="7" t="s">
        <v>11</v>
      </c>
      <c r="E48" s="8" t="s">
        <v>140</v>
      </c>
      <c r="F48" s="6" t="s">
        <v>11</v>
      </c>
      <c r="G48" s="9">
        <f>IF(A48=1,"_",IF(C48="_","???",C48))</f>
        <v/>
      </c>
      <c r="H48" s="10" t="s">
        <v>136</v>
      </c>
      <c r="I48" s="11" t="s">
        <v>25</v>
      </c>
      <c r="J48" s="12" t="s">
        <v>26</v>
      </c>
    </row>
    <row r="49" spans="1:10" ht="60" customHeight="1">
      <c r="A49" s="6" t="s">
        <v>141</v>
      </c>
      <c r="B49" s="6" t="s">
        <v>11</v>
      </c>
      <c r="C49" s="6" t="s">
        <v>11</v>
      </c>
      <c r="D49" s="7" t="s">
        <v>11</v>
      </c>
      <c r="E49" s="8" t="s">
        <v>142</v>
      </c>
      <c r="F49" s="6" t="s">
        <v>11</v>
      </c>
      <c r="G49" s="9">
        <f>IF(A49=1,"_",IF(C49="_","???",C49))</f>
        <v/>
      </c>
      <c r="H49" s="10" t="s">
        <v>11</v>
      </c>
      <c r="I49" s="11" t="s">
        <v>11</v>
      </c>
      <c r="J49" s="12"/>
    </row>
    <row r="50" spans="1:10" ht="60" customHeight="1">
      <c r="A50" s="6" t="s">
        <v>143</v>
      </c>
      <c r="B50" s="6" t="s">
        <v>11</v>
      </c>
      <c r="C50" s="6" t="s">
        <v>144</v>
      </c>
      <c r="D50" s="7" t="s">
        <v>11</v>
      </c>
      <c r="E50" s="8" t="s">
        <v>145</v>
      </c>
      <c r="F50" s="6" t="s">
        <v>11</v>
      </c>
      <c r="G50" s="9">
        <f>IF(A50=1,"_",IF(C50="_","???",C50))</f>
        <v/>
      </c>
      <c r="H50" s="10" t="s">
        <v>141</v>
      </c>
      <c r="I50" s="11" t="s">
        <v>147</v>
      </c>
      <c r="J50" s="12" t="s">
        <v>148</v>
      </c>
    </row>
    <row r="51" spans="1:10" ht="60" customHeight="1">
      <c r="A51" s="6" t="s">
        <v>149</v>
      </c>
      <c r="B51" s="6" t="s">
        <v>11</v>
      </c>
      <c r="C51" s="6" t="s">
        <v>150</v>
      </c>
      <c r="D51" s="7" t="s">
        <v>11</v>
      </c>
      <c r="E51" s="8" t="s">
        <v>151</v>
      </c>
      <c r="F51" s="6" t="s">
        <v>11</v>
      </c>
      <c r="G51" s="9">
        <f>IF(A51=1,"_",IF(C51="_","???",C51))</f>
        <v/>
      </c>
      <c r="H51" s="10" t="s">
        <v>143</v>
      </c>
      <c r="I51" s="11" t="s">
        <v>91</v>
      </c>
      <c r="J51" s="12" t="s">
        <v>92</v>
      </c>
    </row>
    <row r="52" spans="1:10" ht="60" customHeight="1">
      <c r="A52" s="6" t="s">
        <v>152</v>
      </c>
      <c r="B52" s="6" t="s">
        <v>11</v>
      </c>
      <c r="C52" s="6" t="s">
        <v>11</v>
      </c>
      <c r="D52" s="7" t="s">
        <v>11</v>
      </c>
      <c r="E52" s="8" t="s">
        <v>153</v>
      </c>
      <c r="F52" s="6" t="s">
        <v>11</v>
      </c>
      <c r="G52" s="9">
        <f>IF(A52=1,"_",IF(C52="_","???",C52))</f>
        <v/>
      </c>
      <c r="H52" s="10" t="s">
        <v>149</v>
      </c>
      <c r="I52" s="11" t="s">
        <v>39</v>
      </c>
      <c r="J52" s="12" t="s">
        <v>40</v>
      </c>
    </row>
    <row r="53" spans="1:10" ht="60" customHeight="1">
      <c r="A53" s="6" t="s">
        <v>154</v>
      </c>
      <c r="B53" s="6" t="s">
        <v>11</v>
      </c>
      <c r="C53" s="6" t="s">
        <v>155</v>
      </c>
      <c r="D53" s="7" t="s">
        <v>11</v>
      </c>
      <c r="E53" s="8" t="s">
        <v>156</v>
      </c>
      <c r="F53" s="6" t="s">
        <v>11</v>
      </c>
      <c r="G53" s="9">
        <f>IF(A53=1,"_",IF(C53="_","???",C53))</f>
        <v/>
      </c>
      <c r="H53" s="10" t="s">
        <v>152</v>
      </c>
      <c r="I53" s="11" t="s">
        <v>158</v>
      </c>
      <c r="J53" s="12" t="s">
        <v>159</v>
      </c>
    </row>
    <row r="54" spans="1:10" ht="60" customHeight="1">
      <c r="A54" s="6" t="s">
        <v>160</v>
      </c>
      <c r="B54" s="6" t="s">
        <v>11</v>
      </c>
      <c r="C54" s="6" t="s">
        <v>11</v>
      </c>
      <c r="D54" s="7" t="s">
        <v>11</v>
      </c>
      <c r="E54" s="8" t="s">
        <v>161</v>
      </c>
      <c r="F54" s="6" t="s">
        <v>11</v>
      </c>
      <c r="G54" s="9">
        <f>IF(A54=1,"_",IF(C54="_","???",C54))</f>
        <v/>
      </c>
      <c r="H54" s="10" t="s">
        <v>162</v>
      </c>
      <c r="I54" s="11" t="s">
        <v>163</v>
      </c>
      <c r="J54" s="12"/>
    </row>
    <row r="55" spans="1:10" ht="60" customHeight="1">
      <c r="A55" s="6" t="s">
        <v>162</v>
      </c>
      <c r="B55" s="6" t="s">
        <v>11</v>
      </c>
      <c r="C55" s="6" t="s">
        <v>11</v>
      </c>
      <c r="D55" s="7" t="s">
        <v>11</v>
      </c>
      <c r="E55" s="8" t="s">
        <v>164</v>
      </c>
      <c r="F55" s="6" t="s">
        <v>11</v>
      </c>
      <c r="G55" s="9">
        <f>IF(A55=1,"_",IF(C55="_","???",C55))</f>
        <v/>
      </c>
      <c r="H55" s="10" t="s">
        <v>11</v>
      </c>
      <c r="I55" s="11" t="s">
        <v>11</v>
      </c>
      <c r="J55" s="12"/>
    </row>
    <row r="56" spans="1:10" ht="60" customHeight="1">
      <c r="A56" s="6" t="s">
        <v>165</v>
      </c>
      <c r="B56" s="6" t="s">
        <v>11</v>
      </c>
      <c r="C56" s="6" t="s">
        <v>155</v>
      </c>
      <c r="D56" s="7" t="s">
        <v>11</v>
      </c>
      <c r="E56" s="8" t="s">
        <v>166</v>
      </c>
      <c r="F56" s="6" t="s">
        <v>11</v>
      </c>
      <c r="G56" s="9">
        <f>IF(A56=1,"_",IF(C56="_","???",C56))</f>
        <v/>
      </c>
      <c r="H56" s="10" t="s">
        <v>162</v>
      </c>
      <c r="I56" s="11" t="s">
        <v>158</v>
      </c>
      <c r="J56" s="12" t="s">
        <v>159</v>
      </c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26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167</v>
      </c>
      <c r="B1" s="13" t="s">
        <v>168</v>
      </c>
      <c r="C1" s="13" t="s">
        <v>169</v>
      </c>
      <c r="D1" s="13" t="s">
        <v>170</v>
      </c>
      <c r="E1" s="14" t="s">
        <v>171</v>
      </c>
      <c r="F1" s="15" t="s">
        <v>172</v>
      </c>
      <c r="G1" s="16" t="s">
        <v>173</v>
      </c>
      <c r="H1" s="17" t="s">
        <v>174</v>
      </c>
      <c r="I1" s="18" t="s">
        <v>175</v>
      </c>
      <c r="J1" s="18" t="s">
        <v>176</v>
      </c>
      <c r="K1" s="18" t="s">
        <v>177</v>
      </c>
      <c r="L1" s="19" t="s">
        <v>9</v>
      </c>
    </row>
    <row r="2" spans="1:12">
      <c r="A2" s="20" t="s">
        <v>178</v>
      </c>
    </row>
    <row r="3" spans="1:12">
      <c r="A3" s="20" t="s">
        <v>179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180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181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182</v>
      </c>
      <c r="B6" s="27" t="s">
        <v>183</v>
      </c>
      <c r="C6" s="27" t="s">
        <v>184</v>
      </c>
      <c r="D6" s="27" t="s">
        <v>185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186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187</v>
      </c>
      <c r="B8" s="27" t="s">
        <v>188</v>
      </c>
      <c r="C8" s="27" t="s">
        <v>189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190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180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191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181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192</v>
      </c>
      <c r="B13" s="27" t="s">
        <v>193</v>
      </c>
      <c r="C13" s="27" t="s">
        <v>189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194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195</v>
      </c>
      <c r="B15" s="27" t="s">
        <v>183</v>
      </c>
      <c r="C15" s="27" t="s">
        <v>189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194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196</v>
      </c>
      <c r="B17" s="27" t="s">
        <v>183</v>
      </c>
      <c r="C17" s="27" t="s">
        <v>189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194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197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198</v>
      </c>
      <c r="B20" s="27" t="s">
        <v>183</v>
      </c>
      <c r="C20" s="27" t="s">
        <v>199</v>
      </c>
      <c r="D20" s="27" t="s">
        <v>185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200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201</v>
      </c>
      <c r="B22" s="27" t="s">
        <v>202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203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197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197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204</v>
      </c>
      <c r="B26" s="27" t="s">
        <v>205</v>
      </c>
      <c r="C26" s="27" t="s">
        <v>206</v>
      </c>
      <c r="D26" s="27" t="s">
        <v>185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207</v>
      </c>
      <c r="B27" s="27" t="s">
        <v>208</v>
      </c>
      <c r="C27" s="27" t="s">
        <v>199</v>
      </c>
      <c r="D27" s="27" t="s">
        <v>185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190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209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210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211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181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197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212</v>
      </c>
      <c r="B34" s="27" t="s">
        <v>188</v>
      </c>
      <c r="C34" s="27" t="s">
        <v>184</v>
      </c>
      <c r="D34" s="27" t="s">
        <v>185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213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186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214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215</v>
      </c>
      <c r="B38" s="27" t="s">
        <v>216</v>
      </c>
      <c r="C38" s="27" t="s">
        <v>217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218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190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219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220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221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222</v>
      </c>
      <c r="B44" s="27" t="s">
        <v>223</v>
      </c>
      <c r="C44" s="27" t="s">
        <v>224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186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211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181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182</v>
      </c>
      <c r="B48" s="27" t="s">
        <v>208</v>
      </c>
      <c r="C48" s="27" t="s">
        <v>184</v>
      </c>
      <c r="D48" s="27" t="s">
        <v>185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186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187</v>
      </c>
      <c r="B50" s="27" t="s">
        <v>205</v>
      </c>
      <c r="C50" s="27" t="s">
        <v>189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194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181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197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225</v>
      </c>
      <c r="B54" s="27" t="s">
        <v>226</v>
      </c>
      <c r="C54" s="27" t="s">
        <v>199</v>
      </c>
      <c r="D54" s="27" t="s">
        <v>185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227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228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229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230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231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/>
    </row>
    <row r="61" spans="1:12">
      <c r="A61" s="20" t="s">
        <v>232</v>
      </c>
    </row>
    <row r="62" spans="1:12">
      <c r="A62" s="20" t="s">
        <v>233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234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235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236</v>
      </c>
      <c r="B65" s="27" t="s">
        <v>223</v>
      </c>
      <c r="C65" s="27" t="s">
        <v>189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214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237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238</v>
      </c>
      <c r="B68" s="27" t="s">
        <v>223</v>
      </c>
      <c r="C68" s="27" t="s">
        <v>184</v>
      </c>
      <c r="D68" s="27" t="s">
        <v>185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186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239</v>
      </c>
      <c r="B70" s="27" t="s">
        <v>188</v>
      </c>
      <c r="C70" s="27" t="s">
        <v>189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231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/>
    </row>
    <row r="73" spans="1:12">
      <c r="A73" s="20" t="s">
        <v>240</v>
      </c>
    </row>
    <row r="74" spans="1:12">
      <c r="A74" s="20" t="s">
        <v>241</v>
      </c>
      <c r="B74" s="27" t="s">
        <v>242</v>
      </c>
      <c r="C74" s="27" t="s">
        <v>243</v>
      </c>
      <c r="D74" s="27" t="s">
        <v>185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244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245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214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239</v>
      </c>
      <c r="B78" s="27" t="s">
        <v>246</v>
      </c>
      <c r="C78" s="27" t="s">
        <v>217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247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231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/>
    </row>
    <row r="82" spans="1:12">
      <c r="A82" s="20" t="s">
        <v>248</v>
      </c>
    </row>
    <row r="83" spans="1:12">
      <c r="A83" s="20" t="s">
        <v>241</v>
      </c>
      <c r="B83" s="27" t="s">
        <v>242</v>
      </c>
      <c r="C83" s="27" t="s">
        <v>243</v>
      </c>
      <c r="D83" s="27" t="s">
        <v>185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245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214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239</v>
      </c>
      <c r="B86" s="27" t="s">
        <v>246</v>
      </c>
      <c r="C86" s="27" t="s">
        <v>249</v>
      </c>
      <c r="D86" s="27" t="s">
        <v>185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250</v>
      </c>
      <c r="B87" s="27" t="s">
        <v>246</v>
      </c>
      <c r="C87" s="27" t="s">
        <v>249</v>
      </c>
      <c r="D87" s="27" t="s">
        <v>185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251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252</v>
      </c>
      <c r="B89" s="27" t="s">
        <v>246</v>
      </c>
      <c r="C89" s="27" t="s">
        <v>184</v>
      </c>
      <c r="D89" s="27" t="s">
        <v>185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253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251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254</v>
      </c>
      <c r="B92" s="27" t="s">
        <v>183</v>
      </c>
      <c r="C92" s="27" t="s">
        <v>199</v>
      </c>
      <c r="D92" s="27" t="s">
        <v>185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181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197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255</v>
      </c>
      <c r="B95" s="27" t="s">
        <v>188</v>
      </c>
      <c r="C95" s="27" t="s">
        <v>206</v>
      </c>
      <c r="D95" s="27" t="s">
        <v>185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256</v>
      </c>
      <c r="B96" s="27" t="s">
        <v>183</v>
      </c>
      <c r="C96" s="27" t="s">
        <v>184</v>
      </c>
      <c r="D96" s="27" t="s">
        <v>185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186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257</v>
      </c>
      <c r="B98" s="27" t="s">
        <v>188</v>
      </c>
      <c r="C98" s="27" t="s">
        <v>249</v>
      </c>
      <c r="D98" s="27" t="s">
        <v>185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190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258</v>
      </c>
      <c r="B100" s="27" t="s">
        <v>216</v>
      </c>
      <c r="C100" s="27" t="s">
        <v>249</v>
      </c>
      <c r="D100" s="27" t="s">
        <v>185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231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/>
    </row>
    <row r="103" spans="1:12">
      <c r="A103" s="20" t="s">
        <v>259</v>
      </c>
    </row>
    <row r="104" spans="1:12">
      <c r="A104" s="20" t="s">
        <v>260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261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262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190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263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264</v>
      </c>
      <c r="B109" s="27" t="s">
        <v>242</v>
      </c>
      <c r="C109" s="27" t="s">
        <v>265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266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267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268</v>
      </c>
      <c r="B112" s="27" t="s">
        <v>193</v>
      </c>
      <c r="C112" s="27" t="s">
        <v>217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190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263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269</v>
      </c>
      <c r="B115" s="27" t="s">
        <v>270</v>
      </c>
      <c r="C115" s="27" t="s">
        <v>265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266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267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271</v>
      </c>
      <c r="B118" s="27" t="s">
        <v>272</v>
      </c>
      <c r="C118" s="27" t="s">
        <v>184</v>
      </c>
      <c r="D118" s="27" t="s">
        <v>185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253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273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254</v>
      </c>
      <c r="B121" s="27" t="s">
        <v>216</v>
      </c>
      <c r="C121" s="27" t="s">
        <v>274</v>
      </c>
      <c r="D121" s="27" t="s">
        <v>185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194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263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275</v>
      </c>
      <c r="B124" s="27" t="s">
        <v>205</v>
      </c>
      <c r="C124" s="27" t="s">
        <v>265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266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267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276</v>
      </c>
      <c r="B127" s="27" t="s">
        <v>223</v>
      </c>
      <c r="C127" s="27" t="s">
        <v>217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277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250</v>
      </c>
      <c r="B129" s="27" t="s">
        <v>216</v>
      </c>
      <c r="C129" s="27" t="s">
        <v>249</v>
      </c>
      <c r="D129" s="27" t="s">
        <v>185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197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278</v>
      </c>
      <c r="B131" s="27" t="s">
        <v>216</v>
      </c>
      <c r="C131" s="27" t="s">
        <v>199</v>
      </c>
      <c r="D131" s="27" t="s">
        <v>185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231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/>
    </row>
    <row r="134" spans="1:12">
      <c r="A134" s="20" t="s">
        <v>279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280</v>
      </c>
    </row>
    <row r="136" spans="1:12">
      <c r="A136" s="20" t="s">
        <v>281</v>
      </c>
      <c r="B136" s="27" t="s">
        <v>242</v>
      </c>
      <c r="C136" s="27" t="s">
        <v>282</v>
      </c>
      <c r="D136" s="27" t="s">
        <v>185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283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262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250</v>
      </c>
      <c r="B139" s="27" t="s">
        <v>183</v>
      </c>
      <c r="C139" s="27" t="s">
        <v>249</v>
      </c>
      <c r="D139" s="27" t="s">
        <v>185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284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285</v>
      </c>
      <c r="B141" s="27" t="s">
        <v>246</v>
      </c>
      <c r="C141" s="27" t="s">
        <v>184</v>
      </c>
      <c r="D141" s="27" t="s">
        <v>185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286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190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181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284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287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288</v>
      </c>
      <c r="B147" s="27" t="s">
        <v>246</v>
      </c>
      <c r="C147" s="27" t="s">
        <v>184</v>
      </c>
      <c r="D147" s="27" t="s">
        <v>185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190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289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290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291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292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293</v>
      </c>
      <c r="B153" s="27" t="s">
        <v>183</v>
      </c>
      <c r="C153" s="27" t="s">
        <v>199</v>
      </c>
      <c r="D153" s="27" t="s">
        <v>185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292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190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294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295</v>
      </c>
      <c r="B157" s="27" t="s">
        <v>188</v>
      </c>
      <c r="C157" s="27" t="s">
        <v>189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296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/>
    </row>
    <row r="160" spans="1:12">
      <c r="A160" s="20" t="s">
        <v>297</v>
      </c>
    </row>
    <row r="161" spans="1:12">
      <c r="A161" s="20" t="s">
        <v>11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298</v>
      </c>
      <c r="B162" s="27" t="s">
        <v>242</v>
      </c>
      <c r="C162" s="27" t="s">
        <v>249</v>
      </c>
      <c r="D162" s="27" t="s">
        <v>185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299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300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181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301</v>
      </c>
      <c r="B166" s="27" t="s">
        <v>246</v>
      </c>
      <c r="C166" s="27" t="s">
        <v>184</v>
      </c>
      <c r="D166" s="27" t="s">
        <v>185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190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181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284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287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288</v>
      </c>
      <c r="B171" s="27" t="s">
        <v>246</v>
      </c>
      <c r="C171" s="27" t="s">
        <v>199</v>
      </c>
      <c r="D171" s="27" t="s">
        <v>185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231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294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295</v>
      </c>
      <c r="B174" s="27" t="s">
        <v>246</v>
      </c>
      <c r="C174" s="27" t="s">
        <v>189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296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/>
    </row>
    <row r="177" spans="1:12">
      <c r="A177" s="20" t="s">
        <v>279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302</v>
      </c>
    </row>
    <row r="179" spans="1:12">
      <c r="A179" s="20" t="s">
        <v>303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197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304</v>
      </c>
      <c r="B181" s="27" t="s">
        <v>246</v>
      </c>
      <c r="C181" s="27" t="s">
        <v>199</v>
      </c>
      <c r="D181" s="27" t="s">
        <v>185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305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250</v>
      </c>
      <c r="B183" s="27" t="s">
        <v>183</v>
      </c>
      <c r="C183" s="27" t="s">
        <v>249</v>
      </c>
      <c r="D183" s="27" t="s">
        <v>185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197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278</v>
      </c>
      <c r="B185" s="27" t="s">
        <v>246</v>
      </c>
      <c r="C185" s="27" t="s">
        <v>184</v>
      </c>
      <c r="D185" s="27" t="s">
        <v>185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190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220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306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307</v>
      </c>
      <c r="B189" s="27" t="s">
        <v>223</v>
      </c>
      <c r="C189" s="27" t="s">
        <v>189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194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308</v>
      </c>
      <c r="B191" s="27" t="s">
        <v>188</v>
      </c>
      <c r="C191" s="27" t="s">
        <v>189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201</v>
      </c>
      <c r="B192" s="27" t="s">
        <v>202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309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310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311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312</v>
      </c>
      <c r="B196" s="27" t="s">
        <v>208</v>
      </c>
      <c r="C196" s="27" t="s">
        <v>189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214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313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314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250</v>
      </c>
      <c r="B200" s="27" t="s">
        <v>216</v>
      </c>
      <c r="C200" s="27" t="s">
        <v>249</v>
      </c>
      <c r="D200" s="27" t="s">
        <v>185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284</v>
      </c>
      <c r="B201" s="27" t="s">
        <v>205</v>
      </c>
      <c r="C201" s="27" t="s">
        <v>243</v>
      </c>
      <c r="D201" s="27" t="s">
        <v>185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201</v>
      </c>
      <c r="B202" s="27" t="s">
        <v>315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291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292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293</v>
      </c>
      <c r="B205" s="27" t="s">
        <v>226</v>
      </c>
      <c r="C205" s="27" t="s">
        <v>199</v>
      </c>
      <c r="D205" s="27" t="s">
        <v>185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292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231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/>
    </row>
    <row r="209" spans="1:12">
      <c r="A209" s="20" t="s">
        <v>316</v>
      </c>
    </row>
    <row r="210" spans="1:12">
      <c r="A210" s="20" t="s">
        <v>317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201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318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319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190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320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/>
    </row>
    <row r="217" spans="1:12">
      <c r="A217" s="20" t="s">
        <v>321</v>
      </c>
    </row>
    <row r="218" spans="1:12">
      <c r="A218" s="20" t="s">
        <v>322</v>
      </c>
      <c r="B218" s="27" t="s">
        <v>242</v>
      </c>
      <c r="C218" s="27" t="s">
        <v>184</v>
      </c>
      <c r="D218" s="27" t="s">
        <v>185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197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197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323</v>
      </c>
      <c r="B221" s="27" t="s">
        <v>183</v>
      </c>
      <c r="C221" s="27" t="s">
        <v>184</v>
      </c>
      <c r="D221" s="27" t="s">
        <v>185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286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250</v>
      </c>
      <c r="B223" s="27" t="s">
        <v>188</v>
      </c>
      <c r="C223" s="27" t="s">
        <v>249</v>
      </c>
      <c r="D223" s="27" t="s">
        <v>185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197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278</v>
      </c>
      <c r="B225" s="27" t="s">
        <v>188</v>
      </c>
      <c r="C225" s="27" t="s">
        <v>199</v>
      </c>
      <c r="D225" s="27" t="s">
        <v>185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190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324</v>
      </c>
      <c r="B227" s="27" t="s">
        <v>216</v>
      </c>
      <c r="C227" s="27" t="s">
        <v>249</v>
      </c>
      <c r="D227" s="27" t="s">
        <v>185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291</v>
      </c>
      <c r="B228" s="27" t="s">
        <v>216</v>
      </c>
      <c r="C228" s="27" t="s">
        <v>243</v>
      </c>
      <c r="D228" s="27" t="s">
        <v>185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201</v>
      </c>
      <c r="B229" s="27" t="s">
        <v>325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326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327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190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328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329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201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330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331</v>
      </c>
      <c r="B237" s="27" t="s">
        <v>223</v>
      </c>
      <c r="C237" s="27" t="s">
        <v>249</v>
      </c>
      <c r="D237" s="27" t="s">
        <v>185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267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256</v>
      </c>
      <c r="B239" s="27" t="s">
        <v>332</v>
      </c>
      <c r="C239" s="27" t="s">
        <v>217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333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334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231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/>
    </row>
    <row r="244" spans="1:12">
      <c r="A244" s="20" t="s">
        <v>335</v>
      </c>
    </row>
    <row r="245" spans="1:12">
      <c r="A245" s="20" t="s">
        <v>336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337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197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338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251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339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254</v>
      </c>
      <c r="B251" s="27" t="s">
        <v>223</v>
      </c>
      <c r="C251" s="27" t="s">
        <v>199</v>
      </c>
      <c r="D251" s="27" t="s">
        <v>185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190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219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340</v>
      </c>
      <c r="B254" s="27" t="s">
        <v>332</v>
      </c>
      <c r="C254" s="27" t="s">
        <v>243</v>
      </c>
      <c r="D254" s="27" t="s">
        <v>185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341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328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244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342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343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197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344</v>
      </c>
      <c r="B261" s="27" t="s">
        <v>272</v>
      </c>
      <c r="C261" s="27" t="s">
        <v>265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194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345</v>
      </c>
      <c r="B263" s="27" t="s">
        <v>216</v>
      </c>
      <c r="C263" s="27" t="s">
        <v>189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250</v>
      </c>
      <c r="B264" s="27" t="s">
        <v>205</v>
      </c>
      <c r="C264" s="27" t="s">
        <v>249</v>
      </c>
      <c r="D264" s="27" t="s">
        <v>185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197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256</v>
      </c>
      <c r="B266" s="27" t="s">
        <v>272</v>
      </c>
      <c r="C266" s="27" t="s">
        <v>199</v>
      </c>
      <c r="D266" s="27" t="s">
        <v>185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231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/>
    </row>
    <row r="269" spans="1:12">
      <c r="A269" s="20" t="s">
        <v>279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346</v>
      </c>
    </row>
    <row r="271" spans="1:12">
      <c r="A271" s="20" t="s">
        <v>303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197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347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304</v>
      </c>
      <c r="B274" s="27" t="s">
        <v>246</v>
      </c>
      <c r="C274" s="27" t="s">
        <v>199</v>
      </c>
      <c r="D274" s="27" t="s">
        <v>185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250</v>
      </c>
      <c r="B275" s="27" t="s">
        <v>246</v>
      </c>
      <c r="C275" s="27" t="s">
        <v>249</v>
      </c>
      <c r="D275" s="27" t="s">
        <v>185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197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278</v>
      </c>
      <c r="B277" s="27" t="s">
        <v>246</v>
      </c>
      <c r="C277" s="27" t="s">
        <v>199</v>
      </c>
      <c r="D277" s="27" t="s">
        <v>185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190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348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254</v>
      </c>
      <c r="B280" s="27" t="s">
        <v>272</v>
      </c>
      <c r="C280" s="27" t="s">
        <v>189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201</v>
      </c>
      <c r="B281" s="27" t="s">
        <v>349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309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350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351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352</v>
      </c>
      <c r="B285" s="27" t="s">
        <v>205</v>
      </c>
      <c r="C285" s="27" t="s">
        <v>189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292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353</v>
      </c>
      <c r="B287" s="27" t="s">
        <v>226</v>
      </c>
      <c r="C287" s="27" t="s">
        <v>189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292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194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354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309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355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356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201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357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181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197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358</v>
      </c>
      <c r="B298" s="27" t="s">
        <v>359</v>
      </c>
      <c r="C298" s="27" t="s">
        <v>199</v>
      </c>
      <c r="D298" s="27" t="s">
        <v>185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360</v>
      </c>
      <c r="B299" s="27" t="s">
        <v>361</v>
      </c>
      <c r="C299" s="27" t="s">
        <v>249</v>
      </c>
      <c r="D299" s="27" t="s">
        <v>185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362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258</v>
      </c>
      <c r="B301" s="27" t="s">
        <v>363</v>
      </c>
      <c r="C301" s="27" t="s">
        <v>249</v>
      </c>
      <c r="D301" s="27" t="s">
        <v>185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362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364</v>
      </c>
      <c r="B303" s="27" t="s">
        <v>365</v>
      </c>
      <c r="C303" s="27" t="s">
        <v>249</v>
      </c>
      <c r="D303" s="27" t="s">
        <v>185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190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181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366</v>
      </c>
      <c r="B306" s="27" t="s">
        <v>367</v>
      </c>
      <c r="C306" s="27" t="s">
        <v>189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186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368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181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197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256</v>
      </c>
      <c r="B311" s="27" t="s">
        <v>369</v>
      </c>
      <c r="C311" s="27" t="s">
        <v>184</v>
      </c>
      <c r="D311" s="27" t="s">
        <v>185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186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257</v>
      </c>
      <c r="B313" s="27" t="s">
        <v>367</v>
      </c>
      <c r="C313" s="27" t="s">
        <v>249</v>
      </c>
      <c r="D313" s="27" t="s">
        <v>185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190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197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370</v>
      </c>
      <c r="B316" s="27" t="s">
        <v>371</v>
      </c>
      <c r="C316" s="27" t="s">
        <v>199</v>
      </c>
      <c r="D316" s="27" t="s">
        <v>185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372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231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/>
    </row>
    <row r="320" spans="1:12">
      <c r="A320" s="20" t="s">
        <v>373</v>
      </c>
    </row>
    <row r="321" spans="1:12">
      <c r="A321" s="20" t="s">
        <v>374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190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181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284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375</v>
      </c>
      <c r="B325" s="27" t="s">
        <v>246</v>
      </c>
      <c r="C325" s="27" t="s">
        <v>199</v>
      </c>
      <c r="D325" s="27" t="s">
        <v>185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190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376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201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220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267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377</v>
      </c>
      <c r="B331" s="27" t="s">
        <v>223</v>
      </c>
      <c r="C331" s="27" t="s">
        <v>217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201</v>
      </c>
      <c r="B332" s="27" t="s">
        <v>202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378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251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379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380</v>
      </c>
      <c r="B336" s="27" t="s">
        <v>208</v>
      </c>
      <c r="C336" s="27" t="s">
        <v>381</v>
      </c>
      <c r="D336" s="27" t="s">
        <v>185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231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/>
    </row>
    <row r="339" spans="1:12">
      <c r="A339" s="20" t="s">
        <v>382</v>
      </c>
    </row>
    <row r="340" spans="1:12">
      <c r="A340" s="20" t="s">
        <v>383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284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384</v>
      </c>
      <c r="B342" s="27" t="s">
        <v>246</v>
      </c>
      <c r="C342" s="27" t="s">
        <v>199</v>
      </c>
      <c r="D342" s="27" t="s">
        <v>185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231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/>
    </row>
    <row r="345" spans="1:12">
      <c r="A345" s="20" t="s">
        <v>385</v>
      </c>
    </row>
    <row r="346" spans="1:12">
      <c r="A346" s="20" t="s">
        <v>386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291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257</v>
      </c>
      <c r="B348" s="27" t="s">
        <v>193</v>
      </c>
      <c r="C348" s="27" t="s">
        <v>249</v>
      </c>
      <c r="D348" s="27" t="s">
        <v>185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387</v>
      </c>
      <c r="B349" s="27" t="s">
        <v>183</v>
      </c>
      <c r="C349" s="27" t="s">
        <v>249</v>
      </c>
      <c r="D349" s="27" t="s">
        <v>185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190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197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388</v>
      </c>
      <c r="B352" s="27" t="s">
        <v>183</v>
      </c>
      <c r="C352" s="27" t="s">
        <v>184</v>
      </c>
      <c r="D352" s="27" t="s">
        <v>185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186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389</v>
      </c>
      <c r="B354" s="27" t="s">
        <v>188</v>
      </c>
      <c r="C354" s="27" t="s">
        <v>189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257</v>
      </c>
      <c r="B355" s="27" t="s">
        <v>216</v>
      </c>
      <c r="C355" s="27" t="s">
        <v>249</v>
      </c>
      <c r="D355" s="27" t="s">
        <v>185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390</v>
      </c>
      <c r="B356" s="27" t="s">
        <v>205</v>
      </c>
      <c r="C356" s="27" t="s">
        <v>249</v>
      </c>
      <c r="D356" s="27" t="s">
        <v>185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190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391</v>
      </c>
      <c r="B358" s="27" t="s">
        <v>183</v>
      </c>
      <c r="C358" s="27" t="s">
        <v>249</v>
      </c>
      <c r="D358" s="27" t="s">
        <v>185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392</v>
      </c>
      <c r="B359" s="27" t="s">
        <v>188</v>
      </c>
      <c r="C359" s="27" t="s">
        <v>249</v>
      </c>
      <c r="D359" s="27" t="s">
        <v>185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190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284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393</v>
      </c>
      <c r="B362" s="27" t="s">
        <v>183</v>
      </c>
      <c r="C362" s="27" t="s">
        <v>199</v>
      </c>
      <c r="D362" s="27" t="s">
        <v>185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394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190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197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395</v>
      </c>
      <c r="B366" s="27" t="s">
        <v>183</v>
      </c>
      <c r="C366" s="27" t="s">
        <v>249</v>
      </c>
      <c r="D366" s="27" t="s">
        <v>185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396</v>
      </c>
      <c r="B367" s="27" t="s">
        <v>188</v>
      </c>
      <c r="C367" s="27" t="s">
        <v>249</v>
      </c>
      <c r="D367" s="27" t="s">
        <v>185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190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228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397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190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267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398</v>
      </c>
      <c r="B373" s="27" t="s">
        <v>272</v>
      </c>
      <c r="C373" s="27" t="s">
        <v>184</v>
      </c>
      <c r="D373" s="27" t="s">
        <v>185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186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257</v>
      </c>
      <c r="B375" s="27" t="s">
        <v>216</v>
      </c>
      <c r="C375" s="27" t="s">
        <v>249</v>
      </c>
      <c r="D375" s="27" t="s">
        <v>185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231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/>
    </row>
    <row r="378" spans="1:12">
      <c r="A378" s="20" t="s">
        <v>399</v>
      </c>
    </row>
    <row r="379" spans="1:12">
      <c r="A379" s="20" t="s">
        <v>11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384</v>
      </c>
      <c r="B380" s="27" t="s">
        <v>242</v>
      </c>
      <c r="C380" s="27" t="s">
        <v>199</v>
      </c>
      <c r="D380" s="27" t="s">
        <v>185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400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227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197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401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402</v>
      </c>
      <c r="B385" s="27" t="s">
        <v>246</v>
      </c>
      <c r="C385" s="27" t="s">
        <v>199</v>
      </c>
      <c r="D385" s="27" t="s">
        <v>185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253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403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379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404</v>
      </c>
      <c r="B389" s="27" t="s">
        <v>246</v>
      </c>
      <c r="C389" s="27" t="s">
        <v>274</v>
      </c>
      <c r="D389" s="27" t="s">
        <v>185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250</v>
      </c>
      <c r="B390" s="27" t="s">
        <v>183</v>
      </c>
      <c r="C390" s="27" t="s">
        <v>249</v>
      </c>
      <c r="D390" s="27" t="s">
        <v>185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197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278</v>
      </c>
      <c r="B392" s="27" t="s">
        <v>183</v>
      </c>
      <c r="C392" s="27" t="s">
        <v>199</v>
      </c>
      <c r="D392" s="27" t="s">
        <v>185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231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/>
    </row>
    <row r="395" spans="1:12">
      <c r="A395" s="20" t="s">
        <v>405</v>
      </c>
    </row>
    <row r="396" spans="1:12">
      <c r="A396" s="20" t="s">
        <v>406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407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408</v>
      </c>
      <c r="B398" s="27" t="s">
        <v>246</v>
      </c>
      <c r="C398" s="27" t="s">
        <v>249</v>
      </c>
      <c r="D398" s="27" t="s">
        <v>185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409</v>
      </c>
      <c r="B399" s="27" t="s">
        <v>183</v>
      </c>
      <c r="C399" s="27" t="s">
        <v>249</v>
      </c>
      <c r="D399" s="27" t="s">
        <v>185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231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/>
    </row>
    <row r="402" spans="1:12">
      <c r="A402" s="20" t="s">
        <v>410</v>
      </c>
    </row>
    <row r="403" spans="1:12">
      <c r="A403" s="20" t="s">
        <v>411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267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377</v>
      </c>
      <c r="B405" s="27" t="s">
        <v>193</v>
      </c>
      <c r="C405" s="27" t="s">
        <v>217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214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313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412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197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413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181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408</v>
      </c>
      <c r="B412" s="27" t="s">
        <v>183</v>
      </c>
      <c r="C412" s="27" t="s">
        <v>249</v>
      </c>
      <c r="D412" s="27" t="s">
        <v>185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409</v>
      </c>
      <c r="B413" s="27" t="s">
        <v>188</v>
      </c>
      <c r="C413" s="27" t="s">
        <v>249</v>
      </c>
      <c r="D413" s="27" t="s">
        <v>185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231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/>
    </row>
    <row r="416" spans="1:12">
      <c r="A416" s="20" t="s">
        <v>279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414</v>
      </c>
    </row>
    <row r="418" spans="1:12">
      <c r="A418" s="20" t="s">
        <v>415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214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285</v>
      </c>
      <c r="B420" s="27" t="s">
        <v>246</v>
      </c>
      <c r="C420" s="27" t="s">
        <v>224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190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348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291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292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416</v>
      </c>
      <c r="B425" s="27" t="s">
        <v>193</v>
      </c>
      <c r="C425" s="27" t="s">
        <v>199</v>
      </c>
      <c r="D425" s="27" t="s">
        <v>185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292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190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197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417</v>
      </c>
      <c r="B429" s="27" t="s">
        <v>183</v>
      </c>
      <c r="C429" s="27" t="s">
        <v>199</v>
      </c>
      <c r="D429" s="27" t="s">
        <v>185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194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197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418</v>
      </c>
      <c r="B432" s="27" t="s">
        <v>183</v>
      </c>
      <c r="C432" s="27" t="s">
        <v>199</v>
      </c>
      <c r="D432" s="27" t="s">
        <v>185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190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419</v>
      </c>
      <c r="B434" s="27" t="s">
        <v>183</v>
      </c>
      <c r="C434" s="27" t="s">
        <v>189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201</v>
      </c>
      <c r="B435" s="27" t="s">
        <v>202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299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420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181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257</v>
      </c>
      <c r="B439" s="27" t="s">
        <v>216</v>
      </c>
      <c r="C439" s="27" t="s">
        <v>249</v>
      </c>
      <c r="D439" s="27" t="s">
        <v>185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194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331</v>
      </c>
      <c r="B441" s="27" t="s">
        <v>205</v>
      </c>
      <c r="C441" s="27" t="s">
        <v>249</v>
      </c>
      <c r="D441" s="27" t="s">
        <v>185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221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187</v>
      </c>
      <c r="B443" s="27" t="s">
        <v>208</v>
      </c>
      <c r="C443" s="27" t="s">
        <v>224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190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219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299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348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421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419</v>
      </c>
      <c r="B449" s="27" t="s">
        <v>422</v>
      </c>
      <c r="C449" s="27" t="s">
        <v>274</v>
      </c>
      <c r="D449" s="27" t="s">
        <v>185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423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186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292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293</v>
      </c>
      <c r="B453" s="27" t="s">
        <v>359</v>
      </c>
      <c r="C453" s="27" t="s">
        <v>189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292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194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424</v>
      </c>
      <c r="B456" s="27" t="s">
        <v>365</v>
      </c>
      <c r="C456" s="27" t="s">
        <v>189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201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329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425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197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426</v>
      </c>
      <c r="B461" s="27" t="s">
        <v>427</v>
      </c>
      <c r="C461" s="27" t="s">
        <v>199</v>
      </c>
      <c r="D461" s="27" t="s">
        <v>185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428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250</v>
      </c>
      <c r="B463" s="27" t="s">
        <v>369</v>
      </c>
      <c r="C463" s="27" t="s">
        <v>249</v>
      </c>
      <c r="D463" s="27" t="s">
        <v>185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197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278</v>
      </c>
      <c r="B465" s="27" t="s">
        <v>369</v>
      </c>
      <c r="C465" s="27" t="s">
        <v>199</v>
      </c>
      <c r="D465" s="27" t="s">
        <v>185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231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/>
    </row>
    <row r="468" spans="1:12">
      <c r="A468" s="20" t="s">
        <v>279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429</v>
      </c>
    </row>
    <row r="470" spans="1:12">
      <c r="A470" s="20" t="s">
        <v>430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431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214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419</v>
      </c>
      <c r="B473" s="27" t="s">
        <v>193</v>
      </c>
      <c r="C473" s="27" t="s">
        <v>217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432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433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194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434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201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210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435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436</v>
      </c>
      <c r="B481" s="27" t="s">
        <v>272</v>
      </c>
      <c r="C481" s="27" t="s">
        <v>184</v>
      </c>
      <c r="D481" s="27" t="s">
        <v>185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227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437</v>
      </c>
      <c r="B483" s="27" t="s">
        <v>216</v>
      </c>
      <c r="C483" s="27" t="s">
        <v>189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250</v>
      </c>
      <c r="B484" s="27" t="s">
        <v>205</v>
      </c>
      <c r="C484" s="27" t="s">
        <v>249</v>
      </c>
      <c r="D484" s="27" t="s">
        <v>185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284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438</v>
      </c>
      <c r="B486" s="27" t="s">
        <v>349</v>
      </c>
      <c r="C486" s="27" t="s">
        <v>249</v>
      </c>
      <c r="D486" s="27" t="s">
        <v>185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190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324</v>
      </c>
      <c r="B488" s="27" t="s">
        <v>361</v>
      </c>
      <c r="C488" s="27" t="s">
        <v>249</v>
      </c>
      <c r="D488" s="27" t="s">
        <v>185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284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439</v>
      </c>
      <c r="B490" s="27" t="s">
        <v>226</v>
      </c>
      <c r="C490" s="27" t="s">
        <v>184</v>
      </c>
      <c r="D490" s="27" t="s">
        <v>185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250</v>
      </c>
      <c r="B491" s="27" t="s">
        <v>359</v>
      </c>
      <c r="C491" s="27" t="s">
        <v>249</v>
      </c>
      <c r="D491" s="27" t="s">
        <v>185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291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292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293</v>
      </c>
      <c r="B494" s="27" t="s">
        <v>359</v>
      </c>
      <c r="C494" s="27" t="s">
        <v>184</v>
      </c>
      <c r="D494" s="27" t="s">
        <v>185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292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190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253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291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440</v>
      </c>
      <c r="B499" s="27" t="s">
        <v>361</v>
      </c>
      <c r="C499" s="27" t="s">
        <v>199</v>
      </c>
      <c r="D499" s="27" t="s">
        <v>185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194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291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292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293</v>
      </c>
      <c r="B503" s="27" t="s">
        <v>363</v>
      </c>
      <c r="C503" s="27" t="s">
        <v>184</v>
      </c>
      <c r="D503" s="27" t="s">
        <v>185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292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190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181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197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304</v>
      </c>
      <c r="B508" s="27" t="s">
        <v>369</v>
      </c>
      <c r="C508" s="27" t="s">
        <v>199</v>
      </c>
      <c r="D508" s="27" t="s">
        <v>185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305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250</v>
      </c>
      <c r="B510" s="27" t="s">
        <v>367</v>
      </c>
      <c r="C510" s="27" t="s">
        <v>249</v>
      </c>
      <c r="D510" s="27" t="s">
        <v>185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284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441</v>
      </c>
      <c r="B512" s="27" t="s">
        <v>367</v>
      </c>
      <c r="C512" s="27" t="s">
        <v>249</v>
      </c>
      <c r="D512" s="27" t="s">
        <v>185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250</v>
      </c>
      <c r="B513" s="27" t="s">
        <v>442</v>
      </c>
      <c r="C513" s="27" t="s">
        <v>249</v>
      </c>
      <c r="D513" s="27" t="s">
        <v>185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284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292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353</v>
      </c>
      <c r="B516" s="27" t="s">
        <v>442</v>
      </c>
      <c r="C516" s="27" t="s">
        <v>199</v>
      </c>
      <c r="D516" s="27" t="s">
        <v>185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292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231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294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295</v>
      </c>
      <c r="B520" s="27" t="s">
        <v>443</v>
      </c>
      <c r="C520" s="27" t="s">
        <v>189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296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/>
    </row>
    <row r="523" spans="1:12">
      <c r="A523" s="20" t="s">
        <v>444</v>
      </c>
    </row>
    <row r="524" spans="1:12">
      <c r="A524" s="20" t="s">
        <v>374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210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445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201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446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447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251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448</v>
      </c>
      <c r="B531" s="27" t="s">
        <v>270</v>
      </c>
      <c r="C531" s="27" t="s">
        <v>199</v>
      </c>
      <c r="D531" s="27" t="s">
        <v>185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186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201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449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450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181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408</v>
      </c>
      <c r="B537" s="27" t="s">
        <v>226</v>
      </c>
      <c r="C537" s="27" t="s">
        <v>249</v>
      </c>
      <c r="D537" s="27" t="s">
        <v>185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409</v>
      </c>
      <c r="B538" s="27" t="s">
        <v>359</v>
      </c>
      <c r="C538" s="27" t="s">
        <v>249</v>
      </c>
      <c r="D538" s="27" t="s">
        <v>185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181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451</v>
      </c>
      <c r="B540" s="27" t="s">
        <v>422</v>
      </c>
      <c r="C540" s="27" t="s">
        <v>184</v>
      </c>
      <c r="D540" s="27" t="s">
        <v>185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186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254</v>
      </c>
      <c r="B542" s="27" t="s">
        <v>359</v>
      </c>
      <c r="C542" s="27" t="s">
        <v>184</v>
      </c>
      <c r="D542" s="27" t="s">
        <v>185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452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311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197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453</v>
      </c>
      <c r="B546" s="27" t="s">
        <v>361</v>
      </c>
      <c r="C546" s="27" t="s">
        <v>199</v>
      </c>
      <c r="D546" s="27" t="s">
        <v>185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194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311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454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251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455</v>
      </c>
      <c r="B551" s="27" t="s">
        <v>363</v>
      </c>
      <c r="C551" s="27" t="s">
        <v>265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456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201</v>
      </c>
      <c r="B553" s="27" t="s">
        <v>427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290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197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457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458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459</v>
      </c>
      <c r="B558" s="27" t="s">
        <v>460</v>
      </c>
      <c r="C558" s="27" t="s">
        <v>189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194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458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461</v>
      </c>
      <c r="B561" s="27" t="s">
        <v>369</v>
      </c>
      <c r="C561" s="27" t="s">
        <v>184</v>
      </c>
      <c r="D561" s="27" t="s">
        <v>185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197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197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256</v>
      </c>
      <c r="B564" s="27" t="s">
        <v>367</v>
      </c>
      <c r="C564" s="27" t="s">
        <v>199</v>
      </c>
      <c r="D564" s="27" t="s">
        <v>185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231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/>
    </row>
    <row r="567" spans="1:12">
      <c r="A567" s="20" t="s">
        <v>462</v>
      </c>
    </row>
    <row r="568" spans="1:12">
      <c r="A568" s="20" t="s">
        <v>463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445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340</v>
      </c>
      <c r="B570" s="27" t="s">
        <v>223</v>
      </c>
      <c r="C570" s="27" t="s">
        <v>243</v>
      </c>
      <c r="D570" s="27" t="s">
        <v>185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262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464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231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/>
    </row>
    <row r="575" spans="1:12">
      <c r="A575" s="20" t="s">
        <v>279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465</v>
      </c>
    </row>
    <row r="577" spans="1:12">
      <c r="A577" s="20" t="s">
        <v>411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201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197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276</v>
      </c>
      <c r="B580" s="27" t="s">
        <v>332</v>
      </c>
      <c r="C580" s="27" t="s">
        <v>199</v>
      </c>
      <c r="D580" s="27" t="s">
        <v>185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466</v>
      </c>
      <c r="B581" s="27" t="s">
        <v>188</v>
      </c>
      <c r="C581" s="27" t="s">
        <v>249</v>
      </c>
      <c r="D581" s="27" t="s">
        <v>185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467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351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340</v>
      </c>
      <c r="B584" s="27" t="s">
        <v>183</v>
      </c>
      <c r="C584" s="27" t="s">
        <v>243</v>
      </c>
      <c r="D584" s="27" t="s">
        <v>185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309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468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333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469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311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197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276</v>
      </c>
      <c r="B591" s="27" t="s">
        <v>223</v>
      </c>
      <c r="C591" s="27" t="s">
        <v>184</v>
      </c>
      <c r="D591" s="27" t="s">
        <v>185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292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470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292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190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311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197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276</v>
      </c>
      <c r="B598" s="27" t="s">
        <v>188</v>
      </c>
      <c r="C598" s="27" t="s">
        <v>199</v>
      </c>
      <c r="D598" s="27" t="s">
        <v>185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250</v>
      </c>
      <c r="B599" s="27" t="s">
        <v>216</v>
      </c>
      <c r="C599" s="27" t="s">
        <v>249</v>
      </c>
      <c r="D599" s="27" t="s">
        <v>185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251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471</v>
      </c>
      <c r="B601" s="27" t="s">
        <v>216</v>
      </c>
      <c r="C601" s="27" t="s">
        <v>184</v>
      </c>
      <c r="D601" s="27" t="s">
        <v>185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190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311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197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276</v>
      </c>
      <c r="B605" s="27" t="s">
        <v>205</v>
      </c>
      <c r="C605" s="27" t="s">
        <v>184</v>
      </c>
      <c r="D605" s="27" t="s">
        <v>185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250</v>
      </c>
      <c r="B606" s="27" t="s">
        <v>226</v>
      </c>
      <c r="C606" s="27" t="s">
        <v>249</v>
      </c>
      <c r="D606" s="27" t="s">
        <v>185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197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352</v>
      </c>
      <c r="B608" s="27" t="s">
        <v>226</v>
      </c>
      <c r="C608" s="27" t="s">
        <v>199</v>
      </c>
      <c r="D608" s="27" t="s">
        <v>185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231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/>
    </row>
    <row r="611" spans="1:12">
      <c r="A611" s="20" t="s">
        <v>472</v>
      </c>
    </row>
    <row r="612" spans="1:12">
      <c r="A612" s="20" t="s">
        <v>473</v>
      </c>
      <c r="B612" s="27" t="s">
        <v>242</v>
      </c>
      <c r="C612" s="27" t="s">
        <v>243</v>
      </c>
      <c r="D612" s="27" t="s">
        <v>185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474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197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312</v>
      </c>
      <c r="B615" s="27" t="s">
        <v>193</v>
      </c>
      <c r="C615" s="27" t="s">
        <v>184</v>
      </c>
      <c r="D615" s="27" t="s">
        <v>185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186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421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475</v>
      </c>
      <c r="B618" s="27" t="s">
        <v>183</v>
      </c>
      <c r="C618" s="27" t="s">
        <v>274</v>
      </c>
      <c r="D618" s="27" t="s">
        <v>185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231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476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477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284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438</v>
      </c>
      <c r="B623" s="27" t="s">
        <v>246</v>
      </c>
      <c r="C623" s="27" t="s">
        <v>249</v>
      </c>
      <c r="D623" s="27" t="s">
        <v>185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478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479</v>
      </c>
      <c r="B625" s="27" t="s">
        <v>183</v>
      </c>
      <c r="C625" s="27" t="s">
        <v>249</v>
      </c>
      <c r="D625" s="27" t="s">
        <v>185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480</v>
      </c>
      <c r="B626" s="27" t="s">
        <v>188</v>
      </c>
      <c r="C626" s="27" t="s">
        <v>249</v>
      </c>
      <c r="D626" s="27" t="s">
        <v>185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481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482</v>
      </c>
      <c r="B628" s="27" t="s">
        <v>270</v>
      </c>
      <c r="C628" s="27" t="s">
        <v>274</v>
      </c>
      <c r="D628" s="27" t="s">
        <v>185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220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483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484</v>
      </c>
      <c r="B631" s="27" t="s">
        <v>272</v>
      </c>
      <c r="C631" s="27" t="s">
        <v>224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231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/>
    </row>
    <row r="634" spans="1:12">
      <c r="A634" s="20" t="s">
        <v>485</v>
      </c>
    </row>
    <row r="635" spans="1:12">
      <c r="A635" s="20" t="s">
        <v>486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284</v>
      </c>
      <c r="B636" s="27" t="s">
        <v>193</v>
      </c>
      <c r="C636" s="27" t="s">
        <v>243</v>
      </c>
      <c r="D636" s="27" t="s">
        <v>185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201</v>
      </c>
      <c r="B637" s="27" t="s">
        <v>270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309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487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181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284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488</v>
      </c>
      <c r="B642" s="27" t="s">
        <v>188</v>
      </c>
      <c r="C642" s="27" t="s">
        <v>199</v>
      </c>
      <c r="D642" s="27" t="s">
        <v>185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190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181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408</v>
      </c>
      <c r="B645" s="27" t="s">
        <v>188</v>
      </c>
      <c r="C645" s="27" t="s">
        <v>249</v>
      </c>
      <c r="D645" s="27" t="s">
        <v>185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409</v>
      </c>
      <c r="B646" s="27" t="s">
        <v>216</v>
      </c>
      <c r="C646" s="27" t="s">
        <v>249</v>
      </c>
      <c r="D646" s="27" t="s">
        <v>185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231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/>
    </row>
    <row r="649" spans="1:12">
      <c r="A649" s="20" t="s">
        <v>489</v>
      </c>
    </row>
    <row r="650" spans="1:12">
      <c r="A650" s="20" t="s">
        <v>490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201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210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491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492</v>
      </c>
      <c r="B654" s="27" t="s">
        <v>272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340</v>
      </c>
      <c r="B655" s="27" t="s">
        <v>208</v>
      </c>
      <c r="C655" s="27" t="s">
        <v>243</v>
      </c>
      <c r="D655" s="27" t="s">
        <v>185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190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493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407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214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239</v>
      </c>
      <c r="B660" s="27" t="s">
        <v>208</v>
      </c>
      <c r="C660" s="27" t="s">
        <v>217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227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421</v>
      </c>
      <c r="B662" s="27" t="s">
        <v>216</v>
      </c>
      <c r="C662" s="27" t="s">
        <v>243</v>
      </c>
      <c r="D662" s="27" t="s">
        <v>185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231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/>
    </row>
    <row r="665" spans="1:12">
      <c r="A665" s="20" t="s">
        <v>494</v>
      </c>
    </row>
    <row r="666" spans="1:12">
      <c r="A666" s="20" t="s">
        <v>495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284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496</v>
      </c>
      <c r="B668" s="27" t="s">
        <v>193</v>
      </c>
      <c r="C668" s="27" t="s">
        <v>249</v>
      </c>
      <c r="D668" s="27" t="s">
        <v>185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186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497</v>
      </c>
      <c r="B670" s="27" t="s">
        <v>183</v>
      </c>
      <c r="C670" s="27" t="s">
        <v>249</v>
      </c>
      <c r="D670" s="27" t="s">
        <v>185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231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/>
    </row>
    <row r="673" spans="1:12">
      <c r="A673" s="20" t="s">
        <v>498</v>
      </c>
    </row>
    <row r="674" spans="1:12">
      <c r="A674" s="20" t="s">
        <v>499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483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484</v>
      </c>
      <c r="B676" s="27" t="s">
        <v>193</v>
      </c>
      <c r="C676" s="27" t="s">
        <v>224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197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500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501</v>
      </c>
      <c r="B679" s="27" t="s">
        <v>223</v>
      </c>
      <c r="C679" s="27" t="s">
        <v>184</v>
      </c>
      <c r="D679" s="27" t="s">
        <v>185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502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284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496</v>
      </c>
      <c r="B682" s="27" t="s">
        <v>188</v>
      </c>
      <c r="C682" s="27" t="s">
        <v>249</v>
      </c>
      <c r="D682" s="27" t="s">
        <v>185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231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/>
    </row>
    <row r="685" spans="1:12">
      <c r="A685" s="20" t="s">
        <v>503</v>
      </c>
    </row>
    <row r="686" spans="1:12">
      <c r="A686" s="20" t="s">
        <v>504</v>
      </c>
      <c r="B686" s="27" t="s">
        <v>246</v>
      </c>
      <c r="C686" s="27" t="s">
        <v>249</v>
      </c>
      <c r="D686" s="27" t="s">
        <v>185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250</v>
      </c>
      <c r="B687" s="27" t="s">
        <v>183</v>
      </c>
      <c r="C687" s="27" t="s">
        <v>249</v>
      </c>
      <c r="D687" s="27" t="s">
        <v>185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251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312</v>
      </c>
      <c r="B689" s="27" t="s">
        <v>242</v>
      </c>
      <c r="C689" s="27" t="s">
        <v>199</v>
      </c>
      <c r="D689" s="27" t="s">
        <v>185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201</v>
      </c>
      <c r="B690" s="27" t="s">
        <v>270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505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331</v>
      </c>
      <c r="B692" s="27" t="s">
        <v>272</v>
      </c>
      <c r="C692" s="27" t="s">
        <v>249</v>
      </c>
      <c r="D692" s="27" t="s">
        <v>185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481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256</v>
      </c>
      <c r="B694" s="27" t="s">
        <v>188</v>
      </c>
      <c r="C694" s="27" t="s">
        <v>274</v>
      </c>
      <c r="D694" s="27" t="s">
        <v>185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245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201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300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506</v>
      </c>
      <c r="B698" s="27" t="s">
        <v>332</v>
      </c>
      <c r="C698" s="27" t="s">
        <v>507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333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508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231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/>
    </row>
    <row r="703" spans="1:12">
      <c r="A703" s="20" t="s">
        <v>509</v>
      </c>
    </row>
    <row r="704" spans="1:12">
      <c r="A704" s="20" t="s">
        <v>383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267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256</v>
      </c>
      <c r="B706" s="27" t="s">
        <v>246</v>
      </c>
      <c r="C706" s="27" t="s">
        <v>217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333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510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190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333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412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186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257</v>
      </c>
      <c r="B713" s="27" t="s">
        <v>183</v>
      </c>
      <c r="C713" s="27" t="s">
        <v>249</v>
      </c>
      <c r="D713" s="27" t="s">
        <v>185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209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408</v>
      </c>
      <c r="B715" s="27" t="s">
        <v>188</v>
      </c>
      <c r="C715" s="27" t="s">
        <v>249</v>
      </c>
      <c r="D715" s="27" t="s">
        <v>185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409</v>
      </c>
      <c r="B716" s="27" t="s">
        <v>216</v>
      </c>
      <c r="C716" s="27" t="s">
        <v>249</v>
      </c>
      <c r="D716" s="27" t="s">
        <v>185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231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/>
    </row>
    <row r="719" spans="1:12">
      <c r="A719" s="20" t="s">
        <v>511</v>
      </c>
    </row>
    <row r="720" spans="1:12">
      <c r="A720" s="20" t="s">
        <v>512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181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197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513</v>
      </c>
      <c r="B723" s="27" t="s">
        <v>246</v>
      </c>
      <c r="C723" s="27" t="s">
        <v>243</v>
      </c>
      <c r="D723" s="27" t="s">
        <v>185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284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419</v>
      </c>
      <c r="B725" s="27" t="s">
        <v>242</v>
      </c>
      <c r="C725" s="27" t="s">
        <v>184</v>
      </c>
      <c r="D725" s="27" t="s">
        <v>185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186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254</v>
      </c>
      <c r="B727" s="27" t="s">
        <v>183</v>
      </c>
      <c r="C727" s="27" t="s">
        <v>189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514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181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284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515</v>
      </c>
      <c r="B731" s="27" t="s">
        <v>216</v>
      </c>
      <c r="C731" s="27" t="s">
        <v>199</v>
      </c>
      <c r="D731" s="27" t="s">
        <v>185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190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181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197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418</v>
      </c>
      <c r="B735" s="27" t="s">
        <v>246</v>
      </c>
      <c r="C735" s="27" t="s">
        <v>199</v>
      </c>
      <c r="D735" s="27" t="s">
        <v>185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190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291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516</v>
      </c>
      <c r="B738" s="27" t="s">
        <v>193</v>
      </c>
      <c r="C738" s="27" t="s">
        <v>199</v>
      </c>
      <c r="D738" s="27" t="s">
        <v>185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190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291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517</v>
      </c>
      <c r="B741" s="27" t="s">
        <v>193</v>
      </c>
      <c r="C741" s="27" t="s">
        <v>199</v>
      </c>
      <c r="D741" s="27" t="s">
        <v>185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231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/>
    </row>
    <row r="744" spans="1:12">
      <c r="A744" s="20" t="s">
        <v>518</v>
      </c>
    </row>
    <row r="745" spans="1:12">
      <c r="A745" s="20" t="s">
        <v>519</v>
      </c>
      <c r="B745" s="27" t="s">
        <v>242</v>
      </c>
      <c r="C745" s="27" t="s">
        <v>249</v>
      </c>
      <c r="D745" s="27" t="s">
        <v>185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300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181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301</v>
      </c>
      <c r="B748" s="27" t="s">
        <v>246</v>
      </c>
      <c r="C748" s="27" t="s">
        <v>184</v>
      </c>
      <c r="D748" s="27" t="s">
        <v>185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197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197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520</v>
      </c>
      <c r="B751" s="27" t="s">
        <v>246</v>
      </c>
      <c r="C751" s="27" t="s">
        <v>199</v>
      </c>
      <c r="D751" s="27" t="s">
        <v>185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190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324</v>
      </c>
      <c r="B753" s="27" t="s">
        <v>246</v>
      </c>
      <c r="C753" s="27" t="s">
        <v>249</v>
      </c>
      <c r="D753" s="27" t="s">
        <v>185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284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439</v>
      </c>
      <c r="B755" s="27" t="s">
        <v>246</v>
      </c>
      <c r="C755" s="27" t="s">
        <v>199</v>
      </c>
      <c r="D755" s="27" t="s">
        <v>185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250</v>
      </c>
      <c r="B756" s="27" t="s">
        <v>183</v>
      </c>
      <c r="C756" s="27" t="s">
        <v>249</v>
      </c>
      <c r="D756" s="27" t="s">
        <v>185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291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521</v>
      </c>
      <c r="B758" s="27" t="s">
        <v>332</v>
      </c>
      <c r="C758" s="27" t="s">
        <v>199</v>
      </c>
      <c r="D758" s="27" t="s">
        <v>185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194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522</v>
      </c>
      <c r="B760" s="27" t="s">
        <v>188</v>
      </c>
      <c r="C760" s="27" t="s">
        <v>189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231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/>
    </row>
    <row r="763" spans="1:12">
      <c r="A763" s="20" t="s">
        <v>523</v>
      </c>
    </row>
    <row r="764" spans="1:12">
      <c r="A764" s="20" t="s">
        <v>524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299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348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481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525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526</v>
      </c>
      <c r="B769" s="27" t="s">
        <v>193</v>
      </c>
      <c r="C769" s="27" t="s">
        <v>274</v>
      </c>
      <c r="D769" s="27" t="s">
        <v>185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186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254</v>
      </c>
      <c r="B771" s="27" t="s">
        <v>183</v>
      </c>
      <c r="C771" s="27" t="s">
        <v>189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527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181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314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528</v>
      </c>
      <c r="B775" s="27" t="s">
        <v>216</v>
      </c>
      <c r="C775" s="27" t="s">
        <v>184</v>
      </c>
      <c r="D775" s="27" t="s">
        <v>185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186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 t="s">
        <v>352</v>
      </c>
      <c r="B777" s="27" t="s">
        <v>205</v>
      </c>
      <c r="C777" s="27" t="s">
        <v>189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 t="s">
        <v>231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/>
    </row>
    <row r="780" spans="1:12">
      <c r="A780" s="20" t="s">
        <v>279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529</v>
      </c>
    </row>
    <row r="782" spans="1:12">
      <c r="A782" s="20" t="s">
        <v>530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220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531</v>
      </c>
      <c r="B784" s="27" t="s">
        <v>193</v>
      </c>
      <c r="C784" s="27" t="s">
        <v>184</v>
      </c>
      <c r="D784" s="27" t="s">
        <v>185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186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532</v>
      </c>
      <c r="B786" s="27" t="s">
        <v>183</v>
      </c>
      <c r="C786" s="27" t="s">
        <v>249</v>
      </c>
      <c r="D786" s="27" t="s">
        <v>185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533</v>
      </c>
      <c r="B787" s="27" t="s">
        <v>188</v>
      </c>
      <c r="C787" s="27" t="s">
        <v>249</v>
      </c>
      <c r="D787" s="27" t="s">
        <v>185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262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534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231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535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536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537</v>
      </c>
      <c r="B793" s="27" t="s">
        <v>538</v>
      </c>
      <c r="C793" s="27" t="s">
        <v>224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190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539</v>
      </c>
      <c r="B795" s="27" t="s">
        <v>226</v>
      </c>
      <c r="C795" s="27" t="s">
        <v>189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292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 t="s">
        <v>540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292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190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352</v>
      </c>
      <c r="B800" s="27" t="s">
        <v>359</v>
      </c>
      <c r="C800" s="27" t="s">
        <v>189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292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 t="s">
        <v>541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 t="s">
        <v>190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292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542</v>
      </c>
      <c r="B805" s="27" t="s">
        <v>363</v>
      </c>
      <c r="C805" s="27" t="s">
        <v>189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292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194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292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543</v>
      </c>
      <c r="B809" s="27" t="s">
        <v>369</v>
      </c>
      <c r="C809" s="27" t="s">
        <v>189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 t="s">
        <v>292</v>
      </c>
      <c r="E810" s="21">
        <f>IF(D810="?OLD","!!!","")</f>
        <v/>
      </c>
      <c r="F810" s="22" t="str">
        <f>IF(OR(E810="",E810="!!!"),"",IF(NOT(ISNA(VLOOKUP(E810,E$1:E809,1,FALSE()))),"OLD",IF(AND(E810&lt;&gt;"",E810&lt;&gt;"!!!"),"NEW","")))</f>
        <v> 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4" t="str">
        <f>IF(J810&lt;&gt;1,"",IF(I810="SBJ","CB","?"))</f>
        <v> </v>
      </c>
      <c r="I810" s="25" t="str">
        <f>IF(OR(E810="",E810="!!!",F810="NEW"),"",INDEX(B809:B$2,-1+SUMPRODUCT(MAX(ROW(E809:E$2)*(E810=E809:E$2)))))</f>
        <v> </v>
      </c>
      <c r="J810" s="25" t="str">
        <f>IF(OR(E810="",E810="!!!",F810="NEW"),"",COUNTBLANK(OFFSET(A$1,,,SUMPRODUCT(MAX(ROW(E$2:E810)*(E810=E$2:E810)))))-COUNTBLANK(OFFSET(A$1,,,SUMPRODUCT(MAX(ROW(E$1:E809)*(E2=E$1:E809))))))</f>
        <v> </v>
      </c>
      <c r="K810" s="25" t="str">
        <f>IF(OR(E810="",E810="!!!",F810="NEW"),"",INDEX(J$1:J809,SUMPRODUCT(MAX(ROW(E$1:E809)*(E810=E$1:E809)))))</f>
        <v> </v>
      </c>
      <c r="L810" s="26"/>
    </row>
    <row r="811" spans="1:12">
      <c r="A811" s="20" t="s">
        <v>194</v>
      </c>
      <c r="E811" s="21">
        <f>IF(D811="?OLD","!!!","")</f>
        <v/>
      </c>
      <c r="F811" s="22" t="str">
        <f>IF(OR(E811="",E811="!!!"),"",IF(NOT(ISNA(VLOOKUP(E811,E$1:E810,1,FALSE()))),"OLD",IF(AND(E811&lt;&gt;"",E811&lt;&gt;"!!!"),"NEW","")))</f>
        <v> </v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4" t="str">
        <f>IF(J811&lt;&gt;1,"",IF(I811="SBJ","CB","?"))</f>
        <v> </v>
      </c>
      <c r="I811" s="25" t="str">
        <f>IF(OR(E811="",E811="!!!",F811="NEW"),"",INDEX(B810:B$2,-1+SUMPRODUCT(MAX(ROW(E810:E$2)*(E811=E810:E$2)))))</f>
        <v> </v>
      </c>
      <c r="J811" s="25" t="str">
        <f>IF(OR(E811="",E811="!!!",F811="NEW"),"",COUNTBLANK(OFFSET(A$1,,,SUMPRODUCT(MAX(ROW(E$2:E811)*(E811=E$2:E811)))))-COUNTBLANK(OFFSET(A$1,,,SUMPRODUCT(MAX(ROW(E$1:E810)*(E2=E$1:E810))))))</f>
        <v> </v>
      </c>
      <c r="K811" s="25" t="str">
        <f>IF(OR(E811="",E811="!!!",F811="NEW"),"",INDEX(J$1:J810,SUMPRODUCT(MAX(ROW(E$1:E810)*(E811=E$1:E810)))))</f>
        <v> </v>
      </c>
      <c r="L811" s="26"/>
    </row>
    <row r="812" spans="1:12">
      <c r="A812" s="20" t="s">
        <v>544</v>
      </c>
      <c r="B812" s="27" t="s">
        <v>367</v>
      </c>
      <c r="C812" s="27" t="s">
        <v>184</v>
      </c>
      <c r="D812" s="27" t="s">
        <v>185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186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545</v>
      </c>
      <c r="B814" s="27" t="s">
        <v>442</v>
      </c>
      <c r="C814" s="27" t="s">
        <v>189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292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546</v>
      </c>
      <c r="B816" s="27" t="s">
        <v>547</v>
      </c>
      <c r="C816" s="27" t="s">
        <v>189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292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231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/>
    </row>
    <row r="820" spans="1:12">
      <c r="A820" s="20" t="s">
        <v>548</v>
      </c>
    </row>
    <row r="821" spans="1:12">
      <c r="A821" s="20" t="s">
        <v>430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431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343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 t="s">
        <v>267</v>
      </c>
      <c r="E824" s="21">
        <f>IF(D824="?OLD","!!!","")</f>
        <v/>
      </c>
      <c r="F824" s="22" t="str">
        <f>IF(OR(E824="",E824="!!!"),"",IF(NOT(ISNA(VLOOKUP(E824,E$1:E823,1,FALSE()))),"OLD",IF(AND(E824&lt;&gt;"",E824&lt;&gt;"!!!"),"NEW","")))</f>
        <v> </v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4" t="str">
        <f>IF(J824&lt;&gt;1,"",IF(I824="SBJ","CB","?"))</f>
        <v> </v>
      </c>
      <c r="I824" s="25" t="str">
        <f>IF(OR(E824="",E824="!!!",F824="NEW"),"",INDEX(B823:B$2,-1+SUMPRODUCT(MAX(ROW(E823:E$2)*(E824=E823:E$2)))))</f>
        <v> </v>
      </c>
      <c r="J824" s="25" t="str">
        <f>IF(OR(E824="",E824="!!!",F824="NEW"),"",COUNTBLANK(OFFSET(A$1,,,SUMPRODUCT(MAX(ROW(E$2:E824)*(E824=E$2:E824)))))-COUNTBLANK(OFFSET(A$1,,,SUMPRODUCT(MAX(ROW(E$1:E823)*(E2=E$1:E823))))))</f>
        <v> </v>
      </c>
      <c r="K824" s="25" t="str">
        <f>IF(OR(E824="",E824="!!!",F824="NEW"),"",INDEX(J$1:J823,SUMPRODUCT(MAX(ROW(E$1:E823)*(E824=E$1:E823)))))</f>
        <v> </v>
      </c>
      <c r="L824" s="26"/>
    </row>
    <row r="825" spans="1:12">
      <c r="A825" s="20" t="s">
        <v>549</v>
      </c>
      <c r="B825" s="27" t="s">
        <v>193</v>
      </c>
      <c r="C825" s="27" t="s">
        <v>217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181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550</v>
      </c>
      <c r="B827" s="27" t="s">
        <v>188</v>
      </c>
      <c r="C827" s="27" t="s">
        <v>189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186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551</v>
      </c>
      <c r="B829" s="27" t="s">
        <v>246</v>
      </c>
      <c r="C829" s="27" t="s">
        <v>189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194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 t="s">
        <v>552</v>
      </c>
      <c r="B831" s="27" t="s">
        <v>183</v>
      </c>
      <c r="C831" s="27" t="s">
        <v>189</v>
      </c>
      <c r="E831" s="21">
        <f>IF(D831="?OLD","!!!","")</f>
        <v/>
      </c>
      <c r="F831" s="22" t="str">
        <f>IF(OR(E831="",E831="!!!"),"",IF(NOT(ISNA(VLOOKUP(E831,E$1:E830,1,FALSE()))),"OLD",IF(AND(E831&lt;&gt;"",E831&lt;&gt;"!!!"),"NEW","")))</f>
        <v> </v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4" t="str">
        <f>IF(J831&lt;&gt;1,"",IF(I831="SBJ","CB","?"))</f>
        <v> </v>
      </c>
      <c r="I831" s="25" t="str">
        <f>IF(OR(E831="",E831="!!!",F831="NEW"),"",INDEX(B830:B$2,-1+SUMPRODUCT(MAX(ROW(E830:E$2)*(E831=E830:E$2)))))</f>
        <v> </v>
      </c>
      <c r="J831" s="25" t="str">
        <f>IF(OR(E831="",E831="!!!",F831="NEW"),"",COUNTBLANK(OFFSET(A$1,,,SUMPRODUCT(MAX(ROW(E$2:E831)*(E831=E$2:E831)))))-COUNTBLANK(OFFSET(A$1,,,SUMPRODUCT(MAX(ROW(E$1:E830)*(E2=E$1:E830))))))</f>
        <v> </v>
      </c>
      <c r="K831" s="25" t="str">
        <f>IF(OR(E831="",E831="!!!",F831="NEW"),"",INDEX(J$1:J830,SUMPRODUCT(MAX(ROW(E$1:E830)*(E831=E$1:E830)))))</f>
        <v> </v>
      </c>
      <c r="L831" s="26"/>
    </row>
    <row r="832" spans="1:12">
      <c r="A832" s="20" t="s">
        <v>231</v>
      </c>
      <c r="E832" s="21">
        <f>IF(D832="?OLD","!!!","")</f>
        <v/>
      </c>
      <c r="F832" s="22" t="str">
        <f>IF(OR(E832="",E832="!!!"),"",IF(NOT(ISNA(VLOOKUP(E832,E$1:E831,1,FALSE()))),"OLD",IF(AND(E832&lt;&gt;"",E832&lt;&gt;"!!!"),"NEW","")))</f>
        <v> </v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4" t="str">
        <f>IF(J832&lt;&gt;1,"",IF(I832="SBJ","CB","?"))</f>
        <v> </v>
      </c>
      <c r="I832" s="25" t="str">
        <f>IF(OR(E832="",E832="!!!",F832="NEW"),"",INDEX(B831:B$2,-1+SUMPRODUCT(MAX(ROW(E831:E$2)*(E832=E831:E$2)))))</f>
        <v> </v>
      </c>
      <c r="J832" s="25" t="str">
        <f>IF(OR(E832="",E832="!!!",F832="NEW"),"",COUNTBLANK(OFFSET(A$1,,,SUMPRODUCT(MAX(ROW(E$2:E832)*(E832=E$2:E832)))))-COUNTBLANK(OFFSET(A$1,,,SUMPRODUCT(MAX(ROW(E$1:E831)*(E2=E$1:E831))))))</f>
        <v> </v>
      </c>
      <c r="K832" s="25" t="str">
        <f>IF(OR(E832="",E832="!!!",F832="NEW"),"",INDEX(J$1:J831,SUMPRODUCT(MAX(ROW(E$1:E831)*(E832=E$1:E831)))))</f>
        <v> </v>
      </c>
      <c r="L832" s="26"/>
    </row>
    <row r="833" spans="1:12">
      <c r="A833" s="20"/>
    </row>
    <row r="834" spans="1:12">
      <c r="A834" s="20" t="s">
        <v>553</v>
      </c>
    </row>
    <row r="835" spans="1:12">
      <c r="A835" s="20" t="s">
        <v>554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245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 t="s">
        <v>555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556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/>
    </row>
    <row r="840" spans="1:12">
      <c r="A840" s="20" t="s">
        <v>557</v>
      </c>
    </row>
    <row r="841" spans="1:12">
      <c r="A841" s="20" t="s">
        <v>558</v>
      </c>
      <c r="E841" s="21">
        <f>IF(D841="?OLD","!!!","")</f>
        <v/>
      </c>
      <c r="F841" s="22" t="str">
        <f>IF(OR(E841="",E841="!!!"),"",IF(NOT(ISNA(VLOOKUP(E841,E$1:E840,1,FALSE()))),"OLD",IF(AND(E841&lt;&gt;"",E841&lt;&gt;"!!!"),"NEW","")))</f>
        <v> </v>
      </c>
      <c r="G841" s="23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4" t="str">
        <f>IF(J841&lt;&gt;1,"",IF(I841="SBJ","CB","?"))</f>
        <v> </v>
      </c>
      <c r="I841" s="25" t="str">
        <f>IF(OR(E841="",E841="!!!",F841="NEW"),"",INDEX(B840:B$2,-1+SUMPRODUCT(MAX(ROW(E840:E$2)*(E841=E840:E$2)))))</f>
        <v> </v>
      </c>
      <c r="J841" s="25" t="str">
        <f>IF(OR(E841="",E841="!!!",F841="NEW"),"",COUNTBLANK(OFFSET(A$1,,,SUMPRODUCT(MAX(ROW(E$2:E841)*(E841=E$2:E841)))))-COUNTBLANK(OFFSET(A$1,,,SUMPRODUCT(MAX(ROW(E$1:E840)*(E2=E$1:E840))))))</f>
        <v> </v>
      </c>
      <c r="K841" s="25" t="str">
        <f>IF(OR(E841="",E841="!!!",F841="NEW"),"",INDEX(J$1:J840,SUMPRODUCT(MAX(ROW(E$1:E840)*(E841=E$1:E840)))))</f>
        <v> </v>
      </c>
      <c r="L841" s="26"/>
    </row>
    <row r="842" spans="1:12">
      <c r="A842" s="20" t="s">
        <v>388</v>
      </c>
      <c r="B842" s="27" t="s">
        <v>246</v>
      </c>
      <c r="C842" s="27" t="s">
        <v>184</v>
      </c>
      <c r="D842" s="27" t="s">
        <v>185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 t="s">
        <v>186</v>
      </c>
      <c r="E843" s="21">
        <f>IF(D843="?OLD","!!!","")</f>
        <v/>
      </c>
      <c r="F843" s="22" t="str">
        <f>IF(OR(E843="",E843="!!!"),"",IF(NOT(ISNA(VLOOKUP(E843,E$1:E842,1,FALSE()))),"OLD",IF(AND(E843&lt;&gt;"",E843&lt;&gt;"!!!"),"NEW","")))</f>
        <v> </v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4" t="str">
        <f>IF(J843&lt;&gt;1,"",IF(I843="SBJ","CB","?"))</f>
        <v> </v>
      </c>
      <c r="I843" s="25" t="str">
        <f>IF(OR(E843="",E843="!!!",F843="NEW"),"",INDEX(B842:B$2,-1+SUMPRODUCT(MAX(ROW(E842:E$2)*(E843=E842:E$2)))))</f>
        <v> </v>
      </c>
      <c r="J843" s="25" t="str">
        <f>IF(OR(E843="",E843="!!!",F843="NEW"),"",COUNTBLANK(OFFSET(A$1,,,SUMPRODUCT(MAX(ROW(E$2:E843)*(E843=E$2:E843)))))-COUNTBLANK(OFFSET(A$1,,,SUMPRODUCT(MAX(ROW(E$1:E842)*(E2=E$1:E842))))))</f>
        <v> </v>
      </c>
      <c r="K843" s="25" t="str">
        <f>IF(OR(E843="",E843="!!!",F843="NEW"),"",INDEX(J$1:J842,SUMPRODUCT(MAX(ROW(E$1:E842)*(E843=E$1:E842)))))</f>
        <v> </v>
      </c>
      <c r="L843" s="26"/>
    </row>
    <row r="844" spans="1:12">
      <c r="A844" s="20" t="s">
        <v>389</v>
      </c>
      <c r="B844" s="27" t="s">
        <v>246</v>
      </c>
      <c r="C844" s="27" t="s">
        <v>189</v>
      </c>
      <c r="E844" s="21">
        <f>IF(D844="?OLD","!!!","")</f>
        <v/>
      </c>
      <c r="F844" s="22" t="str">
        <f>IF(OR(E844="",E844="!!!"),"",IF(NOT(ISNA(VLOOKUP(E844,E$1:E843,1,FALSE()))),"OLD",IF(AND(E844&lt;&gt;"",E844&lt;&gt;"!!!"),"NEW","")))</f>
        <v> </v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4" t="str">
        <f>IF(J844&lt;&gt;1,"",IF(I844="SBJ","CB","?"))</f>
        <v> </v>
      </c>
      <c r="I844" s="25" t="str">
        <f>IF(OR(E844="",E844="!!!",F844="NEW"),"",INDEX(B843:B$2,-1+SUMPRODUCT(MAX(ROW(E843:E$2)*(E844=E843:E$2)))))</f>
        <v> </v>
      </c>
      <c r="J844" s="25" t="str">
        <f>IF(OR(E844="",E844="!!!",F844="NEW"),"",COUNTBLANK(OFFSET(A$1,,,SUMPRODUCT(MAX(ROW(E$2:E844)*(E844=E$2:E844)))))-COUNTBLANK(OFFSET(A$1,,,SUMPRODUCT(MAX(ROW(E$1:E843)*(E2=E$1:E843))))))</f>
        <v> </v>
      </c>
      <c r="K844" s="25" t="str">
        <f>IF(OR(E844="",E844="!!!",F844="NEW"),"",INDEX(J$1:J843,SUMPRODUCT(MAX(ROW(E$1:E843)*(E844=E$1:E843)))))</f>
        <v> </v>
      </c>
      <c r="L844" s="26"/>
    </row>
    <row r="845" spans="1:12">
      <c r="A845" s="20"/>
    </row>
    <row r="846" spans="1:12">
      <c r="A846" s="20" t="s">
        <v>559</v>
      </c>
    </row>
    <row r="847" spans="1:12">
      <c r="A847" s="20" t="s">
        <v>560</v>
      </c>
      <c r="B847" s="27" t="s">
        <v>242</v>
      </c>
      <c r="C847" s="27" t="s">
        <v>249</v>
      </c>
      <c r="D847" s="27" t="s">
        <v>185</v>
      </c>
      <c r="E847" s="21">
        <f>IF(D847="?OLD","!!!","")</f>
        <v/>
      </c>
      <c r="F847" s="22" t="str">
        <f>IF(OR(E847="",E847="!!!"),"",IF(NOT(ISNA(VLOOKUP(E847,E$1:E846,1,FALSE()))),"OLD",IF(AND(E847&lt;&gt;"",E847&lt;&gt;"!!!"),"NEW","")))</f>
        <v> </v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4" t="str">
        <f>IF(J847&lt;&gt;1,"",IF(I847="SBJ","CB","?"))</f>
        <v> </v>
      </c>
      <c r="I847" s="25" t="str">
        <f>IF(OR(E847="",E847="!!!",F847="NEW"),"",INDEX(B846:B$2,-1+SUMPRODUCT(MAX(ROW(E846:E$2)*(E847=E846:E$2)))))</f>
        <v> </v>
      </c>
      <c r="J847" s="25" t="str">
        <f>IF(OR(E847="",E847="!!!",F847="NEW"),"",COUNTBLANK(OFFSET(A$1,,,SUMPRODUCT(MAX(ROW(E$2:E847)*(E847=E$2:E847)))))-COUNTBLANK(OFFSET(A$1,,,SUMPRODUCT(MAX(ROW(E$1:E846)*(E2=E$1:E846))))))</f>
        <v> </v>
      </c>
      <c r="K847" s="25" t="str">
        <f>IF(OR(E847="",E847="!!!",F847="NEW"),"",INDEX(J$1:J846,SUMPRODUCT(MAX(ROW(E$1:E846)*(E847=E$1:E846)))))</f>
        <v> </v>
      </c>
      <c r="L847" s="26"/>
    </row>
    <row r="848" spans="1:12">
      <c r="A848" s="20" t="s">
        <v>299</v>
      </c>
      <c r="E848" s="21">
        <f>IF(D848="?OLD","!!!","")</f>
        <v/>
      </c>
      <c r="F848" s="22" t="str">
        <f>IF(OR(E848="",E848="!!!"),"",IF(NOT(ISNA(VLOOKUP(E848,E$1:E847,1,FALSE()))),"OLD",IF(AND(E848&lt;&gt;"",E848&lt;&gt;"!!!"),"NEW","")))</f>
        <v> </v>
      </c>
      <c r="G848" s="23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4" t="str">
        <f>IF(J848&lt;&gt;1,"",IF(I848="SBJ","CB","?"))</f>
        <v> </v>
      </c>
      <c r="I848" s="25" t="str">
        <f>IF(OR(E848="",E848="!!!",F848="NEW"),"",INDEX(B847:B$2,-1+SUMPRODUCT(MAX(ROW(E847:E$2)*(E848=E847:E$2)))))</f>
        <v> </v>
      </c>
      <c r="J848" s="25" t="str">
        <f>IF(OR(E848="",E848="!!!",F848="NEW"),"",COUNTBLANK(OFFSET(A$1,,,SUMPRODUCT(MAX(ROW(E$2:E848)*(E848=E$2:E848)))))-COUNTBLANK(OFFSET(A$1,,,SUMPRODUCT(MAX(ROW(E$1:E847)*(E2=E$1:E847))))))</f>
        <v> </v>
      </c>
      <c r="K848" s="25" t="str">
        <f>IF(OR(E848="",E848="!!!",F848="NEW"),"",INDEX(J$1:J847,SUMPRODUCT(MAX(ROW(E$1:E847)*(E848=E$1:E847)))))</f>
        <v> </v>
      </c>
      <c r="L848" s="26"/>
    </row>
    <row r="849" spans="1:12">
      <c r="A849" s="20" t="s">
        <v>300</v>
      </c>
      <c r="E849" s="21">
        <f>IF(D849="?OLD","!!!","")</f>
        <v/>
      </c>
      <c r="F849" s="22" t="str">
        <f>IF(OR(E849="",E849="!!!"),"",IF(NOT(ISNA(VLOOKUP(E849,E$1:E848,1,FALSE()))),"OLD",IF(AND(E849&lt;&gt;"",E849&lt;&gt;"!!!"),"NEW","")))</f>
        <v> </v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4" t="str">
        <f>IF(J849&lt;&gt;1,"",IF(I849="SBJ","CB","?"))</f>
        <v> </v>
      </c>
      <c r="I849" s="25" t="str">
        <f>IF(OR(E849="",E849="!!!",F849="NEW"),"",INDEX(B848:B$2,-1+SUMPRODUCT(MAX(ROW(E848:E$2)*(E849=E848:E$2)))))</f>
        <v> </v>
      </c>
      <c r="J849" s="25" t="str">
        <f>IF(OR(E849="",E849="!!!",F849="NEW"),"",COUNTBLANK(OFFSET(A$1,,,SUMPRODUCT(MAX(ROW(E$2:E849)*(E849=E$2:E849)))))-COUNTBLANK(OFFSET(A$1,,,SUMPRODUCT(MAX(ROW(E$1:E848)*(E2=E$1:E848))))))</f>
        <v> </v>
      </c>
      <c r="K849" s="25" t="str">
        <f>IF(OR(E849="",E849="!!!",F849="NEW"),"",INDEX(J$1:J848,SUMPRODUCT(MAX(ROW(E$1:E848)*(E849=E$1:E848)))))</f>
        <v> </v>
      </c>
      <c r="L849" s="26"/>
    </row>
    <row r="850" spans="1:12">
      <c r="A850" s="20" t="s">
        <v>561</v>
      </c>
      <c r="E850" s="21">
        <f>IF(D850="?OLD","!!!","")</f>
        <v/>
      </c>
      <c r="F850" s="22" t="str">
        <f>IF(OR(E850="",E850="!!!"),"",IF(NOT(ISNA(VLOOKUP(E850,E$1:E849,1,FALSE()))),"OLD",IF(AND(E850&lt;&gt;"",E850&lt;&gt;"!!!"),"NEW","")))</f>
        <v> </v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4" t="str">
        <f>IF(J850&lt;&gt;1,"",IF(I850="SBJ","CB","?"))</f>
        <v> </v>
      </c>
      <c r="I850" s="25" t="str">
        <f>IF(OR(E850="",E850="!!!",F850="NEW"),"",INDEX(B849:B$2,-1+SUMPRODUCT(MAX(ROW(E849:E$2)*(E850=E849:E$2)))))</f>
        <v> </v>
      </c>
      <c r="J850" s="25" t="str">
        <f>IF(OR(E850="",E850="!!!",F850="NEW"),"",COUNTBLANK(OFFSET(A$1,,,SUMPRODUCT(MAX(ROW(E$2:E850)*(E850=E$2:E850)))))-COUNTBLANK(OFFSET(A$1,,,SUMPRODUCT(MAX(ROW(E$1:E849)*(E2=E$1:E849))))))</f>
        <v> </v>
      </c>
      <c r="K850" s="25" t="str">
        <f>IF(OR(E850="",E850="!!!",F850="NEW"),"",INDEX(J$1:J849,SUMPRODUCT(MAX(ROW(E$1:E849)*(E850=E$1:E849)))))</f>
        <v> </v>
      </c>
      <c r="L850" s="26"/>
    </row>
    <row r="851" spans="1:12">
      <c r="A851" s="20" t="s">
        <v>262</v>
      </c>
      <c r="E851" s="21">
        <f>IF(D851="?OLD","!!!","")</f>
        <v/>
      </c>
      <c r="F851" s="22" t="str">
        <f>IF(OR(E851="",E851="!!!"),"",IF(NOT(ISNA(VLOOKUP(E851,E$1:E850,1,FALSE()))),"OLD",IF(AND(E851&lt;&gt;"",E851&lt;&gt;"!!!"),"NEW","")))</f>
        <v> </v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4" t="str">
        <f>IF(J851&lt;&gt;1,"",IF(I851="SBJ","CB","?"))</f>
        <v> </v>
      </c>
      <c r="I851" s="25" t="str">
        <f>IF(OR(E851="",E851="!!!",F851="NEW"),"",INDEX(B850:B$2,-1+SUMPRODUCT(MAX(ROW(E850:E$2)*(E851=E850:E$2)))))</f>
        <v> </v>
      </c>
      <c r="J851" s="25" t="str">
        <f>IF(OR(E851="",E851="!!!",F851="NEW"),"",COUNTBLANK(OFFSET(A$1,,,SUMPRODUCT(MAX(ROW(E$2:E851)*(E851=E$2:E851)))))-COUNTBLANK(OFFSET(A$1,,,SUMPRODUCT(MAX(ROW(E$1:E850)*(E2=E$1:E850))))))</f>
        <v> </v>
      </c>
      <c r="K851" s="25" t="str">
        <f>IF(OR(E851="",E851="!!!",F851="NEW"),"",INDEX(J$1:J850,SUMPRODUCT(MAX(ROW(E$1:E850)*(E851=E$1:E850)))))</f>
        <v> </v>
      </c>
      <c r="L851" s="26"/>
    </row>
    <row r="852" spans="1:12">
      <c r="A852" s="20" t="s">
        <v>231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/>
    </row>
    <row r="854" spans="1:12">
      <c r="A854" s="20" t="s">
        <v>562</v>
      </c>
    </row>
    <row r="855" spans="1:12">
      <c r="A855" s="20" t="s">
        <v>386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 t="s">
        <v>563</v>
      </c>
      <c r="E856" s="21">
        <f>IF(D856="?OLD","!!!","")</f>
        <v/>
      </c>
      <c r="F856" s="22" t="str">
        <f>IF(OR(E856="",E856="!!!"),"",IF(NOT(ISNA(VLOOKUP(E856,E$1:E855,1,FALSE()))),"OLD",IF(AND(E856&lt;&gt;"",E856&lt;&gt;"!!!"),"NEW","")))</f>
        <v> </v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4" t="str">
        <f>IF(J856&lt;&gt;1,"",IF(I856="SBJ","CB","?"))</f>
        <v> </v>
      </c>
      <c r="I856" s="25" t="str">
        <f>IF(OR(E856="",E856="!!!",F856="NEW"),"",INDEX(B855:B$2,-1+SUMPRODUCT(MAX(ROW(E855:E$2)*(E856=E855:E$2)))))</f>
        <v> </v>
      </c>
      <c r="J856" s="25" t="str">
        <f>IF(OR(E856="",E856="!!!",F856="NEW"),"",COUNTBLANK(OFFSET(A$1,,,SUMPRODUCT(MAX(ROW(E$2:E856)*(E856=E$2:E856)))))-COUNTBLANK(OFFSET(A$1,,,SUMPRODUCT(MAX(ROW(E$1:E855)*(E2=E$1:E855))))))</f>
        <v> </v>
      </c>
      <c r="K856" s="25" t="str">
        <f>IF(OR(E856="",E856="!!!",F856="NEW"),"",INDEX(J$1:J855,SUMPRODUCT(MAX(ROW(E$1:E855)*(E856=E$1:E855)))))</f>
        <v> </v>
      </c>
      <c r="L856" s="26"/>
    </row>
    <row r="857" spans="1:12">
      <c r="A857" s="20" t="s">
        <v>284</v>
      </c>
      <c r="E857" s="21">
        <f>IF(D857="?OLD","!!!","")</f>
        <v/>
      </c>
      <c r="F857" s="22" t="str">
        <f>IF(OR(E857="",E857="!!!"),"",IF(NOT(ISNA(VLOOKUP(E857,E$1:E856,1,FALSE()))),"OLD",IF(AND(E857&lt;&gt;"",E857&lt;&gt;"!!!"),"NEW","")))</f>
        <v> </v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4" t="str">
        <f>IF(J857&lt;&gt;1,"",IF(I857="SBJ","CB","?"))</f>
        <v> </v>
      </c>
      <c r="I857" s="25" t="str">
        <f>IF(OR(E857="",E857="!!!",F857="NEW"),"",INDEX(B856:B$2,-1+SUMPRODUCT(MAX(ROW(E856:E$2)*(E857=E856:E$2)))))</f>
        <v> </v>
      </c>
      <c r="J857" s="25" t="str">
        <f>IF(OR(E857="",E857="!!!",F857="NEW"),"",COUNTBLANK(OFFSET(A$1,,,SUMPRODUCT(MAX(ROW(E$2:E857)*(E857=E$2:E857)))))-COUNTBLANK(OFFSET(A$1,,,SUMPRODUCT(MAX(ROW(E$1:E856)*(E2=E$1:E856))))))</f>
        <v> </v>
      </c>
      <c r="K857" s="25" t="str">
        <f>IF(OR(E857="",E857="!!!",F857="NEW"),"",INDEX(J$1:J856,SUMPRODUCT(MAX(ROW(E$1:E856)*(E857=E$1:E856)))))</f>
        <v> </v>
      </c>
      <c r="L857" s="26"/>
    </row>
    <row r="858" spans="1:12">
      <c r="A858" s="20" t="s">
        <v>431</v>
      </c>
      <c r="E858" s="21">
        <f>IF(D858="?OLD","!!!","")</f>
        <v/>
      </c>
      <c r="F858" s="22" t="str">
        <f>IF(OR(E858="",E858="!!!"),"",IF(NOT(ISNA(VLOOKUP(E858,E$1:E857,1,FALSE()))),"OLD",IF(AND(E858&lt;&gt;"",E858&lt;&gt;"!!!"),"NEW","")))</f>
        <v> </v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4" t="str">
        <f>IF(J858&lt;&gt;1,"",IF(I858="SBJ","CB","?"))</f>
        <v> </v>
      </c>
      <c r="I858" s="25" t="str">
        <f>IF(OR(E858="",E858="!!!",F858="NEW"),"",INDEX(B857:B$2,-1+SUMPRODUCT(MAX(ROW(E857:E$2)*(E858=E857:E$2)))))</f>
        <v> </v>
      </c>
      <c r="J858" s="25" t="str">
        <f>IF(OR(E858="",E858="!!!",F858="NEW"),"",COUNTBLANK(OFFSET(A$1,,,SUMPRODUCT(MAX(ROW(E$2:E858)*(E858=E$2:E858)))))-COUNTBLANK(OFFSET(A$1,,,SUMPRODUCT(MAX(ROW(E$1:E857)*(E2=E$1:E857))))))</f>
        <v> </v>
      </c>
      <c r="K858" s="25" t="str">
        <f>IF(OR(E858="",E858="!!!",F858="NEW"),"",INDEX(J$1:J857,SUMPRODUCT(MAX(ROW(E$1:E857)*(E858=E$1:E857)))))</f>
        <v> </v>
      </c>
      <c r="L858" s="26"/>
    </row>
    <row r="859" spans="1:12">
      <c r="A859" s="20" t="s">
        <v>238</v>
      </c>
      <c r="B859" s="27" t="s">
        <v>193</v>
      </c>
      <c r="C859" s="27" t="s">
        <v>184</v>
      </c>
      <c r="D859" s="27" t="s">
        <v>185</v>
      </c>
      <c r="E859" s="21">
        <f>IF(D859="?OLD","!!!","")</f>
        <v/>
      </c>
      <c r="F859" s="22" t="str">
        <f>IF(OR(E859="",E859="!!!"),"",IF(NOT(ISNA(VLOOKUP(E859,E$1:E858,1,FALSE()))),"OLD",IF(AND(E859&lt;&gt;"",E859&lt;&gt;"!!!"),"NEW","")))</f>
        <v> </v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4" t="str">
        <f>IF(J859&lt;&gt;1,"",IF(I859="SBJ","CB","?"))</f>
        <v> </v>
      </c>
      <c r="I859" s="25" t="str">
        <f>IF(OR(E859="",E859="!!!",F859="NEW"),"",INDEX(B858:B$2,-1+SUMPRODUCT(MAX(ROW(E858:E$2)*(E859=E858:E$2)))))</f>
        <v> </v>
      </c>
      <c r="J859" s="25" t="str">
        <f>IF(OR(E859="",E859="!!!",F859="NEW"),"",COUNTBLANK(OFFSET(A$1,,,SUMPRODUCT(MAX(ROW(E$2:E859)*(E859=E$2:E859)))))-COUNTBLANK(OFFSET(A$1,,,SUMPRODUCT(MAX(ROW(E$1:E858)*(E2=E$1:E858))))))</f>
        <v> </v>
      </c>
      <c r="K859" s="25" t="str">
        <f>IF(OR(E859="",E859="!!!",F859="NEW"),"",INDEX(J$1:J858,SUMPRODUCT(MAX(ROW(E$1:E858)*(E859=E$1:E858)))))</f>
        <v> </v>
      </c>
      <c r="L859" s="26"/>
    </row>
    <row r="860" spans="1:12">
      <c r="A860" s="20" t="s">
        <v>186</v>
      </c>
      <c r="E860" s="21">
        <f>IF(D860="?OLD","!!!","")</f>
        <v/>
      </c>
      <c r="F860" s="22" t="str">
        <f>IF(OR(E860="",E860="!!!"),"",IF(NOT(ISNA(VLOOKUP(E860,E$1:E859,1,FALSE()))),"OLD",IF(AND(E860&lt;&gt;"",E860&lt;&gt;"!!!"),"NEW","")))</f>
        <v> </v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4" t="str">
        <f>IF(J860&lt;&gt;1,"",IF(I860="SBJ","CB","?"))</f>
        <v> </v>
      </c>
      <c r="I860" s="25" t="str">
        <f>IF(OR(E860="",E860="!!!",F860="NEW"),"",INDEX(B859:B$2,-1+SUMPRODUCT(MAX(ROW(E859:E$2)*(E860=E859:E$2)))))</f>
        <v> </v>
      </c>
      <c r="J860" s="25" t="str">
        <f>IF(OR(E860="",E860="!!!",F860="NEW"),"",COUNTBLANK(OFFSET(A$1,,,SUMPRODUCT(MAX(ROW(E$2:E860)*(E860=E$2:E860)))))-COUNTBLANK(OFFSET(A$1,,,SUMPRODUCT(MAX(ROW(E$1:E859)*(E2=E$1:E859))))))</f>
        <v> </v>
      </c>
      <c r="K860" s="25" t="str">
        <f>IF(OR(E860="",E860="!!!",F860="NEW"),"",INDEX(J$1:J859,SUMPRODUCT(MAX(ROW(E$1:E859)*(E860=E$1:E859)))))</f>
        <v> </v>
      </c>
      <c r="L860" s="26"/>
    </row>
    <row r="861" spans="1:12">
      <c r="A861" s="20" t="s">
        <v>564</v>
      </c>
      <c r="B861" s="27" t="s">
        <v>183</v>
      </c>
      <c r="C861" s="27" t="s">
        <v>189</v>
      </c>
      <c r="E861" s="21">
        <f>IF(D861="?OLD","!!!","")</f>
        <v/>
      </c>
      <c r="F861" s="22" t="str">
        <f>IF(OR(E861="",E861="!!!"),"",IF(NOT(ISNA(VLOOKUP(E861,E$1:E860,1,FALSE()))),"OLD",IF(AND(E861&lt;&gt;"",E861&lt;&gt;"!!!"),"NEW","")))</f>
        <v> 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4" t="str">
        <f>IF(J861&lt;&gt;1,"",IF(I861="SBJ","CB","?"))</f>
        <v> </v>
      </c>
      <c r="I861" s="25" t="str">
        <f>IF(OR(E861="",E861="!!!",F861="NEW"),"",INDEX(B860:B$2,-1+SUMPRODUCT(MAX(ROW(E860:E$2)*(E861=E860:E$2)))))</f>
        <v> </v>
      </c>
      <c r="J861" s="25" t="str">
        <f>IF(OR(E861="",E861="!!!",F861="NEW"),"",COUNTBLANK(OFFSET(A$1,,,SUMPRODUCT(MAX(ROW(E$2:E861)*(E861=E$2:E861)))))-COUNTBLANK(OFFSET(A$1,,,SUMPRODUCT(MAX(ROW(E$1:E860)*(E2=E$1:E860))))))</f>
        <v> </v>
      </c>
      <c r="K861" s="25" t="str">
        <f>IF(OR(E861="",E861="!!!",F861="NEW"),"",INDEX(J$1:J860,SUMPRODUCT(MAX(ROW(E$1:E860)*(E861=E$1:E860)))))</f>
        <v> </v>
      </c>
      <c r="L861" s="26"/>
    </row>
    <row r="862" spans="1:12">
      <c r="A862" s="20" t="s">
        <v>181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284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 t="s">
        <v>384</v>
      </c>
      <c r="B864" s="27" t="s">
        <v>246</v>
      </c>
      <c r="C864" s="27" t="s">
        <v>199</v>
      </c>
      <c r="D864" s="27" t="s">
        <v>185</v>
      </c>
      <c r="E864" s="21">
        <f>IF(D864="?OLD","!!!","")</f>
        <v/>
      </c>
      <c r="F864" s="22" t="str">
        <f>IF(OR(E864="",E864="!!!"),"",IF(NOT(ISNA(VLOOKUP(E864,E$1:E863,1,FALSE()))),"OLD",IF(AND(E864&lt;&gt;"",E864&lt;&gt;"!!!"),"NEW","")))</f>
        <v> </v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4" t="str">
        <f>IF(J864&lt;&gt;1,"",IF(I864="SBJ","CB","?"))</f>
        <v> </v>
      </c>
      <c r="I864" s="25" t="str">
        <f>IF(OR(E864="",E864="!!!",F864="NEW"),"",INDEX(B863:B$2,-1+SUMPRODUCT(MAX(ROW(E863:E$2)*(E864=E863:E$2)))))</f>
        <v> </v>
      </c>
      <c r="J864" s="25" t="str">
        <f>IF(OR(E864="",E864="!!!",F864="NEW"),"",COUNTBLANK(OFFSET(A$1,,,SUMPRODUCT(MAX(ROW(E$2:E864)*(E864=E$2:E864)))))-COUNTBLANK(OFFSET(A$1,,,SUMPRODUCT(MAX(ROW(E$1:E863)*(E2=E$1:E863))))))</f>
        <v> </v>
      </c>
      <c r="K864" s="25" t="str">
        <f>IF(OR(E864="",E864="!!!",F864="NEW"),"",INDEX(J$1:J863,SUMPRODUCT(MAX(ROW(E$1:E863)*(E864=E$1:E863)))))</f>
        <v> </v>
      </c>
      <c r="L864" s="26"/>
    </row>
    <row r="865" spans="1:12">
      <c r="A865" s="20" t="s">
        <v>190</v>
      </c>
      <c r="E865" s="21">
        <f>IF(D865="?OLD","!!!","")</f>
        <v/>
      </c>
      <c r="F865" s="22" t="str">
        <f>IF(OR(E865="",E865="!!!"),"",IF(NOT(ISNA(VLOOKUP(E865,E$1:E864,1,FALSE()))),"OLD",IF(AND(E865&lt;&gt;"",E865&lt;&gt;"!!!"),"NEW","")))</f>
        <v> </v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4" t="str">
        <f>IF(J865&lt;&gt;1,"",IF(I865="SBJ","CB","?"))</f>
        <v> </v>
      </c>
      <c r="I865" s="25" t="str">
        <f>IF(OR(E865="",E865="!!!",F865="NEW"),"",INDEX(B864:B$2,-1+SUMPRODUCT(MAX(ROW(E864:E$2)*(E865=E864:E$2)))))</f>
        <v> </v>
      </c>
      <c r="J865" s="25" t="str">
        <f>IF(OR(E865="",E865="!!!",F865="NEW"),"",COUNTBLANK(OFFSET(A$1,,,SUMPRODUCT(MAX(ROW(E$2:E865)*(E865=E$2:E865)))))-COUNTBLANK(OFFSET(A$1,,,SUMPRODUCT(MAX(ROW(E$1:E864)*(E2=E$1:E864))))))</f>
        <v> </v>
      </c>
      <c r="K865" s="25" t="str">
        <f>IF(OR(E865="",E865="!!!",F865="NEW"),"",INDEX(J$1:J864,SUMPRODUCT(MAX(ROW(E$1:E864)*(E865=E$1:E864)))))</f>
        <v> </v>
      </c>
      <c r="L865" s="26"/>
    </row>
    <row r="866" spans="1:12">
      <c r="A866" s="20" t="s">
        <v>181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 t="s">
        <v>197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 t="s">
        <v>565</v>
      </c>
      <c r="B868" s="27" t="s">
        <v>246</v>
      </c>
      <c r="C868" s="27" t="s">
        <v>199</v>
      </c>
      <c r="D868" s="27" t="s">
        <v>185</v>
      </c>
      <c r="E868" s="21">
        <f>IF(D868="?OLD","!!!","")</f>
        <v/>
      </c>
      <c r="F868" s="22" t="str">
        <f>IF(OR(E868="",E868="!!!"),"",IF(NOT(ISNA(VLOOKUP(E868,E$1:E867,1,FALSE()))),"OLD",IF(AND(E868&lt;&gt;"",E868&lt;&gt;"!!!"),"NEW","")))</f>
        <v> </v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4" t="str">
        <f>IF(J868&lt;&gt;1,"",IF(I868="SBJ","CB","?"))</f>
        <v> </v>
      </c>
      <c r="I868" s="25" t="str">
        <f>IF(OR(E868="",E868="!!!",F868="NEW"),"",INDEX(B867:B$2,-1+SUMPRODUCT(MAX(ROW(E867:E$2)*(E868=E867:E$2)))))</f>
        <v> </v>
      </c>
      <c r="J868" s="25" t="str">
        <f>IF(OR(E868="",E868="!!!",F868="NEW"),"",COUNTBLANK(OFFSET(A$1,,,SUMPRODUCT(MAX(ROW(E$2:E868)*(E868=E$2:E868)))))-COUNTBLANK(OFFSET(A$1,,,SUMPRODUCT(MAX(ROW(E$1:E867)*(E2=E$1:E867))))))</f>
        <v> </v>
      </c>
      <c r="K868" s="25" t="str">
        <f>IF(OR(E868="",E868="!!!",F868="NEW"),"",INDEX(J$1:J867,SUMPRODUCT(MAX(ROW(E$1:E867)*(E868=E$1:E867)))))</f>
        <v> </v>
      </c>
      <c r="L868" s="26"/>
    </row>
    <row r="869" spans="1:12">
      <c r="A869" s="20" t="s">
        <v>566</v>
      </c>
      <c r="E869" s="21">
        <f>IF(D869="?OLD","!!!","")</f>
        <v/>
      </c>
      <c r="F869" s="22" t="str">
        <f>IF(OR(E869="",E869="!!!"),"",IF(NOT(ISNA(VLOOKUP(E869,E$1:E868,1,FALSE()))),"OLD",IF(AND(E869&lt;&gt;"",E869&lt;&gt;"!!!"),"NEW","")))</f>
        <v> </v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4" t="str">
        <f>IF(J869&lt;&gt;1,"",IF(I869="SBJ","CB","?"))</f>
        <v> </v>
      </c>
      <c r="I869" s="25" t="str">
        <f>IF(OR(E869="",E869="!!!",F869="NEW"),"",INDEX(B868:B$2,-1+SUMPRODUCT(MAX(ROW(E868:E$2)*(E869=E868:E$2)))))</f>
        <v> </v>
      </c>
      <c r="J869" s="25" t="str">
        <f>IF(OR(E869="",E869="!!!",F869="NEW"),"",COUNTBLANK(OFFSET(A$1,,,SUMPRODUCT(MAX(ROW(E$2:E869)*(E869=E$2:E869)))))-COUNTBLANK(OFFSET(A$1,,,SUMPRODUCT(MAX(ROW(E$1:E868)*(E2=E$1:E868))))))</f>
        <v> </v>
      </c>
      <c r="K869" s="25" t="str">
        <f>IF(OR(E869="",E869="!!!",F869="NEW"),"",INDEX(J$1:J868,SUMPRODUCT(MAX(ROW(E$1:E868)*(E869=E$1:E868)))))</f>
        <v> </v>
      </c>
      <c r="L869" s="26"/>
    </row>
    <row r="870" spans="1:12">
      <c r="A870" s="20" t="s">
        <v>190</v>
      </c>
      <c r="E870" s="21">
        <f>IF(D870="?OLD","!!!","")</f>
        <v/>
      </c>
      <c r="F870" s="22" t="str">
        <f>IF(OR(E870="",E870="!!!"),"",IF(NOT(ISNA(VLOOKUP(E870,E$1:E869,1,FALSE()))),"OLD",IF(AND(E870&lt;&gt;"",E870&lt;&gt;"!!!"),"NEW","")))</f>
        <v> </v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4" t="str">
        <f>IF(J870&lt;&gt;1,"",IF(I870="SBJ","CB","?"))</f>
        <v> </v>
      </c>
      <c r="I870" s="25" t="str">
        <f>IF(OR(E870="",E870="!!!",F870="NEW"),"",INDEX(B869:B$2,-1+SUMPRODUCT(MAX(ROW(E869:E$2)*(E870=E869:E$2)))))</f>
        <v> </v>
      </c>
      <c r="J870" s="25" t="str">
        <f>IF(OR(E870="",E870="!!!",F870="NEW"),"",COUNTBLANK(OFFSET(A$1,,,SUMPRODUCT(MAX(ROW(E$2:E870)*(E870=E$2:E870)))))-COUNTBLANK(OFFSET(A$1,,,SUMPRODUCT(MAX(ROW(E$1:E869)*(E2=E$1:E869))))))</f>
        <v> </v>
      </c>
      <c r="K870" s="25" t="str">
        <f>IF(OR(E870="",E870="!!!",F870="NEW"),"",INDEX(J$1:J869,SUMPRODUCT(MAX(ROW(E$1:E869)*(E870=E$1:E869)))))</f>
        <v> </v>
      </c>
      <c r="L870" s="26"/>
    </row>
    <row r="871" spans="1:12">
      <c r="A871" s="20" t="s">
        <v>181</v>
      </c>
      <c r="E871" s="21">
        <f>IF(D871="?OLD","!!!","")</f>
        <v/>
      </c>
      <c r="F871" s="22" t="str">
        <f>IF(OR(E871="",E871="!!!"),"",IF(NOT(ISNA(VLOOKUP(E871,E$1:E870,1,FALSE()))),"OLD",IF(AND(E871&lt;&gt;"",E871&lt;&gt;"!!!"),"NEW","")))</f>
        <v> </v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4" t="str">
        <f>IF(J871&lt;&gt;1,"",IF(I871="SBJ","CB","?"))</f>
        <v> </v>
      </c>
      <c r="I871" s="25" t="str">
        <f>IF(OR(E871="",E871="!!!",F871="NEW"),"",INDEX(B870:B$2,-1+SUMPRODUCT(MAX(ROW(E870:E$2)*(E871=E870:E$2)))))</f>
        <v> </v>
      </c>
      <c r="J871" s="25" t="str">
        <f>IF(OR(E871="",E871="!!!",F871="NEW"),"",COUNTBLANK(OFFSET(A$1,,,SUMPRODUCT(MAX(ROW(E$2:E871)*(E871=E$2:E871)))))-COUNTBLANK(OFFSET(A$1,,,SUMPRODUCT(MAX(ROW(E$1:E870)*(E2=E$1:E870))))))</f>
        <v> </v>
      </c>
      <c r="K871" s="25" t="str">
        <f>IF(OR(E871="",E871="!!!",F871="NEW"),"",INDEX(J$1:J870,SUMPRODUCT(MAX(ROW(E$1:E870)*(E871=E$1:E870)))))</f>
        <v> </v>
      </c>
      <c r="L871" s="26"/>
    </row>
    <row r="872" spans="1:12">
      <c r="A872" s="20" t="s">
        <v>197</v>
      </c>
      <c r="E872" s="21">
        <f>IF(D872="?OLD","!!!","")</f>
        <v/>
      </c>
      <c r="F872" s="22" t="str">
        <f>IF(OR(E872="",E872="!!!"),"",IF(NOT(ISNA(VLOOKUP(E872,E$1:E871,1,FALSE()))),"OLD",IF(AND(E872&lt;&gt;"",E872&lt;&gt;"!!!"),"NEW","")))</f>
        <v> </v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4" t="str">
        <f>IF(J872&lt;&gt;1,"",IF(I872="SBJ","CB","?"))</f>
        <v> </v>
      </c>
      <c r="I872" s="25" t="str">
        <f>IF(OR(E872="",E872="!!!",F872="NEW"),"",INDEX(B871:B$2,-1+SUMPRODUCT(MAX(ROW(E871:E$2)*(E872=E871:E$2)))))</f>
        <v> </v>
      </c>
      <c r="J872" s="25" t="str">
        <f>IF(OR(E872="",E872="!!!",F872="NEW"),"",COUNTBLANK(OFFSET(A$1,,,SUMPRODUCT(MAX(ROW(E$2:E872)*(E872=E$2:E872)))))-COUNTBLANK(OFFSET(A$1,,,SUMPRODUCT(MAX(ROW(E$1:E871)*(E2=E$1:E871))))))</f>
        <v> </v>
      </c>
      <c r="K872" s="25" t="str">
        <f>IF(OR(E872="",E872="!!!",F872="NEW"),"",INDEX(J$1:J871,SUMPRODUCT(MAX(ROW(E$1:E871)*(E872=E$1:E871)))))</f>
        <v> </v>
      </c>
      <c r="L872" s="26"/>
    </row>
    <row r="873" spans="1:12">
      <c r="A873" s="20" t="s">
        <v>567</v>
      </c>
      <c r="B873" s="27" t="s">
        <v>246</v>
      </c>
      <c r="C873" s="27" t="s">
        <v>199</v>
      </c>
      <c r="D873" s="27" t="s">
        <v>185</v>
      </c>
      <c r="E873" s="21">
        <f>IF(D873="?OLD","!!!","")</f>
        <v/>
      </c>
      <c r="F873" s="22" t="str">
        <f>IF(OR(E873="",E873="!!!"),"",IF(NOT(ISNA(VLOOKUP(E873,E$1:E872,1,FALSE()))),"OLD",IF(AND(E873&lt;&gt;"",E873&lt;&gt;"!!!"),"NEW","")))</f>
        <v> </v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4" t="str">
        <f>IF(J873&lt;&gt;1,"",IF(I873="SBJ","CB","?"))</f>
        <v> </v>
      </c>
      <c r="I873" s="25" t="str">
        <f>IF(OR(E873="",E873="!!!",F873="NEW"),"",INDEX(B872:B$2,-1+SUMPRODUCT(MAX(ROW(E872:E$2)*(E873=E872:E$2)))))</f>
        <v> </v>
      </c>
      <c r="J873" s="25" t="str">
        <f>IF(OR(E873="",E873="!!!",F873="NEW"),"",COUNTBLANK(OFFSET(A$1,,,SUMPRODUCT(MAX(ROW(E$2:E873)*(E873=E$2:E873)))))-COUNTBLANK(OFFSET(A$1,,,SUMPRODUCT(MAX(ROW(E$1:E872)*(E2=E$1:E872))))))</f>
        <v> </v>
      </c>
      <c r="K873" s="25" t="str">
        <f>IF(OR(E873="",E873="!!!",F873="NEW"),"",INDEX(J$1:J872,SUMPRODUCT(MAX(ROW(E$1:E872)*(E873=E$1:E872)))))</f>
        <v> </v>
      </c>
      <c r="L873" s="26"/>
    </row>
    <row r="874" spans="1:12">
      <c r="A874" s="20" t="s">
        <v>194</v>
      </c>
      <c r="E874" s="21">
        <f>IF(D874="?OLD","!!!","")</f>
        <v/>
      </c>
      <c r="F874" s="22" t="str">
        <f>IF(OR(E874="",E874="!!!"),"",IF(NOT(ISNA(VLOOKUP(E874,E$1:E873,1,FALSE()))),"OLD",IF(AND(E874&lt;&gt;"",E874&lt;&gt;"!!!"),"NEW","")))</f>
        <v> </v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4" t="str">
        <f>IF(J874&lt;&gt;1,"",IF(I874="SBJ","CB","?"))</f>
        <v> </v>
      </c>
      <c r="I874" s="25" t="str">
        <f>IF(OR(E874="",E874="!!!",F874="NEW"),"",INDEX(B873:B$2,-1+SUMPRODUCT(MAX(ROW(E873:E$2)*(E874=E873:E$2)))))</f>
        <v> </v>
      </c>
      <c r="J874" s="25" t="str">
        <f>IF(OR(E874="",E874="!!!",F874="NEW"),"",COUNTBLANK(OFFSET(A$1,,,SUMPRODUCT(MAX(ROW(E$2:E874)*(E874=E$2:E874)))))-COUNTBLANK(OFFSET(A$1,,,SUMPRODUCT(MAX(ROW(E$1:E873)*(E2=E$1:E873))))))</f>
        <v> </v>
      </c>
      <c r="K874" s="25" t="str">
        <f>IF(OR(E874="",E874="!!!",F874="NEW"),"",INDEX(J$1:J873,SUMPRODUCT(MAX(ROW(E$1:E873)*(E874=E$1:E873)))))</f>
        <v> </v>
      </c>
      <c r="L874" s="26"/>
    </row>
    <row r="875" spans="1:12">
      <c r="A875" s="20" t="s">
        <v>181</v>
      </c>
      <c r="E875" s="21">
        <f>IF(D875="?OLD","!!!","")</f>
        <v/>
      </c>
      <c r="F875" s="22" t="str">
        <f>IF(OR(E875="",E875="!!!"),"",IF(NOT(ISNA(VLOOKUP(E875,E$1:E874,1,FALSE()))),"OLD",IF(AND(E875&lt;&gt;"",E875&lt;&gt;"!!!"),"NEW","")))</f>
        <v> </v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4" t="str">
        <f>IF(J875&lt;&gt;1,"",IF(I875="SBJ","CB","?"))</f>
        <v> </v>
      </c>
      <c r="I875" s="25" t="str">
        <f>IF(OR(E875="",E875="!!!",F875="NEW"),"",INDEX(B874:B$2,-1+SUMPRODUCT(MAX(ROW(E874:E$2)*(E875=E874:E$2)))))</f>
        <v> </v>
      </c>
      <c r="J875" s="25" t="str">
        <f>IF(OR(E875="",E875="!!!",F875="NEW"),"",COUNTBLANK(OFFSET(A$1,,,SUMPRODUCT(MAX(ROW(E$2:E875)*(E875=E$2:E875)))))-COUNTBLANK(OFFSET(A$1,,,SUMPRODUCT(MAX(ROW(E$1:E874)*(E2=E$1:E874))))))</f>
        <v> </v>
      </c>
      <c r="K875" s="25" t="str">
        <f>IF(OR(E875="",E875="!!!",F875="NEW"),"",INDEX(J$1:J874,SUMPRODUCT(MAX(ROW(E$1:E874)*(E875=E$1:E874)))))</f>
        <v> </v>
      </c>
      <c r="L875" s="26"/>
    </row>
    <row r="876" spans="1:12">
      <c r="A876" s="20" t="s">
        <v>197</v>
      </c>
      <c r="E876" s="21">
        <f>IF(D876="?OLD","!!!","")</f>
        <v/>
      </c>
      <c r="F876" s="22" t="str">
        <f>IF(OR(E876="",E876="!!!"),"",IF(NOT(ISNA(VLOOKUP(E876,E$1:E875,1,FALSE()))),"OLD",IF(AND(E876&lt;&gt;"",E876&lt;&gt;"!!!"),"NEW","")))</f>
        <v> </v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4" t="str">
        <f>IF(J876&lt;&gt;1,"",IF(I876="SBJ","CB","?"))</f>
        <v> </v>
      </c>
      <c r="I876" s="25" t="str">
        <f>IF(OR(E876="",E876="!!!",F876="NEW"),"",INDEX(B875:B$2,-1+SUMPRODUCT(MAX(ROW(E875:E$2)*(E876=E875:E$2)))))</f>
        <v> </v>
      </c>
      <c r="J876" s="25" t="str">
        <f>IF(OR(E876="",E876="!!!",F876="NEW"),"",COUNTBLANK(OFFSET(A$1,,,SUMPRODUCT(MAX(ROW(E$2:E876)*(E876=E$2:E876)))))-COUNTBLANK(OFFSET(A$1,,,SUMPRODUCT(MAX(ROW(E$1:E875)*(E2=E$1:E875))))))</f>
        <v> </v>
      </c>
      <c r="K876" s="25" t="str">
        <f>IF(OR(E876="",E876="!!!",F876="NEW"),"",INDEX(J$1:J875,SUMPRODUCT(MAX(ROW(E$1:E875)*(E876=E$1:E875)))))</f>
        <v> </v>
      </c>
      <c r="L876" s="26"/>
    </row>
    <row r="877" spans="1:12">
      <c r="A877" s="20" t="s">
        <v>352</v>
      </c>
      <c r="B877" s="27" t="s">
        <v>183</v>
      </c>
      <c r="C877" s="27" t="s">
        <v>199</v>
      </c>
      <c r="D877" s="27" t="s">
        <v>185</v>
      </c>
      <c r="E877" s="21">
        <f>IF(D877="?OLD","!!!","")</f>
        <v/>
      </c>
      <c r="F877" s="22" t="str">
        <f>IF(OR(E877="",E877="!!!"),"",IF(NOT(ISNA(VLOOKUP(E877,E$1:E876,1,FALSE()))),"OLD",IF(AND(E877&lt;&gt;"",E877&lt;&gt;"!!!"),"NEW","")))</f>
        <v> 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4" t="str">
        <f>IF(J877&lt;&gt;1,"",IF(I877="SBJ","CB","?"))</f>
        <v> </v>
      </c>
      <c r="I877" s="25" t="str">
        <f>IF(OR(E877="",E877="!!!",F877="NEW"),"",INDEX(B876:B$2,-1+SUMPRODUCT(MAX(ROW(E876:E$2)*(E877=E876:E$2)))))</f>
        <v> </v>
      </c>
      <c r="J877" s="25" t="str">
        <f>IF(OR(E877="",E877="!!!",F877="NEW"),"",COUNTBLANK(OFFSET(A$1,,,SUMPRODUCT(MAX(ROW(E$2:E877)*(E877=E$2:E877)))))-COUNTBLANK(OFFSET(A$1,,,SUMPRODUCT(MAX(ROW(E$1:E876)*(E2=E$1:E876))))))</f>
        <v> </v>
      </c>
      <c r="K877" s="25" t="str">
        <f>IF(OR(E877="",E877="!!!",F877="NEW"),"",INDEX(J$1:J876,SUMPRODUCT(MAX(ROW(E$1:E876)*(E877=E$1:E876)))))</f>
        <v> </v>
      </c>
      <c r="L877" s="26"/>
    </row>
    <row r="878" spans="1:12">
      <c r="A878" s="20" t="s">
        <v>190</v>
      </c>
      <c r="E878" s="21">
        <f>IF(D878="?OLD","!!!","")</f>
        <v/>
      </c>
      <c r="F878" s="22" t="str">
        <f>IF(OR(E878="",E878="!!!"),"",IF(NOT(ISNA(VLOOKUP(E878,E$1:E877,1,FALSE()))),"OLD",IF(AND(E878&lt;&gt;"",E878&lt;&gt;"!!!"),"NEW","")))</f>
        <v> </v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4" t="str">
        <f>IF(J878&lt;&gt;1,"",IF(I878="SBJ","CB","?"))</f>
        <v> </v>
      </c>
      <c r="I878" s="25" t="str">
        <f>IF(OR(E878="",E878="!!!",F878="NEW"),"",INDEX(B877:B$2,-1+SUMPRODUCT(MAX(ROW(E877:E$2)*(E878=E877:E$2)))))</f>
        <v> </v>
      </c>
      <c r="J878" s="25" t="str">
        <f>IF(OR(E878="",E878="!!!",F878="NEW"),"",COUNTBLANK(OFFSET(A$1,,,SUMPRODUCT(MAX(ROW(E$2:E878)*(E878=E$2:E878)))))-COUNTBLANK(OFFSET(A$1,,,SUMPRODUCT(MAX(ROW(E$1:E877)*(E2=E$1:E877))))))</f>
        <v> </v>
      </c>
      <c r="K878" s="25" t="str">
        <f>IF(OR(E878="",E878="!!!",F878="NEW"),"",INDEX(J$1:J877,SUMPRODUCT(MAX(ROW(E$1:E877)*(E878=E$1:E877)))))</f>
        <v> </v>
      </c>
      <c r="L878" s="26"/>
    </row>
    <row r="879" spans="1:12">
      <c r="A879" s="20" t="s">
        <v>219</v>
      </c>
      <c r="E879" s="21">
        <f>IF(D879="?OLD","!!!","")</f>
        <v/>
      </c>
      <c r="F879" s="22" t="str">
        <f>IF(OR(E879="",E879="!!!"),"",IF(NOT(ISNA(VLOOKUP(E879,E$1:E878,1,FALSE()))),"OLD",IF(AND(E879&lt;&gt;"",E879&lt;&gt;"!!!"),"NEW","")))</f>
        <v> </v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4" t="str">
        <f>IF(J879&lt;&gt;1,"",IF(I879="SBJ","CB","?"))</f>
        <v> </v>
      </c>
      <c r="I879" s="25" t="str">
        <f>IF(OR(E879="",E879="!!!",F879="NEW"),"",INDEX(B878:B$2,-1+SUMPRODUCT(MAX(ROW(E878:E$2)*(E879=E878:E$2)))))</f>
        <v> </v>
      </c>
      <c r="J879" s="25" t="str">
        <f>IF(OR(E879="",E879="!!!",F879="NEW"),"",COUNTBLANK(OFFSET(A$1,,,SUMPRODUCT(MAX(ROW(E$2:E879)*(E879=E$2:E879)))))-COUNTBLANK(OFFSET(A$1,,,SUMPRODUCT(MAX(ROW(E$1:E878)*(E2=E$1:E878))))))</f>
        <v> </v>
      </c>
      <c r="K879" s="25" t="str">
        <f>IF(OR(E879="",E879="!!!",F879="NEW"),"",INDEX(J$1:J878,SUMPRODUCT(MAX(ROW(E$1:E878)*(E879=E$1:E878)))))</f>
        <v> </v>
      </c>
      <c r="L879" s="26"/>
    </row>
    <row r="880" spans="1:12">
      <c r="A880" s="20" t="s">
        <v>300</v>
      </c>
      <c r="E880" s="21">
        <f>IF(D880="?OLD","!!!","")</f>
        <v/>
      </c>
      <c r="F880" s="22" t="str">
        <f>IF(OR(E880="",E880="!!!"),"",IF(NOT(ISNA(VLOOKUP(E880,E$1:E879,1,FALSE()))),"OLD",IF(AND(E880&lt;&gt;"",E880&lt;&gt;"!!!"),"NEW","")))</f>
        <v> </v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4" t="str">
        <f>IF(J880&lt;&gt;1,"",IF(I880="SBJ","CB","?"))</f>
        <v> </v>
      </c>
      <c r="I880" s="25" t="str">
        <f>IF(OR(E880="",E880="!!!",F880="NEW"),"",INDEX(B879:B$2,-1+SUMPRODUCT(MAX(ROW(E879:E$2)*(E880=E879:E$2)))))</f>
        <v> </v>
      </c>
      <c r="J880" s="25" t="str">
        <f>IF(OR(E880="",E880="!!!",F880="NEW"),"",COUNTBLANK(OFFSET(A$1,,,SUMPRODUCT(MAX(ROW(E$2:E880)*(E880=E$2:E880)))))-COUNTBLANK(OFFSET(A$1,,,SUMPRODUCT(MAX(ROW(E$1:E879)*(E2=E$1:E879))))))</f>
        <v> </v>
      </c>
      <c r="K880" s="25" t="str">
        <f>IF(OR(E880="",E880="!!!",F880="NEW"),"",INDEX(J$1:J879,SUMPRODUCT(MAX(ROW(E$1:E879)*(E880=E$1:E879)))))</f>
        <v> </v>
      </c>
      <c r="L880" s="26"/>
    </row>
    <row r="881" spans="1:12">
      <c r="A881" s="20" t="s">
        <v>561</v>
      </c>
      <c r="E881" s="21">
        <f>IF(D881="?OLD","!!!","")</f>
        <v/>
      </c>
      <c r="F881" s="22" t="str">
        <f>IF(OR(E881="",E881="!!!"),"",IF(NOT(ISNA(VLOOKUP(E881,E$1:E880,1,FALSE()))),"OLD",IF(AND(E881&lt;&gt;"",E881&lt;&gt;"!!!"),"NEW","")))</f>
        <v> </v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4" t="str">
        <f>IF(J881&lt;&gt;1,"",IF(I881="SBJ","CB","?"))</f>
        <v> </v>
      </c>
      <c r="I881" s="25" t="str">
        <f>IF(OR(E881="",E881="!!!",F881="NEW"),"",INDEX(B880:B$2,-1+SUMPRODUCT(MAX(ROW(E880:E$2)*(E881=E880:E$2)))))</f>
        <v> </v>
      </c>
      <c r="J881" s="25" t="str">
        <f>IF(OR(E881="",E881="!!!",F881="NEW"),"",COUNTBLANK(OFFSET(A$1,,,SUMPRODUCT(MAX(ROW(E$2:E881)*(E881=E$2:E881)))))-COUNTBLANK(OFFSET(A$1,,,SUMPRODUCT(MAX(ROW(E$1:E880)*(E2=E$1:E880))))))</f>
        <v> </v>
      </c>
      <c r="K881" s="25" t="str">
        <f>IF(OR(E881="",E881="!!!",F881="NEW"),"",INDEX(J$1:J880,SUMPRODUCT(MAX(ROW(E$1:E880)*(E881=E$1:E880)))))</f>
        <v> </v>
      </c>
      <c r="L881" s="26"/>
    </row>
    <row r="882" spans="1:12">
      <c r="A882" s="20" t="s">
        <v>186</v>
      </c>
      <c r="E882" s="21">
        <f>IF(D882="?OLD","!!!","")</f>
        <v/>
      </c>
      <c r="F882" s="22" t="str">
        <f>IF(OR(E882="",E882="!!!"),"",IF(NOT(ISNA(VLOOKUP(E882,E$1:E881,1,FALSE()))),"OLD",IF(AND(E882&lt;&gt;"",E882&lt;&gt;"!!!"),"NEW","")))</f>
        <v> </v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4" t="str">
        <f>IF(J882&lt;&gt;1,"",IF(I882="SBJ","CB","?"))</f>
        <v> </v>
      </c>
      <c r="I882" s="25" t="str">
        <f>IF(OR(E882="",E882="!!!",F882="NEW"),"",INDEX(B881:B$2,-1+SUMPRODUCT(MAX(ROW(E881:E$2)*(E882=E881:E$2)))))</f>
        <v> </v>
      </c>
      <c r="J882" s="25" t="str">
        <f>IF(OR(E882="",E882="!!!",F882="NEW"),"",COUNTBLANK(OFFSET(A$1,,,SUMPRODUCT(MAX(ROW(E$2:E882)*(E882=E$2:E882)))))-COUNTBLANK(OFFSET(A$1,,,SUMPRODUCT(MAX(ROW(E$1:E881)*(E2=E$1:E881))))))</f>
        <v> </v>
      </c>
      <c r="K882" s="25" t="str">
        <f>IF(OR(E882="",E882="!!!",F882="NEW"),"",INDEX(J$1:J881,SUMPRODUCT(MAX(ROW(E$1:E881)*(E882=E$1:E881)))))</f>
        <v> </v>
      </c>
      <c r="L882" s="26"/>
    </row>
    <row r="883" spans="1:12">
      <c r="A883" s="20" t="s">
        <v>568</v>
      </c>
      <c r="B883" s="27" t="s">
        <v>183</v>
      </c>
      <c r="C883" s="27" t="s">
        <v>189</v>
      </c>
      <c r="E883" s="21">
        <f>IF(D883="?OLD","!!!","")</f>
        <v/>
      </c>
      <c r="F883" s="22" t="str">
        <f>IF(OR(E883="",E883="!!!"),"",IF(NOT(ISNA(VLOOKUP(E883,E$1:E882,1,FALSE()))),"OLD",IF(AND(E883&lt;&gt;"",E883&lt;&gt;"!!!"),"NEW","")))</f>
        <v> </v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4" t="str">
        <f>IF(J883&lt;&gt;1,"",IF(I883="SBJ","CB","?"))</f>
        <v> </v>
      </c>
      <c r="I883" s="25" t="str">
        <f>IF(OR(E883="",E883="!!!",F883="NEW"),"",INDEX(B882:B$2,-1+SUMPRODUCT(MAX(ROW(E882:E$2)*(E883=E882:E$2)))))</f>
        <v> </v>
      </c>
      <c r="J883" s="25" t="str">
        <f>IF(OR(E883="",E883="!!!",F883="NEW"),"",COUNTBLANK(OFFSET(A$1,,,SUMPRODUCT(MAX(ROW(E$2:E883)*(E883=E$2:E883)))))-COUNTBLANK(OFFSET(A$1,,,SUMPRODUCT(MAX(ROW(E$1:E882)*(E2=E$1:E882))))))</f>
        <v> </v>
      </c>
      <c r="K883" s="25" t="str">
        <f>IF(OR(E883="",E883="!!!",F883="NEW"),"",INDEX(J$1:J882,SUMPRODUCT(MAX(ROW(E$1:E882)*(E883=E$1:E882)))))</f>
        <v> </v>
      </c>
      <c r="L883" s="26"/>
    </row>
    <row r="884" spans="1:12">
      <c r="A884" s="20" t="s">
        <v>333</v>
      </c>
      <c r="E884" s="21">
        <f>IF(D884="?OLD","!!!","")</f>
        <v/>
      </c>
      <c r="F884" s="22" t="str">
        <f>IF(OR(E884="",E884="!!!"),"",IF(NOT(ISNA(VLOOKUP(E884,E$1:E883,1,FALSE()))),"OLD",IF(AND(E884&lt;&gt;"",E884&lt;&gt;"!!!"),"NEW","")))</f>
        <v> </v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4" t="str">
        <f>IF(J884&lt;&gt;1,"",IF(I884="SBJ","CB","?"))</f>
        <v> </v>
      </c>
      <c r="I884" s="25" t="str">
        <f>IF(OR(E884="",E884="!!!",F884="NEW"),"",INDEX(B883:B$2,-1+SUMPRODUCT(MAX(ROW(E883:E$2)*(E884=E883:E$2)))))</f>
        <v> </v>
      </c>
      <c r="J884" s="25" t="str">
        <f>IF(OR(E884="",E884="!!!",F884="NEW"),"",COUNTBLANK(OFFSET(A$1,,,SUMPRODUCT(MAX(ROW(E$2:E884)*(E884=E$2:E884)))))-COUNTBLANK(OFFSET(A$1,,,SUMPRODUCT(MAX(ROW(E$1:E883)*(E2=E$1:E883))))))</f>
        <v> </v>
      </c>
      <c r="K884" s="25" t="str">
        <f>IF(OR(E884="",E884="!!!",F884="NEW"),"",INDEX(J$1:J883,SUMPRODUCT(MAX(ROW(E$1:E883)*(E884=E$1:E883)))))</f>
        <v> </v>
      </c>
      <c r="L884" s="26"/>
    </row>
    <row r="885" spans="1:12">
      <c r="A885" s="20" t="s">
        <v>412</v>
      </c>
      <c r="E885" s="21">
        <f>IF(D885="?OLD","!!!","")</f>
        <v/>
      </c>
      <c r="F885" s="22" t="str">
        <f>IF(OR(E885="",E885="!!!"),"",IF(NOT(ISNA(VLOOKUP(E885,E$1:E884,1,FALSE()))),"OLD",IF(AND(E885&lt;&gt;"",E885&lt;&gt;"!!!"),"NEW","")))</f>
        <v> </v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4" t="str">
        <f>IF(J885&lt;&gt;1,"",IF(I885="SBJ","CB","?"))</f>
        <v> </v>
      </c>
      <c r="I885" s="25" t="str">
        <f>IF(OR(E885="",E885="!!!",F885="NEW"),"",INDEX(B884:B$2,-1+SUMPRODUCT(MAX(ROW(E884:E$2)*(E885=E884:E$2)))))</f>
        <v> </v>
      </c>
      <c r="J885" s="25" t="str">
        <f>IF(OR(E885="",E885="!!!",F885="NEW"),"",COUNTBLANK(OFFSET(A$1,,,SUMPRODUCT(MAX(ROW(E$2:E885)*(E885=E$2:E885)))))-COUNTBLANK(OFFSET(A$1,,,SUMPRODUCT(MAX(ROW(E$1:E884)*(E2=E$1:E884))))))</f>
        <v> </v>
      </c>
      <c r="K885" s="25" t="str">
        <f>IF(OR(E885="",E885="!!!",F885="NEW"),"",INDEX(J$1:J884,SUMPRODUCT(MAX(ROW(E$1:E884)*(E885=E$1:E884)))))</f>
        <v> </v>
      </c>
      <c r="L885" s="26"/>
    </row>
    <row r="886" spans="1:12">
      <c r="A886" s="20" t="s">
        <v>231</v>
      </c>
      <c r="E886" s="21">
        <f>IF(D886="?OLD","!!!","")</f>
        <v/>
      </c>
      <c r="F886" s="22" t="str">
        <f>IF(OR(E886="",E886="!!!"),"",IF(NOT(ISNA(VLOOKUP(E886,E$1:E885,1,FALSE()))),"OLD",IF(AND(E886&lt;&gt;"",E886&lt;&gt;"!!!"),"NEW","")))</f>
        <v> </v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4" t="str">
        <f>IF(J886&lt;&gt;1,"",IF(I886="SBJ","CB","?"))</f>
        <v> </v>
      </c>
      <c r="I886" s="25" t="str">
        <f>IF(OR(E886="",E886="!!!",F886="NEW"),"",INDEX(B885:B$2,-1+SUMPRODUCT(MAX(ROW(E885:E$2)*(E886=E885:E$2)))))</f>
        <v> </v>
      </c>
      <c r="J886" s="25" t="str">
        <f>IF(OR(E886="",E886="!!!",F886="NEW"),"",COUNTBLANK(OFFSET(A$1,,,SUMPRODUCT(MAX(ROW(E$2:E886)*(E886=E$2:E886)))))-COUNTBLANK(OFFSET(A$1,,,SUMPRODUCT(MAX(ROW(E$1:E885)*(E2=E$1:E885))))))</f>
        <v> </v>
      </c>
      <c r="K886" s="25" t="str">
        <f>IF(OR(E886="",E886="!!!",F886="NEW"),"",INDEX(J$1:J885,SUMPRODUCT(MAX(ROW(E$1:E885)*(E886=E$1:E885)))))</f>
        <v> </v>
      </c>
      <c r="L886" s="26"/>
    </row>
    <row r="887" spans="1:12">
      <c r="A887" s="20"/>
    </row>
    <row r="888" spans="1:12">
      <c r="A888" s="20" t="s">
        <v>569</v>
      </c>
    </row>
    <row r="889" spans="1:12">
      <c r="A889" s="20" t="s">
        <v>570</v>
      </c>
      <c r="E889" s="21">
        <f>IF(D889="?OLD","!!!","")</f>
        <v/>
      </c>
      <c r="F889" s="22" t="str">
        <f>IF(OR(E889="",E889="!!!"),"",IF(NOT(ISNA(VLOOKUP(E889,E$1:E888,1,FALSE()))),"OLD",IF(AND(E889&lt;&gt;"",E889&lt;&gt;"!!!"),"NEW","")))</f>
        <v> </v>
      </c>
      <c r="G889" s="23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4" t="str">
        <f>IF(J889&lt;&gt;1,"",IF(I889="SBJ","CB","?"))</f>
        <v> </v>
      </c>
      <c r="I889" s="25" t="str">
        <f>IF(OR(E889="",E889="!!!",F889="NEW"),"",INDEX(B888:B$2,-1+SUMPRODUCT(MAX(ROW(E888:E$2)*(E889=E888:E$2)))))</f>
        <v> </v>
      </c>
      <c r="J889" s="25" t="str">
        <f>IF(OR(E889="",E889="!!!",F889="NEW"),"",COUNTBLANK(OFFSET(A$1,,,SUMPRODUCT(MAX(ROW(E$2:E889)*(E889=E$2:E889)))))-COUNTBLANK(OFFSET(A$1,,,SUMPRODUCT(MAX(ROW(E$1:E888)*(E2=E$1:E888))))))</f>
        <v> </v>
      </c>
      <c r="K889" s="25" t="str">
        <f>IF(OR(E889="",E889="!!!",F889="NEW"),"",INDEX(J$1:J888,SUMPRODUCT(MAX(ROW(E$1:E888)*(E889=E$1:E888)))))</f>
        <v> </v>
      </c>
      <c r="L889" s="26"/>
    </row>
    <row r="890" spans="1:12">
      <c r="A890" s="20" t="s">
        <v>201</v>
      </c>
      <c r="E890" s="21">
        <f>IF(D890="?OLD","!!!","")</f>
        <v/>
      </c>
      <c r="F890" s="22" t="str">
        <f>IF(OR(E890="",E890="!!!"),"",IF(NOT(ISNA(VLOOKUP(E890,E$1:E889,1,FALSE()))),"OLD",IF(AND(E890&lt;&gt;"",E890&lt;&gt;"!!!"),"NEW","")))</f>
        <v> </v>
      </c>
      <c r="G890" s="23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4" t="str">
        <f>IF(J890&lt;&gt;1,"",IF(I890="SBJ","CB","?"))</f>
        <v> </v>
      </c>
      <c r="I890" s="25" t="str">
        <f>IF(OR(E890="",E890="!!!",F890="NEW"),"",INDEX(B889:B$2,-1+SUMPRODUCT(MAX(ROW(E889:E$2)*(E890=E889:E$2)))))</f>
        <v> </v>
      </c>
      <c r="J890" s="25" t="str">
        <f>IF(OR(E890="",E890="!!!",F890="NEW"),"",COUNTBLANK(OFFSET(A$1,,,SUMPRODUCT(MAX(ROW(E$2:E890)*(E890=E$2:E890)))))-COUNTBLANK(OFFSET(A$1,,,SUMPRODUCT(MAX(ROW(E$1:E889)*(E2=E$1:E889))))))</f>
        <v> </v>
      </c>
      <c r="K890" s="25" t="str">
        <f>IF(OR(E890="",E890="!!!",F890="NEW"),"",INDEX(J$1:J889,SUMPRODUCT(MAX(ROW(E$1:E889)*(E890=E$1:E889)))))</f>
        <v> </v>
      </c>
      <c r="L890" s="26"/>
    </row>
    <row r="891" spans="1:12">
      <c r="A891" s="20" t="s">
        <v>340</v>
      </c>
      <c r="B891" s="27" t="s">
        <v>270</v>
      </c>
      <c r="C891" s="27" t="s">
        <v>243</v>
      </c>
      <c r="D891" s="27" t="s">
        <v>185</v>
      </c>
      <c r="E891" s="21">
        <f>IF(D891="?OLD","!!!","")</f>
        <v/>
      </c>
      <c r="F891" s="22" t="str">
        <f>IF(OR(E891="",E891="!!!"),"",IF(NOT(ISNA(VLOOKUP(E891,E$1:E890,1,FALSE()))),"OLD",IF(AND(E891&lt;&gt;"",E891&lt;&gt;"!!!"),"NEW","")))</f>
        <v> </v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4" t="str">
        <f>IF(J891&lt;&gt;1,"",IF(I891="SBJ","CB","?"))</f>
        <v> </v>
      </c>
      <c r="I891" s="25" t="str">
        <f>IF(OR(E891="",E891="!!!",F891="NEW"),"",INDEX(B890:B$2,-1+SUMPRODUCT(MAX(ROW(E890:E$2)*(E891=E890:E$2)))))</f>
        <v> </v>
      </c>
      <c r="J891" s="25" t="str">
        <f>IF(OR(E891="",E891="!!!",F891="NEW"),"",COUNTBLANK(OFFSET(A$1,,,SUMPRODUCT(MAX(ROW(E$2:E891)*(E891=E$2:E891)))))-COUNTBLANK(OFFSET(A$1,,,SUMPRODUCT(MAX(ROW(E$1:E890)*(E2=E$1:E890))))))</f>
        <v> </v>
      </c>
      <c r="K891" s="25" t="str">
        <f>IF(OR(E891="",E891="!!!",F891="NEW"),"",INDEX(J$1:J890,SUMPRODUCT(MAX(ROW(E$1:E890)*(E891=E$1:E890)))))</f>
        <v> </v>
      </c>
      <c r="L891" s="26"/>
    </row>
    <row r="892" spans="1:12">
      <c r="A892" s="20" t="s">
        <v>571</v>
      </c>
      <c r="E892" s="21">
        <f>IF(D892="?OLD","!!!","")</f>
        <v/>
      </c>
      <c r="F892" s="22" t="str">
        <f>IF(OR(E892="",E892="!!!"),"",IF(NOT(ISNA(VLOOKUP(E892,E$1:E891,1,FALSE()))),"OLD",IF(AND(E892&lt;&gt;"",E892&lt;&gt;"!!!"),"NEW","")))</f>
        <v> </v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4" t="str">
        <f>IF(J892&lt;&gt;1,"",IF(I892="SBJ","CB","?"))</f>
        <v> </v>
      </c>
      <c r="I892" s="25" t="str">
        <f>IF(OR(E892="",E892="!!!",F892="NEW"),"",INDEX(B891:B$2,-1+SUMPRODUCT(MAX(ROW(E891:E$2)*(E892=E891:E$2)))))</f>
        <v> </v>
      </c>
      <c r="J892" s="25" t="str">
        <f>IF(OR(E892="",E892="!!!",F892="NEW"),"",COUNTBLANK(OFFSET(A$1,,,SUMPRODUCT(MAX(ROW(E$2:E892)*(E892=E$2:E892)))))-COUNTBLANK(OFFSET(A$1,,,SUMPRODUCT(MAX(ROW(E$1:E891)*(E2=E$1:E891))))))</f>
        <v> </v>
      </c>
      <c r="K892" s="25" t="str">
        <f>IF(OR(E892="",E892="!!!",F892="NEW"),"",INDEX(J$1:J891,SUMPRODUCT(MAX(ROW(E$1:E891)*(E892=E$1:E891)))))</f>
        <v> </v>
      </c>
      <c r="L892" s="26"/>
    </row>
    <row r="893" spans="1:12">
      <c r="A893" s="20" t="s">
        <v>572</v>
      </c>
      <c r="E893" s="21">
        <f>IF(D893="?OLD","!!!","")</f>
        <v/>
      </c>
      <c r="F893" s="22" t="str">
        <f>IF(OR(E893="",E893="!!!"),"",IF(NOT(ISNA(VLOOKUP(E893,E$1:E892,1,FALSE()))),"OLD",IF(AND(E893&lt;&gt;"",E893&lt;&gt;"!!!"),"NEW","")))</f>
        <v> </v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4" t="str">
        <f>IF(J893&lt;&gt;1,"",IF(I893="SBJ","CB","?"))</f>
        <v> </v>
      </c>
      <c r="I893" s="25" t="str">
        <f>IF(OR(E893="",E893="!!!",F893="NEW"),"",INDEX(B892:B$2,-1+SUMPRODUCT(MAX(ROW(E892:E$2)*(E893=E892:E$2)))))</f>
        <v> </v>
      </c>
      <c r="J893" s="25" t="str">
        <f>IF(OR(E893="",E893="!!!",F893="NEW"),"",COUNTBLANK(OFFSET(A$1,,,SUMPRODUCT(MAX(ROW(E$2:E893)*(E893=E$2:E893)))))-COUNTBLANK(OFFSET(A$1,,,SUMPRODUCT(MAX(ROW(E$1:E892)*(E2=E$1:E892))))))</f>
        <v> </v>
      </c>
      <c r="K893" s="25" t="str">
        <f>IF(OR(E893="",E893="!!!",F893="NEW"),"",INDEX(J$1:J892,SUMPRODUCT(MAX(ROW(E$1:E892)*(E893=E$1:E892)))))</f>
        <v> </v>
      </c>
      <c r="L893" s="26"/>
    </row>
    <row r="894" spans="1:12">
      <c r="A894" s="20" t="s">
        <v>197</v>
      </c>
      <c r="E894" s="21">
        <f>IF(D894="?OLD","!!!","")</f>
        <v/>
      </c>
      <c r="F894" s="22" t="str">
        <f>IF(OR(E894="",E894="!!!"),"",IF(NOT(ISNA(VLOOKUP(E894,E$1:E893,1,FALSE()))),"OLD",IF(AND(E894&lt;&gt;"",E894&lt;&gt;"!!!"),"NEW","")))</f>
        <v> </v>
      </c>
      <c r="G894" s="23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4" t="str">
        <f>IF(J894&lt;&gt;1,"",IF(I894="SBJ","CB","?"))</f>
        <v> </v>
      </c>
      <c r="I894" s="25" t="str">
        <f>IF(OR(E894="",E894="!!!",F894="NEW"),"",INDEX(B893:B$2,-1+SUMPRODUCT(MAX(ROW(E893:E$2)*(E894=E893:E$2)))))</f>
        <v> </v>
      </c>
      <c r="J894" s="25" t="str">
        <f>IF(OR(E894="",E894="!!!",F894="NEW"),"",COUNTBLANK(OFFSET(A$1,,,SUMPRODUCT(MAX(ROW(E$2:E894)*(E894=E$2:E894)))))-COUNTBLANK(OFFSET(A$1,,,SUMPRODUCT(MAX(ROW(E$1:E893)*(E2=E$1:E893))))))</f>
        <v> </v>
      </c>
      <c r="K894" s="25" t="str">
        <f>IF(OR(E894="",E894="!!!",F894="NEW"),"",INDEX(J$1:J893,SUMPRODUCT(MAX(ROW(E$1:E893)*(E894=E$1:E893)))))</f>
        <v> </v>
      </c>
      <c r="L894" s="26"/>
    </row>
    <row r="895" spans="1:12">
      <c r="A895" s="20" t="s">
        <v>197</v>
      </c>
      <c r="E895" s="21">
        <f>IF(D895="?OLD","!!!","")</f>
        <v/>
      </c>
      <c r="F895" s="22" t="str">
        <f>IF(OR(E895="",E895="!!!"),"",IF(NOT(ISNA(VLOOKUP(E895,E$1:E894,1,FALSE()))),"OLD",IF(AND(E895&lt;&gt;"",E895&lt;&gt;"!!!"),"NEW","")))</f>
        <v> </v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4" t="str">
        <f>IF(J895&lt;&gt;1,"",IF(I895="SBJ","CB","?"))</f>
        <v> </v>
      </c>
      <c r="I895" s="25" t="str">
        <f>IF(OR(E895="",E895="!!!",F895="NEW"),"",INDEX(B894:B$2,-1+SUMPRODUCT(MAX(ROW(E894:E$2)*(E895=E894:E$2)))))</f>
        <v> </v>
      </c>
      <c r="J895" s="25" t="str">
        <f>IF(OR(E895="",E895="!!!",F895="NEW"),"",COUNTBLANK(OFFSET(A$1,,,SUMPRODUCT(MAX(ROW(E$2:E895)*(E895=E$2:E895)))))-COUNTBLANK(OFFSET(A$1,,,SUMPRODUCT(MAX(ROW(E$1:E894)*(E2=E$1:E894))))))</f>
        <v> </v>
      </c>
      <c r="K895" s="25" t="str">
        <f>IF(OR(E895="",E895="!!!",F895="NEW"),"",INDEX(J$1:J894,SUMPRODUCT(MAX(ROW(E$1:E894)*(E895=E$1:E894)))))</f>
        <v> </v>
      </c>
      <c r="L895" s="26"/>
    </row>
    <row r="896" spans="1:12">
      <c r="A896" s="20" t="s">
        <v>573</v>
      </c>
      <c r="B896" s="27" t="s">
        <v>216</v>
      </c>
      <c r="C896" s="27" t="s">
        <v>206</v>
      </c>
      <c r="D896" s="27" t="s">
        <v>185</v>
      </c>
      <c r="E896" s="21">
        <f>IF(D896="?OLD","!!!","")</f>
        <v/>
      </c>
      <c r="F896" s="22" t="str">
        <f>IF(OR(E896="",E896="!!!"),"",IF(NOT(ISNA(VLOOKUP(E896,E$1:E895,1,FALSE()))),"OLD",IF(AND(E896&lt;&gt;"",E896&lt;&gt;"!!!"),"NEW","")))</f>
        <v> </v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4" t="str">
        <f>IF(J896&lt;&gt;1,"",IF(I896="SBJ","CB","?"))</f>
        <v> </v>
      </c>
      <c r="I896" s="25" t="str">
        <f>IF(OR(E896="",E896="!!!",F896="NEW"),"",INDEX(B895:B$2,-1+SUMPRODUCT(MAX(ROW(E895:E$2)*(E896=E895:E$2)))))</f>
        <v> </v>
      </c>
      <c r="J896" s="25" t="str">
        <f>IF(OR(E896="",E896="!!!",F896="NEW"),"",COUNTBLANK(OFFSET(A$1,,,SUMPRODUCT(MAX(ROW(E$2:E896)*(E896=E$2:E896)))))-COUNTBLANK(OFFSET(A$1,,,SUMPRODUCT(MAX(ROW(E$1:E895)*(E2=E$1:E895))))))</f>
        <v> </v>
      </c>
      <c r="K896" s="25" t="str">
        <f>IF(OR(E896="",E896="!!!",F896="NEW"),"",INDEX(J$1:J895,SUMPRODUCT(MAX(ROW(E$1:E895)*(E896=E$1:E895)))))</f>
        <v> </v>
      </c>
      <c r="L896" s="26"/>
    </row>
    <row r="897" spans="1:12">
      <c r="A897" s="20" t="s">
        <v>574</v>
      </c>
      <c r="B897" s="27" t="s">
        <v>272</v>
      </c>
      <c r="C897" s="27" t="s">
        <v>184</v>
      </c>
      <c r="D897" s="27" t="s">
        <v>185</v>
      </c>
      <c r="E897" s="21">
        <f>IF(D897="?OLD","!!!","")</f>
        <v/>
      </c>
      <c r="F897" s="22" t="str">
        <f>IF(OR(E897="",E897="!!!"),"",IF(NOT(ISNA(VLOOKUP(E897,E$1:E896,1,FALSE()))),"OLD",IF(AND(E897&lt;&gt;"",E897&lt;&gt;"!!!"),"NEW","")))</f>
        <v> </v>
      </c>
      <c r="G897" s="23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4" t="str">
        <f>IF(J897&lt;&gt;1,"",IF(I897="SBJ","CB","?"))</f>
        <v> </v>
      </c>
      <c r="I897" s="25" t="str">
        <f>IF(OR(E897="",E897="!!!",F897="NEW"),"",INDEX(B896:B$2,-1+SUMPRODUCT(MAX(ROW(E896:E$2)*(E897=E896:E$2)))))</f>
        <v> </v>
      </c>
      <c r="J897" s="25" t="str">
        <f>IF(OR(E897="",E897="!!!",F897="NEW"),"",COUNTBLANK(OFFSET(A$1,,,SUMPRODUCT(MAX(ROW(E$2:E897)*(E897=E$2:E897)))))-COUNTBLANK(OFFSET(A$1,,,SUMPRODUCT(MAX(ROW(E$1:E896)*(E2=E$1:E896))))))</f>
        <v> </v>
      </c>
      <c r="K897" s="25" t="str">
        <f>IF(OR(E897="",E897="!!!",F897="NEW"),"",INDEX(J$1:J896,SUMPRODUCT(MAX(ROW(E$1:E896)*(E897=E$1:E896)))))</f>
        <v> </v>
      </c>
      <c r="L897" s="26"/>
    </row>
    <row r="898" spans="1:12">
      <c r="A898" s="20" t="s">
        <v>186</v>
      </c>
      <c r="E898" s="21">
        <f>IF(D898="?OLD","!!!","")</f>
        <v/>
      </c>
      <c r="F898" s="22" t="str">
        <f>IF(OR(E898="",E898="!!!"),"",IF(NOT(ISNA(VLOOKUP(E898,E$1:E897,1,FALSE()))),"OLD",IF(AND(E898&lt;&gt;"",E898&lt;&gt;"!!!"),"NEW","")))</f>
        <v> </v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4" t="str">
        <f>IF(J898&lt;&gt;1,"",IF(I898="SBJ","CB","?"))</f>
        <v> </v>
      </c>
      <c r="I898" s="25" t="str">
        <f>IF(OR(E898="",E898="!!!",F898="NEW"),"",INDEX(B897:B$2,-1+SUMPRODUCT(MAX(ROW(E897:E$2)*(E898=E897:E$2)))))</f>
        <v> </v>
      </c>
      <c r="J898" s="25" t="str">
        <f>IF(OR(E898="",E898="!!!",F898="NEW"),"",COUNTBLANK(OFFSET(A$1,,,SUMPRODUCT(MAX(ROW(E$2:E898)*(E898=E$2:E898)))))-COUNTBLANK(OFFSET(A$1,,,SUMPRODUCT(MAX(ROW(E$1:E897)*(E2=E$1:E897))))))</f>
        <v> </v>
      </c>
      <c r="K898" s="25" t="str">
        <f>IF(OR(E898="",E898="!!!",F898="NEW"),"",INDEX(J$1:J897,SUMPRODUCT(MAX(ROW(E$1:E897)*(E898=E$1:E897)))))</f>
        <v> </v>
      </c>
      <c r="L898" s="26"/>
    </row>
    <row r="899" spans="1:12">
      <c r="A899" s="20" t="s">
        <v>201</v>
      </c>
      <c r="E899" s="21">
        <f>IF(D899="?OLD","!!!","")</f>
        <v/>
      </c>
      <c r="F899" s="22" t="str">
        <f>IF(OR(E899="",E899="!!!"),"",IF(NOT(ISNA(VLOOKUP(E899,E$1:E898,1,FALSE()))),"OLD",IF(AND(E899&lt;&gt;"",E899&lt;&gt;"!!!"),"NEW","")))</f>
        <v> </v>
      </c>
      <c r="G899" s="23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4" t="str">
        <f>IF(J899&lt;&gt;1,"",IF(I899="SBJ","CB","?"))</f>
        <v> </v>
      </c>
      <c r="I899" s="25" t="str">
        <f>IF(OR(E899="",E899="!!!",F899="NEW"),"",INDEX(B898:B$2,-1+SUMPRODUCT(MAX(ROW(E898:E$2)*(E899=E898:E$2)))))</f>
        <v> </v>
      </c>
      <c r="J899" s="25" t="str">
        <f>IF(OR(E899="",E899="!!!",F899="NEW"),"",COUNTBLANK(OFFSET(A$1,,,SUMPRODUCT(MAX(ROW(E$2:E899)*(E899=E$2:E899)))))-COUNTBLANK(OFFSET(A$1,,,SUMPRODUCT(MAX(ROW(E$1:E898)*(E2=E$1:E898))))))</f>
        <v> </v>
      </c>
      <c r="K899" s="25" t="str">
        <f>IF(OR(E899="",E899="!!!",F899="NEW"),"",INDEX(J$1:J898,SUMPRODUCT(MAX(ROW(E$1:E898)*(E899=E$1:E898)))))</f>
        <v> </v>
      </c>
      <c r="L899" s="26"/>
    </row>
    <row r="900" spans="1:12">
      <c r="A900" s="20" t="s">
        <v>284</v>
      </c>
      <c r="E900" s="21">
        <f>IF(D900="?OLD","!!!","")</f>
        <v/>
      </c>
      <c r="F900" s="22" t="str">
        <f>IF(OR(E900="",E900="!!!"),"",IF(NOT(ISNA(VLOOKUP(E900,E$1:E899,1,FALSE()))),"OLD",IF(AND(E900&lt;&gt;"",E900&lt;&gt;"!!!"),"NEW","")))</f>
        <v> </v>
      </c>
      <c r="G900" s="23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4" t="str">
        <f>IF(J900&lt;&gt;1,"",IF(I900="SBJ","CB","?"))</f>
        <v> </v>
      </c>
      <c r="I900" s="25" t="str">
        <f>IF(OR(E900="",E900="!!!",F900="NEW"),"",INDEX(B899:B$2,-1+SUMPRODUCT(MAX(ROW(E899:E$2)*(E900=E899:E$2)))))</f>
        <v> </v>
      </c>
      <c r="J900" s="25" t="str">
        <f>IF(OR(E900="",E900="!!!",F900="NEW"),"",COUNTBLANK(OFFSET(A$1,,,SUMPRODUCT(MAX(ROW(E$2:E900)*(E900=E$2:E900)))))-COUNTBLANK(OFFSET(A$1,,,SUMPRODUCT(MAX(ROW(E$1:E899)*(E2=E$1:E899))))))</f>
        <v> </v>
      </c>
      <c r="K900" s="25" t="str">
        <f>IF(OR(E900="",E900="!!!",F900="NEW"),"",INDEX(J$1:J899,SUMPRODUCT(MAX(ROW(E$1:E899)*(E900=E$1:E899)))))</f>
        <v> </v>
      </c>
      <c r="L900" s="26"/>
    </row>
    <row r="901" spans="1:12">
      <c r="A901" s="20" t="s">
        <v>496</v>
      </c>
      <c r="B901" s="27" t="s">
        <v>349</v>
      </c>
      <c r="C901" s="27" t="s">
        <v>249</v>
      </c>
      <c r="D901" s="27" t="s">
        <v>185</v>
      </c>
      <c r="E901" s="21">
        <f>IF(D901="?OLD","!!!","")</f>
        <v/>
      </c>
      <c r="F901" s="22" t="str">
        <f>IF(OR(E901="",E901="!!!"),"",IF(NOT(ISNA(VLOOKUP(E901,E$1:E900,1,FALSE()))),"OLD",IF(AND(E901&lt;&gt;"",E901&lt;&gt;"!!!"),"NEW","")))</f>
        <v> </v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4" t="str">
        <f>IF(J901&lt;&gt;1,"",IF(I901="SBJ","CB","?"))</f>
        <v> </v>
      </c>
      <c r="I901" s="25" t="str">
        <f>IF(OR(E901="",E901="!!!",F901="NEW"),"",INDEX(B900:B$2,-1+SUMPRODUCT(MAX(ROW(E900:E$2)*(E901=E900:E$2)))))</f>
        <v> </v>
      </c>
      <c r="J901" s="25" t="str">
        <f>IF(OR(E901="",E901="!!!",F901="NEW"),"",COUNTBLANK(OFFSET(A$1,,,SUMPRODUCT(MAX(ROW(E$2:E901)*(E901=E$2:E901)))))-COUNTBLANK(OFFSET(A$1,,,SUMPRODUCT(MAX(ROW(E$1:E900)*(E2=E$1:E900))))))</f>
        <v> </v>
      </c>
      <c r="K901" s="25" t="str">
        <f>IF(OR(E901="",E901="!!!",F901="NEW"),"",INDEX(J$1:J900,SUMPRODUCT(MAX(ROW(E$1:E900)*(E901=E$1:E900)))))</f>
        <v> </v>
      </c>
      <c r="L901" s="26"/>
    </row>
    <row r="902" spans="1:12">
      <c r="A902" s="20" t="s">
        <v>245</v>
      </c>
      <c r="E902" s="21">
        <f>IF(D902="?OLD","!!!","")</f>
        <v/>
      </c>
      <c r="F902" s="22" t="str">
        <f>IF(OR(E902="",E902="!!!"),"",IF(NOT(ISNA(VLOOKUP(E902,E$1:E901,1,FALSE()))),"OLD",IF(AND(E902&lt;&gt;"",E902&lt;&gt;"!!!"),"NEW","")))</f>
        <v> </v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4" t="str">
        <f>IF(J902&lt;&gt;1,"",IF(I902="SBJ","CB","?"))</f>
        <v> </v>
      </c>
      <c r="I902" s="25" t="str">
        <f>IF(OR(E902="",E902="!!!",F902="NEW"),"",INDEX(B901:B$2,-1+SUMPRODUCT(MAX(ROW(E901:E$2)*(E902=E901:E$2)))))</f>
        <v> </v>
      </c>
      <c r="J902" s="25" t="str">
        <f>IF(OR(E902="",E902="!!!",F902="NEW"),"",COUNTBLANK(OFFSET(A$1,,,SUMPRODUCT(MAX(ROW(E$2:E902)*(E902=E$2:E902)))))-COUNTBLANK(OFFSET(A$1,,,SUMPRODUCT(MAX(ROW(E$1:E901)*(E2=E$1:E901))))))</f>
        <v> </v>
      </c>
      <c r="K902" s="25" t="str">
        <f>IF(OR(E902="",E902="!!!",F902="NEW"),"",INDEX(J$1:J901,SUMPRODUCT(MAX(ROW(E$1:E901)*(E902=E$1:E901)))))</f>
        <v> </v>
      </c>
      <c r="L902" s="26"/>
    </row>
    <row r="903" spans="1:12">
      <c r="A903" s="20" t="s">
        <v>267</v>
      </c>
      <c r="E903" s="21">
        <f>IF(D903="?OLD","!!!","")</f>
        <v/>
      </c>
      <c r="F903" s="22" t="str">
        <f>IF(OR(E903="",E903="!!!"),"",IF(NOT(ISNA(VLOOKUP(E903,E$1:E902,1,FALSE()))),"OLD",IF(AND(E903&lt;&gt;"",E903&lt;&gt;"!!!"),"NEW","")))</f>
        <v> </v>
      </c>
      <c r="G903" s="23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4" t="str">
        <f>IF(J903&lt;&gt;1,"",IF(I903="SBJ","CB","?"))</f>
        <v> </v>
      </c>
      <c r="I903" s="25" t="str">
        <f>IF(OR(E903="",E903="!!!",F903="NEW"),"",INDEX(B902:B$2,-1+SUMPRODUCT(MAX(ROW(E902:E$2)*(E903=E902:E$2)))))</f>
        <v> </v>
      </c>
      <c r="J903" s="25" t="str">
        <f>IF(OR(E903="",E903="!!!",F903="NEW"),"",COUNTBLANK(OFFSET(A$1,,,SUMPRODUCT(MAX(ROW(E$2:E903)*(E903=E$2:E903)))))-COUNTBLANK(OFFSET(A$1,,,SUMPRODUCT(MAX(ROW(E$1:E902)*(E2=E$1:E902))))))</f>
        <v> </v>
      </c>
      <c r="K903" s="25" t="str">
        <f>IF(OR(E903="",E903="!!!",F903="NEW"),"",INDEX(J$1:J902,SUMPRODUCT(MAX(ROW(E$1:E902)*(E903=E$1:E902)))))</f>
        <v> </v>
      </c>
      <c r="L903" s="26"/>
    </row>
    <row r="904" spans="1:12">
      <c r="A904" s="20" t="s">
        <v>256</v>
      </c>
      <c r="B904" s="27" t="s">
        <v>216</v>
      </c>
      <c r="C904" s="27" t="s">
        <v>217</v>
      </c>
      <c r="E904" s="21">
        <f>IF(D904="?OLD","!!!","")</f>
        <v/>
      </c>
      <c r="F904" s="22" t="str">
        <f>IF(OR(E904="",E904="!!!"),"",IF(NOT(ISNA(VLOOKUP(E904,E$1:E903,1,FALSE()))),"OLD",IF(AND(E904&lt;&gt;"",E904&lt;&gt;"!!!"),"NEW","")))</f>
        <v> </v>
      </c>
      <c r="G904" s="23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4" t="str">
        <f>IF(J904&lt;&gt;1,"",IF(I904="SBJ","CB","?"))</f>
        <v> </v>
      </c>
      <c r="I904" s="25" t="str">
        <f>IF(OR(E904="",E904="!!!",F904="NEW"),"",INDEX(B903:B$2,-1+SUMPRODUCT(MAX(ROW(E903:E$2)*(E904=E903:E$2)))))</f>
        <v> </v>
      </c>
      <c r="J904" s="25" t="str">
        <f>IF(OR(E904="",E904="!!!",F904="NEW"),"",COUNTBLANK(OFFSET(A$1,,,SUMPRODUCT(MAX(ROW(E$2:E904)*(E904=E$2:E904)))))-COUNTBLANK(OFFSET(A$1,,,SUMPRODUCT(MAX(ROW(E$1:E903)*(E2=E$1:E903))))))</f>
        <v> </v>
      </c>
      <c r="K904" s="25" t="str">
        <f>IF(OR(E904="",E904="!!!",F904="NEW"),"",INDEX(J$1:J903,SUMPRODUCT(MAX(ROW(E$1:E903)*(E904=E$1:E903)))))</f>
        <v> </v>
      </c>
      <c r="L904" s="26"/>
    </row>
    <row r="905" spans="1:12">
      <c r="A905" s="20" t="s">
        <v>333</v>
      </c>
      <c r="E905" s="21">
        <f>IF(D905="?OLD","!!!","")</f>
        <v/>
      </c>
      <c r="F905" s="22" t="str">
        <f>IF(OR(E905="",E905="!!!"),"",IF(NOT(ISNA(VLOOKUP(E905,E$1:E904,1,FALSE()))),"OLD",IF(AND(E905&lt;&gt;"",E905&lt;&gt;"!!!"),"NEW","")))</f>
        <v> </v>
      </c>
      <c r="G905" s="23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4" t="str">
        <f>IF(J905&lt;&gt;1,"",IF(I905="SBJ","CB","?"))</f>
        <v> </v>
      </c>
      <c r="I905" s="25" t="str">
        <f>IF(OR(E905="",E905="!!!",F905="NEW"),"",INDEX(B904:B$2,-1+SUMPRODUCT(MAX(ROW(E904:E$2)*(E905=E904:E$2)))))</f>
        <v> </v>
      </c>
      <c r="J905" s="25" t="str">
        <f>IF(OR(E905="",E905="!!!",F905="NEW"),"",COUNTBLANK(OFFSET(A$1,,,SUMPRODUCT(MAX(ROW(E$2:E905)*(E905=E$2:E905)))))-COUNTBLANK(OFFSET(A$1,,,SUMPRODUCT(MAX(ROW(E$1:E904)*(E2=E$1:E904))))))</f>
        <v> </v>
      </c>
      <c r="K905" s="25" t="str">
        <f>IF(OR(E905="",E905="!!!",F905="NEW"),"",INDEX(J$1:J904,SUMPRODUCT(MAX(ROW(E$1:E904)*(E905=E$1:E904)))))</f>
        <v> </v>
      </c>
      <c r="L905" s="26"/>
    </row>
    <row r="906" spans="1:12">
      <c r="A906" s="20" t="s">
        <v>575</v>
      </c>
      <c r="E906" s="21">
        <f>IF(D906="?OLD","!!!","")</f>
        <v/>
      </c>
      <c r="F906" s="22" t="str">
        <f>IF(OR(E906="",E906="!!!"),"",IF(NOT(ISNA(VLOOKUP(E906,E$1:E905,1,FALSE()))),"OLD",IF(AND(E906&lt;&gt;"",E906&lt;&gt;"!!!"),"NEW","")))</f>
        <v> </v>
      </c>
      <c r="G906" s="23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4" t="str">
        <f>IF(J906&lt;&gt;1,"",IF(I906="SBJ","CB","?"))</f>
        <v> </v>
      </c>
      <c r="I906" s="25" t="str">
        <f>IF(OR(E906="",E906="!!!",F906="NEW"),"",INDEX(B905:B$2,-1+SUMPRODUCT(MAX(ROW(E905:E$2)*(E906=E905:E$2)))))</f>
        <v> </v>
      </c>
      <c r="J906" s="25" t="str">
        <f>IF(OR(E906="",E906="!!!",F906="NEW"),"",COUNTBLANK(OFFSET(A$1,,,SUMPRODUCT(MAX(ROW(E$2:E906)*(E906=E$2:E906)))))-COUNTBLANK(OFFSET(A$1,,,SUMPRODUCT(MAX(ROW(E$1:E905)*(E2=E$1:E905))))))</f>
        <v> </v>
      </c>
      <c r="K906" s="25" t="str">
        <f>IF(OR(E906="",E906="!!!",F906="NEW"),"",INDEX(J$1:J905,SUMPRODUCT(MAX(ROW(E$1:E905)*(E906=E$1:E905)))))</f>
        <v> </v>
      </c>
      <c r="L906" s="26"/>
    </row>
    <row r="907" spans="1:12">
      <c r="A907" s="20" t="s">
        <v>190</v>
      </c>
      <c r="E907" s="21">
        <f>IF(D907="?OLD","!!!","")</f>
        <v/>
      </c>
      <c r="F907" s="22" t="str">
        <f>IF(OR(E907="",E907="!!!"),"",IF(NOT(ISNA(VLOOKUP(E907,E$1:E906,1,FALSE()))),"OLD",IF(AND(E907&lt;&gt;"",E907&lt;&gt;"!!!"),"NEW","")))</f>
        <v> </v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4" t="str">
        <f>IF(J907&lt;&gt;1,"",IF(I907="SBJ","CB","?"))</f>
        <v> </v>
      </c>
      <c r="I907" s="25" t="str">
        <f>IF(OR(E907="",E907="!!!",F907="NEW"),"",INDEX(B906:B$2,-1+SUMPRODUCT(MAX(ROW(E906:E$2)*(E907=E906:E$2)))))</f>
        <v> </v>
      </c>
      <c r="J907" s="25" t="str">
        <f>IF(OR(E907="",E907="!!!",F907="NEW"),"",COUNTBLANK(OFFSET(A$1,,,SUMPRODUCT(MAX(ROW(E$2:E907)*(E907=E$2:E907)))))-COUNTBLANK(OFFSET(A$1,,,SUMPRODUCT(MAX(ROW(E$1:E906)*(E2=E$1:E906))))))</f>
        <v> </v>
      </c>
      <c r="K907" s="25" t="str">
        <f>IF(OR(E907="",E907="!!!",F907="NEW"),"",INDEX(J$1:J906,SUMPRODUCT(MAX(ROW(E$1:E906)*(E907=E$1:E906)))))</f>
        <v> </v>
      </c>
      <c r="L907" s="26"/>
    </row>
    <row r="908" spans="1:12">
      <c r="A908" s="20" t="s">
        <v>576</v>
      </c>
      <c r="E908" s="21">
        <f>IF(D908="?OLD","!!!","")</f>
        <v/>
      </c>
      <c r="F908" s="22" t="str">
        <f>IF(OR(E908="",E908="!!!"),"",IF(NOT(ISNA(VLOOKUP(E908,E$1:E907,1,FALSE()))),"OLD",IF(AND(E908&lt;&gt;"",E908&lt;&gt;"!!!"),"NEW","")))</f>
        <v> </v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4" t="str">
        <f>IF(J908&lt;&gt;1,"",IF(I908="SBJ","CB","?"))</f>
        <v> </v>
      </c>
      <c r="I908" s="25" t="str">
        <f>IF(OR(E908="",E908="!!!",F908="NEW"),"",INDEX(B907:B$2,-1+SUMPRODUCT(MAX(ROW(E907:E$2)*(E908=E907:E$2)))))</f>
        <v> </v>
      </c>
      <c r="J908" s="25" t="str">
        <f>IF(OR(E908="",E908="!!!",F908="NEW"),"",COUNTBLANK(OFFSET(A$1,,,SUMPRODUCT(MAX(ROW(E$2:E908)*(E908=E$2:E908)))))-COUNTBLANK(OFFSET(A$1,,,SUMPRODUCT(MAX(ROW(E$1:E907)*(E2=E$1:E907))))))</f>
        <v> </v>
      </c>
      <c r="K908" s="25" t="str">
        <f>IF(OR(E908="",E908="!!!",F908="NEW"),"",INDEX(J$1:J907,SUMPRODUCT(MAX(ROW(E$1:E907)*(E908=E$1:E907)))))</f>
        <v> </v>
      </c>
      <c r="L908" s="26"/>
    </row>
    <row r="909" spans="1:12">
      <c r="A909" s="20" t="s">
        <v>577</v>
      </c>
      <c r="E909" s="21">
        <f>IF(D909="?OLD","!!!","")</f>
        <v/>
      </c>
      <c r="F909" s="22" t="str">
        <f>IF(OR(E909="",E909="!!!"),"",IF(NOT(ISNA(VLOOKUP(E909,E$1:E908,1,FALSE()))),"OLD",IF(AND(E909&lt;&gt;"",E909&lt;&gt;"!!!"),"NEW","")))</f>
        <v> </v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4" t="str">
        <f>IF(J909&lt;&gt;1,"",IF(I909="SBJ","CB","?"))</f>
        <v> </v>
      </c>
      <c r="I909" s="25" t="str">
        <f>IF(OR(E909="",E909="!!!",F909="NEW"),"",INDEX(B908:B$2,-1+SUMPRODUCT(MAX(ROW(E908:E$2)*(E909=E908:E$2)))))</f>
        <v> </v>
      </c>
      <c r="J909" s="25" t="str">
        <f>IF(OR(E909="",E909="!!!",F909="NEW"),"",COUNTBLANK(OFFSET(A$1,,,SUMPRODUCT(MAX(ROW(E$2:E909)*(E909=E$2:E909)))))-COUNTBLANK(OFFSET(A$1,,,SUMPRODUCT(MAX(ROW(E$1:E908)*(E2=E$1:E908))))))</f>
        <v> </v>
      </c>
      <c r="K909" s="25" t="str">
        <f>IF(OR(E909="",E909="!!!",F909="NEW"),"",INDEX(J$1:J908,SUMPRODUCT(MAX(ROW(E$1:E908)*(E909=E$1:E908)))))</f>
        <v> </v>
      </c>
      <c r="L909" s="26"/>
    </row>
    <row r="910" spans="1:12">
      <c r="A910" s="20" t="s">
        <v>231</v>
      </c>
      <c r="E910" s="21">
        <f>IF(D910="?OLD","!!!","")</f>
        <v/>
      </c>
      <c r="F910" s="22" t="str">
        <f>IF(OR(E910="",E910="!!!"),"",IF(NOT(ISNA(VLOOKUP(E910,E$1:E909,1,FALSE()))),"OLD",IF(AND(E910&lt;&gt;"",E910&lt;&gt;"!!!"),"NEW","")))</f>
        <v> </v>
      </c>
      <c r="G910" s="23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4" t="str">
        <f>IF(J910&lt;&gt;1,"",IF(I910="SBJ","CB","?"))</f>
        <v> </v>
      </c>
      <c r="I910" s="25" t="str">
        <f>IF(OR(E910="",E910="!!!",F910="NEW"),"",INDEX(B909:B$2,-1+SUMPRODUCT(MAX(ROW(E909:E$2)*(E910=E909:E$2)))))</f>
        <v> </v>
      </c>
      <c r="J910" s="25" t="str">
        <f>IF(OR(E910="",E910="!!!",F910="NEW"),"",COUNTBLANK(OFFSET(A$1,,,SUMPRODUCT(MAX(ROW(E$2:E910)*(E910=E$2:E910)))))-COUNTBLANK(OFFSET(A$1,,,SUMPRODUCT(MAX(ROW(E$1:E909)*(E2=E$1:E909))))))</f>
        <v> </v>
      </c>
      <c r="K910" s="25" t="str">
        <f>IF(OR(E910="",E910="!!!",F910="NEW"),"",INDEX(J$1:J909,SUMPRODUCT(MAX(ROW(E$1:E909)*(E910=E$1:E909)))))</f>
        <v> </v>
      </c>
      <c r="L910" s="26"/>
    </row>
    <row r="911" spans="1:12">
      <c r="A911" s="20"/>
    </row>
    <row r="912" spans="1:12">
      <c r="A912" s="20" t="s">
        <v>578</v>
      </c>
    </row>
    <row r="913" spans="1:12">
      <c r="A913" s="20" t="s">
        <v>386</v>
      </c>
      <c r="E913" s="21">
        <f>IF(D913="?OLD","!!!","")</f>
        <v/>
      </c>
      <c r="F913" s="22" t="str">
        <f>IF(OR(E913="",E913="!!!"),"",IF(NOT(ISNA(VLOOKUP(E913,E$1:E912,1,FALSE()))),"OLD",IF(AND(E913&lt;&gt;"",E913&lt;&gt;"!!!"),"NEW","")))</f>
        <v> </v>
      </c>
      <c r="G913" s="23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24" t="str">
        <f>IF(J913&lt;&gt;1,"",IF(I913="SBJ","CB","?"))</f>
        <v> </v>
      </c>
      <c r="I913" s="25" t="str">
        <f>IF(OR(E913="",E913="!!!",F913="NEW"),"",INDEX(B912:B$2,-1+SUMPRODUCT(MAX(ROW(E912:E$2)*(E913=E912:E$2)))))</f>
        <v> </v>
      </c>
      <c r="J913" s="25" t="str">
        <f>IF(OR(E913="",E913="!!!",F913="NEW"),"",COUNTBLANK(OFFSET(A$1,,,SUMPRODUCT(MAX(ROW(E$2:E913)*(E913=E$2:E913)))))-COUNTBLANK(OFFSET(A$1,,,SUMPRODUCT(MAX(ROW(E$1:E912)*(E2=E$1:E912))))))</f>
        <v> </v>
      </c>
      <c r="K913" s="25" t="str">
        <f>IF(OR(E913="",E913="!!!",F913="NEW"),"",INDEX(J$1:J912,SUMPRODUCT(MAX(ROW(E$1:E912)*(E913=E$1:E912)))))</f>
        <v> </v>
      </c>
      <c r="L913" s="26"/>
    </row>
    <row r="914" spans="1:12">
      <c r="A914" s="20" t="s">
        <v>579</v>
      </c>
      <c r="E914" s="21">
        <f>IF(D914="?OLD","!!!","")</f>
        <v/>
      </c>
      <c r="F914" s="22" t="str">
        <f>IF(OR(E914="",E914="!!!"),"",IF(NOT(ISNA(VLOOKUP(E914,E$1:E913,1,FALSE()))),"OLD",IF(AND(E914&lt;&gt;"",E914&lt;&gt;"!!!"),"NEW","")))</f>
        <v> </v>
      </c>
      <c r="G914" s="23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4" t="str">
        <f>IF(J914&lt;&gt;1,"",IF(I914="SBJ","CB","?"))</f>
        <v> </v>
      </c>
      <c r="I914" s="25" t="str">
        <f>IF(OR(E914="",E914="!!!",F914="NEW"),"",INDEX(B913:B$2,-1+SUMPRODUCT(MAX(ROW(E913:E$2)*(E914=E913:E$2)))))</f>
        <v> </v>
      </c>
      <c r="J914" s="25" t="str">
        <f>IF(OR(E914="",E914="!!!",F914="NEW"),"",COUNTBLANK(OFFSET(A$1,,,SUMPRODUCT(MAX(ROW(E$2:E914)*(E914=E$2:E914)))))-COUNTBLANK(OFFSET(A$1,,,SUMPRODUCT(MAX(ROW(E$1:E913)*(E2=E$1:E913))))))</f>
        <v> </v>
      </c>
      <c r="K914" s="25" t="str">
        <f>IF(OR(E914="",E914="!!!",F914="NEW"),"",INDEX(J$1:J913,SUMPRODUCT(MAX(ROW(E$1:E913)*(E914=E$1:E913)))))</f>
        <v> </v>
      </c>
      <c r="L914" s="26"/>
    </row>
    <row r="915" spans="1:12">
      <c r="A915" s="20" t="s">
        <v>580</v>
      </c>
      <c r="E915" s="21">
        <f>IF(D915="?OLD","!!!","")</f>
        <v/>
      </c>
      <c r="F915" s="22" t="str">
        <f>IF(OR(E915="",E915="!!!"),"",IF(NOT(ISNA(VLOOKUP(E915,E$1:E914,1,FALSE()))),"OLD",IF(AND(E915&lt;&gt;"",E915&lt;&gt;"!!!"),"NEW","")))</f>
        <v> </v>
      </c>
      <c r="G915" s="23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4" t="str">
        <f>IF(J915&lt;&gt;1,"",IF(I915="SBJ","CB","?"))</f>
        <v> </v>
      </c>
      <c r="I915" s="25" t="str">
        <f>IF(OR(E915="",E915="!!!",F915="NEW"),"",INDEX(B914:B$2,-1+SUMPRODUCT(MAX(ROW(E914:E$2)*(E915=E914:E$2)))))</f>
        <v> </v>
      </c>
      <c r="J915" s="25" t="str">
        <f>IF(OR(E915="",E915="!!!",F915="NEW"),"",COUNTBLANK(OFFSET(A$1,,,SUMPRODUCT(MAX(ROW(E$2:E915)*(E915=E$2:E915)))))-COUNTBLANK(OFFSET(A$1,,,SUMPRODUCT(MAX(ROW(E$1:E914)*(E2=E$1:E914))))))</f>
        <v> </v>
      </c>
      <c r="K915" s="25" t="str">
        <f>IF(OR(E915="",E915="!!!",F915="NEW"),"",INDEX(J$1:J914,SUMPRODUCT(MAX(ROW(E$1:E914)*(E915=E$1:E914)))))</f>
        <v> </v>
      </c>
      <c r="L915" s="26"/>
    </row>
    <row r="916" spans="1:12">
      <c r="A916" s="20" t="s">
        <v>581</v>
      </c>
      <c r="E916" s="21">
        <f>IF(D916="?OLD","!!!","")</f>
        <v/>
      </c>
      <c r="F916" s="22" t="str">
        <f>IF(OR(E916="",E916="!!!"),"",IF(NOT(ISNA(VLOOKUP(E916,E$1:E915,1,FALSE()))),"OLD",IF(AND(E916&lt;&gt;"",E916&lt;&gt;"!!!"),"NEW","")))</f>
        <v> </v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4" t="str">
        <f>IF(J916&lt;&gt;1,"",IF(I916="SBJ","CB","?"))</f>
        <v> </v>
      </c>
      <c r="I916" s="25" t="str">
        <f>IF(OR(E916="",E916="!!!",F916="NEW"),"",INDEX(B915:B$2,-1+SUMPRODUCT(MAX(ROW(E915:E$2)*(E916=E915:E$2)))))</f>
        <v> </v>
      </c>
      <c r="J916" s="25" t="str">
        <f>IF(OR(E916="",E916="!!!",F916="NEW"),"",COUNTBLANK(OFFSET(A$1,,,SUMPRODUCT(MAX(ROW(E$2:E916)*(E916=E$2:E916)))))-COUNTBLANK(OFFSET(A$1,,,SUMPRODUCT(MAX(ROW(E$1:E915)*(E2=E$1:E915))))))</f>
        <v> </v>
      </c>
      <c r="K916" s="25" t="str">
        <f>IF(OR(E916="",E916="!!!",F916="NEW"),"",INDEX(J$1:J915,SUMPRODUCT(MAX(ROW(E$1:E915)*(E916=E$1:E915)))))</f>
        <v> </v>
      </c>
      <c r="L916" s="26"/>
    </row>
    <row r="917" spans="1:12">
      <c r="A917" s="20" t="s">
        <v>501</v>
      </c>
      <c r="B917" s="27" t="s">
        <v>193</v>
      </c>
      <c r="C917" s="27" t="s">
        <v>274</v>
      </c>
      <c r="D917" s="27" t="s">
        <v>185</v>
      </c>
      <c r="E917" s="21">
        <f>IF(D917="?OLD","!!!","")</f>
        <v/>
      </c>
      <c r="F917" s="22" t="str">
        <f>IF(OR(E917="",E917="!!!"),"",IF(NOT(ISNA(VLOOKUP(E917,E$1:E916,1,FALSE()))),"OLD",IF(AND(E917&lt;&gt;"",E917&lt;&gt;"!!!"),"NEW","")))</f>
        <v> </v>
      </c>
      <c r="G917" s="23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4" t="str">
        <f>IF(J917&lt;&gt;1,"",IF(I917="SBJ","CB","?"))</f>
        <v> </v>
      </c>
      <c r="I917" s="25" t="str">
        <f>IF(OR(E917="",E917="!!!",F917="NEW"),"",INDEX(B916:B$2,-1+SUMPRODUCT(MAX(ROW(E916:E$2)*(E917=E916:E$2)))))</f>
        <v> </v>
      </c>
      <c r="J917" s="25" t="str">
        <f>IF(OR(E917="",E917="!!!",F917="NEW"),"",COUNTBLANK(OFFSET(A$1,,,SUMPRODUCT(MAX(ROW(E$2:E917)*(E917=E$2:E917)))))-COUNTBLANK(OFFSET(A$1,,,SUMPRODUCT(MAX(ROW(E$1:E916)*(E2=E$1:E916))))))</f>
        <v> </v>
      </c>
      <c r="K917" s="25" t="str">
        <f>IF(OR(E917="",E917="!!!",F917="NEW"),"",INDEX(J$1:J916,SUMPRODUCT(MAX(ROW(E$1:E916)*(E917=E$1:E916)))))</f>
        <v> </v>
      </c>
      <c r="L917" s="26"/>
    </row>
    <row r="918" spans="1:12">
      <c r="A918" s="20" t="s">
        <v>231</v>
      </c>
      <c r="E918" s="21">
        <f>IF(D918="?OLD","!!!","")</f>
        <v/>
      </c>
      <c r="F918" s="22" t="str">
        <f>IF(OR(E918="",E918="!!!"),"",IF(NOT(ISNA(VLOOKUP(E918,E$1:E917,1,FALSE()))),"OLD",IF(AND(E918&lt;&gt;"",E918&lt;&gt;"!!!"),"NEW","")))</f>
        <v> </v>
      </c>
      <c r="G918" s="23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4" t="str">
        <f>IF(J918&lt;&gt;1,"",IF(I918="SBJ","CB","?"))</f>
        <v> </v>
      </c>
      <c r="I918" s="25" t="str">
        <f>IF(OR(E918="",E918="!!!",F918="NEW"),"",INDEX(B917:B$2,-1+SUMPRODUCT(MAX(ROW(E917:E$2)*(E918=E917:E$2)))))</f>
        <v> </v>
      </c>
      <c r="J918" s="25" t="str">
        <f>IF(OR(E918="",E918="!!!",F918="NEW"),"",COUNTBLANK(OFFSET(A$1,,,SUMPRODUCT(MAX(ROW(E$2:E918)*(E918=E$2:E918)))))-COUNTBLANK(OFFSET(A$1,,,SUMPRODUCT(MAX(ROW(E$1:E917)*(E2=E$1:E917))))))</f>
        <v> </v>
      </c>
      <c r="K918" s="25" t="str">
        <f>IF(OR(E918="",E918="!!!",F918="NEW"),"",INDEX(J$1:J917,SUMPRODUCT(MAX(ROW(E$1:E917)*(E918=E$1:E917)))))</f>
        <v> </v>
      </c>
      <c r="L918" s="26"/>
    </row>
    <row r="919" spans="1:12">
      <c r="A919" s="20"/>
    </row>
    <row r="920" spans="1:12">
      <c r="A920" s="20" t="s">
        <v>582</v>
      </c>
    </row>
    <row r="921" spans="1:12">
      <c r="A921" s="20" t="s">
        <v>383</v>
      </c>
      <c r="E921" s="21">
        <f>IF(D921="?OLD","!!!","")</f>
        <v/>
      </c>
      <c r="F921" s="22" t="str">
        <f>IF(OR(E921="",E921="!!!"),"",IF(NOT(ISNA(VLOOKUP(E921,E$1:E920,1,FALSE()))),"OLD",IF(AND(E921&lt;&gt;"",E921&lt;&gt;"!!!"),"NEW","")))</f>
        <v> </v>
      </c>
      <c r="G921" s="23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4" t="str">
        <f>IF(J921&lt;&gt;1,"",IF(I921="SBJ","CB","?"))</f>
        <v> </v>
      </c>
      <c r="I921" s="25" t="str">
        <f>IF(OR(E921="",E921="!!!",F921="NEW"),"",INDEX(B920:B$2,-1+SUMPRODUCT(MAX(ROW(E920:E$2)*(E921=E920:E$2)))))</f>
        <v> </v>
      </c>
      <c r="J921" s="25" t="str">
        <f>IF(OR(E921="",E921="!!!",F921="NEW"),"",COUNTBLANK(OFFSET(A$1,,,SUMPRODUCT(MAX(ROW(E$2:E921)*(E921=E$2:E921)))))-COUNTBLANK(OFFSET(A$1,,,SUMPRODUCT(MAX(ROW(E$1:E920)*(E2=E$1:E920))))))</f>
        <v> </v>
      </c>
      <c r="K921" s="25" t="str">
        <f>IF(OR(E921="",E921="!!!",F921="NEW"),"",INDEX(J$1:J920,SUMPRODUCT(MAX(ROW(E$1:E920)*(E921=E$1:E920)))))</f>
        <v> </v>
      </c>
      <c r="L921" s="26"/>
    </row>
    <row r="922" spans="1:12">
      <c r="A922" s="20" t="s">
        <v>214</v>
      </c>
      <c r="E922" s="21">
        <f>IF(D922="?OLD","!!!","")</f>
        <v/>
      </c>
      <c r="F922" s="22" t="str">
        <f>IF(OR(E922="",E922="!!!"),"",IF(NOT(ISNA(VLOOKUP(E922,E$1:E921,1,FALSE()))),"OLD",IF(AND(E922&lt;&gt;"",E922&lt;&gt;"!!!"),"NEW","")))</f>
        <v> </v>
      </c>
      <c r="G922" s="23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4" t="str">
        <f>IF(J922&lt;&gt;1,"",IF(I922="SBJ","CB","?"))</f>
        <v> </v>
      </c>
      <c r="I922" s="25" t="str">
        <f>IF(OR(E922="",E922="!!!",F922="NEW"),"",INDEX(B921:B$2,-1+SUMPRODUCT(MAX(ROW(E921:E$2)*(E922=E921:E$2)))))</f>
        <v> </v>
      </c>
      <c r="J922" s="25" t="str">
        <f>IF(OR(E922="",E922="!!!",F922="NEW"),"",COUNTBLANK(OFFSET(A$1,,,SUMPRODUCT(MAX(ROW(E$2:E922)*(E922=E$2:E922)))))-COUNTBLANK(OFFSET(A$1,,,SUMPRODUCT(MAX(ROW(E$1:E921)*(E2=E$1:E921))))))</f>
        <v> </v>
      </c>
      <c r="K922" s="25" t="str">
        <f>IF(OR(E922="",E922="!!!",F922="NEW"),"",INDEX(J$1:J921,SUMPRODUCT(MAX(ROW(E$1:E921)*(E922=E$1:E921)))))</f>
        <v> </v>
      </c>
      <c r="L922" s="26"/>
    </row>
    <row r="923" spans="1:12">
      <c r="A923" s="20" t="s">
        <v>583</v>
      </c>
      <c r="B923" s="27" t="s">
        <v>246</v>
      </c>
      <c r="C923" s="27" t="s">
        <v>184</v>
      </c>
      <c r="D923" s="27" t="s">
        <v>185</v>
      </c>
      <c r="E923" s="21">
        <f>IF(D923="?OLD","!!!","")</f>
        <v/>
      </c>
      <c r="F923" s="22" t="str">
        <f>IF(OR(E923="",E923="!!!"),"",IF(NOT(ISNA(VLOOKUP(E923,E$1:E922,1,FALSE()))),"OLD",IF(AND(E923&lt;&gt;"",E923&lt;&gt;"!!!"),"NEW","")))</f>
        <v> </v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4" t="str">
        <f>IF(J923&lt;&gt;1,"",IF(I923="SBJ","CB","?"))</f>
        <v> </v>
      </c>
      <c r="I923" s="25" t="str">
        <f>IF(OR(E923="",E923="!!!",F923="NEW"),"",INDEX(B922:B$2,-1+SUMPRODUCT(MAX(ROW(E922:E$2)*(E923=E922:E$2)))))</f>
        <v> </v>
      </c>
      <c r="J923" s="25" t="str">
        <f>IF(OR(E923="",E923="!!!",F923="NEW"),"",COUNTBLANK(OFFSET(A$1,,,SUMPRODUCT(MAX(ROW(E$2:E923)*(E923=E$2:E923)))))-COUNTBLANK(OFFSET(A$1,,,SUMPRODUCT(MAX(ROW(E$1:E922)*(E2=E$1:E922))))))</f>
        <v> </v>
      </c>
      <c r="K923" s="25" t="str">
        <f>IF(OR(E923="",E923="!!!",F923="NEW"),"",INDEX(J$1:J922,SUMPRODUCT(MAX(ROW(E$1:E922)*(E923=E$1:E922)))))</f>
        <v> </v>
      </c>
      <c r="L923" s="26"/>
    </row>
    <row r="924" spans="1:12">
      <c r="A924" s="20" t="s">
        <v>186</v>
      </c>
      <c r="E924" s="21">
        <f>IF(D924="?OLD","!!!","")</f>
        <v/>
      </c>
      <c r="F924" s="22" t="str">
        <f>IF(OR(E924="",E924="!!!"),"",IF(NOT(ISNA(VLOOKUP(E924,E$1:E923,1,FALSE()))),"OLD",IF(AND(E924&lt;&gt;"",E924&lt;&gt;"!!!"),"NEW","")))</f>
        <v> </v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4" t="str">
        <f>IF(J924&lt;&gt;1,"",IF(I924="SBJ","CB","?"))</f>
        <v> </v>
      </c>
      <c r="I924" s="25" t="str">
        <f>IF(OR(E924="",E924="!!!",F924="NEW"),"",INDEX(B923:B$2,-1+SUMPRODUCT(MAX(ROW(E923:E$2)*(E924=E923:E$2)))))</f>
        <v> </v>
      </c>
      <c r="J924" s="25" t="str">
        <f>IF(OR(E924="",E924="!!!",F924="NEW"),"",COUNTBLANK(OFFSET(A$1,,,SUMPRODUCT(MAX(ROW(E$2:E924)*(E924=E$2:E924)))))-COUNTBLANK(OFFSET(A$1,,,SUMPRODUCT(MAX(ROW(E$1:E923)*(E2=E$1:E923))))))</f>
        <v> </v>
      </c>
      <c r="K924" s="25" t="str">
        <f>IF(OR(E924="",E924="!!!",F924="NEW"),"",INDEX(J$1:J923,SUMPRODUCT(MAX(ROW(E$1:E923)*(E924=E$1:E923)))))</f>
        <v> </v>
      </c>
      <c r="L924" s="26"/>
    </row>
    <row r="925" spans="1:12">
      <c r="A925" s="20" t="s">
        <v>501</v>
      </c>
      <c r="B925" s="27" t="s">
        <v>246</v>
      </c>
      <c r="C925" s="27" t="s">
        <v>189</v>
      </c>
      <c r="E925" s="21">
        <f>IF(D925="?OLD","!!!","")</f>
        <v/>
      </c>
      <c r="F925" s="22" t="str">
        <f>IF(OR(E925="",E925="!!!"),"",IF(NOT(ISNA(VLOOKUP(E925,E$1:E924,1,FALSE()))),"OLD",IF(AND(E925&lt;&gt;"",E925&lt;&gt;"!!!"),"NEW","")))</f>
        <v> </v>
      </c>
      <c r="G925" s="23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4" t="str">
        <f>IF(J925&lt;&gt;1,"",IF(I925="SBJ","CB","?"))</f>
        <v> </v>
      </c>
      <c r="I925" s="25" t="str">
        <f>IF(OR(E925="",E925="!!!",F925="NEW"),"",INDEX(B924:B$2,-1+SUMPRODUCT(MAX(ROW(E924:E$2)*(E925=E924:E$2)))))</f>
        <v> </v>
      </c>
      <c r="J925" s="25" t="str">
        <f>IF(OR(E925="",E925="!!!",F925="NEW"),"",COUNTBLANK(OFFSET(A$1,,,SUMPRODUCT(MAX(ROW(E$2:E925)*(E925=E$2:E925)))))-COUNTBLANK(OFFSET(A$1,,,SUMPRODUCT(MAX(ROW(E$1:E924)*(E2=E$1:E924))))))</f>
        <v> </v>
      </c>
      <c r="K925" s="25" t="str">
        <f>IF(OR(E925="",E925="!!!",F925="NEW"),"",INDEX(J$1:J924,SUMPRODUCT(MAX(ROW(E$1:E924)*(E925=E$1:E924)))))</f>
        <v> </v>
      </c>
      <c r="L925" s="26"/>
    </row>
    <row r="926" spans="1:12">
      <c r="A926" s="20" t="s">
        <v>333</v>
      </c>
      <c r="E926" s="21">
        <f>IF(D926="?OLD","!!!","")</f>
        <v/>
      </c>
      <c r="F926" s="22" t="str">
        <f>IF(OR(E926="",E926="!!!"),"",IF(NOT(ISNA(VLOOKUP(E926,E$1:E925,1,FALSE()))),"OLD",IF(AND(E926&lt;&gt;"",E926&lt;&gt;"!!!"),"NEW","")))</f>
        <v> </v>
      </c>
      <c r="G926" s="23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24" t="str">
        <f>IF(J926&lt;&gt;1,"",IF(I926="SBJ","CB","?"))</f>
        <v> </v>
      </c>
      <c r="I926" s="25" t="str">
        <f>IF(OR(E926="",E926="!!!",F926="NEW"),"",INDEX(B925:B$2,-1+SUMPRODUCT(MAX(ROW(E925:E$2)*(E926=E925:E$2)))))</f>
        <v> </v>
      </c>
      <c r="J926" s="25" t="str">
        <f>IF(OR(E926="",E926="!!!",F926="NEW"),"",COUNTBLANK(OFFSET(A$1,,,SUMPRODUCT(MAX(ROW(E$2:E926)*(E926=E$2:E926)))))-COUNTBLANK(OFFSET(A$1,,,SUMPRODUCT(MAX(ROW(E$1:E925)*(E2=E$1:E925))))))</f>
        <v> </v>
      </c>
      <c r="K926" s="25" t="str">
        <f>IF(OR(E926="",E926="!!!",F926="NEW"),"",INDEX(J$1:J925,SUMPRODUCT(MAX(ROW(E$1:E925)*(E926=E$1:E925)))))</f>
        <v> </v>
      </c>
      <c r="L926" s="26"/>
    </row>
    <row r="927" spans="1:12">
      <c r="A927" s="20" t="s">
        <v>584</v>
      </c>
      <c r="E927" s="21">
        <f>IF(D927="?OLD","!!!","")</f>
        <v/>
      </c>
      <c r="F927" s="22" t="str">
        <f>IF(OR(E927="",E927="!!!"),"",IF(NOT(ISNA(VLOOKUP(E927,E$1:E926,1,FALSE()))),"OLD",IF(AND(E927&lt;&gt;"",E927&lt;&gt;"!!!"),"NEW","")))</f>
        <v> </v>
      </c>
      <c r="G927" s="23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4" t="str">
        <f>IF(J927&lt;&gt;1,"",IF(I927="SBJ","CB","?"))</f>
        <v> </v>
      </c>
      <c r="I927" s="25" t="str">
        <f>IF(OR(E927="",E927="!!!",F927="NEW"),"",INDEX(B926:B$2,-1+SUMPRODUCT(MAX(ROW(E926:E$2)*(E927=E926:E$2)))))</f>
        <v> </v>
      </c>
      <c r="J927" s="25" t="str">
        <f>IF(OR(E927="",E927="!!!",F927="NEW"),"",COUNTBLANK(OFFSET(A$1,,,SUMPRODUCT(MAX(ROW(E$2:E927)*(E927=E$2:E927)))))-COUNTBLANK(OFFSET(A$1,,,SUMPRODUCT(MAX(ROW(E$1:E926)*(E2=E$1:E926))))))</f>
        <v> </v>
      </c>
      <c r="K927" s="25" t="str">
        <f>IF(OR(E927="",E927="!!!",F927="NEW"),"",INDEX(J$1:J926,SUMPRODUCT(MAX(ROW(E$1:E926)*(E927=E$1:E926)))))</f>
        <v> </v>
      </c>
      <c r="L927" s="26"/>
    </row>
    <row r="928" spans="1:12">
      <c r="A928" s="20" t="s">
        <v>201</v>
      </c>
      <c r="E928" s="21">
        <f>IF(D928="?OLD","!!!","")</f>
        <v/>
      </c>
      <c r="F928" s="22" t="str">
        <f>IF(OR(E928="",E928="!!!"),"",IF(NOT(ISNA(VLOOKUP(E928,E$1:E927,1,FALSE()))),"OLD",IF(AND(E928&lt;&gt;"",E928&lt;&gt;"!!!"),"NEW","")))</f>
        <v> </v>
      </c>
      <c r="G928" s="23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4" t="str">
        <f>IF(J928&lt;&gt;1,"",IF(I928="SBJ","CB","?"))</f>
        <v> </v>
      </c>
      <c r="I928" s="25" t="str">
        <f>IF(OR(E928="",E928="!!!",F928="NEW"),"",INDEX(B927:B$2,-1+SUMPRODUCT(MAX(ROW(E927:E$2)*(E928=E927:E$2)))))</f>
        <v> </v>
      </c>
      <c r="J928" s="25" t="str">
        <f>IF(OR(E928="",E928="!!!",F928="NEW"),"",COUNTBLANK(OFFSET(A$1,,,SUMPRODUCT(MAX(ROW(E$2:E928)*(E928=E$2:E928)))))-COUNTBLANK(OFFSET(A$1,,,SUMPRODUCT(MAX(ROW(E$1:E927)*(E2=E$1:E927))))))</f>
        <v> </v>
      </c>
      <c r="K928" s="25" t="str">
        <f>IF(OR(E928="",E928="!!!",F928="NEW"),"",INDEX(J$1:J927,SUMPRODUCT(MAX(ROW(E$1:E927)*(E928=E$1:E927)))))</f>
        <v> </v>
      </c>
      <c r="L928" s="26"/>
    </row>
    <row r="929" spans="1:12">
      <c r="A929" s="20" t="s">
        <v>348</v>
      </c>
      <c r="E929" s="21">
        <f>IF(D929="?OLD","!!!","")</f>
        <v/>
      </c>
      <c r="F929" s="22" t="str">
        <f>IF(OR(E929="",E929="!!!"),"",IF(NOT(ISNA(VLOOKUP(E929,E$1:E928,1,FALSE()))),"OLD",IF(AND(E929&lt;&gt;"",E929&lt;&gt;"!!!"),"NEW","")))</f>
        <v> </v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4" t="str">
        <f>IF(J929&lt;&gt;1,"",IF(I929="SBJ","CB","?"))</f>
        <v> </v>
      </c>
      <c r="I929" s="25" t="str">
        <f>IF(OR(E929="",E929="!!!",F929="NEW"),"",INDEX(B928:B$2,-1+SUMPRODUCT(MAX(ROW(E928:E$2)*(E929=E928:E$2)))))</f>
        <v> </v>
      </c>
      <c r="J929" s="25" t="str">
        <f>IF(OR(E929="",E929="!!!",F929="NEW"),"",COUNTBLANK(OFFSET(A$1,,,SUMPRODUCT(MAX(ROW(E$2:E929)*(E929=E$2:E929)))))-COUNTBLANK(OFFSET(A$1,,,SUMPRODUCT(MAX(ROW(E$1:E928)*(E2=E$1:E928))))))</f>
        <v> </v>
      </c>
      <c r="K929" s="25" t="str">
        <f>IF(OR(E929="",E929="!!!",F929="NEW"),"",INDEX(J$1:J928,SUMPRODUCT(MAX(ROW(E$1:E928)*(E929=E$1:E928)))))</f>
        <v> </v>
      </c>
      <c r="L929" s="26"/>
    </row>
    <row r="930" spans="1:12">
      <c r="A930" s="20" t="s">
        <v>585</v>
      </c>
      <c r="E930" s="21">
        <f>IF(D930="?OLD","!!!","")</f>
        <v/>
      </c>
      <c r="F930" s="22" t="str">
        <f>IF(OR(E930="",E930="!!!"),"",IF(NOT(ISNA(VLOOKUP(E930,E$1:E929,1,FALSE()))),"OLD",IF(AND(E930&lt;&gt;"",E930&lt;&gt;"!!!"),"NEW","")))</f>
        <v> </v>
      </c>
      <c r="G930" s="23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4" t="str">
        <f>IF(J930&lt;&gt;1,"",IF(I930="SBJ","CB","?"))</f>
        <v> </v>
      </c>
      <c r="I930" s="25" t="str">
        <f>IF(OR(E930="",E930="!!!",F930="NEW"),"",INDEX(B929:B$2,-1+SUMPRODUCT(MAX(ROW(E929:E$2)*(E930=E929:E$2)))))</f>
        <v> </v>
      </c>
      <c r="J930" s="25" t="str">
        <f>IF(OR(E930="",E930="!!!",F930="NEW"),"",COUNTBLANK(OFFSET(A$1,,,SUMPRODUCT(MAX(ROW(E$2:E930)*(E930=E$2:E930)))))-COUNTBLANK(OFFSET(A$1,,,SUMPRODUCT(MAX(ROW(E$1:E929)*(E2=E$1:E929))))))</f>
        <v> </v>
      </c>
      <c r="K930" s="25" t="str">
        <f>IF(OR(E930="",E930="!!!",F930="NEW"),"",INDEX(J$1:J929,SUMPRODUCT(MAX(ROW(E$1:E929)*(E930=E$1:E929)))))</f>
        <v> </v>
      </c>
      <c r="L930" s="26"/>
    </row>
    <row r="931" spans="1:12">
      <c r="A931" s="20" t="s">
        <v>502</v>
      </c>
      <c r="E931" s="21">
        <f>IF(D931="?OLD","!!!","")</f>
        <v/>
      </c>
      <c r="F931" s="22" t="str">
        <f>IF(OR(E931="",E931="!!!"),"",IF(NOT(ISNA(VLOOKUP(E931,E$1:E930,1,FALSE()))),"OLD",IF(AND(E931&lt;&gt;"",E931&lt;&gt;"!!!"),"NEW","")))</f>
        <v> </v>
      </c>
      <c r="G931" s="23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4" t="str">
        <f>IF(J931&lt;&gt;1,"",IF(I931="SBJ","CB","?"))</f>
        <v> </v>
      </c>
      <c r="I931" s="25" t="str">
        <f>IF(OR(E931="",E931="!!!",F931="NEW"),"",INDEX(B930:B$2,-1+SUMPRODUCT(MAX(ROW(E930:E$2)*(E931=E930:E$2)))))</f>
        <v> </v>
      </c>
      <c r="J931" s="25" t="str">
        <f>IF(OR(E931="",E931="!!!",F931="NEW"),"",COUNTBLANK(OFFSET(A$1,,,SUMPRODUCT(MAX(ROW(E$2:E931)*(E931=E$2:E931)))))-COUNTBLANK(OFFSET(A$1,,,SUMPRODUCT(MAX(ROW(E$1:E930)*(E2=E$1:E930))))))</f>
        <v> </v>
      </c>
      <c r="K931" s="25" t="str">
        <f>IF(OR(E931="",E931="!!!",F931="NEW"),"",INDEX(J$1:J930,SUMPRODUCT(MAX(ROW(E$1:E930)*(E931=E$1:E930)))))</f>
        <v> </v>
      </c>
      <c r="L931" s="26"/>
    </row>
    <row r="932" spans="1:12">
      <c r="A932" s="20" t="s">
        <v>251</v>
      </c>
      <c r="E932" s="21">
        <f>IF(D932="?OLD","!!!","")</f>
        <v/>
      </c>
      <c r="F932" s="22" t="str">
        <f>IF(OR(E932="",E932="!!!"),"",IF(NOT(ISNA(VLOOKUP(E932,E$1:E931,1,FALSE()))),"OLD",IF(AND(E932&lt;&gt;"",E932&lt;&gt;"!!!"),"NEW","")))</f>
        <v> </v>
      </c>
      <c r="G932" s="23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24" t="str">
        <f>IF(J932&lt;&gt;1,"",IF(I932="SBJ","CB","?"))</f>
        <v> </v>
      </c>
      <c r="I932" s="25" t="str">
        <f>IF(OR(E932="",E932="!!!",F932="NEW"),"",INDEX(B931:B$2,-1+SUMPRODUCT(MAX(ROW(E931:E$2)*(E932=E931:E$2)))))</f>
        <v> </v>
      </c>
      <c r="J932" s="25" t="str">
        <f>IF(OR(E932="",E932="!!!",F932="NEW"),"",COUNTBLANK(OFFSET(A$1,,,SUMPRODUCT(MAX(ROW(E$2:E932)*(E932=E$2:E932)))))-COUNTBLANK(OFFSET(A$1,,,SUMPRODUCT(MAX(ROW(E$1:E931)*(E2=E$1:E931))))))</f>
        <v> </v>
      </c>
      <c r="K932" s="25" t="str">
        <f>IF(OR(E932="",E932="!!!",F932="NEW"),"",INDEX(J$1:J931,SUMPRODUCT(MAX(ROW(E$1:E931)*(E932=E$1:E931)))))</f>
        <v> </v>
      </c>
      <c r="L932" s="26"/>
    </row>
    <row r="933" spans="1:12">
      <c r="A933" s="20" t="s">
        <v>187</v>
      </c>
      <c r="B933" s="27" t="s">
        <v>183</v>
      </c>
      <c r="C933" s="27" t="s">
        <v>199</v>
      </c>
      <c r="D933" s="27" t="s">
        <v>185</v>
      </c>
      <c r="E933" s="21">
        <f>IF(D933="?OLD","!!!","")</f>
        <v/>
      </c>
      <c r="F933" s="22" t="str">
        <f>IF(OR(E933="",E933="!!!"),"",IF(NOT(ISNA(VLOOKUP(E933,E$1:E932,1,FALSE()))),"OLD",IF(AND(E933&lt;&gt;"",E933&lt;&gt;"!!!"),"NEW","")))</f>
        <v> </v>
      </c>
      <c r="G933" s="23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24" t="str">
        <f>IF(J933&lt;&gt;1,"",IF(I933="SBJ","CB","?"))</f>
        <v> </v>
      </c>
      <c r="I933" s="25" t="str">
        <f>IF(OR(E933="",E933="!!!",F933="NEW"),"",INDEX(B932:B$2,-1+SUMPRODUCT(MAX(ROW(E932:E$2)*(E933=E932:E$2)))))</f>
        <v> </v>
      </c>
      <c r="J933" s="25" t="str">
        <f>IF(OR(E933="",E933="!!!",F933="NEW"),"",COUNTBLANK(OFFSET(A$1,,,SUMPRODUCT(MAX(ROW(E$2:E933)*(E933=E$2:E933)))))-COUNTBLANK(OFFSET(A$1,,,SUMPRODUCT(MAX(ROW(E$1:E932)*(E2=E$1:E932))))))</f>
        <v> </v>
      </c>
      <c r="K933" s="25" t="str">
        <f>IF(OR(E933="",E933="!!!",F933="NEW"),"",INDEX(J$1:J932,SUMPRODUCT(MAX(ROW(E$1:E932)*(E933=E$1:E932)))))</f>
        <v> </v>
      </c>
      <c r="L933" s="26"/>
    </row>
    <row r="934" spans="1:12">
      <c r="A934" s="20" t="s">
        <v>190</v>
      </c>
      <c r="E934" s="21">
        <f>IF(D934="?OLD","!!!","")</f>
        <v/>
      </c>
      <c r="F934" s="22" t="str">
        <f>IF(OR(E934="",E934="!!!"),"",IF(NOT(ISNA(VLOOKUP(E934,E$1:E933,1,FALSE()))),"OLD",IF(AND(E934&lt;&gt;"",E934&lt;&gt;"!!!"),"NEW","")))</f>
        <v> </v>
      </c>
      <c r="G934" s="23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24" t="str">
        <f>IF(J934&lt;&gt;1,"",IF(I934="SBJ","CB","?"))</f>
        <v> </v>
      </c>
      <c r="I934" s="25" t="str">
        <f>IF(OR(E934="",E934="!!!",F934="NEW"),"",INDEX(B933:B$2,-1+SUMPRODUCT(MAX(ROW(E933:E$2)*(E934=E933:E$2)))))</f>
        <v> </v>
      </c>
      <c r="J934" s="25" t="str">
        <f>IF(OR(E934="",E934="!!!",F934="NEW"),"",COUNTBLANK(OFFSET(A$1,,,SUMPRODUCT(MAX(ROW(E$2:E934)*(E934=E$2:E934)))))-COUNTBLANK(OFFSET(A$1,,,SUMPRODUCT(MAX(ROW(E$1:E933)*(E2=E$1:E933))))))</f>
        <v> </v>
      </c>
      <c r="K934" s="25" t="str">
        <f>IF(OR(E934="",E934="!!!",F934="NEW"),"",INDEX(J$1:J933,SUMPRODUCT(MAX(ROW(E$1:E933)*(E934=E$1:E933)))))</f>
        <v> </v>
      </c>
      <c r="L934" s="26"/>
    </row>
    <row r="935" spans="1:12">
      <c r="A935" s="20" t="s">
        <v>586</v>
      </c>
      <c r="E935" s="21">
        <f>IF(D935="?OLD","!!!","")</f>
        <v/>
      </c>
      <c r="F935" s="22" t="str">
        <f>IF(OR(E935="",E935="!!!"),"",IF(NOT(ISNA(VLOOKUP(E935,E$1:E934,1,FALSE()))),"OLD",IF(AND(E935&lt;&gt;"",E935&lt;&gt;"!!!"),"NEW","")))</f>
        <v> </v>
      </c>
      <c r="G935" s="23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4" t="str">
        <f>IF(J935&lt;&gt;1,"",IF(I935="SBJ","CB","?"))</f>
        <v> </v>
      </c>
      <c r="I935" s="25" t="str">
        <f>IF(OR(E935="",E935="!!!",F935="NEW"),"",INDEX(B934:B$2,-1+SUMPRODUCT(MAX(ROW(E934:E$2)*(E935=E934:E$2)))))</f>
        <v> </v>
      </c>
      <c r="J935" s="25" t="str">
        <f>IF(OR(E935="",E935="!!!",F935="NEW"),"",COUNTBLANK(OFFSET(A$1,,,SUMPRODUCT(MAX(ROW(E$2:E935)*(E935=E$2:E935)))))-COUNTBLANK(OFFSET(A$1,,,SUMPRODUCT(MAX(ROW(E$1:E934)*(E2=E$1:E934))))))</f>
        <v> </v>
      </c>
      <c r="K935" s="25" t="str">
        <f>IF(OR(E935="",E935="!!!",F935="NEW"),"",INDEX(J$1:J934,SUMPRODUCT(MAX(ROW(E$1:E934)*(E935=E$1:E934)))))</f>
        <v> </v>
      </c>
      <c r="L935" s="26"/>
    </row>
    <row r="936" spans="1:12">
      <c r="A936" s="20" t="s">
        <v>587</v>
      </c>
      <c r="E936" s="21">
        <f>IF(D936="?OLD","!!!","")</f>
        <v/>
      </c>
      <c r="F936" s="22" t="str">
        <f>IF(OR(E936="",E936="!!!"),"",IF(NOT(ISNA(VLOOKUP(E936,E$1:E935,1,FALSE()))),"OLD",IF(AND(E936&lt;&gt;"",E936&lt;&gt;"!!!"),"NEW","")))</f>
        <v> </v>
      </c>
      <c r="G936" s="23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4" t="str">
        <f>IF(J936&lt;&gt;1,"",IF(I936="SBJ","CB","?"))</f>
        <v> </v>
      </c>
      <c r="I936" s="25" t="str">
        <f>IF(OR(E936="",E936="!!!",F936="NEW"),"",INDEX(B935:B$2,-1+SUMPRODUCT(MAX(ROW(E935:E$2)*(E936=E935:E$2)))))</f>
        <v> </v>
      </c>
      <c r="J936" s="25" t="str">
        <f>IF(OR(E936="",E936="!!!",F936="NEW"),"",COUNTBLANK(OFFSET(A$1,,,SUMPRODUCT(MAX(ROW(E$2:E936)*(E936=E$2:E936)))))-COUNTBLANK(OFFSET(A$1,,,SUMPRODUCT(MAX(ROW(E$1:E935)*(E2=E$1:E935))))))</f>
        <v> </v>
      </c>
      <c r="K936" s="25" t="str">
        <f>IF(OR(E936="",E936="!!!",F936="NEW"),"",INDEX(J$1:J935,SUMPRODUCT(MAX(ROW(E$1:E935)*(E936=E$1:E935)))))</f>
        <v> </v>
      </c>
      <c r="L936" s="26"/>
    </row>
    <row r="937" spans="1:12">
      <c r="A937" s="20" t="s">
        <v>588</v>
      </c>
      <c r="E937" s="21">
        <f>IF(D937="?OLD","!!!","")</f>
        <v/>
      </c>
      <c r="F937" s="22" t="str">
        <f>IF(OR(E937="",E937="!!!"),"",IF(NOT(ISNA(VLOOKUP(E937,E$1:E936,1,FALSE()))),"OLD",IF(AND(E937&lt;&gt;"",E937&lt;&gt;"!!!"),"NEW","")))</f>
        <v> </v>
      </c>
      <c r="G937" s="23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4" t="str">
        <f>IF(J937&lt;&gt;1,"",IF(I937="SBJ","CB","?"))</f>
        <v> </v>
      </c>
      <c r="I937" s="25" t="str">
        <f>IF(OR(E937="",E937="!!!",F937="NEW"),"",INDEX(B936:B$2,-1+SUMPRODUCT(MAX(ROW(E936:E$2)*(E937=E936:E$2)))))</f>
        <v> </v>
      </c>
      <c r="J937" s="25" t="str">
        <f>IF(OR(E937="",E937="!!!",F937="NEW"),"",COUNTBLANK(OFFSET(A$1,,,SUMPRODUCT(MAX(ROW(E$2:E937)*(E937=E$2:E937)))))-COUNTBLANK(OFFSET(A$1,,,SUMPRODUCT(MAX(ROW(E$1:E936)*(E2=E$1:E936))))))</f>
        <v> </v>
      </c>
      <c r="K937" s="25" t="str">
        <f>IF(OR(E937="",E937="!!!",F937="NEW"),"",INDEX(J$1:J936,SUMPRODUCT(MAX(ROW(E$1:E936)*(E937=E$1:E936)))))</f>
        <v> </v>
      </c>
      <c r="L937" s="26"/>
    </row>
    <row r="938" spans="1:12">
      <c r="A938" s="20" t="s">
        <v>250</v>
      </c>
      <c r="B938" s="27" t="s">
        <v>188</v>
      </c>
      <c r="C938" s="27" t="s">
        <v>249</v>
      </c>
      <c r="D938" s="27" t="s">
        <v>185</v>
      </c>
      <c r="E938" s="21">
        <f>IF(D938="?OLD","!!!","")</f>
        <v/>
      </c>
      <c r="F938" s="22" t="str">
        <f>IF(OR(E938="",E938="!!!"),"",IF(NOT(ISNA(VLOOKUP(E938,E$1:E937,1,FALSE()))),"OLD",IF(AND(E938&lt;&gt;"",E938&lt;&gt;"!!!"),"NEW","")))</f>
        <v> </v>
      </c>
      <c r="G938" s="23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4" t="str">
        <f>IF(J938&lt;&gt;1,"",IF(I938="SBJ","CB","?"))</f>
        <v> </v>
      </c>
      <c r="I938" s="25" t="str">
        <f>IF(OR(E938="",E938="!!!",F938="NEW"),"",INDEX(B937:B$2,-1+SUMPRODUCT(MAX(ROW(E937:E$2)*(E938=E937:E$2)))))</f>
        <v> </v>
      </c>
      <c r="J938" s="25" t="str">
        <f>IF(OR(E938="",E938="!!!",F938="NEW"),"",COUNTBLANK(OFFSET(A$1,,,SUMPRODUCT(MAX(ROW(E$2:E938)*(E938=E$2:E938)))))-COUNTBLANK(OFFSET(A$1,,,SUMPRODUCT(MAX(ROW(E$1:E937)*(E2=E$1:E937))))))</f>
        <v> </v>
      </c>
      <c r="K938" s="25" t="str">
        <f>IF(OR(E938="",E938="!!!",F938="NEW"),"",INDEX(J$1:J937,SUMPRODUCT(MAX(ROW(E$1:E937)*(E938=E$1:E937)))))</f>
        <v> </v>
      </c>
      <c r="L938" s="26"/>
    </row>
    <row r="939" spans="1:12">
      <c r="A939" s="20" t="s">
        <v>284</v>
      </c>
      <c r="B939" s="27" t="s">
        <v>188</v>
      </c>
      <c r="C939" s="27" t="s">
        <v>243</v>
      </c>
      <c r="D939" s="27" t="s">
        <v>185</v>
      </c>
      <c r="E939" s="21">
        <f>IF(D939="?OLD","!!!","")</f>
        <v/>
      </c>
      <c r="F939" s="22" t="str">
        <f>IF(OR(E939="",E939="!!!"),"",IF(NOT(ISNA(VLOOKUP(E939,E$1:E938,1,FALSE()))),"OLD",IF(AND(E939&lt;&gt;"",E939&lt;&gt;"!!!"),"NEW","")))</f>
        <v> </v>
      </c>
      <c r="G939" s="23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4" t="str">
        <f>IF(J939&lt;&gt;1,"",IF(I939="SBJ","CB","?"))</f>
        <v> </v>
      </c>
      <c r="I939" s="25" t="str">
        <f>IF(OR(E939="",E939="!!!",F939="NEW"),"",INDEX(B938:B$2,-1+SUMPRODUCT(MAX(ROW(E938:E$2)*(E939=E938:E$2)))))</f>
        <v> </v>
      </c>
      <c r="J939" s="25" t="str">
        <f>IF(OR(E939="",E939="!!!",F939="NEW"),"",COUNTBLANK(OFFSET(A$1,,,SUMPRODUCT(MAX(ROW(E$2:E939)*(E939=E$2:E939)))))-COUNTBLANK(OFFSET(A$1,,,SUMPRODUCT(MAX(ROW(E$1:E938)*(E2=E$1:E938))))))</f>
        <v> </v>
      </c>
      <c r="K939" s="25" t="str">
        <f>IF(OR(E939="",E939="!!!",F939="NEW"),"",INDEX(J$1:J938,SUMPRODUCT(MAX(ROW(E$1:E938)*(E939=E$1:E938)))))</f>
        <v> </v>
      </c>
      <c r="L939" s="26"/>
    </row>
    <row r="940" spans="1:12">
      <c r="A940" s="20" t="s">
        <v>201</v>
      </c>
      <c r="B940" s="27" t="s">
        <v>538</v>
      </c>
      <c r="E940" s="21">
        <f>IF(D940="?OLD","!!!","")</f>
        <v/>
      </c>
      <c r="F940" s="22" t="str">
        <f>IF(OR(E940="",E940="!!!"),"",IF(NOT(ISNA(VLOOKUP(E940,E$1:E939,1,FALSE()))),"OLD",IF(AND(E940&lt;&gt;"",E940&lt;&gt;"!!!"),"NEW","")))</f>
        <v> </v>
      </c>
      <c r="G940" s="23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4" t="str">
        <f>IF(J940&lt;&gt;1,"",IF(I940="SBJ","CB","?"))</f>
        <v> </v>
      </c>
      <c r="I940" s="25" t="str">
        <f>IF(OR(E940="",E940="!!!",F940="NEW"),"",INDEX(B939:B$2,-1+SUMPRODUCT(MAX(ROW(E939:E$2)*(E940=E939:E$2)))))</f>
        <v> </v>
      </c>
      <c r="J940" s="25" t="str">
        <f>IF(OR(E940="",E940="!!!",F940="NEW"),"",COUNTBLANK(OFFSET(A$1,,,SUMPRODUCT(MAX(ROW(E$2:E940)*(E940=E$2:E940)))))-COUNTBLANK(OFFSET(A$1,,,SUMPRODUCT(MAX(ROW(E$1:E939)*(E2=E$1:E939))))))</f>
        <v> </v>
      </c>
      <c r="K940" s="25" t="str">
        <f>IF(OR(E940="",E940="!!!",F940="NEW"),"",INDEX(J$1:J939,SUMPRODUCT(MAX(ROW(E$1:E939)*(E940=E$1:E939)))))</f>
        <v> </v>
      </c>
      <c r="L940" s="26"/>
    </row>
    <row r="941" spans="1:12">
      <c r="A941" s="20" t="s">
        <v>580</v>
      </c>
      <c r="E941" s="21">
        <f>IF(D941="?OLD","!!!","")</f>
        <v/>
      </c>
      <c r="F941" s="22" t="str">
        <f>IF(OR(E941="",E941="!!!"),"",IF(NOT(ISNA(VLOOKUP(E941,E$1:E940,1,FALSE()))),"OLD",IF(AND(E941&lt;&gt;"",E941&lt;&gt;"!!!"),"NEW","")))</f>
        <v> </v>
      </c>
      <c r="G941" s="23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4" t="str">
        <f>IF(J941&lt;&gt;1,"",IF(I941="SBJ","CB","?"))</f>
        <v> </v>
      </c>
      <c r="I941" s="25" t="str">
        <f>IF(OR(E941="",E941="!!!",F941="NEW"),"",INDEX(B940:B$2,-1+SUMPRODUCT(MAX(ROW(E940:E$2)*(E941=E940:E$2)))))</f>
        <v> </v>
      </c>
      <c r="J941" s="25" t="str">
        <f>IF(OR(E941="",E941="!!!",F941="NEW"),"",COUNTBLANK(OFFSET(A$1,,,SUMPRODUCT(MAX(ROW(E$2:E941)*(E941=E$2:E941)))))-COUNTBLANK(OFFSET(A$1,,,SUMPRODUCT(MAX(ROW(E$1:E940)*(E2=E$1:E940))))))</f>
        <v> </v>
      </c>
      <c r="K941" s="25" t="str">
        <f>IF(OR(E941="",E941="!!!",F941="NEW"),"",INDEX(J$1:J940,SUMPRODUCT(MAX(ROW(E$1:E940)*(E941=E$1:E940)))))</f>
        <v> </v>
      </c>
      <c r="L941" s="26"/>
    </row>
    <row r="942" spans="1:12">
      <c r="A942" s="20" t="s">
        <v>291</v>
      </c>
      <c r="B942" s="27" t="s">
        <v>226</v>
      </c>
      <c r="C942" s="27" t="s">
        <v>243</v>
      </c>
      <c r="D942" s="27" t="s">
        <v>185</v>
      </c>
      <c r="E942" s="21">
        <f>IF(D942="?OLD","!!!","")</f>
        <v/>
      </c>
      <c r="F942" s="22" t="str">
        <f>IF(OR(E942="",E942="!!!"),"",IF(NOT(ISNA(VLOOKUP(E942,E$1:E941,1,FALSE()))),"OLD",IF(AND(E942&lt;&gt;"",E942&lt;&gt;"!!!"),"NEW","")))</f>
        <v> </v>
      </c>
      <c r="G942" s="23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4" t="str">
        <f>IF(J942&lt;&gt;1,"",IF(I942="SBJ","CB","?"))</f>
        <v> </v>
      </c>
      <c r="I942" s="25" t="str">
        <f>IF(OR(E942="",E942="!!!",F942="NEW"),"",INDEX(B941:B$2,-1+SUMPRODUCT(MAX(ROW(E941:E$2)*(E942=E941:E$2)))))</f>
        <v> </v>
      </c>
      <c r="J942" s="25" t="str">
        <f>IF(OR(E942="",E942="!!!",F942="NEW"),"",COUNTBLANK(OFFSET(A$1,,,SUMPRODUCT(MAX(ROW(E$2:E942)*(E942=E$2:E942)))))-COUNTBLANK(OFFSET(A$1,,,SUMPRODUCT(MAX(ROW(E$1:E941)*(E2=E$1:E941))))))</f>
        <v> </v>
      </c>
      <c r="K942" s="25" t="str">
        <f>IF(OR(E942="",E942="!!!",F942="NEW"),"",INDEX(J$1:J941,SUMPRODUCT(MAX(ROW(E$1:E941)*(E942=E$1:E941)))))</f>
        <v> </v>
      </c>
      <c r="L942" s="26"/>
    </row>
    <row r="943" spans="1:12">
      <c r="A943" s="20" t="s">
        <v>201</v>
      </c>
      <c r="E943" s="21">
        <f>IF(D943="?OLD","!!!","")</f>
        <v/>
      </c>
      <c r="F943" s="22" t="str">
        <f>IF(OR(E943="",E943="!!!"),"",IF(NOT(ISNA(VLOOKUP(E943,E$1:E942,1,FALSE()))),"OLD",IF(AND(E943&lt;&gt;"",E943&lt;&gt;"!!!"),"NEW","")))</f>
        <v> </v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4" t="str">
        <f>IF(J943&lt;&gt;1,"",IF(I943="SBJ","CB","?"))</f>
        <v> </v>
      </c>
      <c r="I943" s="25" t="str">
        <f>IF(OR(E943="",E943="!!!",F943="NEW"),"",INDEX(B942:B$2,-1+SUMPRODUCT(MAX(ROW(E942:E$2)*(E943=E942:E$2)))))</f>
        <v> </v>
      </c>
      <c r="J943" s="25" t="str">
        <f>IF(OR(E943="",E943="!!!",F943="NEW"),"",COUNTBLANK(OFFSET(A$1,,,SUMPRODUCT(MAX(ROW(E$2:E943)*(E943=E$2:E943)))))-COUNTBLANK(OFFSET(A$1,,,SUMPRODUCT(MAX(ROW(E$1:E942)*(E2=E$1:E942))))))</f>
        <v> </v>
      </c>
      <c r="K943" s="25" t="str">
        <f>IF(OR(E943="",E943="!!!",F943="NEW"),"",INDEX(J$1:J942,SUMPRODUCT(MAX(ROW(E$1:E942)*(E943=E$1:E942)))))</f>
        <v> </v>
      </c>
      <c r="L943" s="26"/>
    </row>
    <row r="944" spans="1:12">
      <c r="A944" s="20" t="s">
        <v>589</v>
      </c>
      <c r="E944" s="21">
        <f>IF(D944="?OLD","!!!","")</f>
        <v/>
      </c>
      <c r="F944" s="22" t="str">
        <f>IF(OR(E944="",E944="!!!"),"",IF(NOT(ISNA(VLOOKUP(E944,E$1:E943,1,FALSE()))),"OLD",IF(AND(E944&lt;&gt;"",E944&lt;&gt;"!!!"),"NEW","")))</f>
        <v> </v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4" t="str">
        <f>IF(J944&lt;&gt;1,"",IF(I944="SBJ","CB","?"))</f>
        <v> </v>
      </c>
      <c r="I944" s="25" t="str">
        <f>IF(OR(E944="",E944="!!!",F944="NEW"),"",INDEX(B943:B$2,-1+SUMPRODUCT(MAX(ROW(E943:E$2)*(E944=E943:E$2)))))</f>
        <v> </v>
      </c>
      <c r="J944" s="25" t="str">
        <f>IF(OR(E944="",E944="!!!",F944="NEW"),"",COUNTBLANK(OFFSET(A$1,,,SUMPRODUCT(MAX(ROW(E$2:E944)*(E944=E$2:E944)))))-COUNTBLANK(OFFSET(A$1,,,SUMPRODUCT(MAX(ROW(E$1:E943)*(E2=E$1:E943))))))</f>
        <v> </v>
      </c>
      <c r="K944" s="25" t="str">
        <f>IF(OR(E944="",E944="!!!",F944="NEW"),"",INDEX(J$1:J943,SUMPRODUCT(MAX(ROW(E$1:E943)*(E944=E$1:E943)))))</f>
        <v> </v>
      </c>
      <c r="L944" s="26"/>
    </row>
    <row r="945" spans="1:12">
      <c r="A945" s="20" t="s">
        <v>590</v>
      </c>
      <c r="E945" s="21">
        <f>IF(D945="?OLD","!!!","")</f>
        <v/>
      </c>
      <c r="F945" s="22" t="str">
        <f>IF(OR(E945="",E945="!!!"),"",IF(NOT(ISNA(VLOOKUP(E945,E$1:E944,1,FALSE()))),"OLD",IF(AND(E945&lt;&gt;"",E945&lt;&gt;"!!!"),"NEW","")))</f>
        <v> </v>
      </c>
      <c r="G945" s="23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4" t="str">
        <f>IF(J945&lt;&gt;1,"",IF(I945="SBJ","CB","?"))</f>
        <v> </v>
      </c>
      <c r="I945" s="25" t="str">
        <f>IF(OR(E945="",E945="!!!",F945="NEW"),"",INDEX(B944:B$2,-1+SUMPRODUCT(MAX(ROW(E944:E$2)*(E945=E944:E$2)))))</f>
        <v> </v>
      </c>
      <c r="J945" s="25" t="str">
        <f>IF(OR(E945="",E945="!!!",F945="NEW"),"",COUNTBLANK(OFFSET(A$1,,,SUMPRODUCT(MAX(ROW(E$2:E945)*(E945=E$2:E945)))))-COUNTBLANK(OFFSET(A$1,,,SUMPRODUCT(MAX(ROW(E$1:E944)*(E2=E$1:E944))))))</f>
        <v> </v>
      </c>
      <c r="K945" s="25" t="str">
        <f>IF(OR(E945="",E945="!!!",F945="NEW"),"",INDEX(J$1:J944,SUMPRODUCT(MAX(ROW(E$1:E944)*(E945=E$1:E944)))))</f>
        <v> </v>
      </c>
      <c r="L945" s="26"/>
    </row>
    <row r="946" spans="1:12">
      <c r="A946" s="20" t="s">
        <v>354</v>
      </c>
      <c r="E946" s="21">
        <f>IF(D946="?OLD","!!!","")</f>
        <v/>
      </c>
      <c r="F946" s="22" t="str">
        <f>IF(OR(E946="",E946="!!!"),"",IF(NOT(ISNA(VLOOKUP(E946,E$1:E945,1,FALSE()))),"OLD",IF(AND(E946&lt;&gt;"",E946&lt;&gt;"!!!"),"NEW","")))</f>
        <v> </v>
      </c>
      <c r="G946" s="23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24" t="str">
        <f>IF(J946&lt;&gt;1,"",IF(I946="SBJ","CB","?"))</f>
        <v> </v>
      </c>
      <c r="I946" s="25" t="str">
        <f>IF(OR(E946="",E946="!!!",F946="NEW"),"",INDEX(B945:B$2,-1+SUMPRODUCT(MAX(ROW(E945:E$2)*(E946=E945:E$2)))))</f>
        <v> </v>
      </c>
      <c r="J946" s="25" t="str">
        <f>IF(OR(E946="",E946="!!!",F946="NEW"),"",COUNTBLANK(OFFSET(A$1,,,SUMPRODUCT(MAX(ROW(E$2:E946)*(E946=E$2:E946)))))-COUNTBLANK(OFFSET(A$1,,,SUMPRODUCT(MAX(ROW(E$1:E945)*(E2=E$1:E945))))))</f>
        <v> </v>
      </c>
      <c r="K946" s="25" t="str">
        <f>IF(OR(E946="",E946="!!!",F946="NEW"),"",INDEX(J$1:J945,SUMPRODUCT(MAX(ROW(E$1:E945)*(E946=E$1:E945)))))</f>
        <v> </v>
      </c>
      <c r="L946" s="26"/>
    </row>
    <row r="947" spans="1:12">
      <c r="A947" s="20" t="s">
        <v>585</v>
      </c>
      <c r="E947" s="21">
        <f>IF(D947="?OLD","!!!","")</f>
        <v/>
      </c>
      <c r="F947" s="22" t="str">
        <f>IF(OR(E947="",E947="!!!"),"",IF(NOT(ISNA(VLOOKUP(E947,E$1:E946,1,FALSE()))),"OLD",IF(AND(E947&lt;&gt;"",E947&lt;&gt;"!!!"),"NEW","")))</f>
        <v> </v>
      </c>
      <c r="G947" s="23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4" t="str">
        <f>IF(J947&lt;&gt;1,"",IF(I947="SBJ","CB","?"))</f>
        <v> </v>
      </c>
      <c r="I947" s="25" t="str">
        <f>IF(OR(E947="",E947="!!!",F947="NEW"),"",INDEX(B946:B$2,-1+SUMPRODUCT(MAX(ROW(E946:E$2)*(E947=E946:E$2)))))</f>
        <v> </v>
      </c>
      <c r="J947" s="25" t="str">
        <f>IF(OR(E947="",E947="!!!",F947="NEW"),"",COUNTBLANK(OFFSET(A$1,,,SUMPRODUCT(MAX(ROW(E$2:E947)*(E947=E$2:E947)))))-COUNTBLANK(OFFSET(A$1,,,SUMPRODUCT(MAX(ROW(E$1:E946)*(E2=E$1:E946))))))</f>
        <v> </v>
      </c>
      <c r="K947" s="25" t="str">
        <f>IF(OR(E947="",E947="!!!",F947="NEW"),"",INDEX(J$1:J946,SUMPRODUCT(MAX(ROW(E$1:E946)*(E947=E$1:E946)))))</f>
        <v> </v>
      </c>
      <c r="L947" s="26"/>
    </row>
    <row r="948" spans="1:12">
      <c r="A948" s="20" t="s">
        <v>231</v>
      </c>
      <c r="E948" s="21">
        <f>IF(D948="?OLD","!!!","")</f>
        <v/>
      </c>
      <c r="F948" s="22" t="str">
        <f>IF(OR(E948="",E948="!!!"),"",IF(NOT(ISNA(VLOOKUP(E948,E$1:E947,1,FALSE()))),"OLD",IF(AND(E948&lt;&gt;"",E948&lt;&gt;"!!!"),"NEW","")))</f>
        <v> </v>
      </c>
      <c r="G948" s="23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4" t="str">
        <f>IF(J948&lt;&gt;1,"",IF(I948="SBJ","CB","?"))</f>
        <v> </v>
      </c>
      <c r="I948" s="25" t="str">
        <f>IF(OR(E948="",E948="!!!",F948="NEW"),"",INDEX(B947:B$2,-1+SUMPRODUCT(MAX(ROW(E947:E$2)*(E948=E947:E$2)))))</f>
        <v> </v>
      </c>
      <c r="J948" s="25" t="str">
        <f>IF(OR(E948="",E948="!!!",F948="NEW"),"",COUNTBLANK(OFFSET(A$1,,,SUMPRODUCT(MAX(ROW(E$2:E948)*(E948=E$2:E948)))))-COUNTBLANK(OFFSET(A$1,,,SUMPRODUCT(MAX(ROW(E$1:E947)*(E2=E$1:E947))))))</f>
        <v> </v>
      </c>
      <c r="K948" s="25" t="str">
        <f>IF(OR(E948="",E948="!!!",F948="NEW"),"",INDEX(J$1:J947,SUMPRODUCT(MAX(ROW(E$1:E947)*(E948=E$1:E947)))))</f>
        <v> </v>
      </c>
      <c r="L948" s="26"/>
    </row>
    <row r="949" spans="1:12">
      <c r="A949" s="20"/>
    </row>
    <row r="950" spans="1:12">
      <c r="A950" s="20" t="s">
        <v>591</v>
      </c>
    </row>
    <row r="951" spans="1:12">
      <c r="A951" s="20" t="s">
        <v>11</v>
      </c>
      <c r="B951" s="27" t="s">
        <v>188</v>
      </c>
      <c r="C951" s="27" t="s">
        <v>243</v>
      </c>
      <c r="D951" s="27" t="s">
        <v>185</v>
      </c>
      <c r="E951" s="21">
        <f>IF(D951="?OLD","!!!","")</f>
        <v/>
      </c>
      <c r="F951" s="22" t="str">
        <f>IF(OR(E951="",E951="!!!"),"",IF(NOT(ISNA(VLOOKUP(E951,E$1:E950,1,FALSE()))),"OLD",IF(AND(E951&lt;&gt;"",E951&lt;&gt;"!!!"),"NEW","")))</f>
        <v> </v>
      </c>
      <c r="G951" s="23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4" t="str">
        <f>IF(J951&lt;&gt;1,"",IF(I951="SBJ","CB","?"))</f>
        <v> </v>
      </c>
      <c r="I951" s="25" t="str">
        <f>IF(OR(E951="",E951="!!!",F951="NEW"),"",INDEX(B950:B$2,-1+SUMPRODUCT(MAX(ROW(E950:E$2)*(E951=E950:E$2)))))</f>
        <v> </v>
      </c>
      <c r="J951" s="25" t="str">
        <f>IF(OR(E951="",E951="!!!",F951="NEW"),"",COUNTBLANK(OFFSET(A$1,,,SUMPRODUCT(MAX(ROW(E$2:E951)*(E951=E$2:E951)))))-COUNTBLANK(OFFSET(A$1,,,SUMPRODUCT(MAX(ROW(E$1:E950)*(E2=E$1:E950))))))</f>
        <v> </v>
      </c>
      <c r="K951" s="25" t="str">
        <f>IF(OR(E951="",E951="!!!",F951="NEW"),"",INDEX(J$1:J950,SUMPRODUCT(MAX(ROW(E$1:E950)*(E951=E$1:E950)))))</f>
        <v> </v>
      </c>
      <c r="L951" s="26"/>
    </row>
    <row r="952" spans="1:12">
      <c r="A952" s="20" t="s">
        <v>201</v>
      </c>
      <c r="B952" s="27" t="s">
        <v>223</v>
      </c>
      <c r="C952" s="27" t="s">
        <v>592</v>
      </c>
      <c r="E952" s="21">
        <f>IF(D952="?OLD","!!!","")</f>
        <v/>
      </c>
      <c r="F952" s="22" t="str">
        <f>IF(OR(E952="",E952="!!!"),"",IF(NOT(ISNA(VLOOKUP(E952,E$1:E951,1,FALSE()))),"OLD",IF(AND(E952&lt;&gt;"",E952&lt;&gt;"!!!"),"NEW","")))</f>
        <v> </v>
      </c>
      <c r="G952" s="23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4" t="str">
        <f>IF(J952&lt;&gt;1,"",IF(I952="SBJ","CB","?"))</f>
        <v> </v>
      </c>
      <c r="I952" s="25" t="str">
        <f>IF(OR(E952="",E952="!!!",F952="NEW"),"",INDEX(B951:B$2,-1+SUMPRODUCT(MAX(ROW(E951:E$2)*(E952=E951:E$2)))))</f>
        <v> </v>
      </c>
      <c r="J952" s="25" t="str">
        <f>IF(OR(E952="",E952="!!!",F952="NEW"),"",COUNTBLANK(OFFSET(A$1,,,SUMPRODUCT(MAX(ROW(E$2:E952)*(E952=E$2:E952)))))-COUNTBLANK(OFFSET(A$1,,,SUMPRODUCT(MAX(ROW(E$1:E951)*(E2=E$1:E951))))))</f>
        <v> </v>
      </c>
      <c r="K952" s="25" t="str">
        <f>IF(OR(E952="",E952="!!!",F952="NEW"),"",INDEX(J$1:J951,SUMPRODUCT(MAX(ROW(E$1:E951)*(E952=E$1:E951)))))</f>
        <v> </v>
      </c>
      <c r="L952" s="26"/>
    </row>
    <row r="953" spans="1:12">
      <c r="A953" s="20" t="s">
        <v>245</v>
      </c>
      <c r="E953" s="21">
        <f>IF(D953="?OLD","!!!","")</f>
        <v/>
      </c>
      <c r="F953" s="22" t="str">
        <f>IF(OR(E953="",E953="!!!"),"",IF(NOT(ISNA(VLOOKUP(E953,E$1:E952,1,FALSE()))),"OLD",IF(AND(E953&lt;&gt;"",E953&lt;&gt;"!!!"),"NEW","")))</f>
        <v> </v>
      </c>
      <c r="G953" s="23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4" t="str">
        <f>IF(J953&lt;&gt;1,"",IF(I953="SBJ","CB","?"))</f>
        <v> </v>
      </c>
      <c r="I953" s="25" t="str">
        <f>IF(OR(E953="",E953="!!!",F953="NEW"),"",INDEX(B952:B$2,-1+SUMPRODUCT(MAX(ROW(E952:E$2)*(E953=E952:E$2)))))</f>
        <v> </v>
      </c>
      <c r="J953" s="25" t="str">
        <f>IF(OR(E953="",E953="!!!",F953="NEW"),"",COUNTBLANK(OFFSET(A$1,,,SUMPRODUCT(MAX(ROW(E$2:E953)*(E953=E$2:E953)))))-COUNTBLANK(OFFSET(A$1,,,SUMPRODUCT(MAX(ROW(E$1:E952)*(E2=E$1:E952))))))</f>
        <v> </v>
      </c>
      <c r="K953" s="25" t="str">
        <f>IF(OR(E953="",E953="!!!",F953="NEW"),"",INDEX(J$1:J952,SUMPRODUCT(MAX(ROW(E$1:E952)*(E953=E$1:E952)))))</f>
        <v> </v>
      </c>
      <c r="L953" s="26"/>
    </row>
    <row r="954" spans="1:12">
      <c r="A954" s="20" t="s">
        <v>201</v>
      </c>
      <c r="E954" s="21">
        <f>IF(D954="?OLD","!!!","")</f>
        <v/>
      </c>
      <c r="F954" s="22" t="str">
        <f>IF(OR(E954="",E954="!!!"),"",IF(NOT(ISNA(VLOOKUP(E954,E$1:E953,1,FALSE()))),"OLD",IF(AND(E954&lt;&gt;"",E954&lt;&gt;"!!!"),"NEW","")))</f>
        <v> </v>
      </c>
      <c r="G954" s="23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4" t="str">
        <f>IF(J954&lt;&gt;1,"",IF(I954="SBJ","CB","?"))</f>
        <v> </v>
      </c>
      <c r="I954" s="25" t="str">
        <f>IF(OR(E954="",E954="!!!",F954="NEW"),"",INDEX(B953:B$2,-1+SUMPRODUCT(MAX(ROW(E953:E$2)*(E954=E953:E$2)))))</f>
        <v> </v>
      </c>
      <c r="J954" s="25" t="str">
        <f>IF(OR(E954="",E954="!!!",F954="NEW"),"",COUNTBLANK(OFFSET(A$1,,,SUMPRODUCT(MAX(ROW(E$2:E954)*(E954=E$2:E954)))))-COUNTBLANK(OFFSET(A$1,,,SUMPRODUCT(MAX(ROW(E$1:E953)*(E2=E$1:E953))))))</f>
        <v> </v>
      </c>
      <c r="K954" s="25" t="str">
        <f>IF(OR(E954="",E954="!!!",F954="NEW"),"",INDEX(J$1:J953,SUMPRODUCT(MAX(ROW(E$1:E953)*(E954=E$1:E953)))))</f>
        <v> </v>
      </c>
      <c r="L954" s="26"/>
    </row>
    <row r="955" spans="1:12">
      <c r="A955" s="20" t="s">
        <v>210</v>
      </c>
      <c r="E955" s="21">
        <f>IF(D955="?OLD","!!!","")</f>
        <v/>
      </c>
      <c r="F955" s="22" t="str">
        <f>IF(OR(E955="",E955="!!!"),"",IF(NOT(ISNA(VLOOKUP(E955,E$1:E954,1,FALSE()))),"OLD",IF(AND(E955&lt;&gt;"",E955&lt;&gt;"!!!"),"NEW","")))</f>
        <v> </v>
      </c>
      <c r="G955" s="23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4" t="str">
        <f>IF(J955&lt;&gt;1,"",IF(I955="SBJ","CB","?"))</f>
        <v> </v>
      </c>
      <c r="I955" s="25" t="str">
        <f>IF(OR(E955="",E955="!!!",F955="NEW"),"",INDEX(B954:B$2,-1+SUMPRODUCT(MAX(ROW(E954:E$2)*(E955=E954:E$2)))))</f>
        <v> </v>
      </c>
      <c r="J955" s="25" t="str">
        <f>IF(OR(E955="",E955="!!!",F955="NEW"),"",COUNTBLANK(OFFSET(A$1,,,SUMPRODUCT(MAX(ROW(E$2:E955)*(E955=E$2:E955)))))-COUNTBLANK(OFFSET(A$1,,,SUMPRODUCT(MAX(ROW(E$1:E954)*(E2=E$1:E954))))))</f>
        <v> </v>
      </c>
      <c r="K955" s="25" t="str">
        <f>IF(OR(E955="",E955="!!!",F955="NEW"),"",INDEX(J$1:J954,SUMPRODUCT(MAX(ROW(E$1:E954)*(E955=E$1:E954)))))</f>
        <v> </v>
      </c>
      <c r="L955" s="26"/>
    </row>
    <row r="956" spans="1:12">
      <c r="A956" s="20" t="s">
        <v>593</v>
      </c>
      <c r="E956" s="21">
        <f>IF(D956="?OLD","!!!","")</f>
        <v/>
      </c>
      <c r="F956" s="22" t="str">
        <f>IF(OR(E956="",E956="!!!"),"",IF(NOT(ISNA(VLOOKUP(E956,E$1:E955,1,FALSE()))),"OLD",IF(AND(E956&lt;&gt;"",E956&lt;&gt;"!!!"),"NEW","")))</f>
        <v> </v>
      </c>
      <c r="G956" s="23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4" t="str">
        <f>IF(J956&lt;&gt;1,"",IF(I956="SBJ","CB","?"))</f>
        <v> </v>
      </c>
      <c r="I956" s="25" t="str">
        <f>IF(OR(E956="",E956="!!!",F956="NEW"),"",INDEX(B955:B$2,-1+SUMPRODUCT(MAX(ROW(E955:E$2)*(E956=E955:E$2)))))</f>
        <v> </v>
      </c>
      <c r="J956" s="25" t="str">
        <f>IF(OR(E956="",E956="!!!",F956="NEW"),"",COUNTBLANK(OFFSET(A$1,,,SUMPRODUCT(MAX(ROW(E$2:E956)*(E956=E$2:E956)))))-COUNTBLANK(OFFSET(A$1,,,SUMPRODUCT(MAX(ROW(E$1:E955)*(E2=E$1:E955))))))</f>
        <v> </v>
      </c>
      <c r="K956" s="25" t="str">
        <f>IF(OR(E956="",E956="!!!",F956="NEW"),"",INDEX(J$1:J955,SUMPRODUCT(MAX(ROW(E$1:E955)*(E956=E$1:E955)))))</f>
        <v> </v>
      </c>
      <c r="L956" s="26"/>
    </row>
    <row r="957" spans="1:12">
      <c r="A957" s="20" t="s">
        <v>311</v>
      </c>
      <c r="E957" s="21">
        <f>IF(D957="?OLD","!!!","")</f>
        <v/>
      </c>
      <c r="F957" s="22" t="str">
        <f>IF(OR(E957="",E957="!!!"),"",IF(NOT(ISNA(VLOOKUP(E957,E$1:E956,1,FALSE()))),"OLD",IF(AND(E957&lt;&gt;"",E957&lt;&gt;"!!!"),"NEW","")))</f>
        <v> </v>
      </c>
      <c r="G957" s="23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4" t="str">
        <f>IF(J957&lt;&gt;1,"",IF(I957="SBJ","CB","?"))</f>
        <v> </v>
      </c>
      <c r="I957" s="25" t="str">
        <f>IF(OR(E957="",E957="!!!",F957="NEW"),"",INDEX(B956:B$2,-1+SUMPRODUCT(MAX(ROW(E956:E$2)*(E957=E956:E$2)))))</f>
        <v> </v>
      </c>
      <c r="J957" s="25" t="str">
        <f>IF(OR(E957="",E957="!!!",F957="NEW"),"",COUNTBLANK(OFFSET(A$1,,,SUMPRODUCT(MAX(ROW(E$2:E957)*(E957=E$2:E957)))))-COUNTBLANK(OFFSET(A$1,,,SUMPRODUCT(MAX(ROW(E$1:E956)*(E2=E$1:E956))))))</f>
        <v> </v>
      </c>
      <c r="K957" s="25" t="str">
        <f>IF(OR(E957="",E957="!!!",F957="NEW"),"",INDEX(J$1:J956,SUMPRODUCT(MAX(ROW(E$1:E956)*(E957=E$1:E956)))))</f>
        <v> </v>
      </c>
      <c r="L957" s="26"/>
    </row>
    <row r="958" spans="1:12">
      <c r="A958" s="20" t="s">
        <v>594</v>
      </c>
      <c r="B958" s="27" t="s">
        <v>223</v>
      </c>
      <c r="C958" s="27" t="s">
        <v>243</v>
      </c>
      <c r="D958" s="27" t="s">
        <v>185</v>
      </c>
      <c r="E958" s="21">
        <f>IF(D958="?OLD","!!!","")</f>
        <v/>
      </c>
      <c r="F958" s="22" t="str">
        <f>IF(OR(E958="",E958="!!!"),"",IF(NOT(ISNA(VLOOKUP(E958,E$1:E957,1,FALSE()))),"OLD",IF(AND(E958&lt;&gt;"",E958&lt;&gt;"!!!"),"NEW","")))</f>
        <v> </v>
      </c>
      <c r="G958" s="23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4" t="str">
        <f>IF(J958&lt;&gt;1,"",IF(I958="SBJ","CB","?"))</f>
        <v> </v>
      </c>
      <c r="I958" s="25" t="str">
        <f>IF(OR(E958="",E958="!!!",F958="NEW"),"",INDEX(B957:B$2,-1+SUMPRODUCT(MAX(ROW(E957:E$2)*(E958=E957:E$2)))))</f>
        <v> </v>
      </c>
      <c r="J958" s="25" t="str">
        <f>IF(OR(E958="",E958="!!!",F958="NEW"),"",COUNTBLANK(OFFSET(A$1,,,SUMPRODUCT(MAX(ROW(E$2:E958)*(E958=E$2:E958)))))-COUNTBLANK(OFFSET(A$1,,,SUMPRODUCT(MAX(ROW(E$1:E957)*(E2=E$1:E957))))))</f>
        <v> </v>
      </c>
      <c r="K958" s="25" t="str">
        <f>IF(OR(E958="",E958="!!!",F958="NEW"),"",INDEX(J$1:J957,SUMPRODUCT(MAX(ROW(E$1:E957)*(E958=E$1:E957)))))</f>
        <v> </v>
      </c>
      <c r="L958" s="26"/>
    </row>
    <row r="959" spans="1:12">
      <c r="A959" s="20" t="s">
        <v>556</v>
      </c>
      <c r="E959" s="21">
        <f>IF(D959="?OLD","!!!","")</f>
        <v/>
      </c>
      <c r="F959" s="22" t="str">
        <f>IF(OR(E959="",E959="!!!"),"",IF(NOT(ISNA(VLOOKUP(E959,E$1:E958,1,FALSE()))),"OLD",IF(AND(E959&lt;&gt;"",E959&lt;&gt;"!!!"),"NEW","")))</f>
        <v> </v>
      </c>
      <c r="G959" s="23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4" t="str">
        <f>IF(J959&lt;&gt;1,"",IF(I959="SBJ","CB","?"))</f>
        <v> </v>
      </c>
      <c r="I959" s="25" t="str">
        <f>IF(OR(E959="",E959="!!!",F959="NEW"),"",INDEX(B958:B$2,-1+SUMPRODUCT(MAX(ROW(E958:E$2)*(E959=E958:E$2)))))</f>
        <v> </v>
      </c>
      <c r="J959" s="25" t="str">
        <f>IF(OR(E959="",E959="!!!",F959="NEW"),"",COUNTBLANK(OFFSET(A$1,,,SUMPRODUCT(MAX(ROW(E$2:E959)*(E959=E$2:E959)))))-COUNTBLANK(OFFSET(A$1,,,SUMPRODUCT(MAX(ROW(E$1:E958)*(E2=E$1:E958))))))</f>
        <v> </v>
      </c>
      <c r="K959" s="25" t="str">
        <f>IF(OR(E959="",E959="!!!",F959="NEW"),"",INDEX(J$1:J958,SUMPRODUCT(MAX(ROW(E$1:E958)*(E959=E$1:E958)))))</f>
        <v> </v>
      </c>
      <c r="L959" s="26"/>
    </row>
    <row r="960" spans="1:12">
      <c r="A960" s="20"/>
    </row>
    <row r="961" spans="1:12">
      <c r="A961" s="20" t="s">
        <v>595</v>
      </c>
    </row>
    <row r="962" spans="1:12">
      <c r="A962" s="20" t="s">
        <v>570</v>
      </c>
      <c r="E962" s="21">
        <f>IF(D962="?OLD","!!!","")</f>
        <v/>
      </c>
      <c r="F962" s="22" t="str">
        <f>IF(OR(E962="",E962="!!!"),"",IF(NOT(ISNA(VLOOKUP(E962,E$1:E961,1,FALSE()))),"OLD",IF(AND(E962&lt;&gt;"",E962&lt;&gt;"!!!"),"NEW","")))</f>
        <v> </v>
      </c>
      <c r="G962" s="23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24" t="str">
        <f>IF(J962&lt;&gt;1,"",IF(I962="SBJ","CB","?"))</f>
        <v> </v>
      </c>
      <c r="I962" s="25" t="str">
        <f>IF(OR(E962="",E962="!!!",F962="NEW"),"",INDEX(B961:B$2,-1+SUMPRODUCT(MAX(ROW(E961:E$2)*(E962=E961:E$2)))))</f>
        <v> </v>
      </c>
      <c r="J962" s="25" t="str">
        <f>IF(OR(E962="",E962="!!!",F962="NEW"),"",COUNTBLANK(OFFSET(A$1,,,SUMPRODUCT(MAX(ROW(E$2:E962)*(E962=E$2:E962)))))-COUNTBLANK(OFFSET(A$1,,,SUMPRODUCT(MAX(ROW(E$1:E961)*(E2=E$1:E961))))))</f>
        <v> </v>
      </c>
      <c r="K962" s="25" t="str">
        <f>IF(OR(E962="",E962="!!!",F962="NEW"),"",INDEX(J$1:J961,SUMPRODUCT(MAX(ROW(E$1:E961)*(E962=E$1:E961)))))</f>
        <v> </v>
      </c>
      <c r="L962" s="26"/>
    </row>
    <row r="963" spans="1:12">
      <c r="A963" s="20" t="s">
        <v>201</v>
      </c>
      <c r="E963" s="21">
        <f>IF(D963="?OLD","!!!","")</f>
        <v/>
      </c>
      <c r="F963" s="22" t="str">
        <f>IF(OR(E963="",E963="!!!"),"",IF(NOT(ISNA(VLOOKUP(E963,E$1:E962,1,FALSE()))),"OLD",IF(AND(E963&lt;&gt;"",E963&lt;&gt;"!!!"),"NEW","")))</f>
        <v> </v>
      </c>
      <c r="G963" s="23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 </v>
      </c>
      <c r="H963" s="24" t="str">
        <f>IF(J963&lt;&gt;1,"",IF(I963="SBJ","CB","?"))</f>
        <v> </v>
      </c>
      <c r="I963" s="25" t="str">
        <f>IF(OR(E963="",E963="!!!",F963="NEW"),"",INDEX(B962:B$2,-1+SUMPRODUCT(MAX(ROW(E962:E$2)*(E963=E962:E$2)))))</f>
        <v> </v>
      </c>
      <c r="J963" s="25" t="str">
        <f>IF(OR(E963="",E963="!!!",F963="NEW"),"",COUNTBLANK(OFFSET(A$1,,,SUMPRODUCT(MAX(ROW(E$2:E963)*(E963=E$2:E963)))))-COUNTBLANK(OFFSET(A$1,,,SUMPRODUCT(MAX(ROW(E$1:E962)*(E2=E$1:E962))))))</f>
        <v> </v>
      </c>
      <c r="K963" s="25" t="str">
        <f>IF(OR(E963="",E963="!!!",F963="NEW"),"",INDEX(J$1:J962,SUMPRODUCT(MAX(ROW(E$1:E962)*(E963=E$1:E962)))))</f>
        <v> </v>
      </c>
      <c r="L963" s="26"/>
    </row>
    <row r="964" spans="1:12">
      <c r="A964" s="20" t="s">
        <v>197</v>
      </c>
      <c r="E964" s="21">
        <f>IF(D964="?OLD","!!!","")</f>
        <v/>
      </c>
      <c r="F964" s="22" t="str">
        <f>IF(OR(E964="",E964="!!!"),"",IF(NOT(ISNA(VLOOKUP(E964,E$1:E963,1,FALSE()))),"OLD",IF(AND(E964&lt;&gt;"",E964&lt;&gt;"!!!"),"NEW","")))</f>
        <v> </v>
      </c>
      <c r="G964" s="23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4" t="str">
        <f>IF(J964&lt;&gt;1,"",IF(I964="SBJ","CB","?"))</f>
        <v> </v>
      </c>
      <c r="I964" s="25" t="str">
        <f>IF(OR(E964="",E964="!!!",F964="NEW"),"",INDEX(B963:B$2,-1+SUMPRODUCT(MAX(ROW(E963:E$2)*(E964=E963:E$2)))))</f>
        <v> </v>
      </c>
      <c r="J964" s="25" t="str">
        <f>IF(OR(E964="",E964="!!!",F964="NEW"),"",COUNTBLANK(OFFSET(A$1,,,SUMPRODUCT(MAX(ROW(E$2:E964)*(E964=E$2:E964)))))-COUNTBLANK(OFFSET(A$1,,,SUMPRODUCT(MAX(ROW(E$1:E963)*(E2=E$1:E963))))))</f>
        <v> </v>
      </c>
      <c r="K964" s="25" t="str">
        <f>IF(OR(E964="",E964="!!!",F964="NEW"),"",INDEX(J$1:J963,SUMPRODUCT(MAX(ROW(E$1:E963)*(E964=E$1:E963)))))</f>
        <v> </v>
      </c>
      <c r="L964" s="26"/>
    </row>
    <row r="965" spans="1:12">
      <c r="A965" s="20" t="s">
        <v>596</v>
      </c>
      <c r="E965" s="21">
        <f>IF(D965="?OLD","!!!","")</f>
        <v/>
      </c>
      <c r="F965" s="22" t="str">
        <f>IF(OR(E965="",E965="!!!"),"",IF(NOT(ISNA(VLOOKUP(E965,E$1:E964,1,FALSE()))),"OLD",IF(AND(E965&lt;&gt;"",E965&lt;&gt;"!!!"),"NEW","")))</f>
        <v> </v>
      </c>
      <c r="G965" s="23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4" t="str">
        <f>IF(J965&lt;&gt;1,"",IF(I965="SBJ","CB","?"))</f>
        <v> </v>
      </c>
      <c r="I965" s="25" t="str">
        <f>IF(OR(E965="",E965="!!!",F965="NEW"),"",INDEX(B964:B$2,-1+SUMPRODUCT(MAX(ROW(E964:E$2)*(E965=E964:E$2)))))</f>
        <v> </v>
      </c>
      <c r="J965" s="25" t="str">
        <f>IF(OR(E965="",E965="!!!",F965="NEW"),"",COUNTBLANK(OFFSET(A$1,,,SUMPRODUCT(MAX(ROW(E$2:E965)*(E965=E$2:E965)))))-COUNTBLANK(OFFSET(A$1,,,SUMPRODUCT(MAX(ROW(E$1:E964)*(E2=E$1:E964))))))</f>
        <v> </v>
      </c>
      <c r="K965" s="25" t="str">
        <f>IF(OR(E965="",E965="!!!",F965="NEW"),"",INDEX(J$1:J964,SUMPRODUCT(MAX(ROW(E$1:E964)*(E965=E$1:E964)))))</f>
        <v> </v>
      </c>
      <c r="L965" s="26"/>
    </row>
    <row r="966" spans="1:12">
      <c r="A966" s="20" t="s">
        <v>377</v>
      </c>
      <c r="B966" s="27" t="s">
        <v>246</v>
      </c>
      <c r="C966" s="27" t="s">
        <v>199</v>
      </c>
      <c r="D966" s="27" t="s">
        <v>185</v>
      </c>
      <c r="E966" s="21">
        <f>IF(D966="?OLD","!!!","")</f>
        <v/>
      </c>
      <c r="F966" s="22" t="str">
        <f>IF(OR(E966="",E966="!!!"),"",IF(NOT(ISNA(VLOOKUP(E966,E$1:E965,1,FALSE()))),"OLD",IF(AND(E966&lt;&gt;"",E966&lt;&gt;"!!!"),"NEW","")))</f>
        <v> </v>
      </c>
      <c r="G966" s="23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24" t="str">
        <f>IF(J966&lt;&gt;1,"",IF(I966="SBJ","CB","?"))</f>
        <v> </v>
      </c>
      <c r="I966" s="25" t="str">
        <f>IF(OR(E966="",E966="!!!",F966="NEW"),"",INDEX(B965:B$2,-1+SUMPRODUCT(MAX(ROW(E965:E$2)*(E966=E965:E$2)))))</f>
        <v> </v>
      </c>
      <c r="J966" s="25" t="str">
        <f>IF(OR(E966="",E966="!!!",F966="NEW"),"",COUNTBLANK(OFFSET(A$1,,,SUMPRODUCT(MAX(ROW(E$2:E966)*(E966=E$2:E966)))))-COUNTBLANK(OFFSET(A$1,,,SUMPRODUCT(MAX(ROW(E$1:E965)*(E2=E$1:E965))))))</f>
        <v> </v>
      </c>
      <c r="K966" s="25" t="str">
        <f>IF(OR(E966="",E966="!!!",F966="NEW"),"",INDEX(J$1:J965,SUMPRODUCT(MAX(ROW(E$1:E965)*(E966=E$1:E965)))))</f>
        <v> </v>
      </c>
      <c r="L966" s="26"/>
    </row>
    <row r="967" spans="1:12">
      <c r="A967" s="20" t="s">
        <v>201</v>
      </c>
      <c r="B967" s="27" t="s">
        <v>208</v>
      </c>
      <c r="E967" s="21">
        <f>IF(D967="?OLD","!!!","")</f>
        <v/>
      </c>
      <c r="F967" s="22" t="str">
        <f>IF(OR(E967="",E967="!!!"),"",IF(NOT(ISNA(VLOOKUP(E967,E$1:E966,1,FALSE()))),"OLD",IF(AND(E967&lt;&gt;"",E967&lt;&gt;"!!!"),"NEW","")))</f>
        <v> </v>
      </c>
      <c r="G967" s="23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24" t="str">
        <f>IF(J967&lt;&gt;1,"",IF(I967="SBJ","CB","?"))</f>
        <v> </v>
      </c>
      <c r="I967" s="25" t="str">
        <f>IF(OR(E967="",E967="!!!",F967="NEW"),"",INDEX(B966:B$2,-1+SUMPRODUCT(MAX(ROW(E966:E$2)*(E967=E966:E$2)))))</f>
        <v> </v>
      </c>
      <c r="J967" s="25" t="str">
        <f>IF(OR(E967="",E967="!!!",F967="NEW"),"",COUNTBLANK(OFFSET(A$1,,,SUMPRODUCT(MAX(ROW(E$2:E967)*(E967=E$2:E967)))))-COUNTBLANK(OFFSET(A$1,,,SUMPRODUCT(MAX(ROW(E$1:E966)*(E2=E$1:E966))))))</f>
        <v> </v>
      </c>
      <c r="K967" s="25" t="str">
        <f>IF(OR(E967="",E967="!!!",F967="NEW"),"",INDEX(J$1:J966,SUMPRODUCT(MAX(ROW(E$1:E966)*(E967=E$1:E966)))))</f>
        <v> </v>
      </c>
      <c r="L967" s="26"/>
    </row>
    <row r="968" spans="1:12">
      <c r="A968" s="20" t="s">
        <v>210</v>
      </c>
      <c r="E968" s="21">
        <f>IF(D968="?OLD","!!!","")</f>
        <v/>
      </c>
      <c r="F968" s="22" t="str">
        <f>IF(OR(E968="",E968="!!!"),"",IF(NOT(ISNA(VLOOKUP(E968,E$1:E967,1,FALSE()))),"OLD",IF(AND(E968&lt;&gt;"",E968&lt;&gt;"!!!"),"NEW","")))</f>
        <v> </v>
      </c>
      <c r="G968" s="23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4" t="str">
        <f>IF(J968&lt;&gt;1,"",IF(I968="SBJ","CB","?"))</f>
        <v> </v>
      </c>
      <c r="I968" s="25" t="str">
        <f>IF(OR(E968="",E968="!!!",F968="NEW"),"",INDEX(B967:B$2,-1+SUMPRODUCT(MAX(ROW(E967:E$2)*(E968=E967:E$2)))))</f>
        <v> </v>
      </c>
      <c r="J968" s="25" t="str">
        <f>IF(OR(E968="",E968="!!!",F968="NEW"),"",COUNTBLANK(OFFSET(A$1,,,SUMPRODUCT(MAX(ROW(E$2:E968)*(E968=E$2:E968)))))-COUNTBLANK(OFFSET(A$1,,,SUMPRODUCT(MAX(ROW(E$1:E967)*(E2=E$1:E967))))))</f>
        <v> </v>
      </c>
      <c r="K968" s="25" t="str">
        <f>IF(OR(E968="",E968="!!!",F968="NEW"),"",INDEX(J$1:J967,SUMPRODUCT(MAX(ROW(E$1:E967)*(E968=E$1:E967)))))</f>
        <v> </v>
      </c>
      <c r="L968" s="26"/>
    </row>
    <row r="969" spans="1:12">
      <c r="A969" s="20" t="s">
        <v>491</v>
      </c>
      <c r="E969" s="21">
        <f>IF(D969="?OLD","!!!","")</f>
        <v/>
      </c>
      <c r="F969" s="22" t="str">
        <f>IF(OR(E969="",E969="!!!"),"",IF(NOT(ISNA(VLOOKUP(E969,E$1:E968,1,FALSE()))),"OLD",IF(AND(E969&lt;&gt;"",E969&lt;&gt;"!!!"),"NEW","")))</f>
        <v> </v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4" t="str">
        <f>IF(J969&lt;&gt;1,"",IF(I969="SBJ","CB","?"))</f>
        <v> </v>
      </c>
      <c r="I969" s="25" t="str">
        <f>IF(OR(E969="",E969="!!!",F969="NEW"),"",INDEX(B968:B$2,-1+SUMPRODUCT(MAX(ROW(E968:E$2)*(E969=E968:E$2)))))</f>
        <v> </v>
      </c>
      <c r="J969" s="25" t="str">
        <f>IF(OR(E969="",E969="!!!",F969="NEW"),"",COUNTBLANK(OFFSET(A$1,,,SUMPRODUCT(MAX(ROW(E$2:E969)*(E969=E$2:E969)))))-COUNTBLANK(OFFSET(A$1,,,SUMPRODUCT(MAX(ROW(E$1:E968)*(E2=E$1:E968))))))</f>
        <v> </v>
      </c>
      <c r="K969" s="25" t="str">
        <f>IF(OR(E969="",E969="!!!",F969="NEW"),"",INDEX(J$1:J968,SUMPRODUCT(MAX(ROW(E$1:E968)*(E969=E$1:E968)))))</f>
        <v> </v>
      </c>
      <c r="L969" s="26"/>
    </row>
    <row r="970" spans="1:12">
      <c r="A970" s="20" t="s">
        <v>597</v>
      </c>
      <c r="E970" s="21">
        <f>IF(D970="?OLD","!!!","")</f>
        <v/>
      </c>
      <c r="F970" s="22" t="str">
        <f>IF(OR(E970="",E970="!!!"),"",IF(NOT(ISNA(VLOOKUP(E970,E$1:E969,1,FALSE()))),"OLD",IF(AND(E970&lt;&gt;"",E970&lt;&gt;"!!!"),"NEW","")))</f>
        <v> </v>
      </c>
      <c r="G970" s="23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4" t="str">
        <f>IF(J970&lt;&gt;1,"",IF(I970="SBJ","CB","?"))</f>
        <v> </v>
      </c>
      <c r="I970" s="25" t="str">
        <f>IF(OR(E970="",E970="!!!",F970="NEW"),"",INDEX(B969:B$2,-1+SUMPRODUCT(MAX(ROW(E969:E$2)*(E970=E969:E$2)))))</f>
        <v> </v>
      </c>
      <c r="J970" s="25" t="str">
        <f>IF(OR(E970="",E970="!!!",F970="NEW"),"",COUNTBLANK(OFFSET(A$1,,,SUMPRODUCT(MAX(ROW(E$2:E970)*(E970=E$2:E970)))))-COUNTBLANK(OFFSET(A$1,,,SUMPRODUCT(MAX(ROW(E$1:E969)*(E2=E$1:E969))))))</f>
        <v> </v>
      </c>
      <c r="K970" s="25" t="str">
        <f>IF(OR(E970="",E970="!!!",F970="NEW"),"",INDEX(J$1:J969,SUMPRODUCT(MAX(ROW(E$1:E969)*(E970=E$1:E969)))))</f>
        <v> </v>
      </c>
      <c r="L970" s="26"/>
    </row>
    <row r="971" spans="1:12">
      <c r="A971" s="20" t="s">
        <v>245</v>
      </c>
      <c r="E971" s="21">
        <f>IF(D971="?OLD","!!!","")</f>
        <v/>
      </c>
      <c r="F971" s="22" t="str">
        <f>IF(OR(E971="",E971="!!!"),"",IF(NOT(ISNA(VLOOKUP(E971,E$1:E970,1,FALSE()))),"OLD",IF(AND(E971&lt;&gt;"",E971&lt;&gt;"!!!"),"NEW","")))</f>
        <v> </v>
      </c>
      <c r="G971" s="23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4" t="str">
        <f>IF(J971&lt;&gt;1,"",IF(I971="SBJ","CB","?"))</f>
        <v> </v>
      </c>
      <c r="I971" s="25" t="str">
        <f>IF(OR(E971="",E971="!!!",F971="NEW"),"",INDEX(B970:B$2,-1+SUMPRODUCT(MAX(ROW(E970:E$2)*(E971=E970:E$2)))))</f>
        <v> </v>
      </c>
      <c r="J971" s="25" t="str">
        <f>IF(OR(E971="",E971="!!!",F971="NEW"),"",COUNTBLANK(OFFSET(A$1,,,SUMPRODUCT(MAX(ROW(E$2:E971)*(E971=E$2:E971)))))-COUNTBLANK(OFFSET(A$1,,,SUMPRODUCT(MAX(ROW(E$1:E970)*(E2=E$1:E970))))))</f>
        <v> </v>
      </c>
      <c r="K971" s="25" t="str">
        <f>IF(OR(E971="",E971="!!!",F971="NEW"),"",INDEX(J$1:J970,SUMPRODUCT(MAX(ROW(E$1:E970)*(E971=E$1:E970)))))</f>
        <v> </v>
      </c>
      <c r="L971" s="26"/>
    </row>
    <row r="972" spans="1:12">
      <c r="A972" s="20" t="s">
        <v>201</v>
      </c>
      <c r="E972" s="21">
        <f>IF(D972="?OLD","!!!","")</f>
        <v/>
      </c>
      <c r="F972" s="22" t="str">
        <f>IF(OR(E972="",E972="!!!"),"",IF(NOT(ISNA(VLOOKUP(E972,E$1:E971,1,FALSE()))),"OLD",IF(AND(E972&lt;&gt;"",E972&lt;&gt;"!!!"),"NEW","")))</f>
        <v> </v>
      </c>
      <c r="G972" s="23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4" t="str">
        <f>IF(J972&lt;&gt;1,"",IF(I972="SBJ","CB","?"))</f>
        <v> </v>
      </c>
      <c r="I972" s="25" t="str">
        <f>IF(OR(E972="",E972="!!!",F972="NEW"),"",INDEX(B971:B$2,-1+SUMPRODUCT(MAX(ROW(E971:E$2)*(E972=E971:E$2)))))</f>
        <v> </v>
      </c>
      <c r="J972" s="25" t="str">
        <f>IF(OR(E972="",E972="!!!",F972="NEW"),"",COUNTBLANK(OFFSET(A$1,,,SUMPRODUCT(MAX(ROW(E$2:E972)*(E972=E$2:E972)))))-COUNTBLANK(OFFSET(A$1,,,SUMPRODUCT(MAX(ROW(E$1:E971)*(E2=E$1:E971))))))</f>
        <v> </v>
      </c>
      <c r="K972" s="25" t="str">
        <f>IF(OR(E972="",E972="!!!",F972="NEW"),"",INDEX(J$1:J971,SUMPRODUCT(MAX(ROW(E$1:E971)*(E972=E$1:E971)))))</f>
        <v> </v>
      </c>
      <c r="L972" s="26"/>
    </row>
    <row r="973" spans="1:12">
      <c r="A973" s="20" t="s">
        <v>197</v>
      </c>
      <c r="E973" s="21">
        <f>IF(D973="?OLD","!!!","")</f>
        <v/>
      </c>
      <c r="F973" s="22" t="str">
        <f>IF(OR(E973="",E973="!!!"),"",IF(NOT(ISNA(VLOOKUP(E973,E$1:E972,1,FALSE()))),"OLD",IF(AND(E973&lt;&gt;"",E973&lt;&gt;"!!!"),"NEW","")))</f>
        <v> </v>
      </c>
      <c r="G973" s="23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4" t="str">
        <f>IF(J973&lt;&gt;1,"",IF(I973="SBJ","CB","?"))</f>
        <v> </v>
      </c>
      <c r="I973" s="25" t="str">
        <f>IF(OR(E973="",E973="!!!",F973="NEW"),"",INDEX(B972:B$2,-1+SUMPRODUCT(MAX(ROW(E972:E$2)*(E973=E972:E$2)))))</f>
        <v> </v>
      </c>
      <c r="J973" s="25" t="str">
        <f>IF(OR(E973="",E973="!!!",F973="NEW"),"",COUNTBLANK(OFFSET(A$1,,,SUMPRODUCT(MAX(ROW(E$2:E973)*(E973=E$2:E973)))))-COUNTBLANK(OFFSET(A$1,,,SUMPRODUCT(MAX(ROW(E$1:E972)*(E2=E$1:E972))))))</f>
        <v> </v>
      </c>
      <c r="K973" s="25" t="str">
        <f>IF(OR(E973="",E973="!!!",F973="NEW"),"",INDEX(J$1:J972,SUMPRODUCT(MAX(ROW(E$1:E972)*(E973=E$1:E972)))))</f>
        <v> </v>
      </c>
      <c r="L973" s="26"/>
    </row>
    <row r="974" spans="1:12">
      <c r="A974" s="20" t="s">
        <v>598</v>
      </c>
      <c r="B974" s="27" t="s">
        <v>325</v>
      </c>
      <c r="C974" s="27" t="s">
        <v>199</v>
      </c>
      <c r="D974" s="27" t="s">
        <v>185</v>
      </c>
      <c r="E974" s="21">
        <f>IF(D974="?OLD","!!!","")</f>
        <v/>
      </c>
      <c r="F974" s="22" t="str">
        <f>IF(OR(E974="",E974="!!!"),"",IF(NOT(ISNA(VLOOKUP(E974,E$1:E973,1,FALSE()))),"OLD",IF(AND(E974&lt;&gt;"",E974&lt;&gt;"!!!"),"NEW","")))</f>
        <v> </v>
      </c>
      <c r="G974" s="23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4" t="str">
        <f>IF(J974&lt;&gt;1,"",IF(I974="SBJ","CB","?"))</f>
        <v> </v>
      </c>
      <c r="I974" s="25" t="str">
        <f>IF(OR(E974="",E974="!!!",F974="NEW"),"",INDEX(B973:B$2,-1+SUMPRODUCT(MAX(ROW(E973:E$2)*(E974=E973:E$2)))))</f>
        <v> </v>
      </c>
      <c r="J974" s="25" t="str">
        <f>IF(OR(E974="",E974="!!!",F974="NEW"),"",COUNTBLANK(OFFSET(A$1,,,SUMPRODUCT(MAX(ROW(E$2:E974)*(E974=E$2:E974)))))-COUNTBLANK(OFFSET(A$1,,,SUMPRODUCT(MAX(ROW(E$1:E973)*(E2=E$1:E973))))))</f>
        <v> </v>
      </c>
      <c r="K974" s="25" t="str">
        <f>IF(OR(E974="",E974="!!!",F974="NEW"),"",INDEX(J$1:J973,SUMPRODUCT(MAX(ROW(E$1:E973)*(E974=E$1:E973)))))</f>
        <v> </v>
      </c>
      <c r="L974" s="26"/>
    </row>
    <row r="975" spans="1:12">
      <c r="A975" s="20" t="s">
        <v>245</v>
      </c>
      <c r="E975" s="21">
        <f>IF(D975="?OLD","!!!","")</f>
        <v/>
      </c>
      <c r="F975" s="22" t="str">
        <f>IF(OR(E975="",E975="!!!"),"",IF(NOT(ISNA(VLOOKUP(E975,E$1:E974,1,FALSE()))),"OLD",IF(AND(E975&lt;&gt;"",E975&lt;&gt;"!!!"),"NEW","")))</f>
        <v> </v>
      </c>
      <c r="G975" s="23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24" t="str">
        <f>IF(J975&lt;&gt;1,"",IF(I975="SBJ","CB","?"))</f>
        <v> </v>
      </c>
      <c r="I975" s="25" t="str">
        <f>IF(OR(E975="",E975="!!!",F975="NEW"),"",INDEX(B974:B$2,-1+SUMPRODUCT(MAX(ROW(E974:E$2)*(E975=E974:E$2)))))</f>
        <v> </v>
      </c>
      <c r="J975" s="25" t="str">
        <f>IF(OR(E975="",E975="!!!",F975="NEW"),"",COUNTBLANK(OFFSET(A$1,,,SUMPRODUCT(MAX(ROW(E$2:E975)*(E975=E$2:E975)))))-COUNTBLANK(OFFSET(A$1,,,SUMPRODUCT(MAX(ROW(E$1:E974)*(E2=E$1:E974))))))</f>
        <v> </v>
      </c>
      <c r="K975" s="25" t="str">
        <f>IF(OR(E975="",E975="!!!",F975="NEW"),"",INDEX(J$1:J974,SUMPRODUCT(MAX(ROW(E$1:E974)*(E975=E$1:E974)))))</f>
        <v> </v>
      </c>
      <c r="L975" s="26"/>
    </row>
    <row r="976" spans="1:12">
      <c r="A976" s="20" t="s">
        <v>267</v>
      </c>
      <c r="E976" s="21">
        <f>IF(D976="?OLD","!!!","")</f>
        <v/>
      </c>
      <c r="F976" s="22" t="str">
        <f>IF(OR(E976="",E976="!!!"),"",IF(NOT(ISNA(VLOOKUP(E976,E$1:E975,1,FALSE()))),"OLD",IF(AND(E976&lt;&gt;"",E976&lt;&gt;"!!!"),"NEW","")))</f>
        <v> </v>
      </c>
      <c r="G976" s="23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4" t="str">
        <f>IF(J976&lt;&gt;1,"",IF(I976="SBJ","CB","?"))</f>
        <v> </v>
      </c>
      <c r="I976" s="25" t="str">
        <f>IF(OR(E976="",E976="!!!",F976="NEW"),"",INDEX(B975:B$2,-1+SUMPRODUCT(MAX(ROW(E975:E$2)*(E976=E975:E$2)))))</f>
        <v> </v>
      </c>
      <c r="J976" s="25" t="str">
        <f>IF(OR(E976="",E976="!!!",F976="NEW"),"",COUNTBLANK(OFFSET(A$1,,,SUMPRODUCT(MAX(ROW(E$2:E976)*(E976=E$2:E976)))))-COUNTBLANK(OFFSET(A$1,,,SUMPRODUCT(MAX(ROW(E$1:E975)*(E2=E$1:E975))))))</f>
        <v> </v>
      </c>
      <c r="K976" s="25" t="str">
        <f>IF(OR(E976="",E976="!!!",F976="NEW"),"",INDEX(J$1:J975,SUMPRODUCT(MAX(ROW(E$1:E975)*(E976=E$1:E975)))))</f>
        <v> </v>
      </c>
      <c r="L976" s="26"/>
    </row>
    <row r="977" spans="1:12">
      <c r="A977" s="20" t="s">
        <v>599</v>
      </c>
      <c r="B977" s="27" t="s">
        <v>205</v>
      </c>
      <c r="C977" s="27" t="s">
        <v>217</v>
      </c>
      <c r="E977" s="21">
        <f>IF(D977="?OLD","!!!","")</f>
        <v/>
      </c>
      <c r="F977" s="22" t="str">
        <f>IF(OR(E977="",E977="!!!"),"",IF(NOT(ISNA(VLOOKUP(E977,E$1:E976,1,FALSE()))),"OLD",IF(AND(E977&lt;&gt;"",E977&lt;&gt;"!!!"),"NEW","")))</f>
        <v> </v>
      </c>
      <c r="G977" s="23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24" t="str">
        <f>IF(J977&lt;&gt;1,"",IF(I977="SBJ","CB","?"))</f>
        <v> </v>
      </c>
      <c r="I977" s="25" t="str">
        <f>IF(OR(E977="",E977="!!!",F977="NEW"),"",INDEX(B976:B$2,-1+SUMPRODUCT(MAX(ROW(E976:E$2)*(E977=E976:E$2)))))</f>
        <v> </v>
      </c>
      <c r="J977" s="25" t="str">
        <f>IF(OR(E977="",E977="!!!",F977="NEW"),"",COUNTBLANK(OFFSET(A$1,,,SUMPRODUCT(MAX(ROW(E$2:E977)*(E977=E$2:E977)))))-COUNTBLANK(OFFSET(A$1,,,SUMPRODUCT(MAX(ROW(E$1:E976)*(E2=E$1:E976))))))</f>
        <v> </v>
      </c>
      <c r="K977" s="25" t="str">
        <f>IF(OR(E977="",E977="!!!",F977="NEW"),"",INDEX(J$1:J976,SUMPRODUCT(MAX(ROW(E$1:E976)*(E977=E$1:E976)))))</f>
        <v> </v>
      </c>
      <c r="L977" s="26"/>
    </row>
    <row r="978" spans="1:12">
      <c r="A978" s="20" t="s">
        <v>600</v>
      </c>
      <c r="E978" s="21">
        <f>IF(D978="?OLD","!!!","")</f>
        <v/>
      </c>
      <c r="F978" s="22" t="str">
        <f>IF(OR(E978="",E978="!!!"),"",IF(NOT(ISNA(VLOOKUP(E978,E$1:E977,1,FALSE()))),"OLD",IF(AND(E978&lt;&gt;"",E978&lt;&gt;"!!!"),"NEW","")))</f>
        <v> </v>
      </c>
      <c r="G978" s="23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 </v>
      </c>
      <c r="H978" s="24" t="str">
        <f>IF(J978&lt;&gt;1,"",IF(I978="SBJ","CB","?"))</f>
        <v> </v>
      </c>
      <c r="I978" s="25" t="str">
        <f>IF(OR(E978="",E978="!!!",F978="NEW"),"",INDEX(B977:B$2,-1+SUMPRODUCT(MAX(ROW(E977:E$2)*(E978=E977:E$2)))))</f>
        <v> </v>
      </c>
      <c r="J978" s="25" t="str">
        <f>IF(OR(E978="",E978="!!!",F978="NEW"),"",COUNTBLANK(OFFSET(A$1,,,SUMPRODUCT(MAX(ROW(E$2:E978)*(E978=E$2:E978)))))-COUNTBLANK(OFFSET(A$1,,,SUMPRODUCT(MAX(ROW(E$1:E977)*(E2=E$1:E977))))))</f>
        <v> </v>
      </c>
      <c r="K978" s="25" t="str">
        <f>IF(OR(E978="",E978="!!!",F978="NEW"),"",INDEX(J$1:J977,SUMPRODUCT(MAX(ROW(E$1:E977)*(E978=E$1:E977)))))</f>
        <v> </v>
      </c>
      <c r="L978" s="26"/>
    </row>
    <row r="979" spans="1:12">
      <c r="A979" s="20" t="s">
        <v>231</v>
      </c>
      <c r="E979" s="21">
        <f>IF(D979="?OLD","!!!","")</f>
        <v/>
      </c>
      <c r="F979" s="22" t="str">
        <f>IF(OR(E979="",E979="!!!"),"",IF(NOT(ISNA(VLOOKUP(E979,E$1:E978,1,FALSE()))),"OLD",IF(AND(E979&lt;&gt;"",E979&lt;&gt;"!!!"),"NEW","")))</f>
        <v> </v>
      </c>
      <c r="G979" s="23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4" t="str">
        <f>IF(J979&lt;&gt;1,"",IF(I979="SBJ","CB","?"))</f>
        <v> </v>
      </c>
      <c r="I979" s="25" t="str">
        <f>IF(OR(E979="",E979="!!!",F979="NEW"),"",INDEX(B978:B$2,-1+SUMPRODUCT(MAX(ROW(E978:E$2)*(E979=E978:E$2)))))</f>
        <v> </v>
      </c>
      <c r="J979" s="25" t="str">
        <f>IF(OR(E979="",E979="!!!",F979="NEW"),"",COUNTBLANK(OFFSET(A$1,,,SUMPRODUCT(MAX(ROW(E$2:E979)*(E979=E$2:E979)))))-COUNTBLANK(OFFSET(A$1,,,SUMPRODUCT(MAX(ROW(E$1:E978)*(E2=E$1:E978))))))</f>
        <v> </v>
      </c>
      <c r="K979" s="25" t="str">
        <f>IF(OR(E979="",E979="!!!",F979="NEW"),"",INDEX(J$1:J978,SUMPRODUCT(MAX(ROW(E$1:E978)*(E979=E$1:E978)))))</f>
        <v> </v>
      </c>
      <c r="L979" s="26"/>
    </row>
    <row r="980" spans="1:12">
      <c r="A980" s="20"/>
    </row>
    <row r="981" spans="1:12">
      <c r="A981" s="20" t="s">
        <v>601</v>
      </c>
    </row>
    <row r="982" spans="1:12">
      <c r="A982" s="20" t="s">
        <v>383</v>
      </c>
      <c r="E982" s="21">
        <f>IF(D982="?OLD","!!!","")</f>
        <v/>
      </c>
      <c r="F982" s="22" t="str">
        <f>IF(OR(E982="",E982="!!!"),"",IF(NOT(ISNA(VLOOKUP(E982,E$1:E981,1,FALSE()))),"OLD",IF(AND(E982&lt;&gt;"",E982&lt;&gt;"!!!"),"NEW","")))</f>
        <v> </v>
      </c>
      <c r="G982" s="23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4" t="str">
        <f>IF(J982&lt;&gt;1,"",IF(I982="SBJ","CB","?"))</f>
        <v> </v>
      </c>
      <c r="I982" s="25" t="str">
        <f>IF(OR(E982="",E982="!!!",F982="NEW"),"",INDEX(B981:B$2,-1+SUMPRODUCT(MAX(ROW(E981:E$2)*(E982=E981:E$2)))))</f>
        <v> </v>
      </c>
      <c r="J982" s="25" t="str">
        <f>IF(OR(E982="",E982="!!!",F982="NEW"),"",COUNTBLANK(OFFSET(A$1,,,SUMPRODUCT(MAX(ROW(E$2:E982)*(E982=E$2:E982)))))-COUNTBLANK(OFFSET(A$1,,,SUMPRODUCT(MAX(ROW(E$1:E981)*(E2=E$1:E981))))))</f>
        <v> </v>
      </c>
      <c r="K982" s="25" t="str">
        <f>IF(OR(E982="",E982="!!!",F982="NEW"),"",INDEX(J$1:J981,SUMPRODUCT(MAX(ROW(E$1:E981)*(E982=E$1:E981)))))</f>
        <v> </v>
      </c>
      <c r="L982" s="26"/>
    </row>
    <row r="983" spans="1:12">
      <c r="A983" s="20" t="s">
        <v>267</v>
      </c>
      <c r="E983" s="21">
        <f>IF(D983="?OLD","!!!","")</f>
        <v/>
      </c>
      <c r="F983" s="22" t="str">
        <f>IF(OR(E983="",E983="!!!"),"",IF(NOT(ISNA(VLOOKUP(E983,E$1:E982,1,FALSE()))),"OLD",IF(AND(E983&lt;&gt;"",E983&lt;&gt;"!!!"),"NEW","")))</f>
        <v> </v>
      </c>
      <c r="G983" s="23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4" t="str">
        <f>IF(J983&lt;&gt;1,"",IF(I983="SBJ","CB","?"))</f>
        <v> </v>
      </c>
      <c r="I983" s="25" t="str">
        <f>IF(OR(E983="",E983="!!!",F983="NEW"),"",INDEX(B982:B$2,-1+SUMPRODUCT(MAX(ROW(E982:E$2)*(E983=E982:E$2)))))</f>
        <v> </v>
      </c>
      <c r="J983" s="25" t="str">
        <f>IF(OR(E983="",E983="!!!",F983="NEW"),"",COUNTBLANK(OFFSET(A$1,,,SUMPRODUCT(MAX(ROW(E$2:E983)*(E983=E$2:E983)))))-COUNTBLANK(OFFSET(A$1,,,SUMPRODUCT(MAX(ROW(E$1:E982)*(E2=E$1:E982))))))</f>
        <v> </v>
      </c>
      <c r="K983" s="25" t="str">
        <f>IF(OR(E983="",E983="!!!",F983="NEW"),"",INDEX(J$1:J982,SUMPRODUCT(MAX(ROW(E$1:E982)*(E983=E$1:E982)))))</f>
        <v> </v>
      </c>
      <c r="L983" s="26"/>
    </row>
    <row r="984" spans="1:12">
      <c r="A984" s="20" t="s">
        <v>377</v>
      </c>
      <c r="B984" s="27" t="s">
        <v>246</v>
      </c>
      <c r="C984" s="27" t="s">
        <v>217</v>
      </c>
      <c r="E984" s="21">
        <f>IF(D984="?OLD","!!!","")</f>
        <v/>
      </c>
      <c r="F984" s="22" t="str">
        <f>IF(OR(E984="",E984="!!!"),"",IF(NOT(ISNA(VLOOKUP(E984,E$1:E983,1,FALSE()))),"OLD",IF(AND(E984&lt;&gt;"",E984&lt;&gt;"!!!"),"NEW","")))</f>
        <v> </v>
      </c>
      <c r="G984" s="23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4" t="str">
        <f>IF(J984&lt;&gt;1,"",IF(I984="SBJ","CB","?"))</f>
        <v> </v>
      </c>
      <c r="I984" s="25" t="str">
        <f>IF(OR(E984="",E984="!!!",F984="NEW"),"",INDEX(B983:B$2,-1+SUMPRODUCT(MAX(ROW(E983:E$2)*(E984=E983:E$2)))))</f>
        <v> </v>
      </c>
      <c r="J984" s="25" t="str">
        <f>IF(OR(E984="",E984="!!!",F984="NEW"),"",COUNTBLANK(OFFSET(A$1,,,SUMPRODUCT(MAX(ROW(E$2:E984)*(E984=E$2:E984)))))-COUNTBLANK(OFFSET(A$1,,,SUMPRODUCT(MAX(ROW(E$1:E983)*(E2=E$1:E983))))))</f>
        <v> </v>
      </c>
      <c r="K984" s="25" t="str">
        <f>IF(OR(E984="",E984="!!!",F984="NEW"),"",INDEX(J$1:J983,SUMPRODUCT(MAX(ROW(E$1:E983)*(E984=E$1:E983)))))</f>
        <v> </v>
      </c>
      <c r="L984" s="26"/>
    </row>
    <row r="985" spans="1:12">
      <c r="A985" s="20" t="s">
        <v>201</v>
      </c>
      <c r="B985" s="27" t="s">
        <v>223</v>
      </c>
      <c r="E985" s="21">
        <f>IF(D985="?OLD","!!!","")</f>
        <v/>
      </c>
      <c r="F985" s="22" t="str">
        <f>IF(OR(E985="",E985="!!!"),"",IF(NOT(ISNA(VLOOKUP(E985,E$1:E984,1,FALSE()))),"OLD",IF(AND(E985&lt;&gt;"",E985&lt;&gt;"!!!"),"NEW","")))</f>
        <v> </v>
      </c>
      <c r="G985" s="23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4" t="str">
        <f>IF(J985&lt;&gt;1,"",IF(I985="SBJ","CB","?"))</f>
        <v> </v>
      </c>
      <c r="I985" s="25" t="str">
        <f>IF(OR(E985="",E985="!!!",F985="NEW"),"",INDEX(B984:B$2,-1+SUMPRODUCT(MAX(ROW(E984:E$2)*(E985=E984:E$2)))))</f>
        <v> </v>
      </c>
      <c r="J985" s="25" t="str">
        <f>IF(OR(E985="",E985="!!!",F985="NEW"),"",COUNTBLANK(OFFSET(A$1,,,SUMPRODUCT(MAX(ROW(E$2:E985)*(E985=E$2:E985)))))-COUNTBLANK(OFFSET(A$1,,,SUMPRODUCT(MAX(ROW(E$1:E984)*(E2=E$1:E984))))))</f>
        <v> </v>
      </c>
      <c r="K985" s="25" t="str">
        <f>IF(OR(E985="",E985="!!!",F985="NEW"),"",INDEX(J$1:J984,SUMPRODUCT(MAX(ROW(E$1:E984)*(E985=E$1:E984)))))</f>
        <v> </v>
      </c>
      <c r="L985" s="26"/>
    </row>
    <row r="986" spans="1:12">
      <c r="A986" s="20" t="s">
        <v>602</v>
      </c>
      <c r="E986" s="21">
        <f>IF(D986="?OLD","!!!","")</f>
        <v/>
      </c>
      <c r="F986" s="22" t="str">
        <f>IF(OR(E986="",E986="!!!"),"",IF(NOT(ISNA(VLOOKUP(E986,E$1:E985,1,FALSE()))),"OLD",IF(AND(E986&lt;&gt;"",E986&lt;&gt;"!!!"),"NEW","")))</f>
        <v> </v>
      </c>
      <c r="G986" s="23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4" t="str">
        <f>IF(J986&lt;&gt;1,"",IF(I986="SBJ","CB","?"))</f>
        <v> </v>
      </c>
      <c r="I986" s="25" t="str">
        <f>IF(OR(E986="",E986="!!!",F986="NEW"),"",INDEX(B985:B$2,-1+SUMPRODUCT(MAX(ROW(E985:E$2)*(E986=E985:E$2)))))</f>
        <v> </v>
      </c>
      <c r="J986" s="25" t="str">
        <f>IF(OR(E986="",E986="!!!",F986="NEW"),"",COUNTBLANK(OFFSET(A$1,,,SUMPRODUCT(MAX(ROW(E$2:E986)*(E986=E$2:E986)))))-COUNTBLANK(OFFSET(A$1,,,SUMPRODUCT(MAX(ROW(E$1:E985)*(E2=E$1:E985))))))</f>
        <v> </v>
      </c>
      <c r="K986" s="25" t="str">
        <f>IF(OR(E986="",E986="!!!",F986="NEW"),"",INDEX(J$1:J985,SUMPRODUCT(MAX(ROW(E$1:E985)*(E986=E$1:E985)))))</f>
        <v> </v>
      </c>
      <c r="L986" s="26"/>
    </row>
    <row r="987" spans="1:12">
      <c r="A987" s="20" t="s">
        <v>593</v>
      </c>
      <c r="E987" s="21">
        <f>IF(D987="?OLD","!!!","")</f>
        <v/>
      </c>
      <c r="F987" s="22" t="str">
        <f>IF(OR(E987="",E987="!!!"),"",IF(NOT(ISNA(VLOOKUP(E987,E$1:E986,1,FALSE()))),"OLD",IF(AND(E987&lt;&gt;"",E987&lt;&gt;"!!!"),"NEW","")))</f>
        <v> </v>
      </c>
      <c r="G987" s="23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4" t="str">
        <f>IF(J987&lt;&gt;1,"",IF(I987="SBJ","CB","?"))</f>
        <v> </v>
      </c>
      <c r="I987" s="25" t="str">
        <f>IF(OR(E987="",E987="!!!",F987="NEW"),"",INDEX(B986:B$2,-1+SUMPRODUCT(MAX(ROW(E986:E$2)*(E987=E986:E$2)))))</f>
        <v> </v>
      </c>
      <c r="J987" s="25" t="str">
        <f>IF(OR(E987="",E987="!!!",F987="NEW"),"",COUNTBLANK(OFFSET(A$1,,,SUMPRODUCT(MAX(ROW(E$2:E987)*(E987=E$2:E987)))))-COUNTBLANK(OFFSET(A$1,,,SUMPRODUCT(MAX(ROW(E$1:E986)*(E2=E$1:E986))))))</f>
        <v> </v>
      </c>
      <c r="K987" s="25" t="str">
        <f>IF(OR(E987="",E987="!!!",F987="NEW"),"",INDEX(J$1:J986,SUMPRODUCT(MAX(ROW(E$1:E986)*(E987=E$1:E986)))))</f>
        <v> </v>
      </c>
      <c r="L987" s="26"/>
    </row>
    <row r="988" spans="1:12">
      <c r="A988" s="20" t="s">
        <v>190</v>
      </c>
      <c r="E988" s="21">
        <f>IF(D988="?OLD","!!!","")</f>
        <v/>
      </c>
      <c r="F988" s="22" t="str">
        <f>IF(OR(E988="",E988="!!!"),"",IF(NOT(ISNA(VLOOKUP(E988,E$1:E987,1,FALSE()))),"OLD",IF(AND(E988&lt;&gt;"",E988&lt;&gt;"!!!"),"NEW","")))</f>
        <v> </v>
      </c>
      <c r="G988" s="23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4" t="str">
        <f>IF(J988&lt;&gt;1,"",IF(I988="SBJ","CB","?"))</f>
        <v> </v>
      </c>
      <c r="I988" s="25" t="str">
        <f>IF(OR(E988="",E988="!!!",F988="NEW"),"",INDEX(B987:B$2,-1+SUMPRODUCT(MAX(ROW(E987:E$2)*(E988=E987:E$2)))))</f>
        <v> </v>
      </c>
      <c r="J988" s="25" t="str">
        <f>IF(OR(E988="",E988="!!!",F988="NEW"),"",COUNTBLANK(OFFSET(A$1,,,SUMPRODUCT(MAX(ROW(E$2:E988)*(E988=E$2:E988)))))-COUNTBLANK(OFFSET(A$1,,,SUMPRODUCT(MAX(ROW(E$1:E987)*(E2=E$1:E987))))))</f>
        <v> </v>
      </c>
      <c r="K988" s="25" t="str">
        <f>IF(OR(E988="",E988="!!!",F988="NEW"),"",INDEX(J$1:J987,SUMPRODUCT(MAX(ROW(E$1:E987)*(E988=E$1:E987)))))</f>
        <v> </v>
      </c>
      <c r="L988" s="26"/>
    </row>
    <row r="989" spans="1:12">
      <c r="A989" s="20" t="s">
        <v>194</v>
      </c>
      <c r="E989" s="21">
        <f>IF(D989="?OLD","!!!","")</f>
        <v/>
      </c>
      <c r="F989" s="22" t="str">
        <f>IF(OR(E989="",E989="!!!"),"",IF(NOT(ISNA(VLOOKUP(E989,E$1:E988,1,FALSE()))),"OLD",IF(AND(E989&lt;&gt;"",E989&lt;&gt;"!!!"),"NEW","")))</f>
        <v> </v>
      </c>
      <c r="G989" s="23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4" t="str">
        <f>IF(J989&lt;&gt;1,"",IF(I989="SBJ","CB","?"))</f>
        <v> </v>
      </c>
      <c r="I989" s="25" t="str">
        <f>IF(OR(E989="",E989="!!!",F989="NEW"),"",INDEX(B988:B$2,-1+SUMPRODUCT(MAX(ROW(E988:E$2)*(E989=E988:E$2)))))</f>
        <v> </v>
      </c>
      <c r="J989" s="25" t="str">
        <f>IF(OR(E989="",E989="!!!",F989="NEW"),"",COUNTBLANK(OFFSET(A$1,,,SUMPRODUCT(MAX(ROW(E$2:E989)*(E989=E$2:E989)))))-COUNTBLANK(OFFSET(A$1,,,SUMPRODUCT(MAX(ROW(E$1:E988)*(E2=E$1:E988))))))</f>
        <v> </v>
      </c>
      <c r="K989" s="25" t="str">
        <f>IF(OR(E989="",E989="!!!",F989="NEW"),"",INDEX(J$1:J988,SUMPRODUCT(MAX(ROW(E$1:E988)*(E989=E$1:E988)))))</f>
        <v> </v>
      </c>
      <c r="L989" s="26"/>
    </row>
    <row r="990" spans="1:12">
      <c r="A990" s="20" t="s">
        <v>603</v>
      </c>
      <c r="E990" s="21">
        <f>IF(D990="?OLD","!!!","")</f>
        <v/>
      </c>
      <c r="F990" s="22" t="str">
        <f>IF(OR(E990="",E990="!!!"),"",IF(NOT(ISNA(VLOOKUP(E990,E$1:E989,1,FALSE()))),"OLD",IF(AND(E990&lt;&gt;"",E990&lt;&gt;"!!!"),"NEW","")))</f>
        <v> </v>
      </c>
      <c r="G990" s="23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4" t="str">
        <f>IF(J990&lt;&gt;1,"",IF(I990="SBJ","CB","?"))</f>
        <v> </v>
      </c>
      <c r="I990" s="25" t="str">
        <f>IF(OR(E990="",E990="!!!",F990="NEW"),"",INDEX(B989:B$2,-1+SUMPRODUCT(MAX(ROW(E989:E$2)*(E990=E989:E$2)))))</f>
        <v> </v>
      </c>
      <c r="J990" s="25" t="str">
        <f>IF(OR(E990="",E990="!!!",F990="NEW"),"",COUNTBLANK(OFFSET(A$1,,,SUMPRODUCT(MAX(ROW(E$2:E990)*(E990=E$2:E990)))))-COUNTBLANK(OFFSET(A$1,,,SUMPRODUCT(MAX(ROW(E$1:E989)*(E2=E$1:E989))))))</f>
        <v> </v>
      </c>
      <c r="K990" s="25" t="str">
        <f>IF(OR(E990="",E990="!!!",F990="NEW"),"",INDEX(J$1:J989,SUMPRODUCT(MAX(ROW(E$1:E989)*(E990=E$1:E989)))))</f>
        <v> </v>
      </c>
      <c r="L990" s="26"/>
    </row>
    <row r="991" spans="1:12">
      <c r="A991" s="20" t="s">
        <v>604</v>
      </c>
      <c r="E991" s="21">
        <f>IF(D991="?OLD","!!!","")</f>
        <v/>
      </c>
      <c r="F991" s="22" t="str">
        <f>IF(OR(E991="",E991="!!!"),"",IF(NOT(ISNA(VLOOKUP(E991,E$1:E990,1,FALSE()))),"OLD",IF(AND(E991&lt;&gt;"",E991&lt;&gt;"!!!"),"NEW","")))</f>
        <v> </v>
      </c>
      <c r="G991" s="23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4" t="str">
        <f>IF(J991&lt;&gt;1,"",IF(I991="SBJ","CB","?"))</f>
        <v> </v>
      </c>
      <c r="I991" s="25" t="str">
        <f>IF(OR(E991="",E991="!!!",F991="NEW"),"",INDEX(B990:B$2,-1+SUMPRODUCT(MAX(ROW(E990:E$2)*(E991=E990:E$2)))))</f>
        <v> </v>
      </c>
      <c r="J991" s="25" t="str">
        <f>IF(OR(E991="",E991="!!!",F991="NEW"),"",COUNTBLANK(OFFSET(A$1,,,SUMPRODUCT(MAX(ROW(E$2:E991)*(E991=E$2:E991)))))-COUNTBLANK(OFFSET(A$1,,,SUMPRODUCT(MAX(ROW(E$1:E990)*(E2=E$1:E990))))))</f>
        <v> </v>
      </c>
      <c r="K991" s="25" t="str">
        <f>IF(OR(E991="",E991="!!!",F991="NEW"),"",INDEX(J$1:J990,SUMPRODUCT(MAX(ROW(E$1:E990)*(E991=E$1:E990)))))</f>
        <v> </v>
      </c>
      <c r="L991" s="26"/>
    </row>
    <row r="992" spans="1:12">
      <c r="A992" s="20" t="s">
        <v>244</v>
      </c>
      <c r="E992" s="21">
        <f>IF(D992="?OLD","!!!","")</f>
        <v/>
      </c>
      <c r="F992" s="22" t="str">
        <f>IF(OR(E992="",E992="!!!"),"",IF(NOT(ISNA(VLOOKUP(E992,E$1:E991,1,FALSE()))),"OLD",IF(AND(E992&lt;&gt;"",E992&lt;&gt;"!!!"),"NEW","")))</f>
        <v> </v>
      </c>
      <c r="G992" s="23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4" t="str">
        <f>IF(J992&lt;&gt;1,"",IF(I992="SBJ","CB","?"))</f>
        <v> </v>
      </c>
      <c r="I992" s="25" t="str">
        <f>IF(OR(E992="",E992="!!!",F992="NEW"),"",INDEX(B991:B$2,-1+SUMPRODUCT(MAX(ROW(E991:E$2)*(E992=E991:E$2)))))</f>
        <v> </v>
      </c>
      <c r="J992" s="25" t="str">
        <f>IF(OR(E992="",E992="!!!",F992="NEW"),"",COUNTBLANK(OFFSET(A$1,,,SUMPRODUCT(MAX(ROW(E$2:E992)*(E992=E$2:E992)))))-COUNTBLANK(OFFSET(A$1,,,SUMPRODUCT(MAX(ROW(E$1:E991)*(E2=E$1:E991))))))</f>
        <v> </v>
      </c>
      <c r="K992" s="25" t="str">
        <f>IF(OR(E992="",E992="!!!",F992="NEW"),"",INDEX(J$1:J991,SUMPRODUCT(MAX(ROW(E$1:E991)*(E992=E$1:E991)))))</f>
        <v> </v>
      </c>
      <c r="L992" s="26"/>
    </row>
    <row r="993" spans="1:12">
      <c r="A993" s="20" t="s">
        <v>197</v>
      </c>
      <c r="E993" s="21">
        <f>IF(D993="?OLD","!!!","")</f>
        <v/>
      </c>
      <c r="F993" s="22" t="str">
        <f>IF(OR(E993="",E993="!!!"),"",IF(NOT(ISNA(VLOOKUP(E993,E$1:E992,1,FALSE()))),"OLD",IF(AND(E993&lt;&gt;"",E993&lt;&gt;"!!!"),"NEW","")))</f>
        <v> </v>
      </c>
      <c r="G993" s="23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4" t="str">
        <f>IF(J993&lt;&gt;1,"",IF(I993="SBJ","CB","?"))</f>
        <v> </v>
      </c>
      <c r="I993" s="25" t="str">
        <f>IF(OR(E993="",E993="!!!",F993="NEW"),"",INDEX(B992:B$2,-1+SUMPRODUCT(MAX(ROW(E992:E$2)*(E993=E992:E$2)))))</f>
        <v> </v>
      </c>
      <c r="J993" s="25" t="str">
        <f>IF(OR(E993="",E993="!!!",F993="NEW"),"",COUNTBLANK(OFFSET(A$1,,,SUMPRODUCT(MAX(ROW(E$2:E993)*(E993=E$2:E993)))))-COUNTBLANK(OFFSET(A$1,,,SUMPRODUCT(MAX(ROW(E$1:E992)*(E2=E$1:E992))))))</f>
        <v> </v>
      </c>
      <c r="K993" s="25" t="str">
        <f>IF(OR(E993="",E993="!!!",F993="NEW"),"",INDEX(J$1:J992,SUMPRODUCT(MAX(ROW(E$1:E992)*(E993=E$1:E992)))))</f>
        <v> </v>
      </c>
      <c r="L993" s="26"/>
    </row>
    <row r="994" spans="1:12">
      <c r="A994" s="20" t="s">
        <v>593</v>
      </c>
      <c r="E994" s="21">
        <f>IF(D994="?OLD","!!!","")</f>
        <v/>
      </c>
      <c r="F994" s="22" t="str">
        <f>IF(OR(E994="",E994="!!!"),"",IF(NOT(ISNA(VLOOKUP(E994,E$1:E993,1,FALSE()))),"OLD",IF(AND(E994&lt;&gt;"",E994&lt;&gt;"!!!"),"NEW","")))</f>
        <v> </v>
      </c>
      <c r="G994" s="23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4" t="str">
        <f>IF(J994&lt;&gt;1,"",IF(I994="SBJ","CB","?"))</f>
        <v> </v>
      </c>
      <c r="I994" s="25" t="str">
        <f>IF(OR(E994="",E994="!!!",F994="NEW"),"",INDEX(B993:B$2,-1+SUMPRODUCT(MAX(ROW(E993:E$2)*(E994=E993:E$2)))))</f>
        <v> </v>
      </c>
      <c r="J994" s="25" t="str">
        <f>IF(OR(E994="",E994="!!!",F994="NEW"),"",COUNTBLANK(OFFSET(A$1,,,SUMPRODUCT(MAX(ROW(E$2:E994)*(E994=E$2:E994)))))-COUNTBLANK(OFFSET(A$1,,,SUMPRODUCT(MAX(ROW(E$1:E993)*(E2=E$1:E993))))))</f>
        <v> </v>
      </c>
      <c r="K994" s="25" t="str">
        <f>IF(OR(E994="",E994="!!!",F994="NEW"),"",INDEX(J$1:J993,SUMPRODUCT(MAX(ROW(E$1:E993)*(E994=E$1:E993)))))</f>
        <v> </v>
      </c>
      <c r="L994" s="26"/>
    </row>
    <row r="995" spans="1:12">
      <c r="A995" s="20" t="s">
        <v>231</v>
      </c>
      <c r="E995" s="21">
        <f>IF(D995="?OLD","!!!","")</f>
        <v/>
      </c>
      <c r="F995" s="22" t="str">
        <f>IF(OR(E995="",E995="!!!"),"",IF(NOT(ISNA(VLOOKUP(E995,E$1:E994,1,FALSE()))),"OLD",IF(AND(E995&lt;&gt;"",E995&lt;&gt;"!!!"),"NEW","")))</f>
        <v> </v>
      </c>
      <c r="G995" s="23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4" t="str">
        <f>IF(J995&lt;&gt;1,"",IF(I995="SBJ","CB","?"))</f>
        <v> </v>
      </c>
      <c r="I995" s="25" t="str">
        <f>IF(OR(E995="",E995="!!!",F995="NEW"),"",INDEX(B994:B$2,-1+SUMPRODUCT(MAX(ROW(E994:E$2)*(E995=E994:E$2)))))</f>
        <v> </v>
      </c>
      <c r="J995" s="25" t="str">
        <f>IF(OR(E995="",E995="!!!",F995="NEW"),"",COUNTBLANK(OFFSET(A$1,,,SUMPRODUCT(MAX(ROW(E$2:E995)*(E995=E$2:E995)))))-COUNTBLANK(OFFSET(A$1,,,SUMPRODUCT(MAX(ROW(E$1:E994)*(E2=E$1:E994))))))</f>
        <v> </v>
      </c>
      <c r="K995" s="25" t="str">
        <f>IF(OR(E995="",E995="!!!",F995="NEW"),"",INDEX(J$1:J994,SUMPRODUCT(MAX(ROW(E$1:E994)*(E995=E$1:E994)))))</f>
        <v> </v>
      </c>
      <c r="L995" s="26"/>
    </row>
    <row r="996" spans="1:12">
      <c r="A996" s="20"/>
    </row>
    <row r="997" spans="1:12">
      <c r="A997" s="20" t="s">
        <v>605</v>
      </c>
    </row>
    <row r="998" spans="1:12">
      <c r="A998" s="20" t="s">
        <v>606</v>
      </c>
      <c r="E998" s="21">
        <f>IF(D998="?OLD","!!!","")</f>
        <v/>
      </c>
      <c r="F998" s="22" t="str">
        <f>IF(OR(E998="",E998="!!!"),"",IF(NOT(ISNA(VLOOKUP(E998,E$1:E997,1,FALSE()))),"OLD",IF(AND(E998&lt;&gt;"",E998&lt;&gt;"!!!"),"NEW","")))</f>
        <v> </v>
      </c>
      <c r="G998" s="23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4" t="str">
        <f>IF(J998&lt;&gt;1,"",IF(I998="SBJ","CB","?"))</f>
        <v> </v>
      </c>
      <c r="I998" s="25" t="str">
        <f>IF(OR(E998="",E998="!!!",F998="NEW"),"",INDEX(B997:B$2,-1+SUMPRODUCT(MAX(ROW(E997:E$2)*(E998=E997:E$2)))))</f>
        <v> </v>
      </c>
      <c r="J998" s="25" t="str">
        <f>IF(OR(E998="",E998="!!!",F998="NEW"),"",COUNTBLANK(OFFSET(A$1,,,SUMPRODUCT(MAX(ROW(E$2:E998)*(E998=E$2:E998)))))-COUNTBLANK(OFFSET(A$1,,,SUMPRODUCT(MAX(ROW(E$1:E997)*(E2=E$1:E997))))))</f>
        <v> </v>
      </c>
      <c r="K998" s="25" t="str">
        <f>IF(OR(E998="",E998="!!!",F998="NEW"),"",INDEX(J$1:J997,SUMPRODUCT(MAX(ROW(E$1:E997)*(E998=E$1:E997)))))</f>
        <v> </v>
      </c>
      <c r="L998" s="26"/>
    </row>
    <row r="999" spans="1:12">
      <c r="A999" s="20" t="s">
        <v>607</v>
      </c>
      <c r="E999" s="21">
        <f>IF(D999="?OLD","!!!","")</f>
        <v/>
      </c>
      <c r="F999" s="22" t="str">
        <f>IF(OR(E999="",E999="!!!"),"",IF(NOT(ISNA(VLOOKUP(E999,E$1:E998,1,FALSE()))),"OLD",IF(AND(E999&lt;&gt;"",E999&lt;&gt;"!!!"),"NEW","")))</f>
        <v> </v>
      </c>
      <c r="G999" s="23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4" t="str">
        <f>IF(J999&lt;&gt;1,"",IF(I999="SBJ","CB","?"))</f>
        <v> </v>
      </c>
      <c r="I999" s="25" t="str">
        <f>IF(OR(E999="",E999="!!!",F999="NEW"),"",INDEX(B998:B$2,-1+SUMPRODUCT(MAX(ROW(E998:E$2)*(E999=E998:E$2)))))</f>
        <v> </v>
      </c>
      <c r="J999" s="25" t="str">
        <f>IF(OR(E999="",E999="!!!",F999="NEW"),"",COUNTBLANK(OFFSET(A$1,,,SUMPRODUCT(MAX(ROW(E$2:E999)*(E999=E$2:E999)))))-COUNTBLANK(OFFSET(A$1,,,SUMPRODUCT(MAX(ROW(E$1:E998)*(E2=E$1:E998))))))</f>
        <v> </v>
      </c>
      <c r="K999" s="25" t="str">
        <f>IF(OR(E999="",E999="!!!",F999="NEW"),"",INDEX(J$1:J998,SUMPRODUCT(MAX(ROW(E$1:E998)*(E999=E$1:E998)))))</f>
        <v> </v>
      </c>
      <c r="L999" s="26"/>
    </row>
    <row r="1000" spans="1:12">
      <c r="A1000" s="20" t="s">
        <v>469</v>
      </c>
      <c r="E1000" s="21">
        <f>IF(D1000="?OLD","!!!","")</f>
        <v/>
      </c>
      <c r="F1000" s="22" t="str">
        <f>IF(OR(E1000="",E1000="!!!"),"",IF(NOT(ISNA(VLOOKUP(E1000,E$1:E999,1,FALSE()))),"OLD",IF(AND(E1000&lt;&gt;"",E1000&lt;&gt;"!!!"),"NEW","")))</f>
        <v> </v>
      </c>
      <c r="G1000" s="23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4" t="str">
        <f>IF(J1000&lt;&gt;1,"",IF(I1000="SBJ","CB","?"))</f>
        <v> </v>
      </c>
      <c r="I1000" s="25" t="str">
        <f>IF(OR(E1000="",E1000="!!!",F1000="NEW"),"",INDEX(B999:B$2,-1+SUMPRODUCT(MAX(ROW(E999:E$2)*(E1000=E999:E$2)))))</f>
        <v> </v>
      </c>
      <c r="J1000" s="25" t="str">
        <f>IF(OR(E1000="",E1000="!!!",F1000="NEW"),"",COUNTBLANK(OFFSET(A$1,,,SUMPRODUCT(MAX(ROW(E$2:E1000)*(E1000=E$2:E1000)))))-COUNTBLANK(OFFSET(A$1,,,SUMPRODUCT(MAX(ROW(E$1:E999)*(E2=E$1:E999))))))</f>
        <v> </v>
      </c>
      <c r="K1000" s="25" t="str">
        <f>IF(OR(E1000="",E1000="!!!",F1000="NEW"),"",INDEX(J$1:J999,SUMPRODUCT(MAX(ROW(E$1:E999)*(E1000=E$1:E999)))))</f>
        <v> </v>
      </c>
      <c r="L1000" s="26"/>
    </row>
    <row r="1001" spans="1:12">
      <c r="A1001" s="20" t="s">
        <v>331</v>
      </c>
      <c r="B1001" s="27" t="s">
        <v>223</v>
      </c>
      <c r="C1001" s="27" t="s">
        <v>249</v>
      </c>
      <c r="D1001" s="27" t="s">
        <v>185</v>
      </c>
      <c r="E1001" s="21">
        <f>IF(D1001="?OLD","!!!","")</f>
        <v/>
      </c>
      <c r="F1001" s="22" t="str">
        <f>IF(OR(E1001="",E1001="!!!"),"",IF(NOT(ISNA(VLOOKUP(E1001,E$1:E1000,1,FALSE()))),"OLD",IF(AND(E1001&lt;&gt;"",E1001&lt;&gt;"!!!"),"NEW","")))</f>
        <v> </v>
      </c>
      <c r="G1001" s="23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4" t="str">
        <f>IF(J1001&lt;&gt;1,"",IF(I1001="SBJ","CB","?"))</f>
        <v> </v>
      </c>
      <c r="I1001" s="25" t="str">
        <f>IF(OR(E1001="",E1001="!!!",F1001="NEW"),"",INDEX(B1000:B$2,-1+SUMPRODUCT(MAX(ROW(E1000:E$2)*(E1001=E1000:E$2)))))</f>
        <v> </v>
      </c>
      <c r="J1001" s="25" t="str">
        <f>IF(OR(E1001="",E1001="!!!",F1001="NEW"),"",COUNTBLANK(OFFSET(A$1,,,SUMPRODUCT(MAX(ROW(E$2:E1001)*(E1001=E$2:E1001)))))-COUNTBLANK(OFFSET(A$1,,,SUMPRODUCT(MAX(ROW(E$1:E1000)*(E2=E$1:E1000))))))</f>
        <v> </v>
      </c>
      <c r="K1001" s="25" t="str">
        <f>IF(OR(E1001="",E1001="!!!",F1001="NEW"),"",INDEX(J$1:J1000,SUMPRODUCT(MAX(ROW(E$1:E1000)*(E1001=E$1:E1000)))))</f>
        <v> </v>
      </c>
      <c r="L1001" s="26"/>
    </row>
    <row r="1002" spans="1:12">
      <c r="A1002" s="20" t="s">
        <v>340</v>
      </c>
      <c r="B1002" s="27" t="s">
        <v>188</v>
      </c>
      <c r="C1002" s="27" t="s">
        <v>243</v>
      </c>
      <c r="D1002" s="27" t="s">
        <v>185</v>
      </c>
      <c r="E1002" s="21">
        <f>IF(D1002="?OLD","!!!","")</f>
        <v/>
      </c>
      <c r="F1002" s="22" t="str">
        <f>IF(OR(E1002="",E1002="!!!"),"",IF(NOT(ISNA(VLOOKUP(E1002,E$1:E1001,1,FALSE()))),"OLD",IF(AND(E1002&lt;&gt;"",E1002&lt;&gt;"!!!"),"NEW","")))</f>
        <v> </v>
      </c>
      <c r="G1002" s="23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4" t="str">
        <f>IF(J1002&lt;&gt;1,"",IF(I1002="SBJ","CB","?"))</f>
        <v> </v>
      </c>
      <c r="I1002" s="25" t="str">
        <f>IF(OR(E1002="",E1002="!!!",F1002="NEW"),"",INDEX(B1001:B$2,-1+SUMPRODUCT(MAX(ROW(E1001:E$2)*(E1002=E1001:E$2)))))</f>
        <v> </v>
      </c>
      <c r="J1002" s="25" t="str">
        <f>IF(OR(E1002="",E1002="!!!",F1002="NEW"),"",COUNTBLANK(OFFSET(A$1,,,SUMPRODUCT(MAX(ROW(E$2:E1002)*(E1002=E$2:E1002)))))-COUNTBLANK(OFFSET(A$1,,,SUMPRODUCT(MAX(ROW(E$1:E1001)*(E2=E$1:E1001))))))</f>
        <v> </v>
      </c>
      <c r="K1002" s="25" t="str">
        <f>IF(OR(E1002="",E1002="!!!",F1002="NEW"),"",INDEX(J$1:J1001,SUMPRODUCT(MAX(ROW(E$1:E1001)*(E1002=E$1:E1001)))))</f>
        <v> </v>
      </c>
      <c r="L1002" s="26"/>
    </row>
    <row r="1003" spans="1:12">
      <c r="A1003" s="20" t="s">
        <v>190</v>
      </c>
      <c r="E1003" s="21">
        <f>IF(D1003="?OLD","!!!","")</f>
        <v/>
      </c>
      <c r="F1003" s="22" t="str">
        <f>IF(OR(E1003="",E1003="!!!"),"",IF(NOT(ISNA(VLOOKUP(E1003,E$1:E1002,1,FALSE()))),"OLD",IF(AND(E1003&lt;&gt;"",E1003&lt;&gt;"!!!"),"NEW","")))</f>
        <v> </v>
      </c>
      <c r="G1003" s="23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4" t="str">
        <f>IF(J1003&lt;&gt;1,"",IF(I1003="SBJ","CB","?"))</f>
        <v> </v>
      </c>
      <c r="I1003" s="25" t="str">
        <f>IF(OR(E1003="",E1003="!!!",F1003="NEW"),"",INDEX(B1002:B$2,-1+SUMPRODUCT(MAX(ROW(E1002:E$2)*(E1003=E1002:E$2)))))</f>
        <v> </v>
      </c>
      <c r="J1003" s="25" t="str">
        <f>IF(OR(E1003="",E1003="!!!",F1003="NEW"),"",COUNTBLANK(OFFSET(A$1,,,SUMPRODUCT(MAX(ROW(E$2:E1003)*(E1003=E$2:E1003)))))-COUNTBLANK(OFFSET(A$1,,,SUMPRODUCT(MAX(ROW(E$1:E1002)*(E2=E$1:E1002))))))</f>
        <v> </v>
      </c>
      <c r="K1003" s="25" t="str">
        <f>IF(OR(E1003="",E1003="!!!",F1003="NEW"),"",INDEX(J$1:J1002,SUMPRODUCT(MAX(ROW(E$1:E1002)*(E1003=E$1:E1002)))))</f>
        <v> </v>
      </c>
      <c r="L1003" s="26"/>
    </row>
    <row r="1004" spans="1:12">
      <c r="A1004" s="20" t="s">
        <v>284</v>
      </c>
      <c r="B1004" s="27" t="s">
        <v>242</v>
      </c>
      <c r="C1004" s="27" t="s">
        <v>243</v>
      </c>
      <c r="D1004" s="27" t="s">
        <v>185</v>
      </c>
      <c r="E1004" s="21">
        <f>IF(D1004="?OLD","!!!","")</f>
        <v/>
      </c>
      <c r="F1004" s="22" t="str">
        <f>IF(OR(E1004="",E1004="!!!"),"",IF(NOT(ISNA(VLOOKUP(E1004,E$1:E1003,1,FALSE()))),"OLD",IF(AND(E1004&lt;&gt;"",E1004&lt;&gt;"!!!"),"NEW","")))</f>
        <v> </v>
      </c>
      <c r="G1004" s="23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4" t="str">
        <f>IF(J1004&lt;&gt;1,"",IF(I1004="SBJ","CB","?"))</f>
        <v> </v>
      </c>
      <c r="I1004" s="25" t="str">
        <f>IF(OR(E1004="",E1004="!!!",F1004="NEW"),"",INDEX(B1003:B$2,-1+SUMPRODUCT(MAX(ROW(E1003:E$2)*(E1004=E1003:E$2)))))</f>
        <v> </v>
      </c>
      <c r="J1004" s="25" t="str">
        <f>IF(OR(E1004="",E1004="!!!",F1004="NEW"),"",COUNTBLANK(OFFSET(A$1,,,SUMPRODUCT(MAX(ROW(E$2:E1004)*(E1004=E$2:E1004)))))-COUNTBLANK(OFFSET(A$1,,,SUMPRODUCT(MAX(ROW(E$1:E1003)*(E2=E$1:E1003))))))</f>
        <v> </v>
      </c>
      <c r="K1004" s="25" t="str">
        <f>IF(OR(E1004="",E1004="!!!",F1004="NEW"),"",INDEX(J$1:J1003,SUMPRODUCT(MAX(ROW(E$1:E1003)*(E1004=E$1:E1003)))))</f>
        <v> </v>
      </c>
      <c r="L1004" s="26"/>
    </row>
    <row r="1005" spans="1:12">
      <c r="A1005" s="20" t="s">
        <v>201</v>
      </c>
      <c r="B1005" s="27" t="s">
        <v>208</v>
      </c>
      <c r="E1005" s="21">
        <f>IF(D1005="?OLD","!!!","")</f>
        <v/>
      </c>
      <c r="F1005" s="22" t="str">
        <f>IF(OR(E1005="",E1005="!!!"),"",IF(NOT(ISNA(VLOOKUP(E1005,E$1:E1004,1,FALSE()))),"OLD",IF(AND(E1005&lt;&gt;"",E1005&lt;&gt;"!!!"),"NEW","")))</f>
        <v> </v>
      </c>
      <c r="G1005" s="23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4" t="str">
        <f>IF(J1005&lt;&gt;1,"",IF(I1005="SBJ","CB","?"))</f>
        <v> </v>
      </c>
      <c r="I1005" s="25" t="str">
        <f>IF(OR(E1005="",E1005="!!!",F1005="NEW"),"",INDEX(B1004:B$2,-1+SUMPRODUCT(MAX(ROW(E1004:E$2)*(E1005=E1004:E$2)))))</f>
        <v> </v>
      </c>
      <c r="J1005" s="25" t="str">
        <f>IF(OR(E1005="",E1005="!!!",F1005="NEW"),"",COUNTBLANK(OFFSET(A$1,,,SUMPRODUCT(MAX(ROW(E$2:E1005)*(E1005=E$2:E1005)))))-COUNTBLANK(OFFSET(A$1,,,SUMPRODUCT(MAX(ROW(E$1:E1004)*(E2=E$1:E1004))))))</f>
        <v> </v>
      </c>
      <c r="K1005" s="25" t="str">
        <f>IF(OR(E1005="",E1005="!!!",F1005="NEW"),"",INDEX(J$1:J1004,SUMPRODUCT(MAX(ROW(E$1:E1004)*(E1005=E$1:E1004)))))</f>
        <v> </v>
      </c>
      <c r="L1005" s="26"/>
    </row>
    <row r="1006" spans="1:12">
      <c r="A1006" s="20" t="s">
        <v>608</v>
      </c>
      <c r="E1006" s="21">
        <f>IF(D1006="?OLD","!!!","")</f>
        <v/>
      </c>
      <c r="F1006" s="22" t="str">
        <f>IF(OR(E1006="",E1006="!!!"),"",IF(NOT(ISNA(VLOOKUP(E1006,E$1:E1005,1,FALSE()))),"OLD",IF(AND(E1006&lt;&gt;"",E1006&lt;&gt;"!!!"),"NEW","")))</f>
        <v> </v>
      </c>
      <c r="G1006" s="23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4" t="str">
        <f>IF(J1006&lt;&gt;1,"",IF(I1006="SBJ","CB","?"))</f>
        <v> </v>
      </c>
      <c r="I1006" s="25" t="str">
        <f>IF(OR(E1006="",E1006="!!!",F1006="NEW"),"",INDEX(B1005:B$2,-1+SUMPRODUCT(MAX(ROW(E1005:E$2)*(E1006=E1005:E$2)))))</f>
        <v> </v>
      </c>
      <c r="J1006" s="25" t="str">
        <f>IF(OR(E1006="",E1006="!!!",F1006="NEW"),"",COUNTBLANK(OFFSET(A$1,,,SUMPRODUCT(MAX(ROW(E$2:E1006)*(E1006=E$2:E1006)))))-COUNTBLANK(OFFSET(A$1,,,SUMPRODUCT(MAX(ROW(E$1:E1005)*(E2=E$1:E1005))))))</f>
        <v> </v>
      </c>
      <c r="K1006" s="25" t="str">
        <f>IF(OR(E1006="",E1006="!!!",F1006="NEW"),"",INDEX(J$1:J1005,SUMPRODUCT(MAX(ROW(E$1:E1005)*(E1006=E$1:E1005)))))</f>
        <v> </v>
      </c>
      <c r="L1006" s="26"/>
    </row>
    <row r="1007" spans="1:12">
      <c r="A1007" s="20" t="s">
        <v>197</v>
      </c>
      <c r="E1007" s="21">
        <f>IF(D1007="?OLD","!!!","")</f>
        <v/>
      </c>
      <c r="F1007" s="22" t="str">
        <f>IF(OR(E1007="",E1007="!!!"),"",IF(NOT(ISNA(VLOOKUP(E1007,E$1:E1006,1,FALSE()))),"OLD",IF(AND(E1007&lt;&gt;"",E1007&lt;&gt;"!!!"),"NEW","")))</f>
        <v> </v>
      </c>
      <c r="G1007" s="23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4" t="str">
        <f>IF(J1007&lt;&gt;1,"",IF(I1007="SBJ","CB","?"))</f>
        <v> </v>
      </c>
      <c r="I1007" s="25" t="str">
        <f>IF(OR(E1007="",E1007="!!!",F1007="NEW"),"",INDEX(B1006:B$2,-1+SUMPRODUCT(MAX(ROW(E1006:E$2)*(E1007=E1006:E$2)))))</f>
        <v> </v>
      </c>
      <c r="J1007" s="25" t="str">
        <f>IF(OR(E1007="",E1007="!!!",F1007="NEW"),"",COUNTBLANK(OFFSET(A$1,,,SUMPRODUCT(MAX(ROW(E$2:E1007)*(E1007=E$2:E1007)))))-COUNTBLANK(OFFSET(A$1,,,SUMPRODUCT(MAX(ROW(E$1:E1006)*(E2=E$1:E1006))))))</f>
        <v> </v>
      </c>
      <c r="K1007" s="25" t="str">
        <f>IF(OR(E1007="",E1007="!!!",F1007="NEW"),"",INDEX(J$1:J1006,SUMPRODUCT(MAX(ROW(E$1:E1006)*(E1007=E$1:E1006)))))</f>
        <v> </v>
      </c>
      <c r="L1007" s="26"/>
    </row>
    <row r="1008" spans="1:12">
      <c r="A1008" s="20" t="s">
        <v>593</v>
      </c>
      <c r="E1008" s="21">
        <f>IF(D1008="?OLD","!!!","")</f>
        <v/>
      </c>
      <c r="F1008" s="22" t="str">
        <f>IF(OR(E1008="",E1008="!!!"),"",IF(NOT(ISNA(VLOOKUP(E1008,E$1:E1007,1,FALSE()))),"OLD",IF(AND(E1008&lt;&gt;"",E1008&lt;&gt;"!!!"),"NEW","")))</f>
        <v> </v>
      </c>
      <c r="G1008" s="23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4" t="str">
        <f>IF(J1008&lt;&gt;1,"",IF(I1008="SBJ","CB","?"))</f>
        <v> </v>
      </c>
      <c r="I1008" s="25" t="str">
        <f>IF(OR(E1008="",E1008="!!!",F1008="NEW"),"",INDEX(B1007:B$2,-1+SUMPRODUCT(MAX(ROW(E1007:E$2)*(E1008=E1007:E$2)))))</f>
        <v> </v>
      </c>
      <c r="J1008" s="25" t="str">
        <f>IF(OR(E1008="",E1008="!!!",F1008="NEW"),"",COUNTBLANK(OFFSET(A$1,,,SUMPRODUCT(MAX(ROW(E$2:E1008)*(E1008=E$2:E1008)))))-COUNTBLANK(OFFSET(A$1,,,SUMPRODUCT(MAX(ROW(E$1:E1007)*(E2=E$1:E1007))))))</f>
        <v> </v>
      </c>
      <c r="K1008" s="25" t="str">
        <f>IF(OR(E1008="",E1008="!!!",F1008="NEW"),"",INDEX(J$1:J1007,SUMPRODUCT(MAX(ROW(E$1:E1007)*(E1008=E$1:E1007)))))</f>
        <v> </v>
      </c>
      <c r="L1008" s="26"/>
    </row>
    <row r="1009" spans="1:12">
      <c r="A1009" s="20" t="s">
        <v>311</v>
      </c>
      <c r="E1009" s="21">
        <f>IF(D1009="?OLD","!!!","")</f>
        <v/>
      </c>
      <c r="F1009" s="22" t="str">
        <f>IF(OR(E1009="",E1009="!!!"),"",IF(NOT(ISNA(VLOOKUP(E1009,E$1:E1008,1,FALSE()))),"OLD",IF(AND(E1009&lt;&gt;"",E1009&lt;&gt;"!!!"),"NEW","")))</f>
        <v> </v>
      </c>
      <c r="G1009" s="23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24" t="str">
        <f>IF(J1009&lt;&gt;1,"",IF(I1009="SBJ","CB","?"))</f>
        <v> </v>
      </c>
      <c r="I1009" s="25" t="str">
        <f>IF(OR(E1009="",E1009="!!!",F1009="NEW"),"",INDEX(B1008:B$2,-1+SUMPRODUCT(MAX(ROW(E1008:E$2)*(E1009=E1008:E$2)))))</f>
        <v> </v>
      </c>
      <c r="J1009" s="25" t="str">
        <f>IF(OR(E1009="",E1009="!!!",F1009="NEW"),"",COUNTBLANK(OFFSET(A$1,,,SUMPRODUCT(MAX(ROW(E$2:E1009)*(E1009=E$2:E1009)))))-COUNTBLANK(OFFSET(A$1,,,SUMPRODUCT(MAX(ROW(E$1:E1008)*(E2=E$1:E1008))))))</f>
        <v> </v>
      </c>
      <c r="K1009" s="25" t="str">
        <f>IF(OR(E1009="",E1009="!!!",F1009="NEW"),"",INDEX(J$1:J1008,SUMPRODUCT(MAX(ROW(E$1:E1008)*(E1009=E$1:E1008)))))</f>
        <v> </v>
      </c>
      <c r="L1009" s="26"/>
    </row>
    <row r="1010" spans="1:12">
      <c r="A1010" s="20" t="s">
        <v>581</v>
      </c>
      <c r="E1010" s="21">
        <f>IF(D1010="?OLD","!!!","")</f>
        <v/>
      </c>
      <c r="F1010" s="22" t="str">
        <f>IF(OR(E1010="",E1010="!!!"),"",IF(NOT(ISNA(VLOOKUP(E1010,E$1:E1009,1,FALSE()))),"OLD",IF(AND(E1010&lt;&gt;"",E1010&lt;&gt;"!!!"),"NEW","")))</f>
        <v> </v>
      </c>
      <c r="G1010" s="23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24" t="str">
        <f>IF(J1010&lt;&gt;1,"",IF(I1010="SBJ","CB","?"))</f>
        <v> </v>
      </c>
      <c r="I1010" s="25" t="str">
        <f>IF(OR(E1010="",E1010="!!!",F1010="NEW"),"",INDEX(B1009:B$2,-1+SUMPRODUCT(MAX(ROW(E1009:E$2)*(E1010=E1009:E$2)))))</f>
        <v> </v>
      </c>
      <c r="J1010" s="25" t="str">
        <f>IF(OR(E1010="",E1010="!!!",F1010="NEW"),"",COUNTBLANK(OFFSET(A$1,,,SUMPRODUCT(MAX(ROW(E$2:E1010)*(E1010=E$2:E1010)))))-COUNTBLANK(OFFSET(A$1,,,SUMPRODUCT(MAX(ROW(E$1:E1009)*(E2=E$1:E1009))))))</f>
        <v> </v>
      </c>
      <c r="K1010" s="25" t="str">
        <f>IF(OR(E1010="",E1010="!!!",F1010="NEW"),"",INDEX(J$1:J1009,SUMPRODUCT(MAX(ROW(E$1:E1009)*(E1010=E$1:E1009)))))</f>
        <v> </v>
      </c>
      <c r="L1010" s="26"/>
    </row>
    <row r="1011" spans="1:12">
      <c r="A1011" s="20" t="s">
        <v>501</v>
      </c>
      <c r="B1011" s="27" t="s">
        <v>216</v>
      </c>
      <c r="C1011" s="27" t="s">
        <v>274</v>
      </c>
      <c r="D1011" s="27" t="s">
        <v>185</v>
      </c>
      <c r="E1011" s="21">
        <f>IF(D1011="?OLD","!!!","")</f>
        <v/>
      </c>
      <c r="F1011" s="22" t="str">
        <f>IF(OR(E1011="",E1011="!!!"),"",IF(NOT(ISNA(VLOOKUP(E1011,E$1:E1010,1,FALSE()))),"OLD",IF(AND(E1011&lt;&gt;"",E1011&lt;&gt;"!!!"),"NEW","")))</f>
        <v> </v>
      </c>
      <c r="G1011" s="23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4" t="str">
        <f>IF(J1011&lt;&gt;1,"",IF(I1011="SBJ","CB","?"))</f>
        <v> </v>
      </c>
      <c r="I1011" s="25" t="str">
        <f>IF(OR(E1011="",E1011="!!!",F1011="NEW"),"",INDEX(B1010:B$2,-1+SUMPRODUCT(MAX(ROW(E1010:E$2)*(E1011=E1010:E$2)))))</f>
        <v> </v>
      </c>
      <c r="J1011" s="25" t="str">
        <f>IF(OR(E1011="",E1011="!!!",F1011="NEW"),"",COUNTBLANK(OFFSET(A$1,,,SUMPRODUCT(MAX(ROW(E$2:E1011)*(E1011=E$2:E1011)))))-COUNTBLANK(OFFSET(A$1,,,SUMPRODUCT(MAX(ROW(E$1:E1010)*(E2=E$1:E1010))))))</f>
        <v> </v>
      </c>
      <c r="K1011" s="25" t="str">
        <f>IF(OR(E1011="",E1011="!!!",F1011="NEW"),"",INDEX(J$1:J1010,SUMPRODUCT(MAX(ROW(E$1:E1010)*(E1011=E$1:E1010)))))</f>
        <v> </v>
      </c>
      <c r="L1011" s="26"/>
    </row>
    <row r="1012" spans="1:12">
      <c r="A1012" s="20" t="s">
        <v>245</v>
      </c>
      <c r="E1012" s="21">
        <f>IF(D1012="?OLD","!!!","")</f>
        <v/>
      </c>
      <c r="F1012" s="22" t="str">
        <f>IF(OR(E1012="",E1012="!!!"),"",IF(NOT(ISNA(VLOOKUP(E1012,E$1:E1011,1,FALSE()))),"OLD",IF(AND(E1012&lt;&gt;"",E1012&lt;&gt;"!!!"),"NEW","")))</f>
        <v> </v>
      </c>
      <c r="G1012" s="23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4" t="str">
        <f>IF(J1012&lt;&gt;1,"",IF(I1012="SBJ","CB","?"))</f>
        <v> </v>
      </c>
      <c r="I1012" s="25" t="str">
        <f>IF(OR(E1012="",E1012="!!!",F1012="NEW"),"",INDEX(B1011:B$2,-1+SUMPRODUCT(MAX(ROW(E1011:E$2)*(E1012=E1011:E$2)))))</f>
        <v> </v>
      </c>
      <c r="J1012" s="25" t="str">
        <f>IF(OR(E1012="",E1012="!!!",F1012="NEW"),"",COUNTBLANK(OFFSET(A$1,,,SUMPRODUCT(MAX(ROW(E$2:E1012)*(E1012=E$2:E1012)))))-COUNTBLANK(OFFSET(A$1,,,SUMPRODUCT(MAX(ROW(E$1:E1011)*(E2=E$1:E1011))))))</f>
        <v> </v>
      </c>
      <c r="K1012" s="25" t="str">
        <f>IF(OR(E1012="",E1012="!!!",F1012="NEW"),"",INDEX(J$1:J1011,SUMPRODUCT(MAX(ROW(E$1:E1011)*(E1012=E$1:E1011)))))</f>
        <v> </v>
      </c>
      <c r="L1012" s="26"/>
    </row>
    <row r="1013" spans="1:12">
      <c r="A1013" s="20" t="s">
        <v>609</v>
      </c>
      <c r="E1013" s="21">
        <f>IF(D1013="?OLD","!!!","")</f>
        <v/>
      </c>
      <c r="F1013" s="22" t="str">
        <f>IF(OR(E1013="",E1013="!!!"),"",IF(NOT(ISNA(VLOOKUP(E1013,E$1:E1012,1,FALSE()))),"OLD",IF(AND(E1013&lt;&gt;"",E1013&lt;&gt;"!!!"),"NEW","")))</f>
        <v> </v>
      </c>
      <c r="G1013" s="23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4" t="str">
        <f>IF(J1013&lt;&gt;1,"",IF(I1013="SBJ","CB","?"))</f>
        <v> </v>
      </c>
      <c r="I1013" s="25" t="str">
        <f>IF(OR(E1013="",E1013="!!!",F1013="NEW"),"",INDEX(B1012:B$2,-1+SUMPRODUCT(MAX(ROW(E1012:E$2)*(E1013=E1012:E$2)))))</f>
        <v> </v>
      </c>
      <c r="J1013" s="25" t="str">
        <f>IF(OR(E1013="",E1013="!!!",F1013="NEW"),"",COUNTBLANK(OFFSET(A$1,,,SUMPRODUCT(MAX(ROW(E$2:E1013)*(E1013=E$2:E1013)))))-COUNTBLANK(OFFSET(A$1,,,SUMPRODUCT(MAX(ROW(E$1:E1012)*(E2=E$1:E1012))))))</f>
        <v> </v>
      </c>
      <c r="K1013" s="25" t="str">
        <f>IF(OR(E1013="",E1013="!!!",F1013="NEW"),"",INDEX(J$1:J1012,SUMPRODUCT(MAX(ROW(E$1:E1012)*(E1013=E$1:E1012)))))</f>
        <v> </v>
      </c>
      <c r="L1013" s="26"/>
    </row>
    <row r="1014" spans="1:12">
      <c r="A1014" s="20" t="s">
        <v>214</v>
      </c>
      <c r="E1014" s="21">
        <f>IF(D1014="?OLD","!!!","")</f>
        <v/>
      </c>
      <c r="F1014" s="22" t="str">
        <f>IF(OR(E1014="",E1014="!!!"),"",IF(NOT(ISNA(VLOOKUP(E1014,E$1:E1013,1,FALSE()))),"OLD",IF(AND(E1014&lt;&gt;"",E1014&lt;&gt;"!!!"),"NEW","")))</f>
        <v> </v>
      </c>
      <c r="G1014" s="23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4" t="str">
        <f>IF(J1014&lt;&gt;1,"",IF(I1014="SBJ","CB","?"))</f>
        <v> </v>
      </c>
      <c r="I1014" s="25" t="str">
        <f>IF(OR(E1014="",E1014="!!!",F1014="NEW"),"",INDEX(B1013:B$2,-1+SUMPRODUCT(MAX(ROW(E1013:E$2)*(E1014=E1013:E$2)))))</f>
        <v> </v>
      </c>
      <c r="J1014" s="25" t="str">
        <f>IF(OR(E1014="",E1014="!!!",F1014="NEW"),"",COUNTBLANK(OFFSET(A$1,,,SUMPRODUCT(MAX(ROW(E$2:E1014)*(E1014=E$2:E1014)))))-COUNTBLANK(OFFSET(A$1,,,SUMPRODUCT(MAX(ROW(E$1:E1013)*(E2=E$1:E1013))))))</f>
        <v> </v>
      </c>
      <c r="K1014" s="25" t="str">
        <f>IF(OR(E1014="",E1014="!!!",F1014="NEW"),"",INDEX(J$1:J1013,SUMPRODUCT(MAX(ROW(E$1:E1013)*(E1014=E$1:E1013)))))</f>
        <v> </v>
      </c>
      <c r="L1014" s="26"/>
    </row>
    <row r="1015" spans="1:12">
      <c r="A1015" s="20" t="s">
        <v>610</v>
      </c>
      <c r="B1015" s="27" t="s">
        <v>193</v>
      </c>
      <c r="C1015" s="27" t="s">
        <v>184</v>
      </c>
      <c r="D1015" s="27" t="s">
        <v>185</v>
      </c>
      <c r="E1015" s="21">
        <f>IF(D1015="?OLD","!!!","")</f>
        <v/>
      </c>
      <c r="F1015" s="22" t="str">
        <f>IF(OR(E1015="",E1015="!!!"),"",IF(NOT(ISNA(VLOOKUP(E1015,E$1:E1014,1,FALSE()))),"OLD",IF(AND(E1015&lt;&gt;"",E1015&lt;&gt;"!!!"),"NEW","")))</f>
        <v> </v>
      </c>
      <c r="G1015" s="23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24" t="str">
        <f>IF(J1015&lt;&gt;1,"",IF(I1015="SBJ","CB","?"))</f>
        <v> </v>
      </c>
      <c r="I1015" s="25" t="str">
        <f>IF(OR(E1015="",E1015="!!!",F1015="NEW"),"",INDEX(B1014:B$2,-1+SUMPRODUCT(MAX(ROW(E1014:E$2)*(E1015=E1014:E$2)))))</f>
        <v> </v>
      </c>
      <c r="J1015" s="25" t="str">
        <f>IF(OR(E1015="",E1015="!!!",F1015="NEW"),"",COUNTBLANK(OFFSET(A$1,,,SUMPRODUCT(MAX(ROW(E$2:E1015)*(E1015=E$2:E1015)))))-COUNTBLANK(OFFSET(A$1,,,SUMPRODUCT(MAX(ROW(E$1:E1014)*(E2=E$1:E1014))))))</f>
        <v> </v>
      </c>
      <c r="K1015" s="25" t="str">
        <f>IF(OR(E1015="",E1015="!!!",F1015="NEW"),"",INDEX(J$1:J1014,SUMPRODUCT(MAX(ROW(E$1:E1014)*(E1015=E$1:E1014)))))</f>
        <v> </v>
      </c>
      <c r="L1015" s="26"/>
    </row>
    <row r="1016" spans="1:12">
      <c r="A1016" s="20" t="s">
        <v>407</v>
      </c>
      <c r="E1016" s="21">
        <f>IF(D1016="?OLD","!!!","")</f>
        <v/>
      </c>
      <c r="F1016" s="22" t="str">
        <f>IF(OR(E1016="",E1016="!!!"),"",IF(NOT(ISNA(VLOOKUP(E1016,E$1:E1015,1,FALSE()))),"OLD",IF(AND(E1016&lt;&gt;"",E1016&lt;&gt;"!!!"),"NEW","")))</f>
        <v> </v>
      </c>
      <c r="G1016" s="23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4" t="str">
        <f>IF(J1016&lt;&gt;1,"",IF(I1016="SBJ","CB","?"))</f>
        <v> </v>
      </c>
      <c r="I1016" s="25" t="str">
        <f>IF(OR(E1016="",E1016="!!!",F1016="NEW"),"",INDEX(B1015:B$2,-1+SUMPRODUCT(MAX(ROW(E1015:E$2)*(E1016=E1015:E$2)))))</f>
        <v> </v>
      </c>
      <c r="J1016" s="25" t="str">
        <f>IF(OR(E1016="",E1016="!!!",F1016="NEW"),"",COUNTBLANK(OFFSET(A$1,,,SUMPRODUCT(MAX(ROW(E$2:E1016)*(E1016=E$2:E1016)))))-COUNTBLANK(OFFSET(A$1,,,SUMPRODUCT(MAX(ROW(E$1:E1015)*(E2=E$1:E1015))))))</f>
        <v> </v>
      </c>
      <c r="K1016" s="25" t="str">
        <f>IF(OR(E1016="",E1016="!!!",F1016="NEW"),"",INDEX(J$1:J1015,SUMPRODUCT(MAX(ROW(E$1:E1015)*(E1016=E$1:E1015)))))</f>
        <v> </v>
      </c>
      <c r="L1016" s="26"/>
    </row>
    <row r="1017" spans="1:12">
      <c r="A1017" s="20" t="s">
        <v>267</v>
      </c>
      <c r="E1017" s="21">
        <f>IF(D1017="?OLD","!!!","")</f>
        <v/>
      </c>
      <c r="F1017" s="22" t="str">
        <f>IF(OR(E1017="",E1017="!!!"),"",IF(NOT(ISNA(VLOOKUP(E1017,E$1:E1016,1,FALSE()))),"OLD",IF(AND(E1017&lt;&gt;"",E1017&lt;&gt;"!!!"),"NEW","")))</f>
        <v> </v>
      </c>
      <c r="G1017" s="23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4" t="str">
        <f>IF(J1017&lt;&gt;1,"",IF(I1017="SBJ","CB","?"))</f>
        <v> </v>
      </c>
      <c r="I1017" s="25" t="str">
        <f>IF(OR(E1017="",E1017="!!!",F1017="NEW"),"",INDEX(B1016:B$2,-1+SUMPRODUCT(MAX(ROW(E1016:E$2)*(E1017=E1016:E$2)))))</f>
        <v> </v>
      </c>
      <c r="J1017" s="25" t="str">
        <f>IF(OR(E1017="",E1017="!!!",F1017="NEW"),"",COUNTBLANK(OFFSET(A$1,,,SUMPRODUCT(MAX(ROW(E$2:E1017)*(E1017=E$2:E1017)))))-COUNTBLANK(OFFSET(A$1,,,SUMPRODUCT(MAX(ROW(E$1:E1016)*(E2=E$1:E1016))))))</f>
        <v> </v>
      </c>
      <c r="K1017" s="25" t="str">
        <f>IF(OR(E1017="",E1017="!!!",F1017="NEW"),"",INDEX(J$1:J1016,SUMPRODUCT(MAX(ROW(E$1:E1016)*(E1017=E$1:E1016)))))</f>
        <v> </v>
      </c>
      <c r="L1017" s="26"/>
    </row>
    <row r="1018" spans="1:12">
      <c r="A1018" s="20" t="s">
        <v>256</v>
      </c>
      <c r="B1018" s="27" t="s">
        <v>183</v>
      </c>
      <c r="C1018" s="27" t="s">
        <v>217</v>
      </c>
      <c r="E1018" s="21">
        <f>IF(D1018="?OLD","!!!","")</f>
        <v/>
      </c>
      <c r="F1018" s="22" t="str">
        <f>IF(OR(E1018="",E1018="!!!"),"",IF(NOT(ISNA(VLOOKUP(E1018,E$1:E1017,1,FALSE()))),"OLD",IF(AND(E1018&lt;&gt;"",E1018&lt;&gt;"!!!"),"NEW","")))</f>
        <v> </v>
      </c>
      <c r="G1018" s="23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24" t="str">
        <f>IF(J1018&lt;&gt;1,"",IF(I1018="SBJ","CB","?"))</f>
        <v> </v>
      </c>
      <c r="I1018" s="25" t="str">
        <f>IF(OR(E1018="",E1018="!!!",F1018="NEW"),"",INDEX(B1017:B$2,-1+SUMPRODUCT(MAX(ROW(E1017:E$2)*(E1018=E1017:E$2)))))</f>
        <v> </v>
      </c>
      <c r="J1018" s="25" t="str">
        <f>IF(OR(E1018="",E1018="!!!",F1018="NEW"),"",COUNTBLANK(OFFSET(A$1,,,SUMPRODUCT(MAX(ROW(E$2:E1018)*(E1018=E$2:E1018)))))-COUNTBLANK(OFFSET(A$1,,,SUMPRODUCT(MAX(ROW(E$1:E1017)*(E2=E$1:E1017))))))</f>
        <v> </v>
      </c>
      <c r="K1018" s="25" t="str">
        <f>IF(OR(E1018="",E1018="!!!",F1018="NEW"),"",INDEX(J$1:J1017,SUMPRODUCT(MAX(ROW(E$1:E1017)*(E1018=E$1:E1017)))))</f>
        <v> </v>
      </c>
      <c r="L1018" s="26"/>
    </row>
    <row r="1019" spans="1:12">
      <c r="A1019" s="20" t="s">
        <v>194</v>
      </c>
      <c r="E1019" s="21">
        <f>IF(D1019="?OLD","!!!","")</f>
        <v/>
      </c>
      <c r="F1019" s="22" t="str">
        <f>IF(OR(E1019="",E1019="!!!"),"",IF(NOT(ISNA(VLOOKUP(E1019,E$1:E1018,1,FALSE()))),"OLD",IF(AND(E1019&lt;&gt;"",E1019&lt;&gt;"!!!"),"NEW","")))</f>
        <v> </v>
      </c>
      <c r="G1019" s="23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4" t="str">
        <f>IF(J1019&lt;&gt;1,"",IF(I1019="SBJ","CB","?"))</f>
        <v> </v>
      </c>
      <c r="I1019" s="25" t="str">
        <f>IF(OR(E1019="",E1019="!!!",F1019="NEW"),"",INDEX(B1018:B$2,-1+SUMPRODUCT(MAX(ROW(E1018:E$2)*(E1019=E1018:E$2)))))</f>
        <v> </v>
      </c>
      <c r="J1019" s="25" t="str">
        <f>IF(OR(E1019="",E1019="!!!",F1019="NEW"),"",COUNTBLANK(OFFSET(A$1,,,SUMPRODUCT(MAX(ROW(E$2:E1019)*(E1019=E$2:E1019)))))-COUNTBLANK(OFFSET(A$1,,,SUMPRODUCT(MAX(ROW(E$1:E1018)*(E2=E$1:E1018))))))</f>
        <v> </v>
      </c>
      <c r="K1019" s="25" t="str">
        <f>IF(OR(E1019="",E1019="!!!",F1019="NEW"),"",INDEX(J$1:J1018,SUMPRODUCT(MAX(ROW(E$1:E1018)*(E1019=E$1:E1018)))))</f>
        <v> </v>
      </c>
      <c r="L1019" s="26"/>
    </row>
    <row r="1020" spans="1:12">
      <c r="A1020" s="20" t="s">
        <v>611</v>
      </c>
      <c r="E1020" s="21">
        <f>IF(D1020="?OLD","!!!","")</f>
        <v/>
      </c>
      <c r="F1020" s="22" t="str">
        <f>IF(OR(E1020="",E1020="!!!"),"",IF(NOT(ISNA(VLOOKUP(E1020,E$1:E1019,1,FALSE()))),"OLD",IF(AND(E1020&lt;&gt;"",E1020&lt;&gt;"!!!"),"NEW","")))</f>
        <v> </v>
      </c>
      <c r="G1020" s="23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4" t="str">
        <f>IF(J1020&lt;&gt;1,"",IF(I1020="SBJ","CB","?"))</f>
        <v> </v>
      </c>
      <c r="I1020" s="25" t="str">
        <f>IF(OR(E1020="",E1020="!!!",F1020="NEW"),"",INDEX(B1019:B$2,-1+SUMPRODUCT(MAX(ROW(E1019:E$2)*(E1020=E1019:E$2)))))</f>
        <v> </v>
      </c>
      <c r="J1020" s="25" t="str">
        <f>IF(OR(E1020="",E1020="!!!",F1020="NEW"),"",COUNTBLANK(OFFSET(A$1,,,SUMPRODUCT(MAX(ROW(E$2:E1020)*(E1020=E$2:E1020)))))-COUNTBLANK(OFFSET(A$1,,,SUMPRODUCT(MAX(ROW(E$1:E1019)*(E2=E$1:E1019))))))</f>
        <v> </v>
      </c>
      <c r="K1020" s="25" t="str">
        <f>IF(OR(E1020="",E1020="!!!",F1020="NEW"),"",INDEX(J$1:J1019,SUMPRODUCT(MAX(ROW(E$1:E1019)*(E1020=E$1:E1019)))))</f>
        <v> </v>
      </c>
      <c r="L1020" s="26"/>
    </row>
    <row r="1021" spans="1:12">
      <c r="A1021" s="20" t="s">
        <v>407</v>
      </c>
      <c r="E1021" s="21">
        <f>IF(D1021="?OLD","!!!","")</f>
        <v/>
      </c>
      <c r="F1021" s="22" t="str">
        <f>IF(OR(E1021="",E1021="!!!"),"",IF(NOT(ISNA(VLOOKUP(E1021,E$1:E1020,1,FALSE()))),"OLD",IF(AND(E1021&lt;&gt;"",E1021&lt;&gt;"!!!"),"NEW","")))</f>
        <v> </v>
      </c>
      <c r="G1021" s="23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4" t="str">
        <f>IF(J1021&lt;&gt;1,"",IF(I1021="SBJ","CB","?"))</f>
        <v> </v>
      </c>
      <c r="I1021" s="25" t="str">
        <f>IF(OR(E1021="",E1021="!!!",F1021="NEW"),"",INDEX(B1020:B$2,-1+SUMPRODUCT(MAX(ROW(E1020:E$2)*(E1021=E1020:E$2)))))</f>
        <v> </v>
      </c>
      <c r="J1021" s="25" t="str">
        <f>IF(OR(E1021="",E1021="!!!",F1021="NEW"),"",COUNTBLANK(OFFSET(A$1,,,SUMPRODUCT(MAX(ROW(E$2:E1021)*(E1021=E$2:E1021)))))-COUNTBLANK(OFFSET(A$1,,,SUMPRODUCT(MAX(ROW(E$1:E1020)*(E2=E$1:E1020))))))</f>
        <v> </v>
      </c>
      <c r="K1021" s="25" t="str">
        <f>IF(OR(E1021="",E1021="!!!",F1021="NEW"),"",INDEX(J$1:J1020,SUMPRODUCT(MAX(ROW(E$1:E1020)*(E1021=E$1:E1020)))))</f>
        <v> </v>
      </c>
      <c r="L1021" s="26"/>
    </row>
    <row r="1022" spans="1:12">
      <c r="A1022" s="20" t="s">
        <v>612</v>
      </c>
      <c r="B1022" s="27" t="s">
        <v>183</v>
      </c>
      <c r="C1022" s="27" t="s">
        <v>282</v>
      </c>
      <c r="D1022" s="27" t="s">
        <v>185</v>
      </c>
      <c r="E1022" s="21">
        <f>IF(D1022="?OLD","!!!","")</f>
        <v/>
      </c>
      <c r="F1022" s="22" t="str">
        <f>IF(OR(E1022="",E1022="!!!"),"",IF(NOT(ISNA(VLOOKUP(E1022,E$1:E1021,1,FALSE()))),"OLD",IF(AND(E1022&lt;&gt;"",E1022&lt;&gt;"!!!"),"NEW","")))</f>
        <v> </v>
      </c>
      <c r="G1022" s="23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4" t="str">
        <f>IF(J1022&lt;&gt;1,"",IF(I1022="SBJ","CB","?"))</f>
        <v> </v>
      </c>
      <c r="I1022" s="25" t="str">
        <f>IF(OR(E1022="",E1022="!!!",F1022="NEW"),"",INDEX(B1021:B$2,-1+SUMPRODUCT(MAX(ROW(E1021:E$2)*(E1022=E1021:E$2)))))</f>
        <v> </v>
      </c>
      <c r="J1022" s="25" t="str">
        <f>IF(OR(E1022="",E1022="!!!",F1022="NEW"),"",COUNTBLANK(OFFSET(A$1,,,SUMPRODUCT(MAX(ROW(E$2:E1022)*(E1022=E$2:E1022)))))-COUNTBLANK(OFFSET(A$1,,,SUMPRODUCT(MAX(ROW(E$1:E1021)*(E2=E$1:E1021))))))</f>
        <v> </v>
      </c>
      <c r="K1022" s="25" t="str">
        <f>IF(OR(E1022="",E1022="!!!",F1022="NEW"),"",INDEX(J$1:J1021,SUMPRODUCT(MAX(ROW(E$1:E1021)*(E1022=E$1:E1021)))))</f>
        <v> </v>
      </c>
      <c r="L1022" s="26"/>
    </row>
    <row r="1023" spans="1:12">
      <c r="A1023" s="20" t="s">
        <v>227</v>
      </c>
      <c r="E1023" s="21">
        <f>IF(D1023="?OLD","!!!","")</f>
        <v/>
      </c>
      <c r="F1023" s="22" t="str">
        <f>IF(OR(E1023="",E1023="!!!"),"",IF(NOT(ISNA(VLOOKUP(E1023,E$1:E1022,1,FALSE()))),"OLD",IF(AND(E1023&lt;&gt;"",E1023&lt;&gt;"!!!"),"NEW","")))</f>
        <v> </v>
      </c>
      <c r="G1023" s="23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4" t="str">
        <f>IF(J1023&lt;&gt;1,"",IF(I1023="SBJ","CB","?"))</f>
        <v> </v>
      </c>
      <c r="I1023" s="25" t="str">
        <f>IF(OR(E1023="",E1023="!!!",F1023="NEW"),"",INDEX(B1022:B$2,-1+SUMPRODUCT(MAX(ROW(E1022:E$2)*(E1023=E1022:E$2)))))</f>
        <v> </v>
      </c>
      <c r="J1023" s="25" t="str">
        <f>IF(OR(E1023="",E1023="!!!",F1023="NEW"),"",COUNTBLANK(OFFSET(A$1,,,SUMPRODUCT(MAX(ROW(E$2:E1023)*(E1023=E$2:E1023)))))-COUNTBLANK(OFFSET(A$1,,,SUMPRODUCT(MAX(ROW(E$1:E1022)*(E2=E$1:E1022))))))</f>
        <v> </v>
      </c>
      <c r="K1023" s="25" t="str">
        <f>IF(OR(E1023="",E1023="!!!",F1023="NEW"),"",INDEX(J$1:J1022,SUMPRODUCT(MAX(ROW(E$1:E1022)*(E1023=E$1:E1022)))))</f>
        <v> </v>
      </c>
      <c r="L1023" s="26"/>
    </row>
    <row r="1024" spans="1:12">
      <c r="A1024" s="20" t="s">
        <v>267</v>
      </c>
      <c r="E1024" s="21">
        <f>IF(D1024="?OLD","!!!","")</f>
        <v/>
      </c>
      <c r="F1024" s="22" t="str">
        <f>IF(OR(E1024="",E1024="!!!"),"",IF(NOT(ISNA(VLOOKUP(E1024,E$1:E1023,1,FALSE()))),"OLD",IF(AND(E1024&lt;&gt;"",E1024&lt;&gt;"!!!"),"NEW","")))</f>
        <v> </v>
      </c>
      <c r="G1024" s="23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4" t="str">
        <f>IF(J1024&lt;&gt;1,"",IF(I1024="SBJ","CB","?"))</f>
        <v> </v>
      </c>
      <c r="I1024" s="25" t="str">
        <f>IF(OR(E1024="",E1024="!!!",F1024="NEW"),"",INDEX(B1023:B$2,-1+SUMPRODUCT(MAX(ROW(E1023:E$2)*(E1024=E1023:E$2)))))</f>
        <v> </v>
      </c>
      <c r="J1024" s="25" t="str">
        <f>IF(OR(E1024="",E1024="!!!",F1024="NEW"),"",COUNTBLANK(OFFSET(A$1,,,SUMPRODUCT(MAX(ROW(E$2:E1024)*(E1024=E$2:E1024)))))-COUNTBLANK(OFFSET(A$1,,,SUMPRODUCT(MAX(ROW(E$1:E1023)*(E2=E$1:E1023))))))</f>
        <v> </v>
      </c>
      <c r="K1024" s="25" t="str">
        <f>IF(OR(E1024="",E1024="!!!",F1024="NEW"),"",INDEX(J$1:J1023,SUMPRODUCT(MAX(ROW(E$1:E1023)*(E1024=E$1:E1023)))))</f>
        <v> </v>
      </c>
      <c r="L1024" s="26"/>
    </row>
    <row r="1025" spans="1:12">
      <c r="A1025" s="20" t="s">
        <v>613</v>
      </c>
      <c r="E1025" s="21">
        <f>IF(D1025="?OLD","!!!","")</f>
        <v/>
      </c>
      <c r="F1025" s="22" t="str">
        <f>IF(OR(E1025="",E1025="!!!"),"",IF(NOT(ISNA(VLOOKUP(E1025,E$1:E1024,1,FALSE()))),"OLD",IF(AND(E1025&lt;&gt;"",E1025&lt;&gt;"!!!"),"NEW","")))</f>
        <v> </v>
      </c>
      <c r="G1025" s="23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24" t="str">
        <f>IF(J1025&lt;&gt;1,"",IF(I1025="SBJ","CB","?"))</f>
        <v> </v>
      </c>
      <c r="I1025" s="25" t="str">
        <f>IF(OR(E1025="",E1025="!!!",F1025="NEW"),"",INDEX(B1024:B$2,-1+SUMPRODUCT(MAX(ROW(E1024:E$2)*(E1025=E1024:E$2)))))</f>
        <v> </v>
      </c>
      <c r="J1025" s="25" t="str">
        <f>IF(OR(E1025="",E1025="!!!",F1025="NEW"),"",COUNTBLANK(OFFSET(A$1,,,SUMPRODUCT(MAX(ROW(E$2:E1025)*(E1025=E$2:E1025)))))-COUNTBLANK(OFFSET(A$1,,,SUMPRODUCT(MAX(ROW(E$1:E1024)*(E2=E$1:E1024))))))</f>
        <v> </v>
      </c>
      <c r="K1025" s="25" t="str">
        <f>IF(OR(E1025="",E1025="!!!",F1025="NEW"),"",INDEX(J$1:J1024,SUMPRODUCT(MAX(ROW(E$1:E1024)*(E1025=E$1:E1024)))))</f>
        <v> </v>
      </c>
      <c r="L1025" s="26"/>
    </row>
    <row r="1026" spans="1:12">
      <c r="A1026" s="20" t="s">
        <v>614</v>
      </c>
      <c r="B1026" s="27" t="s">
        <v>183</v>
      </c>
      <c r="C1026" s="27" t="s">
        <v>217</v>
      </c>
      <c r="E1026" s="21">
        <f>IF(D1026="?OLD","!!!","")</f>
        <v/>
      </c>
      <c r="F1026" s="22" t="str">
        <f>IF(OR(E1026="",E1026="!!!"),"",IF(NOT(ISNA(VLOOKUP(E1026,E$1:E1025,1,FALSE()))),"OLD",IF(AND(E1026&lt;&gt;"",E1026&lt;&gt;"!!!"),"NEW","")))</f>
        <v> </v>
      </c>
      <c r="G1026" s="23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4" t="str">
        <f>IF(J1026&lt;&gt;1,"",IF(I1026="SBJ","CB","?"))</f>
        <v> </v>
      </c>
      <c r="I1026" s="25" t="str">
        <f>IF(OR(E1026="",E1026="!!!",F1026="NEW"),"",INDEX(B1025:B$2,-1+SUMPRODUCT(MAX(ROW(E1025:E$2)*(E1026=E1025:E$2)))))</f>
        <v> </v>
      </c>
      <c r="J1026" s="25" t="str">
        <f>IF(OR(E1026="",E1026="!!!",F1026="NEW"),"",COUNTBLANK(OFFSET(A$1,,,SUMPRODUCT(MAX(ROW(E$2:E1026)*(E1026=E$2:E1026)))))-COUNTBLANK(OFFSET(A$1,,,SUMPRODUCT(MAX(ROW(E$1:E1025)*(E2=E$1:E1025))))))</f>
        <v> </v>
      </c>
      <c r="K1026" s="25" t="str">
        <f>IF(OR(E1026="",E1026="!!!",F1026="NEW"),"",INDEX(J$1:J1025,SUMPRODUCT(MAX(ROW(E$1:E1025)*(E1026=E$1:E1025)))))</f>
        <v> </v>
      </c>
      <c r="L1026" s="26"/>
    </row>
    <row r="1027" spans="1:12">
      <c r="A1027" s="20" t="s">
        <v>615</v>
      </c>
      <c r="E1027" s="21">
        <f>IF(D1027="?OLD","!!!","")</f>
        <v/>
      </c>
      <c r="F1027" s="22" t="str">
        <f>IF(OR(E1027="",E1027="!!!"),"",IF(NOT(ISNA(VLOOKUP(E1027,E$1:E1026,1,FALSE()))),"OLD",IF(AND(E1027&lt;&gt;"",E1027&lt;&gt;"!!!"),"NEW","")))</f>
        <v> </v>
      </c>
      <c r="G1027" s="23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24" t="str">
        <f>IF(J1027&lt;&gt;1,"",IF(I1027="SBJ","CB","?"))</f>
        <v> </v>
      </c>
      <c r="I1027" s="25" t="str">
        <f>IF(OR(E1027="",E1027="!!!",F1027="NEW"),"",INDEX(B1026:B$2,-1+SUMPRODUCT(MAX(ROW(E1026:E$2)*(E1027=E1026:E$2)))))</f>
        <v> </v>
      </c>
      <c r="J1027" s="25" t="str">
        <f>IF(OR(E1027="",E1027="!!!",F1027="NEW"),"",COUNTBLANK(OFFSET(A$1,,,SUMPRODUCT(MAX(ROW(E$2:E1027)*(E1027=E$2:E1027)))))-COUNTBLANK(OFFSET(A$1,,,SUMPRODUCT(MAX(ROW(E$1:E1026)*(E2=E$1:E1026))))))</f>
        <v> </v>
      </c>
      <c r="K1027" s="25" t="str">
        <f>IF(OR(E1027="",E1027="!!!",F1027="NEW"),"",INDEX(J$1:J1026,SUMPRODUCT(MAX(ROW(E$1:E1026)*(E1027=E$1:E1026)))))</f>
        <v> </v>
      </c>
      <c r="L1027" s="26"/>
    </row>
    <row r="1028" spans="1:12">
      <c r="A1028" s="20" t="s">
        <v>190</v>
      </c>
      <c r="E1028" s="21">
        <f>IF(D1028="?OLD","!!!","")</f>
        <v/>
      </c>
      <c r="F1028" s="22" t="str">
        <f>IF(OR(E1028="",E1028="!!!"),"",IF(NOT(ISNA(VLOOKUP(E1028,E$1:E1027,1,FALSE()))),"OLD",IF(AND(E1028&lt;&gt;"",E1028&lt;&gt;"!!!"),"NEW","")))</f>
        <v> </v>
      </c>
      <c r="G1028" s="23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24" t="str">
        <f>IF(J1028&lt;&gt;1,"",IF(I1028="SBJ","CB","?"))</f>
        <v> </v>
      </c>
      <c r="I1028" s="25" t="str">
        <f>IF(OR(E1028="",E1028="!!!",F1028="NEW"),"",INDEX(B1027:B$2,-1+SUMPRODUCT(MAX(ROW(E1027:E$2)*(E1028=E1027:E$2)))))</f>
        <v> </v>
      </c>
      <c r="J1028" s="25" t="str">
        <f>IF(OR(E1028="",E1028="!!!",F1028="NEW"),"",COUNTBLANK(OFFSET(A$1,,,SUMPRODUCT(MAX(ROW(E$2:E1028)*(E1028=E$2:E1028)))))-COUNTBLANK(OFFSET(A$1,,,SUMPRODUCT(MAX(ROW(E$1:E1027)*(E2=E$1:E1027))))))</f>
        <v> </v>
      </c>
      <c r="K1028" s="25" t="str">
        <f>IF(OR(E1028="",E1028="!!!",F1028="NEW"),"",INDEX(J$1:J1027,SUMPRODUCT(MAX(ROW(E$1:E1027)*(E1028=E$1:E1027)))))</f>
        <v> </v>
      </c>
      <c r="L1028" s="26"/>
    </row>
    <row r="1029" spans="1:12">
      <c r="A1029" s="20" t="s">
        <v>445</v>
      </c>
      <c r="E1029" s="21">
        <f>IF(D1029="?OLD","!!!","")</f>
        <v/>
      </c>
      <c r="F1029" s="22" t="str">
        <f>IF(OR(E1029="",E1029="!!!"),"",IF(NOT(ISNA(VLOOKUP(E1029,E$1:E1028,1,FALSE()))),"OLD",IF(AND(E1029&lt;&gt;"",E1029&lt;&gt;"!!!"),"NEW","")))</f>
        <v> </v>
      </c>
      <c r="G1029" s="23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4" t="str">
        <f>IF(J1029&lt;&gt;1,"",IF(I1029="SBJ","CB","?"))</f>
        <v> </v>
      </c>
      <c r="I1029" s="25" t="str">
        <f>IF(OR(E1029="",E1029="!!!",F1029="NEW"),"",INDEX(B1028:B$2,-1+SUMPRODUCT(MAX(ROW(E1028:E$2)*(E1029=E1028:E$2)))))</f>
        <v> </v>
      </c>
      <c r="J1029" s="25" t="str">
        <f>IF(OR(E1029="",E1029="!!!",F1029="NEW"),"",COUNTBLANK(OFFSET(A$1,,,SUMPRODUCT(MAX(ROW(E$2:E1029)*(E1029=E$2:E1029)))))-COUNTBLANK(OFFSET(A$1,,,SUMPRODUCT(MAX(ROW(E$1:E1028)*(E2=E$1:E1028))))))</f>
        <v> </v>
      </c>
      <c r="K1029" s="25" t="str">
        <f>IF(OR(E1029="",E1029="!!!",F1029="NEW"),"",INDEX(J$1:J1028,SUMPRODUCT(MAX(ROW(E$1:E1028)*(E1029=E$1:E1028)))))</f>
        <v> </v>
      </c>
      <c r="L1029" s="26"/>
    </row>
    <row r="1030" spans="1:12">
      <c r="A1030" s="20" t="s">
        <v>227</v>
      </c>
      <c r="E1030" s="21">
        <f>IF(D1030="?OLD","!!!","")</f>
        <v/>
      </c>
      <c r="F1030" s="22" t="str">
        <f>IF(OR(E1030="",E1030="!!!"),"",IF(NOT(ISNA(VLOOKUP(E1030,E$1:E1029,1,FALSE()))),"OLD",IF(AND(E1030&lt;&gt;"",E1030&lt;&gt;"!!!"),"NEW","")))</f>
        <v> </v>
      </c>
      <c r="G1030" s="23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4" t="str">
        <f>IF(J1030&lt;&gt;1,"",IF(I1030="SBJ","CB","?"))</f>
        <v> </v>
      </c>
      <c r="I1030" s="25" t="str">
        <f>IF(OR(E1030="",E1030="!!!",F1030="NEW"),"",INDEX(B1029:B$2,-1+SUMPRODUCT(MAX(ROW(E1029:E$2)*(E1030=E1029:E$2)))))</f>
        <v> </v>
      </c>
      <c r="J1030" s="25" t="str">
        <f>IF(OR(E1030="",E1030="!!!",F1030="NEW"),"",COUNTBLANK(OFFSET(A$1,,,SUMPRODUCT(MAX(ROW(E$2:E1030)*(E1030=E$2:E1030)))))-COUNTBLANK(OFFSET(A$1,,,SUMPRODUCT(MAX(ROW(E$1:E1029)*(E2=E$1:E1029))))))</f>
        <v> </v>
      </c>
      <c r="K1030" s="25" t="str">
        <f>IF(OR(E1030="",E1030="!!!",F1030="NEW"),"",INDEX(J$1:J1029,SUMPRODUCT(MAX(ROW(E$1:E1029)*(E1030=E$1:E1029)))))</f>
        <v> </v>
      </c>
      <c r="L1030" s="26"/>
    </row>
    <row r="1031" spans="1:12">
      <c r="A1031" s="20" t="s">
        <v>343</v>
      </c>
      <c r="E1031" s="21">
        <f>IF(D1031="?OLD","!!!","")</f>
        <v/>
      </c>
      <c r="F1031" s="22" t="str">
        <f>IF(OR(E1031="",E1031="!!!"),"",IF(NOT(ISNA(VLOOKUP(E1031,E$1:E1030,1,FALSE()))),"OLD",IF(AND(E1031&lt;&gt;"",E1031&lt;&gt;"!!!"),"NEW","")))</f>
        <v> </v>
      </c>
      <c r="G1031" s="23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4" t="str">
        <f>IF(J1031&lt;&gt;1,"",IF(I1031="SBJ","CB","?"))</f>
        <v> </v>
      </c>
      <c r="I1031" s="25" t="str">
        <f>IF(OR(E1031="",E1031="!!!",F1031="NEW"),"",INDEX(B1030:B$2,-1+SUMPRODUCT(MAX(ROW(E1030:E$2)*(E1031=E1030:E$2)))))</f>
        <v> </v>
      </c>
      <c r="J1031" s="25" t="str">
        <f>IF(OR(E1031="",E1031="!!!",F1031="NEW"),"",COUNTBLANK(OFFSET(A$1,,,SUMPRODUCT(MAX(ROW(E$2:E1031)*(E1031=E$2:E1031)))))-COUNTBLANK(OFFSET(A$1,,,SUMPRODUCT(MAX(ROW(E$1:E1030)*(E2=E$1:E1030))))))</f>
        <v> </v>
      </c>
      <c r="K1031" s="25" t="str">
        <f>IF(OR(E1031="",E1031="!!!",F1031="NEW"),"",INDEX(J$1:J1030,SUMPRODUCT(MAX(ROW(E$1:E1030)*(E1031=E$1:E1030)))))</f>
        <v> </v>
      </c>
      <c r="L1031" s="26"/>
    </row>
    <row r="1032" spans="1:12">
      <c r="A1032" s="20" t="s">
        <v>197</v>
      </c>
      <c r="E1032" s="21">
        <f>IF(D1032="?OLD","!!!","")</f>
        <v/>
      </c>
      <c r="F1032" s="22" t="str">
        <f>IF(OR(E1032="",E1032="!!!"),"",IF(NOT(ISNA(VLOOKUP(E1032,E$1:E1031,1,FALSE()))),"OLD",IF(AND(E1032&lt;&gt;"",E1032&lt;&gt;"!!!"),"NEW","")))</f>
        <v> </v>
      </c>
      <c r="G1032" s="23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4" t="str">
        <f>IF(J1032&lt;&gt;1,"",IF(I1032="SBJ","CB","?"))</f>
        <v> </v>
      </c>
      <c r="I1032" s="25" t="str">
        <f>IF(OR(E1032="",E1032="!!!",F1032="NEW"),"",INDEX(B1031:B$2,-1+SUMPRODUCT(MAX(ROW(E1031:E$2)*(E1032=E1031:E$2)))))</f>
        <v> </v>
      </c>
      <c r="J1032" s="25" t="str">
        <f>IF(OR(E1032="",E1032="!!!",F1032="NEW"),"",COUNTBLANK(OFFSET(A$1,,,SUMPRODUCT(MAX(ROW(E$2:E1032)*(E1032=E$2:E1032)))))-COUNTBLANK(OFFSET(A$1,,,SUMPRODUCT(MAX(ROW(E$1:E1031)*(E2=E$1:E1031))))))</f>
        <v> </v>
      </c>
      <c r="K1032" s="25" t="str">
        <f>IF(OR(E1032="",E1032="!!!",F1032="NEW"),"",INDEX(J$1:J1031,SUMPRODUCT(MAX(ROW(E$1:E1031)*(E1032=E$1:E1031)))))</f>
        <v> </v>
      </c>
      <c r="L1032" s="26"/>
    </row>
    <row r="1033" spans="1:12">
      <c r="A1033" s="20" t="s">
        <v>616</v>
      </c>
      <c r="B1033" s="27" t="s">
        <v>349</v>
      </c>
      <c r="C1033" s="27" t="s">
        <v>507</v>
      </c>
      <c r="E1033" s="21">
        <f>IF(D1033="?OLD","!!!","")</f>
        <v/>
      </c>
      <c r="F1033" s="22" t="str">
        <f>IF(OR(E1033="",E1033="!!!"),"",IF(NOT(ISNA(VLOOKUP(E1033,E$1:E1032,1,FALSE()))),"OLD",IF(AND(E1033&lt;&gt;"",E1033&lt;&gt;"!!!"),"NEW","")))</f>
        <v> </v>
      </c>
      <c r="G1033" s="23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4" t="str">
        <f>IF(J1033&lt;&gt;1,"",IF(I1033="SBJ","CB","?"))</f>
        <v> </v>
      </c>
      <c r="I1033" s="25" t="str">
        <f>IF(OR(E1033="",E1033="!!!",F1033="NEW"),"",INDEX(B1032:B$2,-1+SUMPRODUCT(MAX(ROW(E1032:E$2)*(E1033=E1032:E$2)))))</f>
        <v> </v>
      </c>
      <c r="J1033" s="25" t="str">
        <f>IF(OR(E1033="",E1033="!!!",F1033="NEW"),"",COUNTBLANK(OFFSET(A$1,,,SUMPRODUCT(MAX(ROW(E$2:E1033)*(E1033=E$2:E1033)))))-COUNTBLANK(OFFSET(A$1,,,SUMPRODUCT(MAX(ROW(E$1:E1032)*(E2=E$1:E1032))))))</f>
        <v> </v>
      </c>
      <c r="K1033" s="25" t="str">
        <f>IF(OR(E1033="",E1033="!!!",F1033="NEW"),"",INDEX(J$1:J1032,SUMPRODUCT(MAX(ROW(E$1:E1032)*(E1033=E$1:E1032)))))</f>
        <v> </v>
      </c>
      <c r="L1033" s="26"/>
    </row>
    <row r="1034" spans="1:12">
      <c r="A1034" s="20" t="s">
        <v>309</v>
      </c>
      <c r="E1034" s="21">
        <f>IF(D1034="?OLD","!!!","")</f>
        <v/>
      </c>
      <c r="F1034" s="22" t="str">
        <f>IF(OR(E1034="",E1034="!!!"),"",IF(NOT(ISNA(VLOOKUP(E1034,E$1:E1033,1,FALSE()))),"OLD",IF(AND(E1034&lt;&gt;"",E1034&lt;&gt;"!!!"),"NEW","")))</f>
        <v> </v>
      </c>
      <c r="G1034" s="23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24" t="str">
        <f>IF(J1034&lt;&gt;1,"",IF(I1034="SBJ","CB","?"))</f>
        <v> </v>
      </c>
      <c r="I1034" s="25" t="str">
        <f>IF(OR(E1034="",E1034="!!!",F1034="NEW"),"",INDEX(B1033:B$2,-1+SUMPRODUCT(MAX(ROW(E1033:E$2)*(E1034=E1033:E$2)))))</f>
        <v> </v>
      </c>
      <c r="J1034" s="25" t="str">
        <f>IF(OR(E1034="",E1034="!!!",F1034="NEW"),"",COUNTBLANK(OFFSET(A$1,,,SUMPRODUCT(MAX(ROW(E$2:E1034)*(E1034=E$2:E1034)))))-COUNTBLANK(OFFSET(A$1,,,SUMPRODUCT(MAX(ROW(E$1:E1033)*(E2=E$1:E1033))))))</f>
        <v> </v>
      </c>
      <c r="K1034" s="25" t="str">
        <f>IF(OR(E1034="",E1034="!!!",F1034="NEW"),"",INDEX(J$1:J1033,SUMPRODUCT(MAX(ROW(E$1:E1033)*(E1034=E$1:E1033)))))</f>
        <v> </v>
      </c>
      <c r="L1034" s="26"/>
    </row>
    <row r="1035" spans="1:12">
      <c r="A1035" s="20" t="s">
        <v>617</v>
      </c>
      <c r="E1035" s="21">
        <f>IF(D1035="?OLD","!!!","")</f>
        <v/>
      </c>
      <c r="F1035" s="22" t="str">
        <f>IF(OR(E1035="",E1035="!!!"),"",IF(NOT(ISNA(VLOOKUP(E1035,E$1:E1034,1,FALSE()))),"OLD",IF(AND(E1035&lt;&gt;"",E1035&lt;&gt;"!!!"),"NEW","")))</f>
        <v> </v>
      </c>
      <c r="G1035" s="23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4" t="str">
        <f>IF(J1035&lt;&gt;1,"",IF(I1035="SBJ","CB","?"))</f>
        <v> </v>
      </c>
      <c r="I1035" s="25" t="str">
        <f>IF(OR(E1035="",E1035="!!!",F1035="NEW"),"",INDEX(B1034:B$2,-1+SUMPRODUCT(MAX(ROW(E1034:E$2)*(E1035=E1034:E$2)))))</f>
        <v> </v>
      </c>
      <c r="J1035" s="25" t="str">
        <f>IF(OR(E1035="",E1035="!!!",F1035="NEW"),"",COUNTBLANK(OFFSET(A$1,,,SUMPRODUCT(MAX(ROW(E$2:E1035)*(E1035=E$2:E1035)))))-COUNTBLANK(OFFSET(A$1,,,SUMPRODUCT(MAX(ROW(E$1:E1034)*(E2=E$1:E1034))))))</f>
        <v> </v>
      </c>
      <c r="K1035" s="25" t="str">
        <f>IF(OR(E1035="",E1035="!!!",F1035="NEW"),"",INDEX(J$1:J1034,SUMPRODUCT(MAX(ROW(E$1:E1034)*(E1035=E$1:E1034)))))</f>
        <v> </v>
      </c>
      <c r="L1035" s="26"/>
    </row>
    <row r="1036" spans="1:12">
      <c r="A1036" s="20" t="s">
        <v>331</v>
      </c>
      <c r="B1036" s="27" t="s">
        <v>205</v>
      </c>
      <c r="C1036" s="27" t="s">
        <v>249</v>
      </c>
      <c r="D1036" s="27" t="s">
        <v>185</v>
      </c>
      <c r="E1036" s="21">
        <f>IF(D1036="?OLD","!!!","")</f>
        <v/>
      </c>
      <c r="F1036" s="22" t="str">
        <f>IF(OR(E1036="",E1036="!!!"),"",IF(NOT(ISNA(VLOOKUP(E1036,E$1:E1035,1,FALSE()))),"OLD",IF(AND(E1036&lt;&gt;"",E1036&lt;&gt;"!!!"),"NEW","")))</f>
        <v> </v>
      </c>
      <c r="G1036" s="23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4" t="str">
        <f>IF(J1036&lt;&gt;1,"",IF(I1036="SBJ","CB","?"))</f>
        <v> </v>
      </c>
      <c r="I1036" s="25" t="str">
        <f>IF(OR(E1036="",E1036="!!!",F1036="NEW"),"",INDEX(B1035:B$2,-1+SUMPRODUCT(MAX(ROW(E1035:E$2)*(E1036=E1035:E$2)))))</f>
        <v> </v>
      </c>
      <c r="J1036" s="25" t="str">
        <f>IF(OR(E1036="",E1036="!!!",F1036="NEW"),"",COUNTBLANK(OFFSET(A$1,,,SUMPRODUCT(MAX(ROW(E$2:E1036)*(E1036=E$2:E1036)))))-COUNTBLANK(OFFSET(A$1,,,SUMPRODUCT(MAX(ROW(E$1:E1035)*(E2=E$1:E1035))))))</f>
        <v> </v>
      </c>
      <c r="K1036" s="25" t="str">
        <f>IF(OR(E1036="",E1036="!!!",F1036="NEW"),"",INDEX(J$1:J1035,SUMPRODUCT(MAX(ROW(E$1:E1035)*(E1036=E$1:E1035)))))</f>
        <v> </v>
      </c>
      <c r="L1036" s="26"/>
    </row>
    <row r="1037" spans="1:12">
      <c r="A1037" s="20" t="s">
        <v>267</v>
      </c>
      <c r="E1037" s="21">
        <f>IF(D1037="?OLD","!!!","")</f>
        <v/>
      </c>
      <c r="F1037" s="22" t="str">
        <f>IF(OR(E1037="",E1037="!!!"),"",IF(NOT(ISNA(VLOOKUP(E1037,E$1:E1036,1,FALSE()))),"OLD",IF(AND(E1037&lt;&gt;"",E1037&lt;&gt;"!!!"),"NEW","")))</f>
        <v> </v>
      </c>
      <c r="G1037" s="23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4" t="str">
        <f>IF(J1037&lt;&gt;1,"",IF(I1037="SBJ","CB","?"))</f>
        <v> </v>
      </c>
      <c r="I1037" s="25" t="str">
        <f>IF(OR(E1037="",E1037="!!!",F1037="NEW"),"",INDEX(B1036:B$2,-1+SUMPRODUCT(MAX(ROW(E1036:E$2)*(E1037=E1036:E$2)))))</f>
        <v> </v>
      </c>
      <c r="J1037" s="25" t="str">
        <f>IF(OR(E1037="",E1037="!!!",F1037="NEW"),"",COUNTBLANK(OFFSET(A$1,,,SUMPRODUCT(MAX(ROW(E$2:E1037)*(E1037=E$2:E1037)))))-COUNTBLANK(OFFSET(A$1,,,SUMPRODUCT(MAX(ROW(E$1:E1036)*(E2=E$1:E1036))))))</f>
        <v> </v>
      </c>
      <c r="K1037" s="25" t="str">
        <f>IF(OR(E1037="",E1037="!!!",F1037="NEW"),"",INDEX(J$1:J1036,SUMPRODUCT(MAX(ROW(E$1:E1036)*(E1037=E$1:E1036)))))</f>
        <v> </v>
      </c>
      <c r="L1037" s="26"/>
    </row>
    <row r="1038" spans="1:12">
      <c r="A1038" s="20" t="s">
        <v>618</v>
      </c>
      <c r="B1038" s="27" t="s">
        <v>349</v>
      </c>
      <c r="C1038" s="27" t="s">
        <v>184</v>
      </c>
      <c r="D1038" s="27" t="s">
        <v>185</v>
      </c>
      <c r="E1038" s="21">
        <f>IF(D1038="?OLD","!!!","")</f>
        <v/>
      </c>
      <c r="F1038" s="22" t="str">
        <f>IF(OR(E1038="",E1038="!!!"),"",IF(NOT(ISNA(VLOOKUP(E1038,E$1:E1037,1,FALSE()))),"OLD",IF(AND(E1038&lt;&gt;"",E1038&lt;&gt;"!!!"),"NEW","")))</f>
        <v> </v>
      </c>
      <c r="G1038" s="23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24" t="str">
        <f>IF(J1038&lt;&gt;1,"",IF(I1038="SBJ","CB","?"))</f>
        <v> </v>
      </c>
      <c r="I1038" s="25" t="str">
        <f>IF(OR(E1038="",E1038="!!!",F1038="NEW"),"",INDEX(B1037:B$2,-1+SUMPRODUCT(MAX(ROW(E1037:E$2)*(E1038=E1037:E$2)))))</f>
        <v> </v>
      </c>
      <c r="J1038" s="25" t="str">
        <f>IF(OR(E1038="",E1038="!!!",F1038="NEW"),"",COUNTBLANK(OFFSET(A$1,,,SUMPRODUCT(MAX(ROW(E$2:E1038)*(E1038=E$2:E1038)))))-COUNTBLANK(OFFSET(A$1,,,SUMPRODUCT(MAX(ROW(E$1:E1037)*(E2=E$1:E1037))))))</f>
        <v> </v>
      </c>
      <c r="K1038" s="25" t="str">
        <f>IF(OR(E1038="",E1038="!!!",F1038="NEW"),"",INDEX(J$1:J1037,SUMPRODUCT(MAX(ROW(E$1:E1037)*(E1038=E$1:E1037)))))</f>
        <v> </v>
      </c>
      <c r="L1038" s="26"/>
    </row>
    <row r="1039" spans="1:12">
      <c r="A1039" s="20" t="s">
        <v>186</v>
      </c>
      <c r="E1039" s="21">
        <f>IF(D1039="?OLD","!!!","")</f>
        <v/>
      </c>
      <c r="F1039" s="22" t="str">
        <f>IF(OR(E1039="",E1039="!!!"),"",IF(NOT(ISNA(VLOOKUP(E1039,E$1:E1038,1,FALSE()))),"OLD",IF(AND(E1039&lt;&gt;"",E1039&lt;&gt;"!!!"),"NEW","")))</f>
        <v> </v>
      </c>
      <c r="G1039" s="23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4" t="str">
        <f>IF(J1039&lt;&gt;1,"",IF(I1039="SBJ","CB","?"))</f>
        <v> </v>
      </c>
      <c r="I1039" s="25" t="str">
        <f>IF(OR(E1039="",E1039="!!!",F1039="NEW"),"",INDEX(B1038:B$2,-1+SUMPRODUCT(MAX(ROW(E1038:E$2)*(E1039=E1038:E$2)))))</f>
        <v> </v>
      </c>
      <c r="J1039" s="25" t="str">
        <f>IF(OR(E1039="",E1039="!!!",F1039="NEW"),"",COUNTBLANK(OFFSET(A$1,,,SUMPRODUCT(MAX(ROW(E$2:E1039)*(E1039=E$2:E1039)))))-COUNTBLANK(OFFSET(A$1,,,SUMPRODUCT(MAX(ROW(E$1:E1038)*(E2=E$1:E1038))))))</f>
        <v> </v>
      </c>
      <c r="K1039" s="25" t="str">
        <f>IF(OR(E1039="",E1039="!!!",F1039="NEW"),"",INDEX(J$1:J1038,SUMPRODUCT(MAX(ROW(E$1:E1038)*(E1039=E$1:E1038)))))</f>
        <v> </v>
      </c>
      <c r="L1039" s="26"/>
    </row>
    <row r="1040" spans="1:12">
      <c r="A1040" s="20" t="s">
        <v>619</v>
      </c>
      <c r="B1040" s="27" t="s">
        <v>226</v>
      </c>
      <c r="C1040" s="27" t="s">
        <v>189</v>
      </c>
      <c r="E1040" s="21">
        <f>IF(D1040="?OLD","!!!","")</f>
        <v/>
      </c>
      <c r="F1040" s="22" t="str">
        <f>IF(OR(E1040="",E1040="!!!"),"",IF(NOT(ISNA(VLOOKUP(E1040,E$1:E1039,1,FALSE()))),"OLD",IF(AND(E1040&lt;&gt;"",E1040&lt;&gt;"!!!"),"NEW","")))</f>
        <v> </v>
      </c>
      <c r="G1040" s="23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4" t="str">
        <f>IF(J1040&lt;&gt;1,"",IF(I1040="SBJ","CB","?"))</f>
        <v> </v>
      </c>
      <c r="I1040" s="25" t="str">
        <f>IF(OR(E1040="",E1040="!!!",F1040="NEW"),"",INDEX(B1039:B$2,-1+SUMPRODUCT(MAX(ROW(E1039:E$2)*(E1040=E1039:E$2)))))</f>
        <v> </v>
      </c>
      <c r="J1040" s="25" t="str">
        <f>IF(OR(E1040="",E1040="!!!",F1040="NEW"),"",COUNTBLANK(OFFSET(A$1,,,SUMPRODUCT(MAX(ROW(E$2:E1040)*(E1040=E$2:E1040)))))-COUNTBLANK(OFFSET(A$1,,,SUMPRODUCT(MAX(ROW(E$1:E1039)*(E2=E$1:E1039))))))</f>
        <v> </v>
      </c>
      <c r="K1040" s="25" t="str">
        <f>IF(OR(E1040="",E1040="!!!",F1040="NEW"),"",INDEX(J$1:J1039,SUMPRODUCT(MAX(ROW(E$1:E1039)*(E1040=E$1:E1039)))))</f>
        <v> </v>
      </c>
      <c r="L1040" s="26"/>
    </row>
    <row r="1041" spans="1:12">
      <c r="A1041" s="20" t="s">
        <v>231</v>
      </c>
      <c r="E1041" s="21">
        <f>IF(D1041="?OLD","!!!","")</f>
        <v/>
      </c>
      <c r="F1041" s="22" t="str">
        <f>IF(OR(E1041="",E1041="!!!"),"",IF(NOT(ISNA(VLOOKUP(E1041,E$1:E1040,1,FALSE()))),"OLD",IF(AND(E1041&lt;&gt;"",E1041&lt;&gt;"!!!"),"NEW","")))</f>
        <v> </v>
      </c>
      <c r="G1041" s="23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24" t="str">
        <f>IF(J1041&lt;&gt;1,"",IF(I1041="SBJ","CB","?"))</f>
        <v> </v>
      </c>
      <c r="I1041" s="25" t="str">
        <f>IF(OR(E1041="",E1041="!!!",F1041="NEW"),"",INDEX(B1040:B$2,-1+SUMPRODUCT(MAX(ROW(E1040:E$2)*(E1041=E1040:E$2)))))</f>
        <v> </v>
      </c>
      <c r="J1041" s="25" t="str">
        <f>IF(OR(E1041="",E1041="!!!",F1041="NEW"),"",COUNTBLANK(OFFSET(A$1,,,SUMPRODUCT(MAX(ROW(E$2:E1041)*(E1041=E$2:E1041)))))-COUNTBLANK(OFFSET(A$1,,,SUMPRODUCT(MAX(ROW(E$1:E1040)*(E2=E$1:E1040))))))</f>
        <v> </v>
      </c>
      <c r="K1041" s="25" t="str">
        <f>IF(OR(E1041="",E1041="!!!",F1041="NEW"),"",INDEX(J$1:J1040,SUMPRODUCT(MAX(ROW(E$1:E1040)*(E1041=E$1:E1040)))))</f>
        <v> </v>
      </c>
      <c r="L1041" s="26"/>
    </row>
    <row r="1042" spans="1:12">
      <c r="A1042" s="20"/>
    </row>
    <row r="1043" spans="1:12">
      <c r="A1043" s="20" t="s">
        <v>620</v>
      </c>
    </row>
    <row r="1044" spans="1:12">
      <c r="A1044" s="20" t="s">
        <v>621</v>
      </c>
      <c r="E1044" s="21">
        <f>IF(D1044="?OLD","!!!","")</f>
        <v/>
      </c>
      <c r="F1044" s="22" t="str">
        <f>IF(OR(E1044="",E1044="!!!"),"",IF(NOT(ISNA(VLOOKUP(E1044,E$1:E1043,1,FALSE()))),"OLD",IF(AND(E1044&lt;&gt;"",E1044&lt;&gt;"!!!"),"NEW","")))</f>
        <v> </v>
      </c>
      <c r="G1044" s="23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 </v>
      </c>
      <c r="H1044" s="24" t="str">
        <f>IF(J1044&lt;&gt;1,"",IF(I1044="SBJ","CB","?"))</f>
        <v> </v>
      </c>
      <c r="I1044" s="25" t="str">
        <f>IF(OR(E1044="",E1044="!!!",F1044="NEW"),"",INDEX(B1043:B$2,-1+SUMPRODUCT(MAX(ROW(E1043:E$2)*(E1044=E1043:E$2)))))</f>
        <v> </v>
      </c>
      <c r="J1044" s="25" t="str">
        <f>IF(OR(E1044="",E1044="!!!",F1044="NEW"),"",COUNTBLANK(OFFSET(A$1,,,SUMPRODUCT(MAX(ROW(E$2:E1044)*(E1044=E$2:E1044)))))-COUNTBLANK(OFFSET(A$1,,,SUMPRODUCT(MAX(ROW(E$1:E1043)*(E2=E$1:E1043))))))</f>
        <v> </v>
      </c>
      <c r="K1044" s="25" t="str">
        <f>IF(OR(E1044="",E1044="!!!",F1044="NEW"),"",INDEX(J$1:J1043,SUMPRODUCT(MAX(ROW(E$1:E1043)*(E1044=E$1:E1043)))))</f>
        <v> </v>
      </c>
      <c r="L1044" s="26"/>
    </row>
    <row r="1045" spans="1:12">
      <c r="A1045" s="20" t="s">
        <v>622</v>
      </c>
      <c r="E1045" s="21">
        <f>IF(D1045="?OLD","!!!","")</f>
        <v/>
      </c>
      <c r="F1045" s="22" t="str">
        <f>IF(OR(E1045="",E1045="!!!"),"",IF(NOT(ISNA(VLOOKUP(E1045,E$1:E1044,1,FALSE()))),"OLD",IF(AND(E1045&lt;&gt;"",E1045&lt;&gt;"!!!"),"NEW","")))</f>
        <v> </v>
      </c>
      <c r="G1045" s="23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24" t="str">
        <f>IF(J1045&lt;&gt;1,"",IF(I1045="SBJ","CB","?"))</f>
        <v> </v>
      </c>
      <c r="I1045" s="25" t="str">
        <f>IF(OR(E1045="",E1045="!!!",F1045="NEW"),"",INDEX(B1044:B$2,-1+SUMPRODUCT(MAX(ROW(E1044:E$2)*(E1045=E1044:E$2)))))</f>
        <v> </v>
      </c>
      <c r="J1045" s="25" t="str">
        <f>IF(OR(E1045="",E1045="!!!",F1045="NEW"),"",COUNTBLANK(OFFSET(A$1,,,SUMPRODUCT(MAX(ROW(E$2:E1045)*(E1045=E$2:E1045)))))-COUNTBLANK(OFFSET(A$1,,,SUMPRODUCT(MAX(ROW(E$1:E1044)*(E2=E$1:E1044))))))</f>
        <v> </v>
      </c>
      <c r="K1045" s="25" t="str">
        <f>IF(OR(E1045="",E1045="!!!",F1045="NEW"),"",INDEX(J$1:J1044,SUMPRODUCT(MAX(ROW(E$1:E1044)*(E1045=E$1:E1044)))))</f>
        <v> </v>
      </c>
      <c r="L1045" s="26"/>
    </row>
    <row r="1046" spans="1:12">
      <c r="A1046" s="20" t="s">
        <v>623</v>
      </c>
      <c r="B1046" s="27" t="s">
        <v>246</v>
      </c>
      <c r="C1046" s="27" t="s">
        <v>189</v>
      </c>
      <c r="E1046" s="21">
        <f>IF(D1046="?OLD","!!!","")</f>
        <v/>
      </c>
      <c r="F1046" s="22" t="str">
        <f>IF(OR(E1046="",E1046="!!!"),"",IF(NOT(ISNA(VLOOKUP(E1046,E$1:E1045,1,FALSE()))),"OLD",IF(AND(E1046&lt;&gt;"",E1046&lt;&gt;"!!!"),"NEW","")))</f>
        <v> </v>
      </c>
      <c r="G1046" s="23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4" t="str">
        <f>IF(J1046&lt;&gt;1,"",IF(I1046="SBJ","CB","?"))</f>
        <v> </v>
      </c>
      <c r="I1046" s="25" t="str">
        <f>IF(OR(E1046="",E1046="!!!",F1046="NEW"),"",INDEX(B1045:B$2,-1+SUMPRODUCT(MAX(ROW(E1045:E$2)*(E1046=E1045:E$2)))))</f>
        <v> </v>
      </c>
      <c r="J1046" s="25" t="str">
        <f>IF(OR(E1046="",E1046="!!!",F1046="NEW"),"",COUNTBLANK(OFFSET(A$1,,,SUMPRODUCT(MAX(ROW(E$2:E1046)*(E1046=E$2:E1046)))))-COUNTBLANK(OFFSET(A$1,,,SUMPRODUCT(MAX(ROW(E$1:E1045)*(E2=E$1:E1045))))))</f>
        <v> </v>
      </c>
      <c r="K1046" s="25" t="str">
        <f>IF(OR(E1046="",E1046="!!!",F1046="NEW"),"",INDEX(J$1:J1045,SUMPRODUCT(MAX(ROW(E$1:E1045)*(E1046=E$1:E1045)))))</f>
        <v> </v>
      </c>
      <c r="L1046" s="26"/>
    </row>
    <row r="1047" spans="1:12">
      <c r="A1047" s="20" t="s">
        <v>186</v>
      </c>
      <c r="E1047" s="21">
        <f>IF(D1047="?OLD","!!!","")</f>
        <v/>
      </c>
      <c r="F1047" s="22" t="str">
        <f>IF(OR(E1047="",E1047="!!!"),"",IF(NOT(ISNA(VLOOKUP(E1047,E$1:E1046,1,FALSE()))),"OLD",IF(AND(E1047&lt;&gt;"",E1047&lt;&gt;"!!!"),"NEW","")))</f>
        <v> </v>
      </c>
      <c r="G1047" s="23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4" t="str">
        <f>IF(J1047&lt;&gt;1,"",IF(I1047="SBJ","CB","?"))</f>
        <v> </v>
      </c>
      <c r="I1047" s="25" t="str">
        <f>IF(OR(E1047="",E1047="!!!",F1047="NEW"),"",INDEX(B1046:B$2,-1+SUMPRODUCT(MAX(ROW(E1046:E$2)*(E1047=E1046:E$2)))))</f>
        <v> </v>
      </c>
      <c r="J1047" s="25" t="str">
        <f>IF(OR(E1047="",E1047="!!!",F1047="NEW"),"",COUNTBLANK(OFFSET(A$1,,,SUMPRODUCT(MAX(ROW(E$2:E1047)*(E1047=E$2:E1047)))))-COUNTBLANK(OFFSET(A$1,,,SUMPRODUCT(MAX(ROW(E$1:E1046)*(E2=E$1:E1046))))))</f>
        <v> </v>
      </c>
      <c r="K1047" s="25" t="str">
        <f>IF(OR(E1047="",E1047="!!!",F1047="NEW"),"",INDEX(J$1:J1046,SUMPRODUCT(MAX(ROW(E$1:E1046)*(E1047=E$1:E1046)))))</f>
        <v> </v>
      </c>
      <c r="L1047" s="26"/>
    </row>
    <row r="1048" spans="1:12">
      <c r="A1048" s="20" t="s">
        <v>624</v>
      </c>
      <c r="E1048" s="21">
        <f>IF(D1048="?OLD","!!!","")</f>
        <v/>
      </c>
      <c r="F1048" s="22" t="str">
        <f>IF(OR(E1048="",E1048="!!!"),"",IF(NOT(ISNA(VLOOKUP(E1048,E$1:E1047,1,FALSE()))),"OLD",IF(AND(E1048&lt;&gt;"",E1048&lt;&gt;"!!!"),"NEW","")))</f>
        <v> </v>
      </c>
      <c r="G1048" s="23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4" t="str">
        <f>IF(J1048&lt;&gt;1,"",IF(I1048="SBJ","CB","?"))</f>
        <v> </v>
      </c>
      <c r="I1048" s="25" t="str">
        <f>IF(OR(E1048="",E1048="!!!",F1048="NEW"),"",INDEX(B1047:B$2,-1+SUMPRODUCT(MAX(ROW(E1047:E$2)*(E1048=E1047:E$2)))))</f>
        <v> </v>
      </c>
      <c r="J1048" s="25" t="str">
        <f>IF(OR(E1048="",E1048="!!!",F1048="NEW"),"",COUNTBLANK(OFFSET(A$1,,,SUMPRODUCT(MAX(ROW(E$2:E1048)*(E1048=E$2:E1048)))))-COUNTBLANK(OFFSET(A$1,,,SUMPRODUCT(MAX(ROW(E$1:E1047)*(E2=E$1:E1047))))))</f>
        <v> </v>
      </c>
      <c r="K1048" s="25" t="str">
        <f>IF(OR(E1048="",E1048="!!!",F1048="NEW"),"",INDEX(J$1:J1047,SUMPRODUCT(MAX(ROW(E$1:E1047)*(E1048=E$1:E1047)))))</f>
        <v> </v>
      </c>
      <c r="L1048" s="26"/>
    </row>
    <row r="1049" spans="1:12">
      <c r="A1049" s="20" t="s">
        <v>214</v>
      </c>
      <c r="E1049" s="21">
        <f>IF(D1049="?OLD","!!!","")</f>
        <v/>
      </c>
      <c r="F1049" s="22" t="str">
        <f>IF(OR(E1049="",E1049="!!!"),"",IF(NOT(ISNA(VLOOKUP(E1049,E$1:E1048,1,FALSE()))),"OLD",IF(AND(E1049&lt;&gt;"",E1049&lt;&gt;"!!!"),"NEW","")))</f>
        <v> </v>
      </c>
      <c r="G1049" s="23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4" t="str">
        <f>IF(J1049&lt;&gt;1,"",IF(I1049="SBJ","CB","?"))</f>
        <v> </v>
      </c>
      <c r="I1049" s="25" t="str">
        <f>IF(OR(E1049="",E1049="!!!",F1049="NEW"),"",INDEX(B1048:B$2,-1+SUMPRODUCT(MAX(ROW(E1048:E$2)*(E1049=E1048:E$2)))))</f>
        <v> </v>
      </c>
      <c r="J1049" s="25" t="str">
        <f>IF(OR(E1049="",E1049="!!!",F1049="NEW"),"",COUNTBLANK(OFFSET(A$1,,,SUMPRODUCT(MAX(ROW(E$2:E1049)*(E1049=E$2:E1049)))))-COUNTBLANK(OFFSET(A$1,,,SUMPRODUCT(MAX(ROW(E$1:E1048)*(E2=E$1:E1048))))))</f>
        <v> </v>
      </c>
      <c r="K1049" s="25" t="str">
        <f>IF(OR(E1049="",E1049="!!!",F1049="NEW"),"",INDEX(J$1:J1048,SUMPRODUCT(MAX(ROW(E$1:E1048)*(E1049=E$1:E1048)))))</f>
        <v> </v>
      </c>
      <c r="L1049" s="26"/>
    </row>
    <row r="1050" spans="1:12">
      <c r="A1050" s="20" t="s">
        <v>313</v>
      </c>
      <c r="E1050" s="21">
        <f>IF(D1050="?OLD","!!!","")</f>
        <v/>
      </c>
      <c r="F1050" s="22" t="str">
        <f>IF(OR(E1050="",E1050="!!!"),"",IF(NOT(ISNA(VLOOKUP(E1050,E$1:E1049,1,FALSE()))),"OLD",IF(AND(E1050&lt;&gt;"",E1050&lt;&gt;"!!!"),"NEW","")))</f>
        <v> </v>
      </c>
      <c r="G1050" s="23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4" t="str">
        <f>IF(J1050&lt;&gt;1,"",IF(I1050="SBJ","CB","?"))</f>
        <v> </v>
      </c>
      <c r="I1050" s="25" t="str">
        <f>IF(OR(E1050="",E1050="!!!",F1050="NEW"),"",INDEX(B1049:B$2,-1+SUMPRODUCT(MAX(ROW(E1049:E$2)*(E1050=E1049:E$2)))))</f>
        <v> </v>
      </c>
      <c r="J1050" s="25" t="str">
        <f>IF(OR(E1050="",E1050="!!!",F1050="NEW"),"",COUNTBLANK(OFFSET(A$1,,,SUMPRODUCT(MAX(ROW(E$2:E1050)*(E1050=E$2:E1050)))))-COUNTBLANK(OFFSET(A$1,,,SUMPRODUCT(MAX(ROW(E$1:E1049)*(E2=E$1:E1049))))))</f>
        <v> </v>
      </c>
      <c r="K1050" s="25" t="str">
        <f>IF(OR(E1050="",E1050="!!!",F1050="NEW"),"",INDEX(J$1:J1049,SUMPRODUCT(MAX(ROW(E$1:E1049)*(E1050=E$1:E1049)))))</f>
        <v> </v>
      </c>
      <c r="L1050" s="26"/>
    </row>
    <row r="1051" spans="1:12">
      <c r="A1051" s="20" t="s">
        <v>197</v>
      </c>
      <c r="E1051" s="21">
        <f>IF(D1051="?OLD","!!!","")</f>
        <v/>
      </c>
      <c r="F1051" s="22" t="str">
        <f>IF(OR(E1051="",E1051="!!!"),"",IF(NOT(ISNA(VLOOKUP(E1051,E$1:E1050,1,FALSE()))),"OLD",IF(AND(E1051&lt;&gt;"",E1051&lt;&gt;"!!!"),"NEW","")))</f>
        <v> </v>
      </c>
      <c r="G1051" s="23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4" t="str">
        <f>IF(J1051&lt;&gt;1,"",IF(I1051="SBJ","CB","?"))</f>
        <v> </v>
      </c>
      <c r="I1051" s="25" t="str">
        <f>IF(OR(E1051="",E1051="!!!",F1051="NEW"),"",INDEX(B1050:B$2,-1+SUMPRODUCT(MAX(ROW(E1050:E$2)*(E1051=E1050:E$2)))))</f>
        <v> </v>
      </c>
      <c r="J1051" s="25" t="str">
        <f>IF(OR(E1051="",E1051="!!!",F1051="NEW"),"",COUNTBLANK(OFFSET(A$1,,,SUMPRODUCT(MAX(ROW(E$2:E1051)*(E1051=E$2:E1051)))))-COUNTBLANK(OFFSET(A$1,,,SUMPRODUCT(MAX(ROW(E$1:E1050)*(E2=E$1:E1050))))))</f>
        <v> </v>
      </c>
      <c r="K1051" s="25" t="str">
        <f>IF(OR(E1051="",E1051="!!!",F1051="NEW"),"",INDEX(J$1:J1050,SUMPRODUCT(MAX(ROW(E$1:E1050)*(E1051=E$1:E1050)))))</f>
        <v> </v>
      </c>
      <c r="L1051" s="26"/>
    </row>
    <row r="1052" spans="1:12">
      <c r="A1052" s="20" t="s">
        <v>618</v>
      </c>
      <c r="B1052" s="27" t="s">
        <v>223</v>
      </c>
      <c r="C1052" s="27" t="s">
        <v>184</v>
      </c>
      <c r="D1052" s="27" t="s">
        <v>185</v>
      </c>
      <c r="E1052" s="21">
        <f>IF(D1052="?OLD","!!!","")</f>
        <v/>
      </c>
      <c r="F1052" s="22" t="str">
        <f>IF(OR(E1052="",E1052="!!!"),"",IF(NOT(ISNA(VLOOKUP(E1052,E$1:E1051,1,FALSE()))),"OLD",IF(AND(E1052&lt;&gt;"",E1052&lt;&gt;"!!!"),"NEW","")))</f>
        <v> </v>
      </c>
      <c r="G1052" s="23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24" t="str">
        <f>IF(J1052&lt;&gt;1,"",IF(I1052="SBJ","CB","?"))</f>
        <v> </v>
      </c>
      <c r="I1052" s="25" t="str">
        <f>IF(OR(E1052="",E1052="!!!",F1052="NEW"),"",INDEX(B1051:B$2,-1+SUMPRODUCT(MAX(ROW(E1051:E$2)*(E1052=E1051:E$2)))))</f>
        <v> </v>
      </c>
      <c r="J1052" s="25" t="str">
        <f>IF(OR(E1052="",E1052="!!!",F1052="NEW"),"",COUNTBLANK(OFFSET(A$1,,,SUMPRODUCT(MAX(ROW(E$2:E1052)*(E1052=E$2:E1052)))))-COUNTBLANK(OFFSET(A$1,,,SUMPRODUCT(MAX(ROW(E$1:E1051)*(E2=E$1:E1051))))))</f>
        <v> </v>
      </c>
      <c r="K1052" s="25" t="str">
        <f>IF(OR(E1052="",E1052="!!!",F1052="NEW"),"",INDEX(J$1:J1051,SUMPRODUCT(MAX(ROW(E$1:E1051)*(E1052=E$1:E1051)))))</f>
        <v> </v>
      </c>
      <c r="L1052" s="26"/>
    </row>
    <row r="1053" spans="1:12">
      <c r="A1053" s="20" t="s">
        <v>186</v>
      </c>
      <c r="E1053" s="21">
        <f>IF(D1053="?OLD","!!!","")</f>
        <v/>
      </c>
      <c r="F1053" s="22" t="str">
        <f>IF(OR(E1053="",E1053="!!!"),"",IF(NOT(ISNA(VLOOKUP(E1053,E$1:E1052,1,FALSE()))),"OLD",IF(AND(E1053&lt;&gt;"",E1053&lt;&gt;"!!!"),"NEW","")))</f>
        <v> </v>
      </c>
      <c r="G1053" s="23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4" t="str">
        <f>IF(J1053&lt;&gt;1,"",IF(I1053="SBJ","CB","?"))</f>
        <v> </v>
      </c>
      <c r="I1053" s="25" t="str">
        <f>IF(OR(E1053="",E1053="!!!",F1053="NEW"),"",INDEX(B1052:B$2,-1+SUMPRODUCT(MAX(ROW(E1052:E$2)*(E1053=E1052:E$2)))))</f>
        <v> </v>
      </c>
      <c r="J1053" s="25" t="str">
        <f>IF(OR(E1053="",E1053="!!!",F1053="NEW"),"",COUNTBLANK(OFFSET(A$1,,,SUMPRODUCT(MAX(ROW(E$2:E1053)*(E1053=E$2:E1053)))))-COUNTBLANK(OFFSET(A$1,,,SUMPRODUCT(MAX(ROW(E$1:E1052)*(E2=E$1:E1052))))))</f>
        <v> </v>
      </c>
      <c r="K1053" s="25" t="str">
        <f>IF(OR(E1053="",E1053="!!!",F1053="NEW"),"",INDEX(J$1:J1052,SUMPRODUCT(MAX(ROW(E$1:E1052)*(E1053=E$1:E1052)))))</f>
        <v> </v>
      </c>
      <c r="L1053" s="26"/>
    </row>
    <row r="1054" spans="1:12">
      <c r="A1054" s="20" t="s">
        <v>619</v>
      </c>
      <c r="B1054" s="27" t="s">
        <v>188</v>
      </c>
      <c r="C1054" s="27" t="s">
        <v>189</v>
      </c>
      <c r="E1054" s="21">
        <f>IF(D1054="?OLD","!!!","")</f>
        <v/>
      </c>
      <c r="F1054" s="22" t="str">
        <f>IF(OR(E1054="",E1054="!!!"),"",IF(NOT(ISNA(VLOOKUP(E1054,E$1:E1053,1,FALSE()))),"OLD",IF(AND(E1054&lt;&gt;"",E1054&lt;&gt;"!!!"),"NEW","")))</f>
        <v> </v>
      </c>
      <c r="G1054" s="23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24" t="str">
        <f>IF(J1054&lt;&gt;1,"",IF(I1054="SBJ","CB","?"))</f>
        <v> </v>
      </c>
      <c r="I1054" s="25" t="str">
        <f>IF(OR(E1054="",E1054="!!!",F1054="NEW"),"",INDEX(B1053:B$2,-1+SUMPRODUCT(MAX(ROW(E1053:E$2)*(E1054=E1053:E$2)))))</f>
        <v> </v>
      </c>
      <c r="J1054" s="25" t="str">
        <f>IF(OR(E1054="",E1054="!!!",F1054="NEW"),"",COUNTBLANK(OFFSET(A$1,,,SUMPRODUCT(MAX(ROW(E$2:E1054)*(E1054=E$2:E1054)))))-COUNTBLANK(OFFSET(A$1,,,SUMPRODUCT(MAX(ROW(E$1:E1053)*(E2=E$1:E1053))))))</f>
        <v> </v>
      </c>
      <c r="K1054" s="25" t="str">
        <f>IF(OR(E1054="",E1054="!!!",F1054="NEW"),"",INDEX(J$1:J1053,SUMPRODUCT(MAX(ROW(E$1:E1053)*(E1054=E$1:E1053)))))</f>
        <v> </v>
      </c>
      <c r="L1054" s="26"/>
    </row>
    <row r="1055" spans="1:12">
      <c r="A1055" s="20" t="s">
        <v>231</v>
      </c>
      <c r="E1055" s="21">
        <f>IF(D1055="?OLD","!!!","")</f>
        <v/>
      </c>
      <c r="F1055" s="22" t="str">
        <f>IF(OR(E1055="",E1055="!!!"),"",IF(NOT(ISNA(VLOOKUP(E1055,E$1:E1054,1,FALSE()))),"OLD",IF(AND(E1055&lt;&gt;"",E1055&lt;&gt;"!!!"),"NEW","")))</f>
        <v> </v>
      </c>
      <c r="G1055" s="23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4" t="str">
        <f>IF(J1055&lt;&gt;1,"",IF(I1055="SBJ","CB","?"))</f>
        <v> </v>
      </c>
      <c r="I1055" s="25" t="str">
        <f>IF(OR(E1055="",E1055="!!!",F1055="NEW"),"",INDEX(B1054:B$2,-1+SUMPRODUCT(MAX(ROW(E1054:E$2)*(E1055=E1054:E$2)))))</f>
        <v> </v>
      </c>
      <c r="J1055" s="25" t="str">
        <f>IF(OR(E1055="",E1055="!!!",F1055="NEW"),"",COUNTBLANK(OFFSET(A$1,,,SUMPRODUCT(MAX(ROW(E$2:E1055)*(E1055=E$2:E1055)))))-COUNTBLANK(OFFSET(A$1,,,SUMPRODUCT(MAX(ROW(E$1:E1054)*(E2=E$1:E1054))))))</f>
        <v> </v>
      </c>
      <c r="K1055" s="25" t="str">
        <f>IF(OR(E1055="",E1055="!!!",F1055="NEW"),"",INDEX(J$1:J1054,SUMPRODUCT(MAX(ROW(E$1:E1054)*(E1055=E$1:E1054)))))</f>
        <v> </v>
      </c>
      <c r="L1055" s="26"/>
    </row>
    <row r="1056" spans="1:12">
      <c r="A1056" s="20"/>
    </row>
    <row r="1057" spans="1:12">
      <c r="A1057" s="20" t="s">
        <v>625</v>
      </c>
    </row>
    <row r="1058" spans="1:12">
      <c r="A1058" s="20" t="s">
        <v>558</v>
      </c>
      <c r="E1058" s="21">
        <f>IF(D1058="?OLD","!!!","")</f>
        <v/>
      </c>
      <c r="F1058" s="22" t="str">
        <f>IF(OR(E1058="",E1058="!!!"),"",IF(NOT(ISNA(VLOOKUP(E1058,E$1:E1057,1,FALSE()))),"OLD",IF(AND(E1058&lt;&gt;"",E1058&lt;&gt;"!!!"),"NEW","")))</f>
        <v> </v>
      </c>
      <c r="G1058" s="23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4" t="str">
        <f>IF(J1058&lt;&gt;1,"",IF(I1058="SBJ","CB","?"))</f>
        <v> </v>
      </c>
      <c r="I1058" s="25" t="str">
        <f>IF(OR(E1058="",E1058="!!!",F1058="NEW"),"",INDEX(B1057:B$2,-1+SUMPRODUCT(MAX(ROW(E1057:E$2)*(E1058=E1057:E$2)))))</f>
        <v> </v>
      </c>
      <c r="J1058" s="25" t="str">
        <f>IF(OR(E1058="",E1058="!!!",F1058="NEW"),"",COUNTBLANK(OFFSET(A$1,,,SUMPRODUCT(MAX(ROW(E$2:E1058)*(E1058=E$2:E1058)))))-COUNTBLANK(OFFSET(A$1,,,SUMPRODUCT(MAX(ROW(E$1:E1057)*(E2=E$1:E1057))))))</f>
        <v> </v>
      </c>
      <c r="K1058" s="25" t="str">
        <f>IF(OR(E1058="",E1058="!!!",F1058="NEW"),"",INDEX(J$1:J1057,SUMPRODUCT(MAX(ROW(E$1:E1057)*(E1058=E$1:E1057)))))</f>
        <v> </v>
      </c>
      <c r="L1058" s="26"/>
    </row>
    <row r="1059" spans="1:12">
      <c r="A1059" s="20" t="s">
        <v>347</v>
      </c>
      <c r="E1059" s="21">
        <f>IF(D1059="?OLD","!!!","")</f>
        <v/>
      </c>
      <c r="F1059" s="22" t="str">
        <f>IF(OR(E1059="",E1059="!!!"),"",IF(NOT(ISNA(VLOOKUP(E1059,E$1:E1058,1,FALSE()))),"OLD",IF(AND(E1059&lt;&gt;"",E1059&lt;&gt;"!!!"),"NEW","")))</f>
        <v> </v>
      </c>
      <c r="G1059" s="23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4" t="str">
        <f>IF(J1059&lt;&gt;1,"",IF(I1059="SBJ","CB","?"))</f>
        <v> </v>
      </c>
      <c r="I1059" s="25" t="str">
        <f>IF(OR(E1059="",E1059="!!!",F1059="NEW"),"",INDEX(B1058:B$2,-1+SUMPRODUCT(MAX(ROW(E1058:E$2)*(E1059=E1058:E$2)))))</f>
        <v> </v>
      </c>
      <c r="J1059" s="25" t="str">
        <f>IF(OR(E1059="",E1059="!!!",F1059="NEW"),"",COUNTBLANK(OFFSET(A$1,,,SUMPRODUCT(MAX(ROW(E$2:E1059)*(E1059=E$2:E1059)))))-COUNTBLANK(OFFSET(A$1,,,SUMPRODUCT(MAX(ROW(E$1:E1058)*(E2=E$1:E1058))))))</f>
        <v> </v>
      </c>
      <c r="K1059" s="25" t="str">
        <f>IF(OR(E1059="",E1059="!!!",F1059="NEW"),"",INDEX(J$1:J1058,SUMPRODUCT(MAX(ROW(E$1:E1058)*(E1059=E$1:E1058)))))</f>
        <v> </v>
      </c>
      <c r="L1059" s="26"/>
    </row>
    <row r="1060" spans="1:12">
      <c r="A1060" s="20" t="s">
        <v>377</v>
      </c>
      <c r="B1060" s="27" t="s">
        <v>246</v>
      </c>
      <c r="C1060" s="27" t="s">
        <v>199</v>
      </c>
      <c r="D1060" s="27" t="s">
        <v>185</v>
      </c>
      <c r="E1060" s="21">
        <f>IF(D1060="?OLD","!!!","")</f>
        <v/>
      </c>
      <c r="F1060" s="22" t="str">
        <f>IF(OR(E1060="",E1060="!!!"),"",IF(NOT(ISNA(VLOOKUP(E1060,E$1:E1059,1,FALSE()))),"OLD",IF(AND(E1060&lt;&gt;"",E1060&lt;&gt;"!!!"),"NEW","")))</f>
        <v> </v>
      </c>
      <c r="G1060" s="23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4" t="str">
        <f>IF(J1060&lt;&gt;1,"",IF(I1060="SBJ","CB","?"))</f>
        <v> </v>
      </c>
      <c r="I1060" s="25" t="str">
        <f>IF(OR(E1060="",E1060="!!!",F1060="NEW"),"",INDEX(B1059:B$2,-1+SUMPRODUCT(MAX(ROW(E1059:E$2)*(E1060=E1059:E$2)))))</f>
        <v> </v>
      </c>
      <c r="J1060" s="25" t="str">
        <f>IF(OR(E1060="",E1060="!!!",F1060="NEW"),"",COUNTBLANK(OFFSET(A$1,,,SUMPRODUCT(MAX(ROW(E$2:E1060)*(E1060=E$2:E1060)))))-COUNTBLANK(OFFSET(A$1,,,SUMPRODUCT(MAX(ROW(E$1:E1059)*(E2=E$1:E1059))))))</f>
        <v> </v>
      </c>
      <c r="K1060" s="25" t="str">
        <f>IF(OR(E1060="",E1060="!!!",F1060="NEW"),"",INDEX(J$1:J1059,SUMPRODUCT(MAX(ROW(E$1:E1059)*(E1060=E$1:E1059)))))</f>
        <v> </v>
      </c>
      <c r="L1060" s="26"/>
    </row>
    <row r="1061" spans="1:12">
      <c r="A1061" s="20" t="s">
        <v>201</v>
      </c>
      <c r="B1061" s="27" t="s">
        <v>270</v>
      </c>
      <c r="E1061" s="21">
        <f>IF(D1061="?OLD","!!!","")</f>
        <v/>
      </c>
      <c r="F1061" s="22" t="str">
        <f>IF(OR(E1061="",E1061="!!!"),"",IF(NOT(ISNA(VLOOKUP(E1061,E$1:E1060,1,FALSE()))),"OLD",IF(AND(E1061&lt;&gt;"",E1061&lt;&gt;"!!!"),"NEW","")))</f>
        <v> </v>
      </c>
      <c r="G1061" s="23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24" t="str">
        <f>IF(J1061&lt;&gt;1,"",IF(I1061="SBJ","CB","?"))</f>
        <v> </v>
      </c>
      <c r="I1061" s="25" t="str">
        <f>IF(OR(E1061="",E1061="!!!",F1061="NEW"),"",INDEX(B1060:B$2,-1+SUMPRODUCT(MAX(ROW(E1060:E$2)*(E1061=E1060:E$2)))))</f>
        <v> </v>
      </c>
      <c r="J1061" s="25" t="str">
        <f>IF(OR(E1061="",E1061="!!!",F1061="NEW"),"",COUNTBLANK(OFFSET(A$1,,,SUMPRODUCT(MAX(ROW(E$2:E1061)*(E1061=E$2:E1061)))))-COUNTBLANK(OFFSET(A$1,,,SUMPRODUCT(MAX(ROW(E$1:E1060)*(E2=E$1:E1060))))))</f>
        <v> </v>
      </c>
      <c r="K1061" s="25" t="str">
        <f>IF(OR(E1061="",E1061="!!!",F1061="NEW"),"",INDEX(J$1:J1060,SUMPRODUCT(MAX(ROW(E$1:E1060)*(E1061=E$1:E1060)))))</f>
        <v> </v>
      </c>
      <c r="L1061" s="26"/>
    </row>
    <row r="1062" spans="1:12">
      <c r="A1062" s="20" t="s">
        <v>626</v>
      </c>
      <c r="E1062" s="21">
        <f>IF(D1062="?OLD","!!!","")</f>
        <v/>
      </c>
      <c r="F1062" s="22" t="str">
        <f>IF(OR(E1062="",E1062="!!!"),"",IF(NOT(ISNA(VLOOKUP(E1062,E$1:E1061,1,FALSE()))),"OLD",IF(AND(E1062&lt;&gt;"",E1062&lt;&gt;"!!!"),"NEW","")))</f>
        <v> </v>
      </c>
      <c r="G1062" s="23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 </v>
      </c>
      <c r="H1062" s="24" t="str">
        <f>IF(J1062&lt;&gt;1,"",IF(I1062="SBJ","CB","?"))</f>
        <v> </v>
      </c>
      <c r="I1062" s="25" t="str">
        <f>IF(OR(E1062="",E1062="!!!",F1062="NEW"),"",INDEX(B1061:B$2,-1+SUMPRODUCT(MAX(ROW(E1061:E$2)*(E1062=E1061:E$2)))))</f>
        <v> </v>
      </c>
      <c r="J1062" s="25" t="str">
        <f>IF(OR(E1062="",E1062="!!!",F1062="NEW"),"",COUNTBLANK(OFFSET(A$1,,,SUMPRODUCT(MAX(ROW(E$2:E1062)*(E1062=E$2:E1062)))))-COUNTBLANK(OFFSET(A$1,,,SUMPRODUCT(MAX(ROW(E$1:E1061)*(E2=E$1:E1061))))))</f>
        <v> </v>
      </c>
      <c r="K1062" s="25" t="str">
        <f>IF(OR(E1062="",E1062="!!!",F1062="NEW"),"",INDEX(J$1:J1061,SUMPRODUCT(MAX(ROW(E$1:E1061)*(E1062=E$1:E1061)))))</f>
        <v> </v>
      </c>
      <c r="L1062" s="26"/>
    </row>
    <row r="1063" spans="1:12">
      <c r="A1063" s="20" t="s">
        <v>197</v>
      </c>
      <c r="E1063" s="21">
        <f>IF(D1063="?OLD","!!!","")</f>
        <v/>
      </c>
      <c r="F1063" s="22" t="str">
        <f>IF(OR(E1063="",E1063="!!!"),"",IF(NOT(ISNA(VLOOKUP(E1063,E$1:E1062,1,FALSE()))),"OLD",IF(AND(E1063&lt;&gt;"",E1063&lt;&gt;"!!!"),"NEW","")))</f>
        <v> </v>
      </c>
      <c r="G1063" s="23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24" t="str">
        <f>IF(J1063&lt;&gt;1,"",IF(I1063="SBJ","CB","?"))</f>
        <v> </v>
      </c>
      <c r="I1063" s="25" t="str">
        <f>IF(OR(E1063="",E1063="!!!",F1063="NEW"),"",INDEX(B1062:B$2,-1+SUMPRODUCT(MAX(ROW(E1062:E$2)*(E1063=E1062:E$2)))))</f>
        <v> </v>
      </c>
      <c r="J1063" s="25" t="str">
        <f>IF(OR(E1063="",E1063="!!!",F1063="NEW"),"",COUNTBLANK(OFFSET(A$1,,,SUMPRODUCT(MAX(ROW(E$2:E1063)*(E1063=E$2:E1063)))))-COUNTBLANK(OFFSET(A$1,,,SUMPRODUCT(MAX(ROW(E$1:E1062)*(E2=E$1:E1062))))))</f>
        <v> </v>
      </c>
      <c r="K1063" s="25" t="str">
        <f>IF(OR(E1063="",E1063="!!!",F1063="NEW"),"",INDEX(J$1:J1062,SUMPRODUCT(MAX(ROW(E$1:E1062)*(E1063=E$1:E1062)))))</f>
        <v> </v>
      </c>
      <c r="L1063" s="26"/>
    </row>
    <row r="1064" spans="1:12">
      <c r="A1064" s="20" t="s">
        <v>492</v>
      </c>
      <c r="E1064" s="21">
        <f>IF(D1064="?OLD","!!!","")</f>
        <v/>
      </c>
      <c r="F1064" s="22" t="str">
        <f>IF(OR(E1064="",E1064="!!!"),"",IF(NOT(ISNA(VLOOKUP(E1064,E$1:E1063,1,FALSE()))),"OLD",IF(AND(E1064&lt;&gt;"",E1064&lt;&gt;"!!!"),"NEW","")))</f>
        <v> </v>
      </c>
      <c r="G1064" s="23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4" t="str">
        <f>IF(J1064&lt;&gt;1,"",IF(I1064="SBJ","CB","?"))</f>
        <v> </v>
      </c>
      <c r="I1064" s="25" t="str">
        <f>IF(OR(E1064="",E1064="!!!",F1064="NEW"),"",INDEX(B1063:B$2,-1+SUMPRODUCT(MAX(ROW(E1063:E$2)*(E1064=E1063:E$2)))))</f>
        <v> </v>
      </c>
      <c r="J1064" s="25" t="str">
        <f>IF(OR(E1064="",E1064="!!!",F1064="NEW"),"",COUNTBLANK(OFFSET(A$1,,,SUMPRODUCT(MAX(ROW(E$2:E1064)*(E1064=E$2:E1064)))))-COUNTBLANK(OFFSET(A$1,,,SUMPRODUCT(MAX(ROW(E$1:E1063)*(E2=E$1:E1063))))))</f>
        <v> </v>
      </c>
      <c r="K1064" s="25" t="str">
        <f>IF(OR(E1064="",E1064="!!!",F1064="NEW"),"",INDEX(J$1:J1063,SUMPRODUCT(MAX(ROW(E$1:E1063)*(E1064=E$1:E1063)))))</f>
        <v> </v>
      </c>
      <c r="L1064" s="26"/>
    </row>
    <row r="1065" spans="1:12">
      <c r="A1065" s="20" t="s">
        <v>245</v>
      </c>
      <c r="E1065" s="21">
        <f>IF(D1065="?OLD","!!!","")</f>
        <v/>
      </c>
      <c r="F1065" s="22" t="str">
        <f>IF(OR(E1065="",E1065="!!!"),"",IF(NOT(ISNA(VLOOKUP(E1065,E$1:E1064,1,FALSE()))),"OLD",IF(AND(E1065&lt;&gt;"",E1065&lt;&gt;"!!!"),"NEW","")))</f>
        <v> </v>
      </c>
      <c r="G1065" s="23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4" t="str">
        <f>IF(J1065&lt;&gt;1,"",IF(I1065="SBJ","CB","?"))</f>
        <v> </v>
      </c>
      <c r="I1065" s="25" t="str">
        <f>IF(OR(E1065="",E1065="!!!",F1065="NEW"),"",INDEX(B1064:B$2,-1+SUMPRODUCT(MAX(ROW(E1064:E$2)*(E1065=E1064:E$2)))))</f>
        <v> </v>
      </c>
      <c r="J1065" s="25" t="str">
        <f>IF(OR(E1065="",E1065="!!!",F1065="NEW"),"",COUNTBLANK(OFFSET(A$1,,,SUMPRODUCT(MAX(ROW(E$2:E1065)*(E1065=E$2:E1065)))))-COUNTBLANK(OFFSET(A$1,,,SUMPRODUCT(MAX(ROW(E$1:E1064)*(E2=E$1:E1064))))))</f>
        <v> </v>
      </c>
      <c r="K1065" s="25" t="str">
        <f>IF(OR(E1065="",E1065="!!!",F1065="NEW"),"",INDEX(J$1:J1064,SUMPRODUCT(MAX(ROW(E$1:E1064)*(E1065=E$1:E1064)))))</f>
        <v> </v>
      </c>
      <c r="L1065" s="26"/>
    </row>
    <row r="1066" spans="1:12">
      <c r="A1066" s="20" t="s">
        <v>201</v>
      </c>
      <c r="E1066" s="21">
        <f>IF(D1066="?OLD","!!!","")</f>
        <v/>
      </c>
      <c r="F1066" s="22" t="str">
        <f>IF(OR(E1066="",E1066="!!!"),"",IF(NOT(ISNA(VLOOKUP(E1066,E$1:E1065,1,FALSE()))),"OLD",IF(AND(E1066&lt;&gt;"",E1066&lt;&gt;"!!!"),"NEW","")))</f>
        <v> </v>
      </c>
      <c r="G1066" s="23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4" t="str">
        <f>IF(J1066&lt;&gt;1,"",IF(I1066="SBJ","CB","?"))</f>
        <v> </v>
      </c>
      <c r="I1066" s="25" t="str">
        <f>IF(OR(E1066="",E1066="!!!",F1066="NEW"),"",INDEX(B1065:B$2,-1+SUMPRODUCT(MAX(ROW(E1065:E$2)*(E1066=E1065:E$2)))))</f>
        <v> </v>
      </c>
      <c r="J1066" s="25" t="str">
        <f>IF(OR(E1066="",E1066="!!!",F1066="NEW"),"",COUNTBLANK(OFFSET(A$1,,,SUMPRODUCT(MAX(ROW(E$2:E1066)*(E1066=E$2:E1066)))))-COUNTBLANK(OFFSET(A$1,,,SUMPRODUCT(MAX(ROW(E$1:E1065)*(E2=E$1:E1065))))))</f>
        <v> </v>
      </c>
      <c r="K1066" s="25" t="str">
        <f>IF(OR(E1066="",E1066="!!!",F1066="NEW"),"",INDEX(J$1:J1065,SUMPRODUCT(MAX(ROW(E$1:E1065)*(E1066=E$1:E1065)))))</f>
        <v> </v>
      </c>
      <c r="L1066" s="26"/>
    </row>
    <row r="1067" spans="1:12">
      <c r="A1067" s="20" t="s">
        <v>251</v>
      </c>
      <c r="E1067" s="21">
        <f>IF(D1067="?OLD","!!!","")</f>
        <v/>
      </c>
      <c r="F1067" s="22" t="str">
        <f>IF(OR(E1067="",E1067="!!!"),"",IF(NOT(ISNA(VLOOKUP(E1067,E$1:E1066,1,FALSE()))),"OLD",IF(AND(E1067&lt;&gt;"",E1067&lt;&gt;"!!!"),"NEW","")))</f>
        <v> </v>
      </c>
      <c r="G1067" s="23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4" t="str">
        <f>IF(J1067&lt;&gt;1,"",IF(I1067="SBJ","CB","?"))</f>
        <v> </v>
      </c>
      <c r="I1067" s="25" t="str">
        <f>IF(OR(E1067="",E1067="!!!",F1067="NEW"),"",INDEX(B1066:B$2,-1+SUMPRODUCT(MAX(ROW(E1066:E$2)*(E1067=E1066:E$2)))))</f>
        <v> </v>
      </c>
      <c r="J1067" s="25" t="str">
        <f>IF(OR(E1067="",E1067="!!!",F1067="NEW"),"",COUNTBLANK(OFFSET(A$1,,,SUMPRODUCT(MAX(ROW(E$2:E1067)*(E1067=E$2:E1067)))))-COUNTBLANK(OFFSET(A$1,,,SUMPRODUCT(MAX(ROW(E$1:E1066)*(E2=E$1:E1066))))))</f>
        <v> </v>
      </c>
      <c r="K1067" s="25" t="str">
        <f>IF(OR(E1067="",E1067="!!!",F1067="NEW"),"",INDEX(J$1:J1066,SUMPRODUCT(MAX(ROW(E$1:E1066)*(E1067=E$1:E1066)))))</f>
        <v> </v>
      </c>
      <c r="L1067" s="26"/>
    </row>
    <row r="1068" spans="1:12">
      <c r="A1068" s="20" t="s">
        <v>627</v>
      </c>
      <c r="B1068" s="27" t="s">
        <v>202</v>
      </c>
      <c r="C1068" s="27" t="s">
        <v>199</v>
      </c>
      <c r="D1068" s="27" t="s">
        <v>185</v>
      </c>
      <c r="E1068" s="21">
        <f>IF(D1068="?OLD","!!!","")</f>
        <v/>
      </c>
      <c r="F1068" s="22" t="str">
        <f>IF(OR(E1068="",E1068="!!!"),"",IF(NOT(ISNA(VLOOKUP(E1068,E$1:E1067,1,FALSE()))),"OLD",IF(AND(E1068&lt;&gt;"",E1068&lt;&gt;"!!!"),"NEW","")))</f>
        <v> </v>
      </c>
      <c r="G1068" s="23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4" t="str">
        <f>IF(J1068&lt;&gt;1,"",IF(I1068="SBJ","CB","?"))</f>
        <v> </v>
      </c>
      <c r="I1068" s="25" t="str">
        <f>IF(OR(E1068="",E1068="!!!",F1068="NEW"),"",INDEX(B1067:B$2,-1+SUMPRODUCT(MAX(ROW(E1067:E$2)*(E1068=E1067:E$2)))))</f>
        <v> </v>
      </c>
      <c r="J1068" s="25" t="str">
        <f>IF(OR(E1068="",E1068="!!!",F1068="NEW"),"",COUNTBLANK(OFFSET(A$1,,,SUMPRODUCT(MAX(ROW(E$2:E1068)*(E1068=E$2:E1068)))))-COUNTBLANK(OFFSET(A$1,,,SUMPRODUCT(MAX(ROW(E$1:E1067)*(E2=E$1:E1067))))))</f>
        <v> </v>
      </c>
      <c r="K1068" s="25" t="str">
        <f>IF(OR(E1068="",E1068="!!!",F1068="NEW"),"",INDEX(J$1:J1067,SUMPRODUCT(MAX(ROW(E$1:E1067)*(E1068=E$1:E1067)))))</f>
        <v> </v>
      </c>
      <c r="L1068" s="26"/>
    </row>
    <row r="1069" spans="1:12">
      <c r="A1069" s="20" t="s">
        <v>446</v>
      </c>
      <c r="E1069" s="21">
        <f>IF(D1069="?OLD","!!!","")</f>
        <v/>
      </c>
      <c r="F1069" s="22" t="str">
        <f>IF(OR(E1069="",E1069="!!!"),"",IF(NOT(ISNA(VLOOKUP(E1069,E$1:E1068,1,FALSE()))),"OLD",IF(AND(E1069&lt;&gt;"",E1069&lt;&gt;"!!!"),"NEW","")))</f>
        <v> </v>
      </c>
      <c r="G1069" s="23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> </v>
      </c>
      <c r="H1069" s="24" t="str">
        <f>IF(J1069&lt;&gt;1,"",IF(I1069="SBJ","CB","?"))</f>
        <v> </v>
      </c>
      <c r="I1069" s="25" t="str">
        <f>IF(OR(E1069="",E1069="!!!",F1069="NEW"),"",INDEX(B1068:B$2,-1+SUMPRODUCT(MAX(ROW(E1068:E$2)*(E1069=E1068:E$2)))))</f>
        <v> </v>
      </c>
      <c r="J1069" s="25" t="str">
        <f>IF(OR(E1069="",E1069="!!!",F1069="NEW"),"",COUNTBLANK(OFFSET(A$1,,,SUMPRODUCT(MAX(ROW(E$2:E1069)*(E1069=E$2:E1069)))))-COUNTBLANK(OFFSET(A$1,,,SUMPRODUCT(MAX(ROW(E$1:E1068)*(E2=E$1:E1068))))))</f>
        <v> </v>
      </c>
      <c r="K1069" s="25" t="str">
        <f>IF(OR(E1069="",E1069="!!!",F1069="NEW"),"",INDEX(J$1:J1068,SUMPRODUCT(MAX(ROW(E$1:E1068)*(E1069=E$1:E1068)))))</f>
        <v> </v>
      </c>
      <c r="L1069" s="26"/>
    </row>
    <row r="1070" spans="1:12">
      <c r="A1070" s="20" t="s">
        <v>186</v>
      </c>
      <c r="E1070" s="21">
        <f>IF(D1070="?OLD","!!!","")</f>
        <v/>
      </c>
      <c r="F1070" s="22" t="str">
        <f>IF(OR(E1070="",E1070="!!!"),"",IF(NOT(ISNA(VLOOKUP(E1070,E$1:E1069,1,FALSE()))),"OLD",IF(AND(E1070&lt;&gt;"",E1070&lt;&gt;"!!!"),"NEW","")))</f>
        <v> </v>
      </c>
      <c r="G1070" s="23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> </v>
      </c>
      <c r="H1070" s="24" t="str">
        <f>IF(J1070&lt;&gt;1,"",IF(I1070="SBJ","CB","?"))</f>
        <v> </v>
      </c>
      <c r="I1070" s="25" t="str">
        <f>IF(OR(E1070="",E1070="!!!",F1070="NEW"),"",INDEX(B1069:B$2,-1+SUMPRODUCT(MAX(ROW(E1069:E$2)*(E1070=E1069:E$2)))))</f>
        <v> </v>
      </c>
      <c r="J1070" s="25" t="str">
        <f>IF(OR(E1070="",E1070="!!!",F1070="NEW"),"",COUNTBLANK(OFFSET(A$1,,,SUMPRODUCT(MAX(ROW(E$2:E1070)*(E1070=E$2:E1070)))))-COUNTBLANK(OFFSET(A$1,,,SUMPRODUCT(MAX(ROW(E$1:E1069)*(E2=E$1:E1069))))))</f>
        <v> </v>
      </c>
      <c r="K1070" s="25" t="str">
        <f>IF(OR(E1070="",E1070="!!!",F1070="NEW"),"",INDEX(J$1:J1069,SUMPRODUCT(MAX(ROW(E$1:E1069)*(E1070=E$1:E1069)))))</f>
        <v> </v>
      </c>
      <c r="L1070" s="26"/>
    </row>
    <row r="1071" spans="1:12">
      <c r="A1071" s="20" t="s">
        <v>628</v>
      </c>
      <c r="B1071" s="27" t="s">
        <v>188</v>
      </c>
      <c r="C1071" s="27" t="s">
        <v>189</v>
      </c>
      <c r="E1071" s="21">
        <f>IF(D1071="?OLD","!!!","")</f>
        <v/>
      </c>
      <c r="F1071" s="22" t="str">
        <f>IF(OR(E1071="",E1071="!!!"),"",IF(NOT(ISNA(VLOOKUP(E1071,E$1:E1070,1,FALSE()))),"OLD",IF(AND(E1071&lt;&gt;"",E1071&lt;&gt;"!!!"),"NEW","")))</f>
        <v> </v>
      </c>
      <c r="G1071" s="23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> </v>
      </c>
      <c r="H1071" s="24" t="str">
        <f>IF(J1071&lt;&gt;1,"",IF(I1071="SBJ","CB","?"))</f>
        <v> </v>
      </c>
      <c r="I1071" s="25" t="str">
        <f>IF(OR(E1071="",E1071="!!!",F1071="NEW"),"",INDEX(B1070:B$2,-1+SUMPRODUCT(MAX(ROW(E1070:E$2)*(E1071=E1070:E$2)))))</f>
        <v> </v>
      </c>
      <c r="J1071" s="25" t="str">
        <f>IF(OR(E1071="",E1071="!!!",F1071="NEW"),"",COUNTBLANK(OFFSET(A$1,,,SUMPRODUCT(MAX(ROW(E$2:E1071)*(E1071=E$2:E1071)))))-COUNTBLANK(OFFSET(A$1,,,SUMPRODUCT(MAX(ROW(E$1:E1070)*(E2=E$1:E1070))))))</f>
        <v> </v>
      </c>
      <c r="K1071" s="25" t="str">
        <f>IF(OR(E1071="",E1071="!!!",F1071="NEW"),"",INDEX(J$1:J1070,SUMPRODUCT(MAX(ROW(E$1:E1070)*(E1071=E$1:E1070)))))</f>
        <v> </v>
      </c>
      <c r="L1071" s="26"/>
    </row>
    <row r="1072" spans="1:12">
      <c r="A1072" s="20" t="s">
        <v>267</v>
      </c>
      <c r="E1072" s="21">
        <f>IF(D1072="?OLD","!!!","")</f>
        <v/>
      </c>
      <c r="F1072" s="22" t="str">
        <f>IF(OR(E1072="",E1072="!!!"),"",IF(NOT(ISNA(VLOOKUP(E1072,E$1:E1071,1,FALSE()))),"OLD",IF(AND(E1072&lt;&gt;"",E1072&lt;&gt;"!!!"),"NEW","")))</f>
        <v> </v>
      </c>
      <c r="G1072" s="23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24" t="str">
        <f>IF(J1072&lt;&gt;1,"",IF(I1072="SBJ","CB","?"))</f>
        <v> </v>
      </c>
      <c r="I1072" s="25" t="str">
        <f>IF(OR(E1072="",E1072="!!!",F1072="NEW"),"",INDEX(B1071:B$2,-1+SUMPRODUCT(MAX(ROW(E1071:E$2)*(E1072=E1071:E$2)))))</f>
        <v> </v>
      </c>
      <c r="J1072" s="25" t="str">
        <f>IF(OR(E1072="",E1072="!!!",F1072="NEW"),"",COUNTBLANK(OFFSET(A$1,,,SUMPRODUCT(MAX(ROW(E$2:E1072)*(E1072=E$2:E1072)))))-COUNTBLANK(OFFSET(A$1,,,SUMPRODUCT(MAX(ROW(E$1:E1071)*(E2=E$1:E1071))))))</f>
        <v> </v>
      </c>
      <c r="K1072" s="25" t="str">
        <f>IF(OR(E1072="",E1072="!!!",F1072="NEW"),"",INDEX(J$1:J1071,SUMPRODUCT(MAX(ROW(E$1:E1071)*(E1072=E$1:E1071)))))</f>
        <v> </v>
      </c>
      <c r="L1072" s="26"/>
    </row>
    <row r="1073" spans="1:12">
      <c r="A1073" s="20" t="s">
        <v>629</v>
      </c>
      <c r="E1073" s="21">
        <f>IF(D1073="?OLD","!!!","")</f>
        <v/>
      </c>
      <c r="F1073" s="22" t="str">
        <f>IF(OR(E1073="",E1073="!!!"),"",IF(NOT(ISNA(VLOOKUP(E1073,E$1:E1072,1,FALSE()))),"OLD",IF(AND(E1073&lt;&gt;"",E1073&lt;&gt;"!!!"),"NEW","")))</f>
        <v> </v>
      </c>
      <c r="G1073" s="23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24" t="str">
        <f>IF(J1073&lt;&gt;1,"",IF(I1073="SBJ","CB","?"))</f>
        <v> </v>
      </c>
      <c r="I1073" s="25" t="str">
        <f>IF(OR(E1073="",E1073="!!!",F1073="NEW"),"",INDEX(B1072:B$2,-1+SUMPRODUCT(MAX(ROW(E1072:E$2)*(E1073=E1072:E$2)))))</f>
        <v> </v>
      </c>
      <c r="J1073" s="25" t="str">
        <f>IF(OR(E1073="",E1073="!!!",F1073="NEW"),"",COUNTBLANK(OFFSET(A$1,,,SUMPRODUCT(MAX(ROW(E$2:E1073)*(E1073=E$2:E1073)))))-COUNTBLANK(OFFSET(A$1,,,SUMPRODUCT(MAX(ROW(E$1:E1072)*(E2=E$1:E1072))))))</f>
        <v> </v>
      </c>
      <c r="K1073" s="25" t="str">
        <f>IF(OR(E1073="",E1073="!!!",F1073="NEW"),"",INDEX(J$1:J1072,SUMPRODUCT(MAX(ROW(E$1:E1072)*(E1073=E$1:E1072)))))</f>
        <v> </v>
      </c>
      <c r="L1073" s="26"/>
    </row>
    <row r="1074" spans="1:12">
      <c r="A1074" s="20" t="s">
        <v>630</v>
      </c>
      <c r="B1074" s="27" t="s">
        <v>202</v>
      </c>
      <c r="C1074" s="27" t="s">
        <v>184</v>
      </c>
      <c r="D1074" s="27" t="s">
        <v>185</v>
      </c>
      <c r="E1074" s="21">
        <f>IF(D1074="?OLD","!!!","")</f>
        <v/>
      </c>
      <c r="F1074" s="22" t="str">
        <f>IF(OR(E1074="",E1074="!!!"),"",IF(NOT(ISNA(VLOOKUP(E1074,E$1:E1073,1,FALSE()))),"OLD",IF(AND(E1074&lt;&gt;"",E1074&lt;&gt;"!!!"),"NEW","")))</f>
        <v> </v>
      </c>
      <c r="G1074" s="23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4" t="str">
        <f>IF(J1074&lt;&gt;1,"",IF(I1074="SBJ","CB","?"))</f>
        <v> </v>
      </c>
      <c r="I1074" s="25" t="str">
        <f>IF(OR(E1074="",E1074="!!!",F1074="NEW"),"",INDEX(B1073:B$2,-1+SUMPRODUCT(MAX(ROW(E1073:E$2)*(E1074=E1073:E$2)))))</f>
        <v> </v>
      </c>
      <c r="J1074" s="25" t="str">
        <f>IF(OR(E1074="",E1074="!!!",F1074="NEW"),"",COUNTBLANK(OFFSET(A$1,,,SUMPRODUCT(MAX(ROW(E$2:E1074)*(E1074=E$2:E1074)))))-COUNTBLANK(OFFSET(A$1,,,SUMPRODUCT(MAX(ROW(E$1:E1073)*(E2=E$1:E1073))))))</f>
        <v> </v>
      </c>
      <c r="K1074" s="25" t="str">
        <f>IF(OR(E1074="",E1074="!!!",F1074="NEW"),"",INDEX(J$1:J1073,SUMPRODUCT(MAX(ROW(E$1:E1073)*(E1074=E$1:E1073)))))</f>
        <v> </v>
      </c>
      <c r="L1074" s="26"/>
    </row>
    <row r="1075" spans="1:12">
      <c r="A1075" s="20" t="s">
        <v>407</v>
      </c>
      <c r="E1075" s="21">
        <f>IF(D1075="?OLD","!!!","")</f>
        <v/>
      </c>
      <c r="F1075" s="22" t="str">
        <f>IF(OR(E1075="",E1075="!!!"),"",IF(NOT(ISNA(VLOOKUP(E1075,E$1:E1074,1,FALSE()))),"OLD",IF(AND(E1075&lt;&gt;"",E1075&lt;&gt;"!!!"),"NEW","")))</f>
        <v> </v>
      </c>
      <c r="G1075" s="23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4" t="str">
        <f>IF(J1075&lt;&gt;1,"",IF(I1075="SBJ","CB","?"))</f>
        <v> </v>
      </c>
      <c r="I1075" s="25" t="str">
        <f>IF(OR(E1075="",E1075="!!!",F1075="NEW"),"",INDEX(B1074:B$2,-1+SUMPRODUCT(MAX(ROW(E1074:E$2)*(E1075=E1074:E$2)))))</f>
        <v> </v>
      </c>
      <c r="J1075" s="25" t="str">
        <f>IF(OR(E1075="",E1075="!!!",F1075="NEW"),"",COUNTBLANK(OFFSET(A$1,,,SUMPRODUCT(MAX(ROW(E$2:E1075)*(E1075=E$2:E1075)))))-COUNTBLANK(OFFSET(A$1,,,SUMPRODUCT(MAX(ROW(E$1:E1074)*(E2=E$1:E1074))))))</f>
        <v> </v>
      </c>
      <c r="K1075" s="25" t="str">
        <f>IF(OR(E1075="",E1075="!!!",F1075="NEW"),"",INDEX(J$1:J1074,SUMPRODUCT(MAX(ROW(E$1:E1074)*(E1075=E$1:E1074)))))</f>
        <v> </v>
      </c>
      <c r="L1075" s="26"/>
    </row>
    <row r="1076" spans="1:12">
      <c r="A1076" s="20" t="s">
        <v>197</v>
      </c>
      <c r="E1076" s="21">
        <f>IF(D1076="?OLD","!!!","")</f>
        <v/>
      </c>
      <c r="F1076" s="22" t="str">
        <f>IF(OR(E1076="",E1076="!!!"),"",IF(NOT(ISNA(VLOOKUP(E1076,E$1:E1075,1,FALSE()))),"OLD",IF(AND(E1076&lt;&gt;"",E1076&lt;&gt;"!!!"),"NEW","")))</f>
        <v> </v>
      </c>
      <c r="G1076" s="23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24" t="str">
        <f>IF(J1076&lt;&gt;1,"",IF(I1076="SBJ","CB","?"))</f>
        <v> </v>
      </c>
      <c r="I1076" s="25" t="str">
        <f>IF(OR(E1076="",E1076="!!!",F1076="NEW"),"",INDEX(B1075:B$2,-1+SUMPRODUCT(MAX(ROW(E1075:E$2)*(E1076=E1075:E$2)))))</f>
        <v> </v>
      </c>
      <c r="J1076" s="25" t="str">
        <f>IF(OR(E1076="",E1076="!!!",F1076="NEW"),"",COUNTBLANK(OFFSET(A$1,,,SUMPRODUCT(MAX(ROW(E$2:E1076)*(E1076=E$2:E1076)))))-COUNTBLANK(OFFSET(A$1,,,SUMPRODUCT(MAX(ROW(E$1:E1075)*(E2=E$1:E1075))))))</f>
        <v> </v>
      </c>
      <c r="K1076" s="25" t="str">
        <f>IF(OR(E1076="",E1076="!!!",F1076="NEW"),"",INDEX(J$1:J1075,SUMPRODUCT(MAX(ROW(E$1:E1075)*(E1076=E$1:E1075)))))</f>
        <v> </v>
      </c>
      <c r="L1076" s="26"/>
    </row>
    <row r="1077" spans="1:12">
      <c r="A1077" s="20" t="s">
        <v>526</v>
      </c>
      <c r="B1077" s="27" t="s">
        <v>205</v>
      </c>
      <c r="C1077" s="27" t="s">
        <v>199</v>
      </c>
      <c r="D1077" s="27" t="s">
        <v>185</v>
      </c>
      <c r="E1077" s="21">
        <f>IF(D1077="?OLD","!!!","")</f>
        <v/>
      </c>
      <c r="F1077" s="22" t="str">
        <f>IF(OR(E1077="",E1077="!!!"),"",IF(NOT(ISNA(VLOOKUP(E1077,E$1:E1076,1,FALSE()))),"OLD",IF(AND(E1077&lt;&gt;"",E1077&lt;&gt;"!!!"),"NEW","")))</f>
        <v> </v>
      </c>
      <c r="G1077" s="23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24" t="str">
        <f>IF(J1077&lt;&gt;1,"",IF(I1077="SBJ","CB","?"))</f>
        <v> </v>
      </c>
      <c r="I1077" s="25" t="str">
        <f>IF(OR(E1077="",E1077="!!!",F1077="NEW"),"",INDEX(B1076:B$2,-1+SUMPRODUCT(MAX(ROW(E1076:E$2)*(E1077=E1076:E$2)))))</f>
        <v> </v>
      </c>
      <c r="J1077" s="25" t="str">
        <f>IF(OR(E1077="",E1077="!!!",F1077="NEW"),"",COUNTBLANK(OFFSET(A$1,,,SUMPRODUCT(MAX(ROW(E$2:E1077)*(E1077=E$2:E1077)))))-COUNTBLANK(OFFSET(A$1,,,SUMPRODUCT(MAX(ROW(E$1:E1076)*(E2=E$1:E1076))))))</f>
        <v> </v>
      </c>
      <c r="K1077" s="25" t="str">
        <f>IF(OR(E1077="",E1077="!!!",F1077="NEW"),"",INDEX(J$1:J1076,SUMPRODUCT(MAX(ROW(E$1:E1076)*(E1077=E$1:E1076)))))</f>
        <v> </v>
      </c>
      <c r="L1077" s="26"/>
    </row>
    <row r="1078" spans="1:12">
      <c r="A1078" s="20" t="s">
        <v>231</v>
      </c>
      <c r="E1078" s="21">
        <f>IF(D1078="?OLD","!!!","")</f>
        <v/>
      </c>
      <c r="F1078" s="22" t="str">
        <f>IF(OR(E1078="",E1078="!!!"),"",IF(NOT(ISNA(VLOOKUP(E1078,E$1:E1077,1,FALSE()))),"OLD",IF(AND(E1078&lt;&gt;"",E1078&lt;&gt;"!!!"),"NEW","")))</f>
        <v> </v>
      </c>
      <c r="G1078" s="23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4" t="str">
        <f>IF(J1078&lt;&gt;1,"",IF(I1078="SBJ","CB","?"))</f>
        <v> </v>
      </c>
      <c r="I1078" s="25" t="str">
        <f>IF(OR(E1078="",E1078="!!!",F1078="NEW"),"",INDEX(B1077:B$2,-1+SUMPRODUCT(MAX(ROW(E1077:E$2)*(E1078=E1077:E$2)))))</f>
        <v> </v>
      </c>
      <c r="J1078" s="25" t="str">
        <f>IF(OR(E1078="",E1078="!!!",F1078="NEW"),"",COUNTBLANK(OFFSET(A$1,,,SUMPRODUCT(MAX(ROW(E$2:E1078)*(E1078=E$2:E1078)))))-COUNTBLANK(OFFSET(A$1,,,SUMPRODUCT(MAX(ROW(E$1:E1077)*(E2=E$1:E1077))))))</f>
        <v> </v>
      </c>
      <c r="K1078" s="25" t="str">
        <f>IF(OR(E1078="",E1078="!!!",F1078="NEW"),"",INDEX(J$1:J1077,SUMPRODUCT(MAX(ROW(E$1:E1077)*(E1078=E$1:E1077)))))</f>
        <v> </v>
      </c>
      <c r="L1078" s="26"/>
    </row>
    <row r="1079" spans="1:12">
      <c r="A1079" s="20"/>
    </row>
    <row r="1080" spans="1:12">
      <c r="A1080" s="20" t="s">
        <v>631</v>
      </c>
    </row>
    <row r="1081" spans="1:12">
      <c r="A1081" s="20" t="s">
        <v>386</v>
      </c>
      <c r="E1081" s="21">
        <f>IF(D1081="?OLD","!!!","")</f>
        <v/>
      </c>
      <c r="F1081" s="22" t="str">
        <f>IF(OR(E1081="",E1081="!!!"),"",IF(NOT(ISNA(VLOOKUP(E1081,E$1:E1080,1,FALSE()))),"OLD",IF(AND(E1081&lt;&gt;"",E1081&lt;&gt;"!!!"),"NEW","")))</f>
        <v> </v>
      </c>
      <c r="G1081" s="23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24" t="str">
        <f>IF(J1081&lt;&gt;1,"",IF(I1081="SBJ","CB","?"))</f>
        <v> </v>
      </c>
      <c r="I1081" s="25" t="str">
        <f>IF(OR(E1081="",E1081="!!!",F1081="NEW"),"",INDEX(B1080:B$2,-1+SUMPRODUCT(MAX(ROW(E1080:E$2)*(E1081=E1080:E$2)))))</f>
        <v> </v>
      </c>
      <c r="J1081" s="25" t="str">
        <f>IF(OR(E1081="",E1081="!!!",F1081="NEW"),"",COUNTBLANK(OFFSET(A$1,,,SUMPRODUCT(MAX(ROW(E$2:E1081)*(E1081=E$2:E1081)))))-COUNTBLANK(OFFSET(A$1,,,SUMPRODUCT(MAX(ROW(E$1:E1080)*(E2=E$1:E1080))))))</f>
        <v> </v>
      </c>
      <c r="K1081" s="25" t="str">
        <f>IF(OR(E1081="",E1081="!!!",F1081="NEW"),"",INDEX(J$1:J1080,SUMPRODUCT(MAX(ROW(E$1:E1080)*(E1081=E$1:E1080)))))</f>
        <v> </v>
      </c>
      <c r="L1081" s="26"/>
    </row>
    <row r="1082" spans="1:12">
      <c r="A1082" s="20" t="s">
        <v>254</v>
      </c>
      <c r="B1082" s="27" t="s">
        <v>223</v>
      </c>
      <c r="C1082" s="27" t="s">
        <v>189</v>
      </c>
      <c r="E1082" s="21">
        <f>IF(D1082="?OLD","!!!","")</f>
        <v/>
      </c>
      <c r="F1082" s="22" t="str">
        <f>IF(OR(E1082="",E1082="!!!"),"",IF(NOT(ISNA(VLOOKUP(E1082,E$1:E1081,1,FALSE()))),"OLD",IF(AND(E1082&lt;&gt;"",E1082&lt;&gt;"!!!"),"NEW","")))</f>
        <v> </v>
      </c>
      <c r="G1082" s="23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4" t="str">
        <f>IF(J1082&lt;&gt;1,"",IF(I1082="SBJ","CB","?"))</f>
        <v> </v>
      </c>
      <c r="I1082" s="25" t="str">
        <f>IF(OR(E1082="",E1082="!!!",F1082="NEW"),"",INDEX(B1081:B$2,-1+SUMPRODUCT(MAX(ROW(E1081:E$2)*(E1082=E1081:E$2)))))</f>
        <v> </v>
      </c>
      <c r="J1082" s="25" t="str">
        <f>IF(OR(E1082="",E1082="!!!",F1082="NEW"),"",COUNTBLANK(OFFSET(A$1,,,SUMPRODUCT(MAX(ROW(E$2:E1082)*(E1082=E$2:E1082)))))-COUNTBLANK(OFFSET(A$1,,,SUMPRODUCT(MAX(ROW(E$1:E1081)*(E2=E$1:E1081))))))</f>
        <v> </v>
      </c>
      <c r="K1082" s="25" t="str">
        <f>IF(OR(E1082="",E1082="!!!",F1082="NEW"),"",INDEX(J$1:J1081,SUMPRODUCT(MAX(ROW(E$1:E1081)*(E1082=E$1:E1081)))))</f>
        <v> </v>
      </c>
      <c r="L1082" s="26"/>
    </row>
    <row r="1083" spans="1:12">
      <c r="A1083" s="20" t="s">
        <v>632</v>
      </c>
      <c r="E1083" s="21">
        <f>IF(D1083="?OLD","!!!","")</f>
        <v/>
      </c>
      <c r="F1083" s="22" t="str">
        <f>IF(OR(E1083="",E1083="!!!"),"",IF(NOT(ISNA(VLOOKUP(E1083,E$1:E1082,1,FALSE()))),"OLD",IF(AND(E1083&lt;&gt;"",E1083&lt;&gt;"!!!"),"NEW","")))</f>
        <v> </v>
      </c>
      <c r="G1083" s="23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4" t="str">
        <f>IF(J1083&lt;&gt;1,"",IF(I1083="SBJ","CB","?"))</f>
        <v> </v>
      </c>
      <c r="I1083" s="25" t="str">
        <f>IF(OR(E1083="",E1083="!!!",F1083="NEW"),"",INDEX(B1082:B$2,-1+SUMPRODUCT(MAX(ROW(E1082:E$2)*(E1083=E1082:E$2)))))</f>
        <v> </v>
      </c>
      <c r="J1083" s="25" t="str">
        <f>IF(OR(E1083="",E1083="!!!",F1083="NEW"),"",COUNTBLANK(OFFSET(A$1,,,SUMPRODUCT(MAX(ROW(E$2:E1083)*(E1083=E$2:E1083)))))-COUNTBLANK(OFFSET(A$1,,,SUMPRODUCT(MAX(ROW(E$1:E1082)*(E2=E$1:E1082))))))</f>
        <v> </v>
      </c>
      <c r="K1083" s="25" t="str">
        <f>IF(OR(E1083="",E1083="!!!",F1083="NEW"),"",INDEX(J$1:J1082,SUMPRODUCT(MAX(ROW(E$1:E1082)*(E1083=E$1:E1082)))))</f>
        <v> </v>
      </c>
      <c r="L1083" s="26"/>
    </row>
    <row r="1084" spans="1:12">
      <c r="A1084" s="20" t="s">
        <v>186</v>
      </c>
      <c r="E1084" s="21">
        <f>IF(D1084="?OLD","!!!","")</f>
        <v/>
      </c>
      <c r="F1084" s="22" t="str">
        <f>IF(OR(E1084="",E1084="!!!"),"",IF(NOT(ISNA(VLOOKUP(E1084,E$1:E1083,1,FALSE()))),"OLD",IF(AND(E1084&lt;&gt;"",E1084&lt;&gt;"!!!"),"NEW","")))</f>
        <v> </v>
      </c>
      <c r="G1084" s="23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4" t="str">
        <f>IF(J1084&lt;&gt;1,"",IF(I1084="SBJ","CB","?"))</f>
        <v> </v>
      </c>
      <c r="I1084" s="25" t="str">
        <f>IF(OR(E1084="",E1084="!!!",F1084="NEW"),"",INDEX(B1083:B$2,-1+SUMPRODUCT(MAX(ROW(E1083:E$2)*(E1084=E1083:E$2)))))</f>
        <v> </v>
      </c>
      <c r="J1084" s="25" t="str">
        <f>IF(OR(E1084="",E1084="!!!",F1084="NEW"),"",COUNTBLANK(OFFSET(A$1,,,SUMPRODUCT(MAX(ROW(E$2:E1084)*(E1084=E$2:E1084)))))-COUNTBLANK(OFFSET(A$1,,,SUMPRODUCT(MAX(ROW(E$1:E1083)*(E2=E$1:E1083))))))</f>
        <v> </v>
      </c>
      <c r="K1084" s="25" t="str">
        <f>IF(OR(E1084="",E1084="!!!",F1084="NEW"),"",INDEX(J$1:J1083,SUMPRODUCT(MAX(ROW(E$1:E1083)*(E1084=E$1:E1083)))))</f>
        <v> </v>
      </c>
      <c r="L1084" s="26"/>
    </row>
    <row r="1085" spans="1:12">
      <c r="A1085" s="20" t="s">
        <v>580</v>
      </c>
      <c r="E1085" s="21">
        <f>IF(D1085="?OLD","!!!","")</f>
        <v/>
      </c>
      <c r="F1085" s="22" t="str">
        <f>IF(OR(E1085="",E1085="!!!"),"",IF(NOT(ISNA(VLOOKUP(E1085,E$1:E1084,1,FALSE()))),"OLD",IF(AND(E1085&lt;&gt;"",E1085&lt;&gt;"!!!"),"NEW","")))</f>
        <v> </v>
      </c>
      <c r="G1085" s="23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24" t="str">
        <f>IF(J1085&lt;&gt;1,"",IF(I1085="SBJ","CB","?"))</f>
        <v> </v>
      </c>
      <c r="I1085" s="25" t="str">
        <f>IF(OR(E1085="",E1085="!!!",F1085="NEW"),"",INDEX(B1084:B$2,-1+SUMPRODUCT(MAX(ROW(E1084:E$2)*(E1085=E1084:E$2)))))</f>
        <v> </v>
      </c>
      <c r="J1085" s="25" t="str">
        <f>IF(OR(E1085="",E1085="!!!",F1085="NEW"),"",COUNTBLANK(OFFSET(A$1,,,SUMPRODUCT(MAX(ROW(E$2:E1085)*(E1085=E$2:E1085)))))-COUNTBLANK(OFFSET(A$1,,,SUMPRODUCT(MAX(ROW(E$1:E1084)*(E2=E$1:E1084))))))</f>
        <v> </v>
      </c>
      <c r="K1085" s="25" t="str">
        <f>IF(OR(E1085="",E1085="!!!",F1085="NEW"),"",INDEX(J$1:J1084,SUMPRODUCT(MAX(ROW(E$1:E1084)*(E1085=E$1:E1084)))))</f>
        <v> </v>
      </c>
      <c r="L1085" s="26"/>
    </row>
    <row r="1086" spans="1:12">
      <c r="A1086" s="20" t="s">
        <v>291</v>
      </c>
      <c r="E1086" s="21">
        <f>IF(D1086="?OLD","!!!","")</f>
        <v/>
      </c>
      <c r="F1086" s="22" t="str">
        <f>IF(OR(E1086="",E1086="!!!"),"",IF(NOT(ISNA(VLOOKUP(E1086,E$1:E1085,1,FALSE()))),"OLD",IF(AND(E1086&lt;&gt;"",E1086&lt;&gt;"!!!"),"NEW","")))</f>
        <v> </v>
      </c>
      <c r="G1086" s="23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4" t="str">
        <f>IF(J1086&lt;&gt;1,"",IF(I1086="SBJ","CB","?"))</f>
        <v> </v>
      </c>
      <c r="I1086" s="25" t="str">
        <f>IF(OR(E1086="",E1086="!!!",F1086="NEW"),"",INDEX(B1085:B$2,-1+SUMPRODUCT(MAX(ROW(E1085:E$2)*(E1086=E1085:E$2)))))</f>
        <v> </v>
      </c>
      <c r="J1086" s="25" t="str">
        <f>IF(OR(E1086="",E1086="!!!",F1086="NEW"),"",COUNTBLANK(OFFSET(A$1,,,SUMPRODUCT(MAX(ROW(E$2:E1086)*(E1086=E$2:E1086)))))-COUNTBLANK(OFFSET(A$1,,,SUMPRODUCT(MAX(ROW(E$1:E1085)*(E2=E$1:E1085))))))</f>
        <v> </v>
      </c>
      <c r="K1086" s="25" t="str">
        <f>IF(OR(E1086="",E1086="!!!",F1086="NEW"),"",INDEX(J$1:J1085,SUMPRODUCT(MAX(ROW(E$1:E1085)*(E1086=E$1:E1085)))))</f>
        <v> </v>
      </c>
      <c r="L1086" s="26"/>
    </row>
    <row r="1087" spans="1:12">
      <c r="A1087" s="20" t="s">
        <v>528</v>
      </c>
      <c r="B1087" s="27" t="s">
        <v>208</v>
      </c>
      <c r="C1087" s="27" t="s">
        <v>184</v>
      </c>
      <c r="D1087" s="27" t="s">
        <v>185</v>
      </c>
      <c r="E1087" s="21">
        <f>IF(D1087="?OLD","!!!","")</f>
        <v/>
      </c>
      <c r="F1087" s="22" t="str">
        <f>IF(OR(E1087="",E1087="!!!"),"",IF(NOT(ISNA(VLOOKUP(E1087,E$1:E1086,1,FALSE()))),"OLD",IF(AND(E1087&lt;&gt;"",E1087&lt;&gt;"!!!"),"NEW","")))</f>
        <v> </v>
      </c>
      <c r="G1087" s="23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4" t="str">
        <f>IF(J1087&lt;&gt;1,"",IF(I1087="SBJ","CB","?"))</f>
        <v> </v>
      </c>
      <c r="I1087" s="25" t="str">
        <f>IF(OR(E1087="",E1087="!!!",F1087="NEW"),"",INDEX(B1086:B$2,-1+SUMPRODUCT(MAX(ROW(E1086:E$2)*(E1087=E1086:E$2)))))</f>
        <v> </v>
      </c>
      <c r="J1087" s="25" t="str">
        <f>IF(OR(E1087="",E1087="!!!",F1087="NEW"),"",COUNTBLANK(OFFSET(A$1,,,SUMPRODUCT(MAX(ROW(E$2:E1087)*(E1087=E$2:E1087)))))-COUNTBLANK(OFFSET(A$1,,,SUMPRODUCT(MAX(ROW(E$1:E1086)*(E2=E$1:E1086))))))</f>
        <v> </v>
      </c>
      <c r="K1087" s="25" t="str">
        <f>IF(OR(E1087="",E1087="!!!",F1087="NEW"),"",INDEX(J$1:J1086,SUMPRODUCT(MAX(ROW(E$1:E1086)*(E1087=E$1:E1086)))))</f>
        <v> </v>
      </c>
      <c r="L1087" s="26"/>
    </row>
    <row r="1088" spans="1:12">
      <c r="A1088" s="20" t="s">
        <v>314</v>
      </c>
      <c r="E1088" s="21">
        <f>IF(D1088="?OLD","!!!","")</f>
        <v/>
      </c>
      <c r="F1088" s="22" t="str">
        <f>IF(OR(E1088="",E1088="!!!"),"",IF(NOT(ISNA(VLOOKUP(E1088,E$1:E1087,1,FALSE()))),"OLD",IF(AND(E1088&lt;&gt;"",E1088&lt;&gt;"!!!"),"NEW","")))</f>
        <v> </v>
      </c>
      <c r="G1088" s="23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 </v>
      </c>
      <c r="H1088" s="24" t="str">
        <f>IF(J1088&lt;&gt;1,"",IF(I1088="SBJ","CB","?"))</f>
        <v> </v>
      </c>
      <c r="I1088" s="25" t="str">
        <f>IF(OR(E1088="",E1088="!!!",F1088="NEW"),"",INDEX(B1087:B$2,-1+SUMPRODUCT(MAX(ROW(E1087:E$2)*(E1088=E1087:E$2)))))</f>
        <v> </v>
      </c>
      <c r="J1088" s="25" t="str">
        <f>IF(OR(E1088="",E1088="!!!",F1088="NEW"),"",COUNTBLANK(OFFSET(A$1,,,SUMPRODUCT(MAX(ROW(E$2:E1088)*(E1088=E$2:E1088)))))-COUNTBLANK(OFFSET(A$1,,,SUMPRODUCT(MAX(ROW(E$1:E1087)*(E2=E$1:E1087))))))</f>
        <v> </v>
      </c>
      <c r="K1088" s="25" t="str">
        <f>IF(OR(E1088="",E1088="!!!",F1088="NEW"),"",INDEX(J$1:J1087,SUMPRODUCT(MAX(ROW(E$1:E1087)*(E1088=E$1:E1087)))))</f>
        <v> </v>
      </c>
      <c r="L1088" s="26"/>
    </row>
    <row r="1089" spans="1:12">
      <c r="A1089" s="20" t="s">
        <v>186</v>
      </c>
      <c r="E1089" s="21">
        <f>IF(D1089="?OLD","!!!","")</f>
        <v/>
      </c>
      <c r="F1089" s="22" t="str">
        <f>IF(OR(E1089="",E1089="!!!"),"",IF(NOT(ISNA(VLOOKUP(E1089,E$1:E1088,1,FALSE()))),"OLD",IF(AND(E1089&lt;&gt;"",E1089&lt;&gt;"!!!"),"NEW","")))</f>
        <v> </v>
      </c>
      <c r="G1089" s="23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4" t="str">
        <f>IF(J1089&lt;&gt;1,"",IF(I1089="SBJ","CB","?"))</f>
        <v> </v>
      </c>
      <c r="I1089" s="25" t="str">
        <f>IF(OR(E1089="",E1089="!!!",F1089="NEW"),"",INDEX(B1088:B$2,-1+SUMPRODUCT(MAX(ROW(E1088:E$2)*(E1089=E1088:E$2)))))</f>
        <v> </v>
      </c>
      <c r="J1089" s="25" t="str">
        <f>IF(OR(E1089="",E1089="!!!",F1089="NEW"),"",COUNTBLANK(OFFSET(A$1,,,SUMPRODUCT(MAX(ROW(E$2:E1089)*(E1089=E$2:E1089)))))-COUNTBLANK(OFFSET(A$1,,,SUMPRODUCT(MAX(ROW(E$1:E1088)*(E2=E$1:E1088))))))</f>
        <v> </v>
      </c>
      <c r="K1089" s="25" t="str">
        <f>IF(OR(E1089="",E1089="!!!",F1089="NEW"),"",INDEX(J$1:J1088,SUMPRODUCT(MAX(ROW(E$1:E1088)*(E1089=E$1:E1088)))))</f>
        <v> </v>
      </c>
      <c r="L1089" s="26"/>
    </row>
    <row r="1090" spans="1:12">
      <c r="A1090" s="20" t="s">
        <v>627</v>
      </c>
      <c r="B1090" s="27" t="s">
        <v>205</v>
      </c>
      <c r="C1090" s="27" t="s">
        <v>189</v>
      </c>
      <c r="E1090" s="21">
        <f>IF(D1090="?OLD","!!!","")</f>
        <v/>
      </c>
      <c r="F1090" s="22" t="str">
        <f>IF(OR(E1090="",E1090="!!!"),"",IF(NOT(ISNA(VLOOKUP(E1090,E$1:E1089,1,FALSE()))),"OLD",IF(AND(E1090&lt;&gt;"",E1090&lt;&gt;"!!!"),"NEW","")))</f>
        <v> </v>
      </c>
      <c r="G1090" s="23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24" t="str">
        <f>IF(J1090&lt;&gt;1,"",IF(I1090="SBJ","CB","?"))</f>
        <v> </v>
      </c>
      <c r="I1090" s="25" t="str">
        <f>IF(OR(E1090="",E1090="!!!",F1090="NEW"),"",INDEX(B1089:B$2,-1+SUMPRODUCT(MAX(ROW(E1089:E$2)*(E1090=E1089:E$2)))))</f>
        <v> </v>
      </c>
      <c r="J1090" s="25" t="str">
        <f>IF(OR(E1090="",E1090="!!!",F1090="NEW"),"",COUNTBLANK(OFFSET(A$1,,,SUMPRODUCT(MAX(ROW(E$2:E1090)*(E1090=E$2:E1090)))))-COUNTBLANK(OFFSET(A$1,,,SUMPRODUCT(MAX(ROW(E$1:E1089)*(E2=E$1:E1089))))))</f>
        <v> </v>
      </c>
      <c r="K1090" s="25" t="str">
        <f>IF(OR(E1090="",E1090="!!!",F1090="NEW"),"",INDEX(J$1:J1089,SUMPRODUCT(MAX(ROW(E$1:E1089)*(E1090=E$1:E1089)))))</f>
        <v> </v>
      </c>
      <c r="L1090" s="26"/>
    </row>
    <row r="1091" spans="1:12">
      <c r="A1091" s="20" t="s">
        <v>351</v>
      </c>
      <c r="E1091" s="21">
        <f>IF(D1091="?OLD","!!!","")</f>
        <v/>
      </c>
      <c r="F1091" s="22" t="str">
        <f>IF(OR(E1091="",E1091="!!!"),"",IF(NOT(ISNA(VLOOKUP(E1091,E$1:E1090,1,FALSE()))),"OLD",IF(AND(E1091&lt;&gt;"",E1091&lt;&gt;"!!!"),"NEW","")))</f>
        <v> </v>
      </c>
      <c r="G1091" s="23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4" t="str">
        <f>IF(J1091&lt;&gt;1,"",IF(I1091="SBJ","CB","?"))</f>
        <v> </v>
      </c>
      <c r="I1091" s="25" t="str">
        <f>IF(OR(E1091="",E1091="!!!",F1091="NEW"),"",INDEX(B1090:B$2,-1+SUMPRODUCT(MAX(ROW(E1090:E$2)*(E1091=E1090:E$2)))))</f>
        <v> </v>
      </c>
      <c r="J1091" s="25" t="str">
        <f>IF(OR(E1091="",E1091="!!!",F1091="NEW"),"",COUNTBLANK(OFFSET(A$1,,,SUMPRODUCT(MAX(ROW(E$2:E1091)*(E1091=E$2:E1091)))))-COUNTBLANK(OFFSET(A$1,,,SUMPRODUCT(MAX(ROW(E$1:E1090)*(E2=E$1:E1090))))))</f>
        <v> </v>
      </c>
      <c r="K1091" s="25" t="str">
        <f>IF(OR(E1091="",E1091="!!!",F1091="NEW"),"",INDEX(J$1:J1090,SUMPRODUCT(MAX(ROW(E$1:E1090)*(E1091=E$1:E1090)))))</f>
        <v> </v>
      </c>
      <c r="L1091" s="26"/>
    </row>
    <row r="1092" spans="1:12">
      <c r="A1092" s="20" t="s">
        <v>633</v>
      </c>
      <c r="E1092" s="21">
        <f>IF(D1092="?OLD","!!!","")</f>
        <v/>
      </c>
      <c r="F1092" s="22" t="str">
        <f>IF(OR(E1092="",E1092="!!!"),"",IF(NOT(ISNA(VLOOKUP(E1092,E$1:E1091,1,FALSE()))),"OLD",IF(AND(E1092&lt;&gt;"",E1092&lt;&gt;"!!!"),"NEW","")))</f>
        <v> </v>
      </c>
      <c r="G1092" s="23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4" t="str">
        <f>IF(J1092&lt;&gt;1,"",IF(I1092="SBJ","CB","?"))</f>
        <v> </v>
      </c>
      <c r="I1092" s="25" t="str">
        <f>IF(OR(E1092="",E1092="!!!",F1092="NEW"),"",INDEX(B1091:B$2,-1+SUMPRODUCT(MAX(ROW(E1091:E$2)*(E1092=E1091:E$2)))))</f>
        <v> </v>
      </c>
      <c r="J1092" s="25" t="str">
        <f>IF(OR(E1092="",E1092="!!!",F1092="NEW"),"",COUNTBLANK(OFFSET(A$1,,,SUMPRODUCT(MAX(ROW(E$2:E1092)*(E1092=E$2:E1092)))))-COUNTBLANK(OFFSET(A$1,,,SUMPRODUCT(MAX(ROW(E$1:E1091)*(E2=E$1:E1091))))))</f>
        <v> </v>
      </c>
      <c r="K1092" s="25" t="str">
        <f>IF(OR(E1092="",E1092="!!!",F1092="NEW"),"",INDEX(J$1:J1091,SUMPRODUCT(MAX(ROW(E$1:E1091)*(E1092=E$1:E1091)))))</f>
        <v> </v>
      </c>
      <c r="L1092" s="26"/>
    </row>
    <row r="1093" spans="1:12">
      <c r="A1093" s="20" t="s">
        <v>284</v>
      </c>
      <c r="E1093" s="21">
        <f>IF(D1093="?OLD","!!!","")</f>
        <v/>
      </c>
      <c r="F1093" s="22" t="str">
        <f>IF(OR(E1093="",E1093="!!!"),"",IF(NOT(ISNA(VLOOKUP(E1093,E$1:E1092,1,FALSE()))),"OLD",IF(AND(E1093&lt;&gt;"",E1093&lt;&gt;"!!!"),"NEW","")))</f>
        <v> </v>
      </c>
      <c r="G1093" s="23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4" t="str">
        <f>IF(J1093&lt;&gt;1,"",IF(I1093="SBJ","CB","?"))</f>
        <v> </v>
      </c>
      <c r="I1093" s="25" t="str">
        <f>IF(OR(E1093="",E1093="!!!",F1093="NEW"),"",INDEX(B1092:B$2,-1+SUMPRODUCT(MAX(ROW(E1092:E$2)*(E1093=E1092:E$2)))))</f>
        <v> </v>
      </c>
      <c r="J1093" s="25" t="str">
        <f>IF(OR(E1093="",E1093="!!!",F1093="NEW"),"",COUNTBLANK(OFFSET(A$1,,,SUMPRODUCT(MAX(ROW(E$2:E1093)*(E1093=E$2:E1093)))))-COUNTBLANK(OFFSET(A$1,,,SUMPRODUCT(MAX(ROW(E$1:E1092)*(E2=E$1:E1092))))))</f>
        <v> </v>
      </c>
      <c r="K1093" s="25" t="str">
        <f>IF(OR(E1093="",E1093="!!!",F1093="NEW"),"",INDEX(J$1:J1092,SUMPRODUCT(MAX(ROW(E$1:E1092)*(E1093=E$1:E1092)))))</f>
        <v> </v>
      </c>
      <c r="L1093" s="26"/>
    </row>
    <row r="1094" spans="1:12">
      <c r="A1094" s="20" t="s">
        <v>239</v>
      </c>
      <c r="B1094" s="27" t="s">
        <v>216</v>
      </c>
      <c r="C1094" s="27" t="s">
        <v>199</v>
      </c>
      <c r="D1094" s="27" t="s">
        <v>185</v>
      </c>
      <c r="E1094" s="21">
        <f>IF(D1094="?OLD","!!!","")</f>
        <v/>
      </c>
      <c r="F1094" s="22" t="str">
        <f>IF(OR(E1094="",E1094="!!!"),"",IF(NOT(ISNA(VLOOKUP(E1094,E$1:E1093,1,FALSE()))),"OLD",IF(AND(E1094&lt;&gt;"",E1094&lt;&gt;"!!!"),"NEW","")))</f>
        <v> </v>
      </c>
      <c r="G1094" s="23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4" t="str">
        <f>IF(J1094&lt;&gt;1,"",IF(I1094="SBJ","CB","?"))</f>
        <v> </v>
      </c>
      <c r="I1094" s="25" t="str">
        <f>IF(OR(E1094="",E1094="!!!",F1094="NEW"),"",INDEX(B1093:B$2,-1+SUMPRODUCT(MAX(ROW(E1093:E$2)*(E1094=E1093:E$2)))))</f>
        <v> </v>
      </c>
      <c r="J1094" s="25" t="str">
        <f>IF(OR(E1094="",E1094="!!!",F1094="NEW"),"",COUNTBLANK(OFFSET(A$1,,,SUMPRODUCT(MAX(ROW(E$2:E1094)*(E1094=E$2:E1094)))))-COUNTBLANK(OFFSET(A$1,,,SUMPRODUCT(MAX(ROW(E$1:E1093)*(E2=E$1:E1093))))))</f>
        <v> </v>
      </c>
      <c r="K1094" s="25" t="str">
        <f>IF(OR(E1094="",E1094="!!!",F1094="NEW"),"",INDEX(J$1:J1093,SUMPRODUCT(MAX(ROW(E$1:E1093)*(E1094=E$1:E1093)))))</f>
        <v> </v>
      </c>
      <c r="L1094" s="26"/>
    </row>
    <row r="1095" spans="1:12">
      <c r="A1095" s="20" t="s">
        <v>634</v>
      </c>
      <c r="E1095" s="21">
        <f>IF(D1095="?OLD","!!!","")</f>
        <v/>
      </c>
      <c r="F1095" s="22" t="str">
        <f>IF(OR(E1095="",E1095="!!!"),"",IF(NOT(ISNA(VLOOKUP(E1095,E$1:E1094,1,FALSE()))),"OLD",IF(AND(E1095&lt;&gt;"",E1095&lt;&gt;"!!!"),"NEW","")))</f>
        <v> </v>
      </c>
      <c r="G1095" s="23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4" t="str">
        <f>IF(J1095&lt;&gt;1,"",IF(I1095="SBJ","CB","?"))</f>
        <v> </v>
      </c>
      <c r="I1095" s="25" t="str">
        <f>IF(OR(E1095="",E1095="!!!",F1095="NEW"),"",INDEX(B1094:B$2,-1+SUMPRODUCT(MAX(ROW(E1094:E$2)*(E1095=E1094:E$2)))))</f>
        <v> </v>
      </c>
      <c r="J1095" s="25" t="str">
        <f>IF(OR(E1095="",E1095="!!!",F1095="NEW"),"",COUNTBLANK(OFFSET(A$1,,,SUMPRODUCT(MAX(ROW(E$2:E1095)*(E1095=E$2:E1095)))))-COUNTBLANK(OFFSET(A$1,,,SUMPRODUCT(MAX(ROW(E$1:E1094)*(E2=E$1:E1094))))))</f>
        <v> </v>
      </c>
      <c r="K1095" s="25" t="str">
        <f>IF(OR(E1095="",E1095="!!!",F1095="NEW"),"",INDEX(J$1:J1094,SUMPRODUCT(MAX(ROW(E$1:E1094)*(E1095=E$1:E1094)))))</f>
        <v> </v>
      </c>
      <c r="L1095" s="26"/>
    </row>
    <row r="1096" spans="1:12">
      <c r="A1096" s="20" t="s">
        <v>611</v>
      </c>
      <c r="E1096" s="21">
        <f>IF(D1096="?OLD","!!!","")</f>
        <v/>
      </c>
      <c r="F1096" s="22" t="str">
        <f>IF(OR(E1096="",E1096="!!!"),"",IF(NOT(ISNA(VLOOKUP(E1096,E$1:E1095,1,FALSE()))),"OLD",IF(AND(E1096&lt;&gt;"",E1096&lt;&gt;"!!!"),"NEW","")))</f>
        <v> </v>
      </c>
      <c r="G1096" s="23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24" t="str">
        <f>IF(J1096&lt;&gt;1,"",IF(I1096="SBJ","CB","?"))</f>
        <v> </v>
      </c>
      <c r="I1096" s="25" t="str">
        <f>IF(OR(E1096="",E1096="!!!",F1096="NEW"),"",INDEX(B1095:B$2,-1+SUMPRODUCT(MAX(ROW(E1095:E$2)*(E1096=E1095:E$2)))))</f>
        <v> </v>
      </c>
      <c r="J1096" s="25" t="str">
        <f>IF(OR(E1096="",E1096="!!!",F1096="NEW"),"",COUNTBLANK(OFFSET(A$1,,,SUMPRODUCT(MAX(ROW(E$2:E1096)*(E1096=E$2:E1096)))))-COUNTBLANK(OFFSET(A$1,,,SUMPRODUCT(MAX(ROW(E$1:E1095)*(E2=E$1:E1095))))))</f>
        <v> </v>
      </c>
      <c r="K1096" s="25" t="str">
        <f>IF(OR(E1096="",E1096="!!!",F1096="NEW"),"",INDEX(J$1:J1095,SUMPRODUCT(MAX(ROW(E$1:E1095)*(E1096=E$1:E1095)))))</f>
        <v> </v>
      </c>
      <c r="L1096" s="26"/>
    </row>
    <row r="1097" spans="1:12">
      <c r="A1097" s="20" t="s">
        <v>635</v>
      </c>
      <c r="E1097" s="21">
        <f>IF(D1097="?OLD","!!!","")</f>
        <v/>
      </c>
      <c r="F1097" s="22" t="str">
        <f>IF(OR(E1097="",E1097="!!!"),"",IF(NOT(ISNA(VLOOKUP(E1097,E$1:E1096,1,FALSE()))),"OLD",IF(AND(E1097&lt;&gt;"",E1097&lt;&gt;"!!!"),"NEW","")))</f>
        <v> </v>
      </c>
      <c r="G1097" s="23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4" t="str">
        <f>IF(J1097&lt;&gt;1,"",IF(I1097="SBJ","CB","?"))</f>
        <v> </v>
      </c>
      <c r="I1097" s="25" t="str">
        <f>IF(OR(E1097="",E1097="!!!",F1097="NEW"),"",INDEX(B1096:B$2,-1+SUMPRODUCT(MAX(ROW(E1096:E$2)*(E1097=E1096:E$2)))))</f>
        <v> </v>
      </c>
      <c r="J1097" s="25" t="str">
        <f>IF(OR(E1097="",E1097="!!!",F1097="NEW"),"",COUNTBLANK(OFFSET(A$1,,,SUMPRODUCT(MAX(ROW(E$2:E1097)*(E1097=E$2:E1097)))))-COUNTBLANK(OFFSET(A$1,,,SUMPRODUCT(MAX(ROW(E$1:E1096)*(E2=E$1:E1096))))))</f>
        <v> </v>
      </c>
      <c r="K1097" s="25" t="str">
        <f>IF(OR(E1097="",E1097="!!!",F1097="NEW"),"",INDEX(J$1:J1096,SUMPRODUCT(MAX(ROW(E$1:E1096)*(E1097=E$1:E1096)))))</f>
        <v> </v>
      </c>
      <c r="L1097" s="26"/>
    </row>
    <row r="1098" spans="1:12">
      <c r="A1098" s="20" t="s">
        <v>407</v>
      </c>
      <c r="E1098" s="21">
        <f>IF(D1098="?OLD","!!!","")</f>
        <v/>
      </c>
      <c r="F1098" s="22" t="str">
        <f>IF(OR(E1098="",E1098="!!!"),"",IF(NOT(ISNA(VLOOKUP(E1098,E$1:E1097,1,FALSE()))),"OLD",IF(AND(E1098&lt;&gt;"",E1098&lt;&gt;"!!!"),"NEW","")))</f>
        <v> </v>
      </c>
      <c r="G1098" s="23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4" t="str">
        <f>IF(J1098&lt;&gt;1,"",IF(I1098="SBJ","CB","?"))</f>
        <v> </v>
      </c>
      <c r="I1098" s="25" t="str">
        <f>IF(OR(E1098="",E1098="!!!",F1098="NEW"),"",INDEX(B1097:B$2,-1+SUMPRODUCT(MAX(ROW(E1097:E$2)*(E1098=E1097:E$2)))))</f>
        <v> </v>
      </c>
      <c r="J1098" s="25" t="str">
        <f>IF(OR(E1098="",E1098="!!!",F1098="NEW"),"",COUNTBLANK(OFFSET(A$1,,,SUMPRODUCT(MAX(ROW(E$2:E1098)*(E1098=E$2:E1098)))))-COUNTBLANK(OFFSET(A$1,,,SUMPRODUCT(MAX(ROW(E$1:E1097)*(E2=E$1:E1097))))))</f>
        <v> </v>
      </c>
      <c r="K1098" s="25" t="str">
        <f>IF(OR(E1098="",E1098="!!!",F1098="NEW"),"",INDEX(J$1:J1097,SUMPRODUCT(MAX(ROW(E$1:E1097)*(E1098=E$1:E1097)))))</f>
        <v> </v>
      </c>
      <c r="L1098" s="26"/>
    </row>
    <row r="1099" spans="1:12">
      <c r="A1099" s="20" t="s">
        <v>197</v>
      </c>
      <c r="E1099" s="21">
        <f>IF(D1099="?OLD","!!!","")</f>
        <v/>
      </c>
      <c r="F1099" s="22" t="str">
        <f>IF(OR(E1099="",E1099="!!!"),"",IF(NOT(ISNA(VLOOKUP(E1099,E$1:E1098,1,FALSE()))),"OLD",IF(AND(E1099&lt;&gt;"",E1099&lt;&gt;"!!!"),"NEW","")))</f>
        <v> </v>
      </c>
      <c r="G1099" s="23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24" t="str">
        <f>IF(J1099&lt;&gt;1,"",IF(I1099="SBJ","CB","?"))</f>
        <v> </v>
      </c>
      <c r="I1099" s="25" t="str">
        <f>IF(OR(E1099="",E1099="!!!",F1099="NEW"),"",INDEX(B1098:B$2,-1+SUMPRODUCT(MAX(ROW(E1098:E$2)*(E1099=E1098:E$2)))))</f>
        <v> </v>
      </c>
      <c r="J1099" s="25" t="str">
        <f>IF(OR(E1099="",E1099="!!!",F1099="NEW"),"",COUNTBLANK(OFFSET(A$1,,,SUMPRODUCT(MAX(ROW(E$2:E1099)*(E1099=E$2:E1099)))))-COUNTBLANK(OFFSET(A$1,,,SUMPRODUCT(MAX(ROW(E$1:E1098)*(E2=E$1:E1098))))))</f>
        <v> </v>
      </c>
      <c r="K1099" s="25" t="str">
        <f>IF(OR(E1099="",E1099="!!!",F1099="NEW"),"",INDEX(J$1:J1098,SUMPRODUCT(MAX(ROW(E$1:E1098)*(E1099=E$1:E1098)))))</f>
        <v> </v>
      </c>
      <c r="L1099" s="26"/>
    </row>
    <row r="1100" spans="1:12">
      <c r="A1100" s="20" t="s">
        <v>636</v>
      </c>
      <c r="B1100" s="27" t="s">
        <v>226</v>
      </c>
      <c r="C1100" s="27" t="s">
        <v>199</v>
      </c>
      <c r="D1100" s="27" t="s">
        <v>185</v>
      </c>
      <c r="E1100" s="21">
        <f>IF(D1100="?OLD","!!!","")</f>
        <v/>
      </c>
      <c r="F1100" s="22" t="str">
        <f>IF(OR(E1100="",E1100="!!!"),"",IF(NOT(ISNA(VLOOKUP(E1100,E$1:E1099,1,FALSE()))),"OLD",IF(AND(E1100&lt;&gt;"",E1100&lt;&gt;"!!!"),"NEW","")))</f>
        <v> </v>
      </c>
      <c r="G1100" s="23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24" t="str">
        <f>IF(J1100&lt;&gt;1,"",IF(I1100="SBJ","CB","?"))</f>
        <v> </v>
      </c>
      <c r="I1100" s="25" t="str">
        <f>IF(OR(E1100="",E1100="!!!",F1100="NEW"),"",INDEX(B1099:B$2,-1+SUMPRODUCT(MAX(ROW(E1099:E$2)*(E1100=E1099:E$2)))))</f>
        <v> </v>
      </c>
      <c r="J1100" s="25" t="str">
        <f>IF(OR(E1100="",E1100="!!!",F1100="NEW"),"",COUNTBLANK(OFFSET(A$1,,,SUMPRODUCT(MAX(ROW(E$2:E1100)*(E1100=E$2:E1100)))))-COUNTBLANK(OFFSET(A$1,,,SUMPRODUCT(MAX(ROW(E$1:E1099)*(E2=E$1:E1099))))))</f>
        <v> </v>
      </c>
      <c r="K1100" s="25" t="str">
        <f>IF(OR(E1100="",E1100="!!!",F1100="NEW"),"",INDEX(J$1:J1099,SUMPRODUCT(MAX(ROW(E$1:E1099)*(E1100=E$1:E1099)))))</f>
        <v> </v>
      </c>
      <c r="L1100" s="26"/>
    </row>
    <row r="1101" spans="1:12">
      <c r="A1101" s="20" t="s">
        <v>244</v>
      </c>
      <c r="E1101" s="21">
        <f>IF(D1101="?OLD","!!!","")</f>
        <v/>
      </c>
      <c r="F1101" s="22" t="str">
        <f>IF(OR(E1101="",E1101="!!!"),"",IF(NOT(ISNA(VLOOKUP(E1101,E$1:E1100,1,FALSE()))),"OLD",IF(AND(E1101&lt;&gt;"",E1101&lt;&gt;"!!!"),"NEW","")))</f>
        <v> </v>
      </c>
      <c r="G1101" s="23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24" t="str">
        <f>IF(J1101&lt;&gt;1,"",IF(I1101="SBJ","CB","?"))</f>
        <v> </v>
      </c>
      <c r="I1101" s="25" t="str">
        <f>IF(OR(E1101="",E1101="!!!",F1101="NEW"),"",INDEX(B1100:B$2,-1+SUMPRODUCT(MAX(ROW(E1100:E$2)*(E1101=E1100:E$2)))))</f>
        <v> </v>
      </c>
      <c r="J1101" s="25" t="str">
        <f>IF(OR(E1101="",E1101="!!!",F1101="NEW"),"",COUNTBLANK(OFFSET(A$1,,,SUMPRODUCT(MAX(ROW(E$2:E1101)*(E1101=E$2:E1101)))))-COUNTBLANK(OFFSET(A$1,,,SUMPRODUCT(MAX(ROW(E$1:E1100)*(E2=E$1:E1100))))))</f>
        <v> </v>
      </c>
      <c r="K1101" s="25" t="str">
        <f>IF(OR(E1101="",E1101="!!!",F1101="NEW"),"",INDEX(J$1:J1100,SUMPRODUCT(MAX(ROW(E$1:E1100)*(E1101=E$1:E1100)))))</f>
        <v> </v>
      </c>
      <c r="L1101" s="26"/>
    </row>
    <row r="1102" spans="1:12">
      <c r="A1102" s="20" t="s">
        <v>637</v>
      </c>
      <c r="E1102" s="21">
        <f>IF(D1102="?OLD","!!!","")</f>
        <v/>
      </c>
      <c r="F1102" s="22" t="str">
        <f>IF(OR(E1102="",E1102="!!!"),"",IF(NOT(ISNA(VLOOKUP(E1102,E$1:E1101,1,FALSE()))),"OLD",IF(AND(E1102&lt;&gt;"",E1102&lt;&gt;"!!!"),"NEW","")))</f>
        <v> </v>
      </c>
      <c r="G1102" s="23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4" t="str">
        <f>IF(J1102&lt;&gt;1,"",IF(I1102="SBJ","CB","?"))</f>
        <v> </v>
      </c>
      <c r="I1102" s="25" t="str">
        <f>IF(OR(E1102="",E1102="!!!",F1102="NEW"),"",INDEX(B1101:B$2,-1+SUMPRODUCT(MAX(ROW(E1101:E$2)*(E1102=E1101:E$2)))))</f>
        <v> </v>
      </c>
      <c r="J1102" s="25" t="str">
        <f>IF(OR(E1102="",E1102="!!!",F1102="NEW"),"",COUNTBLANK(OFFSET(A$1,,,SUMPRODUCT(MAX(ROW(E$2:E1102)*(E1102=E$2:E1102)))))-COUNTBLANK(OFFSET(A$1,,,SUMPRODUCT(MAX(ROW(E$1:E1101)*(E2=E$1:E1101))))))</f>
        <v> </v>
      </c>
      <c r="K1102" s="25" t="str">
        <f>IF(OR(E1102="",E1102="!!!",F1102="NEW"),"",INDEX(J$1:J1101,SUMPRODUCT(MAX(ROW(E$1:E1101)*(E1102=E$1:E1101)))))</f>
        <v> </v>
      </c>
      <c r="L1102" s="26"/>
    </row>
    <row r="1103" spans="1:12">
      <c r="A1103" s="20" t="s">
        <v>333</v>
      </c>
      <c r="E1103" s="21">
        <f>IF(D1103="?OLD","!!!","")</f>
        <v/>
      </c>
      <c r="F1103" s="22" t="str">
        <f>IF(OR(E1103="",E1103="!!!"),"",IF(NOT(ISNA(VLOOKUP(E1103,E$1:E1102,1,FALSE()))),"OLD",IF(AND(E1103&lt;&gt;"",E1103&lt;&gt;"!!!"),"NEW","")))</f>
        <v> </v>
      </c>
      <c r="G1103" s="23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4" t="str">
        <f>IF(J1103&lt;&gt;1,"",IF(I1103="SBJ","CB","?"))</f>
        <v> </v>
      </c>
      <c r="I1103" s="25" t="str">
        <f>IF(OR(E1103="",E1103="!!!",F1103="NEW"),"",INDEX(B1102:B$2,-1+SUMPRODUCT(MAX(ROW(E1102:E$2)*(E1103=E1102:E$2)))))</f>
        <v> </v>
      </c>
      <c r="J1103" s="25" t="str">
        <f>IF(OR(E1103="",E1103="!!!",F1103="NEW"),"",COUNTBLANK(OFFSET(A$1,,,SUMPRODUCT(MAX(ROW(E$2:E1103)*(E1103=E$2:E1103)))))-COUNTBLANK(OFFSET(A$1,,,SUMPRODUCT(MAX(ROW(E$1:E1102)*(E2=E$1:E1102))))))</f>
        <v> </v>
      </c>
      <c r="K1103" s="25" t="str">
        <f>IF(OR(E1103="",E1103="!!!",F1103="NEW"),"",INDEX(J$1:J1102,SUMPRODUCT(MAX(ROW(E$1:E1102)*(E1103=E$1:E1102)))))</f>
        <v> </v>
      </c>
      <c r="L1103" s="26"/>
    </row>
    <row r="1104" spans="1:12">
      <c r="A1104" s="20" t="s">
        <v>407</v>
      </c>
      <c r="E1104" s="21">
        <f>IF(D1104="?OLD","!!!","")</f>
        <v/>
      </c>
      <c r="F1104" s="22" t="str">
        <f>IF(OR(E1104="",E1104="!!!"),"",IF(NOT(ISNA(VLOOKUP(E1104,E$1:E1103,1,FALSE()))),"OLD",IF(AND(E1104&lt;&gt;"",E1104&lt;&gt;"!!!"),"NEW","")))</f>
        <v> </v>
      </c>
      <c r="G1104" s="23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 </v>
      </c>
      <c r="H1104" s="24" t="str">
        <f>IF(J1104&lt;&gt;1,"",IF(I1104="SBJ","CB","?"))</f>
        <v> </v>
      </c>
      <c r="I1104" s="25" t="str">
        <f>IF(OR(E1104="",E1104="!!!",F1104="NEW"),"",INDEX(B1103:B$2,-1+SUMPRODUCT(MAX(ROW(E1103:E$2)*(E1104=E1103:E$2)))))</f>
        <v> </v>
      </c>
      <c r="J1104" s="25" t="str">
        <f>IF(OR(E1104="",E1104="!!!",F1104="NEW"),"",COUNTBLANK(OFFSET(A$1,,,SUMPRODUCT(MAX(ROW(E$2:E1104)*(E1104=E$2:E1104)))))-COUNTBLANK(OFFSET(A$1,,,SUMPRODUCT(MAX(ROW(E$1:E1103)*(E2=E$1:E1103))))))</f>
        <v> </v>
      </c>
      <c r="K1104" s="25" t="str">
        <f>IF(OR(E1104="",E1104="!!!",F1104="NEW"),"",INDEX(J$1:J1103,SUMPRODUCT(MAX(ROW(E$1:E1103)*(E1104=E$1:E1103)))))</f>
        <v> </v>
      </c>
      <c r="L1104" s="26"/>
    </row>
    <row r="1105" spans="1:12">
      <c r="A1105" s="20" t="s">
        <v>284</v>
      </c>
      <c r="E1105" s="21">
        <f>IF(D1105="?OLD","!!!","")</f>
        <v/>
      </c>
      <c r="F1105" s="22" t="str">
        <f>IF(OR(E1105="",E1105="!!!"),"",IF(NOT(ISNA(VLOOKUP(E1105,E$1:E1104,1,FALSE()))),"OLD",IF(AND(E1105&lt;&gt;"",E1105&lt;&gt;"!!!"),"NEW","")))</f>
        <v> </v>
      </c>
      <c r="G1105" s="23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> </v>
      </c>
      <c r="H1105" s="24" t="str">
        <f>IF(J1105&lt;&gt;1,"",IF(I1105="SBJ","CB","?"))</f>
        <v> </v>
      </c>
      <c r="I1105" s="25" t="str">
        <f>IF(OR(E1105="",E1105="!!!",F1105="NEW"),"",INDEX(B1104:B$2,-1+SUMPRODUCT(MAX(ROW(E1104:E$2)*(E1105=E1104:E$2)))))</f>
        <v> </v>
      </c>
      <c r="J1105" s="25" t="str">
        <f>IF(OR(E1105="",E1105="!!!",F1105="NEW"),"",COUNTBLANK(OFFSET(A$1,,,SUMPRODUCT(MAX(ROW(E$2:E1105)*(E1105=E$2:E1105)))))-COUNTBLANK(OFFSET(A$1,,,SUMPRODUCT(MAX(ROW(E$1:E1104)*(E2=E$1:E1104))))))</f>
        <v> </v>
      </c>
      <c r="K1105" s="25" t="str">
        <f>IF(OR(E1105="",E1105="!!!",F1105="NEW"),"",INDEX(J$1:J1104,SUMPRODUCT(MAX(ROW(E$1:E1104)*(E1105=E$1:E1104)))))</f>
        <v> </v>
      </c>
      <c r="L1105" s="26"/>
    </row>
    <row r="1106" spans="1:12">
      <c r="A1106" s="20" t="s">
        <v>638</v>
      </c>
      <c r="B1106" s="27" t="s">
        <v>183</v>
      </c>
      <c r="C1106" s="27" t="s">
        <v>199</v>
      </c>
      <c r="D1106" s="27" t="s">
        <v>185</v>
      </c>
      <c r="E1106" s="21">
        <f>IF(D1106="?OLD","!!!","")</f>
        <v/>
      </c>
      <c r="F1106" s="22" t="str">
        <f>IF(OR(E1106="",E1106="!!!"),"",IF(NOT(ISNA(VLOOKUP(E1106,E$1:E1105,1,FALSE()))),"OLD",IF(AND(E1106&lt;&gt;"",E1106&lt;&gt;"!!!"),"NEW","")))</f>
        <v> </v>
      </c>
      <c r="G1106" s="23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24" t="str">
        <f>IF(J1106&lt;&gt;1,"",IF(I1106="SBJ","CB","?"))</f>
        <v> </v>
      </c>
      <c r="I1106" s="25" t="str">
        <f>IF(OR(E1106="",E1106="!!!",F1106="NEW"),"",INDEX(B1105:B$2,-1+SUMPRODUCT(MAX(ROW(E1105:E$2)*(E1106=E1105:E$2)))))</f>
        <v> </v>
      </c>
      <c r="J1106" s="25" t="str">
        <f>IF(OR(E1106="",E1106="!!!",F1106="NEW"),"",COUNTBLANK(OFFSET(A$1,,,SUMPRODUCT(MAX(ROW(E$2:E1106)*(E1106=E$2:E1106)))))-COUNTBLANK(OFFSET(A$1,,,SUMPRODUCT(MAX(ROW(E$1:E1105)*(E2=E$1:E1105))))))</f>
        <v> </v>
      </c>
      <c r="K1106" s="25" t="str">
        <f>IF(OR(E1106="",E1106="!!!",F1106="NEW"),"",INDEX(J$1:J1105,SUMPRODUCT(MAX(ROW(E$1:E1105)*(E1106=E$1:E1105)))))</f>
        <v> </v>
      </c>
      <c r="L1106" s="26"/>
    </row>
    <row r="1107" spans="1:12">
      <c r="A1107" s="20" t="s">
        <v>250</v>
      </c>
      <c r="B1107" s="27" t="s">
        <v>188</v>
      </c>
      <c r="C1107" s="27" t="s">
        <v>249</v>
      </c>
      <c r="D1107" s="27" t="s">
        <v>185</v>
      </c>
      <c r="E1107" s="21">
        <f>IF(D1107="?OLD","!!!","")</f>
        <v/>
      </c>
      <c r="F1107" s="22" t="str">
        <f>IF(OR(E1107="",E1107="!!!"),"",IF(NOT(ISNA(VLOOKUP(E1107,E$1:E1106,1,FALSE()))),"OLD",IF(AND(E1107&lt;&gt;"",E1107&lt;&gt;"!!!"),"NEW","")))</f>
        <v> </v>
      </c>
      <c r="G1107" s="23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24" t="str">
        <f>IF(J1107&lt;&gt;1,"",IF(I1107="SBJ","CB","?"))</f>
        <v> </v>
      </c>
      <c r="I1107" s="25" t="str">
        <f>IF(OR(E1107="",E1107="!!!",F1107="NEW"),"",INDEX(B1106:B$2,-1+SUMPRODUCT(MAX(ROW(E1106:E$2)*(E1107=E1106:E$2)))))</f>
        <v> </v>
      </c>
      <c r="J1107" s="25" t="str">
        <f>IF(OR(E1107="",E1107="!!!",F1107="NEW"),"",COUNTBLANK(OFFSET(A$1,,,SUMPRODUCT(MAX(ROW(E$2:E1107)*(E1107=E$2:E1107)))))-COUNTBLANK(OFFSET(A$1,,,SUMPRODUCT(MAX(ROW(E$1:E1106)*(E2=E$1:E1106))))))</f>
        <v> </v>
      </c>
      <c r="K1107" s="25" t="str">
        <f>IF(OR(E1107="",E1107="!!!",F1107="NEW"),"",INDEX(J$1:J1106,SUMPRODUCT(MAX(ROW(E$1:E1106)*(E1107=E$1:E1106)))))</f>
        <v> </v>
      </c>
      <c r="L1107" s="26"/>
    </row>
    <row r="1108" spans="1:12">
      <c r="A1108" s="20" t="s">
        <v>197</v>
      </c>
      <c r="E1108" s="21">
        <f>IF(D1108="?OLD","!!!","")</f>
        <v/>
      </c>
      <c r="F1108" s="22" t="str">
        <f>IF(OR(E1108="",E1108="!!!"),"",IF(NOT(ISNA(VLOOKUP(E1108,E$1:E1107,1,FALSE()))),"OLD",IF(AND(E1108&lt;&gt;"",E1108&lt;&gt;"!!!"),"NEW","")))</f>
        <v> </v>
      </c>
      <c r="G1108" s="23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24" t="str">
        <f>IF(J1108&lt;&gt;1,"",IF(I1108="SBJ","CB","?"))</f>
        <v> </v>
      </c>
      <c r="I1108" s="25" t="str">
        <f>IF(OR(E1108="",E1108="!!!",F1108="NEW"),"",INDEX(B1107:B$2,-1+SUMPRODUCT(MAX(ROW(E1107:E$2)*(E1108=E1107:E$2)))))</f>
        <v> </v>
      </c>
      <c r="J1108" s="25" t="str">
        <f>IF(OR(E1108="",E1108="!!!",F1108="NEW"),"",COUNTBLANK(OFFSET(A$1,,,SUMPRODUCT(MAX(ROW(E$2:E1108)*(E1108=E$2:E1108)))))-COUNTBLANK(OFFSET(A$1,,,SUMPRODUCT(MAX(ROW(E$1:E1107)*(E2=E$1:E1107))))))</f>
        <v> </v>
      </c>
      <c r="K1108" s="25" t="str">
        <f>IF(OR(E1108="",E1108="!!!",F1108="NEW"),"",INDEX(J$1:J1107,SUMPRODUCT(MAX(ROW(E$1:E1107)*(E1108=E$1:E1107)))))</f>
        <v> </v>
      </c>
      <c r="L1108" s="26"/>
    </row>
    <row r="1109" spans="1:12">
      <c r="A1109" s="20" t="s">
        <v>526</v>
      </c>
      <c r="B1109" s="27" t="s">
        <v>193</v>
      </c>
      <c r="C1109" s="27" t="s">
        <v>184</v>
      </c>
      <c r="D1109" s="27" t="s">
        <v>185</v>
      </c>
      <c r="E1109" s="21">
        <f>IF(D1109="?OLD","!!!","")</f>
        <v/>
      </c>
      <c r="F1109" s="22" t="str">
        <f>IF(OR(E1109="",E1109="!!!"),"",IF(NOT(ISNA(VLOOKUP(E1109,E$1:E1108,1,FALSE()))),"OLD",IF(AND(E1109&lt;&gt;"",E1109&lt;&gt;"!!!"),"NEW","")))</f>
        <v> </v>
      </c>
      <c r="G1109" s="23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4" t="str">
        <f>IF(J1109&lt;&gt;1,"",IF(I1109="SBJ","CB","?"))</f>
        <v> </v>
      </c>
      <c r="I1109" s="25" t="str">
        <f>IF(OR(E1109="",E1109="!!!",F1109="NEW"),"",INDEX(B1108:B$2,-1+SUMPRODUCT(MAX(ROW(E1108:E$2)*(E1109=E1108:E$2)))))</f>
        <v> </v>
      </c>
      <c r="J1109" s="25" t="str">
        <f>IF(OR(E1109="",E1109="!!!",F1109="NEW"),"",COUNTBLANK(OFFSET(A$1,,,SUMPRODUCT(MAX(ROW(E$2:E1109)*(E1109=E$2:E1109)))))-COUNTBLANK(OFFSET(A$1,,,SUMPRODUCT(MAX(ROW(E$1:E1108)*(E2=E$1:E1108))))))</f>
        <v> </v>
      </c>
      <c r="K1109" s="25" t="str">
        <f>IF(OR(E1109="",E1109="!!!",F1109="NEW"),"",INDEX(J$1:J1108,SUMPRODUCT(MAX(ROW(E$1:E1108)*(E1109=E$1:E1108)))))</f>
        <v> </v>
      </c>
      <c r="L1109" s="26"/>
    </row>
    <row r="1110" spans="1:12">
      <c r="A1110" s="20" t="s">
        <v>231</v>
      </c>
      <c r="E1110" s="21">
        <f>IF(D1110="?OLD","!!!","")</f>
        <v/>
      </c>
      <c r="F1110" s="22" t="str">
        <f>IF(OR(E1110="",E1110="!!!"),"",IF(NOT(ISNA(VLOOKUP(E1110,E$1:E1109,1,FALSE()))),"OLD",IF(AND(E1110&lt;&gt;"",E1110&lt;&gt;"!!!"),"NEW","")))</f>
        <v> </v>
      </c>
      <c r="G1110" s="23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24" t="str">
        <f>IF(J1110&lt;&gt;1,"",IF(I1110="SBJ","CB","?"))</f>
        <v> </v>
      </c>
      <c r="I1110" s="25" t="str">
        <f>IF(OR(E1110="",E1110="!!!",F1110="NEW"),"",INDEX(B1109:B$2,-1+SUMPRODUCT(MAX(ROW(E1109:E$2)*(E1110=E1109:E$2)))))</f>
        <v> </v>
      </c>
      <c r="J1110" s="25" t="str">
        <f>IF(OR(E1110="",E1110="!!!",F1110="NEW"),"",COUNTBLANK(OFFSET(A$1,,,SUMPRODUCT(MAX(ROW(E$2:E1110)*(E1110=E$2:E1110)))))-COUNTBLANK(OFFSET(A$1,,,SUMPRODUCT(MAX(ROW(E$1:E1109)*(E2=E$1:E1109))))))</f>
        <v> </v>
      </c>
      <c r="K1110" s="25" t="str">
        <f>IF(OR(E1110="",E1110="!!!",F1110="NEW"),"",INDEX(J$1:J1109,SUMPRODUCT(MAX(ROW(E$1:E1109)*(E1110=E$1:E1109)))))</f>
        <v> </v>
      </c>
      <c r="L1110" s="26"/>
    </row>
    <row r="1111" spans="1:12">
      <c r="A1111" s="20"/>
    </row>
    <row r="1112" spans="1:12">
      <c r="A1112" s="20" t="s">
        <v>639</v>
      </c>
    </row>
    <row r="1113" spans="1:12">
      <c r="A1113" s="20" t="s">
        <v>606</v>
      </c>
      <c r="E1113" s="21">
        <f>IF(D1113="?OLD","!!!","")</f>
        <v/>
      </c>
      <c r="F1113" s="22" t="str">
        <f>IF(OR(E1113="",E1113="!!!"),"",IF(NOT(ISNA(VLOOKUP(E1113,E$1:E1112,1,FALSE()))),"OLD",IF(AND(E1113&lt;&gt;"",E1113&lt;&gt;"!!!"),"NEW","")))</f>
        <v> </v>
      </c>
      <c r="G1113" s="23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4" t="str">
        <f>IF(J1113&lt;&gt;1,"",IF(I1113="SBJ","CB","?"))</f>
        <v> </v>
      </c>
      <c r="I1113" s="25" t="str">
        <f>IF(OR(E1113="",E1113="!!!",F1113="NEW"),"",INDEX(B1112:B$2,-1+SUMPRODUCT(MAX(ROW(E1112:E$2)*(E1113=E1112:E$2)))))</f>
        <v> </v>
      </c>
      <c r="J1113" s="25" t="str">
        <f>IF(OR(E1113="",E1113="!!!",F1113="NEW"),"",COUNTBLANK(OFFSET(A$1,,,SUMPRODUCT(MAX(ROW(E$2:E1113)*(E1113=E$2:E1113)))))-COUNTBLANK(OFFSET(A$1,,,SUMPRODUCT(MAX(ROW(E$1:E1112)*(E2=E$1:E1112))))))</f>
        <v> </v>
      </c>
      <c r="K1113" s="25" t="str">
        <f>IF(OR(E1113="",E1113="!!!",F1113="NEW"),"",INDEX(J$1:J1112,SUMPRODUCT(MAX(ROW(E$1:E1112)*(E1113=E$1:E1112)))))</f>
        <v> </v>
      </c>
      <c r="L1113" s="26"/>
    </row>
    <row r="1114" spans="1:12">
      <c r="A1114" s="20" t="s">
        <v>640</v>
      </c>
      <c r="E1114" s="21">
        <f>IF(D1114="?OLD","!!!","")</f>
        <v/>
      </c>
      <c r="F1114" s="22" t="str">
        <f>IF(OR(E1114="",E1114="!!!"),"",IF(NOT(ISNA(VLOOKUP(E1114,E$1:E1113,1,FALSE()))),"OLD",IF(AND(E1114&lt;&gt;"",E1114&lt;&gt;"!!!"),"NEW","")))</f>
        <v> </v>
      </c>
      <c r="G1114" s="23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24" t="str">
        <f>IF(J1114&lt;&gt;1,"",IF(I1114="SBJ","CB","?"))</f>
        <v> </v>
      </c>
      <c r="I1114" s="25" t="str">
        <f>IF(OR(E1114="",E1114="!!!",F1114="NEW"),"",INDEX(B1113:B$2,-1+SUMPRODUCT(MAX(ROW(E1113:E$2)*(E1114=E1113:E$2)))))</f>
        <v> </v>
      </c>
      <c r="J1114" s="25" t="str">
        <f>IF(OR(E1114="",E1114="!!!",F1114="NEW"),"",COUNTBLANK(OFFSET(A$1,,,SUMPRODUCT(MAX(ROW(E$2:E1114)*(E1114=E$2:E1114)))))-COUNTBLANK(OFFSET(A$1,,,SUMPRODUCT(MAX(ROW(E$1:E1113)*(E2=E$1:E1113))))))</f>
        <v> </v>
      </c>
      <c r="K1114" s="25" t="str">
        <f>IF(OR(E1114="",E1114="!!!",F1114="NEW"),"",INDEX(J$1:J1113,SUMPRODUCT(MAX(ROW(E$1:E1113)*(E1114=E$1:E1113)))))</f>
        <v> </v>
      </c>
      <c r="L1114" s="26"/>
    </row>
    <row r="1115" spans="1:12">
      <c r="A1115" s="20" t="s">
        <v>641</v>
      </c>
      <c r="E1115" s="21">
        <f>IF(D1115="?OLD","!!!","")</f>
        <v/>
      </c>
      <c r="F1115" s="22" t="str">
        <f>IF(OR(E1115="",E1115="!!!"),"",IF(NOT(ISNA(VLOOKUP(E1115,E$1:E1114,1,FALSE()))),"OLD",IF(AND(E1115&lt;&gt;"",E1115&lt;&gt;"!!!"),"NEW","")))</f>
        <v> </v>
      </c>
      <c r="G1115" s="23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> </v>
      </c>
      <c r="H1115" s="24" t="str">
        <f>IF(J1115&lt;&gt;1,"",IF(I1115="SBJ","CB","?"))</f>
        <v> </v>
      </c>
      <c r="I1115" s="25" t="str">
        <f>IF(OR(E1115="",E1115="!!!",F1115="NEW"),"",INDEX(B1114:B$2,-1+SUMPRODUCT(MAX(ROW(E1114:E$2)*(E1115=E1114:E$2)))))</f>
        <v> </v>
      </c>
      <c r="J1115" s="25" t="str">
        <f>IF(OR(E1115="",E1115="!!!",F1115="NEW"),"",COUNTBLANK(OFFSET(A$1,,,SUMPRODUCT(MAX(ROW(E$2:E1115)*(E1115=E$2:E1115)))))-COUNTBLANK(OFFSET(A$1,,,SUMPRODUCT(MAX(ROW(E$1:E1114)*(E2=E$1:E1114))))))</f>
        <v> </v>
      </c>
      <c r="K1115" s="25" t="str">
        <f>IF(OR(E1115="",E1115="!!!",F1115="NEW"),"",INDEX(J$1:J1114,SUMPRODUCT(MAX(ROW(E$1:E1114)*(E1115=E$1:E1114)))))</f>
        <v> </v>
      </c>
      <c r="L1115" s="26"/>
    </row>
    <row r="1116" spans="1:12">
      <c r="A1116" s="20" t="s">
        <v>197</v>
      </c>
      <c r="E1116" s="21">
        <f>IF(D1116="?OLD","!!!","")</f>
        <v/>
      </c>
      <c r="F1116" s="22" t="str">
        <f>IF(OR(E1116="",E1116="!!!"),"",IF(NOT(ISNA(VLOOKUP(E1116,E$1:E1115,1,FALSE()))),"OLD",IF(AND(E1116&lt;&gt;"",E1116&lt;&gt;"!!!"),"NEW","")))</f>
        <v> </v>
      </c>
      <c r="G1116" s="23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24" t="str">
        <f>IF(J1116&lt;&gt;1,"",IF(I1116="SBJ","CB","?"))</f>
        <v> </v>
      </c>
      <c r="I1116" s="25" t="str">
        <f>IF(OR(E1116="",E1116="!!!",F1116="NEW"),"",INDEX(B1115:B$2,-1+SUMPRODUCT(MAX(ROW(E1115:E$2)*(E1116=E1115:E$2)))))</f>
        <v> </v>
      </c>
      <c r="J1116" s="25" t="str">
        <f>IF(OR(E1116="",E1116="!!!",F1116="NEW"),"",COUNTBLANK(OFFSET(A$1,,,SUMPRODUCT(MAX(ROW(E$2:E1116)*(E1116=E$2:E1116)))))-COUNTBLANK(OFFSET(A$1,,,SUMPRODUCT(MAX(ROW(E$1:E1115)*(E2=E$1:E1115))))))</f>
        <v> </v>
      </c>
      <c r="K1116" s="25" t="str">
        <f>IF(OR(E1116="",E1116="!!!",F1116="NEW"),"",INDEX(J$1:J1115,SUMPRODUCT(MAX(ROW(E$1:E1115)*(E1116=E$1:E1115)))))</f>
        <v> </v>
      </c>
      <c r="L1116" s="26"/>
    </row>
    <row r="1117" spans="1:12">
      <c r="A1117" s="20" t="s">
        <v>526</v>
      </c>
      <c r="B1117" s="27" t="s">
        <v>223</v>
      </c>
      <c r="C1117" s="27" t="s">
        <v>199</v>
      </c>
      <c r="D1117" s="27" t="s">
        <v>185</v>
      </c>
      <c r="E1117" s="21">
        <f>IF(D1117="?OLD","!!!","")</f>
        <v/>
      </c>
      <c r="F1117" s="22" t="str">
        <f>IF(OR(E1117="",E1117="!!!"),"",IF(NOT(ISNA(VLOOKUP(E1117,E$1:E1116,1,FALSE()))),"OLD",IF(AND(E1117&lt;&gt;"",E1117&lt;&gt;"!!!"),"NEW","")))</f>
        <v> </v>
      </c>
      <c r="G1117" s="23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4" t="str">
        <f>IF(J1117&lt;&gt;1,"",IF(I1117="SBJ","CB","?"))</f>
        <v> </v>
      </c>
      <c r="I1117" s="25" t="str">
        <f>IF(OR(E1117="",E1117="!!!",F1117="NEW"),"",INDEX(B1116:B$2,-1+SUMPRODUCT(MAX(ROW(E1116:E$2)*(E1117=E1116:E$2)))))</f>
        <v> </v>
      </c>
      <c r="J1117" s="25" t="str">
        <f>IF(OR(E1117="",E1117="!!!",F1117="NEW"),"",COUNTBLANK(OFFSET(A$1,,,SUMPRODUCT(MAX(ROW(E$2:E1117)*(E1117=E$2:E1117)))))-COUNTBLANK(OFFSET(A$1,,,SUMPRODUCT(MAX(ROW(E$1:E1116)*(E2=E$1:E1116))))))</f>
        <v> </v>
      </c>
      <c r="K1117" s="25" t="str">
        <f>IF(OR(E1117="",E1117="!!!",F1117="NEW"),"",INDEX(J$1:J1116,SUMPRODUCT(MAX(ROW(E$1:E1116)*(E1117=E$1:E1116)))))</f>
        <v> </v>
      </c>
      <c r="L1117" s="26"/>
    </row>
    <row r="1118" spans="1:12">
      <c r="A1118" s="20" t="s">
        <v>227</v>
      </c>
      <c r="E1118" s="21">
        <f>IF(D1118="?OLD","!!!","")</f>
        <v/>
      </c>
      <c r="F1118" s="22" t="str">
        <f>IF(OR(E1118="",E1118="!!!"),"",IF(NOT(ISNA(VLOOKUP(E1118,E$1:E1117,1,FALSE()))),"OLD",IF(AND(E1118&lt;&gt;"",E1118&lt;&gt;"!!!"),"NEW","")))</f>
        <v> </v>
      </c>
      <c r="G1118" s="23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4" t="str">
        <f>IF(J1118&lt;&gt;1,"",IF(I1118="SBJ","CB","?"))</f>
        <v> </v>
      </c>
      <c r="I1118" s="25" t="str">
        <f>IF(OR(E1118="",E1118="!!!",F1118="NEW"),"",INDEX(B1117:B$2,-1+SUMPRODUCT(MAX(ROW(E1117:E$2)*(E1118=E1117:E$2)))))</f>
        <v> </v>
      </c>
      <c r="J1118" s="25" t="str">
        <f>IF(OR(E1118="",E1118="!!!",F1118="NEW"),"",COUNTBLANK(OFFSET(A$1,,,SUMPRODUCT(MAX(ROW(E$2:E1118)*(E1118=E$2:E1118)))))-COUNTBLANK(OFFSET(A$1,,,SUMPRODUCT(MAX(ROW(E$1:E1117)*(E2=E$1:E1117))))))</f>
        <v> </v>
      </c>
      <c r="K1118" s="25" t="str">
        <f>IF(OR(E1118="",E1118="!!!",F1118="NEW"),"",INDEX(J$1:J1117,SUMPRODUCT(MAX(ROW(E$1:E1117)*(E1118=E$1:E1117)))))</f>
        <v> </v>
      </c>
      <c r="L1118" s="26"/>
    </row>
    <row r="1119" spans="1:12">
      <c r="A1119" s="20" t="s">
        <v>225</v>
      </c>
      <c r="B1119" s="27" t="s">
        <v>183</v>
      </c>
      <c r="C1119" s="27" t="s">
        <v>189</v>
      </c>
      <c r="E1119" s="21">
        <f>IF(D1119="?OLD","!!!","")</f>
        <v/>
      </c>
      <c r="F1119" s="22" t="str">
        <f>IF(OR(E1119="",E1119="!!!"),"",IF(NOT(ISNA(VLOOKUP(E1119,E$1:E1118,1,FALSE()))),"OLD",IF(AND(E1119&lt;&gt;"",E1119&lt;&gt;"!!!"),"NEW","")))</f>
        <v> </v>
      </c>
      <c r="G1119" s="23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4" t="str">
        <f>IF(J1119&lt;&gt;1,"",IF(I1119="SBJ","CB","?"))</f>
        <v> </v>
      </c>
      <c r="I1119" s="25" t="str">
        <f>IF(OR(E1119="",E1119="!!!",F1119="NEW"),"",INDEX(B1118:B$2,-1+SUMPRODUCT(MAX(ROW(E1118:E$2)*(E1119=E1118:E$2)))))</f>
        <v> </v>
      </c>
      <c r="J1119" s="25" t="str">
        <f>IF(OR(E1119="",E1119="!!!",F1119="NEW"),"",COUNTBLANK(OFFSET(A$1,,,SUMPRODUCT(MAX(ROW(E$2:E1119)*(E1119=E$2:E1119)))))-COUNTBLANK(OFFSET(A$1,,,SUMPRODUCT(MAX(ROW(E$1:E1118)*(E2=E$1:E1118))))))</f>
        <v> </v>
      </c>
      <c r="K1119" s="25" t="str">
        <f>IF(OR(E1119="",E1119="!!!",F1119="NEW"),"",INDEX(J$1:J1118,SUMPRODUCT(MAX(ROW(E$1:E1118)*(E1119=E$1:E1118)))))</f>
        <v> </v>
      </c>
      <c r="L1119" s="26"/>
    </row>
    <row r="1120" spans="1:12">
      <c r="A1120" s="20" t="s">
        <v>186</v>
      </c>
      <c r="E1120" s="21">
        <f>IF(D1120="?OLD","!!!","")</f>
        <v/>
      </c>
      <c r="F1120" s="22" t="str">
        <f>IF(OR(E1120="",E1120="!!!"),"",IF(NOT(ISNA(VLOOKUP(E1120,E$1:E1119,1,FALSE()))),"OLD",IF(AND(E1120&lt;&gt;"",E1120&lt;&gt;"!!!"),"NEW","")))</f>
        <v> </v>
      </c>
      <c r="G1120" s="23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24" t="str">
        <f>IF(J1120&lt;&gt;1,"",IF(I1120="SBJ","CB","?"))</f>
        <v> </v>
      </c>
      <c r="I1120" s="25" t="str">
        <f>IF(OR(E1120="",E1120="!!!",F1120="NEW"),"",INDEX(B1119:B$2,-1+SUMPRODUCT(MAX(ROW(E1119:E$2)*(E1120=E1119:E$2)))))</f>
        <v> </v>
      </c>
      <c r="J1120" s="25" t="str">
        <f>IF(OR(E1120="",E1120="!!!",F1120="NEW"),"",COUNTBLANK(OFFSET(A$1,,,SUMPRODUCT(MAX(ROW(E$2:E1120)*(E1120=E$2:E1120)))))-COUNTBLANK(OFFSET(A$1,,,SUMPRODUCT(MAX(ROW(E$1:E1119)*(E2=E$1:E1119))))))</f>
        <v> </v>
      </c>
      <c r="K1120" s="25" t="str">
        <f>IF(OR(E1120="",E1120="!!!",F1120="NEW"),"",INDEX(J$1:J1119,SUMPRODUCT(MAX(ROW(E$1:E1119)*(E1120=E$1:E1119)))))</f>
        <v> </v>
      </c>
      <c r="L1120" s="26"/>
    </row>
    <row r="1121" spans="1:12">
      <c r="A1121" s="20" t="s">
        <v>642</v>
      </c>
      <c r="E1121" s="21">
        <f>IF(D1121="?OLD","!!!","")</f>
        <v/>
      </c>
      <c r="F1121" s="22" t="str">
        <f>IF(OR(E1121="",E1121="!!!"),"",IF(NOT(ISNA(VLOOKUP(E1121,E$1:E1120,1,FALSE()))),"OLD",IF(AND(E1121&lt;&gt;"",E1121&lt;&gt;"!!!"),"NEW","")))</f>
        <v> </v>
      </c>
      <c r="G1121" s="23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4" t="str">
        <f>IF(J1121&lt;&gt;1,"",IF(I1121="SBJ","CB","?"))</f>
        <v> </v>
      </c>
      <c r="I1121" s="25" t="str">
        <f>IF(OR(E1121="",E1121="!!!",F1121="NEW"),"",INDEX(B1120:B$2,-1+SUMPRODUCT(MAX(ROW(E1120:E$2)*(E1121=E1120:E$2)))))</f>
        <v> </v>
      </c>
      <c r="J1121" s="25" t="str">
        <f>IF(OR(E1121="",E1121="!!!",F1121="NEW"),"",COUNTBLANK(OFFSET(A$1,,,SUMPRODUCT(MAX(ROW(E$2:E1121)*(E1121=E$2:E1121)))))-COUNTBLANK(OFFSET(A$1,,,SUMPRODUCT(MAX(ROW(E$1:E1120)*(E2=E$1:E1120))))))</f>
        <v> </v>
      </c>
      <c r="K1121" s="25" t="str">
        <f>IF(OR(E1121="",E1121="!!!",F1121="NEW"),"",INDEX(J$1:J1120,SUMPRODUCT(MAX(ROW(E$1:E1120)*(E1121=E$1:E1120)))))</f>
        <v> </v>
      </c>
      <c r="L1121" s="26"/>
    </row>
    <row r="1122" spans="1:12">
      <c r="A1122" s="20" t="s">
        <v>643</v>
      </c>
      <c r="E1122" s="21">
        <f>IF(D1122="?OLD","!!!","")</f>
        <v/>
      </c>
      <c r="F1122" s="22" t="str">
        <f>IF(OR(E1122="",E1122="!!!"),"",IF(NOT(ISNA(VLOOKUP(E1122,E$1:E1121,1,FALSE()))),"OLD",IF(AND(E1122&lt;&gt;"",E1122&lt;&gt;"!!!"),"NEW","")))</f>
        <v> </v>
      </c>
      <c r="G1122" s="23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24" t="str">
        <f>IF(J1122&lt;&gt;1,"",IF(I1122="SBJ","CB","?"))</f>
        <v> </v>
      </c>
      <c r="I1122" s="25" t="str">
        <f>IF(OR(E1122="",E1122="!!!",F1122="NEW"),"",INDEX(B1121:B$2,-1+SUMPRODUCT(MAX(ROW(E1121:E$2)*(E1122=E1121:E$2)))))</f>
        <v> </v>
      </c>
      <c r="J1122" s="25" t="str">
        <f>IF(OR(E1122="",E1122="!!!",F1122="NEW"),"",COUNTBLANK(OFFSET(A$1,,,SUMPRODUCT(MAX(ROW(E$2:E1122)*(E1122=E$2:E1122)))))-COUNTBLANK(OFFSET(A$1,,,SUMPRODUCT(MAX(ROW(E$1:E1121)*(E2=E$1:E1121))))))</f>
        <v> </v>
      </c>
      <c r="K1122" s="25" t="str">
        <f>IF(OR(E1122="",E1122="!!!",F1122="NEW"),"",INDEX(J$1:J1121,SUMPRODUCT(MAX(ROW(E$1:E1121)*(E1122=E$1:E1121)))))</f>
        <v> </v>
      </c>
      <c r="L1122" s="26"/>
    </row>
    <row r="1123" spans="1:12">
      <c r="A1123" s="20" t="s">
        <v>250</v>
      </c>
      <c r="B1123" s="27" t="s">
        <v>208</v>
      </c>
      <c r="C1123" s="27" t="s">
        <v>249</v>
      </c>
      <c r="D1123" s="27" t="s">
        <v>185</v>
      </c>
      <c r="E1123" s="21">
        <f>IF(D1123="?OLD","!!!","")</f>
        <v/>
      </c>
      <c r="F1123" s="22" t="str">
        <f>IF(OR(E1123="",E1123="!!!"),"",IF(NOT(ISNA(VLOOKUP(E1123,E$1:E1122,1,FALSE()))),"OLD",IF(AND(E1123&lt;&gt;"",E1123&lt;&gt;"!!!"),"NEW","")))</f>
        <v> </v>
      </c>
      <c r="G1123" s="23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4" t="str">
        <f>IF(J1123&lt;&gt;1,"",IF(I1123="SBJ","CB","?"))</f>
        <v> </v>
      </c>
      <c r="I1123" s="25" t="str">
        <f>IF(OR(E1123="",E1123="!!!",F1123="NEW"),"",INDEX(B1122:B$2,-1+SUMPRODUCT(MAX(ROW(E1122:E$2)*(E1123=E1122:E$2)))))</f>
        <v> </v>
      </c>
      <c r="J1123" s="25" t="str">
        <f>IF(OR(E1123="",E1123="!!!",F1123="NEW"),"",COUNTBLANK(OFFSET(A$1,,,SUMPRODUCT(MAX(ROW(E$2:E1123)*(E1123=E$2:E1123)))))-COUNTBLANK(OFFSET(A$1,,,SUMPRODUCT(MAX(ROW(E$1:E1122)*(E2=E$1:E1122))))))</f>
        <v> </v>
      </c>
      <c r="K1123" s="25" t="str">
        <f>IF(OR(E1123="",E1123="!!!",F1123="NEW"),"",INDEX(J$1:J1122,SUMPRODUCT(MAX(ROW(E$1:E1122)*(E1123=E$1:E1122)))))</f>
        <v> </v>
      </c>
      <c r="L1123" s="26"/>
    </row>
    <row r="1124" spans="1:12">
      <c r="A1124" s="20" t="s">
        <v>291</v>
      </c>
      <c r="E1124" s="21">
        <f>IF(D1124="?OLD","!!!","")</f>
        <v/>
      </c>
      <c r="F1124" s="22" t="str">
        <f>IF(OR(E1124="",E1124="!!!"),"",IF(NOT(ISNA(VLOOKUP(E1124,E$1:E1123,1,FALSE()))),"OLD",IF(AND(E1124&lt;&gt;"",E1124&lt;&gt;"!!!"),"NEW","")))</f>
        <v> </v>
      </c>
      <c r="G1124" s="23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4" t="str">
        <f>IF(J1124&lt;&gt;1,"",IF(I1124="SBJ","CB","?"))</f>
        <v> </v>
      </c>
      <c r="I1124" s="25" t="str">
        <f>IF(OR(E1124="",E1124="!!!",F1124="NEW"),"",INDEX(B1123:B$2,-1+SUMPRODUCT(MAX(ROW(E1123:E$2)*(E1124=E1123:E$2)))))</f>
        <v> </v>
      </c>
      <c r="J1124" s="25" t="str">
        <f>IF(OR(E1124="",E1124="!!!",F1124="NEW"),"",COUNTBLANK(OFFSET(A$1,,,SUMPRODUCT(MAX(ROW(E$2:E1124)*(E1124=E$2:E1124)))))-COUNTBLANK(OFFSET(A$1,,,SUMPRODUCT(MAX(ROW(E$1:E1123)*(E2=E$1:E1123))))))</f>
        <v> </v>
      </c>
      <c r="K1124" s="25" t="str">
        <f>IF(OR(E1124="",E1124="!!!",F1124="NEW"),"",INDEX(J$1:J1123,SUMPRODUCT(MAX(ROW(E$1:E1123)*(E1124=E$1:E1123)))))</f>
        <v> </v>
      </c>
      <c r="L1124" s="26"/>
    </row>
    <row r="1125" spans="1:12">
      <c r="A1125" s="20" t="s">
        <v>644</v>
      </c>
      <c r="B1125" s="27" t="s">
        <v>216</v>
      </c>
      <c r="C1125" s="27" t="s">
        <v>199</v>
      </c>
      <c r="D1125" s="27" t="s">
        <v>185</v>
      </c>
      <c r="E1125" s="21">
        <f>IF(D1125="?OLD","!!!","")</f>
        <v/>
      </c>
      <c r="F1125" s="22" t="str">
        <f>IF(OR(E1125="",E1125="!!!"),"",IF(NOT(ISNA(VLOOKUP(E1125,E$1:E1124,1,FALSE()))),"OLD",IF(AND(E1125&lt;&gt;"",E1125&lt;&gt;"!!!"),"NEW","")))</f>
        <v> </v>
      </c>
      <c r="G1125" s="23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24" t="str">
        <f>IF(J1125&lt;&gt;1,"",IF(I1125="SBJ","CB","?"))</f>
        <v> </v>
      </c>
      <c r="I1125" s="25" t="str">
        <f>IF(OR(E1125="",E1125="!!!",F1125="NEW"),"",INDEX(B1124:B$2,-1+SUMPRODUCT(MAX(ROW(E1124:E$2)*(E1125=E1124:E$2)))))</f>
        <v> </v>
      </c>
      <c r="J1125" s="25" t="str">
        <f>IF(OR(E1125="",E1125="!!!",F1125="NEW"),"",COUNTBLANK(OFFSET(A$1,,,SUMPRODUCT(MAX(ROW(E$2:E1125)*(E1125=E$2:E1125)))))-COUNTBLANK(OFFSET(A$1,,,SUMPRODUCT(MAX(ROW(E$1:E1124)*(E2=E$1:E1124))))))</f>
        <v> </v>
      </c>
      <c r="K1125" s="25" t="str">
        <f>IF(OR(E1125="",E1125="!!!",F1125="NEW"),"",INDEX(J$1:J1124,SUMPRODUCT(MAX(ROW(E$1:E1124)*(E1125=E$1:E1124)))))</f>
        <v> </v>
      </c>
      <c r="L1125" s="26"/>
    </row>
    <row r="1126" spans="1:12">
      <c r="A1126" s="20" t="s">
        <v>587</v>
      </c>
      <c r="E1126" s="21">
        <f>IF(D1126="?OLD","!!!","")</f>
        <v/>
      </c>
      <c r="F1126" s="22" t="str">
        <f>IF(OR(E1126="",E1126="!!!"),"",IF(NOT(ISNA(VLOOKUP(E1126,E$1:E1125,1,FALSE()))),"OLD",IF(AND(E1126&lt;&gt;"",E1126&lt;&gt;"!!!"),"NEW","")))</f>
        <v> </v>
      </c>
      <c r="G1126" s="23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24" t="str">
        <f>IF(J1126&lt;&gt;1,"",IF(I1126="SBJ","CB","?"))</f>
        <v> </v>
      </c>
      <c r="I1126" s="25" t="str">
        <f>IF(OR(E1126="",E1126="!!!",F1126="NEW"),"",INDEX(B1125:B$2,-1+SUMPRODUCT(MAX(ROW(E1125:E$2)*(E1126=E1125:E$2)))))</f>
        <v> </v>
      </c>
      <c r="J1126" s="25" t="str">
        <f>IF(OR(E1126="",E1126="!!!",F1126="NEW"),"",COUNTBLANK(OFFSET(A$1,,,SUMPRODUCT(MAX(ROW(E$2:E1126)*(E1126=E$2:E1126)))))-COUNTBLANK(OFFSET(A$1,,,SUMPRODUCT(MAX(ROW(E$1:E1125)*(E2=E$1:E1125))))))</f>
        <v> </v>
      </c>
      <c r="K1126" s="25" t="str">
        <f>IF(OR(E1126="",E1126="!!!",F1126="NEW"),"",INDEX(J$1:J1125,SUMPRODUCT(MAX(ROW(E$1:E1125)*(E1126=E$1:E1125)))))</f>
        <v> </v>
      </c>
      <c r="L1126" s="26"/>
    </row>
    <row r="1127" spans="1:12">
      <c r="A1127" s="20" t="s">
        <v>645</v>
      </c>
      <c r="E1127" s="21">
        <f>IF(D1127="?OLD","!!!","")</f>
        <v/>
      </c>
      <c r="F1127" s="22" t="str">
        <f>IF(OR(E1127="",E1127="!!!"),"",IF(NOT(ISNA(VLOOKUP(E1127,E$1:E1126,1,FALSE()))),"OLD",IF(AND(E1127&lt;&gt;"",E1127&lt;&gt;"!!!"),"NEW","")))</f>
        <v> </v>
      </c>
      <c r="G1127" s="23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4" t="str">
        <f>IF(J1127&lt;&gt;1,"",IF(I1127="SBJ","CB","?"))</f>
        <v> </v>
      </c>
      <c r="I1127" s="25" t="str">
        <f>IF(OR(E1127="",E1127="!!!",F1127="NEW"),"",INDEX(B1126:B$2,-1+SUMPRODUCT(MAX(ROW(E1126:E$2)*(E1127=E1126:E$2)))))</f>
        <v> </v>
      </c>
      <c r="J1127" s="25" t="str">
        <f>IF(OR(E1127="",E1127="!!!",F1127="NEW"),"",COUNTBLANK(OFFSET(A$1,,,SUMPRODUCT(MAX(ROW(E$2:E1127)*(E1127=E$2:E1127)))))-COUNTBLANK(OFFSET(A$1,,,SUMPRODUCT(MAX(ROW(E$1:E1126)*(E2=E$1:E1126))))))</f>
        <v> </v>
      </c>
      <c r="K1127" s="25" t="str">
        <f>IF(OR(E1127="",E1127="!!!",F1127="NEW"),"",INDEX(J$1:J1126,SUMPRODUCT(MAX(ROW(E$1:E1126)*(E1127=E$1:E1126)))))</f>
        <v> </v>
      </c>
      <c r="L1127" s="26"/>
    </row>
    <row r="1128" spans="1:12">
      <c r="A1128" s="20" t="s">
        <v>190</v>
      </c>
      <c r="E1128" s="21">
        <f>IF(D1128="?OLD","!!!","")</f>
        <v/>
      </c>
      <c r="F1128" s="22" t="str">
        <f>IF(OR(E1128="",E1128="!!!"),"",IF(NOT(ISNA(VLOOKUP(E1128,E$1:E1127,1,FALSE()))),"OLD",IF(AND(E1128&lt;&gt;"",E1128&lt;&gt;"!!!"),"NEW","")))</f>
        <v> </v>
      </c>
      <c r="G1128" s="23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4" t="str">
        <f>IF(J1128&lt;&gt;1,"",IF(I1128="SBJ","CB","?"))</f>
        <v> </v>
      </c>
      <c r="I1128" s="25" t="str">
        <f>IF(OR(E1128="",E1128="!!!",F1128="NEW"),"",INDEX(B1127:B$2,-1+SUMPRODUCT(MAX(ROW(E1127:E$2)*(E1128=E1127:E$2)))))</f>
        <v> </v>
      </c>
      <c r="J1128" s="25" t="str">
        <f>IF(OR(E1128="",E1128="!!!",F1128="NEW"),"",COUNTBLANK(OFFSET(A$1,,,SUMPRODUCT(MAX(ROW(E$2:E1128)*(E1128=E$2:E1128)))))-COUNTBLANK(OFFSET(A$1,,,SUMPRODUCT(MAX(ROW(E$1:E1127)*(E2=E$1:E1127))))))</f>
        <v> </v>
      </c>
      <c r="K1128" s="25" t="str">
        <f>IF(OR(E1128="",E1128="!!!",F1128="NEW"),"",INDEX(J$1:J1127,SUMPRODUCT(MAX(ROW(E$1:E1127)*(E1128=E$1:E1127)))))</f>
        <v> </v>
      </c>
      <c r="L1128" s="26"/>
    </row>
    <row r="1129" spans="1:12">
      <c r="A1129" s="20" t="s">
        <v>646</v>
      </c>
      <c r="E1129" s="21">
        <f>IF(D1129="?OLD","!!!","")</f>
        <v/>
      </c>
      <c r="F1129" s="22" t="str">
        <f>IF(OR(E1129="",E1129="!!!"),"",IF(NOT(ISNA(VLOOKUP(E1129,E$1:E1128,1,FALSE()))),"OLD",IF(AND(E1129&lt;&gt;"",E1129&lt;&gt;"!!!"),"NEW","")))</f>
        <v> </v>
      </c>
      <c r="G1129" s="23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4" t="str">
        <f>IF(J1129&lt;&gt;1,"",IF(I1129="SBJ","CB","?"))</f>
        <v> </v>
      </c>
      <c r="I1129" s="25" t="str">
        <f>IF(OR(E1129="",E1129="!!!",F1129="NEW"),"",INDEX(B1128:B$2,-1+SUMPRODUCT(MAX(ROW(E1128:E$2)*(E1129=E1128:E$2)))))</f>
        <v> </v>
      </c>
      <c r="J1129" s="25" t="str">
        <f>IF(OR(E1129="",E1129="!!!",F1129="NEW"),"",COUNTBLANK(OFFSET(A$1,,,SUMPRODUCT(MAX(ROW(E$2:E1129)*(E1129=E$2:E1129)))))-COUNTBLANK(OFFSET(A$1,,,SUMPRODUCT(MAX(ROW(E$1:E1128)*(E2=E$1:E1128))))))</f>
        <v> </v>
      </c>
      <c r="K1129" s="25" t="str">
        <f>IF(OR(E1129="",E1129="!!!",F1129="NEW"),"",INDEX(J$1:J1128,SUMPRODUCT(MAX(ROW(E$1:E1128)*(E1129=E$1:E1128)))))</f>
        <v> </v>
      </c>
      <c r="L1129" s="26"/>
    </row>
    <row r="1130" spans="1:12">
      <c r="A1130" s="20" t="s">
        <v>186</v>
      </c>
      <c r="E1130" s="21">
        <f>IF(D1130="?OLD","!!!","")</f>
        <v/>
      </c>
      <c r="F1130" s="22" t="str">
        <f>IF(OR(E1130="",E1130="!!!"),"",IF(NOT(ISNA(VLOOKUP(E1130,E$1:E1129,1,FALSE()))),"OLD",IF(AND(E1130&lt;&gt;"",E1130&lt;&gt;"!!!"),"NEW","")))</f>
        <v> </v>
      </c>
      <c r="G1130" s="23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24" t="str">
        <f>IF(J1130&lt;&gt;1,"",IF(I1130="SBJ","CB","?"))</f>
        <v> </v>
      </c>
      <c r="I1130" s="25" t="str">
        <f>IF(OR(E1130="",E1130="!!!",F1130="NEW"),"",INDEX(B1129:B$2,-1+SUMPRODUCT(MAX(ROW(E1129:E$2)*(E1130=E1129:E$2)))))</f>
        <v> </v>
      </c>
      <c r="J1130" s="25" t="str">
        <f>IF(OR(E1130="",E1130="!!!",F1130="NEW"),"",COUNTBLANK(OFFSET(A$1,,,SUMPRODUCT(MAX(ROW(E$2:E1130)*(E1130=E$2:E1130)))))-COUNTBLANK(OFFSET(A$1,,,SUMPRODUCT(MAX(ROW(E$1:E1129)*(E2=E$1:E1129))))))</f>
        <v> </v>
      </c>
      <c r="K1130" s="25" t="str">
        <f>IF(OR(E1130="",E1130="!!!",F1130="NEW"),"",INDEX(J$1:J1129,SUMPRODUCT(MAX(ROW(E$1:E1129)*(E1130=E$1:E1129)))))</f>
        <v> </v>
      </c>
      <c r="L1130" s="26"/>
    </row>
    <row r="1131" spans="1:12">
      <c r="A1131" s="20" t="s">
        <v>647</v>
      </c>
      <c r="E1131" s="21">
        <f>IF(D1131="?OLD","!!!","")</f>
        <v/>
      </c>
      <c r="F1131" s="22" t="str">
        <f>IF(OR(E1131="",E1131="!!!"),"",IF(NOT(ISNA(VLOOKUP(E1131,E$1:E1130,1,FALSE()))),"OLD",IF(AND(E1131&lt;&gt;"",E1131&lt;&gt;"!!!"),"NEW","")))</f>
        <v> </v>
      </c>
      <c r="G1131" s="23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> </v>
      </c>
      <c r="H1131" s="24" t="str">
        <f>IF(J1131&lt;&gt;1,"",IF(I1131="SBJ","CB","?"))</f>
        <v> </v>
      </c>
      <c r="I1131" s="25" t="str">
        <f>IF(OR(E1131="",E1131="!!!",F1131="NEW"),"",INDEX(B1130:B$2,-1+SUMPRODUCT(MAX(ROW(E1130:E$2)*(E1131=E1130:E$2)))))</f>
        <v> </v>
      </c>
      <c r="J1131" s="25" t="str">
        <f>IF(OR(E1131="",E1131="!!!",F1131="NEW"),"",COUNTBLANK(OFFSET(A$1,,,SUMPRODUCT(MAX(ROW(E$2:E1131)*(E1131=E$2:E1131)))))-COUNTBLANK(OFFSET(A$1,,,SUMPRODUCT(MAX(ROW(E$1:E1130)*(E2=E$1:E1130))))))</f>
        <v> </v>
      </c>
      <c r="K1131" s="25" t="str">
        <f>IF(OR(E1131="",E1131="!!!",F1131="NEW"),"",INDEX(J$1:J1130,SUMPRODUCT(MAX(ROW(E$1:E1130)*(E1131=E$1:E1130)))))</f>
        <v> </v>
      </c>
      <c r="L1131" s="26"/>
    </row>
    <row r="1132" spans="1:12">
      <c r="A1132" s="20" t="s">
        <v>197</v>
      </c>
      <c r="E1132" s="21">
        <f>IF(D1132="?OLD","!!!","")</f>
        <v/>
      </c>
      <c r="F1132" s="22" t="str">
        <f>IF(OR(E1132="",E1132="!!!"),"",IF(NOT(ISNA(VLOOKUP(E1132,E$1:E1131,1,FALSE()))),"OLD",IF(AND(E1132&lt;&gt;"",E1132&lt;&gt;"!!!"),"NEW","")))</f>
        <v> </v>
      </c>
      <c r="G1132" s="23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> </v>
      </c>
      <c r="H1132" s="24" t="str">
        <f>IF(J1132&lt;&gt;1,"",IF(I1132="SBJ","CB","?"))</f>
        <v> </v>
      </c>
      <c r="I1132" s="25" t="str">
        <f>IF(OR(E1132="",E1132="!!!",F1132="NEW"),"",INDEX(B1131:B$2,-1+SUMPRODUCT(MAX(ROW(E1131:E$2)*(E1132=E1131:E$2)))))</f>
        <v> </v>
      </c>
      <c r="J1132" s="25" t="str">
        <f>IF(OR(E1132="",E1132="!!!",F1132="NEW"),"",COUNTBLANK(OFFSET(A$1,,,SUMPRODUCT(MAX(ROW(E$2:E1132)*(E1132=E$2:E1132)))))-COUNTBLANK(OFFSET(A$1,,,SUMPRODUCT(MAX(ROW(E$1:E1131)*(E2=E$1:E1131))))))</f>
        <v> </v>
      </c>
      <c r="K1132" s="25" t="str">
        <f>IF(OR(E1132="",E1132="!!!",F1132="NEW"),"",INDEX(J$1:J1131,SUMPRODUCT(MAX(ROW(E$1:E1131)*(E1132=E$1:E1131)))))</f>
        <v> </v>
      </c>
      <c r="L1132" s="26"/>
    </row>
    <row r="1133" spans="1:12">
      <c r="A1133" s="20" t="s">
        <v>211</v>
      </c>
      <c r="E1133" s="21">
        <f>IF(D1133="?OLD","!!!","")</f>
        <v/>
      </c>
      <c r="F1133" s="22" t="str">
        <f>IF(OR(E1133="",E1133="!!!"),"",IF(NOT(ISNA(VLOOKUP(E1133,E$1:E1132,1,FALSE()))),"OLD",IF(AND(E1133&lt;&gt;"",E1133&lt;&gt;"!!!"),"NEW","")))</f>
        <v> </v>
      </c>
      <c r="G1133" s="23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> </v>
      </c>
      <c r="H1133" s="24" t="str">
        <f>IF(J1133&lt;&gt;1,"",IF(I1133="SBJ","CB","?"))</f>
        <v> </v>
      </c>
      <c r="I1133" s="25" t="str">
        <f>IF(OR(E1133="",E1133="!!!",F1133="NEW"),"",INDEX(B1132:B$2,-1+SUMPRODUCT(MAX(ROW(E1132:E$2)*(E1133=E1132:E$2)))))</f>
        <v> </v>
      </c>
      <c r="J1133" s="25" t="str">
        <f>IF(OR(E1133="",E1133="!!!",F1133="NEW"),"",COUNTBLANK(OFFSET(A$1,,,SUMPRODUCT(MAX(ROW(E$2:E1133)*(E1133=E$2:E1133)))))-COUNTBLANK(OFFSET(A$1,,,SUMPRODUCT(MAX(ROW(E$1:E1132)*(E2=E$1:E1132))))))</f>
        <v> </v>
      </c>
      <c r="K1133" s="25" t="str">
        <f>IF(OR(E1133="",E1133="!!!",F1133="NEW"),"",INDEX(J$1:J1132,SUMPRODUCT(MAX(ROW(E$1:E1132)*(E1133=E$1:E1132)))))</f>
        <v> </v>
      </c>
      <c r="L1133" s="26"/>
    </row>
    <row r="1134" spans="1:12">
      <c r="A1134" s="20" t="s">
        <v>502</v>
      </c>
      <c r="E1134" s="21">
        <f>IF(D1134="?OLD","!!!","")</f>
        <v/>
      </c>
      <c r="F1134" s="22" t="str">
        <f>IF(OR(E1134="",E1134="!!!"),"",IF(NOT(ISNA(VLOOKUP(E1134,E$1:E1133,1,FALSE()))),"OLD",IF(AND(E1134&lt;&gt;"",E1134&lt;&gt;"!!!"),"NEW","")))</f>
        <v> </v>
      </c>
      <c r="G1134" s="23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24" t="str">
        <f>IF(J1134&lt;&gt;1,"",IF(I1134="SBJ","CB","?"))</f>
        <v> </v>
      </c>
      <c r="I1134" s="25" t="str">
        <f>IF(OR(E1134="",E1134="!!!",F1134="NEW"),"",INDEX(B1133:B$2,-1+SUMPRODUCT(MAX(ROW(E1133:E$2)*(E1134=E1133:E$2)))))</f>
        <v> </v>
      </c>
      <c r="J1134" s="25" t="str">
        <f>IF(OR(E1134="",E1134="!!!",F1134="NEW"),"",COUNTBLANK(OFFSET(A$1,,,SUMPRODUCT(MAX(ROW(E$2:E1134)*(E1134=E$2:E1134)))))-COUNTBLANK(OFFSET(A$1,,,SUMPRODUCT(MAX(ROW(E$1:E1133)*(E2=E$1:E1133))))))</f>
        <v> </v>
      </c>
      <c r="K1134" s="25" t="str">
        <f>IF(OR(E1134="",E1134="!!!",F1134="NEW"),"",INDEX(J$1:J1133,SUMPRODUCT(MAX(ROW(E$1:E1133)*(E1134=E$1:E1133)))))</f>
        <v> </v>
      </c>
      <c r="L1134" s="26"/>
    </row>
    <row r="1135" spans="1:12">
      <c r="A1135" s="20" t="s">
        <v>197</v>
      </c>
      <c r="E1135" s="21">
        <f>IF(D1135="?OLD","!!!","")</f>
        <v/>
      </c>
      <c r="F1135" s="22" t="str">
        <f>IF(OR(E1135="",E1135="!!!"),"",IF(NOT(ISNA(VLOOKUP(E1135,E$1:E1134,1,FALSE()))),"OLD",IF(AND(E1135&lt;&gt;"",E1135&lt;&gt;"!!!"),"NEW","")))</f>
        <v> </v>
      </c>
      <c r="G1135" s="23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4" t="str">
        <f>IF(J1135&lt;&gt;1,"",IF(I1135="SBJ","CB","?"))</f>
        <v> </v>
      </c>
      <c r="I1135" s="25" t="str">
        <f>IF(OR(E1135="",E1135="!!!",F1135="NEW"),"",INDEX(B1134:B$2,-1+SUMPRODUCT(MAX(ROW(E1134:E$2)*(E1135=E1134:E$2)))))</f>
        <v> </v>
      </c>
      <c r="J1135" s="25" t="str">
        <f>IF(OR(E1135="",E1135="!!!",F1135="NEW"),"",COUNTBLANK(OFFSET(A$1,,,SUMPRODUCT(MAX(ROW(E$2:E1135)*(E1135=E$2:E1135)))))-COUNTBLANK(OFFSET(A$1,,,SUMPRODUCT(MAX(ROW(E$1:E1134)*(E2=E$1:E1134))))))</f>
        <v> </v>
      </c>
      <c r="K1135" s="25" t="str">
        <f>IF(OR(E1135="",E1135="!!!",F1135="NEW"),"",INDEX(J$1:J1134,SUMPRODUCT(MAX(ROW(E$1:E1134)*(E1135=E$1:E1134)))))</f>
        <v> </v>
      </c>
      <c r="L1135" s="26"/>
    </row>
    <row r="1136" spans="1:12">
      <c r="A1136" s="20" t="s">
        <v>526</v>
      </c>
      <c r="B1136" s="27" t="s">
        <v>648</v>
      </c>
      <c r="C1136" s="27" t="s">
        <v>184</v>
      </c>
      <c r="D1136" s="27" t="s">
        <v>185</v>
      </c>
      <c r="E1136" s="21">
        <f>IF(D1136="?OLD","!!!","")</f>
        <v/>
      </c>
      <c r="F1136" s="22" t="str">
        <f>IF(OR(E1136="",E1136="!!!"),"",IF(NOT(ISNA(VLOOKUP(E1136,E$1:E1135,1,FALSE()))),"OLD",IF(AND(E1136&lt;&gt;"",E1136&lt;&gt;"!!!"),"NEW","")))</f>
        <v> </v>
      </c>
      <c r="G1136" s="23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4" t="str">
        <f>IF(J1136&lt;&gt;1,"",IF(I1136="SBJ","CB","?"))</f>
        <v> </v>
      </c>
      <c r="I1136" s="25" t="str">
        <f>IF(OR(E1136="",E1136="!!!",F1136="NEW"),"",INDEX(B1135:B$2,-1+SUMPRODUCT(MAX(ROW(E1135:E$2)*(E1136=E1135:E$2)))))</f>
        <v> </v>
      </c>
      <c r="J1136" s="25" t="str">
        <f>IF(OR(E1136="",E1136="!!!",F1136="NEW"),"",COUNTBLANK(OFFSET(A$1,,,SUMPRODUCT(MAX(ROW(E$2:E1136)*(E1136=E$2:E1136)))))-COUNTBLANK(OFFSET(A$1,,,SUMPRODUCT(MAX(ROW(E$1:E1135)*(E2=E$1:E1135))))))</f>
        <v> </v>
      </c>
      <c r="K1136" s="25" t="str">
        <f>IF(OR(E1136="",E1136="!!!",F1136="NEW"),"",INDEX(J$1:J1135,SUMPRODUCT(MAX(ROW(E$1:E1135)*(E1136=E$1:E1135)))))</f>
        <v> </v>
      </c>
      <c r="L1136" s="26"/>
    </row>
    <row r="1137" spans="1:12">
      <c r="A1137" s="20" t="s">
        <v>186</v>
      </c>
      <c r="E1137" s="21">
        <f>IF(D1137="?OLD","!!!","")</f>
        <v/>
      </c>
      <c r="F1137" s="22" t="str">
        <f>IF(OR(E1137="",E1137="!!!"),"",IF(NOT(ISNA(VLOOKUP(E1137,E$1:E1136,1,FALSE()))),"OLD",IF(AND(E1137&lt;&gt;"",E1137&lt;&gt;"!!!"),"NEW","")))</f>
        <v> </v>
      </c>
      <c r="G1137" s="23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4" t="str">
        <f>IF(J1137&lt;&gt;1,"",IF(I1137="SBJ","CB","?"))</f>
        <v> </v>
      </c>
      <c r="I1137" s="25" t="str">
        <f>IF(OR(E1137="",E1137="!!!",F1137="NEW"),"",INDEX(B1136:B$2,-1+SUMPRODUCT(MAX(ROW(E1136:E$2)*(E1137=E1136:E$2)))))</f>
        <v> </v>
      </c>
      <c r="J1137" s="25" t="str">
        <f>IF(OR(E1137="",E1137="!!!",F1137="NEW"),"",COUNTBLANK(OFFSET(A$1,,,SUMPRODUCT(MAX(ROW(E$2:E1137)*(E1137=E$2:E1137)))))-COUNTBLANK(OFFSET(A$1,,,SUMPRODUCT(MAX(ROW(E$1:E1136)*(E2=E$1:E1136))))))</f>
        <v> </v>
      </c>
      <c r="K1137" s="25" t="str">
        <f>IF(OR(E1137="",E1137="!!!",F1137="NEW"),"",INDEX(J$1:J1136,SUMPRODUCT(MAX(ROW(E$1:E1136)*(E1137=E$1:E1136)))))</f>
        <v> </v>
      </c>
      <c r="L1137" s="26"/>
    </row>
    <row r="1138" spans="1:12">
      <c r="A1138" s="20" t="s">
        <v>225</v>
      </c>
      <c r="B1138" s="27" t="s">
        <v>363</v>
      </c>
      <c r="C1138" s="27" t="s">
        <v>189</v>
      </c>
      <c r="E1138" s="21">
        <f>IF(D1138="?OLD","!!!","")</f>
        <v/>
      </c>
      <c r="F1138" s="22" t="str">
        <f>IF(OR(E1138="",E1138="!!!"),"",IF(NOT(ISNA(VLOOKUP(E1138,E$1:E1137,1,FALSE()))),"OLD",IF(AND(E1138&lt;&gt;"",E1138&lt;&gt;"!!!"),"NEW","")))</f>
        <v> </v>
      </c>
      <c r="G1138" s="23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24" t="str">
        <f>IF(J1138&lt;&gt;1,"",IF(I1138="SBJ","CB","?"))</f>
        <v> </v>
      </c>
      <c r="I1138" s="25" t="str">
        <f>IF(OR(E1138="",E1138="!!!",F1138="NEW"),"",INDEX(B1137:B$2,-1+SUMPRODUCT(MAX(ROW(E1137:E$2)*(E1138=E1137:E$2)))))</f>
        <v> </v>
      </c>
      <c r="J1138" s="25" t="str">
        <f>IF(OR(E1138="",E1138="!!!",F1138="NEW"),"",COUNTBLANK(OFFSET(A$1,,,SUMPRODUCT(MAX(ROW(E$2:E1138)*(E1138=E$2:E1138)))))-COUNTBLANK(OFFSET(A$1,,,SUMPRODUCT(MAX(ROW(E$1:E1137)*(E2=E$1:E1137))))))</f>
        <v> </v>
      </c>
      <c r="K1138" s="25" t="str">
        <f>IF(OR(E1138="",E1138="!!!",F1138="NEW"),"",INDEX(J$1:J1137,SUMPRODUCT(MAX(ROW(E$1:E1137)*(E1138=E$1:E1137)))))</f>
        <v> </v>
      </c>
      <c r="L1138" s="26"/>
    </row>
    <row r="1139" spans="1:12">
      <c r="A1139" s="20" t="s">
        <v>412</v>
      </c>
      <c r="E1139" s="21">
        <f>IF(D1139="?OLD","!!!","")</f>
        <v/>
      </c>
      <c r="F1139" s="22" t="str">
        <f>IF(OR(E1139="",E1139="!!!"),"",IF(NOT(ISNA(VLOOKUP(E1139,E$1:E1138,1,FALSE()))),"OLD",IF(AND(E1139&lt;&gt;"",E1139&lt;&gt;"!!!"),"NEW","")))</f>
        <v> </v>
      </c>
      <c r="G1139" s="23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> </v>
      </c>
      <c r="H1139" s="24" t="str">
        <f>IF(J1139&lt;&gt;1,"",IF(I1139="SBJ","CB","?"))</f>
        <v> </v>
      </c>
      <c r="I1139" s="25" t="str">
        <f>IF(OR(E1139="",E1139="!!!",F1139="NEW"),"",INDEX(B1138:B$2,-1+SUMPRODUCT(MAX(ROW(E1138:E$2)*(E1139=E1138:E$2)))))</f>
        <v> </v>
      </c>
      <c r="J1139" s="25" t="str">
        <f>IF(OR(E1139="",E1139="!!!",F1139="NEW"),"",COUNTBLANK(OFFSET(A$1,,,SUMPRODUCT(MAX(ROW(E$2:E1139)*(E1139=E$2:E1139)))))-COUNTBLANK(OFFSET(A$1,,,SUMPRODUCT(MAX(ROW(E$1:E1138)*(E2=E$1:E1138))))))</f>
        <v> </v>
      </c>
      <c r="K1139" s="25" t="str">
        <f>IF(OR(E1139="",E1139="!!!",F1139="NEW"),"",INDEX(J$1:J1138,SUMPRODUCT(MAX(ROW(E$1:E1138)*(E1139=E$1:E1138)))))</f>
        <v> </v>
      </c>
      <c r="L1139" s="26"/>
    </row>
    <row r="1140" spans="1:12">
      <c r="A1140" s="20" t="s">
        <v>231</v>
      </c>
      <c r="E1140" s="21">
        <f>IF(D1140="?OLD","!!!","")</f>
        <v/>
      </c>
      <c r="F1140" s="22" t="str">
        <f>IF(OR(E1140="",E1140="!!!"),"",IF(NOT(ISNA(VLOOKUP(E1140,E$1:E1139,1,FALSE()))),"OLD",IF(AND(E1140&lt;&gt;"",E1140&lt;&gt;"!!!"),"NEW","")))</f>
        <v> </v>
      </c>
      <c r="G1140" s="23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> </v>
      </c>
      <c r="H1140" s="24" t="str">
        <f>IF(J1140&lt;&gt;1,"",IF(I1140="SBJ","CB","?"))</f>
        <v> </v>
      </c>
      <c r="I1140" s="25" t="str">
        <f>IF(OR(E1140="",E1140="!!!",F1140="NEW"),"",INDEX(B1139:B$2,-1+SUMPRODUCT(MAX(ROW(E1139:E$2)*(E1140=E1139:E$2)))))</f>
        <v> </v>
      </c>
      <c r="J1140" s="25" t="str">
        <f>IF(OR(E1140="",E1140="!!!",F1140="NEW"),"",COUNTBLANK(OFFSET(A$1,,,SUMPRODUCT(MAX(ROW(E$2:E1140)*(E1140=E$2:E1140)))))-COUNTBLANK(OFFSET(A$1,,,SUMPRODUCT(MAX(ROW(E$1:E1139)*(E2=E$1:E1139))))))</f>
        <v> </v>
      </c>
      <c r="K1140" s="25" t="str">
        <f>IF(OR(E1140="",E1140="!!!",F1140="NEW"),"",INDEX(J$1:J1139,SUMPRODUCT(MAX(ROW(E$1:E1139)*(E1140=E$1:E1139)))))</f>
        <v> </v>
      </c>
      <c r="L1140" s="26"/>
    </row>
    <row r="1141" spans="1:12">
      <c r="A1141" s="20"/>
    </row>
    <row r="1142" spans="1:12">
      <c r="A1142" s="20" t="s">
        <v>649</v>
      </c>
    </row>
    <row r="1143" spans="1:12">
      <c r="A1143" s="20" t="s">
        <v>524</v>
      </c>
      <c r="E1143" s="21">
        <f>IF(D1143="?OLD","!!!","")</f>
        <v/>
      </c>
      <c r="F1143" s="22" t="str">
        <f>IF(OR(E1143="",E1143="!!!"),"",IF(NOT(ISNA(VLOOKUP(E1143,E$1:E1142,1,FALSE()))),"OLD",IF(AND(E1143&lt;&gt;"",E1143&lt;&gt;"!!!"),"NEW","")))</f>
        <v> </v>
      </c>
      <c r="G1143" s="23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24" t="str">
        <f>IF(J1143&lt;&gt;1,"",IF(I1143="SBJ","CB","?"))</f>
        <v> </v>
      </c>
      <c r="I1143" s="25" t="str">
        <f>IF(OR(E1143="",E1143="!!!",F1143="NEW"),"",INDEX(B1142:B$2,-1+SUMPRODUCT(MAX(ROW(E1142:E$2)*(E1143=E1142:E$2)))))</f>
        <v> </v>
      </c>
      <c r="J1143" s="25" t="str">
        <f>IF(OR(E1143="",E1143="!!!",F1143="NEW"),"",COUNTBLANK(OFFSET(A$1,,,SUMPRODUCT(MAX(ROW(E$2:E1143)*(E1143=E$2:E1143)))))-COUNTBLANK(OFFSET(A$1,,,SUMPRODUCT(MAX(ROW(E$1:E1142)*(E2=E$1:E1142))))))</f>
        <v> </v>
      </c>
      <c r="K1143" s="25" t="str">
        <f>IF(OR(E1143="",E1143="!!!",F1143="NEW"),"",INDEX(J$1:J1142,SUMPRODUCT(MAX(ROW(E$1:E1142)*(E1143=E$1:E1142)))))</f>
        <v> </v>
      </c>
      <c r="L1143" s="26"/>
    </row>
    <row r="1144" spans="1:12">
      <c r="A1144" s="20" t="s">
        <v>190</v>
      </c>
      <c r="E1144" s="21">
        <f>IF(D1144="?OLD","!!!","")</f>
        <v/>
      </c>
      <c r="F1144" s="22" t="str">
        <f>IF(OR(E1144="",E1144="!!!"),"",IF(NOT(ISNA(VLOOKUP(E1144,E$1:E1143,1,FALSE()))),"OLD",IF(AND(E1144&lt;&gt;"",E1144&lt;&gt;"!!!"),"NEW","")))</f>
        <v> </v>
      </c>
      <c r="G1144" s="23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4" t="str">
        <f>IF(J1144&lt;&gt;1,"",IF(I1144="SBJ","CB","?"))</f>
        <v> </v>
      </c>
      <c r="I1144" s="25" t="str">
        <f>IF(OR(E1144="",E1144="!!!",F1144="NEW"),"",INDEX(B1143:B$2,-1+SUMPRODUCT(MAX(ROW(E1143:E$2)*(E1144=E1143:E$2)))))</f>
        <v> </v>
      </c>
      <c r="J1144" s="25" t="str">
        <f>IF(OR(E1144="",E1144="!!!",F1144="NEW"),"",COUNTBLANK(OFFSET(A$1,,,SUMPRODUCT(MAX(ROW(E$2:E1144)*(E1144=E$2:E1144)))))-COUNTBLANK(OFFSET(A$1,,,SUMPRODUCT(MAX(ROW(E$1:E1143)*(E2=E$1:E1143))))))</f>
        <v> </v>
      </c>
      <c r="K1144" s="25" t="str">
        <f>IF(OR(E1144="",E1144="!!!",F1144="NEW"),"",INDEX(J$1:J1143,SUMPRODUCT(MAX(ROW(E$1:E1143)*(E1144=E$1:E1143)))))</f>
        <v> </v>
      </c>
      <c r="L1144" s="26"/>
    </row>
    <row r="1145" spans="1:12">
      <c r="A1145" s="20" t="s">
        <v>351</v>
      </c>
      <c r="E1145" s="21">
        <f>IF(D1145="?OLD","!!!","")</f>
        <v/>
      </c>
      <c r="F1145" s="22" t="str">
        <f>IF(OR(E1145="",E1145="!!!"),"",IF(NOT(ISNA(VLOOKUP(E1145,E$1:E1144,1,FALSE()))),"OLD",IF(AND(E1145&lt;&gt;"",E1145&lt;&gt;"!!!"),"NEW","")))</f>
        <v> </v>
      </c>
      <c r="G1145" s="23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4" t="str">
        <f>IF(J1145&lt;&gt;1,"",IF(I1145="SBJ","CB","?"))</f>
        <v> </v>
      </c>
      <c r="I1145" s="25" t="str">
        <f>IF(OR(E1145="",E1145="!!!",F1145="NEW"),"",INDEX(B1144:B$2,-1+SUMPRODUCT(MAX(ROW(E1144:E$2)*(E1145=E1144:E$2)))))</f>
        <v> </v>
      </c>
      <c r="J1145" s="25" t="str">
        <f>IF(OR(E1145="",E1145="!!!",F1145="NEW"),"",COUNTBLANK(OFFSET(A$1,,,SUMPRODUCT(MAX(ROW(E$2:E1145)*(E1145=E$2:E1145)))))-COUNTBLANK(OFFSET(A$1,,,SUMPRODUCT(MAX(ROW(E$1:E1144)*(E2=E$1:E1144))))))</f>
        <v> </v>
      </c>
      <c r="K1145" s="25" t="str">
        <f>IF(OR(E1145="",E1145="!!!",F1145="NEW"),"",INDEX(J$1:J1144,SUMPRODUCT(MAX(ROW(E$1:E1144)*(E1145=E$1:E1144)))))</f>
        <v> </v>
      </c>
      <c r="L1145" s="26"/>
    </row>
    <row r="1146" spans="1:12">
      <c r="A1146" s="20" t="s">
        <v>650</v>
      </c>
      <c r="B1146" s="27" t="s">
        <v>246</v>
      </c>
      <c r="C1146" s="27" t="s">
        <v>189</v>
      </c>
      <c r="E1146" s="21">
        <f>IF(D1146="?OLD","!!!","")</f>
        <v/>
      </c>
      <c r="F1146" s="22" t="str">
        <f>IF(OR(E1146="",E1146="!!!"),"",IF(NOT(ISNA(VLOOKUP(E1146,E$1:E1145,1,FALSE()))),"OLD",IF(AND(E1146&lt;&gt;"",E1146&lt;&gt;"!!!"),"NEW","")))</f>
        <v> </v>
      </c>
      <c r="G1146" s="23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24" t="str">
        <f>IF(J1146&lt;&gt;1,"",IF(I1146="SBJ","CB","?"))</f>
        <v> </v>
      </c>
      <c r="I1146" s="25" t="str">
        <f>IF(OR(E1146="",E1146="!!!",F1146="NEW"),"",INDEX(B1145:B$2,-1+SUMPRODUCT(MAX(ROW(E1145:E$2)*(E1146=E1145:E$2)))))</f>
        <v> </v>
      </c>
      <c r="J1146" s="25" t="str">
        <f>IF(OR(E1146="",E1146="!!!",F1146="NEW"),"",COUNTBLANK(OFFSET(A$1,,,SUMPRODUCT(MAX(ROW(E$2:E1146)*(E1146=E$2:E1146)))))-COUNTBLANK(OFFSET(A$1,,,SUMPRODUCT(MAX(ROW(E$1:E1145)*(E2=E$1:E1145))))))</f>
        <v> </v>
      </c>
      <c r="K1146" s="25" t="str">
        <f>IF(OR(E1146="",E1146="!!!",F1146="NEW"),"",INDEX(J$1:J1145,SUMPRODUCT(MAX(ROW(E$1:E1145)*(E1146=E$1:E1145)))))</f>
        <v> </v>
      </c>
      <c r="L1146" s="26"/>
    </row>
    <row r="1147" spans="1:12">
      <c r="A1147" s="20" t="s">
        <v>190</v>
      </c>
      <c r="E1147" s="21">
        <f>IF(D1147="?OLD","!!!","")</f>
        <v/>
      </c>
      <c r="F1147" s="22" t="str">
        <f>IF(OR(E1147="",E1147="!!!"),"",IF(NOT(ISNA(VLOOKUP(E1147,E$1:E1146,1,FALSE()))),"OLD",IF(AND(E1147&lt;&gt;"",E1147&lt;&gt;"!!!"),"NEW","")))</f>
        <v> </v>
      </c>
      <c r="G1147" s="23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24" t="str">
        <f>IF(J1147&lt;&gt;1,"",IF(I1147="SBJ","CB","?"))</f>
        <v> </v>
      </c>
      <c r="I1147" s="25" t="str">
        <f>IF(OR(E1147="",E1147="!!!",F1147="NEW"),"",INDEX(B1146:B$2,-1+SUMPRODUCT(MAX(ROW(E1146:E$2)*(E1147=E1146:E$2)))))</f>
        <v> </v>
      </c>
      <c r="J1147" s="25" t="str">
        <f>IF(OR(E1147="",E1147="!!!",F1147="NEW"),"",COUNTBLANK(OFFSET(A$1,,,SUMPRODUCT(MAX(ROW(E$2:E1147)*(E1147=E$2:E1147)))))-COUNTBLANK(OFFSET(A$1,,,SUMPRODUCT(MAX(ROW(E$1:E1146)*(E2=E$1:E1146))))))</f>
        <v> </v>
      </c>
      <c r="K1147" s="25" t="str">
        <f>IF(OR(E1147="",E1147="!!!",F1147="NEW"),"",INDEX(J$1:J1146,SUMPRODUCT(MAX(ROW(E$1:E1146)*(E1147=E$1:E1146)))))</f>
        <v> </v>
      </c>
      <c r="L1147" s="26"/>
    </row>
    <row r="1148" spans="1:12">
      <c r="A1148" s="20" t="s">
        <v>348</v>
      </c>
      <c r="E1148" s="21">
        <f>IF(D1148="?OLD","!!!","")</f>
        <v/>
      </c>
      <c r="F1148" s="22" t="str">
        <f>IF(OR(E1148="",E1148="!!!"),"",IF(NOT(ISNA(VLOOKUP(E1148,E$1:E1147,1,FALSE()))),"OLD",IF(AND(E1148&lt;&gt;"",E1148&lt;&gt;"!!!"),"NEW","")))</f>
        <v> </v>
      </c>
      <c r="G1148" s="23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24" t="str">
        <f>IF(J1148&lt;&gt;1,"",IF(I1148="SBJ","CB","?"))</f>
        <v> </v>
      </c>
      <c r="I1148" s="25" t="str">
        <f>IF(OR(E1148="",E1148="!!!",F1148="NEW"),"",INDEX(B1147:B$2,-1+SUMPRODUCT(MAX(ROW(E1147:E$2)*(E1148=E1147:E$2)))))</f>
        <v> </v>
      </c>
      <c r="J1148" s="25" t="str">
        <f>IF(OR(E1148="",E1148="!!!",F1148="NEW"),"",COUNTBLANK(OFFSET(A$1,,,SUMPRODUCT(MAX(ROW(E$2:E1148)*(E1148=E$2:E1148)))))-COUNTBLANK(OFFSET(A$1,,,SUMPRODUCT(MAX(ROW(E$1:E1147)*(E2=E$1:E1147))))))</f>
        <v> </v>
      </c>
      <c r="K1148" s="25" t="str">
        <f>IF(OR(E1148="",E1148="!!!",F1148="NEW"),"",INDEX(J$1:J1147,SUMPRODUCT(MAX(ROW(E$1:E1147)*(E1148=E$1:E1147)))))</f>
        <v> </v>
      </c>
      <c r="L1148" s="26"/>
    </row>
    <row r="1149" spans="1:12">
      <c r="A1149" s="20" t="s">
        <v>197</v>
      </c>
      <c r="E1149" s="21">
        <f>IF(D1149="?OLD","!!!","")</f>
        <v/>
      </c>
      <c r="F1149" s="22" t="str">
        <f>IF(OR(E1149="",E1149="!!!"),"",IF(NOT(ISNA(VLOOKUP(E1149,E$1:E1148,1,FALSE()))),"OLD",IF(AND(E1149&lt;&gt;"",E1149&lt;&gt;"!!!"),"NEW","")))</f>
        <v> </v>
      </c>
      <c r="G1149" s="23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> </v>
      </c>
      <c r="H1149" s="24" t="str">
        <f>IF(J1149&lt;&gt;1,"",IF(I1149="SBJ","CB","?"))</f>
        <v> </v>
      </c>
      <c r="I1149" s="25" t="str">
        <f>IF(OR(E1149="",E1149="!!!",F1149="NEW"),"",INDEX(B1148:B$2,-1+SUMPRODUCT(MAX(ROW(E1148:E$2)*(E1149=E1148:E$2)))))</f>
        <v> </v>
      </c>
      <c r="J1149" s="25" t="str">
        <f>IF(OR(E1149="",E1149="!!!",F1149="NEW"),"",COUNTBLANK(OFFSET(A$1,,,SUMPRODUCT(MAX(ROW(E$2:E1149)*(E1149=E$2:E1149)))))-COUNTBLANK(OFFSET(A$1,,,SUMPRODUCT(MAX(ROW(E$1:E1148)*(E2=E$1:E1148))))))</f>
        <v> </v>
      </c>
      <c r="K1149" s="25" t="str">
        <f>IF(OR(E1149="",E1149="!!!",F1149="NEW"),"",INDEX(J$1:J1148,SUMPRODUCT(MAX(ROW(E$1:E1148)*(E1149=E$1:E1148)))))</f>
        <v> </v>
      </c>
      <c r="L1149" s="26"/>
    </row>
    <row r="1150" spans="1:12">
      <c r="A1150" s="20" t="s">
        <v>651</v>
      </c>
      <c r="B1150" s="27" t="s">
        <v>193</v>
      </c>
      <c r="C1150" s="27" t="s">
        <v>199</v>
      </c>
      <c r="D1150" s="27" t="s">
        <v>185</v>
      </c>
      <c r="E1150" s="21">
        <f>IF(D1150="?OLD","!!!","")</f>
        <v/>
      </c>
      <c r="F1150" s="22" t="str">
        <f>IF(OR(E1150="",E1150="!!!"),"",IF(NOT(ISNA(VLOOKUP(E1150,E$1:E1149,1,FALSE()))),"OLD",IF(AND(E1150&lt;&gt;"",E1150&lt;&gt;"!!!"),"NEW","")))</f>
        <v> </v>
      </c>
      <c r="G1150" s="23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> </v>
      </c>
      <c r="H1150" s="24" t="str">
        <f>IF(J1150&lt;&gt;1,"",IF(I1150="SBJ","CB","?"))</f>
        <v> </v>
      </c>
      <c r="I1150" s="25" t="str">
        <f>IF(OR(E1150="",E1150="!!!",F1150="NEW"),"",INDEX(B1149:B$2,-1+SUMPRODUCT(MAX(ROW(E1149:E$2)*(E1150=E1149:E$2)))))</f>
        <v> </v>
      </c>
      <c r="J1150" s="25" t="str">
        <f>IF(OR(E1150="",E1150="!!!",F1150="NEW"),"",COUNTBLANK(OFFSET(A$1,,,SUMPRODUCT(MAX(ROW(E$2:E1150)*(E1150=E$2:E1150)))))-COUNTBLANK(OFFSET(A$1,,,SUMPRODUCT(MAX(ROW(E$1:E1149)*(E2=E$1:E1149))))))</f>
        <v> </v>
      </c>
      <c r="K1150" s="25" t="str">
        <f>IF(OR(E1150="",E1150="!!!",F1150="NEW"),"",INDEX(J$1:J1149,SUMPRODUCT(MAX(ROW(E$1:E1149)*(E1150=E$1:E1149)))))</f>
        <v> </v>
      </c>
      <c r="L1150" s="26"/>
    </row>
    <row r="1151" spans="1:12">
      <c r="A1151" s="20" t="s">
        <v>186</v>
      </c>
      <c r="E1151" s="21">
        <f>IF(D1151="?OLD","!!!","")</f>
        <v/>
      </c>
      <c r="F1151" s="22" t="str">
        <f>IF(OR(E1151="",E1151="!!!"),"",IF(NOT(ISNA(VLOOKUP(E1151,E$1:E1150,1,FALSE()))),"OLD",IF(AND(E1151&lt;&gt;"",E1151&lt;&gt;"!!!"),"NEW","")))</f>
        <v> </v>
      </c>
      <c r="G1151" s="23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24" t="str">
        <f>IF(J1151&lt;&gt;1,"",IF(I1151="SBJ","CB","?"))</f>
        <v> </v>
      </c>
      <c r="I1151" s="25" t="str">
        <f>IF(OR(E1151="",E1151="!!!",F1151="NEW"),"",INDEX(B1150:B$2,-1+SUMPRODUCT(MAX(ROW(E1150:E$2)*(E1151=E1150:E$2)))))</f>
        <v> </v>
      </c>
      <c r="J1151" s="25" t="str">
        <f>IF(OR(E1151="",E1151="!!!",F1151="NEW"),"",COUNTBLANK(OFFSET(A$1,,,SUMPRODUCT(MAX(ROW(E$2:E1151)*(E1151=E$2:E1151)))))-COUNTBLANK(OFFSET(A$1,,,SUMPRODUCT(MAX(ROW(E$1:E1150)*(E2=E$1:E1150))))))</f>
        <v> </v>
      </c>
      <c r="K1151" s="25" t="str">
        <f>IF(OR(E1151="",E1151="!!!",F1151="NEW"),"",INDEX(J$1:J1150,SUMPRODUCT(MAX(ROW(E$1:E1150)*(E1151=E$1:E1150)))))</f>
        <v> </v>
      </c>
      <c r="L1151" s="26"/>
    </row>
    <row r="1152" spans="1:12">
      <c r="A1152" s="20" t="s">
        <v>652</v>
      </c>
      <c r="E1152" s="21">
        <f>IF(D1152="?OLD","!!!","")</f>
        <v/>
      </c>
      <c r="F1152" s="22" t="str">
        <f>IF(OR(E1152="",E1152="!!!"),"",IF(NOT(ISNA(VLOOKUP(E1152,E$1:E1151,1,FALSE()))),"OLD",IF(AND(E1152&lt;&gt;"",E1152&lt;&gt;"!!!"),"NEW","")))</f>
        <v> </v>
      </c>
      <c r="G1152" s="23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24" t="str">
        <f>IF(J1152&lt;&gt;1,"",IF(I1152="SBJ","CB","?"))</f>
        <v> </v>
      </c>
      <c r="I1152" s="25" t="str">
        <f>IF(OR(E1152="",E1152="!!!",F1152="NEW"),"",INDEX(B1151:B$2,-1+SUMPRODUCT(MAX(ROW(E1151:E$2)*(E1152=E1151:E$2)))))</f>
        <v> </v>
      </c>
      <c r="J1152" s="25" t="str">
        <f>IF(OR(E1152="",E1152="!!!",F1152="NEW"),"",COUNTBLANK(OFFSET(A$1,,,SUMPRODUCT(MAX(ROW(E$2:E1152)*(E1152=E$2:E1152)))))-COUNTBLANK(OFFSET(A$1,,,SUMPRODUCT(MAX(ROW(E$1:E1151)*(E2=E$1:E1151))))))</f>
        <v> </v>
      </c>
      <c r="K1152" s="25" t="str">
        <f>IF(OR(E1152="",E1152="!!!",F1152="NEW"),"",INDEX(J$1:J1151,SUMPRODUCT(MAX(ROW(E$1:E1151)*(E1152=E$1:E1151)))))</f>
        <v> </v>
      </c>
      <c r="L1152" s="26"/>
    </row>
    <row r="1153" spans="1:12">
      <c r="A1153" s="20" t="s">
        <v>653</v>
      </c>
      <c r="B1153" s="27" t="s">
        <v>272</v>
      </c>
      <c r="C1153" s="27" t="s">
        <v>189</v>
      </c>
      <c r="E1153" s="21">
        <f>IF(D1153="?OLD","!!!","")</f>
        <v/>
      </c>
      <c r="F1153" s="22" t="str">
        <f>IF(OR(E1153="",E1153="!!!"),"",IF(NOT(ISNA(VLOOKUP(E1153,E$1:E1152,1,FALSE()))),"OLD",IF(AND(E1153&lt;&gt;"",E1153&lt;&gt;"!!!"),"NEW","")))</f>
        <v> </v>
      </c>
      <c r="G1153" s="23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 </v>
      </c>
      <c r="H1153" s="24" t="str">
        <f>IF(J1153&lt;&gt;1,"",IF(I1153="SBJ","CB","?"))</f>
        <v> </v>
      </c>
      <c r="I1153" s="25" t="str">
        <f>IF(OR(E1153="",E1153="!!!",F1153="NEW"),"",INDEX(B1152:B$2,-1+SUMPRODUCT(MAX(ROW(E1152:E$2)*(E1153=E1152:E$2)))))</f>
        <v> </v>
      </c>
      <c r="J1153" s="25" t="str">
        <f>IF(OR(E1153="",E1153="!!!",F1153="NEW"),"",COUNTBLANK(OFFSET(A$1,,,SUMPRODUCT(MAX(ROW(E$2:E1153)*(E1153=E$2:E1153)))))-COUNTBLANK(OFFSET(A$1,,,SUMPRODUCT(MAX(ROW(E$1:E1152)*(E2=E$1:E1152))))))</f>
        <v> </v>
      </c>
      <c r="K1153" s="25" t="str">
        <f>IF(OR(E1153="",E1153="!!!",F1153="NEW"),"",INDEX(J$1:J1152,SUMPRODUCT(MAX(ROW(E$1:E1152)*(E1153=E$1:E1152)))))</f>
        <v> </v>
      </c>
      <c r="L1153" s="26"/>
    </row>
    <row r="1154" spans="1:12">
      <c r="A1154" s="20" t="s">
        <v>407</v>
      </c>
      <c r="E1154" s="21">
        <f>IF(D1154="?OLD","!!!","")</f>
        <v/>
      </c>
      <c r="F1154" s="22" t="str">
        <f>IF(OR(E1154="",E1154="!!!"),"",IF(NOT(ISNA(VLOOKUP(E1154,E$1:E1153,1,FALSE()))),"OLD",IF(AND(E1154&lt;&gt;"",E1154&lt;&gt;"!!!"),"NEW","")))</f>
        <v> </v>
      </c>
      <c r="G1154" s="23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> </v>
      </c>
      <c r="H1154" s="24" t="str">
        <f>IF(J1154&lt;&gt;1,"",IF(I1154="SBJ","CB","?"))</f>
        <v> </v>
      </c>
      <c r="I1154" s="25" t="str">
        <f>IF(OR(E1154="",E1154="!!!",F1154="NEW"),"",INDEX(B1153:B$2,-1+SUMPRODUCT(MAX(ROW(E1153:E$2)*(E1154=E1153:E$2)))))</f>
        <v> </v>
      </c>
      <c r="J1154" s="25" t="str">
        <f>IF(OR(E1154="",E1154="!!!",F1154="NEW"),"",COUNTBLANK(OFFSET(A$1,,,SUMPRODUCT(MAX(ROW(E$2:E1154)*(E1154=E$2:E1154)))))-COUNTBLANK(OFFSET(A$1,,,SUMPRODUCT(MAX(ROW(E$1:E1153)*(E2=E$1:E1153))))))</f>
        <v> </v>
      </c>
      <c r="K1154" s="25" t="str">
        <f>IF(OR(E1154="",E1154="!!!",F1154="NEW"),"",INDEX(J$1:J1153,SUMPRODUCT(MAX(ROW(E$1:E1153)*(E1154=E$1:E1153)))))</f>
        <v> </v>
      </c>
      <c r="L1154" s="26"/>
    </row>
    <row r="1155" spans="1:12">
      <c r="A1155" s="20" t="s">
        <v>647</v>
      </c>
      <c r="E1155" s="21">
        <f>IF(D1155="?OLD","!!!","")</f>
        <v/>
      </c>
      <c r="F1155" s="22" t="str">
        <f>IF(OR(E1155="",E1155="!!!"),"",IF(NOT(ISNA(VLOOKUP(E1155,E$1:E1154,1,FALSE()))),"OLD",IF(AND(E1155&lt;&gt;"",E1155&lt;&gt;"!!!"),"NEW","")))</f>
        <v> </v>
      </c>
      <c r="G1155" s="23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24" t="str">
        <f>IF(J1155&lt;&gt;1,"",IF(I1155="SBJ","CB","?"))</f>
        <v> </v>
      </c>
      <c r="I1155" s="25" t="str">
        <f>IF(OR(E1155="",E1155="!!!",F1155="NEW"),"",INDEX(B1154:B$2,-1+SUMPRODUCT(MAX(ROW(E1154:E$2)*(E1155=E1154:E$2)))))</f>
        <v> </v>
      </c>
      <c r="J1155" s="25" t="str">
        <f>IF(OR(E1155="",E1155="!!!",F1155="NEW"),"",COUNTBLANK(OFFSET(A$1,,,SUMPRODUCT(MAX(ROW(E$2:E1155)*(E1155=E$2:E1155)))))-COUNTBLANK(OFFSET(A$1,,,SUMPRODUCT(MAX(ROW(E$1:E1154)*(E2=E$1:E1154))))))</f>
        <v> </v>
      </c>
      <c r="K1155" s="25" t="str">
        <f>IF(OR(E1155="",E1155="!!!",F1155="NEW"),"",INDEX(J$1:J1154,SUMPRODUCT(MAX(ROW(E$1:E1154)*(E1155=E$1:E1154)))))</f>
        <v> </v>
      </c>
      <c r="L1155" s="26"/>
    </row>
    <row r="1156" spans="1:12">
      <c r="A1156" s="20" t="s">
        <v>197</v>
      </c>
      <c r="E1156" s="21">
        <f>IF(D1156="?OLD","!!!","")</f>
        <v/>
      </c>
      <c r="F1156" s="22" t="str">
        <f>IF(OR(E1156="",E1156="!!!"),"",IF(NOT(ISNA(VLOOKUP(E1156,E$1:E1155,1,FALSE()))),"OLD",IF(AND(E1156&lt;&gt;"",E1156&lt;&gt;"!!!"),"NEW","")))</f>
        <v> </v>
      </c>
      <c r="G1156" s="23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 </v>
      </c>
      <c r="H1156" s="24" t="str">
        <f>IF(J1156&lt;&gt;1,"",IF(I1156="SBJ","CB","?"))</f>
        <v> </v>
      </c>
      <c r="I1156" s="25" t="str">
        <f>IF(OR(E1156="",E1156="!!!",F1156="NEW"),"",INDEX(B1155:B$2,-1+SUMPRODUCT(MAX(ROW(E1155:E$2)*(E1156=E1155:E$2)))))</f>
        <v> </v>
      </c>
      <c r="J1156" s="25" t="str">
        <f>IF(OR(E1156="",E1156="!!!",F1156="NEW"),"",COUNTBLANK(OFFSET(A$1,,,SUMPRODUCT(MAX(ROW(E$2:E1156)*(E1156=E$2:E1156)))))-COUNTBLANK(OFFSET(A$1,,,SUMPRODUCT(MAX(ROW(E$1:E1155)*(E2=E$1:E1155))))))</f>
        <v> </v>
      </c>
      <c r="K1156" s="25" t="str">
        <f>IF(OR(E1156="",E1156="!!!",F1156="NEW"),"",INDEX(J$1:J1155,SUMPRODUCT(MAX(ROW(E$1:E1155)*(E1156=E$1:E1155)))))</f>
        <v> </v>
      </c>
      <c r="L1156" s="26"/>
    </row>
    <row r="1157" spans="1:12">
      <c r="A1157" s="20" t="s">
        <v>654</v>
      </c>
      <c r="E1157" s="21">
        <f>IF(D1157="?OLD","!!!","")</f>
        <v/>
      </c>
      <c r="F1157" s="22" t="str">
        <f>IF(OR(E1157="",E1157="!!!"),"",IF(NOT(ISNA(VLOOKUP(E1157,E$1:E1156,1,FALSE()))),"OLD",IF(AND(E1157&lt;&gt;"",E1157&lt;&gt;"!!!"),"NEW","")))</f>
        <v> </v>
      </c>
      <c r="G1157" s="23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> </v>
      </c>
      <c r="H1157" s="24" t="str">
        <f>IF(J1157&lt;&gt;1,"",IF(I1157="SBJ","CB","?"))</f>
        <v> </v>
      </c>
      <c r="I1157" s="25" t="str">
        <f>IF(OR(E1157="",E1157="!!!",F1157="NEW"),"",INDEX(B1156:B$2,-1+SUMPRODUCT(MAX(ROW(E1156:E$2)*(E1157=E1156:E$2)))))</f>
        <v> </v>
      </c>
      <c r="J1157" s="25" t="str">
        <f>IF(OR(E1157="",E1157="!!!",F1157="NEW"),"",COUNTBLANK(OFFSET(A$1,,,SUMPRODUCT(MAX(ROW(E$2:E1157)*(E1157=E$2:E1157)))))-COUNTBLANK(OFFSET(A$1,,,SUMPRODUCT(MAX(ROW(E$1:E1156)*(E2=E$1:E1156))))))</f>
        <v> </v>
      </c>
      <c r="K1157" s="25" t="str">
        <f>IF(OR(E1157="",E1157="!!!",F1157="NEW"),"",INDEX(J$1:J1156,SUMPRODUCT(MAX(ROW(E$1:E1156)*(E1157=E$1:E1156)))))</f>
        <v> </v>
      </c>
      <c r="L1157" s="26"/>
    </row>
    <row r="1158" spans="1:12">
      <c r="A1158" s="20" t="s">
        <v>251</v>
      </c>
      <c r="E1158" s="21">
        <f>IF(D1158="?OLD","!!!","")</f>
        <v/>
      </c>
      <c r="F1158" s="22" t="str">
        <f>IF(OR(E1158="",E1158="!!!"),"",IF(NOT(ISNA(VLOOKUP(E1158,E$1:E1157,1,FALSE()))),"OLD",IF(AND(E1158&lt;&gt;"",E1158&lt;&gt;"!!!"),"NEW","")))</f>
        <v> </v>
      </c>
      <c r="G1158" s="23" t="str">
        <f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> </v>
      </c>
      <c r="H1158" s="24" t="str">
        <f>IF(J1158&lt;&gt;1,"",IF(I1158="SBJ","CB","?"))</f>
        <v> </v>
      </c>
      <c r="I1158" s="25" t="str">
        <f>IF(OR(E1158="",E1158="!!!",F1158="NEW"),"",INDEX(B1157:B$2,-1+SUMPRODUCT(MAX(ROW(E1157:E$2)*(E1158=E1157:E$2)))))</f>
        <v> </v>
      </c>
      <c r="J1158" s="25" t="str">
        <f>IF(OR(E1158="",E1158="!!!",F1158="NEW"),"",COUNTBLANK(OFFSET(A$1,,,SUMPRODUCT(MAX(ROW(E$2:E1158)*(E1158=E$2:E1158)))))-COUNTBLANK(OFFSET(A$1,,,SUMPRODUCT(MAX(ROW(E$1:E1157)*(E2=E$1:E1157))))))</f>
        <v> </v>
      </c>
      <c r="K1158" s="25" t="str">
        <f>IF(OR(E1158="",E1158="!!!",F1158="NEW"),"",INDEX(J$1:J1157,SUMPRODUCT(MAX(ROW(E$1:E1157)*(E1158=E$1:E1157)))))</f>
        <v> </v>
      </c>
      <c r="L1158" s="26"/>
    </row>
    <row r="1159" spans="1:12">
      <c r="A1159" s="20" t="s">
        <v>655</v>
      </c>
      <c r="B1159" s="27" t="s">
        <v>359</v>
      </c>
      <c r="C1159" s="27" t="s">
        <v>206</v>
      </c>
      <c r="D1159" s="27" t="s">
        <v>185</v>
      </c>
      <c r="E1159" s="21">
        <f>IF(D1159="?OLD","!!!","")</f>
        <v/>
      </c>
      <c r="F1159" s="22" t="str">
        <f>IF(OR(E1159="",E1159="!!!"),"",IF(NOT(ISNA(VLOOKUP(E1159,E$1:E1158,1,FALSE()))),"OLD",IF(AND(E1159&lt;&gt;"",E1159&lt;&gt;"!!!"),"NEW","")))</f>
        <v> </v>
      </c>
      <c r="G1159" s="23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> </v>
      </c>
      <c r="H1159" s="24" t="str">
        <f>IF(J1159&lt;&gt;1,"",IF(I1159="SBJ","CB","?"))</f>
        <v> </v>
      </c>
      <c r="I1159" s="25" t="str">
        <f>IF(OR(E1159="",E1159="!!!",F1159="NEW"),"",INDEX(B1158:B$2,-1+SUMPRODUCT(MAX(ROW(E1158:E$2)*(E1159=E1158:E$2)))))</f>
        <v> </v>
      </c>
      <c r="J1159" s="25" t="str">
        <f>IF(OR(E1159="",E1159="!!!",F1159="NEW"),"",COUNTBLANK(OFFSET(A$1,,,SUMPRODUCT(MAX(ROW(E$2:E1159)*(E1159=E$2:E1159)))))-COUNTBLANK(OFFSET(A$1,,,SUMPRODUCT(MAX(ROW(E$1:E1158)*(E2=E$1:E1158))))))</f>
        <v> </v>
      </c>
      <c r="K1159" s="25" t="str">
        <f>IF(OR(E1159="",E1159="!!!",F1159="NEW"),"",INDEX(J$1:J1158,SUMPRODUCT(MAX(ROW(E$1:E1158)*(E1159=E$1:E1158)))))</f>
        <v> </v>
      </c>
      <c r="L1159" s="26"/>
    </row>
    <row r="1160" spans="1:12">
      <c r="A1160" s="20" t="s">
        <v>187</v>
      </c>
      <c r="B1160" s="27" t="s">
        <v>422</v>
      </c>
      <c r="C1160" s="27" t="s">
        <v>184</v>
      </c>
      <c r="D1160" s="27" t="s">
        <v>185</v>
      </c>
      <c r="E1160" s="21">
        <f>IF(D1160="?OLD","!!!","")</f>
        <v/>
      </c>
      <c r="F1160" s="22" t="str">
        <f>IF(OR(E1160="",E1160="!!!"),"",IF(NOT(ISNA(VLOOKUP(E1160,E$1:E1159,1,FALSE()))),"OLD",IF(AND(E1160&lt;&gt;"",E1160&lt;&gt;"!!!"),"NEW","")))</f>
        <v> </v>
      </c>
      <c r="G1160" s="23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24" t="str">
        <f>IF(J1160&lt;&gt;1,"",IF(I1160="SBJ","CB","?"))</f>
        <v> </v>
      </c>
      <c r="I1160" s="25" t="str">
        <f>IF(OR(E1160="",E1160="!!!",F1160="NEW"),"",INDEX(B1159:B$2,-1+SUMPRODUCT(MAX(ROW(E1159:E$2)*(E1160=E1159:E$2)))))</f>
        <v> </v>
      </c>
      <c r="J1160" s="25" t="str">
        <f>IF(OR(E1160="",E1160="!!!",F1160="NEW"),"",COUNTBLANK(OFFSET(A$1,,,SUMPRODUCT(MAX(ROW(E$2:E1160)*(E1160=E$2:E1160)))))-COUNTBLANK(OFFSET(A$1,,,SUMPRODUCT(MAX(ROW(E$1:E1159)*(E2=E$1:E1159))))))</f>
        <v> </v>
      </c>
      <c r="K1160" s="25" t="str">
        <f>IF(OR(E1160="",E1160="!!!",F1160="NEW"),"",INDEX(J$1:J1159,SUMPRODUCT(MAX(ROW(E$1:E1159)*(E1160=E$1:E1159)))))</f>
        <v> </v>
      </c>
      <c r="L1160" s="26"/>
    </row>
    <row r="1161" spans="1:12">
      <c r="A1161" s="20" t="s">
        <v>186</v>
      </c>
      <c r="E1161" s="21">
        <f>IF(D1161="?OLD","!!!","")</f>
        <v/>
      </c>
      <c r="F1161" s="22" t="str">
        <f>IF(OR(E1161="",E1161="!!!"),"",IF(NOT(ISNA(VLOOKUP(E1161,E$1:E1160,1,FALSE()))),"OLD",IF(AND(E1161&lt;&gt;"",E1161&lt;&gt;"!!!"),"NEW","")))</f>
        <v> </v>
      </c>
      <c r="G1161" s="23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24" t="str">
        <f>IF(J1161&lt;&gt;1,"",IF(I1161="SBJ","CB","?"))</f>
        <v> </v>
      </c>
      <c r="I1161" s="25" t="str">
        <f>IF(OR(E1161="",E1161="!!!",F1161="NEW"),"",INDEX(B1160:B$2,-1+SUMPRODUCT(MAX(ROW(E1160:E$2)*(E1161=E1160:E$2)))))</f>
        <v> </v>
      </c>
      <c r="J1161" s="25" t="str">
        <f>IF(OR(E1161="",E1161="!!!",F1161="NEW"),"",COUNTBLANK(OFFSET(A$1,,,SUMPRODUCT(MAX(ROW(E$2:E1161)*(E1161=E$2:E1161)))))-COUNTBLANK(OFFSET(A$1,,,SUMPRODUCT(MAX(ROW(E$1:E1160)*(E2=E$1:E1160))))))</f>
        <v> </v>
      </c>
      <c r="K1161" s="25" t="str">
        <f>IF(OR(E1161="",E1161="!!!",F1161="NEW"),"",INDEX(J$1:J1160,SUMPRODUCT(MAX(ROW(E$1:E1160)*(E1161=E$1:E1160)))))</f>
        <v> </v>
      </c>
      <c r="L1161" s="26"/>
    </row>
    <row r="1162" spans="1:12">
      <c r="A1162" s="20" t="s">
        <v>568</v>
      </c>
      <c r="B1162" s="27" t="s">
        <v>359</v>
      </c>
      <c r="C1162" s="27" t="s">
        <v>189</v>
      </c>
      <c r="E1162" s="21">
        <f>IF(D1162="?OLD","!!!","")</f>
        <v/>
      </c>
      <c r="F1162" s="22" t="str">
        <f>IF(OR(E1162="",E1162="!!!"),"",IF(NOT(ISNA(VLOOKUP(E1162,E$1:E1161,1,FALSE()))),"OLD",IF(AND(E1162&lt;&gt;"",E1162&lt;&gt;"!!!"),"NEW","")))</f>
        <v> </v>
      </c>
      <c r="G1162" s="23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24" t="str">
        <f>IF(J1162&lt;&gt;1,"",IF(I1162="SBJ","CB","?"))</f>
        <v> </v>
      </c>
      <c r="I1162" s="25" t="str">
        <f>IF(OR(E1162="",E1162="!!!",F1162="NEW"),"",INDEX(B1161:B$2,-1+SUMPRODUCT(MAX(ROW(E1161:E$2)*(E1162=E1161:E$2)))))</f>
        <v> </v>
      </c>
      <c r="J1162" s="25" t="str">
        <f>IF(OR(E1162="",E1162="!!!",F1162="NEW"),"",COUNTBLANK(OFFSET(A$1,,,SUMPRODUCT(MAX(ROW(E$2:E1162)*(E1162=E$2:E1162)))))-COUNTBLANK(OFFSET(A$1,,,SUMPRODUCT(MAX(ROW(E$1:E1161)*(E2=E$1:E1161))))))</f>
        <v> </v>
      </c>
      <c r="K1162" s="25" t="str">
        <f>IF(OR(E1162="",E1162="!!!",F1162="NEW"),"",INDEX(J$1:J1161,SUMPRODUCT(MAX(ROW(E$1:E1161)*(E1162=E$1:E1161)))))</f>
        <v> </v>
      </c>
      <c r="L1162" s="26"/>
    </row>
    <row r="1163" spans="1:12">
      <c r="A1163" s="20" t="s">
        <v>237</v>
      </c>
      <c r="E1163" s="21">
        <f>IF(D1163="?OLD","!!!","")</f>
        <v/>
      </c>
      <c r="F1163" s="22" t="str">
        <f>IF(OR(E1163="",E1163="!!!"),"",IF(NOT(ISNA(VLOOKUP(E1163,E$1:E1162,1,FALSE()))),"OLD",IF(AND(E1163&lt;&gt;"",E1163&lt;&gt;"!!!"),"NEW","")))</f>
        <v> </v>
      </c>
      <c r="G1163" s="23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> </v>
      </c>
      <c r="H1163" s="24" t="str">
        <f>IF(J1163&lt;&gt;1,"",IF(I1163="SBJ","CB","?"))</f>
        <v> </v>
      </c>
      <c r="I1163" s="25" t="str">
        <f>IF(OR(E1163="",E1163="!!!",F1163="NEW"),"",INDEX(B1162:B$2,-1+SUMPRODUCT(MAX(ROW(E1162:E$2)*(E1163=E1162:E$2)))))</f>
        <v> </v>
      </c>
      <c r="J1163" s="25" t="str">
        <f>IF(OR(E1163="",E1163="!!!",F1163="NEW"),"",COUNTBLANK(OFFSET(A$1,,,SUMPRODUCT(MAX(ROW(E$2:E1163)*(E1163=E$2:E1163)))))-COUNTBLANK(OFFSET(A$1,,,SUMPRODUCT(MAX(ROW(E$1:E1162)*(E2=E$1:E1162))))))</f>
        <v> </v>
      </c>
      <c r="K1163" s="25" t="str">
        <f>IF(OR(E1163="",E1163="!!!",F1163="NEW"),"",INDEX(J$1:J1162,SUMPRODUCT(MAX(ROW(E$1:E1162)*(E1163=E$1:E1162)))))</f>
        <v> </v>
      </c>
      <c r="L1163" s="26"/>
    </row>
    <row r="1164" spans="1:12">
      <c r="A1164" s="20" t="s">
        <v>231</v>
      </c>
      <c r="E1164" s="21">
        <f>IF(D1164="?OLD","!!!","")</f>
        <v/>
      </c>
      <c r="F1164" s="22" t="str">
        <f>IF(OR(E1164="",E1164="!!!"),"",IF(NOT(ISNA(VLOOKUP(E1164,E$1:E1163,1,FALSE()))),"OLD",IF(AND(E1164&lt;&gt;"",E1164&lt;&gt;"!!!"),"NEW","")))</f>
        <v> </v>
      </c>
      <c r="G1164" s="23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> </v>
      </c>
      <c r="H1164" s="24" t="str">
        <f>IF(J1164&lt;&gt;1,"",IF(I1164="SBJ","CB","?"))</f>
        <v> </v>
      </c>
      <c r="I1164" s="25" t="str">
        <f>IF(OR(E1164="",E1164="!!!",F1164="NEW"),"",INDEX(B1163:B$2,-1+SUMPRODUCT(MAX(ROW(E1163:E$2)*(E1164=E1163:E$2)))))</f>
        <v> </v>
      </c>
      <c r="J1164" s="25" t="str">
        <f>IF(OR(E1164="",E1164="!!!",F1164="NEW"),"",COUNTBLANK(OFFSET(A$1,,,SUMPRODUCT(MAX(ROW(E$2:E1164)*(E1164=E$2:E1164)))))-COUNTBLANK(OFFSET(A$1,,,SUMPRODUCT(MAX(ROW(E$1:E1163)*(E2=E$1:E1163))))))</f>
        <v> </v>
      </c>
      <c r="K1164" s="25" t="str">
        <f>IF(OR(E1164="",E1164="!!!",F1164="NEW"),"",INDEX(J$1:J1163,SUMPRODUCT(MAX(ROW(E$1:E1163)*(E1164=E$1:E1163)))))</f>
        <v> </v>
      </c>
      <c r="L1164" s="26"/>
    </row>
    <row r="1165" spans="1:12">
      <c r="A1165" s="20"/>
    </row>
    <row r="1166" spans="1:12">
      <c r="A1166" s="20" t="s">
        <v>279</v>
      </c>
      <c r="E1166" s="21">
        <f>IF(D1166="?OLD","!!!","")</f>
        <v/>
      </c>
      <c r="F1166" s="22" t="str">
        <f>IF(OR(E1166="",E1166="!!!"),"",IF(NOT(ISNA(VLOOKUP(E1166,E$1:E1165,1,FALSE()))),"OLD",IF(AND(E1166&lt;&gt;"",E1166&lt;&gt;"!!!"),"NEW","")))</f>
        <v> </v>
      </c>
      <c r="G1166" s="23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24" t="str">
        <f>IF(J1166&lt;&gt;1,"",IF(I1166="SBJ","CB","?"))</f>
        <v> </v>
      </c>
      <c r="I1166" s="25" t="str">
        <f>IF(OR(E1166="",E1166="!!!",F1166="NEW"),"",INDEX(B1165:B$2,-1+SUMPRODUCT(MAX(ROW(E1165:E$2)*(E1166=E1165:E$2)))))</f>
        <v> </v>
      </c>
      <c r="J1166" s="25" t="str">
        <f>IF(OR(E1166="",E1166="!!!",F1166="NEW"),"",COUNTBLANK(OFFSET(A$1,,,SUMPRODUCT(MAX(ROW(E$2:E1166)*(E1166=E$2:E1166)))))-COUNTBLANK(OFFSET(A$1,,,SUMPRODUCT(MAX(ROW(E$1:E1165)*(E2=E$1:E1165))))))</f>
        <v> </v>
      </c>
      <c r="K1166" s="25" t="str">
        <f>IF(OR(E1166="",E1166="!!!",F1166="NEW"),"",INDEX(J$1:J1165,SUMPRODUCT(MAX(ROW(E$1:E1165)*(E1166=E$1:E1165)))))</f>
        <v> </v>
      </c>
      <c r="L1166" s="26"/>
    </row>
    <row r="1167" spans="1:12">
      <c r="A1167" s="20" t="s">
        <v>656</v>
      </c>
    </row>
    <row r="1168" spans="1:12">
      <c r="A1168" s="20" t="s">
        <v>657</v>
      </c>
      <c r="E1168" s="21">
        <f>IF(D1168="?OLD","!!!","")</f>
        <v/>
      </c>
      <c r="F1168" s="22" t="str">
        <f>IF(OR(E1168="",E1168="!!!"),"",IF(NOT(ISNA(VLOOKUP(E1168,E$1:E1167,1,FALSE()))),"OLD",IF(AND(E1168&lt;&gt;"",E1168&lt;&gt;"!!!"),"NEW","")))</f>
        <v> </v>
      </c>
      <c r="G1168" s="23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> </v>
      </c>
      <c r="H1168" s="24" t="str">
        <f>IF(J1168&lt;&gt;1,"",IF(I1168="SBJ","CB","?"))</f>
        <v> </v>
      </c>
      <c r="I1168" s="25" t="str">
        <f>IF(OR(E1168="",E1168="!!!",F1168="NEW"),"",INDEX(B1167:B$2,-1+SUMPRODUCT(MAX(ROW(E1167:E$2)*(E1168=E1167:E$2)))))</f>
        <v> </v>
      </c>
      <c r="J1168" s="25" t="str">
        <f>IF(OR(E1168="",E1168="!!!",F1168="NEW"),"",COUNTBLANK(OFFSET(A$1,,,SUMPRODUCT(MAX(ROW(E$2:E1168)*(E1168=E$2:E1168)))))-COUNTBLANK(OFFSET(A$1,,,SUMPRODUCT(MAX(ROW(E$1:E1167)*(E2=E$1:E1167))))))</f>
        <v> </v>
      </c>
      <c r="K1168" s="25" t="str">
        <f>IF(OR(E1168="",E1168="!!!",F1168="NEW"),"",INDEX(J$1:J1167,SUMPRODUCT(MAX(ROW(E$1:E1167)*(E1168=E$1:E1167)))))</f>
        <v> </v>
      </c>
      <c r="L1168" s="26"/>
    </row>
    <row r="1169" spans="1:12">
      <c r="A1169" s="20" t="s">
        <v>201</v>
      </c>
      <c r="E1169" s="21">
        <f>IF(D1169="?OLD","!!!","")</f>
        <v/>
      </c>
      <c r="F1169" s="22" t="str">
        <f>IF(OR(E1169="",E1169="!!!"),"",IF(NOT(ISNA(VLOOKUP(E1169,E$1:E1168,1,FALSE()))),"OLD",IF(AND(E1169&lt;&gt;"",E1169&lt;&gt;"!!!"),"NEW","")))</f>
        <v> </v>
      </c>
      <c r="G1169" s="23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 </v>
      </c>
      <c r="H1169" s="24" t="str">
        <f>IF(J1169&lt;&gt;1,"",IF(I1169="SBJ","CB","?"))</f>
        <v> </v>
      </c>
      <c r="I1169" s="25" t="str">
        <f>IF(OR(E1169="",E1169="!!!",F1169="NEW"),"",INDEX(B1168:B$2,-1+SUMPRODUCT(MAX(ROW(E1168:E$2)*(E1169=E1168:E$2)))))</f>
        <v> </v>
      </c>
      <c r="J1169" s="25" t="str">
        <f>IF(OR(E1169="",E1169="!!!",F1169="NEW"),"",COUNTBLANK(OFFSET(A$1,,,SUMPRODUCT(MAX(ROW(E$2:E1169)*(E1169=E$2:E1169)))))-COUNTBLANK(OFFSET(A$1,,,SUMPRODUCT(MAX(ROW(E$1:E1168)*(E2=E$1:E1168))))))</f>
        <v> </v>
      </c>
      <c r="K1169" s="25" t="str">
        <f>IF(OR(E1169="",E1169="!!!",F1169="NEW"),"",INDEX(J$1:J1168,SUMPRODUCT(MAX(ROW(E$1:E1168)*(E1169=E$1:E1168)))))</f>
        <v> </v>
      </c>
      <c r="L1169" s="26"/>
    </row>
    <row r="1170" spans="1:12">
      <c r="A1170" s="20" t="s">
        <v>190</v>
      </c>
      <c r="E1170" s="21">
        <f>IF(D1170="?OLD","!!!","")</f>
        <v/>
      </c>
      <c r="F1170" s="22" t="str">
        <f>IF(OR(E1170="",E1170="!!!"),"",IF(NOT(ISNA(VLOOKUP(E1170,E$1:E1169,1,FALSE()))),"OLD",IF(AND(E1170&lt;&gt;"",E1170&lt;&gt;"!!!"),"NEW","")))</f>
        <v> </v>
      </c>
      <c r="G1170" s="23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 </v>
      </c>
      <c r="H1170" s="24" t="str">
        <f>IF(J1170&lt;&gt;1,"",IF(I1170="SBJ","CB","?"))</f>
        <v> </v>
      </c>
      <c r="I1170" s="25" t="str">
        <f>IF(OR(E1170="",E1170="!!!",F1170="NEW"),"",INDEX(B1169:B$2,-1+SUMPRODUCT(MAX(ROW(E1169:E$2)*(E1170=E1169:E$2)))))</f>
        <v> </v>
      </c>
      <c r="J1170" s="25" t="str">
        <f>IF(OR(E1170="",E1170="!!!",F1170="NEW"),"",COUNTBLANK(OFFSET(A$1,,,SUMPRODUCT(MAX(ROW(E$2:E1170)*(E1170=E$2:E1170)))))-COUNTBLANK(OFFSET(A$1,,,SUMPRODUCT(MAX(ROW(E$1:E1169)*(E2=E$1:E1169))))))</f>
        <v> </v>
      </c>
      <c r="K1170" s="25" t="str">
        <f>IF(OR(E1170="",E1170="!!!",F1170="NEW"),"",INDEX(J$1:J1169,SUMPRODUCT(MAX(ROW(E$1:E1169)*(E1170=E$1:E1169)))))</f>
        <v> </v>
      </c>
      <c r="L1170" s="26"/>
    </row>
    <row r="1171" spans="1:12">
      <c r="A1171" s="20" t="s">
        <v>309</v>
      </c>
      <c r="E1171" s="21">
        <f>IF(D1171="?OLD","!!!","")</f>
        <v/>
      </c>
      <c r="F1171" s="22" t="str">
        <f>IF(OR(E1171="",E1171="!!!"),"",IF(NOT(ISNA(VLOOKUP(E1171,E$1:E1170,1,FALSE()))),"OLD",IF(AND(E1171&lt;&gt;"",E1171&lt;&gt;"!!!"),"NEW","")))</f>
        <v> </v>
      </c>
      <c r="G1171" s="23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 </v>
      </c>
      <c r="H1171" s="24" t="str">
        <f>IF(J1171&lt;&gt;1,"",IF(I1171="SBJ","CB","?"))</f>
        <v> </v>
      </c>
      <c r="I1171" s="25" t="str">
        <f>IF(OR(E1171="",E1171="!!!",F1171="NEW"),"",INDEX(B1170:B$2,-1+SUMPRODUCT(MAX(ROW(E1170:E$2)*(E1171=E1170:E$2)))))</f>
        <v> </v>
      </c>
      <c r="J1171" s="25" t="str">
        <f>IF(OR(E1171="",E1171="!!!",F1171="NEW"),"",COUNTBLANK(OFFSET(A$1,,,SUMPRODUCT(MAX(ROW(E$2:E1171)*(E1171=E$2:E1171)))))-COUNTBLANK(OFFSET(A$1,,,SUMPRODUCT(MAX(ROW(E$1:E1170)*(E2=E$1:E1170))))))</f>
        <v> </v>
      </c>
      <c r="K1171" s="25" t="str">
        <f>IF(OR(E1171="",E1171="!!!",F1171="NEW"),"",INDEX(J$1:J1170,SUMPRODUCT(MAX(ROW(E$1:E1170)*(E1171=E$1:E1170)))))</f>
        <v> </v>
      </c>
      <c r="L1171" s="26"/>
    </row>
    <row r="1172" spans="1:12">
      <c r="A1172" s="20" t="s">
        <v>348</v>
      </c>
      <c r="E1172" s="21">
        <f>IF(D1172="?OLD","!!!","")</f>
        <v/>
      </c>
      <c r="F1172" s="22" t="str">
        <f>IF(OR(E1172="",E1172="!!!"),"",IF(NOT(ISNA(VLOOKUP(E1172,E$1:E1171,1,FALSE()))),"OLD",IF(AND(E1172&lt;&gt;"",E1172&lt;&gt;"!!!"),"NEW","")))</f>
        <v> </v>
      </c>
      <c r="G1172" s="23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24" t="str">
        <f>IF(J1172&lt;&gt;1,"",IF(I1172="SBJ","CB","?"))</f>
        <v> </v>
      </c>
      <c r="I1172" s="25" t="str">
        <f>IF(OR(E1172="",E1172="!!!",F1172="NEW"),"",INDEX(B1171:B$2,-1+SUMPRODUCT(MAX(ROW(E1171:E$2)*(E1172=E1171:E$2)))))</f>
        <v> </v>
      </c>
      <c r="J1172" s="25" t="str">
        <f>IF(OR(E1172="",E1172="!!!",F1172="NEW"),"",COUNTBLANK(OFFSET(A$1,,,SUMPRODUCT(MAX(ROW(E$2:E1172)*(E1172=E$2:E1172)))))-COUNTBLANK(OFFSET(A$1,,,SUMPRODUCT(MAX(ROW(E$1:E1171)*(E2=E$1:E1171))))))</f>
        <v> </v>
      </c>
      <c r="K1172" s="25" t="str">
        <f>IF(OR(E1172="",E1172="!!!",F1172="NEW"),"",INDEX(J$1:J1171,SUMPRODUCT(MAX(ROW(E$1:E1171)*(E1172=E$1:E1171)))))</f>
        <v> </v>
      </c>
      <c r="L1172" s="26"/>
    </row>
    <row r="1173" spans="1:12">
      <c r="A1173" s="20" t="s">
        <v>658</v>
      </c>
      <c r="E1173" s="21">
        <f>IF(D1173="?OLD","!!!","")</f>
        <v/>
      </c>
      <c r="F1173" s="22" t="str">
        <f>IF(OR(E1173="",E1173="!!!"),"",IF(NOT(ISNA(VLOOKUP(E1173,E$1:E1172,1,FALSE()))),"OLD",IF(AND(E1173&lt;&gt;"",E1173&lt;&gt;"!!!"),"NEW","")))</f>
        <v> </v>
      </c>
      <c r="G1173" s="23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24" t="str">
        <f>IF(J1173&lt;&gt;1,"",IF(I1173="SBJ","CB","?"))</f>
        <v> </v>
      </c>
      <c r="I1173" s="25" t="str">
        <f>IF(OR(E1173="",E1173="!!!",F1173="NEW"),"",INDEX(B1172:B$2,-1+SUMPRODUCT(MAX(ROW(E1172:E$2)*(E1173=E1172:E$2)))))</f>
        <v> </v>
      </c>
      <c r="J1173" s="25" t="str">
        <f>IF(OR(E1173="",E1173="!!!",F1173="NEW"),"",COUNTBLANK(OFFSET(A$1,,,SUMPRODUCT(MAX(ROW(E$2:E1173)*(E1173=E$2:E1173)))))-COUNTBLANK(OFFSET(A$1,,,SUMPRODUCT(MAX(ROW(E$1:E1172)*(E2=E$1:E1172))))))</f>
        <v> </v>
      </c>
      <c r="K1173" s="25" t="str">
        <f>IF(OR(E1173="",E1173="!!!",F1173="NEW"),"",INDEX(J$1:J1172,SUMPRODUCT(MAX(ROW(E$1:E1172)*(E1173=E$1:E1172)))))</f>
        <v> </v>
      </c>
      <c r="L1173" s="26"/>
    </row>
    <row r="1174" spans="1:12">
      <c r="A1174" s="20" t="s">
        <v>659</v>
      </c>
      <c r="B1174" s="27" t="s">
        <v>223</v>
      </c>
      <c r="C1174" s="27" t="s">
        <v>274</v>
      </c>
      <c r="D1174" s="27" t="s">
        <v>185</v>
      </c>
      <c r="E1174" s="21">
        <f>IF(D1174="?OLD","!!!","")</f>
        <v/>
      </c>
      <c r="F1174" s="22" t="str">
        <f>IF(OR(E1174="",E1174="!!!"),"",IF(NOT(ISNA(VLOOKUP(E1174,E$1:E1173,1,FALSE()))),"OLD",IF(AND(E1174&lt;&gt;"",E1174&lt;&gt;"!!!"),"NEW","")))</f>
        <v> </v>
      </c>
      <c r="G1174" s="23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24" t="str">
        <f>IF(J1174&lt;&gt;1,"",IF(I1174="SBJ","CB","?"))</f>
        <v> </v>
      </c>
      <c r="I1174" s="25" t="str">
        <f>IF(OR(E1174="",E1174="!!!",F1174="NEW"),"",INDEX(B1173:B$2,-1+SUMPRODUCT(MAX(ROW(E1173:E$2)*(E1174=E1173:E$2)))))</f>
        <v> </v>
      </c>
      <c r="J1174" s="25" t="str">
        <f>IF(OR(E1174="",E1174="!!!",F1174="NEW"),"",COUNTBLANK(OFFSET(A$1,,,SUMPRODUCT(MAX(ROW(E$2:E1174)*(E1174=E$2:E1174)))))-COUNTBLANK(OFFSET(A$1,,,SUMPRODUCT(MAX(ROW(E$1:E1173)*(E2=E$1:E1173))))))</f>
        <v> </v>
      </c>
      <c r="K1174" s="25" t="str">
        <f>IF(OR(E1174="",E1174="!!!",F1174="NEW"),"",INDEX(J$1:J1173,SUMPRODUCT(MAX(ROW(E$1:E1173)*(E1174=E$1:E1173)))))</f>
        <v> </v>
      </c>
      <c r="L1174" s="26"/>
    </row>
    <row r="1175" spans="1:12">
      <c r="A1175" s="20" t="s">
        <v>190</v>
      </c>
      <c r="E1175" s="21">
        <f>IF(D1175="?OLD","!!!","")</f>
        <v/>
      </c>
      <c r="F1175" s="22" t="str">
        <f>IF(OR(E1175="",E1175="!!!"),"",IF(NOT(ISNA(VLOOKUP(E1175,E$1:E1174,1,FALSE()))),"OLD",IF(AND(E1175&lt;&gt;"",E1175&lt;&gt;"!!!"),"NEW","")))</f>
        <v> </v>
      </c>
      <c r="G1175" s="23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24" t="str">
        <f>IF(J1175&lt;&gt;1,"",IF(I1175="SBJ","CB","?"))</f>
        <v> </v>
      </c>
      <c r="I1175" s="25" t="str">
        <f>IF(OR(E1175="",E1175="!!!",F1175="NEW"),"",INDEX(B1174:B$2,-1+SUMPRODUCT(MAX(ROW(E1174:E$2)*(E1175=E1174:E$2)))))</f>
        <v> </v>
      </c>
      <c r="J1175" s="25" t="str">
        <f>IF(OR(E1175="",E1175="!!!",F1175="NEW"),"",COUNTBLANK(OFFSET(A$1,,,SUMPRODUCT(MAX(ROW(E$2:E1175)*(E1175=E$2:E1175)))))-COUNTBLANK(OFFSET(A$1,,,SUMPRODUCT(MAX(ROW(E$1:E1174)*(E2=E$1:E1174))))))</f>
        <v> </v>
      </c>
      <c r="K1175" s="25" t="str">
        <f>IF(OR(E1175="",E1175="!!!",F1175="NEW"),"",INDEX(J$1:J1174,SUMPRODUCT(MAX(ROW(E$1:E1174)*(E1175=E$1:E1174)))))</f>
        <v> </v>
      </c>
      <c r="L1175" s="26"/>
    </row>
    <row r="1176" spans="1:12">
      <c r="A1176" s="20" t="s">
        <v>354</v>
      </c>
      <c r="E1176" s="21">
        <f>IF(D1176="?OLD","!!!","")</f>
        <v/>
      </c>
      <c r="F1176" s="22" t="str">
        <f>IF(OR(E1176="",E1176="!!!"),"",IF(NOT(ISNA(VLOOKUP(E1176,E$1:E1175,1,FALSE()))),"OLD",IF(AND(E1176&lt;&gt;"",E1176&lt;&gt;"!!!"),"NEW","")))</f>
        <v> </v>
      </c>
      <c r="G1176" s="23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> </v>
      </c>
      <c r="H1176" s="24" t="str">
        <f>IF(J1176&lt;&gt;1,"",IF(I1176="SBJ","CB","?"))</f>
        <v> </v>
      </c>
      <c r="I1176" s="25" t="str">
        <f>IF(OR(E1176="",E1176="!!!",F1176="NEW"),"",INDEX(B1175:B$2,-1+SUMPRODUCT(MAX(ROW(E1175:E$2)*(E1176=E1175:E$2)))))</f>
        <v> </v>
      </c>
      <c r="J1176" s="25" t="str">
        <f>IF(OR(E1176="",E1176="!!!",F1176="NEW"),"",COUNTBLANK(OFFSET(A$1,,,SUMPRODUCT(MAX(ROW(E$2:E1176)*(E1176=E$2:E1176)))))-COUNTBLANK(OFFSET(A$1,,,SUMPRODUCT(MAX(ROW(E$1:E1175)*(E2=E$1:E1175))))))</f>
        <v> </v>
      </c>
      <c r="K1176" s="25" t="str">
        <f>IF(OR(E1176="",E1176="!!!",F1176="NEW"),"",INDEX(J$1:J1175,SUMPRODUCT(MAX(ROW(E$1:E1175)*(E1176=E$1:E1175)))))</f>
        <v> </v>
      </c>
      <c r="L1176" s="26"/>
    </row>
    <row r="1177" spans="1:12">
      <c r="A1177" s="20" t="s">
        <v>210</v>
      </c>
      <c r="E1177" s="21">
        <f>IF(D1177="?OLD","!!!","")</f>
        <v/>
      </c>
      <c r="F1177" s="22" t="str">
        <f>IF(OR(E1177="",E1177="!!!"),"",IF(NOT(ISNA(VLOOKUP(E1177,E$1:E1176,1,FALSE()))),"OLD",IF(AND(E1177&lt;&gt;"",E1177&lt;&gt;"!!!"),"NEW","")))</f>
        <v> </v>
      </c>
      <c r="G1177" s="23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> </v>
      </c>
      <c r="H1177" s="24" t="str">
        <f>IF(J1177&lt;&gt;1,"",IF(I1177="SBJ","CB","?"))</f>
        <v> </v>
      </c>
      <c r="I1177" s="25" t="str">
        <f>IF(OR(E1177="",E1177="!!!",F1177="NEW"),"",INDEX(B1176:B$2,-1+SUMPRODUCT(MAX(ROW(E1176:E$2)*(E1177=E1176:E$2)))))</f>
        <v> </v>
      </c>
      <c r="J1177" s="25" t="str">
        <f>IF(OR(E1177="",E1177="!!!",F1177="NEW"),"",COUNTBLANK(OFFSET(A$1,,,SUMPRODUCT(MAX(ROW(E$2:E1177)*(E1177=E$2:E1177)))))-COUNTBLANK(OFFSET(A$1,,,SUMPRODUCT(MAX(ROW(E$1:E1176)*(E2=E$1:E1176))))))</f>
        <v> </v>
      </c>
      <c r="K1177" s="25" t="str">
        <f>IF(OR(E1177="",E1177="!!!",F1177="NEW"),"",INDEX(J$1:J1176,SUMPRODUCT(MAX(ROW(E$1:E1176)*(E1177=E$1:E1176)))))</f>
        <v> </v>
      </c>
      <c r="L1177" s="26"/>
    </row>
    <row r="1178" spans="1:12">
      <c r="A1178" s="20" t="s">
        <v>660</v>
      </c>
      <c r="E1178" s="21">
        <f>IF(D1178="?OLD","!!!","")</f>
        <v/>
      </c>
      <c r="F1178" s="22" t="str">
        <f>IF(OR(E1178="",E1178="!!!"),"",IF(NOT(ISNA(VLOOKUP(E1178,E$1:E1177,1,FALSE()))),"OLD",IF(AND(E1178&lt;&gt;"",E1178&lt;&gt;"!!!"),"NEW","")))</f>
        <v> </v>
      </c>
      <c r="G1178" s="23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> </v>
      </c>
      <c r="H1178" s="24" t="str">
        <f>IF(J1178&lt;&gt;1,"",IF(I1178="SBJ","CB","?"))</f>
        <v> </v>
      </c>
      <c r="I1178" s="25" t="str">
        <f>IF(OR(E1178="",E1178="!!!",F1178="NEW"),"",INDEX(B1177:B$2,-1+SUMPRODUCT(MAX(ROW(E1177:E$2)*(E1178=E1177:E$2)))))</f>
        <v> </v>
      </c>
      <c r="J1178" s="25" t="str">
        <f>IF(OR(E1178="",E1178="!!!",F1178="NEW"),"",COUNTBLANK(OFFSET(A$1,,,SUMPRODUCT(MAX(ROW(E$2:E1178)*(E1178=E$2:E1178)))))-COUNTBLANK(OFFSET(A$1,,,SUMPRODUCT(MAX(ROW(E$1:E1177)*(E2=E$1:E1177))))))</f>
        <v> </v>
      </c>
      <c r="K1178" s="25" t="str">
        <f>IF(OR(E1178="",E1178="!!!",F1178="NEW"),"",INDEX(J$1:J1177,SUMPRODUCT(MAX(ROW(E$1:E1177)*(E1178=E$1:E1177)))))</f>
        <v> </v>
      </c>
      <c r="L1178" s="26"/>
    </row>
    <row r="1179" spans="1:12">
      <c r="A1179" s="20" t="s">
        <v>661</v>
      </c>
      <c r="E1179" s="21">
        <f>IF(D1179="?OLD","!!!","")</f>
        <v/>
      </c>
      <c r="F1179" s="22" t="str">
        <f>IF(OR(E1179="",E1179="!!!"),"",IF(NOT(ISNA(VLOOKUP(E1179,E$1:E1178,1,FALSE()))),"OLD",IF(AND(E1179&lt;&gt;"",E1179&lt;&gt;"!!!"),"NEW","")))</f>
        <v> </v>
      </c>
      <c r="G1179" s="23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 </v>
      </c>
      <c r="H1179" s="24" t="str">
        <f>IF(J1179&lt;&gt;1,"",IF(I1179="SBJ","CB","?"))</f>
        <v> </v>
      </c>
      <c r="I1179" s="25" t="str">
        <f>IF(OR(E1179="",E1179="!!!",F1179="NEW"),"",INDEX(B1178:B$2,-1+SUMPRODUCT(MAX(ROW(E1178:E$2)*(E1179=E1178:E$2)))))</f>
        <v> </v>
      </c>
      <c r="J1179" s="25" t="str">
        <f>IF(OR(E1179="",E1179="!!!",F1179="NEW"),"",COUNTBLANK(OFFSET(A$1,,,SUMPRODUCT(MAX(ROW(E$2:E1179)*(E1179=E$2:E1179)))))-COUNTBLANK(OFFSET(A$1,,,SUMPRODUCT(MAX(ROW(E$1:E1178)*(E2=E$1:E1178))))))</f>
        <v> </v>
      </c>
      <c r="K1179" s="25" t="str">
        <f>IF(OR(E1179="",E1179="!!!",F1179="NEW"),"",INDEX(J$1:J1178,SUMPRODUCT(MAX(ROW(E$1:E1178)*(E1179=E$1:E1178)))))</f>
        <v> </v>
      </c>
      <c r="L1179" s="26"/>
    </row>
    <row r="1180" spans="1:12">
      <c r="A1180" s="20" t="s">
        <v>662</v>
      </c>
      <c r="B1180" s="27" t="s">
        <v>272</v>
      </c>
      <c r="C1180" s="27" t="s">
        <v>224</v>
      </c>
      <c r="E1180" s="21">
        <f>IF(D1180="?OLD","!!!","")</f>
        <v/>
      </c>
      <c r="F1180" s="22" t="str">
        <f>IF(OR(E1180="",E1180="!!!"),"",IF(NOT(ISNA(VLOOKUP(E1180,E$1:E1179,1,FALSE()))),"OLD",IF(AND(E1180&lt;&gt;"",E1180&lt;&gt;"!!!"),"NEW","")))</f>
        <v> </v>
      </c>
      <c r="G1180" s="23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24" t="str">
        <f>IF(J1180&lt;&gt;1,"",IF(I1180="SBJ","CB","?"))</f>
        <v> </v>
      </c>
      <c r="I1180" s="25" t="str">
        <f>IF(OR(E1180="",E1180="!!!",F1180="NEW"),"",INDEX(B1179:B$2,-1+SUMPRODUCT(MAX(ROW(E1179:E$2)*(E1180=E1179:E$2)))))</f>
        <v> </v>
      </c>
      <c r="J1180" s="25" t="str">
        <f>IF(OR(E1180="",E1180="!!!",F1180="NEW"),"",COUNTBLANK(OFFSET(A$1,,,SUMPRODUCT(MAX(ROW(E$2:E1180)*(E1180=E$2:E1180)))))-COUNTBLANK(OFFSET(A$1,,,SUMPRODUCT(MAX(ROW(E$1:E1179)*(E2=E$1:E1179))))))</f>
        <v> </v>
      </c>
      <c r="K1180" s="25" t="str">
        <f>IF(OR(E1180="",E1180="!!!",F1180="NEW"),"",INDEX(J$1:J1179,SUMPRODUCT(MAX(ROW(E$1:E1179)*(E1180=E$1:E1179)))))</f>
        <v> </v>
      </c>
      <c r="L1180" s="26"/>
    </row>
    <row r="1181" spans="1:12">
      <c r="A1181" s="20" t="s">
        <v>181</v>
      </c>
      <c r="E1181" s="21">
        <f>IF(D1181="?OLD","!!!","")</f>
        <v/>
      </c>
      <c r="F1181" s="22" t="str">
        <f>IF(OR(E1181="",E1181="!!!"),"",IF(NOT(ISNA(VLOOKUP(E1181,E$1:E1180,1,FALSE()))),"OLD",IF(AND(E1181&lt;&gt;"",E1181&lt;&gt;"!!!"),"NEW","")))</f>
        <v> </v>
      </c>
      <c r="G1181" s="23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24" t="str">
        <f>IF(J1181&lt;&gt;1,"",IF(I1181="SBJ","CB","?"))</f>
        <v> </v>
      </c>
      <c r="I1181" s="25" t="str">
        <f>IF(OR(E1181="",E1181="!!!",F1181="NEW"),"",INDEX(B1180:B$2,-1+SUMPRODUCT(MAX(ROW(E1180:E$2)*(E1181=E1180:E$2)))))</f>
        <v> </v>
      </c>
      <c r="J1181" s="25" t="str">
        <f>IF(OR(E1181="",E1181="!!!",F1181="NEW"),"",COUNTBLANK(OFFSET(A$1,,,SUMPRODUCT(MAX(ROW(E$2:E1181)*(E1181=E$2:E1181)))))-COUNTBLANK(OFFSET(A$1,,,SUMPRODUCT(MAX(ROW(E$1:E1180)*(E2=E$1:E1180))))))</f>
        <v> </v>
      </c>
      <c r="K1181" s="25" t="str">
        <f>IF(OR(E1181="",E1181="!!!",F1181="NEW"),"",INDEX(J$1:J1180,SUMPRODUCT(MAX(ROW(E$1:E1180)*(E1181=E$1:E1180)))))</f>
        <v> </v>
      </c>
      <c r="L1181" s="26"/>
    </row>
    <row r="1182" spans="1:12">
      <c r="A1182" s="20" t="s">
        <v>663</v>
      </c>
      <c r="B1182" s="27" t="s">
        <v>188</v>
      </c>
      <c r="C1182" s="27" t="s">
        <v>189</v>
      </c>
      <c r="E1182" s="21">
        <f>IF(D1182="?OLD","!!!","")</f>
        <v/>
      </c>
      <c r="F1182" s="22" t="str">
        <f>IF(OR(E1182="",E1182="!!!"),"",IF(NOT(ISNA(VLOOKUP(E1182,E$1:E1181,1,FALSE()))),"OLD",IF(AND(E1182&lt;&gt;"",E1182&lt;&gt;"!!!"),"NEW","")))</f>
        <v> </v>
      </c>
      <c r="G1182" s="23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> </v>
      </c>
      <c r="H1182" s="24" t="str">
        <f>IF(J1182&lt;&gt;1,"",IF(I1182="SBJ","CB","?"))</f>
        <v> </v>
      </c>
      <c r="I1182" s="25" t="str">
        <f>IF(OR(E1182="",E1182="!!!",F1182="NEW"),"",INDEX(B1181:B$2,-1+SUMPRODUCT(MAX(ROW(E1181:E$2)*(E1182=E1181:E$2)))))</f>
        <v> </v>
      </c>
      <c r="J1182" s="25" t="str">
        <f>IF(OR(E1182="",E1182="!!!",F1182="NEW"),"",COUNTBLANK(OFFSET(A$1,,,SUMPRODUCT(MAX(ROW(E$2:E1182)*(E1182=E$2:E1182)))))-COUNTBLANK(OFFSET(A$1,,,SUMPRODUCT(MAX(ROW(E$1:E1181)*(E2=E$1:E1181))))))</f>
        <v> </v>
      </c>
      <c r="K1182" s="25" t="str">
        <f>IF(OR(E1182="",E1182="!!!",F1182="NEW"),"",INDEX(J$1:J1181,SUMPRODUCT(MAX(ROW(E$1:E1181)*(E1182=E$1:E1181)))))</f>
        <v> </v>
      </c>
      <c r="L1182" s="26"/>
    </row>
    <row r="1183" spans="1:12">
      <c r="A1183" s="20" t="s">
        <v>436</v>
      </c>
      <c r="B1183" s="27" t="s">
        <v>216</v>
      </c>
      <c r="C1183" s="27" t="s">
        <v>189</v>
      </c>
      <c r="E1183" s="21">
        <f>IF(D1183="?OLD","!!!","")</f>
        <v/>
      </c>
      <c r="F1183" s="22" t="str">
        <f>IF(OR(E1183="",E1183="!!!"),"",IF(NOT(ISNA(VLOOKUP(E1183,E$1:E1182,1,FALSE()))),"OLD",IF(AND(E1183&lt;&gt;"",E1183&lt;&gt;"!!!"),"NEW","")))</f>
        <v> </v>
      </c>
      <c r="G1183" s="23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> </v>
      </c>
      <c r="H1183" s="24" t="str">
        <f>IF(J1183&lt;&gt;1,"",IF(I1183="SBJ","CB","?"))</f>
        <v> </v>
      </c>
      <c r="I1183" s="25" t="str">
        <f>IF(OR(E1183="",E1183="!!!",F1183="NEW"),"",INDEX(B1182:B$2,-1+SUMPRODUCT(MAX(ROW(E1182:E$2)*(E1183=E1182:E$2)))))</f>
        <v> </v>
      </c>
      <c r="J1183" s="25" t="str">
        <f>IF(OR(E1183="",E1183="!!!",F1183="NEW"),"",COUNTBLANK(OFFSET(A$1,,,SUMPRODUCT(MAX(ROW(E$2:E1183)*(E1183=E$2:E1183)))))-COUNTBLANK(OFFSET(A$1,,,SUMPRODUCT(MAX(ROW(E$1:E1182)*(E2=E$1:E1182))))))</f>
        <v> </v>
      </c>
      <c r="K1183" s="25" t="str">
        <f>IF(OR(E1183="",E1183="!!!",F1183="NEW"),"",INDEX(J$1:J1182,SUMPRODUCT(MAX(ROW(E$1:E1182)*(E1183=E$1:E1182)))))</f>
        <v> </v>
      </c>
      <c r="L1183" s="26"/>
    </row>
    <row r="1184" spans="1:12">
      <c r="A1184" s="20" t="s">
        <v>231</v>
      </c>
      <c r="E1184" s="21">
        <f>IF(D1184="?OLD","!!!","")</f>
        <v/>
      </c>
      <c r="F1184" s="22" t="str">
        <f>IF(OR(E1184="",E1184="!!!"),"",IF(NOT(ISNA(VLOOKUP(E1184,E$1:E1183,1,FALSE()))),"OLD",IF(AND(E1184&lt;&gt;"",E1184&lt;&gt;"!!!"),"NEW","")))</f>
        <v> </v>
      </c>
      <c r="G1184" s="23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> </v>
      </c>
      <c r="H1184" s="24" t="str">
        <f>IF(J1184&lt;&gt;1,"",IF(I1184="SBJ","CB","?"))</f>
        <v> </v>
      </c>
      <c r="I1184" s="25" t="str">
        <f>IF(OR(E1184="",E1184="!!!",F1184="NEW"),"",INDEX(B1183:B$2,-1+SUMPRODUCT(MAX(ROW(E1183:E$2)*(E1184=E1183:E$2)))))</f>
        <v> </v>
      </c>
      <c r="J1184" s="25" t="str">
        <f>IF(OR(E1184="",E1184="!!!",F1184="NEW"),"",COUNTBLANK(OFFSET(A$1,,,SUMPRODUCT(MAX(ROW(E$2:E1184)*(E1184=E$2:E1184)))))-COUNTBLANK(OFFSET(A$1,,,SUMPRODUCT(MAX(ROW(E$1:E1183)*(E2=E$1:E1183))))))</f>
        <v> </v>
      </c>
      <c r="K1184" s="25" t="str">
        <f>IF(OR(E1184="",E1184="!!!",F1184="NEW"),"",INDEX(J$1:J1183,SUMPRODUCT(MAX(ROW(E$1:E1183)*(E1184=E$1:E1183)))))</f>
        <v> </v>
      </c>
      <c r="L1184" s="26"/>
    </row>
    <row r="1185" spans="1:12">
      <c r="A1185" s="20"/>
    </row>
    <row r="1186" spans="1:12">
      <c r="A1186" s="20" t="s">
        <v>664</v>
      </c>
    </row>
    <row r="1187" spans="1:12">
      <c r="A1187" s="20" t="s">
        <v>665</v>
      </c>
      <c r="E1187" s="21">
        <f>IF(D1187="?OLD","!!!","")</f>
        <v/>
      </c>
      <c r="F1187" s="22" t="str">
        <f>IF(OR(E1187="",E1187="!!!"),"",IF(NOT(ISNA(VLOOKUP(E1187,E$1:E1186,1,FALSE()))),"OLD",IF(AND(E1187&lt;&gt;"",E1187&lt;&gt;"!!!"),"NEW","")))</f>
        <v> </v>
      </c>
      <c r="G1187" s="23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 </v>
      </c>
      <c r="H1187" s="24" t="str">
        <f>IF(J1187&lt;&gt;1,"",IF(I1187="SBJ","CB","?"))</f>
        <v> </v>
      </c>
      <c r="I1187" s="25" t="str">
        <f>IF(OR(E1187="",E1187="!!!",F1187="NEW"),"",INDEX(B1186:B$2,-1+SUMPRODUCT(MAX(ROW(E1186:E$2)*(E1187=E1186:E$2)))))</f>
        <v> </v>
      </c>
      <c r="J1187" s="25" t="str">
        <f>IF(OR(E1187="",E1187="!!!",F1187="NEW"),"",COUNTBLANK(OFFSET(A$1,,,SUMPRODUCT(MAX(ROW(E$2:E1187)*(E1187=E$2:E1187)))))-COUNTBLANK(OFFSET(A$1,,,SUMPRODUCT(MAX(ROW(E$1:E1186)*(E2=E$1:E1186))))))</f>
        <v> </v>
      </c>
      <c r="K1187" s="25" t="str">
        <f>IF(OR(E1187="",E1187="!!!",F1187="NEW"),"",INDEX(J$1:J1186,SUMPRODUCT(MAX(ROW(E$1:E1186)*(E1187=E$1:E1186)))))</f>
        <v> </v>
      </c>
      <c r="L1187" s="26"/>
    </row>
    <row r="1188" spans="1:12">
      <c r="A1188" s="20" t="s">
        <v>190</v>
      </c>
      <c r="E1188" s="21">
        <f>IF(D1188="?OLD","!!!","")</f>
        <v/>
      </c>
      <c r="F1188" s="22" t="str">
        <f>IF(OR(E1188="",E1188="!!!"),"",IF(NOT(ISNA(VLOOKUP(E1188,E$1:E1187,1,FALSE()))),"OLD",IF(AND(E1188&lt;&gt;"",E1188&lt;&gt;"!!!"),"NEW","")))</f>
        <v> </v>
      </c>
      <c r="G1188" s="23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> </v>
      </c>
      <c r="H1188" s="24" t="str">
        <f>IF(J1188&lt;&gt;1,"",IF(I1188="SBJ","CB","?"))</f>
        <v> </v>
      </c>
      <c r="I1188" s="25" t="str">
        <f>IF(OR(E1188="",E1188="!!!",F1188="NEW"),"",INDEX(B1187:B$2,-1+SUMPRODUCT(MAX(ROW(E1187:E$2)*(E1188=E1187:E$2)))))</f>
        <v> </v>
      </c>
      <c r="J1188" s="25" t="str">
        <f>IF(OR(E1188="",E1188="!!!",F1188="NEW"),"",COUNTBLANK(OFFSET(A$1,,,SUMPRODUCT(MAX(ROW(E$2:E1188)*(E1188=E$2:E1188)))))-COUNTBLANK(OFFSET(A$1,,,SUMPRODUCT(MAX(ROW(E$1:E1187)*(E2=E$1:E1187))))))</f>
        <v> </v>
      </c>
      <c r="K1188" s="25" t="str">
        <f>IF(OR(E1188="",E1188="!!!",F1188="NEW"),"",INDEX(J$1:J1187,SUMPRODUCT(MAX(ROW(E$1:E1187)*(E1188=E$1:E1187)))))</f>
        <v> </v>
      </c>
      <c r="L1188" s="26"/>
    </row>
    <row r="1189" spans="1:12">
      <c r="A1189" s="20" t="s">
        <v>284</v>
      </c>
      <c r="B1189" s="27" t="s">
        <v>183</v>
      </c>
      <c r="C1189" s="27" t="s">
        <v>243</v>
      </c>
      <c r="D1189" s="27" t="s">
        <v>185</v>
      </c>
      <c r="E1189" s="21">
        <f>IF(D1189="?OLD","!!!","")</f>
        <v/>
      </c>
      <c r="F1189" s="22" t="str">
        <f>IF(OR(E1189="",E1189="!!!"),"",IF(NOT(ISNA(VLOOKUP(E1189,E$1:E1188,1,FALSE()))),"OLD",IF(AND(E1189&lt;&gt;"",E1189&lt;&gt;"!!!"),"NEW","")))</f>
        <v> </v>
      </c>
      <c r="G1189" s="23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> </v>
      </c>
      <c r="H1189" s="24" t="str">
        <f>IF(J1189&lt;&gt;1,"",IF(I1189="SBJ","CB","?"))</f>
        <v> </v>
      </c>
      <c r="I1189" s="25" t="str">
        <f>IF(OR(E1189="",E1189="!!!",F1189="NEW"),"",INDEX(B1188:B$2,-1+SUMPRODUCT(MAX(ROW(E1188:E$2)*(E1189=E1188:E$2)))))</f>
        <v> </v>
      </c>
      <c r="J1189" s="25" t="str">
        <f>IF(OR(E1189="",E1189="!!!",F1189="NEW"),"",COUNTBLANK(OFFSET(A$1,,,SUMPRODUCT(MAX(ROW(E$2:E1189)*(E1189=E$2:E1189)))))-COUNTBLANK(OFFSET(A$1,,,SUMPRODUCT(MAX(ROW(E$1:E1188)*(E2=E$1:E1188))))))</f>
        <v> </v>
      </c>
      <c r="K1189" s="25" t="str">
        <f>IF(OR(E1189="",E1189="!!!",F1189="NEW"),"",INDEX(J$1:J1188,SUMPRODUCT(MAX(ROW(E$1:E1188)*(E1189=E$1:E1188)))))</f>
        <v> </v>
      </c>
      <c r="L1189" s="26"/>
    </row>
    <row r="1190" spans="1:12">
      <c r="A1190" s="20" t="s">
        <v>201</v>
      </c>
      <c r="E1190" s="21">
        <f>IF(D1190="?OLD","!!!","")</f>
        <v/>
      </c>
      <c r="F1190" s="22" t="str">
        <f>IF(OR(E1190="",E1190="!!!"),"",IF(NOT(ISNA(VLOOKUP(E1190,E$1:E1189,1,FALSE()))),"OLD",IF(AND(E1190&lt;&gt;"",E1190&lt;&gt;"!!!"),"NEW","")))</f>
        <v> </v>
      </c>
      <c r="G1190" s="23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> </v>
      </c>
      <c r="H1190" s="24" t="str">
        <f>IF(J1190&lt;&gt;1,"",IF(I1190="SBJ","CB","?"))</f>
        <v> </v>
      </c>
      <c r="I1190" s="25" t="str">
        <f>IF(OR(E1190="",E1190="!!!",F1190="NEW"),"",INDEX(B1189:B$2,-1+SUMPRODUCT(MAX(ROW(E1189:E$2)*(E1190=E1189:E$2)))))</f>
        <v> </v>
      </c>
      <c r="J1190" s="25" t="str">
        <f>IF(OR(E1190="",E1190="!!!",F1190="NEW"),"",COUNTBLANK(OFFSET(A$1,,,SUMPRODUCT(MAX(ROW(E$2:E1190)*(E1190=E$2:E1190)))))-COUNTBLANK(OFFSET(A$1,,,SUMPRODUCT(MAX(ROW(E$1:E1189)*(E2=E$1:E1189))))))</f>
        <v> </v>
      </c>
      <c r="K1190" s="25" t="str">
        <f>IF(OR(E1190="",E1190="!!!",F1190="NEW"),"",INDEX(J$1:J1189,SUMPRODUCT(MAX(ROW(E$1:E1189)*(E1190=E$1:E1189)))))</f>
        <v> </v>
      </c>
      <c r="L1190" s="26"/>
    </row>
    <row r="1191" spans="1:12">
      <c r="A1191" s="20" t="s">
        <v>245</v>
      </c>
      <c r="E1191" s="21">
        <f>IF(D1191="?OLD","!!!","")</f>
        <v/>
      </c>
      <c r="F1191" s="22" t="str">
        <f>IF(OR(E1191="",E1191="!!!"),"",IF(NOT(ISNA(VLOOKUP(E1191,E$1:E1190,1,FALSE()))),"OLD",IF(AND(E1191&lt;&gt;"",E1191&lt;&gt;"!!!"),"NEW","")))</f>
        <v> </v>
      </c>
      <c r="G1191" s="23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 </v>
      </c>
      <c r="H1191" s="24" t="str">
        <f>IF(J1191&lt;&gt;1,"",IF(I1191="SBJ","CB","?"))</f>
        <v> </v>
      </c>
      <c r="I1191" s="25" t="str">
        <f>IF(OR(E1191="",E1191="!!!",F1191="NEW"),"",INDEX(B1190:B$2,-1+SUMPRODUCT(MAX(ROW(E1190:E$2)*(E1191=E1190:E$2)))))</f>
        <v> </v>
      </c>
      <c r="J1191" s="25" t="str">
        <f>IF(OR(E1191="",E1191="!!!",F1191="NEW"),"",COUNTBLANK(OFFSET(A$1,,,SUMPRODUCT(MAX(ROW(E$2:E1191)*(E1191=E$2:E1191)))))-COUNTBLANK(OFFSET(A$1,,,SUMPRODUCT(MAX(ROW(E$1:E1190)*(E2=E$1:E1190))))))</f>
        <v> </v>
      </c>
      <c r="K1191" s="25" t="str">
        <f>IF(OR(E1191="",E1191="!!!",F1191="NEW"),"",INDEX(J$1:J1190,SUMPRODUCT(MAX(ROW(E$1:E1190)*(E1191=E$1:E1190)))))</f>
        <v> </v>
      </c>
      <c r="L1191" s="26"/>
    </row>
    <row r="1192" spans="1:12">
      <c r="A1192" s="20" t="s">
        <v>267</v>
      </c>
      <c r="E1192" s="21">
        <f>IF(D1192="?OLD","!!!","")</f>
        <v/>
      </c>
      <c r="F1192" s="22" t="str">
        <f>IF(OR(E1192="",E1192="!!!"),"",IF(NOT(ISNA(VLOOKUP(E1192,E$1:E1191,1,FALSE()))),"OLD",IF(AND(E1192&lt;&gt;"",E1192&lt;&gt;"!!!"),"NEW","")))</f>
        <v> </v>
      </c>
      <c r="G1192" s="23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 </v>
      </c>
      <c r="H1192" s="24" t="str">
        <f>IF(J1192&lt;&gt;1,"",IF(I1192="SBJ","CB","?"))</f>
        <v> </v>
      </c>
      <c r="I1192" s="25" t="str">
        <f>IF(OR(E1192="",E1192="!!!",F1192="NEW"),"",INDEX(B1191:B$2,-1+SUMPRODUCT(MAX(ROW(E1191:E$2)*(E1192=E1191:E$2)))))</f>
        <v> </v>
      </c>
      <c r="J1192" s="25" t="str">
        <f>IF(OR(E1192="",E1192="!!!",F1192="NEW"),"",COUNTBLANK(OFFSET(A$1,,,SUMPRODUCT(MAX(ROW(E$2:E1192)*(E1192=E$2:E1192)))))-COUNTBLANK(OFFSET(A$1,,,SUMPRODUCT(MAX(ROW(E$1:E1191)*(E2=E$1:E1191))))))</f>
        <v> </v>
      </c>
      <c r="K1192" s="25" t="str">
        <f>IF(OR(E1192="",E1192="!!!",F1192="NEW"),"",INDEX(J$1:J1191,SUMPRODUCT(MAX(ROW(E$1:E1191)*(E1192=E$1:E1191)))))</f>
        <v> </v>
      </c>
      <c r="L1192" s="26"/>
    </row>
    <row r="1193" spans="1:12">
      <c r="A1193" s="20" t="s">
        <v>256</v>
      </c>
      <c r="B1193" s="27" t="s">
        <v>246</v>
      </c>
      <c r="C1193" s="27" t="s">
        <v>217</v>
      </c>
      <c r="E1193" s="21">
        <f>IF(D1193="?OLD","!!!","")</f>
        <v/>
      </c>
      <c r="F1193" s="22" t="str">
        <f>IF(OR(E1193="",E1193="!!!"),"",IF(NOT(ISNA(VLOOKUP(E1193,E$1:E1192,1,FALSE()))),"OLD",IF(AND(E1193&lt;&gt;"",E1193&lt;&gt;"!!!"),"NEW","")))</f>
        <v> </v>
      </c>
      <c r="G1193" s="23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> </v>
      </c>
      <c r="H1193" s="24" t="str">
        <f>IF(J1193&lt;&gt;1,"",IF(I1193="SBJ","CB","?"))</f>
        <v> </v>
      </c>
      <c r="I1193" s="25" t="str">
        <f>IF(OR(E1193="",E1193="!!!",F1193="NEW"),"",INDEX(B1192:B$2,-1+SUMPRODUCT(MAX(ROW(E1192:E$2)*(E1193=E1192:E$2)))))</f>
        <v> </v>
      </c>
      <c r="J1193" s="25" t="str">
        <f>IF(OR(E1193="",E1193="!!!",F1193="NEW"),"",COUNTBLANK(OFFSET(A$1,,,SUMPRODUCT(MAX(ROW(E$2:E1193)*(E1193=E$2:E1193)))))-COUNTBLANK(OFFSET(A$1,,,SUMPRODUCT(MAX(ROW(E$1:E1192)*(E2=E$1:E1192))))))</f>
        <v> </v>
      </c>
      <c r="K1193" s="25" t="str">
        <f>IF(OR(E1193="",E1193="!!!",F1193="NEW"),"",INDEX(J$1:J1192,SUMPRODUCT(MAX(ROW(E$1:E1192)*(E1193=E$1:E1192)))))</f>
        <v> </v>
      </c>
      <c r="L1193" s="26"/>
    </row>
    <row r="1194" spans="1:12">
      <c r="A1194" s="20" t="s">
        <v>556</v>
      </c>
      <c r="E1194" s="21">
        <f>IF(D1194="?OLD","!!!","")</f>
        <v/>
      </c>
      <c r="F1194" s="22" t="str">
        <f>IF(OR(E1194="",E1194="!!!"),"",IF(NOT(ISNA(VLOOKUP(E1194,E$1:E1193,1,FALSE()))),"OLD",IF(AND(E1194&lt;&gt;"",E1194&lt;&gt;"!!!"),"NEW","")))</f>
        <v> </v>
      </c>
      <c r="G1194" s="23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> </v>
      </c>
      <c r="H1194" s="24" t="str">
        <f>IF(J1194&lt;&gt;1,"",IF(I1194="SBJ","CB","?"))</f>
        <v> </v>
      </c>
      <c r="I1194" s="25" t="str">
        <f>IF(OR(E1194="",E1194="!!!",F1194="NEW"),"",INDEX(B1193:B$2,-1+SUMPRODUCT(MAX(ROW(E1193:E$2)*(E1194=E1193:E$2)))))</f>
        <v> </v>
      </c>
      <c r="J1194" s="25" t="str">
        <f>IF(OR(E1194="",E1194="!!!",F1194="NEW"),"",COUNTBLANK(OFFSET(A$1,,,SUMPRODUCT(MAX(ROW(E$2:E1194)*(E1194=E$2:E1194)))))-COUNTBLANK(OFFSET(A$1,,,SUMPRODUCT(MAX(ROW(E$1:E1193)*(E2=E$1:E1193))))))</f>
        <v> </v>
      </c>
      <c r="K1194" s="25" t="str">
        <f>IF(OR(E1194="",E1194="!!!",F1194="NEW"),"",INDEX(J$1:J1193,SUMPRODUCT(MAX(ROW(E$1:E1193)*(E1194=E$1:E1193)))))</f>
        <v> </v>
      </c>
      <c r="L1194" s="26"/>
    </row>
    <row r="1195" spans="1:12">
      <c r="A1195" s="20"/>
    </row>
    <row r="1196" spans="1:12">
      <c r="A1196" s="20" t="s">
        <v>666</v>
      </c>
    </row>
    <row r="1197" spans="1:12">
      <c r="A1197" s="20" t="s">
        <v>490</v>
      </c>
      <c r="E1197" s="21">
        <f>IF(D1197="?OLD","!!!","")</f>
        <v/>
      </c>
      <c r="F1197" s="22" t="str">
        <f>IF(OR(E1197="",E1197="!!!"),"",IF(NOT(ISNA(VLOOKUP(E1197,E$1:E1196,1,FALSE()))),"OLD",IF(AND(E1197&lt;&gt;"",E1197&lt;&gt;"!!!"),"NEW","")))</f>
        <v> </v>
      </c>
      <c r="G1197" s="23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> </v>
      </c>
      <c r="H1197" s="24" t="str">
        <f>IF(J1197&lt;&gt;1,"",IF(I1197="SBJ","CB","?"))</f>
        <v> </v>
      </c>
      <c r="I1197" s="25" t="str">
        <f>IF(OR(E1197="",E1197="!!!",F1197="NEW"),"",INDEX(B1196:B$2,-1+SUMPRODUCT(MAX(ROW(E1196:E$2)*(E1197=E1196:E$2)))))</f>
        <v> </v>
      </c>
      <c r="J1197" s="25" t="str">
        <f>IF(OR(E1197="",E1197="!!!",F1197="NEW"),"",COUNTBLANK(OFFSET(A$1,,,SUMPRODUCT(MAX(ROW(E$2:E1197)*(E1197=E$2:E1197)))))-COUNTBLANK(OFFSET(A$1,,,SUMPRODUCT(MAX(ROW(E$1:E1196)*(E2=E$1:E1196))))))</f>
        <v> </v>
      </c>
      <c r="K1197" s="25" t="str">
        <f>IF(OR(E1197="",E1197="!!!",F1197="NEW"),"",INDEX(J$1:J1196,SUMPRODUCT(MAX(ROW(E$1:E1196)*(E1197=E$1:E1196)))))</f>
        <v> </v>
      </c>
      <c r="L1197" s="26"/>
    </row>
    <row r="1198" spans="1:12">
      <c r="A1198" s="20" t="s">
        <v>201</v>
      </c>
      <c r="E1198" s="21">
        <f>IF(D1198="?OLD","!!!","")</f>
        <v/>
      </c>
      <c r="F1198" s="22" t="str">
        <f>IF(OR(E1198="",E1198="!!!"),"",IF(NOT(ISNA(VLOOKUP(E1198,E$1:E1197,1,FALSE()))),"OLD",IF(AND(E1198&lt;&gt;"",E1198&lt;&gt;"!!!"),"NEW","")))</f>
        <v> </v>
      </c>
      <c r="G1198" s="23" t="str">
        <f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> </v>
      </c>
      <c r="H1198" s="24" t="str">
        <f>IF(J1198&lt;&gt;1,"",IF(I1198="SBJ","CB","?"))</f>
        <v> </v>
      </c>
      <c r="I1198" s="25" t="str">
        <f>IF(OR(E1198="",E1198="!!!",F1198="NEW"),"",INDEX(B1197:B$2,-1+SUMPRODUCT(MAX(ROW(E1197:E$2)*(E1198=E1197:E$2)))))</f>
        <v> </v>
      </c>
      <c r="J1198" s="25" t="str">
        <f>IF(OR(E1198="",E1198="!!!",F1198="NEW"),"",COUNTBLANK(OFFSET(A$1,,,SUMPRODUCT(MAX(ROW(E$2:E1198)*(E1198=E$2:E1198)))))-COUNTBLANK(OFFSET(A$1,,,SUMPRODUCT(MAX(ROW(E$1:E1197)*(E2=E$1:E1197))))))</f>
        <v> </v>
      </c>
      <c r="K1198" s="25" t="str">
        <f>IF(OR(E1198="",E1198="!!!",F1198="NEW"),"",INDEX(J$1:J1197,SUMPRODUCT(MAX(ROW(E$1:E1197)*(E1198=E$1:E1197)))))</f>
        <v> </v>
      </c>
      <c r="L1198" s="26"/>
    </row>
    <row r="1199" spans="1:12">
      <c r="A1199" s="20" t="s">
        <v>643</v>
      </c>
      <c r="E1199" s="21">
        <f>IF(D1199="?OLD","!!!","")</f>
        <v/>
      </c>
      <c r="F1199" s="22" t="str">
        <f>IF(OR(E1199="",E1199="!!!"),"",IF(NOT(ISNA(VLOOKUP(E1199,E$1:E1198,1,FALSE()))),"OLD",IF(AND(E1199&lt;&gt;"",E1199&lt;&gt;"!!!"),"NEW","")))</f>
        <v> </v>
      </c>
      <c r="G1199" s="23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> </v>
      </c>
      <c r="H1199" s="24" t="str">
        <f>IF(J1199&lt;&gt;1,"",IF(I1199="SBJ","CB","?"))</f>
        <v> </v>
      </c>
      <c r="I1199" s="25" t="str">
        <f>IF(OR(E1199="",E1199="!!!",F1199="NEW"),"",INDEX(B1198:B$2,-1+SUMPRODUCT(MAX(ROW(E1198:E$2)*(E1199=E1198:E$2)))))</f>
        <v> </v>
      </c>
      <c r="J1199" s="25" t="str">
        <f>IF(OR(E1199="",E1199="!!!",F1199="NEW"),"",COUNTBLANK(OFFSET(A$1,,,SUMPRODUCT(MAX(ROW(E$2:E1199)*(E1199=E$2:E1199)))))-COUNTBLANK(OFFSET(A$1,,,SUMPRODUCT(MAX(ROW(E$1:E1198)*(E2=E$1:E1198))))))</f>
        <v> </v>
      </c>
      <c r="K1199" s="25" t="str">
        <f>IF(OR(E1199="",E1199="!!!",F1199="NEW"),"",INDEX(J$1:J1198,SUMPRODUCT(MAX(ROW(E$1:E1198)*(E1199=E$1:E1198)))))</f>
        <v> </v>
      </c>
      <c r="L1199" s="26"/>
    </row>
    <row r="1200" spans="1:12">
      <c r="A1200" s="20" t="s">
        <v>667</v>
      </c>
      <c r="B1200" s="27" t="s">
        <v>246</v>
      </c>
      <c r="C1200" s="27" t="s">
        <v>224</v>
      </c>
      <c r="E1200" s="21">
        <f>IF(D1200="?OLD","!!!","")</f>
        <v/>
      </c>
      <c r="F1200" s="22" t="str">
        <f>IF(OR(E1200="",E1200="!!!"),"",IF(NOT(ISNA(VLOOKUP(E1200,E$1:E1199,1,FALSE()))),"OLD",IF(AND(E1200&lt;&gt;"",E1200&lt;&gt;"!!!"),"NEW","")))</f>
        <v> </v>
      </c>
      <c r="G1200" s="23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> </v>
      </c>
      <c r="H1200" s="24" t="str">
        <f>IF(J1200&lt;&gt;1,"",IF(I1200="SBJ","CB","?"))</f>
        <v> </v>
      </c>
      <c r="I1200" s="25" t="str">
        <f>IF(OR(E1200="",E1200="!!!",F1200="NEW"),"",INDEX(B1199:B$2,-1+SUMPRODUCT(MAX(ROW(E1199:E$2)*(E1200=E1199:E$2)))))</f>
        <v> </v>
      </c>
      <c r="J1200" s="25" t="str">
        <f>IF(OR(E1200="",E1200="!!!",F1200="NEW"),"",COUNTBLANK(OFFSET(A$1,,,SUMPRODUCT(MAX(ROW(E$2:E1200)*(E1200=E$2:E1200)))))-COUNTBLANK(OFFSET(A$1,,,SUMPRODUCT(MAX(ROW(E$1:E1199)*(E2=E$1:E1199))))))</f>
        <v> </v>
      </c>
      <c r="K1200" s="25" t="str">
        <f>IF(OR(E1200="",E1200="!!!",F1200="NEW"),"",INDEX(J$1:J1199,SUMPRODUCT(MAX(ROW(E$1:E1199)*(E1200=E$1:E1199)))))</f>
        <v> </v>
      </c>
      <c r="L1200" s="26"/>
    </row>
    <row r="1201" spans="1:12">
      <c r="A1201" s="20" t="s">
        <v>201</v>
      </c>
      <c r="B1201" s="27" t="s">
        <v>270</v>
      </c>
      <c r="E1201" s="21">
        <f>IF(D1201="?OLD","!!!","")</f>
        <v/>
      </c>
      <c r="F1201" s="22" t="str">
        <f>IF(OR(E1201="",E1201="!!!"),"",IF(NOT(ISNA(VLOOKUP(E1201,E$1:E1200,1,FALSE()))),"OLD",IF(AND(E1201&lt;&gt;"",E1201&lt;&gt;"!!!"),"NEW","")))</f>
        <v> </v>
      </c>
      <c r="G1201" s="23" t="str">
        <f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> </v>
      </c>
      <c r="H1201" s="24" t="str">
        <f>IF(J1201&lt;&gt;1,"",IF(I1201="SBJ","CB","?"))</f>
        <v> </v>
      </c>
      <c r="I1201" s="25" t="str">
        <f>IF(OR(E1201="",E1201="!!!",F1201="NEW"),"",INDEX(B1200:B$2,-1+SUMPRODUCT(MAX(ROW(E1200:E$2)*(E1201=E1200:E$2)))))</f>
        <v> </v>
      </c>
      <c r="J1201" s="25" t="str">
        <f>IF(OR(E1201="",E1201="!!!",F1201="NEW"),"",COUNTBLANK(OFFSET(A$1,,,SUMPRODUCT(MAX(ROW(E$2:E1201)*(E1201=E$2:E1201)))))-COUNTBLANK(OFFSET(A$1,,,SUMPRODUCT(MAX(ROW(E$1:E1200)*(E2=E$1:E1200))))))</f>
        <v> </v>
      </c>
      <c r="K1201" s="25" t="str">
        <f>IF(OR(E1201="",E1201="!!!",F1201="NEW"),"",INDEX(J$1:J1200,SUMPRODUCT(MAX(ROW(E$1:E1200)*(E1201=E$1:E1200)))))</f>
        <v> </v>
      </c>
      <c r="L1201" s="26"/>
    </row>
    <row r="1202" spans="1:12">
      <c r="A1202" s="20" t="s">
        <v>245</v>
      </c>
      <c r="E1202" s="21">
        <f>IF(D1202="?OLD","!!!","")</f>
        <v/>
      </c>
      <c r="F1202" s="22" t="str">
        <f>IF(OR(E1202="",E1202="!!!"),"",IF(NOT(ISNA(VLOOKUP(E1202,E$1:E1201,1,FALSE()))),"OLD",IF(AND(E1202&lt;&gt;"",E1202&lt;&gt;"!!!"),"NEW","")))</f>
        <v> </v>
      </c>
      <c r="G1202" s="23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> </v>
      </c>
      <c r="H1202" s="24" t="str">
        <f>IF(J1202&lt;&gt;1,"",IF(I1202="SBJ","CB","?"))</f>
        <v> </v>
      </c>
      <c r="I1202" s="25" t="str">
        <f>IF(OR(E1202="",E1202="!!!",F1202="NEW"),"",INDEX(B1201:B$2,-1+SUMPRODUCT(MAX(ROW(E1201:E$2)*(E1202=E1201:E$2)))))</f>
        <v> </v>
      </c>
      <c r="J1202" s="25" t="str">
        <f>IF(OR(E1202="",E1202="!!!",F1202="NEW"),"",COUNTBLANK(OFFSET(A$1,,,SUMPRODUCT(MAX(ROW(E$2:E1202)*(E1202=E$2:E1202)))))-COUNTBLANK(OFFSET(A$1,,,SUMPRODUCT(MAX(ROW(E$1:E1201)*(E2=E$1:E1201))))))</f>
        <v> </v>
      </c>
      <c r="K1202" s="25" t="str">
        <f>IF(OR(E1202="",E1202="!!!",F1202="NEW"),"",INDEX(J$1:J1201,SUMPRODUCT(MAX(ROW(E$1:E1201)*(E1202=E$1:E1201)))))</f>
        <v> </v>
      </c>
      <c r="L1202" s="26"/>
    </row>
    <row r="1203" spans="1:12">
      <c r="A1203" s="20" t="s">
        <v>267</v>
      </c>
      <c r="E1203" s="21">
        <f>IF(D1203="?OLD","!!!","")</f>
        <v/>
      </c>
      <c r="F1203" s="22" t="str">
        <f>IF(OR(E1203="",E1203="!!!"),"",IF(NOT(ISNA(VLOOKUP(E1203,E$1:E1202,1,FALSE()))),"OLD",IF(AND(E1203&lt;&gt;"",E1203&lt;&gt;"!!!"),"NEW","")))</f>
        <v> </v>
      </c>
      <c r="G1203" s="23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> </v>
      </c>
      <c r="H1203" s="24" t="str">
        <f>IF(J1203&lt;&gt;1,"",IF(I1203="SBJ","CB","?"))</f>
        <v> </v>
      </c>
      <c r="I1203" s="25" t="str">
        <f>IF(OR(E1203="",E1203="!!!",F1203="NEW"),"",INDEX(B1202:B$2,-1+SUMPRODUCT(MAX(ROW(E1202:E$2)*(E1203=E1202:E$2)))))</f>
        <v> </v>
      </c>
      <c r="J1203" s="25" t="str">
        <f>IF(OR(E1203="",E1203="!!!",F1203="NEW"),"",COUNTBLANK(OFFSET(A$1,,,SUMPRODUCT(MAX(ROW(E$2:E1203)*(E1203=E$2:E1203)))))-COUNTBLANK(OFFSET(A$1,,,SUMPRODUCT(MAX(ROW(E$1:E1202)*(E2=E$1:E1202))))))</f>
        <v> </v>
      </c>
      <c r="K1203" s="25" t="str">
        <f>IF(OR(E1203="",E1203="!!!",F1203="NEW"),"",INDEX(J$1:J1202,SUMPRODUCT(MAX(ROW(E$1:E1202)*(E1203=E$1:E1202)))))</f>
        <v> </v>
      </c>
      <c r="L1203" s="26"/>
    </row>
    <row r="1204" spans="1:12">
      <c r="A1204" s="20" t="s">
        <v>358</v>
      </c>
      <c r="B1204" s="27" t="s">
        <v>183</v>
      </c>
      <c r="C1204" s="27" t="s">
        <v>217</v>
      </c>
      <c r="E1204" s="21">
        <f>IF(D1204="?OLD","!!!","")</f>
        <v/>
      </c>
      <c r="F1204" s="22" t="str">
        <f>IF(OR(E1204="",E1204="!!!"),"",IF(NOT(ISNA(VLOOKUP(E1204,E$1:E1203,1,FALSE()))),"OLD",IF(AND(E1204&lt;&gt;"",E1204&lt;&gt;"!!!"),"NEW","")))</f>
        <v> </v>
      </c>
      <c r="G1204" s="23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> </v>
      </c>
      <c r="H1204" s="24" t="str">
        <f>IF(J1204&lt;&gt;1,"",IF(I1204="SBJ","CB","?"))</f>
        <v> </v>
      </c>
      <c r="I1204" s="25" t="str">
        <f>IF(OR(E1204="",E1204="!!!",F1204="NEW"),"",INDEX(B1203:B$2,-1+SUMPRODUCT(MAX(ROW(E1203:E$2)*(E1204=E1203:E$2)))))</f>
        <v> </v>
      </c>
      <c r="J1204" s="25" t="str">
        <f>IF(OR(E1204="",E1204="!!!",F1204="NEW"),"",COUNTBLANK(OFFSET(A$1,,,SUMPRODUCT(MAX(ROW(E$2:E1204)*(E1204=E$2:E1204)))))-COUNTBLANK(OFFSET(A$1,,,SUMPRODUCT(MAX(ROW(E$1:E1203)*(E2=E$1:E1203))))))</f>
        <v> </v>
      </c>
      <c r="K1204" s="25" t="str">
        <f>IF(OR(E1204="",E1204="!!!",F1204="NEW"),"",INDEX(J$1:J1203,SUMPRODUCT(MAX(ROW(E$1:E1203)*(E1204=E$1:E1203)))))</f>
        <v> </v>
      </c>
      <c r="L1204" s="26"/>
    </row>
    <row r="1205" spans="1:12">
      <c r="A1205" s="20" t="s">
        <v>668</v>
      </c>
      <c r="E1205" s="21">
        <f>IF(D1205="?OLD","!!!","")</f>
        <v/>
      </c>
      <c r="F1205" s="22" t="str">
        <f>IF(OR(E1205="",E1205="!!!"),"",IF(NOT(ISNA(VLOOKUP(E1205,E$1:E1204,1,FALSE()))),"OLD",IF(AND(E1205&lt;&gt;"",E1205&lt;&gt;"!!!"),"NEW","")))</f>
        <v> </v>
      </c>
      <c r="G1205" s="23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> </v>
      </c>
      <c r="H1205" s="24" t="str">
        <f>IF(J1205&lt;&gt;1,"",IF(I1205="SBJ","CB","?"))</f>
        <v> </v>
      </c>
      <c r="I1205" s="25" t="str">
        <f>IF(OR(E1205="",E1205="!!!",F1205="NEW"),"",INDEX(B1204:B$2,-1+SUMPRODUCT(MAX(ROW(E1204:E$2)*(E1205=E1204:E$2)))))</f>
        <v> </v>
      </c>
      <c r="J1205" s="25" t="str">
        <f>IF(OR(E1205="",E1205="!!!",F1205="NEW"),"",COUNTBLANK(OFFSET(A$1,,,SUMPRODUCT(MAX(ROW(E$2:E1205)*(E1205=E$2:E1205)))))-COUNTBLANK(OFFSET(A$1,,,SUMPRODUCT(MAX(ROW(E$1:E1204)*(E2=E$1:E1204))))))</f>
        <v> </v>
      </c>
      <c r="K1205" s="25" t="str">
        <f>IF(OR(E1205="",E1205="!!!",F1205="NEW"),"",INDEX(J$1:J1204,SUMPRODUCT(MAX(ROW(E$1:E1204)*(E1205=E$1:E1204)))))</f>
        <v> </v>
      </c>
      <c r="L1205" s="26"/>
    </row>
    <row r="1206" spans="1:12">
      <c r="A1206" s="20" t="s">
        <v>209</v>
      </c>
      <c r="E1206" s="21">
        <f>IF(D1206="?OLD","!!!","")</f>
        <v/>
      </c>
      <c r="F1206" s="22" t="str">
        <f>IF(OR(E1206="",E1206="!!!"),"",IF(NOT(ISNA(VLOOKUP(E1206,E$1:E1205,1,FALSE()))),"OLD",IF(AND(E1206&lt;&gt;"",E1206&lt;&gt;"!!!"),"NEW","")))</f>
        <v> </v>
      </c>
      <c r="G1206" s="23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> </v>
      </c>
      <c r="H1206" s="24" t="str">
        <f>IF(J1206&lt;&gt;1,"",IF(I1206="SBJ","CB","?"))</f>
        <v> </v>
      </c>
      <c r="I1206" s="25" t="str">
        <f>IF(OR(E1206="",E1206="!!!",F1206="NEW"),"",INDEX(B1205:B$2,-1+SUMPRODUCT(MAX(ROW(E1205:E$2)*(E1206=E1205:E$2)))))</f>
        <v> </v>
      </c>
      <c r="J1206" s="25" t="str">
        <f>IF(OR(E1206="",E1206="!!!",F1206="NEW"),"",COUNTBLANK(OFFSET(A$1,,,SUMPRODUCT(MAX(ROW(E$2:E1206)*(E1206=E$2:E1206)))))-COUNTBLANK(OFFSET(A$1,,,SUMPRODUCT(MAX(ROW(E$1:E1205)*(E2=E$1:E1205))))))</f>
        <v> </v>
      </c>
      <c r="K1206" s="25" t="str">
        <f>IF(OR(E1206="",E1206="!!!",F1206="NEW"),"",INDEX(J$1:J1205,SUMPRODUCT(MAX(ROW(E$1:E1205)*(E1206=E$1:E1205)))))</f>
        <v> </v>
      </c>
      <c r="L1206" s="26"/>
    </row>
    <row r="1207" spans="1:12">
      <c r="A1207" s="20" t="s">
        <v>214</v>
      </c>
      <c r="E1207" s="21">
        <f>IF(D1207="?OLD","!!!","")</f>
        <v/>
      </c>
      <c r="F1207" s="22" t="str">
        <f>IF(OR(E1207="",E1207="!!!"),"",IF(NOT(ISNA(VLOOKUP(E1207,E$1:E1206,1,FALSE()))),"OLD",IF(AND(E1207&lt;&gt;"",E1207&lt;&gt;"!!!"),"NEW","")))</f>
        <v> </v>
      </c>
      <c r="G1207" s="23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> </v>
      </c>
      <c r="H1207" s="24" t="str">
        <f>IF(J1207&lt;&gt;1,"",IF(I1207="SBJ","CB","?"))</f>
        <v> </v>
      </c>
      <c r="I1207" s="25" t="str">
        <f>IF(OR(E1207="",E1207="!!!",F1207="NEW"),"",INDEX(B1206:B$2,-1+SUMPRODUCT(MAX(ROW(E1206:E$2)*(E1207=E1206:E$2)))))</f>
        <v> </v>
      </c>
      <c r="J1207" s="25" t="str">
        <f>IF(OR(E1207="",E1207="!!!",F1207="NEW"),"",COUNTBLANK(OFFSET(A$1,,,SUMPRODUCT(MAX(ROW(E$2:E1207)*(E1207=E$2:E1207)))))-COUNTBLANK(OFFSET(A$1,,,SUMPRODUCT(MAX(ROW(E$1:E1206)*(E2=E$1:E1206))))))</f>
        <v> </v>
      </c>
      <c r="K1207" s="25" t="str">
        <f>IF(OR(E1207="",E1207="!!!",F1207="NEW"),"",INDEX(J$1:J1206,SUMPRODUCT(MAX(ROW(E$1:E1206)*(E1207=E$1:E1206)))))</f>
        <v> </v>
      </c>
      <c r="L1207" s="26"/>
    </row>
    <row r="1208" spans="1:12">
      <c r="A1208" s="20" t="s">
        <v>583</v>
      </c>
      <c r="B1208" s="27" t="s">
        <v>188</v>
      </c>
      <c r="C1208" s="27" t="s">
        <v>184</v>
      </c>
      <c r="D1208" s="27" t="s">
        <v>185</v>
      </c>
      <c r="E1208" s="21">
        <f>IF(D1208="?OLD","!!!","")</f>
        <v/>
      </c>
      <c r="F1208" s="22" t="str">
        <f>IF(OR(E1208="",E1208="!!!"),"",IF(NOT(ISNA(VLOOKUP(E1208,E$1:E1207,1,FALSE()))),"OLD",IF(AND(E1208&lt;&gt;"",E1208&lt;&gt;"!!!"),"NEW","")))</f>
        <v> </v>
      </c>
      <c r="G1208" s="23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> </v>
      </c>
      <c r="H1208" s="24" t="str">
        <f>IF(J1208&lt;&gt;1,"",IF(I1208="SBJ","CB","?"))</f>
        <v> </v>
      </c>
      <c r="I1208" s="25" t="str">
        <f>IF(OR(E1208="",E1208="!!!",F1208="NEW"),"",INDEX(B1207:B$2,-1+SUMPRODUCT(MAX(ROW(E1207:E$2)*(E1208=E1207:E$2)))))</f>
        <v> </v>
      </c>
      <c r="J1208" s="25" t="str">
        <f>IF(OR(E1208="",E1208="!!!",F1208="NEW"),"",COUNTBLANK(OFFSET(A$1,,,SUMPRODUCT(MAX(ROW(E$2:E1208)*(E1208=E$2:E1208)))))-COUNTBLANK(OFFSET(A$1,,,SUMPRODUCT(MAX(ROW(E$1:E1207)*(E2=E$1:E1207))))))</f>
        <v> </v>
      </c>
      <c r="K1208" s="25" t="str">
        <f>IF(OR(E1208="",E1208="!!!",F1208="NEW"),"",INDEX(J$1:J1207,SUMPRODUCT(MAX(ROW(E$1:E1207)*(E1208=E$1:E1207)))))</f>
        <v> </v>
      </c>
      <c r="L1208" s="26"/>
    </row>
    <row r="1209" spans="1:12">
      <c r="A1209" s="20" t="s">
        <v>186</v>
      </c>
      <c r="E1209" s="21">
        <f>IF(D1209="?OLD","!!!","")</f>
        <v/>
      </c>
      <c r="F1209" s="22" t="str">
        <f>IF(OR(E1209="",E1209="!!!"),"",IF(NOT(ISNA(VLOOKUP(E1209,E$1:E1208,1,FALSE()))),"OLD",IF(AND(E1209&lt;&gt;"",E1209&lt;&gt;"!!!"),"NEW","")))</f>
        <v> </v>
      </c>
      <c r="G1209" s="23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> </v>
      </c>
      <c r="H1209" s="24" t="str">
        <f>IF(J1209&lt;&gt;1,"",IF(I1209="SBJ","CB","?"))</f>
        <v> </v>
      </c>
      <c r="I1209" s="25" t="str">
        <f>IF(OR(E1209="",E1209="!!!",F1209="NEW"),"",INDEX(B1208:B$2,-1+SUMPRODUCT(MAX(ROW(E1208:E$2)*(E1209=E1208:E$2)))))</f>
        <v> </v>
      </c>
      <c r="J1209" s="25" t="str">
        <f>IF(OR(E1209="",E1209="!!!",F1209="NEW"),"",COUNTBLANK(OFFSET(A$1,,,SUMPRODUCT(MAX(ROW(E$2:E1209)*(E1209=E$2:E1209)))))-COUNTBLANK(OFFSET(A$1,,,SUMPRODUCT(MAX(ROW(E$1:E1208)*(E2=E$1:E1208))))))</f>
        <v> </v>
      </c>
      <c r="K1209" s="25" t="str">
        <f>IF(OR(E1209="",E1209="!!!",F1209="NEW"),"",INDEX(J$1:J1208,SUMPRODUCT(MAX(ROW(E$1:E1208)*(E1209=E$1:E1208)))))</f>
        <v> </v>
      </c>
      <c r="L1209" s="26"/>
    </row>
    <row r="1210" spans="1:12">
      <c r="A1210" s="20" t="s">
        <v>195</v>
      </c>
      <c r="B1210" s="27" t="s">
        <v>216</v>
      </c>
      <c r="C1210" s="27" t="s">
        <v>189</v>
      </c>
      <c r="E1210" s="21">
        <f>IF(D1210="?OLD","!!!","")</f>
        <v/>
      </c>
      <c r="F1210" s="22" t="str">
        <f>IF(OR(E1210="",E1210="!!!"),"",IF(NOT(ISNA(VLOOKUP(E1210,E$1:E1209,1,FALSE()))),"OLD",IF(AND(E1210&lt;&gt;"",E1210&lt;&gt;"!!!"),"NEW","")))</f>
        <v> </v>
      </c>
      <c r="G1210" s="23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> </v>
      </c>
      <c r="H1210" s="24" t="str">
        <f>IF(J1210&lt;&gt;1,"",IF(I1210="SBJ","CB","?"))</f>
        <v> </v>
      </c>
      <c r="I1210" s="25" t="str">
        <f>IF(OR(E1210="",E1210="!!!",F1210="NEW"),"",INDEX(B1209:B$2,-1+SUMPRODUCT(MAX(ROW(E1209:E$2)*(E1210=E1209:E$2)))))</f>
        <v> </v>
      </c>
      <c r="J1210" s="25" t="str">
        <f>IF(OR(E1210="",E1210="!!!",F1210="NEW"),"",COUNTBLANK(OFFSET(A$1,,,SUMPRODUCT(MAX(ROW(E$2:E1210)*(E1210=E$2:E1210)))))-COUNTBLANK(OFFSET(A$1,,,SUMPRODUCT(MAX(ROW(E$1:E1209)*(E2=E$1:E1209))))))</f>
        <v> </v>
      </c>
      <c r="K1210" s="25" t="str">
        <f>IF(OR(E1210="",E1210="!!!",F1210="NEW"),"",INDEX(J$1:J1209,SUMPRODUCT(MAX(ROW(E$1:E1209)*(E1210=E$1:E1209)))))</f>
        <v> </v>
      </c>
      <c r="L1210" s="26"/>
    </row>
    <row r="1211" spans="1:12">
      <c r="A1211" s="20" t="s">
        <v>194</v>
      </c>
      <c r="E1211" s="21">
        <f>IF(D1211="?OLD","!!!","")</f>
        <v/>
      </c>
      <c r="F1211" s="22" t="str">
        <f>IF(OR(E1211="",E1211="!!!"),"",IF(NOT(ISNA(VLOOKUP(E1211,E$1:E1210,1,FALSE()))),"OLD",IF(AND(E1211&lt;&gt;"",E1211&lt;&gt;"!!!"),"NEW","")))</f>
        <v> </v>
      </c>
      <c r="G1211" s="23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> </v>
      </c>
      <c r="H1211" s="24" t="str">
        <f>IF(J1211&lt;&gt;1,"",IF(I1211="SBJ","CB","?"))</f>
        <v> </v>
      </c>
      <c r="I1211" s="25" t="str">
        <f>IF(OR(E1211="",E1211="!!!",F1211="NEW"),"",INDEX(B1210:B$2,-1+SUMPRODUCT(MAX(ROW(E1210:E$2)*(E1211=E1210:E$2)))))</f>
        <v> </v>
      </c>
      <c r="J1211" s="25" t="str">
        <f>IF(OR(E1211="",E1211="!!!",F1211="NEW"),"",COUNTBLANK(OFFSET(A$1,,,SUMPRODUCT(MAX(ROW(E$2:E1211)*(E1211=E$2:E1211)))))-COUNTBLANK(OFFSET(A$1,,,SUMPRODUCT(MAX(ROW(E$1:E1210)*(E2=E$1:E1210))))))</f>
        <v> </v>
      </c>
      <c r="K1211" s="25" t="str">
        <f>IF(OR(E1211="",E1211="!!!",F1211="NEW"),"",INDEX(J$1:J1210,SUMPRODUCT(MAX(ROW(E$1:E1210)*(E1211=E$1:E1210)))))</f>
        <v> </v>
      </c>
      <c r="L1211" s="26"/>
    </row>
    <row r="1212" spans="1:12">
      <c r="A1212" s="20" t="s">
        <v>196</v>
      </c>
      <c r="B1212" s="27" t="s">
        <v>205</v>
      </c>
      <c r="C1212" s="27" t="s">
        <v>189</v>
      </c>
      <c r="E1212" s="21">
        <f>IF(D1212="?OLD","!!!","")</f>
        <v/>
      </c>
      <c r="F1212" s="22" t="str">
        <f>IF(OR(E1212="",E1212="!!!"),"",IF(NOT(ISNA(VLOOKUP(E1212,E$1:E1211,1,FALSE()))),"OLD",IF(AND(E1212&lt;&gt;"",E1212&lt;&gt;"!!!"),"NEW","")))</f>
        <v> </v>
      </c>
      <c r="G1212" s="23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> </v>
      </c>
      <c r="H1212" s="24" t="str">
        <f>IF(J1212&lt;&gt;1,"",IF(I1212="SBJ","CB","?"))</f>
        <v> </v>
      </c>
      <c r="I1212" s="25" t="str">
        <f>IF(OR(E1212="",E1212="!!!",F1212="NEW"),"",INDEX(B1211:B$2,-1+SUMPRODUCT(MAX(ROW(E1211:E$2)*(E1212=E1211:E$2)))))</f>
        <v> </v>
      </c>
      <c r="J1212" s="25" t="str">
        <f>IF(OR(E1212="",E1212="!!!",F1212="NEW"),"",COUNTBLANK(OFFSET(A$1,,,SUMPRODUCT(MAX(ROW(E$2:E1212)*(E1212=E$2:E1212)))))-COUNTBLANK(OFFSET(A$1,,,SUMPRODUCT(MAX(ROW(E$1:E1211)*(E2=E$1:E1211))))))</f>
        <v> </v>
      </c>
      <c r="K1212" s="25" t="str">
        <f>IF(OR(E1212="",E1212="!!!",F1212="NEW"),"",INDEX(J$1:J1211,SUMPRODUCT(MAX(ROW(E$1:E1211)*(E1212=E$1:E1211)))))</f>
        <v> </v>
      </c>
      <c r="L1212" s="26"/>
    </row>
    <row r="1213" spans="1:12">
      <c r="A1213" s="20" t="s">
        <v>190</v>
      </c>
      <c r="E1213" s="21">
        <f>IF(D1213="?OLD","!!!","")</f>
        <v/>
      </c>
      <c r="F1213" s="22" t="str">
        <f>IF(OR(E1213="",E1213="!!!"),"",IF(NOT(ISNA(VLOOKUP(E1213,E$1:E1212,1,FALSE()))),"OLD",IF(AND(E1213&lt;&gt;"",E1213&lt;&gt;"!!!"),"NEW","")))</f>
        <v> </v>
      </c>
      <c r="G1213" s="23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> </v>
      </c>
      <c r="H1213" s="24" t="str">
        <f>IF(J1213&lt;&gt;1,"",IF(I1213="SBJ","CB","?"))</f>
        <v> </v>
      </c>
      <c r="I1213" s="25" t="str">
        <f>IF(OR(E1213="",E1213="!!!",F1213="NEW"),"",INDEX(B1212:B$2,-1+SUMPRODUCT(MAX(ROW(E1212:E$2)*(E1213=E1212:E$2)))))</f>
        <v> </v>
      </c>
      <c r="J1213" s="25" t="str">
        <f>IF(OR(E1213="",E1213="!!!",F1213="NEW"),"",COUNTBLANK(OFFSET(A$1,,,SUMPRODUCT(MAX(ROW(E$2:E1213)*(E1213=E$2:E1213)))))-COUNTBLANK(OFFSET(A$1,,,SUMPRODUCT(MAX(ROW(E$1:E1212)*(E2=E$1:E1212))))))</f>
        <v> </v>
      </c>
      <c r="K1213" s="25" t="str">
        <f>IF(OR(E1213="",E1213="!!!",F1213="NEW"),"",INDEX(J$1:J1212,SUMPRODUCT(MAX(ROW(E$1:E1212)*(E1213=E$1:E1212)))))</f>
        <v> </v>
      </c>
      <c r="L1213" s="26"/>
    </row>
    <row r="1214" spans="1:12">
      <c r="A1214" s="20" t="s">
        <v>219</v>
      </c>
      <c r="E1214" s="21">
        <f>IF(D1214="?OLD","!!!","")</f>
        <v/>
      </c>
      <c r="F1214" s="22" t="str">
        <f>IF(OR(E1214="",E1214="!!!"),"",IF(NOT(ISNA(VLOOKUP(E1214,E$1:E1213,1,FALSE()))),"OLD",IF(AND(E1214&lt;&gt;"",E1214&lt;&gt;"!!!"),"NEW","")))</f>
        <v> </v>
      </c>
      <c r="G1214" s="23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> </v>
      </c>
      <c r="H1214" s="24" t="str">
        <f>IF(J1214&lt;&gt;1,"",IF(I1214="SBJ","CB","?"))</f>
        <v> </v>
      </c>
      <c r="I1214" s="25" t="str">
        <f>IF(OR(E1214="",E1214="!!!",F1214="NEW"),"",INDEX(B1213:B$2,-1+SUMPRODUCT(MAX(ROW(E1213:E$2)*(E1214=E1213:E$2)))))</f>
        <v> </v>
      </c>
      <c r="J1214" s="25" t="str">
        <f>IF(OR(E1214="",E1214="!!!",F1214="NEW"),"",COUNTBLANK(OFFSET(A$1,,,SUMPRODUCT(MAX(ROW(E$2:E1214)*(E1214=E$2:E1214)))))-COUNTBLANK(OFFSET(A$1,,,SUMPRODUCT(MAX(ROW(E$1:E1213)*(E2=E$1:E1213))))))</f>
        <v> </v>
      </c>
      <c r="K1214" s="25" t="str">
        <f>IF(OR(E1214="",E1214="!!!",F1214="NEW"),"",INDEX(J$1:J1213,SUMPRODUCT(MAX(ROW(E$1:E1213)*(E1214=E$1:E1213)))))</f>
        <v> </v>
      </c>
      <c r="L1214" s="26"/>
    </row>
    <row r="1215" spans="1:12">
      <c r="A1215" s="20" t="s">
        <v>669</v>
      </c>
      <c r="E1215" s="21">
        <f>IF(D1215="?OLD","!!!","")</f>
        <v/>
      </c>
      <c r="F1215" s="22" t="str">
        <f>IF(OR(E1215="",E1215="!!!"),"",IF(NOT(ISNA(VLOOKUP(E1215,E$1:E1214,1,FALSE()))),"OLD",IF(AND(E1215&lt;&gt;"",E1215&lt;&gt;"!!!"),"NEW","")))</f>
        <v> </v>
      </c>
      <c r="G1215" s="23" t="str">
        <f>IF(OR(E1215="",E1215="!!!"),"",IF(OR(J1215=0,AND(J1215=1,K1215=1),AND(J1215=1,I1215="SBJ"),AND(J1215=1,I1215=0)),"?IN_FOCUS",IF(J1215&lt;=2,"?ACTIVATED",IF(J1215&lt;&gt;"","?FAMILIAR",IF(F1215="NEW",IF(ISNA(VLOOKUP(E1215,#REF!,1,FALSE())),"?TYPE_IDENTIFIABLE","?REFERENTIAL"),"_")))))</f>
        <v> </v>
      </c>
      <c r="H1215" s="24" t="str">
        <f>IF(J1215&lt;&gt;1,"",IF(I1215="SBJ","CB","?"))</f>
        <v> </v>
      </c>
      <c r="I1215" s="25" t="str">
        <f>IF(OR(E1215="",E1215="!!!",F1215="NEW"),"",INDEX(B1214:B$2,-1+SUMPRODUCT(MAX(ROW(E1214:E$2)*(E1215=E1214:E$2)))))</f>
        <v> </v>
      </c>
      <c r="J1215" s="25" t="str">
        <f>IF(OR(E1215="",E1215="!!!",F1215="NEW"),"",COUNTBLANK(OFFSET(A$1,,,SUMPRODUCT(MAX(ROW(E$2:E1215)*(E1215=E$2:E1215)))))-COUNTBLANK(OFFSET(A$1,,,SUMPRODUCT(MAX(ROW(E$1:E1214)*(E2=E$1:E1214))))))</f>
        <v> </v>
      </c>
      <c r="K1215" s="25" t="str">
        <f>IF(OR(E1215="",E1215="!!!",F1215="NEW"),"",INDEX(J$1:J1214,SUMPRODUCT(MAX(ROW(E$1:E1214)*(E1215=E$1:E1214)))))</f>
        <v> </v>
      </c>
      <c r="L1215" s="26"/>
    </row>
    <row r="1216" spans="1:12">
      <c r="A1216" s="20" t="s">
        <v>201</v>
      </c>
      <c r="E1216" s="21">
        <f>IF(D1216="?OLD","!!!","")</f>
        <v/>
      </c>
      <c r="F1216" s="22" t="str">
        <f>IF(OR(E1216="",E1216="!!!"),"",IF(NOT(ISNA(VLOOKUP(E1216,E$1:E1215,1,FALSE()))),"OLD",IF(AND(E1216&lt;&gt;"",E1216&lt;&gt;"!!!"),"NEW","")))</f>
        <v> </v>
      </c>
      <c r="G1216" s="23" t="str">
        <f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> </v>
      </c>
      <c r="H1216" s="24" t="str">
        <f>IF(J1216&lt;&gt;1,"",IF(I1216="SBJ","CB","?"))</f>
        <v> </v>
      </c>
      <c r="I1216" s="25" t="str">
        <f>IF(OR(E1216="",E1216="!!!",F1216="NEW"),"",INDEX(B1215:B$2,-1+SUMPRODUCT(MAX(ROW(E1215:E$2)*(E1216=E1215:E$2)))))</f>
        <v> </v>
      </c>
      <c r="J1216" s="25" t="str">
        <f>IF(OR(E1216="",E1216="!!!",F1216="NEW"),"",COUNTBLANK(OFFSET(A$1,,,SUMPRODUCT(MAX(ROW(E$2:E1216)*(E1216=E$2:E1216)))))-COUNTBLANK(OFFSET(A$1,,,SUMPRODUCT(MAX(ROW(E$1:E1215)*(E2=E$1:E1215))))))</f>
        <v> </v>
      </c>
      <c r="K1216" s="25" t="str">
        <f>IF(OR(E1216="",E1216="!!!",F1216="NEW"),"",INDEX(J$1:J1215,SUMPRODUCT(MAX(ROW(E$1:E1215)*(E1216=E$1:E1215)))))</f>
        <v> </v>
      </c>
      <c r="L1216" s="26"/>
    </row>
    <row r="1217" spans="1:12">
      <c r="A1217" s="20" t="s">
        <v>267</v>
      </c>
      <c r="E1217" s="21">
        <f>IF(D1217="?OLD","!!!","")</f>
        <v/>
      </c>
      <c r="F1217" s="22" t="str">
        <f>IF(OR(E1217="",E1217="!!!"),"",IF(NOT(ISNA(VLOOKUP(E1217,E$1:E1216,1,FALSE()))),"OLD",IF(AND(E1217&lt;&gt;"",E1217&lt;&gt;"!!!"),"NEW","")))</f>
        <v> </v>
      </c>
      <c r="G1217" s="23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> </v>
      </c>
      <c r="H1217" s="24" t="str">
        <f>IF(J1217&lt;&gt;1,"",IF(I1217="SBJ","CB","?"))</f>
        <v> </v>
      </c>
      <c r="I1217" s="25" t="str">
        <f>IF(OR(E1217="",E1217="!!!",F1217="NEW"),"",INDEX(B1216:B$2,-1+SUMPRODUCT(MAX(ROW(E1216:E$2)*(E1217=E1216:E$2)))))</f>
        <v> </v>
      </c>
      <c r="J1217" s="25" t="str">
        <f>IF(OR(E1217="",E1217="!!!",F1217="NEW"),"",COUNTBLANK(OFFSET(A$1,,,SUMPRODUCT(MAX(ROW(E$2:E1217)*(E1217=E$2:E1217)))))-COUNTBLANK(OFFSET(A$1,,,SUMPRODUCT(MAX(ROW(E$1:E1216)*(E2=E$1:E1216))))))</f>
        <v> </v>
      </c>
      <c r="K1217" s="25" t="str">
        <f>IF(OR(E1217="",E1217="!!!",F1217="NEW"),"",INDEX(J$1:J1216,SUMPRODUCT(MAX(ROW(E$1:E1216)*(E1217=E$1:E1216)))))</f>
        <v> </v>
      </c>
      <c r="L1217" s="26"/>
    </row>
    <row r="1218" spans="1:12">
      <c r="A1218" s="20" t="s">
        <v>256</v>
      </c>
      <c r="B1218" s="27" t="s">
        <v>202</v>
      </c>
      <c r="C1218" s="27" t="s">
        <v>217</v>
      </c>
      <c r="E1218" s="21">
        <f>IF(D1218="?OLD","!!!","")</f>
        <v/>
      </c>
      <c r="F1218" s="22" t="str">
        <f>IF(OR(E1218="",E1218="!!!"),"",IF(NOT(ISNA(VLOOKUP(E1218,E$1:E1217,1,FALSE()))),"OLD",IF(AND(E1218&lt;&gt;"",E1218&lt;&gt;"!!!"),"NEW","")))</f>
        <v> </v>
      </c>
      <c r="G1218" s="23" t="str">
        <f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> </v>
      </c>
      <c r="H1218" s="24" t="str">
        <f>IF(J1218&lt;&gt;1,"",IF(I1218="SBJ","CB","?"))</f>
        <v> </v>
      </c>
      <c r="I1218" s="25" t="str">
        <f>IF(OR(E1218="",E1218="!!!",F1218="NEW"),"",INDEX(B1217:B$2,-1+SUMPRODUCT(MAX(ROW(E1217:E$2)*(E1218=E1217:E$2)))))</f>
        <v> </v>
      </c>
      <c r="J1218" s="25" t="str">
        <f>IF(OR(E1218="",E1218="!!!",F1218="NEW"),"",COUNTBLANK(OFFSET(A$1,,,SUMPRODUCT(MAX(ROW(E$2:E1218)*(E1218=E$2:E1218)))))-COUNTBLANK(OFFSET(A$1,,,SUMPRODUCT(MAX(ROW(E$1:E1217)*(E2=E$1:E1217))))))</f>
        <v> </v>
      </c>
      <c r="K1218" s="25" t="str">
        <f>IF(OR(E1218="",E1218="!!!",F1218="NEW"),"",INDEX(J$1:J1217,SUMPRODUCT(MAX(ROW(E$1:E1217)*(E1218=E$1:E1217)))))</f>
        <v> </v>
      </c>
      <c r="L1218" s="26"/>
    </row>
    <row r="1219" spans="1:12">
      <c r="A1219" s="20" t="s">
        <v>245</v>
      </c>
      <c r="E1219" s="21">
        <f>IF(D1219="?OLD","!!!","")</f>
        <v/>
      </c>
      <c r="F1219" s="22" t="str">
        <f>IF(OR(E1219="",E1219="!!!"),"",IF(NOT(ISNA(VLOOKUP(E1219,E$1:E1218,1,FALSE()))),"OLD",IF(AND(E1219&lt;&gt;"",E1219&lt;&gt;"!!!"),"NEW","")))</f>
        <v> </v>
      </c>
      <c r="G1219" s="23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> </v>
      </c>
      <c r="H1219" s="24" t="str">
        <f>IF(J1219&lt;&gt;1,"",IF(I1219="SBJ","CB","?"))</f>
        <v> </v>
      </c>
      <c r="I1219" s="25" t="str">
        <f>IF(OR(E1219="",E1219="!!!",F1219="NEW"),"",INDEX(B1218:B$2,-1+SUMPRODUCT(MAX(ROW(E1218:E$2)*(E1219=E1218:E$2)))))</f>
        <v> </v>
      </c>
      <c r="J1219" s="25" t="str">
        <f>IF(OR(E1219="",E1219="!!!",F1219="NEW"),"",COUNTBLANK(OFFSET(A$1,,,SUMPRODUCT(MAX(ROW(E$2:E1219)*(E1219=E$2:E1219)))))-COUNTBLANK(OFFSET(A$1,,,SUMPRODUCT(MAX(ROW(E$1:E1218)*(E2=E$1:E1218))))))</f>
        <v> </v>
      </c>
      <c r="K1219" s="25" t="str">
        <f>IF(OR(E1219="",E1219="!!!",F1219="NEW"),"",INDEX(J$1:J1218,SUMPRODUCT(MAX(ROW(E$1:E1218)*(E1219=E$1:E1218)))))</f>
        <v> </v>
      </c>
      <c r="L1219" s="26"/>
    </row>
    <row r="1220" spans="1:12">
      <c r="A1220" s="20" t="s">
        <v>197</v>
      </c>
      <c r="E1220" s="21">
        <f>IF(D1220="?OLD","!!!","")</f>
        <v/>
      </c>
      <c r="F1220" s="22" t="str">
        <f>IF(OR(E1220="",E1220="!!!"),"",IF(NOT(ISNA(VLOOKUP(E1220,E$1:E1219,1,FALSE()))),"OLD",IF(AND(E1220&lt;&gt;"",E1220&lt;&gt;"!!!"),"NEW","")))</f>
        <v> </v>
      </c>
      <c r="G1220" s="23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> </v>
      </c>
      <c r="H1220" s="24" t="str">
        <f>IF(J1220&lt;&gt;1,"",IF(I1220="SBJ","CB","?"))</f>
        <v> </v>
      </c>
      <c r="I1220" s="25" t="str">
        <f>IF(OR(E1220="",E1220="!!!",F1220="NEW"),"",INDEX(B1219:B$2,-1+SUMPRODUCT(MAX(ROW(E1219:E$2)*(E1220=E1219:E$2)))))</f>
        <v> </v>
      </c>
      <c r="J1220" s="25" t="str">
        <f>IF(OR(E1220="",E1220="!!!",F1220="NEW"),"",COUNTBLANK(OFFSET(A$1,,,SUMPRODUCT(MAX(ROW(E$2:E1220)*(E1220=E$2:E1220)))))-COUNTBLANK(OFFSET(A$1,,,SUMPRODUCT(MAX(ROW(E$1:E1219)*(E2=E$1:E1219))))))</f>
        <v> </v>
      </c>
      <c r="K1220" s="25" t="str">
        <f>IF(OR(E1220="",E1220="!!!",F1220="NEW"),"",INDEX(J$1:J1219,SUMPRODUCT(MAX(ROW(E$1:E1219)*(E1220=E$1:E1219)))))</f>
        <v> </v>
      </c>
      <c r="L1220" s="26"/>
    </row>
    <row r="1221" spans="1:12">
      <c r="A1221" s="20" t="s">
        <v>670</v>
      </c>
      <c r="E1221" s="21">
        <f>IF(D1221="?OLD","!!!","")</f>
        <v/>
      </c>
      <c r="F1221" s="22" t="str">
        <f>IF(OR(E1221="",E1221="!!!"),"",IF(NOT(ISNA(VLOOKUP(E1221,E$1:E1220,1,FALSE()))),"OLD",IF(AND(E1221&lt;&gt;"",E1221&lt;&gt;"!!!"),"NEW","")))</f>
        <v> </v>
      </c>
      <c r="G1221" s="23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> </v>
      </c>
      <c r="H1221" s="24" t="str">
        <f>IF(J1221&lt;&gt;1,"",IF(I1221="SBJ","CB","?"))</f>
        <v> </v>
      </c>
      <c r="I1221" s="25" t="str">
        <f>IF(OR(E1221="",E1221="!!!",F1221="NEW"),"",INDEX(B1220:B$2,-1+SUMPRODUCT(MAX(ROW(E1220:E$2)*(E1221=E1220:E$2)))))</f>
        <v> </v>
      </c>
      <c r="J1221" s="25" t="str">
        <f>IF(OR(E1221="",E1221="!!!",F1221="NEW"),"",COUNTBLANK(OFFSET(A$1,,,SUMPRODUCT(MAX(ROW(E$2:E1221)*(E1221=E$2:E1221)))))-COUNTBLANK(OFFSET(A$1,,,SUMPRODUCT(MAX(ROW(E$1:E1220)*(E2=E$1:E1220))))))</f>
        <v> </v>
      </c>
      <c r="K1221" s="25" t="str">
        <f>IF(OR(E1221="",E1221="!!!",F1221="NEW"),"",INDEX(J$1:J1220,SUMPRODUCT(MAX(ROW(E$1:E1220)*(E1221=E$1:E1220)))))</f>
        <v> </v>
      </c>
      <c r="L1221" s="26"/>
    </row>
    <row r="1222" spans="1:12">
      <c r="A1222" s="20" t="s">
        <v>250</v>
      </c>
      <c r="B1222" s="27" t="s">
        <v>188</v>
      </c>
      <c r="C1222" s="27" t="s">
        <v>249</v>
      </c>
      <c r="D1222" s="27" t="s">
        <v>185</v>
      </c>
      <c r="E1222" s="21">
        <f>IF(D1222="?OLD","!!!","")</f>
        <v/>
      </c>
      <c r="F1222" s="22" t="str">
        <f>IF(OR(E1222="",E1222="!!!"),"",IF(NOT(ISNA(VLOOKUP(E1222,E$1:E1221,1,FALSE()))),"OLD",IF(AND(E1222&lt;&gt;"",E1222&lt;&gt;"!!!"),"NEW","")))</f>
        <v> </v>
      </c>
      <c r="G1222" s="23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> </v>
      </c>
      <c r="H1222" s="24" t="str">
        <f>IF(J1222&lt;&gt;1,"",IF(I1222="SBJ","CB","?"))</f>
        <v> </v>
      </c>
      <c r="I1222" s="25" t="str">
        <f>IF(OR(E1222="",E1222="!!!",F1222="NEW"),"",INDEX(B1221:B$2,-1+SUMPRODUCT(MAX(ROW(E1221:E$2)*(E1222=E1221:E$2)))))</f>
        <v> </v>
      </c>
      <c r="J1222" s="25" t="str">
        <f>IF(OR(E1222="",E1222="!!!",F1222="NEW"),"",COUNTBLANK(OFFSET(A$1,,,SUMPRODUCT(MAX(ROW(E$2:E1222)*(E1222=E$2:E1222)))))-COUNTBLANK(OFFSET(A$1,,,SUMPRODUCT(MAX(ROW(E$1:E1221)*(E2=E$1:E1221))))))</f>
        <v> </v>
      </c>
      <c r="K1222" s="25" t="str">
        <f>IF(OR(E1222="",E1222="!!!",F1222="NEW"),"",INDEX(J$1:J1221,SUMPRODUCT(MAX(ROW(E$1:E1221)*(E1222=E$1:E1221)))))</f>
        <v> </v>
      </c>
      <c r="L1222" s="26"/>
    </row>
    <row r="1223" spans="1:12">
      <c r="A1223" s="20" t="s">
        <v>251</v>
      </c>
      <c r="E1223" s="21">
        <f>IF(D1223="?OLD","!!!","")</f>
        <v/>
      </c>
      <c r="F1223" s="22" t="str">
        <f>IF(OR(E1223="",E1223="!!!"),"",IF(NOT(ISNA(VLOOKUP(E1223,E$1:E1222,1,FALSE()))),"OLD",IF(AND(E1223&lt;&gt;"",E1223&lt;&gt;"!!!"),"NEW","")))</f>
        <v> </v>
      </c>
      <c r="G1223" s="23" t="str">
        <f>IF(OR(E1223="",E1223="!!!"),"",IF(OR(J1223=0,AND(J1223=1,K1223=1),AND(J1223=1,I1223="SBJ"),AND(J1223=1,I1223=0)),"?IN_FOCUS",IF(J1223&lt;=2,"?ACTIVATED",IF(J1223&lt;&gt;"","?FAMILIAR",IF(F1223="NEW",IF(ISNA(VLOOKUP(E1223,#REF!,1,FALSE())),"?TYPE_IDENTIFIABLE","?REFERENTIAL"),"_")))))</f>
        <v> </v>
      </c>
      <c r="H1223" s="24" t="str">
        <f>IF(J1223&lt;&gt;1,"",IF(I1223="SBJ","CB","?"))</f>
        <v> </v>
      </c>
      <c r="I1223" s="25" t="str">
        <f>IF(OR(E1223="",E1223="!!!",F1223="NEW"),"",INDEX(B1222:B$2,-1+SUMPRODUCT(MAX(ROW(E1222:E$2)*(E1223=E1222:E$2)))))</f>
        <v> </v>
      </c>
      <c r="J1223" s="25" t="str">
        <f>IF(OR(E1223="",E1223="!!!",F1223="NEW"),"",COUNTBLANK(OFFSET(A$1,,,SUMPRODUCT(MAX(ROW(E$2:E1223)*(E1223=E$2:E1223)))))-COUNTBLANK(OFFSET(A$1,,,SUMPRODUCT(MAX(ROW(E$1:E1222)*(E2=E$1:E1222))))))</f>
        <v> </v>
      </c>
      <c r="K1223" s="25" t="str">
        <f>IF(OR(E1223="",E1223="!!!",F1223="NEW"),"",INDEX(J$1:J1222,SUMPRODUCT(MAX(ROW(E$1:E1222)*(E1223=E$1:E1222)))))</f>
        <v> </v>
      </c>
      <c r="L1223" s="26"/>
    </row>
    <row r="1224" spans="1:12">
      <c r="A1224" s="20" t="s">
        <v>252</v>
      </c>
      <c r="B1224" s="27" t="s">
        <v>202</v>
      </c>
      <c r="C1224" s="27" t="s">
        <v>249</v>
      </c>
      <c r="D1224" s="27" t="s">
        <v>185</v>
      </c>
      <c r="E1224" s="21">
        <f>IF(D1224="?OLD","!!!","")</f>
        <v/>
      </c>
      <c r="F1224" s="22" t="str">
        <f>IF(OR(E1224="",E1224="!!!"),"",IF(NOT(ISNA(VLOOKUP(E1224,E$1:E1223,1,FALSE()))),"OLD",IF(AND(E1224&lt;&gt;"",E1224&lt;&gt;"!!!"),"NEW","")))</f>
        <v> </v>
      </c>
      <c r="G1224" s="23" t="str">
        <f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> </v>
      </c>
      <c r="H1224" s="24" t="str">
        <f>IF(J1224&lt;&gt;1,"",IF(I1224="SBJ","CB","?"))</f>
        <v> </v>
      </c>
      <c r="I1224" s="25" t="str">
        <f>IF(OR(E1224="",E1224="!!!",F1224="NEW"),"",INDEX(B1223:B$2,-1+SUMPRODUCT(MAX(ROW(E1223:E$2)*(E1224=E1223:E$2)))))</f>
        <v> </v>
      </c>
      <c r="J1224" s="25" t="str">
        <f>IF(OR(E1224="",E1224="!!!",F1224="NEW"),"",COUNTBLANK(OFFSET(A$1,,,SUMPRODUCT(MAX(ROW(E$2:E1224)*(E1224=E$2:E1224)))))-COUNTBLANK(OFFSET(A$1,,,SUMPRODUCT(MAX(ROW(E$1:E1223)*(E2=E$1:E1223))))))</f>
        <v> </v>
      </c>
      <c r="K1224" s="25" t="str">
        <f>IF(OR(E1224="",E1224="!!!",F1224="NEW"),"",INDEX(J$1:J1223,SUMPRODUCT(MAX(ROW(E$1:E1223)*(E1224=E$1:E1223)))))</f>
        <v> </v>
      </c>
      <c r="L1224" s="26"/>
    </row>
    <row r="1225" spans="1:12">
      <c r="A1225" s="20" t="s">
        <v>250</v>
      </c>
      <c r="B1225" s="27" t="s">
        <v>205</v>
      </c>
      <c r="C1225" s="27" t="s">
        <v>249</v>
      </c>
      <c r="D1225" s="27" t="s">
        <v>185</v>
      </c>
      <c r="E1225" s="21">
        <f>IF(D1225="?OLD","!!!","")</f>
        <v/>
      </c>
      <c r="F1225" s="22" t="str">
        <f>IF(OR(E1225="",E1225="!!!"),"",IF(NOT(ISNA(VLOOKUP(E1225,E$1:E1224,1,FALSE()))),"OLD",IF(AND(E1225&lt;&gt;"",E1225&lt;&gt;"!!!"),"NEW","")))</f>
        <v> </v>
      </c>
      <c r="G1225" s="23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> </v>
      </c>
      <c r="H1225" s="24" t="str">
        <f>IF(J1225&lt;&gt;1,"",IF(I1225="SBJ","CB","?"))</f>
        <v> </v>
      </c>
      <c r="I1225" s="25" t="str">
        <f>IF(OR(E1225="",E1225="!!!",F1225="NEW"),"",INDEX(B1224:B$2,-1+SUMPRODUCT(MAX(ROW(E1224:E$2)*(E1225=E1224:E$2)))))</f>
        <v> </v>
      </c>
      <c r="J1225" s="25" t="str">
        <f>IF(OR(E1225="",E1225="!!!",F1225="NEW"),"",COUNTBLANK(OFFSET(A$1,,,SUMPRODUCT(MAX(ROW(E$2:E1225)*(E1225=E$2:E1225)))))-COUNTBLANK(OFFSET(A$1,,,SUMPRODUCT(MAX(ROW(E$1:E1224)*(E2=E$1:E1224))))))</f>
        <v> </v>
      </c>
      <c r="K1225" s="25" t="str">
        <f>IF(OR(E1225="",E1225="!!!",F1225="NEW"),"",INDEX(J$1:J1224,SUMPRODUCT(MAX(ROW(E$1:E1224)*(E1225=E$1:E1224)))))</f>
        <v> </v>
      </c>
      <c r="L1225" s="26"/>
    </row>
    <row r="1226" spans="1:12">
      <c r="A1226" s="20" t="s">
        <v>251</v>
      </c>
      <c r="E1226" s="21">
        <f>IF(D1226="?OLD","!!!","")</f>
        <v/>
      </c>
      <c r="F1226" s="22" t="str">
        <f>IF(OR(E1226="",E1226="!!!"),"",IF(NOT(ISNA(VLOOKUP(E1226,E$1:E1225,1,FALSE()))),"OLD",IF(AND(E1226&lt;&gt;"",E1226&lt;&gt;"!!!"),"NEW","")))</f>
        <v> </v>
      </c>
      <c r="G1226" s="23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> </v>
      </c>
      <c r="H1226" s="24" t="str">
        <f>IF(J1226&lt;&gt;1,"",IF(I1226="SBJ","CB","?"))</f>
        <v> </v>
      </c>
      <c r="I1226" s="25" t="str">
        <f>IF(OR(E1226="",E1226="!!!",F1226="NEW"),"",INDEX(B1225:B$2,-1+SUMPRODUCT(MAX(ROW(E1225:E$2)*(E1226=E1225:E$2)))))</f>
        <v> </v>
      </c>
      <c r="J1226" s="25" t="str">
        <f>IF(OR(E1226="",E1226="!!!",F1226="NEW"),"",COUNTBLANK(OFFSET(A$1,,,SUMPRODUCT(MAX(ROW(E$2:E1226)*(E1226=E$2:E1226)))))-COUNTBLANK(OFFSET(A$1,,,SUMPRODUCT(MAX(ROW(E$1:E1225)*(E2=E$1:E1225))))))</f>
        <v> </v>
      </c>
      <c r="K1226" s="25" t="str">
        <f>IF(OR(E1226="",E1226="!!!",F1226="NEW"),"",INDEX(J$1:J1225,SUMPRODUCT(MAX(ROW(E$1:E1225)*(E1226=E$1:E1225)))))</f>
        <v> </v>
      </c>
      <c r="L1226" s="26"/>
    </row>
    <row r="1227" spans="1:12">
      <c r="A1227" s="20" t="s">
        <v>254</v>
      </c>
      <c r="B1227" s="27" t="s">
        <v>205</v>
      </c>
      <c r="C1227" s="27" t="s">
        <v>199</v>
      </c>
      <c r="D1227" s="27" t="s">
        <v>185</v>
      </c>
      <c r="E1227" s="21">
        <f>IF(D1227="?OLD","!!!","")</f>
        <v/>
      </c>
      <c r="F1227" s="22" t="str">
        <f>IF(OR(E1227="",E1227="!!!"),"",IF(NOT(ISNA(VLOOKUP(E1227,E$1:E1226,1,FALSE()))),"OLD",IF(AND(E1227&lt;&gt;"",E1227&lt;&gt;"!!!"),"NEW","")))</f>
        <v> </v>
      </c>
      <c r="G1227" s="23" t="str">
        <f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> </v>
      </c>
      <c r="H1227" s="24" t="str">
        <f>IF(J1227&lt;&gt;1,"",IF(I1227="SBJ","CB","?"))</f>
        <v> </v>
      </c>
      <c r="I1227" s="25" t="str">
        <f>IF(OR(E1227="",E1227="!!!",F1227="NEW"),"",INDEX(B1226:B$2,-1+SUMPRODUCT(MAX(ROW(E1226:E$2)*(E1227=E1226:E$2)))))</f>
        <v> </v>
      </c>
      <c r="J1227" s="25" t="str">
        <f>IF(OR(E1227="",E1227="!!!",F1227="NEW"),"",COUNTBLANK(OFFSET(A$1,,,SUMPRODUCT(MAX(ROW(E$2:E1227)*(E1227=E$2:E1227)))))-COUNTBLANK(OFFSET(A$1,,,SUMPRODUCT(MAX(ROW(E$1:E1226)*(E2=E$1:E1226))))))</f>
        <v> </v>
      </c>
      <c r="K1227" s="25" t="str">
        <f>IF(OR(E1227="",E1227="!!!",F1227="NEW"),"",INDEX(J$1:J1226,SUMPRODUCT(MAX(ROW(E$1:E1226)*(E1227=E$1:E1226)))))</f>
        <v> </v>
      </c>
      <c r="L1227" s="26"/>
    </row>
    <row r="1228" spans="1:12">
      <c r="A1228" s="20" t="s">
        <v>201</v>
      </c>
      <c r="B1228" s="27" t="s">
        <v>671</v>
      </c>
      <c r="E1228" s="21">
        <f>IF(D1228="?OLD","!!!","")</f>
        <v/>
      </c>
      <c r="F1228" s="22" t="str">
        <f>IF(OR(E1228="",E1228="!!!"),"",IF(NOT(ISNA(VLOOKUP(E1228,E$1:E1227,1,FALSE()))),"OLD",IF(AND(E1228&lt;&gt;"",E1228&lt;&gt;"!!!"),"NEW","")))</f>
        <v> </v>
      </c>
      <c r="G1228" s="23" t="str">
        <f>IF(OR(E1228="",E1228="!!!"),"",IF(OR(J1228=0,AND(J1228=1,K1228=1),AND(J1228=1,I1228="SBJ"),AND(J1228=1,I1228=0)),"?IN_FOCUS",IF(J1228&lt;=2,"?ACTIVATED",IF(J1228&lt;&gt;"","?FAMILIAR",IF(F1228="NEW",IF(ISNA(VLOOKUP(E1228,#REF!,1,FALSE())),"?TYPE_IDENTIFIABLE","?REFERENTIAL"),"_")))))</f>
        <v> </v>
      </c>
      <c r="H1228" s="24" t="str">
        <f>IF(J1228&lt;&gt;1,"",IF(I1228="SBJ","CB","?"))</f>
        <v> </v>
      </c>
      <c r="I1228" s="25" t="str">
        <f>IF(OR(E1228="",E1228="!!!",F1228="NEW"),"",INDEX(B1227:B$2,-1+SUMPRODUCT(MAX(ROW(E1227:E$2)*(E1228=E1227:E$2)))))</f>
        <v> </v>
      </c>
      <c r="J1228" s="25" t="str">
        <f>IF(OR(E1228="",E1228="!!!",F1228="NEW"),"",COUNTBLANK(OFFSET(A$1,,,SUMPRODUCT(MAX(ROW(E$2:E1228)*(E1228=E$2:E1228)))))-COUNTBLANK(OFFSET(A$1,,,SUMPRODUCT(MAX(ROW(E$1:E1227)*(E2=E$1:E1227))))))</f>
        <v> </v>
      </c>
      <c r="K1228" s="25" t="str">
        <f>IF(OR(E1228="",E1228="!!!",F1228="NEW"),"",INDEX(J$1:J1227,SUMPRODUCT(MAX(ROW(E$1:E1227)*(E1228=E$1:E1227)))))</f>
        <v> </v>
      </c>
      <c r="L1228" s="26"/>
    </row>
    <row r="1229" spans="1:12">
      <c r="A1229" s="20" t="s">
        <v>672</v>
      </c>
      <c r="E1229" s="21">
        <f>IF(D1229="?OLD","!!!","")</f>
        <v/>
      </c>
      <c r="F1229" s="22" t="str">
        <f>IF(OR(E1229="",E1229="!!!"),"",IF(NOT(ISNA(VLOOKUP(E1229,E$1:E1228,1,FALSE()))),"OLD",IF(AND(E1229&lt;&gt;"",E1229&lt;&gt;"!!!"),"NEW","")))</f>
        <v> </v>
      </c>
      <c r="G1229" s="23" t="str">
        <f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> </v>
      </c>
      <c r="H1229" s="24" t="str">
        <f>IF(J1229&lt;&gt;1,"",IF(I1229="SBJ","CB","?"))</f>
        <v> </v>
      </c>
      <c r="I1229" s="25" t="str">
        <f>IF(OR(E1229="",E1229="!!!",F1229="NEW"),"",INDEX(B1228:B$2,-1+SUMPRODUCT(MAX(ROW(E1228:E$2)*(E1229=E1228:E$2)))))</f>
        <v> </v>
      </c>
      <c r="J1229" s="25" t="str">
        <f>IF(OR(E1229="",E1229="!!!",F1229="NEW"),"",COUNTBLANK(OFFSET(A$1,,,SUMPRODUCT(MAX(ROW(E$2:E1229)*(E1229=E$2:E1229)))))-COUNTBLANK(OFFSET(A$1,,,SUMPRODUCT(MAX(ROW(E$1:E1228)*(E2=E$1:E1228))))))</f>
        <v> </v>
      </c>
      <c r="K1229" s="25" t="str">
        <f>IF(OR(E1229="",E1229="!!!",F1229="NEW"),"",INDEX(J$1:J1228,SUMPRODUCT(MAX(ROW(E$1:E1228)*(E1229=E$1:E1228)))))</f>
        <v> </v>
      </c>
      <c r="L1229" s="26"/>
    </row>
    <row r="1230" spans="1:12">
      <c r="A1230" s="20" t="s">
        <v>357</v>
      </c>
      <c r="E1230" s="21">
        <f>IF(D1230="?OLD","!!!","")</f>
        <v/>
      </c>
      <c r="F1230" s="22" t="str">
        <f>IF(OR(E1230="",E1230="!!!"),"",IF(NOT(ISNA(VLOOKUP(E1230,E$1:E1229,1,FALSE()))),"OLD",IF(AND(E1230&lt;&gt;"",E1230&lt;&gt;"!!!"),"NEW","")))</f>
        <v> </v>
      </c>
      <c r="G1230" s="23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> </v>
      </c>
      <c r="H1230" s="24" t="str">
        <f>IF(J1230&lt;&gt;1,"",IF(I1230="SBJ","CB","?"))</f>
        <v> </v>
      </c>
      <c r="I1230" s="25" t="str">
        <f>IF(OR(E1230="",E1230="!!!",F1230="NEW"),"",INDEX(B1229:B$2,-1+SUMPRODUCT(MAX(ROW(E1229:E$2)*(E1230=E1229:E$2)))))</f>
        <v> </v>
      </c>
      <c r="J1230" s="25" t="str">
        <f>IF(OR(E1230="",E1230="!!!",F1230="NEW"),"",COUNTBLANK(OFFSET(A$1,,,SUMPRODUCT(MAX(ROW(E$2:E1230)*(E1230=E$2:E1230)))))-COUNTBLANK(OFFSET(A$1,,,SUMPRODUCT(MAX(ROW(E$1:E1229)*(E2=E$1:E1229))))))</f>
        <v> </v>
      </c>
      <c r="K1230" s="25" t="str">
        <f>IF(OR(E1230="",E1230="!!!",F1230="NEW"),"",INDEX(J$1:J1229,SUMPRODUCT(MAX(ROW(E$1:E1229)*(E1230=E$1:E1229)))))</f>
        <v> </v>
      </c>
      <c r="L1230" s="26"/>
    </row>
    <row r="1231" spans="1:12">
      <c r="A1231" s="20" t="s">
        <v>231</v>
      </c>
      <c r="E1231" s="21">
        <f>IF(D1231="?OLD","!!!","")</f>
        <v/>
      </c>
      <c r="F1231" s="22" t="str">
        <f>IF(OR(E1231="",E1231="!!!"),"",IF(NOT(ISNA(VLOOKUP(E1231,E$1:E1230,1,FALSE()))),"OLD",IF(AND(E1231&lt;&gt;"",E1231&lt;&gt;"!!!"),"NEW","")))</f>
        <v> </v>
      </c>
      <c r="G1231" s="23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> </v>
      </c>
      <c r="H1231" s="24" t="str">
        <f>IF(J1231&lt;&gt;1,"",IF(I1231="SBJ","CB","?"))</f>
        <v> </v>
      </c>
      <c r="I1231" s="25" t="str">
        <f>IF(OR(E1231="",E1231="!!!",F1231="NEW"),"",INDEX(B1230:B$2,-1+SUMPRODUCT(MAX(ROW(E1230:E$2)*(E1231=E1230:E$2)))))</f>
        <v> </v>
      </c>
      <c r="J1231" s="25" t="str">
        <f>IF(OR(E1231="",E1231="!!!",F1231="NEW"),"",COUNTBLANK(OFFSET(A$1,,,SUMPRODUCT(MAX(ROW(E$2:E1231)*(E1231=E$2:E1231)))))-COUNTBLANK(OFFSET(A$1,,,SUMPRODUCT(MAX(ROW(E$1:E1230)*(E2=E$1:E1230))))))</f>
        <v> </v>
      </c>
      <c r="K1231" s="25" t="str">
        <f>IF(OR(E1231="",E1231="!!!",F1231="NEW"),"",INDEX(J$1:J1230,SUMPRODUCT(MAX(ROW(E$1:E1230)*(E1231=E$1:E1230)))))</f>
        <v> </v>
      </c>
      <c r="L1231" s="26"/>
    </row>
    <row r="1232" spans="1:12">
      <c r="A1232" s="20"/>
    </row>
    <row r="1233" spans="1:12">
      <c r="A1233" s="20" t="s">
        <v>673</v>
      </c>
    </row>
    <row r="1234" spans="1:12">
      <c r="A1234" s="20" t="s">
        <v>490</v>
      </c>
      <c r="E1234" s="21">
        <f>IF(D1234="?OLD","!!!","")</f>
        <v/>
      </c>
      <c r="F1234" s="22" t="str">
        <f>IF(OR(E1234="",E1234="!!!"),"",IF(NOT(ISNA(VLOOKUP(E1234,E$1:E1233,1,FALSE()))),"OLD",IF(AND(E1234&lt;&gt;"",E1234&lt;&gt;"!!!"),"NEW","")))</f>
        <v> </v>
      </c>
      <c r="G1234" s="23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> </v>
      </c>
      <c r="H1234" s="24" t="str">
        <f>IF(J1234&lt;&gt;1,"",IF(I1234="SBJ","CB","?"))</f>
        <v> </v>
      </c>
      <c r="I1234" s="25" t="str">
        <f>IF(OR(E1234="",E1234="!!!",F1234="NEW"),"",INDEX(B1233:B$2,-1+SUMPRODUCT(MAX(ROW(E1233:E$2)*(E1234=E1233:E$2)))))</f>
        <v> </v>
      </c>
      <c r="J1234" s="25" t="str">
        <f>IF(OR(E1234="",E1234="!!!",F1234="NEW"),"",COUNTBLANK(OFFSET(A$1,,,SUMPRODUCT(MAX(ROW(E$2:E1234)*(E1234=E$2:E1234)))))-COUNTBLANK(OFFSET(A$1,,,SUMPRODUCT(MAX(ROW(E$1:E1233)*(E2=E$1:E1233))))))</f>
        <v> </v>
      </c>
      <c r="K1234" s="25" t="str">
        <f>IF(OR(E1234="",E1234="!!!",F1234="NEW"),"",INDEX(J$1:J1233,SUMPRODUCT(MAX(ROW(E$1:E1233)*(E1234=E$1:E1233)))))</f>
        <v> </v>
      </c>
      <c r="L1234" s="26"/>
    </row>
    <row r="1235" spans="1:12">
      <c r="A1235" s="20" t="s">
        <v>201</v>
      </c>
      <c r="E1235" s="21">
        <f>IF(D1235="?OLD","!!!","")</f>
        <v/>
      </c>
      <c r="F1235" s="22" t="str">
        <f>IF(OR(E1235="",E1235="!!!"),"",IF(NOT(ISNA(VLOOKUP(E1235,E$1:E1234,1,FALSE()))),"OLD",IF(AND(E1235&lt;&gt;"",E1235&lt;&gt;"!!!"),"NEW","")))</f>
        <v> </v>
      </c>
      <c r="G1235" s="23" t="str">
        <f>IF(OR(E1235="",E1235="!!!"),"",IF(OR(J1235=0,AND(J1235=1,K1235=1),AND(J1235=1,I1235="SBJ"),AND(J1235=1,I1235=0)),"?IN_FOCUS",IF(J1235&lt;=2,"?ACTIVATED",IF(J1235&lt;&gt;"","?FAMILIAR",IF(F1235="NEW",IF(ISNA(VLOOKUP(E1235,#REF!,1,FALSE())),"?TYPE_IDENTIFIABLE","?REFERENTIAL"),"_")))))</f>
        <v> </v>
      </c>
      <c r="H1235" s="24" t="str">
        <f>IF(J1235&lt;&gt;1,"",IF(I1235="SBJ","CB","?"))</f>
        <v> </v>
      </c>
      <c r="I1235" s="25" t="str">
        <f>IF(OR(E1235="",E1235="!!!",F1235="NEW"),"",INDEX(B1234:B$2,-1+SUMPRODUCT(MAX(ROW(E1234:E$2)*(E1235=E1234:E$2)))))</f>
        <v> </v>
      </c>
      <c r="J1235" s="25" t="str">
        <f>IF(OR(E1235="",E1235="!!!",F1235="NEW"),"",COUNTBLANK(OFFSET(A$1,,,SUMPRODUCT(MAX(ROW(E$2:E1235)*(E1235=E$2:E1235)))))-COUNTBLANK(OFFSET(A$1,,,SUMPRODUCT(MAX(ROW(E$1:E1234)*(E2=E$1:E1234))))))</f>
        <v> </v>
      </c>
      <c r="K1235" s="25" t="str">
        <f>IF(OR(E1235="",E1235="!!!",F1235="NEW"),"",INDEX(J$1:J1234,SUMPRODUCT(MAX(ROW(E$1:E1234)*(E1235=E$1:E1234)))))</f>
        <v> </v>
      </c>
      <c r="L1235" s="26"/>
    </row>
    <row r="1236" spans="1:12">
      <c r="A1236" s="20" t="s">
        <v>190</v>
      </c>
      <c r="E1236" s="21">
        <f>IF(D1236="?OLD","!!!","")</f>
        <v/>
      </c>
      <c r="F1236" s="22" t="str">
        <f>IF(OR(E1236="",E1236="!!!"),"",IF(NOT(ISNA(VLOOKUP(E1236,E$1:E1235,1,FALSE()))),"OLD",IF(AND(E1236&lt;&gt;"",E1236&lt;&gt;"!!!"),"NEW","")))</f>
        <v> </v>
      </c>
      <c r="G1236" s="23" t="str">
        <f>IF(OR(E1236="",E1236="!!!"),"",IF(OR(J1236=0,AND(J1236=1,K1236=1),AND(J1236=1,I1236="SBJ"),AND(J1236=1,I1236=0)),"?IN_FOCUS",IF(J1236&lt;=2,"?ACTIVATED",IF(J1236&lt;&gt;"","?FAMILIAR",IF(F1236="NEW",IF(ISNA(VLOOKUP(E1236,#REF!,1,FALSE())),"?TYPE_IDENTIFIABLE","?REFERENTIAL"),"_")))))</f>
        <v> </v>
      </c>
      <c r="H1236" s="24" t="str">
        <f>IF(J1236&lt;&gt;1,"",IF(I1236="SBJ","CB","?"))</f>
        <v> </v>
      </c>
      <c r="I1236" s="25" t="str">
        <f>IF(OR(E1236="",E1236="!!!",F1236="NEW"),"",INDEX(B1235:B$2,-1+SUMPRODUCT(MAX(ROW(E1235:E$2)*(E1236=E1235:E$2)))))</f>
        <v> </v>
      </c>
      <c r="J1236" s="25" t="str">
        <f>IF(OR(E1236="",E1236="!!!",F1236="NEW"),"",COUNTBLANK(OFFSET(A$1,,,SUMPRODUCT(MAX(ROW(E$2:E1236)*(E1236=E$2:E1236)))))-COUNTBLANK(OFFSET(A$1,,,SUMPRODUCT(MAX(ROW(E$1:E1235)*(E2=E$1:E1235))))))</f>
        <v> </v>
      </c>
      <c r="K1236" s="25" t="str">
        <f>IF(OR(E1236="",E1236="!!!",F1236="NEW"),"",INDEX(J$1:J1235,SUMPRODUCT(MAX(ROW(E$1:E1235)*(E1236=E$1:E1235)))))</f>
        <v> </v>
      </c>
      <c r="L1236" s="26"/>
    </row>
    <row r="1237" spans="1:12">
      <c r="A1237" s="20" t="s">
        <v>309</v>
      </c>
      <c r="E1237" s="21">
        <f>IF(D1237="?OLD","!!!","")</f>
        <v/>
      </c>
      <c r="F1237" s="22" t="str">
        <f>IF(OR(E1237="",E1237="!!!"),"",IF(NOT(ISNA(VLOOKUP(E1237,E$1:E1236,1,FALSE()))),"OLD",IF(AND(E1237&lt;&gt;"",E1237&lt;&gt;"!!!"),"NEW","")))</f>
        <v> </v>
      </c>
      <c r="G1237" s="23" t="str">
        <f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> </v>
      </c>
      <c r="H1237" s="24" t="str">
        <f>IF(J1237&lt;&gt;1,"",IF(I1237="SBJ","CB","?"))</f>
        <v> </v>
      </c>
      <c r="I1237" s="25" t="str">
        <f>IF(OR(E1237="",E1237="!!!",F1237="NEW"),"",INDEX(B1236:B$2,-1+SUMPRODUCT(MAX(ROW(E1236:E$2)*(E1237=E1236:E$2)))))</f>
        <v> </v>
      </c>
      <c r="J1237" s="25" t="str">
        <f>IF(OR(E1237="",E1237="!!!",F1237="NEW"),"",COUNTBLANK(OFFSET(A$1,,,SUMPRODUCT(MAX(ROW(E$2:E1237)*(E1237=E$2:E1237)))))-COUNTBLANK(OFFSET(A$1,,,SUMPRODUCT(MAX(ROW(E$1:E1236)*(E2=E$1:E1236))))))</f>
        <v> </v>
      </c>
      <c r="K1237" s="25" t="str">
        <f>IF(OR(E1237="",E1237="!!!",F1237="NEW"),"",INDEX(J$1:J1236,SUMPRODUCT(MAX(ROW(E$1:E1236)*(E1237=E$1:E1236)))))</f>
        <v> </v>
      </c>
      <c r="L1237" s="26"/>
    </row>
    <row r="1238" spans="1:12">
      <c r="A1238" s="20" t="s">
        <v>674</v>
      </c>
      <c r="E1238" s="21">
        <f>IF(D1238="?OLD","!!!","")</f>
        <v/>
      </c>
      <c r="F1238" s="22" t="str">
        <f>IF(OR(E1238="",E1238="!!!"),"",IF(NOT(ISNA(VLOOKUP(E1238,E$1:E1237,1,FALSE()))),"OLD",IF(AND(E1238&lt;&gt;"",E1238&lt;&gt;"!!!"),"NEW","")))</f>
        <v> </v>
      </c>
      <c r="G1238" s="23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> </v>
      </c>
      <c r="H1238" s="24" t="str">
        <f>IF(J1238&lt;&gt;1,"",IF(I1238="SBJ","CB","?"))</f>
        <v> </v>
      </c>
      <c r="I1238" s="25" t="str">
        <f>IF(OR(E1238="",E1238="!!!",F1238="NEW"),"",INDEX(B1237:B$2,-1+SUMPRODUCT(MAX(ROW(E1237:E$2)*(E1238=E1237:E$2)))))</f>
        <v> </v>
      </c>
      <c r="J1238" s="25" t="str">
        <f>IF(OR(E1238="",E1238="!!!",F1238="NEW"),"",COUNTBLANK(OFFSET(A$1,,,SUMPRODUCT(MAX(ROW(E$2:E1238)*(E1238=E$2:E1238)))))-COUNTBLANK(OFFSET(A$1,,,SUMPRODUCT(MAX(ROW(E$1:E1237)*(E2=E$1:E1237))))))</f>
        <v> </v>
      </c>
      <c r="K1238" s="25" t="str">
        <f>IF(OR(E1238="",E1238="!!!",F1238="NEW"),"",INDEX(J$1:J1237,SUMPRODUCT(MAX(ROW(E$1:E1237)*(E1238=E$1:E1237)))))</f>
        <v> </v>
      </c>
      <c r="L1238" s="26"/>
    </row>
    <row r="1239" spans="1:12">
      <c r="A1239" s="20" t="s">
        <v>197</v>
      </c>
      <c r="E1239" s="21">
        <f>IF(D1239="?OLD","!!!","")</f>
        <v/>
      </c>
      <c r="F1239" s="22" t="str">
        <f>IF(OR(E1239="",E1239="!!!"),"",IF(NOT(ISNA(VLOOKUP(E1239,E$1:E1238,1,FALSE()))),"OLD",IF(AND(E1239&lt;&gt;"",E1239&lt;&gt;"!!!"),"NEW","")))</f>
        <v> </v>
      </c>
      <c r="G1239" s="23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> </v>
      </c>
      <c r="H1239" s="24" t="str">
        <f>IF(J1239&lt;&gt;1,"",IF(I1239="SBJ","CB","?"))</f>
        <v> </v>
      </c>
      <c r="I1239" s="25" t="str">
        <f>IF(OR(E1239="",E1239="!!!",F1239="NEW"),"",INDEX(B1238:B$2,-1+SUMPRODUCT(MAX(ROW(E1238:E$2)*(E1239=E1238:E$2)))))</f>
        <v> </v>
      </c>
      <c r="J1239" s="25" t="str">
        <f>IF(OR(E1239="",E1239="!!!",F1239="NEW"),"",COUNTBLANK(OFFSET(A$1,,,SUMPRODUCT(MAX(ROW(E$2:E1239)*(E1239=E$2:E1239)))))-COUNTBLANK(OFFSET(A$1,,,SUMPRODUCT(MAX(ROW(E$1:E1238)*(E2=E$1:E1238))))))</f>
        <v> </v>
      </c>
      <c r="K1239" s="25" t="str">
        <f>IF(OR(E1239="",E1239="!!!",F1239="NEW"),"",INDEX(J$1:J1238,SUMPRODUCT(MAX(ROW(E$1:E1238)*(E1239=E$1:E1238)))))</f>
        <v> </v>
      </c>
      <c r="L1239" s="26"/>
    </row>
    <row r="1240" spans="1:12">
      <c r="A1240" s="20" t="s">
        <v>675</v>
      </c>
      <c r="E1240" s="21">
        <f>IF(D1240="?OLD","!!!","")</f>
        <v/>
      </c>
      <c r="F1240" s="22" t="str">
        <f>IF(OR(E1240="",E1240="!!!"),"",IF(NOT(ISNA(VLOOKUP(E1240,E$1:E1239,1,FALSE()))),"OLD",IF(AND(E1240&lt;&gt;"",E1240&lt;&gt;"!!!"),"NEW","")))</f>
        <v> </v>
      </c>
      <c r="G1240" s="23" t="str">
        <f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> </v>
      </c>
      <c r="H1240" s="24" t="str">
        <f>IF(J1240&lt;&gt;1,"",IF(I1240="SBJ","CB","?"))</f>
        <v> </v>
      </c>
      <c r="I1240" s="25" t="str">
        <f>IF(OR(E1240="",E1240="!!!",F1240="NEW"),"",INDEX(B1239:B$2,-1+SUMPRODUCT(MAX(ROW(E1239:E$2)*(E1240=E1239:E$2)))))</f>
        <v> </v>
      </c>
      <c r="J1240" s="25" t="str">
        <f>IF(OR(E1240="",E1240="!!!",F1240="NEW"),"",COUNTBLANK(OFFSET(A$1,,,SUMPRODUCT(MAX(ROW(E$2:E1240)*(E1240=E$2:E1240)))))-COUNTBLANK(OFFSET(A$1,,,SUMPRODUCT(MAX(ROW(E$1:E1239)*(E2=E$1:E1239))))))</f>
        <v> </v>
      </c>
      <c r="K1240" s="25" t="str">
        <f>IF(OR(E1240="",E1240="!!!",F1240="NEW"),"",INDEX(J$1:J1239,SUMPRODUCT(MAX(ROW(E$1:E1239)*(E1240=E$1:E1239)))))</f>
        <v> </v>
      </c>
      <c r="L1240" s="26"/>
    </row>
    <row r="1241" spans="1:12">
      <c r="A1241" s="20" t="s">
        <v>273</v>
      </c>
      <c r="E1241" s="21">
        <f>IF(D1241="?OLD","!!!","")</f>
        <v/>
      </c>
      <c r="F1241" s="22" t="str">
        <f>IF(OR(E1241="",E1241="!!!"),"",IF(NOT(ISNA(VLOOKUP(E1241,E$1:E1240,1,FALSE()))),"OLD",IF(AND(E1241&lt;&gt;"",E1241&lt;&gt;"!!!"),"NEW","")))</f>
        <v> </v>
      </c>
      <c r="G1241" s="23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> </v>
      </c>
      <c r="H1241" s="24" t="str">
        <f>IF(J1241&lt;&gt;1,"",IF(I1241="SBJ","CB","?"))</f>
        <v> </v>
      </c>
      <c r="I1241" s="25" t="str">
        <f>IF(OR(E1241="",E1241="!!!",F1241="NEW"),"",INDEX(B1240:B$2,-1+SUMPRODUCT(MAX(ROW(E1240:E$2)*(E1241=E1240:E$2)))))</f>
        <v> </v>
      </c>
      <c r="J1241" s="25" t="str">
        <f>IF(OR(E1241="",E1241="!!!",F1241="NEW"),"",COUNTBLANK(OFFSET(A$1,,,SUMPRODUCT(MAX(ROW(E$2:E1241)*(E1241=E$2:E1241)))))-COUNTBLANK(OFFSET(A$1,,,SUMPRODUCT(MAX(ROW(E$1:E1240)*(E2=E$1:E1240))))))</f>
        <v> </v>
      </c>
      <c r="K1241" s="25" t="str">
        <f>IF(OR(E1241="",E1241="!!!",F1241="NEW"),"",INDEX(J$1:J1240,SUMPRODUCT(MAX(ROW(E$1:E1240)*(E1241=E$1:E1240)))))</f>
        <v> </v>
      </c>
      <c r="L1241" s="26"/>
    </row>
    <row r="1242" spans="1:12">
      <c r="A1242" s="20" t="s">
        <v>252</v>
      </c>
      <c r="B1242" s="27" t="s">
        <v>208</v>
      </c>
      <c r="C1242" s="27" t="s">
        <v>274</v>
      </c>
      <c r="D1242" s="27" t="s">
        <v>185</v>
      </c>
      <c r="E1242" s="21">
        <f>IF(D1242="?OLD","!!!","")</f>
        <v/>
      </c>
      <c r="F1242" s="22" t="str">
        <f>IF(OR(E1242="",E1242="!!!"),"",IF(NOT(ISNA(VLOOKUP(E1242,E$1:E1241,1,FALSE()))),"OLD",IF(AND(E1242&lt;&gt;"",E1242&lt;&gt;"!!!"),"NEW","")))</f>
        <v> </v>
      </c>
      <c r="G1242" s="23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> </v>
      </c>
      <c r="H1242" s="24" t="str">
        <f>IF(J1242&lt;&gt;1,"",IF(I1242="SBJ","CB","?"))</f>
        <v> </v>
      </c>
      <c r="I1242" s="25" t="str">
        <f>IF(OR(E1242="",E1242="!!!",F1242="NEW"),"",INDEX(B1241:B$2,-1+SUMPRODUCT(MAX(ROW(E1241:E$2)*(E1242=E1241:E$2)))))</f>
        <v> </v>
      </c>
      <c r="J1242" s="25" t="str">
        <f>IF(OR(E1242="",E1242="!!!",F1242="NEW"),"",COUNTBLANK(OFFSET(A$1,,,SUMPRODUCT(MAX(ROW(E$2:E1242)*(E1242=E$2:E1242)))))-COUNTBLANK(OFFSET(A$1,,,SUMPRODUCT(MAX(ROW(E$1:E1241)*(E2=E$1:E1241))))))</f>
        <v> </v>
      </c>
      <c r="K1242" s="25" t="str">
        <f>IF(OR(E1242="",E1242="!!!",F1242="NEW"),"",INDEX(J$1:J1241,SUMPRODUCT(MAX(ROW(E$1:E1241)*(E1242=E$1:E1241)))))</f>
        <v> </v>
      </c>
      <c r="L1242" s="26"/>
    </row>
    <row r="1243" spans="1:12">
      <c r="A1243" s="20" t="s">
        <v>186</v>
      </c>
      <c r="E1243" s="21">
        <f>IF(D1243="?OLD","!!!","")</f>
        <v/>
      </c>
      <c r="F1243" s="22" t="str">
        <f>IF(OR(E1243="",E1243="!!!"),"",IF(NOT(ISNA(VLOOKUP(E1243,E$1:E1242,1,FALSE()))),"OLD",IF(AND(E1243&lt;&gt;"",E1243&lt;&gt;"!!!"),"NEW","")))</f>
        <v> </v>
      </c>
      <c r="G1243" s="23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> </v>
      </c>
      <c r="H1243" s="24" t="str">
        <f>IF(J1243&lt;&gt;1,"",IF(I1243="SBJ","CB","?"))</f>
        <v> </v>
      </c>
      <c r="I1243" s="25" t="str">
        <f>IF(OR(E1243="",E1243="!!!",F1243="NEW"),"",INDEX(B1242:B$2,-1+SUMPRODUCT(MAX(ROW(E1242:E$2)*(E1243=E1242:E$2)))))</f>
        <v> </v>
      </c>
      <c r="J1243" s="25" t="str">
        <f>IF(OR(E1243="",E1243="!!!",F1243="NEW"),"",COUNTBLANK(OFFSET(A$1,,,SUMPRODUCT(MAX(ROW(E$2:E1243)*(E1243=E$2:E1243)))))-COUNTBLANK(OFFSET(A$1,,,SUMPRODUCT(MAX(ROW(E$1:E1242)*(E2=E$1:E1242))))))</f>
        <v> </v>
      </c>
      <c r="K1243" s="25" t="str">
        <f>IF(OR(E1243="",E1243="!!!",F1243="NEW"),"",INDEX(J$1:J1242,SUMPRODUCT(MAX(ROW(E$1:E1242)*(E1243=E$1:E1242)))))</f>
        <v> </v>
      </c>
      <c r="L1243" s="26"/>
    </row>
    <row r="1244" spans="1:12">
      <c r="A1244" s="20" t="s">
        <v>225</v>
      </c>
      <c r="B1244" s="27" t="s">
        <v>205</v>
      </c>
      <c r="C1244" s="27" t="s">
        <v>189</v>
      </c>
      <c r="E1244" s="21">
        <f>IF(D1244="?OLD","!!!","")</f>
        <v/>
      </c>
      <c r="F1244" s="22" t="str">
        <f>IF(OR(E1244="",E1244="!!!"),"",IF(NOT(ISNA(VLOOKUP(E1244,E$1:E1243,1,FALSE()))),"OLD",IF(AND(E1244&lt;&gt;"",E1244&lt;&gt;"!!!"),"NEW","")))</f>
        <v> </v>
      </c>
      <c r="G1244" s="23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> </v>
      </c>
      <c r="H1244" s="24" t="str">
        <f>IF(J1244&lt;&gt;1,"",IF(I1244="SBJ","CB","?"))</f>
        <v> </v>
      </c>
      <c r="I1244" s="25" t="str">
        <f>IF(OR(E1244="",E1244="!!!",F1244="NEW"),"",INDEX(B1243:B$2,-1+SUMPRODUCT(MAX(ROW(E1243:E$2)*(E1244=E1243:E$2)))))</f>
        <v> </v>
      </c>
      <c r="J1244" s="25" t="str">
        <f>IF(OR(E1244="",E1244="!!!",F1244="NEW"),"",COUNTBLANK(OFFSET(A$1,,,SUMPRODUCT(MAX(ROW(E$2:E1244)*(E1244=E$2:E1244)))))-COUNTBLANK(OFFSET(A$1,,,SUMPRODUCT(MAX(ROW(E$1:E1243)*(E2=E$1:E1243))))))</f>
        <v> </v>
      </c>
      <c r="K1244" s="25" t="str">
        <f>IF(OR(E1244="",E1244="!!!",F1244="NEW"),"",INDEX(J$1:J1243,SUMPRODUCT(MAX(ROW(E$1:E1243)*(E1244=E$1:E1243)))))</f>
        <v> </v>
      </c>
      <c r="L1244" s="26"/>
    </row>
    <row r="1245" spans="1:12">
      <c r="A1245" s="20" t="s">
        <v>676</v>
      </c>
      <c r="E1245" s="21">
        <f>IF(D1245="?OLD","!!!","")</f>
        <v/>
      </c>
      <c r="F1245" s="22" t="str">
        <f>IF(OR(E1245="",E1245="!!!"),"",IF(NOT(ISNA(VLOOKUP(E1245,E$1:E1244,1,FALSE()))),"OLD",IF(AND(E1245&lt;&gt;"",E1245&lt;&gt;"!!!"),"NEW","")))</f>
        <v> </v>
      </c>
      <c r="G1245" s="23" t="str">
        <f>IF(OR(E1245="",E1245="!!!"),"",IF(OR(J1245=0,AND(J1245=1,K1245=1),AND(J1245=1,I1245="SBJ"),AND(J1245=1,I1245=0)),"?IN_FOCUS",IF(J1245&lt;=2,"?ACTIVATED",IF(J1245&lt;&gt;"","?FAMILIAR",IF(F1245="NEW",IF(ISNA(VLOOKUP(E1245,#REF!,1,FALSE())),"?TYPE_IDENTIFIABLE","?REFERENTIAL"),"_")))))</f>
        <v> </v>
      </c>
      <c r="H1245" s="24" t="str">
        <f>IF(J1245&lt;&gt;1,"",IF(I1245="SBJ","CB","?"))</f>
        <v> </v>
      </c>
      <c r="I1245" s="25" t="str">
        <f>IF(OR(E1245="",E1245="!!!",F1245="NEW"),"",INDEX(B1244:B$2,-1+SUMPRODUCT(MAX(ROW(E1244:E$2)*(E1245=E1244:E$2)))))</f>
        <v> </v>
      </c>
      <c r="J1245" s="25" t="str">
        <f>IF(OR(E1245="",E1245="!!!",F1245="NEW"),"",COUNTBLANK(OFFSET(A$1,,,SUMPRODUCT(MAX(ROW(E$2:E1245)*(E1245=E$2:E1245)))))-COUNTBLANK(OFFSET(A$1,,,SUMPRODUCT(MAX(ROW(E$1:E1244)*(E2=E$1:E1244))))))</f>
        <v> </v>
      </c>
      <c r="K1245" s="25" t="str">
        <f>IF(OR(E1245="",E1245="!!!",F1245="NEW"),"",INDEX(J$1:J1244,SUMPRODUCT(MAX(ROW(E$1:E1244)*(E1245=E$1:E1244)))))</f>
        <v> </v>
      </c>
      <c r="L1245" s="26"/>
    </row>
    <row r="1246" spans="1:12">
      <c r="A1246" s="20" t="s">
        <v>586</v>
      </c>
      <c r="E1246" s="21">
        <f>IF(D1246="?OLD","!!!","")</f>
        <v/>
      </c>
      <c r="F1246" s="22" t="str">
        <f>IF(OR(E1246="",E1246="!!!"),"",IF(NOT(ISNA(VLOOKUP(E1246,E$1:E1245,1,FALSE()))),"OLD",IF(AND(E1246&lt;&gt;"",E1246&lt;&gt;"!!!"),"NEW","")))</f>
        <v> </v>
      </c>
      <c r="G1246" s="23" t="str">
        <f>IF(OR(E1246="",E1246="!!!"),"",IF(OR(J1246=0,AND(J1246=1,K1246=1),AND(J1246=1,I1246="SBJ"),AND(J1246=1,I1246=0)),"?IN_FOCUS",IF(J1246&lt;=2,"?ACTIVATED",IF(J1246&lt;&gt;"","?FAMILIAR",IF(F1246="NEW",IF(ISNA(VLOOKUP(E1246,#REF!,1,FALSE())),"?TYPE_IDENTIFIABLE","?REFERENTIAL"),"_")))))</f>
        <v> </v>
      </c>
      <c r="H1246" s="24" t="str">
        <f>IF(J1246&lt;&gt;1,"",IF(I1246="SBJ","CB","?"))</f>
        <v> </v>
      </c>
      <c r="I1246" s="25" t="str">
        <f>IF(OR(E1246="",E1246="!!!",F1246="NEW"),"",INDEX(B1245:B$2,-1+SUMPRODUCT(MAX(ROW(E1245:E$2)*(E1246=E1245:E$2)))))</f>
        <v> </v>
      </c>
      <c r="J1246" s="25" t="str">
        <f>IF(OR(E1246="",E1246="!!!",F1246="NEW"),"",COUNTBLANK(OFFSET(A$1,,,SUMPRODUCT(MAX(ROW(E$2:E1246)*(E1246=E$2:E1246)))))-COUNTBLANK(OFFSET(A$1,,,SUMPRODUCT(MAX(ROW(E$1:E1245)*(E2=E$1:E1245))))))</f>
        <v> </v>
      </c>
      <c r="K1246" s="25" t="str">
        <f>IF(OR(E1246="",E1246="!!!",F1246="NEW"),"",INDEX(J$1:J1245,SUMPRODUCT(MAX(ROW(E$1:E1245)*(E1246=E$1:E1245)))))</f>
        <v> </v>
      </c>
      <c r="L1246" s="26"/>
    </row>
    <row r="1247" spans="1:12">
      <c r="A1247" s="20" t="s">
        <v>677</v>
      </c>
      <c r="E1247" s="21">
        <f>IF(D1247="?OLD","!!!","")</f>
        <v/>
      </c>
      <c r="F1247" s="22" t="str">
        <f>IF(OR(E1247="",E1247="!!!"),"",IF(NOT(ISNA(VLOOKUP(E1247,E$1:E1246,1,FALSE()))),"OLD",IF(AND(E1247&lt;&gt;"",E1247&lt;&gt;"!!!"),"NEW","")))</f>
        <v> </v>
      </c>
      <c r="G1247" s="23" t="str">
        <f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> </v>
      </c>
      <c r="H1247" s="24" t="str">
        <f>IF(J1247&lt;&gt;1,"",IF(I1247="SBJ","CB","?"))</f>
        <v> </v>
      </c>
      <c r="I1247" s="25" t="str">
        <f>IF(OR(E1247="",E1247="!!!",F1247="NEW"),"",INDEX(B1246:B$2,-1+SUMPRODUCT(MAX(ROW(E1246:E$2)*(E1247=E1246:E$2)))))</f>
        <v> </v>
      </c>
      <c r="J1247" s="25" t="str">
        <f>IF(OR(E1247="",E1247="!!!",F1247="NEW"),"",COUNTBLANK(OFFSET(A$1,,,SUMPRODUCT(MAX(ROW(E$2:E1247)*(E1247=E$2:E1247)))))-COUNTBLANK(OFFSET(A$1,,,SUMPRODUCT(MAX(ROW(E$1:E1246)*(E2=E$1:E1246))))))</f>
        <v> </v>
      </c>
      <c r="K1247" s="25" t="str">
        <f>IF(OR(E1247="",E1247="!!!",F1247="NEW"),"",INDEX(J$1:J1246,SUMPRODUCT(MAX(ROW(E$1:E1246)*(E1247=E$1:E1246)))))</f>
        <v> </v>
      </c>
      <c r="L1247" s="26"/>
    </row>
    <row r="1248" spans="1:12">
      <c r="A1248" s="20" t="s">
        <v>267</v>
      </c>
      <c r="E1248" s="21">
        <f>IF(D1248="?OLD","!!!","")</f>
        <v/>
      </c>
      <c r="F1248" s="22" t="str">
        <f>IF(OR(E1248="",E1248="!!!"),"",IF(NOT(ISNA(VLOOKUP(E1248,E$1:E1247,1,FALSE()))),"OLD",IF(AND(E1248&lt;&gt;"",E1248&lt;&gt;"!!!"),"NEW","")))</f>
        <v> </v>
      </c>
      <c r="G1248" s="23" t="str">
        <f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> </v>
      </c>
      <c r="H1248" s="24" t="str">
        <f>IF(J1248&lt;&gt;1,"",IF(I1248="SBJ","CB","?"))</f>
        <v> </v>
      </c>
      <c r="I1248" s="25" t="str">
        <f>IF(OR(E1248="",E1248="!!!",F1248="NEW"),"",INDEX(B1247:B$2,-1+SUMPRODUCT(MAX(ROW(E1247:E$2)*(E1248=E1247:E$2)))))</f>
        <v> </v>
      </c>
      <c r="J1248" s="25" t="str">
        <f>IF(OR(E1248="",E1248="!!!",F1248="NEW"),"",COUNTBLANK(OFFSET(A$1,,,SUMPRODUCT(MAX(ROW(E$2:E1248)*(E1248=E$2:E1248)))))-COUNTBLANK(OFFSET(A$1,,,SUMPRODUCT(MAX(ROW(E$1:E1247)*(E2=E$1:E1247))))))</f>
        <v> </v>
      </c>
      <c r="K1248" s="25" t="str">
        <f>IF(OR(E1248="",E1248="!!!",F1248="NEW"),"",INDEX(J$1:J1247,SUMPRODUCT(MAX(ROW(E$1:E1247)*(E1248=E$1:E1247)))))</f>
        <v> </v>
      </c>
      <c r="L1248" s="26"/>
    </row>
    <row r="1249" spans="1:12">
      <c r="A1249" s="20" t="s">
        <v>678</v>
      </c>
      <c r="B1249" s="27" t="s">
        <v>223</v>
      </c>
      <c r="C1249" s="27" t="s">
        <v>217</v>
      </c>
      <c r="E1249" s="21">
        <f>IF(D1249="?OLD","!!!","")</f>
        <v/>
      </c>
      <c r="F1249" s="22" t="str">
        <f>IF(OR(E1249="",E1249="!!!"),"",IF(NOT(ISNA(VLOOKUP(E1249,E$1:E1248,1,FALSE()))),"OLD",IF(AND(E1249&lt;&gt;"",E1249&lt;&gt;"!!!"),"NEW","")))</f>
        <v> </v>
      </c>
      <c r="G1249" s="23" t="str">
        <f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> </v>
      </c>
      <c r="H1249" s="24" t="str">
        <f>IF(J1249&lt;&gt;1,"",IF(I1249="SBJ","CB","?"))</f>
        <v> </v>
      </c>
      <c r="I1249" s="25" t="str">
        <f>IF(OR(E1249="",E1249="!!!",F1249="NEW"),"",INDEX(B1248:B$2,-1+SUMPRODUCT(MAX(ROW(E1248:E$2)*(E1249=E1248:E$2)))))</f>
        <v> </v>
      </c>
      <c r="J1249" s="25" t="str">
        <f>IF(OR(E1249="",E1249="!!!",F1249="NEW"),"",COUNTBLANK(OFFSET(A$1,,,SUMPRODUCT(MAX(ROW(E$2:E1249)*(E1249=E$2:E1249)))))-COUNTBLANK(OFFSET(A$1,,,SUMPRODUCT(MAX(ROW(E$1:E1248)*(E2=E$1:E1248))))))</f>
        <v> </v>
      </c>
      <c r="K1249" s="25" t="str">
        <f>IF(OR(E1249="",E1249="!!!",F1249="NEW"),"",INDEX(J$1:J1248,SUMPRODUCT(MAX(ROW(E$1:E1248)*(E1249=E$1:E1248)))))</f>
        <v> </v>
      </c>
      <c r="L1249" s="26"/>
    </row>
    <row r="1250" spans="1:12">
      <c r="A1250" s="20" t="s">
        <v>407</v>
      </c>
      <c r="E1250" s="21">
        <f>IF(D1250="?OLD","!!!","")</f>
        <v/>
      </c>
      <c r="F1250" s="22" t="str">
        <f>IF(OR(E1250="",E1250="!!!"),"",IF(NOT(ISNA(VLOOKUP(E1250,E$1:E1249,1,FALSE()))),"OLD",IF(AND(E1250&lt;&gt;"",E1250&lt;&gt;"!!!"),"NEW","")))</f>
        <v> </v>
      </c>
      <c r="G1250" s="23" t="str">
        <f>IF(OR(E1250="",E1250="!!!"),"",IF(OR(J1250=0,AND(J1250=1,K1250=1),AND(J1250=1,I1250="SBJ"),AND(J1250=1,I1250=0)),"?IN_FOCUS",IF(J1250&lt;=2,"?ACTIVATED",IF(J1250&lt;&gt;"","?FAMILIAR",IF(F1250="NEW",IF(ISNA(VLOOKUP(E1250,#REF!,1,FALSE())),"?TYPE_IDENTIFIABLE","?REFERENTIAL"),"_")))))</f>
        <v> </v>
      </c>
      <c r="H1250" s="24" t="str">
        <f>IF(J1250&lt;&gt;1,"",IF(I1250="SBJ","CB","?"))</f>
        <v> </v>
      </c>
      <c r="I1250" s="25" t="str">
        <f>IF(OR(E1250="",E1250="!!!",F1250="NEW"),"",INDEX(B1249:B$2,-1+SUMPRODUCT(MAX(ROW(E1249:E$2)*(E1250=E1249:E$2)))))</f>
        <v> </v>
      </c>
      <c r="J1250" s="25" t="str">
        <f>IF(OR(E1250="",E1250="!!!",F1250="NEW"),"",COUNTBLANK(OFFSET(A$1,,,SUMPRODUCT(MAX(ROW(E$2:E1250)*(E1250=E$2:E1250)))))-COUNTBLANK(OFFSET(A$1,,,SUMPRODUCT(MAX(ROW(E$1:E1249)*(E2=E$1:E1249))))))</f>
        <v> </v>
      </c>
      <c r="K1250" s="25" t="str">
        <f>IF(OR(E1250="",E1250="!!!",F1250="NEW"),"",INDEX(J$1:J1249,SUMPRODUCT(MAX(ROW(E$1:E1249)*(E1250=E$1:E1249)))))</f>
        <v> </v>
      </c>
      <c r="L1250" s="26"/>
    </row>
    <row r="1251" spans="1:12">
      <c r="A1251" s="20" t="s">
        <v>652</v>
      </c>
      <c r="E1251" s="21">
        <f>IF(D1251="?OLD","!!!","")</f>
        <v/>
      </c>
      <c r="F1251" s="22" t="str">
        <f>IF(OR(E1251="",E1251="!!!"),"",IF(NOT(ISNA(VLOOKUP(E1251,E$1:E1250,1,FALSE()))),"OLD",IF(AND(E1251&lt;&gt;"",E1251&lt;&gt;"!!!"),"NEW","")))</f>
        <v> </v>
      </c>
      <c r="G1251" s="23" t="str">
        <f>IF(OR(E1251="",E1251="!!!"),"",IF(OR(J1251=0,AND(J1251=1,K1251=1),AND(J1251=1,I1251="SBJ"),AND(J1251=1,I1251=0)),"?IN_FOCUS",IF(J1251&lt;=2,"?ACTIVATED",IF(J1251&lt;&gt;"","?FAMILIAR",IF(F1251="NEW",IF(ISNA(VLOOKUP(E1251,#REF!,1,FALSE())),"?TYPE_IDENTIFIABLE","?REFERENTIAL"),"_")))))</f>
        <v> </v>
      </c>
      <c r="H1251" s="24" t="str">
        <f>IF(J1251&lt;&gt;1,"",IF(I1251="SBJ","CB","?"))</f>
        <v> </v>
      </c>
      <c r="I1251" s="25" t="str">
        <f>IF(OR(E1251="",E1251="!!!",F1251="NEW"),"",INDEX(B1250:B$2,-1+SUMPRODUCT(MAX(ROW(E1250:E$2)*(E1251=E1250:E$2)))))</f>
        <v> </v>
      </c>
      <c r="J1251" s="25" t="str">
        <f>IF(OR(E1251="",E1251="!!!",F1251="NEW"),"",COUNTBLANK(OFFSET(A$1,,,SUMPRODUCT(MAX(ROW(E$2:E1251)*(E1251=E$2:E1251)))))-COUNTBLANK(OFFSET(A$1,,,SUMPRODUCT(MAX(ROW(E$1:E1250)*(E2=E$1:E1250))))))</f>
        <v> </v>
      </c>
      <c r="K1251" s="25" t="str">
        <f>IF(OR(E1251="",E1251="!!!",F1251="NEW"),"",INDEX(J$1:J1250,SUMPRODUCT(MAX(ROW(E$1:E1250)*(E1251=E$1:E1250)))))</f>
        <v> </v>
      </c>
      <c r="L1251" s="26"/>
    </row>
    <row r="1252" spans="1:12">
      <c r="A1252" s="20" t="s">
        <v>284</v>
      </c>
      <c r="E1252" s="21">
        <f>IF(D1252="?OLD","!!!","")</f>
        <v/>
      </c>
      <c r="F1252" s="22" t="str">
        <f>IF(OR(E1252="",E1252="!!!"),"",IF(NOT(ISNA(VLOOKUP(E1252,E$1:E1251,1,FALSE()))),"OLD",IF(AND(E1252&lt;&gt;"",E1252&lt;&gt;"!!!"),"NEW","")))</f>
        <v> </v>
      </c>
      <c r="G1252" s="23" t="str">
        <f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> </v>
      </c>
      <c r="H1252" s="24" t="str">
        <f>IF(J1252&lt;&gt;1,"",IF(I1252="SBJ","CB","?"))</f>
        <v> </v>
      </c>
      <c r="I1252" s="25" t="str">
        <f>IF(OR(E1252="",E1252="!!!",F1252="NEW"),"",INDEX(B1251:B$2,-1+SUMPRODUCT(MAX(ROW(E1251:E$2)*(E1252=E1251:E$2)))))</f>
        <v> </v>
      </c>
      <c r="J1252" s="25" t="str">
        <f>IF(OR(E1252="",E1252="!!!",F1252="NEW"),"",COUNTBLANK(OFFSET(A$1,,,SUMPRODUCT(MAX(ROW(E$2:E1252)*(E1252=E$2:E1252)))))-COUNTBLANK(OFFSET(A$1,,,SUMPRODUCT(MAX(ROW(E$1:E1251)*(E2=E$1:E1251))))))</f>
        <v> </v>
      </c>
      <c r="K1252" s="25" t="str">
        <f>IF(OR(E1252="",E1252="!!!",F1252="NEW"),"",INDEX(J$1:J1251,SUMPRODUCT(MAX(ROW(E$1:E1251)*(E1252=E$1:E1251)))))</f>
        <v> </v>
      </c>
      <c r="L1252" s="26"/>
    </row>
    <row r="1253" spans="1:12">
      <c r="A1253" s="20" t="s">
        <v>238</v>
      </c>
      <c r="B1253" s="27" t="s">
        <v>208</v>
      </c>
      <c r="C1253" s="27" t="s">
        <v>184</v>
      </c>
      <c r="D1253" s="27" t="s">
        <v>185</v>
      </c>
      <c r="E1253" s="21">
        <f>IF(D1253="?OLD","!!!","")</f>
        <v/>
      </c>
      <c r="F1253" s="22" t="str">
        <f>IF(OR(E1253="",E1253="!!!"),"",IF(NOT(ISNA(VLOOKUP(E1253,E$1:E1252,1,FALSE()))),"OLD",IF(AND(E1253&lt;&gt;"",E1253&lt;&gt;"!!!"),"NEW","")))</f>
        <v> </v>
      </c>
      <c r="G1253" s="23" t="str">
        <f>IF(OR(E1253="",E1253="!!!"),"",IF(OR(J1253=0,AND(J1253=1,K1253=1),AND(J1253=1,I1253="SBJ"),AND(J1253=1,I1253=0)),"?IN_FOCUS",IF(J1253&lt;=2,"?ACTIVATED",IF(J1253&lt;&gt;"","?FAMILIAR",IF(F1253="NEW",IF(ISNA(VLOOKUP(E1253,#REF!,1,FALSE())),"?TYPE_IDENTIFIABLE","?REFERENTIAL"),"_")))))</f>
        <v> </v>
      </c>
      <c r="H1253" s="24" t="str">
        <f>IF(J1253&lt;&gt;1,"",IF(I1253="SBJ","CB","?"))</f>
        <v> </v>
      </c>
      <c r="I1253" s="25" t="str">
        <f>IF(OR(E1253="",E1253="!!!",F1253="NEW"),"",INDEX(B1252:B$2,-1+SUMPRODUCT(MAX(ROW(E1252:E$2)*(E1253=E1252:E$2)))))</f>
        <v> </v>
      </c>
      <c r="J1253" s="25" t="str">
        <f>IF(OR(E1253="",E1253="!!!",F1253="NEW"),"",COUNTBLANK(OFFSET(A$1,,,SUMPRODUCT(MAX(ROW(E$2:E1253)*(E1253=E$2:E1253)))))-COUNTBLANK(OFFSET(A$1,,,SUMPRODUCT(MAX(ROW(E$1:E1252)*(E2=E$1:E1252))))))</f>
        <v> </v>
      </c>
      <c r="K1253" s="25" t="str">
        <f>IF(OR(E1253="",E1253="!!!",F1253="NEW"),"",INDEX(J$1:J1252,SUMPRODUCT(MAX(ROW(E$1:E1252)*(E1253=E$1:E1252)))))</f>
        <v> </v>
      </c>
      <c r="L1253" s="26"/>
    </row>
    <row r="1254" spans="1:12">
      <c r="A1254" s="20" t="s">
        <v>186</v>
      </c>
      <c r="E1254" s="21">
        <f>IF(D1254="?OLD","!!!","")</f>
        <v/>
      </c>
      <c r="F1254" s="22" t="str">
        <f>IF(OR(E1254="",E1254="!!!"),"",IF(NOT(ISNA(VLOOKUP(E1254,E$1:E1253,1,FALSE()))),"OLD",IF(AND(E1254&lt;&gt;"",E1254&lt;&gt;"!!!"),"NEW","")))</f>
        <v> </v>
      </c>
      <c r="G1254" s="23" t="str">
        <f>IF(OR(E1254="",E1254="!!!"),"",IF(OR(J1254=0,AND(J1254=1,K1254=1),AND(J1254=1,I1254="SBJ"),AND(J1254=1,I1254=0)),"?IN_FOCUS",IF(J1254&lt;=2,"?ACTIVATED",IF(J1254&lt;&gt;"","?FAMILIAR",IF(F1254="NEW",IF(ISNA(VLOOKUP(E1254,#REF!,1,FALSE())),"?TYPE_IDENTIFIABLE","?REFERENTIAL"),"_")))))</f>
        <v> </v>
      </c>
      <c r="H1254" s="24" t="str">
        <f>IF(J1254&lt;&gt;1,"",IF(I1254="SBJ","CB","?"))</f>
        <v> </v>
      </c>
      <c r="I1254" s="25" t="str">
        <f>IF(OR(E1254="",E1254="!!!",F1254="NEW"),"",INDEX(B1253:B$2,-1+SUMPRODUCT(MAX(ROW(E1253:E$2)*(E1254=E1253:E$2)))))</f>
        <v> </v>
      </c>
      <c r="J1254" s="25" t="str">
        <f>IF(OR(E1254="",E1254="!!!",F1254="NEW"),"",COUNTBLANK(OFFSET(A$1,,,SUMPRODUCT(MAX(ROW(E$2:E1254)*(E1254=E$2:E1254)))))-COUNTBLANK(OFFSET(A$1,,,SUMPRODUCT(MAX(ROW(E$1:E1253)*(E2=E$1:E1253))))))</f>
        <v> </v>
      </c>
      <c r="K1254" s="25" t="str">
        <f>IF(OR(E1254="",E1254="!!!",F1254="NEW"),"",INDEX(J$1:J1253,SUMPRODUCT(MAX(ROW(E$1:E1253)*(E1254=E$1:E1253)))))</f>
        <v> </v>
      </c>
      <c r="L1254" s="26"/>
    </row>
    <row r="1255" spans="1:12">
      <c r="A1255" s="20" t="s">
        <v>187</v>
      </c>
      <c r="B1255" s="27" t="s">
        <v>205</v>
      </c>
      <c r="C1255" s="27" t="s">
        <v>189</v>
      </c>
      <c r="E1255" s="21">
        <f>IF(D1255="?OLD","!!!","")</f>
        <v/>
      </c>
      <c r="F1255" s="22" t="str">
        <f>IF(OR(E1255="",E1255="!!!"),"",IF(NOT(ISNA(VLOOKUP(E1255,E$1:E1254,1,FALSE()))),"OLD",IF(AND(E1255&lt;&gt;"",E1255&lt;&gt;"!!!"),"NEW","")))</f>
        <v> </v>
      </c>
      <c r="G1255" s="23" t="str">
        <f>IF(OR(E1255="",E1255="!!!"),"",IF(OR(J1255=0,AND(J1255=1,K1255=1),AND(J1255=1,I1255="SBJ"),AND(J1255=1,I1255=0)),"?IN_FOCUS",IF(J1255&lt;=2,"?ACTIVATED",IF(J1255&lt;&gt;"","?FAMILIAR",IF(F1255="NEW",IF(ISNA(VLOOKUP(E1255,#REF!,1,FALSE())),"?TYPE_IDENTIFIABLE","?REFERENTIAL"),"_")))))</f>
        <v> </v>
      </c>
      <c r="H1255" s="24" t="str">
        <f>IF(J1255&lt;&gt;1,"",IF(I1255="SBJ","CB","?"))</f>
        <v> </v>
      </c>
      <c r="I1255" s="25" t="str">
        <f>IF(OR(E1255="",E1255="!!!",F1255="NEW"),"",INDEX(B1254:B$2,-1+SUMPRODUCT(MAX(ROW(E1254:E$2)*(E1255=E1254:E$2)))))</f>
        <v> </v>
      </c>
      <c r="J1255" s="25" t="str">
        <f>IF(OR(E1255="",E1255="!!!",F1255="NEW"),"",COUNTBLANK(OFFSET(A$1,,,SUMPRODUCT(MAX(ROW(E$2:E1255)*(E1255=E$2:E1255)))))-COUNTBLANK(OFFSET(A$1,,,SUMPRODUCT(MAX(ROW(E$1:E1254)*(E2=E$1:E1254))))))</f>
        <v> </v>
      </c>
      <c r="K1255" s="25" t="str">
        <f>IF(OR(E1255="",E1255="!!!",F1255="NEW"),"",INDEX(J$1:J1254,SUMPRODUCT(MAX(ROW(E$1:E1254)*(E1255=E$1:E1254)))))</f>
        <v> </v>
      </c>
      <c r="L1255" s="26"/>
    </row>
    <row r="1256" spans="1:12">
      <c r="A1256" s="20" t="s">
        <v>201</v>
      </c>
      <c r="B1256" s="27" t="s">
        <v>648</v>
      </c>
      <c r="E1256" s="21">
        <f>IF(D1256="?OLD","!!!","")</f>
        <v/>
      </c>
      <c r="F1256" s="22" t="str">
        <f>IF(OR(E1256="",E1256="!!!"),"",IF(NOT(ISNA(VLOOKUP(E1256,E$1:E1255,1,FALSE()))),"OLD",IF(AND(E1256&lt;&gt;"",E1256&lt;&gt;"!!!"),"NEW","")))</f>
        <v> </v>
      </c>
      <c r="G1256" s="23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> </v>
      </c>
      <c r="H1256" s="24" t="str">
        <f>IF(J1256&lt;&gt;1,"",IF(I1256="SBJ","CB","?"))</f>
        <v> </v>
      </c>
      <c r="I1256" s="25" t="str">
        <f>IF(OR(E1256="",E1256="!!!",F1256="NEW"),"",INDEX(B1255:B$2,-1+SUMPRODUCT(MAX(ROW(E1255:E$2)*(E1256=E1255:E$2)))))</f>
        <v> </v>
      </c>
      <c r="J1256" s="25" t="str">
        <f>IF(OR(E1256="",E1256="!!!",F1256="NEW"),"",COUNTBLANK(OFFSET(A$1,,,SUMPRODUCT(MAX(ROW(E$2:E1256)*(E1256=E$2:E1256)))))-COUNTBLANK(OFFSET(A$1,,,SUMPRODUCT(MAX(ROW(E$1:E1255)*(E2=E$1:E1255))))))</f>
        <v> </v>
      </c>
      <c r="K1256" s="25" t="str">
        <f>IF(OR(E1256="",E1256="!!!",F1256="NEW"),"",INDEX(J$1:J1255,SUMPRODUCT(MAX(ROW(E$1:E1255)*(E1256=E$1:E1255)))))</f>
        <v> </v>
      </c>
      <c r="L1256" s="26"/>
    </row>
    <row r="1257" spans="1:12">
      <c r="A1257" s="20" t="s">
        <v>679</v>
      </c>
      <c r="E1257" s="21">
        <f>IF(D1257="?OLD","!!!","")</f>
        <v/>
      </c>
      <c r="F1257" s="22" t="str">
        <f>IF(OR(E1257="",E1257="!!!"),"",IF(NOT(ISNA(VLOOKUP(E1257,E$1:E1256,1,FALSE()))),"OLD",IF(AND(E1257&lt;&gt;"",E1257&lt;&gt;"!!!"),"NEW","")))</f>
        <v> </v>
      </c>
      <c r="G1257" s="23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> </v>
      </c>
      <c r="H1257" s="24" t="str">
        <f>IF(J1257&lt;&gt;1,"",IF(I1257="SBJ","CB","?"))</f>
        <v> </v>
      </c>
      <c r="I1257" s="25" t="str">
        <f>IF(OR(E1257="",E1257="!!!",F1257="NEW"),"",INDEX(B1256:B$2,-1+SUMPRODUCT(MAX(ROW(E1256:E$2)*(E1257=E1256:E$2)))))</f>
        <v> </v>
      </c>
      <c r="J1257" s="25" t="str">
        <f>IF(OR(E1257="",E1257="!!!",F1257="NEW"),"",COUNTBLANK(OFFSET(A$1,,,SUMPRODUCT(MAX(ROW(E$2:E1257)*(E1257=E$2:E1257)))))-COUNTBLANK(OFFSET(A$1,,,SUMPRODUCT(MAX(ROW(E$1:E1256)*(E2=E$1:E1256))))))</f>
        <v> </v>
      </c>
      <c r="K1257" s="25" t="str">
        <f>IF(OR(E1257="",E1257="!!!",F1257="NEW"),"",INDEX(J$1:J1256,SUMPRODUCT(MAX(ROW(E$1:E1256)*(E1257=E$1:E1256)))))</f>
        <v> </v>
      </c>
      <c r="L1257" s="26"/>
    </row>
    <row r="1258" spans="1:12">
      <c r="A1258" s="20" t="s">
        <v>186</v>
      </c>
      <c r="E1258" s="21">
        <f>IF(D1258="?OLD","!!!","")</f>
        <v/>
      </c>
      <c r="F1258" s="22" t="str">
        <f>IF(OR(E1258="",E1258="!!!"),"",IF(NOT(ISNA(VLOOKUP(E1258,E$1:E1257,1,FALSE()))),"OLD",IF(AND(E1258&lt;&gt;"",E1258&lt;&gt;"!!!"),"NEW","")))</f>
        <v> </v>
      </c>
      <c r="G1258" s="23" t="str">
        <f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> </v>
      </c>
      <c r="H1258" s="24" t="str">
        <f>IF(J1258&lt;&gt;1,"",IF(I1258="SBJ","CB","?"))</f>
        <v> </v>
      </c>
      <c r="I1258" s="25" t="str">
        <f>IF(OR(E1258="",E1258="!!!",F1258="NEW"),"",INDEX(B1257:B$2,-1+SUMPRODUCT(MAX(ROW(E1257:E$2)*(E1258=E1257:E$2)))))</f>
        <v> </v>
      </c>
      <c r="J1258" s="25" t="str">
        <f>IF(OR(E1258="",E1258="!!!",F1258="NEW"),"",COUNTBLANK(OFFSET(A$1,,,SUMPRODUCT(MAX(ROW(E$2:E1258)*(E1258=E$2:E1258)))))-COUNTBLANK(OFFSET(A$1,,,SUMPRODUCT(MAX(ROW(E$1:E1257)*(E2=E$1:E1257))))))</f>
        <v> </v>
      </c>
      <c r="K1258" s="25" t="str">
        <f>IF(OR(E1258="",E1258="!!!",F1258="NEW"),"",INDEX(J$1:J1257,SUMPRODUCT(MAX(ROW(E$1:E1257)*(E1258=E$1:E1257)))))</f>
        <v> </v>
      </c>
      <c r="L1258" s="26"/>
    </row>
    <row r="1259" spans="1:12">
      <c r="A1259" s="20" t="s">
        <v>660</v>
      </c>
      <c r="E1259" s="21">
        <f>IF(D1259="?OLD","!!!","")</f>
        <v/>
      </c>
      <c r="F1259" s="22" t="str">
        <f>IF(OR(E1259="",E1259="!!!"),"",IF(NOT(ISNA(VLOOKUP(E1259,E$1:E1258,1,FALSE()))),"OLD",IF(AND(E1259&lt;&gt;"",E1259&lt;&gt;"!!!"),"NEW","")))</f>
        <v> </v>
      </c>
      <c r="G1259" s="23" t="str">
        <f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> </v>
      </c>
      <c r="H1259" s="24" t="str">
        <f>IF(J1259&lt;&gt;1,"",IF(I1259="SBJ","CB","?"))</f>
        <v> </v>
      </c>
      <c r="I1259" s="25" t="str">
        <f>IF(OR(E1259="",E1259="!!!",F1259="NEW"),"",INDEX(B1258:B$2,-1+SUMPRODUCT(MAX(ROW(E1258:E$2)*(E1259=E1258:E$2)))))</f>
        <v> </v>
      </c>
      <c r="J1259" s="25" t="str">
        <f>IF(OR(E1259="",E1259="!!!",F1259="NEW"),"",COUNTBLANK(OFFSET(A$1,,,SUMPRODUCT(MAX(ROW(E$2:E1259)*(E1259=E$2:E1259)))))-COUNTBLANK(OFFSET(A$1,,,SUMPRODUCT(MAX(ROW(E$1:E1258)*(E2=E$1:E1258))))))</f>
        <v> </v>
      </c>
      <c r="K1259" s="25" t="str">
        <f>IF(OR(E1259="",E1259="!!!",F1259="NEW"),"",INDEX(J$1:J1258,SUMPRODUCT(MAX(ROW(E$1:E1258)*(E1259=E$1:E1258)))))</f>
        <v> </v>
      </c>
      <c r="L1259" s="26"/>
    </row>
    <row r="1260" spans="1:12">
      <c r="A1260" s="20" t="s">
        <v>190</v>
      </c>
      <c r="E1260" s="21">
        <f>IF(D1260="?OLD","!!!","")</f>
        <v/>
      </c>
      <c r="F1260" s="22" t="str">
        <f>IF(OR(E1260="",E1260="!!!"),"",IF(NOT(ISNA(VLOOKUP(E1260,E$1:E1259,1,FALSE()))),"OLD",IF(AND(E1260&lt;&gt;"",E1260&lt;&gt;"!!!"),"NEW","")))</f>
        <v> </v>
      </c>
      <c r="G1260" s="23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> </v>
      </c>
      <c r="H1260" s="24" t="str">
        <f>IF(J1260&lt;&gt;1,"",IF(I1260="SBJ","CB","?"))</f>
        <v> </v>
      </c>
      <c r="I1260" s="25" t="str">
        <f>IF(OR(E1260="",E1260="!!!",F1260="NEW"),"",INDEX(B1259:B$2,-1+SUMPRODUCT(MAX(ROW(E1259:E$2)*(E1260=E1259:E$2)))))</f>
        <v> </v>
      </c>
      <c r="J1260" s="25" t="str">
        <f>IF(OR(E1260="",E1260="!!!",F1260="NEW"),"",COUNTBLANK(OFFSET(A$1,,,SUMPRODUCT(MAX(ROW(E$2:E1260)*(E1260=E$2:E1260)))))-COUNTBLANK(OFFSET(A$1,,,SUMPRODUCT(MAX(ROW(E$1:E1259)*(E2=E$1:E1259))))))</f>
        <v> </v>
      </c>
      <c r="K1260" s="25" t="str">
        <f>IF(OR(E1260="",E1260="!!!",F1260="NEW"),"",INDEX(J$1:J1259,SUMPRODUCT(MAX(ROW(E$1:E1259)*(E1260=E$1:E1259)))))</f>
        <v> </v>
      </c>
      <c r="L1260" s="26"/>
    </row>
    <row r="1261" spans="1:12">
      <c r="A1261" s="20" t="s">
        <v>680</v>
      </c>
      <c r="E1261" s="21">
        <f>IF(D1261="?OLD","!!!","")</f>
        <v/>
      </c>
      <c r="F1261" s="22" t="str">
        <f>IF(OR(E1261="",E1261="!!!"),"",IF(NOT(ISNA(VLOOKUP(E1261,E$1:E1260,1,FALSE()))),"OLD",IF(AND(E1261&lt;&gt;"",E1261&lt;&gt;"!!!"),"NEW","")))</f>
        <v> </v>
      </c>
      <c r="G1261" s="23" t="str">
        <f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> </v>
      </c>
      <c r="H1261" s="24" t="str">
        <f>IF(J1261&lt;&gt;1,"",IF(I1261="SBJ","CB","?"))</f>
        <v> </v>
      </c>
      <c r="I1261" s="25" t="str">
        <f>IF(OR(E1261="",E1261="!!!",F1261="NEW"),"",INDEX(B1260:B$2,-1+SUMPRODUCT(MAX(ROW(E1260:E$2)*(E1261=E1260:E$2)))))</f>
        <v> </v>
      </c>
      <c r="J1261" s="25" t="str">
        <f>IF(OR(E1261="",E1261="!!!",F1261="NEW"),"",COUNTBLANK(OFFSET(A$1,,,SUMPRODUCT(MAX(ROW(E$2:E1261)*(E1261=E$2:E1261)))))-COUNTBLANK(OFFSET(A$1,,,SUMPRODUCT(MAX(ROW(E$1:E1260)*(E2=E$1:E1260))))))</f>
        <v> </v>
      </c>
      <c r="K1261" s="25" t="str">
        <f>IF(OR(E1261="",E1261="!!!",F1261="NEW"),"",INDEX(J$1:J1260,SUMPRODUCT(MAX(ROW(E$1:E1260)*(E1261=E$1:E1260)))))</f>
        <v> </v>
      </c>
      <c r="L1261" s="26"/>
    </row>
    <row r="1262" spans="1:12">
      <c r="A1262" s="20" t="s">
        <v>231</v>
      </c>
      <c r="E1262" s="21">
        <f>IF(D1262="?OLD","!!!","")</f>
        <v/>
      </c>
      <c r="F1262" s="22" t="str">
        <f>IF(OR(E1262="",E1262="!!!"),"",IF(NOT(ISNA(VLOOKUP(E1262,E$1:E1261,1,FALSE()))),"OLD",IF(AND(E1262&lt;&gt;"",E1262&lt;&gt;"!!!"),"NEW","")))</f>
        <v> </v>
      </c>
      <c r="G1262" s="23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> </v>
      </c>
      <c r="H1262" s="24" t="str">
        <f>IF(J1262&lt;&gt;1,"",IF(I1262="SBJ","CB","?"))</f>
        <v> </v>
      </c>
      <c r="I1262" s="25" t="str">
        <f>IF(OR(E1262="",E1262="!!!",F1262="NEW"),"",INDEX(B1261:B$2,-1+SUMPRODUCT(MAX(ROW(E1261:E$2)*(E1262=E1261:E$2)))))</f>
        <v> </v>
      </c>
      <c r="J1262" s="25" t="str">
        <f>IF(OR(E1262="",E1262="!!!",F1262="NEW"),"",COUNTBLANK(OFFSET(A$1,,,SUMPRODUCT(MAX(ROW(E$2:E1262)*(E1262=E$2:E1262)))))-COUNTBLANK(OFFSET(A$1,,,SUMPRODUCT(MAX(ROW(E$1:E1261)*(E2=E$1:E1261))))))</f>
        <v> </v>
      </c>
      <c r="K1262" s="25" t="str">
        <f>IF(OR(E1262="",E1262="!!!",F1262="NEW"),"",INDEX(J$1:J1261,SUMPRODUCT(MAX(ROW(E$1:E1261)*(E1262=E$1:E1261)))))</f>
        <v> </v>
      </c>
      <c r="L1262" s="26"/>
    </row>
    <row r="1263" spans="1:12">
      <c r="A1263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2025-07-15T17:23:32Z</dcterms:created>
  <dcterms:modified xsi:type="dcterms:W3CDTF">2025-07-15T17:23:32Z</dcterms:modified>
</cp:coreProperties>
</file>