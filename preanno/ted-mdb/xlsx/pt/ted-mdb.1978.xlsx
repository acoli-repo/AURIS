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<sst xmlns="http://schemas.openxmlformats.org/spreadsheetml/2006/main" count="4877" uniqueCount="1077">
  <si>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</si>
  <si>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</si>
  <si>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</si>
  <si>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</si>
  <si>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</si>
  <si>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</si>
  <si>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</si>
  <si>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</si>
  <si>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</si>
  <si>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</si>
  <si>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</si>
  <si>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</si>
  <si>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Senti -me muito feliz porque o meu primeiro trabalho foi trabalhar no Museu de Arte Moderna em_ uma retrospetiva de_ a pintora Elizabeth Murray .</t>
  </si>
  <si>
    <t>2</t>
  </si>
  <si>
    <t>(e)</t>
  </si>
  <si>
    <t>Aprendi muito com ela .</t>
  </si>
  <si>
    <t>Expansion.Conjunction</t>
  </si>
  <si>
    <t>Conjunction</t>
  </si>
  <si>
    <t>(orig: Expansion.Conjunction)</t>
  </si>
  <si>
    <t>3</t>
  </si>
  <si>
    <t>(de facto)</t>
  </si>
  <si>
    <t>Depois de o curador Robert Storr ter escolhido todos os quadros entre o conjunto de obras de_ a vida de_ ela , eu adorava olhar para as pinturas de_ os anos 70 .</t>
  </si>
  <si>
    <t>Expansion.Level-of-detail.Arg2-as-detail</t>
  </si>
  <si>
    <t>specific</t>
  </si>
  <si>
    <t>(orig: Expansion.Level-of-detail.Arg2-as-detail)</t>
  </si>
  <si>
    <t>4</t>
  </si>
  <si>
    <t>Havia alguns motivos e elementos que viriam a aparecer posteriormente na sua vida .</t>
  </si>
  <si>
    <t>5</t>
  </si>
  <si>
    <t>Lembro -me de lhe ter perguntado o que ela pensava de_ essas primeiras obras .</t>
  </si>
  <si>
    <t>6</t>
  </si>
  <si>
    <t>Se não soubéssemos que eram de_ ela , talvez não adivinhássemos .</t>
  </si>
  <si>
    <t>7</t>
  </si>
  <si>
    <t>Ela disse -me que algumas de_ elas não correspondiam à sua marca , às suas expectativas .</t>
  </si>
  <si>
    <t>8</t>
  </si>
  <si>
    <t>Na verdade , uma de_ as obras de tal modo não correspondia à sua marca , que ela tinha -a posto no lixo no seu estúdio , e a vizinha tinha -a levado , porque reconhecera o seu valor . em_ esse momento , o meu conceito de êxito e de criatividade alteraram -se .</t>
  </si>
  <si>
    <t>Expansion.Instantiation</t>
  </si>
  <si>
    <t>instance</t>
  </si>
  <si>
    <t>(orig: Expansion.Instantiation)</t>
  </si>
  <si>
    <t>9</t>
  </si>
  <si>
    <t>(isto é)</t>
  </si>
  <si>
    <t>Percebi que o êxito é um momento , mas o que estamos sempre a festejar é a criatividade e a mestria .</t>
  </si>
  <si>
    <t>10</t>
  </si>
  <si>
    <t>Mas o problema é este :</t>
  </si>
  <si>
    <t>Comparison.Concession.Arg2-as-denier</t>
  </si>
  <si>
    <t>contra-expectation</t>
  </si>
  <si>
    <t>(orig: Comparison.Concession.Arg2-as-denier)</t>
  </si>
  <si>
    <t>11</t>
  </si>
  <si>
    <t>O que é que nos leva a transformar o êxito em mestria ?</t>
  </si>
  <si>
    <t>12</t>
  </si>
  <si>
    <t>Há muito que faço a mim mesma esta pergunta .</t>
  </si>
  <si>
    <t>13</t>
  </si>
  <si>
    <t>Acho que ela chega quando começamos a dar valor a_ o dom de uma quase vitória .</t>
  </si>
  <si>
    <t>14</t>
  </si>
  <si>
    <t>Comecei a perceber isso quando , em_ um frio dia de Maio fui ver uma equipa de arqueiras universitárias , só mulheres , por coincidência , no extremo norte de Manhattan no Complexo Atlético Baker , na Colúmbia .</t>
  </si>
  <si>
    <t>15</t>
  </si>
  <si>
    <t>(pois)</t>
  </si>
  <si>
    <t>Eu queria ver aquilo a que se chama o paradoxo de_ o arqueiro , a ideia de que , para acertar em cheio no alvo , é preciso visar um pouco a_ o lado .</t>
  </si>
  <si>
    <t>Contingency.Cause.Reason</t>
  </si>
  <si>
    <t>reason</t>
  </si>
  <si>
    <t>(orig: Contingency.Cause.Reason)</t>
  </si>
  <si>
    <t>16</t>
  </si>
  <si>
    <t>Fiquei a observar enquanto o treinador conduzia aquelas mulheres em_ uma carrinha cinzenta e elas sairam com aquele ar de concentração descontraída .</t>
  </si>
  <si>
    <t>17</t>
  </si>
  <si>
    <t>Uma de_ elas tinha na mão um cone de gelado meio comido e na mão esquerda flechas com penas amarelas .</t>
  </si>
  <si>
    <t>18</t>
  </si>
  <si>
    <t>(a seguir)</t>
  </si>
  <si>
    <t>Passaram por mim e sorriram , mas mediram -me de alto a baixo enquanto se encaminhavam para o campo , e falavam umas com as outras , não com palavras , mas , segundo me pareceu , com números , graus , posições para o modo como podiam planear atingir o alvo .</t>
  </si>
  <si>
    <t>Temporal.Asynchronous.Precedence</t>
  </si>
  <si>
    <t>before</t>
  </si>
  <si>
    <t>(orig: Temporal.Asynchronous.Precedence)</t>
  </si>
  <si>
    <t>19</t>
  </si>
  <si>
    <t>Fiquei por detrás de_ uma arqueira , enquanto o treinador , entre nós duas , avaliava talvez quem podia precisar de apoio , e observei -a e não via como seria possível que , nem que fosse só uma , conseguisse acertar no décimo anel .</t>
  </si>
  <si>
    <t>20</t>
  </si>
  <si>
    <t>O décimo anel , à distância de 70 metros , parece tão pequeno como a cabeça de um fósforo na ponta de_ a mão esticada .</t>
  </si>
  <si>
    <t>21</t>
  </si>
  <si>
    <t>Ainda por cima a segurar em_ um peso de 23 kg em cada arremesso .</t>
  </si>
  <si>
    <t>22</t>
  </si>
  <si>
    <t>Recordo que ela primeiro acertou no sétimo , depois no nono , depois duas vezes no décimo , e depois a flecha seguinte nem sequer acertou no alvo .</t>
  </si>
  <si>
    <t>23</t>
  </si>
  <si>
    <t>E vi que isso deu -lhe mais persistência , e continuou , continuou , sem parar .</t>
  </si>
  <si>
    <t>24</t>
  </si>
  <si>
    <t>Aquilo continuou durante três horas .</t>
  </si>
  <si>
    <t>25</t>
  </si>
  <si>
    <t>(por conseguinte)</t>
  </si>
  <si>
    <t>No fim de_ o treino , uma de_ as arqueiras estava tão exausta que se deitou no chão sem se poder mexer , a olhar para o céu , tentando encontrar o que T .</t>
  </si>
  <si>
    <t>Contingency.Cause.Result</t>
  </si>
  <si>
    <t>result</t>
  </si>
  <si>
    <t>(orig: Contingency.Cause.Result)</t>
  </si>
  <si>
    <t>26</t>
  </si>
  <si>
    <t>S. Elliot podia ter chamado aquele " ponto imóvel no mundo em rotação " .</t>
  </si>
  <si>
    <t>27</t>
  </si>
  <si>
    <t>(pelo contrário)</t>
  </si>
  <si>
    <t>É tão raro na cultura americana , já há tão pouca vocação em qualquer coisa , olhar para o que é a perseverança com este nível de exactidão , o que significa manter a postura de_ o nosso corpo durante três horas , para atingir um alvo , procurando uma qualquer excelência na obscuridade .</t>
  </si>
  <si>
    <t>Comparison.Contrast</t>
  </si>
  <si>
    <t>Contrast</t>
  </si>
  <si>
    <t>(orig: Comparison.Contrast)</t>
  </si>
  <si>
    <t>28</t>
  </si>
  <si>
    <t>Mas eu fiquei ali porque percebi que estava a assistir a uma coisa rara de observar , essa diferença entre êxito e mestria .</t>
  </si>
  <si>
    <t>29</t>
  </si>
  <si>
    <t>O êxito é acertar em_ aquele décimo anel , mas a mestria é saber que isso não significa nada se não se conseguir voltar a fazê# -lo vezes sem conta .</t>
  </si>
  <si>
    <t>30</t>
  </si>
  <si>
    <t>Mas mestria não é a mesma coisa que excelência .</t>
  </si>
  <si>
    <t>31</t>
  </si>
  <si>
    <t>Não é a mesma coisa que êxito , que eu considero como um incidente , um dado momento no tempo . e um rótulo que o mundo nos atribui .</t>
  </si>
  <si>
    <t>32</t>
  </si>
  <si>
    <t>A mestria não é o empenhamento em_ uma meta mas uma busca permanente .</t>
  </si>
  <si>
    <t>33</t>
  </si>
  <si>
    <t>(na verdade)</t>
  </si>
  <si>
    <t>O que nos leva a fazer isso , o que nos leva a avançar cada vez mais é valorizar a quase vitória .</t>
  </si>
  <si>
    <t>34</t>
  </si>
  <si>
    <t>Quantas vezes classificamos uma coisa como um clássico , uma obra-prima até , enquanto o seu criador a considera irremediavelmente incompleta , cheia de dificuldades e de falhas , por outras palavras , uma quase vitória ?</t>
  </si>
  <si>
    <t>35</t>
  </si>
  <si>
    <t>Elizabeth</t>
  </si>
  <si>
    <t>36</t>
  </si>
  <si>
    <t>Murray surpreendeu -me com o seu reconhecimento sobre as suas primeiras pinturas .</t>
  </si>
  <si>
    <t>37</t>
  </si>
  <si>
    <t>O pintor Paul Cézanne pensava tantas vezes que as suas obras estavam incompletas que as punha deliberadamente de lado com a intenção de pegar em_ elas outra vez mas , no fim de_ a sua vida , o que aconteceu foi que ele só tinha assinado dez por cento de_ as suas pinturas .</t>
  </si>
  <si>
    <t>38</t>
  </si>
  <si>
    <t>O seu romance preferido era " A Obra-Prima Desconhecida " de Honoré de Balzac , e achava que o protagonista era o próprio pintor .</t>
  </si>
  <si>
    <t>39</t>
  </si>
  <si>
    <t>Franz Kafka considerava incompleto o que outros consideravam obras dignas de elogio , de tal modo que queria que todos os seus diários , manuscritos , cartas e até mesmo rascunhos fossem queimados depois de ele morrer .</t>
  </si>
  <si>
    <t>40</t>
  </si>
  <si>
    <t>(mas)</t>
  </si>
  <si>
    <t>O seu amigo recusou -se a cumprir esse pedido e , por causa de_ isso , temos todas as obras de Kafka que temos hoje : " América " , " O Veredito " e " O Castelo " , uma obra tão incompleta que até termina a meio de_ uma frase .</t>
  </si>
  <si>
    <t>41</t>
  </si>
  <si>
    <t>Por outras palavras , a busca de_ a mestria , é quase de avanço perpétuo . " Senhor , concedei -me que eu deseje " mais de_ o que aquilo que consigo realizar " , implorava Miguel Ângelo , como se fosse àquele Deus de_ o Antigo Testamento na Capela Sistina , e ele fosse aquele Adão com o dedo esticado e sem conseguir tocar na mão de_ aquele Deus .</t>
  </si>
  <si>
    <t>Expansion.Level-of-detail.Arg1-as-detail</t>
  </si>
  <si>
    <t>broad</t>
  </si>
  <si>
    <t>(orig: Expansion.Level-of-detail.Arg1-as-detail)</t>
  </si>
  <si>
    <t>42</t>
  </si>
  <si>
    <t>A mestria está em atingir , não em chegar .</t>
  </si>
  <si>
    <t>43</t>
  </si>
  <si>
    <t>Está em querer permanentemente preencher o fosso entre onde estamos e onde queremos estar .</t>
  </si>
  <si>
    <t>44</t>
  </si>
  <si>
    <t>(ademais)</t>
  </si>
  <si>
    <t>A mestria é sacrificarmo -nos pela nossa arte e não pelo amor de traçar a nossa carreira .</t>
  </si>
  <si>
    <t>45</t>
  </si>
  <si>
    <t>Quantos inventores e empresários desconhecidos vivem este fenómeno ?</t>
  </si>
  <si>
    <t>46</t>
  </si>
  <si>
    <t>(por exemplo)</t>
  </si>
  <si>
    <t>Vemos isso até na vida de_ o indomável explorador de_ o Ártico , Ben Saunders , que me disse que os seus triunfos não são simplesmente resultado de uma grande façanha , mas de_ a propulsão de_ uma série de quase vitórias .</t>
  </si>
  <si>
    <t>47</t>
  </si>
  <si>
    <t>Evoluímos quando nos mantemos na nossa vanguarda .</t>
  </si>
  <si>
    <t>48</t>
  </si>
  <si>
    <t>É uma sabedoria que Duke Ellington percebia , quando disse que a canção preferida de_ o seu repertório era sempre a seguinte , sempre aquela que ele ainda ia compor .</t>
  </si>
  <si>
    <t>49</t>
  </si>
  <si>
    <t>Parte de_ a razão por que a quase vitória está entranhada na mestria é porque , quanto maior for a nossa capacidade , mais claramente podemos ver que não sabemos tudo aquilo que julgávamos saber .</t>
  </si>
  <si>
    <t>50</t>
  </si>
  <si>
    <t>Chama -se o efeito Dunning-Kruger .</t>
  </si>
  <si>
    <t>51</t>
  </si>
  <si>
    <t>O Paris Review foi buscá# -lo a James Baldwin quando lhe perguntaram : " O que é que aumenta com o conhecimento ?</t>
  </si>
  <si>
    <t>52</t>
  </si>
  <si>
    <t>" e ele disse : " Aprendemos quão pouco sabemos " .</t>
  </si>
  <si>
    <t>53</t>
  </si>
  <si>
    <t>O êxito motiva -nos , mas uma quase vitória pode impelir -nos em_ uma busca incessante .</t>
  </si>
  <si>
    <t>54</t>
  </si>
  <si>
    <t>Um de_ os exemplos mais vivos de_ isso aparece quando olhamos para a diferença entre os " medalhas de prata " olímpicos e os " medalhas de bronze " depois de_ uma competição .</t>
  </si>
  <si>
    <t>55</t>
  </si>
  <si>
    <t>Thomas Gilovich e a sua equipa de_ a Universidade de Cornell estudaram esta diferença e descobriram que a frustração que os " medalhas de prata " sentem . comparada com a de_ os " de bronze " , que normalmente se sentem mais felizes por não terem ficado em quarto lugar e não terem recebido nenhuma medalha , dá a_ os " medalhas de prata " uma concentração na competição seguinte .</t>
  </si>
  <si>
    <t>56</t>
  </si>
  <si>
    <t>Vemos isso , até na indústria de_ o jogo , que , em tempos , se apercebeu deste fenómeno de_ a quase vitória e criou aquelas raspadinhas que tinham uma taxa de quase vitórias mais alta de_ o que a média e por isso levavam as pessoas a comprar mais raspadinhas a que chamavam " heart-stoppers " , e provocaram uma série de abusos na indústria de_ o jogo na Grã-Bretanha , nos anos 70 .</t>
  </si>
  <si>
    <t>57</t>
  </si>
  <si>
    <t>A razão por que a quase vitória tem propulsão é porque altera a nossa visão de_ a paisagem e coloca as nossas metas , que temos a tendência para pôr à distância , muito mais próximas de onde estamos .</t>
  </si>
  <si>
    <t>58</t>
  </si>
  <si>
    <t>Se eu vos pedir para imaginarem como será um dia maravilhoso na próxima semana , poderão descrevê# -lo em termos muito gerais .</t>
  </si>
  <si>
    <t>59</t>
  </si>
  <si>
    <t>Mas se eu pedir que descrevam um dia maravilhoso amanhã no TED , podem descrevê# -lo com uma clareza granular , prática .</t>
  </si>
  <si>
    <t>60</t>
  </si>
  <si>
    <t>E é isso o que uma quase vitória faz .</t>
  </si>
  <si>
    <t>61</t>
  </si>
  <si>
    <t>Leva -nos a concentrar -nos sobre o que , em_ este preciso momento , pretendemos fazer para abordar aquela montanha à nossa vista .</t>
  </si>
  <si>
    <t>62</t>
  </si>
  <si>
    <t>É Jackie Joyner-Kersee que , em 1984 , não conseguiu o ouro no heptatlo por um terço de segundo , e o marido previu que isso lhe iria dar a tenacidade de que ela precisava na competição seguinte .</t>
  </si>
  <si>
    <t>63</t>
  </si>
  <si>
    <t>Em 1988 , ganhou o ouro no heptatlo e bateu o recorde com 7 291 pontos , uma pontuação de que , até aí , nenhuma atleta se tinha aproximado .</t>
  </si>
  <si>
    <t>64</t>
  </si>
  <si>
    <t>(em suma)</t>
  </si>
  <si>
    <t>Não florescemos quando acabamos de fazer tudo , mas quando ainda temos mais para fazer .</t>
  </si>
  <si>
    <t>65</t>
  </si>
  <si>
    <t>Estou aqui à vossa frente , a pensar e a imaginar todos os caminhos diferentes que podíamos trabalhar para uma quase vitória em_ esta sala , como as nossas vidas podiam acontecer porque penso que , cá dentro , sabemos isso .</t>
  </si>
  <si>
    <t>66</t>
  </si>
  <si>
    <t>(isto È)</t>
  </si>
  <si>
    <t>Sabemos que florescemos quando nos situamos na nossa própria vanguarda , e é por isso que o incompleto deliberado está entranhado nos mitos de_ a criação .</t>
  </si>
  <si>
    <t>67</t>
  </si>
  <si>
    <t>Na cultura navajo , alguns artesãos e mulheres punham deliberadamente uma qualquer imperfeição nos têxteis e nas cerâmicas .</t>
  </si>
  <si>
    <t>68</t>
  </si>
  <si>
    <t>Chamavam -lhe uma linha de espírito , um defeito deliberado no desenho para dar a_ o tecelão ou a_ o artesão uma saída , mas também uma razão para continuar a trabalhar .</t>
  </si>
  <si>
    <t>69</t>
  </si>
  <si>
    <t>Os mestres não são especialistas por levar um tema a_ o seu fim conceptual .</t>
  </si>
  <si>
    <t>70</t>
  </si>
  <si>
    <t>São mestres porque percebem que ele não existe .</t>
  </si>
  <si>
    <t>71</t>
  </si>
  <si>
    <t>Ora bem , quando estava a pensar em_ isto , recordei o que o treinador de_ as arqueiras me disse no fim de_ aquele treino , sem que as arqueiras ouvissem , que ele e os seus colegas nunca sentem que fazem tudo o que podem pela sua equipa , nunca sentem que há visualizações técnicas e treinos de postura suficientes para as ajudar a ultrapassar aquelas constantes quase vitórias .</t>
  </si>
  <si>
    <t>72</t>
  </si>
  <si>
    <t>Não parecia propriamente um lamento , mas apenas uma forma de me transmitir uma espécie de meigo reconhecimento , para me chamar a atenção de que ele sabia que estava empenhado em_ um caminho voraz , inacabado que exigia sempre mais .</t>
  </si>
  <si>
    <t>73</t>
  </si>
  <si>
    <t>Construímos a partir de_ a ideia inacabada , mesmo que essa ideia seja o nosso antigo Eu .</t>
  </si>
  <si>
    <t>74</t>
  </si>
  <si>
    <t>É esta a dinâmica de_ a mestria .</t>
  </si>
  <si>
    <t>75</t>
  </si>
  <si>
    <t>Aproximarmo -nos de_ aquilo que pensávamos que queríamos pode ajudar -nos a alcançar mais de_ o que o que jamais sonháramos poder .</t>
  </si>
  <si>
    <t>76</t>
  </si>
  <si>
    <t>Sou forçada a imaginar que era em_ isso que Elizabeth Murray estava a pensar quando a vi sorrir um dia diante de_ aquelas primeiras pinturas nas galerias .</t>
  </si>
  <si>
    <t>77</t>
  </si>
  <si>
    <t>Mesmo que criássemos utopias , acho que continuaríamos a ter o incompleto .</t>
  </si>
  <si>
    <t>78</t>
  </si>
  <si>
    <t>A conclusão é uma meta , mas esperamos que nunca seja o fim .</t>
  </si>
  <si>
    <t>79</t>
  </si>
  <si>
    <t>Obrigada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</si>
  <si>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</si>
  <si>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</si>
  <si>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</si>
  <si>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</si>
  <si>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</si>
  <si>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</si>
  <si>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</si>
  <si>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</si>
  <si>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</si>
  <si>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</si>
  <si>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</si>
  <si>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Senti -me muito feliz porque o meu primeiro trabalho foi trabalhar no Museu de Arte Moderna em_ uma retrospetiva de_ a pintora Elizabeth Murray .</t>
  </si>
  <si>
    <t>Senti</t>
  </si>
  <si>
    <t>-me</t>
  </si>
  <si>
    <t>OBJ</t>
  </si>
  <si>
    <t>indef-np.bare</t>
  </si>
  <si>
    <t>muito</t>
  </si>
  <si>
    <t>feliz</t>
  </si>
  <si>
    <t>porque</t>
  </si>
  <si>
    <t>o</t>
  </si>
  <si>
    <t>meu</t>
  </si>
  <si>
    <t>other_3</t>
  </si>
  <si>
    <t>pron.ppos</t>
  </si>
  <si>
    <t>?OLD</t>
  </si>
  <si>
    <t>primeiro</t>
  </si>
  <si>
    <t>trabalho</t>
  </si>
  <si>
    <t>SBJ_2</t>
  </si>
  <si>
    <t>def-np.the</t>
  </si>
  <si>
    <t>foi</t>
  </si>
  <si>
    <t>trabalhar</t>
  </si>
  <si>
    <t>em</t>
  </si>
  <si>
    <t>Museu</t>
  </si>
  <si>
    <t>other_2</t>
  </si>
  <si>
    <t>ne</t>
  </si>
  <si>
    <t>de</t>
  </si>
  <si>
    <t>Arte</t>
  </si>
  <si>
    <t>Moderna</t>
  </si>
  <si>
    <t>other_4</t>
  </si>
  <si>
    <t>em_</t>
  </si>
  <si>
    <t>uma</t>
  </si>
  <si>
    <t>retrospetiva</t>
  </si>
  <si>
    <t>de_</t>
  </si>
  <si>
    <t>a</t>
  </si>
  <si>
    <t>pintora</t>
  </si>
  <si>
    <t>OBJ_2</t>
  </si>
  <si>
    <t>Murray</t>
  </si>
  <si>
    <t>.</t>
  </si>
  <si>
    <t># text = Aprendi muito com ela .</t>
  </si>
  <si>
    <t>Aprendi</t>
  </si>
  <si>
    <t>com</t>
  </si>
  <si>
    <t>ela</t>
  </si>
  <si>
    <t>other</t>
  </si>
  <si>
    <t>pron.pper</t>
  </si>
  <si>
    <t># text = Depois de o curador Robert Storr ter escolhido todos os quadros entre o conjunto de obras de_ a vida de_ ela , eu adorava olhar para as pinturas de_ os anos 70 .</t>
  </si>
  <si>
    <t>Depois</t>
  </si>
  <si>
    <t>curador</t>
  </si>
  <si>
    <t>Robert</t>
  </si>
  <si>
    <t>SBJ</t>
  </si>
  <si>
    <t>Storr</t>
  </si>
  <si>
    <t>ter</t>
  </si>
  <si>
    <t>escolhido</t>
  </si>
  <si>
    <t>todos</t>
  </si>
  <si>
    <t>os</t>
  </si>
  <si>
    <t>quadros</t>
  </si>
  <si>
    <t>indef-np.quant</t>
  </si>
  <si>
    <t>entre</t>
  </si>
  <si>
    <t>conjunto</t>
  </si>
  <si>
    <t>def-np.poss</t>
  </si>
  <si>
    <t>obras</t>
  </si>
  <si>
    <t>vida</t>
  </si>
  <si>
    <t>,</t>
  </si>
  <si>
    <t>eu</t>
  </si>
  <si>
    <t>SBJ_5</t>
  </si>
  <si>
    <t>adorava</t>
  </si>
  <si>
    <t>olhar</t>
  </si>
  <si>
    <t>para</t>
  </si>
  <si>
    <t>as</t>
  </si>
  <si>
    <t>pinturas</t>
  </si>
  <si>
    <t>other_6</t>
  </si>
  <si>
    <t>other_7</t>
  </si>
  <si>
    <t>anos</t>
  </si>
  <si>
    <t>OBJ_6</t>
  </si>
  <si>
    <t>def-np.quant</t>
  </si>
  <si>
    <t># text = Havia alguns motivos e elementos que viriam a aparecer posteriormente na sua vida .</t>
  </si>
  <si>
    <t>Havia</t>
  </si>
  <si>
    <t>alguns</t>
  </si>
  <si>
    <t>motivos</t>
  </si>
  <si>
    <t>indef-np</t>
  </si>
  <si>
    <t>e</t>
  </si>
  <si>
    <t>elementos</t>
  </si>
  <si>
    <t>que</t>
  </si>
  <si>
    <t>viriam</t>
  </si>
  <si>
    <t>aparecer</t>
  </si>
  <si>
    <t>posteriormente</t>
  </si>
  <si>
    <t>sua</t>
  </si>
  <si>
    <t># text = Lembro -me de lhe ter perguntado o que ela pensava de_ essas primeiras obras .</t>
  </si>
  <si>
    <t>Lembro</t>
  </si>
  <si>
    <t>lhe</t>
  </si>
  <si>
    <t>perguntado</t>
  </si>
  <si>
    <t>pron.pds</t>
  </si>
  <si>
    <t>OBJ_4</t>
  </si>
  <si>
    <t>SBJ_4</t>
  </si>
  <si>
    <t>pensava</t>
  </si>
  <si>
    <t>essas</t>
  </si>
  <si>
    <t>primeiras</t>
  </si>
  <si>
    <t>def-np.dem</t>
  </si>
  <si>
    <t># text = Se não soubéssemos que eram de_ ela , talvez não adivinhássemos .</t>
  </si>
  <si>
    <t>Se</t>
  </si>
  <si>
    <t>não</t>
  </si>
  <si>
    <t>soubéssemos</t>
  </si>
  <si>
    <t>eram</t>
  </si>
  <si>
    <t>SBJ_3</t>
  </si>
  <si>
    <t>talvez</t>
  </si>
  <si>
    <t>adivinhássemos</t>
  </si>
  <si>
    <t># text = Ela disse -me que algumas de_ elas não correspondiam à sua marca , às suas expectativas .</t>
  </si>
  <si>
    <t>Ela</t>
  </si>
  <si>
    <t>disse</t>
  </si>
  <si>
    <t>algumas</t>
  </si>
  <si>
    <t>OBJ_3</t>
  </si>
  <si>
    <t>elas</t>
  </si>
  <si>
    <t>correspondiam</t>
  </si>
  <si>
    <t>marca</t>
  </si>
  <si>
    <t>suas</t>
  </si>
  <si>
    <t>expectativas</t>
  </si>
  <si>
    <t># text = Na verdade , uma de_ as obras de tal modo não correspondia à sua marca , que ela tinha -a posto no lixo no seu estúdio , e a vizinha tinha -a levado , porque reconhecera o seu valor . em_ esse momento , o meu conceito de êxito e de criatividade alteraram -se .</t>
  </si>
  <si>
    <t>Em</t>
  </si>
  <si>
    <t>verdade</t>
  </si>
  <si>
    <t>tal</t>
  </si>
  <si>
    <t>modo</t>
  </si>
  <si>
    <t>correspondia</t>
  </si>
  <si>
    <t>tinha</t>
  </si>
  <si>
    <t>-a</t>
  </si>
  <si>
    <t>posto</t>
  </si>
  <si>
    <t>lixo</t>
  </si>
  <si>
    <t>seu</t>
  </si>
  <si>
    <t>other_5</t>
  </si>
  <si>
    <t>estúdio</t>
  </si>
  <si>
    <t>vizinha</t>
  </si>
  <si>
    <t>levado</t>
  </si>
  <si>
    <t>reconhecera</t>
  </si>
  <si>
    <t>valor</t>
  </si>
  <si>
    <t>esse</t>
  </si>
  <si>
    <t>momento</t>
  </si>
  <si>
    <t>conceito</t>
  </si>
  <si>
    <t>êxito</t>
  </si>
  <si>
    <t>criatividade</t>
  </si>
  <si>
    <t>alteraram</t>
  </si>
  <si>
    <t>-se</t>
  </si>
  <si>
    <t># text = Percebi que o êxito é um momento , mas o que estamos sempre a festejar é a criatividade e a mestria .</t>
  </si>
  <si>
    <t>Percebi</t>
  </si>
  <si>
    <t>é</t>
  </si>
  <si>
    <t>um</t>
  </si>
  <si>
    <t>indef-np.a</t>
  </si>
  <si>
    <t>mas</t>
  </si>
  <si>
    <t>estamos</t>
  </si>
  <si>
    <t>sempre</t>
  </si>
  <si>
    <t>festejar</t>
  </si>
  <si>
    <t>mestria</t>
  </si>
  <si>
    <t># text = Mas o problema é este :</t>
  </si>
  <si>
    <t>Mas</t>
  </si>
  <si>
    <t>problema</t>
  </si>
  <si>
    <t>este</t>
  </si>
  <si>
    <t>:</t>
  </si>
  <si>
    <t># text = O que é que nos leva a transformar o êxito em mestria ?</t>
  </si>
  <si>
    <t>pron.pint</t>
  </si>
  <si>
    <t>leva</t>
  </si>
  <si>
    <t>transformar</t>
  </si>
  <si>
    <t>?</t>
  </si>
  <si>
    <t># text = Há muito que faço a mim mesma esta pergunta .</t>
  </si>
  <si>
    <t>Há</t>
  </si>
  <si>
    <t>pron.pind</t>
  </si>
  <si>
    <t>faço</t>
  </si>
  <si>
    <t>mim</t>
  </si>
  <si>
    <t>mesma</t>
  </si>
  <si>
    <t>esta</t>
  </si>
  <si>
    <t>pergunta</t>
  </si>
  <si>
    <t># text = Acho que ela chega quando começamos a dar valor a_ o dom de uma quase vitória .</t>
  </si>
  <si>
    <t>Acho</t>
  </si>
  <si>
    <t>chega</t>
  </si>
  <si>
    <t>quando</t>
  </si>
  <si>
    <t>começamos</t>
  </si>
  <si>
    <t>dar</t>
  </si>
  <si>
    <t>a_</t>
  </si>
  <si>
    <t>dom</t>
  </si>
  <si>
    <t>quase</t>
  </si>
  <si>
    <t>vitória</t>
  </si>
  <si>
    <t># text = Comecei a perceber isso quando , em_ um frio dia de Maio fui ver uma equipa de arqueiras universitárias , só mulheres , por coincidência , no extremo norte de Manhattan no Complexo Atlético Baker , na Colúmbia .</t>
  </si>
  <si>
    <t>Comecei</t>
  </si>
  <si>
    <t>perceber</t>
  </si>
  <si>
    <t>isso</t>
  </si>
  <si>
    <t>frio</t>
  </si>
  <si>
    <t>dia</t>
  </si>
  <si>
    <t>Maio</t>
  </si>
  <si>
    <t>fui</t>
  </si>
  <si>
    <t>ver</t>
  </si>
  <si>
    <t>equipa</t>
  </si>
  <si>
    <t>arqueiras</t>
  </si>
  <si>
    <t>universitárias</t>
  </si>
  <si>
    <t>só</t>
  </si>
  <si>
    <t>mulheres</t>
  </si>
  <si>
    <t>por</t>
  </si>
  <si>
    <t>coincidência</t>
  </si>
  <si>
    <t>extremo</t>
  </si>
  <si>
    <t>norte</t>
  </si>
  <si>
    <t>Manhattan</t>
  </si>
  <si>
    <t>Complexo</t>
  </si>
  <si>
    <t>Atlético</t>
  </si>
  <si>
    <t>Baker</t>
  </si>
  <si>
    <t>Colúmbia</t>
  </si>
  <si>
    <t># text = Eu queria ver aquilo a que se chama o paradoxo de_ o arqueiro , a ideia de que , para acertar em cheio no alvo , é preciso visar um pouco a_ o lado .</t>
  </si>
  <si>
    <t>Eu</t>
  </si>
  <si>
    <t>queria</t>
  </si>
  <si>
    <t>aquilo</t>
  </si>
  <si>
    <t>se</t>
  </si>
  <si>
    <t>chama</t>
  </si>
  <si>
    <t>paradoxo</t>
  </si>
  <si>
    <t>arqueiro</t>
  </si>
  <si>
    <t>ideia</t>
  </si>
  <si>
    <t>acertar</t>
  </si>
  <si>
    <t>cheio</t>
  </si>
  <si>
    <t>OBJ_9</t>
  </si>
  <si>
    <t>alvo</t>
  </si>
  <si>
    <t>other_9</t>
  </si>
  <si>
    <t>preciso</t>
  </si>
  <si>
    <t>visar</t>
  </si>
  <si>
    <t>pouco</t>
  </si>
  <si>
    <t>lado</t>
  </si>
  <si>
    <t>SBJ_9</t>
  </si>
  <si>
    <t># text = Fiquei a observar enquanto o treinador conduzia aquelas mulheres em_ uma carrinha cinzenta e elas sairam com aquele ar de concentração descontraída .</t>
  </si>
  <si>
    <t>Fiquei</t>
  </si>
  <si>
    <t>observar</t>
  </si>
  <si>
    <t>enquanto</t>
  </si>
  <si>
    <t>treinador</t>
  </si>
  <si>
    <t>conduzia</t>
  </si>
  <si>
    <t>aquelas</t>
  </si>
  <si>
    <t>carrinha</t>
  </si>
  <si>
    <t>cinzenta</t>
  </si>
  <si>
    <t>sairam</t>
  </si>
  <si>
    <t>aquele</t>
  </si>
  <si>
    <t>ar</t>
  </si>
  <si>
    <t>concentração</t>
  </si>
  <si>
    <t>descontraída</t>
  </si>
  <si>
    <t># text = Uma de_ elas tinha na mão um cone de gelado meio comido e na mão esquerda flechas com penas amarelas .</t>
  </si>
  <si>
    <t>Uma</t>
  </si>
  <si>
    <t>mão</t>
  </si>
  <si>
    <t>cone</t>
  </si>
  <si>
    <t>gelado</t>
  </si>
  <si>
    <t>meio</t>
  </si>
  <si>
    <t>comido</t>
  </si>
  <si>
    <t>esquerda</t>
  </si>
  <si>
    <t>flechas</t>
  </si>
  <si>
    <t>penas</t>
  </si>
  <si>
    <t>amarelas</t>
  </si>
  <si>
    <t># text = Passaram por mim e sorriram , mas mediram -me de alto a baixo enquanto se encaminhavam para o campo , e falavam umas com as outras , não com palavras , mas , segundo me pareceu , com números , graus , posições para o modo como podiam planear atingir o alvo .</t>
  </si>
  <si>
    <t>Passaram</t>
  </si>
  <si>
    <t>sorriram</t>
  </si>
  <si>
    <t>mediram</t>
  </si>
  <si>
    <t>alto</t>
  </si>
  <si>
    <t>baixo</t>
  </si>
  <si>
    <t>encaminhavam</t>
  </si>
  <si>
    <t>campo</t>
  </si>
  <si>
    <t>falavam</t>
  </si>
  <si>
    <t>umas</t>
  </si>
  <si>
    <t>outras</t>
  </si>
  <si>
    <t>palavras</t>
  </si>
  <si>
    <t>segundo</t>
  </si>
  <si>
    <t>me</t>
  </si>
  <si>
    <t>pareceu</t>
  </si>
  <si>
    <t>números</t>
  </si>
  <si>
    <t>graus</t>
  </si>
  <si>
    <t>posições</t>
  </si>
  <si>
    <t>como</t>
  </si>
  <si>
    <t>podiam</t>
  </si>
  <si>
    <t>planear</t>
  </si>
  <si>
    <t>atingir</t>
  </si>
  <si>
    <t># text = Fiquei por detrás de_ uma arqueira , enquanto o treinador , entre nós duas , avaliava talvez quem podia precisar de apoio , e observei -a e não via como seria possível que , nem que fosse só uma , conseguisse acertar no décimo anel .</t>
  </si>
  <si>
    <t>detrás</t>
  </si>
  <si>
    <t>arqueira</t>
  </si>
  <si>
    <t>nós</t>
  </si>
  <si>
    <t>duas</t>
  </si>
  <si>
    <t>avaliava</t>
  </si>
  <si>
    <t>quem</t>
  </si>
  <si>
    <t>podia</t>
  </si>
  <si>
    <t>precisar</t>
  </si>
  <si>
    <t>apoio</t>
  </si>
  <si>
    <t>observei</t>
  </si>
  <si>
    <t>OBJ_5</t>
  </si>
  <si>
    <t>via</t>
  </si>
  <si>
    <t>seria</t>
  </si>
  <si>
    <t>possível</t>
  </si>
  <si>
    <t>SBJ_7</t>
  </si>
  <si>
    <t>nem</t>
  </si>
  <si>
    <t>fosse</t>
  </si>
  <si>
    <t>conseguisse</t>
  </si>
  <si>
    <t>décimo</t>
  </si>
  <si>
    <t>anel</t>
  </si>
  <si>
    <t>other_11</t>
  </si>
  <si>
    <t># text = O décimo anel , à distância de 70 metros , parece tão pequeno como a cabeça de um fósforo na ponta de_ a mão esticada .</t>
  </si>
  <si>
    <t>distância</t>
  </si>
  <si>
    <t>metros</t>
  </si>
  <si>
    <t>parece</t>
  </si>
  <si>
    <t>tão</t>
  </si>
  <si>
    <t>pequeno</t>
  </si>
  <si>
    <t>cabeça</t>
  </si>
  <si>
    <t>fósforo</t>
  </si>
  <si>
    <t>ponta</t>
  </si>
  <si>
    <t>esticada</t>
  </si>
  <si>
    <t># text = Ainda por cima a segurar em_ um peso de 23 kg em cada arremesso .</t>
  </si>
  <si>
    <t>Ainda</t>
  </si>
  <si>
    <t>cima</t>
  </si>
  <si>
    <t>segurar</t>
  </si>
  <si>
    <t>peso</t>
  </si>
  <si>
    <t>kg</t>
  </si>
  <si>
    <t>cada</t>
  </si>
  <si>
    <t>arremesso</t>
  </si>
  <si>
    <t># text = Recordo que ela primeiro acertou no sétimo , depois no nono , depois duas vezes no décimo , e depois a flecha seguinte nem sequer acertou no alvo .</t>
  </si>
  <si>
    <t>Recordo</t>
  </si>
  <si>
    <t>acertou</t>
  </si>
  <si>
    <t>sétimo</t>
  </si>
  <si>
    <t>depois</t>
  </si>
  <si>
    <t>nono</t>
  </si>
  <si>
    <t>vezes</t>
  </si>
  <si>
    <t>flecha</t>
  </si>
  <si>
    <t>seguinte</t>
  </si>
  <si>
    <t>sequer</t>
  </si>
  <si>
    <t># text = E vi que isso deu -lhe mais persistência , e continuou , continuou , sem parar .</t>
  </si>
  <si>
    <t>E</t>
  </si>
  <si>
    <t>vi</t>
  </si>
  <si>
    <t>deu</t>
  </si>
  <si>
    <t>-lhe</t>
  </si>
  <si>
    <t>mais</t>
  </si>
  <si>
    <t>persistência</t>
  </si>
  <si>
    <t>continuou</t>
  </si>
  <si>
    <t>sem</t>
  </si>
  <si>
    <t>parar</t>
  </si>
  <si>
    <t># text = Aquilo continuou durante três horas .</t>
  </si>
  <si>
    <t>Aquilo</t>
  </si>
  <si>
    <t>durante</t>
  </si>
  <si>
    <t>três</t>
  </si>
  <si>
    <t>horas</t>
  </si>
  <si>
    <t># text = No fim de_ o treino , uma de_ as arqueiras estava tão exausta que se deitou no chão sem se poder mexer , a olhar para o céu , tentando encontrar o que T .</t>
  </si>
  <si>
    <t>fim</t>
  </si>
  <si>
    <t>treino</t>
  </si>
  <si>
    <t>estava</t>
  </si>
  <si>
    <t>exausta</t>
  </si>
  <si>
    <t>deitou</t>
  </si>
  <si>
    <t>chão</t>
  </si>
  <si>
    <t>SBJ_6</t>
  </si>
  <si>
    <t>poder</t>
  </si>
  <si>
    <t>mexer</t>
  </si>
  <si>
    <t>céu</t>
  </si>
  <si>
    <t>other_8</t>
  </si>
  <si>
    <t>tentando</t>
  </si>
  <si>
    <t>encontrar</t>
  </si>
  <si>
    <t>OBJ_10</t>
  </si>
  <si>
    <t>SBJ_12</t>
  </si>
  <si>
    <t>T</t>
  </si>
  <si>
    <t>--</t>
  </si>
  <si>
    <t># text = S. Elliot podia ter chamado aquele \" ponto imóvel no mundo em rotação \" .</t>
  </si>
  <si>
    <t>S.</t>
  </si>
  <si>
    <t>Elliot</t>
  </si>
  <si>
    <t>chamado</t>
  </si>
  <si>
    <t>&amp;quot;</t>
  </si>
  <si>
    <t>ponto</t>
  </si>
  <si>
    <t>imóvel</t>
  </si>
  <si>
    <t>mundo</t>
  </si>
  <si>
    <t>rotação</t>
  </si>
  <si>
    <t># text = É tão raro na cultura americana , já há tão pouca vocação em qualquer coisa , olhar para o que é a perseverança com este nível de exactidão , o que significa manter a postura de_ o nosso corpo durante três horas , para atingir um alvo , procurando uma qualquer excelência na obscuridade .</t>
  </si>
  <si>
    <t>É</t>
  </si>
  <si>
    <t>raro</t>
  </si>
  <si>
    <t>cultura</t>
  </si>
  <si>
    <t>americana</t>
  </si>
  <si>
    <t>já</t>
  </si>
  <si>
    <t>há</t>
  </si>
  <si>
    <t>pouca</t>
  </si>
  <si>
    <t>vocação</t>
  </si>
  <si>
    <t>qualquer</t>
  </si>
  <si>
    <t>coisa</t>
  </si>
  <si>
    <t>perseverança</t>
  </si>
  <si>
    <t>nível</t>
  </si>
  <si>
    <t>exactidão</t>
  </si>
  <si>
    <t>significa</t>
  </si>
  <si>
    <t>manter</t>
  </si>
  <si>
    <t>postura</t>
  </si>
  <si>
    <t>OBJ_7</t>
  </si>
  <si>
    <t>nosso</t>
  </si>
  <si>
    <t>corpo</t>
  </si>
  <si>
    <t>OBJ_8</t>
  </si>
  <si>
    <t>procurando</t>
  </si>
  <si>
    <t>excelência</t>
  </si>
  <si>
    <t>obscuridade</t>
  </si>
  <si>
    <t># text = Mas eu fiquei ali porque percebi que estava a assistir a uma coisa rara de observar , essa diferença entre êxito e mestria .</t>
  </si>
  <si>
    <t>fiquei</t>
  </si>
  <si>
    <t>ali</t>
  </si>
  <si>
    <t>percebi</t>
  </si>
  <si>
    <t>assistir</t>
  </si>
  <si>
    <t>rara</t>
  </si>
  <si>
    <t>essa</t>
  </si>
  <si>
    <t>diferença</t>
  </si>
  <si>
    <t># text = O êxito é acertar em_ aquele décimo anel , mas a mestria é saber que isso não significa nada se não se conseguir voltar a fazê -lo vezes sem conta .</t>
  </si>
  <si>
    <t>saber</t>
  </si>
  <si>
    <t>nada</t>
  </si>
  <si>
    <t>conseguir</t>
  </si>
  <si>
    <t>voltar</t>
  </si>
  <si>
    <t>fazê</t>
  </si>
  <si>
    <t>-lo</t>
  </si>
  <si>
    <t>conta</t>
  </si>
  <si>
    <t># text = Mas mestria não é a mesma coisa que excelência .</t>
  </si>
  <si>
    <t># text = Não é a mesma coisa que êxito , que eu considero como um incidente , um dado momento no tempo . e um rótulo que o mundo nos atribui .</t>
  </si>
  <si>
    <t>Não</t>
  </si>
  <si>
    <t>considero</t>
  </si>
  <si>
    <t>incidente</t>
  </si>
  <si>
    <t>dado</t>
  </si>
  <si>
    <t>tempo</t>
  </si>
  <si>
    <t>rótulo</t>
  </si>
  <si>
    <t>atribui</t>
  </si>
  <si>
    <t># text = A mestria não é o empenhamento em_ uma meta mas uma busca permanente .</t>
  </si>
  <si>
    <t>A</t>
  </si>
  <si>
    <t>empenhamento</t>
  </si>
  <si>
    <t>meta</t>
  </si>
  <si>
    <t>busca</t>
  </si>
  <si>
    <t>permanente</t>
  </si>
  <si>
    <t># text = O que nos leva a fazer isso , o que nos leva a avançar cada vez mais é valorizar a quase vitória .</t>
  </si>
  <si>
    <t>fazer</t>
  </si>
  <si>
    <t>avançar</t>
  </si>
  <si>
    <t>vez</t>
  </si>
  <si>
    <t>valorizar</t>
  </si>
  <si>
    <t># text = Quantas vezes classificamos uma coisa como um clássico , uma obra-prima até , enquanto o seu criador a considera irremediavelmente incompleta , cheia de dificuldades e de falhas , por outras palavras , uma quase vitória ?</t>
  </si>
  <si>
    <t>Quantas</t>
  </si>
  <si>
    <t>classificamos</t>
  </si>
  <si>
    <t>clássico</t>
  </si>
  <si>
    <t>obra-prima</t>
  </si>
  <si>
    <t>até</t>
  </si>
  <si>
    <t>criador</t>
  </si>
  <si>
    <t>considera</t>
  </si>
  <si>
    <t>irremediavelmente</t>
  </si>
  <si>
    <t>incompleta</t>
  </si>
  <si>
    <t>cheia</t>
  </si>
  <si>
    <t>dificuldades</t>
  </si>
  <si>
    <t>falhas</t>
  </si>
  <si>
    <t># text = Elizabeth</t>
  </si>
  <si>
    <t># text = Murray surpreendeu -me com o seu reconhecimento sobre as suas primeiras pinturas .</t>
  </si>
  <si>
    <t>surpreendeu</t>
  </si>
  <si>
    <t>reconhecimento</t>
  </si>
  <si>
    <t>sobre</t>
  </si>
  <si>
    <t># text = O pintor Paul Cézanne pensava tantas vezes que as suas obras estavam incompletas que as punha deliberadamente de lado com a intenção de pegar em_ elas outra vez mas , no fim de_ a sua vida , o que aconteceu foi que ele só tinha assinado dez por cento de_ as suas pinturas .</t>
  </si>
  <si>
    <t>pintor</t>
  </si>
  <si>
    <t>Paul</t>
  </si>
  <si>
    <t>Cézanne</t>
  </si>
  <si>
    <t>tantas</t>
  </si>
  <si>
    <t>estavam</t>
  </si>
  <si>
    <t>incompletas</t>
  </si>
  <si>
    <t>punha</t>
  </si>
  <si>
    <t>deliberadamente</t>
  </si>
  <si>
    <t>intenção</t>
  </si>
  <si>
    <t>pegar</t>
  </si>
  <si>
    <t>outra</t>
  </si>
  <si>
    <t>aconteceu</t>
  </si>
  <si>
    <t>ele</t>
  </si>
  <si>
    <t>assinado</t>
  </si>
  <si>
    <t>dez</t>
  </si>
  <si>
    <t>cento</t>
  </si>
  <si>
    <t># text = O seu romance preferido era " A Obra-Prima Desconhecida " de Honoré de Balzac , e achava que o protagonista era o próprio pintor .</t>
  </si>
  <si>
    <t>romance</t>
  </si>
  <si>
    <t>preferido</t>
  </si>
  <si>
    <t>era</t>
  </si>
  <si>
    <t>Obra-Prima</t>
  </si>
  <si>
    <t>Desconhecida</t>
  </si>
  <si>
    <t>Honoré</t>
  </si>
  <si>
    <t>Balzac</t>
  </si>
  <si>
    <t>achava</t>
  </si>
  <si>
    <t>protagonista</t>
  </si>
  <si>
    <t>próprio</t>
  </si>
  <si>
    <t># text = Franz Kafka considerava incompleto o que outros consideravam obras dignas de elogio , de tal modo que queria que todos os seus diários , manuscritos , cartas e até mesmo rascunhos fossem queimados depois de ele morrer .</t>
  </si>
  <si>
    <t>Franz</t>
  </si>
  <si>
    <t>Kafka</t>
  </si>
  <si>
    <t>considerava</t>
  </si>
  <si>
    <t>incompleto</t>
  </si>
  <si>
    <t>outros</t>
  </si>
  <si>
    <t>consideravam</t>
  </si>
  <si>
    <t>dignas</t>
  </si>
  <si>
    <t>elogio</t>
  </si>
  <si>
    <t>seus</t>
  </si>
  <si>
    <t>diários</t>
  </si>
  <si>
    <t>manuscritos</t>
  </si>
  <si>
    <t>cartas</t>
  </si>
  <si>
    <t>mesmo</t>
  </si>
  <si>
    <t>rascunhos</t>
  </si>
  <si>
    <t>fossem</t>
  </si>
  <si>
    <t>queimados</t>
  </si>
  <si>
    <t>morrer</t>
  </si>
  <si>
    <t># text = O seu amigo recusou -se a cumprir esse pedido e , por causa de_ isso , temos todas as obras de Kafka que temos hoje : \" América \" , \" O Veredito \" e \" O Castelo \" , uma obra tão incompleta que até termina a meio de_ uma frase .</t>
  </si>
  <si>
    <t>amigo</t>
  </si>
  <si>
    <t>recusou</t>
  </si>
  <si>
    <t>cumprir</t>
  </si>
  <si>
    <t>pedido</t>
  </si>
  <si>
    <t>causa</t>
  </si>
  <si>
    <t>temos</t>
  </si>
  <si>
    <t>todas</t>
  </si>
  <si>
    <t>hoje</t>
  </si>
  <si>
    <t>América</t>
  </si>
  <si>
    <t>Veredito</t>
  </si>
  <si>
    <t>Castelo</t>
  </si>
  <si>
    <t>obra</t>
  </si>
  <si>
    <t>termina</t>
  </si>
  <si>
    <t>frase</t>
  </si>
  <si>
    <t># text = Por outras palavras , a busca de_ a mestria , é quase de avanço perpétuo . " Senhor , concedei -me que eu deseje " mais de_ o que aquilo que consigo realizar " , implorava Miguel Ângelo , como se fosse àquele Deus de_ o Antigo Testamento na Capela Sistina , e ele fosse aquele Adão com o dedo esticado e sem conseguir tocar na mão de_ aquele Deus .</t>
  </si>
  <si>
    <t>Por</t>
  </si>
  <si>
    <t>avanço</t>
  </si>
  <si>
    <t>perpétuo</t>
  </si>
  <si>
    <t>Senhor</t>
  </si>
  <si>
    <t>concedei</t>
  </si>
  <si>
    <t>deseje</t>
  </si>
  <si>
    <t>SBJ_8</t>
  </si>
  <si>
    <t>si</t>
  </si>
  <si>
    <t>realizar</t>
  </si>
  <si>
    <t>implorava</t>
  </si>
  <si>
    <t>Miguel</t>
  </si>
  <si>
    <t>Ângelo</t>
  </si>
  <si>
    <t>Deus</t>
  </si>
  <si>
    <t>other_10</t>
  </si>
  <si>
    <t>Antigo</t>
  </si>
  <si>
    <t>Testamento</t>
  </si>
  <si>
    <t>Capela</t>
  </si>
  <si>
    <t>Sistina</t>
  </si>
  <si>
    <t>SBJ_10</t>
  </si>
  <si>
    <t>Adão</t>
  </si>
  <si>
    <t>dedo</t>
  </si>
  <si>
    <t>esticado</t>
  </si>
  <si>
    <t>tocar</t>
  </si>
  <si>
    <t>other_12</t>
  </si>
  <si>
    <t>other_13</t>
  </si>
  <si>
    <t>OBJ_12</t>
  </si>
  <si>
    <t># text = A mestria está em atingir , não em chegar .</t>
  </si>
  <si>
    <t>está</t>
  </si>
  <si>
    <t>chegar</t>
  </si>
  <si>
    <t># text = Está em querer permanentemente preencher o fosso entre onde estamos e onde queremos estar .</t>
  </si>
  <si>
    <t>Está</t>
  </si>
  <si>
    <t>querer</t>
  </si>
  <si>
    <t>permanentemente</t>
  </si>
  <si>
    <t>preencher</t>
  </si>
  <si>
    <t>fosso</t>
  </si>
  <si>
    <t>onde</t>
  </si>
  <si>
    <t>queremos</t>
  </si>
  <si>
    <t>estar</t>
  </si>
  <si>
    <t># text = A mestria é sacrificarmo -nos pela nossa arte e não pelo amor de traçar a nossa carreira .</t>
  </si>
  <si>
    <t>sacrificarmo</t>
  </si>
  <si>
    <t>-nos</t>
  </si>
  <si>
    <t>nossa</t>
  </si>
  <si>
    <t>arte</t>
  </si>
  <si>
    <t>amor</t>
  </si>
  <si>
    <t>traçar</t>
  </si>
  <si>
    <t>carreira</t>
  </si>
  <si>
    <t># text = Quantos inventores e empresários desconhecidos vivem este fenómeno ?</t>
  </si>
  <si>
    <t>Quantos</t>
  </si>
  <si>
    <t>inventores</t>
  </si>
  <si>
    <t>empresários</t>
  </si>
  <si>
    <t>desconhecidos</t>
  </si>
  <si>
    <t>vivem</t>
  </si>
  <si>
    <t>fenómeno</t>
  </si>
  <si>
    <t># text = Vemos isso até na vida de_ o indomável explorador de_ o Ártico , Ben Saunders , que me disse que os seus triunfos não são simplesmente resultado de uma grande façanha , mas de_ a propulsão de_ uma série de quase vitórias .</t>
  </si>
  <si>
    <t>Vemos</t>
  </si>
  <si>
    <t>indomável</t>
  </si>
  <si>
    <t>explorador</t>
  </si>
  <si>
    <t>Ártico</t>
  </si>
  <si>
    <t>Ben</t>
  </si>
  <si>
    <t>Saunders</t>
  </si>
  <si>
    <t>triunfos</t>
  </si>
  <si>
    <t>são</t>
  </si>
  <si>
    <t>simplesmente</t>
  </si>
  <si>
    <t>resultado</t>
  </si>
  <si>
    <t>grande</t>
  </si>
  <si>
    <t>façanha</t>
  </si>
  <si>
    <t>propulsão</t>
  </si>
  <si>
    <t>série</t>
  </si>
  <si>
    <t>vitórias</t>
  </si>
  <si>
    <t># text = Evoluímos quando nos mantemos na nossa vanguarda .</t>
  </si>
  <si>
    <t>Evoluímos</t>
  </si>
  <si>
    <t>mantemos</t>
  </si>
  <si>
    <t>vanguarda</t>
  </si>
  <si>
    <t># text = É uma sabedoria que Duke Ellington percebia , quando disse que a canção preferida de_ o seu repertório era sempre a seguinte , sempre aquela que ele ainda ia compor .</t>
  </si>
  <si>
    <t>sabedoria</t>
  </si>
  <si>
    <t>Duke</t>
  </si>
  <si>
    <t>Ellington</t>
  </si>
  <si>
    <t>percebia</t>
  </si>
  <si>
    <t>canção</t>
  </si>
  <si>
    <t>preferida</t>
  </si>
  <si>
    <t>repertório</t>
  </si>
  <si>
    <t>aquela</t>
  </si>
  <si>
    <t>ainda</t>
  </si>
  <si>
    <t>ia</t>
  </si>
  <si>
    <t>compor</t>
  </si>
  <si>
    <t># text = Parte de_ a razão por que a quase vitória está entranhada na mestria é porque , quanto maior for a nossa capacidade , mais claramente podemos ver que não sabemos tudo aquilo que julgávamos saber .</t>
  </si>
  <si>
    <t>Parte</t>
  </si>
  <si>
    <t>razão</t>
  </si>
  <si>
    <t>entranhada</t>
  </si>
  <si>
    <t>quanto</t>
  </si>
  <si>
    <t>maior</t>
  </si>
  <si>
    <t>for</t>
  </si>
  <si>
    <t>capacidade</t>
  </si>
  <si>
    <t>claramente</t>
  </si>
  <si>
    <t>podemos</t>
  </si>
  <si>
    <t>sabemos</t>
  </si>
  <si>
    <t>tudo</t>
  </si>
  <si>
    <t>julgávamos</t>
  </si>
  <si>
    <t># text = Chama -se o efeito Dunning-Kruger .</t>
  </si>
  <si>
    <t>Chama</t>
  </si>
  <si>
    <t>efeito</t>
  </si>
  <si>
    <t>Dunning-Kruger</t>
  </si>
  <si>
    <t># text = O Paris Review foi buscá -lo a James Baldwin quando lhe perguntaram : " O que é que aumenta com o conhecimento ?</t>
  </si>
  <si>
    <t>Paris</t>
  </si>
  <si>
    <t>Review</t>
  </si>
  <si>
    <t>buscá</t>
  </si>
  <si>
    <t>James</t>
  </si>
  <si>
    <t>Baldwin</t>
  </si>
  <si>
    <t>perguntaram</t>
  </si>
  <si>
    <t>aumenta</t>
  </si>
  <si>
    <t>conhecimento</t>
  </si>
  <si>
    <t># text = \" e ele disse : \" Aprendemos quão pouco sabemos \" .</t>
  </si>
  <si>
    <t>Aprendemos</t>
  </si>
  <si>
    <t>quão</t>
  </si>
  <si>
    <t># text = O êxito motiva -nos , mas uma quase vitória pode impelir -nos em_ uma busca incessante .</t>
  </si>
  <si>
    <t>motiva</t>
  </si>
  <si>
    <t>pode</t>
  </si>
  <si>
    <t>impelir</t>
  </si>
  <si>
    <t>incessante</t>
  </si>
  <si>
    <t># text = Um de_ os exemplos mais vivos de_ isso aparece quando olhamos para a diferença entre os \" medalhas de prata \" olímpicos e os \" medalhas de bronze \" depois de_ uma competição .</t>
  </si>
  <si>
    <t>Um</t>
  </si>
  <si>
    <t>exemplos</t>
  </si>
  <si>
    <t>vivos</t>
  </si>
  <si>
    <t>aparece</t>
  </si>
  <si>
    <t>olhamos</t>
  </si>
  <si>
    <t>medalhas</t>
  </si>
  <si>
    <t>prata</t>
  </si>
  <si>
    <t>olímpicos</t>
  </si>
  <si>
    <t>bronze</t>
  </si>
  <si>
    <t>competição</t>
  </si>
  <si>
    <t># text = Thomas Gilovich e a sua equipa de_ a Universidade de Cornell estudaram esta diferença e descobriram que a frustração que os " medalhas de prata " sentem . comparada com a de_ os " de bronze " , que normalmente se sentem mais felizes por não terem ficado em quarto lugar e não terem recebido nenhuma medalha , dá a_ os " medalhas de prata " uma concentração na competição seguinte .</t>
  </si>
  <si>
    <t>Thomas</t>
  </si>
  <si>
    <t>Gilovich</t>
  </si>
  <si>
    <t>Universidade</t>
  </si>
  <si>
    <t>Cornell</t>
  </si>
  <si>
    <t>estudaram</t>
  </si>
  <si>
    <t>descobriram</t>
  </si>
  <si>
    <t>frustração</t>
  </si>
  <si>
    <t>sentem</t>
  </si>
  <si>
    <t>comparada</t>
  </si>
  <si>
    <t>normalmente</t>
  </si>
  <si>
    <t>felizes</t>
  </si>
  <si>
    <t>terem</t>
  </si>
  <si>
    <t>ficado</t>
  </si>
  <si>
    <t>quarto</t>
  </si>
  <si>
    <t>lugar</t>
  </si>
  <si>
    <t>recebido</t>
  </si>
  <si>
    <t>nenhuma</t>
  </si>
  <si>
    <t>medalha</t>
  </si>
  <si>
    <t>dá</t>
  </si>
  <si>
    <t># text = Vemos isso , até na indústria de_ o jogo , que , em tempos , se apercebeu deste fenómeno de_ a quase vitória e criou aquelas raspadinhas que tinham uma taxa de quase vitórias mais alta de_ o que a média e por isso levavam as pessoas a comprar mais raspadinhas a que chamavam " heart-stoppers " , e provocaram uma série de abusos na indústria de_ o jogo na Grã-Bretanha , nos anos 70 .</t>
  </si>
  <si>
    <t>indústria</t>
  </si>
  <si>
    <t>jogo</t>
  </si>
  <si>
    <t>tempos</t>
  </si>
  <si>
    <t>apercebeu</t>
  </si>
  <si>
    <t>criou</t>
  </si>
  <si>
    <t>raspadinhas</t>
  </si>
  <si>
    <t>tinham</t>
  </si>
  <si>
    <t>taxa</t>
  </si>
  <si>
    <t>alta</t>
  </si>
  <si>
    <t>OBJ_11</t>
  </si>
  <si>
    <t>média</t>
  </si>
  <si>
    <t>SBJ_11</t>
  </si>
  <si>
    <t>levavam</t>
  </si>
  <si>
    <t>pessoas</t>
  </si>
  <si>
    <t>comprar</t>
  </si>
  <si>
    <t>OBJ_13</t>
  </si>
  <si>
    <t>chamavam</t>
  </si>
  <si>
    <t>heart-stoppers</t>
  </si>
  <si>
    <t>OBJ_14</t>
  </si>
  <si>
    <t>provocaram</t>
  </si>
  <si>
    <t>OBJ_16</t>
  </si>
  <si>
    <t>abusos</t>
  </si>
  <si>
    <t>other_17</t>
  </si>
  <si>
    <t>other_16</t>
  </si>
  <si>
    <t>Grã-Bretanha</t>
  </si>
  <si>
    <t># text = A razão por que a quase vitória tem propulsão é porque altera a nossa visão de_ a paisagem e coloca as nossas metas , que temos a tendência para pôr à distância , muito mais próximas de onde estamos .</t>
  </si>
  <si>
    <t>tem</t>
  </si>
  <si>
    <t>altera</t>
  </si>
  <si>
    <t>visão</t>
  </si>
  <si>
    <t>paisagem</t>
  </si>
  <si>
    <t>coloca</t>
  </si>
  <si>
    <t>nossas</t>
  </si>
  <si>
    <t>metas</t>
  </si>
  <si>
    <t>tendência</t>
  </si>
  <si>
    <t>pôr</t>
  </si>
  <si>
    <t>próximas</t>
  </si>
  <si>
    <t># text = Se eu vos pedir para imaginarem como será um dia maravilhoso na próxima semana , poderão descrevê# -lo em termos muito gerais .</t>
  </si>
  <si>
    <t>vos</t>
  </si>
  <si>
    <t>pedir</t>
  </si>
  <si>
    <t>imaginarem</t>
  </si>
  <si>
    <t>será</t>
  </si>
  <si>
    <t>maravilhoso</t>
  </si>
  <si>
    <t>próxima</t>
  </si>
  <si>
    <t>semana</t>
  </si>
  <si>
    <t>poderão</t>
  </si>
  <si>
    <t>descrevê</t>
  </si>
  <si>
    <t>termos</t>
  </si>
  <si>
    <t>gerais</t>
  </si>
  <si>
    <t># text = Mas se eu pedir que descrevam um dia maravilhoso amanhã no TED , podem descrevê -lo com uma clareza granular , prática .</t>
  </si>
  <si>
    <t>descrevam</t>
  </si>
  <si>
    <t>amanhã</t>
  </si>
  <si>
    <t>TED</t>
  </si>
  <si>
    <t>podem</t>
  </si>
  <si>
    <t>clareza</t>
  </si>
  <si>
    <t>granular</t>
  </si>
  <si>
    <t>prática</t>
  </si>
  <si>
    <t># text = E é isso o que uma quase vitória faz .</t>
  </si>
  <si>
    <t>faz</t>
  </si>
  <si>
    <t># text = Leva -nos a concentrar -nos sobre o que , em_ este preciso momento , pretendemos fazer para abordar aquela montanha à nossa vista .</t>
  </si>
  <si>
    <t>Leva</t>
  </si>
  <si>
    <t>concentrar</t>
  </si>
  <si>
    <t>pretendemos</t>
  </si>
  <si>
    <t>abordar</t>
  </si>
  <si>
    <t>montanha</t>
  </si>
  <si>
    <t>vista</t>
  </si>
  <si>
    <t># text = É Jackie Joyner-Kersee que , em 1984 , não conseguiu o ouro no heptatlo por um terço de segundo , e o marido previu que isso lhe iria dar a tenacidade de que ela precisava na competição seguinte .</t>
  </si>
  <si>
    <t>Jackie</t>
  </si>
  <si>
    <t>Joyner-Kersee</t>
  </si>
  <si>
    <t>1984</t>
  </si>
  <si>
    <t>conseguiu</t>
  </si>
  <si>
    <t>ouro</t>
  </si>
  <si>
    <t>heptatlo</t>
  </si>
  <si>
    <t>terço</t>
  </si>
  <si>
    <t>marido</t>
  </si>
  <si>
    <t>previu</t>
  </si>
  <si>
    <t>iria</t>
  </si>
  <si>
    <t>tenacidade</t>
  </si>
  <si>
    <t>precisava</t>
  </si>
  <si>
    <t># text = Em 1988 , ganhou o ouro no heptatlo e bateu o recorde com 7 291 pontos , uma pontuação de que , até aí , nenhuma atleta se tinha aproximado .</t>
  </si>
  <si>
    <t>1988</t>
  </si>
  <si>
    <t>ganhou</t>
  </si>
  <si>
    <t>bateu</t>
  </si>
  <si>
    <t>recorde</t>
  </si>
  <si>
    <t>291</t>
  </si>
  <si>
    <t>pontos</t>
  </si>
  <si>
    <t>pontuação</t>
  </si>
  <si>
    <t>aí</t>
  </si>
  <si>
    <t>atleta</t>
  </si>
  <si>
    <t>aproximado</t>
  </si>
  <si>
    <t># text = Não florescemos quando acabamos de fazer tudo , mas quando ainda temos mais para fazer .</t>
  </si>
  <si>
    <t>florescemos</t>
  </si>
  <si>
    <t>acabamos</t>
  </si>
  <si>
    <t># text = Estou aqui à vossa frente , a pensar e a imaginar todos os caminhos diferentes que podíamos trabalhar para uma quase vitória em_ esta sala , como as nossas vidas podiam acontecer porque penso que , cá dentro , sabemos isso .</t>
  </si>
  <si>
    <t>Estou</t>
  </si>
  <si>
    <t>aqui</t>
  </si>
  <si>
    <t>vossa</t>
  </si>
  <si>
    <t>frente</t>
  </si>
  <si>
    <t>pensar</t>
  </si>
  <si>
    <t>imaginar</t>
  </si>
  <si>
    <t>caminhos</t>
  </si>
  <si>
    <t>diferentes</t>
  </si>
  <si>
    <t>podíamos</t>
  </si>
  <si>
    <t>sala</t>
  </si>
  <si>
    <t>vidas</t>
  </si>
  <si>
    <t>acontecer</t>
  </si>
  <si>
    <t>penso</t>
  </si>
  <si>
    <t>cá</t>
  </si>
  <si>
    <t>dentro</t>
  </si>
  <si>
    <t># text = Sabemos que florescemos quando nos situamos na nossa própria vanguarda , e é por isso que o incompleto deliberado está entranhado nos mitos de_ a criação .</t>
  </si>
  <si>
    <t>Sabemos</t>
  </si>
  <si>
    <t>situamos</t>
  </si>
  <si>
    <t>própria</t>
  </si>
  <si>
    <t>deliberado</t>
  </si>
  <si>
    <t>entranhado</t>
  </si>
  <si>
    <t>mitos</t>
  </si>
  <si>
    <t>criação</t>
  </si>
  <si>
    <t># text = Na cultura navajo , alguns artesãos e mulheres punham deliberadamente uma qualquer imperfeição nos têxteis e nas cerâmicas .</t>
  </si>
  <si>
    <t>navajo</t>
  </si>
  <si>
    <t>artesãos</t>
  </si>
  <si>
    <t>punham</t>
  </si>
  <si>
    <t>imperfeição</t>
  </si>
  <si>
    <t>têxteis</t>
  </si>
  <si>
    <t>cerâmicas</t>
  </si>
  <si>
    <t># text = Chamavam -lhe uma linha de espírito , um defeito deliberado no desenho para dar a_ o tecelão ou a_ o artesão uma saída , mas também uma razão para continuar a trabalhar .</t>
  </si>
  <si>
    <t>Chamavam</t>
  </si>
  <si>
    <t>linha</t>
  </si>
  <si>
    <t>espírito</t>
  </si>
  <si>
    <t>defeito</t>
  </si>
  <si>
    <t>desenho</t>
  </si>
  <si>
    <t>tecelão</t>
  </si>
  <si>
    <t>ou</t>
  </si>
  <si>
    <t>artesão</t>
  </si>
  <si>
    <t>saída</t>
  </si>
  <si>
    <t>também</t>
  </si>
  <si>
    <t>continuar</t>
  </si>
  <si>
    <t># text = Os mestres não são especialistas por levar um tema a_ o seu fim conceptual .</t>
  </si>
  <si>
    <t>Os</t>
  </si>
  <si>
    <t>mestres</t>
  </si>
  <si>
    <t>especialistas</t>
  </si>
  <si>
    <t>levar</t>
  </si>
  <si>
    <t>tema</t>
  </si>
  <si>
    <t>conceptual</t>
  </si>
  <si>
    <t># text = São mestres porque percebem que ele não existe .</t>
  </si>
  <si>
    <t>São</t>
  </si>
  <si>
    <t>percebem</t>
  </si>
  <si>
    <t>existe</t>
  </si>
  <si>
    <t># text = Ora bem , quando estava a pensar em_ isto , recordei o que o treinador de_ as arqueiras me disse no fim de_ aquele treino , sem que as arqueiras ouvissem , que ele e os seus colegas nunca sentem que fazem tudo o que podem pela sua equipa , nunca sentem que há visualizações técnicas e treinos de postura suficientes para as ajudar a ultrapassar aquelas constantes quase vitórias .</t>
  </si>
  <si>
    <t>Ora</t>
  </si>
  <si>
    <t>bem</t>
  </si>
  <si>
    <t>isto</t>
  </si>
  <si>
    <t>recordei</t>
  </si>
  <si>
    <t>ouvissem</t>
  </si>
  <si>
    <t>colegas</t>
  </si>
  <si>
    <t>nunca</t>
  </si>
  <si>
    <t>fazem</t>
  </si>
  <si>
    <t>visualizações</t>
  </si>
  <si>
    <t>técnicas</t>
  </si>
  <si>
    <t>treinos</t>
  </si>
  <si>
    <t>suficientes</t>
  </si>
  <si>
    <t>ajudar</t>
  </si>
  <si>
    <t>ultrapassar</t>
  </si>
  <si>
    <t>constantes</t>
  </si>
  <si>
    <t># text = Não parecia propriamente um lamento , mas apenas uma forma de me transmitir uma espécie de meigo reconhecimento , para me chamar a atenção de que ele sabia que estava empenhado em_ um caminho voraz , inacabado que exigia sempre mais .</t>
  </si>
  <si>
    <t>parecia</t>
  </si>
  <si>
    <t>propriamente</t>
  </si>
  <si>
    <t>lamento</t>
  </si>
  <si>
    <t>apenas</t>
  </si>
  <si>
    <t>forma</t>
  </si>
  <si>
    <t>transmitir</t>
  </si>
  <si>
    <t>espécie</t>
  </si>
  <si>
    <t>meigo</t>
  </si>
  <si>
    <t>chamar</t>
  </si>
  <si>
    <t>atenção</t>
  </si>
  <si>
    <t>sabia</t>
  </si>
  <si>
    <t>empenhado</t>
  </si>
  <si>
    <t>caminho</t>
  </si>
  <si>
    <t>voraz</t>
  </si>
  <si>
    <t>inacabado</t>
  </si>
  <si>
    <t>exigia</t>
  </si>
  <si>
    <t># text = Construímos a partir de_ a ideia inacabada , mesmo que essa ideia seja o nosso antigo Eu .</t>
  </si>
  <si>
    <t>Construímos</t>
  </si>
  <si>
    <t>partir</t>
  </si>
  <si>
    <t>inacabada</t>
  </si>
  <si>
    <t>seja</t>
  </si>
  <si>
    <t>antigo</t>
  </si>
  <si>
    <t># text = É esta a dinâmica de_ a mestria .</t>
  </si>
  <si>
    <t>dinâmica</t>
  </si>
  <si>
    <t># text = Aproximarmo -nos de_ aquilo que pensávamos que queríamos pode ajudar -nos a alcançar mais de_ o que o que jamais sonháramos poder .</t>
  </si>
  <si>
    <t>Aproximarmo</t>
  </si>
  <si>
    <t>pensávamos</t>
  </si>
  <si>
    <t>queríamos</t>
  </si>
  <si>
    <t>alcançar</t>
  </si>
  <si>
    <t>jamais</t>
  </si>
  <si>
    <t>sonháramos</t>
  </si>
  <si>
    <t># text = Sou forçada a imaginar que era em_ isso que Elizabeth Murray estava a pensar quando a vi sorrir um dia diante de_ aquelas primeiras pinturas nas galerias .</t>
  </si>
  <si>
    <t>Sou</t>
  </si>
  <si>
    <t>forçada</t>
  </si>
  <si>
    <t>sorrir</t>
  </si>
  <si>
    <t>diante</t>
  </si>
  <si>
    <t>galerias</t>
  </si>
  <si>
    <t># text = Mesmo que criássemos utopias , acho que continuaríamos a ter o incompleto .</t>
  </si>
  <si>
    <t>Mesmo</t>
  </si>
  <si>
    <t>criássemos</t>
  </si>
  <si>
    <t>utopias</t>
  </si>
  <si>
    <t>acho</t>
  </si>
  <si>
    <t>continuaríamos</t>
  </si>
  <si>
    <t># text = A conclusão é uma meta , mas esperamos que nunca seja o fim .</t>
  </si>
  <si>
    <t>conclusão</t>
  </si>
  <si>
    <t>esperamos</t>
  </si>
  <si>
    <t># text = Obrigada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</si>
</sst>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20</v>
      </c>
      <c r="D4" s="7" t="s">
        <v>11</v>
      </c>
      <c r="E4" s="8" t="s">
        <v>21</v>
      </c>
      <c r="F4" s="6" t="s">
        <v>11</v>
      </c>
      <c r="G4" s="9">
        <f>IF(A4=1,"_",IF(C4="_","???",C4))</f>
        <v/>
      </c>
      <c r="H4" s="10" t="s">
        <v>13</v>
      </c>
      <c r="I4" s="11" t="s">
        <v>23</v>
      </c>
      <c r="J4" s="12" t="s">
        <v>24</v>
      </c>
    </row>
    <row r="5" spans="1:10" ht="60" customHeight="1">
      <c r="A5" s="6" t="s">
        <v>25</v>
      </c>
      <c r="B5" s="6" t="s">
        <v>11</v>
      </c>
      <c r="C5" s="6" t="s">
        <v>11</v>
      </c>
      <c r="D5" s="7" t="s">
        <v>11</v>
      </c>
      <c r="E5" s="8" t="s">
        <v>26</v>
      </c>
      <c r="F5" s="6" t="s">
        <v>11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27</v>
      </c>
      <c r="B6" s="6" t="s">
        <v>11</v>
      </c>
      <c r="C6" s="6" t="s">
        <v>14</v>
      </c>
      <c r="D6" s="7" t="s">
        <v>11</v>
      </c>
      <c r="E6" s="8" t="s">
        <v>28</v>
      </c>
      <c r="F6" s="6" t="s">
        <v>11</v>
      </c>
      <c r="G6" s="9">
        <f>IF(A6=1,"_",IF(C6="_","???",C6))</f>
        <v/>
      </c>
      <c r="H6" s="10" t="s">
        <v>25</v>
      </c>
      <c r="I6" s="11" t="s">
        <v>17</v>
      </c>
      <c r="J6" s="12" t="s">
        <v>18</v>
      </c>
    </row>
    <row r="7" spans="1:10" ht="60" customHeight="1">
      <c r="A7" s="6" t="s">
        <v>29</v>
      </c>
      <c r="B7" s="6" t="s">
        <v>11</v>
      </c>
      <c r="C7" s="6" t="s">
        <v>20</v>
      </c>
      <c r="D7" s="7" t="s">
        <v>11</v>
      </c>
      <c r="E7" s="8" t="s">
        <v>30</v>
      </c>
      <c r="F7" s="6" t="s">
        <v>11</v>
      </c>
      <c r="G7" s="9">
        <f>IF(A7=1,"_",IF(C7="_","???",C7))</f>
        <v/>
      </c>
      <c r="H7" s="10" t="s">
        <v>27</v>
      </c>
      <c r="I7" s="11" t="s">
        <v>23</v>
      </c>
      <c r="J7" s="12" t="s">
        <v>24</v>
      </c>
    </row>
    <row r="8" spans="1:10" ht="60" customHeight="1">
      <c r="A8" s="6" t="s">
        <v>31</v>
      </c>
      <c r="B8" s="6" t="s">
        <v>11</v>
      </c>
      <c r="C8" s="6" t="s">
        <v>14</v>
      </c>
      <c r="D8" s="7" t="s">
        <v>11</v>
      </c>
      <c r="E8" s="8" t="s">
        <v>32</v>
      </c>
      <c r="F8" s="6" t="s">
        <v>11</v>
      </c>
      <c r="G8" s="9">
        <f>IF(A8=1,"_",IF(C8="_","???",C8))</f>
        <v/>
      </c>
      <c r="H8" s="10" t="s">
        <v>27</v>
      </c>
      <c r="I8" s="11" t="s">
        <v>17</v>
      </c>
      <c r="J8" s="12" t="s">
        <v>18</v>
      </c>
    </row>
    <row r="9" spans="1:10" ht="60" customHeight="1">
      <c r="A9" s="6" t="s">
        <v>33</v>
      </c>
      <c r="B9" s="6" t="s">
        <v>11</v>
      </c>
      <c r="C9" s="6" t="s">
        <v>11</v>
      </c>
      <c r="D9" s="7" t="s">
        <v>11</v>
      </c>
      <c r="E9" s="8" t="s">
        <v>34</v>
      </c>
      <c r="F9" s="6" t="s">
        <v>11</v>
      </c>
      <c r="G9" s="9">
        <f>IF(A9=1,"_",IF(C9="_","???",C9))</f>
        <v/>
      </c>
      <c r="H9" s="10" t="s">
        <v>31</v>
      </c>
      <c r="I9" s="11" t="s">
        <v>36</v>
      </c>
      <c r="J9" s="12" t="s">
        <v>37</v>
      </c>
    </row>
    <row r="10" spans="1:10" ht="60" customHeight="1">
      <c r="A10" s="6" t="s">
        <v>38</v>
      </c>
      <c r="B10" s="6" t="s">
        <v>11</v>
      </c>
      <c r="C10" s="6" t="s">
        <v>39</v>
      </c>
      <c r="D10" s="7" t="s">
        <v>11</v>
      </c>
      <c r="E10" s="8" t="s">
        <v>40</v>
      </c>
      <c r="F10" s="6" t="s">
        <v>11</v>
      </c>
      <c r="G10" s="9">
        <f>IF(A10=1,"_",IF(C10="_","???",C10))</f>
        <v/>
      </c>
      <c r="H10" s="10" t="s">
        <v>33</v>
      </c>
      <c r="I10" s="11" t="s">
        <v>23</v>
      </c>
      <c r="J10" s="12" t="s">
        <v>24</v>
      </c>
    </row>
    <row r="11" spans="1:10" ht="60" customHeight="1">
      <c r="A11" s="6" t="s">
        <v>41</v>
      </c>
      <c r="B11" s="6" t="s">
        <v>11</v>
      </c>
      <c r="C11" s="6" t="s">
        <v>11</v>
      </c>
      <c r="D11" s="7" t="s">
        <v>11</v>
      </c>
      <c r="E11" s="8" t="s">
        <v>42</v>
      </c>
      <c r="F11" s="6" t="s">
        <v>11</v>
      </c>
      <c r="G11" s="9">
        <f>IF(A11=1,"_",IF(C11="_","???",C11))</f>
        <v/>
      </c>
      <c r="H11" s="10" t="s">
        <v>38</v>
      </c>
      <c r="I11" s="11" t="s">
        <v>44</v>
      </c>
      <c r="J11" s="12" t="s">
        <v>45</v>
      </c>
    </row>
    <row r="12" spans="1:10" ht="60" customHeight="1">
      <c r="A12" s="6" t="s">
        <v>46</v>
      </c>
      <c r="B12" s="6" t="s">
        <v>11</v>
      </c>
      <c r="C12" s="6" t="s">
        <v>39</v>
      </c>
      <c r="D12" s="7" t="s">
        <v>11</v>
      </c>
      <c r="E12" s="8" t="s">
        <v>47</v>
      </c>
      <c r="F12" s="6" t="s">
        <v>11</v>
      </c>
      <c r="G12" s="9">
        <f>IF(A12=1,"_",IF(C12="_","???",C12))</f>
        <v/>
      </c>
      <c r="H12" s="10" t="s">
        <v>41</v>
      </c>
      <c r="I12" s="11" t="s">
        <v>23</v>
      </c>
      <c r="J12" s="12" t="s">
        <v>24</v>
      </c>
    </row>
    <row r="13" spans="1:10" ht="60" customHeight="1">
      <c r="A13" s="6" t="s">
        <v>48</v>
      </c>
      <c r="B13" s="6" t="s">
        <v>11</v>
      </c>
      <c r="C13" s="6" t="s">
        <v>11</v>
      </c>
      <c r="D13" s="7" t="s">
        <v>11</v>
      </c>
      <c r="E13" s="8" t="s">
        <v>49</v>
      </c>
      <c r="F13" s="6" t="s">
        <v>11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50</v>
      </c>
      <c r="B14" s="6" t="s">
        <v>11</v>
      </c>
      <c r="C14" s="6" t="s">
        <v>14</v>
      </c>
      <c r="D14" s="7" t="s">
        <v>11</v>
      </c>
      <c r="E14" s="8" t="s">
        <v>51</v>
      </c>
      <c r="F14" s="6" t="s">
        <v>11</v>
      </c>
      <c r="G14" s="9">
        <f>IF(A14=1,"_",IF(C14="_","???",C14))</f>
        <v/>
      </c>
      <c r="H14" s="10" t="s">
        <v>48</v>
      </c>
      <c r="I14" s="11" t="s">
        <v>17</v>
      </c>
      <c r="J14" s="12" t="s">
        <v>18</v>
      </c>
    </row>
    <row r="15" spans="1:10" ht="60" customHeight="1">
      <c r="A15" s="6" t="s">
        <v>52</v>
      </c>
      <c r="B15" s="6" t="s">
        <v>11</v>
      </c>
      <c r="C15" s="6" t="s">
        <v>39</v>
      </c>
      <c r="D15" s="7" t="s">
        <v>11</v>
      </c>
      <c r="E15" s="8" t="s">
        <v>53</v>
      </c>
      <c r="F15" s="6" t="s">
        <v>11</v>
      </c>
      <c r="G15" s="9">
        <f>IF(A15=1,"_",IF(C15="_","???",C15))</f>
        <v/>
      </c>
      <c r="H15" s="10" t="s">
        <v>50</v>
      </c>
      <c r="I15" s="11" t="s">
        <v>23</v>
      </c>
      <c r="J15" s="12" t="s">
        <v>24</v>
      </c>
    </row>
    <row r="16" spans="1:10" ht="60" customHeight="1">
      <c r="A16" s="6" t="s">
        <v>54</v>
      </c>
      <c r="B16" s="6" t="s">
        <v>11</v>
      </c>
      <c r="C16" s="6" t="s">
        <v>55</v>
      </c>
      <c r="D16" s="7" t="s">
        <v>11</v>
      </c>
      <c r="E16" s="8" t="s">
        <v>56</v>
      </c>
      <c r="F16" s="6" t="s">
        <v>11</v>
      </c>
      <c r="G16" s="9">
        <f>IF(A16=1,"_",IF(C16="_","???",C16))</f>
        <v/>
      </c>
      <c r="H16" s="10" t="s">
        <v>52</v>
      </c>
      <c r="I16" s="11" t="s">
        <v>58</v>
      </c>
      <c r="J16" s="12" t="s">
        <v>59</v>
      </c>
    </row>
    <row r="17" spans="1:10" ht="60" customHeight="1">
      <c r="A17" s="6" t="s">
        <v>60</v>
      </c>
      <c r="B17" s="6" t="s">
        <v>11</v>
      </c>
      <c r="C17" s="6" t="s">
        <v>14</v>
      </c>
      <c r="D17" s="7" t="s">
        <v>11</v>
      </c>
      <c r="E17" s="8" t="s">
        <v>61</v>
      </c>
      <c r="F17" s="6" t="s">
        <v>11</v>
      </c>
      <c r="G17" s="9">
        <f>IF(A17=1,"_",IF(C17="_","???",C17))</f>
        <v/>
      </c>
      <c r="H17" s="10" t="s">
        <v>54</v>
      </c>
      <c r="I17" s="11" t="s">
        <v>17</v>
      </c>
      <c r="J17" s="12" t="s">
        <v>18</v>
      </c>
    </row>
    <row r="18" spans="1:10" ht="60" customHeight="1">
      <c r="A18" s="6" t="s">
        <v>62</v>
      </c>
      <c r="B18" s="6" t="s">
        <v>11</v>
      </c>
      <c r="C18" s="6" t="s">
        <v>11</v>
      </c>
      <c r="D18" s="7" t="s">
        <v>11</v>
      </c>
      <c r="E18" s="8" t="s">
        <v>63</v>
      </c>
      <c r="F18" s="6" t="s">
        <v>11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64</v>
      </c>
      <c r="B19" s="6" t="s">
        <v>11</v>
      </c>
      <c r="C19" s="6" t="s">
        <v>65</v>
      </c>
      <c r="D19" s="7" t="s">
        <v>11</v>
      </c>
      <c r="E19" s="8" t="s">
        <v>66</v>
      </c>
      <c r="F19" s="6" t="s">
        <v>11</v>
      </c>
      <c r="G19" s="9">
        <f>IF(A19=1,"_",IF(C19="_","???",C19))</f>
        <v/>
      </c>
      <c r="H19" s="10" t="s">
        <v>62</v>
      </c>
      <c r="I19" s="11" t="s">
        <v>68</v>
      </c>
      <c r="J19" s="12" t="s">
        <v>69</v>
      </c>
    </row>
    <row r="20" spans="1:10" ht="60" customHeight="1">
      <c r="A20" s="6" t="s">
        <v>70</v>
      </c>
      <c r="B20" s="6" t="s">
        <v>11</v>
      </c>
      <c r="C20" s="6" t="s">
        <v>65</v>
      </c>
      <c r="D20" s="7" t="s">
        <v>11</v>
      </c>
      <c r="E20" s="8" t="s">
        <v>71</v>
      </c>
      <c r="F20" s="6" t="s">
        <v>11</v>
      </c>
      <c r="G20" s="9">
        <f>IF(A20=1,"_",IF(C20="_","???",C20))</f>
        <v/>
      </c>
      <c r="H20" s="10" t="s">
        <v>64</v>
      </c>
      <c r="I20" s="11" t="s">
        <v>68</v>
      </c>
      <c r="J20" s="12" t="s">
        <v>69</v>
      </c>
    </row>
    <row r="21" spans="1:10" ht="60" customHeight="1">
      <c r="A21" s="6" t="s">
        <v>72</v>
      </c>
      <c r="B21" s="6" t="s">
        <v>11</v>
      </c>
      <c r="C21" s="6" t="s">
        <v>11</v>
      </c>
      <c r="D21" s="7" t="s">
        <v>11</v>
      </c>
      <c r="E21" s="8" t="s">
        <v>73</v>
      </c>
      <c r="F21" s="6" t="s">
        <v>11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74</v>
      </c>
      <c r="B22" s="6" t="s">
        <v>11</v>
      </c>
      <c r="C22" s="6" t="s">
        <v>11</v>
      </c>
      <c r="D22" s="7" t="s">
        <v>11</v>
      </c>
      <c r="E22" s="8" t="s">
        <v>75</v>
      </c>
      <c r="F22" s="6" t="s">
        <v>11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76</v>
      </c>
      <c r="B23" s="6" t="s">
        <v>11</v>
      </c>
      <c r="C23" s="6" t="s">
        <v>11</v>
      </c>
      <c r="D23" s="7" t="s">
        <v>11</v>
      </c>
      <c r="E23" s="8" t="s">
        <v>77</v>
      </c>
      <c r="F23" s="6" t="s">
        <v>11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78</v>
      </c>
      <c r="B24" s="6" t="s">
        <v>11</v>
      </c>
      <c r="C24" s="6" t="s">
        <v>11</v>
      </c>
      <c r="D24" s="7" t="s">
        <v>11</v>
      </c>
      <c r="E24" s="8" t="s">
        <v>79</v>
      </c>
      <c r="F24" s="6" t="s">
        <v>11</v>
      </c>
      <c r="G24" s="9">
        <f>IF(A24=1,"_",IF(C24="_","???",C24))</f>
        <v/>
      </c>
      <c r="H24" s="10" t="s">
        <v>76</v>
      </c>
      <c r="I24" s="11" t="s">
        <v>17</v>
      </c>
      <c r="J24" s="12" t="s">
        <v>18</v>
      </c>
    </row>
    <row r="25" spans="1:10" ht="60" customHeight="1">
      <c r="A25" s="6" t="s">
        <v>80</v>
      </c>
      <c r="B25" s="6" t="s">
        <v>11</v>
      </c>
      <c r="C25" s="6" t="s">
        <v>11</v>
      </c>
      <c r="D25" s="7" t="s">
        <v>11</v>
      </c>
      <c r="E25" s="8" t="s">
        <v>81</v>
      </c>
      <c r="F25" s="6" t="s">
        <v>11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82</v>
      </c>
      <c r="B26" s="6" t="s">
        <v>11</v>
      </c>
      <c r="C26" s="6" t="s">
        <v>83</v>
      </c>
      <c r="D26" s="7" t="s">
        <v>11</v>
      </c>
      <c r="E26" s="8" t="s">
        <v>84</v>
      </c>
      <c r="F26" s="6" t="s">
        <v>11</v>
      </c>
      <c r="G26" s="9">
        <f>IF(A26=1,"_",IF(C26="_","???",C26))</f>
        <v/>
      </c>
      <c r="H26" s="10" t="s">
        <v>80</v>
      </c>
      <c r="I26" s="11" t="s">
        <v>86</v>
      </c>
      <c r="J26" s="12" t="s">
        <v>87</v>
      </c>
    </row>
    <row r="27" spans="1:10" ht="60" customHeight="1">
      <c r="A27" s="6" t="s">
        <v>88</v>
      </c>
      <c r="B27" s="6" t="s">
        <v>11</v>
      </c>
      <c r="C27" s="6" t="s">
        <v>11</v>
      </c>
      <c r="D27" s="7" t="s">
        <v>11</v>
      </c>
      <c r="E27" s="8" t="s">
        <v>89</v>
      </c>
      <c r="F27" s="6" t="s">
        <v>11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90</v>
      </c>
      <c r="B28" s="6" t="s">
        <v>11</v>
      </c>
      <c r="C28" s="6" t="s">
        <v>91</v>
      </c>
      <c r="D28" s="7" t="s">
        <v>11</v>
      </c>
      <c r="E28" s="8" t="s">
        <v>92</v>
      </c>
      <c r="F28" s="6" t="s">
        <v>11</v>
      </c>
      <c r="G28" s="9">
        <f>IF(A28=1,"_",IF(C28="_","???",C28))</f>
        <v/>
      </c>
      <c r="H28" s="10" t="s">
        <v>82</v>
      </c>
      <c r="I28" s="11" t="s">
        <v>94</v>
      </c>
      <c r="J28" s="12" t="s">
        <v>95</v>
      </c>
    </row>
    <row r="29" spans="1:10" ht="60" customHeight="1">
      <c r="A29" s="6" t="s">
        <v>96</v>
      </c>
      <c r="B29" s="6" t="s">
        <v>11</v>
      </c>
      <c r="C29" s="6" t="s">
        <v>11</v>
      </c>
      <c r="D29" s="7" t="s">
        <v>11</v>
      </c>
      <c r="E29" s="8" t="s">
        <v>97</v>
      </c>
      <c r="F29" s="6" t="s">
        <v>11</v>
      </c>
      <c r="G29" s="9">
        <f>IF(A29=1,"_",IF(C29="_","???",C29))</f>
        <v/>
      </c>
      <c r="H29" s="10" t="s">
        <v>90</v>
      </c>
      <c r="I29" s="11" t="s">
        <v>44</v>
      </c>
      <c r="J29" s="12" t="s">
        <v>45</v>
      </c>
    </row>
    <row r="30" spans="1:10" ht="60" customHeight="1">
      <c r="A30" s="6" t="s">
        <v>98</v>
      </c>
      <c r="B30" s="6" t="s">
        <v>11</v>
      </c>
      <c r="C30" s="6" t="s">
        <v>39</v>
      </c>
      <c r="D30" s="7" t="s">
        <v>11</v>
      </c>
      <c r="E30" s="8" t="s">
        <v>99</v>
      </c>
      <c r="F30" s="6" t="s">
        <v>11</v>
      </c>
      <c r="G30" s="9">
        <f>IF(A30=1,"_",IF(C30="_","???",C30))</f>
        <v/>
      </c>
      <c r="H30" s="10" t="s">
        <v>96</v>
      </c>
      <c r="I30" s="11" t="s">
        <v>23</v>
      </c>
      <c r="J30" s="12" t="s">
        <v>24</v>
      </c>
    </row>
    <row r="31" spans="1:10" ht="60" customHeight="1">
      <c r="A31" s="6" t="s">
        <v>100</v>
      </c>
      <c r="B31" s="6" t="s">
        <v>11</v>
      </c>
      <c r="C31" s="6" t="s">
        <v>11</v>
      </c>
      <c r="D31" s="7" t="s">
        <v>11</v>
      </c>
      <c r="E31" s="8" t="s">
        <v>101</v>
      </c>
      <c r="F31" s="6" t="s">
        <v>11</v>
      </c>
      <c r="G31" s="9">
        <f>IF(A31=1,"_",IF(C31="_","???",C31))</f>
        <v/>
      </c>
      <c r="H31" s="10" t="s">
        <v>98</v>
      </c>
      <c r="I31" s="11" t="s">
        <v>44</v>
      </c>
      <c r="J31" s="12" t="s">
        <v>45</v>
      </c>
    </row>
    <row r="32" spans="1:10" ht="60" customHeight="1">
      <c r="A32" s="6" t="s">
        <v>102</v>
      </c>
      <c r="B32" s="6" t="s">
        <v>11</v>
      </c>
      <c r="C32" s="6" t="s">
        <v>14</v>
      </c>
      <c r="D32" s="7" t="s">
        <v>11</v>
      </c>
      <c r="E32" s="8" t="s">
        <v>103</v>
      </c>
      <c r="F32" s="6" t="s">
        <v>11</v>
      </c>
      <c r="G32" s="9">
        <f>IF(A32=1,"_",IF(C32="_","???",C32))</f>
        <v/>
      </c>
      <c r="H32" s="10" t="s">
        <v>100</v>
      </c>
      <c r="I32" s="11" t="s">
        <v>17</v>
      </c>
      <c r="J32" s="12" t="s">
        <v>18</v>
      </c>
    </row>
    <row r="33" spans="1:10" ht="60" customHeight="1">
      <c r="A33" s="6" t="s">
        <v>104</v>
      </c>
      <c r="B33" s="6" t="s">
        <v>11</v>
      </c>
      <c r="C33" s="6" t="s">
        <v>11</v>
      </c>
      <c r="D33" s="7" t="s">
        <v>11</v>
      </c>
      <c r="E33" s="8" t="s">
        <v>105</v>
      </c>
      <c r="F33" s="6" t="s">
        <v>11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106</v>
      </c>
      <c r="B34" s="6" t="s">
        <v>11</v>
      </c>
      <c r="C34" s="6" t="s">
        <v>107</v>
      </c>
      <c r="D34" s="7" t="s">
        <v>11</v>
      </c>
      <c r="E34" s="8" t="s">
        <v>108</v>
      </c>
      <c r="F34" s="6" t="s">
        <v>11</v>
      </c>
      <c r="G34" s="9">
        <f>IF(A34=1,"_",IF(C34="_","???",C34))</f>
        <v/>
      </c>
      <c r="H34" s="10" t="s">
        <v>104</v>
      </c>
      <c r="I34" s="11" t="s">
        <v>23</v>
      </c>
      <c r="J34" s="12" t="s">
        <v>24</v>
      </c>
    </row>
    <row r="35" spans="1:10" ht="60" customHeight="1">
      <c r="A35" s="6" t="s">
        <v>109</v>
      </c>
      <c r="B35" s="6" t="s">
        <v>11</v>
      </c>
      <c r="C35" s="6" t="s">
        <v>20</v>
      </c>
      <c r="D35" s="7" t="s">
        <v>11</v>
      </c>
      <c r="E35" s="8" t="s">
        <v>110</v>
      </c>
      <c r="F35" s="6" t="s">
        <v>11</v>
      </c>
      <c r="G35" s="9">
        <f>IF(A35=1,"_",IF(C35="_","???",C35))</f>
        <v/>
      </c>
      <c r="H35" s="10" t="s">
        <v>106</v>
      </c>
      <c r="I35" s="11" t="s">
        <v>23</v>
      </c>
      <c r="J35" s="12" t="s">
        <v>24</v>
      </c>
    </row>
    <row r="36" spans="1:10" ht="60" customHeight="1">
      <c r="A36" s="6" t="s">
        <v>111</v>
      </c>
      <c r="B36" s="6" t="s">
        <v>11</v>
      </c>
      <c r="C36" s="6" t="s">
        <v>11</v>
      </c>
      <c r="D36" s="7" t="s">
        <v>11</v>
      </c>
      <c r="E36" s="8" t="s">
        <v>112</v>
      </c>
      <c r="F36" s="6" t="s">
        <v>11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113</v>
      </c>
      <c r="B37" s="6" t="s">
        <v>11</v>
      </c>
      <c r="C37" s="6" t="s">
        <v>11</v>
      </c>
      <c r="D37" s="7" t="s">
        <v>11</v>
      </c>
      <c r="E37" s="8" t="s">
        <v>114</v>
      </c>
      <c r="F37" s="6" t="s">
        <v>11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115</v>
      </c>
      <c r="B38" s="6" t="s">
        <v>11</v>
      </c>
      <c r="C38" s="6" t="s">
        <v>14</v>
      </c>
      <c r="D38" s="7" t="s">
        <v>11</v>
      </c>
      <c r="E38" s="8" t="s">
        <v>116</v>
      </c>
      <c r="F38" s="6" t="s">
        <v>11</v>
      </c>
      <c r="G38" s="9">
        <f>IF(A38=1,"_",IF(C38="_","???",C38))</f>
        <v/>
      </c>
      <c r="H38" s="10" t="s">
        <v>113</v>
      </c>
      <c r="I38" s="11" t="s">
        <v>17</v>
      </c>
      <c r="J38" s="12" t="s">
        <v>18</v>
      </c>
    </row>
    <row r="39" spans="1:10" ht="60" customHeight="1">
      <c r="A39" s="6" t="s">
        <v>117</v>
      </c>
      <c r="B39" s="6" t="s">
        <v>11</v>
      </c>
      <c r="C39" s="6" t="s">
        <v>11</v>
      </c>
      <c r="D39" s="7" t="s">
        <v>11</v>
      </c>
      <c r="E39" s="8" t="s">
        <v>118</v>
      </c>
      <c r="F39" s="6" t="s">
        <v>11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119</v>
      </c>
      <c r="B40" s="6" t="s">
        <v>11</v>
      </c>
      <c r="C40" s="6" t="s">
        <v>11</v>
      </c>
      <c r="D40" s="7" t="s">
        <v>11</v>
      </c>
      <c r="E40" s="8" t="s">
        <v>120</v>
      </c>
      <c r="F40" s="6" t="s">
        <v>11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121</v>
      </c>
      <c r="B41" s="6" t="s">
        <v>11</v>
      </c>
      <c r="C41" s="6" t="s">
        <v>122</v>
      </c>
      <c r="D41" s="7" t="s">
        <v>11</v>
      </c>
      <c r="E41" s="8" t="s">
        <v>123</v>
      </c>
      <c r="F41" s="6" t="s">
        <v>11</v>
      </c>
      <c r="G41" s="9">
        <f>IF(A41=1,"_",IF(C41="_","???",C41))</f>
        <v/>
      </c>
      <c r="H41" s="10" t="s">
        <v>119</v>
      </c>
      <c r="I41" s="11" t="s">
        <v>44</v>
      </c>
      <c r="J41" s="12" t="s">
        <v>45</v>
      </c>
    </row>
    <row r="42" spans="1:10" ht="60" customHeight="1">
      <c r="A42" s="6" t="s">
        <v>124</v>
      </c>
      <c r="B42" s="6" t="s">
        <v>11</v>
      </c>
      <c r="C42" s="6" t="s">
        <v>11</v>
      </c>
      <c r="D42" s="7" t="s">
        <v>11</v>
      </c>
      <c r="E42" s="8" t="s">
        <v>125</v>
      </c>
      <c r="F42" s="6" t="s">
        <v>11</v>
      </c>
      <c r="G42" s="9">
        <f>IF(A42=1,"_",IF(C42="_","???",C42))</f>
        <v/>
      </c>
      <c r="H42" s="10" t="s">
        <v>115</v>
      </c>
      <c r="I42" s="11" t="s">
        <v>127</v>
      </c>
      <c r="J42" s="12" t="s">
        <v>128</v>
      </c>
    </row>
    <row r="43" spans="1:10" ht="60" customHeight="1">
      <c r="A43" s="6" t="s">
        <v>129</v>
      </c>
      <c r="B43" s="6" t="s">
        <v>11</v>
      </c>
      <c r="C43" s="6" t="s">
        <v>39</v>
      </c>
      <c r="D43" s="7" t="s">
        <v>11</v>
      </c>
      <c r="E43" s="8" t="s">
        <v>130</v>
      </c>
      <c r="F43" s="6" t="s">
        <v>11</v>
      </c>
      <c r="G43" s="9">
        <f>IF(A43=1,"_",IF(C43="_","???",C43))</f>
        <v/>
      </c>
      <c r="H43" s="10" t="s">
        <v>124</v>
      </c>
      <c r="I43" s="11" t="s">
        <v>23</v>
      </c>
      <c r="J43" s="12" t="s">
        <v>24</v>
      </c>
    </row>
    <row r="44" spans="1:10" ht="60" customHeight="1">
      <c r="A44" s="6" t="s">
        <v>131</v>
      </c>
      <c r="B44" s="6" t="s">
        <v>11</v>
      </c>
      <c r="C44" s="6" t="s">
        <v>14</v>
      </c>
      <c r="D44" s="7" t="s">
        <v>11</v>
      </c>
      <c r="E44" s="8" t="s">
        <v>132</v>
      </c>
      <c r="F44" s="6" t="s">
        <v>11</v>
      </c>
      <c r="G44" s="9">
        <f>IF(A44=1,"_",IF(C44="_","???",C44))</f>
        <v/>
      </c>
      <c r="H44" s="10" t="s">
        <v>129</v>
      </c>
      <c r="I44" s="11" t="s">
        <v>17</v>
      </c>
      <c r="J44" s="12" t="s">
        <v>18</v>
      </c>
    </row>
    <row r="45" spans="1:10" ht="60" customHeight="1">
      <c r="A45" s="6" t="s">
        <v>133</v>
      </c>
      <c r="B45" s="6" t="s">
        <v>11</v>
      </c>
      <c r="C45" s="6" t="s">
        <v>134</v>
      </c>
      <c r="D45" s="7" t="s">
        <v>11</v>
      </c>
      <c r="E45" s="8" t="s">
        <v>135</v>
      </c>
      <c r="F45" s="6" t="s">
        <v>11</v>
      </c>
      <c r="G45" s="9">
        <f>IF(A45=1,"_",IF(C45="_","???",C45))</f>
        <v/>
      </c>
      <c r="H45" s="10" t="s">
        <v>131</v>
      </c>
      <c r="I45" s="11" t="s">
        <v>17</v>
      </c>
      <c r="J45" s="12" t="s">
        <v>18</v>
      </c>
    </row>
    <row r="46" spans="1:10" ht="60" customHeight="1">
      <c r="A46" s="6" t="s">
        <v>136</v>
      </c>
      <c r="B46" s="6" t="s">
        <v>11</v>
      </c>
      <c r="C46" s="6" t="s">
        <v>14</v>
      </c>
      <c r="D46" s="7" t="s">
        <v>11</v>
      </c>
      <c r="E46" s="8" t="s">
        <v>137</v>
      </c>
      <c r="F46" s="6" t="s">
        <v>11</v>
      </c>
      <c r="G46" s="9">
        <f>IF(A46=1,"_",IF(C46="_","???",C46))</f>
        <v/>
      </c>
      <c r="H46" s="10" t="s">
        <v>133</v>
      </c>
      <c r="I46" s="11" t="s">
        <v>17</v>
      </c>
      <c r="J46" s="12" t="s">
        <v>18</v>
      </c>
    </row>
    <row r="47" spans="1:10" ht="60" customHeight="1">
      <c r="A47" s="6" t="s">
        <v>138</v>
      </c>
      <c r="B47" s="6" t="s">
        <v>11</v>
      </c>
      <c r="C47" s="6" t="s">
        <v>139</v>
      </c>
      <c r="D47" s="7" t="s">
        <v>11</v>
      </c>
      <c r="E47" s="8" t="s">
        <v>140</v>
      </c>
      <c r="F47" s="6" t="s">
        <v>11</v>
      </c>
      <c r="G47" s="9">
        <f>IF(A47=1,"_",IF(C47="_","???",C47))</f>
        <v/>
      </c>
      <c r="H47" s="10" t="s">
        <v>136</v>
      </c>
      <c r="I47" s="11" t="s">
        <v>36</v>
      </c>
      <c r="J47" s="12" t="s">
        <v>37</v>
      </c>
    </row>
    <row r="48" spans="1:10" ht="60" customHeight="1">
      <c r="A48" s="6" t="s">
        <v>141</v>
      </c>
      <c r="B48" s="6" t="s">
        <v>11</v>
      </c>
      <c r="C48" s="6" t="s">
        <v>11</v>
      </c>
      <c r="D48" s="7" t="s">
        <v>11</v>
      </c>
      <c r="E48" s="8" t="s">
        <v>142</v>
      </c>
      <c r="F48" s="6" t="s">
        <v>11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143</v>
      </c>
      <c r="B49" s="6" t="s">
        <v>11</v>
      </c>
      <c r="C49" s="6" t="s">
        <v>20</v>
      </c>
      <c r="D49" s="7" t="s">
        <v>11</v>
      </c>
      <c r="E49" s="8" t="s">
        <v>144</v>
      </c>
      <c r="F49" s="6" t="s">
        <v>11</v>
      </c>
      <c r="G49" s="9">
        <f>IF(A49=1,"_",IF(C49="_","???",C49))</f>
        <v/>
      </c>
      <c r="H49" s="10" t="s">
        <v>141</v>
      </c>
      <c r="I49" s="11" t="s">
        <v>23</v>
      </c>
      <c r="J49" s="12" t="s">
        <v>24</v>
      </c>
    </row>
    <row r="50" spans="1:10" ht="60" customHeight="1">
      <c r="A50" s="6" t="s">
        <v>145</v>
      </c>
      <c r="B50" s="6" t="s">
        <v>11</v>
      </c>
      <c r="C50" s="6" t="s">
        <v>11</v>
      </c>
      <c r="D50" s="7" t="s">
        <v>11</v>
      </c>
      <c r="E50" s="8" t="s">
        <v>146</v>
      </c>
      <c r="F50" s="6" t="s">
        <v>11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147</v>
      </c>
      <c r="B51" s="6" t="s">
        <v>11</v>
      </c>
      <c r="C51" s="6" t="s">
        <v>39</v>
      </c>
      <c r="D51" s="7" t="s">
        <v>11</v>
      </c>
      <c r="E51" s="8" t="s">
        <v>148</v>
      </c>
      <c r="F51" s="6" t="s">
        <v>11</v>
      </c>
      <c r="G51" s="9">
        <f>IF(A51=1,"_",IF(C51="_","???",C51))</f>
        <v/>
      </c>
      <c r="H51" s="10" t="s">
        <v>145</v>
      </c>
      <c r="I51" s="11" t="s">
        <v>23</v>
      </c>
      <c r="J51" s="12" t="s">
        <v>24</v>
      </c>
    </row>
    <row r="52" spans="1:10" ht="60" customHeight="1">
      <c r="A52" s="6" t="s">
        <v>149</v>
      </c>
      <c r="B52" s="6" t="s">
        <v>11</v>
      </c>
      <c r="C52" s="6" t="s">
        <v>11</v>
      </c>
      <c r="D52" s="7" t="s">
        <v>11</v>
      </c>
      <c r="E52" s="8" t="s">
        <v>150</v>
      </c>
      <c r="F52" s="6" t="s">
        <v>11</v>
      </c>
      <c r="G52" s="9">
        <f>IF(A52=1,"_",IF(C52="_","???",C52))</f>
        <v/>
      </c>
      <c r="H52" s="10" t="s">
        <v>11</v>
      </c>
      <c r="I52" s="11" t="s">
        <v>11</v>
      </c>
      <c r="J52" s="12"/>
    </row>
    <row r="53" spans="1:10" ht="60" customHeight="1">
      <c r="A53" s="6" t="s">
        <v>151</v>
      </c>
      <c r="B53" s="6" t="s">
        <v>11</v>
      </c>
      <c r="C53" s="6" t="s">
        <v>65</v>
      </c>
      <c r="D53" s="7" t="s">
        <v>11</v>
      </c>
      <c r="E53" s="8" t="s">
        <v>152</v>
      </c>
      <c r="F53" s="6" t="s">
        <v>11</v>
      </c>
      <c r="G53" s="9">
        <f>IF(A53=1,"_",IF(C53="_","???",C53))</f>
        <v/>
      </c>
      <c r="H53" s="10" t="s">
        <v>149</v>
      </c>
      <c r="I53" s="11" t="s">
        <v>68</v>
      </c>
      <c r="J53" s="12" t="s">
        <v>69</v>
      </c>
    </row>
    <row r="54" spans="1:10" ht="60" customHeight="1">
      <c r="A54" s="6" t="s">
        <v>153</v>
      </c>
      <c r="B54" s="6" t="s">
        <v>11</v>
      </c>
      <c r="C54" s="6" t="s">
        <v>11</v>
      </c>
      <c r="D54" s="7" t="s">
        <v>11</v>
      </c>
      <c r="E54" s="8" t="s">
        <v>154</v>
      </c>
      <c r="F54" s="6" t="s">
        <v>11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155</v>
      </c>
      <c r="B55" s="6" t="s">
        <v>11</v>
      </c>
      <c r="C55" s="6" t="s">
        <v>11</v>
      </c>
      <c r="D55" s="7" t="s">
        <v>11</v>
      </c>
      <c r="E55" s="8" t="s">
        <v>156</v>
      </c>
      <c r="F55" s="6" t="s">
        <v>11</v>
      </c>
      <c r="G55" s="9">
        <f>IF(A55=1,"_",IF(C55="_","???",C55))</f>
        <v/>
      </c>
      <c r="H55" s="10" t="s">
        <v>153</v>
      </c>
      <c r="I55" s="11" t="s">
        <v>36</v>
      </c>
      <c r="J55" s="12" t="s">
        <v>37</v>
      </c>
    </row>
    <row r="56" spans="1:10" ht="60" customHeight="1">
      <c r="A56" s="6" t="s">
        <v>157</v>
      </c>
      <c r="B56" s="6" t="s">
        <v>11</v>
      </c>
      <c r="C56" s="6" t="s">
        <v>20</v>
      </c>
      <c r="D56" s="7" t="s">
        <v>11</v>
      </c>
      <c r="E56" s="8" t="s">
        <v>158</v>
      </c>
      <c r="F56" s="6" t="s">
        <v>11</v>
      </c>
      <c r="G56" s="9">
        <f>IF(A56=1,"_",IF(C56="_","???",C56))</f>
        <v/>
      </c>
      <c r="H56" s="10" t="s">
        <v>155</v>
      </c>
      <c r="I56" s="11" t="s">
        <v>23</v>
      </c>
      <c r="J56" s="12" t="s">
        <v>24</v>
      </c>
    </row>
    <row r="57" spans="1:10" ht="60" customHeight="1">
      <c r="A57" s="6" t="s">
        <v>159</v>
      </c>
      <c r="B57" s="6" t="s">
        <v>11</v>
      </c>
      <c r="C57" s="6" t="s">
        <v>139</v>
      </c>
      <c r="D57" s="7" t="s">
        <v>11</v>
      </c>
      <c r="E57" s="8" t="s">
        <v>160</v>
      </c>
      <c r="F57" s="6" t="s">
        <v>11</v>
      </c>
      <c r="G57" s="9">
        <f>IF(A57=1,"_",IF(C57="_","???",C57))</f>
        <v/>
      </c>
      <c r="H57" s="10" t="s">
        <v>157</v>
      </c>
      <c r="I57" s="11" t="s">
        <v>36</v>
      </c>
      <c r="J57" s="12" t="s">
        <v>37</v>
      </c>
    </row>
    <row r="58" spans="1:10" ht="60" customHeight="1">
      <c r="A58" s="6" t="s">
        <v>161</v>
      </c>
      <c r="B58" s="6" t="s">
        <v>11</v>
      </c>
      <c r="C58" s="6" t="s">
        <v>20</v>
      </c>
      <c r="D58" s="7" t="s">
        <v>11</v>
      </c>
      <c r="E58" s="8" t="s">
        <v>162</v>
      </c>
      <c r="F58" s="6" t="s">
        <v>11</v>
      </c>
      <c r="G58" s="9">
        <f>IF(A58=1,"_",IF(C58="_","???",C58))</f>
        <v/>
      </c>
      <c r="H58" s="10" t="s">
        <v>159</v>
      </c>
      <c r="I58" s="11" t="s">
        <v>23</v>
      </c>
      <c r="J58" s="12" t="s">
        <v>24</v>
      </c>
    </row>
    <row r="59" spans="1:10" ht="60" customHeight="1">
      <c r="A59" s="6" t="s">
        <v>163</v>
      </c>
      <c r="B59" s="6" t="s">
        <v>11</v>
      </c>
      <c r="C59" s="6" t="s">
        <v>139</v>
      </c>
      <c r="D59" s="7" t="s">
        <v>11</v>
      </c>
      <c r="E59" s="8" t="s">
        <v>164</v>
      </c>
      <c r="F59" s="6" t="s">
        <v>11</v>
      </c>
      <c r="G59" s="9">
        <f>IF(A59=1,"_",IF(C59="_","???",C59))</f>
        <v/>
      </c>
      <c r="H59" s="10" t="s">
        <v>161</v>
      </c>
      <c r="I59" s="11" t="s">
        <v>36</v>
      </c>
      <c r="J59" s="12" t="s">
        <v>37</v>
      </c>
    </row>
    <row r="60" spans="1:10" ht="60" customHeight="1">
      <c r="A60" s="6" t="s">
        <v>165</v>
      </c>
      <c r="B60" s="6" t="s">
        <v>11</v>
      </c>
      <c r="C60" s="6" t="s">
        <v>11</v>
      </c>
      <c r="D60" s="7" t="s">
        <v>11</v>
      </c>
      <c r="E60" s="8" t="s">
        <v>166</v>
      </c>
      <c r="F60" s="6" t="s">
        <v>11</v>
      </c>
      <c r="G60" s="9">
        <f>IF(A60=1,"_",IF(C60="_","???",C60))</f>
        <v/>
      </c>
      <c r="H60" s="10" t="s">
        <v>163</v>
      </c>
      <c r="I60" s="11" t="s">
        <v>94</v>
      </c>
      <c r="J60" s="12" t="s">
        <v>95</v>
      </c>
    </row>
    <row r="61" spans="1:10" ht="60" customHeight="1">
      <c r="A61" s="6" t="s">
        <v>167</v>
      </c>
      <c r="B61" s="6" t="s">
        <v>11</v>
      </c>
      <c r="C61" s="6" t="s">
        <v>11</v>
      </c>
      <c r="D61" s="7" t="s">
        <v>11</v>
      </c>
      <c r="E61" s="8" t="s">
        <v>168</v>
      </c>
      <c r="F61" s="6" t="s">
        <v>11</v>
      </c>
      <c r="G61" s="9">
        <f>IF(A61=1,"_",IF(C61="_","???",C61))</f>
        <v/>
      </c>
      <c r="H61" s="10" t="s">
        <v>165</v>
      </c>
      <c r="I61" s="11" t="s">
        <v>17</v>
      </c>
      <c r="J61" s="12" t="s">
        <v>18</v>
      </c>
    </row>
    <row r="62" spans="1:10" ht="60" customHeight="1">
      <c r="A62" s="6" t="s">
        <v>169</v>
      </c>
      <c r="B62" s="6" t="s">
        <v>11</v>
      </c>
      <c r="C62" s="6" t="s">
        <v>39</v>
      </c>
      <c r="D62" s="7" t="s">
        <v>11</v>
      </c>
      <c r="E62" s="8" t="s">
        <v>170</v>
      </c>
      <c r="F62" s="6" t="s">
        <v>11</v>
      </c>
      <c r="G62" s="9">
        <f>IF(A62=1,"_",IF(C62="_","???",C62))</f>
        <v/>
      </c>
      <c r="H62" s="10" t="s">
        <v>167</v>
      </c>
      <c r="I62" s="11" t="s">
        <v>23</v>
      </c>
      <c r="J62" s="12" t="s">
        <v>24</v>
      </c>
    </row>
    <row r="63" spans="1:10" ht="60" customHeight="1">
      <c r="A63" s="6" t="s">
        <v>171</v>
      </c>
      <c r="B63" s="6" t="s">
        <v>11</v>
      </c>
      <c r="C63" s="6" t="s">
        <v>139</v>
      </c>
      <c r="D63" s="7" t="s">
        <v>11</v>
      </c>
      <c r="E63" s="8" t="s">
        <v>172</v>
      </c>
      <c r="F63" s="6" t="s">
        <v>11</v>
      </c>
      <c r="G63" s="9">
        <f>IF(A63=1,"_",IF(C63="_","???",C63))</f>
        <v/>
      </c>
      <c r="H63" s="10" t="s">
        <v>169</v>
      </c>
      <c r="I63" s="11" t="s">
        <v>36</v>
      </c>
      <c r="J63" s="12" t="s">
        <v>37</v>
      </c>
    </row>
    <row r="64" spans="1:10" ht="60" customHeight="1">
      <c r="A64" s="6" t="s">
        <v>173</v>
      </c>
      <c r="B64" s="6" t="s">
        <v>11</v>
      </c>
      <c r="C64" s="6" t="s">
        <v>65</v>
      </c>
      <c r="D64" s="7" t="s">
        <v>11</v>
      </c>
      <c r="E64" s="8" t="s">
        <v>174</v>
      </c>
      <c r="F64" s="6" t="s">
        <v>11</v>
      </c>
      <c r="G64" s="9">
        <f>IF(A64=1,"_",IF(C64="_","???",C64))</f>
        <v/>
      </c>
      <c r="H64" s="10" t="s">
        <v>171</v>
      </c>
      <c r="I64" s="11" t="s">
        <v>68</v>
      </c>
      <c r="J64" s="12" t="s">
        <v>69</v>
      </c>
    </row>
    <row r="65" spans="1:10" ht="60" customHeight="1">
      <c r="A65" s="6" t="s">
        <v>175</v>
      </c>
      <c r="B65" s="6" t="s">
        <v>11</v>
      </c>
      <c r="C65" s="6" t="s">
        <v>176</v>
      </c>
      <c r="D65" s="7" t="s">
        <v>11</v>
      </c>
      <c r="E65" s="8" t="s">
        <v>177</v>
      </c>
      <c r="F65" s="6" t="s">
        <v>11</v>
      </c>
      <c r="G65" s="9">
        <f>IF(A65=1,"_",IF(C65="_","???",C65))</f>
        <v/>
      </c>
      <c r="H65" s="10" t="s">
        <v>171</v>
      </c>
      <c r="I65" s="11" t="s">
        <v>127</v>
      </c>
      <c r="J65" s="12" t="s">
        <v>128</v>
      </c>
    </row>
    <row r="66" spans="1:10" ht="60" customHeight="1">
      <c r="A66" s="6" t="s">
        <v>178</v>
      </c>
      <c r="B66" s="6" t="s">
        <v>11</v>
      </c>
      <c r="C66" s="6" t="s">
        <v>11</v>
      </c>
      <c r="D66" s="7" t="s">
        <v>11</v>
      </c>
      <c r="E66" s="8" t="s">
        <v>179</v>
      </c>
      <c r="F66" s="6" t="s">
        <v>11</v>
      </c>
      <c r="G66" s="9">
        <f>IF(A66=1,"_",IF(C66="_","???",C66))</f>
        <v/>
      </c>
      <c r="H66" s="10" t="s">
        <v>11</v>
      </c>
      <c r="I66" s="11" t="s">
        <v>11</v>
      </c>
      <c r="J66" s="12"/>
    </row>
    <row r="67" spans="1:10" ht="60" customHeight="1">
      <c r="A67" s="6" t="s">
        <v>180</v>
      </c>
      <c r="B67" s="6" t="s">
        <v>11</v>
      </c>
      <c r="C67" s="6" t="s">
        <v>181</v>
      </c>
      <c r="D67" s="7" t="s">
        <v>11</v>
      </c>
      <c r="E67" s="8" t="s">
        <v>182</v>
      </c>
      <c r="F67" s="6" t="s">
        <v>11</v>
      </c>
      <c r="G67" s="9">
        <f>IF(A67=1,"_",IF(C67="_","???",C67))</f>
        <v/>
      </c>
      <c r="H67" s="10" t="s">
        <v>178</v>
      </c>
      <c r="I67" s="11" t="s">
        <v>23</v>
      </c>
      <c r="J67" s="12" t="s">
        <v>24</v>
      </c>
    </row>
    <row r="68" spans="1:10" ht="60" customHeight="1">
      <c r="A68" s="6" t="s">
        <v>183</v>
      </c>
      <c r="B68" s="6" t="s">
        <v>11</v>
      </c>
      <c r="C68" s="6" t="s">
        <v>139</v>
      </c>
      <c r="D68" s="7" t="s">
        <v>11</v>
      </c>
      <c r="E68" s="8" t="s">
        <v>184</v>
      </c>
      <c r="F68" s="6" t="s">
        <v>11</v>
      </c>
      <c r="G68" s="9">
        <f>IF(A68=1,"_",IF(C68="_","???",C68))</f>
        <v/>
      </c>
      <c r="H68" s="10" t="s">
        <v>180</v>
      </c>
      <c r="I68" s="11" t="s">
        <v>36</v>
      </c>
      <c r="J68" s="12" t="s">
        <v>37</v>
      </c>
    </row>
    <row r="69" spans="1:10" ht="60" customHeight="1">
      <c r="A69" s="6" t="s">
        <v>185</v>
      </c>
      <c r="B69" s="6" t="s">
        <v>11</v>
      </c>
      <c r="C69" s="6" t="s">
        <v>14</v>
      </c>
      <c r="D69" s="7" t="s">
        <v>11</v>
      </c>
      <c r="E69" s="8" t="s">
        <v>186</v>
      </c>
      <c r="F69" s="6" t="s">
        <v>11</v>
      </c>
      <c r="G69" s="9">
        <f>IF(A69=1,"_",IF(C69="_","???",C69))</f>
        <v/>
      </c>
      <c r="H69" s="10" t="s">
        <v>183</v>
      </c>
      <c r="I69" s="11" t="s">
        <v>17</v>
      </c>
      <c r="J69" s="12" t="s">
        <v>18</v>
      </c>
    </row>
    <row r="70" spans="1:10" ht="60" customHeight="1">
      <c r="A70" s="6" t="s">
        <v>187</v>
      </c>
      <c r="B70" s="6" t="s">
        <v>11</v>
      </c>
      <c r="C70" s="6" t="s">
        <v>176</v>
      </c>
      <c r="D70" s="7" t="s">
        <v>11</v>
      </c>
      <c r="E70" s="8" t="s">
        <v>188</v>
      </c>
      <c r="F70" s="6" t="s">
        <v>11</v>
      </c>
      <c r="G70" s="9">
        <f>IF(A70=1,"_",IF(C70="_","???",C70))</f>
        <v/>
      </c>
      <c r="H70" s="10" t="s">
        <v>185</v>
      </c>
      <c r="I70" s="11" t="s">
        <v>127</v>
      </c>
      <c r="J70" s="12" t="s">
        <v>128</v>
      </c>
    </row>
    <row r="71" spans="1:10" ht="60" customHeight="1">
      <c r="A71" s="6" t="s">
        <v>189</v>
      </c>
      <c r="B71" s="6" t="s">
        <v>11</v>
      </c>
      <c r="C71" s="6" t="s">
        <v>91</v>
      </c>
      <c r="D71" s="7" t="s">
        <v>11</v>
      </c>
      <c r="E71" s="8" t="s">
        <v>190</v>
      </c>
      <c r="F71" s="6" t="s">
        <v>11</v>
      </c>
      <c r="G71" s="9">
        <f>IF(A71=1,"_",IF(C71="_","???",C71))</f>
        <v/>
      </c>
      <c r="H71" s="10" t="s">
        <v>187</v>
      </c>
      <c r="I71" s="11" t="s">
        <v>94</v>
      </c>
      <c r="J71" s="12" t="s">
        <v>95</v>
      </c>
    </row>
    <row r="72" spans="1:10" ht="60" customHeight="1">
      <c r="A72" s="6" t="s">
        <v>191</v>
      </c>
      <c r="B72" s="6" t="s">
        <v>11</v>
      </c>
      <c r="C72" s="6" t="s">
        <v>11</v>
      </c>
      <c r="D72" s="7" t="s">
        <v>11</v>
      </c>
      <c r="E72" s="8" t="s">
        <v>192</v>
      </c>
      <c r="F72" s="6" t="s">
        <v>11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193</v>
      </c>
      <c r="B73" s="6" t="s">
        <v>11</v>
      </c>
      <c r="C73" s="6" t="s">
        <v>14</v>
      </c>
      <c r="D73" s="7" t="s">
        <v>11</v>
      </c>
      <c r="E73" s="8" t="s">
        <v>194</v>
      </c>
      <c r="F73" s="6" t="s">
        <v>11</v>
      </c>
      <c r="G73" s="9">
        <f>IF(A73=1,"_",IF(C73="_","???",C73))</f>
        <v/>
      </c>
      <c r="H73" s="10" t="s">
        <v>191</v>
      </c>
      <c r="I73" s="11" t="s">
        <v>17</v>
      </c>
      <c r="J73" s="12" t="s">
        <v>18</v>
      </c>
    </row>
    <row r="74" spans="1:10" ht="60" customHeight="1">
      <c r="A74" s="6" t="s">
        <v>195</v>
      </c>
      <c r="B74" s="6" t="s">
        <v>11</v>
      </c>
      <c r="C74" s="6" t="s">
        <v>11</v>
      </c>
      <c r="D74" s="7" t="s">
        <v>11</v>
      </c>
      <c r="E74" s="8" t="s">
        <v>196</v>
      </c>
      <c r="F74" s="6" t="s">
        <v>11</v>
      </c>
      <c r="G74" s="9">
        <f>IF(A74=1,"_",IF(C74="_","???",C74))</f>
        <v/>
      </c>
      <c r="H74" s="10" t="s">
        <v>11</v>
      </c>
      <c r="I74" s="11" t="s">
        <v>11</v>
      </c>
      <c r="J74" s="12"/>
    </row>
    <row r="75" spans="1:10" ht="60" customHeight="1">
      <c r="A75" s="6" t="s">
        <v>197</v>
      </c>
      <c r="B75" s="6" t="s">
        <v>11</v>
      </c>
      <c r="C75" s="6" t="s">
        <v>14</v>
      </c>
      <c r="D75" s="7" t="s">
        <v>11</v>
      </c>
      <c r="E75" s="8" t="s">
        <v>198</v>
      </c>
      <c r="F75" s="6" t="s">
        <v>11</v>
      </c>
      <c r="G75" s="9">
        <f>IF(A75=1,"_",IF(C75="_","???",C75))</f>
        <v/>
      </c>
      <c r="H75" s="10" t="s">
        <v>195</v>
      </c>
      <c r="I75" s="11" t="s">
        <v>17</v>
      </c>
      <c r="J75" s="12" t="s">
        <v>18</v>
      </c>
    </row>
    <row r="76" spans="1:10" ht="60" customHeight="1">
      <c r="A76" s="6" t="s">
        <v>199</v>
      </c>
      <c r="B76" s="6" t="s">
        <v>11</v>
      </c>
      <c r="C76" s="6" t="s">
        <v>20</v>
      </c>
      <c r="D76" s="7" t="s">
        <v>11</v>
      </c>
      <c r="E76" s="8" t="s">
        <v>200</v>
      </c>
      <c r="F76" s="6" t="s">
        <v>11</v>
      </c>
      <c r="G76" s="9">
        <f>IF(A76=1,"_",IF(C76="_","???",C76))</f>
        <v/>
      </c>
      <c r="H76" s="10" t="s">
        <v>197</v>
      </c>
      <c r="I76" s="11" t="s">
        <v>23</v>
      </c>
      <c r="J76" s="12" t="s">
        <v>24</v>
      </c>
    </row>
    <row r="77" spans="1:10" ht="60" customHeight="1">
      <c r="A77" s="6" t="s">
        <v>201</v>
      </c>
      <c r="B77" s="6" t="s">
        <v>11</v>
      </c>
      <c r="C77" s="6" t="s">
        <v>14</v>
      </c>
      <c r="D77" s="7" t="s">
        <v>11</v>
      </c>
      <c r="E77" s="8" t="s">
        <v>202</v>
      </c>
      <c r="F77" s="6" t="s">
        <v>11</v>
      </c>
      <c r="G77" s="9">
        <f>IF(A77=1,"_",IF(C77="_","???",C77))</f>
        <v/>
      </c>
      <c r="H77" s="10" t="s">
        <v>199</v>
      </c>
      <c r="I77" s="11" t="s">
        <v>17</v>
      </c>
      <c r="J77" s="12" t="s">
        <v>18</v>
      </c>
    </row>
    <row r="78" spans="1:10" ht="60" customHeight="1">
      <c r="A78" s="6" t="s">
        <v>203</v>
      </c>
      <c r="B78" s="6" t="s">
        <v>11</v>
      </c>
      <c r="C78" s="6" t="s">
        <v>20</v>
      </c>
      <c r="D78" s="7" t="s">
        <v>11</v>
      </c>
      <c r="E78" s="8" t="s">
        <v>204</v>
      </c>
      <c r="F78" s="6" t="s">
        <v>11</v>
      </c>
      <c r="G78" s="9">
        <f>IF(A78=1,"_",IF(C78="_","???",C78))</f>
        <v/>
      </c>
      <c r="H78" s="10" t="s">
        <v>201</v>
      </c>
      <c r="I78" s="11" t="s">
        <v>23</v>
      </c>
      <c r="J78" s="12" t="s">
        <v>24</v>
      </c>
    </row>
    <row r="79" spans="1:10" ht="60" customHeight="1">
      <c r="A79" s="6" t="s">
        <v>205</v>
      </c>
      <c r="B79" s="6" t="s">
        <v>11</v>
      </c>
      <c r="C79" s="6" t="s">
        <v>11</v>
      </c>
      <c r="D79" s="7" t="s">
        <v>11</v>
      </c>
      <c r="E79" s="8" t="s">
        <v>206</v>
      </c>
      <c r="F79" s="6" t="s">
        <v>11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207</v>
      </c>
      <c r="B80" s="6" t="s">
        <v>11</v>
      </c>
      <c r="C80" s="6" t="s">
        <v>11</v>
      </c>
      <c r="D80" s="7" t="s">
        <v>11</v>
      </c>
      <c r="E80" s="8" t="s">
        <v>208</v>
      </c>
      <c r="F80" s="6" t="s">
        <v>11</v>
      </c>
      <c r="G80" s="9">
        <f>IF(A80=1,"_",IF(C80="_","???",C80))</f>
        <v/>
      </c>
      <c r="H80" s="10" t="s">
        <v>11</v>
      </c>
      <c r="I80" s="11" t="s">
        <v>11</v>
      </c>
      <c r="J8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209</v>
      </c>
      <c r="B1" s="13" t="s">
        <v>210</v>
      </c>
      <c r="C1" s="13" t="s">
        <v>211</v>
      </c>
      <c r="D1" s="13" t="s">
        <v>212</v>
      </c>
      <c r="E1" s="14" t="s">
        <v>213</v>
      </c>
      <c r="F1" s="15" t="s">
        <v>214</v>
      </c>
      <c r="G1" s="16" t="s">
        <v>215</v>
      </c>
      <c r="H1" s="17" t="s">
        <v>216</v>
      </c>
      <c r="I1" s="18" t="s">
        <v>217</v>
      </c>
      <c r="J1" s="18" t="s">
        <v>218</v>
      </c>
      <c r="K1" s="18" t="s">
        <v>219</v>
      </c>
      <c r="L1" s="19" t="s">
        <v>9</v>
      </c>
    </row>
    <row r="2" spans="1:12">
      <c r="A2" s="20" t="s">
        <v>220</v>
      </c>
    </row>
    <row r="3" spans="1:12">
      <c r="A3" s="20" t="s">
        <v>221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222</v>
      </c>
      <c r="B4" s="27" t="s">
        <v>223</v>
      </c>
      <c r="C4" s="27" t="s">
        <v>224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225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226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227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228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229</v>
      </c>
      <c r="B9" s="27" t="s">
        <v>230</v>
      </c>
      <c r="C9" s="27" t="s">
        <v>231</v>
      </c>
      <c r="D9" s="27" t="s">
        <v>232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233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234</v>
      </c>
      <c r="B11" s="27" t="s">
        <v>235</v>
      </c>
      <c r="C11" s="27" t="s">
        <v>236</v>
      </c>
      <c r="D11" s="27" t="s">
        <v>232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237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238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239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228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240</v>
      </c>
      <c r="B16" s="27" t="s">
        <v>241</v>
      </c>
      <c r="C16" s="27" t="s">
        <v>242</v>
      </c>
      <c r="D16" s="27" t="s">
        <v>232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243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244</v>
      </c>
      <c r="B18" s="27" t="s">
        <v>230</v>
      </c>
      <c r="C18" s="27" t="s">
        <v>242</v>
      </c>
      <c r="D18" s="27" t="s">
        <v>232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245</v>
      </c>
      <c r="B19" s="27" t="s">
        <v>246</v>
      </c>
      <c r="C19" s="27" t="s">
        <v>242</v>
      </c>
      <c r="D19" s="27" t="s">
        <v>232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247</v>
      </c>
      <c r="B20" s="27" t="s">
        <v>246</v>
      </c>
      <c r="C20" s="27" t="s">
        <v>242</v>
      </c>
      <c r="D20" s="27" t="s">
        <v>232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248</v>
      </c>
      <c r="B21" s="27" t="s">
        <v>246</v>
      </c>
      <c r="C21" s="27" t="s">
        <v>242</v>
      </c>
      <c r="D21" s="27" t="s">
        <v>232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249</v>
      </c>
      <c r="B22" s="27" t="s">
        <v>246</v>
      </c>
      <c r="C22" s="27" t="s">
        <v>242</v>
      </c>
      <c r="D22" s="27" t="s">
        <v>232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250</v>
      </c>
      <c r="B23" s="27" t="s">
        <v>246</v>
      </c>
      <c r="C23" s="27" t="s">
        <v>242</v>
      </c>
      <c r="D23" s="27" t="s">
        <v>232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251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252</v>
      </c>
      <c r="B25" s="27" t="s">
        <v>253</v>
      </c>
      <c r="C25" s="27" t="s">
        <v>236</v>
      </c>
      <c r="D25" s="27" t="s">
        <v>232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112</v>
      </c>
      <c r="B26" s="27" t="s">
        <v>230</v>
      </c>
      <c r="C26" s="27" t="s">
        <v>242</v>
      </c>
      <c r="D26" s="27" t="s">
        <v>232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254</v>
      </c>
      <c r="B27" s="27" t="s">
        <v>246</v>
      </c>
      <c r="C27" s="27" t="s">
        <v>242</v>
      </c>
      <c r="D27" s="27" t="s">
        <v>232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255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/>
    </row>
    <row r="30" spans="1:12">
      <c r="A30" s="20" t="s">
        <v>256</v>
      </c>
    </row>
    <row r="31" spans="1:12">
      <c r="A31" s="20" t="s">
        <v>257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225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258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259</v>
      </c>
      <c r="B34" s="27" t="s">
        <v>260</v>
      </c>
      <c r="C34" s="27" t="s">
        <v>261</v>
      </c>
      <c r="D34" s="27" t="s">
        <v>232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255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262</v>
      </c>
    </row>
    <row r="38" spans="1:12">
      <c r="A38" s="20" t="s">
        <v>263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243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228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264</v>
      </c>
      <c r="B41" s="27" t="s">
        <v>223</v>
      </c>
      <c r="C41" s="27" t="s">
        <v>236</v>
      </c>
      <c r="D41" s="27" t="s">
        <v>232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265</v>
      </c>
      <c r="B42" s="27" t="s">
        <v>266</v>
      </c>
      <c r="C42" s="27" t="s">
        <v>242</v>
      </c>
      <c r="D42" s="27" t="s">
        <v>232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267</v>
      </c>
      <c r="B43" s="27" t="s">
        <v>241</v>
      </c>
      <c r="C43" s="27" t="s">
        <v>242</v>
      </c>
      <c r="D43" s="27" t="s">
        <v>232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268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269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270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271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272</v>
      </c>
      <c r="B48" s="27" t="s">
        <v>223</v>
      </c>
      <c r="C48" s="27" t="s">
        <v>273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274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228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275</v>
      </c>
      <c r="B51" s="27" t="s">
        <v>260</v>
      </c>
      <c r="C51" s="27" t="s">
        <v>276</v>
      </c>
      <c r="D51" s="27" t="s">
        <v>232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243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277</v>
      </c>
      <c r="B53" s="27" t="s">
        <v>241</v>
      </c>
      <c r="C53" s="27" t="s">
        <v>242</v>
      </c>
      <c r="D53" s="27" t="s">
        <v>232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250</v>
      </c>
      <c r="B54" s="27" t="s">
        <v>230</v>
      </c>
      <c r="C54" s="27" t="s">
        <v>242</v>
      </c>
      <c r="D54" s="27" t="s">
        <v>232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251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278</v>
      </c>
      <c r="B56" s="27" t="s">
        <v>230</v>
      </c>
      <c r="C56" s="27" t="s">
        <v>242</v>
      </c>
      <c r="D56" s="27" t="s">
        <v>232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250</v>
      </c>
      <c r="B57" s="27" t="s">
        <v>230</v>
      </c>
      <c r="C57" s="27" t="s">
        <v>242</v>
      </c>
      <c r="D57" s="27" t="s">
        <v>232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259</v>
      </c>
      <c r="B58" s="27" t="s">
        <v>230</v>
      </c>
      <c r="C58" s="27" t="s">
        <v>261</v>
      </c>
      <c r="D58" s="27" t="s">
        <v>232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279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280</v>
      </c>
      <c r="B60" s="27" t="s">
        <v>281</v>
      </c>
      <c r="C60" s="27" t="s">
        <v>261</v>
      </c>
      <c r="D60" s="27" t="s">
        <v>232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282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283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284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285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286</v>
      </c>
      <c r="B65" s="27" t="s">
        <v>287</v>
      </c>
      <c r="C65" s="27" t="s">
        <v>242</v>
      </c>
      <c r="D65" s="27" t="s">
        <v>232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250</v>
      </c>
      <c r="B66" s="27" t="s">
        <v>288</v>
      </c>
      <c r="C66" s="27" t="s">
        <v>242</v>
      </c>
      <c r="D66" s="27" t="s">
        <v>232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271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289</v>
      </c>
      <c r="B68" s="27" t="s">
        <v>290</v>
      </c>
      <c r="C68" s="27" t="s">
        <v>291</v>
      </c>
      <c r="D68" s="27" t="s">
        <v>232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189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255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/>
    </row>
    <row r="72" spans="1:12">
      <c r="A72" s="20" t="s">
        <v>292</v>
      </c>
    </row>
    <row r="73" spans="1:12">
      <c r="A73" s="20" t="s">
        <v>293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294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295</v>
      </c>
      <c r="B75" s="27" t="s">
        <v>266</v>
      </c>
      <c r="C75" s="27" t="s">
        <v>296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297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298</v>
      </c>
      <c r="B77" s="27" t="s">
        <v>241</v>
      </c>
      <c r="C77" s="27" t="s">
        <v>224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299</v>
      </c>
      <c r="B78" s="27" t="s">
        <v>281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300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251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301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302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239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251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303</v>
      </c>
      <c r="B85" s="27" t="s">
        <v>288</v>
      </c>
      <c r="C85" s="27" t="s">
        <v>231</v>
      </c>
      <c r="D85" s="27" t="s">
        <v>232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278</v>
      </c>
      <c r="B86" s="27" t="s">
        <v>287</v>
      </c>
      <c r="C86" s="27" t="s">
        <v>236</v>
      </c>
      <c r="D86" s="27" t="s">
        <v>232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255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/>
    </row>
    <row r="89" spans="1:12">
      <c r="A89" s="20" t="s">
        <v>304</v>
      </c>
    </row>
    <row r="90" spans="1:12">
      <c r="A90" s="20" t="s">
        <v>305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222</v>
      </c>
      <c r="B91" s="27" t="s">
        <v>260</v>
      </c>
      <c r="C91" s="27" t="s">
        <v>224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243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306</v>
      </c>
      <c r="B93" s="27" t="s">
        <v>253</v>
      </c>
      <c r="C93" s="27" t="s">
        <v>261</v>
      </c>
      <c r="D93" s="27" t="s">
        <v>232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268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307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228</v>
      </c>
      <c r="B96" s="27" t="s">
        <v>241</v>
      </c>
      <c r="C96" s="27" t="s">
        <v>308</v>
      </c>
      <c r="D96" s="27" t="s">
        <v>232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299</v>
      </c>
      <c r="B97" s="27" t="s">
        <v>309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259</v>
      </c>
      <c r="B98" s="27" t="s">
        <v>310</v>
      </c>
      <c r="C98" s="27" t="s">
        <v>261</v>
      </c>
      <c r="D98" s="27" t="s">
        <v>232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311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250</v>
      </c>
      <c r="B100" s="27" t="s">
        <v>230</v>
      </c>
      <c r="C100" s="27" t="s">
        <v>242</v>
      </c>
      <c r="D100" s="27" t="s">
        <v>232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312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313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277</v>
      </c>
      <c r="B103" s="27" t="s">
        <v>309</v>
      </c>
      <c r="C103" s="27" t="s">
        <v>314</v>
      </c>
      <c r="D103" s="27" t="s">
        <v>232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255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/>
    </row>
    <row r="106" spans="1:12">
      <c r="A106" s="20" t="s">
        <v>315</v>
      </c>
    </row>
    <row r="107" spans="1:12">
      <c r="A107" s="20" t="s">
        <v>316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317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318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299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319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250</v>
      </c>
      <c r="B112" s="27" t="s">
        <v>241</v>
      </c>
      <c r="C112" s="27" t="s">
        <v>242</v>
      </c>
      <c r="D112" s="27" t="s">
        <v>232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259</v>
      </c>
      <c r="B113" s="27" t="s">
        <v>320</v>
      </c>
      <c r="C113" s="27" t="s">
        <v>261</v>
      </c>
      <c r="D113" s="27" t="s">
        <v>232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279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321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317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322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255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/>
    </row>
    <row r="120" spans="1:12">
      <c r="A120" s="20" t="s">
        <v>323</v>
      </c>
    </row>
    <row r="121" spans="1:12">
      <c r="A121" s="20" t="s">
        <v>324</v>
      </c>
      <c r="B121" s="27" t="s">
        <v>266</v>
      </c>
      <c r="C121" s="27" t="s">
        <v>261</v>
      </c>
      <c r="D121" s="27" t="s">
        <v>232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325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222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299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326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250</v>
      </c>
      <c r="B126" s="27" t="s">
        <v>327</v>
      </c>
      <c r="C126" s="27" t="s">
        <v>242</v>
      </c>
      <c r="D126" s="27" t="s">
        <v>232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328</v>
      </c>
      <c r="B127" s="27" t="s">
        <v>320</v>
      </c>
      <c r="C127" s="27" t="s">
        <v>261</v>
      </c>
      <c r="D127" s="27" t="s">
        <v>232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317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329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251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251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303</v>
      </c>
      <c r="B132" s="27" t="s">
        <v>246</v>
      </c>
      <c r="C132" s="27" t="s">
        <v>231</v>
      </c>
      <c r="D132" s="27" t="s">
        <v>232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330</v>
      </c>
      <c r="B133" s="27" t="s">
        <v>327</v>
      </c>
      <c r="C133" s="27" t="s">
        <v>236</v>
      </c>
      <c r="D133" s="27" t="s">
        <v>232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279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251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285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331</v>
      </c>
      <c r="B137" s="27" t="s">
        <v>246</v>
      </c>
      <c r="C137" s="27" t="s">
        <v>231</v>
      </c>
      <c r="D137" s="27" t="s">
        <v>232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332</v>
      </c>
      <c r="B138" s="27" t="s">
        <v>230</v>
      </c>
      <c r="C138" s="27" t="s">
        <v>236</v>
      </c>
      <c r="D138" s="27" t="s">
        <v>232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255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/>
    </row>
    <row r="141" spans="1:12">
      <c r="A141" s="20" t="s">
        <v>333</v>
      </c>
    </row>
    <row r="142" spans="1:12">
      <c r="A142" s="20" t="s">
        <v>334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251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335</v>
      </c>
      <c r="B144" s="27" t="s">
        <v>230</v>
      </c>
      <c r="C144" s="27" t="s">
        <v>224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279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248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250</v>
      </c>
      <c r="B147" s="27" t="s">
        <v>260</v>
      </c>
      <c r="C147" s="27" t="s">
        <v>242</v>
      </c>
      <c r="D147" s="27" t="s">
        <v>232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285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277</v>
      </c>
      <c r="B149" s="27" t="s">
        <v>266</v>
      </c>
      <c r="C149" s="27" t="s">
        <v>276</v>
      </c>
      <c r="D149" s="27" t="s">
        <v>232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243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336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337</v>
      </c>
      <c r="B152" s="27" t="s">
        <v>241</v>
      </c>
      <c r="C152" s="27" t="s">
        <v>296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317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338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251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251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303</v>
      </c>
      <c r="B157" s="27" t="s">
        <v>241</v>
      </c>
      <c r="C157" s="27" t="s">
        <v>231</v>
      </c>
      <c r="D157" s="27" t="s">
        <v>232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330</v>
      </c>
      <c r="B158" s="27" t="s">
        <v>223</v>
      </c>
      <c r="C158" s="27" t="s">
        <v>236</v>
      </c>
      <c r="D158" s="27" t="s">
        <v>232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279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299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259</v>
      </c>
      <c r="B161" s="27" t="s">
        <v>320</v>
      </c>
      <c r="C161" s="27" t="s">
        <v>261</v>
      </c>
      <c r="D161" s="27" t="s">
        <v>232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339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340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341</v>
      </c>
      <c r="B164" s="27" t="s">
        <v>327</v>
      </c>
      <c r="C164" s="27" t="s">
        <v>224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239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228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342</v>
      </c>
      <c r="B167" s="27" t="s">
        <v>230</v>
      </c>
      <c r="C167" s="27" t="s">
        <v>276</v>
      </c>
      <c r="D167" s="27" t="s">
        <v>232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239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228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343</v>
      </c>
      <c r="B170" s="27" t="s">
        <v>344</v>
      </c>
      <c r="C170" s="27" t="s">
        <v>231</v>
      </c>
      <c r="D170" s="27" t="s">
        <v>232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345</v>
      </c>
      <c r="B171" s="27" t="s">
        <v>246</v>
      </c>
      <c r="C171" s="27" t="s">
        <v>236</v>
      </c>
      <c r="D171" s="27" t="s">
        <v>232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279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297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251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346</v>
      </c>
      <c r="B175" s="27" t="s">
        <v>310</v>
      </c>
      <c r="C175" s="27" t="s">
        <v>236</v>
      </c>
      <c r="D175" s="27" t="s">
        <v>232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339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340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347</v>
      </c>
      <c r="B178" s="27" t="s">
        <v>309</v>
      </c>
      <c r="C178" s="27" t="s">
        <v>224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279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227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348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228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343</v>
      </c>
      <c r="B183" s="27" t="s">
        <v>230</v>
      </c>
      <c r="C183" s="27" t="s">
        <v>231</v>
      </c>
      <c r="D183" s="27" t="s">
        <v>232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349</v>
      </c>
      <c r="B184" s="27" t="s">
        <v>253</v>
      </c>
      <c r="C184" s="27" t="s">
        <v>236</v>
      </c>
      <c r="D184" s="27" t="s">
        <v>232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255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247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350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351</v>
      </c>
      <c r="B188" s="27" t="s">
        <v>235</v>
      </c>
      <c r="C188" s="27" t="s">
        <v>314</v>
      </c>
      <c r="D188" s="27" t="s">
        <v>232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279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228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229</v>
      </c>
      <c r="B191" s="27" t="s">
        <v>246</v>
      </c>
      <c r="C191" s="27" t="s">
        <v>231</v>
      </c>
      <c r="D191" s="27" t="s">
        <v>232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352</v>
      </c>
      <c r="B192" s="27" t="s">
        <v>230</v>
      </c>
      <c r="C192" s="27" t="s">
        <v>276</v>
      </c>
      <c r="D192" s="27" t="s">
        <v>232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243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353</v>
      </c>
      <c r="B194" s="27" t="s">
        <v>246</v>
      </c>
      <c r="C194" s="27" t="s">
        <v>224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297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243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354</v>
      </c>
      <c r="B197" s="27" t="s">
        <v>344</v>
      </c>
      <c r="C197" s="27" t="s">
        <v>224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355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356</v>
      </c>
      <c r="B199" s="27" t="s">
        <v>253</v>
      </c>
      <c r="C199" s="27" t="s">
        <v>224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255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/>
    </row>
    <row r="202" spans="1:12">
      <c r="A202" s="20" t="s">
        <v>357</v>
      </c>
    </row>
    <row r="203" spans="1:12">
      <c r="A203" s="20" t="s">
        <v>358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299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228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353</v>
      </c>
      <c r="B206" s="27" t="s">
        <v>235</v>
      </c>
      <c r="C206" s="27" t="s">
        <v>236</v>
      </c>
      <c r="D206" s="27" t="s">
        <v>232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359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360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351</v>
      </c>
      <c r="B209" s="27" t="s">
        <v>260</v>
      </c>
      <c r="C209" s="27" t="s">
        <v>361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279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362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228</v>
      </c>
      <c r="B212" s="27" t="s">
        <v>235</v>
      </c>
      <c r="C212" s="27" t="s">
        <v>308</v>
      </c>
      <c r="D212" s="27" t="s">
        <v>232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299</v>
      </c>
      <c r="B213" s="27" t="s">
        <v>310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363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364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251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365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359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251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354</v>
      </c>
      <c r="B220" s="27" t="s">
        <v>260</v>
      </c>
      <c r="C220" s="27" t="s">
        <v>236</v>
      </c>
      <c r="D220" s="27" t="s">
        <v>232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297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251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366</v>
      </c>
      <c r="B223" s="27" t="s">
        <v>241</v>
      </c>
      <c r="C223" s="27" t="s">
        <v>236</v>
      </c>
      <c r="D223" s="27" t="s">
        <v>232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255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/>
    </row>
    <row r="226" spans="1:12">
      <c r="A226" s="20" t="s">
        <v>367</v>
      </c>
    </row>
    <row r="227" spans="1:12">
      <c r="A227" s="20" t="s">
        <v>368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228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369</v>
      </c>
      <c r="B229" s="27" t="s">
        <v>266</v>
      </c>
      <c r="C229" s="27" t="s">
        <v>236</v>
      </c>
      <c r="D229" s="27" t="s">
        <v>232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359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370</v>
      </c>
      <c r="B231" s="27" t="s">
        <v>260</v>
      </c>
      <c r="C231" s="27" t="s">
        <v>308</v>
      </c>
      <c r="D231" s="27" t="s">
        <v>232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371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/>
    </row>
    <row r="234" spans="1:12">
      <c r="A234" s="20" t="s">
        <v>372</v>
      </c>
    </row>
    <row r="235" spans="1:12">
      <c r="A235" s="20" t="s">
        <v>11</v>
      </c>
      <c r="B235" s="27" t="s">
        <v>260</v>
      </c>
      <c r="C235" s="27" t="s">
        <v>308</v>
      </c>
      <c r="D235" s="27" t="s">
        <v>232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299</v>
      </c>
      <c r="B236" s="27" t="s">
        <v>260</v>
      </c>
      <c r="C236" s="27" t="s">
        <v>373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359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299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239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271</v>
      </c>
      <c r="B240" s="27" t="s">
        <v>241</v>
      </c>
      <c r="C240" s="27" t="s">
        <v>308</v>
      </c>
      <c r="D240" s="27" t="s">
        <v>232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374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251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375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228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353</v>
      </c>
      <c r="B245" s="27" t="s">
        <v>327</v>
      </c>
      <c r="C245" s="27" t="s">
        <v>276</v>
      </c>
      <c r="D245" s="27" t="s">
        <v>232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239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366</v>
      </c>
      <c r="B247" s="27" t="s">
        <v>246</v>
      </c>
      <c r="C247" s="27" t="s">
        <v>224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376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/>
    </row>
    <row r="250" spans="1:12">
      <c r="A250" s="20" t="s">
        <v>377</v>
      </c>
    </row>
    <row r="251" spans="1:12">
      <c r="A251" s="20" t="s">
        <v>378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225</v>
      </c>
      <c r="B252" s="27" t="s">
        <v>223</v>
      </c>
      <c r="C252" s="27" t="s">
        <v>379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299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380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251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381</v>
      </c>
      <c r="B256" s="27" t="s">
        <v>253</v>
      </c>
      <c r="C256" s="27" t="s">
        <v>261</v>
      </c>
      <c r="D256" s="27" t="s">
        <v>232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382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383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384</v>
      </c>
      <c r="B259" s="27" t="s">
        <v>235</v>
      </c>
      <c r="C259" s="27" t="s">
        <v>314</v>
      </c>
      <c r="D259" s="27" t="s">
        <v>232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255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/>
    </row>
    <row r="262" spans="1:12">
      <c r="A262" s="20" t="s">
        <v>385</v>
      </c>
    </row>
    <row r="263" spans="1:12">
      <c r="A263" s="20" t="s">
        <v>386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299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259</v>
      </c>
      <c r="B265" s="27" t="s">
        <v>235</v>
      </c>
      <c r="C265" s="27" t="s">
        <v>261</v>
      </c>
      <c r="D265" s="27" t="s">
        <v>232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387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388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389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251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390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349</v>
      </c>
      <c r="B271" s="27" t="s">
        <v>309</v>
      </c>
      <c r="C271" s="27" t="s">
        <v>224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391</v>
      </c>
      <c r="B272" s="27" t="s">
        <v>344</v>
      </c>
      <c r="C272" s="27" t="s">
        <v>242</v>
      </c>
      <c r="D272" s="27" t="s">
        <v>232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228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392</v>
      </c>
      <c r="B274" s="27" t="s">
        <v>309</v>
      </c>
      <c r="C274" s="27" t="s">
        <v>276</v>
      </c>
      <c r="D274" s="27" t="s">
        <v>232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243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248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393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394</v>
      </c>
      <c r="B278" s="27" t="s">
        <v>344</v>
      </c>
      <c r="C278" s="27" t="s">
        <v>361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255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/>
    </row>
    <row r="281" spans="1:12">
      <c r="A281" s="20" t="s">
        <v>395</v>
      </c>
    </row>
    <row r="282" spans="1:12">
      <c r="A282" s="20" t="s">
        <v>396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251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397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398</v>
      </c>
      <c r="B285" s="27" t="s">
        <v>253</v>
      </c>
      <c r="C285" s="27" t="s">
        <v>308</v>
      </c>
      <c r="D285" s="27" t="s">
        <v>232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388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279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247</v>
      </c>
      <c r="B288" s="27" t="s">
        <v>327</v>
      </c>
      <c r="C288" s="27" t="s">
        <v>242</v>
      </c>
      <c r="D288" s="27" t="s">
        <v>232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360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399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400</v>
      </c>
      <c r="B291" s="27" t="s">
        <v>320</v>
      </c>
      <c r="C291" s="27" t="s">
        <v>276</v>
      </c>
      <c r="D291" s="27" t="s">
        <v>232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243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401</v>
      </c>
      <c r="B293" s="27" t="s">
        <v>246</v>
      </c>
      <c r="C293" s="27" t="s">
        <v>224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402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403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248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404</v>
      </c>
      <c r="B297" s="27" t="s">
        <v>327</v>
      </c>
      <c r="C297" s="27" t="s">
        <v>276</v>
      </c>
      <c r="D297" s="27" t="s">
        <v>232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243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405</v>
      </c>
      <c r="B299" s="27" t="s">
        <v>246</v>
      </c>
      <c r="C299" s="27" t="s">
        <v>224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406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279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407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408</v>
      </c>
      <c r="B303" s="27" t="s">
        <v>327</v>
      </c>
      <c r="C303" s="27" t="s">
        <v>276</v>
      </c>
      <c r="D303" s="27" t="s">
        <v>232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279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409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410</v>
      </c>
      <c r="B306" s="27" t="s">
        <v>246</v>
      </c>
      <c r="C306" s="27" t="s">
        <v>276</v>
      </c>
      <c r="D306" s="27" t="s">
        <v>232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279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239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228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411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412</v>
      </c>
      <c r="B311" s="27" t="s">
        <v>344</v>
      </c>
      <c r="C311" s="27" t="s">
        <v>276</v>
      </c>
      <c r="D311" s="27" t="s">
        <v>232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243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413</v>
      </c>
      <c r="B313" s="27" t="s">
        <v>287</v>
      </c>
      <c r="C313" s="27" t="s">
        <v>242</v>
      </c>
      <c r="D313" s="27" t="s">
        <v>232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239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228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414</v>
      </c>
      <c r="B316" s="27" t="s">
        <v>287</v>
      </c>
      <c r="C316" s="27" t="s">
        <v>242</v>
      </c>
      <c r="D316" s="27" t="s">
        <v>232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415</v>
      </c>
      <c r="B317" s="27" t="s">
        <v>288</v>
      </c>
      <c r="C317" s="27" t="s">
        <v>242</v>
      </c>
      <c r="D317" s="27" t="s">
        <v>232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416</v>
      </c>
      <c r="B318" s="27" t="s">
        <v>288</v>
      </c>
      <c r="C318" s="27" t="s">
        <v>242</v>
      </c>
      <c r="D318" s="27" t="s">
        <v>232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279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239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251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417</v>
      </c>
      <c r="B322" s="27" t="s">
        <v>288</v>
      </c>
      <c r="C322" s="27" t="s">
        <v>242</v>
      </c>
      <c r="D322" s="27" t="s">
        <v>232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255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/>
    </row>
    <row r="325" spans="1:12">
      <c r="A325" s="20" t="s">
        <v>418</v>
      </c>
    </row>
    <row r="326" spans="1:12">
      <c r="A326" s="20" t="s">
        <v>419</v>
      </c>
      <c r="B326" s="27" t="s">
        <v>266</v>
      </c>
      <c r="C326" s="27" t="s">
        <v>261</v>
      </c>
      <c r="D326" s="27" t="s">
        <v>232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420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403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421</v>
      </c>
      <c r="B329" s="27" t="s">
        <v>253</v>
      </c>
      <c r="C329" s="27" t="s">
        <v>308</v>
      </c>
      <c r="D329" s="27" t="s">
        <v>232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251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299</v>
      </c>
      <c r="B331" s="27" t="s">
        <v>309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422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423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228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424</v>
      </c>
      <c r="B335" s="27" t="s">
        <v>310</v>
      </c>
      <c r="C335" s="27" t="s">
        <v>276</v>
      </c>
      <c r="D335" s="27" t="s">
        <v>232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250</v>
      </c>
      <c r="B336" s="27" t="s">
        <v>344</v>
      </c>
      <c r="C336" s="27" t="s">
        <v>242</v>
      </c>
      <c r="D336" s="27" t="s">
        <v>232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228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425</v>
      </c>
      <c r="B338" s="27" t="s">
        <v>344</v>
      </c>
      <c r="C338" s="27" t="s">
        <v>236</v>
      </c>
      <c r="D338" s="27" t="s">
        <v>232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279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251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426</v>
      </c>
      <c r="B341" s="27" t="s">
        <v>287</v>
      </c>
      <c r="C341" s="27" t="s">
        <v>236</v>
      </c>
      <c r="D341" s="27" t="s">
        <v>232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243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299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279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284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427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239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428</v>
      </c>
      <c r="B348" s="27" t="s">
        <v>429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239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228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430</v>
      </c>
      <c r="B351" s="27" t="s">
        <v>431</v>
      </c>
      <c r="C351" s="27" t="s">
        <v>236</v>
      </c>
      <c r="D351" s="27" t="s">
        <v>232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279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359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432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433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360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434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391</v>
      </c>
      <c r="B358" s="27" t="s">
        <v>429</v>
      </c>
      <c r="C358" s="27" t="s">
        <v>242</v>
      </c>
      <c r="D358" s="27" t="s">
        <v>232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228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435</v>
      </c>
      <c r="B360" s="27" t="s">
        <v>436</v>
      </c>
      <c r="C360" s="27" t="s">
        <v>236</v>
      </c>
      <c r="D360" s="27" t="s">
        <v>232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255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/>
    </row>
    <row r="363" spans="1:12">
      <c r="A363" s="20" t="s">
        <v>437</v>
      </c>
    </row>
    <row r="364" spans="1:12">
      <c r="A364" s="20" t="s">
        <v>438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251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439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440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228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441</v>
      </c>
      <c r="B369" s="27" t="s">
        <v>235</v>
      </c>
      <c r="C369" s="27" t="s">
        <v>236</v>
      </c>
      <c r="D369" s="27" t="s">
        <v>232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442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443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408</v>
      </c>
      <c r="B372" s="27" t="s">
        <v>253</v>
      </c>
      <c r="C372" s="27" t="s">
        <v>242</v>
      </c>
      <c r="D372" s="27" t="s">
        <v>232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247</v>
      </c>
      <c r="B373" s="27" t="s">
        <v>230</v>
      </c>
      <c r="C373" s="27" t="s">
        <v>242</v>
      </c>
      <c r="D373" s="27" t="s">
        <v>232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248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444</v>
      </c>
      <c r="B375" s="27" t="s">
        <v>253</v>
      </c>
      <c r="C375" s="27" t="s">
        <v>361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445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297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328</v>
      </c>
      <c r="B378" s="27" t="s">
        <v>310</v>
      </c>
      <c r="C378" s="27" t="s">
        <v>261</v>
      </c>
      <c r="D378" s="27" t="s">
        <v>232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446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258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447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448</v>
      </c>
      <c r="B382" s="27" t="s">
        <v>309</v>
      </c>
      <c r="C382" s="27" t="s">
        <v>314</v>
      </c>
      <c r="D382" s="27" t="s">
        <v>232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243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449</v>
      </c>
      <c r="B384" s="27" t="s">
        <v>344</v>
      </c>
      <c r="C384" s="27" t="s">
        <v>224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450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255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/>
    </row>
    <row r="388" spans="1:12">
      <c r="A388" s="20" t="s">
        <v>451</v>
      </c>
    </row>
    <row r="389" spans="1:12">
      <c r="A389" s="20" t="s">
        <v>452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250</v>
      </c>
      <c r="B390" s="27" t="s">
        <v>260</v>
      </c>
      <c r="C390" s="27" t="s">
        <v>242</v>
      </c>
      <c r="D390" s="27" t="s">
        <v>232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328</v>
      </c>
      <c r="B391" s="27" t="s">
        <v>235</v>
      </c>
      <c r="C391" s="27" t="s">
        <v>261</v>
      </c>
      <c r="D391" s="27" t="s">
        <v>232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339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239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251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453</v>
      </c>
      <c r="B395" s="27" t="s">
        <v>241</v>
      </c>
      <c r="C395" s="27" t="s">
        <v>236</v>
      </c>
      <c r="D395" s="27" t="s">
        <v>232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360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454</v>
      </c>
      <c r="B397" s="27" t="s">
        <v>253</v>
      </c>
      <c r="C397" s="27" t="s">
        <v>276</v>
      </c>
      <c r="D397" s="27" t="s">
        <v>232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243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455</v>
      </c>
      <c r="B399" s="27" t="s">
        <v>230</v>
      </c>
      <c r="C399" s="27" t="s">
        <v>224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456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457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297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239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251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453</v>
      </c>
      <c r="B405" s="27" t="s">
        <v>241</v>
      </c>
      <c r="C405" s="27" t="s">
        <v>236</v>
      </c>
      <c r="D405" s="27" t="s">
        <v>232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458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459</v>
      </c>
      <c r="B407" s="27" t="s">
        <v>230</v>
      </c>
      <c r="C407" s="27" t="s">
        <v>276</v>
      </c>
      <c r="D407" s="27" t="s">
        <v>232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258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460</v>
      </c>
      <c r="B409" s="27" t="s">
        <v>246</v>
      </c>
      <c r="C409" s="27" t="s">
        <v>224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461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255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/>
    </row>
    <row r="413" spans="1:12">
      <c r="A413" s="20" t="s">
        <v>462</v>
      </c>
    </row>
    <row r="414" spans="1:12">
      <c r="A414" s="20" t="s">
        <v>463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409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381</v>
      </c>
      <c r="B416" s="27" t="s">
        <v>260</v>
      </c>
      <c r="C416" s="27" t="s">
        <v>261</v>
      </c>
      <c r="D416" s="27" t="s">
        <v>232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297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464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279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362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465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222</v>
      </c>
      <c r="B422" s="27" t="s">
        <v>253</v>
      </c>
      <c r="C422" s="27" t="s">
        <v>276</v>
      </c>
      <c r="D422" s="27" t="s">
        <v>232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243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466</v>
      </c>
      <c r="B424" s="27" t="s">
        <v>230</v>
      </c>
      <c r="C424" s="27" t="s">
        <v>276</v>
      </c>
      <c r="D424" s="27" t="s">
        <v>232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251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467</v>
      </c>
      <c r="B426" s="27" t="s">
        <v>246</v>
      </c>
      <c r="C426" s="27" t="s">
        <v>224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440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422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468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284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228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469</v>
      </c>
      <c r="B432" s="27" t="s">
        <v>241</v>
      </c>
      <c r="C432" s="27" t="s">
        <v>236</v>
      </c>
      <c r="D432" s="27" t="s">
        <v>232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279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297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470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471</v>
      </c>
      <c r="B436" s="27" t="s">
        <v>253</v>
      </c>
      <c r="C436" s="27" t="s">
        <v>379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258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285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472</v>
      </c>
      <c r="B439" s="27" t="s">
        <v>241</v>
      </c>
      <c r="C439" s="27" t="s">
        <v>379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279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317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258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473</v>
      </c>
      <c r="B443" s="27" t="s">
        <v>260</v>
      </c>
      <c r="C443" s="27" t="s">
        <v>224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279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362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279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474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475</v>
      </c>
      <c r="B448" s="27" t="s">
        <v>230</v>
      </c>
      <c r="C448" s="27" t="s">
        <v>261</v>
      </c>
      <c r="D448" s="27" t="s">
        <v>232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476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279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258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477</v>
      </c>
      <c r="B452" s="27" t="s">
        <v>327</v>
      </c>
      <c r="C452" s="27" t="s">
        <v>224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279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478</v>
      </c>
      <c r="B454" s="27" t="s">
        <v>246</v>
      </c>
      <c r="C454" s="27" t="s">
        <v>224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279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479</v>
      </c>
      <c r="B456" s="27" t="s">
        <v>241</v>
      </c>
      <c r="C456" s="27" t="s">
        <v>276</v>
      </c>
      <c r="D456" s="27" t="s">
        <v>232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284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228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337</v>
      </c>
      <c r="B459" s="27" t="s">
        <v>230</v>
      </c>
      <c r="C459" s="27" t="s">
        <v>236</v>
      </c>
      <c r="D459" s="27" t="s">
        <v>232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480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481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482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483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228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430</v>
      </c>
      <c r="B465" s="27" t="s">
        <v>309</v>
      </c>
      <c r="C465" s="27" t="s">
        <v>236</v>
      </c>
      <c r="D465" s="27" t="s">
        <v>232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255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/>
    </row>
    <row r="468" spans="1:12">
      <c r="A468" s="20" t="s">
        <v>484</v>
      </c>
    </row>
    <row r="469" spans="1:12">
      <c r="A469" s="20" t="s">
        <v>438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409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485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250</v>
      </c>
      <c r="B472" s="27" t="s">
        <v>260</v>
      </c>
      <c r="C472" s="27" t="s">
        <v>242</v>
      </c>
      <c r="D472" s="27" t="s">
        <v>232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248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486</v>
      </c>
      <c r="B474" s="27" t="s">
        <v>223</v>
      </c>
      <c r="C474" s="27" t="s">
        <v>361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279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440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228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441</v>
      </c>
      <c r="B478" s="27" t="s">
        <v>235</v>
      </c>
      <c r="C478" s="27" t="s">
        <v>236</v>
      </c>
      <c r="D478" s="27" t="s">
        <v>232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279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274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487</v>
      </c>
      <c r="B481" s="27" t="s">
        <v>253</v>
      </c>
      <c r="C481" s="27" t="s">
        <v>261</v>
      </c>
      <c r="D481" s="27" t="s">
        <v>232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488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279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489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321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490</v>
      </c>
      <c r="B486" s="27" t="s">
        <v>320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491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492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243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493</v>
      </c>
      <c r="B490" s="27" t="s">
        <v>309</v>
      </c>
      <c r="C490" s="27" t="s">
        <v>224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279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297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494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340</v>
      </c>
      <c r="B494" s="27" t="s">
        <v>495</v>
      </c>
      <c r="C494" s="27" t="s">
        <v>224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297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317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496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480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497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498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299</v>
      </c>
      <c r="B501" s="27" t="s">
        <v>499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279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500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299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501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407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248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279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502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427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239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228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503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504</v>
      </c>
      <c r="B514" s="27" t="s">
        <v>505</v>
      </c>
      <c r="C514" s="27" t="s">
        <v>236</v>
      </c>
      <c r="D514" s="27" t="s">
        <v>232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255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/>
    </row>
    <row r="517" spans="1:12">
      <c r="A517" s="20" t="s">
        <v>506</v>
      </c>
    </row>
    <row r="518" spans="1:12">
      <c r="A518" s="20" t="s">
        <v>11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503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504</v>
      </c>
      <c r="B520" s="27" t="s">
        <v>266</v>
      </c>
      <c r="C520" s="27" t="s">
        <v>276</v>
      </c>
      <c r="D520" s="27" t="s">
        <v>232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279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251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251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507</v>
      </c>
      <c r="B524" s="27" t="s">
        <v>241</v>
      </c>
      <c r="C524" s="27" t="s">
        <v>276</v>
      </c>
      <c r="D524" s="27" t="s">
        <v>232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243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189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508</v>
      </c>
      <c r="B527" s="27" t="s">
        <v>230</v>
      </c>
      <c r="C527" s="27" t="s">
        <v>273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279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509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510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511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480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251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512</v>
      </c>
      <c r="B534" s="27" t="s">
        <v>241</v>
      </c>
      <c r="C534" s="27" t="s">
        <v>276</v>
      </c>
      <c r="D534" s="27" t="s">
        <v>232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243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360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513</v>
      </c>
      <c r="B537" s="27" t="s">
        <v>230</v>
      </c>
      <c r="C537" s="27" t="s">
        <v>276</v>
      </c>
      <c r="D537" s="27" t="s">
        <v>232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239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251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514</v>
      </c>
      <c r="B540" s="27" t="s">
        <v>246</v>
      </c>
      <c r="C540" s="27" t="s">
        <v>236</v>
      </c>
      <c r="D540" s="27" t="s">
        <v>232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250</v>
      </c>
      <c r="B541" s="27" t="s">
        <v>344</v>
      </c>
      <c r="C541" s="27" t="s">
        <v>242</v>
      </c>
      <c r="D541" s="27" t="s">
        <v>232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251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453</v>
      </c>
      <c r="B543" s="27" t="s">
        <v>230</v>
      </c>
      <c r="C543" s="27" t="s">
        <v>236</v>
      </c>
      <c r="D543" s="27" t="s">
        <v>232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515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255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/>
    </row>
    <row r="547" spans="1:12">
      <c r="A547" s="20" t="s">
        <v>516</v>
      </c>
    </row>
    <row r="548" spans="1:12">
      <c r="A548" s="20" t="s">
        <v>517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409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518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251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519</v>
      </c>
      <c r="B552" s="27" t="s">
        <v>260</v>
      </c>
      <c r="C552" s="27" t="s">
        <v>242</v>
      </c>
      <c r="D552" s="27" t="s">
        <v>232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247</v>
      </c>
      <c r="B553" s="27" t="s">
        <v>260</v>
      </c>
      <c r="C553" s="27" t="s">
        <v>242</v>
      </c>
      <c r="D553" s="27" t="s">
        <v>232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360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520</v>
      </c>
      <c r="B555" s="27" t="s">
        <v>260</v>
      </c>
      <c r="C555" s="27" t="s">
        <v>276</v>
      </c>
      <c r="D555" s="27" t="s">
        <v>232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243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78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521</v>
      </c>
      <c r="B558" s="27" t="s">
        <v>241</v>
      </c>
      <c r="C558" s="27" t="s">
        <v>276</v>
      </c>
      <c r="D558" s="27" t="s">
        <v>232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239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522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523</v>
      </c>
      <c r="B561" s="27" t="s">
        <v>230</v>
      </c>
      <c r="C561" s="27" t="s">
        <v>273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255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/>
    </row>
    <row r="564" spans="1:12">
      <c r="A564" s="20" t="s">
        <v>524</v>
      </c>
    </row>
    <row r="565" spans="1:12">
      <c r="A565" s="20" t="s">
        <v>525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299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259</v>
      </c>
      <c r="B567" s="27" t="s">
        <v>320</v>
      </c>
      <c r="C567" s="27" t="s">
        <v>261</v>
      </c>
      <c r="D567" s="27" t="s">
        <v>232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233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526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239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228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527</v>
      </c>
      <c r="B572" s="27" t="s">
        <v>230</v>
      </c>
      <c r="C572" s="27" t="s">
        <v>236</v>
      </c>
      <c r="D572" s="27" t="s">
        <v>232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279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528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239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228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529</v>
      </c>
      <c r="B577" s="27" t="s">
        <v>246</v>
      </c>
      <c r="C577" s="27" t="s">
        <v>236</v>
      </c>
      <c r="D577" s="27" t="s">
        <v>232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279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528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488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530</v>
      </c>
      <c r="B581" s="27" t="s">
        <v>230</v>
      </c>
      <c r="C581" s="27" t="s">
        <v>273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239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228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503</v>
      </c>
      <c r="B584" s="27" t="s">
        <v>230</v>
      </c>
      <c r="C584" s="27" t="s">
        <v>236</v>
      </c>
      <c r="D584" s="27" t="s">
        <v>232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279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297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528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251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531</v>
      </c>
      <c r="B589" s="27" t="s">
        <v>235</v>
      </c>
      <c r="C589" s="27" t="s">
        <v>236</v>
      </c>
      <c r="D589" s="27" t="s">
        <v>232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532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500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533</v>
      </c>
      <c r="B592" s="27" t="s">
        <v>241</v>
      </c>
      <c r="C592" s="27" t="s">
        <v>224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526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239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228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430</v>
      </c>
      <c r="B596" s="27" t="s">
        <v>241</v>
      </c>
      <c r="C596" s="27" t="s">
        <v>236</v>
      </c>
      <c r="D596" s="27" t="s">
        <v>232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255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/>
    </row>
    <row r="599" spans="1:12">
      <c r="A599" s="20" t="s">
        <v>534</v>
      </c>
    </row>
    <row r="600" spans="1:12">
      <c r="A600" s="20" t="s">
        <v>535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536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299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398</v>
      </c>
      <c r="B603" s="27" t="s">
        <v>235</v>
      </c>
      <c r="C603" s="27" t="s">
        <v>308</v>
      </c>
      <c r="D603" s="27" t="s">
        <v>232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537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538</v>
      </c>
      <c r="B605" s="27" t="s">
        <v>253</v>
      </c>
      <c r="C605" s="27" t="s">
        <v>261</v>
      </c>
      <c r="D605" s="27" t="s">
        <v>232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539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540</v>
      </c>
      <c r="B607" s="27" t="s">
        <v>253</v>
      </c>
      <c r="C607" s="27" t="s">
        <v>224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279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297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541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279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541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279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542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543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255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/>
    </row>
    <row r="618" spans="1:12">
      <c r="A618" s="20" t="s">
        <v>544</v>
      </c>
    </row>
    <row r="619" spans="1:12">
      <c r="A619" s="20" t="s">
        <v>545</v>
      </c>
      <c r="B619" s="27" t="s">
        <v>266</v>
      </c>
      <c r="C619" s="27" t="s">
        <v>242</v>
      </c>
      <c r="D619" s="27" t="s">
        <v>232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541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546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547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548</v>
      </c>
      <c r="B623" s="27" t="s">
        <v>260</v>
      </c>
      <c r="C623" s="27" t="s">
        <v>273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255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/>
    </row>
    <row r="626" spans="1:12">
      <c r="A626" s="20" t="s">
        <v>549</v>
      </c>
    </row>
    <row r="627" spans="1:12">
      <c r="A627" s="20" t="s">
        <v>334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228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550</v>
      </c>
      <c r="B629" s="27" t="s">
        <v>260</v>
      </c>
      <c r="C629" s="27" t="s">
        <v>276</v>
      </c>
      <c r="D629" s="27" t="s">
        <v>232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250</v>
      </c>
      <c r="B630" s="27" t="s">
        <v>260</v>
      </c>
      <c r="C630" s="27" t="s">
        <v>242</v>
      </c>
      <c r="D630" s="27" t="s">
        <v>232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228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551</v>
      </c>
      <c r="B632" s="27" t="s">
        <v>260</v>
      </c>
      <c r="C632" s="27" t="s">
        <v>236</v>
      </c>
      <c r="D632" s="27" t="s">
        <v>232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279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248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250</v>
      </c>
      <c r="B635" s="27" t="s">
        <v>241</v>
      </c>
      <c r="C635" s="27" t="s">
        <v>242</v>
      </c>
      <c r="D635" s="27" t="s">
        <v>232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285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405</v>
      </c>
      <c r="B637" s="27" t="s">
        <v>310</v>
      </c>
      <c r="C637" s="27" t="s">
        <v>236</v>
      </c>
      <c r="D637" s="27" t="s">
        <v>232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552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510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553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299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422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554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239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228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555</v>
      </c>
      <c r="B646" s="27" t="s">
        <v>344</v>
      </c>
      <c r="C646" s="27" t="s">
        <v>236</v>
      </c>
      <c r="D646" s="27" t="s">
        <v>232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542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422</v>
      </c>
      <c r="B648" s="27" t="s">
        <v>556</v>
      </c>
      <c r="C648" s="27" t="s">
        <v>261</v>
      </c>
      <c r="D648" s="27" t="s">
        <v>232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557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558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279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251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283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284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228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559</v>
      </c>
      <c r="B656" s="27" t="s">
        <v>560</v>
      </c>
      <c r="C656" s="27" t="s">
        <v>236</v>
      </c>
      <c r="D656" s="27" t="s">
        <v>232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279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561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562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228</v>
      </c>
      <c r="B660" s="27" t="s">
        <v>563</v>
      </c>
      <c r="C660" s="27" t="s">
        <v>308</v>
      </c>
      <c r="D660" s="27" t="s">
        <v>232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299</v>
      </c>
      <c r="B661" s="27" t="s">
        <v>564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565</v>
      </c>
      <c r="B662" s="27" t="s">
        <v>505</v>
      </c>
      <c r="C662" s="27" t="s">
        <v>242</v>
      </c>
      <c r="D662" s="27" t="s">
        <v>232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255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/>
    </row>
    <row r="665" spans="1:12">
      <c r="A665" s="20" t="s">
        <v>566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567</v>
      </c>
    </row>
    <row r="667" spans="1:12">
      <c r="A667" s="20" t="s">
        <v>568</v>
      </c>
      <c r="B667" s="27" t="s">
        <v>235</v>
      </c>
      <c r="C667" s="27" t="s">
        <v>242</v>
      </c>
      <c r="D667" s="27" t="s">
        <v>232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569</v>
      </c>
      <c r="B668" s="27" t="s">
        <v>230</v>
      </c>
      <c r="C668" s="27" t="s">
        <v>242</v>
      </c>
      <c r="D668" s="27" t="s">
        <v>232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491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268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570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447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571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572</v>
      </c>
      <c r="B674" s="27" t="s">
        <v>253</v>
      </c>
      <c r="C674" s="27" t="s">
        <v>314</v>
      </c>
      <c r="D674" s="27" t="s">
        <v>232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573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239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228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574</v>
      </c>
      <c r="B678" s="27" t="s">
        <v>230</v>
      </c>
      <c r="C678" s="27" t="s">
        <v>236</v>
      </c>
      <c r="D678" s="27" t="s">
        <v>232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239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575</v>
      </c>
      <c r="B680" s="27" t="s">
        <v>230</v>
      </c>
      <c r="C680" s="27" t="s">
        <v>224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571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255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/>
    </row>
    <row r="684" spans="1:12">
      <c r="A684" s="20" t="s">
        <v>576</v>
      </c>
    </row>
    <row r="685" spans="1:12">
      <c r="A685" s="20" t="s">
        <v>577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510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578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239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251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579</v>
      </c>
      <c r="B690" s="27" t="s">
        <v>260</v>
      </c>
      <c r="C690" s="27" t="s">
        <v>236</v>
      </c>
      <c r="D690" s="27" t="s">
        <v>232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580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279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581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582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510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583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584</v>
      </c>
      <c r="B697" s="27" t="s">
        <v>253</v>
      </c>
      <c r="C697" s="27" t="s">
        <v>296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239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585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586</v>
      </c>
      <c r="B700" s="27" t="s">
        <v>241</v>
      </c>
      <c r="C700" s="27" t="s">
        <v>276</v>
      </c>
      <c r="D700" s="27" t="s">
        <v>232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279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283</v>
      </c>
      <c r="B702" s="27" t="s">
        <v>230</v>
      </c>
      <c r="C702" s="27" t="s">
        <v>276</v>
      </c>
      <c r="D702" s="27" t="s">
        <v>232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284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228</v>
      </c>
      <c r="B704" s="27" t="s">
        <v>246</v>
      </c>
      <c r="C704" s="27" t="s">
        <v>308</v>
      </c>
      <c r="D704" s="27" t="s">
        <v>232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299</v>
      </c>
      <c r="B705" s="27" t="s">
        <v>556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359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251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587</v>
      </c>
      <c r="B708" s="27" t="s">
        <v>344</v>
      </c>
      <c r="C708" s="27" t="s">
        <v>276</v>
      </c>
      <c r="D708" s="27" t="s">
        <v>232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258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370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588</v>
      </c>
      <c r="B711" s="27" t="s">
        <v>287</v>
      </c>
      <c r="C711" s="27" t="s">
        <v>314</v>
      </c>
      <c r="D711" s="27" t="s">
        <v>232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243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589</v>
      </c>
      <c r="B713" s="27" t="s">
        <v>288</v>
      </c>
      <c r="C713" s="27" t="s">
        <v>224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279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228</v>
      </c>
      <c r="B715" s="27" t="s">
        <v>246</v>
      </c>
      <c r="C715" s="27" t="s">
        <v>308</v>
      </c>
      <c r="D715" s="27" t="s">
        <v>232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299</v>
      </c>
      <c r="B716" s="27" t="s">
        <v>556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590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591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251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592</v>
      </c>
      <c r="B720" s="27" t="s">
        <v>593</v>
      </c>
      <c r="C720" s="27" t="s">
        <v>236</v>
      </c>
      <c r="D720" s="27" t="s">
        <v>232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250</v>
      </c>
      <c r="B721" s="27" t="s">
        <v>560</v>
      </c>
      <c r="C721" s="27" t="s">
        <v>242</v>
      </c>
      <c r="D721" s="27" t="s">
        <v>232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228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594</v>
      </c>
      <c r="B723" s="27" t="s">
        <v>431</v>
      </c>
      <c r="C723" s="27" t="s">
        <v>231</v>
      </c>
      <c r="D723" s="27" t="s">
        <v>232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595</v>
      </c>
      <c r="B724" s="27" t="s">
        <v>560</v>
      </c>
      <c r="C724" s="27" t="s">
        <v>236</v>
      </c>
      <c r="D724" s="27" t="s">
        <v>232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546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547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548</v>
      </c>
      <c r="B727" s="27" t="s">
        <v>288</v>
      </c>
      <c r="C727" s="27" t="s">
        <v>273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279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284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483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360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430</v>
      </c>
      <c r="B732" s="27" t="s">
        <v>596</v>
      </c>
      <c r="C732" s="27" t="s">
        <v>361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279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597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248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585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598</v>
      </c>
      <c r="B737" s="27" t="s">
        <v>429</v>
      </c>
      <c r="C737" s="27" t="s">
        <v>361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239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251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599</v>
      </c>
      <c r="B740" s="27" t="s">
        <v>431</v>
      </c>
      <c r="C740" s="27" t="s">
        <v>236</v>
      </c>
      <c r="D740" s="27" t="s">
        <v>232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255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/>
    </row>
    <row r="743" spans="1:12">
      <c r="A743" s="20" t="s">
        <v>600</v>
      </c>
    </row>
    <row r="744" spans="1:12">
      <c r="A744" s="20" t="s">
        <v>368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280</v>
      </c>
      <c r="B745" s="27" t="s">
        <v>266</v>
      </c>
      <c r="C745" s="27" t="s">
        <v>261</v>
      </c>
      <c r="D745" s="27" t="s">
        <v>232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601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602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227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603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299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552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251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604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251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248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586</v>
      </c>
      <c r="B756" s="27" t="s">
        <v>309</v>
      </c>
      <c r="C756" s="27" t="s">
        <v>361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605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243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439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279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606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607</v>
      </c>
      <c r="B762" s="27" t="s">
        <v>290</v>
      </c>
      <c r="C762" s="27" t="s">
        <v>314</v>
      </c>
      <c r="D762" s="27" t="s">
        <v>232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274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353</v>
      </c>
      <c r="B764" s="27" t="s">
        <v>288</v>
      </c>
      <c r="C764" s="27" t="s">
        <v>224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297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366</v>
      </c>
      <c r="B766" s="27" t="s">
        <v>560</v>
      </c>
      <c r="C766" s="27" t="s">
        <v>224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255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/>
    </row>
    <row r="769" spans="1:12">
      <c r="A769" s="20" t="s">
        <v>566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608</v>
      </c>
    </row>
    <row r="771" spans="1:12">
      <c r="A771" s="20" t="s">
        <v>11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353</v>
      </c>
      <c r="B772" s="27" t="s">
        <v>266</v>
      </c>
      <c r="C772" s="27" t="s">
        <v>236</v>
      </c>
      <c r="D772" s="27" t="s">
        <v>232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359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427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247</v>
      </c>
      <c r="B775" s="27" t="s">
        <v>223</v>
      </c>
      <c r="C775" s="27" t="s">
        <v>242</v>
      </c>
      <c r="D775" s="27" t="s">
        <v>232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447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503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504</v>
      </c>
      <c r="B778" s="27" t="s">
        <v>223</v>
      </c>
      <c r="C778" s="27" t="s">
        <v>314</v>
      </c>
      <c r="D778" s="27" t="s">
        <v>232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279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362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251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366</v>
      </c>
      <c r="B782" s="27" t="s">
        <v>320</v>
      </c>
      <c r="C782" s="27" t="s">
        <v>236</v>
      </c>
      <c r="D782" s="27" t="s">
        <v>232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359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609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299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398</v>
      </c>
      <c r="B786" s="27" t="s">
        <v>310</v>
      </c>
      <c r="C786" s="27" t="s">
        <v>308</v>
      </c>
      <c r="D786" s="27" t="s">
        <v>232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317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590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610</v>
      </c>
      <c r="B789" s="27" t="s">
        <v>309</v>
      </c>
      <c r="C789" s="27" t="s">
        <v>379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422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317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422</v>
      </c>
      <c r="B792" s="27" t="s">
        <v>281</v>
      </c>
      <c r="C792" s="27" t="s">
        <v>261</v>
      </c>
      <c r="D792" s="27" t="s">
        <v>232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611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612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251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613</v>
      </c>
      <c r="B796" s="27" t="s">
        <v>290</v>
      </c>
      <c r="C796" s="27" t="s">
        <v>236</v>
      </c>
      <c r="D796" s="27" t="s">
        <v>232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614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530</v>
      </c>
      <c r="B798" s="27" t="s">
        <v>288</v>
      </c>
      <c r="C798" s="27" t="s">
        <v>276</v>
      </c>
      <c r="D798" s="27" t="s">
        <v>232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542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615</v>
      </c>
      <c r="B800" s="27" t="s">
        <v>560</v>
      </c>
      <c r="C800" s="27" t="s">
        <v>224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255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/>
    </row>
    <row r="803" spans="1:12">
      <c r="A803" s="20" t="s">
        <v>616</v>
      </c>
    </row>
    <row r="804" spans="1:12">
      <c r="A804" s="20" t="s">
        <v>368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366</v>
      </c>
      <c r="B805" s="27" t="s">
        <v>266</v>
      </c>
      <c r="C805" s="27" t="s">
        <v>224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317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359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251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382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586</v>
      </c>
      <c r="B810" s="27" t="s">
        <v>260</v>
      </c>
      <c r="C810" s="27" t="s">
        <v>236</v>
      </c>
      <c r="D810" s="27" t="s">
        <v>232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299</v>
      </c>
      <c r="B811" s="27" t="s">
        <v>235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598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255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/>
    </row>
    <row r="815" spans="1:12">
      <c r="A815" s="20" t="s">
        <v>617</v>
      </c>
    </row>
    <row r="816" spans="1:12">
      <c r="A816" s="20" t="s">
        <v>618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359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251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382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586</v>
      </c>
      <c r="B820" s="27" t="s">
        <v>260</v>
      </c>
      <c r="C820" s="27" t="s">
        <v>236</v>
      </c>
      <c r="D820" s="27" t="s">
        <v>232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299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353</v>
      </c>
      <c r="B822" s="27" t="s">
        <v>260</v>
      </c>
      <c r="C822" s="27" t="s">
        <v>224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279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299</v>
      </c>
      <c r="B824" s="27" t="s">
        <v>327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280</v>
      </c>
      <c r="B825" s="27" t="s">
        <v>320</v>
      </c>
      <c r="C825" s="27" t="s">
        <v>261</v>
      </c>
      <c r="D825" s="27" t="s">
        <v>232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619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480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360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620</v>
      </c>
      <c r="B829" s="27" t="s">
        <v>230</v>
      </c>
      <c r="C829" s="27" t="s">
        <v>361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279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360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621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351</v>
      </c>
      <c r="B833" s="27" t="s">
        <v>230</v>
      </c>
      <c r="C833" s="27" t="s">
        <v>224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239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228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622</v>
      </c>
      <c r="B836" s="27" t="s">
        <v>230</v>
      </c>
      <c r="C836" s="27" t="s">
        <v>236</v>
      </c>
      <c r="D836" s="27" t="s">
        <v>232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255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297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360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623</v>
      </c>
      <c r="B840" s="27" t="s">
        <v>260</v>
      </c>
      <c r="C840" s="27" t="s">
        <v>276</v>
      </c>
      <c r="D840" s="27" t="s">
        <v>232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299</v>
      </c>
      <c r="B841" s="27" t="s">
        <v>320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228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574</v>
      </c>
      <c r="B843" s="27" t="s">
        <v>241</v>
      </c>
      <c r="C843" s="27" t="s">
        <v>276</v>
      </c>
      <c r="D843" s="27" t="s">
        <v>232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239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271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624</v>
      </c>
      <c r="B846" s="27" t="s">
        <v>230</v>
      </c>
      <c r="C846" s="27" t="s">
        <v>236</v>
      </c>
      <c r="D846" s="27" t="s">
        <v>232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255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/>
    </row>
    <row r="849" spans="1:12">
      <c r="A849" s="20" t="s">
        <v>625</v>
      </c>
    </row>
    <row r="850" spans="1:12">
      <c r="A850" s="20" t="s">
        <v>626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366</v>
      </c>
      <c r="B851" s="27" t="s">
        <v>266</v>
      </c>
      <c r="C851" s="27" t="s">
        <v>236</v>
      </c>
      <c r="D851" s="27" t="s">
        <v>232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317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359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228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627</v>
      </c>
      <c r="B855" s="27" t="s">
        <v>260</v>
      </c>
      <c r="C855" s="27" t="s">
        <v>276</v>
      </c>
      <c r="D855" s="27" t="s">
        <v>232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247</v>
      </c>
      <c r="B856" s="27" t="s">
        <v>260</v>
      </c>
      <c r="C856" s="27" t="s">
        <v>242</v>
      </c>
      <c r="D856" s="27" t="s">
        <v>232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248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628</v>
      </c>
      <c r="B858" s="27" t="s">
        <v>260</v>
      </c>
      <c r="C858" s="27" t="s">
        <v>361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362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248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629</v>
      </c>
      <c r="B861" s="27" t="s">
        <v>241</v>
      </c>
      <c r="C861" s="27" t="s">
        <v>361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630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255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/>
    </row>
    <row r="865" spans="1:12">
      <c r="A865" s="20" t="s">
        <v>631</v>
      </c>
    </row>
    <row r="866" spans="1:12">
      <c r="A866" s="20" t="s">
        <v>11</v>
      </c>
      <c r="B866" s="27" t="s">
        <v>260</v>
      </c>
      <c r="C866" s="27" t="s">
        <v>308</v>
      </c>
      <c r="D866" s="27" t="s">
        <v>232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299</v>
      </c>
      <c r="B867" s="27" t="s">
        <v>235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239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271</v>
      </c>
      <c r="B869" s="27" t="s">
        <v>241</v>
      </c>
      <c r="C869" s="27" t="s">
        <v>308</v>
      </c>
      <c r="D869" s="27" t="s">
        <v>232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374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251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632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398</v>
      </c>
      <c r="B873" s="27" t="s">
        <v>327</v>
      </c>
      <c r="C873" s="27" t="s">
        <v>308</v>
      </c>
      <c r="D873" s="27" t="s">
        <v>232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279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228</v>
      </c>
      <c r="B875" s="27" t="s">
        <v>260</v>
      </c>
      <c r="C875" s="27" t="s">
        <v>308</v>
      </c>
      <c r="D875" s="27" t="s">
        <v>232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299</v>
      </c>
      <c r="B876" s="27" t="s">
        <v>320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239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271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374</v>
      </c>
      <c r="B879" s="27" t="s">
        <v>230</v>
      </c>
      <c r="C879" s="27" t="s">
        <v>236</v>
      </c>
      <c r="D879" s="27" t="s">
        <v>232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251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633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522</v>
      </c>
      <c r="B882" s="27" t="s">
        <v>344</v>
      </c>
      <c r="C882" s="27" t="s">
        <v>276</v>
      </c>
      <c r="D882" s="27" t="s">
        <v>232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634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539</v>
      </c>
      <c r="B884" s="27" t="s">
        <v>287</v>
      </c>
      <c r="C884" s="27" t="s">
        <v>224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359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635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251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393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394</v>
      </c>
      <c r="B889" s="27" t="s">
        <v>327</v>
      </c>
      <c r="C889" s="27" t="s">
        <v>236</v>
      </c>
      <c r="D889" s="27" t="s">
        <v>232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255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/>
    </row>
    <row r="892" spans="1:12">
      <c r="A892" s="20" t="s">
        <v>636</v>
      </c>
    </row>
    <row r="893" spans="1:12">
      <c r="A893" s="20" t="s">
        <v>637</v>
      </c>
      <c r="B893" s="27" t="s">
        <v>241</v>
      </c>
      <c r="C893" s="27" t="s">
        <v>373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530</v>
      </c>
      <c r="B894" s="27" t="s">
        <v>266</v>
      </c>
      <c r="C894" s="27" t="s">
        <v>296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638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248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586</v>
      </c>
      <c r="B897" s="27" t="s">
        <v>223</v>
      </c>
      <c r="C897" s="27" t="s">
        <v>361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480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360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639</v>
      </c>
      <c r="B900" s="27" t="s">
        <v>260</v>
      </c>
      <c r="C900" s="27" t="s">
        <v>361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279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248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640</v>
      </c>
      <c r="B903" s="27" t="s">
        <v>241</v>
      </c>
      <c r="C903" s="27" t="s">
        <v>361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641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279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440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228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343</v>
      </c>
      <c r="B908" s="27" t="s">
        <v>230</v>
      </c>
      <c r="C908" s="27" t="s">
        <v>231</v>
      </c>
      <c r="D908" s="27" t="s">
        <v>232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642</v>
      </c>
      <c r="B909" s="27" t="s">
        <v>241</v>
      </c>
      <c r="C909" s="27" t="s">
        <v>236</v>
      </c>
      <c r="D909" s="27" t="s">
        <v>232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251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643</v>
      </c>
      <c r="B911" s="27" t="s">
        <v>230</v>
      </c>
      <c r="C911" s="27" t="s">
        <v>236</v>
      </c>
      <c r="D911" s="27" t="s">
        <v>232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644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645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279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646</v>
      </c>
      <c r="B915" s="27" t="s">
        <v>246</v>
      </c>
      <c r="C915" s="27" t="s">
        <v>276</v>
      </c>
      <c r="D915" s="27" t="s">
        <v>232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243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647</v>
      </c>
      <c r="B917" s="27" t="s">
        <v>344</v>
      </c>
      <c r="C917" s="27" t="s">
        <v>224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297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243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648</v>
      </c>
      <c r="B920" s="27" t="s">
        <v>287</v>
      </c>
      <c r="C920" s="27" t="s">
        <v>224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279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409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472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473</v>
      </c>
      <c r="B924" s="27" t="s">
        <v>344</v>
      </c>
      <c r="C924" s="27" t="s">
        <v>296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279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248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393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394</v>
      </c>
      <c r="B928" s="27" t="s">
        <v>246</v>
      </c>
      <c r="C928" s="27" t="s">
        <v>276</v>
      </c>
      <c r="D928" s="27" t="s">
        <v>232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376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/>
    </row>
    <row r="931" spans="1:12">
      <c r="A931" s="20" t="s">
        <v>649</v>
      </c>
    </row>
    <row r="932" spans="1:12">
      <c r="A932" s="20" t="s">
        <v>112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/>
    </row>
    <row r="934" spans="1:12">
      <c r="A934" s="20" t="s">
        <v>650</v>
      </c>
    </row>
    <row r="935" spans="1:12">
      <c r="A935" s="20" t="s">
        <v>254</v>
      </c>
      <c r="B935" s="27" t="s">
        <v>266</v>
      </c>
      <c r="C935" s="27" t="s">
        <v>242</v>
      </c>
      <c r="D935" s="27" t="s">
        <v>232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651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222</v>
      </c>
      <c r="B937" s="27" t="s">
        <v>223</v>
      </c>
      <c r="C937" s="27" t="s">
        <v>224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258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228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343</v>
      </c>
      <c r="B940" s="27" t="s">
        <v>241</v>
      </c>
      <c r="C940" s="27" t="s">
        <v>231</v>
      </c>
      <c r="D940" s="27" t="s">
        <v>232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652</v>
      </c>
      <c r="B941" s="27" t="s">
        <v>260</v>
      </c>
      <c r="C941" s="27" t="s">
        <v>276</v>
      </c>
      <c r="D941" s="27" t="s">
        <v>232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653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285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331</v>
      </c>
      <c r="B944" s="27" t="s">
        <v>230</v>
      </c>
      <c r="C944" s="27" t="s">
        <v>231</v>
      </c>
      <c r="D944" s="27" t="s">
        <v>232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313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286</v>
      </c>
      <c r="B946" s="27" t="s">
        <v>241</v>
      </c>
      <c r="C946" s="27" t="s">
        <v>236</v>
      </c>
      <c r="D946" s="27" t="s">
        <v>232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255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/>
    </row>
    <row r="949" spans="1:12">
      <c r="A949" s="20" t="s">
        <v>654</v>
      </c>
    </row>
    <row r="950" spans="1:12">
      <c r="A950" s="20" t="s">
        <v>11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655</v>
      </c>
      <c r="B951" s="27" t="s">
        <v>266</v>
      </c>
      <c r="C951" s="27" t="s">
        <v>236</v>
      </c>
      <c r="D951" s="27" t="s">
        <v>232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656</v>
      </c>
      <c r="B952" s="27" t="s">
        <v>241</v>
      </c>
      <c r="C952" s="27" t="s">
        <v>242</v>
      </c>
      <c r="D952" s="27" t="s">
        <v>232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657</v>
      </c>
      <c r="B953" s="27" t="s">
        <v>230</v>
      </c>
      <c r="C953" s="27" t="s">
        <v>242</v>
      </c>
      <c r="D953" s="27" t="s">
        <v>232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311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658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530</v>
      </c>
      <c r="B956" s="27" t="s">
        <v>223</v>
      </c>
      <c r="C956" s="27" t="s">
        <v>296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299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285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331</v>
      </c>
      <c r="B959" s="27" t="s">
        <v>246</v>
      </c>
      <c r="C959" s="27" t="s">
        <v>231</v>
      </c>
      <c r="D959" s="27" t="s">
        <v>232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277</v>
      </c>
      <c r="B960" s="27" t="s">
        <v>320</v>
      </c>
      <c r="C960" s="27" t="s">
        <v>236</v>
      </c>
      <c r="D960" s="27" t="s">
        <v>232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659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660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299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285</v>
      </c>
      <c r="B964" s="27" t="s">
        <v>253</v>
      </c>
      <c r="C964" s="27" t="s">
        <v>308</v>
      </c>
      <c r="D964" s="27" t="s">
        <v>232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661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662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243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435</v>
      </c>
      <c r="B968" s="27" t="s">
        <v>230</v>
      </c>
      <c r="C968" s="27" t="s">
        <v>224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258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251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663</v>
      </c>
      <c r="B971" s="27" t="s">
        <v>230</v>
      </c>
      <c r="C971" s="27" t="s">
        <v>236</v>
      </c>
      <c r="D971" s="27" t="s">
        <v>232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243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664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247</v>
      </c>
      <c r="B974" s="27" t="s">
        <v>495</v>
      </c>
      <c r="C974" s="27" t="s">
        <v>242</v>
      </c>
      <c r="D974" s="27" t="s">
        <v>232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328</v>
      </c>
      <c r="B975" s="27" t="s">
        <v>287</v>
      </c>
      <c r="C975" s="27" t="s">
        <v>261</v>
      </c>
      <c r="D975" s="27" t="s">
        <v>232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665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634</v>
      </c>
      <c r="B977" s="27" t="s">
        <v>344</v>
      </c>
      <c r="C977" s="27" t="s">
        <v>296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362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279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239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228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550</v>
      </c>
      <c r="B982" s="27" t="s">
        <v>288</v>
      </c>
      <c r="C982" s="27" t="s">
        <v>236</v>
      </c>
      <c r="D982" s="27" t="s">
        <v>232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250</v>
      </c>
      <c r="B983" s="27" t="s">
        <v>560</v>
      </c>
      <c r="C983" s="27" t="s">
        <v>242</v>
      </c>
      <c r="D983" s="27" t="s">
        <v>232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251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303</v>
      </c>
      <c r="B985" s="27" t="s">
        <v>288</v>
      </c>
      <c r="C985" s="27" t="s">
        <v>231</v>
      </c>
      <c r="D985" s="27" t="s">
        <v>232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278</v>
      </c>
      <c r="B986" s="27" t="s">
        <v>287</v>
      </c>
      <c r="C986" s="27" t="s">
        <v>276</v>
      </c>
      <c r="D986" s="27" t="s">
        <v>232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279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228</v>
      </c>
      <c r="B988" s="27" t="s">
        <v>320</v>
      </c>
      <c r="C988" s="27" t="s">
        <v>308</v>
      </c>
      <c r="D988" s="27" t="s">
        <v>232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299</v>
      </c>
      <c r="B989" s="27" t="s">
        <v>281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666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237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299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667</v>
      </c>
      <c r="B993" s="27" t="s">
        <v>320</v>
      </c>
      <c r="C993" s="27" t="s">
        <v>261</v>
      </c>
      <c r="D993" s="27" t="s">
        <v>232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407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339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668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669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409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670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250</v>
      </c>
      <c r="B1000" s="27" t="s">
        <v>344</v>
      </c>
      <c r="C1000" s="27" t="s">
        <v>242</v>
      </c>
      <c r="D1000" s="27" t="s">
        <v>232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285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331</v>
      </c>
      <c r="B1002" s="27" t="s">
        <v>246</v>
      </c>
      <c r="C1002" s="27" t="s">
        <v>231</v>
      </c>
      <c r="D1002" s="27" t="s">
        <v>232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286</v>
      </c>
      <c r="B1003" s="27" t="s">
        <v>327</v>
      </c>
      <c r="C1003" s="27" t="s">
        <v>276</v>
      </c>
      <c r="D1003" s="27" t="s">
        <v>232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255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/>
    </row>
    <row r="1006" spans="1:12">
      <c r="A1006" s="20" t="s">
        <v>566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671</v>
      </c>
    </row>
    <row r="1008" spans="1:12">
      <c r="A1008" s="20" t="s">
        <v>11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343</v>
      </c>
      <c r="B1009" s="27" t="s">
        <v>241</v>
      </c>
      <c r="C1009" s="27" t="s">
        <v>231</v>
      </c>
      <c r="D1009" s="27" t="s">
        <v>232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672</v>
      </c>
      <c r="B1010" s="27" t="s">
        <v>266</v>
      </c>
      <c r="C1010" s="27" t="s">
        <v>236</v>
      </c>
      <c r="D1010" s="27" t="s">
        <v>232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673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674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571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626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675</v>
      </c>
      <c r="B1015" s="27" t="s">
        <v>266</v>
      </c>
      <c r="C1015" s="27" t="s">
        <v>242</v>
      </c>
      <c r="D1015" s="27" t="s">
        <v>232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676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571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243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677</v>
      </c>
      <c r="B1019" s="27" t="s">
        <v>260</v>
      </c>
      <c r="C1019" s="27" t="s">
        <v>242</v>
      </c>
      <c r="D1019" s="27" t="s">
        <v>232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243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678</v>
      </c>
      <c r="B1021" s="27" t="s">
        <v>241</v>
      </c>
      <c r="C1021" s="27" t="s">
        <v>242</v>
      </c>
      <c r="D1021" s="27" t="s">
        <v>232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279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297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679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299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228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680</v>
      </c>
      <c r="B1027" s="27" t="s">
        <v>320</v>
      </c>
      <c r="C1027" s="27" t="s">
        <v>236</v>
      </c>
      <c r="D1027" s="27" t="s">
        <v>232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674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228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681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655</v>
      </c>
      <c r="B1031" s="27" t="s">
        <v>241</v>
      </c>
      <c r="C1031" s="27" t="s">
        <v>236</v>
      </c>
      <c r="D1031" s="27" t="s">
        <v>232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255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/>
    </row>
    <row r="1034" spans="1:12">
      <c r="A1034" s="20" t="s">
        <v>682</v>
      </c>
    </row>
    <row r="1035" spans="1:12">
      <c r="A1035" s="20" t="s">
        <v>683</v>
      </c>
      <c r="B1035" s="27" t="s">
        <v>266</v>
      </c>
      <c r="C1035" s="27" t="s">
        <v>242</v>
      </c>
      <c r="D1035" s="27" t="s">
        <v>232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684</v>
      </c>
      <c r="B1036" s="27" t="s">
        <v>241</v>
      </c>
      <c r="C1036" s="27" t="s">
        <v>242</v>
      </c>
      <c r="D1036" s="27" t="s">
        <v>232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685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686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228</v>
      </c>
      <c r="B1039" s="27" t="s">
        <v>223</v>
      </c>
      <c r="C1039" s="27" t="s">
        <v>308</v>
      </c>
      <c r="D1039" s="27" t="s">
        <v>232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299</v>
      </c>
      <c r="B1040" s="27" t="s">
        <v>327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687</v>
      </c>
      <c r="B1041" s="27" t="s">
        <v>320</v>
      </c>
      <c r="C1041" s="27" t="s">
        <v>379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688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277</v>
      </c>
      <c r="B1043" s="27" t="s">
        <v>327</v>
      </c>
      <c r="C1043" s="27" t="s">
        <v>276</v>
      </c>
      <c r="D1043" s="27" t="s">
        <v>232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689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243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690</v>
      </c>
      <c r="B1046" s="27" t="s">
        <v>246</v>
      </c>
      <c r="C1046" s="27" t="s">
        <v>224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279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243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336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337</v>
      </c>
      <c r="B1050" s="27" t="s">
        <v>287</v>
      </c>
      <c r="C1050" s="27" t="s">
        <v>224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299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420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299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270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271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691</v>
      </c>
      <c r="B1056" s="27" t="s">
        <v>288</v>
      </c>
      <c r="C1056" s="27" t="s">
        <v>231</v>
      </c>
      <c r="D1056" s="27" t="s">
        <v>232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692</v>
      </c>
      <c r="B1057" s="27" t="s">
        <v>556</v>
      </c>
      <c r="C1057" s="27" t="s">
        <v>273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279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693</v>
      </c>
      <c r="B1059" s="27" t="s">
        <v>288</v>
      </c>
      <c r="C1059" s="27" t="s">
        <v>224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279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694</v>
      </c>
      <c r="B1061" s="27" t="s">
        <v>288</v>
      </c>
      <c r="C1061" s="27" t="s">
        <v>224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297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641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695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696</v>
      </c>
      <c r="B1065" s="27" t="s">
        <v>288</v>
      </c>
      <c r="C1065" s="27" t="s">
        <v>224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697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698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528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243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667</v>
      </c>
      <c r="B1070" s="27" t="s">
        <v>593</v>
      </c>
      <c r="C1070" s="27" t="s">
        <v>261</v>
      </c>
      <c r="D1070" s="27" t="s">
        <v>232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699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255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/>
    </row>
    <row r="1074" spans="1:12">
      <c r="A1074" s="20" t="s">
        <v>566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700</v>
      </c>
    </row>
    <row r="1076" spans="1:12">
      <c r="A1076" s="20" t="s">
        <v>11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343</v>
      </c>
      <c r="B1077" s="27" t="s">
        <v>241</v>
      </c>
      <c r="C1077" s="27" t="s">
        <v>231</v>
      </c>
      <c r="D1077" s="27" t="s">
        <v>232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701</v>
      </c>
      <c r="B1078" s="27" t="s">
        <v>266</v>
      </c>
      <c r="C1078" s="27" t="s">
        <v>236</v>
      </c>
      <c r="D1078" s="27" t="s">
        <v>232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702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356</v>
      </c>
      <c r="B1080" s="27" t="s">
        <v>223</v>
      </c>
      <c r="C1080" s="27" t="s">
        <v>224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251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703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350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704</v>
      </c>
      <c r="B1084" s="27" t="s">
        <v>327</v>
      </c>
      <c r="C1084" s="27" t="s">
        <v>314</v>
      </c>
      <c r="D1084" s="27" t="s">
        <v>232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297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279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409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705</v>
      </c>
      <c r="B1088" s="27" t="s">
        <v>230</v>
      </c>
      <c r="C1088" s="27" t="s">
        <v>224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250</v>
      </c>
      <c r="B1089" s="27" t="s">
        <v>246</v>
      </c>
      <c r="C1089" s="27" t="s">
        <v>242</v>
      </c>
      <c r="D1089" s="27" t="s">
        <v>232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398</v>
      </c>
      <c r="B1090" s="27" t="s">
        <v>241</v>
      </c>
      <c r="C1090" s="27" t="s">
        <v>308</v>
      </c>
      <c r="D1090" s="27" t="s">
        <v>232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279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706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707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285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277</v>
      </c>
      <c r="B1095" s="27" t="s">
        <v>253</v>
      </c>
      <c r="C1095" s="27" t="s">
        <v>276</v>
      </c>
      <c r="D1095" s="27" t="s">
        <v>232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243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684</v>
      </c>
      <c r="B1097" s="27" t="s">
        <v>230</v>
      </c>
      <c r="C1097" s="27" t="s">
        <v>242</v>
      </c>
      <c r="D1097" s="27" t="s">
        <v>232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299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706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708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371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571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709</v>
      </c>
      <c r="B1103" s="27" t="s">
        <v>327</v>
      </c>
      <c r="C1103" s="27" t="s">
        <v>242</v>
      </c>
      <c r="D1103" s="27" t="s">
        <v>232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571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279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571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11</v>
      </c>
      <c r="B1107" s="27" t="s">
        <v>246</v>
      </c>
      <c r="C1107" s="27" t="s">
        <v>242</v>
      </c>
      <c r="D1107" s="27" t="s">
        <v>232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710</v>
      </c>
      <c r="B1108" s="27" t="s">
        <v>344</v>
      </c>
      <c r="C1108" s="27" t="s">
        <v>242</v>
      </c>
      <c r="D1108" s="27" t="s">
        <v>232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571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297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571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11</v>
      </c>
      <c r="B1112" s="27" t="s">
        <v>344</v>
      </c>
      <c r="C1112" s="27" t="s">
        <v>242</v>
      </c>
      <c r="D1112" s="27" t="s">
        <v>232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711</v>
      </c>
      <c r="B1113" s="27" t="s">
        <v>287</v>
      </c>
      <c r="C1113" s="27" t="s">
        <v>242</v>
      </c>
      <c r="D1113" s="27" t="s">
        <v>232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571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279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248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712</v>
      </c>
      <c r="B1117" s="27" t="s">
        <v>287</v>
      </c>
      <c r="C1117" s="27" t="s">
        <v>361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510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645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299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641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713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251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456</v>
      </c>
      <c r="B1124" s="27" t="s">
        <v>560</v>
      </c>
      <c r="C1124" s="27" t="s">
        <v>224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250</v>
      </c>
      <c r="B1125" s="27" t="s">
        <v>431</v>
      </c>
      <c r="C1125" s="27" t="s">
        <v>242</v>
      </c>
      <c r="D1125" s="27" t="s">
        <v>232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248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714</v>
      </c>
      <c r="B1127" s="27" t="s">
        <v>596</v>
      </c>
      <c r="C1127" s="27" t="s">
        <v>361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255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/>
    </row>
    <row r="1130" spans="1:12">
      <c r="A1130" s="20" t="s">
        <v>566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715</v>
      </c>
    </row>
    <row r="1132" spans="1:12">
      <c r="A1132" s="20" t="s">
        <v>716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472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473</v>
      </c>
      <c r="B1134" s="27" t="s">
        <v>260</v>
      </c>
      <c r="C1134" s="27" t="s">
        <v>296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279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251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629</v>
      </c>
      <c r="B1137" s="27" t="s">
        <v>260</v>
      </c>
      <c r="C1137" s="27" t="s">
        <v>242</v>
      </c>
      <c r="D1137" s="27" t="s">
        <v>232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250</v>
      </c>
      <c r="B1138" s="27" t="s">
        <v>241</v>
      </c>
      <c r="C1138" s="27" t="s">
        <v>242</v>
      </c>
      <c r="D1138" s="27" t="s">
        <v>232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251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366</v>
      </c>
      <c r="B1140" s="27" t="s">
        <v>320</v>
      </c>
      <c r="C1140" s="27" t="s">
        <v>236</v>
      </c>
      <c r="D1140" s="27" t="s">
        <v>232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279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359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393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243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717</v>
      </c>
      <c r="B1145" s="27" t="s">
        <v>241</v>
      </c>
      <c r="C1145" s="27" t="s">
        <v>224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718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255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571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719</v>
      </c>
      <c r="B1149" s="27" t="s">
        <v>241</v>
      </c>
      <c r="C1149" s="27" t="s">
        <v>242</v>
      </c>
      <c r="D1149" s="27" t="s">
        <v>232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279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720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222</v>
      </c>
      <c r="B1152" s="27" t="s">
        <v>309</v>
      </c>
      <c r="C1152" s="27" t="s">
        <v>224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299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280</v>
      </c>
      <c r="B1154" s="27" t="s">
        <v>281</v>
      </c>
      <c r="C1154" s="27" t="s">
        <v>261</v>
      </c>
      <c r="D1154" s="27" t="s">
        <v>232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721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571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539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250</v>
      </c>
      <c r="B1158" s="27" t="s">
        <v>344</v>
      </c>
      <c r="C1158" s="27" t="s">
        <v>242</v>
      </c>
      <c r="D1158" s="27" t="s">
        <v>232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228</v>
      </c>
      <c r="B1159" s="27" t="s">
        <v>495</v>
      </c>
      <c r="C1159" s="27" t="s">
        <v>308</v>
      </c>
      <c r="D1159" s="27" t="s">
        <v>232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299</v>
      </c>
      <c r="B1160" s="27" t="s">
        <v>593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421</v>
      </c>
      <c r="B1161" s="27" t="s">
        <v>287</v>
      </c>
      <c r="C1161" s="27" t="s">
        <v>308</v>
      </c>
      <c r="D1161" s="27" t="s">
        <v>232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299</v>
      </c>
      <c r="B1162" s="27" t="s">
        <v>722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258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723</v>
      </c>
      <c r="B1164" s="27" t="s">
        <v>431</v>
      </c>
      <c r="C1164" s="27" t="s">
        <v>261</v>
      </c>
      <c r="D1164" s="27" t="s">
        <v>232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724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571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279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725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726</v>
      </c>
      <c r="B1169" s="27" t="s">
        <v>596</v>
      </c>
      <c r="C1169" s="27" t="s">
        <v>242</v>
      </c>
      <c r="D1169" s="27" t="s">
        <v>232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727</v>
      </c>
      <c r="B1170" s="27" t="s">
        <v>431</v>
      </c>
      <c r="C1170" s="27" t="s">
        <v>242</v>
      </c>
      <c r="D1170" s="27" t="s">
        <v>232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279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480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422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501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251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447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728</v>
      </c>
      <c r="B1177" s="27" t="s">
        <v>431</v>
      </c>
      <c r="C1177" s="27" t="s">
        <v>242</v>
      </c>
      <c r="D1177" s="27" t="s">
        <v>232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250</v>
      </c>
      <c r="B1178" s="27" t="s">
        <v>729</v>
      </c>
      <c r="C1178" s="27" t="s">
        <v>242</v>
      </c>
      <c r="D1178" s="27" t="s">
        <v>232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228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730</v>
      </c>
      <c r="B1180" s="27" t="s">
        <v>436</v>
      </c>
      <c r="C1180" s="27" t="s">
        <v>242</v>
      </c>
      <c r="D1180" s="27" t="s">
        <v>232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731</v>
      </c>
      <c r="B1181" s="27" t="s">
        <v>729</v>
      </c>
      <c r="C1181" s="27" t="s">
        <v>242</v>
      </c>
      <c r="D1181" s="27" t="s">
        <v>232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239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251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732</v>
      </c>
      <c r="B1184" s="27" t="s">
        <v>729</v>
      </c>
      <c r="C1184" s="27" t="s">
        <v>242</v>
      </c>
      <c r="D1184" s="27" t="s">
        <v>232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733</v>
      </c>
      <c r="B1185" s="27" t="s">
        <v>505</v>
      </c>
      <c r="C1185" s="27" t="s">
        <v>242</v>
      </c>
      <c r="D1185" s="27" t="s">
        <v>232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279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297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667</v>
      </c>
      <c r="B1188" s="27" t="s">
        <v>734</v>
      </c>
      <c r="C1188" s="27" t="s">
        <v>261</v>
      </c>
      <c r="D1188" s="27" t="s">
        <v>232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501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447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735</v>
      </c>
      <c r="B1191" s="27" t="s">
        <v>431</v>
      </c>
      <c r="C1191" s="27" t="s">
        <v>242</v>
      </c>
      <c r="D1191" s="27" t="s">
        <v>232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258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228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736</v>
      </c>
      <c r="B1194" s="27" t="s">
        <v>431</v>
      </c>
      <c r="C1194" s="27" t="s">
        <v>236</v>
      </c>
      <c r="D1194" s="27" t="s">
        <v>232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737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297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542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611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738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239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251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453</v>
      </c>
      <c r="B1202" s="27" t="s">
        <v>739</v>
      </c>
      <c r="C1202" s="27" t="s">
        <v>236</v>
      </c>
      <c r="D1202" s="27" t="s">
        <v>232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250</v>
      </c>
      <c r="B1203" s="27" t="s">
        <v>740</v>
      </c>
      <c r="C1203" s="27" t="s">
        <v>242</v>
      </c>
      <c r="D1203" s="27" t="s">
        <v>232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447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728</v>
      </c>
      <c r="B1205" s="27" t="s">
        <v>741</v>
      </c>
      <c r="C1205" s="27" t="s">
        <v>242</v>
      </c>
      <c r="D1205" s="27" t="s">
        <v>232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255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/>
    </row>
    <row r="1208" spans="1:12">
      <c r="A1208" s="20" t="s">
        <v>742</v>
      </c>
    </row>
    <row r="1209" spans="1:12">
      <c r="A1209" s="20" t="s">
        <v>626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366</v>
      </c>
      <c r="B1210" s="27" t="s">
        <v>235</v>
      </c>
      <c r="C1210" s="27" t="s">
        <v>236</v>
      </c>
      <c r="D1210" s="27" t="s">
        <v>232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743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239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483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279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317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239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744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255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/>
    </row>
    <row r="1220" spans="1:12">
      <c r="A1220" s="20" t="s">
        <v>745</v>
      </c>
    </row>
    <row r="1221" spans="1:12">
      <c r="A1221" s="20" t="s">
        <v>746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239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747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748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749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228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750</v>
      </c>
      <c r="B1227" s="27" t="s">
        <v>253</v>
      </c>
      <c r="C1227" s="27" t="s">
        <v>236</v>
      </c>
      <c r="D1227" s="27" t="s">
        <v>232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274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751</v>
      </c>
      <c r="B1229" s="27" t="s">
        <v>246</v>
      </c>
      <c r="C1229" s="27" t="s">
        <v>224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363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297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751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752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753</v>
      </c>
      <c r="B1234" s="27" t="s">
        <v>495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255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/>
    </row>
    <row r="1237" spans="1:12">
      <c r="A1237" s="20" t="s">
        <v>754</v>
      </c>
    </row>
    <row r="1238" spans="1:12">
      <c r="A1238" s="20" t="s">
        <v>626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366</v>
      </c>
      <c r="B1239" s="27" t="s">
        <v>266</v>
      </c>
      <c r="C1239" s="27" t="s">
        <v>236</v>
      </c>
      <c r="D1239" s="27" t="s">
        <v>232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359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755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756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409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251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757</v>
      </c>
      <c r="B1245" s="27" t="s">
        <v>241</v>
      </c>
      <c r="C1245" s="27" t="s">
        <v>231</v>
      </c>
      <c r="D1245" s="27" t="s">
        <v>232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758</v>
      </c>
      <c r="B1246" s="27" t="s">
        <v>260</v>
      </c>
      <c r="C1246" s="27" t="s">
        <v>236</v>
      </c>
      <c r="D1246" s="27" t="s">
        <v>232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297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317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409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228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759</v>
      </c>
      <c r="B1251" s="27" t="s">
        <v>260</v>
      </c>
      <c r="C1251" s="27" t="s">
        <v>236</v>
      </c>
      <c r="D1251" s="27" t="s">
        <v>232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243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760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251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757</v>
      </c>
      <c r="B1255" s="27" t="s">
        <v>246</v>
      </c>
      <c r="C1255" s="27" t="s">
        <v>231</v>
      </c>
      <c r="D1255" s="27" t="s">
        <v>232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761</v>
      </c>
      <c r="B1256" s="27" t="s">
        <v>327</v>
      </c>
      <c r="C1256" s="27" t="s">
        <v>236</v>
      </c>
      <c r="D1256" s="27" t="s">
        <v>232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255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/>
    </row>
    <row r="1259" spans="1:12">
      <c r="A1259" s="20" t="s">
        <v>762</v>
      </c>
    </row>
    <row r="1260" spans="1:12">
      <c r="A1260" s="20" t="s">
        <v>763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764</v>
      </c>
      <c r="B1261" s="27" t="s">
        <v>266</v>
      </c>
      <c r="C1261" s="27" t="s">
        <v>296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297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765</v>
      </c>
      <c r="B1263" s="27" t="s">
        <v>241</v>
      </c>
      <c r="C1263" s="27" t="s">
        <v>224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766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767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370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768</v>
      </c>
      <c r="B1267" s="27" t="s">
        <v>223</v>
      </c>
      <c r="C1267" s="27" t="s">
        <v>314</v>
      </c>
      <c r="D1267" s="27" t="s">
        <v>232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376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/>
    </row>
    <row r="1270" spans="1:12">
      <c r="A1270" s="20" t="s">
        <v>769</v>
      </c>
    </row>
    <row r="1271" spans="1:12">
      <c r="A1271" s="20" t="s">
        <v>770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398</v>
      </c>
      <c r="B1272" s="27" t="s">
        <v>223</v>
      </c>
      <c r="C1272" s="27" t="s">
        <v>308</v>
      </c>
      <c r="D1272" s="27" t="s">
        <v>232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641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239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251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278</v>
      </c>
      <c r="B1276" s="27" t="s">
        <v>260</v>
      </c>
      <c r="C1276" s="27" t="s">
        <v>242</v>
      </c>
      <c r="D1276" s="27" t="s">
        <v>232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250</v>
      </c>
      <c r="B1277" s="27" t="s">
        <v>241</v>
      </c>
      <c r="C1277" s="27" t="s">
        <v>242</v>
      </c>
      <c r="D1277" s="27" t="s">
        <v>232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228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771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772</v>
      </c>
      <c r="B1280" s="27" t="s">
        <v>266</v>
      </c>
      <c r="C1280" s="27" t="s">
        <v>236</v>
      </c>
      <c r="D1280" s="27" t="s">
        <v>232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250</v>
      </c>
      <c r="B1281" s="27" t="s">
        <v>241</v>
      </c>
      <c r="C1281" s="27" t="s">
        <v>242</v>
      </c>
      <c r="D1281" s="27" t="s">
        <v>232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228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773</v>
      </c>
      <c r="B1283" s="27" t="s">
        <v>241</v>
      </c>
      <c r="C1283" s="27" t="s">
        <v>242</v>
      </c>
      <c r="D1283" s="27" t="s">
        <v>232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279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774</v>
      </c>
      <c r="B1285" s="27" t="s">
        <v>230</v>
      </c>
      <c r="C1285" s="27" t="s">
        <v>242</v>
      </c>
      <c r="D1285" s="27" t="s">
        <v>232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775</v>
      </c>
      <c r="B1286" s="27" t="s">
        <v>246</v>
      </c>
      <c r="C1286" s="27" t="s">
        <v>242</v>
      </c>
      <c r="D1286" s="27" t="s">
        <v>232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279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299</v>
      </c>
      <c r="B1288" s="27" t="s">
        <v>320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475</v>
      </c>
      <c r="B1289" s="27" t="s">
        <v>327</v>
      </c>
      <c r="C1289" s="27" t="s">
        <v>261</v>
      </c>
      <c r="D1289" s="27" t="s">
        <v>232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325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299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271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691</v>
      </c>
      <c r="B1293" s="27" t="s">
        <v>344</v>
      </c>
      <c r="C1293" s="27" t="s">
        <v>231</v>
      </c>
      <c r="D1293" s="27" t="s">
        <v>232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776</v>
      </c>
      <c r="B1294" s="27" t="s">
        <v>310</v>
      </c>
      <c r="C1294" s="27" t="s">
        <v>236</v>
      </c>
      <c r="D1294" s="27" t="s">
        <v>232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317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777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778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779</v>
      </c>
      <c r="B1298" s="27" t="s">
        <v>230</v>
      </c>
      <c r="C1298" s="27" t="s">
        <v>276</v>
      </c>
      <c r="D1298" s="27" t="s">
        <v>232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243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248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780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781</v>
      </c>
      <c r="B1302" s="27" t="s">
        <v>246</v>
      </c>
      <c r="C1302" s="27" t="s">
        <v>361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279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362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250</v>
      </c>
      <c r="B1305" s="27" t="s">
        <v>344</v>
      </c>
      <c r="C1305" s="27" t="s">
        <v>242</v>
      </c>
      <c r="D1305" s="27" t="s">
        <v>232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251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782</v>
      </c>
      <c r="B1307" s="27" t="s">
        <v>287</v>
      </c>
      <c r="C1307" s="27" t="s">
        <v>236</v>
      </c>
      <c r="D1307" s="27" t="s">
        <v>232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250</v>
      </c>
      <c r="B1308" s="27" t="s">
        <v>288</v>
      </c>
      <c r="C1308" s="27" t="s">
        <v>242</v>
      </c>
      <c r="D1308" s="27" t="s">
        <v>232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248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783</v>
      </c>
      <c r="B1310" s="27" t="s">
        <v>288</v>
      </c>
      <c r="C1310" s="27" t="s">
        <v>276</v>
      </c>
      <c r="D1310" s="27" t="s">
        <v>232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243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393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784</v>
      </c>
      <c r="B1313" s="27" t="s">
        <v>560</v>
      </c>
      <c r="C1313" s="27" t="s">
        <v>224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255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/>
    </row>
    <row r="1316" spans="1:12">
      <c r="A1316" s="20" t="s">
        <v>785</v>
      </c>
    </row>
    <row r="1317" spans="1:12">
      <c r="A1317" s="20" t="s">
        <v>786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388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239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271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787</v>
      </c>
      <c r="B1321" s="27" t="s">
        <v>241</v>
      </c>
      <c r="C1321" s="27" t="s">
        <v>276</v>
      </c>
      <c r="D1321" s="27" t="s">
        <v>232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239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251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757</v>
      </c>
      <c r="B1324" s="27" t="s">
        <v>246</v>
      </c>
      <c r="C1324" s="27" t="s">
        <v>231</v>
      </c>
      <c r="D1324" s="27" t="s">
        <v>232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788</v>
      </c>
      <c r="B1325" s="27" t="s">
        <v>230</v>
      </c>
      <c r="C1325" s="27" t="s">
        <v>236</v>
      </c>
      <c r="D1325" s="27" t="s">
        <v>232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255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/>
    </row>
    <row r="1328" spans="1:12">
      <c r="A1328" s="20" t="s">
        <v>789</v>
      </c>
    </row>
    <row r="1329" spans="1:12">
      <c r="A1329" s="20" t="s">
        <v>577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248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790</v>
      </c>
      <c r="B1331" s="27" t="s">
        <v>260</v>
      </c>
      <c r="C1331" s="27" t="s">
        <v>361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299</v>
      </c>
      <c r="B1332" s="27" t="s">
        <v>253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791</v>
      </c>
      <c r="B1333" s="27" t="s">
        <v>235</v>
      </c>
      <c r="C1333" s="27" t="s">
        <v>242</v>
      </c>
      <c r="D1333" s="27" t="s">
        <v>232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792</v>
      </c>
      <c r="B1334" s="27" t="s">
        <v>230</v>
      </c>
      <c r="C1334" s="27" t="s">
        <v>242</v>
      </c>
      <c r="D1334" s="27" t="s">
        <v>232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793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279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388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325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299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251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794</v>
      </c>
      <c r="B1341" s="27" t="s">
        <v>320</v>
      </c>
      <c r="C1341" s="27" t="s">
        <v>236</v>
      </c>
      <c r="D1341" s="27" t="s">
        <v>232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795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250</v>
      </c>
      <c r="B1343" s="27" t="s">
        <v>246</v>
      </c>
      <c r="C1343" s="27" t="s">
        <v>242</v>
      </c>
      <c r="D1343" s="27" t="s">
        <v>232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228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343</v>
      </c>
      <c r="B1345" s="27" t="s">
        <v>246</v>
      </c>
      <c r="C1345" s="27" t="s">
        <v>231</v>
      </c>
      <c r="D1345" s="27" t="s">
        <v>232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796</v>
      </c>
      <c r="B1346" s="27" t="s">
        <v>320</v>
      </c>
      <c r="C1346" s="27" t="s">
        <v>236</v>
      </c>
      <c r="D1346" s="27" t="s">
        <v>232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674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364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251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532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279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364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797</v>
      </c>
      <c r="B1353" s="27" t="s">
        <v>235</v>
      </c>
      <c r="C1353" s="27" t="s">
        <v>308</v>
      </c>
      <c r="D1353" s="27" t="s">
        <v>232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299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667</v>
      </c>
      <c r="B1355" s="27" t="s">
        <v>320</v>
      </c>
      <c r="C1355" s="27" t="s">
        <v>261</v>
      </c>
      <c r="D1355" s="27" t="s">
        <v>232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798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799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800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255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/>
    </row>
    <row r="1361" spans="1:12">
      <c r="A1361" s="20" t="s">
        <v>801</v>
      </c>
    </row>
    <row r="1362" spans="1:12">
      <c r="A1362" s="20" t="s">
        <v>802</v>
      </c>
      <c r="B1362" s="27" t="s">
        <v>260</v>
      </c>
      <c r="C1362" s="27" t="s">
        <v>242</v>
      </c>
      <c r="D1362" s="27" t="s">
        <v>232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250</v>
      </c>
      <c r="B1363" s="27" t="s">
        <v>241</v>
      </c>
      <c r="C1363" s="27" t="s">
        <v>242</v>
      </c>
      <c r="D1363" s="27" t="s">
        <v>232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251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803</v>
      </c>
      <c r="B1365" s="27" t="s">
        <v>266</v>
      </c>
      <c r="C1365" s="27" t="s">
        <v>236</v>
      </c>
      <c r="D1365" s="27" t="s">
        <v>232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409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299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251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393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394</v>
      </c>
      <c r="B1370" s="27" t="s">
        <v>320</v>
      </c>
      <c r="C1370" s="27" t="s">
        <v>236</v>
      </c>
      <c r="D1370" s="27" t="s">
        <v>232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743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804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239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251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366</v>
      </c>
      <c r="B1375" s="27" t="s">
        <v>230</v>
      </c>
      <c r="C1375" s="27" t="s">
        <v>236</v>
      </c>
      <c r="D1375" s="27" t="s">
        <v>232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359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227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279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805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806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807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251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757</v>
      </c>
      <c r="B1383" s="27" t="s">
        <v>246</v>
      </c>
      <c r="C1383" s="27" t="s">
        <v>231</v>
      </c>
      <c r="D1383" s="27" t="s">
        <v>232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808</v>
      </c>
      <c r="B1384" s="27" t="s">
        <v>320</v>
      </c>
      <c r="C1384" s="27" t="s">
        <v>236</v>
      </c>
      <c r="D1384" s="27" t="s">
        <v>232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279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539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809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810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403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299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317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811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812</v>
      </c>
      <c r="B1393" s="27" t="s">
        <v>344</v>
      </c>
      <c r="C1393" s="27" t="s">
        <v>379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421</v>
      </c>
      <c r="B1394" s="27" t="s">
        <v>309</v>
      </c>
      <c r="C1394" s="27" t="s">
        <v>308</v>
      </c>
      <c r="D1394" s="27" t="s">
        <v>232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299</v>
      </c>
      <c r="B1395" s="27" t="s">
        <v>556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813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609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255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/>
    </row>
    <row r="1400" spans="1:12">
      <c r="A1400" s="20" t="s">
        <v>814</v>
      </c>
    </row>
    <row r="1401" spans="1:12">
      <c r="A1401" s="20" t="s">
        <v>815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356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228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816</v>
      </c>
      <c r="B1404" s="27" t="s">
        <v>266</v>
      </c>
      <c r="C1404" s="27" t="s">
        <v>236</v>
      </c>
      <c r="D1404" s="27" t="s">
        <v>232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817</v>
      </c>
      <c r="B1405" s="27" t="s">
        <v>241</v>
      </c>
      <c r="C1405" s="27" t="s">
        <v>242</v>
      </c>
      <c r="D1405" s="27" t="s">
        <v>232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255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/>
    </row>
    <row r="1408" spans="1:12">
      <c r="A1408" s="20" t="s">
        <v>566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818</v>
      </c>
    </row>
    <row r="1410" spans="1:12">
      <c r="A1410" s="20" t="s">
        <v>11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819</v>
      </c>
      <c r="B1411" s="27" t="s">
        <v>266</v>
      </c>
      <c r="C1411" s="27" t="s">
        <v>242</v>
      </c>
      <c r="D1411" s="27" t="s">
        <v>232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820</v>
      </c>
      <c r="B1412" s="27" t="s">
        <v>241</v>
      </c>
      <c r="C1412" s="27" t="s">
        <v>242</v>
      </c>
      <c r="D1412" s="27" t="s">
        <v>232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237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821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614</v>
      </c>
      <c r="B1415" s="27" t="s">
        <v>223</v>
      </c>
      <c r="C1415" s="27" t="s">
        <v>276</v>
      </c>
      <c r="D1415" s="27" t="s">
        <v>232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251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822</v>
      </c>
      <c r="B1417" s="27" t="s">
        <v>241</v>
      </c>
      <c r="C1417" s="27" t="s">
        <v>242</v>
      </c>
      <c r="D1417" s="27" t="s">
        <v>232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823</v>
      </c>
      <c r="B1418" s="27" t="s">
        <v>230</v>
      </c>
      <c r="C1418" s="27" t="s">
        <v>242</v>
      </c>
      <c r="D1418" s="27" t="s">
        <v>232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388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306</v>
      </c>
      <c r="B1420" s="27" t="s">
        <v>253</v>
      </c>
      <c r="C1420" s="27" t="s">
        <v>261</v>
      </c>
      <c r="D1420" s="27" t="s">
        <v>232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824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371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571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11</v>
      </c>
      <c r="B1424" s="27" t="s">
        <v>246</v>
      </c>
      <c r="C1424" s="27" t="s">
        <v>308</v>
      </c>
      <c r="D1424" s="27" t="s">
        <v>232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299</v>
      </c>
      <c r="B1425" s="27" t="s">
        <v>320</v>
      </c>
      <c r="C1425" s="27" t="s">
        <v>373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359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299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825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258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228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826</v>
      </c>
      <c r="B1431" s="27" t="s">
        <v>327</v>
      </c>
      <c r="C1431" s="27" t="s">
        <v>236</v>
      </c>
      <c r="D1431" s="27" t="s">
        <v>232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376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/>
    </row>
    <row r="1434" spans="1:12">
      <c r="A1434" s="20" t="s">
        <v>566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827</v>
      </c>
    </row>
    <row r="1436" spans="1:12">
      <c r="A1436" s="20" t="s">
        <v>571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297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667</v>
      </c>
      <c r="B1438" s="27" t="s">
        <v>235</v>
      </c>
      <c r="C1438" s="27" t="s">
        <v>261</v>
      </c>
      <c r="D1438" s="27" t="s">
        <v>232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325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371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571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828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829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434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811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571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255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/>
    </row>
    <row r="1449" spans="1:12">
      <c r="A1449" s="20" t="s">
        <v>830</v>
      </c>
    </row>
    <row r="1450" spans="1:12">
      <c r="A1450" s="20" t="s">
        <v>11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353</v>
      </c>
      <c r="B1451" s="27" t="s">
        <v>266</v>
      </c>
      <c r="C1451" s="27" t="s">
        <v>236</v>
      </c>
      <c r="D1451" s="27" t="s">
        <v>232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831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756</v>
      </c>
      <c r="B1453" s="27" t="s">
        <v>223</v>
      </c>
      <c r="C1453" s="27" t="s">
        <v>224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279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362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248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393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394</v>
      </c>
      <c r="B1458" s="27" t="s">
        <v>320</v>
      </c>
      <c r="C1458" s="27" t="s">
        <v>361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832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833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756</v>
      </c>
      <c r="B1461" s="27" t="s">
        <v>327</v>
      </c>
      <c r="C1461" s="27" t="s">
        <v>242</v>
      </c>
      <c r="D1461" s="27" t="s">
        <v>232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247</v>
      </c>
      <c r="B1462" s="27" t="s">
        <v>246</v>
      </c>
      <c r="C1462" s="27" t="s">
        <v>242</v>
      </c>
      <c r="D1462" s="27" t="s">
        <v>232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248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629</v>
      </c>
      <c r="B1464" s="27" t="s">
        <v>327</v>
      </c>
      <c r="C1464" s="27" t="s">
        <v>361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834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255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/>
    </row>
    <row r="1468" spans="1:12">
      <c r="A1468" s="20" t="s">
        <v>566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835</v>
      </c>
    </row>
    <row r="1470" spans="1:12">
      <c r="A1470" s="20" t="s">
        <v>836</v>
      </c>
      <c r="B1470" s="27" t="s">
        <v>260</v>
      </c>
      <c r="C1470" s="27" t="s">
        <v>242</v>
      </c>
      <c r="D1470" s="27" t="s">
        <v>232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250</v>
      </c>
      <c r="B1471" s="27" t="s">
        <v>260</v>
      </c>
      <c r="C1471" s="27" t="s">
        <v>242</v>
      </c>
      <c r="D1471" s="27" t="s">
        <v>232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271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837</v>
      </c>
      <c r="B1473" s="27" t="s">
        <v>235</v>
      </c>
      <c r="C1473" s="27" t="s">
        <v>236</v>
      </c>
      <c r="D1473" s="27" t="s">
        <v>232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539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838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250</v>
      </c>
      <c r="B1476" s="27" t="s">
        <v>246</v>
      </c>
      <c r="C1476" s="27" t="s">
        <v>242</v>
      </c>
      <c r="D1476" s="27" t="s">
        <v>232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398</v>
      </c>
      <c r="B1477" s="27" t="s">
        <v>235</v>
      </c>
      <c r="C1477" s="27" t="s">
        <v>308</v>
      </c>
      <c r="D1477" s="27" t="s">
        <v>232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839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388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840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284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251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607</v>
      </c>
      <c r="B1483" s="27" t="s">
        <v>327</v>
      </c>
      <c r="C1483" s="27" t="s">
        <v>276</v>
      </c>
      <c r="D1483" s="27" t="s">
        <v>232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274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271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571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841</v>
      </c>
      <c r="B1487" s="27" t="s">
        <v>246</v>
      </c>
      <c r="C1487" s="27" t="s">
        <v>276</v>
      </c>
      <c r="D1487" s="27" t="s">
        <v>232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243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842</v>
      </c>
      <c r="B1489" s="27" t="s">
        <v>344</v>
      </c>
      <c r="C1489" s="27" t="s">
        <v>224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571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843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297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271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571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841</v>
      </c>
      <c r="B1495" s="27" t="s">
        <v>722</v>
      </c>
      <c r="C1495" s="27" t="s">
        <v>276</v>
      </c>
      <c r="D1495" s="27" t="s">
        <v>232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243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844</v>
      </c>
      <c r="B1497" s="27" t="s">
        <v>431</v>
      </c>
      <c r="C1497" s="27" t="s">
        <v>224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571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528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250</v>
      </c>
      <c r="B1500" s="27" t="s">
        <v>431</v>
      </c>
      <c r="C1500" s="27" t="s">
        <v>242</v>
      </c>
      <c r="D1500" s="27" t="s">
        <v>232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248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845</v>
      </c>
      <c r="B1502" s="27" t="s">
        <v>288</v>
      </c>
      <c r="C1502" s="27" t="s">
        <v>236</v>
      </c>
      <c r="D1502" s="27" t="s">
        <v>232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255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/>
    </row>
    <row r="1505" spans="1:12">
      <c r="A1505" s="20" t="s">
        <v>566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846</v>
      </c>
    </row>
    <row r="1507" spans="1:12">
      <c r="A1507" s="20" t="s">
        <v>847</v>
      </c>
      <c r="B1507" s="27" t="s">
        <v>266</v>
      </c>
      <c r="C1507" s="27" t="s">
        <v>242</v>
      </c>
      <c r="D1507" s="27" t="s">
        <v>232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848</v>
      </c>
      <c r="B1508" s="27" t="s">
        <v>241</v>
      </c>
      <c r="C1508" s="27" t="s">
        <v>242</v>
      </c>
      <c r="D1508" s="27" t="s">
        <v>232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297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251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303</v>
      </c>
      <c r="B1511" s="27" t="s">
        <v>230</v>
      </c>
      <c r="C1511" s="27" t="s">
        <v>231</v>
      </c>
      <c r="D1511" s="27" t="s">
        <v>232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404</v>
      </c>
      <c r="B1512" s="27" t="s">
        <v>241</v>
      </c>
      <c r="C1512" s="27" t="s">
        <v>276</v>
      </c>
      <c r="D1512" s="27" t="s">
        <v>232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250</v>
      </c>
      <c r="B1513" s="27" t="s">
        <v>230</v>
      </c>
      <c r="C1513" s="27" t="s">
        <v>242</v>
      </c>
      <c r="D1513" s="27" t="s">
        <v>232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251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849</v>
      </c>
      <c r="B1515" s="27" t="s">
        <v>230</v>
      </c>
      <c r="C1515" s="27" t="s">
        <v>242</v>
      </c>
      <c r="D1515" s="27" t="s">
        <v>232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243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850</v>
      </c>
      <c r="B1517" s="27" t="s">
        <v>246</v>
      </c>
      <c r="C1517" s="27" t="s">
        <v>242</v>
      </c>
      <c r="D1517" s="27" t="s">
        <v>232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851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383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607</v>
      </c>
      <c r="B1520" s="27" t="s">
        <v>223</v>
      </c>
      <c r="C1520" s="27" t="s">
        <v>314</v>
      </c>
      <c r="D1520" s="27" t="s">
        <v>232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297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852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299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251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853</v>
      </c>
      <c r="B1525" s="27" t="s">
        <v>320</v>
      </c>
      <c r="C1525" s="27" t="s">
        <v>236</v>
      </c>
      <c r="D1525" s="27" t="s">
        <v>232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299</v>
      </c>
      <c r="B1526" s="27" t="s">
        <v>495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271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571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841</v>
      </c>
      <c r="B1529" s="27" t="s">
        <v>281</v>
      </c>
      <c r="C1529" s="27" t="s">
        <v>276</v>
      </c>
      <c r="D1529" s="27" t="s">
        <v>232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243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842</v>
      </c>
      <c r="B1531" s="27" t="s">
        <v>287</v>
      </c>
      <c r="C1531" s="27" t="s">
        <v>224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571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854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255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855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258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251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250</v>
      </c>
      <c r="B1538" s="27" t="s">
        <v>246</v>
      </c>
      <c r="C1538" s="27" t="s">
        <v>242</v>
      </c>
      <c r="D1538" s="27" t="s">
        <v>232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271</v>
      </c>
      <c r="B1539" s="27" t="s">
        <v>327</v>
      </c>
      <c r="C1539" s="27" t="s">
        <v>261</v>
      </c>
      <c r="D1539" s="27" t="s">
        <v>232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571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243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844</v>
      </c>
      <c r="B1542" s="27" t="s">
        <v>230</v>
      </c>
      <c r="C1542" s="27" t="s">
        <v>224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571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279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299</v>
      </c>
      <c r="B1545" s="27" t="s">
        <v>281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856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422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854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539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857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409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317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858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859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239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860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861</v>
      </c>
      <c r="B1557" s="27" t="s">
        <v>287</v>
      </c>
      <c r="C1557" s="27" t="s">
        <v>224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297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317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858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862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863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864</v>
      </c>
      <c r="B1563" s="27" t="s">
        <v>593</v>
      </c>
      <c r="C1563" s="27" t="s">
        <v>273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279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865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391</v>
      </c>
      <c r="B1566" s="27" t="s">
        <v>327</v>
      </c>
      <c r="C1566" s="27" t="s">
        <v>242</v>
      </c>
      <c r="D1566" s="27" t="s">
        <v>232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271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571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841</v>
      </c>
      <c r="B1569" s="27" t="s">
        <v>320</v>
      </c>
      <c r="C1569" s="27" t="s">
        <v>276</v>
      </c>
      <c r="D1569" s="27" t="s">
        <v>232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243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842</v>
      </c>
      <c r="B1571" s="27" t="s">
        <v>246</v>
      </c>
      <c r="C1571" s="27" t="s">
        <v>224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571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248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449</v>
      </c>
      <c r="B1574" s="27" t="s">
        <v>246</v>
      </c>
      <c r="C1574" s="27" t="s">
        <v>276</v>
      </c>
      <c r="D1574" s="27" t="s">
        <v>232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239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251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845</v>
      </c>
      <c r="B1577" s="27" t="s">
        <v>344</v>
      </c>
      <c r="C1577" s="27" t="s">
        <v>236</v>
      </c>
      <c r="D1577" s="27" t="s">
        <v>232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532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255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/>
    </row>
    <row r="1581" spans="1:12">
      <c r="A1581" s="20" t="s">
        <v>566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866</v>
      </c>
    </row>
    <row r="1583" spans="1:12">
      <c r="A1583" s="20" t="s">
        <v>770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398</v>
      </c>
      <c r="B1584" s="27" t="s">
        <v>223</v>
      </c>
      <c r="C1584" s="27" t="s">
        <v>308</v>
      </c>
      <c r="D1584" s="27" t="s">
        <v>232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279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641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239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251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867</v>
      </c>
      <c r="B1589" s="27" t="s">
        <v>260</v>
      </c>
      <c r="C1589" s="27" t="s">
        <v>236</v>
      </c>
      <c r="D1589" s="27" t="s">
        <v>232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250</v>
      </c>
      <c r="B1590" s="27" t="s">
        <v>241</v>
      </c>
      <c r="C1590" s="27" t="s">
        <v>242</v>
      </c>
      <c r="D1590" s="27" t="s">
        <v>232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228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868</v>
      </c>
      <c r="B1592" s="27" t="s">
        <v>241</v>
      </c>
      <c r="C1592" s="27" t="s">
        <v>236</v>
      </c>
      <c r="D1592" s="27" t="s">
        <v>232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279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299</v>
      </c>
      <c r="B1594" s="27" t="s">
        <v>310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279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239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869</v>
      </c>
      <c r="B1597" s="27" t="s">
        <v>246</v>
      </c>
      <c r="C1597" s="27" t="s">
        <v>224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279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422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870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243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370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768</v>
      </c>
      <c r="B1603" s="27" t="s">
        <v>246</v>
      </c>
      <c r="C1603" s="27" t="s">
        <v>314</v>
      </c>
      <c r="D1603" s="27" t="s">
        <v>232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250</v>
      </c>
      <c r="B1604" s="27" t="s">
        <v>344</v>
      </c>
      <c r="C1604" s="27" t="s">
        <v>242</v>
      </c>
      <c r="D1604" s="27" t="s">
        <v>232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251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393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394</v>
      </c>
      <c r="B1607" s="27" t="s">
        <v>309</v>
      </c>
      <c r="C1607" s="27" t="s">
        <v>236</v>
      </c>
      <c r="D1607" s="27" t="s">
        <v>232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297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871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443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872</v>
      </c>
      <c r="B1611" s="27" t="s">
        <v>290</v>
      </c>
      <c r="C1611" s="27" t="s">
        <v>314</v>
      </c>
      <c r="D1611" s="27" t="s">
        <v>232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299</v>
      </c>
      <c r="B1612" s="27" t="s">
        <v>722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873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248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874</v>
      </c>
      <c r="B1615" s="27" t="s">
        <v>596</v>
      </c>
      <c r="C1615" s="27" t="s">
        <v>276</v>
      </c>
      <c r="D1615" s="27" t="s">
        <v>232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243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393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784</v>
      </c>
      <c r="B1618" s="27" t="s">
        <v>431</v>
      </c>
      <c r="C1618" s="27" t="s">
        <v>224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539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875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250</v>
      </c>
      <c r="B1621" s="27" t="s">
        <v>505</v>
      </c>
      <c r="C1621" s="27" t="s">
        <v>242</v>
      </c>
      <c r="D1621" s="27" t="s">
        <v>232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228</v>
      </c>
      <c r="B1622" s="27" t="s">
        <v>431</v>
      </c>
      <c r="C1622" s="27" t="s">
        <v>308</v>
      </c>
      <c r="D1622" s="27" t="s">
        <v>232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299</v>
      </c>
      <c r="B1623" s="27" t="s">
        <v>876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251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877</v>
      </c>
      <c r="B1625" s="27" t="s">
        <v>878</v>
      </c>
      <c r="C1625" s="27" t="s">
        <v>236</v>
      </c>
      <c r="D1625" s="27" t="s">
        <v>232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297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409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398</v>
      </c>
      <c r="B1628" s="27" t="s">
        <v>739</v>
      </c>
      <c r="C1628" s="27" t="s">
        <v>308</v>
      </c>
      <c r="D1628" s="27" t="s">
        <v>232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879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285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880</v>
      </c>
      <c r="B1631" s="27" t="s">
        <v>876</v>
      </c>
      <c r="C1631" s="27" t="s">
        <v>236</v>
      </c>
      <c r="D1631" s="27" t="s">
        <v>232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251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881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539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872</v>
      </c>
      <c r="B1635" s="27" t="s">
        <v>882</v>
      </c>
      <c r="C1635" s="27" t="s">
        <v>296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251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299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883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571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884</v>
      </c>
      <c r="B1640" s="27" t="s">
        <v>885</v>
      </c>
      <c r="C1640" s="27" t="s">
        <v>224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571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279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297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886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248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783</v>
      </c>
      <c r="B1646" s="27" t="s">
        <v>887</v>
      </c>
      <c r="C1646" s="27" t="s">
        <v>276</v>
      </c>
      <c r="D1646" s="27" t="s">
        <v>232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243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888</v>
      </c>
      <c r="B1648" s="27" t="s">
        <v>889</v>
      </c>
      <c r="C1648" s="27" t="s">
        <v>224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239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251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867</v>
      </c>
      <c r="B1651" s="27" t="s">
        <v>890</v>
      </c>
      <c r="C1651" s="27" t="s">
        <v>236</v>
      </c>
      <c r="D1651" s="27" t="s">
        <v>232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250</v>
      </c>
      <c r="B1652" s="27" t="s">
        <v>889</v>
      </c>
      <c r="C1652" s="27" t="s">
        <v>242</v>
      </c>
      <c r="D1652" s="27" t="s">
        <v>232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228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868</v>
      </c>
      <c r="B1654" s="27" t="s">
        <v>887</v>
      </c>
      <c r="C1654" s="27" t="s">
        <v>276</v>
      </c>
      <c r="D1654" s="27" t="s">
        <v>232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239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251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891</v>
      </c>
      <c r="B1657" s="27" t="s">
        <v>889</v>
      </c>
      <c r="C1657" s="27" t="s">
        <v>242</v>
      </c>
      <c r="D1657" s="27" t="s">
        <v>232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279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239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271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289</v>
      </c>
      <c r="B1661" s="27" t="s">
        <v>889</v>
      </c>
      <c r="C1661" s="27" t="s">
        <v>291</v>
      </c>
      <c r="D1661" s="27" t="s">
        <v>232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189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255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/>
    </row>
    <row r="1665" spans="1:12">
      <c r="A1665" s="20" t="s">
        <v>892</v>
      </c>
    </row>
    <row r="1666" spans="1:12">
      <c r="A1666" s="20" t="s">
        <v>626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803</v>
      </c>
      <c r="B1667" s="27" t="s">
        <v>266</v>
      </c>
      <c r="C1667" s="27" t="s">
        <v>236</v>
      </c>
      <c r="D1667" s="27" t="s">
        <v>232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409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299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251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393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394</v>
      </c>
      <c r="B1672" s="27" t="s">
        <v>320</v>
      </c>
      <c r="C1672" s="27" t="s">
        <v>236</v>
      </c>
      <c r="D1672" s="27" t="s">
        <v>232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893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782</v>
      </c>
      <c r="B1674" s="27" t="s">
        <v>327</v>
      </c>
      <c r="C1674" s="27" t="s">
        <v>224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359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227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894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251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757</v>
      </c>
      <c r="B1679" s="27" t="s">
        <v>230</v>
      </c>
      <c r="C1679" s="27" t="s">
        <v>231</v>
      </c>
      <c r="D1679" s="27" t="s">
        <v>232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895</v>
      </c>
      <c r="B1680" s="27" t="s">
        <v>253</v>
      </c>
      <c r="C1680" s="27" t="s">
        <v>236</v>
      </c>
      <c r="D1680" s="27" t="s">
        <v>232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250</v>
      </c>
      <c r="B1681" s="27" t="s">
        <v>230</v>
      </c>
      <c r="C1681" s="27" t="s">
        <v>242</v>
      </c>
      <c r="D1681" s="27" t="s">
        <v>232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251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896</v>
      </c>
      <c r="B1683" s="27" t="s">
        <v>241</v>
      </c>
      <c r="C1683" s="27" t="s">
        <v>236</v>
      </c>
      <c r="D1683" s="27" t="s">
        <v>232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297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897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285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898</v>
      </c>
      <c r="B1687" s="27" t="s">
        <v>246</v>
      </c>
      <c r="C1687" s="27" t="s">
        <v>231</v>
      </c>
      <c r="D1687" s="27" t="s">
        <v>232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899</v>
      </c>
      <c r="B1688" s="27" t="s">
        <v>327</v>
      </c>
      <c r="C1688" s="27" t="s">
        <v>236</v>
      </c>
      <c r="D1688" s="27" t="s">
        <v>232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279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299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706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251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900</v>
      </c>
      <c r="B1693" s="27" t="s">
        <v>327</v>
      </c>
      <c r="C1693" s="27" t="s">
        <v>236</v>
      </c>
      <c r="D1693" s="27" t="s">
        <v>232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284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901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251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251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507</v>
      </c>
      <c r="B1698" s="27" t="s">
        <v>344</v>
      </c>
      <c r="C1698" s="27" t="s">
        <v>236</v>
      </c>
      <c r="D1698" s="27" t="s">
        <v>232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279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225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539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902</v>
      </c>
      <c r="B1702" s="27" t="s">
        <v>495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243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751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363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255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/>
    </row>
    <row r="1708" spans="1:12">
      <c r="A1708" s="20" t="s">
        <v>566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903</v>
      </c>
    </row>
    <row r="1710" spans="1:12">
      <c r="A1710" s="20" t="s">
        <v>316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280</v>
      </c>
      <c r="B1711" s="27" t="s">
        <v>223</v>
      </c>
      <c r="C1711" s="27" t="s">
        <v>261</v>
      </c>
      <c r="D1711" s="27" t="s">
        <v>232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904</v>
      </c>
      <c r="B1712" s="27" t="s">
        <v>266</v>
      </c>
      <c r="C1712" s="27" t="s">
        <v>261</v>
      </c>
      <c r="D1712" s="27" t="s">
        <v>232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905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284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906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480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907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360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400</v>
      </c>
      <c r="B1719" s="27" t="s">
        <v>246</v>
      </c>
      <c r="C1719" s="27" t="s">
        <v>361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908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239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251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909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910</v>
      </c>
      <c r="B1724" s="27" t="s">
        <v>344</v>
      </c>
      <c r="C1724" s="27" t="s">
        <v>236</v>
      </c>
      <c r="D1724" s="27" t="s">
        <v>232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279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911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912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614</v>
      </c>
      <c r="B1728" s="27" t="s">
        <v>309</v>
      </c>
      <c r="C1728" s="27" t="s">
        <v>224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239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913</v>
      </c>
      <c r="B1730" s="27" t="s">
        <v>246</v>
      </c>
      <c r="C1730" s="27" t="s">
        <v>224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225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914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255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/>
    </row>
    <row r="1735" spans="1:12">
      <c r="A1735" s="20" t="s">
        <v>566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915</v>
      </c>
    </row>
    <row r="1737" spans="1:12">
      <c r="A1737" s="20" t="s">
        <v>368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422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280</v>
      </c>
      <c r="B1739" s="27" t="s">
        <v>320</v>
      </c>
      <c r="C1739" s="27" t="s">
        <v>261</v>
      </c>
      <c r="D1739" s="27" t="s">
        <v>232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905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299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916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360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400</v>
      </c>
      <c r="B1744" s="27" t="s">
        <v>309</v>
      </c>
      <c r="C1744" s="27" t="s">
        <v>273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908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917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239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228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918</v>
      </c>
      <c r="B1749" s="27" t="s">
        <v>287</v>
      </c>
      <c r="C1749" s="27" t="s">
        <v>242</v>
      </c>
      <c r="D1749" s="27" t="s">
        <v>232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279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919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912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614</v>
      </c>
      <c r="B1753" s="27" t="s">
        <v>253</v>
      </c>
      <c r="C1753" s="27" t="s">
        <v>224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258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248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920</v>
      </c>
      <c r="B1756" s="27" t="s">
        <v>253</v>
      </c>
      <c r="C1756" s="27" t="s">
        <v>361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921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279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922</v>
      </c>
      <c r="B1759" s="27" t="s">
        <v>230</v>
      </c>
      <c r="C1759" s="27" t="s">
        <v>224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255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/>
    </row>
    <row r="1762" spans="1:12">
      <c r="A1762" s="20" t="s">
        <v>923</v>
      </c>
    </row>
    <row r="1763" spans="1:12">
      <c r="A1763" s="20" t="s">
        <v>535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359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398</v>
      </c>
      <c r="B1765" s="27" t="s">
        <v>260</v>
      </c>
      <c r="C1765" s="27" t="s">
        <v>308</v>
      </c>
      <c r="D1765" s="27" t="s">
        <v>232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228</v>
      </c>
      <c r="B1766" s="27" t="s">
        <v>266</v>
      </c>
      <c r="C1766" s="27" t="s">
        <v>308</v>
      </c>
      <c r="D1766" s="27" t="s">
        <v>232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299</v>
      </c>
      <c r="B1767" s="27" t="s">
        <v>327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248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393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394</v>
      </c>
      <c r="B1770" s="27" t="s">
        <v>320</v>
      </c>
      <c r="C1770" s="27" t="s">
        <v>361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924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255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/>
    </row>
    <row r="1774" spans="1:12">
      <c r="A1774" s="20" t="s">
        <v>925</v>
      </c>
    </row>
    <row r="1775" spans="1:12">
      <c r="A1775" s="20" t="s">
        <v>926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756</v>
      </c>
      <c r="B1776" s="27" t="s">
        <v>223</v>
      </c>
      <c r="C1776" s="27" t="s">
        <v>224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251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927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756</v>
      </c>
      <c r="B1779" s="27" t="s">
        <v>253</v>
      </c>
      <c r="C1779" s="27" t="s">
        <v>276</v>
      </c>
      <c r="D1779" s="27" t="s">
        <v>232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653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228</v>
      </c>
      <c r="B1781" s="27" t="s">
        <v>230</v>
      </c>
      <c r="C1781" s="27" t="s">
        <v>308</v>
      </c>
      <c r="D1781" s="27" t="s">
        <v>232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299</v>
      </c>
      <c r="B1782" s="27" t="s">
        <v>495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279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247</v>
      </c>
      <c r="B1784" s="27" t="s">
        <v>246</v>
      </c>
      <c r="C1784" s="27" t="s">
        <v>242</v>
      </c>
      <c r="D1784" s="27" t="s">
        <v>232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370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432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351</v>
      </c>
      <c r="B1787" s="27" t="s">
        <v>556</v>
      </c>
      <c r="C1787" s="27" t="s">
        <v>314</v>
      </c>
      <c r="D1787" s="27" t="s">
        <v>232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279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928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632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284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929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797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930</v>
      </c>
      <c r="B1794" s="27" t="s">
        <v>596</v>
      </c>
      <c r="C1794" s="27" t="s">
        <v>314</v>
      </c>
      <c r="D1794" s="27" t="s">
        <v>232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251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251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757</v>
      </c>
      <c r="B1797" s="27" t="s">
        <v>431</v>
      </c>
      <c r="C1797" s="27" t="s">
        <v>231</v>
      </c>
      <c r="D1797" s="27" t="s">
        <v>232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931</v>
      </c>
      <c r="B1798" s="27" t="s">
        <v>560</v>
      </c>
      <c r="C1798" s="27" t="s">
        <v>236</v>
      </c>
      <c r="D1798" s="27" t="s">
        <v>232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255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/>
    </row>
    <row r="1801" spans="1:12">
      <c r="A1801" s="20" t="s">
        <v>932</v>
      </c>
    </row>
    <row r="1802" spans="1:12">
      <c r="A1802" s="20" t="s">
        <v>577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933</v>
      </c>
      <c r="B1803" s="27" t="s">
        <v>260</v>
      </c>
      <c r="C1803" s="27" t="s">
        <v>242</v>
      </c>
      <c r="D1803" s="27" t="s">
        <v>232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934</v>
      </c>
      <c r="B1804" s="27" t="s">
        <v>260</v>
      </c>
      <c r="C1804" s="27" t="s">
        <v>242</v>
      </c>
      <c r="D1804" s="27" t="s">
        <v>232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299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279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239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935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279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317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936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228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937</v>
      </c>
      <c r="B1813" s="27" t="s">
        <v>253</v>
      </c>
      <c r="C1813" s="27" t="s">
        <v>236</v>
      </c>
      <c r="D1813" s="27" t="s">
        <v>232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239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228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938</v>
      </c>
      <c r="B1816" s="27" t="s">
        <v>241</v>
      </c>
      <c r="C1816" s="27" t="s">
        <v>236</v>
      </c>
      <c r="D1816" s="27" t="s">
        <v>232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409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360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939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243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474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279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297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228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940</v>
      </c>
      <c r="B1825" s="27" t="s">
        <v>310</v>
      </c>
      <c r="C1825" s="27" t="s">
        <v>236</v>
      </c>
      <c r="D1825" s="27" t="s">
        <v>232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941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299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398</v>
      </c>
      <c r="B1828" s="27" t="s">
        <v>281</v>
      </c>
      <c r="C1828" s="27" t="s">
        <v>308</v>
      </c>
      <c r="D1828" s="27" t="s">
        <v>232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306</v>
      </c>
      <c r="B1829" s="27" t="s">
        <v>495</v>
      </c>
      <c r="C1829" s="27" t="s">
        <v>261</v>
      </c>
      <c r="D1829" s="27" t="s">
        <v>232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942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390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251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943</v>
      </c>
      <c r="B1833" s="27" t="s">
        <v>495</v>
      </c>
      <c r="C1833" s="27" t="s">
        <v>236</v>
      </c>
      <c r="D1833" s="27" t="s">
        <v>232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243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299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259</v>
      </c>
      <c r="B1836" s="27" t="s">
        <v>499</v>
      </c>
      <c r="C1836" s="27" t="s">
        <v>261</v>
      </c>
      <c r="D1836" s="27" t="s">
        <v>232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944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239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251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845</v>
      </c>
      <c r="B1840" s="27" t="s">
        <v>288</v>
      </c>
      <c r="C1840" s="27" t="s">
        <v>236</v>
      </c>
      <c r="D1840" s="27" t="s">
        <v>232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532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255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/>
    </row>
    <row r="1844" spans="1:12">
      <c r="A1844" s="20" t="s">
        <v>945</v>
      </c>
    </row>
    <row r="1845" spans="1:12">
      <c r="A1845" s="20" t="s">
        <v>334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946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279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947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228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937</v>
      </c>
      <c r="B1850" s="27" t="s">
        <v>223</v>
      </c>
      <c r="C1850" s="27" t="s">
        <v>236</v>
      </c>
      <c r="D1850" s="27" t="s">
        <v>232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239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228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938</v>
      </c>
      <c r="B1853" s="27" t="s">
        <v>260</v>
      </c>
      <c r="C1853" s="27" t="s">
        <v>236</v>
      </c>
      <c r="D1853" s="27" t="s">
        <v>232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297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948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228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949</v>
      </c>
      <c r="B1857" s="27" t="s">
        <v>253</v>
      </c>
      <c r="C1857" s="27" t="s">
        <v>236</v>
      </c>
      <c r="D1857" s="27" t="s">
        <v>232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258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31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950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951</v>
      </c>
      <c r="B1861" s="27" t="s">
        <v>241</v>
      </c>
      <c r="C1861" s="27" t="s">
        <v>273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279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248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952</v>
      </c>
      <c r="B1864" s="27" t="s">
        <v>230</v>
      </c>
      <c r="C1864" s="27" t="s">
        <v>361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243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299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279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641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953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279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863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954</v>
      </c>
      <c r="B1872" s="27" t="s">
        <v>281</v>
      </c>
      <c r="C1872" s="27" t="s">
        <v>273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422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339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955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255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/>
    </row>
    <row r="1878" spans="1:12">
      <c r="A1878" s="20" t="s">
        <v>956</v>
      </c>
    </row>
    <row r="1879" spans="1:12">
      <c r="A1879" s="20" t="s">
        <v>618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957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388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958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243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632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812</v>
      </c>
      <c r="B1885" s="27" t="s">
        <v>327</v>
      </c>
      <c r="C1885" s="27" t="s">
        <v>379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279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362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388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798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706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539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284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632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255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/>
    </row>
    <row r="1896" spans="1:12">
      <c r="A1896" s="20" t="s">
        <v>959</v>
      </c>
    </row>
    <row r="1897" spans="1:12">
      <c r="A1897" s="20" t="s">
        <v>960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961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251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251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962</v>
      </c>
      <c r="B1901" s="27" t="s">
        <v>230</v>
      </c>
      <c r="C1901" s="27" t="s">
        <v>231</v>
      </c>
      <c r="D1901" s="27" t="s">
        <v>232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963</v>
      </c>
      <c r="B1902" s="27" t="s">
        <v>241</v>
      </c>
      <c r="C1902" s="27" t="s">
        <v>236</v>
      </c>
      <c r="D1902" s="27" t="s">
        <v>232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279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251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964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297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251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965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270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271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966</v>
      </c>
      <c r="B1911" s="27" t="s">
        <v>253</v>
      </c>
      <c r="C1911" s="27" t="s">
        <v>236</v>
      </c>
      <c r="D1911" s="27" t="s">
        <v>232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967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299</v>
      </c>
      <c r="B1913" s="27" t="s">
        <v>281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968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238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284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248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393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394</v>
      </c>
      <c r="B1919" s="27" t="s">
        <v>344</v>
      </c>
      <c r="C1919" s="27" t="s">
        <v>276</v>
      </c>
      <c r="D1919" s="27" t="s">
        <v>232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247</v>
      </c>
      <c r="B1920" s="27" t="s">
        <v>287</v>
      </c>
      <c r="C1920" s="27" t="s">
        <v>242</v>
      </c>
      <c r="D1920" s="27" t="s">
        <v>232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383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969</v>
      </c>
      <c r="B1922" s="27" t="s">
        <v>287</v>
      </c>
      <c r="C1922" s="27" t="s">
        <v>314</v>
      </c>
      <c r="D1922" s="27" t="s">
        <v>232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279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480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285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898</v>
      </c>
      <c r="B1926" s="27" t="s">
        <v>230</v>
      </c>
      <c r="C1926" s="27" t="s">
        <v>231</v>
      </c>
      <c r="D1926" s="27" t="s">
        <v>232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970</v>
      </c>
      <c r="B1927" s="27" t="s">
        <v>241</v>
      </c>
      <c r="C1927" s="27" t="s">
        <v>236</v>
      </c>
      <c r="D1927" s="27" t="s">
        <v>232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481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971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227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972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299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279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973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974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279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811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398</v>
      </c>
      <c r="B1938" s="27" t="s">
        <v>495</v>
      </c>
      <c r="C1938" s="27" t="s">
        <v>308</v>
      </c>
      <c r="D1938" s="27" t="s">
        <v>232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255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/>
    </row>
    <row r="1941" spans="1:12">
      <c r="A1941" s="20" t="s">
        <v>975</v>
      </c>
    </row>
    <row r="1942" spans="1:12">
      <c r="A1942" s="20" t="s">
        <v>976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299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957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388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239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271</v>
      </c>
      <c r="B1947" s="27" t="s">
        <v>230</v>
      </c>
      <c r="C1947" s="27" t="s">
        <v>308</v>
      </c>
      <c r="D1947" s="27" t="s">
        <v>232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977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239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251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757</v>
      </c>
      <c r="B1951" s="27" t="s">
        <v>246</v>
      </c>
      <c r="C1951" s="27" t="s">
        <v>231</v>
      </c>
      <c r="D1951" s="27" t="s">
        <v>232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978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788</v>
      </c>
      <c r="B1953" s="27" t="s">
        <v>230</v>
      </c>
      <c r="C1953" s="27" t="s">
        <v>236</v>
      </c>
      <c r="D1953" s="27" t="s">
        <v>232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279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297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359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409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398</v>
      </c>
      <c r="B1958" s="27" t="s">
        <v>241</v>
      </c>
      <c r="C1958" s="27" t="s">
        <v>308</v>
      </c>
      <c r="D1958" s="27" t="s">
        <v>232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299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228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686</v>
      </c>
      <c r="B1961" s="27" t="s">
        <v>310</v>
      </c>
      <c r="C1961" s="27" t="s">
        <v>236</v>
      </c>
      <c r="D1961" s="27" t="s">
        <v>232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979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743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980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239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271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981</v>
      </c>
      <c r="B1967" s="27" t="s">
        <v>246</v>
      </c>
      <c r="C1967" s="27" t="s">
        <v>236</v>
      </c>
      <c r="D1967" s="27" t="s">
        <v>232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250</v>
      </c>
      <c r="B1968" s="27" t="s">
        <v>344</v>
      </c>
      <c r="C1968" s="27" t="s">
        <v>242</v>
      </c>
      <c r="D1968" s="27" t="s">
        <v>232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251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982</v>
      </c>
      <c r="B1970" s="27" t="s">
        <v>344</v>
      </c>
      <c r="C1970" s="27" t="s">
        <v>236</v>
      </c>
      <c r="D1970" s="27" t="s">
        <v>232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255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/>
    </row>
    <row r="1973" spans="1:12">
      <c r="A1973" s="20" t="s">
        <v>983</v>
      </c>
    </row>
    <row r="1974" spans="1:12">
      <c r="A1974" s="20" t="s">
        <v>334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251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579</v>
      </c>
      <c r="B1976" s="27" t="s">
        <v>260</v>
      </c>
      <c r="C1976" s="27" t="s">
        <v>236</v>
      </c>
      <c r="D1976" s="27" t="s">
        <v>232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984</v>
      </c>
      <c r="B1977" s="27" t="s">
        <v>266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279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294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985</v>
      </c>
      <c r="B1980" s="27" t="s">
        <v>241</v>
      </c>
      <c r="C1980" s="27" t="s">
        <v>296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297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408</v>
      </c>
      <c r="B1982" s="27" t="s">
        <v>241</v>
      </c>
      <c r="C1982" s="27" t="s">
        <v>224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986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662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248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585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987</v>
      </c>
      <c r="B1987" s="27" t="s">
        <v>223</v>
      </c>
      <c r="C1987" s="27" t="s">
        <v>276</v>
      </c>
      <c r="D1987" s="27" t="s">
        <v>232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239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271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988</v>
      </c>
      <c r="B1990" s="27" t="s">
        <v>241</v>
      </c>
      <c r="C1990" s="27" t="s">
        <v>236</v>
      </c>
      <c r="D1990" s="27" t="s">
        <v>232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297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239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285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989</v>
      </c>
      <c r="B1994" s="27" t="s">
        <v>230</v>
      </c>
      <c r="C1994" s="27" t="s">
        <v>236</v>
      </c>
      <c r="D1994" s="27" t="s">
        <v>232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255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/>
    </row>
    <row r="1997" spans="1:12">
      <c r="A1997" s="20" t="s">
        <v>990</v>
      </c>
    </row>
    <row r="1998" spans="1:12">
      <c r="A1998" s="20" t="s">
        <v>991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538</v>
      </c>
      <c r="B1999" s="27" t="s">
        <v>223</v>
      </c>
      <c r="C1999" s="27" t="s">
        <v>261</v>
      </c>
      <c r="D1999" s="27" t="s">
        <v>232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248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992</v>
      </c>
      <c r="B2001" s="27" t="s">
        <v>223</v>
      </c>
      <c r="C2001" s="27" t="s">
        <v>276</v>
      </c>
      <c r="D2001" s="27" t="s">
        <v>232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243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993</v>
      </c>
      <c r="B2003" s="27" t="s">
        <v>241</v>
      </c>
      <c r="C2003" s="27" t="s">
        <v>224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279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360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994</v>
      </c>
      <c r="B2006" s="27" t="s">
        <v>266</v>
      </c>
      <c r="C2006" s="27" t="s">
        <v>361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 t="s">
        <v>979</v>
      </c>
      <c r="E2007" s="21">
        <f>IF(D2007="?OLD","!!!","")</f>
        <v/>
      </c>
      <c r="F2007" s="22" t="str">
        <f>IF(OR(E2007="",E2007="!!!"),"",IF(NOT(ISNA(VLOOKUP(E2007,E$1:E2006,1,FALSE()))),"OLD",IF(AND(E2007&lt;&gt;"",E2007&lt;&gt;"!!!"),"NEW","")))</f>
        <v> </v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4" t="str">
        <f>IF(J2007&lt;&gt;1,"",IF(I2007="SBJ","CB","?"))</f>
        <v> </v>
      </c>
      <c r="I2007" s="25" t="str">
        <f>IF(OR(E2007="",E2007="!!!",F2007="NEW"),"",INDEX(B2006:B$2,-1+SUMPRODUCT(MAX(ROW(E2006:E$2)*(E2007=E2006:E$2)))))</f>
        <v> </v>
      </c>
      <c r="J2007" s="25" t="str">
        <f>IF(OR(E2007="",E2007="!!!",F2007="NEW"),"",COUNTBLANK(OFFSET(A$1,,,SUMPRODUCT(MAX(ROW(E$2:E2007)*(E2007=E$2:E2007)))))-COUNTBLANK(OFFSET(A$1,,,SUMPRODUCT(MAX(ROW(E$1:E2006)*(E2=E$1:E2006))))))</f>
        <v> </v>
      </c>
      <c r="K2007" s="25" t="str">
        <f>IF(OR(E2007="",E2007="!!!",F2007="NEW"),"",INDEX(J$1:J2006,SUMPRODUCT(MAX(ROW(E$1:E2006)*(E2007=E$1:E2006)))))</f>
        <v> </v>
      </c>
      <c r="L2007" s="26"/>
    </row>
    <row r="2008" spans="1:12">
      <c r="A2008" s="20" t="s">
        <v>239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 t="s">
        <v>228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995</v>
      </c>
      <c r="B2010" s="27" t="s">
        <v>230</v>
      </c>
      <c r="C2010" s="27" t="s">
        <v>236</v>
      </c>
      <c r="D2010" s="27" t="s">
        <v>232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284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390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391</v>
      </c>
      <c r="B2013" s="27" t="s">
        <v>309</v>
      </c>
      <c r="C2013" s="27" t="s">
        <v>242</v>
      </c>
      <c r="D2013" s="27" t="s">
        <v>232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228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996</v>
      </c>
      <c r="B2015" s="27" t="s">
        <v>310</v>
      </c>
      <c r="C2015" s="27" t="s">
        <v>236</v>
      </c>
      <c r="D2015" s="27" t="s">
        <v>232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997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391</v>
      </c>
      <c r="B2017" s="27" t="s">
        <v>344</v>
      </c>
      <c r="C2017" s="27" t="s">
        <v>242</v>
      </c>
      <c r="D2017" s="27" t="s">
        <v>232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228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998</v>
      </c>
      <c r="B2019" s="27" t="s">
        <v>344</v>
      </c>
      <c r="C2019" s="27" t="s">
        <v>236</v>
      </c>
      <c r="D2019" s="27" t="s">
        <v>232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248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999</v>
      </c>
      <c r="B2021" s="27" t="s">
        <v>287</v>
      </c>
      <c r="C2021" s="27" t="s">
        <v>361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279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362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1000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248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803</v>
      </c>
      <c r="B2026" s="27" t="s">
        <v>288</v>
      </c>
      <c r="C2026" s="27" t="s">
        <v>361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284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1001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251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238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255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/>
    </row>
    <row r="2033" spans="1:12">
      <c r="A2033" s="20" t="s">
        <v>1002</v>
      </c>
    </row>
    <row r="2034" spans="1:12">
      <c r="A2034" s="20" t="s">
        <v>1003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1004</v>
      </c>
      <c r="B2035" s="27" t="s">
        <v>266</v>
      </c>
      <c r="C2035" s="27" t="s">
        <v>236</v>
      </c>
      <c r="D2035" s="27" t="s">
        <v>232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317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777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1005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409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1006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360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1007</v>
      </c>
      <c r="B2042" s="27" t="s">
        <v>253</v>
      </c>
      <c r="C2042" s="27" t="s">
        <v>276</v>
      </c>
      <c r="D2042" s="27" t="s">
        <v>232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391</v>
      </c>
      <c r="B2043" s="27" t="s">
        <v>230</v>
      </c>
      <c r="C2043" s="27" t="s">
        <v>242</v>
      </c>
      <c r="D2043" s="27" t="s">
        <v>232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228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343</v>
      </c>
      <c r="B2045" s="27" t="s">
        <v>246</v>
      </c>
      <c r="C2045" s="27" t="s">
        <v>231</v>
      </c>
      <c r="D2045" s="27" t="s">
        <v>232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550</v>
      </c>
      <c r="B2046" s="27" t="s">
        <v>230</v>
      </c>
      <c r="C2046" s="27" t="s">
        <v>236</v>
      </c>
      <c r="D2046" s="27" t="s">
        <v>232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1008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255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/>
    </row>
    <row r="2050" spans="1:12">
      <c r="A2050" s="20" t="s">
        <v>1009</v>
      </c>
    </row>
    <row r="2051" spans="1:12">
      <c r="A2051" s="20" t="s">
        <v>1010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1004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227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1011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299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667</v>
      </c>
      <c r="B2056" s="27" t="s">
        <v>320</v>
      </c>
      <c r="C2056" s="27" t="s">
        <v>261</v>
      </c>
      <c r="D2056" s="27" t="s">
        <v>232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317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1012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255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/>
    </row>
    <row r="2061" spans="1:12">
      <c r="A2061" s="20" t="s">
        <v>1013</v>
      </c>
    </row>
    <row r="2062" spans="1:12">
      <c r="A2062" s="20" t="s">
        <v>1014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1015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279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388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552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251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964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247</v>
      </c>
      <c r="B2069" s="27" t="s">
        <v>327</v>
      </c>
      <c r="C2069" s="27" t="s">
        <v>242</v>
      </c>
      <c r="D2069" s="27" t="s">
        <v>232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1016</v>
      </c>
      <c r="B2070" s="27" t="s">
        <v>320</v>
      </c>
      <c r="C2070" s="27" t="s">
        <v>308</v>
      </c>
      <c r="D2070" s="27" t="s">
        <v>232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279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1017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228</v>
      </c>
      <c r="B2073" s="27" t="s">
        <v>230</v>
      </c>
      <c r="C2073" s="27" t="s">
        <v>308</v>
      </c>
      <c r="D2073" s="27" t="s">
        <v>232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299</v>
      </c>
      <c r="B2074" s="27" t="s">
        <v>253</v>
      </c>
      <c r="C2074" s="27" t="s">
        <v>373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228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441</v>
      </c>
      <c r="B2076" s="27" t="s">
        <v>235</v>
      </c>
      <c r="C2076" s="27" t="s">
        <v>236</v>
      </c>
      <c r="D2076" s="27" t="s">
        <v>232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250</v>
      </c>
      <c r="B2077" s="27" t="s">
        <v>230</v>
      </c>
      <c r="C2077" s="27" t="s">
        <v>242</v>
      </c>
      <c r="D2077" s="27" t="s">
        <v>232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285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405</v>
      </c>
      <c r="B2079" s="27" t="s">
        <v>320</v>
      </c>
      <c r="C2079" s="27" t="s">
        <v>236</v>
      </c>
      <c r="D2079" s="27" t="s">
        <v>232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475</v>
      </c>
      <c r="B2080" s="27" t="s">
        <v>327</v>
      </c>
      <c r="C2080" s="27" t="s">
        <v>261</v>
      </c>
      <c r="D2080" s="27" t="s">
        <v>232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325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239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228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550</v>
      </c>
      <c r="B2084" s="27" t="s">
        <v>241</v>
      </c>
      <c r="C2084" s="27" t="s">
        <v>236</v>
      </c>
      <c r="D2084" s="27" t="s">
        <v>232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250</v>
      </c>
      <c r="B2085" s="27" t="s">
        <v>230</v>
      </c>
      <c r="C2085" s="27" t="s">
        <v>242</v>
      </c>
      <c r="D2085" s="27" t="s">
        <v>232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447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551</v>
      </c>
      <c r="B2087" s="27" t="s">
        <v>235</v>
      </c>
      <c r="C2087" s="27" t="s">
        <v>314</v>
      </c>
      <c r="D2087" s="27" t="s">
        <v>232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279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542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299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285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405</v>
      </c>
      <c r="B2092" s="27" t="s">
        <v>320</v>
      </c>
      <c r="C2092" s="27" t="s">
        <v>236</v>
      </c>
      <c r="D2092" s="27" t="s">
        <v>232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1018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279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299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667</v>
      </c>
      <c r="B2096" s="27" t="s">
        <v>235</v>
      </c>
      <c r="C2096" s="27" t="s">
        <v>261</v>
      </c>
      <c r="D2096" s="27" t="s">
        <v>232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297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271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691</v>
      </c>
      <c r="B2099" s="27" t="s">
        <v>246</v>
      </c>
      <c r="C2099" s="27" t="s">
        <v>231</v>
      </c>
      <c r="D2099" s="27" t="s">
        <v>232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1019</v>
      </c>
      <c r="B2100" s="27" t="s">
        <v>230</v>
      </c>
      <c r="C2100" s="27" t="s">
        <v>236</v>
      </c>
      <c r="D2100" s="27" t="s">
        <v>232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1020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854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299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1021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812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228</v>
      </c>
      <c r="B2106" s="27" t="s">
        <v>327</v>
      </c>
      <c r="C2106" s="27" t="s">
        <v>308</v>
      </c>
      <c r="D2106" s="27" t="s">
        <v>232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299</v>
      </c>
      <c r="B2107" s="27" t="s">
        <v>281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919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409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251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303</v>
      </c>
      <c r="B2111" s="27" t="s">
        <v>287</v>
      </c>
      <c r="C2111" s="27" t="s">
        <v>231</v>
      </c>
      <c r="D2111" s="27" t="s">
        <v>232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404</v>
      </c>
      <c r="B2112" s="27" t="s">
        <v>344</v>
      </c>
      <c r="C2112" s="27" t="s">
        <v>236</v>
      </c>
      <c r="D2112" s="27" t="s">
        <v>232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279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1020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854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299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 t="s">
        <v>582</v>
      </c>
      <c r="E2117" s="21">
        <f>IF(D2117="?OLD","!!!","")</f>
        <v/>
      </c>
      <c r="F2117" s="22" t="str">
        <f>IF(OR(E2117="",E2117="!!!"),"",IF(NOT(ISNA(VLOOKUP(E2117,E$1:E2116,1,FALSE()))),"OLD",IF(AND(E2117&lt;&gt;"",E2117&lt;&gt;"!!!"),"NEW","")))</f>
        <v> </v>
      </c>
      <c r="G2117" s="23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4" t="str">
        <f>IF(J2117&lt;&gt;1,"",IF(I2117="SBJ","CB","?"))</f>
        <v> </v>
      </c>
      <c r="I2117" s="25" t="str">
        <f>IF(OR(E2117="",E2117="!!!",F2117="NEW"),"",INDEX(B2116:B$2,-1+SUMPRODUCT(MAX(ROW(E2116:E$2)*(E2117=E2116:E$2)))))</f>
        <v> </v>
      </c>
      <c r="J2117" s="25" t="str">
        <f>IF(OR(E2117="",E2117="!!!",F2117="NEW"),"",COUNTBLANK(OFFSET(A$1,,,SUMPRODUCT(MAX(ROW(E$2:E2117)*(E2117=E$2:E2117)))))-COUNTBLANK(OFFSET(A$1,,,SUMPRODUCT(MAX(ROW(E$1:E2116)*(E2=E$1:E2116))))))</f>
        <v> </v>
      </c>
      <c r="K2117" s="25" t="str">
        <f>IF(OR(E2117="",E2117="!!!",F2117="NEW"),"",INDEX(J$1:J2116,SUMPRODUCT(MAX(ROW(E$1:E2116)*(E2117=E$1:E2116)))))</f>
        <v> </v>
      </c>
      <c r="L2117" s="26"/>
    </row>
    <row r="2118" spans="1:12">
      <c r="A2118" s="20" t="s">
        <v>1022</v>
      </c>
      <c r="B2118" s="27" t="s">
        <v>596</v>
      </c>
      <c r="C2118" s="27" t="s">
        <v>224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 t="s">
        <v>1023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297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1024</v>
      </c>
      <c r="B2121" s="27" t="s">
        <v>431</v>
      </c>
      <c r="C2121" s="27" t="s">
        <v>276</v>
      </c>
      <c r="D2121" s="27" t="s">
        <v>232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243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592</v>
      </c>
      <c r="B2123" s="27" t="s">
        <v>729</v>
      </c>
      <c r="C2123" s="27" t="s">
        <v>224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1025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284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285</v>
      </c>
      <c r="B2126" s="27" t="s">
        <v>741</v>
      </c>
      <c r="C2126" s="27" t="s">
        <v>261</v>
      </c>
      <c r="D2126" s="27" t="s">
        <v>232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1026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 t="s">
        <v>251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1027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443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1028</v>
      </c>
      <c r="B2131" s="27" t="s">
        <v>882</v>
      </c>
      <c r="C2131" s="27" t="s">
        <v>314</v>
      </c>
      <c r="D2131" s="27" t="s">
        <v>232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393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784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255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/>
    </row>
    <row r="2136" spans="1:12">
      <c r="A2136" s="20" t="s">
        <v>1029</v>
      </c>
    </row>
    <row r="2137" spans="1:12">
      <c r="A2137" s="20" t="s">
        <v>618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1030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1031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360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1032</v>
      </c>
      <c r="B2141" s="27" t="s">
        <v>223</v>
      </c>
      <c r="C2141" s="27" t="s">
        <v>361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279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362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1033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248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1034</v>
      </c>
      <c r="B2146" s="27" t="s">
        <v>260</v>
      </c>
      <c r="C2146" s="27" t="s">
        <v>273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243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475</v>
      </c>
      <c r="B2148" s="27" t="s">
        <v>327</v>
      </c>
      <c r="C2148" s="27" t="s">
        <v>261</v>
      </c>
      <c r="D2148" s="27" t="s">
        <v>232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1035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248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1036</v>
      </c>
      <c r="B2151" s="27" t="s">
        <v>327</v>
      </c>
      <c r="C2151" s="27" t="s">
        <v>276</v>
      </c>
      <c r="D2151" s="27" t="s">
        <v>232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243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1037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652</v>
      </c>
      <c r="B2154" s="27" t="s">
        <v>246</v>
      </c>
      <c r="C2154" s="27" t="s">
        <v>224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279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284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475</v>
      </c>
      <c r="B2157" s="27" t="s">
        <v>327</v>
      </c>
      <c r="C2157" s="27" t="s">
        <v>261</v>
      </c>
      <c r="D2157" s="27" t="s">
        <v>232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1038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 t="s">
        <v>251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1039</v>
      </c>
      <c r="B2160" s="27" t="s">
        <v>320</v>
      </c>
      <c r="C2160" s="27" t="s">
        <v>236</v>
      </c>
      <c r="D2160" s="27" t="s">
        <v>232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243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299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667</v>
      </c>
      <c r="B2163" s="27" t="s">
        <v>281</v>
      </c>
      <c r="C2163" s="27" t="s">
        <v>261</v>
      </c>
      <c r="D2163" s="27" t="s">
        <v>232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1040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299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552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1041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247</v>
      </c>
      <c r="B2168" s="27" t="s">
        <v>287</v>
      </c>
      <c r="C2168" s="27" t="s">
        <v>242</v>
      </c>
      <c r="D2168" s="27" t="s">
        <v>232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360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 t="s">
        <v>1042</v>
      </c>
      <c r="B2170" s="27" t="s">
        <v>556</v>
      </c>
      <c r="C2170" s="27" t="s">
        <v>361</v>
      </c>
      <c r="E2170" s="21">
        <f>IF(D2170="?OLD","!!!","")</f>
        <v/>
      </c>
      <c r="F2170" s="22" t="str">
        <f>IF(OR(E2170="",E2170="!!!"),"",IF(NOT(ISNA(VLOOKUP(E2170,E$1:E2169,1,FALSE()))),"OLD",IF(AND(E2170&lt;&gt;"",E2170&lt;&gt;"!!!"),"NEW","")))</f>
        <v> </v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4" t="str">
        <f>IF(J2170&lt;&gt;1,"",IF(I2170="SBJ","CB","?"))</f>
        <v> </v>
      </c>
      <c r="I2170" s="25" t="str">
        <f>IF(OR(E2170="",E2170="!!!",F2170="NEW"),"",INDEX(B2169:B$2,-1+SUMPRODUCT(MAX(ROW(E2169:E$2)*(E2170=E2169:E$2)))))</f>
        <v> </v>
      </c>
      <c r="J2170" s="25" t="str">
        <f>IF(OR(E2170="",E2170="!!!",F2170="NEW"),"",COUNTBLANK(OFFSET(A$1,,,SUMPRODUCT(MAX(ROW(E$2:E2170)*(E2170=E$2:E2170)))))-COUNTBLANK(OFFSET(A$1,,,SUMPRODUCT(MAX(ROW(E$1:E2169)*(E2=E$1:E2169))))))</f>
        <v> </v>
      </c>
      <c r="K2170" s="25" t="str">
        <f>IF(OR(E2170="",E2170="!!!",F2170="NEW"),"",INDEX(J$1:J2169,SUMPRODUCT(MAX(ROW(E$1:E2169)*(E2170=E$1:E2169)))))</f>
        <v> </v>
      </c>
      <c r="L2170" s="26"/>
    </row>
    <row r="2171" spans="1:12">
      <c r="A2171" s="20" t="s">
        <v>1043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279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1044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299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1045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 t="s">
        <v>364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539</v>
      </c>
      <c r="B2177" s="27" t="s">
        <v>593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255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/>
    </row>
    <row r="2180" spans="1:12">
      <c r="A2180" s="20" t="s">
        <v>1046</v>
      </c>
    </row>
    <row r="2181" spans="1:12">
      <c r="A2181" s="20" t="s">
        <v>1047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251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1048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250</v>
      </c>
      <c r="B2184" s="27" t="s">
        <v>241</v>
      </c>
      <c r="C2184" s="27" t="s">
        <v>242</v>
      </c>
      <c r="D2184" s="27" t="s">
        <v>232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251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426</v>
      </c>
      <c r="B2186" s="27" t="s">
        <v>223</v>
      </c>
      <c r="C2186" s="27" t="s">
        <v>236</v>
      </c>
      <c r="D2186" s="27" t="s">
        <v>232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1049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279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695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299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606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426</v>
      </c>
      <c r="B2192" s="27" t="s">
        <v>235</v>
      </c>
      <c r="C2192" s="27" t="s">
        <v>314</v>
      </c>
      <c r="D2192" s="27" t="s">
        <v>232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1050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228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594</v>
      </c>
      <c r="B2195" s="27" t="s">
        <v>241</v>
      </c>
      <c r="C2195" s="27" t="s">
        <v>231</v>
      </c>
      <c r="D2195" s="27" t="s">
        <v>232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1051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419</v>
      </c>
      <c r="B2197" s="27" t="s">
        <v>260</v>
      </c>
      <c r="C2197" s="27" t="s">
        <v>261</v>
      </c>
      <c r="D2197" s="27" t="s">
        <v>232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255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/>
    </row>
    <row r="2200" spans="1:12">
      <c r="A2200" s="20" t="s">
        <v>1052</v>
      </c>
    </row>
    <row r="2201" spans="1:12">
      <c r="A2201" s="20" t="s">
        <v>577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383</v>
      </c>
      <c r="B2202" s="27" t="s">
        <v>260</v>
      </c>
      <c r="C2202" s="27" t="s">
        <v>308</v>
      </c>
      <c r="D2202" s="27" t="s">
        <v>232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251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1053</v>
      </c>
      <c r="B2204" s="27" t="s">
        <v>266</v>
      </c>
      <c r="C2204" s="27" t="s">
        <v>242</v>
      </c>
      <c r="D2204" s="27" t="s">
        <v>232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250</v>
      </c>
      <c r="B2205" s="27" t="s">
        <v>241</v>
      </c>
      <c r="C2205" s="27" t="s">
        <v>242</v>
      </c>
      <c r="D2205" s="27" t="s">
        <v>232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251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366</v>
      </c>
      <c r="B2207" s="27" t="s">
        <v>223</v>
      </c>
      <c r="C2207" s="27" t="s">
        <v>236</v>
      </c>
      <c r="D2207" s="27" t="s">
        <v>232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 t="s">
        <v>255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/>
    </row>
    <row r="2210" spans="1:12">
      <c r="A2210" s="20" t="s">
        <v>1054</v>
      </c>
    </row>
    <row r="2211" spans="1:12">
      <c r="A2211" s="20" t="s">
        <v>1055</v>
      </c>
      <c r="B2211" s="27" t="s">
        <v>235</v>
      </c>
      <c r="C2211" s="27" t="s">
        <v>242</v>
      </c>
      <c r="D2211" s="27" t="s">
        <v>232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756</v>
      </c>
      <c r="B2212" s="27" t="s">
        <v>230</v>
      </c>
      <c r="C2212" s="27" t="s">
        <v>242</v>
      </c>
      <c r="D2212" s="27" t="s">
        <v>232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250</v>
      </c>
      <c r="B2213" s="27" t="s">
        <v>230</v>
      </c>
      <c r="C2213" s="27" t="s">
        <v>242</v>
      </c>
      <c r="D2213" s="27" t="s">
        <v>232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421</v>
      </c>
      <c r="B2214" s="27" t="s">
        <v>230</v>
      </c>
      <c r="C2214" s="27" t="s">
        <v>308</v>
      </c>
      <c r="D2214" s="27" t="s">
        <v>232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299</v>
      </c>
      <c r="B2215" s="27" t="s">
        <v>281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1056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299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1057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832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1026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756</v>
      </c>
      <c r="B2221" s="27" t="s">
        <v>253</v>
      </c>
      <c r="C2221" s="27" t="s">
        <v>224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 t="s">
        <v>251</v>
      </c>
      <c r="E2222" s="21">
        <f>IF(D2222="?OLD","!!!","")</f>
        <v/>
      </c>
      <c r="F2222" s="22" t="str">
        <f>IF(OR(E2222="",E2222="!!!"),"",IF(NOT(ISNA(VLOOKUP(E2222,E$1:E2221,1,FALSE()))),"OLD",IF(AND(E2222&lt;&gt;"",E2222&lt;&gt;"!!!"),"NEW","")))</f>
        <v> </v>
      </c>
      <c r="G2222" s="23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4" t="str">
        <f>IF(J2222&lt;&gt;1,"",IF(I2222="SBJ","CB","?"))</f>
        <v> </v>
      </c>
      <c r="I2222" s="25" t="str">
        <f>IF(OR(E2222="",E2222="!!!",F2222="NEW"),"",INDEX(B2221:B$2,-1+SUMPRODUCT(MAX(ROW(E2221:E$2)*(E2222=E2221:E$2)))))</f>
        <v> </v>
      </c>
      <c r="J2222" s="25" t="str">
        <f>IF(OR(E2222="",E2222="!!!",F2222="NEW"),"",COUNTBLANK(OFFSET(A$1,,,SUMPRODUCT(MAX(ROW(E$2:E2222)*(E2222=E$2:E2222)))))-COUNTBLANK(OFFSET(A$1,,,SUMPRODUCT(MAX(ROW(E$1:E2221)*(E2=E$1:E2221))))))</f>
        <v> </v>
      </c>
      <c r="K2222" s="25" t="str">
        <f>IF(OR(E2222="",E2222="!!!",F2222="NEW"),"",INDEX(J$1:J2221,SUMPRODUCT(MAX(ROW(E$1:E2221)*(E2222=E$1:E2221)))))</f>
        <v> </v>
      </c>
      <c r="L2222" s="26"/>
    </row>
    <row r="2223" spans="1:12">
      <c r="A2223" s="20" t="s">
        <v>1058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539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 t="s">
        <v>250</v>
      </c>
      <c r="B2225" s="27" t="s">
        <v>327</v>
      </c>
      <c r="C2225" s="27" t="s">
        <v>242</v>
      </c>
      <c r="D2225" s="27" t="s">
        <v>232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228</v>
      </c>
      <c r="B2226" s="27" t="s">
        <v>266</v>
      </c>
      <c r="C2226" s="27" t="s">
        <v>308</v>
      </c>
      <c r="D2226" s="27" t="s">
        <v>232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299</v>
      </c>
      <c r="B2227" s="27" t="s">
        <v>309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228</v>
      </c>
      <c r="B2228" s="27" t="s">
        <v>344</v>
      </c>
      <c r="C2228" s="27" t="s">
        <v>308</v>
      </c>
      <c r="D2228" s="27" t="s">
        <v>232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299</v>
      </c>
      <c r="B2229" s="27" t="s">
        <v>499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1059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1060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557</v>
      </c>
      <c r="B2232" s="27" t="s">
        <v>593</v>
      </c>
      <c r="C2232" s="27" t="s">
        <v>224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255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/>
    </row>
    <row r="2235" spans="1:12">
      <c r="A2235" s="20" t="s">
        <v>1061</v>
      </c>
    </row>
    <row r="2236" spans="1:12">
      <c r="A2236" s="20" t="s">
        <v>1062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1063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251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965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299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674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247</v>
      </c>
      <c r="B2242" s="27" t="s">
        <v>241</v>
      </c>
      <c r="C2242" s="27" t="s">
        <v>242</v>
      </c>
      <c r="D2242" s="27" t="s">
        <v>232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 t="s">
        <v>398</v>
      </c>
      <c r="B2243" s="27" t="s">
        <v>230</v>
      </c>
      <c r="C2243" s="27" t="s">
        <v>308</v>
      </c>
      <c r="D2243" s="27" t="s">
        <v>232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299</v>
      </c>
      <c r="B2244" s="27" t="s">
        <v>290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112</v>
      </c>
      <c r="B2245" s="27" t="s">
        <v>556</v>
      </c>
      <c r="C2245" s="27" t="s">
        <v>242</v>
      </c>
      <c r="D2245" s="27" t="s">
        <v>232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254</v>
      </c>
      <c r="B2246" s="27" t="s">
        <v>288</v>
      </c>
      <c r="C2246" s="27" t="s">
        <v>242</v>
      </c>
      <c r="D2246" s="27" t="s">
        <v>232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552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251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964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388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251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536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1064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360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400</v>
      </c>
      <c r="B2255" s="27" t="s">
        <v>560</v>
      </c>
      <c r="C2255" s="27" t="s">
        <v>273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1065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250</v>
      </c>
      <c r="B2257" s="27" t="s">
        <v>431</v>
      </c>
      <c r="C2257" s="27" t="s">
        <v>242</v>
      </c>
      <c r="D2257" s="27" t="s">
        <v>232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443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313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286</v>
      </c>
      <c r="B2260" s="27" t="s">
        <v>734</v>
      </c>
      <c r="C2260" s="27" t="s">
        <v>314</v>
      </c>
      <c r="D2260" s="27" t="s">
        <v>232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239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285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1066</v>
      </c>
      <c r="B2263" s="27" t="s">
        <v>505</v>
      </c>
      <c r="C2263" s="27" t="s">
        <v>236</v>
      </c>
      <c r="D2263" s="27" t="s">
        <v>232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255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/>
    </row>
    <row r="2266" spans="1:12">
      <c r="A2266" s="20" t="s">
        <v>1067</v>
      </c>
    </row>
    <row r="2267" spans="1:12">
      <c r="A2267" s="20" t="s">
        <v>1068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299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 t="s">
        <v>1069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1070</v>
      </c>
      <c r="B2270" s="27" t="s">
        <v>253</v>
      </c>
      <c r="C2270" s="27" t="s">
        <v>224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 t="s">
        <v>279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1071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299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1072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251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268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228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686</v>
      </c>
      <c r="B2278" s="27" t="s">
        <v>327</v>
      </c>
      <c r="C2278" s="27" t="s">
        <v>236</v>
      </c>
      <c r="D2278" s="27" t="s">
        <v>232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255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/>
    </row>
    <row r="2281" spans="1:12">
      <c r="A2281" s="20" t="s">
        <v>1073</v>
      </c>
    </row>
    <row r="2282" spans="1:12">
      <c r="A2282" s="20" t="s">
        <v>626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1074</v>
      </c>
      <c r="B2283" s="27" t="s">
        <v>266</v>
      </c>
      <c r="C2283" s="27" t="s">
        <v>236</v>
      </c>
      <c r="D2283" s="27" t="s">
        <v>232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359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248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628</v>
      </c>
      <c r="B2286" s="27" t="s">
        <v>260</v>
      </c>
      <c r="C2286" s="27" t="s">
        <v>361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 t="s">
        <v>279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362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1075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299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1020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1050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228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550</v>
      </c>
      <c r="B2294" s="27" t="s">
        <v>241</v>
      </c>
      <c r="C2294" s="27" t="s">
        <v>236</v>
      </c>
      <c r="D2294" s="27" t="s">
        <v>232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255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/>
    </row>
    <row r="2297" spans="1:12">
      <c r="A2297" s="20" t="s">
        <v>1076</v>
      </c>
    </row>
    <row r="2298" spans="1:12">
      <c r="A2298" s="20" t="s">
        <v>208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2025-07-15T17:23:31Z</dcterms:created>
  <dcterms:modified xsi:type="dcterms:W3CDTF">2025-07-15T17:23:31Z</dcterms:modified>
</cp:coreProperties>
</file>