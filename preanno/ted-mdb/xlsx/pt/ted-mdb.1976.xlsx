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<sst xmlns="http://schemas.openxmlformats.org/spreadsheetml/2006/main" count="3623" uniqueCount="798">
  <si>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</si>
  <si>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</si>
  <si>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</si>
  <si>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</si>
  <si>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</si>
  <si>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</si>
  <si>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</si>
  <si>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</si>
  <si>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</si>
  <si>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</si>
  <si>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</si>
  <si>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</si>
  <si>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O universo está repleto de planetas .</t>
  </si>
  <si>
    <t>2</t>
  </si>
  <si>
    <t>(e)</t>
  </si>
  <si>
    <t>Gostaria que , na próxima década , construíssemos um telescópio espacial que conseguisse a imagem de uma Terra na órbita de outra estrela e descobrisse se pode ter vida .</t>
  </si>
  <si>
    <t>Expansion.Conjunction</t>
  </si>
  <si>
    <t>Conjunction</t>
  </si>
  <si>
    <t>(orig: Expansion.Conjunction)</t>
  </si>
  <si>
    <t>3</t>
  </si>
  <si>
    <t>(por conseguinte)</t>
  </si>
  <si>
    <t>Eu e os meus colegas no Laboratório de Propulsão a Jacto de_ a NASA , em Princeton , estamos a trabalhar na tecnologia que fará isso mesmo nos próximos anos .</t>
  </si>
  <si>
    <t>Contingency.Cause.Result</t>
  </si>
  <si>
    <t>result</t>
  </si>
  <si>
    <t>(orig: Contingency.Cause.Result)</t>
  </si>
  <si>
    <t>4</t>
  </si>
  <si>
    <t>Os astrónomos acreditam que cada estrela de_ a galáxia tem um planeta , e especulam que até um quinto de_ eles tem um planeta de_ o tipo de_ a Terra que poderá ter vida , mas ainda não vimos nenhum de_ eles .</t>
  </si>
  <si>
    <t>5</t>
  </si>
  <si>
    <t>(pelo contrário)</t>
  </si>
  <si>
    <t>Apenas os detectámos indirectamente .</t>
  </si>
  <si>
    <t>Expansion.Substitution.Arg2-as-subst</t>
  </si>
  <si>
    <t>favoured</t>
  </si>
  <si>
    <t>(orig: Expansion.Substitution.Arg2-as-subst)</t>
  </si>
  <si>
    <t>6</t>
  </si>
  <si>
    <t>Esta é a famosa imagem de_ a NASA de_ o ponto azul pálido .</t>
  </si>
  <si>
    <t>7</t>
  </si>
  <si>
    <t>Foi tirada pela nave Voyager em 1990 , quando a fizeram rodar a_ o sair de_ o sistema solar para tirar uma foto de_ a Terra à distância de seis mil milhões de quilómetros .</t>
  </si>
  <si>
    <t>8</t>
  </si>
  <si>
    <t>(Da mesma forma)</t>
  </si>
  <si>
    <t>Gostaria de ter uma de um planeta de_ o tipo de_ a Terra na órbita de outra estrela .</t>
  </si>
  <si>
    <t>Comparison.Similarity</t>
  </si>
  <si>
    <t>Similarity</t>
  </si>
  <si>
    <t>(orig: Comparison.Similarity)</t>
  </si>
  <si>
    <t>9</t>
  </si>
  <si>
    <t>(mas)</t>
  </si>
  <si>
    <t>Porque ainda não o conseguimos ?</t>
  </si>
  <si>
    <t>Comparison.Concession.Arg2-as-denier</t>
  </si>
  <si>
    <t>contra-expectation</t>
  </si>
  <si>
    <t>(orig: Comparison.Concession.Arg2-as-denier)</t>
  </si>
  <si>
    <t>10</t>
  </si>
  <si>
    <t>Porque é tão difícil ?</t>
  </si>
  <si>
    <t>11</t>
  </si>
  <si>
    <t>Bem , imaginemos que pegamos no Telescópio Espacial Hubble e o rodamos e o deslocamos para a órbita de Marte .</t>
  </si>
  <si>
    <t>12</t>
  </si>
  <si>
    <t>Contingency.Condition.Arg2-as-cond</t>
  </si>
  <si>
    <t>condition</t>
  </si>
  <si>
    <t>(orig: Contingency.Condition.Arg2-as-cond)</t>
  </si>
  <si>
    <t>Veríamos algo assim , Uma imagem algo difusa de_ a Terra , porque é um telescópio um pouco pequeno na órbita de Marte .</t>
  </si>
  <si>
    <t>13</t>
  </si>
  <si>
    <t>(a seguir)</t>
  </si>
  <si>
    <t>Afastemo -nos dez vezes mais .</t>
  </si>
  <si>
    <t>Temporal.Asynchronous.Precedence</t>
  </si>
  <si>
    <t>before</t>
  </si>
  <si>
    <t>(orig: Temporal.Asynchronous.Precedence)</t>
  </si>
  <si>
    <t>14</t>
  </si>
  <si>
    <t>(assim)</t>
  </si>
  <si>
    <t>Aqui estamos na órbita de Urano .</t>
  </si>
  <si>
    <t>15</t>
  </si>
  <si>
    <t>Ficou mais pequena , com menos detalhe , menor resolução .</t>
  </si>
  <si>
    <t>16</t>
  </si>
  <si>
    <t>(no entanto)</t>
  </si>
  <si>
    <t>Ainda podemos ver a pequena Lua , mas afastemo -nos de novo dez vezes mais , Estamos no limiar de_ o sistema solar , na Cintura de Kuiper .</t>
  </si>
  <si>
    <t>17</t>
  </si>
  <si>
    <t>Agora não tem qualquer resolução .</t>
  </si>
  <si>
    <t>18</t>
  </si>
  <si>
    <t>(de facto)</t>
  </si>
  <si>
    <t>É o ponto azul pálido , de Carl Sagan .</t>
  </si>
  <si>
    <t>Expansion.Level-of-detail.Arg2-as-detail</t>
  </si>
  <si>
    <t>specific</t>
  </si>
  <si>
    <t>(orig: Expansion.Level-of-detail.Arg2-as-detail)</t>
  </si>
  <si>
    <t>19</t>
  </si>
  <si>
    <t>Mas afastemo -nos de novo mais dez vezes .</t>
  </si>
  <si>
    <t>20</t>
  </si>
  <si>
    <t>Aqui estamos na Nuvem de Oort , fora de_ o sistema solar , aqui começamos a ver o Sol a mover -se para o campo de visão e a sobrepor -se a_ o planeta .</t>
  </si>
  <si>
    <t>21</t>
  </si>
  <si>
    <t>Mais uma vez , dez vezes mais distantes .</t>
  </si>
  <si>
    <t>22</t>
  </si>
  <si>
    <t>Agora estamos na Alfa Centauri , a nossa estrela vizinha mais próxima , e o planeta desapareceu .</t>
  </si>
  <si>
    <t>23</t>
  </si>
  <si>
    <t>Tudo o que vemos é a imagem de grandes feixes de_ a estrela que é dez mil milhões de vezes mais brilhante de_ o que o planeta , que deveria estar em_ aquele pequeno círculo vermelho .</t>
  </si>
  <si>
    <t>24</t>
  </si>
  <si>
    <t>É o que queremos ver .</t>
  </si>
  <si>
    <t>25</t>
  </si>
  <si>
    <t>É por isso que é difícil .</t>
  </si>
  <si>
    <t>26</t>
  </si>
  <si>
    <t>(especificamente)</t>
  </si>
  <si>
    <t>A luz de_ a estrela sofre difracção .</t>
  </si>
  <si>
    <t>27</t>
  </si>
  <si>
    <t>Dispersa -se dentro de_ o telescópio , criando esta imagem muito brilhante que ofusca o planeta .</t>
  </si>
  <si>
    <t>28</t>
  </si>
  <si>
    <t>Para vermos o planeta , temos que fazer algo em relação a toda esta luz .</t>
  </si>
  <si>
    <t>29</t>
  </si>
  <si>
    <t>(isto é)</t>
  </si>
  <si>
    <t>Temos que nos livrar de_ ela .</t>
  </si>
  <si>
    <t>30</t>
  </si>
  <si>
    <t>Tenho vários colegas a trabalhar em tecnologias fantásticas para fazer isso , mas hoje quero falar -vos de uma que penso ser a mais fixe , e provavelmente a que tem mais hipóteses de nos conseguir uma Terra na próxima década .</t>
  </si>
  <si>
    <t>31</t>
  </si>
  <si>
    <t>Foi inicialmente sugerida por Lyman Spitzer , o pai de_ o telescópio espacial , em 1962 , que se inspirou em_ um eclipse , Já todos viram isto .</t>
  </si>
  <si>
    <t>32</t>
  </si>
  <si>
    <t>(nomeadamente)</t>
  </si>
  <si>
    <t>É um eclipse solar .</t>
  </si>
  <si>
    <t>33</t>
  </si>
  <si>
    <t>A Lua colocou -se à frente de_ o Sol .</t>
  </si>
  <si>
    <t>34</t>
  </si>
  <si>
    <t>Bloqueou a maior parte de_ a sua luz por isso podemos ver a coroa ténue à sua volta .</t>
  </si>
  <si>
    <t>35</t>
  </si>
  <si>
    <t>Seria o mesmo se erguesse o meu polegar e bloqueasse o ponto luminoso à frente de_ os meus olhos , poderia vê# -los na última fila . Bem , o que está a acontecer ?</t>
  </si>
  <si>
    <t>Expansion.Equivalence</t>
  </si>
  <si>
    <t>Restatement</t>
  </si>
  <si>
    <t>(orig: Expansion.Equivalence)</t>
  </si>
  <si>
    <t>36</t>
  </si>
  <si>
    <t>Bem , a Lua projecta uma sombra na Terra .</t>
  </si>
  <si>
    <t>37</t>
  </si>
  <si>
    <t>(se)</t>
  </si>
  <si>
    <t>Colocamos um telescópio ou uma câmara em_ essa sombra , e olhamos para o Sol , e a maior parte de_ a luz foi removida e podemos ver essa ténue e fina estrutura na coroa .</t>
  </si>
  <si>
    <t>38</t>
  </si>
  <si>
    <t>(por sua vez)</t>
  </si>
  <si>
    <t>A sugestão de Spitzer foi que o fizéssemos no espaço .</t>
  </si>
  <si>
    <t>Comparison.Contrast</t>
  </si>
  <si>
    <t>Contrast</t>
  </si>
  <si>
    <t>(orig: Comparison.Contrast)</t>
  </si>
  <si>
    <t>39</t>
  </si>
  <si>
    <t>Construíamos uma tela grande , colocávamo# -la no espaço , em frente a uma estrela , bloqueávamos a maior parte de_ a luz , colocávamos um telescópio espacial em_ essa sombra criada , e zás , conseguíamos ver os planetas .</t>
  </si>
  <si>
    <t>40</t>
  </si>
  <si>
    <t>Seria algo parecido com isto .</t>
  </si>
  <si>
    <t>41</t>
  </si>
  <si>
    <t>Aqui está a tela grande , e não há planetas , porque , infelizmente , não funciona lá muito bem por causa de_ as ondas luminosas e as ondas sofrem difracção à volta de_ essa tela tal como no telescópio .</t>
  </si>
  <si>
    <t>42</t>
  </si>
  <si>
    <t>É como a água que contorna uma pedra em_ uma corrente , e toda essa luz destrói a sombra .</t>
  </si>
  <si>
    <t>43</t>
  </si>
  <si>
    <t>É uma sombra terrível .</t>
  </si>
  <si>
    <t>44</t>
  </si>
  <si>
    <t>E não conseguimos ver planetas .</t>
  </si>
  <si>
    <t>45</t>
  </si>
  <si>
    <t>Mas Spitzer sabia a solução .</t>
  </si>
  <si>
    <t>46</t>
  </si>
  <si>
    <t>Se conseguirmos suavizar as arestas de modo a controlar a difracção , então poderemos ver um planeta , e nos últimos 10 anos conseguimos soluções ideais para o conseguir .</t>
  </si>
  <si>
    <t>47</t>
  </si>
  <si>
    <t>É algo parecido com isto .</t>
  </si>
  <si>
    <t>48</t>
  </si>
  <si>
    <t>Chamamos -lhe a nossa sombra estelar em pétalas de flor</t>
  </si>
  <si>
    <t>49</t>
  </si>
  <si>
    <t>Se fizermos as arestas de_ a forma correcta , se controlarmos a sua forma , podemos controlar a difracção , e conseguimos uma grande sombra .</t>
  </si>
  <si>
    <t>50</t>
  </si>
  <si>
    <t>É cerca de 10 mil milhões de vezes mais ténue de_ o que era , e conseguimos ver os planetas a aparecer .</t>
  </si>
  <si>
    <t>51</t>
  </si>
  <si>
    <t>Tem que ser , claro , maior de_ o que o meu polegar .</t>
  </si>
  <si>
    <t>52</t>
  </si>
  <si>
    <t>Esta sombra estelar tem cerca de metade de_ o tamanho de um campo de futebol e tem que se distanciar 50 000 quilómetros de_ o telescópio que tem que ser mantido na sua sombra , e então poderemos ver os planetas .</t>
  </si>
  <si>
    <t>53</t>
  </si>
  <si>
    <t>Isto parece formidável , mas engenheiros brilhantes , colegas meus no LPJ , conseguiram um " design " fabuloso para o conseguir e é parecido com isto .</t>
  </si>
  <si>
    <t>54</t>
  </si>
  <si>
    <t>De início está enrolado em_ um eixo .</t>
  </si>
  <si>
    <t>55</t>
  </si>
  <si>
    <t>(depois)</t>
  </si>
  <si>
    <t>Separa -se de_ o telescópio .</t>
  </si>
  <si>
    <t>56</t>
  </si>
  <si>
    <t>As pétalas desdobram -se , abrem -se , o telescópio vira -se .</t>
  </si>
  <si>
    <t>57</t>
  </si>
  <si>
    <t>Então ele vira -se e afasta -se 50 000 quilómetros de_ o telescópio .</t>
  </si>
  <si>
    <t>58</t>
  </si>
  <si>
    <t>Coloca -se à frente de_ a estrela deste modo , criando uma sombra maravilhosa . Zás , vemos os planetas a orbitar à sua volta . ( Aplausos )</t>
  </si>
  <si>
    <t>59</t>
  </si>
  <si>
    <t>Obrigado .</t>
  </si>
  <si>
    <t>60</t>
  </si>
  <si>
    <t>Não é ficção científica .</t>
  </si>
  <si>
    <t>61</t>
  </si>
  <si>
    <t>Estamos a trabalhar em_ isto há cinco ou seis anos .</t>
  </si>
  <si>
    <t>62</t>
  </si>
  <si>
    <t>No último Verão , fizemos um teste mesmo fixe na Califórnia , na Northrop Grumman .</t>
  </si>
  <si>
    <t>63</t>
  </si>
  <si>
    <t>São quatro pétalas .</t>
  </si>
  <si>
    <t>64</t>
  </si>
  <si>
    <t>É uma sombra estelar em escala reduzida .</t>
  </si>
  <si>
    <t>65</t>
  </si>
  <si>
    <t>Tem cerca de metade de_ o tamanho de_ a que viram antes .</t>
  </si>
  <si>
    <t>66</t>
  </si>
  <si>
    <t>(agora)</t>
  </si>
  <si>
    <t>Podem ver as pétalas a desdobrar .</t>
  </si>
  <si>
    <t>67</t>
  </si>
  <si>
    <t>Essas quatro pétalas foram construídas por quatro estudantes universitários em_ um curso de verão no LPJ .</t>
  </si>
  <si>
    <t>68</t>
  </si>
  <si>
    <t>Agora podem vê# -la a desenrolar .</t>
  </si>
  <si>
    <t>69</t>
  </si>
  <si>
    <t>As petalas têm que se colocar em posição .</t>
  </si>
  <si>
    <t>70</t>
  </si>
  <si>
    <t>A base de_ essas pétalas tem que se colocar sempre na mesma posição com a precisão de um décimo de milímetro .</t>
  </si>
  <si>
    <t>71</t>
  </si>
  <si>
    <t>Efectuámos este teste 16 vezes , e de_ as 16 vezes voltou à posição exacta com a precisão de um décimo de milímetro .</t>
  </si>
  <si>
    <t>72</t>
  </si>
  <si>
    <t>Isto tem que ser feito com grande precisão , mas se o conseguirmos , se conseguirmos construir esta tecnologia , se a colocarmos no espaço , poderão ver algo assim .</t>
  </si>
  <si>
    <t>73</t>
  </si>
  <si>
    <t>Isto é uma imagem de uma de_ as estrelas mais próximas de nós obtida com o Telescópio Espacial Hubble .</t>
  </si>
  <si>
    <t>74</t>
  </si>
  <si>
    <t>Se usarmos um telescópio semelhante , ligeiramente maior , se o colocarmos no espaço , se pusermos uma antepara à sua frente , o que poderemos ver é algo como isto — isto é um retrato de família de_ o nosso sistema solar — mas não o nosso .</t>
  </si>
  <si>
    <t>75</t>
  </si>
  <si>
    <t>Esperamos que seja outro sistema solar visto através de uma antepara , através de uma sombra estelar como esta .</t>
  </si>
  <si>
    <t>76</t>
  </si>
  <si>
    <t>Podemos ver Júpiter , podemos ver Saturno , Urano , Neptuno , e mesmo no centro , próximo de_ a luz residual está o ponto azul pálido .</t>
  </si>
  <si>
    <t>77</t>
  </si>
  <si>
    <t>É a Terra .</t>
  </si>
  <si>
    <t>78</t>
  </si>
  <si>
    <t>Queremos ver isso , ver se tem água , oxigénio , ozono , as coisas que nos poderão dizer se poderá ter vida .</t>
  </si>
  <si>
    <t>79</t>
  </si>
  <si>
    <t>Penso que esta é a ciência mais fixe possível .</t>
  </si>
  <si>
    <t>80</t>
  </si>
  <si>
    <t>É por isso que me dediquei a isto , porque penso que vai mudar o mundo .</t>
  </si>
  <si>
    <t>Contingency.Cause.Reason</t>
  </si>
  <si>
    <t>reason</t>
  </si>
  <si>
    <t>(orig: Contingency.Cause.Reason)</t>
  </si>
  <si>
    <t>81</t>
  </si>
  <si>
    <t>(na verdade)</t>
  </si>
  <si>
    <t>Irá mudar tudo quando surgir .</t>
  </si>
  <si>
    <t>82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</si>
  <si>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</si>
  <si>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</si>
  <si>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</si>
  <si>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</si>
  <si>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</si>
  <si>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</si>
  <si>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</si>
  <si>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</si>
  <si>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</si>
  <si>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</si>
  <si>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</si>
  <si>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O universo está repleto de planetas .</t>
  </si>
  <si>
    <t>universo</t>
  </si>
  <si>
    <t>SBJ</t>
  </si>
  <si>
    <t>def-np.the</t>
  </si>
  <si>
    <t>?OLD</t>
  </si>
  <si>
    <t>está</t>
  </si>
  <si>
    <t>repleto</t>
  </si>
  <si>
    <t>de</t>
  </si>
  <si>
    <t>planetas</t>
  </si>
  <si>
    <t>other</t>
  </si>
  <si>
    <t>indef-np.bare</t>
  </si>
  <si>
    <t>.</t>
  </si>
  <si>
    <t># text = Gostaria que , na próxima década , construíssemos um telescópio espacial que conseguisse a imagem de uma Terra na órbita de outra estrela e descobrisse se pode ter vida .</t>
  </si>
  <si>
    <t>Gostaria</t>
  </si>
  <si>
    <t>que</t>
  </si>
  <si>
    <t>,</t>
  </si>
  <si>
    <t>em</t>
  </si>
  <si>
    <t>a</t>
  </si>
  <si>
    <t>próxima</t>
  </si>
  <si>
    <t>década</t>
  </si>
  <si>
    <t>other_2</t>
  </si>
  <si>
    <t>construíssemos</t>
  </si>
  <si>
    <t>um</t>
  </si>
  <si>
    <t>telescópio</t>
  </si>
  <si>
    <t>OBJ_2</t>
  </si>
  <si>
    <t>indef-np.a</t>
  </si>
  <si>
    <t>espacial</t>
  </si>
  <si>
    <t>SBJ_4</t>
  </si>
  <si>
    <t>conseguisse</t>
  </si>
  <si>
    <t>imagem</t>
  </si>
  <si>
    <t>OBJ_4</t>
  </si>
  <si>
    <t>def-np.poss</t>
  </si>
  <si>
    <t>uma</t>
  </si>
  <si>
    <t>Terra</t>
  </si>
  <si>
    <t>other_5</t>
  </si>
  <si>
    <t>ne</t>
  </si>
  <si>
    <t>órbita</t>
  </si>
  <si>
    <t>other_4</t>
  </si>
  <si>
    <t>outra</t>
  </si>
  <si>
    <t>estrela</t>
  </si>
  <si>
    <t>indef-np</t>
  </si>
  <si>
    <t>e</t>
  </si>
  <si>
    <t>descobrisse</t>
  </si>
  <si>
    <t>se</t>
  </si>
  <si>
    <t>pron.pper</t>
  </si>
  <si>
    <t>pode</t>
  </si>
  <si>
    <t>ter</t>
  </si>
  <si>
    <t>vida</t>
  </si>
  <si>
    <t># text = Eu e os meus colegas no Laboratório de Propulsão a Jacto de_ a NASA , em Princeton , estamos a trabalhar na tecnologia que fará isso mesmo nos próximos anos .</t>
  </si>
  <si>
    <t>Eu</t>
  </si>
  <si>
    <t>os</t>
  </si>
  <si>
    <t>meus</t>
  </si>
  <si>
    <t>pron.ppos</t>
  </si>
  <si>
    <t>colegas</t>
  </si>
  <si>
    <t>o</t>
  </si>
  <si>
    <t>Laboratório</t>
  </si>
  <si>
    <t>Propulsão</t>
  </si>
  <si>
    <t>Jacto</t>
  </si>
  <si>
    <t>other_6</t>
  </si>
  <si>
    <t>de_</t>
  </si>
  <si>
    <t>other_7</t>
  </si>
  <si>
    <t>NASA</t>
  </si>
  <si>
    <t>Princeton</t>
  </si>
  <si>
    <t>estamos</t>
  </si>
  <si>
    <t>trabalhar</t>
  </si>
  <si>
    <t>tecnologia</t>
  </si>
  <si>
    <t>SBJ_6</t>
  </si>
  <si>
    <t>fará</t>
  </si>
  <si>
    <t>isso</t>
  </si>
  <si>
    <t>OBJ_6</t>
  </si>
  <si>
    <t>pron.pds</t>
  </si>
  <si>
    <t>mesmo</t>
  </si>
  <si>
    <t>próximos</t>
  </si>
  <si>
    <t>anos</t>
  </si>
  <si>
    <t># text = Os astrónomos acreditam que cada estrela de_ a galáxia tem um planeta , e especulam que até um quinto de_ eles tem um planeta de_ o tipo de_ a Terra que poderá ter vida , mas ainda não vimos nenhum de_ eles .</t>
  </si>
  <si>
    <t>Os</t>
  </si>
  <si>
    <t>astrónomos</t>
  </si>
  <si>
    <t>acreditam</t>
  </si>
  <si>
    <t>cada</t>
  </si>
  <si>
    <t>SBJ_2</t>
  </si>
  <si>
    <t>other_3</t>
  </si>
  <si>
    <t>galáxia</t>
  </si>
  <si>
    <t>tem</t>
  </si>
  <si>
    <t>planeta</t>
  </si>
  <si>
    <t>especulam</t>
  </si>
  <si>
    <t>até</t>
  </si>
  <si>
    <t>quinto</t>
  </si>
  <si>
    <t>eles</t>
  </si>
  <si>
    <t>tipo</t>
  </si>
  <si>
    <t>SBJ_7</t>
  </si>
  <si>
    <t>poderá</t>
  </si>
  <si>
    <t>OBJ_7</t>
  </si>
  <si>
    <t>mas</t>
  </si>
  <si>
    <t>ainda</t>
  </si>
  <si>
    <t>não</t>
  </si>
  <si>
    <t>vimos</t>
  </si>
  <si>
    <t>nenhum</t>
  </si>
  <si>
    <t>OBJ_8</t>
  </si>
  <si>
    <t>SBJ_8</t>
  </si>
  <si>
    <t># text = Apenas os detectámos indirectamente .</t>
  </si>
  <si>
    <t>Apenas</t>
  </si>
  <si>
    <t>OBJ</t>
  </si>
  <si>
    <t>detectámos</t>
  </si>
  <si>
    <t>indirectamente</t>
  </si>
  <si>
    <t># text = Esta é a famosa imagem de_ a NASA de_ o ponto azul pálido .</t>
  </si>
  <si>
    <t>Esta</t>
  </si>
  <si>
    <t>é</t>
  </si>
  <si>
    <t>famosa</t>
  </si>
  <si>
    <t>ponto</t>
  </si>
  <si>
    <t>azul</t>
  </si>
  <si>
    <t>pálido</t>
  </si>
  <si>
    <t># text = Foi tirada pela nave Voyager em 1990 , quando a fizeram rodar a_ o sair de_ o sistema solar para tirar uma foto de_ a Terra à distância de seis mil milhões de quilómetros .</t>
  </si>
  <si>
    <t>Foi</t>
  </si>
  <si>
    <t>tirada</t>
  </si>
  <si>
    <t>por</t>
  </si>
  <si>
    <t>nave</t>
  </si>
  <si>
    <t>Voyager</t>
  </si>
  <si>
    <t>1990</t>
  </si>
  <si>
    <t>quando</t>
  </si>
  <si>
    <t>fizeram</t>
  </si>
  <si>
    <t>rodar</t>
  </si>
  <si>
    <t>a_</t>
  </si>
  <si>
    <t>OBJ_3</t>
  </si>
  <si>
    <t>sair</t>
  </si>
  <si>
    <t>sistema</t>
  </si>
  <si>
    <t>solar</t>
  </si>
  <si>
    <t>para</t>
  </si>
  <si>
    <t>tirar</t>
  </si>
  <si>
    <t>foto</t>
  </si>
  <si>
    <t>distância</t>
  </si>
  <si>
    <t>seis</t>
  </si>
  <si>
    <t>mil</t>
  </si>
  <si>
    <t>milhões</t>
  </si>
  <si>
    <t>quilómetros</t>
  </si>
  <si>
    <t>other_9</t>
  </si>
  <si>
    <t># text = Gostaria de ter uma de um planeta de_ o tipo de_ a Terra na órbita de outra estrela .</t>
  </si>
  <si>
    <t># text = Porque ainda não o conseguimos ?</t>
  </si>
  <si>
    <t>Porque</t>
  </si>
  <si>
    <t>conseguimos</t>
  </si>
  <si>
    <t>?</t>
  </si>
  <si>
    <t># text = Porque é tão difícil ?</t>
  </si>
  <si>
    <t>tão</t>
  </si>
  <si>
    <t>difícil</t>
  </si>
  <si>
    <t># text = Bem , imaginemos que pegamos no Telescópio Espacial Hubble e o rodamos e o deslocamos para a órbita de Marte .</t>
  </si>
  <si>
    <t>Bem</t>
  </si>
  <si>
    <t>imaginemos</t>
  </si>
  <si>
    <t>pegamos</t>
  </si>
  <si>
    <t>Telescópio</t>
  </si>
  <si>
    <t>Espacial</t>
  </si>
  <si>
    <t>Hubble</t>
  </si>
  <si>
    <t>rodamos</t>
  </si>
  <si>
    <t>deslocamos</t>
  </si>
  <si>
    <t>Marte</t>
  </si>
  <si>
    <t># text = Veríamos algo assim , Uma imagem algo difusa de_ a Terra , porque é um telescópio um pouco pequeno na órbita de Marte .</t>
  </si>
  <si>
    <t>Veríamos</t>
  </si>
  <si>
    <t>algo</t>
  </si>
  <si>
    <t>pron.pind</t>
  </si>
  <si>
    <t>assim</t>
  </si>
  <si>
    <t>Uma</t>
  </si>
  <si>
    <t>difusa</t>
  </si>
  <si>
    <t>SBJ_3</t>
  </si>
  <si>
    <t>porque</t>
  </si>
  <si>
    <t>pouco</t>
  </si>
  <si>
    <t>pequeno</t>
  </si>
  <si>
    <t># text = Afastemo -nos dez vezes mais .</t>
  </si>
  <si>
    <t>Afastemo</t>
  </si>
  <si>
    <t>-nos</t>
  </si>
  <si>
    <t>dez</t>
  </si>
  <si>
    <t>vezes</t>
  </si>
  <si>
    <t>indef-np.quant</t>
  </si>
  <si>
    <t>mais</t>
  </si>
  <si>
    <t># text = Aqui estamos na órbita de Urano .</t>
  </si>
  <si>
    <t>Aqui</t>
  </si>
  <si>
    <t>Urano</t>
  </si>
  <si>
    <t># text = Ficou mais pequena , com menos detalhe , menor resolução .</t>
  </si>
  <si>
    <t>Ficou</t>
  </si>
  <si>
    <t>pequena</t>
  </si>
  <si>
    <t>com</t>
  </si>
  <si>
    <t>menos</t>
  </si>
  <si>
    <t>detalhe</t>
  </si>
  <si>
    <t>menor</t>
  </si>
  <si>
    <t>resolução</t>
  </si>
  <si>
    <t># text = Ainda podemos ver a pequena Lua , mas afastemo -nos de novo dez vezes mais , Estamos no limiar de_ o sistema solar , na Cintura de Kuiper .</t>
  </si>
  <si>
    <t>Ainda</t>
  </si>
  <si>
    <t>podemos</t>
  </si>
  <si>
    <t>ver</t>
  </si>
  <si>
    <t>Lua</t>
  </si>
  <si>
    <t>afastemo</t>
  </si>
  <si>
    <t>novo</t>
  </si>
  <si>
    <t>Estamos</t>
  </si>
  <si>
    <t>limiar</t>
  </si>
  <si>
    <t>Cintura</t>
  </si>
  <si>
    <t>Kuiper</t>
  </si>
  <si>
    <t># text = Agora não tem qualquer resolução .</t>
  </si>
  <si>
    <t>Agora</t>
  </si>
  <si>
    <t>qualquer</t>
  </si>
  <si>
    <t># text = É o ponto azul pálido , de Carl Sagan .</t>
  </si>
  <si>
    <t>É</t>
  </si>
  <si>
    <t>Carl</t>
  </si>
  <si>
    <t>Sagan</t>
  </si>
  <si>
    <t># text = Mas afastemo -nos de novo mais dez vezes .</t>
  </si>
  <si>
    <t>Mas</t>
  </si>
  <si>
    <t># text = Aqui estamos na Nuvem de Oort , fora de_ o sistema solar , aqui começamos a ver o Sol a mover -se para o campo de visão e a sobrepor -se a_ o planeta .</t>
  </si>
  <si>
    <t>Nuvem</t>
  </si>
  <si>
    <t>Oort</t>
  </si>
  <si>
    <t>fora</t>
  </si>
  <si>
    <t>aqui</t>
  </si>
  <si>
    <t>começamos</t>
  </si>
  <si>
    <t>Sol</t>
  </si>
  <si>
    <t>mover</t>
  </si>
  <si>
    <t>-se</t>
  </si>
  <si>
    <t>campo</t>
  </si>
  <si>
    <t>visão</t>
  </si>
  <si>
    <t>sobrepor</t>
  </si>
  <si>
    <t># text = Mais uma vez , dez vezes mais distantes .</t>
  </si>
  <si>
    <t>Mais</t>
  </si>
  <si>
    <t>vez</t>
  </si>
  <si>
    <t>distantes</t>
  </si>
  <si>
    <t># text = Agora estamos na Alfa Centauri , a nossa estrela vizinha mais próxima , e o planeta desapareceu .</t>
  </si>
  <si>
    <t>Alfa</t>
  </si>
  <si>
    <t>Centauri</t>
  </si>
  <si>
    <t>nossa</t>
  </si>
  <si>
    <t>vizinha</t>
  </si>
  <si>
    <t>desapareceu</t>
  </si>
  <si>
    <t># text = Tudo o que vemos é a imagem de grandes feixes de_ a estrela que é dez mil milhões de vezes mais brilhante de_ o que o planeta , que deveria estar em_ aquele pequeno círculo vermelho .</t>
  </si>
  <si>
    <t>Tudo</t>
  </si>
  <si>
    <t>vemos</t>
  </si>
  <si>
    <t>grandes</t>
  </si>
  <si>
    <t>feixes</t>
  </si>
  <si>
    <t>brilhante</t>
  </si>
  <si>
    <t>OBJ_5</t>
  </si>
  <si>
    <t>SBJ_5</t>
  </si>
  <si>
    <t>deveria</t>
  </si>
  <si>
    <t>estar</t>
  </si>
  <si>
    <t>em_</t>
  </si>
  <si>
    <t>aquele</t>
  </si>
  <si>
    <t>círculo</t>
  </si>
  <si>
    <t>def-np.dem</t>
  </si>
  <si>
    <t>vermelho</t>
  </si>
  <si>
    <t># text = É o que queremos ver .</t>
  </si>
  <si>
    <t>queremos</t>
  </si>
  <si>
    <t># text = É por isso que é difícil .</t>
  </si>
  <si>
    <t># text = A luz de_ a estrela sofre difracção .</t>
  </si>
  <si>
    <t>A</t>
  </si>
  <si>
    <t>luz</t>
  </si>
  <si>
    <t>sofre</t>
  </si>
  <si>
    <t>difracção</t>
  </si>
  <si>
    <t># text = Dispersa -se dentro de_ o telescópio , criando esta imagem muito brilhante que ofusca o planeta .</t>
  </si>
  <si>
    <t>Dispersa</t>
  </si>
  <si>
    <t>dentro</t>
  </si>
  <si>
    <t>criando</t>
  </si>
  <si>
    <t>esta</t>
  </si>
  <si>
    <t>muito</t>
  </si>
  <si>
    <t>ofusca</t>
  </si>
  <si>
    <t># text = Para vermos o planeta , temos que fazer algo em relação a toda esta luz .</t>
  </si>
  <si>
    <t>Para</t>
  </si>
  <si>
    <t>vermos</t>
  </si>
  <si>
    <t>temos</t>
  </si>
  <si>
    <t>fazer</t>
  </si>
  <si>
    <t>relação</t>
  </si>
  <si>
    <t>toda</t>
  </si>
  <si>
    <t># text = Temos que nos livrar de_ ela .</t>
  </si>
  <si>
    <t>Temos</t>
  </si>
  <si>
    <t>livrar</t>
  </si>
  <si>
    <t>ela</t>
  </si>
  <si>
    <t># text = Tenho vários colegas a trabalhar em tecnologias fantásticas para fazer isso , mas hoje quero falar -vos de uma que penso ser a mais fixe , e provavelmente a que tem mais hipóteses de nos conseguir uma Terra na próxima década .</t>
  </si>
  <si>
    <t>Tenho</t>
  </si>
  <si>
    <t>vários</t>
  </si>
  <si>
    <t>tecnologias</t>
  </si>
  <si>
    <t>fantásticas</t>
  </si>
  <si>
    <t>hoje</t>
  </si>
  <si>
    <t>quero</t>
  </si>
  <si>
    <t>falar</t>
  </si>
  <si>
    <t>-vos</t>
  </si>
  <si>
    <t>penso</t>
  </si>
  <si>
    <t>ser</t>
  </si>
  <si>
    <t>fixe</t>
  </si>
  <si>
    <t>provavelmente</t>
  </si>
  <si>
    <t>hipóteses</t>
  </si>
  <si>
    <t>conseguir</t>
  </si>
  <si>
    <t># text = Foi inicialmente sugerida por Lyman Spitzer , o pai de_ o telescópio espacial , em 1962 , que se inspirou em_ um eclipse , Já todos viram isto .</t>
  </si>
  <si>
    <t>inicialmente</t>
  </si>
  <si>
    <t>sugerida</t>
  </si>
  <si>
    <t>Lyman</t>
  </si>
  <si>
    <t>Spitzer</t>
  </si>
  <si>
    <t>pai</t>
  </si>
  <si>
    <t>1962</t>
  </si>
  <si>
    <t>inspirou</t>
  </si>
  <si>
    <t>eclipse</t>
  </si>
  <si>
    <t>Já</t>
  </si>
  <si>
    <t>todos</t>
  </si>
  <si>
    <t>pron</t>
  </si>
  <si>
    <t>viram</t>
  </si>
  <si>
    <t>isto</t>
  </si>
  <si>
    <t># text = É um eclipse solar .</t>
  </si>
  <si>
    <t># text = A Lua colocou -se à frente de_ o Sol .</t>
  </si>
  <si>
    <t>colocou</t>
  </si>
  <si>
    <t>frente</t>
  </si>
  <si>
    <t># text = Bloqueou a maior parte de_ a sua luz por isso podemos ver a coroa ténue à sua volta .</t>
  </si>
  <si>
    <t>Bloqueou</t>
  </si>
  <si>
    <t>maior</t>
  </si>
  <si>
    <t>parte</t>
  </si>
  <si>
    <t>sua</t>
  </si>
  <si>
    <t>coroa</t>
  </si>
  <si>
    <t>ténue</t>
  </si>
  <si>
    <t>volta</t>
  </si>
  <si>
    <t>--</t>
  </si>
  <si>
    <t># text = Seria o mesmo se erguesse o meu polegar e bloqueasse o ponto luminoso à frente de_ os meus olhos , poderia vê -los na última fila . Bem , o que está a acontecer ?</t>
  </si>
  <si>
    <t>Seria</t>
  </si>
  <si>
    <t>erguesse</t>
  </si>
  <si>
    <t>meu</t>
  </si>
  <si>
    <t>polegar</t>
  </si>
  <si>
    <t>bloqueasse</t>
  </si>
  <si>
    <t>luminoso</t>
  </si>
  <si>
    <t>olhos</t>
  </si>
  <si>
    <t>poderia</t>
  </si>
  <si>
    <t>vê</t>
  </si>
  <si>
    <t>-los</t>
  </si>
  <si>
    <t>última</t>
  </si>
  <si>
    <t>fila</t>
  </si>
  <si>
    <t>acontecer</t>
  </si>
  <si>
    <t># text = Bem , a Lua projecta uma sombra na Terra .</t>
  </si>
  <si>
    <t>projecta</t>
  </si>
  <si>
    <t>sombra</t>
  </si>
  <si>
    <t># text = Colocamos um telescópio ou uma câmara em_ essa sombra , e olhamos para o Sol , e a maior parte de_ a luz foi removida e podemos ver essa ténue e fina estrutura na coroa .</t>
  </si>
  <si>
    <t>Colocamos</t>
  </si>
  <si>
    <t>ou</t>
  </si>
  <si>
    <t>câmara</t>
  </si>
  <si>
    <t>essa</t>
  </si>
  <si>
    <t>olhamos</t>
  </si>
  <si>
    <t>foi</t>
  </si>
  <si>
    <t>removida</t>
  </si>
  <si>
    <t>fina</t>
  </si>
  <si>
    <t>estrutura</t>
  </si>
  <si>
    <t># text = A sugestão de Spitzer foi que o fizéssemos no espaço .</t>
  </si>
  <si>
    <t>sugestão</t>
  </si>
  <si>
    <t>fizéssemos</t>
  </si>
  <si>
    <t>espaço</t>
  </si>
  <si>
    <t># text = Construíamos uma tela grande , colocávamo -la no espaço , em frente a uma estrela , bloqueávamos a maior parte de_ a luz , colocávamos um telescópio espacial em_ essa sombra criada , e zás , conseguíamos ver os planetas .</t>
  </si>
  <si>
    <t>Construíamos</t>
  </si>
  <si>
    <t>tela</t>
  </si>
  <si>
    <t>grande</t>
  </si>
  <si>
    <t>colocávamo</t>
  </si>
  <si>
    <t>-la</t>
  </si>
  <si>
    <t>bloqueávamos</t>
  </si>
  <si>
    <t>colocávamos</t>
  </si>
  <si>
    <t>criada</t>
  </si>
  <si>
    <t>zás</t>
  </si>
  <si>
    <t>conseguíamos</t>
  </si>
  <si>
    <t># text = Seria algo parecido com isto .</t>
  </si>
  <si>
    <t>parecido</t>
  </si>
  <si>
    <t># text = Aqui está a tela grande , e não há planetas , porque , infelizmente , não funciona lá muito bem por causa de_ as ondas luminosas e as ondas sofrem difracção à volta de_ essa tela tal como no telescópio .</t>
  </si>
  <si>
    <t>há</t>
  </si>
  <si>
    <t>infelizmente</t>
  </si>
  <si>
    <t>funciona</t>
  </si>
  <si>
    <t>lá</t>
  </si>
  <si>
    <t>bem</t>
  </si>
  <si>
    <t>causa</t>
  </si>
  <si>
    <t>as</t>
  </si>
  <si>
    <t>ondas</t>
  </si>
  <si>
    <t>luminosas</t>
  </si>
  <si>
    <t>sofrem</t>
  </si>
  <si>
    <t>tal</t>
  </si>
  <si>
    <t>como</t>
  </si>
  <si>
    <t># text = É como a água que contorna uma pedra em_ uma corrente , e toda essa luz destrói a sombra .</t>
  </si>
  <si>
    <t>água</t>
  </si>
  <si>
    <t>contorna</t>
  </si>
  <si>
    <t>pedra</t>
  </si>
  <si>
    <t>corrente</t>
  </si>
  <si>
    <t>destrói</t>
  </si>
  <si>
    <t># text = É uma sombra terrível .</t>
  </si>
  <si>
    <t>terrível</t>
  </si>
  <si>
    <t># text = E não conseguimos ver planetas .</t>
  </si>
  <si>
    <t>E</t>
  </si>
  <si>
    <t># text = Mas Spitzer sabia a solução .</t>
  </si>
  <si>
    <t>sabia</t>
  </si>
  <si>
    <t>solução</t>
  </si>
  <si>
    <t># text = Se conseguirmos suavizar as arestas de modo a controlar a difracção , então poderemos ver um planeta , e nos últimos 10 anos conseguimos soluções ideais para o conseguir .</t>
  </si>
  <si>
    <t>Se</t>
  </si>
  <si>
    <t>conseguirmos</t>
  </si>
  <si>
    <t>suavizar</t>
  </si>
  <si>
    <t>arestas</t>
  </si>
  <si>
    <t>modo</t>
  </si>
  <si>
    <t>controlar</t>
  </si>
  <si>
    <t>então</t>
  </si>
  <si>
    <t>poderemos</t>
  </si>
  <si>
    <t>últimos</t>
  </si>
  <si>
    <t>def-np.quant</t>
  </si>
  <si>
    <t>soluções</t>
  </si>
  <si>
    <t>ideais</t>
  </si>
  <si>
    <t># text = É algo parecido com isto .</t>
  </si>
  <si>
    <t># text = Chamamos -lhe a nossa sombra estelar em pétalas de flor</t>
  </si>
  <si>
    <t>Chamamos</t>
  </si>
  <si>
    <t>-lhe</t>
  </si>
  <si>
    <t>estelar</t>
  </si>
  <si>
    <t>pétalas</t>
  </si>
  <si>
    <t>flor</t>
  </si>
  <si>
    <t># text = Se fizermos as arestas de_ a forma correcta , se controlarmos a sua forma , podemos controlar a difracção , e conseguimos uma grande sombra .</t>
  </si>
  <si>
    <t>fizermos</t>
  </si>
  <si>
    <t>forma</t>
  </si>
  <si>
    <t>correcta</t>
  </si>
  <si>
    <t>controlarmos</t>
  </si>
  <si>
    <t># text = É cerca de 10 mil milhões de vezes mais ténue de_ o que era , e conseguimos ver os planetas a aparecer .</t>
  </si>
  <si>
    <t>cerca</t>
  </si>
  <si>
    <t>era</t>
  </si>
  <si>
    <t>aparecer</t>
  </si>
  <si>
    <t># text = Tem que ser , claro , maior de_ o que o meu polegar .</t>
  </si>
  <si>
    <t>Tem</t>
  </si>
  <si>
    <t>claro</t>
  </si>
  <si>
    <t># text = Esta sombra estelar tem cerca de metade de_ o tamanho de um campo de futebol e tem que se distanciar 50 000 quilómetros de_ o telescópio que tem que ser mantido na sua sombra , e então poderemos ver os planetas .</t>
  </si>
  <si>
    <t>metade</t>
  </si>
  <si>
    <t>tamanho</t>
  </si>
  <si>
    <t>futebol</t>
  </si>
  <si>
    <t>distanciar</t>
  </si>
  <si>
    <t>000</t>
  </si>
  <si>
    <t>mantido</t>
  </si>
  <si>
    <t># text = Isto parece formidável , mas engenheiros brilhantes , colegas meus no LPJ , conseguiram um \" design \" fabuloso para o conseguir e é parecido com isto .</t>
  </si>
  <si>
    <t>Isto</t>
  </si>
  <si>
    <t>parece</t>
  </si>
  <si>
    <t>formidável</t>
  </si>
  <si>
    <t>engenheiros</t>
  </si>
  <si>
    <t>brilhantes</t>
  </si>
  <si>
    <t>LPJ</t>
  </si>
  <si>
    <t>conseguiram</t>
  </si>
  <si>
    <t>&amp;quot;</t>
  </si>
  <si>
    <t>design</t>
  </si>
  <si>
    <t>fabuloso</t>
  </si>
  <si>
    <t># text = De início está enrolado em_ um eixo .</t>
  </si>
  <si>
    <t>De</t>
  </si>
  <si>
    <t>início</t>
  </si>
  <si>
    <t>enrolado</t>
  </si>
  <si>
    <t>eixo</t>
  </si>
  <si>
    <t># text = Separa -se de_ o telescópio .</t>
  </si>
  <si>
    <t>Separa</t>
  </si>
  <si>
    <t># text = As pétalas desdobram -se , abrem -se , o telescópio vira -se .</t>
  </si>
  <si>
    <t>As</t>
  </si>
  <si>
    <t>desdobram</t>
  </si>
  <si>
    <t>abrem</t>
  </si>
  <si>
    <t>vira</t>
  </si>
  <si>
    <t># text = Então ele vira -se e afasta -se 50 000 quilómetros de_ o telescópio .</t>
  </si>
  <si>
    <t>Então</t>
  </si>
  <si>
    <t>ele</t>
  </si>
  <si>
    <t>afasta</t>
  </si>
  <si>
    <t># text = Coloca -se à frente de_ a estrela deste modo , criando uma sombra maravilhosa . Zás , vemos os planetas a orbitar à sua volta . ( Aplausos )</t>
  </si>
  <si>
    <t>Coloca</t>
  </si>
  <si>
    <t>este</t>
  </si>
  <si>
    <t>maravilhosa</t>
  </si>
  <si>
    <t>Zás</t>
  </si>
  <si>
    <t>orbitar</t>
  </si>
  <si>
    <t>(</t>
  </si>
  <si>
    <t>Aplausos</t>
  </si>
  <si>
    <t>)</t>
  </si>
  <si>
    <t># text = Obrigado .</t>
  </si>
  <si>
    <t>Obrigado</t>
  </si>
  <si>
    <t># text = Não é ficção científica .</t>
  </si>
  <si>
    <t>Não</t>
  </si>
  <si>
    <t>ficção</t>
  </si>
  <si>
    <t>científica</t>
  </si>
  <si>
    <t># text = Estamos a trabalhar em_ isto há cinco ou seis anos .</t>
  </si>
  <si>
    <t>cinco</t>
  </si>
  <si>
    <t># text = No último Verão , fizemos um teste mesmo fixe na Califórnia , na Northrop Grumman .</t>
  </si>
  <si>
    <t>Em</t>
  </si>
  <si>
    <t>último</t>
  </si>
  <si>
    <t>Verão</t>
  </si>
  <si>
    <t>fizemos</t>
  </si>
  <si>
    <t>teste</t>
  </si>
  <si>
    <t>Califórnia</t>
  </si>
  <si>
    <t>Northrop</t>
  </si>
  <si>
    <t>Grumman</t>
  </si>
  <si>
    <t># text = São quatro pétalas .</t>
  </si>
  <si>
    <t>São</t>
  </si>
  <si>
    <t>quatro</t>
  </si>
  <si>
    <t># text = É uma sombra estelar em escala reduzida .</t>
  </si>
  <si>
    <t>escala</t>
  </si>
  <si>
    <t>reduzida</t>
  </si>
  <si>
    <t># text = Tem cerca de metade de_ o tamanho de_ a que viram antes .</t>
  </si>
  <si>
    <t>antes</t>
  </si>
  <si>
    <t># text = Podem ver as pétalas a desdobrar .</t>
  </si>
  <si>
    <t>Podem</t>
  </si>
  <si>
    <t>desdobrar</t>
  </si>
  <si>
    <t># text = Essas quatro pétalas foram construídas por quatro estudantes universitários em_ um curso de verão no LPJ .</t>
  </si>
  <si>
    <t>Essas</t>
  </si>
  <si>
    <t>foram</t>
  </si>
  <si>
    <t>construídas</t>
  </si>
  <si>
    <t>estudantes</t>
  </si>
  <si>
    <t>universitários</t>
  </si>
  <si>
    <t>curso</t>
  </si>
  <si>
    <t>verão</t>
  </si>
  <si>
    <t># text = Agora podem vê -la a desenrolar .</t>
  </si>
  <si>
    <t>podem</t>
  </si>
  <si>
    <t>desenrolar</t>
  </si>
  <si>
    <t># text = As petalas têm que se colocar em posição .</t>
  </si>
  <si>
    <t>petalas</t>
  </si>
  <si>
    <t>têm</t>
  </si>
  <si>
    <t>colocar</t>
  </si>
  <si>
    <t>posição</t>
  </si>
  <si>
    <t># text = A base de_ essas pétalas tem que se colocar sempre na mesma posição com a precisão de um décimo de milímetro .</t>
  </si>
  <si>
    <t>base</t>
  </si>
  <si>
    <t>essas</t>
  </si>
  <si>
    <t>sempre</t>
  </si>
  <si>
    <t>mesma</t>
  </si>
  <si>
    <t>precisão</t>
  </si>
  <si>
    <t>décimo</t>
  </si>
  <si>
    <t>milímetro</t>
  </si>
  <si>
    <t># text = Efectuámos este teste 16 vezes , e de_ as 16 vezes voltou à posição exacta com a precisão de um décimo de milímetro .</t>
  </si>
  <si>
    <t>Efectuámos</t>
  </si>
  <si>
    <t>voltou</t>
  </si>
  <si>
    <t>exacta</t>
  </si>
  <si>
    <t># text = Isto tem que ser feito com grande precisão , mas se o conseguirmos , se conseguirmos construir esta tecnologia , se a colocarmos no espaço , poderão ver algo assim .</t>
  </si>
  <si>
    <t>feito</t>
  </si>
  <si>
    <t>construir</t>
  </si>
  <si>
    <t>colocarmos</t>
  </si>
  <si>
    <t>poderão</t>
  </si>
  <si>
    <t># text = Isto é uma imagem de uma de_ as estrelas mais próximas de nós obtida com o Telescópio Espacial Hubble .</t>
  </si>
  <si>
    <t>estrelas</t>
  </si>
  <si>
    <t>próximas</t>
  </si>
  <si>
    <t>nós</t>
  </si>
  <si>
    <t>obtida</t>
  </si>
  <si>
    <t># text = Se usarmos um telescópio semelhante , ligeiramente maior , se o colocarmos no espaço , se pusermos uma antepara à sua frente , o que poderemos ver é algo como isto — isto é um retrato de família de_ o nosso sistema solar — mas não o nosso .</t>
  </si>
  <si>
    <t>usarmos</t>
  </si>
  <si>
    <t>semelhante</t>
  </si>
  <si>
    <t>ligeiramente</t>
  </si>
  <si>
    <t>pusermos</t>
  </si>
  <si>
    <t>antepara</t>
  </si>
  <si>
    <t>—</t>
  </si>
  <si>
    <t>retrato</t>
  </si>
  <si>
    <t>família</t>
  </si>
  <si>
    <t>nosso</t>
  </si>
  <si>
    <t># text = Esperamos que seja outro sistema solar visto através de uma antepara , através de uma sombra estelar como esta .</t>
  </si>
  <si>
    <t>Esperamos</t>
  </si>
  <si>
    <t>seja</t>
  </si>
  <si>
    <t>outro</t>
  </si>
  <si>
    <t>visto</t>
  </si>
  <si>
    <t>através</t>
  </si>
  <si>
    <t># text = Podemos ver Júpiter , podemos ver Saturno , Urano , Neptuno , e mesmo no centro , próximo de_ a luz residual está o ponto azul pálido .</t>
  </si>
  <si>
    <t>Podemos</t>
  </si>
  <si>
    <t>Júpiter</t>
  </si>
  <si>
    <t>Saturno</t>
  </si>
  <si>
    <t>Neptuno</t>
  </si>
  <si>
    <t>centro</t>
  </si>
  <si>
    <t>próximo</t>
  </si>
  <si>
    <t>residual</t>
  </si>
  <si>
    <t># text = É a Terra .</t>
  </si>
  <si>
    <t># text = Queremos ver isso , ver se tem água , oxigénio , ozono , as coisas que nos poderão dizer se poderá ter vida .</t>
  </si>
  <si>
    <t>Queremos</t>
  </si>
  <si>
    <t>oxigénio</t>
  </si>
  <si>
    <t>ozono</t>
  </si>
  <si>
    <t>coisas</t>
  </si>
  <si>
    <t>dizer</t>
  </si>
  <si>
    <t># text = Penso que esta é a ciência mais fixe possível .</t>
  </si>
  <si>
    <t>Penso</t>
  </si>
  <si>
    <t>ciência</t>
  </si>
  <si>
    <t>possível</t>
  </si>
  <si>
    <t># text = É por isso que me dediquei a isto , porque penso que vai mudar o mundo .</t>
  </si>
  <si>
    <t>me</t>
  </si>
  <si>
    <t>dediquei</t>
  </si>
  <si>
    <t>vai</t>
  </si>
  <si>
    <t>mudar</t>
  </si>
  <si>
    <t>mundo</t>
  </si>
  <si>
    <t># text = Irá mudar tudo quando surgir .</t>
  </si>
  <si>
    <t>Irá</t>
  </si>
  <si>
    <t>tudo</t>
  </si>
  <si>
    <t>surgir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</si>
</sst>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13</v>
      </c>
      <c r="B3" s="6" t="s">
        <v>11</v>
      </c>
      <c r="C3" s="6" t="s">
        <v>14</v>
      </c>
      <c r="D3" s="7" t="s">
        <v>11</v>
      </c>
      <c r="E3" s="8" t="s">
        <v>15</v>
      </c>
      <c r="F3" s="6" t="s">
        <v>11</v>
      </c>
      <c r="G3" s="9">
        <f>IF(A3=1,"_",IF(C3="_","???",C3))</f>
        <v/>
      </c>
      <c r="H3" s="10" t="s">
        <v>10</v>
      </c>
      <c r="I3" s="11" t="s">
        <v>17</v>
      </c>
      <c r="J3" s="12" t="s">
        <v>18</v>
      </c>
    </row>
    <row r="4" spans="1:10" ht="60" customHeight="1">
      <c r="A4" s="6" t="s">
        <v>19</v>
      </c>
      <c r="B4" s="6" t="s">
        <v>11</v>
      </c>
      <c r="C4" s="6" t="s">
        <v>20</v>
      </c>
      <c r="D4" s="7" t="s">
        <v>11</v>
      </c>
      <c r="E4" s="8" t="s">
        <v>21</v>
      </c>
      <c r="F4" s="6" t="s">
        <v>11</v>
      </c>
      <c r="G4" s="9">
        <f>IF(A4=1,"_",IF(C4="_","???",C4))</f>
        <v/>
      </c>
      <c r="H4" s="10" t="s">
        <v>13</v>
      </c>
      <c r="I4" s="11" t="s">
        <v>23</v>
      </c>
      <c r="J4" s="12" t="s">
        <v>24</v>
      </c>
    </row>
    <row r="5" spans="1:10" ht="60" customHeight="1">
      <c r="A5" s="6" t="s">
        <v>25</v>
      </c>
      <c r="B5" s="6" t="s">
        <v>11</v>
      </c>
      <c r="C5" s="6" t="s">
        <v>11</v>
      </c>
      <c r="D5" s="7" t="s">
        <v>11</v>
      </c>
      <c r="E5" s="8" t="s">
        <v>26</v>
      </c>
      <c r="F5" s="6" t="s">
        <v>11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27</v>
      </c>
      <c r="B6" s="6" t="s">
        <v>11</v>
      </c>
      <c r="C6" s="6" t="s">
        <v>28</v>
      </c>
      <c r="D6" s="7" t="s">
        <v>11</v>
      </c>
      <c r="E6" s="8" t="s">
        <v>29</v>
      </c>
      <c r="F6" s="6" t="s">
        <v>11</v>
      </c>
      <c r="G6" s="9">
        <f>IF(A6=1,"_",IF(C6="_","???",C6))</f>
        <v/>
      </c>
      <c r="H6" s="10" t="s">
        <v>25</v>
      </c>
      <c r="I6" s="11" t="s">
        <v>31</v>
      </c>
      <c r="J6" s="12" t="s">
        <v>32</v>
      </c>
    </row>
    <row r="7" spans="1:10" ht="60" customHeight="1">
      <c r="A7" s="6" t="s">
        <v>33</v>
      </c>
      <c r="B7" s="6" t="s">
        <v>11</v>
      </c>
      <c r="C7" s="6" t="s">
        <v>11</v>
      </c>
      <c r="D7" s="7" t="s">
        <v>11</v>
      </c>
      <c r="E7" s="8" t="s">
        <v>34</v>
      </c>
      <c r="F7" s="6" t="s">
        <v>11</v>
      </c>
      <c r="G7" s="9">
        <f>IF(A7=1,"_",IF(C7="_","???",C7))</f>
        <v/>
      </c>
      <c r="H7" s="10" t="s">
        <v>11</v>
      </c>
      <c r="I7" s="11" t="s">
        <v>11</v>
      </c>
      <c r="J7" s="12"/>
    </row>
    <row r="8" spans="1:10" ht="60" customHeight="1">
      <c r="A8" s="6" t="s">
        <v>35</v>
      </c>
      <c r="B8" s="6" t="s">
        <v>11</v>
      </c>
      <c r="C8" s="6" t="s">
        <v>11</v>
      </c>
      <c r="D8" s="7" t="s">
        <v>11</v>
      </c>
      <c r="E8" s="8" t="s">
        <v>36</v>
      </c>
      <c r="F8" s="6" t="s">
        <v>11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37</v>
      </c>
      <c r="B9" s="6" t="s">
        <v>11</v>
      </c>
      <c r="C9" s="6" t="s">
        <v>38</v>
      </c>
      <c r="D9" s="7" t="s">
        <v>11</v>
      </c>
      <c r="E9" s="8" t="s">
        <v>39</v>
      </c>
      <c r="F9" s="6" t="s">
        <v>11</v>
      </c>
      <c r="G9" s="9">
        <f>IF(A9=1,"_",IF(C9="_","???",C9))</f>
        <v/>
      </c>
      <c r="H9" s="10" t="s">
        <v>35</v>
      </c>
      <c r="I9" s="11" t="s">
        <v>41</v>
      </c>
      <c r="J9" s="12" t="s">
        <v>42</v>
      </c>
    </row>
    <row r="10" spans="1:10" ht="60" customHeight="1">
      <c r="A10" s="6" t="s">
        <v>43</v>
      </c>
      <c r="B10" s="6" t="s">
        <v>11</v>
      </c>
      <c r="C10" s="6" t="s">
        <v>44</v>
      </c>
      <c r="D10" s="7" t="s">
        <v>11</v>
      </c>
      <c r="E10" s="8" t="s">
        <v>45</v>
      </c>
      <c r="F10" s="6" t="s">
        <v>11</v>
      </c>
      <c r="G10" s="9">
        <f>IF(A10=1,"_",IF(C10="_","???",C10))</f>
        <v/>
      </c>
      <c r="H10" s="10" t="s">
        <v>37</v>
      </c>
      <c r="I10" s="11" t="s">
        <v>47</v>
      </c>
      <c r="J10" s="12" t="s">
        <v>48</v>
      </c>
    </row>
    <row r="11" spans="1:10" ht="60" customHeight="1">
      <c r="A11" s="6" t="s">
        <v>49</v>
      </c>
      <c r="B11" s="6" t="s">
        <v>11</v>
      </c>
      <c r="C11" s="6" t="s">
        <v>14</v>
      </c>
      <c r="D11" s="7" t="s">
        <v>11</v>
      </c>
      <c r="E11" s="8" t="s">
        <v>50</v>
      </c>
      <c r="F11" s="6" t="s">
        <v>11</v>
      </c>
      <c r="G11" s="9">
        <f>IF(A11=1,"_",IF(C11="_","???",C11))</f>
        <v/>
      </c>
      <c r="H11" s="10" t="s">
        <v>43</v>
      </c>
      <c r="I11" s="11" t="s">
        <v>17</v>
      </c>
      <c r="J11" s="12" t="s">
        <v>18</v>
      </c>
    </row>
    <row r="12" spans="1:10" ht="60" customHeight="1">
      <c r="A12" s="6" t="s">
        <v>51</v>
      </c>
      <c r="B12" s="6" t="s">
        <v>11</v>
      </c>
      <c r="C12" s="6" t="s">
        <v>11</v>
      </c>
      <c r="D12" s="7" t="s">
        <v>11</v>
      </c>
      <c r="E12" s="8" t="s">
        <v>52</v>
      </c>
      <c r="F12" s="6" t="s">
        <v>11</v>
      </c>
      <c r="G12" s="9">
        <f>IF(A12=1,"_",IF(C12="_","???",C12))</f>
        <v/>
      </c>
      <c r="H12" s="10" t="s">
        <v>53</v>
      </c>
      <c r="I12" s="11" t="s">
        <v>55</v>
      </c>
      <c r="J12" s="12" t="s">
        <v>56</v>
      </c>
    </row>
    <row r="13" spans="1:10" ht="60" customHeight="1">
      <c r="A13" s="6" t="s">
        <v>53</v>
      </c>
      <c r="B13" s="6" t="s">
        <v>11</v>
      </c>
      <c r="C13" s="6" t="s">
        <v>11</v>
      </c>
      <c r="D13" s="7" t="s">
        <v>11</v>
      </c>
      <c r="E13" s="8" t="s">
        <v>57</v>
      </c>
      <c r="F13" s="6" t="s">
        <v>11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58</v>
      </c>
      <c r="B14" s="6" t="s">
        <v>11</v>
      </c>
      <c r="C14" s="6" t="s">
        <v>59</v>
      </c>
      <c r="D14" s="7" t="s">
        <v>11</v>
      </c>
      <c r="E14" s="8" t="s">
        <v>60</v>
      </c>
      <c r="F14" s="6" t="s">
        <v>11</v>
      </c>
      <c r="G14" s="9">
        <f>IF(A14=1,"_",IF(C14="_","???",C14))</f>
        <v/>
      </c>
      <c r="H14" s="10" t="s">
        <v>53</v>
      </c>
      <c r="I14" s="11" t="s">
        <v>62</v>
      </c>
      <c r="J14" s="12" t="s">
        <v>63</v>
      </c>
    </row>
    <row r="15" spans="1:10" ht="60" customHeight="1">
      <c r="A15" s="6" t="s">
        <v>64</v>
      </c>
      <c r="B15" s="6" t="s">
        <v>11</v>
      </c>
      <c r="C15" s="6" t="s">
        <v>65</v>
      </c>
      <c r="D15" s="7" t="s">
        <v>11</v>
      </c>
      <c r="E15" s="8" t="s">
        <v>66</v>
      </c>
      <c r="F15" s="6" t="s">
        <v>11</v>
      </c>
      <c r="G15" s="9">
        <f>IF(A15=1,"_",IF(C15="_","???",C15))</f>
        <v/>
      </c>
      <c r="H15" s="10" t="s">
        <v>58</v>
      </c>
      <c r="I15" s="11" t="s">
        <v>23</v>
      </c>
      <c r="J15" s="12" t="s">
        <v>24</v>
      </c>
    </row>
    <row r="16" spans="1:10" ht="60" customHeight="1">
      <c r="A16" s="6" t="s">
        <v>67</v>
      </c>
      <c r="B16" s="6" t="s">
        <v>11</v>
      </c>
      <c r="C16" s="6" t="s">
        <v>11</v>
      </c>
      <c r="D16" s="7" t="s">
        <v>11</v>
      </c>
      <c r="E16" s="8" t="s">
        <v>68</v>
      </c>
      <c r="F16" s="6" t="s">
        <v>11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69</v>
      </c>
      <c r="B17" s="6" t="s">
        <v>11</v>
      </c>
      <c r="C17" s="6" t="s">
        <v>70</v>
      </c>
      <c r="D17" s="7" t="s">
        <v>11</v>
      </c>
      <c r="E17" s="8" t="s">
        <v>71</v>
      </c>
      <c r="F17" s="6" t="s">
        <v>11</v>
      </c>
      <c r="G17" s="9">
        <f>IF(A17=1,"_",IF(C17="_","???",C17))</f>
        <v/>
      </c>
      <c r="H17" s="10" t="s">
        <v>67</v>
      </c>
      <c r="I17" s="11" t="s">
        <v>47</v>
      </c>
      <c r="J17" s="12" t="s">
        <v>48</v>
      </c>
    </row>
    <row r="18" spans="1:10" ht="60" customHeight="1">
      <c r="A18" s="6" t="s">
        <v>72</v>
      </c>
      <c r="B18" s="6" t="s">
        <v>11</v>
      </c>
      <c r="C18" s="6" t="s">
        <v>20</v>
      </c>
      <c r="D18" s="7" t="s">
        <v>11</v>
      </c>
      <c r="E18" s="8" t="s">
        <v>73</v>
      </c>
      <c r="F18" s="6" t="s">
        <v>11</v>
      </c>
      <c r="G18" s="9">
        <f>IF(A18=1,"_",IF(C18="_","???",C18))</f>
        <v/>
      </c>
      <c r="H18" s="10" t="s">
        <v>69</v>
      </c>
      <c r="I18" s="11" t="s">
        <v>23</v>
      </c>
      <c r="J18" s="12" t="s">
        <v>24</v>
      </c>
    </row>
    <row r="19" spans="1:10" ht="60" customHeight="1">
      <c r="A19" s="6" t="s">
        <v>74</v>
      </c>
      <c r="B19" s="6" t="s">
        <v>11</v>
      </c>
      <c r="C19" s="6" t="s">
        <v>75</v>
      </c>
      <c r="D19" s="7" t="s">
        <v>11</v>
      </c>
      <c r="E19" s="8" t="s">
        <v>76</v>
      </c>
      <c r="F19" s="6" t="s">
        <v>11</v>
      </c>
      <c r="G19" s="9">
        <f>IF(A19=1,"_",IF(C19="_","???",C19))</f>
        <v/>
      </c>
      <c r="H19" s="10" t="s">
        <v>72</v>
      </c>
      <c r="I19" s="11" t="s">
        <v>78</v>
      </c>
      <c r="J19" s="12" t="s">
        <v>79</v>
      </c>
    </row>
    <row r="20" spans="1:10" ht="60" customHeight="1">
      <c r="A20" s="6" t="s">
        <v>80</v>
      </c>
      <c r="B20" s="6" t="s">
        <v>11</v>
      </c>
      <c r="C20" s="6" t="s">
        <v>11</v>
      </c>
      <c r="D20" s="7" t="s">
        <v>11</v>
      </c>
      <c r="E20" s="8" t="s">
        <v>81</v>
      </c>
      <c r="F20" s="6" t="s">
        <v>11</v>
      </c>
      <c r="G20" s="9">
        <f>IF(A20=1,"_",IF(C20="_","???",C20))</f>
        <v/>
      </c>
      <c r="H20" s="10" t="s">
        <v>74</v>
      </c>
      <c r="I20" s="11" t="s">
        <v>17</v>
      </c>
      <c r="J20" s="12" t="s">
        <v>18</v>
      </c>
    </row>
    <row r="21" spans="1:10" ht="60" customHeight="1">
      <c r="A21" s="6" t="s">
        <v>82</v>
      </c>
      <c r="B21" s="6" t="s">
        <v>11</v>
      </c>
      <c r="C21" s="6" t="s">
        <v>20</v>
      </c>
      <c r="D21" s="7" t="s">
        <v>11</v>
      </c>
      <c r="E21" s="8" t="s">
        <v>83</v>
      </c>
      <c r="F21" s="6" t="s">
        <v>11</v>
      </c>
      <c r="G21" s="9">
        <f>IF(A21=1,"_",IF(C21="_","???",C21))</f>
        <v/>
      </c>
      <c r="H21" s="10" t="s">
        <v>80</v>
      </c>
      <c r="I21" s="11" t="s">
        <v>23</v>
      </c>
      <c r="J21" s="12" t="s">
        <v>24</v>
      </c>
    </row>
    <row r="22" spans="1:10" ht="60" customHeight="1">
      <c r="A22" s="6" t="s">
        <v>84</v>
      </c>
      <c r="B22" s="6" t="s">
        <v>11</v>
      </c>
      <c r="C22" s="6" t="s">
        <v>11</v>
      </c>
      <c r="D22" s="7" t="s">
        <v>11</v>
      </c>
      <c r="E22" s="8" t="s">
        <v>85</v>
      </c>
      <c r="F22" s="6" t="s">
        <v>11</v>
      </c>
      <c r="G22" s="9">
        <f>IF(A22=1,"_",IF(C22="_","???",C22))</f>
        <v/>
      </c>
      <c r="H22" s="10" t="s">
        <v>11</v>
      </c>
      <c r="I22" s="11" t="s">
        <v>11</v>
      </c>
      <c r="J22" s="12"/>
    </row>
    <row r="23" spans="1:10" ht="60" customHeight="1">
      <c r="A23" s="6" t="s">
        <v>86</v>
      </c>
      <c r="B23" s="6" t="s">
        <v>11</v>
      </c>
      <c r="C23" s="6" t="s">
        <v>20</v>
      </c>
      <c r="D23" s="7" t="s">
        <v>11</v>
      </c>
      <c r="E23" s="8" t="s">
        <v>87</v>
      </c>
      <c r="F23" s="6" t="s">
        <v>11</v>
      </c>
      <c r="G23" s="9">
        <f>IF(A23=1,"_",IF(C23="_","???",C23))</f>
        <v/>
      </c>
      <c r="H23" s="10" t="s">
        <v>84</v>
      </c>
      <c r="I23" s="11" t="s">
        <v>23</v>
      </c>
      <c r="J23" s="12" t="s">
        <v>24</v>
      </c>
    </row>
    <row r="24" spans="1:10" ht="60" customHeight="1">
      <c r="A24" s="6" t="s">
        <v>88</v>
      </c>
      <c r="B24" s="6" t="s">
        <v>11</v>
      </c>
      <c r="C24" s="6" t="s">
        <v>14</v>
      </c>
      <c r="D24" s="7" t="s">
        <v>11</v>
      </c>
      <c r="E24" s="8" t="s">
        <v>89</v>
      </c>
      <c r="F24" s="6" t="s">
        <v>11</v>
      </c>
      <c r="G24" s="9">
        <f>IF(A24=1,"_",IF(C24="_","???",C24))</f>
        <v/>
      </c>
      <c r="H24" s="10" t="s">
        <v>86</v>
      </c>
      <c r="I24" s="11" t="s">
        <v>17</v>
      </c>
      <c r="J24" s="12" t="s">
        <v>18</v>
      </c>
    </row>
    <row r="25" spans="1:10" ht="60" customHeight="1">
      <c r="A25" s="6" t="s">
        <v>90</v>
      </c>
      <c r="B25" s="6" t="s">
        <v>11</v>
      </c>
      <c r="C25" s="6" t="s">
        <v>11</v>
      </c>
      <c r="D25" s="7" t="s">
        <v>11</v>
      </c>
      <c r="E25" s="8" t="s">
        <v>91</v>
      </c>
      <c r="F25" s="6" t="s">
        <v>11</v>
      </c>
      <c r="G25" s="9">
        <f>IF(A25=1,"_",IF(C25="_","???",C25))</f>
        <v/>
      </c>
      <c r="H25" s="10" t="s">
        <v>11</v>
      </c>
      <c r="I25" s="11" t="s">
        <v>11</v>
      </c>
      <c r="J25" s="12"/>
    </row>
    <row r="26" spans="1:10" ht="60" customHeight="1">
      <c r="A26" s="6" t="s">
        <v>92</v>
      </c>
      <c r="B26" s="6" t="s">
        <v>11</v>
      </c>
      <c r="C26" s="6" t="s">
        <v>14</v>
      </c>
      <c r="D26" s="7" t="s">
        <v>11</v>
      </c>
      <c r="E26" s="8" t="s">
        <v>93</v>
      </c>
      <c r="F26" s="6" t="s">
        <v>11</v>
      </c>
      <c r="G26" s="9">
        <f>IF(A26=1,"_",IF(C26="_","???",C26))</f>
        <v/>
      </c>
      <c r="H26" s="10" t="s">
        <v>90</v>
      </c>
      <c r="I26" s="11" t="s">
        <v>17</v>
      </c>
      <c r="J26" s="12" t="s">
        <v>18</v>
      </c>
    </row>
    <row r="27" spans="1:10" ht="60" customHeight="1">
      <c r="A27" s="6" t="s">
        <v>94</v>
      </c>
      <c r="B27" s="6" t="s">
        <v>11</v>
      </c>
      <c r="C27" s="6" t="s">
        <v>95</v>
      </c>
      <c r="D27" s="7" t="s">
        <v>11</v>
      </c>
      <c r="E27" s="8" t="s">
        <v>96</v>
      </c>
      <c r="F27" s="6" t="s">
        <v>11</v>
      </c>
      <c r="G27" s="9">
        <f>IF(A27=1,"_",IF(C27="_","???",C27))</f>
        <v/>
      </c>
      <c r="H27" s="10" t="s">
        <v>92</v>
      </c>
      <c r="I27" s="11" t="s">
        <v>78</v>
      </c>
      <c r="J27" s="12" t="s">
        <v>79</v>
      </c>
    </row>
    <row r="28" spans="1:10" ht="60" customHeight="1">
      <c r="A28" s="6" t="s">
        <v>97</v>
      </c>
      <c r="B28" s="6" t="s">
        <v>11</v>
      </c>
      <c r="C28" s="6" t="s">
        <v>14</v>
      </c>
      <c r="D28" s="7" t="s">
        <v>11</v>
      </c>
      <c r="E28" s="8" t="s">
        <v>98</v>
      </c>
      <c r="F28" s="6" t="s">
        <v>11</v>
      </c>
      <c r="G28" s="9">
        <f>IF(A28=1,"_",IF(C28="_","???",C28))</f>
        <v/>
      </c>
      <c r="H28" s="10" t="s">
        <v>94</v>
      </c>
      <c r="I28" s="11" t="s">
        <v>17</v>
      </c>
      <c r="J28" s="12" t="s">
        <v>18</v>
      </c>
    </row>
    <row r="29" spans="1:10" ht="60" customHeight="1">
      <c r="A29" s="6" t="s">
        <v>99</v>
      </c>
      <c r="B29" s="6" t="s">
        <v>11</v>
      </c>
      <c r="C29" s="6" t="s">
        <v>20</v>
      </c>
      <c r="D29" s="7" t="s">
        <v>11</v>
      </c>
      <c r="E29" s="8" t="s">
        <v>100</v>
      </c>
      <c r="F29" s="6" t="s">
        <v>11</v>
      </c>
      <c r="G29" s="9">
        <f>IF(A29=1,"_",IF(C29="_","???",C29))</f>
        <v/>
      </c>
      <c r="H29" s="10" t="s">
        <v>97</v>
      </c>
      <c r="I29" s="11" t="s">
        <v>23</v>
      </c>
      <c r="J29" s="12" t="s">
        <v>24</v>
      </c>
    </row>
    <row r="30" spans="1:10" ht="60" customHeight="1">
      <c r="A30" s="6" t="s">
        <v>101</v>
      </c>
      <c r="B30" s="6" t="s">
        <v>11</v>
      </c>
      <c r="C30" s="6" t="s">
        <v>102</v>
      </c>
      <c r="D30" s="7" t="s">
        <v>11</v>
      </c>
      <c r="E30" s="8" t="s">
        <v>103</v>
      </c>
      <c r="F30" s="6" t="s">
        <v>11</v>
      </c>
      <c r="G30" s="9">
        <f>IF(A30=1,"_",IF(C30="_","???",C30))</f>
        <v/>
      </c>
      <c r="H30" s="10" t="s">
        <v>99</v>
      </c>
      <c r="I30" s="11" t="s">
        <v>78</v>
      </c>
      <c r="J30" s="12" t="s">
        <v>79</v>
      </c>
    </row>
    <row r="31" spans="1:10" ht="60" customHeight="1">
      <c r="A31" s="6" t="s">
        <v>104</v>
      </c>
      <c r="B31" s="6" t="s">
        <v>11</v>
      </c>
      <c r="C31" s="6" t="s">
        <v>14</v>
      </c>
      <c r="D31" s="7" t="s">
        <v>11</v>
      </c>
      <c r="E31" s="8" t="s">
        <v>105</v>
      </c>
      <c r="F31" s="6" t="s">
        <v>11</v>
      </c>
      <c r="G31" s="9">
        <f>IF(A31=1,"_",IF(C31="_","???",C31))</f>
        <v/>
      </c>
      <c r="H31" s="10" t="s">
        <v>101</v>
      </c>
      <c r="I31" s="11" t="s">
        <v>17</v>
      </c>
      <c r="J31" s="12" t="s">
        <v>18</v>
      </c>
    </row>
    <row r="32" spans="1:10" ht="60" customHeight="1">
      <c r="A32" s="6" t="s">
        <v>106</v>
      </c>
      <c r="B32" s="6" t="s">
        <v>11</v>
      </c>
      <c r="C32" s="6" t="s">
        <v>11</v>
      </c>
      <c r="D32" s="7" t="s">
        <v>11</v>
      </c>
      <c r="E32" s="8" t="s">
        <v>107</v>
      </c>
      <c r="F32" s="6" t="s">
        <v>11</v>
      </c>
      <c r="G32" s="9">
        <f>IF(A32=1,"_",IF(C32="_","???",C32))</f>
        <v/>
      </c>
      <c r="H32" s="10" t="s">
        <v>11</v>
      </c>
      <c r="I32" s="11" t="s">
        <v>11</v>
      </c>
      <c r="J32" s="12"/>
    </row>
    <row r="33" spans="1:10" ht="60" customHeight="1">
      <c r="A33" s="6" t="s">
        <v>108</v>
      </c>
      <c r="B33" s="6" t="s">
        <v>11</v>
      </c>
      <c r="C33" s="6" t="s">
        <v>109</v>
      </c>
      <c r="D33" s="7" t="s">
        <v>11</v>
      </c>
      <c r="E33" s="8" t="s">
        <v>110</v>
      </c>
      <c r="F33" s="6" t="s">
        <v>11</v>
      </c>
      <c r="G33" s="9">
        <f>IF(A33=1,"_",IF(C33="_","???",C33))</f>
        <v/>
      </c>
      <c r="H33" s="10" t="s">
        <v>106</v>
      </c>
      <c r="I33" s="11" t="s">
        <v>78</v>
      </c>
      <c r="J33" s="12" t="s">
        <v>79</v>
      </c>
    </row>
    <row r="34" spans="1:10" ht="60" customHeight="1">
      <c r="A34" s="6" t="s">
        <v>111</v>
      </c>
      <c r="B34" s="6" t="s">
        <v>11</v>
      </c>
      <c r="C34" s="6" t="s">
        <v>102</v>
      </c>
      <c r="D34" s="7" t="s">
        <v>11</v>
      </c>
      <c r="E34" s="8" t="s">
        <v>112</v>
      </c>
      <c r="F34" s="6" t="s">
        <v>11</v>
      </c>
      <c r="G34" s="9">
        <f>IF(A34=1,"_",IF(C34="_","???",C34))</f>
        <v/>
      </c>
      <c r="H34" s="10" t="s">
        <v>108</v>
      </c>
      <c r="I34" s="11" t="s">
        <v>78</v>
      </c>
      <c r="J34" s="12" t="s">
        <v>79</v>
      </c>
    </row>
    <row r="35" spans="1:10" ht="60" customHeight="1">
      <c r="A35" s="6" t="s">
        <v>113</v>
      </c>
      <c r="B35" s="6" t="s">
        <v>11</v>
      </c>
      <c r="C35" s="6" t="s">
        <v>14</v>
      </c>
      <c r="D35" s="7" t="s">
        <v>11</v>
      </c>
      <c r="E35" s="8" t="s">
        <v>114</v>
      </c>
      <c r="F35" s="6" t="s">
        <v>11</v>
      </c>
      <c r="G35" s="9">
        <f>IF(A35=1,"_",IF(C35="_","???",C35))</f>
        <v/>
      </c>
      <c r="H35" s="10" t="s">
        <v>111</v>
      </c>
      <c r="I35" s="11" t="s">
        <v>17</v>
      </c>
      <c r="J35" s="12" t="s">
        <v>18</v>
      </c>
    </row>
    <row r="36" spans="1:10" ht="60" customHeight="1">
      <c r="A36" s="6" t="s">
        <v>115</v>
      </c>
      <c r="B36" s="6" t="s">
        <v>11</v>
      </c>
      <c r="C36" s="6" t="s">
        <v>11</v>
      </c>
      <c r="D36" s="7" t="s">
        <v>11</v>
      </c>
      <c r="E36" s="8" t="s">
        <v>116</v>
      </c>
      <c r="F36" s="6" t="s">
        <v>11</v>
      </c>
      <c r="G36" s="9">
        <f>IF(A36=1,"_",IF(C36="_","???",C36))</f>
        <v/>
      </c>
      <c r="H36" s="10" t="s">
        <v>113</v>
      </c>
      <c r="I36" s="11" t="s">
        <v>118</v>
      </c>
      <c r="J36" s="12" t="s">
        <v>119</v>
      </c>
    </row>
    <row r="37" spans="1:10" ht="60" customHeight="1">
      <c r="A37" s="6" t="s">
        <v>120</v>
      </c>
      <c r="B37" s="6" t="s">
        <v>11</v>
      </c>
      <c r="C37" s="6" t="s">
        <v>11</v>
      </c>
      <c r="D37" s="7" t="s">
        <v>11</v>
      </c>
      <c r="E37" s="8" t="s">
        <v>121</v>
      </c>
      <c r="F37" s="6" t="s">
        <v>11</v>
      </c>
      <c r="G37" s="9">
        <f>IF(A37=1,"_",IF(C37="_","???",C37))</f>
        <v/>
      </c>
      <c r="H37" s="10" t="s">
        <v>11</v>
      </c>
      <c r="I37" s="11" t="s">
        <v>11</v>
      </c>
      <c r="J37" s="12"/>
    </row>
    <row r="38" spans="1:10" ht="60" customHeight="1">
      <c r="A38" s="6" t="s">
        <v>122</v>
      </c>
      <c r="B38" s="6" t="s">
        <v>11</v>
      </c>
      <c r="C38" s="6" t="s">
        <v>123</v>
      </c>
      <c r="D38" s="7" t="s">
        <v>11</v>
      </c>
      <c r="E38" s="8" t="s">
        <v>124</v>
      </c>
      <c r="F38" s="6" t="s">
        <v>11</v>
      </c>
      <c r="G38" s="9">
        <f>IF(A38=1,"_",IF(C38="_","???",C38))</f>
        <v/>
      </c>
      <c r="H38" s="10" t="s">
        <v>120</v>
      </c>
      <c r="I38" s="11" t="s">
        <v>55</v>
      </c>
      <c r="J38" s="12" t="s">
        <v>56</v>
      </c>
    </row>
    <row r="39" spans="1:10" ht="60" customHeight="1">
      <c r="A39" s="6" t="s">
        <v>125</v>
      </c>
      <c r="B39" s="6" t="s">
        <v>11</v>
      </c>
      <c r="C39" s="6" t="s">
        <v>126</v>
      </c>
      <c r="D39" s="7" t="s">
        <v>11</v>
      </c>
      <c r="E39" s="8" t="s">
        <v>127</v>
      </c>
      <c r="F39" s="6" t="s">
        <v>11</v>
      </c>
      <c r="G39" s="9">
        <f>IF(A39=1,"_",IF(C39="_","???",C39))</f>
        <v/>
      </c>
      <c r="H39" s="10" t="s">
        <v>122</v>
      </c>
      <c r="I39" s="11" t="s">
        <v>129</v>
      </c>
      <c r="J39" s="12" t="s">
        <v>130</v>
      </c>
    </row>
    <row r="40" spans="1:10" ht="60" customHeight="1">
      <c r="A40" s="6" t="s">
        <v>131</v>
      </c>
      <c r="B40" s="6" t="s">
        <v>11</v>
      </c>
      <c r="C40" s="6" t="s">
        <v>95</v>
      </c>
      <c r="D40" s="7" t="s">
        <v>11</v>
      </c>
      <c r="E40" s="8" t="s">
        <v>132</v>
      </c>
      <c r="F40" s="6" t="s">
        <v>11</v>
      </c>
      <c r="G40" s="9">
        <f>IF(A40=1,"_",IF(C40="_","???",C40))</f>
        <v/>
      </c>
      <c r="H40" s="10" t="s">
        <v>125</v>
      </c>
      <c r="I40" s="11" t="s">
        <v>78</v>
      </c>
      <c r="J40" s="12" t="s">
        <v>79</v>
      </c>
    </row>
    <row r="41" spans="1:10" ht="60" customHeight="1">
      <c r="A41" s="6" t="s">
        <v>133</v>
      </c>
      <c r="B41" s="6" t="s">
        <v>11</v>
      </c>
      <c r="C41" s="6" t="s">
        <v>14</v>
      </c>
      <c r="D41" s="7" t="s">
        <v>11</v>
      </c>
      <c r="E41" s="8" t="s">
        <v>134</v>
      </c>
      <c r="F41" s="6" t="s">
        <v>11</v>
      </c>
      <c r="G41" s="9">
        <f>IF(A41=1,"_",IF(C41="_","???",C41))</f>
        <v/>
      </c>
      <c r="H41" s="10" t="s">
        <v>131</v>
      </c>
      <c r="I41" s="11" t="s">
        <v>17</v>
      </c>
      <c r="J41" s="12" t="s">
        <v>18</v>
      </c>
    </row>
    <row r="42" spans="1:10" ht="60" customHeight="1">
      <c r="A42" s="6" t="s">
        <v>135</v>
      </c>
      <c r="B42" s="6" t="s">
        <v>11</v>
      </c>
      <c r="C42" s="6" t="s">
        <v>11</v>
      </c>
      <c r="D42" s="7" t="s">
        <v>11</v>
      </c>
      <c r="E42" s="8" t="s">
        <v>136</v>
      </c>
      <c r="F42" s="6" t="s">
        <v>11</v>
      </c>
      <c r="G42" s="9">
        <f>IF(A42=1,"_",IF(C42="_","???",C42))</f>
        <v/>
      </c>
      <c r="H42" s="10" t="s">
        <v>11</v>
      </c>
      <c r="I42" s="11" t="s">
        <v>11</v>
      </c>
      <c r="J42" s="12"/>
    </row>
    <row r="43" spans="1:10" ht="60" customHeight="1">
      <c r="A43" s="6" t="s">
        <v>137</v>
      </c>
      <c r="B43" s="6" t="s">
        <v>11</v>
      </c>
      <c r="C43" s="6" t="s">
        <v>11</v>
      </c>
      <c r="D43" s="7" t="s">
        <v>11</v>
      </c>
      <c r="E43" s="8" t="s">
        <v>138</v>
      </c>
      <c r="F43" s="6" t="s">
        <v>11</v>
      </c>
      <c r="G43" s="9">
        <f>IF(A43=1,"_",IF(C43="_","???",C43))</f>
        <v/>
      </c>
      <c r="H43" s="10" t="s">
        <v>135</v>
      </c>
      <c r="I43" s="11" t="s">
        <v>118</v>
      </c>
      <c r="J43" s="12" t="s">
        <v>119</v>
      </c>
    </row>
    <row r="44" spans="1:10" ht="60" customHeight="1">
      <c r="A44" s="6" t="s">
        <v>139</v>
      </c>
      <c r="B44" s="6" t="s">
        <v>11</v>
      </c>
      <c r="C44" s="6" t="s">
        <v>11</v>
      </c>
      <c r="D44" s="7" t="s">
        <v>11</v>
      </c>
      <c r="E44" s="8" t="s">
        <v>140</v>
      </c>
      <c r="F44" s="6" t="s">
        <v>11</v>
      </c>
      <c r="G44" s="9">
        <f>IF(A44=1,"_",IF(C44="_","???",C44))</f>
        <v/>
      </c>
      <c r="H44" s="10" t="s">
        <v>11</v>
      </c>
      <c r="I44" s="11" t="s">
        <v>11</v>
      </c>
      <c r="J44" s="12"/>
    </row>
    <row r="45" spans="1:10" ht="60" customHeight="1">
      <c r="A45" s="6" t="s">
        <v>141</v>
      </c>
      <c r="B45" s="6" t="s">
        <v>11</v>
      </c>
      <c r="C45" s="6" t="s">
        <v>20</v>
      </c>
      <c r="D45" s="7" t="s">
        <v>11</v>
      </c>
      <c r="E45" s="8" t="s">
        <v>142</v>
      </c>
      <c r="F45" s="6" t="s">
        <v>11</v>
      </c>
      <c r="G45" s="9">
        <f>IF(A45=1,"_",IF(C45="_","???",C45))</f>
        <v/>
      </c>
      <c r="H45" s="10" t="s">
        <v>137</v>
      </c>
      <c r="I45" s="11" t="s">
        <v>23</v>
      </c>
      <c r="J45" s="12" t="s">
        <v>24</v>
      </c>
    </row>
    <row r="46" spans="1:10" ht="60" customHeight="1">
      <c r="A46" s="6" t="s">
        <v>143</v>
      </c>
      <c r="B46" s="6" t="s">
        <v>11</v>
      </c>
      <c r="C46" s="6" t="s">
        <v>11</v>
      </c>
      <c r="D46" s="7" t="s">
        <v>11</v>
      </c>
      <c r="E46" s="8" t="s">
        <v>144</v>
      </c>
      <c r="F46" s="6" t="s">
        <v>11</v>
      </c>
      <c r="G46" s="9">
        <f>IF(A46=1,"_",IF(C46="_","???",C46))</f>
        <v/>
      </c>
      <c r="H46" s="10" t="s">
        <v>141</v>
      </c>
      <c r="I46" s="11" t="s">
        <v>47</v>
      </c>
      <c r="J46" s="12" t="s">
        <v>48</v>
      </c>
    </row>
    <row r="47" spans="1:10" ht="60" customHeight="1">
      <c r="A47" s="6" t="s">
        <v>145</v>
      </c>
      <c r="B47" s="6" t="s">
        <v>11</v>
      </c>
      <c r="C47" s="6" t="s">
        <v>102</v>
      </c>
      <c r="D47" s="7" t="s">
        <v>11</v>
      </c>
      <c r="E47" s="8" t="s">
        <v>146</v>
      </c>
      <c r="F47" s="6" t="s">
        <v>11</v>
      </c>
      <c r="G47" s="9">
        <f>IF(A47=1,"_",IF(C47="_","???",C47))</f>
        <v/>
      </c>
      <c r="H47" s="10" t="s">
        <v>143</v>
      </c>
      <c r="I47" s="11" t="s">
        <v>78</v>
      </c>
      <c r="J47" s="12" t="s">
        <v>79</v>
      </c>
    </row>
    <row r="48" spans="1:10" ht="60" customHeight="1">
      <c r="A48" s="6" t="s">
        <v>147</v>
      </c>
      <c r="B48" s="6" t="s">
        <v>11</v>
      </c>
      <c r="C48" s="6" t="s">
        <v>14</v>
      </c>
      <c r="D48" s="7" t="s">
        <v>11</v>
      </c>
      <c r="E48" s="8" t="s">
        <v>148</v>
      </c>
      <c r="F48" s="6" t="s">
        <v>11</v>
      </c>
      <c r="G48" s="9">
        <f>IF(A48=1,"_",IF(C48="_","???",C48))</f>
        <v/>
      </c>
      <c r="H48" s="10" t="s">
        <v>145</v>
      </c>
      <c r="I48" s="11" t="s">
        <v>17</v>
      </c>
      <c r="J48" s="12" t="s">
        <v>18</v>
      </c>
    </row>
    <row r="49" spans="1:10" ht="60" customHeight="1">
      <c r="A49" s="6" t="s">
        <v>149</v>
      </c>
      <c r="B49" s="6" t="s">
        <v>11</v>
      </c>
      <c r="C49" s="6" t="s">
        <v>11</v>
      </c>
      <c r="D49" s="7" t="s">
        <v>11</v>
      </c>
      <c r="E49" s="8" t="s">
        <v>150</v>
      </c>
      <c r="F49" s="6" t="s">
        <v>11</v>
      </c>
      <c r="G49" s="9">
        <f>IF(A49=1,"_",IF(C49="_","???",C49))</f>
        <v/>
      </c>
      <c r="H49" s="10" t="s">
        <v>11</v>
      </c>
      <c r="I49" s="11" t="s">
        <v>11</v>
      </c>
      <c r="J49" s="12"/>
    </row>
    <row r="50" spans="1:10" ht="60" customHeight="1">
      <c r="A50" s="6" t="s">
        <v>151</v>
      </c>
      <c r="B50" s="6" t="s">
        <v>11</v>
      </c>
      <c r="C50" s="6" t="s">
        <v>11</v>
      </c>
      <c r="D50" s="7" t="s">
        <v>11</v>
      </c>
      <c r="E50" s="8" t="s">
        <v>152</v>
      </c>
      <c r="F50" s="6" t="s">
        <v>11</v>
      </c>
      <c r="G50" s="9">
        <f>IF(A50=1,"_",IF(C50="_","???",C50))</f>
        <v/>
      </c>
      <c r="H50" s="10" t="s">
        <v>11</v>
      </c>
      <c r="I50" s="11" t="s">
        <v>11</v>
      </c>
      <c r="J50" s="12"/>
    </row>
    <row r="51" spans="1:10" ht="60" customHeight="1">
      <c r="A51" s="6" t="s">
        <v>153</v>
      </c>
      <c r="B51" s="6" t="s">
        <v>11</v>
      </c>
      <c r="C51" s="6" t="s">
        <v>20</v>
      </c>
      <c r="D51" s="7" t="s">
        <v>11</v>
      </c>
      <c r="E51" s="8" t="s">
        <v>154</v>
      </c>
      <c r="F51" s="6" t="s">
        <v>11</v>
      </c>
      <c r="G51" s="9">
        <f>IF(A51=1,"_",IF(C51="_","???",C51))</f>
        <v/>
      </c>
      <c r="H51" s="10" t="s">
        <v>151</v>
      </c>
      <c r="I51" s="11" t="s">
        <v>23</v>
      </c>
      <c r="J51" s="12" t="s">
        <v>24</v>
      </c>
    </row>
    <row r="52" spans="1:10" ht="60" customHeight="1">
      <c r="A52" s="6" t="s">
        <v>155</v>
      </c>
      <c r="B52" s="6" t="s">
        <v>11</v>
      </c>
      <c r="C52" s="6" t="s">
        <v>44</v>
      </c>
      <c r="D52" s="7" t="s">
        <v>11</v>
      </c>
      <c r="E52" s="8" t="s">
        <v>156</v>
      </c>
      <c r="F52" s="6" t="s">
        <v>11</v>
      </c>
      <c r="G52" s="9">
        <f>IF(A52=1,"_",IF(C52="_","???",C52))</f>
        <v/>
      </c>
      <c r="H52" s="10" t="s">
        <v>153</v>
      </c>
      <c r="I52" s="11" t="s">
        <v>47</v>
      </c>
      <c r="J52" s="12" t="s">
        <v>48</v>
      </c>
    </row>
    <row r="53" spans="1:10" ht="60" customHeight="1">
      <c r="A53" s="6" t="s">
        <v>157</v>
      </c>
      <c r="B53" s="6" t="s">
        <v>11</v>
      </c>
      <c r="C53" s="6" t="s">
        <v>95</v>
      </c>
      <c r="D53" s="7" t="s">
        <v>11</v>
      </c>
      <c r="E53" s="8" t="s">
        <v>158</v>
      </c>
      <c r="F53" s="6" t="s">
        <v>11</v>
      </c>
      <c r="G53" s="9">
        <f>IF(A53=1,"_",IF(C53="_","???",C53))</f>
        <v/>
      </c>
      <c r="H53" s="10" t="s">
        <v>155</v>
      </c>
      <c r="I53" s="11" t="s">
        <v>78</v>
      </c>
      <c r="J53" s="12" t="s">
        <v>79</v>
      </c>
    </row>
    <row r="54" spans="1:10" ht="60" customHeight="1">
      <c r="A54" s="6" t="s">
        <v>159</v>
      </c>
      <c r="B54" s="6" t="s">
        <v>11</v>
      </c>
      <c r="C54" s="6" t="s">
        <v>11</v>
      </c>
      <c r="D54" s="7" t="s">
        <v>11</v>
      </c>
      <c r="E54" s="8" t="s">
        <v>160</v>
      </c>
      <c r="F54" s="6" t="s">
        <v>11</v>
      </c>
      <c r="G54" s="9">
        <f>IF(A54=1,"_",IF(C54="_","???",C54))</f>
        <v/>
      </c>
      <c r="H54" s="10" t="s">
        <v>11</v>
      </c>
      <c r="I54" s="11" t="s">
        <v>11</v>
      </c>
      <c r="J54" s="12"/>
    </row>
    <row r="55" spans="1:10" ht="60" customHeight="1">
      <c r="A55" s="6" t="s">
        <v>161</v>
      </c>
      <c r="B55" s="6" t="s">
        <v>11</v>
      </c>
      <c r="C55" s="6" t="s">
        <v>102</v>
      </c>
      <c r="D55" s="7" t="s">
        <v>11</v>
      </c>
      <c r="E55" s="8" t="s">
        <v>162</v>
      </c>
      <c r="F55" s="6" t="s">
        <v>11</v>
      </c>
      <c r="G55" s="9">
        <f>IF(A55=1,"_",IF(C55="_","???",C55))</f>
        <v/>
      </c>
      <c r="H55" s="10" t="s">
        <v>159</v>
      </c>
      <c r="I55" s="11" t="s">
        <v>78</v>
      </c>
      <c r="J55" s="12" t="s">
        <v>79</v>
      </c>
    </row>
    <row r="56" spans="1:10" ht="60" customHeight="1">
      <c r="A56" s="6" t="s">
        <v>163</v>
      </c>
      <c r="B56" s="6" t="s">
        <v>11</v>
      </c>
      <c r="C56" s="6" t="s">
        <v>164</v>
      </c>
      <c r="D56" s="7" t="s">
        <v>11</v>
      </c>
      <c r="E56" s="8" t="s">
        <v>165</v>
      </c>
      <c r="F56" s="6" t="s">
        <v>11</v>
      </c>
      <c r="G56" s="9">
        <f>IF(A56=1,"_",IF(C56="_","???",C56))</f>
        <v/>
      </c>
      <c r="H56" s="10" t="s">
        <v>161</v>
      </c>
      <c r="I56" s="11" t="s">
        <v>62</v>
      </c>
      <c r="J56" s="12" t="s">
        <v>63</v>
      </c>
    </row>
    <row r="57" spans="1:10" ht="60" customHeight="1">
      <c r="A57" s="6" t="s">
        <v>166</v>
      </c>
      <c r="B57" s="6" t="s">
        <v>11</v>
      </c>
      <c r="C57" s="6" t="s">
        <v>59</v>
      </c>
      <c r="D57" s="7" t="s">
        <v>11</v>
      </c>
      <c r="E57" s="8" t="s">
        <v>167</v>
      </c>
      <c r="F57" s="6" t="s">
        <v>11</v>
      </c>
      <c r="G57" s="9">
        <f>IF(A57=1,"_",IF(C57="_","???",C57))</f>
        <v/>
      </c>
      <c r="H57" s="10" t="s">
        <v>163</v>
      </c>
      <c r="I57" s="11" t="s">
        <v>62</v>
      </c>
      <c r="J57" s="12" t="s">
        <v>63</v>
      </c>
    </row>
    <row r="58" spans="1:10" ht="60" customHeight="1">
      <c r="A58" s="6" t="s">
        <v>168</v>
      </c>
      <c r="B58" s="6" t="s">
        <v>11</v>
      </c>
      <c r="C58" s="6" t="s">
        <v>11</v>
      </c>
      <c r="D58" s="7" t="s">
        <v>11</v>
      </c>
      <c r="E58" s="8" t="s">
        <v>169</v>
      </c>
      <c r="F58" s="6" t="s">
        <v>11</v>
      </c>
      <c r="G58" s="9">
        <f>IF(A58=1,"_",IF(C58="_","???",C58))</f>
        <v/>
      </c>
      <c r="H58" s="10" t="s">
        <v>166</v>
      </c>
      <c r="I58" s="11" t="s">
        <v>62</v>
      </c>
      <c r="J58" s="12" t="s">
        <v>63</v>
      </c>
    </row>
    <row r="59" spans="1:10" ht="60" customHeight="1">
      <c r="A59" s="6" t="s">
        <v>170</v>
      </c>
      <c r="B59" s="6" t="s">
        <v>11</v>
      </c>
      <c r="C59" s="6" t="s">
        <v>14</v>
      </c>
      <c r="D59" s="7" t="s">
        <v>11</v>
      </c>
      <c r="E59" s="8" t="s">
        <v>171</v>
      </c>
      <c r="F59" s="6" t="s">
        <v>11</v>
      </c>
      <c r="G59" s="9">
        <f>IF(A59=1,"_",IF(C59="_","???",C59))</f>
        <v/>
      </c>
      <c r="H59" s="10" t="s">
        <v>168</v>
      </c>
      <c r="I59" s="11" t="s">
        <v>17</v>
      </c>
      <c r="J59" s="12" t="s">
        <v>18</v>
      </c>
    </row>
    <row r="60" spans="1:10" ht="60" customHeight="1">
      <c r="A60" s="6" t="s">
        <v>172</v>
      </c>
      <c r="B60" s="6" t="s">
        <v>11</v>
      </c>
      <c r="C60" s="6" t="s">
        <v>11</v>
      </c>
      <c r="D60" s="7" t="s">
        <v>11</v>
      </c>
      <c r="E60" s="8" t="s">
        <v>173</v>
      </c>
      <c r="F60" s="6" t="s">
        <v>11</v>
      </c>
      <c r="G60" s="9">
        <f>IF(A60=1,"_",IF(C60="_","???",C60))</f>
        <v/>
      </c>
      <c r="H60" s="10" t="s">
        <v>11</v>
      </c>
      <c r="I60" s="11" t="s">
        <v>11</v>
      </c>
      <c r="J60" s="12"/>
    </row>
    <row r="61" spans="1:10" ht="60" customHeight="1">
      <c r="A61" s="6" t="s">
        <v>174</v>
      </c>
      <c r="B61" s="6" t="s">
        <v>11</v>
      </c>
      <c r="C61" s="6" t="s">
        <v>44</v>
      </c>
      <c r="D61" s="7" t="s">
        <v>11</v>
      </c>
      <c r="E61" s="8" t="s">
        <v>175</v>
      </c>
      <c r="F61" s="6" t="s">
        <v>11</v>
      </c>
      <c r="G61" s="9">
        <f>IF(A61=1,"_",IF(C61="_","???",C61))</f>
        <v/>
      </c>
      <c r="H61" s="10" t="s">
        <v>159</v>
      </c>
      <c r="I61" s="11" t="s">
        <v>47</v>
      </c>
      <c r="J61" s="12" t="s">
        <v>48</v>
      </c>
    </row>
    <row r="62" spans="1:10" ht="60" customHeight="1">
      <c r="A62" s="6" t="s">
        <v>176</v>
      </c>
      <c r="B62" s="6" t="s">
        <v>11</v>
      </c>
      <c r="C62" s="6" t="s">
        <v>75</v>
      </c>
      <c r="D62" s="7" t="s">
        <v>11</v>
      </c>
      <c r="E62" s="8" t="s">
        <v>177</v>
      </c>
      <c r="F62" s="6" t="s">
        <v>11</v>
      </c>
      <c r="G62" s="9">
        <f>IF(A62=1,"_",IF(C62="_","???",C62))</f>
        <v/>
      </c>
      <c r="H62" s="10" t="s">
        <v>174</v>
      </c>
      <c r="I62" s="11" t="s">
        <v>78</v>
      </c>
      <c r="J62" s="12" t="s">
        <v>79</v>
      </c>
    </row>
    <row r="63" spans="1:10" ht="60" customHeight="1">
      <c r="A63" s="6" t="s">
        <v>178</v>
      </c>
      <c r="B63" s="6" t="s">
        <v>11</v>
      </c>
      <c r="C63" s="6" t="s">
        <v>14</v>
      </c>
      <c r="D63" s="7" t="s">
        <v>11</v>
      </c>
      <c r="E63" s="8" t="s">
        <v>179</v>
      </c>
      <c r="F63" s="6" t="s">
        <v>11</v>
      </c>
      <c r="G63" s="9">
        <f>IF(A63=1,"_",IF(C63="_","???",C63))</f>
        <v/>
      </c>
      <c r="H63" s="10" t="s">
        <v>176</v>
      </c>
      <c r="I63" s="11" t="s">
        <v>17</v>
      </c>
      <c r="J63" s="12" t="s">
        <v>18</v>
      </c>
    </row>
    <row r="64" spans="1:10" ht="60" customHeight="1">
      <c r="A64" s="6" t="s">
        <v>180</v>
      </c>
      <c r="B64" s="6" t="s">
        <v>11</v>
      </c>
      <c r="C64" s="6" t="s">
        <v>11</v>
      </c>
      <c r="D64" s="7" t="s">
        <v>11</v>
      </c>
      <c r="E64" s="8" t="s">
        <v>181</v>
      </c>
      <c r="F64" s="6" t="s">
        <v>11</v>
      </c>
      <c r="G64" s="9">
        <f>IF(A64=1,"_",IF(C64="_","???",C64))</f>
        <v/>
      </c>
      <c r="H64" s="10" t="s">
        <v>11</v>
      </c>
      <c r="I64" s="11" t="s">
        <v>11</v>
      </c>
      <c r="J64" s="12"/>
    </row>
    <row r="65" spans="1:10" ht="60" customHeight="1">
      <c r="A65" s="6" t="s">
        <v>182</v>
      </c>
      <c r="B65" s="6" t="s">
        <v>11</v>
      </c>
      <c r="C65" s="6" t="s">
        <v>102</v>
      </c>
      <c r="D65" s="7" t="s">
        <v>11</v>
      </c>
      <c r="E65" s="8" t="s">
        <v>183</v>
      </c>
      <c r="F65" s="6" t="s">
        <v>11</v>
      </c>
      <c r="G65" s="9">
        <f>IF(A65=1,"_",IF(C65="_","???",C65))</f>
        <v/>
      </c>
      <c r="H65" s="10" t="s">
        <v>180</v>
      </c>
      <c r="I65" s="11" t="s">
        <v>78</v>
      </c>
      <c r="J65" s="12" t="s">
        <v>79</v>
      </c>
    </row>
    <row r="66" spans="1:10" ht="60" customHeight="1">
      <c r="A66" s="6" t="s">
        <v>184</v>
      </c>
      <c r="B66" s="6" t="s">
        <v>11</v>
      </c>
      <c r="C66" s="6" t="s">
        <v>14</v>
      </c>
      <c r="D66" s="7" t="s">
        <v>11</v>
      </c>
      <c r="E66" s="8" t="s">
        <v>185</v>
      </c>
      <c r="F66" s="6" t="s">
        <v>11</v>
      </c>
      <c r="G66" s="9">
        <f>IF(A66=1,"_",IF(C66="_","???",C66))</f>
        <v/>
      </c>
      <c r="H66" s="10" t="s">
        <v>182</v>
      </c>
      <c r="I66" s="11" t="s">
        <v>17</v>
      </c>
      <c r="J66" s="12" t="s">
        <v>18</v>
      </c>
    </row>
    <row r="67" spans="1:10" ht="60" customHeight="1">
      <c r="A67" s="6" t="s">
        <v>186</v>
      </c>
      <c r="B67" s="6" t="s">
        <v>11</v>
      </c>
      <c r="C67" s="6" t="s">
        <v>187</v>
      </c>
      <c r="D67" s="7" t="s">
        <v>11</v>
      </c>
      <c r="E67" s="8" t="s">
        <v>188</v>
      </c>
      <c r="F67" s="6" t="s">
        <v>11</v>
      </c>
      <c r="G67" s="9">
        <f>IF(A67=1,"_",IF(C67="_","???",C67))</f>
        <v/>
      </c>
      <c r="H67" s="10" t="s">
        <v>184</v>
      </c>
      <c r="I67" s="11" t="s">
        <v>62</v>
      </c>
      <c r="J67" s="12" t="s">
        <v>63</v>
      </c>
    </row>
    <row r="68" spans="1:10" ht="60" customHeight="1">
      <c r="A68" s="6" t="s">
        <v>189</v>
      </c>
      <c r="B68" s="6" t="s">
        <v>11</v>
      </c>
      <c r="C68" s="6" t="s">
        <v>11</v>
      </c>
      <c r="D68" s="7" t="s">
        <v>11</v>
      </c>
      <c r="E68" s="8" t="s">
        <v>190</v>
      </c>
      <c r="F68" s="6" t="s">
        <v>11</v>
      </c>
      <c r="G68" s="9">
        <f>IF(A68=1,"_",IF(C68="_","???",C68))</f>
        <v/>
      </c>
      <c r="H68" s="10" t="s">
        <v>11</v>
      </c>
      <c r="I68" s="11" t="s">
        <v>11</v>
      </c>
      <c r="J68" s="12"/>
    </row>
    <row r="69" spans="1:10" ht="60" customHeight="1">
      <c r="A69" s="6" t="s">
        <v>191</v>
      </c>
      <c r="B69" s="6" t="s">
        <v>11</v>
      </c>
      <c r="C69" s="6" t="s">
        <v>11</v>
      </c>
      <c r="D69" s="7" t="s">
        <v>11</v>
      </c>
      <c r="E69" s="8" t="s">
        <v>192</v>
      </c>
      <c r="F69" s="6" t="s">
        <v>11</v>
      </c>
      <c r="G69" s="9">
        <f>IF(A69=1,"_",IF(C69="_","???",C69))</f>
        <v/>
      </c>
      <c r="H69" s="10" t="s">
        <v>186</v>
      </c>
      <c r="I69" s="11" t="s">
        <v>62</v>
      </c>
      <c r="J69" s="12" t="s">
        <v>63</v>
      </c>
    </row>
    <row r="70" spans="1:10" ht="60" customHeight="1">
      <c r="A70" s="6" t="s">
        <v>193</v>
      </c>
      <c r="B70" s="6" t="s">
        <v>11</v>
      </c>
      <c r="C70" s="6" t="s">
        <v>95</v>
      </c>
      <c r="D70" s="7" t="s">
        <v>11</v>
      </c>
      <c r="E70" s="8" t="s">
        <v>194</v>
      </c>
      <c r="F70" s="6" t="s">
        <v>11</v>
      </c>
      <c r="G70" s="9">
        <f>IF(A70=1,"_",IF(C70="_","???",C70))</f>
        <v/>
      </c>
      <c r="H70" s="10" t="s">
        <v>191</v>
      </c>
      <c r="I70" s="11" t="s">
        <v>78</v>
      </c>
      <c r="J70" s="12" t="s">
        <v>79</v>
      </c>
    </row>
    <row r="71" spans="1:10" ht="60" customHeight="1">
      <c r="A71" s="6" t="s">
        <v>195</v>
      </c>
      <c r="B71" s="6" t="s">
        <v>11</v>
      </c>
      <c r="C71" s="6" t="s">
        <v>14</v>
      </c>
      <c r="D71" s="7" t="s">
        <v>11</v>
      </c>
      <c r="E71" s="8" t="s">
        <v>196</v>
      </c>
      <c r="F71" s="6" t="s">
        <v>11</v>
      </c>
      <c r="G71" s="9">
        <f>IF(A71=1,"_",IF(C71="_","???",C71))</f>
        <v/>
      </c>
      <c r="H71" s="10" t="s">
        <v>193</v>
      </c>
      <c r="I71" s="11" t="s">
        <v>17</v>
      </c>
      <c r="J71" s="12" t="s">
        <v>18</v>
      </c>
    </row>
    <row r="72" spans="1:10" ht="60" customHeight="1">
      <c r="A72" s="6" t="s">
        <v>197</v>
      </c>
      <c r="B72" s="6" t="s">
        <v>11</v>
      </c>
      <c r="C72" s="6" t="s">
        <v>75</v>
      </c>
      <c r="D72" s="7" t="s">
        <v>11</v>
      </c>
      <c r="E72" s="8" t="s">
        <v>198</v>
      </c>
      <c r="F72" s="6" t="s">
        <v>11</v>
      </c>
      <c r="G72" s="9">
        <f>IF(A72=1,"_",IF(C72="_","???",C72))</f>
        <v/>
      </c>
      <c r="H72" s="10" t="s">
        <v>195</v>
      </c>
      <c r="I72" s="11" t="s">
        <v>78</v>
      </c>
      <c r="J72" s="12" t="s">
        <v>79</v>
      </c>
    </row>
    <row r="73" spans="1:10" ht="60" customHeight="1">
      <c r="A73" s="6" t="s">
        <v>199</v>
      </c>
      <c r="B73" s="6" t="s">
        <v>11</v>
      </c>
      <c r="C73" s="6" t="s">
        <v>75</v>
      </c>
      <c r="D73" s="7" t="s">
        <v>11</v>
      </c>
      <c r="E73" s="8" t="s">
        <v>200</v>
      </c>
      <c r="F73" s="6" t="s">
        <v>11</v>
      </c>
      <c r="G73" s="9">
        <f>IF(A73=1,"_",IF(C73="_","???",C73))</f>
        <v/>
      </c>
      <c r="H73" s="10" t="s">
        <v>197</v>
      </c>
      <c r="I73" s="11" t="s">
        <v>78</v>
      </c>
      <c r="J73" s="12" t="s">
        <v>79</v>
      </c>
    </row>
    <row r="74" spans="1:10" ht="60" customHeight="1">
      <c r="A74" s="6" t="s">
        <v>201</v>
      </c>
      <c r="B74" s="6" t="s">
        <v>11</v>
      </c>
      <c r="C74" s="6" t="s">
        <v>11</v>
      </c>
      <c r="D74" s="7" t="s">
        <v>11</v>
      </c>
      <c r="E74" s="8" t="s">
        <v>202</v>
      </c>
      <c r="F74" s="6" t="s">
        <v>11</v>
      </c>
      <c r="G74" s="9">
        <f>IF(A74=1,"_",IF(C74="_","???",C74))</f>
        <v/>
      </c>
      <c r="H74" s="10" t="s">
        <v>11</v>
      </c>
      <c r="I74" s="11" t="s">
        <v>11</v>
      </c>
      <c r="J74" s="12"/>
    </row>
    <row r="75" spans="1:10" ht="60" customHeight="1">
      <c r="A75" s="6" t="s">
        <v>203</v>
      </c>
      <c r="B75" s="6" t="s">
        <v>11</v>
      </c>
      <c r="C75" s="6" t="s">
        <v>14</v>
      </c>
      <c r="D75" s="7" t="s">
        <v>11</v>
      </c>
      <c r="E75" s="8" t="s">
        <v>204</v>
      </c>
      <c r="F75" s="6" t="s">
        <v>11</v>
      </c>
      <c r="G75" s="9">
        <f>IF(A75=1,"_",IF(C75="_","???",C75))</f>
        <v/>
      </c>
      <c r="H75" s="10" t="s">
        <v>201</v>
      </c>
      <c r="I75" s="11" t="s">
        <v>17</v>
      </c>
      <c r="J75" s="12" t="s">
        <v>18</v>
      </c>
    </row>
    <row r="76" spans="1:10" ht="60" customHeight="1">
      <c r="A76" s="6" t="s">
        <v>205</v>
      </c>
      <c r="B76" s="6" t="s">
        <v>11</v>
      </c>
      <c r="C76" s="6" t="s">
        <v>11</v>
      </c>
      <c r="D76" s="7" t="s">
        <v>11</v>
      </c>
      <c r="E76" s="8" t="s">
        <v>206</v>
      </c>
      <c r="F76" s="6" t="s">
        <v>11</v>
      </c>
      <c r="G76" s="9">
        <f>IF(A76=1,"_",IF(C76="_","???",C76))</f>
        <v/>
      </c>
      <c r="H76" s="10" t="s">
        <v>11</v>
      </c>
      <c r="I76" s="11" t="s">
        <v>11</v>
      </c>
      <c r="J76" s="12"/>
    </row>
    <row r="77" spans="1:10" ht="60" customHeight="1">
      <c r="A77" s="6" t="s">
        <v>207</v>
      </c>
      <c r="B77" s="6" t="s">
        <v>11</v>
      </c>
      <c r="C77" s="6" t="s">
        <v>11</v>
      </c>
      <c r="D77" s="7" t="s">
        <v>11</v>
      </c>
      <c r="E77" s="8" t="s">
        <v>208</v>
      </c>
      <c r="F77" s="6" t="s">
        <v>11</v>
      </c>
      <c r="G77" s="9">
        <f>IF(A77=1,"_",IF(C77="_","???",C77))</f>
        <v/>
      </c>
      <c r="H77" s="10" t="s">
        <v>11</v>
      </c>
      <c r="I77" s="11" t="s">
        <v>11</v>
      </c>
      <c r="J77" s="12"/>
    </row>
    <row r="78" spans="1:10" ht="60" customHeight="1">
      <c r="A78" s="6" t="s">
        <v>209</v>
      </c>
      <c r="B78" s="6" t="s">
        <v>11</v>
      </c>
      <c r="C78" s="6" t="s">
        <v>11</v>
      </c>
      <c r="D78" s="7" t="s">
        <v>11</v>
      </c>
      <c r="E78" s="8" t="s">
        <v>210</v>
      </c>
      <c r="F78" s="6" t="s">
        <v>11</v>
      </c>
      <c r="G78" s="9">
        <f>IF(A78=1,"_",IF(C78="_","???",C78))</f>
        <v/>
      </c>
      <c r="H78" s="10" t="s">
        <v>11</v>
      </c>
      <c r="I78" s="11" t="s">
        <v>11</v>
      </c>
      <c r="J78" s="12"/>
    </row>
    <row r="79" spans="1:10" ht="60" customHeight="1">
      <c r="A79" s="6" t="s">
        <v>211</v>
      </c>
      <c r="B79" s="6" t="s">
        <v>11</v>
      </c>
      <c r="C79" s="6" t="s">
        <v>11</v>
      </c>
      <c r="D79" s="7" t="s">
        <v>11</v>
      </c>
      <c r="E79" s="8" t="s">
        <v>212</v>
      </c>
      <c r="F79" s="6" t="s">
        <v>11</v>
      </c>
      <c r="G79" s="9">
        <f>IF(A79=1,"_",IF(C79="_","???",C79))</f>
        <v/>
      </c>
      <c r="H79" s="10" t="s">
        <v>11</v>
      </c>
      <c r="I79" s="11" t="s">
        <v>11</v>
      </c>
      <c r="J79" s="12"/>
    </row>
    <row r="80" spans="1:10" ht="60" customHeight="1">
      <c r="A80" s="6" t="s">
        <v>213</v>
      </c>
      <c r="B80" s="6" t="s">
        <v>11</v>
      </c>
      <c r="C80" s="6" t="s">
        <v>11</v>
      </c>
      <c r="D80" s="7" t="s">
        <v>11</v>
      </c>
      <c r="E80" s="8" t="s">
        <v>214</v>
      </c>
      <c r="F80" s="6" t="s">
        <v>11</v>
      </c>
      <c r="G80" s="9">
        <f>IF(A80=1,"_",IF(C80="_","???",C80))</f>
        <v/>
      </c>
      <c r="H80" s="10" t="s">
        <v>11</v>
      </c>
      <c r="I80" s="11" t="s">
        <v>11</v>
      </c>
      <c r="J80" s="12"/>
    </row>
    <row r="81" spans="1:10" ht="60" customHeight="1">
      <c r="A81" s="6" t="s">
        <v>215</v>
      </c>
      <c r="B81" s="6" t="s">
        <v>11</v>
      </c>
      <c r="C81" s="6" t="s">
        <v>11</v>
      </c>
      <c r="D81" s="7" t="s">
        <v>11</v>
      </c>
      <c r="E81" s="8" t="s">
        <v>216</v>
      </c>
      <c r="F81" s="6" t="s">
        <v>11</v>
      </c>
      <c r="G81" s="9">
        <f>IF(A81=1,"_",IF(C81="_","???",C81))</f>
        <v/>
      </c>
      <c r="H81" s="10" t="s">
        <v>213</v>
      </c>
      <c r="I81" s="11" t="s">
        <v>218</v>
      </c>
      <c r="J81" s="12" t="s">
        <v>219</v>
      </c>
    </row>
    <row r="82" spans="1:10" ht="60" customHeight="1">
      <c r="A82" s="6" t="s">
        <v>220</v>
      </c>
      <c r="B82" s="6" t="s">
        <v>11</v>
      </c>
      <c r="C82" s="6" t="s">
        <v>221</v>
      </c>
      <c r="D82" s="7" t="s">
        <v>11</v>
      </c>
      <c r="E82" s="8" t="s">
        <v>222</v>
      </c>
      <c r="F82" s="6" t="s">
        <v>11</v>
      </c>
      <c r="G82" s="9">
        <f>IF(A82=1,"_",IF(C82="_","???",C82))</f>
        <v/>
      </c>
      <c r="H82" s="10" t="s">
        <v>215</v>
      </c>
      <c r="I82" s="11" t="s">
        <v>118</v>
      </c>
      <c r="J82" s="12" t="s">
        <v>119</v>
      </c>
    </row>
    <row r="83" spans="1:10" ht="60" customHeight="1">
      <c r="A83" s="6" t="s">
        <v>223</v>
      </c>
      <c r="B83" s="6" t="s">
        <v>11</v>
      </c>
      <c r="C83" s="6" t="s">
        <v>11</v>
      </c>
      <c r="D83" s="7" t="s">
        <v>11</v>
      </c>
      <c r="E83" s="8" t="s">
        <v>173</v>
      </c>
      <c r="F83" s="6" t="s">
        <v>11</v>
      </c>
      <c r="G83" s="9">
        <f>IF(A83=1,"_",IF(C83="_","???",C83))</f>
        <v/>
      </c>
      <c r="H83" s="10" t="s">
        <v>11</v>
      </c>
      <c r="I83" s="11" t="s">
        <v>11</v>
      </c>
      <c r="J83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224</v>
      </c>
      <c r="B1" s="13" t="s">
        <v>225</v>
      </c>
      <c r="C1" s="13" t="s">
        <v>226</v>
      </c>
      <c r="D1" s="13" t="s">
        <v>227</v>
      </c>
      <c r="E1" s="14" t="s">
        <v>228</v>
      </c>
      <c r="F1" s="15" t="s">
        <v>229</v>
      </c>
      <c r="G1" s="16" t="s">
        <v>230</v>
      </c>
      <c r="H1" s="17" t="s">
        <v>231</v>
      </c>
      <c r="I1" s="18" t="s">
        <v>232</v>
      </c>
      <c r="J1" s="18" t="s">
        <v>233</v>
      </c>
      <c r="K1" s="18" t="s">
        <v>234</v>
      </c>
      <c r="L1" s="19" t="s">
        <v>9</v>
      </c>
    </row>
    <row r="2" spans="1:12">
      <c r="A2" s="20" t="s">
        <v>235</v>
      </c>
    </row>
    <row r="3" spans="1:12">
      <c r="A3" s="20" t="s">
        <v>11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236</v>
      </c>
      <c r="B4" s="27" t="s">
        <v>237</v>
      </c>
      <c r="C4" s="27" t="s">
        <v>238</v>
      </c>
      <c r="D4" s="27" t="s">
        <v>239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240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241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242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243</v>
      </c>
      <c r="B8" s="27" t="s">
        <v>244</v>
      </c>
      <c r="C8" s="27" t="s">
        <v>245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246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/>
    </row>
    <row r="11" spans="1:12">
      <c r="A11" s="20" t="s">
        <v>247</v>
      </c>
    </row>
    <row r="12" spans="1:12">
      <c r="A12" s="20" t="s">
        <v>248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249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250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251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252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253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254</v>
      </c>
      <c r="B18" s="27" t="s">
        <v>255</v>
      </c>
      <c r="C18" s="27" t="s">
        <v>238</v>
      </c>
      <c r="D18" s="27" t="s">
        <v>239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250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256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257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258</v>
      </c>
      <c r="B22" s="27" t="s">
        <v>259</v>
      </c>
      <c r="C22" s="27" t="s">
        <v>260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261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249</v>
      </c>
      <c r="B24" s="27" t="s">
        <v>262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263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252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264</v>
      </c>
      <c r="B27" s="27" t="s">
        <v>265</v>
      </c>
      <c r="C27" s="27" t="s">
        <v>266</v>
      </c>
      <c r="D27" s="27" t="s">
        <v>239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242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267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268</v>
      </c>
      <c r="B30" s="27" t="s">
        <v>269</v>
      </c>
      <c r="C30" s="27" t="s">
        <v>270</v>
      </c>
      <c r="D30" s="27" t="s">
        <v>239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251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252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271</v>
      </c>
      <c r="B33" s="27" t="s">
        <v>272</v>
      </c>
      <c r="C33" s="27" t="s">
        <v>266</v>
      </c>
      <c r="D33" s="27" t="s">
        <v>239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242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273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274</v>
      </c>
      <c r="B36" s="27" t="s">
        <v>269</v>
      </c>
      <c r="C36" s="27" t="s">
        <v>275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276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277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278</v>
      </c>
      <c r="B39" s="27" t="s">
        <v>262</v>
      </c>
      <c r="C39" s="27" t="s">
        <v>279</v>
      </c>
      <c r="D39" s="27" t="s">
        <v>239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280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281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282</v>
      </c>
      <c r="B42" s="27" t="s">
        <v>265</v>
      </c>
      <c r="C42" s="27" t="s">
        <v>245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246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/>
    </row>
    <row r="45" spans="1:12">
      <c r="A45" s="20" t="s">
        <v>283</v>
      </c>
    </row>
    <row r="46" spans="1:12">
      <c r="A46" s="20" t="s">
        <v>284</v>
      </c>
      <c r="B46" s="27" t="s">
        <v>244</v>
      </c>
      <c r="C46" s="27" t="s">
        <v>279</v>
      </c>
      <c r="D46" s="27" t="s">
        <v>239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276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285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286</v>
      </c>
      <c r="B49" s="27" t="s">
        <v>255</v>
      </c>
      <c r="C49" s="27" t="s">
        <v>287</v>
      </c>
      <c r="D49" s="27" t="s">
        <v>239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288</v>
      </c>
      <c r="B50" s="27" t="s">
        <v>244</v>
      </c>
      <c r="C50" s="27" t="s">
        <v>238</v>
      </c>
      <c r="D50" s="27" t="s">
        <v>239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251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289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290</v>
      </c>
      <c r="B53" s="27" t="s">
        <v>272</v>
      </c>
      <c r="C53" s="27" t="s">
        <v>270</v>
      </c>
      <c r="D53" s="27" t="s">
        <v>239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242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291</v>
      </c>
      <c r="B55" s="27" t="s">
        <v>269</v>
      </c>
      <c r="C55" s="27" t="s">
        <v>270</v>
      </c>
      <c r="D55" s="27" t="s">
        <v>239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252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292</v>
      </c>
      <c r="B57" s="27" t="s">
        <v>293</v>
      </c>
      <c r="C57" s="27" t="s">
        <v>270</v>
      </c>
      <c r="D57" s="27" t="s">
        <v>239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294</v>
      </c>
      <c r="B58" s="27" t="s">
        <v>295</v>
      </c>
      <c r="C58" s="27" t="s">
        <v>270</v>
      </c>
      <c r="D58" s="27" t="s">
        <v>239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252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296</v>
      </c>
      <c r="B60" s="27" t="s">
        <v>262</v>
      </c>
      <c r="C60" s="27" t="s">
        <v>270</v>
      </c>
      <c r="D60" s="27" t="s">
        <v>239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250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251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297</v>
      </c>
      <c r="B63" s="27" t="s">
        <v>269</v>
      </c>
      <c r="C63" s="27" t="s">
        <v>270</v>
      </c>
      <c r="D63" s="27" t="s">
        <v>239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250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298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252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299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251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252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300</v>
      </c>
      <c r="B70" s="27" t="s">
        <v>272</v>
      </c>
      <c r="C70" s="27" t="s">
        <v>238</v>
      </c>
      <c r="D70" s="27" t="s">
        <v>239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249</v>
      </c>
      <c r="B71" s="27" t="s">
        <v>301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302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303</v>
      </c>
      <c r="B73" s="27" t="s">
        <v>304</v>
      </c>
      <c r="C73" s="27" t="s">
        <v>305</v>
      </c>
      <c r="D73" s="27" t="s">
        <v>239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306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251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285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307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308</v>
      </c>
      <c r="B78" s="27" t="s">
        <v>293</v>
      </c>
      <c r="C78" s="27" t="s">
        <v>238</v>
      </c>
      <c r="D78" s="27" t="s">
        <v>239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246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/>
    </row>
    <row r="81" spans="1:12">
      <c r="A81" s="20" t="s">
        <v>309</v>
      </c>
    </row>
    <row r="82" spans="1:12">
      <c r="A82" s="20" t="s">
        <v>310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311</v>
      </c>
      <c r="B83" s="27" t="s">
        <v>237</v>
      </c>
      <c r="C83" s="27" t="s">
        <v>238</v>
      </c>
      <c r="D83" s="27" t="s">
        <v>239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312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249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313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274</v>
      </c>
      <c r="B87" s="27" t="s">
        <v>314</v>
      </c>
      <c r="C87" s="27" t="s">
        <v>270</v>
      </c>
      <c r="D87" s="27" t="s">
        <v>239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294</v>
      </c>
      <c r="B88" s="27" t="s">
        <v>315</v>
      </c>
      <c r="C88" s="27" t="s">
        <v>270</v>
      </c>
      <c r="D88" s="27" t="s">
        <v>239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252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316</v>
      </c>
      <c r="B90" s="27" t="s">
        <v>314</v>
      </c>
      <c r="C90" s="27" t="s">
        <v>238</v>
      </c>
      <c r="D90" s="27" t="s">
        <v>239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317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257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318</v>
      </c>
      <c r="B93" s="27" t="s">
        <v>259</v>
      </c>
      <c r="C93" s="27" t="s">
        <v>260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250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276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319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249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320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257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321</v>
      </c>
      <c r="B100" s="27" t="s">
        <v>272</v>
      </c>
      <c r="C100" s="27" t="s">
        <v>270</v>
      </c>
      <c r="D100" s="27" t="s">
        <v>239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294</v>
      </c>
      <c r="B101" s="27" t="s">
        <v>269</v>
      </c>
      <c r="C101" s="27" t="s">
        <v>270</v>
      </c>
      <c r="D101" s="27" t="s">
        <v>239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322</v>
      </c>
      <c r="B102" s="27" t="s">
        <v>262</v>
      </c>
      <c r="C102" s="27" t="s">
        <v>279</v>
      </c>
      <c r="D102" s="27" t="s">
        <v>239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317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257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318</v>
      </c>
      <c r="B105" s="27" t="s">
        <v>265</v>
      </c>
      <c r="C105" s="27" t="s">
        <v>260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294</v>
      </c>
      <c r="B106" s="27" t="s">
        <v>269</v>
      </c>
      <c r="C106" s="27" t="s">
        <v>270</v>
      </c>
      <c r="D106" s="27" t="s">
        <v>239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289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323</v>
      </c>
      <c r="B108" s="27" t="s">
        <v>269</v>
      </c>
      <c r="C108" s="27" t="s">
        <v>270</v>
      </c>
      <c r="D108" s="27" t="s">
        <v>239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294</v>
      </c>
      <c r="B109" s="27" t="s">
        <v>293</v>
      </c>
      <c r="C109" s="27" t="s">
        <v>270</v>
      </c>
      <c r="D109" s="27" t="s">
        <v>239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252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268</v>
      </c>
      <c r="B111" s="27" t="s">
        <v>293</v>
      </c>
      <c r="C111" s="27" t="s">
        <v>270</v>
      </c>
      <c r="D111" s="27" t="s">
        <v>239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249</v>
      </c>
      <c r="B112" s="27" t="s">
        <v>324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325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281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282</v>
      </c>
      <c r="B115" s="27" t="s">
        <v>326</v>
      </c>
      <c r="C115" s="27" t="s">
        <v>245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250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327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328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329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330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331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294</v>
      </c>
      <c r="B122" s="27" t="s">
        <v>332</v>
      </c>
      <c r="C122" s="27" t="s">
        <v>270</v>
      </c>
      <c r="D122" s="27" t="s">
        <v>239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322</v>
      </c>
      <c r="B123" s="27" t="s">
        <v>333</v>
      </c>
      <c r="C123" s="27" t="s">
        <v>279</v>
      </c>
      <c r="D123" s="27" t="s">
        <v>239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246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/>
    </row>
    <row r="126" spans="1:12">
      <c r="A126" s="20" t="s">
        <v>334</v>
      </c>
    </row>
    <row r="127" spans="1:12">
      <c r="A127" s="20" t="s">
        <v>335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285</v>
      </c>
      <c r="B128" s="27" t="s">
        <v>336</v>
      </c>
      <c r="C128" s="27" t="s">
        <v>279</v>
      </c>
      <c r="D128" s="27" t="s">
        <v>239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337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338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246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/>
    </row>
    <row r="133" spans="1:12">
      <c r="A133" s="20" t="s">
        <v>339</v>
      </c>
    </row>
    <row r="134" spans="1:12">
      <c r="A134" s="20" t="s">
        <v>340</v>
      </c>
      <c r="B134" s="27" t="s">
        <v>237</v>
      </c>
      <c r="C134" s="27" t="s">
        <v>305</v>
      </c>
      <c r="D134" s="27" t="s">
        <v>239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341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252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342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264</v>
      </c>
      <c r="B138" s="27" t="s">
        <v>244</v>
      </c>
      <c r="C138" s="27" t="s">
        <v>238</v>
      </c>
      <c r="D138" s="27" t="s">
        <v>239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294</v>
      </c>
      <c r="B139" s="27" t="s">
        <v>244</v>
      </c>
      <c r="C139" s="27" t="s">
        <v>270</v>
      </c>
      <c r="D139" s="27" t="s">
        <v>239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252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296</v>
      </c>
      <c r="B141" s="27" t="s">
        <v>244</v>
      </c>
      <c r="C141" s="27" t="s">
        <v>270</v>
      </c>
      <c r="D141" s="27" t="s">
        <v>239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294</v>
      </c>
      <c r="B142" s="27" t="s">
        <v>255</v>
      </c>
      <c r="C142" s="27" t="s">
        <v>270</v>
      </c>
      <c r="D142" s="27" t="s">
        <v>239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289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343</v>
      </c>
      <c r="B144" s="27" t="s">
        <v>255</v>
      </c>
      <c r="C144" s="27" t="s">
        <v>238</v>
      </c>
      <c r="D144" s="27" t="s">
        <v>239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344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345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246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/>
    </row>
    <row r="149" spans="1:12">
      <c r="A149" s="20" t="s">
        <v>346</v>
      </c>
    </row>
    <row r="150" spans="1:12">
      <c r="A150" s="20" t="s">
        <v>347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348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349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252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350</v>
      </c>
      <c r="B154" s="27" t="s">
        <v>244</v>
      </c>
      <c r="C154" s="27" t="s">
        <v>238</v>
      </c>
      <c r="D154" s="27" t="s">
        <v>239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351</v>
      </c>
      <c r="B155" s="27" t="s">
        <v>255</v>
      </c>
      <c r="C155" s="27" t="s">
        <v>270</v>
      </c>
      <c r="D155" s="27" t="s">
        <v>239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251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352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250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353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252</v>
      </c>
      <c r="B160" s="27" t="s">
        <v>259</v>
      </c>
      <c r="C160" s="27" t="s">
        <v>279</v>
      </c>
      <c r="D160" s="27" t="s">
        <v>239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354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355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356</v>
      </c>
      <c r="B163" s="27" t="s">
        <v>357</v>
      </c>
      <c r="C163" s="27" t="s">
        <v>270</v>
      </c>
      <c r="D163" s="27" t="s">
        <v>239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289</v>
      </c>
      <c r="B164" s="27" t="s">
        <v>265</v>
      </c>
      <c r="C164" s="27" t="s">
        <v>279</v>
      </c>
      <c r="D164" s="27" t="s">
        <v>239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358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294</v>
      </c>
      <c r="B166" s="27" t="s">
        <v>272</v>
      </c>
      <c r="C166" s="27" t="s">
        <v>270</v>
      </c>
      <c r="D166" s="27" t="s">
        <v>239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289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359</v>
      </c>
      <c r="B168" s="27" t="s">
        <v>262</v>
      </c>
      <c r="C168" s="27" t="s">
        <v>238</v>
      </c>
      <c r="D168" s="27" t="s">
        <v>239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360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361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362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267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363</v>
      </c>
      <c r="B173" s="27" t="s">
        <v>304</v>
      </c>
      <c r="C173" s="27" t="s">
        <v>260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294</v>
      </c>
      <c r="B174" s="27" t="s">
        <v>295</v>
      </c>
      <c r="C174" s="27" t="s">
        <v>270</v>
      </c>
      <c r="D174" s="27" t="s">
        <v>239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252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268</v>
      </c>
      <c r="B176" s="27" t="s">
        <v>304</v>
      </c>
      <c r="C176" s="27" t="s">
        <v>270</v>
      </c>
      <c r="D176" s="27" t="s">
        <v>239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252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252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364</v>
      </c>
      <c r="B179" s="27" t="s">
        <v>295</v>
      </c>
      <c r="C179" s="27" t="s">
        <v>266</v>
      </c>
      <c r="D179" s="27" t="s">
        <v>239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242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365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366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367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242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368</v>
      </c>
      <c r="B185" s="27" t="s">
        <v>369</v>
      </c>
      <c r="C185" s="27" t="s">
        <v>245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246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/>
    </row>
    <row r="188" spans="1:12">
      <c r="A188" s="20" t="s">
        <v>370</v>
      </c>
    </row>
    <row r="189" spans="1:12">
      <c r="A189" s="20" t="s">
        <v>248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242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281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267</v>
      </c>
      <c r="B192" s="27" t="s">
        <v>259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242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257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318</v>
      </c>
      <c r="B195" s="27" t="s">
        <v>315</v>
      </c>
      <c r="C195" s="27" t="s">
        <v>260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294</v>
      </c>
      <c r="B196" s="27" t="s">
        <v>272</v>
      </c>
      <c r="C196" s="27" t="s">
        <v>270</v>
      </c>
      <c r="D196" s="27" t="s">
        <v>239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289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323</v>
      </c>
      <c r="B198" s="27" t="s">
        <v>272</v>
      </c>
      <c r="C198" s="27" t="s">
        <v>238</v>
      </c>
      <c r="D198" s="27" t="s">
        <v>239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294</v>
      </c>
      <c r="B199" s="27" t="s">
        <v>269</v>
      </c>
      <c r="C199" s="27" t="s">
        <v>270</v>
      </c>
      <c r="D199" s="27" t="s">
        <v>239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252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268</v>
      </c>
      <c r="B201" s="27" t="s">
        <v>269</v>
      </c>
      <c r="C201" s="27" t="s">
        <v>270</v>
      </c>
      <c r="D201" s="27" t="s">
        <v>239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251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252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271</v>
      </c>
      <c r="B204" s="27" t="s">
        <v>293</v>
      </c>
      <c r="C204" s="27" t="s">
        <v>266</v>
      </c>
      <c r="D204" s="27" t="s">
        <v>239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242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273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274</v>
      </c>
      <c r="B207" s="27" t="s">
        <v>295</v>
      </c>
      <c r="C207" s="27" t="s">
        <v>275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246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/>
    </row>
    <row r="210" spans="1:12">
      <c r="A210" s="20" t="s">
        <v>371</v>
      </c>
    </row>
    <row r="211" spans="1:12">
      <c r="A211" s="20" t="s">
        <v>372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328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329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289</v>
      </c>
      <c r="B214" s="27" t="s">
        <v>336</v>
      </c>
      <c r="C214" s="27" t="s">
        <v>279</v>
      </c>
      <c r="D214" s="27" t="s">
        <v>239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373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374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/>
    </row>
    <row r="218" spans="1:12">
      <c r="A218" s="20" t="s">
        <v>375</v>
      </c>
    </row>
    <row r="219" spans="1:12">
      <c r="A219" s="20" t="s">
        <v>372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341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376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377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374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/>
    </row>
    <row r="225" spans="1:12">
      <c r="A225" s="20" t="s">
        <v>378</v>
      </c>
    </row>
    <row r="226" spans="1:12">
      <c r="A226" s="20" t="s">
        <v>379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250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380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249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381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251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289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382</v>
      </c>
      <c r="B233" s="27" t="s">
        <v>255</v>
      </c>
      <c r="C233" s="27" t="s">
        <v>270</v>
      </c>
      <c r="D233" s="27" t="s">
        <v>239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383</v>
      </c>
      <c r="B234" s="27" t="s">
        <v>315</v>
      </c>
      <c r="C234" s="27" t="s">
        <v>270</v>
      </c>
      <c r="D234" s="27" t="s">
        <v>239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384</v>
      </c>
      <c r="B235" s="27" t="s">
        <v>315</v>
      </c>
      <c r="C235" s="27" t="s">
        <v>270</v>
      </c>
      <c r="D235" s="27" t="s">
        <v>239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276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289</v>
      </c>
      <c r="B237" s="27" t="s">
        <v>259</v>
      </c>
      <c r="C237" s="27" t="s">
        <v>279</v>
      </c>
      <c r="D237" s="27" t="s">
        <v>239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385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276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289</v>
      </c>
      <c r="B240" s="27" t="s">
        <v>259</v>
      </c>
      <c r="C240" s="27" t="s">
        <v>279</v>
      </c>
      <c r="D240" s="27" t="s">
        <v>239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386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361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252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271</v>
      </c>
      <c r="B244" s="27" t="s">
        <v>255</v>
      </c>
      <c r="C244" s="27" t="s">
        <v>266</v>
      </c>
      <c r="D244" s="27" t="s">
        <v>239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242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387</v>
      </c>
      <c r="B246" s="27" t="s">
        <v>315</v>
      </c>
      <c r="C246" s="27" t="s">
        <v>270</v>
      </c>
      <c r="D246" s="27" t="s">
        <v>239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246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/>
    </row>
    <row r="249" spans="1:12">
      <c r="A249" s="20" t="s">
        <v>388</v>
      </c>
    </row>
    <row r="250" spans="1:12">
      <c r="A250" s="20" t="s">
        <v>389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390</v>
      </c>
      <c r="B251" s="27" t="s">
        <v>336</v>
      </c>
      <c r="C251" s="27" t="s">
        <v>391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392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250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393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264</v>
      </c>
      <c r="B255" s="27" t="s">
        <v>237</v>
      </c>
      <c r="C255" s="27" t="s">
        <v>260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390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394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294</v>
      </c>
      <c r="B258" s="27" t="s">
        <v>315</v>
      </c>
      <c r="C258" s="27" t="s">
        <v>270</v>
      </c>
      <c r="D258" s="27" t="s">
        <v>239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252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268</v>
      </c>
      <c r="B260" s="27" t="s">
        <v>395</v>
      </c>
      <c r="C260" s="27" t="s">
        <v>270</v>
      </c>
      <c r="D260" s="27" t="s">
        <v>239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250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396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341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257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258</v>
      </c>
      <c r="B265" s="27" t="s">
        <v>244</v>
      </c>
      <c r="C265" s="27" t="s">
        <v>260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257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397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398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251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252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271</v>
      </c>
      <c r="B271" s="27" t="s">
        <v>315</v>
      </c>
      <c r="C271" s="27" t="s">
        <v>266</v>
      </c>
      <c r="D271" s="27" t="s">
        <v>239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242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387</v>
      </c>
      <c r="B273" s="27" t="s">
        <v>272</v>
      </c>
      <c r="C273" s="27" t="s">
        <v>270</v>
      </c>
      <c r="D273" s="27" t="s">
        <v>239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246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/>
    </row>
    <row r="276" spans="1:12">
      <c r="A276" s="20" t="s">
        <v>399</v>
      </c>
    </row>
    <row r="277" spans="1:12">
      <c r="A277" s="20" t="s">
        <v>400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401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402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403</v>
      </c>
      <c r="B280" s="27" t="s">
        <v>244</v>
      </c>
      <c r="C280" s="27" t="s">
        <v>404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405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246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/>
    </row>
    <row r="284" spans="1:12">
      <c r="A284" s="20" t="s">
        <v>406</v>
      </c>
    </row>
    <row r="285" spans="1:12">
      <c r="A285" s="20" t="s">
        <v>407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298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251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252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271</v>
      </c>
      <c r="B289" s="27" t="s">
        <v>244</v>
      </c>
      <c r="C289" s="27" t="s">
        <v>266</v>
      </c>
      <c r="D289" s="27" t="s">
        <v>239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242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408</v>
      </c>
      <c r="B291" s="27" t="s">
        <v>244</v>
      </c>
      <c r="C291" s="27" t="s">
        <v>270</v>
      </c>
      <c r="D291" s="27" t="s">
        <v>239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246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/>
    </row>
    <row r="294" spans="1:12">
      <c r="A294" s="20" t="s">
        <v>409</v>
      </c>
    </row>
    <row r="295" spans="1:12">
      <c r="A295" s="20" t="s">
        <v>410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405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411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250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412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413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414</v>
      </c>
      <c r="B301" s="27" t="s">
        <v>244</v>
      </c>
      <c r="C301" s="27" t="s">
        <v>275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250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415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416</v>
      </c>
      <c r="B304" s="27" t="s">
        <v>255</v>
      </c>
      <c r="C304" s="27" t="s">
        <v>245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246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/>
    </row>
    <row r="307" spans="1:12">
      <c r="A307" s="20" t="s">
        <v>417</v>
      </c>
    </row>
    <row r="308" spans="1:12">
      <c r="A308" s="20" t="s">
        <v>418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419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420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252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411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421</v>
      </c>
      <c r="B313" s="27" t="s">
        <v>357</v>
      </c>
      <c r="C313" s="27" t="s">
        <v>238</v>
      </c>
      <c r="D313" s="27" t="s">
        <v>239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250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327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422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401</v>
      </c>
      <c r="B317" s="27" t="s">
        <v>315</v>
      </c>
      <c r="C317" s="27" t="s">
        <v>266</v>
      </c>
      <c r="D317" s="27" t="s">
        <v>239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242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423</v>
      </c>
      <c r="B319" s="27" t="s">
        <v>293</v>
      </c>
      <c r="C319" s="27" t="s">
        <v>245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402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403</v>
      </c>
      <c r="B321" s="27" t="s">
        <v>272</v>
      </c>
      <c r="C321" s="27" t="s">
        <v>404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405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250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424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251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289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425</v>
      </c>
      <c r="B327" s="27" t="s">
        <v>255</v>
      </c>
      <c r="C327" s="27" t="s">
        <v>270</v>
      </c>
      <c r="D327" s="27" t="s">
        <v>239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294</v>
      </c>
      <c r="B328" s="27" t="s">
        <v>315</v>
      </c>
      <c r="C328" s="27" t="s">
        <v>270</v>
      </c>
      <c r="D328" s="27" t="s">
        <v>239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289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359</v>
      </c>
      <c r="B330" s="27" t="s">
        <v>315</v>
      </c>
      <c r="C330" s="27" t="s">
        <v>266</v>
      </c>
      <c r="D330" s="27" t="s">
        <v>239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360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250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251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252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426</v>
      </c>
      <c r="B335" s="27" t="s">
        <v>272</v>
      </c>
      <c r="C335" s="27" t="s">
        <v>270</v>
      </c>
      <c r="D335" s="27" t="s">
        <v>239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242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427</v>
      </c>
      <c r="B337" s="27" t="s">
        <v>269</v>
      </c>
      <c r="C337" s="27" t="s">
        <v>270</v>
      </c>
      <c r="D337" s="27" t="s">
        <v>239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246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/>
    </row>
    <row r="340" spans="1:12">
      <c r="A340" s="20" t="s">
        <v>428</v>
      </c>
    </row>
    <row r="341" spans="1:12">
      <c r="A341" s="20" t="s">
        <v>429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329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317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430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416</v>
      </c>
      <c r="B345" s="27" t="s">
        <v>336</v>
      </c>
      <c r="C345" s="27" t="s">
        <v>275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246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/>
    </row>
    <row r="348" spans="1:12">
      <c r="A348" s="20" t="s">
        <v>431</v>
      </c>
    </row>
    <row r="349" spans="1:12">
      <c r="A349" s="20" t="s">
        <v>432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289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343</v>
      </c>
      <c r="B351" s="27" t="s">
        <v>244</v>
      </c>
      <c r="C351" s="27" t="s">
        <v>266</v>
      </c>
      <c r="D351" s="27" t="s">
        <v>239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344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345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250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242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433</v>
      </c>
      <c r="B356" s="27" t="s">
        <v>244</v>
      </c>
      <c r="C356" s="27" t="s">
        <v>270</v>
      </c>
      <c r="D356" s="27" t="s">
        <v>239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434</v>
      </c>
      <c r="B357" s="27" t="s">
        <v>255</v>
      </c>
      <c r="C357" s="27" t="s">
        <v>270</v>
      </c>
      <c r="D357" s="27" t="s">
        <v>239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246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/>
    </row>
    <row r="360" spans="1:12">
      <c r="A360" s="20" t="s">
        <v>435</v>
      </c>
    </row>
    <row r="361" spans="1:12">
      <c r="A361" s="20" t="s">
        <v>436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422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401</v>
      </c>
      <c r="B363" s="27" t="s">
        <v>336</v>
      </c>
      <c r="C363" s="27" t="s">
        <v>245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242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423</v>
      </c>
      <c r="B365" s="27" t="s">
        <v>272</v>
      </c>
      <c r="C365" s="27" t="s">
        <v>245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405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402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403</v>
      </c>
      <c r="B368" s="27" t="s">
        <v>255</v>
      </c>
      <c r="C368" s="27" t="s">
        <v>404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246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/>
    </row>
    <row r="371" spans="1:12">
      <c r="A371" s="20" t="s">
        <v>437</v>
      </c>
    </row>
    <row r="372" spans="1:12">
      <c r="A372" s="20" t="s">
        <v>407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298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251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252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438</v>
      </c>
      <c r="B376" s="27" t="s">
        <v>314</v>
      </c>
      <c r="C376" s="27" t="s">
        <v>270</v>
      </c>
      <c r="D376" s="27" t="s">
        <v>239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242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439</v>
      </c>
      <c r="B378" s="27" t="s">
        <v>315</v>
      </c>
      <c r="C378" s="27" t="s">
        <v>270</v>
      </c>
      <c r="D378" s="27" t="s">
        <v>239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250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440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294</v>
      </c>
      <c r="B381" s="27" t="s">
        <v>315</v>
      </c>
      <c r="C381" s="27" t="s">
        <v>270</v>
      </c>
      <c r="D381" s="27" t="s">
        <v>239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289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359</v>
      </c>
      <c r="B383" s="27" t="s">
        <v>315</v>
      </c>
      <c r="C383" s="27" t="s">
        <v>238</v>
      </c>
      <c r="D383" s="27" t="s">
        <v>239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360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250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441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442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252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420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289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443</v>
      </c>
      <c r="B391" s="27" t="s">
        <v>259</v>
      </c>
      <c r="C391" s="27" t="s">
        <v>238</v>
      </c>
      <c r="D391" s="27" t="s">
        <v>239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252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444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445</v>
      </c>
      <c r="B394" s="27" t="s">
        <v>357</v>
      </c>
      <c r="C394" s="27" t="s">
        <v>245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361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289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446</v>
      </c>
      <c r="B397" s="27" t="s">
        <v>315</v>
      </c>
      <c r="C397" s="27" t="s">
        <v>266</v>
      </c>
      <c r="D397" s="27" t="s">
        <v>239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242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447</v>
      </c>
      <c r="B399" s="27" t="s">
        <v>272</v>
      </c>
      <c r="C399" s="27" t="s">
        <v>245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276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252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448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445</v>
      </c>
      <c r="B403" s="27" t="s">
        <v>265</v>
      </c>
      <c r="C403" s="27" t="s">
        <v>270</v>
      </c>
      <c r="D403" s="27" t="s">
        <v>239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356</v>
      </c>
      <c r="B404" s="27" t="s">
        <v>269</v>
      </c>
      <c r="C404" s="27" t="s">
        <v>270</v>
      </c>
      <c r="D404" s="27" t="s">
        <v>239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289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318</v>
      </c>
      <c r="B406" s="27" t="s">
        <v>265</v>
      </c>
      <c r="C406" s="27" t="s">
        <v>238</v>
      </c>
      <c r="D406" s="27" t="s">
        <v>239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246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/>
    </row>
    <row r="409" spans="1:12">
      <c r="A409" s="20" t="s">
        <v>449</v>
      </c>
    </row>
    <row r="410" spans="1:12">
      <c r="A410" s="20" t="s">
        <v>450</v>
      </c>
      <c r="B410" s="27" t="s">
        <v>244</v>
      </c>
      <c r="C410" s="27" t="s">
        <v>266</v>
      </c>
      <c r="D410" s="27" t="s">
        <v>239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267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451</v>
      </c>
      <c r="B412" s="27" t="s">
        <v>255</v>
      </c>
      <c r="C412" s="27" t="s">
        <v>245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250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402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403</v>
      </c>
      <c r="B415" s="27" t="s">
        <v>244</v>
      </c>
      <c r="C415" s="27" t="s">
        <v>404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405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452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246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/>
    </row>
    <row r="420" spans="1:12">
      <c r="A420" s="20" t="s">
        <v>453</v>
      </c>
    </row>
    <row r="421" spans="1:12">
      <c r="A421" s="20" t="s">
        <v>429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298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251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252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454</v>
      </c>
      <c r="B425" s="27" t="s">
        <v>244</v>
      </c>
      <c r="C425" s="27" t="s">
        <v>270</v>
      </c>
      <c r="D425" s="27" t="s">
        <v>239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455</v>
      </c>
      <c r="B426" s="27" t="s">
        <v>244</v>
      </c>
      <c r="C426" s="27" t="s">
        <v>270</v>
      </c>
      <c r="D426" s="27" t="s">
        <v>239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250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252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456</v>
      </c>
      <c r="B429" s="27" t="s">
        <v>255</v>
      </c>
      <c r="C429" s="27" t="s">
        <v>287</v>
      </c>
      <c r="D429" s="27" t="s">
        <v>239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274</v>
      </c>
      <c r="B430" s="27" t="s">
        <v>237</v>
      </c>
      <c r="C430" s="27" t="s">
        <v>238</v>
      </c>
      <c r="D430" s="27" t="s">
        <v>239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457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405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253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250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276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289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318</v>
      </c>
      <c r="B437" s="27" t="s">
        <v>262</v>
      </c>
      <c r="C437" s="27" t="s">
        <v>238</v>
      </c>
      <c r="D437" s="27" t="s">
        <v>239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458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246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/>
    </row>
    <row r="441" spans="1:12">
      <c r="A441" s="20" t="s">
        <v>459</v>
      </c>
    </row>
    <row r="442" spans="1:12">
      <c r="A442" s="20" t="s">
        <v>460</v>
      </c>
      <c r="B442" s="27" t="s">
        <v>237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289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249</v>
      </c>
      <c r="B444" s="27" t="s">
        <v>255</v>
      </c>
      <c r="C444" s="27" t="s">
        <v>305</v>
      </c>
      <c r="D444" s="27" t="s">
        <v>239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461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341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252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264</v>
      </c>
      <c r="B448" s="27" t="s">
        <v>244</v>
      </c>
      <c r="C448" s="27" t="s">
        <v>266</v>
      </c>
      <c r="D448" s="27" t="s">
        <v>239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242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462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463</v>
      </c>
      <c r="B451" s="27" t="s">
        <v>244</v>
      </c>
      <c r="C451" s="27" t="s">
        <v>245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294</v>
      </c>
      <c r="B452" s="27" t="s">
        <v>255</v>
      </c>
      <c r="C452" s="27" t="s">
        <v>270</v>
      </c>
      <c r="D452" s="27" t="s">
        <v>239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252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274</v>
      </c>
      <c r="B454" s="27" t="s">
        <v>244</v>
      </c>
      <c r="C454" s="27" t="s">
        <v>266</v>
      </c>
      <c r="D454" s="27" t="s">
        <v>239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249</v>
      </c>
      <c r="B455" s="27" t="s">
        <v>395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341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402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366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367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242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403</v>
      </c>
      <c r="B461" s="27" t="s">
        <v>272</v>
      </c>
      <c r="C461" s="27" t="s">
        <v>245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405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464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294</v>
      </c>
      <c r="B464" s="27" t="s">
        <v>315</v>
      </c>
      <c r="C464" s="27" t="s">
        <v>270</v>
      </c>
      <c r="D464" s="27" t="s">
        <v>239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289</v>
      </c>
      <c r="B465" s="27" t="s">
        <v>465</v>
      </c>
      <c r="C465" s="27" t="s">
        <v>305</v>
      </c>
      <c r="D465" s="27" t="s">
        <v>239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249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289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318</v>
      </c>
      <c r="B468" s="27" t="s">
        <v>466</v>
      </c>
      <c r="C468" s="27" t="s">
        <v>238</v>
      </c>
      <c r="D468" s="27" t="s">
        <v>239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250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249</v>
      </c>
      <c r="B470" s="27" t="s">
        <v>324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467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468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469</v>
      </c>
      <c r="B473" s="27" t="s">
        <v>369</v>
      </c>
      <c r="C473" s="27" t="s">
        <v>270</v>
      </c>
      <c r="D473" s="27" t="s">
        <v>239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470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398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471</v>
      </c>
      <c r="B476" s="27" t="s">
        <v>295</v>
      </c>
      <c r="C476" s="27" t="s">
        <v>472</v>
      </c>
      <c r="D476" s="27" t="s">
        <v>239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473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246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/>
    </row>
    <row r="480" spans="1:12">
      <c r="A480" s="20" t="s">
        <v>474</v>
      </c>
    </row>
    <row r="481" spans="1:12">
      <c r="A481" s="20" t="s">
        <v>432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289</v>
      </c>
      <c r="B482" s="27" t="s">
        <v>244</v>
      </c>
      <c r="C482" s="27" t="s">
        <v>305</v>
      </c>
      <c r="D482" s="27" t="s">
        <v>239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249</v>
      </c>
      <c r="B483" s="27" t="s">
        <v>314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475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420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246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/>
    </row>
    <row r="488" spans="1:12">
      <c r="A488" s="20" t="s">
        <v>476</v>
      </c>
    </row>
    <row r="489" spans="1:12">
      <c r="A489" s="20" t="s">
        <v>432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349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303</v>
      </c>
      <c r="B491" s="27" t="s">
        <v>244</v>
      </c>
      <c r="C491" s="27" t="s">
        <v>305</v>
      </c>
      <c r="D491" s="27" t="s">
        <v>239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249</v>
      </c>
      <c r="B492" s="27" t="s">
        <v>314</v>
      </c>
      <c r="C492" s="27" t="s">
        <v>391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341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377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246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/>
    </row>
    <row r="497" spans="1:12">
      <c r="A497" s="20" t="s">
        <v>477</v>
      </c>
    </row>
    <row r="498" spans="1:12">
      <c r="A498" s="20" t="s">
        <v>478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479</v>
      </c>
      <c r="B499" s="27" t="s">
        <v>336</v>
      </c>
      <c r="C499" s="27" t="s">
        <v>238</v>
      </c>
      <c r="D499" s="27" t="s">
        <v>239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294</v>
      </c>
      <c r="B500" s="27" t="s">
        <v>255</v>
      </c>
      <c r="C500" s="27" t="s">
        <v>270</v>
      </c>
      <c r="D500" s="27" t="s">
        <v>239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252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274</v>
      </c>
      <c r="B502" s="27" t="s">
        <v>237</v>
      </c>
      <c r="C502" s="27" t="s">
        <v>238</v>
      </c>
      <c r="D502" s="27" t="s">
        <v>239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480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481</v>
      </c>
      <c r="B504" s="27" t="s">
        <v>336</v>
      </c>
      <c r="C504" s="27" t="s">
        <v>245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246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/>
    </row>
    <row r="507" spans="1:12">
      <c r="A507" s="20" t="s">
        <v>482</v>
      </c>
    </row>
    <row r="508" spans="1:12">
      <c r="A508" s="20" t="s">
        <v>483</v>
      </c>
      <c r="B508" s="27" t="s">
        <v>244</v>
      </c>
      <c r="C508" s="27" t="s">
        <v>287</v>
      </c>
      <c r="D508" s="27" t="s">
        <v>239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445</v>
      </c>
      <c r="B509" s="27" t="s">
        <v>244</v>
      </c>
      <c r="C509" s="27" t="s">
        <v>275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484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294</v>
      </c>
      <c r="B511" s="27" t="s">
        <v>255</v>
      </c>
      <c r="C511" s="27" t="s">
        <v>270</v>
      </c>
      <c r="D511" s="27" t="s">
        <v>239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289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258</v>
      </c>
      <c r="B513" s="27" t="s">
        <v>255</v>
      </c>
      <c r="C513" s="27" t="s">
        <v>238</v>
      </c>
      <c r="D513" s="27" t="s">
        <v>239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250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485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486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264</v>
      </c>
      <c r="B517" s="27" t="s">
        <v>259</v>
      </c>
      <c r="C517" s="27" t="s">
        <v>472</v>
      </c>
      <c r="D517" s="27" t="s">
        <v>239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487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464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249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488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289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318</v>
      </c>
      <c r="B523" s="27" t="s">
        <v>255</v>
      </c>
      <c r="C523" s="27" t="s">
        <v>238</v>
      </c>
      <c r="D523" s="27" t="s">
        <v>239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246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/>
    </row>
    <row r="526" spans="1:12">
      <c r="A526" s="20" t="s">
        <v>489</v>
      </c>
    </row>
    <row r="527" spans="1:12">
      <c r="A527" s="20" t="s">
        <v>490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491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289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318</v>
      </c>
      <c r="B530" s="27" t="s">
        <v>259</v>
      </c>
      <c r="C530" s="27" t="s">
        <v>238</v>
      </c>
      <c r="D530" s="27" t="s">
        <v>239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250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492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249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493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390</v>
      </c>
      <c r="B535" s="27" t="s">
        <v>259</v>
      </c>
      <c r="C535" s="27" t="s">
        <v>391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251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494</v>
      </c>
      <c r="B537" s="27" t="s">
        <v>255</v>
      </c>
      <c r="C537" s="27" t="s">
        <v>266</v>
      </c>
      <c r="D537" s="27" t="s">
        <v>239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252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495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486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479</v>
      </c>
      <c r="B541" s="27" t="s">
        <v>315</v>
      </c>
      <c r="C541" s="27" t="s">
        <v>472</v>
      </c>
      <c r="D541" s="27" t="s">
        <v>239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246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/>
    </row>
    <row r="544" spans="1:12">
      <c r="A544" s="20" t="s">
        <v>496</v>
      </c>
    </row>
    <row r="545" spans="1:12">
      <c r="A545" s="20" t="s">
        <v>497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249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251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285</v>
      </c>
      <c r="B548" s="27" t="s">
        <v>259</v>
      </c>
      <c r="C548" s="27" t="s">
        <v>279</v>
      </c>
      <c r="D548" s="27" t="s">
        <v>239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498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294</v>
      </c>
      <c r="B550" s="27" t="s">
        <v>259</v>
      </c>
      <c r="C550" s="27" t="s">
        <v>270</v>
      </c>
      <c r="D550" s="27" t="s">
        <v>239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499</v>
      </c>
      <c r="B551" s="27" t="s">
        <v>395</v>
      </c>
      <c r="C551" s="27" t="s">
        <v>279</v>
      </c>
      <c r="D551" s="27" t="s">
        <v>239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246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/>
    </row>
    <row r="554" spans="1:12">
      <c r="A554" s="20" t="s">
        <v>500</v>
      </c>
    </row>
    <row r="555" spans="1:12">
      <c r="A555" s="20" t="s">
        <v>501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502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288</v>
      </c>
      <c r="B557" s="27" t="s">
        <v>336</v>
      </c>
      <c r="C557" s="27" t="s">
        <v>275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252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299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251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503</v>
      </c>
      <c r="B561" s="27" t="s">
        <v>315</v>
      </c>
      <c r="C561" s="27" t="s">
        <v>245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504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361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493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303</v>
      </c>
      <c r="B565" s="27" t="s">
        <v>465</v>
      </c>
      <c r="C565" s="27" t="s">
        <v>305</v>
      </c>
      <c r="D565" s="27" t="s">
        <v>239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250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327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505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506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507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508</v>
      </c>
      <c r="B571" s="27" t="s">
        <v>357</v>
      </c>
      <c r="C571" s="27" t="s">
        <v>245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242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267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249</v>
      </c>
      <c r="B574" s="27" t="s">
        <v>301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509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510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252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405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511</v>
      </c>
      <c r="B579" s="27" t="s">
        <v>269</v>
      </c>
      <c r="C579" s="27" t="s">
        <v>238</v>
      </c>
      <c r="D579" s="27" t="s">
        <v>239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250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276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512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252</v>
      </c>
      <c r="B583" s="27" t="s">
        <v>244</v>
      </c>
      <c r="C583" s="27" t="s">
        <v>305</v>
      </c>
      <c r="D583" s="27" t="s">
        <v>239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249</v>
      </c>
      <c r="B584" s="27" t="s">
        <v>395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317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405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513</v>
      </c>
      <c r="B587" s="27" t="s">
        <v>357</v>
      </c>
      <c r="C587" s="27" t="s">
        <v>275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242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251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285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514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267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268</v>
      </c>
      <c r="B593" s="27" t="s">
        <v>465</v>
      </c>
      <c r="C593" s="27" t="s">
        <v>270</v>
      </c>
      <c r="D593" s="27" t="s">
        <v>239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251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252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253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254</v>
      </c>
      <c r="B597" s="27" t="s">
        <v>269</v>
      </c>
      <c r="C597" s="27" t="s">
        <v>238</v>
      </c>
      <c r="D597" s="27" t="s">
        <v>239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246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/>
    </row>
    <row r="600" spans="1:12">
      <c r="A600" s="20" t="s">
        <v>515</v>
      </c>
    </row>
    <row r="601" spans="1:12">
      <c r="A601" s="20" t="s">
        <v>347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516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517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349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518</v>
      </c>
      <c r="B605" s="27" t="s">
        <v>244</v>
      </c>
      <c r="C605" s="27" t="s">
        <v>270</v>
      </c>
      <c r="D605" s="27" t="s">
        <v>239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519</v>
      </c>
      <c r="B606" s="27" t="s">
        <v>255</v>
      </c>
      <c r="C606" s="27" t="s">
        <v>270</v>
      </c>
      <c r="D606" s="27" t="s">
        <v>239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250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289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520</v>
      </c>
      <c r="B609" s="27" t="s">
        <v>237</v>
      </c>
      <c r="C609" s="27" t="s">
        <v>238</v>
      </c>
      <c r="D609" s="27" t="s">
        <v>239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294</v>
      </c>
      <c r="B610" s="27" t="s">
        <v>255</v>
      </c>
      <c r="C610" s="27" t="s">
        <v>270</v>
      </c>
      <c r="D610" s="27" t="s">
        <v>239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289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258</v>
      </c>
      <c r="B612" s="27" t="s">
        <v>255</v>
      </c>
      <c r="C612" s="27" t="s">
        <v>266</v>
      </c>
      <c r="D612" s="27" t="s">
        <v>239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261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250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251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521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250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249</v>
      </c>
      <c r="B618" s="27" t="s">
        <v>262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278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522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469</v>
      </c>
      <c r="B621" s="27" t="s">
        <v>272</v>
      </c>
      <c r="C621" s="27" t="s">
        <v>270</v>
      </c>
      <c r="D621" s="27" t="s">
        <v>239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257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523</v>
      </c>
      <c r="B623" s="27" t="s">
        <v>265</v>
      </c>
      <c r="C623" s="27" t="s">
        <v>260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250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524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525</v>
      </c>
      <c r="B626" s="27" t="s">
        <v>301</v>
      </c>
      <c r="C626" s="27" t="s">
        <v>526</v>
      </c>
      <c r="D626" s="27" t="s">
        <v>239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527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528</v>
      </c>
      <c r="B628" s="27" t="s">
        <v>304</v>
      </c>
      <c r="C628" s="27" t="s">
        <v>305</v>
      </c>
      <c r="D628" s="27" t="s">
        <v>239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246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/>
    </row>
    <row r="631" spans="1:12">
      <c r="A631" s="20" t="s">
        <v>529</v>
      </c>
    </row>
    <row r="632" spans="1:12">
      <c r="A632" s="20" t="s">
        <v>432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257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523</v>
      </c>
      <c r="B634" s="27" t="s">
        <v>244</v>
      </c>
      <c r="C634" s="27" t="s">
        <v>260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360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246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/>
    </row>
    <row r="638" spans="1:12">
      <c r="A638" s="20" t="s">
        <v>530</v>
      </c>
    </row>
    <row r="639" spans="1:12">
      <c r="A639" s="20" t="s">
        <v>478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421</v>
      </c>
      <c r="B640" s="27" t="s">
        <v>237</v>
      </c>
      <c r="C640" s="27" t="s">
        <v>238</v>
      </c>
      <c r="D640" s="27" t="s">
        <v>239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531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445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252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252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532</v>
      </c>
      <c r="B645" s="27" t="s">
        <v>255</v>
      </c>
      <c r="C645" s="27" t="s">
        <v>238</v>
      </c>
      <c r="D645" s="27" t="s">
        <v>239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294</v>
      </c>
      <c r="B646" s="27" t="s">
        <v>315</v>
      </c>
      <c r="C646" s="27" t="s">
        <v>270</v>
      </c>
      <c r="D646" s="27" t="s">
        <v>239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289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443</v>
      </c>
      <c r="B648" s="27" t="s">
        <v>336</v>
      </c>
      <c r="C648" s="27" t="s">
        <v>270</v>
      </c>
      <c r="D648" s="27" t="s">
        <v>239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246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/>
    </row>
    <row r="651" spans="1:12">
      <c r="A651" s="20" t="s">
        <v>533</v>
      </c>
    </row>
    <row r="652" spans="1:12">
      <c r="A652" s="20" t="s">
        <v>534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252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535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536</v>
      </c>
      <c r="B655" s="27" t="s">
        <v>315</v>
      </c>
      <c r="C655" s="27" t="s">
        <v>238</v>
      </c>
      <c r="D655" s="27" t="s">
        <v>239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294</v>
      </c>
      <c r="B656" s="27" t="s">
        <v>272</v>
      </c>
      <c r="C656" s="27" t="s">
        <v>270</v>
      </c>
      <c r="D656" s="27" t="s">
        <v>239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252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537</v>
      </c>
      <c r="B658" s="27" t="s">
        <v>272</v>
      </c>
      <c r="C658" s="27" t="s">
        <v>287</v>
      </c>
      <c r="D658" s="27" t="s">
        <v>239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479</v>
      </c>
      <c r="B659" s="27" t="s">
        <v>395</v>
      </c>
      <c r="C659" s="27" t="s">
        <v>266</v>
      </c>
      <c r="D659" s="27" t="s">
        <v>239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349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303</v>
      </c>
      <c r="B661" s="27" t="s">
        <v>272</v>
      </c>
      <c r="C661" s="27" t="s">
        <v>305</v>
      </c>
      <c r="D661" s="27" t="s">
        <v>239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419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420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252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538</v>
      </c>
      <c r="B665" s="27" t="s">
        <v>357</v>
      </c>
      <c r="C665" s="27" t="s">
        <v>266</v>
      </c>
      <c r="D665" s="27" t="s">
        <v>239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539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252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252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537</v>
      </c>
      <c r="B669" s="27" t="s">
        <v>269</v>
      </c>
      <c r="C669" s="27" t="s">
        <v>287</v>
      </c>
      <c r="D669" s="27" t="s">
        <v>239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540</v>
      </c>
      <c r="B670" s="27" t="s">
        <v>272</v>
      </c>
      <c r="C670" s="27" t="s">
        <v>238</v>
      </c>
      <c r="D670" s="27" t="s">
        <v>239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246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/>
    </row>
    <row r="673" spans="1:12">
      <c r="A673" s="20" t="s">
        <v>541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542</v>
      </c>
    </row>
    <row r="675" spans="1:12">
      <c r="A675" s="20" t="s">
        <v>543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289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306</v>
      </c>
      <c r="B677" s="27" t="s">
        <v>237</v>
      </c>
      <c r="C677" s="27" t="s">
        <v>305</v>
      </c>
      <c r="D677" s="27" t="s">
        <v>239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278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544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289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545</v>
      </c>
      <c r="B681" s="27" t="s">
        <v>255</v>
      </c>
      <c r="C681" s="27" t="s">
        <v>287</v>
      </c>
      <c r="D681" s="27" t="s">
        <v>239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546</v>
      </c>
      <c r="B682" s="27" t="s">
        <v>336</v>
      </c>
      <c r="C682" s="27" t="s">
        <v>238</v>
      </c>
      <c r="D682" s="27" t="s">
        <v>239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276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547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289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343</v>
      </c>
      <c r="B686" s="27" t="s">
        <v>259</v>
      </c>
      <c r="C686" s="27" t="s">
        <v>238</v>
      </c>
      <c r="D686" s="27" t="s">
        <v>239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548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252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252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532</v>
      </c>
      <c r="B690" s="27" t="s">
        <v>255</v>
      </c>
      <c r="C690" s="27" t="s">
        <v>270</v>
      </c>
      <c r="D690" s="27" t="s">
        <v>239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294</v>
      </c>
      <c r="B691" s="27" t="s">
        <v>315</v>
      </c>
      <c r="C691" s="27" t="s">
        <v>270</v>
      </c>
      <c r="D691" s="27" t="s">
        <v>239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285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286</v>
      </c>
      <c r="B693" s="27" t="s">
        <v>315</v>
      </c>
      <c r="C693" s="27" t="s">
        <v>287</v>
      </c>
      <c r="D693" s="27" t="s">
        <v>239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549</v>
      </c>
      <c r="B694" s="27" t="s">
        <v>314</v>
      </c>
      <c r="C694" s="27" t="s">
        <v>238</v>
      </c>
      <c r="D694" s="27" t="s">
        <v>239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250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550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551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552</v>
      </c>
      <c r="B698" s="27" t="s">
        <v>465</v>
      </c>
      <c r="C698" s="27" t="s">
        <v>245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251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252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553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554</v>
      </c>
      <c r="B702" s="27" t="s">
        <v>269</v>
      </c>
      <c r="C702" s="27" t="s">
        <v>238</v>
      </c>
      <c r="D702" s="27" t="s">
        <v>239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246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379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250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289</v>
      </c>
      <c r="B706" s="27" t="s">
        <v>465</v>
      </c>
      <c r="C706" s="27" t="s">
        <v>305</v>
      </c>
      <c r="D706" s="27" t="s">
        <v>239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249</v>
      </c>
      <c r="B707" s="27" t="s">
        <v>333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240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252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555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374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/>
    </row>
    <row r="713" spans="1:12">
      <c r="A713" s="20" t="s">
        <v>556</v>
      </c>
    </row>
    <row r="714" spans="1:12">
      <c r="A714" s="20" t="s">
        <v>379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250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252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421</v>
      </c>
      <c r="B717" s="27" t="s">
        <v>237</v>
      </c>
      <c r="C717" s="27" t="s">
        <v>270</v>
      </c>
      <c r="D717" s="27" t="s">
        <v>239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557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267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558</v>
      </c>
      <c r="B720" s="27" t="s">
        <v>336</v>
      </c>
      <c r="C720" s="27" t="s">
        <v>260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251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252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268</v>
      </c>
      <c r="B723" s="27" t="s">
        <v>244</v>
      </c>
      <c r="C723" s="27" t="s">
        <v>270</v>
      </c>
      <c r="D723" s="27" t="s">
        <v>239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246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/>
    </row>
    <row r="726" spans="1:12">
      <c r="A726" s="20" t="s">
        <v>559</v>
      </c>
    </row>
    <row r="727" spans="1:12">
      <c r="A727" s="20" t="s">
        <v>560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257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258</v>
      </c>
      <c r="B729" s="27" t="s">
        <v>336</v>
      </c>
      <c r="C729" s="27" t="s">
        <v>260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561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267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562</v>
      </c>
      <c r="B732" s="27" t="s">
        <v>255</v>
      </c>
      <c r="C732" s="27" t="s">
        <v>260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469</v>
      </c>
      <c r="B733" s="27" t="s">
        <v>315</v>
      </c>
      <c r="C733" s="27" t="s">
        <v>270</v>
      </c>
      <c r="D733" s="27" t="s">
        <v>239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563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558</v>
      </c>
      <c r="B735" s="27" t="s">
        <v>255</v>
      </c>
      <c r="C735" s="27" t="s">
        <v>472</v>
      </c>
      <c r="D735" s="27" t="s">
        <v>239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250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276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564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361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289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443</v>
      </c>
      <c r="B741" s="27" t="s">
        <v>255</v>
      </c>
      <c r="C741" s="27" t="s">
        <v>238</v>
      </c>
      <c r="D741" s="27" t="s">
        <v>239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250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276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252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535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536</v>
      </c>
      <c r="B746" s="27" t="s">
        <v>314</v>
      </c>
      <c r="C746" s="27" t="s">
        <v>238</v>
      </c>
      <c r="D746" s="27" t="s">
        <v>239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294</v>
      </c>
      <c r="B747" s="27" t="s">
        <v>315</v>
      </c>
      <c r="C747" s="27" t="s">
        <v>270</v>
      </c>
      <c r="D747" s="27" t="s">
        <v>239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252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479</v>
      </c>
      <c r="B749" s="27" t="s">
        <v>314</v>
      </c>
      <c r="C749" s="27" t="s">
        <v>238</v>
      </c>
      <c r="D749" s="27" t="s">
        <v>239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565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566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276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419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420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563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539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276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567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568</v>
      </c>
      <c r="B759" s="27" t="s">
        <v>265</v>
      </c>
      <c r="C759" s="27" t="s">
        <v>472</v>
      </c>
      <c r="D759" s="27" t="s">
        <v>239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251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252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538</v>
      </c>
      <c r="B762" s="27" t="s">
        <v>272</v>
      </c>
      <c r="C762" s="27" t="s">
        <v>238</v>
      </c>
      <c r="D762" s="27" t="s">
        <v>239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246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/>
    </row>
    <row r="765" spans="1:12">
      <c r="A765" s="20" t="s">
        <v>569</v>
      </c>
    </row>
    <row r="766" spans="1:12">
      <c r="A766" s="20" t="s">
        <v>478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570</v>
      </c>
      <c r="B767" s="27" t="s">
        <v>244</v>
      </c>
      <c r="C767" s="27" t="s">
        <v>266</v>
      </c>
      <c r="D767" s="27" t="s">
        <v>239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242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519</v>
      </c>
      <c r="B769" s="27" t="s">
        <v>244</v>
      </c>
      <c r="C769" s="27" t="s">
        <v>270</v>
      </c>
      <c r="D769" s="27" t="s">
        <v>239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565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249</v>
      </c>
      <c r="B771" s="27" t="s">
        <v>395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289</v>
      </c>
      <c r="B772" s="27" t="s">
        <v>357</v>
      </c>
      <c r="C772" s="27" t="s">
        <v>279</v>
      </c>
      <c r="D772" s="27" t="s">
        <v>239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571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251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289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572</v>
      </c>
      <c r="B776" s="27" t="s">
        <v>315</v>
      </c>
      <c r="C776" s="27" t="s">
        <v>238</v>
      </c>
      <c r="D776" s="27" t="s">
        <v>239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246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/>
    </row>
    <row r="779" spans="1:12">
      <c r="A779" s="20" t="s">
        <v>541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573</v>
      </c>
    </row>
    <row r="781" spans="1:12">
      <c r="A781" s="20" t="s">
        <v>574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267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575</v>
      </c>
      <c r="B783" s="27" t="s">
        <v>336</v>
      </c>
      <c r="C783" s="27" t="s">
        <v>260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576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250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577</v>
      </c>
      <c r="B786" s="27" t="s">
        <v>315</v>
      </c>
      <c r="C786" s="27" t="s">
        <v>245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578</v>
      </c>
      <c r="B787" s="27" t="s">
        <v>395</v>
      </c>
      <c r="C787" s="27" t="s">
        <v>279</v>
      </c>
      <c r="D787" s="27" t="s">
        <v>239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251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289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572</v>
      </c>
      <c r="B790" s="27" t="s">
        <v>272</v>
      </c>
      <c r="C790" s="27" t="s">
        <v>238</v>
      </c>
      <c r="D790" s="27" t="s">
        <v>239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250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251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532</v>
      </c>
      <c r="B793" s="27" t="s">
        <v>272</v>
      </c>
      <c r="C793" s="27" t="s">
        <v>266</v>
      </c>
      <c r="D793" s="27" t="s">
        <v>239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252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267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274</v>
      </c>
      <c r="B796" s="27" t="s">
        <v>269</v>
      </c>
      <c r="C796" s="27" t="s">
        <v>260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250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579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252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535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536</v>
      </c>
      <c r="B801" s="27" t="s">
        <v>272</v>
      </c>
      <c r="C801" s="27" t="s">
        <v>238</v>
      </c>
      <c r="D801" s="27" t="s">
        <v>239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294</v>
      </c>
      <c r="B802" s="27" t="s">
        <v>269</v>
      </c>
      <c r="C802" s="27" t="s">
        <v>270</v>
      </c>
      <c r="D802" s="27" t="s">
        <v>239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252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479</v>
      </c>
      <c r="B804" s="27" t="s">
        <v>262</v>
      </c>
      <c r="C804" s="27" t="s">
        <v>238</v>
      </c>
      <c r="D804" s="27" t="s">
        <v>239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250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580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257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258</v>
      </c>
      <c r="B808" s="27" t="s">
        <v>265</v>
      </c>
      <c r="C808" s="27" t="s">
        <v>260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261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469</v>
      </c>
      <c r="B810" s="27" t="s">
        <v>293</v>
      </c>
      <c r="C810" s="27" t="s">
        <v>270</v>
      </c>
      <c r="D810" s="27" t="s">
        <v>239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563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558</v>
      </c>
      <c r="B812" s="27" t="s">
        <v>269</v>
      </c>
      <c r="C812" s="27" t="s">
        <v>472</v>
      </c>
      <c r="D812" s="27" t="s">
        <v>239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581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250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276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582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250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583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420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285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243</v>
      </c>
      <c r="B821" s="27" t="s">
        <v>304</v>
      </c>
      <c r="C821" s="27" t="s">
        <v>238</v>
      </c>
      <c r="D821" s="27" t="s">
        <v>239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246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/>
    </row>
    <row r="824" spans="1:12">
      <c r="A824" s="20" t="s">
        <v>584</v>
      </c>
    </row>
    <row r="825" spans="1:12">
      <c r="A825" s="20" t="s">
        <v>543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390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585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412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528</v>
      </c>
      <c r="B829" s="27" t="s">
        <v>244</v>
      </c>
      <c r="C829" s="27" t="s">
        <v>305</v>
      </c>
      <c r="D829" s="27" t="s">
        <v>239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246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/>
    </row>
    <row r="832" spans="1:12">
      <c r="A832" s="20" t="s">
        <v>586</v>
      </c>
    </row>
    <row r="833" spans="1:12">
      <c r="A833" s="20" t="s">
        <v>407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240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252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575</v>
      </c>
      <c r="B836" s="27" t="s">
        <v>244</v>
      </c>
      <c r="C836" s="27" t="s">
        <v>238</v>
      </c>
      <c r="D836" s="27" t="s">
        <v>239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576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250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276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329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587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243</v>
      </c>
      <c r="B842" s="27" t="s">
        <v>357</v>
      </c>
      <c r="C842" s="27" t="s">
        <v>245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250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396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250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588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250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329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589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590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487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591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349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592</v>
      </c>
      <c r="B854" s="27" t="s">
        <v>255</v>
      </c>
      <c r="C854" s="27" t="s">
        <v>245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294</v>
      </c>
      <c r="B855" s="27" t="s">
        <v>315</v>
      </c>
      <c r="C855" s="27" t="s">
        <v>270</v>
      </c>
      <c r="D855" s="27" t="s">
        <v>239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593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594</v>
      </c>
      <c r="B857" s="27" t="s">
        <v>237</v>
      </c>
      <c r="C857" s="27" t="s">
        <v>238</v>
      </c>
      <c r="D857" s="27" t="s">
        <v>239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595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276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593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594</v>
      </c>
      <c r="B861" s="27" t="s">
        <v>255</v>
      </c>
      <c r="C861" s="27" t="s">
        <v>238</v>
      </c>
      <c r="D861" s="27" t="s">
        <v>239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596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481</v>
      </c>
      <c r="B863" s="27" t="s">
        <v>336</v>
      </c>
      <c r="C863" s="27" t="s">
        <v>245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252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252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540</v>
      </c>
      <c r="B866" s="27" t="s">
        <v>244</v>
      </c>
      <c r="C866" s="27" t="s">
        <v>270</v>
      </c>
      <c r="D866" s="27" t="s">
        <v>239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294</v>
      </c>
      <c r="B867" s="27" t="s">
        <v>255</v>
      </c>
      <c r="C867" s="27" t="s">
        <v>270</v>
      </c>
      <c r="D867" s="27" t="s">
        <v>239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563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575</v>
      </c>
      <c r="B869" s="27" t="s">
        <v>237</v>
      </c>
      <c r="C869" s="27" t="s">
        <v>472</v>
      </c>
      <c r="D869" s="27" t="s">
        <v>239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597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598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251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289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258</v>
      </c>
      <c r="B874" s="27" t="s">
        <v>255</v>
      </c>
      <c r="C874" s="27" t="s">
        <v>238</v>
      </c>
      <c r="D874" s="27" t="s">
        <v>239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246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/>
    </row>
    <row r="877" spans="1:12">
      <c r="A877" s="20" t="s">
        <v>599</v>
      </c>
    </row>
    <row r="878" spans="1:12">
      <c r="A878" s="20" t="s">
        <v>432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598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252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600</v>
      </c>
      <c r="B881" s="27" t="s">
        <v>237</v>
      </c>
      <c r="C881" s="27" t="s">
        <v>238</v>
      </c>
      <c r="D881" s="27" t="s">
        <v>239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249</v>
      </c>
      <c r="B882" s="27" t="s">
        <v>395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601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267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602</v>
      </c>
      <c r="B885" s="27" t="s">
        <v>357</v>
      </c>
      <c r="C885" s="27" t="s">
        <v>260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469</v>
      </c>
      <c r="B886" s="27" t="s">
        <v>272</v>
      </c>
      <c r="C886" s="27" t="s">
        <v>270</v>
      </c>
      <c r="D886" s="27" t="s">
        <v>239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267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603</v>
      </c>
      <c r="B888" s="27" t="s">
        <v>272</v>
      </c>
      <c r="C888" s="27" t="s">
        <v>260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250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276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495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563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479</v>
      </c>
      <c r="B893" s="27" t="s">
        <v>395</v>
      </c>
      <c r="C893" s="27" t="s">
        <v>472</v>
      </c>
      <c r="D893" s="27" t="s">
        <v>239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604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252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558</v>
      </c>
      <c r="B896" s="27" t="s">
        <v>357</v>
      </c>
      <c r="C896" s="27" t="s">
        <v>238</v>
      </c>
      <c r="D896" s="27" t="s">
        <v>239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246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/>
    </row>
    <row r="899" spans="1:12">
      <c r="A899" s="20" t="s">
        <v>605</v>
      </c>
    </row>
    <row r="900" spans="1:12">
      <c r="A900" s="20" t="s">
        <v>432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267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558</v>
      </c>
      <c r="B902" s="27" t="s">
        <v>244</v>
      </c>
      <c r="C902" s="27" t="s">
        <v>260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606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246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/>
    </row>
    <row r="906" spans="1:12">
      <c r="A906" s="20" t="s">
        <v>607</v>
      </c>
    </row>
    <row r="907" spans="1:12">
      <c r="A907" s="20" t="s">
        <v>608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329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373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420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243</v>
      </c>
      <c r="B911" s="27" t="s">
        <v>259</v>
      </c>
      <c r="C911" s="27" t="s">
        <v>245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246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/>
    </row>
    <row r="914" spans="1:12">
      <c r="A914" s="20" t="s">
        <v>609</v>
      </c>
    </row>
    <row r="915" spans="1:12">
      <c r="A915" s="20" t="s">
        <v>436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519</v>
      </c>
      <c r="B916" s="27" t="s">
        <v>237</v>
      </c>
      <c r="C916" s="27" t="s">
        <v>270</v>
      </c>
      <c r="D916" s="27" t="s">
        <v>239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610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252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611</v>
      </c>
      <c r="B919" s="27" t="s">
        <v>336</v>
      </c>
      <c r="C919" s="27" t="s">
        <v>238</v>
      </c>
      <c r="D919" s="27" t="s">
        <v>239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246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/>
    </row>
    <row r="922" spans="1:12">
      <c r="A922" s="20" t="s">
        <v>612</v>
      </c>
    </row>
    <row r="923" spans="1:12">
      <c r="A923" s="20" t="s">
        <v>613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614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615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593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616</v>
      </c>
      <c r="B927" s="27" t="s">
        <v>259</v>
      </c>
      <c r="C927" s="27" t="s">
        <v>266</v>
      </c>
      <c r="D927" s="27" t="s">
        <v>239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242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617</v>
      </c>
      <c r="B929" s="27" t="s">
        <v>315</v>
      </c>
      <c r="C929" s="27" t="s">
        <v>245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252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618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252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481</v>
      </c>
      <c r="B933" s="27" t="s">
        <v>357</v>
      </c>
      <c r="C933" s="27" t="s">
        <v>238</v>
      </c>
      <c r="D933" s="27" t="s">
        <v>239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250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619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620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420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257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318</v>
      </c>
      <c r="B939" s="27" t="s">
        <v>357</v>
      </c>
      <c r="C939" s="27" t="s">
        <v>260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250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276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251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285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621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49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308</v>
      </c>
      <c r="B946" s="27" t="s">
        <v>315</v>
      </c>
      <c r="C946" s="27" t="s">
        <v>622</v>
      </c>
      <c r="D946" s="27" t="s">
        <v>239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373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623</v>
      </c>
      <c r="B948" s="27" t="s">
        <v>357</v>
      </c>
      <c r="C948" s="27" t="s">
        <v>245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624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361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289</v>
      </c>
      <c r="B951" s="27" t="s">
        <v>465</v>
      </c>
      <c r="C951" s="27" t="s">
        <v>279</v>
      </c>
      <c r="D951" s="27" t="s">
        <v>239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514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246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/>
    </row>
    <row r="955" spans="1:12">
      <c r="A955" s="20" t="s">
        <v>625</v>
      </c>
    </row>
    <row r="956" spans="1:12">
      <c r="A956" s="20" t="s">
        <v>432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390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585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412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528</v>
      </c>
      <c r="B960" s="27" t="s">
        <v>244</v>
      </c>
      <c r="C960" s="27" t="s">
        <v>305</v>
      </c>
      <c r="D960" s="27" t="s">
        <v>239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246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/>
    </row>
    <row r="963" spans="1:12">
      <c r="A963" s="20" t="s">
        <v>626</v>
      </c>
    </row>
    <row r="964" spans="1:12">
      <c r="A964" s="20" t="s">
        <v>627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628</v>
      </c>
      <c r="B965" s="27" t="s">
        <v>336</v>
      </c>
      <c r="C965" s="27" t="s">
        <v>279</v>
      </c>
      <c r="D965" s="27" t="s">
        <v>239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252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456</v>
      </c>
      <c r="B967" s="27" t="s">
        <v>255</v>
      </c>
      <c r="C967" s="27" t="s">
        <v>287</v>
      </c>
      <c r="D967" s="27" t="s">
        <v>239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558</v>
      </c>
      <c r="B968" s="27" t="s">
        <v>336</v>
      </c>
      <c r="C968" s="27" t="s">
        <v>238</v>
      </c>
      <c r="D968" s="27" t="s">
        <v>239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629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251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630</v>
      </c>
      <c r="B971" s="27" t="s">
        <v>255</v>
      </c>
      <c r="C971" s="27" t="s">
        <v>266</v>
      </c>
      <c r="D971" s="27" t="s">
        <v>239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242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631</v>
      </c>
      <c r="B973" s="27" t="s">
        <v>315</v>
      </c>
      <c r="C973" s="27" t="s">
        <v>245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/>
    </row>
    <row r="975" spans="1:12">
      <c r="A975" s="20" t="s">
        <v>632</v>
      </c>
    </row>
    <row r="976" spans="1:12">
      <c r="A976" s="20" t="s">
        <v>613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633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593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616</v>
      </c>
      <c r="B979" s="27" t="s">
        <v>357</v>
      </c>
      <c r="C979" s="27" t="s">
        <v>238</v>
      </c>
      <c r="D979" s="27" t="s">
        <v>239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294</v>
      </c>
      <c r="B980" s="27" t="s">
        <v>272</v>
      </c>
      <c r="C980" s="27" t="s">
        <v>270</v>
      </c>
      <c r="D980" s="27" t="s">
        <v>239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252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634</v>
      </c>
      <c r="B982" s="27" t="s">
        <v>395</v>
      </c>
      <c r="C982" s="27" t="s">
        <v>238</v>
      </c>
      <c r="D982" s="27" t="s">
        <v>239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635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250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278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636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252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537</v>
      </c>
      <c r="B988" s="27" t="s">
        <v>293</v>
      </c>
      <c r="C988" s="27" t="s">
        <v>287</v>
      </c>
      <c r="D988" s="27" t="s">
        <v>239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634</v>
      </c>
      <c r="B989" s="27" t="s">
        <v>465</v>
      </c>
      <c r="C989" s="27" t="s">
        <v>238</v>
      </c>
      <c r="D989" s="27" t="s">
        <v>239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250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419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618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252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481</v>
      </c>
      <c r="B994" s="27" t="s">
        <v>259</v>
      </c>
      <c r="C994" s="27" t="s">
        <v>238</v>
      </c>
      <c r="D994" s="27" t="s">
        <v>239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250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276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373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267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576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558</v>
      </c>
      <c r="B1000" s="27" t="s">
        <v>357</v>
      </c>
      <c r="C1000" s="27" t="s">
        <v>260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246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/>
    </row>
    <row r="1003" spans="1:12">
      <c r="A1003" s="20" t="s">
        <v>637</v>
      </c>
    </row>
    <row r="1004" spans="1:12">
      <c r="A1004" s="20" t="s">
        <v>432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638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242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49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366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367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242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403</v>
      </c>
      <c r="B1011" s="27" t="s">
        <v>255</v>
      </c>
      <c r="C1011" s="27" t="s">
        <v>245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405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539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294</v>
      </c>
      <c r="B1014" s="27" t="s">
        <v>244</v>
      </c>
      <c r="C1014" s="27" t="s">
        <v>270</v>
      </c>
      <c r="D1014" s="27" t="s">
        <v>239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289</v>
      </c>
      <c r="B1015" s="27" t="s">
        <v>244</v>
      </c>
      <c r="C1015" s="27" t="s">
        <v>305</v>
      </c>
      <c r="D1015" s="27" t="s">
        <v>239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249</v>
      </c>
      <c r="B1016" s="27" t="s">
        <v>395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639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250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276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373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420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285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243</v>
      </c>
      <c r="B1023" s="27" t="s">
        <v>265</v>
      </c>
      <c r="C1023" s="27" t="s">
        <v>238</v>
      </c>
      <c r="D1023" s="27" t="s">
        <v>239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252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640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246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/>
    </row>
    <row r="1028" spans="1:12">
      <c r="A1028" s="20" t="s">
        <v>641</v>
      </c>
    </row>
    <row r="1029" spans="1:12">
      <c r="A1029" s="20" t="s">
        <v>642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249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510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250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643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250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535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294</v>
      </c>
      <c r="B1036" s="27" t="s">
        <v>255</v>
      </c>
      <c r="C1036" s="27" t="s">
        <v>270</v>
      </c>
      <c r="D1036" s="27" t="s">
        <v>239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289</v>
      </c>
      <c r="B1037" s="27" t="s">
        <v>255</v>
      </c>
      <c r="C1037" s="27" t="s">
        <v>305</v>
      </c>
      <c r="D1037" s="27" t="s">
        <v>239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249</v>
      </c>
      <c r="B1038" s="27" t="s">
        <v>395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289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545</v>
      </c>
      <c r="B1040" s="27" t="s">
        <v>315</v>
      </c>
      <c r="C1040" s="27" t="s">
        <v>287</v>
      </c>
      <c r="D1040" s="27" t="s">
        <v>239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546</v>
      </c>
      <c r="B1041" s="27" t="s">
        <v>255</v>
      </c>
      <c r="C1041" s="27" t="s">
        <v>238</v>
      </c>
      <c r="D1041" s="27" t="s">
        <v>239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246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/>
    </row>
    <row r="1044" spans="1:12">
      <c r="A1044" s="20" t="s">
        <v>644</v>
      </c>
    </row>
    <row r="1045" spans="1:12">
      <c r="A1045" s="20" t="s">
        <v>340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558</v>
      </c>
      <c r="B1046" s="27" t="s">
        <v>237</v>
      </c>
      <c r="C1046" s="27" t="s">
        <v>472</v>
      </c>
      <c r="D1046" s="27" t="s">
        <v>239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629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317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638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242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645</v>
      </c>
      <c r="B1051" s="27" t="s">
        <v>244</v>
      </c>
      <c r="C1051" s="27" t="s">
        <v>266</v>
      </c>
      <c r="D1051" s="27" t="s">
        <v>239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294</v>
      </c>
      <c r="B1052" s="27" t="s">
        <v>255</v>
      </c>
      <c r="C1052" s="27" t="s">
        <v>270</v>
      </c>
      <c r="D1052" s="27" t="s">
        <v>239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289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646</v>
      </c>
      <c r="B1054" s="27" t="s">
        <v>255</v>
      </c>
      <c r="C1054" s="27" t="s">
        <v>266</v>
      </c>
      <c r="D1054" s="27" t="s">
        <v>239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242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257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446</v>
      </c>
      <c r="B1057" s="27" t="s">
        <v>315</v>
      </c>
      <c r="C1057" s="27" t="s">
        <v>266</v>
      </c>
      <c r="D1057" s="27" t="s">
        <v>239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242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647</v>
      </c>
      <c r="B1059" s="27" t="s">
        <v>272</v>
      </c>
      <c r="C1059" s="27" t="s">
        <v>245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276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317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249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278</v>
      </c>
      <c r="B1063" s="27" t="s">
        <v>395</v>
      </c>
      <c r="C1063" s="27" t="s">
        <v>279</v>
      </c>
      <c r="D1063" s="27" t="s">
        <v>239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648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153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649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368</v>
      </c>
      <c r="B1067" s="27" t="s">
        <v>357</v>
      </c>
      <c r="C1067" s="27" t="s">
        <v>404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294</v>
      </c>
      <c r="B1068" s="27" t="s">
        <v>272</v>
      </c>
      <c r="C1068" s="27" t="s">
        <v>270</v>
      </c>
      <c r="D1068" s="27" t="s">
        <v>239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289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258</v>
      </c>
      <c r="B1070" s="27" t="s">
        <v>315</v>
      </c>
      <c r="C1070" s="27" t="s">
        <v>238</v>
      </c>
      <c r="D1070" s="27" t="s">
        <v>239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249</v>
      </c>
      <c r="B1071" s="27" t="s">
        <v>301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317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249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510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650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251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252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537</v>
      </c>
      <c r="B1078" s="27" t="s">
        <v>295</v>
      </c>
      <c r="C1078" s="27" t="s">
        <v>287</v>
      </c>
      <c r="D1078" s="27" t="s">
        <v>239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558</v>
      </c>
      <c r="B1079" s="27" t="s">
        <v>293</v>
      </c>
      <c r="C1079" s="27" t="s">
        <v>238</v>
      </c>
      <c r="D1079" s="27" t="s">
        <v>239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250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276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619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620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420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285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243</v>
      </c>
      <c r="B1086" s="27" t="s">
        <v>357</v>
      </c>
      <c r="C1086" s="27" t="s">
        <v>238</v>
      </c>
      <c r="D1086" s="27" t="s">
        <v>239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246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/>
    </row>
    <row r="1089" spans="1:12">
      <c r="A1089" s="20" t="s">
        <v>541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651</v>
      </c>
    </row>
    <row r="1091" spans="1:12">
      <c r="A1091" s="20" t="s">
        <v>652</v>
      </c>
      <c r="B1091" s="27" t="s">
        <v>237</v>
      </c>
      <c r="C1091" s="27" t="s">
        <v>305</v>
      </c>
      <c r="D1091" s="27" t="s">
        <v>239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653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654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250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327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655</v>
      </c>
      <c r="B1096" s="27" t="s">
        <v>244</v>
      </c>
      <c r="C1096" s="27" t="s">
        <v>245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656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250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288</v>
      </c>
      <c r="B1099" s="27" t="s">
        <v>255</v>
      </c>
      <c r="C1099" s="27" t="s">
        <v>266</v>
      </c>
      <c r="D1099" s="27" t="s">
        <v>239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286</v>
      </c>
      <c r="B1100" s="27" t="s">
        <v>315</v>
      </c>
      <c r="C1100" s="27" t="s">
        <v>279</v>
      </c>
      <c r="D1100" s="27" t="s">
        <v>239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251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289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657</v>
      </c>
      <c r="B1103" s="27" t="s">
        <v>315</v>
      </c>
      <c r="C1103" s="27" t="s">
        <v>270</v>
      </c>
      <c r="D1103" s="27" t="s">
        <v>239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250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658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257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659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660</v>
      </c>
      <c r="B1108" s="27" t="s">
        <v>357</v>
      </c>
      <c r="C1108" s="27" t="s">
        <v>260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659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661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361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289</v>
      </c>
      <c r="B1112" s="27" t="s">
        <v>465</v>
      </c>
      <c r="C1112" s="27" t="s">
        <v>279</v>
      </c>
      <c r="D1112" s="27" t="s">
        <v>239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514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276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341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585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412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528</v>
      </c>
      <c r="B1118" s="27" t="s">
        <v>315</v>
      </c>
      <c r="C1118" s="27" t="s">
        <v>305</v>
      </c>
      <c r="D1118" s="27" t="s">
        <v>239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246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/>
    </row>
    <row r="1121" spans="1:12">
      <c r="A1121" s="20" t="s">
        <v>662</v>
      </c>
    </row>
    <row r="1122" spans="1:12">
      <c r="A1122" s="20" t="s">
        <v>663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664</v>
      </c>
      <c r="B1123" s="27" t="s">
        <v>244</v>
      </c>
      <c r="C1123" s="27" t="s">
        <v>245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240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665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469</v>
      </c>
      <c r="B1126" s="27" t="s">
        <v>244</v>
      </c>
      <c r="C1126" s="27" t="s">
        <v>270</v>
      </c>
      <c r="D1126" s="27" t="s">
        <v>239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257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666</v>
      </c>
      <c r="B1128" s="27" t="s">
        <v>237</v>
      </c>
      <c r="C1128" s="27" t="s">
        <v>260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246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/>
    </row>
    <row r="1131" spans="1:12">
      <c r="A1131" s="20" t="s">
        <v>667</v>
      </c>
    </row>
    <row r="1132" spans="1:12">
      <c r="A1132" s="20" t="s">
        <v>668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445</v>
      </c>
      <c r="B1133" s="27" t="s">
        <v>244</v>
      </c>
      <c r="C1133" s="27" t="s">
        <v>270</v>
      </c>
      <c r="D1133" s="27" t="s">
        <v>239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294</v>
      </c>
      <c r="B1134" s="27" t="s">
        <v>244</v>
      </c>
      <c r="C1134" s="27" t="s">
        <v>270</v>
      </c>
      <c r="D1134" s="27" t="s">
        <v>239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289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258</v>
      </c>
      <c r="B1136" s="27" t="s">
        <v>244</v>
      </c>
      <c r="C1136" s="27" t="s">
        <v>238</v>
      </c>
      <c r="D1136" s="27" t="s">
        <v>239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246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/>
    </row>
    <row r="1139" spans="1:12">
      <c r="A1139" s="20" t="s">
        <v>669</v>
      </c>
    </row>
    <row r="1140" spans="1:12">
      <c r="A1140" s="20" t="s">
        <v>670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630</v>
      </c>
      <c r="B1141" s="27" t="s">
        <v>237</v>
      </c>
      <c r="C1141" s="27" t="s">
        <v>238</v>
      </c>
      <c r="D1141" s="27" t="s">
        <v>239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671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445</v>
      </c>
      <c r="B1143" s="27" t="s">
        <v>336</v>
      </c>
      <c r="C1143" s="27" t="s">
        <v>245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250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672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445</v>
      </c>
      <c r="B1146" s="27" t="s">
        <v>259</v>
      </c>
      <c r="C1146" s="27" t="s">
        <v>245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250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289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258</v>
      </c>
      <c r="B1149" s="27" t="s">
        <v>314</v>
      </c>
      <c r="C1149" s="27" t="s">
        <v>238</v>
      </c>
      <c r="D1149" s="27" t="s">
        <v>239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673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445</v>
      </c>
      <c r="B1151" s="27" t="s">
        <v>259</v>
      </c>
      <c r="C1151" s="27" t="s">
        <v>245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246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/>
    </row>
    <row r="1154" spans="1:12">
      <c r="A1154" s="20" t="s">
        <v>674</v>
      </c>
    </row>
    <row r="1155" spans="1:12">
      <c r="A1155" s="20" t="s">
        <v>675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676</v>
      </c>
      <c r="B1156" s="27" t="s">
        <v>237</v>
      </c>
      <c r="C1156" s="27" t="s">
        <v>279</v>
      </c>
      <c r="D1156" s="27" t="s">
        <v>239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673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445</v>
      </c>
      <c r="B1158" s="27" t="s">
        <v>336</v>
      </c>
      <c r="C1158" s="27" t="s">
        <v>245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276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677</v>
      </c>
      <c r="B1160" s="27" t="s">
        <v>255</v>
      </c>
      <c r="C1160" s="27" t="s">
        <v>245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445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153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649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368</v>
      </c>
      <c r="B1164" s="27" t="s">
        <v>315</v>
      </c>
      <c r="C1164" s="27" t="s">
        <v>404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294</v>
      </c>
      <c r="B1165" s="27" t="s">
        <v>272</v>
      </c>
      <c r="C1165" s="27" t="s">
        <v>270</v>
      </c>
      <c r="D1165" s="27" t="s">
        <v>239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289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258</v>
      </c>
      <c r="B1167" s="27" t="s">
        <v>336</v>
      </c>
      <c r="C1167" s="27" t="s">
        <v>238</v>
      </c>
      <c r="D1167" s="27" t="s">
        <v>239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246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/>
    </row>
    <row r="1170" spans="1:12">
      <c r="A1170" s="20" t="s">
        <v>678</v>
      </c>
    </row>
    <row r="1171" spans="1:12">
      <c r="A1171" s="20" t="s">
        <v>679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445</v>
      </c>
      <c r="B1172" s="27" t="s">
        <v>259</v>
      </c>
      <c r="C1172" s="27" t="s">
        <v>245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252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252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532</v>
      </c>
      <c r="B1175" s="27" t="s">
        <v>255</v>
      </c>
      <c r="C1175" s="27" t="s">
        <v>238</v>
      </c>
      <c r="D1175" s="27" t="s">
        <v>239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294</v>
      </c>
      <c r="B1176" s="27" t="s">
        <v>315</v>
      </c>
      <c r="C1176" s="27" t="s">
        <v>270</v>
      </c>
      <c r="D1176" s="27" t="s">
        <v>239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252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274</v>
      </c>
      <c r="B1178" s="27" t="s">
        <v>314</v>
      </c>
      <c r="C1178" s="27" t="s">
        <v>266</v>
      </c>
      <c r="D1178" s="27" t="s">
        <v>239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242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680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617</v>
      </c>
      <c r="B1181" s="27" t="s">
        <v>315</v>
      </c>
      <c r="C1181" s="27" t="s">
        <v>472</v>
      </c>
      <c r="D1181" s="27" t="s">
        <v>239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250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485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267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558</v>
      </c>
      <c r="B1185" s="27" t="s">
        <v>259</v>
      </c>
      <c r="C1185" s="27" t="s">
        <v>260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681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246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682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250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461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285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243</v>
      </c>
      <c r="B1192" s="27" t="s">
        <v>336</v>
      </c>
      <c r="C1192" s="27" t="s">
        <v>238</v>
      </c>
      <c r="D1192" s="27" t="s">
        <v>239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252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683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252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252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537</v>
      </c>
      <c r="B1197" s="27" t="s">
        <v>315</v>
      </c>
      <c r="C1197" s="27" t="s">
        <v>287</v>
      </c>
      <c r="D1197" s="27" t="s">
        <v>239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540</v>
      </c>
      <c r="B1198" s="27" t="s">
        <v>255</v>
      </c>
      <c r="C1198" s="27" t="s">
        <v>238</v>
      </c>
      <c r="D1198" s="27" t="s">
        <v>239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246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684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685</v>
      </c>
      <c r="B1201" s="27" t="s">
        <v>255</v>
      </c>
      <c r="C1201" s="27" t="s">
        <v>245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686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/>
    </row>
    <row r="1204" spans="1:12">
      <c r="A1204" s="20" t="s">
        <v>687</v>
      </c>
    </row>
    <row r="1205" spans="1:12">
      <c r="A1205" s="20" t="s">
        <v>688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246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/>
    </row>
    <row r="1208" spans="1:12">
      <c r="A1208" s="20" t="s">
        <v>689</v>
      </c>
    </row>
    <row r="1209" spans="1:12">
      <c r="A1209" s="20" t="s">
        <v>690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341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691</v>
      </c>
      <c r="B1211" s="27" t="s">
        <v>244</v>
      </c>
      <c r="C1211" s="27" t="s">
        <v>245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692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246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/>
    </row>
    <row r="1215" spans="1:12">
      <c r="A1215" s="20" t="s">
        <v>693</v>
      </c>
    </row>
    <row r="1216" spans="1:12">
      <c r="A1216" s="20" t="s">
        <v>424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252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299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469</v>
      </c>
      <c r="B1219" s="27" t="s">
        <v>259</v>
      </c>
      <c r="C1219" s="27" t="s">
        <v>270</v>
      </c>
      <c r="D1219" s="27" t="s">
        <v>239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528</v>
      </c>
      <c r="B1220" s="27" t="s">
        <v>357</v>
      </c>
      <c r="C1220" s="27" t="s">
        <v>305</v>
      </c>
      <c r="D1220" s="27" t="s">
        <v>239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587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694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561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365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308</v>
      </c>
      <c r="B1225" s="27" t="s">
        <v>357</v>
      </c>
      <c r="C1225" s="27" t="s">
        <v>404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246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/>
    </row>
    <row r="1228" spans="1:12">
      <c r="A1228" s="20" t="s">
        <v>695</v>
      </c>
    </row>
    <row r="1229" spans="1:12">
      <c r="A1229" s="20" t="s">
        <v>696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289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697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698</v>
      </c>
      <c r="B1232" s="27" t="s">
        <v>244</v>
      </c>
      <c r="C1232" s="27" t="s">
        <v>238</v>
      </c>
      <c r="D1232" s="27" t="s">
        <v>239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250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699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257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700</v>
      </c>
      <c r="B1236" s="27" t="s">
        <v>336</v>
      </c>
      <c r="C1236" s="27" t="s">
        <v>266</v>
      </c>
      <c r="D1236" s="27" t="s">
        <v>239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306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511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251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252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701</v>
      </c>
      <c r="B1241" s="27" t="s">
        <v>255</v>
      </c>
      <c r="C1241" s="27" t="s">
        <v>270</v>
      </c>
      <c r="D1241" s="27" t="s">
        <v>239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250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251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252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702</v>
      </c>
      <c r="B1245" s="27" t="s">
        <v>255</v>
      </c>
      <c r="C1245" s="27" t="s">
        <v>270</v>
      </c>
      <c r="D1245" s="27" t="s">
        <v>239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703</v>
      </c>
      <c r="B1246" s="27" t="s">
        <v>315</v>
      </c>
      <c r="C1246" s="27" t="s">
        <v>270</v>
      </c>
      <c r="D1246" s="27" t="s">
        <v>239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246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/>
    </row>
    <row r="1249" spans="1:12">
      <c r="A1249" s="20" t="s">
        <v>704</v>
      </c>
    </row>
    <row r="1250" spans="1:12">
      <c r="A1250" s="20" t="s">
        <v>705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706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630</v>
      </c>
      <c r="B1252" s="27" t="s">
        <v>244</v>
      </c>
      <c r="C1252" s="27" t="s">
        <v>404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246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/>
    </row>
    <row r="1255" spans="1:12">
      <c r="A1255" s="20" t="s">
        <v>707</v>
      </c>
    </row>
    <row r="1256" spans="1:12">
      <c r="A1256" s="20" t="s">
        <v>432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267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558</v>
      </c>
      <c r="B1258" s="27" t="s">
        <v>244</v>
      </c>
      <c r="C1258" s="27" t="s">
        <v>266</v>
      </c>
      <c r="D1258" s="27" t="s">
        <v>239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629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251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708</v>
      </c>
      <c r="B1261" s="27" t="s">
        <v>244</v>
      </c>
      <c r="C1261" s="27" t="s">
        <v>245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709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246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/>
    </row>
    <row r="1265" spans="1:12">
      <c r="A1265" s="20" t="s">
        <v>710</v>
      </c>
    </row>
    <row r="1266" spans="1:12">
      <c r="A1266" s="20" t="s">
        <v>642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638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242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645</v>
      </c>
      <c r="B1269" s="27" t="s">
        <v>336</v>
      </c>
      <c r="C1269" s="27" t="s">
        <v>245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294</v>
      </c>
      <c r="B1270" s="27" t="s">
        <v>255</v>
      </c>
      <c r="C1270" s="27" t="s">
        <v>270</v>
      </c>
      <c r="D1270" s="27" t="s">
        <v>239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 t="s">
        <v>289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646</v>
      </c>
      <c r="B1272" s="27" t="s">
        <v>255</v>
      </c>
      <c r="C1272" s="27" t="s">
        <v>270</v>
      </c>
      <c r="D1272" s="27" t="s">
        <v>239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294</v>
      </c>
      <c r="B1273" s="27" t="s">
        <v>315</v>
      </c>
      <c r="C1273" s="27" t="s">
        <v>270</v>
      </c>
      <c r="D1273" s="27" t="s">
        <v>239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252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249</v>
      </c>
      <c r="B1275" s="27" t="s">
        <v>265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527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711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246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/>
    </row>
    <row r="1280" spans="1:12">
      <c r="A1280" s="20" t="s">
        <v>712</v>
      </c>
    </row>
    <row r="1281" spans="1:12">
      <c r="A1281" s="20" t="s">
        <v>713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420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593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630</v>
      </c>
      <c r="B1284" s="27" t="s">
        <v>259</v>
      </c>
      <c r="C1284" s="27" t="s">
        <v>238</v>
      </c>
      <c r="D1284" s="27" t="s">
        <v>239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252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714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246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/>
    </row>
    <row r="1289" spans="1:12">
      <c r="A1289" s="20" t="s">
        <v>715</v>
      </c>
    </row>
    <row r="1290" spans="1:12">
      <c r="A1290" s="20" t="s">
        <v>716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706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630</v>
      </c>
      <c r="B1292" s="27" t="s">
        <v>237</v>
      </c>
      <c r="C1292" s="27" t="s">
        <v>472</v>
      </c>
      <c r="D1292" s="27" t="s">
        <v>239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717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718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349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706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719</v>
      </c>
      <c r="B1297" s="27" t="s">
        <v>244</v>
      </c>
      <c r="C1297" s="27" t="s">
        <v>404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720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469</v>
      </c>
      <c r="B1299" s="27" t="s">
        <v>255</v>
      </c>
      <c r="C1299" s="27" t="s">
        <v>270</v>
      </c>
      <c r="D1299" s="27" t="s">
        <v>239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257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721</v>
      </c>
      <c r="B1301" s="27" t="s">
        <v>336</v>
      </c>
      <c r="C1301" s="27" t="s">
        <v>266</v>
      </c>
      <c r="D1301" s="27" t="s">
        <v>239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242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722</v>
      </c>
      <c r="B1303" s="27" t="s">
        <v>255</v>
      </c>
      <c r="C1303" s="27" t="s">
        <v>245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251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289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657</v>
      </c>
      <c r="B1306" s="27" t="s">
        <v>255</v>
      </c>
      <c r="C1306" s="27" t="s">
        <v>270</v>
      </c>
      <c r="D1306" s="27" t="s">
        <v>239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246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/>
    </row>
    <row r="1309" spans="1:12">
      <c r="A1309" s="20" t="s">
        <v>541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723</v>
      </c>
    </row>
    <row r="1311" spans="1:12">
      <c r="A1311" s="20" t="s">
        <v>429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724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551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578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252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725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246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/>
    </row>
    <row r="1319" spans="1:12">
      <c r="A1319" s="20" t="s">
        <v>726</v>
      </c>
    </row>
    <row r="1320" spans="1:12">
      <c r="A1320" s="20" t="s">
        <v>670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727</v>
      </c>
      <c r="B1321" s="27" t="s">
        <v>237</v>
      </c>
      <c r="C1321" s="27" t="s">
        <v>238</v>
      </c>
      <c r="D1321" s="27" t="s">
        <v>239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728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249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278</v>
      </c>
      <c r="B1324" s="27" t="s">
        <v>237</v>
      </c>
      <c r="C1324" s="27" t="s">
        <v>279</v>
      </c>
      <c r="D1324" s="27" t="s">
        <v>239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729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251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730</v>
      </c>
      <c r="B1327" s="27" t="s">
        <v>244</v>
      </c>
      <c r="C1327" s="27" t="s">
        <v>245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246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/>
    </row>
    <row r="1330" spans="1:12">
      <c r="A1330" s="20" t="s">
        <v>731</v>
      </c>
    </row>
    <row r="1331" spans="1:12">
      <c r="A1331" s="20" t="s">
        <v>478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732</v>
      </c>
      <c r="B1332" s="27" t="s">
        <v>244</v>
      </c>
      <c r="C1332" s="27" t="s">
        <v>238</v>
      </c>
      <c r="D1332" s="27" t="s">
        <v>239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294</v>
      </c>
      <c r="B1333" s="27" t="s">
        <v>244</v>
      </c>
      <c r="C1333" s="27" t="s">
        <v>270</v>
      </c>
      <c r="D1333" s="27" t="s">
        <v>239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733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630</v>
      </c>
      <c r="B1335" s="27" t="s">
        <v>314</v>
      </c>
      <c r="C1335" s="27" t="s">
        <v>472</v>
      </c>
      <c r="D1335" s="27" t="s">
        <v>239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317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249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278</v>
      </c>
      <c r="B1338" s="27" t="s">
        <v>314</v>
      </c>
      <c r="C1338" s="27" t="s">
        <v>279</v>
      </c>
      <c r="D1338" s="27" t="s">
        <v>239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729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734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251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252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735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730</v>
      </c>
      <c r="B1344" s="27" t="s">
        <v>259</v>
      </c>
      <c r="C1344" s="27" t="s">
        <v>266</v>
      </c>
      <c r="D1344" s="27" t="s">
        <v>239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412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252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736</v>
      </c>
      <c r="B1347" s="27" t="s">
        <v>315</v>
      </c>
      <c r="C1347" s="27" t="s">
        <v>266</v>
      </c>
      <c r="D1347" s="27" t="s">
        <v>239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242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257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737</v>
      </c>
      <c r="B1350" s="27" t="s">
        <v>272</v>
      </c>
      <c r="C1350" s="27" t="s">
        <v>266</v>
      </c>
      <c r="D1350" s="27" t="s">
        <v>239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242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738</v>
      </c>
      <c r="B1352" s="27" t="s">
        <v>269</v>
      </c>
      <c r="C1352" s="27" t="s">
        <v>245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246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/>
    </row>
    <row r="1355" spans="1:12">
      <c r="A1355" s="20" t="s">
        <v>739</v>
      </c>
    </row>
    <row r="1356" spans="1:12">
      <c r="A1356" s="20" t="s">
        <v>740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 t="s">
        <v>680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 t="s">
        <v>700</v>
      </c>
      <c r="B1358" s="27" t="s">
        <v>336</v>
      </c>
      <c r="C1358" s="27" t="s">
        <v>472</v>
      </c>
      <c r="D1358" s="27" t="s">
        <v>239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69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 t="s">
        <v>403</v>
      </c>
      <c r="B1360" s="27" t="s">
        <v>244</v>
      </c>
      <c r="C1360" s="27" t="s">
        <v>404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250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276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294</v>
      </c>
      <c r="B1363" s="27" t="s">
        <v>244</v>
      </c>
      <c r="C1363" s="27" t="s">
        <v>270</v>
      </c>
      <c r="D1363" s="27" t="s">
        <v>239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593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69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403</v>
      </c>
      <c r="B1366" s="27" t="s">
        <v>395</v>
      </c>
      <c r="C1366" s="27" t="s">
        <v>622</v>
      </c>
      <c r="D1366" s="27" t="s">
        <v>239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741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252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252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730</v>
      </c>
      <c r="B1370" s="27" t="s">
        <v>315</v>
      </c>
      <c r="C1370" s="27" t="s">
        <v>238</v>
      </c>
      <c r="D1370" s="27" t="s">
        <v>239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742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412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252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736</v>
      </c>
      <c r="B1374" s="27" t="s">
        <v>315</v>
      </c>
      <c r="C1374" s="27" t="s">
        <v>266</v>
      </c>
      <c r="D1374" s="27" t="s">
        <v>239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242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257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737</v>
      </c>
      <c r="B1377" s="27" t="s">
        <v>272</v>
      </c>
      <c r="C1377" s="27" t="s">
        <v>266</v>
      </c>
      <c r="D1377" s="27" t="s">
        <v>239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242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738</v>
      </c>
      <c r="B1379" s="27" t="s">
        <v>269</v>
      </c>
      <c r="C1379" s="27" t="s">
        <v>245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246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/>
    </row>
    <row r="1382" spans="1:12">
      <c r="A1382" s="20" t="s">
        <v>743</v>
      </c>
    </row>
    <row r="1383" spans="1:12">
      <c r="A1383" s="20" t="s">
        <v>652</v>
      </c>
      <c r="B1383" s="27" t="s">
        <v>237</v>
      </c>
      <c r="C1383" s="27" t="s">
        <v>305</v>
      </c>
      <c r="D1383" s="27" t="s">
        <v>239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317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249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510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744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412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576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736</v>
      </c>
      <c r="B1390" s="27" t="s">
        <v>255</v>
      </c>
      <c r="C1390" s="27" t="s">
        <v>245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250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327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278</v>
      </c>
      <c r="B1393" s="27" t="s">
        <v>262</v>
      </c>
      <c r="C1393" s="27" t="s">
        <v>279</v>
      </c>
      <c r="D1393" s="27" t="s">
        <v>239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289</v>
      </c>
      <c r="B1394" s="27" t="s">
        <v>265</v>
      </c>
      <c r="C1394" s="27" t="s">
        <v>279</v>
      </c>
      <c r="D1394" s="27" t="s">
        <v>239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614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250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278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614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745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486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300</v>
      </c>
      <c r="B1401" s="27" t="s">
        <v>304</v>
      </c>
      <c r="C1401" s="27" t="s">
        <v>472</v>
      </c>
      <c r="D1401" s="27" t="s">
        <v>239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250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278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252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746</v>
      </c>
      <c r="B1405" s="27" t="s">
        <v>324</v>
      </c>
      <c r="C1405" s="27" t="s">
        <v>245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 t="s">
        <v>251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 t="s">
        <v>289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572</v>
      </c>
      <c r="B1408" s="27" t="s">
        <v>324</v>
      </c>
      <c r="C1408" s="27" t="s">
        <v>238</v>
      </c>
      <c r="D1408" s="27" t="s">
        <v>239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250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747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420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390</v>
      </c>
      <c r="B1412" s="27" t="s">
        <v>326</v>
      </c>
      <c r="C1412" s="27" t="s">
        <v>391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392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246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/>
    </row>
    <row r="1416" spans="1:12">
      <c r="A1416" s="20" t="s">
        <v>748</v>
      </c>
    </row>
    <row r="1417" spans="1:12">
      <c r="A1417" s="20" t="s">
        <v>652</v>
      </c>
      <c r="B1417" s="27" t="s">
        <v>237</v>
      </c>
      <c r="C1417" s="27" t="s">
        <v>305</v>
      </c>
      <c r="D1417" s="27" t="s">
        <v>239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341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267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264</v>
      </c>
      <c r="B1420" s="27" t="s">
        <v>244</v>
      </c>
      <c r="C1420" s="27" t="s">
        <v>266</v>
      </c>
      <c r="D1420" s="27" t="s">
        <v>239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242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267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294</v>
      </c>
      <c r="B1423" s="27" t="s">
        <v>244</v>
      </c>
      <c r="C1423" s="27" t="s">
        <v>270</v>
      </c>
      <c r="D1423" s="27" t="s">
        <v>239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593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749</v>
      </c>
      <c r="B1425" s="27" t="s">
        <v>237</v>
      </c>
      <c r="C1425" s="27" t="s">
        <v>238</v>
      </c>
      <c r="D1425" s="27" t="s">
        <v>239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405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750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242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751</v>
      </c>
      <c r="B1429" s="27" t="s">
        <v>357</v>
      </c>
      <c r="C1429" s="27" t="s">
        <v>279</v>
      </c>
      <c r="D1429" s="27" t="s">
        <v>239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752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412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289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382</v>
      </c>
      <c r="B1433" s="27" t="s">
        <v>315</v>
      </c>
      <c r="C1433" s="27" t="s">
        <v>270</v>
      </c>
      <c r="D1433" s="27" t="s">
        <v>239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383</v>
      </c>
      <c r="B1434" s="27" t="s">
        <v>272</v>
      </c>
      <c r="C1434" s="27" t="s">
        <v>270</v>
      </c>
      <c r="D1434" s="27" t="s">
        <v>239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384</v>
      </c>
      <c r="B1435" s="27" t="s">
        <v>272</v>
      </c>
      <c r="C1435" s="27" t="s">
        <v>270</v>
      </c>
      <c r="D1435" s="27" t="s">
        <v>239</v>
      </c>
      <c r="E1435" s="21">
        <f>IF(D1435="?OLD","!!!","")</f>
        <v/>
      </c>
      <c r="F1435" s="22" t="str">
        <f>IF(OR(E1435="",E1435="!!!"),"",IF(NOT(ISNA(VLOOKUP(E1435,E$1:E1434,1,FALSE()))),"OLD",IF(AND(E1435&lt;&gt;"",E1435&lt;&gt;"!!!"),"NEW","")))</f>
        <v> </v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4" t="str">
        <f>IF(J1435&lt;&gt;1,"",IF(I1435="SBJ","CB","?"))</f>
        <v> </v>
      </c>
      <c r="I1435" s="25" t="str">
        <f>IF(OR(E1435="",E1435="!!!",F1435="NEW"),"",INDEX(B1434:B$2,-1+SUMPRODUCT(MAX(ROW(E1434:E$2)*(E1435=E1434:E$2)))))</f>
        <v> </v>
      </c>
      <c r="J1435" s="25" t="str">
        <f>IF(OR(E1435="",E1435="!!!",F1435="NEW"),"",COUNTBLANK(OFFSET(A$1,,,SUMPRODUCT(MAX(ROW(E$2:E1435)*(E1435=E$2:E1435)))))-COUNTBLANK(OFFSET(A$1,,,SUMPRODUCT(MAX(ROW(E$1:E1434)*(E2=E$1:E1434))))))</f>
        <v> </v>
      </c>
      <c r="K1435" s="25" t="str">
        <f>IF(OR(E1435="",E1435="!!!",F1435="NEW"),"",INDEX(J$1:J1434,SUMPRODUCT(MAX(ROW(E$1:E1434)*(E1435=E$1:E1434)))))</f>
        <v> </v>
      </c>
      <c r="L1435" s="26"/>
    </row>
    <row r="1436" spans="1:12">
      <c r="A1436" s="20" t="s">
        <v>246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/>
    </row>
    <row r="1438" spans="1:12">
      <c r="A1438" s="20" t="s">
        <v>753</v>
      </c>
    </row>
    <row r="1439" spans="1:12">
      <c r="A1439" s="20" t="s">
        <v>613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754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257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258</v>
      </c>
      <c r="B1442" s="27" t="s">
        <v>259</v>
      </c>
      <c r="C1442" s="27" t="s">
        <v>260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 t="s">
        <v>755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250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756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535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250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278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 t="s">
        <v>289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746</v>
      </c>
      <c r="B1450" s="27" t="s">
        <v>314</v>
      </c>
      <c r="C1450" s="27" t="s">
        <v>266</v>
      </c>
      <c r="D1450" s="27" t="s">
        <v>239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251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289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572</v>
      </c>
      <c r="B1453" s="27" t="s">
        <v>315</v>
      </c>
      <c r="C1453" s="27" t="s">
        <v>238</v>
      </c>
      <c r="D1453" s="27" t="s">
        <v>239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250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278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 t="s">
        <v>757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267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758</v>
      </c>
      <c r="B1458" s="27" t="s">
        <v>259</v>
      </c>
      <c r="C1458" s="27" t="s">
        <v>260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252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252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537</v>
      </c>
      <c r="B1461" s="27" t="s">
        <v>315</v>
      </c>
      <c r="C1461" s="27" t="s">
        <v>287</v>
      </c>
      <c r="D1461" s="27" t="s">
        <v>239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532</v>
      </c>
      <c r="B1462" s="27" t="s">
        <v>255</v>
      </c>
      <c r="C1462" s="27" t="s">
        <v>238</v>
      </c>
      <c r="D1462" s="27" t="s">
        <v>239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250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289</v>
      </c>
      <c r="B1464" s="27" t="s">
        <v>255</v>
      </c>
      <c r="C1464" s="27" t="s">
        <v>305</v>
      </c>
      <c r="D1464" s="27" t="s">
        <v>239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249</v>
      </c>
      <c r="B1465" s="27" t="s">
        <v>262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620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420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 t="s">
        <v>341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 t="s">
        <v>390</v>
      </c>
      <c r="B1469" s="27" t="s">
        <v>244</v>
      </c>
      <c r="C1469" s="27" t="s">
        <v>391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 t="s">
        <v>598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528</v>
      </c>
      <c r="B1471" s="27" t="s">
        <v>255</v>
      </c>
      <c r="C1471" s="27" t="s">
        <v>305</v>
      </c>
      <c r="D1471" s="27" t="s">
        <v>239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759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528</v>
      </c>
      <c r="B1473" s="27" t="s">
        <v>237</v>
      </c>
      <c r="C1473" s="27" t="s">
        <v>305</v>
      </c>
      <c r="D1473" s="27" t="s">
        <v>239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341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257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760</v>
      </c>
      <c r="B1476" s="27" t="s">
        <v>244</v>
      </c>
      <c r="C1476" s="27" t="s">
        <v>266</v>
      </c>
      <c r="D1476" s="27" t="s">
        <v>239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242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761</v>
      </c>
      <c r="B1478" s="27" t="s">
        <v>244</v>
      </c>
      <c r="C1478" s="27" t="s">
        <v>245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294</v>
      </c>
      <c r="B1479" s="27" t="s">
        <v>255</v>
      </c>
      <c r="C1479" s="27" t="s">
        <v>270</v>
      </c>
      <c r="D1479" s="27" t="s">
        <v>239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289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762</v>
      </c>
      <c r="B1481" s="27" t="s">
        <v>255</v>
      </c>
      <c r="C1481" s="27" t="s">
        <v>287</v>
      </c>
      <c r="D1481" s="27" t="s">
        <v>239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359</v>
      </c>
      <c r="B1482" s="27" t="s">
        <v>244</v>
      </c>
      <c r="C1482" s="27" t="s">
        <v>238</v>
      </c>
      <c r="D1482" s="27" t="s">
        <v>239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360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759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327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329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289</v>
      </c>
      <c r="B1487" s="27" t="s">
        <v>265</v>
      </c>
      <c r="C1487" s="27" t="s">
        <v>279</v>
      </c>
      <c r="D1487" s="27" t="s">
        <v>239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762</v>
      </c>
      <c r="B1488" s="27" t="s">
        <v>315</v>
      </c>
      <c r="C1488" s="27" t="s">
        <v>287</v>
      </c>
      <c r="D1488" s="27" t="s">
        <v>239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246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/>
    </row>
    <row r="1491" spans="1:12">
      <c r="A1491" s="20" t="s">
        <v>763</v>
      </c>
    </row>
    <row r="1492" spans="1:12">
      <c r="A1492" s="20" t="s">
        <v>764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249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765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766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359</v>
      </c>
      <c r="B1496" s="27" t="s">
        <v>244</v>
      </c>
      <c r="C1496" s="27" t="s">
        <v>275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360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767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768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242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267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758</v>
      </c>
      <c r="B1502" s="27" t="s">
        <v>272</v>
      </c>
      <c r="C1502" s="27" t="s">
        <v>260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250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 t="s">
        <v>768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 t="s">
        <v>242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267</v>
      </c>
      <c r="E1506" s="21">
        <f>IF(D1506="?OLD","!!!","")</f>
        <v/>
      </c>
      <c r="F1506" s="22" t="str">
        <f>IF(OR(E1506="",E1506="!!!"),"",IF(NOT(ISNA(VLOOKUP(E1506,E$1:E1505,1,FALSE()))),"OLD",IF(AND(E1506&lt;&gt;"",E1506&lt;&gt;"!!!"),"NEW","")))</f>
        <v> </v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4" t="str">
        <f>IF(J1506&lt;&gt;1,"",IF(I1506="SBJ","CB","?"))</f>
        <v> </v>
      </c>
      <c r="I1506" s="25" t="str">
        <f>IF(OR(E1506="",E1506="!!!",F1506="NEW"),"",INDEX(B1505:B$2,-1+SUMPRODUCT(MAX(ROW(E1505:E$2)*(E1506=E1505:E$2)))))</f>
        <v> </v>
      </c>
      <c r="J1506" s="25" t="str">
        <f>IF(OR(E1506="",E1506="!!!",F1506="NEW"),"",COUNTBLANK(OFFSET(A$1,,,SUMPRODUCT(MAX(ROW(E$2:E1506)*(E1506=E$2:E1506)))))-COUNTBLANK(OFFSET(A$1,,,SUMPRODUCT(MAX(ROW(E$1:E1505)*(E2=E$1:E1505))))))</f>
        <v> </v>
      </c>
      <c r="K1506" s="25" t="str">
        <f>IF(OR(E1506="",E1506="!!!",F1506="NEW"),"",INDEX(J$1:J1505,SUMPRODUCT(MAX(ROW(E$1:E1505)*(E1506=E$1:E1505)))))</f>
        <v> </v>
      </c>
      <c r="L1506" s="26"/>
    </row>
    <row r="1507" spans="1:12">
      <c r="A1507" s="20" t="s">
        <v>558</v>
      </c>
      <c r="B1507" s="27" t="s">
        <v>272</v>
      </c>
      <c r="C1507" s="27" t="s">
        <v>472</v>
      </c>
      <c r="D1507" s="27" t="s">
        <v>239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629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598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486</v>
      </c>
      <c r="B1510" s="27" t="s">
        <v>269</v>
      </c>
      <c r="C1510" s="27" t="s">
        <v>305</v>
      </c>
      <c r="D1510" s="27" t="s">
        <v>239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246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/>
    </row>
    <row r="1513" spans="1:12">
      <c r="A1513" s="20" t="s">
        <v>769</v>
      </c>
    </row>
    <row r="1514" spans="1:12">
      <c r="A1514" s="20" t="s">
        <v>770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420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771</v>
      </c>
      <c r="B1516" s="27" t="s">
        <v>259</v>
      </c>
      <c r="C1516" s="27" t="s">
        <v>270</v>
      </c>
      <c r="D1516" s="27" t="s">
        <v>239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250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419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420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772</v>
      </c>
      <c r="B1520" s="27" t="s">
        <v>357</v>
      </c>
      <c r="C1520" s="27" t="s">
        <v>270</v>
      </c>
      <c r="D1520" s="27" t="s">
        <v>239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 t="s">
        <v>250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408</v>
      </c>
      <c r="B1522" s="27" t="s">
        <v>272</v>
      </c>
      <c r="C1522" s="27" t="s">
        <v>270</v>
      </c>
      <c r="D1522" s="27" t="s">
        <v>239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250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773</v>
      </c>
      <c r="B1524" s="27" t="s">
        <v>272</v>
      </c>
      <c r="C1524" s="27" t="s">
        <v>270</v>
      </c>
      <c r="D1524" s="27" t="s">
        <v>239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250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276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306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251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289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774</v>
      </c>
      <c r="B1530" s="27" t="s">
        <v>272</v>
      </c>
      <c r="C1530" s="27" t="s">
        <v>238</v>
      </c>
      <c r="D1530" s="27" t="s">
        <v>239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250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775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294</v>
      </c>
      <c r="B1533" s="27" t="s">
        <v>293</v>
      </c>
      <c r="C1533" s="27" t="s">
        <v>270</v>
      </c>
      <c r="D1533" s="27" t="s">
        <v>239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252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479</v>
      </c>
      <c r="B1535" s="27" t="s">
        <v>466</v>
      </c>
      <c r="C1535" s="27" t="s">
        <v>238</v>
      </c>
      <c r="D1535" s="27" t="s">
        <v>239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776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240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289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 t="s">
        <v>343</v>
      </c>
      <c r="B1539" s="27" t="s">
        <v>272</v>
      </c>
      <c r="C1539" s="27" t="s">
        <v>238</v>
      </c>
      <c r="D1539" s="27" t="s">
        <v>239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344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345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 t="s">
        <v>246</v>
      </c>
      <c r="E1542" s="21">
        <f>IF(D1542="?OLD","!!!","")</f>
        <v/>
      </c>
      <c r="F1542" s="22" t="str">
        <f>IF(OR(E1542="",E1542="!!!"),"",IF(NOT(ISNA(VLOOKUP(E1542,E$1:E1541,1,FALSE()))),"OLD",IF(AND(E1542&lt;&gt;"",E1542&lt;&gt;"!!!"),"NEW","")))</f>
        <v> </v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4" t="str">
        <f>IF(J1542&lt;&gt;1,"",IF(I1542="SBJ","CB","?"))</f>
        <v> </v>
      </c>
      <c r="I1542" s="25" t="str">
        <f>IF(OR(E1542="",E1542="!!!",F1542="NEW"),"",INDEX(B1541:B$2,-1+SUMPRODUCT(MAX(ROW(E1541:E$2)*(E1542=E1541:E$2)))))</f>
        <v> </v>
      </c>
      <c r="J1542" s="25" t="str">
        <f>IF(OR(E1542="",E1542="!!!",F1542="NEW"),"",COUNTBLANK(OFFSET(A$1,,,SUMPRODUCT(MAX(ROW(E$2:E1542)*(E1542=E$2:E1542)))))-COUNTBLANK(OFFSET(A$1,,,SUMPRODUCT(MAX(ROW(E$1:E1541)*(E2=E$1:E1541))))))</f>
        <v> </v>
      </c>
      <c r="K1542" s="25" t="str">
        <f>IF(OR(E1542="",E1542="!!!",F1542="NEW"),"",INDEX(J$1:J1541,SUMPRODUCT(MAX(ROW(E$1:E1541)*(E1542=E$1:E1541)))))</f>
        <v> </v>
      </c>
      <c r="L1542" s="26"/>
    </row>
    <row r="1543" spans="1:12">
      <c r="A1543" s="20"/>
    </row>
    <row r="1544" spans="1:12">
      <c r="A1544" s="20" t="s">
        <v>777</v>
      </c>
    </row>
    <row r="1545" spans="1:12">
      <c r="A1545" s="20" t="s">
        <v>432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252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 t="s">
        <v>268</v>
      </c>
      <c r="B1547" s="27" t="s">
        <v>244</v>
      </c>
      <c r="C1547" s="27" t="s">
        <v>270</v>
      </c>
      <c r="D1547" s="27" t="s">
        <v>239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 t="s">
        <v>246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/>
    </row>
    <row r="1550" spans="1:12">
      <c r="A1550" s="20" t="s">
        <v>778</v>
      </c>
    </row>
    <row r="1551" spans="1:12">
      <c r="A1551" s="20" t="s">
        <v>779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420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303</v>
      </c>
      <c r="B1553" s="27" t="s">
        <v>259</v>
      </c>
      <c r="C1553" s="27" t="s">
        <v>305</v>
      </c>
      <c r="D1553" s="27" t="s">
        <v>239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250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420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 t="s">
        <v>278</v>
      </c>
      <c r="B1556" s="27" t="s">
        <v>357</v>
      </c>
      <c r="C1556" s="27" t="s">
        <v>279</v>
      </c>
      <c r="D1556" s="27" t="s">
        <v>239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317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 t="s">
        <v>600</v>
      </c>
      <c r="B1558" s="27" t="s">
        <v>357</v>
      </c>
      <c r="C1558" s="27" t="s">
        <v>245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 t="s">
        <v>250</v>
      </c>
      <c r="E1559" s="21">
        <f>IF(D1559="?OLD","!!!","")</f>
        <v/>
      </c>
      <c r="F1559" s="22" t="str">
        <f>IF(OR(E1559="",E1559="!!!"),"",IF(NOT(ISNA(VLOOKUP(E1559,E$1:E1558,1,FALSE()))),"OLD",IF(AND(E1559&lt;&gt;"",E1559&lt;&gt;"!!!"),"NEW","")))</f>
        <v> </v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4" t="str">
        <f>IF(J1559&lt;&gt;1,"",IF(I1559="SBJ","CB","?"))</f>
        <v> </v>
      </c>
      <c r="I1559" s="25" t="str">
        <f>IF(OR(E1559="",E1559="!!!",F1559="NEW"),"",INDEX(B1558:B$2,-1+SUMPRODUCT(MAX(ROW(E1558:E$2)*(E1559=E1558:E$2)))))</f>
        <v> </v>
      </c>
      <c r="J1559" s="25" t="str">
        <f>IF(OR(E1559="",E1559="!!!",F1559="NEW"),"",COUNTBLANK(OFFSET(A$1,,,SUMPRODUCT(MAX(ROW(E$2:E1559)*(E1559=E$2:E1559)))))-COUNTBLANK(OFFSET(A$1,,,SUMPRODUCT(MAX(ROW(E$1:E1558)*(E2=E$1:E1558))))))</f>
        <v> </v>
      </c>
      <c r="K1559" s="25" t="str">
        <f>IF(OR(E1559="",E1559="!!!",F1559="NEW"),"",INDEX(J$1:J1558,SUMPRODUCT(MAX(ROW(E$1:E1558)*(E1559=E$1:E1558)))))</f>
        <v> </v>
      </c>
      <c r="L1559" s="26"/>
    </row>
    <row r="1560" spans="1:12">
      <c r="A1560" s="20" t="s">
        <v>780</v>
      </c>
      <c r="B1560" s="27" t="s">
        <v>272</v>
      </c>
      <c r="C1560" s="27" t="s">
        <v>245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250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781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250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593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 t="s">
        <v>782</v>
      </c>
      <c r="B1565" s="27" t="s">
        <v>272</v>
      </c>
      <c r="C1565" s="27" t="s">
        <v>238</v>
      </c>
      <c r="D1565" s="27" t="s">
        <v>239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 t="s">
        <v>249</v>
      </c>
      <c r="B1566" s="27" t="s">
        <v>301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251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 t="s">
        <v>285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747</v>
      </c>
      <c r="B1569" s="27" t="s">
        <v>293</v>
      </c>
      <c r="C1569" s="27" t="s">
        <v>238</v>
      </c>
      <c r="D1569" s="27" t="s">
        <v>239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 t="s">
        <v>783</v>
      </c>
      <c r="E1570" s="21">
        <f>IF(D1570="?OLD","!!!","")</f>
        <v/>
      </c>
      <c r="F1570" s="22" t="str">
        <f>IF(OR(E1570="",E1570="!!!"),"",IF(NOT(ISNA(VLOOKUP(E1570,E$1:E1569,1,FALSE()))),"OLD",IF(AND(E1570&lt;&gt;"",E1570&lt;&gt;"!!!"),"NEW","")))</f>
        <v> </v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4" t="str">
        <f>IF(J1570&lt;&gt;1,"",IF(I1570="SBJ","CB","?"))</f>
        <v> </v>
      </c>
      <c r="I1570" s="25" t="str">
        <f>IF(OR(E1570="",E1570="!!!",F1570="NEW"),"",INDEX(B1569:B$2,-1+SUMPRODUCT(MAX(ROW(E1569:E$2)*(E1570=E1569:E$2)))))</f>
        <v> </v>
      </c>
      <c r="J1570" s="25" t="str">
        <f>IF(OR(E1570="",E1570="!!!",F1570="NEW"),"",COUNTBLANK(OFFSET(A$1,,,SUMPRODUCT(MAX(ROW(E$2:E1570)*(E1570=E$2:E1570)))))-COUNTBLANK(OFFSET(A$1,,,SUMPRODUCT(MAX(ROW(E$1:E1569)*(E2=E$1:E1569))))))</f>
        <v> </v>
      </c>
      <c r="K1570" s="25" t="str">
        <f>IF(OR(E1570="",E1570="!!!",F1570="NEW"),"",INDEX(J$1:J1569,SUMPRODUCT(MAX(ROW(E$1:E1569)*(E1570=E$1:E1569)))))</f>
        <v> </v>
      </c>
      <c r="L1570" s="26"/>
    </row>
    <row r="1571" spans="1:12">
      <c r="A1571" s="20" t="s">
        <v>278</v>
      </c>
      <c r="E1571" s="21">
        <f>IF(D1571="?OLD","!!!","")</f>
        <v/>
      </c>
      <c r="F1571" s="22" t="str">
        <f>IF(OR(E1571="",E1571="!!!"),"",IF(NOT(ISNA(VLOOKUP(E1571,E$1:E1570,1,FALSE()))),"OLD",IF(AND(E1571&lt;&gt;"",E1571&lt;&gt;"!!!"),"NEW","")))</f>
        <v> </v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4" t="str">
        <f>IF(J1571&lt;&gt;1,"",IF(I1571="SBJ","CB","?"))</f>
        <v> </v>
      </c>
      <c r="I1571" s="25" t="str">
        <f>IF(OR(E1571="",E1571="!!!",F1571="NEW"),"",INDEX(B1570:B$2,-1+SUMPRODUCT(MAX(ROW(E1570:E$2)*(E1571=E1570:E$2)))))</f>
        <v> </v>
      </c>
      <c r="J1571" s="25" t="str">
        <f>IF(OR(E1571="",E1571="!!!",F1571="NEW"),"",COUNTBLANK(OFFSET(A$1,,,SUMPRODUCT(MAX(ROW(E$2:E1571)*(E1571=E$2:E1571)))))-COUNTBLANK(OFFSET(A$1,,,SUMPRODUCT(MAX(ROW(E$1:E1570)*(E2=E$1:E1570))))))</f>
        <v> </v>
      </c>
      <c r="K1571" s="25" t="str">
        <f>IF(OR(E1571="",E1571="!!!",F1571="NEW"),"",INDEX(J$1:J1570,SUMPRODUCT(MAX(ROW(E$1:E1570)*(E1571=E$1:E1570)))))</f>
        <v> </v>
      </c>
      <c r="L1571" s="26"/>
    </row>
    <row r="1572" spans="1:12">
      <c r="A1572" s="20" t="s">
        <v>325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281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282</v>
      </c>
      <c r="B1574" s="27" t="s">
        <v>332</v>
      </c>
      <c r="C1574" s="27" t="s">
        <v>245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246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/>
    </row>
    <row r="1577" spans="1:12">
      <c r="A1577" s="20" t="s">
        <v>784</v>
      </c>
    </row>
    <row r="1578" spans="1:12">
      <c r="A1578" s="20" t="s">
        <v>785</v>
      </c>
      <c r="E1578" s="21">
        <f>IF(D1578="?OLD","!!!","")</f>
        <v/>
      </c>
      <c r="F1578" s="22" t="str">
        <f>IF(OR(E1578="",E1578="!!!"),"",IF(NOT(ISNA(VLOOKUP(E1578,E$1:E1577,1,FALSE()))),"OLD",IF(AND(E1578&lt;&gt;"",E1578&lt;&gt;"!!!"),"NEW","")))</f>
        <v> </v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4" t="str">
        <f>IF(J1578&lt;&gt;1,"",IF(I1578="SBJ","CB","?"))</f>
        <v> </v>
      </c>
      <c r="I1578" s="25" t="str">
        <f>IF(OR(E1578="",E1578="!!!",F1578="NEW"),"",INDEX(B1577:B$2,-1+SUMPRODUCT(MAX(ROW(E1577:E$2)*(E1578=E1577:E$2)))))</f>
        <v> </v>
      </c>
      <c r="J1578" s="25" t="str">
        <f>IF(OR(E1578="",E1578="!!!",F1578="NEW"),"",COUNTBLANK(OFFSET(A$1,,,SUMPRODUCT(MAX(ROW(E$2:E1578)*(E1578=E$2:E1578)))))-COUNTBLANK(OFFSET(A$1,,,SUMPRODUCT(MAX(ROW(E$1:E1577)*(E2=E$1:E1577))))))</f>
        <v> </v>
      </c>
      <c r="K1578" s="25" t="str">
        <f>IF(OR(E1578="",E1578="!!!",F1578="NEW"),"",INDEX(J$1:J1577,SUMPRODUCT(MAX(ROW(E$1:E1577)*(E1578=E$1:E1577)))))</f>
        <v> </v>
      </c>
      <c r="L1578" s="26"/>
    </row>
    <row r="1579" spans="1:12">
      <c r="A1579" s="20" t="s">
        <v>249</v>
      </c>
      <c r="E1579" s="21">
        <f>IF(D1579="?OLD","!!!","")</f>
        <v/>
      </c>
      <c r="F1579" s="22" t="str">
        <f>IF(OR(E1579="",E1579="!!!"),"",IF(NOT(ISNA(VLOOKUP(E1579,E$1:E1578,1,FALSE()))),"OLD",IF(AND(E1579&lt;&gt;"",E1579&lt;&gt;"!!!"),"NEW","")))</f>
        <v> </v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4" t="str">
        <f>IF(J1579&lt;&gt;1,"",IF(I1579="SBJ","CB","?"))</f>
        <v> </v>
      </c>
      <c r="I1579" s="25" t="str">
        <f>IF(OR(E1579="",E1579="!!!",F1579="NEW"),"",INDEX(B1578:B$2,-1+SUMPRODUCT(MAX(ROW(E1578:E$2)*(E1579=E1578:E$2)))))</f>
        <v> </v>
      </c>
      <c r="J1579" s="25" t="str">
        <f>IF(OR(E1579="",E1579="!!!",F1579="NEW"),"",COUNTBLANK(OFFSET(A$1,,,SUMPRODUCT(MAX(ROW(E$2:E1579)*(E1579=E$2:E1579)))))-COUNTBLANK(OFFSET(A$1,,,SUMPRODUCT(MAX(ROW(E$1:E1578)*(E2=E$1:E1578))))))</f>
        <v> </v>
      </c>
      <c r="K1579" s="25" t="str">
        <f>IF(OR(E1579="",E1579="!!!",F1579="NEW"),"",INDEX(J$1:J1578,SUMPRODUCT(MAX(ROW(E$1:E1578)*(E1579=E$1:E1578)))))</f>
        <v> </v>
      </c>
      <c r="L1579" s="26"/>
    </row>
    <row r="1580" spans="1:12">
      <c r="A1580" s="20" t="s">
        <v>486</v>
      </c>
      <c r="B1580" s="27" t="s">
        <v>314</v>
      </c>
      <c r="C1580" s="27" t="s">
        <v>305</v>
      </c>
      <c r="D1580" s="27" t="s">
        <v>239</v>
      </c>
      <c r="E1580" s="21">
        <f>IF(D1580="?OLD","!!!","")</f>
        <v/>
      </c>
      <c r="F1580" s="22" t="str">
        <f>IF(OR(E1580="",E1580="!!!"),"",IF(NOT(ISNA(VLOOKUP(E1580,E$1:E1579,1,FALSE()))),"OLD",IF(AND(E1580&lt;&gt;"",E1580&lt;&gt;"!!!"),"NEW","")))</f>
        <v> </v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4" t="str">
        <f>IF(J1580&lt;&gt;1,"",IF(I1580="SBJ","CB","?"))</f>
        <v> </v>
      </c>
      <c r="I1580" s="25" t="str">
        <f>IF(OR(E1580="",E1580="!!!",F1580="NEW"),"",INDEX(B1579:B$2,-1+SUMPRODUCT(MAX(ROW(E1579:E$2)*(E1580=E1579:E$2)))))</f>
        <v> </v>
      </c>
      <c r="J1580" s="25" t="str">
        <f>IF(OR(E1580="",E1580="!!!",F1580="NEW"),"",COUNTBLANK(OFFSET(A$1,,,SUMPRODUCT(MAX(ROW(E$2:E1580)*(E1580=E$2:E1580)))))-COUNTBLANK(OFFSET(A$1,,,SUMPRODUCT(MAX(ROW(E$1:E1579)*(E2=E$1:E1579))))))</f>
        <v> </v>
      </c>
      <c r="K1580" s="25" t="str">
        <f>IF(OR(E1580="",E1580="!!!",F1580="NEW"),"",INDEX(J$1:J1579,SUMPRODUCT(MAX(ROW(E$1:E1579)*(E1580=E$1:E1579)))))</f>
        <v> </v>
      </c>
      <c r="L1580" s="26"/>
    </row>
    <row r="1581" spans="1:12">
      <c r="A1581" s="20" t="s">
        <v>341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252</v>
      </c>
      <c r="E1582" s="21">
        <f>IF(D1582="?OLD","!!!","")</f>
        <v/>
      </c>
      <c r="F1582" s="22" t="str">
        <f>IF(OR(E1582="",E1582="!!!"),"",IF(NOT(ISNA(VLOOKUP(E1582,E$1:E1581,1,FALSE()))),"OLD",IF(AND(E1582&lt;&gt;"",E1582&lt;&gt;"!!!"),"NEW","")))</f>
        <v> </v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4" t="str">
        <f>IF(J1582&lt;&gt;1,"",IF(I1582="SBJ","CB","?"))</f>
        <v> </v>
      </c>
      <c r="I1582" s="25" t="str">
        <f>IF(OR(E1582="",E1582="!!!",F1582="NEW"),"",INDEX(B1581:B$2,-1+SUMPRODUCT(MAX(ROW(E1581:E$2)*(E1582=E1581:E$2)))))</f>
        <v> </v>
      </c>
      <c r="J1582" s="25" t="str">
        <f>IF(OR(E1582="",E1582="!!!",F1582="NEW"),"",COUNTBLANK(OFFSET(A$1,,,SUMPRODUCT(MAX(ROW(E$2:E1582)*(E1582=E$2:E1582)))))-COUNTBLANK(OFFSET(A$1,,,SUMPRODUCT(MAX(ROW(E$1:E1581)*(E2=E$1:E1581))))))</f>
        <v> </v>
      </c>
      <c r="K1582" s="25" t="str">
        <f>IF(OR(E1582="",E1582="!!!",F1582="NEW"),"",INDEX(J$1:J1581,SUMPRODUCT(MAX(ROW(E$1:E1581)*(E1582=E$1:E1581)))))</f>
        <v> </v>
      </c>
      <c r="L1582" s="26"/>
    </row>
    <row r="1583" spans="1:12">
      <c r="A1583" s="20" t="s">
        <v>786</v>
      </c>
      <c r="B1583" s="27" t="s">
        <v>244</v>
      </c>
      <c r="C1583" s="27" t="s">
        <v>238</v>
      </c>
      <c r="D1583" s="27" t="s">
        <v>239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405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511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 t="s">
        <v>787</v>
      </c>
      <c r="E1586" s="21">
        <f>IF(D1586="?OLD","!!!","")</f>
        <v/>
      </c>
      <c r="F1586" s="22" t="str">
        <f>IF(OR(E1586="",E1586="!!!"),"",IF(NOT(ISNA(VLOOKUP(E1586,E$1:E1585,1,FALSE()))),"OLD",IF(AND(E1586&lt;&gt;"",E1586&lt;&gt;"!!!"),"NEW","")))</f>
        <v> </v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4" t="str">
        <f>IF(J1586&lt;&gt;1,"",IF(I1586="SBJ","CB","?"))</f>
        <v> </v>
      </c>
      <c r="I1586" s="25" t="str">
        <f>IF(OR(E1586="",E1586="!!!",F1586="NEW"),"",INDEX(B1585:B$2,-1+SUMPRODUCT(MAX(ROW(E1585:E$2)*(E1586=E1585:E$2)))))</f>
        <v> </v>
      </c>
      <c r="J1586" s="25" t="str">
        <f>IF(OR(E1586="",E1586="!!!",F1586="NEW"),"",COUNTBLANK(OFFSET(A$1,,,SUMPRODUCT(MAX(ROW(E$2:E1586)*(E1586=E$2:E1586)))))-COUNTBLANK(OFFSET(A$1,,,SUMPRODUCT(MAX(ROW(E$1:E1585)*(E2=E$1:E1585))))))</f>
        <v> </v>
      </c>
      <c r="K1586" s="25" t="str">
        <f>IF(OR(E1586="",E1586="!!!",F1586="NEW"),"",INDEX(J$1:J1585,SUMPRODUCT(MAX(ROW(E$1:E1585)*(E1586=E$1:E1585)))))</f>
        <v> </v>
      </c>
      <c r="L1586" s="26"/>
    </row>
    <row r="1587" spans="1:12">
      <c r="A1587" s="20" t="s">
        <v>246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/>
    </row>
    <row r="1589" spans="1:12">
      <c r="A1589" s="20" t="s">
        <v>788</v>
      </c>
    </row>
    <row r="1590" spans="1:12">
      <c r="A1590" s="20" t="s">
        <v>432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 t="s">
        <v>349</v>
      </c>
      <c r="E1591" s="21">
        <f>IF(D1591="?OLD","!!!","")</f>
        <v/>
      </c>
      <c r="F1591" s="22" t="str">
        <f>IF(OR(E1591="",E1591="!!!"),"",IF(NOT(ISNA(VLOOKUP(E1591,E$1:E1590,1,FALSE()))),"OLD",IF(AND(E1591&lt;&gt;"",E1591&lt;&gt;"!!!"),"NEW","")))</f>
        <v> </v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4" t="str">
        <f>IF(J1591&lt;&gt;1,"",IF(I1591="SBJ","CB","?"))</f>
        <v> </v>
      </c>
      <c r="I1591" s="25" t="str">
        <f>IF(OR(E1591="",E1591="!!!",F1591="NEW"),"",INDEX(B1590:B$2,-1+SUMPRODUCT(MAX(ROW(E1590:E$2)*(E1591=E1590:E$2)))))</f>
        <v> </v>
      </c>
      <c r="J1591" s="25" t="str">
        <f>IF(OR(E1591="",E1591="!!!",F1591="NEW"),"",COUNTBLANK(OFFSET(A$1,,,SUMPRODUCT(MAX(ROW(E$2:E1591)*(E1591=E$2:E1591)))))-COUNTBLANK(OFFSET(A$1,,,SUMPRODUCT(MAX(ROW(E$1:E1590)*(E2=E$1:E1590))))))</f>
        <v> </v>
      </c>
      <c r="K1591" s="25" t="str">
        <f>IF(OR(E1591="",E1591="!!!",F1591="NEW"),"",INDEX(J$1:J1590,SUMPRODUCT(MAX(ROW(E$1:E1590)*(E1591=E$1:E1590)))))</f>
        <v> </v>
      </c>
      <c r="L1591" s="26"/>
    </row>
    <row r="1592" spans="1:12">
      <c r="A1592" s="20" t="s">
        <v>303</v>
      </c>
      <c r="B1592" s="27" t="s">
        <v>244</v>
      </c>
      <c r="C1592" s="27" t="s">
        <v>305</v>
      </c>
      <c r="D1592" s="27" t="s">
        <v>239</v>
      </c>
      <c r="E1592" s="21">
        <f>IF(D1592="?OLD","!!!","")</f>
        <v/>
      </c>
      <c r="F1592" s="22" t="str">
        <f>IF(OR(E1592="",E1592="!!!"),"",IF(NOT(ISNA(VLOOKUP(E1592,E$1:E1591,1,FALSE()))),"OLD",IF(AND(E1592&lt;&gt;"",E1592&lt;&gt;"!!!"),"NEW","")))</f>
        <v> </v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4" t="str">
        <f>IF(J1592&lt;&gt;1,"",IF(I1592="SBJ","CB","?"))</f>
        <v> </v>
      </c>
      <c r="I1592" s="25" t="str">
        <f>IF(OR(E1592="",E1592="!!!",F1592="NEW"),"",INDEX(B1591:B$2,-1+SUMPRODUCT(MAX(ROW(E1591:E$2)*(E1592=E1591:E$2)))))</f>
        <v> </v>
      </c>
      <c r="J1592" s="25" t="str">
        <f>IF(OR(E1592="",E1592="!!!",F1592="NEW"),"",COUNTBLANK(OFFSET(A$1,,,SUMPRODUCT(MAX(ROW(E$2:E1592)*(E1592=E$2:E1592)))))-COUNTBLANK(OFFSET(A$1,,,SUMPRODUCT(MAX(ROW(E$1:E1591)*(E2=E$1:E1591))))))</f>
        <v> </v>
      </c>
      <c r="K1592" s="25" t="str">
        <f>IF(OR(E1592="",E1592="!!!",F1592="NEW"),"",INDEX(J$1:J1591,SUMPRODUCT(MAX(ROW(E$1:E1591)*(E1592=E$1:E1591)))))</f>
        <v> </v>
      </c>
      <c r="L1592" s="26"/>
    </row>
    <row r="1593" spans="1:12">
      <c r="A1593" s="20" t="s">
        <v>249</v>
      </c>
      <c r="B1593" s="27" t="s">
        <v>314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789</v>
      </c>
      <c r="B1594" s="27" t="s">
        <v>259</v>
      </c>
      <c r="C1594" s="27" t="s">
        <v>279</v>
      </c>
      <c r="D1594" s="27" t="s">
        <v>239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790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 t="s">
        <v>252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528</v>
      </c>
      <c r="B1597" s="27" t="s">
        <v>259</v>
      </c>
      <c r="C1597" s="27" t="s">
        <v>305</v>
      </c>
      <c r="D1597" s="27" t="s">
        <v>239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 t="s">
        <v>250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396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509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 t="s">
        <v>249</v>
      </c>
      <c r="E1601" s="21">
        <f>IF(D1601="?OLD","!!!","")</f>
        <v/>
      </c>
      <c r="F1601" s="22" t="str">
        <f>IF(OR(E1601="",E1601="!!!"),"",IF(NOT(ISNA(VLOOKUP(E1601,E$1:E1600,1,FALSE()))),"OLD",IF(AND(E1601&lt;&gt;"",E1601&lt;&gt;"!!!"),"NEW","")))</f>
        <v> </v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4" t="str">
        <f>IF(J1601&lt;&gt;1,"",IF(I1601="SBJ","CB","?"))</f>
        <v> </v>
      </c>
      <c r="I1601" s="25" t="str">
        <f>IF(OR(E1601="",E1601="!!!",F1601="NEW"),"",INDEX(B1600:B$2,-1+SUMPRODUCT(MAX(ROW(E1600:E$2)*(E1601=E1600:E$2)))))</f>
        <v> </v>
      </c>
      <c r="J1601" s="25" t="str">
        <f>IF(OR(E1601="",E1601="!!!",F1601="NEW"),"",COUNTBLANK(OFFSET(A$1,,,SUMPRODUCT(MAX(ROW(E$2:E1601)*(E1601=E$2:E1601)))))-COUNTBLANK(OFFSET(A$1,,,SUMPRODUCT(MAX(ROW(E$1:E1600)*(E2=E$1:E1600))))))</f>
        <v> </v>
      </c>
      <c r="K1601" s="25" t="str">
        <f>IF(OR(E1601="",E1601="!!!",F1601="NEW"),"",INDEX(J$1:J1600,SUMPRODUCT(MAX(ROW(E$1:E1600)*(E1601=E$1:E1600)))))</f>
        <v> </v>
      </c>
      <c r="L1601" s="26"/>
    </row>
    <row r="1602" spans="1:12">
      <c r="A1602" s="20" t="s">
        <v>791</v>
      </c>
      <c r="E1602" s="21">
        <f>IF(D1602="?OLD","!!!","")</f>
        <v/>
      </c>
      <c r="F1602" s="22" t="str">
        <f>IF(OR(E1602="",E1602="!!!"),"",IF(NOT(ISNA(VLOOKUP(E1602,E$1:E1601,1,FALSE()))),"OLD",IF(AND(E1602&lt;&gt;"",E1602&lt;&gt;"!!!"),"NEW","")))</f>
        <v> </v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4" t="str">
        <f>IF(J1602&lt;&gt;1,"",IF(I1602="SBJ","CB","?"))</f>
        <v> </v>
      </c>
      <c r="I1602" s="25" t="str">
        <f>IF(OR(E1602="",E1602="!!!",F1602="NEW"),"",INDEX(B1601:B$2,-1+SUMPRODUCT(MAX(ROW(E1601:E$2)*(E1602=E1601:E$2)))))</f>
        <v> </v>
      </c>
      <c r="J1602" s="25" t="str">
        <f>IF(OR(E1602="",E1602="!!!",F1602="NEW"),"",COUNTBLANK(OFFSET(A$1,,,SUMPRODUCT(MAX(ROW(E$2:E1602)*(E1602=E$2:E1602)))))-COUNTBLANK(OFFSET(A$1,,,SUMPRODUCT(MAX(ROW(E$1:E1601)*(E2=E$1:E1601))))))</f>
        <v> </v>
      </c>
      <c r="K1602" s="25" t="str">
        <f>IF(OR(E1602="",E1602="!!!",F1602="NEW"),"",INDEX(J$1:J1601,SUMPRODUCT(MAX(ROW(E$1:E1601)*(E1602=E$1:E1601)))))</f>
        <v> </v>
      </c>
      <c r="L1602" s="26"/>
    </row>
    <row r="1603" spans="1:12">
      <c r="A1603" s="20" t="s">
        <v>792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289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793</v>
      </c>
      <c r="B1605" s="27" t="s">
        <v>357</v>
      </c>
      <c r="C1605" s="27" t="s">
        <v>238</v>
      </c>
      <c r="D1605" s="27" t="s">
        <v>239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246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/>
    </row>
    <row r="1608" spans="1:12">
      <c r="A1608" s="20" t="s">
        <v>794</v>
      </c>
    </row>
    <row r="1609" spans="1:12">
      <c r="A1609" s="20" t="s">
        <v>795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 t="s">
        <v>792</v>
      </c>
      <c r="E1610" s="21">
        <f>IF(D1610="?OLD","!!!","")</f>
        <v/>
      </c>
      <c r="F1610" s="22" t="str">
        <f>IF(OR(E1610="",E1610="!!!"),"",IF(NOT(ISNA(VLOOKUP(E1610,E$1:E1609,1,FALSE()))),"OLD",IF(AND(E1610&lt;&gt;"",E1610&lt;&gt;"!!!"),"NEW","")))</f>
        <v> </v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4" t="str">
        <f>IF(J1610&lt;&gt;1,"",IF(I1610="SBJ","CB","?"))</f>
        <v> </v>
      </c>
      <c r="I1610" s="25" t="str">
        <f>IF(OR(E1610="",E1610="!!!",F1610="NEW"),"",INDEX(B1609:B$2,-1+SUMPRODUCT(MAX(ROW(E1609:E$2)*(E1610=E1609:E$2)))))</f>
        <v> </v>
      </c>
      <c r="J1610" s="25" t="str">
        <f>IF(OR(E1610="",E1610="!!!",F1610="NEW"),"",COUNTBLANK(OFFSET(A$1,,,SUMPRODUCT(MAX(ROW(E$2:E1610)*(E1610=E$2:E1610)))))-COUNTBLANK(OFFSET(A$1,,,SUMPRODUCT(MAX(ROW(E$1:E1609)*(E2=E$1:E1609))))))</f>
        <v> </v>
      </c>
      <c r="K1610" s="25" t="str">
        <f>IF(OR(E1610="",E1610="!!!",F1610="NEW"),"",INDEX(J$1:J1609,SUMPRODUCT(MAX(ROW(E$1:E1609)*(E1610=E$1:E1609)))))</f>
        <v> </v>
      </c>
      <c r="L1610" s="26"/>
    </row>
    <row r="1611" spans="1:12">
      <c r="A1611" s="20" t="s">
        <v>796</v>
      </c>
      <c r="B1611" s="27" t="s">
        <v>259</v>
      </c>
      <c r="C1611" s="27" t="s">
        <v>391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 t="s">
        <v>353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797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 t="s">
        <v>246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/>
    </row>
    <row r="1616" spans="1:12">
      <c r="A1616" s="20" t="s">
        <v>687</v>
      </c>
    </row>
    <row r="1617" spans="1:12">
      <c r="A1617" s="20" t="s">
        <v>688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246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2025-07-15T17:23:30Z</dcterms:created>
  <dcterms:modified xsi:type="dcterms:W3CDTF">2025-07-15T17:23:30Z</dcterms:modified>
</cp:coreProperties>
</file>