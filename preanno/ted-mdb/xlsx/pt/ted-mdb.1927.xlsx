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<sst xmlns="http://schemas.openxmlformats.org/spreadsheetml/2006/main" count="5250" uniqueCount="1177">
  <si>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</si>
  <si>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</si>
  <si>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</si>
  <si>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</si>
  <si>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</si>
  <si>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</si>
  <si>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</si>
  <si>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</si>
  <si>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</si>
  <si>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</si>
  <si>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</si>
  <si>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</si>
  <si>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O mundo está a mudar de formas muito profundas .</t>
  </si>
  <si>
    <t>2</t>
  </si>
  <si>
    <t>(e)</t>
  </si>
  <si>
    <t>Preocupa -me que os investidores não estejam a prestar suficiente atenção a algumas de_ as principais forças de mudança , especialmente no que se refere à sustentabilidade .</t>
  </si>
  <si>
    <t>Expansion.Level-of-detail.Arg2-as-detail</t>
  </si>
  <si>
    <t>specific</t>
  </si>
  <si>
    <t>(orig: Expansion.Level-of-detail.Arg2-as-detail)</t>
  </si>
  <si>
    <t>3</t>
  </si>
  <si>
    <t>Por sustentabilidade , quero dizer as coisas que realmente interessam , tais como questões ambientais e sociais e a liderança de_ as corporações .</t>
  </si>
  <si>
    <t>4</t>
  </si>
  <si>
    <t>(de facto)</t>
  </si>
  <si>
    <t>Eu acho uma imprudência ignorar estas coisas , porque , a_ o fazê# -lo , podemos comprometer retornos a longo prazo no futuro .</t>
  </si>
  <si>
    <t>5</t>
  </si>
  <si>
    <t>Esta é uma coisa que vos pode surpreender</t>
  </si>
  <si>
    <t>6</t>
  </si>
  <si>
    <t>: o equilíbrio de_ o poder para influenciar a sustentabilidade está nas mãos de_ os investidores institucionais , os grandes investidores tais como os fundos de pensão , as fundações e as dotações .</t>
  </si>
  <si>
    <t>Expansion.Conjunction</t>
  </si>
  <si>
    <t>Conjunction</t>
  </si>
  <si>
    <t>(orig: Expansion.Conjunction)</t>
  </si>
  <si>
    <t>7</t>
  </si>
  <si>
    <t>Acredito que um investimento sustentável é menos complicado de_ o que vocês pensam , com melhor desempenho de_ o que julgam e , mais importante ainda , de_ o que podemos imaginar .</t>
  </si>
  <si>
    <t>8</t>
  </si>
  <si>
    <t>Lembro -vos o que já sabemos .</t>
  </si>
  <si>
    <t>9</t>
  </si>
  <si>
    <t>(assim)</t>
  </si>
  <si>
    <t>Temos uma população que está a crescer e a envelhecer ; temos hoje sete mil milhões de almas a caminho de_ os 10 mil milhões até a_ o final de_ o século ; consumimos recursos naturais mais depressa de_ o que eles podem ser repostos</t>
  </si>
  <si>
    <t>10</t>
  </si>
  <si>
    <t>; e as emissões , que são as principais responsáveis pela alteração climática , continuam a aumentar .</t>
  </si>
  <si>
    <t>11</t>
  </si>
  <si>
    <t>(isto é)</t>
  </si>
  <si>
    <t>Claramente , estas são questões ambientais e sociais , mas isto não é tudo .</t>
  </si>
  <si>
    <t>Expansion.Level-of-detail.Arg1-as-detail</t>
  </si>
  <si>
    <t>broad</t>
  </si>
  <si>
    <t>(orig: Expansion.Level-of-detail.Arg1-as-detail)</t>
  </si>
  <si>
    <t>12</t>
  </si>
  <si>
    <t>(além disso)</t>
  </si>
  <si>
    <t>Estas são questões económicas , e isso torna -as relevantes quanto a_ o risco e a_ o retorno .</t>
  </si>
  <si>
    <t>13</t>
  </si>
  <si>
    <t>São realmente complexas e podem parecer muito distantes .</t>
  </si>
  <si>
    <t>14</t>
  </si>
  <si>
    <t>(consequentemente)</t>
  </si>
  <si>
    <t>A tentação pode ser fazer isto : enterrar a cabeça na areia e não pensar mais em_ isso .</t>
  </si>
  <si>
    <t>Contingency.Cause.Result</t>
  </si>
  <si>
    <t>result</t>
  </si>
  <si>
    <t>(orig: Contingency.Cause.Result)</t>
  </si>
  <si>
    <t>15</t>
  </si>
  <si>
    <t>(no entanto)</t>
  </si>
  <si>
    <t>Resistam , se puderem .</t>
  </si>
  <si>
    <t>Comparison.Contrast</t>
  </si>
  <si>
    <t>Contrast</t>
  </si>
  <si>
    <t>(orig: Comparison.Contrast)</t>
  </si>
  <si>
    <t>16</t>
  </si>
  <si>
    <t>Não façam isso lá em casa . ( Risos )</t>
  </si>
  <si>
    <t>17</t>
  </si>
  <si>
    <t>Mas isso faz</t>
  </si>
  <si>
    <t>18</t>
  </si>
  <si>
    <t>-me pensar se as atuais regras de investimento são adequadas a_ os objetivos de amanhã .</t>
  </si>
  <si>
    <t>19</t>
  </si>
  <si>
    <t>(por exemplo)</t>
  </si>
  <si>
    <t>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</si>
  <si>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Expansion.Instantiation</t>
  </si>
  <si>
    <t>instance</t>
  </si>
  <si>
    <t>(orig: Expansion.Instantiation)</t>
  </si>
  <si>
    <t>20</t>
  </si>
  <si>
    <t>Estas coisas são fundamentais , obviamente , mas não são suficientes .</t>
  </si>
  <si>
    <t>21</t>
  </si>
  <si>
    <t>(pois)</t>
  </si>
  <si>
    <t>Os investidores deviam olhar para a análise de_ o desempenho em_ aquilo a que chamamos ASG : Ambiente , Social e Governação .</t>
  </si>
  <si>
    <t>Contingency.Cause+Belief.Reason+Belief</t>
  </si>
  <si>
    <t>causal|reason</t>
  </si>
  <si>
    <t>(orig: Contingency.Cause+Belief.Reason+Belief)</t>
  </si>
  <si>
    <t>22</t>
  </si>
  <si>
    <t>Ambiente inclui consumo de energia , disponibilidade de água , lixo e poluição .</t>
  </si>
  <si>
    <t>23</t>
  </si>
  <si>
    <t>Trata de_ o uso eficaz de_ os recursos .</t>
  </si>
  <si>
    <t>24</t>
  </si>
  <si>
    <t>(além do mais)</t>
  </si>
  <si>
    <t>O social inclui o capital humano , coisas como o envolvimento de_ os empregados e capacidade de inovação , assim como a gestão de_ a cadeia de fornecimento , direitos de_ os trabalhadores e direitos humanos .</t>
  </si>
  <si>
    <t>25</t>
  </si>
  <si>
    <t>Governação refere -se à supervisão de_ as empresas através de_ os conselhos e de_ os investidores .</t>
  </si>
  <si>
    <t>26</t>
  </si>
  <si>
    <t>(por conseguinte)</t>
  </si>
  <si>
    <t>Eu disse que isto é o que realmente interessa .</t>
  </si>
  <si>
    <t>Contingency.Cause+SpeechAct.Result+SpeechAct</t>
  </si>
  <si>
    <t>causal|result</t>
  </si>
  <si>
    <t>(orig: Contingency.Cause+SpeechAct.Result+SpeechAct)</t>
  </si>
  <si>
    <t>27</t>
  </si>
  <si>
    <t>Mas o ASG é a medida de_ a sustentabilidade , e o investimento sustentável incorpora os fatores ASG com os fatores financeiros no processo de investimento .</t>
  </si>
  <si>
    <t>Comparison.Concession.Arg2-as-denier</t>
  </si>
  <si>
    <t>contra-expectation</t>
  </si>
  <si>
    <t>(orig: Comparison.Concession.Arg2-as-denier)</t>
  </si>
  <si>
    <t>28</t>
  </si>
  <si>
    <t>Isso significa limitar o risco futuro minimizando os danos às pessoas e a_ o planeta .</t>
  </si>
  <si>
    <t>Expansion.Equivalence</t>
  </si>
  <si>
    <t>Restatement</t>
  </si>
  <si>
    <t>(orig: Expansion.Equivalence)</t>
  </si>
  <si>
    <t>29</t>
  </si>
  <si>
    <t>Isso significa providenciar capital a_ os utilizadores que o aplicam para a obtenção de resultados produtivos e sustentáveis .</t>
  </si>
  <si>
    <t>30</t>
  </si>
  <si>
    <t>Se a sustentabilidade hoje tem importância financeira , — e tudo indica que amanhã ainda será mais importante — será que o setor privado está a prestar atenção ?</t>
  </si>
  <si>
    <t>31</t>
  </si>
  <si>
    <t>Hypophora</t>
  </si>
  <si>
    <t>Pelo menos , a maioria de_ os administradores está .</t>
  </si>
  <si>
    <t>32</t>
  </si>
  <si>
    <t>(especificamente)</t>
  </si>
  <si>
    <t>Eles começaram a ver a sustentabilidade não só como uma coisa importante , mas como crucial para o êxito de_ o negócio .</t>
  </si>
  <si>
    <t>33</t>
  </si>
  <si>
    <t>Cerca de 80 % de_ os administradores veem a sustentabilidade como a base para o crescimento na inovação e para alcançar vantagens competitivas nos seus setores industriais .</t>
  </si>
  <si>
    <t>34</t>
  </si>
  <si>
    <t>Mas 93 % consideram o ASG como o futuro , ou igualmente importante para o futuro de_ os seus negócios .</t>
  </si>
  <si>
    <t>35</t>
  </si>
  <si>
    <t>Assim , a visão de_ os administradores é clara .</t>
  </si>
  <si>
    <t>Contingency.Cause+Belief.Result+Belief</t>
  </si>
  <si>
    <t>(orig: Contingency.Cause+Belief.Result+Belief)</t>
  </si>
  <si>
    <t>36</t>
  </si>
  <si>
    <t>Existe uma tremenda oportunidade na sustentabilidade .</t>
  </si>
  <si>
    <t>37</t>
  </si>
  <si>
    <t>Então , como é que as empresas estão a promover o ASG para alcançarem resultados sólidos ?</t>
  </si>
  <si>
    <t>38</t>
  </si>
  <si>
    <t>Temos um exemplo bem perto que nos é muito querido .</t>
  </si>
  <si>
    <t>39</t>
  </si>
  <si>
    <t>Em 2012 , o State Street migrou 54 aplicações para o ambiente de_ a nuvem , e retirámos outras 85 .</t>
  </si>
  <si>
    <t>40</t>
  </si>
  <si>
    <t>Virtualizámos os ambientes de_ os nossos sistemas operativos e completámos numerosos projetos de automação .</t>
  </si>
  <si>
    <t>41</t>
  </si>
  <si>
    <t>Estas iniciativas criam um ambiente de trabalho mais móvel e reduzem a nossa pegada imobiliária .</t>
  </si>
  <si>
    <t>42</t>
  </si>
  <si>
    <t>Permitem uma economia em custos operacionais na ordem de 23 milhões de dólares anuais e evitam emissões de 100 mil toneladas métricas de carbono .</t>
  </si>
  <si>
    <t>43</t>
  </si>
  <si>
    <t>Isto equivale a retirar de_ as ruas 21 mil carros .</t>
  </si>
  <si>
    <t>44</t>
  </si>
  <si>
    <t>(portanto)</t>
  </si>
  <si>
    <t>É muito bom , não é ?</t>
  </si>
  <si>
    <t>45</t>
  </si>
  <si>
    <t>Outro exemplo é a Pentair .</t>
  </si>
  <si>
    <t>46</t>
  </si>
  <si>
    <t>A Pentair é um conglomerado industrial de_ os EUA .</t>
  </si>
  <si>
    <t>47</t>
  </si>
  <si>
    <t>Há cerca de uma década , venderam o seu principal negócio de ferramentas elétricas e reinvestiram o que apuraram no negócio de_ a água .</t>
  </si>
  <si>
    <t>48</t>
  </si>
  <si>
    <t>Foi uma aposta muito grande .</t>
  </si>
  <si>
    <t>49</t>
  </si>
  <si>
    <t>Porque é que fizeram isso ?</t>
  </si>
  <si>
    <t>50</t>
  </si>
  <si>
    <t>Contingency.Cause.Reason</t>
  </si>
  <si>
    <t>reason</t>
  </si>
  <si>
    <t>(orig: Contingency.Cause.Reason)</t>
  </si>
  <si>
    <t>Desculpem -me os fãs de_ a Reforma de Habitações , mas há um crescimento maior em água de_ o que em ferramentas elétricas , e esta companhia tem a visão direcionada para o que eles chamam de " o novo Novo Mundo " .</t>
  </si>
  <si>
    <t>51</t>
  </si>
  <si>
    <t>(porque)</t>
  </si>
  <si>
    <t>São quatro mil milhões de pessoas de_ a classe média que precisam de comida , de energia e de água .</t>
  </si>
  <si>
    <t>52</t>
  </si>
  <si>
    <t>Vocês podem estar a perguntar -se : " Estes casos são casos isolados ? " Quero dizer , vamos lá .</t>
  </si>
  <si>
    <t>53</t>
  </si>
  <si>
    <t>A sério ?</t>
  </si>
  <si>
    <t>54</t>
  </si>
  <si>
    <t>As companhias que praticam a sustentabilidade estão mesmo bem financeiramente ?</t>
  </si>
  <si>
    <t>55</t>
  </si>
  <si>
    <t>A resposta pode surpreender -vos , mas é : " Estão , sim " .</t>
  </si>
  <si>
    <t>56</t>
  </si>
  <si>
    <t>Os dados mostram que as ações com melhores resultados de ASG vão tão bem como as outras .</t>
  </si>
  <si>
    <t>57</t>
  </si>
  <si>
    <t>A azul , vemos o MSCI World .</t>
  </si>
  <si>
    <t>58</t>
  </si>
  <si>
    <t>É um índice de grandes companhias de mercados desenvolvidos em todo o mundo .</t>
  </si>
  <si>
    <t>59</t>
  </si>
  <si>
    <t>A dourado , vemos um subgrupo de companhias avaliadas como tendo os melhores desempenhos ASG .</t>
  </si>
  <si>
    <t>60</t>
  </si>
  <si>
    <t>(em suma)</t>
  </si>
  <si>
    <t>Em mais de 3 anos não houve perda de desempenho .</t>
  </si>
  <si>
    <t>61</t>
  </si>
  <si>
    <t>Tudo bem , certo ?</t>
  </si>
  <si>
    <t>62</t>
  </si>
  <si>
    <t>Mas nós queremos mais .</t>
  </si>
  <si>
    <t>63</t>
  </si>
  <si>
    <t>Eu quero mais . em_ alguns casos , pode haver um desempenho superior de ASG .</t>
  </si>
  <si>
    <t>64</t>
  </si>
  <si>
    <t>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</si>
  <si>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65</t>
  </si>
  <si>
    <t>Tudo bem , isto é uma correlação .</t>
  </si>
  <si>
    <t>66</t>
  </si>
  <si>
    <t>Não é causalidade .</t>
  </si>
  <si>
    <t>Expansion.Substitution.Arg1-as-subst</t>
  </si>
  <si>
    <t>disfavoured</t>
  </si>
  <si>
    <t>(orig: Expansion.Substitution.Arg1-as-subst)</t>
  </si>
  <si>
    <t>67</t>
  </si>
  <si>
    <t>Mas ilustra que a liderança em ambientalismo é compatível com bons retornos .</t>
  </si>
  <si>
    <t>68</t>
  </si>
  <si>
    <t>(será que)</t>
  </si>
  <si>
    <t>Então , se o retorno é o mesmo ou melhor e o planeta beneficia , isto não devia ser a regra ?</t>
  </si>
  <si>
    <t>69</t>
  </si>
  <si>
    <t>Os investidores , em especial os investidores institucionais estão empenhados ? Bem , alguns estão e alguns de_ eles estão realmente na vanguarda .</t>
  </si>
  <si>
    <t>70</t>
  </si>
  <si>
    <t>A Hesta .</t>
  </si>
  <si>
    <t>71</t>
  </si>
  <si>
    <t>A Hesta é um fundo de pensões de_ os empregados de_ os serviços de saúde e comunitários na Austrália , com ativos de 22 mil milhões de dólares .</t>
  </si>
  <si>
    <t>72</t>
  </si>
  <si>
    <t>Eles acreditam que o ASG tem o potencial de criar impacto em riscos e receitas , assim , incorporar o ASG no processo de investimento é fundamental a_ o seu dever de agir no melhor interesse de_ os membros de_ o fundo , é fundamental a_ o seu dever .</t>
  </si>
  <si>
    <t>73</t>
  </si>
  <si>
    <t>(por isso)</t>
  </si>
  <si>
    <t>Temos que gostar de_ os australianos , não é ?</t>
  </si>
  <si>
    <t>74</t>
  </si>
  <si>
    <t>A CaIPERS é outro exemplo .</t>
  </si>
  <si>
    <t>75</t>
  </si>
  <si>
    <t>A CalPERS é um fundo de pensões para funcionários públicos na Califórnia .</t>
  </si>
  <si>
    <t>76</t>
  </si>
  <si>
    <t>Com ativos de 244 mil milhões de dólares</t>
  </si>
  <si>
    <t>77</t>
  </si>
  <si>
    <t>, são o segundo maior de_ os EUA e o sexto maior de_ o mundo .</t>
  </si>
  <si>
    <t>78</t>
  </si>
  <si>
    <t>Agora , estão a passar para investimentos 100 % sustentáveis integrando sistematicamente o ASG em todo o fundo .</t>
  </si>
  <si>
    <t>79</t>
  </si>
  <si>
    <t>Porquê ?</t>
  </si>
  <si>
    <t>80</t>
  </si>
  <si>
    <t>Eles acreditam que é fundamental apoiar rendimentos de longo prazo sustentáveis , ponto final .</t>
  </si>
  <si>
    <t>81</t>
  </si>
  <si>
    <t>Nas palavras de_ eles , " a criação de valor de longo prazo requer a gestão eficaz " de_ as três formas de capital : financeiro , humano e físico . " Esta é a razão por que nos preocupamos com o ASG . " Eu falo com muitos investidores — faz parte de_ o meu trabalho — e nem todos eles encaram isto de_ esta maneira .</t>
  </si>
  <si>
    <t>82</t>
  </si>
  <si>
    <t>(pelo contrário)</t>
  </si>
  <si>
    <t>Ouço -os dizer muitas vezes : " Pedem -nos para maximizar as receitas , " portanto , não fazemos isso aqui " , ou : " Nós não queremos usar o portfólio " para fazer declarações políticas . " O que realmente me irrita é : " Se quiserem fazer alguma coisa quanto a isso , " ganhem dinheiro e deem os lucros para obras de caridade . " É de bradar a_ os céus !</t>
  </si>
  <si>
    <t>Expansion.Substitution.Arg2-as-subst</t>
  </si>
  <si>
    <t>favoured</t>
  </si>
  <si>
    <t>(orig: Expansion.Substitution.Arg2-as-subst)</t>
  </si>
  <si>
    <t>83</t>
  </si>
  <si>
    <t>Quero dizer , deixem -me esclarecer uma coisa .</t>
  </si>
  <si>
    <t>84</t>
  </si>
  <si>
    <t>As companhias e os investidores não são os únicos responsáveis pelo destino de_ o planeta .</t>
  </si>
  <si>
    <t>85</t>
  </si>
  <si>
    <t>Eles não tem obrigações sociais ilimitadas .</t>
  </si>
  <si>
    <t>86</t>
  </si>
  <si>
    <t>O investimento cauteloso e a teoria financeira não estão subordinados à sustentabilidade .</t>
  </si>
  <si>
    <t>87</t>
  </si>
  <si>
    <t>São compatíveis .</t>
  </si>
  <si>
    <t>88</t>
  </si>
  <si>
    <t>Portanto , não estou a falar apenas de compensações .</t>
  </si>
  <si>
    <t>89</t>
  </si>
  <si>
    <t>Mas os investidores institucionais são a peça chave para a sustentabilidade .</t>
  </si>
  <si>
    <t>90</t>
  </si>
  <si>
    <t>Porque é que eles têm a chave ?</t>
  </si>
  <si>
    <t>91</t>
  </si>
  <si>
    <t>A resposta é que eles têm o dinheiro . ( Risos )</t>
  </si>
  <si>
    <t>92</t>
  </si>
  <si>
    <t>Muito dinheiro .</t>
  </si>
  <si>
    <t>93</t>
  </si>
  <si>
    <t>Quero dizer , muito dinheiro mesmo .</t>
  </si>
  <si>
    <t>94</t>
  </si>
  <si>
    <t>O mercado global de ações vale 55 biliões de dólares .</t>
  </si>
  <si>
    <t>95</t>
  </si>
  <si>
    <t>(portanto)+(e)</t>
  </si>
  <si>
    <t>O mercado global de títulos , 78 biliões . Combinados , são 133 biliões .</t>
  </si>
  <si>
    <t>Contingency.Cause.Result|Expansion.Conjunction</t>
  </si>
  <si>
    <t>Conjunction|result</t>
  </si>
  <si>
    <t>(orig: Contingency.Cause.Result|Expansion.Conjunction)</t>
  </si>
  <si>
    <t>96</t>
  </si>
  <si>
    <t>(em comparação)</t>
  </si>
  <si>
    <t>São oito vezes e meia o PIB de_ os EUA .</t>
  </si>
  <si>
    <t>Comparison.Similarity</t>
  </si>
  <si>
    <t>Similarity</t>
  </si>
  <si>
    <t>(orig: Comparison.Similarity)</t>
  </si>
  <si>
    <t>97</t>
  </si>
  <si>
    <t>É a maior economia de_ o mundo .</t>
  </si>
  <si>
    <t>98</t>
  </si>
  <si>
    <t>É um poder de fogo excecional .</t>
  </si>
  <si>
    <t>99</t>
  </si>
  <si>
    <t>Assim , podemos reconsiderar alguns desses desafios prementes , como a água fresca , o ar puro , dar de comer a 10 mil milhões de bocas , se os investidores institucionais integrarem o ASG nos seus investimentos .</t>
  </si>
  <si>
    <t>100</t>
  </si>
  <si>
    <t>Que tal , se usassem todo esse poder de fogo para colocar mais de_ o seu capital em companhias que dão o seu melhor para resolver este desafios ou , pelo menos , não os agravar ?</t>
  </si>
  <si>
    <t>101</t>
  </si>
  <si>
    <t>E se trabalharmos , pouparmos e investirmos só para descobrir que o mundo onde nos aposentamos é mais cansativo e menos seguro de_ o que é agora ?</t>
  </si>
  <si>
    <t>102</t>
  </si>
  <si>
    <t>E se não houver ar limpo ou água pura ?</t>
  </si>
  <si>
    <t>103</t>
  </si>
  <si>
    <t>Uma pergunta justa seria :</t>
  </si>
  <si>
    <t>104</t>
  </si>
  <si>
    <t>E se toda essa coisa de risco de sustentabilidade for um exagero , superestimado , que não é urgente , uma coisa para consumidores virtuosos ou uma opção de estilo de vida ?</t>
  </si>
  <si>
    <t>106</t>
  </si>
  <si>
    <t>Comparison.Concession.Arg1-as-denier</t>
  </si>
  <si>
    <t>expectation-raiser</t>
  </si>
  <si>
    <t>(orig: Comparison.Concession.Arg1-as-denier)</t>
  </si>
  <si>
    <t>105</t>
  </si>
  <si>
    <t>Bem , o presidente John F .</t>
  </si>
  <si>
    <t>Kennedy disse uma coisa sobre isso que acerta no alvo : " Há riscos e custos em_ um programa de ação , " mas eles são bem menores de_ o que os riscos a longo prazo " de_ a inação confortável " .</t>
  </si>
  <si>
    <t>107</t>
  </si>
  <si>
    <t>Reconheço que há em_ isso um risco calculado .</t>
  </si>
  <si>
    <t>108</t>
  </si>
  <si>
    <t>Mas como tem por base um amplo consenso científico , as hipóteses de que não esteja completamente errado são melhores de_ o que a hipótese de a nossa casa arder totalmente ou de termos um acidente de carro .</t>
  </si>
  <si>
    <t>109</t>
  </si>
  <si>
    <t>Isso , se não morarmos em Boston . ( Risos )</t>
  </si>
  <si>
    <t>110</t>
  </si>
  <si>
    <t>Mas a minha questão é que compramos um seguro para nos protegermos financeiramente no caso de essas coisas acontecerem , não é ?</t>
  </si>
  <si>
    <t>111</t>
  </si>
  <si>
    <t>Quando investimos na sustentabilidade estamos a fazer duas coisas .</t>
  </si>
  <si>
    <t>112</t>
  </si>
  <si>
    <t>Estamos a criar uma cobertura , reduzindo o risco para o nosso planeta e para a nossa economia e , a_ o mesmo tempo , a curto prazo , não estamos a sacrificar o nosso desempenho . [ " E se tudo isso for um embuste e criamos um mundo melhor para nada ?</t>
  </si>
  <si>
    <t>113</t>
  </si>
  <si>
    <t>" ] Ótimo , vocês gostaram .</t>
  </si>
  <si>
    <t>114</t>
  </si>
  <si>
    <t>Eu também gosto . ( Risos )</t>
  </si>
  <si>
    <t>115</t>
  </si>
  <si>
    <t>Eu gosto porque faz troça de_ os dois lados de_ a questão de_ a alteração climática .</t>
  </si>
  <si>
    <t>116</t>
  </si>
  <si>
    <t>Aposto que não adivinham de que lado estou .</t>
  </si>
  <si>
    <t>117</t>
  </si>
  <si>
    <t>Mas o que eu gosto em_ isto é que me lembra uma coisa que Mark Twain disse : " Planeia para o futuro , " porque é onde vais passar o resto de_ a tua vida . " Obrigado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</si>
  <si>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</si>
  <si>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</si>
  <si>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</si>
  <si>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</si>
  <si>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</si>
  <si>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</si>
  <si>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</si>
  <si>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</si>
  <si>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</si>
  <si>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</si>
  <si>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</si>
  <si>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O mundo está a mudar de formas muito profundas .</t>
  </si>
  <si>
    <t>mundo</t>
  </si>
  <si>
    <t>SBJ_2</t>
  </si>
  <si>
    <t>def-np.the</t>
  </si>
  <si>
    <t>?OLD</t>
  </si>
  <si>
    <t>está</t>
  </si>
  <si>
    <t>a</t>
  </si>
  <si>
    <t>mudar</t>
  </si>
  <si>
    <t>de</t>
  </si>
  <si>
    <t>formas</t>
  </si>
  <si>
    <t>OBJ_2</t>
  </si>
  <si>
    <t>indef-np.bare</t>
  </si>
  <si>
    <t>muito</t>
  </si>
  <si>
    <t>profundas</t>
  </si>
  <si>
    <t>.</t>
  </si>
  <si>
    <t># text = Preocupa -me que os investidores não estejam a prestar suficiente atenção a algumas de_ as principais forças de mudança , especialmente no que se refere à sustentabilidade .</t>
  </si>
  <si>
    <t>Preocupa</t>
  </si>
  <si>
    <t>-me</t>
  </si>
  <si>
    <t>OBJ</t>
  </si>
  <si>
    <t>que</t>
  </si>
  <si>
    <t>os</t>
  </si>
  <si>
    <t>investidores</t>
  </si>
  <si>
    <t>não</t>
  </si>
  <si>
    <t>estejam</t>
  </si>
  <si>
    <t>prestar</t>
  </si>
  <si>
    <t>suficiente</t>
  </si>
  <si>
    <t>atenção</t>
  </si>
  <si>
    <t>def-np.poss</t>
  </si>
  <si>
    <t>algumas</t>
  </si>
  <si>
    <t>de_</t>
  </si>
  <si>
    <t>other_3</t>
  </si>
  <si>
    <t>ne</t>
  </si>
  <si>
    <t>as</t>
  </si>
  <si>
    <t>principais</t>
  </si>
  <si>
    <t>forças</t>
  </si>
  <si>
    <t>mudança</t>
  </si>
  <si>
    <t>other_4</t>
  </si>
  <si>
    <t>,</t>
  </si>
  <si>
    <t>especialmente</t>
  </si>
  <si>
    <t>em</t>
  </si>
  <si>
    <t>o</t>
  </si>
  <si>
    <t>other_5</t>
  </si>
  <si>
    <t>pron.pds</t>
  </si>
  <si>
    <t>OBJ_7</t>
  </si>
  <si>
    <t>se</t>
  </si>
  <si>
    <t>SBJ_7</t>
  </si>
  <si>
    <t>pron.pper</t>
  </si>
  <si>
    <t>refere</t>
  </si>
  <si>
    <t>sustentabilidade</t>
  </si>
  <si>
    <t># text = Por sustentabilidade , quero dizer as coisas que realmente interessam , tais como questões ambientais e sociais e a liderança de_ as corporações .</t>
  </si>
  <si>
    <t>Por</t>
  </si>
  <si>
    <t>other</t>
  </si>
  <si>
    <t>quero</t>
  </si>
  <si>
    <t>dizer</t>
  </si>
  <si>
    <t>coisas</t>
  </si>
  <si>
    <t>SBJ_4</t>
  </si>
  <si>
    <t>realmente</t>
  </si>
  <si>
    <t>interessam</t>
  </si>
  <si>
    <t>tais</t>
  </si>
  <si>
    <t>como</t>
  </si>
  <si>
    <t>questões</t>
  </si>
  <si>
    <t>other_2</t>
  </si>
  <si>
    <t>def-np.dem</t>
  </si>
  <si>
    <t>ambientais</t>
  </si>
  <si>
    <t>e</t>
  </si>
  <si>
    <t>sociais</t>
  </si>
  <si>
    <t>liderança</t>
  </si>
  <si>
    <t>corporações</t>
  </si>
  <si>
    <t>--</t>
  </si>
  <si>
    <t># text = Eu acho uma imprudência ignorar estas coisas , porque , a_ o fazê# -lo , podemos comprometer retornos a longo prazo no futuro .</t>
  </si>
  <si>
    <t>Eu</t>
  </si>
  <si>
    <t>SBJ</t>
  </si>
  <si>
    <t>acho</t>
  </si>
  <si>
    <t>uma</t>
  </si>
  <si>
    <t>imprudência</t>
  </si>
  <si>
    <t>indef-np.a</t>
  </si>
  <si>
    <t>ignorar</t>
  </si>
  <si>
    <t>estas</t>
  </si>
  <si>
    <t>OBJ_3</t>
  </si>
  <si>
    <t>porque</t>
  </si>
  <si>
    <t>a_</t>
  </si>
  <si>
    <t>OBJ_4</t>
  </si>
  <si>
    <t>fazê</t>
  </si>
  <si>
    <t>-lo</t>
  </si>
  <si>
    <t>SBJ_6</t>
  </si>
  <si>
    <t>podemos</t>
  </si>
  <si>
    <t>comprometer</t>
  </si>
  <si>
    <t>retornos</t>
  </si>
  <si>
    <t>OBJ_6</t>
  </si>
  <si>
    <t>longo</t>
  </si>
  <si>
    <t>prazo</t>
  </si>
  <si>
    <t>other_6</t>
  </si>
  <si>
    <t>futuro</t>
  </si>
  <si>
    <t># text = Esta é uma coisa que vos pode surpreender</t>
  </si>
  <si>
    <t>Esta</t>
  </si>
  <si>
    <t>é</t>
  </si>
  <si>
    <t>coisa</t>
  </si>
  <si>
    <t>vos</t>
  </si>
  <si>
    <t>SBJ_3</t>
  </si>
  <si>
    <t>pode</t>
  </si>
  <si>
    <t>surpreender</t>
  </si>
  <si>
    <t># text = : o equilíbrio de_ o poder para influenciar a sustentabilidade está nas mãos de_ os investidores institucionais , os grandes investidores tais como os fundos de pensão , as fundações e as dotações .</t>
  </si>
  <si>
    <t>:</t>
  </si>
  <si>
    <t>equilíbrio</t>
  </si>
  <si>
    <t>poder</t>
  </si>
  <si>
    <t>para</t>
  </si>
  <si>
    <t>influenciar</t>
  </si>
  <si>
    <t>mãos</t>
  </si>
  <si>
    <t>institucionais</t>
  </si>
  <si>
    <t>grandes</t>
  </si>
  <si>
    <t>fundos</t>
  </si>
  <si>
    <t>pensão</t>
  </si>
  <si>
    <t>fundações</t>
  </si>
  <si>
    <t>dotações</t>
  </si>
  <si>
    <t># text = Acredito que um investimento sustentável é menos complicado de_ o que vocês pensam , com melhor desempenho de_ o que julgam e , mais importante ainda , de_ o que podemos imaginar .</t>
  </si>
  <si>
    <t>Acredito</t>
  </si>
  <si>
    <t>um</t>
  </si>
  <si>
    <t>investimento</t>
  </si>
  <si>
    <t>sustentável</t>
  </si>
  <si>
    <t>menos</t>
  </si>
  <si>
    <t>complicado</t>
  </si>
  <si>
    <t>vocês</t>
  </si>
  <si>
    <t>pensam</t>
  </si>
  <si>
    <t>com</t>
  </si>
  <si>
    <t>melhor</t>
  </si>
  <si>
    <t>desempenho</t>
  </si>
  <si>
    <t>julgam</t>
  </si>
  <si>
    <t>mais</t>
  </si>
  <si>
    <t>importante</t>
  </si>
  <si>
    <t>ainda</t>
  </si>
  <si>
    <t>other_8</t>
  </si>
  <si>
    <t>OBJ_11</t>
  </si>
  <si>
    <t>imaginar</t>
  </si>
  <si>
    <t># text = Lembro -vos o que já sabemos .</t>
  </si>
  <si>
    <t>Lembro</t>
  </si>
  <si>
    <t>-vos</t>
  </si>
  <si>
    <t>já</t>
  </si>
  <si>
    <t>sabemos</t>
  </si>
  <si>
    <t># text = Temos uma população que está a crescer e a envelhecer ; temos hoje sete mil milhões de almas a caminho de_ os 10 mil milhões até a_ o final de_ o século ; consumimos recursos naturais mais depressa de_ o que eles podem ser repostos</t>
  </si>
  <si>
    <t>Temos</t>
  </si>
  <si>
    <t>população</t>
  </si>
  <si>
    <t>crescer</t>
  </si>
  <si>
    <t>envelhecer</t>
  </si>
  <si>
    <t>;</t>
  </si>
  <si>
    <t>temos</t>
  </si>
  <si>
    <t>hoje</t>
  </si>
  <si>
    <t>sete</t>
  </si>
  <si>
    <t>mil</t>
  </si>
  <si>
    <t>milhões</t>
  </si>
  <si>
    <t>almas</t>
  </si>
  <si>
    <t>caminho</t>
  </si>
  <si>
    <t>até</t>
  </si>
  <si>
    <t>final</t>
  </si>
  <si>
    <t>século</t>
  </si>
  <si>
    <t>consumimos</t>
  </si>
  <si>
    <t>recursos</t>
  </si>
  <si>
    <t>naturais</t>
  </si>
  <si>
    <t>depressa</t>
  </si>
  <si>
    <t>other_9</t>
  </si>
  <si>
    <t>SBJ_11</t>
  </si>
  <si>
    <t>eles</t>
  </si>
  <si>
    <t>podem</t>
  </si>
  <si>
    <t>ser</t>
  </si>
  <si>
    <t>repostos</t>
  </si>
  <si>
    <t># text = ; e as emissões , que são as principais responsáveis pela alteração climática , continuam a aumentar .</t>
  </si>
  <si>
    <t>emissões</t>
  </si>
  <si>
    <t>são</t>
  </si>
  <si>
    <t>responsáveis</t>
  </si>
  <si>
    <t>por</t>
  </si>
  <si>
    <t>alteração</t>
  </si>
  <si>
    <t>climática</t>
  </si>
  <si>
    <t>continuam</t>
  </si>
  <si>
    <t>aumentar</t>
  </si>
  <si>
    <t># text = Claramente , estas são questões ambientais e sociais , mas isto não é tudo .</t>
  </si>
  <si>
    <t>Claramente</t>
  </si>
  <si>
    <t>mas</t>
  </si>
  <si>
    <t>isto</t>
  </si>
  <si>
    <t>tudo</t>
  </si>
  <si>
    <t>pron.pind</t>
  </si>
  <si>
    <t># text = Estas são questões económicas , e isso torna -as relevantes quanto a_ o risco e a_ o retorno .</t>
  </si>
  <si>
    <t>Estas</t>
  </si>
  <si>
    <t>económicas</t>
  </si>
  <si>
    <t>isso</t>
  </si>
  <si>
    <t>torna</t>
  </si>
  <si>
    <t>-as</t>
  </si>
  <si>
    <t>relevantes</t>
  </si>
  <si>
    <t>quanto</t>
  </si>
  <si>
    <t>risco</t>
  </si>
  <si>
    <t>retorno</t>
  </si>
  <si>
    <t>SBJ_5</t>
  </si>
  <si>
    <t># text = São realmente complexas e podem parecer muito distantes .</t>
  </si>
  <si>
    <t>São</t>
  </si>
  <si>
    <t>complexas</t>
  </si>
  <si>
    <t>parecer</t>
  </si>
  <si>
    <t>distantes</t>
  </si>
  <si>
    <t># text = A tentação pode ser fazer isto : enterrar a cabeça na areia e não pensar mais em_ isso .</t>
  </si>
  <si>
    <t>A</t>
  </si>
  <si>
    <t>tentação</t>
  </si>
  <si>
    <t>fazer</t>
  </si>
  <si>
    <t>enterrar</t>
  </si>
  <si>
    <t>cabeça</t>
  </si>
  <si>
    <t>areia</t>
  </si>
  <si>
    <t>pensar</t>
  </si>
  <si>
    <t>em_</t>
  </si>
  <si>
    <t># text = Resistam , se puderem .</t>
  </si>
  <si>
    <t>Resistam</t>
  </si>
  <si>
    <t>puderem</t>
  </si>
  <si>
    <t># text = Não façam isso lá em casa . ( Risos )</t>
  </si>
  <si>
    <t>Não</t>
  </si>
  <si>
    <t>façam</t>
  </si>
  <si>
    <t>lá</t>
  </si>
  <si>
    <t>casa</t>
  </si>
  <si>
    <t>(</t>
  </si>
  <si>
    <t>Risos</t>
  </si>
  <si>
    <t>)</t>
  </si>
  <si>
    <t># text = Mas isso faz</t>
  </si>
  <si>
    <t>Mas</t>
  </si>
  <si>
    <t>faz</t>
  </si>
  <si>
    <t># text = -me pensar se as atuais regras de investimento são adequadas a_ os objetivos de amanhã .</t>
  </si>
  <si>
    <t>atuais</t>
  </si>
  <si>
    <t>regras</t>
  </si>
  <si>
    <t>adequadas</t>
  </si>
  <si>
    <t>objetivos</t>
  </si>
  <si>
    <t>amanhã</t>
  </si>
  <si>
    <t># text = Sabemos que os investidores , quando olham para uma empresa para decidir se investem , olham para os dados financeiros , medidas tais como crescimento de vendas , fluxo de caixa , quota de mercado , apreciação de_ o valor — vocês sabem , as coisas atraentes . ( Risos )</t>
  </si>
  <si>
    <t>Sabemos</t>
  </si>
  <si>
    <t>quando</t>
  </si>
  <si>
    <t>olham</t>
  </si>
  <si>
    <t>empresa</t>
  </si>
  <si>
    <t>decidir</t>
  </si>
  <si>
    <t>investem</t>
  </si>
  <si>
    <t>dados</t>
  </si>
  <si>
    <t>financeiros</t>
  </si>
  <si>
    <t>medidas</t>
  </si>
  <si>
    <t>crescimento</t>
  </si>
  <si>
    <t>vendas</t>
  </si>
  <si>
    <t>fluxo</t>
  </si>
  <si>
    <t>caixa</t>
  </si>
  <si>
    <t>quota</t>
  </si>
  <si>
    <t>mercado</t>
  </si>
  <si>
    <t>apreciação</t>
  </si>
  <si>
    <t>valor</t>
  </si>
  <si>
    <t>—</t>
  </si>
  <si>
    <t>SBJ_8</t>
  </si>
  <si>
    <t>sabem</t>
  </si>
  <si>
    <t>atraentes</t>
  </si>
  <si>
    <t># text = Estas coisas são fundamentais , obviamente , mas não são suficientes .</t>
  </si>
  <si>
    <t>fundamentais</t>
  </si>
  <si>
    <t>obviamente</t>
  </si>
  <si>
    <t>suficientes</t>
  </si>
  <si>
    <t># text = Os investidores deviam olhar para a análise de_ o desempenho em_ aquilo a que chamamos ASG : Ambiente , Social e Governação .</t>
  </si>
  <si>
    <t>Os</t>
  </si>
  <si>
    <t>deviam</t>
  </si>
  <si>
    <t>olhar</t>
  </si>
  <si>
    <t>análise</t>
  </si>
  <si>
    <t>aquilo</t>
  </si>
  <si>
    <t>chamamos</t>
  </si>
  <si>
    <t>ASG</t>
  </si>
  <si>
    <t>Ambiente</t>
  </si>
  <si>
    <t>Social</t>
  </si>
  <si>
    <t>Governação</t>
  </si>
  <si>
    <t># text = Ambiente inclui consumo de energia , disponibilidade de água , lixo e poluição .</t>
  </si>
  <si>
    <t>inclui</t>
  </si>
  <si>
    <t>consumo</t>
  </si>
  <si>
    <t>energia</t>
  </si>
  <si>
    <t>disponibilidade</t>
  </si>
  <si>
    <t>água</t>
  </si>
  <si>
    <t>lixo</t>
  </si>
  <si>
    <t>poluição</t>
  </si>
  <si>
    <t># text = Trata de_ o uso eficaz de_ os recursos .</t>
  </si>
  <si>
    <t>Trata</t>
  </si>
  <si>
    <t>uso</t>
  </si>
  <si>
    <t>eficaz</t>
  </si>
  <si>
    <t># text = O social inclui o capital humano , coisas como o envolvimento de_ os empregados e capacidade de inovação , assim como a gestão de_ a cadeia de fornecimento , direitos de_ os trabalhadores e direitos humanos .</t>
  </si>
  <si>
    <t>social</t>
  </si>
  <si>
    <t>capital</t>
  </si>
  <si>
    <t>humano</t>
  </si>
  <si>
    <t>envolvimento</t>
  </si>
  <si>
    <t>empregados</t>
  </si>
  <si>
    <t>capacidade</t>
  </si>
  <si>
    <t>inovação</t>
  </si>
  <si>
    <t>assim</t>
  </si>
  <si>
    <t>gestão</t>
  </si>
  <si>
    <t>cadeia</t>
  </si>
  <si>
    <t>fornecimento</t>
  </si>
  <si>
    <t>other_7</t>
  </si>
  <si>
    <t>direitos</t>
  </si>
  <si>
    <t>trabalhadores</t>
  </si>
  <si>
    <t>humanos</t>
  </si>
  <si>
    <t># text = Governação refere -se à supervisão de_ as empresas através de_ os conselhos e de_ os investidores .</t>
  </si>
  <si>
    <t>-se</t>
  </si>
  <si>
    <t>supervisão</t>
  </si>
  <si>
    <t>empresas</t>
  </si>
  <si>
    <t>através</t>
  </si>
  <si>
    <t>conselhos</t>
  </si>
  <si>
    <t># text = Eu disse que isto é o que realmente interessa .</t>
  </si>
  <si>
    <t>disse</t>
  </si>
  <si>
    <t>interessa</t>
  </si>
  <si>
    <t># text = Mas o ASG é a medida de_ a sustentabilidade , e o investimento sustentável incorpora os fatores ASG com os fatores financeiros no processo de investimento .</t>
  </si>
  <si>
    <t>medida</t>
  </si>
  <si>
    <t>incorpora</t>
  </si>
  <si>
    <t>fatores</t>
  </si>
  <si>
    <t>processo</t>
  </si>
  <si>
    <t># text = Isso significa limitar o risco futuro minimizando os danos às pessoas e a_ o planeta .</t>
  </si>
  <si>
    <t>Isso</t>
  </si>
  <si>
    <t>significa</t>
  </si>
  <si>
    <t>limitar</t>
  </si>
  <si>
    <t>minimizando</t>
  </si>
  <si>
    <t>danos</t>
  </si>
  <si>
    <t>pessoas</t>
  </si>
  <si>
    <t>planeta</t>
  </si>
  <si>
    <t># text = Isso significa providenciar capital a_ os utilizadores que o aplicam para a obtenção de resultados produtivos e sustentáveis .</t>
  </si>
  <si>
    <t>providenciar</t>
  </si>
  <si>
    <t>utilizadores</t>
  </si>
  <si>
    <t>aplicam</t>
  </si>
  <si>
    <t>obtenção</t>
  </si>
  <si>
    <t>resultados</t>
  </si>
  <si>
    <t>produtivos</t>
  </si>
  <si>
    <t>sustentáveis</t>
  </si>
  <si>
    <t># text = Se a sustentabilidade hoje tem importância financeira , — e tudo indica que amanhã ainda será mais importante — será que o setor privado está a prestar atenção ?</t>
  </si>
  <si>
    <t>Se</t>
  </si>
  <si>
    <t>tem</t>
  </si>
  <si>
    <t>importância</t>
  </si>
  <si>
    <t>financeira</t>
  </si>
  <si>
    <t>indica</t>
  </si>
  <si>
    <t>será</t>
  </si>
  <si>
    <t>setor</t>
  </si>
  <si>
    <t>privado</t>
  </si>
  <si>
    <t>?</t>
  </si>
  <si>
    <t># text = Pelo menos , a maioria de_ os administradores está .</t>
  </si>
  <si>
    <t>maioria</t>
  </si>
  <si>
    <t>administradores</t>
  </si>
  <si>
    <t># text = Eles começaram a ver a sustentabilidade não só como uma coisa importante , mas como crucial para o êxito de_ o negócio .</t>
  </si>
  <si>
    <t>Eles</t>
  </si>
  <si>
    <t>começaram</t>
  </si>
  <si>
    <t>ver</t>
  </si>
  <si>
    <t>só</t>
  </si>
  <si>
    <t>crucial</t>
  </si>
  <si>
    <t>êxito</t>
  </si>
  <si>
    <t>negócio</t>
  </si>
  <si>
    <t># text = Cerca de 80 % de_ os administradores veem a sustentabilidade como a base para o crescimento na inovação e para alcançar vantagens competitivas nos seus setores industriais .</t>
  </si>
  <si>
    <t>Cerca</t>
  </si>
  <si>
    <t>%</t>
  </si>
  <si>
    <t>veem</t>
  </si>
  <si>
    <t>base</t>
  </si>
  <si>
    <t>alcançar</t>
  </si>
  <si>
    <t>vantagens</t>
  </si>
  <si>
    <t>competitivas</t>
  </si>
  <si>
    <t>seus</t>
  </si>
  <si>
    <t>pron.ppos</t>
  </si>
  <si>
    <t>setores</t>
  </si>
  <si>
    <t>industriais</t>
  </si>
  <si>
    <t># text = Mas 93 % consideram o ASG como o futuro , ou igualmente importante para o futuro de_ os seus negócios .</t>
  </si>
  <si>
    <t>consideram</t>
  </si>
  <si>
    <t>ou</t>
  </si>
  <si>
    <t>igualmente</t>
  </si>
  <si>
    <t>negócios</t>
  </si>
  <si>
    <t># text = Assim , a visão de_ os administradores é clara .</t>
  </si>
  <si>
    <t>Assim</t>
  </si>
  <si>
    <t>visão</t>
  </si>
  <si>
    <t>clara</t>
  </si>
  <si>
    <t># text = Existe uma tremenda oportunidade na sustentabilidade .</t>
  </si>
  <si>
    <t>Existe</t>
  </si>
  <si>
    <t>tremenda</t>
  </si>
  <si>
    <t>oportunidade</t>
  </si>
  <si>
    <t># text = Então , como é que as empresas estão a promover o ASG para alcançarem resultados sólidos ?</t>
  </si>
  <si>
    <t>Então</t>
  </si>
  <si>
    <t>estão</t>
  </si>
  <si>
    <t>promover</t>
  </si>
  <si>
    <t>alcançarem</t>
  </si>
  <si>
    <t>sólidos</t>
  </si>
  <si>
    <t># text = Temos um exemplo bem perto que nos é muito querido .</t>
  </si>
  <si>
    <t>exemplo</t>
  </si>
  <si>
    <t>bem</t>
  </si>
  <si>
    <t>perto</t>
  </si>
  <si>
    <t>querido</t>
  </si>
  <si>
    <t># text = Em 2012 , o State Street migrou 54 aplicações para o ambiente de_ a nuvem , e retirámos outras 85 .</t>
  </si>
  <si>
    <t>Em</t>
  </si>
  <si>
    <t>2012</t>
  </si>
  <si>
    <t>State</t>
  </si>
  <si>
    <t>Street</t>
  </si>
  <si>
    <t>migrou</t>
  </si>
  <si>
    <t>aplicações</t>
  </si>
  <si>
    <t>indef-np.quant</t>
  </si>
  <si>
    <t>ambiente</t>
  </si>
  <si>
    <t>nuvem</t>
  </si>
  <si>
    <t>retirámos</t>
  </si>
  <si>
    <t>outras</t>
  </si>
  <si>
    <t># text = Virtualizámos os ambientes de_ os nossos sistemas operativos e completámos numerosos projetos de automação .</t>
  </si>
  <si>
    <t>Virtualizámos</t>
  </si>
  <si>
    <t>ambientes</t>
  </si>
  <si>
    <t>nossos</t>
  </si>
  <si>
    <t>sistemas</t>
  </si>
  <si>
    <t>operativos</t>
  </si>
  <si>
    <t>completámos</t>
  </si>
  <si>
    <t>numerosos</t>
  </si>
  <si>
    <t>projetos</t>
  </si>
  <si>
    <t>automação</t>
  </si>
  <si>
    <t># text = Estas iniciativas criam um ambiente de trabalho mais móvel e reduzem a nossa pegada imobiliária .</t>
  </si>
  <si>
    <t>iniciativas</t>
  </si>
  <si>
    <t>criam</t>
  </si>
  <si>
    <t>trabalho</t>
  </si>
  <si>
    <t>móvel</t>
  </si>
  <si>
    <t>reduzem</t>
  </si>
  <si>
    <t>nossa</t>
  </si>
  <si>
    <t>pegada</t>
  </si>
  <si>
    <t>imobiliária</t>
  </si>
  <si>
    <t># text = Permitem uma economia em custos operacionais na ordem de 23 milhões de dólares anuais e evitam emissões de 100 mil toneladas métricas de carbono .</t>
  </si>
  <si>
    <t>Permitem</t>
  </si>
  <si>
    <t>economia</t>
  </si>
  <si>
    <t>custos</t>
  </si>
  <si>
    <t>operacionais</t>
  </si>
  <si>
    <t>ordem</t>
  </si>
  <si>
    <t>dólares</t>
  </si>
  <si>
    <t>anuais</t>
  </si>
  <si>
    <t>evitam</t>
  </si>
  <si>
    <t>toneladas</t>
  </si>
  <si>
    <t>métricas</t>
  </si>
  <si>
    <t>carbono</t>
  </si>
  <si>
    <t># text = Isto equivale a retirar de_ as ruas 21 mil carros .</t>
  </si>
  <si>
    <t>Isto</t>
  </si>
  <si>
    <t>equivale</t>
  </si>
  <si>
    <t>retirar</t>
  </si>
  <si>
    <t>ruas</t>
  </si>
  <si>
    <t>carros</t>
  </si>
  <si>
    <t># text = É muito bom , não é ?</t>
  </si>
  <si>
    <t>É</t>
  </si>
  <si>
    <t>bom</t>
  </si>
  <si>
    <t># text = Outro exemplo é a Pentair .</t>
  </si>
  <si>
    <t>Outro</t>
  </si>
  <si>
    <t>indef-np</t>
  </si>
  <si>
    <t>Pentair</t>
  </si>
  <si>
    <t># text = A Pentair é um conglomerado industrial de_ os EUA .</t>
  </si>
  <si>
    <t>conglomerado</t>
  </si>
  <si>
    <t>industrial</t>
  </si>
  <si>
    <t>EUA</t>
  </si>
  <si>
    <t># text = Há cerca de uma década , venderam o seu principal negócio de ferramentas elétricas e reinvestiram o que apuraram no negócio de_ a água .</t>
  </si>
  <si>
    <t>Há</t>
  </si>
  <si>
    <t>cerca</t>
  </si>
  <si>
    <t>década</t>
  </si>
  <si>
    <t>venderam</t>
  </si>
  <si>
    <t>seu</t>
  </si>
  <si>
    <t>principal</t>
  </si>
  <si>
    <t>ferramentas</t>
  </si>
  <si>
    <t>elétricas</t>
  </si>
  <si>
    <t>reinvestiram</t>
  </si>
  <si>
    <t>apuraram</t>
  </si>
  <si>
    <t># text = Foi uma aposta muito grande .</t>
  </si>
  <si>
    <t>Foi</t>
  </si>
  <si>
    <t>aposta</t>
  </si>
  <si>
    <t>grande</t>
  </si>
  <si>
    <t># text = Porque é que fizeram isso ?</t>
  </si>
  <si>
    <t>Porque</t>
  </si>
  <si>
    <t>fizeram</t>
  </si>
  <si>
    <t># text = Desculpem -me os fãs de_ a Reforma de Habitações , mas há um crescimento maior em água de_ o que em ferramentas elétricas , e esta companhia tem a visão direcionada para o que eles chamam de \" o novo Novo Mundo \" .</t>
  </si>
  <si>
    <t>Desculpem</t>
  </si>
  <si>
    <t>fãs</t>
  </si>
  <si>
    <t>Reforma</t>
  </si>
  <si>
    <t>Habitações</t>
  </si>
  <si>
    <t>há</t>
  </si>
  <si>
    <t>maior</t>
  </si>
  <si>
    <t>esta</t>
  </si>
  <si>
    <t>companhia</t>
  </si>
  <si>
    <t>OBJ_5</t>
  </si>
  <si>
    <t>direcionada</t>
  </si>
  <si>
    <t>OBJ_8</t>
  </si>
  <si>
    <t>chamam</t>
  </si>
  <si>
    <t>&amp;quot;</t>
  </si>
  <si>
    <t>novo</t>
  </si>
  <si>
    <t>Novo</t>
  </si>
  <si>
    <t>Mundo</t>
  </si>
  <si>
    <t># text = São quatro mil milhões de pessoas de_ a classe média que precisam de comida , de energia e de água .</t>
  </si>
  <si>
    <t>quatro</t>
  </si>
  <si>
    <t>classe</t>
  </si>
  <si>
    <t>média</t>
  </si>
  <si>
    <t>precisam</t>
  </si>
  <si>
    <t>comida</t>
  </si>
  <si>
    <t># text = Vocês podem estar a perguntar -se : \" Estes casos são casos isolados ? \" Quero dizer , vamos lá .</t>
  </si>
  <si>
    <t>Vocês</t>
  </si>
  <si>
    <t>estar</t>
  </si>
  <si>
    <t>perguntar</t>
  </si>
  <si>
    <t>Estes</t>
  </si>
  <si>
    <t>casos</t>
  </si>
  <si>
    <t>isolados</t>
  </si>
  <si>
    <t>Quero</t>
  </si>
  <si>
    <t>vamos</t>
  </si>
  <si>
    <t># text = A sério ?</t>
  </si>
  <si>
    <t>sério</t>
  </si>
  <si>
    <t># text = As companhias que praticam a sustentabilidade estão mesmo bem financeiramente ?</t>
  </si>
  <si>
    <t>As</t>
  </si>
  <si>
    <t>companhias</t>
  </si>
  <si>
    <t>praticam</t>
  </si>
  <si>
    <t>mesmo</t>
  </si>
  <si>
    <t>financeiramente</t>
  </si>
  <si>
    <t># text = A resposta pode surpreender -vos , mas é : \" Estão , sim \" .</t>
  </si>
  <si>
    <t>resposta</t>
  </si>
  <si>
    <t>Estão</t>
  </si>
  <si>
    <t>sim</t>
  </si>
  <si>
    <t># text = Os dados mostram que as ações com melhores resultados de ASG vão tão bem como as outras .</t>
  </si>
  <si>
    <t>mostram</t>
  </si>
  <si>
    <t>ações</t>
  </si>
  <si>
    <t>melhores</t>
  </si>
  <si>
    <t>vão</t>
  </si>
  <si>
    <t>tão</t>
  </si>
  <si>
    <t># text = A azul , vemos o MSCI World .</t>
  </si>
  <si>
    <t>azul</t>
  </si>
  <si>
    <t>vemos</t>
  </si>
  <si>
    <t>MSCI</t>
  </si>
  <si>
    <t>World</t>
  </si>
  <si>
    <t># text = É um índice de grandes companhias de mercados desenvolvidos em todo o mundo .</t>
  </si>
  <si>
    <t>índice</t>
  </si>
  <si>
    <t>mercados</t>
  </si>
  <si>
    <t>desenvolvidos</t>
  </si>
  <si>
    <t>todo</t>
  </si>
  <si>
    <t># text = A dourado , vemos um subgrupo de companhias avaliadas como tendo os melhores desempenhos ASG .</t>
  </si>
  <si>
    <t>dourado</t>
  </si>
  <si>
    <t>subgrupo</t>
  </si>
  <si>
    <t>avaliadas</t>
  </si>
  <si>
    <t>tendo</t>
  </si>
  <si>
    <t>desempenhos</t>
  </si>
  <si>
    <t># text = Em mais de 3 anos não houve perda de desempenho .</t>
  </si>
  <si>
    <t>anos</t>
  </si>
  <si>
    <t>houve</t>
  </si>
  <si>
    <t>perda</t>
  </si>
  <si>
    <t># text = Tudo bem , certo ?</t>
  </si>
  <si>
    <t>Tudo</t>
  </si>
  <si>
    <t>certo</t>
  </si>
  <si>
    <t># text = Mas nós queremos mais .</t>
  </si>
  <si>
    <t>nós</t>
  </si>
  <si>
    <t>queremos</t>
  </si>
  <si>
    <t># text = Eu quero mais . em_ alguns casos , pode haver um desempenho superior de ASG .</t>
  </si>
  <si>
    <t>alguns</t>
  </si>
  <si>
    <t>haver</t>
  </si>
  <si>
    <t>superior</t>
  </si>
  <si>
    <t># text = A azul , vemos o desempenho de_ as 500 maiores companhias mundiais e a dourado , vemos um subconjunto de companhias com as melhores práticas em estratégias de alteração climática e gestão de riscos . a_ o fim de quase oito anos , elas superaram o seu desempenho em quase dois terços .</t>
  </si>
  <si>
    <t>500</t>
  </si>
  <si>
    <t>maiores</t>
  </si>
  <si>
    <t>def-np.quant</t>
  </si>
  <si>
    <t>mundiais</t>
  </si>
  <si>
    <t>subconjunto</t>
  </si>
  <si>
    <t>práticas</t>
  </si>
  <si>
    <t>estratégias</t>
  </si>
  <si>
    <t>riscos</t>
  </si>
  <si>
    <t>fim</t>
  </si>
  <si>
    <t>quase</t>
  </si>
  <si>
    <t>oito</t>
  </si>
  <si>
    <t>elas</t>
  </si>
  <si>
    <t>superaram</t>
  </si>
  <si>
    <t>dois</t>
  </si>
  <si>
    <t>terços</t>
  </si>
  <si>
    <t># text = Tudo bem , isto é uma correlação .</t>
  </si>
  <si>
    <t>correlação</t>
  </si>
  <si>
    <t># text = Não é causalidade .</t>
  </si>
  <si>
    <t>causalidade</t>
  </si>
  <si>
    <t># text = Mas ilustra que a liderança em ambientalismo é compatível com bons retornos .</t>
  </si>
  <si>
    <t>ilustra</t>
  </si>
  <si>
    <t>ambientalismo</t>
  </si>
  <si>
    <t>compatível</t>
  </si>
  <si>
    <t>bons</t>
  </si>
  <si>
    <t># text = Então , se o retorno é o mesmo ou melhor e o planeta beneficia , isto não devia ser a regra ?</t>
  </si>
  <si>
    <t>beneficia</t>
  </si>
  <si>
    <t>devia</t>
  </si>
  <si>
    <t>regra</t>
  </si>
  <si>
    <t># text = Os investidores , em especial os investidores institucionais estão empenhados ? Bem , alguns estão e alguns de_ eles estão realmente na vanguarda .</t>
  </si>
  <si>
    <t>especial</t>
  </si>
  <si>
    <t>empenhados</t>
  </si>
  <si>
    <t>Bem</t>
  </si>
  <si>
    <t>vanguarda</t>
  </si>
  <si>
    <t># text = A Hesta .</t>
  </si>
  <si>
    <t>Hesta</t>
  </si>
  <si>
    <t># text = A Hesta é um fundo de pensões de_ os empregados de_ os serviços de saúde e comunitários na Austrália , com ativos de 22 mil milhões de dólares .</t>
  </si>
  <si>
    <t>fundo</t>
  </si>
  <si>
    <t>pensões</t>
  </si>
  <si>
    <t>serviços</t>
  </si>
  <si>
    <t>saúde</t>
  </si>
  <si>
    <t>comunitários</t>
  </si>
  <si>
    <t>Austrália</t>
  </si>
  <si>
    <t>ativos</t>
  </si>
  <si>
    <t># text = Eles acreditam que o ASG tem o potencial de criar impacto em riscos e receitas , assim , incorporar o ASG no processo de investimento é fundamental a_ o seu dever de agir no melhor interesse de_ os membros de_ o fundo , é fundamental a_ o seu dever .</t>
  </si>
  <si>
    <t>acreditam</t>
  </si>
  <si>
    <t>potencial</t>
  </si>
  <si>
    <t>criar</t>
  </si>
  <si>
    <t>impacto</t>
  </si>
  <si>
    <t>receitas</t>
  </si>
  <si>
    <t>incorporar</t>
  </si>
  <si>
    <t>fundamental</t>
  </si>
  <si>
    <t>dever</t>
  </si>
  <si>
    <t>agir</t>
  </si>
  <si>
    <t>interesse</t>
  </si>
  <si>
    <t>membros</t>
  </si>
  <si>
    <t># text = Temos que gostar de_ os australianos , não é ?</t>
  </si>
  <si>
    <t>gostar</t>
  </si>
  <si>
    <t>australianos</t>
  </si>
  <si>
    <t># text = A CaIPERS é outro exemplo .</t>
  </si>
  <si>
    <t>CaIPERS</t>
  </si>
  <si>
    <t>outro</t>
  </si>
  <si>
    <t># text = A CalPERS é um fundo de pensões para funcionários públicos na Califórnia .</t>
  </si>
  <si>
    <t>CalPERS</t>
  </si>
  <si>
    <t>funcionários</t>
  </si>
  <si>
    <t>públicos</t>
  </si>
  <si>
    <t>Califórnia</t>
  </si>
  <si>
    <t># text = Com ativos de 244 mil milhões de dólares</t>
  </si>
  <si>
    <t>Com</t>
  </si>
  <si>
    <t>244</t>
  </si>
  <si>
    <t># text = , são o segundo maior de_ os EUA e o sexto maior de_ o mundo .</t>
  </si>
  <si>
    <t>segundo</t>
  </si>
  <si>
    <t>sexto</t>
  </si>
  <si>
    <t># text = Agora , estão a passar para investimentos 100 % sustentáveis integrando sistematicamente o ASG em todo o fundo .</t>
  </si>
  <si>
    <t>Agora</t>
  </si>
  <si>
    <t>passar</t>
  </si>
  <si>
    <t>investimentos</t>
  </si>
  <si>
    <t>integrando</t>
  </si>
  <si>
    <t>sistematicamente</t>
  </si>
  <si>
    <t># text = Porquê ?</t>
  </si>
  <si>
    <t>Porquê</t>
  </si>
  <si>
    <t># text = Eles acreditam que é fundamental apoiar rendimentos de longo prazo sustentáveis , ponto final .</t>
  </si>
  <si>
    <t>apoiar</t>
  </si>
  <si>
    <t>rendimentos</t>
  </si>
  <si>
    <t>ponto</t>
  </si>
  <si>
    <t># text = Nas palavras de_ eles , " a criação de valor de longo prazo requer a gestão eficaz " de_ as três formas de capital : financeiro , humano e físico . " Esta é a razão por que nos preocupamos com o ASG . " Eu falo com muitos investidores — faz parte de_ o meu trabalho — e nem todos eles encaram isto de_ esta maneira .</t>
  </si>
  <si>
    <t>palavras</t>
  </si>
  <si>
    <t>criação</t>
  </si>
  <si>
    <t>requer</t>
  </si>
  <si>
    <t>três</t>
  </si>
  <si>
    <t>financeiro</t>
  </si>
  <si>
    <t>físico</t>
  </si>
  <si>
    <t>razão</t>
  </si>
  <si>
    <t>preocupamos</t>
  </si>
  <si>
    <t>falo</t>
  </si>
  <si>
    <t>muitos</t>
  </si>
  <si>
    <t>parte</t>
  </si>
  <si>
    <t>meu</t>
  </si>
  <si>
    <t>nem</t>
  </si>
  <si>
    <t>todos</t>
  </si>
  <si>
    <t>pron</t>
  </si>
  <si>
    <t>encaram</t>
  </si>
  <si>
    <t>maneira</t>
  </si>
  <si>
    <t># text = Ouço -os dizer muitas vezes : \" Pedem -nos para maximizar as receitas , \" portanto , não fazemos isso aqui \" , ou : \" Nós não queremos usar o portfólio \" para fazer declarações políticas . \" O que realmente me irrita é : \" Se quiserem fazer alguma coisa quanto a isso , \" ganhem dinheiro e deem os lucros para obras de caridade . \" É de bradar a_ os céus !</t>
  </si>
  <si>
    <t>Ouço</t>
  </si>
  <si>
    <t>-os</t>
  </si>
  <si>
    <t>muitas</t>
  </si>
  <si>
    <t>vezes</t>
  </si>
  <si>
    <t>Pedem</t>
  </si>
  <si>
    <t>-nos</t>
  </si>
  <si>
    <t>maximizar</t>
  </si>
  <si>
    <t>portanto</t>
  </si>
  <si>
    <t>fazemos</t>
  </si>
  <si>
    <t>aqui</t>
  </si>
  <si>
    <t>Nós</t>
  </si>
  <si>
    <t>usar</t>
  </si>
  <si>
    <t>portfólio</t>
  </si>
  <si>
    <t>declarações</t>
  </si>
  <si>
    <t>políticas</t>
  </si>
  <si>
    <t>me</t>
  </si>
  <si>
    <t>irrita</t>
  </si>
  <si>
    <t>quiserem</t>
  </si>
  <si>
    <t>alguma</t>
  </si>
  <si>
    <t>ganhem</t>
  </si>
  <si>
    <t>dinheiro</t>
  </si>
  <si>
    <t>deem</t>
  </si>
  <si>
    <t>lucros</t>
  </si>
  <si>
    <t>obras</t>
  </si>
  <si>
    <t>caridade</t>
  </si>
  <si>
    <t>bradar</t>
  </si>
  <si>
    <t>céus</t>
  </si>
  <si>
    <t>!</t>
  </si>
  <si>
    <t># text = Quero dizer , deixem -me esclarecer uma coisa .</t>
  </si>
  <si>
    <t>deixem</t>
  </si>
  <si>
    <t>esclarecer</t>
  </si>
  <si>
    <t># text = As companhias e os investidores não são os únicos responsáveis pelo destino de_ o planeta .</t>
  </si>
  <si>
    <t>únicos</t>
  </si>
  <si>
    <t>destino</t>
  </si>
  <si>
    <t># text = Eles não tem obrigações sociais ilimitadas .</t>
  </si>
  <si>
    <t>obrigações</t>
  </si>
  <si>
    <t>ilimitadas</t>
  </si>
  <si>
    <t># text = O investimento cauteloso e a teoria financeira não estão subordinados à sustentabilidade .</t>
  </si>
  <si>
    <t>cauteloso</t>
  </si>
  <si>
    <t>teoria</t>
  </si>
  <si>
    <t>subordinados</t>
  </si>
  <si>
    <t># text = São compatíveis .</t>
  </si>
  <si>
    <t>compatíveis</t>
  </si>
  <si>
    <t># text = Portanto , não estou a falar apenas de compensações .</t>
  </si>
  <si>
    <t>Portanto</t>
  </si>
  <si>
    <t>estou</t>
  </si>
  <si>
    <t>falar</t>
  </si>
  <si>
    <t>apenas</t>
  </si>
  <si>
    <t>compensações</t>
  </si>
  <si>
    <t># text = Mas os investidores institucionais são a peça chave para a sustentabilidade .</t>
  </si>
  <si>
    <t>peça</t>
  </si>
  <si>
    <t>chave</t>
  </si>
  <si>
    <t># text = Porque é que eles têm a chave ?</t>
  </si>
  <si>
    <t>têm</t>
  </si>
  <si>
    <t># text = A resposta é que eles têm o dinheiro . ( Risos )</t>
  </si>
  <si>
    <t># text = Muito dinheiro .</t>
  </si>
  <si>
    <t>Muito</t>
  </si>
  <si>
    <t># text = Quero dizer , muito dinheiro mesmo .</t>
  </si>
  <si>
    <t># text = O mercado global de ações vale 55 biliões de dólares .</t>
  </si>
  <si>
    <t>global</t>
  </si>
  <si>
    <t>vale</t>
  </si>
  <si>
    <t>biliões</t>
  </si>
  <si>
    <t># text = O mercado global de títulos , 78 biliões . Combinados , são 133 biliões .</t>
  </si>
  <si>
    <t>títulos</t>
  </si>
  <si>
    <t>Combinados</t>
  </si>
  <si>
    <t>133</t>
  </si>
  <si>
    <t># text = São oito vezes e meia o PIB de_ os EUA .</t>
  </si>
  <si>
    <t>meia</t>
  </si>
  <si>
    <t>PIB</t>
  </si>
  <si>
    <t># text = É a maior economia de_ o mundo .</t>
  </si>
  <si>
    <t># text = É um poder de fogo excecional .</t>
  </si>
  <si>
    <t>fogo</t>
  </si>
  <si>
    <t>excecional</t>
  </si>
  <si>
    <t># text = Assim , podemos reconsiderar alguns desses desafios prementes , como a água fresca , o ar puro , dar de comer a 10 mil milhões de bocas , se os investidores institucionais integrarem o ASG nos seus investimentos .</t>
  </si>
  <si>
    <t>reconsiderar</t>
  </si>
  <si>
    <t>esses</t>
  </si>
  <si>
    <t>desafios</t>
  </si>
  <si>
    <t>prementes</t>
  </si>
  <si>
    <t>fresca</t>
  </si>
  <si>
    <t>ar</t>
  </si>
  <si>
    <t>puro</t>
  </si>
  <si>
    <t>dar</t>
  </si>
  <si>
    <t>comer</t>
  </si>
  <si>
    <t>bocas</t>
  </si>
  <si>
    <t>integrarem</t>
  </si>
  <si>
    <t># text = Que tal , se usassem todo esse poder de fogo para colocar mais de_ o seu capital em companhias que dão o seu melhor para resolver este desafios ou , pelo menos , não os agravar ?</t>
  </si>
  <si>
    <t>Que</t>
  </si>
  <si>
    <t>tal</t>
  </si>
  <si>
    <t>usassem</t>
  </si>
  <si>
    <t>esse</t>
  </si>
  <si>
    <t>colocar</t>
  </si>
  <si>
    <t>dão</t>
  </si>
  <si>
    <t>resolver</t>
  </si>
  <si>
    <t>este</t>
  </si>
  <si>
    <t>agravar</t>
  </si>
  <si>
    <t># text = E se trabalharmos , pouparmos e investirmos só para descobrir que o mundo onde nos aposentamos é mais cansativo e menos seguro de_ o que é agora ?</t>
  </si>
  <si>
    <t>E</t>
  </si>
  <si>
    <t>trabalharmos</t>
  </si>
  <si>
    <t>pouparmos</t>
  </si>
  <si>
    <t>investirmos</t>
  </si>
  <si>
    <t>descobrir</t>
  </si>
  <si>
    <t>onde</t>
  </si>
  <si>
    <t>aposentamos</t>
  </si>
  <si>
    <t>cansativo</t>
  </si>
  <si>
    <t>seguro</t>
  </si>
  <si>
    <t>agora</t>
  </si>
  <si>
    <t># text = E se não houver ar limpo ou água pura ?</t>
  </si>
  <si>
    <t>houver</t>
  </si>
  <si>
    <t>limpo</t>
  </si>
  <si>
    <t>pura</t>
  </si>
  <si>
    <t># text = Uma pergunta justa seria :</t>
  </si>
  <si>
    <t>Uma</t>
  </si>
  <si>
    <t>pergunta</t>
  </si>
  <si>
    <t>justa</t>
  </si>
  <si>
    <t>seria</t>
  </si>
  <si>
    <t># text = E se toda essa coisa de risco de sustentabilidade for um exagero , superestimado , que não é urgente , uma coisa para consumidores virtuosos ou uma opção de estilo de vida ?</t>
  </si>
  <si>
    <t>toda</t>
  </si>
  <si>
    <t>essa</t>
  </si>
  <si>
    <t>for</t>
  </si>
  <si>
    <t>exagero</t>
  </si>
  <si>
    <t>superestimado</t>
  </si>
  <si>
    <t>urgente</t>
  </si>
  <si>
    <t>consumidores</t>
  </si>
  <si>
    <t>virtuosos</t>
  </si>
  <si>
    <t>opção</t>
  </si>
  <si>
    <t>estilo</t>
  </si>
  <si>
    <t>vida</t>
  </si>
  <si>
    <t># text = Bem , o presidente John F .</t>
  </si>
  <si>
    <t>presidente</t>
  </si>
  <si>
    <t>John</t>
  </si>
  <si>
    <t>F</t>
  </si>
  <si>
    <t># text = Kennedy disse uma coisa sobre isso que acerta no alvo : \" Há riscos e custos em_ um programa de ação , \" mas eles são bem menores de_ o que os riscos a longo prazo \" de_ a inação confortável \" .</t>
  </si>
  <si>
    <t>Kennedy</t>
  </si>
  <si>
    <t>sobre</t>
  </si>
  <si>
    <t>acerta</t>
  </si>
  <si>
    <t>alvo</t>
  </si>
  <si>
    <t>programa</t>
  </si>
  <si>
    <t>ação</t>
  </si>
  <si>
    <t>menores</t>
  </si>
  <si>
    <t>inação</t>
  </si>
  <si>
    <t>confortável</t>
  </si>
  <si>
    <t># text = Reconheço que há em_ isso um risco calculado .</t>
  </si>
  <si>
    <t>Reconheço</t>
  </si>
  <si>
    <t>calculado</t>
  </si>
  <si>
    <t># text = Mas como tem por base um amplo consenso científico , as hipóteses de que não esteja completamente errado são melhores de_ o que a hipótese de a nossa casa arder totalmente ou de termos um acidente de carro .</t>
  </si>
  <si>
    <t>amplo</t>
  </si>
  <si>
    <t>consenso</t>
  </si>
  <si>
    <t>científico</t>
  </si>
  <si>
    <t>hipóteses</t>
  </si>
  <si>
    <t>esteja</t>
  </si>
  <si>
    <t>completamente</t>
  </si>
  <si>
    <t>errado</t>
  </si>
  <si>
    <t>hipótese</t>
  </si>
  <si>
    <t>arder</t>
  </si>
  <si>
    <t>totalmente</t>
  </si>
  <si>
    <t>termos</t>
  </si>
  <si>
    <t>acidente</t>
  </si>
  <si>
    <t>carro</t>
  </si>
  <si>
    <t># text = Isso , se não morarmos em Boston . ( Risos )</t>
  </si>
  <si>
    <t>morarmos</t>
  </si>
  <si>
    <t>Boston</t>
  </si>
  <si>
    <t># text = Mas a minha questão é que compramos um seguro para nos protegermos financeiramente no caso de essas coisas acontecerem , não é ?</t>
  </si>
  <si>
    <t>minha</t>
  </si>
  <si>
    <t>questão</t>
  </si>
  <si>
    <t>compramos</t>
  </si>
  <si>
    <t>protegermos</t>
  </si>
  <si>
    <t>caso</t>
  </si>
  <si>
    <t>essas</t>
  </si>
  <si>
    <t>acontecerem</t>
  </si>
  <si>
    <t># text = Quando investimos na sustentabilidade estamos a fazer duas coisas .</t>
  </si>
  <si>
    <t>Quando</t>
  </si>
  <si>
    <t>investimos</t>
  </si>
  <si>
    <t>estamos</t>
  </si>
  <si>
    <t>duas</t>
  </si>
  <si>
    <t># text = Estamos a criar uma cobertura , reduzindo o risco para o nosso planeta e para a nossa economia e , a_ o mesmo tempo , a curto prazo , não estamos a sacrificar o nosso desempenho . [ \" E se tudo isso for um embuste e criamos um mundo melhor para nada ?</t>
  </si>
  <si>
    <t>Estamos</t>
  </si>
  <si>
    <t>cobertura</t>
  </si>
  <si>
    <t>reduzindo</t>
  </si>
  <si>
    <t>nosso</t>
  </si>
  <si>
    <t>tempo</t>
  </si>
  <si>
    <t>curto</t>
  </si>
  <si>
    <t>sacrificar</t>
  </si>
  <si>
    <t>[</t>
  </si>
  <si>
    <t>embuste</t>
  </si>
  <si>
    <t>criamos</t>
  </si>
  <si>
    <t>OBJ_9</t>
  </si>
  <si>
    <t>nada</t>
  </si>
  <si>
    <t>other_10</t>
  </si>
  <si>
    <t># text = " ] Ótimo , vocês gostaram .</t>
  </si>
  <si>
    <t>]</t>
  </si>
  <si>
    <t>Ótimo</t>
  </si>
  <si>
    <t>gostaram</t>
  </si>
  <si>
    <t># text = Eu também gosto . ( Risos )</t>
  </si>
  <si>
    <t>também</t>
  </si>
  <si>
    <t>gosto</t>
  </si>
  <si>
    <t># text = Eu gosto porque faz troça de_ os dois lados de_ a questão de_ a alteração climática .</t>
  </si>
  <si>
    <t>troça</t>
  </si>
  <si>
    <t>lados</t>
  </si>
  <si>
    <t># text = Aposto que não adivinham de que lado estou .</t>
  </si>
  <si>
    <t>Aposto</t>
  </si>
  <si>
    <t>adivinham</t>
  </si>
  <si>
    <t>lado</t>
  </si>
  <si>
    <t># text = Mas o que eu gosto em_ isto é que me lembra uma coisa que Mark Twain disse : \" Planeia para o futuro , \" porque é onde vais passar o resto de_ a tua vida . \" Obrigado .</t>
  </si>
  <si>
    <t>eu</t>
  </si>
  <si>
    <t>lembra</t>
  </si>
  <si>
    <t>Mark</t>
  </si>
  <si>
    <t>Twain</t>
  </si>
  <si>
    <t>Planeia</t>
  </si>
  <si>
    <t>vais</t>
  </si>
  <si>
    <t>resto</t>
  </si>
  <si>
    <t>tua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</si>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</sst>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17</v>
      </c>
      <c r="J5" s="12" t="s">
        <v>18</v>
      </c>
    </row>
    <row r="6" spans="1:10" ht="60" customHeight="1">
      <c r="A6" s="6" t="s">
        <v>24</v>
      </c>
      <c r="B6" s="6" t="s">
        <v>11</v>
      </c>
      <c r="C6" s="6" t="s">
        <v>11</v>
      </c>
      <c r="D6" s="7" t="s">
        <v>11</v>
      </c>
      <c r="E6" s="8" t="s">
        <v>25</v>
      </c>
      <c r="F6" s="6" t="s">
        <v>11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26</v>
      </c>
      <c r="B7" s="6" t="s">
        <v>11</v>
      </c>
      <c r="C7" s="6" t="s">
        <v>14</v>
      </c>
      <c r="D7" s="7" t="s">
        <v>11</v>
      </c>
      <c r="E7" s="8" t="s">
        <v>27</v>
      </c>
      <c r="F7" s="6" t="s">
        <v>11</v>
      </c>
      <c r="G7" s="9">
        <f>IF(A7=1,"_",IF(C7="_","???",C7))</f>
        <v/>
      </c>
      <c r="H7" s="10" t="s">
        <v>21</v>
      </c>
      <c r="I7" s="11" t="s">
        <v>29</v>
      </c>
      <c r="J7" s="12" t="s">
        <v>30</v>
      </c>
    </row>
    <row r="8" spans="1:10" ht="60" customHeight="1">
      <c r="A8" s="6" t="s">
        <v>31</v>
      </c>
      <c r="B8" s="6" t="s">
        <v>11</v>
      </c>
      <c r="C8" s="6" t="s">
        <v>22</v>
      </c>
      <c r="D8" s="7" t="s">
        <v>11</v>
      </c>
      <c r="E8" s="8" t="s">
        <v>32</v>
      </c>
      <c r="F8" s="6" t="s">
        <v>11</v>
      </c>
      <c r="G8" s="9">
        <f>IF(A8=1,"_",IF(C8="_","???",C8))</f>
        <v/>
      </c>
      <c r="H8" s="10" t="s">
        <v>26</v>
      </c>
      <c r="I8" s="11" t="s">
        <v>17</v>
      </c>
      <c r="J8" s="12" t="s">
        <v>18</v>
      </c>
    </row>
    <row r="9" spans="1:10" ht="60" customHeight="1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35</v>
      </c>
      <c r="B10" s="6" t="s">
        <v>11</v>
      </c>
      <c r="C10" s="6" t="s">
        <v>36</v>
      </c>
      <c r="D10" s="7" t="s">
        <v>11</v>
      </c>
      <c r="E10" s="8" t="s">
        <v>37</v>
      </c>
      <c r="F10" s="6" t="s">
        <v>11</v>
      </c>
      <c r="G10" s="9">
        <f>IF(A10=1,"_",IF(C10="_","???",C10))</f>
        <v/>
      </c>
      <c r="H10" s="10" t="s">
        <v>33</v>
      </c>
      <c r="I10" s="11" t="s">
        <v>17</v>
      </c>
      <c r="J10" s="12" t="s">
        <v>18</v>
      </c>
    </row>
    <row r="11" spans="1:10" ht="60" customHeight="1">
      <c r="A11" s="6" t="s">
        <v>38</v>
      </c>
      <c r="B11" s="6" t="s">
        <v>11</v>
      </c>
      <c r="C11" s="6" t="s">
        <v>11</v>
      </c>
      <c r="D11" s="7" t="s">
        <v>11</v>
      </c>
      <c r="E11" s="8" t="s">
        <v>39</v>
      </c>
      <c r="F11" s="6" t="s">
        <v>11</v>
      </c>
      <c r="G11" s="9">
        <f>IF(A11=1,"_",IF(C11="_","???",C11))</f>
        <v/>
      </c>
      <c r="H11" s="10" t="s">
        <v>35</v>
      </c>
      <c r="I11" s="11" t="s">
        <v>29</v>
      </c>
      <c r="J11" s="12" t="s">
        <v>30</v>
      </c>
    </row>
    <row r="12" spans="1:10" ht="60" customHeight="1">
      <c r="A12" s="6" t="s">
        <v>40</v>
      </c>
      <c r="B12" s="6" t="s">
        <v>11</v>
      </c>
      <c r="C12" s="6" t="s">
        <v>41</v>
      </c>
      <c r="D12" s="7" t="s">
        <v>11</v>
      </c>
      <c r="E12" s="8" t="s">
        <v>42</v>
      </c>
      <c r="F12" s="6" t="s">
        <v>11</v>
      </c>
      <c r="G12" s="9">
        <f>IF(A12=1,"_",IF(C12="_","???",C12))</f>
        <v/>
      </c>
      <c r="H12" s="10" t="s">
        <v>35</v>
      </c>
      <c r="I12" s="11" t="s">
        <v>44</v>
      </c>
      <c r="J12" s="12" t="s">
        <v>45</v>
      </c>
    </row>
    <row r="13" spans="1:10" ht="60" customHeight="1">
      <c r="A13" s="6" t="s">
        <v>46</v>
      </c>
      <c r="B13" s="6" t="s">
        <v>11</v>
      </c>
      <c r="C13" s="6" t="s">
        <v>47</v>
      </c>
      <c r="D13" s="7" t="s">
        <v>11</v>
      </c>
      <c r="E13" s="8" t="s">
        <v>48</v>
      </c>
      <c r="F13" s="6" t="s">
        <v>11</v>
      </c>
      <c r="G13" s="9">
        <f>IF(A13=1,"_",IF(C13="_","???",C13))</f>
        <v/>
      </c>
      <c r="H13" s="10" t="s">
        <v>40</v>
      </c>
      <c r="I13" s="11" t="s">
        <v>17</v>
      </c>
      <c r="J13" s="12" t="s">
        <v>18</v>
      </c>
    </row>
    <row r="14" spans="1:10" ht="60" customHeight="1">
      <c r="A14" s="6" t="s">
        <v>49</v>
      </c>
      <c r="B14" s="6" t="s">
        <v>11</v>
      </c>
      <c r="C14" s="6" t="s">
        <v>22</v>
      </c>
      <c r="D14" s="7" t="s">
        <v>11</v>
      </c>
      <c r="E14" s="8" t="s">
        <v>50</v>
      </c>
      <c r="F14" s="6" t="s">
        <v>11</v>
      </c>
      <c r="G14" s="9">
        <f>IF(A14=1,"_",IF(C14="_","???",C14))</f>
        <v/>
      </c>
      <c r="H14" s="10" t="s">
        <v>46</v>
      </c>
      <c r="I14" s="11" t="s">
        <v>17</v>
      </c>
      <c r="J14" s="12" t="s">
        <v>18</v>
      </c>
    </row>
    <row r="15" spans="1:10" ht="60" customHeight="1">
      <c r="A15" s="6" t="s">
        <v>51</v>
      </c>
      <c r="B15" s="6" t="s">
        <v>11</v>
      </c>
      <c r="C15" s="6" t="s">
        <v>52</v>
      </c>
      <c r="D15" s="7" t="s">
        <v>11</v>
      </c>
      <c r="E15" s="8" t="s">
        <v>53</v>
      </c>
      <c r="F15" s="6" t="s">
        <v>11</v>
      </c>
      <c r="G15" s="9">
        <f>IF(A15=1,"_",IF(C15="_","???",C15))</f>
        <v/>
      </c>
      <c r="H15" s="10" t="s">
        <v>49</v>
      </c>
      <c r="I15" s="11" t="s">
        <v>55</v>
      </c>
      <c r="J15" s="12" t="s">
        <v>56</v>
      </c>
    </row>
    <row r="16" spans="1:10" ht="60" customHeight="1">
      <c r="A16" s="6" t="s">
        <v>57</v>
      </c>
      <c r="B16" s="6" t="s">
        <v>11</v>
      </c>
      <c r="C16" s="6" t="s">
        <v>58</v>
      </c>
      <c r="D16" s="7" t="s">
        <v>11</v>
      </c>
      <c r="E16" s="8" t="s">
        <v>59</v>
      </c>
      <c r="F16" s="6" t="s">
        <v>11</v>
      </c>
      <c r="G16" s="9">
        <f>IF(A16=1,"_",IF(C16="_","???",C16))</f>
        <v/>
      </c>
      <c r="H16" s="10" t="s">
        <v>51</v>
      </c>
      <c r="I16" s="11" t="s">
        <v>61</v>
      </c>
      <c r="J16" s="12" t="s">
        <v>62</v>
      </c>
    </row>
    <row r="17" spans="1:10" ht="60" customHeight="1">
      <c r="A17" s="6" t="s">
        <v>63</v>
      </c>
      <c r="B17" s="6" t="s">
        <v>11</v>
      </c>
      <c r="C17" s="6" t="s">
        <v>14</v>
      </c>
      <c r="D17" s="7" t="s">
        <v>11</v>
      </c>
      <c r="E17" s="8" t="s">
        <v>64</v>
      </c>
      <c r="F17" s="6" t="s">
        <v>11</v>
      </c>
      <c r="G17" s="9">
        <f>IF(A17=1,"_",IF(C17="_","???",C17))</f>
        <v/>
      </c>
      <c r="H17" s="10" t="s">
        <v>57</v>
      </c>
      <c r="I17" s="11" t="s">
        <v>29</v>
      </c>
      <c r="J17" s="12" t="s">
        <v>30</v>
      </c>
    </row>
    <row r="18" spans="1:10" ht="60" customHeight="1">
      <c r="A18" s="6" t="s">
        <v>65</v>
      </c>
      <c r="B18" s="6" t="s">
        <v>11</v>
      </c>
      <c r="C18" s="6" t="s">
        <v>11</v>
      </c>
      <c r="D18" s="7" t="s">
        <v>11</v>
      </c>
      <c r="E18" s="8" t="s">
        <v>66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67</v>
      </c>
      <c r="B19" s="6" t="s">
        <v>11</v>
      </c>
      <c r="C19" s="6" t="s">
        <v>11</v>
      </c>
      <c r="D19" s="7" t="s">
        <v>11</v>
      </c>
      <c r="E19" s="8" t="s">
        <v>68</v>
      </c>
      <c r="F19" s="6" t="s">
        <v>11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69</v>
      </c>
      <c r="B20" s="6" t="s">
        <v>11</v>
      </c>
      <c r="C20" s="6" t="s">
        <v>70</v>
      </c>
      <c r="D20" s="7" t="s">
        <v>11</v>
      </c>
      <c r="E20" s="8" t="s">
        <v>71</v>
      </c>
      <c r="F20" s="6" t="s">
        <v>11</v>
      </c>
      <c r="G20" s="9">
        <f>IF(A20=1,"_",IF(C20="_","???",C20))</f>
        <v/>
      </c>
      <c r="H20" s="10" t="s">
        <v>67</v>
      </c>
      <c r="I20" s="11" t="s">
        <v>73</v>
      </c>
      <c r="J20" s="12" t="s">
        <v>74</v>
      </c>
    </row>
    <row r="21" spans="1:10" ht="60" customHeight="1">
      <c r="A21" s="6" t="s">
        <v>75</v>
      </c>
      <c r="B21" s="6" t="s">
        <v>11</v>
      </c>
      <c r="C21" s="6" t="s">
        <v>22</v>
      </c>
      <c r="D21" s="7" t="s">
        <v>11</v>
      </c>
      <c r="E21" s="8" t="s">
        <v>76</v>
      </c>
      <c r="F21" s="6" t="s">
        <v>11</v>
      </c>
      <c r="G21" s="9">
        <f>IF(A21=1,"_",IF(C21="_","???",C21))</f>
        <v/>
      </c>
      <c r="H21" s="10" t="s">
        <v>69</v>
      </c>
      <c r="I21" s="11" t="s">
        <v>17</v>
      </c>
      <c r="J21" s="12" t="s">
        <v>18</v>
      </c>
    </row>
    <row r="22" spans="1:10" ht="60" customHeight="1">
      <c r="A22" s="6" t="s">
        <v>77</v>
      </c>
      <c r="B22" s="6" t="s">
        <v>11</v>
      </c>
      <c r="C22" s="6" t="s">
        <v>78</v>
      </c>
      <c r="D22" s="7" t="s">
        <v>11</v>
      </c>
      <c r="E22" s="8" t="s">
        <v>79</v>
      </c>
      <c r="F22" s="6" t="s">
        <v>11</v>
      </c>
      <c r="G22" s="9">
        <f>IF(A22=1,"_",IF(C22="_","???",C22))</f>
        <v/>
      </c>
      <c r="H22" s="10" t="s">
        <v>75</v>
      </c>
      <c r="I22" s="11" t="s">
        <v>81</v>
      </c>
      <c r="J22" s="12" t="s">
        <v>82</v>
      </c>
    </row>
    <row r="23" spans="1:10" ht="60" customHeight="1">
      <c r="A23" s="6" t="s">
        <v>83</v>
      </c>
      <c r="B23" s="6" t="s">
        <v>11</v>
      </c>
      <c r="C23" s="6" t="s">
        <v>11</v>
      </c>
      <c r="D23" s="7" t="s">
        <v>11</v>
      </c>
      <c r="E23" s="8" t="s">
        <v>84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85</v>
      </c>
      <c r="B24" s="6" t="s">
        <v>11</v>
      </c>
      <c r="C24" s="6" t="s">
        <v>14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83</v>
      </c>
      <c r="I24" s="11" t="s">
        <v>29</v>
      </c>
      <c r="J24" s="12" t="s">
        <v>30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83</v>
      </c>
      <c r="I25" s="11" t="s">
        <v>29</v>
      </c>
      <c r="J25" s="12" t="s">
        <v>30</v>
      </c>
    </row>
    <row r="26" spans="1:10" ht="60" customHeight="1">
      <c r="A26" s="6" t="s">
        <v>90</v>
      </c>
      <c r="B26" s="6" t="s">
        <v>11</v>
      </c>
      <c r="C26" s="6" t="s">
        <v>14</v>
      </c>
      <c r="D26" s="7" t="s">
        <v>11</v>
      </c>
      <c r="E26" s="8" t="s">
        <v>91</v>
      </c>
      <c r="F26" s="6" t="s">
        <v>11</v>
      </c>
      <c r="G26" s="9">
        <f>IF(A26=1,"_",IF(C26="_","???",C26))</f>
        <v/>
      </c>
      <c r="H26" s="10" t="s">
        <v>87</v>
      </c>
      <c r="I26" s="11" t="s">
        <v>29</v>
      </c>
      <c r="J26" s="12" t="s">
        <v>30</v>
      </c>
    </row>
    <row r="27" spans="1:10" ht="60" customHeight="1">
      <c r="A27" s="6" t="s">
        <v>92</v>
      </c>
      <c r="B27" s="6" t="s">
        <v>11</v>
      </c>
      <c r="C27" s="6" t="s">
        <v>93</v>
      </c>
      <c r="D27" s="7" t="s">
        <v>11</v>
      </c>
      <c r="E27" s="8" t="s">
        <v>94</v>
      </c>
      <c r="F27" s="6" t="s">
        <v>11</v>
      </c>
      <c r="G27" s="9">
        <f>IF(A27=1,"_",IF(C27="_","???",C27))</f>
        <v/>
      </c>
      <c r="H27" s="10" t="s">
        <v>87</v>
      </c>
      <c r="I27" s="11" t="s">
        <v>96</v>
      </c>
      <c r="J27" s="12" t="s">
        <v>97</v>
      </c>
    </row>
    <row r="28" spans="1:10" ht="60" customHeight="1">
      <c r="A28" s="6" t="s">
        <v>98</v>
      </c>
      <c r="B28" s="6" t="s">
        <v>11</v>
      </c>
      <c r="C28" s="6" t="s">
        <v>11</v>
      </c>
      <c r="D28" s="7" t="s">
        <v>11</v>
      </c>
      <c r="E28" s="8" t="s">
        <v>99</v>
      </c>
      <c r="F28" s="6" t="s">
        <v>11</v>
      </c>
      <c r="G28" s="9">
        <f>IF(A28=1,"_",IF(C28="_","???",C28))</f>
        <v/>
      </c>
      <c r="H28" s="10" t="s">
        <v>92</v>
      </c>
      <c r="I28" s="11" t="s">
        <v>101</v>
      </c>
      <c r="J28" s="12" t="s">
        <v>102</v>
      </c>
    </row>
    <row r="29" spans="1:10" ht="60" customHeight="1">
      <c r="A29" s="6" t="s">
        <v>103</v>
      </c>
      <c r="B29" s="6" t="s">
        <v>11</v>
      </c>
      <c r="C29" s="6" t="s">
        <v>11</v>
      </c>
      <c r="D29" s="7" t="s">
        <v>11</v>
      </c>
      <c r="E29" s="8" t="s">
        <v>104</v>
      </c>
      <c r="F29" s="6" t="s">
        <v>11</v>
      </c>
      <c r="G29" s="9">
        <f>IF(A29=1,"_",IF(C29="_","???",C29))</f>
        <v/>
      </c>
      <c r="H29" s="10" t="s">
        <v>98</v>
      </c>
      <c r="I29" s="11" t="s">
        <v>106</v>
      </c>
      <c r="J29" s="12" t="s">
        <v>107</v>
      </c>
    </row>
    <row r="30" spans="1:10" ht="60" customHeight="1">
      <c r="A30" s="6" t="s">
        <v>108</v>
      </c>
      <c r="B30" s="6" t="s">
        <v>11</v>
      </c>
      <c r="C30" s="6" t="s">
        <v>14</v>
      </c>
      <c r="D30" s="7" t="s">
        <v>11</v>
      </c>
      <c r="E30" s="8" t="s">
        <v>109</v>
      </c>
      <c r="F30" s="6" t="s">
        <v>11</v>
      </c>
      <c r="G30" s="9">
        <f>IF(A30=1,"_",IF(C30="_","???",C30))</f>
        <v/>
      </c>
      <c r="H30" s="10" t="s">
        <v>103</v>
      </c>
      <c r="I30" s="11" t="s">
        <v>29</v>
      </c>
      <c r="J30" s="12" t="s">
        <v>30</v>
      </c>
    </row>
    <row r="31" spans="1:10" ht="60" customHeight="1">
      <c r="A31" s="6" t="s">
        <v>110</v>
      </c>
      <c r="B31" s="6" t="s">
        <v>11</v>
      </c>
      <c r="C31" s="6" t="s">
        <v>11</v>
      </c>
      <c r="D31" s="7" t="s">
        <v>11</v>
      </c>
      <c r="E31" s="8" t="s">
        <v>111</v>
      </c>
      <c r="F31" s="6" t="s">
        <v>11</v>
      </c>
      <c r="G31" s="9">
        <f>IF(A31=1,"_",IF(C31="_","???",C31))</f>
        <v/>
      </c>
      <c r="H31" s="10" t="s">
        <v>112</v>
      </c>
      <c r="I31" s="11" t="s">
        <v>113</v>
      </c>
      <c r="J31" s="12"/>
    </row>
    <row r="32" spans="1:10" ht="60" customHeight="1">
      <c r="A32" s="6" t="s">
        <v>112</v>
      </c>
      <c r="B32" s="6" t="s">
        <v>11</v>
      </c>
      <c r="C32" s="6" t="s">
        <v>11</v>
      </c>
      <c r="D32" s="7" t="s">
        <v>11</v>
      </c>
      <c r="E32" s="8" t="s">
        <v>114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115</v>
      </c>
      <c r="B33" s="6" t="s">
        <v>11</v>
      </c>
      <c r="C33" s="6" t="s">
        <v>116</v>
      </c>
      <c r="D33" s="7" t="s">
        <v>11</v>
      </c>
      <c r="E33" s="8" t="s">
        <v>117</v>
      </c>
      <c r="F33" s="6" t="s">
        <v>11</v>
      </c>
      <c r="G33" s="9">
        <f>IF(A33=1,"_",IF(C33="_","???",C33))</f>
        <v/>
      </c>
      <c r="H33" s="10" t="s">
        <v>112</v>
      </c>
      <c r="I33" s="11" t="s">
        <v>17</v>
      </c>
      <c r="J33" s="12" t="s">
        <v>18</v>
      </c>
    </row>
    <row r="34" spans="1:10" ht="60" customHeight="1">
      <c r="A34" s="6" t="s">
        <v>118</v>
      </c>
      <c r="B34" s="6" t="s">
        <v>11</v>
      </c>
      <c r="C34" s="6" t="s">
        <v>22</v>
      </c>
      <c r="D34" s="7" t="s">
        <v>11</v>
      </c>
      <c r="E34" s="8" t="s">
        <v>119</v>
      </c>
      <c r="F34" s="6" t="s">
        <v>11</v>
      </c>
      <c r="G34" s="9">
        <f>IF(A34=1,"_",IF(C34="_","???",C34))</f>
        <v/>
      </c>
      <c r="H34" s="10" t="s">
        <v>115</v>
      </c>
      <c r="I34" s="11" t="s">
        <v>17</v>
      </c>
      <c r="J34" s="12" t="s">
        <v>18</v>
      </c>
    </row>
    <row r="35" spans="1:10" ht="60" customHeight="1">
      <c r="A35" s="6" t="s">
        <v>120</v>
      </c>
      <c r="B35" s="6" t="s">
        <v>11</v>
      </c>
      <c r="C35" s="6" t="s">
        <v>11</v>
      </c>
      <c r="D35" s="7" t="s">
        <v>11</v>
      </c>
      <c r="E35" s="8" t="s">
        <v>121</v>
      </c>
      <c r="F35" s="6" t="s">
        <v>11</v>
      </c>
      <c r="G35" s="9">
        <f>IF(A35=1,"_",IF(C35="_","???",C35))</f>
        <v/>
      </c>
      <c r="H35" s="10" t="s">
        <v>118</v>
      </c>
      <c r="I35" s="11" t="s">
        <v>61</v>
      </c>
      <c r="J35" s="12" t="s">
        <v>62</v>
      </c>
    </row>
    <row r="36" spans="1:10" ht="60" customHeight="1">
      <c r="A36" s="6" t="s">
        <v>122</v>
      </c>
      <c r="B36" s="6" t="s">
        <v>11</v>
      </c>
      <c r="C36" s="6" t="s">
        <v>11</v>
      </c>
      <c r="D36" s="7" t="s">
        <v>11</v>
      </c>
      <c r="E36" s="8" t="s">
        <v>123</v>
      </c>
      <c r="F36" s="6" t="s">
        <v>11</v>
      </c>
      <c r="G36" s="9">
        <f>IF(A36=1,"_",IF(C36="_","???",C36))</f>
        <v/>
      </c>
      <c r="H36" s="10" t="s">
        <v>118</v>
      </c>
      <c r="I36" s="11" t="s">
        <v>96</v>
      </c>
      <c r="J36" s="12" t="s">
        <v>125</v>
      </c>
    </row>
    <row r="37" spans="1:10" ht="60" customHeight="1">
      <c r="A37" s="6" t="s">
        <v>126</v>
      </c>
      <c r="B37" s="6" t="s">
        <v>11</v>
      </c>
      <c r="C37" s="6" t="s">
        <v>41</v>
      </c>
      <c r="D37" s="7" t="s">
        <v>11</v>
      </c>
      <c r="E37" s="8" t="s">
        <v>127</v>
      </c>
      <c r="F37" s="6" t="s">
        <v>11</v>
      </c>
      <c r="G37" s="9">
        <f>IF(A37=1,"_",IF(C37="_","???",C37))</f>
        <v/>
      </c>
      <c r="H37" s="10" t="s">
        <v>122</v>
      </c>
      <c r="I37" s="11" t="s">
        <v>106</v>
      </c>
      <c r="J37" s="12" t="s">
        <v>107</v>
      </c>
    </row>
    <row r="38" spans="1:10" ht="60" customHeight="1">
      <c r="A38" s="6" t="s">
        <v>128</v>
      </c>
      <c r="B38" s="6" t="s">
        <v>11</v>
      </c>
      <c r="C38" s="6" t="s">
        <v>11</v>
      </c>
      <c r="D38" s="7" t="s">
        <v>11</v>
      </c>
      <c r="E38" s="8" t="s">
        <v>129</v>
      </c>
      <c r="F38" s="6" t="s">
        <v>11</v>
      </c>
      <c r="G38" s="9">
        <f>IF(A38=1,"_",IF(C38="_","???",C38))</f>
        <v/>
      </c>
      <c r="H38" s="10" t="s">
        <v>126</v>
      </c>
      <c r="I38" s="11" t="s">
        <v>96</v>
      </c>
      <c r="J38" s="12" t="s">
        <v>97</v>
      </c>
    </row>
    <row r="39" spans="1:10" ht="60" customHeight="1">
      <c r="A39" s="6" t="s">
        <v>130</v>
      </c>
      <c r="B39" s="6" t="s">
        <v>11</v>
      </c>
      <c r="C39" s="6" t="s">
        <v>11</v>
      </c>
      <c r="D39" s="7" t="s">
        <v>11</v>
      </c>
      <c r="E39" s="8" t="s">
        <v>131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132</v>
      </c>
      <c r="B40" s="6" t="s">
        <v>11</v>
      </c>
      <c r="C40" s="6" t="s">
        <v>11</v>
      </c>
      <c r="D40" s="7" t="s">
        <v>11</v>
      </c>
      <c r="E40" s="8" t="s">
        <v>133</v>
      </c>
      <c r="F40" s="6" t="s">
        <v>11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134</v>
      </c>
      <c r="B41" s="6" t="s">
        <v>11</v>
      </c>
      <c r="C41" s="6" t="s">
        <v>14</v>
      </c>
      <c r="D41" s="7" t="s">
        <v>11</v>
      </c>
      <c r="E41" s="8" t="s">
        <v>135</v>
      </c>
      <c r="F41" s="6" t="s">
        <v>11</v>
      </c>
      <c r="G41" s="9">
        <f>IF(A41=1,"_",IF(C41="_","???",C41))</f>
        <v/>
      </c>
      <c r="H41" s="10" t="s">
        <v>132</v>
      </c>
      <c r="I41" s="11" t="s">
        <v>29</v>
      </c>
      <c r="J41" s="12" t="s">
        <v>30</v>
      </c>
    </row>
    <row r="42" spans="1:10" ht="60" customHeight="1">
      <c r="A42" s="6" t="s">
        <v>136</v>
      </c>
      <c r="B42" s="6" t="s">
        <v>11</v>
      </c>
      <c r="C42" s="6" t="s">
        <v>36</v>
      </c>
      <c r="D42" s="7" t="s">
        <v>11</v>
      </c>
      <c r="E42" s="8" t="s">
        <v>137</v>
      </c>
      <c r="F42" s="6" t="s">
        <v>11</v>
      </c>
      <c r="G42" s="9">
        <f>IF(A42=1,"_",IF(C42="_","???",C42))</f>
        <v/>
      </c>
      <c r="H42" s="10" t="s">
        <v>134</v>
      </c>
      <c r="I42" s="11" t="s">
        <v>55</v>
      </c>
      <c r="J42" s="12" t="s">
        <v>56</v>
      </c>
    </row>
    <row r="43" spans="1:10" ht="60" customHeight="1">
      <c r="A43" s="6" t="s">
        <v>138</v>
      </c>
      <c r="B43" s="6" t="s">
        <v>11</v>
      </c>
      <c r="C43" s="6" t="s">
        <v>14</v>
      </c>
      <c r="D43" s="7" t="s">
        <v>11</v>
      </c>
      <c r="E43" s="8" t="s">
        <v>139</v>
      </c>
      <c r="F43" s="6" t="s">
        <v>11</v>
      </c>
      <c r="G43" s="9">
        <f>IF(A43=1,"_",IF(C43="_","???",C43))</f>
        <v/>
      </c>
      <c r="H43" s="10" t="s">
        <v>136</v>
      </c>
      <c r="I43" s="11" t="s">
        <v>29</v>
      </c>
      <c r="J43" s="12" t="s">
        <v>30</v>
      </c>
    </row>
    <row r="44" spans="1:10" ht="60" customHeight="1">
      <c r="A44" s="6" t="s">
        <v>140</v>
      </c>
      <c r="B44" s="6" t="s">
        <v>11</v>
      </c>
      <c r="C44" s="6" t="s">
        <v>11</v>
      </c>
      <c r="D44" s="7" t="s">
        <v>11</v>
      </c>
      <c r="E44" s="8" t="s">
        <v>141</v>
      </c>
      <c r="F44" s="6" t="s">
        <v>11</v>
      </c>
      <c r="G44" s="9">
        <f>IF(A44=1,"_",IF(C44="_","???",C44))</f>
        <v/>
      </c>
      <c r="H44" s="10" t="s">
        <v>138</v>
      </c>
      <c r="I44" s="11" t="s">
        <v>106</v>
      </c>
      <c r="J44" s="12" t="s">
        <v>107</v>
      </c>
    </row>
    <row r="45" spans="1:10" ht="60" customHeight="1">
      <c r="A45" s="6" t="s">
        <v>142</v>
      </c>
      <c r="B45" s="6" t="s">
        <v>11</v>
      </c>
      <c r="C45" s="6" t="s">
        <v>143</v>
      </c>
      <c r="D45" s="7" t="s">
        <v>11</v>
      </c>
      <c r="E45" s="8" t="s">
        <v>144</v>
      </c>
      <c r="F45" s="6" t="s">
        <v>11</v>
      </c>
      <c r="G45" s="9">
        <f>IF(A45=1,"_",IF(C45="_","???",C45))</f>
        <v/>
      </c>
      <c r="H45" s="10" t="s">
        <v>140</v>
      </c>
      <c r="I45" s="11" t="s">
        <v>96</v>
      </c>
      <c r="J45" s="12" t="s">
        <v>97</v>
      </c>
    </row>
    <row r="46" spans="1:10" ht="60" customHeight="1">
      <c r="A46" s="6" t="s">
        <v>145</v>
      </c>
      <c r="B46" s="6" t="s">
        <v>11</v>
      </c>
      <c r="C46" s="6" t="s">
        <v>11</v>
      </c>
      <c r="D46" s="7" t="s">
        <v>11</v>
      </c>
      <c r="E46" s="8" t="s">
        <v>146</v>
      </c>
      <c r="F46" s="6" t="s">
        <v>11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147</v>
      </c>
      <c r="B47" s="6" t="s">
        <v>11</v>
      </c>
      <c r="C47" s="6" t="s">
        <v>11</v>
      </c>
      <c r="D47" s="7" t="s">
        <v>11</v>
      </c>
      <c r="E47" s="8" t="s">
        <v>148</v>
      </c>
      <c r="F47" s="6" t="s">
        <v>11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149</v>
      </c>
      <c r="B48" s="6" t="s">
        <v>11</v>
      </c>
      <c r="C48" s="6" t="s">
        <v>14</v>
      </c>
      <c r="D48" s="7" t="s">
        <v>11</v>
      </c>
      <c r="E48" s="8" t="s">
        <v>150</v>
      </c>
      <c r="F48" s="6" t="s">
        <v>11</v>
      </c>
      <c r="G48" s="9">
        <f>IF(A48=1,"_",IF(C48="_","???",C48))</f>
        <v/>
      </c>
      <c r="H48" s="10" t="s">
        <v>147</v>
      </c>
      <c r="I48" s="11" t="s">
        <v>29</v>
      </c>
      <c r="J48" s="12" t="s">
        <v>30</v>
      </c>
    </row>
    <row r="49" spans="1:10" ht="60" customHeight="1">
      <c r="A49" s="6" t="s">
        <v>151</v>
      </c>
      <c r="B49" s="6" t="s">
        <v>11</v>
      </c>
      <c r="C49" s="6" t="s">
        <v>93</v>
      </c>
      <c r="D49" s="7" t="s">
        <v>11</v>
      </c>
      <c r="E49" s="8" t="s">
        <v>152</v>
      </c>
      <c r="F49" s="6" t="s">
        <v>11</v>
      </c>
      <c r="G49" s="9">
        <f>IF(A49=1,"_",IF(C49="_","???",C49))</f>
        <v/>
      </c>
      <c r="H49" s="10" t="s">
        <v>149</v>
      </c>
      <c r="I49" s="11" t="s">
        <v>96</v>
      </c>
      <c r="J49" s="12" t="s">
        <v>97</v>
      </c>
    </row>
    <row r="50" spans="1:10" ht="60" customHeight="1">
      <c r="A50" s="6" t="s">
        <v>153</v>
      </c>
      <c r="B50" s="6" t="s">
        <v>11</v>
      </c>
      <c r="C50" s="6" t="s">
        <v>11</v>
      </c>
      <c r="D50" s="7" t="s">
        <v>11</v>
      </c>
      <c r="E50" s="8" t="s">
        <v>154</v>
      </c>
      <c r="F50" s="6" t="s">
        <v>11</v>
      </c>
      <c r="G50" s="9">
        <f>IF(A50=1,"_",IF(C50="_","???",C50))</f>
        <v/>
      </c>
      <c r="H50" s="10" t="s">
        <v>155</v>
      </c>
      <c r="I50" s="11" t="s">
        <v>157</v>
      </c>
      <c r="J50" s="12" t="s">
        <v>158</v>
      </c>
    </row>
    <row r="51" spans="1:10" ht="60" customHeight="1">
      <c r="A51" s="6" t="s">
        <v>155</v>
      </c>
      <c r="B51" s="6" t="s">
        <v>11</v>
      </c>
      <c r="C51" s="6" t="s">
        <v>11</v>
      </c>
      <c r="D51" s="7" t="s">
        <v>11</v>
      </c>
      <c r="E51" s="8" t="s">
        <v>159</v>
      </c>
      <c r="F51" s="6" t="s">
        <v>11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160</v>
      </c>
      <c r="B52" s="6" t="s">
        <v>11</v>
      </c>
      <c r="C52" s="6" t="s">
        <v>161</v>
      </c>
      <c r="D52" s="7" t="s">
        <v>11</v>
      </c>
      <c r="E52" s="8" t="s">
        <v>162</v>
      </c>
      <c r="F52" s="6" t="s">
        <v>11</v>
      </c>
      <c r="G52" s="9">
        <f>IF(A52=1,"_",IF(C52="_","???",C52))</f>
        <v/>
      </c>
      <c r="H52" s="10" t="s">
        <v>155</v>
      </c>
      <c r="I52" s="11" t="s">
        <v>17</v>
      </c>
      <c r="J52" s="12" t="s">
        <v>18</v>
      </c>
    </row>
    <row r="53" spans="1:10" ht="60" customHeight="1">
      <c r="A53" s="6" t="s">
        <v>163</v>
      </c>
      <c r="B53" s="6" t="s">
        <v>11</v>
      </c>
      <c r="C53" s="6" t="s">
        <v>11</v>
      </c>
      <c r="D53" s="7" t="s">
        <v>11</v>
      </c>
      <c r="E53" s="8" t="s">
        <v>164</v>
      </c>
      <c r="F53" s="6" t="s">
        <v>11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165</v>
      </c>
      <c r="B54" s="6" t="s">
        <v>11</v>
      </c>
      <c r="C54" s="6" t="s">
        <v>11</v>
      </c>
      <c r="D54" s="7" t="s">
        <v>11</v>
      </c>
      <c r="E54" s="8" t="s">
        <v>166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167</v>
      </c>
      <c r="B55" s="6" t="s">
        <v>11</v>
      </c>
      <c r="C55" s="6" t="s">
        <v>14</v>
      </c>
      <c r="D55" s="7" t="s">
        <v>11</v>
      </c>
      <c r="E55" s="8" t="s">
        <v>168</v>
      </c>
      <c r="F55" s="6" t="s">
        <v>11</v>
      </c>
      <c r="G55" s="9">
        <f>IF(A55=1,"_",IF(C55="_","???",C55))</f>
        <v/>
      </c>
      <c r="H55" s="10" t="s">
        <v>163</v>
      </c>
      <c r="I55" s="11" t="s">
        <v>29</v>
      </c>
      <c r="J55" s="12" t="s">
        <v>30</v>
      </c>
    </row>
    <row r="56" spans="1:10" ht="60" customHeight="1">
      <c r="A56" s="6" t="s">
        <v>169</v>
      </c>
      <c r="B56" s="6" t="s">
        <v>11</v>
      </c>
      <c r="C56" s="6" t="s">
        <v>11</v>
      </c>
      <c r="D56" s="7" t="s">
        <v>11</v>
      </c>
      <c r="E56" s="8" t="s">
        <v>170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171</v>
      </c>
      <c r="B57" s="6" t="s">
        <v>11</v>
      </c>
      <c r="C57" s="6" t="s">
        <v>22</v>
      </c>
      <c r="D57" s="7" t="s">
        <v>11</v>
      </c>
      <c r="E57" s="8" t="s">
        <v>172</v>
      </c>
      <c r="F57" s="6" t="s">
        <v>11</v>
      </c>
      <c r="G57" s="9">
        <f>IF(A57=1,"_",IF(C57="_","???",C57))</f>
        <v/>
      </c>
      <c r="H57" s="10" t="s">
        <v>169</v>
      </c>
      <c r="I57" s="11" t="s">
        <v>17</v>
      </c>
      <c r="J57" s="12" t="s">
        <v>18</v>
      </c>
    </row>
    <row r="58" spans="1:10" ht="60" customHeight="1">
      <c r="A58" s="6" t="s">
        <v>173</v>
      </c>
      <c r="B58" s="6" t="s">
        <v>11</v>
      </c>
      <c r="C58" s="6" t="s">
        <v>11</v>
      </c>
      <c r="D58" s="7" t="s">
        <v>11</v>
      </c>
      <c r="E58" s="8" t="s">
        <v>174</v>
      </c>
      <c r="F58" s="6" t="s">
        <v>11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175</v>
      </c>
      <c r="B59" s="6" t="s">
        <v>11</v>
      </c>
      <c r="C59" s="6" t="s">
        <v>11</v>
      </c>
      <c r="D59" s="7" t="s">
        <v>11</v>
      </c>
      <c r="E59" s="8" t="s">
        <v>176</v>
      </c>
      <c r="F59" s="6" t="s">
        <v>11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177</v>
      </c>
      <c r="B60" s="6" t="s">
        <v>11</v>
      </c>
      <c r="C60" s="6" t="s">
        <v>14</v>
      </c>
      <c r="D60" s="7" t="s">
        <v>11</v>
      </c>
      <c r="E60" s="8" t="s">
        <v>178</v>
      </c>
      <c r="F60" s="6" t="s">
        <v>11</v>
      </c>
      <c r="G60" s="9">
        <f>IF(A60=1,"_",IF(C60="_","???",C60))</f>
        <v/>
      </c>
      <c r="H60" s="10" t="s">
        <v>175</v>
      </c>
      <c r="I60" s="11" t="s">
        <v>61</v>
      </c>
      <c r="J60" s="12" t="s">
        <v>62</v>
      </c>
    </row>
    <row r="61" spans="1:10" ht="60" customHeight="1">
      <c r="A61" s="6" t="s">
        <v>179</v>
      </c>
      <c r="B61" s="6" t="s">
        <v>11</v>
      </c>
      <c r="C61" s="6" t="s">
        <v>180</v>
      </c>
      <c r="D61" s="7" t="s">
        <v>11</v>
      </c>
      <c r="E61" s="8" t="s">
        <v>181</v>
      </c>
      <c r="F61" s="6" t="s">
        <v>11</v>
      </c>
      <c r="G61" s="9">
        <f>IF(A61=1,"_",IF(C61="_","???",C61))</f>
        <v/>
      </c>
      <c r="H61" s="10" t="s">
        <v>177</v>
      </c>
      <c r="I61" s="11" t="s">
        <v>44</v>
      </c>
      <c r="J61" s="12" t="s">
        <v>45</v>
      </c>
    </row>
    <row r="62" spans="1:10" ht="60" customHeight="1">
      <c r="A62" s="6" t="s">
        <v>182</v>
      </c>
      <c r="B62" s="6" t="s">
        <v>11</v>
      </c>
      <c r="C62" s="6" t="s">
        <v>143</v>
      </c>
      <c r="D62" s="7" t="s">
        <v>11</v>
      </c>
      <c r="E62" s="8" t="s">
        <v>183</v>
      </c>
      <c r="F62" s="6" t="s">
        <v>11</v>
      </c>
      <c r="G62" s="9">
        <f>IF(A62=1,"_",IF(C62="_","???",C62))</f>
        <v/>
      </c>
      <c r="H62" s="10" t="s">
        <v>179</v>
      </c>
      <c r="I62" s="11" t="s">
        <v>96</v>
      </c>
      <c r="J62" s="12" t="s">
        <v>97</v>
      </c>
    </row>
    <row r="63" spans="1:10" ht="60" customHeight="1">
      <c r="A63" s="6" t="s">
        <v>184</v>
      </c>
      <c r="B63" s="6" t="s">
        <v>11</v>
      </c>
      <c r="C63" s="6" t="s">
        <v>11</v>
      </c>
      <c r="D63" s="7" t="s">
        <v>11</v>
      </c>
      <c r="E63" s="8" t="s">
        <v>185</v>
      </c>
      <c r="F63" s="6" t="s">
        <v>11</v>
      </c>
      <c r="G63" s="9">
        <f>IF(A63=1,"_",IF(C63="_","???",C63))</f>
        <v/>
      </c>
      <c r="H63" s="10" t="s">
        <v>182</v>
      </c>
      <c r="I63" s="11" t="s">
        <v>101</v>
      </c>
      <c r="J63" s="12" t="s">
        <v>102</v>
      </c>
    </row>
    <row r="64" spans="1:10" ht="60" customHeight="1">
      <c r="A64" s="6" t="s">
        <v>186</v>
      </c>
      <c r="B64" s="6" t="s">
        <v>11</v>
      </c>
      <c r="C64" s="6" t="s">
        <v>14</v>
      </c>
      <c r="D64" s="7" t="s">
        <v>11</v>
      </c>
      <c r="E64" s="8" t="s">
        <v>187</v>
      </c>
      <c r="F64" s="6" t="s">
        <v>11</v>
      </c>
      <c r="G64" s="9">
        <f>IF(A64=1,"_",IF(C64="_","???",C64))</f>
        <v/>
      </c>
      <c r="H64" s="10" t="s">
        <v>184</v>
      </c>
      <c r="I64" s="11" t="s">
        <v>29</v>
      </c>
      <c r="J64" s="12" t="s">
        <v>30</v>
      </c>
    </row>
    <row r="65" spans="1:10" ht="60" customHeight="1">
      <c r="A65" s="6" t="s">
        <v>188</v>
      </c>
      <c r="B65" s="6" t="s">
        <v>11</v>
      </c>
      <c r="C65" s="6" t="s">
        <v>70</v>
      </c>
      <c r="D65" s="7" t="s">
        <v>11</v>
      </c>
      <c r="E65" s="8" t="s">
        <v>189</v>
      </c>
      <c r="F65" s="6" t="s">
        <v>11</v>
      </c>
      <c r="G65" s="9">
        <f>IF(A65=1,"_",IF(C65="_","???",C65))</f>
        <v/>
      </c>
      <c r="H65" s="10" t="s">
        <v>186</v>
      </c>
      <c r="I65" s="11" t="s">
        <v>73</v>
      </c>
      <c r="J65" s="12" t="s">
        <v>74</v>
      </c>
    </row>
    <row r="66" spans="1:10" ht="60" customHeight="1">
      <c r="A66" s="6" t="s">
        <v>190</v>
      </c>
      <c r="B66" s="6" t="s">
        <v>11</v>
      </c>
      <c r="C66" s="6" t="s">
        <v>143</v>
      </c>
      <c r="D66" s="7" t="s">
        <v>11</v>
      </c>
      <c r="E66" s="8" t="s">
        <v>191</v>
      </c>
      <c r="F66" s="6" t="s">
        <v>11</v>
      </c>
      <c r="G66" s="9">
        <f>IF(A66=1,"_",IF(C66="_","???",C66))</f>
        <v/>
      </c>
      <c r="H66" s="10" t="s">
        <v>188</v>
      </c>
      <c r="I66" s="11" t="s">
        <v>55</v>
      </c>
      <c r="J66" s="12" t="s">
        <v>56</v>
      </c>
    </row>
    <row r="67" spans="1:10" ht="60" customHeight="1">
      <c r="A67" s="6" t="s">
        <v>192</v>
      </c>
      <c r="B67" s="6" t="s">
        <v>11</v>
      </c>
      <c r="C67" s="6" t="s">
        <v>14</v>
      </c>
      <c r="D67" s="7" t="s">
        <v>11</v>
      </c>
      <c r="E67" s="8" t="s">
        <v>193</v>
      </c>
      <c r="F67" s="6" t="s">
        <v>11</v>
      </c>
      <c r="G67" s="9">
        <f>IF(A67=1,"_",IF(C67="_","???",C67))</f>
        <v/>
      </c>
      <c r="H67" s="10" t="s">
        <v>190</v>
      </c>
      <c r="I67" s="11" t="s">
        <v>195</v>
      </c>
      <c r="J67" s="12" t="s">
        <v>196</v>
      </c>
    </row>
    <row r="68" spans="1:10" ht="60" customHeight="1">
      <c r="A68" s="6" t="s">
        <v>197</v>
      </c>
      <c r="B68" s="6" t="s">
        <v>11</v>
      </c>
      <c r="C68" s="6" t="s">
        <v>11</v>
      </c>
      <c r="D68" s="7" t="s">
        <v>11</v>
      </c>
      <c r="E68" s="8" t="s">
        <v>198</v>
      </c>
      <c r="F68" s="6" t="s">
        <v>11</v>
      </c>
      <c r="G68" s="9">
        <f>IF(A68=1,"_",IF(C68="_","???",C68))</f>
        <v/>
      </c>
      <c r="H68" s="10" t="s">
        <v>192</v>
      </c>
      <c r="I68" s="11" t="s">
        <v>61</v>
      </c>
      <c r="J68" s="12" t="s">
        <v>62</v>
      </c>
    </row>
    <row r="69" spans="1:10" ht="60" customHeight="1">
      <c r="A69" s="6" t="s">
        <v>199</v>
      </c>
      <c r="B69" s="6" t="s">
        <v>11</v>
      </c>
      <c r="C69" s="6" t="s">
        <v>200</v>
      </c>
      <c r="D69" s="7" t="s">
        <v>11</v>
      </c>
      <c r="E69" s="8" t="s">
        <v>201</v>
      </c>
      <c r="F69" s="6" t="s">
        <v>11</v>
      </c>
      <c r="G69" s="9">
        <f>IF(A69=1,"_",IF(C69="_","???",C69))</f>
        <v/>
      </c>
      <c r="H69" s="10" t="s">
        <v>202</v>
      </c>
      <c r="I69" s="11" t="s">
        <v>113</v>
      </c>
      <c r="J69" s="12"/>
    </row>
    <row r="70" spans="1:10" ht="60" customHeight="1">
      <c r="A70" s="6" t="s">
        <v>202</v>
      </c>
      <c r="B70" s="6" t="s">
        <v>11</v>
      </c>
      <c r="C70" s="6" t="s">
        <v>14</v>
      </c>
      <c r="D70" s="7" t="s">
        <v>11</v>
      </c>
      <c r="E70" s="8" t="s">
        <v>203</v>
      </c>
      <c r="F70" s="6" t="s">
        <v>11</v>
      </c>
      <c r="G70" s="9">
        <f>IF(A70=1,"_",IF(C70="_","???",C70))</f>
        <v/>
      </c>
      <c r="H70" s="10" t="s">
        <v>199</v>
      </c>
      <c r="I70" s="11" t="s">
        <v>29</v>
      </c>
      <c r="J70" s="12" t="s">
        <v>30</v>
      </c>
    </row>
    <row r="71" spans="1:10" ht="60" customHeight="1">
      <c r="A71" s="6" t="s">
        <v>204</v>
      </c>
      <c r="B71" s="6" t="s">
        <v>11</v>
      </c>
      <c r="C71" s="6" t="s">
        <v>11</v>
      </c>
      <c r="D71" s="7" t="s">
        <v>11</v>
      </c>
      <c r="E71" s="8" t="s">
        <v>205</v>
      </c>
      <c r="F71" s="6" t="s">
        <v>11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206</v>
      </c>
      <c r="B72" s="6" t="s">
        <v>11</v>
      </c>
      <c r="C72" s="6" t="s">
        <v>70</v>
      </c>
      <c r="D72" s="7" t="s">
        <v>11</v>
      </c>
      <c r="E72" s="8" t="s">
        <v>207</v>
      </c>
      <c r="F72" s="6" t="s">
        <v>11</v>
      </c>
      <c r="G72" s="9">
        <f>IF(A72=1,"_",IF(C72="_","???",C72))</f>
        <v/>
      </c>
      <c r="H72" s="10" t="s">
        <v>202</v>
      </c>
      <c r="I72" s="11" t="s">
        <v>73</v>
      </c>
      <c r="J72" s="12" t="s">
        <v>74</v>
      </c>
    </row>
    <row r="73" spans="1:10" ht="60" customHeight="1">
      <c r="A73" s="6" t="s">
        <v>208</v>
      </c>
      <c r="B73" s="6" t="s">
        <v>11</v>
      </c>
      <c r="C73" s="6" t="s">
        <v>14</v>
      </c>
      <c r="D73" s="7" t="s">
        <v>11</v>
      </c>
      <c r="E73" s="8" t="s">
        <v>209</v>
      </c>
      <c r="F73" s="6" t="s">
        <v>11</v>
      </c>
      <c r="G73" s="9">
        <f>IF(A73=1,"_",IF(C73="_","???",C73))</f>
        <v/>
      </c>
      <c r="H73" s="10" t="s">
        <v>206</v>
      </c>
      <c r="I73" s="11" t="s">
        <v>29</v>
      </c>
      <c r="J73" s="12" t="s">
        <v>30</v>
      </c>
    </row>
    <row r="74" spans="1:10" ht="60" customHeight="1">
      <c r="A74" s="6" t="s">
        <v>210</v>
      </c>
      <c r="B74" s="6" t="s">
        <v>11</v>
      </c>
      <c r="C74" s="6" t="s">
        <v>211</v>
      </c>
      <c r="D74" s="7" t="s">
        <v>11</v>
      </c>
      <c r="E74" s="8" t="s">
        <v>212</v>
      </c>
      <c r="F74" s="6" t="s">
        <v>11</v>
      </c>
      <c r="G74" s="9">
        <f>IF(A74=1,"_",IF(C74="_","???",C74))</f>
        <v/>
      </c>
      <c r="H74" s="10" t="s">
        <v>208</v>
      </c>
      <c r="I74" s="11" t="s">
        <v>96</v>
      </c>
      <c r="J74" s="12" t="s">
        <v>97</v>
      </c>
    </row>
    <row r="75" spans="1:10" ht="60" customHeight="1">
      <c r="A75" s="6" t="s">
        <v>213</v>
      </c>
      <c r="B75" s="6" t="s">
        <v>11</v>
      </c>
      <c r="C75" s="6" t="s">
        <v>11</v>
      </c>
      <c r="D75" s="7" t="s">
        <v>11</v>
      </c>
      <c r="E75" s="8" t="s">
        <v>214</v>
      </c>
      <c r="F75" s="6" t="s">
        <v>11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215</v>
      </c>
      <c r="B76" s="6" t="s">
        <v>11</v>
      </c>
      <c r="C76" s="6" t="s">
        <v>11</v>
      </c>
      <c r="D76" s="7" t="s">
        <v>11</v>
      </c>
      <c r="E76" s="8" t="s">
        <v>216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217</v>
      </c>
      <c r="B77" s="6" t="s">
        <v>11</v>
      </c>
      <c r="C77" s="6" t="s">
        <v>11</v>
      </c>
      <c r="D77" s="7" t="s">
        <v>11</v>
      </c>
      <c r="E77" s="8" t="s">
        <v>218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219</v>
      </c>
      <c r="B78" s="6" t="s">
        <v>11</v>
      </c>
      <c r="C78" s="6" t="s">
        <v>14</v>
      </c>
      <c r="D78" s="7" t="s">
        <v>11</v>
      </c>
      <c r="E78" s="8" t="s">
        <v>220</v>
      </c>
      <c r="F78" s="6" t="s">
        <v>11</v>
      </c>
      <c r="G78" s="9">
        <f>IF(A78=1,"_",IF(C78="_","???",C78))</f>
        <v/>
      </c>
      <c r="H78" s="10" t="s">
        <v>215</v>
      </c>
      <c r="I78" s="11" t="s">
        <v>17</v>
      </c>
      <c r="J78" s="12" t="s">
        <v>18</v>
      </c>
    </row>
    <row r="79" spans="1:10" ht="60" customHeight="1">
      <c r="A79" s="6" t="s">
        <v>221</v>
      </c>
      <c r="B79" s="6" t="s">
        <v>11</v>
      </c>
      <c r="C79" s="6" t="s">
        <v>14</v>
      </c>
      <c r="D79" s="7" t="s">
        <v>11</v>
      </c>
      <c r="E79" s="8" t="s">
        <v>222</v>
      </c>
      <c r="F79" s="6" t="s">
        <v>11</v>
      </c>
      <c r="G79" s="9">
        <f>IF(A79=1,"_",IF(C79="_","???",C79))</f>
        <v/>
      </c>
      <c r="H79" s="10" t="s">
        <v>219</v>
      </c>
      <c r="I79" s="11" t="s">
        <v>17</v>
      </c>
      <c r="J79" s="12" t="s">
        <v>18</v>
      </c>
    </row>
    <row r="80" spans="1:10" ht="60" customHeight="1">
      <c r="A80" s="6" t="s">
        <v>223</v>
      </c>
      <c r="B80" s="6" t="s">
        <v>11</v>
      </c>
      <c r="C80" s="6" t="s">
        <v>11</v>
      </c>
      <c r="D80" s="7" t="s">
        <v>11</v>
      </c>
      <c r="E80" s="8" t="s">
        <v>224</v>
      </c>
      <c r="F80" s="6" t="s">
        <v>11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225</v>
      </c>
      <c r="B81" s="6" t="s">
        <v>11</v>
      </c>
      <c r="C81" s="6" t="s">
        <v>11</v>
      </c>
      <c r="D81" s="7" t="s">
        <v>11</v>
      </c>
      <c r="E81" s="8" t="s">
        <v>226</v>
      </c>
      <c r="F81" s="6" t="s">
        <v>11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227</v>
      </c>
      <c r="B82" s="6" t="s">
        <v>11</v>
      </c>
      <c r="C82" s="6" t="s">
        <v>41</v>
      </c>
      <c r="D82" s="7" t="s">
        <v>11</v>
      </c>
      <c r="E82" s="8" t="s">
        <v>228</v>
      </c>
      <c r="F82" s="6" t="s">
        <v>11</v>
      </c>
      <c r="G82" s="9">
        <f>IF(A82=1,"_",IF(C82="_","???",C82))</f>
        <v/>
      </c>
      <c r="H82" s="10" t="s">
        <v>225</v>
      </c>
      <c r="I82" s="11" t="s">
        <v>17</v>
      </c>
      <c r="J82" s="12" t="s">
        <v>18</v>
      </c>
    </row>
    <row r="83" spans="1:10" ht="60" customHeight="1">
      <c r="A83" s="6" t="s">
        <v>229</v>
      </c>
      <c r="B83" s="6" t="s">
        <v>11</v>
      </c>
      <c r="C83" s="6" t="s">
        <v>230</v>
      </c>
      <c r="D83" s="7" t="s">
        <v>11</v>
      </c>
      <c r="E83" s="8" t="s">
        <v>231</v>
      </c>
      <c r="F83" s="6" t="s">
        <v>11</v>
      </c>
      <c r="G83" s="9">
        <f>IF(A83=1,"_",IF(C83="_","???",C83))</f>
        <v/>
      </c>
      <c r="H83" s="10" t="s">
        <v>227</v>
      </c>
      <c r="I83" s="11" t="s">
        <v>233</v>
      </c>
      <c r="J83" s="12" t="s">
        <v>234</v>
      </c>
    </row>
    <row r="84" spans="1:10" ht="60" customHeight="1">
      <c r="A84" s="6" t="s">
        <v>235</v>
      </c>
      <c r="B84" s="6" t="s">
        <v>11</v>
      </c>
      <c r="C84" s="6" t="s">
        <v>11</v>
      </c>
      <c r="D84" s="7" t="s">
        <v>11</v>
      </c>
      <c r="E84" s="8" t="s">
        <v>236</v>
      </c>
      <c r="F84" s="6" t="s">
        <v>11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237</v>
      </c>
      <c r="B85" s="6" t="s">
        <v>11</v>
      </c>
      <c r="C85" s="6" t="s">
        <v>41</v>
      </c>
      <c r="D85" s="7" t="s">
        <v>11</v>
      </c>
      <c r="E85" s="8" t="s">
        <v>238</v>
      </c>
      <c r="F85" s="6" t="s">
        <v>11</v>
      </c>
      <c r="G85" s="9">
        <f>IF(A85=1,"_",IF(C85="_","???",C85))</f>
        <v/>
      </c>
      <c r="H85" s="10" t="s">
        <v>235</v>
      </c>
      <c r="I85" s="11" t="s">
        <v>17</v>
      </c>
      <c r="J85" s="12" t="s">
        <v>18</v>
      </c>
    </row>
    <row r="86" spans="1:10" ht="60" customHeight="1">
      <c r="A86" s="6" t="s">
        <v>239</v>
      </c>
      <c r="B86" s="6" t="s">
        <v>11</v>
      </c>
      <c r="C86" s="6" t="s">
        <v>161</v>
      </c>
      <c r="D86" s="7" t="s">
        <v>11</v>
      </c>
      <c r="E86" s="8" t="s">
        <v>240</v>
      </c>
      <c r="F86" s="6" t="s">
        <v>11</v>
      </c>
      <c r="G86" s="9">
        <f>IF(A86=1,"_",IF(C86="_","???",C86))</f>
        <v/>
      </c>
      <c r="H86" s="10" t="s">
        <v>237</v>
      </c>
      <c r="I86" s="11" t="s">
        <v>157</v>
      </c>
      <c r="J86" s="12" t="s">
        <v>158</v>
      </c>
    </row>
    <row r="87" spans="1:10" ht="60" customHeight="1">
      <c r="A87" s="6" t="s">
        <v>241</v>
      </c>
      <c r="B87" s="6" t="s">
        <v>11</v>
      </c>
      <c r="C87" s="6" t="s">
        <v>14</v>
      </c>
      <c r="D87" s="7" t="s">
        <v>11</v>
      </c>
      <c r="E87" s="8" t="s">
        <v>242</v>
      </c>
      <c r="F87" s="6" t="s">
        <v>11</v>
      </c>
      <c r="G87" s="9">
        <f>IF(A87=1,"_",IF(C87="_","???",C87))</f>
        <v/>
      </c>
      <c r="H87" s="10" t="s">
        <v>239</v>
      </c>
      <c r="I87" s="11" t="s">
        <v>17</v>
      </c>
      <c r="J87" s="12" t="s">
        <v>18</v>
      </c>
    </row>
    <row r="88" spans="1:10" ht="60" customHeight="1">
      <c r="A88" s="6" t="s">
        <v>243</v>
      </c>
      <c r="B88" s="6" t="s">
        <v>11</v>
      </c>
      <c r="C88" s="6" t="s">
        <v>230</v>
      </c>
      <c r="D88" s="7" t="s">
        <v>11</v>
      </c>
      <c r="E88" s="8" t="s">
        <v>244</v>
      </c>
      <c r="F88" s="6" t="s">
        <v>11</v>
      </c>
      <c r="G88" s="9">
        <f>IF(A88=1,"_",IF(C88="_","???",C88))</f>
        <v/>
      </c>
      <c r="H88" s="10" t="s">
        <v>241</v>
      </c>
      <c r="I88" s="11" t="s">
        <v>233</v>
      </c>
      <c r="J88" s="12" t="s">
        <v>234</v>
      </c>
    </row>
    <row r="89" spans="1:10" ht="60" customHeight="1">
      <c r="A89" s="6" t="s">
        <v>245</v>
      </c>
      <c r="B89" s="6" t="s">
        <v>11</v>
      </c>
      <c r="C89" s="6" t="s">
        <v>11</v>
      </c>
      <c r="D89" s="7" t="s">
        <v>11</v>
      </c>
      <c r="E89" s="8" t="s">
        <v>246</v>
      </c>
      <c r="F89" s="6" t="s">
        <v>11</v>
      </c>
      <c r="G89" s="9">
        <f>IF(A89=1,"_",IF(C89="_","???",C89))</f>
        <v/>
      </c>
      <c r="H89" s="10" t="s">
        <v>243</v>
      </c>
      <c r="I89" s="11" t="s">
        <v>96</v>
      </c>
      <c r="J89" s="12" t="s">
        <v>125</v>
      </c>
    </row>
    <row r="90" spans="1:10" ht="60" customHeight="1">
      <c r="A90" s="6" t="s">
        <v>247</v>
      </c>
      <c r="B90" s="6" t="s">
        <v>11</v>
      </c>
      <c r="C90" s="6" t="s">
        <v>11</v>
      </c>
      <c r="D90" s="7" t="s">
        <v>11</v>
      </c>
      <c r="E90" s="8" t="s">
        <v>248</v>
      </c>
      <c r="F90" s="6" t="s">
        <v>11</v>
      </c>
      <c r="G90" s="9">
        <f>IF(A90=1,"_",IF(C90="_","???",C90))</f>
        <v/>
      </c>
      <c r="H90" s="10" t="s">
        <v>241</v>
      </c>
      <c r="I90" s="11" t="s">
        <v>101</v>
      </c>
      <c r="J90" s="12" t="s">
        <v>102</v>
      </c>
    </row>
    <row r="91" spans="1:10" ht="60" customHeight="1">
      <c r="A91" s="6" t="s">
        <v>249</v>
      </c>
      <c r="B91" s="6" t="s">
        <v>11</v>
      </c>
      <c r="C91" s="6" t="s">
        <v>93</v>
      </c>
      <c r="D91" s="7" t="s">
        <v>11</v>
      </c>
      <c r="E91" s="8" t="s">
        <v>250</v>
      </c>
      <c r="F91" s="6" t="s">
        <v>11</v>
      </c>
      <c r="G91" s="9">
        <f>IF(A91=1,"_",IF(C91="_","???",C91))</f>
        <v/>
      </c>
      <c r="H91" s="10" t="s">
        <v>247</v>
      </c>
      <c r="I91" s="11" t="s">
        <v>96</v>
      </c>
      <c r="J91" s="12" t="s">
        <v>97</v>
      </c>
    </row>
    <row r="92" spans="1:10" ht="60" customHeight="1">
      <c r="A92" s="6" t="s">
        <v>251</v>
      </c>
      <c r="B92" s="6" t="s">
        <v>11</v>
      </c>
      <c r="C92" s="6" t="s">
        <v>11</v>
      </c>
      <c r="D92" s="7" t="s">
        <v>11</v>
      </c>
      <c r="E92" s="8" t="s">
        <v>252</v>
      </c>
      <c r="F92" s="6" t="s">
        <v>11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253</v>
      </c>
      <c r="B93" s="6" t="s">
        <v>11</v>
      </c>
      <c r="C93" s="6" t="s">
        <v>11</v>
      </c>
      <c r="D93" s="7" t="s">
        <v>11</v>
      </c>
      <c r="E93" s="8" t="s">
        <v>254</v>
      </c>
      <c r="F93" s="6" t="s">
        <v>11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255</v>
      </c>
      <c r="B94" s="6" t="s">
        <v>11</v>
      </c>
      <c r="C94" s="6" t="s">
        <v>11</v>
      </c>
      <c r="D94" s="7" t="s">
        <v>11</v>
      </c>
      <c r="E94" s="8" t="s">
        <v>256</v>
      </c>
      <c r="F94" s="6" t="s">
        <v>11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257</v>
      </c>
      <c r="B95" s="6" t="s">
        <v>11</v>
      </c>
      <c r="C95" s="6" t="s">
        <v>70</v>
      </c>
      <c r="D95" s="7" t="s">
        <v>11</v>
      </c>
      <c r="E95" s="8" t="s">
        <v>258</v>
      </c>
      <c r="F95" s="6" t="s">
        <v>11</v>
      </c>
      <c r="G95" s="9">
        <f>IF(A95=1,"_",IF(C95="_","???",C95))</f>
        <v/>
      </c>
      <c r="H95" s="10" t="s">
        <v>255</v>
      </c>
      <c r="I95" s="11" t="s">
        <v>73</v>
      </c>
      <c r="J95" s="12" t="s">
        <v>74</v>
      </c>
    </row>
    <row r="96" spans="1:10" ht="60" customHeight="1">
      <c r="A96" s="6" t="s">
        <v>259</v>
      </c>
      <c r="B96" s="6" t="s">
        <v>11</v>
      </c>
      <c r="C96" s="6" t="s">
        <v>260</v>
      </c>
      <c r="D96" s="7" t="s">
        <v>11</v>
      </c>
      <c r="E96" s="8" t="s">
        <v>261</v>
      </c>
      <c r="F96" s="6" t="s">
        <v>11</v>
      </c>
      <c r="G96" s="9">
        <f>IF(A96=1,"_",IF(C96="_","???",C96))</f>
        <v/>
      </c>
      <c r="H96" s="10" t="s">
        <v>257</v>
      </c>
      <c r="I96" s="11" t="s">
        <v>263</v>
      </c>
      <c r="J96" s="12" t="s">
        <v>264</v>
      </c>
    </row>
    <row r="97" spans="1:10" ht="60" customHeight="1">
      <c r="A97" s="6" t="s">
        <v>265</v>
      </c>
      <c r="B97" s="6" t="s">
        <v>11</v>
      </c>
      <c r="C97" s="6" t="s">
        <v>266</v>
      </c>
      <c r="D97" s="7" t="s">
        <v>11</v>
      </c>
      <c r="E97" s="8" t="s">
        <v>267</v>
      </c>
      <c r="F97" s="6" t="s">
        <v>11</v>
      </c>
      <c r="G97" s="9">
        <f>IF(A97=1,"_",IF(C97="_","???",C97))</f>
        <v/>
      </c>
      <c r="H97" s="10" t="s">
        <v>259</v>
      </c>
      <c r="I97" s="11" t="s">
        <v>269</v>
      </c>
      <c r="J97" s="12" t="s">
        <v>270</v>
      </c>
    </row>
    <row r="98" spans="1:10" ht="60" customHeight="1">
      <c r="A98" s="6" t="s">
        <v>271</v>
      </c>
      <c r="B98" s="6" t="s">
        <v>11</v>
      </c>
      <c r="C98" s="6" t="s">
        <v>41</v>
      </c>
      <c r="D98" s="7" t="s">
        <v>11</v>
      </c>
      <c r="E98" s="8" t="s">
        <v>272</v>
      </c>
      <c r="F98" s="6" t="s">
        <v>11</v>
      </c>
      <c r="G98" s="9">
        <f>IF(A98=1,"_",IF(C98="_","???",C98))</f>
        <v/>
      </c>
      <c r="H98" s="10" t="s">
        <v>265</v>
      </c>
      <c r="I98" s="11" t="s">
        <v>106</v>
      </c>
      <c r="J98" s="12" t="s">
        <v>107</v>
      </c>
    </row>
    <row r="99" spans="1:10" ht="60" customHeight="1">
      <c r="A99" s="6" t="s">
        <v>273</v>
      </c>
      <c r="B99" s="6" t="s">
        <v>11</v>
      </c>
      <c r="C99" s="6" t="s">
        <v>41</v>
      </c>
      <c r="D99" s="7" t="s">
        <v>11</v>
      </c>
      <c r="E99" s="8" t="s">
        <v>274</v>
      </c>
      <c r="F99" s="6" t="s">
        <v>11</v>
      </c>
      <c r="G99" s="9">
        <f>IF(A99=1,"_",IF(C99="_","???",C99))</f>
        <v/>
      </c>
      <c r="H99" s="10" t="s">
        <v>271</v>
      </c>
      <c r="I99" s="11" t="s">
        <v>106</v>
      </c>
      <c r="J99" s="12" t="s">
        <v>107</v>
      </c>
    </row>
    <row r="100" spans="1:10" ht="60" customHeight="1">
      <c r="A100" s="6" t="s">
        <v>275</v>
      </c>
      <c r="B100" s="6" t="s">
        <v>11</v>
      </c>
      <c r="C100" s="6" t="s">
        <v>11</v>
      </c>
      <c r="D100" s="7" t="s">
        <v>11</v>
      </c>
      <c r="E100" s="8" t="s">
        <v>276</v>
      </c>
      <c r="F100" s="6" t="s">
        <v>11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277</v>
      </c>
      <c r="B101" s="6" t="s">
        <v>11</v>
      </c>
      <c r="C101" s="6" t="s">
        <v>14</v>
      </c>
      <c r="D101" s="7" t="s">
        <v>11</v>
      </c>
      <c r="E101" s="8" t="s">
        <v>278</v>
      </c>
      <c r="F101" s="6" t="s">
        <v>11</v>
      </c>
      <c r="G101" s="9">
        <f>IF(A101=1,"_",IF(C101="_","???",C101))</f>
        <v/>
      </c>
      <c r="H101" s="10" t="s">
        <v>275</v>
      </c>
      <c r="I101" s="11" t="s">
        <v>101</v>
      </c>
      <c r="J101" s="12" t="s">
        <v>102</v>
      </c>
    </row>
    <row r="102" spans="1:10" ht="60" customHeight="1">
      <c r="A102" s="6" t="s">
        <v>279</v>
      </c>
      <c r="B102" s="6" t="s">
        <v>11</v>
      </c>
      <c r="C102" s="6" t="s">
        <v>11</v>
      </c>
      <c r="D102" s="7" t="s">
        <v>11</v>
      </c>
      <c r="E102" s="8" t="s">
        <v>280</v>
      </c>
      <c r="F102" s="6" t="s">
        <v>11</v>
      </c>
      <c r="G102" s="9">
        <f>IF(A102=1,"_",IF(C102="_","???",C102))</f>
        <v/>
      </c>
      <c r="H102" s="10" t="s">
        <v>277</v>
      </c>
      <c r="I102" s="11" t="s">
        <v>29</v>
      </c>
      <c r="J102" s="12" t="s">
        <v>30</v>
      </c>
    </row>
    <row r="103" spans="1:10" ht="60" customHeight="1">
      <c r="A103" s="6" t="s">
        <v>281</v>
      </c>
      <c r="B103" s="6" t="s">
        <v>11</v>
      </c>
      <c r="C103" s="6" t="s">
        <v>11</v>
      </c>
      <c r="D103" s="7" t="s">
        <v>11</v>
      </c>
      <c r="E103" s="8" t="s">
        <v>282</v>
      </c>
      <c r="F103" s="6" t="s">
        <v>11</v>
      </c>
      <c r="G103" s="9">
        <f>IF(A103=1,"_",IF(C103="_","???",C103))</f>
        <v/>
      </c>
      <c r="H103" s="10" t="s">
        <v>279</v>
      </c>
      <c r="I103" s="11" t="s">
        <v>29</v>
      </c>
      <c r="J103" s="12" t="s">
        <v>30</v>
      </c>
    </row>
    <row r="104" spans="1:10" ht="60" customHeight="1">
      <c r="A104" s="6" t="s">
        <v>283</v>
      </c>
      <c r="B104" s="6" t="s">
        <v>11</v>
      </c>
      <c r="C104" s="6" t="s">
        <v>11</v>
      </c>
      <c r="D104" s="7" t="s">
        <v>11</v>
      </c>
      <c r="E104" s="8" t="s">
        <v>284</v>
      </c>
      <c r="F104" s="6" t="s">
        <v>11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285</v>
      </c>
      <c r="B105" s="6" t="s">
        <v>11</v>
      </c>
      <c r="C105" s="6" t="s">
        <v>11</v>
      </c>
      <c r="D105" s="7" t="s">
        <v>11</v>
      </c>
      <c r="E105" s="8" t="s">
        <v>286</v>
      </c>
      <c r="F105" s="6" t="s">
        <v>11</v>
      </c>
      <c r="G105" s="9">
        <f>IF(A105=1,"_",IF(C105="_","???",C105))</f>
        <v/>
      </c>
      <c r="H105" s="10" t="s">
        <v>287</v>
      </c>
      <c r="I105" s="11" t="s">
        <v>289</v>
      </c>
      <c r="J105" s="12" t="s">
        <v>290</v>
      </c>
    </row>
    <row r="106" spans="1:10" ht="60" customHeight="1">
      <c r="A106" s="6" t="s">
        <v>291</v>
      </c>
      <c r="B106" s="6" t="s">
        <v>11</v>
      </c>
      <c r="C106" s="6" t="s">
        <v>11</v>
      </c>
      <c r="D106" s="7" t="s">
        <v>11</v>
      </c>
      <c r="E106" s="8" t="s">
        <v>292</v>
      </c>
      <c r="F106" s="6" t="s">
        <v>11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287</v>
      </c>
      <c r="B107" s="6" t="s">
        <v>11</v>
      </c>
      <c r="C107" s="6" t="s">
        <v>11</v>
      </c>
      <c r="D107" s="7" t="s">
        <v>11</v>
      </c>
      <c r="E107" s="8" t="s">
        <v>293</v>
      </c>
      <c r="F107" s="6" t="s">
        <v>11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294</v>
      </c>
      <c r="B108" s="6" t="s">
        <v>11</v>
      </c>
      <c r="C108" s="6" t="s">
        <v>22</v>
      </c>
      <c r="D108" s="7" t="s">
        <v>11</v>
      </c>
      <c r="E108" s="8" t="s">
        <v>295</v>
      </c>
      <c r="F108" s="6" t="s">
        <v>11</v>
      </c>
      <c r="G108" s="9">
        <f>IF(A108=1,"_",IF(C108="_","???",C108))</f>
        <v/>
      </c>
      <c r="H108" s="10" t="s">
        <v>287</v>
      </c>
      <c r="I108" s="11" t="s">
        <v>106</v>
      </c>
      <c r="J108" s="12" t="s">
        <v>107</v>
      </c>
    </row>
    <row r="109" spans="1:10" ht="60" customHeight="1">
      <c r="A109" s="6" t="s">
        <v>296</v>
      </c>
      <c r="B109" s="6" t="s">
        <v>11</v>
      </c>
      <c r="C109" s="6" t="s">
        <v>11</v>
      </c>
      <c r="D109" s="7" t="s">
        <v>11</v>
      </c>
      <c r="E109" s="8" t="s">
        <v>297</v>
      </c>
      <c r="F109" s="6" t="s">
        <v>11</v>
      </c>
      <c r="G109" s="9">
        <f>IF(A109=1,"_",IF(C109="_","???",C109))</f>
        <v/>
      </c>
      <c r="H109" s="10" t="s">
        <v>294</v>
      </c>
      <c r="I109" s="11" t="s">
        <v>101</v>
      </c>
      <c r="J109" s="12" t="s">
        <v>102</v>
      </c>
    </row>
    <row r="110" spans="1:10" ht="60" customHeight="1">
      <c r="A110" s="6" t="s">
        <v>298</v>
      </c>
      <c r="B110" s="6" t="s">
        <v>11</v>
      </c>
      <c r="C110" s="6" t="s">
        <v>11</v>
      </c>
      <c r="D110" s="7" t="s">
        <v>11</v>
      </c>
      <c r="E110" s="8" t="s">
        <v>299</v>
      </c>
      <c r="F110" s="6" t="s">
        <v>11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300</v>
      </c>
      <c r="B111" s="6" t="s">
        <v>11</v>
      </c>
      <c r="C111" s="6" t="s">
        <v>11</v>
      </c>
      <c r="D111" s="7" t="s">
        <v>11</v>
      </c>
      <c r="E111" s="8" t="s">
        <v>301</v>
      </c>
      <c r="F111" s="6" t="s">
        <v>11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302</v>
      </c>
      <c r="B112" s="6" t="s">
        <v>11</v>
      </c>
      <c r="C112" s="6" t="s">
        <v>11</v>
      </c>
      <c r="D112" s="7" t="s">
        <v>11</v>
      </c>
      <c r="E112" s="8" t="s">
        <v>303</v>
      </c>
      <c r="F112" s="6" t="s">
        <v>11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304</v>
      </c>
      <c r="B113" s="6" t="s">
        <v>11</v>
      </c>
      <c r="C113" s="6" t="s">
        <v>41</v>
      </c>
      <c r="D113" s="7" t="s">
        <v>11</v>
      </c>
      <c r="E113" s="8" t="s">
        <v>305</v>
      </c>
      <c r="F113" s="6" t="s">
        <v>11</v>
      </c>
      <c r="G113" s="9">
        <f>IF(A113=1,"_",IF(C113="_","???",C113))</f>
        <v/>
      </c>
      <c r="H113" s="10" t="s">
        <v>302</v>
      </c>
      <c r="I113" s="11" t="s">
        <v>17</v>
      </c>
      <c r="J113" s="12" t="s">
        <v>18</v>
      </c>
    </row>
    <row r="114" spans="1:10" ht="60" customHeight="1">
      <c r="A114" s="6" t="s">
        <v>306</v>
      </c>
      <c r="B114" s="6" t="s">
        <v>11</v>
      </c>
      <c r="C114" s="6" t="s">
        <v>11</v>
      </c>
      <c r="D114" s="7" t="s">
        <v>11</v>
      </c>
      <c r="E114" s="8" t="s">
        <v>307</v>
      </c>
      <c r="F114" s="6" t="s">
        <v>11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308</v>
      </c>
      <c r="B115" s="6" t="s">
        <v>11</v>
      </c>
      <c r="C115" s="6" t="s">
        <v>14</v>
      </c>
      <c r="D115" s="7" t="s">
        <v>11</v>
      </c>
      <c r="E115" s="8" t="s">
        <v>309</v>
      </c>
      <c r="F115" s="6" t="s">
        <v>11</v>
      </c>
      <c r="G115" s="9">
        <f>IF(A115=1,"_",IF(C115="_","???",C115))</f>
        <v/>
      </c>
      <c r="H115" s="10" t="s">
        <v>306</v>
      </c>
      <c r="I115" s="11" t="s">
        <v>269</v>
      </c>
      <c r="J115" s="12" t="s">
        <v>270</v>
      </c>
    </row>
    <row r="116" spans="1:10" ht="60" customHeight="1">
      <c r="A116" s="6" t="s">
        <v>310</v>
      </c>
      <c r="B116" s="6" t="s">
        <v>11</v>
      </c>
      <c r="C116" s="6" t="s">
        <v>14</v>
      </c>
      <c r="D116" s="7" t="s">
        <v>11</v>
      </c>
      <c r="E116" s="8" t="s">
        <v>311</v>
      </c>
      <c r="F116" s="6" t="s">
        <v>11</v>
      </c>
      <c r="G116" s="9">
        <f>IF(A116=1,"_",IF(C116="_","???",C116))</f>
        <v/>
      </c>
      <c r="H116" s="10" t="s">
        <v>308</v>
      </c>
      <c r="I116" s="11" t="s">
        <v>29</v>
      </c>
      <c r="J116" s="12" t="s">
        <v>30</v>
      </c>
    </row>
    <row r="117" spans="1:10" ht="60" customHeight="1">
      <c r="A117" s="6" t="s">
        <v>312</v>
      </c>
      <c r="B117" s="6" t="s">
        <v>11</v>
      </c>
      <c r="C117" s="6" t="s">
        <v>14</v>
      </c>
      <c r="D117" s="7" t="s">
        <v>11</v>
      </c>
      <c r="E117" s="8" t="s">
        <v>313</v>
      </c>
      <c r="F117" s="6" t="s">
        <v>11</v>
      </c>
      <c r="G117" s="9">
        <f>IF(A117=1,"_",IF(C117="_","???",C117))</f>
        <v/>
      </c>
      <c r="H117" s="10" t="s">
        <v>310</v>
      </c>
      <c r="I117" s="11" t="s">
        <v>29</v>
      </c>
      <c r="J117" s="12" t="s">
        <v>30</v>
      </c>
    </row>
    <row r="118" spans="1:10" ht="60" customHeight="1">
      <c r="A118" s="6" t="s">
        <v>314</v>
      </c>
      <c r="B118" s="6" t="s">
        <v>11</v>
      </c>
      <c r="C118" s="6" t="s">
        <v>11</v>
      </c>
      <c r="D118" s="7" t="s">
        <v>11</v>
      </c>
      <c r="E118" s="8" t="s">
        <v>315</v>
      </c>
      <c r="F118" s="6" t="s">
        <v>11</v>
      </c>
      <c r="G118" s="9">
        <f>IF(A118=1,"_",IF(C118="_","???",C118))</f>
        <v/>
      </c>
      <c r="H118" s="10" t="s">
        <v>312</v>
      </c>
      <c r="I118" s="11" t="s">
        <v>29</v>
      </c>
      <c r="J118" s="12" t="s">
        <v>30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316</v>
      </c>
      <c r="B1" s="13" t="s">
        <v>317</v>
      </c>
      <c r="C1" s="13" t="s">
        <v>318</v>
      </c>
      <c r="D1" s="13" t="s">
        <v>319</v>
      </c>
      <c r="E1" s="14" t="s">
        <v>320</v>
      </c>
      <c r="F1" s="15" t="s">
        <v>321</v>
      </c>
      <c r="G1" s="16" t="s">
        <v>322</v>
      </c>
      <c r="H1" s="17" t="s">
        <v>323</v>
      </c>
      <c r="I1" s="18" t="s">
        <v>324</v>
      </c>
      <c r="J1" s="18" t="s">
        <v>325</v>
      </c>
      <c r="K1" s="18" t="s">
        <v>326</v>
      </c>
      <c r="L1" s="19" t="s">
        <v>9</v>
      </c>
    </row>
    <row r="2" spans="1:12">
      <c r="A2" s="20" t="s">
        <v>327</v>
      </c>
    </row>
    <row r="3" spans="1:12">
      <c r="A3" s="20" t="s">
        <v>11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328</v>
      </c>
      <c r="B4" s="27" t="s">
        <v>329</v>
      </c>
      <c r="C4" s="27" t="s">
        <v>330</v>
      </c>
      <c r="D4" s="27" t="s">
        <v>331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332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333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334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335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336</v>
      </c>
      <c r="B9" s="27" t="s">
        <v>337</v>
      </c>
      <c r="C9" s="27" t="s">
        <v>338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339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340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341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342</v>
      </c>
    </row>
    <row r="15" spans="1:12">
      <c r="A15" s="20" t="s">
        <v>343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344</v>
      </c>
      <c r="B16" s="27" t="s">
        <v>345</v>
      </c>
      <c r="C16" s="27" t="s">
        <v>338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346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347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348</v>
      </c>
      <c r="B19" s="27" t="s">
        <v>329</v>
      </c>
      <c r="C19" s="27" t="s">
        <v>330</v>
      </c>
      <c r="D19" s="27" t="s">
        <v>331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349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350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333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351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352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353</v>
      </c>
      <c r="B25" s="27" t="s">
        <v>337</v>
      </c>
      <c r="C25" s="27" t="s">
        <v>354</v>
      </c>
      <c r="D25" s="27" t="s">
        <v>331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333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355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356</v>
      </c>
      <c r="B28" s="27" t="s">
        <v>357</v>
      </c>
      <c r="C28" s="27" t="s">
        <v>358</v>
      </c>
      <c r="D28" s="27" t="s">
        <v>331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359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360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361</v>
      </c>
      <c r="B31" s="27" t="s">
        <v>357</v>
      </c>
      <c r="C31" s="27" t="s">
        <v>354</v>
      </c>
      <c r="D31" s="27" t="s">
        <v>331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335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362</v>
      </c>
      <c r="B33" s="27" t="s">
        <v>363</v>
      </c>
      <c r="C33" s="27" t="s">
        <v>338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364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366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367</v>
      </c>
      <c r="B37" s="27" t="s">
        <v>368</v>
      </c>
      <c r="C37" s="27" t="s">
        <v>369</v>
      </c>
      <c r="D37" s="27" t="s">
        <v>331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346</v>
      </c>
      <c r="B38" s="27" t="s">
        <v>370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371</v>
      </c>
      <c r="B39" s="27" t="s">
        <v>372</v>
      </c>
      <c r="C39" s="27" t="s">
        <v>373</v>
      </c>
      <c r="D39" s="27" t="s">
        <v>331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374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333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333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375</v>
      </c>
      <c r="B43" s="27" t="s">
        <v>370</v>
      </c>
      <c r="C43" s="27" t="s">
        <v>330</v>
      </c>
      <c r="D43" s="27" t="s">
        <v>331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341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/>
    </row>
    <row r="46" spans="1:12">
      <c r="A46" s="20" t="s">
        <v>376</v>
      </c>
    </row>
    <row r="47" spans="1:12">
      <c r="A47" s="20" t="s">
        <v>377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375</v>
      </c>
      <c r="B48" s="27" t="s">
        <v>378</v>
      </c>
      <c r="C48" s="27" t="s">
        <v>338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364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379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380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359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381</v>
      </c>
      <c r="B53" s="27" t="s">
        <v>337</v>
      </c>
      <c r="C53" s="27" t="s">
        <v>330</v>
      </c>
      <c r="D53" s="27" t="s">
        <v>331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346</v>
      </c>
      <c r="B54" s="27" t="s">
        <v>382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383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384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364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385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386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387</v>
      </c>
      <c r="B60" s="27" t="s">
        <v>388</v>
      </c>
      <c r="C60" s="27" t="s">
        <v>389</v>
      </c>
      <c r="D60" s="27" t="s">
        <v>331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390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391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392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391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333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393</v>
      </c>
      <c r="B66" s="27" t="s">
        <v>357</v>
      </c>
      <c r="C66" s="27" t="s">
        <v>358</v>
      </c>
      <c r="D66" s="27" t="s">
        <v>331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356</v>
      </c>
      <c r="B67" s="27" t="s">
        <v>363</v>
      </c>
      <c r="C67" s="27" t="s">
        <v>358</v>
      </c>
      <c r="D67" s="27" t="s">
        <v>331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359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394</v>
      </c>
      <c r="B69" s="27" t="s">
        <v>363</v>
      </c>
      <c r="C69" s="27" t="s">
        <v>330</v>
      </c>
      <c r="D69" s="27" t="s">
        <v>331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341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395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396</v>
      </c>
    </row>
    <row r="74" spans="1:12">
      <c r="A74" s="20" t="s">
        <v>397</v>
      </c>
      <c r="B74" s="27" t="s">
        <v>398</v>
      </c>
      <c r="C74" s="27" t="s">
        <v>373</v>
      </c>
      <c r="D74" s="27" t="s">
        <v>331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399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400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401</v>
      </c>
      <c r="B77" s="27" t="s">
        <v>345</v>
      </c>
      <c r="C77" s="27" t="s">
        <v>402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403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404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381</v>
      </c>
      <c r="B80" s="27" t="s">
        <v>405</v>
      </c>
      <c r="C80" s="27" t="s">
        <v>389</v>
      </c>
      <c r="D80" s="27" t="s">
        <v>331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364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406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364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407</v>
      </c>
      <c r="B84" s="27" t="s">
        <v>368</v>
      </c>
      <c r="C84" s="27" t="s">
        <v>358</v>
      </c>
      <c r="D84" s="27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367</v>
      </c>
      <c r="B85" s="27" t="s">
        <v>408</v>
      </c>
      <c r="C85" s="27" t="s">
        <v>373</v>
      </c>
      <c r="D85" s="27" t="s">
        <v>331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409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410</v>
      </c>
      <c r="B87" s="27" t="s">
        <v>411</v>
      </c>
      <c r="C87" s="27" t="s">
        <v>338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364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412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413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414</v>
      </c>
      <c r="B91" s="27" t="s">
        <v>415</v>
      </c>
      <c r="C91" s="27" t="s">
        <v>338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416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417</v>
      </c>
      <c r="B94" s="27" t="s">
        <v>418</v>
      </c>
      <c r="C94" s="27" t="s">
        <v>338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367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419</v>
      </c>
      <c r="B97" s="27" t="s">
        <v>418</v>
      </c>
      <c r="C97" s="27" t="s">
        <v>330</v>
      </c>
      <c r="D97" s="27" t="s">
        <v>331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341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/>
    </row>
    <row r="100" spans="1:12">
      <c r="A100" s="20" t="s">
        <v>420</v>
      </c>
    </row>
    <row r="101" spans="1:12">
      <c r="A101" s="20" t="s">
        <v>421</v>
      </c>
      <c r="B101" s="27" t="s">
        <v>398</v>
      </c>
      <c r="C101" s="27" t="s">
        <v>369</v>
      </c>
      <c r="D101" s="27" t="s">
        <v>331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422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400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423</v>
      </c>
      <c r="B104" s="27" t="s">
        <v>378</v>
      </c>
      <c r="C104" s="27" t="s">
        <v>402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346</v>
      </c>
      <c r="B105" s="27" t="s">
        <v>405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424</v>
      </c>
      <c r="B106" s="27" t="s">
        <v>425</v>
      </c>
      <c r="C106" s="27" t="s">
        <v>373</v>
      </c>
      <c r="D106" s="27" t="s">
        <v>331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426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427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428</v>
      </c>
    </row>
    <row r="111" spans="1:12">
      <c r="A111" s="20" t="s">
        <v>429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367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430</v>
      </c>
      <c r="B113" s="27" t="s">
        <v>398</v>
      </c>
      <c r="C113" s="27" t="s">
        <v>330</v>
      </c>
      <c r="D113" s="27" t="s">
        <v>331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356</v>
      </c>
      <c r="B114" s="27" t="s">
        <v>388</v>
      </c>
      <c r="C114" s="27" t="s">
        <v>358</v>
      </c>
      <c r="D114" s="27" t="s">
        <v>331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367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431</v>
      </c>
      <c r="B116" s="27" t="s">
        <v>398</v>
      </c>
      <c r="C116" s="27" t="s">
        <v>330</v>
      </c>
      <c r="D116" s="27" t="s">
        <v>331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432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433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375</v>
      </c>
      <c r="B120" s="27" t="s">
        <v>405</v>
      </c>
      <c r="C120" s="27" t="s">
        <v>330</v>
      </c>
      <c r="D120" s="27" t="s">
        <v>331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332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366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359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434</v>
      </c>
      <c r="B124" s="27" t="s">
        <v>378</v>
      </c>
      <c r="C124" s="27" t="s">
        <v>330</v>
      </c>
      <c r="D124" s="27" t="s">
        <v>331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356</v>
      </c>
      <c r="B125" s="27" t="s">
        <v>378</v>
      </c>
      <c r="C125" s="27" t="s">
        <v>358</v>
      </c>
      <c r="D125" s="27" t="s">
        <v>331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347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348</v>
      </c>
      <c r="B127" s="27" t="s">
        <v>378</v>
      </c>
      <c r="C127" s="27" t="s">
        <v>330</v>
      </c>
      <c r="D127" s="27" t="s">
        <v>331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435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364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347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436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348</v>
      </c>
      <c r="B132" s="27" t="s">
        <v>378</v>
      </c>
      <c r="C132" s="27" t="s">
        <v>354</v>
      </c>
      <c r="D132" s="27" t="s">
        <v>331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385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386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347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437</v>
      </c>
      <c r="B136" s="27" t="s">
        <v>388</v>
      </c>
      <c r="C136" s="27" t="s">
        <v>354</v>
      </c>
      <c r="D136" s="27" t="s">
        <v>331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438</v>
      </c>
      <c r="B138" s="27" t="s">
        <v>357</v>
      </c>
      <c r="C138" s="27" t="s">
        <v>338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439</v>
      </c>
      <c r="B141" s="27" t="s">
        <v>378</v>
      </c>
      <c r="C141" s="27" t="s">
        <v>330</v>
      </c>
      <c r="D141" s="27" t="s">
        <v>331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391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359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440</v>
      </c>
      <c r="B144" s="27" t="s">
        <v>378</v>
      </c>
      <c r="C144" s="27" t="s">
        <v>330</v>
      </c>
      <c r="D144" s="27" t="s">
        <v>331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341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/>
    </row>
    <row r="147" spans="1:12">
      <c r="A147" s="20" t="s">
        <v>441</v>
      </c>
    </row>
    <row r="148" spans="1:12">
      <c r="A148" s="20" t="s">
        <v>442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346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443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444</v>
      </c>
      <c r="B151" s="27" t="s">
        <v>329</v>
      </c>
      <c r="C151" s="27" t="s">
        <v>402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445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422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446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447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356</v>
      </c>
      <c r="B156" s="27" t="s">
        <v>388</v>
      </c>
      <c r="C156" s="27" t="s">
        <v>358</v>
      </c>
      <c r="D156" s="27" t="s">
        <v>331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367</v>
      </c>
      <c r="B157" s="27" t="s">
        <v>388</v>
      </c>
      <c r="C157" s="27" t="s">
        <v>369</v>
      </c>
      <c r="D157" s="27" t="s">
        <v>331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346</v>
      </c>
      <c r="B158" s="27" t="s">
        <v>408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448</v>
      </c>
      <c r="B159" s="27" t="s">
        <v>382</v>
      </c>
      <c r="C159" s="27" t="s">
        <v>373</v>
      </c>
      <c r="D159" s="27" t="s">
        <v>331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449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450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451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452</v>
      </c>
      <c r="B164" s="27" t="s">
        <v>363</v>
      </c>
      <c r="C164" s="27" t="s">
        <v>338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356</v>
      </c>
      <c r="B165" s="27" t="s">
        <v>368</v>
      </c>
      <c r="C165" s="27" t="s">
        <v>358</v>
      </c>
      <c r="D165" s="27" t="s">
        <v>331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367</v>
      </c>
      <c r="B166" s="27" t="s">
        <v>368</v>
      </c>
      <c r="C166" s="27" t="s">
        <v>369</v>
      </c>
      <c r="D166" s="27" t="s">
        <v>331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346</v>
      </c>
      <c r="B167" s="27" t="s">
        <v>372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453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391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364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454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455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456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364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356</v>
      </c>
      <c r="B175" s="27" t="s">
        <v>370</v>
      </c>
      <c r="C175" s="27" t="s">
        <v>358</v>
      </c>
      <c r="D175" s="27" t="s">
        <v>331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367</v>
      </c>
      <c r="B176" s="27" t="s">
        <v>457</v>
      </c>
      <c r="C176" s="27" t="s">
        <v>369</v>
      </c>
      <c r="D176" s="27" t="s">
        <v>331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346</v>
      </c>
      <c r="B177" s="27" t="s">
        <v>458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412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459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341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460</v>
      </c>
    </row>
    <row r="183" spans="1:12">
      <c r="A183" s="20" t="s">
        <v>461</v>
      </c>
      <c r="B183" s="27" t="s">
        <v>378</v>
      </c>
      <c r="C183" s="27" t="s">
        <v>338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462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367</v>
      </c>
      <c r="B185" s="27" t="s">
        <v>378</v>
      </c>
      <c r="C185" s="27" t="s">
        <v>369</v>
      </c>
      <c r="D185" s="27" t="s">
        <v>331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346</v>
      </c>
      <c r="B186" s="27" t="s">
        <v>405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463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464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341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/>
    </row>
    <row r="191" spans="1:12">
      <c r="A191" s="20" t="s">
        <v>465</v>
      </c>
    </row>
    <row r="192" spans="1:12">
      <c r="A192" s="20" t="s">
        <v>466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467</v>
      </c>
      <c r="B194" s="27" t="s">
        <v>345</v>
      </c>
      <c r="C194" s="27" t="s">
        <v>402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346</v>
      </c>
      <c r="B195" s="27" t="s">
        <v>382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332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333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468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391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333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469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470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471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472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473</v>
      </c>
      <c r="B205" s="27" t="s">
        <v>337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474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475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335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476</v>
      </c>
      <c r="B209" s="27" t="s">
        <v>357</v>
      </c>
      <c r="C209" s="27" t="s">
        <v>354</v>
      </c>
      <c r="D209" s="27" t="s">
        <v>331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477</v>
      </c>
      <c r="B211" s="27" t="s">
        <v>363</v>
      </c>
      <c r="C211" s="27" t="s">
        <v>354</v>
      </c>
      <c r="D211" s="27" t="s">
        <v>331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356</v>
      </c>
      <c r="B212" s="27" t="s">
        <v>368</v>
      </c>
      <c r="C212" s="27" t="s">
        <v>358</v>
      </c>
      <c r="D212" s="27" t="s">
        <v>331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347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38</v>
      </c>
      <c r="B214" s="27" t="s">
        <v>329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474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475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478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407</v>
      </c>
      <c r="B218" s="27" t="s">
        <v>357</v>
      </c>
      <c r="C218" s="27" t="s">
        <v>358</v>
      </c>
      <c r="D218" s="27" t="s">
        <v>331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367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479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356</v>
      </c>
      <c r="B221" s="27" t="s">
        <v>363</v>
      </c>
      <c r="C221" s="27" t="s">
        <v>358</v>
      </c>
      <c r="D221" s="27" t="s">
        <v>331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367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480</v>
      </c>
      <c r="B223" s="27" t="s">
        <v>368</v>
      </c>
      <c r="C223" s="27" t="s">
        <v>330</v>
      </c>
      <c r="D223" s="27" t="s">
        <v>331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470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481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482</v>
      </c>
      <c r="B226" s="27" t="s">
        <v>370</v>
      </c>
      <c r="C226" s="27" t="s">
        <v>338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483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484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356</v>
      </c>
      <c r="B230" s="27" t="s">
        <v>485</v>
      </c>
      <c r="C230" s="27" t="s">
        <v>358</v>
      </c>
      <c r="D230" s="27" t="s">
        <v>331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367</v>
      </c>
      <c r="B231" s="27" t="s">
        <v>457</v>
      </c>
      <c r="C231" s="27" t="s">
        <v>369</v>
      </c>
      <c r="D231" s="27" t="s">
        <v>331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346</v>
      </c>
      <c r="B232" s="27" t="s">
        <v>486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487</v>
      </c>
      <c r="B233" s="27" t="s">
        <v>486</v>
      </c>
      <c r="C233" s="27" t="s">
        <v>373</v>
      </c>
      <c r="D233" s="27" t="s">
        <v>331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488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489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490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491</v>
      </c>
    </row>
    <row r="239" spans="1:12">
      <c r="A239" s="20" t="s">
        <v>470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391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359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492</v>
      </c>
      <c r="B242" s="27" t="s">
        <v>329</v>
      </c>
      <c r="C242" s="27" t="s">
        <v>330</v>
      </c>
      <c r="D242" s="27" t="s">
        <v>331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364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346</v>
      </c>
      <c r="B244" s="27" t="s">
        <v>382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493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359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360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494</v>
      </c>
      <c r="B248" s="27" t="s">
        <v>357</v>
      </c>
      <c r="C248" s="27" t="s">
        <v>330</v>
      </c>
      <c r="D248" s="27" t="s">
        <v>331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495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333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496</v>
      </c>
      <c r="B251" s="27" t="s">
        <v>363</v>
      </c>
      <c r="C251" s="27" t="s">
        <v>330</v>
      </c>
      <c r="D251" s="27" t="s">
        <v>331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497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364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498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333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499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341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/>
    </row>
    <row r="259" spans="1:12">
      <c r="A259" s="20" t="s">
        <v>500</v>
      </c>
    </row>
    <row r="260" spans="1:12">
      <c r="A260" s="20" t="s">
        <v>501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364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404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493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387</v>
      </c>
      <c r="B264" s="27" t="s">
        <v>378</v>
      </c>
      <c r="C264" s="27" t="s">
        <v>389</v>
      </c>
      <c r="D264" s="27" t="s">
        <v>331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390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391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392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364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502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503</v>
      </c>
      <c r="B270" s="27" t="s">
        <v>329</v>
      </c>
      <c r="C270" s="27" t="s">
        <v>369</v>
      </c>
      <c r="D270" s="27" t="s">
        <v>331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422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504</v>
      </c>
      <c r="B273" s="27" t="s">
        <v>378</v>
      </c>
      <c r="C273" s="27" t="s">
        <v>505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341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506</v>
      </c>
    </row>
    <row r="277" spans="1:12">
      <c r="A277" s="20" t="s">
        <v>507</v>
      </c>
      <c r="B277" s="27" t="s">
        <v>398</v>
      </c>
      <c r="C277" s="27" t="s">
        <v>369</v>
      </c>
      <c r="D277" s="27" t="s">
        <v>331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493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387</v>
      </c>
      <c r="B279" s="27" t="s">
        <v>378</v>
      </c>
      <c r="C279" s="27" t="s">
        <v>338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508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364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509</v>
      </c>
      <c r="B283" s="27" t="s">
        <v>329</v>
      </c>
      <c r="C283" s="27" t="s">
        <v>369</v>
      </c>
      <c r="D283" s="27" t="s">
        <v>331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510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511</v>
      </c>
      <c r="B285" s="27" t="s">
        <v>337</v>
      </c>
      <c r="C285" s="27" t="s">
        <v>338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512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513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407</v>
      </c>
      <c r="B288" s="27" t="s">
        <v>363</v>
      </c>
      <c r="C288" s="27" t="s">
        <v>358</v>
      </c>
      <c r="D288" s="27" t="s">
        <v>331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367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514</v>
      </c>
      <c r="B290" s="27" t="s">
        <v>363</v>
      </c>
      <c r="C290" s="27" t="s">
        <v>330</v>
      </c>
      <c r="D290" s="27" t="s">
        <v>331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391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407</v>
      </c>
      <c r="B292" s="27" t="s">
        <v>363</v>
      </c>
      <c r="C292" s="27" t="s">
        <v>358</v>
      </c>
      <c r="D292" s="27" t="s">
        <v>331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367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515</v>
      </c>
      <c r="B294" s="27" t="s">
        <v>516</v>
      </c>
      <c r="C294" s="27" t="s">
        <v>330</v>
      </c>
      <c r="D294" s="27" t="s">
        <v>331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517</v>
      </c>
    </row>
    <row r="298" spans="1:12">
      <c r="A298" s="20" t="s">
        <v>518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383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519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488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520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339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341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522</v>
      </c>
    </row>
    <row r="309" spans="1:12">
      <c r="A309" s="20" t="s">
        <v>523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524</v>
      </c>
      <c r="B310" s="27" t="s">
        <v>329</v>
      </c>
      <c r="C310" s="27" t="s">
        <v>330</v>
      </c>
      <c r="D310" s="27" t="s">
        <v>331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426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489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525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503</v>
      </c>
      <c r="B314" s="27" t="s">
        <v>425</v>
      </c>
      <c r="C314" s="27" t="s">
        <v>369</v>
      </c>
      <c r="D314" s="27" t="s">
        <v>331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429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527</v>
      </c>
      <c r="B318" s="27" t="s">
        <v>405</v>
      </c>
      <c r="C318" s="27" t="s">
        <v>354</v>
      </c>
      <c r="D318" s="27" t="s">
        <v>331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366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333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528</v>
      </c>
      <c r="B321" s="27" t="s">
        <v>363</v>
      </c>
      <c r="C321" s="27" t="s">
        <v>330</v>
      </c>
      <c r="D321" s="27" t="s">
        <v>331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391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529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454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530</v>
      </c>
      <c r="B326" s="27" t="s">
        <v>408</v>
      </c>
      <c r="C326" s="27" t="s">
        <v>358</v>
      </c>
      <c r="D326" s="27" t="s">
        <v>331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509</v>
      </c>
      <c r="B327" s="27" t="s">
        <v>408</v>
      </c>
      <c r="C327" s="27" t="s">
        <v>369</v>
      </c>
      <c r="D327" s="27" t="s">
        <v>331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341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/>
    </row>
    <row r="330" spans="1:12">
      <c r="A330" s="20" t="s">
        <v>531</v>
      </c>
    </row>
    <row r="331" spans="1:12">
      <c r="A331" s="20" t="s">
        <v>532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371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533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341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/>
    </row>
    <row r="337" spans="1:12">
      <c r="A337" s="20" t="s">
        <v>534</v>
      </c>
    </row>
    <row r="338" spans="1:12">
      <c r="A338" s="20" t="s">
        <v>535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536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509</v>
      </c>
      <c r="B340" s="27" t="s">
        <v>345</v>
      </c>
      <c r="C340" s="27" t="s">
        <v>369</v>
      </c>
      <c r="D340" s="27" t="s">
        <v>331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537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538</v>
      </c>
      <c r="B343" s="27" t="s">
        <v>378</v>
      </c>
      <c r="C343" s="27" t="s">
        <v>338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341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539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540</v>
      </c>
      <c r="B346" s="27" t="s">
        <v>378</v>
      </c>
      <c r="C346" s="27" t="s">
        <v>338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541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542</v>
      </c>
    </row>
    <row r="350" spans="1:12">
      <c r="A350" s="20" t="s">
        <v>543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509</v>
      </c>
      <c r="B351" s="27" t="s">
        <v>398</v>
      </c>
      <c r="C351" s="27" t="s">
        <v>369</v>
      </c>
      <c r="D351" s="27" t="s">
        <v>331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544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545</v>
      </c>
    </row>
    <row r="355" spans="1:12">
      <c r="A355" s="20" t="s">
        <v>344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529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371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359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546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547</v>
      </c>
      <c r="B360" s="27" t="s">
        <v>425</v>
      </c>
      <c r="C360" s="27" t="s">
        <v>354</v>
      </c>
      <c r="D360" s="27" t="s">
        <v>331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335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444</v>
      </c>
      <c r="B362" s="27" t="s">
        <v>363</v>
      </c>
      <c r="C362" s="27" t="s">
        <v>338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493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548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407</v>
      </c>
      <c r="B365" s="27" t="s">
        <v>357</v>
      </c>
      <c r="C365" s="27" t="s">
        <v>358</v>
      </c>
      <c r="D365" s="27" t="s">
        <v>331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549</v>
      </c>
      <c r="B367" s="27" t="s">
        <v>405</v>
      </c>
      <c r="C367" s="27" t="s">
        <v>330</v>
      </c>
      <c r="D367" s="27" t="s">
        <v>331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335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550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341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/>
    </row>
    <row r="372" spans="1:12">
      <c r="A372" s="20" t="s">
        <v>551</v>
      </c>
    </row>
    <row r="373" spans="1:12">
      <c r="A373" s="20" t="s">
        <v>552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346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347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348</v>
      </c>
      <c r="B376" s="27" t="s">
        <v>329</v>
      </c>
      <c r="C376" s="27" t="s">
        <v>330</v>
      </c>
      <c r="D376" s="27" t="s">
        <v>331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364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553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554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432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555</v>
      </c>
      <c r="B382" s="27" t="s">
        <v>408</v>
      </c>
      <c r="C382" s="27" t="s">
        <v>402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432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556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371</v>
      </c>
      <c r="B385" s="27" t="s">
        <v>415</v>
      </c>
      <c r="C385" s="27" t="s">
        <v>373</v>
      </c>
      <c r="D385" s="27" t="s">
        <v>331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557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554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432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347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558</v>
      </c>
      <c r="B391" s="27" t="s">
        <v>388</v>
      </c>
      <c r="C391" s="27" t="s">
        <v>330</v>
      </c>
      <c r="D391" s="27" t="s">
        <v>331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559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364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560</v>
      </c>
      <c r="B394" s="27" t="s">
        <v>337</v>
      </c>
      <c r="C394" s="27" t="s">
        <v>354</v>
      </c>
      <c r="D394" s="27" t="s">
        <v>331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386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561</v>
      </c>
      <c r="B397" s="27" t="s">
        <v>357</v>
      </c>
      <c r="C397" s="27" t="s">
        <v>354</v>
      </c>
      <c r="D397" s="27" t="s">
        <v>331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335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562</v>
      </c>
      <c r="B399" s="27" t="s">
        <v>363</v>
      </c>
      <c r="C399" s="27" t="s">
        <v>338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364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563</v>
      </c>
      <c r="B401" s="27" t="s">
        <v>368</v>
      </c>
      <c r="C401" s="27" t="s">
        <v>354</v>
      </c>
      <c r="D401" s="27" t="s">
        <v>331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335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564</v>
      </c>
      <c r="B403" s="27" t="s">
        <v>418</v>
      </c>
      <c r="C403" s="27" t="s">
        <v>338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364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565</v>
      </c>
      <c r="B405" s="27" t="s">
        <v>368</v>
      </c>
      <c r="C405" s="27" t="s">
        <v>354</v>
      </c>
      <c r="D405" s="27" t="s">
        <v>331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566</v>
      </c>
      <c r="B407" s="27" t="s">
        <v>418</v>
      </c>
      <c r="C407" s="27" t="s">
        <v>338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364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567</v>
      </c>
      <c r="B409" s="27" t="s">
        <v>368</v>
      </c>
      <c r="C409" s="27" t="s">
        <v>338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356</v>
      </c>
      <c r="B410" s="27" t="s">
        <v>418</v>
      </c>
      <c r="C410" s="27" t="s">
        <v>358</v>
      </c>
      <c r="D410" s="27" t="s">
        <v>331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367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568</v>
      </c>
      <c r="B412" s="27" t="s">
        <v>418</v>
      </c>
      <c r="C412" s="27" t="s">
        <v>330</v>
      </c>
      <c r="D412" s="27" t="s">
        <v>331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569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448</v>
      </c>
      <c r="B414" s="27" t="s">
        <v>570</v>
      </c>
      <c r="C414" s="27" t="s">
        <v>373</v>
      </c>
      <c r="D414" s="27" t="s">
        <v>331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571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359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381</v>
      </c>
      <c r="B418" s="27" t="s">
        <v>337</v>
      </c>
      <c r="C418" s="27" t="s">
        <v>330</v>
      </c>
      <c r="D418" s="27" t="s">
        <v>331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572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341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539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540</v>
      </c>
      <c r="B422" s="27" t="s">
        <v>357</v>
      </c>
      <c r="C422" s="27" t="s">
        <v>338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541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/>
    </row>
    <row r="425" spans="1:12">
      <c r="A425" s="20" t="s">
        <v>573</v>
      </c>
    </row>
    <row r="426" spans="1:12">
      <c r="A426" s="20" t="s">
        <v>507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381</v>
      </c>
      <c r="B427" s="27" t="s">
        <v>398</v>
      </c>
      <c r="C427" s="27" t="s">
        <v>389</v>
      </c>
      <c r="D427" s="27" t="s">
        <v>331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493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574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364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575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502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349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493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576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341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/>
    </row>
    <row r="439" spans="1:12">
      <c r="A439" s="20" t="s">
        <v>577</v>
      </c>
    </row>
    <row r="440" spans="1:12">
      <c r="A440" s="20" t="s">
        <v>578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348</v>
      </c>
      <c r="B441" s="27" t="s">
        <v>398</v>
      </c>
      <c r="C441" s="27" t="s">
        <v>330</v>
      </c>
      <c r="D441" s="27" t="s">
        <v>331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579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580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432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333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581</v>
      </c>
      <c r="B446" s="27" t="s">
        <v>388</v>
      </c>
      <c r="C446" s="27" t="s">
        <v>358</v>
      </c>
      <c r="D446" s="27" t="s">
        <v>331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356</v>
      </c>
      <c r="B447" s="27" t="s">
        <v>357</v>
      </c>
      <c r="C447" s="27" t="s">
        <v>358</v>
      </c>
      <c r="D447" s="27" t="s">
        <v>331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367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452</v>
      </c>
      <c r="B449" s="27" t="s">
        <v>337</v>
      </c>
      <c r="C449" s="27" t="s">
        <v>358</v>
      </c>
      <c r="D449" s="27" t="s">
        <v>331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530</v>
      </c>
      <c r="B450" s="27" t="s">
        <v>357</v>
      </c>
      <c r="C450" s="27" t="s">
        <v>358</v>
      </c>
      <c r="D450" s="27" t="s">
        <v>331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582</v>
      </c>
      <c r="B451" s="27" t="s">
        <v>337</v>
      </c>
      <c r="C451" s="27" t="s">
        <v>369</v>
      </c>
      <c r="D451" s="27" t="s">
        <v>331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333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346</v>
      </c>
      <c r="B453" s="27" t="s">
        <v>408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583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584</v>
      </c>
      <c r="B455" s="27" t="s">
        <v>363</v>
      </c>
      <c r="C455" s="27" t="s">
        <v>358</v>
      </c>
      <c r="D455" s="27" t="s">
        <v>331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585</v>
      </c>
      <c r="B457" s="27" t="s">
        <v>368</v>
      </c>
      <c r="C457" s="27" t="s">
        <v>358</v>
      </c>
      <c r="D457" s="27" t="s">
        <v>331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586</v>
      </c>
      <c r="B459" s="27" t="s">
        <v>368</v>
      </c>
      <c r="C459" s="27" t="s">
        <v>358</v>
      </c>
      <c r="D459" s="27" t="s">
        <v>331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391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587</v>
      </c>
      <c r="B461" s="27" t="s">
        <v>368</v>
      </c>
      <c r="C461" s="27" t="s">
        <v>358</v>
      </c>
      <c r="D461" s="27" t="s">
        <v>331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/>
    </row>
    <row r="464" spans="1:12">
      <c r="A464" s="20" t="s">
        <v>588</v>
      </c>
    </row>
    <row r="465" spans="1:12">
      <c r="A465" s="20" t="s">
        <v>585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589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590</v>
      </c>
      <c r="B467" s="27" t="s">
        <v>345</v>
      </c>
      <c r="C467" s="27" t="s">
        <v>354</v>
      </c>
      <c r="D467" s="27" t="s">
        <v>331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335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591</v>
      </c>
      <c r="B469" s="27" t="s">
        <v>388</v>
      </c>
      <c r="C469" s="27" t="s">
        <v>338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364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592</v>
      </c>
      <c r="B471" s="27" t="s">
        <v>388</v>
      </c>
      <c r="C471" s="27" t="s">
        <v>354</v>
      </c>
      <c r="D471" s="27" t="s">
        <v>331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335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593</v>
      </c>
      <c r="B473" s="27" t="s">
        <v>357</v>
      </c>
      <c r="C473" s="27" t="s">
        <v>338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364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594</v>
      </c>
      <c r="B475" s="27" t="s">
        <v>388</v>
      </c>
      <c r="C475" s="27" t="s">
        <v>338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391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595</v>
      </c>
      <c r="B477" s="27" t="s">
        <v>388</v>
      </c>
      <c r="C477" s="27" t="s">
        <v>338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341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596</v>
      </c>
    </row>
    <row r="481" spans="1:12">
      <c r="A481" s="20" t="s">
        <v>597</v>
      </c>
      <c r="B481" s="27" t="s">
        <v>398</v>
      </c>
      <c r="C481" s="27" t="s">
        <v>358</v>
      </c>
      <c r="D481" s="27" t="s">
        <v>331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356</v>
      </c>
      <c r="B482" s="27" t="s">
        <v>388</v>
      </c>
      <c r="C482" s="27" t="s">
        <v>358</v>
      </c>
      <c r="D482" s="27" t="s">
        <v>331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367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598</v>
      </c>
      <c r="B484" s="27" t="s">
        <v>398</v>
      </c>
      <c r="C484" s="27" t="s">
        <v>330</v>
      </c>
      <c r="D484" s="27" t="s">
        <v>331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599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356</v>
      </c>
      <c r="B486" s="27" t="s">
        <v>345</v>
      </c>
      <c r="C486" s="27" t="s">
        <v>358</v>
      </c>
      <c r="D486" s="27" t="s">
        <v>331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347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482</v>
      </c>
      <c r="B488" s="27" t="s">
        <v>378</v>
      </c>
      <c r="C488" s="27" t="s">
        <v>330</v>
      </c>
      <c r="D488" s="27" t="s">
        <v>331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341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600</v>
      </c>
    </row>
    <row r="492" spans="1:12">
      <c r="A492" s="20" t="s">
        <v>11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601</v>
      </c>
      <c r="B493" s="27" t="s">
        <v>398</v>
      </c>
      <c r="C493" s="27" t="s">
        <v>330</v>
      </c>
      <c r="D493" s="27" t="s">
        <v>331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589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367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602</v>
      </c>
      <c r="B496" s="27" t="s">
        <v>345</v>
      </c>
      <c r="C496" s="27" t="s">
        <v>330</v>
      </c>
      <c r="D496" s="27" t="s">
        <v>331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603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364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381</v>
      </c>
      <c r="B499" s="27" t="s">
        <v>388</v>
      </c>
      <c r="C499" s="27" t="s">
        <v>354</v>
      </c>
      <c r="D499" s="27" t="s">
        <v>331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386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367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604</v>
      </c>
      <c r="B502" s="27" t="s">
        <v>357</v>
      </c>
      <c r="C502" s="27" t="s">
        <v>330</v>
      </c>
      <c r="D502" s="27" t="s">
        <v>331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356</v>
      </c>
      <c r="B503" s="27" t="s">
        <v>363</v>
      </c>
      <c r="C503" s="27" t="s">
        <v>358</v>
      </c>
      <c r="D503" s="27" t="s">
        <v>331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347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605</v>
      </c>
      <c r="B505" s="27" t="s">
        <v>363</v>
      </c>
      <c r="C505" s="27" t="s">
        <v>330</v>
      </c>
      <c r="D505" s="27" t="s">
        <v>331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391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606</v>
      </c>
      <c r="B507" s="27" t="s">
        <v>368</v>
      </c>
      <c r="C507" s="27" t="s">
        <v>354</v>
      </c>
      <c r="D507" s="27" t="s">
        <v>331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335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607</v>
      </c>
      <c r="B509" s="27" t="s">
        <v>418</v>
      </c>
      <c r="C509" s="27" t="s">
        <v>338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364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608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386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333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609</v>
      </c>
      <c r="B514" s="27" t="s">
        <v>368</v>
      </c>
      <c r="C514" s="27" t="s">
        <v>330</v>
      </c>
      <c r="D514" s="27" t="s">
        <v>331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356</v>
      </c>
      <c r="B515" s="27" t="s">
        <v>418</v>
      </c>
      <c r="C515" s="27" t="s">
        <v>358</v>
      </c>
      <c r="D515" s="27" t="s">
        <v>331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333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610</v>
      </c>
      <c r="B517" s="27" t="s">
        <v>418</v>
      </c>
      <c r="C517" s="27" t="s">
        <v>354</v>
      </c>
      <c r="D517" s="27" t="s">
        <v>331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335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611</v>
      </c>
      <c r="B519" s="27" t="s">
        <v>612</v>
      </c>
      <c r="C519" s="27" t="s">
        <v>338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364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613</v>
      </c>
      <c r="B521" s="27" t="s">
        <v>457</v>
      </c>
      <c r="C521" s="27" t="s">
        <v>338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356</v>
      </c>
      <c r="B522" s="27" t="s">
        <v>485</v>
      </c>
      <c r="C522" s="27" t="s">
        <v>358</v>
      </c>
      <c r="D522" s="27" t="s">
        <v>331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347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614</v>
      </c>
      <c r="B524" s="27" t="s">
        <v>612</v>
      </c>
      <c r="C524" s="27" t="s">
        <v>330</v>
      </c>
      <c r="D524" s="27" t="s">
        <v>331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613</v>
      </c>
      <c r="B526" s="27" t="s">
        <v>457</v>
      </c>
      <c r="C526" s="27" t="s">
        <v>338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615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341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616</v>
      </c>
    </row>
    <row r="531" spans="1:12">
      <c r="A531" s="20" t="s">
        <v>587</v>
      </c>
      <c r="B531" s="27" t="s">
        <v>398</v>
      </c>
      <c r="C531" s="27" t="s">
        <v>338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374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617</v>
      </c>
      <c r="B533" s="27" t="s">
        <v>345</v>
      </c>
      <c r="C533" s="27" t="s">
        <v>354</v>
      </c>
      <c r="D533" s="27" t="s">
        <v>331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333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333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618</v>
      </c>
      <c r="B536" s="27" t="s">
        <v>388</v>
      </c>
      <c r="C536" s="27" t="s">
        <v>358</v>
      </c>
      <c r="D536" s="27" t="s">
        <v>331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356</v>
      </c>
      <c r="B537" s="27" t="s">
        <v>357</v>
      </c>
      <c r="C537" s="27" t="s">
        <v>358</v>
      </c>
      <c r="D537" s="27" t="s">
        <v>331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619</v>
      </c>
      <c r="B539" s="27" t="s">
        <v>388</v>
      </c>
      <c r="C539" s="27" t="s">
        <v>330</v>
      </c>
      <c r="D539" s="27" t="s">
        <v>331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620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356</v>
      </c>
      <c r="B541" s="27" t="s">
        <v>363</v>
      </c>
      <c r="C541" s="27" t="s">
        <v>358</v>
      </c>
      <c r="D541" s="27" t="s">
        <v>331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347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621</v>
      </c>
      <c r="B543" s="27" t="s">
        <v>363</v>
      </c>
      <c r="C543" s="27" t="s">
        <v>330</v>
      </c>
      <c r="D543" s="27" t="s">
        <v>331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391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356</v>
      </c>
      <c r="B545" s="27" t="s">
        <v>363</v>
      </c>
      <c r="C545" s="27" t="s">
        <v>358</v>
      </c>
      <c r="D545" s="27" t="s">
        <v>331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347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348</v>
      </c>
      <c r="B547" s="27" t="s">
        <v>363</v>
      </c>
      <c r="C547" s="27" t="s">
        <v>330</v>
      </c>
      <c r="D547" s="27" t="s">
        <v>331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341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622</v>
      </c>
    </row>
    <row r="551" spans="1:12">
      <c r="A551" s="20" t="s">
        <v>397</v>
      </c>
      <c r="B551" s="27" t="s">
        <v>398</v>
      </c>
      <c r="C551" s="27" t="s">
        <v>373</v>
      </c>
      <c r="D551" s="27" t="s">
        <v>331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623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346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503</v>
      </c>
      <c r="B554" s="27" t="s">
        <v>329</v>
      </c>
      <c r="C554" s="27" t="s">
        <v>369</v>
      </c>
      <c r="D554" s="27" t="s">
        <v>331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422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367</v>
      </c>
      <c r="B556" s="27" t="s">
        <v>378</v>
      </c>
      <c r="C556" s="27" t="s">
        <v>369</v>
      </c>
      <c r="D556" s="27" t="s">
        <v>331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346</v>
      </c>
      <c r="B557" s="27" t="s">
        <v>425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624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341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/>
    </row>
    <row r="562" spans="1:12">
      <c r="A562" s="20" t="s">
        <v>625</v>
      </c>
    </row>
    <row r="563" spans="1:12">
      <c r="A563" s="20" t="s">
        <v>543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367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584</v>
      </c>
      <c r="B565" s="27" t="s">
        <v>398</v>
      </c>
      <c r="C565" s="27" t="s">
        <v>358</v>
      </c>
      <c r="D565" s="27" t="s">
        <v>331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422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333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626</v>
      </c>
      <c r="B568" s="27" t="s">
        <v>378</v>
      </c>
      <c r="C568" s="27" t="s">
        <v>354</v>
      </c>
      <c r="D568" s="27" t="s">
        <v>331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356</v>
      </c>
      <c r="B569" s="27" t="s">
        <v>378</v>
      </c>
      <c r="C569" s="27" t="s">
        <v>358</v>
      </c>
      <c r="D569" s="27" t="s">
        <v>331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333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375</v>
      </c>
      <c r="B571" s="27" t="s">
        <v>378</v>
      </c>
      <c r="C571" s="27" t="s">
        <v>330</v>
      </c>
      <c r="D571" s="27" t="s">
        <v>331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364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391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367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444</v>
      </c>
      <c r="B575" s="27" t="s">
        <v>329</v>
      </c>
      <c r="C575" s="27" t="s">
        <v>330</v>
      </c>
      <c r="D575" s="27" t="s">
        <v>331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445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627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347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628</v>
      </c>
      <c r="B579" s="27" t="s">
        <v>337</v>
      </c>
      <c r="C579" s="27" t="s">
        <v>330</v>
      </c>
      <c r="D579" s="27" t="s">
        <v>331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584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450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347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628</v>
      </c>
      <c r="B583" s="27" t="s">
        <v>363</v>
      </c>
      <c r="C583" s="27" t="s">
        <v>330</v>
      </c>
      <c r="D583" s="27" t="s">
        <v>331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559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366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367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629</v>
      </c>
      <c r="B587" s="27" t="s">
        <v>363</v>
      </c>
      <c r="C587" s="27" t="s">
        <v>354</v>
      </c>
      <c r="D587" s="27" t="s">
        <v>331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335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444</v>
      </c>
      <c r="B589" s="27" t="s">
        <v>368</v>
      </c>
      <c r="C589" s="27" t="s">
        <v>338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341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/>
    </row>
    <row r="592" spans="1:12">
      <c r="A592" s="20" t="s">
        <v>630</v>
      </c>
    </row>
    <row r="593" spans="1:12">
      <c r="A593" s="20" t="s">
        <v>631</v>
      </c>
      <c r="B593" s="27" t="s">
        <v>398</v>
      </c>
      <c r="C593" s="27" t="s">
        <v>369</v>
      </c>
      <c r="D593" s="27" t="s">
        <v>331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632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633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367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514</v>
      </c>
      <c r="B597" s="27" t="s">
        <v>337</v>
      </c>
      <c r="C597" s="27" t="s">
        <v>330</v>
      </c>
      <c r="D597" s="27" t="s">
        <v>331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419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634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347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635</v>
      </c>
      <c r="B601" s="27" t="s">
        <v>405</v>
      </c>
      <c r="C601" s="27" t="s">
        <v>330</v>
      </c>
      <c r="D601" s="27" t="s">
        <v>331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333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359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636</v>
      </c>
      <c r="B604" s="27" t="s">
        <v>405</v>
      </c>
      <c r="C604" s="27" t="s">
        <v>330</v>
      </c>
      <c r="D604" s="27" t="s">
        <v>331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391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407</v>
      </c>
      <c r="B606" s="27" t="s">
        <v>357</v>
      </c>
      <c r="C606" s="27" t="s">
        <v>358</v>
      </c>
      <c r="D606" s="27" t="s">
        <v>331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367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637</v>
      </c>
      <c r="B608" s="27" t="s">
        <v>382</v>
      </c>
      <c r="C608" s="27" t="s">
        <v>330</v>
      </c>
      <c r="D608" s="27" t="s">
        <v>331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341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638</v>
      </c>
    </row>
    <row r="612" spans="1:12">
      <c r="A612" s="20" t="s">
        <v>631</v>
      </c>
      <c r="B612" s="27" t="s">
        <v>398</v>
      </c>
      <c r="C612" s="27" t="s">
        <v>369</v>
      </c>
      <c r="D612" s="27" t="s">
        <v>331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632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639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602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407</v>
      </c>
      <c r="B616" s="27" t="s">
        <v>337</v>
      </c>
      <c r="C616" s="27" t="s">
        <v>358</v>
      </c>
      <c r="D616" s="27" t="s">
        <v>331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640</v>
      </c>
      <c r="B618" s="27" t="s">
        <v>337</v>
      </c>
      <c r="C618" s="27" t="s">
        <v>330</v>
      </c>
      <c r="D618" s="27" t="s">
        <v>331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346</v>
      </c>
      <c r="B619" s="27" t="s">
        <v>382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367</v>
      </c>
      <c r="B620" s="27" t="s">
        <v>408</v>
      </c>
      <c r="C620" s="27" t="s">
        <v>373</v>
      </c>
      <c r="D620" s="27" t="s">
        <v>331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641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432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333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642</v>
      </c>
      <c r="B624" s="27" t="s">
        <v>363</v>
      </c>
      <c r="C624" s="27" t="s">
        <v>354</v>
      </c>
      <c r="D624" s="27" t="s">
        <v>331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335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643</v>
      </c>
      <c r="B626" s="27" t="s">
        <v>368</v>
      </c>
      <c r="C626" s="27" t="s">
        <v>338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644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391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645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341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/>
    </row>
    <row r="632" spans="1:12">
      <c r="A632" s="20" t="s">
        <v>646</v>
      </c>
    </row>
    <row r="633" spans="1:12">
      <c r="A633" s="20" t="s">
        <v>647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333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375</v>
      </c>
      <c r="B635" s="27" t="s">
        <v>329</v>
      </c>
      <c r="C635" s="27" t="s">
        <v>330</v>
      </c>
      <c r="D635" s="27" t="s">
        <v>331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472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648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649</v>
      </c>
      <c r="B638" s="27" t="s">
        <v>345</v>
      </c>
      <c r="C638" s="27" t="s">
        <v>338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650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364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569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391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504</v>
      </c>
      <c r="B643" s="27" t="s">
        <v>398</v>
      </c>
      <c r="C643" s="27" t="s">
        <v>505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651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346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550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456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652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454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455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569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652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346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367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653</v>
      </c>
      <c r="B655" s="27" t="s">
        <v>382</v>
      </c>
      <c r="C655" s="27" t="s">
        <v>330</v>
      </c>
      <c r="D655" s="27" t="s">
        <v>331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654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332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333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351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353</v>
      </c>
      <c r="B660" s="27" t="s">
        <v>408</v>
      </c>
      <c r="C660" s="27" t="s">
        <v>338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655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/>
    </row>
    <row r="663" spans="1:12">
      <c r="A663" s="20" t="s">
        <v>656</v>
      </c>
    </row>
    <row r="664" spans="1:12">
      <c r="A664" s="20" t="s">
        <v>377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367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446</v>
      </c>
      <c r="B666" s="27" t="s">
        <v>378</v>
      </c>
      <c r="C666" s="27" t="s">
        <v>330</v>
      </c>
      <c r="D666" s="27" t="s">
        <v>331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364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333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657</v>
      </c>
      <c r="B669" s="27" t="s">
        <v>398</v>
      </c>
      <c r="C669" s="27" t="s">
        <v>358</v>
      </c>
      <c r="D669" s="27" t="s">
        <v>331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356</v>
      </c>
      <c r="B670" s="27" t="s">
        <v>388</v>
      </c>
      <c r="C670" s="27" t="s">
        <v>358</v>
      </c>
      <c r="D670" s="27" t="s">
        <v>331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347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658</v>
      </c>
      <c r="B672" s="27" t="s">
        <v>378</v>
      </c>
      <c r="C672" s="27" t="s">
        <v>354</v>
      </c>
      <c r="D672" s="27" t="s">
        <v>331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332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341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/>
    </row>
    <row r="676" spans="1:12">
      <c r="A676" s="20" t="s">
        <v>659</v>
      </c>
    </row>
    <row r="677" spans="1:12">
      <c r="A677" s="20" t="s">
        <v>660</v>
      </c>
      <c r="B677" s="27" t="s">
        <v>329</v>
      </c>
      <c r="C677" s="27" t="s">
        <v>373</v>
      </c>
      <c r="D677" s="27" t="s">
        <v>331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661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333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662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333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375</v>
      </c>
      <c r="B682" s="27" t="s">
        <v>337</v>
      </c>
      <c r="C682" s="27" t="s">
        <v>330</v>
      </c>
      <c r="D682" s="27" t="s">
        <v>331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349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663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386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400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423</v>
      </c>
      <c r="B687" s="27" t="s">
        <v>388</v>
      </c>
      <c r="C687" s="27" t="s">
        <v>402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455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364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502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386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664</v>
      </c>
      <c r="B692" s="27" t="s">
        <v>388</v>
      </c>
      <c r="C692" s="27" t="s">
        <v>354</v>
      </c>
      <c r="D692" s="27" t="s">
        <v>331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432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367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665</v>
      </c>
      <c r="B695" s="27" t="s">
        <v>357</v>
      </c>
      <c r="C695" s="27" t="s">
        <v>330</v>
      </c>
      <c r="D695" s="27" t="s">
        <v>331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356</v>
      </c>
      <c r="B696" s="27" t="s">
        <v>363</v>
      </c>
      <c r="C696" s="27" t="s">
        <v>358</v>
      </c>
      <c r="D696" s="27" t="s">
        <v>331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367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666</v>
      </c>
      <c r="B698" s="27" t="s">
        <v>363</v>
      </c>
      <c r="C698" s="27" t="s">
        <v>330</v>
      </c>
      <c r="D698" s="27" t="s">
        <v>331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341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/>
    </row>
    <row r="701" spans="1:12">
      <c r="A701" s="20" t="s">
        <v>667</v>
      </c>
    </row>
    <row r="702" spans="1:12">
      <c r="A702" s="20" t="s">
        <v>668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335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669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356</v>
      </c>
      <c r="B706" s="27" t="s">
        <v>388</v>
      </c>
      <c r="C706" s="27" t="s">
        <v>358</v>
      </c>
      <c r="D706" s="27" t="s">
        <v>331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347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658</v>
      </c>
      <c r="B708" s="27" t="s">
        <v>398</v>
      </c>
      <c r="C708" s="27" t="s">
        <v>330</v>
      </c>
      <c r="D708" s="27" t="s">
        <v>331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670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375</v>
      </c>
      <c r="B711" s="27" t="s">
        <v>345</v>
      </c>
      <c r="C711" s="27" t="s">
        <v>354</v>
      </c>
      <c r="D711" s="27" t="s">
        <v>331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386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333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671</v>
      </c>
      <c r="B714" s="27" t="s">
        <v>388</v>
      </c>
      <c r="C714" s="27" t="s">
        <v>354</v>
      </c>
      <c r="D714" s="27" t="s">
        <v>331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432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367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561</v>
      </c>
      <c r="B717" s="27" t="s">
        <v>357</v>
      </c>
      <c r="C717" s="27" t="s">
        <v>354</v>
      </c>
      <c r="D717" s="27" t="s">
        <v>331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366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333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607</v>
      </c>
      <c r="B720" s="27" t="s">
        <v>363</v>
      </c>
      <c r="C720" s="27" t="s">
        <v>330</v>
      </c>
      <c r="D720" s="27" t="s">
        <v>331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391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432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672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673</v>
      </c>
      <c r="B724" s="27" t="s">
        <v>337</v>
      </c>
      <c r="C724" s="27" t="s">
        <v>354</v>
      </c>
      <c r="D724" s="27" t="s">
        <v>331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674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366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347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675</v>
      </c>
      <c r="B728" s="27" t="s">
        <v>363</v>
      </c>
      <c r="C728" s="27" t="s">
        <v>676</v>
      </c>
      <c r="D728" s="27" t="s">
        <v>331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677</v>
      </c>
      <c r="B729" s="27" t="s">
        <v>357</v>
      </c>
      <c r="C729" s="27" t="s">
        <v>330</v>
      </c>
      <c r="D729" s="27" t="s">
        <v>331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678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341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679</v>
      </c>
    </row>
    <row r="734" spans="1:12">
      <c r="A734" s="20" t="s">
        <v>543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255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669</v>
      </c>
      <c r="B736" s="27" t="s">
        <v>398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680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367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584</v>
      </c>
      <c r="B739" s="27" t="s">
        <v>345</v>
      </c>
      <c r="C739" s="27" t="s">
        <v>358</v>
      </c>
      <c r="D739" s="27" t="s">
        <v>331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386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419</v>
      </c>
      <c r="B742" s="27" t="s">
        <v>378</v>
      </c>
      <c r="C742" s="27" t="s">
        <v>330</v>
      </c>
      <c r="D742" s="27" t="s">
        <v>331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364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681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682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455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432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367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419</v>
      </c>
      <c r="B749" s="27" t="s">
        <v>388</v>
      </c>
      <c r="C749" s="27" t="s">
        <v>330</v>
      </c>
      <c r="D749" s="27" t="s">
        <v>331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356</v>
      </c>
      <c r="B750" s="27" t="s">
        <v>357</v>
      </c>
      <c r="C750" s="27" t="s">
        <v>358</v>
      </c>
      <c r="D750" s="27" t="s">
        <v>331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347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675</v>
      </c>
      <c r="B752" s="27" t="s">
        <v>357</v>
      </c>
      <c r="C752" s="27" t="s">
        <v>676</v>
      </c>
      <c r="D752" s="27" t="s">
        <v>331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683</v>
      </c>
      <c r="B753" s="27" t="s">
        <v>388</v>
      </c>
      <c r="C753" s="27" t="s">
        <v>330</v>
      </c>
      <c r="D753" s="27" t="s">
        <v>331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341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684</v>
      </c>
    </row>
    <row r="757" spans="1:12">
      <c r="A757" s="20" t="s">
        <v>685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364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333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686</v>
      </c>
      <c r="B760" s="27" t="s">
        <v>398</v>
      </c>
      <c r="C760" s="27" t="s">
        <v>358</v>
      </c>
      <c r="D760" s="27" t="s">
        <v>331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356</v>
      </c>
      <c r="B761" s="27" t="s">
        <v>388</v>
      </c>
      <c r="C761" s="27" t="s">
        <v>358</v>
      </c>
      <c r="D761" s="27" t="s">
        <v>331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347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658</v>
      </c>
      <c r="B763" s="27" t="s">
        <v>398</v>
      </c>
      <c r="C763" s="27" t="s">
        <v>330</v>
      </c>
      <c r="D763" s="27" t="s">
        <v>331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687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341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/>
    </row>
    <row r="768" spans="1:12">
      <c r="A768" s="20" t="s">
        <v>688</v>
      </c>
    </row>
    <row r="769" spans="1:12">
      <c r="A769" s="20" t="s">
        <v>689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400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690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691</v>
      </c>
      <c r="B772" s="27" t="s">
        <v>345</v>
      </c>
      <c r="C772" s="27" t="s">
        <v>354</v>
      </c>
      <c r="D772" s="27" t="s">
        <v>331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366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333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375</v>
      </c>
      <c r="B775" s="27" t="s">
        <v>388</v>
      </c>
      <c r="C775" s="27" t="s">
        <v>330</v>
      </c>
      <c r="D775" s="27" t="s">
        <v>331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341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692</v>
      </c>
    </row>
    <row r="779" spans="1:12">
      <c r="A779" s="20" t="s">
        <v>693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364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386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422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346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359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619</v>
      </c>
      <c r="B785" s="27" t="s">
        <v>329</v>
      </c>
      <c r="C785" s="27" t="s">
        <v>330</v>
      </c>
      <c r="D785" s="27" t="s">
        <v>331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694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333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695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367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584</v>
      </c>
      <c r="B790" s="27" t="s">
        <v>337</v>
      </c>
      <c r="C790" s="27" t="s">
        <v>358</v>
      </c>
      <c r="D790" s="27" t="s">
        <v>331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432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696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643</v>
      </c>
      <c r="B793" s="27" t="s">
        <v>405</v>
      </c>
      <c r="C793" s="27" t="s">
        <v>338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697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655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698</v>
      </c>
    </row>
    <row r="798" spans="1:12">
      <c r="A798" s="20" t="s">
        <v>466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443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699</v>
      </c>
      <c r="B800" s="27" t="s">
        <v>345</v>
      </c>
      <c r="C800" s="27" t="s">
        <v>402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700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701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346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366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347</v>
      </c>
      <c r="B805" s="27" t="s">
        <v>357</v>
      </c>
      <c r="C805" s="27" t="s">
        <v>369</v>
      </c>
      <c r="D805" s="27" t="s">
        <v>331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422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339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702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341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703</v>
      </c>
    </row>
    <row r="812" spans="1:12">
      <c r="A812" s="20" t="s">
        <v>704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705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364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367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706</v>
      </c>
      <c r="B816" s="27" t="s">
        <v>398</v>
      </c>
      <c r="C816" s="27" t="s">
        <v>358</v>
      </c>
      <c r="D816" s="27" t="s">
        <v>331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707</v>
      </c>
      <c r="B817" s="27" t="s">
        <v>388</v>
      </c>
      <c r="C817" s="27" t="s">
        <v>358</v>
      </c>
      <c r="D817" s="27" t="s">
        <v>331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708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167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709</v>
      </c>
      <c r="B820" s="27" t="s">
        <v>345</v>
      </c>
      <c r="C820" s="27" t="s">
        <v>710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432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367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711</v>
      </c>
      <c r="B823" s="27" t="s">
        <v>378</v>
      </c>
      <c r="C823" s="27" t="s">
        <v>358</v>
      </c>
      <c r="D823" s="27" t="s">
        <v>331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356</v>
      </c>
      <c r="B824" s="27" t="s">
        <v>388</v>
      </c>
      <c r="C824" s="27" t="s">
        <v>358</v>
      </c>
      <c r="D824" s="27" t="s">
        <v>331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333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712</v>
      </c>
      <c r="B826" s="27" t="s">
        <v>388</v>
      </c>
      <c r="C826" s="27" t="s">
        <v>338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364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391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713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714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239</v>
      </c>
      <c r="B831" s="27" t="s">
        <v>337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341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715</v>
      </c>
    </row>
    <row r="835" spans="1:12">
      <c r="A835" s="20" t="s">
        <v>716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717</v>
      </c>
      <c r="B837" s="27" t="s">
        <v>345</v>
      </c>
      <c r="C837" s="27" t="s">
        <v>358</v>
      </c>
      <c r="D837" s="27" t="s">
        <v>331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356</v>
      </c>
      <c r="B838" s="27" t="s">
        <v>388</v>
      </c>
      <c r="C838" s="27" t="s">
        <v>358</v>
      </c>
      <c r="D838" s="27" t="s">
        <v>331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347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718</v>
      </c>
      <c r="B840" s="27" t="s">
        <v>357</v>
      </c>
      <c r="C840" s="27" t="s">
        <v>676</v>
      </c>
      <c r="D840" s="27" t="s">
        <v>331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719</v>
      </c>
      <c r="B841" s="27" t="s">
        <v>388</v>
      </c>
      <c r="C841" s="27" t="s">
        <v>330</v>
      </c>
      <c r="D841" s="27" t="s">
        <v>331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720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391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721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722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723</v>
      </c>
      <c r="B846" s="27" t="s">
        <v>357</v>
      </c>
      <c r="C846" s="27" t="s">
        <v>354</v>
      </c>
      <c r="D846" s="27" t="s">
        <v>331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335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724</v>
      </c>
      <c r="B848" s="27" t="s">
        <v>363</v>
      </c>
      <c r="C848" s="27" t="s">
        <v>338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341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/>
    </row>
    <row r="851" spans="1:12">
      <c r="A851" s="20" t="s">
        <v>725</v>
      </c>
    </row>
    <row r="852" spans="1:12">
      <c r="A852" s="20" t="s">
        <v>507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726</v>
      </c>
      <c r="B853" s="27" t="s">
        <v>398</v>
      </c>
      <c r="C853" s="27" t="s">
        <v>389</v>
      </c>
      <c r="D853" s="27" t="s">
        <v>331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727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443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711</v>
      </c>
      <c r="B856" s="27" t="s">
        <v>345</v>
      </c>
      <c r="C856" s="27" t="s">
        <v>354</v>
      </c>
      <c r="D856" s="27" t="s">
        <v>331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335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728</v>
      </c>
      <c r="B858" s="27" t="s">
        <v>388</v>
      </c>
      <c r="C858" s="27" t="s">
        <v>338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454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729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391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730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333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731</v>
      </c>
      <c r="B864" s="27" t="s">
        <v>357</v>
      </c>
      <c r="C864" s="27" t="s">
        <v>676</v>
      </c>
      <c r="D864" s="27" t="s">
        <v>331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732</v>
      </c>
      <c r="B865" s="27" t="s">
        <v>337</v>
      </c>
      <c r="C865" s="27" t="s">
        <v>330</v>
      </c>
      <c r="D865" s="27" t="s">
        <v>331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733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341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734</v>
      </c>
    </row>
    <row r="870" spans="1:12">
      <c r="A870" s="20" t="s">
        <v>735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400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736</v>
      </c>
      <c r="B872" s="27" t="s">
        <v>345</v>
      </c>
      <c r="C872" s="27" t="s">
        <v>354</v>
      </c>
      <c r="D872" s="27" t="s">
        <v>331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366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737</v>
      </c>
      <c r="B874" s="27" t="s">
        <v>388</v>
      </c>
      <c r="C874" s="27" t="s">
        <v>338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738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366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333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739</v>
      </c>
      <c r="B878" s="27" t="s">
        <v>378</v>
      </c>
      <c r="C878" s="27" t="s">
        <v>354</v>
      </c>
      <c r="D878" s="27" t="s">
        <v>331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335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85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475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335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740</v>
      </c>
      <c r="B883" s="27" t="s">
        <v>357</v>
      </c>
      <c r="C883" s="27" t="s">
        <v>338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741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391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742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492</v>
      </c>
      <c r="B887" s="27" t="s">
        <v>337</v>
      </c>
      <c r="C887" s="27" t="s">
        <v>354</v>
      </c>
      <c r="D887" s="27" t="s">
        <v>331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335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277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474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743</v>
      </c>
      <c r="B891" s="27" t="s">
        <v>357</v>
      </c>
      <c r="C891" s="27" t="s">
        <v>354</v>
      </c>
      <c r="D891" s="27" t="s">
        <v>331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744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335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745</v>
      </c>
      <c r="B894" s="27" t="s">
        <v>363</v>
      </c>
      <c r="C894" s="27" t="s">
        <v>338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341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/>
    </row>
    <row r="897" spans="1:12">
      <c r="A897" s="20" t="s">
        <v>746</v>
      </c>
    </row>
    <row r="898" spans="1:12">
      <c r="A898" s="20" t="s">
        <v>747</v>
      </c>
      <c r="B898" s="27" t="s">
        <v>398</v>
      </c>
      <c r="C898" s="27" t="s">
        <v>369</v>
      </c>
      <c r="D898" s="27" t="s">
        <v>331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748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333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749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356</v>
      </c>
      <c r="B902" s="27" t="s">
        <v>337</v>
      </c>
      <c r="C902" s="27" t="s">
        <v>358</v>
      </c>
      <c r="D902" s="27" t="s">
        <v>331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359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750</v>
      </c>
      <c r="B904" s="27" t="s">
        <v>329</v>
      </c>
      <c r="C904" s="27" t="s">
        <v>354</v>
      </c>
      <c r="D904" s="27" t="s">
        <v>331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77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474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751</v>
      </c>
      <c r="B907" s="27" t="s">
        <v>357</v>
      </c>
      <c r="C907" s="27" t="s">
        <v>710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341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/>
    </row>
    <row r="910" spans="1:12">
      <c r="A910" s="20" t="s">
        <v>752</v>
      </c>
    </row>
    <row r="911" spans="1:12">
      <c r="A911" s="20" t="s">
        <v>753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339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754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364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349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422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655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  <row r="919" spans="1:12">
      <c r="A919" s="20" t="s">
        <v>755</v>
      </c>
    </row>
    <row r="920" spans="1:12">
      <c r="A920" s="20" t="s">
        <v>756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699</v>
      </c>
      <c r="B921" s="27" t="s">
        <v>329</v>
      </c>
      <c r="C921" s="27" t="s">
        <v>757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422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333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758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341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759</v>
      </c>
    </row>
    <row r="928" spans="1:12">
      <c r="A928" s="20" t="s">
        <v>523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758</v>
      </c>
      <c r="B929" s="27" t="s">
        <v>398</v>
      </c>
      <c r="C929" s="27" t="s">
        <v>358</v>
      </c>
      <c r="D929" s="27" t="s">
        <v>331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422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443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760</v>
      </c>
      <c r="B932" s="27" t="s">
        <v>378</v>
      </c>
      <c r="C932" s="27" t="s">
        <v>402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761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356</v>
      </c>
      <c r="B934" s="27" t="s">
        <v>378</v>
      </c>
      <c r="C934" s="27" t="s">
        <v>358</v>
      </c>
      <c r="D934" s="27" t="s">
        <v>331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347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762</v>
      </c>
      <c r="B936" s="27" t="s">
        <v>378</v>
      </c>
      <c r="C936" s="27" t="s">
        <v>358</v>
      </c>
      <c r="D936" s="27" t="s">
        <v>331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341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/>
    </row>
    <row r="939" spans="1:12">
      <c r="A939" s="20" t="s">
        <v>763</v>
      </c>
    </row>
    <row r="940" spans="1:12">
      <c r="A940" s="20" t="s">
        <v>764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765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335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400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766</v>
      </c>
      <c r="B944" s="27" t="s">
        <v>337</v>
      </c>
      <c r="C944" s="27" t="s">
        <v>402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364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767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367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768</v>
      </c>
      <c r="B948" s="27" t="s">
        <v>388</v>
      </c>
      <c r="C948" s="27" t="s">
        <v>676</v>
      </c>
      <c r="D948" s="27" t="s">
        <v>331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769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666</v>
      </c>
      <c r="B950" s="27" t="s">
        <v>345</v>
      </c>
      <c r="C950" s="27" t="s">
        <v>354</v>
      </c>
      <c r="D950" s="27" t="s">
        <v>331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335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770</v>
      </c>
      <c r="B952" s="27" t="s">
        <v>388</v>
      </c>
      <c r="C952" s="27" t="s">
        <v>338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771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391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772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367</v>
      </c>
      <c r="B956" s="27" t="s">
        <v>337</v>
      </c>
      <c r="C956" s="27" t="s">
        <v>369</v>
      </c>
      <c r="D956" s="27" t="s">
        <v>331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346</v>
      </c>
      <c r="B957" s="27" t="s">
        <v>382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773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366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367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666</v>
      </c>
      <c r="B961" s="27" t="s">
        <v>363</v>
      </c>
      <c r="C961" s="27" t="s">
        <v>358</v>
      </c>
      <c r="D961" s="27" t="s">
        <v>331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356</v>
      </c>
      <c r="B962" s="27" t="s">
        <v>368</v>
      </c>
      <c r="C962" s="27" t="s">
        <v>358</v>
      </c>
      <c r="D962" s="27" t="s">
        <v>331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333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593</v>
      </c>
      <c r="B964" s="27" t="s">
        <v>408</v>
      </c>
      <c r="C964" s="27" t="s">
        <v>330</v>
      </c>
      <c r="D964" s="27" t="s">
        <v>331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341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/>
    </row>
    <row r="967" spans="1:12">
      <c r="A967" s="20" t="s">
        <v>774</v>
      </c>
    </row>
    <row r="968" spans="1:12">
      <c r="A968" s="20" t="s">
        <v>775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400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776</v>
      </c>
      <c r="B970" s="27" t="s">
        <v>378</v>
      </c>
      <c r="C970" s="27" t="s">
        <v>402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339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777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341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/>
    </row>
    <row r="975" spans="1:12">
      <c r="A975" s="20" t="s">
        <v>778</v>
      </c>
    </row>
    <row r="976" spans="1:12">
      <c r="A976" s="20" t="s">
        <v>779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422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346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780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509</v>
      </c>
      <c r="B980" s="27" t="s">
        <v>345</v>
      </c>
      <c r="C980" s="27" t="s">
        <v>369</v>
      </c>
      <c r="D980" s="27" t="s">
        <v>331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655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/>
    </row>
    <row r="983" spans="1:12">
      <c r="A983" s="20" t="s">
        <v>395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781</v>
      </c>
    </row>
    <row r="985" spans="1:12">
      <c r="A985" s="20" t="s">
        <v>782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344</v>
      </c>
      <c r="B986" s="27" t="s">
        <v>345</v>
      </c>
      <c r="C986" s="27" t="s">
        <v>338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347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783</v>
      </c>
      <c r="B988" s="27" t="s">
        <v>388</v>
      </c>
      <c r="C988" s="27" t="s">
        <v>330</v>
      </c>
      <c r="D988" s="27" t="s">
        <v>331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356</v>
      </c>
      <c r="B989" s="27" t="s">
        <v>357</v>
      </c>
      <c r="C989" s="27" t="s">
        <v>358</v>
      </c>
      <c r="D989" s="27" t="s">
        <v>331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333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784</v>
      </c>
      <c r="B991" s="27" t="s">
        <v>398</v>
      </c>
      <c r="C991" s="27" t="s">
        <v>358</v>
      </c>
      <c r="D991" s="27" t="s">
        <v>331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335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785</v>
      </c>
      <c r="B993" s="27" t="s">
        <v>388</v>
      </c>
      <c r="C993" s="27" t="s">
        <v>358</v>
      </c>
      <c r="D993" s="27" t="s">
        <v>331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364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502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786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443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561</v>
      </c>
      <c r="B998" s="27" t="s">
        <v>337</v>
      </c>
      <c r="C998" s="27" t="s">
        <v>354</v>
      </c>
      <c r="D998" s="27" t="s">
        <v>331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787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366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593</v>
      </c>
      <c r="B1001" s="27" t="s">
        <v>357</v>
      </c>
      <c r="C1001" s="27" t="s">
        <v>358</v>
      </c>
      <c r="D1001" s="27" t="s">
        <v>331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356</v>
      </c>
      <c r="B1002" s="27" t="s">
        <v>363</v>
      </c>
      <c r="C1002" s="27" t="s">
        <v>358</v>
      </c>
      <c r="D1002" s="27" t="s">
        <v>331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367</v>
      </c>
      <c r="B1003" s="27" t="s">
        <v>357</v>
      </c>
      <c r="C1003" s="27" t="s">
        <v>369</v>
      </c>
      <c r="D1003" s="27" t="s">
        <v>331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346</v>
      </c>
      <c r="B1004" s="27" t="s">
        <v>516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366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770</v>
      </c>
      <c r="B1006" s="27" t="s">
        <v>368</v>
      </c>
      <c r="C1006" s="27" t="s">
        <v>338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771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364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391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788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789</v>
      </c>
      <c r="B1011" s="27" t="s">
        <v>516</v>
      </c>
      <c r="C1011" s="27" t="s">
        <v>389</v>
      </c>
      <c r="D1011" s="27" t="s">
        <v>331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648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333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686</v>
      </c>
      <c r="B1014" s="27" t="s">
        <v>790</v>
      </c>
      <c r="C1014" s="27" t="s">
        <v>330</v>
      </c>
      <c r="D1014" s="27" t="s">
        <v>331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791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432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367</v>
      </c>
      <c r="B1017" s="27" t="s">
        <v>418</v>
      </c>
      <c r="C1017" s="27" t="s">
        <v>369</v>
      </c>
      <c r="D1017" s="27" t="s">
        <v>331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346</v>
      </c>
      <c r="B1018" s="27" t="s">
        <v>792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487</v>
      </c>
      <c r="B1019" s="27" t="s">
        <v>570</v>
      </c>
      <c r="C1019" s="27" t="s">
        <v>373</v>
      </c>
      <c r="D1019" s="27" t="s">
        <v>331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793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335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794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367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795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796</v>
      </c>
      <c r="B1025" s="27" t="s">
        <v>457</v>
      </c>
      <c r="C1025" s="27" t="s">
        <v>358</v>
      </c>
      <c r="D1025" s="27" t="s">
        <v>331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797</v>
      </c>
      <c r="B1026" s="27" t="s">
        <v>485</v>
      </c>
      <c r="C1026" s="27" t="s">
        <v>358</v>
      </c>
      <c r="D1026" s="27" t="s">
        <v>331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794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341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/>
    </row>
    <row r="1030" spans="1:12">
      <c r="A1030" s="20" t="s">
        <v>798</v>
      </c>
    </row>
    <row r="1031" spans="1:12">
      <c r="A1031" s="20" t="s">
        <v>518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799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474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475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335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636</v>
      </c>
      <c r="B1036" s="27" t="s">
        <v>378</v>
      </c>
      <c r="C1036" s="27" t="s">
        <v>338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356</v>
      </c>
      <c r="B1037" s="27" t="s">
        <v>388</v>
      </c>
      <c r="C1037" s="27" t="s">
        <v>358</v>
      </c>
      <c r="D1037" s="27" t="s">
        <v>331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333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800</v>
      </c>
      <c r="B1039" s="27" t="s">
        <v>388</v>
      </c>
      <c r="C1039" s="27" t="s">
        <v>330</v>
      </c>
      <c r="D1039" s="27" t="s">
        <v>331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801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346</v>
      </c>
      <c r="B1041" s="27" t="s">
        <v>382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802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335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803</v>
      </c>
      <c r="B1044" s="27" t="s">
        <v>363</v>
      </c>
      <c r="C1044" s="27" t="s">
        <v>338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364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335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591</v>
      </c>
      <c r="B1047" s="27" t="s">
        <v>363</v>
      </c>
      <c r="C1047" s="27" t="s">
        <v>338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391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335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593</v>
      </c>
      <c r="B1050" s="27" t="s">
        <v>368</v>
      </c>
      <c r="C1050" s="27" t="s">
        <v>338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341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/>
    </row>
    <row r="1053" spans="1:12">
      <c r="A1053" s="20" t="s">
        <v>395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804</v>
      </c>
    </row>
    <row r="1055" spans="1:12">
      <c r="A1055" s="20" t="s">
        <v>805</v>
      </c>
      <c r="B1055" s="27" t="s">
        <v>398</v>
      </c>
      <c r="C1055" s="27" t="s">
        <v>373</v>
      </c>
      <c r="D1055" s="27" t="s">
        <v>331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488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806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333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807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617</v>
      </c>
      <c r="B1060" s="27" t="s">
        <v>790</v>
      </c>
      <c r="C1060" s="27" t="s">
        <v>338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429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794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808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809</v>
      </c>
      <c r="B1064" s="27" t="s">
        <v>372</v>
      </c>
      <c r="C1064" s="27" t="s">
        <v>389</v>
      </c>
      <c r="D1064" s="27" t="s">
        <v>331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493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809</v>
      </c>
      <c r="B1066" s="27" t="s">
        <v>418</v>
      </c>
      <c r="C1066" s="27" t="s">
        <v>338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810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655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794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811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380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364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812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537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341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/>
    </row>
    <row r="1077" spans="1:12">
      <c r="A1077" s="20" t="s">
        <v>813</v>
      </c>
    </row>
    <row r="1078" spans="1:12">
      <c r="A1078" s="20" t="s">
        <v>523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814</v>
      </c>
      <c r="B1079" s="27" t="s">
        <v>378</v>
      </c>
      <c r="C1079" s="27" t="s">
        <v>338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655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/>
    </row>
    <row r="1082" spans="1:12">
      <c r="A1082" s="20" t="s">
        <v>815</v>
      </c>
    </row>
    <row r="1083" spans="1:12">
      <c r="A1083" s="20" t="s">
        <v>816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817</v>
      </c>
      <c r="B1084" s="27" t="s">
        <v>398</v>
      </c>
      <c r="C1084" s="27" t="s">
        <v>330</v>
      </c>
      <c r="D1084" s="27" t="s">
        <v>331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346</v>
      </c>
      <c r="B1085" s="27" t="s">
        <v>425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818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333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375</v>
      </c>
      <c r="B1088" s="27" t="s">
        <v>405</v>
      </c>
      <c r="C1088" s="27" t="s">
        <v>330</v>
      </c>
      <c r="D1088" s="27" t="s">
        <v>331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694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819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700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820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655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/>
    </row>
    <row r="1095" spans="1:12">
      <c r="A1095" s="20" t="s">
        <v>395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821</v>
      </c>
    </row>
    <row r="1097" spans="1:12">
      <c r="A1097" s="20" t="s">
        <v>523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822</v>
      </c>
      <c r="B1098" s="27" t="s">
        <v>329</v>
      </c>
      <c r="C1098" s="27" t="s">
        <v>330</v>
      </c>
      <c r="D1098" s="27" t="s">
        <v>331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426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427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462</v>
      </c>
      <c r="B1101" s="27" t="s">
        <v>337</v>
      </c>
      <c r="C1101" s="27" t="s">
        <v>338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364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502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422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429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794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823</v>
      </c>
      <c r="B1107" s="27" t="s">
        <v>388</v>
      </c>
      <c r="C1107" s="27" t="s">
        <v>338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364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824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794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341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/>
    </row>
    <row r="1113" spans="1:12">
      <c r="A1113" s="20" t="s">
        <v>825</v>
      </c>
    </row>
    <row r="1114" spans="1:12">
      <c r="A1114" s="20" t="s">
        <v>578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558</v>
      </c>
      <c r="B1115" s="27" t="s">
        <v>398</v>
      </c>
      <c r="C1115" s="27" t="s">
        <v>330</v>
      </c>
      <c r="D1115" s="27" t="s">
        <v>331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826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346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359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827</v>
      </c>
      <c r="B1119" s="27" t="s">
        <v>329</v>
      </c>
      <c r="C1119" s="27" t="s">
        <v>354</v>
      </c>
      <c r="D1119" s="27" t="s">
        <v>331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450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828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643</v>
      </c>
      <c r="B1122" s="27" t="s">
        <v>357</v>
      </c>
      <c r="C1122" s="27" t="s">
        <v>354</v>
      </c>
      <c r="D1122" s="27" t="s">
        <v>331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335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584</v>
      </c>
      <c r="B1124" s="27" t="s">
        <v>363</v>
      </c>
      <c r="C1124" s="27" t="s">
        <v>358</v>
      </c>
      <c r="D1124" s="27" t="s">
        <v>331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829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830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700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386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359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714</v>
      </c>
      <c r="B1130" s="27" t="s">
        <v>357</v>
      </c>
      <c r="C1130" s="27" t="s">
        <v>505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341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831</v>
      </c>
    </row>
    <row r="1134" spans="1:12">
      <c r="A1134" s="20" t="s">
        <v>523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832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364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833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367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834</v>
      </c>
      <c r="B1139" s="27" t="s">
        <v>345</v>
      </c>
      <c r="C1139" s="27" t="s">
        <v>358</v>
      </c>
      <c r="D1139" s="27" t="s">
        <v>331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835</v>
      </c>
      <c r="B1140" s="27" t="s">
        <v>388</v>
      </c>
      <c r="C1140" s="27" t="s">
        <v>358</v>
      </c>
      <c r="D1140" s="27" t="s">
        <v>331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341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/>
    </row>
    <row r="1143" spans="1:12">
      <c r="A1143" s="20" t="s">
        <v>836</v>
      </c>
    </row>
    <row r="1144" spans="1:12">
      <c r="A1144" s="20" t="s">
        <v>753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443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837</v>
      </c>
      <c r="B1146" s="27" t="s">
        <v>378</v>
      </c>
      <c r="C1146" s="27" t="s">
        <v>354</v>
      </c>
      <c r="D1146" s="27" t="s">
        <v>331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335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436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817</v>
      </c>
      <c r="B1149" s="27" t="s">
        <v>378</v>
      </c>
      <c r="C1149" s="27" t="s">
        <v>354</v>
      </c>
      <c r="D1149" s="27" t="s">
        <v>331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335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838</v>
      </c>
      <c r="B1151" s="27" t="s">
        <v>388</v>
      </c>
      <c r="C1151" s="27" t="s">
        <v>338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839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366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840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367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328</v>
      </c>
      <c r="B1156" s="27" t="s">
        <v>363</v>
      </c>
      <c r="C1156" s="27" t="s">
        <v>330</v>
      </c>
      <c r="D1156" s="27" t="s">
        <v>331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341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/>
    </row>
    <row r="1159" spans="1:12">
      <c r="A1159" s="20" t="s">
        <v>841</v>
      </c>
    </row>
    <row r="1160" spans="1:12">
      <c r="A1160" s="20" t="s">
        <v>523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842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364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833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443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843</v>
      </c>
      <c r="B1165" s="27" t="s">
        <v>345</v>
      </c>
      <c r="C1165" s="27" t="s">
        <v>354</v>
      </c>
      <c r="D1165" s="27" t="s">
        <v>331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335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817</v>
      </c>
      <c r="B1167" s="27" t="s">
        <v>388</v>
      </c>
      <c r="C1167" s="27" t="s">
        <v>338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844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386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845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347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828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846</v>
      </c>
      <c r="B1173" s="27" t="s">
        <v>378</v>
      </c>
      <c r="C1173" s="27" t="s">
        <v>330</v>
      </c>
      <c r="D1173" s="27" t="s">
        <v>331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584</v>
      </c>
      <c r="B1174" s="27" t="s">
        <v>388</v>
      </c>
      <c r="C1174" s="27" t="s">
        <v>358</v>
      </c>
      <c r="D1174" s="27" t="s">
        <v>331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341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847</v>
      </c>
    </row>
    <row r="1178" spans="1:12">
      <c r="A1178" s="20" t="s">
        <v>704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454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335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19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848</v>
      </c>
      <c r="B1182" s="27" t="s">
        <v>378</v>
      </c>
      <c r="C1182" s="27" t="s">
        <v>710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349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849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850</v>
      </c>
      <c r="B1185" s="27" t="s">
        <v>345</v>
      </c>
      <c r="C1185" s="27" t="s">
        <v>354</v>
      </c>
      <c r="D1185" s="27" t="s">
        <v>331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335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452</v>
      </c>
      <c r="B1187" s="27" t="s">
        <v>388</v>
      </c>
      <c r="C1187" s="27" t="s">
        <v>338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341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/>
    </row>
    <row r="1190" spans="1:12">
      <c r="A1190" s="20" t="s">
        <v>851</v>
      </c>
    </row>
    <row r="1191" spans="1:12">
      <c r="A1191" s="20" t="s">
        <v>852</v>
      </c>
      <c r="B1191" s="27" t="s">
        <v>378</v>
      </c>
      <c r="C1191" s="27" t="s">
        <v>505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700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364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853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655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/>
    </row>
    <row r="1197" spans="1:12">
      <c r="A1197" s="20" t="s">
        <v>854</v>
      </c>
    </row>
    <row r="1198" spans="1:12">
      <c r="A1198" s="20" t="s">
        <v>543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855</v>
      </c>
      <c r="B1199" s="27" t="s">
        <v>398</v>
      </c>
      <c r="C1199" s="27" t="s">
        <v>373</v>
      </c>
      <c r="D1199" s="27" t="s">
        <v>331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856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454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341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/>
    </row>
    <row r="1204" spans="1:12">
      <c r="A1204" s="20" t="s">
        <v>857</v>
      </c>
    </row>
    <row r="1205" spans="1:12">
      <c r="A1205" s="20" t="s">
        <v>397</v>
      </c>
      <c r="B1205" s="27" t="s">
        <v>398</v>
      </c>
      <c r="C1205" s="27" t="s">
        <v>373</v>
      </c>
      <c r="D1205" s="27" t="s">
        <v>331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379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454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341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530</v>
      </c>
      <c r="B1209" s="27" t="s">
        <v>363</v>
      </c>
      <c r="C1209" s="27" t="s">
        <v>358</v>
      </c>
      <c r="D1209" s="27" t="s">
        <v>331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858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809</v>
      </c>
      <c r="B1211" s="27" t="s">
        <v>425</v>
      </c>
      <c r="C1211" s="27" t="s">
        <v>757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364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426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859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443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452</v>
      </c>
      <c r="B1216" s="27" t="s">
        <v>405</v>
      </c>
      <c r="C1216" s="27" t="s">
        <v>354</v>
      </c>
      <c r="D1216" s="27" t="s">
        <v>331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860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335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584</v>
      </c>
      <c r="B1219" s="27" t="s">
        <v>363</v>
      </c>
      <c r="C1219" s="27" t="s">
        <v>358</v>
      </c>
      <c r="D1219" s="27" t="s">
        <v>331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341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/>
    </row>
    <row r="1222" spans="1:12">
      <c r="A1222" s="20" t="s">
        <v>861</v>
      </c>
    </row>
    <row r="1223" spans="1:12">
      <c r="A1223" s="20" t="s">
        <v>523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832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364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833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367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452</v>
      </c>
      <c r="B1228" s="27" t="s">
        <v>337</v>
      </c>
      <c r="C1228" s="27" t="s">
        <v>330</v>
      </c>
      <c r="D1228" s="27" t="s">
        <v>331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356</v>
      </c>
      <c r="B1229" s="27" t="s">
        <v>357</v>
      </c>
      <c r="C1229" s="27" t="s">
        <v>358</v>
      </c>
      <c r="D1229" s="27" t="s">
        <v>331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359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862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863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817</v>
      </c>
      <c r="B1233" s="27" t="s">
        <v>388</v>
      </c>
      <c r="C1233" s="27" t="s">
        <v>864</v>
      </c>
      <c r="D1233" s="27" t="s">
        <v>331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865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391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333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842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364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833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443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866</v>
      </c>
      <c r="B1241" s="27" t="s">
        <v>329</v>
      </c>
      <c r="C1241" s="27" t="s">
        <v>402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335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817</v>
      </c>
      <c r="B1243" s="27" t="s">
        <v>388</v>
      </c>
      <c r="C1243" s="27" t="s">
        <v>338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450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359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828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867</v>
      </c>
      <c r="B1247" s="27" t="s">
        <v>388</v>
      </c>
      <c r="C1247" s="27" t="s">
        <v>330</v>
      </c>
      <c r="D1247" s="27" t="s">
        <v>331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366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868</v>
      </c>
      <c r="B1249" s="27" t="s">
        <v>388</v>
      </c>
      <c r="C1249" s="27" t="s">
        <v>338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335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496</v>
      </c>
      <c r="B1251" s="27" t="s">
        <v>337</v>
      </c>
      <c r="C1251" s="27" t="s">
        <v>338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497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391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609</v>
      </c>
      <c r="B1254" s="27" t="s">
        <v>357</v>
      </c>
      <c r="C1254" s="27" t="s">
        <v>354</v>
      </c>
      <c r="D1254" s="27" t="s">
        <v>331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335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869</v>
      </c>
      <c r="B1256" s="27" t="s">
        <v>363</v>
      </c>
      <c r="C1256" s="27" t="s">
        <v>338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341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407</v>
      </c>
      <c r="B1258" s="27" t="s">
        <v>357</v>
      </c>
      <c r="C1258" s="27" t="s">
        <v>358</v>
      </c>
      <c r="D1258" s="27" t="s">
        <v>331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367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870</v>
      </c>
      <c r="B1260" s="27" t="s">
        <v>329</v>
      </c>
      <c r="C1260" s="27" t="s">
        <v>354</v>
      </c>
      <c r="D1260" s="27" t="s">
        <v>331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335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871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872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848</v>
      </c>
      <c r="B1264" s="27" t="s">
        <v>357</v>
      </c>
      <c r="C1264" s="27" t="s">
        <v>710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364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873</v>
      </c>
      <c r="B1266" s="27" t="s">
        <v>329</v>
      </c>
      <c r="C1266" s="27" t="s">
        <v>373</v>
      </c>
      <c r="D1266" s="27" t="s">
        <v>331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874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367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768</v>
      </c>
      <c r="B1269" s="27" t="s">
        <v>357</v>
      </c>
      <c r="C1269" s="27" t="s">
        <v>676</v>
      </c>
      <c r="D1269" s="27" t="s">
        <v>331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452</v>
      </c>
      <c r="B1270" s="27" t="s">
        <v>337</v>
      </c>
      <c r="C1270" s="27" t="s">
        <v>330</v>
      </c>
      <c r="D1270" s="27" t="s">
        <v>331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366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871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875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876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341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/>
    </row>
    <row r="1277" spans="1:12">
      <c r="A1277" s="20" t="s">
        <v>877</v>
      </c>
    </row>
    <row r="1278" spans="1:12">
      <c r="A1278" s="20" t="s">
        <v>852</v>
      </c>
      <c r="B1278" s="27" t="s">
        <v>398</v>
      </c>
      <c r="C1278" s="27" t="s">
        <v>505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700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364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503</v>
      </c>
      <c r="B1281" s="27" t="s">
        <v>398</v>
      </c>
      <c r="C1281" s="27" t="s">
        <v>369</v>
      </c>
      <c r="D1281" s="27" t="s">
        <v>331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422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400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878</v>
      </c>
      <c r="B1284" s="27" t="s">
        <v>378</v>
      </c>
      <c r="C1284" s="27" t="s">
        <v>402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341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879</v>
      </c>
    </row>
    <row r="1288" spans="1:12">
      <c r="A1288" s="20" t="s">
        <v>535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422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880</v>
      </c>
      <c r="B1290" s="27" t="s">
        <v>378</v>
      </c>
      <c r="C1290" s="27" t="s">
        <v>338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341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/>
    </row>
    <row r="1293" spans="1:12">
      <c r="A1293" s="20" t="s">
        <v>881</v>
      </c>
    </row>
    <row r="1294" spans="1:12">
      <c r="A1294" s="20" t="s">
        <v>543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882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346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333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393</v>
      </c>
      <c r="B1298" s="27" t="s">
        <v>329</v>
      </c>
      <c r="C1298" s="27" t="s">
        <v>354</v>
      </c>
      <c r="D1298" s="27" t="s">
        <v>331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366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883</v>
      </c>
      <c r="B1300" s="27" t="s">
        <v>357</v>
      </c>
      <c r="C1300" s="27" t="s">
        <v>338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422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884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450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885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414</v>
      </c>
      <c r="B1305" s="27" t="s">
        <v>388</v>
      </c>
      <c r="C1305" s="27" t="s">
        <v>338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341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/>
    </row>
    <row r="1308" spans="1:12">
      <c r="A1308" s="20" t="s">
        <v>886</v>
      </c>
    </row>
    <row r="1309" spans="1:12">
      <c r="A1309" s="20" t="s">
        <v>693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364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371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367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515</v>
      </c>
      <c r="B1313" s="27" t="s">
        <v>425</v>
      </c>
      <c r="C1313" s="27" t="s">
        <v>330</v>
      </c>
      <c r="D1313" s="27" t="s">
        <v>331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422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367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819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681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451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391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367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637</v>
      </c>
      <c r="B1321" s="27" t="s">
        <v>363</v>
      </c>
      <c r="C1321" s="27" t="s">
        <v>330</v>
      </c>
      <c r="D1321" s="27" t="s">
        <v>331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887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364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503</v>
      </c>
      <c r="B1324" s="27" t="s">
        <v>329</v>
      </c>
      <c r="C1324" s="27" t="s">
        <v>369</v>
      </c>
      <c r="D1324" s="27" t="s">
        <v>331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349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888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489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333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889</v>
      </c>
      <c r="B1329" s="27" t="s">
        <v>378</v>
      </c>
      <c r="C1329" s="27" t="s">
        <v>330</v>
      </c>
      <c r="D1329" s="27" t="s">
        <v>331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655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/>
    </row>
    <row r="1332" spans="1:12">
      <c r="A1332" s="20" t="s">
        <v>890</v>
      </c>
    </row>
    <row r="1333" spans="1:12">
      <c r="A1333" s="20" t="s">
        <v>578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348</v>
      </c>
      <c r="B1334" s="27" t="s">
        <v>329</v>
      </c>
      <c r="C1334" s="27" t="s">
        <v>330</v>
      </c>
      <c r="D1334" s="27" t="s">
        <v>331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364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366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891</v>
      </c>
      <c r="B1337" s="27" t="s">
        <v>388</v>
      </c>
      <c r="C1337" s="27" t="s">
        <v>338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347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348</v>
      </c>
      <c r="B1339" s="27" t="s">
        <v>398</v>
      </c>
      <c r="C1339" s="27" t="s">
        <v>354</v>
      </c>
      <c r="D1339" s="27" t="s">
        <v>331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435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694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892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655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893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364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858</v>
      </c>
      <c r="B1346" s="27" t="s">
        <v>329</v>
      </c>
      <c r="C1346" s="27" t="s">
        <v>505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694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391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858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356</v>
      </c>
      <c r="B1350" s="27" t="s">
        <v>329</v>
      </c>
      <c r="C1350" s="27" t="s">
        <v>358</v>
      </c>
      <c r="D1350" s="27" t="s">
        <v>331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487</v>
      </c>
      <c r="B1351" s="27" t="s">
        <v>382</v>
      </c>
      <c r="C1351" s="27" t="s">
        <v>373</v>
      </c>
      <c r="D1351" s="27" t="s">
        <v>331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694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383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366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333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894</v>
      </c>
      <c r="B1356" s="27" t="s">
        <v>363</v>
      </c>
      <c r="C1356" s="27" t="s">
        <v>330</v>
      </c>
      <c r="D1356" s="27" t="s">
        <v>331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341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/>
    </row>
    <row r="1359" spans="1:12">
      <c r="A1359" s="20" t="s">
        <v>895</v>
      </c>
    </row>
    <row r="1360" spans="1:12">
      <c r="A1360" s="20" t="s">
        <v>523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896</v>
      </c>
      <c r="B1361" s="27" t="s">
        <v>378</v>
      </c>
      <c r="C1361" s="27" t="s">
        <v>358</v>
      </c>
      <c r="D1361" s="27" t="s">
        <v>331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341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/>
    </row>
    <row r="1364" spans="1:12">
      <c r="A1364" s="20" t="s">
        <v>897</v>
      </c>
    </row>
    <row r="1365" spans="1:12">
      <c r="A1365" s="20" t="s">
        <v>523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896</v>
      </c>
      <c r="B1366" s="27" t="s">
        <v>398</v>
      </c>
      <c r="C1366" s="27" t="s">
        <v>358</v>
      </c>
      <c r="D1366" s="27" t="s">
        <v>331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422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443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898</v>
      </c>
      <c r="B1369" s="27" t="s">
        <v>378</v>
      </c>
      <c r="C1369" s="27" t="s">
        <v>354</v>
      </c>
      <c r="D1369" s="27" t="s">
        <v>331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335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899</v>
      </c>
      <c r="B1371" s="27" t="s">
        <v>378</v>
      </c>
      <c r="C1371" s="27" t="s">
        <v>358</v>
      </c>
      <c r="D1371" s="27" t="s">
        <v>331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356</v>
      </c>
      <c r="B1372" s="27" t="s">
        <v>388</v>
      </c>
      <c r="C1372" s="27" t="s">
        <v>358</v>
      </c>
      <c r="D1372" s="27" t="s">
        <v>331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347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605</v>
      </c>
      <c r="B1374" s="27" t="s">
        <v>388</v>
      </c>
      <c r="C1374" s="27" t="s">
        <v>330</v>
      </c>
      <c r="D1374" s="27" t="s">
        <v>331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356</v>
      </c>
      <c r="B1375" s="27" t="s">
        <v>357</v>
      </c>
      <c r="C1375" s="27" t="s">
        <v>358</v>
      </c>
      <c r="D1375" s="27" t="s">
        <v>331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347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900</v>
      </c>
      <c r="B1377" s="27" t="s">
        <v>357</v>
      </c>
      <c r="C1377" s="27" t="s">
        <v>354</v>
      </c>
      <c r="D1377" s="27" t="s">
        <v>331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335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901</v>
      </c>
      <c r="B1379" s="27" t="s">
        <v>363</v>
      </c>
      <c r="C1379" s="27" t="s">
        <v>338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391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902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366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333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903</v>
      </c>
      <c r="B1384" s="27" t="s">
        <v>363</v>
      </c>
      <c r="C1384" s="27" t="s">
        <v>358</v>
      </c>
      <c r="D1384" s="27" t="s">
        <v>331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364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450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904</v>
      </c>
      <c r="B1387" s="27" t="s">
        <v>368</v>
      </c>
      <c r="C1387" s="27" t="s">
        <v>354</v>
      </c>
      <c r="D1387" s="27" t="s">
        <v>331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335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83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474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475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335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740</v>
      </c>
      <c r="B1393" s="27" t="s">
        <v>612</v>
      </c>
      <c r="C1393" s="27" t="s">
        <v>338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341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/>
    </row>
    <row r="1396" spans="1:12">
      <c r="A1396" s="20" t="s">
        <v>905</v>
      </c>
    </row>
    <row r="1397" spans="1:12">
      <c r="A1397" s="20" t="s">
        <v>660</v>
      </c>
      <c r="B1397" s="27" t="s">
        <v>329</v>
      </c>
      <c r="C1397" s="27" t="s">
        <v>373</v>
      </c>
      <c r="D1397" s="27" t="s">
        <v>331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906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346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367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584</v>
      </c>
      <c r="B1401" s="27" t="s">
        <v>425</v>
      </c>
      <c r="C1401" s="27" t="s">
        <v>358</v>
      </c>
      <c r="D1401" s="27" t="s">
        <v>331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648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367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907</v>
      </c>
      <c r="B1404" s="27" t="s">
        <v>405</v>
      </c>
      <c r="C1404" s="27" t="s">
        <v>330</v>
      </c>
      <c r="D1404" s="27" t="s">
        <v>331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335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908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909</v>
      </c>
      <c r="B1407" s="27" t="s">
        <v>790</v>
      </c>
      <c r="C1407" s="27" t="s">
        <v>338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366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869</v>
      </c>
      <c r="B1409" s="27" t="s">
        <v>368</v>
      </c>
      <c r="C1409" s="27" t="s">
        <v>338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391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910</v>
      </c>
      <c r="B1411" s="27" t="s">
        <v>418</v>
      </c>
      <c r="C1411" s="27" t="s">
        <v>338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364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608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364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911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367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584</v>
      </c>
      <c r="B1417" s="27" t="s">
        <v>405</v>
      </c>
      <c r="C1417" s="27" t="s">
        <v>358</v>
      </c>
      <c r="D1417" s="27" t="s">
        <v>331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366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367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629</v>
      </c>
      <c r="B1420" s="27" t="s">
        <v>357</v>
      </c>
      <c r="C1420" s="27" t="s">
        <v>354</v>
      </c>
      <c r="D1420" s="27" t="s">
        <v>331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335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444</v>
      </c>
      <c r="B1422" s="27" t="s">
        <v>363</v>
      </c>
      <c r="C1422" s="27" t="s">
        <v>338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422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912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407</v>
      </c>
      <c r="B1425" s="27" t="s">
        <v>378</v>
      </c>
      <c r="C1425" s="27" t="s">
        <v>358</v>
      </c>
      <c r="D1425" s="27" t="s">
        <v>331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367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768</v>
      </c>
      <c r="B1427" s="27" t="s">
        <v>388</v>
      </c>
      <c r="C1427" s="27" t="s">
        <v>676</v>
      </c>
      <c r="D1427" s="27" t="s">
        <v>331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913</v>
      </c>
      <c r="B1428" s="27" t="s">
        <v>398</v>
      </c>
      <c r="C1428" s="27" t="s">
        <v>330</v>
      </c>
      <c r="D1428" s="27" t="s">
        <v>331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335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914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366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367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451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915</v>
      </c>
      <c r="B1434" s="27" t="s">
        <v>357</v>
      </c>
      <c r="C1434" s="27" t="s">
        <v>330</v>
      </c>
      <c r="D1434" s="27" t="s">
        <v>331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356</v>
      </c>
      <c r="B1435" s="27" t="s">
        <v>363</v>
      </c>
      <c r="C1435" s="27" t="s">
        <v>358</v>
      </c>
      <c r="D1435" s="27" t="s">
        <v>331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347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916</v>
      </c>
      <c r="B1437" s="27" t="s">
        <v>363</v>
      </c>
      <c r="C1437" s="27" t="s">
        <v>354</v>
      </c>
      <c r="D1437" s="27" t="s">
        <v>331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356</v>
      </c>
      <c r="B1438" s="27" t="s">
        <v>368</v>
      </c>
      <c r="C1438" s="27" t="s">
        <v>358</v>
      </c>
      <c r="D1438" s="27" t="s">
        <v>331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367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898</v>
      </c>
      <c r="B1440" s="27" t="s">
        <v>368</v>
      </c>
      <c r="C1440" s="27" t="s">
        <v>330</v>
      </c>
      <c r="D1440" s="27" t="s">
        <v>331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364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422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912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407</v>
      </c>
      <c r="B1444" s="27" t="s">
        <v>612</v>
      </c>
      <c r="C1444" s="27" t="s">
        <v>358</v>
      </c>
      <c r="D1444" s="27" t="s">
        <v>331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367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768</v>
      </c>
      <c r="B1446" s="27" t="s">
        <v>457</v>
      </c>
      <c r="C1446" s="27" t="s">
        <v>676</v>
      </c>
      <c r="D1446" s="27" t="s">
        <v>331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913</v>
      </c>
      <c r="B1447" s="27" t="s">
        <v>372</v>
      </c>
      <c r="C1447" s="27" t="s">
        <v>330</v>
      </c>
      <c r="D1447" s="27" t="s">
        <v>331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341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/>
    </row>
    <row r="1450" spans="1:12">
      <c r="A1450" s="20" t="s">
        <v>917</v>
      </c>
    </row>
    <row r="1451" spans="1:12">
      <c r="A1451" s="20" t="s">
        <v>466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346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918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356</v>
      </c>
      <c r="B1454" s="27" t="s">
        <v>337</v>
      </c>
      <c r="C1454" s="27" t="s">
        <v>358</v>
      </c>
      <c r="D1454" s="27" t="s">
        <v>331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347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919</v>
      </c>
      <c r="B1456" s="27" t="s">
        <v>329</v>
      </c>
      <c r="C1456" s="27" t="s">
        <v>330</v>
      </c>
      <c r="D1456" s="27" t="s">
        <v>331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364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349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422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655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/>
    </row>
    <row r="1462" spans="1:12">
      <c r="A1462" s="20" t="s">
        <v>920</v>
      </c>
    </row>
    <row r="1463" spans="1:12">
      <c r="A1463" s="20" t="s">
        <v>523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921</v>
      </c>
      <c r="B1464" s="27" t="s">
        <v>398</v>
      </c>
      <c r="C1464" s="27" t="s">
        <v>358</v>
      </c>
      <c r="D1464" s="27" t="s">
        <v>331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422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922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699</v>
      </c>
      <c r="B1467" s="27" t="s">
        <v>378</v>
      </c>
      <c r="C1467" s="27" t="s">
        <v>757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341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/>
    </row>
    <row r="1470" spans="1:12">
      <c r="A1470" s="20" t="s">
        <v>923</v>
      </c>
    </row>
    <row r="1471" spans="1:12">
      <c r="A1471" s="20" t="s">
        <v>523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924</v>
      </c>
      <c r="B1472" s="27" t="s">
        <v>398</v>
      </c>
      <c r="C1472" s="27" t="s">
        <v>358</v>
      </c>
      <c r="D1472" s="27" t="s">
        <v>331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422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443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898</v>
      </c>
      <c r="B1475" s="27" t="s">
        <v>378</v>
      </c>
      <c r="C1475" s="27" t="s">
        <v>354</v>
      </c>
      <c r="D1475" s="27" t="s">
        <v>331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335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899</v>
      </c>
      <c r="B1477" s="27" t="s">
        <v>378</v>
      </c>
      <c r="C1477" s="27" t="s">
        <v>354</v>
      </c>
      <c r="D1477" s="27" t="s">
        <v>331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432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925</v>
      </c>
      <c r="B1479" s="27" t="s">
        <v>388</v>
      </c>
      <c r="C1479" s="27" t="s">
        <v>338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926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366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333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927</v>
      </c>
      <c r="B1483" s="27" t="s">
        <v>378</v>
      </c>
      <c r="C1483" s="27" t="s">
        <v>358</v>
      </c>
      <c r="D1483" s="27" t="s">
        <v>331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341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/>
    </row>
    <row r="1486" spans="1:12">
      <c r="A1486" s="20" t="s">
        <v>928</v>
      </c>
    </row>
    <row r="1487" spans="1:12">
      <c r="A1487" s="20" t="s">
        <v>929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904</v>
      </c>
      <c r="B1488" s="27" t="s">
        <v>378</v>
      </c>
      <c r="C1488" s="27" t="s">
        <v>354</v>
      </c>
      <c r="D1488" s="27" t="s">
        <v>331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335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930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474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475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335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740</v>
      </c>
      <c r="B1494" s="27" t="s">
        <v>388</v>
      </c>
      <c r="C1494" s="27" t="s">
        <v>338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/>
    </row>
    <row r="1496" spans="1:12">
      <c r="A1496" s="20" t="s">
        <v>931</v>
      </c>
    </row>
    <row r="1497" spans="1:12">
      <c r="A1497" s="20" t="s">
        <v>364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493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367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932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787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356</v>
      </c>
      <c r="B1502" s="27" t="s">
        <v>378</v>
      </c>
      <c r="C1502" s="27" t="s">
        <v>358</v>
      </c>
      <c r="D1502" s="27" t="s">
        <v>331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347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762</v>
      </c>
      <c r="B1504" s="27" t="s">
        <v>398</v>
      </c>
      <c r="C1504" s="27" t="s">
        <v>358</v>
      </c>
      <c r="D1504" s="27" t="s">
        <v>331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391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367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933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787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356</v>
      </c>
      <c r="B1509" s="27" t="s">
        <v>378</v>
      </c>
      <c r="C1509" s="27" t="s">
        <v>358</v>
      </c>
      <c r="D1509" s="27" t="s">
        <v>331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367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328</v>
      </c>
      <c r="B1511" s="27" t="s">
        <v>388</v>
      </c>
      <c r="C1511" s="27" t="s">
        <v>330</v>
      </c>
      <c r="D1511" s="27" t="s">
        <v>331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341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/>
    </row>
    <row r="1514" spans="1:12">
      <c r="A1514" s="20" t="s">
        <v>934</v>
      </c>
    </row>
    <row r="1515" spans="1:12">
      <c r="A1515" s="20" t="s">
        <v>935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364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694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333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936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432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937</v>
      </c>
      <c r="B1521" s="27" t="s">
        <v>357</v>
      </c>
      <c r="C1521" s="27" t="s">
        <v>338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277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669</v>
      </c>
      <c r="B1523" s="27" t="s">
        <v>425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645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938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939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367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584</v>
      </c>
      <c r="B1528" s="27" t="s">
        <v>405</v>
      </c>
      <c r="C1528" s="27" t="s">
        <v>358</v>
      </c>
      <c r="D1528" s="27" t="s">
        <v>331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366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840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367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898</v>
      </c>
      <c r="B1532" s="27" t="s">
        <v>357</v>
      </c>
      <c r="C1532" s="27" t="s">
        <v>330</v>
      </c>
      <c r="D1532" s="27" t="s">
        <v>331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341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/>
    </row>
    <row r="1535" spans="1:12">
      <c r="A1535" s="20" t="s">
        <v>940</v>
      </c>
    </row>
    <row r="1536" spans="1:12">
      <c r="A1536" s="20" t="s">
        <v>941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655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/>
    </row>
    <row r="1539" spans="1:12">
      <c r="A1539" s="20" t="s">
        <v>942</v>
      </c>
    </row>
    <row r="1540" spans="1:12">
      <c r="A1540" s="20" t="s">
        <v>660</v>
      </c>
      <c r="B1540" s="27" t="s">
        <v>398</v>
      </c>
      <c r="C1540" s="27" t="s">
        <v>373</v>
      </c>
      <c r="D1540" s="27" t="s">
        <v>331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906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346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422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912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943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944</v>
      </c>
      <c r="B1546" s="27" t="s">
        <v>405</v>
      </c>
      <c r="C1546" s="27" t="s">
        <v>354</v>
      </c>
      <c r="D1546" s="27" t="s">
        <v>331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335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416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417</v>
      </c>
      <c r="B1549" s="27" t="s">
        <v>363</v>
      </c>
      <c r="C1549" s="27" t="s">
        <v>338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645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364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945</v>
      </c>
      <c r="B1552" s="27" t="s">
        <v>363</v>
      </c>
      <c r="C1552" s="27" t="s">
        <v>338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479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341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/>
    </row>
    <row r="1556" spans="1:12">
      <c r="A1556" s="20" t="s">
        <v>395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946</v>
      </c>
    </row>
    <row r="1558" spans="1:12">
      <c r="A1558" s="20" t="s">
        <v>704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359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947</v>
      </c>
      <c r="B1560" s="27" t="s">
        <v>378</v>
      </c>
      <c r="C1560" s="27" t="s">
        <v>330</v>
      </c>
      <c r="D1560" s="27" t="s">
        <v>331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356</v>
      </c>
      <c r="B1561" s="27" t="s">
        <v>388</v>
      </c>
      <c r="C1561" s="27" t="s">
        <v>358</v>
      </c>
      <c r="D1561" s="27" t="s">
        <v>331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487</v>
      </c>
      <c r="B1562" s="27" t="s">
        <v>398</v>
      </c>
      <c r="C1562" s="27" t="s">
        <v>373</v>
      </c>
      <c r="D1562" s="27" t="s">
        <v>331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364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794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333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948</v>
      </c>
      <c r="B1566" s="27" t="s">
        <v>388</v>
      </c>
      <c r="C1566" s="27" t="s">
        <v>354</v>
      </c>
      <c r="D1566" s="27" t="s">
        <v>331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335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568</v>
      </c>
      <c r="B1568" s="27" t="s">
        <v>357</v>
      </c>
      <c r="C1568" s="27" t="s">
        <v>354</v>
      </c>
      <c r="D1568" s="27" t="s">
        <v>331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335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416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417</v>
      </c>
      <c r="B1571" s="27" t="s">
        <v>363</v>
      </c>
      <c r="C1571" s="27" t="s">
        <v>338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949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333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609</v>
      </c>
      <c r="B1574" s="27" t="s">
        <v>345</v>
      </c>
      <c r="C1574" s="27" t="s">
        <v>330</v>
      </c>
      <c r="D1574" s="27" t="s">
        <v>331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599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794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356</v>
      </c>
      <c r="B1577" s="27" t="s">
        <v>388</v>
      </c>
      <c r="C1577" s="27" t="s">
        <v>358</v>
      </c>
      <c r="D1577" s="27" t="s">
        <v>331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359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950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336</v>
      </c>
      <c r="B1580" s="27" t="s">
        <v>388</v>
      </c>
      <c r="C1580" s="27" t="s">
        <v>354</v>
      </c>
      <c r="D1580" s="27" t="s">
        <v>331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335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602</v>
      </c>
      <c r="B1582" s="27" t="s">
        <v>357</v>
      </c>
      <c r="C1582" s="27" t="s">
        <v>338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429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951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364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603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391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952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341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794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421</v>
      </c>
      <c r="B1591" s="27" t="s">
        <v>382</v>
      </c>
      <c r="C1591" s="27" t="s">
        <v>369</v>
      </c>
      <c r="D1591" s="27" t="s">
        <v>331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422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333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953</v>
      </c>
      <c r="B1594" s="27" t="s">
        <v>357</v>
      </c>
      <c r="C1594" s="27" t="s">
        <v>330</v>
      </c>
      <c r="D1594" s="27" t="s">
        <v>331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495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346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366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347</v>
      </c>
      <c r="B1598" s="27" t="s">
        <v>368</v>
      </c>
      <c r="C1598" s="27" t="s">
        <v>369</v>
      </c>
      <c r="D1598" s="27" t="s">
        <v>331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954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450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367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584</v>
      </c>
      <c r="B1602" s="27" t="s">
        <v>368</v>
      </c>
      <c r="C1602" s="27" t="s">
        <v>358</v>
      </c>
      <c r="D1602" s="27" t="s">
        <v>331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341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794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397</v>
      </c>
      <c r="B1605" s="27" t="s">
        <v>516</v>
      </c>
      <c r="C1605" s="27" t="s">
        <v>373</v>
      </c>
      <c r="D1605" s="27" t="s">
        <v>331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955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450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956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348</v>
      </c>
      <c r="B1609" s="27" t="s">
        <v>790</v>
      </c>
      <c r="C1609" s="27" t="s">
        <v>757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569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544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957</v>
      </c>
      <c r="B1612" s="27" t="s">
        <v>415</v>
      </c>
      <c r="C1612" s="27" t="s">
        <v>338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356</v>
      </c>
      <c r="B1613" s="27" t="s">
        <v>612</v>
      </c>
      <c r="C1613" s="27" t="s">
        <v>358</v>
      </c>
      <c r="D1613" s="27" t="s">
        <v>331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367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958</v>
      </c>
      <c r="B1615" s="27" t="s">
        <v>612</v>
      </c>
      <c r="C1615" s="27" t="s">
        <v>676</v>
      </c>
      <c r="D1615" s="27" t="s">
        <v>331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728</v>
      </c>
      <c r="B1616" s="27" t="s">
        <v>418</v>
      </c>
      <c r="C1616" s="27" t="s">
        <v>330</v>
      </c>
      <c r="D1616" s="27" t="s">
        <v>331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569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391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959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960</v>
      </c>
      <c r="B1620" s="27" t="s">
        <v>792</v>
      </c>
      <c r="C1620" s="27" t="s">
        <v>961</v>
      </c>
      <c r="D1620" s="27" t="s">
        <v>331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487</v>
      </c>
      <c r="B1621" s="27" t="s">
        <v>570</v>
      </c>
      <c r="C1621" s="27" t="s">
        <v>373</v>
      </c>
      <c r="D1621" s="27" t="s">
        <v>331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962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 t="s">
        <v>503</v>
      </c>
      <c r="B1623" s="27" t="s">
        <v>792</v>
      </c>
      <c r="C1623" s="27" t="s">
        <v>369</v>
      </c>
      <c r="D1623" s="27" t="s">
        <v>331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356</v>
      </c>
      <c r="B1624" s="27" t="s">
        <v>485</v>
      </c>
      <c r="C1624" s="27" t="s">
        <v>358</v>
      </c>
      <c r="D1624" s="27" t="s">
        <v>331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788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963</v>
      </c>
      <c r="B1626" s="27" t="s">
        <v>457</v>
      </c>
      <c r="C1626" s="27" t="s">
        <v>389</v>
      </c>
      <c r="D1626" s="27" t="s">
        <v>331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341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/>
    </row>
    <row r="1629" spans="1:12">
      <c r="A1629" s="20" t="s">
        <v>395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964</v>
      </c>
    </row>
    <row r="1631" spans="1:12">
      <c r="A1631" s="20" t="s">
        <v>965</v>
      </c>
      <c r="B1631" s="27" t="s">
        <v>398</v>
      </c>
      <c r="C1631" s="27" t="s">
        <v>338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966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380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967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968</v>
      </c>
      <c r="B1635" s="27" t="s">
        <v>378</v>
      </c>
      <c r="C1635" s="27" t="s">
        <v>338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429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794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969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970</v>
      </c>
      <c r="B1639" s="27" t="s">
        <v>337</v>
      </c>
      <c r="C1639" s="27" t="s">
        <v>338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432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971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359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910</v>
      </c>
      <c r="B1643" s="27" t="s">
        <v>405</v>
      </c>
      <c r="C1643" s="27" t="s">
        <v>330</v>
      </c>
      <c r="D1643" s="27" t="s">
        <v>331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364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794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972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364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349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973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509</v>
      </c>
      <c r="B1650" s="27" t="s">
        <v>337</v>
      </c>
      <c r="C1650" s="27" t="s">
        <v>369</v>
      </c>
      <c r="D1650" s="27" t="s">
        <v>331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974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794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364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681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429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794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975</v>
      </c>
      <c r="B1657" s="27" t="s">
        <v>425</v>
      </c>
      <c r="C1657" s="27" t="s">
        <v>373</v>
      </c>
      <c r="D1657" s="27" t="s">
        <v>331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349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856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976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367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977</v>
      </c>
      <c r="B1662" s="27" t="s">
        <v>408</v>
      </c>
      <c r="C1662" s="27" t="s">
        <v>330</v>
      </c>
      <c r="D1662" s="27" t="s">
        <v>331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794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432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525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978</v>
      </c>
      <c r="B1666" s="27" t="s">
        <v>408</v>
      </c>
      <c r="C1666" s="27" t="s">
        <v>338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979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341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794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11</v>
      </c>
      <c r="B1670" s="27" t="s">
        <v>382</v>
      </c>
      <c r="C1670" s="27" t="s">
        <v>369</v>
      </c>
      <c r="D1670" s="27" t="s">
        <v>331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346</v>
      </c>
      <c r="B1671" s="27" t="s">
        <v>411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383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980</v>
      </c>
      <c r="B1673" s="27" t="s">
        <v>415</v>
      </c>
      <c r="C1673" s="27" t="s">
        <v>373</v>
      </c>
      <c r="D1673" s="27" t="s">
        <v>331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981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422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429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794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647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982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525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983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423</v>
      </c>
      <c r="B1682" s="27" t="s">
        <v>790</v>
      </c>
      <c r="C1682" s="27" t="s">
        <v>757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513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333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509</v>
      </c>
      <c r="B1685" s="27" t="s">
        <v>368</v>
      </c>
      <c r="C1685" s="27" t="s">
        <v>369</v>
      </c>
      <c r="D1685" s="27" t="s">
        <v>331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364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794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984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985</v>
      </c>
      <c r="B1689" s="27" t="s">
        <v>415</v>
      </c>
      <c r="C1689" s="27" t="s">
        <v>338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391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986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347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987</v>
      </c>
      <c r="B1693" s="27" t="s">
        <v>790</v>
      </c>
      <c r="C1693" s="27" t="s">
        <v>354</v>
      </c>
      <c r="D1693" s="27" t="s">
        <v>331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432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988</v>
      </c>
      <c r="B1695" s="27" t="s">
        <v>418</v>
      </c>
      <c r="C1695" s="27" t="s">
        <v>354</v>
      </c>
      <c r="D1695" s="27" t="s">
        <v>331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335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989</v>
      </c>
      <c r="B1697" s="27" t="s">
        <v>612</v>
      </c>
      <c r="C1697" s="27" t="s">
        <v>338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341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794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753</v>
      </c>
      <c r="B1700" s="27" t="s">
        <v>408</v>
      </c>
      <c r="C1700" s="27" t="s">
        <v>358</v>
      </c>
      <c r="D1700" s="27" t="s">
        <v>331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335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990</v>
      </c>
      <c r="B1702" s="27" t="s">
        <v>368</v>
      </c>
      <c r="C1702" s="27" t="s">
        <v>358</v>
      </c>
      <c r="D1702" s="27" t="s">
        <v>331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407</v>
      </c>
      <c r="B1703" s="27" t="s">
        <v>418</v>
      </c>
      <c r="C1703" s="27" t="s">
        <v>358</v>
      </c>
      <c r="D1703" s="27" t="s">
        <v>331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347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991</v>
      </c>
      <c r="B1705" s="27" t="s">
        <v>368</v>
      </c>
      <c r="C1705" s="27" t="s">
        <v>330</v>
      </c>
      <c r="D1705" s="27" t="s">
        <v>331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992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/>
    </row>
    <row r="1708" spans="1:12">
      <c r="A1708" s="20" t="s">
        <v>993</v>
      </c>
    </row>
    <row r="1709" spans="1:12">
      <c r="A1709" s="20" t="s">
        <v>811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380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364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994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344</v>
      </c>
      <c r="B1713" s="27" t="s">
        <v>405</v>
      </c>
      <c r="C1713" s="27" t="s">
        <v>338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995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400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423</v>
      </c>
      <c r="B1716" s="27" t="s">
        <v>408</v>
      </c>
      <c r="C1716" s="27" t="s">
        <v>402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341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/>
    </row>
    <row r="1719" spans="1:12">
      <c r="A1719" s="20" t="s">
        <v>996</v>
      </c>
    </row>
    <row r="1720" spans="1:12">
      <c r="A1720" s="20" t="s">
        <v>816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817</v>
      </c>
      <c r="B1721" s="27" t="s">
        <v>398</v>
      </c>
      <c r="C1721" s="27" t="s">
        <v>330</v>
      </c>
      <c r="D1721" s="27" t="s">
        <v>331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391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347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348</v>
      </c>
      <c r="B1724" s="27" t="s">
        <v>388</v>
      </c>
      <c r="C1724" s="27" t="s">
        <v>330</v>
      </c>
      <c r="D1724" s="27" t="s">
        <v>331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349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493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347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997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494</v>
      </c>
      <c r="B1729" s="27" t="s">
        <v>378</v>
      </c>
      <c r="C1729" s="27" t="s">
        <v>330</v>
      </c>
      <c r="D1729" s="27" t="s">
        <v>331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495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367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998</v>
      </c>
      <c r="B1732" s="27" t="s">
        <v>388</v>
      </c>
      <c r="C1732" s="27" t="s">
        <v>358</v>
      </c>
      <c r="D1732" s="27" t="s">
        <v>331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356</v>
      </c>
      <c r="B1733" s="27" t="s">
        <v>357</v>
      </c>
      <c r="C1733" s="27" t="s">
        <v>358</v>
      </c>
      <c r="D1733" s="27" t="s">
        <v>331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367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637</v>
      </c>
      <c r="B1735" s="27" t="s">
        <v>378</v>
      </c>
      <c r="C1735" s="27" t="s">
        <v>354</v>
      </c>
      <c r="D1735" s="27" t="s">
        <v>331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341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/>
    </row>
    <row r="1738" spans="1:12">
      <c r="A1738" s="20" t="s">
        <v>999</v>
      </c>
    </row>
    <row r="1739" spans="1:12">
      <c r="A1739" s="20" t="s">
        <v>660</v>
      </c>
      <c r="B1739" s="27" t="s">
        <v>398</v>
      </c>
      <c r="C1739" s="27" t="s">
        <v>373</v>
      </c>
      <c r="D1739" s="27" t="s">
        <v>331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349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648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1000</v>
      </c>
      <c r="B1742" s="27" t="s">
        <v>345</v>
      </c>
      <c r="C1742" s="27" t="s">
        <v>338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392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1001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341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1002</v>
      </c>
    </row>
    <row r="1748" spans="1:12">
      <c r="A1748" s="20" t="s">
        <v>11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444</v>
      </c>
      <c r="B1749" s="27" t="s">
        <v>398</v>
      </c>
      <c r="C1749" s="27" t="s">
        <v>330</v>
      </c>
      <c r="D1749" s="27" t="s">
        <v>331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1003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391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333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1004</v>
      </c>
      <c r="B1753" s="27" t="s">
        <v>388</v>
      </c>
      <c r="C1753" s="27" t="s">
        <v>330</v>
      </c>
      <c r="D1753" s="27" t="s">
        <v>331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650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349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694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1005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333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333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375</v>
      </c>
      <c r="B1760" s="27" t="s">
        <v>378</v>
      </c>
      <c r="C1760" s="27" t="s">
        <v>330</v>
      </c>
      <c r="D1760" s="27" t="s">
        <v>331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341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/>
    </row>
    <row r="1763" spans="1:12">
      <c r="A1763" s="20" t="s">
        <v>1006</v>
      </c>
    </row>
    <row r="1764" spans="1:12">
      <c r="A1764" s="20" t="s">
        <v>518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1007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341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/>
    </row>
    <row r="1768" spans="1:12">
      <c r="A1768" s="20" t="s">
        <v>1008</v>
      </c>
    </row>
    <row r="1769" spans="1:12">
      <c r="A1769" s="20" t="s">
        <v>1009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364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349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1010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333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1011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1012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335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1013</v>
      </c>
      <c r="B1777" s="27" t="s">
        <v>337</v>
      </c>
      <c r="C1777" s="27" t="s">
        <v>338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341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/>
    </row>
    <row r="1780" spans="1:12">
      <c r="A1780" s="20" t="s">
        <v>1014</v>
      </c>
    </row>
    <row r="1781" spans="1:12">
      <c r="A1781" s="20" t="s">
        <v>543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347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348</v>
      </c>
      <c r="B1783" s="27" t="s">
        <v>398</v>
      </c>
      <c r="C1783" s="27" t="s">
        <v>330</v>
      </c>
      <c r="D1783" s="27" t="s">
        <v>331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 t="s">
        <v>435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493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333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1015</v>
      </c>
      <c r="B1787" s="27" t="s">
        <v>378</v>
      </c>
      <c r="C1787" s="27" t="s">
        <v>354</v>
      </c>
      <c r="D1787" s="27" t="s">
        <v>331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1016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432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333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375</v>
      </c>
      <c r="B1791" s="27" t="s">
        <v>378</v>
      </c>
      <c r="C1791" s="27" t="s">
        <v>330</v>
      </c>
      <c r="D1791" s="27" t="s">
        <v>331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341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/>
    </row>
    <row r="1794" spans="1:12">
      <c r="A1794" s="20" t="s">
        <v>1017</v>
      </c>
    </row>
    <row r="1795" spans="1:12">
      <c r="A1795" s="20" t="s">
        <v>779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422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346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487</v>
      </c>
      <c r="B1798" s="27" t="s">
        <v>398</v>
      </c>
      <c r="C1798" s="27" t="s">
        <v>373</v>
      </c>
      <c r="D1798" s="27" t="s">
        <v>331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1018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333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1016</v>
      </c>
      <c r="B1801" s="27" t="s">
        <v>345</v>
      </c>
      <c r="C1801" s="27" t="s">
        <v>330</v>
      </c>
      <c r="D1801" s="27" t="s">
        <v>331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655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/>
    </row>
    <row r="1804" spans="1:12">
      <c r="A1804" s="20" t="s">
        <v>1019</v>
      </c>
    </row>
    <row r="1805" spans="1:12">
      <c r="A1805" s="20" t="s">
        <v>523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822</v>
      </c>
      <c r="B1806" s="27" t="s">
        <v>398</v>
      </c>
      <c r="C1806" s="27" t="s">
        <v>330</v>
      </c>
      <c r="D1806" s="27" t="s">
        <v>331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422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346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487</v>
      </c>
      <c r="B1809" s="27" t="s">
        <v>398</v>
      </c>
      <c r="C1809" s="27" t="s">
        <v>373</v>
      </c>
      <c r="D1809" s="27" t="s">
        <v>331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1018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367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985</v>
      </c>
      <c r="B1812" s="27" t="s">
        <v>345</v>
      </c>
      <c r="C1812" s="27" t="s">
        <v>330</v>
      </c>
      <c r="D1812" s="27" t="s">
        <v>331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341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539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540</v>
      </c>
      <c r="B1815" s="27" t="s">
        <v>378</v>
      </c>
      <c r="C1815" s="27" t="s">
        <v>338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541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/>
    </row>
    <row r="1818" spans="1:12">
      <c r="A1818" s="20" t="s">
        <v>1020</v>
      </c>
    </row>
    <row r="1819" spans="1:12">
      <c r="A1819" s="20" t="s">
        <v>1021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985</v>
      </c>
      <c r="B1820" s="27" t="s">
        <v>378</v>
      </c>
      <c r="C1820" s="27" t="s">
        <v>757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341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/>
    </row>
    <row r="1823" spans="1:12">
      <c r="A1823" s="20" t="s">
        <v>1022</v>
      </c>
    </row>
    <row r="1824" spans="1:12">
      <c r="A1824" s="20" t="s">
        <v>811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380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364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339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985</v>
      </c>
      <c r="B1828" s="27" t="s">
        <v>337</v>
      </c>
      <c r="C1828" s="27" t="s">
        <v>757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819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341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/>
    </row>
    <row r="1832" spans="1:12">
      <c r="A1832" s="20" t="s">
        <v>1023</v>
      </c>
    </row>
    <row r="1833" spans="1:12">
      <c r="A1833" s="20" t="s">
        <v>11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566</v>
      </c>
      <c r="B1834" s="27" t="s">
        <v>398</v>
      </c>
      <c r="C1834" s="27" t="s">
        <v>354</v>
      </c>
      <c r="D1834" s="27" t="s">
        <v>331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1024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335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827</v>
      </c>
      <c r="B1837" s="27" t="s">
        <v>388</v>
      </c>
      <c r="C1837" s="27" t="s">
        <v>338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1025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169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1026</v>
      </c>
      <c r="B1840" s="27" t="s">
        <v>345</v>
      </c>
      <c r="C1840" s="27" t="s">
        <v>354</v>
      </c>
      <c r="D1840" s="27" t="s">
        <v>331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335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740</v>
      </c>
      <c r="B1842" s="27" t="s">
        <v>388</v>
      </c>
      <c r="C1842" s="27" t="s">
        <v>338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341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/>
    </row>
    <row r="1845" spans="1:12">
      <c r="A1845" s="20" t="s">
        <v>1027</v>
      </c>
    </row>
    <row r="1846" spans="1:12">
      <c r="A1846" s="20" t="s">
        <v>11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566</v>
      </c>
      <c r="B1847" s="27" t="s">
        <v>398</v>
      </c>
      <c r="C1847" s="27" t="s">
        <v>354</v>
      </c>
      <c r="D1847" s="27" t="s">
        <v>331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1024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335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1028</v>
      </c>
      <c r="B1850" s="27" t="s">
        <v>388</v>
      </c>
      <c r="C1850" s="27" t="s">
        <v>338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364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221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1026</v>
      </c>
      <c r="B1853" s="27" t="s">
        <v>388</v>
      </c>
      <c r="C1853" s="27" t="s">
        <v>710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341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1029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364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493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1030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1026</v>
      </c>
      <c r="B1859" s="27" t="s">
        <v>378</v>
      </c>
      <c r="C1859" s="27" t="s">
        <v>710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341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/>
    </row>
    <row r="1862" spans="1:12">
      <c r="A1862" s="20" t="s">
        <v>1031</v>
      </c>
    </row>
    <row r="1863" spans="1:12">
      <c r="A1863" s="20" t="s">
        <v>518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872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968</v>
      </c>
      <c r="B1865" s="27" t="s">
        <v>378</v>
      </c>
      <c r="C1865" s="27" t="s">
        <v>710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391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1032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367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1033</v>
      </c>
      <c r="B1869" s="27" t="s">
        <v>378</v>
      </c>
      <c r="C1869" s="27" t="s">
        <v>358</v>
      </c>
      <c r="D1869" s="27" t="s">
        <v>331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356</v>
      </c>
      <c r="B1870" s="27" t="s">
        <v>378</v>
      </c>
      <c r="C1870" s="27" t="s">
        <v>358</v>
      </c>
      <c r="D1870" s="27" t="s">
        <v>331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347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762</v>
      </c>
      <c r="B1872" s="27" t="s">
        <v>398</v>
      </c>
      <c r="C1872" s="27" t="s">
        <v>358</v>
      </c>
      <c r="D1872" s="27" t="s">
        <v>331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341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/>
    </row>
    <row r="1875" spans="1:12">
      <c r="A1875" s="20" t="s">
        <v>1034</v>
      </c>
    </row>
    <row r="1876" spans="1:12">
      <c r="A1876" s="20" t="s">
        <v>753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333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787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736</v>
      </c>
      <c r="B1879" s="27" t="s">
        <v>378</v>
      </c>
      <c r="C1879" s="27" t="s">
        <v>354</v>
      </c>
      <c r="D1879" s="27" t="s">
        <v>331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356</v>
      </c>
      <c r="B1880" s="27" t="s">
        <v>378</v>
      </c>
      <c r="C1880" s="27" t="s">
        <v>358</v>
      </c>
      <c r="D1880" s="27" t="s">
        <v>331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 t="s">
        <v>367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328</v>
      </c>
      <c r="B1882" s="27" t="s">
        <v>378</v>
      </c>
      <c r="C1882" s="27" t="s">
        <v>330</v>
      </c>
      <c r="D1882" s="27" t="s">
        <v>331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341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/>
    </row>
    <row r="1885" spans="1:12">
      <c r="A1885" s="20" t="s">
        <v>1035</v>
      </c>
    </row>
    <row r="1886" spans="1:12">
      <c r="A1886" s="20" t="s">
        <v>753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443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431</v>
      </c>
      <c r="B1888" s="27" t="s">
        <v>378</v>
      </c>
      <c r="C1888" s="27" t="s">
        <v>354</v>
      </c>
      <c r="D1888" s="27" t="s">
        <v>331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335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1036</v>
      </c>
      <c r="B1890" s="27" t="s">
        <v>378</v>
      </c>
      <c r="C1890" s="27" t="s">
        <v>338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1037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341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/>
    </row>
    <row r="1894" spans="1:12">
      <c r="A1894" s="20" t="s">
        <v>1038</v>
      </c>
    </row>
    <row r="1895" spans="1:12">
      <c r="A1895" s="20" t="s">
        <v>685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364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412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1039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858</v>
      </c>
      <c r="B1899" s="27" t="s">
        <v>337</v>
      </c>
      <c r="C1899" s="27" t="s">
        <v>505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335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1040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1041</v>
      </c>
      <c r="B1902" s="27" t="s">
        <v>357</v>
      </c>
      <c r="C1902" s="27" t="s">
        <v>389</v>
      </c>
      <c r="D1902" s="27" t="s">
        <v>331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1042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364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386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333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593</v>
      </c>
      <c r="B1907" s="27" t="s">
        <v>388</v>
      </c>
      <c r="C1907" s="27" t="s">
        <v>330</v>
      </c>
      <c r="D1907" s="27" t="s">
        <v>331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1043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364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367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1044</v>
      </c>
      <c r="B1911" s="27" t="s">
        <v>329</v>
      </c>
      <c r="C1911" s="27" t="s">
        <v>330</v>
      </c>
      <c r="D1911" s="27" t="s">
        <v>331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1045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364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1046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335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1047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333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38</v>
      </c>
      <c r="B1918" s="27" t="s">
        <v>790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474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475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335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1048</v>
      </c>
      <c r="B1922" s="27" t="s">
        <v>418</v>
      </c>
      <c r="C1922" s="27" t="s">
        <v>338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364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371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347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348</v>
      </c>
      <c r="B1926" s="27" t="s">
        <v>516</v>
      </c>
      <c r="C1926" s="27" t="s">
        <v>330</v>
      </c>
      <c r="D1926" s="27" t="s">
        <v>331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435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1049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367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584</v>
      </c>
      <c r="B1930" s="27" t="s">
        <v>790</v>
      </c>
      <c r="C1930" s="27" t="s">
        <v>358</v>
      </c>
      <c r="D1930" s="27" t="s">
        <v>331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366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347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675</v>
      </c>
      <c r="B1933" s="27" t="s">
        <v>418</v>
      </c>
      <c r="C1933" s="27" t="s">
        <v>676</v>
      </c>
      <c r="D1933" s="27" t="s">
        <v>331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937</v>
      </c>
      <c r="B1934" s="27" t="s">
        <v>368</v>
      </c>
      <c r="C1934" s="27" t="s">
        <v>330</v>
      </c>
      <c r="D1934" s="27" t="s">
        <v>331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341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/>
    </row>
    <row r="1937" spans="1:12">
      <c r="A1937" s="20" t="s">
        <v>1050</v>
      </c>
    </row>
    <row r="1938" spans="1:12">
      <c r="A1938" s="20" t="s">
        <v>1051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1052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364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371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1053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840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1054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431</v>
      </c>
      <c r="B1945" s="27" t="s">
        <v>345</v>
      </c>
      <c r="C1945" s="27" t="s">
        <v>389</v>
      </c>
      <c r="D1945" s="27" t="s">
        <v>331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335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1036</v>
      </c>
      <c r="B1947" s="27" t="s">
        <v>388</v>
      </c>
      <c r="C1947" s="27" t="s">
        <v>338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432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1055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454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356</v>
      </c>
      <c r="B1951" s="27" t="s">
        <v>363</v>
      </c>
      <c r="C1951" s="27" t="s">
        <v>358</v>
      </c>
      <c r="D1951" s="27" t="s">
        <v>331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367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768</v>
      </c>
      <c r="B1953" s="27" t="s">
        <v>357</v>
      </c>
      <c r="C1953" s="27" t="s">
        <v>676</v>
      </c>
      <c r="D1953" s="27" t="s">
        <v>331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602</v>
      </c>
      <c r="B1954" s="27" t="s">
        <v>337</v>
      </c>
      <c r="C1954" s="27" t="s">
        <v>354</v>
      </c>
      <c r="D1954" s="27" t="s">
        <v>331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366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817</v>
      </c>
      <c r="B1956" s="27" t="s">
        <v>357</v>
      </c>
      <c r="C1956" s="27" t="s">
        <v>338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346</v>
      </c>
      <c r="B1957" s="27" t="s">
        <v>516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1056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367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768</v>
      </c>
      <c r="B1960" s="27" t="s">
        <v>418</v>
      </c>
      <c r="C1960" s="27" t="s">
        <v>676</v>
      </c>
      <c r="D1960" s="27" t="s">
        <v>331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451</v>
      </c>
      <c r="B1961" s="27" t="s">
        <v>790</v>
      </c>
      <c r="C1961" s="27" t="s">
        <v>330</v>
      </c>
      <c r="D1961" s="27" t="s">
        <v>331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432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1057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1058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1041</v>
      </c>
      <c r="B1965" s="27" t="s">
        <v>415</v>
      </c>
      <c r="C1965" s="27" t="s">
        <v>389</v>
      </c>
      <c r="D1965" s="27" t="s">
        <v>331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681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364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495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367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446</v>
      </c>
      <c r="B1970" s="27" t="s">
        <v>612</v>
      </c>
      <c r="C1970" s="27" t="s">
        <v>330</v>
      </c>
      <c r="D1970" s="27" t="s">
        <v>331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364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349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347</v>
      </c>
      <c r="B1973" s="27" t="s">
        <v>370</v>
      </c>
      <c r="C1973" s="27" t="s">
        <v>373</v>
      </c>
      <c r="D1973" s="27" t="s">
        <v>331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1059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655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/>
    </row>
    <row r="1977" spans="1:12">
      <c r="A1977" s="20" t="s">
        <v>1060</v>
      </c>
    </row>
    <row r="1978" spans="1:12">
      <c r="A1978" s="20" t="s">
        <v>1061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371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1062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364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1063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391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1064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663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432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1065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346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367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328</v>
      </c>
      <c r="B1990" s="27" t="s">
        <v>425</v>
      </c>
      <c r="C1990" s="27" t="s">
        <v>330</v>
      </c>
      <c r="D1990" s="27" t="s">
        <v>331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1066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366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347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1067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422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454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1068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391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446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1069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356</v>
      </c>
      <c r="B2001" s="27" t="s">
        <v>363</v>
      </c>
      <c r="C2001" s="27" t="s">
        <v>358</v>
      </c>
      <c r="D2001" s="27" t="s">
        <v>331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367</v>
      </c>
      <c r="B2002" s="27" t="s">
        <v>337</v>
      </c>
      <c r="C2002" s="27" t="s">
        <v>369</v>
      </c>
      <c r="D2002" s="27" t="s">
        <v>331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346</v>
      </c>
      <c r="B2003" s="27" t="s">
        <v>382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422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1070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655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/>
    </row>
    <row r="2008" spans="1:12">
      <c r="A2008" s="20" t="s">
        <v>1071</v>
      </c>
    </row>
    <row r="2009" spans="1:12">
      <c r="A2009" s="20" t="s">
        <v>1061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371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349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1072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1044</v>
      </c>
      <c r="B2013" s="27" t="s">
        <v>345</v>
      </c>
      <c r="C2013" s="27" t="s">
        <v>354</v>
      </c>
      <c r="D2013" s="27" t="s">
        <v>331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1073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681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593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1074</v>
      </c>
      <c r="B2017" s="27" t="s">
        <v>388</v>
      </c>
      <c r="C2017" s="27" t="s">
        <v>338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655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/>
    </row>
    <row r="2020" spans="1:12">
      <c r="A2020" s="20" t="s">
        <v>1075</v>
      </c>
    </row>
    <row r="2021" spans="1:12">
      <c r="A2021" s="20" t="s">
        <v>1076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1077</v>
      </c>
      <c r="B2022" s="27" t="s">
        <v>378</v>
      </c>
      <c r="C2022" s="27" t="s">
        <v>402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1078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1079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429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/>
    </row>
    <row r="2027" spans="1:12">
      <c r="A2027" s="20" t="s">
        <v>1080</v>
      </c>
    </row>
    <row r="2028" spans="1:12">
      <c r="A2028" s="20" t="s">
        <v>1061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371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1081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1082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 t="s">
        <v>423</v>
      </c>
      <c r="B2032" s="27" t="s">
        <v>398</v>
      </c>
      <c r="C2032" s="27" t="s">
        <v>389</v>
      </c>
      <c r="D2032" s="27" t="s">
        <v>331</v>
      </c>
      <c r="E2032" s="21">
        <f>IF(D2032="?OLD","!!!","")</f>
        <v/>
      </c>
      <c r="F2032" s="22" t="str">
        <f>IF(OR(E2032="",E2032="!!!"),"",IF(NOT(ISNA(VLOOKUP(E2032,E$1:E2031,1,FALSE()))),"OLD",IF(AND(E2032&lt;&gt;"",E2032&lt;&gt;"!!!"),"NEW","")))</f>
        <v> </v>
      </c>
      <c r="G2032" s="23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4" t="str">
        <f>IF(J2032&lt;&gt;1,"",IF(I2032="SBJ","CB","?"))</f>
        <v> </v>
      </c>
      <c r="I2032" s="25" t="str">
        <f>IF(OR(E2032="",E2032="!!!",F2032="NEW"),"",INDEX(B2031:B$2,-1+SUMPRODUCT(MAX(ROW(E2031:E$2)*(E2032=E2031:E$2)))))</f>
        <v> </v>
      </c>
      <c r="J2032" s="25" t="str">
        <f>IF(OR(E2032="",E2032="!!!",F2032="NEW"),"",COUNTBLANK(OFFSET(A$1,,,SUMPRODUCT(MAX(ROW(E$2:E2032)*(E2032=E$2:E2032)))))-COUNTBLANK(OFFSET(A$1,,,SUMPRODUCT(MAX(ROW(E$1:E2031)*(E2=E$1:E2031))))))</f>
        <v> </v>
      </c>
      <c r="K2032" s="25" t="str">
        <f>IF(OR(E2032="",E2032="!!!",F2032="NEW"),"",INDEX(J$1:J2031,SUMPRODUCT(MAX(ROW(E$1:E2031)*(E2032=E$1:E2031)))))</f>
        <v> </v>
      </c>
      <c r="L2032" s="26"/>
    </row>
    <row r="2033" spans="1:12">
      <c r="A2033" s="20" t="s">
        <v>335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514</v>
      </c>
      <c r="B2034" s="27" t="s">
        <v>388</v>
      </c>
      <c r="C2034" s="27" t="s">
        <v>354</v>
      </c>
      <c r="D2034" s="27" t="s">
        <v>331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335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375</v>
      </c>
      <c r="B2036" s="27" t="s">
        <v>357</v>
      </c>
      <c r="C2036" s="27" t="s">
        <v>338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1083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443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1084</v>
      </c>
      <c r="B2039" s="27" t="s">
        <v>378</v>
      </c>
      <c r="C2039" s="27" t="s">
        <v>402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364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1085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364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346</v>
      </c>
      <c r="B2043" s="27" t="s">
        <v>329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349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422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1086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364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400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423</v>
      </c>
      <c r="B2049" s="27" t="s">
        <v>378</v>
      </c>
      <c r="C2049" s="27" t="s">
        <v>354</v>
      </c>
      <c r="D2049" s="27" t="s">
        <v>331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432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1087</v>
      </c>
      <c r="B2051" s="27" t="s">
        <v>388</v>
      </c>
      <c r="C2051" s="27" t="s">
        <v>338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1088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681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400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1089</v>
      </c>
      <c r="B2055" s="27" t="s">
        <v>388</v>
      </c>
      <c r="C2055" s="27" t="s">
        <v>354</v>
      </c>
      <c r="D2055" s="27" t="s">
        <v>331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335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1090</v>
      </c>
      <c r="B2057" s="27" t="s">
        <v>357</v>
      </c>
      <c r="C2057" s="27" t="s">
        <v>354</v>
      </c>
      <c r="D2057" s="27" t="s">
        <v>331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335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1091</v>
      </c>
      <c r="B2059" s="27" t="s">
        <v>363</v>
      </c>
      <c r="C2059" s="27" t="s">
        <v>338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655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/>
    </row>
    <row r="2062" spans="1:12">
      <c r="A2062" s="20" t="s">
        <v>1092</v>
      </c>
    </row>
    <row r="2063" spans="1:12">
      <c r="A2063" s="20" t="s">
        <v>893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364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367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1093</v>
      </c>
      <c r="B2066" s="27" t="s">
        <v>378</v>
      </c>
      <c r="C2066" s="27" t="s">
        <v>330</v>
      </c>
      <c r="D2066" s="27" t="s">
        <v>331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1094</v>
      </c>
      <c r="B2067" s="27" t="s">
        <v>378</v>
      </c>
      <c r="C2067" s="27" t="s">
        <v>358</v>
      </c>
      <c r="D2067" s="27" t="s">
        <v>331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1095</v>
      </c>
      <c r="B2068" s="27" t="s">
        <v>388</v>
      </c>
      <c r="C2068" s="27" t="s">
        <v>358</v>
      </c>
      <c r="D2068" s="27" t="s">
        <v>331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341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/>
    </row>
    <row r="2071" spans="1:12">
      <c r="A2071" s="20" t="s">
        <v>395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1096</v>
      </c>
    </row>
    <row r="2073" spans="1:12">
      <c r="A2073" s="20" t="s">
        <v>1097</v>
      </c>
      <c r="B2073" s="27" t="s">
        <v>398</v>
      </c>
      <c r="C2073" s="27" t="s">
        <v>358</v>
      </c>
      <c r="D2073" s="27" t="s">
        <v>331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623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400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423</v>
      </c>
      <c r="B2076" s="27" t="s">
        <v>345</v>
      </c>
      <c r="C2076" s="27" t="s">
        <v>354</v>
      </c>
      <c r="D2076" s="27" t="s">
        <v>331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1098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509</v>
      </c>
      <c r="B2078" s="27" t="s">
        <v>388</v>
      </c>
      <c r="C2078" s="27" t="s">
        <v>369</v>
      </c>
      <c r="D2078" s="27" t="s">
        <v>331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346</v>
      </c>
      <c r="B2079" s="27" t="s">
        <v>408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1099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366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367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1100</v>
      </c>
      <c r="B2083" s="27" t="s">
        <v>363</v>
      </c>
      <c r="C2083" s="27" t="s">
        <v>330</v>
      </c>
      <c r="D2083" s="27" t="s">
        <v>331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429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794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764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869</v>
      </c>
      <c r="B2087" s="27" t="s">
        <v>337</v>
      </c>
      <c r="C2087" s="27" t="s">
        <v>338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391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737</v>
      </c>
      <c r="B2089" s="27" t="s">
        <v>357</v>
      </c>
      <c r="C2089" s="27" t="s">
        <v>338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530</v>
      </c>
      <c r="B2090" s="27" t="s">
        <v>363</v>
      </c>
      <c r="C2090" s="27" t="s">
        <v>358</v>
      </c>
      <c r="D2090" s="27" t="s">
        <v>331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443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1101</v>
      </c>
      <c r="B2092" s="27" t="s">
        <v>337</v>
      </c>
      <c r="C2092" s="27" t="s">
        <v>354</v>
      </c>
      <c r="D2092" s="27" t="s">
        <v>331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335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1102</v>
      </c>
      <c r="B2094" s="27" t="s">
        <v>357</v>
      </c>
      <c r="C2094" s="27" t="s">
        <v>338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364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794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502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487</v>
      </c>
      <c r="B2098" s="27" t="s">
        <v>425</v>
      </c>
      <c r="C2098" s="27" t="s">
        <v>373</v>
      </c>
      <c r="D2098" s="27" t="s">
        <v>331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493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700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1103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356</v>
      </c>
      <c r="B2102" s="27" t="s">
        <v>357</v>
      </c>
      <c r="C2102" s="27" t="s">
        <v>358</v>
      </c>
      <c r="D2102" s="27" t="s">
        <v>331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367</v>
      </c>
      <c r="B2103" s="27" t="s">
        <v>357</v>
      </c>
      <c r="C2103" s="27" t="s">
        <v>369</v>
      </c>
      <c r="D2103" s="27" t="s">
        <v>331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 t="s">
        <v>346</v>
      </c>
      <c r="B2104" s="27" t="s">
        <v>516</v>
      </c>
      <c r="E2104" s="21">
        <f>IF(D2104="?OLD","!!!","")</f>
        <v/>
      </c>
      <c r="F2104" s="22" t="str">
        <f>IF(OR(E2104="",E2104="!!!"),"",IF(NOT(ISNA(VLOOKUP(E2104,E$1:E2103,1,FALSE()))),"OLD",IF(AND(E2104&lt;&gt;"",E2104&lt;&gt;"!!!"),"NEW","")))</f>
        <v> </v>
      </c>
      <c r="G2104" s="23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4" t="str">
        <f>IF(J2104&lt;&gt;1,"",IF(I2104="SBJ","CB","?"))</f>
        <v> </v>
      </c>
      <c r="I2104" s="25" t="str">
        <f>IF(OR(E2104="",E2104="!!!",F2104="NEW"),"",INDEX(B2103:B$2,-1+SUMPRODUCT(MAX(ROW(E2103:E$2)*(E2104=E2103:E$2)))))</f>
        <v> </v>
      </c>
      <c r="J2104" s="25" t="str">
        <f>IF(OR(E2104="",E2104="!!!",F2104="NEW"),"",COUNTBLANK(OFFSET(A$1,,,SUMPRODUCT(MAX(ROW(E$2:E2104)*(E2104=E$2:E2104)))))-COUNTBLANK(OFFSET(A$1,,,SUMPRODUCT(MAX(ROW(E$1:E2103)*(E2=E$1:E2103))))))</f>
        <v> </v>
      </c>
      <c r="K2104" s="25" t="str">
        <f>IF(OR(E2104="",E2104="!!!",F2104="NEW"),"",INDEX(J$1:J2103,SUMPRODUCT(MAX(ROW(E$1:E2103)*(E2104=E$1:E2103)))))</f>
        <v> </v>
      </c>
      <c r="L2104" s="26"/>
    </row>
    <row r="2105" spans="1:12">
      <c r="A2105" s="20" t="s">
        <v>347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869</v>
      </c>
      <c r="B2106" s="27" t="s">
        <v>363</v>
      </c>
      <c r="C2106" s="27" t="s">
        <v>354</v>
      </c>
      <c r="D2106" s="27" t="s">
        <v>331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333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416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417</v>
      </c>
      <c r="B2109" s="27" t="s">
        <v>368</v>
      </c>
      <c r="C2109" s="27" t="s">
        <v>338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794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356</v>
      </c>
      <c r="B2111" s="27" t="s">
        <v>612</v>
      </c>
      <c r="C2111" s="27" t="s">
        <v>358</v>
      </c>
      <c r="D2111" s="27" t="s">
        <v>331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333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1104</v>
      </c>
      <c r="B2113" s="27" t="s">
        <v>418</v>
      </c>
      <c r="C2113" s="27" t="s">
        <v>354</v>
      </c>
      <c r="D2113" s="27" t="s">
        <v>331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1105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794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341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/>
    </row>
    <row r="2118" spans="1:12">
      <c r="A2118" s="20" t="s">
        <v>1106</v>
      </c>
    </row>
    <row r="2119" spans="1:12">
      <c r="A2119" s="20" t="s">
        <v>1107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346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786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530</v>
      </c>
      <c r="B2122" s="27" t="s">
        <v>337</v>
      </c>
      <c r="C2122" s="27" t="s">
        <v>358</v>
      </c>
      <c r="D2122" s="27" t="s">
        <v>331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509</v>
      </c>
      <c r="B2123" s="27" t="s">
        <v>329</v>
      </c>
      <c r="C2123" s="27" t="s">
        <v>369</v>
      </c>
      <c r="D2123" s="27" t="s">
        <v>331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443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514</v>
      </c>
      <c r="B2125" s="27" t="s">
        <v>357</v>
      </c>
      <c r="C2125" s="27" t="s">
        <v>402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1108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341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/>
    </row>
    <row r="2129" spans="1:12">
      <c r="A2129" s="20" t="s">
        <v>1109</v>
      </c>
    </row>
    <row r="2130" spans="1:12">
      <c r="A2130" s="20" t="s">
        <v>543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386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648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495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671</v>
      </c>
      <c r="B2134" s="27" t="s">
        <v>345</v>
      </c>
      <c r="C2134" s="27" t="s">
        <v>338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443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1110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1111</v>
      </c>
      <c r="B2137" s="27" t="s">
        <v>388</v>
      </c>
      <c r="C2137" s="27" t="s">
        <v>402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1112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364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359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1113</v>
      </c>
      <c r="B2141" s="27" t="s">
        <v>382</v>
      </c>
      <c r="C2141" s="27" t="s">
        <v>330</v>
      </c>
      <c r="D2141" s="27" t="s">
        <v>331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335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346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349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1114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1115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1116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493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828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356</v>
      </c>
      <c r="B2150" s="27" t="s">
        <v>363</v>
      </c>
      <c r="C2150" s="27" t="s">
        <v>358</v>
      </c>
      <c r="D2150" s="27" t="s">
        <v>331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367</v>
      </c>
      <c r="B2151" s="27" t="s">
        <v>363</v>
      </c>
      <c r="C2151" s="27" t="s">
        <v>369</v>
      </c>
      <c r="D2151" s="27" t="s">
        <v>331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346</v>
      </c>
      <c r="B2152" s="27" t="s">
        <v>415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333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1117</v>
      </c>
      <c r="B2154" s="27" t="s">
        <v>411</v>
      </c>
      <c r="C2154" s="27" t="s">
        <v>354</v>
      </c>
      <c r="D2154" s="27" t="s">
        <v>331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335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333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731</v>
      </c>
      <c r="B2157" s="27" t="s">
        <v>457</v>
      </c>
      <c r="C2157" s="27" t="s">
        <v>676</v>
      </c>
      <c r="D2157" s="27" t="s">
        <v>331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538</v>
      </c>
      <c r="B2158" s="27" t="s">
        <v>612</v>
      </c>
      <c r="C2158" s="27" t="s">
        <v>330</v>
      </c>
      <c r="D2158" s="27" t="s">
        <v>331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 t="s">
        <v>1118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1119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681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335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1120</v>
      </c>
      <c r="B2163" s="27" t="s">
        <v>612</v>
      </c>
      <c r="C2163" s="27" t="s">
        <v>338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443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1121</v>
      </c>
      <c r="B2165" s="27" t="s">
        <v>415</v>
      </c>
      <c r="C2165" s="27" t="s">
        <v>354</v>
      </c>
      <c r="D2165" s="27" t="s">
        <v>331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335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1122</v>
      </c>
      <c r="B2167" s="27" t="s">
        <v>612</v>
      </c>
      <c r="C2167" s="27" t="s">
        <v>338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341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/>
    </row>
    <row r="2170" spans="1:12">
      <c r="A2170" s="20" t="s">
        <v>1123</v>
      </c>
    </row>
    <row r="2171" spans="1:12">
      <c r="A2171" s="20" t="s">
        <v>631</v>
      </c>
      <c r="B2171" s="27" t="s">
        <v>378</v>
      </c>
      <c r="C2171" s="27" t="s">
        <v>369</v>
      </c>
      <c r="D2171" s="27" t="s">
        <v>331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364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371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349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1124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366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1125</v>
      </c>
      <c r="B2177" s="27" t="s">
        <v>388</v>
      </c>
      <c r="C2177" s="27" t="s">
        <v>358</v>
      </c>
      <c r="D2177" s="27" t="s">
        <v>331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341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539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540</v>
      </c>
      <c r="B2180" s="27" t="s">
        <v>357</v>
      </c>
      <c r="C2180" s="27" t="s">
        <v>338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541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/>
    </row>
    <row r="2183" spans="1:12">
      <c r="A2183" s="20" t="s">
        <v>1126</v>
      </c>
    </row>
    <row r="2184" spans="1:12">
      <c r="A2184" s="20" t="s">
        <v>543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333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1127</v>
      </c>
      <c r="B2186" s="27" t="s">
        <v>388</v>
      </c>
      <c r="C2186" s="27" t="s">
        <v>676</v>
      </c>
      <c r="D2186" s="27" t="s">
        <v>331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1128</v>
      </c>
      <c r="B2187" s="27" t="s">
        <v>398</v>
      </c>
      <c r="C2187" s="27" t="s">
        <v>330</v>
      </c>
      <c r="D2187" s="27" t="s">
        <v>331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422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346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1129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443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1069</v>
      </c>
      <c r="B2192" s="27" t="s">
        <v>345</v>
      </c>
      <c r="C2192" s="27" t="s">
        <v>402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432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366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347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1130</v>
      </c>
      <c r="B2196" s="27" t="s">
        <v>378</v>
      </c>
      <c r="C2196" s="27" t="s">
        <v>330</v>
      </c>
      <c r="D2196" s="27" t="s">
        <v>331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820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 t="s">
        <v>366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367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1131</v>
      </c>
      <c r="B2200" s="27" t="s">
        <v>357</v>
      </c>
      <c r="C2200" s="27" t="s">
        <v>330</v>
      </c>
      <c r="D2200" s="27" t="s">
        <v>331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335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1132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381</v>
      </c>
      <c r="B2203" s="27" t="s">
        <v>516</v>
      </c>
      <c r="C2203" s="27" t="s">
        <v>389</v>
      </c>
      <c r="D2203" s="27" t="s">
        <v>331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1133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364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349</v>
      </c>
      <c r="B2206" s="27" t="s">
        <v>345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422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655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/>
    </row>
    <row r="2210" spans="1:12">
      <c r="A2210" s="20" t="s">
        <v>1134</v>
      </c>
    </row>
    <row r="2211" spans="1:12">
      <c r="A2211" s="20" t="s">
        <v>1135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1136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366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333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375</v>
      </c>
      <c r="B2215" s="27" t="s">
        <v>378</v>
      </c>
      <c r="C2215" s="27" t="s">
        <v>330</v>
      </c>
      <c r="D2215" s="27" t="s">
        <v>331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1137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333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525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1138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381</v>
      </c>
      <c r="B2220" s="27" t="s">
        <v>405</v>
      </c>
      <c r="C2220" s="27" t="s">
        <v>710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341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/>
    </row>
    <row r="2223" spans="1:12">
      <c r="A2223" s="20" t="s">
        <v>395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1139</v>
      </c>
    </row>
    <row r="2225" spans="1:12">
      <c r="A2225" s="20" t="s">
        <v>1140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333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908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400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1141</v>
      </c>
      <c r="B2229" s="27" t="s">
        <v>337</v>
      </c>
      <c r="C2229" s="27" t="s">
        <v>402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364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1142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367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514</v>
      </c>
      <c r="B2233" s="27" t="s">
        <v>405</v>
      </c>
      <c r="C2233" s="27" t="s">
        <v>330</v>
      </c>
      <c r="D2233" s="27" t="s">
        <v>331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432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367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 t="s">
        <v>1143</v>
      </c>
      <c r="B2236" s="27" t="s">
        <v>363</v>
      </c>
      <c r="C2236" s="27" t="s">
        <v>676</v>
      </c>
      <c r="D2236" s="27" t="s">
        <v>331</v>
      </c>
      <c r="E2236" s="21">
        <f>IF(D2236="?OLD","!!!","")</f>
        <v/>
      </c>
      <c r="F2236" s="22" t="str">
        <f>IF(OR(E2236="",E2236="!!!"),"",IF(NOT(ISNA(VLOOKUP(E2236,E$1:E2235,1,FALSE()))),"OLD",IF(AND(E2236&lt;&gt;"",E2236&lt;&gt;"!!!"),"NEW","")))</f>
        <v> </v>
      </c>
      <c r="G2236" s="23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4" t="str">
        <f>IF(J2236&lt;&gt;1,"",IF(I2236="SBJ","CB","?"))</f>
        <v> </v>
      </c>
      <c r="I2236" s="25" t="str">
        <f>IF(OR(E2236="",E2236="!!!",F2236="NEW"),"",INDEX(B2235:B$2,-1+SUMPRODUCT(MAX(ROW(E2235:E$2)*(E2236=E2235:E$2)))))</f>
        <v> </v>
      </c>
      <c r="J2236" s="25" t="str">
        <f>IF(OR(E2236="",E2236="!!!",F2236="NEW"),"",COUNTBLANK(OFFSET(A$1,,,SUMPRODUCT(MAX(ROW(E$2:E2236)*(E2236=E$2:E2236)))))-COUNTBLANK(OFFSET(A$1,,,SUMPRODUCT(MAX(ROW(E$1:E2235)*(E2=E$1:E2235))))))</f>
        <v> </v>
      </c>
      <c r="K2236" s="25" t="str">
        <f>IF(OR(E2236="",E2236="!!!",F2236="NEW"),"",INDEX(J$1:J2235,SUMPRODUCT(MAX(ROW(E$1:E2235)*(E2236=E$1:E2235)))))</f>
        <v> </v>
      </c>
      <c r="L2236" s="26"/>
    </row>
    <row r="2237" spans="1:12">
      <c r="A2237" s="20" t="s">
        <v>637</v>
      </c>
      <c r="B2237" s="27" t="s">
        <v>357</v>
      </c>
      <c r="C2237" s="27" t="s">
        <v>330</v>
      </c>
      <c r="D2237" s="27" t="s">
        <v>331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391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432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333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731</v>
      </c>
      <c r="B2241" s="27" t="s">
        <v>368</v>
      </c>
      <c r="C2241" s="27" t="s">
        <v>676</v>
      </c>
      <c r="D2241" s="27" t="s">
        <v>331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736</v>
      </c>
      <c r="B2242" s="27" t="s">
        <v>363</v>
      </c>
      <c r="C2242" s="27" t="s">
        <v>330</v>
      </c>
      <c r="D2242" s="27" t="s">
        <v>331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391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364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407</v>
      </c>
      <c r="B2245" s="27" t="s">
        <v>790</v>
      </c>
      <c r="C2245" s="27" t="s">
        <v>358</v>
      </c>
      <c r="D2245" s="27" t="s">
        <v>331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367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819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1144</v>
      </c>
      <c r="B2248" s="27" t="s">
        <v>516</v>
      </c>
      <c r="C2248" s="27" t="s">
        <v>354</v>
      </c>
      <c r="D2248" s="27" t="s">
        <v>331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364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333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1145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417</v>
      </c>
      <c r="B2252" s="27" t="s">
        <v>418</v>
      </c>
      <c r="C2252" s="27" t="s">
        <v>338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364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349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1137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333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1146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367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1143</v>
      </c>
      <c r="B2259" s="27" t="s">
        <v>418</v>
      </c>
      <c r="C2259" s="27" t="s">
        <v>676</v>
      </c>
      <c r="D2259" s="27" t="s">
        <v>331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452</v>
      </c>
      <c r="B2260" s="27" t="s">
        <v>790</v>
      </c>
      <c r="C2260" s="27" t="s">
        <v>330</v>
      </c>
      <c r="D2260" s="27" t="s">
        <v>331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341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1147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794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1061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371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504</v>
      </c>
      <c r="B2266" s="27" t="s">
        <v>570</v>
      </c>
      <c r="C2266" s="27" t="s">
        <v>505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509</v>
      </c>
      <c r="B2267" s="27" t="s">
        <v>485</v>
      </c>
      <c r="C2267" s="27" t="s">
        <v>369</v>
      </c>
      <c r="D2267" s="27" t="s">
        <v>331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1083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443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1148</v>
      </c>
      <c r="B2270" s="27" t="s">
        <v>792</v>
      </c>
      <c r="C2270" s="27" t="s">
        <v>402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391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1149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443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328</v>
      </c>
      <c r="B2274" s="27" t="s">
        <v>1150</v>
      </c>
      <c r="C2274" s="27" t="s">
        <v>354</v>
      </c>
      <c r="D2274" s="27" t="s">
        <v>331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451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432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1151</v>
      </c>
      <c r="B2277" s="27" t="s">
        <v>1152</v>
      </c>
      <c r="C2277" s="27" t="s">
        <v>505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655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/>
    </row>
    <row r="2280" spans="1:12">
      <c r="A2280" s="20" t="s">
        <v>395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1153</v>
      </c>
    </row>
    <row r="2282" spans="1:12">
      <c r="A2282" s="20" t="s">
        <v>794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1154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1155</v>
      </c>
      <c r="B2284" s="27" t="s">
        <v>378</v>
      </c>
      <c r="C2284" s="27" t="s">
        <v>358</v>
      </c>
      <c r="D2284" s="27" t="s">
        <v>331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364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448</v>
      </c>
      <c r="B2286" s="27" t="s">
        <v>425</v>
      </c>
      <c r="C2286" s="27" t="s">
        <v>373</v>
      </c>
      <c r="D2286" s="27" t="s">
        <v>331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1156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341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/>
    </row>
    <row r="2290" spans="1:12">
      <c r="A2290" s="20" t="s">
        <v>1157</v>
      </c>
    </row>
    <row r="2291" spans="1:12">
      <c r="A2291" s="20" t="s">
        <v>397</v>
      </c>
      <c r="B2291" s="27" t="s">
        <v>398</v>
      </c>
      <c r="C2291" s="27" t="s">
        <v>373</v>
      </c>
      <c r="D2291" s="27" t="s">
        <v>331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1158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1159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341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539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540</v>
      </c>
      <c r="B2296" s="27" t="s">
        <v>378</v>
      </c>
      <c r="C2296" s="27" t="s">
        <v>338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541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/>
    </row>
    <row r="2299" spans="1:12">
      <c r="A2299" s="20" t="s">
        <v>1160</v>
      </c>
    </row>
    <row r="2300" spans="1:12">
      <c r="A2300" s="20" t="s">
        <v>397</v>
      </c>
      <c r="B2300" s="27" t="s">
        <v>398</v>
      </c>
      <c r="C2300" s="27" t="s">
        <v>373</v>
      </c>
      <c r="D2300" s="27" t="s">
        <v>331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1159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406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544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1161</v>
      </c>
      <c r="B2304" s="27" t="s">
        <v>337</v>
      </c>
      <c r="C2304" s="27" t="s">
        <v>358</v>
      </c>
      <c r="D2304" s="27" t="s">
        <v>331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356</v>
      </c>
      <c r="B2305" s="27" t="s">
        <v>357</v>
      </c>
      <c r="C2305" s="27" t="s">
        <v>358</v>
      </c>
      <c r="D2305" s="27" t="s">
        <v>331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347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875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1162</v>
      </c>
      <c r="B2308" s="27" t="s">
        <v>388</v>
      </c>
      <c r="C2308" s="27" t="s">
        <v>864</v>
      </c>
      <c r="D2308" s="27" t="s">
        <v>331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356</v>
      </c>
      <c r="B2309" s="27" t="s">
        <v>357</v>
      </c>
      <c r="C2309" s="27" t="s">
        <v>358</v>
      </c>
      <c r="D2309" s="27" t="s">
        <v>331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333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1128</v>
      </c>
      <c r="B2311" s="27" t="s">
        <v>357</v>
      </c>
      <c r="C2311" s="27" t="s">
        <v>358</v>
      </c>
      <c r="D2311" s="27" t="s">
        <v>331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356</v>
      </c>
      <c r="B2312" s="27" t="s">
        <v>363</v>
      </c>
      <c r="C2312" s="27" t="s">
        <v>358</v>
      </c>
      <c r="D2312" s="27" t="s">
        <v>331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333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496</v>
      </c>
      <c r="B2314" s="27" t="s">
        <v>388</v>
      </c>
      <c r="C2314" s="27" t="s">
        <v>330</v>
      </c>
      <c r="D2314" s="27" t="s">
        <v>331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497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341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/>
    </row>
    <row r="2318" spans="1:12">
      <c r="A2318" s="20" t="s">
        <v>1163</v>
      </c>
    </row>
    <row r="2319" spans="1:12">
      <c r="A2319" s="20" t="s">
        <v>1164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346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349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1165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335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346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1166</v>
      </c>
      <c r="B2325" s="27" t="s">
        <v>388</v>
      </c>
      <c r="C2325" s="27" t="s">
        <v>338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1010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341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/>
    </row>
    <row r="2329" spans="1:12">
      <c r="A2329" s="20" t="s">
        <v>395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1167</v>
      </c>
    </row>
    <row r="2331" spans="1:12">
      <c r="A2331" s="20" t="s">
        <v>543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367</v>
      </c>
      <c r="B2332" s="27" t="s">
        <v>378</v>
      </c>
      <c r="C2332" s="27" t="s">
        <v>369</v>
      </c>
      <c r="D2332" s="27" t="s">
        <v>331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346</v>
      </c>
      <c r="B2333" s="27" t="s">
        <v>337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1168</v>
      </c>
      <c r="B2334" s="27" t="s">
        <v>329</v>
      </c>
      <c r="C2334" s="27" t="s">
        <v>373</v>
      </c>
      <c r="D2334" s="27" t="s">
        <v>331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1159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530</v>
      </c>
      <c r="B2336" s="27" t="s">
        <v>405</v>
      </c>
      <c r="C2336" s="27" t="s">
        <v>358</v>
      </c>
      <c r="D2336" s="27" t="s">
        <v>331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503</v>
      </c>
      <c r="B2337" s="27" t="s">
        <v>425</v>
      </c>
      <c r="C2337" s="27" t="s">
        <v>369</v>
      </c>
      <c r="D2337" s="27" t="s">
        <v>331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422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346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980</v>
      </c>
      <c r="B2340" s="27" t="s">
        <v>405</v>
      </c>
      <c r="C2340" s="27" t="s">
        <v>373</v>
      </c>
      <c r="D2340" s="27" t="s">
        <v>331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1169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400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423</v>
      </c>
      <c r="B2343" s="27" t="s">
        <v>405</v>
      </c>
      <c r="C2343" s="27" t="s">
        <v>402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346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1170</v>
      </c>
      <c r="B2345" s="27" t="s">
        <v>516</v>
      </c>
      <c r="C2345" s="27" t="s">
        <v>358</v>
      </c>
      <c r="D2345" s="27" t="s">
        <v>331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1171</v>
      </c>
      <c r="B2346" s="27" t="s">
        <v>418</v>
      </c>
      <c r="C2346" s="27" t="s">
        <v>358</v>
      </c>
      <c r="D2346" s="27" t="s">
        <v>331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623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429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794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1172</v>
      </c>
      <c r="B2350" s="27" t="s">
        <v>411</v>
      </c>
      <c r="C2350" s="27" t="s">
        <v>358</v>
      </c>
      <c r="D2350" s="27" t="s">
        <v>331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432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367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419</v>
      </c>
      <c r="B2353" s="27" t="s">
        <v>612</v>
      </c>
      <c r="C2353" s="27" t="s">
        <v>330</v>
      </c>
      <c r="D2353" s="27" t="s">
        <v>331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364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794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406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422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1066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1173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936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367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1174</v>
      </c>
      <c r="B2362" s="27" t="s">
        <v>415</v>
      </c>
      <c r="C2362" s="27" t="s">
        <v>354</v>
      </c>
      <c r="D2362" s="27" t="s">
        <v>331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356</v>
      </c>
      <c r="B2363" s="27" t="s">
        <v>612</v>
      </c>
      <c r="C2363" s="27" t="s">
        <v>358</v>
      </c>
      <c r="D2363" s="27" t="s">
        <v>331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333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1175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1091</v>
      </c>
      <c r="B2366" s="27" t="s">
        <v>612</v>
      </c>
      <c r="C2366" s="27" t="s">
        <v>330</v>
      </c>
      <c r="D2366" s="27" t="s">
        <v>331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341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794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1176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341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2025-07-15T17:23:29Z</dcterms:created>
  <dcterms:modified xsi:type="dcterms:W3CDTF">2025-07-15T17:23:29Z</dcterms:modified>
</cp:coreProperties>
</file>