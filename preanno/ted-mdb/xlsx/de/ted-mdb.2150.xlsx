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<sst xmlns="http://schemas.openxmlformats.org/spreadsheetml/2006/main" count="2579" uniqueCount="653">
  <si>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</si>
  <si>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</si>
  <si>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</si>
  <si>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</si>
  <si>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</si>
  <si>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</si>
  <si>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</si>
  <si>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</si>
  <si>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</si>
  <si>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</si>
  <si>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</si>
  <si>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</si>
  <si>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Dave Troy : Soziale Kartografie – Überschneidung und Trennung in Städten</t>
  </si>
  <si>
    <t>2</t>
  </si>
  <si>
    <t>Wenn wir über die Kartierung von Städten nachdenken , denken wir an Wege , Straßen und Gebäude und an die Stadtentwicklung , die zu diesem Ergebnis führte , oder Sie denken an die großen Visionen eines Städteplaners .</t>
  </si>
  <si>
    <t>3</t>
  </si>
  <si>
    <t>Es gibt aber andere Arten , über die Kartierung von Städten nachzudenken und wie diese entstanden sind .</t>
  </si>
  <si>
    <t>Comparison.Concession.Arg2-as-denier</t>
  </si>
  <si>
    <t>contra-expectation</t>
  </si>
  <si>
    <t>(orig: Comparison.Concession.Arg2-as-denier)</t>
  </si>
  <si>
    <t>4</t>
  </si>
  <si>
    <t>(specifically)</t>
  </si>
  <si>
    <t>Heute möchte ich Ihnen eine neue Art Karte zeigen .</t>
  </si>
  <si>
    <t>Expansion.Level-of-detail.Arg2-as-detail</t>
  </si>
  <si>
    <t>specific</t>
  </si>
  <si>
    <t>(orig: Expansion.Level-of-detail.Arg2-as-detail)</t>
  </si>
  <si>
    <t>5</t>
  </si>
  <si>
    <t>Es ist keine geografische Karte , es ist eine Karte der Beziehungen zwischen den Menschen meiner Heimatstadt , Baltimore , Maryland .</t>
  </si>
  <si>
    <t>6</t>
  </si>
  <si>
    <t>(and)</t>
  </si>
  <si>
    <t>Sie können sehen , dass jeder Punkt eine Person darstellt , jede Linie eine Beziehung zwischen diesen Menschen und jede Farbe eine Gruppierung innerhalb dieses Netzwerkes .</t>
  </si>
  <si>
    <t>Expansion.Conjunction</t>
  </si>
  <si>
    <t>Conjunction</t>
  </si>
  <si>
    <t>(orig: Expansion.Conjunction)</t>
  </si>
  <si>
    <t>7</t>
  </si>
  <si>
    <t>Ich bin hier auf der grünen Seite , unten , weit am rechten Rand , wo die Geeks sind .</t>
  </si>
  <si>
    <t>8</t>
  </si>
  <si>
    <t>Auch TEDx ist unten , weit rechts .</t>
  </si>
  <si>
    <t>9</t>
  </si>
  <si>
    <t>( Lachen ) Auf der anderen Seite des Netzwerkes gibt es eher Afroamerikaner und Latinos , die um ganz andere Dinge besorgt sind als die Geeks .</t>
  </si>
  <si>
    <t>10</t>
  </si>
  <si>
    <t>Um Ihnen ein Gefühl zu geben , den grünen Teil des Netzwerkes nennen wir Klein-timore , da diese Leute , wie es scheint , in einer sehr kleinen Stadt wohnen .</t>
  </si>
  <si>
    <t>11</t>
  </si>
  <si>
    <t>Wir sehen immer wieder die gleichen Leute , weil wir nicht die ganze Breite und Tiefe der Stadt erforschen .</t>
  </si>
  <si>
    <t>12</t>
  </si>
  <si>
    <t>Auf der anderen Seite des Netzwerkes haben sie Menschen , die an Dingen wie Hip-Hop interessiert sind und sich eher mit dem Wohngebiet DC / Maryland / Virigina identifizieren , als mit der korrekten Stadtbezeichnung für Baltimore .</t>
  </si>
  <si>
    <t>13</t>
  </si>
  <si>
    <t>In der Mitte sehen Sie etwas , das die beiden Gruppierungen verbindet , und das ist Sport .</t>
  </si>
  <si>
    <t>14</t>
  </si>
  <si>
    <t>(in particular)</t>
  </si>
  <si>
    <t>Wir haben die Baltimore Orioles , die Baltimore Ravens [ Football ] den Olympioniken Michael Phelps , die Baltimore Firma Under Armour , die sie vielleicht kennen .</t>
  </si>
  <si>
    <t>15</t>
  </si>
  <si>
    <t>Diese Sportverbundenheit fungiert als einzige Brücke zwischen den beiden Enden des Netzwerkes .</t>
  </si>
  <si>
    <t>16</t>
  </si>
  <si>
    <t>Schauen wir uns San Francisco an .</t>
  </si>
  <si>
    <t>17</t>
  </si>
  <si>
    <t>Sie sehen , dass dort etwas anderes passiert .</t>
  </si>
  <si>
    <t>18</t>
  </si>
  <si>
    <t>Auf der einen Seite gibt es den Medien- , Politik- und Nachrichtenflügel , den es in Baltimore und anderen Städten meist gibt , es gibt aber auch diese tonangebende Gruppe der Geeks und Technikbegeisterten , die die obere Hälfte der Karte dominieren , sowie eine Gruppe , die so klar und ausgeprägt ist , dass wir sie als Twitter-Mitarbeiter bezeichnen , nahe bei den Geeks , zwischen Gamern und Geeks , am entgegengesetzten Ende des Hip-Hop-Spektrums .</t>
  </si>
  <si>
    <t>19</t>
  </si>
  <si>
    <t>Sie sehen also , dass die Spannungen , die wir aus San Francisco vernehmen , dass sich die Leute um Gentrifizierung sorgen , wegen diesen neuen Tech-Firmen , die neuen Wohlstand bringen und sich in der Stadt ansiedeln , real sind .</t>
  </si>
  <si>
    <t>Contingency.Cause+SpeechAct.Result+SpeechAct</t>
  </si>
  <si>
    <t>causal|result</t>
  </si>
  <si>
    <t>(orig: Contingency.Cause+SpeechAct.Result+SpeechAct)</t>
  </si>
  <si>
    <t>20</t>
  </si>
  <si>
    <t>(und)</t>
  </si>
  <si>
    <t>Sie sehen das hier dokumentiert .</t>
  </si>
  <si>
    <t>21</t>
  </si>
  <si>
    <t>Sie sehen die LGBT-Community , die nicht zu den Geeks passt , die Künstler , die Musiker .</t>
  </si>
  <si>
    <t>22</t>
  </si>
  <si>
    <t>Und dies führt zu Dingen wie diesen : [ " Twitter raus " ] Das Bild bekam ich vor einigen Wochen .</t>
  </si>
  <si>
    <t>23</t>
  </si>
  <si>
    <t>Es zeigt auf , was auf dem Boden von San Francisco passiert .</t>
  </si>
  <si>
    <t>24</t>
  </si>
  <si>
    <t>(so)</t>
  </si>
  <si>
    <t>Ich glaube , sie können versuchen , das verstehen , indem sie solche Karten anschauen .</t>
  </si>
  <si>
    <t>Contingency.Cause+Belief.Result+Belief</t>
  </si>
  <si>
    <t>(orig: Contingency.Cause+Belief.Result+Belief)</t>
  </si>
  <si>
    <t>25</t>
  </si>
  <si>
    <t>Betrachten wir Rio de Janeiro .</t>
  </si>
  <si>
    <t>26</t>
  </si>
  <si>
    <t>Ich sammelte die letzten Wochen Daten in Rio .</t>
  </si>
  <si>
    <t>27</t>
  </si>
  <si>
    <t>Eine Sache viel mir in dieser Stadt auf : Alles ist wirklich sehr gemischt .</t>
  </si>
  <si>
    <t>28</t>
  </si>
  <si>
    <t>Es ist eine sehr heterogene Stadt , nicht wie Baltimore oder San Francisco .</t>
  </si>
  <si>
    <t>29</t>
  </si>
  <si>
    <t>Es gibt immer noch die Gruppen an Menschen aus Verwaltung , Zeitungen , Politk und Kolummnisten .</t>
  </si>
  <si>
    <t>30</t>
  </si>
  <si>
    <t>TEDxRio is unten rechts , rechts neben Bloggern und Autoren .</t>
  </si>
  <si>
    <t>31</t>
  </si>
  <si>
    <t>Es gibt aber auch diese enorme Vielfalt an Menschen , interessiert an verschiedenen Musikarten .</t>
  </si>
  <si>
    <t>32</t>
  </si>
  <si>
    <t>Sogar Justin Bieber-Fans sind vertreten .</t>
  </si>
  <si>
    <t>33</t>
  </si>
  <si>
    <t>Andere Boy-Groups , Countrysänger , Gospelmusiker , Funk , Rap und Stand-Up-Komödianten .</t>
  </si>
  <si>
    <t>34</t>
  </si>
  <si>
    <t>Und sogar eine ganze Gruppe rund um Drogen und Witze .</t>
  </si>
  <si>
    <t>35</t>
  </si>
  <si>
    <t>Wie cool ist das denn ?</t>
  </si>
  <si>
    <t>36</t>
  </si>
  <si>
    <t>Auch die Fußballmannschaft " Flamengo " ist vertreten .</t>
  </si>
  <si>
    <t>37</t>
  </si>
  <si>
    <t>(in sum)</t>
  </si>
  <si>
    <t>Sie haben diese Bandbreite von Sport , Verwaltung , Kunst und Musik , aber in einer ganz anderen Art dargestellt .</t>
  </si>
  <si>
    <t>Expansion.Level-of-detail.Arg1-as-detail</t>
  </si>
  <si>
    <t>broad</t>
  </si>
  <si>
    <t>(orig: Expansion.Level-of-detail.Arg1-as-detail)</t>
  </si>
  <si>
    <t>38</t>
  </si>
  <si>
    <t>Ich denke , dass könnte zu der Art , wie wir Rio verstehen , passen , als eine sehr multikulturelle , musikalisch vielfältige Stadt .</t>
  </si>
  <si>
    <t>39</t>
  </si>
  <si>
    <t>Wir haben all diese Daten , ein unglaublich reichhaltiger Bestand an Daten über Städte .</t>
  </si>
  <si>
    <t>40</t>
  </si>
  <si>
    <t>Vielleicht reichhaltiger als alles , was wir je zuvor hatten .</t>
  </si>
  <si>
    <t>41</t>
  </si>
  <si>
    <t>Was können wir damit anfangen ?</t>
  </si>
  <si>
    <t>Contingency.Cause.Result</t>
  </si>
  <si>
    <t>result</t>
  </si>
  <si>
    <t>(orig: Contingency.Cause.Result)</t>
  </si>
  <si>
    <t>42</t>
  </si>
  <si>
    <t>Ich denke , als Erstes sollten wir versuchen zu verstehen : Ist diese Trennung ein soziales Konzept ?</t>
  </si>
  <si>
    <t>43</t>
  </si>
  <si>
    <t>Ist es etwas , dass wir wählen , obwohl wir es auch nicht tun könnten ?</t>
  </si>
  <si>
    <t>44</t>
  </si>
  <si>
    <t>Wenn Sie darüber nachdenken , mit diesem Daten haben wir einen Blick darauf und betrachten die Stadt wie einen riesigen Schulspeiseraum , beobachten , wie sich jeder in dieser Stadt seinen Stuhl sucht .</t>
  </si>
  <si>
    <t>Hypophora</t>
  </si>
  <si>
    <t>45</t>
  </si>
  <si>
    <t>Vielleicht ist es Zeit , an dieser Bestuhlung etwas zu rütteln .</t>
  </si>
  <si>
    <t>46</t>
  </si>
  <si>
    <t>Uns wird auch bewusst , dass Rasse ein miserabler Vertreter für Vielfältigkeit ist .</t>
  </si>
  <si>
    <t>47</t>
  </si>
  <si>
    <t>Wir haben Verteter aus allen Arten von Rassen über die ganze Karte verteilt .</t>
  </si>
  <si>
    <t>48</t>
  </si>
  <si>
    <t>Nur die Rasse zu betrachten , erklärt aber die Vielfältigkeit der Stadtentwicklung nicht .</t>
  </si>
  <si>
    <t>49</t>
  </si>
  <si>
    <t>(that's why)</t>
  </si>
  <si>
    <t>Wenn wir versuchen diese Vielfalt zu nutzen , um heikle Probleme anzugehen , brauchen wir eine neue Art des Denkens bezüglich Vielfältigkeit .</t>
  </si>
  <si>
    <t>50</t>
  </si>
  <si>
    <t>Schlussendlich haben wir die Fähigkeit , Interventionen zu starten , die unsere Städte in einer neuen Art umformen .</t>
  </si>
  <si>
    <t>51</t>
  </si>
  <si>
    <t>Ich glaube , dass wir dieses Potential haben .</t>
  </si>
  <si>
    <t>52</t>
  </si>
  <si>
    <t>Wir haben sogar die Verpflichtung es zu tun .</t>
  </si>
  <si>
    <t>53</t>
  </si>
  <si>
    <t>Was ist also eine Stadt ?</t>
  </si>
  <si>
    <t>54</t>
  </si>
  <si>
    <t>Jemand könnte sagen , ein geografisches Gebiet , eine Reihe von Straßen und Gebäuden .</t>
  </si>
  <si>
    <t>55</t>
  </si>
  <si>
    <t>Ich glaube aber , eine Stadt ist die Summe der Beziehungen der Leute , die dort leben .</t>
  </si>
  <si>
    <t>56</t>
  </si>
  <si>
    <t>Wenn wir anfangen können , die Beziehungen wirklich zu dokumentieren , hätten wir eine echte Chance , die Städte zu erhalten , die wir gerne hätten .</t>
  </si>
  <si>
    <t>57</t>
  </si>
  <si>
    <t>Danke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</si>
  <si>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</si>
  <si>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</si>
  <si>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</si>
  <si>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</si>
  <si>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</si>
  <si>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</si>
  <si>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</si>
  <si>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</si>
  <si>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</si>
  <si>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</si>
  <si>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</si>
  <si>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Dave Troy : Soziale Kartografie – Überschneidung und Trennung in Städten</t>
  </si>
  <si>
    <t>Dave</t>
  </si>
  <si>
    <t>other</t>
  </si>
  <si>
    <t>ne</t>
  </si>
  <si>
    <t>?OLD</t>
  </si>
  <si>
    <t>Troy</t>
  </si>
  <si>
    <t>:</t>
  </si>
  <si>
    <t>Soziale</t>
  </si>
  <si>
    <t>Kartografie</t>
  </si>
  <si>
    <t>–</t>
  </si>
  <si>
    <t>Überschneidung</t>
  </si>
  <si>
    <t>indef-np.bare</t>
  </si>
  <si>
    <t>und</t>
  </si>
  <si>
    <t>Trennung</t>
  </si>
  <si>
    <t>in</t>
  </si>
  <si>
    <t>Städten</t>
  </si>
  <si>
    <t>other_2</t>
  </si>
  <si>
    <t># text = Wenn wir über die Kartierung von Städten nachdenken , denken wir an Wege , Straßen und Gebäude und an die Stadtentwicklung , die zu diesem Ergebnis führte , oder Sie denken an die großen Visionen eines Städteplaners .</t>
  </si>
  <si>
    <t>Wenn</t>
  </si>
  <si>
    <t>wir</t>
  </si>
  <si>
    <t>SBJ_2</t>
  </si>
  <si>
    <t>pron</t>
  </si>
  <si>
    <t>über</t>
  </si>
  <si>
    <t>die</t>
  </si>
  <si>
    <t>Kartierung</t>
  </si>
  <si>
    <t>def-np.the</t>
  </si>
  <si>
    <t>von</t>
  </si>
  <si>
    <t>other_3</t>
  </si>
  <si>
    <t>nachdenken</t>
  </si>
  <si>
    <t>,</t>
  </si>
  <si>
    <t>denken</t>
  </si>
  <si>
    <t>SBJ</t>
  </si>
  <si>
    <t>an</t>
  </si>
  <si>
    <t>Wege</t>
  </si>
  <si>
    <t>Straßen</t>
  </si>
  <si>
    <t>OBJ</t>
  </si>
  <si>
    <t>Gebäude</t>
  </si>
  <si>
    <t>Stadtentwicklung</t>
  </si>
  <si>
    <t>SBJ_4</t>
  </si>
  <si>
    <t>zu</t>
  </si>
  <si>
    <t>other_5</t>
  </si>
  <si>
    <t>pron.pind</t>
  </si>
  <si>
    <t>diesem</t>
  </si>
  <si>
    <t>pron.pds</t>
  </si>
  <si>
    <t>Ergebnis</t>
  </si>
  <si>
    <t>other_4</t>
  </si>
  <si>
    <t>def-np.dem</t>
  </si>
  <si>
    <t>führte</t>
  </si>
  <si>
    <t>oder</t>
  </si>
  <si>
    <t>Sie</t>
  </si>
  <si>
    <t>pron.pper</t>
  </si>
  <si>
    <t>großen</t>
  </si>
  <si>
    <t>Visionen</t>
  </si>
  <si>
    <t>eines</t>
  </si>
  <si>
    <t>Städteplaners</t>
  </si>
  <si>
    <t>indef-np.a</t>
  </si>
  <si>
    <t>.</t>
  </si>
  <si>
    <t># text = Es gibt aber andere Arten , über die Kartierung von Städten nachzudenken und wie diese entstanden sind .</t>
  </si>
  <si>
    <t>Es</t>
  </si>
  <si>
    <t>gibt</t>
  </si>
  <si>
    <t>aber</t>
  </si>
  <si>
    <t>andere</t>
  </si>
  <si>
    <t>Arten</t>
  </si>
  <si>
    <t>nachzudenken</t>
  </si>
  <si>
    <t>wie</t>
  </si>
  <si>
    <t>diese</t>
  </si>
  <si>
    <t>entstanden</t>
  </si>
  <si>
    <t>sind</t>
  </si>
  <si>
    <t># text = Heute möchte ich Ihnen eine neue Art Karte zeigen .</t>
  </si>
  <si>
    <t>Heute</t>
  </si>
  <si>
    <t>möchte</t>
  </si>
  <si>
    <t>ich</t>
  </si>
  <si>
    <t>Ihnen</t>
  </si>
  <si>
    <t>eine</t>
  </si>
  <si>
    <t>neue</t>
  </si>
  <si>
    <t>Art</t>
  </si>
  <si>
    <t>Karte</t>
  </si>
  <si>
    <t>zeigen</t>
  </si>
  <si>
    <t># text = Es ist keine geografische Karte , es ist eine Karte der Beziehungen zwischen den Menschen meiner Heimatstadt , Baltimore , Maryland .</t>
  </si>
  <si>
    <t>ist</t>
  </si>
  <si>
    <t>keine</t>
  </si>
  <si>
    <t>geografische</t>
  </si>
  <si>
    <t>indef-np.quant</t>
  </si>
  <si>
    <t>es</t>
  </si>
  <si>
    <t>der</t>
  </si>
  <si>
    <t>Beziehungen</t>
  </si>
  <si>
    <t>zwischen</t>
  </si>
  <si>
    <t>den</t>
  </si>
  <si>
    <t>Menschen</t>
  </si>
  <si>
    <t>meiner</t>
  </si>
  <si>
    <t>pron.ppos</t>
  </si>
  <si>
    <t>Heimatstadt</t>
  </si>
  <si>
    <t>Baltimore</t>
  </si>
  <si>
    <t>Maryland</t>
  </si>
  <si>
    <t># text = Sie können sehen , dass jeder Punkt eine Person darstellt , jede Linie eine Beziehung zwischen diesen Menschen und jede Farbe eine Gruppierung innerhalb dieses Netzwerkes .</t>
  </si>
  <si>
    <t>können</t>
  </si>
  <si>
    <t>sehen</t>
  </si>
  <si>
    <t>dass</t>
  </si>
  <si>
    <t>jeder</t>
  </si>
  <si>
    <t>Punkt</t>
  </si>
  <si>
    <t>Person</t>
  </si>
  <si>
    <t>OBJ_2</t>
  </si>
  <si>
    <t>darstellt</t>
  </si>
  <si>
    <t>jede</t>
  </si>
  <si>
    <t>Linie</t>
  </si>
  <si>
    <t>SBJ_3</t>
  </si>
  <si>
    <t>Beziehung</t>
  </si>
  <si>
    <t>diesen</t>
  </si>
  <si>
    <t>Farbe</t>
  </si>
  <si>
    <t>Gruppierung</t>
  </si>
  <si>
    <t>def-np.poss</t>
  </si>
  <si>
    <t>innerhalb</t>
  </si>
  <si>
    <t>dieses</t>
  </si>
  <si>
    <t>Netzwerkes</t>
  </si>
  <si>
    <t># text = Ich bin hier auf der grünen Seite , unten , weit am rechten Rand , wo die Geeks sind .</t>
  </si>
  <si>
    <t>Ich</t>
  </si>
  <si>
    <t>bin</t>
  </si>
  <si>
    <t>hier</t>
  </si>
  <si>
    <t>auf</t>
  </si>
  <si>
    <t>grünen</t>
  </si>
  <si>
    <t>Seite</t>
  </si>
  <si>
    <t>unten</t>
  </si>
  <si>
    <t>weit</t>
  </si>
  <si>
    <t>dem</t>
  </si>
  <si>
    <t>rechten</t>
  </si>
  <si>
    <t>Rand</t>
  </si>
  <si>
    <t>wo</t>
  </si>
  <si>
    <t>Geeks</t>
  </si>
  <si>
    <t># text = Auch TEDx ist unten , weit rechts .</t>
  </si>
  <si>
    <t>Auch</t>
  </si>
  <si>
    <t>TEDx</t>
  </si>
  <si>
    <t>rechts</t>
  </si>
  <si>
    <t># text = ( Lachen ) Auf der anderen Seite des Netzwerkes gibt es eher Afroamerikaner und Latinos , die um ganz andere Dinge besorgt sind als die Geeks .</t>
  </si>
  <si>
    <t>(</t>
  </si>
  <si>
    <t>Lachen</t>
  </si>
  <si>
    <t>)</t>
  </si>
  <si>
    <t>Auf</t>
  </si>
  <si>
    <t>anderen</t>
  </si>
  <si>
    <t>def-np.the.other</t>
  </si>
  <si>
    <t>des</t>
  </si>
  <si>
    <t>eher</t>
  </si>
  <si>
    <t>Afroamerikaner</t>
  </si>
  <si>
    <t>Latinos</t>
  </si>
  <si>
    <t>um</t>
  </si>
  <si>
    <t>ganz</t>
  </si>
  <si>
    <t>Dinge</t>
  </si>
  <si>
    <t>besorgt</t>
  </si>
  <si>
    <t>als</t>
  </si>
  <si>
    <t># text = Um Ihnen ein Gefühl zu geben , den grünen Teil des Netzwerkes nennen wir Klein-timore , da diese Leute , wie es scheint , in einer sehr kleinen Stadt wohnen .</t>
  </si>
  <si>
    <t>Um</t>
  </si>
  <si>
    <t>ein</t>
  </si>
  <si>
    <t>Gefühl</t>
  </si>
  <si>
    <t>geben</t>
  </si>
  <si>
    <t>Teil</t>
  </si>
  <si>
    <t>nennen</t>
  </si>
  <si>
    <t>Klein-</t>
  </si>
  <si>
    <t>timore</t>
  </si>
  <si>
    <t>da</t>
  </si>
  <si>
    <t>Leute</t>
  </si>
  <si>
    <t>scheint</t>
  </si>
  <si>
    <t>einer</t>
  </si>
  <si>
    <t>sehr</t>
  </si>
  <si>
    <t>kleinen</t>
  </si>
  <si>
    <t>Stadt</t>
  </si>
  <si>
    <t>wohnen</t>
  </si>
  <si>
    <t># text = Wir sehen immer wieder die gleichen Leute , weil wir nicht die ganze Breite und Tiefe der Stadt erforschen .</t>
  </si>
  <si>
    <t>Wir</t>
  </si>
  <si>
    <t>immer</t>
  </si>
  <si>
    <t>wieder</t>
  </si>
  <si>
    <t>gleichen</t>
  </si>
  <si>
    <t>weil</t>
  </si>
  <si>
    <t>nicht</t>
  </si>
  <si>
    <t>ganze</t>
  </si>
  <si>
    <t>Breite</t>
  </si>
  <si>
    <t>Tiefe</t>
  </si>
  <si>
    <t>erforschen</t>
  </si>
  <si>
    <t># text = Auf der anderen Seite des Netzwerkes haben sie Menschen , die an Dingen wie Hip-Hop interessiert sind und sich eher mit dem Wohngebiet DC / Maryland / Virigina identifizieren , als mit der korrekten Stadtbezeichnung für Baltimore .</t>
  </si>
  <si>
    <t>haben</t>
  </si>
  <si>
    <t>sie</t>
  </si>
  <si>
    <t>Dingen</t>
  </si>
  <si>
    <t>Hip</t>
  </si>
  <si>
    <t>Hop</t>
  </si>
  <si>
    <t>interessiert</t>
  </si>
  <si>
    <t>sich</t>
  </si>
  <si>
    <t>OBJ_4</t>
  </si>
  <si>
    <t>mit</t>
  </si>
  <si>
    <t>Wohngebiet</t>
  </si>
  <si>
    <t>DC</t>
  </si>
  <si>
    <t>/</t>
  </si>
  <si>
    <t>other_6</t>
  </si>
  <si>
    <t>Virigina</t>
  </si>
  <si>
    <t>identifizieren</t>
  </si>
  <si>
    <t>korrekten</t>
  </si>
  <si>
    <t>Stadtbezeichnung</t>
  </si>
  <si>
    <t>für</t>
  </si>
  <si>
    <t># text = In der Mitte sehen Sie etwas , das die beiden Gruppierungen verbindet , und das ist Sport .</t>
  </si>
  <si>
    <t>In</t>
  </si>
  <si>
    <t>Mitte</t>
  </si>
  <si>
    <t>etwas</t>
  </si>
  <si>
    <t>das</t>
  </si>
  <si>
    <t>beiden</t>
  </si>
  <si>
    <t>Gruppierungen</t>
  </si>
  <si>
    <t>OBJ_3</t>
  </si>
  <si>
    <t>def-np.quant</t>
  </si>
  <si>
    <t>verbindet</t>
  </si>
  <si>
    <t>Sport</t>
  </si>
  <si>
    <t># text = Wir haben die Baltimore Orioles , die Baltimore Ravens [ Football ] den Olympioniken Michael Phelps , die Baltimore Firma Under Armour , die sie vielleicht kennen .</t>
  </si>
  <si>
    <t>Orioles</t>
  </si>
  <si>
    <t>Ravens</t>
  </si>
  <si>
    <t>[</t>
  </si>
  <si>
    <t>Football</t>
  </si>
  <si>
    <t>]</t>
  </si>
  <si>
    <t>Olympioniken</t>
  </si>
  <si>
    <t>Michael</t>
  </si>
  <si>
    <t>Phelps</t>
  </si>
  <si>
    <t>Firma</t>
  </si>
  <si>
    <t>Under</t>
  </si>
  <si>
    <t>Armour</t>
  </si>
  <si>
    <t>vielleicht</t>
  </si>
  <si>
    <t>kennen</t>
  </si>
  <si>
    <t># text = Diese Sportverbundenheit fungiert als einzige Brücke zwischen den beiden Enden des Netzwerkes .</t>
  </si>
  <si>
    <t>Diese</t>
  </si>
  <si>
    <t>Sportverbundenheit</t>
  </si>
  <si>
    <t>fungiert</t>
  </si>
  <si>
    <t>einzige</t>
  </si>
  <si>
    <t>Brücke</t>
  </si>
  <si>
    <t>Enden</t>
  </si>
  <si>
    <t># text = Schauen wir uns San Francisco an .</t>
  </si>
  <si>
    <t>Schauen</t>
  </si>
  <si>
    <t>uns</t>
  </si>
  <si>
    <t>San</t>
  </si>
  <si>
    <t>Francisco</t>
  </si>
  <si>
    <t># text = Sie sehen , dass dort etwas anderes passiert .</t>
  </si>
  <si>
    <t>dort</t>
  </si>
  <si>
    <t>anderes</t>
  </si>
  <si>
    <t>passiert</t>
  </si>
  <si>
    <t># text = Auf der einen Seite gibt es den Medien- , Politik- und Nachrichtenflügel , den es in Baltimore und anderen Städten meist gibt , es gibt aber auch diese tonangebende Gruppe der Geeks und Technikbegeisterten , die die obere Hälfte der Karte dominieren , sowie eine Gruppe , die so klar und ausgeprägt ist , dass wir sie als Twitter-Mitarbeiter bezeichnen , nahe bei den Geeks , zwischen Gamern und Geeks , am entgegengesetzten Ende des Hip-Hop-Spektrums .</t>
  </si>
  <si>
    <t>einen</t>
  </si>
  <si>
    <t>Medien</t>
  </si>
  <si>
    <t>Politik</t>
  </si>
  <si>
    <t>Nachrichtenflügel</t>
  </si>
  <si>
    <t>meist</t>
  </si>
  <si>
    <t>auch</t>
  </si>
  <si>
    <t>tonangebende</t>
  </si>
  <si>
    <t>Gruppe</t>
  </si>
  <si>
    <t>Technikbegeisterten</t>
  </si>
  <si>
    <t>obere</t>
  </si>
  <si>
    <t>Hälfte</t>
  </si>
  <si>
    <t>dominieren</t>
  </si>
  <si>
    <t>sowie</t>
  </si>
  <si>
    <t>so</t>
  </si>
  <si>
    <t>klar</t>
  </si>
  <si>
    <t>ausgeprägt</t>
  </si>
  <si>
    <t>Twitter</t>
  </si>
  <si>
    <t>Mitarbeiter</t>
  </si>
  <si>
    <t>bezeichnen</t>
  </si>
  <si>
    <t>nahe</t>
  </si>
  <si>
    <t>bei</t>
  </si>
  <si>
    <t>Gamern</t>
  </si>
  <si>
    <t>entgegengesetzten</t>
  </si>
  <si>
    <t>Ende</t>
  </si>
  <si>
    <t>Spektrums</t>
  </si>
  <si>
    <t># text = Sie sehen also , dass die Spannungen , die wir aus San Francisco vernehmen , dass sich die Leute um Gentrifizierung sorgen , wegen diesen neuen Tech-Firmen , die neuen Wohlstand bringen und sich in der Stadt ansiedeln , real sind .</t>
  </si>
  <si>
    <t>also</t>
  </si>
  <si>
    <t>Spannungen</t>
  </si>
  <si>
    <t>aus</t>
  </si>
  <si>
    <t>vernehmen</t>
  </si>
  <si>
    <t>Gentrifizierung</t>
  </si>
  <si>
    <t>sorgen</t>
  </si>
  <si>
    <t>wegen</t>
  </si>
  <si>
    <t>neuen</t>
  </si>
  <si>
    <t>Tech</t>
  </si>
  <si>
    <t>Firmen</t>
  </si>
  <si>
    <t>Wohlstand</t>
  </si>
  <si>
    <t>bringen</t>
  </si>
  <si>
    <t>OBJ_5</t>
  </si>
  <si>
    <t>ansiedeln</t>
  </si>
  <si>
    <t>real</t>
  </si>
  <si>
    <t># text = Sie sehen das hier dokumentiert .</t>
  </si>
  <si>
    <t>dokumentiert</t>
  </si>
  <si>
    <t># text = Sie sehen die LGBT-Community , die nicht zu den Geeks passt , die Künstler , die Musiker .</t>
  </si>
  <si>
    <t>LGBT</t>
  </si>
  <si>
    <t>Community</t>
  </si>
  <si>
    <t>passt</t>
  </si>
  <si>
    <t>Künstler</t>
  </si>
  <si>
    <t>Musiker</t>
  </si>
  <si>
    <t>--</t>
  </si>
  <si>
    <t># text = Und dies führt zu Dingen wie diesen : [ \" Twitter raus \" ] Das Bild bekam ich vor einigen Wochen .</t>
  </si>
  <si>
    <t>Und</t>
  </si>
  <si>
    <t>dies</t>
  </si>
  <si>
    <t>führt</t>
  </si>
  <si>
    <t>&amp;quot;</t>
  </si>
  <si>
    <t>raus</t>
  </si>
  <si>
    <t>Das</t>
  </si>
  <si>
    <t>Bild</t>
  </si>
  <si>
    <t>bekam</t>
  </si>
  <si>
    <t>vor</t>
  </si>
  <si>
    <t>einigen</t>
  </si>
  <si>
    <t>Wochen</t>
  </si>
  <si>
    <t># text = Es zeigt auf , was auf dem Boden von San Francisco passiert .</t>
  </si>
  <si>
    <t>zeigt</t>
  </si>
  <si>
    <t>was</t>
  </si>
  <si>
    <t>Boden</t>
  </si>
  <si>
    <t># text = Ich glaube , sie können versuchen , das verstehen , indem sie solche Karten anschauen .</t>
  </si>
  <si>
    <t>glaube</t>
  </si>
  <si>
    <t>versuchen</t>
  </si>
  <si>
    <t>verstehen</t>
  </si>
  <si>
    <t>indem</t>
  </si>
  <si>
    <t>solche</t>
  </si>
  <si>
    <t>Karten</t>
  </si>
  <si>
    <t>anschauen</t>
  </si>
  <si>
    <t># text = Betrachten wir Rio de Janeiro .</t>
  </si>
  <si>
    <t>Betrachten</t>
  </si>
  <si>
    <t>Rio</t>
  </si>
  <si>
    <t>de</t>
  </si>
  <si>
    <t>Janeiro</t>
  </si>
  <si>
    <t># text = Ich sammelte die letzten Wochen Daten in Rio .</t>
  </si>
  <si>
    <t>sammelte</t>
  </si>
  <si>
    <t>letzten</t>
  </si>
  <si>
    <t>Daten</t>
  </si>
  <si>
    <t># text = Eine Sache viel mir in dieser Stadt auf : Alles ist wirklich sehr gemischt .</t>
  </si>
  <si>
    <t>Eine</t>
  </si>
  <si>
    <t>Sache</t>
  </si>
  <si>
    <t>viel</t>
  </si>
  <si>
    <t>mir</t>
  </si>
  <si>
    <t>dieser</t>
  </si>
  <si>
    <t>Alles</t>
  </si>
  <si>
    <t>wirklich</t>
  </si>
  <si>
    <t>gemischt</t>
  </si>
  <si>
    <t># text = Es ist eine sehr heterogene Stadt , nicht wie Baltimore oder San Francisco .</t>
  </si>
  <si>
    <t>heterogene</t>
  </si>
  <si>
    <t># text = Es gibt immer noch die Gruppen an Menschen aus Verwaltung , Zeitungen , Politk und Kolummnisten .</t>
  </si>
  <si>
    <t>noch</t>
  </si>
  <si>
    <t>Gruppen</t>
  </si>
  <si>
    <t>Verwaltung</t>
  </si>
  <si>
    <t>Zeitungen</t>
  </si>
  <si>
    <t>Politk</t>
  </si>
  <si>
    <t>Kolummnisten</t>
  </si>
  <si>
    <t># text = TEDxRio is unten rechts , rechts neben Bloggern und Autoren .</t>
  </si>
  <si>
    <t>TEDxRio</t>
  </si>
  <si>
    <t>is</t>
  </si>
  <si>
    <t>neben</t>
  </si>
  <si>
    <t>Bloggern</t>
  </si>
  <si>
    <t>Autoren</t>
  </si>
  <si>
    <t># text = Es gibt aber auch diese enorme Vielfalt an Menschen , interessiert an verschiedenen Musikarten .</t>
  </si>
  <si>
    <t>enorme</t>
  </si>
  <si>
    <t>Vielfalt</t>
  </si>
  <si>
    <t>verschiedenen</t>
  </si>
  <si>
    <t>Musikarten</t>
  </si>
  <si>
    <t># text = Sogar Justin Bieber-Fans sind vertreten .</t>
  </si>
  <si>
    <t>Sogar</t>
  </si>
  <si>
    <t>Justin</t>
  </si>
  <si>
    <t>Bieber</t>
  </si>
  <si>
    <t>Fans</t>
  </si>
  <si>
    <t>vertreten</t>
  </si>
  <si>
    <t># text = Andere Boy-Groups , Countrysänger , Gospelmusiker , Funk , Rap und Stand-Up-Komödianten .</t>
  </si>
  <si>
    <t>Andere</t>
  </si>
  <si>
    <t>Boy</t>
  </si>
  <si>
    <t>Groups</t>
  </si>
  <si>
    <t>Countrysänger</t>
  </si>
  <si>
    <t>Gospelmusiker</t>
  </si>
  <si>
    <t>Funk</t>
  </si>
  <si>
    <t>Rap</t>
  </si>
  <si>
    <t>Stand-</t>
  </si>
  <si>
    <t>Up</t>
  </si>
  <si>
    <t>Komödianten</t>
  </si>
  <si>
    <t># text = Und sogar eine ganze Gruppe rund um Drogen und Witze .</t>
  </si>
  <si>
    <t>sogar</t>
  </si>
  <si>
    <t>rund</t>
  </si>
  <si>
    <t>Drogen</t>
  </si>
  <si>
    <t>Witze</t>
  </si>
  <si>
    <t># text = Wie cool ist das denn ?</t>
  </si>
  <si>
    <t>Wie</t>
  </si>
  <si>
    <t>cool</t>
  </si>
  <si>
    <t>denn</t>
  </si>
  <si>
    <t>?</t>
  </si>
  <si>
    <t># text = Auch die Fußballmannschaft \" Flamengo \" ist vertreten .</t>
  </si>
  <si>
    <t>Fußballmannschaft</t>
  </si>
  <si>
    <t>Flamengo</t>
  </si>
  <si>
    <t># text = Sie haben diese Bandbreite von Sport , Verwaltung , Kunst und Musik , aber in einer ganz anderen Art dargestellt .</t>
  </si>
  <si>
    <t>Bandbreite</t>
  </si>
  <si>
    <t>Kunst</t>
  </si>
  <si>
    <t>Musik</t>
  </si>
  <si>
    <t>dargestellt</t>
  </si>
  <si>
    <t># text = Ich denke , dass könnte zu der Art , wie wir Rio verstehen , passen , als eine sehr multikulturelle , musikalisch vielfältige Stadt .</t>
  </si>
  <si>
    <t>denke</t>
  </si>
  <si>
    <t>könnte</t>
  </si>
  <si>
    <t>SBJ_5</t>
  </si>
  <si>
    <t>passen</t>
  </si>
  <si>
    <t>multikulturelle</t>
  </si>
  <si>
    <t>musikalisch</t>
  </si>
  <si>
    <t>vielfältige</t>
  </si>
  <si>
    <t># text = Wir haben all diese Daten , ein unglaublich reichhaltiger Bestand an Daten über Städte .</t>
  </si>
  <si>
    <t>all</t>
  </si>
  <si>
    <t>unglaublich</t>
  </si>
  <si>
    <t>reichhaltiger</t>
  </si>
  <si>
    <t>Bestand</t>
  </si>
  <si>
    <t>Städte</t>
  </si>
  <si>
    <t># text = Vielleicht reichhaltiger als alles , was wir je zuvor hatten .</t>
  </si>
  <si>
    <t>Vielleicht</t>
  </si>
  <si>
    <t>alles</t>
  </si>
  <si>
    <t>je</t>
  </si>
  <si>
    <t>zuvor</t>
  </si>
  <si>
    <t>hatten</t>
  </si>
  <si>
    <t># text = Was können wir damit anfangen ?</t>
  </si>
  <si>
    <t>Was</t>
  </si>
  <si>
    <t>damit</t>
  </si>
  <si>
    <t>anfangen</t>
  </si>
  <si>
    <t># text = Ich denke , als Erstes sollten wir versuchen zu verstehen : Ist diese Trennung ein soziales Konzept ?</t>
  </si>
  <si>
    <t>Erstes</t>
  </si>
  <si>
    <t>sollten</t>
  </si>
  <si>
    <t>Ist</t>
  </si>
  <si>
    <t>soziales</t>
  </si>
  <si>
    <t>Konzept</t>
  </si>
  <si>
    <t># text = Ist es etwas , dass wir wählen , obwohl wir es auch nicht tun könnten ?</t>
  </si>
  <si>
    <t>wählen</t>
  </si>
  <si>
    <t>obwohl</t>
  </si>
  <si>
    <t>tun</t>
  </si>
  <si>
    <t>könnten</t>
  </si>
  <si>
    <t># text = Wenn Sie darüber nachdenken , mit diesem Daten haben wir einen Blick darauf und betrachten die Stadt wie einen riesigen Schulspeiseraum , beobachten , wie sich jeder in dieser Stadt seinen Stuhl sucht .</t>
  </si>
  <si>
    <t>darüber</t>
  </si>
  <si>
    <t>Blick</t>
  </si>
  <si>
    <t>darauf</t>
  </si>
  <si>
    <t>betrachten</t>
  </si>
  <si>
    <t>riesigen</t>
  </si>
  <si>
    <t>Schulspeiseraum</t>
  </si>
  <si>
    <t>beobachten</t>
  </si>
  <si>
    <t>seinen</t>
  </si>
  <si>
    <t>Stuhl</t>
  </si>
  <si>
    <t>indef-np</t>
  </si>
  <si>
    <t>sucht</t>
  </si>
  <si>
    <t># text = Vielleicht ist es Zeit , an dieser Bestuhlung etwas zu rütteln .</t>
  </si>
  <si>
    <t>Zeit</t>
  </si>
  <si>
    <t>Bestuhlung</t>
  </si>
  <si>
    <t>rütteln</t>
  </si>
  <si>
    <t># text = Uns wird auch bewusst , dass Rasse ein miserabler Vertreter für Vielfältigkeit ist .</t>
  </si>
  <si>
    <t>Uns</t>
  </si>
  <si>
    <t>wird</t>
  </si>
  <si>
    <t>bewusst</t>
  </si>
  <si>
    <t>Rasse</t>
  </si>
  <si>
    <t>miserabler</t>
  </si>
  <si>
    <t>Vertreter</t>
  </si>
  <si>
    <t>Vielfältigkeit</t>
  </si>
  <si>
    <t># text = Wir haben Verteter aus allen Arten von Rassen über die ganze Karte verteilt .</t>
  </si>
  <si>
    <t>Verteter</t>
  </si>
  <si>
    <t>allen</t>
  </si>
  <si>
    <t>Rassen</t>
  </si>
  <si>
    <t>verteilt</t>
  </si>
  <si>
    <t># text = Nur die Rasse zu betrachten , erklärt aber die Vielfältigkeit der Stadtentwicklung nicht .</t>
  </si>
  <si>
    <t>Nur</t>
  </si>
  <si>
    <t>erklärt</t>
  </si>
  <si>
    <t># text = Wenn wir versuchen diese Vielfalt zu nutzen , um heikle Probleme anzugehen , brauchen wir eine neue Art des Denkens bezüglich Vielfältigkeit .</t>
  </si>
  <si>
    <t>nutzen</t>
  </si>
  <si>
    <t>heikle</t>
  </si>
  <si>
    <t>Probleme</t>
  </si>
  <si>
    <t>anzugehen</t>
  </si>
  <si>
    <t>brauchen</t>
  </si>
  <si>
    <t>Denkens</t>
  </si>
  <si>
    <t>bezüglich</t>
  </si>
  <si>
    <t># text = Schlussendlich haben wir die Fähigkeit , Interventionen zu starten , die unsere Städte in einer neuen Art umformen .</t>
  </si>
  <si>
    <t>Schlussendlich</t>
  </si>
  <si>
    <t>Fähigkeit</t>
  </si>
  <si>
    <t>Interventionen</t>
  </si>
  <si>
    <t>starten</t>
  </si>
  <si>
    <t>unsere</t>
  </si>
  <si>
    <t>umformen</t>
  </si>
  <si>
    <t># text = Ich glaube , dass wir dieses Potential haben .</t>
  </si>
  <si>
    <t>Potential</t>
  </si>
  <si>
    <t># text = Wir haben sogar die Verpflichtung es zu tun .</t>
  </si>
  <si>
    <t>Verpflichtung</t>
  </si>
  <si>
    <t># text = Was ist also eine Stadt ?</t>
  </si>
  <si>
    <t># text = Jemand könnte sagen , ein geografisches Gebiet , eine Reihe von Straßen und Gebäuden .</t>
  </si>
  <si>
    <t>Jemand</t>
  </si>
  <si>
    <t>sagen</t>
  </si>
  <si>
    <t>geografisches</t>
  </si>
  <si>
    <t>Gebiet</t>
  </si>
  <si>
    <t>Reihe</t>
  </si>
  <si>
    <t>Gebäuden</t>
  </si>
  <si>
    <t># text = Ich glaube aber , eine Stadt ist die Summe der Beziehungen der Leute , die dort leben .</t>
  </si>
  <si>
    <t>Summe</t>
  </si>
  <si>
    <t>leben</t>
  </si>
  <si>
    <t># text = Wenn wir anfangen können , die Beziehungen wirklich zu dokumentieren , hätten wir eine echte Chance , die Städte zu erhalten , die wir gerne hätten .</t>
  </si>
  <si>
    <t>dokumentieren</t>
  </si>
  <si>
    <t>hätten</t>
  </si>
  <si>
    <t>echte</t>
  </si>
  <si>
    <t>Chance</t>
  </si>
  <si>
    <t>erhalten</t>
  </si>
  <si>
    <t>gerne</t>
  </si>
  <si>
    <t># text = Danke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</si>
</sst>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11</v>
      </c>
      <c r="D3" s="7" t="s">
        <v>11</v>
      </c>
      <c r="E3" s="8" t="s">
        <v>14</v>
      </c>
      <c r="F3" s="6" t="s">
        <v>11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15</v>
      </c>
      <c r="B4" s="6" t="s">
        <v>11</v>
      </c>
      <c r="C4" s="6" t="s">
        <v>11</v>
      </c>
      <c r="D4" s="7" t="s">
        <v>11</v>
      </c>
      <c r="E4" s="8" t="s">
        <v>16</v>
      </c>
      <c r="F4" s="6" t="s">
        <v>11</v>
      </c>
      <c r="G4" s="9">
        <f>IF(A4=1,"_",IF(C4="_","???",C4))</f>
        <v/>
      </c>
      <c r="H4" s="10" t="s">
        <v>13</v>
      </c>
      <c r="I4" s="11" t="s">
        <v>18</v>
      </c>
      <c r="J4" s="12" t="s">
        <v>19</v>
      </c>
    </row>
    <row r="5" spans="1:10" ht="60" customHeight="1">
      <c r="A5" s="6" t="s">
        <v>20</v>
      </c>
      <c r="B5" s="6" t="s">
        <v>11</v>
      </c>
      <c r="C5" s="6" t="s">
        <v>21</v>
      </c>
      <c r="D5" s="7" t="s">
        <v>11</v>
      </c>
      <c r="E5" s="8" t="s">
        <v>22</v>
      </c>
      <c r="F5" s="6" t="s">
        <v>11</v>
      </c>
      <c r="G5" s="9">
        <f>IF(A5=1,"_",IF(C5="_","???",C5))</f>
        <v/>
      </c>
      <c r="H5" s="10" t="s">
        <v>15</v>
      </c>
      <c r="I5" s="11" t="s">
        <v>24</v>
      </c>
      <c r="J5" s="12" t="s">
        <v>25</v>
      </c>
    </row>
    <row r="6" spans="1:10" ht="60" customHeight="1">
      <c r="A6" s="6" t="s">
        <v>26</v>
      </c>
      <c r="B6" s="6" t="s">
        <v>11</v>
      </c>
      <c r="C6" s="6" t="s">
        <v>21</v>
      </c>
      <c r="D6" s="7" t="s">
        <v>11</v>
      </c>
      <c r="E6" s="8" t="s">
        <v>27</v>
      </c>
      <c r="F6" s="6" t="s">
        <v>11</v>
      </c>
      <c r="G6" s="9">
        <f>IF(A6=1,"_",IF(C6="_","???",C6))</f>
        <v/>
      </c>
      <c r="H6" s="10" t="s">
        <v>20</v>
      </c>
      <c r="I6" s="11" t="s">
        <v>24</v>
      </c>
      <c r="J6" s="12" t="s">
        <v>25</v>
      </c>
    </row>
    <row r="7" spans="1:10" ht="60" customHeight="1">
      <c r="A7" s="6" t="s">
        <v>28</v>
      </c>
      <c r="B7" s="6" t="s">
        <v>11</v>
      </c>
      <c r="C7" s="6" t="s">
        <v>29</v>
      </c>
      <c r="D7" s="7" t="s">
        <v>11</v>
      </c>
      <c r="E7" s="8" t="s">
        <v>30</v>
      </c>
      <c r="F7" s="6" t="s">
        <v>11</v>
      </c>
      <c r="G7" s="9">
        <f>IF(A7=1,"_",IF(C7="_","???",C7))</f>
        <v/>
      </c>
      <c r="H7" s="10" t="s">
        <v>26</v>
      </c>
      <c r="I7" s="11" t="s">
        <v>32</v>
      </c>
      <c r="J7" s="12" t="s">
        <v>33</v>
      </c>
    </row>
    <row r="8" spans="1:10" ht="60" customHeight="1">
      <c r="A8" s="6" t="s">
        <v>34</v>
      </c>
      <c r="B8" s="6" t="s">
        <v>11</v>
      </c>
      <c r="C8" s="6" t="s">
        <v>29</v>
      </c>
      <c r="D8" s="7" t="s">
        <v>11</v>
      </c>
      <c r="E8" s="8" t="s">
        <v>35</v>
      </c>
      <c r="F8" s="6" t="s">
        <v>11</v>
      </c>
      <c r="G8" s="9">
        <f>IF(A8=1,"_",IF(C8="_","???",C8))</f>
        <v/>
      </c>
      <c r="H8" s="10" t="s">
        <v>28</v>
      </c>
      <c r="I8" s="11" t="s">
        <v>32</v>
      </c>
      <c r="J8" s="12" t="s">
        <v>33</v>
      </c>
    </row>
    <row r="9" spans="1:10" ht="60" customHeight="1">
      <c r="A9" s="6" t="s">
        <v>36</v>
      </c>
      <c r="B9" s="6" t="s">
        <v>11</v>
      </c>
      <c r="C9" s="6" t="s">
        <v>11</v>
      </c>
      <c r="D9" s="7" t="s">
        <v>11</v>
      </c>
      <c r="E9" s="8" t="s">
        <v>37</v>
      </c>
      <c r="F9" s="6" t="s">
        <v>11</v>
      </c>
      <c r="G9" s="9">
        <f>IF(A9=1,"_",IF(C9="_","???",C9))</f>
        <v/>
      </c>
      <c r="H9" s="10" t="s">
        <v>34</v>
      </c>
      <c r="I9" s="11" t="s">
        <v>32</v>
      </c>
      <c r="J9" s="12" t="s">
        <v>33</v>
      </c>
    </row>
    <row r="10" spans="1:10" ht="60" customHeight="1">
      <c r="A10" s="6" t="s">
        <v>38</v>
      </c>
      <c r="B10" s="6" t="s">
        <v>11</v>
      </c>
      <c r="C10" s="6" t="s">
        <v>29</v>
      </c>
      <c r="D10" s="7" t="s">
        <v>11</v>
      </c>
      <c r="E10" s="8" t="s">
        <v>39</v>
      </c>
      <c r="F10" s="6" t="s">
        <v>11</v>
      </c>
      <c r="G10" s="9">
        <f>IF(A10=1,"_",IF(C10="_","???",C10))</f>
        <v/>
      </c>
      <c r="H10" s="10" t="s">
        <v>36</v>
      </c>
      <c r="I10" s="11" t="s">
        <v>32</v>
      </c>
      <c r="J10" s="12" t="s">
        <v>33</v>
      </c>
    </row>
    <row r="11" spans="1:10" ht="60" customHeight="1">
      <c r="A11" s="6" t="s">
        <v>40</v>
      </c>
      <c r="B11" s="6" t="s">
        <v>11</v>
      </c>
      <c r="C11" s="6" t="s">
        <v>11</v>
      </c>
      <c r="D11" s="7" t="s">
        <v>11</v>
      </c>
      <c r="E11" s="8" t="s">
        <v>41</v>
      </c>
      <c r="F11" s="6" t="s">
        <v>11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42</v>
      </c>
      <c r="B12" s="6" t="s">
        <v>11</v>
      </c>
      <c r="C12" s="6" t="s">
        <v>29</v>
      </c>
      <c r="D12" s="7" t="s">
        <v>11</v>
      </c>
      <c r="E12" s="8" t="s">
        <v>43</v>
      </c>
      <c r="F12" s="6" t="s">
        <v>11</v>
      </c>
      <c r="G12" s="9">
        <f>IF(A12=1,"_",IF(C12="_","???",C12))</f>
        <v/>
      </c>
      <c r="H12" s="10" t="s">
        <v>40</v>
      </c>
      <c r="I12" s="11" t="s">
        <v>32</v>
      </c>
      <c r="J12" s="12" t="s">
        <v>33</v>
      </c>
    </row>
    <row r="13" spans="1:10" ht="60" customHeight="1">
      <c r="A13" s="6" t="s">
        <v>44</v>
      </c>
      <c r="B13" s="6" t="s">
        <v>11</v>
      </c>
      <c r="C13" s="6" t="s">
        <v>29</v>
      </c>
      <c r="D13" s="7" t="s">
        <v>11</v>
      </c>
      <c r="E13" s="8" t="s">
        <v>45</v>
      </c>
      <c r="F13" s="6" t="s">
        <v>11</v>
      </c>
      <c r="G13" s="9">
        <f>IF(A13=1,"_",IF(C13="_","???",C13))</f>
        <v/>
      </c>
      <c r="H13" s="10" t="s">
        <v>42</v>
      </c>
      <c r="I13" s="11" t="s">
        <v>32</v>
      </c>
      <c r="J13" s="12" t="s">
        <v>33</v>
      </c>
    </row>
    <row r="14" spans="1:10" ht="60" customHeight="1">
      <c r="A14" s="6" t="s">
        <v>46</v>
      </c>
      <c r="B14" s="6" t="s">
        <v>11</v>
      </c>
      <c r="C14" s="6" t="s">
        <v>29</v>
      </c>
      <c r="D14" s="7" t="s">
        <v>11</v>
      </c>
      <c r="E14" s="8" t="s">
        <v>47</v>
      </c>
      <c r="F14" s="6" t="s">
        <v>11</v>
      </c>
      <c r="G14" s="9">
        <f>IF(A14=1,"_",IF(C14="_","???",C14))</f>
        <v/>
      </c>
      <c r="H14" s="10" t="s">
        <v>44</v>
      </c>
      <c r="I14" s="11" t="s">
        <v>32</v>
      </c>
      <c r="J14" s="12" t="s">
        <v>33</v>
      </c>
    </row>
    <row r="15" spans="1:10" ht="60" customHeight="1">
      <c r="A15" s="6" t="s">
        <v>48</v>
      </c>
      <c r="B15" s="6" t="s">
        <v>11</v>
      </c>
      <c r="C15" s="6" t="s">
        <v>49</v>
      </c>
      <c r="D15" s="7" t="s">
        <v>11</v>
      </c>
      <c r="E15" s="8" t="s">
        <v>50</v>
      </c>
      <c r="F15" s="6" t="s">
        <v>11</v>
      </c>
      <c r="G15" s="9">
        <f>IF(A15=1,"_",IF(C15="_","???",C15))</f>
        <v/>
      </c>
      <c r="H15" s="10" t="s">
        <v>46</v>
      </c>
      <c r="I15" s="11" t="s">
        <v>24</v>
      </c>
      <c r="J15" s="12" t="s">
        <v>25</v>
      </c>
    </row>
    <row r="16" spans="1:10" ht="60" customHeight="1">
      <c r="A16" s="6" t="s">
        <v>51</v>
      </c>
      <c r="B16" s="6" t="s">
        <v>11</v>
      </c>
      <c r="C16" s="6" t="s">
        <v>11</v>
      </c>
      <c r="D16" s="7" t="s">
        <v>11</v>
      </c>
      <c r="E16" s="8" t="s">
        <v>52</v>
      </c>
      <c r="F16" s="6" t="s">
        <v>11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53</v>
      </c>
      <c r="B17" s="6" t="s">
        <v>11</v>
      </c>
      <c r="C17" s="6" t="s">
        <v>11</v>
      </c>
      <c r="D17" s="7" t="s">
        <v>11</v>
      </c>
      <c r="E17" s="8" t="s">
        <v>54</v>
      </c>
      <c r="F17" s="6" t="s">
        <v>11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55</v>
      </c>
      <c r="B18" s="6" t="s">
        <v>11</v>
      </c>
      <c r="C18" s="6" t="s">
        <v>29</v>
      </c>
      <c r="D18" s="7" t="s">
        <v>11</v>
      </c>
      <c r="E18" s="8" t="s">
        <v>56</v>
      </c>
      <c r="F18" s="6" t="s">
        <v>11</v>
      </c>
      <c r="G18" s="9">
        <f>IF(A18=1,"_",IF(C18="_","???",C18))</f>
        <v/>
      </c>
      <c r="H18" s="10" t="s">
        <v>53</v>
      </c>
      <c r="I18" s="11" t="s">
        <v>32</v>
      </c>
      <c r="J18" s="12" t="s">
        <v>33</v>
      </c>
    </row>
    <row r="19" spans="1:10" ht="60" customHeight="1">
      <c r="A19" s="6" t="s">
        <v>57</v>
      </c>
      <c r="B19" s="6" t="s">
        <v>11</v>
      </c>
      <c r="C19" s="6" t="s">
        <v>49</v>
      </c>
      <c r="D19" s="7" t="s">
        <v>11</v>
      </c>
      <c r="E19" s="8" t="s">
        <v>58</v>
      </c>
      <c r="F19" s="6" t="s">
        <v>11</v>
      </c>
      <c r="G19" s="9">
        <f>IF(A19=1,"_",IF(C19="_","???",C19))</f>
        <v/>
      </c>
      <c r="H19" s="10" t="s">
        <v>55</v>
      </c>
      <c r="I19" s="11" t="s">
        <v>24</v>
      </c>
      <c r="J19" s="12" t="s">
        <v>25</v>
      </c>
    </row>
    <row r="20" spans="1:10" ht="60" customHeight="1">
      <c r="A20" s="6" t="s">
        <v>59</v>
      </c>
      <c r="B20" s="6" t="s">
        <v>11</v>
      </c>
      <c r="C20" s="6" t="s">
        <v>11</v>
      </c>
      <c r="D20" s="7" t="s">
        <v>11</v>
      </c>
      <c r="E20" s="8" t="s">
        <v>60</v>
      </c>
      <c r="F20" s="6" t="s">
        <v>11</v>
      </c>
      <c r="G20" s="9">
        <f>IF(A20=1,"_",IF(C20="_","???",C20))</f>
        <v/>
      </c>
      <c r="H20" s="10" t="s">
        <v>57</v>
      </c>
      <c r="I20" s="11" t="s">
        <v>62</v>
      </c>
      <c r="J20" s="12" t="s">
        <v>63</v>
      </c>
    </row>
    <row r="21" spans="1:10" ht="60" customHeight="1">
      <c r="A21" s="6" t="s">
        <v>64</v>
      </c>
      <c r="B21" s="6" t="s">
        <v>11</v>
      </c>
      <c r="C21" s="6" t="s">
        <v>65</v>
      </c>
      <c r="D21" s="7" t="s">
        <v>11</v>
      </c>
      <c r="E21" s="8" t="s">
        <v>66</v>
      </c>
      <c r="F21" s="6" t="s">
        <v>11</v>
      </c>
      <c r="G21" s="9">
        <f>IF(A21=1,"_",IF(C21="_","???",C21))</f>
        <v/>
      </c>
      <c r="H21" s="10" t="s">
        <v>59</v>
      </c>
      <c r="I21" s="11" t="s">
        <v>32</v>
      </c>
      <c r="J21" s="12" t="s">
        <v>33</v>
      </c>
    </row>
    <row r="22" spans="1:10" ht="60" customHeight="1">
      <c r="A22" s="6" t="s">
        <v>67</v>
      </c>
      <c r="B22" s="6" t="s">
        <v>11</v>
      </c>
      <c r="C22" s="6" t="s">
        <v>29</v>
      </c>
      <c r="D22" s="7" t="s">
        <v>11</v>
      </c>
      <c r="E22" s="8" t="s">
        <v>68</v>
      </c>
      <c r="F22" s="6" t="s">
        <v>11</v>
      </c>
      <c r="G22" s="9">
        <f>IF(A22=1,"_",IF(C22="_","???",C22))</f>
        <v/>
      </c>
      <c r="H22" s="10" t="s">
        <v>64</v>
      </c>
      <c r="I22" s="11" t="s">
        <v>32</v>
      </c>
      <c r="J22" s="12" t="s">
        <v>33</v>
      </c>
    </row>
    <row r="23" spans="1:10" ht="60" customHeight="1">
      <c r="A23" s="6" t="s">
        <v>69</v>
      </c>
      <c r="B23" s="6" t="s">
        <v>11</v>
      </c>
      <c r="C23" s="6" t="s">
        <v>11</v>
      </c>
      <c r="D23" s="7" t="s">
        <v>11</v>
      </c>
      <c r="E23" s="8" t="s">
        <v>70</v>
      </c>
      <c r="F23" s="6" t="s">
        <v>11</v>
      </c>
      <c r="G23" s="9">
        <f>IF(A23=1,"_",IF(C23="_","???",C23))</f>
        <v/>
      </c>
      <c r="H23" s="10" t="s">
        <v>67</v>
      </c>
      <c r="I23" s="11" t="s">
        <v>32</v>
      </c>
      <c r="J23" s="12" t="s">
        <v>33</v>
      </c>
    </row>
    <row r="24" spans="1:10" ht="60" customHeight="1">
      <c r="A24" s="6" t="s">
        <v>71</v>
      </c>
      <c r="B24" s="6" t="s">
        <v>11</v>
      </c>
      <c r="C24" s="6" t="s">
        <v>11</v>
      </c>
      <c r="D24" s="7" t="s">
        <v>11</v>
      </c>
      <c r="E24" s="8" t="s">
        <v>72</v>
      </c>
      <c r="F24" s="6" t="s">
        <v>11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73</v>
      </c>
      <c r="B25" s="6" t="s">
        <v>11</v>
      </c>
      <c r="C25" s="6" t="s">
        <v>74</v>
      </c>
      <c r="D25" s="7" t="s">
        <v>11</v>
      </c>
      <c r="E25" s="8" t="s">
        <v>75</v>
      </c>
      <c r="F25" s="6" t="s">
        <v>11</v>
      </c>
      <c r="G25" s="9">
        <f>IF(A25=1,"_",IF(C25="_","???",C25))</f>
        <v/>
      </c>
      <c r="H25" s="10" t="s">
        <v>71</v>
      </c>
      <c r="I25" s="11" t="s">
        <v>62</v>
      </c>
      <c r="J25" s="12" t="s">
        <v>77</v>
      </c>
    </row>
    <row r="26" spans="1:10" ht="60" customHeight="1">
      <c r="A26" s="6" t="s">
        <v>78</v>
      </c>
      <c r="B26" s="6" t="s">
        <v>11</v>
      </c>
      <c r="C26" s="6" t="s">
        <v>11</v>
      </c>
      <c r="D26" s="7" t="s">
        <v>11</v>
      </c>
      <c r="E26" s="8" t="s">
        <v>79</v>
      </c>
      <c r="F26" s="6" t="s">
        <v>11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80</v>
      </c>
      <c r="B27" s="6" t="s">
        <v>11</v>
      </c>
      <c r="C27" s="6" t="s">
        <v>49</v>
      </c>
      <c r="D27" s="7" t="s">
        <v>11</v>
      </c>
      <c r="E27" s="8" t="s">
        <v>81</v>
      </c>
      <c r="F27" s="6" t="s">
        <v>11</v>
      </c>
      <c r="G27" s="9">
        <f>IF(A27=1,"_",IF(C27="_","???",C27))</f>
        <v/>
      </c>
      <c r="H27" s="10" t="s">
        <v>78</v>
      </c>
      <c r="I27" s="11" t="s">
        <v>24</v>
      </c>
      <c r="J27" s="12" t="s">
        <v>25</v>
      </c>
    </row>
    <row r="28" spans="1:10" ht="60" customHeight="1">
      <c r="A28" s="6" t="s">
        <v>82</v>
      </c>
      <c r="B28" s="6" t="s">
        <v>11</v>
      </c>
      <c r="C28" s="6" t="s">
        <v>65</v>
      </c>
      <c r="D28" s="7" t="s">
        <v>11</v>
      </c>
      <c r="E28" s="8" t="s">
        <v>83</v>
      </c>
      <c r="F28" s="6" t="s">
        <v>11</v>
      </c>
      <c r="G28" s="9">
        <f>IF(A28=1,"_",IF(C28="_","???",C28))</f>
        <v/>
      </c>
      <c r="H28" s="10" t="s">
        <v>80</v>
      </c>
      <c r="I28" s="11" t="s">
        <v>32</v>
      </c>
      <c r="J28" s="12" t="s">
        <v>33</v>
      </c>
    </row>
    <row r="29" spans="1:10" ht="60" customHeight="1">
      <c r="A29" s="6" t="s">
        <v>84</v>
      </c>
      <c r="B29" s="6" t="s">
        <v>11</v>
      </c>
      <c r="C29" s="6" t="s">
        <v>21</v>
      </c>
      <c r="D29" s="7" t="s">
        <v>11</v>
      </c>
      <c r="E29" s="8" t="s">
        <v>85</v>
      </c>
      <c r="F29" s="6" t="s">
        <v>11</v>
      </c>
      <c r="G29" s="9">
        <f>IF(A29=1,"_",IF(C29="_","???",C29))</f>
        <v/>
      </c>
      <c r="H29" s="10" t="s">
        <v>82</v>
      </c>
      <c r="I29" s="11" t="s">
        <v>24</v>
      </c>
      <c r="J29" s="12" t="s">
        <v>25</v>
      </c>
    </row>
    <row r="30" spans="1:10" ht="60" customHeight="1">
      <c r="A30" s="6" t="s">
        <v>86</v>
      </c>
      <c r="B30" s="6" t="s">
        <v>11</v>
      </c>
      <c r="C30" s="6" t="s">
        <v>21</v>
      </c>
      <c r="D30" s="7" t="s">
        <v>11</v>
      </c>
      <c r="E30" s="8" t="s">
        <v>87</v>
      </c>
      <c r="F30" s="6" t="s">
        <v>11</v>
      </c>
      <c r="G30" s="9">
        <f>IF(A30=1,"_",IF(C30="_","???",C30))</f>
        <v/>
      </c>
      <c r="H30" s="10" t="s">
        <v>84</v>
      </c>
      <c r="I30" s="11" t="s">
        <v>24</v>
      </c>
      <c r="J30" s="12" t="s">
        <v>25</v>
      </c>
    </row>
    <row r="31" spans="1:10" ht="60" customHeight="1">
      <c r="A31" s="6" t="s">
        <v>88</v>
      </c>
      <c r="B31" s="6" t="s">
        <v>11</v>
      </c>
      <c r="C31" s="6" t="s">
        <v>29</v>
      </c>
      <c r="D31" s="7" t="s">
        <v>11</v>
      </c>
      <c r="E31" s="8" t="s">
        <v>89</v>
      </c>
      <c r="F31" s="6" t="s">
        <v>11</v>
      </c>
      <c r="G31" s="9">
        <f>IF(A31=1,"_",IF(C31="_","???",C31))</f>
        <v/>
      </c>
      <c r="H31" s="10" t="s">
        <v>86</v>
      </c>
      <c r="I31" s="11" t="s">
        <v>32</v>
      </c>
      <c r="J31" s="12" t="s">
        <v>33</v>
      </c>
    </row>
    <row r="32" spans="1:10" ht="60" customHeight="1">
      <c r="A32" s="6" t="s">
        <v>90</v>
      </c>
      <c r="B32" s="6" t="s">
        <v>11</v>
      </c>
      <c r="C32" s="6" t="s">
        <v>11</v>
      </c>
      <c r="D32" s="7" t="s">
        <v>11</v>
      </c>
      <c r="E32" s="8" t="s">
        <v>91</v>
      </c>
      <c r="F32" s="6" t="s">
        <v>11</v>
      </c>
      <c r="G32" s="9">
        <f>IF(A32=1,"_",IF(C32="_","???",C32))</f>
        <v/>
      </c>
      <c r="H32" s="10" t="s">
        <v>88</v>
      </c>
      <c r="I32" s="11" t="s">
        <v>18</v>
      </c>
      <c r="J32" s="12" t="s">
        <v>19</v>
      </c>
    </row>
    <row r="33" spans="1:10" ht="60" customHeight="1">
      <c r="A33" s="6" t="s">
        <v>92</v>
      </c>
      <c r="B33" s="6" t="s">
        <v>11</v>
      </c>
      <c r="C33" s="6" t="s">
        <v>11</v>
      </c>
      <c r="D33" s="7" t="s">
        <v>11</v>
      </c>
      <c r="E33" s="8" t="s">
        <v>93</v>
      </c>
      <c r="F33" s="6" t="s">
        <v>11</v>
      </c>
      <c r="G33" s="9">
        <f>IF(A33=1,"_",IF(C33="_","???",C33))</f>
        <v/>
      </c>
      <c r="H33" s="10" t="s">
        <v>90</v>
      </c>
      <c r="I33" s="11" t="s">
        <v>32</v>
      </c>
      <c r="J33" s="12" t="s">
        <v>33</v>
      </c>
    </row>
    <row r="34" spans="1:10" ht="60" customHeight="1">
      <c r="A34" s="6" t="s">
        <v>94</v>
      </c>
      <c r="B34" s="6" t="s">
        <v>11</v>
      </c>
      <c r="C34" s="6" t="s">
        <v>65</v>
      </c>
      <c r="D34" s="7" t="s">
        <v>11</v>
      </c>
      <c r="E34" s="8" t="s">
        <v>95</v>
      </c>
      <c r="F34" s="6" t="s">
        <v>11</v>
      </c>
      <c r="G34" s="9">
        <f>IF(A34=1,"_",IF(C34="_","???",C34))</f>
        <v/>
      </c>
      <c r="H34" s="10" t="s">
        <v>92</v>
      </c>
      <c r="I34" s="11" t="s">
        <v>32</v>
      </c>
      <c r="J34" s="12" t="s">
        <v>33</v>
      </c>
    </row>
    <row r="35" spans="1:10" ht="60" customHeight="1">
      <c r="A35" s="6" t="s">
        <v>96</v>
      </c>
      <c r="B35" s="6" t="s">
        <v>11</v>
      </c>
      <c r="C35" s="6" t="s">
        <v>11</v>
      </c>
      <c r="D35" s="7" t="s">
        <v>11</v>
      </c>
      <c r="E35" s="8" t="s">
        <v>97</v>
      </c>
      <c r="F35" s="6" t="s">
        <v>11</v>
      </c>
      <c r="G35" s="9">
        <f>IF(A35=1,"_",IF(C35="_","???",C35))</f>
        <v/>
      </c>
      <c r="H35" s="10" t="s">
        <v>94</v>
      </c>
      <c r="I35" s="11" t="s">
        <v>32</v>
      </c>
      <c r="J35" s="12" t="s">
        <v>33</v>
      </c>
    </row>
    <row r="36" spans="1:10" ht="60" customHeight="1">
      <c r="A36" s="6" t="s">
        <v>98</v>
      </c>
      <c r="B36" s="6" t="s">
        <v>11</v>
      </c>
      <c r="C36" s="6" t="s">
        <v>11</v>
      </c>
      <c r="D36" s="7" t="s">
        <v>11</v>
      </c>
      <c r="E36" s="8" t="s">
        <v>99</v>
      </c>
      <c r="F36" s="6" t="s">
        <v>11</v>
      </c>
      <c r="G36" s="9">
        <f>IF(A36=1,"_",IF(C36="_","???",C36))</f>
        <v/>
      </c>
      <c r="H36" s="10" t="s">
        <v>11</v>
      </c>
      <c r="I36" s="11" t="s">
        <v>11</v>
      </c>
      <c r="J36" s="12"/>
    </row>
    <row r="37" spans="1:10" ht="60" customHeight="1">
      <c r="A37" s="6" t="s">
        <v>100</v>
      </c>
      <c r="B37" s="6" t="s">
        <v>11</v>
      </c>
      <c r="C37" s="6" t="s">
        <v>11</v>
      </c>
      <c r="D37" s="7" t="s">
        <v>11</v>
      </c>
      <c r="E37" s="8" t="s">
        <v>101</v>
      </c>
      <c r="F37" s="6" t="s">
        <v>11</v>
      </c>
      <c r="G37" s="9">
        <f>IF(A37=1,"_",IF(C37="_","???",C37))</f>
        <v/>
      </c>
      <c r="H37" s="10" t="s">
        <v>98</v>
      </c>
      <c r="I37" s="11" t="s">
        <v>32</v>
      </c>
      <c r="J37" s="12" t="s">
        <v>33</v>
      </c>
    </row>
    <row r="38" spans="1:10" ht="60" customHeight="1">
      <c r="A38" s="6" t="s">
        <v>102</v>
      </c>
      <c r="B38" s="6" t="s">
        <v>11</v>
      </c>
      <c r="C38" s="6" t="s">
        <v>103</v>
      </c>
      <c r="D38" s="7" t="s">
        <v>11</v>
      </c>
      <c r="E38" s="8" t="s">
        <v>104</v>
      </c>
      <c r="F38" s="6" t="s">
        <v>11</v>
      </c>
      <c r="G38" s="9">
        <f>IF(A38=1,"_",IF(C38="_","???",C38))</f>
        <v/>
      </c>
      <c r="H38" s="10" t="s">
        <v>86</v>
      </c>
      <c r="I38" s="11" t="s">
        <v>106</v>
      </c>
      <c r="J38" s="12" t="s">
        <v>107</v>
      </c>
    </row>
    <row r="39" spans="1:10" ht="60" customHeight="1">
      <c r="A39" s="6" t="s">
        <v>108</v>
      </c>
      <c r="B39" s="6" t="s">
        <v>11</v>
      </c>
      <c r="C39" s="6" t="s">
        <v>29</v>
      </c>
      <c r="D39" s="7" t="s">
        <v>11</v>
      </c>
      <c r="E39" s="8" t="s">
        <v>109</v>
      </c>
      <c r="F39" s="6" t="s">
        <v>11</v>
      </c>
      <c r="G39" s="9">
        <f>IF(A39=1,"_",IF(C39="_","???",C39))</f>
        <v/>
      </c>
      <c r="H39" s="10" t="s">
        <v>102</v>
      </c>
      <c r="I39" s="11" t="s">
        <v>32</v>
      </c>
      <c r="J39" s="12" t="s">
        <v>33</v>
      </c>
    </row>
    <row r="40" spans="1:10" ht="60" customHeight="1">
      <c r="A40" s="6" t="s">
        <v>110</v>
      </c>
      <c r="B40" s="6" t="s">
        <v>11</v>
      </c>
      <c r="C40" s="6" t="s">
        <v>11</v>
      </c>
      <c r="D40" s="7" t="s">
        <v>11</v>
      </c>
      <c r="E40" s="8" t="s">
        <v>111</v>
      </c>
      <c r="F40" s="6" t="s">
        <v>11</v>
      </c>
      <c r="G40" s="9">
        <f>IF(A40=1,"_",IF(C40="_","???",C40))</f>
        <v/>
      </c>
      <c r="H40" s="10" t="s">
        <v>11</v>
      </c>
      <c r="I40" s="11" t="s">
        <v>11</v>
      </c>
      <c r="J40" s="12"/>
    </row>
    <row r="41" spans="1:10" ht="60" customHeight="1">
      <c r="A41" s="6" t="s">
        <v>112</v>
      </c>
      <c r="B41" s="6" t="s">
        <v>11</v>
      </c>
      <c r="C41" s="6" t="s">
        <v>49</v>
      </c>
      <c r="D41" s="7" t="s">
        <v>11</v>
      </c>
      <c r="E41" s="8" t="s">
        <v>113</v>
      </c>
      <c r="F41" s="6" t="s">
        <v>11</v>
      </c>
      <c r="G41" s="9">
        <f>IF(A41=1,"_",IF(C41="_","???",C41))</f>
        <v/>
      </c>
      <c r="H41" s="10" t="s">
        <v>110</v>
      </c>
      <c r="I41" s="11" t="s">
        <v>24</v>
      </c>
      <c r="J41" s="12" t="s">
        <v>25</v>
      </c>
    </row>
    <row r="42" spans="1:10" ht="60" customHeight="1">
      <c r="A42" s="6" t="s">
        <v>114</v>
      </c>
      <c r="B42" s="6" t="s">
        <v>11</v>
      </c>
      <c r="C42" s="6" t="s">
        <v>74</v>
      </c>
      <c r="D42" s="7" t="s">
        <v>11</v>
      </c>
      <c r="E42" s="8" t="s">
        <v>115</v>
      </c>
      <c r="F42" s="6" t="s">
        <v>11</v>
      </c>
      <c r="G42" s="9">
        <f>IF(A42=1,"_",IF(C42="_","???",C42))</f>
        <v/>
      </c>
      <c r="H42" s="10" t="s">
        <v>112</v>
      </c>
      <c r="I42" s="11" t="s">
        <v>117</v>
      </c>
      <c r="J42" s="12" t="s">
        <v>118</v>
      </c>
    </row>
    <row r="43" spans="1:10" ht="60" customHeight="1">
      <c r="A43" s="6" t="s">
        <v>119</v>
      </c>
      <c r="B43" s="6" t="s">
        <v>11</v>
      </c>
      <c r="C43" s="6" t="s">
        <v>11</v>
      </c>
      <c r="D43" s="7" t="s">
        <v>11</v>
      </c>
      <c r="E43" s="8" t="s">
        <v>120</v>
      </c>
      <c r="F43" s="6" t="s">
        <v>11</v>
      </c>
      <c r="G43" s="9">
        <f>IF(A43=1,"_",IF(C43="_","???",C43))</f>
        <v/>
      </c>
      <c r="H43" s="10" t="s">
        <v>11</v>
      </c>
      <c r="I43" s="11" t="s">
        <v>11</v>
      </c>
      <c r="J43" s="12"/>
    </row>
    <row r="44" spans="1:10" ht="60" customHeight="1">
      <c r="A44" s="6" t="s">
        <v>121</v>
      </c>
      <c r="B44" s="6" t="s">
        <v>11</v>
      </c>
      <c r="C44" s="6" t="s">
        <v>49</v>
      </c>
      <c r="D44" s="7" t="s">
        <v>11</v>
      </c>
      <c r="E44" s="8" t="s">
        <v>122</v>
      </c>
      <c r="F44" s="6" t="s">
        <v>11</v>
      </c>
      <c r="G44" s="9">
        <f>IF(A44=1,"_",IF(C44="_","???",C44))</f>
        <v/>
      </c>
      <c r="H44" s="10" t="s">
        <v>119</v>
      </c>
      <c r="I44" s="11" t="s">
        <v>24</v>
      </c>
      <c r="J44" s="12" t="s">
        <v>25</v>
      </c>
    </row>
    <row r="45" spans="1:10" ht="60" customHeight="1">
      <c r="A45" s="6" t="s">
        <v>123</v>
      </c>
      <c r="B45" s="6" t="s">
        <v>11</v>
      </c>
      <c r="C45" s="6" t="s">
        <v>11</v>
      </c>
      <c r="D45" s="7" t="s">
        <v>11</v>
      </c>
      <c r="E45" s="8" t="s">
        <v>124</v>
      </c>
      <c r="F45" s="6" t="s">
        <v>11</v>
      </c>
      <c r="G45" s="9">
        <f>IF(A45=1,"_",IF(C45="_","???",C45))</f>
        <v/>
      </c>
      <c r="H45" s="10" t="s">
        <v>114</v>
      </c>
      <c r="I45" s="11" t="s">
        <v>125</v>
      </c>
      <c r="J45" s="12"/>
    </row>
    <row r="46" spans="1:10" ht="60" customHeight="1">
      <c r="A46" s="6" t="s">
        <v>126</v>
      </c>
      <c r="B46" s="6" t="s">
        <v>11</v>
      </c>
      <c r="C46" s="6" t="s">
        <v>65</v>
      </c>
      <c r="D46" s="7" t="s">
        <v>11</v>
      </c>
      <c r="E46" s="8" t="s">
        <v>127</v>
      </c>
      <c r="F46" s="6" t="s">
        <v>11</v>
      </c>
      <c r="G46" s="9">
        <f>IF(A46=1,"_",IF(C46="_","???",C46))</f>
        <v/>
      </c>
      <c r="H46" s="10" t="s">
        <v>123</v>
      </c>
      <c r="I46" s="11" t="s">
        <v>32</v>
      </c>
      <c r="J46" s="12" t="s">
        <v>33</v>
      </c>
    </row>
    <row r="47" spans="1:10" ht="60" customHeight="1">
      <c r="A47" s="6" t="s">
        <v>128</v>
      </c>
      <c r="B47" s="6" t="s">
        <v>11</v>
      </c>
      <c r="C47" s="6" t="s">
        <v>11</v>
      </c>
      <c r="D47" s="7" t="s">
        <v>11</v>
      </c>
      <c r="E47" s="8" t="s">
        <v>129</v>
      </c>
      <c r="F47" s="6" t="s">
        <v>11</v>
      </c>
      <c r="G47" s="9">
        <f>IF(A47=1,"_",IF(C47="_","???",C47))</f>
        <v/>
      </c>
      <c r="H47" s="10" t="s">
        <v>126</v>
      </c>
      <c r="I47" s="11" t="s">
        <v>32</v>
      </c>
      <c r="J47" s="12" t="s">
        <v>33</v>
      </c>
    </row>
    <row r="48" spans="1:10" ht="60" customHeight="1">
      <c r="A48" s="6" t="s">
        <v>130</v>
      </c>
      <c r="B48" s="6" t="s">
        <v>11</v>
      </c>
      <c r="C48" s="6" t="s">
        <v>49</v>
      </c>
      <c r="D48" s="7" t="s">
        <v>11</v>
      </c>
      <c r="E48" s="8" t="s">
        <v>131</v>
      </c>
      <c r="F48" s="6" t="s">
        <v>11</v>
      </c>
      <c r="G48" s="9">
        <f>IF(A48=1,"_",IF(C48="_","???",C48))</f>
        <v/>
      </c>
      <c r="H48" s="10" t="s">
        <v>128</v>
      </c>
      <c r="I48" s="11" t="s">
        <v>24</v>
      </c>
      <c r="J48" s="12" t="s">
        <v>25</v>
      </c>
    </row>
    <row r="49" spans="1:10" ht="60" customHeight="1">
      <c r="A49" s="6" t="s">
        <v>132</v>
      </c>
      <c r="B49" s="6" t="s">
        <v>11</v>
      </c>
      <c r="C49" s="6" t="s">
        <v>11</v>
      </c>
      <c r="D49" s="7" t="s">
        <v>11</v>
      </c>
      <c r="E49" s="8" t="s">
        <v>133</v>
      </c>
      <c r="F49" s="6" t="s">
        <v>11</v>
      </c>
      <c r="G49" s="9">
        <f>IF(A49=1,"_",IF(C49="_","???",C49))</f>
        <v/>
      </c>
      <c r="H49" s="10" t="s">
        <v>130</v>
      </c>
      <c r="I49" s="11" t="s">
        <v>18</v>
      </c>
      <c r="J49" s="12" t="s">
        <v>19</v>
      </c>
    </row>
    <row r="50" spans="1:10" ht="60" customHeight="1">
      <c r="A50" s="6" t="s">
        <v>134</v>
      </c>
      <c r="B50" s="6" t="s">
        <v>11</v>
      </c>
      <c r="C50" s="6" t="s">
        <v>135</v>
      </c>
      <c r="D50" s="7" t="s">
        <v>11</v>
      </c>
      <c r="E50" s="8" t="s">
        <v>136</v>
      </c>
      <c r="F50" s="6" t="s">
        <v>11</v>
      </c>
      <c r="G50" s="9">
        <f>IF(A50=1,"_",IF(C50="_","???",C50))</f>
        <v/>
      </c>
      <c r="H50" s="10" t="s">
        <v>132</v>
      </c>
      <c r="I50" s="11" t="s">
        <v>117</v>
      </c>
      <c r="J50" s="12" t="s">
        <v>118</v>
      </c>
    </row>
    <row r="51" spans="1:10" ht="60" customHeight="1">
      <c r="A51" s="6" t="s">
        <v>137</v>
      </c>
      <c r="B51" s="6" t="s">
        <v>11</v>
      </c>
      <c r="C51" s="6" t="s">
        <v>11</v>
      </c>
      <c r="D51" s="7" t="s">
        <v>11</v>
      </c>
      <c r="E51" s="8" t="s">
        <v>138</v>
      </c>
      <c r="F51" s="6" t="s">
        <v>11</v>
      </c>
      <c r="G51" s="9">
        <f>IF(A51=1,"_",IF(C51="_","???",C51))</f>
        <v/>
      </c>
      <c r="H51" s="10" t="s">
        <v>134</v>
      </c>
      <c r="I51" s="11" t="s">
        <v>32</v>
      </c>
      <c r="J51" s="12" t="s">
        <v>33</v>
      </c>
    </row>
    <row r="52" spans="1:10" ht="60" customHeight="1">
      <c r="A52" s="6" t="s">
        <v>139</v>
      </c>
      <c r="B52" s="6" t="s">
        <v>11</v>
      </c>
      <c r="C52" s="6" t="s">
        <v>11</v>
      </c>
      <c r="D52" s="7" t="s">
        <v>11</v>
      </c>
      <c r="E52" s="8" t="s">
        <v>140</v>
      </c>
      <c r="F52" s="6" t="s">
        <v>11</v>
      </c>
      <c r="G52" s="9">
        <f>IF(A52=1,"_",IF(C52="_","???",C52))</f>
        <v/>
      </c>
      <c r="H52" s="10" t="s">
        <v>11</v>
      </c>
      <c r="I52" s="11" t="s">
        <v>11</v>
      </c>
      <c r="J52" s="12"/>
    </row>
    <row r="53" spans="1:10" ht="60" customHeight="1">
      <c r="A53" s="6" t="s">
        <v>141</v>
      </c>
      <c r="B53" s="6" t="s">
        <v>11</v>
      </c>
      <c r="C53" s="6" t="s">
        <v>11</v>
      </c>
      <c r="D53" s="7" t="s">
        <v>11</v>
      </c>
      <c r="E53" s="8" t="s">
        <v>142</v>
      </c>
      <c r="F53" s="6" t="s">
        <v>11</v>
      </c>
      <c r="G53" s="9">
        <f>IF(A53=1,"_",IF(C53="_","???",C53))</f>
        <v/>
      </c>
      <c r="H53" s="10" t="s">
        <v>139</v>
      </c>
      <c r="I53" s="11" t="s">
        <v>32</v>
      </c>
      <c r="J53" s="12" t="s">
        <v>33</v>
      </c>
    </row>
    <row r="54" spans="1:10" ht="60" customHeight="1">
      <c r="A54" s="6" t="s">
        <v>143</v>
      </c>
      <c r="B54" s="6" t="s">
        <v>11</v>
      </c>
      <c r="C54" s="6" t="s">
        <v>11</v>
      </c>
      <c r="D54" s="7" t="s">
        <v>11</v>
      </c>
      <c r="E54" s="8" t="s">
        <v>144</v>
      </c>
      <c r="F54" s="6" t="s">
        <v>11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145</v>
      </c>
      <c r="B55" s="6" t="s">
        <v>11</v>
      </c>
      <c r="C55" s="6" t="s">
        <v>11</v>
      </c>
      <c r="D55" s="7" t="s">
        <v>11</v>
      </c>
      <c r="E55" s="8" t="s">
        <v>146</v>
      </c>
      <c r="F55" s="6" t="s">
        <v>11</v>
      </c>
      <c r="G55" s="9">
        <f>IF(A55=1,"_",IF(C55="_","???",C55))</f>
        <v/>
      </c>
      <c r="H55" s="10" t="s">
        <v>143</v>
      </c>
      <c r="I55" s="11" t="s">
        <v>125</v>
      </c>
      <c r="J55" s="12"/>
    </row>
    <row r="56" spans="1:10" ht="60" customHeight="1">
      <c r="A56" s="6" t="s">
        <v>147</v>
      </c>
      <c r="B56" s="6" t="s">
        <v>11</v>
      </c>
      <c r="C56" s="6" t="s">
        <v>11</v>
      </c>
      <c r="D56" s="7" t="s">
        <v>11</v>
      </c>
      <c r="E56" s="8" t="s">
        <v>148</v>
      </c>
      <c r="F56" s="6" t="s">
        <v>11</v>
      </c>
      <c r="G56" s="9">
        <f>IF(A56=1,"_",IF(C56="_","???",C56))</f>
        <v/>
      </c>
      <c r="H56" s="10" t="s">
        <v>145</v>
      </c>
      <c r="I56" s="11" t="s">
        <v>18</v>
      </c>
      <c r="J56" s="12" t="s">
        <v>19</v>
      </c>
    </row>
    <row r="57" spans="1:10" ht="60" customHeight="1">
      <c r="A57" s="6" t="s">
        <v>149</v>
      </c>
      <c r="B57" s="6" t="s">
        <v>11</v>
      </c>
      <c r="C57" s="6" t="s">
        <v>29</v>
      </c>
      <c r="D57" s="7" t="s">
        <v>11</v>
      </c>
      <c r="E57" s="8" t="s">
        <v>150</v>
      </c>
      <c r="F57" s="6" t="s">
        <v>11</v>
      </c>
      <c r="G57" s="9">
        <f>IF(A57=1,"_",IF(C57="_","???",C57))</f>
        <v/>
      </c>
      <c r="H57" s="10" t="s">
        <v>147</v>
      </c>
      <c r="I57" s="11" t="s">
        <v>32</v>
      </c>
      <c r="J57" s="12" t="s">
        <v>33</v>
      </c>
    </row>
    <row r="58" spans="1:10" ht="60" customHeight="1">
      <c r="A58" s="6" t="s">
        <v>151</v>
      </c>
      <c r="B58" s="6" t="s">
        <v>11</v>
      </c>
      <c r="C58" s="6" t="s">
        <v>11</v>
      </c>
      <c r="D58" s="7" t="s">
        <v>11</v>
      </c>
      <c r="E58" s="8" t="s">
        <v>152</v>
      </c>
      <c r="F58" s="6" t="s">
        <v>11</v>
      </c>
      <c r="G58" s="9">
        <f>IF(A58=1,"_",IF(C58="_","???",C58))</f>
        <v/>
      </c>
      <c r="H58" s="10" t="s">
        <v>11</v>
      </c>
      <c r="I58" s="11" t="s">
        <v>11</v>
      </c>
      <c r="J5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153</v>
      </c>
      <c r="B1" s="13" t="s">
        <v>154</v>
      </c>
      <c r="C1" s="13" t="s">
        <v>155</v>
      </c>
      <c r="D1" s="13" t="s">
        <v>156</v>
      </c>
      <c r="E1" s="14" t="s">
        <v>157</v>
      </c>
      <c r="F1" s="15" t="s">
        <v>158</v>
      </c>
      <c r="G1" s="16" t="s">
        <v>159</v>
      </c>
      <c r="H1" s="17" t="s">
        <v>160</v>
      </c>
      <c r="I1" s="18" t="s">
        <v>161</v>
      </c>
      <c r="J1" s="18" t="s">
        <v>162</v>
      </c>
      <c r="K1" s="18" t="s">
        <v>163</v>
      </c>
      <c r="L1" s="19" t="s">
        <v>9</v>
      </c>
    </row>
    <row r="2" spans="1:12">
      <c r="A2" s="20" t="s">
        <v>164</v>
      </c>
    </row>
    <row r="3" spans="1:12">
      <c r="A3" s="20" t="s">
        <v>165</v>
      </c>
      <c r="B3" s="21" t="s">
        <v>166</v>
      </c>
      <c r="C3" s="21" t="s">
        <v>167</v>
      </c>
      <c r="D3" s="21" t="s">
        <v>168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169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170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171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172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173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174</v>
      </c>
      <c r="B9" s="21" t="s">
        <v>166</v>
      </c>
      <c r="C9" s="21" t="s">
        <v>175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176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177</v>
      </c>
      <c r="B11" s="21" t="s">
        <v>166</v>
      </c>
      <c r="C11" s="21" t="s">
        <v>175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178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179</v>
      </c>
      <c r="B13" s="21" t="s">
        <v>180</v>
      </c>
      <c r="C13" s="21" t="s">
        <v>175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/>
    </row>
    <row r="15" spans="1:12">
      <c r="A15" s="20" t="s">
        <v>181</v>
      </c>
    </row>
    <row r="16" spans="1:12">
      <c r="A16" s="20" t="s">
        <v>182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183</v>
      </c>
      <c r="B17" s="21" t="s">
        <v>184</v>
      </c>
      <c r="C17" s="21" t="s">
        <v>185</v>
      </c>
      <c r="D17" s="21" t="s">
        <v>168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186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187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188</v>
      </c>
      <c r="B20" s="21" t="s">
        <v>180</v>
      </c>
      <c r="C20" s="21" t="s">
        <v>189</v>
      </c>
      <c r="D20" s="21" t="s">
        <v>168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190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179</v>
      </c>
      <c r="B22" s="21" t="s">
        <v>191</v>
      </c>
      <c r="C22" s="21" t="s">
        <v>175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192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193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194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183</v>
      </c>
      <c r="B26" s="21" t="s">
        <v>195</v>
      </c>
      <c r="C26" s="21" t="s">
        <v>185</v>
      </c>
      <c r="D26" s="21" t="s">
        <v>168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196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197</v>
      </c>
      <c r="B28" s="21" t="s">
        <v>166</v>
      </c>
      <c r="C28" s="21" t="s">
        <v>175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193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198</v>
      </c>
      <c r="B30" s="21" t="s">
        <v>199</v>
      </c>
      <c r="C30" s="21" t="s">
        <v>175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176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200</v>
      </c>
      <c r="B32" s="21" t="s">
        <v>180</v>
      </c>
      <c r="C32" s="21" t="s">
        <v>175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176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196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187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201</v>
      </c>
      <c r="B36" s="21" t="s">
        <v>180</v>
      </c>
      <c r="C36" s="21" t="s">
        <v>189</v>
      </c>
      <c r="D36" s="21" t="s">
        <v>168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193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187</v>
      </c>
      <c r="B38" s="21" t="s">
        <v>202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203</v>
      </c>
      <c r="B39" s="21" t="s">
        <v>204</v>
      </c>
      <c r="C39" s="21" t="s">
        <v>205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206</v>
      </c>
      <c r="B40" s="21" t="s">
        <v>204</v>
      </c>
      <c r="C40" s="21" t="s">
        <v>207</v>
      </c>
      <c r="D40" s="21" t="s">
        <v>168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208</v>
      </c>
      <c r="B41" s="21" t="s">
        <v>209</v>
      </c>
      <c r="C41" s="21" t="s">
        <v>210</v>
      </c>
      <c r="D41" s="21" t="s">
        <v>168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211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193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212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213</v>
      </c>
      <c r="B45" s="21" t="s">
        <v>191</v>
      </c>
      <c r="C45" s="21" t="s">
        <v>214</v>
      </c>
      <c r="D45" s="21" t="s">
        <v>168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194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196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187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215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216</v>
      </c>
      <c r="B50" s="21" t="s">
        <v>180</v>
      </c>
      <c r="C50" s="21" t="s">
        <v>189</v>
      </c>
      <c r="D50" s="21" t="s">
        <v>168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217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218</v>
      </c>
      <c r="B52" s="21" t="s">
        <v>191</v>
      </c>
      <c r="C52" s="21" t="s">
        <v>219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220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/>
    </row>
    <row r="55" spans="1:12">
      <c r="A55" s="20" t="s">
        <v>221</v>
      </c>
    </row>
    <row r="56" spans="1:12">
      <c r="A56" s="20" t="s">
        <v>222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223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224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225</v>
      </c>
      <c r="B59" s="21" t="s">
        <v>191</v>
      </c>
      <c r="C59" s="21" t="s">
        <v>185</v>
      </c>
      <c r="D59" s="21" t="s">
        <v>168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226</v>
      </c>
      <c r="B60" s="21" t="s">
        <v>184</v>
      </c>
      <c r="C60" s="21" t="s">
        <v>175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193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186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187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188</v>
      </c>
      <c r="B64" s="21" t="s">
        <v>209</v>
      </c>
      <c r="C64" s="21" t="s">
        <v>189</v>
      </c>
      <c r="D64" s="21" t="s">
        <v>168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190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179</v>
      </c>
      <c r="B66" s="21" t="s">
        <v>204</v>
      </c>
      <c r="C66" s="21" t="s">
        <v>175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227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176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228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229</v>
      </c>
      <c r="B70" s="21" t="s">
        <v>180</v>
      </c>
      <c r="C70" s="21" t="s">
        <v>207</v>
      </c>
      <c r="D70" s="21" t="s">
        <v>168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230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231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220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/>
    </row>
    <row r="75" spans="1:12">
      <c r="A75" s="20" t="s">
        <v>232</v>
      </c>
    </row>
    <row r="76" spans="1:12">
      <c r="A76" s="20" t="s">
        <v>233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234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235</v>
      </c>
      <c r="B78" s="21" t="s">
        <v>195</v>
      </c>
      <c r="C78" s="21" t="s">
        <v>214</v>
      </c>
      <c r="D78" s="21" t="s">
        <v>168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236</v>
      </c>
      <c r="B79" s="21" t="s">
        <v>199</v>
      </c>
      <c r="C79" s="21" t="s">
        <v>214</v>
      </c>
      <c r="D79" s="21" t="s">
        <v>168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237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238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239</v>
      </c>
      <c r="B82" s="21" t="s">
        <v>199</v>
      </c>
      <c r="C82" s="21" t="s">
        <v>219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240</v>
      </c>
      <c r="B83" s="21" t="s">
        <v>180</v>
      </c>
      <c r="C83" s="21" t="s">
        <v>167</v>
      </c>
      <c r="D83" s="21" t="s">
        <v>168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241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220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/>
    </row>
    <row r="87" spans="1:12">
      <c r="A87" s="20" t="s">
        <v>242</v>
      </c>
    </row>
    <row r="88" spans="1:12">
      <c r="A88" s="20" t="s">
        <v>222</v>
      </c>
      <c r="B88" s="21" t="s">
        <v>195</v>
      </c>
      <c r="C88" s="21" t="s">
        <v>214</v>
      </c>
      <c r="D88" s="21" t="s">
        <v>168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243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244</v>
      </c>
      <c r="B90" s="21" t="s">
        <v>166</v>
      </c>
      <c r="C90" s="21" t="s">
        <v>185</v>
      </c>
      <c r="D90" s="21" t="s">
        <v>168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245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240</v>
      </c>
      <c r="B92" s="21" t="s">
        <v>166</v>
      </c>
      <c r="C92" s="21" t="s">
        <v>246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193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247</v>
      </c>
      <c r="B94" s="21" t="s">
        <v>184</v>
      </c>
      <c r="C94" s="21" t="s">
        <v>214</v>
      </c>
      <c r="D94" s="21" t="s">
        <v>168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243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237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240</v>
      </c>
      <c r="B97" s="21" t="s">
        <v>166</v>
      </c>
      <c r="C97" s="21" t="s">
        <v>219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248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249</v>
      </c>
      <c r="B99" s="21" t="s">
        <v>180</v>
      </c>
      <c r="C99" s="21" t="s">
        <v>189</v>
      </c>
      <c r="D99" s="21" t="s">
        <v>168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250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251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252</v>
      </c>
      <c r="B102" s="21" t="s">
        <v>180</v>
      </c>
      <c r="C102" s="21" t="s">
        <v>189</v>
      </c>
      <c r="D102" s="21" t="s">
        <v>168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253</v>
      </c>
      <c r="B103" s="21" t="s">
        <v>209</v>
      </c>
      <c r="C103" s="21" t="s">
        <v>254</v>
      </c>
      <c r="D103" s="21" t="s">
        <v>168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255</v>
      </c>
      <c r="B104" s="21" t="s">
        <v>191</v>
      </c>
      <c r="C104" s="21" t="s">
        <v>175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193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256</v>
      </c>
      <c r="B106" s="21" t="s">
        <v>209</v>
      </c>
      <c r="C106" s="21" t="s">
        <v>167</v>
      </c>
      <c r="D106" s="21" t="s">
        <v>168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193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257</v>
      </c>
      <c r="B108" s="21" t="s">
        <v>204</v>
      </c>
      <c r="C108" s="21" t="s">
        <v>167</v>
      </c>
      <c r="D108" s="21" t="s">
        <v>168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220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/>
    </row>
    <row r="111" spans="1:12">
      <c r="A111" s="20" t="s">
        <v>258</v>
      </c>
    </row>
    <row r="112" spans="1:12">
      <c r="A112" s="20" t="s">
        <v>213</v>
      </c>
      <c r="B112" s="21" t="s">
        <v>195</v>
      </c>
      <c r="C112" s="21" t="s">
        <v>214</v>
      </c>
      <c r="D112" s="21" t="s">
        <v>168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259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260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193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261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262</v>
      </c>
      <c r="B117" s="21" t="s">
        <v>191</v>
      </c>
      <c r="C117" s="21" t="s">
        <v>205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263</v>
      </c>
      <c r="B118" s="21" t="s">
        <v>184</v>
      </c>
      <c r="C118" s="21" t="s">
        <v>175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237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264</v>
      </c>
      <c r="B120" s="21" t="s">
        <v>265</v>
      </c>
      <c r="C120" s="21" t="s">
        <v>219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266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193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267</v>
      </c>
      <c r="B123" s="21" t="s">
        <v>209</v>
      </c>
      <c r="C123" s="21" t="s">
        <v>205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268</v>
      </c>
      <c r="B124" s="21" t="s">
        <v>269</v>
      </c>
      <c r="C124" s="21" t="s">
        <v>175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237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270</v>
      </c>
      <c r="B126" s="21" t="s">
        <v>180</v>
      </c>
      <c r="C126" s="21" t="s">
        <v>219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250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271</v>
      </c>
      <c r="B128" s="21" t="s">
        <v>209</v>
      </c>
      <c r="C128" s="21" t="s">
        <v>207</v>
      </c>
      <c r="D128" s="21" t="s">
        <v>168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252</v>
      </c>
      <c r="B129" s="21" t="s">
        <v>191</v>
      </c>
      <c r="C129" s="21" t="s">
        <v>210</v>
      </c>
      <c r="D129" s="21" t="s">
        <v>168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176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267</v>
      </c>
      <c r="B131" s="21" t="s">
        <v>204</v>
      </c>
      <c r="C131" s="21" t="s">
        <v>205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272</v>
      </c>
      <c r="B132" s="21" t="s">
        <v>209</v>
      </c>
      <c r="C132" s="21" t="s">
        <v>175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237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273</v>
      </c>
      <c r="B134" s="21" t="s">
        <v>191</v>
      </c>
      <c r="C134" s="21" t="s">
        <v>274</v>
      </c>
      <c r="D134" s="21" t="s">
        <v>168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275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276</v>
      </c>
      <c r="B136" s="21" t="s">
        <v>204</v>
      </c>
      <c r="C136" s="21" t="s">
        <v>207</v>
      </c>
      <c r="D136" s="21" t="s">
        <v>168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277</v>
      </c>
      <c r="B137" s="21" t="s">
        <v>209</v>
      </c>
      <c r="C137" s="21" t="s">
        <v>210</v>
      </c>
      <c r="D137" s="21" t="s">
        <v>168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220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/>
    </row>
    <row r="140" spans="1:12">
      <c r="A140" s="20" t="s">
        <v>278</v>
      </c>
    </row>
    <row r="141" spans="1:12">
      <c r="A141" s="20" t="s">
        <v>279</v>
      </c>
      <c r="B141" s="21" t="s">
        <v>195</v>
      </c>
      <c r="C141" s="21" t="s">
        <v>214</v>
      </c>
      <c r="D141" s="21" t="s">
        <v>168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280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281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282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248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283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284</v>
      </c>
      <c r="B147" s="21" t="s">
        <v>166</v>
      </c>
      <c r="C147" s="21" t="s">
        <v>189</v>
      </c>
      <c r="D147" s="21" t="s">
        <v>168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193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285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193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286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196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287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288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289</v>
      </c>
      <c r="B155" s="21" t="s">
        <v>166</v>
      </c>
      <c r="C155" s="21" t="s">
        <v>189</v>
      </c>
      <c r="D155" s="21" t="s">
        <v>168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193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290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187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291</v>
      </c>
      <c r="B159" s="21" t="s">
        <v>269</v>
      </c>
      <c r="C159" s="21" t="s">
        <v>189</v>
      </c>
      <c r="D159" s="21" t="s">
        <v>168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231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220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/>
    </row>
    <row r="163" spans="1:12">
      <c r="A163" s="20" t="s">
        <v>292</v>
      </c>
    </row>
    <row r="164" spans="1:12">
      <c r="A164" s="20" t="s">
        <v>293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294</v>
      </c>
      <c r="B165" s="21" t="s">
        <v>195</v>
      </c>
      <c r="C165" s="21" t="s">
        <v>167</v>
      </c>
      <c r="D165" s="21" t="s">
        <v>168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243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285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193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286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295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220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/>
    </row>
    <row r="173" spans="1:12">
      <c r="A173" s="20" t="s">
        <v>296</v>
      </c>
    </row>
    <row r="174" spans="1:12">
      <c r="A174" s="20" t="s">
        <v>297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298</v>
      </c>
      <c r="B175" s="21" t="s">
        <v>166</v>
      </c>
      <c r="C175" s="21" t="s">
        <v>175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299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300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248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301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284</v>
      </c>
      <c r="B180" s="21" t="s">
        <v>166</v>
      </c>
      <c r="C180" s="21" t="s">
        <v>302</v>
      </c>
      <c r="D180" s="21" t="s">
        <v>168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303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277</v>
      </c>
      <c r="B182" s="21" t="s">
        <v>180</v>
      </c>
      <c r="C182" s="21" t="s">
        <v>189</v>
      </c>
      <c r="D182" s="21" t="s">
        <v>168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223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247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304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305</v>
      </c>
      <c r="B186" s="21" t="s">
        <v>195</v>
      </c>
      <c r="C186" s="21" t="s">
        <v>175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176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306</v>
      </c>
      <c r="B188" s="21" t="s">
        <v>180</v>
      </c>
      <c r="C188" s="21" t="s">
        <v>175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193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187</v>
      </c>
      <c r="B190" s="21" t="s">
        <v>269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307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308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225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309</v>
      </c>
      <c r="B194" s="21" t="s">
        <v>269</v>
      </c>
      <c r="C194" s="21" t="s">
        <v>175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310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231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311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187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291</v>
      </c>
      <c r="B199" s="21" t="s">
        <v>166</v>
      </c>
      <c r="C199" s="21" t="s">
        <v>189</v>
      </c>
      <c r="D199" s="21" t="s">
        <v>168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220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/>
    </row>
    <row r="202" spans="1:12">
      <c r="A202" s="20" t="s">
        <v>312</v>
      </c>
    </row>
    <row r="203" spans="1:12">
      <c r="A203" s="20" t="s">
        <v>313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236</v>
      </c>
      <c r="B204" s="21" t="s">
        <v>265</v>
      </c>
      <c r="C204" s="21" t="s">
        <v>214</v>
      </c>
      <c r="D204" s="21" t="s">
        <v>168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314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315</v>
      </c>
      <c r="B206" s="21" t="s">
        <v>265</v>
      </c>
      <c r="C206" s="21" t="s">
        <v>219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203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316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193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251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283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317</v>
      </c>
      <c r="B212" s="21" t="s">
        <v>199</v>
      </c>
      <c r="C212" s="21" t="s">
        <v>189</v>
      </c>
      <c r="D212" s="21" t="s">
        <v>168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303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277</v>
      </c>
      <c r="B214" s="21" t="s">
        <v>180</v>
      </c>
      <c r="C214" s="21" t="s">
        <v>189</v>
      </c>
      <c r="D214" s="21" t="s">
        <v>168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318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183</v>
      </c>
      <c r="B216" s="21" t="s">
        <v>195</v>
      </c>
      <c r="C216" s="21" t="s">
        <v>185</v>
      </c>
      <c r="D216" s="21" t="s">
        <v>168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319</v>
      </c>
      <c r="B217" s="21" t="s">
        <v>184</v>
      </c>
      <c r="C217" s="21" t="s">
        <v>175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320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193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321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229</v>
      </c>
      <c r="B221" s="21" t="s">
        <v>184</v>
      </c>
      <c r="C221" s="21" t="s">
        <v>207</v>
      </c>
      <c r="D221" s="21" t="s">
        <v>168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322</v>
      </c>
      <c r="B222" s="21" t="s">
        <v>195</v>
      </c>
      <c r="C222" s="21" t="s">
        <v>175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193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228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247</v>
      </c>
      <c r="B225" s="21" t="s">
        <v>269</v>
      </c>
      <c r="C225" s="21" t="s">
        <v>214</v>
      </c>
      <c r="D225" s="21" t="s">
        <v>168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323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193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178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324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325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326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327</v>
      </c>
      <c r="B232" s="21" t="s">
        <v>209</v>
      </c>
      <c r="C232" s="21" t="s">
        <v>219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328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220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/>
    </row>
    <row r="236" spans="1:12">
      <c r="A236" s="20" t="s">
        <v>329</v>
      </c>
    </row>
    <row r="237" spans="1:12">
      <c r="A237" s="20" t="s">
        <v>330</v>
      </c>
      <c r="B237" s="21" t="s">
        <v>195</v>
      </c>
      <c r="C237" s="21" t="s">
        <v>185</v>
      </c>
      <c r="D237" s="21" t="s">
        <v>168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260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331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332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187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333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322</v>
      </c>
      <c r="B243" s="21" t="s">
        <v>199</v>
      </c>
      <c r="C243" s="21" t="s">
        <v>189</v>
      </c>
      <c r="D243" s="21" t="s">
        <v>168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193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334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183</v>
      </c>
      <c r="B246" s="21" t="s">
        <v>184</v>
      </c>
      <c r="C246" s="21" t="s">
        <v>185</v>
      </c>
      <c r="D246" s="21" t="s">
        <v>168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335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187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336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337</v>
      </c>
      <c r="B250" s="21" t="s">
        <v>265</v>
      </c>
      <c r="C250" s="21" t="s">
        <v>189</v>
      </c>
      <c r="D250" s="21" t="s">
        <v>168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176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338</v>
      </c>
      <c r="B252" s="21" t="s">
        <v>191</v>
      </c>
      <c r="C252" s="21" t="s">
        <v>175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248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327</v>
      </c>
      <c r="B254" s="21" t="s">
        <v>191</v>
      </c>
      <c r="C254" s="21" t="s">
        <v>189</v>
      </c>
      <c r="D254" s="21" t="s">
        <v>168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339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220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/>
    </row>
    <row r="258" spans="1:12">
      <c r="A258" s="20" t="s">
        <v>340</v>
      </c>
    </row>
    <row r="259" spans="1:12">
      <c r="A259" s="20" t="s">
        <v>300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248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301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284</v>
      </c>
      <c r="B262" s="21" t="s">
        <v>166</v>
      </c>
      <c r="C262" s="21" t="s">
        <v>302</v>
      </c>
      <c r="D262" s="21" t="s">
        <v>168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303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277</v>
      </c>
      <c r="B264" s="21" t="s">
        <v>180</v>
      </c>
      <c r="C264" s="21" t="s">
        <v>189</v>
      </c>
      <c r="D264" s="21" t="s">
        <v>168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341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342</v>
      </c>
      <c r="B266" s="21" t="s">
        <v>195</v>
      </c>
      <c r="C266" s="21" t="s">
        <v>185</v>
      </c>
      <c r="D266" s="21" t="s">
        <v>168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252</v>
      </c>
      <c r="B267" s="21" t="s">
        <v>199</v>
      </c>
      <c r="C267" s="21" t="s">
        <v>175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193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187</v>
      </c>
      <c r="B269" s="21" t="s">
        <v>269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196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343</v>
      </c>
      <c r="B271" s="21" t="s">
        <v>191</v>
      </c>
      <c r="C271" s="21" t="s">
        <v>175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228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344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11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345</v>
      </c>
      <c r="B275" s="21" t="s">
        <v>209</v>
      </c>
      <c r="C275" s="21" t="s">
        <v>175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346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231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176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347</v>
      </c>
      <c r="B279" s="21" t="s">
        <v>348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304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349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287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350</v>
      </c>
      <c r="B283" s="21" t="s">
        <v>209</v>
      </c>
      <c r="C283" s="21" t="s">
        <v>189</v>
      </c>
      <c r="D283" s="21" t="s">
        <v>168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351</v>
      </c>
      <c r="B284" s="21" t="s">
        <v>204</v>
      </c>
      <c r="C284" s="21" t="s">
        <v>167</v>
      </c>
      <c r="D284" s="21" t="s">
        <v>168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352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257</v>
      </c>
      <c r="B286" s="21" t="s">
        <v>353</v>
      </c>
      <c r="C286" s="21" t="s">
        <v>167</v>
      </c>
      <c r="D286" s="21" t="s">
        <v>168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352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354</v>
      </c>
      <c r="B288" s="21" t="s">
        <v>353</v>
      </c>
      <c r="C288" s="21" t="s">
        <v>167</v>
      </c>
      <c r="D288" s="21" t="s">
        <v>168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355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193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311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349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248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356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357</v>
      </c>
      <c r="B295" s="21" t="s">
        <v>180</v>
      </c>
      <c r="C295" s="21" t="s">
        <v>189</v>
      </c>
      <c r="D295" s="21" t="s">
        <v>168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358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256</v>
      </c>
      <c r="B297" s="21" t="s">
        <v>191</v>
      </c>
      <c r="C297" s="21" t="s">
        <v>167</v>
      </c>
      <c r="D297" s="21" t="s">
        <v>168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220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/>
    </row>
    <row r="300" spans="1:12">
      <c r="A300" s="20" t="s">
        <v>359</v>
      </c>
    </row>
    <row r="301" spans="1:12">
      <c r="A301" s="20" t="s">
        <v>360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248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361</v>
      </c>
      <c r="B303" s="21" t="s">
        <v>166</v>
      </c>
      <c r="C303" s="21" t="s">
        <v>189</v>
      </c>
      <c r="D303" s="21" t="s">
        <v>168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260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213</v>
      </c>
      <c r="B305" s="21" t="s">
        <v>195</v>
      </c>
      <c r="C305" s="21" t="s">
        <v>214</v>
      </c>
      <c r="D305" s="21" t="s">
        <v>168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362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193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363</v>
      </c>
      <c r="B308" s="21" t="s">
        <v>269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187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364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365</v>
      </c>
      <c r="B311" s="21" t="s">
        <v>366</v>
      </c>
      <c r="C311" s="21" t="s">
        <v>367</v>
      </c>
      <c r="D311" s="21" t="s">
        <v>168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368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193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176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363</v>
      </c>
      <c r="B315" s="21" t="s">
        <v>202</v>
      </c>
      <c r="C315" s="21" t="s">
        <v>185</v>
      </c>
      <c r="D315" s="21" t="s">
        <v>168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243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369</v>
      </c>
      <c r="B317" s="21" t="s">
        <v>191</v>
      </c>
      <c r="C317" s="21" t="s">
        <v>175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220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/>
    </row>
    <row r="320" spans="1:12">
      <c r="A320" s="20" t="s">
        <v>370</v>
      </c>
    </row>
    <row r="321" spans="1:12">
      <c r="A321" s="20" t="s">
        <v>330</v>
      </c>
      <c r="B321" s="21" t="s">
        <v>195</v>
      </c>
      <c r="C321" s="21" t="s">
        <v>185</v>
      </c>
      <c r="D321" s="21" t="s">
        <v>168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341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187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256</v>
      </c>
      <c r="B324" s="21" t="s">
        <v>199</v>
      </c>
      <c r="C324" s="21" t="s">
        <v>167</v>
      </c>
      <c r="D324" s="21" t="s">
        <v>168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371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193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187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256</v>
      </c>
      <c r="B328" s="21" t="s">
        <v>180</v>
      </c>
      <c r="C328" s="21" t="s">
        <v>167</v>
      </c>
      <c r="D328" s="21" t="s">
        <v>168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372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373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374</v>
      </c>
      <c r="B331" s="21" t="s">
        <v>191</v>
      </c>
      <c r="C331" s="21" t="s">
        <v>167</v>
      </c>
      <c r="D331" s="21" t="s">
        <v>168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375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251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376</v>
      </c>
      <c r="B334" s="21" t="s">
        <v>199</v>
      </c>
      <c r="C334" s="21" t="s">
        <v>189</v>
      </c>
      <c r="D334" s="21" t="s">
        <v>168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377</v>
      </c>
      <c r="B335" s="21" t="s">
        <v>180</v>
      </c>
      <c r="C335" s="21" t="s">
        <v>167</v>
      </c>
      <c r="D335" s="21" t="s">
        <v>168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378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193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187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256</v>
      </c>
      <c r="B339" s="21" t="s">
        <v>180</v>
      </c>
      <c r="C339" s="21" t="s">
        <v>167</v>
      </c>
      <c r="D339" s="21" t="s">
        <v>168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379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380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381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193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187</v>
      </c>
      <c r="B344" s="21" t="s">
        <v>184</v>
      </c>
      <c r="C344" s="21" t="s">
        <v>185</v>
      </c>
      <c r="D344" s="21" t="s">
        <v>168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342</v>
      </c>
      <c r="B345" s="21" t="s">
        <v>269</v>
      </c>
      <c r="C345" s="21" t="s">
        <v>185</v>
      </c>
      <c r="D345" s="21" t="s">
        <v>168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382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383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220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/>
    </row>
    <row r="350" spans="1:12">
      <c r="A350" s="20" t="s">
        <v>384</v>
      </c>
    </row>
    <row r="351" spans="1:12">
      <c r="A351" s="20" t="s">
        <v>385</v>
      </c>
      <c r="B351" s="21" t="s">
        <v>180</v>
      </c>
      <c r="C351" s="21" t="s">
        <v>207</v>
      </c>
      <c r="D351" s="21" t="s">
        <v>168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386</v>
      </c>
      <c r="B352" s="21" t="s">
        <v>195</v>
      </c>
      <c r="C352" s="21" t="s">
        <v>210</v>
      </c>
      <c r="D352" s="21" t="s">
        <v>168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387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311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388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389</v>
      </c>
      <c r="B356" s="21" t="s">
        <v>166</v>
      </c>
      <c r="C356" s="21" t="s">
        <v>175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250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251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364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390</v>
      </c>
      <c r="B360" s="21" t="s">
        <v>180</v>
      </c>
      <c r="C360" s="21" t="s">
        <v>367</v>
      </c>
      <c r="D360" s="21" t="s">
        <v>168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303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277</v>
      </c>
      <c r="B362" s="21" t="s">
        <v>191</v>
      </c>
      <c r="C362" s="21" t="s">
        <v>189</v>
      </c>
      <c r="D362" s="21" t="s">
        <v>168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220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/>
    </row>
    <row r="365" spans="1:12">
      <c r="A365" s="20" t="s">
        <v>391</v>
      </c>
    </row>
    <row r="366" spans="1:12">
      <c r="A366" s="20" t="s">
        <v>392</v>
      </c>
      <c r="B366" s="21" t="s">
        <v>166</v>
      </c>
      <c r="C366" s="21" t="s">
        <v>175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183</v>
      </c>
      <c r="B367" s="21" t="s">
        <v>195</v>
      </c>
      <c r="C367" s="21" t="s">
        <v>185</v>
      </c>
      <c r="D367" s="21" t="s">
        <v>168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393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394</v>
      </c>
      <c r="B369" s="21" t="s">
        <v>166</v>
      </c>
      <c r="C369" s="21" t="s">
        <v>167</v>
      </c>
      <c r="D369" s="21" t="s">
        <v>168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395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196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220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/>
    </row>
    <row r="374" spans="1:12">
      <c r="A374" s="20" t="s">
        <v>396</v>
      </c>
    </row>
    <row r="375" spans="1:12">
      <c r="A375" s="20" t="s">
        <v>213</v>
      </c>
      <c r="B375" s="21" t="s">
        <v>195</v>
      </c>
      <c r="C375" s="21" t="s">
        <v>214</v>
      </c>
      <c r="D375" s="21" t="s">
        <v>168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260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193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261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397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362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398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399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220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/>
    </row>
    <row r="385" spans="1:12">
      <c r="A385" s="20" t="s">
        <v>400</v>
      </c>
    </row>
    <row r="386" spans="1:12">
      <c r="A386" s="20" t="s">
        <v>300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248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401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284</v>
      </c>
      <c r="B389" s="21" t="s">
        <v>166</v>
      </c>
      <c r="C389" s="21" t="s">
        <v>189</v>
      </c>
      <c r="D389" s="21" t="s">
        <v>168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223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247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251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402</v>
      </c>
      <c r="B393" s="21" t="s">
        <v>195</v>
      </c>
      <c r="C393" s="21" t="s">
        <v>189</v>
      </c>
      <c r="D393" s="21" t="s">
        <v>168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11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193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403</v>
      </c>
      <c r="B396" s="21" t="s">
        <v>180</v>
      </c>
      <c r="C396" s="21" t="s">
        <v>175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11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176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404</v>
      </c>
      <c r="B399" s="21" t="s">
        <v>180</v>
      </c>
      <c r="C399" s="21" t="s">
        <v>175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193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251</v>
      </c>
      <c r="B401" s="21" t="s">
        <v>265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247</v>
      </c>
      <c r="B402" s="21" t="s">
        <v>184</v>
      </c>
      <c r="C402" s="21" t="s">
        <v>214</v>
      </c>
      <c r="D402" s="21" t="s">
        <v>168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178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256</v>
      </c>
      <c r="B404" s="21" t="s">
        <v>180</v>
      </c>
      <c r="C404" s="21" t="s">
        <v>175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176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301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179</v>
      </c>
      <c r="B407" s="21" t="s">
        <v>191</v>
      </c>
      <c r="C407" s="21" t="s">
        <v>175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405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223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193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247</v>
      </c>
      <c r="B411" s="21" t="s">
        <v>184</v>
      </c>
      <c r="C411" s="21" t="s">
        <v>214</v>
      </c>
      <c r="D411" s="21" t="s">
        <v>168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223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224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406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229</v>
      </c>
      <c r="B415" s="21" t="s">
        <v>191</v>
      </c>
      <c r="C415" s="21" t="s">
        <v>207</v>
      </c>
      <c r="D415" s="21" t="s">
        <v>168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407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408</v>
      </c>
      <c r="B417" s="21" t="s">
        <v>265</v>
      </c>
      <c r="C417" s="21" t="s">
        <v>210</v>
      </c>
      <c r="D417" s="21" t="s">
        <v>168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248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291</v>
      </c>
      <c r="B419" s="21" t="s">
        <v>191</v>
      </c>
      <c r="C419" s="21" t="s">
        <v>189</v>
      </c>
      <c r="D419" s="21" t="s">
        <v>168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176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409</v>
      </c>
      <c r="B421" s="21" t="s">
        <v>209</v>
      </c>
      <c r="C421" s="21" t="s">
        <v>175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193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187</v>
      </c>
      <c r="B423" s="21" t="s">
        <v>202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187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410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411</v>
      </c>
      <c r="B426" s="21" t="s">
        <v>348</v>
      </c>
      <c r="C426" s="21" t="s">
        <v>189</v>
      </c>
      <c r="D426" s="21" t="s">
        <v>168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248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240</v>
      </c>
      <c r="B428" s="21" t="s">
        <v>204</v>
      </c>
      <c r="C428" s="21" t="s">
        <v>189</v>
      </c>
      <c r="D428" s="21" t="s">
        <v>168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412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193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413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237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408</v>
      </c>
      <c r="B433" s="21" t="s">
        <v>166</v>
      </c>
      <c r="C433" s="21" t="s">
        <v>219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193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187</v>
      </c>
      <c r="B435" s="21" t="s">
        <v>184</v>
      </c>
      <c r="C435" s="21" t="s">
        <v>185</v>
      </c>
      <c r="D435" s="21" t="s">
        <v>168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414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415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176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416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243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193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261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183</v>
      </c>
      <c r="B443" s="21" t="s">
        <v>184</v>
      </c>
      <c r="C443" s="21" t="s">
        <v>185</v>
      </c>
      <c r="D443" s="21" t="s">
        <v>168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342</v>
      </c>
      <c r="B444" s="21" t="s">
        <v>184</v>
      </c>
      <c r="C444" s="21" t="s">
        <v>185</v>
      </c>
      <c r="D444" s="21" t="s">
        <v>168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311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417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11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418</v>
      </c>
      <c r="B448" s="21" t="s">
        <v>180</v>
      </c>
      <c r="C448" s="21" t="s">
        <v>175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419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193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420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421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251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291</v>
      </c>
      <c r="B454" s="21" t="s">
        <v>180</v>
      </c>
      <c r="C454" s="21" t="s">
        <v>189</v>
      </c>
      <c r="D454" s="21" t="s">
        <v>168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193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250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422</v>
      </c>
      <c r="B457" s="21" t="s">
        <v>191</v>
      </c>
      <c r="C457" s="21" t="s">
        <v>175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176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291</v>
      </c>
      <c r="B459" s="21" t="s">
        <v>209</v>
      </c>
      <c r="C459" s="21" t="s">
        <v>175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193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196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287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423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424</v>
      </c>
      <c r="B464" s="21" t="s">
        <v>209</v>
      </c>
      <c r="C464" s="21" t="s">
        <v>189</v>
      </c>
      <c r="D464" s="21" t="s">
        <v>168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303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344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11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345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11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425</v>
      </c>
      <c r="B470" s="21" t="s">
        <v>204</v>
      </c>
      <c r="C470" s="21" t="s">
        <v>189</v>
      </c>
      <c r="D470" s="21" t="s">
        <v>168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220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/>
    </row>
    <row r="473" spans="1:12">
      <c r="A473" s="20" t="s">
        <v>426</v>
      </c>
    </row>
    <row r="474" spans="1:12">
      <c r="A474" s="20" t="s">
        <v>213</v>
      </c>
      <c r="B474" s="21" t="s">
        <v>195</v>
      </c>
      <c r="C474" s="21" t="s">
        <v>214</v>
      </c>
      <c r="D474" s="21" t="s">
        <v>168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260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427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193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261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187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428</v>
      </c>
      <c r="B480" s="21" t="s">
        <v>184</v>
      </c>
      <c r="C480" s="21" t="s">
        <v>189</v>
      </c>
      <c r="D480" s="21" t="s">
        <v>168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193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187</v>
      </c>
      <c r="B482" s="21" t="s">
        <v>348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183</v>
      </c>
      <c r="B483" s="21" t="s">
        <v>202</v>
      </c>
      <c r="C483" s="21" t="s">
        <v>185</v>
      </c>
      <c r="D483" s="21" t="s">
        <v>168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429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394</v>
      </c>
      <c r="B485" s="21" t="s">
        <v>209</v>
      </c>
      <c r="C485" s="21" t="s">
        <v>167</v>
      </c>
      <c r="D485" s="21" t="s">
        <v>168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395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430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193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261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347</v>
      </c>
      <c r="B490" s="21" t="s">
        <v>265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187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322</v>
      </c>
      <c r="B492" s="21" t="s">
        <v>184</v>
      </c>
      <c r="C492" s="21" t="s">
        <v>189</v>
      </c>
      <c r="D492" s="21" t="s">
        <v>168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307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431</v>
      </c>
      <c r="B494" s="21" t="s">
        <v>191</v>
      </c>
      <c r="C494" s="21" t="s">
        <v>175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432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193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433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271</v>
      </c>
      <c r="B498" s="21" t="s">
        <v>191</v>
      </c>
      <c r="C498" s="21" t="s">
        <v>207</v>
      </c>
      <c r="D498" s="21" t="s">
        <v>168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434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435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11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436</v>
      </c>
      <c r="B502" s="21" t="s">
        <v>180</v>
      </c>
      <c r="C502" s="21" t="s">
        <v>210</v>
      </c>
      <c r="D502" s="21" t="s">
        <v>168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193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187</v>
      </c>
      <c r="B504" s="21" t="s">
        <v>202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434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437</v>
      </c>
      <c r="B506" s="21" t="s">
        <v>348</v>
      </c>
      <c r="C506" s="21" t="s">
        <v>175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438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176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347</v>
      </c>
      <c r="B509" s="21" t="s">
        <v>439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178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248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327</v>
      </c>
      <c r="B512" s="21" t="s">
        <v>204</v>
      </c>
      <c r="C512" s="21" t="s">
        <v>189</v>
      </c>
      <c r="D512" s="21" t="s">
        <v>168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440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193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441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231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220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/>
    </row>
    <row r="519" spans="1:12">
      <c r="A519" s="20" t="s">
        <v>442</v>
      </c>
    </row>
    <row r="520" spans="1:12">
      <c r="A520" s="20" t="s">
        <v>213</v>
      </c>
      <c r="B520" s="21" t="s">
        <v>195</v>
      </c>
      <c r="C520" s="21" t="s">
        <v>214</v>
      </c>
      <c r="D520" s="21" t="s">
        <v>168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260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363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281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443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220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/>
    </row>
    <row r="527" spans="1:12">
      <c r="A527" s="20" t="s">
        <v>444</v>
      </c>
    </row>
    <row r="528" spans="1:12">
      <c r="A528" s="20" t="s">
        <v>213</v>
      </c>
      <c r="B528" s="21" t="s">
        <v>195</v>
      </c>
      <c r="C528" s="21" t="s">
        <v>214</v>
      </c>
      <c r="D528" s="21" t="s">
        <v>168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260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187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445</v>
      </c>
      <c r="B531" s="21" t="s">
        <v>199</v>
      </c>
      <c r="C531" s="21" t="s">
        <v>167</v>
      </c>
      <c r="D531" s="21" t="s">
        <v>168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11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446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193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187</v>
      </c>
      <c r="B535" s="21" t="s">
        <v>269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335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203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251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291</v>
      </c>
      <c r="B539" s="21" t="s">
        <v>191</v>
      </c>
      <c r="C539" s="21" t="s">
        <v>189</v>
      </c>
      <c r="D539" s="21" t="s">
        <v>168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447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193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187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448</v>
      </c>
      <c r="B543" s="21" t="s">
        <v>166</v>
      </c>
      <c r="C543" s="21" t="s">
        <v>189</v>
      </c>
      <c r="D543" s="21" t="s">
        <v>168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193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187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449</v>
      </c>
      <c r="B546" s="21" t="s">
        <v>180</v>
      </c>
      <c r="C546" s="21" t="s">
        <v>189</v>
      </c>
      <c r="D546" s="21" t="s">
        <v>168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220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/>
    </row>
    <row r="549" spans="1:12">
      <c r="A549" s="20" t="s">
        <v>450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451</v>
      </c>
    </row>
    <row r="551" spans="1:12">
      <c r="A551" s="20" t="s">
        <v>452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453</v>
      </c>
      <c r="B552" s="21" t="s">
        <v>195</v>
      </c>
      <c r="C552" s="21" t="s">
        <v>207</v>
      </c>
      <c r="D552" s="21" t="s">
        <v>168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454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203</v>
      </c>
      <c r="B554" s="21" t="s">
        <v>180</v>
      </c>
      <c r="C554" s="21" t="s">
        <v>205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343</v>
      </c>
      <c r="B555" s="21" t="s">
        <v>166</v>
      </c>
      <c r="C555" s="21" t="s">
        <v>175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228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271</v>
      </c>
      <c r="B557" s="21" t="s">
        <v>166</v>
      </c>
      <c r="C557" s="21" t="s">
        <v>207</v>
      </c>
      <c r="D557" s="21" t="s">
        <v>168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170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373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455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417</v>
      </c>
      <c r="B561" s="21" t="s">
        <v>269</v>
      </c>
      <c r="C561" s="21" t="s">
        <v>167</v>
      </c>
      <c r="D561" s="21" t="s">
        <v>168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456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455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375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457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458</v>
      </c>
      <c r="B566" s="21" t="s">
        <v>265</v>
      </c>
      <c r="C566" s="21" t="s">
        <v>189</v>
      </c>
      <c r="D566" s="21" t="s">
        <v>168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459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235</v>
      </c>
      <c r="B568" s="21" t="s">
        <v>184</v>
      </c>
      <c r="C568" s="21" t="s">
        <v>214</v>
      </c>
      <c r="D568" s="21" t="s">
        <v>168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460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461</v>
      </c>
      <c r="B570" s="21" t="s">
        <v>191</v>
      </c>
      <c r="C570" s="21" t="s">
        <v>205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462</v>
      </c>
      <c r="B571" s="21" t="s">
        <v>180</v>
      </c>
      <c r="C571" s="21" t="s">
        <v>246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220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/>
    </row>
    <row r="574" spans="1:12">
      <c r="A574" s="20" t="s">
        <v>463</v>
      </c>
    </row>
    <row r="575" spans="1:12">
      <c r="A575" s="20" t="s">
        <v>222</v>
      </c>
      <c r="B575" s="21" t="s">
        <v>195</v>
      </c>
      <c r="C575" s="21" t="s">
        <v>214</v>
      </c>
      <c r="D575" s="21" t="s">
        <v>168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464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282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193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465</v>
      </c>
      <c r="B579" s="21" t="s">
        <v>184</v>
      </c>
      <c r="C579" s="21" t="s">
        <v>185</v>
      </c>
      <c r="D579" s="21" t="s">
        <v>168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282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287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466</v>
      </c>
      <c r="B582" s="21" t="s">
        <v>180</v>
      </c>
      <c r="C582" s="21" t="s">
        <v>189</v>
      </c>
      <c r="D582" s="21" t="s">
        <v>168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190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394</v>
      </c>
      <c r="B584" s="21" t="s">
        <v>191</v>
      </c>
      <c r="C584" s="21" t="s">
        <v>167</v>
      </c>
      <c r="D584" s="21" t="s">
        <v>168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395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399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220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/>
    </row>
    <row r="589" spans="1:12">
      <c r="A589" s="20" t="s">
        <v>467</v>
      </c>
    </row>
    <row r="590" spans="1:12">
      <c r="A590" s="20" t="s">
        <v>279</v>
      </c>
      <c r="B590" s="21" t="s">
        <v>195</v>
      </c>
      <c r="C590" s="21" t="s">
        <v>214</v>
      </c>
      <c r="D590" s="21" t="s">
        <v>168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468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193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342</v>
      </c>
      <c r="B593" s="21" t="s">
        <v>184</v>
      </c>
      <c r="C593" s="21" t="s">
        <v>185</v>
      </c>
      <c r="D593" s="21" t="s">
        <v>168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259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469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193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363</v>
      </c>
      <c r="B597" s="21" t="s">
        <v>269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470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193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471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342</v>
      </c>
      <c r="B601" s="21" t="s">
        <v>202</v>
      </c>
      <c r="C601" s="21" t="s">
        <v>185</v>
      </c>
      <c r="D601" s="21" t="s">
        <v>168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472</v>
      </c>
      <c r="B602" s="21" t="s">
        <v>204</v>
      </c>
      <c r="C602" s="21" t="s">
        <v>185</v>
      </c>
      <c r="D602" s="21" t="s">
        <v>168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473</v>
      </c>
      <c r="B603" s="21" t="s">
        <v>348</v>
      </c>
      <c r="C603" s="21" t="s">
        <v>207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474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220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/>
    </row>
    <row r="607" spans="1:12">
      <c r="A607" s="20" t="s">
        <v>475</v>
      </c>
    </row>
    <row r="608" spans="1:12">
      <c r="A608" s="20" t="s">
        <v>476</v>
      </c>
      <c r="B608" s="21" t="s">
        <v>166</v>
      </c>
      <c r="C608" s="21" t="s">
        <v>175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183</v>
      </c>
      <c r="B609" s="21" t="s">
        <v>184</v>
      </c>
      <c r="C609" s="21" t="s">
        <v>185</v>
      </c>
      <c r="D609" s="21" t="s">
        <v>168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477</v>
      </c>
      <c r="B610" s="21" t="s">
        <v>166</v>
      </c>
      <c r="C610" s="21" t="s">
        <v>167</v>
      </c>
      <c r="D610" s="21" t="s">
        <v>168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478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479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220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/>
    </row>
    <row r="615" spans="1:12">
      <c r="A615" s="20" t="s">
        <v>480</v>
      </c>
    </row>
    <row r="616" spans="1:12">
      <c r="A616" s="20" t="s">
        <v>279</v>
      </c>
      <c r="B616" s="21" t="s">
        <v>195</v>
      </c>
      <c r="C616" s="21" t="s">
        <v>214</v>
      </c>
      <c r="D616" s="21" t="s">
        <v>168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481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187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482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462</v>
      </c>
      <c r="B620" s="21" t="s">
        <v>166</v>
      </c>
      <c r="C620" s="21" t="s">
        <v>189</v>
      </c>
      <c r="D620" s="21" t="s">
        <v>168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483</v>
      </c>
      <c r="B621" s="21" t="s">
        <v>199</v>
      </c>
      <c r="C621" s="21" t="s">
        <v>175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178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477</v>
      </c>
      <c r="B623" s="21" t="s">
        <v>180</v>
      </c>
      <c r="C623" s="21" t="s">
        <v>167</v>
      </c>
      <c r="D623" s="21" t="s">
        <v>168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220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/>
    </row>
    <row r="626" spans="1:12">
      <c r="A626" s="20" t="s">
        <v>484</v>
      </c>
    </row>
    <row r="627" spans="1:12">
      <c r="A627" s="20" t="s">
        <v>485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486</v>
      </c>
      <c r="B628" s="21" t="s">
        <v>195</v>
      </c>
      <c r="C628" s="21" t="s">
        <v>219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487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488</v>
      </c>
      <c r="B630" s="21" t="s">
        <v>199</v>
      </c>
      <c r="C630" s="21" t="s">
        <v>214</v>
      </c>
      <c r="D630" s="21" t="s">
        <v>168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178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489</v>
      </c>
      <c r="B632" s="21" t="s">
        <v>180</v>
      </c>
      <c r="C632" s="21" t="s">
        <v>207</v>
      </c>
      <c r="D632" s="21" t="s">
        <v>168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327</v>
      </c>
      <c r="B633" s="21" t="s">
        <v>166</v>
      </c>
      <c r="C633" s="21" t="s">
        <v>210</v>
      </c>
      <c r="D633" s="21" t="s">
        <v>168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282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170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490</v>
      </c>
      <c r="B636" s="21" t="s">
        <v>184</v>
      </c>
      <c r="C636" s="21" t="s">
        <v>205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243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491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325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492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220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/>
    </row>
    <row r="643" spans="1:12">
      <c r="A643" s="20" t="s">
        <v>493</v>
      </c>
    </row>
    <row r="644" spans="1:12">
      <c r="A644" s="20" t="s">
        <v>222</v>
      </c>
      <c r="B644" s="21" t="s">
        <v>195</v>
      </c>
      <c r="C644" s="21" t="s">
        <v>214</v>
      </c>
      <c r="D644" s="21" t="s">
        <v>168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243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237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325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494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327</v>
      </c>
      <c r="B649" s="21" t="s">
        <v>166</v>
      </c>
      <c r="C649" s="21" t="s">
        <v>219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193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335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228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256</v>
      </c>
      <c r="B653" s="21" t="s">
        <v>166</v>
      </c>
      <c r="C653" s="21" t="s">
        <v>167</v>
      </c>
      <c r="D653" s="21" t="s">
        <v>168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212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394</v>
      </c>
      <c r="B655" s="21" t="s">
        <v>180</v>
      </c>
      <c r="C655" s="21" t="s">
        <v>167</v>
      </c>
      <c r="D655" s="21" t="s">
        <v>168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395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220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/>
    </row>
    <row r="659" spans="1:12">
      <c r="A659" s="20" t="s">
        <v>495</v>
      </c>
    </row>
    <row r="660" spans="1:12">
      <c r="A660" s="20" t="s">
        <v>222</v>
      </c>
      <c r="B660" s="21" t="s">
        <v>195</v>
      </c>
      <c r="C660" s="21" t="s">
        <v>214</v>
      </c>
      <c r="D660" s="21" t="s">
        <v>168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223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331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496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187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497</v>
      </c>
      <c r="B665" s="21" t="s">
        <v>184</v>
      </c>
      <c r="C665" s="21" t="s">
        <v>189</v>
      </c>
      <c r="D665" s="21" t="s">
        <v>168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196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252</v>
      </c>
      <c r="B667" s="21" t="s">
        <v>166</v>
      </c>
      <c r="C667" s="21" t="s">
        <v>175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429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498</v>
      </c>
      <c r="B669" s="21" t="s">
        <v>166</v>
      </c>
      <c r="C669" s="21" t="s">
        <v>175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193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499</v>
      </c>
      <c r="B671" s="21" t="s">
        <v>180</v>
      </c>
      <c r="C671" s="21" t="s">
        <v>175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193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500</v>
      </c>
      <c r="B673" s="21" t="s">
        <v>180</v>
      </c>
      <c r="C673" s="21" t="s">
        <v>175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176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501</v>
      </c>
      <c r="B675" s="21" t="s">
        <v>180</v>
      </c>
      <c r="C675" s="21" t="s">
        <v>175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220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/>
    </row>
    <row r="678" spans="1:12">
      <c r="A678" s="20" t="s">
        <v>502</v>
      </c>
    </row>
    <row r="679" spans="1:12">
      <c r="A679" s="20" t="s">
        <v>503</v>
      </c>
      <c r="B679" s="21" t="s">
        <v>195</v>
      </c>
      <c r="C679" s="21" t="s">
        <v>167</v>
      </c>
      <c r="D679" s="21" t="s">
        <v>168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504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285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295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193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295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505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506</v>
      </c>
      <c r="B686" s="21" t="s">
        <v>166</v>
      </c>
      <c r="C686" s="21" t="s">
        <v>175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176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507</v>
      </c>
      <c r="B688" s="21" t="s">
        <v>180</v>
      </c>
      <c r="C688" s="21" t="s">
        <v>175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220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/>
    </row>
    <row r="691" spans="1:12">
      <c r="A691" s="20" t="s">
        <v>508</v>
      </c>
    </row>
    <row r="692" spans="1:12">
      <c r="A692" s="20" t="s">
        <v>222</v>
      </c>
      <c r="B692" s="21" t="s">
        <v>195</v>
      </c>
      <c r="C692" s="21" t="s">
        <v>214</v>
      </c>
      <c r="D692" s="21" t="s">
        <v>168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223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224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406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229</v>
      </c>
      <c r="B696" s="21" t="s">
        <v>180</v>
      </c>
      <c r="C696" s="21" t="s">
        <v>207</v>
      </c>
      <c r="D696" s="21" t="s">
        <v>168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509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510</v>
      </c>
      <c r="B698" s="21" t="s">
        <v>199</v>
      </c>
      <c r="C698" s="21" t="s">
        <v>210</v>
      </c>
      <c r="D698" s="21" t="s">
        <v>168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196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252</v>
      </c>
      <c r="B700" s="21" t="s">
        <v>180</v>
      </c>
      <c r="C700" s="21" t="s">
        <v>175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193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346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196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511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512</v>
      </c>
      <c r="B705" s="21" t="s">
        <v>180</v>
      </c>
      <c r="C705" s="21" t="s">
        <v>175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220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/>
    </row>
    <row r="708" spans="1:12">
      <c r="A708" s="20" t="s">
        <v>513</v>
      </c>
    </row>
    <row r="709" spans="1:12">
      <c r="A709" s="20" t="s">
        <v>514</v>
      </c>
      <c r="B709" s="21" t="s">
        <v>195</v>
      </c>
      <c r="C709" s="21" t="s">
        <v>167</v>
      </c>
      <c r="D709" s="21" t="s">
        <v>168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515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516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11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517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231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518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220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/>
    </row>
    <row r="718" spans="1:12">
      <c r="A718" s="20" t="s">
        <v>519</v>
      </c>
    </row>
    <row r="719" spans="1:12">
      <c r="A719" s="20" t="s">
        <v>520</v>
      </c>
      <c r="B719" s="21" t="s">
        <v>166</v>
      </c>
      <c r="C719" s="21" t="s">
        <v>167</v>
      </c>
      <c r="D719" s="21" t="s">
        <v>168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521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11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522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193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523</v>
      </c>
      <c r="B724" s="21" t="s">
        <v>166</v>
      </c>
      <c r="C724" s="21" t="s">
        <v>175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193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524</v>
      </c>
      <c r="B726" s="21" t="s">
        <v>166</v>
      </c>
      <c r="C726" s="21" t="s">
        <v>175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193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525</v>
      </c>
      <c r="B728" s="21" t="s">
        <v>166</v>
      </c>
      <c r="C728" s="21" t="s">
        <v>175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193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526</v>
      </c>
      <c r="B730" s="21" t="s">
        <v>166</v>
      </c>
      <c r="C730" s="21" t="s">
        <v>175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176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527</v>
      </c>
      <c r="B732" s="21" t="s">
        <v>166</v>
      </c>
      <c r="C732" s="21" t="s">
        <v>175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528</v>
      </c>
      <c r="B733" s="21" t="s">
        <v>180</v>
      </c>
      <c r="C733" s="21" t="s">
        <v>167</v>
      </c>
      <c r="D733" s="21" t="s">
        <v>168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11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529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220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/>
    </row>
    <row r="738" spans="1:12">
      <c r="A738" s="20" t="s">
        <v>530</v>
      </c>
    </row>
    <row r="739" spans="1:12">
      <c r="A739" s="20" t="s">
        <v>452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531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237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 t="s">
        <v>336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408</v>
      </c>
      <c r="B743" s="21" t="s">
        <v>166</v>
      </c>
      <c r="C743" s="21" t="s">
        <v>219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532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307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533</v>
      </c>
      <c r="B746" s="21" t="s">
        <v>166</v>
      </c>
      <c r="C746" s="21" t="s">
        <v>175</v>
      </c>
      <c r="E746" s="22">
        <f>IF(D746="?OLD","!!!","")</f>
        <v/>
      </c>
      <c r="F746" s="23" t="str">
        <f>IF(OR(E746="",E746="!!!"),"",IF(NOT(ISNA(VLOOKUP(E746,E$1:E745,1,FALSE()))),"OLD",IF(AND(E746&lt;&gt;"",E746&lt;&gt;"!!!"),"NEW","")))</f>
        <v> </v>
      </c>
      <c r="G746" s="24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5" t="str">
        <f>IF(J746&lt;&gt;1,"",IF(I746="SBJ","CB","?"))</f>
        <v> </v>
      </c>
      <c r="I746" s="26" t="str">
        <f>IF(OR(E746="",E746="!!!",F746="NEW"),"",INDEX(B745:B$2,-1+SUMPRODUCT(MAX(ROW(E745:E$2)*(E746=E745:E$2)))))</f>
        <v> </v>
      </c>
      <c r="J746" s="26" t="str">
        <f>IF(OR(E746="",E746="!!!",F746="NEW"),"",COUNTBLANK(OFFSET(A$1,,,SUMPRODUCT(MAX(ROW(E$2:E746)*(E746=E$2:E746)))))-COUNTBLANK(OFFSET(A$1,,,SUMPRODUCT(MAX(ROW(E$1:E745)*(E2=E$1:E745))))))</f>
        <v> </v>
      </c>
      <c r="K746" s="26" t="str">
        <f>IF(OR(E746="",E746="!!!",F746="NEW"),"",INDEX(J$1:J745,SUMPRODUCT(MAX(ROW(E$1:E745)*(E746=E$1:E745)))))</f>
        <v> </v>
      </c>
      <c r="L746" s="27"/>
    </row>
    <row r="747" spans="1:12">
      <c r="A747" s="20" t="s">
        <v>176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534</v>
      </c>
      <c r="B748" s="21" t="s">
        <v>180</v>
      </c>
      <c r="C748" s="21" t="s">
        <v>175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220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/>
    </row>
    <row r="751" spans="1:12">
      <c r="A751" s="20" t="s">
        <v>535</v>
      </c>
    </row>
    <row r="752" spans="1:12">
      <c r="A752" s="20" t="s">
        <v>536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537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243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363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538</v>
      </c>
      <c r="B756" s="21" t="s">
        <v>195</v>
      </c>
      <c r="C756" s="21" t="s">
        <v>210</v>
      </c>
      <c r="D756" s="21" t="s">
        <v>168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539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/>
    </row>
    <row r="759" spans="1:12">
      <c r="A759" s="20" t="s">
        <v>450</v>
      </c>
      <c r="E759" s="22">
        <f>IF(D759="?OLD","!!!","")</f>
        <v/>
      </c>
      <c r="F759" s="23" t="str">
        <f>IF(OR(E759="",E759="!!!"),"",IF(NOT(ISNA(VLOOKUP(E759,E$1:E758,1,FALSE()))),"OLD",IF(AND(E759&lt;&gt;"",E759&lt;&gt;"!!!"),"NEW","")))</f>
        <v> </v>
      </c>
      <c r="G759" s="24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5" t="str">
        <f>IF(J759&lt;&gt;1,"",IF(I759="SBJ","CB","?"))</f>
        <v> </v>
      </c>
      <c r="I759" s="26" t="str">
        <f>IF(OR(E759="",E759="!!!",F759="NEW"),"",INDEX(B758:B$2,-1+SUMPRODUCT(MAX(ROW(E758:E$2)*(E759=E758:E$2)))))</f>
        <v> </v>
      </c>
      <c r="J759" s="26" t="str">
        <f>IF(OR(E759="",E759="!!!",F759="NEW"),"",COUNTBLANK(OFFSET(A$1,,,SUMPRODUCT(MAX(ROW(E$2:E759)*(E759=E$2:E759)))))-COUNTBLANK(OFFSET(A$1,,,SUMPRODUCT(MAX(ROW(E$1:E758)*(E2=E$1:E758))))))</f>
        <v> </v>
      </c>
      <c r="K759" s="26" t="str">
        <f>IF(OR(E759="",E759="!!!",F759="NEW"),"",INDEX(J$1:J758,SUMPRODUCT(MAX(ROW(E$1:E758)*(E759=E$1:E758)))))</f>
        <v> </v>
      </c>
      <c r="L759" s="27"/>
    </row>
    <row r="760" spans="1:12">
      <c r="A760" s="20" t="s">
        <v>540</v>
      </c>
    </row>
    <row r="761" spans="1:12">
      <c r="A761" s="20" t="s">
        <v>293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 t="s">
        <v>187</v>
      </c>
      <c r="E762" s="22">
        <f>IF(D762="?OLD","!!!","")</f>
        <v/>
      </c>
      <c r="F762" s="23" t="str">
        <f>IF(OR(E762="",E762="!!!"),"",IF(NOT(ISNA(VLOOKUP(E762,E$1:E761,1,FALSE()))),"OLD",IF(AND(E762&lt;&gt;"",E762&lt;&gt;"!!!"),"NEW","")))</f>
        <v> </v>
      </c>
      <c r="G762" s="24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5" t="str">
        <f>IF(J762&lt;&gt;1,"",IF(I762="SBJ","CB","?"))</f>
        <v> </v>
      </c>
      <c r="I762" s="26" t="str">
        <f>IF(OR(E762="",E762="!!!",F762="NEW"),"",INDEX(B761:B$2,-1+SUMPRODUCT(MAX(ROW(E761:E$2)*(E762=E761:E$2)))))</f>
        <v> </v>
      </c>
      <c r="J762" s="26" t="str">
        <f>IF(OR(E762="",E762="!!!",F762="NEW"),"",COUNTBLANK(OFFSET(A$1,,,SUMPRODUCT(MAX(ROW(E$2:E762)*(E762=E$2:E762)))))-COUNTBLANK(OFFSET(A$1,,,SUMPRODUCT(MAX(ROW(E$1:E761)*(E2=E$1:E761))))))</f>
        <v> </v>
      </c>
      <c r="K762" s="26" t="str">
        <f>IF(OR(E762="",E762="!!!",F762="NEW"),"",INDEX(J$1:J761,SUMPRODUCT(MAX(ROW(E$1:E761)*(E762=E$1:E761)))))</f>
        <v> </v>
      </c>
      <c r="L762" s="27"/>
    </row>
    <row r="763" spans="1:12">
      <c r="A763" s="20" t="s">
        <v>541</v>
      </c>
      <c r="B763" s="21" t="s">
        <v>195</v>
      </c>
      <c r="C763" s="21" t="s">
        <v>189</v>
      </c>
      <c r="D763" s="21" t="s">
        <v>168</v>
      </c>
      <c r="E763" s="22">
        <f>IF(D763="?OLD","!!!","")</f>
        <v/>
      </c>
      <c r="F763" s="23" t="str">
        <f>IF(OR(E763="",E763="!!!"),"",IF(NOT(ISNA(VLOOKUP(E763,E$1:E762,1,FALSE()))),"OLD",IF(AND(E763&lt;&gt;"",E763&lt;&gt;"!!!"),"NEW","")))</f>
        <v> </v>
      </c>
      <c r="G763" s="24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5" t="str">
        <f>IF(J763&lt;&gt;1,"",IF(I763="SBJ","CB","?"))</f>
        <v> </v>
      </c>
      <c r="I763" s="26" t="str">
        <f>IF(OR(E763="",E763="!!!",F763="NEW"),"",INDEX(B762:B$2,-1+SUMPRODUCT(MAX(ROW(E762:E$2)*(E763=E762:E$2)))))</f>
        <v> </v>
      </c>
      <c r="J763" s="26" t="str">
        <f>IF(OR(E763="",E763="!!!",F763="NEW"),"",COUNTBLANK(OFFSET(A$1,,,SUMPRODUCT(MAX(ROW(E$2:E763)*(E763=E$2:E763)))))-COUNTBLANK(OFFSET(A$1,,,SUMPRODUCT(MAX(ROW(E$1:E762)*(E2=E$1:E762))))))</f>
        <v> </v>
      </c>
      <c r="K763" s="26" t="str">
        <f>IF(OR(E763="",E763="!!!",F763="NEW"),"",INDEX(J$1:J762,SUMPRODUCT(MAX(ROW(E$1:E762)*(E763=E$1:E762)))))</f>
        <v> </v>
      </c>
      <c r="L763" s="27"/>
    </row>
    <row r="764" spans="1:12">
      <c r="A764" s="20" t="s">
        <v>455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542</v>
      </c>
      <c r="B765" s="21" t="s">
        <v>180</v>
      </c>
      <c r="C765" s="21" t="s">
        <v>167</v>
      </c>
      <c r="D765" s="21" t="s">
        <v>168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455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243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518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220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/>
    </row>
    <row r="771" spans="1:12">
      <c r="A771" s="20" t="s">
        <v>543</v>
      </c>
    </row>
    <row r="772" spans="1:12">
      <c r="A772" s="20" t="s">
        <v>213</v>
      </c>
      <c r="B772" s="21" t="s">
        <v>195</v>
      </c>
      <c r="C772" s="21" t="s">
        <v>214</v>
      </c>
      <c r="D772" s="21" t="s">
        <v>168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341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229</v>
      </c>
      <c r="B774" s="21" t="s">
        <v>180</v>
      </c>
      <c r="C774" s="21" t="s">
        <v>207</v>
      </c>
      <c r="D774" s="21" t="s">
        <v>168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 t="s">
        <v>544</v>
      </c>
      <c r="B775" s="21" t="s">
        <v>199</v>
      </c>
      <c r="C775" s="21" t="s">
        <v>210</v>
      </c>
      <c r="D775" s="21" t="s">
        <v>168</v>
      </c>
      <c r="E775" s="22">
        <f>IF(D775="?OLD","!!!","")</f>
        <v/>
      </c>
      <c r="F775" s="23" t="str">
        <f>IF(OR(E775="",E775="!!!"),"",IF(NOT(ISNA(VLOOKUP(E775,E$1:E774,1,FALSE()))),"OLD",IF(AND(E775&lt;&gt;"",E775&lt;&gt;"!!!"),"NEW","")))</f>
        <v> </v>
      </c>
      <c r="G775" s="24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5" t="str">
        <f>IF(J775&lt;&gt;1,"",IF(I775="SBJ","CB","?"))</f>
        <v> </v>
      </c>
      <c r="I775" s="26" t="str">
        <f>IF(OR(E775="",E775="!!!",F775="NEW"),"",INDEX(B774:B$2,-1+SUMPRODUCT(MAX(ROW(E774:E$2)*(E775=E774:E$2)))))</f>
        <v> </v>
      </c>
      <c r="J775" s="26" t="str">
        <f>IF(OR(E775="",E775="!!!",F775="NEW"),"",COUNTBLANK(OFFSET(A$1,,,SUMPRODUCT(MAX(ROW(E$2:E775)*(E775=E$2:E775)))))-COUNTBLANK(OFFSET(A$1,,,SUMPRODUCT(MAX(ROW(E$1:E774)*(E2=E$1:E774))))))</f>
        <v> </v>
      </c>
      <c r="K775" s="26" t="str">
        <f>IF(OR(E775="",E775="!!!",F775="NEW"),"",INDEX(J$1:J774,SUMPRODUCT(MAX(ROW(E$1:E774)*(E775=E$1:E774)))))</f>
        <v> </v>
      </c>
      <c r="L775" s="27"/>
    </row>
    <row r="776" spans="1:12">
      <c r="A776" s="20" t="s">
        <v>190</v>
      </c>
      <c r="E776" s="22">
        <f>IF(D776="?OLD","!!!","")</f>
        <v/>
      </c>
      <c r="F776" s="23" t="str">
        <f>IF(OR(E776="",E776="!!!"),"",IF(NOT(ISNA(VLOOKUP(E776,E$1:E775,1,FALSE()))),"OLD",IF(AND(E776&lt;&gt;"",E776&lt;&gt;"!!!"),"NEW","")))</f>
        <v> </v>
      </c>
      <c r="G776" s="24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5" t="str">
        <f>IF(J776&lt;&gt;1,"",IF(I776="SBJ","CB","?"))</f>
        <v> </v>
      </c>
      <c r="I776" s="26" t="str">
        <f>IF(OR(E776="",E776="!!!",F776="NEW"),"",INDEX(B775:B$2,-1+SUMPRODUCT(MAX(ROW(E775:E$2)*(E776=E775:E$2)))))</f>
        <v> </v>
      </c>
      <c r="J776" s="26" t="str">
        <f>IF(OR(E776="",E776="!!!",F776="NEW"),"",COUNTBLANK(OFFSET(A$1,,,SUMPRODUCT(MAX(ROW(E$2:E776)*(E776=E$2:E776)))))-COUNTBLANK(OFFSET(A$1,,,SUMPRODUCT(MAX(ROW(E$1:E775)*(E2=E$1:E775))))))</f>
        <v> </v>
      </c>
      <c r="K776" s="26" t="str">
        <f>IF(OR(E776="",E776="!!!",F776="NEW"),"",INDEX(J$1:J775,SUMPRODUCT(MAX(ROW(E$1:E775)*(E776=E$1:E775)))))</f>
        <v> </v>
      </c>
      <c r="L776" s="27"/>
    </row>
    <row r="777" spans="1:12">
      <c r="A777" s="20" t="s">
        <v>369</v>
      </c>
      <c r="B777" s="21" t="s">
        <v>166</v>
      </c>
      <c r="C777" s="21" t="s">
        <v>175</v>
      </c>
      <c r="E777" s="22">
        <f>IF(D777="?OLD","!!!","")</f>
        <v/>
      </c>
      <c r="F777" s="23" t="str">
        <f>IF(OR(E777="",E777="!!!"),"",IF(NOT(ISNA(VLOOKUP(E777,E$1:E776,1,FALSE()))),"OLD",IF(AND(E777&lt;&gt;"",E777&lt;&gt;"!!!"),"NEW","")))</f>
        <v> </v>
      </c>
      <c r="G777" s="24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5" t="str">
        <f>IF(J777&lt;&gt;1,"",IF(I777="SBJ","CB","?"))</f>
        <v> </v>
      </c>
      <c r="I777" s="26" t="str">
        <f>IF(OR(E777="",E777="!!!",F777="NEW"),"",INDEX(B776:B$2,-1+SUMPRODUCT(MAX(ROW(E776:E$2)*(E777=E776:E$2)))))</f>
        <v> </v>
      </c>
      <c r="J777" s="26" t="str">
        <f>IF(OR(E777="",E777="!!!",F777="NEW"),"",COUNTBLANK(OFFSET(A$1,,,SUMPRODUCT(MAX(ROW(E$2:E777)*(E777=E$2:E777)))))-COUNTBLANK(OFFSET(A$1,,,SUMPRODUCT(MAX(ROW(E$1:E776)*(E2=E$1:E776))))))</f>
        <v> </v>
      </c>
      <c r="K777" s="26" t="str">
        <f>IF(OR(E777="",E777="!!!",F777="NEW"),"",INDEX(J$1:J776,SUMPRODUCT(MAX(ROW(E$1:E776)*(E777=E$1:E776)))))</f>
        <v> </v>
      </c>
      <c r="L777" s="27"/>
    </row>
    <row r="778" spans="1:12">
      <c r="A778" s="20" t="s">
        <v>193</v>
      </c>
      <c r="E778" s="22">
        <f>IF(D778="?OLD","!!!","")</f>
        <v/>
      </c>
      <c r="F778" s="23" t="str">
        <f>IF(OR(E778="",E778="!!!"),"",IF(NOT(ISNA(VLOOKUP(E778,E$1:E777,1,FALSE()))),"OLD",IF(AND(E778&lt;&gt;"",E778&lt;&gt;"!!!"),"NEW","")))</f>
        <v> </v>
      </c>
      <c r="G778" s="24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5" t="str">
        <f>IF(J778&lt;&gt;1,"",IF(I778="SBJ","CB","?"))</f>
        <v> </v>
      </c>
      <c r="I778" s="26" t="str">
        <f>IF(OR(E778="",E778="!!!",F778="NEW"),"",INDEX(B777:B$2,-1+SUMPRODUCT(MAX(ROW(E777:E$2)*(E778=E777:E$2)))))</f>
        <v> </v>
      </c>
      <c r="J778" s="26" t="str">
        <f>IF(OR(E778="",E778="!!!",F778="NEW"),"",COUNTBLANK(OFFSET(A$1,,,SUMPRODUCT(MAX(ROW(E$2:E778)*(E778=E$2:E778)))))-COUNTBLANK(OFFSET(A$1,,,SUMPRODUCT(MAX(ROW(E$1:E777)*(E2=E$1:E777))))))</f>
        <v> </v>
      </c>
      <c r="K778" s="26" t="str">
        <f>IF(OR(E778="",E778="!!!",F778="NEW"),"",INDEX(J$1:J777,SUMPRODUCT(MAX(ROW(E$1:E777)*(E778=E$1:E777)))))</f>
        <v> </v>
      </c>
      <c r="L778" s="27"/>
    </row>
    <row r="779" spans="1:12">
      <c r="A779" s="20" t="s">
        <v>498</v>
      </c>
      <c r="B779" s="21" t="s">
        <v>180</v>
      </c>
      <c r="C779" s="21" t="s">
        <v>175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193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545</v>
      </c>
      <c r="B781" s="21" t="s">
        <v>180</v>
      </c>
      <c r="C781" s="21" t="s">
        <v>175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176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546</v>
      </c>
      <c r="B783" s="21" t="s">
        <v>180</v>
      </c>
      <c r="C783" s="21" t="s">
        <v>175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 t="s">
        <v>193</v>
      </c>
      <c r="E784" s="22">
        <f>IF(D784="?OLD","!!!","")</f>
        <v/>
      </c>
      <c r="F784" s="23" t="str">
        <f>IF(OR(E784="",E784="!!!"),"",IF(NOT(ISNA(VLOOKUP(E784,E$1:E783,1,FALSE()))),"OLD",IF(AND(E784&lt;&gt;"",E784&lt;&gt;"!!!"),"NEW","")))</f>
        <v> </v>
      </c>
      <c r="G784" s="24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5" t="str">
        <f>IF(J784&lt;&gt;1,"",IF(I784="SBJ","CB","?"))</f>
        <v> </v>
      </c>
      <c r="I784" s="26" t="str">
        <f>IF(OR(E784="",E784="!!!",F784="NEW"),"",INDEX(B783:B$2,-1+SUMPRODUCT(MAX(ROW(E783:E$2)*(E784=E783:E$2)))))</f>
        <v> </v>
      </c>
      <c r="J784" s="26" t="str">
        <f>IF(OR(E784="",E784="!!!",F784="NEW"),"",COUNTBLANK(OFFSET(A$1,,,SUMPRODUCT(MAX(ROW(E$2:E784)*(E784=E$2:E784)))))-COUNTBLANK(OFFSET(A$1,,,SUMPRODUCT(MAX(ROW(E$1:E783)*(E2=E$1:E783))))))</f>
        <v> </v>
      </c>
      <c r="K784" s="26" t="str">
        <f>IF(OR(E784="",E784="!!!",F784="NEW"),"",INDEX(J$1:J783,SUMPRODUCT(MAX(ROW(E$1:E783)*(E784=E$1:E783)))))</f>
        <v> </v>
      </c>
      <c r="L784" s="27"/>
    </row>
    <row r="785" spans="1:12">
      <c r="A785" s="20" t="s">
        <v>224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178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 t="s">
        <v>324</v>
      </c>
      <c r="E787" s="22">
        <f>IF(D787="?OLD","!!!","")</f>
        <v/>
      </c>
      <c r="F787" s="23" t="str">
        <f>IF(OR(E787="",E787="!!!"),"",IF(NOT(ISNA(VLOOKUP(E787,E$1:E786,1,FALSE()))),"OLD",IF(AND(E787&lt;&gt;"",E787&lt;&gt;"!!!"),"NEW","")))</f>
        <v> </v>
      </c>
      <c r="G787" s="24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5" t="str">
        <f>IF(J787&lt;&gt;1,"",IF(I787="SBJ","CB","?"))</f>
        <v> </v>
      </c>
      <c r="I787" s="26" t="str">
        <f>IF(OR(E787="",E787="!!!",F787="NEW"),"",INDEX(B786:B$2,-1+SUMPRODUCT(MAX(ROW(E786:E$2)*(E787=E786:E$2)))))</f>
        <v> </v>
      </c>
      <c r="J787" s="26" t="str">
        <f>IF(OR(E787="",E787="!!!",F787="NEW"),"",COUNTBLANK(OFFSET(A$1,,,SUMPRODUCT(MAX(ROW(E$2:E787)*(E787=E$2:E787)))))-COUNTBLANK(OFFSET(A$1,,,SUMPRODUCT(MAX(ROW(E$1:E786)*(E2=E$1:E786))))))</f>
        <v> </v>
      </c>
      <c r="K787" s="26" t="str">
        <f>IF(OR(E787="",E787="!!!",F787="NEW"),"",INDEX(J$1:J786,SUMPRODUCT(MAX(ROW(E$1:E786)*(E787=E$1:E786)))))</f>
        <v> </v>
      </c>
      <c r="L787" s="27"/>
    </row>
    <row r="788" spans="1:12">
      <c r="A788" s="20" t="s">
        <v>308</v>
      </c>
      <c r="E788" s="22">
        <f>IF(D788="?OLD","!!!","")</f>
        <v/>
      </c>
      <c r="F788" s="23" t="str">
        <f>IF(OR(E788="",E788="!!!"),"",IF(NOT(ISNA(VLOOKUP(E788,E$1:E787,1,FALSE()))),"OLD",IF(AND(E788&lt;&gt;"",E788&lt;&gt;"!!!"),"NEW","")))</f>
        <v> </v>
      </c>
      <c r="G788" s="24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5" t="str">
        <f>IF(J788&lt;&gt;1,"",IF(I788="SBJ","CB","?"))</f>
        <v> </v>
      </c>
      <c r="I788" s="26" t="str">
        <f>IF(OR(E788="",E788="!!!",F788="NEW"),"",INDEX(B787:B$2,-1+SUMPRODUCT(MAX(ROW(E787:E$2)*(E788=E787:E$2)))))</f>
        <v> </v>
      </c>
      <c r="J788" s="26" t="str">
        <f>IF(OR(E788="",E788="!!!",F788="NEW"),"",COUNTBLANK(OFFSET(A$1,,,SUMPRODUCT(MAX(ROW(E$2:E788)*(E788=E$2:E788)))))-COUNTBLANK(OFFSET(A$1,,,SUMPRODUCT(MAX(ROW(E$1:E787)*(E2=E$1:E787))))))</f>
        <v> </v>
      </c>
      <c r="K788" s="26" t="str">
        <f>IF(OR(E788="",E788="!!!",F788="NEW"),"",INDEX(J$1:J787,SUMPRODUCT(MAX(ROW(E$1:E787)*(E788=E$1:E787)))))</f>
        <v> </v>
      </c>
      <c r="L788" s="27"/>
    </row>
    <row r="789" spans="1:12">
      <c r="A789" s="20" t="s">
        <v>301</v>
      </c>
      <c r="E789" s="22">
        <f>IF(D789="?OLD","!!!","")</f>
        <v/>
      </c>
      <c r="F789" s="23" t="str">
        <f>IF(OR(E789="",E789="!!!"),"",IF(NOT(ISNA(VLOOKUP(E789,E$1:E788,1,FALSE()))),"OLD",IF(AND(E789&lt;&gt;"",E789&lt;&gt;"!!!"),"NEW","")))</f>
        <v> </v>
      </c>
      <c r="G789" s="24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5" t="str">
        <f>IF(J789&lt;&gt;1,"",IF(I789="SBJ","CB","?"))</f>
        <v> </v>
      </c>
      <c r="I789" s="26" t="str">
        <f>IF(OR(E789="",E789="!!!",F789="NEW"),"",INDEX(B788:B$2,-1+SUMPRODUCT(MAX(ROW(E788:E$2)*(E789=E788:E$2)))))</f>
        <v> </v>
      </c>
      <c r="J789" s="26" t="str">
        <f>IF(OR(E789="",E789="!!!",F789="NEW"),"",COUNTBLANK(OFFSET(A$1,,,SUMPRODUCT(MAX(ROW(E$2:E789)*(E789=E$2:E789)))))-COUNTBLANK(OFFSET(A$1,,,SUMPRODUCT(MAX(ROW(E$1:E788)*(E2=E$1:E788))))))</f>
        <v> </v>
      </c>
      <c r="K789" s="26" t="str">
        <f>IF(OR(E789="",E789="!!!",F789="NEW"),"",INDEX(J$1:J788,SUMPRODUCT(MAX(ROW(E$1:E788)*(E789=E$1:E788)))))</f>
        <v> </v>
      </c>
      <c r="L789" s="27"/>
    </row>
    <row r="790" spans="1:12">
      <c r="A790" s="20" t="s">
        <v>239</v>
      </c>
      <c r="B790" s="21" t="s">
        <v>166</v>
      </c>
      <c r="C790" s="21" t="s">
        <v>219</v>
      </c>
      <c r="E790" s="22">
        <f>IF(D790="?OLD","!!!","")</f>
        <v/>
      </c>
      <c r="F790" s="23" t="str">
        <f>IF(OR(E790="",E790="!!!"),"",IF(NOT(ISNA(VLOOKUP(E790,E$1:E789,1,FALSE()))),"OLD",IF(AND(E790&lt;&gt;"",E790&lt;&gt;"!!!"),"NEW","")))</f>
        <v> </v>
      </c>
      <c r="G790" s="24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5" t="str">
        <f>IF(J790&lt;&gt;1,"",IF(I790="SBJ","CB","?"))</f>
        <v> </v>
      </c>
      <c r="I790" s="26" t="str">
        <f>IF(OR(E790="",E790="!!!",F790="NEW"),"",INDEX(B789:B$2,-1+SUMPRODUCT(MAX(ROW(E789:E$2)*(E790=E789:E$2)))))</f>
        <v> </v>
      </c>
      <c r="J790" s="26" t="str">
        <f>IF(OR(E790="",E790="!!!",F790="NEW"),"",COUNTBLANK(OFFSET(A$1,,,SUMPRODUCT(MAX(ROW(E$2:E790)*(E790=E$2:E790)))))-COUNTBLANK(OFFSET(A$1,,,SUMPRODUCT(MAX(ROW(E$1:E789)*(E2=E$1:E789))))))</f>
        <v> </v>
      </c>
      <c r="K790" s="26" t="str">
        <f>IF(OR(E790="",E790="!!!",F790="NEW"),"",INDEX(J$1:J789,SUMPRODUCT(MAX(ROW(E$1:E789)*(E790=E$1:E789)))))</f>
        <v> </v>
      </c>
      <c r="L790" s="27"/>
    </row>
    <row r="791" spans="1:12">
      <c r="A791" s="20" t="s">
        <v>547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220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/>
    </row>
    <row r="794" spans="1:12">
      <c r="A794" s="20" t="s">
        <v>548</v>
      </c>
    </row>
    <row r="795" spans="1:12">
      <c r="A795" s="20" t="s">
        <v>279</v>
      </c>
      <c r="B795" s="21" t="s">
        <v>195</v>
      </c>
      <c r="C795" s="21" t="s">
        <v>214</v>
      </c>
      <c r="D795" s="21" t="s">
        <v>168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 t="s">
        <v>549</v>
      </c>
      <c r="E796" s="22">
        <f>IF(D796="?OLD","!!!","")</f>
        <v/>
      </c>
      <c r="F796" s="23" t="str">
        <f>IF(OR(E796="",E796="!!!"),"",IF(NOT(ISNA(VLOOKUP(E796,E$1:E795,1,FALSE()))),"OLD",IF(AND(E796&lt;&gt;"",E796&lt;&gt;"!!!"),"NEW","")))</f>
        <v> </v>
      </c>
      <c r="G796" s="24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5" t="str">
        <f>IF(J796&lt;&gt;1,"",IF(I796="SBJ","CB","?"))</f>
        <v> </v>
      </c>
      <c r="I796" s="26" t="str">
        <f>IF(OR(E796="",E796="!!!",F796="NEW"),"",INDEX(B795:B$2,-1+SUMPRODUCT(MAX(ROW(E795:E$2)*(E796=E795:E$2)))))</f>
        <v> </v>
      </c>
      <c r="J796" s="26" t="str">
        <f>IF(OR(E796="",E796="!!!",F796="NEW"),"",COUNTBLANK(OFFSET(A$1,,,SUMPRODUCT(MAX(ROW(E$2:E796)*(E796=E$2:E796)))))-COUNTBLANK(OFFSET(A$1,,,SUMPRODUCT(MAX(ROW(E$1:E795)*(E2=E$1:E795))))))</f>
        <v> </v>
      </c>
      <c r="K796" s="26" t="str">
        <f>IF(OR(E796="",E796="!!!",F796="NEW"),"",INDEX(J$1:J795,SUMPRODUCT(MAX(ROW(E$1:E795)*(E796=E$1:E795)))))</f>
        <v> </v>
      </c>
      <c r="L796" s="27"/>
    </row>
    <row r="797" spans="1:12">
      <c r="A797" s="20" t="s">
        <v>193</v>
      </c>
      <c r="E797" s="22">
        <f>IF(D797="?OLD","!!!","")</f>
        <v/>
      </c>
      <c r="F797" s="23" t="str">
        <f>IF(OR(E797="",E797="!!!"),"",IF(NOT(ISNA(VLOOKUP(E797,E$1:E796,1,FALSE()))),"OLD",IF(AND(E797&lt;&gt;"",E797&lt;&gt;"!!!"),"NEW","")))</f>
        <v> </v>
      </c>
      <c r="G797" s="24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5" t="str">
        <f>IF(J797&lt;&gt;1,"",IF(I797="SBJ","CB","?"))</f>
        <v> </v>
      </c>
      <c r="I797" s="26" t="str">
        <f>IF(OR(E797="",E797="!!!",F797="NEW"),"",INDEX(B796:B$2,-1+SUMPRODUCT(MAX(ROW(E796:E$2)*(E797=E796:E$2)))))</f>
        <v> </v>
      </c>
      <c r="J797" s="26" t="str">
        <f>IF(OR(E797="",E797="!!!",F797="NEW"),"",COUNTBLANK(OFFSET(A$1,,,SUMPRODUCT(MAX(ROW(E$2:E797)*(E797=E$2:E797)))))-COUNTBLANK(OFFSET(A$1,,,SUMPRODUCT(MAX(ROW(E$1:E796)*(E2=E$1:E796))))))</f>
        <v> </v>
      </c>
      <c r="K797" s="26" t="str">
        <f>IF(OR(E797="",E797="!!!",F797="NEW"),"",INDEX(J$1:J796,SUMPRODUCT(MAX(ROW(E$1:E796)*(E797=E$1:E796)))))</f>
        <v> </v>
      </c>
      <c r="L797" s="27"/>
    </row>
    <row r="798" spans="1:12">
      <c r="A798" s="20" t="s">
        <v>261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 t="s">
        <v>550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 t="s">
        <v>203</v>
      </c>
      <c r="B800" s="21" t="s">
        <v>191</v>
      </c>
      <c r="C800" s="21" t="s">
        <v>205</v>
      </c>
      <c r="E800" s="22">
        <f>IF(D800="?OLD","!!!","")</f>
        <v/>
      </c>
      <c r="F800" s="23" t="str">
        <f>IF(OR(E800="",E800="!!!"),"",IF(NOT(ISNA(VLOOKUP(E800,E$1:E799,1,FALSE()))),"OLD",IF(AND(E800&lt;&gt;"",E800&lt;&gt;"!!!"),"NEW","")))</f>
        <v> </v>
      </c>
      <c r="G800" s="24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5" t="str">
        <f>IF(J800&lt;&gt;1,"",IF(I800="SBJ","CB","?"))</f>
        <v> </v>
      </c>
      <c r="I800" s="26" t="str">
        <f>IF(OR(E800="",E800="!!!",F800="NEW"),"",INDEX(B799:B$2,-1+SUMPRODUCT(MAX(ROW(E799:E$2)*(E800=E799:E$2)))))</f>
        <v> </v>
      </c>
      <c r="J800" s="26" t="str">
        <f>IF(OR(E800="",E800="!!!",F800="NEW"),"",COUNTBLANK(OFFSET(A$1,,,SUMPRODUCT(MAX(ROW(E$2:E800)*(E800=E$2:E800)))))-COUNTBLANK(OFFSET(A$1,,,SUMPRODUCT(MAX(ROW(E$1:E799)*(E2=E$1:E799))))))</f>
        <v> </v>
      </c>
      <c r="K800" s="26" t="str">
        <f>IF(OR(E800="",E800="!!!",F800="NEW"),"",INDEX(J$1:J799,SUMPRODUCT(MAX(ROW(E$1:E799)*(E800=E$1:E799)))))</f>
        <v> </v>
      </c>
      <c r="L800" s="27"/>
    </row>
    <row r="801" spans="1:12">
      <c r="A801" s="20" t="s">
        <v>248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239</v>
      </c>
      <c r="B802" s="21" t="s">
        <v>180</v>
      </c>
      <c r="C802" s="21" t="s">
        <v>189</v>
      </c>
      <c r="D802" s="21" t="s">
        <v>168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 t="s">
        <v>193</v>
      </c>
      <c r="E803" s="22">
        <f>IF(D803="?OLD","!!!","")</f>
        <v/>
      </c>
      <c r="F803" s="23" t="str">
        <f>IF(OR(E803="",E803="!!!"),"",IF(NOT(ISNA(VLOOKUP(E803,E$1:E802,1,FALSE()))),"OLD",IF(AND(E803&lt;&gt;"",E803&lt;&gt;"!!!"),"NEW","")))</f>
        <v> </v>
      </c>
      <c r="G803" s="24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5" t="str">
        <f>IF(J803&lt;&gt;1,"",IF(I803="SBJ","CB","?"))</f>
        <v> </v>
      </c>
      <c r="I803" s="26" t="str">
        <f>IF(OR(E803="",E803="!!!",F803="NEW"),"",INDEX(B802:B$2,-1+SUMPRODUCT(MAX(ROW(E802:E$2)*(E803=E802:E$2)))))</f>
        <v> </v>
      </c>
      <c r="J803" s="26" t="str">
        <f>IF(OR(E803="",E803="!!!",F803="NEW"),"",COUNTBLANK(OFFSET(A$1,,,SUMPRODUCT(MAX(ROW(E$2:E803)*(E803=E$2:E803)))))-COUNTBLANK(OFFSET(A$1,,,SUMPRODUCT(MAX(ROW(E$1:E802)*(E2=E$1:E802))))))</f>
        <v> </v>
      </c>
      <c r="K803" s="26" t="str">
        <f>IF(OR(E803="",E803="!!!",F803="NEW"),"",INDEX(J$1:J802,SUMPRODUCT(MAX(ROW(E$1:E802)*(E803=E$1:E802)))))</f>
        <v> </v>
      </c>
      <c r="L803" s="27"/>
    </row>
    <row r="804" spans="1:12">
      <c r="A804" s="20" t="s">
        <v>228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 t="s">
        <v>183</v>
      </c>
      <c r="B805" s="21" t="s">
        <v>551</v>
      </c>
      <c r="C805" s="21" t="s">
        <v>185</v>
      </c>
      <c r="D805" s="21" t="s">
        <v>168</v>
      </c>
      <c r="E805" s="22">
        <f>IF(D805="?OLD","!!!","")</f>
        <v/>
      </c>
      <c r="F805" s="23" t="str">
        <f>IF(OR(E805="",E805="!!!"),"",IF(NOT(ISNA(VLOOKUP(E805,E$1:E804,1,FALSE()))),"OLD",IF(AND(E805&lt;&gt;"",E805&lt;&gt;"!!!"),"NEW","")))</f>
        <v> </v>
      </c>
      <c r="G805" s="24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5" t="str">
        <f>IF(J805&lt;&gt;1,"",IF(I805="SBJ","CB","?"))</f>
        <v> </v>
      </c>
      <c r="I805" s="26" t="str">
        <f>IF(OR(E805="",E805="!!!",F805="NEW"),"",INDEX(B804:B$2,-1+SUMPRODUCT(MAX(ROW(E804:E$2)*(E805=E804:E$2)))))</f>
        <v> </v>
      </c>
      <c r="J805" s="26" t="str">
        <f>IF(OR(E805="",E805="!!!",F805="NEW"),"",COUNTBLANK(OFFSET(A$1,,,SUMPRODUCT(MAX(ROW(E$2:E805)*(E805=E$2:E805)))))-COUNTBLANK(OFFSET(A$1,,,SUMPRODUCT(MAX(ROW(E$1:E804)*(E2=E$1:E804))))))</f>
        <v> </v>
      </c>
      <c r="K805" s="26" t="str">
        <f>IF(OR(E805="",E805="!!!",F805="NEW"),"",INDEX(J$1:J804,SUMPRODUCT(MAX(ROW(E$1:E804)*(E805=E$1:E804)))))</f>
        <v> </v>
      </c>
      <c r="L805" s="27"/>
    </row>
    <row r="806" spans="1:12">
      <c r="A806" s="20" t="s">
        <v>477</v>
      </c>
      <c r="B806" s="21" t="s">
        <v>439</v>
      </c>
      <c r="C806" s="21" t="s">
        <v>167</v>
      </c>
      <c r="D806" s="21" t="s">
        <v>168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470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 t="s">
        <v>193</v>
      </c>
      <c r="E808" s="22">
        <f>IF(D808="?OLD","!!!","")</f>
        <v/>
      </c>
      <c r="F808" s="23" t="str">
        <f>IF(OR(E808="",E808="!!!"),"",IF(NOT(ISNA(VLOOKUP(E808,E$1:E807,1,FALSE()))),"OLD",IF(AND(E808&lt;&gt;"",E808&lt;&gt;"!!!"),"NEW","")))</f>
        <v> </v>
      </c>
      <c r="G808" s="24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5" t="str">
        <f>IF(J808&lt;&gt;1,"",IF(I808="SBJ","CB","?"))</f>
        <v> </v>
      </c>
      <c r="I808" s="26" t="str">
        <f>IF(OR(E808="",E808="!!!",F808="NEW"),"",INDEX(B807:B$2,-1+SUMPRODUCT(MAX(ROW(E807:E$2)*(E808=E807:E$2)))))</f>
        <v> </v>
      </c>
      <c r="J808" s="26" t="str">
        <f>IF(OR(E808="",E808="!!!",F808="NEW"),"",COUNTBLANK(OFFSET(A$1,,,SUMPRODUCT(MAX(ROW(E$2:E808)*(E808=E$2:E808)))))-COUNTBLANK(OFFSET(A$1,,,SUMPRODUCT(MAX(ROW(E$1:E807)*(E2=E$1:E807))))))</f>
        <v> </v>
      </c>
      <c r="K808" s="26" t="str">
        <f>IF(OR(E808="",E808="!!!",F808="NEW"),"",INDEX(J$1:J807,SUMPRODUCT(MAX(ROW(E$1:E807)*(E808=E$1:E807)))))</f>
        <v> </v>
      </c>
      <c r="L808" s="27"/>
    </row>
    <row r="809" spans="1:12">
      <c r="A809" s="20" t="s">
        <v>552</v>
      </c>
      <c r="E809" s="22">
        <f>IF(D809="?OLD","!!!","")</f>
        <v/>
      </c>
      <c r="F809" s="23" t="str">
        <f>IF(OR(E809="",E809="!!!"),"",IF(NOT(ISNA(VLOOKUP(E809,E$1:E808,1,FALSE()))),"OLD",IF(AND(E809&lt;&gt;"",E809&lt;&gt;"!!!"),"NEW","")))</f>
        <v> </v>
      </c>
      <c r="G809" s="24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5" t="str">
        <f>IF(J809&lt;&gt;1,"",IF(I809="SBJ","CB","?"))</f>
        <v> </v>
      </c>
      <c r="I809" s="26" t="str">
        <f>IF(OR(E809="",E809="!!!",F809="NEW"),"",INDEX(B808:B$2,-1+SUMPRODUCT(MAX(ROW(E808:E$2)*(E809=E808:E$2)))))</f>
        <v> </v>
      </c>
      <c r="J809" s="26" t="str">
        <f>IF(OR(E809="",E809="!!!",F809="NEW"),"",COUNTBLANK(OFFSET(A$1,,,SUMPRODUCT(MAX(ROW(E$2:E809)*(E809=E$2:E809)))))-COUNTBLANK(OFFSET(A$1,,,SUMPRODUCT(MAX(ROW(E$1:E808)*(E2=E$1:E808))))))</f>
        <v> </v>
      </c>
      <c r="K809" s="26" t="str">
        <f>IF(OR(E809="",E809="!!!",F809="NEW"),"",INDEX(J$1:J808,SUMPRODUCT(MAX(ROW(E$1:E808)*(E809=E$1:E808)))))</f>
        <v> </v>
      </c>
      <c r="L809" s="27"/>
    </row>
    <row r="810" spans="1:12">
      <c r="A810" s="20" t="s">
        <v>193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311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 t="s">
        <v>237</v>
      </c>
      <c r="E812" s="22">
        <f>IF(D812="?OLD","!!!","")</f>
        <v/>
      </c>
      <c r="F812" s="23" t="str">
        <f>IF(OR(E812="",E812="!!!"),"",IF(NOT(ISNA(VLOOKUP(E812,E$1:E811,1,FALSE()))),"OLD",IF(AND(E812&lt;&gt;"",E812&lt;&gt;"!!!"),"NEW","")))</f>
        <v> </v>
      </c>
      <c r="G812" s="24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5" t="str">
        <f>IF(J812&lt;&gt;1,"",IF(I812="SBJ","CB","?"))</f>
        <v> </v>
      </c>
      <c r="I812" s="26" t="str">
        <f>IF(OR(E812="",E812="!!!",F812="NEW"),"",INDEX(B811:B$2,-1+SUMPRODUCT(MAX(ROW(E811:E$2)*(E812=E811:E$2)))))</f>
        <v> </v>
      </c>
      <c r="J812" s="26" t="str">
        <f>IF(OR(E812="",E812="!!!",F812="NEW"),"",COUNTBLANK(OFFSET(A$1,,,SUMPRODUCT(MAX(ROW(E$2:E812)*(E812=E$2:E812)))))-COUNTBLANK(OFFSET(A$1,,,SUMPRODUCT(MAX(ROW(E$1:E811)*(E2=E$1:E811))))))</f>
        <v> </v>
      </c>
      <c r="K812" s="26" t="str">
        <f>IF(OR(E812="",E812="!!!",F812="NEW"),"",INDEX(J$1:J811,SUMPRODUCT(MAX(ROW(E$1:E811)*(E812=E$1:E811)))))</f>
        <v> </v>
      </c>
      <c r="L812" s="27"/>
    </row>
    <row r="813" spans="1:12">
      <c r="A813" s="20" t="s">
        <v>325</v>
      </c>
      <c r="E813" s="22">
        <f>IF(D813="?OLD","!!!","")</f>
        <v/>
      </c>
      <c r="F813" s="23" t="str">
        <f>IF(OR(E813="",E813="!!!"),"",IF(NOT(ISNA(VLOOKUP(E813,E$1:E812,1,FALSE()))),"OLD",IF(AND(E813&lt;&gt;"",E813&lt;&gt;"!!!"),"NEW","")))</f>
        <v> </v>
      </c>
      <c r="G813" s="24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5" t="str">
        <f>IF(J813&lt;&gt;1,"",IF(I813="SBJ","CB","?"))</f>
        <v> </v>
      </c>
      <c r="I813" s="26" t="str">
        <f>IF(OR(E813="",E813="!!!",F813="NEW"),"",INDEX(B812:B$2,-1+SUMPRODUCT(MAX(ROW(E812:E$2)*(E813=E812:E$2)))))</f>
        <v> </v>
      </c>
      <c r="J813" s="26" t="str">
        <f>IF(OR(E813="",E813="!!!",F813="NEW"),"",COUNTBLANK(OFFSET(A$1,,,SUMPRODUCT(MAX(ROW(E$2:E813)*(E813=E$2:E813)))))-COUNTBLANK(OFFSET(A$1,,,SUMPRODUCT(MAX(ROW(E$1:E812)*(E2=E$1:E812))))))</f>
        <v> </v>
      </c>
      <c r="K813" s="26" t="str">
        <f>IF(OR(E813="",E813="!!!",F813="NEW"),"",INDEX(J$1:J812,SUMPRODUCT(MAX(ROW(E$1:E812)*(E813=E$1:E812)))))</f>
        <v> </v>
      </c>
      <c r="L813" s="27"/>
    </row>
    <row r="814" spans="1:12">
      <c r="A814" s="20" t="s">
        <v>553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 t="s">
        <v>193</v>
      </c>
      <c r="E815" s="22">
        <f>IF(D815="?OLD","!!!","")</f>
        <v/>
      </c>
      <c r="F815" s="23" t="str">
        <f>IF(OR(E815="",E815="!!!"),"",IF(NOT(ISNA(VLOOKUP(E815,E$1:E814,1,FALSE()))),"OLD",IF(AND(E815&lt;&gt;"",E815&lt;&gt;"!!!"),"NEW","")))</f>
        <v> </v>
      </c>
      <c r="G815" s="24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5" t="str">
        <f>IF(J815&lt;&gt;1,"",IF(I815="SBJ","CB","?"))</f>
        <v> </v>
      </c>
      <c r="I815" s="26" t="str">
        <f>IF(OR(E815="",E815="!!!",F815="NEW"),"",INDEX(B814:B$2,-1+SUMPRODUCT(MAX(ROW(E814:E$2)*(E815=E814:E$2)))))</f>
        <v> </v>
      </c>
      <c r="J815" s="26" t="str">
        <f>IF(OR(E815="",E815="!!!",F815="NEW"),"",COUNTBLANK(OFFSET(A$1,,,SUMPRODUCT(MAX(ROW(E$2:E815)*(E815=E$2:E815)))))-COUNTBLANK(OFFSET(A$1,,,SUMPRODUCT(MAX(ROW(E$1:E814)*(E2=E$1:E814))))))</f>
        <v> </v>
      </c>
      <c r="K815" s="26" t="str">
        <f>IF(OR(E815="",E815="!!!",F815="NEW"),"",INDEX(J$1:J814,SUMPRODUCT(MAX(ROW(E$1:E814)*(E815=E$1:E814)))))</f>
        <v> </v>
      </c>
      <c r="L815" s="27"/>
    </row>
    <row r="816" spans="1:12">
      <c r="A816" s="20" t="s">
        <v>554</v>
      </c>
      <c r="E816" s="22">
        <f>IF(D816="?OLD","!!!","")</f>
        <v/>
      </c>
      <c r="F816" s="23" t="str">
        <f>IF(OR(E816="",E816="!!!"),"",IF(NOT(ISNA(VLOOKUP(E816,E$1:E815,1,FALSE()))),"OLD",IF(AND(E816&lt;&gt;"",E816&lt;&gt;"!!!"),"NEW","")))</f>
        <v> </v>
      </c>
      <c r="G816" s="24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5" t="str">
        <f>IF(J816&lt;&gt;1,"",IF(I816="SBJ","CB","?"))</f>
        <v> </v>
      </c>
      <c r="I816" s="26" t="str">
        <f>IF(OR(E816="",E816="!!!",F816="NEW"),"",INDEX(B815:B$2,-1+SUMPRODUCT(MAX(ROW(E815:E$2)*(E816=E815:E$2)))))</f>
        <v> </v>
      </c>
      <c r="J816" s="26" t="str">
        <f>IF(OR(E816="",E816="!!!",F816="NEW"),"",COUNTBLANK(OFFSET(A$1,,,SUMPRODUCT(MAX(ROW(E$2:E816)*(E816=E$2:E816)))))-COUNTBLANK(OFFSET(A$1,,,SUMPRODUCT(MAX(ROW(E$1:E815)*(E2=E$1:E815))))))</f>
        <v> </v>
      </c>
      <c r="K816" s="26" t="str">
        <f>IF(OR(E816="",E816="!!!",F816="NEW"),"",INDEX(J$1:J815,SUMPRODUCT(MAX(ROW(E$1:E815)*(E816=E$1:E815)))))</f>
        <v> </v>
      </c>
      <c r="L816" s="27"/>
    </row>
    <row r="817" spans="1:12">
      <c r="A817" s="20" t="s">
        <v>555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327</v>
      </c>
      <c r="B818" s="21" t="s">
        <v>348</v>
      </c>
      <c r="C818" s="21" t="s">
        <v>219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220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/>
    </row>
    <row r="821" spans="1:12">
      <c r="A821" s="20" t="s">
        <v>556</v>
      </c>
    </row>
    <row r="822" spans="1:12">
      <c r="A822" s="20" t="s">
        <v>330</v>
      </c>
      <c r="B822" s="21" t="s">
        <v>195</v>
      </c>
      <c r="C822" s="21" t="s">
        <v>185</v>
      </c>
      <c r="D822" s="21" t="s">
        <v>168</v>
      </c>
      <c r="E822" s="22">
        <f>IF(D822="?OLD","!!!","")</f>
        <v/>
      </c>
      <c r="F822" s="23" t="str">
        <f>IF(OR(E822="",E822="!!!"),"",IF(NOT(ISNA(VLOOKUP(E822,E$1:E821,1,FALSE()))),"OLD",IF(AND(E822&lt;&gt;"",E822&lt;&gt;"!!!"),"NEW","")))</f>
        <v> </v>
      </c>
      <c r="G822" s="24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5" t="str">
        <f>IF(J822&lt;&gt;1,"",IF(I822="SBJ","CB","?"))</f>
        <v> </v>
      </c>
      <c r="I822" s="26" t="str">
        <f>IF(OR(E822="",E822="!!!",F822="NEW"),"",INDEX(B821:B$2,-1+SUMPRODUCT(MAX(ROW(E821:E$2)*(E822=E821:E$2)))))</f>
        <v> </v>
      </c>
      <c r="J822" s="26" t="str">
        <f>IF(OR(E822="",E822="!!!",F822="NEW"),"",COUNTBLANK(OFFSET(A$1,,,SUMPRODUCT(MAX(ROW(E$2:E822)*(E822=E$2:E822)))))-COUNTBLANK(OFFSET(A$1,,,SUMPRODUCT(MAX(ROW(E$1:E821)*(E2=E$1:E821))))))</f>
        <v> </v>
      </c>
      <c r="K822" s="26" t="str">
        <f>IF(OR(E822="",E822="!!!",F822="NEW"),"",INDEX(J$1:J821,SUMPRODUCT(MAX(ROW(E$1:E821)*(E822=E$1:E821)))))</f>
        <v> </v>
      </c>
      <c r="L822" s="27"/>
    </row>
    <row r="823" spans="1:12">
      <c r="A823" s="20" t="s">
        <v>341</v>
      </c>
      <c r="E823" s="22">
        <f>IF(D823="?OLD","!!!","")</f>
        <v/>
      </c>
      <c r="F823" s="23" t="str">
        <f>IF(OR(E823="",E823="!!!"),"",IF(NOT(ISNA(VLOOKUP(E823,E$1:E822,1,FALSE()))),"OLD",IF(AND(E823&lt;&gt;"",E823&lt;&gt;"!!!"),"NEW","")))</f>
        <v> </v>
      </c>
      <c r="G823" s="24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5" t="str">
        <f>IF(J823&lt;&gt;1,"",IF(I823="SBJ","CB","?"))</f>
        <v> </v>
      </c>
      <c r="I823" s="26" t="str">
        <f>IF(OR(E823="",E823="!!!",F823="NEW"),"",INDEX(B822:B$2,-1+SUMPRODUCT(MAX(ROW(E822:E$2)*(E823=E822:E$2)))))</f>
        <v> </v>
      </c>
      <c r="J823" s="26" t="str">
        <f>IF(OR(E823="",E823="!!!",F823="NEW"),"",COUNTBLANK(OFFSET(A$1,,,SUMPRODUCT(MAX(ROW(E$2:E823)*(E823=E$2:E823)))))-COUNTBLANK(OFFSET(A$1,,,SUMPRODUCT(MAX(ROW(E$1:E822)*(E2=E$1:E822))))))</f>
        <v> </v>
      </c>
      <c r="K823" s="26" t="str">
        <f>IF(OR(E823="",E823="!!!",F823="NEW"),"",INDEX(J$1:J822,SUMPRODUCT(MAX(ROW(E$1:E822)*(E823=E$1:E822)))))</f>
        <v> </v>
      </c>
      <c r="L823" s="27"/>
    </row>
    <row r="824" spans="1:12">
      <c r="A824" s="20" t="s">
        <v>557</v>
      </c>
      <c r="B824" s="21" t="s">
        <v>180</v>
      </c>
      <c r="C824" s="21" t="s">
        <v>205</v>
      </c>
      <c r="E824" s="22">
        <f>IF(D824="?OLD","!!!","")</f>
        <v/>
      </c>
      <c r="F824" s="23" t="str">
        <f>IF(OR(E824="",E824="!!!"),"",IF(NOT(ISNA(VLOOKUP(E824,E$1:E823,1,FALSE()))),"OLD",IF(AND(E824&lt;&gt;"",E824&lt;&gt;"!!!"),"NEW","")))</f>
        <v> </v>
      </c>
      <c r="G824" s="24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5" t="str">
        <f>IF(J824&lt;&gt;1,"",IF(I824="SBJ","CB","?"))</f>
        <v> </v>
      </c>
      <c r="I824" s="26" t="str">
        <f>IF(OR(E824="",E824="!!!",F824="NEW"),"",INDEX(B823:B$2,-1+SUMPRODUCT(MAX(ROW(E823:E$2)*(E824=E823:E$2)))))</f>
        <v> </v>
      </c>
      <c r="J824" s="26" t="str">
        <f>IF(OR(E824="",E824="!!!",F824="NEW"),"",COUNTBLANK(OFFSET(A$1,,,SUMPRODUCT(MAX(ROW(E$2:E824)*(E824=E$2:E824)))))-COUNTBLANK(OFFSET(A$1,,,SUMPRODUCT(MAX(ROW(E$1:E823)*(E2=E$1:E823))))))</f>
        <v> </v>
      </c>
      <c r="K824" s="26" t="str">
        <f>IF(OR(E824="",E824="!!!",F824="NEW"),"",INDEX(J$1:J823,SUMPRODUCT(MAX(ROW(E$1:E823)*(E824=E$1:E823)))))</f>
        <v> </v>
      </c>
      <c r="L824" s="27"/>
    </row>
    <row r="825" spans="1:12">
      <c r="A825" s="20" t="s">
        <v>229</v>
      </c>
      <c r="B825" s="21" t="s">
        <v>180</v>
      </c>
      <c r="C825" s="21" t="s">
        <v>207</v>
      </c>
      <c r="D825" s="21" t="s">
        <v>168</v>
      </c>
      <c r="E825" s="22">
        <f>IF(D825="?OLD","!!!","")</f>
        <v/>
      </c>
      <c r="F825" s="23" t="str">
        <f>IF(OR(E825="",E825="!!!"),"",IF(NOT(ISNA(VLOOKUP(E825,E$1:E824,1,FALSE()))),"OLD",IF(AND(E825&lt;&gt;"",E825&lt;&gt;"!!!"),"NEW","")))</f>
        <v> </v>
      </c>
      <c r="G825" s="24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5" t="str">
        <f>IF(J825&lt;&gt;1,"",IF(I825="SBJ","CB","?"))</f>
        <v> </v>
      </c>
      <c r="I825" s="26" t="str">
        <f>IF(OR(E825="",E825="!!!",F825="NEW"),"",INDEX(B824:B$2,-1+SUMPRODUCT(MAX(ROW(E824:E$2)*(E825=E824:E$2)))))</f>
        <v> </v>
      </c>
      <c r="J825" s="26" t="str">
        <f>IF(OR(E825="",E825="!!!",F825="NEW"),"",COUNTBLANK(OFFSET(A$1,,,SUMPRODUCT(MAX(ROW(E$2:E825)*(E825=E$2:E825)))))-COUNTBLANK(OFFSET(A$1,,,SUMPRODUCT(MAX(ROW(E$1:E824)*(E2=E$1:E824))))))</f>
        <v> </v>
      </c>
      <c r="K825" s="26" t="str">
        <f>IF(OR(E825="",E825="!!!",F825="NEW"),"",INDEX(J$1:J824,SUMPRODUCT(MAX(ROW(E$1:E824)*(E825=E$1:E824)))))</f>
        <v> </v>
      </c>
      <c r="L825" s="27"/>
    </row>
    <row r="826" spans="1:12">
      <c r="A826" s="20" t="s">
        <v>483</v>
      </c>
      <c r="B826" s="21" t="s">
        <v>199</v>
      </c>
      <c r="C826" s="21" t="s">
        <v>210</v>
      </c>
      <c r="D826" s="21" t="s">
        <v>168</v>
      </c>
      <c r="E826" s="22">
        <f>IF(D826="?OLD","!!!","")</f>
        <v/>
      </c>
      <c r="F826" s="23" t="str">
        <f>IF(OR(E826="",E826="!!!"),"",IF(NOT(ISNA(VLOOKUP(E826,E$1:E825,1,FALSE()))),"OLD",IF(AND(E826&lt;&gt;"",E826&lt;&gt;"!!!"),"NEW","")))</f>
        <v> </v>
      </c>
      <c r="G826" s="24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5" t="str">
        <f>IF(J826&lt;&gt;1,"",IF(I826="SBJ","CB","?"))</f>
        <v> </v>
      </c>
      <c r="I826" s="26" t="str">
        <f>IF(OR(E826="",E826="!!!",F826="NEW"),"",INDEX(B825:B$2,-1+SUMPRODUCT(MAX(ROW(E825:E$2)*(E826=E825:E$2)))))</f>
        <v> </v>
      </c>
      <c r="J826" s="26" t="str">
        <f>IF(OR(E826="",E826="!!!",F826="NEW"),"",COUNTBLANK(OFFSET(A$1,,,SUMPRODUCT(MAX(ROW(E$2:E826)*(E826=E$2:E826)))))-COUNTBLANK(OFFSET(A$1,,,SUMPRODUCT(MAX(ROW(E$1:E825)*(E2=E$1:E825))))))</f>
        <v> </v>
      </c>
      <c r="K826" s="26" t="str">
        <f>IF(OR(E826="",E826="!!!",F826="NEW"),"",INDEX(J$1:J825,SUMPRODUCT(MAX(ROW(E$1:E825)*(E826=E$1:E825)))))</f>
        <v> </v>
      </c>
      <c r="L826" s="27"/>
    </row>
    <row r="827" spans="1:12">
      <c r="A827" s="20" t="s">
        <v>193</v>
      </c>
      <c r="E827" s="22">
        <f>IF(D827="?OLD","!!!","")</f>
        <v/>
      </c>
      <c r="F827" s="23" t="str">
        <f>IF(OR(E827="",E827="!!!"),"",IF(NOT(ISNA(VLOOKUP(E827,E$1:E826,1,FALSE()))),"OLD",IF(AND(E827&lt;&gt;"",E827&lt;&gt;"!!!"),"NEW","")))</f>
        <v> </v>
      </c>
      <c r="G827" s="24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5" t="str">
        <f>IF(J827&lt;&gt;1,"",IF(I827="SBJ","CB","?"))</f>
        <v> </v>
      </c>
      <c r="I827" s="26" t="str">
        <f>IF(OR(E827="",E827="!!!",F827="NEW"),"",INDEX(B826:B$2,-1+SUMPRODUCT(MAX(ROW(E826:E$2)*(E827=E826:E$2)))))</f>
        <v> </v>
      </c>
      <c r="J827" s="26" t="str">
        <f>IF(OR(E827="",E827="!!!",F827="NEW"),"",COUNTBLANK(OFFSET(A$1,,,SUMPRODUCT(MAX(ROW(E$2:E827)*(E827=E$2:E827)))))-COUNTBLANK(OFFSET(A$1,,,SUMPRODUCT(MAX(ROW(E$1:E826)*(E2=E$1:E826))))))</f>
        <v> </v>
      </c>
      <c r="K827" s="26" t="str">
        <f>IF(OR(E827="",E827="!!!",F827="NEW"),"",INDEX(J$1:J826,SUMPRODUCT(MAX(ROW(E$1:E826)*(E827=E$1:E826)))))</f>
        <v> </v>
      </c>
      <c r="L827" s="27"/>
    </row>
    <row r="828" spans="1:12">
      <c r="A828" s="20" t="s">
        <v>314</v>
      </c>
      <c r="E828" s="22">
        <f>IF(D828="?OLD","!!!","")</f>
        <v/>
      </c>
      <c r="F828" s="23" t="str">
        <f>IF(OR(E828="",E828="!!!"),"",IF(NOT(ISNA(VLOOKUP(E828,E$1:E827,1,FALSE()))),"OLD",IF(AND(E828&lt;&gt;"",E828&lt;&gt;"!!!"),"NEW","")))</f>
        <v> </v>
      </c>
      <c r="G828" s="24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5" t="str">
        <f>IF(J828&lt;&gt;1,"",IF(I828="SBJ","CB","?"))</f>
        <v> </v>
      </c>
      <c r="I828" s="26" t="str">
        <f>IF(OR(E828="",E828="!!!",F828="NEW"),"",INDEX(B827:B$2,-1+SUMPRODUCT(MAX(ROW(E827:E$2)*(E828=E827:E$2)))))</f>
        <v> </v>
      </c>
      <c r="J828" s="26" t="str">
        <f>IF(OR(E828="",E828="!!!",F828="NEW"),"",COUNTBLANK(OFFSET(A$1,,,SUMPRODUCT(MAX(ROW(E$2:E828)*(E828=E$2:E828)))))-COUNTBLANK(OFFSET(A$1,,,SUMPRODUCT(MAX(ROW(E$1:E827)*(E2=E$1:E827))))))</f>
        <v> </v>
      </c>
      <c r="K828" s="26" t="str">
        <f>IF(OR(E828="",E828="!!!",F828="NEW"),"",INDEX(J$1:J827,SUMPRODUCT(MAX(ROW(E$1:E827)*(E828=E$1:E827)))))</f>
        <v> </v>
      </c>
      <c r="L828" s="27"/>
    </row>
    <row r="829" spans="1:12">
      <c r="A829" s="20" t="s">
        <v>558</v>
      </c>
      <c r="E829" s="22">
        <f>IF(D829="?OLD","!!!","")</f>
        <v/>
      </c>
      <c r="F829" s="23" t="str">
        <f>IF(OR(E829="",E829="!!!"),"",IF(NOT(ISNA(VLOOKUP(E829,E$1:E828,1,FALSE()))),"OLD",IF(AND(E829&lt;&gt;"",E829&lt;&gt;"!!!"),"NEW","")))</f>
        <v> </v>
      </c>
      <c r="G829" s="24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5" t="str">
        <f>IF(J829&lt;&gt;1,"",IF(I829="SBJ","CB","?"))</f>
        <v> </v>
      </c>
      <c r="I829" s="26" t="str">
        <f>IF(OR(E829="",E829="!!!",F829="NEW"),"",INDEX(B828:B$2,-1+SUMPRODUCT(MAX(ROW(E828:E$2)*(E829=E828:E$2)))))</f>
        <v> </v>
      </c>
      <c r="J829" s="26" t="str">
        <f>IF(OR(E829="",E829="!!!",F829="NEW"),"",COUNTBLANK(OFFSET(A$1,,,SUMPRODUCT(MAX(ROW(E$2:E829)*(E829=E$2:E829)))))-COUNTBLANK(OFFSET(A$1,,,SUMPRODUCT(MAX(ROW(E$1:E828)*(E2=E$1:E828))))))</f>
        <v> </v>
      </c>
      <c r="K829" s="26" t="str">
        <f>IF(OR(E829="",E829="!!!",F829="NEW"),"",INDEX(J$1:J828,SUMPRODUCT(MAX(ROW(E$1:E828)*(E829=E$1:E828)))))</f>
        <v> </v>
      </c>
      <c r="L829" s="27"/>
    </row>
    <row r="830" spans="1:12">
      <c r="A830" s="20" t="s">
        <v>559</v>
      </c>
      <c r="E830" s="22">
        <f>IF(D830="?OLD","!!!","")</f>
        <v/>
      </c>
      <c r="F830" s="23" t="str">
        <f>IF(OR(E830="",E830="!!!"),"",IF(NOT(ISNA(VLOOKUP(E830,E$1:E829,1,FALSE()))),"OLD",IF(AND(E830&lt;&gt;"",E830&lt;&gt;"!!!"),"NEW","")))</f>
        <v> </v>
      </c>
      <c r="G830" s="24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5" t="str">
        <f>IF(J830&lt;&gt;1,"",IF(I830="SBJ","CB","?"))</f>
        <v> </v>
      </c>
      <c r="I830" s="26" t="str">
        <f>IF(OR(E830="",E830="!!!",F830="NEW"),"",INDEX(B829:B$2,-1+SUMPRODUCT(MAX(ROW(E829:E$2)*(E830=E829:E$2)))))</f>
        <v> </v>
      </c>
      <c r="J830" s="26" t="str">
        <f>IF(OR(E830="",E830="!!!",F830="NEW"),"",COUNTBLANK(OFFSET(A$1,,,SUMPRODUCT(MAX(ROW(E$2:E830)*(E830=E$2:E830)))))-COUNTBLANK(OFFSET(A$1,,,SUMPRODUCT(MAX(ROW(E$1:E829)*(E2=E$1:E829))))))</f>
        <v> </v>
      </c>
      <c r="K830" s="26" t="str">
        <f>IF(OR(E830="",E830="!!!",F830="NEW"),"",INDEX(J$1:J829,SUMPRODUCT(MAX(ROW(E$1:E829)*(E830=E$1:E829)))))</f>
        <v> </v>
      </c>
      <c r="L830" s="27"/>
    </row>
    <row r="831" spans="1:12">
      <c r="A831" s="20" t="s">
        <v>560</v>
      </c>
      <c r="B831" s="21" t="s">
        <v>180</v>
      </c>
      <c r="C831" s="21" t="s">
        <v>219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196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 t="s">
        <v>483</v>
      </c>
      <c r="B833" s="21" t="s">
        <v>209</v>
      </c>
      <c r="C833" s="21" t="s">
        <v>175</v>
      </c>
      <c r="E833" s="22">
        <f>IF(D833="?OLD","!!!","")</f>
        <v/>
      </c>
      <c r="F833" s="23" t="str">
        <f>IF(OR(E833="",E833="!!!"),"",IF(NOT(ISNA(VLOOKUP(E833,E$1:E832,1,FALSE()))),"OLD",IF(AND(E833&lt;&gt;"",E833&lt;&gt;"!!!"),"NEW","")))</f>
        <v> </v>
      </c>
      <c r="G833" s="24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5" t="str">
        <f>IF(J833&lt;&gt;1,"",IF(I833="SBJ","CB","?"))</f>
        <v> </v>
      </c>
      <c r="I833" s="26" t="str">
        <f>IF(OR(E833="",E833="!!!",F833="NEW"),"",INDEX(B832:B$2,-1+SUMPRODUCT(MAX(ROW(E832:E$2)*(E833=E832:E$2)))))</f>
        <v> </v>
      </c>
      <c r="J833" s="26" t="str">
        <f>IF(OR(E833="",E833="!!!",F833="NEW"),"",COUNTBLANK(OFFSET(A$1,,,SUMPRODUCT(MAX(ROW(E$2:E833)*(E833=E$2:E833)))))-COUNTBLANK(OFFSET(A$1,,,SUMPRODUCT(MAX(ROW(E$1:E832)*(E2=E$1:E832))))))</f>
        <v> </v>
      </c>
      <c r="K833" s="26" t="str">
        <f>IF(OR(E833="",E833="!!!",F833="NEW"),"",INDEX(J$1:J832,SUMPRODUCT(MAX(ROW(E$1:E832)*(E833=E$1:E832)))))</f>
        <v> </v>
      </c>
      <c r="L833" s="27"/>
    </row>
    <row r="834" spans="1:12">
      <c r="A834" s="20" t="s">
        <v>186</v>
      </c>
      <c r="E834" s="22">
        <f>IF(D834="?OLD","!!!","")</f>
        <v/>
      </c>
      <c r="F834" s="23" t="str">
        <f>IF(OR(E834="",E834="!!!"),"",IF(NOT(ISNA(VLOOKUP(E834,E$1:E833,1,FALSE()))),"OLD",IF(AND(E834&lt;&gt;"",E834&lt;&gt;"!!!"),"NEW","")))</f>
        <v> </v>
      </c>
      <c r="G834" s="24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5" t="str">
        <f>IF(J834&lt;&gt;1,"",IF(I834="SBJ","CB","?"))</f>
        <v> </v>
      </c>
      <c r="I834" s="26" t="str">
        <f>IF(OR(E834="",E834="!!!",F834="NEW"),"",INDEX(B833:B$2,-1+SUMPRODUCT(MAX(ROW(E833:E$2)*(E834=E833:E$2)))))</f>
        <v> </v>
      </c>
      <c r="J834" s="26" t="str">
        <f>IF(OR(E834="",E834="!!!",F834="NEW"),"",COUNTBLANK(OFFSET(A$1,,,SUMPRODUCT(MAX(ROW(E$2:E834)*(E834=E$2:E834)))))-COUNTBLANK(OFFSET(A$1,,,SUMPRODUCT(MAX(ROW(E$1:E833)*(E2=E$1:E833))))))</f>
        <v> </v>
      </c>
      <c r="K834" s="26" t="str">
        <f>IF(OR(E834="",E834="!!!",F834="NEW"),"",INDEX(J$1:J833,SUMPRODUCT(MAX(ROW(E$1:E833)*(E834=E$1:E833)))))</f>
        <v> </v>
      </c>
      <c r="L834" s="27"/>
    </row>
    <row r="835" spans="1:12">
      <c r="A835" s="20" t="s">
        <v>561</v>
      </c>
      <c r="B835" s="21" t="s">
        <v>191</v>
      </c>
      <c r="C835" s="21" t="s">
        <v>175</v>
      </c>
      <c r="E835" s="22">
        <f>IF(D835="?OLD","!!!","")</f>
        <v/>
      </c>
      <c r="F835" s="23" t="str">
        <f>IF(OR(E835="",E835="!!!"),"",IF(NOT(ISNA(VLOOKUP(E835,E$1:E834,1,FALSE()))),"OLD",IF(AND(E835&lt;&gt;"",E835&lt;&gt;"!!!"),"NEW","")))</f>
        <v> </v>
      </c>
      <c r="G835" s="24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5" t="str">
        <f>IF(J835&lt;&gt;1,"",IF(I835="SBJ","CB","?"))</f>
        <v> </v>
      </c>
      <c r="I835" s="26" t="str">
        <f>IF(OR(E835="",E835="!!!",F835="NEW"),"",INDEX(B834:B$2,-1+SUMPRODUCT(MAX(ROW(E834:E$2)*(E835=E834:E$2)))))</f>
        <v> </v>
      </c>
      <c r="J835" s="26" t="str">
        <f>IF(OR(E835="",E835="!!!",F835="NEW"),"",COUNTBLANK(OFFSET(A$1,,,SUMPRODUCT(MAX(ROW(E$2:E835)*(E835=E$2:E835)))))-COUNTBLANK(OFFSET(A$1,,,SUMPRODUCT(MAX(ROW(E$1:E834)*(E2=E$1:E834))))))</f>
        <v> </v>
      </c>
      <c r="K835" s="26" t="str">
        <f>IF(OR(E835="",E835="!!!",F835="NEW"),"",INDEX(J$1:J834,SUMPRODUCT(MAX(ROW(E$1:E834)*(E835=E$1:E834)))))</f>
        <v> </v>
      </c>
      <c r="L835" s="27"/>
    </row>
    <row r="836" spans="1:12">
      <c r="A836" s="20" t="s">
        <v>220</v>
      </c>
      <c r="E836" s="22">
        <f>IF(D836="?OLD","!!!","")</f>
        <v/>
      </c>
      <c r="F836" s="23" t="str">
        <f>IF(OR(E836="",E836="!!!"),"",IF(NOT(ISNA(VLOOKUP(E836,E$1:E835,1,FALSE()))),"OLD",IF(AND(E836&lt;&gt;"",E836&lt;&gt;"!!!"),"NEW","")))</f>
        <v> </v>
      </c>
      <c r="G836" s="24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5" t="str">
        <f>IF(J836&lt;&gt;1,"",IF(I836="SBJ","CB","?"))</f>
        <v> </v>
      </c>
      <c r="I836" s="26" t="str">
        <f>IF(OR(E836="",E836="!!!",F836="NEW"),"",INDEX(B835:B$2,-1+SUMPRODUCT(MAX(ROW(E835:E$2)*(E836=E835:E$2)))))</f>
        <v> </v>
      </c>
      <c r="J836" s="26" t="str">
        <f>IF(OR(E836="",E836="!!!",F836="NEW"),"",COUNTBLANK(OFFSET(A$1,,,SUMPRODUCT(MAX(ROW(E$2:E836)*(E836=E$2:E836)))))-COUNTBLANK(OFFSET(A$1,,,SUMPRODUCT(MAX(ROW(E$1:E835)*(E2=E$1:E835))))))</f>
        <v> </v>
      </c>
      <c r="K836" s="26" t="str">
        <f>IF(OR(E836="",E836="!!!",F836="NEW"),"",INDEX(J$1:J835,SUMPRODUCT(MAX(ROW(E$1:E835)*(E836=E$1:E835)))))</f>
        <v> </v>
      </c>
      <c r="L836" s="27"/>
    </row>
    <row r="837" spans="1:12">
      <c r="A837" s="20"/>
    </row>
    <row r="838" spans="1:12">
      <c r="A838" s="20" t="s">
        <v>562</v>
      </c>
    </row>
    <row r="839" spans="1:12">
      <c r="A839" s="20" t="s">
        <v>563</v>
      </c>
      <c r="E839" s="22">
        <f>IF(D839="?OLD","!!!","")</f>
        <v/>
      </c>
      <c r="F839" s="23" t="str">
        <f>IF(OR(E839="",E839="!!!"),"",IF(NOT(ISNA(VLOOKUP(E839,E$1:E838,1,FALSE()))),"OLD",IF(AND(E839&lt;&gt;"",E839&lt;&gt;"!!!"),"NEW","")))</f>
        <v> </v>
      </c>
      <c r="G839" s="24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5" t="str">
        <f>IF(J839&lt;&gt;1,"",IF(I839="SBJ","CB","?"))</f>
        <v> </v>
      </c>
      <c r="I839" s="26" t="str">
        <f>IF(OR(E839="",E839="!!!",F839="NEW"),"",INDEX(B838:B$2,-1+SUMPRODUCT(MAX(ROW(E838:E$2)*(E839=E838:E$2)))))</f>
        <v> </v>
      </c>
      <c r="J839" s="26" t="str">
        <f>IF(OR(E839="",E839="!!!",F839="NEW"),"",COUNTBLANK(OFFSET(A$1,,,SUMPRODUCT(MAX(ROW(E$2:E839)*(E839=E$2:E839)))))-COUNTBLANK(OFFSET(A$1,,,SUMPRODUCT(MAX(ROW(E$1:E838)*(E2=E$1:E838))))))</f>
        <v> </v>
      </c>
      <c r="K839" s="26" t="str">
        <f>IF(OR(E839="",E839="!!!",F839="NEW"),"",INDEX(J$1:J838,SUMPRODUCT(MAX(ROW(E$1:E838)*(E839=E$1:E838)))))</f>
        <v> </v>
      </c>
      <c r="L839" s="27"/>
    </row>
    <row r="840" spans="1:12">
      <c r="A840" s="20" t="s">
        <v>559</v>
      </c>
      <c r="E840" s="22">
        <f>IF(D840="?OLD","!!!","")</f>
        <v/>
      </c>
      <c r="F840" s="23" t="str">
        <f>IF(OR(E840="",E840="!!!"),"",IF(NOT(ISNA(VLOOKUP(E840,E$1:E839,1,FALSE()))),"OLD",IF(AND(E840&lt;&gt;"",E840&lt;&gt;"!!!"),"NEW","")))</f>
        <v> </v>
      </c>
      <c r="G840" s="24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5" t="str">
        <f>IF(J840&lt;&gt;1,"",IF(I840="SBJ","CB","?"))</f>
        <v> </v>
      </c>
      <c r="I840" s="26" t="str">
        <f>IF(OR(E840="",E840="!!!",F840="NEW"),"",INDEX(B839:B$2,-1+SUMPRODUCT(MAX(ROW(E839:E$2)*(E840=E839:E$2)))))</f>
        <v> </v>
      </c>
      <c r="J840" s="26" t="str">
        <f>IF(OR(E840="",E840="!!!",F840="NEW"),"",COUNTBLANK(OFFSET(A$1,,,SUMPRODUCT(MAX(ROW(E$2:E840)*(E840=E$2:E840)))))-COUNTBLANK(OFFSET(A$1,,,SUMPRODUCT(MAX(ROW(E$1:E839)*(E2=E$1:E839))))))</f>
        <v> </v>
      </c>
      <c r="K840" s="26" t="str">
        <f>IF(OR(E840="",E840="!!!",F840="NEW"),"",INDEX(J$1:J839,SUMPRODUCT(MAX(ROW(E$1:E839)*(E840=E$1:E839)))))</f>
        <v> </v>
      </c>
      <c r="L840" s="27"/>
    </row>
    <row r="841" spans="1:12">
      <c r="A841" s="20" t="s">
        <v>311</v>
      </c>
      <c r="E841" s="22">
        <f>IF(D841="?OLD","!!!","")</f>
        <v/>
      </c>
      <c r="F841" s="23" t="str">
        <f>IF(OR(E841="",E841="!!!"),"",IF(NOT(ISNA(VLOOKUP(E841,E$1:E840,1,FALSE()))),"OLD",IF(AND(E841&lt;&gt;"",E841&lt;&gt;"!!!"),"NEW","")))</f>
        <v> </v>
      </c>
      <c r="G841" s="24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5" t="str">
        <f>IF(J841&lt;&gt;1,"",IF(I841="SBJ","CB","?"))</f>
        <v> </v>
      </c>
      <c r="I841" s="26" t="str">
        <f>IF(OR(E841="",E841="!!!",F841="NEW"),"",INDEX(B840:B$2,-1+SUMPRODUCT(MAX(ROW(E840:E$2)*(E841=E840:E$2)))))</f>
        <v> </v>
      </c>
      <c r="J841" s="26" t="str">
        <f>IF(OR(E841="",E841="!!!",F841="NEW"),"",COUNTBLANK(OFFSET(A$1,,,SUMPRODUCT(MAX(ROW(E$2:E841)*(E841=E$2:E841)))))-COUNTBLANK(OFFSET(A$1,,,SUMPRODUCT(MAX(ROW(E$1:E840)*(E2=E$1:E840))))))</f>
        <v> </v>
      </c>
      <c r="K841" s="26" t="str">
        <f>IF(OR(E841="",E841="!!!",F841="NEW"),"",INDEX(J$1:J840,SUMPRODUCT(MAX(ROW(E$1:E840)*(E841=E$1:E840)))))</f>
        <v> </v>
      </c>
      <c r="L841" s="27"/>
    </row>
    <row r="842" spans="1:12">
      <c r="A842" s="20" t="s">
        <v>564</v>
      </c>
      <c r="B842" s="21" t="s">
        <v>166</v>
      </c>
      <c r="C842" s="21" t="s">
        <v>205</v>
      </c>
      <c r="E842" s="22">
        <f>IF(D842="?OLD","!!!","")</f>
        <v/>
      </c>
      <c r="F842" s="23" t="str">
        <f>IF(OR(E842="",E842="!!!"),"",IF(NOT(ISNA(VLOOKUP(E842,E$1:E841,1,FALSE()))),"OLD",IF(AND(E842&lt;&gt;"",E842&lt;&gt;"!!!"),"NEW","")))</f>
        <v> </v>
      </c>
      <c r="G842" s="24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5" t="str">
        <f>IF(J842&lt;&gt;1,"",IF(I842="SBJ","CB","?"))</f>
        <v> </v>
      </c>
      <c r="I842" s="26" t="str">
        <f>IF(OR(E842="",E842="!!!",F842="NEW"),"",INDEX(B841:B$2,-1+SUMPRODUCT(MAX(ROW(E841:E$2)*(E842=E841:E$2)))))</f>
        <v> </v>
      </c>
      <c r="J842" s="26" t="str">
        <f>IF(OR(E842="",E842="!!!",F842="NEW"),"",COUNTBLANK(OFFSET(A$1,,,SUMPRODUCT(MAX(ROW(E$2:E842)*(E842=E$2:E842)))))-COUNTBLANK(OFFSET(A$1,,,SUMPRODUCT(MAX(ROW(E$1:E841)*(E2=E$1:E841))))))</f>
        <v> </v>
      </c>
      <c r="K842" s="26" t="str">
        <f>IF(OR(E842="",E842="!!!",F842="NEW"),"",INDEX(J$1:J841,SUMPRODUCT(MAX(ROW(E$1:E841)*(E842=E$1:E841)))))</f>
        <v> </v>
      </c>
      <c r="L842" s="27"/>
    </row>
    <row r="843" spans="1:12">
      <c r="A843" s="20" t="s">
        <v>193</v>
      </c>
      <c r="E843" s="22">
        <f>IF(D843="?OLD","!!!","")</f>
        <v/>
      </c>
      <c r="F843" s="23" t="str">
        <f>IF(OR(E843="",E843="!!!"),"",IF(NOT(ISNA(VLOOKUP(E843,E$1:E842,1,FALSE()))),"OLD",IF(AND(E843&lt;&gt;"",E843&lt;&gt;"!!!"),"NEW","")))</f>
        <v> </v>
      </c>
      <c r="G843" s="24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5" t="str">
        <f>IF(J843&lt;&gt;1,"",IF(I843="SBJ","CB","?"))</f>
        <v> </v>
      </c>
      <c r="I843" s="26" t="str">
        <f>IF(OR(E843="",E843="!!!",F843="NEW"),"",INDEX(B842:B$2,-1+SUMPRODUCT(MAX(ROW(E842:E$2)*(E843=E842:E$2)))))</f>
        <v> </v>
      </c>
      <c r="J843" s="26" t="str">
        <f>IF(OR(E843="",E843="!!!",F843="NEW"),"",COUNTBLANK(OFFSET(A$1,,,SUMPRODUCT(MAX(ROW(E$2:E843)*(E843=E$2:E843)))))-COUNTBLANK(OFFSET(A$1,,,SUMPRODUCT(MAX(ROW(E$1:E842)*(E2=E$1:E842))))))</f>
        <v> </v>
      </c>
      <c r="K843" s="26" t="str">
        <f>IF(OR(E843="",E843="!!!",F843="NEW"),"",INDEX(J$1:J842,SUMPRODUCT(MAX(ROW(E$1:E842)*(E843=E$1:E842)))))</f>
        <v> </v>
      </c>
      <c r="L843" s="27"/>
    </row>
    <row r="844" spans="1:12">
      <c r="A844" s="20" t="s">
        <v>465</v>
      </c>
      <c r="B844" s="21" t="s">
        <v>265</v>
      </c>
      <c r="C844" s="21" t="s">
        <v>185</v>
      </c>
      <c r="D844" s="21" t="s">
        <v>168</v>
      </c>
      <c r="E844" s="22">
        <f>IF(D844="?OLD","!!!","")</f>
        <v/>
      </c>
      <c r="F844" s="23" t="str">
        <f>IF(OR(E844="",E844="!!!"),"",IF(NOT(ISNA(VLOOKUP(E844,E$1:E843,1,FALSE()))),"OLD",IF(AND(E844&lt;&gt;"",E844&lt;&gt;"!!!"),"NEW","")))</f>
        <v> </v>
      </c>
      <c r="G844" s="24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5" t="str">
        <f>IF(J844&lt;&gt;1,"",IF(I844="SBJ","CB","?"))</f>
        <v> </v>
      </c>
      <c r="I844" s="26" t="str">
        <f>IF(OR(E844="",E844="!!!",F844="NEW"),"",INDEX(B843:B$2,-1+SUMPRODUCT(MAX(ROW(E843:E$2)*(E844=E843:E$2)))))</f>
        <v> </v>
      </c>
      <c r="J844" s="26" t="str">
        <f>IF(OR(E844="",E844="!!!",F844="NEW"),"",COUNTBLANK(OFFSET(A$1,,,SUMPRODUCT(MAX(ROW(E$2:E844)*(E844=E$2:E844)))))-COUNTBLANK(OFFSET(A$1,,,SUMPRODUCT(MAX(ROW(E$1:E843)*(E2=E$1:E843))))))</f>
        <v> </v>
      </c>
      <c r="K844" s="26" t="str">
        <f>IF(OR(E844="",E844="!!!",F844="NEW"),"",INDEX(J$1:J843,SUMPRODUCT(MAX(ROW(E$1:E843)*(E844=E$1:E843)))))</f>
        <v> </v>
      </c>
      <c r="L844" s="27"/>
    </row>
    <row r="845" spans="1:12">
      <c r="A845" s="20" t="s">
        <v>183</v>
      </c>
      <c r="B845" s="21" t="s">
        <v>184</v>
      </c>
      <c r="C845" s="21" t="s">
        <v>185</v>
      </c>
      <c r="D845" s="21" t="s">
        <v>168</v>
      </c>
      <c r="E845" s="22">
        <f>IF(D845="?OLD","!!!","")</f>
        <v/>
      </c>
      <c r="F845" s="23" t="str">
        <f>IF(OR(E845="",E845="!!!"),"",IF(NOT(ISNA(VLOOKUP(E845,E$1:E844,1,FALSE()))),"OLD",IF(AND(E845&lt;&gt;"",E845&lt;&gt;"!!!"),"NEW","")))</f>
        <v> </v>
      </c>
      <c r="G845" s="24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5" t="str">
        <f>IF(J845&lt;&gt;1,"",IF(I845="SBJ","CB","?"))</f>
        <v> </v>
      </c>
      <c r="I845" s="26" t="str">
        <f>IF(OR(E845="",E845="!!!",F845="NEW"),"",INDEX(B844:B$2,-1+SUMPRODUCT(MAX(ROW(E844:E$2)*(E845=E844:E$2)))))</f>
        <v> </v>
      </c>
      <c r="J845" s="26" t="str">
        <f>IF(OR(E845="",E845="!!!",F845="NEW"),"",COUNTBLANK(OFFSET(A$1,,,SUMPRODUCT(MAX(ROW(E$2:E845)*(E845=E$2:E845)))))-COUNTBLANK(OFFSET(A$1,,,SUMPRODUCT(MAX(ROW(E$1:E844)*(E2=E$1:E844))))))</f>
        <v> </v>
      </c>
      <c r="K845" s="26" t="str">
        <f>IF(OR(E845="",E845="!!!",F845="NEW"),"",INDEX(J$1:J844,SUMPRODUCT(MAX(ROW(E$1:E844)*(E845=E$1:E844)))))</f>
        <v> </v>
      </c>
      <c r="L845" s="27"/>
    </row>
    <row r="846" spans="1:12">
      <c r="A846" s="20" t="s">
        <v>565</v>
      </c>
      <c r="E846" s="22">
        <f>IF(D846="?OLD","!!!","")</f>
        <v/>
      </c>
      <c r="F846" s="23" t="str">
        <f>IF(OR(E846="",E846="!!!"),"",IF(NOT(ISNA(VLOOKUP(E846,E$1:E845,1,FALSE()))),"OLD",IF(AND(E846&lt;&gt;"",E846&lt;&gt;"!!!"),"NEW","")))</f>
        <v> </v>
      </c>
      <c r="G846" s="24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5" t="str">
        <f>IF(J846&lt;&gt;1,"",IF(I846="SBJ","CB","?"))</f>
        <v> </v>
      </c>
      <c r="I846" s="26" t="str">
        <f>IF(OR(E846="",E846="!!!",F846="NEW"),"",INDEX(B845:B$2,-1+SUMPRODUCT(MAX(ROW(E845:E$2)*(E846=E845:E$2)))))</f>
        <v> </v>
      </c>
      <c r="J846" s="26" t="str">
        <f>IF(OR(E846="",E846="!!!",F846="NEW"),"",COUNTBLANK(OFFSET(A$1,,,SUMPRODUCT(MAX(ROW(E$2:E846)*(E846=E$2:E846)))))-COUNTBLANK(OFFSET(A$1,,,SUMPRODUCT(MAX(ROW(E$1:E845)*(E2=E$1:E845))))))</f>
        <v> </v>
      </c>
      <c r="K846" s="26" t="str">
        <f>IF(OR(E846="",E846="!!!",F846="NEW"),"",INDEX(J$1:J845,SUMPRODUCT(MAX(ROW(E$1:E845)*(E846=E$1:E845)))))</f>
        <v> </v>
      </c>
      <c r="L846" s="27"/>
    </row>
    <row r="847" spans="1:12">
      <c r="A847" s="20" t="s">
        <v>566</v>
      </c>
      <c r="E847" s="22">
        <f>IF(D847="?OLD","!!!","")</f>
        <v/>
      </c>
      <c r="F847" s="23" t="str">
        <f>IF(OR(E847="",E847="!!!"),"",IF(NOT(ISNA(VLOOKUP(E847,E$1:E846,1,FALSE()))),"OLD",IF(AND(E847&lt;&gt;"",E847&lt;&gt;"!!!"),"NEW","")))</f>
        <v> </v>
      </c>
      <c r="G847" s="24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5" t="str">
        <f>IF(J847&lt;&gt;1,"",IF(I847="SBJ","CB","?"))</f>
        <v> </v>
      </c>
      <c r="I847" s="26" t="str">
        <f>IF(OR(E847="",E847="!!!",F847="NEW"),"",INDEX(B846:B$2,-1+SUMPRODUCT(MAX(ROW(E846:E$2)*(E847=E846:E$2)))))</f>
        <v> </v>
      </c>
      <c r="J847" s="26" t="str">
        <f>IF(OR(E847="",E847="!!!",F847="NEW"),"",COUNTBLANK(OFFSET(A$1,,,SUMPRODUCT(MAX(ROW(E$2:E847)*(E847=E$2:E847)))))-COUNTBLANK(OFFSET(A$1,,,SUMPRODUCT(MAX(ROW(E$1:E846)*(E2=E$1:E846))))))</f>
        <v> </v>
      </c>
      <c r="K847" s="26" t="str">
        <f>IF(OR(E847="",E847="!!!",F847="NEW"),"",INDEX(J$1:J846,SUMPRODUCT(MAX(ROW(E$1:E846)*(E847=E$1:E846)))))</f>
        <v> </v>
      </c>
      <c r="L847" s="27"/>
    </row>
    <row r="848" spans="1:12">
      <c r="A848" s="20" t="s">
        <v>567</v>
      </c>
      <c r="E848" s="22">
        <f>IF(D848="?OLD","!!!","")</f>
        <v/>
      </c>
      <c r="F848" s="23" t="str">
        <f>IF(OR(E848="",E848="!!!"),"",IF(NOT(ISNA(VLOOKUP(E848,E$1:E847,1,FALSE()))),"OLD",IF(AND(E848&lt;&gt;"",E848&lt;&gt;"!!!"),"NEW","")))</f>
        <v> </v>
      </c>
      <c r="G848" s="24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5" t="str">
        <f>IF(J848&lt;&gt;1,"",IF(I848="SBJ","CB","?"))</f>
        <v> </v>
      </c>
      <c r="I848" s="26" t="str">
        <f>IF(OR(E848="",E848="!!!",F848="NEW"),"",INDEX(B847:B$2,-1+SUMPRODUCT(MAX(ROW(E847:E$2)*(E848=E847:E$2)))))</f>
        <v> </v>
      </c>
      <c r="J848" s="26" t="str">
        <f>IF(OR(E848="",E848="!!!",F848="NEW"),"",COUNTBLANK(OFFSET(A$1,,,SUMPRODUCT(MAX(ROW(E$2:E848)*(E848=E$2:E848)))))-COUNTBLANK(OFFSET(A$1,,,SUMPRODUCT(MAX(ROW(E$1:E847)*(E2=E$1:E847))))))</f>
        <v> </v>
      </c>
      <c r="K848" s="26" t="str">
        <f>IF(OR(E848="",E848="!!!",F848="NEW"),"",INDEX(J$1:J847,SUMPRODUCT(MAX(ROW(E$1:E847)*(E848=E$1:E847)))))</f>
        <v> </v>
      </c>
      <c r="L848" s="27"/>
    </row>
    <row r="849" spans="1:12">
      <c r="A849" s="20" t="s">
        <v>220</v>
      </c>
      <c r="E849" s="22">
        <f>IF(D849="?OLD","!!!","")</f>
        <v/>
      </c>
      <c r="F849" s="23" t="str">
        <f>IF(OR(E849="",E849="!!!"),"",IF(NOT(ISNA(VLOOKUP(E849,E$1:E848,1,FALSE()))),"OLD",IF(AND(E849&lt;&gt;"",E849&lt;&gt;"!!!"),"NEW","")))</f>
        <v> </v>
      </c>
      <c r="G849" s="24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5" t="str">
        <f>IF(J849&lt;&gt;1,"",IF(I849="SBJ","CB","?"))</f>
        <v> </v>
      </c>
      <c r="I849" s="26" t="str">
        <f>IF(OR(E849="",E849="!!!",F849="NEW"),"",INDEX(B848:B$2,-1+SUMPRODUCT(MAX(ROW(E848:E$2)*(E849=E848:E$2)))))</f>
        <v> </v>
      </c>
      <c r="J849" s="26" t="str">
        <f>IF(OR(E849="",E849="!!!",F849="NEW"),"",COUNTBLANK(OFFSET(A$1,,,SUMPRODUCT(MAX(ROW(E$2:E849)*(E849=E$2:E849)))))-COUNTBLANK(OFFSET(A$1,,,SUMPRODUCT(MAX(ROW(E$1:E848)*(E2=E$1:E848))))))</f>
        <v> </v>
      </c>
      <c r="K849" s="26" t="str">
        <f>IF(OR(E849="",E849="!!!",F849="NEW"),"",INDEX(J$1:J848,SUMPRODUCT(MAX(ROW(E$1:E848)*(E849=E$1:E848)))))</f>
        <v> </v>
      </c>
      <c r="L849" s="27"/>
    </row>
    <row r="850" spans="1:12">
      <c r="A850" s="20"/>
    </row>
    <row r="851" spans="1:12">
      <c r="A851" s="20" t="s">
        <v>568</v>
      </c>
    </row>
    <row r="852" spans="1:12">
      <c r="A852" s="20" t="s">
        <v>569</v>
      </c>
      <c r="B852" s="21" t="s">
        <v>199</v>
      </c>
      <c r="C852" s="21" t="s">
        <v>185</v>
      </c>
      <c r="D852" s="21" t="s">
        <v>168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 t="s">
        <v>259</v>
      </c>
      <c r="E853" s="22">
        <f>IF(D853="?OLD","!!!","")</f>
        <v/>
      </c>
      <c r="F853" s="23" t="str">
        <f>IF(OR(E853="",E853="!!!"),"",IF(NOT(ISNA(VLOOKUP(E853,E$1:E852,1,FALSE()))),"OLD",IF(AND(E853&lt;&gt;"",E853&lt;&gt;"!!!"),"NEW","")))</f>
        <v> </v>
      </c>
      <c r="G853" s="24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5" t="str">
        <f>IF(J853&lt;&gt;1,"",IF(I853="SBJ","CB","?"))</f>
        <v> </v>
      </c>
      <c r="I853" s="26" t="str">
        <f>IF(OR(E853="",E853="!!!",F853="NEW"),"",INDEX(B852:B$2,-1+SUMPRODUCT(MAX(ROW(E852:E$2)*(E853=E852:E$2)))))</f>
        <v> </v>
      </c>
      <c r="J853" s="26" t="str">
        <f>IF(OR(E853="",E853="!!!",F853="NEW"),"",COUNTBLANK(OFFSET(A$1,,,SUMPRODUCT(MAX(ROW(E$2:E853)*(E853=E$2:E853)))))-COUNTBLANK(OFFSET(A$1,,,SUMPRODUCT(MAX(ROW(E$1:E852)*(E2=E$1:E852))))))</f>
        <v> </v>
      </c>
      <c r="K853" s="26" t="str">
        <f>IF(OR(E853="",E853="!!!",F853="NEW"),"",INDEX(J$1:J852,SUMPRODUCT(MAX(ROW(E$1:E852)*(E853=E$1:E852)))))</f>
        <v> </v>
      </c>
      <c r="L853" s="27"/>
    </row>
    <row r="854" spans="1:12">
      <c r="A854" s="20" t="s">
        <v>183</v>
      </c>
      <c r="B854" s="21" t="s">
        <v>195</v>
      </c>
      <c r="C854" s="21" t="s">
        <v>185</v>
      </c>
      <c r="D854" s="21" t="s">
        <v>168</v>
      </c>
      <c r="E854" s="22">
        <f>IF(D854="?OLD","!!!","")</f>
        <v/>
      </c>
      <c r="F854" s="23" t="str">
        <f>IF(OR(E854="",E854="!!!"),"",IF(NOT(ISNA(VLOOKUP(E854,E$1:E853,1,FALSE()))),"OLD",IF(AND(E854&lt;&gt;"",E854&lt;&gt;"!!!"),"NEW","")))</f>
        <v> </v>
      </c>
      <c r="G854" s="24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5" t="str">
        <f>IF(J854&lt;&gt;1,"",IF(I854="SBJ","CB","?"))</f>
        <v> </v>
      </c>
      <c r="I854" s="26" t="str">
        <f>IF(OR(E854="",E854="!!!",F854="NEW"),"",INDEX(B853:B$2,-1+SUMPRODUCT(MAX(ROW(E853:E$2)*(E854=E853:E$2)))))</f>
        <v> </v>
      </c>
      <c r="J854" s="26" t="str">
        <f>IF(OR(E854="",E854="!!!",F854="NEW"),"",COUNTBLANK(OFFSET(A$1,,,SUMPRODUCT(MAX(ROW(E$2:E854)*(E854=E$2:E854)))))-COUNTBLANK(OFFSET(A$1,,,SUMPRODUCT(MAX(ROW(E$1:E853)*(E2=E$1:E853))))))</f>
        <v> </v>
      </c>
      <c r="K854" s="26" t="str">
        <f>IF(OR(E854="",E854="!!!",F854="NEW"),"",INDEX(J$1:J853,SUMPRODUCT(MAX(ROW(E$1:E853)*(E854=E$1:E853)))))</f>
        <v> </v>
      </c>
      <c r="L854" s="27"/>
    </row>
    <row r="855" spans="1:12">
      <c r="A855" s="20" t="s">
        <v>570</v>
      </c>
      <c r="E855" s="22">
        <f>IF(D855="?OLD","!!!","")</f>
        <v/>
      </c>
      <c r="F855" s="23" t="str">
        <f>IF(OR(E855="",E855="!!!"),"",IF(NOT(ISNA(VLOOKUP(E855,E$1:E854,1,FALSE()))),"OLD",IF(AND(E855&lt;&gt;"",E855&lt;&gt;"!!!"),"NEW","")))</f>
        <v> </v>
      </c>
      <c r="G855" s="24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5" t="str">
        <f>IF(J855&lt;&gt;1,"",IF(I855="SBJ","CB","?"))</f>
        <v> </v>
      </c>
      <c r="I855" s="26" t="str">
        <f>IF(OR(E855="",E855="!!!",F855="NEW"),"",INDEX(B854:B$2,-1+SUMPRODUCT(MAX(ROW(E854:E$2)*(E855=E854:E$2)))))</f>
        <v> </v>
      </c>
      <c r="J855" s="26" t="str">
        <f>IF(OR(E855="",E855="!!!",F855="NEW"),"",COUNTBLANK(OFFSET(A$1,,,SUMPRODUCT(MAX(ROW(E$2:E855)*(E855=E$2:E855)))))-COUNTBLANK(OFFSET(A$1,,,SUMPRODUCT(MAX(ROW(E$1:E854)*(E2=E$1:E854))))))</f>
        <v> </v>
      </c>
      <c r="K855" s="26" t="str">
        <f>IF(OR(E855="",E855="!!!",F855="NEW"),"",INDEX(J$1:J854,SUMPRODUCT(MAX(ROW(E$1:E854)*(E855=E$1:E854)))))</f>
        <v> </v>
      </c>
      <c r="L855" s="27"/>
    </row>
    <row r="856" spans="1:12">
      <c r="A856" s="20" t="s">
        <v>571</v>
      </c>
      <c r="E856" s="22">
        <f>IF(D856="?OLD","!!!","")</f>
        <v/>
      </c>
      <c r="F856" s="23" t="str">
        <f>IF(OR(E856="",E856="!!!"),"",IF(NOT(ISNA(VLOOKUP(E856,E$1:E855,1,FALSE()))),"OLD",IF(AND(E856&lt;&gt;"",E856&lt;&gt;"!!!"),"NEW","")))</f>
        <v> </v>
      </c>
      <c r="G856" s="24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5" t="str">
        <f>IF(J856&lt;&gt;1,"",IF(I856="SBJ","CB","?"))</f>
        <v> </v>
      </c>
      <c r="I856" s="26" t="str">
        <f>IF(OR(E856="",E856="!!!",F856="NEW"),"",INDEX(B855:B$2,-1+SUMPRODUCT(MAX(ROW(E855:E$2)*(E856=E855:E$2)))))</f>
        <v> </v>
      </c>
      <c r="J856" s="26" t="str">
        <f>IF(OR(E856="",E856="!!!",F856="NEW"),"",COUNTBLANK(OFFSET(A$1,,,SUMPRODUCT(MAX(ROW(E$2:E856)*(E856=E$2:E856)))))-COUNTBLANK(OFFSET(A$1,,,SUMPRODUCT(MAX(ROW(E$1:E855)*(E2=E$1:E855))))))</f>
        <v> </v>
      </c>
      <c r="K856" s="26" t="str">
        <f>IF(OR(E856="",E856="!!!",F856="NEW"),"",INDEX(J$1:J855,SUMPRODUCT(MAX(ROW(E$1:E855)*(E856=E$1:E855)))))</f>
        <v> </v>
      </c>
      <c r="L856" s="27"/>
    </row>
    <row r="857" spans="1:12">
      <c r="A857" s="20" t="s">
        <v>539</v>
      </c>
      <c r="E857" s="22">
        <f>IF(D857="?OLD","!!!","")</f>
        <v/>
      </c>
      <c r="F857" s="23" t="str">
        <f>IF(OR(E857="",E857="!!!"),"",IF(NOT(ISNA(VLOOKUP(E857,E$1:E856,1,FALSE()))),"OLD",IF(AND(E857&lt;&gt;"",E857&lt;&gt;"!!!"),"NEW","")))</f>
        <v> </v>
      </c>
      <c r="G857" s="24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5" t="str">
        <f>IF(J857&lt;&gt;1,"",IF(I857="SBJ","CB","?"))</f>
        <v> </v>
      </c>
      <c r="I857" s="26" t="str">
        <f>IF(OR(E857="",E857="!!!",F857="NEW"),"",INDEX(B856:B$2,-1+SUMPRODUCT(MAX(ROW(E856:E$2)*(E857=E856:E$2)))))</f>
        <v> </v>
      </c>
      <c r="J857" s="26" t="str">
        <f>IF(OR(E857="",E857="!!!",F857="NEW"),"",COUNTBLANK(OFFSET(A$1,,,SUMPRODUCT(MAX(ROW(E$2:E857)*(E857=E$2:E857)))))-COUNTBLANK(OFFSET(A$1,,,SUMPRODUCT(MAX(ROW(E$1:E856)*(E2=E$1:E856))))))</f>
        <v> </v>
      </c>
      <c r="K857" s="26" t="str">
        <f>IF(OR(E857="",E857="!!!",F857="NEW"),"",INDEX(J$1:J856,SUMPRODUCT(MAX(ROW(E$1:E856)*(E857=E$1:E856)))))</f>
        <v> </v>
      </c>
      <c r="L857" s="27"/>
    </row>
    <row r="858" spans="1:12">
      <c r="A858" s="20"/>
    </row>
    <row r="859" spans="1:12">
      <c r="A859" s="20" t="s">
        <v>572</v>
      </c>
    </row>
    <row r="860" spans="1:12">
      <c r="A860" s="20" t="s">
        <v>279</v>
      </c>
      <c r="B860" s="21" t="s">
        <v>195</v>
      </c>
      <c r="C860" s="21" t="s">
        <v>214</v>
      </c>
      <c r="D860" s="21" t="s">
        <v>168</v>
      </c>
      <c r="E860" s="22">
        <f>IF(D860="?OLD","!!!","")</f>
        <v/>
      </c>
      <c r="F860" s="23" t="str">
        <f>IF(OR(E860="",E860="!!!"),"",IF(NOT(ISNA(VLOOKUP(E860,E$1:E859,1,FALSE()))),"OLD",IF(AND(E860&lt;&gt;"",E860&lt;&gt;"!!!"),"NEW","")))</f>
        <v> </v>
      </c>
      <c r="G860" s="24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5" t="str">
        <f>IF(J860&lt;&gt;1,"",IF(I860="SBJ","CB","?"))</f>
        <v> </v>
      </c>
      <c r="I860" s="26" t="str">
        <f>IF(OR(E860="",E860="!!!",F860="NEW"),"",INDEX(B859:B$2,-1+SUMPRODUCT(MAX(ROW(E859:E$2)*(E860=E859:E$2)))))</f>
        <v> </v>
      </c>
      <c r="J860" s="26" t="str">
        <f>IF(OR(E860="",E860="!!!",F860="NEW"),"",COUNTBLANK(OFFSET(A$1,,,SUMPRODUCT(MAX(ROW(E$2:E860)*(E860=E$2:E860)))))-COUNTBLANK(OFFSET(A$1,,,SUMPRODUCT(MAX(ROW(E$1:E859)*(E2=E$1:E859))))))</f>
        <v> </v>
      </c>
      <c r="K860" s="26" t="str">
        <f>IF(OR(E860="",E860="!!!",F860="NEW"),"",INDEX(J$1:J859,SUMPRODUCT(MAX(ROW(E$1:E859)*(E860=E$1:E859)))))</f>
        <v> </v>
      </c>
      <c r="L860" s="27"/>
    </row>
    <row r="861" spans="1:12">
      <c r="A861" s="20" t="s">
        <v>549</v>
      </c>
      <c r="E861" s="22">
        <f>IF(D861="?OLD","!!!","")</f>
        <v/>
      </c>
      <c r="F861" s="23" t="str">
        <f>IF(OR(E861="",E861="!!!"),"",IF(NOT(ISNA(VLOOKUP(E861,E$1:E860,1,FALSE()))),"OLD",IF(AND(E861&lt;&gt;"",E861&lt;&gt;"!!!"),"NEW","")))</f>
        <v> </v>
      </c>
      <c r="G861" s="24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5" t="str">
        <f>IF(J861&lt;&gt;1,"",IF(I861="SBJ","CB","?"))</f>
        <v> </v>
      </c>
      <c r="I861" s="26" t="str">
        <f>IF(OR(E861="",E861="!!!",F861="NEW"),"",INDEX(B860:B$2,-1+SUMPRODUCT(MAX(ROW(E860:E$2)*(E861=E860:E$2)))))</f>
        <v> </v>
      </c>
      <c r="J861" s="26" t="str">
        <f>IF(OR(E861="",E861="!!!",F861="NEW"),"",COUNTBLANK(OFFSET(A$1,,,SUMPRODUCT(MAX(ROW(E$2:E861)*(E861=E$2:E861)))))-COUNTBLANK(OFFSET(A$1,,,SUMPRODUCT(MAX(ROW(E$1:E860)*(E2=E$1:E860))))))</f>
        <v> </v>
      </c>
      <c r="K861" s="26" t="str">
        <f>IF(OR(E861="",E861="!!!",F861="NEW"),"",INDEX(J$1:J860,SUMPRODUCT(MAX(ROW(E$1:E860)*(E861=E$1:E860)))))</f>
        <v> </v>
      </c>
      <c r="L861" s="27"/>
    </row>
    <row r="862" spans="1:12">
      <c r="A862" s="20" t="s">
        <v>193</v>
      </c>
      <c r="E862" s="22">
        <f>IF(D862="?OLD","!!!","")</f>
        <v/>
      </c>
      <c r="F862" s="23" t="str">
        <f>IF(OR(E862="",E862="!!!"),"",IF(NOT(ISNA(VLOOKUP(E862,E$1:E861,1,FALSE()))),"OLD",IF(AND(E862&lt;&gt;"",E862&lt;&gt;"!!!"),"NEW","")))</f>
        <v> </v>
      </c>
      <c r="G862" s="24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5" t="str">
        <f>IF(J862&lt;&gt;1,"",IF(I862="SBJ","CB","?"))</f>
        <v> </v>
      </c>
      <c r="I862" s="26" t="str">
        <f>IF(OR(E862="",E862="!!!",F862="NEW"),"",INDEX(B861:B$2,-1+SUMPRODUCT(MAX(ROW(E861:E$2)*(E862=E861:E$2)))))</f>
        <v> </v>
      </c>
      <c r="J862" s="26" t="str">
        <f>IF(OR(E862="",E862="!!!",F862="NEW"),"",COUNTBLANK(OFFSET(A$1,,,SUMPRODUCT(MAX(ROW(E$2:E862)*(E862=E$2:E862)))))-COUNTBLANK(OFFSET(A$1,,,SUMPRODUCT(MAX(ROW(E$1:E861)*(E2=E$1:E861))))))</f>
        <v> </v>
      </c>
      <c r="K862" s="26" t="str">
        <f>IF(OR(E862="",E862="!!!",F862="NEW"),"",INDEX(J$1:J861,SUMPRODUCT(MAX(ROW(E$1:E861)*(E862=E$1:E861)))))</f>
        <v> </v>
      </c>
      <c r="L862" s="27"/>
    </row>
    <row r="863" spans="1:12">
      <c r="A863" s="20" t="s">
        <v>311</v>
      </c>
      <c r="E863" s="22">
        <f>IF(D863="?OLD","!!!","")</f>
        <v/>
      </c>
      <c r="F863" s="23" t="str">
        <f>IF(OR(E863="",E863="!!!"),"",IF(NOT(ISNA(VLOOKUP(E863,E$1:E862,1,FALSE()))),"OLD",IF(AND(E863&lt;&gt;"",E863&lt;&gt;"!!!"),"NEW","")))</f>
        <v> </v>
      </c>
      <c r="G863" s="24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5" t="str">
        <f>IF(J863&lt;&gt;1,"",IF(I863="SBJ","CB","?"))</f>
        <v> </v>
      </c>
      <c r="I863" s="26" t="str">
        <f>IF(OR(E863="",E863="!!!",F863="NEW"),"",INDEX(B862:B$2,-1+SUMPRODUCT(MAX(ROW(E862:E$2)*(E863=E862:E$2)))))</f>
        <v> </v>
      </c>
      <c r="J863" s="26" t="str">
        <f>IF(OR(E863="",E863="!!!",F863="NEW"),"",COUNTBLANK(OFFSET(A$1,,,SUMPRODUCT(MAX(ROW(E$2:E863)*(E863=E$2:E863)))))-COUNTBLANK(OFFSET(A$1,,,SUMPRODUCT(MAX(ROW(E$1:E862)*(E2=E$1:E862))))))</f>
        <v> </v>
      </c>
      <c r="K863" s="26" t="str">
        <f>IF(OR(E863="",E863="!!!",F863="NEW"),"",INDEX(J$1:J862,SUMPRODUCT(MAX(ROW(E$1:E862)*(E863=E$1:E862)))))</f>
        <v> </v>
      </c>
      <c r="L863" s="27"/>
    </row>
    <row r="864" spans="1:12">
      <c r="A864" s="20" t="s">
        <v>573</v>
      </c>
      <c r="B864" s="21" t="s">
        <v>180</v>
      </c>
      <c r="C864" s="21" t="s">
        <v>175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574</v>
      </c>
      <c r="E865" s="22">
        <f>IF(D865="?OLD","!!!","")</f>
        <v/>
      </c>
      <c r="F865" s="23" t="str">
        <f>IF(OR(E865="",E865="!!!"),"",IF(NOT(ISNA(VLOOKUP(E865,E$1:E864,1,FALSE()))),"OLD",IF(AND(E865&lt;&gt;"",E865&lt;&gt;"!!!"),"NEW","")))</f>
        <v> </v>
      </c>
      <c r="G865" s="24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5" t="str">
        <f>IF(J865&lt;&gt;1,"",IF(I865="SBJ","CB","?"))</f>
        <v> </v>
      </c>
      <c r="I865" s="26" t="str">
        <f>IF(OR(E865="",E865="!!!",F865="NEW"),"",INDEX(B864:B$2,-1+SUMPRODUCT(MAX(ROW(E864:E$2)*(E865=E864:E$2)))))</f>
        <v> </v>
      </c>
      <c r="J865" s="26" t="str">
        <f>IF(OR(E865="",E865="!!!",F865="NEW"),"",COUNTBLANK(OFFSET(A$1,,,SUMPRODUCT(MAX(ROW(E$2:E865)*(E865=E$2:E865)))))-COUNTBLANK(OFFSET(A$1,,,SUMPRODUCT(MAX(ROW(E$1:E864)*(E2=E$1:E864))))))</f>
        <v> </v>
      </c>
      <c r="K865" s="26" t="str">
        <f>IF(OR(E865="",E865="!!!",F865="NEW"),"",INDEX(J$1:J864,SUMPRODUCT(MAX(ROW(E$1:E864)*(E865=E$1:E864)))))</f>
        <v> </v>
      </c>
      <c r="L865" s="27"/>
    </row>
    <row r="866" spans="1:12">
      <c r="A866" s="20" t="s">
        <v>183</v>
      </c>
      <c r="B866" s="21" t="s">
        <v>184</v>
      </c>
      <c r="C866" s="21" t="s">
        <v>185</v>
      </c>
      <c r="D866" s="21" t="s">
        <v>168</v>
      </c>
      <c r="E866" s="22">
        <f>IF(D866="?OLD","!!!","")</f>
        <v/>
      </c>
      <c r="F866" s="23" t="str">
        <f>IF(OR(E866="",E866="!!!"),"",IF(NOT(ISNA(VLOOKUP(E866,E$1:E865,1,FALSE()))),"OLD",IF(AND(E866&lt;&gt;"",E866&lt;&gt;"!!!"),"NEW","")))</f>
        <v> </v>
      </c>
      <c r="G866" s="24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5" t="str">
        <f>IF(J866&lt;&gt;1,"",IF(I866="SBJ","CB","?"))</f>
        <v> </v>
      </c>
      <c r="I866" s="26" t="str">
        <f>IF(OR(E866="",E866="!!!",F866="NEW"),"",INDEX(B865:B$2,-1+SUMPRODUCT(MAX(ROW(E865:E$2)*(E866=E865:E$2)))))</f>
        <v> </v>
      </c>
      <c r="J866" s="26" t="str">
        <f>IF(OR(E866="",E866="!!!",F866="NEW"),"",COUNTBLANK(OFFSET(A$1,,,SUMPRODUCT(MAX(ROW(E$2:E866)*(E866=E$2:E866)))))-COUNTBLANK(OFFSET(A$1,,,SUMPRODUCT(MAX(ROW(E$1:E865)*(E2=E$1:E865))))))</f>
        <v> </v>
      </c>
      <c r="K866" s="26" t="str">
        <f>IF(OR(E866="",E866="!!!",F866="NEW"),"",INDEX(J$1:J865,SUMPRODUCT(MAX(ROW(E$1:E865)*(E866=E$1:E865)))))</f>
        <v> </v>
      </c>
      <c r="L866" s="27"/>
    </row>
    <row r="867" spans="1:12">
      <c r="A867" s="20" t="s">
        <v>469</v>
      </c>
      <c r="E867" s="22">
        <f>IF(D867="?OLD","!!!","")</f>
        <v/>
      </c>
      <c r="F867" s="23" t="str">
        <f>IF(OR(E867="",E867="!!!"),"",IF(NOT(ISNA(VLOOKUP(E867,E$1:E866,1,FALSE()))),"OLD",IF(AND(E867&lt;&gt;"",E867&lt;&gt;"!!!"),"NEW","")))</f>
        <v> </v>
      </c>
      <c r="G867" s="24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5" t="str">
        <f>IF(J867&lt;&gt;1,"",IF(I867="SBJ","CB","?"))</f>
        <v> </v>
      </c>
      <c r="I867" s="26" t="str">
        <f>IF(OR(E867="",E867="!!!",F867="NEW"),"",INDEX(B866:B$2,-1+SUMPRODUCT(MAX(ROW(E866:E$2)*(E867=E866:E$2)))))</f>
        <v> </v>
      </c>
      <c r="J867" s="26" t="str">
        <f>IF(OR(E867="",E867="!!!",F867="NEW"),"",COUNTBLANK(OFFSET(A$1,,,SUMPRODUCT(MAX(ROW(E$2:E867)*(E867=E$2:E867)))))-COUNTBLANK(OFFSET(A$1,,,SUMPRODUCT(MAX(ROW(E$1:E866)*(E2=E$1:E866))))))</f>
        <v> </v>
      </c>
      <c r="K867" s="26" t="str">
        <f>IF(OR(E867="",E867="!!!",F867="NEW"),"",INDEX(J$1:J866,SUMPRODUCT(MAX(ROW(E$1:E866)*(E867=E$1:E866)))))</f>
        <v> </v>
      </c>
      <c r="L867" s="27"/>
    </row>
    <row r="868" spans="1:12">
      <c r="A868" s="20" t="s">
        <v>203</v>
      </c>
      <c r="E868" s="22">
        <f>IF(D868="?OLD","!!!","")</f>
        <v/>
      </c>
      <c r="F868" s="23" t="str">
        <f>IF(OR(E868="",E868="!!!"),"",IF(NOT(ISNA(VLOOKUP(E868,E$1:E867,1,FALSE()))),"OLD",IF(AND(E868&lt;&gt;"",E868&lt;&gt;"!!!"),"NEW","")))</f>
        <v> </v>
      </c>
      <c r="G868" s="24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5" t="str">
        <f>IF(J868&lt;&gt;1,"",IF(I868="SBJ","CB","?"))</f>
        <v> </v>
      </c>
      <c r="I868" s="26" t="str">
        <f>IF(OR(E868="",E868="!!!",F868="NEW"),"",INDEX(B867:B$2,-1+SUMPRODUCT(MAX(ROW(E867:E$2)*(E868=E867:E$2)))))</f>
        <v> </v>
      </c>
      <c r="J868" s="26" t="str">
        <f>IF(OR(E868="",E868="!!!",F868="NEW"),"",COUNTBLANK(OFFSET(A$1,,,SUMPRODUCT(MAX(ROW(E$2:E868)*(E868=E$2:E868)))))-COUNTBLANK(OFFSET(A$1,,,SUMPRODUCT(MAX(ROW(E$1:E867)*(E2=E$1:E867))))))</f>
        <v> </v>
      </c>
      <c r="K868" s="26" t="str">
        <f>IF(OR(E868="",E868="!!!",F868="NEW"),"",INDEX(J$1:J867,SUMPRODUCT(MAX(ROW(E$1:E867)*(E868=E$1:E867)))))</f>
        <v> </v>
      </c>
      <c r="L868" s="27"/>
    </row>
    <row r="869" spans="1:12">
      <c r="A869" s="20" t="s">
        <v>470</v>
      </c>
      <c r="E869" s="22">
        <f>IF(D869="?OLD","!!!","")</f>
        <v/>
      </c>
      <c r="F869" s="23" t="str">
        <f>IF(OR(E869="",E869="!!!"),"",IF(NOT(ISNA(VLOOKUP(E869,E$1:E868,1,FALSE()))),"OLD",IF(AND(E869&lt;&gt;"",E869&lt;&gt;"!!!"),"NEW","")))</f>
        <v> </v>
      </c>
      <c r="G869" s="24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5" t="str">
        <f>IF(J869&lt;&gt;1,"",IF(I869="SBJ","CB","?"))</f>
        <v> </v>
      </c>
      <c r="I869" s="26" t="str">
        <f>IF(OR(E869="",E869="!!!",F869="NEW"),"",INDEX(B868:B$2,-1+SUMPRODUCT(MAX(ROW(E868:E$2)*(E869=E868:E$2)))))</f>
        <v> </v>
      </c>
      <c r="J869" s="26" t="str">
        <f>IF(OR(E869="",E869="!!!",F869="NEW"),"",COUNTBLANK(OFFSET(A$1,,,SUMPRODUCT(MAX(ROW(E$2:E869)*(E869=E$2:E869)))))-COUNTBLANK(OFFSET(A$1,,,SUMPRODUCT(MAX(ROW(E$1:E868)*(E2=E$1:E868))))))</f>
        <v> </v>
      </c>
      <c r="K869" s="26" t="str">
        <f>IF(OR(E869="",E869="!!!",F869="NEW"),"",INDEX(J$1:J868,SUMPRODUCT(MAX(ROW(E$1:E868)*(E869=E$1:E868)))))</f>
        <v> </v>
      </c>
      <c r="L869" s="27"/>
    </row>
    <row r="870" spans="1:12">
      <c r="A870" s="20" t="s">
        <v>170</v>
      </c>
      <c r="E870" s="22">
        <f>IF(D870="?OLD","!!!","")</f>
        <v/>
      </c>
      <c r="F870" s="23" t="str">
        <f>IF(OR(E870="",E870="!!!"),"",IF(NOT(ISNA(VLOOKUP(E870,E$1:E869,1,FALSE()))),"OLD",IF(AND(E870&lt;&gt;"",E870&lt;&gt;"!!!"),"NEW","")))</f>
        <v> </v>
      </c>
      <c r="G870" s="24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5" t="str">
        <f>IF(J870&lt;&gt;1,"",IF(I870="SBJ","CB","?"))</f>
        <v> </v>
      </c>
      <c r="I870" s="26" t="str">
        <f>IF(OR(E870="",E870="!!!",F870="NEW"),"",INDEX(B869:B$2,-1+SUMPRODUCT(MAX(ROW(E869:E$2)*(E870=E869:E$2)))))</f>
        <v> </v>
      </c>
      <c r="J870" s="26" t="str">
        <f>IF(OR(E870="",E870="!!!",F870="NEW"),"",COUNTBLANK(OFFSET(A$1,,,SUMPRODUCT(MAX(ROW(E$2:E870)*(E870=E$2:E870)))))-COUNTBLANK(OFFSET(A$1,,,SUMPRODUCT(MAX(ROW(E$1:E869)*(E2=E$1:E869))))))</f>
        <v> </v>
      </c>
      <c r="K870" s="26" t="str">
        <f>IF(OR(E870="",E870="!!!",F870="NEW"),"",INDEX(J$1:J869,SUMPRODUCT(MAX(ROW(E$1:E869)*(E870=E$1:E869)))))</f>
        <v> </v>
      </c>
      <c r="L870" s="27"/>
    </row>
    <row r="871" spans="1:12">
      <c r="A871" s="20" t="s">
        <v>575</v>
      </c>
      <c r="E871" s="22">
        <f>IF(D871="?OLD","!!!","")</f>
        <v/>
      </c>
      <c r="F871" s="23" t="str">
        <f>IF(OR(E871="",E871="!!!"),"",IF(NOT(ISNA(VLOOKUP(E871,E$1:E870,1,FALSE()))),"OLD",IF(AND(E871&lt;&gt;"",E871&lt;&gt;"!!!"),"NEW","")))</f>
        <v> </v>
      </c>
      <c r="G871" s="24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5" t="str">
        <f>IF(J871&lt;&gt;1,"",IF(I871="SBJ","CB","?"))</f>
        <v> </v>
      </c>
      <c r="I871" s="26" t="str">
        <f>IF(OR(E871="",E871="!!!",F871="NEW"),"",INDEX(B870:B$2,-1+SUMPRODUCT(MAX(ROW(E870:E$2)*(E871=E870:E$2)))))</f>
        <v> </v>
      </c>
      <c r="J871" s="26" t="str">
        <f>IF(OR(E871="",E871="!!!",F871="NEW"),"",COUNTBLANK(OFFSET(A$1,,,SUMPRODUCT(MAX(ROW(E$2:E871)*(E871=E$2:E871)))))-COUNTBLANK(OFFSET(A$1,,,SUMPRODUCT(MAX(ROW(E$1:E870)*(E2=E$1:E870))))))</f>
        <v> </v>
      </c>
      <c r="K871" s="26" t="str">
        <f>IF(OR(E871="",E871="!!!",F871="NEW"),"",INDEX(J$1:J870,SUMPRODUCT(MAX(ROW(E$1:E870)*(E871=E$1:E870)))))</f>
        <v> </v>
      </c>
      <c r="L871" s="27"/>
    </row>
    <row r="872" spans="1:12">
      <c r="A872" s="20" t="s">
        <v>229</v>
      </c>
      <c r="B872" s="21" t="s">
        <v>191</v>
      </c>
      <c r="C872" s="21" t="s">
        <v>207</v>
      </c>
      <c r="D872" s="21" t="s">
        <v>168</v>
      </c>
      <c r="E872" s="22">
        <f>IF(D872="?OLD","!!!","")</f>
        <v/>
      </c>
      <c r="F872" s="23" t="str">
        <f>IF(OR(E872="",E872="!!!"),"",IF(NOT(ISNA(VLOOKUP(E872,E$1:E871,1,FALSE()))),"OLD",IF(AND(E872&lt;&gt;"",E872&lt;&gt;"!!!"),"NEW","")))</f>
        <v> </v>
      </c>
      <c r="G872" s="24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5" t="str">
        <f>IF(J872&lt;&gt;1,"",IF(I872="SBJ","CB","?"))</f>
        <v> </v>
      </c>
      <c r="I872" s="26" t="str">
        <f>IF(OR(E872="",E872="!!!",F872="NEW"),"",INDEX(B871:B$2,-1+SUMPRODUCT(MAX(ROW(E871:E$2)*(E872=E871:E$2)))))</f>
        <v> </v>
      </c>
      <c r="J872" s="26" t="str">
        <f>IF(OR(E872="",E872="!!!",F872="NEW"),"",COUNTBLANK(OFFSET(A$1,,,SUMPRODUCT(MAX(ROW(E$2:E872)*(E872=E$2:E872)))))-COUNTBLANK(OFFSET(A$1,,,SUMPRODUCT(MAX(ROW(E$1:E871)*(E2=E$1:E871))))))</f>
        <v> </v>
      </c>
      <c r="K872" s="26" t="str">
        <f>IF(OR(E872="",E872="!!!",F872="NEW"),"",INDEX(J$1:J871,SUMPRODUCT(MAX(ROW(E$1:E871)*(E872=E$1:E871)))))</f>
        <v> </v>
      </c>
      <c r="L872" s="27"/>
    </row>
    <row r="873" spans="1:12">
      <c r="A873" s="20" t="s">
        <v>177</v>
      </c>
      <c r="B873" s="21" t="s">
        <v>184</v>
      </c>
      <c r="C873" s="21" t="s">
        <v>210</v>
      </c>
      <c r="D873" s="21" t="s">
        <v>168</v>
      </c>
      <c r="E873" s="22">
        <f>IF(D873="?OLD","!!!","")</f>
        <v/>
      </c>
      <c r="F873" s="23" t="str">
        <f>IF(OR(E873="",E873="!!!"),"",IF(NOT(ISNA(VLOOKUP(E873,E$1:E872,1,FALSE()))),"OLD",IF(AND(E873&lt;&gt;"",E873&lt;&gt;"!!!"),"NEW","")))</f>
        <v> </v>
      </c>
      <c r="G873" s="24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5" t="str">
        <f>IF(J873&lt;&gt;1,"",IF(I873="SBJ","CB","?"))</f>
        <v> </v>
      </c>
      <c r="I873" s="26" t="str">
        <f>IF(OR(E873="",E873="!!!",F873="NEW"),"",INDEX(B872:B$2,-1+SUMPRODUCT(MAX(ROW(E872:E$2)*(E873=E872:E$2)))))</f>
        <v> </v>
      </c>
      <c r="J873" s="26" t="str">
        <f>IF(OR(E873="",E873="!!!",F873="NEW"),"",COUNTBLANK(OFFSET(A$1,,,SUMPRODUCT(MAX(ROW(E$2:E873)*(E873=E$2:E873)))))-COUNTBLANK(OFFSET(A$1,,,SUMPRODUCT(MAX(ROW(E$1:E872)*(E2=E$1:E872))))))</f>
        <v> </v>
      </c>
      <c r="K873" s="26" t="str">
        <f>IF(OR(E873="",E873="!!!",F873="NEW"),"",INDEX(J$1:J872,SUMPRODUCT(MAX(ROW(E$1:E872)*(E873=E$1:E872)))))</f>
        <v> </v>
      </c>
      <c r="L873" s="27"/>
    </row>
    <row r="874" spans="1:12">
      <c r="A874" s="20" t="s">
        <v>314</v>
      </c>
      <c r="E874" s="22">
        <f>IF(D874="?OLD","!!!","")</f>
        <v/>
      </c>
      <c r="F874" s="23" t="str">
        <f>IF(OR(E874="",E874="!!!"),"",IF(NOT(ISNA(VLOOKUP(E874,E$1:E873,1,FALSE()))),"OLD",IF(AND(E874&lt;&gt;"",E874&lt;&gt;"!!!"),"NEW","")))</f>
        <v> </v>
      </c>
      <c r="G874" s="24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5" t="str">
        <f>IF(J874&lt;&gt;1,"",IF(I874="SBJ","CB","?"))</f>
        <v> </v>
      </c>
      <c r="I874" s="26" t="str">
        <f>IF(OR(E874="",E874="!!!",F874="NEW"),"",INDEX(B873:B$2,-1+SUMPRODUCT(MAX(ROW(E873:E$2)*(E874=E873:E$2)))))</f>
        <v> </v>
      </c>
      <c r="J874" s="26" t="str">
        <f>IF(OR(E874="",E874="!!!",F874="NEW"),"",COUNTBLANK(OFFSET(A$1,,,SUMPRODUCT(MAX(ROW(E$2:E874)*(E874=E$2:E874)))))-COUNTBLANK(OFFSET(A$1,,,SUMPRODUCT(MAX(ROW(E$1:E873)*(E2=E$1:E873))))))</f>
        <v> </v>
      </c>
      <c r="K874" s="26" t="str">
        <f>IF(OR(E874="",E874="!!!",F874="NEW"),"",INDEX(J$1:J873,SUMPRODUCT(MAX(ROW(E$1:E873)*(E874=E$1:E873)))))</f>
        <v> </v>
      </c>
      <c r="L874" s="27"/>
    </row>
    <row r="875" spans="1:12">
      <c r="A875" s="20" t="s">
        <v>576</v>
      </c>
      <c r="E875" s="22">
        <f>IF(D875="?OLD","!!!","")</f>
        <v/>
      </c>
      <c r="F875" s="23" t="str">
        <f>IF(OR(E875="",E875="!!!"),"",IF(NOT(ISNA(VLOOKUP(E875,E$1:E874,1,FALSE()))),"OLD",IF(AND(E875&lt;&gt;"",E875&lt;&gt;"!!!"),"NEW","")))</f>
        <v> </v>
      </c>
      <c r="G875" s="24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5" t="str">
        <f>IF(J875&lt;&gt;1,"",IF(I875="SBJ","CB","?"))</f>
        <v> </v>
      </c>
      <c r="I875" s="26" t="str">
        <f>IF(OR(E875="",E875="!!!",F875="NEW"),"",INDEX(B874:B$2,-1+SUMPRODUCT(MAX(ROW(E874:E$2)*(E875=E874:E$2)))))</f>
        <v> </v>
      </c>
      <c r="J875" s="26" t="str">
        <f>IF(OR(E875="",E875="!!!",F875="NEW"),"",COUNTBLANK(OFFSET(A$1,,,SUMPRODUCT(MAX(ROW(E$2:E875)*(E875=E$2:E875)))))-COUNTBLANK(OFFSET(A$1,,,SUMPRODUCT(MAX(ROW(E$1:E874)*(E2=E$1:E874))))))</f>
        <v> </v>
      </c>
      <c r="K875" s="26" t="str">
        <f>IF(OR(E875="",E875="!!!",F875="NEW"),"",INDEX(J$1:J874,SUMPRODUCT(MAX(ROW(E$1:E874)*(E875=E$1:E874)))))</f>
        <v> </v>
      </c>
      <c r="L875" s="27"/>
    </row>
    <row r="876" spans="1:12">
      <c r="A876" s="20" t="s">
        <v>577</v>
      </c>
      <c r="B876" s="21" t="s">
        <v>166</v>
      </c>
      <c r="C876" s="21" t="s">
        <v>219</v>
      </c>
      <c r="E876" s="22">
        <f>IF(D876="?OLD","!!!","")</f>
        <v/>
      </c>
      <c r="F876" s="23" t="str">
        <f>IF(OR(E876="",E876="!!!"),"",IF(NOT(ISNA(VLOOKUP(E876,E$1:E875,1,FALSE()))),"OLD",IF(AND(E876&lt;&gt;"",E876&lt;&gt;"!!!"),"NEW","")))</f>
        <v> </v>
      </c>
      <c r="G876" s="24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5" t="str">
        <f>IF(J876&lt;&gt;1,"",IF(I876="SBJ","CB","?"))</f>
        <v> </v>
      </c>
      <c r="I876" s="26" t="str">
        <f>IF(OR(E876="",E876="!!!",F876="NEW"),"",INDEX(B875:B$2,-1+SUMPRODUCT(MAX(ROW(E875:E$2)*(E876=E875:E$2)))))</f>
        <v> </v>
      </c>
      <c r="J876" s="26" t="str">
        <f>IF(OR(E876="",E876="!!!",F876="NEW"),"",COUNTBLANK(OFFSET(A$1,,,SUMPRODUCT(MAX(ROW(E$2:E876)*(E876=E$2:E876)))))-COUNTBLANK(OFFSET(A$1,,,SUMPRODUCT(MAX(ROW(E$1:E875)*(E2=E$1:E875))))))</f>
        <v> </v>
      </c>
      <c r="K876" s="26" t="str">
        <f>IF(OR(E876="",E876="!!!",F876="NEW"),"",INDEX(J$1:J875,SUMPRODUCT(MAX(ROW(E$1:E875)*(E876=E$1:E875)))))</f>
        <v> </v>
      </c>
      <c r="L876" s="27"/>
    </row>
    <row r="877" spans="1:12">
      <c r="A877" s="20" t="s">
        <v>539</v>
      </c>
      <c r="E877" s="22">
        <f>IF(D877="?OLD","!!!","")</f>
        <v/>
      </c>
      <c r="F877" s="23" t="str">
        <f>IF(OR(E877="",E877="!!!"),"",IF(NOT(ISNA(VLOOKUP(E877,E$1:E876,1,FALSE()))),"OLD",IF(AND(E877&lt;&gt;"",E877&lt;&gt;"!!!"),"NEW","")))</f>
        <v> </v>
      </c>
      <c r="G877" s="24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5" t="str">
        <f>IF(J877&lt;&gt;1,"",IF(I877="SBJ","CB","?"))</f>
        <v> </v>
      </c>
      <c r="I877" s="26" t="str">
        <f>IF(OR(E877="",E877="!!!",F877="NEW"),"",INDEX(B876:B$2,-1+SUMPRODUCT(MAX(ROW(E876:E$2)*(E877=E876:E$2)))))</f>
        <v> </v>
      </c>
      <c r="J877" s="26" t="str">
        <f>IF(OR(E877="",E877="!!!",F877="NEW"),"",COUNTBLANK(OFFSET(A$1,,,SUMPRODUCT(MAX(ROW(E$2:E877)*(E877=E$2:E877)))))-COUNTBLANK(OFFSET(A$1,,,SUMPRODUCT(MAX(ROW(E$1:E876)*(E2=E$1:E876))))))</f>
        <v> </v>
      </c>
      <c r="K877" s="26" t="str">
        <f>IF(OR(E877="",E877="!!!",F877="NEW"),"",INDEX(J$1:J876,SUMPRODUCT(MAX(ROW(E$1:E876)*(E877=E$1:E876)))))</f>
        <v> </v>
      </c>
      <c r="L877" s="27"/>
    </row>
    <row r="878" spans="1:12">
      <c r="A878" s="20"/>
    </row>
    <row r="879" spans="1:12">
      <c r="A879" s="20" t="s">
        <v>578</v>
      </c>
    </row>
    <row r="880" spans="1:12">
      <c r="A880" s="20" t="s">
        <v>575</v>
      </c>
      <c r="E880" s="22">
        <f>IF(D880="?OLD","!!!","")</f>
        <v/>
      </c>
      <c r="F880" s="23" t="str">
        <f>IF(OR(E880="",E880="!!!"),"",IF(NOT(ISNA(VLOOKUP(E880,E$1:E879,1,FALSE()))),"OLD",IF(AND(E880&lt;&gt;"",E880&lt;&gt;"!!!"),"NEW","")))</f>
        <v> </v>
      </c>
      <c r="G880" s="24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5" t="str">
        <f>IF(J880&lt;&gt;1,"",IF(I880="SBJ","CB","?"))</f>
        <v> </v>
      </c>
      <c r="I880" s="26" t="str">
        <f>IF(OR(E880="",E880="!!!",F880="NEW"),"",INDEX(B879:B$2,-1+SUMPRODUCT(MAX(ROW(E879:E$2)*(E880=E879:E$2)))))</f>
        <v> </v>
      </c>
      <c r="J880" s="26" t="str">
        <f>IF(OR(E880="",E880="!!!",F880="NEW"),"",COUNTBLANK(OFFSET(A$1,,,SUMPRODUCT(MAX(ROW(E$2:E880)*(E880=E$2:E880)))))-COUNTBLANK(OFFSET(A$1,,,SUMPRODUCT(MAX(ROW(E$1:E879)*(E2=E$1:E879))))))</f>
        <v> </v>
      </c>
      <c r="K880" s="26" t="str">
        <f>IF(OR(E880="",E880="!!!",F880="NEW"),"",INDEX(J$1:J879,SUMPRODUCT(MAX(ROW(E$1:E879)*(E880=E$1:E879)))))</f>
        <v> </v>
      </c>
      <c r="L880" s="27"/>
    </row>
    <row r="881" spans="1:12">
      <c r="A881" s="20" t="s">
        <v>247</v>
      </c>
      <c r="B881" s="21" t="s">
        <v>195</v>
      </c>
      <c r="C881" s="21" t="s">
        <v>214</v>
      </c>
      <c r="D881" s="21" t="s">
        <v>168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 t="s">
        <v>362</v>
      </c>
      <c r="E882" s="22">
        <f>IF(D882="?OLD","!!!","")</f>
        <v/>
      </c>
      <c r="F882" s="23" t="str">
        <f>IF(OR(E882="",E882="!!!"),"",IF(NOT(ISNA(VLOOKUP(E882,E$1:E881,1,FALSE()))),"OLD",IF(AND(E882&lt;&gt;"",E882&lt;&gt;"!!!"),"NEW","")))</f>
        <v> </v>
      </c>
      <c r="G882" s="24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5" t="str">
        <f>IF(J882&lt;&gt;1,"",IF(I882="SBJ","CB","?"))</f>
        <v> </v>
      </c>
      <c r="I882" s="26" t="str">
        <f>IF(OR(E882="",E882="!!!",F882="NEW"),"",INDEX(B881:B$2,-1+SUMPRODUCT(MAX(ROW(E881:E$2)*(E882=E881:E$2)))))</f>
        <v> </v>
      </c>
      <c r="J882" s="26" t="str">
        <f>IF(OR(E882="",E882="!!!",F882="NEW"),"",COUNTBLANK(OFFSET(A$1,,,SUMPRODUCT(MAX(ROW(E$2:E882)*(E882=E$2:E882)))))-COUNTBLANK(OFFSET(A$1,,,SUMPRODUCT(MAX(ROW(E$1:E881)*(E2=E$1:E881))))))</f>
        <v> </v>
      </c>
      <c r="K882" s="26" t="str">
        <f>IF(OR(E882="",E882="!!!",F882="NEW"),"",INDEX(J$1:J881,SUMPRODUCT(MAX(ROW(E$1:E881)*(E882=E$1:E881)))))</f>
        <v> </v>
      </c>
      <c r="L882" s="27"/>
    </row>
    <row r="883" spans="1:12">
      <c r="A883" s="20" t="s">
        <v>193</v>
      </c>
      <c r="E883" s="22">
        <f>IF(D883="?OLD","!!!","")</f>
        <v/>
      </c>
      <c r="F883" s="23" t="str">
        <f>IF(OR(E883="",E883="!!!"),"",IF(NOT(ISNA(VLOOKUP(E883,E$1:E882,1,FALSE()))),"OLD",IF(AND(E883&lt;&gt;"",E883&lt;&gt;"!!!"),"NEW","")))</f>
        <v> </v>
      </c>
      <c r="G883" s="24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5" t="str">
        <f>IF(J883&lt;&gt;1,"",IF(I883="SBJ","CB","?"))</f>
        <v> </v>
      </c>
      <c r="I883" s="26" t="str">
        <f>IF(OR(E883="",E883="!!!",F883="NEW"),"",INDEX(B882:B$2,-1+SUMPRODUCT(MAX(ROW(E882:E$2)*(E883=E882:E$2)))))</f>
        <v> </v>
      </c>
      <c r="J883" s="26" t="str">
        <f>IF(OR(E883="",E883="!!!",F883="NEW"),"",COUNTBLANK(OFFSET(A$1,,,SUMPRODUCT(MAX(ROW(E$2:E883)*(E883=E$2:E883)))))-COUNTBLANK(OFFSET(A$1,,,SUMPRODUCT(MAX(ROW(E$1:E882)*(E2=E$1:E882))))))</f>
        <v> </v>
      </c>
      <c r="K883" s="26" t="str">
        <f>IF(OR(E883="",E883="!!!",F883="NEW"),"",INDEX(J$1:J882,SUMPRODUCT(MAX(ROW(E$1:E882)*(E883=E$1:E882)))))</f>
        <v> </v>
      </c>
      <c r="L883" s="27"/>
    </row>
    <row r="884" spans="1:12">
      <c r="A884" s="20" t="s">
        <v>261</v>
      </c>
      <c r="E884" s="22">
        <f>IF(D884="?OLD","!!!","")</f>
        <v/>
      </c>
      <c r="F884" s="23" t="str">
        <f>IF(OR(E884="",E884="!!!"),"",IF(NOT(ISNA(VLOOKUP(E884,E$1:E883,1,FALSE()))),"OLD",IF(AND(E884&lt;&gt;"",E884&lt;&gt;"!!!"),"NEW","")))</f>
        <v> </v>
      </c>
      <c r="G884" s="24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5" t="str">
        <f>IF(J884&lt;&gt;1,"",IF(I884="SBJ","CB","?"))</f>
        <v> </v>
      </c>
      <c r="I884" s="26" t="str">
        <f>IF(OR(E884="",E884="!!!",F884="NEW"),"",INDEX(B883:B$2,-1+SUMPRODUCT(MAX(ROW(E883:E$2)*(E884=E883:E$2)))))</f>
        <v> </v>
      </c>
      <c r="J884" s="26" t="str">
        <f>IF(OR(E884="",E884="!!!",F884="NEW"),"",COUNTBLANK(OFFSET(A$1,,,SUMPRODUCT(MAX(ROW(E$2:E884)*(E884=E$2:E884)))))-COUNTBLANK(OFFSET(A$1,,,SUMPRODUCT(MAX(ROW(E$1:E883)*(E2=E$1:E883))))))</f>
        <v> </v>
      </c>
      <c r="K884" s="26" t="str">
        <f>IF(OR(E884="",E884="!!!",F884="NEW"),"",INDEX(J$1:J883,SUMPRODUCT(MAX(ROW(E$1:E883)*(E884=E$1:E883)))))</f>
        <v> </v>
      </c>
      <c r="L884" s="27"/>
    </row>
    <row r="885" spans="1:12">
      <c r="A885" s="20" t="s">
        <v>183</v>
      </c>
      <c r="B885" s="21" t="s">
        <v>184</v>
      </c>
      <c r="C885" s="21" t="s">
        <v>185</v>
      </c>
      <c r="D885" s="21" t="s">
        <v>168</v>
      </c>
      <c r="E885" s="22">
        <f>IF(D885="?OLD","!!!","")</f>
        <v/>
      </c>
      <c r="F885" s="23" t="str">
        <f>IF(OR(E885="",E885="!!!"),"",IF(NOT(ISNA(VLOOKUP(E885,E$1:E884,1,FALSE()))),"OLD",IF(AND(E885&lt;&gt;"",E885&lt;&gt;"!!!"),"NEW","")))</f>
        <v> </v>
      </c>
      <c r="G885" s="24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5" t="str">
        <f>IF(J885&lt;&gt;1,"",IF(I885="SBJ","CB","?"))</f>
        <v> </v>
      </c>
      <c r="I885" s="26" t="str">
        <f>IF(OR(E885="",E885="!!!",F885="NEW"),"",INDEX(B884:B$2,-1+SUMPRODUCT(MAX(ROW(E884:E$2)*(E885=E884:E$2)))))</f>
        <v> </v>
      </c>
      <c r="J885" s="26" t="str">
        <f>IF(OR(E885="",E885="!!!",F885="NEW"),"",COUNTBLANK(OFFSET(A$1,,,SUMPRODUCT(MAX(ROW(E$2:E885)*(E885=E$2:E885)))))-COUNTBLANK(OFFSET(A$1,,,SUMPRODUCT(MAX(ROW(E$1:E884)*(E2=E$1:E884))))))</f>
        <v> </v>
      </c>
      <c r="K885" s="26" t="str">
        <f>IF(OR(E885="",E885="!!!",F885="NEW"),"",INDEX(J$1:J884,SUMPRODUCT(MAX(ROW(E$1:E884)*(E885=E$1:E884)))))</f>
        <v> </v>
      </c>
      <c r="L885" s="27"/>
    </row>
    <row r="886" spans="1:12">
      <c r="A886" s="20" t="s">
        <v>579</v>
      </c>
      <c r="E886" s="22">
        <f>IF(D886="?OLD","!!!","")</f>
        <v/>
      </c>
      <c r="F886" s="23" t="str">
        <f>IF(OR(E886="",E886="!!!"),"",IF(NOT(ISNA(VLOOKUP(E886,E$1:E885,1,FALSE()))),"OLD",IF(AND(E886&lt;&gt;"",E886&lt;&gt;"!!!"),"NEW","")))</f>
        <v> </v>
      </c>
      <c r="G886" s="24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5" t="str">
        <f>IF(J886&lt;&gt;1,"",IF(I886="SBJ","CB","?"))</f>
        <v> </v>
      </c>
      <c r="I886" s="26" t="str">
        <f>IF(OR(E886="",E886="!!!",F886="NEW"),"",INDEX(B885:B$2,-1+SUMPRODUCT(MAX(ROW(E885:E$2)*(E886=E885:E$2)))))</f>
        <v> </v>
      </c>
      <c r="J886" s="26" t="str">
        <f>IF(OR(E886="",E886="!!!",F886="NEW"),"",COUNTBLANK(OFFSET(A$1,,,SUMPRODUCT(MAX(ROW(E$2:E886)*(E886=E$2:E886)))))-COUNTBLANK(OFFSET(A$1,,,SUMPRODUCT(MAX(ROW(E$1:E885)*(E2=E$1:E885))))))</f>
        <v> </v>
      </c>
      <c r="K886" s="26" t="str">
        <f>IF(OR(E886="",E886="!!!",F886="NEW"),"",INDEX(J$1:J885,SUMPRODUCT(MAX(ROW(E$1:E885)*(E886=E$1:E885)))))</f>
        <v> </v>
      </c>
      <c r="L886" s="27"/>
    </row>
    <row r="887" spans="1:12">
      <c r="A887" s="20" t="s">
        <v>193</v>
      </c>
      <c r="E887" s="22">
        <f>IF(D887="?OLD","!!!","")</f>
        <v/>
      </c>
      <c r="F887" s="23" t="str">
        <f>IF(OR(E887="",E887="!!!"),"",IF(NOT(ISNA(VLOOKUP(E887,E$1:E886,1,FALSE()))),"OLD",IF(AND(E887&lt;&gt;"",E887&lt;&gt;"!!!"),"NEW","")))</f>
        <v> </v>
      </c>
      <c r="G887" s="24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5" t="str">
        <f>IF(J887&lt;&gt;1,"",IF(I887="SBJ","CB","?"))</f>
        <v> </v>
      </c>
      <c r="I887" s="26" t="str">
        <f>IF(OR(E887="",E887="!!!",F887="NEW"),"",INDEX(B886:B$2,-1+SUMPRODUCT(MAX(ROW(E886:E$2)*(E887=E886:E$2)))))</f>
        <v> </v>
      </c>
      <c r="J887" s="26" t="str">
        <f>IF(OR(E887="",E887="!!!",F887="NEW"),"",COUNTBLANK(OFFSET(A$1,,,SUMPRODUCT(MAX(ROW(E$2:E887)*(E887=E$2:E887)))))-COUNTBLANK(OFFSET(A$1,,,SUMPRODUCT(MAX(ROW(E$1:E886)*(E2=E$1:E886))))))</f>
        <v> </v>
      </c>
      <c r="K887" s="26" t="str">
        <f>IF(OR(E887="",E887="!!!",F887="NEW"),"",INDEX(J$1:J886,SUMPRODUCT(MAX(ROW(E$1:E886)*(E887=E$1:E886)))))</f>
        <v> </v>
      </c>
      <c r="L887" s="27"/>
    </row>
    <row r="888" spans="1:12">
      <c r="A888" s="20" t="s">
        <v>580</v>
      </c>
      <c r="E888" s="22">
        <f>IF(D888="?OLD","!!!","")</f>
        <v/>
      </c>
      <c r="F888" s="23" t="str">
        <f>IF(OR(E888="",E888="!!!"),"",IF(NOT(ISNA(VLOOKUP(E888,E$1:E887,1,FALSE()))),"OLD",IF(AND(E888&lt;&gt;"",E888&lt;&gt;"!!!"),"NEW","")))</f>
        <v> </v>
      </c>
      <c r="G888" s="24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5" t="str">
        <f>IF(J888&lt;&gt;1,"",IF(I888="SBJ","CB","?"))</f>
        <v> </v>
      </c>
      <c r="I888" s="26" t="str">
        <f>IF(OR(E888="",E888="!!!",F888="NEW"),"",INDEX(B887:B$2,-1+SUMPRODUCT(MAX(ROW(E887:E$2)*(E888=E887:E$2)))))</f>
        <v> </v>
      </c>
      <c r="J888" s="26" t="str">
        <f>IF(OR(E888="",E888="!!!",F888="NEW"),"",COUNTBLANK(OFFSET(A$1,,,SUMPRODUCT(MAX(ROW(E$2:E888)*(E888=E$2:E888)))))-COUNTBLANK(OFFSET(A$1,,,SUMPRODUCT(MAX(ROW(E$1:E887)*(E2=E$1:E887))))))</f>
        <v> </v>
      </c>
      <c r="K888" s="26" t="str">
        <f>IF(OR(E888="",E888="!!!",F888="NEW"),"",INDEX(J$1:J887,SUMPRODUCT(MAX(ROW(E$1:E887)*(E888=E$1:E887)))))</f>
        <v> </v>
      </c>
      <c r="L888" s="27"/>
    </row>
    <row r="889" spans="1:12">
      <c r="A889" s="20" t="s">
        <v>183</v>
      </c>
      <c r="B889" s="21" t="s">
        <v>269</v>
      </c>
      <c r="C889" s="21" t="s">
        <v>185</v>
      </c>
      <c r="D889" s="21" t="s">
        <v>168</v>
      </c>
      <c r="E889" s="22">
        <f>IF(D889="?OLD","!!!","")</f>
        <v/>
      </c>
      <c r="F889" s="23" t="str">
        <f>IF(OR(E889="",E889="!!!"),"",IF(NOT(ISNA(VLOOKUP(E889,E$1:E888,1,FALSE()))),"OLD",IF(AND(E889&lt;&gt;"",E889&lt;&gt;"!!!"),"NEW","")))</f>
        <v> </v>
      </c>
      <c r="G889" s="24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5" t="str">
        <f>IF(J889&lt;&gt;1,"",IF(I889="SBJ","CB","?"))</f>
        <v> </v>
      </c>
      <c r="I889" s="26" t="str">
        <f>IF(OR(E889="",E889="!!!",F889="NEW"),"",INDEX(B888:B$2,-1+SUMPRODUCT(MAX(ROW(E888:E$2)*(E889=E888:E$2)))))</f>
        <v> </v>
      </c>
      <c r="J889" s="26" t="str">
        <f>IF(OR(E889="",E889="!!!",F889="NEW"),"",COUNTBLANK(OFFSET(A$1,,,SUMPRODUCT(MAX(ROW(E$2:E889)*(E889=E$2:E889)))))-COUNTBLANK(OFFSET(A$1,,,SUMPRODUCT(MAX(ROW(E$1:E888)*(E2=E$1:E888))))))</f>
        <v> </v>
      </c>
      <c r="K889" s="26" t="str">
        <f>IF(OR(E889="",E889="!!!",F889="NEW"),"",INDEX(J$1:J888,SUMPRODUCT(MAX(ROW(E$1:E888)*(E889=E$1:E888)))))</f>
        <v> </v>
      </c>
      <c r="L889" s="27"/>
    </row>
    <row r="890" spans="1:12">
      <c r="A890" s="20" t="s">
        <v>247</v>
      </c>
      <c r="B890" s="21" t="s">
        <v>269</v>
      </c>
      <c r="C890" s="21" t="s">
        <v>214</v>
      </c>
      <c r="D890" s="21" t="s">
        <v>168</v>
      </c>
      <c r="E890" s="22">
        <f>IF(D890="?OLD","!!!","")</f>
        <v/>
      </c>
      <c r="F890" s="23" t="str">
        <f>IF(OR(E890="",E890="!!!"),"",IF(NOT(ISNA(VLOOKUP(E890,E$1:E889,1,FALSE()))),"OLD",IF(AND(E890&lt;&gt;"",E890&lt;&gt;"!!!"),"NEW","")))</f>
        <v> </v>
      </c>
      <c r="G890" s="24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5" t="str">
        <f>IF(J890&lt;&gt;1,"",IF(I890="SBJ","CB","?"))</f>
        <v> </v>
      </c>
      <c r="I890" s="26" t="str">
        <f>IF(OR(E890="",E890="!!!",F890="NEW"),"",INDEX(B889:B$2,-1+SUMPRODUCT(MAX(ROW(E889:E$2)*(E890=E889:E$2)))))</f>
        <v> </v>
      </c>
      <c r="J890" s="26" t="str">
        <f>IF(OR(E890="",E890="!!!",F890="NEW"),"",COUNTBLANK(OFFSET(A$1,,,SUMPRODUCT(MAX(ROW(E$2:E890)*(E890=E$2:E890)))))-COUNTBLANK(OFFSET(A$1,,,SUMPRODUCT(MAX(ROW(E$1:E889)*(E2=E$1:E889))))))</f>
        <v> </v>
      </c>
      <c r="K890" s="26" t="str">
        <f>IF(OR(E890="",E890="!!!",F890="NEW"),"",INDEX(J$1:J889,SUMPRODUCT(MAX(ROW(E$1:E889)*(E890=E$1:E889)))))</f>
        <v> </v>
      </c>
      <c r="L890" s="27"/>
    </row>
    <row r="891" spans="1:12">
      <c r="A891" s="20" t="s">
        <v>406</v>
      </c>
      <c r="E891" s="22">
        <f>IF(D891="?OLD","!!!","")</f>
        <v/>
      </c>
      <c r="F891" s="23" t="str">
        <f>IF(OR(E891="",E891="!!!"),"",IF(NOT(ISNA(VLOOKUP(E891,E$1:E890,1,FALSE()))),"OLD",IF(AND(E891&lt;&gt;"",E891&lt;&gt;"!!!"),"NEW","")))</f>
        <v> </v>
      </c>
      <c r="G891" s="24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5" t="str">
        <f>IF(J891&lt;&gt;1,"",IF(I891="SBJ","CB","?"))</f>
        <v> </v>
      </c>
      <c r="I891" s="26" t="str">
        <f>IF(OR(E891="",E891="!!!",F891="NEW"),"",INDEX(B890:B$2,-1+SUMPRODUCT(MAX(ROW(E890:E$2)*(E891=E890:E$2)))))</f>
        <v> </v>
      </c>
      <c r="J891" s="26" t="str">
        <f>IF(OR(E891="",E891="!!!",F891="NEW"),"",COUNTBLANK(OFFSET(A$1,,,SUMPRODUCT(MAX(ROW(E$2:E891)*(E891=E$2:E891)))))-COUNTBLANK(OFFSET(A$1,,,SUMPRODUCT(MAX(ROW(E$1:E890)*(E2=E$1:E890))))))</f>
        <v> </v>
      </c>
      <c r="K891" s="26" t="str">
        <f>IF(OR(E891="",E891="!!!",F891="NEW"),"",INDEX(J$1:J890,SUMPRODUCT(MAX(ROW(E$1:E890)*(E891=E$1:E890)))))</f>
        <v> </v>
      </c>
      <c r="L891" s="27"/>
    </row>
    <row r="892" spans="1:12">
      <c r="A892" s="20" t="s">
        <v>335</v>
      </c>
      <c r="E892" s="22">
        <f>IF(D892="?OLD","!!!","")</f>
        <v/>
      </c>
      <c r="F892" s="23" t="str">
        <f>IF(OR(E892="",E892="!!!"),"",IF(NOT(ISNA(VLOOKUP(E892,E$1:E891,1,FALSE()))),"OLD",IF(AND(E892&lt;&gt;"",E892&lt;&gt;"!!!"),"NEW","")))</f>
        <v> </v>
      </c>
      <c r="G892" s="24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5" t="str">
        <f>IF(J892&lt;&gt;1,"",IF(I892="SBJ","CB","?"))</f>
        <v> </v>
      </c>
      <c r="I892" s="26" t="str">
        <f>IF(OR(E892="",E892="!!!",F892="NEW"),"",INDEX(B891:B$2,-1+SUMPRODUCT(MAX(ROW(E891:E$2)*(E892=E891:E$2)))))</f>
        <v> </v>
      </c>
      <c r="J892" s="26" t="str">
        <f>IF(OR(E892="",E892="!!!",F892="NEW"),"",COUNTBLANK(OFFSET(A$1,,,SUMPRODUCT(MAX(ROW(E$2:E892)*(E892=E$2:E892)))))-COUNTBLANK(OFFSET(A$1,,,SUMPRODUCT(MAX(ROW(E$1:E891)*(E2=E$1:E891))))))</f>
        <v> </v>
      </c>
      <c r="K892" s="26" t="str">
        <f>IF(OR(E892="",E892="!!!",F892="NEW"),"",INDEX(J$1:J891,SUMPRODUCT(MAX(ROW(E$1:E891)*(E892=E$1:E891)))))</f>
        <v> </v>
      </c>
      <c r="L892" s="27"/>
    </row>
    <row r="893" spans="1:12">
      <c r="A893" s="20" t="s">
        <v>581</v>
      </c>
      <c r="E893" s="22">
        <f>IF(D893="?OLD","!!!","")</f>
        <v/>
      </c>
      <c r="F893" s="23" t="str">
        <f>IF(OR(E893="",E893="!!!"),"",IF(NOT(ISNA(VLOOKUP(E893,E$1:E892,1,FALSE()))),"OLD",IF(AND(E893&lt;&gt;"",E893&lt;&gt;"!!!"),"NEW","")))</f>
        <v> </v>
      </c>
      <c r="G893" s="24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5" t="str">
        <f>IF(J893&lt;&gt;1,"",IF(I893="SBJ","CB","?"))</f>
        <v> </v>
      </c>
      <c r="I893" s="26" t="str">
        <f>IF(OR(E893="",E893="!!!",F893="NEW"),"",INDEX(B892:B$2,-1+SUMPRODUCT(MAX(ROW(E892:E$2)*(E893=E892:E$2)))))</f>
        <v> </v>
      </c>
      <c r="J893" s="26" t="str">
        <f>IF(OR(E893="",E893="!!!",F893="NEW"),"",COUNTBLANK(OFFSET(A$1,,,SUMPRODUCT(MAX(ROW(E$2:E893)*(E893=E$2:E893)))))-COUNTBLANK(OFFSET(A$1,,,SUMPRODUCT(MAX(ROW(E$1:E892)*(E2=E$1:E892))))))</f>
        <v> </v>
      </c>
      <c r="K893" s="26" t="str">
        <f>IF(OR(E893="",E893="!!!",F893="NEW"),"",INDEX(J$1:J892,SUMPRODUCT(MAX(ROW(E$1:E892)*(E893=E$1:E892)))))</f>
        <v> </v>
      </c>
      <c r="L893" s="27"/>
    </row>
    <row r="894" spans="1:12">
      <c r="A894" s="20" t="s">
        <v>582</v>
      </c>
      <c r="E894" s="22">
        <f>IF(D894="?OLD","!!!","")</f>
        <v/>
      </c>
      <c r="F894" s="23" t="str">
        <f>IF(OR(E894="",E894="!!!"),"",IF(NOT(ISNA(VLOOKUP(E894,E$1:E893,1,FALSE()))),"OLD",IF(AND(E894&lt;&gt;"",E894&lt;&gt;"!!!"),"NEW","")))</f>
        <v> </v>
      </c>
      <c r="G894" s="24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5" t="str">
        <f>IF(J894&lt;&gt;1,"",IF(I894="SBJ","CB","?"))</f>
        <v> </v>
      </c>
      <c r="I894" s="26" t="str">
        <f>IF(OR(E894="",E894="!!!",F894="NEW"),"",INDEX(B893:B$2,-1+SUMPRODUCT(MAX(ROW(E893:E$2)*(E894=E893:E$2)))))</f>
        <v> </v>
      </c>
      <c r="J894" s="26" t="str">
        <f>IF(OR(E894="",E894="!!!",F894="NEW"),"",COUNTBLANK(OFFSET(A$1,,,SUMPRODUCT(MAX(ROW(E$2:E894)*(E894=E$2:E894)))))-COUNTBLANK(OFFSET(A$1,,,SUMPRODUCT(MAX(ROW(E$1:E893)*(E2=E$1:E893))))))</f>
        <v> </v>
      </c>
      <c r="K894" s="26" t="str">
        <f>IF(OR(E894="",E894="!!!",F894="NEW"),"",INDEX(J$1:J893,SUMPRODUCT(MAX(ROW(E$1:E893)*(E894=E$1:E893)))))</f>
        <v> </v>
      </c>
      <c r="L894" s="27"/>
    </row>
    <row r="895" spans="1:12">
      <c r="A895" s="20" t="s">
        <v>539</v>
      </c>
      <c r="E895" s="22">
        <f>IF(D895="?OLD","!!!","")</f>
        <v/>
      </c>
      <c r="F895" s="23" t="str">
        <f>IF(OR(E895="",E895="!!!"),"",IF(NOT(ISNA(VLOOKUP(E895,E$1:E894,1,FALSE()))),"OLD",IF(AND(E895&lt;&gt;"",E895&lt;&gt;"!!!"),"NEW","")))</f>
        <v> </v>
      </c>
      <c r="G895" s="24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5" t="str">
        <f>IF(J895&lt;&gt;1,"",IF(I895="SBJ","CB","?"))</f>
        <v> </v>
      </c>
      <c r="I895" s="26" t="str">
        <f>IF(OR(E895="",E895="!!!",F895="NEW"),"",INDEX(B894:B$2,-1+SUMPRODUCT(MAX(ROW(E894:E$2)*(E895=E894:E$2)))))</f>
        <v> </v>
      </c>
      <c r="J895" s="26" t="str">
        <f>IF(OR(E895="",E895="!!!",F895="NEW"),"",COUNTBLANK(OFFSET(A$1,,,SUMPRODUCT(MAX(ROW(E$2:E895)*(E895=E$2:E895)))))-COUNTBLANK(OFFSET(A$1,,,SUMPRODUCT(MAX(ROW(E$1:E894)*(E2=E$1:E894))))))</f>
        <v> </v>
      </c>
      <c r="K895" s="26" t="str">
        <f>IF(OR(E895="",E895="!!!",F895="NEW"),"",INDEX(J$1:J894,SUMPRODUCT(MAX(ROW(E$1:E894)*(E895=E$1:E894)))))</f>
        <v> </v>
      </c>
      <c r="L895" s="27"/>
    </row>
    <row r="896" spans="1:12">
      <c r="A896" s="20"/>
    </row>
    <row r="897" spans="1:12">
      <c r="A897" s="20" t="s">
        <v>583</v>
      </c>
    </row>
    <row r="898" spans="1:12">
      <c r="A898" s="20" t="s">
        <v>182</v>
      </c>
      <c r="E898" s="22">
        <f>IF(D898="?OLD","!!!","")</f>
        <v/>
      </c>
      <c r="F898" s="23" t="str">
        <f>IF(OR(E898="",E898="!!!"),"",IF(NOT(ISNA(VLOOKUP(E898,E$1:E897,1,FALSE()))),"OLD",IF(AND(E898&lt;&gt;"",E898&lt;&gt;"!!!"),"NEW","")))</f>
        <v> </v>
      </c>
      <c r="G898" s="24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5" t="str">
        <f>IF(J898&lt;&gt;1,"",IF(I898="SBJ","CB","?"))</f>
        <v> </v>
      </c>
      <c r="I898" s="26" t="str">
        <f>IF(OR(E898="",E898="!!!",F898="NEW"),"",INDEX(B897:B$2,-1+SUMPRODUCT(MAX(ROW(E897:E$2)*(E898=E897:E$2)))))</f>
        <v> </v>
      </c>
      <c r="J898" s="26" t="str">
        <f>IF(OR(E898="",E898="!!!",F898="NEW"),"",COUNTBLANK(OFFSET(A$1,,,SUMPRODUCT(MAX(ROW(E$2:E898)*(E898=E$2:E898)))))-COUNTBLANK(OFFSET(A$1,,,SUMPRODUCT(MAX(ROW(E$1:E897)*(E2=E$1:E897))))))</f>
        <v> </v>
      </c>
      <c r="K898" s="26" t="str">
        <f>IF(OR(E898="",E898="!!!",F898="NEW"),"",INDEX(J$1:J897,SUMPRODUCT(MAX(ROW(E$1:E897)*(E898=E$1:E897)))))</f>
        <v> </v>
      </c>
      <c r="L898" s="27"/>
    </row>
    <row r="899" spans="1:12">
      <c r="A899" s="20" t="s">
        <v>213</v>
      </c>
      <c r="B899" s="21" t="s">
        <v>184</v>
      </c>
      <c r="C899" s="21" t="s">
        <v>214</v>
      </c>
      <c r="D899" s="21" t="s">
        <v>168</v>
      </c>
      <c r="E899" s="22">
        <f>IF(D899="?OLD","!!!","")</f>
        <v/>
      </c>
      <c r="F899" s="23" t="str">
        <f>IF(OR(E899="",E899="!!!"),"",IF(NOT(ISNA(VLOOKUP(E899,E$1:E898,1,FALSE()))),"OLD",IF(AND(E899&lt;&gt;"",E899&lt;&gt;"!!!"),"NEW","")))</f>
        <v> </v>
      </c>
      <c r="G899" s="24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5" t="str">
        <f>IF(J899&lt;&gt;1,"",IF(I899="SBJ","CB","?"))</f>
        <v> </v>
      </c>
      <c r="I899" s="26" t="str">
        <f>IF(OR(E899="",E899="!!!",F899="NEW"),"",INDEX(B898:B$2,-1+SUMPRODUCT(MAX(ROW(E898:E$2)*(E899=E898:E$2)))))</f>
        <v> </v>
      </c>
      <c r="J899" s="26" t="str">
        <f>IF(OR(E899="",E899="!!!",F899="NEW"),"",COUNTBLANK(OFFSET(A$1,,,SUMPRODUCT(MAX(ROW(E$2:E899)*(E899=E$2:E899)))))-COUNTBLANK(OFFSET(A$1,,,SUMPRODUCT(MAX(ROW(E$1:E898)*(E2=E$1:E898))))))</f>
        <v> </v>
      </c>
      <c r="K899" s="26" t="str">
        <f>IF(OR(E899="",E899="!!!",F899="NEW"),"",INDEX(J$1:J898,SUMPRODUCT(MAX(ROW(E$1:E898)*(E899=E$1:E898)))))</f>
        <v> </v>
      </c>
      <c r="L899" s="27"/>
    </row>
    <row r="900" spans="1:12">
      <c r="A900" s="20" t="s">
        <v>584</v>
      </c>
      <c r="E900" s="22">
        <f>IF(D900="?OLD","!!!","")</f>
        <v/>
      </c>
      <c r="F900" s="23" t="str">
        <f>IF(OR(E900="",E900="!!!"),"",IF(NOT(ISNA(VLOOKUP(E900,E$1:E899,1,FALSE()))),"OLD",IF(AND(E900&lt;&gt;"",E900&lt;&gt;"!!!"),"NEW","")))</f>
        <v> </v>
      </c>
      <c r="G900" s="24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5" t="str">
        <f>IF(J900&lt;&gt;1,"",IF(I900="SBJ","CB","?"))</f>
        <v> </v>
      </c>
      <c r="I900" s="26" t="str">
        <f>IF(OR(E900="",E900="!!!",F900="NEW"),"",INDEX(B899:B$2,-1+SUMPRODUCT(MAX(ROW(E899:E$2)*(E900=E899:E$2)))))</f>
        <v> </v>
      </c>
      <c r="J900" s="26" t="str">
        <f>IF(OR(E900="",E900="!!!",F900="NEW"),"",COUNTBLANK(OFFSET(A$1,,,SUMPRODUCT(MAX(ROW(E$2:E900)*(E900=E$2:E900)))))-COUNTBLANK(OFFSET(A$1,,,SUMPRODUCT(MAX(ROW(E$1:E899)*(E2=E$1:E899))))))</f>
        <v> </v>
      </c>
      <c r="K900" s="26" t="str">
        <f>IF(OR(E900="",E900="!!!",F900="NEW"),"",INDEX(J$1:J899,SUMPRODUCT(MAX(ROW(E$1:E899)*(E900=E$1:E899)))))</f>
        <v> </v>
      </c>
      <c r="L900" s="27"/>
    </row>
    <row r="901" spans="1:12">
      <c r="A901" s="20" t="s">
        <v>192</v>
      </c>
      <c r="E901" s="22">
        <f>IF(D901="?OLD","!!!","")</f>
        <v/>
      </c>
      <c r="F901" s="23" t="str">
        <f>IF(OR(E901="",E901="!!!"),"",IF(NOT(ISNA(VLOOKUP(E901,E$1:E900,1,FALSE()))),"OLD",IF(AND(E901&lt;&gt;"",E901&lt;&gt;"!!!"),"NEW","")))</f>
        <v> </v>
      </c>
      <c r="G901" s="24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5" t="str">
        <f>IF(J901&lt;&gt;1,"",IF(I901="SBJ","CB","?"))</f>
        <v> </v>
      </c>
      <c r="I901" s="26" t="str">
        <f>IF(OR(E901="",E901="!!!",F901="NEW"),"",INDEX(B900:B$2,-1+SUMPRODUCT(MAX(ROW(E900:E$2)*(E901=E900:E$2)))))</f>
        <v> </v>
      </c>
      <c r="J901" s="26" t="str">
        <f>IF(OR(E901="",E901="!!!",F901="NEW"),"",COUNTBLANK(OFFSET(A$1,,,SUMPRODUCT(MAX(ROW(E$2:E901)*(E901=E$2:E901)))))-COUNTBLANK(OFFSET(A$1,,,SUMPRODUCT(MAX(ROW(E$1:E900)*(E2=E$1:E900))))))</f>
        <v> </v>
      </c>
      <c r="K901" s="26" t="str">
        <f>IF(OR(E901="",E901="!!!",F901="NEW"),"",INDEX(J$1:J900,SUMPRODUCT(MAX(ROW(E$1:E900)*(E901=E$1:E900)))))</f>
        <v> </v>
      </c>
      <c r="L901" s="27"/>
    </row>
    <row r="902" spans="1:12">
      <c r="A902" s="20" t="s">
        <v>193</v>
      </c>
      <c r="E902" s="22">
        <f>IF(D902="?OLD","!!!","")</f>
        <v/>
      </c>
      <c r="F902" s="23" t="str">
        <f>IF(OR(E902="",E902="!!!"),"",IF(NOT(ISNA(VLOOKUP(E902,E$1:E901,1,FALSE()))),"OLD",IF(AND(E902&lt;&gt;"",E902&lt;&gt;"!!!"),"NEW","")))</f>
        <v> </v>
      </c>
      <c r="G902" s="24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5" t="str">
        <f>IF(J902&lt;&gt;1,"",IF(I902="SBJ","CB","?"))</f>
        <v> </v>
      </c>
      <c r="I902" s="26" t="str">
        <f>IF(OR(E902="",E902="!!!",F902="NEW"),"",INDEX(B901:B$2,-1+SUMPRODUCT(MAX(ROW(E901:E$2)*(E902=E901:E$2)))))</f>
        <v> </v>
      </c>
      <c r="J902" s="26" t="str">
        <f>IF(OR(E902="",E902="!!!",F902="NEW"),"",COUNTBLANK(OFFSET(A$1,,,SUMPRODUCT(MAX(ROW(E$2:E902)*(E902=E$2:E902)))))-COUNTBLANK(OFFSET(A$1,,,SUMPRODUCT(MAX(ROW(E$1:E901)*(E2=E$1:E901))))))</f>
        <v> </v>
      </c>
      <c r="K902" s="26" t="str">
        <f>IF(OR(E902="",E902="!!!",F902="NEW"),"",INDEX(J$1:J901,SUMPRODUCT(MAX(ROW(E$1:E901)*(E902=E$1:E901)))))</f>
        <v> </v>
      </c>
      <c r="L902" s="27"/>
    </row>
    <row r="903" spans="1:12">
      <c r="A903" s="20" t="s">
        <v>349</v>
      </c>
      <c r="E903" s="22">
        <f>IF(D903="?OLD","!!!","")</f>
        <v/>
      </c>
      <c r="F903" s="23" t="str">
        <f>IF(OR(E903="",E903="!!!"),"",IF(NOT(ISNA(VLOOKUP(E903,E$1:E902,1,FALSE()))),"OLD",IF(AND(E903&lt;&gt;"",E903&lt;&gt;"!!!"),"NEW","")))</f>
        <v> </v>
      </c>
      <c r="G903" s="24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5" t="str">
        <f>IF(J903&lt;&gt;1,"",IF(I903="SBJ","CB","?"))</f>
        <v> </v>
      </c>
      <c r="I903" s="26" t="str">
        <f>IF(OR(E903="",E903="!!!",F903="NEW"),"",INDEX(B902:B$2,-1+SUMPRODUCT(MAX(ROW(E902:E$2)*(E903=E902:E$2)))))</f>
        <v> </v>
      </c>
      <c r="J903" s="26" t="str">
        <f>IF(OR(E903="",E903="!!!",F903="NEW"),"",COUNTBLANK(OFFSET(A$1,,,SUMPRODUCT(MAX(ROW(E$2:E903)*(E903=E$2:E903)))))-COUNTBLANK(OFFSET(A$1,,,SUMPRODUCT(MAX(ROW(E$1:E902)*(E2=E$1:E902))))))</f>
        <v> </v>
      </c>
      <c r="K903" s="26" t="str">
        <f>IF(OR(E903="",E903="!!!",F903="NEW"),"",INDEX(J$1:J902,SUMPRODUCT(MAX(ROW(E$1:E902)*(E903=E$1:E902)))))</f>
        <v> </v>
      </c>
      <c r="L903" s="27"/>
    </row>
    <row r="904" spans="1:12">
      <c r="A904" s="20" t="s">
        <v>206</v>
      </c>
      <c r="B904" s="21" t="s">
        <v>180</v>
      </c>
      <c r="C904" s="21" t="s">
        <v>207</v>
      </c>
      <c r="D904" s="21" t="s">
        <v>168</v>
      </c>
      <c r="E904" s="22">
        <f>IF(D904="?OLD","!!!","")</f>
        <v/>
      </c>
      <c r="F904" s="23" t="str">
        <f>IF(OR(E904="",E904="!!!"),"",IF(NOT(ISNA(VLOOKUP(E904,E$1:E903,1,FALSE()))),"OLD",IF(AND(E904&lt;&gt;"",E904&lt;&gt;"!!!"),"NEW","")))</f>
        <v> </v>
      </c>
      <c r="G904" s="24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5" t="str">
        <f>IF(J904&lt;&gt;1,"",IF(I904="SBJ","CB","?"))</f>
        <v> </v>
      </c>
      <c r="I904" s="26" t="str">
        <f>IF(OR(E904="",E904="!!!",F904="NEW"),"",INDEX(B903:B$2,-1+SUMPRODUCT(MAX(ROW(E903:E$2)*(E904=E903:E$2)))))</f>
        <v> </v>
      </c>
      <c r="J904" s="26" t="str">
        <f>IF(OR(E904="",E904="!!!",F904="NEW"),"",COUNTBLANK(OFFSET(A$1,,,SUMPRODUCT(MAX(ROW(E$2:E904)*(E904=E$2:E904)))))-COUNTBLANK(OFFSET(A$1,,,SUMPRODUCT(MAX(ROW(E$1:E903)*(E2=E$1:E903))))))</f>
        <v> </v>
      </c>
      <c r="K904" s="26" t="str">
        <f>IF(OR(E904="",E904="!!!",F904="NEW"),"",INDEX(J$1:J903,SUMPRODUCT(MAX(ROW(E$1:E903)*(E904=E$1:E903)))))</f>
        <v> </v>
      </c>
      <c r="L904" s="27"/>
    </row>
    <row r="905" spans="1:12">
      <c r="A905" s="20" t="s">
        <v>483</v>
      </c>
      <c r="B905" s="21" t="s">
        <v>166</v>
      </c>
      <c r="C905" s="21" t="s">
        <v>210</v>
      </c>
      <c r="D905" s="21" t="s">
        <v>168</v>
      </c>
      <c r="E905" s="22">
        <f>IF(D905="?OLD","!!!","")</f>
        <v/>
      </c>
      <c r="F905" s="23" t="str">
        <f>IF(OR(E905="",E905="!!!"),"",IF(NOT(ISNA(VLOOKUP(E905,E$1:E904,1,FALSE()))),"OLD",IF(AND(E905&lt;&gt;"",E905&lt;&gt;"!!!"),"NEW","")))</f>
        <v> </v>
      </c>
      <c r="G905" s="24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5" t="str">
        <f>IF(J905&lt;&gt;1,"",IF(I905="SBJ","CB","?"))</f>
        <v> </v>
      </c>
      <c r="I905" s="26" t="str">
        <f>IF(OR(E905="",E905="!!!",F905="NEW"),"",INDEX(B904:B$2,-1+SUMPRODUCT(MAX(ROW(E904:E$2)*(E905=E904:E$2)))))</f>
        <v> </v>
      </c>
      <c r="J905" s="26" t="str">
        <f>IF(OR(E905="",E905="!!!",F905="NEW"),"",COUNTBLANK(OFFSET(A$1,,,SUMPRODUCT(MAX(ROW(E$2:E905)*(E905=E$2:E905)))))-COUNTBLANK(OFFSET(A$1,,,SUMPRODUCT(MAX(ROW(E$1:E904)*(E2=E$1:E904))))))</f>
        <v> </v>
      </c>
      <c r="K905" s="26" t="str">
        <f>IF(OR(E905="",E905="!!!",F905="NEW"),"",INDEX(J$1:J904,SUMPRODUCT(MAX(ROW(E$1:E904)*(E905=E$1:E904)))))</f>
        <v> </v>
      </c>
      <c r="L905" s="27"/>
    </row>
    <row r="906" spans="1:12">
      <c r="A906" s="20" t="s">
        <v>341</v>
      </c>
      <c r="E906" s="22">
        <f>IF(D906="?OLD","!!!","")</f>
        <v/>
      </c>
      <c r="F906" s="23" t="str">
        <f>IF(OR(E906="",E906="!!!"),"",IF(NOT(ISNA(VLOOKUP(E906,E$1:E905,1,FALSE()))),"OLD",IF(AND(E906&lt;&gt;"",E906&lt;&gt;"!!!"),"NEW","")))</f>
        <v> </v>
      </c>
      <c r="G906" s="24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5" t="str">
        <f>IF(J906&lt;&gt;1,"",IF(I906="SBJ","CB","?"))</f>
        <v> </v>
      </c>
      <c r="I906" s="26" t="str">
        <f>IF(OR(E906="",E906="!!!",F906="NEW"),"",INDEX(B905:B$2,-1+SUMPRODUCT(MAX(ROW(E905:E$2)*(E906=E905:E$2)))))</f>
        <v> </v>
      </c>
      <c r="J906" s="26" t="str">
        <f>IF(OR(E906="",E906="!!!",F906="NEW"),"",COUNTBLANK(OFFSET(A$1,,,SUMPRODUCT(MAX(ROW(E$2:E906)*(E906=E$2:E906)))))-COUNTBLANK(OFFSET(A$1,,,SUMPRODUCT(MAX(ROW(E$1:E905)*(E2=E$1:E905))))))</f>
        <v> </v>
      </c>
      <c r="K906" s="26" t="str">
        <f>IF(OR(E906="",E906="!!!",F906="NEW"),"",INDEX(J$1:J905,SUMPRODUCT(MAX(ROW(E$1:E905)*(E906=E$1:E905)))))</f>
        <v> </v>
      </c>
      <c r="L906" s="27"/>
    </row>
    <row r="907" spans="1:12">
      <c r="A907" s="20" t="s">
        <v>183</v>
      </c>
      <c r="B907" s="21" t="s">
        <v>195</v>
      </c>
      <c r="C907" s="21" t="s">
        <v>185</v>
      </c>
      <c r="D907" s="21" t="s">
        <v>168</v>
      </c>
      <c r="E907" s="22">
        <f>IF(D907="?OLD","!!!","")</f>
        <v/>
      </c>
      <c r="F907" s="23" t="str">
        <f>IF(OR(E907="",E907="!!!"),"",IF(NOT(ISNA(VLOOKUP(E907,E$1:E906,1,FALSE()))),"OLD",IF(AND(E907&lt;&gt;"",E907&lt;&gt;"!!!"),"NEW","")))</f>
        <v> </v>
      </c>
      <c r="G907" s="24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5" t="str">
        <f>IF(J907&lt;&gt;1,"",IF(I907="SBJ","CB","?"))</f>
        <v> </v>
      </c>
      <c r="I907" s="26" t="str">
        <f>IF(OR(E907="",E907="!!!",F907="NEW"),"",INDEX(B906:B$2,-1+SUMPRODUCT(MAX(ROW(E906:E$2)*(E907=E906:E$2)))))</f>
        <v> </v>
      </c>
      <c r="J907" s="26" t="str">
        <f>IF(OR(E907="",E907="!!!",F907="NEW"),"",COUNTBLANK(OFFSET(A$1,,,SUMPRODUCT(MAX(ROW(E$2:E907)*(E907=E$2:E907)))))-COUNTBLANK(OFFSET(A$1,,,SUMPRODUCT(MAX(ROW(E$1:E906)*(E2=E$1:E906))))))</f>
        <v> </v>
      </c>
      <c r="K907" s="26" t="str">
        <f>IF(OR(E907="",E907="!!!",F907="NEW"),"",INDEX(J$1:J906,SUMPRODUCT(MAX(ROW(E$1:E906)*(E907=E$1:E906)))))</f>
        <v> </v>
      </c>
      <c r="L907" s="27"/>
    </row>
    <row r="908" spans="1:12">
      <c r="A908" s="20" t="s">
        <v>401</v>
      </c>
      <c r="E908" s="22">
        <f>IF(D908="?OLD","!!!","")</f>
        <v/>
      </c>
      <c r="F908" s="23" t="str">
        <f>IF(OR(E908="",E908="!!!"),"",IF(NOT(ISNA(VLOOKUP(E908,E$1:E907,1,FALSE()))),"OLD",IF(AND(E908&lt;&gt;"",E908&lt;&gt;"!!!"),"NEW","")))</f>
        <v> </v>
      </c>
      <c r="G908" s="24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5" t="str">
        <f>IF(J908&lt;&gt;1,"",IF(I908="SBJ","CB","?"))</f>
        <v> </v>
      </c>
      <c r="I908" s="26" t="str">
        <f>IF(OR(E908="",E908="!!!",F908="NEW"),"",INDEX(B907:B$2,-1+SUMPRODUCT(MAX(ROW(E907:E$2)*(E908=E907:E$2)))))</f>
        <v> </v>
      </c>
      <c r="J908" s="26" t="str">
        <f>IF(OR(E908="",E908="!!!",F908="NEW"),"",COUNTBLANK(OFFSET(A$1,,,SUMPRODUCT(MAX(ROW(E$2:E908)*(E908=E$2:E908)))))-COUNTBLANK(OFFSET(A$1,,,SUMPRODUCT(MAX(ROW(E$1:E907)*(E2=E$1:E907))))))</f>
        <v> </v>
      </c>
      <c r="K908" s="26" t="str">
        <f>IF(OR(E908="",E908="!!!",F908="NEW"),"",INDEX(J$1:J907,SUMPRODUCT(MAX(ROW(E$1:E907)*(E908=E$1:E907)))))</f>
        <v> </v>
      </c>
      <c r="L908" s="27"/>
    </row>
    <row r="909" spans="1:12">
      <c r="A909" s="20" t="s">
        <v>585</v>
      </c>
      <c r="B909" s="21" t="s">
        <v>199</v>
      </c>
      <c r="C909" s="21" t="s">
        <v>219</v>
      </c>
      <c r="E909" s="22">
        <f>IF(D909="?OLD","!!!","")</f>
        <v/>
      </c>
      <c r="F909" s="23" t="str">
        <f>IF(OR(E909="",E909="!!!"),"",IF(NOT(ISNA(VLOOKUP(E909,E$1:E908,1,FALSE()))),"OLD",IF(AND(E909&lt;&gt;"",E909&lt;&gt;"!!!"),"NEW","")))</f>
        <v> </v>
      </c>
      <c r="G909" s="24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5" t="str">
        <f>IF(J909&lt;&gt;1,"",IF(I909="SBJ","CB","?"))</f>
        <v> </v>
      </c>
      <c r="I909" s="26" t="str">
        <f>IF(OR(E909="",E909="!!!",F909="NEW"),"",INDEX(B908:B$2,-1+SUMPRODUCT(MAX(ROW(E908:E$2)*(E909=E908:E$2)))))</f>
        <v> </v>
      </c>
      <c r="J909" s="26" t="str">
        <f>IF(OR(E909="",E909="!!!",F909="NEW"),"",COUNTBLANK(OFFSET(A$1,,,SUMPRODUCT(MAX(ROW(E$2:E909)*(E909=E$2:E909)))))-COUNTBLANK(OFFSET(A$1,,,SUMPRODUCT(MAX(ROW(E$1:E908)*(E2=E$1:E908))))))</f>
        <v> </v>
      </c>
      <c r="K909" s="26" t="str">
        <f>IF(OR(E909="",E909="!!!",F909="NEW"),"",INDEX(J$1:J908,SUMPRODUCT(MAX(ROW(E$1:E908)*(E909=E$1:E908)))))</f>
        <v> </v>
      </c>
      <c r="L909" s="27"/>
    </row>
    <row r="910" spans="1:12">
      <c r="A910" s="20" t="s">
        <v>586</v>
      </c>
      <c r="E910" s="22">
        <f>IF(D910="?OLD","!!!","")</f>
        <v/>
      </c>
      <c r="F910" s="23" t="str">
        <f>IF(OR(E910="",E910="!!!"),"",IF(NOT(ISNA(VLOOKUP(E910,E$1:E909,1,FALSE()))),"OLD",IF(AND(E910&lt;&gt;"",E910&lt;&gt;"!!!"),"NEW","")))</f>
        <v> </v>
      </c>
      <c r="G910" s="24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5" t="str">
        <f>IF(J910&lt;&gt;1,"",IF(I910="SBJ","CB","?"))</f>
        <v> </v>
      </c>
      <c r="I910" s="26" t="str">
        <f>IF(OR(E910="",E910="!!!",F910="NEW"),"",INDEX(B909:B$2,-1+SUMPRODUCT(MAX(ROW(E909:E$2)*(E910=E909:E$2)))))</f>
        <v> </v>
      </c>
      <c r="J910" s="26" t="str">
        <f>IF(OR(E910="",E910="!!!",F910="NEW"),"",COUNTBLANK(OFFSET(A$1,,,SUMPRODUCT(MAX(ROW(E$2:E910)*(E910=E$2:E910)))))-COUNTBLANK(OFFSET(A$1,,,SUMPRODUCT(MAX(ROW(E$1:E909)*(E2=E$1:E909))))))</f>
        <v> </v>
      </c>
      <c r="K910" s="26" t="str">
        <f>IF(OR(E910="",E910="!!!",F910="NEW"),"",INDEX(J$1:J909,SUMPRODUCT(MAX(ROW(E$1:E909)*(E910=E$1:E909)))))</f>
        <v> </v>
      </c>
      <c r="L910" s="27"/>
    </row>
    <row r="911" spans="1:12">
      <c r="A911" s="20" t="s">
        <v>176</v>
      </c>
      <c r="E911" s="22">
        <f>IF(D911="?OLD","!!!","")</f>
        <v/>
      </c>
      <c r="F911" s="23" t="str">
        <f>IF(OR(E911="",E911="!!!"),"",IF(NOT(ISNA(VLOOKUP(E911,E$1:E910,1,FALSE()))),"OLD",IF(AND(E911&lt;&gt;"",E911&lt;&gt;"!!!"),"NEW","")))</f>
        <v> </v>
      </c>
      <c r="G911" s="24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5" t="str">
        <f>IF(J911&lt;&gt;1,"",IF(I911="SBJ","CB","?"))</f>
        <v> </v>
      </c>
      <c r="I911" s="26" t="str">
        <f>IF(OR(E911="",E911="!!!",F911="NEW"),"",INDEX(B910:B$2,-1+SUMPRODUCT(MAX(ROW(E910:E$2)*(E911=E910:E$2)))))</f>
        <v> </v>
      </c>
      <c r="J911" s="26" t="str">
        <f>IF(OR(E911="",E911="!!!",F911="NEW"),"",COUNTBLANK(OFFSET(A$1,,,SUMPRODUCT(MAX(ROW(E$2:E911)*(E911=E$2:E911)))))-COUNTBLANK(OFFSET(A$1,,,SUMPRODUCT(MAX(ROW(E$1:E910)*(E2=E$1:E910))))))</f>
        <v> </v>
      </c>
      <c r="K911" s="26" t="str">
        <f>IF(OR(E911="",E911="!!!",F911="NEW"),"",INDEX(J$1:J910,SUMPRODUCT(MAX(ROW(E$1:E910)*(E911=E$1:E910)))))</f>
        <v> </v>
      </c>
      <c r="L911" s="27"/>
    </row>
    <row r="912" spans="1:12">
      <c r="A912" s="20" t="s">
        <v>587</v>
      </c>
      <c r="E912" s="22">
        <f>IF(D912="?OLD","!!!","")</f>
        <v/>
      </c>
      <c r="F912" s="23" t="str">
        <f>IF(OR(E912="",E912="!!!"),"",IF(NOT(ISNA(VLOOKUP(E912,E$1:E911,1,FALSE()))),"OLD",IF(AND(E912&lt;&gt;"",E912&lt;&gt;"!!!"),"NEW","")))</f>
        <v> </v>
      </c>
      <c r="G912" s="24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5" t="str">
        <f>IF(J912&lt;&gt;1,"",IF(I912="SBJ","CB","?"))</f>
        <v> </v>
      </c>
      <c r="I912" s="26" t="str">
        <f>IF(OR(E912="",E912="!!!",F912="NEW"),"",INDEX(B911:B$2,-1+SUMPRODUCT(MAX(ROW(E911:E$2)*(E912=E911:E$2)))))</f>
        <v> </v>
      </c>
      <c r="J912" s="26" t="str">
        <f>IF(OR(E912="",E912="!!!",F912="NEW"),"",COUNTBLANK(OFFSET(A$1,,,SUMPRODUCT(MAX(ROW(E$2:E912)*(E912=E$2:E912)))))-COUNTBLANK(OFFSET(A$1,,,SUMPRODUCT(MAX(ROW(E$1:E911)*(E2=E$1:E911))))))</f>
        <v> </v>
      </c>
      <c r="K912" s="26" t="str">
        <f>IF(OR(E912="",E912="!!!",F912="NEW"),"",INDEX(J$1:J911,SUMPRODUCT(MAX(ROW(E$1:E911)*(E912=E$1:E911)))))</f>
        <v> </v>
      </c>
      <c r="L912" s="27"/>
    </row>
    <row r="913" spans="1:12">
      <c r="A913" s="20" t="s">
        <v>187</v>
      </c>
      <c r="E913" s="22">
        <f>IF(D913="?OLD","!!!","")</f>
        <v/>
      </c>
      <c r="F913" s="23" t="str">
        <f>IF(OR(E913="",E913="!!!"),"",IF(NOT(ISNA(VLOOKUP(E913,E$1:E912,1,FALSE()))),"OLD",IF(AND(E913&lt;&gt;"",E913&lt;&gt;"!!!"),"NEW","")))</f>
        <v> </v>
      </c>
      <c r="G913" s="24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5" t="str">
        <f>IF(J913&lt;&gt;1,"",IF(I913="SBJ","CB","?"))</f>
        <v> </v>
      </c>
      <c r="I913" s="26" t="str">
        <f>IF(OR(E913="",E913="!!!",F913="NEW"),"",INDEX(B912:B$2,-1+SUMPRODUCT(MAX(ROW(E912:E$2)*(E913=E912:E$2)))))</f>
        <v> </v>
      </c>
      <c r="J913" s="26" t="str">
        <f>IF(OR(E913="",E913="!!!",F913="NEW"),"",COUNTBLANK(OFFSET(A$1,,,SUMPRODUCT(MAX(ROW(E$2:E913)*(E913=E$2:E913)))))-COUNTBLANK(OFFSET(A$1,,,SUMPRODUCT(MAX(ROW(E$1:E912)*(E2=E$1:E912))))))</f>
        <v> </v>
      </c>
      <c r="K913" s="26" t="str">
        <f>IF(OR(E913="",E913="!!!",F913="NEW"),"",INDEX(J$1:J912,SUMPRODUCT(MAX(ROW(E$1:E912)*(E913=E$1:E912)))))</f>
        <v> </v>
      </c>
      <c r="L913" s="27"/>
    </row>
    <row r="914" spans="1:12">
      <c r="A914" s="20" t="s">
        <v>327</v>
      </c>
      <c r="B914" s="21" t="s">
        <v>265</v>
      </c>
      <c r="C914" s="21" t="s">
        <v>189</v>
      </c>
      <c r="D914" s="21" t="s">
        <v>168</v>
      </c>
      <c r="E914" s="22">
        <f>IF(D914="?OLD","!!!","")</f>
        <v/>
      </c>
      <c r="F914" s="23" t="str">
        <f>IF(OR(E914="",E914="!!!"),"",IF(NOT(ISNA(VLOOKUP(E914,E$1:E913,1,FALSE()))),"OLD",IF(AND(E914&lt;&gt;"",E914&lt;&gt;"!!!"),"NEW","")))</f>
        <v> </v>
      </c>
      <c r="G914" s="24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5" t="str">
        <f>IF(J914&lt;&gt;1,"",IF(I914="SBJ","CB","?"))</f>
        <v> </v>
      </c>
      <c r="I914" s="26" t="str">
        <f>IF(OR(E914="",E914="!!!",F914="NEW"),"",INDEX(B913:B$2,-1+SUMPRODUCT(MAX(ROW(E913:E$2)*(E914=E913:E$2)))))</f>
        <v> </v>
      </c>
      <c r="J914" s="26" t="str">
        <f>IF(OR(E914="",E914="!!!",F914="NEW"),"",COUNTBLANK(OFFSET(A$1,,,SUMPRODUCT(MAX(ROW(E$2:E914)*(E914=E$2:E914)))))-COUNTBLANK(OFFSET(A$1,,,SUMPRODUCT(MAX(ROW(E$1:E913)*(E2=E$1:E913))))))</f>
        <v> </v>
      </c>
      <c r="K914" s="26" t="str">
        <f>IF(OR(E914="",E914="!!!",F914="NEW"),"",INDEX(J$1:J913,SUMPRODUCT(MAX(ROW(E$1:E913)*(E914=E$1:E913)))))</f>
        <v> </v>
      </c>
      <c r="L914" s="27"/>
    </row>
    <row r="915" spans="1:12">
      <c r="A915" s="20" t="s">
        <v>228</v>
      </c>
      <c r="E915" s="22">
        <f>IF(D915="?OLD","!!!","")</f>
        <v/>
      </c>
      <c r="F915" s="23" t="str">
        <f>IF(OR(E915="",E915="!!!"),"",IF(NOT(ISNA(VLOOKUP(E915,E$1:E914,1,FALSE()))),"OLD",IF(AND(E915&lt;&gt;"",E915&lt;&gt;"!!!"),"NEW","")))</f>
        <v> </v>
      </c>
      <c r="G915" s="24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5" t="str">
        <f>IF(J915&lt;&gt;1,"",IF(I915="SBJ","CB","?"))</f>
        <v> </v>
      </c>
      <c r="I915" s="26" t="str">
        <f>IF(OR(E915="",E915="!!!",F915="NEW"),"",INDEX(B914:B$2,-1+SUMPRODUCT(MAX(ROW(E914:E$2)*(E915=E914:E$2)))))</f>
        <v> </v>
      </c>
      <c r="J915" s="26" t="str">
        <f>IF(OR(E915="",E915="!!!",F915="NEW"),"",COUNTBLANK(OFFSET(A$1,,,SUMPRODUCT(MAX(ROW(E$2:E915)*(E915=E$2:E915)))))-COUNTBLANK(OFFSET(A$1,,,SUMPRODUCT(MAX(ROW(E$1:E914)*(E2=E$1:E914))))))</f>
        <v> </v>
      </c>
      <c r="K915" s="26" t="str">
        <f>IF(OR(E915="",E915="!!!",F915="NEW"),"",INDEX(J$1:J914,SUMPRODUCT(MAX(ROW(E$1:E914)*(E915=E$1:E914)))))</f>
        <v> </v>
      </c>
      <c r="L915" s="27"/>
    </row>
    <row r="916" spans="1:12">
      <c r="A916" s="20" t="s">
        <v>401</v>
      </c>
      <c r="E916" s="22">
        <f>IF(D916="?OLD","!!!","")</f>
        <v/>
      </c>
      <c r="F916" s="23" t="str">
        <f>IF(OR(E916="",E916="!!!"),"",IF(NOT(ISNA(VLOOKUP(E916,E$1:E915,1,FALSE()))),"OLD",IF(AND(E916&lt;&gt;"",E916&lt;&gt;"!!!"),"NEW","")))</f>
        <v> </v>
      </c>
      <c r="G916" s="24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5" t="str">
        <f>IF(J916&lt;&gt;1,"",IF(I916="SBJ","CB","?"))</f>
        <v> </v>
      </c>
      <c r="I916" s="26" t="str">
        <f>IF(OR(E916="",E916="!!!",F916="NEW"),"",INDEX(B915:B$2,-1+SUMPRODUCT(MAX(ROW(E915:E$2)*(E916=E915:E$2)))))</f>
        <v> </v>
      </c>
      <c r="J916" s="26" t="str">
        <f>IF(OR(E916="",E916="!!!",F916="NEW"),"",COUNTBLANK(OFFSET(A$1,,,SUMPRODUCT(MAX(ROW(E$2:E916)*(E916=E$2:E916)))))-COUNTBLANK(OFFSET(A$1,,,SUMPRODUCT(MAX(ROW(E$1:E915)*(E2=E$1:E915))))))</f>
        <v> </v>
      </c>
      <c r="K916" s="26" t="str">
        <f>IF(OR(E916="",E916="!!!",F916="NEW"),"",INDEX(J$1:J915,SUMPRODUCT(MAX(ROW(E$1:E915)*(E916=E$1:E915)))))</f>
        <v> </v>
      </c>
      <c r="L916" s="27"/>
    </row>
    <row r="917" spans="1:12">
      <c r="A917" s="20" t="s">
        <v>588</v>
      </c>
      <c r="E917" s="22">
        <f>IF(D917="?OLD","!!!","")</f>
        <v/>
      </c>
      <c r="F917" s="23" t="str">
        <f>IF(OR(E917="",E917="!!!"),"",IF(NOT(ISNA(VLOOKUP(E917,E$1:E916,1,FALSE()))),"OLD",IF(AND(E917&lt;&gt;"",E917&lt;&gt;"!!!"),"NEW","")))</f>
        <v> </v>
      </c>
      <c r="G917" s="24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5" t="str">
        <f>IF(J917&lt;&gt;1,"",IF(I917="SBJ","CB","?"))</f>
        <v> </v>
      </c>
      <c r="I917" s="26" t="str">
        <f>IF(OR(E917="",E917="!!!",F917="NEW"),"",INDEX(B916:B$2,-1+SUMPRODUCT(MAX(ROW(E916:E$2)*(E917=E916:E$2)))))</f>
        <v> </v>
      </c>
      <c r="J917" s="26" t="str">
        <f>IF(OR(E917="",E917="!!!",F917="NEW"),"",COUNTBLANK(OFFSET(A$1,,,SUMPRODUCT(MAX(ROW(E$2:E917)*(E917=E$2:E917)))))-COUNTBLANK(OFFSET(A$1,,,SUMPRODUCT(MAX(ROW(E$1:E916)*(E2=E$1:E916))))))</f>
        <v> </v>
      </c>
      <c r="K917" s="26" t="str">
        <f>IF(OR(E917="",E917="!!!",F917="NEW"),"",INDEX(J$1:J916,SUMPRODUCT(MAX(ROW(E$1:E916)*(E917=E$1:E916)))))</f>
        <v> </v>
      </c>
      <c r="L917" s="27"/>
    </row>
    <row r="918" spans="1:12">
      <c r="A918" s="20" t="s">
        <v>589</v>
      </c>
      <c r="B918" s="21" t="s">
        <v>191</v>
      </c>
      <c r="C918" s="21" t="s">
        <v>219</v>
      </c>
      <c r="E918" s="22">
        <f>IF(D918="?OLD","!!!","")</f>
        <v/>
      </c>
      <c r="F918" s="23" t="str">
        <f>IF(OR(E918="",E918="!!!"),"",IF(NOT(ISNA(VLOOKUP(E918,E$1:E917,1,FALSE()))),"OLD",IF(AND(E918&lt;&gt;"",E918&lt;&gt;"!!!"),"NEW","")))</f>
        <v> </v>
      </c>
      <c r="G918" s="24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5" t="str">
        <f>IF(J918&lt;&gt;1,"",IF(I918="SBJ","CB","?"))</f>
        <v> </v>
      </c>
      <c r="I918" s="26" t="str">
        <f>IF(OR(E918="",E918="!!!",F918="NEW"),"",INDEX(B917:B$2,-1+SUMPRODUCT(MAX(ROW(E917:E$2)*(E918=E917:E$2)))))</f>
        <v> </v>
      </c>
      <c r="J918" s="26" t="str">
        <f>IF(OR(E918="",E918="!!!",F918="NEW"),"",COUNTBLANK(OFFSET(A$1,,,SUMPRODUCT(MAX(ROW(E$2:E918)*(E918=E$2:E918)))))-COUNTBLANK(OFFSET(A$1,,,SUMPRODUCT(MAX(ROW(E$1:E917)*(E2=E$1:E917))))))</f>
        <v> </v>
      </c>
      <c r="K918" s="26" t="str">
        <f>IF(OR(E918="",E918="!!!",F918="NEW"),"",INDEX(J$1:J917,SUMPRODUCT(MAX(ROW(E$1:E917)*(E918=E$1:E917)))))</f>
        <v> </v>
      </c>
      <c r="L918" s="27"/>
    </row>
    <row r="919" spans="1:12">
      <c r="A919" s="20" t="s">
        <v>193</v>
      </c>
      <c r="E919" s="22">
        <f>IF(D919="?OLD","!!!","")</f>
        <v/>
      </c>
      <c r="F919" s="23" t="str">
        <f>IF(OR(E919="",E919="!!!"),"",IF(NOT(ISNA(VLOOKUP(E919,E$1:E918,1,FALSE()))),"OLD",IF(AND(E919&lt;&gt;"",E919&lt;&gt;"!!!"),"NEW","")))</f>
        <v> </v>
      </c>
      <c r="G919" s="24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5" t="str">
        <f>IF(J919&lt;&gt;1,"",IF(I919="SBJ","CB","?"))</f>
        <v> </v>
      </c>
      <c r="I919" s="26" t="str">
        <f>IF(OR(E919="",E919="!!!",F919="NEW"),"",INDEX(B918:B$2,-1+SUMPRODUCT(MAX(ROW(E918:E$2)*(E919=E918:E$2)))))</f>
        <v> </v>
      </c>
      <c r="J919" s="26" t="str">
        <f>IF(OR(E919="",E919="!!!",F919="NEW"),"",COUNTBLANK(OFFSET(A$1,,,SUMPRODUCT(MAX(ROW(E$2:E919)*(E919=E$2:E919)))))-COUNTBLANK(OFFSET(A$1,,,SUMPRODUCT(MAX(ROW(E$1:E918)*(E2=E$1:E918))))))</f>
        <v> </v>
      </c>
      <c r="K919" s="26" t="str">
        <f>IF(OR(E919="",E919="!!!",F919="NEW"),"",INDEX(J$1:J918,SUMPRODUCT(MAX(ROW(E$1:E918)*(E919=E$1:E918)))))</f>
        <v> </v>
      </c>
      <c r="L919" s="27"/>
    </row>
    <row r="920" spans="1:12">
      <c r="A920" s="20" t="s">
        <v>590</v>
      </c>
      <c r="E920" s="22">
        <f>IF(D920="?OLD","!!!","")</f>
        <v/>
      </c>
      <c r="F920" s="23" t="str">
        <f>IF(OR(E920="",E920="!!!"),"",IF(NOT(ISNA(VLOOKUP(E920,E$1:E919,1,FALSE()))),"OLD",IF(AND(E920&lt;&gt;"",E920&lt;&gt;"!!!"),"NEW","")))</f>
        <v> </v>
      </c>
      <c r="G920" s="24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5" t="str">
        <f>IF(J920&lt;&gt;1,"",IF(I920="SBJ","CB","?"))</f>
        <v> </v>
      </c>
      <c r="I920" s="26" t="str">
        <f>IF(OR(E920="",E920="!!!",F920="NEW"),"",INDEX(B919:B$2,-1+SUMPRODUCT(MAX(ROW(E919:E$2)*(E920=E919:E$2)))))</f>
        <v> </v>
      </c>
      <c r="J920" s="26" t="str">
        <f>IF(OR(E920="",E920="!!!",F920="NEW"),"",COUNTBLANK(OFFSET(A$1,,,SUMPRODUCT(MAX(ROW(E$2:E920)*(E920=E$2:E920)))))-COUNTBLANK(OFFSET(A$1,,,SUMPRODUCT(MAX(ROW(E$1:E919)*(E2=E$1:E919))))))</f>
        <v> </v>
      </c>
      <c r="K920" s="26" t="str">
        <f>IF(OR(E920="",E920="!!!",F920="NEW"),"",INDEX(J$1:J919,SUMPRODUCT(MAX(ROW(E$1:E919)*(E920=E$1:E919)))))</f>
        <v> </v>
      </c>
      <c r="L920" s="27"/>
    </row>
    <row r="921" spans="1:12">
      <c r="A921" s="20" t="s">
        <v>193</v>
      </c>
      <c r="E921" s="22">
        <f>IF(D921="?OLD","!!!","")</f>
        <v/>
      </c>
      <c r="F921" s="23" t="str">
        <f>IF(OR(E921="",E921="!!!"),"",IF(NOT(ISNA(VLOOKUP(E921,E$1:E920,1,FALSE()))),"OLD",IF(AND(E921&lt;&gt;"",E921&lt;&gt;"!!!"),"NEW","")))</f>
        <v> </v>
      </c>
      <c r="G921" s="24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5" t="str">
        <f>IF(J921&lt;&gt;1,"",IF(I921="SBJ","CB","?"))</f>
        <v> </v>
      </c>
      <c r="I921" s="26" t="str">
        <f>IF(OR(E921="",E921="!!!",F921="NEW"),"",INDEX(B920:B$2,-1+SUMPRODUCT(MAX(ROW(E920:E$2)*(E921=E920:E$2)))))</f>
        <v> </v>
      </c>
      <c r="J921" s="26" t="str">
        <f>IF(OR(E921="",E921="!!!",F921="NEW"),"",COUNTBLANK(OFFSET(A$1,,,SUMPRODUCT(MAX(ROW(E$2:E921)*(E921=E$2:E921)))))-COUNTBLANK(OFFSET(A$1,,,SUMPRODUCT(MAX(ROW(E$1:E920)*(E2=E$1:E920))))))</f>
        <v> </v>
      </c>
      <c r="K921" s="26" t="str">
        <f>IF(OR(E921="",E921="!!!",F921="NEW"),"",INDEX(J$1:J920,SUMPRODUCT(MAX(ROW(E$1:E920)*(E921=E$1:E920)))))</f>
        <v> </v>
      </c>
      <c r="L921" s="27"/>
    </row>
    <row r="922" spans="1:12">
      <c r="A922" s="20" t="s">
        <v>228</v>
      </c>
      <c r="E922" s="22">
        <f>IF(D922="?OLD","!!!","")</f>
        <v/>
      </c>
      <c r="F922" s="23" t="str">
        <f>IF(OR(E922="",E922="!!!"),"",IF(NOT(ISNA(VLOOKUP(E922,E$1:E921,1,FALSE()))),"OLD",IF(AND(E922&lt;&gt;"",E922&lt;&gt;"!!!"),"NEW","")))</f>
        <v> </v>
      </c>
      <c r="G922" s="24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5" t="str">
        <f>IF(J922&lt;&gt;1,"",IF(I922="SBJ","CB","?"))</f>
        <v> </v>
      </c>
      <c r="I922" s="26" t="str">
        <f>IF(OR(E922="",E922="!!!",F922="NEW"),"",INDEX(B921:B$2,-1+SUMPRODUCT(MAX(ROW(E921:E$2)*(E922=E921:E$2)))))</f>
        <v> </v>
      </c>
      <c r="J922" s="26" t="str">
        <f>IF(OR(E922="",E922="!!!",F922="NEW"),"",COUNTBLANK(OFFSET(A$1,,,SUMPRODUCT(MAX(ROW(E$2:E922)*(E922=E$2:E922)))))-COUNTBLANK(OFFSET(A$1,,,SUMPRODUCT(MAX(ROW(E$1:E921)*(E2=E$1:E921))))))</f>
        <v> </v>
      </c>
      <c r="K922" s="26" t="str">
        <f>IF(OR(E922="",E922="!!!",F922="NEW"),"",INDEX(J$1:J921,SUMPRODUCT(MAX(ROW(E$1:E921)*(E922=E$1:E921)))))</f>
        <v> </v>
      </c>
      <c r="L922" s="27"/>
    </row>
    <row r="923" spans="1:12">
      <c r="A923" s="20" t="s">
        <v>347</v>
      </c>
      <c r="E923" s="22">
        <f>IF(D923="?OLD","!!!","")</f>
        <v/>
      </c>
      <c r="F923" s="23" t="str">
        <f>IF(OR(E923="",E923="!!!"),"",IF(NOT(ISNA(VLOOKUP(E923,E$1:E922,1,FALSE()))),"OLD",IF(AND(E923&lt;&gt;"",E923&lt;&gt;"!!!"),"NEW","")))</f>
        <v> </v>
      </c>
      <c r="G923" s="24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5" t="str">
        <f>IF(J923&lt;&gt;1,"",IF(I923="SBJ","CB","?"))</f>
        <v> </v>
      </c>
      <c r="I923" s="26" t="str">
        <f>IF(OR(E923="",E923="!!!",F923="NEW"),"",INDEX(B922:B$2,-1+SUMPRODUCT(MAX(ROW(E922:E$2)*(E923=E922:E$2)))))</f>
        <v> </v>
      </c>
      <c r="J923" s="26" t="str">
        <f>IF(OR(E923="",E923="!!!",F923="NEW"),"",COUNTBLANK(OFFSET(A$1,,,SUMPRODUCT(MAX(ROW(E$2:E923)*(E923=E$2:E923)))))-COUNTBLANK(OFFSET(A$1,,,SUMPRODUCT(MAX(ROW(E$1:E922)*(E2=E$1:E922))))))</f>
        <v> </v>
      </c>
      <c r="K923" s="26" t="str">
        <f>IF(OR(E923="",E923="!!!",F923="NEW"),"",INDEX(J$1:J922,SUMPRODUCT(MAX(ROW(E$1:E922)*(E923=E$1:E922)))))</f>
        <v> </v>
      </c>
      <c r="L923" s="27"/>
    </row>
    <row r="924" spans="1:12">
      <c r="A924" s="20" t="s">
        <v>262</v>
      </c>
      <c r="B924" s="21" t="s">
        <v>269</v>
      </c>
      <c r="C924" s="21" t="s">
        <v>205</v>
      </c>
      <c r="E924" s="22">
        <f>IF(D924="?OLD","!!!","")</f>
        <v/>
      </c>
      <c r="F924" s="23" t="str">
        <f>IF(OR(E924="",E924="!!!"),"",IF(NOT(ISNA(VLOOKUP(E924,E$1:E923,1,FALSE()))),"OLD",IF(AND(E924&lt;&gt;"",E924&lt;&gt;"!!!"),"NEW","")))</f>
        <v> </v>
      </c>
      <c r="G924" s="24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5" t="str">
        <f>IF(J924&lt;&gt;1,"",IF(I924="SBJ","CB","?"))</f>
        <v> </v>
      </c>
      <c r="I924" s="26" t="str">
        <f>IF(OR(E924="",E924="!!!",F924="NEW"),"",INDEX(B923:B$2,-1+SUMPRODUCT(MAX(ROW(E923:E$2)*(E924=E923:E$2)))))</f>
        <v> </v>
      </c>
      <c r="J924" s="26" t="str">
        <f>IF(OR(E924="",E924="!!!",F924="NEW"),"",COUNTBLANK(OFFSET(A$1,,,SUMPRODUCT(MAX(ROW(E$2:E924)*(E924=E$2:E924)))))-COUNTBLANK(OFFSET(A$1,,,SUMPRODUCT(MAX(ROW(E$1:E923)*(E2=E$1:E923))))))</f>
        <v> </v>
      </c>
      <c r="K924" s="26" t="str">
        <f>IF(OR(E924="",E924="!!!",F924="NEW"),"",INDEX(J$1:J923,SUMPRODUCT(MAX(ROW(E$1:E923)*(E924=E$1:E923)))))</f>
        <v> </v>
      </c>
      <c r="L924" s="27"/>
    </row>
    <row r="925" spans="1:12">
      <c r="A925" s="20" t="s">
        <v>178</v>
      </c>
      <c r="E925" s="22">
        <f>IF(D925="?OLD","!!!","")</f>
        <v/>
      </c>
      <c r="F925" s="23" t="str">
        <f>IF(OR(E925="",E925="!!!"),"",IF(NOT(ISNA(VLOOKUP(E925,E$1:E924,1,FALSE()))),"OLD",IF(AND(E925&lt;&gt;"",E925&lt;&gt;"!!!"),"NEW","")))</f>
        <v> </v>
      </c>
      <c r="G925" s="24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5" t="str">
        <f>IF(J925&lt;&gt;1,"",IF(I925="SBJ","CB","?"))</f>
        <v> </v>
      </c>
      <c r="I925" s="26" t="str">
        <f>IF(OR(E925="",E925="!!!",F925="NEW"),"",INDEX(B924:B$2,-1+SUMPRODUCT(MAX(ROW(E924:E$2)*(E925=E924:E$2)))))</f>
        <v> </v>
      </c>
      <c r="J925" s="26" t="str">
        <f>IF(OR(E925="",E925="!!!",F925="NEW"),"",COUNTBLANK(OFFSET(A$1,,,SUMPRODUCT(MAX(ROW(E$2:E925)*(E925=E$2:E925)))))-COUNTBLANK(OFFSET(A$1,,,SUMPRODUCT(MAX(ROW(E$1:E924)*(E2=E$1:E924))))))</f>
        <v> </v>
      </c>
      <c r="K925" s="26" t="str">
        <f>IF(OR(E925="",E925="!!!",F925="NEW"),"",INDEX(J$1:J924,SUMPRODUCT(MAX(ROW(E$1:E924)*(E925=E$1:E924)))))</f>
        <v> </v>
      </c>
      <c r="L925" s="27"/>
    </row>
    <row r="926" spans="1:12">
      <c r="A926" s="20" t="s">
        <v>489</v>
      </c>
      <c r="B926" s="21" t="s">
        <v>209</v>
      </c>
      <c r="C926" s="21" t="s">
        <v>207</v>
      </c>
      <c r="D926" s="21" t="s">
        <v>168</v>
      </c>
      <c r="E926" s="22">
        <f>IF(D926="?OLD","!!!","")</f>
        <v/>
      </c>
      <c r="F926" s="23" t="str">
        <f>IF(OR(E926="",E926="!!!"),"",IF(NOT(ISNA(VLOOKUP(E926,E$1:E925,1,FALSE()))),"OLD",IF(AND(E926&lt;&gt;"",E926&lt;&gt;"!!!"),"NEW","")))</f>
        <v> </v>
      </c>
      <c r="G926" s="24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5" t="str">
        <f>IF(J926&lt;&gt;1,"",IF(I926="SBJ","CB","?"))</f>
        <v> </v>
      </c>
      <c r="I926" s="26" t="str">
        <f>IF(OR(E926="",E926="!!!",F926="NEW"),"",INDEX(B925:B$2,-1+SUMPRODUCT(MAX(ROW(E925:E$2)*(E926=E925:E$2)))))</f>
        <v> </v>
      </c>
      <c r="J926" s="26" t="str">
        <f>IF(OR(E926="",E926="!!!",F926="NEW"),"",COUNTBLANK(OFFSET(A$1,,,SUMPRODUCT(MAX(ROW(E$2:E926)*(E926=E$2:E926)))))-COUNTBLANK(OFFSET(A$1,,,SUMPRODUCT(MAX(ROW(E$1:E925)*(E2=E$1:E925))))))</f>
        <v> </v>
      </c>
      <c r="K926" s="26" t="str">
        <f>IF(OR(E926="",E926="!!!",F926="NEW"),"",INDEX(J$1:J925,SUMPRODUCT(MAX(ROW(E$1:E925)*(E926=E$1:E925)))))</f>
        <v> </v>
      </c>
      <c r="L926" s="27"/>
    </row>
    <row r="927" spans="1:12">
      <c r="A927" s="20" t="s">
        <v>327</v>
      </c>
      <c r="B927" s="21" t="s">
        <v>191</v>
      </c>
      <c r="C927" s="21" t="s">
        <v>210</v>
      </c>
      <c r="D927" s="21" t="s">
        <v>168</v>
      </c>
      <c r="E927" s="22">
        <f>IF(D927="?OLD","!!!","")</f>
        <v/>
      </c>
      <c r="F927" s="23" t="str">
        <f>IF(OR(E927="",E927="!!!"),"",IF(NOT(ISNA(VLOOKUP(E927,E$1:E926,1,FALSE()))),"OLD",IF(AND(E927&lt;&gt;"",E927&lt;&gt;"!!!"),"NEW","")))</f>
        <v> </v>
      </c>
      <c r="G927" s="24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5" t="str">
        <f>IF(J927&lt;&gt;1,"",IF(I927="SBJ","CB","?"))</f>
        <v> </v>
      </c>
      <c r="I927" s="26" t="str">
        <f>IF(OR(E927="",E927="!!!",F927="NEW"),"",INDEX(B926:B$2,-1+SUMPRODUCT(MAX(ROW(E926:E$2)*(E927=E926:E$2)))))</f>
        <v> </v>
      </c>
      <c r="J927" s="26" t="str">
        <f>IF(OR(E927="",E927="!!!",F927="NEW"),"",COUNTBLANK(OFFSET(A$1,,,SUMPRODUCT(MAX(ROW(E$2:E927)*(E927=E$2:E927)))))-COUNTBLANK(OFFSET(A$1,,,SUMPRODUCT(MAX(ROW(E$1:E926)*(E2=E$1:E926))))))</f>
        <v> </v>
      </c>
      <c r="K927" s="26" t="str">
        <f>IF(OR(E927="",E927="!!!",F927="NEW"),"",INDEX(J$1:J926,SUMPRODUCT(MAX(ROW(E$1:E926)*(E927=E$1:E926)))))</f>
        <v> </v>
      </c>
      <c r="L927" s="27"/>
    </row>
    <row r="928" spans="1:12">
      <c r="A928" s="20" t="s">
        <v>591</v>
      </c>
      <c r="E928" s="22">
        <f>IF(D928="?OLD","!!!","")</f>
        <v/>
      </c>
      <c r="F928" s="23" t="str">
        <f>IF(OR(E928="",E928="!!!"),"",IF(NOT(ISNA(VLOOKUP(E928,E$1:E927,1,FALSE()))),"OLD",IF(AND(E928&lt;&gt;"",E928&lt;&gt;"!!!"),"NEW","")))</f>
        <v> </v>
      </c>
      <c r="G928" s="24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5" t="str">
        <f>IF(J928&lt;&gt;1,"",IF(I928="SBJ","CB","?"))</f>
        <v> </v>
      </c>
      <c r="I928" s="26" t="str">
        <f>IF(OR(E928="",E928="!!!",F928="NEW"),"",INDEX(B927:B$2,-1+SUMPRODUCT(MAX(ROW(E927:E$2)*(E928=E927:E$2)))))</f>
        <v> </v>
      </c>
      <c r="J928" s="26" t="str">
        <f>IF(OR(E928="",E928="!!!",F928="NEW"),"",COUNTBLANK(OFFSET(A$1,,,SUMPRODUCT(MAX(ROW(E$2:E928)*(E928=E$2:E928)))))-COUNTBLANK(OFFSET(A$1,,,SUMPRODUCT(MAX(ROW(E$1:E927)*(E2=E$1:E927))))))</f>
        <v> </v>
      </c>
      <c r="K928" s="26" t="str">
        <f>IF(OR(E928="",E928="!!!",F928="NEW"),"",INDEX(J$1:J927,SUMPRODUCT(MAX(ROW(E$1:E927)*(E928=E$1:E927)))))</f>
        <v> </v>
      </c>
      <c r="L928" s="27"/>
    </row>
    <row r="929" spans="1:12">
      <c r="A929" s="20" t="s">
        <v>592</v>
      </c>
      <c r="B929" s="21" t="s">
        <v>366</v>
      </c>
      <c r="C929" s="21" t="s">
        <v>593</v>
      </c>
      <c r="E929" s="22">
        <f>IF(D929="?OLD","!!!","")</f>
        <v/>
      </c>
      <c r="F929" s="23" t="str">
        <f>IF(OR(E929="",E929="!!!"),"",IF(NOT(ISNA(VLOOKUP(E929,E$1:E928,1,FALSE()))),"OLD",IF(AND(E929&lt;&gt;"",E929&lt;&gt;"!!!"),"NEW","")))</f>
        <v> </v>
      </c>
      <c r="G929" s="24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5" t="str">
        <f>IF(J929&lt;&gt;1,"",IF(I929="SBJ","CB","?"))</f>
        <v> </v>
      </c>
      <c r="I929" s="26" t="str">
        <f>IF(OR(E929="",E929="!!!",F929="NEW"),"",INDEX(B928:B$2,-1+SUMPRODUCT(MAX(ROW(E928:E$2)*(E929=E928:E$2)))))</f>
        <v> </v>
      </c>
      <c r="J929" s="26" t="str">
        <f>IF(OR(E929="",E929="!!!",F929="NEW"),"",COUNTBLANK(OFFSET(A$1,,,SUMPRODUCT(MAX(ROW(E$2:E929)*(E929=E$2:E929)))))-COUNTBLANK(OFFSET(A$1,,,SUMPRODUCT(MAX(ROW(E$1:E928)*(E2=E$1:E928))))))</f>
        <v> </v>
      </c>
      <c r="K929" s="26" t="str">
        <f>IF(OR(E929="",E929="!!!",F929="NEW"),"",INDEX(J$1:J928,SUMPRODUCT(MAX(ROW(E$1:E928)*(E929=E$1:E928)))))</f>
        <v> </v>
      </c>
      <c r="L929" s="27"/>
    </row>
    <row r="930" spans="1:12">
      <c r="A930" s="20" t="s">
        <v>594</v>
      </c>
      <c r="E930" s="22">
        <f>IF(D930="?OLD","!!!","")</f>
        <v/>
      </c>
      <c r="F930" s="23" t="str">
        <f>IF(OR(E930="",E930="!!!"),"",IF(NOT(ISNA(VLOOKUP(E930,E$1:E929,1,FALSE()))),"OLD",IF(AND(E930&lt;&gt;"",E930&lt;&gt;"!!!"),"NEW","")))</f>
        <v> </v>
      </c>
      <c r="G930" s="24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5" t="str">
        <f>IF(J930&lt;&gt;1,"",IF(I930="SBJ","CB","?"))</f>
        <v> </v>
      </c>
      <c r="I930" s="26" t="str">
        <f>IF(OR(E930="",E930="!!!",F930="NEW"),"",INDEX(B929:B$2,-1+SUMPRODUCT(MAX(ROW(E929:E$2)*(E930=E929:E$2)))))</f>
        <v> </v>
      </c>
      <c r="J930" s="26" t="str">
        <f>IF(OR(E930="",E930="!!!",F930="NEW"),"",COUNTBLANK(OFFSET(A$1,,,SUMPRODUCT(MAX(ROW(E$2:E930)*(E930=E$2:E930)))))-COUNTBLANK(OFFSET(A$1,,,SUMPRODUCT(MAX(ROW(E$1:E929)*(E2=E$1:E929))))))</f>
        <v> </v>
      </c>
      <c r="K930" s="26" t="str">
        <f>IF(OR(E930="",E930="!!!",F930="NEW"),"",INDEX(J$1:J929,SUMPRODUCT(MAX(ROW(E$1:E929)*(E930=E$1:E929)))))</f>
        <v> </v>
      </c>
      <c r="L930" s="27"/>
    </row>
    <row r="931" spans="1:12">
      <c r="A931" s="20" t="s">
        <v>220</v>
      </c>
      <c r="E931" s="22">
        <f>IF(D931="?OLD","!!!","")</f>
        <v/>
      </c>
      <c r="F931" s="23" t="str">
        <f>IF(OR(E931="",E931="!!!"),"",IF(NOT(ISNA(VLOOKUP(E931,E$1:E930,1,FALSE()))),"OLD",IF(AND(E931&lt;&gt;"",E931&lt;&gt;"!!!"),"NEW","")))</f>
        <v> </v>
      </c>
      <c r="G931" s="24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5" t="str">
        <f>IF(J931&lt;&gt;1,"",IF(I931="SBJ","CB","?"))</f>
        <v> </v>
      </c>
      <c r="I931" s="26" t="str">
        <f>IF(OR(E931="",E931="!!!",F931="NEW"),"",INDEX(B930:B$2,-1+SUMPRODUCT(MAX(ROW(E930:E$2)*(E931=E930:E$2)))))</f>
        <v> </v>
      </c>
      <c r="J931" s="26" t="str">
        <f>IF(OR(E931="",E931="!!!",F931="NEW"),"",COUNTBLANK(OFFSET(A$1,,,SUMPRODUCT(MAX(ROW(E$2:E931)*(E931=E$2:E931)))))-COUNTBLANK(OFFSET(A$1,,,SUMPRODUCT(MAX(ROW(E$1:E930)*(E2=E$1:E930))))))</f>
        <v> </v>
      </c>
      <c r="K931" s="26" t="str">
        <f>IF(OR(E931="",E931="!!!",F931="NEW"),"",INDEX(J$1:J930,SUMPRODUCT(MAX(ROW(E$1:E930)*(E931=E$1:E930)))))</f>
        <v> </v>
      </c>
      <c r="L931" s="27"/>
    </row>
    <row r="932" spans="1:12">
      <c r="A932" s="20"/>
    </row>
    <row r="933" spans="1:12">
      <c r="A933" s="20" t="s">
        <v>595</v>
      </c>
    </row>
    <row r="934" spans="1:12">
      <c r="A934" s="20" t="s">
        <v>563</v>
      </c>
      <c r="E934" s="22">
        <f>IF(D934="?OLD","!!!","")</f>
        <v/>
      </c>
      <c r="F934" s="23" t="str">
        <f>IF(OR(E934="",E934="!!!"),"",IF(NOT(ISNA(VLOOKUP(E934,E$1:E933,1,FALSE()))),"OLD",IF(AND(E934&lt;&gt;"",E934&lt;&gt;"!!!"),"NEW","")))</f>
        <v> </v>
      </c>
      <c r="G934" s="24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5" t="str">
        <f>IF(J934&lt;&gt;1,"",IF(I934="SBJ","CB","?"))</f>
        <v> </v>
      </c>
      <c r="I934" s="26" t="str">
        <f>IF(OR(E934="",E934="!!!",F934="NEW"),"",INDEX(B933:B$2,-1+SUMPRODUCT(MAX(ROW(E933:E$2)*(E934=E933:E$2)))))</f>
        <v> </v>
      </c>
      <c r="J934" s="26" t="str">
        <f>IF(OR(E934="",E934="!!!",F934="NEW"),"",COUNTBLANK(OFFSET(A$1,,,SUMPRODUCT(MAX(ROW(E$2:E934)*(E934=E$2:E934)))))-COUNTBLANK(OFFSET(A$1,,,SUMPRODUCT(MAX(ROW(E$1:E933)*(E2=E$1:E933))))))</f>
        <v> </v>
      </c>
      <c r="K934" s="26" t="str">
        <f>IF(OR(E934="",E934="!!!",F934="NEW"),"",INDEX(J$1:J933,SUMPRODUCT(MAX(ROW(E$1:E933)*(E934=E$1:E933)))))</f>
        <v> </v>
      </c>
      <c r="L934" s="27"/>
    </row>
    <row r="935" spans="1:12">
      <c r="A935" s="20" t="s">
        <v>243</v>
      </c>
      <c r="E935" s="22">
        <f>IF(D935="?OLD","!!!","")</f>
        <v/>
      </c>
      <c r="F935" s="23" t="str">
        <f>IF(OR(E935="",E935="!!!"),"",IF(NOT(ISNA(VLOOKUP(E935,E$1:E934,1,FALSE()))),"OLD",IF(AND(E935&lt;&gt;"",E935&lt;&gt;"!!!"),"NEW","")))</f>
        <v> </v>
      </c>
      <c r="G935" s="24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5" t="str">
        <f>IF(J935&lt;&gt;1,"",IF(I935="SBJ","CB","?"))</f>
        <v> </v>
      </c>
      <c r="I935" s="26" t="str">
        <f>IF(OR(E935="",E935="!!!",F935="NEW"),"",INDEX(B934:B$2,-1+SUMPRODUCT(MAX(ROW(E934:E$2)*(E935=E934:E$2)))))</f>
        <v> </v>
      </c>
      <c r="J935" s="26" t="str">
        <f>IF(OR(E935="",E935="!!!",F935="NEW"),"",COUNTBLANK(OFFSET(A$1,,,SUMPRODUCT(MAX(ROW(E$2:E935)*(E935=E$2:E935)))))-COUNTBLANK(OFFSET(A$1,,,SUMPRODUCT(MAX(ROW(E$1:E934)*(E2=E$1:E934))))))</f>
        <v> </v>
      </c>
      <c r="K935" s="26" t="str">
        <f>IF(OR(E935="",E935="!!!",F935="NEW"),"",INDEX(J$1:J934,SUMPRODUCT(MAX(ROW(E$1:E934)*(E935=E$1:E934)))))</f>
        <v> </v>
      </c>
      <c r="L935" s="27"/>
    </row>
    <row r="936" spans="1:12">
      <c r="A936" s="20" t="s">
        <v>247</v>
      </c>
      <c r="B936" s="21" t="s">
        <v>195</v>
      </c>
      <c r="C936" s="21" t="s">
        <v>214</v>
      </c>
      <c r="D936" s="21" t="s">
        <v>168</v>
      </c>
      <c r="E936" s="22">
        <f>IF(D936="?OLD","!!!","")</f>
        <v/>
      </c>
      <c r="F936" s="23" t="str">
        <f>IF(OR(E936="",E936="!!!"),"",IF(NOT(ISNA(VLOOKUP(E936,E$1:E935,1,FALSE()))),"OLD",IF(AND(E936&lt;&gt;"",E936&lt;&gt;"!!!"),"NEW","")))</f>
        <v> </v>
      </c>
      <c r="G936" s="24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5" t="str">
        <f>IF(J936&lt;&gt;1,"",IF(I936="SBJ","CB","?"))</f>
        <v> </v>
      </c>
      <c r="I936" s="26" t="str">
        <f>IF(OR(E936="",E936="!!!",F936="NEW"),"",INDEX(B935:B$2,-1+SUMPRODUCT(MAX(ROW(E935:E$2)*(E936=E935:E$2)))))</f>
        <v> </v>
      </c>
      <c r="J936" s="26" t="str">
        <f>IF(OR(E936="",E936="!!!",F936="NEW"),"",COUNTBLANK(OFFSET(A$1,,,SUMPRODUCT(MAX(ROW(E$2:E936)*(E936=E$2:E936)))))-COUNTBLANK(OFFSET(A$1,,,SUMPRODUCT(MAX(ROW(E$1:E935)*(E2=E$1:E935))))))</f>
        <v> </v>
      </c>
      <c r="K936" s="26" t="str">
        <f>IF(OR(E936="",E936="!!!",F936="NEW"),"",INDEX(J$1:J935,SUMPRODUCT(MAX(ROW(E$1:E935)*(E936=E$1:E935)))))</f>
        <v> </v>
      </c>
      <c r="L936" s="27"/>
    </row>
    <row r="937" spans="1:12">
      <c r="A937" s="20" t="s">
        <v>596</v>
      </c>
      <c r="B937" s="21" t="s">
        <v>166</v>
      </c>
      <c r="C937" s="21" t="s">
        <v>175</v>
      </c>
      <c r="E937" s="22">
        <f>IF(D937="?OLD","!!!","")</f>
        <v/>
      </c>
      <c r="F937" s="23" t="str">
        <f>IF(OR(E937="",E937="!!!"),"",IF(NOT(ISNA(VLOOKUP(E937,E$1:E936,1,FALSE()))),"OLD",IF(AND(E937&lt;&gt;"",E937&lt;&gt;"!!!"),"NEW","")))</f>
        <v> </v>
      </c>
      <c r="G937" s="24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5" t="str">
        <f>IF(J937&lt;&gt;1,"",IF(I937="SBJ","CB","?"))</f>
        <v> </v>
      </c>
      <c r="I937" s="26" t="str">
        <f>IF(OR(E937="",E937="!!!",F937="NEW"),"",INDEX(B936:B$2,-1+SUMPRODUCT(MAX(ROW(E936:E$2)*(E937=E936:E$2)))))</f>
        <v> </v>
      </c>
      <c r="J937" s="26" t="str">
        <f>IF(OR(E937="",E937="!!!",F937="NEW"),"",COUNTBLANK(OFFSET(A$1,,,SUMPRODUCT(MAX(ROW(E$2:E937)*(E937=E$2:E937)))))-COUNTBLANK(OFFSET(A$1,,,SUMPRODUCT(MAX(ROW(E$1:E936)*(E2=E$1:E936))))))</f>
        <v> </v>
      </c>
      <c r="K937" s="26" t="str">
        <f>IF(OR(E937="",E937="!!!",F937="NEW"),"",INDEX(J$1:J936,SUMPRODUCT(MAX(ROW(E$1:E936)*(E937=E$1:E936)))))</f>
        <v> </v>
      </c>
      <c r="L937" s="27"/>
    </row>
    <row r="938" spans="1:12">
      <c r="A938" s="20" t="s">
        <v>193</v>
      </c>
      <c r="E938" s="22">
        <f>IF(D938="?OLD","!!!","")</f>
        <v/>
      </c>
      <c r="F938" s="23" t="str">
        <f>IF(OR(E938="",E938="!!!"),"",IF(NOT(ISNA(VLOOKUP(E938,E$1:E937,1,FALSE()))),"OLD",IF(AND(E938&lt;&gt;"",E938&lt;&gt;"!!!"),"NEW","")))</f>
        <v> </v>
      </c>
      <c r="G938" s="24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5" t="str">
        <f>IF(J938&lt;&gt;1,"",IF(I938="SBJ","CB","?"))</f>
        <v> </v>
      </c>
      <c r="I938" s="26" t="str">
        <f>IF(OR(E938="",E938="!!!",F938="NEW"),"",INDEX(B937:B$2,-1+SUMPRODUCT(MAX(ROW(E937:E$2)*(E938=E937:E$2)))))</f>
        <v> </v>
      </c>
      <c r="J938" s="26" t="str">
        <f>IF(OR(E938="",E938="!!!",F938="NEW"),"",COUNTBLANK(OFFSET(A$1,,,SUMPRODUCT(MAX(ROW(E$2:E938)*(E938=E$2:E938)))))-COUNTBLANK(OFFSET(A$1,,,SUMPRODUCT(MAX(ROW(E$1:E937)*(E2=E$1:E937))))))</f>
        <v> </v>
      </c>
      <c r="K938" s="26" t="str">
        <f>IF(OR(E938="",E938="!!!",F938="NEW"),"",INDEX(J$1:J937,SUMPRODUCT(MAX(ROW(E$1:E937)*(E938=E$1:E937)))))</f>
        <v> </v>
      </c>
      <c r="L938" s="27"/>
    </row>
    <row r="939" spans="1:12">
      <c r="A939" s="20" t="s">
        <v>196</v>
      </c>
      <c r="E939" s="22">
        <f>IF(D939="?OLD","!!!","")</f>
        <v/>
      </c>
      <c r="F939" s="23" t="str">
        <f>IF(OR(E939="",E939="!!!"),"",IF(NOT(ISNA(VLOOKUP(E939,E$1:E938,1,FALSE()))),"OLD",IF(AND(E939&lt;&gt;"",E939&lt;&gt;"!!!"),"NEW","")))</f>
        <v> </v>
      </c>
      <c r="G939" s="24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5" t="str">
        <f>IF(J939&lt;&gt;1,"",IF(I939="SBJ","CB","?"))</f>
        <v> </v>
      </c>
      <c r="I939" s="26" t="str">
        <f>IF(OR(E939="",E939="!!!",F939="NEW"),"",INDEX(B938:B$2,-1+SUMPRODUCT(MAX(ROW(E938:E$2)*(E939=E938:E$2)))))</f>
        <v> </v>
      </c>
      <c r="J939" s="26" t="str">
        <f>IF(OR(E939="",E939="!!!",F939="NEW"),"",COUNTBLANK(OFFSET(A$1,,,SUMPRODUCT(MAX(ROW(E$2:E939)*(E939=E$2:E939)))))-COUNTBLANK(OFFSET(A$1,,,SUMPRODUCT(MAX(ROW(E$1:E938)*(E2=E$1:E938))))))</f>
        <v> </v>
      </c>
      <c r="K939" s="26" t="str">
        <f>IF(OR(E939="",E939="!!!",F939="NEW"),"",INDEX(J$1:J938,SUMPRODUCT(MAX(ROW(E$1:E938)*(E939=E$1:E938)))))</f>
        <v> </v>
      </c>
      <c r="L939" s="27"/>
    </row>
    <row r="940" spans="1:12">
      <c r="A940" s="20" t="s">
        <v>489</v>
      </c>
      <c r="B940" s="21" t="s">
        <v>191</v>
      </c>
      <c r="C940" s="21" t="s">
        <v>207</v>
      </c>
      <c r="D940" s="21" t="s">
        <v>168</v>
      </c>
      <c r="E940" s="22">
        <f>IF(D940="?OLD","!!!","")</f>
        <v/>
      </c>
      <c r="F940" s="23" t="str">
        <f>IF(OR(E940="",E940="!!!"),"",IF(NOT(ISNA(VLOOKUP(E940,E$1:E939,1,FALSE()))),"OLD",IF(AND(E940&lt;&gt;"",E940&lt;&gt;"!!!"),"NEW","")))</f>
        <v> </v>
      </c>
      <c r="G940" s="24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5" t="str">
        <f>IF(J940&lt;&gt;1,"",IF(I940="SBJ","CB","?"))</f>
        <v> </v>
      </c>
      <c r="I940" s="26" t="str">
        <f>IF(OR(E940="",E940="!!!",F940="NEW"),"",INDEX(B939:B$2,-1+SUMPRODUCT(MAX(ROW(E939:E$2)*(E940=E939:E$2)))))</f>
        <v> </v>
      </c>
      <c r="J940" s="26" t="str">
        <f>IF(OR(E940="",E940="!!!",F940="NEW"),"",COUNTBLANK(OFFSET(A$1,,,SUMPRODUCT(MAX(ROW(E$2:E940)*(E940=E$2:E940)))))-COUNTBLANK(OFFSET(A$1,,,SUMPRODUCT(MAX(ROW(E$1:E939)*(E2=E$1:E939))))))</f>
        <v> </v>
      </c>
      <c r="K940" s="26" t="str">
        <f>IF(OR(E940="",E940="!!!",F940="NEW"),"",INDEX(J$1:J939,SUMPRODUCT(MAX(ROW(E$1:E939)*(E940=E$1:E939)))))</f>
        <v> </v>
      </c>
      <c r="L940" s="27"/>
    </row>
    <row r="941" spans="1:12">
      <c r="A941" s="20" t="s">
        <v>597</v>
      </c>
      <c r="B941" s="21" t="s">
        <v>180</v>
      </c>
      <c r="C941" s="21" t="s">
        <v>210</v>
      </c>
      <c r="D941" s="21" t="s">
        <v>168</v>
      </c>
      <c r="E941" s="22">
        <f>IF(D941="?OLD","!!!","")</f>
        <v/>
      </c>
      <c r="F941" s="23" t="str">
        <f>IF(OR(E941="",E941="!!!"),"",IF(NOT(ISNA(VLOOKUP(E941,E$1:E940,1,FALSE()))),"OLD",IF(AND(E941&lt;&gt;"",E941&lt;&gt;"!!!"),"NEW","")))</f>
        <v> </v>
      </c>
      <c r="G941" s="24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5" t="str">
        <f>IF(J941&lt;&gt;1,"",IF(I941="SBJ","CB","?"))</f>
        <v> </v>
      </c>
      <c r="I941" s="26" t="str">
        <f>IF(OR(E941="",E941="!!!",F941="NEW"),"",INDEX(B940:B$2,-1+SUMPRODUCT(MAX(ROW(E940:E$2)*(E941=E940:E$2)))))</f>
        <v> </v>
      </c>
      <c r="J941" s="26" t="str">
        <f>IF(OR(E941="",E941="!!!",F941="NEW"),"",COUNTBLANK(OFFSET(A$1,,,SUMPRODUCT(MAX(ROW(E$2:E941)*(E941=E$2:E941)))))-COUNTBLANK(OFFSET(A$1,,,SUMPRODUCT(MAX(ROW(E$1:E940)*(E2=E$1:E940))))))</f>
        <v> </v>
      </c>
      <c r="K941" s="26" t="str">
        <f>IF(OR(E941="",E941="!!!",F941="NEW"),"",INDEX(J$1:J940,SUMPRODUCT(MAX(ROW(E$1:E940)*(E941=E$1:E940)))))</f>
        <v> </v>
      </c>
      <c r="L941" s="27"/>
    </row>
    <row r="942" spans="1:12">
      <c r="A942" s="20" t="s">
        <v>362</v>
      </c>
      <c r="E942" s="22">
        <f>IF(D942="?OLD","!!!","")</f>
        <v/>
      </c>
      <c r="F942" s="23" t="str">
        <f>IF(OR(E942="",E942="!!!"),"",IF(NOT(ISNA(VLOOKUP(E942,E$1:E941,1,FALSE()))),"OLD",IF(AND(E942&lt;&gt;"",E942&lt;&gt;"!!!"),"NEW","")))</f>
        <v> </v>
      </c>
      <c r="G942" s="24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5" t="str">
        <f>IF(J942&lt;&gt;1,"",IF(I942="SBJ","CB","?"))</f>
        <v> </v>
      </c>
      <c r="I942" s="26" t="str">
        <f>IF(OR(E942="",E942="!!!",F942="NEW"),"",INDEX(B941:B$2,-1+SUMPRODUCT(MAX(ROW(E941:E$2)*(E942=E941:E$2)))))</f>
        <v> </v>
      </c>
      <c r="J942" s="26" t="str">
        <f>IF(OR(E942="",E942="!!!",F942="NEW"),"",COUNTBLANK(OFFSET(A$1,,,SUMPRODUCT(MAX(ROW(E$2:E942)*(E942=E$2:E942)))))-COUNTBLANK(OFFSET(A$1,,,SUMPRODUCT(MAX(ROW(E$1:E941)*(E2=E$1:E941))))))</f>
        <v> </v>
      </c>
      <c r="K942" s="26" t="str">
        <f>IF(OR(E942="",E942="!!!",F942="NEW"),"",INDEX(J$1:J941,SUMPRODUCT(MAX(ROW(E$1:E941)*(E942=E$1:E941)))))</f>
        <v> </v>
      </c>
      <c r="L942" s="27"/>
    </row>
    <row r="943" spans="1:12">
      <c r="A943" s="20" t="s">
        <v>203</v>
      </c>
      <c r="E943" s="22">
        <f>IF(D943="?OLD","!!!","")</f>
        <v/>
      </c>
      <c r="F943" s="23" t="str">
        <f>IF(OR(E943="",E943="!!!"),"",IF(NOT(ISNA(VLOOKUP(E943,E$1:E942,1,FALSE()))),"OLD",IF(AND(E943&lt;&gt;"",E943&lt;&gt;"!!!"),"NEW","")))</f>
        <v> </v>
      </c>
      <c r="G943" s="24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5" t="str">
        <f>IF(J943&lt;&gt;1,"",IF(I943="SBJ","CB","?"))</f>
        <v> </v>
      </c>
      <c r="I943" s="26" t="str">
        <f>IF(OR(E943="",E943="!!!",F943="NEW"),"",INDEX(B942:B$2,-1+SUMPRODUCT(MAX(ROW(E942:E$2)*(E943=E942:E$2)))))</f>
        <v> </v>
      </c>
      <c r="J943" s="26" t="str">
        <f>IF(OR(E943="",E943="!!!",F943="NEW"),"",COUNTBLANK(OFFSET(A$1,,,SUMPRODUCT(MAX(ROW(E$2:E943)*(E943=E$2:E943)))))-COUNTBLANK(OFFSET(A$1,,,SUMPRODUCT(MAX(ROW(E$1:E942)*(E2=E$1:E942))))))</f>
        <v> </v>
      </c>
      <c r="K943" s="26" t="str">
        <f>IF(OR(E943="",E943="!!!",F943="NEW"),"",INDEX(J$1:J942,SUMPRODUCT(MAX(ROW(E$1:E942)*(E943=E$1:E942)))))</f>
        <v> </v>
      </c>
      <c r="L943" s="27"/>
    </row>
    <row r="944" spans="1:12">
      <c r="A944" s="20" t="s">
        <v>598</v>
      </c>
      <c r="E944" s="22">
        <f>IF(D944="?OLD","!!!","")</f>
        <v/>
      </c>
      <c r="F944" s="23" t="str">
        <f>IF(OR(E944="",E944="!!!"),"",IF(NOT(ISNA(VLOOKUP(E944,E$1:E943,1,FALSE()))),"OLD",IF(AND(E944&lt;&gt;"",E944&lt;&gt;"!!!"),"NEW","")))</f>
        <v> </v>
      </c>
      <c r="G944" s="24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5" t="str">
        <f>IF(J944&lt;&gt;1,"",IF(I944="SBJ","CB","?"))</f>
        <v> </v>
      </c>
      <c r="I944" s="26" t="str">
        <f>IF(OR(E944="",E944="!!!",F944="NEW"),"",INDEX(B943:B$2,-1+SUMPRODUCT(MAX(ROW(E943:E$2)*(E944=E943:E$2)))))</f>
        <v> </v>
      </c>
      <c r="J944" s="26" t="str">
        <f>IF(OR(E944="",E944="!!!",F944="NEW"),"",COUNTBLANK(OFFSET(A$1,,,SUMPRODUCT(MAX(ROW(E$2:E944)*(E944=E$2:E944)))))-COUNTBLANK(OFFSET(A$1,,,SUMPRODUCT(MAX(ROW(E$1:E943)*(E2=E$1:E943))))))</f>
        <v> </v>
      </c>
      <c r="K944" s="26" t="str">
        <f>IF(OR(E944="",E944="!!!",F944="NEW"),"",INDEX(J$1:J943,SUMPRODUCT(MAX(ROW(E$1:E943)*(E944=E$1:E943)))))</f>
        <v> </v>
      </c>
      <c r="L944" s="27"/>
    </row>
    <row r="945" spans="1:12">
      <c r="A945" s="20" t="s">
        <v>220</v>
      </c>
      <c r="E945" s="22">
        <f>IF(D945="?OLD","!!!","")</f>
        <v/>
      </c>
      <c r="F945" s="23" t="str">
        <f>IF(OR(E945="",E945="!!!"),"",IF(NOT(ISNA(VLOOKUP(E945,E$1:E944,1,FALSE()))),"OLD",IF(AND(E945&lt;&gt;"",E945&lt;&gt;"!!!"),"NEW","")))</f>
        <v> </v>
      </c>
      <c r="G945" s="24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5" t="str">
        <f>IF(J945&lt;&gt;1,"",IF(I945="SBJ","CB","?"))</f>
        <v> </v>
      </c>
      <c r="I945" s="26" t="str">
        <f>IF(OR(E945="",E945="!!!",F945="NEW"),"",INDEX(B944:B$2,-1+SUMPRODUCT(MAX(ROW(E944:E$2)*(E945=E944:E$2)))))</f>
        <v> </v>
      </c>
      <c r="J945" s="26" t="str">
        <f>IF(OR(E945="",E945="!!!",F945="NEW"),"",COUNTBLANK(OFFSET(A$1,,,SUMPRODUCT(MAX(ROW(E$2:E945)*(E945=E$2:E945)))))-COUNTBLANK(OFFSET(A$1,,,SUMPRODUCT(MAX(ROW(E$1:E944)*(E2=E$1:E944))))))</f>
        <v> </v>
      </c>
      <c r="K945" s="26" t="str">
        <f>IF(OR(E945="",E945="!!!",F945="NEW"),"",INDEX(J$1:J944,SUMPRODUCT(MAX(ROW(E$1:E944)*(E945=E$1:E944)))))</f>
        <v> </v>
      </c>
      <c r="L945" s="27"/>
    </row>
    <row r="946" spans="1:12">
      <c r="A946" s="20"/>
    </row>
    <row r="947" spans="1:12">
      <c r="A947" s="20" t="s">
        <v>599</v>
      </c>
    </row>
    <row r="948" spans="1:12">
      <c r="A948" s="20" t="s">
        <v>600</v>
      </c>
      <c r="B948" s="21" t="s">
        <v>199</v>
      </c>
      <c r="C948" s="21" t="s">
        <v>185</v>
      </c>
      <c r="D948" s="21" t="s">
        <v>168</v>
      </c>
      <c r="E948" s="22">
        <f>IF(D948="?OLD","!!!","")</f>
        <v/>
      </c>
      <c r="F948" s="23" t="str">
        <f>IF(OR(E948="",E948="!!!"),"",IF(NOT(ISNA(VLOOKUP(E948,E$1:E947,1,FALSE()))),"OLD",IF(AND(E948&lt;&gt;"",E948&lt;&gt;"!!!"),"NEW","")))</f>
        <v> </v>
      </c>
      <c r="G948" s="24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5" t="str">
        <f>IF(J948&lt;&gt;1,"",IF(I948="SBJ","CB","?"))</f>
        <v> </v>
      </c>
      <c r="I948" s="26" t="str">
        <f>IF(OR(E948="",E948="!!!",F948="NEW"),"",INDEX(B947:B$2,-1+SUMPRODUCT(MAX(ROW(E947:E$2)*(E948=E947:E$2)))))</f>
        <v> </v>
      </c>
      <c r="J948" s="26" t="str">
        <f>IF(OR(E948="",E948="!!!",F948="NEW"),"",COUNTBLANK(OFFSET(A$1,,,SUMPRODUCT(MAX(ROW(E$2:E948)*(E948=E$2:E948)))))-COUNTBLANK(OFFSET(A$1,,,SUMPRODUCT(MAX(ROW(E$1:E947)*(E2=E$1:E947))))))</f>
        <v> </v>
      </c>
      <c r="K948" s="26" t="str">
        <f>IF(OR(E948="",E948="!!!",F948="NEW"),"",INDEX(J$1:J947,SUMPRODUCT(MAX(ROW(E$1:E947)*(E948=E$1:E947)))))</f>
        <v> </v>
      </c>
      <c r="L948" s="27"/>
    </row>
    <row r="949" spans="1:12">
      <c r="A949" s="20" t="s">
        <v>601</v>
      </c>
      <c r="E949" s="22">
        <f>IF(D949="?OLD","!!!","")</f>
        <v/>
      </c>
      <c r="F949" s="23" t="str">
        <f>IF(OR(E949="",E949="!!!"),"",IF(NOT(ISNA(VLOOKUP(E949,E$1:E948,1,FALSE()))),"OLD",IF(AND(E949&lt;&gt;"",E949&lt;&gt;"!!!"),"NEW","")))</f>
        <v> </v>
      </c>
      <c r="G949" s="24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5" t="str">
        <f>IF(J949&lt;&gt;1,"",IF(I949="SBJ","CB","?"))</f>
        <v> </v>
      </c>
      <c r="I949" s="26" t="str">
        <f>IF(OR(E949="",E949="!!!",F949="NEW"),"",INDEX(B948:B$2,-1+SUMPRODUCT(MAX(ROW(E948:E$2)*(E949=E948:E$2)))))</f>
        <v> </v>
      </c>
      <c r="J949" s="26" t="str">
        <f>IF(OR(E949="",E949="!!!",F949="NEW"),"",COUNTBLANK(OFFSET(A$1,,,SUMPRODUCT(MAX(ROW(E$2:E949)*(E949=E$2:E949)))))-COUNTBLANK(OFFSET(A$1,,,SUMPRODUCT(MAX(ROW(E$1:E948)*(E2=E$1:E948))))))</f>
        <v> </v>
      </c>
      <c r="K949" s="26" t="str">
        <f>IF(OR(E949="",E949="!!!",F949="NEW"),"",INDEX(J$1:J948,SUMPRODUCT(MAX(ROW(E$1:E948)*(E949=E$1:E948)))))</f>
        <v> </v>
      </c>
      <c r="L949" s="27"/>
    </row>
    <row r="950" spans="1:12">
      <c r="A950" s="20" t="s">
        <v>406</v>
      </c>
      <c r="E950" s="22">
        <f>IF(D950="?OLD","!!!","")</f>
        <v/>
      </c>
      <c r="F950" s="23" t="str">
        <f>IF(OR(E950="",E950="!!!"),"",IF(NOT(ISNA(VLOOKUP(E950,E$1:E949,1,FALSE()))),"OLD",IF(AND(E950&lt;&gt;"",E950&lt;&gt;"!!!"),"NEW","")))</f>
        <v> </v>
      </c>
      <c r="G950" s="24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5" t="str">
        <f>IF(J950&lt;&gt;1,"",IF(I950="SBJ","CB","?"))</f>
        <v> </v>
      </c>
      <c r="I950" s="26" t="str">
        <f>IF(OR(E950="",E950="!!!",F950="NEW"),"",INDEX(B949:B$2,-1+SUMPRODUCT(MAX(ROW(E949:E$2)*(E950=E949:E$2)))))</f>
        <v> </v>
      </c>
      <c r="J950" s="26" t="str">
        <f>IF(OR(E950="",E950="!!!",F950="NEW"),"",COUNTBLANK(OFFSET(A$1,,,SUMPRODUCT(MAX(ROW(E$2:E950)*(E950=E$2:E950)))))-COUNTBLANK(OFFSET(A$1,,,SUMPRODUCT(MAX(ROW(E$1:E949)*(E2=E$1:E949))))))</f>
        <v> </v>
      </c>
      <c r="K950" s="26" t="str">
        <f>IF(OR(E950="",E950="!!!",F950="NEW"),"",INDEX(J$1:J949,SUMPRODUCT(MAX(ROW(E$1:E949)*(E950=E$1:E949)))))</f>
        <v> </v>
      </c>
      <c r="L950" s="27"/>
    </row>
    <row r="951" spans="1:12">
      <c r="A951" s="20" t="s">
        <v>602</v>
      </c>
      <c r="E951" s="22">
        <f>IF(D951="?OLD","!!!","")</f>
        <v/>
      </c>
      <c r="F951" s="23" t="str">
        <f>IF(OR(E951="",E951="!!!"),"",IF(NOT(ISNA(VLOOKUP(E951,E$1:E950,1,FALSE()))),"OLD",IF(AND(E951&lt;&gt;"",E951&lt;&gt;"!!!"),"NEW","")))</f>
        <v> </v>
      </c>
      <c r="G951" s="24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5" t="str">
        <f>IF(J951&lt;&gt;1,"",IF(I951="SBJ","CB","?"))</f>
        <v> </v>
      </c>
      <c r="I951" s="26" t="str">
        <f>IF(OR(E951="",E951="!!!",F951="NEW"),"",INDEX(B950:B$2,-1+SUMPRODUCT(MAX(ROW(E950:E$2)*(E951=E950:E$2)))))</f>
        <v> </v>
      </c>
      <c r="J951" s="26" t="str">
        <f>IF(OR(E951="",E951="!!!",F951="NEW"),"",COUNTBLANK(OFFSET(A$1,,,SUMPRODUCT(MAX(ROW(E$2:E951)*(E951=E$2:E951)))))-COUNTBLANK(OFFSET(A$1,,,SUMPRODUCT(MAX(ROW(E$1:E950)*(E2=E$1:E950))))))</f>
        <v> </v>
      </c>
      <c r="K951" s="26" t="str">
        <f>IF(OR(E951="",E951="!!!",F951="NEW"),"",INDEX(J$1:J950,SUMPRODUCT(MAX(ROW(E$1:E950)*(E951=E$1:E950)))))</f>
        <v> </v>
      </c>
      <c r="L951" s="27"/>
    </row>
    <row r="952" spans="1:12">
      <c r="A952" s="20" t="s">
        <v>193</v>
      </c>
      <c r="E952" s="22">
        <f>IF(D952="?OLD","!!!","")</f>
        <v/>
      </c>
      <c r="F952" s="23" t="str">
        <f>IF(OR(E952="",E952="!!!"),"",IF(NOT(ISNA(VLOOKUP(E952,E$1:E951,1,FALSE()))),"OLD",IF(AND(E952&lt;&gt;"",E952&lt;&gt;"!!!"),"NEW","")))</f>
        <v> </v>
      </c>
      <c r="G952" s="24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5" t="str">
        <f>IF(J952&lt;&gt;1,"",IF(I952="SBJ","CB","?"))</f>
        <v> </v>
      </c>
      <c r="I952" s="26" t="str">
        <f>IF(OR(E952="",E952="!!!",F952="NEW"),"",INDEX(B951:B$2,-1+SUMPRODUCT(MAX(ROW(E951:E$2)*(E952=E951:E$2)))))</f>
        <v> </v>
      </c>
      <c r="J952" s="26" t="str">
        <f>IF(OR(E952="",E952="!!!",F952="NEW"),"",COUNTBLANK(OFFSET(A$1,,,SUMPRODUCT(MAX(ROW(E$2:E952)*(E952=E$2:E952)))))-COUNTBLANK(OFFSET(A$1,,,SUMPRODUCT(MAX(ROW(E$1:E951)*(E2=E$1:E951))))))</f>
        <v> </v>
      </c>
      <c r="K952" s="26" t="str">
        <f>IF(OR(E952="",E952="!!!",F952="NEW"),"",INDEX(J$1:J951,SUMPRODUCT(MAX(ROW(E$1:E951)*(E952=E$1:E951)))))</f>
        <v> </v>
      </c>
      <c r="L952" s="27"/>
    </row>
    <row r="953" spans="1:12">
      <c r="A953" s="20" t="s">
        <v>261</v>
      </c>
      <c r="E953" s="22">
        <f>IF(D953="?OLD","!!!","")</f>
        <v/>
      </c>
      <c r="F953" s="23" t="str">
        <f>IF(OR(E953="",E953="!!!"),"",IF(NOT(ISNA(VLOOKUP(E953,E$1:E952,1,FALSE()))),"OLD",IF(AND(E953&lt;&gt;"",E953&lt;&gt;"!!!"),"NEW","")))</f>
        <v> </v>
      </c>
      <c r="G953" s="24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5" t="str">
        <f>IF(J953&lt;&gt;1,"",IF(I953="SBJ","CB","?"))</f>
        <v> </v>
      </c>
      <c r="I953" s="26" t="str">
        <f>IF(OR(E953="",E953="!!!",F953="NEW"),"",INDEX(B952:B$2,-1+SUMPRODUCT(MAX(ROW(E952:E$2)*(E953=E952:E$2)))))</f>
        <v> </v>
      </c>
      <c r="J953" s="26" t="str">
        <f>IF(OR(E953="",E953="!!!",F953="NEW"),"",COUNTBLANK(OFFSET(A$1,,,SUMPRODUCT(MAX(ROW(E$2:E953)*(E953=E$2:E953)))))-COUNTBLANK(OFFSET(A$1,,,SUMPRODUCT(MAX(ROW(E$1:E952)*(E2=E$1:E952))))))</f>
        <v> </v>
      </c>
      <c r="K953" s="26" t="str">
        <f>IF(OR(E953="",E953="!!!",F953="NEW"),"",INDEX(J$1:J952,SUMPRODUCT(MAX(ROW(E$1:E952)*(E953=E$1:E952)))))</f>
        <v> </v>
      </c>
      <c r="L953" s="27"/>
    </row>
    <row r="954" spans="1:12">
      <c r="A954" s="20" t="s">
        <v>603</v>
      </c>
      <c r="B954" s="21" t="s">
        <v>184</v>
      </c>
      <c r="C954" s="21" t="s">
        <v>167</v>
      </c>
      <c r="D954" s="21" t="s">
        <v>168</v>
      </c>
      <c r="E954" s="22">
        <f>IF(D954="?OLD","!!!","")</f>
        <v/>
      </c>
      <c r="F954" s="23" t="str">
        <f>IF(OR(E954="",E954="!!!"),"",IF(NOT(ISNA(VLOOKUP(E954,E$1:E953,1,FALSE()))),"OLD",IF(AND(E954&lt;&gt;"",E954&lt;&gt;"!!!"),"NEW","")))</f>
        <v> </v>
      </c>
      <c r="G954" s="24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5" t="str">
        <f>IF(J954&lt;&gt;1,"",IF(I954="SBJ","CB","?"))</f>
        <v> </v>
      </c>
      <c r="I954" s="26" t="str">
        <f>IF(OR(E954="",E954="!!!",F954="NEW"),"",INDEX(B953:B$2,-1+SUMPRODUCT(MAX(ROW(E953:E$2)*(E954=E953:E$2)))))</f>
        <v> </v>
      </c>
      <c r="J954" s="26" t="str">
        <f>IF(OR(E954="",E954="!!!",F954="NEW"),"",COUNTBLANK(OFFSET(A$1,,,SUMPRODUCT(MAX(ROW(E$2:E954)*(E954=E$2:E954)))))-COUNTBLANK(OFFSET(A$1,,,SUMPRODUCT(MAX(ROW(E$1:E953)*(E2=E$1:E953))))))</f>
        <v> </v>
      </c>
      <c r="K954" s="26" t="str">
        <f>IF(OR(E954="",E954="!!!",F954="NEW"),"",INDEX(J$1:J953,SUMPRODUCT(MAX(ROW(E$1:E953)*(E954=E$1:E953)))))</f>
        <v> </v>
      </c>
      <c r="L954" s="27"/>
    </row>
    <row r="955" spans="1:12">
      <c r="A955" s="20" t="s">
        <v>314</v>
      </c>
      <c r="E955" s="22">
        <f>IF(D955="?OLD","!!!","")</f>
        <v/>
      </c>
      <c r="F955" s="23" t="str">
        <f>IF(OR(E955="",E955="!!!"),"",IF(NOT(ISNA(VLOOKUP(E955,E$1:E954,1,FALSE()))),"OLD",IF(AND(E955&lt;&gt;"",E955&lt;&gt;"!!!"),"NEW","")))</f>
        <v> </v>
      </c>
      <c r="G955" s="24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5" t="str">
        <f>IF(J955&lt;&gt;1,"",IF(I955="SBJ","CB","?"))</f>
        <v> </v>
      </c>
      <c r="I955" s="26" t="str">
        <f>IF(OR(E955="",E955="!!!",F955="NEW"),"",INDEX(B954:B$2,-1+SUMPRODUCT(MAX(ROW(E954:E$2)*(E955=E954:E$2)))))</f>
        <v> </v>
      </c>
      <c r="J955" s="26" t="str">
        <f>IF(OR(E955="",E955="!!!",F955="NEW"),"",COUNTBLANK(OFFSET(A$1,,,SUMPRODUCT(MAX(ROW(E$2:E955)*(E955=E$2:E955)))))-COUNTBLANK(OFFSET(A$1,,,SUMPRODUCT(MAX(ROW(E$1:E954)*(E2=E$1:E954))))))</f>
        <v> </v>
      </c>
      <c r="K955" s="26" t="str">
        <f>IF(OR(E955="",E955="!!!",F955="NEW"),"",INDEX(J$1:J954,SUMPRODUCT(MAX(ROW(E$1:E954)*(E955=E$1:E954)))))</f>
        <v> </v>
      </c>
      <c r="L955" s="27"/>
    </row>
    <row r="956" spans="1:12">
      <c r="A956" s="20" t="s">
        <v>604</v>
      </c>
      <c r="E956" s="22">
        <f>IF(D956="?OLD","!!!","")</f>
        <v/>
      </c>
      <c r="F956" s="23" t="str">
        <f>IF(OR(E956="",E956="!!!"),"",IF(NOT(ISNA(VLOOKUP(E956,E$1:E955,1,FALSE()))),"OLD",IF(AND(E956&lt;&gt;"",E956&lt;&gt;"!!!"),"NEW","")))</f>
        <v> </v>
      </c>
      <c r="G956" s="24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5" t="str">
        <f>IF(J956&lt;&gt;1,"",IF(I956="SBJ","CB","?"))</f>
        <v> </v>
      </c>
      <c r="I956" s="26" t="str">
        <f>IF(OR(E956="",E956="!!!",F956="NEW"),"",INDEX(B955:B$2,-1+SUMPRODUCT(MAX(ROW(E955:E$2)*(E956=E955:E$2)))))</f>
        <v> </v>
      </c>
      <c r="J956" s="26" t="str">
        <f>IF(OR(E956="",E956="!!!",F956="NEW"),"",COUNTBLANK(OFFSET(A$1,,,SUMPRODUCT(MAX(ROW(E$2:E956)*(E956=E$2:E956)))))-COUNTBLANK(OFFSET(A$1,,,SUMPRODUCT(MAX(ROW(E$1:E955)*(E2=E$1:E955))))))</f>
        <v> </v>
      </c>
      <c r="K956" s="26" t="str">
        <f>IF(OR(E956="",E956="!!!",F956="NEW"),"",INDEX(J$1:J955,SUMPRODUCT(MAX(ROW(E$1:E955)*(E956=E$1:E955)))))</f>
        <v> </v>
      </c>
      <c r="L956" s="27"/>
    </row>
    <row r="957" spans="1:12">
      <c r="A957" s="20" t="s">
        <v>605</v>
      </c>
      <c r="B957" s="21" t="s">
        <v>166</v>
      </c>
      <c r="C957" s="21" t="s">
        <v>219</v>
      </c>
      <c r="E957" s="22">
        <f>IF(D957="?OLD","!!!","")</f>
        <v/>
      </c>
      <c r="F957" s="23" t="str">
        <f>IF(OR(E957="",E957="!!!"),"",IF(NOT(ISNA(VLOOKUP(E957,E$1:E956,1,FALSE()))),"OLD",IF(AND(E957&lt;&gt;"",E957&lt;&gt;"!!!"),"NEW","")))</f>
        <v> </v>
      </c>
      <c r="G957" s="24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5" t="str">
        <f>IF(J957&lt;&gt;1,"",IF(I957="SBJ","CB","?"))</f>
        <v> </v>
      </c>
      <c r="I957" s="26" t="str">
        <f>IF(OR(E957="",E957="!!!",F957="NEW"),"",INDEX(B956:B$2,-1+SUMPRODUCT(MAX(ROW(E956:E$2)*(E957=E956:E$2)))))</f>
        <v> </v>
      </c>
      <c r="J957" s="26" t="str">
        <f>IF(OR(E957="",E957="!!!",F957="NEW"),"",COUNTBLANK(OFFSET(A$1,,,SUMPRODUCT(MAX(ROW(E$2:E957)*(E957=E$2:E957)))))-COUNTBLANK(OFFSET(A$1,,,SUMPRODUCT(MAX(ROW(E$1:E956)*(E2=E$1:E956))))))</f>
        <v> </v>
      </c>
      <c r="K957" s="26" t="str">
        <f>IF(OR(E957="",E957="!!!",F957="NEW"),"",INDEX(J$1:J956,SUMPRODUCT(MAX(ROW(E$1:E956)*(E957=E$1:E956)))))</f>
        <v> </v>
      </c>
      <c r="L957" s="27"/>
    </row>
    <row r="958" spans="1:12">
      <c r="A958" s="20" t="s">
        <v>358</v>
      </c>
      <c r="E958" s="22">
        <f>IF(D958="?OLD","!!!","")</f>
        <v/>
      </c>
      <c r="F958" s="23" t="str">
        <f>IF(OR(E958="",E958="!!!"),"",IF(NOT(ISNA(VLOOKUP(E958,E$1:E957,1,FALSE()))),"OLD",IF(AND(E958&lt;&gt;"",E958&lt;&gt;"!!!"),"NEW","")))</f>
        <v> </v>
      </c>
      <c r="G958" s="24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5" t="str">
        <f>IF(J958&lt;&gt;1,"",IF(I958="SBJ","CB","?"))</f>
        <v> </v>
      </c>
      <c r="I958" s="26" t="str">
        <f>IF(OR(E958="",E958="!!!",F958="NEW"),"",INDEX(B957:B$2,-1+SUMPRODUCT(MAX(ROW(E957:E$2)*(E958=E957:E$2)))))</f>
        <v> </v>
      </c>
      <c r="J958" s="26" t="str">
        <f>IF(OR(E958="",E958="!!!",F958="NEW"),"",COUNTBLANK(OFFSET(A$1,,,SUMPRODUCT(MAX(ROW(E$2:E958)*(E958=E$2:E958)))))-COUNTBLANK(OFFSET(A$1,,,SUMPRODUCT(MAX(ROW(E$1:E957)*(E2=E$1:E957))))))</f>
        <v> </v>
      </c>
      <c r="K958" s="26" t="str">
        <f>IF(OR(E958="",E958="!!!",F958="NEW"),"",INDEX(J$1:J957,SUMPRODUCT(MAX(ROW(E$1:E957)*(E958=E$1:E957)))))</f>
        <v> </v>
      </c>
      <c r="L958" s="27"/>
    </row>
    <row r="959" spans="1:12">
      <c r="A959" s="20" t="s">
        <v>606</v>
      </c>
      <c r="B959" s="21" t="s">
        <v>180</v>
      </c>
      <c r="C959" s="21" t="s">
        <v>175</v>
      </c>
      <c r="E959" s="22">
        <f>IF(D959="?OLD","!!!","")</f>
        <v/>
      </c>
      <c r="F959" s="23" t="str">
        <f>IF(OR(E959="",E959="!!!"),"",IF(NOT(ISNA(VLOOKUP(E959,E$1:E958,1,FALSE()))),"OLD",IF(AND(E959&lt;&gt;"",E959&lt;&gt;"!!!"),"NEW","")))</f>
        <v> </v>
      </c>
      <c r="G959" s="24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5" t="str">
        <f>IF(J959&lt;&gt;1,"",IF(I959="SBJ","CB","?"))</f>
        <v> </v>
      </c>
      <c r="I959" s="26" t="str">
        <f>IF(OR(E959="",E959="!!!",F959="NEW"),"",INDEX(B958:B$2,-1+SUMPRODUCT(MAX(ROW(E958:E$2)*(E959=E958:E$2)))))</f>
        <v> </v>
      </c>
      <c r="J959" s="26" t="str">
        <f>IF(OR(E959="",E959="!!!",F959="NEW"),"",COUNTBLANK(OFFSET(A$1,,,SUMPRODUCT(MAX(ROW(E$2:E959)*(E959=E$2:E959)))))-COUNTBLANK(OFFSET(A$1,,,SUMPRODUCT(MAX(ROW(E$1:E958)*(E2=E$1:E958))))))</f>
        <v> </v>
      </c>
      <c r="K959" s="26" t="str">
        <f>IF(OR(E959="",E959="!!!",F959="NEW"),"",INDEX(J$1:J958,SUMPRODUCT(MAX(ROW(E$1:E958)*(E959=E$1:E958)))))</f>
        <v> </v>
      </c>
      <c r="L959" s="27"/>
    </row>
    <row r="960" spans="1:12">
      <c r="A960" s="20" t="s">
        <v>243</v>
      </c>
      <c r="E960" s="22">
        <f>IF(D960="?OLD","!!!","")</f>
        <v/>
      </c>
      <c r="F960" s="23" t="str">
        <f>IF(OR(E960="",E960="!!!"),"",IF(NOT(ISNA(VLOOKUP(E960,E$1:E959,1,FALSE()))),"OLD",IF(AND(E960&lt;&gt;"",E960&lt;&gt;"!!!"),"NEW","")))</f>
        <v> </v>
      </c>
      <c r="G960" s="24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5" t="str">
        <f>IF(J960&lt;&gt;1,"",IF(I960="SBJ","CB","?"))</f>
        <v> </v>
      </c>
      <c r="I960" s="26" t="str">
        <f>IF(OR(E960="",E960="!!!",F960="NEW"),"",INDEX(B959:B$2,-1+SUMPRODUCT(MAX(ROW(E959:E$2)*(E960=E959:E$2)))))</f>
        <v> </v>
      </c>
      <c r="J960" s="26" t="str">
        <f>IF(OR(E960="",E960="!!!",F960="NEW"),"",COUNTBLANK(OFFSET(A$1,,,SUMPRODUCT(MAX(ROW(E$2:E960)*(E960=E$2:E960)))))-COUNTBLANK(OFFSET(A$1,,,SUMPRODUCT(MAX(ROW(E$1:E959)*(E2=E$1:E959))))))</f>
        <v> </v>
      </c>
      <c r="K960" s="26" t="str">
        <f>IF(OR(E960="",E960="!!!",F960="NEW"),"",INDEX(J$1:J959,SUMPRODUCT(MAX(ROW(E$1:E959)*(E960=E$1:E959)))))</f>
        <v> </v>
      </c>
      <c r="L960" s="27"/>
    </row>
    <row r="961" spans="1:12">
      <c r="A961" s="20" t="s">
        <v>220</v>
      </c>
      <c r="E961" s="22">
        <f>IF(D961="?OLD","!!!","")</f>
        <v/>
      </c>
      <c r="F961" s="23" t="str">
        <f>IF(OR(E961="",E961="!!!"),"",IF(NOT(ISNA(VLOOKUP(E961,E$1:E960,1,FALSE()))),"OLD",IF(AND(E961&lt;&gt;"",E961&lt;&gt;"!!!"),"NEW","")))</f>
        <v> </v>
      </c>
      <c r="G961" s="24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5" t="str">
        <f>IF(J961&lt;&gt;1,"",IF(I961="SBJ","CB","?"))</f>
        <v> </v>
      </c>
      <c r="I961" s="26" t="str">
        <f>IF(OR(E961="",E961="!!!",F961="NEW"),"",INDEX(B960:B$2,-1+SUMPRODUCT(MAX(ROW(E960:E$2)*(E961=E960:E$2)))))</f>
        <v> </v>
      </c>
      <c r="J961" s="26" t="str">
        <f>IF(OR(E961="",E961="!!!",F961="NEW"),"",COUNTBLANK(OFFSET(A$1,,,SUMPRODUCT(MAX(ROW(E$2:E961)*(E961=E$2:E961)))))-COUNTBLANK(OFFSET(A$1,,,SUMPRODUCT(MAX(ROW(E$1:E960)*(E2=E$1:E960))))))</f>
        <v> </v>
      </c>
      <c r="K961" s="26" t="str">
        <f>IF(OR(E961="",E961="!!!",F961="NEW"),"",INDEX(J$1:J960,SUMPRODUCT(MAX(ROW(E$1:E960)*(E961=E$1:E960)))))</f>
        <v> </v>
      </c>
      <c r="L961" s="27"/>
    </row>
    <row r="962" spans="1:12">
      <c r="A962" s="20"/>
    </row>
    <row r="963" spans="1:12">
      <c r="A963" s="20" t="s">
        <v>607</v>
      </c>
    </row>
    <row r="964" spans="1:12">
      <c r="A964" s="20" t="s">
        <v>330</v>
      </c>
      <c r="B964" s="21" t="s">
        <v>184</v>
      </c>
      <c r="C964" s="21" t="s">
        <v>185</v>
      </c>
      <c r="D964" s="21" t="s">
        <v>168</v>
      </c>
      <c r="E964" s="22">
        <f>IF(D964="?OLD","!!!","")</f>
        <v/>
      </c>
      <c r="F964" s="23" t="str">
        <f>IF(OR(E964="",E964="!!!"),"",IF(NOT(ISNA(VLOOKUP(E964,E$1:E963,1,FALSE()))),"OLD",IF(AND(E964&lt;&gt;"",E964&lt;&gt;"!!!"),"NEW","")))</f>
        <v> </v>
      </c>
      <c r="G964" s="24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5" t="str">
        <f>IF(J964&lt;&gt;1,"",IF(I964="SBJ","CB","?"))</f>
        <v> </v>
      </c>
      <c r="I964" s="26" t="str">
        <f>IF(OR(E964="",E964="!!!",F964="NEW"),"",INDEX(B963:B$2,-1+SUMPRODUCT(MAX(ROW(E963:E$2)*(E964=E963:E$2)))))</f>
        <v> </v>
      </c>
      <c r="J964" s="26" t="str">
        <f>IF(OR(E964="",E964="!!!",F964="NEW"),"",COUNTBLANK(OFFSET(A$1,,,SUMPRODUCT(MAX(ROW(E$2:E964)*(E964=E$2:E964)))))-COUNTBLANK(OFFSET(A$1,,,SUMPRODUCT(MAX(ROW(E$1:E963)*(E2=E$1:E963))))))</f>
        <v> </v>
      </c>
      <c r="K964" s="26" t="str">
        <f>IF(OR(E964="",E964="!!!",F964="NEW"),"",INDEX(J$1:J963,SUMPRODUCT(MAX(ROW(E$1:E963)*(E964=E$1:E963)))))</f>
        <v> </v>
      </c>
      <c r="L964" s="27"/>
    </row>
    <row r="965" spans="1:12">
      <c r="A965" s="20" t="s">
        <v>341</v>
      </c>
      <c r="E965" s="22">
        <f>IF(D965="?OLD","!!!","")</f>
        <v/>
      </c>
      <c r="F965" s="23" t="str">
        <f>IF(OR(E965="",E965="!!!"),"",IF(NOT(ISNA(VLOOKUP(E965,E$1:E964,1,FALSE()))),"OLD",IF(AND(E965&lt;&gt;"",E965&lt;&gt;"!!!"),"NEW","")))</f>
        <v> </v>
      </c>
      <c r="G965" s="24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5" t="str">
        <f>IF(J965&lt;&gt;1,"",IF(I965="SBJ","CB","?"))</f>
        <v> </v>
      </c>
      <c r="I965" s="26" t="str">
        <f>IF(OR(E965="",E965="!!!",F965="NEW"),"",INDEX(B964:B$2,-1+SUMPRODUCT(MAX(ROW(E964:E$2)*(E965=E964:E$2)))))</f>
        <v> </v>
      </c>
      <c r="J965" s="26" t="str">
        <f>IF(OR(E965="",E965="!!!",F965="NEW"),"",COUNTBLANK(OFFSET(A$1,,,SUMPRODUCT(MAX(ROW(E$2:E965)*(E965=E$2:E965)))))-COUNTBLANK(OFFSET(A$1,,,SUMPRODUCT(MAX(ROW(E$1:E964)*(E2=E$1:E964))))))</f>
        <v> </v>
      </c>
      <c r="K965" s="26" t="str">
        <f>IF(OR(E965="",E965="!!!",F965="NEW"),"",INDEX(J$1:J964,SUMPRODUCT(MAX(ROW(E$1:E964)*(E965=E$1:E964)))))</f>
        <v> </v>
      </c>
      <c r="L965" s="27"/>
    </row>
    <row r="966" spans="1:12">
      <c r="A966" s="20" t="s">
        <v>608</v>
      </c>
      <c r="B966" s="21" t="s">
        <v>195</v>
      </c>
      <c r="C966" s="21" t="s">
        <v>175</v>
      </c>
      <c r="E966" s="22">
        <f>IF(D966="?OLD","!!!","")</f>
        <v/>
      </c>
      <c r="F966" s="23" t="str">
        <f>IF(OR(E966="",E966="!!!"),"",IF(NOT(ISNA(VLOOKUP(E966,E$1:E965,1,FALSE()))),"OLD",IF(AND(E966&lt;&gt;"",E966&lt;&gt;"!!!"),"NEW","")))</f>
        <v> </v>
      </c>
      <c r="G966" s="24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5" t="str">
        <f>IF(J966&lt;&gt;1,"",IF(I966="SBJ","CB","?"))</f>
        <v> </v>
      </c>
      <c r="I966" s="26" t="str">
        <f>IF(OR(E966="",E966="!!!",F966="NEW"),"",INDEX(B965:B$2,-1+SUMPRODUCT(MAX(ROW(E965:E$2)*(E966=E965:E$2)))))</f>
        <v> </v>
      </c>
      <c r="J966" s="26" t="str">
        <f>IF(OR(E966="",E966="!!!",F966="NEW"),"",COUNTBLANK(OFFSET(A$1,,,SUMPRODUCT(MAX(ROW(E$2:E966)*(E966=E$2:E966)))))-COUNTBLANK(OFFSET(A$1,,,SUMPRODUCT(MAX(ROW(E$1:E965)*(E2=E$1:E965))))))</f>
        <v> </v>
      </c>
      <c r="K966" s="26" t="str">
        <f>IF(OR(E966="",E966="!!!",F966="NEW"),"",INDEX(J$1:J965,SUMPRODUCT(MAX(ROW(E$1:E965)*(E966=E$1:E965)))))</f>
        <v> </v>
      </c>
      <c r="L966" s="27"/>
    </row>
    <row r="967" spans="1:12">
      <c r="A967" s="20" t="s">
        <v>429</v>
      </c>
      <c r="E967" s="22">
        <f>IF(D967="?OLD","!!!","")</f>
        <v/>
      </c>
      <c r="F967" s="23" t="str">
        <f>IF(OR(E967="",E967="!!!"),"",IF(NOT(ISNA(VLOOKUP(E967,E$1:E966,1,FALSE()))),"OLD",IF(AND(E967&lt;&gt;"",E967&lt;&gt;"!!!"),"NEW","")))</f>
        <v> </v>
      </c>
      <c r="G967" s="24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5" t="str">
        <f>IF(J967&lt;&gt;1,"",IF(I967="SBJ","CB","?"))</f>
        <v> </v>
      </c>
      <c r="I967" s="26" t="str">
        <f>IF(OR(E967="",E967="!!!",F967="NEW"),"",INDEX(B966:B$2,-1+SUMPRODUCT(MAX(ROW(E966:E$2)*(E967=E966:E$2)))))</f>
        <v> </v>
      </c>
      <c r="J967" s="26" t="str">
        <f>IF(OR(E967="",E967="!!!",F967="NEW"),"",COUNTBLANK(OFFSET(A$1,,,SUMPRODUCT(MAX(ROW(E$2:E967)*(E967=E$2:E967)))))-COUNTBLANK(OFFSET(A$1,,,SUMPRODUCT(MAX(ROW(E$1:E966)*(E2=E$1:E966))))))</f>
        <v> </v>
      </c>
      <c r="K967" s="26" t="str">
        <f>IF(OR(E967="",E967="!!!",F967="NEW"),"",INDEX(J$1:J966,SUMPRODUCT(MAX(ROW(E$1:E966)*(E967=E$1:E966)))))</f>
        <v> </v>
      </c>
      <c r="L967" s="27"/>
    </row>
    <row r="968" spans="1:12">
      <c r="A968" s="20" t="s">
        <v>609</v>
      </c>
      <c r="B968" s="21" t="s">
        <v>180</v>
      </c>
      <c r="C968" s="21" t="s">
        <v>205</v>
      </c>
      <c r="E968" s="22">
        <f>IF(D968="?OLD","!!!","")</f>
        <v/>
      </c>
      <c r="F968" s="23" t="str">
        <f>IF(OR(E968="",E968="!!!"),"",IF(NOT(ISNA(VLOOKUP(E968,E$1:E967,1,FALSE()))),"OLD",IF(AND(E968&lt;&gt;"",E968&lt;&gt;"!!!"),"NEW","")))</f>
        <v> </v>
      </c>
      <c r="G968" s="24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5" t="str">
        <f>IF(J968&lt;&gt;1,"",IF(I968="SBJ","CB","?"))</f>
        <v> </v>
      </c>
      <c r="I968" s="26" t="str">
        <f>IF(OR(E968="",E968="!!!",F968="NEW"),"",INDEX(B967:B$2,-1+SUMPRODUCT(MAX(ROW(E967:E$2)*(E968=E967:E$2)))))</f>
        <v> </v>
      </c>
      <c r="J968" s="26" t="str">
        <f>IF(OR(E968="",E968="!!!",F968="NEW"),"",COUNTBLANK(OFFSET(A$1,,,SUMPRODUCT(MAX(ROW(E$2:E968)*(E968=E$2:E968)))))-COUNTBLANK(OFFSET(A$1,,,SUMPRODUCT(MAX(ROW(E$1:E967)*(E2=E$1:E967))))))</f>
        <v> </v>
      </c>
      <c r="K968" s="26" t="str">
        <f>IF(OR(E968="",E968="!!!",F968="NEW"),"",INDEX(J$1:J967,SUMPRODUCT(MAX(ROW(E$1:E967)*(E968=E$1:E967)))))</f>
        <v> </v>
      </c>
      <c r="L968" s="27"/>
    </row>
    <row r="969" spans="1:12">
      <c r="A969" s="20" t="s">
        <v>226</v>
      </c>
      <c r="B969" s="21" t="s">
        <v>166</v>
      </c>
      <c r="C969" s="21" t="s">
        <v>246</v>
      </c>
      <c r="E969" s="22">
        <f>IF(D969="?OLD","!!!","")</f>
        <v/>
      </c>
      <c r="F969" s="23" t="str">
        <f>IF(OR(E969="",E969="!!!"),"",IF(NOT(ISNA(VLOOKUP(E969,E$1:E968,1,FALSE()))),"OLD",IF(AND(E969&lt;&gt;"",E969&lt;&gt;"!!!"),"NEW","")))</f>
        <v> </v>
      </c>
      <c r="G969" s="24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5" t="str">
        <f>IF(J969&lt;&gt;1,"",IF(I969="SBJ","CB","?"))</f>
        <v> </v>
      </c>
      <c r="I969" s="26" t="str">
        <f>IF(OR(E969="",E969="!!!",F969="NEW"),"",INDEX(B968:B$2,-1+SUMPRODUCT(MAX(ROW(E968:E$2)*(E969=E968:E$2)))))</f>
        <v> </v>
      </c>
      <c r="J969" s="26" t="str">
        <f>IF(OR(E969="",E969="!!!",F969="NEW"),"",COUNTBLANK(OFFSET(A$1,,,SUMPRODUCT(MAX(ROW(E$2:E969)*(E969=E$2:E969)))))-COUNTBLANK(OFFSET(A$1,,,SUMPRODUCT(MAX(ROW(E$1:E968)*(E2=E$1:E968))))))</f>
        <v> </v>
      </c>
      <c r="K969" s="26" t="str">
        <f>IF(OR(E969="",E969="!!!",F969="NEW"),"",INDEX(J$1:J968,SUMPRODUCT(MAX(ROW(E$1:E968)*(E969=E$1:E968)))))</f>
        <v> </v>
      </c>
      <c r="L969" s="27"/>
    </row>
    <row r="970" spans="1:12">
      <c r="A970" s="20" t="s">
        <v>190</v>
      </c>
      <c r="E970" s="22">
        <f>IF(D970="?OLD","!!!","")</f>
        <v/>
      </c>
      <c r="F970" s="23" t="str">
        <f>IF(OR(E970="",E970="!!!"),"",IF(NOT(ISNA(VLOOKUP(E970,E$1:E969,1,FALSE()))),"OLD",IF(AND(E970&lt;&gt;"",E970&lt;&gt;"!!!"),"NEW","")))</f>
        <v> </v>
      </c>
      <c r="G970" s="24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5" t="str">
        <f>IF(J970&lt;&gt;1,"",IF(I970="SBJ","CB","?"))</f>
        <v> </v>
      </c>
      <c r="I970" s="26" t="str">
        <f>IF(OR(E970="",E970="!!!",F970="NEW"),"",INDEX(B969:B$2,-1+SUMPRODUCT(MAX(ROW(E969:E$2)*(E970=E969:E$2)))))</f>
        <v> </v>
      </c>
      <c r="J970" s="26" t="str">
        <f>IF(OR(E970="",E970="!!!",F970="NEW"),"",COUNTBLANK(OFFSET(A$1,,,SUMPRODUCT(MAX(ROW(E$2:E970)*(E970=E$2:E970)))))-COUNTBLANK(OFFSET(A$1,,,SUMPRODUCT(MAX(ROW(E$1:E969)*(E2=E$1:E969))))))</f>
        <v> </v>
      </c>
      <c r="K970" s="26" t="str">
        <f>IF(OR(E970="",E970="!!!",F970="NEW"),"",INDEX(J$1:J969,SUMPRODUCT(MAX(ROW(E$1:E969)*(E970=E$1:E969)))))</f>
        <v> </v>
      </c>
      <c r="L970" s="27"/>
    </row>
    <row r="971" spans="1:12">
      <c r="A971" s="20" t="s">
        <v>610</v>
      </c>
      <c r="B971" s="21" t="s">
        <v>166</v>
      </c>
      <c r="C971" s="21" t="s">
        <v>175</v>
      </c>
      <c r="E971" s="22">
        <f>IF(D971="?OLD","!!!","")</f>
        <v/>
      </c>
      <c r="F971" s="23" t="str">
        <f>IF(OR(E971="",E971="!!!"),"",IF(NOT(ISNA(VLOOKUP(E971,E$1:E970,1,FALSE()))),"OLD",IF(AND(E971&lt;&gt;"",E971&lt;&gt;"!!!"),"NEW","")))</f>
        <v> </v>
      </c>
      <c r="G971" s="24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5" t="str">
        <f>IF(J971&lt;&gt;1,"",IF(I971="SBJ","CB","?"))</f>
        <v> </v>
      </c>
      <c r="I971" s="26" t="str">
        <f>IF(OR(E971="",E971="!!!",F971="NEW"),"",INDEX(B970:B$2,-1+SUMPRODUCT(MAX(ROW(E970:E$2)*(E971=E970:E$2)))))</f>
        <v> </v>
      </c>
      <c r="J971" s="26" t="str">
        <f>IF(OR(E971="",E971="!!!",F971="NEW"),"",COUNTBLANK(OFFSET(A$1,,,SUMPRODUCT(MAX(ROW(E$2:E971)*(E971=E$2:E971)))))-COUNTBLANK(OFFSET(A$1,,,SUMPRODUCT(MAX(ROW(E$1:E970)*(E2=E$1:E970))))))</f>
        <v> </v>
      </c>
      <c r="K971" s="26" t="str">
        <f>IF(OR(E971="",E971="!!!",F971="NEW"),"",INDEX(J$1:J970,SUMPRODUCT(MAX(ROW(E$1:E970)*(E971=E$1:E970)))))</f>
        <v> </v>
      </c>
      <c r="L971" s="27"/>
    </row>
    <row r="972" spans="1:12">
      <c r="A972" s="20" t="s">
        <v>186</v>
      </c>
      <c r="E972" s="22">
        <f>IF(D972="?OLD","!!!","")</f>
        <v/>
      </c>
      <c r="F972" s="23" t="str">
        <f>IF(OR(E972="",E972="!!!"),"",IF(NOT(ISNA(VLOOKUP(E972,E$1:E971,1,FALSE()))),"OLD",IF(AND(E972&lt;&gt;"",E972&lt;&gt;"!!!"),"NEW","")))</f>
        <v> </v>
      </c>
      <c r="G972" s="24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5" t="str">
        <f>IF(J972&lt;&gt;1,"",IF(I972="SBJ","CB","?"))</f>
        <v> </v>
      </c>
      <c r="I972" s="26" t="str">
        <f>IF(OR(E972="",E972="!!!",F972="NEW"),"",INDEX(B971:B$2,-1+SUMPRODUCT(MAX(ROW(E971:E$2)*(E972=E971:E$2)))))</f>
        <v> </v>
      </c>
      <c r="J972" s="26" t="str">
        <f>IF(OR(E972="",E972="!!!",F972="NEW"),"",COUNTBLANK(OFFSET(A$1,,,SUMPRODUCT(MAX(ROW(E$2:E972)*(E972=E$2:E972)))))-COUNTBLANK(OFFSET(A$1,,,SUMPRODUCT(MAX(ROW(E$1:E971)*(E2=E$1:E971))))))</f>
        <v> </v>
      </c>
      <c r="K972" s="26" t="str">
        <f>IF(OR(E972="",E972="!!!",F972="NEW"),"",INDEX(J$1:J971,SUMPRODUCT(MAX(ROW(E$1:E971)*(E972=E$1:E971)))))</f>
        <v> </v>
      </c>
      <c r="L972" s="27"/>
    </row>
    <row r="973" spans="1:12">
      <c r="A973" s="20" t="s">
        <v>187</v>
      </c>
      <c r="E973" s="22">
        <f>IF(D973="?OLD","!!!","")</f>
        <v/>
      </c>
      <c r="F973" s="23" t="str">
        <f>IF(OR(E973="",E973="!!!"),"",IF(NOT(ISNA(VLOOKUP(E973,E$1:E972,1,FALSE()))),"OLD",IF(AND(E973&lt;&gt;"",E973&lt;&gt;"!!!"),"NEW","")))</f>
        <v> </v>
      </c>
      <c r="G973" s="24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5" t="str">
        <f>IF(J973&lt;&gt;1,"",IF(I973="SBJ","CB","?"))</f>
        <v> </v>
      </c>
      <c r="I973" s="26" t="str">
        <f>IF(OR(E973="",E973="!!!",F973="NEW"),"",INDEX(B972:B$2,-1+SUMPRODUCT(MAX(ROW(E972:E$2)*(E973=E972:E$2)))))</f>
        <v> </v>
      </c>
      <c r="J973" s="26" t="str">
        <f>IF(OR(E973="",E973="!!!",F973="NEW"),"",COUNTBLANK(OFFSET(A$1,,,SUMPRODUCT(MAX(ROW(E$2:E973)*(E973=E$2:E973)))))-COUNTBLANK(OFFSET(A$1,,,SUMPRODUCT(MAX(ROW(E$1:E972)*(E2=E$1:E972))))))</f>
        <v> </v>
      </c>
      <c r="K973" s="26" t="str">
        <f>IF(OR(E973="",E973="!!!",F973="NEW"),"",INDEX(J$1:J972,SUMPRODUCT(MAX(ROW(E$1:E972)*(E973=E$1:E972)))))</f>
        <v> </v>
      </c>
      <c r="L973" s="27"/>
    </row>
    <row r="974" spans="1:12">
      <c r="A974" s="20" t="s">
        <v>336</v>
      </c>
      <c r="E974" s="22">
        <f>IF(D974="?OLD","!!!","")</f>
        <v/>
      </c>
      <c r="F974" s="23" t="str">
        <f>IF(OR(E974="",E974="!!!"),"",IF(NOT(ISNA(VLOOKUP(E974,E$1:E973,1,FALSE()))),"OLD",IF(AND(E974&lt;&gt;"",E974&lt;&gt;"!!!"),"NEW","")))</f>
        <v> </v>
      </c>
      <c r="G974" s="24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5" t="str">
        <f>IF(J974&lt;&gt;1,"",IF(I974="SBJ","CB","?"))</f>
        <v> </v>
      </c>
      <c r="I974" s="26" t="str">
        <f>IF(OR(E974="",E974="!!!",F974="NEW"),"",INDEX(B973:B$2,-1+SUMPRODUCT(MAX(ROW(E973:E$2)*(E974=E973:E$2)))))</f>
        <v> </v>
      </c>
      <c r="J974" s="26" t="str">
        <f>IF(OR(E974="",E974="!!!",F974="NEW"),"",COUNTBLANK(OFFSET(A$1,,,SUMPRODUCT(MAX(ROW(E$2:E974)*(E974=E$2:E974)))))-COUNTBLANK(OFFSET(A$1,,,SUMPRODUCT(MAX(ROW(E$1:E973)*(E2=E$1:E973))))))</f>
        <v> </v>
      </c>
      <c r="K974" s="26" t="str">
        <f>IF(OR(E974="",E974="!!!",F974="NEW"),"",INDEX(J$1:J973,SUMPRODUCT(MAX(ROW(E$1:E973)*(E974=E$1:E973)))))</f>
        <v> </v>
      </c>
      <c r="L974" s="27"/>
    </row>
    <row r="975" spans="1:12">
      <c r="A975" s="20" t="s">
        <v>240</v>
      </c>
      <c r="B975" s="21" t="s">
        <v>180</v>
      </c>
      <c r="C975" s="21" t="s">
        <v>189</v>
      </c>
      <c r="D975" s="21" t="s">
        <v>168</v>
      </c>
      <c r="E975" s="22">
        <f>IF(D975="?OLD","!!!","")</f>
        <v/>
      </c>
      <c r="F975" s="23" t="str">
        <f>IF(OR(E975="",E975="!!!"),"",IF(NOT(ISNA(VLOOKUP(E975,E$1:E974,1,FALSE()))),"OLD",IF(AND(E975&lt;&gt;"",E975&lt;&gt;"!!!"),"NEW","")))</f>
        <v> </v>
      </c>
      <c r="G975" s="24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5" t="str">
        <f>IF(J975&lt;&gt;1,"",IF(I975="SBJ","CB","?"))</f>
        <v> </v>
      </c>
      <c r="I975" s="26" t="str">
        <f>IF(OR(E975="",E975="!!!",F975="NEW"),"",INDEX(B974:B$2,-1+SUMPRODUCT(MAX(ROW(E974:E$2)*(E975=E974:E$2)))))</f>
        <v> </v>
      </c>
      <c r="J975" s="26" t="str">
        <f>IF(OR(E975="",E975="!!!",F975="NEW"),"",COUNTBLANK(OFFSET(A$1,,,SUMPRODUCT(MAX(ROW(E$2:E975)*(E975=E$2:E975)))))-COUNTBLANK(OFFSET(A$1,,,SUMPRODUCT(MAX(ROW(E$1:E974)*(E2=E$1:E974))))))</f>
        <v> </v>
      </c>
      <c r="K975" s="26" t="str">
        <f>IF(OR(E975="",E975="!!!",F975="NEW"),"",INDEX(J$1:J974,SUMPRODUCT(MAX(ROW(E$1:E974)*(E975=E$1:E974)))))</f>
        <v> </v>
      </c>
      <c r="L975" s="27"/>
    </row>
    <row r="976" spans="1:12">
      <c r="A976" s="20" t="s">
        <v>611</v>
      </c>
      <c r="E976" s="22">
        <f>IF(D976="?OLD","!!!","")</f>
        <v/>
      </c>
      <c r="F976" s="23" t="str">
        <f>IF(OR(E976="",E976="!!!"),"",IF(NOT(ISNA(VLOOKUP(E976,E$1:E975,1,FALSE()))),"OLD",IF(AND(E976&lt;&gt;"",E976&lt;&gt;"!!!"),"NEW","")))</f>
        <v> </v>
      </c>
      <c r="G976" s="24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5" t="str">
        <f>IF(J976&lt;&gt;1,"",IF(I976="SBJ","CB","?"))</f>
        <v> </v>
      </c>
      <c r="I976" s="26" t="str">
        <f>IF(OR(E976="",E976="!!!",F976="NEW"),"",INDEX(B975:B$2,-1+SUMPRODUCT(MAX(ROW(E975:E$2)*(E976=E975:E$2)))))</f>
        <v> </v>
      </c>
      <c r="J976" s="26" t="str">
        <f>IF(OR(E976="",E976="!!!",F976="NEW"),"",COUNTBLANK(OFFSET(A$1,,,SUMPRODUCT(MAX(ROW(E$2:E976)*(E976=E$2:E976)))))-COUNTBLANK(OFFSET(A$1,,,SUMPRODUCT(MAX(ROW(E$1:E975)*(E2=E$1:E975))))))</f>
        <v> </v>
      </c>
      <c r="K976" s="26" t="str">
        <f>IF(OR(E976="",E976="!!!",F976="NEW"),"",INDEX(J$1:J975,SUMPRODUCT(MAX(ROW(E$1:E975)*(E976=E$1:E975)))))</f>
        <v> </v>
      </c>
      <c r="L976" s="27"/>
    </row>
    <row r="977" spans="1:12">
      <c r="A977" s="20" t="s">
        <v>220</v>
      </c>
      <c r="E977" s="22">
        <f>IF(D977="?OLD","!!!","")</f>
        <v/>
      </c>
      <c r="F977" s="23" t="str">
        <f>IF(OR(E977="",E977="!!!"),"",IF(NOT(ISNA(VLOOKUP(E977,E$1:E976,1,FALSE()))),"OLD",IF(AND(E977&lt;&gt;"",E977&lt;&gt;"!!!"),"NEW","")))</f>
        <v> </v>
      </c>
      <c r="G977" s="24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5" t="str">
        <f>IF(J977&lt;&gt;1,"",IF(I977="SBJ","CB","?"))</f>
        <v> </v>
      </c>
      <c r="I977" s="26" t="str">
        <f>IF(OR(E977="",E977="!!!",F977="NEW"),"",INDEX(B976:B$2,-1+SUMPRODUCT(MAX(ROW(E976:E$2)*(E977=E976:E$2)))))</f>
        <v> </v>
      </c>
      <c r="J977" s="26" t="str">
        <f>IF(OR(E977="",E977="!!!",F977="NEW"),"",COUNTBLANK(OFFSET(A$1,,,SUMPRODUCT(MAX(ROW(E$2:E977)*(E977=E$2:E977)))))-COUNTBLANK(OFFSET(A$1,,,SUMPRODUCT(MAX(ROW(E$1:E976)*(E2=E$1:E976))))))</f>
        <v> </v>
      </c>
      <c r="K977" s="26" t="str">
        <f>IF(OR(E977="",E977="!!!",F977="NEW"),"",INDEX(J$1:J976,SUMPRODUCT(MAX(ROW(E$1:E976)*(E977=E$1:E976)))))</f>
        <v> </v>
      </c>
      <c r="L977" s="27"/>
    </row>
    <row r="978" spans="1:12">
      <c r="A978" s="20"/>
    </row>
    <row r="979" spans="1:12">
      <c r="A979" s="20" t="s">
        <v>612</v>
      </c>
    </row>
    <row r="980" spans="1:12">
      <c r="A980" s="20" t="s">
        <v>613</v>
      </c>
      <c r="E980" s="22">
        <f>IF(D980="?OLD","!!!","")</f>
        <v/>
      </c>
      <c r="F980" s="23" t="str">
        <f>IF(OR(E980="",E980="!!!"),"",IF(NOT(ISNA(VLOOKUP(E980,E$1:E979,1,FALSE()))),"OLD",IF(AND(E980&lt;&gt;"",E980&lt;&gt;"!!!"),"NEW","")))</f>
        <v> </v>
      </c>
      <c r="G980" s="24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5" t="str">
        <f>IF(J980&lt;&gt;1,"",IF(I980="SBJ","CB","?"))</f>
        <v> </v>
      </c>
      <c r="I980" s="26" t="str">
        <f>IF(OR(E980="",E980="!!!",F980="NEW"),"",INDEX(B979:B$2,-1+SUMPRODUCT(MAX(ROW(E979:E$2)*(E980=E979:E$2)))))</f>
        <v> </v>
      </c>
      <c r="J980" s="26" t="str">
        <f>IF(OR(E980="",E980="!!!",F980="NEW"),"",COUNTBLANK(OFFSET(A$1,,,SUMPRODUCT(MAX(ROW(E$2:E980)*(E980=E$2:E980)))))-COUNTBLANK(OFFSET(A$1,,,SUMPRODUCT(MAX(ROW(E$1:E979)*(E2=E$1:E979))))))</f>
        <v> </v>
      </c>
      <c r="K980" s="26" t="str">
        <f>IF(OR(E980="",E980="!!!",F980="NEW"),"",INDEX(J$1:J979,SUMPRODUCT(MAX(ROW(E$1:E979)*(E980=E$1:E979)))))</f>
        <v> </v>
      </c>
      <c r="L980" s="27"/>
    </row>
    <row r="981" spans="1:12">
      <c r="A981" s="20" t="s">
        <v>187</v>
      </c>
      <c r="E981" s="22">
        <f>IF(D981="?OLD","!!!","")</f>
        <v/>
      </c>
      <c r="F981" s="23" t="str">
        <f>IF(OR(E981="",E981="!!!"),"",IF(NOT(ISNA(VLOOKUP(E981,E$1:E980,1,FALSE()))),"OLD",IF(AND(E981&lt;&gt;"",E981&lt;&gt;"!!!"),"NEW","")))</f>
        <v> </v>
      </c>
      <c r="G981" s="24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5" t="str">
        <f>IF(J981&lt;&gt;1,"",IF(I981="SBJ","CB","?"))</f>
        <v> </v>
      </c>
      <c r="I981" s="26" t="str">
        <f>IF(OR(E981="",E981="!!!",F981="NEW"),"",INDEX(B980:B$2,-1+SUMPRODUCT(MAX(ROW(E980:E$2)*(E981=E980:E$2)))))</f>
        <v> </v>
      </c>
      <c r="J981" s="26" t="str">
        <f>IF(OR(E981="",E981="!!!",F981="NEW"),"",COUNTBLANK(OFFSET(A$1,,,SUMPRODUCT(MAX(ROW(E$2:E981)*(E981=E$2:E981)))))-COUNTBLANK(OFFSET(A$1,,,SUMPRODUCT(MAX(ROW(E$1:E980)*(E2=E$1:E980))))))</f>
        <v> </v>
      </c>
      <c r="K981" s="26" t="str">
        <f>IF(OR(E981="",E981="!!!",F981="NEW"),"",INDEX(J$1:J980,SUMPRODUCT(MAX(ROW(E$1:E980)*(E981=E$1:E980)))))</f>
        <v> </v>
      </c>
      <c r="L981" s="27"/>
    </row>
    <row r="982" spans="1:12">
      <c r="A982" s="20" t="s">
        <v>603</v>
      </c>
      <c r="B982" s="21" t="s">
        <v>265</v>
      </c>
      <c r="C982" s="21" t="s">
        <v>189</v>
      </c>
      <c r="D982" s="21" t="s">
        <v>168</v>
      </c>
      <c r="E982" s="22">
        <f>IF(D982="?OLD","!!!","")</f>
        <v/>
      </c>
      <c r="F982" s="23" t="str">
        <f>IF(OR(E982="",E982="!!!"),"",IF(NOT(ISNA(VLOOKUP(E982,E$1:E981,1,FALSE()))),"OLD",IF(AND(E982&lt;&gt;"",E982&lt;&gt;"!!!"),"NEW","")))</f>
        <v> </v>
      </c>
      <c r="G982" s="24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5" t="str">
        <f>IF(J982&lt;&gt;1,"",IF(I982="SBJ","CB","?"))</f>
        <v> </v>
      </c>
      <c r="I982" s="26" t="str">
        <f>IF(OR(E982="",E982="!!!",F982="NEW"),"",INDEX(B981:B$2,-1+SUMPRODUCT(MAX(ROW(E981:E$2)*(E982=E981:E$2)))))</f>
        <v> </v>
      </c>
      <c r="J982" s="26" t="str">
        <f>IF(OR(E982="",E982="!!!",F982="NEW"),"",COUNTBLANK(OFFSET(A$1,,,SUMPRODUCT(MAX(ROW(E$2:E982)*(E982=E$2:E982)))))-COUNTBLANK(OFFSET(A$1,,,SUMPRODUCT(MAX(ROW(E$1:E981)*(E2=E$1:E981))))))</f>
        <v> </v>
      </c>
      <c r="K982" s="26" t="str">
        <f>IF(OR(E982="",E982="!!!",F982="NEW"),"",INDEX(J$1:J981,SUMPRODUCT(MAX(ROW(E$1:E981)*(E982=E$1:E981)))))</f>
        <v> </v>
      </c>
      <c r="L982" s="27"/>
    </row>
    <row r="983" spans="1:12">
      <c r="A983" s="20" t="s">
        <v>203</v>
      </c>
      <c r="E983" s="22">
        <f>IF(D983="?OLD","!!!","")</f>
        <v/>
      </c>
      <c r="F983" s="23" t="str">
        <f>IF(OR(E983="",E983="!!!"),"",IF(NOT(ISNA(VLOOKUP(E983,E$1:E982,1,FALSE()))),"OLD",IF(AND(E983&lt;&gt;"",E983&lt;&gt;"!!!"),"NEW","")))</f>
        <v> </v>
      </c>
      <c r="G983" s="24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5" t="str">
        <f>IF(J983&lt;&gt;1,"",IF(I983="SBJ","CB","?"))</f>
        <v> </v>
      </c>
      <c r="I983" s="26" t="str">
        <f>IF(OR(E983="",E983="!!!",F983="NEW"),"",INDEX(B982:B$2,-1+SUMPRODUCT(MAX(ROW(E982:E$2)*(E983=E982:E$2)))))</f>
        <v> </v>
      </c>
      <c r="J983" s="26" t="str">
        <f>IF(OR(E983="",E983="!!!",F983="NEW"),"",COUNTBLANK(OFFSET(A$1,,,SUMPRODUCT(MAX(ROW(E$2:E983)*(E983=E$2:E983)))))-COUNTBLANK(OFFSET(A$1,,,SUMPRODUCT(MAX(ROW(E$1:E982)*(E2=E$1:E982))))))</f>
        <v> </v>
      </c>
      <c r="K983" s="26" t="str">
        <f>IF(OR(E983="",E983="!!!",F983="NEW"),"",INDEX(J$1:J982,SUMPRODUCT(MAX(ROW(E$1:E982)*(E983=E$1:E982)))))</f>
        <v> </v>
      </c>
      <c r="L983" s="27"/>
    </row>
    <row r="984" spans="1:12">
      <c r="A984" s="20" t="s">
        <v>587</v>
      </c>
      <c r="E984" s="22">
        <f>IF(D984="?OLD","!!!","")</f>
        <v/>
      </c>
      <c r="F984" s="23" t="str">
        <f>IF(OR(E984="",E984="!!!"),"",IF(NOT(ISNA(VLOOKUP(E984,E$1:E983,1,FALSE()))),"OLD",IF(AND(E984&lt;&gt;"",E984&lt;&gt;"!!!"),"NEW","")))</f>
        <v> </v>
      </c>
      <c r="G984" s="24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5" t="str">
        <f>IF(J984&lt;&gt;1,"",IF(I984="SBJ","CB","?"))</f>
        <v> </v>
      </c>
      <c r="I984" s="26" t="str">
        <f>IF(OR(E984="",E984="!!!",F984="NEW"),"",INDEX(B983:B$2,-1+SUMPRODUCT(MAX(ROW(E983:E$2)*(E984=E983:E$2)))))</f>
        <v> </v>
      </c>
      <c r="J984" s="26" t="str">
        <f>IF(OR(E984="",E984="!!!",F984="NEW"),"",COUNTBLANK(OFFSET(A$1,,,SUMPRODUCT(MAX(ROW(E$2:E984)*(E984=E$2:E984)))))-COUNTBLANK(OFFSET(A$1,,,SUMPRODUCT(MAX(ROW(E$1:E983)*(E2=E$1:E983))))))</f>
        <v> </v>
      </c>
      <c r="K984" s="26" t="str">
        <f>IF(OR(E984="",E984="!!!",F984="NEW"),"",INDEX(J$1:J983,SUMPRODUCT(MAX(ROW(E$1:E983)*(E984=E$1:E983)))))</f>
        <v> </v>
      </c>
      <c r="L984" s="27"/>
    </row>
    <row r="985" spans="1:12">
      <c r="A985" s="20" t="s">
        <v>193</v>
      </c>
      <c r="E985" s="22">
        <f>IF(D985="?OLD","!!!","")</f>
        <v/>
      </c>
      <c r="F985" s="23" t="str">
        <f>IF(OR(E985="",E985="!!!"),"",IF(NOT(ISNA(VLOOKUP(E985,E$1:E984,1,FALSE()))),"OLD",IF(AND(E985&lt;&gt;"",E985&lt;&gt;"!!!"),"NEW","")))</f>
        <v> </v>
      </c>
      <c r="G985" s="24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5" t="str">
        <f>IF(J985&lt;&gt;1,"",IF(I985="SBJ","CB","?"))</f>
        <v> </v>
      </c>
      <c r="I985" s="26" t="str">
        <f>IF(OR(E985="",E985="!!!",F985="NEW"),"",INDEX(B984:B$2,-1+SUMPRODUCT(MAX(ROW(E984:E$2)*(E985=E984:E$2)))))</f>
        <v> </v>
      </c>
      <c r="J985" s="26" t="str">
        <f>IF(OR(E985="",E985="!!!",F985="NEW"),"",COUNTBLANK(OFFSET(A$1,,,SUMPRODUCT(MAX(ROW(E$2:E985)*(E985=E$2:E985)))))-COUNTBLANK(OFFSET(A$1,,,SUMPRODUCT(MAX(ROW(E$1:E984)*(E2=E$1:E984))))))</f>
        <v> </v>
      </c>
      <c r="K985" s="26" t="str">
        <f>IF(OR(E985="",E985="!!!",F985="NEW"),"",INDEX(J$1:J984,SUMPRODUCT(MAX(ROW(E$1:E984)*(E985=E$1:E984)))))</f>
        <v> </v>
      </c>
      <c r="L985" s="27"/>
    </row>
    <row r="986" spans="1:12">
      <c r="A986" s="20" t="s">
        <v>614</v>
      </c>
      <c r="E986" s="22">
        <f>IF(D986="?OLD","!!!","")</f>
        <v/>
      </c>
      <c r="F986" s="23" t="str">
        <f>IF(OR(E986="",E986="!!!"),"",IF(NOT(ISNA(VLOOKUP(E986,E$1:E985,1,FALSE()))),"OLD",IF(AND(E986&lt;&gt;"",E986&lt;&gt;"!!!"),"NEW","")))</f>
        <v> </v>
      </c>
      <c r="G986" s="24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5" t="str">
        <f>IF(J986&lt;&gt;1,"",IF(I986="SBJ","CB","?"))</f>
        <v> </v>
      </c>
      <c r="I986" s="26" t="str">
        <f>IF(OR(E986="",E986="!!!",F986="NEW"),"",INDEX(B985:B$2,-1+SUMPRODUCT(MAX(ROW(E985:E$2)*(E986=E985:E$2)))))</f>
        <v> </v>
      </c>
      <c r="J986" s="26" t="str">
        <f>IF(OR(E986="",E986="!!!",F986="NEW"),"",COUNTBLANK(OFFSET(A$1,,,SUMPRODUCT(MAX(ROW(E$2:E986)*(E986=E$2:E986)))))-COUNTBLANK(OFFSET(A$1,,,SUMPRODUCT(MAX(ROW(E$1:E985)*(E2=E$1:E985))))))</f>
        <v> </v>
      </c>
      <c r="K986" s="26" t="str">
        <f>IF(OR(E986="",E986="!!!",F986="NEW"),"",INDEX(J$1:J985,SUMPRODUCT(MAX(ROW(E$1:E985)*(E986=E$1:E985)))))</f>
        <v> </v>
      </c>
      <c r="L986" s="27"/>
    </row>
    <row r="987" spans="1:12">
      <c r="A987" s="20" t="s">
        <v>224</v>
      </c>
      <c r="E987" s="22">
        <f>IF(D987="?OLD","!!!","")</f>
        <v/>
      </c>
      <c r="F987" s="23" t="str">
        <f>IF(OR(E987="",E987="!!!"),"",IF(NOT(ISNA(VLOOKUP(E987,E$1:E986,1,FALSE()))),"OLD",IF(AND(E987&lt;&gt;"",E987&lt;&gt;"!!!"),"NEW","")))</f>
        <v> </v>
      </c>
      <c r="G987" s="24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5" t="str">
        <f>IF(J987&lt;&gt;1,"",IF(I987="SBJ","CB","?"))</f>
        <v> </v>
      </c>
      <c r="I987" s="26" t="str">
        <f>IF(OR(E987="",E987="!!!",F987="NEW"),"",INDEX(B986:B$2,-1+SUMPRODUCT(MAX(ROW(E986:E$2)*(E987=E986:E$2)))))</f>
        <v> </v>
      </c>
      <c r="J987" s="26" t="str">
        <f>IF(OR(E987="",E987="!!!",F987="NEW"),"",COUNTBLANK(OFFSET(A$1,,,SUMPRODUCT(MAX(ROW(E$2:E987)*(E987=E$2:E987)))))-COUNTBLANK(OFFSET(A$1,,,SUMPRODUCT(MAX(ROW(E$1:E986)*(E2=E$1:E986))))))</f>
        <v> </v>
      </c>
      <c r="K987" s="26" t="str">
        <f>IF(OR(E987="",E987="!!!",F987="NEW"),"",INDEX(J$1:J986,SUMPRODUCT(MAX(ROW(E$1:E986)*(E987=E$1:E986)))))</f>
        <v> </v>
      </c>
      <c r="L987" s="27"/>
    </row>
    <row r="988" spans="1:12">
      <c r="A988" s="20" t="s">
        <v>187</v>
      </c>
      <c r="E988" s="22">
        <f>IF(D988="?OLD","!!!","")</f>
        <v/>
      </c>
      <c r="F988" s="23" t="str">
        <f>IF(OR(E988="",E988="!!!"),"",IF(NOT(ISNA(VLOOKUP(E988,E$1:E987,1,FALSE()))),"OLD",IF(AND(E988&lt;&gt;"",E988&lt;&gt;"!!!"),"NEW","")))</f>
        <v> </v>
      </c>
      <c r="G988" s="24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5" t="str">
        <f>IF(J988&lt;&gt;1,"",IF(I988="SBJ","CB","?"))</f>
        <v> </v>
      </c>
      <c r="I988" s="26" t="str">
        <f>IF(OR(E988="",E988="!!!",F988="NEW"),"",INDEX(B987:B$2,-1+SUMPRODUCT(MAX(ROW(E987:E$2)*(E988=E987:E$2)))))</f>
        <v> </v>
      </c>
      <c r="J988" s="26" t="str">
        <f>IF(OR(E988="",E988="!!!",F988="NEW"),"",COUNTBLANK(OFFSET(A$1,,,SUMPRODUCT(MAX(ROW(E$2:E988)*(E988=E$2:E988)))))-COUNTBLANK(OFFSET(A$1,,,SUMPRODUCT(MAX(ROW(E$1:E987)*(E2=E$1:E987))))))</f>
        <v> </v>
      </c>
      <c r="K988" s="26" t="str">
        <f>IF(OR(E988="",E988="!!!",F988="NEW"),"",INDEX(J$1:J987,SUMPRODUCT(MAX(ROW(E$1:E987)*(E988=E$1:E987)))))</f>
        <v> </v>
      </c>
      <c r="L988" s="27"/>
    </row>
    <row r="989" spans="1:12">
      <c r="A989" s="20" t="s">
        <v>606</v>
      </c>
      <c r="B989" s="21" t="s">
        <v>195</v>
      </c>
      <c r="C989" s="21" t="s">
        <v>189</v>
      </c>
      <c r="D989" s="21" t="s">
        <v>168</v>
      </c>
      <c r="E989" s="22">
        <f>IF(D989="?OLD","!!!","")</f>
        <v/>
      </c>
      <c r="F989" s="23" t="str">
        <f>IF(OR(E989="",E989="!!!"),"",IF(NOT(ISNA(VLOOKUP(E989,E$1:E988,1,FALSE()))),"OLD",IF(AND(E989&lt;&gt;"",E989&lt;&gt;"!!!"),"NEW","")))</f>
        <v> </v>
      </c>
      <c r="G989" s="24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5" t="str">
        <f>IF(J989&lt;&gt;1,"",IF(I989="SBJ","CB","?"))</f>
        <v> </v>
      </c>
      <c r="I989" s="26" t="str">
        <f>IF(OR(E989="",E989="!!!",F989="NEW"),"",INDEX(B988:B$2,-1+SUMPRODUCT(MAX(ROW(E988:E$2)*(E989=E988:E$2)))))</f>
        <v> </v>
      </c>
      <c r="J989" s="26" t="str">
        <f>IF(OR(E989="",E989="!!!",F989="NEW"),"",COUNTBLANK(OFFSET(A$1,,,SUMPRODUCT(MAX(ROW(E$2:E989)*(E989=E$2:E989)))))-COUNTBLANK(OFFSET(A$1,,,SUMPRODUCT(MAX(ROW(E$1:E988)*(E2=E$1:E988))))))</f>
        <v> </v>
      </c>
      <c r="K989" s="26" t="str">
        <f>IF(OR(E989="",E989="!!!",F989="NEW"),"",INDEX(J$1:J988,SUMPRODUCT(MAX(ROW(E$1:E988)*(E989=E$1:E988)))))</f>
        <v> </v>
      </c>
      <c r="L989" s="27"/>
    </row>
    <row r="990" spans="1:12">
      <c r="A990" s="20" t="s">
        <v>248</v>
      </c>
      <c r="E990" s="22">
        <f>IF(D990="?OLD","!!!","")</f>
        <v/>
      </c>
      <c r="F990" s="23" t="str">
        <f>IF(OR(E990="",E990="!!!"),"",IF(NOT(ISNA(VLOOKUP(E990,E$1:E989,1,FALSE()))),"OLD",IF(AND(E990&lt;&gt;"",E990&lt;&gt;"!!!"),"NEW","")))</f>
        <v> </v>
      </c>
      <c r="G990" s="24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5" t="str">
        <f>IF(J990&lt;&gt;1,"",IF(I990="SBJ","CB","?"))</f>
        <v> </v>
      </c>
      <c r="I990" s="26" t="str">
        <f>IF(OR(E990="",E990="!!!",F990="NEW"),"",INDEX(B989:B$2,-1+SUMPRODUCT(MAX(ROW(E989:E$2)*(E990=E989:E$2)))))</f>
        <v> </v>
      </c>
      <c r="J990" s="26" t="str">
        <f>IF(OR(E990="",E990="!!!",F990="NEW"),"",COUNTBLANK(OFFSET(A$1,,,SUMPRODUCT(MAX(ROW(E$2:E990)*(E990=E$2:E990)))))-COUNTBLANK(OFFSET(A$1,,,SUMPRODUCT(MAX(ROW(E$1:E989)*(E2=E$1:E989))))))</f>
        <v> </v>
      </c>
      <c r="K990" s="26" t="str">
        <f>IF(OR(E990="",E990="!!!",F990="NEW"),"",INDEX(J$1:J989,SUMPRODUCT(MAX(ROW(E$1:E989)*(E990=E$1:E989)))))</f>
        <v> </v>
      </c>
      <c r="L990" s="27"/>
    </row>
    <row r="991" spans="1:12">
      <c r="A991" s="20" t="s">
        <v>201</v>
      </c>
      <c r="B991" s="21" t="s">
        <v>180</v>
      </c>
      <c r="C991" s="21" t="s">
        <v>189</v>
      </c>
      <c r="D991" s="21" t="s">
        <v>168</v>
      </c>
      <c r="E991" s="22">
        <f>IF(D991="?OLD","!!!","")</f>
        <v/>
      </c>
      <c r="F991" s="23" t="str">
        <f>IF(OR(E991="",E991="!!!"),"",IF(NOT(ISNA(VLOOKUP(E991,E$1:E990,1,FALSE()))),"OLD",IF(AND(E991&lt;&gt;"",E991&lt;&gt;"!!!"),"NEW","")))</f>
        <v> </v>
      </c>
      <c r="G991" s="24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5" t="str">
        <f>IF(J991&lt;&gt;1,"",IF(I991="SBJ","CB","?"))</f>
        <v> </v>
      </c>
      <c r="I991" s="26" t="str">
        <f>IF(OR(E991="",E991="!!!",F991="NEW"),"",INDEX(B990:B$2,-1+SUMPRODUCT(MAX(ROW(E990:E$2)*(E991=E990:E$2)))))</f>
        <v> </v>
      </c>
      <c r="J991" s="26" t="str">
        <f>IF(OR(E991="",E991="!!!",F991="NEW"),"",COUNTBLANK(OFFSET(A$1,,,SUMPRODUCT(MAX(ROW(E$2:E991)*(E991=E$2:E991)))))-COUNTBLANK(OFFSET(A$1,,,SUMPRODUCT(MAX(ROW(E$1:E990)*(E2=E$1:E990))))))</f>
        <v> </v>
      </c>
      <c r="K991" s="26" t="str">
        <f>IF(OR(E991="",E991="!!!",F991="NEW"),"",INDEX(J$1:J990,SUMPRODUCT(MAX(ROW(E$1:E990)*(E991=E$1:E990)))))</f>
        <v> </v>
      </c>
      <c r="L991" s="27"/>
    </row>
    <row r="992" spans="1:12">
      <c r="A992" s="20" t="s">
        <v>335</v>
      </c>
      <c r="E992" s="22">
        <f>IF(D992="?OLD","!!!","")</f>
        <v/>
      </c>
      <c r="F992" s="23" t="str">
        <f>IF(OR(E992="",E992="!!!"),"",IF(NOT(ISNA(VLOOKUP(E992,E$1:E991,1,FALSE()))),"OLD",IF(AND(E992&lt;&gt;"",E992&lt;&gt;"!!!"),"NEW","")))</f>
        <v> </v>
      </c>
      <c r="G992" s="24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5" t="str">
        <f>IF(J992&lt;&gt;1,"",IF(I992="SBJ","CB","?"))</f>
        <v> </v>
      </c>
      <c r="I992" s="26" t="str">
        <f>IF(OR(E992="",E992="!!!",F992="NEW"),"",INDEX(B991:B$2,-1+SUMPRODUCT(MAX(ROW(E991:E$2)*(E992=E991:E$2)))))</f>
        <v> </v>
      </c>
      <c r="J992" s="26" t="str">
        <f>IF(OR(E992="",E992="!!!",F992="NEW"),"",COUNTBLANK(OFFSET(A$1,,,SUMPRODUCT(MAX(ROW(E$2:E992)*(E992=E$2:E992)))))-COUNTBLANK(OFFSET(A$1,,,SUMPRODUCT(MAX(ROW(E$1:E991)*(E2=E$1:E991))))))</f>
        <v> </v>
      </c>
      <c r="K992" s="26" t="str">
        <f>IF(OR(E992="",E992="!!!",F992="NEW"),"",INDEX(J$1:J991,SUMPRODUCT(MAX(ROW(E$1:E991)*(E992=E$1:E991)))))</f>
        <v> </v>
      </c>
      <c r="L992" s="27"/>
    </row>
    <row r="993" spans="1:12">
      <c r="A993" s="20" t="s">
        <v>220</v>
      </c>
      <c r="E993" s="22">
        <f>IF(D993="?OLD","!!!","")</f>
        <v/>
      </c>
      <c r="F993" s="23" t="str">
        <f>IF(OR(E993="",E993="!!!"),"",IF(NOT(ISNA(VLOOKUP(E993,E$1:E992,1,FALSE()))),"OLD",IF(AND(E993&lt;&gt;"",E993&lt;&gt;"!!!"),"NEW","")))</f>
        <v> </v>
      </c>
      <c r="G993" s="24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5" t="str">
        <f>IF(J993&lt;&gt;1,"",IF(I993="SBJ","CB","?"))</f>
        <v> </v>
      </c>
      <c r="I993" s="26" t="str">
        <f>IF(OR(E993="",E993="!!!",F993="NEW"),"",INDEX(B992:B$2,-1+SUMPRODUCT(MAX(ROW(E992:E$2)*(E993=E992:E$2)))))</f>
        <v> </v>
      </c>
      <c r="J993" s="26" t="str">
        <f>IF(OR(E993="",E993="!!!",F993="NEW"),"",COUNTBLANK(OFFSET(A$1,,,SUMPRODUCT(MAX(ROW(E$2:E993)*(E993=E$2:E993)))))-COUNTBLANK(OFFSET(A$1,,,SUMPRODUCT(MAX(ROW(E$1:E992)*(E2=E$1:E992))))))</f>
        <v> </v>
      </c>
      <c r="K993" s="26" t="str">
        <f>IF(OR(E993="",E993="!!!",F993="NEW"),"",INDEX(J$1:J992,SUMPRODUCT(MAX(ROW(E$1:E992)*(E993=E$1:E992)))))</f>
        <v> </v>
      </c>
      <c r="L993" s="27"/>
    </row>
    <row r="994" spans="1:12">
      <c r="A994" s="20"/>
    </row>
    <row r="995" spans="1:12">
      <c r="A995" s="20" t="s">
        <v>615</v>
      </c>
    </row>
    <row r="996" spans="1:12">
      <c r="A996" s="20" t="s">
        <v>182</v>
      </c>
      <c r="E996" s="22">
        <f>IF(D996="?OLD","!!!","")</f>
        <v/>
      </c>
      <c r="F996" s="23" t="str">
        <f>IF(OR(E996="",E996="!!!"),"",IF(NOT(ISNA(VLOOKUP(E996,E$1:E995,1,FALSE()))),"OLD",IF(AND(E996&lt;&gt;"",E996&lt;&gt;"!!!"),"NEW","")))</f>
        <v> </v>
      </c>
      <c r="G996" s="24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5" t="str">
        <f>IF(J996&lt;&gt;1,"",IF(I996="SBJ","CB","?"))</f>
        <v> </v>
      </c>
      <c r="I996" s="26" t="str">
        <f>IF(OR(E996="",E996="!!!",F996="NEW"),"",INDEX(B995:B$2,-1+SUMPRODUCT(MAX(ROW(E995:E$2)*(E996=E995:E$2)))))</f>
        <v> </v>
      </c>
      <c r="J996" s="26" t="str">
        <f>IF(OR(E996="",E996="!!!",F996="NEW"),"",COUNTBLANK(OFFSET(A$1,,,SUMPRODUCT(MAX(ROW(E$2:E996)*(E996=E$2:E996)))))-COUNTBLANK(OFFSET(A$1,,,SUMPRODUCT(MAX(ROW(E$1:E995)*(E2=E$1:E995))))))</f>
        <v> </v>
      </c>
      <c r="K996" s="26" t="str">
        <f>IF(OR(E996="",E996="!!!",F996="NEW"),"",INDEX(J$1:J995,SUMPRODUCT(MAX(ROW(E$1:E995)*(E996=E$1:E995)))))</f>
        <v> </v>
      </c>
      <c r="L996" s="27"/>
    </row>
    <row r="997" spans="1:12">
      <c r="A997" s="20" t="s">
        <v>183</v>
      </c>
      <c r="B997" s="21" t="s">
        <v>184</v>
      </c>
      <c r="C997" s="21" t="s">
        <v>185</v>
      </c>
      <c r="D997" s="21" t="s">
        <v>168</v>
      </c>
      <c r="E997" s="22">
        <f>IF(D997="?OLD","!!!","")</f>
        <v/>
      </c>
      <c r="F997" s="23" t="str">
        <f>IF(OR(E997="",E997="!!!"),"",IF(NOT(ISNA(VLOOKUP(E997,E$1:E996,1,FALSE()))),"OLD",IF(AND(E997&lt;&gt;"",E997&lt;&gt;"!!!"),"NEW","")))</f>
        <v> </v>
      </c>
      <c r="G997" s="24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5" t="str">
        <f>IF(J997&lt;&gt;1,"",IF(I997="SBJ","CB","?"))</f>
        <v> </v>
      </c>
      <c r="I997" s="26" t="str">
        <f>IF(OR(E997="",E997="!!!",F997="NEW"),"",INDEX(B996:B$2,-1+SUMPRODUCT(MAX(ROW(E996:E$2)*(E997=E996:E$2)))))</f>
        <v> </v>
      </c>
      <c r="J997" s="26" t="str">
        <f>IF(OR(E997="",E997="!!!",F997="NEW"),"",COUNTBLANK(OFFSET(A$1,,,SUMPRODUCT(MAX(ROW(E$2:E997)*(E997=E$2:E997)))))-COUNTBLANK(OFFSET(A$1,,,SUMPRODUCT(MAX(ROW(E$1:E996)*(E2=E$1:E996))))))</f>
        <v> </v>
      </c>
      <c r="K997" s="26" t="str">
        <f>IF(OR(E997="",E997="!!!",F997="NEW"),"",INDEX(J$1:J996,SUMPRODUCT(MAX(ROW(E$1:E996)*(E997=E$1:E996)))))</f>
        <v> </v>
      </c>
      <c r="L997" s="27"/>
    </row>
    <row r="998" spans="1:12">
      <c r="A998" s="20" t="s">
        <v>469</v>
      </c>
      <c r="E998" s="22">
        <f>IF(D998="?OLD","!!!","")</f>
        <v/>
      </c>
      <c r="F998" s="23" t="str">
        <f>IF(OR(E998="",E998="!!!"),"",IF(NOT(ISNA(VLOOKUP(E998,E$1:E997,1,FALSE()))),"OLD",IF(AND(E998&lt;&gt;"",E998&lt;&gt;"!!!"),"NEW","")))</f>
        <v> </v>
      </c>
      <c r="G998" s="24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5" t="str">
        <f>IF(J998&lt;&gt;1,"",IF(I998="SBJ","CB","?"))</f>
        <v> </v>
      </c>
      <c r="I998" s="26" t="str">
        <f>IF(OR(E998="",E998="!!!",F998="NEW"),"",INDEX(B997:B$2,-1+SUMPRODUCT(MAX(ROW(E997:E$2)*(E998=E997:E$2)))))</f>
        <v> </v>
      </c>
      <c r="J998" s="26" t="str">
        <f>IF(OR(E998="",E998="!!!",F998="NEW"),"",COUNTBLANK(OFFSET(A$1,,,SUMPRODUCT(MAX(ROW(E$2:E998)*(E998=E$2:E998)))))-COUNTBLANK(OFFSET(A$1,,,SUMPRODUCT(MAX(ROW(E$1:E997)*(E2=E$1:E997))))))</f>
        <v> </v>
      </c>
      <c r="K998" s="26" t="str">
        <f>IF(OR(E998="",E998="!!!",F998="NEW"),"",INDEX(J$1:J997,SUMPRODUCT(MAX(ROW(E$1:E997)*(E998=E$1:E997)))))</f>
        <v> </v>
      </c>
      <c r="L998" s="27"/>
    </row>
    <row r="999" spans="1:12">
      <c r="A999" s="20" t="s">
        <v>229</v>
      </c>
      <c r="B999" s="21" t="s">
        <v>209</v>
      </c>
      <c r="C999" s="21" t="s">
        <v>207</v>
      </c>
      <c r="D999" s="21" t="s">
        <v>168</v>
      </c>
      <c r="E999" s="22">
        <f>IF(D999="?OLD","!!!","")</f>
        <v/>
      </c>
      <c r="F999" s="23" t="str">
        <f>IF(OR(E999="",E999="!!!"),"",IF(NOT(ISNA(VLOOKUP(E999,E$1:E998,1,FALSE()))),"OLD",IF(AND(E999&lt;&gt;"",E999&lt;&gt;"!!!"),"NEW","")))</f>
        <v> </v>
      </c>
      <c r="G999" s="24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5" t="str">
        <f>IF(J999&lt;&gt;1,"",IF(I999="SBJ","CB","?"))</f>
        <v> </v>
      </c>
      <c r="I999" s="26" t="str">
        <f>IF(OR(E999="",E999="!!!",F999="NEW"),"",INDEX(B998:B$2,-1+SUMPRODUCT(MAX(ROW(E998:E$2)*(E999=E998:E$2)))))</f>
        <v> </v>
      </c>
      <c r="J999" s="26" t="str">
        <f>IF(OR(E999="",E999="!!!",F999="NEW"),"",COUNTBLANK(OFFSET(A$1,,,SUMPRODUCT(MAX(ROW(E$2:E999)*(E999=E$2:E999)))))-COUNTBLANK(OFFSET(A$1,,,SUMPRODUCT(MAX(ROW(E$1:E998)*(E2=E$1:E998))))))</f>
        <v> </v>
      </c>
      <c r="K999" s="26" t="str">
        <f>IF(OR(E999="",E999="!!!",F999="NEW"),"",INDEX(J$1:J998,SUMPRODUCT(MAX(ROW(E$1:E998)*(E999=E$1:E998)))))</f>
        <v> </v>
      </c>
      <c r="L999" s="27"/>
    </row>
    <row r="1000" spans="1:12">
      <c r="A1000" s="20" t="s">
        <v>510</v>
      </c>
      <c r="B1000" s="21" t="s">
        <v>366</v>
      </c>
      <c r="C1000" s="21" t="s">
        <v>210</v>
      </c>
      <c r="D1000" s="21" t="s">
        <v>168</v>
      </c>
      <c r="E1000" s="22">
        <f>IF(D1000="?OLD","!!!","")</f>
        <v/>
      </c>
      <c r="F1000" s="23" t="str">
        <f>IF(OR(E1000="",E1000="!!!"),"",IF(NOT(ISNA(VLOOKUP(E1000,E$1:E999,1,FALSE()))),"OLD",IF(AND(E1000&lt;&gt;"",E1000&lt;&gt;"!!!"),"NEW","")))</f>
        <v> </v>
      </c>
      <c r="G1000" s="24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5" t="str">
        <f>IF(J1000&lt;&gt;1,"",IF(I1000="SBJ","CB","?"))</f>
        <v> </v>
      </c>
      <c r="I1000" s="26" t="str">
        <f>IF(OR(E1000="",E1000="!!!",F1000="NEW"),"",INDEX(B999:B$2,-1+SUMPRODUCT(MAX(ROW(E999:E$2)*(E1000=E999:E$2)))))</f>
        <v> </v>
      </c>
      <c r="J1000" s="26" t="str">
        <f>IF(OR(E1000="",E1000="!!!",F1000="NEW"),"",COUNTBLANK(OFFSET(A$1,,,SUMPRODUCT(MAX(ROW(E$2:E1000)*(E1000=E$2:E1000)))))-COUNTBLANK(OFFSET(A$1,,,SUMPRODUCT(MAX(ROW(E$1:E999)*(E2=E$1:E999))))))</f>
        <v> </v>
      </c>
      <c r="K1000" s="26" t="str">
        <f>IF(OR(E1000="",E1000="!!!",F1000="NEW"),"",INDEX(J$1:J999,SUMPRODUCT(MAX(ROW(E$1:E999)*(E1000=E$1:E999)))))</f>
        <v> </v>
      </c>
      <c r="L1000" s="27"/>
    </row>
    <row r="1001" spans="1:12">
      <c r="A1001" s="20" t="s">
        <v>203</v>
      </c>
      <c r="E1001" s="22">
        <f>IF(D1001="?OLD","!!!","")</f>
        <v/>
      </c>
      <c r="F1001" s="23" t="str">
        <f>IF(OR(E1001="",E1001="!!!"),"",IF(NOT(ISNA(VLOOKUP(E1001,E$1:E1000,1,FALSE()))),"OLD",IF(AND(E1001&lt;&gt;"",E1001&lt;&gt;"!!!"),"NEW","")))</f>
        <v> </v>
      </c>
      <c r="G1001" s="24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5" t="str">
        <f>IF(J1001&lt;&gt;1,"",IF(I1001="SBJ","CB","?"))</f>
        <v> </v>
      </c>
      <c r="I1001" s="26" t="str">
        <f>IF(OR(E1001="",E1001="!!!",F1001="NEW"),"",INDEX(B1000:B$2,-1+SUMPRODUCT(MAX(ROW(E1000:E$2)*(E1001=E1000:E$2)))))</f>
        <v> </v>
      </c>
      <c r="J1001" s="26" t="str">
        <f>IF(OR(E1001="",E1001="!!!",F1001="NEW"),"",COUNTBLANK(OFFSET(A$1,,,SUMPRODUCT(MAX(ROW(E$2:E1001)*(E1001=E$2:E1001)))))-COUNTBLANK(OFFSET(A$1,,,SUMPRODUCT(MAX(ROW(E$1:E1000)*(E2=E$1:E1000))))))</f>
        <v> </v>
      </c>
      <c r="K1001" s="26" t="str">
        <f>IF(OR(E1001="",E1001="!!!",F1001="NEW"),"",INDEX(J$1:J1000,SUMPRODUCT(MAX(ROW(E$1:E1000)*(E1001=E$1:E1000)))))</f>
        <v> </v>
      </c>
      <c r="L1001" s="27"/>
    </row>
    <row r="1002" spans="1:12">
      <c r="A1002" s="20" t="s">
        <v>616</v>
      </c>
      <c r="E1002" s="22">
        <f>IF(D1002="?OLD","!!!","")</f>
        <v/>
      </c>
      <c r="F1002" s="23" t="str">
        <f>IF(OR(E1002="",E1002="!!!"),"",IF(NOT(ISNA(VLOOKUP(E1002,E$1:E1001,1,FALSE()))),"OLD",IF(AND(E1002&lt;&gt;"",E1002&lt;&gt;"!!!"),"NEW","")))</f>
        <v> </v>
      </c>
      <c r="G1002" s="24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5" t="str">
        <f>IF(J1002&lt;&gt;1,"",IF(I1002="SBJ","CB","?"))</f>
        <v> </v>
      </c>
      <c r="I1002" s="26" t="str">
        <f>IF(OR(E1002="",E1002="!!!",F1002="NEW"),"",INDEX(B1001:B$2,-1+SUMPRODUCT(MAX(ROW(E1001:E$2)*(E1002=E1001:E$2)))))</f>
        <v> </v>
      </c>
      <c r="J1002" s="26" t="str">
        <f>IF(OR(E1002="",E1002="!!!",F1002="NEW"),"",COUNTBLANK(OFFSET(A$1,,,SUMPRODUCT(MAX(ROW(E$2:E1002)*(E1002=E$2:E1002)))))-COUNTBLANK(OFFSET(A$1,,,SUMPRODUCT(MAX(ROW(E$1:E1001)*(E2=E$1:E1001))))))</f>
        <v> </v>
      </c>
      <c r="K1002" s="26" t="str">
        <f>IF(OR(E1002="",E1002="!!!",F1002="NEW"),"",INDEX(J$1:J1001,SUMPRODUCT(MAX(ROW(E$1:E1001)*(E1002=E$1:E1001)))))</f>
        <v> </v>
      </c>
      <c r="L1002" s="27"/>
    </row>
    <row r="1003" spans="1:12">
      <c r="A1003" s="20" t="s">
        <v>193</v>
      </c>
      <c r="E1003" s="22">
        <f>IF(D1003="?OLD","!!!","")</f>
        <v/>
      </c>
      <c r="F1003" s="23" t="str">
        <f>IF(OR(E1003="",E1003="!!!"),"",IF(NOT(ISNA(VLOOKUP(E1003,E$1:E1002,1,FALSE()))),"OLD",IF(AND(E1003&lt;&gt;"",E1003&lt;&gt;"!!!"),"NEW","")))</f>
        <v> </v>
      </c>
      <c r="G1003" s="24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5" t="str">
        <f>IF(J1003&lt;&gt;1,"",IF(I1003="SBJ","CB","?"))</f>
        <v> </v>
      </c>
      <c r="I1003" s="26" t="str">
        <f>IF(OR(E1003="",E1003="!!!",F1003="NEW"),"",INDEX(B1002:B$2,-1+SUMPRODUCT(MAX(ROW(E1002:E$2)*(E1003=E1002:E$2)))))</f>
        <v> </v>
      </c>
      <c r="J1003" s="26" t="str">
        <f>IF(OR(E1003="",E1003="!!!",F1003="NEW"),"",COUNTBLANK(OFFSET(A$1,,,SUMPRODUCT(MAX(ROW(E$2:E1003)*(E1003=E$2:E1003)))))-COUNTBLANK(OFFSET(A$1,,,SUMPRODUCT(MAX(ROW(E$1:E1002)*(E2=E$1:E1002))))))</f>
        <v> </v>
      </c>
      <c r="K1003" s="26" t="str">
        <f>IF(OR(E1003="",E1003="!!!",F1003="NEW"),"",INDEX(J$1:J1002,SUMPRODUCT(MAX(ROW(E$1:E1002)*(E1003=E$1:E1002)))))</f>
        <v> </v>
      </c>
      <c r="L1003" s="27"/>
    </row>
    <row r="1004" spans="1:12">
      <c r="A1004" s="20" t="s">
        <v>307</v>
      </c>
      <c r="E1004" s="22">
        <f>IF(D1004="?OLD","!!!","")</f>
        <v/>
      </c>
      <c r="F1004" s="23" t="str">
        <f>IF(OR(E1004="",E1004="!!!"),"",IF(NOT(ISNA(VLOOKUP(E1004,E$1:E1003,1,FALSE()))),"OLD",IF(AND(E1004&lt;&gt;"",E1004&lt;&gt;"!!!"),"NEW","")))</f>
        <v> </v>
      </c>
      <c r="G1004" s="24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5" t="str">
        <f>IF(J1004&lt;&gt;1,"",IF(I1004="SBJ","CB","?"))</f>
        <v> </v>
      </c>
      <c r="I1004" s="26" t="str">
        <f>IF(OR(E1004="",E1004="!!!",F1004="NEW"),"",INDEX(B1003:B$2,-1+SUMPRODUCT(MAX(ROW(E1003:E$2)*(E1004=E1003:E$2)))))</f>
        <v> </v>
      </c>
      <c r="J1004" s="26" t="str">
        <f>IF(OR(E1004="",E1004="!!!",F1004="NEW"),"",COUNTBLANK(OFFSET(A$1,,,SUMPRODUCT(MAX(ROW(E$2:E1004)*(E1004=E$2:E1004)))))-COUNTBLANK(OFFSET(A$1,,,SUMPRODUCT(MAX(ROW(E$1:E1003)*(E2=E$1:E1003))))))</f>
        <v> </v>
      </c>
      <c r="K1004" s="26" t="str">
        <f>IF(OR(E1004="",E1004="!!!",F1004="NEW"),"",INDEX(J$1:J1003,SUMPRODUCT(MAX(ROW(E$1:E1003)*(E1004=E$1:E1003)))))</f>
        <v> </v>
      </c>
      <c r="L1004" s="27"/>
    </row>
    <row r="1005" spans="1:12">
      <c r="A1005" s="20" t="s">
        <v>617</v>
      </c>
      <c r="E1005" s="22">
        <f>IF(D1005="?OLD","!!!","")</f>
        <v/>
      </c>
      <c r="F1005" s="23" t="str">
        <f>IF(OR(E1005="",E1005="!!!"),"",IF(NOT(ISNA(VLOOKUP(E1005,E$1:E1004,1,FALSE()))),"OLD",IF(AND(E1005&lt;&gt;"",E1005&lt;&gt;"!!!"),"NEW","")))</f>
        <v> </v>
      </c>
      <c r="G1005" s="24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5" t="str">
        <f>IF(J1005&lt;&gt;1,"",IF(I1005="SBJ","CB","?"))</f>
        <v> </v>
      </c>
      <c r="I1005" s="26" t="str">
        <f>IF(OR(E1005="",E1005="!!!",F1005="NEW"),"",INDEX(B1004:B$2,-1+SUMPRODUCT(MAX(ROW(E1004:E$2)*(E1005=E1004:E$2)))))</f>
        <v> </v>
      </c>
      <c r="J1005" s="26" t="str">
        <f>IF(OR(E1005="",E1005="!!!",F1005="NEW"),"",COUNTBLANK(OFFSET(A$1,,,SUMPRODUCT(MAX(ROW(E$2:E1005)*(E1005=E$2:E1005)))))-COUNTBLANK(OFFSET(A$1,,,SUMPRODUCT(MAX(ROW(E$1:E1004)*(E2=E$1:E1004))))))</f>
        <v> </v>
      </c>
      <c r="K1005" s="26" t="str">
        <f>IF(OR(E1005="",E1005="!!!",F1005="NEW"),"",INDEX(J$1:J1004,SUMPRODUCT(MAX(ROW(E$1:E1004)*(E1005=E$1:E1004)))))</f>
        <v> </v>
      </c>
      <c r="L1005" s="27"/>
    </row>
    <row r="1006" spans="1:12">
      <c r="A1006" s="20" t="s">
        <v>618</v>
      </c>
      <c r="B1006" s="21" t="s">
        <v>366</v>
      </c>
      <c r="C1006" s="21" t="s">
        <v>175</v>
      </c>
      <c r="E1006" s="22">
        <f>IF(D1006="?OLD","!!!","")</f>
        <v/>
      </c>
      <c r="F1006" s="23" t="str">
        <f>IF(OR(E1006="",E1006="!!!"),"",IF(NOT(ISNA(VLOOKUP(E1006,E$1:E1005,1,FALSE()))),"OLD",IF(AND(E1006&lt;&gt;"",E1006&lt;&gt;"!!!"),"NEW","")))</f>
        <v> </v>
      </c>
      <c r="G1006" s="24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5" t="str">
        <f>IF(J1006&lt;&gt;1,"",IF(I1006="SBJ","CB","?"))</f>
        <v> </v>
      </c>
      <c r="I1006" s="26" t="str">
        <f>IF(OR(E1006="",E1006="!!!",F1006="NEW"),"",INDEX(B1005:B$2,-1+SUMPRODUCT(MAX(ROW(E1005:E$2)*(E1006=E1005:E$2)))))</f>
        <v> </v>
      </c>
      <c r="J1006" s="26" t="str">
        <f>IF(OR(E1006="",E1006="!!!",F1006="NEW"),"",COUNTBLANK(OFFSET(A$1,,,SUMPRODUCT(MAX(ROW(E$2:E1006)*(E1006=E$2:E1006)))))-COUNTBLANK(OFFSET(A$1,,,SUMPRODUCT(MAX(ROW(E$1:E1005)*(E2=E$1:E1005))))))</f>
        <v> </v>
      </c>
      <c r="K1006" s="26" t="str">
        <f>IF(OR(E1006="",E1006="!!!",F1006="NEW"),"",INDEX(J$1:J1005,SUMPRODUCT(MAX(ROW(E$1:E1005)*(E1006=E$1:E1005)))))</f>
        <v> </v>
      </c>
      <c r="L1006" s="27"/>
    </row>
    <row r="1007" spans="1:12">
      <c r="A1007" s="20" t="s">
        <v>619</v>
      </c>
      <c r="E1007" s="22">
        <f>IF(D1007="?OLD","!!!","")</f>
        <v/>
      </c>
      <c r="F1007" s="23" t="str">
        <f>IF(OR(E1007="",E1007="!!!"),"",IF(NOT(ISNA(VLOOKUP(E1007,E$1:E1006,1,FALSE()))),"OLD",IF(AND(E1007&lt;&gt;"",E1007&lt;&gt;"!!!"),"NEW","")))</f>
        <v> </v>
      </c>
      <c r="G1007" s="24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5" t="str">
        <f>IF(J1007&lt;&gt;1,"",IF(I1007="SBJ","CB","?"))</f>
        <v> </v>
      </c>
      <c r="I1007" s="26" t="str">
        <f>IF(OR(E1007="",E1007="!!!",F1007="NEW"),"",INDEX(B1006:B$2,-1+SUMPRODUCT(MAX(ROW(E1006:E$2)*(E1007=E1006:E$2)))))</f>
        <v> </v>
      </c>
      <c r="J1007" s="26" t="str">
        <f>IF(OR(E1007="",E1007="!!!",F1007="NEW"),"",COUNTBLANK(OFFSET(A$1,,,SUMPRODUCT(MAX(ROW(E$2:E1007)*(E1007=E$2:E1007)))))-COUNTBLANK(OFFSET(A$1,,,SUMPRODUCT(MAX(ROW(E$1:E1006)*(E2=E$1:E1006))))))</f>
        <v> </v>
      </c>
      <c r="K1007" s="26" t="str">
        <f>IF(OR(E1007="",E1007="!!!",F1007="NEW"),"",INDEX(J$1:J1006,SUMPRODUCT(MAX(ROW(E$1:E1006)*(E1007=E$1:E1006)))))</f>
        <v> </v>
      </c>
      <c r="L1007" s="27"/>
    </row>
    <row r="1008" spans="1:12">
      <c r="A1008" s="20" t="s">
        <v>193</v>
      </c>
      <c r="E1008" s="22">
        <f>IF(D1008="?OLD","!!!","")</f>
        <v/>
      </c>
      <c r="F1008" s="23" t="str">
        <f>IF(OR(E1008="",E1008="!!!"),"",IF(NOT(ISNA(VLOOKUP(E1008,E$1:E1007,1,FALSE()))),"OLD",IF(AND(E1008&lt;&gt;"",E1008&lt;&gt;"!!!"),"NEW","")))</f>
        <v> </v>
      </c>
      <c r="G1008" s="24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5" t="str">
        <f>IF(J1008&lt;&gt;1,"",IF(I1008="SBJ","CB","?"))</f>
        <v> </v>
      </c>
      <c r="I1008" s="26" t="str">
        <f>IF(OR(E1008="",E1008="!!!",F1008="NEW"),"",INDEX(B1007:B$2,-1+SUMPRODUCT(MAX(ROW(E1007:E$2)*(E1008=E1007:E$2)))))</f>
        <v> </v>
      </c>
      <c r="J1008" s="26" t="str">
        <f>IF(OR(E1008="",E1008="!!!",F1008="NEW"),"",COUNTBLANK(OFFSET(A$1,,,SUMPRODUCT(MAX(ROW(E$2:E1008)*(E1008=E$2:E1008)))))-COUNTBLANK(OFFSET(A$1,,,SUMPRODUCT(MAX(ROW(E$1:E1007)*(E2=E$1:E1007))))))</f>
        <v> </v>
      </c>
      <c r="K1008" s="26" t="str">
        <f>IF(OR(E1008="",E1008="!!!",F1008="NEW"),"",INDEX(J$1:J1007,SUMPRODUCT(MAX(ROW(E$1:E1007)*(E1008=E$1:E1007)))))</f>
        <v> </v>
      </c>
      <c r="L1008" s="27"/>
    </row>
    <row r="1009" spans="1:12">
      <c r="A1009" s="20" t="s">
        <v>620</v>
      </c>
      <c r="E1009" s="22">
        <f>IF(D1009="?OLD","!!!","")</f>
        <v/>
      </c>
      <c r="F1009" s="23" t="str">
        <f>IF(OR(E1009="",E1009="!!!"),"",IF(NOT(ISNA(VLOOKUP(E1009,E$1:E1008,1,FALSE()))),"OLD",IF(AND(E1009&lt;&gt;"",E1009&lt;&gt;"!!!"),"NEW","")))</f>
        <v> </v>
      </c>
      <c r="G1009" s="24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5" t="str">
        <f>IF(J1009&lt;&gt;1,"",IF(I1009="SBJ","CB","?"))</f>
        <v> </v>
      </c>
      <c r="I1009" s="26" t="str">
        <f>IF(OR(E1009="",E1009="!!!",F1009="NEW"),"",INDEX(B1008:B$2,-1+SUMPRODUCT(MAX(ROW(E1008:E$2)*(E1009=E1008:E$2)))))</f>
        <v> </v>
      </c>
      <c r="J1009" s="26" t="str">
        <f>IF(OR(E1009="",E1009="!!!",F1009="NEW"),"",COUNTBLANK(OFFSET(A$1,,,SUMPRODUCT(MAX(ROW(E$2:E1009)*(E1009=E$2:E1009)))))-COUNTBLANK(OFFSET(A$1,,,SUMPRODUCT(MAX(ROW(E$1:E1008)*(E2=E$1:E1008))))))</f>
        <v> </v>
      </c>
      <c r="K1009" s="26" t="str">
        <f>IF(OR(E1009="",E1009="!!!",F1009="NEW"),"",INDEX(J$1:J1008,SUMPRODUCT(MAX(ROW(E$1:E1008)*(E1009=E$1:E1008)))))</f>
        <v> </v>
      </c>
      <c r="L1009" s="27"/>
    </row>
    <row r="1010" spans="1:12">
      <c r="A1010" s="20" t="s">
        <v>183</v>
      </c>
      <c r="B1010" s="21" t="s">
        <v>195</v>
      </c>
      <c r="C1010" s="21" t="s">
        <v>185</v>
      </c>
      <c r="D1010" s="21" t="s">
        <v>168</v>
      </c>
      <c r="E1010" s="22">
        <f>IF(D1010="?OLD","!!!","")</f>
        <v/>
      </c>
      <c r="F1010" s="23" t="str">
        <f>IF(OR(E1010="",E1010="!!!"),"",IF(NOT(ISNA(VLOOKUP(E1010,E$1:E1009,1,FALSE()))),"OLD",IF(AND(E1010&lt;&gt;"",E1010&lt;&gt;"!!!"),"NEW","")))</f>
        <v> </v>
      </c>
      <c r="G1010" s="24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5" t="str">
        <f>IF(J1010&lt;&gt;1,"",IF(I1010="SBJ","CB","?"))</f>
        <v> </v>
      </c>
      <c r="I1010" s="26" t="str">
        <f>IF(OR(E1010="",E1010="!!!",F1010="NEW"),"",INDEX(B1009:B$2,-1+SUMPRODUCT(MAX(ROW(E1009:E$2)*(E1010=E1009:E$2)))))</f>
        <v> </v>
      </c>
      <c r="J1010" s="26" t="str">
        <f>IF(OR(E1010="",E1010="!!!",F1010="NEW"),"",COUNTBLANK(OFFSET(A$1,,,SUMPRODUCT(MAX(ROW(E$2:E1010)*(E1010=E$2:E1010)))))-COUNTBLANK(OFFSET(A$1,,,SUMPRODUCT(MAX(ROW(E$1:E1009)*(E2=E$1:E1009))))))</f>
        <v> </v>
      </c>
      <c r="K1010" s="26" t="str">
        <f>IF(OR(E1010="",E1010="!!!",F1010="NEW"),"",INDEX(J$1:J1009,SUMPRODUCT(MAX(ROW(E$1:E1009)*(E1010=E$1:E1009)))))</f>
        <v> </v>
      </c>
      <c r="L1010" s="27"/>
    </row>
    <row r="1011" spans="1:12">
      <c r="A1011" s="20" t="s">
        <v>237</v>
      </c>
      <c r="E1011" s="22">
        <f>IF(D1011="?OLD","!!!","")</f>
        <v/>
      </c>
      <c r="F1011" s="23" t="str">
        <f>IF(OR(E1011="",E1011="!!!"),"",IF(NOT(ISNA(VLOOKUP(E1011,E$1:E1010,1,FALSE()))),"OLD",IF(AND(E1011&lt;&gt;"",E1011&lt;&gt;"!!!"),"NEW","")))</f>
        <v> </v>
      </c>
      <c r="G1011" s="24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5" t="str">
        <f>IF(J1011&lt;&gt;1,"",IF(I1011="SBJ","CB","?"))</f>
        <v> </v>
      </c>
      <c r="I1011" s="26" t="str">
        <f>IF(OR(E1011="",E1011="!!!",F1011="NEW"),"",INDEX(B1010:B$2,-1+SUMPRODUCT(MAX(ROW(E1010:E$2)*(E1011=E1010:E$2)))))</f>
        <v> </v>
      </c>
      <c r="J1011" s="26" t="str">
        <f>IF(OR(E1011="",E1011="!!!",F1011="NEW"),"",COUNTBLANK(OFFSET(A$1,,,SUMPRODUCT(MAX(ROW(E$2:E1011)*(E1011=E$2:E1011)))))-COUNTBLANK(OFFSET(A$1,,,SUMPRODUCT(MAX(ROW(E$1:E1010)*(E2=E$1:E1010))))))</f>
        <v> </v>
      </c>
      <c r="K1011" s="26" t="str">
        <f>IF(OR(E1011="",E1011="!!!",F1011="NEW"),"",INDEX(J$1:J1010,SUMPRODUCT(MAX(ROW(E$1:E1010)*(E1011=E$1:E1010)))))</f>
        <v> </v>
      </c>
      <c r="L1011" s="27"/>
    </row>
    <row r="1012" spans="1:12">
      <c r="A1012" s="20" t="s">
        <v>238</v>
      </c>
      <c r="E1012" s="22">
        <f>IF(D1012="?OLD","!!!","")</f>
        <v/>
      </c>
      <c r="F1012" s="23" t="str">
        <f>IF(OR(E1012="",E1012="!!!"),"",IF(NOT(ISNA(VLOOKUP(E1012,E$1:E1011,1,FALSE()))),"OLD",IF(AND(E1012&lt;&gt;"",E1012&lt;&gt;"!!!"),"NEW","")))</f>
        <v> </v>
      </c>
      <c r="G1012" s="24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5" t="str">
        <f>IF(J1012&lt;&gt;1,"",IF(I1012="SBJ","CB","?"))</f>
        <v> </v>
      </c>
      <c r="I1012" s="26" t="str">
        <f>IF(OR(E1012="",E1012="!!!",F1012="NEW"),"",INDEX(B1011:B$2,-1+SUMPRODUCT(MAX(ROW(E1011:E$2)*(E1012=E1011:E$2)))))</f>
        <v> </v>
      </c>
      <c r="J1012" s="26" t="str">
        <f>IF(OR(E1012="",E1012="!!!",F1012="NEW"),"",COUNTBLANK(OFFSET(A$1,,,SUMPRODUCT(MAX(ROW(E$2:E1012)*(E1012=E$2:E1012)))))-COUNTBLANK(OFFSET(A$1,,,SUMPRODUCT(MAX(ROW(E$1:E1011)*(E2=E$1:E1011))))))</f>
        <v> </v>
      </c>
      <c r="K1012" s="26" t="str">
        <f>IF(OR(E1012="",E1012="!!!",F1012="NEW"),"",INDEX(J$1:J1011,SUMPRODUCT(MAX(ROW(E$1:E1011)*(E1012=E$1:E1011)))))</f>
        <v> </v>
      </c>
      <c r="L1012" s="27"/>
    </row>
    <row r="1013" spans="1:12">
      <c r="A1013" s="20" t="s">
        <v>239</v>
      </c>
      <c r="B1013" s="21" t="s">
        <v>199</v>
      </c>
      <c r="C1013" s="21" t="s">
        <v>219</v>
      </c>
      <c r="E1013" s="22">
        <f>IF(D1013="?OLD","!!!","")</f>
        <v/>
      </c>
      <c r="F1013" s="23" t="str">
        <f>IF(OR(E1013="",E1013="!!!"),"",IF(NOT(ISNA(VLOOKUP(E1013,E$1:E1012,1,FALSE()))),"OLD",IF(AND(E1013&lt;&gt;"",E1013&lt;&gt;"!!!"),"NEW","")))</f>
        <v> </v>
      </c>
      <c r="G1013" s="24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5" t="str">
        <f>IF(J1013&lt;&gt;1,"",IF(I1013="SBJ","CB","?"))</f>
        <v> </v>
      </c>
      <c r="I1013" s="26" t="str">
        <f>IF(OR(E1013="",E1013="!!!",F1013="NEW"),"",INDEX(B1012:B$2,-1+SUMPRODUCT(MAX(ROW(E1012:E$2)*(E1013=E1012:E$2)))))</f>
        <v> </v>
      </c>
      <c r="J1013" s="26" t="str">
        <f>IF(OR(E1013="",E1013="!!!",F1013="NEW"),"",COUNTBLANK(OFFSET(A$1,,,SUMPRODUCT(MAX(ROW(E$2:E1013)*(E1013=E$2:E1013)))))-COUNTBLANK(OFFSET(A$1,,,SUMPRODUCT(MAX(ROW(E$1:E1012)*(E2=E$1:E1012))))))</f>
        <v> </v>
      </c>
      <c r="K1013" s="26" t="str">
        <f>IF(OR(E1013="",E1013="!!!",F1013="NEW"),"",INDEX(J$1:J1012,SUMPRODUCT(MAX(ROW(E$1:E1012)*(E1013=E$1:E1012)))))</f>
        <v> </v>
      </c>
      <c r="L1013" s="27"/>
    </row>
    <row r="1014" spans="1:12">
      <c r="A1014" s="20" t="s">
        <v>303</v>
      </c>
      <c r="E1014" s="22">
        <f>IF(D1014="?OLD","!!!","")</f>
        <v/>
      </c>
      <c r="F1014" s="23" t="str">
        <f>IF(OR(E1014="",E1014="!!!"),"",IF(NOT(ISNA(VLOOKUP(E1014,E$1:E1013,1,FALSE()))),"OLD",IF(AND(E1014&lt;&gt;"",E1014&lt;&gt;"!!!"),"NEW","")))</f>
        <v> </v>
      </c>
      <c r="G1014" s="24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5" t="str">
        <f>IF(J1014&lt;&gt;1,"",IF(I1014="SBJ","CB","?"))</f>
        <v> </v>
      </c>
      <c r="I1014" s="26" t="str">
        <f>IF(OR(E1014="",E1014="!!!",F1014="NEW"),"",INDEX(B1013:B$2,-1+SUMPRODUCT(MAX(ROW(E1013:E$2)*(E1014=E1013:E$2)))))</f>
        <v> </v>
      </c>
      <c r="J1014" s="26" t="str">
        <f>IF(OR(E1014="",E1014="!!!",F1014="NEW"),"",COUNTBLANK(OFFSET(A$1,,,SUMPRODUCT(MAX(ROW(E$2:E1014)*(E1014=E$2:E1014)))))-COUNTBLANK(OFFSET(A$1,,,SUMPRODUCT(MAX(ROW(E$1:E1013)*(E2=E$1:E1013))))))</f>
        <v> </v>
      </c>
      <c r="K1014" s="26" t="str">
        <f>IF(OR(E1014="",E1014="!!!",F1014="NEW"),"",INDEX(J$1:J1013,SUMPRODUCT(MAX(ROW(E$1:E1013)*(E1014=E$1:E1013)))))</f>
        <v> </v>
      </c>
      <c r="L1014" s="27"/>
    </row>
    <row r="1015" spans="1:12">
      <c r="A1015" s="20" t="s">
        <v>621</v>
      </c>
      <c r="B1015" s="21" t="s">
        <v>209</v>
      </c>
      <c r="C1015" s="21" t="s">
        <v>189</v>
      </c>
      <c r="D1015" s="21" t="s">
        <v>168</v>
      </c>
      <c r="E1015" s="22">
        <f>IF(D1015="?OLD","!!!","")</f>
        <v/>
      </c>
      <c r="F1015" s="23" t="str">
        <f>IF(OR(E1015="",E1015="!!!"),"",IF(NOT(ISNA(VLOOKUP(E1015,E$1:E1014,1,FALSE()))),"OLD",IF(AND(E1015&lt;&gt;"",E1015&lt;&gt;"!!!"),"NEW","")))</f>
        <v> </v>
      </c>
      <c r="G1015" s="24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5" t="str">
        <f>IF(J1015&lt;&gt;1,"",IF(I1015="SBJ","CB","?"))</f>
        <v> </v>
      </c>
      <c r="I1015" s="26" t="str">
        <f>IF(OR(E1015="",E1015="!!!",F1015="NEW"),"",INDEX(B1014:B$2,-1+SUMPRODUCT(MAX(ROW(E1014:E$2)*(E1015=E1014:E$2)))))</f>
        <v> </v>
      </c>
      <c r="J1015" s="26" t="str">
        <f>IF(OR(E1015="",E1015="!!!",F1015="NEW"),"",COUNTBLANK(OFFSET(A$1,,,SUMPRODUCT(MAX(ROW(E$2:E1015)*(E1015=E$2:E1015)))))-COUNTBLANK(OFFSET(A$1,,,SUMPRODUCT(MAX(ROW(E$1:E1014)*(E2=E$1:E1014))))))</f>
        <v> </v>
      </c>
      <c r="K1015" s="26" t="str">
        <f>IF(OR(E1015="",E1015="!!!",F1015="NEW"),"",INDEX(J$1:J1014,SUMPRODUCT(MAX(ROW(E$1:E1014)*(E1015=E$1:E1014)))))</f>
        <v> </v>
      </c>
      <c r="L1015" s="27"/>
    </row>
    <row r="1016" spans="1:12">
      <c r="A1016" s="20" t="s">
        <v>622</v>
      </c>
      <c r="E1016" s="22">
        <f>IF(D1016="?OLD","!!!","")</f>
        <v/>
      </c>
      <c r="F1016" s="23" t="str">
        <f>IF(OR(E1016="",E1016="!!!"),"",IF(NOT(ISNA(VLOOKUP(E1016,E$1:E1015,1,FALSE()))),"OLD",IF(AND(E1016&lt;&gt;"",E1016&lt;&gt;"!!!"),"NEW","")))</f>
        <v> </v>
      </c>
      <c r="G1016" s="24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5" t="str">
        <f>IF(J1016&lt;&gt;1,"",IF(I1016="SBJ","CB","?"))</f>
        <v> </v>
      </c>
      <c r="I1016" s="26" t="str">
        <f>IF(OR(E1016="",E1016="!!!",F1016="NEW"),"",INDEX(B1015:B$2,-1+SUMPRODUCT(MAX(ROW(E1015:E$2)*(E1016=E1015:E$2)))))</f>
        <v> </v>
      </c>
      <c r="J1016" s="26" t="str">
        <f>IF(OR(E1016="",E1016="!!!",F1016="NEW"),"",COUNTBLANK(OFFSET(A$1,,,SUMPRODUCT(MAX(ROW(E$2:E1016)*(E1016=E$2:E1016)))))-COUNTBLANK(OFFSET(A$1,,,SUMPRODUCT(MAX(ROW(E$1:E1015)*(E2=E$1:E1015))))))</f>
        <v> </v>
      </c>
      <c r="K1016" s="26" t="str">
        <f>IF(OR(E1016="",E1016="!!!",F1016="NEW"),"",INDEX(J$1:J1015,SUMPRODUCT(MAX(ROW(E$1:E1015)*(E1016=E$1:E1015)))))</f>
        <v> </v>
      </c>
      <c r="L1016" s="27"/>
    </row>
    <row r="1017" spans="1:12">
      <c r="A1017" s="20" t="s">
        <v>606</v>
      </c>
      <c r="B1017" s="21" t="s">
        <v>180</v>
      </c>
      <c r="C1017" s="21" t="s">
        <v>175</v>
      </c>
      <c r="E1017" s="22">
        <f>IF(D1017="?OLD","!!!","")</f>
        <v/>
      </c>
      <c r="F1017" s="23" t="str">
        <f>IF(OR(E1017="",E1017="!!!"),"",IF(NOT(ISNA(VLOOKUP(E1017,E$1:E1016,1,FALSE()))),"OLD",IF(AND(E1017&lt;&gt;"",E1017&lt;&gt;"!!!"),"NEW","")))</f>
        <v> </v>
      </c>
      <c r="G1017" s="24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5" t="str">
        <f>IF(J1017&lt;&gt;1,"",IF(I1017="SBJ","CB","?"))</f>
        <v> </v>
      </c>
      <c r="I1017" s="26" t="str">
        <f>IF(OR(E1017="",E1017="!!!",F1017="NEW"),"",INDEX(B1016:B$2,-1+SUMPRODUCT(MAX(ROW(E1016:E$2)*(E1017=E1016:E$2)))))</f>
        <v> </v>
      </c>
      <c r="J1017" s="26" t="str">
        <f>IF(OR(E1017="",E1017="!!!",F1017="NEW"),"",COUNTBLANK(OFFSET(A$1,,,SUMPRODUCT(MAX(ROW(E$2:E1017)*(E1017=E$2:E1017)))))-COUNTBLANK(OFFSET(A$1,,,SUMPRODUCT(MAX(ROW(E$1:E1016)*(E2=E$1:E1016))))))</f>
        <v> </v>
      </c>
      <c r="K1017" s="26" t="str">
        <f>IF(OR(E1017="",E1017="!!!",F1017="NEW"),"",INDEX(J$1:J1016,SUMPRODUCT(MAX(ROW(E$1:E1016)*(E1017=E$1:E1016)))))</f>
        <v> </v>
      </c>
      <c r="L1017" s="27"/>
    </row>
    <row r="1018" spans="1:12">
      <c r="A1018" s="20" t="s">
        <v>220</v>
      </c>
      <c r="E1018" s="22">
        <f>IF(D1018="?OLD","!!!","")</f>
        <v/>
      </c>
      <c r="F1018" s="23" t="str">
        <f>IF(OR(E1018="",E1018="!!!"),"",IF(NOT(ISNA(VLOOKUP(E1018,E$1:E1017,1,FALSE()))),"OLD",IF(AND(E1018&lt;&gt;"",E1018&lt;&gt;"!!!"),"NEW","")))</f>
        <v> </v>
      </c>
      <c r="G1018" s="24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5" t="str">
        <f>IF(J1018&lt;&gt;1,"",IF(I1018="SBJ","CB","?"))</f>
        <v> </v>
      </c>
      <c r="I1018" s="26" t="str">
        <f>IF(OR(E1018="",E1018="!!!",F1018="NEW"),"",INDEX(B1017:B$2,-1+SUMPRODUCT(MAX(ROW(E1017:E$2)*(E1018=E1017:E$2)))))</f>
        <v> </v>
      </c>
      <c r="J1018" s="26" t="str">
        <f>IF(OR(E1018="",E1018="!!!",F1018="NEW"),"",COUNTBLANK(OFFSET(A$1,,,SUMPRODUCT(MAX(ROW(E$2:E1018)*(E1018=E$2:E1018)))))-COUNTBLANK(OFFSET(A$1,,,SUMPRODUCT(MAX(ROW(E$1:E1017)*(E2=E$1:E1017))))))</f>
        <v> </v>
      </c>
      <c r="K1018" s="26" t="str">
        <f>IF(OR(E1018="",E1018="!!!",F1018="NEW"),"",INDEX(J$1:J1017,SUMPRODUCT(MAX(ROW(E$1:E1017)*(E1018=E$1:E1017)))))</f>
        <v> </v>
      </c>
      <c r="L1018" s="27"/>
    </row>
    <row r="1019" spans="1:12">
      <c r="A1019" s="20"/>
    </row>
    <row r="1020" spans="1:12">
      <c r="A1020" s="20" t="s">
        <v>623</v>
      </c>
    </row>
    <row r="1021" spans="1:12">
      <c r="A1021" s="20" t="s">
        <v>624</v>
      </c>
      <c r="E1021" s="22">
        <f>IF(D1021="?OLD","!!!","")</f>
        <v/>
      </c>
      <c r="F1021" s="23" t="str">
        <f>IF(OR(E1021="",E1021="!!!"),"",IF(NOT(ISNA(VLOOKUP(E1021,E$1:E1020,1,FALSE()))),"OLD",IF(AND(E1021&lt;&gt;"",E1021&lt;&gt;"!!!"),"NEW","")))</f>
        <v> </v>
      </c>
      <c r="G1021" s="24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5" t="str">
        <f>IF(J1021&lt;&gt;1,"",IF(I1021="SBJ","CB","?"))</f>
        <v> </v>
      </c>
      <c r="I1021" s="26" t="str">
        <f>IF(OR(E1021="",E1021="!!!",F1021="NEW"),"",INDEX(B1020:B$2,-1+SUMPRODUCT(MAX(ROW(E1020:E$2)*(E1021=E1020:E$2)))))</f>
        <v> </v>
      </c>
      <c r="J1021" s="26" t="str">
        <f>IF(OR(E1021="",E1021="!!!",F1021="NEW"),"",COUNTBLANK(OFFSET(A$1,,,SUMPRODUCT(MAX(ROW(E$2:E1021)*(E1021=E$2:E1021)))))-COUNTBLANK(OFFSET(A$1,,,SUMPRODUCT(MAX(ROW(E$1:E1020)*(E2=E$1:E1020))))))</f>
        <v> </v>
      </c>
      <c r="K1021" s="26" t="str">
        <f>IF(OR(E1021="",E1021="!!!",F1021="NEW"),"",INDEX(J$1:J1020,SUMPRODUCT(MAX(ROW(E$1:E1020)*(E1021=E$1:E1020)))))</f>
        <v> </v>
      </c>
      <c r="L1021" s="27"/>
    </row>
    <row r="1022" spans="1:12">
      <c r="A1022" s="20" t="s">
        <v>341</v>
      </c>
      <c r="E1022" s="22">
        <f>IF(D1022="?OLD","!!!","")</f>
        <v/>
      </c>
      <c r="F1022" s="23" t="str">
        <f>IF(OR(E1022="",E1022="!!!"),"",IF(NOT(ISNA(VLOOKUP(E1022,E$1:E1021,1,FALSE()))),"OLD",IF(AND(E1022&lt;&gt;"",E1022&lt;&gt;"!!!"),"NEW","")))</f>
        <v> </v>
      </c>
      <c r="G1022" s="24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5" t="str">
        <f>IF(J1022&lt;&gt;1,"",IF(I1022="SBJ","CB","?"))</f>
        <v> </v>
      </c>
      <c r="I1022" s="26" t="str">
        <f>IF(OR(E1022="",E1022="!!!",F1022="NEW"),"",INDEX(B1021:B$2,-1+SUMPRODUCT(MAX(ROW(E1021:E$2)*(E1022=E1021:E$2)))))</f>
        <v> </v>
      </c>
      <c r="J1022" s="26" t="str">
        <f>IF(OR(E1022="",E1022="!!!",F1022="NEW"),"",COUNTBLANK(OFFSET(A$1,,,SUMPRODUCT(MAX(ROW(E$2:E1022)*(E1022=E$2:E1022)))))-COUNTBLANK(OFFSET(A$1,,,SUMPRODUCT(MAX(ROW(E$1:E1021)*(E2=E$1:E1021))))))</f>
        <v> </v>
      </c>
      <c r="K1022" s="26" t="str">
        <f>IF(OR(E1022="",E1022="!!!",F1022="NEW"),"",INDEX(J$1:J1021,SUMPRODUCT(MAX(ROW(E$1:E1021)*(E1022=E$1:E1021)))))</f>
        <v> </v>
      </c>
      <c r="L1022" s="27"/>
    </row>
    <row r="1023" spans="1:12">
      <c r="A1023" s="20" t="s">
        <v>183</v>
      </c>
      <c r="B1023" s="21" t="s">
        <v>195</v>
      </c>
      <c r="C1023" s="21" t="s">
        <v>185</v>
      </c>
      <c r="D1023" s="21" t="s">
        <v>168</v>
      </c>
      <c r="E1023" s="22">
        <f>IF(D1023="?OLD","!!!","")</f>
        <v/>
      </c>
      <c r="F1023" s="23" t="str">
        <f>IF(OR(E1023="",E1023="!!!"),"",IF(NOT(ISNA(VLOOKUP(E1023,E$1:E1022,1,FALSE()))),"OLD",IF(AND(E1023&lt;&gt;"",E1023&lt;&gt;"!!!"),"NEW","")))</f>
        <v> </v>
      </c>
      <c r="G1023" s="24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5" t="str">
        <f>IF(J1023&lt;&gt;1,"",IF(I1023="SBJ","CB","?"))</f>
        <v> </v>
      </c>
      <c r="I1023" s="26" t="str">
        <f>IF(OR(E1023="",E1023="!!!",F1023="NEW"),"",INDEX(B1022:B$2,-1+SUMPRODUCT(MAX(ROW(E1022:E$2)*(E1023=E1022:E$2)))))</f>
        <v> </v>
      </c>
      <c r="J1023" s="26" t="str">
        <f>IF(OR(E1023="",E1023="!!!",F1023="NEW"),"",COUNTBLANK(OFFSET(A$1,,,SUMPRODUCT(MAX(ROW(E$2:E1023)*(E1023=E$2:E1023)))))-COUNTBLANK(OFFSET(A$1,,,SUMPRODUCT(MAX(ROW(E$1:E1022)*(E2=E$1:E1022))))))</f>
        <v> </v>
      </c>
      <c r="K1023" s="26" t="str">
        <f>IF(OR(E1023="",E1023="!!!",F1023="NEW"),"",INDEX(J$1:J1022,SUMPRODUCT(MAX(ROW(E$1:E1022)*(E1023=E$1:E1022)))))</f>
        <v> </v>
      </c>
      <c r="L1023" s="27"/>
    </row>
    <row r="1024" spans="1:12">
      <c r="A1024" s="20" t="s">
        <v>187</v>
      </c>
      <c r="E1024" s="22">
        <f>IF(D1024="?OLD","!!!","")</f>
        <v/>
      </c>
      <c r="F1024" s="23" t="str">
        <f>IF(OR(E1024="",E1024="!!!"),"",IF(NOT(ISNA(VLOOKUP(E1024,E$1:E1023,1,FALSE()))),"OLD",IF(AND(E1024&lt;&gt;"",E1024&lt;&gt;"!!!"),"NEW","")))</f>
        <v> </v>
      </c>
      <c r="G1024" s="24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5" t="str">
        <f>IF(J1024&lt;&gt;1,"",IF(I1024="SBJ","CB","?"))</f>
        <v> </v>
      </c>
      <c r="I1024" s="26" t="str">
        <f>IF(OR(E1024="",E1024="!!!",F1024="NEW"),"",INDEX(B1023:B$2,-1+SUMPRODUCT(MAX(ROW(E1023:E$2)*(E1024=E1023:E$2)))))</f>
        <v> </v>
      </c>
      <c r="J1024" s="26" t="str">
        <f>IF(OR(E1024="",E1024="!!!",F1024="NEW"),"",COUNTBLANK(OFFSET(A$1,,,SUMPRODUCT(MAX(ROW(E$2:E1024)*(E1024=E$2:E1024)))))-COUNTBLANK(OFFSET(A$1,,,SUMPRODUCT(MAX(ROW(E$1:E1023)*(E2=E$1:E1023))))))</f>
        <v> </v>
      </c>
      <c r="K1024" s="26" t="str">
        <f>IF(OR(E1024="",E1024="!!!",F1024="NEW"),"",INDEX(J$1:J1023,SUMPRODUCT(MAX(ROW(E$1:E1023)*(E1024=E$1:E1023)))))</f>
        <v> </v>
      </c>
      <c r="L1024" s="27"/>
    </row>
    <row r="1025" spans="1:12">
      <c r="A1025" s="20" t="s">
        <v>625</v>
      </c>
      <c r="B1025" s="21" t="s">
        <v>199</v>
      </c>
      <c r="C1025" s="21" t="s">
        <v>189</v>
      </c>
      <c r="D1025" s="21" t="s">
        <v>168</v>
      </c>
      <c r="E1025" s="22">
        <f>IF(D1025="?OLD","!!!","")</f>
        <v/>
      </c>
      <c r="F1025" s="23" t="str">
        <f>IF(OR(E1025="",E1025="!!!"),"",IF(NOT(ISNA(VLOOKUP(E1025,E$1:E1024,1,FALSE()))),"OLD",IF(AND(E1025&lt;&gt;"",E1025&lt;&gt;"!!!"),"NEW","")))</f>
        <v> </v>
      </c>
      <c r="G1025" s="24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5" t="str">
        <f>IF(J1025&lt;&gt;1,"",IF(I1025="SBJ","CB","?"))</f>
        <v> </v>
      </c>
      <c r="I1025" s="26" t="str">
        <f>IF(OR(E1025="",E1025="!!!",F1025="NEW"),"",INDEX(B1024:B$2,-1+SUMPRODUCT(MAX(ROW(E1024:E$2)*(E1025=E1024:E$2)))))</f>
        <v> </v>
      </c>
      <c r="J1025" s="26" t="str">
        <f>IF(OR(E1025="",E1025="!!!",F1025="NEW"),"",COUNTBLANK(OFFSET(A$1,,,SUMPRODUCT(MAX(ROW(E$2:E1025)*(E1025=E$2:E1025)))))-COUNTBLANK(OFFSET(A$1,,,SUMPRODUCT(MAX(ROW(E$1:E1024)*(E2=E$1:E1024))))))</f>
        <v> </v>
      </c>
      <c r="K1025" s="26" t="str">
        <f>IF(OR(E1025="",E1025="!!!",F1025="NEW"),"",INDEX(J$1:J1024,SUMPRODUCT(MAX(ROW(E$1:E1024)*(E1025=E$1:E1024)))))</f>
        <v> </v>
      </c>
      <c r="L1025" s="27"/>
    </row>
    <row r="1026" spans="1:12">
      <c r="A1026" s="20" t="s">
        <v>193</v>
      </c>
      <c r="E1026" s="22">
        <f>IF(D1026="?OLD","!!!","")</f>
        <v/>
      </c>
      <c r="F1026" s="23" t="str">
        <f>IF(OR(E1026="",E1026="!!!"),"",IF(NOT(ISNA(VLOOKUP(E1026,E$1:E1025,1,FALSE()))),"OLD",IF(AND(E1026&lt;&gt;"",E1026&lt;&gt;"!!!"),"NEW","")))</f>
        <v> </v>
      </c>
      <c r="G1026" s="24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5" t="str">
        <f>IF(J1026&lt;&gt;1,"",IF(I1026="SBJ","CB","?"))</f>
        <v> </v>
      </c>
      <c r="I1026" s="26" t="str">
        <f>IF(OR(E1026="",E1026="!!!",F1026="NEW"),"",INDEX(B1025:B$2,-1+SUMPRODUCT(MAX(ROW(E1025:E$2)*(E1026=E1025:E$2)))))</f>
        <v> </v>
      </c>
      <c r="J1026" s="26" t="str">
        <f>IF(OR(E1026="",E1026="!!!",F1026="NEW"),"",COUNTBLANK(OFFSET(A$1,,,SUMPRODUCT(MAX(ROW(E$2:E1026)*(E1026=E$2:E1026)))))-COUNTBLANK(OFFSET(A$1,,,SUMPRODUCT(MAX(ROW(E$1:E1025)*(E2=E$1:E1025))))))</f>
        <v> </v>
      </c>
      <c r="K1026" s="26" t="str">
        <f>IF(OR(E1026="",E1026="!!!",F1026="NEW"),"",INDEX(J$1:J1025,SUMPRODUCT(MAX(ROW(E$1:E1025)*(E1026=E$1:E1025)))))</f>
        <v> </v>
      </c>
      <c r="L1026" s="27"/>
    </row>
    <row r="1027" spans="1:12">
      <c r="A1027" s="20" t="s">
        <v>626</v>
      </c>
      <c r="B1027" s="21" t="s">
        <v>180</v>
      </c>
      <c r="C1027" s="21" t="s">
        <v>175</v>
      </c>
      <c r="E1027" s="22">
        <f>IF(D1027="?OLD","!!!","")</f>
        <v/>
      </c>
      <c r="F1027" s="23" t="str">
        <f>IF(OR(E1027="",E1027="!!!"),"",IF(NOT(ISNA(VLOOKUP(E1027,E$1:E1026,1,FALSE()))),"OLD",IF(AND(E1027&lt;&gt;"",E1027&lt;&gt;"!!!"),"NEW","")))</f>
        <v> </v>
      </c>
      <c r="G1027" s="24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5" t="str">
        <f>IF(J1027&lt;&gt;1,"",IF(I1027="SBJ","CB","?"))</f>
        <v> </v>
      </c>
      <c r="I1027" s="26" t="str">
        <f>IF(OR(E1027="",E1027="!!!",F1027="NEW"),"",INDEX(B1026:B$2,-1+SUMPRODUCT(MAX(ROW(E1026:E$2)*(E1027=E1026:E$2)))))</f>
        <v> </v>
      </c>
      <c r="J1027" s="26" t="str">
        <f>IF(OR(E1027="",E1027="!!!",F1027="NEW"),"",COUNTBLANK(OFFSET(A$1,,,SUMPRODUCT(MAX(ROW(E$2:E1027)*(E1027=E$2:E1027)))))-COUNTBLANK(OFFSET(A$1,,,SUMPRODUCT(MAX(ROW(E$1:E1026)*(E2=E$1:E1026))))))</f>
        <v> </v>
      </c>
      <c r="K1027" s="26" t="str">
        <f>IF(OR(E1027="",E1027="!!!",F1027="NEW"),"",INDEX(J$1:J1026,SUMPRODUCT(MAX(ROW(E$1:E1026)*(E1027=E$1:E1026)))))</f>
        <v> </v>
      </c>
      <c r="L1027" s="27"/>
    </row>
    <row r="1028" spans="1:12">
      <c r="A1028" s="20" t="s">
        <v>203</v>
      </c>
      <c r="E1028" s="22">
        <f>IF(D1028="?OLD","!!!","")</f>
        <v/>
      </c>
      <c r="F1028" s="23" t="str">
        <f>IF(OR(E1028="",E1028="!!!"),"",IF(NOT(ISNA(VLOOKUP(E1028,E$1:E1027,1,FALSE()))),"OLD",IF(AND(E1028&lt;&gt;"",E1028&lt;&gt;"!!!"),"NEW","")))</f>
        <v> </v>
      </c>
      <c r="G1028" s="24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5" t="str">
        <f>IF(J1028&lt;&gt;1,"",IF(I1028="SBJ","CB","?"))</f>
        <v> </v>
      </c>
      <c r="I1028" s="26" t="str">
        <f>IF(OR(E1028="",E1028="!!!",F1028="NEW"),"",INDEX(B1027:B$2,-1+SUMPRODUCT(MAX(ROW(E1027:E$2)*(E1028=E1027:E$2)))))</f>
        <v> </v>
      </c>
      <c r="J1028" s="26" t="str">
        <f>IF(OR(E1028="",E1028="!!!",F1028="NEW"),"",COUNTBLANK(OFFSET(A$1,,,SUMPRODUCT(MAX(ROW(E$2:E1028)*(E1028=E$2:E1028)))))-COUNTBLANK(OFFSET(A$1,,,SUMPRODUCT(MAX(ROW(E$1:E1027)*(E2=E$1:E1027))))))</f>
        <v> </v>
      </c>
      <c r="K1028" s="26" t="str">
        <f>IF(OR(E1028="",E1028="!!!",F1028="NEW"),"",INDEX(J$1:J1027,SUMPRODUCT(MAX(ROW(E$1:E1027)*(E1028=E$1:E1027)))))</f>
        <v> </v>
      </c>
      <c r="L1028" s="27"/>
    </row>
    <row r="1029" spans="1:12">
      <c r="A1029" s="20" t="s">
        <v>627</v>
      </c>
      <c r="E1029" s="22">
        <f>IF(D1029="?OLD","!!!","")</f>
        <v/>
      </c>
      <c r="F1029" s="23" t="str">
        <f>IF(OR(E1029="",E1029="!!!"),"",IF(NOT(ISNA(VLOOKUP(E1029,E$1:E1028,1,FALSE()))),"OLD",IF(AND(E1029&lt;&gt;"",E1029&lt;&gt;"!!!"),"NEW","")))</f>
        <v> </v>
      </c>
      <c r="G1029" s="24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5" t="str">
        <f>IF(J1029&lt;&gt;1,"",IF(I1029="SBJ","CB","?"))</f>
        <v> </v>
      </c>
      <c r="I1029" s="26" t="str">
        <f>IF(OR(E1029="",E1029="!!!",F1029="NEW"),"",INDEX(B1028:B$2,-1+SUMPRODUCT(MAX(ROW(E1028:E$2)*(E1029=E1028:E$2)))))</f>
        <v> </v>
      </c>
      <c r="J1029" s="26" t="str">
        <f>IF(OR(E1029="",E1029="!!!",F1029="NEW"),"",COUNTBLANK(OFFSET(A$1,,,SUMPRODUCT(MAX(ROW(E$2:E1029)*(E1029=E$2:E1029)))))-COUNTBLANK(OFFSET(A$1,,,SUMPRODUCT(MAX(ROW(E$1:E1028)*(E2=E$1:E1028))))))</f>
        <v> </v>
      </c>
      <c r="K1029" s="26" t="str">
        <f>IF(OR(E1029="",E1029="!!!",F1029="NEW"),"",INDEX(J$1:J1028,SUMPRODUCT(MAX(ROW(E$1:E1028)*(E1029=E$1:E1028)))))</f>
        <v> </v>
      </c>
      <c r="L1029" s="27"/>
    </row>
    <row r="1030" spans="1:12">
      <c r="A1030" s="20" t="s">
        <v>193</v>
      </c>
      <c r="E1030" s="22">
        <f>IF(D1030="?OLD","!!!","")</f>
        <v/>
      </c>
      <c r="F1030" s="23" t="str">
        <f>IF(OR(E1030="",E1030="!!!"),"",IF(NOT(ISNA(VLOOKUP(E1030,E$1:E1029,1,FALSE()))),"OLD",IF(AND(E1030&lt;&gt;"",E1030&lt;&gt;"!!!"),"NEW","")))</f>
        <v> </v>
      </c>
      <c r="G1030" s="24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5" t="str">
        <f>IF(J1030&lt;&gt;1,"",IF(I1030="SBJ","CB","?"))</f>
        <v> </v>
      </c>
      <c r="I1030" s="26" t="str">
        <f>IF(OR(E1030="",E1030="!!!",F1030="NEW"),"",INDEX(B1029:B$2,-1+SUMPRODUCT(MAX(ROW(E1029:E$2)*(E1030=E1029:E$2)))))</f>
        <v> </v>
      </c>
      <c r="J1030" s="26" t="str">
        <f>IF(OR(E1030="",E1030="!!!",F1030="NEW"),"",COUNTBLANK(OFFSET(A$1,,,SUMPRODUCT(MAX(ROW(E$2:E1030)*(E1030=E$2:E1030)))))-COUNTBLANK(OFFSET(A$1,,,SUMPRODUCT(MAX(ROW(E$1:E1029)*(E2=E$1:E1029))))))</f>
        <v> </v>
      </c>
      <c r="K1030" s="26" t="str">
        <f>IF(OR(E1030="",E1030="!!!",F1030="NEW"),"",INDEX(J$1:J1029,SUMPRODUCT(MAX(ROW(E$1:E1029)*(E1030=E$1:E1029)))))</f>
        <v> </v>
      </c>
      <c r="L1030" s="27"/>
    </row>
    <row r="1031" spans="1:12">
      <c r="A1031" s="20" t="s">
        <v>187</v>
      </c>
      <c r="B1031" s="21" t="s">
        <v>184</v>
      </c>
      <c r="E1031" s="22">
        <f>IF(D1031="?OLD","!!!","")</f>
        <v/>
      </c>
      <c r="F1031" s="23" t="str">
        <f>IF(OR(E1031="",E1031="!!!"),"",IF(NOT(ISNA(VLOOKUP(E1031,E$1:E1030,1,FALSE()))),"OLD",IF(AND(E1031&lt;&gt;"",E1031&lt;&gt;"!!!"),"NEW","")))</f>
        <v> </v>
      </c>
      <c r="G1031" s="24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5" t="str">
        <f>IF(J1031&lt;&gt;1,"",IF(I1031="SBJ","CB","?"))</f>
        <v> </v>
      </c>
      <c r="I1031" s="26" t="str">
        <f>IF(OR(E1031="",E1031="!!!",F1031="NEW"),"",INDEX(B1030:B$2,-1+SUMPRODUCT(MAX(ROW(E1030:E$2)*(E1031=E1030:E$2)))))</f>
        <v> </v>
      </c>
      <c r="J1031" s="26" t="str">
        <f>IF(OR(E1031="",E1031="!!!",F1031="NEW"),"",COUNTBLANK(OFFSET(A$1,,,SUMPRODUCT(MAX(ROW(E$2:E1031)*(E1031=E$2:E1031)))))-COUNTBLANK(OFFSET(A$1,,,SUMPRODUCT(MAX(ROW(E$1:E1030)*(E2=E$1:E1030))))))</f>
        <v> </v>
      </c>
      <c r="K1031" s="26" t="str">
        <f>IF(OR(E1031="",E1031="!!!",F1031="NEW"),"",INDEX(J$1:J1030,SUMPRODUCT(MAX(ROW(E$1:E1030)*(E1031=E$1:E1030)))))</f>
        <v> </v>
      </c>
      <c r="L1031" s="27"/>
    </row>
    <row r="1032" spans="1:12">
      <c r="A1032" s="20" t="s">
        <v>628</v>
      </c>
      <c r="B1032" s="21" t="s">
        <v>191</v>
      </c>
      <c r="C1032" s="21" t="s">
        <v>254</v>
      </c>
      <c r="D1032" s="21" t="s">
        <v>168</v>
      </c>
      <c r="E1032" s="22">
        <f>IF(D1032="?OLD","!!!","")</f>
        <v/>
      </c>
      <c r="F1032" s="23" t="str">
        <f>IF(OR(E1032="",E1032="!!!"),"",IF(NOT(ISNA(VLOOKUP(E1032,E$1:E1031,1,FALSE()))),"OLD",IF(AND(E1032&lt;&gt;"",E1032&lt;&gt;"!!!"),"NEW","")))</f>
        <v> </v>
      </c>
      <c r="G1032" s="24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5" t="str">
        <f>IF(J1032&lt;&gt;1,"",IF(I1032="SBJ","CB","?"))</f>
        <v> </v>
      </c>
      <c r="I1032" s="26" t="str">
        <f>IF(OR(E1032="",E1032="!!!",F1032="NEW"),"",INDEX(B1031:B$2,-1+SUMPRODUCT(MAX(ROW(E1031:E$2)*(E1032=E1031:E$2)))))</f>
        <v> </v>
      </c>
      <c r="J1032" s="26" t="str">
        <f>IF(OR(E1032="",E1032="!!!",F1032="NEW"),"",COUNTBLANK(OFFSET(A$1,,,SUMPRODUCT(MAX(ROW(E$2:E1032)*(E1032=E$2:E1032)))))-COUNTBLANK(OFFSET(A$1,,,SUMPRODUCT(MAX(ROW(E$1:E1031)*(E2=E$1:E1031))))))</f>
        <v> </v>
      </c>
      <c r="K1032" s="26" t="str">
        <f>IF(OR(E1032="",E1032="!!!",F1032="NEW"),"",INDEX(J$1:J1031,SUMPRODUCT(MAX(ROW(E$1:E1031)*(E1032=E$1:E1031)))))</f>
        <v> </v>
      </c>
      <c r="L1032" s="27"/>
    </row>
    <row r="1033" spans="1:12">
      <c r="A1033" s="20" t="s">
        <v>561</v>
      </c>
      <c r="B1033" s="21" t="s">
        <v>265</v>
      </c>
      <c r="C1033" s="21" t="s">
        <v>175</v>
      </c>
      <c r="E1033" s="22">
        <f>IF(D1033="?OLD","!!!","")</f>
        <v/>
      </c>
      <c r="F1033" s="23" t="str">
        <f>IF(OR(E1033="",E1033="!!!"),"",IF(NOT(ISNA(VLOOKUP(E1033,E$1:E1032,1,FALSE()))),"OLD",IF(AND(E1033&lt;&gt;"",E1033&lt;&gt;"!!!"),"NEW","")))</f>
        <v> </v>
      </c>
      <c r="G1033" s="24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5" t="str">
        <f>IF(J1033&lt;&gt;1,"",IF(I1033="SBJ","CB","?"))</f>
        <v> </v>
      </c>
      <c r="I1033" s="26" t="str">
        <f>IF(OR(E1033="",E1033="!!!",F1033="NEW"),"",INDEX(B1032:B$2,-1+SUMPRODUCT(MAX(ROW(E1032:E$2)*(E1033=E1032:E$2)))))</f>
        <v> </v>
      </c>
      <c r="J1033" s="26" t="str">
        <f>IF(OR(E1033="",E1033="!!!",F1033="NEW"),"",COUNTBLANK(OFFSET(A$1,,,SUMPRODUCT(MAX(ROW(E$2:E1033)*(E1033=E$2:E1033)))))-COUNTBLANK(OFFSET(A$1,,,SUMPRODUCT(MAX(ROW(E$1:E1032)*(E2=E$1:E1032))))))</f>
        <v> </v>
      </c>
      <c r="K1033" s="26" t="str">
        <f>IF(OR(E1033="",E1033="!!!",F1033="NEW"),"",INDEX(J$1:J1032,SUMPRODUCT(MAX(ROW(E$1:E1032)*(E1033=E$1:E1032)))))</f>
        <v> </v>
      </c>
      <c r="L1033" s="27"/>
    </row>
    <row r="1034" spans="1:12">
      <c r="A1034" s="20" t="s">
        <v>178</v>
      </c>
      <c r="E1034" s="22">
        <f>IF(D1034="?OLD","!!!","")</f>
        <v/>
      </c>
      <c r="F1034" s="23" t="str">
        <f>IF(OR(E1034="",E1034="!!!"),"",IF(NOT(ISNA(VLOOKUP(E1034,E$1:E1033,1,FALSE()))),"OLD",IF(AND(E1034&lt;&gt;"",E1034&lt;&gt;"!!!"),"NEW","")))</f>
        <v> </v>
      </c>
      <c r="G1034" s="24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5" t="str">
        <f>IF(J1034&lt;&gt;1,"",IF(I1034="SBJ","CB","?"))</f>
        <v> </v>
      </c>
      <c r="I1034" s="26" t="str">
        <f>IF(OR(E1034="",E1034="!!!",F1034="NEW"),"",INDEX(B1033:B$2,-1+SUMPRODUCT(MAX(ROW(E1033:E$2)*(E1034=E1033:E$2)))))</f>
        <v> </v>
      </c>
      <c r="J1034" s="26" t="str">
        <f>IF(OR(E1034="",E1034="!!!",F1034="NEW"),"",COUNTBLANK(OFFSET(A$1,,,SUMPRODUCT(MAX(ROW(E$2:E1034)*(E1034=E$2:E1034)))))-COUNTBLANK(OFFSET(A$1,,,SUMPRODUCT(MAX(ROW(E$1:E1033)*(E2=E$1:E1033))))))</f>
        <v> </v>
      </c>
      <c r="K1034" s="26" t="str">
        <f>IF(OR(E1034="",E1034="!!!",F1034="NEW"),"",INDEX(J$1:J1033,SUMPRODUCT(MAX(ROW(E$1:E1033)*(E1034=E$1:E1033)))))</f>
        <v> </v>
      </c>
      <c r="L1034" s="27"/>
    </row>
    <row r="1035" spans="1:12">
      <c r="A1035" s="20" t="s">
        <v>324</v>
      </c>
      <c r="E1035" s="22">
        <f>IF(D1035="?OLD","!!!","")</f>
        <v/>
      </c>
      <c r="F1035" s="23" t="str">
        <f>IF(OR(E1035="",E1035="!!!"),"",IF(NOT(ISNA(VLOOKUP(E1035,E$1:E1034,1,FALSE()))),"OLD",IF(AND(E1035&lt;&gt;"",E1035&lt;&gt;"!!!"),"NEW","")))</f>
        <v> </v>
      </c>
      <c r="G1035" s="24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5" t="str">
        <f>IF(J1035&lt;&gt;1,"",IF(I1035="SBJ","CB","?"))</f>
        <v> </v>
      </c>
      <c r="I1035" s="26" t="str">
        <f>IF(OR(E1035="",E1035="!!!",F1035="NEW"),"",INDEX(B1034:B$2,-1+SUMPRODUCT(MAX(ROW(E1034:E$2)*(E1035=E1034:E$2)))))</f>
        <v> </v>
      </c>
      <c r="J1035" s="26" t="str">
        <f>IF(OR(E1035="",E1035="!!!",F1035="NEW"),"",COUNTBLANK(OFFSET(A$1,,,SUMPRODUCT(MAX(ROW(E$2:E1035)*(E1035=E$2:E1035)))))-COUNTBLANK(OFFSET(A$1,,,SUMPRODUCT(MAX(ROW(E$1:E1034)*(E2=E$1:E1034))))))</f>
        <v> </v>
      </c>
      <c r="K1035" s="26" t="str">
        <f>IF(OR(E1035="",E1035="!!!",F1035="NEW"),"",INDEX(J$1:J1034,SUMPRODUCT(MAX(ROW(E$1:E1034)*(E1035=E$1:E1034)))))</f>
        <v> </v>
      </c>
      <c r="L1035" s="27"/>
    </row>
    <row r="1036" spans="1:12">
      <c r="A1036" s="20" t="s">
        <v>434</v>
      </c>
      <c r="E1036" s="22">
        <f>IF(D1036="?OLD","!!!","")</f>
        <v/>
      </c>
      <c r="F1036" s="23" t="str">
        <f>IF(OR(E1036="",E1036="!!!"),"",IF(NOT(ISNA(VLOOKUP(E1036,E$1:E1035,1,FALSE()))),"OLD",IF(AND(E1036&lt;&gt;"",E1036&lt;&gt;"!!!"),"NEW","")))</f>
        <v> </v>
      </c>
      <c r="G1036" s="24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5" t="str">
        <f>IF(J1036&lt;&gt;1,"",IF(I1036="SBJ","CB","?"))</f>
        <v> </v>
      </c>
      <c r="I1036" s="26" t="str">
        <f>IF(OR(E1036="",E1036="!!!",F1036="NEW"),"",INDEX(B1035:B$2,-1+SUMPRODUCT(MAX(ROW(E1035:E$2)*(E1036=E1035:E$2)))))</f>
        <v> </v>
      </c>
      <c r="J1036" s="26" t="str">
        <f>IF(OR(E1036="",E1036="!!!",F1036="NEW"),"",COUNTBLANK(OFFSET(A$1,,,SUMPRODUCT(MAX(ROW(E$2:E1036)*(E1036=E$2:E1036)))))-COUNTBLANK(OFFSET(A$1,,,SUMPRODUCT(MAX(ROW(E$1:E1035)*(E2=E$1:E1035))))))</f>
        <v> </v>
      </c>
      <c r="K1036" s="26" t="str">
        <f>IF(OR(E1036="",E1036="!!!",F1036="NEW"),"",INDEX(J$1:J1035,SUMPRODUCT(MAX(ROW(E$1:E1035)*(E1036=E$1:E1035)))))</f>
        <v> </v>
      </c>
      <c r="L1036" s="27"/>
    </row>
    <row r="1037" spans="1:12">
      <c r="A1037" s="20" t="s">
        <v>239</v>
      </c>
      <c r="B1037" s="21" t="s">
        <v>180</v>
      </c>
      <c r="C1037" s="21" t="s">
        <v>219</v>
      </c>
      <c r="E1037" s="22">
        <f>IF(D1037="?OLD","!!!","")</f>
        <v/>
      </c>
      <c r="F1037" s="23" t="str">
        <f>IF(OR(E1037="",E1037="!!!"),"",IF(NOT(ISNA(VLOOKUP(E1037,E$1:E1036,1,FALSE()))),"OLD",IF(AND(E1037&lt;&gt;"",E1037&lt;&gt;"!!!"),"NEW","")))</f>
        <v> </v>
      </c>
      <c r="G1037" s="24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5" t="str">
        <f>IF(J1037&lt;&gt;1,"",IF(I1037="SBJ","CB","?"))</f>
        <v> </v>
      </c>
      <c r="I1037" s="26" t="str">
        <f>IF(OR(E1037="",E1037="!!!",F1037="NEW"),"",INDEX(B1036:B$2,-1+SUMPRODUCT(MAX(ROW(E1036:E$2)*(E1037=E1036:E$2)))))</f>
        <v> </v>
      </c>
      <c r="J1037" s="26" t="str">
        <f>IF(OR(E1037="",E1037="!!!",F1037="NEW"),"",COUNTBLANK(OFFSET(A$1,,,SUMPRODUCT(MAX(ROW(E$2:E1037)*(E1037=E$2:E1037)))))-COUNTBLANK(OFFSET(A$1,,,SUMPRODUCT(MAX(ROW(E$1:E1036)*(E2=E$1:E1036))))))</f>
        <v> </v>
      </c>
      <c r="K1037" s="26" t="str">
        <f>IF(OR(E1037="",E1037="!!!",F1037="NEW"),"",INDEX(J$1:J1036,SUMPRODUCT(MAX(ROW(E$1:E1036)*(E1037=E$1:E1036)))))</f>
        <v> </v>
      </c>
      <c r="L1037" s="27"/>
    </row>
    <row r="1038" spans="1:12">
      <c r="A1038" s="20" t="s">
        <v>629</v>
      </c>
      <c r="E1038" s="22">
        <f>IF(D1038="?OLD","!!!","")</f>
        <v/>
      </c>
      <c r="F1038" s="23" t="str">
        <f>IF(OR(E1038="",E1038="!!!"),"",IF(NOT(ISNA(VLOOKUP(E1038,E$1:E1037,1,FALSE()))),"OLD",IF(AND(E1038&lt;&gt;"",E1038&lt;&gt;"!!!"),"NEW","")))</f>
        <v> </v>
      </c>
      <c r="G1038" s="24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5" t="str">
        <f>IF(J1038&lt;&gt;1,"",IF(I1038="SBJ","CB","?"))</f>
        <v> </v>
      </c>
      <c r="I1038" s="26" t="str">
        <f>IF(OR(E1038="",E1038="!!!",F1038="NEW"),"",INDEX(B1037:B$2,-1+SUMPRODUCT(MAX(ROW(E1037:E$2)*(E1038=E1037:E$2)))))</f>
        <v> </v>
      </c>
      <c r="J1038" s="26" t="str">
        <f>IF(OR(E1038="",E1038="!!!",F1038="NEW"),"",COUNTBLANK(OFFSET(A$1,,,SUMPRODUCT(MAX(ROW(E$2:E1038)*(E1038=E$2:E1038)))))-COUNTBLANK(OFFSET(A$1,,,SUMPRODUCT(MAX(ROW(E$1:E1037)*(E2=E$1:E1037))))))</f>
        <v> </v>
      </c>
      <c r="K1038" s="26" t="str">
        <f>IF(OR(E1038="",E1038="!!!",F1038="NEW"),"",INDEX(J$1:J1037,SUMPRODUCT(MAX(ROW(E$1:E1037)*(E1038=E$1:E1037)))))</f>
        <v> </v>
      </c>
      <c r="L1038" s="27"/>
    </row>
    <row r="1039" spans="1:12">
      <c r="A1039" s="20" t="s">
        <v>220</v>
      </c>
      <c r="E1039" s="22">
        <f>IF(D1039="?OLD","!!!","")</f>
        <v/>
      </c>
      <c r="F1039" s="23" t="str">
        <f>IF(OR(E1039="",E1039="!!!"),"",IF(NOT(ISNA(VLOOKUP(E1039,E$1:E1038,1,FALSE()))),"OLD",IF(AND(E1039&lt;&gt;"",E1039&lt;&gt;"!!!"),"NEW","")))</f>
        <v> </v>
      </c>
      <c r="G1039" s="24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5" t="str">
        <f>IF(J1039&lt;&gt;1,"",IF(I1039="SBJ","CB","?"))</f>
        <v> </v>
      </c>
      <c r="I1039" s="26" t="str">
        <f>IF(OR(E1039="",E1039="!!!",F1039="NEW"),"",INDEX(B1038:B$2,-1+SUMPRODUCT(MAX(ROW(E1038:E$2)*(E1039=E1038:E$2)))))</f>
        <v> </v>
      </c>
      <c r="J1039" s="26" t="str">
        <f>IF(OR(E1039="",E1039="!!!",F1039="NEW"),"",COUNTBLANK(OFFSET(A$1,,,SUMPRODUCT(MAX(ROW(E$2:E1039)*(E1039=E$2:E1039)))))-COUNTBLANK(OFFSET(A$1,,,SUMPRODUCT(MAX(ROW(E$1:E1038)*(E2=E$1:E1038))))))</f>
        <v> </v>
      </c>
      <c r="K1039" s="26" t="str">
        <f>IF(OR(E1039="",E1039="!!!",F1039="NEW"),"",INDEX(J$1:J1038,SUMPRODUCT(MAX(ROW(E$1:E1038)*(E1039=E$1:E1038)))))</f>
        <v> </v>
      </c>
      <c r="L1039" s="27"/>
    </row>
    <row r="1040" spans="1:12">
      <c r="A1040" s="20"/>
    </row>
    <row r="1041" spans="1:12">
      <c r="A1041" s="20" t="s">
        <v>630</v>
      </c>
    </row>
    <row r="1042" spans="1:12">
      <c r="A1042" s="20" t="s">
        <v>279</v>
      </c>
      <c r="B1042" s="21" t="s">
        <v>195</v>
      </c>
      <c r="C1042" s="21" t="s">
        <v>214</v>
      </c>
      <c r="D1042" s="21" t="s">
        <v>168</v>
      </c>
      <c r="E1042" s="22">
        <f>IF(D1042="?OLD","!!!","")</f>
        <v/>
      </c>
      <c r="F1042" s="23" t="str">
        <f>IF(OR(E1042="",E1042="!!!"),"",IF(NOT(ISNA(VLOOKUP(E1042,E$1:E1041,1,FALSE()))),"OLD",IF(AND(E1042&lt;&gt;"",E1042&lt;&gt;"!!!"),"NEW","")))</f>
        <v> </v>
      </c>
      <c r="G1042" s="24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5" t="str">
        <f>IF(J1042&lt;&gt;1,"",IF(I1042="SBJ","CB","?"))</f>
        <v> </v>
      </c>
      <c r="I1042" s="26" t="str">
        <f>IF(OR(E1042="",E1042="!!!",F1042="NEW"),"",INDEX(B1041:B$2,-1+SUMPRODUCT(MAX(ROW(E1041:E$2)*(E1042=E1041:E$2)))))</f>
        <v> </v>
      </c>
      <c r="J1042" s="26" t="str">
        <f>IF(OR(E1042="",E1042="!!!",F1042="NEW"),"",COUNTBLANK(OFFSET(A$1,,,SUMPRODUCT(MAX(ROW(E$2:E1042)*(E1042=E$2:E1042)))))-COUNTBLANK(OFFSET(A$1,,,SUMPRODUCT(MAX(ROW(E$1:E1041)*(E2=E$1:E1041))))))</f>
        <v> </v>
      </c>
      <c r="K1042" s="26" t="str">
        <f>IF(OR(E1042="",E1042="!!!",F1042="NEW"),"",INDEX(J$1:J1041,SUMPRODUCT(MAX(ROW(E$1:E1041)*(E1042=E$1:E1041)))))</f>
        <v> </v>
      </c>
      <c r="L1042" s="27"/>
    </row>
    <row r="1043" spans="1:12">
      <c r="A1043" s="20" t="s">
        <v>468</v>
      </c>
      <c r="E1043" s="22">
        <f>IF(D1043="?OLD","!!!","")</f>
        <v/>
      </c>
      <c r="F1043" s="23" t="str">
        <f>IF(OR(E1043="",E1043="!!!"),"",IF(NOT(ISNA(VLOOKUP(E1043,E$1:E1042,1,FALSE()))),"OLD",IF(AND(E1043&lt;&gt;"",E1043&lt;&gt;"!!!"),"NEW","")))</f>
        <v> </v>
      </c>
      <c r="G1043" s="24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5" t="str">
        <f>IF(J1043&lt;&gt;1,"",IF(I1043="SBJ","CB","?"))</f>
        <v> </v>
      </c>
      <c r="I1043" s="26" t="str">
        <f>IF(OR(E1043="",E1043="!!!",F1043="NEW"),"",INDEX(B1042:B$2,-1+SUMPRODUCT(MAX(ROW(E1042:E$2)*(E1043=E1042:E$2)))))</f>
        <v> </v>
      </c>
      <c r="J1043" s="26" t="str">
        <f>IF(OR(E1043="",E1043="!!!",F1043="NEW"),"",COUNTBLANK(OFFSET(A$1,,,SUMPRODUCT(MAX(ROW(E$2:E1043)*(E1043=E$2:E1043)))))-COUNTBLANK(OFFSET(A$1,,,SUMPRODUCT(MAX(ROW(E$1:E1042)*(E2=E$1:E1042))))))</f>
        <v> </v>
      </c>
      <c r="K1043" s="26" t="str">
        <f>IF(OR(E1043="",E1043="!!!",F1043="NEW"),"",INDEX(J$1:J1042,SUMPRODUCT(MAX(ROW(E$1:E1042)*(E1043=E$1:E1042)))))</f>
        <v> </v>
      </c>
      <c r="L1043" s="27"/>
    </row>
    <row r="1044" spans="1:12">
      <c r="A1044" s="20" t="s">
        <v>193</v>
      </c>
      <c r="E1044" s="22">
        <f>IF(D1044="?OLD","!!!","")</f>
        <v/>
      </c>
      <c r="F1044" s="23" t="str">
        <f>IF(OR(E1044="",E1044="!!!"),"",IF(NOT(ISNA(VLOOKUP(E1044,E$1:E1043,1,FALSE()))),"OLD",IF(AND(E1044&lt;&gt;"",E1044&lt;&gt;"!!!"),"NEW","")))</f>
        <v> </v>
      </c>
      <c r="G1044" s="24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5" t="str">
        <f>IF(J1044&lt;&gt;1,"",IF(I1044="SBJ","CB","?"))</f>
        <v> </v>
      </c>
      <c r="I1044" s="26" t="str">
        <f>IF(OR(E1044="",E1044="!!!",F1044="NEW"),"",INDEX(B1043:B$2,-1+SUMPRODUCT(MAX(ROW(E1043:E$2)*(E1044=E1043:E$2)))))</f>
        <v> </v>
      </c>
      <c r="J1044" s="26" t="str">
        <f>IF(OR(E1044="",E1044="!!!",F1044="NEW"),"",COUNTBLANK(OFFSET(A$1,,,SUMPRODUCT(MAX(ROW(E$2:E1044)*(E1044=E$2:E1044)))))-COUNTBLANK(OFFSET(A$1,,,SUMPRODUCT(MAX(ROW(E$1:E1043)*(E2=E$1:E1043))))))</f>
        <v> </v>
      </c>
      <c r="K1044" s="26" t="str">
        <f>IF(OR(E1044="",E1044="!!!",F1044="NEW"),"",INDEX(J$1:J1043,SUMPRODUCT(MAX(ROW(E$1:E1043)*(E1044=E$1:E1043)))))</f>
        <v> </v>
      </c>
      <c r="L1044" s="27"/>
    </row>
    <row r="1045" spans="1:12">
      <c r="A1045" s="20" t="s">
        <v>261</v>
      </c>
      <c r="E1045" s="22">
        <f>IF(D1045="?OLD","!!!","")</f>
        <v/>
      </c>
      <c r="F1045" s="23" t="str">
        <f>IF(OR(E1045="",E1045="!!!"),"",IF(NOT(ISNA(VLOOKUP(E1045,E$1:E1044,1,FALSE()))),"OLD",IF(AND(E1045&lt;&gt;"",E1045&lt;&gt;"!!!"),"NEW","")))</f>
        <v> </v>
      </c>
      <c r="G1045" s="24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5" t="str">
        <f>IF(J1045&lt;&gt;1,"",IF(I1045="SBJ","CB","?"))</f>
        <v> </v>
      </c>
      <c r="I1045" s="26" t="str">
        <f>IF(OR(E1045="",E1045="!!!",F1045="NEW"),"",INDEX(B1044:B$2,-1+SUMPRODUCT(MAX(ROW(E1044:E$2)*(E1045=E1044:E$2)))))</f>
        <v> </v>
      </c>
      <c r="J1045" s="26" t="str">
        <f>IF(OR(E1045="",E1045="!!!",F1045="NEW"),"",COUNTBLANK(OFFSET(A$1,,,SUMPRODUCT(MAX(ROW(E$2:E1045)*(E1045=E$2:E1045)))))-COUNTBLANK(OFFSET(A$1,,,SUMPRODUCT(MAX(ROW(E$1:E1044)*(E2=E$1:E1044))))))</f>
        <v> </v>
      </c>
      <c r="K1045" s="26" t="str">
        <f>IF(OR(E1045="",E1045="!!!",F1045="NEW"),"",INDEX(J$1:J1044,SUMPRODUCT(MAX(ROW(E$1:E1044)*(E1045=E$1:E1044)))))</f>
        <v> </v>
      </c>
      <c r="L1045" s="27"/>
    </row>
    <row r="1046" spans="1:12">
      <c r="A1046" s="20" t="s">
        <v>183</v>
      </c>
      <c r="B1046" s="21" t="s">
        <v>184</v>
      </c>
      <c r="C1046" s="21" t="s">
        <v>185</v>
      </c>
      <c r="D1046" s="21" t="s">
        <v>168</v>
      </c>
      <c r="E1046" s="22">
        <f>IF(D1046="?OLD","!!!","")</f>
        <v/>
      </c>
      <c r="F1046" s="23" t="str">
        <f>IF(OR(E1046="",E1046="!!!"),"",IF(NOT(ISNA(VLOOKUP(E1046,E$1:E1045,1,FALSE()))),"OLD",IF(AND(E1046&lt;&gt;"",E1046&lt;&gt;"!!!"),"NEW","")))</f>
        <v> </v>
      </c>
      <c r="G1046" s="24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5" t="str">
        <f>IF(J1046&lt;&gt;1,"",IF(I1046="SBJ","CB","?"))</f>
        <v> </v>
      </c>
      <c r="I1046" s="26" t="str">
        <f>IF(OR(E1046="",E1046="!!!",F1046="NEW"),"",INDEX(B1045:B$2,-1+SUMPRODUCT(MAX(ROW(E1045:E$2)*(E1046=E1045:E$2)))))</f>
        <v> </v>
      </c>
      <c r="J1046" s="26" t="str">
        <f>IF(OR(E1046="",E1046="!!!",F1046="NEW"),"",COUNTBLANK(OFFSET(A$1,,,SUMPRODUCT(MAX(ROW(E$2:E1046)*(E1046=E$2:E1046)))))-COUNTBLANK(OFFSET(A$1,,,SUMPRODUCT(MAX(ROW(E$1:E1045)*(E2=E$1:E1045))))))</f>
        <v> </v>
      </c>
      <c r="K1046" s="26" t="str">
        <f>IF(OR(E1046="",E1046="!!!",F1046="NEW"),"",INDEX(J$1:J1045,SUMPRODUCT(MAX(ROW(E$1:E1045)*(E1046=E$1:E1045)))))</f>
        <v> </v>
      </c>
      <c r="L1046" s="27"/>
    </row>
    <row r="1047" spans="1:12">
      <c r="A1047" s="20" t="s">
        <v>276</v>
      </c>
      <c r="B1047" s="21" t="s">
        <v>191</v>
      </c>
      <c r="C1047" s="21" t="s">
        <v>207</v>
      </c>
      <c r="D1047" s="21" t="s">
        <v>168</v>
      </c>
      <c r="E1047" s="22">
        <f>IF(D1047="?OLD","!!!","")</f>
        <v/>
      </c>
      <c r="F1047" s="23" t="str">
        <f>IF(OR(E1047="",E1047="!!!"),"",IF(NOT(ISNA(VLOOKUP(E1047,E$1:E1046,1,FALSE()))),"OLD",IF(AND(E1047&lt;&gt;"",E1047&lt;&gt;"!!!"),"NEW","")))</f>
        <v> </v>
      </c>
      <c r="G1047" s="24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5" t="str">
        <f>IF(J1047&lt;&gt;1,"",IF(I1047="SBJ","CB","?"))</f>
        <v> </v>
      </c>
      <c r="I1047" s="26" t="str">
        <f>IF(OR(E1047="",E1047="!!!",F1047="NEW"),"",INDEX(B1046:B$2,-1+SUMPRODUCT(MAX(ROW(E1046:E$2)*(E1047=E1046:E$2)))))</f>
        <v> </v>
      </c>
      <c r="J1047" s="26" t="str">
        <f>IF(OR(E1047="",E1047="!!!",F1047="NEW"),"",COUNTBLANK(OFFSET(A$1,,,SUMPRODUCT(MAX(ROW(E$2:E1047)*(E1047=E$2:E1047)))))-COUNTBLANK(OFFSET(A$1,,,SUMPRODUCT(MAX(ROW(E$1:E1046)*(E2=E$1:E1046))))))</f>
        <v> </v>
      </c>
      <c r="K1047" s="26" t="str">
        <f>IF(OR(E1047="",E1047="!!!",F1047="NEW"),"",INDEX(J$1:J1046,SUMPRODUCT(MAX(ROW(E$1:E1046)*(E1047=E$1:E1046)))))</f>
        <v> </v>
      </c>
      <c r="L1047" s="27"/>
    </row>
    <row r="1048" spans="1:12">
      <c r="A1048" s="20" t="s">
        <v>631</v>
      </c>
      <c r="B1048" s="21" t="s">
        <v>265</v>
      </c>
      <c r="C1048" s="21" t="s">
        <v>210</v>
      </c>
      <c r="D1048" s="21" t="s">
        <v>168</v>
      </c>
      <c r="E1048" s="22">
        <f>IF(D1048="?OLD","!!!","")</f>
        <v/>
      </c>
      <c r="F1048" s="23" t="str">
        <f>IF(OR(E1048="",E1048="!!!"),"",IF(NOT(ISNA(VLOOKUP(E1048,E$1:E1047,1,FALSE()))),"OLD",IF(AND(E1048&lt;&gt;"",E1048&lt;&gt;"!!!"),"NEW","")))</f>
        <v> </v>
      </c>
      <c r="G1048" s="24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5" t="str">
        <f>IF(J1048&lt;&gt;1,"",IF(I1048="SBJ","CB","?"))</f>
        <v> </v>
      </c>
      <c r="I1048" s="26" t="str">
        <f>IF(OR(E1048="",E1048="!!!",F1048="NEW"),"",INDEX(B1047:B$2,-1+SUMPRODUCT(MAX(ROW(E1047:E$2)*(E1048=E1047:E$2)))))</f>
        <v> </v>
      </c>
      <c r="J1048" s="26" t="str">
        <f>IF(OR(E1048="",E1048="!!!",F1048="NEW"),"",COUNTBLANK(OFFSET(A$1,,,SUMPRODUCT(MAX(ROW(E$2:E1048)*(E1048=E$2:E1048)))))-COUNTBLANK(OFFSET(A$1,,,SUMPRODUCT(MAX(ROW(E$1:E1047)*(E2=E$1:E1047))))))</f>
        <v> </v>
      </c>
      <c r="K1048" s="26" t="str">
        <f>IF(OR(E1048="",E1048="!!!",F1048="NEW"),"",INDEX(J$1:J1047,SUMPRODUCT(MAX(ROW(E$1:E1047)*(E1048=E$1:E1047)))))</f>
        <v> </v>
      </c>
      <c r="L1048" s="27"/>
    </row>
    <row r="1049" spans="1:12">
      <c r="A1049" s="20" t="s">
        <v>341</v>
      </c>
      <c r="E1049" s="22">
        <f>IF(D1049="?OLD","!!!","")</f>
        <v/>
      </c>
      <c r="F1049" s="23" t="str">
        <f>IF(OR(E1049="",E1049="!!!"),"",IF(NOT(ISNA(VLOOKUP(E1049,E$1:E1048,1,FALSE()))),"OLD",IF(AND(E1049&lt;&gt;"",E1049&lt;&gt;"!!!"),"NEW","")))</f>
        <v> </v>
      </c>
      <c r="G1049" s="24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5" t="str">
        <f>IF(J1049&lt;&gt;1,"",IF(I1049="SBJ","CB","?"))</f>
        <v> </v>
      </c>
      <c r="I1049" s="26" t="str">
        <f>IF(OR(E1049="",E1049="!!!",F1049="NEW"),"",INDEX(B1048:B$2,-1+SUMPRODUCT(MAX(ROW(E1048:E$2)*(E1049=E1048:E$2)))))</f>
        <v> </v>
      </c>
      <c r="J1049" s="26" t="str">
        <f>IF(OR(E1049="",E1049="!!!",F1049="NEW"),"",COUNTBLANK(OFFSET(A$1,,,SUMPRODUCT(MAX(ROW(E$2:E1049)*(E1049=E$2:E1049)))))-COUNTBLANK(OFFSET(A$1,,,SUMPRODUCT(MAX(ROW(E$1:E1048)*(E2=E$1:E1048))))))</f>
        <v> </v>
      </c>
      <c r="K1049" s="26" t="str">
        <f>IF(OR(E1049="",E1049="!!!",F1049="NEW"),"",INDEX(J$1:J1048,SUMPRODUCT(MAX(ROW(E$1:E1048)*(E1049=E$1:E1048)))))</f>
        <v> </v>
      </c>
      <c r="L1049" s="27"/>
    </row>
    <row r="1050" spans="1:12">
      <c r="A1050" s="20" t="s">
        <v>220</v>
      </c>
      <c r="E1050" s="22">
        <f>IF(D1050="?OLD","!!!","")</f>
        <v/>
      </c>
      <c r="F1050" s="23" t="str">
        <f>IF(OR(E1050="",E1050="!!!"),"",IF(NOT(ISNA(VLOOKUP(E1050,E$1:E1049,1,FALSE()))),"OLD",IF(AND(E1050&lt;&gt;"",E1050&lt;&gt;"!!!"),"NEW","")))</f>
        <v> </v>
      </c>
      <c r="G1050" s="24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5" t="str">
        <f>IF(J1050&lt;&gt;1,"",IF(I1050="SBJ","CB","?"))</f>
        <v> </v>
      </c>
      <c r="I1050" s="26" t="str">
        <f>IF(OR(E1050="",E1050="!!!",F1050="NEW"),"",INDEX(B1049:B$2,-1+SUMPRODUCT(MAX(ROW(E1049:E$2)*(E1050=E1049:E$2)))))</f>
        <v> </v>
      </c>
      <c r="J1050" s="26" t="str">
        <f>IF(OR(E1050="",E1050="!!!",F1050="NEW"),"",COUNTBLANK(OFFSET(A$1,,,SUMPRODUCT(MAX(ROW(E$2:E1050)*(E1050=E$2:E1050)))))-COUNTBLANK(OFFSET(A$1,,,SUMPRODUCT(MAX(ROW(E$1:E1049)*(E2=E$1:E1049))))))</f>
        <v> </v>
      </c>
      <c r="K1050" s="26" t="str">
        <f>IF(OR(E1050="",E1050="!!!",F1050="NEW"),"",INDEX(J$1:J1049,SUMPRODUCT(MAX(ROW(E$1:E1049)*(E1050=E$1:E1049)))))</f>
        <v> </v>
      </c>
      <c r="L1050" s="27"/>
    </row>
    <row r="1051" spans="1:12">
      <c r="A1051" s="20"/>
    </row>
    <row r="1052" spans="1:12">
      <c r="A1052" s="20" t="s">
        <v>632</v>
      </c>
    </row>
    <row r="1053" spans="1:12">
      <c r="A1053" s="20" t="s">
        <v>330</v>
      </c>
      <c r="B1053" s="21" t="s">
        <v>195</v>
      </c>
      <c r="C1053" s="21" t="s">
        <v>185</v>
      </c>
      <c r="D1053" s="21" t="s">
        <v>168</v>
      </c>
      <c r="E1053" s="22">
        <f>IF(D1053="?OLD","!!!","")</f>
        <v/>
      </c>
      <c r="F1053" s="23" t="str">
        <f>IF(OR(E1053="",E1053="!!!"),"",IF(NOT(ISNA(VLOOKUP(E1053,E$1:E1052,1,FALSE()))),"OLD",IF(AND(E1053&lt;&gt;"",E1053&lt;&gt;"!!!"),"NEW","")))</f>
        <v> </v>
      </c>
      <c r="G1053" s="24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5" t="str">
        <f>IF(J1053&lt;&gt;1,"",IF(I1053="SBJ","CB","?"))</f>
        <v> </v>
      </c>
      <c r="I1053" s="26" t="str">
        <f>IF(OR(E1053="",E1053="!!!",F1053="NEW"),"",INDEX(B1052:B$2,-1+SUMPRODUCT(MAX(ROW(E1052:E$2)*(E1053=E1052:E$2)))))</f>
        <v> </v>
      </c>
      <c r="J1053" s="26" t="str">
        <f>IF(OR(E1053="",E1053="!!!",F1053="NEW"),"",COUNTBLANK(OFFSET(A$1,,,SUMPRODUCT(MAX(ROW(E$2:E1053)*(E1053=E$2:E1053)))))-COUNTBLANK(OFFSET(A$1,,,SUMPRODUCT(MAX(ROW(E$1:E1052)*(E2=E$1:E1052))))))</f>
        <v> </v>
      </c>
      <c r="K1053" s="26" t="str">
        <f>IF(OR(E1053="",E1053="!!!",F1053="NEW"),"",INDEX(J$1:J1052,SUMPRODUCT(MAX(ROW(E$1:E1052)*(E1053=E$1:E1052)))))</f>
        <v> </v>
      </c>
      <c r="L1053" s="27"/>
    </row>
    <row r="1054" spans="1:12">
      <c r="A1054" s="20" t="s">
        <v>341</v>
      </c>
      <c r="E1054" s="22">
        <f>IF(D1054="?OLD","!!!","")</f>
        <v/>
      </c>
      <c r="F1054" s="23" t="str">
        <f>IF(OR(E1054="",E1054="!!!"),"",IF(NOT(ISNA(VLOOKUP(E1054,E$1:E1053,1,FALSE()))),"OLD",IF(AND(E1054&lt;&gt;"",E1054&lt;&gt;"!!!"),"NEW","")))</f>
        <v> </v>
      </c>
      <c r="G1054" s="24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5" t="str">
        <f>IF(J1054&lt;&gt;1,"",IF(I1054="SBJ","CB","?"))</f>
        <v> </v>
      </c>
      <c r="I1054" s="26" t="str">
        <f>IF(OR(E1054="",E1054="!!!",F1054="NEW"),"",INDEX(B1053:B$2,-1+SUMPRODUCT(MAX(ROW(E1053:E$2)*(E1054=E1053:E$2)))))</f>
        <v> </v>
      </c>
      <c r="J1054" s="26" t="str">
        <f>IF(OR(E1054="",E1054="!!!",F1054="NEW"),"",COUNTBLANK(OFFSET(A$1,,,SUMPRODUCT(MAX(ROW(E$2:E1054)*(E1054=E$2:E1054)))))-COUNTBLANK(OFFSET(A$1,,,SUMPRODUCT(MAX(ROW(E$1:E1053)*(E2=E$1:E1053))))))</f>
        <v> </v>
      </c>
      <c r="K1054" s="26" t="str">
        <f>IF(OR(E1054="",E1054="!!!",F1054="NEW"),"",INDEX(J$1:J1053,SUMPRODUCT(MAX(ROW(E$1:E1053)*(E1054=E$1:E1053)))))</f>
        <v> </v>
      </c>
      <c r="L1054" s="27"/>
    </row>
    <row r="1055" spans="1:12">
      <c r="A1055" s="20" t="s">
        <v>531</v>
      </c>
      <c r="E1055" s="22">
        <f>IF(D1055="?OLD","!!!","")</f>
        <v/>
      </c>
      <c r="F1055" s="23" t="str">
        <f>IF(OR(E1055="",E1055="!!!"),"",IF(NOT(ISNA(VLOOKUP(E1055,E$1:E1054,1,FALSE()))),"OLD",IF(AND(E1055&lt;&gt;"",E1055&lt;&gt;"!!!"),"NEW","")))</f>
        <v> </v>
      </c>
      <c r="G1055" s="24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5" t="str">
        <f>IF(J1055&lt;&gt;1,"",IF(I1055="SBJ","CB","?"))</f>
        <v> </v>
      </c>
      <c r="I1055" s="26" t="str">
        <f>IF(OR(E1055="",E1055="!!!",F1055="NEW"),"",INDEX(B1054:B$2,-1+SUMPRODUCT(MAX(ROW(E1054:E$2)*(E1055=E1054:E$2)))))</f>
        <v> </v>
      </c>
      <c r="J1055" s="26" t="str">
        <f>IF(OR(E1055="",E1055="!!!",F1055="NEW"),"",COUNTBLANK(OFFSET(A$1,,,SUMPRODUCT(MAX(ROW(E$2:E1055)*(E1055=E$2:E1055)))))-COUNTBLANK(OFFSET(A$1,,,SUMPRODUCT(MAX(ROW(E$1:E1054)*(E2=E$1:E1054))))))</f>
        <v> </v>
      </c>
      <c r="K1055" s="26" t="str">
        <f>IF(OR(E1055="",E1055="!!!",F1055="NEW"),"",INDEX(J$1:J1054,SUMPRODUCT(MAX(ROW(E$1:E1054)*(E1055=E$1:E1054)))))</f>
        <v> </v>
      </c>
      <c r="L1055" s="27"/>
    </row>
    <row r="1056" spans="1:12">
      <c r="A1056" s="20" t="s">
        <v>187</v>
      </c>
      <c r="E1056" s="22">
        <f>IF(D1056="?OLD","!!!","")</f>
        <v/>
      </c>
      <c r="F1056" s="23" t="str">
        <f>IF(OR(E1056="",E1056="!!!"),"",IF(NOT(ISNA(VLOOKUP(E1056,E$1:E1055,1,FALSE()))),"OLD",IF(AND(E1056&lt;&gt;"",E1056&lt;&gt;"!!!"),"NEW","")))</f>
        <v> </v>
      </c>
      <c r="G1056" s="24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5" t="str">
        <f>IF(J1056&lt;&gt;1,"",IF(I1056="SBJ","CB","?"))</f>
        <v> </v>
      </c>
      <c r="I1056" s="26" t="str">
        <f>IF(OR(E1056="",E1056="!!!",F1056="NEW"),"",INDEX(B1055:B$2,-1+SUMPRODUCT(MAX(ROW(E1055:E$2)*(E1056=E1055:E$2)))))</f>
        <v> </v>
      </c>
      <c r="J1056" s="26" t="str">
        <f>IF(OR(E1056="",E1056="!!!",F1056="NEW"),"",COUNTBLANK(OFFSET(A$1,,,SUMPRODUCT(MAX(ROW(E$2:E1056)*(E1056=E$2:E1056)))))-COUNTBLANK(OFFSET(A$1,,,SUMPRODUCT(MAX(ROW(E$1:E1055)*(E2=E$1:E1055))))))</f>
        <v> </v>
      </c>
      <c r="K1056" s="26" t="str">
        <f>IF(OR(E1056="",E1056="!!!",F1056="NEW"),"",INDEX(J$1:J1055,SUMPRODUCT(MAX(ROW(E$1:E1055)*(E1056=E$1:E1055)))))</f>
        <v> </v>
      </c>
      <c r="L1056" s="27"/>
    </row>
    <row r="1057" spans="1:12">
      <c r="A1057" s="20" t="s">
        <v>633</v>
      </c>
      <c r="B1057" s="21" t="s">
        <v>265</v>
      </c>
      <c r="C1057" s="21" t="s">
        <v>189</v>
      </c>
      <c r="D1057" s="21" t="s">
        <v>168</v>
      </c>
      <c r="E1057" s="22">
        <f>IF(D1057="?OLD","!!!","")</f>
        <v/>
      </c>
      <c r="F1057" s="23" t="str">
        <f>IF(OR(E1057="",E1057="!!!"),"",IF(NOT(ISNA(VLOOKUP(E1057,E$1:E1056,1,FALSE()))),"OLD",IF(AND(E1057&lt;&gt;"",E1057&lt;&gt;"!!!"),"NEW","")))</f>
        <v> </v>
      </c>
      <c r="G1057" s="24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5" t="str">
        <f>IF(J1057&lt;&gt;1,"",IF(I1057="SBJ","CB","?"))</f>
        <v> </v>
      </c>
      <c r="I1057" s="26" t="str">
        <f>IF(OR(E1057="",E1057="!!!",F1057="NEW"),"",INDEX(B1056:B$2,-1+SUMPRODUCT(MAX(ROW(E1056:E$2)*(E1057=E1056:E$2)))))</f>
        <v> </v>
      </c>
      <c r="J1057" s="26" t="str">
        <f>IF(OR(E1057="",E1057="!!!",F1057="NEW"),"",COUNTBLANK(OFFSET(A$1,,,SUMPRODUCT(MAX(ROW(E$2:E1057)*(E1057=E$2:E1057)))))-COUNTBLANK(OFFSET(A$1,,,SUMPRODUCT(MAX(ROW(E$1:E1056)*(E2=E$1:E1056))))))</f>
        <v> </v>
      </c>
      <c r="K1057" s="26" t="str">
        <f>IF(OR(E1057="",E1057="!!!",F1057="NEW"),"",INDEX(J$1:J1056,SUMPRODUCT(MAX(ROW(E$1:E1056)*(E1057=E$1:E1056)))))</f>
        <v> </v>
      </c>
      <c r="L1057" s="27"/>
    </row>
    <row r="1058" spans="1:12">
      <c r="A1058" s="20" t="s">
        <v>247</v>
      </c>
      <c r="B1058" s="21" t="s">
        <v>265</v>
      </c>
      <c r="C1058" s="21" t="s">
        <v>214</v>
      </c>
      <c r="D1058" s="21" t="s">
        <v>168</v>
      </c>
      <c r="E1058" s="22">
        <f>IF(D1058="?OLD","!!!","")</f>
        <v/>
      </c>
      <c r="F1058" s="23" t="str">
        <f>IF(OR(E1058="",E1058="!!!"),"",IF(NOT(ISNA(VLOOKUP(E1058,E$1:E1057,1,FALSE()))),"OLD",IF(AND(E1058&lt;&gt;"",E1058&lt;&gt;"!!!"),"NEW","")))</f>
        <v> </v>
      </c>
      <c r="G1058" s="24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5" t="str">
        <f>IF(J1058&lt;&gt;1,"",IF(I1058="SBJ","CB","?"))</f>
        <v> </v>
      </c>
      <c r="I1058" s="26" t="str">
        <f>IF(OR(E1058="",E1058="!!!",F1058="NEW"),"",INDEX(B1057:B$2,-1+SUMPRODUCT(MAX(ROW(E1057:E$2)*(E1058=E1057:E$2)))))</f>
        <v> </v>
      </c>
      <c r="J1058" s="26" t="str">
        <f>IF(OR(E1058="",E1058="!!!",F1058="NEW"),"",COUNTBLANK(OFFSET(A$1,,,SUMPRODUCT(MAX(ROW(E$2:E1058)*(E1058=E$2:E1058)))))-COUNTBLANK(OFFSET(A$1,,,SUMPRODUCT(MAX(ROW(E$1:E1057)*(E2=E$1:E1057))))))</f>
        <v> </v>
      </c>
      <c r="K1058" s="26" t="str">
        <f>IF(OR(E1058="",E1058="!!!",F1058="NEW"),"",INDEX(J$1:J1057,SUMPRODUCT(MAX(ROW(E$1:E1057)*(E1058=E$1:E1057)))))</f>
        <v> </v>
      </c>
      <c r="L1058" s="27"/>
    </row>
    <row r="1059" spans="1:12">
      <c r="A1059" s="20" t="s">
        <v>203</v>
      </c>
      <c r="E1059" s="22">
        <f>IF(D1059="?OLD","!!!","")</f>
        <v/>
      </c>
      <c r="F1059" s="23" t="str">
        <f>IF(OR(E1059="",E1059="!!!"),"",IF(NOT(ISNA(VLOOKUP(E1059,E$1:E1058,1,FALSE()))),"OLD",IF(AND(E1059&lt;&gt;"",E1059&lt;&gt;"!!!"),"NEW","")))</f>
        <v> </v>
      </c>
      <c r="G1059" s="24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5" t="str">
        <f>IF(J1059&lt;&gt;1,"",IF(I1059="SBJ","CB","?"))</f>
        <v> </v>
      </c>
      <c r="I1059" s="26" t="str">
        <f>IF(OR(E1059="",E1059="!!!",F1059="NEW"),"",INDEX(B1058:B$2,-1+SUMPRODUCT(MAX(ROW(E1058:E$2)*(E1059=E1058:E$2)))))</f>
        <v> </v>
      </c>
      <c r="J1059" s="26" t="str">
        <f>IF(OR(E1059="",E1059="!!!",F1059="NEW"),"",COUNTBLANK(OFFSET(A$1,,,SUMPRODUCT(MAX(ROW(E$2:E1059)*(E1059=E$2:E1059)))))-COUNTBLANK(OFFSET(A$1,,,SUMPRODUCT(MAX(ROW(E$1:E1058)*(E2=E$1:E1058))))))</f>
        <v> </v>
      </c>
      <c r="K1059" s="26" t="str">
        <f>IF(OR(E1059="",E1059="!!!",F1059="NEW"),"",INDEX(J$1:J1058,SUMPRODUCT(MAX(ROW(E$1:E1058)*(E1059=E$1:E1058)))))</f>
        <v> </v>
      </c>
      <c r="L1059" s="27"/>
    </row>
    <row r="1060" spans="1:12">
      <c r="A1060" s="20" t="s">
        <v>581</v>
      </c>
      <c r="E1060" s="22">
        <f>IF(D1060="?OLD","!!!","")</f>
        <v/>
      </c>
      <c r="F1060" s="23" t="str">
        <f>IF(OR(E1060="",E1060="!!!"),"",IF(NOT(ISNA(VLOOKUP(E1060,E$1:E1059,1,FALSE()))),"OLD",IF(AND(E1060&lt;&gt;"",E1060&lt;&gt;"!!!"),"NEW","")))</f>
        <v> </v>
      </c>
      <c r="G1060" s="24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5" t="str">
        <f>IF(J1060&lt;&gt;1,"",IF(I1060="SBJ","CB","?"))</f>
        <v> </v>
      </c>
      <c r="I1060" s="26" t="str">
        <f>IF(OR(E1060="",E1060="!!!",F1060="NEW"),"",INDEX(B1059:B$2,-1+SUMPRODUCT(MAX(ROW(E1059:E$2)*(E1060=E1059:E$2)))))</f>
        <v> </v>
      </c>
      <c r="J1060" s="26" t="str">
        <f>IF(OR(E1060="",E1060="!!!",F1060="NEW"),"",COUNTBLANK(OFFSET(A$1,,,SUMPRODUCT(MAX(ROW(E$2:E1060)*(E1060=E$2:E1060)))))-COUNTBLANK(OFFSET(A$1,,,SUMPRODUCT(MAX(ROW(E$1:E1059)*(E2=E$1:E1059))))))</f>
        <v> </v>
      </c>
      <c r="K1060" s="26" t="str">
        <f>IF(OR(E1060="",E1060="!!!",F1060="NEW"),"",INDEX(J$1:J1059,SUMPRODUCT(MAX(ROW(E$1:E1059)*(E1060=E$1:E1059)))))</f>
        <v> </v>
      </c>
      <c r="L1060" s="27"/>
    </row>
    <row r="1061" spans="1:12">
      <c r="A1061" s="20" t="s">
        <v>220</v>
      </c>
      <c r="E1061" s="22">
        <f>IF(D1061="?OLD","!!!","")</f>
        <v/>
      </c>
      <c r="F1061" s="23" t="str">
        <f>IF(OR(E1061="",E1061="!!!"),"",IF(NOT(ISNA(VLOOKUP(E1061,E$1:E1060,1,FALSE()))),"OLD",IF(AND(E1061&lt;&gt;"",E1061&lt;&gt;"!!!"),"NEW","")))</f>
        <v> </v>
      </c>
      <c r="G1061" s="24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5" t="str">
        <f>IF(J1061&lt;&gt;1,"",IF(I1061="SBJ","CB","?"))</f>
        <v> </v>
      </c>
      <c r="I1061" s="26" t="str">
        <f>IF(OR(E1061="",E1061="!!!",F1061="NEW"),"",INDEX(B1060:B$2,-1+SUMPRODUCT(MAX(ROW(E1060:E$2)*(E1061=E1060:E$2)))))</f>
        <v> </v>
      </c>
      <c r="J1061" s="26" t="str">
        <f>IF(OR(E1061="",E1061="!!!",F1061="NEW"),"",COUNTBLANK(OFFSET(A$1,,,SUMPRODUCT(MAX(ROW(E$2:E1061)*(E1061=E$2:E1061)))))-COUNTBLANK(OFFSET(A$1,,,SUMPRODUCT(MAX(ROW(E$1:E1060)*(E2=E$1:E1060))))))</f>
        <v> </v>
      </c>
      <c r="K1061" s="26" t="str">
        <f>IF(OR(E1061="",E1061="!!!",F1061="NEW"),"",INDEX(J$1:J1060,SUMPRODUCT(MAX(ROW(E$1:E1060)*(E1061=E$1:E1060)))))</f>
        <v> </v>
      </c>
      <c r="L1061" s="27"/>
    </row>
    <row r="1062" spans="1:12">
      <c r="A1062" s="20"/>
    </row>
    <row r="1063" spans="1:12">
      <c r="A1063" s="20" t="s">
        <v>634</v>
      </c>
    </row>
    <row r="1064" spans="1:12">
      <c r="A1064" s="20" t="s">
        <v>569</v>
      </c>
      <c r="B1064" s="21" t="s">
        <v>195</v>
      </c>
      <c r="C1064" s="21" t="s">
        <v>185</v>
      </c>
      <c r="D1064" s="21" t="s">
        <v>168</v>
      </c>
      <c r="E1064" s="22">
        <f>IF(D1064="?OLD","!!!","")</f>
        <v/>
      </c>
      <c r="F1064" s="23" t="str">
        <f>IF(OR(E1064="",E1064="!!!"),"",IF(NOT(ISNA(VLOOKUP(E1064,E$1:E1063,1,FALSE()))),"OLD",IF(AND(E1064&lt;&gt;"",E1064&lt;&gt;"!!!"),"NEW","")))</f>
        <v> </v>
      </c>
      <c r="G1064" s="24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5" t="str">
        <f>IF(J1064&lt;&gt;1,"",IF(I1064="SBJ","CB","?"))</f>
        <v> </v>
      </c>
      <c r="I1064" s="26" t="str">
        <f>IF(OR(E1064="",E1064="!!!",F1064="NEW"),"",INDEX(B1063:B$2,-1+SUMPRODUCT(MAX(ROW(E1063:E$2)*(E1064=E1063:E$2)))))</f>
        <v> </v>
      </c>
      <c r="J1064" s="26" t="str">
        <f>IF(OR(E1064="",E1064="!!!",F1064="NEW"),"",COUNTBLANK(OFFSET(A$1,,,SUMPRODUCT(MAX(ROW(E$2:E1064)*(E1064=E$2:E1064)))))-COUNTBLANK(OFFSET(A$1,,,SUMPRODUCT(MAX(ROW(E$1:E1063)*(E2=E$1:E1063))))))</f>
        <v> </v>
      </c>
      <c r="K1064" s="26" t="str">
        <f>IF(OR(E1064="",E1064="!!!",F1064="NEW"),"",INDEX(J$1:J1063,SUMPRODUCT(MAX(ROW(E$1:E1063)*(E1064=E$1:E1063)))))</f>
        <v> </v>
      </c>
      <c r="L1064" s="27"/>
    </row>
    <row r="1065" spans="1:12">
      <c r="A1065" s="20" t="s">
        <v>243</v>
      </c>
      <c r="E1065" s="22">
        <f>IF(D1065="?OLD","!!!","")</f>
        <v/>
      </c>
      <c r="F1065" s="23" t="str">
        <f>IF(OR(E1065="",E1065="!!!"),"",IF(NOT(ISNA(VLOOKUP(E1065,E$1:E1064,1,FALSE()))),"OLD",IF(AND(E1065&lt;&gt;"",E1065&lt;&gt;"!!!"),"NEW","")))</f>
        <v> </v>
      </c>
      <c r="G1065" s="24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5" t="str">
        <f>IF(J1065&lt;&gt;1,"",IF(I1065="SBJ","CB","?"))</f>
        <v> </v>
      </c>
      <c r="I1065" s="26" t="str">
        <f>IF(OR(E1065="",E1065="!!!",F1065="NEW"),"",INDEX(B1064:B$2,-1+SUMPRODUCT(MAX(ROW(E1064:E$2)*(E1065=E1064:E$2)))))</f>
        <v> </v>
      </c>
      <c r="J1065" s="26" t="str">
        <f>IF(OR(E1065="",E1065="!!!",F1065="NEW"),"",COUNTBLANK(OFFSET(A$1,,,SUMPRODUCT(MAX(ROW(E$2:E1065)*(E1065=E$2:E1065)))))-COUNTBLANK(OFFSET(A$1,,,SUMPRODUCT(MAX(ROW(E$1:E1064)*(E2=E$1:E1064))))))</f>
        <v> </v>
      </c>
      <c r="K1065" s="26" t="str">
        <f>IF(OR(E1065="",E1065="!!!",F1065="NEW"),"",INDEX(J$1:J1064,SUMPRODUCT(MAX(ROW(E$1:E1064)*(E1065=E$1:E1064)))))</f>
        <v> </v>
      </c>
      <c r="L1065" s="27"/>
    </row>
    <row r="1066" spans="1:12">
      <c r="A1066" s="20" t="s">
        <v>427</v>
      </c>
      <c r="E1066" s="22">
        <f>IF(D1066="?OLD","!!!","")</f>
        <v/>
      </c>
      <c r="F1066" s="23" t="str">
        <f>IF(OR(E1066="",E1066="!!!"),"",IF(NOT(ISNA(VLOOKUP(E1066,E$1:E1065,1,FALSE()))),"OLD",IF(AND(E1066&lt;&gt;"",E1066&lt;&gt;"!!!"),"NEW","")))</f>
        <v> </v>
      </c>
      <c r="G1066" s="24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5" t="str">
        <f>IF(J1066&lt;&gt;1,"",IF(I1066="SBJ","CB","?"))</f>
        <v> </v>
      </c>
      <c r="I1066" s="26" t="str">
        <f>IF(OR(E1066="",E1066="!!!",F1066="NEW"),"",INDEX(B1065:B$2,-1+SUMPRODUCT(MAX(ROW(E1065:E$2)*(E1066=E1065:E$2)))))</f>
        <v> </v>
      </c>
      <c r="J1066" s="26" t="str">
        <f>IF(OR(E1066="",E1066="!!!",F1066="NEW"),"",COUNTBLANK(OFFSET(A$1,,,SUMPRODUCT(MAX(ROW(E$2:E1066)*(E1066=E$2:E1066)))))-COUNTBLANK(OFFSET(A$1,,,SUMPRODUCT(MAX(ROW(E$1:E1065)*(E2=E$1:E1065))))))</f>
        <v> </v>
      </c>
      <c r="K1066" s="26" t="str">
        <f>IF(OR(E1066="",E1066="!!!",F1066="NEW"),"",INDEX(J$1:J1065,SUMPRODUCT(MAX(ROW(E$1:E1065)*(E1066=E$1:E1065)))))</f>
        <v> </v>
      </c>
      <c r="L1066" s="27"/>
    </row>
    <row r="1067" spans="1:12">
      <c r="A1067" s="20" t="s">
        <v>237</v>
      </c>
      <c r="E1067" s="22">
        <f>IF(D1067="?OLD","!!!","")</f>
        <v/>
      </c>
      <c r="F1067" s="23" t="str">
        <f>IF(OR(E1067="",E1067="!!!"),"",IF(NOT(ISNA(VLOOKUP(E1067,E$1:E1066,1,FALSE()))),"OLD",IF(AND(E1067&lt;&gt;"",E1067&lt;&gt;"!!!"),"NEW","")))</f>
        <v> </v>
      </c>
      <c r="G1067" s="24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5" t="str">
        <f>IF(J1067&lt;&gt;1,"",IF(I1067="SBJ","CB","?"))</f>
        <v> </v>
      </c>
      <c r="I1067" s="26" t="str">
        <f>IF(OR(E1067="",E1067="!!!",F1067="NEW"),"",INDEX(B1066:B$2,-1+SUMPRODUCT(MAX(ROW(E1066:E$2)*(E1067=E1066:E$2)))))</f>
        <v> </v>
      </c>
      <c r="J1067" s="26" t="str">
        <f>IF(OR(E1067="",E1067="!!!",F1067="NEW"),"",COUNTBLANK(OFFSET(A$1,,,SUMPRODUCT(MAX(ROW(E$2:E1067)*(E1067=E$2:E1067)))))-COUNTBLANK(OFFSET(A$1,,,SUMPRODUCT(MAX(ROW(E$1:E1066)*(E2=E$1:E1066))))))</f>
        <v> </v>
      </c>
      <c r="K1067" s="26" t="str">
        <f>IF(OR(E1067="",E1067="!!!",F1067="NEW"),"",INDEX(J$1:J1066,SUMPRODUCT(MAX(ROW(E$1:E1066)*(E1067=E$1:E1066)))))</f>
        <v> </v>
      </c>
      <c r="L1067" s="27"/>
    </row>
    <row r="1068" spans="1:12">
      <c r="A1068" s="20" t="s">
        <v>327</v>
      </c>
      <c r="B1068" s="21" t="s">
        <v>166</v>
      </c>
      <c r="C1068" s="21" t="s">
        <v>219</v>
      </c>
      <c r="E1068" s="22">
        <f>IF(D1068="?OLD","!!!","")</f>
        <v/>
      </c>
      <c r="F1068" s="23" t="str">
        <f>IF(OR(E1068="",E1068="!!!"),"",IF(NOT(ISNA(VLOOKUP(E1068,E$1:E1067,1,FALSE()))),"OLD",IF(AND(E1068&lt;&gt;"",E1068&lt;&gt;"!!!"),"NEW","")))</f>
        <v> </v>
      </c>
      <c r="G1068" s="24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5" t="str">
        <f>IF(J1068&lt;&gt;1,"",IF(I1068="SBJ","CB","?"))</f>
        <v> </v>
      </c>
      <c r="I1068" s="26" t="str">
        <f>IF(OR(E1068="",E1068="!!!",F1068="NEW"),"",INDEX(B1067:B$2,-1+SUMPRODUCT(MAX(ROW(E1067:E$2)*(E1068=E1067:E$2)))))</f>
        <v> </v>
      </c>
      <c r="J1068" s="26" t="str">
        <f>IF(OR(E1068="",E1068="!!!",F1068="NEW"),"",COUNTBLANK(OFFSET(A$1,,,SUMPRODUCT(MAX(ROW(E$2:E1068)*(E1068=E$2:E1068)))))-COUNTBLANK(OFFSET(A$1,,,SUMPRODUCT(MAX(ROW(E$1:E1067)*(E2=E$1:E1067))))))</f>
        <v> </v>
      </c>
      <c r="K1068" s="26" t="str">
        <f>IF(OR(E1068="",E1068="!!!",F1068="NEW"),"",INDEX(J$1:J1067,SUMPRODUCT(MAX(ROW(E$1:E1067)*(E1068=E$1:E1067)))))</f>
        <v> </v>
      </c>
      <c r="L1068" s="27"/>
    </row>
    <row r="1069" spans="1:12">
      <c r="A1069" s="20" t="s">
        <v>539</v>
      </c>
      <c r="E1069" s="22">
        <f>IF(D1069="?OLD","!!!","")</f>
        <v/>
      </c>
      <c r="F1069" s="23" t="str">
        <f>IF(OR(E1069="",E1069="!!!"),"",IF(NOT(ISNA(VLOOKUP(E1069,E$1:E1068,1,FALSE()))),"OLD",IF(AND(E1069&lt;&gt;"",E1069&lt;&gt;"!!!"),"NEW","")))</f>
        <v> </v>
      </c>
      <c r="G1069" s="24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5" t="str">
        <f>IF(J1069&lt;&gt;1,"",IF(I1069="SBJ","CB","?"))</f>
        <v> </v>
      </c>
      <c r="I1069" s="26" t="str">
        <f>IF(OR(E1069="",E1069="!!!",F1069="NEW"),"",INDEX(B1068:B$2,-1+SUMPRODUCT(MAX(ROW(E1068:E$2)*(E1069=E1068:E$2)))))</f>
        <v> </v>
      </c>
      <c r="J1069" s="26" t="str">
        <f>IF(OR(E1069="",E1069="!!!",F1069="NEW"),"",COUNTBLANK(OFFSET(A$1,,,SUMPRODUCT(MAX(ROW(E$2:E1069)*(E1069=E$2:E1069)))))-COUNTBLANK(OFFSET(A$1,,,SUMPRODUCT(MAX(ROW(E$1:E1068)*(E2=E$1:E1068))))))</f>
        <v> </v>
      </c>
      <c r="K1069" s="26" t="str">
        <f>IF(OR(E1069="",E1069="!!!",F1069="NEW"),"",INDEX(J$1:J1068,SUMPRODUCT(MAX(ROW(E$1:E1068)*(E1069=E$1:E1068)))))</f>
        <v> </v>
      </c>
      <c r="L1069" s="27"/>
    </row>
    <row r="1070" spans="1:12">
      <c r="A1070" s="20"/>
    </row>
    <row r="1071" spans="1:12">
      <c r="A1071" s="20" t="s">
        <v>635</v>
      </c>
    </row>
    <row r="1072" spans="1:12">
      <c r="A1072" s="20" t="s">
        <v>636</v>
      </c>
      <c r="B1072" s="21" t="s">
        <v>195</v>
      </c>
      <c r="C1072" s="21" t="s">
        <v>205</v>
      </c>
      <c r="E1072" s="22">
        <f>IF(D1072="?OLD","!!!","")</f>
        <v/>
      </c>
      <c r="F1072" s="23" t="str">
        <f>IF(OR(E1072="",E1072="!!!"),"",IF(NOT(ISNA(VLOOKUP(E1072,E$1:E1071,1,FALSE()))),"OLD",IF(AND(E1072&lt;&gt;"",E1072&lt;&gt;"!!!"),"NEW","")))</f>
        <v> </v>
      </c>
      <c r="G1072" s="24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5" t="str">
        <f>IF(J1072&lt;&gt;1,"",IF(I1072="SBJ","CB","?"))</f>
        <v> </v>
      </c>
      <c r="I1072" s="26" t="str">
        <f>IF(OR(E1072="",E1072="!!!",F1072="NEW"),"",INDEX(B1071:B$2,-1+SUMPRODUCT(MAX(ROW(E1071:E$2)*(E1072=E1071:E$2)))))</f>
        <v> </v>
      </c>
      <c r="J1072" s="26" t="str">
        <f>IF(OR(E1072="",E1072="!!!",F1072="NEW"),"",COUNTBLANK(OFFSET(A$1,,,SUMPRODUCT(MAX(ROW(E$2:E1072)*(E1072=E$2:E1072)))))-COUNTBLANK(OFFSET(A$1,,,SUMPRODUCT(MAX(ROW(E$1:E1071)*(E2=E$1:E1071))))))</f>
        <v> </v>
      </c>
      <c r="K1072" s="26" t="str">
        <f>IF(OR(E1072="",E1072="!!!",F1072="NEW"),"",INDEX(J$1:J1071,SUMPRODUCT(MAX(ROW(E$1:E1071)*(E1072=E$1:E1071)))))</f>
        <v> </v>
      </c>
      <c r="L1072" s="27"/>
    </row>
    <row r="1073" spans="1:12">
      <c r="A1073" s="20" t="s">
        <v>550</v>
      </c>
      <c r="E1073" s="22">
        <f>IF(D1073="?OLD","!!!","")</f>
        <v/>
      </c>
      <c r="F1073" s="23" t="str">
        <f>IF(OR(E1073="",E1073="!!!"),"",IF(NOT(ISNA(VLOOKUP(E1073,E$1:E1072,1,FALSE()))),"OLD",IF(AND(E1073&lt;&gt;"",E1073&lt;&gt;"!!!"),"NEW","")))</f>
        <v> </v>
      </c>
      <c r="G1073" s="24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5" t="str">
        <f>IF(J1073&lt;&gt;1,"",IF(I1073="SBJ","CB","?"))</f>
        <v> </v>
      </c>
      <c r="I1073" s="26" t="str">
        <f>IF(OR(E1073="",E1073="!!!",F1073="NEW"),"",INDEX(B1072:B$2,-1+SUMPRODUCT(MAX(ROW(E1072:E$2)*(E1073=E1072:E$2)))))</f>
        <v> </v>
      </c>
      <c r="J1073" s="26" t="str">
        <f>IF(OR(E1073="",E1073="!!!",F1073="NEW"),"",COUNTBLANK(OFFSET(A$1,,,SUMPRODUCT(MAX(ROW(E$2:E1073)*(E1073=E$2:E1073)))))-COUNTBLANK(OFFSET(A$1,,,SUMPRODUCT(MAX(ROW(E$1:E1072)*(E2=E$1:E1072))))))</f>
        <v> </v>
      </c>
      <c r="K1073" s="26" t="str">
        <f>IF(OR(E1073="",E1073="!!!",F1073="NEW"),"",INDEX(J$1:J1072,SUMPRODUCT(MAX(ROW(E$1:E1072)*(E1073=E$1:E1072)))))</f>
        <v> </v>
      </c>
      <c r="L1073" s="27"/>
    </row>
    <row r="1074" spans="1:12">
      <c r="A1074" s="20" t="s">
        <v>637</v>
      </c>
      <c r="E1074" s="22">
        <f>IF(D1074="?OLD","!!!","")</f>
        <v/>
      </c>
      <c r="F1074" s="23" t="str">
        <f>IF(OR(E1074="",E1074="!!!"),"",IF(NOT(ISNA(VLOOKUP(E1074,E$1:E1073,1,FALSE()))),"OLD",IF(AND(E1074&lt;&gt;"",E1074&lt;&gt;"!!!"),"NEW","")))</f>
        <v> </v>
      </c>
      <c r="G1074" s="24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5" t="str">
        <f>IF(J1074&lt;&gt;1,"",IF(I1074="SBJ","CB","?"))</f>
        <v> </v>
      </c>
      <c r="I1074" s="26" t="str">
        <f>IF(OR(E1074="",E1074="!!!",F1074="NEW"),"",INDEX(B1073:B$2,-1+SUMPRODUCT(MAX(ROW(E1073:E$2)*(E1074=E1073:E$2)))))</f>
        <v> </v>
      </c>
      <c r="J1074" s="26" t="str">
        <f>IF(OR(E1074="",E1074="!!!",F1074="NEW"),"",COUNTBLANK(OFFSET(A$1,,,SUMPRODUCT(MAX(ROW(E$2:E1074)*(E1074=E$2:E1074)))))-COUNTBLANK(OFFSET(A$1,,,SUMPRODUCT(MAX(ROW(E$1:E1073)*(E2=E$1:E1073))))))</f>
        <v> </v>
      </c>
      <c r="K1074" s="26" t="str">
        <f>IF(OR(E1074="",E1074="!!!",F1074="NEW"),"",INDEX(J$1:J1073,SUMPRODUCT(MAX(ROW(E$1:E1073)*(E1074=E$1:E1073)))))</f>
        <v> </v>
      </c>
      <c r="L1074" s="27"/>
    </row>
    <row r="1075" spans="1:12">
      <c r="A1075" s="20" t="s">
        <v>193</v>
      </c>
      <c r="E1075" s="22">
        <f>IF(D1075="?OLD","!!!","")</f>
        <v/>
      </c>
      <c r="F1075" s="23" t="str">
        <f>IF(OR(E1075="",E1075="!!!"),"",IF(NOT(ISNA(VLOOKUP(E1075,E$1:E1074,1,FALSE()))),"OLD",IF(AND(E1075&lt;&gt;"",E1075&lt;&gt;"!!!"),"NEW","")))</f>
        <v> </v>
      </c>
      <c r="G1075" s="24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5" t="str">
        <f>IF(J1075&lt;&gt;1,"",IF(I1075="SBJ","CB","?"))</f>
        <v> </v>
      </c>
      <c r="I1075" s="26" t="str">
        <f>IF(OR(E1075="",E1075="!!!",F1075="NEW"),"",INDEX(B1074:B$2,-1+SUMPRODUCT(MAX(ROW(E1074:E$2)*(E1075=E1074:E$2)))))</f>
        <v> </v>
      </c>
      <c r="J1075" s="26" t="str">
        <f>IF(OR(E1075="",E1075="!!!",F1075="NEW"),"",COUNTBLANK(OFFSET(A$1,,,SUMPRODUCT(MAX(ROW(E$2:E1075)*(E1075=E$2:E1075)))))-COUNTBLANK(OFFSET(A$1,,,SUMPRODUCT(MAX(ROW(E$1:E1074)*(E2=E$1:E1074))))))</f>
        <v> </v>
      </c>
      <c r="K1075" s="26" t="str">
        <f>IF(OR(E1075="",E1075="!!!",F1075="NEW"),"",INDEX(J$1:J1074,SUMPRODUCT(MAX(ROW(E$1:E1074)*(E1075=E$1:E1074)))))</f>
        <v> </v>
      </c>
      <c r="L1075" s="27"/>
    </row>
    <row r="1076" spans="1:12">
      <c r="A1076" s="20" t="s">
        <v>314</v>
      </c>
      <c r="E1076" s="22">
        <f>IF(D1076="?OLD","!!!","")</f>
        <v/>
      </c>
      <c r="F1076" s="23" t="str">
        <f>IF(OR(E1076="",E1076="!!!"),"",IF(NOT(ISNA(VLOOKUP(E1076,E$1:E1075,1,FALSE()))),"OLD",IF(AND(E1076&lt;&gt;"",E1076&lt;&gt;"!!!"),"NEW","")))</f>
        <v> </v>
      </c>
      <c r="G1076" s="24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5" t="str">
        <f>IF(J1076&lt;&gt;1,"",IF(I1076="SBJ","CB","?"))</f>
        <v> </v>
      </c>
      <c r="I1076" s="26" t="str">
        <f>IF(OR(E1076="",E1076="!!!",F1076="NEW"),"",INDEX(B1075:B$2,-1+SUMPRODUCT(MAX(ROW(E1075:E$2)*(E1076=E1075:E$2)))))</f>
        <v> </v>
      </c>
      <c r="J1076" s="26" t="str">
        <f>IF(OR(E1076="",E1076="!!!",F1076="NEW"),"",COUNTBLANK(OFFSET(A$1,,,SUMPRODUCT(MAX(ROW(E$2:E1076)*(E1076=E$2:E1076)))))-COUNTBLANK(OFFSET(A$1,,,SUMPRODUCT(MAX(ROW(E$1:E1075)*(E2=E$1:E1075))))))</f>
        <v> </v>
      </c>
      <c r="K1076" s="26" t="str">
        <f>IF(OR(E1076="",E1076="!!!",F1076="NEW"),"",INDEX(J$1:J1075,SUMPRODUCT(MAX(ROW(E$1:E1075)*(E1076=E$1:E1075)))))</f>
        <v> </v>
      </c>
      <c r="L1076" s="27"/>
    </row>
    <row r="1077" spans="1:12">
      <c r="A1077" s="20" t="s">
        <v>638</v>
      </c>
      <c r="E1077" s="22">
        <f>IF(D1077="?OLD","!!!","")</f>
        <v/>
      </c>
      <c r="F1077" s="23" t="str">
        <f>IF(OR(E1077="",E1077="!!!"),"",IF(NOT(ISNA(VLOOKUP(E1077,E$1:E1076,1,FALSE()))),"OLD",IF(AND(E1077&lt;&gt;"",E1077&lt;&gt;"!!!"),"NEW","")))</f>
        <v> </v>
      </c>
      <c r="G1077" s="24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5" t="str">
        <f>IF(J1077&lt;&gt;1,"",IF(I1077="SBJ","CB","?"))</f>
        <v> </v>
      </c>
      <c r="I1077" s="26" t="str">
        <f>IF(OR(E1077="",E1077="!!!",F1077="NEW"),"",INDEX(B1076:B$2,-1+SUMPRODUCT(MAX(ROW(E1076:E$2)*(E1077=E1076:E$2)))))</f>
        <v> </v>
      </c>
      <c r="J1077" s="26" t="str">
        <f>IF(OR(E1077="",E1077="!!!",F1077="NEW"),"",COUNTBLANK(OFFSET(A$1,,,SUMPRODUCT(MAX(ROW(E$2:E1077)*(E1077=E$2:E1077)))))-COUNTBLANK(OFFSET(A$1,,,SUMPRODUCT(MAX(ROW(E$1:E1076)*(E2=E$1:E1076))))))</f>
        <v> </v>
      </c>
      <c r="K1077" s="26" t="str">
        <f>IF(OR(E1077="",E1077="!!!",F1077="NEW"),"",INDEX(J$1:J1076,SUMPRODUCT(MAX(ROW(E$1:E1076)*(E1077=E$1:E1076)))))</f>
        <v> </v>
      </c>
      <c r="L1077" s="27"/>
    </row>
    <row r="1078" spans="1:12">
      <c r="A1078" s="20" t="s">
        <v>639</v>
      </c>
      <c r="B1078" s="21" t="s">
        <v>166</v>
      </c>
      <c r="C1078" s="21" t="s">
        <v>219</v>
      </c>
      <c r="E1078" s="22">
        <f>IF(D1078="?OLD","!!!","")</f>
        <v/>
      </c>
      <c r="F1078" s="23" t="str">
        <f>IF(OR(E1078="",E1078="!!!"),"",IF(NOT(ISNA(VLOOKUP(E1078,E$1:E1077,1,FALSE()))),"OLD",IF(AND(E1078&lt;&gt;"",E1078&lt;&gt;"!!!"),"NEW","")))</f>
        <v> </v>
      </c>
      <c r="G1078" s="24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5" t="str">
        <f>IF(J1078&lt;&gt;1,"",IF(I1078="SBJ","CB","?"))</f>
        <v> </v>
      </c>
      <c r="I1078" s="26" t="str">
        <f>IF(OR(E1078="",E1078="!!!",F1078="NEW"),"",INDEX(B1077:B$2,-1+SUMPRODUCT(MAX(ROW(E1077:E$2)*(E1078=E1077:E$2)))))</f>
        <v> </v>
      </c>
      <c r="J1078" s="26" t="str">
        <f>IF(OR(E1078="",E1078="!!!",F1078="NEW"),"",COUNTBLANK(OFFSET(A$1,,,SUMPRODUCT(MAX(ROW(E$2:E1078)*(E1078=E$2:E1078)))))-COUNTBLANK(OFFSET(A$1,,,SUMPRODUCT(MAX(ROW(E$1:E1077)*(E2=E$1:E1077))))))</f>
        <v> </v>
      </c>
      <c r="K1078" s="26" t="str">
        <f>IF(OR(E1078="",E1078="!!!",F1078="NEW"),"",INDEX(J$1:J1077,SUMPRODUCT(MAX(ROW(E$1:E1077)*(E1078=E$1:E1077)))))</f>
        <v> </v>
      </c>
      <c r="L1078" s="27"/>
    </row>
    <row r="1079" spans="1:12">
      <c r="A1079" s="20" t="s">
        <v>193</v>
      </c>
      <c r="E1079" s="22">
        <f>IF(D1079="?OLD","!!!","")</f>
        <v/>
      </c>
      <c r="F1079" s="23" t="str">
        <f>IF(OR(E1079="",E1079="!!!"),"",IF(NOT(ISNA(VLOOKUP(E1079,E$1:E1078,1,FALSE()))),"OLD",IF(AND(E1079&lt;&gt;"",E1079&lt;&gt;"!!!"),"NEW","")))</f>
        <v> </v>
      </c>
      <c r="G1079" s="24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5" t="str">
        <f>IF(J1079&lt;&gt;1,"",IF(I1079="SBJ","CB","?"))</f>
        <v> </v>
      </c>
      <c r="I1079" s="26" t="str">
        <f>IF(OR(E1079="",E1079="!!!",F1079="NEW"),"",INDEX(B1078:B$2,-1+SUMPRODUCT(MAX(ROW(E1078:E$2)*(E1079=E1078:E$2)))))</f>
        <v> </v>
      </c>
      <c r="J1079" s="26" t="str">
        <f>IF(OR(E1079="",E1079="!!!",F1079="NEW"),"",COUNTBLANK(OFFSET(A$1,,,SUMPRODUCT(MAX(ROW(E$2:E1079)*(E1079=E$2:E1079)))))-COUNTBLANK(OFFSET(A$1,,,SUMPRODUCT(MAX(ROW(E$1:E1078)*(E2=E$1:E1078))))))</f>
        <v> </v>
      </c>
      <c r="K1079" s="26" t="str">
        <f>IF(OR(E1079="",E1079="!!!",F1079="NEW"),"",INDEX(J$1:J1078,SUMPRODUCT(MAX(ROW(E$1:E1078)*(E1079=E$1:E1078)))))</f>
        <v> </v>
      </c>
      <c r="L1079" s="27"/>
    </row>
    <row r="1080" spans="1:12">
      <c r="A1080" s="20" t="s">
        <v>237</v>
      </c>
      <c r="E1080" s="22">
        <f>IF(D1080="?OLD","!!!","")</f>
        <v/>
      </c>
      <c r="F1080" s="23" t="str">
        <f>IF(OR(E1080="",E1080="!!!"),"",IF(NOT(ISNA(VLOOKUP(E1080,E$1:E1079,1,FALSE()))),"OLD",IF(AND(E1080&lt;&gt;"",E1080&lt;&gt;"!!!"),"NEW","")))</f>
        <v> </v>
      </c>
      <c r="G1080" s="24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5" t="str">
        <f>IF(J1080&lt;&gt;1,"",IF(I1080="SBJ","CB","?"))</f>
        <v> </v>
      </c>
      <c r="I1080" s="26" t="str">
        <f>IF(OR(E1080="",E1080="!!!",F1080="NEW"),"",INDEX(B1079:B$2,-1+SUMPRODUCT(MAX(ROW(E1079:E$2)*(E1080=E1079:E$2)))))</f>
        <v> </v>
      </c>
      <c r="J1080" s="26" t="str">
        <f>IF(OR(E1080="",E1080="!!!",F1080="NEW"),"",COUNTBLANK(OFFSET(A$1,,,SUMPRODUCT(MAX(ROW(E$2:E1080)*(E1080=E$2:E1080)))))-COUNTBLANK(OFFSET(A$1,,,SUMPRODUCT(MAX(ROW(E$1:E1079)*(E2=E$1:E1079))))))</f>
        <v> </v>
      </c>
      <c r="K1080" s="26" t="str">
        <f>IF(OR(E1080="",E1080="!!!",F1080="NEW"),"",INDEX(J$1:J1079,SUMPRODUCT(MAX(ROW(E$1:E1079)*(E1080=E$1:E1079)))))</f>
        <v> </v>
      </c>
      <c r="L1080" s="27"/>
    </row>
    <row r="1081" spans="1:12">
      <c r="A1081" s="20" t="s">
        <v>640</v>
      </c>
      <c r="B1081" s="21" t="s">
        <v>180</v>
      </c>
      <c r="C1081" s="21" t="s">
        <v>219</v>
      </c>
      <c r="E1081" s="22">
        <f>IF(D1081="?OLD","!!!","")</f>
        <v/>
      </c>
      <c r="F1081" s="23" t="str">
        <f>IF(OR(E1081="",E1081="!!!"),"",IF(NOT(ISNA(VLOOKUP(E1081,E$1:E1080,1,FALSE()))),"OLD",IF(AND(E1081&lt;&gt;"",E1081&lt;&gt;"!!!"),"NEW","")))</f>
        <v> </v>
      </c>
      <c r="G1081" s="24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5" t="str">
        <f>IF(J1081&lt;&gt;1,"",IF(I1081="SBJ","CB","?"))</f>
        <v> </v>
      </c>
      <c r="I1081" s="26" t="str">
        <f>IF(OR(E1081="",E1081="!!!",F1081="NEW"),"",INDEX(B1080:B$2,-1+SUMPRODUCT(MAX(ROW(E1080:E$2)*(E1081=E1080:E$2)))))</f>
        <v> </v>
      </c>
      <c r="J1081" s="26" t="str">
        <f>IF(OR(E1081="",E1081="!!!",F1081="NEW"),"",COUNTBLANK(OFFSET(A$1,,,SUMPRODUCT(MAX(ROW(E$2:E1081)*(E1081=E$2:E1081)))))-COUNTBLANK(OFFSET(A$1,,,SUMPRODUCT(MAX(ROW(E$1:E1080)*(E2=E$1:E1080))))))</f>
        <v> </v>
      </c>
      <c r="K1081" s="26" t="str">
        <f>IF(OR(E1081="",E1081="!!!",F1081="NEW"),"",INDEX(J$1:J1080,SUMPRODUCT(MAX(ROW(E$1:E1080)*(E1081=E$1:E1080)))))</f>
        <v> </v>
      </c>
      <c r="L1081" s="27"/>
    </row>
    <row r="1082" spans="1:12">
      <c r="A1082" s="20" t="s">
        <v>190</v>
      </c>
      <c r="E1082" s="22">
        <f>IF(D1082="?OLD","!!!","")</f>
        <v/>
      </c>
      <c r="F1082" s="23" t="str">
        <f>IF(OR(E1082="",E1082="!!!"),"",IF(NOT(ISNA(VLOOKUP(E1082,E$1:E1081,1,FALSE()))),"OLD",IF(AND(E1082&lt;&gt;"",E1082&lt;&gt;"!!!"),"NEW","")))</f>
        <v> </v>
      </c>
      <c r="G1082" s="24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5" t="str">
        <f>IF(J1082&lt;&gt;1,"",IF(I1082="SBJ","CB","?"))</f>
        <v> </v>
      </c>
      <c r="I1082" s="26" t="str">
        <f>IF(OR(E1082="",E1082="!!!",F1082="NEW"),"",INDEX(B1081:B$2,-1+SUMPRODUCT(MAX(ROW(E1081:E$2)*(E1082=E1081:E$2)))))</f>
        <v> </v>
      </c>
      <c r="J1082" s="26" t="str">
        <f>IF(OR(E1082="",E1082="!!!",F1082="NEW"),"",COUNTBLANK(OFFSET(A$1,,,SUMPRODUCT(MAX(ROW(E$2:E1082)*(E1082=E$2:E1082)))))-COUNTBLANK(OFFSET(A$1,,,SUMPRODUCT(MAX(ROW(E$1:E1081)*(E2=E$1:E1081))))))</f>
        <v> </v>
      </c>
      <c r="K1082" s="26" t="str">
        <f>IF(OR(E1082="",E1082="!!!",F1082="NEW"),"",INDEX(J$1:J1081,SUMPRODUCT(MAX(ROW(E$1:E1081)*(E1082=E$1:E1081)))))</f>
        <v> </v>
      </c>
      <c r="L1082" s="27"/>
    </row>
    <row r="1083" spans="1:12">
      <c r="A1083" s="20" t="s">
        <v>198</v>
      </c>
      <c r="B1083" s="21" t="s">
        <v>191</v>
      </c>
      <c r="C1083" s="21" t="s">
        <v>175</v>
      </c>
      <c r="E1083" s="22">
        <f>IF(D1083="?OLD","!!!","")</f>
        <v/>
      </c>
      <c r="F1083" s="23" t="str">
        <f>IF(OR(E1083="",E1083="!!!"),"",IF(NOT(ISNA(VLOOKUP(E1083,E$1:E1082,1,FALSE()))),"OLD",IF(AND(E1083&lt;&gt;"",E1083&lt;&gt;"!!!"),"NEW","")))</f>
        <v> </v>
      </c>
      <c r="G1083" s="24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5" t="str">
        <f>IF(J1083&lt;&gt;1,"",IF(I1083="SBJ","CB","?"))</f>
        <v> </v>
      </c>
      <c r="I1083" s="26" t="str">
        <f>IF(OR(E1083="",E1083="!!!",F1083="NEW"),"",INDEX(B1082:B$2,-1+SUMPRODUCT(MAX(ROW(E1082:E$2)*(E1083=E1082:E$2)))))</f>
        <v> </v>
      </c>
      <c r="J1083" s="26" t="str">
        <f>IF(OR(E1083="",E1083="!!!",F1083="NEW"),"",COUNTBLANK(OFFSET(A$1,,,SUMPRODUCT(MAX(ROW(E$2:E1083)*(E1083=E$2:E1083)))))-COUNTBLANK(OFFSET(A$1,,,SUMPRODUCT(MAX(ROW(E$1:E1082)*(E2=E$1:E1082))))))</f>
        <v> </v>
      </c>
      <c r="K1083" s="26" t="str">
        <f>IF(OR(E1083="",E1083="!!!",F1083="NEW"),"",INDEX(J$1:J1082,SUMPRODUCT(MAX(ROW(E$1:E1082)*(E1083=E$1:E1082)))))</f>
        <v> </v>
      </c>
      <c r="L1083" s="27"/>
    </row>
    <row r="1084" spans="1:12">
      <c r="A1084" s="20" t="s">
        <v>176</v>
      </c>
      <c r="E1084" s="22">
        <f>IF(D1084="?OLD","!!!","")</f>
        <v/>
      </c>
      <c r="F1084" s="23" t="str">
        <f>IF(OR(E1084="",E1084="!!!"),"",IF(NOT(ISNA(VLOOKUP(E1084,E$1:E1083,1,FALSE()))),"OLD",IF(AND(E1084&lt;&gt;"",E1084&lt;&gt;"!!!"),"NEW","")))</f>
        <v> </v>
      </c>
      <c r="G1084" s="24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5" t="str">
        <f>IF(J1084&lt;&gt;1,"",IF(I1084="SBJ","CB","?"))</f>
        <v> </v>
      </c>
      <c r="I1084" s="26" t="str">
        <f>IF(OR(E1084="",E1084="!!!",F1084="NEW"),"",INDEX(B1083:B$2,-1+SUMPRODUCT(MAX(ROW(E1083:E$2)*(E1084=E1083:E$2)))))</f>
        <v> </v>
      </c>
      <c r="J1084" s="26" t="str">
        <f>IF(OR(E1084="",E1084="!!!",F1084="NEW"),"",COUNTBLANK(OFFSET(A$1,,,SUMPRODUCT(MAX(ROW(E$2:E1084)*(E1084=E$2:E1084)))))-COUNTBLANK(OFFSET(A$1,,,SUMPRODUCT(MAX(ROW(E$1:E1083)*(E2=E$1:E1083))))))</f>
        <v> </v>
      </c>
      <c r="K1084" s="26" t="str">
        <f>IF(OR(E1084="",E1084="!!!",F1084="NEW"),"",INDEX(J$1:J1083,SUMPRODUCT(MAX(ROW(E$1:E1083)*(E1084=E$1:E1083)))))</f>
        <v> </v>
      </c>
      <c r="L1084" s="27"/>
    </row>
    <row r="1085" spans="1:12">
      <c r="A1085" s="20" t="s">
        <v>641</v>
      </c>
      <c r="B1085" s="21" t="s">
        <v>209</v>
      </c>
      <c r="C1085" s="21" t="s">
        <v>175</v>
      </c>
      <c r="E1085" s="22">
        <f>IF(D1085="?OLD","!!!","")</f>
        <v/>
      </c>
      <c r="F1085" s="23" t="str">
        <f>IF(OR(E1085="",E1085="!!!"),"",IF(NOT(ISNA(VLOOKUP(E1085,E$1:E1084,1,FALSE()))),"OLD",IF(AND(E1085&lt;&gt;"",E1085&lt;&gt;"!!!"),"NEW","")))</f>
        <v> </v>
      </c>
      <c r="G1085" s="24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5" t="str">
        <f>IF(J1085&lt;&gt;1,"",IF(I1085="SBJ","CB","?"))</f>
        <v> </v>
      </c>
      <c r="I1085" s="26" t="str">
        <f>IF(OR(E1085="",E1085="!!!",F1085="NEW"),"",INDEX(B1084:B$2,-1+SUMPRODUCT(MAX(ROW(E1084:E$2)*(E1085=E1084:E$2)))))</f>
        <v> </v>
      </c>
      <c r="J1085" s="26" t="str">
        <f>IF(OR(E1085="",E1085="!!!",F1085="NEW"),"",COUNTBLANK(OFFSET(A$1,,,SUMPRODUCT(MAX(ROW(E$2:E1085)*(E1085=E$2:E1085)))))-COUNTBLANK(OFFSET(A$1,,,SUMPRODUCT(MAX(ROW(E$1:E1084)*(E2=E$1:E1084))))))</f>
        <v> </v>
      </c>
      <c r="K1085" s="26" t="str">
        <f>IF(OR(E1085="",E1085="!!!",F1085="NEW"),"",INDEX(J$1:J1084,SUMPRODUCT(MAX(ROW(E$1:E1084)*(E1085=E$1:E1084)))))</f>
        <v> </v>
      </c>
      <c r="L1085" s="27"/>
    </row>
    <row r="1086" spans="1:12">
      <c r="A1086" s="20" t="s">
        <v>220</v>
      </c>
      <c r="E1086" s="22">
        <f>IF(D1086="?OLD","!!!","")</f>
        <v/>
      </c>
      <c r="F1086" s="23" t="str">
        <f>IF(OR(E1086="",E1086="!!!"),"",IF(NOT(ISNA(VLOOKUP(E1086,E$1:E1085,1,FALSE()))),"OLD",IF(AND(E1086&lt;&gt;"",E1086&lt;&gt;"!!!"),"NEW","")))</f>
        <v> </v>
      </c>
      <c r="G1086" s="24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5" t="str">
        <f>IF(J1086&lt;&gt;1,"",IF(I1086="SBJ","CB","?"))</f>
        <v> </v>
      </c>
      <c r="I1086" s="26" t="str">
        <f>IF(OR(E1086="",E1086="!!!",F1086="NEW"),"",INDEX(B1085:B$2,-1+SUMPRODUCT(MAX(ROW(E1085:E$2)*(E1086=E1085:E$2)))))</f>
        <v> </v>
      </c>
      <c r="J1086" s="26" t="str">
        <f>IF(OR(E1086="",E1086="!!!",F1086="NEW"),"",COUNTBLANK(OFFSET(A$1,,,SUMPRODUCT(MAX(ROW(E$2:E1086)*(E1086=E$2:E1086)))))-COUNTBLANK(OFFSET(A$1,,,SUMPRODUCT(MAX(ROW(E$1:E1085)*(E2=E$1:E1085))))))</f>
        <v> </v>
      </c>
      <c r="K1086" s="26" t="str">
        <f>IF(OR(E1086="",E1086="!!!",F1086="NEW"),"",INDEX(J$1:J1085,SUMPRODUCT(MAX(ROW(E$1:E1085)*(E1086=E$1:E1085)))))</f>
        <v> </v>
      </c>
      <c r="L1086" s="27"/>
    </row>
    <row r="1087" spans="1:12">
      <c r="A1087" s="20"/>
    </row>
    <row r="1088" spans="1:12">
      <c r="A1088" s="20" t="s">
        <v>642</v>
      </c>
    </row>
    <row r="1089" spans="1:12">
      <c r="A1089" s="20" t="s">
        <v>279</v>
      </c>
      <c r="B1089" s="21" t="s">
        <v>195</v>
      </c>
      <c r="C1089" s="21" t="s">
        <v>214</v>
      </c>
      <c r="D1089" s="21" t="s">
        <v>168</v>
      </c>
      <c r="E1089" s="22">
        <f>IF(D1089="?OLD","!!!","")</f>
        <v/>
      </c>
      <c r="F1089" s="23" t="str">
        <f>IF(OR(E1089="",E1089="!!!"),"",IF(NOT(ISNA(VLOOKUP(E1089,E$1:E1088,1,FALSE()))),"OLD",IF(AND(E1089&lt;&gt;"",E1089&lt;&gt;"!!!"),"NEW","")))</f>
        <v> </v>
      </c>
      <c r="G1089" s="24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5" t="str">
        <f>IF(J1089&lt;&gt;1,"",IF(I1089="SBJ","CB","?"))</f>
        <v> </v>
      </c>
      <c r="I1089" s="26" t="str">
        <f>IF(OR(E1089="",E1089="!!!",F1089="NEW"),"",INDEX(B1088:B$2,-1+SUMPRODUCT(MAX(ROW(E1088:E$2)*(E1089=E1088:E$2)))))</f>
        <v> </v>
      </c>
      <c r="J1089" s="26" t="str">
        <f>IF(OR(E1089="",E1089="!!!",F1089="NEW"),"",COUNTBLANK(OFFSET(A$1,,,SUMPRODUCT(MAX(ROW(E$2:E1089)*(E1089=E$2:E1089)))))-COUNTBLANK(OFFSET(A$1,,,SUMPRODUCT(MAX(ROW(E$1:E1088)*(E2=E$1:E1088))))))</f>
        <v> </v>
      </c>
      <c r="K1089" s="26" t="str">
        <f>IF(OR(E1089="",E1089="!!!",F1089="NEW"),"",INDEX(J$1:J1088,SUMPRODUCT(MAX(ROW(E$1:E1088)*(E1089=E$1:E1088)))))</f>
        <v> </v>
      </c>
      <c r="L1089" s="27"/>
    </row>
    <row r="1090" spans="1:12">
      <c r="A1090" s="20" t="s">
        <v>468</v>
      </c>
      <c r="E1090" s="22">
        <f>IF(D1090="?OLD","!!!","")</f>
        <v/>
      </c>
      <c r="F1090" s="23" t="str">
        <f>IF(OR(E1090="",E1090="!!!"),"",IF(NOT(ISNA(VLOOKUP(E1090,E$1:E1089,1,FALSE()))),"OLD",IF(AND(E1090&lt;&gt;"",E1090&lt;&gt;"!!!"),"NEW","")))</f>
        <v> </v>
      </c>
      <c r="G1090" s="24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5" t="str">
        <f>IF(J1090&lt;&gt;1,"",IF(I1090="SBJ","CB","?"))</f>
        <v> </v>
      </c>
      <c r="I1090" s="26" t="str">
        <f>IF(OR(E1090="",E1090="!!!",F1090="NEW"),"",INDEX(B1089:B$2,-1+SUMPRODUCT(MAX(ROW(E1089:E$2)*(E1090=E1089:E$2)))))</f>
        <v> </v>
      </c>
      <c r="J1090" s="26" t="str">
        <f>IF(OR(E1090="",E1090="!!!",F1090="NEW"),"",COUNTBLANK(OFFSET(A$1,,,SUMPRODUCT(MAX(ROW(E$2:E1090)*(E1090=E$2:E1090)))))-COUNTBLANK(OFFSET(A$1,,,SUMPRODUCT(MAX(ROW(E$1:E1089)*(E2=E$1:E1089))))))</f>
        <v> </v>
      </c>
      <c r="K1090" s="26" t="str">
        <f>IF(OR(E1090="",E1090="!!!",F1090="NEW"),"",INDEX(J$1:J1089,SUMPRODUCT(MAX(ROW(E$1:E1089)*(E1090=E$1:E1089)))))</f>
        <v> </v>
      </c>
      <c r="L1090" s="27"/>
    </row>
    <row r="1091" spans="1:12">
      <c r="A1091" s="20" t="s">
        <v>224</v>
      </c>
      <c r="E1091" s="22">
        <f>IF(D1091="?OLD","!!!","")</f>
        <v/>
      </c>
      <c r="F1091" s="23" t="str">
        <f>IF(OR(E1091="",E1091="!!!"),"",IF(NOT(ISNA(VLOOKUP(E1091,E$1:E1090,1,FALSE()))),"OLD",IF(AND(E1091&lt;&gt;"",E1091&lt;&gt;"!!!"),"NEW","")))</f>
        <v> </v>
      </c>
      <c r="G1091" s="24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5" t="str">
        <f>IF(J1091&lt;&gt;1,"",IF(I1091="SBJ","CB","?"))</f>
        <v> </v>
      </c>
      <c r="I1091" s="26" t="str">
        <f>IF(OR(E1091="",E1091="!!!",F1091="NEW"),"",INDEX(B1090:B$2,-1+SUMPRODUCT(MAX(ROW(E1090:E$2)*(E1091=E1090:E$2)))))</f>
        <v> </v>
      </c>
      <c r="J1091" s="26" t="str">
        <f>IF(OR(E1091="",E1091="!!!",F1091="NEW"),"",COUNTBLANK(OFFSET(A$1,,,SUMPRODUCT(MAX(ROW(E$2:E1091)*(E1091=E$2:E1091)))))-COUNTBLANK(OFFSET(A$1,,,SUMPRODUCT(MAX(ROW(E$1:E1090)*(E2=E$1:E1090))))))</f>
        <v> </v>
      </c>
      <c r="K1091" s="26" t="str">
        <f>IF(OR(E1091="",E1091="!!!",F1091="NEW"),"",INDEX(J$1:J1090,SUMPRODUCT(MAX(ROW(E$1:E1090)*(E1091=E$1:E1090)))))</f>
        <v> </v>
      </c>
      <c r="L1091" s="27"/>
    </row>
    <row r="1092" spans="1:12">
      <c r="A1092" s="20" t="s">
        <v>193</v>
      </c>
      <c r="E1092" s="22">
        <f>IF(D1092="?OLD","!!!","")</f>
        <v/>
      </c>
      <c r="F1092" s="23" t="str">
        <f>IF(OR(E1092="",E1092="!!!"),"",IF(NOT(ISNA(VLOOKUP(E1092,E$1:E1091,1,FALSE()))),"OLD",IF(AND(E1092&lt;&gt;"",E1092&lt;&gt;"!!!"),"NEW","")))</f>
        <v> </v>
      </c>
      <c r="G1092" s="24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5" t="str">
        <f>IF(J1092&lt;&gt;1,"",IF(I1092="SBJ","CB","?"))</f>
        <v> </v>
      </c>
      <c r="I1092" s="26" t="str">
        <f>IF(OR(E1092="",E1092="!!!",F1092="NEW"),"",INDEX(B1091:B$2,-1+SUMPRODUCT(MAX(ROW(E1091:E$2)*(E1092=E1091:E$2)))))</f>
        <v> </v>
      </c>
      <c r="J1092" s="26" t="str">
        <f>IF(OR(E1092="",E1092="!!!",F1092="NEW"),"",COUNTBLANK(OFFSET(A$1,,,SUMPRODUCT(MAX(ROW(E$2:E1092)*(E1092=E$2:E1092)))))-COUNTBLANK(OFFSET(A$1,,,SUMPRODUCT(MAX(ROW(E$1:E1091)*(E2=E$1:E1091))))))</f>
        <v> </v>
      </c>
      <c r="K1092" s="26" t="str">
        <f>IF(OR(E1092="",E1092="!!!",F1092="NEW"),"",INDEX(J$1:J1091,SUMPRODUCT(MAX(ROW(E$1:E1091)*(E1092=E$1:E1091)))))</f>
        <v> </v>
      </c>
      <c r="L1092" s="27"/>
    </row>
    <row r="1093" spans="1:12">
      <c r="A1093" s="20" t="s">
        <v>237</v>
      </c>
      <c r="E1093" s="22">
        <f>IF(D1093="?OLD","!!!","")</f>
        <v/>
      </c>
      <c r="F1093" s="23" t="str">
        <f>IF(OR(E1093="",E1093="!!!"),"",IF(NOT(ISNA(VLOOKUP(E1093,E$1:E1092,1,FALSE()))),"OLD",IF(AND(E1093&lt;&gt;"",E1093&lt;&gt;"!!!"),"NEW","")))</f>
        <v> </v>
      </c>
      <c r="G1093" s="24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5" t="str">
        <f>IF(J1093&lt;&gt;1,"",IF(I1093="SBJ","CB","?"))</f>
        <v> </v>
      </c>
      <c r="I1093" s="26" t="str">
        <f>IF(OR(E1093="",E1093="!!!",F1093="NEW"),"",INDEX(B1092:B$2,-1+SUMPRODUCT(MAX(ROW(E1092:E$2)*(E1093=E1092:E$2)))))</f>
        <v> </v>
      </c>
      <c r="J1093" s="26" t="str">
        <f>IF(OR(E1093="",E1093="!!!",F1093="NEW"),"",COUNTBLANK(OFFSET(A$1,,,SUMPRODUCT(MAX(ROW(E$2:E1093)*(E1093=E$2:E1093)))))-COUNTBLANK(OFFSET(A$1,,,SUMPRODUCT(MAX(ROW(E$1:E1092)*(E2=E$1:E1092))))))</f>
        <v> </v>
      </c>
      <c r="K1093" s="26" t="str">
        <f>IF(OR(E1093="",E1093="!!!",F1093="NEW"),"",INDEX(J$1:J1092,SUMPRODUCT(MAX(ROW(E$1:E1092)*(E1093=E$1:E1092)))))</f>
        <v> </v>
      </c>
      <c r="L1093" s="27"/>
    </row>
    <row r="1094" spans="1:12">
      <c r="A1094" s="20" t="s">
        <v>327</v>
      </c>
      <c r="B1094" s="21" t="s">
        <v>184</v>
      </c>
      <c r="C1094" s="21" t="s">
        <v>219</v>
      </c>
      <c r="E1094" s="22">
        <f>IF(D1094="?OLD","!!!","")</f>
        <v/>
      </c>
      <c r="F1094" s="23" t="str">
        <f>IF(OR(E1094="",E1094="!!!"),"",IF(NOT(ISNA(VLOOKUP(E1094,E$1:E1093,1,FALSE()))),"OLD",IF(AND(E1094&lt;&gt;"",E1094&lt;&gt;"!!!"),"NEW","")))</f>
        <v> </v>
      </c>
      <c r="G1094" s="24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5" t="str">
        <f>IF(J1094&lt;&gt;1,"",IF(I1094="SBJ","CB","?"))</f>
        <v> </v>
      </c>
      <c r="I1094" s="26" t="str">
        <f>IF(OR(E1094="",E1094="!!!",F1094="NEW"),"",INDEX(B1093:B$2,-1+SUMPRODUCT(MAX(ROW(E1093:E$2)*(E1094=E1093:E$2)))))</f>
        <v> </v>
      </c>
      <c r="J1094" s="26" t="str">
        <f>IF(OR(E1094="",E1094="!!!",F1094="NEW"),"",COUNTBLANK(OFFSET(A$1,,,SUMPRODUCT(MAX(ROW(E$2:E1094)*(E1094=E$2:E1094)))))-COUNTBLANK(OFFSET(A$1,,,SUMPRODUCT(MAX(ROW(E$1:E1093)*(E2=E$1:E1093))))))</f>
        <v> </v>
      </c>
      <c r="K1094" s="26" t="str">
        <f>IF(OR(E1094="",E1094="!!!",F1094="NEW"),"",INDEX(J$1:J1093,SUMPRODUCT(MAX(ROW(E$1:E1093)*(E1094=E$1:E1093)))))</f>
        <v> </v>
      </c>
      <c r="L1094" s="27"/>
    </row>
    <row r="1095" spans="1:12">
      <c r="A1095" s="20" t="s">
        <v>243</v>
      </c>
      <c r="E1095" s="22">
        <f>IF(D1095="?OLD","!!!","")</f>
        <v/>
      </c>
      <c r="F1095" s="23" t="str">
        <f>IF(OR(E1095="",E1095="!!!"),"",IF(NOT(ISNA(VLOOKUP(E1095,E$1:E1094,1,FALSE()))),"OLD",IF(AND(E1095&lt;&gt;"",E1095&lt;&gt;"!!!"),"NEW","")))</f>
        <v> </v>
      </c>
      <c r="G1095" s="24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5" t="str">
        <f>IF(J1095&lt;&gt;1,"",IF(I1095="SBJ","CB","?"))</f>
        <v> </v>
      </c>
      <c r="I1095" s="26" t="str">
        <f>IF(OR(E1095="",E1095="!!!",F1095="NEW"),"",INDEX(B1094:B$2,-1+SUMPRODUCT(MAX(ROW(E1094:E$2)*(E1095=E1094:E$2)))))</f>
        <v> </v>
      </c>
      <c r="J1095" s="26" t="str">
        <f>IF(OR(E1095="",E1095="!!!",F1095="NEW"),"",COUNTBLANK(OFFSET(A$1,,,SUMPRODUCT(MAX(ROW(E$2:E1095)*(E1095=E$2:E1095)))))-COUNTBLANK(OFFSET(A$1,,,SUMPRODUCT(MAX(ROW(E$1:E1094)*(E2=E$1:E1094))))))</f>
        <v> </v>
      </c>
      <c r="K1095" s="26" t="str">
        <f>IF(OR(E1095="",E1095="!!!",F1095="NEW"),"",INDEX(J$1:J1094,SUMPRODUCT(MAX(ROW(E$1:E1094)*(E1095=E$1:E1094)))))</f>
        <v> </v>
      </c>
      <c r="L1095" s="27"/>
    </row>
    <row r="1096" spans="1:12">
      <c r="A1096" s="20" t="s">
        <v>187</v>
      </c>
      <c r="E1096" s="22">
        <f>IF(D1096="?OLD","!!!","")</f>
        <v/>
      </c>
      <c r="F1096" s="23" t="str">
        <f>IF(OR(E1096="",E1096="!!!"),"",IF(NOT(ISNA(VLOOKUP(E1096,E$1:E1095,1,FALSE()))),"OLD",IF(AND(E1096&lt;&gt;"",E1096&lt;&gt;"!!!"),"NEW","")))</f>
        <v> </v>
      </c>
      <c r="G1096" s="24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5" t="str">
        <f>IF(J1096&lt;&gt;1,"",IF(I1096="SBJ","CB","?"))</f>
        <v> </v>
      </c>
      <c r="I1096" s="26" t="str">
        <f>IF(OR(E1096="",E1096="!!!",F1096="NEW"),"",INDEX(B1095:B$2,-1+SUMPRODUCT(MAX(ROW(E1095:E$2)*(E1096=E1095:E$2)))))</f>
        <v> </v>
      </c>
      <c r="J1096" s="26" t="str">
        <f>IF(OR(E1096="",E1096="!!!",F1096="NEW"),"",COUNTBLANK(OFFSET(A$1,,,SUMPRODUCT(MAX(ROW(E$2:E1096)*(E1096=E$2:E1096)))))-COUNTBLANK(OFFSET(A$1,,,SUMPRODUCT(MAX(ROW(E$1:E1095)*(E2=E$1:E1095))))))</f>
        <v> </v>
      </c>
      <c r="K1096" s="26" t="str">
        <f>IF(OR(E1096="",E1096="!!!",F1096="NEW"),"",INDEX(J$1:J1095,SUMPRODUCT(MAX(ROW(E$1:E1095)*(E1096=E$1:E1095)))))</f>
        <v> </v>
      </c>
      <c r="L1096" s="27"/>
    </row>
    <row r="1097" spans="1:12">
      <c r="A1097" s="20" t="s">
        <v>643</v>
      </c>
      <c r="B1097" s="21" t="s">
        <v>199</v>
      </c>
      <c r="C1097" s="21" t="s">
        <v>189</v>
      </c>
      <c r="D1097" s="21" t="s">
        <v>168</v>
      </c>
      <c r="E1097" s="22">
        <f>IF(D1097="?OLD","!!!","")</f>
        <v/>
      </c>
      <c r="F1097" s="23" t="str">
        <f>IF(OR(E1097="",E1097="!!!"),"",IF(NOT(ISNA(VLOOKUP(E1097,E$1:E1096,1,FALSE()))),"OLD",IF(AND(E1097&lt;&gt;"",E1097&lt;&gt;"!!!"),"NEW","")))</f>
        <v> </v>
      </c>
      <c r="G1097" s="24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5" t="str">
        <f>IF(J1097&lt;&gt;1,"",IF(I1097="SBJ","CB","?"))</f>
        <v> </v>
      </c>
      <c r="I1097" s="26" t="str">
        <f>IF(OR(E1097="",E1097="!!!",F1097="NEW"),"",INDEX(B1096:B$2,-1+SUMPRODUCT(MAX(ROW(E1096:E$2)*(E1097=E1096:E$2)))))</f>
        <v> </v>
      </c>
      <c r="J1097" s="26" t="str">
        <f>IF(OR(E1097="",E1097="!!!",F1097="NEW"),"",COUNTBLANK(OFFSET(A$1,,,SUMPRODUCT(MAX(ROW(E$2:E1097)*(E1097=E$2:E1097)))))-COUNTBLANK(OFFSET(A$1,,,SUMPRODUCT(MAX(ROW(E$1:E1096)*(E2=E$1:E1096))))))</f>
        <v> </v>
      </c>
      <c r="K1097" s="26" t="str">
        <f>IF(OR(E1097="",E1097="!!!",F1097="NEW"),"",INDEX(J$1:J1096,SUMPRODUCT(MAX(ROW(E$1:E1096)*(E1097=E$1:E1096)))))</f>
        <v> </v>
      </c>
      <c r="L1097" s="27"/>
    </row>
    <row r="1098" spans="1:12">
      <c r="A1098" s="20" t="s">
        <v>248</v>
      </c>
      <c r="E1098" s="22">
        <f>IF(D1098="?OLD","!!!","")</f>
        <v/>
      </c>
      <c r="F1098" s="23" t="str">
        <f>IF(OR(E1098="",E1098="!!!"),"",IF(NOT(ISNA(VLOOKUP(E1098,E$1:E1097,1,FALSE()))),"OLD",IF(AND(E1098&lt;&gt;"",E1098&lt;&gt;"!!!"),"NEW","")))</f>
        <v> </v>
      </c>
      <c r="G1098" s="24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5" t="str">
        <f>IF(J1098&lt;&gt;1,"",IF(I1098="SBJ","CB","?"))</f>
        <v> </v>
      </c>
      <c r="I1098" s="26" t="str">
        <f>IF(OR(E1098="",E1098="!!!",F1098="NEW"),"",INDEX(B1097:B$2,-1+SUMPRODUCT(MAX(ROW(E1097:E$2)*(E1098=E1097:E$2)))))</f>
        <v> </v>
      </c>
      <c r="J1098" s="26" t="str">
        <f>IF(OR(E1098="",E1098="!!!",F1098="NEW"),"",COUNTBLANK(OFFSET(A$1,,,SUMPRODUCT(MAX(ROW(E$2:E1098)*(E1098=E$2:E1098)))))-COUNTBLANK(OFFSET(A$1,,,SUMPRODUCT(MAX(ROW(E$1:E1097)*(E2=E$1:E1097))))))</f>
        <v> </v>
      </c>
      <c r="K1098" s="26" t="str">
        <f>IF(OR(E1098="",E1098="!!!",F1098="NEW"),"",INDEX(J$1:J1097,SUMPRODUCT(MAX(ROW(E$1:E1097)*(E1098=E$1:E1097)))))</f>
        <v> </v>
      </c>
      <c r="L1098" s="27"/>
    </row>
    <row r="1099" spans="1:12">
      <c r="A1099" s="20" t="s">
        <v>249</v>
      </c>
      <c r="B1099" s="21" t="s">
        <v>180</v>
      </c>
      <c r="C1099" s="21" t="s">
        <v>189</v>
      </c>
      <c r="D1099" s="21" t="s">
        <v>168</v>
      </c>
      <c r="E1099" s="22">
        <f>IF(D1099="?OLD","!!!","")</f>
        <v/>
      </c>
      <c r="F1099" s="23" t="str">
        <f>IF(OR(E1099="",E1099="!!!"),"",IF(NOT(ISNA(VLOOKUP(E1099,E$1:E1098,1,FALSE()))),"OLD",IF(AND(E1099&lt;&gt;"",E1099&lt;&gt;"!!!"),"NEW","")))</f>
        <v> </v>
      </c>
      <c r="G1099" s="24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5" t="str">
        <f>IF(J1099&lt;&gt;1,"",IF(I1099="SBJ","CB","?"))</f>
        <v> </v>
      </c>
      <c r="I1099" s="26" t="str">
        <f>IF(OR(E1099="",E1099="!!!",F1099="NEW"),"",INDEX(B1098:B$2,-1+SUMPRODUCT(MAX(ROW(E1098:E$2)*(E1099=E1098:E$2)))))</f>
        <v> </v>
      </c>
      <c r="J1099" s="26" t="str">
        <f>IF(OR(E1099="",E1099="!!!",F1099="NEW"),"",COUNTBLANK(OFFSET(A$1,,,SUMPRODUCT(MAX(ROW(E$2:E1099)*(E1099=E$2:E1099)))))-COUNTBLANK(OFFSET(A$1,,,SUMPRODUCT(MAX(ROW(E$1:E1098)*(E2=E$1:E1098))))))</f>
        <v> </v>
      </c>
      <c r="K1099" s="26" t="str">
        <f>IF(OR(E1099="",E1099="!!!",F1099="NEW"),"",INDEX(J$1:J1098,SUMPRODUCT(MAX(ROW(E$1:E1098)*(E1099=E$1:E1098)))))</f>
        <v> </v>
      </c>
      <c r="L1099" s="27"/>
    </row>
    <row r="1100" spans="1:12">
      <c r="A1100" s="20" t="s">
        <v>248</v>
      </c>
      <c r="E1100" s="22">
        <f>IF(D1100="?OLD","!!!","")</f>
        <v/>
      </c>
      <c r="F1100" s="23" t="str">
        <f>IF(OR(E1100="",E1100="!!!"),"",IF(NOT(ISNA(VLOOKUP(E1100,E$1:E1099,1,FALSE()))),"OLD",IF(AND(E1100&lt;&gt;"",E1100&lt;&gt;"!!!"),"NEW","")))</f>
        <v> </v>
      </c>
      <c r="G1100" s="24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5" t="str">
        <f>IF(J1100&lt;&gt;1,"",IF(I1100="SBJ","CB","?"))</f>
        <v> </v>
      </c>
      <c r="I1100" s="26" t="str">
        <f>IF(OR(E1100="",E1100="!!!",F1100="NEW"),"",INDEX(B1099:B$2,-1+SUMPRODUCT(MAX(ROW(E1099:E$2)*(E1100=E1099:E$2)))))</f>
        <v> </v>
      </c>
      <c r="J1100" s="26" t="str">
        <f>IF(OR(E1100="",E1100="!!!",F1100="NEW"),"",COUNTBLANK(OFFSET(A$1,,,SUMPRODUCT(MAX(ROW(E$2:E1100)*(E1100=E$2:E1100)))))-COUNTBLANK(OFFSET(A$1,,,SUMPRODUCT(MAX(ROW(E$1:E1099)*(E2=E$1:E1099))))))</f>
        <v> </v>
      </c>
      <c r="K1100" s="26" t="str">
        <f>IF(OR(E1100="",E1100="!!!",F1100="NEW"),"",INDEX(J$1:J1099,SUMPRODUCT(MAX(ROW(E$1:E1099)*(E1100=E$1:E1099)))))</f>
        <v> </v>
      </c>
      <c r="L1100" s="27"/>
    </row>
    <row r="1101" spans="1:12">
      <c r="A1101" s="20" t="s">
        <v>322</v>
      </c>
      <c r="B1101" s="21" t="s">
        <v>191</v>
      </c>
      <c r="C1101" s="21" t="s">
        <v>189</v>
      </c>
      <c r="D1101" s="21" t="s">
        <v>168</v>
      </c>
      <c r="E1101" s="22">
        <f>IF(D1101="?OLD","!!!","")</f>
        <v/>
      </c>
      <c r="F1101" s="23" t="str">
        <f>IF(OR(E1101="",E1101="!!!"),"",IF(NOT(ISNA(VLOOKUP(E1101,E$1:E1100,1,FALSE()))),"OLD",IF(AND(E1101&lt;&gt;"",E1101&lt;&gt;"!!!"),"NEW","")))</f>
        <v> </v>
      </c>
      <c r="G1101" s="24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5" t="str">
        <f>IF(J1101&lt;&gt;1,"",IF(I1101="SBJ","CB","?"))</f>
        <v> </v>
      </c>
      <c r="I1101" s="26" t="str">
        <f>IF(OR(E1101="",E1101="!!!",F1101="NEW"),"",INDEX(B1100:B$2,-1+SUMPRODUCT(MAX(ROW(E1100:E$2)*(E1101=E1100:E$2)))))</f>
        <v> </v>
      </c>
      <c r="J1101" s="26" t="str">
        <f>IF(OR(E1101="",E1101="!!!",F1101="NEW"),"",COUNTBLANK(OFFSET(A$1,,,SUMPRODUCT(MAX(ROW(E$2:E1101)*(E1101=E$2:E1101)))))-COUNTBLANK(OFFSET(A$1,,,SUMPRODUCT(MAX(ROW(E$1:E1100)*(E2=E$1:E1100))))))</f>
        <v> </v>
      </c>
      <c r="K1101" s="26" t="str">
        <f>IF(OR(E1101="",E1101="!!!",F1101="NEW"),"",INDEX(J$1:J1100,SUMPRODUCT(MAX(ROW(E$1:E1100)*(E1101=E$1:E1100)))))</f>
        <v> </v>
      </c>
      <c r="L1101" s="27"/>
    </row>
    <row r="1102" spans="1:12">
      <c r="A1102" s="20" t="s">
        <v>193</v>
      </c>
      <c r="E1102" s="22">
        <f>IF(D1102="?OLD","!!!","")</f>
        <v/>
      </c>
      <c r="F1102" s="23" t="str">
        <f>IF(OR(E1102="",E1102="!!!"),"",IF(NOT(ISNA(VLOOKUP(E1102,E$1:E1101,1,FALSE()))),"OLD",IF(AND(E1102&lt;&gt;"",E1102&lt;&gt;"!!!"),"NEW","")))</f>
        <v> </v>
      </c>
      <c r="G1102" s="24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5" t="str">
        <f>IF(J1102&lt;&gt;1,"",IF(I1102="SBJ","CB","?"))</f>
        <v> </v>
      </c>
      <c r="I1102" s="26" t="str">
        <f>IF(OR(E1102="",E1102="!!!",F1102="NEW"),"",INDEX(B1101:B$2,-1+SUMPRODUCT(MAX(ROW(E1101:E$2)*(E1102=E1101:E$2)))))</f>
        <v> </v>
      </c>
      <c r="J1102" s="26" t="str">
        <f>IF(OR(E1102="",E1102="!!!",F1102="NEW"),"",COUNTBLANK(OFFSET(A$1,,,SUMPRODUCT(MAX(ROW(E$2:E1102)*(E1102=E$2:E1102)))))-COUNTBLANK(OFFSET(A$1,,,SUMPRODUCT(MAX(ROW(E$1:E1101)*(E2=E$1:E1101))))))</f>
        <v> </v>
      </c>
      <c r="K1102" s="26" t="str">
        <f>IF(OR(E1102="",E1102="!!!",F1102="NEW"),"",INDEX(J$1:J1101,SUMPRODUCT(MAX(ROW(E$1:E1101)*(E1102=E$1:E1101)))))</f>
        <v> </v>
      </c>
      <c r="L1102" s="27"/>
    </row>
    <row r="1103" spans="1:12">
      <c r="A1103" s="20" t="s">
        <v>187</v>
      </c>
      <c r="B1103" s="21" t="s">
        <v>551</v>
      </c>
      <c r="E1103" s="22">
        <f>IF(D1103="?OLD","!!!","")</f>
        <v/>
      </c>
      <c r="F1103" s="23" t="str">
        <f>IF(OR(E1103="",E1103="!!!"),"",IF(NOT(ISNA(VLOOKUP(E1103,E$1:E1102,1,FALSE()))),"OLD",IF(AND(E1103&lt;&gt;"",E1103&lt;&gt;"!!!"),"NEW","")))</f>
        <v> </v>
      </c>
      <c r="G1103" s="24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5" t="str">
        <f>IF(J1103&lt;&gt;1,"",IF(I1103="SBJ","CB","?"))</f>
        <v> </v>
      </c>
      <c r="I1103" s="26" t="str">
        <f>IF(OR(E1103="",E1103="!!!",F1103="NEW"),"",INDEX(B1102:B$2,-1+SUMPRODUCT(MAX(ROW(E1102:E$2)*(E1103=E1102:E$2)))))</f>
        <v> </v>
      </c>
      <c r="J1103" s="26" t="str">
        <f>IF(OR(E1103="",E1103="!!!",F1103="NEW"),"",COUNTBLANK(OFFSET(A$1,,,SUMPRODUCT(MAX(ROW(E$2:E1103)*(E1103=E$2:E1103)))))-COUNTBLANK(OFFSET(A$1,,,SUMPRODUCT(MAX(ROW(E$1:E1102)*(E2=E$1:E1102))))))</f>
        <v> </v>
      </c>
      <c r="K1103" s="26" t="str">
        <f>IF(OR(E1103="",E1103="!!!",F1103="NEW"),"",INDEX(J$1:J1102,SUMPRODUCT(MAX(ROW(E$1:E1102)*(E1103=E$1:E1102)))))</f>
        <v> </v>
      </c>
      <c r="L1103" s="27"/>
    </row>
    <row r="1104" spans="1:12">
      <c r="A1104" s="20" t="s">
        <v>397</v>
      </c>
      <c r="E1104" s="22">
        <f>IF(D1104="?OLD","!!!","")</f>
        <v/>
      </c>
      <c r="F1104" s="23" t="str">
        <f>IF(OR(E1104="",E1104="!!!"),"",IF(NOT(ISNA(VLOOKUP(E1104,E$1:E1103,1,FALSE()))),"OLD",IF(AND(E1104&lt;&gt;"",E1104&lt;&gt;"!!!"),"NEW","")))</f>
        <v> </v>
      </c>
      <c r="G1104" s="24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5" t="str">
        <f>IF(J1104&lt;&gt;1,"",IF(I1104="SBJ","CB","?"))</f>
        <v> </v>
      </c>
      <c r="I1104" s="26" t="str">
        <f>IF(OR(E1104="",E1104="!!!",F1104="NEW"),"",INDEX(B1103:B$2,-1+SUMPRODUCT(MAX(ROW(E1103:E$2)*(E1104=E1103:E$2)))))</f>
        <v> </v>
      </c>
      <c r="J1104" s="26" t="str">
        <f>IF(OR(E1104="",E1104="!!!",F1104="NEW"),"",COUNTBLANK(OFFSET(A$1,,,SUMPRODUCT(MAX(ROW(E$2:E1104)*(E1104=E$2:E1104)))))-COUNTBLANK(OFFSET(A$1,,,SUMPRODUCT(MAX(ROW(E$1:E1103)*(E2=E$1:E1103))))))</f>
        <v> </v>
      </c>
      <c r="K1104" s="26" t="str">
        <f>IF(OR(E1104="",E1104="!!!",F1104="NEW"),"",INDEX(J$1:J1103,SUMPRODUCT(MAX(ROW(E$1:E1103)*(E1104=E$1:E1103)))))</f>
        <v> </v>
      </c>
      <c r="L1104" s="27"/>
    </row>
    <row r="1105" spans="1:12">
      <c r="A1105" s="20" t="s">
        <v>644</v>
      </c>
      <c r="E1105" s="22">
        <f>IF(D1105="?OLD","!!!","")</f>
        <v/>
      </c>
      <c r="F1105" s="23" t="str">
        <f>IF(OR(E1105="",E1105="!!!"),"",IF(NOT(ISNA(VLOOKUP(E1105,E$1:E1104,1,FALSE()))),"OLD",IF(AND(E1105&lt;&gt;"",E1105&lt;&gt;"!!!"),"NEW","")))</f>
        <v> </v>
      </c>
      <c r="G1105" s="24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5" t="str">
        <f>IF(J1105&lt;&gt;1,"",IF(I1105="SBJ","CB","?"))</f>
        <v> </v>
      </c>
      <c r="I1105" s="26" t="str">
        <f>IF(OR(E1105="",E1105="!!!",F1105="NEW"),"",INDEX(B1104:B$2,-1+SUMPRODUCT(MAX(ROW(E1104:E$2)*(E1105=E1104:E$2)))))</f>
        <v> </v>
      </c>
      <c r="J1105" s="26" t="str">
        <f>IF(OR(E1105="",E1105="!!!",F1105="NEW"),"",COUNTBLANK(OFFSET(A$1,,,SUMPRODUCT(MAX(ROW(E$2:E1105)*(E1105=E$2:E1105)))))-COUNTBLANK(OFFSET(A$1,,,SUMPRODUCT(MAX(ROW(E$1:E1104)*(E2=E$1:E1104))))))</f>
        <v> </v>
      </c>
      <c r="K1105" s="26" t="str">
        <f>IF(OR(E1105="",E1105="!!!",F1105="NEW"),"",INDEX(J$1:J1104,SUMPRODUCT(MAX(ROW(E$1:E1104)*(E1105=E$1:E1104)))))</f>
        <v> </v>
      </c>
      <c r="L1105" s="27"/>
    </row>
    <row r="1106" spans="1:12">
      <c r="A1106" s="20" t="s">
        <v>220</v>
      </c>
      <c r="E1106" s="22">
        <f>IF(D1106="?OLD","!!!","")</f>
        <v/>
      </c>
      <c r="F1106" s="23" t="str">
        <f>IF(OR(E1106="",E1106="!!!"),"",IF(NOT(ISNA(VLOOKUP(E1106,E$1:E1105,1,FALSE()))),"OLD",IF(AND(E1106&lt;&gt;"",E1106&lt;&gt;"!!!"),"NEW","")))</f>
        <v> </v>
      </c>
      <c r="G1106" s="24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5" t="str">
        <f>IF(J1106&lt;&gt;1,"",IF(I1106="SBJ","CB","?"))</f>
        <v> </v>
      </c>
      <c r="I1106" s="26" t="str">
        <f>IF(OR(E1106="",E1106="!!!",F1106="NEW"),"",INDEX(B1105:B$2,-1+SUMPRODUCT(MAX(ROW(E1105:E$2)*(E1106=E1105:E$2)))))</f>
        <v> </v>
      </c>
      <c r="J1106" s="26" t="str">
        <f>IF(OR(E1106="",E1106="!!!",F1106="NEW"),"",COUNTBLANK(OFFSET(A$1,,,SUMPRODUCT(MAX(ROW(E$2:E1106)*(E1106=E$2:E1106)))))-COUNTBLANK(OFFSET(A$1,,,SUMPRODUCT(MAX(ROW(E$1:E1105)*(E2=E$1:E1105))))))</f>
        <v> </v>
      </c>
      <c r="K1106" s="26" t="str">
        <f>IF(OR(E1106="",E1106="!!!",F1106="NEW"),"",INDEX(J$1:J1105,SUMPRODUCT(MAX(ROW(E$1:E1105)*(E1106=E$1:E1105)))))</f>
        <v> </v>
      </c>
      <c r="L1106" s="27"/>
    </row>
    <row r="1107" spans="1:12">
      <c r="A1107" s="20"/>
    </row>
    <row r="1108" spans="1:12">
      <c r="A1108" s="20" t="s">
        <v>645</v>
      </c>
    </row>
    <row r="1109" spans="1:12">
      <c r="A1109" s="20" t="s">
        <v>182</v>
      </c>
      <c r="E1109" s="22">
        <f>IF(D1109="?OLD","!!!","")</f>
        <v/>
      </c>
      <c r="F1109" s="23" t="str">
        <f>IF(OR(E1109="",E1109="!!!"),"",IF(NOT(ISNA(VLOOKUP(E1109,E$1:E1108,1,FALSE()))),"OLD",IF(AND(E1109&lt;&gt;"",E1109&lt;&gt;"!!!"),"NEW","")))</f>
        <v> </v>
      </c>
      <c r="G1109" s="24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5" t="str">
        <f>IF(J1109&lt;&gt;1,"",IF(I1109="SBJ","CB","?"))</f>
        <v> </v>
      </c>
      <c r="I1109" s="26" t="str">
        <f>IF(OR(E1109="",E1109="!!!",F1109="NEW"),"",INDEX(B1108:B$2,-1+SUMPRODUCT(MAX(ROW(E1108:E$2)*(E1109=E1108:E$2)))))</f>
        <v> </v>
      </c>
      <c r="J1109" s="26" t="str">
        <f>IF(OR(E1109="",E1109="!!!",F1109="NEW"),"",COUNTBLANK(OFFSET(A$1,,,SUMPRODUCT(MAX(ROW(E$2:E1109)*(E1109=E$2:E1109)))))-COUNTBLANK(OFFSET(A$1,,,SUMPRODUCT(MAX(ROW(E$1:E1108)*(E2=E$1:E1108))))))</f>
        <v> </v>
      </c>
      <c r="K1109" s="26" t="str">
        <f>IF(OR(E1109="",E1109="!!!",F1109="NEW"),"",INDEX(J$1:J1108,SUMPRODUCT(MAX(ROW(E$1:E1108)*(E1109=E$1:E1108)))))</f>
        <v> </v>
      </c>
      <c r="L1109" s="27"/>
    </row>
    <row r="1110" spans="1:12">
      <c r="A1110" s="20" t="s">
        <v>183</v>
      </c>
      <c r="B1110" s="21" t="s">
        <v>184</v>
      </c>
      <c r="C1110" s="21" t="s">
        <v>185</v>
      </c>
      <c r="D1110" s="21" t="s">
        <v>168</v>
      </c>
      <c r="E1110" s="22">
        <f>IF(D1110="?OLD","!!!","")</f>
        <v/>
      </c>
      <c r="F1110" s="23" t="str">
        <f>IF(OR(E1110="",E1110="!!!"),"",IF(NOT(ISNA(VLOOKUP(E1110,E$1:E1109,1,FALSE()))),"OLD",IF(AND(E1110&lt;&gt;"",E1110&lt;&gt;"!!!"),"NEW","")))</f>
        <v> </v>
      </c>
      <c r="G1110" s="24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5" t="str">
        <f>IF(J1110&lt;&gt;1,"",IF(I1110="SBJ","CB","?"))</f>
        <v> </v>
      </c>
      <c r="I1110" s="26" t="str">
        <f>IF(OR(E1110="",E1110="!!!",F1110="NEW"),"",INDEX(B1109:B$2,-1+SUMPRODUCT(MAX(ROW(E1109:E$2)*(E1110=E1109:E$2)))))</f>
        <v> </v>
      </c>
      <c r="J1110" s="26" t="str">
        <f>IF(OR(E1110="",E1110="!!!",F1110="NEW"),"",COUNTBLANK(OFFSET(A$1,,,SUMPRODUCT(MAX(ROW(E$2:E1110)*(E1110=E$2:E1110)))))-COUNTBLANK(OFFSET(A$1,,,SUMPRODUCT(MAX(ROW(E$1:E1109)*(E2=E$1:E1109))))))</f>
        <v> </v>
      </c>
      <c r="K1110" s="26" t="str">
        <f>IF(OR(E1110="",E1110="!!!",F1110="NEW"),"",INDEX(J$1:J1109,SUMPRODUCT(MAX(ROW(E$1:E1109)*(E1110=E$1:E1109)))))</f>
        <v> </v>
      </c>
      <c r="L1110" s="27"/>
    </row>
    <row r="1111" spans="1:12">
      <c r="A1111" s="20" t="s">
        <v>571</v>
      </c>
      <c r="E1111" s="22">
        <f>IF(D1111="?OLD","!!!","")</f>
        <v/>
      </c>
      <c r="F1111" s="23" t="str">
        <f>IF(OR(E1111="",E1111="!!!"),"",IF(NOT(ISNA(VLOOKUP(E1111,E$1:E1110,1,FALSE()))),"OLD",IF(AND(E1111&lt;&gt;"",E1111&lt;&gt;"!!!"),"NEW","")))</f>
        <v> </v>
      </c>
      <c r="G1111" s="24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5" t="str">
        <f>IF(J1111&lt;&gt;1,"",IF(I1111="SBJ","CB","?"))</f>
        <v> </v>
      </c>
      <c r="I1111" s="26" t="str">
        <f>IF(OR(E1111="",E1111="!!!",F1111="NEW"),"",INDEX(B1110:B$2,-1+SUMPRODUCT(MAX(ROW(E1110:E$2)*(E1111=E1110:E$2)))))</f>
        <v> </v>
      </c>
      <c r="J1111" s="26" t="str">
        <f>IF(OR(E1111="",E1111="!!!",F1111="NEW"),"",COUNTBLANK(OFFSET(A$1,,,SUMPRODUCT(MAX(ROW(E$2:E1111)*(E1111=E$2:E1111)))))-COUNTBLANK(OFFSET(A$1,,,SUMPRODUCT(MAX(ROW(E$1:E1110)*(E2=E$1:E1110))))))</f>
        <v> </v>
      </c>
      <c r="K1111" s="26" t="str">
        <f>IF(OR(E1111="",E1111="!!!",F1111="NEW"),"",INDEX(J$1:J1110,SUMPRODUCT(MAX(ROW(E$1:E1110)*(E1111=E$1:E1110)))))</f>
        <v> </v>
      </c>
      <c r="L1111" s="27"/>
    </row>
    <row r="1112" spans="1:12">
      <c r="A1112" s="20" t="s">
        <v>259</v>
      </c>
      <c r="E1112" s="22">
        <f>IF(D1112="?OLD","!!!","")</f>
        <v/>
      </c>
      <c r="F1112" s="23" t="str">
        <f>IF(OR(E1112="",E1112="!!!"),"",IF(NOT(ISNA(VLOOKUP(E1112,E$1:E1111,1,FALSE()))),"OLD",IF(AND(E1112&lt;&gt;"",E1112&lt;&gt;"!!!"),"NEW","")))</f>
        <v> </v>
      </c>
      <c r="G1112" s="24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5" t="str">
        <f>IF(J1112&lt;&gt;1,"",IF(I1112="SBJ","CB","?"))</f>
        <v> </v>
      </c>
      <c r="I1112" s="26" t="str">
        <f>IF(OR(E1112="",E1112="!!!",F1112="NEW"),"",INDEX(B1111:B$2,-1+SUMPRODUCT(MAX(ROW(E1111:E$2)*(E1112=E1111:E$2)))))</f>
        <v> </v>
      </c>
      <c r="J1112" s="26" t="str">
        <f>IF(OR(E1112="",E1112="!!!",F1112="NEW"),"",COUNTBLANK(OFFSET(A$1,,,SUMPRODUCT(MAX(ROW(E$2:E1112)*(E1112=E$2:E1112)))))-COUNTBLANK(OFFSET(A$1,,,SUMPRODUCT(MAX(ROW(E$1:E1111)*(E2=E$1:E1111))))))</f>
        <v> </v>
      </c>
      <c r="K1112" s="26" t="str">
        <f>IF(OR(E1112="",E1112="!!!",F1112="NEW"),"",INDEX(J$1:J1111,SUMPRODUCT(MAX(ROW(E$1:E1111)*(E1112=E$1:E1111)))))</f>
        <v> </v>
      </c>
      <c r="L1112" s="27"/>
    </row>
    <row r="1113" spans="1:12">
      <c r="A1113" s="20" t="s">
        <v>193</v>
      </c>
      <c r="E1113" s="22">
        <f>IF(D1113="?OLD","!!!","")</f>
        <v/>
      </c>
      <c r="F1113" s="23" t="str">
        <f>IF(OR(E1113="",E1113="!!!"),"",IF(NOT(ISNA(VLOOKUP(E1113,E$1:E1112,1,FALSE()))),"OLD",IF(AND(E1113&lt;&gt;"",E1113&lt;&gt;"!!!"),"NEW","")))</f>
        <v> </v>
      </c>
      <c r="G1113" s="24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5" t="str">
        <f>IF(J1113&lt;&gt;1,"",IF(I1113="SBJ","CB","?"))</f>
        <v> </v>
      </c>
      <c r="I1113" s="26" t="str">
        <f>IF(OR(E1113="",E1113="!!!",F1113="NEW"),"",INDEX(B1112:B$2,-1+SUMPRODUCT(MAX(ROW(E1112:E$2)*(E1113=E1112:E$2)))))</f>
        <v> </v>
      </c>
      <c r="J1113" s="26" t="str">
        <f>IF(OR(E1113="",E1113="!!!",F1113="NEW"),"",COUNTBLANK(OFFSET(A$1,,,SUMPRODUCT(MAX(ROW(E$2:E1113)*(E1113=E$2:E1113)))))-COUNTBLANK(OFFSET(A$1,,,SUMPRODUCT(MAX(ROW(E$1:E1112)*(E2=E$1:E1112))))))</f>
        <v> </v>
      </c>
      <c r="K1113" s="26" t="str">
        <f>IF(OR(E1113="",E1113="!!!",F1113="NEW"),"",INDEX(J$1:J1112,SUMPRODUCT(MAX(ROW(E$1:E1112)*(E1113=E$1:E1112)))))</f>
        <v> </v>
      </c>
      <c r="L1113" s="27"/>
    </row>
    <row r="1114" spans="1:12">
      <c r="A1114" s="20" t="s">
        <v>187</v>
      </c>
      <c r="E1114" s="22">
        <f>IF(D1114="?OLD","!!!","")</f>
        <v/>
      </c>
      <c r="F1114" s="23" t="str">
        <f>IF(OR(E1114="",E1114="!!!"),"",IF(NOT(ISNA(VLOOKUP(E1114,E$1:E1113,1,FALSE()))),"OLD",IF(AND(E1114&lt;&gt;"",E1114&lt;&gt;"!!!"),"NEW","")))</f>
        <v> </v>
      </c>
      <c r="G1114" s="24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5" t="str">
        <f>IF(J1114&lt;&gt;1,"",IF(I1114="SBJ","CB","?"))</f>
        <v> </v>
      </c>
      <c r="I1114" s="26" t="str">
        <f>IF(OR(E1114="",E1114="!!!",F1114="NEW"),"",INDEX(B1113:B$2,-1+SUMPRODUCT(MAX(ROW(E1113:E$2)*(E1114=E1113:E$2)))))</f>
        <v> </v>
      </c>
      <c r="J1114" s="26" t="str">
        <f>IF(OR(E1114="",E1114="!!!",F1114="NEW"),"",COUNTBLANK(OFFSET(A$1,,,SUMPRODUCT(MAX(ROW(E$2:E1114)*(E1114=E$2:E1114)))))-COUNTBLANK(OFFSET(A$1,,,SUMPRODUCT(MAX(ROW(E$1:E1113)*(E2=E$1:E1113))))))</f>
        <v> </v>
      </c>
      <c r="K1114" s="26" t="str">
        <f>IF(OR(E1114="",E1114="!!!",F1114="NEW"),"",INDEX(J$1:J1113,SUMPRODUCT(MAX(ROW(E$1:E1113)*(E1114=E$1:E1113)))))</f>
        <v> </v>
      </c>
      <c r="L1114" s="27"/>
    </row>
    <row r="1115" spans="1:12">
      <c r="A1115" s="20" t="s">
        <v>249</v>
      </c>
      <c r="B1115" s="21" t="s">
        <v>366</v>
      </c>
      <c r="C1115" s="21" t="s">
        <v>189</v>
      </c>
      <c r="D1115" s="21" t="s">
        <v>168</v>
      </c>
      <c r="E1115" s="22">
        <f>IF(D1115="?OLD","!!!","")</f>
        <v/>
      </c>
      <c r="F1115" s="23" t="str">
        <f>IF(OR(E1115="",E1115="!!!"),"",IF(NOT(ISNA(VLOOKUP(E1115,E$1:E1114,1,FALSE()))),"OLD",IF(AND(E1115&lt;&gt;"",E1115&lt;&gt;"!!!"),"NEW","")))</f>
        <v> </v>
      </c>
      <c r="G1115" s="24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5" t="str">
        <f>IF(J1115&lt;&gt;1,"",IF(I1115="SBJ","CB","?"))</f>
        <v> </v>
      </c>
      <c r="I1115" s="26" t="str">
        <f>IF(OR(E1115="",E1115="!!!",F1115="NEW"),"",INDEX(B1114:B$2,-1+SUMPRODUCT(MAX(ROW(E1114:E$2)*(E1115=E1114:E$2)))))</f>
        <v> </v>
      </c>
      <c r="J1115" s="26" t="str">
        <f>IF(OR(E1115="",E1115="!!!",F1115="NEW"),"",COUNTBLANK(OFFSET(A$1,,,SUMPRODUCT(MAX(ROW(E$2:E1115)*(E1115=E$2:E1115)))))-COUNTBLANK(OFFSET(A$1,,,SUMPRODUCT(MAX(ROW(E$1:E1114)*(E2=E$1:E1114))))))</f>
        <v> </v>
      </c>
      <c r="K1115" s="26" t="str">
        <f>IF(OR(E1115="",E1115="!!!",F1115="NEW"),"",INDEX(J$1:J1114,SUMPRODUCT(MAX(ROW(E$1:E1114)*(E1115=E$1:E1114)))))</f>
        <v> </v>
      </c>
      <c r="L1115" s="27"/>
    </row>
    <row r="1116" spans="1:12">
      <c r="A1116" s="20" t="s">
        <v>491</v>
      </c>
      <c r="E1116" s="22">
        <f>IF(D1116="?OLD","!!!","")</f>
        <v/>
      </c>
      <c r="F1116" s="23" t="str">
        <f>IF(OR(E1116="",E1116="!!!"),"",IF(NOT(ISNA(VLOOKUP(E1116,E$1:E1115,1,FALSE()))),"OLD",IF(AND(E1116&lt;&gt;"",E1116&lt;&gt;"!!!"),"NEW","")))</f>
        <v> </v>
      </c>
      <c r="G1116" s="24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5" t="str">
        <f>IF(J1116&lt;&gt;1,"",IF(I1116="SBJ","CB","?"))</f>
        <v> </v>
      </c>
      <c r="I1116" s="26" t="str">
        <f>IF(OR(E1116="",E1116="!!!",F1116="NEW"),"",INDEX(B1115:B$2,-1+SUMPRODUCT(MAX(ROW(E1115:E$2)*(E1116=E1115:E$2)))))</f>
        <v> </v>
      </c>
      <c r="J1116" s="26" t="str">
        <f>IF(OR(E1116="",E1116="!!!",F1116="NEW"),"",COUNTBLANK(OFFSET(A$1,,,SUMPRODUCT(MAX(ROW(E$2:E1116)*(E1116=E$2:E1116)))))-COUNTBLANK(OFFSET(A$1,,,SUMPRODUCT(MAX(ROW(E$1:E1115)*(E2=E$1:E1115))))))</f>
        <v> </v>
      </c>
      <c r="K1116" s="26" t="str">
        <f>IF(OR(E1116="",E1116="!!!",F1116="NEW"),"",INDEX(J$1:J1115,SUMPRODUCT(MAX(ROW(E$1:E1115)*(E1116=E$1:E1115)))))</f>
        <v> </v>
      </c>
      <c r="L1116" s="27"/>
    </row>
    <row r="1117" spans="1:12">
      <c r="A1117" s="20" t="s">
        <v>203</v>
      </c>
      <c r="E1117" s="22">
        <f>IF(D1117="?OLD","!!!","")</f>
        <v/>
      </c>
      <c r="F1117" s="23" t="str">
        <f>IF(OR(E1117="",E1117="!!!"),"",IF(NOT(ISNA(VLOOKUP(E1117,E$1:E1116,1,FALSE()))),"OLD",IF(AND(E1117&lt;&gt;"",E1117&lt;&gt;"!!!"),"NEW","")))</f>
        <v> </v>
      </c>
      <c r="G1117" s="24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5" t="str">
        <f>IF(J1117&lt;&gt;1,"",IF(I1117="SBJ","CB","?"))</f>
        <v> </v>
      </c>
      <c r="I1117" s="26" t="str">
        <f>IF(OR(E1117="",E1117="!!!",F1117="NEW"),"",INDEX(B1116:B$2,-1+SUMPRODUCT(MAX(ROW(E1116:E$2)*(E1117=E1116:E$2)))))</f>
        <v> </v>
      </c>
      <c r="J1117" s="26" t="str">
        <f>IF(OR(E1117="",E1117="!!!",F1117="NEW"),"",COUNTBLANK(OFFSET(A$1,,,SUMPRODUCT(MAX(ROW(E$2:E1117)*(E1117=E$2:E1117)))))-COUNTBLANK(OFFSET(A$1,,,SUMPRODUCT(MAX(ROW(E$1:E1116)*(E2=E$1:E1116))))))</f>
        <v> </v>
      </c>
      <c r="K1117" s="26" t="str">
        <f>IF(OR(E1117="",E1117="!!!",F1117="NEW"),"",INDEX(J$1:J1116,SUMPRODUCT(MAX(ROW(E$1:E1116)*(E1117=E$1:E1116)))))</f>
        <v> </v>
      </c>
      <c r="L1117" s="27"/>
    </row>
    <row r="1118" spans="1:12">
      <c r="A1118" s="20" t="s">
        <v>646</v>
      </c>
      <c r="E1118" s="22">
        <f>IF(D1118="?OLD","!!!","")</f>
        <v/>
      </c>
      <c r="F1118" s="23" t="str">
        <f>IF(OR(E1118="",E1118="!!!"),"",IF(NOT(ISNA(VLOOKUP(E1118,E$1:E1117,1,FALSE()))),"OLD",IF(AND(E1118&lt;&gt;"",E1118&lt;&gt;"!!!"),"NEW","")))</f>
        <v> </v>
      </c>
      <c r="G1118" s="24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5" t="str">
        <f>IF(J1118&lt;&gt;1,"",IF(I1118="SBJ","CB","?"))</f>
        <v> </v>
      </c>
      <c r="I1118" s="26" t="str">
        <f>IF(OR(E1118="",E1118="!!!",F1118="NEW"),"",INDEX(B1117:B$2,-1+SUMPRODUCT(MAX(ROW(E1117:E$2)*(E1118=E1117:E$2)))))</f>
        <v> </v>
      </c>
      <c r="J1118" s="26" t="str">
        <f>IF(OR(E1118="",E1118="!!!",F1118="NEW"),"",COUNTBLANK(OFFSET(A$1,,,SUMPRODUCT(MAX(ROW(E$2:E1118)*(E1118=E$2:E1118)))))-COUNTBLANK(OFFSET(A$1,,,SUMPRODUCT(MAX(ROW(E$1:E1117)*(E2=E$1:E1117))))))</f>
        <v> </v>
      </c>
      <c r="K1118" s="26" t="str">
        <f>IF(OR(E1118="",E1118="!!!",F1118="NEW"),"",INDEX(J$1:J1117,SUMPRODUCT(MAX(ROW(E$1:E1117)*(E1118=E$1:E1117)))))</f>
        <v> </v>
      </c>
      <c r="L1118" s="27"/>
    </row>
    <row r="1119" spans="1:12">
      <c r="A1119" s="20" t="s">
        <v>193</v>
      </c>
      <c r="E1119" s="22">
        <f>IF(D1119="?OLD","!!!","")</f>
        <v/>
      </c>
      <c r="F1119" s="23" t="str">
        <f>IF(OR(E1119="",E1119="!!!"),"",IF(NOT(ISNA(VLOOKUP(E1119,E$1:E1118,1,FALSE()))),"OLD",IF(AND(E1119&lt;&gt;"",E1119&lt;&gt;"!!!"),"NEW","")))</f>
        <v> </v>
      </c>
      <c r="G1119" s="24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5" t="str">
        <f>IF(J1119&lt;&gt;1,"",IF(I1119="SBJ","CB","?"))</f>
        <v> </v>
      </c>
      <c r="I1119" s="26" t="str">
        <f>IF(OR(E1119="",E1119="!!!",F1119="NEW"),"",INDEX(B1118:B$2,-1+SUMPRODUCT(MAX(ROW(E1118:E$2)*(E1119=E1118:E$2)))))</f>
        <v> </v>
      </c>
      <c r="J1119" s="26" t="str">
        <f>IF(OR(E1119="",E1119="!!!",F1119="NEW"),"",COUNTBLANK(OFFSET(A$1,,,SUMPRODUCT(MAX(ROW(E$2:E1119)*(E1119=E$2:E1119)))))-COUNTBLANK(OFFSET(A$1,,,SUMPRODUCT(MAX(ROW(E$1:E1118)*(E2=E$1:E1118))))))</f>
        <v> </v>
      </c>
      <c r="K1119" s="26" t="str">
        <f>IF(OR(E1119="",E1119="!!!",F1119="NEW"),"",INDEX(J$1:J1118,SUMPRODUCT(MAX(ROW(E$1:E1118)*(E1119=E$1:E1118)))))</f>
        <v> </v>
      </c>
      <c r="L1119" s="27"/>
    </row>
    <row r="1120" spans="1:12">
      <c r="A1120" s="20" t="s">
        <v>647</v>
      </c>
      <c r="E1120" s="22">
        <f>IF(D1120="?OLD","!!!","")</f>
        <v/>
      </c>
      <c r="F1120" s="23" t="str">
        <f>IF(OR(E1120="",E1120="!!!"),"",IF(NOT(ISNA(VLOOKUP(E1120,E$1:E1119,1,FALSE()))),"OLD",IF(AND(E1120&lt;&gt;"",E1120&lt;&gt;"!!!"),"NEW","")))</f>
        <v> </v>
      </c>
      <c r="G1120" s="24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5" t="str">
        <f>IF(J1120&lt;&gt;1,"",IF(I1120="SBJ","CB","?"))</f>
        <v> </v>
      </c>
      <c r="I1120" s="26" t="str">
        <f>IF(OR(E1120="",E1120="!!!",F1120="NEW"),"",INDEX(B1119:B$2,-1+SUMPRODUCT(MAX(ROW(E1119:E$2)*(E1120=E1119:E$2)))))</f>
        <v> </v>
      </c>
      <c r="J1120" s="26" t="str">
        <f>IF(OR(E1120="",E1120="!!!",F1120="NEW"),"",COUNTBLANK(OFFSET(A$1,,,SUMPRODUCT(MAX(ROW(E$2:E1120)*(E1120=E$2:E1120)))))-COUNTBLANK(OFFSET(A$1,,,SUMPRODUCT(MAX(ROW(E$1:E1119)*(E2=E$1:E1119))))))</f>
        <v> </v>
      </c>
      <c r="K1120" s="26" t="str">
        <f>IF(OR(E1120="",E1120="!!!",F1120="NEW"),"",INDEX(J$1:J1119,SUMPRODUCT(MAX(ROW(E$1:E1119)*(E1120=E$1:E1119)))))</f>
        <v> </v>
      </c>
      <c r="L1120" s="27"/>
    </row>
    <row r="1121" spans="1:12">
      <c r="A1121" s="20" t="s">
        <v>183</v>
      </c>
      <c r="B1121" s="21" t="s">
        <v>195</v>
      </c>
      <c r="C1121" s="21" t="s">
        <v>185</v>
      </c>
      <c r="D1121" s="21" t="s">
        <v>168</v>
      </c>
      <c r="E1121" s="22">
        <f>IF(D1121="?OLD","!!!","")</f>
        <v/>
      </c>
      <c r="F1121" s="23" t="str">
        <f>IF(OR(E1121="",E1121="!!!"),"",IF(NOT(ISNA(VLOOKUP(E1121,E$1:E1120,1,FALSE()))),"OLD",IF(AND(E1121&lt;&gt;"",E1121&lt;&gt;"!!!"),"NEW","")))</f>
        <v> </v>
      </c>
      <c r="G1121" s="24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5" t="str">
        <f>IF(J1121&lt;&gt;1,"",IF(I1121="SBJ","CB","?"))</f>
        <v> </v>
      </c>
      <c r="I1121" s="26" t="str">
        <f>IF(OR(E1121="",E1121="!!!",F1121="NEW"),"",INDEX(B1120:B$2,-1+SUMPRODUCT(MAX(ROW(E1120:E$2)*(E1121=E1120:E$2)))))</f>
        <v> </v>
      </c>
      <c r="J1121" s="26" t="str">
        <f>IF(OR(E1121="",E1121="!!!",F1121="NEW"),"",COUNTBLANK(OFFSET(A$1,,,SUMPRODUCT(MAX(ROW(E$2:E1121)*(E1121=E$2:E1121)))))-COUNTBLANK(OFFSET(A$1,,,SUMPRODUCT(MAX(ROW(E$1:E1120)*(E2=E$1:E1120))))))</f>
        <v> </v>
      </c>
      <c r="K1121" s="26" t="str">
        <f>IF(OR(E1121="",E1121="!!!",F1121="NEW"),"",INDEX(J$1:J1120,SUMPRODUCT(MAX(ROW(E$1:E1120)*(E1121=E$1:E1120)))))</f>
        <v> </v>
      </c>
      <c r="L1121" s="27"/>
    </row>
    <row r="1122" spans="1:12">
      <c r="A1122" s="20" t="s">
        <v>237</v>
      </c>
      <c r="E1122" s="22">
        <f>IF(D1122="?OLD","!!!","")</f>
        <v/>
      </c>
      <c r="F1122" s="23" t="str">
        <f>IF(OR(E1122="",E1122="!!!"),"",IF(NOT(ISNA(VLOOKUP(E1122,E$1:E1121,1,FALSE()))),"OLD",IF(AND(E1122&lt;&gt;"",E1122&lt;&gt;"!!!"),"NEW","")))</f>
        <v> </v>
      </c>
      <c r="G1122" s="24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5" t="str">
        <f>IF(J1122&lt;&gt;1,"",IF(I1122="SBJ","CB","?"))</f>
        <v> </v>
      </c>
      <c r="I1122" s="26" t="str">
        <f>IF(OR(E1122="",E1122="!!!",F1122="NEW"),"",INDEX(B1121:B$2,-1+SUMPRODUCT(MAX(ROW(E1121:E$2)*(E1122=E1121:E$2)))))</f>
        <v> </v>
      </c>
      <c r="J1122" s="26" t="str">
        <f>IF(OR(E1122="",E1122="!!!",F1122="NEW"),"",COUNTBLANK(OFFSET(A$1,,,SUMPRODUCT(MAX(ROW(E$2:E1122)*(E1122=E$2:E1122)))))-COUNTBLANK(OFFSET(A$1,,,SUMPRODUCT(MAX(ROW(E$1:E1121)*(E2=E$1:E1121))))))</f>
        <v> </v>
      </c>
      <c r="K1122" s="26" t="str">
        <f>IF(OR(E1122="",E1122="!!!",F1122="NEW"),"",INDEX(J$1:J1121,SUMPRODUCT(MAX(ROW(E$1:E1121)*(E1122=E$1:E1121)))))</f>
        <v> </v>
      </c>
      <c r="L1122" s="27"/>
    </row>
    <row r="1123" spans="1:12">
      <c r="A1123" s="20" t="s">
        <v>648</v>
      </c>
      <c r="E1123" s="22">
        <f>IF(D1123="?OLD","!!!","")</f>
        <v/>
      </c>
      <c r="F1123" s="23" t="str">
        <f>IF(OR(E1123="",E1123="!!!"),"",IF(NOT(ISNA(VLOOKUP(E1123,E$1:E1122,1,FALSE()))),"OLD",IF(AND(E1123&lt;&gt;"",E1123&lt;&gt;"!!!"),"NEW","")))</f>
        <v> </v>
      </c>
      <c r="G1123" s="24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5" t="str">
        <f>IF(J1123&lt;&gt;1,"",IF(I1123="SBJ","CB","?"))</f>
        <v> </v>
      </c>
      <c r="I1123" s="26" t="str">
        <f>IF(OR(E1123="",E1123="!!!",F1123="NEW"),"",INDEX(B1122:B$2,-1+SUMPRODUCT(MAX(ROW(E1122:E$2)*(E1123=E1122:E$2)))))</f>
        <v> </v>
      </c>
      <c r="J1123" s="26" t="str">
        <f>IF(OR(E1123="",E1123="!!!",F1123="NEW"),"",COUNTBLANK(OFFSET(A$1,,,SUMPRODUCT(MAX(ROW(E$2:E1123)*(E1123=E$2:E1123)))))-COUNTBLANK(OFFSET(A$1,,,SUMPRODUCT(MAX(ROW(E$1:E1122)*(E2=E$1:E1122))))))</f>
        <v> </v>
      </c>
      <c r="K1123" s="26" t="str">
        <f>IF(OR(E1123="",E1123="!!!",F1123="NEW"),"",INDEX(J$1:J1122,SUMPRODUCT(MAX(ROW(E$1:E1122)*(E1123=E$1:E1122)))))</f>
        <v> </v>
      </c>
      <c r="L1123" s="27"/>
    </row>
    <row r="1124" spans="1:12">
      <c r="A1124" s="20" t="s">
        <v>649</v>
      </c>
      <c r="B1124" s="21" t="s">
        <v>199</v>
      </c>
      <c r="C1124" s="21" t="s">
        <v>219</v>
      </c>
      <c r="E1124" s="22">
        <f>IF(D1124="?OLD","!!!","")</f>
        <v/>
      </c>
      <c r="F1124" s="23" t="str">
        <f>IF(OR(E1124="",E1124="!!!"),"",IF(NOT(ISNA(VLOOKUP(E1124,E$1:E1123,1,FALSE()))),"OLD",IF(AND(E1124&lt;&gt;"",E1124&lt;&gt;"!!!"),"NEW","")))</f>
        <v> </v>
      </c>
      <c r="G1124" s="24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5" t="str">
        <f>IF(J1124&lt;&gt;1,"",IF(I1124="SBJ","CB","?"))</f>
        <v> </v>
      </c>
      <c r="I1124" s="26" t="str">
        <f>IF(OR(E1124="",E1124="!!!",F1124="NEW"),"",INDEX(B1123:B$2,-1+SUMPRODUCT(MAX(ROW(E1123:E$2)*(E1124=E1123:E$2)))))</f>
        <v> </v>
      </c>
      <c r="J1124" s="26" t="str">
        <f>IF(OR(E1124="",E1124="!!!",F1124="NEW"),"",COUNTBLANK(OFFSET(A$1,,,SUMPRODUCT(MAX(ROW(E$2:E1124)*(E1124=E$2:E1124)))))-COUNTBLANK(OFFSET(A$1,,,SUMPRODUCT(MAX(ROW(E$1:E1123)*(E2=E$1:E1123))))))</f>
        <v> </v>
      </c>
      <c r="K1124" s="26" t="str">
        <f>IF(OR(E1124="",E1124="!!!",F1124="NEW"),"",INDEX(J$1:J1123,SUMPRODUCT(MAX(ROW(E$1:E1123)*(E1124=E$1:E1123)))))</f>
        <v> </v>
      </c>
      <c r="L1124" s="27"/>
    </row>
    <row r="1125" spans="1:12">
      <c r="A1125" s="20" t="s">
        <v>193</v>
      </c>
      <c r="E1125" s="22">
        <f>IF(D1125="?OLD","!!!","")</f>
        <v/>
      </c>
      <c r="F1125" s="23" t="str">
        <f>IF(OR(E1125="",E1125="!!!"),"",IF(NOT(ISNA(VLOOKUP(E1125,E$1:E1124,1,FALSE()))),"OLD",IF(AND(E1125&lt;&gt;"",E1125&lt;&gt;"!!!"),"NEW","")))</f>
        <v> </v>
      </c>
      <c r="G1125" s="24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5" t="str">
        <f>IF(J1125&lt;&gt;1,"",IF(I1125="SBJ","CB","?"))</f>
        <v> </v>
      </c>
      <c r="I1125" s="26" t="str">
        <f>IF(OR(E1125="",E1125="!!!",F1125="NEW"),"",INDEX(B1124:B$2,-1+SUMPRODUCT(MAX(ROW(E1124:E$2)*(E1125=E1124:E$2)))))</f>
        <v> </v>
      </c>
      <c r="J1125" s="26" t="str">
        <f>IF(OR(E1125="",E1125="!!!",F1125="NEW"),"",COUNTBLANK(OFFSET(A$1,,,SUMPRODUCT(MAX(ROW(E$2:E1125)*(E1125=E$2:E1125)))))-COUNTBLANK(OFFSET(A$1,,,SUMPRODUCT(MAX(ROW(E$1:E1124)*(E2=E$1:E1124))))))</f>
        <v> </v>
      </c>
      <c r="K1125" s="26" t="str">
        <f>IF(OR(E1125="",E1125="!!!",F1125="NEW"),"",INDEX(J$1:J1124,SUMPRODUCT(MAX(ROW(E$1:E1124)*(E1125=E$1:E1124)))))</f>
        <v> </v>
      </c>
      <c r="L1125" s="27"/>
    </row>
    <row r="1126" spans="1:12">
      <c r="A1126" s="20" t="s">
        <v>187</v>
      </c>
      <c r="E1126" s="22">
        <f>IF(D1126="?OLD","!!!","")</f>
        <v/>
      </c>
      <c r="F1126" s="23" t="str">
        <f>IF(OR(E1126="",E1126="!!!"),"",IF(NOT(ISNA(VLOOKUP(E1126,E$1:E1125,1,FALSE()))),"OLD",IF(AND(E1126&lt;&gt;"",E1126&lt;&gt;"!!!"),"NEW","")))</f>
        <v> </v>
      </c>
      <c r="G1126" s="24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5" t="str">
        <f>IF(J1126&lt;&gt;1,"",IF(I1126="SBJ","CB","?"))</f>
        <v> </v>
      </c>
      <c r="I1126" s="26" t="str">
        <f>IF(OR(E1126="",E1126="!!!",F1126="NEW"),"",INDEX(B1125:B$2,-1+SUMPRODUCT(MAX(ROW(E1125:E$2)*(E1126=E1125:E$2)))))</f>
        <v> </v>
      </c>
      <c r="J1126" s="26" t="str">
        <f>IF(OR(E1126="",E1126="!!!",F1126="NEW"),"",COUNTBLANK(OFFSET(A$1,,,SUMPRODUCT(MAX(ROW(E$2:E1126)*(E1126=E$2:E1126)))))-COUNTBLANK(OFFSET(A$1,,,SUMPRODUCT(MAX(ROW(E$1:E1125)*(E2=E$1:E1125))))))</f>
        <v> </v>
      </c>
      <c r="K1126" s="26" t="str">
        <f>IF(OR(E1126="",E1126="!!!",F1126="NEW"),"",INDEX(J$1:J1125,SUMPRODUCT(MAX(ROW(E$1:E1125)*(E1126=E$1:E1125)))))</f>
        <v> </v>
      </c>
      <c r="L1126" s="27"/>
    </row>
    <row r="1127" spans="1:12">
      <c r="A1127" s="20" t="s">
        <v>561</v>
      </c>
      <c r="B1127" s="21" t="s">
        <v>199</v>
      </c>
      <c r="C1127" s="21" t="s">
        <v>189</v>
      </c>
      <c r="D1127" s="21" t="s">
        <v>168</v>
      </c>
      <c r="E1127" s="22">
        <f>IF(D1127="?OLD","!!!","")</f>
        <v/>
      </c>
      <c r="F1127" s="23" t="str">
        <f>IF(OR(E1127="",E1127="!!!"),"",IF(NOT(ISNA(VLOOKUP(E1127,E$1:E1126,1,FALSE()))),"OLD",IF(AND(E1127&lt;&gt;"",E1127&lt;&gt;"!!!"),"NEW","")))</f>
        <v> </v>
      </c>
      <c r="G1127" s="24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5" t="str">
        <f>IF(J1127&lt;&gt;1,"",IF(I1127="SBJ","CB","?"))</f>
        <v> </v>
      </c>
      <c r="I1127" s="26" t="str">
        <f>IF(OR(E1127="",E1127="!!!",F1127="NEW"),"",INDEX(B1126:B$2,-1+SUMPRODUCT(MAX(ROW(E1126:E$2)*(E1127=E1126:E$2)))))</f>
        <v> </v>
      </c>
      <c r="J1127" s="26" t="str">
        <f>IF(OR(E1127="",E1127="!!!",F1127="NEW"),"",COUNTBLANK(OFFSET(A$1,,,SUMPRODUCT(MAX(ROW(E$2:E1127)*(E1127=E$2:E1127)))))-COUNTBLANK(OFFSET(A$1,,,SUMPRODUCT(MAX(ROW(E$1:E1126)*(E2=E$1:E1126))))))</f>
        <v> </v>
      </c>
      <c r="K1127" s="26" t="str">
        <f>IF(OR(E1127="",E1127="!!!",F1127="NEW"),"",INDEX(J$1:J1126,SUMPRODUCT(MAX(ROW(E$1:E1126)*(E1127=E$1:E1126)))))</f>
        <v> </v>
      </c>
      <c r="L1127" s="27"/>
    </row>
    <row r="1128" spans="1:12">
      <c r="A1128" s="20" t="s">
        <v>203</v>
      </c>
      <c r="E1128" s="22">
        <f>IF(D1128="?OLD","!!!","")</f>
        <v/>
      </c>
      <c r="F1128" s="23" t="str">
        <f>IF(OR(E1128="",E1128="!!!"),"",IF(NOT(ISNA(VLOOKUP(E1128,E$1:E1127,1,FALSE()))),"OLD",IF(AND(E1128&lt;&gt;"",E1128&lt;&gt;"!!!"),"NEW","")))</f>
        <v> </v>
      </c>
      <c r="G1128" s="24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5" t="str">
        <f>IF(J1128&lt;&gt;1,"",IF(I1128="SBJ","CB","?"))</f>
        <v> </v>
      </c>
      <c r="I1128" s="26" t="str">
        <f>IF(OR(E1128="",E1128="!!!",F1128="NEW"),"",INDEX(B1127:B$2,-1+SUMPRODUCT(MAX(ROW(E1127:E$2)*(E1128=E1127:E$2)))))</f>
        <v> </v>
      </c>
      <c r="J1128" s="26" t="str">
        <f>IF(OR(E1128="",E1128="!!!",F1128="NEW"),"",COUNTBLANK(OFFSET(A$1,,,SUMPRODUCT(MAX(ROW(E$2:E1128)*(E1128=E$2:E1128)))))-COUNTBLANK(OFFSET(A$1,,,SUMPRODUCT(MAX(ROW(E$1:E1127)*(E2=E$1:E1127))))))</f>
        <v> </v>
      </c>
      <c r="K1128" s="26" t="str">
        <f>IF(OR(E1128="",E1128="!!!",F1128="NEW"),"",INDEX(J$1:J1127,SUMPRODUCT(MAX(ROW(E$1:E1127)*(E1128=E$1:E1127)))))</f>
        <v> </v>
      </c>
      <c r="L1128" s="27"/>
    </row>
    <row r="1129" spans="1:12">
      <c r="A1129" s="20" t="s">
        <v>650</v>
      </c>
      <c r="E1129" s="22">
        <f>IF(D1129="?OLD","!!!","")</f>
        <v/>
      </c>
      <c r="F1129" s="23" t="str">
        <f>IF(OR(E1129="",E1129="!!!"),"",IF(NOT(ISNA(VLOOKUP(E1129,E$1:E1128,1,FALSE()))),"OLD",IF(AND(E1129&lt;&gt;"",E1129&lt;&gt;"!!!"),"NEW","")))</f>
        <v> </v>
      </c>
      <c r="G1129" s="24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5" t="str">
        <f>IF(J1129&lt;&gt;1,"",IF(I1129="SBJ","CB","?"))</f>
        <v> </v>
      </c>
      <c r="I1129" s="26" t="str">
        <f>IF(OR(E1129="",E1129="!!!",F1129="NEW"),"",INDEX(B1128:B$2,-1+SUMPRODUCT(MAX(ROW(E1128:E$2)*(E1129=E1128:E$2)))))</f>
        <v> </v>
      </c>
      <c r="J1129" s="26" t="str">
        <f>IF(OR(E1129="",E1129="!!!",F1129="NEW"),"",COUNTBLANK(OFFSET(A$1,,,SUMPRODUCT(MAX(ROW(E$2:E1129)*(E1129=E$2:E1129)))))-COUNTBLANK(OFFSET(A$1,,,SUMPRODUCT(MAX(ROW(E$1:E1128)*(E2=E$1:E1128))))))</f>
        <v> </v>
      </c>
      <c r="K1129" s="26" t="str">
        <f>IF(OR(E1129="",E1129="!!!",F1129="NEW"),"",INDEX(J$1:J1128,SUMPRODUCT(MAX(ROW(E$1:E1128)*(E1129=E$1:E1128)))))</f>
        <v> </v>
      </c>
      <c r="L1129" s="27"/>
    </row>
    <row r="1130" spans="1:12">
      <c r="A1130" s="20" t="s">
        <v>193</v>
      </c>
      <c r="E1130" s="22">
        <f>IF(D1130="?OLD","!!!","")</f>
        <v/>
      </c>
      <c r="F1130" s="23" t="str">
        <f>IF(OR(E1130="",E1130="!!!"),"",IF(NOT(ISNA(VLOOKUP(E1130,E$1:E1129,1,FALSE()))),"OLD",IF(AND(E1130&lt;&gt;"",E1130&lt;&gt;"!!!"),"NEW","")))</f>
        <v> </v>
      </c>
      <c r="G1130" s="24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5" t="str">
        <f>IF(J1130&lt;&gt;1,"",IF(I1130="SBJ","CB","?"))</f>
        <v> </v>
      </c>
      <c r="I1130" s="26" t="str">
        <f>IF(OR(E1130="",E1130="!!!",F1130="NEW"),"",INDEX(B1129:B$2,-1+SUMPRODUCT(MAX(ROW(E1129:E$2)*(E1130=E1129:E$2)))))</f>
        <v> </v>
      </c>
      <c r="J1130" s="26" t="str">
        <f>IF(OR(E1130="",E1130="!!!",F1130="NEW"),"",COUNTBLANK(OFFSET(A$1,,,SUMPRODUCT(MAX(ROW(E$2:E1130)*(E1130=E$2:E1130)))))-COUNTBLANK(OFFSET(A$1,,,SUMPRODUCT(MAX(ROW(E$1:E1129)*(E2=E$1:E1129))))))</f>
        <v> </v>
      </c>
      <c r="K1130" s="26" t="str">
        <f>IF(OR(E1130="",E1130="!!!",F1130="NEW"),"",INDEX(J$1:J1129,SUMPRODUCT(MAX(ROW(E$1:E1129)*(E1130=E$1:E1129)))))</f>
        <v> </v>
      </c>
      <c r="L1130" s="27"/>
    </row>
    <row r="1131" spans="1:12">
      <c r="A1131" s="20" t="s">
        <v>187</v>
      </c>
      <c r="B1131" s="21" t="s">
        <v>265</v>
      </c>
      <c r="E1131" s="22">
        <f>IF(D1131="?OLD","!!!","")</f>
        <v/>
      </c>
      <c r="F1131" s="23" t="str">
        <f>IF(OR(E1131="",E1131="!!!"),"",IF(NOT(ISNA(VLOOKUP(E1131,E$1:E1130,1,FALSE()))),"OLD",IF(AND(E1131&lt;&gt;"",E1131&lt;&gt;"!!!"),"NEW","")))</f>
        <v> </v>
      </c>
      <c r="G1131" s="24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5" t="str">
        <f>IF(J1131&lt;&gt;1,"",IF(I1131="SBJ","CB","?"))</f>
        <v> </v>
      </c>
      <c r="I1131" s="26" t="str">
        <f>IF(OR(E1131="",E1131="!!!",F1131="NEW"),"",INDEX(B1130:B$2,-1+SUMPRODUCT(MAX(ROW(E1130:E$2)*(E1131=E1130:E$2)))))</f>
        <v> </v>
      </c>
      <c r="J1131" s="26" t="str">
        <f>IF(OR(E1131="",E1131="!!!",F1131="NEW"),"",COUNTBLANK(OFFSET(A$1,,,SUMPRODUCT(MAX(ROW(E$2:E1131)*(E1131=E$2:E1131)))))-COUNTBLANK(OFFSET(A$1,,,SUMPRODUCT(MAX(ROW(E$1:E1130)*(E2=E$1:E1130))))))</f>
        <v> </v>
      </c>
      <c r="K1131" s="26" t="str">
        <f>IF(OR(E1131="",E1131="!!!",F1131="NEW"),"",INDEX(J$1:J1130,SUMPRODUCT(MAX(ROW(E$1:E1130)*(E1131=E$1:E1130)))))</f>
        <v> </v>
      </c>
      <c r="L1131" s="27"/>
    </row>
    <row r="1132" spans="1:12">
      <c r="A1132" s="20" t="s">
        <v>183</v>
      </c>
      <c r="B1132" s="21" t="s">
        <v>184</v>
      </c>
      <c r="C1132" s="21" t="s">
        <v>185</v>
      </c>
      <c r="D1132" s="21" t="s">
        <v>168</v>
      </c>
      <c r="E1132" s="22">
        <f>IF(D1132="?OLD","!!!","")</f>
        <v/>
      </c>
      <c r="F1132" s="23" t="str">
        <f>IF(OR(E1132="",E1132="!!!"),"",IF(NOT(ISNA(VLOOKUP(E1132,E$1:E1131,1,FALSE()))),"OLD",IF(AND(E1132&lt;&gt;"",E1132&lt;&gt;"!!!"),"NEW","")))</f>
        <v> </v>
      </c>
      <c r="G1132" s="24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5" t="str">
        <f>IF(J1132&lt;&gt;1,"",IF(I1132="SBJ","CB","?"))</f>
        <v> </v>
      </c>
      <c r="I1132" s="26" t="str">
        <f>IF(OR(E1132="",E1132="!!!",F1132="NEW"),"",INDEX(B1131:B$2,-1+SUMPRODUCT(MAX(ROW(E1131:E$2)*(E1132=E1131:E$2)))))</f>
        <v> </v>
      </c>
      <c r="J1132" s="26" t="str">
        <f>IF(OR(E1132="",E1132="!!!",F1132="NEW"),"",COUNTBLANK(OFFSET(A$1,,,SUMPRODUCT(MAX(ROW(E$2:E1132)*(E1132=E$2:E1132)))))-COUNTBLANK(OFFSET(A$1,,,SUMPRODUCT(MAX(ROW(E$1:E1131)*(E2=E$1:E1131))))))</f>
        <v> </v>
      </c>
      <c r="K1132" s="26" t="str">
        <f>IF(OR(E1132="",E1132="!!!",F1132="NEW"),"",INDEX(J$1:J1131,SUMPRODUCT(MAX(ROW(E$1:E1131)*(E1132=E$1:E1131)))))</f>
        <v> </v>
      </c>
      <c r="L1132" s="27"/>
    </row>
    <row r="1133" spans="1:12">
      <c r="A1133" s="20" t="s">
        <v>651</v>
      </c>
      <c r="E1133" s="22">
        <f>IF(D1133="?OLD","!!!","")</f>
        <v/>
      </c>
      <c r="F1133" s="23" t="str">
        <f>IF(OR(E1133="",E1133="!!!"),"",IF(NOT(ISNA(VLOOKUP(E1133,E$1:E1132,1,FALSE()))),"OLD",IF(AND(E1133&lt;&gt;"",E1133&lt;&gt;"!!!"),"NEW","")))</f>
        <v> </v>
      </c>
      <c r="G1133" s="24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5" t="str">
        <f>IF(J1133&lt;&gt;1,"",IF(I1133="SBJ","CB","?"))</f>
        <v> </v>
      </c>
      <c r="I1133" s="26" t="str">
        <f>IF(OR(E1133="",E1133="!!!",F1133="NEW"),"",INDEX(B1132:B$2,-1+SUMPRODUCT(MAX(ROW(E1132:E$2)*(E1133=E1132:E$2)))))</f>
        <v> </v>
      </c>
      <c r="J1133" s="26" t="str">
        <f>IF(OR(E1133="",E1133="!!!",F1133="NEW"),"",COUNTBLANK(OFFSET(A$1,,,SUMPRODUCT(MAX(ROW(E$2:E1133)*(E1133=E$2:E1133)))))-COUNTBLANK(OFFSET(A$1,,,SUMPRODUCT(MAX(ROW(E$1:E1132)*(E2=E$1:E1132))))))</f>
        <v> </v>
      </c>
      <c r="K1133" s="26" t="str">
        <f>IF(OR(E1133="",E1133="!!!",F1133="NEW"),"",INDEX(J$1:J1132,SUMPRODUCT(MAX(ROW(E$1:E1132)*(E1133=E$1:E1132)))))</f>
        <v> </v>
      </c>
      <c r="L1133" s="27"/>
    </row>
    <row r="1134" spans="1:12">
      <c r="A1134" s="20" t="s">
        <v>647</v>
      </c>
      <c r="E1134" s="22">
        <f>IF(D1134="?OLD","!!!","")</f>
        <v/>
      </c>
      <c r="F1134" s="23" t="str">
        <f>IF(OR(E1134="",E1134="!!!"),"",IF(NOT(ISNA(VLOOKUP(E1134,E$1:E1133,1,FALSE()))),"OLD",IF(AND(E1134&lt;&gt;"",E1134&lt;&gt;"!!!"),"NEW","")))</f>
        <v> </v>
      </c>
      <c r="G1134" s="24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5" t="str">
        <f>IF(J1134&lt;&gt;1,"",IF(I1134="SBJ","CB","?"))</f>
        <v> </v>
      </c>
      <c r="I1134" s="26" t="str">
        <f>IF(OR(E1134="",E1134="!!!",F1134="NEW"),"",INDEX(B1133:B$2,-1+SUMPRODUCT(MAX(ROW(E1133:E$2)*(E1134=E1133:E$2)))))</f>
        <v> </v>
      </c>
      <c r="J1134" s="26" t="str">
        <f>IF(OR(E1134="",E1134="!!!",F1134="NEW"),"",COUNTBLANK(OFFSET(A$1,,,SUMPRODUCT(MAX(ROW(E$2:E1134)*(E1134=E$2:E1134)))))-COUNTBLANK(OFFSET(A$1,,,SUMPRODUCT(MAX(ROW(E$1:E1133)*(E2=E$1:E1133))))))</f>
        <v> </v>
      </c>
      <c r="K1134" s="26" t="str">
        <f>IF(OR(E1134="",E1134="!!!",F1134="NEW"),"",INDEX(J$1:J1133,SUMPRODUCT(MAX(ROW(E$1:E1133)*(E1134=E$1:E1133)))))</f>
        <v> </v>
      </c>
      <c r="L1134" s="27"/>
    </row>
    <row r="1135" spans="1:12">
      <c r="A1135" s="20" t="s">
        <v>220</v>
      </c>
      <c r="E1135" s="22">
        <f>IF(D1135="?OLD","!!!","")</f>
        <v/>
      </c>
      <c r="F1135" s="23" t="str">
        <f>IF(OR(E1135="",E1135="!!!"),"",IF(NOT(ISNA(VLOOKUP(E1135,E$1:E1134,1,FALSE()))),"OLD",IF(AND(E1135&lt;&gt;"",E1135&lt;&gt;"!!!"),"NEW","")))</f>
        <v> </v>
      </c>
      <c r="G1135" s="24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5" t="str">
        <f>IF(J1135&lt;&gt;1,"",IF(I1135="SBJ","CB","?"))</f>
        <v> </v>
      </c>
      <c r="I1135" s="26" t="str">
        <f>IF(OR(E1135="",E1135="!!!",F1135="NEW"),"",INDEX(B1134:B$2,-1+SUMPRODUCT(MAX(ROW(E1134:E$2)*(E1135=E1134:E$2)))))</f>
        <v> </v>
      </c>
      <c r="J1135" s="26" t="str">
        <f>IF(OR(E1135="",E1135="!!!",F1135="NEW"),"",COUNTBLANK(OFFSET(A$1,,,SUMPRODUCT(MAX(ROW(E$2:E1135)*(E1135=E$2:E1135)))))-COUNTBLANK(OFFSET(A$1,,,SUMPRODUCT(MAX(ROW(E$1:E1134)*(E2=E$1:E1134))))))</f>
        <v> </v>
      </c>
      <c r="K1135" s="26" t="str">
        <f>IF(OR(E1135="",E1135="!!!",F1135="NEW"),"",INDEX(J$1:J1134,SUMPRODUCT(MAX(ROW(E$1:E1134)*(E1135=E$1:E1134)))))</f>
        <v> </v>
      </c>
      <c r="L1135" s="27"/>
    </row>
    <row r="1136" spans="1:12">
      <c r="A1136" s="20"/>
    </row>
    <row r="1137" spans="1:12">
      <c r="A1137" s="20" t="s">
        <v>652</v>
      </c>
    </row>
    <row r="1138" spans="1:12">
      <c r="A1138" s="20" t="s">
        <v>152</v>
      </c>
      <c r="E1138" s="22">
        <f>IF(D1138="?OLD","!!!","")</f>
        <v/>
      </c>
      <c r="F1138" s="23" t="str">
        <f>IF(OR(E1138="",E1138="!!!"),"",IF(NOT(ISNA(VLOOKUP(E1138,E$1:E1137,1,FALSE()))),"OLD",IF(AND(E1138&lt;&gt;"",E1138&lt;&gt;"!!!"),"NEW","")))</f>
        <v> </v>
      </c>
      <c r="G1138" s="24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5" t="str">
        <f>IF(J1138&lt;&gt;1,"",IF(I1138="SBJ","CB","?"))</f>
        <v> </v>
      </c>
      <c r="I1138" s="26" t="str">
        <f>IF(OR(E1138="",E1138="!!!",F1138="NEW"),"",INDEX(B1137:B$2,-1+SUMPRODUCT(MAX(ROW(E1137:E$2)*(E1138=E1137:E$2)))))</f>
        <v> </v>
      </c>
      <c r="J1138" s="26" t="str">
        <f>IF(OR(E1138="",E1138="!!!",F1138="NEW"),"",COUNTBLANK(OFFSET(A$1,,,SUMPRODUCT(MAX(ROW(E$2:E1138)*(E1138=E$2:E1138)))))-COUNTBLANK(OFFSET(A$1,,,SUMPRODUCT(MAX(ROW(E$1:E1137)*(E2=E$1:E1137))))))</f>
        <v> </v>
      </c>
      <c r="K1138" s="26" t="str">
        <f>IF(OR(E1138="",E1138="!!!",F1138="NEW"),"",INDEX(J$1:J1137,SUMPRODUCT(MAX(ROW(E$1:E1137)*(E1138=E$1:E1137)))))</f>
        <v> </v>
      </c>
      <c r="L1138" s="27"/>
    </row>
    <row r="1139" spans="1:12">
      <c r="A113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2025-07-15T17:23:23Z</dcterms:created>
  <dcterms:modified xsi:type="dcterms:W3CDTF">2025-07-15T17:23:23Z</dcterms:modified>
</cp:coreProperties>
</file>