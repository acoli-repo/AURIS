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<sst xmlns="http://schemas.openxmlformats.org/spreadsheetml/2006/main" count="1430" uniqueCount="482">
  <si>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</si>
  <si>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</si>
  <si>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</si>
  <si>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</si>
  <si>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</si>
  <si>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</si>
  <si>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</si>
  <si>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</si>
  <si>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</si>
  <si>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</si>
  <si>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</si>
  <si>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_</t>
  </si>
  <si>
    <t>Ich bin in Sierra Leone geboren und aufgewachsen , einem kleinen und sehr schönen Land in Westafrika , einem Land reich sowohl an Bodenschätzen als auch an kreativen Talenten .</t>
  </si>
  <si>
    <t>2</t>
  </si>
  <si>
    <t>Allerdings ist Sierra Leone berüchtigt für einen jahrzehntelangen Rebellenkrieg in den 90ern , in dem ganze Dörfer niedergebrannt wurden .</t>
  </si>
  <si>
    <t>Comparison.Concession.Arg2-as-denier</t>
  </si>
  <si>
    <t>contra-expectation</t>
  </si>
  <si>
    <t>(orig: Comparison.Concession.Arg2-as-denier)</t>
  </si>
  <si>
    <t>3</t>
  </si>
  <si>
    <t>Schätzungsweise 8 000 Männern , Frauen und Kindern wurden in dieser Zeit Arme und Beine amputiert .</t>
  </si>
  <si>
    <t>Temporal.Synchronous</t>
  </si>
  <si>
    <t>Synchrony</t>
  </si>
  <si>
    <t>(orig: Temporal.Synchronous)</t>
  </si>
  <si>
    <t>4</t>
  </si>
  <si>
    <t>(and)</t>
  </si>
  <si>
    <t>Meine Familie und ich brachten uns vor einem dieser Angriffe in Sicherheit , als ich 12 war .</t>
  </si>
  <si>
    <t>Expansion.Conjunction</t>
  </si>
  <si>
    <t>Conjunction</t>
  </si>
  <si>
    <t>(orig: Expansion.Conjunction)</t>
  </si>
  <si>
    <t>5</t>
  </si>
  <si>
    <t>In diesem Moment nahm ich mir vor , alles zu tun , um sicherzustellen , dass meine eigenen Kinder nicht dasselbe erleben müssen , was wir erlebt haben .</t>
  </si>
  <si>
    <t>6</t>
  </si>
  <si>
    <t>Vielmehr sollten sie Teil von einem Sierra Leone sein , in dem Krieg und Amputationen nicht als Strategie zur Machtgewinnung genutzt werden .</t>
  </si>
  <si>
    <t>Expansion.Level-of-detail.Arg2-as-detail</t>
  </si>
  <si>
    <t>specific</t>
  </si>
  <si>
    <t>(orig: Expansion.Level-of-detail.Arg2-as-detail)</t>
  </si>
  <si>
    <t>7</t>
  </si>
  <si>
    <t>Ich beobachtete Menschen , die ich kannte , liebte , wie sie sich von dieser Verwüstung erholten , aber eine Sache quälte mich zutiefst , und zwar , dass viele der Amputierten in diesem Land nicht ihre Prothesen benutzten .</t>
  </si>
  <si>
    <t>8</t>
  </si>
  <si>
    <t>Der Grund , wie ich später herausfand , waren die Prothesenschäfte , die Schmerzen verursachten , weil sie nicht gut passten .</t>
  </si>
  <si>
    <t>Contingency.Cause.Reason</t>
  </si>
  <si>
    <t>reason</t>
  </si>
  <si>
    <t>(orig: Contingency.Cause.Reason)</t>
  </si>
  <si>
    <t>9</t>
  </si>
  <si>
    <t>Der Prothesenschaft ist der Teil , in welchen der Amputierte seinen Stumpf steckt , der mit der eigentlichen Prothese verbunden ist .</t>
  </si>
  <si>
    <t>10</t>
  </si>
  <si>
    <t>Selbst in den Industrieländern dauert es drei Wochen bis hin zu Jahren , bis sich ein Patient an den Schaft gewöhnt , wenn überhaupt .</t>
  </si>
  <si>
    <t>11</t>
  </si>
  <si>
    <t>(because)</t>
  </si>
  <si>
    <t>Prothesenbauer benutzen immer noch konventionelle Methoden , wie Pressen und Gießen , um Unibody-Prothesenschäfte herzustellen .</t>
  </si>
  <si>
    <t>12</t>
  </si>
  <si>
    <t>Solche Schäfte üben oft unerträglichen Druck auf die Glieder der Patienten aus und verursachen Druckwunden und Blasen .</t>
  </si>
  <si>
    <t>13</t>
  </si>
  <si>
    <t>Ganz gleich , wie leistungsfähig die Knöchelprothese ist , wenn der Prothesenschaft unbequem ist , werden Sie die Prothese nicht nutzen , und das ist heutzutage einfach inakzeptabel .</t>
  </si>
  <si>
    <t>14</t>
  </si>
  <si>
    <t>Damals , als ich Professor Hugh Herr vor zweieinhalb Jahren traf , und er mich fragte , ob ich eine Lösung für dieses Problem hätte , sagte ich : " Nein , noch nicht , aber ich würde sie liebend gerne finden . "</t>
  </si>
  <si>
    <t>15</t>
  </si>
  <si>
    <t>Also habe ich für meine Doktorarbeit am MIT Media Lab maßgefertige Prothesenschäfte entworfen , schnell und günstig , mit mehr Tragekomfort als herkömmliche Prothesen .</t>
  </si>
  <si>
    <t>Contingency.Cause.Result</t>
  </si>
  <si>
    <t>result</t>
  </si>
  <si>
    <t>(orig: Contingency.Cause.Result)</t>
  </si>
  <si>
    <t>16</t>
  </si>
  <si>
    <t>(after that)</t>
  </si>
  <si>
    <t>Mittels Magnetresonanztomografie ( MRT ) erfasste ich die genaue Form der Anatomie des Patienten , benutzte die Berechnungstechnologie FEM , um besser vorherzusehen , welche inneren Belastungen bei normaler Nutzung entstehen , und lies danach einen Prothesenschaft herstellen .</t>
  </si>
  <si>
    <t>Temporal.Asynchronous.Precedence</t>
  </si>
  <si>
    <t>before</t>
  </si>
  <si>
    <t>(orig: Temporal.Asynchronous.Precedence)</t>
  </si>
  <si>
    <t>17</t>
  </si>
  <si>
    <t>(specifically)</t>
  </si>
  <si>
    <t>Wir benutzen 3D-Drucker , um Prothesenschäfte aus mehreren Materialen herzustellen , die den Druck dort verringern , wo es die Anatomie des Patienten nötig macht .</t>
  </si>
  <si>
    <t>18</t>
  </si>
  <si>
    <t>Kurz gesagt , wir benutzen Daten , um neuartige Schäfte schnell und günstig herzustellen .</t>
  </si>
  <si>
    <t>Expansion.Level-of-detail.Arg1-as-detail</t>
  </si>
  <si>
    <t>broad</t>
  </si>
  <si>
    <t>(orig: Expansion.Level-of-detail.Arg1-as-detail)</t>
  </si>
  <si>
    <t>19</t>
  </si>
  <si>
    <t>(for instance)</t>
  </si>
  <si>
    <t>In einem Versuch , den wir vor kurzem am Media Lab durchführten , hat einer unserer Patienten , ein US-Veteran , der seit über 20 Jahren amputiert ist und schon dutzende Prothesen getragen hat , Folgendes über unsere ausgedruckten Prothesen gesagt : " Sie ist so weich , als würde man auf Kissen laufen , und verdammt sexy . "</t>
  </si>
  <si>
    <t>Expansion.Instantiation</t>
  </si>
  <si>
    <t>instance</t>
  </si>
  <si>
    <t>(orig: Expansion.Instantiation)</t>
  </si>
  <si>
    <t>20</t>
  </si>
  <si>
    <t>( Lachen ) Heutzutage sollten Behinderungen niemanden mehr daran hindern , ein sinnsvolles Leben zu führen .</t>
  </si>
  <si>
    <t>21</t>
  </si>
  <si>
    <t>Meine Hoffnung und mein Wunsch ist es , dass die Werkzeuge und Prozesse , die wir in unserer Forschungsgruppe entwickeln , genutzt werden können , um hochfunktionale Prothesen herzustellen , für die , die sie brauchen .</t>
  </si>
  <si>
    <t>22</t>
  </si>
  <si>
    <t>Für mich ist es ein Anfang , um die Seelen derer zu heilen , die vom Krieg und Krankheiten betroffen sind , ist für mich komfortable und erschwingliche Schnittstellen für ihre Körper herzustellen .</t>
  </si>
  <si>
    <t>23</t>
  </si>
  <si>
    <t>Ob in Sierra Leone oder in Boston , ich hoffe , dass dies nicht nur ihren Sinn für menschliches Können wiederherstellt , sondern verändert .</t>
  </si>
  <si>
    <t>24</t>
  </si>
  <si>
    <t>Vielen Dank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</si>
  <si>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</si>
  <si>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</si>
  <si>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</si>
  <si>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</si>
  <si>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</si>
  <si>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</si>
  <si>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</si>
  <si>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</si>
  <si>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</si>
  <si>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</si>
  <si>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</si>
  <si>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Ich bin in Sierra Leone geboren und aufgewachsen , einem kleinen und sehr schönen Land in Westafrika , einem Land reich sowohl an Bodenschätzen als auch an kreativen Talenten .</t>
  </si>
  <si>
    <t>Ich</t>
  </si>
  <si>
    <t>SBJ_2</t>
  </si>
  <si>
    <t>pron.pper</t>
  </si>
  <si>
    <t>?OLD</t>
  </si>
  <si>
    <t>bin</t>
  </si>
  <si>
    <t>in</t>
  </si>
  <si>
    <t>Sierra</t>
  </si>
  <si>
    <t>other</t>
  </si>
  <si>
    <t>ne</t>
  </si>
  <si>
    <t>Leone</t>
  </si>
  <si>
    <t>geboren</t>
  </si>
  <si>
    <t>und</t>
  </si>
  <si>
    <t>aufgewachsen</t>
  </si>
  <si>
    <t>,</t>
  </si>
  <si>
    <t>einem</t>
  </si>
  <si>
    <t>kleinen</t>
  </si>
  <si>
    <t>sehr</t>
  </si>
  <si>
    <t>schönen</t>
  </si>
  <si>
    <t>Land</t>
  </si>
  <si>
    <t>indef-np.a</t>
  </si>
  <si>
    <t>Westafrika</t>
  </si>
  <si>
    <t>other_2</t>
  </si>
  <si>
    <t>other_3</t>
  </si>
  <si>
    <t>reich</t>
  </si>
  <si>
    <t>sowohl</t>
  </si>
  <si>
    <t>an</t>
  </si>
  <si>
    <t>Bodenschätzen</t>
  </si>
  <si>
    <t>indef-np.bare</t>
  </si>
  <si>
    <t>als</t>
  </si>
  <si>
    <t>auch</t>
  </si>
  <si>
    <t>kreativen</t>
  </si>
  <si>
    <t>Talenten</t>
  </si>
  <si>
    <t>.</t>
  </si>
  <si>
    <t># text = Allerdings ist Sierra Leone berüchtigt für einen jahrzehntelangen Rebellenkrieg in den 90ern , in dem ganze Dörfer niedergebrannt wurden .</t>
  </si>
  <si>
    <t>Allerdings</t>
  </si>
  <si>
    <t>ist</t>
  </si>
  <si>
    <t>SBJ</t>
  </si>
  <si>
    <t>berüchtigt</t>
  </si>
  <si>
    <t>für</t>
  </si>
  <si>
    <t>einen</t>
  </si>
  <si>
    <t>jahrzehntelangen</t>
  </si>
  <si>
    <t>Rebellenkrieg</t>
  </si>
  <si>
    <t>den</t>
  </si>
  <si>
    <t>90ern</t>
  </si>
  <si>
    <t>def-np.the</t>
  </si>
  <si>
    <t>dem</t>
  </si>
  <si>
    <t>ganze</t>
  </si>
  <si>
    <t>Dörfer</t>
  </si>
  <si>
    <t>niedergebrannt</t>
  </si>
  <si>
    <t>wurden</t>
  </si>
  <si>
    <t># text = Schätzungsweise 8 000 Männern , Frauen und Kindern wurden in dieser Zeit Arme und Beine amputiert .</t>
  </si>
  <si>
    <t>Schätzungsweise</t>
  </si>
  <si>
    <t>000</t>
  </si>
  <si>
    <t>Männern</t>
  </si>
  <si>
    <t>OBJ</t>
  </si>
  <si>
    <t>indef-np.quant</t>
  </si>
  <si>
    <t>Frauen</t>
  </si>
  <si>
    <t>Kindern</t>
  </si>
  <si>
    <t>dieser</t>
  </si>
  <si>
    <t>pron.pds</t>
  </si>
  <si>
    <t>Zeit</t>
  </si>
  <si>
    <t>def-np.dem</t>
  </si>
  <si>
    <t>Arme</t>
  </si>
  <si>
    <t>Beine</t>
  </si>
  <si>
    <t>amputiert</t>
  </si>
  <si>
    <t># text = Meine Familie und ich brachten uns vor einem dieser Angriffe in Sicherheit , als ich 12 war .</t>
  </si>
  <si>
    <t>Meine</t>
  </si>
  <si>
    <t>pron.ppos</t>
  </si>
  <si>
    <t>Familie</t>
  </si>
  <si>
    <t>ich</t>
  </si>
  <si>
    <t>brachten</t>
  </si>
  <si>
    <t>uns</t>
  </si>
  <si>
    <t>pron</t>
  </si>
  <si>
    <t>vor</t>
  </si>
  <si>
    <t>Angriffe</t>
  </si>
  <si>
    <t>Sicherheit</t>
  </si>
  <si>
    <t>war</t>
  </si>
  <si>
    <t># text = In diesem Moment nahm ich mir vor , alles zu tun , um sicherzustellen , dass meine eigenen Kinder nicht dasselbe erleben müssen , was wir erlebt haben .</t>
  </si>
  <si>
    <t>In</t>
  </si>
  <si>
    <t>diesem</t>
  </si>
  <si>
    <t>Moment</t>
  </si>
  <si>
    <t>nahm</t>
  </si>
  <si>
    <t>mir</t>
  </si>
  <si>
    <t>alles</t>
  </si>
  <si>
    <t>OBJ_2</t>
  </si>
  <si>
    <t>pron.pind</t>
  </si>
  <si>
    <t>zu</t>
  </si>
  <si>
    <t>tun</t>
  </si>
  <si>
    <t>um</t>
  </si>
  <si>
    <t>sicherzustellen</t>
  </si>
  <si>
    <t>dass</t>
  </si>
  <si>
    <t>meine</t>
  </si>
  <si>
    <t>other_4</t>
  </si>
  <si>
    <t>eigenen</t>
  </si>
  <si>
    <t>Kinder</t>
  </si>
  <si>
    <t>SBJ_3</t>
  </si>
  <si>
    <t>nicht</t>
  </si>
  <si>
    <t>dasselbe</t>
  </si>
  <si>
    <t>erleben</t>
  </si>
  <si>
    <t>müssen</t>
  </si>
  <si>
    <t>was</t>
  </si>
  <si>
    <t>wir</t>
  </si>
  <si>
    <t>erlebt</t>
  </si>
  <si>
    <t>haben</t>
  </si>
  <si>
    <t># text = Vielmehr sollten sie Teil von einem Sierra Leone sein , in dem Krieg und Amputationen nicht als Strategie zur Machtgewinnung genutzt werden .</t>
  </si>
  <si>
    <t>Vielmehr</t>
  </si>
  <si>
    <t>sollten</t>
  </si>
  <si>
    <t>sie</t>
  </si>
  <si>
    <t>Teil</t>
  </si>
  <si>
    <t>von</t>
  </si>
  <si>
    <t>sein</t>
  </si>
  <si>
    <t>Krieg</t>
  </si>
  <si>
    <t>Amputationen</t>
  </si>
  <si>
    <t>Strategie</t>
  </si>
  <si>
    <t>der</t>
  </si>
  <si>
    <t>Machtgewinnung</t>
  </si>
  <si>
    <t>genutzt</t>
  </si>
  <si>
    <t>werden</t>
  </si>
  <si>
    <t># text = Ich beobachtete Menschen , die ich kannte , liebte , wie sie sich von dieser Verwüstung erholten , aber eine Sache quälte mich zutiefst , und zwar , dass viele der Amputierten in diesem Land nicht ihre Prothesen benutzten .</t>
  </si>
  <si>
    <t>beobachtete</t>
  </si>
  <si>
    <t>Menschen</t>
  </si>
  <si>
    <t>die</t>
  </si>
  <si>
    <t>OBJ_3</t>
  </si>
  <si>
    <t>kannte</t>
  </si>
  <si>
    <t>liebte</t>
  </si>
  <si>
    <t>wie</t>
  </si>
  <si>
    <t>sich</t>
  </si>
  <si>
    <t>Verwüstung</t>
  </si>
  <si>
    <t>erholten</t>
  </si>
  <si>
    <t>aber</t>
  </si>
  <si>
    <t>eine</t>
  </si>
  <si>
    <t>Sache</t>
  </si>
  <si>
    <t>SBJ_4</t>
  </si>
  <si>
    <t>quälte</t>
  </si>
  <si>
    <t>mich</t>
  </si>
  <si>
    <t>OBJ_4</t>
  </si>
  <si>
    <t>zutiefst</t>
  </si>
  <si>
    <t>zwar</t>
  </si>
  <si>
    <t>viele</t>
  </si>
  <si>
    <t>Amputierten</t>
  </si>
  <si>
    <t>ihre</t>
  </si>
  <si>
    <t>Prothesen</t>
  </si>
  <si>
    <t>indef-np</t>
  </si>
  <si>
    <t>benutzten</t>
  </si>
  <si>
    <t># text = Der Grund , wie ich später herausfand , waren die Prothesenschäfte , die Schmerzen verursachten , weil sie nicht gut passten .</t>
  </si>
  <si>
    <t>Der</t>
  </si>
  <si>
    <t>Grund</t>
  </si>
  <si>
    <t>später</t>
  </si>
  <si>
    <t>herausfand</t>
  </si>
  <si>
    <t>waren</t>
  </si>
  <si>
    <t>Prothesenschäfte</t>
  </si>
  <si>
    <t>Schmerzen</t>
  </si>
  <si>
    <t>verursachten</t>
  </si>
  <si>
    <t>weil</t>
  </si>
  <si>
    <t>gut</t>
  </si>
  <si>
    <t>passten</t>
  </si>
  <si>
    <t># text = Der Prothesenschaft ist der Teil , in welchen der Amputierte seinen Stumpf steckt , der mit der eigentlichen Prothese verbunden ist .</t>
  </si>
  <si>
    <t>Prothesenschaft</t>
  </si>
  <si>
    <t>welchen</t>
  </si>
  <si>
    <t>pron.pint</t>
  </si>
  <si>
    <t>Amputierte</t>
  </si>
  <si>
    <t>seinen</t>
  </si>
  <si>
    <t>Stumpf</t>
  </si>
  <si>
    <t>steckt</t>
  </si>
  <si>
    <t>mit</t>
  </si>
  <si>
    <t>eigentlichen</t>
  </si>
  <si>
    <t>Prothese</t>
  </si>
  <si>
    <t>verbunden</t>
  </si>
  <si>
    <t># text = Selbst in den Industrieländern dauert es drei Wochen bis hin zu Jahren , bis sich ein Patient an den Schaft gewöhnt , wenn überhaupt .</t>
  </si>
  <si>
    <t>Selbst</t>
  </si>
  <si>
    <t>Industrieländern</t>
  </si>
  <si>
    <t>dauert</t>
  </si>
  <si>
    <t>es</t>
  </si>
  <si>
    <t>drei</t>
  </si>
  <si>
    <t>Wochen</t>
  </si>
  <si>
    <t>bis</t>
  </si>
  <si>
    <t>hin</t>
  </si>
  <si>
    <t>Jahren</t>
  </si>
  <si>
    <t>ein</t>
  </si>
  <si>
    <t>Patient</t>
  </si>
  <si>
    <t>Schaft</t>
  </si>
  <si>
    <t>gewöhnt</t>
  </si>
  <si>
    <t>wenn</t>
  </si>
  <si>
    <t>überhaupt</t>
  </si>
  <si>
    <t># text = Prothesenbauer benutzen immer noch konventionelle Methoden , wie Pressen und Gießen , um Unibody-Prothesenschäfte herzustellen .</t>
  </si>
  <si>
    <t>Prothesenbauer</t>
  </si>
  <si>
    <t>benutzen</t>
  </si>
  <si>
    <t>immer</t>
  </si>
  <si>
    <t>noch</t>
  </si>
  <si>
    <t>konventionelle</t>
  </si>
  <si>
    <t>Methoden</t>
  </si>
  <si>
    <t>Pressen</t>
  </si>
  <si>
    <t>Gießen</t>
  </si>
  <si>
    <t>Unibody</t>
  </si>
  <si>
    <t>herzustellen</t>
  </si>
  <si>
    <t># text = Solche Schäfte üben oft unerträglichen Druck auf die Glieder der Patienten aus und verursachen Druckwunden und Blasen .</t>
  </si>
  <si>
    <t>Solche</t>
  </si>
  <si>
    <t>Schäfte</t>
  </si>
  <si>
    <t>üben</t>
  </si>
  <si>
    <t>oft</t>
  </si>
  <si>
    <t>unerträglichen</t>
  </si>
  <si>
    <t>Druck</t>
  </si>
  <si>
    <t>auf</t>
  </si>
  <si>
    <t>Glieder</t>
  </si>
  <si>
    <t>Patienten</t>
  </si>
  <si>
    <t>aus</t>
  </si>
  <si>
    <t>verursachen</t>
  </si>
  <si>
    <t>Druckwunden</t>
  </si>
  <si>
    <t>Blasen</t>
  </si>
  <si>
    <t># text = Ganz gleich , wie leistungsfähig die Knöchelprothese ist , wenn der Prothesenschaft unbequem ist , werden Sie die Prothese nicht nutzen , und das ist heutzutage einfach inakzeptabel .</t>
  </si>
  <si>
    <t>Ganz</t>
  </si>
  <si>
    <t>gleich</t>
  </si>
  <si>
    <t>leistungsfähig</t>
  </si>
  <si>
    <t>Knöchelprothese</t>
  </si>
  <si>
    <t>unbequem</t>
  </si>
  <si>
    <t>Sie</t>
  </si>
  <si>
    <t>nutzen</t>
  </si>
  <si>
    <t>das</t>
  </si>
  <si>
    <t>heutzutage</t>
  </si>
  <si>
    <t>einfach</t>
  </si>
  <si>
    <t>inakzeptabel</t>
  </si>
  <si>
    <t>--</t>
  </si>
  <si>
    <t># text = Damals , als ich Professor Hugh Herr vor zweieinhalb Jahren traf , und er mich fragte , ob ich eine Lösung für dieses Problem hätte , sagte ich : " Nein , noch nicht , aber ich würde sie liebend gerne finden . "</t>
  </si>
  <si>
    <t>Damals</t>
  </si>
  <si>
    <t>Professor</t>
  </si>
  <si>
    <t>Hugh</t>
  </si>
  <si>
    <t>Herr</t>
  </si>
  <si>
    <t>zweieinhalb</t>
  </si>
  <si>
    <t>traf</t>
  </si>
  <si>
    <t>er</t>
  </si>
  <si>
    <t>fragte</t>
  </si>
  <si>
    <t>ob</t>
  </si>
  <si>
    <t>Lösung</t>
  </si>
  <si>
    <t>dieses</t>
  </si>
  <si>
    <t>other_5</t>
  </si>
  <si>
    <t>Problem</t>
  </si>
  <si>
    <t>hätte</t>
  </si>
  <si>
    <t>sagte</t>
  </si>
  <si>
    <t>:</t>
  </si>
  <si>
    <t>&amp;quot;</t>
  </si>
  <si>
    <t>Nein</t>
  </si>
  <si>
    <t>würde</t>
  </si>
  <si>
    <t>liebend</t>
  </si>
  <si>
    <t>gerne</t>
  </si>
  <si>
    <t>finden</t>
  </si>
  <si>
    <t># text = Also habe ich für meine Doktorarbeit am MIT Media Lab maßgefertige Prothesenschäfte entworfen , schnell und günstig , mit mehr Tragekomfort als herkömmliche Prothesen .</t>
  </si>
  <si>
    <t>Also</t>
  </si>
  <si>
    <t>habe</t>
  </si>
  <si>
    <t>Doktorarbeit</t>
  </si>
  <si>
    <t>MIT</t>
  </si>
  <si>
    <t>Media</t>
  </si>
  <si>
    <t>Lab</t>
  </si>
  <si>
    <t>maßgefertige</t>
  </si>
  <si>
    <t>entworfen</t>
  </si>
  <si>
    <t>schnell</t>
  </si>
  <si>
    <t>günstig</t>
  </si>
  <si>
    <t>mehr</t>
  </si>
  <si>
    <t>Tragekomfort</t>
  </si>
  <si>
    <t>herkömmliche</t>
  </si>
  <si>
    <t># text = Mittels Magnetresonanztomografie ( MRT ) erfasste ich die genaue Form der Anatomie des Patienten , benutzte die Berechnungstechnologie FEM , um besser vorherzusehen , welche inneren Belastungen bei normaler Nutzung entstehen , und lies danach einen Prothesenschaft herstellen .</t>
  </si>
  <si>
    <t>Mittels</t>
  </si>
  <si>
    <t>Magnetresonanztomografie</t>
  </si>
  <si>
    <t>(</t>
  </si>
  <si>
    <t>MRT</t>
  </si>
  <si>
    <t>)</t>
  </si>
  <si>
    <t>erfasste</t>
  </si>
  <si>
    <t>genaue</t>
  </si>
  <si>
    <t>Form</t>
  </si>
  <si>
    <t>Anatomie</t>
  </si>
  <si>
    <t>des</t>
  </si>
  <si>
    <t>benutzte</t>
  </si>
  <si>
    <t>Berechnungstechnologie</t>
  </si>
  <si>
    <t>FEM</t>
  </si>
  <si>
    <t>besser</t>
  </si>
  <si>
    <t>vorherzusehen</t>
  </si>
  <si>
    <t>welche</t>
  </si>
  <si>
    <t>inneren</t>
  </si>
  <si>
    <t>Belastungen</t>
  </si>
  <si>
    <t>bei</t>
  </si>
  <si>
    <t>normaler</t>
  </si>
  <si>
    <t>Nutzung</t>
  </si>
  <si>
    <t>entstehen</t>
  </si>
  <si>
    <t>lies</t>
  </si>
  <si>
    <t>danach</t>
  </si>
  <si>
    <t>herstellen</t>
  </si>
  <si>
    <t># text = Wir benutzen 3D-Drucker , um Prothesenschäfte aus mehreren Materialen herzustellen , die den Druck dort verringern , wo es die Anatomie des Patienten nötig macht .</t>
  </si>
  <si>
    <t>Wir</t>
  </si>
  <si>
    <t>3D</t>
  </si>
  <si>
    <t>Drucker</t>
  </si>
  <si>
    <t>mehreren</t>
  </si>
  <si>
    <t>Materialen</t>
  </si>
  <si>
    <t>dort</t>
  </si>
  <si>
    <t>verringern</t>
  </si>
  <si>
    <t>wo</t>
  </si>
  <si>
    <t>nötig</t>
  </si>
  <si>
    <t>macht</t>
  </si>
  <si>
    <t># text = Kurz gesagt , wir benutzen Daten , um neuartige Schäfte schnell und günstig herzustellen .</t>
  </si>
  <si>
    <t>Kurz</t>
  </si>
  <si>
    <t>gesagt</t>
  </si>
  <si>
    <t>Daten</t>
  </si>
  <si>
    <t>neuartige</t>
  </si>
  <si>
    <t># text = In einem Versuch , den wir vor kurzem am Media Lab durchführten , hat einer unserer Patienten , ein US-Veteran , der seit über 20 Jahren amputiert ist und schon dutzende Prothesen getragen hat , Folgendes über unsere ausgedruckten Prothesen gesagt : \" Sie ist so weich , als würde man auf Kissen laufen , und verdammt sexy . \"</t>
  </si>
  <si>
    <t>Versuch</t>
  </si>
  <si>
    <t>OBJ_5</t>
  </si>
  <si>
    <t>SBJ_5</t>
  </si>
  <si>
    <t>kurzem</t>
  </si>
  <si>
    <t>durchführten</t>
  </si>
  <si>
    <t>hat</t>
  </si>
  <si>
    <t>einer</t>
  </si>
  <si>
    <t>unserer</t>
  </si>
  <si>
    <t>US</t>
  </si>
  <si>
    <t>Veteran</t>
  </si>
  <si>
    <t>seit</t>
  </si>
  <si>
    <t>über</t>
  </si>
  <si>
    <t>schon</t>
  </si>
  <si>
    <t>dutzende</t>
  </si>
  <si>
    <t>getragen</t>
  </si>
  <si>
    <t>Folgendes</t>
  </si>
  <si>
    <t>unsere</t>
  </si>
  <si>
    <t>ausgedruckten</t>
  </si>
  <si>
    <t>so</t>
  </si>
  <si>
    <t>weich</t>
  </si>
  <si>
    <t>man</t>
  </si>
  <si>
    <t>Kissen</t>
  </si>
  <si>
    <t>laufen</t>
  </si>
  <si>
    <t>verdammt</t>
  </si>
  <si>
    <t>sexy</t>
  </si>
  <si>
    <t># text = ( Lachen ) Heutzutage sollten Behinderungen niemanden mehr daran hindern , ein sinnsvolles Leben zu führen .</t>
  </si>
  <si>
    <t>Lachen</t>
  </si>
  <si>
    <t>Heutzutage</t>
  </si>
  <si>
    <t>Behinderungen</t>
  </si>
  <si>
    <t>niemanden</t>
  </si>
  <si>
    <t>daran</t>
  </si>
  <si>
    <t>pron.padv</t>
  </si>
  <si>
    <t>hindern</t>
  </si>
  <si>
    <t>sinnsvolles</t>
  </si>
  <si>
    <t>Leben</t>
  </si>
  <si>
    <t>führen</t>
  </si>
  <si>
    <t># text = Meine Hoffnung und mein Wunsch ist es , dass die Werkzeuge und Prozesse , die wir in unserer Forschungsgruppe entwickeln , genutzt werden können , um hochfunktionale Prothesen herzustellen , für die , die sie brauchen .</t>
  </si>
  <si>
    <t>Hoffnung</t>
  </si>
  <si>
    <t>mein</t>
  </si>
  <si>
    <t>Wunsch</t>
  </si>
  <si>
    <t>Werkzeuge</t>
  </si>
  <si>
    <t>Prozesse</t>
  </si>
  <si>
    <t>Forschungsgruppe</t>
  </si>
  <si>
    <t>entwickeln</t>
  </si>
  <si>
    <t>können</t>
  </si>
  <si>
    <t>hochfunktionale</t>
  </si>
  <si>
    <t>brauchen</t>
  </si>
  <si>
    <t># text = Für mich ist es ein Anfang , um die Seelen derer zu heilen , die vom Krieg und Krankheiten betroffen sind , ist für mich komfortable und erschwingliche Schnittstellen für ihre Körper herzustellen .</t>
  </si>
  <si>
    <t>Für</t>
  </si>
  <si>
    <t>Anfang</t>
  </si>
  <si>
    <t>Seelen</t>
  </si>
  <si>
    <t>derer</t>
  </si>
  <si>
    <t>heilen</t>
  </si>
  <si>
    <t>Krankheiten</t>
  </si>
  <si>
    <t>betroffen</t>
  </si>
  <si>
    <t>sind</t>
  </si>
  <si>
    <t>komfortable</t>
  </si>
  <si>
    <t>erschwingliche</t>
  </si>
  <si>
    <t>Schnittstellen</t>
  </si>
  <si>
    <t>Körper</t>
  </si>
  <si>
    <t># text = Ob in Sierra Leone oder in Boston , ich hoffe , dass dies nicht nur ihren Sinn für menschliches Können wiederherstellt , sondern verändert .</t>
  </si>
  <si>
    <t>Ob</t>
  </si>
  <si>
    <t>oder</t>
  </si>
  <si>
    <t>Boston</t>
  </si>
  <si>
    <t>hoffe</t>
  </si>
  <si>
    <t>dies</t>
  </si>
  <si>
    <t>nur</t>
  </si>
  <si>
    <t>ihren</t>
  </si>
  <si>
    <t>Sinn</t>
  </si>
  <si>
    <t>menschliches</t>
  </si>
  <si>
    <t>Können</t>
  </si>
  <si>
    <t>wiederherstellt</t>
  </si>
  <si>
    <t>sondern</t>
  </si>
  <si>
    <t>verändert</t>
  </si>
  <si>
    <t># text = Vielen Dank</t>
  </si>
  <si>
    <t>Vielen</t>
  </si>
  <si>
    <t>Dank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</si>
</sst>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0" borderId="0" xfId="0" applyAlignment="1" applyProtection="1">
      <alignment horizontal="center"/>
      <protection locked="0"/>
    </xf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25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11</v>
      </c>
      <c r="C2" s="6" t="s">
        <v>11</v>
      </c>
      <c r="D2" s="7" t="s">
        <v>11</v>
      </c>
      <c r="E2" s="8" t="s">
        <v>12</v>
      </c>
      <c r="F2" s="6" t="s">
        <v>11</v>
      </c>
      <c r="G2" s="9">
        <f>IF(A2=1,"_",IF(C2="_","???",C2))</f>
        <v/>
      </c>
      <c r="H2" s="10" t="s">
        <v>11</v>
      </c>
      <c r="I2" s="11" t="s">
        <v>11</v>
      </c>
      <c r="J2" s="12"/>
    </row>
    <row r="3" spans="1:10" ht="60" customHeight="1">
      <c r="A3" s="6" t="s">
        <v>13</v>
      </c>
      <c r="B3" s="6" t="s">
        <v>11</v>
      </c>
      <c r="C3" s="6" t="s">
        <v>11</v>
      </c>
      <c r="D3" s="7" t="s">
        <v>11</v>
      </c>
      <c r="E3" s="8" t="s">
        <v>14</v>
      </c>
      <c r="F3" s="6" t="s">
        <v>11</v>
      </c>
      <c r="G3" s="9">
        <f>IF(A3=1,"_",IF(C3="_","???",C3))</f>
        <v/>
      </c>
      <c r="H3" s="10" t="s">
        <v>10</v>
      </c>
      <c r="I3" s="11" t="s">
        <v>16</v>
      </c>
      <c r="J3" s="12" t="s">
        <v>17</v>
      </c>
    </row>
    <row r="4" spans="1:10" ht="60" customHeight="1">
      <c r="A4" s="6" t="s">
        <v>18</v>
      </c>
      <c r="B4" s="6" t="s">
        <v>11</v>
      </c>
      <c r="C4" s="6" t="s">
        <v>11</v>
      </c>
      <c r="D4" s="7" t="s">
        <v>11</v>
      </c>
      <c r="E4" s="8" t="s">
        <v>19</v>
      </c>
      <c r="F4" s="6" t="s">
        <v>11</v>
      </c>
      <c r="G4" s="9">
        <f>IF(A4=1,"_",IF(C4="_","???",C4))</f>
        <v/>
      </c>
      <c r="H4" s="10" t="s">
        <v>13</v>
      </c>
      <c r="I4" s="11" t="s">
        <v>21</v>
      </c>
      <c r="J4" s="12" t="s">
        <v>22</v>
      </c>
    </row>
    <row r="5" spans="1:10" ht="60" customHeight="1">
      <c r="A5" s="6" t="s">
        <v>23</v>
      </c>
      <c r="B5" s="6" t="s">
        <v>11</v>
      </c>
      <c r="C5" s="6" t="s">
        <v>24</v>
      </c>
      <c r="D5" s="7" t="s">
        <v>11</v>
      </c>
      <c r="E5" s="8" t="s">
        <v>25</v>
      </c>
      <c r="F5" s="6" t="s">
        <v>11</v>
      </c>
      <c r="G5" s="9">
        <f>IF(A5=1,"_",IF(C5="_","???",C5))</f>
        <v/>
      </c>
      <c r="H5" s="10" t="s">
        <v>18</v>
      </c>
      <c r="I5" s="11" t="s">
        <v>27</v>
      </c>
      <c r="J5" s="12" t="s">
        <v>28</v>
      </c>
    </row>
    <row r="6" spans="1:10" ht="60" customHeight="1">
      <c r="A6" s="6" t="s">
        <v>29</v>
      </c>
      <c r="B6" s="6" t="s">
        <v>11</v>
      </c>
      <c r="C6" s="6" t="s">
        <v>11</v>
      </c>
      <c r="D6" s="7" t="s">
        <v>11</v>
      </c>
      <c r="E6" s="8" t="s">
        <v>30</v>
      </c>
      <c r="F6" s="6" t="s">
        <v>11</v>
      </c>
      <c r="G6" s="9">
        <f>IF(A6=1,"_",IF(C6="_","???",C6))</f>
        <v/>
      </c>
      <c r="H6" s="10" t="s">
        <v>23</v>
      </c>
      <c r="I6" s="11" t="s">
        <v>21</v>
      </c>
      <c r="J6" s="12" t="s">
        <v>22</v>
      </c>
    </row>
    <row r="7" spans="1:10" ht="60" customHeight="1">
      <c r="A7" s="6" t="s">
        <v>31</v>
      </c>
      <c r="B7" s="6" t="s">
        <v>11</v>
      </c>
      <c r="C7" s="6" t="s">
        <v>11</v>
      </c>
      <c r="D7" s="7" t="s">
        <v>11</v>
      </c>
      <c r="E7" s="8" t="s">
        <v>32</v>
      </c>
      <c r="F7" s="6" t="s">
        <v>11</v>
      </c>
      <c r="G7" s="9">
        <f>IF(A7=1,"_",IF(C7="_","???",C7))</f>
        <v/>
      </c>
      <c r="H7" s="10" t="s">
        <v>29</v>
      </c>
      <c r="I7" s="11" t="s">
        <v>34</v>
      </c>
      <c r="J7" s="12" t="s">
        <v>35</v>
      </c>
    </row>
    <row r="8" spans="1:10" ht="60" customHeight="1">
      <c r="A8" s="6" t="s">
        <v>36</v>
      </c>
      <c r="B8" s="6" t="s">
        <v>11</v>
      </c>
      <c r="C8" s="6" t="s">
        <v>11</v>
      </c>
      <c r="D8" s="7" t="s">
        <v>11</v>
      </c>
      <c r="E8" s="8" t="s">
        <v>37</v>
      </c>
      <c r="F8" s="6" t="s">
        <v>11</v>
      </c>
      <c r="G8" s="9">
        <f>IF(A8=1,"_",IF(C8="_","???",C8))</f>
        <v/>
      </c>
      <c r="H8" s="10" t="s">
        <v>11</v>
      </c>
      <c r="I8" s="11" t="s">
        <v>11</v>
      </c>
      <c r="J8" s="12"/>
    </row>
    <row r="9" spans="1:10" ht="60" customHeight="1">
      <c r="A9" s="6" t="s">
        <v>38</v>
      </c>
      <c r="B9" s="6" t="s">
        <v>11</v>
      </c>
      <c r="C9" s="6" t="s">
        <v>11</v>
      </c>
      <c r="D9" s="7" t="s">
        <v>11</v>
      </c>
      <c r="E9" s="8" t="s">
        <v>39</v>
      </c>
      <c r="F9" s="6" t="s">
        <v>11</v>
      </c>
      <c r="G9" s="9">
        <f>IF(A9=1,"_",IF(C9="_","???",C9))</f>
        <v/>
      </c>
      <c r="H9" s="10" t="s">
        <v>36</v>
      </c>
      <c r="I9" s="11" t="s">
        <v>41</v>
      </c>
      <c r="J9" s="12" t="s">
        <v>42</v>
      </c>
    </row>
    <row r="10" spans="1:10" ht="60" customHeight="1">
      <c r="A10" s="6" t="s">
        <v>43</v>
      </c>
      <c r="B10" s="6" t="s">
        <v>11</v>
      </c>
      <c r="C10" s="6" t="s">
        <v>11</v>
      </c>
      <c r="D10" s="7" t="s">
        <v>11</v>
      </c>
      <c r="E10" s="8" t="s">
        <v>44</v>
      </c>
      <c r="F10" s="6" t="s">
        <v>11</v>
      </c>
      <c r="G10" s="9">
        <f>IF(A10=1,"_",IF(C10="_","???",C10))</f>
        <v/>
      </c>
      <c r="H10" s="10" t="s">
        <v>11</v>
      </c>
      <c r="I10" s="11" t="s">
        <v>11</v>
      </c>
      <c r="J10" s="12"/>
    </row>
    <row r="11" spans="1:10" ht="60" customHeight="1">
      <c r="A11" s="6" t="s">
        <v>45</v>
      </c>
      <c r="B11" s="6" t="s">
        <v>11</v>
      </c>
      <c r="C11" s="6" t="s">
        <v>11</v>
      </c>
      <c r="D11" s="7" t="s">
        <v>11</v>
      </c>
      <c r="E11" s="8" t="s">
        <v>46</v>
      </c>
      <c r="F11" s="6" t="s">
        <v>11</v>
      </c>
      <c r="G11" s="9">
        <f>IF(A11=1,"_",IF(C11="_","???",C11))</f>
        <v/>
      </c>
      <c r="H11" s="10" t="s">
        <v>11</v>
      </c>
      <c r="I11" s="11" t="s">
        <v>11</v>
      </c>
      <c r="J11" s="12"/>
    </row>
    <row r="12" spans="1:10" ht="60" customHeight="1">
      <c r="A12" s="6" t="s">
        <v>47</v>
      </c>
      <c r="B12" s="6" t="s">
        <v>11</v>
      </c>
      <c r="C12" s="6" t="s">
        <v>48</v>
      </c>
      <c r="D12" s="7" t="s">
        <v>11</v>
      </c>
      <c r="E12" s="8" t="s">
        <v>49</v>
      </c>
      <c r="F12" s="6" t="s">
        <v>11</v>
      </c>
      <c r="G12" s="9">
        <f>IF(A12=1,"_",IF(C12="_","???",C12))</f>
        <v/>
      </c>
      <c r="H12" s="10" t="s">
        <v>45</v>
      </c>
      <c r="I12" s="11" t="s">
        <v>41</v>
      </c>
      <c r="J12" s="12" t="s">
        <v>42</v>
      </c>
    </row>
    <row r="13" spans="1:10" ht="60" customHeight="1">
      <c r="A13" s="6" t="s">
        <v>50</v>
      </c>
      <c r="B13" s="6" t="s">
        <v>11</v>
      </c>
      <c r="C13" s="6" t="s">
        <v>24</v>
      </c>
      <c r="D13" s="7" t="s">
        <v>11</v>
      </c>
      <c r="E13" s="8" t="s">
        <v>51</v>
      </c>
      <c r="F13" s="6" t="s">
        <v>11</v>
      </c>
      <c r="G13" s="9">
        <f>IF(A13=1,"_",IF(C13="_","???",C13))</f>
        <v/>
      </c>
      <c r="H13" s="10" t="s">
        <v>47</v>
      </c>
      <c r="I13" s="11" t="s">
        <v>34</v>
      </c>
      <c r="J13" s="12" t="s">
        <v>35</v>
      </c>
    </row>
    <row r="14" spans="1:10" ht="60" customHeight="1">
      <c r="A14" s="6" t="s">
        <v>52</v>
      </c>
      <c r="B14" s="6" t="s">
        <v>11</v>
      </c>
      <c r="C14" s="6" t="s">
        <v>48</v>
      </c>
      <c r="D14" s="7" t="s">
        <v>11</v>
      </c>
      <c r="E14" s="8" t="s">
        <v>53</v>
      </c>
      <c r="F14" s="6" t="s">
        <v>11</v>
      </c>
      <c r="G14" s="9">
        <f>IF(A14=1,"_",IF(C14="_","???",C14))</f>
        <v/>
      </c>
      <c r="H14" s="10" t="s">
        <v>50</v>
      </c>
      <c r="I14" s="11" t="s">
        <v>34</v>
      </c>
      <c r="J14" s="12" t="s">
        <v>35</v>
      </c>
    </row>
    <row r="15" spans="1:10" ht="60" customHeight="1">
      <c r="A15" s="6" t="s">
        <v>54</v>
      </c>
      <c r="B15" s="6" t="s">
        <v>11</v>
      </c>
      <c r="C15" s="6" t="s">
        <v>11</v>
      </c>
      <c r="D15" s="7" t="s">
        <v>11</v>
      </c>
      <c r="E15" s="8" t="s">
        <v>55</v>
      </c>
      <c r="F15" s="6" t="s">
        <v>11</v>
      </c>
      <c r="G15" s="9">
        <f>IF(A15=1,"_",IF(C15="_","???",C15))</f>
        <v/>
      </c>
      <c r="H15" s="10" t="s">
        <v>11</v>
      </c>
      <c r="I15" s="11" t="s">
        <v>11</v>
      </c>
      <c r="J15" s="12"/>
    </row>
    <row r="16" spans="1:10" ht="60" customHeight="1">
      <c r="A16" s="6" t="s">
        <v>56</v>
      </c>
      <c r="B16" s="6" t="s">
        <v>11</v>
      </c>
      <c r="C16" s="6" t="s">
        <v>11</v>
      </c>
      <c r="D16" s="7" t="s">
        <v>11</v>
      </c>
      <c r="E16" s="8" t="s">
        <v>57</v>
      </c>
      <c r="F16" s="6" t="s">
        <v>11</v>
      </c>
      <c r="G16" s="9">
        <f>IF(A16=1,"_",IF(C16="_","???",C16))</f>
        <v/>
      </c>
      <c r="H16" s="10" t="s">
        <v>54</v>
      </c>
      <c r="I16" s="11" t="s">
        <v>59</v>
      </c>
      <c r="J16" s="12" t="s">
        <v>60</v>
      </c>
    </row>
    <row r="17" spans="1:10" ht="60" customHeight="1">
      <c r="A17" s="6" t="s">
        <v>61</v>
      </c>
      <c r="B17" s="6" t="s">
        <v>11</v>
      </c>
      <c r="C17" s="6" t="s">
        <v>62</v>
      </c>
      <c r="D17" s="7" t="s">
        <v>11</v>
      </c>
      <c r="E17" s="8" t="s">
        <v>63</v>
      </c>
      <c r="F17" s="6" t="s">
        <v>11</v>
      </c>
      <c r="G17" s="9">
        <f>IF(A17=1,"_",IF(C17="_","???",C17))</f>
        <v/>
      </c>
      <c r="H17" s="10" t="s">
        <v>56</v>
      </c>
      <c r="I17" s="11" t="s">
        <v>65</v>
      </c>
      <c r="J17" s="12" t="s">
        <v>66</v>
      </c>
    </row>
    <row r="18" spans="1:10" ht="60" customHeight="1">
      <c r="A18" s="6" t="s">
        <v>67</v>
      </c>
      <c r="B18" s="6" t="s">
        <v>11</v>
      </c>
      <c r="C18" s="6" t="s">
        <v>68</v>
      </c>
      <c r="D18" s="7" t="s">
        <v>11</v>
      </c>
      <c r="E18" s="8" t="s">
        <v>69</v>
      </c>
      <c r="F18" s="6" t="s">
        <v>11</v>
      </c>
      <c r="G18" s="9">
        <f>IF(A18=1,"_",IF(C18="_","???",C18))</f>
        <v/>
      </c>
      <c r="H18" s="10" t="s">
        <v>61</v>
      </c>
      <c r="I18" s="11" t="s">
        <v>34</v>
      </c>
      <c r="J18" s="12" t="s">
        <v>35</v>
      </c>
    </row>
    <row r="19" spans="1:10" ht="60" customHeight="1">
      <c r="A19" s="6" t="s">
        <v>70</v>
      </c>
      <c r="B19" s="6" t="s">
        <v>11</v>
      </c>
      <c r="C19" s="6" t="s">
        <v>11</v>
      </c>
      <c r="D19" s="7" t="s">
        <v>11</v>
      </c>
      <c r="E19" s="8" t="s">
        <v>71</v>
      </c>
      <c r="F19" s="6" t="s">
        <v>11</v>
      </c>
      <c r="G19" s="9">
        <f>IF(A19=1,"_",IF(C19="_","???",C19))</f>
        <v/>
      </c>
      <c r="H19" s="10" t="s">
        <v>67</v>
      </c>
      <c r="I19" s="11" t="s">
        <v>73</v>
      </c>
      <c r="J19" s="12" t="s">
        <v>74</v>
      </c>
    </row>
    <row r="20" spans="1:10" ht="60" customHeight="1">
      <c r="A20" s="6" t="s">
        <v>75</v>
      </c>
      <c r="B20" s="6" t="s">
        <v>11</v>
      </c>
      <c r="C20" s="6" t="s">
        <v>76</v>
      </c>
      <c r="D20" s="7" t="s">
        <v>11</v>
      </c>
      <c r="E20" s="8" t="s">
        <v>77</v>
      </c>
      <c r="F20" s="6" t="s">
        <v>11</v>
      </c>
      <c r="G20" s="9">
        <f>IF(A20=1,"_",IF(C20="_","???",C20))</f>
        <v/>
      </c>
      <c r="H20" s="10" t="s">
        <v>70</v>
      </c>
      <c r="I20" s="11" t="s">
        <v>79</v>
      </c>
      <c r="J20" s="12" t="s">
        <v>80</v>
      </c>
    </row>
    <row r="21" spans="1:10" ht="60" customHeight="1">
      <c r="A21" s="6" t="s">
        <v>81</v>
      </c>
      <c r="B21" s="6" t="s">
        <v>11</v>
      </c>
      <c r="C21" s="6" t="s">
        <v>11</v>
      </c>
      <c r="D21" s="7" t="s">
        <v>11</v>
      </c>
      <c r="E21" s="8" t="s">
        <v>82</v>
      </c>
      <c r="F21" s="6" t="s">
        <v>11</v>
      </c>
      <c r="G21" s="9">
        <f>IF(A21=1,"_",IF(C21="_","???",C21))</f>
        <v/>
      </c>
      <c r="H21" s="10" t="s">
        <v>11</v>
      </c>
      <c r="I21" s="11" t="s">
        <v>11</v>
      </c>
      <c r="J21" s="12"/>
    </row>
    <row r="22" spans="1:10" ht="60" customHeight="1">
      <c r="A22" s="6" t="s">
        <v>83</v>
      </c>
      <c r="B22" s="6" t="s">
        <v>11</v>
      </c>
      <c r="C22" s="6" t="s">
        <v>24</v>
      </c>
      <c r="D22" s="7" t="s">
        <v>11</v>
      </c>
      <c r="E22" s="8" t="s">
        <v>84</v>
      </c>
      <c r="F22" s="6" t="s">
        <v>11</v>
      </c>
      <c r="G22" s="9">
        <f>IF(A22=1,"_",IF(C22="_","???",C22))</f>
        <v/>
      </c>
      <c r="H22" s="10" t="s">
        <v>81</v>
      </c>
      <c r="I22" s="11" t="s">
        <v>27</v>
      </c>
      <c r="J22" s="12" t="s">
        <v>28</v>
      </c>
    </row>
    <row r="23" spans="1:10" ht="60" customHeight="1">
      <c r="A23" s="6" t="s">
        <v>85</v>
      </c>
      <c r="B23" s="6" t="s">
        <v>11</v>
      </c>
      <c r="C23" s="6" t="s">
        <v>24</v>
      </c>
      <c r="D23" s="7" t="s">
        <v>11</v>
      </c>
      <c r="E23" s="8" t="s">
        <v>86</v>
      </c>
      <c r="F23" s="6" t="s">
        <v>11</v>
      </c>
      <c r="G23" s="9">
        <f>IF(A23=1,"_",IF(C23="_","???",C23))</f>
        <v/>
      </c>
      <c r="H23" s="10" t="s">
        <v>83</v>
      </c>
      <c r="I23" s="11" t="s">
        <v>27</v>
      </c>
      <c r="J23" s="12" t="s">
        <v>28</v>
      </c>
    </row>
    <row r="24" spans="1:10" ht="60" customHeight="1">
      <c r="A24" s="6" t="s">
        <v>87</v>
      </c>
      <c r="B24" s="6" t="s">
        <v>11</v>
      </c>
      <c r="C24" s="6" t="s">
        <v>24</v>
      </c>
      <c r="D24" s="7" t="s">
        <v>11</v>
      </c>
      <c r="E24" s="8" t="s">
        <v>88</v>
      </c>
      <c r="F24" s="6" t="s">
        <v>11</v>
      </c>
      <c r="G24" s="9">
        <f>IF(A24=1,"_",IF(C24="_","???",C24))</f>
        <v/>
      </c>
      <c r="H24" s="10" t="s">
        <v>85</v>
      </c>
      <c r="I24" s="11" t="s">
        <v>27</v>
      </c>
      <c r="J24" s="12" t="s">
        <v>28</v>
      </c>
    </row>
    <row r="25" spans="1:10" ht="60" customHeight="1">
      <c r="A25" s="6" t="s">
        <v>89</v>
      </c>
      <c r="B25" s="6" t="s">
        <v>11</v>
      </c>
      <c r="C25" s="6" t="s">
        <v>11</v>
      </c>
      <c r="D25" s="7" t="s">
        <v>11</v>
      </c>
      <c r="E25" s="8" t="s">
        <v>90</v>
      </c>
      <c r="F25" s="6" t="s">
        <v>11</v>
      </c>
      <c r="G25" s="9">
        <f>IF(A25=1,"_",IF(C25="_","???",C25))</f>
        <v/>
      </c>
      <c r="H25" s="10" t="s">
        <v>11</v>
      </c>
      <c r="I25" s="11" t="s">
        <v>11</v>
      </c>
      <c r="J25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69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91</v>
      </c>
      <c r="B1" s="13" t="s">
        <v>92</v>
      </c>
      <c r="C1" s="13" t="s">
        <v>93</v>
      </c>
      <c r="D1" s="13" t="s">
        <v>94</v>
      </c>
      <c r="E1" s="14" t="s">
        <v>95</v>
      </c>
      <c r="F1" s="15" t="s">
        <v>96</v>
      </c>
      <c r="G1" s="16" t="s">
        <v>97</v>
      </c>
      <c r="H1" s="17" t="s">
        <v>98</v>
      </c>
      <c r="I1" s="18" t="s">
        <v>99</v>
      </c>
      <c r="J1" s="18" t="s">
        <v>100</v>
      </c>
      <c r="K1" s="18" t="s">
        <v>101</v>
      </c>
      <c r="L1" s="19" t="s">
        <v>9</v>
      </c>
    </row>
    <row r="2" spans="1:12">
      <c r="A2" s="20" t="s">
        <v>102</v>
      </c>
    </row>
    <row r="3" spans="1:12">
      <c r="A3" s="20" t="s">
        <v>103</v>
      </c>
      <c r="B3" s="21" t="s">
        <v>104</v>
      </c>
      <c r="C3" s="21" t="s">
        <v>105</v>
      </c>
      <c r="D3" s="21" t="s">
        <v>106</v>
      </c>
      <c r="E3" s="22">
        <f>IF(D3="?OLD","!!!","")</f>
        <v/>
      </c>
      <c r="F3" s="23" t="str">
        <f>IF(OR(E3="",E3="!!!"),"",IF(NOT(ISNA(VLOOKUP(E3,E$1:E2,1,FALSE()))),"OLD",IF(AND(E3&lt;&gt;"",E3&lt;&gt;"!!!"),"NEW","")))</f>
        <v> </v>
      </c>
      <c r="G3" s="24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5" t="str">
        <f>IF(J3&lt;&gt;1,"",IF(I3="SBJ","CB","?"))</f>
        <v> </v>
      </c>
      <c r="I3" s="26" t="str">
        <f>IF(OR(E3="",E3="!!!",F3="NEW"),"",INDEX(B2:B$2,-1+SUMPRODUCT(MAX(ROW(E2:E$2)*(E3=E2:E$2)))))</f>
        <v> </v>
      </c>
      <c r="J3" s="26" t="str">
        <f>IF(OR(E3="",E3="!!!",F3="NEW"),"",COUNTBLANK(OFFSET(A$1,,,SUMPRODUCT(MAX(ROW(E$2:E3)*(E3=E$2:E3)))))-COUNTBLANK(OFFSET(A$1,,,SUMPRODUCT(MAX(ROW(E$1:E2)*(E2=E$1:E2))))))</f>
        <v> </v>
      </c>
      <c r="K3" s="26" t="str">
        <f>IF(OR(E3="",E3="!!!",F3="NEW"),"",INDEX(J$1:J2,SUMPRODUCT(MAX(ROW(E$1:E2)*(E3=E$1:E2)))))</f>
        <v> </v>
      </c>
      <c r="L3" s="27"/>
    </row>
    <row r="4" spans="1:12">
      <c r="A4" s="20" t="s">
        <v>107</v>
      </c>
      <c r="E4" s="22">
        <f>IF(D4="?OLD","!!!","")</f>
        <v/>
      </c>
      <c r="F4" s="23" t="str">
        <f>IF(OR(E4="",E4="!!!"),"",IF(NOT(ISNA(VLOOKUP(E4,E$1:E3,1,FALSE()))),"OLD",IF(AND(E4&lt;&gt;"",E4&lt;&gt;"!!!"),"NEW","")))</f>
        <v> </v>
      </c>
      <c r="G4" s="24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5" t="str">
        <f>IF(J4&lt;&gt;1,"",IF(I4="SBJ","CB","?"))</f>
        <v> </v>
      </c>
      <c r="I4" s="26" t="str">
        <f>IF(OR(E4="",E4="!!!",F4="NEW"),"",INDEX(B3:B$2,-1+SUMPRODUCT(MAX(ROW(E3:E$2)*(E4=E3:E$2)))))</f>
        <v> </v>
      </c>
      <c r="J4" s="26" t="str">
        <f>IF(OR(E4="",E4="!!!",F4="NEW"),"",COUNTBLANK(OFFSET(A$1,,,SUMPRODUCT(MAX(ROW(E$2:E4)*(E4=E$2:E4)))))-COUNTBLANK(OFFSET(A$1,,,SUMPRODUCT(MAX(ROW(E$1:E3)*(E2=E$1:E3))))))</f>
        <v> </v>
      </c>
      <c r="K4" s="26" t="str">
        <f>IF(OR(E4="",E4="!!!",F4="NEW"),"",INDEX(J$1:J3,SUMPRODUCT(MAX(ROW(E$1:E3)*(E4=E$1:E3)))))</f>
        <v> </v>
      </c>
      <c r="L4" s="27"/>
    </row>
    <row r="5" spans="1:12">
      <c r="A5" s="20" t="s">
        <v>108</v>
      </c>
      <c r="E5" s="22">
        <f>IF(D5="?OLD","!!!","")</f>
        <v/>
      </c>
      <c r="F5" s="23" t="str">
        <f>IF(OR(E5="",E5="!!!"),"",IF(NOT(ISNA(VLOOKUP(E5,E$1:E4,1,FALSE()))),"OLD",IF(AND(E5&lt;&gt;"",E5&lt;&gt;"!!!"),"NEW","")))</f>
        <v> </v>
      </c>
      <c r="G5" s="24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5" t="str">
        <f>IF(J5&lt;&gt;1,"",IF(I5="SBJ","CB","?"))</f>
        <v> </v>
      </c>
      <c r="I5" s="26" t="str">
        <f>IF(OR(E5="",E5="!!!",F5="NEW"),"",INDEX(B4:B$2,-1+SUMPRODUCT(MAX(ROW(E4:E$2)*(E5=E4:E$2)))))</f>
        <v> </v>
      </c>
      <c r="J5" s="26" t="str">
        <f>IF(OR(E5="",E5="!!!",F5="NEW"),"",COUNTBLANK(OFFSET(A$1,,,SUMPRODUCT(MAX(ROW(E$2:E5)*(E5=E$2:E5)))))-COUNTBLANK(OFFSET(A$1,,,SUMPRODUCT(MAX(ROW(E$1:E4)*(E2=E$1:E4))))))</f>
        <v> </v>
      </c>
      <c r="K5" s="26" t="str">
        <f>IF(OR(E5="",E5="!!!",F5="NEW"),"",INDEX(J$1:J4,SUMPRODUCT(MAX(ROW(E$1:E4)*(E5=E$1:E4)))))</f>
        <v> </v>
      </c>
      <c r="L5" s="27"/>
    </row>
    <row r="6" spans="1:12">
      <c r="A6" s="20" t="s">
        <v>109</v>
      </c>
      <c r="B6" s="21" t="s">
        <v>110</v>
      </c>
      <c r="C6" s="21" t="s">
        <v>111</v>
      </c>
      <c r="D6" s="21" t="s">
        <v>106</v>
      </c>
      <c r="E6" s="22">
        <f>IF(D6="?OLD","!!!","")</f>
        <v/>
      </c>
      <c r="F6" s="23" t="str">
        <f>IF(OR(E6="",E6="!!!"),"",IF(NOT(ISNA(VLOOKUP(E6,E$1:E5,1,FALSE()))),"OLD",IF(AND(E6&lt;&gt;"",E6&lt;&gt;"!!!"),"NEW","")))</f>
        <v> </v>
      </c>
      <c r="G6" s="24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5" t="str">
        <f>IF(J6&lt;&gt;1,"",IF(I6="SBJ","CB","?"))</f>
        <v> </v>
      </c>
      <c r="I6" s="26" t="str">
        <f>IF(OR(E6="",E6="!!!",F6="NEW"),"",INDEX(B5:B$2,-1+SUMPRODUCT(MAX(ROW(E5:E$2)*(E6=E5:E$2)))))</f>
        <v> </v>
      </c>
      <c r="J6" s="26" t="str">
        <f>IF(OR(E6="",E6="!!!",F6="NEW"),"",COUNTBLANK(OFFSET(A$1,,,SUMPRODUCT(MAX(ROW(E$2:E6)*(E6=E$2:E6)))))-COUNTBLANK(OFFSET(A$1,,,SUMPRODUCT(MAX(ROW(E$1:E5)*(E2=E$1:E5))))))</f>
        <v> </v>
      </c>
      <c r="K6" s="26" t="str">
        <f>IF(OR(E6="",E6="!!!",F6="NEW"),"",INDEX(J$1:J5,SUMPRODUCT(MAX(ROW(E$1:E5)*(E6=E$1:E5)))))</f>
        <v> </v>
      </c>
      <c r="L6" s="27"/>
    </row>
    <row r="7" spans="1:12">
      <c r="A7" s="20" t="s">
        <v>112</v>
      </c>
      <c r="E7" s="22">
        <f>IF(D7="?OLD","!!!","")</f>
        <v/>
      </c>
      <c r="F7" s="23" t="str">
        <f>IF(OR(E7="",E7="!!!"),"",IF(NOT(ISNA(VLOOKUP(E7,E$1:E6,1,FALSE()))),"OLD",IF(AND(E7&lt;&gt;"",E7&lt;&gt;"!!!"),"NEW","")))</f>
        <v> </v>
      </c>
      <c r="G7" s="24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5" t="str">
        <f>IF(J7&lt;&gt;1,"",IF(I7="SBJ","CB","?"))</f>
        <v> </v>
      </c>
      <c r="I7" s="26" t="str">
        <f>IF(OR(E7="",E7="!!!",F7="NEW"),"",INDEX(B6:B$2,-1+SUMPRODUCT(MAX(ROW(E6:E$2)*(E7=E6:E$2)))))</f>
        <v> </v>
      </c>
      <c r="J7" s="26" t="str">
        <f>IF(OR(E7="",E7="!!!",F7="NEW"),"",COUNTBLANK(OFFSET(A$1,,,SUMPRODUCT(MAX(ROW(E$2:E7)*(E7=E$2:E7)))))-COUNTBLANK(OFFSET(A$1,,,SUMPRODUCT(MAX(ROW(E$1:E6)*(E2=E$1:E6))))))</f>
        <v> </v>
      </c>
      <c r="K7" s="26" t="str">
        <f>IF(OR(E7="",E7="!!!",F7="NEW"),"",INDEX(J$1:J6,SUMPRODUCT(MAX(ROW(E$1:E6)*(E7=E$1:E6)))))</f>
        <v> </v>
      </c>
      <c r="L7" s="27"/>
    </row>
    <row r="8" spans="1:12">
      <c r="A8" s="20" t="s">
        <v>113</v>
      </c>
      <c r="E8" s="22">
        <f>IF(D8="?OLD","!!!","")</f>
        <v/>
      </c>
      <c r="F8" s="23" t="str">
        <f>IF(OR(E8="",E8="!!!"),"",IF(NOT(ISNA(VLOOKUP(E8,E$1:E7,1,FALSE()))),"OLD",IF(AND(E8&lt;&gt;"",E8&lt;&gt;"!!!"),"NEW","")))</f>
        <v> </v>
      </c>
      <c r="G8" s="24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5" t="str">
        <f>IF(J8&lt;&gt;1,"",IF(I8="SBJ","CB","?"))</f>
        <v> </v>
      </c>
      <c r="I8" s="26" t="str">
        <f>IF(OR(E8="",E8="!!!",F8="NEW"),"",INDEX(B7:B$2,-1+SUMPRODUCT(MAX(ROW(E7:E$2)*(E8=E7:E$2)))))</f>
        <v> </v>
      </c>
      <c r="J8" s="26" t="str">
        <f>IF(OR(E8="",E8="!!!",F8="NEW"),"",COUNTBLANK(OFFSET(A$1,,,SUMPRODUCT(MAX(ROW(E$2:E8)*(E8=E$2:E8)))))-COUNTBLANK(OFFSET(A$1,,,SUMPRODUCT(MAX(ROW(E$1:E7)*(E2=E$1:E7))))))</f>
        <v> </v>
      </c>
      <c r="K8" s="26" t="str">
        <f>IF(OR(E8="",E8="!!!",F8="NEW"),"",INDEX(J$1:J7,SUMPRODUCT(MAX(ROW(E$1:E7)*(E8=E$1:E7)))))</f>
        <v> </v>
      </c>
      <c r="L8" s="27"/>
    </row>
    <row r="9" spans="1:12">
      <c r="A9" s="20" t="s">
        <v>114</v>
      </c>
      <c r="E9" s="22">
        <f>IF(D9="?OLD","!!!","")</f>
        <v/>
      </c>
      <c r="F9" s="23" t="str">
        <f>IF(OR(E9="",E9="!!!"),"",IF(NOT(ISNA(VLOOKUP(E9,E$1:E8,1,FALSE()))),"OLD",IF(AND(E9&lt;&gt;"",E9&lt;&gt;"!!!"),"NEW","")))</f>
        <v> </v>
      </c>
      <c r="G9" s="24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5" t="str">
        <f>IF(J9&lt;&gt;1,"",IF(I9="SBJ","CB","?"))</f>
        <v> </v>
      </c>
      <c r="I9" s="26" t="str">
        <f>IF(OR(E9="",E9="!!!",F9="NEW"),"",INDEX(B8:B$2,-1+SUMPRODUCT(MAX(ROW(E8:E$2)*(E9=E8:E$2)))))</f>
        <v> </v>
      </c>
      <c r="J9" s="26" t="str">
        <f>IF(OR(E9="",E9="!!!",F9="NEW"),"",COUNTBLANK(OFFSET(A$1,,,SUMPRODUCT(MAX(ROW(E$2:E9)*(E9=E$2:E9)))))-COUNTBLANK(OFFSET(A$1,,,SUMPRODUCT(MAX(ROW(E$1:E8)*(E2=E$1:E8))))))</f>
        <v> </v>
      </c>
      <c r="K9" s="26" t="str">
        <f>IF(OR(E9="",E9="!!!",F9="NEW"),"",INDEX(J$1:J8,SUMPRODUCT(MAX(ROW(E$1:E8)*(E9=E$1:E8)))))</f>
        <v> </v>
      </c>
      <c r="L9" s="27"/>
    </row>
    <row r="10" spans="1:12">
      <c r="A10" s="20" t="s">
        <v>115</v>
      </c>
      <c r="E10" s="22">
        <f>IF(D10="?OLD","!!!","")</f>
        <v/>
      </c>
      <c r="F10" s="23" t="str">
        <f>IF(OR(E10="",E10="!!!"),"",IF(NOT(ISNA(VLOOKUP(E10,E$1:E9,1,FALSE()))),"OLD",IF(AND(E10&lt;&gt;"",E10&lt;&gt;"!!!"),"NEW","")))</f>
        <v> </v>
      </c>
      <c r="G10" s="24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5" t="str">
        <f>IF(J10&lt;&gt;1,"",IF(I10="SBJ","CB","?"))</f>
        <v> </v>
      </c>
      <c r="I10" s="26" t="str">
        <f>IF(OR(E10="",E10="!!!",F10="NEW"),"",INDEX(B9:B$2,-1+SUMPRODUCT(MAX(ROW(E9:E$2)*(E10=E9:E$2)))))</f>
        <v> </v>
      </c>
      <c r="J10" s="26" t="str">
        <f>IF(OR(E10="",E10="!!!",F10="NEW"),"",COUNTBLANK(OFFSET(A$1,,,SUMPRODUCT(MAX(ROW(E$2:E10)*(E10=E$2:E10)))))-COUNTBLANK(OFFSET(A$1,,,SUMPRODUCT(MAX(ROW(E$1:E9)*(E2=E$1:E9))))))</f>
        <v> </v>
      </c>
      <c r="K10" s="26" t="str">
        <f>IF(OR(E10="",E10="!!!",F10="NEW"),"",INDEX(J$1:J9,SUMPRODUCT(MAX(ROW(E$1:E9)*(E10=E$1:E9)))))</f>
        <v> </v>
      </c>
      <c r="L10" s="27"/>
    </row>
    <row r="11" spans="1:12">
      <c r="A11" s="20" t="s">
        <v>116</v>
      </c>
      <c r="E11" s="22">
        <f>IF(D11="?OLD","!!!","")</f>
        <v/>
      </c>
      <c r="F11" s="23" t="str">
        <f>IF(OR(E11="",E11="!!!"),"",IF(NOT(ISNA(VLOOKUP(E11,E$1:E10,1,FALSE()))),"OLD",IF(AND(E11&lt;&gt;"",E11&lt;&gt;"!!!"),"NEW","")))</f>
        <v> </v>
      </c>
      <c r="G11" s="24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5" t="str">
        <f>IF(J11&lt;&gt;1,"",IF(I11="SBJ","CB","?"))</f>
        <v> </v>
      </c>
      <c r="I11" s="26" t="str">
        <f>IF(OR(E11="",E11="!!!",F11="NEW"),"",INDEX(B10:B$2,-1+SUMPRODUCT(MAX(ROW(E10:E$2)*(E11=E10:E$2)))))</f>
        <v> </v>
      </c>
      <c r="J11" s="26" t="str">
        <f>IF(OR(E11="",E11="!!!",F11="NEW"),"",COUNTBLANK(OFFSET(A$1,,,SUMPRODUCT(MAX(ROW(E$2:E11)*(E11=E$2:E11)))))-COUNTBLANK(OFFSET(A$1,,,SUMPRODUCT(MAX(ROW(E$1:E10)*(E2=E$1:E10))))))</f>
        <v> </v>
      </c>
      <c r="K11" s="26" t="str">
        <f>IF(OR(E11="",E11="!!!",F11="NEW"),"",INDEX(J$1:J10,SUMPRODUCT(MAX(ROW(E$1:E10)*(E11=E$1:E10)))))</f>
        <v> </v>
      </c>
      <c r="L11" s="27"/>
    </row>
    <row r="12" spans="1:12">
      <c r="A12" s="20" t="s">
        <v>117</v>
      </c>
      <c r="E12" s="22">
        <f>IF(D12="?OLD","!!!","")</f>
        <v/>
      </c>
      <c r="F12" s="23" t="str">
        <f>IF(OR(E12="",E12="!!!"),"",IF(NOT(ISNA(VLOOKUP(E12,E$1:E11,1,FALSE()))),"OLD",IF(AND(E12&lt;&gt;"",E12&lt;&gt;"!!!"),"NEW","")))</f>
        <v> </v>
      </c>
      <c r="G12" s="24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5" t="str">
        <f>IF(J12&lt;&gt;1,"",IF(I12="SBJ","CB","?"))</f>
        <v> </v>
      </c>
      <c r="I12" s="26" t="str">
        <f>IF(OR(E12="",E12="!!!",F12="NEW"),"",INDEX(B11:B$2,-1+SUMPRODUCT(MAX(ROW(E11:E$2)*(E12=E11:E$2)))))</f>
        <v> </v>
      </c>
      <c r="J12" s="26" t="str">
        <f>IF(OR(E12="",E12="!!!",F12="NEW"),"",COUNTBLANK(OFFSET(A$1,,,SUMPRODUCT(MAX(ROW(E$2:E12)*(E12=E$2:E12)))))-COUNTBLANK(OFFSET(A$1,,,SUMPRODUCT(MAX(ROW(E$1:E11)*(E2=E$1:E11))))))</f>
        <v> </v>
      </c>
      <c r="K12" s="26" t="str">
        <f>IF(OR(E12="",E12="!!!",F12="NEW"),"",INDEX(J$1:J11,SUMPRODUCT(MAX(ROW(E$1:E11)*(E12=E$1:E11)))))</f>
        <v> </v>
      </c>
      <c r="L12" s="27"/>
    </row>
    <row r="13" spans="1:12">
      <c r="A13" s="20" t="s">
        <v>118</v>
      </c>
      <c r="E13" s="22">
        <f>IF(D13="?OLD","!!!","")</f>
        <v/>
      </c>
      <c r="F13" s="23" t="str">
        <f>IF(OR(E13="",E13="!!!"),"",IF(NOT(ISNA(VLOOKUP(E13,E$1:E12,1,FALSE()))),"OLD",IF(AND(E13&lt;&gt;"",E13&lt;&gt;"!!!"),"NEW","")))</f>
        <v> </v>
      </c>
      <c r="G13" s="24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25" t="str">
        <f>IF(J13&lt;&gt;1,"",IF(I13="SBJ","CB","?"))</f>
        <v> </v>
      </c>
      <c r="I13" s="26" t="str">
        <f>IF(OR(E13="",E13="!!!",F13="NEW"),"",INDEX(B12:B$2,-1+SUMPRODUCT(MAX(ROW(E12:E$2)*(E13=E12:E$2)))))</f>
        <v> </v>
      </c>
      <c r="J13" s="26" t="str">
        <f>IF(OR(E13="",E13="!!!",F13="NEW"),"",COUNTBLANK(OFFSET(A$1,,,SUMPRODUCT(MAX(ROW(E$2:E13)*(E13=E$2:E13)))))-COUNTBLANK(OFFSET(A$1,,,SUMPRODUCT(MAX(ROW(E$1:E12)*(E2=E$1:E12))))))</f>
        <v> </v>
      </c>
      <c r="K13" s="26" t="str">
        <f>IF(OR(E13="",E13="!!!",F13="NEW"),"",INDEX(J$1:J12,SUMPRODUCT(MAX(ROW(E$1:E12)*(E13=E$1:E12)))))</f>
        <v> </v>
      </c>
      <c r="L13" s="27"/>
    </row>
    <row r="14" spans="1:12">
      <c r="A14" s="20" t="s">
        <v>114</v>
      </c>
      <c r="E14" s="22">
        <f>IF(D14="?OLD","!!!","")</f>
        <v/>
      </c>
      <c r="F14" s="23" t="str">
        <f>IF(OR(E14="",E14="!!!"),"",IF(NOT(ISNA(VLOOKUP(E14,E$1:E13,1,FALSE()))),"OLD",IF(AND(E14&lt;&gt;"",E14&lt;&gt;"!!!"),"NEW","")))</f>
        <v> </v>
      </c>
      <c r="G14" s="24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> </v>
      </c>
      <c r="H14" s="25" t="str">
        <f>IF(J14&lt;&gt;1,"",IF(I14="SBJ","CB","?"))</f>
        <v> </v>
      </c>
      <c r="I14" s="26" t="str">
        <f>IF(OR(E14="",E14="!!!",F14="NEW"),"",INDEX(B13:B$2,-1+SUMPRODUCT(MAX(ROW(E13:E$2)*(E14=E13:E$2)))))</f>
        <v> </v>
      </c>
      <c r="J14" s="26" t="str">
        <f>IF(OR(E14="",E14="!!!",F14="NEW"),"",COUNTBLANK(OFFSET(A$1,,,SUMPRODUCT(MAX(ROW(E$2:E14)*(E14=E$2:E14)))))-COUNTBLANK(OFFSET(A$1,,,SUMPRODUCT(MAX(ROW(E$1:E13)*(E2=E$1:E13))))))</f>
        <v> </v>
      </c>
      <c r="K14" s="26" t="str">
        <f>IF(OR(E14="",E14="!!!",F14="NEW"),"",INDEX(J$1:J13,SUMPRODUCT(MAX(ROW(E$1:E13)*(E14=E$1:E13)))))</f>
        <v> </v>
      </c>
      <c r="L14" s="27"/>
    </row>
    <row r="15" spans="1:12">
      <c r="A15" s="20" t="s">
        <v>119</v>
      </c>
      <c r="E15" s="22">
        <f>IF(D15="?OLD","!!!","")</f>
        <v/>
      </c>
      <c r="F15" s="23" t="str">
        <f>IF(OR(E15="",E15="!!!"),"",IF(NOT(ISNA(VLOOKUP(E15,E$1:E14,1,FALSE()))),"OLD",IF(AND(E15&lt;&gt;"",E15&lt;&gt;"!!!"),"NEW","")))</f>
        <v> </v>
      </c>
      <c r="G15" s="24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> </v>
      </c>
      <c r="H15" s="25" t="str">
        <f>IF(J15&lt;&gt;1,"",IF(I15="SBJ","CB","?"))</f>
        <v> </v>
      </c>
      <c r="I15" s="26" t="str">
        <f>IF(OR(E15="",E15="!!!",F15="NEW"),"",INDEX(B14:B$2,-1+SUMPRODUCT(MAX(ROW(E14:E$2)*(E15=E14:E$2)))))</f>
        <v> </v>
      </c>
      <c r="J15" s="26" t="str">
        <f>IF(OR(E15="",E15="!!!",F15="NEW"),"",COUNTBLANK(OFFSET(A$1,,,SUMPRODUCT(MAX(ROW(E$2:E15)*(E15=E$2:E15)))))-COUNTBLANK(OFFSET(A$1,,,SUMPRODUCT(MAX(ROW(E$1:E14)*(E2=E$1:E14))))))</f>
        <v> </v>
      </c>
      <c r="K15" s="26" t="str">
        <f>IF(OR(E15="",E15="!!!",F15="NEW"),"",INDEX(J$1:J14,SUMPRODUCT(MAX(ROW(E$1:E14)*(E15=E$1:E14)))))</f>
        <v> </v>
      </c>
      <c r="L15" s="27"/>
    </row>
    <row r="16" spans="1:12">
      <c r="A16" s="20" t="s">
        <v>120</v>
      </c>
      <c r="E16" s="22">
        <f>IF(D16="?OLD","!!!","")</f>
        <v/>
      </c>
      <c r="F16" s="23" t="str">
        <f>IF(OR(E16="",E16="!!!"),"",IF(NOT(ISNA(VLOOKUP(E16,E$1:E15,1,FALSE()))),"OLD",IF(AND(E16&lt;&gt;"",E16&lt;&gt;"!!!"),"NEW","")))</f>
        <v> </v>
      </c>
      <c r="G16" s="24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25" t="str">
        <f>IF(J16&lt;&gt;1,"",IF(I16="SBJ","CB","?"))</f>
        <v> </v>
      </c>
      <c r="I16" s="26" t="str">
        <f>IF(OR(E16="",E16="!!!",F16="NEW"),"",INDEX(B15:B$2,-1+SUMPRODUCT(MAX(ROW(E15:E$2)*(E16=E15:E$2)))))</f>
        <v> </v>
      </c>
      <c r="J16" s="26" t="str">
        <f>IF(OR(E16="",E16="!!!",F16="NEW"),"",COUNTBLANK(OFFSET(A$1,,,SUMPRODUCT(MAX(ROW(E$2:E16)*(E16=E$2:E16)))))-COUNTBLANK(OFFSET(A$1,,,SUMPRODUCT(MAX(ROW(E$1:E15)*(E2=E$1:E15))))))</f>
        <v> </v>
      </c>
      <c r="K16" s="26" t="str">
        <f>IF(OR(E16="",E16="!!!",F16="NEW"),"",INDEX(J$1:J15,SUMPRODUCT(MAX(ROW(E$1:E15)*(E16=E$1:E15)))))</f>
        <v> </v>
      </c>
      <c r="L16" s="27"/>
    </row>
    <row r="17" spans="1:12">
      <c r="A17" s="20" t="s">
        <v>121</v>
      </c>
      <c r="B17" s="21" t="s">
        <v>110</v>
      </c>
      <c r="C17" s="21" t="s">
        <v>122</v>
      </c>
      <c r="E17" s="22">
        <f>IF(D17="?OLD","!!!","")</f>
        <v/>
      </c>
      <c r="F17" s="23" t="str">
        <f>IF(OR(E17="",E17="!!!"),"",IF(NOT(ISNA(VLOOKUP(E17,E$1:E16,1,FALSE()))),"OLD",IF(AND(E17&lt;&gt;"",E17&lt;&gt;"!!!"),"NEW","")))</f>
        <v> </v>
      </c>
      <c r="G17" s="24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25" t="str">
        <f>IF(J17&lt;&gt;1,"",IF(I17="SBJ","CB","?"))</f>
        <v> </v>
      </c>
      <c r="I17" s="26" t="str">
        <f>IF(OR(E17="",E17="!!!",F17="NEW"),"",INDEX(B16:B$2,-1+SUMPRODUCT(MAX(ROW(E16:E$2)*(E17=E16:E$2)))))</f>
        <v> </v>
      </c>
      <c r="J17" s="26" t="str">
        <f>IF(OR(E17="",E17="!!!",F17="NEW"),"",COUNTBLANK(OFFSET(A$1,,,SUMPRODUCT(MAX(ROW(E$2:E17)*(E17=E$2:E17)))))-COUNTBLANK(OFFSET(A$1,,,SUMPRODUCT(MAX(ROW(E$1:E16)*(E2=E$1:E16))))))</f>
        <v> </v>
      </c>
      <c r="K17" s="26" t="str">
        <f>IF(OR(E17="",E17="!!!",F17="NEW"),"",INDEX(J$1:J16,SUMPRODUCT(MAX(ROW(E$1:E16)*(E17=E$1:E16)))))</f>
        <v> </v>
      </c>
      <c r="L17" s="27"/>
    </row>
    <row r="18" spans="1:12">
      <c r="A18" s="20" t="s">
        <v>108</v>
      </c>
      <c r="E18" s="22">
        <f>IF(D18="?OLD","!!!","")</f>
        <v/>
      </c>
      <c r="F18" s="23" t="str">
        <f>IF(OR(E18="",E18="!!!"),"",IF(NOT(ISNA(VLOOKUP(E18,E$1:E17,1,FALSE()))),"OLD",IF(AND(E18&lt;&gt;"",E18&lt;&gt;"!!!"),"NEW","")))</f>
        <v> </v>
      </c>
      <c r="G18" s="24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5" t="str">
        <f>IF(J18&lt;&gt;1,"",IF(I18="SBJ","CB","?"))</f>
        <v> </v>
      </c>
      <c r="I18" s="26" t="str">
        <f>IF(OR(E18="",E18="!!!",F18="NEW"),"",INDEX(B17:B$2,-1+SUMPRODUCT(MAX(ROW(E17:E$2)*(E18=E17:E$2)))))</f>
        <v> </v>
      </c>
      <c r="J18" s="26" t="str">
        <f>IF(OR(E18="",E18="!!!",F18="NEW"),"",COUNTBLANK(OFFSET(A$1,,,SUMPRODUCT(MAX(ROW(E$2:E18)*(E18=E$2:E18)))))-COUNTBLANK(OFFSET(A$1,,,SUMPRODUCT(MAX(ROW(E$1:E17)*(E2=E$1:E17))))))</f>
        <v> </v>
      </c>
      <c r="K18" s="26" t="str">
        <f>IF(OR(E18="",E18="!!!",F18="NEW"),"",INDEX(J$1:J17,SUMPRODUCT(MAX(ROW(E$1:E17)*(E18=E$1:E17)))))</f>
        <v> </v>
      </c>
      <c r="L18" s="27"/>
    </row>
    <row r="19" spans="1:12">
      <c r="A19" s="20" t="s">
        <v>123</v>
      </c>
      <c r="B19" s="21" t="s">
        <v>124</v>
      </c>
      <c r="C19" s="21" t="s">
        <v>111</v>
      </c>
      <c r="D19" s="21" t="s">
        <v>106</v>
      </c>
      <c r="E19" s="22">
        <f>IF(D19="?OLD","!!!","")</f>
        <v/>
      </c>
      <c r="F19" s="23" t="str">
        <f>IF(OR(E19="",E19="!!!"),"",IF(NOT(ISNA(VLOOKUP(E19,E$1:E18,1,FALSE()))),"OLD",IF(AND(E19&lt;&gt;"",E19&lt;&gt;"!!!"),"NEW","")))</f>
        <v> </v>
      </c>
      <c r="G19" s="24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5" t="str">
        <f>IF(J19&lt;&gt;1,"",IF(I19="SBJ","CB","?"))</f>
        <v> </v>
      </c>
      <c r="I19" s="26" t="str">
        <f>IF(OR(E19="",E19="!!!",F19="NEW"),"",INDEX(B18:B$2,-1+SUMPRODUCT(MAX(ROW(E18:E$2)*(E19=E18:E$2)))))</f>
        <v> </v>
      </c>
      <c r="J19" s="26" t="str">
        <f>IF(OR(E19="",E19="!!!",F19="NEW"),"",COUNTBLANK(OFFSET(A$1,,,SUMPRODUCT(MAX(ROW(E$2:E19)*(E19=E$2:E19)))))-COUNTBLANK(OFFSET(A$1,,,SUMPRODUCT(MAX(ROW(E$1:E18)*(E2=E$1:E18))))))</f>
        <v> </v>
      </c>
      <c r="K19" s="26" t="str">
        <f>IF(OR(E19="",E19="!!!",F19="NEW"),"",INDEX(J$1:J18,SUMPRODUCT(MAX(ROW(E$1:E18)*(E19=E$1:E18)))))</f>
        <v> </v>
      </c>
      <c r="L19" s="27"/>
    </row>
    <row r="20" spans="1:12">
      <c r="A20" s="20" t="s">
        <v>116</v>
      </c>
      <c r="E20" s="22">
        <f>IF(D20="?OLD","!!!","")</f>
        <v/>
      </c>
      <c r="F20" s="23" t="str">
        <f>IF(OR(E20="",E20="!!!"),"",IF(NOT(ISNA(VLOOKUP(E20,E$1:E19,1,FALSE()))),"OLD",IF(AND(E20&lt;&gt;"",E20&lt;&gt;"!!!"),"NEW","")))</f>
        <v> </v>
      </c>
      <c r="G20" s="24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5" t="str">
        <f>IF(J20&lt;&gt;1,"",IF(I20="SBJ","CB","?"))</f>
        <v> </v>
      </c>
      <c r="I20" s="26" t="str">
        <f>IF(OR(E20="",E20="!!!",F20="NEW"),"",INDEX(B19:B$2,-1+SUMPRODUCT(MAX(ROW(E19:E$2)*(E20=E19:E$2)))))</f>
        <v> </v>
      </c>
      <c r="J20" s="26" t="str">
        <f>IF(OR(E20="",E20="!!!",F20="NEW"),"",COUNTBLANK(OFFSET(A$1,,,SUMPRODUCT(MAX(ROW(E$2:E20)*(E20=E$2:E20)))))-COUNTBLANK(OFFSET(A$1,,,SUMPRODUCT(MAX(ROW(E$1:E19)*(E2=E$1:E19))))))</f>
        <v> </v>
      </c>
      <c r="K20" s="26" t="str">
        <f>IF(OR(E20="",E20="!!!",F20="NEW"),"",INDEX(J$1:J19,SUMPRODUCT(MAX(ROW(E$1:E19)*(E20=E$1:E19)))))</f>
        <v> </v>
      </c>
      <c r="L20" s="27"/>
    </row>
    <row r="21" spans="1:12">
      <c r="A21" s="20" t="s">
        <v>117</v>
      </c>
      <c r="E21" s="22">
        <f>IF(D21="?OLD","!!!","")</f>
        <v/>
      </c>
      <c r="F21" s="23" t="str">
        <f>IF(OR(E21="",E21="!!!"),"",IF(NOT(ISNA(VLOOKUP(E21,E$1:E20,1,FALSE()))),"OLD",IF(AND(E21&lt;&gt;"",E21&lt;&gt;"!!!"),"NEW","")))</f>
        <v> </v>
      </c>
      <c r="G21" s="24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5" t="str">
        <f>IF(J21&lt;&gt;1,"",IF(I21="SBJ","CB","?"))</f>
        <v> </v>
      </c>
      <c r="I21" s="26" t="str">
        <f>IF(OR(E21="",E21="!!!",F21="NEW"),"",INDEX(B20:B$2,-1+SUMPRODUCT(MAX(ROW(E20:E$2)*(E21=E20:E$2)))))</f>
        <v> </v>
      </c>
      <c r="J21" s="26" t="str">
        <f>IF(OR(E21="",E21="!!!",F21="NEW"),"",COUNTBLANK(OFFSET(A$1,,,SUMPRODUCT(MAX(ROW(E$2:E21)*(E21=E$2:E21)))))-COUNTBLANK(OFFSET(A$1,,,SUMPRODUCT(MAX(ROW(E$1:E20)*(E2=E$1:E20))))))</f>
        <v> </v>
      </c>
      <c r="K21" s="26" t="str">
        <f>IF(OR(E21="",E21="!!!",F21="NEW"),"",INDEX(J$1:J20,SUMPRODUCT(MAX(ROW(E$1:E20)*(E21=E$1:E20)))))</f>
        <v> </v>
      </c>
      <c r="L21" s="27"/>
    </row>
    <row r="22" spans="1:12">
      <c r="A22" s="20" t="s">
        <v>121</v>
      </c>
      <c r="B22" s="21" t="s">
        <v>125</v>
      </c>
      <c r="C22" s="21" t="s">
        <v>122</v>
      </c>
      <c r="E22" s="22">
        <f>IF(D22="?OLD","!!!","")</f>
        <v/>
      </c>
      <c r="F22" s="23" t="str">
        <f>IF(OR(E22="",E22="!!!"),"",IF(NOT(ISNA(VLOOKUP(E22,E$1:E21,1,FALSE()))),"OLD",IF(AND(E22&lt;&gt;"",E22&lt;&gt;"!!!"),"NEW","")))</f>
        <v> </v>
      </c>
      <c r="G22" s="24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5" t="str">
        <f>IF(J22&lt;&gt;1,"",IF(I22="SBJ","CB","?"))</f>
        <v> </v>
      </c>
      <c r="I22" s="26" t="str">
        <f>IF(OR(E22="",E22="!!!",F22="NEW"),"",INDEX(B21:B$2,-1+SUMPRODUCT(MAX(ROW(E21:E$2)*(E22=E21:E$2)))))</f>
        <v> </v>
      </c>
      <c r="J22" s="26" t="str">
        <f>IF(OR(E22="",E22="!!!",F22="NEW"),"",COUNTBLANK(OFFSET(A$1,,,SUMPRODUCT(MAX(ROW(E$2:E22)*(E22=E$2:E22)))))-COUNTBLANK(OFFSET(A$1,,,SUMPRODUCT(MAX(ROW(E$1:E21)*(E2=E$1:E21))))))</f>
        <v> </v>
      </c>
      <c r="K22" s="26" t="str">
        <f>IF(OR(E22="",E22="!!!",F22="NEW"),"",INDEX(J$1:J21,SUMPRODUCT(MAX(ROW(E$1:E21)*(E22=E$1:E21)))))</f>
        <v> </v>
      </c>
      <c r="L22" s="27"/>
    </row>
    <row r="23" spans="1:12">
      <c r="A23" s="20" t="s">
        <v>126</v>
      </c>
      <c r="E23" s="22">
        <f>IF(D23="?OLD","!!!","")</f>
        <v/>
      </c>
      <c r="F23" s="23" t="str">
        <f>IF(OR(E23="",E23="!!!"),"",IF(NOT(ISNA(VLOOKUP(E23,E$1:E22,1,FALSE()))),"OLD",IF(AND(E23&lt;&gt;"",E23&lt;&gt;"!!!"),"NEW","")))</f>
        <v> </v>
      </c>
      <c r="G23" s="24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5" t="str">
        <f>IF(J23&lt;&gt;1,"",IF(I23="SBJ","CB","?"))</f>
        <v> </v>
      </c>
      <c r="I23" s="26" t="str">
        <f>IF(OR(E23="",E23="!!!",F23="NEW"),"",INDEX(B22:B$2,-1+SUMPRODUCT(MAX(ROW(E22:E$2)*(E23=E22:E$2)))))</f>
        <v> </v>
      </c>
      <c r="J23" s="26" t="str">
        <f>IF(OR(E23="",E23="!!!",F23="NEW"),"",COUNTBLANK(OFFSET(A$1,,,SUMPRODUCT(MAX(ROW(E$2:E23)*(E23=E$2:E23)))))-COUNTBLANK(OFFSET(A$1,,,SUMPRODUCT(MAX(ROW(E$1:E22)*(E2=E$1:E22))))))</f>
        <v> </v>
      </c>
      <c r="K23" s="26" t="str">
        <f>IF(OR(E23="",E23="!!!",F23="NEW"),"",INDEX(J$1:J22,SUMPRODUCT(MAX(ROW(E$1:E22)*(E23=E$1:E22)))))</f>
        <v> </v>
      </c>
      <c r="L23" s="27"/>
    </row>
    <row r="24" spans="1:12">
      <c r="A24" s="20" t="s">
        <v>127</v>
      </c>
      <c r="E24" s="22">
        <f>IF(D24="?OLD","!!!","")</f>
        <v/>
      </c>
      <c r="F24" s="23" t="str">
        <f>IF(OR(E24="",E24="!!!"),"",IF(NOT(ISNA(VLOOKUP(E24,E$1:E23,1,FALSE()))),"OLD",IF(AND(E24&lt;&gt;"",E24&lt;&gt;"!!!"),"NEW","")))</f>
        <v> </v>
      </c>
      <c r="G24" s="24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5" t="str">
        <f>IF(J24&lt;&gt;1,"",IF(I24="SBJ","CB","?"))</f>
        <v> </v>
      </c>
      <c r="I24" s="26" t="str">
        <f>IF(OR(E24="",E24="!!!",F24="NEW"),"",INDEX(B23:B$2,-1+SUMPRODUCT(MAX(ROW(E23:E$2)*(E24=E23:E$2)))))</f>
        <v> </v>
      </c>
      <c r="J24" s="26" t="str">
        <f>IF(OR(E24="",E24="!!!",F24="NEW"),"",COUNTBLANK(OFFSET(A$1,,,SUMPRODUCT(MAX(ROW(E$2:E24)*(E24=E$2:E24)))))-COUNTBLANK(OFFSET(A$1,,,SUMPRODUCT(MAX(ROW(E$1:E23)*(E2=E$1:E23))))))</f>
        <v> </v>
      </c>
      <c r="K24" s="26" t="str">
        <f>IF(OR(E24="",E24="!!!",F24="NEW"),"",INDEX(J$1:J23,SUMPRODUCT(MAX(ROW(E$1:E23)*(E24=E$1:E23)))))</f>
        <v> </v>
      </c>
      <c r="L24" s="27"/>
    </row>
    <row r="25" spans="1:12">
      <c r="A25" s="20" t="s">
        <v>128</v>
      </c>
      <c r="E25" s="22">
        <f>IF(D25="?OLD","!!!","")</f>
        <v/>
      </c>
      <c r="F25" s="23" t="str">
        <f>IF(OR(E25="",E25="!!!"),"",IF(NOT(ISNA(VLOOKUP(E25,E$1:E24,1,FALSE()))),"OLD",IF(AND(E25&lt;&gt;"",E25&lt;&gt;"!!!"),"NEW","")))</f>
        <v> </v>
      </c>
      <c r="G25" s="24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5" t="str">
        <f>IF(J25&lt;&gt;1,"",IF(I25="SBJ","CB","?"))</f>
        <v> </v>
      </c>
      <c r="I25" s="26" t="str">
        <f>IF(OR(E25="",E25="!!!",F25="NEW"),"",INDEX(B24:B$2,-1+SUMPRODUCT(MAX(ROW(E24:E$2)*(E25=E24:E$2)))))</f>
        <v> </v>
      </c>
      <c r="J25" s="26" t="str">
        <f>IF(OR(E25="",E25="!!!",F25="NEW"),"",COUNTBLANK(OFFSET(A$1,,,SUMPRODUCT(MAX(ROW(E$2:E25)*(E25=E$2:E25)))))-COUNTBLANK(OFFSET(A$1,,,SUMPRODUCT(MAX(ROW(E$1:E24)*(E2=E$1:E24))))))</f>
        <v> </v>
      </c>
      <c r="K25" s="26" t="str">
        <f>IF(OR(E25="",E25="!!!",F25="NEW"),"",INDEX(J$1:J24,SUMPRODUCT(MAX(ROW(E$1:E24)*(E25=E$1:E24)))))</f>
        <v> </v>
      </c>
      <c r="L25" s="27"/>
    </row>
    <row r="26" spans="1:12">
      <c r="A26" s="20" t="s">
        <v>129</v>
      </c>
      <c r="B26" s="21" t="s">
        <v>110</v>
      </c>
      <c r="C26" s="21" t="s">
        <v>130</v>
      </c>
      <c r="E26" s="22">
        <f>IF(D26="?OLD","!!!","")</f>
        <v/>
      </c>
      <c r="F26" s="23" t="str">
        <f>IF(OR(E26="",E26="!!!"),"",IF(NOT(ISNA(VLOOKUP(E26,E$1:E25,1,FALSE()))),"OLD",IF(AND(E26&lt;&gt;"",E26&lt;&gt;"!!!"),"NEW","")))</f>
        <v> </v>
      </c>
      <c r="G26" s="24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5" t="str">
        <f>IF(J26&lt;&gt;1,"",IF(I26="SBJ","CB","?"))</f>
        <v> </v>
      </c>
      <c r="I26" s="26" t="str">
        <f>IF(OR(E26="",E26="!!!",F26="NEW"),"",INDEX(B25:B$2,-1+SUMPRODUCT(MAX(ROW(E25:E$2)*(E26=E25:E$2)))))</f>
        <v> </v>
      </c>
      <c r="J26" s="26" t="str">
        <f>IF(OR(E26="",E26="!!!",F26="NEW"),"",COUNTBLANK(OFFSET(A$1,,,SUMPRODUCT(MAX(ROW(E$2:E26)*(E26=E$2:E26)))))-COUNTBLANK(OFFSET(A$1,,,SUMPRODUCT(MAX(ROW(E$1:E25)*(E2=E$1:E25))))))</f>
        <v> </v>
      </c>
      <c r="K26" s="26" t="str">
        <f>IF(OR(E26="",E26="!!!",F26="NEW"),"",INDEX(J$1:J25,SUMPRODUCT(MAX(ROW(E$1:E25)*(E26=E$1:E25)))))</f>
        <v> </v>
      </c>
      <c r="L26" s="27"/>
    </row>
    <row r="27" spans="1:12">
      <c r="A27" s="20" t="s">
        <v>131</v>
      </c>
      <c r="E27" s="22">
        <f>IF(D27="?OLD","!!!","")</f>
        <v/>
      </c>
      <c r="F27" s="23" t="str">
        <f>IF(OR(E27="",E27="!!!"),"",IF(NOT(ISNA(VLOOKUP(E27,E$1:E26,1,FALSE()))),"OLD",IF(AND(E27&lt;&gt;"",E27&lt;&gt;"!!!"),"NEW","")))</f>
        <v> </v>
      </c>
      <c r="G27" s="24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5" t="str">
        <f>IF(J27&lt;&gt;1,"",IF(I27="SBJ","CB","?"))</f>
        <v> </v>
      </c>
      <c r="I27" s="26" t="str">
        <f>IF(OR(E27="",E27="!!!",F27="NEW"),"",INDEX(B26:B$2,-1+SUMPRODUCT(MAX(ROW(E26:E$2)*(E27=E26:E$2)))))</f>
        <v> </v>
      </c>
      <c r="J27" s="26" t="str">
        <f>IF(OR(E27="",E27="!!!",F27="NEW"),"",COUNTBLANK(OFFSET(A$1,,,SUMPRODUCT(MAX(ROW(E$2:E27)*(E27=E$2:E27)))))-COUNTBLANK(OFFSET(A$1,,,SUMPRODUCT(MAX(ROW(E$1:E26)*(E2=E$1:E26))))))</f>
        <v> </v>
      </c>
      <c r="K27" s="26" t="str">
        <f>IF(OR(E27="",E27="!!!",F27="NEW"),"",INDEX(J$1:J26,SUMPRODUCT(MAX(ROW(E$1:E26)*(E27=E$1:E26)))))</f>
        <v> </v>
      </c>
      <c r="L27" s="27"/>
    </row>
    <row r="28" spans="1:12">
      <c r="A28" s="20" t="s">
        <v>132</v>
      </c>
      <c r="E28" s="22">
        <f>IF(D28="?OLD","!!!","")</f>
        <v/>
      </c>
      <c r="F28" s="23" t="str">
        <f>IF(OR(E28="",E28="!!!"),"",IF(NOT(ISNA(VLOOKUP(E28,E$1:E27,1,FALSE()))),"OLD",IF(AND(E28&lt;&gt;"",E28&lt;&gt;"!!!"),"NEW","")))</f>
        <v> </v>
      </c>
      <c r="G28" s="24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> </v>
      </c>
      <c r="H28" s="25" t="str">
        <f>IF(J28&lt;&gt;1,"",IF(I28="SBJ","CB","?"))</f>
        <v> </v>
      </c>
      <c r="I28" s="26" t="str">
        <f>IF(OR(E28="",E28="!!!",F28="NEW"),"",INDEX(B27:B$2,-1+SUMPRODUCT(MAX(ROW(E27:E$2)*(E28=E27:E$2)))))</f>
        <v> </v>
      </c>
      <c r="J28" s="26" t="str">
        <f>IF(OR(E28="",E28="!!!",F28="NEW"),"",COUNTBLANK(OFFSET(A$1,,,SUMPRODUCT(MAX(ROW(E$2:E28)*(E28=E$2:E28)))))-COUNTBLANK(OFFSET(A$1,,,SUMPRODUCT(MAX(ROW(E$1:E27)*(E2=E$1:E27))))))</f>
        <v> </v>
      </c>
      <c r="K28" s="26" t="str">
        <f>IF(OR(E28="",E28="!!!",F28="NEW"),"",INDEX(J$1:J27,SUMPRODUCT(MAX(ROW(E$1:E27)*(E28=E$1:E27)))))</f>
        <v> </v>
      </c>
      <c r="L28" s="27"/>
    </row>
    <row r="29" spans="1:12">
      <c r="A29" s="20" t="s">
        <v>128</v>
      </c>
      <c r="E29" s="22">
        <f>IF(D29="?OLD","!!!","")</f>
        <v/>
      </c>
      <c r="F29" s="23" t="str">
        <f>IF(OR(E29="",E29="!!!"),"",IF(NOT(ISNA(VLOOKUP(E29,E$1:E28,1,FALSE()))),"OLD",IF(AND(E29&lt;&gt;"",E29&lt;&gt;"!!!"),"NEW","")))</f>
        <v> </v>
      </c>
      <c r="G29" s="24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5" t="str">
        <f>IF(J29&lt;&gt;1,"",IF(I29="SBJ","CB","?"))</f>
        <v> </v>
      </c>
      <c r="I29" s="26" t="str">
        <f>IF(OR(E29="",E29="!!!",F29="NEW"),"",INDEX(B28:B$2,-1+SUMPRODUCT(MAX(ROW(E28:E$2)*(E29=E28:E$2)))))</f>
        <v> </v>
      </c>
      <c r="J29" s="26" t="str">
        <f>IF(OR(E29="",E29="!!!",F29="NEW"),"",COUNTBLANK(OFFSET(A$1,,,SUMPRODUCT(MAX(ROW(E$2:E29)*(E29=E$2:E29)))))-COUNTBLANK(OFFSET(A$1,,,SUMPRODUCT(MAX(ROW(E$1:E28)*(E2=E$1:E28))))))</f>
        <v> </v>
      </c>
      <c r="K29" s="26" t="str">
        <f>IF(OR(E29="",E29="!!!",F29="NEW"),"",INDEX(J$1:J28,SUMPRODUCT(MAX(ROW(E$1:E28)*(E29=E$1:E28)))))</f>
        <v> </v>
      </c>
      <c r="L29" s="27"/>
    </row>
    <row r="30" spans="1:12">
      <c r="A30" s="20" t="s">
        <v>133</v>
      </c>
      <c r="E30" s="22">
        <f>IF(D30="?OLD","!!!","")</f>
        <v/>
      </c>
      <c r="F30" s="23" t="str">
        <f>IF(OR(E30="",E30="!!!"),"",IF(NOT(ISNA(VLOOKUP(E30,E$1:E29,1,FALSE()))),"OLD",IF(AND(E30&lt;&gt;"",E30&lt;&gt;"!!!"),"NEW","")))</f>
        <v> </v>
      </c>
      <c r="G30" s="24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5" t="str">
        <f>IF(J30&lt;&gt;1,"",IF(I30="SBJ","CB","?"))</f>
        <v> </v>
      </c>
      <c r="I30" s="26" t="str">
        <f>IF(OR(E30="",E30="!!!",F30="NEW"),"",INDEX(B29:B$2,-1+SUMPRODUCT(MAX(ROW(E29:E$2)*(E30=E29:E$2)))))</f>
        <v> </v>
      </c>
      <c r="J30" s="26" t="str">
        <f>IF(OR(E30="",E30="!!!",F30="NEW"),"",COUNTBLANK(OFFSET(A$1,,,SUMPRODUCT(MAX(ROW(E$2:E30)*(E30=E$2:E30)))))-COUNTBLANK(OFFSET(A$1,,,SUMPRODUCT(MAX(ROW(E$1:E29)*(E2=E$1:E29))))))</f>
        <v> </v>
      </c>
      <c r="K30" s="26" t="str">
        <f>IF(OR(E30="",E30="!!!",F30="NEW"),"",INDEX(J$1:J29,SUMPRODUCT(MAX(ROW(E$1:E29)*(E30=E$1:E29)))))</f>
        <v> </v>
      </c>
      <c r="L30" s="27"/>
    </row>
    <row r="31" spans="1:12">
      <c r="A31" s="20" t="s">
        <v>134</v>
      </c>
      <c r="B31" s="21" t="s">
        <v>110</v>
      </c>
      <c r="C31" s="21" t="s">
        <v>130</v>
      </c>
      <c r="E31" s="22">
        <f>IF(D31="?OLD","!!!","")</f>
        <v/>
      </c>
      <c r="F31" s="23" t="str">
        <f>IF(OR(E31="",E31="!!!"),"",IF(NOT(ISNA(VLOOKUP(E31,E$1:E30,1,FALSE()))),"OLD",IF(AND(E31&lt;&gt;"",E31&lt;&gt;"!!!"),"NEW","")))</f>
        <v> </v>
      </c>
      <c r="G31" s="24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5" t="str">
        <f>IF(J31&lt;&gt;1,"",IF(I31="SBJ","CB","?"))</f>
        <v> </v>
      </c>
      <c r="I31" s="26" t="str">
        <f>IF(OR(E31="",E31="!!!",F31="NEW"),"",INDEX(B30:B$2,-1+SUMPRODUCT(MAX(ROW(E30:E$2)*(E31=E30:E$2)))))</f>
        <v> </v>
      </c>
      <c r="J31" s="26" t="str">
        <f>IF(OR(E31="",E31="!!!",F31="NEW"),"",COUNTBLANK(OFFSET(A$1,,,SUMPRODUCT(MAX(ROW(E$2:E31)*(E31=E$2:E31)))))-COUNTBLANK(OFFSET(A$1,,,SUMPRODUCT(MAX(ROW(E$1:E30)*(E2=E$1:E30))))))</f>
        <v> </v>
      </c>
      <c r="K31" s="26" t="str">
        <f>IF(OR(E31="",E31="!!!",F31="NEW"),"",INDEX(J$1:J30,SUMPRODUCT(MAX(ROW(E$1:E30)*(E31=E$1:E30)))))</f>
        <v> </v>
      </c>
      <c r="L31" s="27"/>
    </row>
    <row r="32" spans="1:12">
      <c r="A32" s="20" t="s">
        <v>135</v>
      </c>
      <c r="E32" s="22">
        <f>IF(D32="?OLD","!!!","")</f>
        <v/>
      </c>
      <c r="F32" s="23" t="str">
        <f>IF(OR(E32="",E32="!!!"),"",IF(NOT(ISNA(VLOOKUP(E32,E$1:E31,1,FALSE()))),"OLD",IF(AND(E32&lt;&gt;"",E32&lt;&gt;"!!!"),"NEW","")))</f>
        <v> </v>
      </c>
      <c r="G32" s="24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25" t="str">
        <f>IF(J32&lt;&gt;1,"",IF(I32="SBJ","CB","?"))</f>
        <v> </v>
      </c>
      <c r="I32" s="26" t="str">
        <f>IF(OR(E32="",E32="!!!",F32="NEW"),"",INDEX(B31:B$2,-1+SUMPRODUCT(MAX(ROW(E31:E$2)*(E32=E31:E$2)))))</f>
        <v> </v>
      </c>
      <c r="J32" s="26" t="str">
        <f>IF(OR(E32="",E32="!!!",F32="NEW"),"",COUNTBLANK(OFFSET(A$1,,,SUMPRODUCT(MAX(ROW(E$2:E32)*(E32=E$2:E32)))))-COUNTBLANK(OFFSET(A$1,,,SUMPRODUCT(MAX(ROW(E$1:E31)*(E2=E$1:E31))))))</f>
        <v> </v>
      </c>
      <c r="K32" s="26" t="str">
        <f>IF(OR(E32="",E32="!!!",F32="NEW"),"",INDEX(J$1:J31,SUMPRODUCT(MAX(ROW(E$1:E31)*(E32=E$1:E31)))))</f>
        <v> </v>
      </c>
      <c r="L32" s="27"/>
    </row>
    <row r="33" spans="1:12">
      <c r="A33" s="20"/>
    </row>
    <row r="34" spans="1:12">
      <c r="A34" s="20" t="s">
        <v>136</v>
      </c>
    </row>
    <row r="35" spans="1:12">
      <c r="A35" s="20" t="s">
        <v>137</v>
      </c>
      <c r="E35" s="22">
        <f>IF(D35="?OLD","!!!","")</f>
        <v/>
      </c>
      <c r="F35" s="23" t="str">
        <f>IF(OR(E35="",E35="!!!"),"",IF(NOT(ISNA(VLOOKUP(E35,E$1:E34,1,FALSE()))),"OLD",IF(AND(E35&lt;&gt;"",E35&lt;&gt;"!!!"),"NEW","")))</f>
        <v> </v>
      </c>
      <c r="G35" s="24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> </v>
      </c>
      <c r="H35" s="25" t="str">
        <f>IF(J35&lt;&gt;1,"",IF(I35="SBJ","CB","?"))</f>
        <v> </v>
      </c>
      <c r="I35" s="26" t="str">
        <f>IF(OR(E35="",E35="!!!",F35="NEW"),"",INDEX(B34:B$2,-1+SUMPRODUCT(MAX(ROW(E34:E$2)*(E35=E34:E$2)))))</f>
        <v> </v>
      </c>
      <c r="J35" s="26" t="str">
        <f>IF(OR(E35="",E35="!!!",F35="NEW"),"",COUNTBLANK(OFFSET(A$1,,,SUMPRODUCT(MAX(ROW(E$2:E35)*(E35=E$2:E35)))))-COUNTBLANK(OFFSET(A$1,,,SUMPRODUCT(MAX(ROW(E$1:E34)*(E2=E$1:E34))))))</f>
        <v> </v>
      </c>
      <c r="K35" s="26" t="str">
        <f>IF(OR(E35="",E35="!!!",F35="NEW"),"",INDEX(J$1:J34,SUMPRODUCT(MAX(ROW(E$1:E34)*(E35=E$1:E34)))))</f>
        <v> </v>
      </c>
      <c r="L35" s="27"/>
    </row>
    <row r="36" spans="1:12">
      <c r="A36" s="20" t="s">
        <v>138</v>
      </c>
      <c r="E36" s="22">
        <f>IF(D36="?OLD","!!!","")</f>
        <v/>
      </c>
      <c r="F36" s="23" t="str">
        <f>IF(OR(E36="",E36="!!!"),"",IF(NOT(ISNA(VLOOKUP(E36,E$1:E35,1,FALSE()))),"OLD",IF(AND(E36&lt;&gt;"",E36&lt;&gt;"!!!"),"NEW","")))</f>
        <v> </v>
      </c>
      <c r="G36" s="24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> </v>
      </c>
      <c r="H36" s="25" t="str">
        <f>IF(J36&lt;&gt;1,"",IF(I36="SBJ","CB","?"))</f>
        <v> </v>
      </c>
      <c r="I36" s="26" t="str">
        <f>IF(OR(E36="",E36="!!!",F36="NEW"),"",INDEX(B35:B$2,-1+SUMPRODUCT(MAX(ROW(E35:E$2)*(E36=E35:E$2)))))</f>
        <v> </v>
      </c>
      <c r="J36" s="26" t="str">
        <f>IF(OR(E36="",E36="!!!",F36="NEW"),"",COUNTBLANK(OFFSET(A$1,,,SUMPRODUCT(MAX(ROW(E$2:E36)*(E36=E$2:E36)))))-COUNTBLANK(OFFSET(A$1,,,SUMPRODUCT(MAX(ROW(E$1:E35)*(E2=E$1:E35))))))</f>
        <v> </v>
      </c>
      <c r="K36" s="26" t="str">
        <f>IF(OR(E36="",E36="!!!",F36="NEW"),"",INDEX(J$1:J35,SUMPRODUCT(MAX(ROW(E$1:E35)*(E36=E$1:E35)))))</f>
        <v> </v>
      </c>
      <c r="L36" s="27"/>
    </row>
    <row r="37" spans="1:12">
      <c r="A37" s="20" t="s">
        <v>109</v>
      </c>
      <c r="B37" s="21" t="s">
        <v>139</v>
      </c>
      <c r="C37" s="21" t="s">
        <v>111</v>
      </c>
      <c r="D37" s="21" t="s">
        <v>106</v>
      </c>
      <c r="E37" s="22">
        <f>IF(D37="?OLD","!!!","")</f>
        <v/>
      </c>
      <c r="F37" s="23" t="str">
        <f>IF(OR(E37="",E37="!!!"),"",IF(NOT(ISNA(VLOOKUP(E37,E$1:E36,1,FALSE()))),"OLD",IF(AND(E37&lt;&gt;"",E37&lt;&gt;"!!!"),"NEW","")))</f>
        <v> </v>
      </c>
      <c r="G37" s="24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5" t="str">
        <f>IF(J37&lt;&gt;1,"",IF(I37="SBJ","CB","?"))</f>
        <v> </v>
      </c>
      <c r="I37" s="26" t="str">
        <f>IF(OR(E37="",E37="!!!",F37="NEW"),"",INDEX(B36:B$2,-1+SUMPRODUCT(MAX(ROW(E36:E$2)*(E37=E36:E$2)))))</f>
        <v> </v>
      </c>
      <c r="J37" s="26" t="str">
        <f>IF(OR(E37="",E37="!!!",F37="NEW"),"",COUNTBLANK(OFFSET(A$1,,,SUMPRODUCT(MAX(ROW(E$2:E37)*(E37=E$2:E37)))))-COUNTBLANK(OFFSET(A$1,,,SUMPRODUCT(MAX(ROW(E$1:E36)*(E2=E$1:E36))))))</f>
        <v> </v>
      </c>
      <c r="K37" s="26" t="str">
        <f>IF(OR(E37="",E37="!!!",F37="NEW"),"",INDEX(J$1:J36,SUMPRODUCT(MAX(ROW(E$1:E36)*(E37=E$1:E36)))))</f>
        <v> </v>
      </c>
      <c r="L37" s="27"/>
    </row>
    <row r="38" spans="1:12">
      <c r="A38" s="20" t="s">
        <v>112</v>
      </c>
      <c r="E38" s="22">
        <f>IF(D38="?OLD","!!!","")</f>
        <v/>
      </c>
      <c r="F38" s="23" t="str">
        <f>IF(OR(E38="",E38="!!!"),"",IF(NOT(ISNA(VLOOKUP(E38,E$1:E37,1,FALSE()))),"OLD",IF(AND(E38&lt;&gt;"",E38&lt;&gt;"!!!"),"NEW","")))</f>
        <v> </v>
      </c>
      <c r="G38" s="24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5" t="str">
        <f>IF(J38&lt;&gt;1,"",IF(I38="SBJ","CB","?"))</f>
        <v> </v>
      </c>
      <c r="I38" s="26" t="str">
        <f>IF(OR(E38="",E38="!!!",F38="NEW"),"",INDEX(B37:B$2,-1+SUMPRODUCT(MAX(ROW(E37:E$2)*(E38=E37:E$2)))))</f>
        <v> </v>
      </c>
      <c r="J38" s="26" t="str">
        <f>IF(OR(E38="",E38="!!!",F38="NEW"),"",COUNTBLANK(OFFSET(A$1,,,SUMPRODUCT(MAX(ROW(E$2:E38)*(E38=E$2:E38)))))-COUNTBLANK(OFFSET(A$1,,,SUMPRODUCT(MAX(ROW(E$1:E37)*(E2=E$1:E37))))))</f>
        <v> </v>
      </c>
      <c r="K38" s="26" t="str">
        <f>IF(OR(E38="",E38="!!!",F38="NEW"),"",INDEX(J$1:J37,SUMPRODUCT(MAX(ROW(E$1:E37)*(E38=E$1:E37)))))</f>
        <v> </v>
      </c>
      <c r="L38" s="27"/>
    </row>
    <row r="39" spans="1:12">
      <c r="A39" s="20" t="s">
        <v>140</v>
      </c>
      <c r="E39" s="22">
        <f>IF(D39="?OLD","!!!","")</f>
        <v/>
      </c>
      <c r="F39" s="23" t="str">
        <f>IF(OR(E39="",E39="!!!"),"",IF(NOT(ISNA(VLOOKUP(E39,E$1:E38,1,FALSE()))),"OLD",IF(AND(E39&lt;&gt;"",E39&lt;&gt;"!!!"),"NEW","")))</f>
        <v> </v>
      </c>
      <c r="G39" s="24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5" t="str">
        <f>IF(J39&lt;&gt;1,"",IF(I39="SBJ","CB","?"))</f>
        <v> </v>
      </c>
      <c r="I39" s="26" t="str">
        <f>IF(OR(E39="",E39="!!!",F39="NEW"),"",INDEX(B38:B$2,-1+SUMPRODUCT(MAX(ROW(E38:E$2)*(E39=E38:E$2)))))</f>
        <v> </v>
      </c>
      <c r="J39" s="26" t="str">
        <f>IF(OR(E39="",E39="!!!",F39="NEW"),"",COUNTBLANK(OFFSET(A$1,,,SUMPRODUCT(MAX(ROW(E$2:E39)*(E39=E$2:E39)))))-COUNTBLANK(OFFSET(A$1,,,SUMPRODUCT(MAX(ROW(E$1:E38)*(E2=E$1:E38))))))</f>
        <v> </v>
      </c>
      <c r="K39" s="26" t="str">
        <f>IF(OR(E39="",E39="!!!",F39="NEW"),"",INDEX(J$1:J38,SUMPRODUCT(MAX(ROW(E$1:E38)*(E39=E$1:E38)))))</f>
        <v> </v>
      </c>
      <c r="L39" s="27"/>
    </row>
    <row r="40" spans="1:12">
      <c r="A40" s="20" t="s">
        <v>141</v>
      </c>
      <c r="E40" s="22">
        <f>IF(D40="?OLD","!!!","")</f>
        <v/>
      </c>
      <c r="F40" s="23" t="str">
        <f>IF(OR(E40="",E40="!!!"),"",IF(NOT(ISNA(VLOOKUP(E40,E$1:E39,1,FALSE()))),"OLD",IF(AND(E40&lt;&gt;"",E40&lt;&gt;"!!!"),"NEW","")))</f>
        <v> </v>
      </c>
      <c r="G40" s="24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5" t="str">
        <f>IF(J40&lt;&gt;1,"",IF(I40="SBJ","CB","?"))</f>
        <v> </v>
      </c>
      <c r="I40" s="26" t="str">
        <f>IF(OR(E40="",E40="!!!",F40="NEW"),"",INDEX(B39:B$2,-1+SUMPRODUCT(MAX(ROW(E39:E$2)*(E40=E39:E$2)))))</f>
        <v> </v>
      </c>
      <c r="J40" s="26" t="str">
        <f>IF(OR(E40="",E40="!!!",F40="NEW"),"",COUNTBLANK(OFFSET(A$1,,,SUMPRODUCT(MAX(ROW(E$2:E40)*(E40=E$2:E40)))))-COUNTBLANK(OFFSET(A$1,,,SUMPRODUCT(MAX(ROW(E$1:E39)*(E2=E$1:E39))))))</f>
        <v> </v>
      </c>
      <c r="K40" s="26" t="str">
        <f>IF(OR(E40="",E40="!!!",F40="NEW"),"",INDEX(J$1:J39,SUMPRODUCT(MAX(ROW(E$1:E39)*(E40=E$1:E39)))))</f>
        <v> </v>
      </c>
      <c r="L40" s="27"/>
    </row>
    <row r="41" spans="1:12">
      <c r="A41" s="20" t="s">
        <v>142</v>
      </c>
      <c r="E41" s="22">
        <f>IF(D41="?OLD","!!!","")</f>
        <v/>
      </c>
      <c r="F41" s="23" t="str">
        <f>IF(OR(E41="",E41="!!!"),"",IF(NOT(ISNA(VLOOKUP(E41,E$1:E40,1,FALSE()))),"OLD",IF(AND(E41&lt;&gt;"",E41&lt;&gt;"!!!"),"NEW","")))</f>
        <v> </v>
      </c>
      <c r="G41" s="24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5" t="str">
        <f>IF(J41&lt;&gt;1,"",IF(I41="SBJ","CB","?"))</f>
        <v> </v>
      </c>
      <c r="I41" s="26" t="str">
        <f>IF(OR(E41="",E41="!!!",F41="NEW"),"",INDEX(B40:B$2,-1+SUMPRODUCT(MAX(ROW(E40:E$2)*(E41=E40:E$2)))))</f>
        <v> </v>
      </c>
      <c r="J41" s="26" t="str">
        <f>IF(OR(E41="",E41="!!!",F41="NEW"),"",COUNTBLANK(OFFSET(A$1,,,SUMPRODUCT(MAX(ROW(E$2:E41)*(E41=E$2:E41)))))-COUNTBLANK(OFFSET(A$1,,,SUMPRODUCT(MAX(ROW(E$1:E40)*(E2=E$1:E40))))))</f>
        <v> </v>
      </c>
      <c r="K41" s="26" t="str">
        <f>IF(OR(E41="",E41="!!!",F41="NEW"),"",INDEX(J$1:J40,SUMPRODUCT(MAX(ROW(E$1:E40)*(E41=E$1:E40)))))</f>
        <v> </v>
      </c>
      <c r="L41" s="27"/>
    </row>
    <row r="42" spans="1:12">
      <c r="A42" s="20" t="s">
        <v>143</v>
      </c>
      <c r="E42" s="22">
        <f>IF(D42="?OLD","!!!","")</f>
        <v/>
      </c>
      <c r="F42" s="23" t="str">
        <f>IF(OR(E42="",E42="!!!"),"",IF(NOT(ISNA(VLOOKUP(E42,E$1:E41,1,FALSE()))),"OLD",IF(AND(E42&lt;&gt;"",E42&lt;&gt;"!!!"),"NEW","")))</f>
        <v> </v>
      </c>
      <c r="G42" s="24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5" t="str">
        <f>IF(J42&lt;&gt;1,"",IF(I42="SBJ","CB","?"))</f>
        <v> </v>
      </c>
      <c r="I42" s="26" t="str">
        <f>IF(OR(E42="",E42="!!!",F42="NEW"),"",INDEX(B41:B$2,-1+SUMPRODUCT(MAX(ROW(E41:E$2)*(E42=E41:E$2)))))</f>
        <v> </v>
      </c>
      <c r="J42" s="26" t="str">
        <f>IF(OR(E42="",E42="!!!",F42="NEW"),"",COUNTBLANK(OFFSET(A$1,,,SUMPRODUCT(MAX(ROW(E$2:E42)*(E42=E$2:E42)))))-COUNTBLANK(OFFSET(A$1,,,SUMPRODUCT(MAX(ROW(E$1:E41)*(E2=E$1:E41))))))</f>
        <v> </v>
      </c>
      <c r="K42" s="26" t="str">
        <f>IF(OR(E42="",E42="!!!",F42="NEW"),"",INDEX(J$1:J41,SUMPRODUCT(MAX(ROW(E$1:E41)*(E42=E$1:E41)))))</f>
        <v> </v>
      </c>
      <c r="L42" s="27"/>
    </row>
    <row r="43" spans="1:12">
      <c r="A43" s="20" t="s">
        <v>144</v>
      </c>
      <c r="B43" s="21" t="s">
        <v>110</v>
      </c>
      <c r="C43" s="21" t="s">
        <v>122</v>
      </c>
      <c r="E43" s="22">
        <f>IF(D43="?OLD","!!!","")</f>
        <v/>
      </c>
      <c r="F43" s="23" t="str">
        <f>IF(OR(E43="",E43="!!!"),"",IF(NOT(ISNA(VLOOKUP(E43,E$1:E42,1,FALSE()))),"OLD",IF(AND(E43&lt;&gt;"",E43&lt;&gt;"!!!"),"NEW","")))</f>
        <v> </v>
      </c>
      <c r="G43" s="24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5" t="str">
        <f>IF(J43&lt;&gt;1,"",IF(I43="SBJ","CB","?"))</f>
        <v> </v>
      </c>
      <c r="I43" s="26" t="str">
        <f>IF(OR(E43="",E43="!!!",F43="NEW"),"",INDEX(B42:B$2,-1+SUMPRODUCT(MAX(ROW(E42:E$2)*(E43=E42:E$2)))))</f>
        <v> </v>
      </c>
      <c r="J43" s="26" t="str">
        <f>IF(OR(E43="",E43="!!!",F43="NEW"),"",COUNTBLANK(OFFSET(A$1,,,SUMPRODUCT(MAX(ROW(E$2:E43)*(E43=E$2:E43)))))-COUNTBLANK(OFFSET(A$1,,,SUMPRODUCT(MAX(ROW(E$1:E42)*(E2=E$1:E42))))))</f>
        <v> </v>
      </c>
      <c r="K43" s="26" t="str">
        <f>IF(OR(E43="",E43="!!!",F43="NEW"),"",INDEX(J$1:J42,SUMPRODUCT(MAX(ROW(E$1:E42)*(E43=E$1:E42)))))</f>
        <v> </v>
      </c>
      <c r="L43" s="27"/>
    </row>
    <row r="44" spans="1:12">
      <c r="A44" s="20" t="s">
        <v>108</v>
      </c>
      <c r="E44" s="22">
        <f>IF(D44="?OLD","!!!","")</f>
        <v/>
      </c>
      <c r="F44" s="23" t="str">
        <f>IF(OR(E44="",E44="!!!"),"",IF(NOT(ISNA(VLOOKUP(E44,E$1:E43,1,FALSE()))),"OLD",IF(AND(E44&lt;&gt;"",E44&lt;&gt;"!!!"),"NEW","")))</f>
        <v> </v>
      </c>
      <c r="G44" s="24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> </v>
      </c>
      <c r="H44" s="25" t="str">
        <f>IF(J44&lt;&gt;1,"",IF(I44="SBJ","CB","?"))</f>
        <v> </v>
      </c>
      <c r="I44" s="26" t="str">
        <f>IF(OR(E44="",E44="!!!",F44="NEW"),"",INDEX(B43:B$2,-1+SUMPRODUCT(MAX(ROW(E43:E$2)*(E44=E43:E$2)))))</f>
        <v> </v>
      </c>
      <c r="J44" s="26" t="str">
        <f>IF(OR(E44="",E44="!!!",F44="NEW"),"",COUNTBLANK(OFFSET(A$1,,,SUMPRODUCT(MAX(ROW(E$2:E44)*(E44=E$2:E44)))))-COUNTBLANK(OFFSET(A$1,,,SUMPRODUCT(MAX(ROW(E$1:E43)*(E2=E$1:E43))))))</f>
        <v> </v>
      </c>
      <c r="K44" s="26" t="str">
        <f>IF(OR(E44="",E44="!!!",F44="NEW"),"",INDEX(J$1:J43,SUMPRODUCT(MAX(ROW(E$1:E43)*(E44=E$1:E43)))))</f>
        <v> </v>
      </c>
      <c r="L44" s="27"/>
    </row>
    <row r="45" spans="1:12">
      <c r="A45" s="20" t="s">
        <v>145</v>
      </c>
      <c r="E45" s="22">
        <f>IF(D45="?OLD","!!!","")</f>
        <v/>
      </c>
      <c r="F45" s="23" t="str">
        <f>IF(OR(E45="",E45="!!!"),"",IF(NOT(ISNA(VLOOKUP(E45,E$1:E44,1,FALSE()))),"OLD",IF(AND(E45&lt;&gt;"",E45&lt;&gt;"!!!"),"NEW","")))</f>
        <v> </v>
      </c>
      <c r="G45" s="24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25" t="str">
        <f>IF(J45&lt;&gt;1,"",IF(I45="SBJ","CB","?"))</f>
        <v> </v>
      </c>
      <c r="I45" s="26" t="str">
        <f>IF(OR(E45="",E45="!!!",F45="NEW"),"",INDEX(B44:B$2,-1+SUMPRODUCT(MAX(ROW(E44:E$2)*(E45=E44:E$2)))))</f>
        <v> </v>
      </c>
      <c r="J45" s="26" t="str">
        <f>IF(OR(E45="",E45="!!!",F45="NEW"),"",COUNTBLANK(OFFSET(A$1,,,SUMPRODUCT(MAX(ROW(E$2:E45)*(E45=E$2:E45)))))-COUNTBLANK(OFFSET(A$1,,,SUMPRODUCT(MAX(ROW(E$1:E44)*(E2=E$1:E44))))))</f>
        <v> </v>
      </c>
      <c r="K45" s="26" t="str">
        <f>IF(OR(E45="",E45="!!!",F45="NEW"),"",INDEX(J$1:J44,SUMPRODUCT(MAX(ROW(E$1:E44)*(E45=E$1:E44)))))</f>
        <v> </v>
      </c>
      <c r="L45" s="27"/>
    </row>
    <row r="46" spans="1:12">
      <c r="A46" s="20" t="s">
        <v>146</v>
      </c>
      <c r="B46" s="21" t="s">
        <v>110</v>
      </c>
      <c r="C46" s="21" t="s">
        <v>147</v>
      </c>
      <c r="D46" s="21" t="s">
        <v>106</v>
      </c>
      <c r="E46" s="22">
        <f>IF(D46="?OLD","!!!","")</f>
        <v/>
      </c>
      <c r="F46" s="23" t="str">
        <f>IF(OR(E46="",E46="!!!"),"",IF(NOT(ISNA(VLOOKUP(E46,E$1:E45,1,FALSE()))),"OLD",IF(AND(E46&lt;&gt;"",E46&lt;&gt;"!!!"),"NEW","")))</f>
        <v> </v>
      </c>
      <c r="G46" s="24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5" t="str">
        <f>IF(J46&lt;&gt;1,"",IF(I46="SBJ","CB","?"))</f>
        <v> </v>
      </c>
      <c r="I46" s="26" t="str">
        <f>IF(OR(E46="",E46="!!!",F46="NEW"),"",INDEX(B45:B$2,-1+SUMPRODUCT(MAX(ROW(E45:E$2)*(E46=E45:E$2)))))</f>
        <v> </v>
      </c>
      <c r="J46" s="26" t="str">
        <f>IF(OR(E46="",E46="!!!",F46="NEW"),"",COUNTBLANK(OFFSET(A$1,,,SUMPRODUCT(MAX(ROW(E$2:E46)*(E46=E$2:E46)))))-COUNTBLANK(OFFSET(A$1,,,SUMPRODUCT(MAX(ROW(E$1:E45)*(E2=E$1:E45))))))</f>
        <v> </v>
      </c>
      <c r="K46" s="26" t="str">
        <f>IF(OR(E46="",E46="!!!",F46="NEW"),"",INDEX(J$1:J45,SUMPRODUCT(MAX(ROW(E$1:E45)*(E46=E$1:E45)))))</f>
        <v> </v>
      </c>
      <c r="L46" s="27"/>
    </row>
    <row r="47" spans="1:12">
      <c r="A47" s="20" t="s">
        <v>116</v>
      </c>
      <c r="E47" s="22">
        <f>IF(D47="?OLD","!!!","")</f>
        <v/>
      </c>
      <c r="F47" s="23" t="str">
        <f>IF(OR(E47="",E47="!!!"),"",IF(NOT(ISNA(VLOOKUP(E47,E$1:E46,1,FALSE()))),"OLD",IF(AND(E47&lt;&gt;"",E47&lt;&gt;"!!!"),"NEW","")))</f>
        <v> </v>
      </c>
      <c r="G47" s="24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5" t="str">
        <f>IF(J47&lt;&gt;1,"",IF(I47="SBJ","CB","?"))</f>
        <v> </v>
      </c>
      <c r="I47" s="26" t="str">
        <f>IF(OR(E47="",E47="!!!",F47="NEW"),"",INDEX(B46:B$2,-1+SUMPRODUCT(MAX(ROW(E46:E$2)*(E47=E46:E$2)))))</f>
        <v> </v>
      </c>
      <c r="J47" s="26" t="str">
        <f>IF(OR(E47="",E47="!!!",F47="NEW"),"",COUNTBLANK(OFFSET(A$1,,,SUMPRODUCT(MAX(ROW(E$2:E47)*(E47=E$2:E47)))))-COUNTBLANK(OFFSET(A$1,,,SUMPRODUCT(MAX(ROW(E$1:E46)*(E2=E$1:E46))))))</f>
        <v> </v>
      </c>
      <c r="K47" s="26" t="str">
        <f>IF(OR(E47="",E47="!!!",F47="NEW"),"",INDEX(J$1:J46,SUMPRODUCT(MAX(ROW(E$1:E46)*(E47=E$1:E46)))))</f>
        <v> </v>
      </c>
      <c r="L47" s="27"/>
    </row>
    <row r="48" spans="1:12">
      <c r="A48" s="20" t="s">
        <v>108</v>
      </c>
      <c r="E48" s="22">
        <f>IF(D48="?OLD","!!!","")</f>
        <v/>
      </c>
      <c r="F48" s="23" t="str">
        <f>IF(OR(E48="",E48="!!!"),"",IF(NOT(ISNA(VLOOKUP(E48,E$1:E47,1,FALSE()))),"OLD",IF(AND(E48&lt;&gt;"",E48&lt;&gt;"!!!"),"NEW","")))</f>
        <v> </v>
      </c>
      <c r="G48" s="24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25" t="str">
        <f>IF(J48&lt;&gt;1,"",IF(I48="SBJ","CB","?"))</f>
        <v> </v>
      </c>
      <c r="I48" s="26" t="str">
        <f>IF(OR(E48="",E48="!!!",F48="NEW"),"",INDEX(B47:B$2,-1+SUMPRODUCT(MAX(ROW(E47:E$2)*(E48=E47:E$2)))))</f>
        <v> </v>
      </c>
      <c r="J48" s="26" t="str">
        <f>IF(OR(E48="",E48="!!!",F48="NEW"),"",COUNTBLANK(OFFSET(A$1,,,SUMPRODUCT(MAX(ROW(E$2:E48)*(E48=E$2:E48)))))-COUNTBLANK(OFFSET(A$1,,,SUMPRODUCT(MAX(ROW(E$1:E47)*(E2=E$1:E47))))))</f>
        <v> </v>
      </c>
      <c r="K48" s="26" t="str">
        <f>IF(OR(E48="",E48="!!!",F48="NEW"),"",INDEX(J$1:J47,SUMPRODUCT(MAX(ROW(E$1:E47)*(E48=E$1:E47)))))</f>
        <v> </v>
      </c>
      <c r="L48" s="27"/>
    </row>
    <row r="49" spans="1:12">
      <c r="A49" s="20" t="s">
        <v>148</v>
      </c>
      <c r="E49" s="22">
        <f>IF(D49="?OLD","!!!","")</f>
        <v/>
      </c>
      <c r="F49" s="23" t="str">
        <f>IF(OR(E49="",E49="!!!"),"",IF(NOT(ISNA(VLOOKUP(E49,E$1:E48,1,FALSE()))),"OLD",IF(AND(E49&lt;&gt;"",E49&lt;&gt;"!!!"),"NEW","")))</f>
        <v> </v>
      </c>
      <c r="G49" s="24" t="str">
        <f>IF(OR(E49="",E49="!!!"),"",IF(OR(J49=0,AND(J49=1,K49=1),AND(J49=1,I49="SBJ"),AND(J49=1,I49=0)),"?IN_FOCUS",IF(J49&lt;=2,"?ACTIVATED",IF(J49&lt;&gt;"","?FAMILIAR",IF(F49="NEW",IF(ISNA(VLOOKUP(E49,#REF!,1,FALSE())),"?TYPE_IDENTIFIABLE","?REFERENTIAL"),"_")))))</f>
        <v> </v>
      </c>
      <c r="H49" s="25" t="str">
        <f>IF(J49&lt;&gt;1,"",IF(I49="SBJ","CB","?"))</f>
        <v> </v>
      </c>
      <c r="I49" s="26" t="str">
        <f>IF(OR(E49="",E49="!!!",F49="NEW"),"",INDEX(B48:B$2,-1+SUMPRODUCT(MAX(ROW(E48:E$2)*(E49=E48:E$2)))))</f>
        <v> </v>
      </c>
      <c r="J49" s="26" t="str">
        <f>IF(OR(E49="",E49="!!!",F49="NEW"),"",COUNTBLANK(OFFSET(A$1,,,SUMPRODUCT(MAX(ROW(E$2:E49)*(E49=E$2:E49)))))-COUNTBLANK(OFFSET(A$1,,,SUMPRODUCT(MAX(ROW(E$1:E48)*(E2=E$1:E48))))))</f>
        <v> </v>
      </c>
      <c r="K49" s="26" t="str">
        <f>IF(OR(E49="",E49="!!!",F49="NEW"),"",INDEX(J$1:J48,SUMPRODUCT(MAX(ROW(E$1:E48)*(E49=E$1:E48)))))</f>
        <v> </v>
      </c>
      <c r="L49" s="27"/>
    </row>
    <row r="50" spans="1:12">
      <c r="A50" s="20" t="s">
        <v>149</v>
      </c>
      <c r="E50" s="22">
        <f>IF(D50="?OLD","!!!","")</f>
        <v/>
      </c>
      <c r="F50" s="23" t="str">
        <f>IF(OR(E50="",E50="!!!"),"",IF(NOT(ISNA(VLOOKUP(E50,E$1:E49,1,FALSE()))),"OLD",IF(AND(E50&lt;&gt;"",E50&lt;&gt;"!!!"),"NEW","")))</f>
        <v> </v>
      </c>
      <c r="G50" s="24" t="str">
        <f>IF(OR(E50="",E50="!!!"),"",IF(OR(J50=0,AND(J50=1,K50=1),AND(J50=1,I50="SBJ"),AND(J50=1,I50=0)),"?IN_FOCUS",IF(J50&lt;=2,"?ACTIVATED",IF(J50&lt;&gt;"","?FAMILIAR",IF(F50="NEW",IF(ISNA(VLOOKUP(E50,#REF!,1,FALSE())),"?TYPE_IDENTIFIABLE","?REFERENTIAL"),"_")))))</f>
        <v> </v>
      </c>
      <c r="H50" s="25" t="str">
        <f>IF(J50&lt;&gt;1,"",IF(I50="SBJ","CB","?"))</f>
        <v> </v>
      </c>
      <c r="I50" s="26" t="str">
        <f>IF(OR(E50="",E50="!!!",F50="NEW"),"",INDEX(B49:B$2,-1+SUMPRODUCT(MAX(ROW(E49:E$2)*(E50=E49:E$2)))))</f>
        <v> </v>
      </c>
      <c r="J50" s="26" t="str">
        <f>IF(OR(E50="",E50="!!!",F50="NEW"),"",COUNTBLANK(OFFSET(A$1,,,SUMPRODUCT(MAX(ROW(E$2:E50)*(E50=E$2:E50)))))-COUNTBLANK(OFFSET(A$1,,,SUMPRODUCT(MAX(ROW(E$1:E49)*(E2=E$1:E49))))))</f>
        <v> </v>
      </c>
      <c r="K50" s="26" t="str">
        <f>IF(OR(E50="",E50="!!!",F50="NEW"),"",INDEX(J$1:J49,SUMPRODUCT(MAX(ROW(E$1:E49)*(E50=E$1:E49)))))</f>
        <v> </v>
      </c>
      <c r="L50" s="27"/>
    </row>
    <row r="51" spans="1:12">
      <c r="A51" s="20" t="s">
        <v>150</v>
      </c>
      <c r="B51" s="21" t="s">
        <v>125</v>
      </c>
      <c r="C51" s="21" t="s">
        <v>147</v>
      </c>
      <c r="D51" s="21" t="s">
        <v>106</v>
      </c>
      <c r="E51" s="22">
        <f>IF(D51="?OLD","!!!","")</f>
        <v/>
      </c>
      <c r="F51" s="23" t="str">
        <f>IF(OR(E51="",E51="!!!"),"",IF(NOT(ISNA(VLOOKUP(E51,E$1:E50,1,FALSE()))),"OLD",IF(AND(E51&lt;&gt;"",E51&lt;&gt;"!!!"),"NEW","")))</f>
        <v> </v>
      </c>
      <c r="G51" s="24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5" t="str">
        <f>IF(J51&lt;&gt;1,"",IF(I51="SBJ","CB","?"))</f>
        <v> </v>
      </c>
      <c r="I51" s="26" t="str">
        <f>IF(OR(E51="",E51="!!!",F51="NEW"),"",INDEX(B50:B$2,-1+SUMPRODUCT(MAX(ROW(E50:E$2)*(E51=E50:E$2)))))</f>
        <v> </v>
      </c>
      <c r="J51" s="26" t="str">
        <f>IF(OR(E51="",E51="!!!",F51="NEW"),"",COUNTBLANK(OFFSET(A$1,,,SUMPRODUCT(MAX(ROW(E$2:E51)*(E51=E$2:E51)))))-COUNTBLANK(OFFSET(A$1,,,SUMPRODUCT(MAX(ROW(E$1:E50)*(E2=E$1:E50))))))</f>
        <v> </v>
      </c>
      <c r="K51" s="26" t="str">
        <f>IF(OR(E51="",E51="!!!",F51="NEW"),"",INDEX(J$1:J50,SUMPRODUCT(MAX(ROW(E$1:E50)*(E51=E$1:E50)))))</f>
        <v> </v>
      </c>
      <c r="L51" s="27"/>
    </row>
    <row r="52" spans="1:12">
      <c r="A52" s="20" t="s">
        <v>151</v>
      </c>
      <c r="E52" s="22">
        <f>IF(D52="?OLD","!!!","")</f>
        <v/>
      </c>
      <c r="F52" s="23" t="str">
        <f>IF(OR(E52="",E52="!!!"),"",IF(NOT(ISNA(VLOOKUP(E52,E$1:E51,1,FALSE()))),"OLD",IF(AND(E52&lt;&gt;"",E52&lt;&gt;"!!!"),"NEW","")))</f>
        <v> </v>
      </c>
      <c r="G52" s="24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5" t="str">
        <f>IF(J52&lt;&gt;1,"",IF(I52="SBJ","CB","?"))</f>
        <v> </v>
      </c>
      <c r="I52" s="26" t="str">
        <f>IF(OR(E52="",E52="!!!",F52="NEW"),"",INDEX(B51:B$2,-1+SUMPRODUCT(MAX(ROW(E51:E$2)*(E52=E51:E$2)))))</f>
        <v> </v>
      </c>
      <c r="J52" s="26" t="str">
        <f>IF(OR(E52="",E52="!!!",F52="NEW"),"",COUNTBLANK(OFFSET(A$1,,,SUMPRODUCT(MAX(ROW(E$2:E52)*(E52=E$2:E52)))))-COUNTBLANK(OFFSET(A$1,,,SUMPRODUCT(MAX(ROW(E$1:E51)*(E2=E$1:E51))))))</f>
        <v> </v>
      </c>
      <c r="K52" s="26" t="str">
        <f>IF(OR(E52="",E52="!!!",F52="NEW"),"",INDEX(J$1:J51,SUMPRODUCT(MAX(ROW(E$1:E51)*(E52=E$1:E51)))))</f>
        <v> </v>
      </c>
      <c r="L52" s="27"/>
    </row>
    <row r="53" spans="1:12">
      <c r="A53" s="20" t="s">
        <v>152</v>
      </c>
      <c r="E53" s="22">
        <f>IF(D53="?OLD","!!!","")</f>
        <v/>
      </c>
      <c r="F53" s="23" t="str">
        <f>IF(OR(E53="",E53="!!!"),"",IF(NOT(ISNA(VLOOKUP(E53,E$1:E52,1,FALSE()))),"OLD",IF(AND(E53&lt;&gt;"",E53&lt;&gt;"!!!"),"NEW","")))</f>
        <v> </v>
      </c>
      <c r="G53" s="24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5" t="str">
        <f>IF(J53&lt;&gt;1,"",IF(I53="SBJ","CB","?"))</f>
        <v> </v>
      </c>
      <c r="I53" s="26" t="str">
        <f>IF(OR(E53="",E53="!!!",F53="NEW"),"",INDEX(B52:B$2,-1+SUMPRODUCT(MAX(ROW(E52:E$2)*(E53=E52:E$2)))))</f>
        <v> </v>
      </c>
      <c r="J53" s="26" t="str">
        <f>IF(OR(E53="",E53="!!!",F53="NEW"),"",COUNTBLANK(OFFSET(A$1,,,SUMPRODUCT(MAX(ROW(E$2:E53)*(E53=E$2:E53)))))-COUNTBLANK(OFFSET(A$1,,,SUMPRODUCT(MAX(ROW(E$1:E52)*(E2=E$1:E52))))))</f>
        <v> </v>
      </c>
      <c r="K53" s="26" t="str">
        <f>IF(OR(E53="",E53="!!!",F53="NEW"),"",INDEX(J$1:J52,SUMPRODUCT(MAX(ROW(E$1:E52)*(E53=E$1:E52)))))</f>
        <v> </v>
      </c>
      <c r="L53" s="27"/>
    </row>
    <row r="54" spans="1:12">
      <c r="A54" s="20" t="s">
        <v>135</v>
      </c>
      <c r="E54" s="22">
        <f>IF(D54="?OLD","!!!","")</f>
        <v/>
      </c>
      <c r="F54" s="23" t="str">
        <f>IF(OR(E54="",E54="!!!"),"",IF(NOT(ISNA(VLOOKUP(E54,E$1:E53,1,FALSE()))),"OLD",IF(AND(E54&lt;&gt;"",E54&lt;&gt;"!!!"),"NEW","")))</f>
        <v> </v>
      </c>
      <c r="G54" s="24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5" t="str">
        <f>IF(J54&lt;&gt;1,"",IF(I54="SBJ","CB","?"))</f>
        <v> </v>
      </c>
      <c r="I54" s="26" t="str">
        <f>IF(OR(E54="",E54="!!!",F54="NEW"),"",INDEX(B53:B$2,-1+SUMPRODUCT(MAX(ROW(E53:E$2)*(E54=E53:E$2)))))</f>
        <v> </v>
      </c>
      <c r="J54" s="26" t="str">
        <f>IF(OR(E54="",E54="!!!",F54="NEW"),"",COUNTBLANK(OFFSET(A$1,,,SUMPRODUCT(MAX(ROW(E$2:E54)*(E54=E$2:E54)))))-COUNTBLANK(OFFSET(A$1,,,SUMPRODUCT(MAX(ROW(E$1:E53)*(E2=E$1:E53))))))</f>
        <v> </v>
      </c>
      <c r="K54" s="26" t="str">
        <f>IF(OR(E54="",E54="!!!",F54="NEW"),"",INDEX(J$1:J53,SUMPRODUCT(MAX(ROW(E$1:E53)*(E54=E$1:E53)))))</f>
        <v> </v>
      </c>
      <c r="L54" s="27"/>
    </row>
    <row r="55" spans="1:12">
      <c r="A55" s="20"/>
    </row>
    <row r="56" spans="1:12">
      <c r="A56" s="20" t="s">
        <v>153</v>
      </c>
    </row>
    <row r="57" spans="1:12">
      <c r="A57" s="20" t="s">
        <v>154</v>
      </c>
      <c r="E57" s="22">
        <f>IF(D57="?OLD","!!!","")</f>
        <v/>
      </c>
      <c r="F57" s="23" t="str">
        <f>IF(OR(E57="",E57="!!!"),"",IF(NOT(ISNA(VLOOKUP(E57,E$1:E56,1,FALSE()))),"OLD",IF(AND(E57&lt;&gt;"",E57&lt;&gt;"!!!"),"NEW","")))</f>
        <v> </v>
      </c>
      <c r="G57" s="24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5" t="str">
        <f>IF(J57&lt;&gt;1,"",IF(I57="SBJ","CB","?"))</f>
        <v> </v>
      </c>
      <c r="I57" s="26" t="str">
        <f>IF(OR(E57="",E57="!!!",F57="NEW"),"",INDEX(B56:B$2,-1+SUMPRODUCT(MAX(ROW(E56:E$2)*(E57=E56:E$2)))))</f>
        <v> </v>
      </c>
      <c r="J57" s="26" t="str">
        <f>IF(OR(E57="",E57="!!!",F57="NEW"),"",COUNTBLANK(OFFSET(A$1,,,SUMPRODUCT(MAX(ROW(E$2:E57)*(E57=E$2:E57)))))-COUNTBLANK(OFFSET(A$1,,,SUMPRODUCT(MAX(ROW(E$1:E56)*(E2=E$1:E56))))))</f>
        <v> </v>
      </c>
      <c r="K57" s="26" t="str">
        <f>IF(OR(E57="",E57="!!!",F57="NEW"),"",INDEX(J$1:J56,SUMPRODUCT(MAX(ROW(E$1:E56)*(E57=E$1:E56)))))</f>
        <v> </v>
      </c>
      <c r="L57" s="27"/>
    </row>
    <row r="58" spans="1:12">
      <c r="A58" s="20" t="s">
        <v>38</v>
      </c>
      <c r="E58" s="22">
        <f>IF(D58="?OLD","!!!","")</f>
        <v/>
      </c>
      <c r="F58" s="23" t="str">
        <f>IF(OR(E58="",E58="!!!"),"",IF(NOT(ISNA(VLOOKUP(E58,E$1:E57,1,FALSE()))),"OLD",IF(AND(E58&lt;&gt;"",E58&lt;&gt;"!!!"),"NEW","")))</f>
        <v> </v>
      </c>
      <c r="G58" s="24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5" t="str">
        <f>IF(J58&lt;&gt;1,"",IF(I58="SBJ","CB","?"))</f>
        <v> </v>
      </c>
      <c r="I58" s="26" t="str">
        <f>IF(OR(E58="",E58="!!!",F58="NEW"),"",INDEX(B57:B$2,-1+SUMPRODUCT(MAX(ROW(E57:E$2)*(E58=E57:E$2)))))</f>
        <v> </v>
      </c>
      <c r="J58" s="26" t="str">
        <f>IF(OR(E58="",E58="!!!",F58="NEW"),"",COUNTBLANK(OFFSET(A$1,,,SUMPRODUCT(MAX(ROW(E$2:E58)*(E58=E$2:E58)))))-COUNTBLANK(OFFSET(A$1,,,SUMPRODUCT(MAX(ROW(E$1:E57)*(E2=E$1:E57))))))</f>
        <v> </v>
      </c>
      <c r="K58" s="26" t="str">
        <f>IF(OR(E58="",E58="!!!",F58="NEW"),"",INDEX(J$1:J57,SUMPRODUCT(MAX(ROW(E$1:E57)*(E58=E$1:E57)))))</f>
        <v> </v>
      </c>
      <c r="L58" s="27"/>
    </row>
    <row r="59" spans="1:12">
      <c r="A59" s="20" t="s">
        <v>155</v>
      </c>
      <c r="E59" s="22">
        <f>IF(D59="?OLD","!!!","")</f>
        <v/>
      </c>
      <c r="F59" s="23" t="str">
        <f>IF(OR(E59="",E59="!!!"),"",IF(NOT(ISNA(VLOOKUP(E59,E$1:E58,1,FALSE()))),"OLD",IF(AND(E59&lt;&gt;"",E59&lt;&gt;"!!!"),"NEW","")))</f>
        <v> </v>
      </c>
      <c r="G59" s="24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5" t="str">
        <f>IF(J59&lt;&gt;1,"",IF(I59="SBJ","CB","?"))</f>
        <v> </v>
      </c>
      <c r="I59" s="26" t="str">
        <f>IF(OR(E59="",E59="!!!",F59="NEW"),"",INDEX(B58:B$2,-1+SUMPRODUCT(MAX(ROW(E58:E$2)*(E59=E58:E$2)))))</f>
        <v> </v>
      </c>
      <c r="J59" s="26" t="str">
        <f>IF(OR(E59="",E59="!!!",F59="NEW"),"",COUNTBLANK(OFFSET(A$1,,,SUMPRODUCT(MAX(ROW(E$2:E59)*(E59=E$2:E59)))))-COUNTBLANK(OFFSET(A$1,,,SUMPRODUCT(MAX(ROW(E$1:E58)*(E2=E$1:E58))))))</f>
        <v> </v>
      </c>
      <c r="K59" s="26" t="str">
        <f>IF(OR(E59="",E59="!!!",F59="NEW"),"",INDEX(J$1:J58,SUMPRODUCT(MAX(ROW(E$1:E58)*(E59=E$1:E58)))))</f>
        <v> </v>
      </c>
      <c r="L59" s="27"/>
    </row>
    <row r="60" spans="1:12">
      <c r="A60" s="20" t="s">
        <v>156</v>
      </c>
      <c r="B60" s="21" t="s">
        <v>157</v>
      </c>
      <c r="C60" s="21" t="s">
        <v>158</v>
      </c>
      <c r="E60" s="22">
        <f>IF(D60="?OLD","!!!","")</f>
        <v/>
      </c>
      <c r="F60" s="23" t="str">
        <f>IF(OR(E60="",E60="!!!"),"",IF(NOT(ISNA(VLOOKUP(E60,E$1:E59,1,FALSE()))),"OLD",IF(AND(E60&lt;&gt;"",E60&lt;&gt;"!!!"),"NEW","")))</f>
        <v> </v>
      </c>
      <c r="G60" s="24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25" t="str">
        <f>IF(J60&lt;&gt;1,"",IF(I60="SBJ","CB","?"))</f>
        <v> </v>
      </c>
      <c r="I60" s="26" t="str">
        <f>IF(OR(E60="",E60="!!!",F60="NEW"),"",INDEX(B59:B$2,-1+SUMPRODUCT(MAX(ROW(E59:E$2)*(E60=E59:E$2)))))</f>
        <v> </v>
      </c>
      <c r="J60" s="26" t="str">
        <f>IF(OR(E60="",E60="!!!",F60="NEW"),"",COUNTBLANK(OFFSET(A$1,,,SUMPRODUCT(MAX(ROW(E$2:E60)*(E60=E$2:E60)))))-COUNTBLANK(OFFSET(A$1,,,SUMPRODUCT(MAX(ROW(E$1:E59)*(E2=E$1:E59))))))</f>
        <v> </v>
      </c>
      <c r="K60" s="26" t="str">
        <f>IF(OR(E60="",E60="!!!",F60="NEW"),"",INDEX(J$1:J59,SUMPRODUCT(MAX(ROW(E$1:E59)*(E60=E$1:E59)))))</f>
        <v> </v>
      </c>
      <c r="L60" s="27"/>
    </row>
    <row r="61" spans="1:12">
      <c r="A61" s="20" t="s">
        <v>116</v>
      </c>
      <c r="E61" s="22">
        <f>IF(D61="?OLD","!!!","")</f>
        <v/>
      </c>
      <c r="F61" s="23" t="str">
        <f>IF(OR(E61="",E61="!!!"),"",IF(NOT(ISNA(VLOOKUP(E61,E$1:E60,1,FALSE()))),"OLD",IF(AND(E61&lt;&gt;"",E61&lt;&gt;"!!!"),"NEW","")))</f>
        <v> </v>
      </c>
      <c r="G61" s="24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5" t="str">
        <f>IF(J61&lt;&gt;1,"",IF(I61="SBJ","CB","?"))</f>
        <v> </v>
      </c>
      <c r="I61" s="26" t="str">
        <f>IF(OR(E61="",E61="!!!",F61="NEW"),"",INDEX(B60:B$2,-1+SUMPRODUCT(MAX(ROW(E60:E$2)*(E61=E60:E$2)))))</f>
        <v> </v>
      </c>
      <c r="J61" s="26" t="str">
        <f>IF(OR(E61="",E61="!!!",F61="NEW"),"",COUNTBLANK(OFFSET(A$1,,,SUMPRODUCT(MAX(ROW(E$2:E61)*(E61=E$2:E61)))))-COUNTBLANK(OFFSET(A$1,,,SUMPRODUCT(MAX(ROW(E$1:E60)*(E2=E$1:E60))))))</f>
        <v> </v>
      </c>
      <c r="K61" s="26" t="str">
        <f>IF(OR(E61="",E61="!!!",F61="NEW"),"",INDEX(J$1:J60,SUMPRODUCT(MAX(ROW(E$1:E60)*(E61=E$1:E60)))))</f>
        <v> </v>
      </c>
      <c r="L61" s="27"/>
    </row>
    <row r="62" spans="1:12">
      <c r="A62" s="20" t="s">
        <v>159</v>
      </c>
      <c r="B62" s="21" t="s">
        <v>124</v>
      </c>
      <c r="C62" s="21" t="s">
        <v>130</v>
      </c>
      <c r="E62" s="22">
        <f>IF(D62="?OLD","!!!","")</f>
        <v/>
      </c>
      <c r="F62" s="23" t="str">
        <f>IF(OR(E62="",E62="!!!"),"",IF(NOT(ISNA(VLOOKUP(E62,E$1:E61,1,FALSE()))),"OLD",IF(AND(E62&lt;&gt;"",E62&lt;&gt;"!!!"),"NEW","")))</f>
        <v> </v>
      </c>
      <c r="G62" s="24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5" t="str">
        <f>IF(J62&lt;&gt;1,"",IF(I62="SBJ","CB","?"))</f>
        <v> </v>
      </c>
      <c r="I62" s="26" t="str">
        <f>IF(OR(E62="",E62="!!!",F62="NEW"),"",INDEX(B61:B$2,-1+SUMPRODUCT(MAX(ROW(E61:E$2)*(E62=E61:E$2)))))</f>
        <v> </v>
      </c>
      <c r="J62" s="26" t="str">
        <f>IF(OR(E62="",E62="!!!",F62="NEW"),"",COUNTBLANK(OFFSET(A$1,,,SUMPRODUCT(MAX(ROW(E$2:E62)*(E62=E$2:E62)))))-COUNTBLANK(OFFSET(A$1,,,SUMPRODUCT(MAX(ROW(E$1:E61)*(E2=E$1:E61))))))</f>
        <v> </v>
      </c>
      <c r="K62" s="26" t="str">
        <f>IF(OR(E62="",E62="!!!",F62="NEW"),"",INDEX(J$1:J61,SUMPRODUCT(MAX(ROW(E$1:E61)*(E62=E$1:E61)))))</f>
        <v> </v>
      </c>
      <c r="L62" s="27"/>
    </row>
    <row r="63" spans="1:12">
      <c r="A63" s="20" t="s">
        <v>114</v>
      </c>
      <c r="E63" s="22">
        <f>IF(D63="?OLD","!!!","")</f>
        <v/>
      </c>
      <c r="F63" s="23" t="str">
        <f>IF(OR(E63="",E63="!!!"),"",IF(NOT(ISNA(VLOOKUP(E63,E$1:E62,1,FALSE()))),"OLD",IF(AND(E63&lt;&gt;"",E63&lt;&gt;"!!!"),"NEW","")))</f>
        <v> </v>
      </c>
      <c r="G63" s="24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> </v>
      </c>
      <c r="H63" s="25" t="str">
        <f>IF(J63&lt;&gt;1,"",IF(I63="SBJ","CB","?"))</f>
        <v> </v>
      </c>
      <c r="I63" s="26" t="str">
        <f>IF(OR(E63="",E63="!!!",F63="NEW"),"",INDEX(B62:B$2,-1+SUMPRODUCT(MAX(ROW(E62:E$2)*(E63=E62:E$2)))))</f>
        <v> </v>
      </c>
      <c r="J63" s="26" t="str">
        <f>IF(OR(E63="",E63="!!!",F63="NEW"),"",COUNTBLANK(OFFSET(A$1,,,SUMPRODUCT(MAX(ROW(E$2:E63)*(E63=E$2:E63)))))-COUNTBLANK(OFFSET(A$1,,,SUMPRODUCT(MAX(ROW(E$1:E62)*(E2=E$1:E62))))))</f>
        <v> </v>
      </c>
      <c r="K63" s="26" t="str">
        <f>IF(OR(E63="",E63="!!!",F63="NEW"),"",INDEX(J$1:J62,SUMPRODUCT(MAX(ROW(E$1:E62)*(E63=E$1:E62)))))</f>
        <v> </v>
      </c>
      <c r="L63" s="27"/>
    </row>
    <row r="64" spans="1:12">
      <c r="A64" s="20" t="s">
        <v>160</v>
      </c>
      <c r="B64" s="21" t="s">
        <v>124</v>
      </c>
      <c r="C64" s="21" t="s">
        <v>130</v>
      </c>
      <c r="E64" s="22">
        <f>IF(D64="?OLD","!!!","")</f>
        <v/>
      </c>
      <c r="F64" s="23" t="str">
        <f>IF(OR(E64="",E64="!!!"),"",IF(NOT(ISNA(VLOOKUP(E64,E$1:E63,1,FALSE()))),"OLD",IF(AND(E64&lt;&gt;"",E64&lt;&gt;"!!!"),"NEW","")))</f>
        <v> </v>
      </c>
      <c r="G64" s="24" t="str">
        <f>IF(OR(E64="",E64="!!!"),"",IF(OR(J64=0,AND(J64=1,K64=1),AND(J64=1,I64="SBJ"),AND(J64=1,I64=0)),"?IN_FOCUS",IF(J64&lt;=2,"?ACTIVATED",IF(J64&lt;&gt;"","?FAMILIAR",IF(F64="NEW",IF(ISNA(VLOOKUP(E64,#REF!,1,FALSE())),"?TYPE_IDENTIFIABLE","?REFERENTIAL"),"_")))))</f>
        <v> </v>
      </c>
      <c r="H64" s="25" t="str">
        <f>IF(J64&lt;&gt;1,"",IF(I64="SBJ","CB","?"))</f>
        <v> </v>
      </c>
      <c r="I64" s="26" t="str">
        <f>IF(OR(E64="",E64="!!!",F64="NEW"),"",INDEX(B63:B$2,-1+SUMPRODUCT(MAX(ROW(E63:E$2)*(E64=E63:E$2)))))</f>
        <v> </v>
      </c>
      <c r="J64" s="26" t="str">
        <f>IF(OR(E64="",E64="!!!",F64="NEW"),"",COUNTBLANK(OFFSET(A$1,,,SUMPRODUCT(MAX(ROW(E$2:E64)*(E64=E$2:E64)))))-COUNTBLANK(OFFSET(A$1,,,SUMPRODUCT(MAX(ROW(E$1:E63)*(E2=E$1:E63))))))</f>
        <v> </v>
      </c>
      <c r="K64" s="26" t="str">
        <f>IF(OR(E64="",E64="!!!",F64="NEW"),"",INDEX(J$1:J63,SUMPRODUCT(MAX(ROW(E$1:E63)*(E64=E$1:E63)))))</f>
        <v> </v>
      </c>
      <c r="L64" s="27"/>
    </row>
    <row r="65" spans="1:12">
      <c r="A65" s="20" t="s">
        <v>152</v>
      </c>
      <c r="E65" s="22">
        <f>IF(D65="?OLD","!!!","")</f>
        <v/>
      </c>
      <c r="F65" s="23" t="str">
        <f>IF(OR(E65="",E65="!!!"),"",IF(NOT(ISNA(VLOOKUP(E65,E$1:E64,1,FALSE()))),"OLD",IF(AND(E65&lt;&gt;"",E65&lt;&gt;"!!!"),"NEW","")))</f>
        <v> </v>
      </c>
      <c r="G65" s="24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> </v>
      </c>
      <c r="H65" s="25" t="str">
        <f>IF(J65&lt;&gt;1,"",IF(I65="SBJ","CB","?"))</f>
        <v> </v>
      </c>
      <c r="I65" s="26" t="str">
        <f>IF(OR(E65="",E65="!!!",F65="NEW"),"",INDEX(B64:B$2,-1+SUMPRODUCT(MAX(ROW(E64:E$2)*(E65=E64:E$2)))))</f>
        <v> </v>
      </c>
      <c r="J65" s="26" t="str">
        <f>IF(OR(E65="",E65="!!!",F65="NEW"),"",COUNTBLANK(OFFSET(A$1,,,SUMPRODUCT(MAX(ROW(E$2:E65)*(E65=E$2:E65)))))-COUNTBLANK(OFFSET(A$1,,,SUMPRODUCT(MAX(ROW(E$1:E64)*(E2=E$1:E64))))))</f>
        <v> </v>
      </c>
      <c r="K65" s="26" t="str">
        <f>IF(OR(E65="",E65="!!!",F65="NEW"),"",INDEX(J$1:J64,SUMPRODUCT(MAX(ROW(E$1:E64)*(E65=E$1:E64)))))</f>
        <v> </v>
      </c>
      <c r="L65" s="27"/>
    </row>
    <row r="66" spans="1:12">
      <c r="A66" s="20" t="s">
        <v>108</v>
      </c>
      <c r="E66" s="22">
        <f>IF(D66="?OLD","!!!","")</f>
        <v/>
      </c>
      <c r="F66" s="23" t="str">
        <f>IF(OR(E66="",E66="!!!"),"",IF(NOT(ISNA(VLOOKUP(E66,E$1:E65,1,FALSE()))),"OLD",IF(AND(E66&lt;&gt;"",E66&lt;&gt;"!!!"),"NEW","")))</f>
        <v> </v>
      </c>
      <c r="G66" s="24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5" t="str">
        <f>IF(J66&lt;&gt;1,"",IF(I66="SBJ","CB","?"))</f>
        <v> </v>
      </c>
      <c r="I66" s="26" t="str">
        <f>IF(OR(E66="",E66="!!!",F66="NEW"),"",INDEX(B65:B$2,-1+SUMPRODUCT(MAX(ROW(E65:E$2)*(E66=E65:E$2)))))</f>
        <v> </v>
      </c>
      <c r="J66" s="26" t="str">
        <f>IF(OR(E66="",E66="!!!",F66="NEW"),"",COUNTBLANK(OFFSET(A$1,,,SUMPRODUCT(MAX(ROW(E$2:E66)*(E66=E$2:E66)))))-COUNTBLANK(OFFSET(A$1,,,SUMPRODUCT(MAX(ROW(E$1:E65)*(E2=E$1:E65))))))</f>
        <v> </v>
      </c>
      <c r="K66" s="26" t="str">
        <f>IF(OR(E66="",E66="!!!",F66="NEW"),"",INDEX(J$1:J65,SUMPRODUCT(MAX(ROW(E$1:E65)*(E66=E$1:E65)))))</f>
        <v> </v>
      </c>
      <c r="L66" s="27"/>
    </row>
    <row r="67" spans="1:12">
      <c r="A67" s="20" t="s">
        <v>161</v>
      </c>
      <c r="B67" s="21" t="s">
        <v>124</v>
      </c>
      <c r="C67" s="21" t="s">
        <v>162</v>
      </c>
      <c r="D67" s="21" t="s">
        <v>106</v>
      </c>
      <c r="E67" s="22">
        <f>IF(D67="?OLD","!!!","")</f>
        <v/>
      </c>
      <c r="F67" s="23" t="str">
        <f>IF(OR(E67="",E67="!!!"),"",IF(NOT(ISNA(VLOOKUP(E67,E$1:E66,1,FALSE()))),"OLD",IF(AND(E67&lt;&gt;"",E67&lt;&gt;"!!!"),"NEW","")))</f>
        <v> </v>
      </c>
      <c r="G67" s="24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5" t="str">
        <f>IF(J67&lt;&gt;1,"",IF(I67="SBJ","CB","?"))</f>
        <v> </v>
      </c>
      <c r="I67" s="26" t="str">
        <f>IF(OR(E67="",E67="!!!",F67="NEW"),"",INDEX(B66:B$2,-1+SUMPRODUCT(MAX(ROW(E66:E$2)*(E67=E66:E$2)))))</f>
        <v> </v>
      </c>
      <c r="J67" s="26" t="str">
        <f>IF(OR(E67="",E67="!!!",F67="NEW"),"",COUNTBLANK(OFFSET(A$1,,,SUMPRODUCT(MAX(ROW(E$2:E67)*(E67=E$2:E67)))))-COUNTBLANK(OFFSET(A$1,,,SUMPRODUCT(MAX(ROW(E$1:E66)*(E2=E$1:E66))))))</f>
        <v> </v>
      </c>
      <c r="K67" s="26" t="str">
        <f>IF(OR(E67="",E67="!!!",F67="NEW"),"",INDEX(J$1:J66,SUMPRODUCT(MAX(ROW(E$1:E66)*(E67=E$1:E66)))))</f>
        <v> </v>
      </c>
      <c r="L67" s="27"/>
    </row>
    <row r="68" spans="1:12">
      <c r="A68" s="20" t="s">
        <v>163</v>
      </c>
      <c r="B68" s="21" t="s">
        <v>110</v>
      </c>
      <c r="C68" s="21" t="s">
        <v>164</v>
      </c>
      <c r="D68" s="21" t="s">
        <v>106</v>
      </c>
      <c r="E68" s="22">
        <f>IF(D68="?OLD","!!!","")</f>
        <v/>
      </c>
      <c r="F68" s="23" t="str">
        <f>IF(OR(E68="",E68="!!!"),"",IF(NOT(ISNA(VLOOKUP(E68,E$1:E67,1,FALSE()))),"OLD",IF(AND(E68&lt;&gt;"",E68&lt;&gt;"!!!"),"NEW","")))</f>
        <v> </v>
      </c>
      <c r="G68" s="24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25" t="str">
        <f>IF(J68&lt;&gt;1,"",IF(I68="SBJ","CB","?"))</f>
        <v> </v>
      </c>
      <c r="I68" s="26" t="str">
        <f>IF(OR(E68="",E68="!!!",F68="NEW"),"",INDEX(B67:B$2,-1+SUMPRODUCT(MAX(ROW(E67:E$2)*(E68=E67:E$2)))))</f>
        <v> </v>
      </c>
      <c r="J68" s="26" t="str">
        <f>IF(OR(E68="",E68="!!!",F68="NEW"),"",COUNTBLANK(OFFSET(A$1,,,SUMPRODUCT(MAX(ROW(E$2:E68)*(E68=E$2:E68)))))-COUNTBLANK(OFFSET(A$1,,,SUMPRODUCT(MAX(ROW(E$1:E67)*(E2=E$1:E67))))))</f>
        <v> </v>
      </c>
      <c r="K68" s="26" t="str">
        <f>IF(OR(E68="",E68="!!!",F68="NEW"),"",INDEX(J$1:J67,SUMPRODUCT(MAX(ROW(E$1:E67)*(E68=E$1:E67)))))</f>
        <v> </v>
      </c>
      <c r="L68" s="27"/>
    </row>
    <row r="69" spans="1:12">
      <c r="A69" s="20" t="s">
        <v>165</v>
      </c>
      <c r="B69" s="21" t="s">
        <v>157</v>
      </c>
      <c r="C69" s="21" t="s">
        <v>130</v>
      </c>
      <c r="E69" s="22">
        <f>IF(D69="?OLD","!!!","")</f>
        <v/>
      </c>
      <c r="F69" s="23" t="str">
        <f>IF(OR(E69="",E69="!!!"),"",IF(NOT(ISNA(VLOOKUP(E69,E$1:E68,1,FALSE()))),"OLD",IF(AND(E69&lt;&gt;"",E69&lt;&gt;"!!!"),"NEW","")))</f>
        <v> </v>
      </c>
      <c r="G69" s="24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5" t="str">
        <f>IF(J69&lt;&gt;1,"",IF(I69="SBJ","CB","?"))</f>
        <v> </v>
      </c>
      <c r="I69" s="26" t="str">
        <f>IF(OR(E69="",E69="!!!",F69="NEW"),"",INDEX(B68:B$2,-1+SUMPRODUCT(MAX(ROW(E68:E$2)*(E69=E68:E$2)))))</f>
        <v> </v>
      </c>
      <c r="J69" s="26" t="str">
        <f>IF(OR(E69="",E69="!!!",F69="NEW"),"",COUNTBLANK(OFFSET(A$1,,,SUMPRODUCT(MAX(ROW(E$2:E69)*(E69=E$2:E69)))))-COUNTBLANK(OFFSET(A$1,,,SUMPRODUCT(MAX(ROW(E$1:E68)*(E2=E$1:E68))))))</f>
        <v> </v>
      </c>
      <c r="K69" s="26" t="str">
        <f>IF(OR(E69="",E69="!!!",F69="NEW"),"",INDEX(J$1:J68,SUMPRODUCT(MAX(ROW(E$1:E68)*(E69=E$1:E68)))))</f>
        <v> </v>
      </c>
      <c r="L69" s="27"/>
    </row>
    <row r="70" spans="1:12">
      <c r="A70" s="20" t="s">
        <v>114</v>
      </c>
      <c r="E70" s="22">
        <f>IF(D70="?OLD","!!!","")</f>
        <v/>
      </c>
      <c r="F70" s="23" t="str">
        <f>IF(OR(E70="",E70="!!!"),"",IF(NOT(ISNA(VLOOKUP(E70,E$1:E69,1,FALSE()))),"OLD",IF(AND(E70&lt;&gt;"",E70&lt;&gt;"!!!"),"NEW","")))</f>
        <v> </v>
      </c>
      <c r="G70" s="24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5" t="str">
        <f>IF(J70&lt;&gt;1,"",IF(I70="SBJ","CB","?"))</f>
        <v> </v>
      </c>
      <c r="I70" s="26" t="str">
        <f>IF(OR(E70="",E70="!!!",F70="NEW"),"",INDEX(B69:B$2,-1+SUMPRODUCT(MAX(ROW(E69:E$2)*(E70=E69:E$2)))))</f>
        <v> </v>
      </c>
      <c r="J70" s="26" t="str">
        <f>IF(OR(E70="",E70="!!!",F70="NEW"),"",COUNTBLANK(OFFSET(A$1,,,SUMPRODUCT(MAX(ROW(E$2:E70)*(E70=E$2:E70)))))-COUNTBLANK(OFFSET(A$1,,,SUMPRODUCT(MAX(ROW(E$1:E69)*(E2=E$1:E69))))))</f>
        <v> </v>
      </c>
      <c r="K70" s="26" t="str">
        <f>IF(OR(E70="",E70="!!!",F70="NEW"),"",INDEX(J$1:J69,SUMPRODUCT(MAX(ROW(E$1:E69)*(E70=E$1:E69)))))</f>
        <v> </v>
      </c>
      <c r="L70" s="27"/>
    </row>
    <row r="71" spans="1:12">
      <c r="A71" s="20" t="s">
        <v>166</v>
      </c>
      <c r="B71" s="21" t="s">
        <v>124</v>
      </c>
      <c r="C71" s="21" t="s">
        <v>130</v>
      </c>
      <c r="E71" s="22">
        <f>IF(D71="?OLD","!!!","")</f>
        <v/>
      </c>
      <c r="F71" s="23" t="str">
        <f>IF(OR(E71="",E71="!!!"),"",IF(NOT(ISNA(VLOOKUP(E71,E$1:E70,1,FALSE()))),"OLD",IF(AND(E71&lt;&gt;"",E71&lt;&gt;"!!!"),"NEW","")))</f>
        <v> </v>
      </c>
      <c r="G71" s="24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5" t="str">
        <f>IF(J71&lt;&gt;1,"",IF(I71="SBJ","CB","?"))</f>
        <v> </v>
      </c>
      <c r="I71" s="26" t="str">
        <f>IF(OR(E71="",E71="!!!",F71="NEW"),"",INDEX(B70:B$2,-1+SUMPRODUCT(MAX(ROW(E70:E$2)*(E71=E70:E$2)))))</f>
        <v> </v>
      </c>
      <c r="J71" s="26" t="str">
        <f>IF(OR(E71="",E71="!!!",F71="NEW"),"",COUNTBLANK(OFFSET(A$1,,,SUMPRODUCT(MAX(ROW(E$2:E71)*(E71=E$2:E71)))))-COUNTBLANK(OFFSET(A$1,,,SUMPRODUCT(MAX(ROW(E$1:E70)*(E2=E$1:E70))))))</f>
        <v> </v>
      </c>
      <c r="K71" s="26" t="str">
        <f>IF(OR(E71="",E71="!!!",F71="NEW"),"",INDEX(J$1:J70,SUMPRODUCT(MAX(ROW(E$1:E70)*(E71=E$1:E70)))))</f>
        <v> </v>
      </c>
      <c r="L71" s="27"/>
    </row>
    <row r="72" spans="1:12">
      <c r="A72" s="20" t="s">
        <v>167</v>
      </c>
      <c r="E72" s="22">
        <f>IF(D72="?OLD","!!!","")</f>
        <v/>
      </c>
      <c r="F72" s="23" t="str">
        <f>IF(OR(E72="",E72="!!!"),"",IF(NOT(ISNA(VLOOKUP(E72,E$1:E71,1,FALSE()))),"OLD",IF(AND(E72&lt;&gt;"",E72&lt;&gt;"!!!"),"NEW","")))</f>
        <v> </v>
      </c>
      <c r="G72" s="24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5" t="str">
        <f>IF(J72&lt;&gt;1,"",IF(I72="SBJ","CB","?"))</f>
        <v> </v>
      </c>
      <c r="I72" s="26" t="str">
        <f>IF(OR(E72="",E72="!!!",F72="NEW"),"",INDEX(B71:B$2,-1+SUMPRODUCT(MAX(ROW(E71:E$2)*(E72=E71:E$2)))))</f>
        <v> </v>
      </c>
      <c r="J72" s="26" t="str">
        <f>IF(OR(E72="",E72="!!!",F72="NEW"),"",COUNTBLANK(OFFSET(A$1,,,SUMPRODUCT(MAX(ROW(E$2:E72)*(E72=E$2:E72)))))-COUNTBLANK(OFFSET(A$1,,,SUMPRODUCT(MAX(ROW(E$1:E71)*(E2=E$1:E71))))))</f>
        <v> </v>
      </c>
      <c r="K72" s="26" t="str">
        <f>IF(OR(E72="",E72="!!!",F72="NEW"),"",INDEX(J$1:J71,SUMPRODUCT(MAX(ROW(E$1:E71)*(E72=E$1:E71)))))</f>
        <v> </v>
      </c>
      <c r="L72" s="27"/>
    </row>
    <row r="73" spans="1:12">
      <c r="A73" s="20" t="s">
        <v>135</v>
      </c>
      <c r="E73" s="22">
        <f>IF(D73="?OLD","!!!","")</f>
        <v/>
      </c>
      <c r="F73" s="23" t="str">
        <f>IF(OR(E73="",E73="!!!"),"",IF(NOT(ISNA(VLOOKUP(E73,E$1:E72,1,FALSE()))),"OLD",IF(AND(E73&lt;&gt;"",E73&lt;&gt;"!!!"),"NEW","")))</f>
        <v> </v>
      </c>
      <c r="G73" s="24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5" t="str">
        <f>IF(J73&lt;&gt;1,"",IF(I73="SBJ","CB","?"))</f>
        <v> </v>
      </c>
      <c r="I73" s="26" t="str">
        <f>IF(OR(E73="",E73="!!!",F73="NEW"),"",INDEX(B72:B$2,-1+SUMPRODUCT(MAX(ROW(E72:E$2)*(E73=E72:E$2)))))</f>
        <v> </v>
      </c>
      <c r="J73" s="26" t="str">
        <f>IF(OR(E73="",E73="!!!",F73="NEW"),"",COUNTBLANK(OFFSET(A$1,,,SUMPRODUCT(MAX(ROW(E$2:E73)*(E73=E$2:E73)))))-COUNTBLANK(OFFSET(A$1,,,SUMPRODUCT(MAX(ROW(E$1:E72)*(E2=E$1:E72))))))</f>
        <v> </v>
      </c>
      <c r="K73" s="26" t="str">
        <f>IF(OR(E73="",E73="!!!",F73="NEW"),"",INDEX(J$1:J72,SUMPRODUCT(MAX(ROW(E$1:E72)*(E73=E$1:E72)))))</f>
        <v> </v>
      </c>
      <c r="L73" s="27"/>
    </row>
    <row r="74" spans="1:12">
      <c r="A74" s="20"/>
    </row>
    <row r="75" spans="1:12">
      <c r="A75" s="20" t="s">
        <v>168</v>
      </c>
    </row>
    <row r="76" spans="1:12">
      <c r="A76" s="20" t="s">
        <v>169</v>
      </c>
      <c r="B76" s="21" t="s">
        <v>124</v>
      </c>
      <c r="C76" s="21" t="s">
        <v>170</v>
      </c>
      <c r="D76" s="21" t="s">
        <v>106</v>
      </c>
      <c r="E76" s="22">
        <f>IF(D76="?OLD","!!!","")</f>
        <v/>
      </c>
      <c r="F76" s="23" t="str">
        <f>IF(OR(E76="",E76="!!!"),"",IF(NOT(ISNA(VLOOKUP(E76,E$1:E75,1,FALSE()))),"OLD",IF(AND(E76&lt;&gt;"",E76&lt;&gt;"!!!"),"NEW","")))</f>
        <v> </v>
      </c>
      <c r="G76" s="24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5" t="str">
        <f>IF(J76&lt;&gt;1,"",IF(I76="SBJ","CB","?"))</f>
        <v> </v>
      </c>
      <c r="I76" s="26" t="str">
        <f>IF(OR(E76="",E76="!!!",F76="NEW"),"",INDEX(B75:B$2,-1+SUMPRODUCT(MAX(ROW(E75:E$2)*(E76=E75:E$2)))))</f>
        <v> </v>
      </c>
      <c r="J76" s="26" t="str">
        <f>IF(OR(E76="",E76="!!!",F76="NEW"),"",COUNTBLANK(OFFSET(A$1,,,SUMPRODUCT(MAX(ROW(E$2:E76)*(E76=E$2:E76)))))-COUNTBLANK(OFFSET(A$1,,,SUMPRODUCT(MAX(ROW(E$1:E75)*(E2=E$1:E75))))))</f>
        <v> </v>
      </c>
      <c r="K76" s="26" t="str">
        <f>IF(OR(E76="",E76="!!!",F76="NEW"),"",INDEX(J$1:J75,SUMPRODUCT(MAX(ROW(E$1:E75)*(E76=E$1:E75)))))</f>
        <v> </v>
      </c>
      <c r="L76" s="27"/>
    </row>
    <row r="77" spans="1:12">
      <c r="A77" s="20" t="s">
        <v>171</v>
      </c>
      <c r="B77" s="21" t="s">
        <v>139</v>
      </c>
      <c r="C77" s="21" t="s">
        <v>130</v>
      </c>
      <c r="E77" s="22">
        <f>IF(D77="?OLD","!!!","")</f>
        <v/>
      </c>
      <c r="F77" s="23" t="str">
        <f>IF(OR(E77="",E77="!!!"),"",IF(NOT(ISNA(VLOOKUP(E77,E$1:E76,1,FALSE()))),"OLD",IF(AND(E77&lt;&gt;"",E77&lt;&gt;"!!!"),"NEW","")))</f>
        <v> </v>
      </c>
      <c r="G77" s="24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5" t="str">
        <f>IF(J77&lt;&gt;1,"",IF(I77="SBJ","CB","?"))</f>
        <v> </v>
      </c>
      <c r="I77" s="26" t="str">
        <f>IF(OR(E77="",E77="!!!",F77="NEW"),"",INDEX(B76:B$2,-1+SUMPRODUCT(MAX(ROW(E76:E$2)*(E77=E76:E$2)))))</f>
        <v> </v>
      </c>
      <c r="J77" s="26" t="str">
        <f>IF(OR(E77="",E77="!!!",F77="NEW"),"",COUNTBLANK(OFFSET(A$1,,,SUMPRODUCT(MAX(ROW(E$2:E77)*(E77=E$2:E77)))))-COUNTBLANK(OFFSET(A$1,,,SUMPRODUCT(MAX(ROW(E$1:E76)*(E2=E$1:E76))))))</f>
        <v> </v>
      </c>
      <c r="K77" s="26" t="str">
        <f>IF(OR(E77="",E77="!!!",F77="NEW"),"",INDEX(J$1:J76,SUMPRODUCT(MAX(ROW(E$1:E76)*(E77=E$1:E76)))))</f>
        <v> </v>
      </c>
      <c r="L77" s="27"/>
    </row>
    <row r="78" spans="1:12">
      <c r="A78" s="20" t="s">
        <v>114</v>
      </c>
      <c r="E78" s="22">
        <f>IF(D78="?OLD","!!!","")</f>
        <v/>
      </c>
      <c r="F78" s="23" t="str">
        <f>IF(OR(E78="",E78="!!!"),"",IF(NOT(ISNA(VLOOKUP(E78,E$1:E77,1,FALSE()))),"OLD",IF(AND(E78&lt;&gt;"",E78&lt;&gt;"!!!"),"NEW","")))</f>
        <v> </v>
      </c>
      <c r="G78" s="24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5" t="str">
        <f>IF(J78&lt;&gt;1,"",IF(I78="SBJ","CB","?"))</f>
        <v> </v>
      </c>
      <c r="I78" s="26" t="str">
        <f>IF(OR(E78="",E78="!!!",F78="NEW"),"",INDEX(B77:B$2,-1+SUMPRODUCT(MAX(ROW(E77:E$2)*(E78=E77:E$2)))))</f>
        <v> </v>
      </c>
      <c r="J78" s="26" t="str">
        <f>IF(OR(E78="",E78="!!!",F78="NEW"),"",COUNTBLANK(OFFSET(A$1,,,SUMPRODUCT(MAX(ROW(E$2:E78)*(E78=E$2:E78)))))-COUNTBLANK(OFFSET(A$1,,,SUMPRODUCT(MAX(ROW(E$1:E77)*(E2=E$1:E77))))))</f>
        <v> </v>
      </c>
      <c r="K78" s="26" t="str">
        <f>IF(OR(E78="",E78="!!!",F78="NEW"),"",INDEX(J$1:J77,SUMPRODUCT(MAX(ROW(E$1:E77)*(E78=E$1:E77)))))</f>
        <v> </v>
      </c>
      <c r="L78" s="27"/>
    </row>
    <row r="79" spans="1:12">
      <c r="A79" s="20" t="s">
        <v>172</v>
      </c>
      <c r="B79" s="21" t="s">
        <v>124</v>
      </c>
      <c r="C79" s="21" t="s">
        <v>105</v>
      </c>
      <c r="D79" s="21" t="s">
        <v>106</v>
      </c>
      <c r="E79" s="22">
        <f>IF(D79="?OLD","!!!","")</f>
        <v/>
      </c>
      <c r="F79" s="23" t="str">
        <f>IF(OR(E79="",E79="!!!"),"",IF(NOT(ISNA(VLOOKUP(E79,E$1:E78,1,FALSE()))),"OLD",IF(AND(E79&lt;&gt;"",E79&lt;&gt;"!!!"),"NEW","")))</f>
        <v> </v>
      </c>
      <c r="G79" s="24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5" t="str">
        <f>IF(J79&lt;&gt;1,"",IF(I79="SBJ","CB","?"))</f>
        <v> </v>
      </c>
      <c r="I79" s="26" t="str">
        <f>IF(OR(E79="",E79="!!!",F79="NEW"),"",INDEX(B78:B$2,-1+SUMPRODUCT(MAX(ROW(E78:E$2)*(E79=E78:E$2)))))</f>
        <v> </v>
      </c>
      <c r="J79" s="26" t="str">
        <f>IF(OR(E79="",E79="!!!",F79="NEW"),"",COUNTBLANK(OFFSET(A$1,,,SUMPRODUCT(MAX(ROW(E$2:E79)*(E79=E$2:E79)))))-COUNTBLANK(OFFSET(A$1,,,SUMPRODUCT(MAX(ROW(E$1:E78)*(E2=E$1:E78))))))</f>
        <v> </v>
      </c>
      <c r="K79" s="26" t="str">
        <f>IF(OR(E79="",E79="!!!",F79="NEW"),"",INDEX(J$1:J78,SUMPRODUCT(MAX(ROW(E$1:E78)*(E79=E$1:E78)))))</f>
        <v> </v>
      </c>
      <c r="L79" s="27"/>
    </row>
    <row r="80" spans="1:12">
      <c r="A80" s="20" t="s">
        <v>173</v>
      </c>
      <c r="E80" s="22">
        <f>IF(D80="?OLD","!!!","")</f>
        <v/>
      </c>
      <c r="F80" s="23" t="str">
        <f>IF(OR(E80="",E80="!!!"),"",IF(NOT(ISNA(VLOOKUP(E80,E$1:E79,1,FALSE()))),"OLD",IF(AND(E80&lt;&gt;"",E80&lt;&gt;"!!!"),"NEW","")))</f>
        <v> </v>
      </c>
      <c r="G80" s="24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25" t="str">
        <f>IF(J80&lt;&gt;1,"",IF(I80="SBJ","CB","?"))</f>
        <v> </v>
      </c>
      <c r="I80" s="26" t="str">
        <f>IF(OR(E80="",E80="!!!",F80="NEW"),"",INDEX(B79:B$2,-1+SUMPRODUCT(MAX(ROW(E79:E$2)*(E80=E79:E$2)))))</f>
        <v> </v>
      </c>
      <c r="J80" s="26" t="str">
        <f>IF(OR(E80="",E80="!!!",F80="NEW"),"",COUNTBLANK(OFFSET(A$1,,,SUMPRODUCT(MAX(ROW(E$2:E80)*(E80=E$2:E80)))))-COUNTBLANK(OFFSET(A$1,,,SUMPRODUCT(MAX(ROW(E$1:E79)*(E2=E$1:E79))))))</f>
        <v> </v>
      </c>
      <c r="K80" s="26" t="str">
        <f>IF(OR(E80="",E80="!!!",F80="NEW"),"",INDEX(J$1:J79,SUMPRODUCT(MAX(ROW(E$1:E79)*(E80=E$1:E79)))))</f>
        <v> </v>
      </c>
      <c r="L80" s="27"/>
    </row>
    <row r="81" spans="1:12">
      <c r="A81" s="20" t="s">
        <v>174</v>
      </c>
      <c r="B81" s="21" t="s">
        <v>157</v>
      </c>
      <c r="C81" s="21" t="s">
        <v>175</v>
      </c>
      <c r="D81" s="21" t="s">
        <v>106</v>
      </c>
      <c r="E81" s="22">
        <f>IF(D81="?OLD","!!!","")</f>
        <v/>
      </c>
      <c r="F81" s="23" t="str">
        <f>IF(OR(E81="",E81="!!!"),"",IF(NOT(ISNA(VLOOKUP(E81,E$1:E80,1,FALSE()))),"OLD",IF(AND(E81&lt;&gt;"",E81&lt;&gt;"!!!"),"NEW","")))</f>
        <v> </v>
      </c>
      <c r="G81" s="24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25" t="str">
        <f>IF(J81&lt;&gt;1,"",IF(I81="SBJ","CB","?"))</f>
        <v> </v>
      </c>
      <c r="I81" s="26" t="str">
        <f>IF(OR(E81="",E81="!!!",F81="NEW"),"",INDEX(B80:B$2,-1+SUMPRODUCT(MAX(ROW(E80:E$2)*(E81=E80:E$2)))))</f>
        <v> </v>
      </c>
      <c r="J81" s="26" t="str">
        <f>IF(OR(E81="",E81="!!!",F81="NEW"),"",COUNTBLANK(OFFSET(A$1,,,SUMPRODUCT(MAX(ROW(E$2:E81)*(E81=E$2:E81)))))-COUNTBLANK(OFFSET(A$1,,,SUMPRODUCT(MAX(ROW(E$1:E80)*(E2=E$1:E80))))))</f>
        <v> </v>
      </c>
      <c r="K81" s="26" t="str">
        <f>IF(OR(E81="",E81="!!!",F81="NEW"),"",INDEX(J$1:J80,SUMPRODUCT(MAX(ROW(E$1:E80)*(E81=E$1:E80)))))</f>
        <v> </v>
      </c>
      <c r="L81" s="27"/>
    </row>
    <row r="82" spans="1:12">
      <c r="A82" s="20" t="s">
        <v>176</v>
      </c>
      <c r="E82" s="22">
        <f>IF(D82="?OLD","!!!","")</f>
        <v/>
      </c>
      <c r="F82" s="23" t="str">
        <f>IF(OR(E82="",E82="!!!"),"",IF(NOT(ISNA(VLOOKUP(E82,E$1:E81,1,FALSE()))),"OLD",IF(AND(E82&lt;&gt;"",E82&lt;&gt;"!!!"),"NEW","")))</f>
        <v> </v>
      </c>
      <c r="G82" s="24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5" t="str">
        <f>IF(J82&lt;&gt;1,"",IF(I82="SBJ","CB","?"))</f>
        <v> </v>
      </c>
      <c r="I82" s="26" t="str">
        <f>IF(OR(E82="",E82="!!!",F82="NEW"),"",INDEX(B81:B$2,-1+SUMPRODUCT(MAX(ROW(E81:E$2)*(E82=E81:E$2)))))</f>
        <v> </v>
      </c>
      <c r="J82" s="26" t="str">
        <f>IF(OR(E82="",E82="!!!",F82="NEW"),"",COUNTBLANK(OFFSET(A$1,,,SUMPRODUCT(MAX(ROW(E$2:E82)*(E82=E$2:E82)))))-COUNTBLANK(OFFSET(A$1,,,SUMPRODUCT(MAX(ROW(E$1:E81)*(E2=E$1:E81))))))</f>
        <v> </v>
      </c>
      <c r="K82" s="26" t="str">
        <f>IF(OR(E82="",E82="!!!",F82="NEW"),"",INDEX(J$1:J81,SUMPRODUCT(MAX(ROW(E$1:E81)*(E82=E$1:E81)))))</f>
        <v> </v>
      </c>
      <c r="L82" s="27"/>
    </row>
    <row r="83" spans="1:12">
      <c r="A83" s="20" t="s">
        <v>117</v>
      </c>
      <c r="E83" s="22">
        <f>IF(D83="?OLD","!!!","")</f>
        <v/>
      </c>
      <c r="F83" s="23" t="str">
        <f>IF(OR(E83="",E83="!!!"),"",IF(NOT(ISNA(VLOOKUP(E83,E$1:E82,1,FALSE()))),"OLD",IF(AND(E83&lt;&gt;"",E83&lt;&gt;"!!!"),"NEW","")))</f>
        <v> </v>
      </c>
      <c r="G83" s="24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> </v>
      </c>
      <c r="H83" s="25" t="str">
        <f>IF(J83&lt;&gt;1,"",IF(I83="SBJ","CB","?"))</f>
        <v> </v>
      </c>
      <c r="I83" s="26" t="str">
        <f>IF(OR(E83="",E83="!!!",F83="NEW"),"",INDEX(B82:B$2,-1+SUMPRODUCT(MAX(ROW(E82:E$2)*(E83=E82:E$2)))))</f>
        <v> </v>
      </c>
      <c r="J83" s="26" t="str">
        <f>IF(OR(E83="",E83="!!!",F83="NEW"),"",COUNTBLANK(OFFSET(A$1,,,SUMPRODUCT(MAX(ROW(E$2:E83)*(E83=E$2:E83)))))-COUNTBLANK(OFFSET(A$1,,,SUMPRODUCT(MAX(ROW(E$1:E82)*(E2=E$1:E82))))))</f>
        <v> </v>
      </c>
      <c r="K83" s="26" t="str">
        <f>IF(OR(E83="",E83="!!!",F83="NEW"),"",INDEX(J$1:J82,SUMPRODUCT(MAX(ROW(E$1:E82)*(E83=E$1:E82)))))</f>
        <v> </v>
      </c>
      <c r="L83" s="27"/>
    </row>
    <row r="84" spans="1:12">
      <c r="A84" s="20" t="s">
        <v>161</v>
      </c>
      <c r="B84" s="21" t="s">
        <v>124</v>
      </c>
      <c r="C84" s="21" t="s">
        <v>162</v>
      </c>
      <c r="D84" s="21" t="s">
        <v>106</v>
      </c>
      <c r="E84" s="22">
        <f>IF(D84="?OLD","!!!","")</f>
        <v/>
      </c>
      <c r="F84" s="23" t="str">
        <f>IF(OR(E84="",E84="!!!"),"",IF(NOT(ISNA(VLOOKUP(E84,E$1:E83,1,FALSE()))),"OLD",IF(AND(E84&lt;&gt;"",E84&lt;&gt;"!!!"),"NEW","")))</f>
        <v> </v>
      </c>
      <c r="G84" s="24" t="str">
        <f>IF(OR(E84="",E84="!!!"),"",IF(OR(J84=0,AND(J84=1,K84=1),AND(J84=1,I84="SBJ"),AND(J84=1,I84=0)),"?IN_FOCUS",IF(J84&lt;=2,"?ACTIVATED",IF(J84&lt;&gt;"","?FAMILIAR",IF(F84="NEW",IF(ISNA(VLOOKUP(E84,#REF!,1,FALSE())),"?TYPE_IDENTIFIABLE","?REFERENTIAL"),"_")))))</f>
        <v> </v>
      </c>
      <c r="H84" s="25" t="str">
        <f>IF(J84&lt;&gt;1,"",IF(I84="SBJ","CB","?"))</f>
        <v> </v>
      </c>
      <c r="I84" s="26" t="str">
        <f>IF(OR(E84="",E84="!!!",F84="NEW"),"",INDEX(B83:B$2,-1+SUMPRODUCT(MAX(ROW(E83:E$2)*(E84=E83:E$2)))))</f>
        <v> </v>
      </c>
      <c r="J84" s="26" t="str">
        <f>IF(OR(E84="",E84="!!!",F84="NEW"),"",COUNTBLANK(OFFSET(A$1,,,SUMPRODUCT(MAX(ROW(E$2:E84)*(E84=E$2:E84)))))-COUNTBLANK(OFFSET(A$1,,,SUMPRODUCT(MAX(ROW(E$1:E83)*(E2=E$1:E83))))))</f>
        <v> </v>
      </c>
      <c r="K84" s="26" t="str">
        <f>IF(OR(E84="",E84="!!!",F84="NEW"),"",INDEX(J$1:J83,SUMPRODUCT(MAX(ROW(E$1:E83)*(E84=E$1:E83)))))</f>
        <v> </v>
      </c>
      <c r="L84" s="27"/>
    </row>
    <row r="85" spans="1:12">
      <c r="A85" s="20" t="s">
        <v>177</v>
      </c>
      <c r="B85" s="21" t="s">
        <v>110</v>
      </c>
      <c r="C85" s="21" t="s">
        <v>164</v>
      </c>
      <c r="D85" s="21" t="s">
        <v>106</v>
      </c>
      <c r="E85" s="22">
        <f>IF(D85="?OLD","!!!","")</f>
        <v/>
      </c>
      <c r="F85" s="23" t="str">
        <f>IF(OR(E85="",E85="!!!"),"",IF(NOT(ISNA(VLOOKUP(E85,E$1:E84,1,FALSE()))),"OLD",IF(AND(E85&lt;&gt;"",E85&lt;&gt;"!!!"),"NEW","")))</f>
        <v> </v>
      </c>
      <c r="G85" s="24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> </v>
      </c>
      <c r="H85" s="25" t="str">
        <f>IF(J85&lt;&gt;1,"",IF(I85="SBJ","CB","?"))</f>
        <v> </v>
      </c>
      <c r="I85" s="26" t="str">
        <f>IF(OR(E85="",E85="!!!",F85="NEW"),"",INDEX(B84:B$2,-1+SUMPRODUCT(MAX(ROW(E84:E$2)*(E85=E84:E$2)))))</f>
        <v> </v>
      </c>
      <c r="J85" s="26" t="str">
        <f>IF(OR(E85="",E85="!!!",F85="NEW"),"",COUNTBLANK(OFFSET(A$1,,,SUMPRODUCT(MAX(ROW(E$2:E85)*(E85=E$2:E85)))))-COUNTBLANK(OFFSET(A$1,,,SUMPRODUCT(MAX(ROW(E$1:E84)*(E2=E$1:E84))))))</f>
        <v> </v>
      </c>
      <c r="K85" s="26" t="str">
        <f>IF(OR(E85="",E85="!!!",F85="NEW"),"",INDEX(J$1:J84,SUMPRODUCT(MAX(ROW(E$1:E84)*(E85=E$1:E84)))))</f>
        <v> </v>
      </c>
      <c r="L85" s="27"/>
    </row>
    <row r="86" spans="1:12">
      <c r="A86" s="20" t="s">
        <v>108</v>
      </c>
      <c r="E86" s="22">
        <f>IF(D86="?OLD","!!!","")</f>
        <v/>
      </c>
      <c r="F86" s="23" t="str">
        <f>IF(OR(E86="",E86="!!!"),"",IF(NOT(ISNA(VLOOKUP(E86,E$1:E85,1,FALSE()))),"OLD",IF(AND(E86&lt;&gt;"",E86&lt;&gt;"!!!"),"NEW","")))</f>
        <v> </v>
      </c>
      <c r="G86" s="24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> </v>
      </c>
      <c r="H86" s="25" t="str">
        <f>IF(J86&lt;&gt;1,"",IF(I86="SBJ","CB","?"))</f>
        <v> </v>
      </c>
      <c r="I86" s="26" t="str">
        <f>IF(OR(E86="",E86="!!!",F86="NEW"),"",INDEX(B85:B$2,-1+SUMPRODUCT(MAX(ROW(E85:E$2)*(E86=E85:E$2)))))</f>
        <v> </v>
      </c>
      <c r="J86" s="26" t="str">
        <f>IF(OR(E86="",E86="!!!",F86="NEW"),"",COUNTBLANK(OFFSET(A$1,,,SUMPRODUCT(MAX(ROW(E$2:E86)*(E86=E$2:E86)))))-COUNTBLANK(OFFSET(A$1,,,SUMPRODUCT(MAX(ROW(E$1:E85)*(E2=E$1:E85))))))</f>
        <v> </v>
      </c>
      <c r="K86" s="26" t="str">
        <f>IF(OR(E86="",E86="!!!",F86="NEW"),"",INDEX(J$1:J85,SUMPRODUCT(MAX(ROW(E$1:E85)*(E86=E$1:E85)))))</f>
        <v> </v>
      </c>
      <c r="L86" s="27"/>
    </row>
    <row r="87" spans="1:12">
      <c r="A87" s="20" t="s">
        <v>178</v>
      </c>
      <c r="B87" s="21" t="s">
        <v>110</v>
      </c>
      <c r="C87" s="21" t="s">
        <v>130</v>
      </c>
      <c r="E87" s="22">
        <f>IF(D87="?OLD","!!!","")</f>
        <v/>
      </c>
      <c r="F87" s="23" t="str">
        <f>IF(OR(E87="",E87="!!!"),"",IF(NOT(ISNA(VLOOKUP(E87,E$1:E86,1,FALSE()))),"OLD",IF(AND(E87&lt;&gt;"",E87&lt;&gt;"!!!"),"NEW","")))</f>
        <v> </v>
      </c>
      <c r="G87" s="24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25" t="str">
        <f>IF(J87&lt;&gt;1,"",IF(I87="SBJ","CB","?"))</f>
        <v> </v>
      </c>
      <c r="I87" s="26" t="str">
        <f>IF(OR(E87="",E87="!!!",F87="NEW"),"",INDEX(B86:B$2,-1+SUMPRODUCT(MAX(ROW(E86:E$2)*(E87=E86:E$2)))))</f>
        <v> </v>
      </c>
      <c r="J87" s="26" t="str">
        <f>IF(OR(E87="",E87="!!!",F87="NEW"),"",COUNTBLANK(OFFSET(A$1,,,SUMPRODUCT(MAX(ROW(E$2:E87)*(E87=E$2:E87)))))-COUNTBLANK(OFFSET(A$1,,,SUMPRODUCT(MAX(ROW(E$1:E86)*(E2=E$1:E86))))))</f>
        <v> </v>
      </c>
      <c r="K87" s="26" t="str">
        <f>IF(OR(E87="",E87="!!!",F87="NEW"),"",INDEX(J$1:J86,SUMPRODUCT(MAX(ROW(E$1:E86)*(E87=E$1:E86)))))</f>
        <v> </v>
      </c>
      <c r="L87" s="27"/>
    </row>
    <row r="88" spans="1:12">
      <c r="A88" s="20" t="s">
        <v>116</v>
      </c>
      <c r="E88" s="22">
        <f>IF(D88="?OLD","!!!","")</f>
        <v/>
      </c>
      <c r="F88" s="23" t="str">
        <f>IF(OR(E88="",E88="!!!"),"",IF(NOT(ISNA(VLOOKUP(E88,E$1:E87,1,FALSE()))),"OLD",IF(AND(E88&lt;&gt;"",E88&lt;&gt;"!!!"),"NEW","")))</f>
        <v> </v>
      </c>
      <c r="G88" s="24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5" t="str">
        <f>IF(J88&lt;&gt;1,"",IF(I88="SBJ","CB","?"))</f>
        <v> </v>
      </c>
      <c r="I88" s="26" t="str">
        <f>IF(OR(E88="",E88="!!!",F88="NEW"),"",INDEX(B87:B$2,-1+SUMPRODUCT(MAX(ROW(E87:E$2)*(E88=E87:E$2)))))</f>
        <v> </v>
      </c>
      <c r="J88" s="26" t="str">
        <f>IF(OR(E88="",E88="!!!",F88="NEW"),"",COUNTBLANK(OFFSET(A$1,,,SUMPRODUCT(MAX(ROW(E$2:E88)*(E88=E$2:E88)))))-COUNTBLANK(OFFSET(A$1,,,SUMPRODUCT(MAX(ROW(E$1:E87)*(E2=E$1:E87))))))</f>
        <v> </v>
      </c>
      <c r="K88" s="26" t="str">
        <f>IF(OR(E88="",E88="!!!",F88="NEW"),"",INDEX(J$1:J87,SUMPRODUCT(MAX(ROW(E$1:E87)*(E88=E$1:E87)))))</f>
        <v> </v>
      </c>
      <c r="L88" s="27"/>
    </row>
    <row r="89" spans="1:12">
      <c r="A89" s="20" t="s">
        <v>131</v>
      </c>
      <c r="E89" s="22">
        <f>IF(D89="?OLD","!!!","")</f>
        <v/>
      </c>
      <c r="F89" s="23" t="str">
        <f>IF(OR(E89="",E89="!!!"),"",IF(NOT(ISNA(VLOOKUP(E89,E$1:E88,1,FALSE()))),"OLD",IF(AND(E89&lt;&gt;"",E89&lt;&gt;"!!!"),"NEW","")))</f>
        <v> </v>
      </c>
      <c r="G89" s="24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5" t="str">
        <f>IF(J89&lt;&gt;1,"",IF(I89="SBJ","CB","?"))</f>
        <v> </v>
      </c>
      <c r="I89" s="26" t="str">
        <f>IF(OR(E89="",E89="!!!",F89="NEW"),"",INDEX(B88:B$2,-1+SUMPRODUCT(MAX(ROW(E88:E$2)*(E89=E88:E$2)))))</f>
        <v> </v>
      </c>
      <c r="J89" s="26" t="str">
        <f>IF(OR(E89="",E89="!!!",F89="NEW"),"",COUNTBLANK(OFFSET(A$1,,,SUMPRODUCT(MAX(ROW(E$2:E89)*(E89=E$2:E89)))))-COUNTBLANK(OFFSET(A$1,,,SUMPRODUCT(MAX(ROW(E$1:E88)*(E2=E$1:E88))))))</f>
        <v> </v>
      </c>
      <c r="K89" s="26" t="str">
        <f>IF(OR(E89="",E89="!!!",F89="NEW"),"",INDEX(J$1:J88,SUMPRODUCT(MAX(ROW(E$1:E88)*(E89=E$1:E88)))))</f>
        <v> </v>
      </c>
      <c r="L89" s="27"/>
    </row>
    <row r="90" spans="1:12">
      <c r="A90" s="20" t="s">
        <v>172</v>
      </c>
      <c r="B90" s="21" t="s">
        <v>104</v>
      </c>
      <c r="C90" s="21" t="s">
        <v>105</v>
      </c>
      <c r="D90" s="21" t="s">
        <v>106</v>
      </c>
      <c r="E90" s="22">
        <f>IF(D90="?OLD","!!!","")</f>
        <v/>
      </c>
      <c r="F90" s="23" t="str">
        <f>IF(OR(E90="",E90="!!!"),"",IF(NOT(ISNA(VLOOKUP(E90,E$1:E89,1,FALSE()))),"OLD",IF(AND(E90&lt;&gt;"",E90&lt;&gt;"!!!"),"NEW","")))</f>
        <v> </v>
      </c>
      <c r="G90" s="24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5" t="str">
        <f>IF(J90&lt;&gt;1,"",IF(I90="SBJ","CB","?"))</f>
        <v> </v>
      </c>
      <c r="I90" s="26" t="str">
        <f>IF(OR(E90="",E90="!!!",F90="NEW"),"",INDEX(B89:B$2,-1+SUMPRODUCT(MAX(ROW(E89:E$2)*(E90=E89:E$2)))))</f>
        <v> </v>
      </c>
      <c r="J90" s="26" t="str">
        <f>IF(OR(E90="",E90="!!!",F90="NEW"),"",COUNTBLANK(OFFSET(A$1,,,SUMPRODUCT(MAX(ROW(E$2:E90)*(E90=E$2:E90)))))-COUNTBLANK(OFFSET(A$1,,,SUMPRODUCT(MAX(ROW(E$1:E89)*(E2=E$1:E89))))))</f>
        <v> </v>
      </c>
      <c r="K90" s="26" t="str">
        <f>IF(OR(E90="",E90="!!!",F90="NEW"),"",INDEX(J$1:J89,SUMPRODUCT(MAX(ROW(E$1:E89)*(E90=E$1:E89)))))</f>
        <v> </v>
      </c>
      <c r="L90" s="27"/>
    </row>
    <row r="91" spans="1:12">
      <c r="A91" s="20" t="s">
        <v>50</v>
      </c>
      <c r="E91" s="22">
        <f>IF(D91="?OLD","!!!","")</f>
        <v/>
      </c>
      <c r="F91" s="23" t="str">
        <f>IF(OR(E91="",E91="!!!"),"",IF(NOT(ISNA(VLOOKUP(E91,E$1:E90,1,FALSE()))),"OLD",IF(AND(E91&lt;&gt;"",E91&lt;&gt;"!!!"),"NEW","")))</f>
        <v> </v>
      </c>
      <c r="G91" s="24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5" t="str">
        <f>IF(J91&lt;&gt;1,"",IF(I91="SBJ","CB","?"))</f>
        <v> </v>
      </c>
      <c r="I91" s="26" t="str">
        <f>IF(OR(E91="",E91="!!!",F91="NEW"),"",INDEX(B90:B$2,-1+SUMPRODUCT(MAX(ROW(E90:E$2)*(E91=E90:E$2)))))</f>
        <v> </v>
      </c>
      <c r="J91" s="26" t="str">
        <f>IF(OR(E91="",E91="!!!",F91="NEW"),"",COUNTBLANK(OFFSET(A$1,,,SUMPRODUCT(MAX(ROW(E$2:E91)*(E91=E$2:E91)))))-COUNTBLANK(OFFSET(A$1,,,SUMPRODUCT(MAX(ROW(E$1:E90)*(E2=E$1:E90))))))</f>
        <v> </v>
      </c>
      <c r="K91" s="26" t="str">
        <f>IF(OR(E91="",E91="!!!",F91="NEW"),"",INDEX(J$1:J90,SUMPRODUCT(MAX(ROW(E$1:E90)*(E91=E$1:E90)))))</f>
        <v> </v>
      </c>
      <c r="L91" s="27"/>
    </row>
    <row r="92" spans="1:12">
      <c r="A92" s="20" t="s">
        <v>179</v>
      </c>
      <c r="E92" s="22">
        <f>IF(D92="?OLD","!!!","")</f>
        <v/>
      </c>
      <c r="F92" s="23" t="str">
        <f>IF(OR(E92="",E92="!!!"),"",IF(NOT(ISNA(VLOOKUP(E92,E$1:E91,1,FALSE()))),"OLD",IF(AND(E92&lt;&gt;"",E92&lt;&gt;"!!!"),"NEW","")))</f>
        <v> </v>
      </c>
      <c r="G92" s="24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5" t="str">
        <f>IF(J92&lt;&gt;1,"",IF(I92="SBJ","CB","?"))</f>
        <v> </v>
      </c>
      <c r="I92" s="26" t="str">
        <f>IF(OR(E92="",E92="!!!",F92="NEW"),"",INDEX(B91:B$2,-1+SUMPRODUCT(MAX(ROW(E91:E$2)*(E92=E91:E$2)))))</f>
        <v> </v>
      </c>
      <c r="J92" s="26" t="str">
        <f>IF(OR(E92="",E92="!!!",F92="NEW"),"",COUNTBLANK(OFFSET(A$1,,,SUMPRODUCT(MAX(ROW(E$2:E92)*(E92=E$2:E92)))))-COUNTBLANK(OFFSET(A$1,,,SUMPRODUCT(MAX(ROW(E$1:E91)*(E2=E$1:E91))))))</f>
        <v> </v>
      </c>
      <c r="K92" s="26" t="str">
        <f>IF(OR(E92="",E92="!!!",F92="NEW"),"",INDEX(J$1:J91,SUMPRODUCT(MAX(ROW(E$1:E91)*(E92=E$1:E91)))))</f>
        <v> </v>
      </c>
      <c r="L92" s="27"/>
    </row>
    <row r="93" spans="1:12">
      <c r="A93" s="20" t="s">
        <v>135</v>
      </c>
      <c r="E93" s="22">
        <f>IF(D93="?OLD","!!!","")</f>
        <v/>
      </c>
      <c r="F93" s="23" t="str">
        <f>IF(OR(E93="",E93="!!!"),"",IF(NOT(ISNA(VLOOKUP(E93,E$1:E92,1,FALSE()))),"OLD",IF(AND(E93&lt;&gt;"",E93&lt;&gt;"!!!"),"NEW","")))</f>
        <v> </v>
      </c>
      <c r="G93" s="24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25" t="str">
        <f>IF(J93&lt;&gt;1,"",IF(I93="SBJ","CB","?"))</f>
        <v> </v>
      </c>
      <c r="I93" s="26" t="str">
        <f>IF(OR(E93="",E93="!!!",F93="NEW"),"",INDEX(B92:B$2,-1+SUMPRODUCT(MAX(ROW(E92:E$2)*(E93=E92:E$2)))))</f>
        <v> </v>
      </c>
      <c r="J93" s="26" t="str">
        <f>IF(OR(E93="",E93="!!!",F93="NEW"),"",COUNTBLANK(OFFSET(A$1,,,SUMPRODUCT(MAX(ROW(E$2:E93)*(E93=E$2:E93)))))-COUNTBLANK(OFFSET(A$1,,,SUMPRODUCT(MAX(ROW(E$1:E92)*(E2=E$1:E92))))))</f>
        <v> </v>
      </c>
      <c r="K93" s="26" t="str">
        <f>IF(OR(E93="",E93="!!!",F93="NEW"),"",INDEX(J$1:J92,SUMPRODUCT(MAX(ROW(E$1:E92)*(E93=E$1:E92)))))</f>
        <v> </v>
      </c>
      <c r="L93" s="27"/>
    </row>
    <row r="94" spans="1:12">
      <c r="A94" s="20"/>
    </row>
    <row r="95" spans="1:12">
      <c r="A95" s="20" t="s">
        <v>180</v>
      </c>
    </row>
    <row r="96" spans="1:12">
      <c r="A96" s="20" t="s">
        <v>181</v>
      </c>
      <c r="E96" s="22">
        <f>IF(D96="?OLD","!!!","")</f>
        <v/>
      </c>
      <c r="F96" s="23" t="str">
        <f>IF(OR(E96="",E96="!!!"),"",IF(NOT(ISNA(VLOOKUP(E96,E$1:E95,1,FALSE()))),"OLD",IF(AND(E96&lt;&gt;"",E96&lt;&gt;"!!!"),"NEW","")))</f>
        <v> </v>
      </c>
      <c r="G96" s="24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> </v>
      </c>
      <c r="H96" s="25" t="str">
        <f>IF(J96&lt;&gt;1,"",IF(I96="SBJ","CB","?"))</f>
        <v> </v>
      </c>
      <c r="I96" s="26" t="str">
        <f>IF(OR(E96="",E96="!!!",F96="NEW"),"",INDEX(B95:B$2,-1+SUMPRODUCT(MAX(ROW(E95:E$2)*(E96=E95:E$2)))))</f>
        <v> </v>
      </c>
      <c r="J96" s="26" t="str">
        <f>IF(OR(E96="",E96="!!!",F96="NEW"),"",COUNTBLANK(OFFSET(A$1,,,SUMPRODUCT(MAX(ROW(E$2:E96)*(E96=E$2:E96)))))-COUNTBLANK(OFFSET(A$1,,,SUMPRODUCT(MAX(ROW(E$1:E95)*(E2=E$1:E95))))))</f>
        <v> </v>
      </c>
      <c r="K96" s="26" t="str">
        <f>IF(OR(E96="",E96="!!!",F96="NEW"),"",INDEX(J$1:J95,SUMPRODUCT(MAX(ROW(E$1:E95)*(E96=E$1:E95)))))</f>
        <v> </v>
      </c>
      <c r="L96" s="27"/>
    </row>
    <row r="97" spans="1:12">
      <c r="A97" s="20" t="s">
        <v>182</v>
      </c>
      <c r="B97" s="21" t="s">
        <v>124</v>
      </c>
      <c r="C97" s="21" t="s">
        <v>162</v>
      </c>
      <c r="D97" s="21" t="s">
        <v>106</v>
      </c>
      <c r="E97" s="22">
        <f>IF(D97="?OLD","!!!","")</f>
        <v/>
      </c>
      <c r="F97" s="23" t="str">
        <f>IF(OR(E97="",E97="!!!"),"",IF(NOT(ISNA(VLOOKUP(E97,E$1:E96,1,FALSE()))),"OLD",IF(AND(E97&lt;&gt;"",E97&lt;&gt;"!!!"),"NEW","")))</f>
        <v> </v>
      </c>
      <c r="G97" s="24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5" t="str">
        <f>IF(J97&lt;&gt;1,"",IF(I97="SBJ","CB","?"))</f>
        <v> </v>
      </c>
      <c r="I97" s="26" t="str">
        <f>IF(OR(E97="",E97="!!!",F97="NEW"),"",INDEX(B96:B$2,-1+SUMPRODUCT(MAX(ROW(E96:E$2)*(E97=E96:E$2)))))</f>
        <v> </v>
      </c>
      <c r="J97" s="26" t="str">
        <f>IF(OR(E97="",E97="!!!",F97="NEW"),"",COUNTBLANK(OFFSET(A$1,,,SUMPRODUCT(MAX(ROW(E$2:E97)*(E97=E$2:E97)))))-COUNTBLANK(OFFSET(A$1,,,SUMPRODUCT(MAX(ROW(E$1:E96)*(E2=E$1:E96))))))</f>
        <v> </v>
      </c>
      <c r="K97" s="26" t="str">
        <f>IF(OR(E97="",E97="!!!",F97="NEW"),"",INDEX(J$1:J96,SUMPRODUCT(MAX(ROW(E$1:E96)*(E97=E$1:E96)))))</f>
        <v> </v>
      </c>
      <c r="L97" s="27"/>
    </row>
    <row r="98" spans="1:12">
      <c r="A98" s="20" t="s">
        <v>183</v>
      </c>
      <c r="B98" s="21" t="s">
        <v>110</v>
      </c>
      <c r="C98" s="21" t="s">
        <v>164</v>
      </c>
      <c r="D98" s="21" t="s">
        <v>106</v>
      </c>
      <c r="E98" s="22">
        <f>IF(D98="?OLD","!!!","")</f>
        <v/>
      </c>
      <c r="F98" s="23" t="str">
        <f>IF(OR(E98="",E98="!!!"),"",IF(NOT(ISNA(VLOOKUP(E98,E$1:E97,1,FALSE()))),"OLD",IF(AND(E98&lt;&gt;"",E98&lt;&gt;"!!!"),"NEW","")))</f>
        <v> </v>
      </c>
      <c r="G98" s="24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> </v>
      </c>
      <c r="H98" s="25" t="str">
        <f>IF(J98&lt;&gt;1,"",IF(I98="SBJ","CB","?"))</f>
        <v> </v>
      </c>
      <c r="I98" s="26" t="str">
        <f>IF(OR(E98="",E98="!!!",F98="NEW"),"",INDEX(B97:B$2,-1+SUMPRODUCT(MAX(ROW(E97:E$2)*(E98=E97:E$2)))))</f>
        <v> </v>
      </c>
      <c r="J98" s="26" t="str">
        <f>IF(OR(E98="",E98="!!!",F98="NEW"),"",COUNTBLANK(OFFSET(A$1,,,SUMPRODUCT(MAX(ROW(E$2:E98)*(E98=E$2:E98)))))-COUNTBLANK(OFFSET(A$1,,,SUMPRODUCT(MAX(ROW(E$1:E97)*(E2=E$1:E97))))))</f>
        <v> </v>
      </c>
      <c r="K98" s="26" t="str">
        <f>IF(OR(E98="",E98="!!!",F98="NEW"),"",INDEX(J$1:J97,SUMPRODUCT(MAX(ROW(E$1:E97)*(E98=E$1:E97)))))</f>
        <v> </v>
      </c>
      <c r="L98" s="27"/>
    </row>
    <row r="99" spans="1:12">
      <c r="A99" s="20" t="s">
        <v>184</v>
      </c>
      <c r="E99" s="22">
        <f>IF(D99="?OLD","!!!","")</f>
        <v/>
      </c>
      <c r="F99" s="23" t="str">
        <f>IF(OR(E99="",E99="!!!"),"",IF(NOT(ISNA(VLOOKUP(E99,E$1:E98,1,FALSE()))),"OLD",IF(AND(E99&lt;&gt;"",E99&lt;&gt;"!!!"),"NEW","")))</f>
        <v> </v>
      </c>
      <c r="G99" s="24" t="str">
        <f>IF(OR(E99="",E99="!!!"),"",IF(OR(J99=0,AND(J99=1,K99=1),AND(J99=1,I99="SBJ"),AND(J99=1,I99=0)),"?IN_FOCUS",IF(J99&lt;=2,"?ACTIVATED",IF(J99&lt;&gt;"","?FAMILIAR",IF(F99="NEW",IF(ISNA(VLOOKUP(E99,#REF!,1,FALSE())),"?TYPE_IDENTIFIABLE","?REFERENTIAL"),"_")))))</f>
        <v> </v>
      </c>
      <c r="H99" s="25" t="str">
        <f>IF(J99&lt;&gt;1,"",IF(I99="SBJ","CB","?"))</f>
        <v> </v>
      </c>
      <c r="I99" s="26" t="str">
        <f>IF(OR(E99="",E99="!!!",F99="NEW"),"",INDEX(B98:B$2,-1+SUMPRODUCT(MAX(ROW(E98:E$2)*(E99=E98:E$2)))))</f>
        <v> </v>
      </c>
      <c r="J99" s="26" t="str">
        <f>IF(OR(E99="",E99="!!!",F99="NEW"),"",COUNTBLANK(OFFSET(A$1,,,SUMPRODUCT(MAX(ROW(E$2:E99)*(E99=E$2:E99)))))-COUNTBLANK(OFFSET(A$1,,,SUMPRODUCT(MAX(ROW(E$1:E98)*(E2=E$1:E98))))))</f>
        <v> </v>
      </c>
      <c r="K99" s="26" t="str">
        <f>IF(OR(E99="",E99="!!!",F99="NEW"),"",INDEX(J$1:J98,SUMPRODUCT(MAX(ROW(E$1:E98)*(E99=E$1:E98)))))</f>
        <v> </v>
      </c>
      <c r="L99" s="27"/>
    </row>
    <row r="100" spans="1:12">
      <c r="A100" s="20" t="s">
        <v>172</v>
      </c>
      <c r="B100" s="21" t="s">
        <v>139</v>
      </c>
      <c r="C100" s="21" t="s">
        <v>105</v>
      </c>
      <c r="D100" s="21" t="s">
        <v>106</v>
      </c>
      <c r="E100" s="22">
        <f>IF(D100="?OLD","!!!","")</f>
        <v/>
      </c>
      <c r="F100" s="23" t="str">
        <f>IF(OR(E100="",E100="!!!"),"",IF(NOT(ISNA(VLOOKUP(E100,E$1:E99,1,FALSE()))),"OLD",IF(AND(E100&lt;&gt;"",E100&lt;&gt;"!!!"),"NEW","")))</f>
        <v> </v>
      </c>
      <c r="G100" s="24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> </v>
      </c>
      <c r="H100" s="25" t="str">
        <f>IF(J100&lt;&gt;1,"",IF(I100="SBJ","CB","?"))</f>
        <v> </v>
      </c>
      <c r="I100" s="26" t="str">
        <f>IF(OR(E100="",E100="!!!",F100="NEW"),"",INDEX(B99:B$2,-1+SUMPRODUCT(MAX(ROW(E99:E$2)*(E100=E99:E$2)))))</f>
        <v> </v>
      </c>
      <c r="J100" s="26" t="str">
        <f>IF(OR(E100="",E100="!!!",F100="NEW"),"",COUNTBLANK(OFFSET(A$1,,,SUMPRODUCT(MAX(ROW(E$2:E100)*(E100=E$2:E100)))))-COUNTBLANK(OFFSET(A$1,,,SUMPRODUCT(MAX(ROW(E$1:E99)*(E2=E$1:E99))))))</f>
        <v> </v>
      </c>
      <c r="K100" s="26" t="str">
        <f>IF(OR(E100="",E100="!!!",F100="NEW"),"",INDEX(J$1:J99,SUMPRODUCT(MAX(ROW(E$1:E99)*(E100=E$1:E99)))))</f>
        <v> </v>
      </c>
      <c r="L100" s="27"/>
    </row>
    <row r="101" spans="1:12">
      <c r="A101" s="20" t="s">
        <v>185</v>
      </c>
      <c r="B101" s="21" t="s">
        <v>157</v>
      </c>
      <c r="E101" s="22">
        <f>IF(D101="?OLD","!!!","")</f>
        <v/>
      </c>
      <c r="F101" s="23" t="str">
        <f>IF(OR(E101="",E101="!!!"),"",IF(NOT(ISNA(VLOOKUP(E101,E$1:E100,1,FALSE()))),"OLD",IF(AND(E101&lt;&gt;"",E101&lt;&gt;"!!!"),"NEW","")))</f>
        <v> </v>
      </c>
      <c r="G101" s="24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5" t="str">
        <f>IF(J101&lt;&gt;1,"",IF(I101="SBJ","CB","?"))</f>
        <v> </v>
      </c>
      <c r="I101" s="26" t="str">
        <f>IF(OR(E101="",E101="!!!",F101="NEW"),"",INDEX(B100:B$2,-1+SUMPRODUCT(MAX(ROW(E100:E$2)*(E101=E100:E$2)))))</f>
        <v> </v>
      </c>
      <c r="J101" s="26" t="str">
        <f>IF(OR(E101="",E101="!!!",F101="NEW"),"",COUNTBLANK(OFFSET(A$1,,,SUMPRODUCT(MAX(ROW(E$2:E101)*(E101=E$2:E101)))))-COUNTBLANK(OFFSET(A$1,,,SUMPRODUCT(MAX(ROW(E$1:E100)*(E2=E$1:E100))))))</f>
        <v> </v>
      </c>
      <c r="K101" s="26" t="str">
        <f>IF(OR(E101="",E101="!!!",F101="NEW"),"",INDEX(J$1:J100,SUMPRODUCT(MAX(ROW(E$1:E100)*(E101=E$1:E100)))))</f>
        <v> </v>
      </c>
      <c r="L101" s="27"/>
    </row>
    <row r="102" spans="1:12">
      <c r="A102" s="20" t="s">
        <v>176</v>
      </c>
      <c r="E102" s="22">
        <f>IF(D102="?OLD","!!!","")</f>
        <v/>
      </c>
      <c r="F102" s="23" t="str">
        <f>IF(OR(E102="",E102="!!!"),"",IF(NOT(ISNA(VLOOKUP(E102,E$1:E101,1,FALSE()))),"OLD",IF(AND(E102&lt;&gt;"",E102&lt;&gt;"!!!"),"NEW","")))</f>
        <v> </v>
      </c>
      <c r="G102" s="24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5" t="str">
        <f>IF(J102&lt;&gt;1,"",IF(I102="SBJ","CB","?"))</f>
        <v> </v>
      </c>
      <c r="I102" s="26" t="str">
        <f>IF(OR(E102="",E102="!!!",F102="NEW"),"",INDEX(B101:B$2,-1+SUMPRODUCT(MAX(ROW(E101:E$2)*(E102=E101:E$2)))))</f>
        <v> </v>
      </c>
      <c r="J102" s="26" t="str">
        <f>IF(OR(E102="",E102="!!!",F102="NEW"),"",COUNTBLANK(OFFSET(A$1,,,SUMPRODUCT(MAX(ROW(E$2:E102)*(E102=E$2:E102)))))-COUNTBLANK(OFFSET(A$1,,,SUMPRODUCT(MAX(ROW(E$1:E101)*(E2=E$1:E101))))))</f>
        <v> </v>
      </c>
      <c r="K102" s="26" t="str">
        <f>IF(OR(E102="",E102="!!!",F102="NEW"),"",INDEX(J$1:J101,SUMPRODUCT(MAX(ROW(E$1:E101)*(E102=E$1:E101)))))</f>
        <v> </v>
      </c>
      <c r="L102" s="27"/>
    </row>
    <row r="103" spans="1:12">
      <c r="A103" s="20" t="s">
        <v>116</v>
      </c>
      <c r="E103" s="22">
        <f>IF(D103="?OLD","!!!","")</f>
        <v/>
      </c>
      <c r="F103" s="23" t="str">
        <f>IF(OR(E103="",E103="!!!"),"",IF(NOT(ISNA(VLOOKUP(E103,E$1:E102,1,FALSE()))),"OLD",IF(AND(E103&lt;&gt;"",E103&lt;&gt;"!!!"),"NEW","")))</f>
        <v> </v>
      </c>
      <c r="G103" s="24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25" t="str">
        <f>IF(J103&lt;&gt;1,"",IF(I103="SBJ","CB","?"))</f>
        <v> </v>
      </c>
      <c r="I103" s="26" t="str">
        <f>IF(OR(E103="",E103="!!!",F103="NEW"),"",INDEX(B102:B$2,-1+SUMPRODUCT(MAX(ROW(E102:E$2)*(E103=E102:E$2)))))</f>
        <v> </v>
      </c>
      <c r="J103" s="26" t="str">
        <f>IF(OR(E103="",E103="!!!",F103="NEW"),"",COUNTBLANK(OFFSET(A$1,,,SUMPRODUCT(MAX(ROW(E$2:E103)*(E103=E$2:E103)))))-COUNTBLANK(OFFSET(A$1,,,SUMPRODUCT(MAX(ROW(E$1:E102)*(E2=E$1:E102))))))</f>
        <v> </v>
      </c>
      <c r="K103" s="26" t="str">
        <f>IF(OR(E103="",E103="!!!",F103="NEW"),"",INDEX(J$1:J102,SUMPRODUCT(MAX(ROW(E$1:E102)*(E103=E$1:E102)))))</f>
        <v> </v>
      </c>
      <c r="L103" s="27"/>
    </row>
    <row r="104" spans="1:12">
      <c r="A104" s="20" t="s">
        <v>186</v>
      </c>
      <c r="B104" s="21" t="s">
        <v>187</v>
      </c>
      <c r="C104" s="21" t="s">
        <v>188</v>
      </c>
      <c r="E104" s="22">
        <f>IF(D104="?OLD","!!!","")</f>
        <v/>
      </c>
      <c r="F104" s="23" t="str">
        <f>IF(OR(E104="",E104="!!!"),"",IF(NOT(ISNA(VLOOKUP(E104,E$1:E103,1,FALSE()))),"OLD",IF(AND(E104&lt;&gt;"",E104&lt;&gt;"!!!"),"NEW","")))</f>
        <v> </v>
      </c>
      <c r="G104" s="24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5" t="str">
        <f>IF(J104&lt;&gt;1,"",IF(I104="SBJ","CB","?"))</f>
        <v> </v>
      </c>
      <c r="I104" s="26" t="str">
        <f>IF(OR(E104="",E104="!!!",F104="NEW"),"",INDEX(B103:B$2,-1+SUMPRODUCT(MAX(ROW(E103:E$2)*(E104=E103:E$2)))))</f>
        <v> </v>
      </c>
      <c r="J104" s="26" t="str">
        <f>IF(OR(E104="",E104="!!!",F104="NEW"),"",COUNTBLANK(OFFSET(A$1,,,SUMPRODUCT(MAX(ROW(E$2:E104)*(E104=E$2:E104)))))-COUNTBLANK(OFFSET(A$1,,,SUMPRODUCT(MAX(ROW(E$1:E103)*(E2=E$1:E103))))))</f>
        <v> </v>
      </c>
      <c r="K104" s="26" t="str">
        <f>IF(OR(E104="",E104="!!!",F104="NEW"),"",INDEX(J$1:J103,SUMPRODUCT(MAX(ROW(E$1:E103)*(E104=E$1:E103)))))</f>
        <v> </v>
      </c>
      <c r="L104" s="27"/>
    </row>
    <row r="105" spans="1:12">
      <c r="A105" s="20" t="s">
        <v>189</v>
      </c>
      <c r="E105" s="22">
        <f>IF(D105="?OLD","!!!","")</f>
        <v/>
      </c>
      <c r="F105" s="23" t="str">
        <f>IF(OR(E105="",E105="!!!"),"",IF(NOT(ISNA(VLOOKUP(E105,E$1:E104,1,FALSE()))),"OLD",IF(AND(E105&lt;&gt;"",E105&lt;&gt;"!!!"),"NEW","")))</f>
        <v> </v>
      </c>
      <c r="G105" s="24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> </v>
      </c>
      <c r="H105" s="25" t="str">
        <f>IF(J105&lt;&gt;1,"",IF(I105="SBJ","CB","?"))</f>
        <v> </v>
      </c>
      <c r="I105" s="26" t="str">
        <f>IF(OR(E105="",E105="!!!",F105="NEW"),"",INDEX(B104:B$2,-1+SUMPRODUCT(MAX(ROW(E104:E$2)*(E105=E104:E$2)))))</f>
        <v> </v>
      </c>
      <c r="J105" s="26" t="str">
        <f>IF(OR(E105="",E105="!!!",F105="NEW"),"",COUNTBLANK(OFFSET(A$1,,,SUMPRODUCT(MAX(ROW(E$2:E105)*(E105=E$2:E105)))))-COUNTBLANK(OFFSET(A$1,,,SUMPRODUCT(MAX(ROW(E$1:E104)*(E2=E$1:E104))))))</f>
        <v> </v>
      </c>
      <c r="K105" s="26" t="str">
        <f>IF(OR(E105="",E105="!!!",F105="NEW"),"",INDEX(J$1:J104,SUMPRODUCT(MAX(ROW(E$1:E104)*(E105=E$1:E104)))))</f>
        <v> </v>
      </c>
      <c r="L105" s="27"/>
    </row>
    <row r="106" spans="1:12">
      <c r="A106" s="20" t="s">
        <v>190</v>
      </c>
      <c r="E106" s="22">
        <f>IF(D106="?OLD","!!!","")</f>
        <v/>
      </c>
      <c r="F106" s="23" t="str">
        <f>IF(OR(E106="",E106="!!!"),"",IF(NOT(ISNA(VLOOKUP(E106,E$1:E105,1,FALSE()))),"OLD",IF(AND(E106&lt;&gt;"",E106&lt;&gt;"!!!"),"NEW","")))</f>
        <v> </v>
      </c>
      <c r="G106" s="24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 </v>
      </c>
      <c r="H106" s="25" t="str">
        <f>IF(J106&lt;&gt;1,"",IF(I106="SBJ","CB","?"))</f>
        <v> </v>
      </c>
      <c r="I106" s="26" t="str">
        <f>IF(OR(E106="",E106="!!!",F106="NEW"),"",INDEX(B105:B$2,-1+SUMPRODUCT(MAX(ROW(E105:E$2)*(E106=E105:E$2)))))</f>
        <v> </v>
      </c>
      <c r="J106" s="26" t="str">
        <f>IF(OR(E106="",E106="!!!",F106="NEW"),"",COUNTBLANK(OFFSET(A$1,,,SUMPRODUCT(MAX(ROW(E$2:E106)*(E106=E$2:E106)))))-COUNTBLANK(OFFSET(A$1,,,SUMPRODUCT(MAX(ROW(E$1:E105)*(E2=E$1:E105))))))</f>
        <v> </v>
      </c>
      <c r="K106" s="26" t="str">
        <f>IF(OR(E106="",E106="!!!",F106="NEW"),"",INDEX(J$1:J105,SUMPRODUCT(MAX(ROW(E$1:E105)*(E106=E$1:E105)))))</f>
        <v> </v>
      </c>
      <c r="L106" s="27"/>
    </row>
    <row r="107" spans="1:12">
      <c r="A107" s="20" t="s">
        <v>116</v>
      </c>
      <c r="E107" s="22">
        <f>IF(D107="?OLD","!!!","")</f>
        <v/>
      </c>
      <c r="F107" s="23" t="str">
        <f>IF(OR(E107="",E107="!!!"),"",IF(NOT(ISNA(VLOOKUP(E107,E$1:E106,1,FALSE()))),"OLD",IF(AND(E107&lt;&gt;"",E107&lt;&gt;"!!!"),"NEW","")))</f>
        <v> </v>
      </c>
      <c r="G107" s="24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25" t="str">
        <f>IF(J107&lt;&gt;1,"",IF(I107="SBJ","CB","?"))</f>
        <v> </v>
      </c>
      <c r="I107" s="26" t="str">
        <f>IF(OR(E107="",E107="!!!",F107="NEW"),"",INDEX(B106:B$2,-1+SUMPRODUCT(MAX(ROW(E106:E$2)*(E107=E106:E$2)))))</f>
        <v> </v>
      </c>
      <c r="J107" s="26" t="str">
        <f>IF(OR(E107="",E107="!!!",F107="NEW"),"",COUNTBLANK(OFFSET(A$1,,,SUMPRODUCT(MAX(ROW(E$2:E107)*(E107=E$2:E107)))))-COUNTBLANK(OFFSET(A$1,,,SUMPRODUCT(MAX(ROW(E$1:E106)*(E2=E$1:E106))))))</f>
        <v> </v>
      </c>
      <c r="K107" s="26" t="str">
        <f>IF(OR(E107="",E107="!!!",F107="NEW"),"",INDEX(J$1:J106,SUMPRODUCT(MAX(ROW(E$1:E106)*(E107=E$1:E106)))))</f>
        <v> </v>
      </c>
      <c r="L107" s="27"/>
    </row>
    <row r="108" spans="1:12">
      <c r="A108" s="20" t="s">
        <v>191</v>
      </c>
      <c r="E108" s="22">
        <f>IF(D108="?OLD","!!!","")</f>
        <v/>
      </c>
      <c r="F108" s="23" t="str">
        <f>IF(OR(E108="",E108="!!!"),"",IF(NOT(ISNA(VLOOKUP(E108,E$1:E107,1,FALSE()))),"OLD",IF(AND(E108&lt;&gt;"",E108&lt;&gt;"!!!"),"NEW","")))</f>
        <v> </v>
      </c>
      <c r="G108" s="24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5" t="str">
        <f>IF(J108&lt;&gt;1,"",IF(I108="SBJ","CB","?"))</f>
        <v> </v>
      </c>
      <c r="I108" s="26" t="str">
        <f>IF(OR(E108="",E108="!!!",F108="NEW"),"",INDEX(B107:B$2,-1+SUMPRODUCT(MAX(ROW(E107:E$2)*(E108=E107:E$2)))))</f>
        <v> </v>
      </c>
      <c r="J108" s="26" t="str">
        <f>IF(OR(E108="",E108="!!!",F108="NEW"),"",COUNTBLANK(OFFSET(A$1,,,SUMPRODUCT(MAX(ROW(E$2:E108)*(E108=E$2:E108)))))-COUNTBLANK(OFFSET(A$1,,,SUMPRODUCT(MAX(ROW(E$1:E107)*(E2=E$1:E107))))))</f>
        <v> </v>
      </c>
      <c r="K108" s="26" t="str">
        <f>IF(OR(E108="",E108="!!!",F108="NEW"),"",INDEX(J$1:J107,SUMPRODUCT(MAX(ROW(E$1:E107)*(E108=E$1:E107)))))</f>
        <v> </v>
      </c>
      <c r="L108" s="27"/>
    </row>
    <row r="109" spans="1:12">
      <c r="A109" s="20" t="s">
        <v>192</v>
      </c>
      <c r="E109" s="22">
        <f>IF(D109="?OLD","!!!","")</f>
        <v/>
      </c>
      <c r="F109" s="23" t="str">
        <f>IF(OR(E109="",E109="!!!"),"",IF(NOT(ISNA(VLOOKUP(E109,E$1:E108,1,FALSE()))),"OLD",IF(AND(E109&lt;&gt;"",E109&lt;&gt;"!!!"),"NEW","")))</f>
        <v> </v>
      </c>
      <c r="G109" s="24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5" t="str">
        <f>IF(J109&lt;&gt;1,"",IF(I109="SBJ","CB","?"))</f>
        <v> </v>
      </c>
      <c r="I109" s="26" t="str">
        <f>IF(OR(E109="",E109="!!!",F109="NEW"),"",INDEX(B108:B$2,-1+SUMPRODUCT(MAX(ROW(E108:E$2)*(E109=E108:E$2)))))</f>
        <v> </v>
      </c>
      <c r="J109" s="26" t="str">
        <f>IF(OR(E109="",E109="!!!",F109="NEW"),"",COUNTBLANK(OFFSET(A$1,,,SUMPRODUCT(MAX(ROW(E$2:E109)*(E109=E$2:E109)))))-COUNTBLANK(OFFSET(A$1,,,SUMPRODUCT(MAX(ROW(E$1:E108)*(E2=E$1:E108))))))</f>
        <v> </v>
      </c>
      <c r="K109" s="26" t="str">
        <f>IF(OR(E109="",E109="!!!",F109="NEW"),"",INDEX(J$1:J108,SUMPRODUCT(MAX(ROW(E$1:E108)*(E109=E$1:E108)))))</f>
        <v> </v>
      </c>
      <c r="L109" s="27"/>
    </row>
    <row r="110" spans="1:12">
      <c r="A110" s="20" t="s">
        <v>116</v>
      </c>
      <c r="E110" s="22">
        <f>IF(D110="?OLD","!!!","")</f>
        <v/>
      </c>
      <c r="F110" s="23" t="str">
        <f>IF(OR(E110="",E110="!!!"),"",IF(NOT(ISNA(VLOOKUP(E110,E$1:E109,1,FALSE()))),"OLD",IF(AND(E110&lt;&gt;"",E110&lt;&gt;"!!!"),"NEW","")))</f>
        <v> </v>
      </c>
      <c r="G110" s="24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> </v>
      </c>
      <c r="H110" s="25" t="str">
        <f>IF(J110&lt;&gt;1,"",IF(I110="SBJ","CB","?"))</f>
        <v> </v>
      </c>
      <c r="I110" s="26" t="str">
        <f>IF(OR(E110="",E110="!!!",F110="NEW"),"",INDEX(B109:B$2,-1+SUMPRODUCT(MAX(ROW(E109:E$2)*(E110=E109:E$2)))))</f>
        <v> </v>
      </c>
      <c r="J110" s="26" t="str">
        <f>IF(OR(E110="",E110="!!!",F110="NEW"),"",COUNTBLANK(OFFSET(A$1,,,SUMPRODUCT(MAX(ROW(E$2:E110)*(E110=E$2:E110)))))-COUNTBLANK(OFFSET(A$1,,,SUMPRODUCT(MAX(ROW(E$1:E109)*(E2=E$1:E109))))))</f>
        <v> </v>
      </c>
      <c r="K110" s="26" t="str">
        <f>IF(OR(E110="",E110="!!!",F110="NEW"),"",INDEX(J$1:J109,SUMPRODUCT(MAX(ROW(E$1:E109)*(E110=E$1:E109)))))</f>
        <v> </v>
      </c>
      <c r="L110" s="27"/>
    </row>
    <row r="111" spans="1:12">
      <c r="A111" s="20" t="s">
        <v>193</v>
      </c>
      <c r="E111" s="22">
        <f>IF(D111="?OLD","!!!","")</f>
        <v/>
      </c>
      <c r="F111" s="23" t="str">
        <f>IF(OR(E111="",E111="!!!"),"",IF(NOT(ISNA(VLOOKUP(E111,E$1:E110,1,FALSE()))),"OLD",IF(AND(E111&lt;&gt;"",E111&lt;&gt;"!!!"),"NEW","")))</f>
        <v> </v>
      </c>
      <c r="G111" s="24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25" t="str">
        <f>IF(J111&lt;&gt;1,"",IF(I111="SBJ","CB","?"))</f>
        <v> </v>
      </c>
      <c r="I111" s="26" t="str">
        <f>IF(OR(E111="",E111="!!!",F111="NEW"),"",INDEX(B110:B$2,-1+SUMPRODUCT(MAX(ROW(E110:E$2)*(E111=E110:E$2)))))</f>
        <v> </v>
      </c>
      <c r="J111" s="26" t="str">
        <f>IF(OR(E111="",E111="!!!",F111="NEW"),"",COUNTBLANK(OFFSET(A$1,,,SUMPRODUCT(MAX(ROW(E$2:E111)*(E111=E$2:E111)))))-COUNTBLANK(OFFSET(A$1,,,SUMPRODUCT(MAX(ROW(E$1:E110)*(E2=E$1:E110))))))</f>
        <v> </v>
      </c>
      <c r="K111" s="26" t="str">
        <f>IF(OR(E111="",E111="!!!",F111="NEW"),"",INDEX(J$1:J110,SUMPRODUCT(MAX(ROW(E$1:E110)*(E111=E$1:E110)))))</f>
        <v> </v>
      </c>
      <c r="L111" s="27"/>
    </row>
    <row r="112" spans="1:12">
      <c r="A112" s="20" t="s">
        <v>194</v>
      </c>
      <c r="B112" s="21" t="s">
        <v>195</v>
      </c>
      <c r="C112" s="21" t="s">
        <v>170</v>
      </c>
      <c r="D112" s="21" t="s">
        <v>106</v>
      </c>
      <c r="E112" s="22">
        <f>IF(D112="?OLD","!!!","")</f>
        <v/>
      </c>
      <c r="F112" s="23" t="str">
        <f>IF(OR(E112="",E112="!!!"),"",IF(NOT(ISNA(VLOOKUP(E112,E$1:E111,1,FALSE()))),"OLD",IF(AND(E112&lt;&gt;"",E112&lt;&gt;"!!!"),"NEW","")))</f>
        <v> </v>
      </c>
      <c r="G112" s="24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5" t="str">
        <f>IF(J112&lt;&gt;1,"",IF(I112="SBJ","CB","?"))</f>
        <v> </v>
      </c>
      <c r="I112" s="26" t="str">
        <f>IF(OR(E112="",E112="!!!",F112="NEW"),"",INDEX(B111:B$2,-1+SUMPRODUCT(MAX(ROW(E111:E$2)*(E112=E111:E$2)))))</f>
        <v> </v>
      </c>
      <c r="J112" s="26" t="str">
        <f>IF(OR(E112="",E112="!!!",F112="NEW"),"",COUNTBLANK(OFFSET(A$1,,,SUMPRODUCT(MAX(ROW(E$2:E112)*(E112=E$2:E112)))))-COUNTBLANK(OFFSET(A$1,,,SUMPRODUCT(MAX(ROW(E$1:E111)*(E2=E$1:E111))))))</f>
        <v> </v>
      </c>
      <c r="K112" s="26" t="str">
        <f>IF(OR(E112="",E112="!!!",F112="NEW"),"",INDEX(J$1:J111,SUMPRODUCT(MAX(ROW(E$1:E111)*(E112=E$1:E111)))))</f>
        <v> </v>
      </c>
      <c r="L112" s="27"/>
    </row>
    <row r="113" spans="1:12">
      <c r="A113" s="20" t="s">
        <v>196</v>
      </c>
      <c r="E113" s="22">
        <f>IF(D113="?OLD","!!!","")</f>
        <v/>
      </c>
      <c r="F113" s="23" t="str">
        <f>IF(OR(E113="",E113="!!!"),"",IF(NOT(ISNA(VLOOKUP(E113,E$1:E112,1,FALSE()))),"OLD",IF(AND(E113&lt;&gt;"",E113&lt;&gt;"!!!"),"NEW","")))</f>
        <v> </v>
      </c>
      <c r="G113" s="24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5" t="str">
        <f>IF(J113&lt;&gt;1,"",IF(I113="SBJ","CB","?"))</f>
        <v> </v>
      </c>
      <c r="I113" s="26" t="str">
        <f>IF(OR(E113="",E113="!!!",F113="NEW"),"",INDEX(B112:B$2,-1+SUMPRODUCT(MAX(ROW(E112:E$2)*(E113=E112:E$2)))))</f>
        <v> </v>
      </c>
      <c r="J113" s="26" t="str">
        <f>IF(OR(E113="",E113="!!!",F113="NEW"),"",COUNTBLANK(OFFSET(A$1,,,SUMPRODUCT(MAX(ROW(E$2:E113)*(E113=E$2:E113)))))-COUNTBLANK(OFFSET(A$1,,,SUMPRODUCT(MAX(ROW(E$1:E112)*(E2=E$1:E112))))))</f>
        <v> </v>
      </c>
      <c r="K113" s="26" t="str">
        <f>IF(OR(E113="",E113="!!!",F113="NEW"),"",INDEX(J$1:J112,SUMPRODUCT(MAX(ROW(E$1:E112)*(E113=E$1:E112)))))</f>
        <v> </v>
      </c>
      <c r="L113" s="27"/>
    </row>
    <row r="114" spans="1:12">
      <c r="A114" s="20" t="s">
        <v>197</v>
      </c>
      <c r="B114" s="21" t="s">
        <v>198</v>
      </c>
      <c r="C114" s="21" t="s">
        <v>130</v>
      </c>
      <c r="E114" s="22">
        <f>IF(D114="?OLD","!!!","")</f>
        <v/>
      </c>
      <c r="F114" s="23" t="str">
        <f>IF(OR(E114="",E114="!!!"),"",IF(NOT(ISNA(VLOOKUP(E114,E$1:E113,1,FALSE()))),"OLD",IF(AND(E114&lt;&gt;"",E114&lt;&gt;"!!!"),"NEW","")))</f>
        <v> </v>
      </c>
      <c r="G114" s="24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> </v>
      </c>
      <c r="H114" s="25" t="str">
        <f>IF(J114&lt;&gt;1,"",IF(I114="SBJ","CB","?"))</f>
        <v> </v>
      </c>
      <c r="I114" s="26" t="str">
        <f>IF(OR(E114="",E114="!!!",F114="NEW"),"",INDEX(B113:B$2,-1+SUMPRODUCT(MAX(ROW(E113:E$2)*(E114=E113:E$2)))))</f>
        <v> </v>
      </c>
      <c r="J114" s="26" t="str">
        <f>IF(OR(E114="",E114="!!!",F114="NEW"),"",COUNTBLANK(OFFSET(A$1,,,SUMPRODUCT(MAX(ROW(E$2:E114)*(E114=E$2:E114)))))-COUNTBLANK(OFFSET(A$1,,,SUMPRODUCT(MAX(ROW(E$1:E113)*(E2=E$1:E113))))))</f>
        <v> </v>
      </c>
      <c r="K114" s="26" t="str">
        <f>IF(OR(E114="",E114="!!!",F114="NEW"),"",INDEX(J$1:J113,SUMPRODUCT(MAX(ROW(E$1:E113)*(E114=E$1:E113)))))</f>
        <v> </v>
      </c>
      <c r="L114" s="27"/>
    </row>
    <row r="115" spans="1:12">
      <c r="A115" s="20" t="s">
        <v>199</v>
      </c>
      <c r="E115" s="22">
        <f>IF(D115="?OLD","!!!","")</f>
        <v/>
      </c>
      <c r="F115" s="23" t="str">
        <f>IF(OR(E115="",E115="!!!"),"",IF(NOT(ISNA(VLOOKUP(E115,E$1:E114,1,FALSE()))),"OLD",IF(AND(E115&lt;&gt;"",E115&lt;&gt;"!!!"),"NEW","")))</f>
        <v> </v>
      </c>
      <c r="G115" s="24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5" t="str">
        <f>IF(J115&lt;&gt;1,"",IF(I115="SBJ","CB","?"))</f>
        <v> </v>
      </c>
      <c r="I115" s="26" t="str">
        <f>IF(OR(E115="",E115="!!!",F115="NEW"),"",INDEX(B114:B$2,-1+SUMPRODUCT(MAX(ROW(E114:E$2)*(E115=E114:E$2)))))</f>
        <v> </v>
      </c>
      <c r="J115" s="26" t="str">
        <f>IF(OR(E115="",E115="!!!",F115="NEW"),"",COUNTBLANK(OFFSET(A$1,,,SUMPRODUCT(MAX(ROW(E$2:E115)*(E115=E$2:E115)))))-COUNTBLANK(OFFSET(A$1,,,SUMPRODUCT(MAX(ROW(E$1:E114)*(E2=E$1:E114))))))</f>
        <v> </v>
      </c>
      <c r="K115" s="26" t="str">
        <f>IF(OR(E115="",E115="!!!",F115="NEW"),"",INDEX(J$1:J114,SUMPRODUCT(MAX(ROW(E$1:E114)*(E115=E$1:E114)))))</f>
        <v> </v>
      </c>
      <c r="L115" s="27"/>
    </row>
    <row r="116" spans="1:12">
      <c r="A116" s="20" t="s">
        <v>200</v>
      </c>
      <c r="B116" s="21" t="s">
        <v>198</v>
      </c>
      <c r="E116" s="22">
        <f>IF(D116="?OLD","!!!","")</f>
        <v/>
      </c>
      <c r="F116" s="23" t="str">
        <f>IF(OR(E116="",E116="!!!"),"",IF(NOT(ISNA(VLOOKUP(E116,E$1:E115,1,FALSE()))),"OLD",IF(AND(E116&lt;&gt;"",E116&lt;&gt;"!!!"),"NEW","")))</f>
        <v> </v>
      </c>
      <c r="G116" s="24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5" t="str">
        <f>IF(J116&lt;&gt;1,"",IF(I116="SBJ","CB","?"))</f>
        <v> </v>
      </c>
      <c r="I116" s="26" t="str">
        <f>IF(OR(E116="",E116="!!!",F116="NEW"),"",INDEX(B115:B$2,-1+SUMPRODUCT(MAX(ROW(E115:E$2)*(E116=E115:E$2)))))</f>
        <v> </v>
      </c>
      <c r="J116" s="26" t="str">
        <f>IF(OR(E116="",E116="!!!",F116="NEW"),"",COUNTBLANK(OFFSET(A$1,,,SUMPRODUCT(MAX(ROW(E$2:E116)*(E116=E$2:E116)))))-COUNTBLANK(OFFSET(A$1,,,SUMPRODUCT(MAX(ROW(E$1:E115)*(E2=E$1:E115))))))</f>
        <v> </v>
      </c>
      <c r="K116" s="26" t="str">
        <f>IF(OR(E116="",E116="!!!",F116="NEW"),"",INDEX(J$1:J115,SUMPRODUCT(MAX(ROW(E$1:E115)*(E116=E$1:E115)))))</f>
        <v> </v>
      </c>
      <c r="L116" s="27"/>
    </row>
    <row r="117" spans="1:12">
      <c r="A117" s="20" t="s">
        <v>201</v>
      </c>
      <c r="E117" s="22">
        <f>IF(D117="?OLD","!!!","")</f>
        <v/>
      </c>
      <c r="F117" s="23" t="str">
        <f>IF(OR(E117="",E117="!!!"),"",IF(NOT(ISNA(VLOOKUP(E117,E$1:E116,1,FALSE()))),"OLD",IF(AND(E117&lt;&gt;"",E117&lt;&gt;"!!!"),"NEW","")))</f>
        <v> </v>
      </c>
      <c r="G117" s="24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25" t="str">
        <f>IF(J117&lt;&gt;1,"",IF(I117="SBJ","CB","?"))</f>
        <v> </v>
      </c>
      <c r="I117" s="26" t="str">
        <f>IF(OR(E117="",E117="!!!",F117="NEW"),"",INDEX(B116:B$2,-1+SUMPRODUCT(MAX(ROW(E116:E$2)*(E117=E116:E$2)))))</f>
        <v> </v>
      </c>
      <c r="J117" s="26" t="str">
        <f>IF(OR(E117="",E117="!!!",F117="NEW"),"",COUNTBLANK(OFFSET(A$1,,,SUMPRODUCT(MAX(ROW(E$2:E117)*(E117=E$2:E117)))))-COUNTBLANK(OFFSET(A$1,,,SUMPRODUCT(MAX(ROW(E$1:E116)*(E2=E$1:E116))))))</f>
        <v> </v>
      </c>
      <c r="K117" s="26" t="str">
        <f>IF(OR(E117="",E117="!!!",F117="NEW"),"",INDEX(J$1:J116,SUMPRODUCT(MAX(ROW(E$1:E116)*(E117=E$1:E116)))))</f>
        <v> </v>
      </c>
      <c r="L117" s="27"/>
    </row>
    <row r="118" spans="1:12">
      <c r="A118" s="20" t="s">
        <v>202</v>
      </c>
      <c r="E118" s="22">
        <f>IF(D118="?OLD","!!!","")</f>
        <v/>
      </c>
      <c r="F118" s="23" t="str">
        <f>IF(OR(E118="",E118="!!!"),"",IF(NOT(ISNA(VLOOKUP(E118,E$1:E117,1,FALSE()))),"OLD",IF(AND(E118&lt;&gt;"",E118&lt;&gt;"!!!"),"NEW","")))</f>
        <v> </v>
      </c>
      <c r="G118" s="24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> </v>
      </c>
      <c r="H118" s="25" t="str">
        <f>IF(J118&lt;&gt;1,"",IF(I118="SBJ","CB","?"))</f>
        <v> </v>
      </c>
      <c r="I118" s="26" t="str">
        <f>IF(OR(E118="",E118="!!!",F118="NEW"),"",INDEX(B117:B$2,-1+SUMPRODUCT(MAX(ROW(E117:E$2)*(E118=E117:E$2)))))</f>
        <v> </v>
      </c>
      <c r="J118" s="26" t="str">
        <f>IF(OR(E118="",E118="!!!",F118="NEW"),"",COUNTBLANK(OFFSET(A$1,,,SUMPRODUCT(MAX(ROW(E$2:E118)*(E118=E$2:E118)))))-COUNTBLANK(OFFSET(A$1,,,SUMPRODUCT(MAX(ROW(E$1:E117)*(E2=E$1:E117))))))</f>
        <v> </v>
      </c>
      <c r="K118" s="26" t="str">
        <f>IF(OR(E118="",E118="!!!",F118="NEW"),"",INDEX(J$1:J117,SUMPRODUCT(MAX(ROW(E$1:E117)*(E118=E$1:E117)))))</f>
        <v> </v>
      </c>
      <c r="L118" s="27"/>
    </row>
    <row r="119" spans="1:12">
      <c r="A119" s="20" t="s">
        <v>116</v>
      </c>
      <c r="E119" s="22">
        <f>IF(D119="?OLD","!!!","")</f>
        <v/>
      </c>
      <c r="F119" s="23" t="str">
        <f>IF(OR(E119="",E119="!!!"),"",IF(NOT(ISNA(VLOOKUP(E119,E$1:E118,1,FALSE()))),"OLD",IF(AND(E119&lt;&gt;"",E119&lt;&gt;"!!!"),"NEW","")))</f>
        <v> </v>
      </c>
      <c r="G119" s="24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5" t="str">
        <f>IF(J119&lt;&gt;1,"",IF(I119="SBJ","CB","?"))</f>
        <v> </v>
      </c>
      <c r="I119" s="26" t="str">
        <f>IF(OR(E119="",E119="!!!",F119="NEW"),"",INDEX(B118:B$2,-1+SUMPRODUCT(MAX(ROW(E118:E$2)*(E119=E118:E$2)))))</f>
        <v> </v>
      </c>
      <c r="J119" s="26" t="str">
        <f>IF(OR(E119="",E119="!!!",F119="NEW"),"",COUNTBLANK(OFFSET(A$1,,,SUMPRODUCT(MAX(ROW(E$2:E119)*(E119=E$2:E119)))))-COUNTBLANK(OFFSET(A$1,,,SUMPRODUCT(MAX(ROW(E$1:E118)*(E2=E$1:E118))))))</f>
        <v> </v>
      </c>
      <c r="K119" s="26" t="str">
        <f>IF(OR(E119="",E119="!!!",F119="NEW"),"",INDEX(J$1:J118,SUMPRODUCT(MAX(ROW(E$1:E118)*(E119=E$1:E118)))))</f>
        <v> </v>
      </c>
      <c r="L119" s="27"/>
    </row>
    <row r="120" spans="1:12">
      <c r="A120" s="20" t="s">
        <v>203</v>
      </c>
      <c r="B120" s="21" t="s">
        <v>187</v>
      </c>
      <c r="C120" s="21" t="s">
        <v>175</v>
      </c>
      <c r="D120" s="21" t="s">
        <v>106</v>
      </c>
      <c r="E120" s="22">
        <f>IF(D120="?OLD","!!!","")</f>
        <v/>
      </c>
      <c r="F120" s="23" t="str">
        <f>IF(OR(E120="",E120="!!!"),"",IF(NOT(ISNA(VLOOKUP(E120,E$1:E119,1,FALSE()))),"OLD",IF(AND(E120&lt;&gt;"",E120&lt;&gt;"!!!"),"NEW","")))</f>
        <v> </v>
      </c>
      <c r="G120" s="24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5" t="str">
        <f>IF(J120&lt;&gt;1,"",IF(I120="SBJ","CB","?"))</f>
        <v> </v>
      </c>
      <c r="I120" s="26" t="str">
        <f>IF(OR(E120="",E120="!!!",F120="NEW"),"",INDEX(B119:B$2,-1+SUMPRODUCT(MAX(ROW(E119:E$2)*(E120=E119:E$2)))))</f>
        <v> </v>
      </c>
      <c r="J120" s="26" t="str">
        <f>IF(OR(E120="",E120="!!!",F120="NEW"),"",COUNTBLANK(OFFSET(A$1,,,SUMPRODUCT(MAX(ROW(E$2:E120)*(E120=E$2:E120)))))-COUNTBLANK(OFFSET(A$1,,,SUMPRODUCT(MAX(ROW(E$1:E119)*(E2=E$1:E119))))))</f>
        <v> </v>
      </c>
      <c r="K120" s="26" t="str">
        <f>IF(OR(E120="",E120="!!!",F120="NEW"),"",INDEX(J$1:J119,SUMPRODUCT(MAX(ROW(E$1:E119)*(E120=E$1:E119)))))</f>
        <v> </v>
      </c>
      <c r="L120" s="27"/>
    </row>
    <row r="121" spans="1:12">
      <c r="A121" s="20" t="s">
        <v>204</v>
      </c>
      <c r="B121" s="21" t="s">
        <v>104</v>
      </c>
      <c r="C121" s="21" t="s">
        <v>175</v>
      </c>
      <c r="D121" s="21" t="s">
        <v>106</v>
      </c>
      <c r="E121" s="22">
        <f>IF(D121="?OLD","!!!","")</f>
        <v/>
      </c>
      <c r="F121" s="23" t="str">
        <f>IF(OR(E121="",E121="!!!"),"",IF(NOT(ISNA(VLOOKUP(E121,E$1:E120,1,FALSE()))),"OLD",IF(AND(E121&lt;&gt;"",E121&lt;&gt;"!!!"),"NEW","")))</f>
        <v> </v>
      </c>
      <c r="G121" s="24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5" t="str">
        <f>IF(J121&lt;&gt;1,"",IF(I121="SBJ","CB","?"))</f>
        <v> </v>
      </c>
      <c r="I121" s="26" t="str">
        <f>IF(OR(E121="",E121="!!!",F121="NEW"),"",INDEX(B120:B$2,-1+SUMPRODUCT(MAX(ROW(E120:E$2)*(E121=E120:E$2)))))</f>
        <v> </v>
      </c>
      <c r="J121" s="26" t="str">
        <f>IF(OR(E121="",E121="!!!",F121="NEW"),"",COUNTBLANK(OFFSET(A$1,,,SUMPRODUCT(MAX(ROW(E$2:E121)*(E121=E$2:E121)))))-COUNTBLANK(OFFSET(A$1,,,SUMPRODUCT(MAX(ROW(E$1:E120)*(E2=E$1:E120))))))</f>
        <v> </v>
      </c>
      <c r="K121" s="26" t="str">
        <f>IF(OR(E121="",E121="!!!",F121="NEW"),"",INDEX(J$1:J120,SUMPRODUCT(MAX(ROW(E$1:E120)*(E121=E$1:E120)))))</f>
        <v> </v>
      </c>
      <c r="L121" s="27"/>
    </row>
    <row r="122" spans="1:12">
      <c r="A122" s="20" t="s">
        <v>205</v>
      </c>
      <c r="E122" s="22">
        <f>IF(D122="?OLD","!!!","")</f>
        <v/>
      </c>
      <c r="F122" s="23" t="str">
        <f>IF(OR(E122="",E122="!!!"),"",IF(NOT(ISNA(VLOOKUP(E122,E$1:E121,1,FALSE()))),"OLD",IF(AND(E122&lt;&gt;"",E122&lt;&gt;"!!!"),"NEW","")))</f>
        <v> </v>
      </c>
      <c r="G122" s="24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5" t="str">
        <f>IF(J122&lt;&gt;1,"",IF(I122="SBJ","CB","?"))</f>
        <v> </v>
      </c>
      <c r="I122" s="26" t="str">
        <f>IF(OR(E122="",E122="!!!",F122="NEW"),"",INDEX(B121:B$2,-1+SUMPRODUCT(MAX(ROW(E121:E$2)*(E122=E121:E$2)))))</f>
        <v> </v>
      </c>
      <c r="J122" s="26" t="str">
        <f>IF(OR(E122="",E122="!!!",F122="NEW"),"",COUNTBLANK(OFFSET(A$1,,,SUMPRODUCT(MAX(ROW(E$2:E122)*(E122=E$2:E122)))))-COUNTBLANK(OFFSET(A$1,,,SUMPRODUCT(MAX(ROW(E$1:E121)*(E2=E$1:E121))))))</f>
        <v> </v>
      </c>
      <c r="K122" s="26" t="str">
        <f>IF(OR(E122="",E122="!!!",F122="NEW"),"",INDEX(J$1:J121,SUMPRODUCT(MAX(ROW(E$1:E121)*(E122=E$1:E121)))))</f>
        <v> </v>
      </c>
      <c r="L122" s="27"/>
    </row>
    <row r="123" spans="1:12">
      <c r="A123" s="20" t="s">
        <v>206</v>
      </c>
      <c r="E123" s="22">
        <f>IF(D123="?OLD","!!!","")</f>
        <v/>
      </c>
      <c r="F123" s="23" t="str">
        <f>IF(OR(E123="",E123="!!!"),"",IF(NOT(ISNA(VLOOKUP(E123,E$1:E122,1,FALSE()))),"OLD",IF(AND(E123&lt;&gt;"",E123&lt;&gt;"!!!"),"NEW","")))</f>
        <v> </v>
      </c>
      <c r="G123" s="24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> </v>
      </c>
      <c r="H123" s="25" t="str">
        <f>IF(J123&lt;&gt;1,"",IF(I123="SBJ","CB","?"))</f>
        <v> </v>
      </c>
      <c r="I123" s="26" t="str">
        <f>IF(OR(E123="",E123="!!!",F123="NEW"),"",INDEX(B122:B$2,-1+SUMPRODUCT(MAX(ROW(E122:E$2)*(E123=E122:E$2)))))</f>
        <v> </v>
      </c>
      <c r="J123" s="26" t="str">
        <f>IF(OR(E123="",E123="!!!",F123="NEW"),"",COUNTBLANK(OFFSET(A$1,,,SUMPRODUCT(MAX(ROW(E$2:E123)*(E123=E$2:E123)))))-COUNTBLANK(OFFSET(A$1,,,SUMPRODUCT(MAX(ROW(E$1:E122)*(E2=E$1:E122))))))</f>
        <v> </v>
      </c>
      <c r="K123" s="26" t="str">
        <f>IF(OR(E123="",E123="!!!",F123="NEW"),"",INDEX(J$1:J122,SUMPRODUCT(MAX(ROW(E$1:E122)*(E123=E$1:E122)))))</f>
        <v> </v>
      </c>
      <c r="L123" s="27"/>
    </row>
    <row r="124" spans="1:12">
      <c r="A124" s="20" t="s">
        <v>135</v>
      </c>
      <c r="E124" s="22">
        <f>IF(D124="?OLD","!!!","")</f>
        <v/>
      </c>
      <c r="F124" s="23" t="str">
        <f>IF(OR(E124="",E124="!!!"),"",IF(NOT(ISNA(VLOOKUP(E124,E$1:E123,1,FALSE()))),"OLD",IF(AND(E124&lt;&gt;"",E124&lt;&gt;"!!!"),"NEW","")))</f>
        <v> </v>
      </c>
      <c r="G124" s="24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> </v>
      </c>
      <c r="H124" s="25" t="str">
        <f>IF(J124&lt;&gt;1,"",IF(I124="SBJ","CB","?"))</f>
        <v> </v>
      </c>
      <c r="I124" s="26" t="str">
        <f>IF(OR(E124="",E124="!!!",F124="NEW"),"",INDEX(B123:B$2,-1+SUMPRODUCT(MAX(ROW(E123:E$2)*(E124=E123:E$2)))))</f>
        <v> </v>
      </c>
      <c r="J124" s="26" t="str">
        <f>IF(OR(E124="",E124="!!!",F124="NEW"),"",COUNTBLANK(OFFSET(A$1,,,SUMPRODUCT(MAX(ROW(E$2:E124)*(E124=E$2:E124)))))-COUNTBLANK(OFFSET(A$1,,,SUMPRODUCT(MAX(ROW(E$1:E123)*(E2=E$1:E123))))))</f>
        <v> </v>
      </c>
      <c r="K124" s="26" t="str">
        <f>IF(OR(E124="",E124="!!!",F124="NEW"),"",INDEX(J$1:J123,SUMPRODUCT(MAX(ROW(E$1:E123)*(E124=E$1:E123)))))</f>
        <v> </v>
      </c>
      <c r="L124" s="27"/>
    </row>
    <row r="125" spans="1:12">
      <c r="A125" s="20"/>
    </row>
    <row r="126" spans="1:12">
      <c r="A126" s="20" t="s">
        <v>207</v>
      </c>
    </row>
    <row r="127" spans="1:12">
      <c r="A127" s="20" t="s">
        <v>208</v>
      </c>
      <c r="E127" s="22">
        <f>IF(D127="?OLD","!!!","")</f>
        <v/>
      </c>
      <c r="F127" s="23" t="str">
        <f>IF(OR(E127="",E127="!!!"),"",IF(NOT(ISNA(VLOOKUP(E127,E$1:E126,1,FALSE()))),"OLD",IF(AND(E127&lt;&gt;"",E127&lt;&gt;"!!!"),"NEW","")))</f>
        <v> </v>
      </c>
      <c r="G127" s="24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> </v>
      </c>
      <c r="H127" s="25" t="str">
        <f>IF(J127&lt;&gt;1,"",IF(I127="SBJ","CB","?"))</f>
        <v> </v>
      </c>
      <c r="I127" s="26" t="str">
        <f>IF(OR(E127="",E127="!!!",F127="NEW"),"",INDEX(B126:B$2,-1+SUMPRODUCT(MAX(ROW(E126:E$2)*(E127=E126:E$2)))))</f>
        <v> </v>
      </c>
      <c r="J127" s="26" t="str">
        <f>IF(OR(E127="",E127="!!!",F127="NEW"),"",COUNTBLANK(OFFSET(A$1,,,SUMPRODUCT(MAX(ROW(E$2:E127)*(E127=E$2:E127)))))-COUNTBLANK(OFFSET(A$1,,,SUMPRODUCT(MAX(ROW(E$1:E126)*(E2=E$1:E126))))))</f>
        <v> </v>
      </c>
      <c r="K127" s="26" t="str">
        <f>IF(OR(E127="",E127="!!!",F127="NEW"),"",INDEX(J$1:J126,SUMPRODUCT(MAX(ROW(E$1:E126)*(E127=E$1:E126)))))</f>
        <v> </v>
      </c>
      <c r="L127" s="27"/>
    </row>
    <row r="128" spans="1:12">
      <c r="A128" s="20" t="s">
        <v>209</v>
      </c>
      <c r="E128" s="22">
        <f>IF(D128="?OLD","!!!","")</f>
        <v/>
      </c>
      <c r="F128" s="23" t="str">
        <f>IF(OR(E128="",E128="!!!"),"",IF(NOT(ISNA(VLOOKUP(E128,E$1:E127,1,FALSE()))),"OLD",IF(AND(E128&lt;&gt;"",E128&lt;&gt;"!!!"),"NEW","")))</f>
        <v> </v>
      </c>
      <c r="G128" s="24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 </v>
      </c>
      <c r="H128" s="25" t="str">
        <f>IF(J128&lt;&gt;1,"",IF(I128="SBJ","CB","?"))</f>
        <v> </v>
      </c>
      <c r="I128" s="26" t="str">
        <f>IF(OR(E128="",E128="!!!",F128="NEW"),"",INDEX(B127:B$2,-1+SUMPRODUCT(MAX(ROW(E127:E$2)*(E128=E127:E$2)))))</f>
        <v> </v>
      </c>
      <c r="J128" s="26" t="str">
        <f>IF(OR(E128="",E128="!!!",F128="NEW"),"",COUNTBLANK(OFFSET(A$1,,,SUMPRODUCT(MAX(ROW(E$2:E128)*(E128=E$2:E128)))))-COUNTBLANK(OFFSET(A$1,,,SUMPRODUCT(MAX(ROW(E$1:E127)*(E2=E$1:E127))))))</f>
        <v> </v>
      </c>
      <c r="K128" s="26" t="str">
        <f>IF(OR(E128="",E128="!!!",F128="NEW"),"",INDEX(J$1:J127,SUMPRODUCT(MAX(ROW(E$1:E127)*(E128=E$1:E127)))))</f>
        <v> </v>
      </c>
      <c r="L128" s="27"/>
    </row>
    <row r="129" spans="1:12">
      <c r="A129" s="20" t="s">
        <v>210</v>
      </c>
      <c r="B129" s="21" t="s">
        <v>104</v>
      </c>
      <c r="C129" s="21" t="s">
        <v>175</v>
      </c>
      <c r="D129" s="21" t="s">
        <v>106</v>
      </c>
      <c r="E129" s="22">
        <f>IF(D129="?OLD","!!!","")</f>
        <v/>
      </c>
      <c r="F129" s="23" t="str">
        <f>IF(OR(E129="",E129="!!!"),"",IF(NOT(ISNA(VLOOKUP(E129,E$1:E128,1,FALSE()))),"OLD",IF(AND(E129&lt;&gt;"",E129&lt;&gt;"!!!"),"NEW","")))</f>
        <v> </v>
      </c>
      <c r="G129" s="24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25" t="str">
        <f>IF(J129&lt;&gt;1,"",IF(I129="SBJ","CB","?"))</f>
        <v> </v>
      </c>
      <c r="I129" s="26" t="str">
        <f>IF(OR(E129="",E129="!!!",F129="NEW"),"",INDEX(B128:B$2,-1+SUMPRODUCT(MAX(ROW(E128:E$2)*(E129=E128:E$2)))))</f>
        <v> </v>
      </c>
      <c r="J129" s="26" t="str">
        <f>IF(OR(E129="",E129="!!!",F129="NEW"),"",COUNTBLANK(OFFSET(A$1,,,SUMPRODUCT(MAX(ROW(E$2:E129)*(E129=E$2:E129)))))-COUNTBLANK(OFFSET(A$1,,,SUMPRODUCT(MAX(ROW(E$1:E128)*(E2=E$1:E128))))))</f>
        <v> </v>
      </c>
      <c r="K129" s="26" t="str">
        <f>IF(OR(E129="",E129="!!!",F129="NEW"),"",INDEX(J$1:J128,SUMPRODUCT(MAX(ROW(E$1:E128)*(E129=E$1:E128)))))</f>
        <v> </v>
      </c>
      <c r="L129" s="27"/>
    </row>
    <row r="130" spans="1:12">
      <c r="A130" s="20" t="s">
        <v>211</v>
      </c>
      <c r="B130" s="21" t="s">
        <v>139</v>
      </c>
      <c r="C130" s="21" t="s">
        <v>130</v>
      </c>
      <c r="E130" s="22">
        <f>IF(D130="?OLD","!!!","")</f>
        <v/>
      </c>
      <c r="F130" s="23" t="str">
        <f>IF(OR(E130="",E130="!!!"),"",IF(NOT(ISNA(VLOOKUP(E130,E$1:E129,1,FALSE()))),"OLD",IF(AND(E130&lt;&gt;"",E130&lt;&gt;"!!!"),"NEW","")))</f>
        <v> </v>
      </c>
      <c r="G130" s="24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> </v>
      </c>
      <c r="H130" s="25" t="str">
        <f>IF(J130&lt;&gt;1,"",IF(I130="SBJ","CB","?"))</f>
        <v> </v>
      </c>
      <c r="I130" s="26" t="str">
        <f>IF(OR(E130="",E130="!!!",F130="NEW"),"",INDEX(B129:B$2,-1+SUMPRODUCT(MAX(ROW(E129:E$2)*(E130=E129:E$2)))))</f>
        <v> </v>
      </c>
      <c r="J130" s="26" t="str">
        <f>IF(OR(E130="",E130="!!!",F130="NEW"),"",COUNTBLANK(OFFSET(A$1,,,SUMPRODUCT(MAX(ROW(E$2:E130)*(E130=E$2:E130)))))-COUNTBLANK(OFFSET(A$1,,,SUMPRODUCT(MAX(ROW(E$1:E129)*(E2=E$1:E129))))))</f>
        <v> </v>
      </c>
      <c r="K130" s="26" t="str">
        <f>IF(OR(E130="",E130="!!!",F130="NEW"),"",INDEX(J$1:J129,SUMPRODUCT(MAX(ROW(E$1:E129)*(E130=E$1:E129)))))</f>
        <v> </v>
      </c>
      <c r="L130" s="27"/>
    </row>
    <row r="131" spans="1:12">
      <c r="A131" s="20" t="s">
        <v>212</v>
      </c>
      <c r="E131" s="22">
        <f>IF(D131="?OLD","!!!","")</f>
        <v/>
      </c>
      <c r="F131" s="23" t="str">
        <f>IF(OR(E131="",E131="!!!"),"",IF(NOT(ISNA(VLOOKUP(E131,E$1:E130,1,FALSE()))),"OLD",IF(AND(E131&lt;&gt;"",E131&lt;&gt;"!!!"),"NEW","")))</f>
        <v> </v>
      </c>
      <c r="G131" s="24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25" t="str">
        <f>IF(J131&lt;&gt;1,"",IF(I131="SBJ","CB","?"))</f>
        <v> </v>
      </c>
      <c r="I131" s="26" t="str">
        <f>IF(OR(E131="",E131="!!!",F131="NEW"),"",INDEX(B130:B$2,-1+SUMPRODUCT(MAX(ROW(E130:E$2)*(E131=E130:E$2)))))</f>
        <v> </v>
      </c>
      <c r="J131" s="26" t="str">
        <f>IF(OR(E131="",E131="!!!",F131="NEW"),"",COUNTBLANK(OFFSET(A$1,,,SUMPRODUCT(MAX(ROW(E$2:E131)*(E131=E$2:E131)))))-COUNTBLANK(OFFSET(A$1,,,SUMPRODUCT(MAX(ROW(E$1:E130)*(E2=E$1:E130))))))</f>
        <v> </v>
      </c>
      <c r="K131" s="26" t="str">
        <f>IF(OR(E131="",E131="!!!",F131="NEW"),"",INDEX(J$1:J130,SUMPRODUCT(MAX(ROW(E$1:E130)*(E131=E$1:E130)))))</f>
        <v> </v>
      </c>
      <c r="L131" s="27"/>
    </row>
    <row r="132" spans="1:12">
      <c r="A132" s="20" t="s">
        <v>117</v>
      </c>
      <c r="E132" s="22">
        <f>IF(D132="?OLD","!!!","")</f>
        <v/>
      </c>
      <c r="F132" s="23" t="str">
        <f>IF(OR(E132="",E132="!!!"),"",IF(NOT(ISNA(VLOOKUP(E132,E$1:E131,1,FALSE()))),"OLD",IF(AND(E132&lt;&gt;"",E132&lt;&gt;"!!!"),"NEW","")))</f>
        <v> </v>
      </c>
      <c r="G132" s="24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5" t="str">
        <f>IF(J132&lt;&gt;1,"",IF(I132="SBJ","CB","?"))</f>
        <v> </v>
      </c>
      <c r="I132" s="26" t="str">
        <f>IF(OR(E132="",E132="!!!",F132="NEW"),"",INDEX(B131:B$2,-1+SUMPRODUCT(MAX(ROW(E131:E$2)*(E132=E131:E$2)))))</f>
        <v> </v>
      </c>
      <c r="J132" s="26" t="str">
        <f>IF(OR(E132="",E132="!!!",F132="NEW"),"",COUNTBLANK(OFFSET(A$1,,,SUMPRODUCT(MAX(ROW(E$2:E132)*(E132=E$2:E132)))))-COUNTBLANK(OFFSET(A$1,,,SUMPRODUCT(MAX(ROW(E$1:E131)*(E2=E$1:E131))))))</f>
        <v> </v>
      </c>
      <c r="K132" s="26" t="str">
        <f>IF(OR(E132="",E132="!!!",F132="NEW"),"",INDEX(J$1:J131,SUMPRODUCT(MAX(ROW(E$1:E131)*(E132=E$1:E131)))))</f>
        <v> </v>
      </c>
      <c r="L132" s="27"/>
    </row>
    <row r="133" spans="1:12">
      <c r="A133" s="20" t="s">
        <v>109</v>
      </c>
      <c r="B133" s="21" t="s">
        <v>124</v>
      </c>
      <c r="C133" s="21" t="s">
        <v>111</v>
      </c>
      <c r="D133" s="21" t="s">
        <v>106</v>
      </c>
      <c r="E133" s="22">
        <f>IF(D133="?OLD","!!!","")</f>
        <v/>
      </c>
      <c r="F133" s="23" t="str">
        <f>IF(OR(E133="",E133="!!!"),"",IF(NOT(ISNA(VLOOKUP(E133,E$1:E132,1,FALSE()))),"OLD",IF(AND(E133&lt;&gt;"",E133&lt;&gt;"!!!"),"NEW","")))</f>
        <v> </v>
      </c>
      <c r="G133" s="24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> </v>
      </c>
      <c r="H133" s="25" t="str">
        <f>IF(J133&lt;&gt;1,"",IF(I133="SBJ","CB","?"))</f>
        <v> </v>
      </c>
      <c r="I133" s="26" t="str">
        <f>IF(OR(E133="",E133="!!!",F133="NEW"),"",INDEX(B132:B$2,-1+SUMPRODUCT(MAX(ROW(E132:E$2)*(E133=E132:E$2)))))</f>
        <v> </v>
      </c>
      <c r="J133" s="26" t="str">
        <f>IF(OR(E133="",E133="!!!",F133="NEW"),"",COUNTBLANK(OFFSET(A$1,,,SUMPRODUCT(MAX(ROW(E$2:E133)*(E133=E$2:E133)))))-COUNTBLANK(OFFSET(A$1,,,SUMPRODUCT(MAX(ROW(E$1:E132)*(E2=E$1:E132))))))</f>
        <v> </v>
      </c>
      <c r="K133" s="26" t="str">
        <f>IF(OR(E133="",E133="!!!",F133="NEW"),"",INDEX(J$1:J132,SUMPRODUCT(MAX(ROW(E$1:E132)*(E133=E$1:E132)))))</f>
        <v> </v>
      </c>
      <c r="L133" s="27"/>
    </row>
    <row r="134" spans="1:12">
      <c r="A134" s="20" t="s">
        <v>112</v>
      </c>
      <c r="E134" s="22">
        <f>IF(D134="?OLD","!!!","")</f>
        <v/>
      </c>
      <c r="F134" s="23" t="str">
        <f>IF(OR(E134="",E134="!!!"),"",IF(NOT(ISNA(VLOOKUP(E134,E$1:E133,1,FALSE()))),"OLD",IF(AND(E134&lt;&gt;"",E134&lt;&gt;"!!!"),"NEW","")))</f>
        <v> </v>
      </c>
      <c r="G134" s="24" t="str">
        <f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> </v>
      </c>
      <c r="H134" s="25" t="str">
        <f>IF(J134&lt;&gt;1,"",IF(I134="SBJ","CB","?"))</f>
        <v> </v>
      </c>
      <c r="I134" s="26" t="str">
        <f>IF(OR(E134="",E134="!!!",F134="NEW"),"",INDEX(B133:B$2,-1+SUMPRODUCT(MAX(ROW(E133:E$2)*(E134=E133:E$2)))))</f>
        <v> </v>
      </c>
      <c r="J134" s="26" t="str">
        <f>IF(OR(E134="",E134="!!!",F134="NEW"),"",COUNTBLANK(OFFSET(A$1,,,SUMPRODUCT(MAX(ROW(E$2:E134)*(E134=E$2:E134)))))-COUNTBLANK(OFFSET(A$1,,,SUMPRODUCT(MAX(ROW(E$1:E133)*(E2=E$1:E133))))))</f>
        <v> </v>
      </c>
      <c r="K134" s="26" t="str">
        <f>IF(OR(E134="",E134="!!!",F134="NEW"),"",INDEX(J$1:J133,SUMPRODUCT(MAX(ROW(E$1:E133)*(E134=E$1:E133)))))</f>
        <v> </v>
      </c>
      <c r="L134" s="27"/>
    </row>
    <row r="135" spans="1:12">
      <c r="A135" s="20" t="s">
        <v>213</v>
      </c>
      <c r="E135" s="22">
        <f>IF(D135="?OLD","!!!","")</f>
        <v/>
      </c>
      <c r="F135" s="23" t="str">
        <f>IF(OR(E135="",E135="!!!"),"",IF(NOT(ISNA(VLOOKUP(E135,E$1:E134,1,FALSE()))),"OLD",IF(AND(E135&lt;&gt;"",E135&lt;&gt;"!!!"),"NEW","")))</f>
        <v> </v>
      </c>
      <c r="G135" s="24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5" t="str">
        <f>IF(J135&lt;&gt;1,"",IF(I135="SBJ","CB","?"))</f>
        <v> </v>
      </c>
      <c r="I135" s="26" t="str">
        <f>IF(OR(E135="",E135="!!!",F135="NEW"),"",INDEX(B134:B$2,-1+SUMPRODUCT(MAX(ROW(E134:E$2)*(E135=E134:E$2)))))</f>
        <v> </v>
      </c>
      <c r="J135" s="26" t="str">
        <f>IF(OR(E135="",E135="!!!",F135="NEW"),"",COUNTBLANK(OFFSET(A$1,,,SUMPRODUCT(MAX(ROW(E$2:E135)*(E135=E$2:E135)))))-COUNTBLANK(OFFSET(A$1,,,SUMPRODUCT(MAX(ROW(E$1:E134)*(E2=E$1:E134))))))</f>
        <v> </v>
      </c>
      <c r="K135" s="26" t="str">
        <f>IF(OR(E135="",E135="!!!",F135="NEW"),"",INDEX(J$1:J134,SUMPRODUCT(MAX(ROW(E$1:E134)*(E135=E$1:E134)))))</f>
        <v> </v>
      </c>
      <c r="L135" s="27"/>
    </row>
    <row r="136" spans="1:12">
      <c r="A136" s="20" t="s">
        <v>116</v>
      </c>
      <c r="E136" s="22">
        <f>IF(D136="?OLD","!!!","")</f>
        <v/>
      </c>
      <c r="F136" s="23" t="str">
        <f>IF(OR(E136="",E136="!!!"),"",IF(NOT(ISNA(VLOOKUP(E136,E$1:E135,1,FALSE()))),"OLD",IF(AND(E136&lt;&gt;"",E136&lt;&gt;"!!!"),"NEW","")))</f>
        <v> </v>
      </c>
      <c r="G136" s="24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5" t="str">
        <f>IF(J136&lt;&gt;1,"",IF(I136="SBJ","CB","?"))</f>
        <v> </v>
      </c>
      <c r="I136" s="26" t="str">
        <f>IF(OR(E136="",E136="!!!",F136="NEW"),"",INDEX(B135:B$2,-1+SUMPRODUCT(MAX(ROW(E135:E$2)*(E136=E135:E$2)))))</f>
        <v> </v>
      </c>
      <c r="J136" s="26" t="str">
        <f>IF(OR(E136="",E136="!!!",F136="NEW"),"",COUNTBLANK(OFFSET(A$1,,,SUMPRODUCT(MAX(ROW(E$2:E136)*(E136=E$2:E136)))))-COUNTBLANK(OFFSET(A$1,,,SUMPRODUCT(MAX(ROW(E$1:E135)*(E2=E$1:E135))))))</f>
        <v> </v>
      </c>
      <c r="K136" s="26" t="str">
        <f>IF(OR(E136="",E136="!!!",F136="NEW"),"",INDEX(J$1:J135,SUMPRODUCT(MAX(ROW(E$1:E135)*(E136=E$1:E135)))))</f>
        <v> </v>
      </c>
      <c r="L136" s="27"/>
    </row>
    <row r="137" spans="1:12">
      <c r="A137" s="20" t="s">
        <v>108</v>
      </c>
      <c r="E137" s="22">
        <f>IF(D137="?OLD","!!!","")</f>
        <v/>
      </c>
      <c r="F137" s="23" t="str">
        <f>IF(OR(E137="",E137="!!!"),"",IF(NOT(ISNA(VLOOKUP(E137,E$1:E136,1,FALSE()))),"OLD",IF(AND(E137&lt;&gt;"",E137&lt;&gt;"!!!"),"NEW","")))</f>
        <v> </v>
      </c>
      <c r="G137" s="24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5" t="str">
        <f>IF(J137&lt;&gt;1,"",IF(I137="SBJ","CB","?"))</f>
        <v> </v>
      </c>
      <c r="I137" s="26" t="str">
        <f>IF(OR(E137="",E137="!!!",F137="NEW"),"",INDEX(B136:B$2,-1+SUMPRODUCT(MAX(ROW(E136:E$2)*(E137=E136:E$2)))))</f>
        <v> </v>
      </c>
      <c r="J137" s="26" t="str">
        <f>IF(OR(E137="",E137="!!!",F137="NEW"),"",COUNTBLANK(OFFSET(A$1,,,SUMPRODUCT(MAX(ROW(E$2:E137)*(E137=E$2:E137)))))-COUNTBLANK(OFFSET(A$1,,,SUMPRODUCT(MAX(ROW(E$1:E136)*(E2=E$1:E136))))))</f>
        <v> </v>
      </c>
      <c r="K137" s="26" t="str">
        <f>IF(OR(E137="",E137="!!!",F137="NEW"),"",INDEX(J$1:J136,SUMPRODUCT(MAX(ROW(E$1:E136)*(E137=E$1:E136)))))</f>
        <v> </v>
      </c>
      <c r="L137" s="27"/>
    </row>
    <row r="138" spans="1:12">
      <c r="A138" s="20" t="s">
        <v>148</v>
      </c>
      <c r="E138" s="22">
        <f>IF(D138="?OLD","!!!","")</f>
        <v/>
      </c>
      <c r="F138" s="23" t="str">
        <f>IF(OR(E138="",E138="!!!"),"",IF(NOT(ISNA(VLOOKUP(E138,E$1:E137,1,FALSE()))),"OLD",IF(AND(E138&lt;&gt;"",E138&lt;&gt;"!!!"),"NEW","")))</f>
        <v> </v>
      </c>
      <c r="G138" s="24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5" t="str">
        <f>IF(J138&lt;&gt;1,"",IF(I138="SBJ","CB","?"))</f>
        <v> </v>
      </c>
      <c r="I138" s="26" t="str">
        <f>IF(OR(E138="",E138="!!!",F138="NEW"),"",INDEX(B137:B$2,-1+SUMPRODUCT(MAX(ROW(E137:E$2)*(E138=E137:E$2)))))</f>
        <v> </v>
      </c>
      <c r="J138" s="26" t="str">
        <f>IF(OR(E138="",E138="!!!",F138="NEW"),"",COUNTBLANK(OFFSET(A$1,,,SUMPRODUCT(MAX(ROW(E$2:E138)*(E138=E$2:E138)))))-COUNTBLANK(OFFSET(A$1,,,SUMPRODUCT(MAX(ROW(E$1:E137)*(E2=E$1:E137))))))</f>
        <v> </v>
      </c>
      <c r="K138" s="26" t="str">
        <f>IF(OR(E138="",E138="!!!",F138="NEW"),"",INDEX(J$1:J137,SUMPRODUCT(MAX(ROW(E$1:E137)*(E138=E$1:E137)))))</f>
        <v> </v>
      </c>
      <c r="L138" s="27"/>
    </row>
    <row r="139" spans="1:12">
      <c r="A139" s="20" t="s">
        <v>214</v>
      </c>
      <c r="B139" s="21" t="s">
        <v>124</v>
      </c>
      <c r="C139" s="21" t="s">
        <v>147</v>
      </c>
      <c r="D139" s="21" t="s">
        <v>106</v>
      </c>
      <c r="E139" s="22">
        <f>IF(D139="?OLD","!!!","")</f>
        <v/>
      </c>
      <c r="F139" s="23" t="str">
        <f>IF(OR(E139="",E139="!!!"),"",IF(NOT(ISNA(VLOOKUP(E139,E$1:E138,1,FALSE()))),"OLD",IF(AND(E139&lt;&gt;"",E139&lt;&gt;"!!!"),"NEW","")))</f>
        <v> </v>
      </c>
      <c r="G139" s="24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5" t="str">
        <f>IF(J139&lt;&gt;1,"",IF(I139="SBJ","CB","?"))</f>
        <v> </v>
      </c>
      <c r="I139" s="26" t="str">
        <f>IF(OR(E139="",E139="!!!",F139="NEW"),"",INDEX(B138:B$2,-1+SUMPRODUCT(MAX(ROW(E138:E$2)*(E139=E138:E$2)))))</f>
        <v> </v>
      </c>
      <c r="J139" s="26" t="str">
        <f>IF(OR(E139="",E139="!!!",F139="NEW"),"",COUNTBLANK(OFFSET(A$1,,,SUMPRODUCT(MAX(ROW(E$2:E139)*(E139=E$2:E139)))))-COUNTBLANK(OFFSET(A$1,,,SUMPRODUCT(MAX(ROW(E$1:E138)*(E2=E$1:E138))))))</f>
        <v> </v>
      </c>
      <c r="K139" s="26" t="str">
        <f>IF(OR(E139="",E139="!!!",F139="NEW"),"",INDEX(J$1:J138,SUMPRODUCT(MAX(ROW(E$1:E138)*(E139=E$1:E138)))))</f>
        <v> </v>
      </c>
      <c r="L139" s="27"/>
    </row>
    <row r="140" spans="1:12">
      <c r="A140" s="20" t="s">
        <v>114</v>
      </c>
      <c r="E140" s="22">
        <f>IF(D140="?OLD","!!!","")</f>
        <v/>
      </c>
      <c r="F140" s="23" t="str">
        <f>IF(OR(E140="",E140="!!!"),"",IF(NOT(ISNA(VLOOKUP(E140,E$1:E139,1,FALSE()))),"OLD",IF(AND(E140&lt;&gt;"",E140&lt;&gt;"!!!"),"NEW","")))</f>
        <v> </v>
      </c>
      <c r="G140" s="24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5" t="str">
        <f>IF(J140&lt;&gt;1,"",IF(I140="SBJ","CB","?"))</f>
        <v> </v>
      </c>
      <c r="I140" s="26" t="str">
        <f>IF(OR(E140="",E140="!!!",F140="NEW"),"",INDEX(B139:B$2,-1+SUMPRODUCT(MAX(ROW(E139:E$2)*(E140=E139:E$2)))))</f>
        <v> </v>
      </c>
      <c r="J140" s="26" t="str">
        <f>IF(OR(E140="",E140="!!!",F140="NEW"),"",COUNTBLANK(OFFSET(A$1,,,SUMPRODUCT(MAX(ROW(E$2:E140)*(E140=E$2:E140)))))-COUNTBLANK(OFFSET(A$1,,,SUMPRODUCT(MAX(ROW(E$1:E139)*(E2=E$1:E139))))))</f>
        <v> </v>
      </c>
      <c r="K140" s="26" t="str">
        <f>IF(OR(E140="",E140="!!!",F140="NEW"),"",INDEX(J$1:J139,SUMPRODUCT(MAX(ROW(E$1:E139)*(E140=E$1:E139)))))</f>
        <v> </v>
      </c>
      <c r="L140" s="27"/>
    </row>
    <row r="141" spans="1:12">
      <c r="A141" s="20" t="s">
        <v>215</v>
      </c>
      <c r="B141" s="21" t="s">
        <v>125</v>
      </c>
      <c r="C141" s="21" t="s">
        <v>130</v>
      </c>
      <c r="E141" s="22">
        <f>IF(D141="?OLD","!!!","")</f>
        <v/>
      </c>
      <c r="F141" s="23" t="str">
        <f>IF(OR(E141="",E141="!!!"),"",IF(NOT(ISNA(VLOOKUP(E141,E$1:E140,1,FALSE()))),"OLD",IF(AND(E141&lt;&gt;"",E141&lt;&gt;"!!!"),"NEW","")))</f>
        <v> </v>
      </c>
      <c r="G141" s="24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5" t="str">
        <f>IF(J141&lt;&gt;1,"",IF(I141="SBJ","CB","?"))</f>
        <v> </v>
      </c>
      <c r="I141" s="26" t="str">
        <f>IF(OR(E141="",E141="!!!",F141="NEW"),"",INDEX(B140:B$2,-1+SUMPRODUCT(MAX(ROW(E140:E$2)*(E141=E140:E$2)))))</f>
        <v> </v>
      </c>
      <c r="J141" s="26" t="str">
        <f>IF(OR(E141="",E141="!!!",F141="NEW"),"",COUNTBLANK(OFFSET(A$1,,,SUMPRODUCT(MAX(ROW(E$2:E141)*(E141=E$2:E141)))))-COUNTBLANK(OFFSET(A$1,,,SUMPRODUCT(MAX(ROW(E$1:E140)*(E2=E$1:E140))))))</f>
        <v> </v>
      </c>
      <c r="K141" s="26" t="str">
        <f>IF(OR(E141="",E141="!!!",F141="NEW"),"",INDEX(J$1:J140,SUMPRODUCT(MAX(ROW(E$1:E140)*(E141=E$1:E140)))))</f>
        <v> </v>
      </c>
      <c r="L141" s="27"/>
    </row>
    <row r="142" spans="1:12">
      <c r="A142" s="20" t="s">
        <v>199</v>
      </c>
      <c r="E142" s="22">
        <f>IF(D142="?OLD","!!!","")</f>
        <v/>
      </c>
      <c r="F142" s="23" t="str">
        <f>IF(OR(E142="",E142="!!!"),"",IF(NOT(ISNA(VLOOKUP(E142,E$1:E141,1,FALSE()))),"OLD",IF(AND(E142&lt;&gt;"",E142&lt;&gt;"!!!"),"NEW","")))</f>
        <v> </v>
      </c>
      <c r="G142" s="24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5" t="str">
        <f>IF(J142&lt;&gt;1,"",IF(I142="SBJ","CB","?"))</f>
        <v> </v>
      </c>
      <c r="I142" s="26" t="str">
        <f>IF(OR(E142="",E142="!!!",F142="NEW"),"",INDEX(B141:B$2,-1+SUMPRODUCT(MAX(ROW(E141:E$2)*(E142=E141:E$2)))))</f>
        <v> </v>
      </c>
      <c r="J142" s="26" t="str">
        <f>IF(OR(E142="",E142="!!!",F142="NEW"),"",COUNTBLANK(OFFSET(A$1,,,SUMPRODUCT(MAX(ROW(E$2:E142)*(E142=E$2:E142)))))-COUNTBLANK(OFFSET(A$1,,,SUMPRODUCT(MAX(ROW(E$1:E141)*(E2=E$1:E141))))))</f>
        <v> </v>
      </c>
      <c r="K142" s="26" t="str">
        <f>IF(OR(E142="",E142="!!!",F142="NEW"),"",INDEX(J$1:J141,SUMPRODUCT(MAX(ROW(E$1:E141)*(E142=E$1:E141)))))</f>
        <v> </v>
      </c>
      <c r="L142" s="27"/>
    </row>
    <row r="143" spans="1:12">
      <c r="A143" s="20" t="s">
        <v>131</v>
      </c>
      <c r="E143" s="22">
        <f>IF(D143="?OLD","!!!","")</f>
        <v/>
      </c>
      <c r="F143" s="23" t="str">
        <f>IF(OR(E143="",E143="!!!"),"",IF(NOT(ISNA(VLOOKUP(E143,E$1:E142,1,FALSE()))),"OLD",IF(AND(E143&lt;&gt;"",E143&lt;&gt;"!!!"),"NEW","")))</f>
        <v> </v>
      </c>
      <c r="G143" s="24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5" t="str">
        <f>IF(J143&lt;&gt;1,"",IF(I143="SBJ","CB","?"))</f>
        <v> </v>
      </c>
      <c r="I143" s="26" t="str">
        <f>IF(OR(E143="",E143="!!!",F143="NEW"),"",INDEX(B142:B$2,-1+SUMPRODUCT(MAX(ROW(E142:E$2)*(E143=E142:E$2)))))</f>
        <v> </v>
      </c>
      <c r="J143" s="26" t="str">
        <f>IF(OR(E143="",E143="!!!",F143="NEW"),"",COUNTBLANK(OFFSET(A$1,,,SUMPRODUCT(MAX(ROW(E$2:E143)*(E143=E$2:E143)))))-COUNTBLANK(OFFSET(A$1,,,SUMPRODUCT(MAX(ROW(E$1:E142)*(E2=E$1:E142))))))</f>
        <v> </v>
      </c>
      <c r="K143" s="26" t="str">
        <f>IF(OR(E143="",E143="!!!",F143="NEW"),"",INDEX(J$1:J142,SUMPRODUCT(MAX(ROW(E$1:E142)*(E143=E$1:E142)))))</f>
        <v> </v>
      </c>
      <c r="L143" s="27"/>
    </row>
    <row r="144" spans="1:12">
      <c r="A144" s="20" t="s">
        <v>216</v>
      </c>
      <c r="B144" s="21" t="s">
        <v>110</v>
      </c>
      <c r="C144" s="21" t="s">
        <v>130</v>
      </c>
      <c r="E144" s="22">
        <f>IF(D144="?OLD","!!!","")</f>
        <v/>
      </c>
      <c r="F144" s="23" t="str">
        <f>IF(OR(E144="",E144="!!!"),"",IF(NOT(ISNA(VLOOKUP(E144,E$1:E143,1,FALSE()))),"OLD",IF(AND(E144&lt;&gt;"",E144&lt;&gt;"!!!"),"NEW","")))</f>
        <v> </v>
      </c>
      <c r="G144" s="24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> </v>
      </c>
      <c r="H144" s="25" t="str">
        <f>IF(J144&lt;&gt;1,"",IF(I144="SBJ","CB","?"))</f>
        <v> </v>
      </c>
      <c r="I144" s="26" t="str">
        <f>IF(OR(E144="",E144="!!!",F144="NEW"),"",INDEX(B143:B$2,-1+SUMPRODUCT(MAX(ROW(E143:E$2)*(E144=E143:E$2)))))</f>
        <v> </v>
      </c>
      <c r="J144" s="26" t="str">
        <f>IF(OR(E144="",E144="!!!",F144="NEW"),"",COUNTBLANK(OFFSET(A$1,,,SUMPRODUCT(MAX(ROW(E$2:E144)*(E144=E$2:E144)))))-COUNTBLANK(OFFSET(A$1,,,SUMPRODUCT(MAX(ROW(E$1:E143)*(E2=E$1:E143))))))</f>
        <v> </v>
      </c>
      <c r="K144" s="26" t="str">
        <f>IF(OR(E144="",E144="!!!",F144="NEW"),"",INDEX(J$1:J143,SUMPRODUCT(MAX(ROW(E$1:E143)*(E144=E$1:E143)))))</f>
        <v> </v>
      </c>
      <c r="L144" s="27"/>
    </row>
    <row r="145" spans="1:12">
      <c r="A145" s="20" t="s">
        <v>189</v>
      </c>
      <c r="B145" s="21" t="s">
        <v>124</v>
      </c>
      <c r="C145" s="21" t="s">
        <v>188</v>
      </c>
      <c r="E145" s="22">
        <f>IF(D145="?OLD","!!!","")</f>
        <v/>
      </c>
      <c r="F145" s="23" t="str">
        <f>IF(OR(E145="",E145="!!!"),"",IF(NOT(ISNA(VLOOKUP(E145,E$1:E144,1,FALSE()))),"OLD",IF(AND(E145&lt;&gt;"",E145&lt;&gt;"!!!"),"NEW","")))</f>
        <v> </v>
      </c>
      <c r="G145" s="24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25" t="str">
        <f>IF(J145&lt;&gt;1,"",IF(I145="SBJ","CB","?"))</f>
        <v> </v>
      </c>
      <c r="I145" s="26" t="str">
        <f>IF(OR(E145="",E145="!!!",F145="NEW"),"",INDEX(B144:B$2,-1+SUMPRODUCT(MAX(ROW(E144:E$2)*(E145=E144:E$2)))))</f>
        <v> </v>
      </c>
      <c r="J145" s="26" t="str">
        <f>IF(OR(E145="",E145="!!!",F145="NEW"),"",COUNTBLANK(OFFSET(A$1,,,SUMPRODUCT(MAX(ROW(E$2:E145)*(E145=E$2:E145)))))-COUNTBLANK(OFFSET(A$1,,,SUMPRODUCT(MAX(ROW(E$1:E144)*(E2=E$1:E144))))))</f>
        <v> </v>
      </c>
      <c r="K145" s="26" t="str">
        <f>IF(OR(E145="",E145="!!!",F145="NEW"),"",INDEX(J$1:J144,SUMPRODUCT(MAX(ROW(E$1:E144)*(E145=E$1:E144)))))</f>
        <v> </v>
      </c>
      <c r="L145" s="27"/>
    </row>
    <row r="146" spans="1:12">
      <c r="A146" s="20" t="s">
        <v>217</v>
      </c>
      <c r="E146" s="22">
        <f>IF(D146="?OLD","!!!","")</f>
        <v/>
      </c>
      <c r="F146" s="23" t="str">
        <f>IF(OR(E146="",E146="!!!"),"",IF(NOT(ISNA(VLOOKUP(E146,E$1:E145,1,FALSE()))),"OLD",IF(AND(E146&lt;&gt;"",E146&lt;&gt;"!!!"),"NEW","")))</f>
        <v> </v>
      </c>
      <c r="G146" s="24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5" t="str">
        <f>IF(J146&lt;&gt;1,"",IF(I146="SBJ","CB","?"))</f>
        <v> </v>
      </c>
      <c r="I146" s="26" t="str">
        <f>IF(OR(E146="",E146="!!!",F146="NEW"),"",INDEX(B145:B$2,-1+SUMPRODUCT(MAX(ROW(E145:E$2)*(E146=E145:E$2)))))</f>
        <v> </v>
      </c>
      <c r="J146" s="26" t="str">
        <f>IF(OR(E146="",E146="!!!",F146="NEW"),"",COUNTBLANK(OFFSET(A$1,,,SUMPRODUCT(MAX(ROW(E$2:E146)*(E146=E$2:E146)))))-COUNTBLANK(OFFSET(A$1,,,SUMPRODUCT(MAX(ROW(E$1:E145)*(E2=E$1:E145))))))</f>
        <v> </v>
      </c>
      <c r="K146" s="26" t="str">
        <f>IF(OR(E146="",E146="!!!",F146="NEW"),"",INDEX(J$1:J145,SUMPRODUCT(MAX(ROW(E$1:E145)*(E146=E$1:E145)))))</f>
        <v> </v>
      </c>
      <c r="L146" s="27"/>
    </row>
    <row r="147" spans="1:12">
      <c r="A147" s="20" t="s">
        <v>218</v>
      </c>
      <c r="B147" s="21" t="s">
        <v>110</v>
      </c>
      <c r="C147" s="21" t="s">
        <v>147</v>
      </c>
      <c r="D147" s="21" t="s">
        <v>106</v>
      </c>
      <c r="E147" s="22">
        <f>IF(D147="?OLD","!!!","")</f>
        <v/>
      </c>
      <c r="F147" s="23" t="str">
        <f>IF(OR(E147="",E147="!!!"),"",IF(NOT(ISNA(VLOOKUP(E147,E$1:E146,1,FALSE()))),"OLD",IF(AND(E147&lt;&gt;"",E147&lt;&gt;"!!!"),"NEW","")))</f>
        <v> </v>
      </c>
      <c r="G147" s="24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5" t="str">
        <f>IF(J147&lt;&gt;1,"",IF(I147="SBJ","CB","?"))</f>
        <v> </v>
      </c>
      <c r="I147" s="26" t="str">
        <f>IF(OR(E147="",E147="!!!",F147="NEW"),"",INDEX(B146:B$2,-1+SUMPRODUCT(MAX(ROW(E146:E$2)*(E147=E146:E$2)))))</f>
        <v> </v>
      </c>
      <c r="J147" s="26" t="str">
        <f>IF(OR(E147="",E147="!!!",F147="NEW"),"",COUNTBLANK(OFFSET(A$1,,,SUMPRODUCT(MAX(ROW(E$2:E147)*(E147=E$2:E147)))))-COUNTBLANK(OFFSET(A$1,,,SUMPRODUCT(MAX(ROW(E$1:E146)*(E2=E$1:E146))))))</f>
        <v> </v>
      </c>
      <c r="K147" s="26" t="str">
        <f>IF(OR(E147="",E147="!!!",F147="NEW"),"",INDEX(J$1:J146,SUMPRODUCT(MAX(ROW(E$1:E146)*(E147=E$1:E146)))))</f>
        <v> </v>
      </c>
      <c r="L147" s="27"/>
    </row>
    <row r="148" spans="1:12">
      <c r="A148" s="20" t="s">
        <v>219</v>
      </c>
      <c r="E148" s="22">
        <f>IF(D148="?OLD","!!!","")</f>
        <v/>
      </c>
      <c r="F148" s="23" t="str">
        <f>IF(OR(E148="",E148="!!!"),"",IF(NOT(ISNA(VLOOKUP(E148,E$1:E147,1,FALSE()))),"OLD",IF(AND(E148&lt;&gt;"",E148&lt;&gt;"!!!"),"NEW","")))</f>
        <v> </v>
      </c>
      <c r="G148" s="24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5" t="str">
        <f>IF(J148&lt;&gt;1,"",IF(I148="SBJ","CB","?"))</f>
        <v> </v>
      </c>
      <c r="I148" s="26" t="str">
        <f>IF(OR(E148="",E148="!!!",F148="NEW"),"",INDEX(B147:B$2,-1+SUMPRODUCT(MAX(ROW(E147:E$2)*(E148=E147:E$2)))))</f>
        <v> </v>
      </c>
      <c r="J148" s="26" t="str">
        <f>IF(OR(E148="",E148="!!!",F148="NEW"),"",COUNTBLANK(OFFSET(A$1,,,SUMPRODUCT(MAX(ROW(E$2:E148)*(E148=E$2:E148)))))-COUNTBLANK(OFFSET(A$1,,,SUMPRODUCT(MAX(ROW(E$1:E147)*(E2=E$1:E147))))))</f>
        <v> </v>
      </c>
      <c r="K148" s="26" t="str">
        <f>IF(OR(E148="",E148="!!!",F148="NEW"),"",INDEX(J$1:J147,SUMPRODUCT(MAX(ROW(E$1:E147)*(E148=E$1:E147)))))</f>
        <v> </v>
      </c>
      <c r="L148" s="27"/>
    </row>
    <row r="149" spans="1:12">
      <c r="A149" s="20" t="s">
        <v>220</v>
      </c>
      <c r="E149" s="22">
        <f>IF(D149="?OLD","!!!","")</f>
        <v/>
      </c>
      <c r="F149" s="23" t="str">
        <f>IF(OR(E149="",E149="!!!"),"",IF(NOT(ISNA(VLOOKUP(E149,E$1:E148,1,FALSE()))),"OLD",IF(AND(E149&lt;&gt;"",E149&lt;&gt;"!!!"),"NEW","")))</f>
        <v> </v>
      </c>
      <c r="G149" s="24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> </v>
      </c>
      <c r="H149" s="25" t="str">
        <f>IF(J149&lt;&gt;1,"",IF(I149="SBJ","CB","?"))</f>
        <v> </v>
      </c>
      <c r="I149" s="26" t="str">
        <f>IF(OR(E149="",E149="!!!",F149="NEW"),"",INDEX(B148:B$2,-1+SUMPRODUCT(MAX(ROW(E148:E$2)*(E149=E148:E$2)))))</f>
        <v> </v>
      </c>
      <c r="J149" s="26" t="str">
        <f>IF(OR(E149="",E149="!!!",F149="NEW"),"",COUNTBLANK(OFFSET(A$1,,,SUMPRODUCT(MAX(ROW(E$2:E149)*(E149=E$2:E149)))))-COUNTBLANK(OFFSET(A$1,,,SUMPRODUCT(MAX(ROW(E$1:E148)*(E2=E$1:E148))))))</f>
        <v> </v>
      </c>
      <c r="K149" s="26" t="str">
        <f>IF(OR(E149="",E149="!!!",F149="NEW"),"",INDEX(J$1:J148,SUMPRODUCT(MAX(ROW(E$1:E148)*(E149=E$1:E148)))))</f>
        <v> </v>
      </c>
      <c r="L149" s="27"/>
    </row>
    <row r="150" spans="1:12">
      <c r="A150" s="20" t="s">
        <v>135</v>
      </c>
      <c r="E150" s="22">
        <f>IF(D150="?OLD","!!!","")</f>
        <v/>
      </c>
      <c r="F150" s="23" t="str">
        <f>IF(OR(E150="",E150="!!!"),"",IF(NOT(ISNA(VLOOKUP(E150,E$1:E149,1,FALSE()))),"OLD",IF(AND(E150&lt;&gt;"",E150&lt;&gt;"!!!"),"NEW","")))</f>
        <v> </v>
      </c>
      <c r="G150" s="24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5" t="str">
        <f>IF(J150&lt;&gt;1,"",IF(I150="SBJ","CB","?"))</f>
        <v> </v>
      </c>
      <c r="I150" s="26" t="str">
        <f>IF(OR(E150="",E150="!!!",F150="NEW"),"",INDEX(B149:B$2,-1+SUMPRODUCT(MAX(ROW(E149:E$2)*(E150=E149:E$2)))))</f>
        <v> </v>
      </c>
      <c r="J150" s="26" t="str">
        <f>IF(OR(E150="",E150="!!!",F150="NEW"),"",COUNTBLANK(OFFSET(A$1,,,SUMPRODUCT(MAX(ROW(E$2:E150)*(E150=E$2:E150)))))-COUNTBLANK(OFFSET(A$1,,,SUMPRODUCT(MAX(ROW(E$1:E149)*(E2=E$1:E149))))))</f>
        <v> </v>
      </c>
      <c r="K150" s="26" t="str">
        <f>IF(OR(E150="",E150="!!!",F150="NEW"),"",INDEX(J$1:J149,SUMPRODUCT(MAX(ROW(E$1:E149)*(E150=E$1:E149)))))</f>
        <v> </v>
      </c>
      <c r="L150" s="27"/>
    </row>
    <row r="151" spans="1:12">
      <c r="A151" s="20"/>
    </row>
    <row r="152" spans="1:12">
      <c r="A152" s="20" t="s">
        <v>221</v>
      </c>
    </row>
    <row r="153" spans="1:12">
      <c r="A153" s="20" t="s">
        <v>103</v>
      </c>
      <c r="B153" s="21" t="s">
        <v>139</v>
      </c>
      <c r="C153" s="21" t="s">
        <v>105</v>
      </c>
      <c r="D153" s="21" t="s">
        <v>106</v>
      </c>
      <c r="E153" s="22">
        <f>IF(D153="?OLD","!!!","")</f>
        <v/>
      </c>
      <c r="F153" s="23" t="str">
        <f>IF(OR(E153="",E153="!!!"),"",IF(NOT(ISNA(VLOOKUP(E153,E$1:E152,1,FALSE()))),"OLD",IF(AND(E153&lt;&gt;"",E153&lt;&gt;"!!!"),"NEW","")))</f>
        <v> </v>
      </c>
      <c r="G153" s="24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> </v>
      </c>
      <c r="H153" s="25" t="str">
        <f>IF(J153&lt;&gt;1,"",IF(I153="SBJ","CB","?"))</f>
        <v> </v>
      </c>
      <c r="I153" s="26" t="str">
        <f>IF(OR(E153="",E153="!!!",F153="NEW"),"",INDEX(B152:B$2,-1+SUMPRODUCT(MAX(ROW(E152:E$2)*(E153=E152:E$2)))))</f>
        <v> </v>
      </c>
      <c r="J153" s="26" t="str">
        <f>IF(OR(E153="",E153="!!!",F153="NEW"),"",COUNTBLANK(OFFSET(A$1,,,SUMPRODUCT(MAX(ROW(E$2:E153)*(E153=E$2:E153)))))-COUNTBLANK(OFFSET(A$1,,,SUMPRODUCT(MAX(ROW(E$1:E152)*(E2=E$1:E152))))))</f>
        <v> </v>
      </c>
      <c r="K153" s="26" t="str">
        <f>IF(OR(E153="",E153="!!!",F153="NEW"),"",INDEX(J$1:J152,SUMPRODUCT(MAX(ROW(E$1:E152)*(E153=E$1:E152)))))</f>
        <v> </v>
      </c>
      <c r="L153" s="27"/>
    </row>
    <row r="154" spans="1:12">
      <c r="A154" s="20" t="s">
        <v>222</v>
      </c>
      <c r="E154" s="22">
        <f>IF(D154="?OLD","!!!","")</f>
        <v/>
      </c>
      <c r="F154" s="23" t="str">
        <f>IF(OR(E154="",E154="!!!"),"",IF(NOT(ISNA(VLOOKUP(E154,E$1:E153,1,FALSE()))),"OLD",IF(AND(E154&lt;&gt;"",E154&lt;&gt;"!!!"),"NEW","")))</f>
        <v> </v>
      </c>
      <c r="G154" s="24" t="str">
        <f>IF(OR(E154="",E154="!!!"),"",IF(OR(J154=0,AND(J154=1,K154=1),AND(J154=1,I154="SBJ"),AND(J154=1,I154=0)),"?IN_FOCUS",IF(J154&lt;=2,"?ACTIVATED",IF(J154&lt;&gt;"","?FAMILIAR",IF(F154="NEW",IF(ISNA(VLOOKUP(E154,#REF!,1,FALSE())),"?TYPE_IDENTIFIABLE","?REFERENTIAL"),"_")))))</f>
        <v> </v>
      </c>
      <c r="H154" s="25" t="str">
        <f>IF(J154&lt;&gt;1,"",IF(I154="SBJ","CB","?"))</f>
        <v> </v>
      </c>
      <c r="I154" s="26" t="str">
        <f>IF(OR(E154="",E154="!!!",F154="NEW"),"",INDEX(B153:B$2,-1+SUMPRODUCT(MAX(ROW(E153:E$2)*(E154=E153:E$2)))))</f>
        <v> </v>
      </c>
      <c r="J154" s="26" t="str">
        <f>IF(OR(E154="",E154="!!!",F154="NEW"),"",COUNTBLANK(OFFSET(A$1,,,SUMPRODUCT(MAX(ROW(E$2:E154)*(E154=E$2:E154)))))-COUNTBLANK(OFFSET(A$1,,,SUMPRODUCT(MAX(ROW(E$1:E153)*(E2=E$1:E153))))))</f>
        <v> </v>
      </c>
      <c r="K154" s="26" t="str">
        <f>IF(OR(E154="",E154="!!!",F154="NEW"),"",INDEX(J$1:J153,SUMPRODUCT(MAX(ROW(E$1:E153)*(E154=E$1:E153)))))</f>
        <v> </v>
      </c>
      <c r="L154" s="27"/>
    </row>
    <row r="155" spans="1:12">
      <c r="A155" s="20" t="s">
        <v>223</v>
      </c>
      <c r="B155" s="21" t="s">
        <v>157</v>
      </c>
      <c r="C155" s="21" t="s">
        <v>130</v>
      </c>
      <c r="E155" s="22">
        <f>IF(D155="?OLD","!!!","")</f>
        <v/>
      </c>
      <c r="F155" s="23" t="str">
        <f>IF(OR(E155="",E155="!!!"),"",IF(NOT(ISNA(VLOOKUP(E155,E$1:E154,1,FALSE()))),"OLD",IF(AND(E155&lt;&gt;"",E155&lt;&gt;"!!!"),"NEW","")))</f>
        <v> </v>
      </c>
      <c r="G155" s="24" t="str">
        <f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 </v>
      </c>
      <c r="H155" s="25" t="str">
        <f>IF(J155&lt;&gt;1,"",IF(I155="SBJ","CB","?"))</f>
        <v> </v>
      </c>
      <c r="I155" s="26" t="str">
        <f>IF(OR(E155="",E155="!!!",F155="NEW"),"",INDEX(B154:B$2,-1+SUMPRODUCT(MAX(ROW(E154:E$2)*(E155=E154:E$2)))))</f>
        <v> </v>
      </c>
      <c r="J155" s="26" t="str">
        <f>IF(OR(E155="",E155="!!!",F155="NEW"),"",COUNTBLANK(OFFSET(A$1,,,SUMPRODUCT(MAX(ROW(E$2:E155)*(E155=E$2:E155)))))-COUNTBLANK(OFFSET(A$1,,,SUMPRODUCT(MAX(ROW(E$1:E154)*(E2=E$1:E154))))))</f>
        <v> </v>
      </c>
      <c r="K155" s="26" t="str">
        <f>IF(OR(E155="",E155="!!!",F155="NEW"),"",INDEX(J$1:J154,SUMPRODUCT(MAX(ROW(E$1:E154)*(E155=E$1:E154)))))</f>
        <v> </v>
      </c>
      <c r="L155" s="27"/>
    </row>
    <row r="156" spans="1:12">
      <c r="A156" s="20" t="s">
        <v>116</v>
      </c>
      <c r="E156" s="22">
        <f>IF(D156="?OLD","!!!","")</f>
        <v/>
      </c>
      <c r="F156" s="23" t="str">
        <f>IF(OR(E156="",E156="!!!"),"",IF(NOT(ISNA(VLOOKUP(E156,E$1:E155,1,FALSE()))),"OLD",IF(AND(E156&lt;&gt;"",E156&lt;&gt;"!!!"),"NEW","")))</f>
        <v> </v>
      </c>
      <c r="G156" s="24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5" t="str">
        <f>IF(J156&lt;&gt;1,"",IF(I156="SBJ","CB","?"))</f>
        <v> </v>
      </c>
      <c r="I156" s="26" t="str">
        <f>IF(OR(E156="",E156="!!!",F156="NEW"),"",INDEX(B155:B$2,-1+SUMPRODUCT(MAX(ROW(E155:E$2)*(E156=E155:E$2)))))</f>
        <v> </v>
      </c>
      <c r="J156" s="26" t="str">
        <f>IF(OR(E156="",E156="!!!",F156="NEW"),"",COUNTBLANK(OFFSET(A$1,,,SUMPRODUCT(MAX(ROW(E$2:E156)*(E156=E$2:E156)))))-COUNTBLANK(OFFSET(A$1,,,SUMPRODUCT(MAX(ROW(E$1:E155)*(E2=E$1:E155))))))</f>
        <v> </v>
      </c>
      <c r="K156" s="26" t="str">
        <f>IF(OR(E156="",E156="!!!",F156="NEW"),"",INDEX(J$1:J155,SUMPRODUCT(MAX(ROW(E$1:E155)*(E156=E$1:E155)))))</f>
        <v> </v>
      </c>
      <c r="L156" s="27"/>
    </row>
    <row r="157" spans="1:12">
      <c r="A157" s="20" t="s">
        <v>224</v>
      </c>
      <c r="B157" s="21" t="s">
        <v>225</v>
      </c>
      <c r="E157" s="22">
        <f>IF(D157="?OLD","!!!","")</f>
        <v/>
      </c>
      <c r="F157" s="23" t="str">
        <f>IF(OR(E157="",E157="!!!"),"",IF(NOT(ISNA(VLOOKUP(E157,E$1:E156,1,FALSE()))),"OLD",IF(AND(E157&lt;&gt;"",E157&lt;&gt;"!!!"),"NEW","")))</f>
        <v> </v>
      </c>
      <c r="G157" s="24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5" t="str">
        <f>IF(J157&lt;&gt;1,"",IF(I157="SBJ","CB","?"))</f>
        <v> </v>
      </c>
      <c r="I157" s="26" t="str">
        <f>IF(OR(E157="",E157="!!!",F157="NEW"),"",INDEX(B156:B$2,-1+SUMPRODUCT(MAX(ROW(E156:E$2)*(E157=E156:E$2)))))</f>
        <v> </v>
      </c>
      <c r="J157" s="26" t="str">
        <f>IF(OR(E157="",E157="!!!",F157="NEW"),"",COUNTBLANK(OFFSET(A$1,,,SUMPRODUCT(MAX(ROW(E$2:E157)*(E157=E$2:E157)))))-COUNTBLANK(OFFSET(A$1,,,SUMPRODUCT(MAX(ROW(E$1:E156)*(E2=E$1:E156))))))</f>
        <v> </v>
      </c>
      <c r="K157" s="26" t="str">
        <f>IF(OR(E157="",E157="!!!",F157="NEW"),"",INDEX(J$1:J156,SUMPRODUCT(MAX(ROW(E$1:E156)*(E157=E$1:E156)))))</f>
        <v> </v>
      </c>
      <c r="L157" s="27"/>
    </row>
    <row r="158" spans="1:12">
      <c r="A158" s="20" t="s">
        <v>172</v>
      </c>
      <c r="B158" s="21" t="s">
        <v>198</v>
      </c>
      <c r="C158" s="21" t="s">
        <v>105</v>
      </c>
      <c r="D158" s="21" t="s">
        <v>106</v>
      </c>
      <c r="E158" s="22">
        <f>IF(D158="?OLD","!!!","")</f>
        <v/>
      </c>
      <c r="F158" s="23" t="str">
        <f>IF(OR(E158="",E158="!!!"),"",IF(NOT(ISNA(VLOOKUP(E158,E$1:E157,1,FALSE()))),"OLD",IF(AND(E158&lt;&gt;"",E158&lt;&gt;"!!!"),"NEW","")))</f>
        <v> </v>
      </c>
      <c r="G158" s="24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5" t="str">
        <f>IF(J158&lt;&gt;1,"",IF(I158="SBJ","CB","?"))</f>
        <v> </v>
      </c>
      <c r="I158" s="26" t="str">
        <f>IF(OR(E158="",E158="!!!",F158="NEW"),"",INDEX(B157:B$2,-1+SUMPRODUCT(MAX(ROW(E157:E$2)*(E158=E157:E$2)))))</f>
        <v> </v>
      </c>
      <c r="J158" s="26" t="str">
        <f>IF(OR(E158="",E158="!!!",F158="NEW"),"",COUNTBLANK(OFFSET(A$1,,,SUMPRODUCT(MAX(ROW(E$2:E158)*(E158=E$2:E158)))))-COUNTBLANK(OFFSET(A$1,,,SUMPRODUCT(MAX(ROW(E$1:E157)*(E2=E$1:E157))))))</f>
        <v> </v>
      </c>
      <c r="K158" s="26" t="str">
        <f>IF(OR(E158="",E158="!!!",F158="NEW"),"",INDEX(J$1:J157,SUMPRODUCT(MAX(ROW(E$1:E157)*(E158=E$1:E157)))))</f>
        <v> </v>
      </c>
      <c r="L158" s="27"/>
    </row>
    <row r="159" spans="1:12">
      <c r="A159" s="20" t="s">
        <v>226</v>
      </c>
      <c r="E159" s="22">
        <f>IF(D159="?OLD","!!!","")</f>
        <v/>
      </c>
      <c r="F159" s="23" t="str">
        <f>IF(OR(E159="",E159="!!!"),"",IF(NOT(ISNA(VLOOKUP(E159,E$1:E158,1,FALSE()))),"OLD",IF(AND(E159&lt;&gt;"",E159&lt;&gt;"!!!"),"NEW","")))</f>
        <v> </v>
      </c>
      <c r="G159" s="24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5" t="str">
        <f>IF(J159&lt;&gt;1,"",IF(I159="SBJ","CB","?"))</f>
        <v> </v>
      </c>
      <c r="I159" s="26" t="str">
        <f>IF(OR(E159="",E159="!!!",F159="NEW"),"",INDEX(B158:B$2,-1+SUMPRODUCT(MAX(ROW(E158:E$2)*(E159=E158:E$2)))))</f>
        <v> </v>
      </c>
      <c r="J159" s="26" t="str">
        <f>IF(OR(E159="",E159="!!!",F159="NEW"),"",COUNTBLANK(OFFSET(A$1,,,SUMPRODUCT(MAX(ROW(E$2:E159)*(E159=E$2:E159)))))-COUNTBLANK(OFFSET(A$1,,,SUMPRODUCT(MAX(ROW(E$1:E158)*(E2=E$1:E158))))))</f>
        <v> </v>
      </c>
      <c r="K159" s="26" t="str">
        <f>IF(OR(E159="",E159="!!!",F159="NEW"),"",INDEX(J$1:J158,SUMPRODUCT(MAX(ROW(E$1:E158)*(E159=E$1:E158)))))</f>
        <v> </v>
      </c>
      <c r="L159" s="27"/>
    </row>
    <row r="160" spans="1:12">
      <c r="A160" s="20" t="s">
        <v>116</v>
      </c>
      <c r="E160" s="22">
        <f>IF(D160="?OLD","!!!","")</f>
        <v/>
      </c>
      <c r="F160" s="23" t="str">
        <f>IF(OR(E160="",E160="!!!"),"",IF(NOT(ISNA(VLOOKUP(E160,E$1:E159,1,FALSE()))),"OLD",IF(AND(E160&lt;&gt;"",E160&lt;&gt;"!!!"),"NEW","")))</f>
        <v> </v>
      </c>
      <c r="G160" s="24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> </v>
      </c>
      <c r="H160" s="25" t="str">
        <f>IF(J160&lt;&gt;1,"",IF(I160="SBJ","CB","?"))</f>
        <v> </v>
      </c>
      <c r="I160" s="26" t="str">
        <f>IF(OR(E160="",E160="!!!",F160="NEW"),"",INDEX(B159:B$2,-1+SUMPRODUCT(MAX(ROW(E159:E$2)*(E160=E159:E$2)))))</f>
        <v> </v>
      </c>
      <c r="J160" s="26" t="str">
        <f>IF(OR(E160="",E160="!!!",F160="NEW"),"",COUNTBLANK(OFFSET(A$1,,,SUMPRODUCT(MAX(ROW(E$2:E160)*(E160=E$2:E160)))))-COUNTBLANK(OFFSET(A$1,,,SUMPRODUCT(MAX(ROW(E$1:E159)*(E2=E$1:E159))))))</f>
        <v> </v>
      </c>
      <c r="K160" s="26" t="str">
        <f>IF(OR(E160="",E160="!!!",F160="NEW"),"",INDEX(J$1:J159,SUMPRODUCT(MAX(ROW(E$1:E159)*(E160=E$1:E159)))))</f>
        <v> </v>
      </c>
      <c r="L160" s="27"/>
    </row>
    <row r="161" spans="1:12">
      <c r="A161" s="20" t="s">
        <v>227</v>
      </c>
      <c r="E161" s="22">
        <f>IF(D161="?OLD","!!!","")</f>
        <v/>
      </c>
      <c r="F161" s="23" t="str">
        <f>IF(OR(E161="",E161="!!!"),"",IF(NOT(ISNA(VLOOKUP(E161,E$1:E160,1,FALSE()))),"OLD",IF(AND(E161&lt;&gt;"",E161&lt;&gt;"!!!"),"NEW","")))</f>
        <v> </v>
      </c>
      <c r="G161" s="24" t="str">
        <f>IF(OR(E161="",E161="!!!"),"",IF(OR(J161=0,AND(J161=1,K161=1),AND(J161=1,I161="SBJ"),AND(J161=1,I161=0)),"?IN_FOCUS",IF(J161&lt;=2,"?ACTIVATED",IF(J161&lt;&gt;"","?FAMILIAR",IF(F161="NEW",IF(ISNA(VLOOKUP(E161,#REF!,1,FALSE())),"?TYPE_IDENTIFIABLE","?REFERENTIAL"),"_")))))</f>
        <v> </v>
      </c>
      <c r="H161" s="25" t="str">
        <f>IF(J161&lt;&gt;1,"",IF(I161="SBJ","CB","?"))</f>
        <v> </v>
      </c>
      <c r="I161" s="26" t="str">
        <f>IF(OR(E161="",E161="!!!",F161="NEW"),"",INDEX(B160:B$2,-1+SUMPRODUCT(MAX(ROW(E160:E$2)*(E161=E160:E$2)))))</f>
        <v> </v>
      </c>
      <c r="J161" s="26" t="str">
        <f>IF(OR(E161="",E161="!!!",F161="NEW"),"",COUNTBLANK(OFFSET(A$1,,,SUMPRODUCT(MAX(ROW(E$2:E161)*(E161=E$2:E161)))))-COUNTBLANK(OFFSET(A$1,,,SUMPRODUCT(MAX(ROW(E$1:E160)*(E2=E$1:E160))))))</f>
        <v> </v>
      </c>
      <c r="K161" s="26" t="str">
        <f>IF(OR(E161="",E161="!!!",F161="NEW"),"",INDEX(J$1:J160,SUMPRODUCT(MAX(ROW(E$1:E160)*(E161=E$1:E160)))))</f>
        <v> </v>
      </c>
      <c r="L161" s="27"/>
    </row>
    <row r="162" spans="1:12">
      <c r="A162" s="20" t="s">
        <v>116</v>
      </c>
      <c r="E162" s="22">
        <f>IF(D162="?OLD","!!!","")</f>
        <v/>
      </c>
      <c r="F162" s="23" t="str">
        <f>IF(OR(E162="",E162="!!!"),"",IF(NOT(ISNA(VLOOKUP(E162,E$1:E161,1,FALSE()))),"OLD",IF(AND(E162&lt;&gt;"",E162&lt;&gt;"!!!"),"NEW","")))</f>
        <v> </v>
      </c>
      <c r="G162" s="24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25" t="str">
        <f>IF(J162&lt;&gt;1,"",IF(I162="SBJ","CB","?"))</f>
        <v> </v>
      </c>
      <c r="I162" s="26" t="str">
        <f>IF(OR(E162="",E162="!!!",F162="NEW"),"",INDEX(B161:B$2,-1+SUMPRODUCT(MAX(ROW(E161:E$2)*(E162=E161:E$2)))))</f>
        <v> </v>
      </c>
      <c r="J162" s="26" t="str">
        <f>IF(OR(E162="",E162="!!!",F162="NEW"),"",COUNTBLANK(OFFSET(A$1,,,SUMPRODUCT(MAX(ROW(E$2:E162)*(E162=E$2:E162)))))-COUNTBLANK(OFFSET(A$1,,,SUMPRODUCT(MAX(ROW(E$1:E161)*(E2=E$1:E161))))))</f>
        <v> </v>
      </c>
      <c r="K162" s="26" t="str">
        <f>IF(OR(E162="",E162="!!!",F162="NEW"),"",INDEX(J$1:J161,SUMPRODUCT(MAX(ROW(E$1:E161)*(E162=E$1:E161)))))</f>
        <v> </v>
      </c>
      <c r="L162" s="27"/>
    </row>
    <row r="163" spans="1:12">
      <c r="A163" s="20" t="s">
        <v>228</v>
      </c>
      <c r="E163" s="22">
        <f>IF(D163="?OLD","!!!","")</f>
        <v/>
      </c>
      <c r="F163" s="23" t="str">
        <f>IF(OR(E163="",E163="!!!"),"",IF(NOT(ISNA(VLOOKUP(E163,E$1:E162,1,FALSE()))),"OLD",IF(AND(E163&lt;&gt;"",E163&lt;&gt;"!!!"),"NEW","")))</f>
        <v> </v>
      </c>
      <c r="G163" s="24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 </v>
      </c>
      <c r="H163" s="25" t="str">
        <f>IF(J163&lt;&gt;1,"",IF(I163="SBJ","CB","?"))</f>
        <v> </v>
      </c>
      <c r="I163" s="26" t="str">
        <f>IF(OR(E163="",E163="!!!",F163="NEW"),"",INDEX(B162:B$2,-1+SUMPRODUCT(MAX(ROW(E162:E$2)*(E163=E162:E$2)))))</f>
        <v> </v>
      </c>
      <c r="J163" s="26" t="str">
        <f>IF(OR(E163="",E163="!!!",F163="NEW"),"",COUNTBLANK(OFFSET(A$1,,,SUMPRODUCT(MAX(ROW(E$2:E163)*(E163=E$2:E163)))))-COUNTBLANK(OFFSET(A$1,,,SUMPRODUCT(MAX(ROW(E$1:E162)*(E2=E$1:E162))))))</f>
        <v> </v>
      </c>
      <c r="K163" s="26" t="str">
        <f>IF(OR(E163="",E163="!!!",F163="NEW"),"",INDEX(J$1:J162,SUMPRODUCT(MAX(ROW(E$1:E162)*(E163=E$1:E162)))))</f>
        <v> </v>
      </c>
      <c r="L163" s="27"/>
    </row>
    <row r="164" spans="1:12">
      <c r="A164" s="20" t="s">
        <v>210</v>
      </c>
      <c r="B164" s="21" t="s">
        <v>198</v>
      </c>
      <c r="C164" s="21" t="s">
        <v>175</v>
      </c>
      <c r="D164" s="21" t="s">
        <v>106</v>
      </c>
      <c r="E164" s="22">
        <f>IF(D164="?OLD","!!!","")</f>
        <v/>
      </c>
      <c r="F164" s="23" t="str">
        <f>IF(OR(E164="",E164="!!!"),"",IF(NOT(ISNA(VLOOKUP(E164,E$1:E163,1,FALSE()))),"OLD",IF(AND(E164&lt;&gt;"",E164&lt;&gt;"!!!"),"NEW","")))</f>
        <v> </v>
      </c>
      <c r="G164" s="24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5" t="str">
        <f>IF(J164&lt;&gt;1,"",IF(I164="SBJ","CB","?"))</f>
        <v> </v>
      </c>
      <c r="I164" s="26" t="str">
        <f>IF(OR(E164="",E164="!!!",F164="NEW"),"",INDEX(B163:B$2,-1+SUMPRODUCT(MAX(ROW(E163:E$2)*(E164=E163:E$2)))))</f>
        <v> </v>
      </c>
      <c r="J164" s="26" t="str">
        <f>IF(OR(E164="",E164="!!!",F164="NEW"),"",COUNTBLANK(OFFSET(A$1,,,SUMPRODUCT(MAX(ROW(E$2:E164)*(E164=E$2:E164)))))-COUNTBLANK(OFFSET(A$1,,,SUMPRODUCT(MAX(ROW(E$1:E163)*(E2=E$1:E163))))))</f>
        <v> </v>
      </c>
      <c r="K164" s="26" t="str">
        <f>IF(OR(E164="",E164="!!!",F164="NEW"),"",INDEX(J$1:J163,SUMPRODUCT(MAX(ROW(E$1:E163)*(E164=E$1:E163)))))</f>
        <v> </v>
      </c>
      <c r="L164" s="27"/>
    </row>
    <row r="165" spans="1:12">
      <c r="A165" s="20" t="s">
        <v>229</v>
      </c>
      <c r="B165" s="21" t="s">
        <v>225</v>
      </c>
      <c r="E165" s="22">
        <f>IF(D165="?OLD","!!!","")</f>
        <v/>
      </c>
      <c r="F165" s="23" t="str">
        <f>IF(OR(E165="",E165="!!!"),"",IF(NOT(ISNA(VLOOKUP(E165,E$1:E164,1,FALSE()))),"OLD",IF(AND(E165&lt;&gt;"",E165&lt;&gt;"!!!"),"NEW","")))</f>
        <v> </v>
      </c>
      <c r="G165" s="24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5" t="str">
        <f>IF(J165&lt;&gt;1,"",IF(I165="SBJ","CB","?"))</f>
        <v> </v>
      </c>
      <c r="I165" s="26" t="str">
        <f>IF(OR(E165="",E165="!!!",F165="NEW"),"",INDEX(B164:B$2,-1+SUMPRODUCT(MAX(ROW(E164:E$2)*(E165=E164:E$2)))))</f>
        <v> </v>
      </c>
      <c r="J165" s="26" t="str">
        <f>IF(OR(E165="",E165="!!!",F165="NEW"),"",COUNTBLANK(OFFSET(A$1,,,SUMPRODUCT(MAX(ROW(E$2:E165)*(E165=E$2:E165)))))-COUNTBLANK(OFFSET(A$1,,,SUMPRODUCT(MAX(ROW(E$1:E164)*(E2=E$1:E164))))))</f>
        <v> </v>
      </c>
      <c r="K165" s="26" t="str">
        <f>IF(OR(E165="",E165="!!!",F165="NEW"),"",INDEX(J$1:J164,SUMPRODUCT(MAX(ROW(E$1:E164)*(E165=E$1:E164)))))</f>
        <v> </v>
      </c>
      <c r="L165" s="27"/>
    </row>
    <row r="166" spans="1:12">
      <c r="A166" s="20" t="s">
        <v>212</v>
      </c>
      <c r="E166" s="22">
        <f>IF(D166="?OLD","!!!","")</f>
        <v/>
      </c>
      <c r="F166" s="23" t="str">
        <f>IF(OR(E166="",E166="!!!"),"",IF(NOT(ISNA(VLOOKUP(E166,E$1:E165,1,FALSE()))),"OLD",IF(AND(E166&lt;&gt;"",E166&lt;&gt;"!!!"),"NEW","")))</f>
        <v> </v>
      </c>
      <c r="G166" s="24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5" t="str">
        <f>IF(J166&lt;&gt;1,"",IF(I166="SBJ","CB","?"))</f>
        <v> </v>
      </c>
      <c r="I166" s="26" t="str">
        <f>IF(OR(E166="",E166="!!!",F166="NEW"),"",INDEX(B165:B$2,-1+SUMPRODUCT(MAX(ROW(E165:E$2)*(E166=E165:E$2)))))</f>
        <v> </v>
      </c>
      <c r="J166" s="26" t="str">
        <f>IF(OR(E166="",E166="!!!",F166="NEW"),"",COUNTBLANK(OFFSET(A$1,,,SUMPRODUCT(MAX(ROW(E$2:E166)*(E166=E$2:E166)))))-COUNTBLANK(OFFSET(A$1,,,SUMPRODUCT(MAX(ROW(E$1:E165)*(E2=E$1:E165))))))</f>
        <v> </v>
      </c>
      <c r="K166" s="26" t="str">
        <f>IF(OR(E166="",E166="!!!",F166="NEW"),"",INDEX(J$1:J165,SUMPRODUCT(MAX(ROW(E$1:E165)*(E166=E$1:E165)))))</f>
        <v> </v>
      </c>
      <c r="L166" s="27"/>
    </row>
    <row r="167" spans="1:12">
      <c r="A167" s="20" t="s">
        <v>161</v>
      </c>
      <c r="B167" s="21" t="s">
        <v>195</v>
      </c>
      <c r="C167" s="21" t="s">
        <v>162</v>
      </c>
      <c r="D167" s="21" t="s">
        <v>106</v>
      </c>
      <c r="E167" s="22">
        <f>IF(D167="?OLD","!!!","")</f>
        <v/>
      </c>
      <c r="F167" s="23" t="str">
        <f>IF(OR(E167="",E167="!!!"),"",IF(NOT(ISNA(VLOOKUP(E167,E$1:E166,1,FALSE()))),"OLD",IF(AND(E167&lt;&gt;"",E167&lt;&gt;"!!!"),"NEW","")))</f>
        <v> </v>
      </c>
      <c r="G167" s="24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5" t="str">
        <f>IF(J167&lt;&gt;1,"",IF(I167="SBJ","CB","?"))</f>
        <v> </v>
      </c>
      <c r="I167" s="26" t="str">
        <f>IF(OR(E167="",E167="!!!",F167="NEW"),"",INDEX(B166:B$2,-1+SUMPRODUCT(MAX(ROW(E166:E$2)*(E167=E166:E$2)))))</f>
        <v> </v>
      </c>
      <c r="J167" s="26" t="str">
        <f>IF(OR(E167="",E167="!!!",F167="NEW"),"",COUNTBLANK(OFFSET(A$1,,,SUMPRODUCT(MAX(ROW(E$2:E167)*(E167=E$2:E167)))))-COUNTBLANK(OFFSET(A$1,,,SUMPRODUCT(MAX(ROW(E$1:E166)*(E2=E$1:E166))))))</f>
        <v> </v>
      </c>
      <c r="K167" s="26" t="str">
        <f>IF(OR(E167="",E167="!!!",F167="NEW"),"",INDEX(J$1:J166,SUMPRODUCT(MAX(ROW(E$1:E166)*(E167=E$1:E166)))))</f>
        <v> </v>
      </c>
      <c r="L167" s="27"/>
    </row>
    <row r="168" spans="1:12">
      <c r="A168" s="20" t="s">
        <v>230</v>
      </c>
      <c r="B168" s="21" t="s">
        <v>125</v>
      </c>
      <c r="C168" s="21" t="s">
        <v>164</v>
      </c>
      <c r="D168" s="21" t="s">
        <v>106</v>
      </c>
      <c r="E168" s="22">
        <f>IF(D168="?OLD","!!!","")</f>
        <v/>
      </c>
      <c r="F168" s="23" t="str">
        <f>IF(OR(E168="",E168="!!!"),"",IF(NOT(ISNA(VLOOKUP(E168,E$1:E167,1,FALSE()))),"OLD",IF(AND(E168&lt;&gt;"",E168&lt;&gt;"!!!"),"NEW","")))</f>
        <v> </v>
      </c>
      <c r="G168" s="24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> </v>
      </c>
      <c r="H168" s="25" t="str">
        <f>IF(J168&lt;&gt;1,"",IF(I168="SBJ","CB","?"))</f>
        <v> </v>
      </c>
      <c r="I168" s="26" t="str">
        <f>IF(OR(E168="",E168="!!!",F168="NEW"),"",INDEX(B167:B$2,-1+SUMPRODUCT(MAX(ROW(E167:E$2)*(E168=E167:E$2)))))</f>
        <v> </v>
      </c>
      <c r="J168" s="26" t="str">
        <f>IF(OR(E168="",E168="!!!",F168="NEW"),"",COUNTBLANK(OFFSET(A$1,,,SUMPRODUCT(MAX(ROW(E$2:E168)*(E168=E$2:E168)))))-COUNTBLANK(OFFSET(A$1,,,SUMPRODUCT(MAX(ROW(E$1:E167)*(E2=E$1:E167))))))</f>
        <v> </v>
      </c>
      <c r="K168" s="26" t="str">
        <f>IF(OR(E168="",E168="!!!",F168="NEW"),"",INDEX(J$1:J167,SUMPRODUCT(MAX(ROW(E$1:E167)*(E168=E$1:E167)))))</f>
        <v> </v>
      </c>
      <c r="L168" s="27"/>
    </row>
    <row r="169" spans="1:12">
      <c r="A169" s="20" t="s">
        <v>231</v>
      </c>
      <c r="E169" s="22">
        <f>IF(D169="?OLD","!!!","")</f>
        <v/>
      </c>
      <c r="F169" s="23" t="str">
        <f>IF(OR(E169="",E169="!!!"),"",IF(NOT(ISNA(VLOOKUP(E169,E$1:E168,1,FALSE()))),"OLD",IF(AND(E169&lt;&gt;"",E169&lt;&gt;"!!!"),"NEW","")))</f>
        <v> </v>
      </c>
      <c r="G169" s="24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 </v>
      </c>
      <c r="H169" s="25" t="str">
        <f>IF(J169&lt;&gt;1,"",IF(I169="SBJ","CB","?"))</f>
        <v> </v>
      </c>
      <c r="I169" s="26" t="str">
        <f>IF(OR(E169="",E169="!!!",F169="NEW"),"",INDEX(B168:B$2,-1+SUMPRODUCT(MAX(ROW(E168:E$2)*(E169=E168:E$2)))))</f>
        <v> </v>
      </c>
      <c r="J169" s="26" t="str">
        <f>IF(OR(E169="",E169="!!!",F169="NEW"),"",COUNTBLANK(OFFSET(A$1,,,SUMPRODUCT(MAX(ROW(E$2:E169)*(E169=E$2:E169)))))-COUNTBLANK(OFFSET(A$1,,,SUMPRODUCT(MAX(ROW(E$1:E168)*(E2=E$1:E168))))))</f>
        <v> </v>
      </c>
      <c r="K169" s="26" t="str">
        <f>IF(OR(E169="",E169="!!!",F169="NEW"),"",INDEX(J$1:J168,SUMPRODUCT(MAX(ROW(E$1:E168)*(E169=E$1:E168)))))</f>
        <v> </v>
      </c>
      <c r="L169" s="27"/>
    </row>
    <row r="170" spans="1:12">
      <c r="A170" s="20" t="s">
        <v>116</v>
      </c>
      <c r="E170" s="22">
        <f>IF(D170="?OLD","!!!","")</f>
        <v/>
      </c>
      <c r="F170" s="23" t="str">
        <f>IF(OR(E170="",E170="!!!"),"",IF(NOT(ISNA(VLOOKUP(E170,E$1:E169,1,FALSE()))),"OLD",IF(AND(E170&lt;&gt;"",E170&lt;&gt;"!!!"),"NEW","")))</f>
        <v> </v>
      </c>
      <c r="G170" s="24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5" t="str">
        <f>IF(J170&lt;&gt;1,"",IF(I170="SBJ","CB","?"))</f>
        <v> </v>
      </c>
      <c r="I170" s="26" t="str">
        <f>IF(OR(E170="",E170="!!!",F170="NEW"),"",INDEX(B169:B$2,-1+SUMPRODUCT(MAX(ROW(E169:E$2)*(E170=E169:E$2)))))</f>
        <v> </v>
      </c>
      <c r="J170" s="26" t="str">
        <f>IF(OR(E170="",E170="!!!",F170="NEW"),"",COUNTBLANK(OFFSET(A$1,,,SUMPRODUCT(MAX(ROW(E$2:E170)*(E170=E$2:E170)))))-COUNTBLANK(OFFSET(A$1,,,SUMPRODUCT(MAX(ROW(E$1:E169)*(E2=E$1:E169))))))</f>
        <v> </v>
      </c>
      <c r="K170" s="26" t="str">
        <f>IF(OR(E170="",E170="!!!",F170="NEW"),"",INDEX(J$1:J169,SUMPRODUCT(MAX(ROW(E$1:E169)*(E170=E$1:E169)))))</f>
        <v> </v>
      </c>
      <c r="L170" s="27"/>
    </row>
    <row r="171" spans="1:12">
      <c r="A171" s="20" t="s">
        <v>232</v>
      </c>
      <c r="E171" s="22">
        <f>IF(D171="?OLD","!!!","")</f>
        <v/>
      </c>
      <c r="F171" s="23" t="str">
        <f>IF(OR(E171="",E171="!!!"),"",IF(NOT(ISNA(VLOOKUP(E171,E$1:E170,1,FALSE()))),"OLD",IF(AND(E171&lt;&gt;"",E171&lt;&gt;"!!!"),"NEW","")))</f>
        <v> </v>
      </c>
      <c r="G171" s="24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5" t="str">
        <f>IF(J171&lt;&gt;1,"",IF(I171="SBJ","CB","?"))</f>
        <v> </v>
      </c>
      <c r="I171" s="26" t="str">
        <f>IF(OR(E171="",E171="!!!",F171="NEW"),"",INDEX(B170:B$2,-1+SUMPRODUCT(MAX(ROW(E170:E$2)*(E171=E170:E$2)))))</f>
        <v> </v>
      </c>
      <c r="J171" s="26" t="str">
        <f>IF(OR(E171="",E171="!!!",F171="NEW"),"",COUNTBLANK(OFFSET(A$1,,,SUMPRODUCT(MAX(ROW(E$2:E171)*(E171=E$2:E171)))))-COUNTBLANK(OFFSET(A$1,,,SUMPRODUCT(MAX(ROW(E$1:E170)*(E2=E$1:E170))))))</f>
        <v> </v>
      </c>
      <c r="K171" s="26" t="str">
        <f>IF(OR(E171="",E171="!!!",F171="NEW"),"",INDEX(J$1:J170,SUMPRODUCT(MAX(ROW(E$1:E170)*(E171=E$1:E170)))))</f>
        <v> </v>
      </c>
      <c r="L171" s="27"/>
    </row>
    <row r="172" spans="1:12">
      <c r="A172" s="20" t="s">
        <v>233</v>
      </c>
      <c r="E172" s="22">
        <f>IF(D172="?OLD","!!!","")</f>
        <v/>
      </c>
      <c r="F172" s="23" t="str">
        <f>IF(OR(E172="",E172="!!!"),"",IF(NOT(ISNA(VLOOKUP(E172,E$1:E171,1,FALSE()))),"OLD",IF(AND(E172&lt;&gt;"",E172&lt;&gt;"!!!"),"NEW","")))</f>
        <v> </v>
      </c>
      <c r="G172" s="24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5" t="str">
        <f>IF(J172&lt;&gt;1,"",IF(I172="SBJ","CB","?"))</f>
        <v> </v>
      </c>
      <c r="I172" s="26" t="str">
        <f>IF(OR(E172="",E172="!!!",F172="NEW"),"",INDEX(B171:B$2,-1+SUMPRODUCT(MAX(ROW(E171:E$2)*(E172=E171:E$2)))))</f>
        <v> </v>
      </c>
      <c r="J172" s="26" t="str">
        <f>IF(OR(E172="",E172="!!!",F172="NEW"),"",COUNTBLANK(OFFSET(A$1,,,SUMPRODUCT(MAX(ROW(E$2:E172)*(E172=E$2:E172)))))-COUNTBLANK(OFFSET(A$1,,,SUMPRODUCT(MAX(ROW(E$1:E171)*(E2=E$1:E171))))))</f>
        <v> </v>
      </c>
      <c r="K172" s="26" t="str">
        <f>IF(OR(E172="",E172="!!!",F172="NEW"),"",INDEX(J$1:J171,SUMPRODUCT(MAX(ROW(E$1:E171)*(E172=E$1:E171)))))</f>
        <v> </v>
      </c>
      <c r="L172" s="27"/>
    </row>
    <row r="173" spans="1:12">
      <c r="A173" s="20" t="s">
        <v>234</v>
      </c>
      <c r="B173" s="21" t="s">
        <v>235</v>
      </c>
      <c r="C173" s="21" t="s">
        <v>122</v>
      </c>
      <c r="E173" s="22">
        <f>IF(D173="?OLD","!!!","")</f>
        <v/>
      </c>
      <c r="F173" s="23" t="str">
        <f>IF(OR(E173="",E173="!!!"),"",IF(NOT(ISNA(VLOOKUP(E173,E$1:E172,1,FALSE()))),"OLD",IF(AND(E173&lt;&gt;"",E173&lt;&gt;"!!!"),"NEW","")))</f>
        <v> </v>
      </c>
      <c r="G173" s="24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25" t="str">
        <f>IF(J173&lt;&gt;1,"",IF(I173="SBJ","CB","?"))</f>
        <v> </v>
      </c>
      <c r="I173" s="26" t="str">
        <f>IF(OR(E173="",E173="!!!",F173="NEW"),"",INDEX(B172:B$2,-1+SUMPRODUCT(MAX(ROW(E172:E$2)*(E173=E172:E$2)))))</f>
        <v> </v>
      </c>
      <c r="J173" s="26" t="str">
        <f>IF(OR(E173="",E173="!!!",F173="NEW"),"",COUNTBLANK(OFFSET(A$1,,,SUMPRODUCT(MAX(ROW(E$2:E173)*(E173=E$2:E173)))))-COUNTBLANK(OFFSET(A$1,,,SUMPRODUCT(MAX(ROW(E$1:E172)*(E2=E$1:E172))))))</f>
        <v> </v>
      </c>
      <c r="K173" s="26" t="str">
        <f>IF(OR(E173="",E173="!!!",F173="NEW"),"",INDEX(J$1:J172,SUMPRODUCT(MAX(ROW(E$1:E172)*(E173=E$1:E172)))))</f>
        <v> </v>
      </c>
      <c r="L173" s="27"/>
    </row>
    <row r="174" spans="1:12">
      <c r="A174" s="20" t="s">
        <v>236</v>
      </c>
      <c r="E174" s="22">
        <f>IF(D174="?OLD","!!!","")</f>
        <v/>
      </c>
      <c r="F174" s="23" t="str">
        <f>IF(OR(E174="",E174="!!!"),"",IF(NOT(ISNA(VLOOKUP(E174,E$1:E173,1,FALSE()))),"OLD",IF(AND(E174&lt;&gt;"",E174&lt;&gt;"!!!"),"NEW","")))</f>
        <v> </v>
      </c>
      <c r="G174" s="24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5" t="str">
        <f>IF(J174&lt;&gt;1,"",IF(I174="SBJ","CB","?"))</f>
        <v> </v>
      </c>
      <c r="I174" s="26" t="str">
        <f>IF(OR(E174="",E174="!!!",F174="NEW"),"",INDEX(B173:B$2,-1+SUMPRODUCT(MAX(ROW(E173:E$2)*(E174=E173:E$2)))))</f>
        <v> </v>
      </c>
      <c r="J174" s="26" t="str">
        <f>IF(OR(E174="",E174="!!!",F174="NEW"),"",COUNTBLANK(OFFSET(A$1,,,SUMPRODUCT(MAX(ROW(E$2:E174)*(E174=E$2:E174)))))-COUNTBLANK(OFFSET(A$1,,,SUMPRODUCT(MAX(ROW(E$1:E173)*(E2=E$1:E173))))))</f>
        <v> </v>
      </c>
      <c r="K174" s="26" t="str">
        <f>IF(OR(E174="",E174="!!!",F174="NEW"),"",INDEX(J$1:J173,SUMPRODUCT(MAX(ROW(E$1:E173)*(E174=E$1:E173)))))</f>
        <v> </v>
      </c>
      <c r="L174" s="27"/>
    </row>
    <row r="175" spans="1:12">
      <c r="A175" s="20" t="s">
        <v>237</v>
      </c>
      <c r="B175" s="21" t="s">
        <v>238</v>
      </c>
      <c r="C175" s="21" t="s">
        <v>105</v>
      </c>
      <c r="D175" s="21" t="s">
        <v>106</v>
      </c>
      <c r="E175" s="22">
        <f>IF(D175="?OLD","!!!","")</f>
        <v/>
      </c>
      <c r="F175" s="23" t="str">
        <f>IF(OR(E175="",E175="!!!"),"",IF(NOT(ISNA(VLOOKUP(E175,E$1:E174,1,FALSE()))),"OLD",IF(AND(E175&lt;&gt;"",E175&lt;&gt;"!!!"),"NEW","")))</f>
        <v> </v>
      </c>
      <c r="G175" s="24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5" t="str">
        <f>IF(J175&lt;&gt;1,"",IF(I175="SBJ","CB","?"))</f>
        <v> </v>
      </c>
      <c r="I175" s="26" t="str">
        <f>IF(OR(E175="",E175="!!!",F175="NEW"),"",INDEX(B174:B$2,-1+SUMPRODUCT(MAX(ROW(E174:E$2)*(E175=E174:E$2)))))</f>
        <v> </v>
      </c>
      <c r="J175" s="26" t="str">
        <f>IF(OR(E175="",E175="!!!",F175="NEW"),"",COUNTBLANK(OFFSET(A$1,,,SUMPRODUCT(MAX(ROW(E$2:E175)*(E175=E$2:E175)))))-COUNTBLANK(OFFSET(A$1,,,SUMPRODUCT(MAX(ROW(E$1:E174)*(E2=E$1:E174))))))</f>
        <v> </v>
      </c>
      <c r="K175" s="26" t="str">
        <f>IF(OR(E175="",E175="!!!",F175="NEW"),"",INDEX(J$1:J174,SUMPRODUCT(MAX(ROW(E$1:E174)*(E175=E$1:E174)))))</f>
        <v> </v>
      </c>
      <c r="L175" s="27"/>
    </row>
    <row r="176" spans="1:12">
      <c r="A176" s="20" t="s">
        <v>239</v>
      </c>
      <c r="E176" s="22">
        <f>IF(D176="?OLD","!!!","")</f>
        <v/>
      </c>
      <c r="F176" s="23" t="str">
        <f>IF(OR(E176="",E176="!!!"),"",IF(NOT(ISNA(VLOOKUP(E176,E$1:E175,1,FALSE()))),"OLD",IF(AND(E176&lt;&gt;"",E176&lt;&gt;"!!!"),"NEW","")))</f>
        <v> </v>
      </c>
      <c r="G176" s="24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> </v>
      </c>
      <c r="H176" s="25" t="str">
        <f>IF(J176&lt;&gt;1,"",IF(I176="SBJ","CB","?"))</f>
        <v> </v>
      </c>
      <c r="I176" s="26" t="str">
        <f>IF(OR(E176="",E176="!!!",F176="NEW"),"",INDEX(B175:B$2,-1+SUMPRODUCT(MAX(ROW(E175:E$2)*(E176=E175:E$2)))))</f>
        <v> </v>
      </c>
      <c r="J176" s="26" t="str">
        <f>IF(OR(E176="",E176="!!!",F176="NEW"),"",COUNTBLANK(OFFSET(A$1,,,SUMPRODUCT(MAX(ROW(E$2:E176)*(E176=E$2:E176)))))-COUNTBLANK(OFFSET(A$1,,,SUMPRODUCT(MAX(ROW(E$1:E175)*(E2=E$1:E175))))))</f>
        <v> </v>
      </c>
      <c r="K176" s="26" t="str">
        <f>IF(OR(E176="",E176="!!!",F176="NEW"),"",INDEX(J$1:J175,SUMPRODUCT(MAX(ROW(E$1:E175)*(E176=E$1:E175)))))</f>
        <v> </v>
      </c>
      <c r="L176" s="27"/>
    </row>
    <row r="177" spans="1:12">
      <c r="A177" s="20" t="s">
        <v>116</v>
      </c>
      <c r="E177" s="22">
        <f>IF(D177="?OLD","!!!","")</f>
        <v/>
      </c>
      <c r="F177" s="23" t="str">
        <f>IF(OR(E177="",E177="!!!"),"",IF(NOT(ISNA(VLOOKUP(E177,E$1:E176,1,FALSE()))),"OLD",IF(AND(E177&lt;&gt;"",E177&lt;&gt;"!!!"),"NEW","")))</f>
        <v> </v>
      </c>
      <c r="G177" s="24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25" t="str">
        <f>IF(J177&lt;&gt;1,"",IF(I177="SBJ","CB","?"))</f>
        <v> </v>
      </c>
      <c r="I177" s="26" t="str">
        <f>IF(OR(E177="",E177="!!!",F177="NEW"),"",INDEX(B176:B$2,-1+SUMPRODUCT(MAX(ROW(E176:E$2)*(E177=E176:E$2)))))</f>
        <v> </v>
      </c>
      <c r="J177" s="26" t="str">
        <f>IF(OR(E177="",E177="!!!",F177="NEW"),"",COUNTBLANK(OFFSET(A$1,,,SUMPRODUCT(MAX(ROW(E$2:E177)*(E177=E$2:E177)))))-COUNTBLANK(OFFSET(A$1,,,SUMPRODUCT(MAX(ROW(E$1:E176)*(E2=E$1:E176))))))</f>
        <v> </v>
      </c>
      <c r="K177" s="26" t="str">
        <f>IF(OR(E177="",E177="!!!",F177="NEW"),"",INDEX(J$1:J176,SUMPRODUCT(MAX(ROW(E$1:E176)*(E177=E$1:E176)))))</f>
        <v> </v>
      </c>
      <c r="L177" s="27"/>
    </row>
    <row r="178" spans="1:12">
      <c r="A178" s="20" t="s">
        <v>114</v>
      </c>
      <c r="E178" s="22">
        <f>IF(D178="?OLD","!!!","")</f>
        <v/>
      </c>
      <c r="F178" s="23" t="str">
        <f>IF(OR(E178="",E178="!!!"),"",IF(NOT(ISNA(VLOOKUP(E178,E$1:E177,1,FALSE()))),"OLD",IF(AND(E178&lt;&gt;"",E178&lt;&gt;"!!!"),"NEW","")))</f>
        <v> </v>
      </c>
      <c r="G178" s="24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> </v>
      </c>
      <c r="H178" s="25" t="str">
        <f>IF(J178&lt;&gt;1,"",IF(I178="SBJ","CB","?"))</f>
        <v> </v>
      </c>
      <c r="I178" s="26" t="str">
        <f>IF(OR(E178="",E178="!!!",F178="NEW"),"",INDEX(B177:B$2,-1+SUMPRODUCT(MAX(ROW(E177:E$2)*(E178=E177:E$2)))))</f>
        <v> </v>
      </c>
      <c r="J178" s="26" t="str">
        <f>IF(OR(E178="",E178="!!!",F178="NEW"),"",COUNTBLANK(OFFSET(A$1,,,SUMPRODUCT(MAX(ROW(E$2:E178)*(E178=E$2:E178)))))-COUNTBLANK(OFFSET(A$1,,,SUMPRODUCT(MAX(ROW(E$1:E177)*(E2=E$1:E177))))))</f>
        <v> </v>
      </c>
      <c r="K178" s="26" t="str">
        <f>IF(OR(E178="",E178="!!!",F178="NEW"),"",INDEX(J$1:J177,SUMPRODUCT(MAX(ROW(E$1:E177)*(E178=E$1:E177)))))</f>
        <v> </v>
      </c>
      <c r="L178" s="27"/>
    </row>
    <row r="179" spans="1:12">
      <c r="A179" s="20" t="s">
        <v>240</v>
      </c>
      <c r="E179" s="22">
        <f>IF(D179="?OLD","!!!","")</f>
        <v/>
      </c>
      <c r="F179" s="23" t="str">
        <f>IF(OR(E179="",E179="!!!"),"",IF(NOT(ISNA(VLOOKUP(E179,E$1:E178,1,FALSE()))),"OLD",IF(AND(E179&lt;&gt;"",E179&lt;&gt;"!!!"),"NEW","")))</f>
        <v> </v>
      </c>
      <c r="G179" s="24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5" t="str">
        <f>IF(J179&lt;&gt;1,"",IF(I179="SBJ","CB","?"))</f>
        <v> </v>
      </c>
      <c r="I179" s="26" t="str">
        <f>IF(OR(E179="",E179="!!!",F179="NEW"),"",INDEX(B178:B$2,-1+SUMPRODUCT(MAX(ROW(E178:E$2)*(E179=E178:E$2)))))</f>
        <v> </v>
      </c>
      <c r="J179" s="26" t="str">
        <f>IF(OR(E179="",E179="!!!",F179="NEW"),"",COUNTBLANK(OFFSET(A$1,,,SUMPRODUCT(MAX(ROW(E$2:E179)*(E179=E$2:E179)))))-COUNTBLANK(OFFSET(A$1,,,SUMPRODUCT(MAX(ROW(E$1:E178)*(E2=E$1:E178))))))</f>
        <v> </v>
      </c>
      <c r="K179" s="26" t="str">
        <f>IF(OR(E179="",E179="!!!",F179="NEW"),"",INDEX(J$1:J178,SUMPRODUCT(MAX(ROW(E$1:E178)*(E179=E$1:E178)))))</f>
        <v> </v>
      </c>
      <c r="L179" s="27"/>
    </row>
    <row r="180" spans="1:12">
      <c r="A180" s="20" t="s">
        <v>116</v>
      </c>
      <c r="E180" s="22">
        <f>IF(D180="?OLD","!!!","")</f>
        <v/>
      </c>
      <c r="F180" s="23" t="str">
        <f>IF(OR(E180="",E180="!!!"),"",IF(NOT(ISNA(VLOOKUP(E180,E$1:E179,1,FALSE()))),"OLD",IF(AND(E180&lt;&gt;"",E180&lt;&gt;"!!!"),"NEW","")))</f>
        <v> </v>
      </c>
      <c r="G180" s="24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5" t="str">
        <f>IF(J180&lt;&gt;1,"",IF(I180="SBJ","CB","?"))</f>
        <v> </v>
      </c>
      <c r="I180" s="26" t="str">
        <f>IF(OR(E180="",E180="!!!",F180="NEW"),"",INDEX(B179:B$2,-1+SUMPRODUCT(MAX(ROW(E179:E$2)*(E180=E179:E$2)))))</f>
        <v> </v>
      </c>
      <c r="J180" s="26" t="str">
        <f>IF(OR(E180="",E180="!!!",F180="NEW"),"",COUNTBLANK(OFFSET(A$1,,,SUMPRODUCT(MAX(ROW(E$2:E180)*(E180=E$2:E180)))))-COUNTBLANK(OFFSET(A$1,,,SUMPRODUCT(MAX(ROW(E$1:E179)*(E2=E$1:E179))))))</f>
        <v> </v>
      </c>
      <c r="K180" s="26" t="str">
        <f>IF(OR(E180="",E180="!!!",F180="NEW"),"",INDEX(J$1:J179,SUMPRODUCT(MAX(ROW(E$1:E179)*(E180=E$1:E179)))))</f>
        <v> </v>
      </c>
      <c r="L180" s="27"/>
    </row>
    <row r="181" spans="1:12">
      <c r="A181" s="20" t="s">
        <v>193</v>
      </c>
      <c r="E181" s="22">
        <f>IF(D181="?OLD","!!!","")</f>
        <v/>
      </c>
      <c r="F181" s="23" t="str">
        <f>IF(OR(E181="",E181="!!!"),"",IF(NOT(ISNA(VLOOKUP(E181,E$1:E180,1,FALSE()))),"OLD",IF(AND(E181&lt;&gt;"",E181&lt;&gt;"!!!"),"NEW","")))</f>
        <v> </v>
      </c>
      <c r="G181" s="24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5" t="str">
        <f>IF(J181&lt;&gt;1,"",IF(I181="SBJ","CB","?"))</f>
        <v> </v>
      </c>
      <c r="I181" s="26" t="str">
        <f>IF(OR(E181="",E181="!!!",F181="NEW"),"",INDEX(B180:B$2,-1+SUMPRODUCT(MAX(ROW(E180:E$2)*(E181=E180:E$2)))))</f>
        <v> </v>
      </c>
      <c r="J181" s="26" t="str">
        <f>IF(OR(E181="",E181="!!!",F181="NEW"),"",COUNTBLANK(OFFSET(A$1,,,SUMPRODUCT(MAX(ROW(E$2:E181)*(E181=E$2:E181)))))-COUNTBLANK(OFFSET(A$1,,,SUMPRODUCT(MAX(ROW(E$1:E180)*(E2=E$1:E180))))))</f>
        <v> </v>
      </c>
      <c r="K181" s="26" t="str">
        <f>IF(OR(E181="",E181="!!!",F181="NEW"),"",INDEX(J$1:J180,SUMPRODUCT(MAX(ROW(E$1:E180)*(E181=E$1:E180)))))</f>
        <v> </v>
      </c>
      <c r="L181" s="27"/>
    </row>
    <row r="182" spans="1:12">
      <c r="A182" s="20" t="s">
        <v>241</v>
      </c>
      <c r="B182" s="21" t="s">
        <v>104</v>
      </c>
      <c r="C182" s="21" t="s">
        <v>175</v>
      </c>
      <c r="D182" s="21" t="s">
        <v>106</v>
      </c>
      <c r="E182" s="22">
        <f>IF(D182="?OLD","!!!","")</f>
        <v/>
      </c>
      <c r="F182" s="23" t="str">
        <f>IF(OR(E182="",E182="!!!"),"",IF(NOT(ISNA(VLOOKUP(E182,E$1:E181,1,FALSE()))),"OLD",IF(AND(E182&lt;&gt;"",E182&lt;&gt;"!!!"),"NEW","")))</f>
        <v> </v>
      </c>
      <c r="G182" s="24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25" t="str">
        <f>IF(J182&lt;&gt;1,"",IF(I182="SBJ","CB","?"))</f>
        <v> </v>
      </c>
      <c r="I182" s="26" t="str">
        <f>IF(OR(E182="",E182="!!!",F182="NEW"),"",INDEX(B181:B$2,-1+SUMPRODUCT(MAX(ROW(E181:E$2)*(E182=E181:E$2)))))</f>
        <v> </v>
      </c>
      <c r="J182" s="26" t="str">
        <f>IF(OR(E182="",E182="!!!",F182="NEW"),"",COUNTBLANK(OFFSET(A$1,,,SUMPRODUCT(MAX(ROW(E$2:E182)*(E182=E$2:E182)))))-COUNTBLANK(OFFSET(A$1,,,SUMPRODUCT(MAX(ROW(E$1:E181)*(E2=E$1:E181))))))</f>
        <v> </v>
      </c>
      <c r="K182" s="26" t="str">
        <f>IF(OR(E182="",E182="!!!",F182="NEW"),"",INDEX(J$1:J181,SUMPRODUCT(MAX(ROW(E$1:E181)*(E182=E$1:E181)))))</f>
        <v> </v>
      </c>
      <c r="L182" s="27"/>
    </row>
    <row r="183" spans="1:12">
      <c r="A183" s="20" t="s">
        <v>217</v>
      </c>
      <c r="E183" s="22">
        <f>IF(D183="?OLD","!!!","")</f>
        <v/>
      </c>
      <c r="F183" s="23" t="str">
        <f>IF(OR(E183="",E183="!!!"),"",IF(NOT(ISNA(VLOOKUP(E183,E$1:E182,1,FALSE()))),"OLD",IF(AND(E183&lt;&gt;"",E183&lt;&gt;"!!!"),"NEW","")))</f>
        <v> </v>
      </c>
      <c r="G183" s="24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> </v>
      </c>
      <c r="H183" s="25" t="str">
        <f>IF(J183&lt;&gt;1,"",IF(I183="SBJ","CB","?"))</f>
        <v> </v>
      </c>
      <c r="I183" s="26" t="str">
        <f>IF(OR(E183="",E183="!!!",F183="NEW"),"",INDEX(B182:B$2,-1+SUMPRODUCT(MAX(ROW(E182:E$2)*(E183=E182:E$2)))))</f>
        <v> </v>
      </c>
      <c r="J183" s="26" t="str">
        <f>IF(OR(E183="",E183="!!!",F183="NEW"),"",COUNTBLANK(OFFSET(A$1,,,SUMPRODUCT(MAX(ROW(E$2:E183)*(E183=E$2:E183)))))-COUNTBLANK(OFFSET(A$1,,,SUMPRODUCT(MAX(ROW(E$1:E182)*(E2=E$1:E182))))))</f>
        <v> </v>
      </c>
      <c r="K183" s="26" t="str">
        <f>IF(OR(E183="",E183="!!!",F183="NEW"),"",INDEX(J$1:J182,SUMPRODUCT(MAX(ROW(E$1:E182)*(E183=E$1:E182)))))</f>
        <v> </v>
      </c>
      <c r="L183" s="27"/>
    </row>
    <row r="184" spans="1:12">
      <c r="A184" s="20" t="s">
        <v>242</v>
      </c>
      <c r="B184" s="21" t="s">
        <v>104</v>
      </c>
      <c r="C184" s="21" t="s">
        <v>147</v>
      </c>
      <c r="D184" s="21" t="s">
        <v>106</v>
      </c>
      <c r="E184" s="22">
        <f>IF(D184="?OLD","!!!","")</f>
        <v/>
      </c>
      <c r="F184" s="23" t="str">
        <f>IF(OR(E184="",E184="!!!"),"",IF(NOT(ISNA(VLOOKUP(E184,E$1:E183,1,FALSE()))),"OLD",IF(AND(E184&lt;&gt;"",E184&lt;&gt;"!!!"),"NEW","")))</f>
        <v> </v>
      </c>
      <c r="G184" s="24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25" t="str">
        <f>IF(J184&lt;&gt;1,"",IF(I184="SBJ","CB","?"))</f>
        <v> </v>
      </c>
      <c r="I184" s="26" t="str">
        <f>IF(OR(E184="",E184="!!!",F184="NEW"),"",INDEX(B183:B$2,-1+SUMPRODUCT(MAX(ROW(E183:E$2)*(E184=E183:E$2)))))</f>
        <v> </v>
      </c>
      <c r="J184" s="26" t="str">
        <f>IF(OR(E184="",E184="!!!",F184="NEW"),"",COUNTBLANK(OFFSET(A$1,,,SUMPRODUCT(MAX(ROW(E$2:E184)*(E184=E$2:E184)))))-COUNTBLANK(OFFSET(A$1,,,SUMPRODUCT(MAX(ROW(E$1:E183)*(E2=E$1:E183))))))</f>
        <v> </v>
      </c>
      <c r="K184" s="26" t="str">
        <f>IF(OR(E184="",E184="!!!",F184="NEW"),"",INDEX(J$1:J183,SUMPRODUCT(MAX(ROW(E$1:E183)*(E184=E$1:E183)))))</f>
        <v> </v>
      </c>
      <c r="L184" s="27"/>
    </row>
    <row r="185" spans="1:12">
      <c r="A185" s="20" t="s">
        <v>108</v>
      </c>
      <c r="E185" s="22">
        <f>IF(D185="?OLD","!!!","")</f>
        <v/>
      </c>
      <c r="F185" s="23" t="str">
        <f>IF(OR(E185="",E185="!!!"),"",IF(NOT(ISNA(VLOOKUP(E185,E$1:E184,1,FALSE()))),"OLD",IF(AND(E185&lt;&gt;"",E185&lt;&gt;"!!!"),"NEW","")))</f>
        <v> </v>
      </c>
      <c r="G185" s="24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25" t="str">
        <f>IF(J185&lt;&gt;1,"",IF(I185="SBJ","CB","?"))</f>
        <v> </v>
      </c>
      <c r="I185" s="26" t="str">
        <f>IF(OR(E185="",E185="!!!",F185="NEW"),"",INDEX(B184:B$2,-1+SUMPRODUCT(MAX(ROW(E184:E$2)*(E185=E184:E$2)))))</f>
        <v> </v>
      </c>
      <c r="J185" s="26" t="str">
        <f>IF(OR(E185="",E185="!!!",F185="NEW"),"",COUNTBLANK(OFFSET(A$1,,,SUMPRODUCT(MAX(ROW(E$2:E185)*(E185=E$2:E185)))))-COUNTBLANK(OFFSET(A$1,,,SUMPRODUCT(MAX(ROW(E$1:E184)*(E2=E$1:E184))))))</f>
        <v> </v>
      </c>
      <c r="K185" s="26" t="str">
        <f>IF(OR(E185="",E185="!!!",F185="NEW"),"",INDEX(J$1:J184,SUMPRODUCT(MAX(ROW(E$1:E184)*(E185=E$1:E184)))))</f>
        <v> </v>
      </c>
      <c r="L185" s="27"/>
    </row>
    <row r="186" spans="1:12">
      <c r="A186" s="20" t="s">
        <v>182</v>
      </c>
      <c r="B186" s="21" t="s">
        <v>195</v>
      </c>
      <c r="C186" s="21" t="s">
        <v>162</v>
      </c>
      <c r="D186" s="21" t="s">
        <v>106</v>
      </c>
      <c r="E186" s="22">
        <f>IF(D186="?OLD","!!!","")</f>
        <v/>
      </c>
      <c r="F186" s="23" t="str">
        <f>IF(OR(E186="",E186="!!!"),"",IF(NOT(ISNA(VLOOKUP(E186,E$1:E185,1,FALSE()))),"OLD",IF(AND(E186&lt;&gt;"",E186&lt;&gt;"!!!"),"NEW","")))</f>
        <v> </v>
      </c>
      <c r="G186" s="24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5" t="str">
        <f>IF(J186&lt;&gt;1,"",IF(I186="SBJ","CB","?"))</f>
        <v> </v>
      </c>
      <c r="I186" s="26" t="str">
        <f>IF(OR(E186="",E186="!!!",F186="NEW"),"",INDEX(B185:B$2,-1+SUMPRODUCT(MAX(ROW(E185:E$2)*(E186=E185:E$2)))))</f>
        <v> </v>
      </c>
      <c r="J186" s="26" t="str">
        <f>IF(OR(E186="",E186="!!!",F186="NEW"),"",COUNTBLANK(OFFSET(A$1,,,SUMPRODUCT(MAX(ROW(E$2:E186)*(E186=E$2:E186)))))-COUNTBLANK(OFFSET(A$1,,,SUMPRODUCT(MAX(ROW(E$1:E185)*(E2=E$1:E185))))))</f>
        <v> </v>
      </c>
      <c r="K186" s="26" t="str">
        <f>IF(OR(E186="",E186="!!!",F186="NEW"),"",INDEX(J$1:J185,SUMPRODUCT(MAX(ROW(E$1:E185)*(E186=E$1:E185)))))</f>
        <v> </v>
      </c>
      <c r="L186" s="27"/>
    </row>
    <row r="187" spans="1:12">
      <c r="A187" s="20" t="s">
        <v>121</v>
      </c>
      <c r="B187" s="21" t="s">
        <v>125</v>
      </c>
      <c r="C187" s="21" t="s">
        <v>164</v>
      </c>
      <c r="D187" s="21" t="s">
        <v>106</v>
      </c>
      <c r="E187" s="22">
        <f>IF(D187="?OLD","!!!","")</f>
        <v/>
      </c>
      <c r="F187" s="23" t="str">
        <f>IF(OR(E187="",E187="!!!"),"",IF(NOT(ISNA(VLOOKUP(E187,E$1:E186,1,FALSE()))),"OLD",IF(AND(E187&lt;&gt;"",E187&lt;&gt;"!!!"),"NEW","")))</f>
        <v> </v>
      </c>
      <c r="G187" s="24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5" t="str">
        <f>IF(J187&lt;&gt;1,"",IF(I187="SBJ","CB","?"))</f>
        <v> </v>
      </c>
      <c r="I187" s="26" t="str">
        <f>IF(OR(E187="",E187="!!!",F187="NEW"),"",INDEX(B186:B$2,-1+SUMPRODUCT(MAX(ROW(E186:E$2)*(E187=E186:E$2)))))</f>
        <v> </v>
      </c>
      <c r="J187" s="26" t="str">
        <f>IF(OR(E187="",E187="!!!",F187="NEW"),"",COUNTBLANK(OFFSET(A$1,,,SUMPRODUCT(MAX(ROW(E$2:E187)*(E187=E$2:E187)))))-COUNTBLANK(OFFSET(A$1,,,SUMPRODUCT(MAX(ROW(E$1:E186)*(E2=E$1:E186))))))</f>
        <v> </v>
      </c>
      <c r="K187" s="26" t="str">
        <f>IF(OR(E187="",E187="!!!",F187="NEW"),"",INDEX(J$1:J186,SUMPRODUCT(MAX(ROW(E$1:E186)*(E187=E$1:E186)))))</f>
        <v> </v>
      </c>
      <c r="L187" s="27"/>
    </row>
    <row r="188" spans="1:12">
      <c r="A188" s="20" t="s">
        <v>199</v>
      </c>
      <c r="E188" s="22">
        <f>IF(D188="?OLD","!!!","")</f>
        <v/>
      </c>
      <c r="F188" s="23" t="str">
        <f>IF(OR(E188="",E188="!!!"),"",IF(NOT(ISNA(VLOOKUP(E188,E$1:E187,1,FALSE()))),"OLD",IF(AND(E188&lt;&gt;"",E188&lt;&gt;"!!!"),"NEW","")))</f>
        <v> </v>
      </c>
      <c r="G188" s="24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5" t="str">
        <f>IF(J188&lt;&gt;1,"",IF(I188="SBJ","CB","?"))</f>
        <v> </v>
      </c>
      <c r="I188" s="26" t="str">
        <f>IF(OR(E188="",E188="!!!",F188="NEW"),"",INDEX(B187:B$2,-1+SUMPRODUCT(MAX(ROW(E187:E$2)*(E188=E187:E$2)))))</f>
        <v> </v>
      </c>
      <c r="J188" s="26" t="str">
        <f>IF(OR(E188="",E188="!!!",F188="NEW"),"",COUNTBLANK(OFFSET(A$1,,,SUMPRODUCT(MAX(ROW(E$2:E188)*(E188=E$2:E188)))))-COUNTBLANK(OFFSET(A$1,,,SUMPRODUCT(MAX(ROW(E$1:E187)*(E2=E$1:E187))))))</f>
        <v> </v>
      </c>
      <c r="K188" s="26" t="str">
        <f>IF(OR(E188="",E188="!!!",F188="NEW"),"",INDEX(J$1:J187,SUMPRODUCT(MAX(ROW(E$1:E187)*(E188=E$1:E187)))))</f>
        <v> </v>
      </c>
      <c r="L188" s="27"/>
    </row>
    <row r="189" spans="1:12">
      <c r="A189" s="20" t="s">
        <v>243</v>
      </c>
      <c r="E189" s="22">
        <f>IF(D189="?OLD","!!!","")</f>
        <v/>
      </c>
      <c r="F189" s="23" t="str">
        <f>IF(OR(E189="",E189="!!!"),"",IF(NOT(ISNA(VLOOKUP(E189,E$1:E188,1,FALSE()))),"OLD",IF(AND(E189&lt;&gt;"",E189&lt;&gt;"!!!"),"NEW","")))</f>
        <v> </v>
      </c>
      <c r="G189" s="24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> </v>
      </c>
      <c r="H189" s="25" t="str">
        <f>IF(J189&lt;&gt;1,"",IF(I189="SBJ","CB","?"))</f>
        <v> </v>
      </c>
      <c r="I189" s="26" t="str">
        <f>IF(OR(E189="",E189="!!!",F189="NEW"),"",INDEX(B188:B$2,-1+SUMPRODUCT(MAX(ROW(E188:E$2)*(E189=E188:E$2)))))</f>
        <v> </v>
      </c>
      <c r="J189" s="26" t="str">
        <f>IF(OR(E189="",E189="!!!",F189="NEW"),"",COUNTBLANK(OFFSET(A$1,,,SUMPRODUCT(MAX(ROW(E$2:E189)*(E189=E$2:E189)))))-COUNTBLANK(OFFSET(A$1,,,SUMPRODUCT(MAX(ROW(E$1:E188)*(E2=E$1:E188))))))</f>
        <v> </v>
      </c>
      <c r="K189" s="26" t="str">
        <f>IF(OR(E189="",E189="!!!",F189="NEW"),"",INDEX(J$1:J188,SUMPRODUCT(MAX(ROW(E$1:E188)*(E189=E$1:E188)))))</f>
        <v> </v>
      </c>
      <c r="L189" s="27"/>
    </row>
    <row r="190" spans="1:12">
      <c r="A190" s="20" t="s">
        <v>244</v>
      </c>
      <c r="B190" s="21" t="s">
        <v>187</v>
      </c>
      <c r="C190" s="21" t="s">
        <v>245</v>
      </c>
      <c r="E190" s="22">
        <f>IF(D190="?OLD","!!!","")</f>
        <v/>
      </c>
      <c r="F190" s="23" t="str">
        <f>IF(OR(E190="",E190="!!!"),"",IF(NOT(ISNA(VLOOKUP(E190,E$1:E189,1,FALSE()))),"OLD",IF(AND(E190&lt;&gt;"",E190&lt;&gt;"!!!"),"NEW","")))</f>
        <v> </v>
      </c>
      <c r="G190" s="24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> </v>
      </c>
      <c r="H190" s="25" t="str">
        <f>IF(J190&lt;&gt;1,"",IF(I190="SBJ","CB","?"))</f>
        <v> </v>
      </c>
      <c r="I190" s="26" t="str">
        <f>IF(OR(E190="",E190="!!!",F190="NEW"),"",INDEX(B189:B$2,-1+SUMPRODUCT(MAX(ROW(E189:E$2)*(E190=E189:E$2)))))</f>
        <v> </v>
      </c>
      <c r="J190" s="26" t="str">
        <f>IF(OR(E190="",E190="!!!",F190="NEW"),"",COUNTBLANK(OFFSET(A$1,,,SUMPRODUCT(MAX(ROW(E$2:E190)*(E190=E$2:E190)))))-COUNTBLANK(OFFSET(A$1,,,SUMPRODUCT(MAX(ROW(E$1:E189)*(E2=E$1:E189))))))</f>
        <v> </v>
      </c>
      <c r="K190" s="26" t="str">
        <f>IF(OR(E190="",E190="!!!",F190="NEW"),"",INDEX(J$1:J189,SUMPRODUCT(MAX(ROW(E$1:E189)*(E190=E$1:E189)))))</f>
        <v> </v>
      </c>
      <c r="L190" s="27"/>
    </row>
    <row r="191" spans="1:12">
      <c r="A191" s="20" t="s">
        <v>246</v>
      </c>
      <c r="E191" s="22">
        <f>IF(D191="?OLD","!!!","")</f>
        <v/>
      </c>
      <c r="F191" s="23" t="str">
        <f>IF(OR(E191="",E191="!!!"),"",IF(NOT(ISNA(VLOOKUP(E191,E$1:E190,1,FALSE()))),"OLD",IF(AND(E191&lt;&gt;"",E191&lt;&gt;"!!!"),"NEW","")))</f>
        <v> </v>
      </c>
      <c r="G191" s="24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25" t="str">
        <f>IF(J191&lt;&gt;1,"",IF(I191="SBJ","CB","?"))</f>
        <v> </v>
      </c>
      <c r="I191" s="26" t="str">
        <f>IF(OR(E191="",E191="!!!",F191="NEW"),"",INDEX(B190:B$2,-1+SUMPRODUCT(MAX(ROW(E190:E$2)*(E191=E190:E$2)))))</f>
        <v> </v>
      </c>
      <c r="J191" s="26" t="str">
        <f>IF(OR(E191="",E191="!!!",F191="NEW"),"",COUNTBLANK(OFFSET(A$1,,,SUMPRODUCT(MAX(ROW(E$2:E191)*(E191=E$2:E191)))))-COUNTBLANK(OFFSET(A$1,,,SUMPRODUCT(MAX(ROW(E$1:E190)*(E2=E$1:E190))))))</f>
        <v> </v>
      </c>
      <c r="K191" s="26" t="str">
        <f>IF(OR(E191="",E191="!!!",F191="NEW"),"",INDEX(J$1:J190,SUMPRODUCT(MAX(ROW(E$1:E190)*(E191=E$1:E190)))))</f>
        <v> </v>
      </c>
      <c r="L191" s="27"/>
    </row>
    <row r="192" spans="1:12">
      <c r="A192" s="20" t="s">
        <v>135</v>
      </c>
      <c r="E192" s="22">
        <f>IF(D192="?OLD","!!!","")</f>
        <v/>
      </c>
      <c r="F192" s="23" t="str">
        <f>IF(OR(E192="",E192="!!!"),"",IF(NOT(ISNA(VLOOKUP(E192,E$1:E191,1,FALSE()))),"OLD",IF(AND(E192&lt;&gt;"",E192&lt;&gt;"!!!"),"NEW","")))</f>
        <v> </v>
      </c>
      <c r="G192" s="24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5" t="str">
        <f>IF(J192&lt;&gt;1,"",IF(I192="SBJ","CB","?"))</f>
        <v> </v>
      </c>
      <c r="I192" s="26" t="str">
        <f>IF(OR(E192="",E192="!!!",F192="NEW"),"",INDEX(B191:B$2,-1+SUMPRODUCT(MAX(ROW(E191:E$2)*(E192=E191:E$2)))))</f>
        <v> </v>
      </c>
      <c r="J192" s="26" t="str">
        <f>IF(OR(E192="",E192="!!!",F192="NEW"),"",COUNTBLANK(OFFSET(A$1,,,SUMPRODUCT(MAX(ROW(E$2:E192)*(E192=E$2:E192)))))-COUNTBLANK(OFFSET(A$1,,,SUMPRODUCT(MAX(ROW(E$1:E191)*(E2=E$1:E191))))))</f>
        <v> </v>
      </c>
      <c r="K192" s="26" t="str">
        <f>IF(OR(E192="",E192="!!!",F192="NEW"),"",INDEX(J$1:J191,SUMPRODUCT(MAX(ROW(E$1:E191)*(E192=E$1:E191)))))</f>
        <v> </v>
      </c>
      <c r="L192" s="27"/>
    </row>
    <row r="193" spans="1:12">
      <c r="A193" s="20"/>
    </row>
    <row r="194" spans="1:12">
      <c r="A194" s="20" t="s">
        <v>247</v>
      </c>
    </row>
    <row r="195" spans="1:12">
      <c r="A195" s="20" t="s">
        <v>248</v>
      </c>
      <c r="E195" s="22">
        <f>IF(D195="?OLD","!!!","")</f>
        <v/>
      </c>
      <c r="F195" s="23" t="str">
        <f>IF(OR(E195="",E195="!!!"),"",IF(NOT(ISNA(VLOOKUP(E195,E$1:E194,1,FALSE()))),"OLD",IF(AND(E195&lt;&gt;"",E195&lt;&gt;"!!!"),"NEW","")))</f>
        <v> </v>
      </c>
      <c r="G195" s="24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5" t="str">
        <f>IF(J195&lt;&gt;1,"",IF(I195="SBJ","CB","?"))</f>
        <v> </v>
      </c>
      <c r="I195" s="26" t="str">
        <f>IF(OR(E195="",E195="!!!",F195="NEW"),"",INDEX(B194:B$2,-1+SUMPRODUCT(MAX(ROW(E194:E$2)*(E195=E194:E$2)))))</f>
        <v> </v>
      </c>
      <c r="J195" s="26" t="str">
        <f>IF(OR(E195="",E195="!!!",F195="NEW"),"",COUNTBLANK(OFFSET(A$1,,,SUMPRODUCT(MAX(ROW(E$2:E195)*(E195=E$2:E195)))))-COUNTBLANK(OFFSET(A$1,,,SUMPRODUCT(MAX(ROW(E$1:E194)*(E2=E$1:E194))))))</f>
        <v> </v>
      </c>
      <c r="K195" s="26" t="str">
        <f>IF(OR(E195="",E195="!!!",F195="NEW"),"",INDEX(J$1:J194,SUMPRODUCT(MAX(ROW(E$1:E194)*(E195=E$1:E194)))))</f>
        <v> </v>
      </c>
      <c r="L195" s="27"/>
    </row>
    <row r="196" spans="1:12">
      <c r="A196" s="20" t="s">
        <v>249</v>
      </c>
      <c r="B196" s="21" t="s">
        <v>139</v>
      </c>
      <c r="C196" s="21" t="s">
        <v>147</v>
      </c>
      <c r="D196" s="21" t="s">
        <v>106</v>
      </c>
      <c r="E196" s="22">
        <f>IF(D196="?OLD","!!!","")</f>
        <v/>
      </c>
      <c r="F196" s="23" t="str">
        <f>IF(OR(E196="",E196="!!!"),"",IF(NOT(ISNA(VLOOKUP(E196,E$1:E195,1,FALSE()))),"OLD",IF(AND(E196&lt;&gt;"",E196&lt;&gt;"!!!"),"NEW","")))</f>
        <v> </v>
      </c>
      <c r="G196" s="24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> </v>
      </c>
      <c r="H196" s="25" t="str">
        <f>IF(J196&lt;&gt;1,"",IF(I196="SBJ","CB","?"))</f>
        <v> </v>
      </c>
      <c r="I196" s="26" t="str">
        <f>IF(OR(E196="",E196="!!!",F196="NEW"),"",INDEX(B195:B$2,-1+SUMPRODUCT(MAX(ROW(E195:E$2)*(E196=E195:E$2)))))</f>
        <v> </v>
      </c>
      <c r="J196" s="26" t="str">
        <f>IF(OR(E196="",E196="!!!",F196="NEW"),"",COUNTBLANK(OFFSET(A$1,,,SUMPRODUCT(MAX(ROW(E$2:E196)*(E196=E$2:E196)))))-COUNTBLANK(OFFSET(A$1,,,SUMPRODUCT(MAX(ROW(E$1:E195)*(E2=E$1:E195))))))</f>
        <v> </v>
      </c>
      <c r="K196" s="26" t="str">
        <f>IF(OR(E196="",E196="!!!",F196="NEW"),"",INDEX(J$1:J195,SUMPRODUCT(MAX(ROW(E$1:E195)*(E196=E$1:E195)))))</f>
        <v> </v>
      </c>
      <c r="L196" s="27"/>
    </row>
    <row r="197" spans="1:12">
      <c r="A197" s="20" t="s">
        <v>116</v>
      </c>
      <c r="E197" s="22">
        <f>IF(D197="?OLD","!!!","")</f>
        <v/>
      </c>
      <c r="F197" s="23" t="str">
        <f>IF(OR(E197="",E197="!!!"),"",IF(NOT(ISNA(VLOOKUP(E197,E$1:E196,1,FALSE()))),"OLD",IF(AND(E197&lt;&gt;"",E197&lt;&gt;"!!!"),"NEW","")))</f>
        <v> </v>
      </c>
      <c r="G197" s="24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> </v>
      </c>
      <c r="H197" s="25" t="str">
        <f>IF(J197&lt;&gt;1,"",IF(I197="SBJ","CB","?"))</f>
        <v> </v>
      </c>
      <c r="I197" s="26" t="str">
        <f>IF(OR(E197="",E197="!!!",F197="NEW"),"",INDEX(B196:B$2,-1+SUMPRODUCT(MAX(ROW(E196:E$2)*(E197=E196:E$2)))))</f>
        <v> </v>
      </c>
      <c r="J197" s="26" t="str">
        <f>IF(OR(E197="",E197="!!!",F197="NEW"),"",COUNTBLANK(OFFSET(A$1,,,SUMPRODUCT(MAX(ROW(E$2:E197)*(E197=E$2:E197)))))-COUNTBLANK(OFFSET(A$1,,,SUMPRODUCT(MAX(ROW(E$1:E196)*(E2=E$1:E196))))))</f>
        <v> </v>
      </c>
      <c r="K197" s="26" t="str">
        <f>IF(OR(E197="",E197="!!!",F197="NEW"),"",INDEX(J$1:J196,SUMPRODUCT(MAX(ROW(E$1:E196)*(E197=E$1:E196)))))</f>
        <v> </v>
      </c>
      <c r="L197" s="27"/>
    </row>
    <row r="198" spans="1:12">
      <c r="A198" s="20" t="s">
        <v>228</v>
      </c>
      <c r="E198" s="22">
        <f>IF(D198="?OLD","!!!","")</f>
        <v/>
      </c>
      <c r="F198" s="23" t="str">
        <f>IF(OR(E198="",E198="!!!"),"",IF(NOT(ISNA(VLOOKUP(E198,E$1:E197,1,FALSE()))),"OLD",IF(AND(E198&lt;&gt;"",E198&lt;&gt;"!!!"),"NEW","")))</f>
        <v> </v>
      </c>
      <c r="G198" s="24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25" t="str">
        <f>IF(J198&lt;&gt;1,"",IF(I198="SBJ","CB","?"))</f>
        <v> </v>
      </c>
      <c r="I198" s="26" t="str">
        <f>IF(OR(E198="",E198="!!!",F198="NEW"),"",INDEX(B197:B$2,-1+SUMPRODUCT(MAX(ROW(E197:E$2)*(E198=E197:E$2)))))</f>
        <v> </v>
      </c>
      <c r="J198" s="26" t="str">
        <f>IF(OR(E198="",E198="!!!",F198="NEW"),"",COUNTBLANK(OFFSET(A$1,,,SUMPRODUCT(MAX(ROW(E$2:E198)*(E198=E$2:E198)))))-COUNTBLANK(OFFSET(A$1,,,SUMPRODUCT(MAX(ROW(E$1:E197)*(E2=E$1:E197))))))</f>
        <v> </v>
      </c>
      <c r="K198" s="26" t="str">
        <f>IF(OR(E198="",E198="!!!",F198="NEW"),"",INDEX(J$1:J197,SUMPRODUCT(MAX(ROW(E$1:E197)*(E198=E$1:E197)))))</f>
        <v> </v>
      </c>
      <c r="L198" s="27"/>
    </row>
    <row r="199" spans="1:12">
      <c r="A199" s="20" t="s">
        <v>172</v>
      </c>
      <c r="B199" s="21" t="s">
        <v>198</v>
      </c>
      <c r="C199" s="21" t="s">
        <v>105</v>
      </c>
      <c r="D199" s="21" t="s">
        <v>106</v>
      </c>
      <c r="E199" s="22">
        <f>IF(D199="?OLD","!!!","")</f>
        <v/>
      </c>
      <c r="F199" s="23" t="str">
        <f>IF(OR(E199="",E199="!!!"),"",IF(NOT(ISNA(VLOOKUP(E199,E$1:E198,1,FALSE()))),"OLD",IF(AND(E199&lt;&gt;"",E199&lt;&gt;"!!!"),"NEW","")))</f>
        <v> </v>
      </c>
      <c r="G199" s="24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> </v>
      </c>
      <c r="H199" s="25" t="str">
        <f>IF(J199&lt;&gt;1,"",IF(I199="SBJ","CB","?"))</f>
        <v> </v>
      </c>
      <c r="I199" s="26" t="str">
        <f>IF(OR(E199="",E199="!!!",F199="NEW"),"",INDEX(B198:B$2,-1+SUMPRODUCT(MAX(ROW(E198:E$2)*(E199=E198:E$2)))))</f>
        <v> </v>
      </c>
      <c r="J199" s="26" t="str">
        <f>IF(OR(E199="",E199="!!!",F199="NEW"),"",COUNTBLANK(OFFSET(A$1,,,SUMPRODUCT(MAX(ROW(E$2:E199)*(E199=E$2:E199)))))-COUNTBLANK(OFFSET(A$1,,,SUMPRODUCT(MAX(ROW(E$1:E198)*(E2=E$1:E198))))))</f>
        <v> </v>
      </c>
      <c r="K199" s="26" t="str">
        <f>IF(OR(E199="",E199="!!!",F199="NEW"),"",INDEX(J$1:J198,SUMPRODUCT(MAX(ROW(E$1:E198)*(E199=E$1:E198)))))</f>
        <v> </v>
      </c>
      <c r="L199" s="27"/>
    </row>
    <row r="200" spans="1:12">
      <c r="A200" s="20" t="s">
        <v>250</v>
      </c>
      <c r="E200" s="22">
        <f>IF(D200="?OLD","!!!","")</f>
        <v/>
      </c>
      <c r="F200" s="23" t="str">
        <f>IF(OR(E200="",E200="!!!"),"",IF(NOT(ISNA(VLOOKUP(E200,E$1:E199,1,FALSE()))),"OLD",IF(AND(E200&lt;&gt;"",E200&lt;&gt;"!!!"),"NEW","")))</f>
        <v> </v>
      </c>
      <c r="G200" s="24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25" t="str">
        <f>IF(J200&lt;&gt;1,"",IF(I200="SBJ","CB","?"))</f>
        <v> </v>
      </c>
      <c r="I200" s="26" t="str">
        <f>IF(OR(E200="",E200="!!!",F200="NEW"),"",INDEX(B199:B$2,-1+SUMPRODUCT(MAX(ROW(E199:E$2)*(E200=E199:E$2)))))</f>
        <v> </v>
      </c>
      <c r="J200" s="26" t="str">
        <f>IF(OR(E200="",E200="!!!",F200="NEW"),"",COUNTBLANK(OFFSET(A$1,,,SUMPRODUCT(MAX(ROW(E$2:E200)*(E200=E$2:E200)))))-COUNTBLANK(OFFSET(A$1,,,SUMPRODUCT(MAX(ROW(E$1:E199)*(E2=E$1:E199))))))</f>
        <v> </v>
      </c>
      <c r="K200" s="26" t="str">
        <f>IF(OR(E200="",E200="!!!",F200="NEW"),"",INDEX(J$1:J199,SUMPRODUCT(MAX(ROW(E$1:E199)*(E200=E$1:E199)))))</f>
        <v> </v>
      </c>
      <c r="L200" s="27"/>
    </row>
    <row r="201" spans="1:12">
      <c r="A201" s="20" t="s">
        <v>251</v>
      </c>
      <c r="E201" s="22">
        <f>IF(D201="?OLD","!!!","")</f>
        <v/>
      </c>
      <c r="F201" s="23" t="str">
        <f>IF(OR(E201="",E201="!!!"),"",IF(NOT(ISNA(VLOOKUP(E201,E$1:E200,1,FALSE()))),"OLD",IF(AND(E201&lt;&gt;"",E201&lt;&gt;"!!!"),"NEW","")))</f>
        <v> </v>
      </c>
      <c r="G201" s="24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5" t="str">
        <f>IF(J201&lt;&gt;1,"",IF(I201="SBJ","CB","?"))</f>
        <v> </v>
      </c>
      <c r="I201" s="26" t="str">
        <f>IF(OR(E201="",E201="!!!",F201="NEW"),"",INDEX(B200:B$2,-1+SUMPRODUCT(MAX(ROW(E200:E$2)*(E201=E200:E$2)))))</f>
        <v> </v>
      </c>
      <c r="J201" s="26" t="str">
        <f>IF(OR(E201="",E201="!!!",F201="NEW"),"",COUNTBLANK(OFFSET(A$1,,,SUMPRODUCT(MAX(ROW(E$2:E201)*(E201=E$2:E201)))))-COUNTBLANK(OFFSET(A$1,,,SUMPRODUCT(MAX(ROW(E$1:E200)*(E2=E$1:E200))))))</f>
        <v> </v>
      </c>
      <c r="K201" s="26" t="str">
        <f>IF(OR(E201="",E201="!!!",F201="NEW"),"",INDEX(J$1:J200,SUMPRODUCT(MAX(ROW(E$1:E200)*(E201=E$1:E200)))))</f>
        <v> </v>
      </c>
      <c r="L201" s="27"/>
    </row>
    <row r="202" spans="1:12">
      <c r="A202" s="20" t="s">
        <v>116</v>
      </c>
      <c r="E202" s="22">
        <f>IF(D202="?OLD","!!!","")</f>
        <v/>
      </c>
      <c r="F202" s="23" t="str">
        <f>IF(OR(E202="",E202="!!!"),"",IF(NOT(ISNA(VLOOKUP(E202,E$1:E201,1,FALSE()))),"OLD",IF(AND(E202&lt;&gt;"",E202&lt;&gt;"!!!"),"NEW","")))</f>
        <v> </v>
      </c>
      <c r="G202" s="24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5" t="str">
        <f>IF(J202&lt;&gt;1,"",IF(I202="SBJ","CB","?"))</f>
        <v> </v>
      </c>
      <c r="I202" s="26" t="str">
        <f>IF(OR(E202="",E202="!!!",F202="NEW"),"",INDEX(B201:B$2,-1+SUMPRODUCT(MAX(ROW(E201:E$2)*(E202=E201:E$2)))))</f>
        <v> </v>
      </c>
      <c r="J202" s="26" t="str">
        <f>IF(OR(E202="",E202="!!!",F202="NEW"),"",COUNTBLANK(OFFSET(A$1,,,SUMPRODUCT(MAX(ROW(E$2:E202)*(E202=E$2:E202)))))-COUNTBLANK(OFFSET(A$1,,,SUMPRODUCT(MAX(ROW(E$1:E201)*(E2=E$1:E201))))))</f>
        <v> </v>
      </c>
      <c r="K202" s="26" t="str">
        <f>IF(OR(E202="",E202="!!!",F202="NEW"),"",INDEX(J$1:J201,SUMPRODUCT(MAX(ROW(E$1:E201)*(E202=E$1:E201)))))</f>
        <v> </v>
      </c>
      <c r="L202" s="27"/>
    </row>
    <row r="203" spans="1:12">
      <c r="A203" s="20" t="s">
        <v>252</v>
      </c>
      <c r="E203" s="22">
        <f>IF(D203="?OLD","!!!","")</f>
        <v/>
      </c>
      <c r="F203" s="23" t="str">
        <f>IF(OR(E203="",E203="!!!"),"",IF(NOT(ISNA(VLOOKUP(E203,E$1:E202,1,FALSE()))),"OLD",IF(AND(E203&lt;&gt;"",E203&lt;&gt;"!!!"),"NEW","")))</f>
        <v> </v>
      </c>
      <c r="G203" s="24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5" t="str">
        <f>IF(J203&lt;&gt;1,"",IF(I203="SBJ","CB","?"))</f>
        <v> </v>
      </c>
      <c r="I203" s="26" t="str">
        <f>IF(OR(E203="",E203="!!!",F203="NEW"),"",INDEX(B202:B$2,-1+SUMPRODUCT(MAX(ROW(E202:E$2)*(E203=E202:E$2)))))</f>
        <v> </v>
      </c>
      <c r="J203" s="26" t="str">
        <f>IF(OR(E203="",E203="!!!",F203="NEW"),"",COUNTBLANK(OFFSET(A$1,,,SUMPRODUCT(MAX(ROW(E$2:E203)*(E203=E$2:E203)))))-COUNTBLANK(OFFSET(A$1,,,SUMPRODUCT(MAX(ROW(E$1:E202)*(E2=E$1:E202))))))</f>
        <v> </v>
      </c>
      <c r="K203" s="26" t="str">
        <f>IF(OR(E203="",E203="!!!",F203="NEW"),"",INDEX(J$1:J202,SUMPRODUCT(MAX(ROW(E$1:E202)*(E203=E$1:E202)))))</f>
        <v> </v>
      </c>
      <c r="L203" s="27"/>
    </row>
    <row r="204" spans="1:12">
      <c r="A204" s="20" t="s">
        <v>224</v>
      </c>
      <c r="E204" s="22">
        <f>IF(D204="?OLD","!!!","")</f>
        <v/>
      </c>
      <c r="F204" s="23" t="str">
        <f>IF(OR(E204="",E204="!!!"),"",IF(NOT(ISNA(VLOOKUP(E204,E$1:E203,1,FALSE()))),"OLD",IF(AND(E204&lt;&gt;"",E204&lt;&gt;"!!!"),"NEW","")))</f>
        <v> </v>
      </c>
      <c r="G204" s="24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> </v>
      </c>
      <c r="H204" s="25" t="str">
        <f>IF(J204&lt;&gt;1,"",IF(I204="SBJ","CB","?"))</f>
        <v> </v>
      </c>
      <c r="I204" s="26" t="str">
        <f>IF(OR(E204="",E204="!!!",F204="NEW"),"",INDEX(B203:B$2,-1+SUMPRODUCT(MAX(ROW(E203:E$2)*(E204=E203:E$2)))))</f>
        <v> </v>
      </c>
      <c r="J204" s="26" t="str">
        <f>IF(OR(E204="",E204="!!!",F204="NEW"),"",COUNTBLANK(OFFSET(A$1,,,SUMPRODUCT(MAX(ROW(E$2:E204)*(E204=E$2:E204)))))-COUNTBLANK(OFFSET(A$1,,,SUMPRODUCT(MAX(ROW(E$1:E203)*(E2=E$1:E203))))))</f>
        <v> </v>
      </c>
      <c r="K204" s="26" t="str">
        <f>IF(OR(E204="",E204="!!!",F204="NEW"),"",INDEX(J$1:J203,SUMPRODUCT(MAX(ROW(E$1:E203)*(E204=E$1:E203)))))</f>
        <v> </v>
      </c>
      <c r="L204" s="27"/>
    </row>
    <row r="205" spans="1:12">
      <c r="A205" s="20" t="s">
        <v>253</v>
      </c>
      <c r="B205" s="21" t="s">
        <v>110</v>
      </c>
      <c r="C205" s="21" t="s">
        <v>147</v>
      </c>
      <c r="D205" s="21" t="s">
        <v>106</v>
      </c>
      <c r="E205" s="22">
        <f>IF(D205="?OLD","!!!","")</f>
        <v/>
      </c>
      <c r="F205" s="23" t="str">
        <f>IF(OR(E205="",E205="!!!"),"",IF(NOT(ISNA(VLOOKUP(E205,E$1:E204,1,FALSE()))),"OLD",IF(AND(E205&lt;&gt;"",E205&lt;&gt;"!!!"),"NEW","")))</f>
        <v> </v>
      </c>
      <c r="G205" s="24" t="str">
        <f>IF(OR(E205="",E205="!!!"),"",IF(OR(J205=0,AND(J205=1,K205=1),AND(J205=1,I205="SBJ"),AND(J205=1,I205=0)),"?IN_FOCUS",IF(J205&lt;=2,"?ACTIVATED",IF(J205&lt;&gt;"","?FAMILIAR",IF(F205="NEW",IF(ISNA(VLOOKUP(E205,#REF!,1,FALSE())),"?TYPE_IDENTIFIABLE","?REFERENTIAL"),"_")))))</f>
        <v> </v>
      </c>
      <c r="H205" s="25" t="str">
        <f>IF(J205&lt;&gt;1,"",IF(I205="SBJ","CB","?"))</f>
        <v> </v>
      </c>
      <c r="I205" s="26" t="str">
        <f>IF(OR(E205="",E205="!!!",F205="NEW"),"",INDEX(B204:B$2,-1+SUMPRODUCT(MAX(ROW(E204:E$2)*(E205=E204:E$2)))))</f>
        <v> </v>
      </c>
      <c r="J205" s="26" t="str">
        <f>IF(OR(E205="",E205="!!!",F205="NEW"),"",COUNTBLANK(OFFSET(A$1,,,SUMPRODUCT(MAX(ROW(E$2:E205)*(E205=E$2:E205)))))-COUNTBLANK(OFFSET(A$1,,,SUMPRODUCT(MAX(ROW(E$1:E204)*(E2=E$1:E204))))))</f>
        <v> </v>
      </c>
      <c r="K205" s="26" t="str">
        <f>IF(OR(E205="",E205="!!!",F205="NEW"),"",INDEX(J$1:J204,SUMPRODUCT(MAX(ROW(E$1:E204)*(E205=E$1:E204)))))</f>
        <v> </v>
      </c>
      <c r="L205" s="27"/>
    </row>
    <row r="206" spans="1:12">
      <c r="A206" s="20" t="s">
        <v>116</v>
      </c>
      <c r="E206" s="22">
        <f>IF(D206="?OLD","!!!","")</f>
        <v/>
      </c>
      <c r="F206" s="23" t="str">
        <f>IF(OR(E206="",E206="!!!"),"",IF(NOT(ISNA(VLOOKUP(E206,E$1:E205,1,FALSE()))),"OLD",IF(AND(E206&lt;&gt;"",E206&lt;&gt;"!!!"),"NEW","")))</f>
        <v> </v>
      </c>
      <c r="G206" s="24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> </v>
      </c>
      <c r="H206" s="25" t="str">
        <f>IF(J206&lt;&gt;1,"",IF(I206="SBJ","CB","?"))</f>
        <v> </v>
      </c>
      <c r="I206" s="26" t="str">
        <f>IF(OR(E206="",E206="!!!",F206="NEW"),"",INDEX(B205:B$2,-1+SUMPRODUCT(MAX(ROW(E205:E$2)*(E206=E205:E$2)))))</f>
        <v> </v>
      </c>
      <c r="J206" s="26" t="str">
        <f>IF(OR(E206="",E206="!!!",F206="NEW"),"",COUNTBLANK(OFFSET(A$1,,,SUMPRODUCT(MAX(ROW(E$2:E206)*(E206=E$2:E206)))))-COUNTBLANK(OFFSET(A$1,,,SUMPRODUCT(MAX(ROW(E$1:E205)*(E2=E$1:E205))))))</f>
        <v> </v>
      </c>
      <c r="K206" s="26" t="str">
        <f>IF(OR(E206="",E206="!!!",F206="NEW"),"",INDEX(J$1:J205,SUMPRODUCT(MAX(ROW(E$1:E205)*(E206=E$1:E205)))))</f>
        <v> </v>
      </c>
      <c r="L206" s="27"/>
    </row>
    <row r="207" spans="1:12">
      <c r="A207" s="20" t="s">
        <v>224</v>
      </c>
      <c r="B207" s="21" t="s">
        <v>104</v>
      </c>
      <c r="E207" s="22">
        <f>IF(D207="?OLD","!!!","")</f>
        <v/>
      </c>
      <c r="F207" s="23" t="str">
        <f>IF(OR(E207="",E207="!!!"),"",IF(NOT(ISNA(VLOOKUP(E207,E$1:E206,1,FALSE()))),"OLD",IF(AND(E207&lt;&gt;"",E207&lt;&gt;"!!!"),"NEW","")))</f>
        <v> </v>
      </c>
      <c r="G207" s="24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5" t="str">
        <f>IF(J207&lt;&gt;1,"",IF(I207="SBJ","CB","?"))</f>
        <v> </v>
      </c>
      <c r="I207" s="26" t="str">
        <f>IF(OR(E207="",E207="!!!",F207="NEW"),"",INDEX(B206:B$2,-1+SUMPRODUCT(MAX(ROW(E206:E$2)*(E207=E206:E$2)))))</f>
        <v> </v>
      </c>
      <c r="J207" s="26" t="str">
        <f>IF(OR(E207="",E207="!!!",F207="NEW"),"",COUNTBLANK(OFFSET(A$1,,,SUMPRODUCT(MAX(ROW(E$2:E207)*(E207=E$2:E207)))))-COUNTBLANK(OFFSET(A$1,,,SUMPRODUCT(MAX(ROW(E$1:E206)*(E2=E$1:E206))))))</f>
        <v> </v>
      </c>
      <c r="K207" s="26" t="str">
        <f>IF(OR(E207="",E207="!!!",F207="NEW"),"",INDEX(J$1:J206,SUMPRODUCT(MAX(ROW(E$1:E206)*(E207=E$1:E206)))))</f>
        <v> </v>
      </c>
      <c r="L207" s="27"/>
    </row>
    <row r="208" spans="1:12">
      <c r="A208" s="20" t="s">
        <v>254</v>
      </c>
      <c r="B208" s="21" t="s">
        <v>187</v>
      </c>
      <c r="C208" s="21" t="s">
        <v>130</v>
      </c>
      <c r="E208" s="22">
        <f>IF(D208="?OLD","!!!","")</f>
        <v/>
      </c>
      <c r="F208" s="23" t="str">
        <f>IF(OR(E208="",E208="!!!"),"",IF(NOT(ISNA(VLOOKUP(E208,E$1:E207,1,FALSE()))),"OLD",IF(AND(E208&lt;&gt;"",E208&lt;&gt;"!!!"),"NEW","")))</f>
        <v> </v>
      </c>
      <c r="G208" s="24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5" t="str">
        <f>IF(J208&lt;&gt;1,"",IF(I208="SBJ","CB","?"))</f>
        <v> </v>
      </c>
      <c r="I208" s="26" t="str">
        <f>IF(OR(E208="",E208="!!!",F208="NEW"),"",INDEX(B207:B$2,-1+SUMPRODUCT(MAX(ROW(E207:E$2)*(E208=E207:E$2)))))</f>
        <v> </v>
      </c>
      <c r="J208" s="26" t="str">
        <f>IF(OR(E208="",E208="!!!",F208="NEW"),"",COUNTBLANK(OFFSET(A$1,,,SUMPRODUCT(MAX(ROW(E$2:E208)*(E208=E$2:E208)))))-COUNTBLANK(OFFSET(A$1,,,SUMPRODUCT(MAX(ROW(E$1:E207)*(E2=E$1:E207))))))</f>
        <v> </v>
      </c>
      <c r="K208" s="26" t="str">
        <f>IF(OR(E208="",E208="!!!",F208="NEW"),"",INDEX(J$1:J207,SUMPRODUCT(MAX(ROW(E$1:E207)*(E208=E$1:E207)))))</f>
        <v> </v>
      </c>
      <c r="L208" s="27"/>
    </row>
    <row r="209" spans="1:12">
      <c r="A209" s="20" t="s">
        <v>255</v>
      </c>
      <c r="E209" s="22">
        <f>IF(D209="?OLD","!!!","")</f>
        <v/>
      </c>
      <c r="F209" s="23" t="str">
        <f>IF(OR(E209="",E209="!!!"),"",IF(NOT(ISNA(VLOOKUP(E209,E$1:E208,1,FALSE()))),"OLD",IF(AND(E209&lt;&gt;"",E209&lt;&gt;"!!!"),"NEW","")))</f>
        <v> </v>
      </c>
      <c r="G209" s="24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> </v>
      </c>
      <c r="H209" s="25" t="str">
        <f>IF(J209&lt;&gt;1,"",IF(I209="SBJ","CB","?"))</f>
        <v> </v>
      </c>
      <c r="I209" s="26" t="str">
        <f>IF(OR(E209="",E209="!!!",F209="NEW"),"",INDEX(B208:B$2,-1+SUMPRODUCT(MAX(ROW(E208:E$2)*(E209=E208:E$2)))))</f>
        <v> </v>
      </c>
      <c r="J209" s="26" t="str">
        <f>IF(OR(E209="",E209="!!!",F209="NEW"),"",COUNTBLANK(OFFSET(A$1,,,SUMPRODUCT(MAX(ROW(E$2:E209)*(E209=E$2:E209)))))-COUNTBLANK(OFFSET(A$1,,,SUMPRODUCT(MAX(ROW(E$1:E208)*(E2=E$1:E208))))))</f>
        <v> </v>
      </c>
      <c r="K209" s="26" t="str">
        <f>IF(OR(E209="",E209="!!!",F209="NEW"),"",INDEX(J$1:J208,SUMPRODUCT(MAX(ROW(E$1:E208)*(E209=E$1:E208)))))</f>
        <v> </v>
      </c>
      <c r="L209" s="27"/>
    </row>
    <row r="210" spans="1:12">
      <c r="A210" s="20" t="s">
        <v>116</v>
      </c>
      <c r="E210" s="22">
        <f>IF(D210="?OLD","!!!","")</f>
        <v/>
      </c>
      <c r="F210" s="23" t="str">
        <f>IF(OR(E210="",E210="!!!"),"",IF(NOT(ISNA(VLOOKUP(E210,E$1:E209,1,FALSE()))),"OLD",IF(AND(E210&lt;&gt;"",E210&lt;&gt;"!!!"),"NEW","")))</f>
        <v> </v>
      </c>
      <c r="G210" s="24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25" t="str">
        <f>IF(J210&lt;&gt;1,"",IF(I210="SBJ","CB","?"))</f>
        <v> </v>
      </c>
      <c r="I210" s="26" t="str">
        <f>IF(OR(E210="",E210="!!!",F210="NEW"),"",INDEX(B209:B$2,-1+SUMPRODUCT(MAX(ROW(E209:E$2)*(E210=E209:E$2)))))</f>
        <v> </v>
      </c>
      <c r="J210" s="26" t="str">
        <f>IF(OR(E210="",E210="!!!",F210="NEW"),"",COUNTBLANK(OFFSET(A$1,,,SUMPRODUCT(MAX(ROW(E$2:E210)*(E210=E$2:E210)))))-COUNTBLANK(OFFSET(A$1,,,SUMPRODUCT(MAX(ROW(E$1:E209)*(E2=E$1:E209))))))</f>
        <v> </v>
      </c>
      <c r="K210" s="26" t="str">
        <f>IF(OR(E210="",E210="!!!",F210="NEW"),"",INDEX(J$1:J209,SUMPRODUCT(MAX(ROW(E$1:E209)*(E210=E$1:E209)))))</f>
        <v> </v>
      </c>
      <c r="L210" s="27"/>
    </row>
    <row r="211" spans="1:12">
      <c r="A211" s="20" t="s">
        <v>256</v>
      </c>
      <c r="E211" s="22">
        <f>IF(D211="?OLD","!!!","")</f>
        <v/>
      </c>
      <c r="F211" s="23" t="str">
        <f>IF(OR(E211="",E211="!!!"),"",IF(NOT(ISNA(VLOOKUP(E211,E$1:E210,1,FALSE()))),"OLD",IF(AND(E211&lt;&gt;"",E211&lt;&gt;"!!!"),"NEW","")))</f>
        <v> </v>
      </c>
      <c r="G211" s="24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5" t="str">
        <f>IF(J211&lt;&gt;1,"",IF(I211="SBJ","CB","?"))</f>
        <v> </v>
      </c>
      <c r="I211" s="26" t="str">
        <f>IF(OR(E211="",E211="!!!",F211="NEW"),"",INDEX(B210:B$2,-1+SUMPRODUCT(MAX(ROW(E210:E$2)*(E211=E210:E$2)))))</f>
        <v> </v>
      </c>
      <c r="J211" s="26" t="str">
        <f>IF(OR(E211="",E211="!!!",F211="NEW"),"",COUNTBLANK(OFFSET(A$1,,,SUMPRODUCT(MAX(ROW(E$2:E211)*(E211=E$2:E211)))))-COUNTBLANK(OFFSET(A$1,,,SUMPRODUCT(MAX(ROW(E$1:E210)*(E2=E$1:E210))))))</f>
        <v> </v>
      </c>
      <c r="K211" s="26" t="str">
        <f>IF(OR(E211="",E211="!!!",F211="NEW"),"",INDEX(J$1:J210,SUMPRODUCT(MAX(ROW(E$1:E210)*(E211=E$1:E210)))))</f>
        <v> </v>
      </c>
      <c r="L211" s="27"/>
    </row>
    <row r="212" spans="1:12">
      <c r="A212" s="20" t="s">
        <v>210</v>
      </c>
      <c r="B212" s="21" t="s">
        <v>198</v>
      </c>
      <c r="C212" s="21" t="s">
        <v>175</v>
      </c>
      <c r="D212" s="21" t="s">
        <v>106</v>
      </c>
      <c r="E212" s="22">
        <f>IF(D212="?OLD","!!!","")</f>
        <v/>
      </c>
      <c r="F212" s="23" t="str">
        <f>IF(OR(E212="",E212="!!!"),"",IF(NOT(ISNA(VLOOKUP(E212,E$1:E211,1,FALSE()))),"OLD",IF(AND(E212&lt;&gt;"",E212&lt;&gt;"!!!"),"NEW","")))</f>
        <v> </v>
      </c>
      <c r="G212" s="24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 </v>
      </c>
      <c r="H212" s="25" t="str">
        <f>IF(J212&lt;&gt;1,"",IF(I212="SBJ","CB","?"))</f>
        <v> </v>
      </c>
      <c r="I212" s="26" t="str">
        <f>IF(OR(E212="",E212="!!!",F212="NEW"),"",INDEX(B211:B$2,-1+SUMPRODUCT(MAX(ROW(E211:E$2)*(E212=E211:E$2)))))</f>
        <v> </v>
      </c>
      <c r="J212" s="26" t="str">
        <f>IF(OR(E212="",E212="!!!",F212="NEW"),"",COUNTBLANK(OFFSET(A$1,,,SUMPRODUCT(MAX(ROW(E$2:E212)*(E212=E$2:E212)))))-COUNTBLANK(OFFSET(A$1,,,SUMPRODUCT(MAX(ROW(E$1:E211)*(E2=E$1:E211))))))</f>
        <v> </v>
      </c>
      <c r="K212" s="26" t="str">
        <f>IF(OR(E212="",E212="!!!",F212="NEW"),"",INDEX(J$1:J211,SUMPRODUCT(MAX(ROW(E$1:E211)*(E212=E$1:E211)))))</f>
        <v> </v>
      </c>
      <c r="L212" s="27"/>
    </row>
    <row r="213" spans="1:12">
      <c r="A213" s="20" t="s">
        <v>199</v>
      </c>
      <c r="E213" s="22">
        <f>IF(D213="?OLD","!!!","")</f>
        <v/>
      </c>
      <c r="F213" s="23" t="str">
        <f>IF(OR(E213="",E213="!!!"),"",IF(NOT(ISNA(VLOOKUP(E213,E$1:E212,1,FALSE()))),"OLD",IF(AND(E213&lt;&gt;"",E213&lt;&gt;"!!!"),"NEW","")))</f>
        <v> </v>
      </c>
      <c r="G213" s="24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5" t="str">
        <f>IF(J213&lt;&gt;1,"",IF(I213="SBJ","CB","?"))</f>
        <v> </v>
      </c>
      <c r="I213" s="26" t="str">
        <f>IF(OR(E213="",E213="!!!",F213="NEW"),"",INDEX(B212:B$2,-1+SUMPRODUCT(MAX(ROW(E212:E$2)*(E213=E212:E$2)))))</f>
        <v> </v>
      </c>
      <c r="J213" s="26" t="str">
        <f>IF(OR(E213="",E213="!!!",F213="NEW"),"",COUNTBLANK(OFFSET(A$1,,,SUMPRODUCT(MAX(ROW(E$2:E213)*(E213=E$2:E213)))))-COUNTBLANK(OFFSET(A$1,,,SUMPRODUCT(MAX(ROW(E$1:E212)*(E2=E$1:E212))))))</f>
        <v> </v>
      </c>
      <c r="K213" s="26" t="str">
        <f>IF(OR(E213="",E213="!!!",F213="NEW"),"",INDEX(J$1:J212,SUMPRODUCT(MAX(ROW(E$1:E212)*(E213=E$1:E212)))))</f>
        <v> </v>
      </c>
      <c r="L213" s="27"/>
    </row>
    <row r="214" spans="1:12">
      <c r="A214" s="20" t="s">
        <v>257</v>
      </c>
      <c r="E214" s="22">
        <f>IF(D214="?OLD","!!!","")</f>
        <v/>
      </c>
      <c r="F214" s="23" t="str">
        <f>IF(OR(E214="",E214="!!!"),"",IF(NOT(ISNA(VLOOKUP(E214,E$1:E213,1,FALSE()))),"OLD",IF(AND(E214&lt;&gt;"",E214&lt;&gt;"!!!"),"NEW","")))</f>
        <v> </v>
      </c>
      <c r="G214" s="24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 </v>
      </c>
      <c r="H214" s="25" t="str">
        <f>IF(J214&lt;&gt;1,"",IF(I214="SBJ","CB","?"))</f>
        <v> </v>
      </c>
      <c r="I214" s="26" t="str">
        <f>IF(OR(E214="",E214="!!!",F214="NEW"),"",INDEX(B213:B$2,-1+SUMPRODUCT(MAX(ROW(E213:E$2)*(E214=E213:E$2)))))</f>
        <v> </v>
      </c>
      <c r="J214" s="26" t="str">
        <f>IF(OR(E214="",E214="!!!",F214="NEW"),"",COUNTBLANK(OFFSET(A$1,,,SUMPRODUCT(MAX(ROW(E$2:E214)*(E214=E$2:E214)))))-COUNTBLANK(OFFSET(A$1,,,SUMPRODUCT(MAX(ROW(E$1:E213)*(E2=E$1:E213))))))</f>
        <v> </v>
      </c>
      <c r="K214" s="26" t="str">
        <f>IF(OR(E214="",E214="!!!",F214="NEW"),"",INDEX(J$1:J213,SUMPRODUCT(MAX(ROW(E$1:E213)*(E214=E$1:E213)))))</f>
        <v> </v>
      </c>
      <c r="L214" s="27"/>
    </row>
    <row r="215" spans="1:12">
      <c r="A215" s="20" t="s">
        <v>258</v>
      </c>
      <c r="E215" s="22">
        <f>IF(D215="?OLD","!!!","")</f>
        <v/>
      </c>
      <c r="F215" s="23" t="str">
        <f>IF(OR(E215="",E215="!!!"),"",IF(NOT(ISNA(VLOOKUP(E215,E$1:E214,1,FALSE()))),"OLD",IF(AND(E215&lt;&gt;"",E215&lt;&gt;"!!!"),"NEW","")))</f>
        <v> </v>
      </c>
      <c r="G215" s="24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> </v>
      </c>
      <c r="H215" s="25" t="str">
        <f>IF(J215&lt;&gt;1,"",IF(I215="SBJ","CB","?"))</f>
        <v> </v>
      </c>
      <c r="I215" s="26" t="str">
        <f>IF(OR(E215="",E215="!!!",F215="NEW"),"",INDEX(B214:B$2,-1+SUMPRODUCT(MAX(ROW(E214:E$2)*(E215=E214:E$2)))))</f>
        <v> </v>
      </c>
      <c r="J215" s="26" t="str">
        <f>IF(OR(E215="",E215="!!!",F215="NEW"),"",COUNTBLANK(OFFSET(A$1,,,SUMPRODUCT(MAX(ROW(E$2:E215)*(E215=E$2:E215)))))-COUNTBLANK(OFFSET(A$1,,,SUMPRODUCT(MAX(ROW(E$1:E214)*(E2=E$1:E214))))))</f>
        <v> </v>
      </c>
      <c r="K215" s="26" t="str">
        <f>IF(OR(E215="",E215="!!!",F215="NEW"),"",INDEX(J$1:J214,SUMPRODUCT(MAX(ROW(E$1:E214)*(E215=E$1:E214)))))</f>
        <v> </v>
      </c>
      <c r="L215" s="27"/>
    </row>
    <row r="216" spans="1:12">
      <c r="A216" s="20" t="s">
        <v>135</v>
      </c>
      <c r="E216" s="22">
        <f>IF(D216="?OLD","!!!","")</f>
        <v/>
      </c>
      <c r="F216" s="23" t="str">
        <f>IF(OR(E216="",E216="!!!"),"",IF(NOT(ISNA(VLOOKUP(E216,E$1:E215,1,FALSE()))),"OLD",IF(AND(E216&lt;&gt;"",E216&lt;&gt;"!!!"),"NEW","")))</f>
        <v> </v>
      </c>
      <c r="G216" s="24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5" t="str">
        <f>IF(J216&lt;&gt;1,"",IF(I216="SBJ","CB","?"))</f>
        <v> </v>
      </c>
      <c r="I216" s="26" t="str">
        <f>IF(OR(E216="",E216="!!!",F216="NEW"),"",INDEX(B215:B$2,-1+SUMPRODUCT(MAX(ROW(E215:E$2)*(E216=E215:E$2)))))</f>
        <v> </v>
      </c>
      <c r="J216" s="26" t="str">
        <f>IF(OR(E216="",E216="!!!",F216="NEW"),"",COUNTBLANK(OFFSET(A$1,,,SUMPRODUCT(MAX(ROW(E$2:E216)*(E216=E$2:E216)))))-COUNTBLANK(OFFSET(A$1,,,SUMPRODUCT(MAX(ROW(E$1:E215)*(E2=E$1:E215))))))</f>
        <v> </v>
      </c>
      <c r="K216" s="26" t="str">
        <f>IF(OR(E216="",E216="!!!",F216="NEW"),"",INDEX(J$1:J215,SUMPRODUCT(MAX(ROW(E$1:E215)*(E216=E$1:E215)))))</f>
        <v> </v>
      </c>
      <c r="L216" s="27"/>
    </row>
    <row r="217" spans="1:12">
      <c r="A217" s="20"/>
    </row>
    <row r="218" spans="1:12">
      <c r="A218" s="20" t="s">
        <v>259</v>
      </c>
    </row>
    <row r="219" spans="1:12">
      <c r="A219" s="20" t="s">
        <v>248</v>
      </c>
      <c r="E219" s="22">
        <f>IF(D219="?OLD","!!!","")</f>
        <v/>
      </c>
      <c r="F219" s="23" t="str">
        <f>IF(OR(E219="",E219="!!!"),"",IF(NOT(ISNA(VLOOKUP(E219,E$1:E218,1,FALSE()))),"OLD",IF(AND(E219&lt;&gt;"",E219&lt;&gt;"!!!"),"NEW","")))</f>
        <v> </v>
      </c>
      <c r="G219" s="24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5" t="str">
        <f>IF(J219&lt;&gt;1,"",IF(I219="SBJ","CB","?"))</f>
        <v> </v>
      </c>
      <c r="I219" s="26" t="str">
        <f>IF(OR(E219="",E219="!!!",F219="NEW"),"",INDEX(B218:B$2,-1+SUMPRODUCT(MAX(ROW(E218:E$2)*(E219=E218:E$2)))))</f>
        <v> </v>
      </c>
      <c r="J219" s="26" t="str">
        <f>IF(OR(E219="",E219="!!!",F219="NEW"),"",COUNTBLANK(OFFSET(A$1,,,SUMPRODUCT(MAX(ROW(E$2:E219)*(E219=E$2:E219)))))-COUNTBLANK(OFFSET(A$1,,,SUMPRODUCT(MAX(ROW(E$1:E218)*(E2=E$1:E218))))))</f>
        <v> </v>
      </c>
      <c r="K219" s="26" t="str">
        <f>IF(OR(E219="",E219="!!!",F219="NEW"),"",INDEX(J$1:J218,SUMPRODUCT(MAX(ROW(E$1:E218)*(E219=E$1:E218)))))</f>
        <v> </v>
      </c>
      <c r="L219" s="27"/>
    </row>
    <row r="220" spans="1:12">
      <c r="A220" s="20" t="s">
        <v>260</v>
      </c>
      <c r="B220" s="21" t="s">
        <v>139</v>
      </c>
      <c r="C220" s="21" t="s">
        <v>147</v>
      </c>
      <c r="D220" s="21" t="s">
        <v>106</v>
      </c>
      <c r="E220" s="22">
        <f>IF(D220="?OLD","!!!","")</f>
        <v/>
      </c>
      <c r="F220" s="23" t="str">
        <f>IF(OR(E220="",E220="!!!"),"",IF(NOT(ISNA(VLOOKUP(E220,E$1:E219,1,FALSE()))),"OLD",IF(AND(E220&lt;&gt;"",E220&lt;&gt;"!!!"),"NEW","")))</f>
        <v> </v>
      </c>
      <c r="G220" s="24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25" t="str">
        <f>IF(J220&lt;&gt;1,"",IF(I220="SBJ","CB","?"))</f>
        <v> </v>
      </c>
      <c r="I220" s="26" t="str">
        <f>IF(OR(E220="",E220="!!!",F220="NEW"),"",INDEX(B219:B$2,-1+SUMPRODUCT(MAX(ROW(E219:E$2)*(E220=E219:E$2)))))</f>
        <v> </v>
      </c>
      <c r="J220" s="26" t="str">
        <f>IF(OR(E220="",E220="!!!",F220="NEW"),"",COUNTBLANK(OFFSET(A$1,,,SUMPRODUCT(MAX(ROW(E$2:E220)*(E220=E$2:E220)))))-COUNTBLANK(OFFSET(A$1,,,SUMPRODUCT(MAX(ROW(E$1:E219)*(E2=E$1:E219))))))</f>
        <v> </v>
      </c>
      <c r="K220" s="26" t="str">
        <f>IF(OR(E220="",E220="!!!",F220="NEW"),"",INDEX(J$1:J219,SUMPRODUCT(MAX(ROW(E$1:E219)*(E220=E$1:E219)))))</f>
        <v> </v>
      </c>
      <c r="L220" s="27"/>
    </row>
    <row r="221" spans="1:12">
      <c r="A221" s="20" t="s">
        <v>138</v>
      </c>
      <c r="E221" s="22">
        <f>IF(D221="?OLD","!!!","")</f>
        <v/>
      </c>
      <c r="F221" s="23" t="str">
        <f>IF(OR(E221="",E221="!!!"),"",IF(NOT(ISNA(VLOOKUP(E221,E$1:E220,1,FALSE()))),"OLD",IF(AND(E221&lt;&gt;"",E221&lt;&gt;"!!!"),"NEW","")))</f>
        <v> </v>
      </c>
      <c r="G221" s="24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 </v>
      </c>
      <c r="H221" s="25" t="str">
        <f>IF(J221&lt;&gt;1,"",IF(I221="SBJ","CB","?"))</f>
        <v> </v>
      </c>
      <c r="I221" s="26" t="str">
        <f>IF(OR(E221="",E221="!!!",F221="NEW"),"",INDEX(B220:B$2,-1+SUMPRODUCT(MAX(ROW(E220:E$2)*(E221=E220:E$2)))))</f>
        <v> </v>
      </c>
      <c r="J221" s="26" t="str">
        <f>IF(OR(E221="",E221="!!!",F221="NEW"),"",COUNTBLANK(OFFSET(A$1,,,SUMPRODUCT(MAX(ROW(E$2:E221)*(E221=E$2:E221)))))-COUNTBLANK(OFFSET(A$1,,,SUMPRODUCT(MAX(ROW(E$1:E220)*(E2=E$1:E220))))))</f>
        <v> </v>
      </c>
      <c r="K221" s="26" t="str">
        <f>IF(OR(E221="",E221="!!!",F221="NEW"),"",INDEX(J$1:J220,SUMPRODUCT(MAX(ROW(E$1:E220)*(E221=E$1:E220)))))</f>
        <v> </v>
      </c>
      <c r="L221" s="27"/>
    </row>
    <row r="222" spans="1:12">
      <c r="A222" s="20" t="s">
        <v>217</v>
      </c>
      <c r="E222" s="22">
        <f>IF(D222="?OLD","!!!","")</f>
        <v/>
      </c>
      <c r="F222" s="23" t="str">
        <f>IF(OR(E222="",E222="!!!"),"",IF(NOT(ISNA(VLOOKUP(E222,E$1:E221,1,FALSE()))),"OLD",IF(AND(E222&lt;&gt;"",E222&lt;&gt;"!!!"),"NEW","")))</f>
        <v> </v>
      </c>
      <c r="G222" s="24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25" t="str">
        <f>IF(J222&lt;&gt;1,"",IF(I222="SBJ","CB","?"))</f>
        <v> </v>
      </c>
      <c r="I222" s="26" t="str">
        <f>IF(OR(E222="",E222="!!!",F222="NEW"),"",INDEX(B221:B$2,-1+SUMPRODUCT(MAX(ROW(E221:E$2)*(E222=E221:E$2)))))</f>
        <v> </v>
      </c>
      <c r="J222" s="26" t="str">
        <f>IF(OR(E222="",E222="!!!",F222="NEW"),"",COUNTBLANK(OFFSET(A$1,,,SUMPRODUCT(MAX(ROW(E$2:E222)*(E222=E$2:E222)))))-COUNTBLANK(OFFSET(A$1,,,SUMPRODUCT(MAX(ROW(E$1:E221)*(E2=E$1:E221))))))</f>
        <v> </v>
      </c>
      <c r="K222" s="26" t="str">
        <f>IF(OR(E222="",E222="!!!",F222="NEW"),"",INDEX(J$1:J221,SUMPRODUCT(MAX(ROW(E$1:E221)*(E222=E$1:E221)))))</f>
        <v> </v>
      </c>
      <c r="L222" s="27"/>
    </row>
    <row r="223" spans="1:12">
      <c r="A223" s="20" t="s">
        <v>211</v>
      </c>
      <c r="B223" s="21" t="s">
        <v>110</v>
      </c>
      <c r="C223" s="21" t="s">
        <v>147</v>
      </c>
      <c r="D223" s="21" t="s">
        <v>106</v>
      </c>
      <c r="E223" s="22">
        <f>IF(D223="?OLD","!!!","")</f>
        <v/>
      </c>
      <c r="F223" s="23" t="str">
        <f>IF(OR(E223="",E223="!!!"),"",IF(NOT(ISNA(VLOOKUP(E223,E$1:E222,1,FALSE()))),"OLD",IF(AND(E223&lt;&gt;"",E223&lt;&gt;"!!!"),"NEW","")))</f>
        <v> </v>
      </c>
      <c r="G223" s="24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> </v>
      </c>
      <c r="H223" s="25" t="str">
        <f>IF(J223&lt;&gt;1,"",IF(I223="SBJ","CB","?"))</f>
        <v> </v>
      </c>
      <c r="I223" s="26" t="str">
        <f>IF(OR(E223="",E223="!!!",F223="NEW"),"",INDEX(B222:B$2,-1+SUMPRODUCT(MAX(ROW(E222:E$2)*(E223=E222:E$2)))))</f>
        <v> </v>
      </c>
      <c r="J223" s="26" t="str">
        <f>IF(OR(E223="",E223="!!!",F223="NEW"),"",COUNTBLANK(OFFSET(A$1,,,SUMPRODUCT(MAX(ROW(E$2:E223)*(E223=E$2:E223)))))-COUNTBLANK(OFFSET(A$1,,,SUMPRODUCT(MAX(ROW(E$1:E222)*(E2=E$1:E222))))))</f>
        <v> </v>
      </c>
      <c r="K223" s="26" t="str">
        <f>IF(OR(E223="",E223="!!!",F223="NEW"),"",INDEX(J$1:J222,SUMPRODUCT(MAX(ROW(E$1:E222)*(E223=E$1:E222)))))</f>
        <v> </v>
      </c>
      <c r="L223" s="27"/>
    </row>
    <row r="224" spans="1:12">
      <c r="A224" s="20" t="s">
        <v>116</v>
      </c>
      <c r="E224" s="22">
        <f>IF(D224="?OLD","!!!","")</f>
        <v/>
      </c>
      <c r="F224" s="23" t="str">
        <f>IF(OR(E224="",E224="!!!"),"",IF(NOT(ISNA(VLOOKUP(E224,E$1:E223,1,FALSE()))),"OLD",IF(AND(E224&lt;&gt;"",E224&lt;&gt;"!!!"),"NEW","")))</f>
        <v> </v>
      </c>
      <c r="G224" s="24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25" t="str">
        <f>IF(J224&lt;&gt;1,"",IF(I224="SBJ","CB","?"))</f>
        <v> </v>
      </c>
      <c r="I224" s="26" t="str">
        <f>IF(OR(E224="",E224="!!!",F224="NEW"),"",INDEX(B223:B$2,-1+SUMPRODUCT(MAX(ROW(E223:E$2)*(E224=E223:E$2)))))</f>
        <v> </v>
      </c>
      <c r="J224" s="26" t="str">
        <f>IF(OR(E224="",E224="!!!",F224="NEW"),"",COUNTBLANK(OFFSET(A$1,,,SUMPRODUCT(MAX(ROW(E$2:E224)*(E224=E$2:E224)))))-COUNTBLANK(OFFSET(A$1,,,SUMPRODUCT(MAX(ROW(E$1:E223)*(E2=E$1:E223))))))</f>
        <v> </v>
      </c>
      <c r="K224" s="26" t="str">
        <f>IF(OR(E224="",E224="!!!",F224="NEW"),"",INDEX(J$1:J223,SUMPRODUCT(MAX(ROW(E$1:E223)*(E224=E$1:E223)))))</f>
        <v> </v>
      </c>
      <c r="L224" s="27"/>
    </row>
    <row r="225" spans="1:12">
      <c r="A225" s="20" t="s">
        <v>108</v>
      </c>
      <c r="E225" s="22">
        <f>IF(D225="?OLD","!!!","")</f>
        <v/>
      </c>
      <c r="F225" s="23" t="str">
        <f>IF(OR(E225="",E225="!!!"),"",IF(NOT(ISNA(VLOOKUP(E225,E$1:E224,1,FALSE()))),"OLD",IF(AND(E225&lt;&gt;"",E225&lt;&gt;"!!!"),"NEW","")))</f>
        <v> </v>
      </c>
      <c r="G225" s="24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> </v>
      </c>
      <c r="H225" s="25" t="str">
        <f>IF(J225&lt;&gt;1,"",IF(I225="SBJ","CB","?"))</f>
        <v> </v>
      </c>
      <c r="I225" s="26" t="str">
        <f>IF(OR(E225="",E225="!!!",F225="NEW"),"",INDEX(B224:B$2,-1+SUMPRODUCT(MAX(ROW(E224:E$2)*(E225=E224:E$2)))))</f>
        <v> </v>
      </c>
      <c r="J225" s="26" t="str">
        <f>IF(OR(E225="",E225="!!!",F225="NEW"),"",COUNTBLANK(OFFSET(A$1,,,SUMPRODUCT(MAX(ROW(E$2:E225)*(E225=E$2:E225)))))-COUNTBLANK(OFFSET(A$1,,,SUMPRODUCT(MAX(ROW(E$1:E224)*(E2=E$1:E224))))))</f>
        <v> </v>
      </c>
      <c r="K225" s="26" t="str">
        <f>IF(OR(E225="",E225="!!!",F225="NEW"),"",INDEX(J$1:J224,SUMPRODUCT(MAX(ROW(E$1:E224)*(E225=E$1:E224)))))</f>
        <v> </v>
      </c>
      <c r="L225" s="27"/>
    </row>
    <row r="226" spans="1:12">
      <c r="A226" s="20" t="s">
        <v>261</v>
      </c>
      <c r="B226" s="21" t="s">
        <v>124</v>
      </c>
      <c r="C226" s="21" t="s">
        <v>262</v>
      </c>
      <c r="E226" s="22">
        <f>IF(D226="?OLD","!!!","")</f>
        <v/>
      </c>
      <c r="F226" s="23" t="str">
        <f>IF(OR(E226="",E226="!!!"),"",IF(NOT(ISNA(VLOOKUP(E226,E$1:E225,1,FALSE()))),"OLD",IF(AND(E226&lt;&gt;"",E226&lt;&gt;"!!!"),"NEW","")))</f>
        <v> </v>
      </c>
      <c r="G226" s="24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> </v>
      </c>
      <c r="H226" s="25" t="str">
        <f>IF(J226&lt;&gt;1,"",IF(I226="SBJ","CB","?"))</f>
        <v> </v>
      </c>
      <c r="I226" s="26" t="str">
        <f>IF(OR(E226="",E226="!!!",F226="NEW"),"",INDEX(B225:B$2,-1+SUMPRODUCT(MAX(ROW(E225:E$2)*(E226=E225:E$2)))))</f>
        <v> </v>
      </c>
      <c r="J226" s="26" t="str">
        <f>IF(OR(E226="",E226="!!!",F226="NEW"),"",COUNTBLANK(OFFSET(A$1,,,SUMPRODUCT(MAX(ROW(E$2:E226)*(E226=E$2:E226)))))-COUNTBLANK(OFFSET(A$1,,,SUMPRODUCT(MAX(ROW(E$1:E225)*(E2=E$1:E225))))))</f>
        <v> </v>
      </c>
      <c r="K226" s="26" t="str">
        <f>IF(OR(E226="",E226="!!!",F226="NEW"),"",INDEX(J$1:J225,SUMPRODUCT(MAX(ROW(E$1:E225)*(E226=E$1:E225)))))</f>
        <v> </v>
      </c>
      <c r="L226" s="27"/>
    </row>
    <row r="227" spans="1:12">
      <c r="A227" s="20" t="s">
        <v>217</v>
      </c>
      <c r="E227" s="22">
        <f>IF(D227="?OLD","!!!","")</f>
        <v/>
      </c>
      <c r="F227" s="23" t="str">
        <f>IF(OR(E227="",E227="!!!"),"",IF(NOT(ISNA(VLOOKUP(E227,E$1:E226,1,FALSE()))),"OLD",IF(AND(E227&lt;&gt;"",E227&lt;&gt;"!!!"),"NEW","")))</f>
        <v> </v>
      </c>
      <c r="G227" s="24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5" t="str">
        <f>IF(J227&lt;&gt;1,"",IF(I227="SBJ","CB","?"))</f>
        <v> </v>
      </c>
      <c r="I227" s="26" t="str">
        <f>IF(OR(E227="",E227="!!!",F227="NEW"),"",INDEX(B226:B$2,-1+SUMPRODUCT(MAX(ROW(E226:E$2)*(E227=E226:E$2)))))</f>
        <v> </v>
      </c>
      <c r="J227" s="26" t="str">
        <f>IF(OR(E227="",E227="!!!",F227="NEW"),"",COUNTBLANK(OFFSET(A$1,,,SUMPRODUCT(MAX(ROW(E$2:E227)*(E227=E$2:E227)))))-COUNTBLANK(OFFSET(A$1,,,SUMPRODUCT(MAX(ROW(E$1:E226)*(E2=E$1:E226))))))</f>
        <v> </v>
      </c>
      <c r="K227" s="26" t="str">
        <f>IF(OR(E227="",E227="!!!",F227="NEW"),"",INDEX(J$1:J226,SUMPRODUCT(MAX(ROW(E$1:E226)*(E227=E$1:E226)))))</f>
        <v> </v>
      </c>
      <c r="L227" s="27"/>
    </row>
    <row r="228" spans="1:12">
      <c r="A228" s="20" t="s">
        <v>263</v>
      </c>
      <c r="B228" s="21" t="s">
        <v>104</v>
      </c>
      <c r="C228" s="21" t="s">
        <v>147</v>
      </c>
      <c r="D228" s="21" t="s">
        <v>106</v>
      </c>
      <c r="E228" s="22">
        <f>IF(D228="?OLD","!!!","")</f>
        <v/>
      </c>
      <c r="F228" s="23" t="str">
        <f>IF(OR(E228="",E228="!!!"),"",IF(NOT(ISNA(VLOOKUP(E228,E$1:E227,1,FALSE()))),"OLD",IF(AND(E228&lt;&gt;"",E228&lt;&gt;"!!!"),"NEW","")))</f>
        <v> </v>
      </c>
      <c r="G228" s="24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25" t="str">
        <f>IF(J228&lt;&gt;1,"",IF(I228="SBJ","CB","?"))</f>
        <v> </v>
      </c>
      <c r="I228" s="26" t="str">
        <f>IF(OR(E228="",E228="!!!",F228="NEW"),"",INDEX(B227:B$2,-1+SUMPRODUCT(MAX(ROW(E227:E$2)*(E228=E227:E$2)))))</f>
        <v> </v>
      </c>
      <c r="J228" s="26" t="str">
        <f>IF(OR(E228="",E228="!!!",F228="NEW"),"",COUNTBLANK(OFFSET(A$1,,,SUMPRODUCT(MAX(ROW(E$2:E228)*(E228=E$2:E228)))))-COUNTBLANK(OFFSET(A$1,,,SUMPRODUCT(MAX(ROW(E$1:E227)*(E2=E$1:E227))))))</f>
        <v> </v>
      </c>
      <c r="K228" s="26" t="str">
        <f>IF(OR(E228="",E228="!!!",F228="NEW"),"",INDEX(J$1:J227,SUMPRODUCT(MAX(ROW(E$1:E227)*(E228=E$1:E227)))))</f>
        <v> </v>
      </c>
      <c r="L228" s="27"/>
    </row>
    <row r="229" spans="1:12">
      <c r="A229" s="20" t="s">
        <v>264</v>
      </c>
      <c r="E229" s="22">
        <f>IF(D229="?OLD","!!!","")</f>
        <v/>
      </c>
      <c r="F229" s="23" t="str">
        <f>IF(OR(E229="",E229="!!!"),"",IF(NOT(ISNA(VLOOKUP(E229,E$1:E228,1,FALSE()))),"OLD",IF(AND(E229&lt;&gt;"",E229&lt;&gt;"!!!"),"NEW","")))</f>
        <v> </v>
      </c>
      <c r="G229" s="24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> </v>
      </c>
      <c r="H229" s="25" t="str">
        <f>IF(J229&lt;&gt;1,"",IF(I229="SBJ","CB","?"))</f>
        <v> </v>
      </c>
      <c r="I229" s="26" t="str">
        <f>IF(OR(E229="",E229="!!!",F229="NEW"),"",INDEX(B228:B$2,-1+SUMPRODUCT(MAX(ROW(E228:E$2)*(E229=E228:E$2)))))</f>
        <v> </v>
      </c>
      <c r="J229" s="26" t="str">
        <f>IF(OR(E229="",E229="!!!",F229="NEW"),"",COUNTBLANK(OFFSET(A$1,,,SUMPRODUCT(MAX(ROW(E$2:E229)*(E229=E$2:E229)))))-COUNTBLANK(OFFSET(A$1,,,SUMPRODUCT(MAX(ROW(E$1:E228)*(E2=E$1:E228))))))</f>
        <v> </v>
      </c>
      <c r="K229" s="26" t="str">
        <f>IF(OR(E229="",E229="!!!",F229="NEW"),"",INDEX(J$1:J228,SUMPRODUCT(MAX(ROW(E$1:E228)*(E229=E$1:E228)))))</f>
        <v> </v>
      </c>
      <c r="L229" s="27"/>
    </row>
    <row r="230" spans="1:12">
      <c r="A230" s="20" t="s">
        <v>265</v>
      </c>
      <c r="B230" s="21" t="s">
        <v>187</v>
      </c>
      <c r="C230" s="21" t="s">
        <v>245</v>
      </c>
      <c r="E230" s="22">
        <f>IF(D230="?OLD","!!!","")</f>
        <v/>
      </c>
      <c r="F230" s="23" t="str">
        <f>IF(OR(E230="",E230="!!!"),"",IF(NOT(ISNA(VLOOKUP(E230,E$1:E229,1,FALSE()))),"OLD",IF(AND(E230&lt;&gt;"",E230&lt;&gt;"!!!"),"NEW","")))</f>
        <v> </v>
      </c>
      <c r="G230" s="24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5" t="str">
        <f>IF(J230&lt;&gt;1,"",IF(I230="SBJ","CB","?"))</f>
        <v> </v>
      </c>
      <c r="I230" s="26" t="str">
        <f>IF(OR(E230="",E230="!!!",F230="NEW"),"",INDEX(B229:B$2,-1+SUMPRODUCT(MAX(ROW(E229:E$2)*(E230=E229:E$2)))))</f>
        <v> </v>
      </c>
      <c r="J230" s="26" t="str">
        <f>IF(OR(E230="",E230="!!!",F230="NEW"),"",COUNTBLANK(OFFSET(A$1,,,SUMPRODUCT(MAX(ROW(E$2:E230)*(E230=E$2:E230)))))-COUNTBLANK(OFFSET(A$1,,,SUMPRODUCT(MAX(ROW(E$1:E229)*(E2=E$1:E229))))))</f>
        <v> </v>
      </c>
      <c r="K230" s="26" t="str">
        <f>IF(OR(E230="",E230="!!!",F230="NEW"),"",INDEX(J$1:J229,SUMPRODUCT(MAX(ROW(E$1:E229)*(E230=E$1:E229)))))</f>
        <v> </v>
      </c>
      <c r="L230" s="27"/>
    </row>
    <row r="231" spans="1:12">
      <c r="A231" s="20" t="s">
        <v>266</v>
      </c>
      <c r="E231" s="22">
        <f>IF(D231="?OLD","!!!","")</f>
        <v/>
      </c>
      <c r="F231" s="23" t="str">
        <f>IF(OR(E231="",E231="!!!"),"",IF(NOT(ISNA(VLOOKUP(E231,E$1:E230,1,FALSE()))),"OLD",IF(AND(E231&lt;&gt;"",E231&lt;&gt;"!!!"),"NEW","")))</f>
        <v> </v>
      </c>
      <c r="G231" s="24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25" t="str">
        <f>IF(J231&lt;&gt;1,"",IF(I231="SBJ","CB","?"))</f>
        <v> </v>
      </c>
      <c r="I231" s="26" t="str">
        <f>IF(OR(E231="",E231="!!!",F231="NEW"),"",INDEX(B230:B$2,-1+SUMPRODUCT(MAX(ROW(E230:E$2)*(E231=E230:E$2)))))</f>
        <v> </v>
      </c>
      <c r="J231" s="26" t="str">
        <f>IF(OR(E231="",E231="!!!",F231="NEW"),"",COUNTBLANK(OFFSET(A$1,,,SUMPRODUCT(MAX(ROW(E$2:E231)*(E231=E$2:E231)))))-COUNTBLANK(OFFSET(A$1,,,SUMPRODUCT(MAX(ROW(E$1:E230)*(E2=E$1:E230))))))</f>
        <v> </v>
      </c>
      <c r="K231" s="26" t="str">
        <f>IF(OR(E231="",E231="!!!",F231="NEW"),"",INDEX(J$1:J230,SUMPRODUCT(MAX(ROW(E$1:E230)*(E231=E$1:E230)))))</f>
        <v> </v>
      </c>
      <c r="L231" s="27"/>
    </row>
    <row r="232" spans="1:12">
      <c r="A232" s="20" t="s">
        <v>116</v>
      </c>
      <c r="E232" s="22">
        <f>IF(D232="?OLD","!!!","")</f>
        <v/>
      </c>
      <c r="F232" s="23" t="str">
        <f>IF(OR(E232="",E232="!!!"),"",IF(NOT(ISNA(VLOOKUP(E232,E$1:E231,1,FALSE()))),"OLD",IF(AND(E232&lt;&gt;"",E232&lt;&gt;"!!!"),"NEW","")))</f>
        <v> </v>
      </c>
      <c r="G232" s="24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25" t="str">
        <f>IF(J232&lt;&gt;1,"",IF(I232="SBJ","CB","?"))</f>
        <v> </v>
      </c>
      <c r="I232" s="26" t="str">
        <f>IF(OR(E232="",E232="!!!",F232="NEW"),"",INDEX(B231:B$2,-1+SUMPRODUCT(MAX(ROW(E231:E$2)*(E232=E231:E$2)))))</f>
        <v> </v>
      </c>
      <c r="J232" s="26" t="str">
        <f>IF(OR(E232="",E232="!!!",F232="NEW"),"",COUNTBLANK(OFFSET(A$1,,,SUMPRODUCT(MAX(ROW(E$2:E232)*(E232=E$2:E232)))))-COUNTBLANK(OFFSET(A$1,,,SUMPRODUCT(MAX(ROW(E$1:E231)*(E2=E$1:E231))))))</f>
        <v> </v>
      </c>
      <c r="K232" s="26" t="str">
        <f>IF(OR(E232="",E232="!!!",F232="NEW"),"",INDEX(J$1:J231,SUMPRODUCT(MAX(ROW(E$1:E231)*(E232=E$1:E231)))))</f>
        <v> </v>
      </c>
      <c r="L232" s="27"/>
    </row>
    <row r="233" spans="1:12">
      <c r="A233" s="20" t="s">
        <v>217</v>
      </c>
      <c r="B233" s="21" t="s">
        <v>104</v>
      </c>
      <c r="E233" s="22">
        <f>IF(D233="?OLD","!!!","")</f>
        <v/>
      </c>
      <c r="F233" s="23" t="str">
        <f>IF(OR(E233="",E233="!!!"),"",IF(NOT(ISNA(VLOOKUP(E233,E$1:E232,1,FALSE()))),"OLD",IF(AND(E233&lt;&gt;"",E233&lt;&gt;"!!!"),"NEW","")))</f>
        <v> </v>
      </c>
      <c r="G233" s="24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5" t="str">
        <f>IF(J233&lt;&gt;1,"",IF(I233="SBJ","CB","?"))</f>
        <v> </v>
      </c>
      <c r="I233" s="26" t="str">
        <f>IF(OR(E233="",E233="!!!",F233="NEW"),"",INDEX(B232:B$2,-1+SUMPRODUCT(MAX(ROW(E232:E$2)*(E233=E232:E$2)))))</f>
        <v> </v>
      </c>
      <c r="J233" s="26" t="str">
        <f>IF(OR(E233="",E233="!!!",F233="NEW"),"",COUNTBLANK(OFFSET(A$1,,,SUMPRODUCT(MAX(ROW(E$2:E233)*(E233=E$2:E233)))))-COUNTBLANK(OFFSET(A$1,,,SUMPRODUCT(MAX(ROW(E$1:E232)*(E2=E$1:E232))))))</f>
        <v> </v>
      </c>
      <c r="K233" s="26" t="str">
        <f>IF(OR(E233="",E233="!!!",F233="NEW"),"",INDEX(J$1:J232,SUMPRODUCT(MAX(ROW(E$1:E232)*(E233=E$1:E232)))))</f>
        <v> </v>
      </c>
      <c r="L233" s="27"/>
    </row>
    <row r="234" spans="1:12">
      <c r="A234" s="20" t="s">
        <v>267</v>
      </c>
      <c r="E234" s="22">
        <f>IF(D234="?OLD","!!!","")</f>
        <v/>
      </c>
      <c r="F234" s="23" t="str">
        <f>IF(OR(E234="",E234="!!!"),"",IF(NOT(ISNA(VLOOKUP(E234,E$1:E233,1,FALSE()))),"OLD",IF(AND(E234&lt;&gt;"",E234&lt;&gt;"!!!"),"NEW","")))</f>
        <v> </v>
      </c>
      <c r="G234" s="24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5" t="str">
        <f>IF(J234&lt;&gt;1,"",IF(I234="SBJ","CB","?"))</f>
        <v> </v>
      </c>
      <c r="I234" s="26" t="str">
        <f>IF(OR(E234="",E234="!!!",F234="NEW"),"",INDEX(B233:B$2,-1+SUMPRODUCT(MAX(ROW(E233:E$2)*(E234=E233:E$2)))))</f>
        <v> </v>
      </c>
      <c r="J234" s="26" t="str">
        <f>IF(OR(E234="",E234="!!!",F234="NEW"),"",COUNTBLANK(OFFSET(A$1,,,SUMPRODUCT(MAX(ROW(E$2:E234)*(E234=E$2:E234)))))-COUNTBLANK(OFFSET(A$1,,,SUMPRODUCT(MAX(ROW(E$1:E233)*(E2=E$1:E233))))))</f>
        <v> </v>
      </c>
      <c r="K234" s="26" t="str">
        <f>IF(OR(E234="",E234="!!!",F234="NEW"),"",INDEX(J$1:J233,SUMPRODUCT(MAX(ROW(E$1:E233)*(E234=E$1:E233)))))</f>
        <v> </v>
      </c>
      <c r="L234" s="27"/>
    </row>
    <row r="235" spans="1:12">
      <c r="A235" s="20" t="s">
        <v>217</v>
      </c>
      <c r="E235" s="22">
        <f>IF(D235="?OLD","!!!","")</f>
        <v/>
      </c>
      <c r="F235" s="23" t="str">
        <f>IF(OR(E235="",E235="!!!"),"",IF(NOT(ISNA(VLOOKUP(E235,E$1:E234,1,FALSE()))),"OLD",IF(AND(E235&lt;&gt;"",E235&lt;&gt;"!!!"),"NEW","")))</f>
        <v> </v>
      </c>
      <c r="G235" s="24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> </v>
      </c>
      <c r="H235" s="25" t="str">
        <f>IF(J235&lt;&gt;1,"",IF(I235="SBJ","CB","?"))</f>
        <v> </v>
      </c>
      <c r="I235" s="26" t="str">
        <f>IF(OR(E235="",E235="!!!",F235="NEW"),"",INDEX(B234:B$2,-1+SUMPRODUCT(MAX(ROW(E234:E$2)*(E235=E234:E$2)))))</f>
        <v> </v>
      </c>
      <c r="J235" s="26" t="str">
        <f>IF(OR(E235="",E235="!!!",F235="NEW"),"",COUNTBLANK(OFFSET(A$1,,,SUMPRODUCT(MAX(ROW(E$2:E235)*(E235=E$2:E235)))))-COUNTBLANK(OFFSET(A$1,,,SUMPRODUCT(MAX(ROW(E$1:E234)*(E2=E$1:E234))))))</f>
        <v> </v>
      </c>
      <c r="K235" s="26" t="str">
        <f>IF(OR(E235="",E235="!!!",F235="NEW"),"",INDEX(J$1:J234,SUMPRODUCT(MAX(ROW(E$1:E234)*(E235=E$1:E234)))))</f>
        <v> </v>
      </c>
      <c r="L235" s="27"/>
    </row>
    <row r="236" spans="1:12">
      <c r="A236" s="20" t="s">
        <v>268</v>
      </c>
      <c r="E236" s="22">
        <f>IF(D236="?OLD","!!!","")</f>
        <v/>
      </c>
      <c r="F236" s="23" t="str">
        <f>IF(OR(E236="",E236="!!!"),"",IF(NOT(ISNA(VLOOKUP(E236,E$1:E235,1,FALSE()))),"OLD",IF(AND(E236&lt;&gt;"",E236&lt;&gt;"!!!"),"NEW","")))</f>
        <v> </v>
      </c>
      <c r="G236" s="24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> </v>
      </c>
      <c r="H236" s="25" t="str">
        <f>IF(J236&lt;&gt;1,"",IF(I236="SBJ","CB","?"))</f>
        <v> </v>
      </c>
      <c r="I236" s="26" t="str">
        <f>IF(OR(E236="",E236="!!!",F236="NEW"),"",INDEX(B235:B$2,-1+SUMPRODUCT(MAX(ROW(E235:E$2)*(E236=E235:E$2)))))</f>
        <v> </v>
      </c>
      <c r="J236" s="26" t="str">
        <f>IF(OR(E236="",E236="!!!",F236="NEW"),"",COUNTBLANK(OFFSET(A$1,,,SUMPRODUCT(MAX(ROW(E$2:E236)*(E236=E$2:E236)))))-COUNTBLANK(OFFSET(A$1,,,SUMPRODUCT(MAX(ROW(E$1:E235)*(E2=E$1:E235))))))</f>
        <v> </v>
      </c>
      <c r="K236" s="26" t="str">
        <f>IF(OR(E236="",E236="!!!",F236="NEW"),"",INDEX(J$1:J235,SUMPRODUCT(MAX(ROW(E$1:E235)*(E236=E$1:E235)))))</f>
        <v> </v>
      </c>
      <c r="L236" s="27"/>
    </row>
    <row r="237" spans="1:12">
      <c r="A237" s="20" t="s">
        <v>269</v>
      </c>
      <c r="B237" s="21" t="s">
        <v>124</v>
      </c>
      <c r="C237" s="21" t="s">
        <v>147</v>
      </c>
      <c r="D237" s="21" t="s">
        <v>106</v>
      </c>
      <c r="E237" s="22">
        <f>IF(D237="?OLD","!!!","")</f>
        <v/>
      </c>
      <c r="F237" s="23" t="str">
        <f>IF(OR(E237="",E237="!!!"),"",IF(NOT(ISNA(VLOOKUP(E237,E$1:E236,1,FALSE()))),"OLD",IF(AND(E237&lt;&gt;"",E237&lt;&gt;"!!!"),"NEW","")))</f>
        <v> </v>
      </c>
      <c r="G237" s="24" t="str">
        <f>IF(OR(E237="",E237="!!!"),"",IF(OR(J237=0,AND(J237=1,K237=1),AND(J237=1,I237="SBJ"),AND(J237=1,I237=0)),"?IN_FOCUS",IF(J237&lt;=2,"?ACTIVATED",IF(J237&lt;&gt;"","?FAMILIAR",IF(F237="NEW",IF(ISNA(VLOOKUP(E237,#REF!,1,FALSE())),"?TYPE_IDENTIFIABLE","?REFERENTIAL"),"_")))))</f>
        <v> </v>
      </c>
      <c r="H237" s="25" t="str">
        <f>IF(J237&lt;&gt;1,"",IF(I237="SBJ","CB","?"))</f>
        <v> </v>
      </c>
      <c r="I237" s="26" t="str">
        <f>IF(OR(E237="",E237="!!!",F237="NEW"),"",INDEX(B236:B$2,-1+SUMPRODUCT(MAX(ROW(E236:E$2)*(E237=E236:E$2)))))</f>
        <v> </v>
      </c>
      <c r="J237" s="26" t="str">
        <f>IF(OR(E237="",E237="!!!",F237="NEW"),"",COUNTBLANK(OFFSET(A$1,,,SUMPRODUCT(MAX(ROW(E$2:E237)*(E237=E$2:E237)))))-COUNTBLANK(OFFSET(A$1,,,SUMPRODUCT(MAX(ROW(E$1:E236)*(E2=E$1:E236))))))</f>
        <v> </v>
      </c>
      <c r="K237" s="26" t="str">
        <f>IF(OR(E237="",E237="!!!",F237="NEW"),"",INDEX(J$1:J236,SUMPRODUCT(MAX(ROW(E$1:E236)*(E237=E$1:E236)))))</f>
        <v> </v>
      </c>
      <c r="L237" s="27"/>
    </row>
    <row r="238" spans="1:12">
      <c r="A238" s="20" t="s">
        <v>270</v>
      </c>
      <c r="E238" s="22">
        <f>IF(D238="?OLD","!!!","")</f>
        <v/>
      </c>
      <c r="F238" s="23" t="str">
        <f>IF(OR(E238="",E238="!!!"),"",IF(NOT(ISNA(VLOOKUP(E238,E$1:E237,1,FALSE()))),"OLD",IF(AND(E238&lt;&gt;"",E238&lt;&gt;"!!!"),"NEW","")))</f>
        <v> </v>
      </c>
      <c r="G238" s="24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> </v>
      </c>
      <c r="H238" s="25" t="str">
        <f>IF(J238&lt;&gt;1,"",IF(I238="SBJ","CB","?"))</f>
        <v> </v>
      </c>
      <c r="I238" s="26" t="str">
        <f>IF(OR(E238="",E238="!!!",F238="NEW"),"",INDEX(B237:B$2,-1+SUMPRODUCT(MAX(ROW(E237:E$2)*(E238=E237:E$2)))))</f>
        <v> </v>
      </c>
      <c r="J238" s="26" t="str">
        <f>IF(OR(E238="",E238="!!!",F238="NEW"),"",COUNTBLANK(OFFSET(A$1,,,SUMPRODUCT(MAX(ROW(E$2:E238)*(E238=E$2:E238)))))-COUNTBLANK(OFFSET(A$1,,,SUMPRODUCT(MAX(ROW(E$1:E237)*(E2=E$1:E237))))))</f>
        <v> </v>
      </c>
      <c r="K238" s="26" t="str">
        <f>IF(OR(E238="",E238="!!!",F238="NEW"),"",INDEX(J$1:J237,SUMPRODUCT(MAX(ROW(E$1:E237)*(E238=E$1:E237)))))</f>
        <v> </v>
      </c>
      <c r="L238" s="27"/>
    </row>
    <row r="239" spans="1:12">
      <c r="A239" s="20" t="s">
        <v>138</v>
      </c>
      <c r="E239" s="22">
        <f>IF(D239="?OLD","!!!","")</f>
        <v/>
      </c>
      <c r="F239" s="23" t="str">
        <f>IF(OR(E239="",E239="!!!"),"",IF(NOT(ISNA(VLOOKUP(E239,E$1:E238,1,FALSE()))),"OLD",IF(AND(E239&lt;&gt;"",E239&lt;&gt;"!!!"),"NEW","")))</f>
        <v> </v>
      </c>
      <c r="G239" s="24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> </v>
      </c>
      <c r="H239" s="25" t="str">
        <f>IF(J239&lt;&gt;1,"",IF(I239="SBJ","CB","?"))</f>
        <v> </v>
      </c>
      <c r="I239" s="26" t="str">
        <f>IF(OR(E239="",E239="!!!",F239="NEW"),"",INDEX(B238:B$2,-1+SUMPRODUCT(MAX(ROW(E238:E$2)*(E239=E238:E$2)))))</f>
        <v> </v>
      </c>
      <c r="J239" s="26" t="str">
        <f>IF(OR(E239="",E239="!!!",F239="NEW"),"",COUNTBLANK(OFFSET(A$1,,,SUMPRODUCT(MAX(ROW(E$2:E239)*(E239=E$2:E239)))))-COUNTBLANK(OFFSET(A$1,,,SUMPRODUCT(MAX(ROW(E$1:E238)*(E2=E$1:E238))))))</f>
        <v> </v>
      </c>
      <c r="K239" s="26" t="str">
        <f>IF(OR(E239="",E239="!!!",F239="NEW"),"",INDEX(J$1:J238,SUMPRODUCT(MAX(ROW(E$1:E238)*(E239=E$1:E238)))))</f>
        <v> </v>
      </c>
      <c r="L239" s="27"/>
    </row>
    <row r="240" spans="1:12">
      <c r="A240" s="20" t="s">
        <v>135</v>
      </c>
      <c r="E240" s="22">
        <f>IF(D240="?OLD","!!!","")</f>
        <v/>
      </c>
      <c r="F240" s="23" t="str">
        <f>IF(OR(E240="",E240="!!!"),"",IF(NOT(ISNA(VLOOKUP(E240,E$1:E239,1,FALSE()))),"OLD",IF(AND(E240&lt;&gt;"",E240&lt;&gt;"!!!"),"NEW","")))</f>
        <v> </v>
      </c>
      <c r="G240" s="24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25" t="str">
        <f>IF(J240&lt;&gt;1,"",IF(I240="SBJ","CB","?"))</f>
        <v> </v>
      </c>
      <c r="I240" s="26" t="str">
        <f>IF(OR(E240="",E240="!!!",F240="NEW"),"",INDEX(B239:B$2,-1+SUMPRODUCT(MAX(ROW(E239:E$2)*(E240=E239:E$2)))))</f>
        <v> </v>
      </c>
      <c r="J240" s="26" t="str">
        <f>IF(OR(E240="",E240="!!!",F240="NEW"),"",COUNTBLANK(OFFSET(A$1,,,SUMPRODUCT(MAX(ROW(E$2:E240)*(E240=E$2:E240)))))-COUNTBLANK(OFFSET(A$1,,,SUMPRODUCT(MAX(ROW(E$1:E239)*(E2=E$1:E239))))))</f>
        <v> </v>
      </c>
      <c r="K240" s="26" t="str">
        <f>IF(OR(E240="",E240="!!!",F240="NEW"),"",INDEX(J$1:J239,SUMPRODUCT(MAX(ROW(E$1:E239)*(E240=E$1:E239)))))</f>
        <v> </v>
      </c>
      <c r="L240" s="27"/>
    </row>
    <row r="241" spans="1:12">
      <c r="A241" s="20"/>
    </row>
    <row r="242" spans="1:12">
      <c r="A242" s="20" t="s">
        <v>271</v>
      </c>
    </row>
    <row r="243" spans="1:12">
      <c r="A243" s="20" t="s">
        <v>272</v>
      </c>
      <c r="E243" s="22">
        <f>IF(D243="?OLD","!!!","")</f>
        <v/>
      </c>
      <c r="F243" s="23" t="str">
        <f>IF(OR(E243="",E243="!!!"),"",IF(NOT(ISNA(VLOOKUP(E243,E$1:E242,1,FALSE()))),"OLD",IF(AND(E243&lt;&gt;"",E243&lt;&gt;"!!!"),"NEW","")))</f>
        <v> </v>
      </c>
      <c r="G243" s="24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5" t="str">
        <f>IF(J243&lt;&gt;1,"",IF(I243="SBJ","CB","?"))</f>
        <v> </v>
      </c>
      <c r="I243" s="26" t="str">
        <f>IF(OR(E243="",E243="!!!",F243="NEW"),"",INDEX(B242:B$2,-1+SUMPRODUCT(MAX(ROW(E242:E$2)*(E243=E242:E$2)))))</f>
        <v> </v>
      </c>
      <c r="J243" s="26" t="str">
        <f>IF(OR(E243="",E243="!!!",F243="NEW"),"",COUNTBLANK(OFFSET(A$1,,,SUMPRODUCT(MAX(ROW(E$2:E243)*(E243=E$2:E243)))))-COUNTBLANK(OFFSET(A$1,,,SUMPRODUCT(MAX(ROW(E$1:E242)*(E2=E$1:E242))))))</f>
        <v> </v>
      </c>
      <c r="K243" s="26" t="str">
        <f>IF(OR(E243="",E243="!!!",F243="NEW"),"",INDEX(J$1:J242,SUMPRODUCT(MAX(ROW(E$1:E242)*(E243=E$1:E242)))))</f>
        <v> </v>
      </c>
      <c r="L243" s="27"/>
    </row>
    <row r="244" spans="1:12">
      <c r="A244" s="20" t="s">
        <v>108</v>
      </c>
      <c r="E244" s="22">
        <f>IF(D244="?OLD","!!!","")</f>
        <v/>
      </c>
      <c r="F244" s="23" t="str">
        <f>IF(OR(E244="",E244="!!!"),"",IF(NOT(ISNA(VLOOKUP(E244,E$1:E243,1,FALSE()))),"OLD",IF(AND(E244&lt;&gt;"",E244&lt;&gt;"!!!"),"NEW","")))</f>
        <v> </v>
      </c>
      <c r="G244" s="24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5" t="str">
        <f>IF(J244&lt;&gt;1,"",IF(I244="SBJ","CB","?"))</f>
        <v> </v>
      </c>
      <c r="I244" s="26" t="str">
        <f>IF(OR(E244="",E244="!!!",F244="NEW"),"",INDEX(B243:B$2,-1+SUMPRODUCT(MAX(ROW(E243:E$2)*(E244=E243:E$2)))))</f>
        <v> </v>
      </c>
      <c r="J244" s="26" t="str">
        <f>IF(OR(E244="",E244="!!!",F244="NEW"),"",COUNTBLANK(OFFSET(A$1,,,SUMPRODUCT(MAX(ROW(E$2:E244)*(E244=E$2:E244)))))-COUNTBLANK(OFFSET(A$1,,,SUMPRODUCT(MAX(ROW(E$1:E243)*(E2=E$1:E243))))))</f>
        <v> </v>
      </c>
      <c r="K244" s="26" t="str">
        <f>IF(OR(E244="",E244="!!!",F244="NEW"),"",INDEX(J$1:J243,SUMPRODUCT(MAX(ROW(E$1:E243)*(E244=E$1:E243)))))</f>
        <v> </v>
      </c>
      <c r="L244" s="27"/>
    </row>
    <row r="245" spans="1:12">
      <c r="A245" s="20" t="s">
        <v>145</v>
      </c>
      <c r="E245" s="22">
        <f>IF(D245="?OLD","!!!","")</f>
        <v/>
      </c>
      <c r="F245" s="23" t="str">
        <f>IF(OR(E245="",E245="!!!"),"",IF(NOT(ISNA(VLOOKUP(E245,E$1:E244,1,FALSE()))),"OLD",IF(AND(E245&lt;&gt;"",E245&lt;&gt;"!!!"),"NEW","")))</f>
        <v> </v>
      </c>
      <c r="G245" s="24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25" t="str">
        <f>IF(J245&lt;&gt;1,"",IF(I245="SBJ","CB","?"))</f>
        <v> </v>
      </c>
      <c r="I245" s="26" t="str">
        <f>IF(OR(E245="",E245="!!!",F245="NEW"),"",INDEX(B244:B$2,-1+SUMPRODUCT(MAX(ROW(E244:E$2)*(E245=E244:E$2)))))</f>
        <v> </v>
      </c>
      <c r="J245" s="26" t="str">
        <f>IF(OR(E245="",E245="!!!",F245="NEW"),"",COUNTBLANK(OFFSET(A$1,,,SUMPRODUCT(MAX(ROW(E$2:E245)*(E245=E$2:E245)))))-COUNTBLANK(OFFSET(A$1,,,SUMPRODUCT(MAX(ROW(E$1:E244)*(E2=E$1:E244))))))</f>
        <v> </v>
      </c>
      <c r="K245" s="26" t="str">
        <f>IF(OR(E245="",E245="!!!",F245="NEW"),"",INDEX(J$1:J244,SUMPRODUCT(MAX(ROW(E$1:E244)*(E245=E$1:E244)))))</f>
        <v> </v>
      </c>
      <c r="L245" s="27"/>
    </row>
    <row r="246" spans="1:12">
      <c r="A246" s="20" t="s">
        <v>273</v>
      </c>
      <c r="B246" s="21" t="s">
        <v>110</v>
      </c>
      <c r="C246" s="21" t="s">
        <v>147</v>
      </c>
      <c r="D246" s="21" t="s">
        <v>106</v>
      </c>
      <c r="E246" s="22">
        <f>IF(D246="?OLD","!!!","")</f>
        <v/>
      </c>
      <c r="F246" s="23" t="str">
        <f>IF(OR(E246="",E246="!!!"),"",IF(NOT(ISNA(VLOOKUP(E246,E$1:E245,1,FALSE()))),"OLD",IF(AND(E246&lt;&gt;"",E246&lt;&gt;"!!!"),"NEW","")))</f>
        <v> </v>
      </c>
      <c r="G246" s="24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> </v>
      </c>
      <c r="H246" s="25" t="str">
        <f>IF(J246&lt;&gt;1,"",IF(I246="SBJ","CB","?"))</f>
        <v> </v>
      </c>
      <c r="I246" s="26" t="str">
        <f>IF(OR(E246="",E246="!!!",F246="NEW"),"",INDEX(B245:B$2,-1+SUMPRODUCT(MAX(ROW(E245:E$2)*(E246=E245:E$2)))))</f>
        <v> </v>
      </c>
      <c r="J246" s="26" t="str">
        <f>IF(OR(E246="",E246="!!!",F246="NEW"),"",COUNTBLANK(OFFSET(A$1,,,SUMPRODUCT(MAX(ROW(E$2:E246)*(E246=E$2:E246)))))-COUNTBLANK(OFFSET(A$1,,,SUMPRODUCT(MAX(ROW(E$1:E245)*(E2=E$1:E245))))))</f>
        <v> </v>
      </c>
      <c r="K246" s="26" t="str">
        <f>IF(OR(E246="",E246="!!!",F246="NEW"),"",INDEX(J$1:J245,SUMPRODUCT(MAX(ROW(E$1:E245)*(E246=E$1:E245)))))</f>
        <v> </v>
      </c>
      <c r="L246" s="27"/>
    </row>
    <row r="247" spans="1:12">
      <c r="A247" s="20" t="s">
        <v>274</v>
      </c>
      <c r="E247" s="22">
        <f>IF(D247="?OLD","!!!","")</f>
        <v/>
      </c>
      <c r="F247" s="23" t="str">
        <f>IF(OR(E247="",E247="!!!"),"",IF(NOT(ISNA(VLOOKUP(E247,E$1:E246,1,FALSE()))),"OLD",IF(AND(E247&lt;&gt;"",E247&lt;&gt;"!!!"),"NEW","")))</f>
        <v> </v>
      </c>
      <c r="G247" s="24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5" t="str">
        <f>IF(J247&lt;&gt;1,"",IF(I247="SBJ","CB","?"))</f>
        <v> </v>
      </c>
      <c r="I247" s="26" t="str">
        <f>IF(OR(E247="",E247="!!!",F247="NEW"),"",INDEX(B246:B$2,-1+SUMPRODUCT(MAX(ROW(E246:E$2)*(E247=E246:E$2)))))</f>
        <v> </v>
      </c>
      <c r="J247" s="26" t="str">
        <f>IF(OR(E247="",E247="!!!",F247="NEW"),"",COUNTBLANK(OFFSET(A$1,,,SUMPRODUCT(MAX(ROW(E$2:E247)*(E247=E$2:E247)))))-COUNTBLANK(OFFSET(A$1,,,SUMPRODUCT(MAX(ROW(E$1:E246)*(E2=E$1:E246))))))</f>
        <v> </v>
      </c>
      <c r="K247" s="26" t="str">
        <f>IF(OR(E247="",E247="!!!",F247="NEW"),"",INDEX(J$1:J246,SUMPRODUCT(MAX(ROW(E$1:E246)*(E247=E$1:E246)))))</f>
        <v> </v>
      </c>
      <c r="L247" s="27"/>
    </row>
    <row r="248" spans="1:12">
      <c r="A248" s="20" t="s">
        <v>275</v>
      </c>
      <c r="B248" s="21" t="s">
        <v>139</v>
      </c>
      <c r="C248" s="21" t="s">
        <v>105</v>
      </c>
      <c r="D248" s="21" t="s">
        <v>106</v>
      </c>
      <c r="E248" s="22">
        <f>IF(D248="?OLD","!!!","")</f>
        <v/>
      </c>
      <c r="F248" s="23" t="str">
        <f>IF(OR(E248="",E248="!!!"),"",IF(NOT(ISNA(VLOOKUP(E248,E$1:E247,1,FALSE()))),"OLD",IF(AND(E248&lt;&gt;"",E248&lt;&gt;"!!!"),"NEW","")))</f>
        <v> </v>
      </c>
      <c r="G248" s="24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25" t="str">
        <f>IF(J248&lt;&gt;1,"",IF(I248="SBJ","CB","?"))</f>
        <v> </v>
      </c>
      <c r="I248" s="26" t="str">
        <f>IF(OR(E248="",E248="!!!",F248="NEW"),"",INDEX(B247:B$2,-1+SUMPRODUCT(MAX(ROW(E247:E$2)*(E248=E247:E$2)))))</f>
        <v> </v>
      </c>
      <c r="J248" s="26" t="str">
        <f>IF(OR(E248="",E248="!!!",F248="NEW"),"",COUNTBLANK(OFFSET(A$1,,,SUMPRODUCT(MAX(ROW(E$2:E248)*(E248=E$2:E248)))))-COUNTBLANK(OFFSET(A$1,,,SUMPRODUCT(MAX(ROW(E$1:E247)*(E2=E$1:E247))))))</f>
        <v> </v>
      </c>
      <c r="K248" s="26" t="str">
        <f>IF(OR(E248="",E248="!!!",F248="NEW"),"",INDEX(J$1:J247,SUMPRODUCT(MAX(ROW(E$1:E247)*(E248=E$1:E247)))))</f>
        <v> </v>
      </c>
      <c r="L248" s="27"/>
    </row>
    <row r="249" spans="1:12">
      <c r="A249" s="20" t="s">
        <v>276</v>
      </c>
      <c r="E249" s="22">
        <f>IF(D249="?OLD","!!!","")</f>
        <v/>
      </c>
      <c r="F249" s="23" t="str">
        <f>IF(OR(E249="",E249="!!!"),"",IF(NOT(ISNA(VLOOKUP(E249,E$1:E248,1,FALSE()))),"OLD",IF(AND(E249&lt;&gt;"",E249&lt;&gt;"!!!"),"NEW","")))</f>
        <v> </v>
      </c>
      <c r="G249" s="24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> </v>
      </c>
      <c r="H249" s="25" t="str">
        <f>IF(J249&lt;&gt;1,"",IF(I249="SBJ","CB","?"))</f>
        <v> </v>
      </c>
      <c r="I249" s="26" t="str">
        <f>IF(OR(E249="",E249="!!!",F249="NEW"),"",INDEX(B248:B$2,-1+SUMPRODUCT(MAX(ROW(E248:E$2)*(E249=E248:E$2)))))</f>
        <v> </v>
      </c>
      <c r="J249" s="26" t="str">
        <f>IF(OR(E249="",E249="!!!",F249="NEW"),"",COUNTBLANK(OFFSET(A$1,,,SUMPRODUCT(MAX(ROW(E$2:E249)*(E249=E$2:E249)))))-COUNTBLANK(OFFSET(A$1,,,SUMPRODUCT(MAX(ROW(E$1:E248)*(E2=E$1:E248))))))</f>
        <v> </v>
      </c>
      <c r="K249" s="26" t="str">
        <f>IF(OR(E249="",E249="!!!",F249="NEW"),"",INDEX(J$1:J248,SUMPRODUCT(MAX(ROW(E$1:E248)*(E249=E$1:E248)))))</f>
        <v> </v>
      </c>
      <c r="L249" s="27"/>
    </row>
    <row r="250" spans="1:12">
      <c r="A250" s="20" t="s">
        <v>277</v>
      </c>
      <c r="B250" s="21" t="s">
        <v>139</v>
      </c>
      <c r="C250" s="21" t="s">
        <v>158</v>
      </c>
      <c r="E250" s="22">
        <f>IF(D250="?OLD","!!!","")</f>
        <v/>
      </c>
      <c r="F250" s="23" t="str">
        <f>IF(OR(E250="",E250="!!!"),"",IF(NOT(ISNA(VLOOKUP(E250,E$1:E249,1,FALSE()))),"OLD",IF(AND(E250&lt;&gt;"",E250&lt;&gt;"!!!"),"NEW","")))</f>
        <v> </v>
      </c>
      <c r="G250" s="24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25" t="str">
        <f>IF(J250&lt;&gt;1,"",IF(I250="SBJ","CB","?"))</f>
        <v> </v>
      </c>
      <c r="I250" s="26" t="str">
        <f>IF(OR(E250="",E250="!!!",F250="NEW"),"",INDEX(B249:B$2,-1+SUMPRODUCT(MAX(ROW(E249:E$2)*(E250=E249:E$2)))))</f>
        <v> </v>
      </c>
      <c r="J250" s="26" t="str">
        <f>IF(OR(E250="",E250="!!!",F250="NEW"),"",COUNTBLANK(OFFSET(A$1,,,SUMPRODUCT(MAX(ROW(E$2:E250)*(E250=E$2:E250)))))-COUNTBLANK(OFFSET(A$1,,,SUMPRODUCT(MAX(ROW(E$1:E249)*(E2=E$1:E249))))))</f>
        <v> </v>
      </c>
      <c r="K250" s="26" t="str">
        <f>IF(OR(E250="",E250="!!!",F250="NEW"),"",INDEX(J$1:J249,SUMPRODUCT(MAX(ROW(E$1:E249)*(E250=E$1:E249)))))</f>
        <v> </v>
      </c>
      <c r="L250" s="27"/>
    </row>
    <row r="251" spans="1:12">
      <c r="A251" s="20" t="s">
        <v>278</v>
      </c>
      <c r="E251" s="22">
        <f>IF(D251="?OLD","!!!","")</f>
        <v/>
      </c>
      <c r="F251" s="23" t="str">
        <f>IF(OR(E251="",E251="!!!"),"",IF(NOT(ISNA(VLOOKUP(E251,E$1:E250,1,FALSE()))),"OLD",IF(AND(E251&lt;&gt;"",E251&lt;&gt;"!!!"),"NEW","")))</f>
        <v> </v>
      </c>
      <c r="G251" s="24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> </v>
      </c>
      <c r="H251" s="25" t="str">
        <f>IF(J251&lt;&gt;1,"",IF(I251="SBJ","CB","?"))</f>
        <v> </v>
      </c>
      <c r="I251" s="26" t="str">
        <f>IF(OR(E251="",E251="!!!",F251="NEW"),"",INDEX(B250:B$2,-1+SUMPRODUCT(MAX(ROW(E250:E$2)*(E251=E250:E$2)))))</f>
        <v> </v>
      </c>
      <c r="J251" s="26" t="str">
        <f>IF(OR(E251="",E251="!!!",F251="NEW"),"",COUNTBLANK(OFFSET(A$1,,,SUMPRODUCT(MAX(ROW(E$2:E251)*(E251=E$2:E251)))))-COUNTBLANK(OFFSET(A$1,,,SUMPRODUCT(MAX(ROW(E$1:E250)*(E2=E$1:E250))))))</f>
        <v> </v>
      </c>
      <c r="K251" s="26" t="str">
        <f>IF(OR(E251="",E251="!!!",F251="NEW"),"",INDEX(J$1:J250,SUMPRODUCT(MAX(ROW(E$1:E250)*(E251=E$1:E250)))))</f>
        <v> </v>
      </c>
      <c r="L251" s="27"/>
    </row>
    <row r="252" spans="1:12">
      <c r="A252" s="20" t="s">
        <v>279</v>
      </c>
      <c r="E252" s="22">
        <f>IF(D252="?OLD","!!!","")</f>
        <v/>
      </c>
      <c r="F252" s="23" t="str">
        <f>IF(OR(E252="",E252="!!!"),"",IF(NOT(ISNA(VLOOKUP(E252,E$1:E251,1,FALSE()))),"OLD",IF(AND(E252&lt;&gt;"",E252&lt;&gt;"!!!"),"NEW","")))</f>
        <v> </v>
      </c>
      <c r="G252" s="24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25" t="str">
        <f>IF(J252&lt;&gt;1,"",IF(I252="SBJ","CB","?"))</f>
        <v> </v>
      </c>
      <c r="I252" s="26" t="str">
        <f>IF(OR(E252="",E252="!!!",F252="NEW"),"",INDEX(B251:B$2,-1+SUMPRODUCT(MAX(ROW(E251:E$2)*(E252=E251:E$2)))))</f>
        <v> </v>
      </c>
      <c r="J252" s="26" t="str">
        <f>IF(OR(E252="",E252="!!!",F252="NEW"),"",COUNTBLANK(OFFSET(A$1,,,SUMPRODUCT(MAX(ROW(E$2:E252)*(E252=E$2:E252)))))-COUNTBLANK(OFFSET(A$1,,,SUMPRODUCT(MAX(ROW(E$1:E251)*(E2=E$1:E251))))))</f>
        <v> </v>
      </c>
      <c r="K252" s="26" t="str">
        <f>IF(OR(E252="",E252="!!!",F252="NEW"),"",INDEX(J$1:J251,SUMPRODUCT(MAX(ROW(E$1:E251)*(E252=E$1:E251)))))</f>
        <v> </v>
      </c>
      <c r="L252" s="27"/>
    </row>
    <row r="253" spans="1:12">
      <c r="A253" s="20" t="s">
        <v>189</v>
      </c>
      <c r="B253" s="21" t="s">
        <v>124</v>
      </c>
      <c r="C253" s="21" t="s">
        <v>188</v>
      </c>
      <c r="E253" s="22">
        <f>IF(D253="?OLD","!!!","")</f>
        <v/>
      </c>
      <c r="F253" s="23" t="str">
        <f>IF(OR(E253="",E253="!!!"),"",IF(NOT(ISNA(VLOOKUP(E253,E$1:E252,1,FALSE()))),"OLD",IF(AND(E253&lt;&gt;"",E253&lt;&gt;"!!!"),"NEW","")))</f>
        <v> </v>
      </c>
      <c r="G253" s="24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5" t="str">
        <f>IF(J253&lt;&gt;1,"",IF(I253="SBJ","CB","?"))</f>
        <v> </v>
      </c>
      <c r="I253" s="26" t="str">
        <f>IF(OR(E253="",E253="!!!",F253="NEW"),"",INDEX(B252:B$2,-1+SUMPRODUCT(MAX(ROW(E252:E$2)*(E253=E252:E$2)))))</f>
        <v> </v>
      </c>
      <c r="J253" s="26" t="str">
        <f>IF(OR(E253="",E253="!!!",F253="NEW"),"",COUNTBLANK(OFFSET(A$1,,,SUMPRODUCT(MAX(ROW(E$2:E253)*(E253=E$2:E253)))))-COUNTBLANK(OFFSET(A$1,,,SUMPRODUCT(MAX(ROW(E$1:E252)*(E2=E$1:E252))))))</f>
        <v> </v>
      </c>
      <c r="K253" s="26" t="str">
        <f>IF(OR(E253="",E253="!!!",F253="NEW"),"",INDEX(J$1:J252,SUMPRODUCT(MAX(ROW(E$1:E252)*(E253=E$1:E252)))))</f>
        <v> </v>
      </c>
      <c r="L253" s="27"/>
    </row>
    <row r="254" spans="1:12">
      <c r="A254" s="20" t="s">
        <v>280</v>
      </c>
      <c r="B254" s="21" t="s">
        <v>110</v>
      </c>
      <c r="C254" s="21" t="s">
        <v>130</v>
      </c>
      <c r="E254" s="22">
        <f>IF(D254="?OLD","!!!","")</f>
        <v/>
      </c>
      <c r="F254" s="23" t="str">
        <f>IF(OR(E254="",E254="!!!"),"",IF(NOT(ISNA(VLOOKUP(E254,E$1:E253,1,FALSE()))),"OLD",IF(AND(E254&lt;&gt;"",E254&lt;&gt;"!!!"),"NEW","")))</f>
        <v> </v>
      </c>
      <c r="G254" s="24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5" t="str">
        <f>IF(J254&lt;&gt;1,"",IF(I254="SBJ","CB","?"))</f>
        <v> </v>
      </c>
      <c r="I254" s="26" t="str">
        <f>IF(OR(E254="",E254="!!!",F254="NEW"),"",INDEX(B253:B$2,-1+SUMPRODUCT(MAX(ROW(E253:E$2)*(E254=E253:E$2)))))</f>
        <v> </v>
      </c>
      <c r="J254" s="26" t="str">
        <f>IF(OR(E254="",E254="!!!",F254="NEW"),"",COUNTBLANK(OFFSET(A$1,,,SUMPRODUCT(MAX(ROW(E$2:E254)*(E254=E$2:E254)))))-COUNTBLANK(OFFSET(A$1,,,SUMPRODUCT(MAX(ROW(E$1:E253)*(E2=E$1:E253))))))</f>
        <v> </v>
      </c>
      <c r="K254" s="26" t="str">
        <f>IF(OR(E254="",E254="!!!",F254="NEW"),"",INDEX(J$1:J253,SUMPRODUCT(MAX(ROW(E$1:E253)*(E254=E$1:E253)))))</f>
        <v> </v>
      </c>
      <c r="L254" s="27"/>
    </row>
    <row r="255" spans="1:12">
      <c r="A255" s="20" t="s">
        <v>116</v>
      </c>
      <c r="E255" s="22">
        <f>IF(D255="?OLD","!!!","")</f>
        <v/>
      </c>
      <c r="F255" s="23" t="str">
        <f>IF(OR(E255="",E255="!!!"),"",IF(NOT(ISNA(VLOOKUP(E255,E$1:E254,1,FALSE()))),"OLD",IF(AND(E255&lt;&gt;"",E255&lt;&gt;"!!!"),"NEW","")))</f>
        <v> </v>
      </c>
      <c r="G255" s="24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5" t="str">
        <f>IF(J255&lt;&gt;1,"",IF(I255="SBJ","CB","?"))</f>
        <v> </v>
      </c>
      <c r="I255" s="26" t="str">
        <f>IF(OR(E255="",E255="!!!",F255="NEW"),"",INDEX(B254:B$2,-1+SUMPRODUCT(MAX(ROW(E254:E$2)*(E255=E254:E$2)))))</f>
        <v> </v>
      </c>
      <c r="J255" s="26" t="str">
        <f>IF(OR(E255="",E255="!!!",F255="NEW"),"",COUNTBLANK(OFFSET(A$1,,,SUMPRODUCT(MAX(ROW(E$2:E255)*(E255=E$2:E255)))))-COUNTBLANK(OFFSET(A$1,,,SUMPRODUCT(MAX(ROW(E$1:E254)*(E2=E$1:E254))))))</f>
        <v> </v>
      </c>
      <c r="K255" s="26" t="str">
        <f>IF(OR(E255="",E255="!!!",F255="NEW"),"",INDEX(J$1:J254,SUMPRODUCT(MAX(ROW(E$1:E254)*(E255=E$1:E254)))))</f>
        <v> </v>
      </c>
      <c r="L255" s="27"/>
    </row>
    <row r="256" spans="1:12">
      <c r="A256" s="20" t="s">
        <v>278</v>
      </c>
      <c r="E256" s="22">
        <f>IF(D256="?OLD","!!!","")</f>
        <v/>
      </c>
      <c r="F256" s="23" t="str">
        <f>IF(OR(E256="",E256="!!!"),"",IF(NOT(ISNA(VLOOKUP(E256,E$1:E255,1,FALSE()))),"OLD",IF(AND(E256&lt;&gt;"",E256&lt;&gt;"!!!"),"NEW","")))</f>
        <v> </v>
      </c>
      <c r="G256" s="24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> </v>
      </c>
      <c r="H256" s="25" t="str">
        <f>IF(J256&lt;&gt;1,"",IF(I256="SBJ","CB","?"))</f>
        <v> </v>
      </c>
      <c r="I256" s="26" t="str">
        <f>IF(OR(E256="",E256="!!!",F256="NEW"),"",INDEX(B255:B$2,-1+SUMPRODUCT(MAX(ROW(E255:E$2)*(E256=E255:E$2)))))</f>
        <v> </v>
      </c>
      <c r="J256" s="26" t="str">
        <f>IF(OR(E256="",E256="!!!",F256="NEW"),"",COUNTBLANK(OFFSET(A$1,,,SUMPRODUCT(MAX(ROW(E$2:E256)*(E256=E$2:E256)))))-COUNTBLANK(OFFSET(A$1,,,SUMPRODUCT(MAX(ROW(E$1:E255)*(E2=E$1:E255))))))</f>
        <v> </v>
      </c>
      <c r="K256" s="26" t="str">
        <f>IF(OR(E256="",E256="!!!",F256="NEW"),"",INDEX(J$1:J255,SUMPRODUCT(MAX(ROW(E$1:E255)*(E256=E$1:E255)))))</f>
        <v> </v>
      </c>
      <c r="L256" s="27"/>
    </row>
    <row r="257" spans="1:12">
      <c r="A257" s="20" t="s">
        <v>229</v>
      </c>
      <c r="B257" s="21" t="s">
        <v>187</v>
      </c>
      <c r="E257" s="22">
        <f>IF(D257="?OLD","!!!","")</f>
        <v/>
      </c>
      <c r="F257" s="23" t="str">
        <f>IF(OR(E257="",E257="!!!"),"",IF(NOT(ISNA(VLOOKUP(E257,E$1:E256,1,FALSE()))),"OLD",IF(AND(E257&lt;&gt;"",E257&lt;&gt;"!!!"),"NEW","")))</f>
        <v> </v>
      </c>
      <c r="G257" s="24" t="str">
        <f>IF(OR(E257="",E257="!!!"),"",IF(OR(J257=0,AND(J257=1,K257=1),AND(J257=1,I257="SBJ"),AND(J257=1,I257=0)),"?IN_FOCUS",IF(J257&lt;=2,"?ACTIVATED",IF(J257&lt;&gt;"","?FAMILIAR",IF(F257="NEW",IF(ISNA(VLOOKUP(E257,#REF!,1,FALSE())),"?TYPE_IDENTIFIABLE","?REFERENTIAL"),"_")))))</f>
        <v> </v>
      </c>
      <c r="H257" s="25" t="str">
        <f>IF(J257&lt;&gt;1,"",IF(I257="SBJ","CB","?"))</f>
        <v> </v>
      </c>
      <c r="I257" s="26" t="str">
        <f>IF(OR(E257="",E257="!!!",F257="NEW"),"",INDEX(B256:B$2,-1+SUMPRODUCT(MAX(ROW(E256:E$2)*(E257=E256:E$2)))))</f>
        <v> </v>
      </c>
      <c r="J257" s="26" t="str">
        <f>IF(OR(E257="",E257="!!!",F257="NEW"),"",COUNTBLANK(OFFSET(A$1,,,SUMPRODUCT(MAX(ROW(E$2:E257)*(E257=E$2:E257)))))-COUNTBLANK(OFFSET(A$1,,,SUMPRODUCT(MAX(ROW(E$1:E256)*(E2=E$1:E256))))))</f>
        <v> </v>
      </c>
      <c r="K257" s="26" t="str">
        <f>IF(OR(E257="",E257="!!!",F257="NEW"),"",INDEX(J$1:J256,SUMPRODUCT(MAX(ROW(E$1:E256)*(E257=E$1:E256)))))</f>
        <v> </v>
      </c>
      <c r="L257" s="27"/>
    </row>
    <row r="258" spans="1:12">
      <c r="A258" s="20" t="s">
        <v>281</v>
      </c>
      <c r="E258" s="22">
        <f>IF(D258="?OLD","!!!","")</f>
        <v/>
      </c>
      <c r="F258" s="23" t="str">
        <f>IF(OR(E258="",E258="!!!"),"",IF(NOT(ISNA(VLOOKUP(E258,E$1:E257,1,FALSE()))),"OLD",IF(AND(E258&lt;&gt;"",E258&lt;&gt;"!!!"),"NEW","")))</f>
        <v> </v>
      </c>
      <c r="G258" s="24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5" t="str">
        <f>IF(J258&lt;&gt;1,"",IF(I258="SBJ","CB","?"))</f>
        <v> </v>
      </c>
      <c r="I258" s="26" t="str">
        <f>IF(OR(E258="",E258="!!!",F258="NEW"),"",INDEX(B257:B$2,-1+SUMPRODUCT(MAX(ROW(E257:E$2)*(E258=E257:E$2)))))</f>
        <v> </v>
      </c>
      <c r="J258" s="26" t="str">
        <f>IF(OR(E258="",E258="!!!",F258="NEW"),"",COUNTBLANK(OFFSET(A$1,,,SUMPRODUCT(MAX(ROW(E$2:E258)*(E258=E$2:E258)))))-COUNTBLANK(OFFSET(A$1,,,SUMPRODUCT(MAX(ROW(E$1:E257)*(E2=E$1:E257))))))</f>
        <v> </v>
      </c>
      <c r="K258" s="26" t="str">
        <f>IF(OR(E258="",E258="!!!",F258="NEW"),"",INDEX(J$1:J257,SUMPRODUCT(MAX(ROW(E$1:E257)*(E258=E$1:E257)))))</f>
        <v> </v>
      </c>
      <c r="L258" s="27"/>
    </row>
    <row r="259" spans="1:12">
      <c r="A259" s="20" t="s">
        <v>282</v>
      </c>
      <c r="B259" s="21" t="s">
        <v>104</v>
      </c>
      <c r="C259" s="21" t="s">
        <v>122</v>
      </c>
      <c r="E259" s="22">
        <f>IF(D259="?OLD","!!!","")</f>
        <v/>
      </c>
      <c r="F259" s="23" t="str">
        <f>IF(OR(E259="",E259="!!!"),"",IF(NOT(ISNA(VLOOKUP(E259,E$1:E258,1,FALSE()))),"OLD",IF(AND(E259&lt;&gt;"",E259&lt;&gt;"!!!"),"NEW","")))</f>
        <v> </v>
      </c>
      <c r="G259" s="24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5" t="str">
        <f>IF(J259&lt;&gt;1,"",IF(I259="SBJ","CB","?"))</f>
        <v> </v>
      </c>
      <c r="I259" s="26" t="str">
        <f>IF(OR(E259="",E259="!!!",F259="NEW"),"",INDEX(B258:B$2,-1+SUMPRODUCT(MAX(ROW(E258:E$2)*(E259=E258:E$2)))))</f>
        <v> </v>
      </c>
      <c r="J259" s="26" t="str">
        <f>IF(OR(E259="",E259="!!!",F259="NEW"),"",COUNTBLANK(OFFSET(A$1,,,SUMPRODUCT(MAX(ROW(E$2:E259)*(E259=E$2:E259)))))-COUNTBLANK(OFFSET(A$1,,,SUMPRODUCT(MAX(ROW(E$1:E258)*(E2=E$1:E258))))))</f>
        <v> </v>
      </c>
      <c r="K259" s="26" t="str">
        <f>IF(OR(E259="",E259="!!!",F259="NEW"),"",INDEX(J$1:J258,SUMPRODUCT(MAX(ROW(E$1:E258)*(E259=E$1:E258)))))</f>
        <v> </v>
      </c>
      <c r="L259" s="27"/>
    </row>
    <row r="260" spans="1:12">
      <c r="A260" s="20" t="s">
        <v>128</v>
      </c>
      <c r="E260" s="22">
        <f>IF(D260="?OLD","!!!","")</f>
        <v/>
      </c>
      <c r="F260" s="23" t="str">
        <f>IF(OR(E260="",E260="!!!"),"",IF(NOT(ISNA(VLOOKUP(E260,E$1:E259,1,FALSE()))),"OLD",IF(AND(E260&lt;&gt;"",E260&lt;&gt;"!!!"),"NEW","")))</f>
        <v> </v>
      </c>
      <c r="G260" s="24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5" t="str">
        <f>IF(J260&lt;&gt;1,"",IF(I260="SBJ","CB","?"))</f>
        <v> </v>
      </c>
      <c r="I260" s="26" t="str">
        <f>IF(OR(E260="",E260="!!!",F260="NEW"),"",INDEX(B259:B$2,-1+SUMPRODUCT(MAX(ROW(E259:E$2)*(E260=E259:E$2)))))</f>
        <v> </v>
      </c>
      <c r="J260" s="26" t="str">
        <f>IF(OR(E260="",E260="!!!",F260="NEW"),"",COUNTBLANK(OFFSET(A$1,,,SUMPRODUCT(MAX(ROW(E$2:E260)*(E260=E$2:E260)))))-COUNTBLANK(OFFSET(A$1,,,SUMPRODUCT(MAX(ROW(E$1:E259)*(E2=E$1:E259))))))</f>
        <v> </v>
      </c>
      <c r="K260" s="26" t="str">
        <f>IF(OR(E260="",E260="!!!",F260="NEW"),"",INDEX(J$1:J259,SUMPRODUCT(MAX(ROW(E$1:E259)*(E260=E$1:E259)))))</f>
        <v> </v>
      </c>
      <c r="L260" s="27"/>
    </row>
    <row r="261" spans="1:12">
      <c r="A261" s="20" t="s">
        <v>145</v>
      </c>
      <c r="E261" s="22">
        <f>IF(D261="?OLD","!!!","")</f>
        <v/>
      </c>
      <c r="F261" s="23" t="str">
        <f>IF(OR(E261="",E261="!!!"),"",IF(NOT(ISNA(VLOOKUP(E261,E$1:E260,1,FALSE()))),"OLD",IF(AND(E261&lt;&gt;"",E261&lt;&gt;"!!!"),"NEW","")))</f>
        <v> </v>
      </c>
      <c r="G261" s="24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5" t="str">
        <f>IF(J261&lt;&gt;1,"",IF(I261="SBJ","CB","?"))</f>
        <v> </v>
      </c>
      <c r="I261" s="26" t="str">
        <f>IF(OR(E261="",E261="!!!",F261="NEW"),"",INDEX(B260:B$2,-1+SUMPRODUCT(MAX(ROW(E260:E$2)*(E261=E260:E$2)))))</f>
        <v> </v>
      </c>
      <c r="J261" s="26" t="str">
        <f>IF(OR(E261="",E261="!!!",F261="NEW"),"",COUNTBLANK(OFFSET(A$1,,,SUMPRODUCT(MAX(ROW(E$2:E261)*(E261=E$2:E261)))))-COUNTBLANK(OFFSET(A$1,,,SUMPRODUCT(MAX(ROW(E$1:E260)*(E2=E$1:E260))))))</f>
        <v> </v>
      </c>
      <c r="K261" s="26" t="str">
        <f>IF(OR(E261="",E261="!!!",F261="NEW"),"",INDEX(J$1:J260,SUMPRODUCT(MAX(ROW(E$1:E260)*(E261=E$1:E260)))))</f>
        <v> </v>
      </c>
      <c r="L261" s="27"/>
    </row>
    <row r="262" spans="1:12">
      <c r="A262" s="20" t="s">
        <v>283</v>
      </c>
      <c r="B262" s="21" t="s">
        <v>124</v>
      </c>
      <c r="C262" s="21" t="s">
        <v>147</v>
      </c>
      <c r="D262" s="21" t="s">
        <v>106</v>
      </c>
      <c r="E262" s="22">
        <f>IF(D262="?OLD","!!!","")</f>
        <v/>
      </c>
      <c r="F262" s="23" t="str">
        <f>IF(OR(E262="",E262="!!!"),"",IF(NOT(ISNA(VLOOKUP(E262,E$1:E261,1,FALSE()))),"OLD",IF(AND(E262&lt;&gt;"",E262&lt;&gt;"!!!"),"NEW","")))</f>
        <v> </v>
      </c>
      <c r="G262" s="24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5" t="str">
        <f>IF(J262&lt;&gt;1,"",IF(I262="SBJ","CB","?"))</f>
        <v> </v>
      </c>
      <c r="I262" s="26" t="str">
        <f>IF(OR(E262="",E262="!!!",F262="NEW"),"",INDEX(B261:B$2,-1+SUMPRODUCT(MAX(ROW(E261:E$2)*(E262=E261:E$2)))))</f>
        <v> </v>
      </c>
      <c r="J262" s="26" t="str">
        <f>IF(OR(E262="",E262="!!!",F262="NEW"),"",COUNTBLANK(OFFSET(A$1,,,SUMPRODUCT(MAX(ROW(E$2:E262)*(E262=E$2:E262)))))-COUNTBLANK(OFFSET(A$1,,,SUMPRODUCT(MAX(ROW(E$1:E261)*(E2=E$1:E261))))))</f>
        <v> </v>
      </c>
      <c r="K262" s="26" t="str">
        <f>IF(OR(E262="",E262="!!!",F262="NEW"),"",INDEX(J$1:J261,SUMPRODUCT(MAX(ROW(E$1:E261)*(E262=E$1:E261)))))</f>
        <v> </v>
      </c>
      <c r="L262" s="27"/>
    </row>
    <row r="263" spans="1:12">
      <c r="A263" s="20" t="s">
        <v>284</v>
      </c>
      <c r="E263" s="22">
        <f>IF(D263="?OLD","!!!","")</f>
        <v/>
      </c>
      <c r="F263" s="23" t="str">
        <f>IF(OR(E263="",E263="!!!"),"",IF(NOT(ISNA(VLOOKUP(E263,E$1:E262,1,FALSE()))),"OLD",IF(AND(E263&lt;&gt;"",E263&lt;&gt;"!!!"),"NEW","")))</f>
        <v> </v>
      </c>
      <c r="G263" s="24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5" t="str">
        <f>IF(J263&lt;&gt;1,"",IF(I263="SBJ","CB","?"))</f>
        <v> </v>
      </c>
      <c r="I263" s="26" t="str">
        <f>IF(OR(E263="",E263="!!!",F263="NEW"),"",INDEX(B262:B$2,-1+SUMPRODUCT(MAX(ROW(E262:E$2)*(E263=E262:E$2)))))</f>
        <v> </v>
      </c>
      <c r="J263" s="26" t="str">
        <f>IF(OR(E263="",E263="!!!",F263="NEW"),"",COUNTBLANK(OFFSET(A$1,,,SUMPRODUCT(MAX(ROW(E$2:E263)*(E263=E$2:E263)))))-COUNTBLANK(OFFSET(A$1,,,SUMPRODUCT(MAX(ROW(E$1:E262)*(E2=E$1:E262))))))</f>
        <v> </v>
      </c>
      <c r="K263" s="26" t="str">
        <f>IF(OR(E263="",E263="!!!",F263="NEW"),"",INDEX(J$1:J262,SUMPRODUCT(MAX(ROW(E$1:E262)*(E263=E$1:E262)))))</f>
        <v> </v>
      </c>
      <c r="L263" s="27"/>
    </row>
    <row r="264" spans="1:12">
      <c r="A264" s="20" t="s">
        <v>116</v>
      </c>
      <c r="E264" s="22">
        <f>IF(D264="?OLD","!!!","")</f>
        <v/>
      </c>
      <c r="F264" s="23" t="str">
        <f>IF(OR(E264="",E264="!!!"),"",IF(NOT(ISNA(VLOOKUP(E264,E$1:E263,1,FALSE()))),"OLD",IF(AND(E264&lt;&gt;"",E264&lt;&gt;"!!!"),"NEW","")))</f>
        <v> </v>
      </c>
      <c r="G264" s="24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25" t="str">
        <f>IF(J264&lt;&gt;1,"",IF(I264="SBJ","CB","?"))</f>
        <v> </v>
      </c>
      <c r="I264" s="26" t="str">
        <f>IF(OR(E264="",E264="!!!",F264="NEW"),"",INDEX(B263:B$2,-1+SUMPRODUCT(MAX(ROW(E263:E$2)*(E264=E263:E$2)))))</f>
        <v> </v>
      </c>
      <c r="J264" s="26" t="str">
        <f>IF(OR(E264="",E264="!!!",F264="NEW"),"",COUNTBLANK(OFFSET(A$1,,,SUMPRODUCT(MAX(ROW(E$2:E264)*(E264=E$2:E264)))))-COUNTBLANK(OFFSET(A$1,,,SUMPRODUCT(MAX(ROW(E$1:E263)*(E2=E$1:E263))))))</f>
        <v> </v>
      </c>
      <c r="K264" s="26" t="str">
        <f>IF(OR(E264="",E264="!!!",F264="NEW"),"",INDEX(J$1:J263,SUMPRODUCT(MAX(ROW(E$1:E263)*(E264=E$1:E263)))))</f>
        <v> </v>
      </c>
      <c r="L264" s="27"/>
    </row>
    <row r="265" spans="1:12">
      <c r="A265" s="20" t="s">
        <v>285</v>
      </c>
      <c r="E265" s="22">
        <f>IF(D265="?OLD","!!!","")</f>
        <v/>
      </c>
      <c r="F265" s="23" t="str">
        <f>IF(OR(E265="",E265="!!!"),"",IF(NOT(ISNA(VLOOKUP(E265,E$1:E264,1,FALSE()))),"OLD",IF(AND(E265&lt;&gt;"",E265&lt;&gt;"!!!"),"NEW","")))</f>
        <v> </v>
      </c>
      <c r="G265" s="24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5" t="str">
        <f>IF(J265&lt;&gt;1,"",IF(I265="SBJ","CB","?"))</f>
        <v> </v>
      </c>
      <c r="I265" s="26" t="str">
        <f>IF(OR(E265="",E265="!!!",F265="NEW"),"",INDEX(B264:B$2,-1+SUMPRODUCT(MAX(ROW(E264:E$2)*(E265=E264:E$2)))))</f>
        <v> </v>
      </c>
      <c r="J265" s="26" t="str">
        <f>IF(OR(E265="",E265="!!!",F265="NEW"),"",COUNTBLANK(OFFSET(A$1,,,SUMPRODUCT(MAX(ROW(E$2:E265)*(E265=E$2:E265)))))-COUNTBLANK(OFFSET(A$1,,,SUMPRODUCT(MAX(ROW(E$1:E264)*(E2=E$1:E264))))))</f>
        <v> </v>
      </c>
      <c r="K265" s="26" t="str">
        <f>IF(OR(E265="",E265="!!!",F265="NEW"),"",INDEX(J$1:J264,SUMPRODUCT(MAX(ROW(E$1:E264)*(E265=E$1:E264)))))</f>
        <v> </v>
      </c>
      <c r="L265" s="27"/>
    </row>
    <row r="266" spans="1:12">
      <c r="A266" s="20" t="s">
        <v>286</v>
      </c>
      <c r="E266" s="22">
        <f>IF(D266="?OLD","!!!","")</f>
        <v/>
      </c>
      <c r="F266" s="23" t="str">
        <f>IF(OR(E266="",E266="!!!"),"",IF(NOT(ISNA(VLOOKUP(E266,E$1:E265,1,FALSE()))),"OLD",IF(AND(E266&lt;&gt;"",E266&lt;&gt;"!!!"),"NEW","")))</f>
        <v> </v>
      </c>
      <c r="G266" s="24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5" t="str">
        <f>IF(J266&lt;&gt;1,"",IF(I266="SBJ","CB","?"))</f>
        <v> </v>
      </c>
      <c r="I266" s="26" t="str">
        <f>IF(OR(E266="",E266="!!!",F266="NEW"),"",INDEX(B265:B$2,-1+SUMPRODUCT(MAX(ROW(E265:E$2)*(E266=E265:E$2)))))</f>
        <v> </v>
      </c>
      <c r="J266" s="26" t="str">
        <f>IF(OR(E266="",E266="!!!",F266="NEW"),"",COUNTBLANK(OFFSET(A$1,,,SUMPRODUCT(MAX(ROW(E$2:E266)*(E266=E$2:E266)))))-COUNTBLANK(OFFSET(A$1,,,SUMPRODUCT(MAX(ROW(E$1:E265)*(E2=E$1:E265))))))</f>
        <v> </v>
      </c>
      <c r="K266" s="26" t="str">
        <f>IF(OR(E266="",E266="!!!",F266="NEW"),"",INDEX(J$1:J265,SUMPRODUCT(MAX(ROW(E$1:E265)*(E266=E$1:E265)))))</f>
        <v> </v>
      </c>
      <c r="L266" s="27"/>
    </row>
    <row r="267" spans="1:12">
      <c r="A267" s="20" t="s">
        <v>135</v>
      </c>
      <c r="E267" s="22">
        <f>IF(D267="?OLD","!!!","")</f>
        <v/>
      </c>
      <c r="F267" s="23" t="str">
        <f>IF(OR(E267="",E267="!!!"),"",IF(NOT(ISNA(VLOOKUP(E267,E$1:E266,1,FALSE()))),"OLD",IF(AND(E267&lt;&gt;"",E267&lt;&gt;"!!!"),"NEW","")))</f>
        <v> </v>
      </c>
      <c r="G267" s="24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5" t="str">
        <f>IF(J267&lt;&gt;1,"",IF(I267="SBJ","CB","?"))</f>
        <v> </v>
      </c>
      <c r="I267" s="26" t="str">
        <f>IF(OR(E267="",E267="!!!",F267="NEW"),"",INDEX(B266:B$2,-1+SUMPRODUCT(MAX(ROW(E266:E$2)*(E267=E266:E$2)))))</f>
        <v> </v>
      </c>
      <c r="J267" s="26" t="str">
        <f>IF(OR(E267="",E267="!!!",F267="NEW"),"",COUNTBLANK(OFFSET(A$1,,,SUMPRODUCT(MAX(ROW(E$2:E267)*(E267=E$2:E267)))))-COUNTBLANK(OFFSET(A$1,,,SUMPRODUCT(MAX(ROW(E$1:E266)*(E2=E$1:E266))))))</f>
        <v> </v>
      </c>
      <c r="K267" s="26" t="str">
        <f>IF(OR(E267="",E267="!!!",F267="NEW"),"",INDEX(J$1:J266,SUMPRODUCT(MAX(ROW(E$1:E266)*(E267=E$1:E266)))))</f>
        <v> </v>
      </c>
      <c r="L267" s="27"/>
    </row>
    <row r="268" spans="1:12">
      <c r="A268" s="20"/>
    </row>
    <row r="269" spans="1:12">
      <c r="A269" s="20" t="s">
        <v>287</v>
      </c>
    </row>
    <row r="270" spans="1:12">
      <c r="A270" s="20" t="s">
        <v>288</v>
      </c>
      <c r="B270" s="21" t="s">
        <v>139</v>
      </c>
      <c r="C270" s="21" t="s">
        <v>130</v>
      </c>
      <c r="E270" s="22">
        <f>IF(D270="?OLD","!!!","")</f>
        <v/>
      </c>
      <c r="F270" s="23" t="str">
        <f>IF(OR(E270="",E270="!!!"),"",IF(NOT(ISNA(VLOOKUP(E270,E$1:E269,1,FALSE()))),"OLD",IF(AND(E270&lt;&gt;"",E270&lt;&gt;"!!!"),"NEW","")))</f>
        <v> </v>
      </c>
      <c r="G270" s="24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> </v>
      </c>
      <c r="H270" s="25" t="str">
        <f>IF(J270&lt;&gt;1,"",IF(I270="SBJ","CB","?"))</f>
        <v> </v>
      </c>
      <c r="I270" s="26" t="str">
        <f>IF(OR(E270="",E270="!!!",F270="NEW"),"",INDEX(B269:B$2,-1+SUMPRODUCT(MAX(ROW(E269:E$2)*(E270=E269:E$2)))))</f>
        <v> </v>
      </c>
      <c r="J270" s="26" t="str">
        <f>IF(OR(E270="",E270="!!!",F270="NEW"),"",COUNTBLANK(OFFSET(A$1,,,SUMPRODUCT(MAX(ROW(E$2:E270)*(E270=E$2:E270)))))-COUNTBLANK(OFFSET(A$1,,,SUMPRODUCT(MAX(ROW(E$1:E269)*(E2=E$1:E269))))))</f>
        <v> </v>
      </c>
      <c r="K270" s="26" t="str">
        <f>IF(OR(E270="",E270="!!!",F270="NEW"),"",INDEX(J$1:J269,SUMPRODUCT(MAX(ROW(E$1:E269)*(E270=E$1:E269)))))</f>
        <v> </v>
      </c>
      <c r="L270" s="27"/>
    </row>
    <row r="271" spans="1:12">
      <c r="A271" s="20" t="s">
        <v>289</v>
      </c>
      <c r="E271" s="22">
        <f>IF(D271="?OLD","!!!","")</f>
        <v/>
      </c>
      <c r="F271" s="23" t="str">
        <f>IF(OR(E271="",E271="!!!"),"",IF(NOT(ISNA(VLOOKUP(E271,E$1:E270,1,FALSE()))),"OLD",IF(AND(E271&lt;&gt;"",E271&lt;&gt;"!!!"),"NEW","")))</f>
        <v> </v>
      </c>
      <c r="G271" s="24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25" t="str">
        <f>IF(J271&lt;&gt;1,"",IF(I271="SBJ","CB","?"))</f>
        <v> </v>
      </c>
      <c r="I271" s="26" t="str">
        <f>IF(OR(E271="",E271="!!!",F271="NEW"),"",INDEX(B270:B$2,-1+SUMPRODUCT(MAX(ROW(E270:E$2)*(E271=E270:E$2)))))</f>
        <v> </v>
      </c>
      <c r="J271" s="26" t="str">
        <f>IF(OR(E271="",E271="!!!",F271="NEW"),"",COUNTBLANK(OFFSET(A$1,,,SUMPRODUCT(MAX(ROW(E$2:E271)*(E271=E$2:E271)))))-COUNTBLANK(OFFSET(A$1,,,SUMPRODUCT(MAX(ROW(E$1:E270)*(E2=E$1:E270))))))</f>
        <v> </v>
      </c>
      <c r="K271" s="26" t="str">
        <f>IF(OR(E271="",E271="!!!",F271="NEW"),"",INDEX(J$1:J270,SUMPRODUCT(MAX(ROW(E$1:E270)*(E271=E$1:E270)))))</f>
        <v> </v>
      </c>
      <c r="L271" s="27"/>
    </row>
    <row r="272" spans="1:12">
      <c r="A272" s="20" t="s">
        <v>290</v>
      </c>
      <c r="E272" s="22">
        <f>IF(D272="?OLD","!!!","")</f>
        <v/>
      </c>
      <c r="F272" s="23" t="str">
        <f>IF(OR(E272="",E272="!!!"),"",IF(NOT(ISNA(VLOOKUP(E272,E$1:E271,1,FALSE()))),"OLD",IF(AND(E272&lt;&gt;"",E272&lt;&gt;"!!!"),"NEW","")))</f>
        <v> </v>
      </c>
      <c r="G272" s="24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 </v>
      </c>
      <c r="H272" s="25" t="str">
        <f>IF(J272&lt;&gt;1,"",IF(I272="SBJ","CB","?"))</f>
        <v> </v>
      </c>
      <c r="I272" s="26" t="str">
        <f>IF(OR(E272="",E272="!!!",F272="NEW"),"",INDEX(B271:B$2,-1+SUMPRODUCT(MAX(ROW(E271:E$2)*(E272=E271:E$2)))))</f>
        <v> </v>
      </c>
      <c r="J272" s="26" t="str">
        <f>IF(OR(E272="",E272="!!!",F272="NEW"),"",COUNTBLANK(OFFSET(A$1,,,SUMPRODUCT(MAX(ROW(E$2:E272)*(E272=E$2:E272)))))-COUNTBLANK(OFFSET(A$1,,,SUMPRODUCT(MAX(ROW(E$1:E271)*(E2=E$1:E271))))))</f>
        <v> </v>
      </c>
      <c r="K272" s="26" t="str">
        <f>IF(OR(E272="",E272="!!!",F272="NEW"),"",INDEX(J$1:J271,SUMPRODUCT(MAX(ROW(E$1:E271)*(E272=E$1:E271)))))</f>
        <v> </v>
      </c>
      <c r="L272" s="27"/>
    </row>
    <row r="273" spans="1:12">
      <c r="A273" s="20" t="s">
        <v>291</v>
      </c>
      <c r="E273" s="22">
        <f>IF(D273="?OLD","!!!","")</f>
        <v/>
      </c>
      <c r="F273" s="23" t="str">
        <f>IF(OR(E273="",E273="!!!"),"",IF(NOT(ISNA(VLOOKUP(E273,E$1:E272,1,FALSE()))),"OLD",IF(AND(E273&lt;&gt;"",E273&lt;&gt;"!!!"),"NEW","")))</f>
        <v> </v>
      </c>
      <c r="G273" s="24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> </v>
      </c>
      <c r="H273" s="25" t="str">
        <f>IF(J273&lt;&gt;1,"",IF(I273="SBJ","CB","?"))</f>
        <v> </v>
      </c>
      <c r="I273" s="26" t="str">
        <f>IF(OR(E273="",E273="!!!",F273="NEW"),"",INDEX(B272:B$2,-1+SUMPRODUCT(MAX(ROW(E272:E$2)*(E273=E272:E$2)))))</f>
        <v> </v>
      </c>
      <c r="J273" s="26" t="str">
        <f>IF(OR(E273="",E273="!!!",F273="NEW"),"",COUNTBLANK(OFFSET(A$1,,,SUMPRODUCT(MAX(ROW(E$2:E273)*(E273=E$2:E273)))))-COUNTBLANK(OFFSET(A$1,,,SUMPRODUCT(MAX(ROW(E$1:E272)*(E2=E$1:E272))))))</f>
        <v> </v>
      </c>
      <c r="K273" s="26" t="str">
        <f>IF(OR(E273="",E273="!!!",F273="NEW"),"",INDEX(J$1:J272,SUMPRODUCT(MAX(ROW(E$1:E272)*(E273=E$1:E272)))))</f>
        <v> </v>
      </c>
      <c r="L273" s="27"/>
    </row>
    <row r="274" spans="1:12">
      <c r="A274" s="20" t="s">
        <v>292</v>
      </c>
      <c r="E274" s="22">
        <f>IF(D274="?OLD","!!!","")</f>
        <v/>
      </c>
      <c r="F274" s="23" t="str">
        <f>IF(OR(E274="",E274="!!!"),"",IF(NOT(ISNA(VLOOKUP(E274,E$1:E273,1,FALSE()))),"OLD",IF(AND(E274&lt;&gt;"",E274&lt;&gt;"!!!"),"NEW","")))</f>
        <v> </v>
      </c>
      <c r="G274" s="24" t="str">
        <f>IF(OR(E274="",E274="!!!"),"",IF(OR(J274=0,AND(J274=1,K274=1),AND(J274=1,I274="SBJ"),AND(J274=1,I274=0)),"?IN_FOCUS",IF(J274&lt;=2,"?ACTIVATED",IF(J274&lt;&gt;"","?FAMILIAR",IF(F274="NEW",IF(ISNA(VLOOKUP(E274,#REF!,1,FALSE())),"?TYPE_IDENTIFIABLE","?REFERENTIAL"),"_")))))</f>
        <v> </v>
      </c>
      <c r="H274" s="25" t="str">
        <f>IF(J274&lt;&gt;1,"",IF(I274="SBJ","CB","?"))</f>
        <v> </v>
      </c>
      <c r="I274" s="26" t="str">
        <f>IF(OR(E274="",E274="!!!",F274="NEW"),"",INDEX(B273:B$2,-1+SUMPRODUCT(MAX(ROW(E273:E$2)*(E274=E273:E$2)))))</f>
        <v> </v>
      </c>
      <c r="J274" s="26" t="str">
        <f>IF(OR(E274="",E274="!!!",F274="NEW"),"",COUNTBLANK(OFFSET(A$1,,,SUMPRODUCT(MAX(ROW(E$2:E274)*(E274=E$2:E274)))))-COUNTBLANK(OFFSET(A$1,,,SUMPRODUCT(MAX(ROW(E$1:E273)*(E2=E$1:E273))))))</f>
        <v> </v>
      </c>
      <c r="K274" s="26" t="str">
        <f>IF(OR(E274="",E274="!!!",F274="NEW"),"",INDEX(J$1:J273,SUMPRODUCT(MAX(ROW(E$1:E273)*(E274=E$1:E273)))))</f>
        <v> </v>
      </c>
      <c r="L274" s="27"/>
    </row>
    <row r="275" spans="1:12">
      <c r="A275" s="20" t="s">
        <v>293</v>
      </c>
      <c r="B275" s="21" t="s">
        <v>157</v>
      </c>
      <c r="C275" s="21" t="s">
        <v>130</v>
      </c>
      <c r="E275" s="22">
        <f>IF(D275="?OLD","!!!","")</f>
        <v/>
      </c>
      <c r="F275" s="23" t="str">
        <f>IF(OR(E275="",E275="!!!"),"",IF(NOT(ISNA(VLOOKUP(E275,E$1:E274,1,FALSE()))),"OLD",IF(AND(E275&lt;&gt;"",E275&lt;&gt;"!!!"),"NEW","")))</f>
        <v> </v>
      </c>
      <c r="G275" s="24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> </v>
      </c>
      <c r="H275" s="25" t="str">
        <f>IF(J275&lt;&gt;1,"",IF(I275="SBJ","CB","?"))</f>
        <v> </v>
      </c>
      <c r="I275" s="26" t="str">
        <f>IF(OR(E275="",E275="!!!",F275="NEW"),"",INDEX(B274:B$2,-1+SUMPRODUCT(MAX(ROW(E274:E$2)*(E275=E274:E$2)))))</f>
        <v> </v>
      </c>
      <c r="J275" s="26" t="str">
        <f>IF(OR(E275="",E275="!!!",F275="NEW"),"",COUNTBLANK(OFFSET(A$1,,,SUMPRODUCT(MAX(ROW(E$2:E275)*(E275=E$2:E275)))))-COUNTBLANK(OFFSET(A$1,,,SUMPRODUCT(MAX(ROW(E$1:E274)*(E2=E$1:E274))))))</f>
        <v> </v>
      </c>
      <c r="K275" s="26" t="str">
        <f>IF(OR(E275="",E275="!!!",F275="NEW"),"",INDEX(J$1:J274,SUMPRODUCT(MAX(ROW(E$1:E274)*(E275=E$1:E274)))))</f>
        <v> </v>
      </c>
      <c r="L275" s="27"/>
    </row>
    <row r="276" spans="1:12">
      <c r="A276" s="20" t="s">
        <v>116</v>
      </c>
      <c r="E276" s="22">
        <f>IF(D276="?OLD","!!!","")</f>
        <v/>
      </c>
      <c r="F276" s="23" t="str">
        <f>IF(OR(E276="",E276="!!!"),"",IF(NOT(ISNA(VLOOKUP(E276,E$1:E275,1,FALSE()))),"OLD",IF(AND(E276&lt;&gt;"",E276&lt;&gt;"!!!"),"NEW","")))</f>
        <v> </v>
      </c>
      <c r="G276" s="24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5" t="str">
        <f>IF(J276&lt;&gt;1,"",IF(I276="SBJ","CB","?"))</f>
        <v> </v>
      </c>
      <c r="I276" s="26" t="str">
        <f>IF(OR(E276="",E276="!!!",F276="NEW"),"",INDEX(B275:B$2,-1+SUMPRODUCT(MAX(ROW(E275:E$2)*(E276=E275:E$2)))))</f>
        <v> </v>
      </c>
      <c r="J276" s="26" t="str">
        <f>IF(OR(E276="",E276="!!!",F276="NEW"),"",COUNTBLANK(OFFSET(A$1,,,SUMPRODUCT(MAX(ROW(E$2:E276)*(E276=E$2:E276)))))-COUNTBLANK(OFFSET(A$1,,,SUMPRODUCT(MAX(ROW(E$1:E275)*(E2=E$1:E275))))))</f>
        <v> </v>
      </c>
      <c r="K276" s="26" t="str">
        <f>IF(OR(E276="",E276="!!!",F276="NEW"),"",INDEX(J$1:J275,SUMPRODUCT(MAX(ROW(E$1:E275)*(E276=E$1:E275)))))</f>
        <v> </v>
      </c>
      <c r="L276" s="27"/>
    </row>
    <row r="277" spans="1:12">
      <c r="A277" s="20" t="s">
        <v>228</v>
      </c>
      <c r="E277" s="22">
        <f>IF(D277="?OLD","!!!","")</f>
        <v/>
      </c>
      <c r="F277" s="23" t="str">
        <f>IF(OR(E277="",E277="!!!"),"",IF(NOT(ISNA(VLOOKUP(E277,E$1:E276,1,FALSE()))),"OLD",IF(AND(E277&lt;&gt;"",E277&lt;&gt;"!!!"),"NEW","")))</f>
        <v> </v>
      </c>
      <c r="G277" s="24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5" t="str">
        <f>IF(J277&lt;&gt;1,"",IF(I277="SBJ","CB","?"))</f>
        <v> </v>
      </c>
      <c r="I277" s="26" t="str">
        <f>IF(OR(E277="",E277="!!!",F277="NEW"),"",INDEX(B276:B$2,-1+SUMPRODUCT(MAX(ROW(E276:E$2)*(E277=E276:E$2)))))</f>
        <v> </v>
      </c>
      <c r="J277" s="26" t="str">
        <f>IF(OR(E277="",E277="!!!",F277="NEW"),"",COUNTBLANK(OFFSET(A$1,,,SUMPRODUCT(MAX(ROW(E$2:E277)*(E277=E$2:E277)))))-COUNTBLANK(OFFSET(A$1,,,SUMPRODUCT(MAX(ROW(E$1:E276)*(E2=E$1:E276))))))</f>
        <v> </v>
      </c>
      <c r="K277" s="26" t="str">
        <f>IF(OR(E277="",E277="!!!",F277="NEW"),"",INDEX(J$1:J276,SUMPRODUCT(MAX(ROW(E$1:E276)*(E277=E$1:E276)))))</f>
        <v> </v>
      </c>
      <c r="L277" s="27"/>
    </row>
    <row r="278" spans="1:12">
      <c r="A278" s="20" t="s">
        <v>294</v>
      </c>
      <c r="B278" s="21" t="s">
        <v>124</v>
      </c>
      <c r="C278" s="21" t="s">
        <v>130</v>
      </c>
      <c r="E278" s="22">
        <f>IF(D278="?OLD","!!!","")</f>
        <v/>
      </c>
      <c r="F278" s="23" t="str">
        <f>IF(OR(E278="",E278="!!!"),"",IF(NOT(ISNA(VLOOKUP(E278,E$1:E277,1,FALSE()))),"OLD",IF(AND(E278&lt;&gt;"",E278&lt;&gt;"!!!"),"NEW","")))</f>
        <v> </v>
      </c>
      <c r="G278" s="24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5" t="str">
        <f>IF(J278&lt;&gt;1,"",IF(I278="SBJ","CB","?"))</f>
        <v> </v>
      </c>
      <c r="I278" s="26" t="str">
        <f>IF(OR(E278="",E278="!!!",F278="NEW"),"",INDEX(B277:B$2,-1+SUMPRODUCT(MAX(ROW(E277:E$2)*(E278=E277:E$2)))))</f>
        <v> </v>
      </c>
      <c r="J278" s="26" t="str">
        <f>IF(OR(E278="",E278="!!!",F278="NEW"),"",COUNTBLANK(OFFSET(A$1,,,SUMPRODUCT(MAX(ROW(E$2:E278)*(E278=E$2:E278)))))-COUNTBLANK(OFFSET(A$1,,,SUMPRODUCT(MAX(ROW(E$1:E277)*(E2=E$1:E277))))))</f>
        <v> </v>
      </c>
      <c r="K278" s="26" t="str">
        <f>IF(OR(E278="",E278="!!!",F278="NEW"),"",INDEX(J$1:J277,SUMPRODUCT(MAX(ROW(E$1:E277)*(E278=E$1:E277)))))</f>
        <v> </v>
      </c>
      <c r="L278" s="27"/>
    </row>
    <row r="279" spans="1:12">
      <c r="A279" s="20" t="s">
        <v>114</v>
      </c>
      <c r="E279" s="22">
        <f>IF(D279="?OLD","!!!","")</f>
        <v/>
      </c>
      <c r="F279" s="23" t="str">
        <f>IF(OR(E279="",E279="!!!"),"",IF(NOT(ISNA(VLOOKUP(E279,E$1:E278,1,FALSE()))),"OLD",IF(AND(E279&lt;&gt;"",E279&lt;&gt;"!!!"),"NEW","")))</f>
        <v> </v>
      </c>
      <c r="G279" s="24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5" t="str">
        <f>IF(J279&lt;&gt;1,"",IF(I279="SBJ","CB","?"))</f>
        <v> </v>
      </c>
      <c r="I279" s="26" t="str">
        <f>IF(OR(E279="",E279="!!!",F279="NEW"),"",INDEX(B278:B$2,-1+SUMPRODUCT(MAX(ROW(E278:E$2)*(E279=E278:E$2)))))</f>
        <v> </v>
      </c>
      <c r="J279" s="26" t="str">
        <f>IF(OR(E279="",E279="!!!",F279="NEW"),"",COUNTBLANK(OFFSET(A$1,,,SUMPRODUCT(MAX(ROW(E$2:E279)*(E279=E$2:E279)))))-COUNTBLANK(OFFSET(A$1,,,SUMPRODUCT(MAX(ROW(E$1:E278)*(E2=E$1:E278))))))</f>
        <v> </v>
      </c>
      <c r="K279" s="26" t="str">
        <f>IF(OR(E279="",E279="!!!",F279="NEW"),"",INDEX(J$1:J278,SUMPRODUCT(MAX(ROW(E$1:E278)*(E279=E$1:E278)))))</f>
        <v> </v>
      </c>
      <c r="L279" s="27"/>
    </row>
    <row r="280" spans="1:12">
      <c r="A280" s="20" t="s">
        <v>295</v>
      </c>
      <c r="B280" s="21" t="s">
        <v>125</v>
      </c>
      <c r="C280" s="21" t="s">
        <v>130</v>
      </c>
      <c r="E280" s="22">
        <f>IF(D280="?OLD","!!!","")</f>
        <v/>
      </c>
      <c r="F280" s="23" t="str">
        <f>IF(OR(E280="",E280="!!!"),"",IF(NOT(ISNA(VLOOKUP(E280,E$1:E279,1,FALSE()))),"OLD",IF(AND(E280&lt;&gt;"",E280&lt;&gt;"!!!"),"NEW","")))</f>
        <v> </v>
      </c>
      <c r="G280" s="24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5" t="str">
        <f>IF(J280&lt;&gt;1,"",IF(I280="SBJ","CB","?"))</f>
        <v> </v>
      </c>
      <c r="I280" s="26" t="str">
        <f>IF(OR(E280="",E280="!!!",F280="NEW"),"",INDEX(B279:B$2,-1+SUMPRODUCT(MAX(ROW(E279:E$2)*(E280=E279:E$2)))))</f>
        <v> </v>
      </c>
      <c r="J280" s="26" t="str">
        <f>IF(OR(E280="",E280="!!!",F280="NEW"),"",COUNTBLANK(OFFSET(A$1,,,SUMPRODUCT(MAX(ROW(E$2:E280)*(E280=E$2:E280)))))-COUNTBLANK(OFFSET(A$1,,,SUMPRODUCT(MAX(ROW(E$1:E279)*(E2=E$1:E279))))))</f>
        <v> </v>
      </c>
      <c r="K280" s="26" t="str">
        <f>IF(OR(E280="",E280="!!!",F280="NEW"),"",INDEX(J$1:J279,SUMPRODUCT(MAX(ROW(E$1:E279)*(E280=E$1:E279)))))</f>
        <v> </v>
      </c>
      <c r="L280" s="27"/>
    </row>
    <row r="281" spans="1:12">
      <c r="A281" s="20" t="s">
        <v>116</v>
      </c>
      <c r="E281" s="22">
        <f>IF(D281="?OLD","!!!","")</f>
        <v/>
      </c>
      <c r="F281" s="23" t="str">
        <f>IF(OR(E281="",E281="!!!"),"",IF(NOT(ISNA(VLOOKUP(E281,E$1:E280,1,FALSE()))),"OLD",IF(AND(E281&lt;&gt;"",E281&lt;&gt;"!!!"),"NEW","")))</f>
        <v> </v>
      </c>
      <c r="G281" s="24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 </v>
      </c>
      <c r="H281" s="25" t="str">
        <f>IF(J281&lt;&gt;1,"",IF(I281="SBJ","CB","?"))</f>
        <v> </v>
      </c>
      <c r="I281" s="26" t="str">
        <f>IF(OR(E281="",E281="!!!",F281="NEW"),"",INDEX(B280:B$2,-1+SUMPRODUCT(MAX(ROW(E280:E$2)*(E281=E280:E$2)))))</f>
        <v> </v>
      </c>
      <c r="J281" s="26" t="str">
        <f>IF(OR(E281="",E281="!!!",F281="NEW"),"",COUNTBLANK(OFFSET(A$1,,,SUMPRODUCT(MAX(ROW(E$2:E281)*(E281=E$2:E281)))))-COUNTBLANK(OFFSET(A$1,,,SUMPRODUCT(MAX(ROW(E$1:E280)*(E2=E$1:E280))))))</f>
        <v> </v>
      </c>
      <c r="K281" s="26" t="str">
        <f>IF(OR(E281="",E281="!!!",F281="NEW"),"",INDEX(J$1:J280,SUMPRODUCT(MAX(ROW(E$1:E280)*(E281=E$1:E280)))))</f>
        <v> </v>
      </c>
      <c r="L281" s="27"/>
    </row>
    <row r="282" spans="1:12">
      <c r="A282" s="20" t="s">
        <v>191</v>
      </c>
      <c r="E282" s="22">
        <f>IF(D282="?OLD","!!!","")</f>
        <v/>
      </c>
      <c r="F282" s="23" t="str">
        <f>IF(OR(E282="",E282="!!!"),"",IF(NOT(ISNA(VLOOKUP(E282,E$1:E281,1,FALSE()))),"OLD",IF(AND(E282&lt;&gt;"",E282&lt;&gt;"!!!"),"NEW","")))</f>
        <v> </v>
      </c>
      <c r="G282" s="24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25" t="str">
        <f>IF(J282&lt;&gt;1,"",IF(I282="SBJ","CB","?"))</f>
        <v> </v>
      </c>
      <c r="I282" s="26" t="str">
        <f>IF(OR(E282="",E282="!!!",F282="NEW"),"",INDEX(B281:B$2,-1+SUMPRODUCT(MAX(ROW(E281:E$2)*(E282=E281:E$2)))))</f>
        <v> </v>
      </c>
      <c r="J282" s="26" t="str">
        <f>IF(OR(E282="",E282="!!!",F282="NEW"),"",COUNTBLANK(OFFSET(A$1,,,SUMPRODUCT(MAX(ROW(E$2:E282)*(E282=E$2:E282)))))-COUNTBLANK(OFFSET(A$1,,,SUMPRODUCT(MAX(ROW(E$1:E281)*(E2=E$1:E281))))))</f>
        <v> </v>
      </c>
      <c r="K282" s="26" t="str">
        <f>IF(OR(E282="",E282="!!!",F282="NEW"),"",INDEX(J$1:J281,SUMPRODUCT(MAX(ROW(E$1:E281)*(E282=E$1:E281)))))</f>
        <v> </v>
      </c>
      <c r="L282" s="27"/>
    </row>
    <row r="283" spans="1:12">
      <c r="A283" s="20" t="s">
        <v>296</v>
      </c>
      <c r="B283" s="21" t="s">
        <v>187</v>
      </c>
      <c r="C283" s="21" t="s">
        <v>111</v>
      </c>
      <c r="D283" s="21" t="s">
        <v>106</v>
      </c>
      <c r="E283" s="22">
        <f>IF(D283="?OLD","!!!","")</f>
        <v/>
      </c>
      <c r="F283" s="23" t="str">
        <f>IF(OR(E283="",E283="!!!"),"",IF(NOT(ISNA(VLOOKUP(E283,E$1:E282,1,FALSE()))),"OLD",IF(AND(E283&lt;&gt;"",E283&lt;&gt;"!!!"),"NEW","")))</f>
        <v> </v>
      </c>
      <c r="G283" s="24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5" t="str">
        <f>IF(J283&lt;&gt;1,"",IF(I283="SBJ","CB","?"))</f>
        <v> </v>
      </c>
      <c r="I283" s="26" t="str">
        <f>IF(OR(E283="",E283="!!!",F283="NEW"),"",INDEX(B282:B$2,-1+SUMPRODUCT(MAX(ROW(E282:E$2)*(E283=E282:E$2)))))</f>
        <v> </v>
      </c>
      <c r="J283" s="26" t="str">
        <f>IF(OR(E283="",E283="!!!",F283="NEW"),"",COUNTBLANK(OFFSET(A$1,,,SUMPRODUCT(MAX(ROW(E$2:E283)*(E283=E$2:E283)))))-COUNTBLANK(OFFSET(A$1,,,SUMPRODUCT(MAX(ROW(E$1:E282)*(E2=E$1:E282))))))</f>
        <v> </v>
      </c>
      <c r="K283" s="26" t="str">
        <f>IF(OR(E283="",E283="!!!",F283="NEW"),"",INDEX(J$1:J282,SUMPRODUCT(MAX(ROW(E$1:E282)*(E283=E$1:E282)))))</f>
        <v> </v>
      </c>
      <c r="L283" s="27"/>
    </row>
    <row r="284" spans="1:12">
      <c r="A284" s="20" t="s">
        <v>11</v>
      </c>
      <c r="E284" s="22">
        <f>IF(D284="?OLD","!!!","")</f>
        <v/>
      </c>
      <c r="F284" s="23" t="str">
        <f>IF(OR(E284="",E284="!!!"),"",IF(NOT(ISNA(VLOOKUP(E284,E$1:E283,1,FALSE()))),"OLD",IF(AND(E284&lt;&gt;"",E284&lt;&gt;"!!!"),"NEW","")))</f>
        <v> </v>
      </c>
      <c r="G284" s="24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> </v>
      </c>
      <c r="H284" s="25" t="str">
        <f>IF(J284&lt;&gt;1,"",IF(I284="SBJ","CB","?"))</f>
        <v> </v>
      </c>
      <c r="I284" s="26" t="str">
        <f>IF(OR(E284="",E284="!!!",F284="NEW"),"",INDEX(B283:B$2,-1+SUMPRODUCT(MAX(ROW(E283:E$2)*(E284=E283:E$2)))))</f>
        <v> </v>
      </c>
      <c r="J284" s="26" t="str">
        <f>IF(OR(E284="",E284="!!!",F284="NEW"),"",COUNTBLANK(OFFSET(A$1,,,SUMPRODUCT(MAX(ROW(E$2:E284)*(E284=E$2:E284)))))-COUNTBLANK(OFFSET(A$1,,,SUMPRODUCT(MAX(ROW(E$1:E283)*(E2=E$1:E283))))))</f>
        <v> </v>
      </c>
      <c r="K284" s="26" t="str">
        <f>IF(OR(E284="",E284="!!!",F284="NEW"),"",INDEX(J$1:J283,SUMPRODUCT(MAX(ROW(E$1:E283)*(E284=E$1:E283)))))</f>
        <v> </v>
      </c>
      <c r="L284" s="27"/>
    </row>
    <row r="285" spans="1:12">
      <c r="A285" s="20" t="s">
        <v>253</v>
      </c>
      <c r="E285" s="22">
        <f>IF(D285="?OLD","!!!","")</f>
        <v/>
      </c>
      <c r="F285" s="23" t="str">
        <f>IF(OR(E285="",E285="!!!"),"",IF(NOT(ISNA(VLOOKUP(E285,E$1:E284,1,FALSE()))),"OLD",IF(AND(E285&lt;&gt;"",E285&lt;&gt;"!!!"),"NEW","")))</f>
        <v> </v>
      </c>
      <c r="G285" s="24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 </v>
      </c>
      <c r="H285" s="25" t="str">
        <f>IF(J285&lt;&gt;1,"",IF(I285="SBJ","CB","?"))</f>
        <v> </v>
      </c>
      <c r="I285" s="26" t="str">
        <f>IF(OR(E285="",E285="!!!",F285="NEW"),"",INDEX(B284:B$2,-1+SUMPRODUCT(MAX(ROW(E284:E$2)*(E285=E284:E$2)))))</f>
        <v> </v>
      </c>
      <c r="J285" s="26" t="str">
        <f>IF(OR(E285="",E285="!!!",F285="NEW"),"",COUNTBLANK(OFFSET(A$1,,,SUMPRODUCT(MAX(ROW(E$2:E285)*(E285=E$2:E285)))))-COUNTBLANK(OFFSET(A$1,,,SUMPRODUCT(MAX(ROW(E$1:E284)*(E2=E$1:E284))))))</f>
        <v> </v>
      </c>
      <c r="K285" s="26" t="str">
        <f>IF(OR(E285="",E285="!!!",F285="NEW"),"",INDEX(J$1:J284,SUMPRODUCT(MAX(ROW(E$1:E284)*(E285=E$1:E284)))))</f>
        <v> </v>
      </c>
      <c r="L285" s="27"/>
    </row>
    <row r="286" spans="1:12">
      <c r="A286" s="20" t="s">
        <v>297</v>
      </c>
      <c r="E286" s="22">
        <f>IF(D286="?OLD","!!!","")</f>
        <v/>
      </c>
      <c r="F286" s="23" t="str">
        <f>IF(OR(E286="",E286="!!!"),"",IF(NOT(ISNA(VLOOKUP(E286,E$1:E285,1,FALSE()))),"OLD",IF(AND(E286&lt;&gt;"",E286&lt;&gt;"!!!"),"NEW","")))</f>
        <v> </v>
      </c>
      <c r="G286" s="24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> </v>
      </c>
      <c r="H286" s="25" t="str">
        <f>IF(J286&lt;&gt;1,"",IF(I286="SBJ","CB","?"))</f>
        <v> </v>
      </c>
      <c r="I286" s="26" t="str">
        <f>IF(OR(E286="",E286="!!!",F286="NEW"),"",INDEX(B285:B$2,-1+SUMPRODUCT(MAX(ROW(E285:E$2)*(E286=E285:E$2)))))</f>
        <v> </v>
      </c>
      <c r="J286" s="26" t="str">
        <f>IF(OR(E286="",E286="!!!",F286="NEW"),"",COUNTBLANK(OFFSET(A$1,,,SUMPRODUCT(MAX(ROW(E$2:E286)*(E286=E$2:E286)))))-COUNTBLANK(OFFSET(A$1,,,SUMPRODUCT(MAX(ROW(E$1:E285)*(E2=E$1:E285))))))</f>
        <v> </v>
      </c>
      <c r="K286" s="26" t="str">
        <f>IF(OR(E286="",E286="!!!",F286="NEW"),"",INDEX(J$1:J285,SUMPRODUCT(MAX(ROW(E$1:E285)*(E286=E$1:E285)))))</f>
        <v> </v>
      </c>
      <c r="L286" s="27"/>
    </row>
    <row r="287" spans="1:12">
      <c r="A287" s="20" t="s">
        <v>135</v>
      </c>
      <c r="E287" s="22">
        <f>IF(D287="?OLD","!!!","")</f>
        <v/>
      </c>
      <c r="F287" s="23" t="str">
        <f>IF(OR(E287="",E287="!!!"),"",IF(NOT(ISNA(VLOOKUP(E287,E$1:E286,1,FALSE()))),"OLD",IF(AND(E287&lt;&gt;"",E287&lt;&gt;"!!!"),"NEW","")))</f>
        <v> </v>
      </c>
      <c r="G287" s="24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> </v>
      </c>
      <c r="H287" s="25" t="str">
        <f>IF(J287&lt;&gt;1,"",IF(I287="SBJ","CB","?"))</f>
        <v> </v>
      </c>
      <c r="I287" s="26" t="str">
        <f>IF(OR(E287="",E287="!!!",F287="NEW"),"",INDEX(B286:B$2,-1+SUMPRODUCT(MAX(ROW(E286:E$2)*(E287=E286:E$2)))))</f>
        <v> </v>
      </c>
      <c r="J287" s="26" t="str">
        <f>IF(OR(E287="",E287="!!!",F287="NEW"),"",COUNTBLANK(OFFSET(A$1,,,SUMPRODUCT(MAX(ROW(E$2:E287)*(E287=E$2:E287)))))-COUNTBLANK(OFFSET(A$1,,,SUMPRODUCT(MAX(ROW(E$1:E286)*(E2=E$1:E286))))))</f>
        <v> </v>
      </c>
      <c r="K287" s="26" t="str">
        <f>IF(OR(E287="",E287="!!!",F287="NEW"),"",INDEX(J$1:J286,SUMPRODUCT(MAX(ROW(E$1:E286)*(E287=E$1:E286)))))</f>
        <v> </v>
      </c>
      <c r="L287" s="27"/>
    </row>
    <row r="288" spans="1:12">
      <c r="A288" s="20"/>
    </row>
    <row r="289" spans="1:12">
      <c r="A289" s="20" t="s">
        <v>298</v>
      </c>
    </row>
    <row r="290" spans="1:12">
      <c r="A290" s="20" t="s">
        <v>299</v>
      </c>
      <c r="B290" s="21" t="s">
        <v>124</v>
      </c>
      <c r="C290" s="21" t="s">
        <v>188</v>
      </c>
      <c r="E290" s="22">
        <f>IF(D290="?OLD","!!!","")</f>
        <v/>
      </c>
      <c r="F290" s="23" t="str">
        <f>IF(OR(E290="",E290="!!!"),"",IF(NOT(ISNA(VLOOKUP(E290,E$1:E289,1,FALSE()))),"OLD",IF(AND(E290&lt;&gt;"",E290&lt;&gt;"!!!"),"NEW","")))</f>
        <v> </v>
      </c>
      <c r="G290" s="24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5" t="str">
        <f>IF(J290&lt;&gt;1,"",IF(I290="SBJ","CB","?"))</f>
        <v> </v>
      </c>
      <c r="I290" s="26" t="str">
        <f>IF(OR(E290="",E290="!!!",F290="NEW"),"",INDEX(B289:B$2,-1+SUMPRODUCT(MAX(ROW(E289:E$2)*(E290=E289:E$2)))))</f>
        <v> </v>
      </c>
      <c r="J290" s="26" t="str">
        <f>IF(OR(E290="",E290="!!!",F290="NEW"),"",COUNTBLANK(OFFSET(A$1,,,SUMPRODUCT(MAX(ROW(E$2:E290)*(E290=E$2:E290)))))-COUNTBLANK(OFFSET(A$1,,,SUMPRODUCT(MAX(ROW(E$1:E289)*(E2=E$1:E289))))))</f>
        <v> </v>
      </c>
      <c r="K290" s="26" t="str">
        <f>IF(OR(E290="",E290="!!!",F290="NEW"),"",INDEX(J$1:J289,SUMPRODUCT(MAX(ROW(E$1:E289)*(E290=E$1:E289)))))</f>
        <v> </v>
      </c>
      <c r="L290" s="27"/>
    </row>
    <row r="291" spans="1:12">
      <c r="A291" s="20" t="s">
        <v>300</v>
      </c>
      <c r="B291" s="21" t="s">
        <v>139</v>
      </c>
      <c r="C291" s="21" t="s">
        <v>162</v>
      </c>
      <c r="E291" s="22">
        <f>IF(D291="?OLD","!!!","")</f>
        <v/>
      </c>
      <c r="F291" s="23" t="str">
        <f>IF(OR(E291="",E291="!!!"),"",IF(NOT(ISNA(VLOOKUP(E291,E$1:E290,1,FALSE()))),"OLD",IF(AND(E291&lt;&gt;"",E291&lt;&gt;"!!!"),"NEW","")))</f>
        <v> </v>
      </c>
      <c r="G291" s="24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5" t="str">
        <f>IF(J291&lt;&gt;1,"",IF(I291="SBJ","CB","?"))</f>
        <v> </v>
      </c>
      <c r="I291" s="26" t="str">
        <f>IF(OR(E291="",E291="!!!",F291="NEW"),"",INDEX(B290:B$2,-1+SUMPRODUCT(MAX(ROW(E290:E$2)*(E291=E290:E$2)))))</f>
        <v> </v>
      </c>
      <c r="J291" s="26" t="str">
        <f>IF(OR(E291="",E291="!!!",F291="NEW"),"",COUNTBLANK(OFFSET(A$1,,,SUMPRODUCT(MAX(ROW(E$2:E291)*(E291=E$2:E291)))))-COUNTBLANK(OFFSET(A$1,,,SUMPRODUCT(MAX(ROW(E$1:E290)*(E2=E$1:E290))))))</f>
        <v> </v>
      </c>
      <c r="K291" s="26" t="str">
        <f>IF(OR(E291="",E291="!!!",F291="NEW"),"",INDEX(J$1:J290,SUMPRODUCT(MAX(ROW(E$1:E290)*(E291=E$1:E290)))))</f>
        <v> </v>
      </c>
      <c r="L291" s="27"/>
    </row>
    <row r="292" spans="1:12">
      <c r="A292" s="20" t="s">
        <v>301</v>
      </c>
      <c r="E292" s="22">
        <f>IF(D292="?OLD","!!!","")</f>
        <v/>
      </c>
      <c r="F292" s="23" t="str">
        <f>IF(OR(E292="",E292="!!!"),"",IF(NOT(ISNA(VLOOKUP(E292,E$1:E291,1,FALSE()))),"OLD",IF(AND(E292&lt;&gt;"",E292&lt;&gt;"!!!"),"NEW","")))</f>
        <v> </v>
      </c>
      <c r="G292" s="24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> </v>
      </c>
      <c r="H292" s="25" t="str">
        <f>IF(J292&lt;&gt;1,"",IF(I292="SBJ","CB","?"))</f>
        <v> </v>
      </c>
      <c r="I292" s="26" t="str">
        <f>IF(OR(E292="",E292="!!!",F292="NEW"),"",INDEX(B291:B$2,-1+SUMPRODUCT(MAX(ROW(E291:E$2)*(E292=E291:E$2)))))</f>
        <v> </v>
      </c>
      <c r="J292" s="26" t="str">
        <f>IF(OR(E292="",E292="!!!",F292="NEW"),"",COUNTBLANK(OFFSET(A$1,,,SUMPRODUCT(MAX(ROW(E$2:E292)*(E292=E$2:E292)))))-COUNTBLANK(OFFSET(A$1,,,SUMPRODUCT(MAX(ROW(E$1:E291)*(E2=E$1:E291))))))</f>
        <v> </v>
      </c>
      <c r="K292" s="26" t="str">
        <f>IF(OR(E292="",E292="!!!",F292="NEW"),"",INDEX(J$1:J291,SUMPRODUCT(MAX(ROW(E$1:E291)*(E292=E$1:E291)))))</f>
        <v> </v>
      </c>
      <c r="L292" s="27"/>
    </row>
    <row r="293" spans="1:12">
      <c r="A293" s="20" t="s">
        <v>302</v>
      </c>
      <c r="E293" s="22">
        <f>IF(D293="?OLD","!!!","")</f>
        <v/>
      </c>
      <c r="F293" s="23" t="str">
        <f>IF(OR(E293="",E293="!!!"),"",IF(NOT(ISNA(VLOOKUP(E293,E$1:E292,1,FALSE()))),"OLD",IF(AND(E293&lt;&gt;"",E293&lt;&gt;"!!!"),"NEW","")))</f>
        <v> </v>
      </c>
      <c r="G293" s="24" t="str">
        <f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> </v>
      </c>
      <c r="H293" s="25" t="str">
        <f>IF(J293&lt;&gt;1,"",IF(I293="SBJ","CB","?"))</f>
        <v> </v>
      </c>
      <c r="I293" s="26" t="str">
        <f>IF(OR(E293="",E293="!!!",F293="NEW"),"",INDEX(B292:B$2,-1+SUMPRODUCT(MAX(ROW(E292:E$2)*(E293=E292:E$2)))))</f>
        <v> </v>
      </c>
      <c r="J293" s="26" t="str">
        <f>IF(OR(E293="",E293="!!!",F293="NEW"),"",COUNTBLANK(OFFSET(A$1,,,SUMPRODUCT(MAX(ROW(E$2:E293)*(E293=E$2:E293)))))-COUNTBLANK(OFFSET(A$1,,,SUMPRODUCT(MAX(ROW(E$1:E292)*(E2=E$1:E292))))))</f>
        <v> </v>
      </c>
      <c r="K293" s="26" t="str">
        <f>IF(OR(E293="",E293="!!!",F293="NEW"),"",INDEX(J$1:J292,SUMPRODUCT(MAX(ROW(E$1:E292)*(E293=E$1:E292)))))</f>
        <v> </v>
      </c>
      <c r="L293" s="27"/>
    </row>
    <row r="294" spans="1:12">
      <c r="A294" s="20" t="s">
        <v>303</v>
      </c>
      <c r="E294" s="22">
        <f>IF(D294="?OLD","!!!","")</f>
        <v/>
      </c>
      <c r="F294" s="23" t="str">
        <f>IF(OR(E294="",E294="!!!"),"",IF(NOT(ISNA(VLOOKUP(E294,E$1:E293,1,FALSE()))),"OLD",IF(AND(E294&lt;&gt;"",E294&lt;&gt;"!!!"),"NEW","")))</f>
        <v> </v>
      </c>
      <c r="G294" s="24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25" t="str">
        <f>IF(J294&lt;&gt;1,"",IF(I294="SBJ","CB","?"))</f>
        <v> </v>
      </c>
      <c r="I294" s="26" t="str">
        <f>IF(OR(E294="",E294="!!!",F294="NEW"),"",INDEX(B293:B$2,-1+SUMPRODUCT(MAX(ROW(E293:E$2)*(E294=E293:E$2)))))</f>
        <v> </v>
      </c>
      <c r="J294" s="26" t="str">
        <f>IF(OR(E294="",E294="!!!",F294="NEW"),"",COUNTBLANK(OFFSET(A$1,,,SUMPRODUCT(MAX(ROW(E$2:E294)*(E294=E$2:E294)))))-COUNTBLANK(OFFSET(A$1,,,SUMPRODUCT(MAX(ROW(E$1:E293)*(E2=E$1:E293))))))</f>
        <v> </v>
      </c>
      <c r="K294" s="26" t="str">
        <f>IF(OR(E294="",E294="!!!",F294="NEW"),"",INDEX(J$1:J293,SUMPRODUCT(MAX(ROW(E$1:E293)*(E294=E$1:E293)))))</f>
        <v> </v>
      </c>
      <c r="L294" s="27"/>
    </row>
    <row r="295" spans="1:12">
      <c r="A295" s="20" t="s">
        <v>304</v>
      </c>
      <c r="B295" s="21" t="s">
        <v>157</v>
      </c>
      <c r="C295" s="21" t="s">
        <v>130</v>
      </c>
      <c r="E295" s="22">
        <f>IF(D295="?OLD","!!!","")</f>
        <v/>
      </c>
      <c r="F295" s="23" t="str">
        <f>IF(OR(E295="",E295="!!!"),"",IF(NOT(ISNA(VLOOKUP(E295,E$1:E294,1,FALSE()))),"OLD",IF(AND(E295&lt;&gt;"",E295&lt;&gt;"!!!"),"NEW","")))</f>
        <v> </v>
      </c>
      <c r="G295" s="24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> </v>
      </c>
      <c r="H295" s="25" t="str">
        <f>IF(J295&lt;&gt;1,"",IF(I295="SBJ","CB","?"))</f>
        <v> </v>
      </c>
      <c r="I295" s="26" t="str">
        <f>IF(OR(E295="",E295="!!!",F295="NEW"),"",INDEX(B294:B$2,-1+SUMPRODUCT(MAX(ROW(E294:E$2)*(E295=E294:E$2)))))</f>
        <v> </v>
      </c>
      <c r="J295" s="26" t="str">
        <f>IF(OR(E295="",E295="!!!",F295="NEW"),"",COUNTBLANK(OFFSET(A$1,,,SUMPRODUCT(MAX(ROW(E$2:E295)*(E295=E$2:E295)))))-COUNTBLANK(OFFSET(A$1,,,SUMPRODUCT(MAX(ROW(E$1:E294)*(E2=E$1:E294))))))</f>
        <v> </v>
      </c>
      <c r="K295" s="26" t="str">
        <f>IF(OR(E295="",E295="!!!",F295="NEW"),"",INDEX(J$1:J294,SUMPRODUCT(MAX(ROW(E$1:E294)*(E295=E$1:E294)))))</f>
        <v> </v>
      </c>
      <c r="L295" s="27"/>
    </row>
    <row r="296" spans="1:12">
      <c r="A296" s="20" t="s">
        <v>305</v>
      </c>
      <c r="E296" s="22">
        <f>IF(D296="?OLD","!!!","")</f>
        <v/>
      </c>
      <c r="F296" s="23" t="str">
        <f>IF(OR(E296="",E296="!!!"),"",IF(NOT(ISNA(VLOOKUP(E296,E$1:E295,1,FALSE()))),"OLD",IF(AND(E296&lt;&gt;"",E296&lt;&gt;"!!!"),"NEW","")))</f>
        <v> </v>
      </c>
      <c r="G296" s="24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> </v>
      </c>
      <c r="H296" s="25" t="str">
        <f>IF(J296&lt;&gt;1,"",IF(I296="SBJ","CB","?"))</f>
        <v> </v>
      </c>
      <c r="I296" s="26" t="str">
        <f>IF(OR(E296="",E296="!!!",F296="NEW"),"",INDEX(B295:B$2,-1+SUMPRODUCT(MAX(ROW(E295:E$2)*(E296=E295:E$2)))))</f>
        <v> </v>
      </c>
      <c r="J296" s="26" t="str">
        <f>IF(OR(E296="",E296="!!!",F296="NEW"),"",COUNTBLANK(OFFSET(A$1,,,SUMPRODUCT(MAX(ROW(E$2:E296)*(E296=E$2:E296)))))-COUNTBLANK(OFFSET(A$1,,,SUMPRODUCT(MAX(ROW(E$1:E295)*(E2=E$1:E295))))))</f>
        <v> </v>
      </c>
      <c r="K296" s="26" t="str">
        <f>IF(OR(E296="",E296="!!!",F296="NEW"),"",INDEX(J$1:J295,SUMPRODUCT(MAX(ROW(E$1:E295)*(E296=E$1:E295)))))</f>
        <v> </v>
      </c>
      <c r="L296" s="27"/>
    </row>
    <row r="297" spans="1:12">
      <c r="A297" s="20" t="s">
        <v>224</v>
      </c>
      <c r="E297" s="22">
        <f>IF(D297="?OLD","!!!","")</f>
        <v/>
      </c>
      <c r="F297" s="23" t="str">
        <f>IF(OR(E297="",E297="!!!"),"",IF(NOT(ISNA(VLOOKUP(E297,E$1:E296,1,FALSE()))),"OLD",IF(AND(E297&lt;&gt;"",E297&lt;&gt;"!!!"),"NEW","")))</f>
        <v> </v>
      </c>
      <c r="G297" s="24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> </v>
      </c>
      <c r="H297" s="25" t="str">
        <f>IF(J297&lt;&gt;1,"",IF(I297="SBJ","CB","?"))</f>
        <v> </v>
      </c>
      <c r="I297" s="26" t="str">
        <f>IF(OR(E297="",E297="!!!",F297="NEW"),"",INDEX(B296:B$2,-1+SUMPRODUCT(MAX(ROW(E296:E$2)*(E297=E296:E$2)))))</f>
        <v> </v>
      </c>
      <c r="J297" s="26" t="str">
        <f>IF(OR(E297="",E297="!!!",F297="NEW"),"",COUNTBLANK(OFFSET(A$1,,,SUMPRODUCT(MAX(ROW(E$2:E297)*(E297=E$2:E297)))))-COUNTBLANK(OFFSET(A$1,,,SUMPRODUCT(MAX(ROW(E$1:E296)*(E2=E$1:E296))))))</f>
        <v> </v>
      </c>
      <c r="K297" s="26" t="str">
        <f>IF(OR(E297="",E297="!!!",F297="NEW"),"",INDEX(J$1:J296,SUMPRODUCT(MAX(ROW(E$1:E296)*(E297=E$1:E296)))))</f>
        <v> </v>
      </c>
      <c r="L297" s="27"/>
    </row>
    <row r="298" spans="1:12">
      <c r="A298" s="20" t="s">
        <v>306</v>
      </c>
      <c r="B298" s="21" t="s">
        <v>124</v>
      </c>
      <c r="C298" s="21" t="s">
        <v>147</v>
      </c>
      <c r="D298" s="21" t="s">
        <v>106</v>
      </c>
      <c r="E298" s="22">
        <f>IF(D298="?OLD","!!!","")</f>
        <v/>
      </c>
      <c r="F298" s="23" t="str">
        <f>IF(OR(E298="",E298="!!!"),"",IF(NOT(ISNA(VLOOKUP(E298,E$1:E297,1,FALSE()))),"OLD",IF(AND(E298&lt;&gt;"",E298&lt;&gt;"!!!"),"NEW","")))</f>
        <v> </v>
      </c>
      <c r="G298" s="24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25" t="str">
        <f>IF(J298&lt;&gt;1,"",IF(I298="SBJ","CB","?"))</f>
        <v> </v>
      </c>
      <c r="I298" s="26" t="str">
        <f>IF(OR(E298="",E298="!!!",F298="NEW"),"",INDEX(B297:B$2,-1+SUMPRODUCT(MAX(ROW(E297:E$2)*(E298=E297:E$2)))))</f>
        <v> </v>
      </c>
      <c r="J298" s="26" t="str">
        <f>IF(OR(E298="",E298="!!!",F298="NEW"),"",COUNTBLANK(OFFSET(A$1,,,SUMPRODUCT(MAX(ROW(E$2:E298)*(E298=E$2:E298)))))-COUNTBLANK(OFFSET(A$1,,,SUMPRODUCT(MAX(ROW(E$1:E297)*(E2=E$1:E297))))))</f>
        <v> </v>
      </c>
      <c r="K298" s="26" t="str">
        <f>IF(OR(E298="",E298="!!!",F298="NEW"),"",INDEX(J$1:J297,SUMPRODUCT(MAX(ROW(E$1:E297)*(E298=E$1:E297)))))</f>
        <v> </v>
      </c>
      <c r="L298" s="27"/>
    </row>
    <row r="299" spans="1:12">
      <c r="A299" s="20" t="s">
        <v>217</v>
      </c>
      <c r="E299" s="22">
        <f>IF(D299="?OLD","!!!","")</f>
        <v/>
      </c>
      <c r="F299" s="23" t="str">
        <f>IF(OR(E299="",E299="!!!"),"",IF(NOT(ISNA(VLOOKUP(E299,E$1:E298,1,FALSE()))),"OLD",IF(AND(E299&lt;&gt;"",E299&lt;&gt;"!!!"),"NEW","")))</f>
        <v> </v>
      </c>
      <c r="G299" s="24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> </v>
      </c>
      <c r="H299" s="25" t="str">
        <f>IF(J299&lt;&gt;1,"",IF(I299="SBJ","CB","?"))</f>
        <v> </v>
      </c>
      <c r="I299" s="26" t="str">
        <f>IF(OR(E299="",E299="!!!",F299="NEW"),"",INDEX(B298:B$2,-1+SUMPRODUCT(MAX(ROW(E298:E$2)*(E299=E298:E$2)))))</f>
        <v> </v>
      </c>
      <c r="J299" s="26" t="str">
        <f>IF(OR(E299="",E299="!!!",F299="NEW"),"",COUNTBLANK(OFFSET(A$1,,,SUMPRODUCT(MAX(ROW(E$2:E299)*(E299=E$2:E299)))))-COUNTBLANK(OFFSET(A$1,,,SUMPRODUCT(MAX(ROW(E$1:E298)*(E2=E$1:E298))))))</f>
        <v> </v>
      </c>
      <c r="K299" s="26" t="str">
        <f>IF(OR(E299="",E299="!!!",F299="NEW"),"",INDEX(J$1:J298,SUMPRODUCT(MAX(ROW(E$1:E298)*(E299=E$1:E298)))))</f>
        <v> </v>
      </c>
      <c r="L299" s="27"/>
    </row>
    <row r="300" spans="1:12">
      <c r="A300" s="20" t="s">
        <v>307</v>
      </c>
      <c r="B300" s="21" t="s">
        <v>125</v>
      </c>
      <c r="C300" s="21" t="s">
        <v>147</v>
      </c>
      <c r="D300" s="21" t="s">
        <v>106</v>
      </c>
      <c r="E300" s="22">
        <f>IF(D300="?OLD","!!!","")</f>
        <v/>
      </c>
      <c r="F300" s="23" t="str">
        <f>IF(OR(E300="",E300="!!!"),"",IF(NOT(ISNA(VLOOKUP(E300,E$1:E299,1,FALSE()))),"OLD",IF(AND(E300&lt;&gt;"",E300&lt;&gt;"!!!"),"NEW","")))</f>
        <v> </v>
      </c>
      <c r="G300" s="24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5" t="str">
        <f>IF(J300&lt;&gt;1,"",IF(I300="SBJ","CB","?"))</f>
        <v> </v>
      </c>
      <c r="I300" s="26" t="str">
        <f>IF(OR(E300="",E300="!!!",F300="NEW"),"",INDEX(B299:B$2,-1+SUMPRODUCT(MAX(ROW(E299:E$2)*(E300=E299:E$2)))))</f>
        <v> </v>
      </c>
      <c r="J300" s="26" t="str">
        <f>IF(OR(E300="",E300="!!!",F300="NEW"),"",COUNTBLANK(OFFSET(A$1,,,SUMPRODUCT(MAX(ROW(E$2:E300)*(E300=E$2:E300)))))-COUNTBLANK(OFFSET(A$1,,,SUMPRODUCT(MAX(ROW(E$1:E299)*(E2=E$1:E299))))))</f>
        <v> </v>
      </c>
      <c r="K300" s="26" t="str">
        <f>IF(OR(E300="",E300="!!!",F300="NEW"),"",INDEX(J$1:J299,SUMPRODUCT(MAX(ROW(E$1:E299)*(E300=E$1:E299)))))</f>
        <v> </v>
      </c>
      <c r="L300" s="27"/>
    </row>
    <row r="301" spans="1:12">
      <c r="A301" s="20" t="s">
        <v>308</v>
      </c>
      <c r="E301" s="22">
        <f>IF(D301="?OLD","!!!","")</f>
        <v/>
      </c>
      <c r="F301" s="23" t="str">
        <f>IF(OR(E301="",E301="!!!"),"",IF(NOT(ISNA(VLOOKUP(E301,E$1:E300,1,FALSE()))),"OLD",IF(AND(E301&lt;&gt;"",E301&lt;&gt;"!!!"),"NEW","")))</f>
        <v> </v>
      </c>
      <c r="G301" s="24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25" t="str">
        <f>IF(J301&lt;&gt;1,"",IF(I301="SBJ","CB","?"))</f>
        <v> </v>
      </c>
      <c r="I301" s="26" t="str">
        <f>IF(OR(E301="",E301="!!!",F301="NEW"),"",INDEX(B300:B$2,-1+SUMPRODUCT(MAX(ROW(E300:E$2)*(E301=E300:E$2)))))</f>
        <v> </v>
      </c>
      <c r="J301" s="26" t="str">
        <f>IF(OR(E301="",E301="!!!",F301="NEW"),"",COUNTBLANK(OFFSET(A$1,,,SUMPRODUCT(MAX(ROW(E$2:E301)*(E301=E$2:E301)))))-COUNTBLANK(OFFSET(A$1,,,SUMPRODUCT(MAX(ROW(E$1:E300)*(E2=E$1:E300))))))</f>
        <v> </v>
      </c>
      <c r="K301" s="26" t="str">
        <f>IF(OR(E301="",E301="!!!",F301="NEW"),"",INDEX(J$1:J300,SUMPRODUCT(MAX(ROW(E$1:E300)*(E301=E$1:E300)))))</f>
        <v> </v>
      </c>
      <c r="L301" s="27"/>
    </row>
    <row r="302" spans="1:12">
      <c r="A302" s="20" t="s">
        <v>114</v>
      </c>
      <c r="E302" s="22">
        <f>IF(D302="?OLD","!!!","")</f>
        <v/>
      </c>
      <c r="F302" s="23" t="str">
        <f>IF(OR(E302="",E302="!!!"),"",IF(NOT(ISNA(VLOOKUP(E302,E$1:E301,1,FALSE()))),"OLD",IF(AND(E302&lt;&gt;"",E302&lt;&gt;"!!!"),"NEW","")))</f>
        <v> </v>
      </c>
      <c r="G302" s="24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> </v>
      </c>
      <c r="H302" s="25" t="str">
        <f>IF(J302&lt;&gt;1,"",IF(I302="SBJ","CB","?"))</f>
        <v> </v>
      </c>
      <c r="I302" s="26" t="str">
        <f>IF(OR(E302="",E302="!!!",F302="NEW"),"",INDEX(B301:B$2,-1+SUMPRODUCT(MAX(ROW(E301:E$2)*(E302=E301:E$2)))))</f>
        <v> </v>
      </c>
      <c r="J302" s="26" t="str">
        <f>IF(OR(E302="",E302="!!!",F302="NEW"),"",COUNTBLANK(OFFSET(A$1,,,SUMPRODUCT(MAX(ROW(E$2:E302)*(E302=E$2:E302)))))-COUNTBLANK(OFFSET(A$1,,,SUMPRODUCT(MAX(ROW(E$1:E301)*(E2=E$1:E301))))))</f>
        <v> </v>
      </c>
      <c r="K302" s="26" t="str">
        <f>IF(OR(E302="",E302="!!!",F302="NEW"),"",INDEX(J$1:J301,SUMPRODUCT(MAX(ROW(E$1:E301)*(E302=E$1:E301)))))</f>
        <v> </v>
      </c>
      <c r="L302" s="27"/>
    </row>
    <row r="303" spans="1:12">
      <c r="A303" s="20" t="s">
        <v>309</v>
      </c>
      <c r="E303" s="22">
        <f>IF(D303="?OLD","!!!","")</f>
        <v/>
      </c>
      <c r="F303" s="23" t="str">
        <f>IF(OR(E303="",E303="!!!"),"",IF(NOT(ISNA(VLOOKUP(E303,E$1:E302,1,FALSE()))),"OLD",IF(AND(E303&lt;&gt;"",E303&lt;&gt;"!!!"),"NEW","")))</f>
        <v> </v>
      </c>
      <c r="G303" s="24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5" t="str">
        <f>IF(J303&lt;&gt;1,"",IF(I303="SBJ","CB","?"))</f>
        <v> </v>
      </c>
      <c r="I303" s="26" t="str">
        <f>IF(OR(E303="",E303="!!!",F303="NEW"),"",INDEX(B302:B$2,-1+SUMPRODUCT(MAX(ROW(E302:E$2)*(E303=E302:E$2)))))</f>
        <v> </v>
      </c>
      <c r="J303" s="26" t="str">
        <f>IF(OR(E303="",E303="!!!",F303="NEW"),"",COUNTBLANK(OFFSET(A$1,,,SUMPRODUCT(MAX(ROW(E$2:E303)*(E303=E$2:E303)))))-COUNTBLANK(OFFSET(A$1,,,SUMPRODUCT(MAX(ROW(E$1:E302)*(E2=E$1:E302))))))</f>
        <v> </v>
      </c>
      <c r="K303" s="26" t="str">
        <f>IF(OR(E303="",E303="!!!",F303="NEW"),"",INDEX(J$1:J302,SUMPRODUCT(MAX(ROW(E$1:E302)*(E303=E$1:E302)))))</f>
        <v> </v>
      </c>
      <c r="L303" s="27"/>
    </row>
    <row r="304" spans="1:12">
      <c r="A304" s="20" t="s">
        <v>310</v>
      </c>
      <c r="B304" s="21" t="s">
        <v>187</v>
      </c>
      <c r="C304" s="21" t="s">
        <v>130</v>
      </c>
      <c r="E304" s="22">
        <f>IF(D304="?OLD","!!!","")</f>
        <v/>
      </c>
      <c r="F304" s="23" t="str">
        <f>IF(OR(E304="",E304="!!!"),"",IF(NOT(ISNA(VLOOKUP(E304,E$1:E303,1,FALSE()))),"OLD",IF(AND(E304&lt;&gt;"",E304&lt;&gt;"!!!"),"NEW","")))</f>
        <v> </v>
      </c>
      <c r="G304" s="24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5" t="str">
        <f>IF(J304&lt;&gt;1,"",IF(I304="SBJ","CB","?"))</f>
        <v> </v>
      </c>
      <c r="I304" s="26" t="str">
        <f>IF(OR(E304="",E304="!!!",F304="NEW"),"",INDEX(B303:B$2,-1+SUMPRODUCT(MAX(ROW(E303:E$2)*(E304=E303:E$2)))))</f>
        <v> </v>
      </c>
      <c r="J304" s="26" t="str">
        <f>IF(OR(E304="",E304="!!!",F304="NEW"),"",COUNTBLANK(OFFSET(A$1,,,SUMPRODUCT(MAX(ROW(E$2:E304)*(E304=E$2:E304)))))-COUNTBLANK(OFFSET(A$1,,,SUMPRODUCT(MAX(ROW(E$1:E303)*(E2=E$1:E303))))))</f>
        <v> </v>
      </c>
      <c r="K304" s="26" t="str">
        <f>IF(OR(E304="",E304="!!!",F304="NEW"),"",INDEX(J$1:J303,SUMPRODUCT(MAX(ROW(E$1:E303)*(E304=E$1:E303)))))</f>
        <v> </v>
      </c>
      <c r="L304" s="27"/>
    </row>
    <row r="305" spans="1:12">
      <c r="A305" s="20" t="s">
        <v>114</v>
      </c>
      <c r="E305" s="22">
        <f>IF(D305="?OLD","!!!","")</f>
        <v/>
      </c>
      <c r="F305" s="23" t="str">
        <f>IF(OR(E305="",E305="!!!"),"",IF(NOT(ISNA(VLOOKUP(E305,E$1:E304,1,FALSE()))),"OLD",IF(AND(E305&lt;&gt;"",E305&lt;&gt;"!!!"),"NEW","")))</f>
        <v> </v>
      </c>
      <c r="G305" s="24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5" t="str">
        <f>IF(J305&lt;&gt;1,"",IF(I305="SBJ","CB","?"))</f>
        <v> </v>
      </c>
      <c r="I305" s="26" t="str">
        <f>IF(OR(E305="",E305="!!!",F305="NEW"),"",INDEX(B304:B$2,-1+SUMPRODUCT(MAX(ROW(E304:E$2)*(E305=E304:E$2)))))</f>
        <v> </v>
      </c>
      <c r="J305" s="26" t="str">
        <f>IF(OR(E305="",E305="!!!",F305="NEW"),"",COUNTBLANK(OFFSET(A$1,,,SUMPRODUCT(MAX(ROW(E$2:E305)*(E305=E$2:E305)))))-COUNTBLANK(OFFSET(A$1,,,SUMPRODUCT(MAX(ROW(E$1:E304)*(E2=E$1:E304))))))</f>
        <v> </v>
      </c>
      <c r="K305" s="26" t="str">
        <f>IF(OR(E305="",E305="!!!",F305="NEW"),"",INDEX(J$1:J304,SUMPRODUCT(MAX(ROW(E$1:E304)*(E305=E$1:E304)))))</f>
        <v> </v>
      </c>
      <c r="L305" s="27"/>
    </row>
    <row r="306" spans="1:12">
      <c r="A306" s="20" t="s">
        <v>311</v>
      </c>
      <c r="B306" s="21" t="s">
        <v>125</v>
      </c>
      <c r="C306" s="21" t="s">
        <v>130</v>
      </c>
      <c r="E306" s="22">
        <f>IF(D306="?OLD","!!!","")</f>
        <v/>
      </c>
      <c r="F306" s="23" t="str">
        <f>IF(OR(E306="",E306="!!!"),"",IF(NOT(ISNA(VLOOKUP(E306,E$1:E305,1,FALSE()))),"OLD",IF(AND(E306&lt;&gt;"",E306&lt;&gt;"!!!"),"NEW","")))</f>
        <v> </v>
      </c>
      <c r="G306" s="24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5" t="str">
        <f>IF(J306&lt;&gt;1,"",IF(I306="SBJ","CB","?"))</f>
        <v> </v>
      </c>
      <c r="I306" s="26" t="str">
        <f>IF(OR(E306="",E306="!!!",F306="NEW"),"",INDEX(B305:B$2,-1+SUMPRODUCT(MAX(ROW(E305:E$2)*(E306=E305:E$2)))))</f>
        <v> </v>
      </c>
      <c r="J306" s="26" t="str">
        <f>IF(OR(E306="",E306="!!!",F306="NEW"),"",COUNTBLANK(OFFSET(A$1,,,SUMPRODUCT(MAX(ROW(E$2:E306)*(E306=E$2:E306)))))-COUNTBLANK(OFFSET(A$1,,,SUMPRODUCT(MAX(ROW(E$1:E305)*(E2=E$1:E305))))))</f>
        <v> </v>
      </c>
      <c r="K306" s="26" t="str">
        <f>IF(OR(E306="",E306="!!!",F306="NEW"),"",INDEX(J$1:J305,SUMPRODUCT(MAX(ROW(E$1:E305)*(E306=E$1:E305)))))</f>
        <v> </v>
      </c>
      <c r="L306" s="27"/>
    </row>
    <row r="307" spans="1:12">
      <c r="A307" s="20" t="s">
        <v>135</v>
      </c>
      <c r="E307" s="22">
        <f>IF(D307="?OLD","!!!","")</f>
        <v/>
      </c>
      <c r="F307" s="23" t="str">
        <f>IF(OR(E307="",E307="!!!"),"",IF(NOT(ISNA(VLOOKUP(E307,E$1:E306,1,FALSE()))),"OLD",IF(AND(E307&lt;&gt;"",E307&lt;&gt;"!!!"),"NEW","")))</f>
        <v> </v>
      </c>
      <c r="G307" s="24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5" t="str">
        <f>IF(J307&lt;&gt;1,"",IF(I307="SBJ","CB","?"))</f>
        <v> </v>
      </c>
      <c r="I307" s="26" t="str">
        <f>IF(OR(E307="",E307="!!!",F307="NEW"),"",INDEX(B306:B$2,-1+SUMPRODUCT(MAX(ROW(E306:E$2)*(E307=E306:E$2)))))</f>
        <v> </v>
      </c>
      <c r="J307" s="26" t="str">
        <f>IF(OR(E307="",E307="!!!",F307="NEW"),"",COUNTBLANK(OFFSET(A$1,,,SUMPRODUCT(MAX(ROW(E$2:E307)*(E307=E$2:E307)))))-COUNTBLANK(OFFSET(A$1,,,SUMPRODUCT(MAX(ROW(E$1:E306)*(E2=E$1:E306))))))</f>
        <v> </v>
      </c>
      <c r="K307" s="26" t="str">
        <f>IF(OR(E307="",E307="!!!",F307="NEW"),"",INDEX(J$1:J306,SUMPRODUCT(MAX(ROW(E$1:E306)*(E307=E$1:E306)))))</f>
        <v> </v>
      </c>
      <c r="L307" s="27"/>
    </row>
    <row r="308" spans="1:12">
      <c r="A308" s="20"/>
    </row>
    <row r="309" spans="1:12">
      <c r="A309" s="20" t="s">
        <v>312</v>
      </c>
    </row>
    <row r="310" spans="1:12">
      <c r="A310" s="20" t="s">
        <v>313</v>
      </c>
      <c r="E310" s="22">
        <f>IF(D310="?OLD","!!!","")</f>
        <v/>
      </c>
      <c r="F310" s="23" t="str">
        <f>IF(OR(E310="",E310="!!!"),"",IF(NOT(ISNA(VLOOKUP(E310,E$1:E309,1,FALSE()))),"OLD",IF(AND(E310&lt;&gt;"",E310&lt;&gt;"!!!"),"NEW","")))</f>
        <v> </v>
      </c>
      <c r="G310" s="24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25" t="str">
        <f>IF(J310&lt;&gt;1,"",IF(I310="SBJ","CB","?"))</f>
        <v> </v>
      </c>
      <c r="I310" s="26" t="str">
        <f>IF(OR(E310="",E310="!!!",F310="NEW"),"",INDEX(B309:B$2,-1+SUMPRODUCT(MAX(ROW(E309:E$2)*(E310=E309:E$2)))))</f>
        <v> </v>
      </c>
      <c r="J310" s="26" t="str">
        <f>IF(OR(E310="",E310="!!!",F310="NEW"),"",COUNTBLANK(OFFSET(A$1,,,SUMPRODUCT(MAX(ROW(E$2:E310)*(E310=E$2:E310)))))-COUNTBLANK(OFFSET(A$1,,,SUMPRODUCT(MAX(ROW(E$1:E309)*(E2=E$1:E309))))))</f>
        <v> </v>
      </c>
      <c r="K310" s="26" t="str">
        <f>IF(OR(E310="",E310="!!!",F310="NEW"),"",INDEX(J$1:J309,SUMPRODUCT(MAX(ROW(E$1:E309)*(E310=E$1:E309)))))</f>
        <v> </v>
      </c>
      <c r="L310" s="27"/>
    </row>
    <row r="311" spans="1:12">
      <c r="A311" s="20" t="s">
        <v>314</v>
      </c>
      <c r="E311" s="22">
        <f>IF(D311="?OLD","!!!","")</f>
        <v/>
      </c>
      <c r="F311" s="23" t="str">
        <f>IF(OR(E311="",E311="!!!"),"",IF(NOT(ISNA(VLOOKUP(E311,E$1:E310,1,FALSE()))),"OLD",IF(AND(E311&lt;&gt;"",E311&lt;&gt;"!!!"),"NEW","")))</f>
        <v> </v>
      </c>
      <c r="G311" s="24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> </v>
      </c>
      <c r="H311" s="25" t="str">
        <f>IF(J311&lt;&gt;1,"",IF(I311="SBJ","CB","?"))</f>
        <v> </v>
      </c>
      <c r="I311" s="26" t="str">
        <f>IF(OR(E311="",E311="!!!",F311="NEW"),"",INDEX(B310:B$2,-1+SUMPRODUCT(MAX(ROW(E310:E$2)*(E311=E310:E$2)))))</f>
        <v> </v>
      </c>
      <c r="J311" s="26" t="str">
        <f>IF(OR(E311="",E311="!!!",F311="NEW"),"",COUNTBLANK(OFFSET(A$1,,,SUMPRODUCT(MAX(ROW(E$2:E311)*(E311=E$2:E311)))))-COUNTBLANK(OFFSET(A$1,,,SUMPRODUCT(MAX(ROW(E$1:E310)*(E2=E$1:E310))))))</f>
        <v> </v>
      </c>
      <c r="K311" s="26" t="str">
        <f>IF(OR(E311="",E311="!!!",F311="NEW"),"",INDEX(J$1:J310,SUMPRODUCT(MAX(ROW(E$1:E310)*(E311=E$1:E310)))))</f>
        <v> </v>
      </c>
      <c r="L311" s="27"/>
    </row>
    <row r="312" spans="1:12">
      <c r="A312" s="20" t="s">
        <v>116</v>
      </c>
      <c r="E312" s="22">
        <f>IF(D312="?OLD","!!!","")</f>
        <v/>
      </c>
      <c r="F312" s="23" t="str">
        <f>IF(OR(E312="",E312="!!!"),"",IF(NOT(ISNA(VLOOKUP(E312,E$1:E311,1,FALSE()))),"OLD",IF(AND(E312&lt;&gt;"",E312&lt;&gt;"!!!"),"NEW","")))</f>
        <v> </v>
      </c>
      <c r="G312" s="24" t="str">
        <f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> </v>
      </c>
      <c r="H312" s="25" t="str">
        <f>IF(J312&lt;&gt;1,"",IF(I312="SBJ","CB","?"))</f>
        <v> </v>
      </c>
      <c r="I312" s="26" t="str">
        <f>IF(OR(E312="",E312="!!!",F312="NEW"),"",INDEX(B311:B$2,-1+SUMPRODUCT(MAX(ROW(E311:E$2)*(E312=E311:E$2)))))</f>
        <v> </v>
      </c>
      <c r="J312" s="26" t="str">
        <f>IF(OR(E312="",E312="!!!",F312="NEW"),"",COUNTBLANK(OFFSET(A$1,,,SUMPRODUCT(MAX(ROW(E$2:E312)*(E312=E$2:E312)))))-COUNTBLANK(OFFSET(A$1,,,SUMPRODUCT(MAX(ROW(E$1:E311)*(E2=E$1:E311))))))</f>
        <v> </v>
      </c>
      <c r="K312" s="26" t="str">
        <f>IF(OR(E312="",E312="!!!",F312="NEW"),"",INDEX(J$1:J311,SUMPRODUCT(MAX(ROW(E$1:E311)*(E312=E$1:E311)))))</f>
        <v> </v>
      </c>
      <c r="L312" s="27"/>
    </row>
    <row r="313" spans="1:12">
      <c r="A313" s="20" t="s">
        <v>228</v>
      </c>
      <c r="E313" s="22">
        <f>IF(D313="?OLD","!!!","")</f>
        <v/>
      </c>
      <c r="F313" s="23" t="str">
        <f>IF(OR(E313="",E313="!!!"),"",IF(NOT(ISNA(VLOOKUP(E313,E$1:E312,1,FALSE()))),"OLD",IF(AND(E313&lt;&gt;"",E313&lt;&gt;"!!!"),"NEW","")))</f>
        <v> </v>
      </c>
      <c r="G313" s="24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> </v>
      </c>
      <c r="H313" s="25" t="str">
        <f>IF(J313&lt;&gt;1,"",IF(I313="SBJ","CB","?"))</f>
        <v> </v>
      </c>
      <c r="I313" s="26" t="str">
        <f>IF(OR(E313="",E313="!!!",F313="NEW"),"",INDEX(B312:B$2,-1+SUMPRODUCT(MAX(ROW(E312:E$2)*(E313=E312:E$2)))))</f>
        <v> </v>
      </c>
      <c r="J313" s="26" t="str">
        <f>IF(OR(E313="",E313="!!!",F313="NEW"),"",COUNTBLANK(OFFSET(A$1,,,SUMPRODUCT(MAX(ROW(E$2:E313)*(E313=E$2:E313)))))-COUNTBLANK(OFFSET(A$1,,,SUMPRODUCT(MAX(ROW(E$1:E312)*(E2=E$1:E312))))))</f>
        <v> </v>
      </c>
      <c r="K313" s="26" t="str">
        <f>IF(OR(E313="",E313="!!!",F313="NEW"),"",INDEX(J$1:J312,SUMPRODUCT(MAX(ROW(E$1:E312)*(E313=E$1:E312)))))</f>
        <v> </v>
      </c>
      <c r="L313" s="27"/>
    </row>
    <row r="314" spans="1:12">
      <c r="A314" s="20" t="s">
        <v>315</v>
      </c>
      <c r="E314" s="22">
        <f>IF(D314="?OLD","!!!","")</f>
        <v/>
      </c>
      <c r="F314" s="23" t="str">
        <f>IF(OR(E314="",E314="!!!"),"",IF(NOT(ISNA(VLOOKUP(E314,E$1:E313,1,FALSE()))),"OLD",IF(AND(E314&lt;&gt;"",E314&lt;&gt;"!!!"),"NEW","")))</f>
        <v> </v>
      </c>
      <c r="G314" s="24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5" t="str">
        <f>IF(J314&lt;&gt;1,"",IF(I314="SBJ","CB","?"))</f>
        <v> </v>
      </c>
      <c r="I314" s="26" t="str">
        <f>IF(OR(E314="",E314="!!!",F314="NEW"),"",INDEX(B313:B$2,-1+SUMPRODUCT(MAX(ROW(E313:E$2)*(E314=E313:E$2)))))</f>
        <v> </v>
      </c>
      <c r="J314" s="26" t="str">
        <f>IF(OR(E314="",E314="!!!",F314="NEW"),"",COUNTBLANK(OFFSET(A$1,,,SUMPRODUCT(MAX(ROW(E$2:E314)*(E314=E$2:E314)))))-COUNTBLANK(OFFSET(A$1,,,SUMPRODUCT(MAX(ROW(E$1:E313)*(E2=E$1:E313))))))</f>
        <v> </v>
      </c>
      <c r="K314" s="26" t="str">
        <f>IF(OR(E314="",E314="!!!",F314="NEW"),"",INDEX(J$1:J313,SUMPRODUCT(MAX(ROW(E$1:E313)*(E314=E$1:E313)))))</f>
        <v> </v>
      </c>
      <c r="L314" s="27"/>
    </row>
    <row r="315" spans="1:12">
      <c r="A315" s="20" t="s">
        <v>224</v>
      </c>
      <c r="E315" s="22">
        <f>IF(D315="?OLD","!!!","")</f>
        <v/>
      </c>
      <c r="F315" s="23" t="str">
        <f>IF(OR(E315="",E315="!!!"),"",IF(NOT(ISNA(VLOOKUP(E315,E$1:E314,1,FALSE()))),"OLD",IF(AND(E315&lt;&gt;"",E315&lt;&gt;"!!!"),"NEW","")))</f>
        <v> </v>
      </c>
      <c r="G315" s="24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5" t="str">
        <f>IF(J315&lt;&gt;1,"",IF(I315="SBJ","CB","?"))</f>
        <v> </v>
      </c>
      <c r="I315" s="26" t="str">
        <f>IF(OR(E315="",E315="!!!",F315="NEW"),"",INDEX(B314:B$2,-1+SUMPRODUCT(MAX(ROW(E314:E$2)*(E315=E314:E$2)))))</f>
        <v> </v>
      </c>
      <c r="J315" s="26" t="str">
        <f>IF(OR(E315="",E315="!!!",F315="NEW"),"",COUNTBLANK(OFFSET(A$1,,,SUMPRODUCT(MAX(ROW(E$2:E315)*(E315=E$2:E315)))))-COUNTBLANK(OFFSET(A$1,,,SUMPRODUCT(MAX(ROW(E$1:E314)*(E2=E$1:E314))))))</f>
        <v> </v>
      </c>
      <c r="K315" s="26" t="str">
        <f>IF(OR(E315="",E315="!!!",F315="NEW"),"",INDEX(J$1:J314,SUMPRODUCT(MAX(ROW(E$1:E314)*(E315=E$1:E314)))))</f>
        <v> </v>
      </c>
      <c r="L315" s="27"/>
    </row>
    <row r="316" spans="1:12">
      <c r="A316" s="20" t="s">
        <v>316</v>
      </c>
      <c r="B316" s="21" t="s">
        <v>157</v>
      </c>
      <c r="C316" s="21" t="s">
        <v>147</v>
      </c>
      <c r="D316" s="21" t="s">
        <v>106</v>
      </c>
      <c r="E316" s="22">
        <f>IF(D316="?OLD","!!!","")</f>
        <v/>
      </c>
      <c r="F316" s="23" t="str">
        <f>IF(OR(E316="",E316="!!!"),"",IF(NOT(ISNA(VLOOKUP(E316,E$1:E315,1,FALSE()))),"OLD",IF(AND(E316&lt;&gt;"",E316&lt;&gt;"!!!"),"NEW","")))</f>
        <v> </v>
      </c>
      <c r="G316" s="24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25" t="str">
        <f>IF(J316&lt;&gt;1,"",IF(I316="SBJ","CB","?"))</f>
        <v> </v>
      </c>
      <c r="I316" s="26" t="str">
        <f>IF(OR(E316="",E316="!!!",F316="NEW"),"",INDEX(B315:B$2,-1+SUMPRODUCT(MAX(ROW(E315:E$2)*(E316=E315:E$2)))))</f>
        <v> </v>
      </c>
      <c r="J316" s="26" t="str">
        <f>IF(OR(E316="",E316="!!!",F316="NEW"),"",COUNTBLANK(OFFSET(A$1,,,SUMPRODUCT(MAX(ROW(E$2:E316)*(E316=E$2:E316)))))-COUNTBLANK(OFFSET(A$1,,,SUMPRODUCT(MAX(ROW(E$1:E315)*(E2=E$1:E315))))))</f>
        <v> </v>
      </c>
      <c r="K316" s="26" t="str">
        <f>IF(OR(E316="",E316="!!!",F316="NEW"),"",INDEX(J$1:J315,SUMPRODUCT(MAX(ROW(E$1:E315)*(E316=E$1:E315)))))</f>
        <v> </v>
      </c>
      <c r="L316" s="27"/>
    </row>
    <row r="317" spans="1:12">
      <c r="A317" s="20" t="s">
        <v>138</v>
      </c>
      <c r="E317" s="22">
        <f>IF(D317="?OLD","!!!","")</f>
        <v/>
      </c>
      <c r="F317" s="23" t="str">
        <f>IF(OR(E317="",E317="!!!"),"",IF(NOT(ISNA(VLOOKUP(E317,E$1:E316,1,FALSE()))),"OLD",IF(AND(E317&lt;&gt;"",E317&lt;&gt;"!!!"),"NEW","")))</f>
        <v> </v>
      </c>
      <c r="G317" s="24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> </v>
      </c>
      <c r="H317" s="25" t="str">
        <f>IF(J317&lt;&gt;1,"",IF(I317="SBJ","CB","?"))</f>
        <v> </v>
      </c>
      <c r="I317" s="26" t="str">
        <f>IF(OR(E317="",E317="!!!",F317="NEW"),"",INDEX(B316:B$2,-1+SUMPRODUCT(MAX(ROW(E316:E$2)*(E317=E316:E$2)))))</f>
        <v> </v>
      </c>
      <c r="J317" s="26" t="str">
        <f>IF(OR(E317="",E317="!!!",F317="NEW"),"",COUNTBLANK(OFFSET(A$1,,,SUMPRODUCT(MAX(ROW(E$2:E317)*(E317=E$2:E317)))))-COUNTBLANK(OFFSET(A$1,,,SUMPRODUCT(MAX(ROW(E$1:E316)*(E2=E$1:E316))))))</f>
        <v> </v>
      </c>
      <c r="K317" s="26" t="str">
        <f>IF(OR(E317="",E317="!!!",F317="NEW"),"",INDEX(J$1:J316,SUMPRODUCT(MAX(ROW(E$1:E316)*(E317=E$1:E316)))))</f>
        <v> </v>
      </c>
      <c r="L317" s="27"/>
    </row>
    <row r="318" spans="1:12">
      <c r="A318" s="20" t="s">
        <v>116</v>
      </c>
      <c r="E318" s="22">
        <f>IF(D318="?OLD","!!!","")</f>
        <v/>
      </c>
      <c r="F318" s="23" t="str">
        <f>IF(OR(E318="",E318="!!!"),"",IF(NOT(ISNA(VLOOKUP(E318,E$1:E317,1,FALSE()))),"OLD",IF(AND(E318&lt;&gt;"",E318&lt;&gt;"!!!"),"NEW","")))</f>
        <v> </v>
      </c>
      <c r="G318" s="24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5" t="str">
        <f>IF(J318&lt;&gt;1,"",IF(I318="SBJ","CB","?"))</f>
        <v> </v>
      </c>
      <c r="I318" s="26" t="str">
        <f>IF(OR(E318="",E318="!!!",F318="NEW"),"",INDEX(B317:B$2,-1+SUMPRODUCT(MAX(ROW(E317:E$2)*(E318=E317:E$2)))))</f>
        <v> </v>
      </c>
      <c r="J318" s="26" t="str">
        <f>IF(OR(E318="",E318="!!!",F318="NEW"),"",COUNTBLANK(OFFSET(A$1,,,SUMPRODUCT(MAX(ROW(E$2:E318)*(E318=E$2:E318)))))-COUNTBLANK(OFFSET(A$1,,,SUMPRODUCT(MAX(ROW(E$1:E317)*(E2=E$1:E317))))))</f>
        <v> </v>
      </c>
      <c r="K318" s="26" t="str">
        <f>IF(OR(E318="",E318="!!!",F318="NEW"),"",INDEX(J$1:J317,SUMPRODUCT(MAX(ROW(E$1:E317)*(E318=E$1:E317)))))</f>
        <v> </v>
      </c>
      <c r="L318" s="27"/>
    </row>
    <row r="319" spans="1:12">
      <c r="A319" s="20" t="s">
        <v>285</v>
      </c>
      <c r="E319" s="22">
        <f>IF(D319="?OLD","!!!","")</f>
        <v/>
      </c>
      <c r="F319" s="23" t="str">
        <f>IF(OR(E319="",E319="!!!"),"",IF(NOT(ISNA(VLOOKUP(E319,E$1:E318,1,FALSE()))),"OLD",IF(AND(E319&lt;&gt;"",E319&lt;&gt;"!!!"),"NEW","")))</f>
        <v> </v>
      </c>
      <c r="G319" s="24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5" t="str">
        <f>IF(J319&lt;&gt;1,"",IF(I319="SBJ","CB","?"))</f>
        <v> </v>
      </c>
      <c r="I319" s="26" t="str">
        <f>IF(OR(E319="",E319="!!!",F319="NEW"),"",INDEX(B318:B$2,-1+SUMPRODUCT(MAX(ROW(E318:E$2)*(E319=E318:E$2)))))</f>
        <v> </v>
      </c>
      <c r="J319" s="26" t="str">
        <f>IF(OR(E319="",E319="!!!",F319="NEW"),"",COUNTBLANK(OFFSET(A$1,,,SUMPRODUCT(MAX(ROW(E$2:E319)*(E319=E$2:E319)))))-COUNTBLANK(OFFSET(A$1,,,SUMPRODUCT(MAX(ROW(E$1:E318)*(E2=E$1:E318))))))</f>
        <v> </v>
      </c>
      <c r="K319" s="26" t="str">
        <f>IF(OR(E319="",E319="!!!",F319="NEW"),"",INDEX(J$1:J318,SUMPRODUCT(MAX(ROW(E$1:E318)*(E319=E$1:E318)))))</f>
        <v> </v>
      </c>
      <c r="L319" s="27"/>
    </row>
    <row r="320" spans="1:12">
      <c r="A320" s="20" t="s">
        <v>217</v>
      </c>
      <c r="E320" s="22">
        <f>IF(D320="?OLD","!!!","")</f>
        <v/>
      </c>
      <c r="F320" s="23" t="str">
        <f>IF(OR(E320="",E320="!!!"),"",IF(NOT(ISNA(VLOOKUP(E320,E$1:E319,1,FALSE()))),"OLD",IF(AND(E320&lt;&gt;"",E320&lt;&gt;"!!!"),"NEW","")))</f>
        <v> </v>
      </c>
      <c r="G320" s="24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5" t="str">
        <f>IF(J320&lt;&gt;1,"",IF(I320="SBJ","CB","?"))</f>
        <v> </v>
      </c>
      <c r="I320" s="26" t="str">
        <f>IF(OR(E320="",E320="!!!",F320="NEW"),"",INDEX(B319:B$2,-1+SUMPRODUCT(MAX(ROW(E319:E$2)*(E320=E319:E$2)))))</f>
        <v> </v>
      </c>
      <c r="J320" s="26" t="str">
        <f>IF(OR(E320="",E320="!!!",F320="NEW"),"",COUNTBLANK(OFFSET(A$1,,,SUMPRODUCT(MAX(ROW(E$2:E320)*(E320=E$2:E320)))))-COUNTBLANK(OFFSET(A$1,,,SUMPRODUCT(MAX(ROW(E$1:E319)*(E2=E$1:E319))))))</f>
        <v> </v>
      </c>
      <c r="K320" s="26" t="str">
        <f>IF(OR(E320="",E320="!!!",F320="NEW"),"",INDEX(J$1:J319,SUMPRODUCT(MAX(ROW(E$1:E319)*(E320=E$1:E319)))))</f>
        <v> </v>
      </c>
      <c r="L320" s="27"/>
    </row>
    <row r="321" spans="1:12">
      <c r="A321" s="20" t="s">
        <v>260</v>
      </c>
      <c r="B321" s="21" t="s">
        <v>198</v>
      </c>
      <c r="C321" s="21" t="s">
        <v>147</v>
      </c>
      <c r="D321" s="21" t="s">
        <v>106</v>
      </c>
      <c r="E321" s="22">
        <f>IF(D321="?OLD","!!!","")</f>
        <v/>
      </c>
      <c r="F321" s="23" t="str">
        <f>IF(OR(E321="",E321="!!!"),"",IF(NOT(ISNA(VLOOKUP(E321,E$1:E320,1,FALSE()))),"OLD",IF(AND(E321&lt;&gt;"",E321&lt;&gt;"!!!"),"NEW","")))</f>
        <v> </v>
      </c>
      <c r="G321" s="24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5" t="str">
        <f>IF(J321&lt;&gt;1,"",IF(I321="SBJ","CB","?"))</f>
        <v> </v>
      </c>
      <c r="I321" s="26" t="str">
        <f>IF(OR(E321="",E321="!!!",F321="NEW"),"",INDEX(B320:B$2,-1+SUMPRODUCT(MAX(ROW(E320:E$2)*(E321=E320:E$2)))))</f>
        <v> </v>
      </c>
      <c r="J321" s="26" t="str">
        <f>IF(OR(E321="",E321="!!!",F321="NEW"),"",COUNTBLANK(OFFSET(A$1,,,SUMPRODUCT(MAX(ROW(E$2:E321)*(E321=E$2:E321)))))-COUNTBLANK(OFFSET(A$1,,,SUMPRODUCT(MAX(ROW(E$1:E320)*(E2=E$1:E320))))))</f>
        <v> </v>
      </c>
      <c r="K321" s="26" t="str">
        <f>IF(OR(E321="",E321="!!!",F321="NEW"),"",INDEX(J$1:J320,SUMPRODUCT(MAX(ROW(E$1:E320)*(E321=E$1:E320)))))</f>
        <v> </v>
      </c>
      <c r="L321" s="27"/>
    </row>
    <row r="322" spans="1:12">
      <c r="A322" s="20" t="s">
        <v>317</v>
      </c>
      <c r="E322" s="22">
        <f>IF(D322="?OLD","!!!","")</f>
        <v/>
      </c>
      <c r="F322" s="23" t="str">
        <f>IF(OR(E322="",E322="!!!"),"",IF(NOT(ISNA(VLOOKUP(E322,E$1:E321,1,FALSE()))),"OLD",IF(AND(E322&lt;&gt;"",E322&lt;&gt;"!!!"),"NEW","")))</f>
        <v> </v>
      </c>
      <c r="G322" s="24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25" t="str">
        <f>IF(J322&lt;&gt;1,"",IF(I322="SBJ","CB","?"))</f>
        <v> </v>
      </c>
      <c r="I322" s="26" t="str">
        <f>IF(OR(E322="",E322="!!!",F322="NEW"),"",INDEX(B321:B$2,-1+SUMPRODUCT(MAX(ROW(E321:E$2)*(E322=E321:E$2)))))</f>
        <v> </v>
      </c>
      <c r="J322" s="26" t="str">
        <f>IF(OR(E322="",E322="!!!",F322="NEW"),"",COUNTBLANK(OFFSET(A$1,,,SUMPRODUCT(MAX(ROW(E$2:E322)*(E322=E$2:E322)))))-COUNTBLANK(OFFSET(A$1,,,SUMPRODUCT(MAX(ROW(E$1:E321)*(E2=E$1:E321))))))</f>
        <v> </v>
      </c>
      <c r="K322" s="26" t="str">
        <f>IF(OR(E322="",E322="!!!",F322="NEW"),"",INDEX(J$1:J321,SUMPRODUCT(MAX(ROW(E$1:E321)*(E322=E$1:E321)))))</f>
        <v> </v>
      </c>
      <c r="L322" s="27"/>
    </row>
    <row r="323" spans="1:12">
      <c r="A323" s="20" t="s">
        <v>138</v>
      </c>
      <c r="E323" s="22">
        <f>IF(D323="?OLD","!!!","")</f>
        <v/>
      </c>
      <c r="F323" s="23" t="str">
        <f>IF(OR(E323="",E323="!!!"),"",IF(NOT(ISNA(VLOOKUP(E323,E$1:E322,1,FALSE()))),"OLD",IF(AND(E323&lt;&gt;"",E323&lt;&gt;"!!!"),"NEW","")))</f>
        <v> </v>
      </c>
      <c r="G323" s="24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> </v>
      </c>
      <c r="H323" s="25" t="str">
        <f>IF(J323&lt;&gt;1,"",IF(I323="SBJ","CB","?"))</f>
        <v> </v>
      </c>
      <c r="I323" s="26" t="str">
        <f>IF(OR(E323="",E323="!!!",F323="NEW"),"",INDEX(B322:B$2,-1+SUMPRODUCT(MAX(ROW(E322:E$2)*(E323=E322:E$2)))))</f>
        <v> </v>
      </c>
      <c r="J323" s="26" t="str">
        <f>IF(OR(E323="",E323="!!!",F323="NEW"),"",COUNTBLANK(OFFSET(A$1,,,SUMPRODUCT(MAX(ROW(E$2:E323)*(E323=E$2:E323)))))-COUNTBLANK(OFFSET(A$1,,,SUMPRODUCT(MAX(ROW(E$1:E322)*(E2=E$1:E322))))))</f>
        <v> </v>
      </c>
      <c r="K323" s="26" t="str">
        <f>IF(OR(E323="",E323="!!!",F323="NEW"),"",INDEX(J$1:J322,SUMPRODUCT(MAX(ROW(E$1:E322)*(E323=E$1:E322)))))</f>
        <v> </v>
      </c>
      <c r="L323" s="27"/>
    </row>
    <row r="324" spans="1:12">
      <c r="A324" s="20" t="s">
        <v>116</v>
      </c>
      <c r="E324" s="22">
        <f>IF(D324="?OLD","!!!","")</f>
        <v/>
      </c>
      <c r="F324" s="23" t="str">
        <f>IF(OR(E324="",E324="!!!"),"",IF(NOT(ISNA(VLOOKUP(E324,E$1:E323,1,FALSE()))),"OLD",IF(AND(E324&lt;&gt;"",E324&lt;&gt;"!!!"),"NEW","")))</f>
        <v> </v>
      </c>
      <c r="G324" s="24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> </v>
      </c>
      <c r="H324" s="25" t="str">
        <f>IF(J324&lt;&gt;1,"",IF(I324="SBJ","CB","?"))</f>
        <v> </v>
      </c>
      <c r="I324" s="26" t="str">
        <f>IF(OR(E324="",E324="!!!",F324="NEW"),"",INDEX(B323:B$2,-1+SUMPRODUCT(MAX(ROW(E323:E$2)*(E324=E323:E$2)))))</f>
        <v> </v>
      </c>
      <c r="J324" s="26" t="str">
        <f>IF(OR(E324="",E324="!!!",F324="NEW"),"",COUNTBLANK(OFFSET(A$1,,,SUMPRODUCT(MAX(ROW(E$2:E324)*(E324=E$2:E324)))))-COUNTBLANK(OFFSET(A$1,,,SUMPRODUCT(MAX(ROW(E$1:E323)*(E2=E$1:E323))))))</f>
        <v> </v>
      </c>
      <c r="K324" s="26" t="str">
        <f>IF(OR(E324="",E324="!!!",F324="NEW"),"",INDEX(J$1:J323,SUMPRODUCT(MAX(ROW(E$1:E323)*(E324=E$1:E323)))))</f>
        <v> </v>
      </c>
      <c r="L324" s="27"/>
    </row>
    <row r="325" spans="1:12">
      <c r="A325" s="20" t="s">
        <v>220</v>
      </c>
      <c r="E325" s="22">
        <f>IF(D325="?OLD","!!!","")</f>
        <v/>
      </c>
      <c r="F325" s="23" t="str">
        <f>IF(OR(E325="",E325="!!!"),"",IF(NOT(ISNA(VLOOKUP(E325,E$1:E324,1,FALSE()))),"OLD",IF(AND(E325&lt;&gt;"",E325&lt;&gt;"!!!"),"NEW","")))</f>
        <v> </v>
      </c>
      <c r="G325" s="24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> </v>
      </c>
      <c r="H325" s="25" t="str">
        <f>IF(J325&lt;&gt;1,"",IF(I325="SBJ","CB","?"))</f>
        <v> </v>
      </c>
      <c r="I325" s="26" t="str">
        <f>IF(OR(E325="",E325="!!!",F325="NEW"),"",INDEX(B324:B$2,-1+SUMPRODUCT(MAX(ROW(E324:E$2)*(E325=E324:E$2)))))</f>
        <v> </v>
      </c>
      <c r="J325" s="26" t="str">
        <f>IF(OR(E325="",E325="!!!",F325="NEW"),"",COUNTBLANK(OFFSET(A$1,,,SUMPRODUCT(MAX(ROW(E$2:E325)*(E325=E$2:E325)))))-COUNTBLANK(OFFSET(A$1,,,SUMPRODUCT(MAX(ROW(E$1:E324)*(E2=E$1:E324))))))</f>
        <v> </v>
      </c>
      <c r="K325" s="26" t="str">
        <f>IF(OR(E325="",E325="!!!",F325="NEW"),"",INDEX(J$1:J324,SUMPRODUCT(MAX(ROW(E$1:E324)*(E325=E$1:E324)))))</f>
        <v> </v>
      </c>
      <c r="L325" s="27"/>
    </row>
    <row r="326" spans="1:12">
      <c r="A326" s="20" t="s">
        <v>318</v>
      </c>
      <c r="B326" s="21" t="s">
        <v>139</v>
      </c>
      <c r="C326" s="21" t="s">
        <v>105</v>
      </c>
      <c r="D326" s="21" t="s">
        <v>106</v>
      </c>
      <c r="E326" s="22">
        <f>IF(D326="?OLD","!!!","")</f>
        <v/>
      </c>
      <c r="F326" s="23" t="str">
        <f>IF(OR(E326="",E326="!!!"),"",IF(NOT(ISNA(VLOOKUP(E326,E$1:E325,1,FALSE()))),"OLD",IF(AND(E326&lt;&gt;"",E326&lt;&gt;"!!!"),"NEW","")))</f>
        <v> </v>
      </c>
      <c r="G326" s="24" t="str">
        <f>IF(OR(E326="",E326="!!!"),"",IF(OR(J326=0,AND(J326=1,K326=1),AND(J326=1,I326="SBJ"),AND(J326=1,I326=0)),"?IN_FOCUS",IF(J326&lt;=2,"?ACTIVATED",IF(J326&lt;&gt;"","?FAMILIAR",IF(F326="NEW",IF(ISNA(VLOOKUP(E326,#REF!,1,FALSE())),"?TYPE_IDENTIFIABLE","?REFERENTIAL"),"_")))))</f>
        <v> </v>
      </c>
      <c r="H326" s="25" t="str">
        <f>IF(J326&lt;&gt;1,"",IF(I326="SBJ","CB","?"))</f>
        <v> </v>
      </c>
      <c r="I326" s="26" t="str">
        <f>IF(OR(E326="",E326="!!!",F326="NEW"),"",INDEX(B325:B$2,-1+SUMPRODUCT(MAX(ROW(E325:E$2)*(E326=E325:E$2)))))</f>
        <v> </v>
      </c>
      <c r="J326" s="26" t="str">
        <f>IF(OR(E326="",E326="!!!",F326="NEW"),"",COUNTBLANK(OFFSET(A$1,,,SUMPRODUCT(MAX(ROW(E$2:E326)*(E326=E$2:E326)))))-COUNTBLANK(OFFSET(A$1,,,SUMPRODUCT(MAX(ROW(E$1:E325)*(E2=E$1:E325))))))</f>
        <v> </v>
      </c>
      <c r="K326" s="26" t="str">
        <f>IF(OR(E326="",E326="!!!",F326="NEW"),"",INDEX(J$1:J325,SUMPRODUCT(MAX(ROW(E$1:E325)*(E326=E$1:E325)))))</f>
        <v> </v>
      </c>
      <c r="L326" s="27"/>
    </row>
    <row r="327" spans="1:12">
      <c r="A327" s="20" t="s">
        <v>224</v>
      </c>
      <c r="E327" s="22">
        <f>IF(D327="?OLD","!!!","")</f>
        <v/>
      </c>
      <c r="F327" s="23" t="str">
        <f>IF(OR(E327="",E327="!!!"),"",IF(NOT(ISNA(VLOOKUP(E327,E$1:E326,1,FALSE()))),"OLD",IF(AND(E327&lt;&gt;"",E327&lt;&gt;"!!!"),"NEW","")))</f>
        <v> </v>
      </c>
      <c r="G327" s="24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5" t="str">
        <f>IF(J327&lt;&gt;1,"",IF(I327="SBJ","CB","?"))</f>
        <v> </v>
      </c>
      <c r="I327" s="26" t="str">
        <f>IF(OR(E327="",E327="!!!",F327="NEW"),"",INDEX(B326:B$2,-1+SUMPRODUCT(MAX(ROW(E326:E$2)*(E327=E326:E$2)))))</f>
        <v> </v>
      </c>
      <c r="J327" s="26" t="str">
        <f>IF(OR(E327="",E327="!!!",F327="NEW"),"",COUNTBLANK(OFFSET(A$1,,,SUMPRODUCT(MAX(ROW(E$2:E327)*(E327=E$2:E327)))))-COUNTBLANK(OFFSET(A$1,,,SUMPRODUCT(MAX(ROW(E$1:E326)*(E2=E$1:E326))))))</f>
        <v> </v>
      </c>
      <c r="K327" s="26" t="str">
        <f>IF(OR(E327="",E327="!!!",F327="NEW"),"",INDEX(J$1:J326,SUMPRODUCT(MAX(ROW(E$1:E326)*(E327=E$1:E326)))))</f>
        <v> </v>
      </c>
      <c r="L327" s="27"/>
    </row>
    <row r="328" spans="1:12">
      <c r="A328" s="20" t="s">
        <v>269</v>
      </c>
      <c r="B328" s="21" t="s">
        <v>157</v>
      </c>
      <c r="C328" s="21" t="s">
        <v>147</v>
      </c>
      <c r="D328" s="21" t="s">
        <v>106</v>
      </c>
      <c r="E328" s="22">
        <f>IF(D328="?OLD","!!!","")</f>
        <v/>
      </c>
      <c r="F328" s="23" t="str">
        <f>IF(OR(E328="",E328="!!!"),"",IF(NOT(ISNA(VLOOKUP(E328,E$1:E327,1,FALSE()))),"OLD",IF(AND(E328&lt;&gt;"",E328&lt;&gt;"!!!"),"NEW","")))</f>
        <v> </v>
      </c>
      <c r="G328" s="24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5" t="str">
        <f>IF(J328&lt;&gt;1,"",IF(I328="SBJ","CB","?"))</f>
        <v> </v>
      </c>
      <c r="I328" s="26" t="str">
        <f>IF(OR(E328="",E328="!!!",F328="NEW"),"",INDEX(B327:B$2,-1+SUMPRODUCT(MAX(ROW(E327:E$2)*(E328=E327:E$2)))))</f>
        <v> </v>
      </c>
      <c r="J328" s="26" t="str">
        <f>IF(OR(E328="",E328="!!!",F328="NEW"),"",COUNTBLANK(OFFSET(A$1,,,SUMPRODUCT(MAX(ROW(E$2:E328)*(E328=E$2:E328)))))-COUNTBLANK(OFFSET(A$1,,,SUMPRODUCT(MAX(ROW(E$1:E327)*(E2=E$1:E327))))))</f>
        <v> </v>
      </c>
      <c r="K328" s="26" t="str">
        <f>IF(OR(E328="",E328="!!!",F328="NEW"),"",INDEX(J$1:J327,SUMPRODUCT(MAX(ROW(E$1:E327)*(E328=E$1:E327)))))</f>
        <v> </v>
      </c>
      <c r="L328" s="27"/>
    </row>
    <row r="329" spans="1:12">
      <c r="A329" s="20" t="s">
        <v>199</v>
      </c>
      <c r="E329" s="22">
        <f>IF(D329="?OLD","!!!","")</f>
        <v/>
      </c>
      <c r="F329" s="23" t="str">
        <f>IF(OR(E329="",E329="!!!"),"",IF(NOT(ISNA(VLOOKUP(E329,E$1:E328,1,FALSE()))),"OLD",IF(AND(E329&lt;&gt;"",E329&lt;&gt;"!!!"),"NEW","")))</f>
        <v> </v>
      </c>
      <c r="G329" s="24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5" t="str">
        <f>IF(J329&lt;&gt;1,"",IF(I329="SBJ","CB","?"))</f>
        <v> </v>
      </c>
      <c r="I329" s="26" t="str">
        <f>IF(OR(E329="",E329="!!!",F329="NEW"),"",INDEX(B328:B$2,-1+SUMPRODUCT(MAX(ROW(E328:E$2)*(E329=E328:E$2)))))</f>
        <v> </v>
      </c>
      <c r="J329" s="26" t="str">
        <f>IF(OR(E329="",E329="!!!",F329="NEW"),"",COUNTBLANK(OFFSET(A$1,,,SUMPRODUCT(MAX(ROW(E$2:E329)*(E329=E$2:E329)))))-COUNTBLANK(OFFSET(A$1,,,SUMPRODUCT(MAX(ROW(E$1:E328)*(E2=E$1:E328))))))</f>
        <v> </v>
      </c>
      <c r="K329" s="26" t="str">
        <f>IF(OR(E329="",E329="!!!",F329="NEW"),"",INDEX(J$1:J328,SUMPRODUCT(MAX(ROW(E$1:E328)*(E329=E$1:E328)))))</f>
        <v> </v>
      </c>
      <c r="L329" s="27"/>
    </row>
    <row r="330" spans="1:12">
      <c r="A330" s="20" t="s">
        <v>319</v>
      </c>
      <c r="E330" s="22">
        <f>IF(D330="?OLD","!!!","")</f>
        <v/>
      </c>
      <c r="F330" s="23" t="str">
        <f>IF(OR(E330="",E330="!!!"),"",IF(NOT(ISNA(VLOOKUP(E330,E$1:E329,1,FALSE()))),"OLD",IF(AND(E330&lt;&gt;"",E330&lt;&gt;"!!!"),"NEW","")))</f>
        <v> </v>
      </c>
      <c r="G330" s="24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5" t="str">
        <f>IF(J330&lt;&gt;1,"",IF(I330="SBJ","CB","?"))</f>
        <v> </v>
      </c>
      <c r="I330" s="26" t="str">
        <f>IF(OR(E330="",E330="!!!",F330="NEW"),"",INDEX(B329:B$2,-1+SUMPRODUCT(MAX(ROW(E329:E$2)*(E330=E329:E$2)))))</f>
        <v> </v>
      </c>
      <c r="J330" s="26" t="str">
        <f>IF(OR(E330="",E330="!!!",F330="NEW"),"",COUNTBLANK(OFFSET(A$1,,,SUMPRODUCT(MAX(ROW(E$2:E330)*(E330=E$2:E330)))))-COUNTBLANK(OFFSET(A$1,,,SUMPRODUCT(MAX(ROW(E$1:E329)*(E2=E$1:E329))))))</f>
        <v> </v>
      </c>
      <c r="K330" s="26" t="str">
        <f>IF(OR(E330="",E330="!!!",F330="NEW"),"",INDEX(J$1:J329,SUMPRODUCT(MAX(ROW(E$1:E329)*(E330=E$1:E329)))))</f>
        <v> </v>
      </c>
      <c r="L330" s="27"/>
    </row>
    <row r="331" spans="1:12">
      <c r="A331" s="20" t="s">
        <v>116</v>
      </c>
      <c r="E331" s="22">
        <f>IF(D331="?OLD","!!!","")</f>
        <v/>
      </c>
      <c r="F331" s="23" t="str">
        <f>IF(OR(E331="",E331="!!!"),"",IF(NOT(ISNA(VLOOKUP(E331,E$1:E330,1,FALSE()))),"OLD",IF(AND(E331&lt;&gt;"",E331&lt;&gt;"!!!"),"NEW","")))</f>
        <v> </v>
      </c>
      <c r="G331" s="24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5" t="str">
        <f>IF(J331&lt;&gt;1,"",IF(I331="SBJ","CB","?"))</f>
        <v> </v>
      </c>
      <c r="I331" s="26" t="str">
        <f>IF(OR(E331="",E331="!!!",F331="NEW"),"",INDEX(B330:B$2,-1+SUMPRODUCT(MAX(ROW(E330:E$2)*(E331=E330:E$2)))))</f>
        <v> </v>
      </c>
      <c r="J331" s="26" t="str">
        <f>IF(OR(E331="",E331="!!!",F331="NEW"),"",COUNTBLANK(OFFSET(A$1,,,SUMPRODUCT(MAX(ROW(E$2:E331)*(E331=E$2:E331)))))-COUNTBLANK(OFFSET(A$1,,,SUMPRODUCT(MAX(ROW(E$1:E330)*(E2=E$1:E330))))))</f>
        <v> </v>
      </c>
      <c r="K331" s="26" t="str">
        <f>IF(OR(E331="",E331="!!!",F331="NEW"),"",INDEX(J$1:J330,SUMPRODUCT(MAX(ROW(E$1:E330)*(E331=E$1:E330)))))</f>
        <v> </v>
      </c>
      <c r="L331" s="27"/>
    </row>
    <row r="332" spans="1:12">
      <c r="A332" s="20" t="s">
        <v>114</v>
      </c>
      <c r="E332" s="22">
        <f>IF(D332="?OLD","!!!","")</f>
        <v/>
      </c>
      <c r="F332" s="23" t="str">
        <f>IF(OR(E332="",E332="!!!"),"",IF(NOT(ISNA(VLOOKUP(E332,E$1:E331,1,FALSE()))),"OLD",IF(AND(E332&lt;&gt;"",E332&lt;&gt;"!!!"),"NEW","")))</f>
        <v> </v>
      </c>
      <c r="G332" s="24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5" t="str">
        <f>IF(J332&lt;&gt;1,"",IF(I332="SBJ","CB","?"))</f>
        <v> </v>
      </c>
      <c r="I332" s="26" t="str">
        <f>IF(OR(E332="",E332="!!!",F332="NEW"),"",INDEX(B331:B$2,-1+SUMPRODUCT(MAX(ROW(E331:E$2)*(E332=E331:E$2)))))</f>
        <v> </v>
      </c>
      <c r="J332" s="26" t="str">
        <f>IF(OR(E332="",E332="!!!",F332="NEW"),"",COUNTBLANK(OFFSET(A$1,,,SUMPRODUCT(MAX(ROW(E$2:E332)*(E332=E$2:E332)))))-COUNTBLANK(OFFSET(A$1,,,SUMPRODUCT(MAX(ROW(E$1:E331)*(E2=E$1:E331))))))</f>
        <v> </v>
      </c>
      <c r="K332" s="26" t="str">
        <f>IF(OR(E332="",E332="!!!",F332="NEW"),"",INDEX(J$1:J331,SUMPRODUCT(MAX(ROW(E$1:E331)*(E332=E$1:E331)))))</f>
        <v> </v>
      </c>
      <c r="L332" s="27"/>
    </row>
    <row r="333" spans="1:12">
      <c r="A333" s="20" t="s">
        <v>320</v>
      </c>
      <c r="B333" s="21" t="s">
        <v>104</v>
      </c>
      <c r="C333" s="21" t="s">
        <v>162</v>
      </c>
      <c r="D333" s="21" t="s">
        <v>106</v>
      </c>
      <c r="E333" s="22">
        <f>IF(D333="?OLD","!!!","")</f>
        <v/>
      </c>
      <c r="F333" s="23" t="str">
        <f>IF(OR(E333="",E333="!!!"),"",IF(NOT(ISNA(VLOOKUP(E333,E$1:E332,1,FALSE()))),"OLD",IF(AND(E333&lt;&gt;"",E333&lt;&gt;"!!!"),"NEW","")))</f>
        <v> </v>
      </c>
      <c r="G333" s="24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5" t="str">
        <f>IF(J333&lt;&gt;1,"",IF(I333="SBJ","CB","?"))</f>
        <v> </v>
      </c>
      <c r="I333" s="26" t="str">
        <f>IF(OR(E333="",E333="!!!",F333="NEW"),"",INDEX(B332:B$2,-1+SUMPRODUCT(MAX(ROW(E332:E$2)*(E333=E332:E$2)))))</f>
        <v> </v>
      </c>
      <c r="J333" s="26" t="str">
        <f>IF(OR(E333="",E333="!!!",F333="NEW"),"",COUNTBLANK(OFFSET(A$1,,,SUMPRODUCT(MAX(ROW(E$2:E333)*(E333=E$2:E333)))))-COUNTBLANK(OFFSET(A$1,,,SUMPRODUCT(MAX(ROW(E$1:E332)*(E2=E$1:E332))))))</f>
        <v> </v>
      </c>
      <c r="K333" s="26" t="str">
        <f>IF(OR(E333="",E333="!!!",F333="NEW"),"",INDEX(J$1:J332,SUMPRODUCT(MAX(ROW(E$1:E332)*(E333=E$1:E332)))))</f>
        <v> </v>
      </c>
      <c r="L333" s="27"/>
    </row>
    <row r="334" spans="1:12">
      <c r="A334" s="20" t="s">
        <v>138</v>
      </c>
      <c r="E334" s="22">
        <f>IF(D334="?OLD","!!!","")</f>
        <v/>
      </c>
      <c r="F334" s="23" t="str">
        <f>IF(OR(E334="",E334="!!!"),"",IF(NOT(ISNA(VLOOKUP(E334,E$1:E333,1,FALSE()))),"OLD",IF(AND(E334&lt;&gt;"",E334&lt;&gt;"!!!"),"NEW","")))</f>
        <v> </v>
      </c>
      <c r="G334" s="24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5" t="str">
        <f>IF(J334&lt;&gt;1,"",IF(I334="SBJ","CB","?"))</f>
        <v> </v>
      </c>
      <c r="I334" s="26" t="str">
        <f>IF(OR(E334="",E334="!!!",F334="NEW"),"",INDEX(B333:B$2,-1+SUMPRODUCT(MAX(ROW(E333:E$2)*(E334=E333:E$2)))))</f>
        <v> </v>
      </c>
      <c r="J334" s="26" t="str">
        <f>IF(OR(E334="",E334="!!!",F334="NEW"),"",COUNTBLANK(OFFSET(A$1,,,SUMPRODUCT(MAX(ROW(E$2:E334)*(E334=E$2:E334)))))-COUNTBLANK(OFFSET(A$1,,,SUMPRODUCT(MAX(ROW(E$1:E333)*(E2=E$1:E333))))))</f>
        <v> </v>
      </c>
      <c r="K334" s="26" t="str">
        <f>IF(OR(E334="",E334="!!!",F334="NEW"),"",INDEX(J$1:J333,SUMPRODUCT(MAX(ROW(E$1:E333)*(E334=E$1:E333)))))</f>
        <v> </v>
      </c>
      <c r="L334" s="27"/>
    </row>
    <row r="335" spans="1:12">
      <c r="A335" s="20" t="s">
        <v>321</v>
      </c>
      <c r="E335" s="22">
        <f>IF(D335="?OLD","!!!","")</f>
        <v/>
      </c>
      <c r="F335" s="23" t="str">
        <f>IF(OR(E335="",E335="!!!"),"",IF(NOT(ISNA(VLOOKUP(E335,E$1:E334,1,FALSE()))),"OLD",IF(AND(E335&lt;&gt;"",E335&lt;&gt;"!!!"),"NEW","")))</f>
        <v> </v>
      </c>
      <c r="G335" s="24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 </v>
      </c>
      <c r="H335" s="25" t="str">
        <f>IF(J335&lt;&gt;1,"",IF(I335="SBJ","CB","?"))</f>
        <v> </v>
      </c>
      <c r="I335" s="26" t="str">
        <f>IF(OR(E335="",E335="!!!",F335="NEW"),"",INDEX(B334:B$2,-1+SUMPRODUCT(MAX(ROW(E334:E$2)*(E335=E334:E$2)))))</f>
        <v> </v>
      </c>
      <c r="J335" s="26" t="str">
        <f>IF(OR(E335="",E335="!!!",F335="NEW"),"",COUNTBLANK(OFFSET(A$1,,,SUMPRODUCT(MAX(ROW(E$2:E335)*(E335=E$2:E335)))))-COUNTBLANK(OFFSET(A$1,,,SUMPRODUCT(MAX(ROW(E$1:E334)*(E2=E$1:E334))))))</f>
        <v> </v>
      </c>
      <c r="K335" s="26" t="str">
        <f>IF(OR(E335="",E335="!!!",F335="NEW"),"",INDEX(J$1:J334,SUMPRODUCT(MAX(ROW(E$1:E334)*(E335=E$1:E334)))))</f>
        <v> </v>
      </c>
      <c r="L335" s="27"/>
    </row>
    <row r="336" spans="1:12">
      <c r="A336" s="20" t="s">
        <v>322</v>
      </c>
      <c r="E336" s="22">
        <f>IF(D336="?OLD","!!!","")</f>
        <v/>
      </c>
      <c r="F336" s="23" t="str">
        <f>IF(OR(E336="",E336="!!!"),"",IF(NOT(ISNA(VLOOKUP(E336,E$1:E335,1,FALSE()))),"OLD",IF(AND(E336&lt;&gt;"",E336&lt;&gt;"!!!"),"NEW","")))</f>
        <v> </v>
      </c>
      <c r="G336" s="24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> </v>
      </c>
      <c r="H336" s="25" t="str">
        <f>IF(J336&lt;&gt;1,"",IF(I336="SBJ","CB","?"))</f>
        <v> </v>
      </c>
      <c r="I336" s="26" t="str">
        <f>IF(OR(E336="",E336="!!!",F336="NEW"),"",INDEX(B335:B$2,-1+SUMPRODUCT(MAX(ROW(E335:E$2)*(E336=E335:E$2)))))</f>
        <v> </v>
      </c>
      <c r="J336" s="26" t="str">
        <f>IF(OR(E336="",E336="!!!",F336="NEW"),"",COUNTBLANK(OFFSET(A$1,,,SUMPRODUCT(MAX(ROW(E$2:E336)*(E336=E$2:E336)))))-COUNTBLANK(OFFSET(A$1,,,SUMPRODUCT(MAX(ROW(E$1:E335)*(E2=E$1:E335))))))</f>
        <v> </v>
      </c>
      <c r="K336" s="26" t="str">
        <f>IF(OR(E336="",E336="!!!",F336="NEW"),"",INDEX(J$1:J335,SUMPRODUCT(MAX(ROW(E$1:E335)*(E336=E$1:E335)))))</f>
        <v> </v>
      </c>
      <c r="L336" s="27"/>
    </row>
    <row r="337" spans="1:12">
      <c r="A337" s="20" t="s">
        <v>323</v>
      </c>
      <c r="E337" s="22">
        <f>IF(D337="?OLD","!!!","")</f>
        <v/>
      </c>
      <c r="F337" s="23" t="str">
        <f>IF(OR(E337="",E337="!!!"),"",IF(NOT(ISNA(VLOOKUP(E337,E$1:E336,1,FALSE()))),"OLD",IF(AND(E337&lt;&gt;"",E337&lt;&gt;"!!!"),"NEW","")))</f>
        <v> </v>
      </c>
      <c r="G337" s="24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5" t="str">
        <f>IF(J337&lt;&gt;1,"",IF(I337="SBJ","CB","?"))</f>
        <v> </v>
      </c>
      <c r="I337" s="26" t="str">
        <f>IF(OR(E337="",E337="!!!",F337="NEW"),"",INDEX(B336:B$2,-1+SUMPRODUCT(MAX(ROW(E336:E$2)*(E337=E336:E$2)))))</f>
        <v> </v>
      </c>
      <c r="J337" s="26" t="str">
        <f>IF(OR(E337="",E337="!!!",F337="NEW"),"",COUNTBLANK(OFFSET(A$1,,,SUMPRODUCT(MAX(ROW(E$2:E337)*(E337=E$2:E337)))))-COUNTBLANK(OFFSET(A$1,,,SUMPRODUCT(MAX(ROW(E$1:E336)*(E2=E$1:E336))))))</f>
        <v> </v>
      </c>
      <c r="K337" s="26" t="str">
        <f>IF(OR(E337="",E337="!!!",F337="NEW"),"",INDEX(J$1:J336,SUMPRODUCT(MAX(ROW(E$1:E336)*(E337=E$1:E336)))))</f>
        <v> </v>
      </c>
      <c r="L337" s="27"/>
    </row>
    <row r="338" spans="1:12">
      <c r="A338" s="20" t="s">
        <v>135</v>
      </c>
      <c r="E338" s="22">
        <f>IF(D338="?OLD","!!!","")</f>
        <v/>
      </c>
      <c r="F338" s="23" t="str">
        <f>IF(OR(E338="",E338="!!!"),"",IF(NOT(ISNA(VLOOKUP(E338,E$1:E337,1,FALSE()))),"OLD",IF(AND(E338&lt;&gt;"",E338&lt;&gt;"!!!"),"NEW","")))</f>
        <v> </v>
      </c>
      <c r="G338" s="24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5" t="str">
        <f>IF(J338&lt;&gt;1,"",IF(I338="SBJ","CB","?"))</f>
        <v> </v>
      </c>
      <c r="I338" s="26" t="str">
        <f>IF(OR(E338="",E338="!!!",F338="NEW"),"",INDEX(B337:B$2,-1+SUMPRODUCT(MAX(ROW(E337:E$2)*(E338=E337:E$2)))))</f>
        <v> </v>
      </c>
      <c r="J338" s="26" t="str">
        <f>IF(OR(E338="",E338="!!!",F338="NEW"),"",COUNTBLANK(OFFSET(A$1,,,SUMPRODUCT(MAX(ROW(E$2:E338)*(E338=E$2:E338)))))-COUNTBLANK(OFFSET(A$1,,,SUMPRODUCT(MAX(ROW(E$1:E337)*(E2=E$1:E337))))))</f>
        <v> </v>
      </c>
      <c r="K338" s="26" t="str">
        <f>IF(OR(E338="",E338="!!!",F338="NEW"),"",INDEX(J$1:J337,SUMPRODUCT(MAX(ROW(E$1:E337)*(E338=E$1:E337)))))</f>
        <v> </v>
      </c>
      <c r="L338" s="27"/>
    </row>
    <row r="339" spans="1:12">
      <c r="A339" s="20"/>
    </row>
    <row r="340" spans="1:12">
      <c r="A340" s="20" t="s">
        <v>324</v>
      </c>
      <c r="E340" s="22">
        <f>IF(D340="?OLD","!!!","")</f>
        <v/>
      </c>
      <c r="F340" s="23" t="str">
        <f>IF(OR(E340="",E340="!!!"),"",IF(NOT(ISNA(VLOOKUP(E340,E$1:E339,1,FALSE()))),"OLD",IF(AND(E340&lt;&gt;"",E340&lt;&gt;"!!!"),"NEW","")))</f>
        <v> </v>
      </c>
      <c r="G340" s="24" t="str">
        <f>IF(OR(E340="",E340="!!!"),"",IF(OR(J340=0,AND(J340=1,K340=1),AND(J340=1,I340="SBJ"),AND(J340=1,I340=0)),"?IN_FOCUS",IF(J340&lt;=2,"?ACTIVATED",IF(J340&lt;&gt;"","?FAMILIAR",IF(F340="NEW",IF(ISNA(VLOOKUP(E340,#REF!,1,FALSE())),"?TYPE_IDENTIFIABLE","?REFERENTIAL"),"_")))))</f>
        <v> </v>
      </c>
      <c r="H340" s="25" t="str">
        <f>IF(J340&lt;&gt;1,"",IF(I340="SBJ","CB","?"))</f>
        <v> </v>
      </c>
      <c r="I340" s="26" t="str">
        <f>IF(OR(E340="",E340="!!!",F340="NEW"),"",INDEX(B339:B$2,-1+SUMPRODUCT(MAX(ROW(E339:E$2)*(E340=E339:E$2)))))</f>
        <v> </v>
      </c>
      <c r="J340" s="26" t="str">
        <f>IF(OR(E340="",E340="!!!",F340="NEW"),"",COUNTBLANK(OFFSET(A$1,,,SUMPRODUCT(MAX(ROW(E$2:E340)*(E340=E$2:E340)))))-COUNTBLANK(OFFSET(A$1,,,SUMPRODUCT(MAX(ROW(E$1:E339)*(E2=E$1:E339))))))</f>
        <v> </v>
      </c>
      <c r="K340" s="26" t="str">
        <f>IF(OR(E340="",E340="!!!",F340="NEW"),"",INDEX(J$1:J339,SUMPRODUCT(MAX(ROW(E$1:E339)*(E340=E$1:E339)))))</f>
        <v> </v>
      </c>
      <c r="L340" s="27"/>
    </row>
    <row r="341" spans="1:12">
      <c r="A341" s="20" t="s">
        <v>325</v>
      </c>
    </row>
    <row r="342" spans="1:12">
      <c r="A342" s="20" t="s">
        <v>326</v>
      </c>
      <c r="E342" s="22">
        <f>IF(D342="?OLD","!!!","")</f>
        <v/>
      </c>
      <c r="F342" s="23" t="str">
        <f>IF(OR(E342="",E342="!!!"),"",IF(NOT(ISNA(VLOOKUP(E342,E$1:E341,1,FALSE()))),"OLD",IF(AND(E342&lt;&gt;"",E342&lt;&gt;"!!!"),"NEW","")))</f>
        <v> </v>
      </c>
      <c r="G342" s="24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25" t="str">
        <f>IF(J342&lt;&gt;1,"",IF(I342="SBJ","CB","?"))</f>
        <v> </v>
      </c>
      <c r="I342" s="26" t="str">
        <f>IF(OR(E342="",E342="!!!",F342="NEW"),"",INDEX(B341:B$2,-1+SUMPRODUCT(MAX(ROW(E341:E$2)*(E342=E341:E$2)))))</f>
        <v> </v>
      </c>
      <c r="J342" s="26" t="str">
        <f>IF(OR(E342="",E342="!!!",F342="NEW"),"",COUNTBLANK(OFFSET(A$1,,,SUMPRODUCT(MAX(ROW(E$2:E342)*(E342=E$2:E342)))))-COUNTBLANK(OFFSET(A$1,,,SUMPRODUCT(MAX(ROW(E$1:E341)*(E2=E$1:E341))))))</f>
        <v> </v>
      </c>
      <c r="K342" s="26" t="str">
        <f>IF(OR(E342="",E342="!!!",F342="NEW"),"",INDEX(J$1:J341,SUMPRODUCT(MAX(ROW(E$1:E341)*(E342=E$1:E341)))))</f>
        <v> </v>
      </c>
      <c r="L342" s="27"/>
    </row>
    <row r="343" spans="1:12">
      <c r="A343" s="20" t="s">
        <v>116</v>
      </c>
      <c r="E343" s="22">
        <f>IF(D343="?OLD","!!!","")</f>
        <v/>
      </c>
      <c r="F343" s="23" t="str">
        <f>IF(OR(E343="",E343="!!!"),"",IF(NOT(ISNA(VLOOKUP(E343,E$1:E342,1,FALSE()))),"OLD",IF(AND(E343&lt;&gt;"",E343&lt;&gt;"!!!"),"NEW","")))</f>
        <v> </v>
      </c>
      <c r="G343" s="24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5" t="str">
        <f>IF(J343&lt;&gt;1,"",IF(I343="SBJ","CB","?"))</f>
        <v> </v>
      </c>
      <c r="I343" s="26" t="str">
        <f>IF(OR(E343="",E343="!!!",F343="NEW"),"",INDEX(B342:B$2,-1+SUMPRODUCT(MAX(ROW(E342:E$2)*(E343=E342:E$2)))))</f>
        <v> </v>
      </c>
      <c r="J343" s="26" t="str">
        <f>IF(OR(E343="",E343="!!!",F343="NEW"),"",COUNTBLANK(OFFSET(A$1,,,SUMPRODUCT(MAX(ROW(E$2:E343)*(E343=E$2:E343)))))-COUNTBLANK(OFFSET(A$1,,,SUMPRODUCT(MAX(ROW(E$1:E342)*(E2=E$1:E342))))))</f>
        <v> </v>
      </c>
      <c r="K343" s="26" t="str">
        <f>IF(OR(E343="",E343="!!!",F343="NEW"),"",INDEX(J$1:J342,SUMPRODUCT(MAX(ROW(E$1:E342)*(E343=E$1:E342)))))</f>
        <v> </v>
      </c>
      <c r="L343" s="27"/>
    </row>
    <row r="344" spans="1:12">
      <c r="A344" s="20" t="s">
        <v>131</v>
      </c>
      <c r="E344" s="22">
        <f>IF(D344="?OLD","!!!","")</f>
        <v/>
      </c>
      <c r="F344" s="23" t="str">
        <f>IF(OR(E344="",E344="!!!"),"",IF(NOT(ISNA(VLOOKUP(E344,E$1:E343,1,FALSE()))),"OLD",IF(AND(E344&lt;&gt;"",E344&lt;&gt;"!!!"),"NEW","")))</f>
        <v> </v>
      </c>
      <c r="G344" s="24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> </v>
      </c>
      <c r="H344" s="25" t="str">
        <f>IF(J344&lt;&gt;1,"",IF(I344="SBJ","CB","?"))</f>
        <v> </v>
      </c>
      <c r="I344" s="26" t="str">
        <f>IF(OR(E344="",E344="!!!",F344="NEW"),"",INDEX(B343:B$2,-1+SUMPRODUCT(MAX(ROW(E343:E$2)*(E344=E343:E$2)))))</f>
        <v> </v>
      </c>
      <c r="J344" s="26" t="str">
        <f>IF(OR(E344="",E344="!!!",F344="NEW"),"",COUNTBLANK(OFFSET(A$1,,,SUMPRODUCT(MAX(ROW(E$2:E344)*(E344=E$2:E344)))))-COUNTBLANK(OFFSET(A$1,,,SUMPRODUCT(MAX(ROW(E$1:E343)*(E2=E$1:E343))))))</f>
        <v> </v>
      </c>
      <c r="K344" s="26" t="str">
        <f>IF(OR(E344="",E344="!!!",F344="NEW"),"",INDEX(J$1:J343,SUMPRODUCT(MAX(ROW(E$1:E343)*(E344=E$1:E343)))))</f>
        <v> </v>
      </c>
      <c r="L344" s="27"/>
    </row>
    <row r="345" spans="1:12">
      <c r="A345" s="20" t="s">
        <v>172</v>
      </c>
      <c r="B345" s="21" t="s">
        <v>198</v>
      </c>
      <c r="C345" s="21" t="s">
        <v>105</v>
      </c>
      <c r="D345" s="21" t="s">
        <v>106</v>
      </c>
      <c r="E345" s="22">
        <f>IF(D345="?OLD","!!!","")</f>
        <v/>
      </c>
      <c r="F345" s="23" t="str">
        <f>IF(OR(E345="",E345="!!!"),"",IF(NOT(ISNA(VLOOKUP(E345,E$1:E344,1,FALSE()))),"OLD",IF(AND(E345&lt;&gt;"",E345&lt;&gt;"!!!"),"NEW","")))</f>
        <v> </v>
      </c>
      <c r="G345" s="24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> </v>
      </c>
      <c r="H345" s="25" t="str">
        <f>IF(J345&lt;&gt;1,"",IF(I345="SBJ","CB","?"))</f>
        <v> </v>
      </c>
      <c r="I345" s="26" t="str">
        <f>IF(OR(E345="",E345="!!!",F345="NEW"),"",INDEX(B344:B$2,-1+SUMPRODUCT(MAX(ROW(E344:E$2)*(E345=E344:E$2)))))</f>
        <v> </v>
      </c>
      <c r="J345" s="26" t="str">
        <f>IF(OR(E345="",E345="!!!",F345="NEW"),"",COUNTBLANK(OFFSET(A$1,,,SUMPRODUCT(MAX(ROW(E$2:E345)*(E345=E$2:E345)))))-COUNTBLANK(OFFSET(A$1,,,SUMPRODUCT(MAX(ROW(E$1:E344)*(E2=E$1:E344))))))</f>
        <v> </v>
      </c>
      <c r="K345" s="26" t="str">
        <f>IF(OR(E345="",E345="!!!",F345="NEW"),"",INDEX(J$1:J344,SUMPRODUCT(MAX(ROW(E$1:E344)*(E345=E$1:E344)))))</f>
        <v> </v>
      </c>
      <c r="L345" s="27"/>
    </row>
    <row r="346" spans="1:12">
      <c r="A346" s="20" t="s">
        <v>327</v>
      </c>
      <c r="B346" s="21" t="s">
        <v>225</v>
      </c>
      <c r="C346" s="21" t="s">
        <v>130</v>
      </c>
      <c r="E346" s="22">
        <f>IF(D346="?OLD","!!!","")</f>
        <v/>
      </c>
      <c r="F346" s="23" t="str">
        <f>IF(OR(E346="",E346="!!!"),"",IF(NOT(ISNA(VLOOKUP(E346,E$1:E345,1,FALSE()))),"OLD",IF(AND(E346&lt;&gt;"",E346&lt;&gt;"!!!"),"NEW","")))</f>
        <v> </v>
      </c>
      <c r="G346" s="24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5" t="str">
        <f>IF(J346&lt;&gt;1,"",IF(I346="SBJ","CB","?"))</f>
        <v> </v>
      </c>
      <c r="I346" s="26" t="str">
        <f>IF(OR(E346="",E346="!!!",F346="NEW"),"",INDEX(B345:B$2,-1+SUMPRODUCT(MAX(ROW(E345:E$2)*(E346=E345:E$2)))))</f>
        <v> </v>
      </c>
      <c r="J346" s="26" t="str">
        <f>IF(OR(E346="",E346="!!!",F346="NEW"),"",COUNTBLANK(OFFSET(A$1,,,SUMPRODUCT(MAX(ROW(E$2:E346)*(E346=E$2:E346)))))-COUNTBLANK(OFFSET(A$1,,,SUMPRODUCT(MAX(ROW(E$1:E345)*(E2=E$1:E345))))))</f>
        <v> </v>
      </c>
      <c r="K346" s="26" t="str">
        <f>IF(OR(E346="",E346="!!!",F346="NEW"),"",INDEX(J$1:J345,SUMPRODUCT(MAX(ROW(E$1:E345)*(E346=E$1:E345)))))</f>
        <v> </v>
      </c>
      <c r="L346" s="27"/>
    </row>
    <row r="347" spans="1:12">
      <c r="A347" s="20" t="s">
        <v>328</v>
      </c>
      <c r="B347" s="21" t="s">
        <v>195</v>
      </c>
      <c r="C347" s="21" t="s">
        <v>111</v>
      </c>
      <c r="D347" s="21" t="s">
        <v>106</v>
      </c>
      <c r="E347" s="22">
        <f>IF(D347="?OLD","!!!","")</f>
        <v/>
      </c>
      <c r="F347" s="23" t="str">
        <f>IF(OR(E347="",E347="!!!"),"",IF(NOT(ISNA(VLOOKUP(E347,E$1:E346,1,FALSE()))),"OLD",IF(AND(E347&lt;&gt;"",E347&lt;&gt;"!!!"),"NEW","")))</f>
        <v> </v>
      </c>
      <c r="G347" s="24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 </v>
      </c>
      <c r="H347" s="25" t="str">
        <f>IF(J347&lt;&gt;1,"",IF(I347="SBJ","CB","?"))</f>
        <v> </v>
      </c>
      <c r="I347" s="26" t="str">
        <f>IF(OR(E347="",E347="!!!",F347="NEW"),"",INDEX(B346:B$2,-1+SUMPRODUCT(MAX(ROW(E346:E$2)*(E347=E346:E$2)))))</f>
        <v> </v>
      </c>
      <c r="J347" s="26" t="str">
        <f>IF(OR(E347="",E347="!!!",F347="NEW"),"",COUNTBLANK(OFFSET(A$1,,,SUMPRODUCT(MAX(ROW(E$2:E347)*(E347=E$2:E347)))))-COUNTBLANK(OFFSET(A$1,,,SUMPRODUCT(MAX(ROW(E$1:E346)*(E2=E$1:E346))))))</f>
        <v> </v>
      </c>
      <c r="K347" s="26" t="str">
        <f>IF(OR(E347="",E347="!!!",F347="NEW"),"",INDEX(J$1:J346,SUMPRODUCT(MAX(ROW(E$1:E346)*(E347=E$1:E346)))))</f>
        <v> </v>
      </c>
      <c r="L347" s="27"/>
    </row>
    <row r="348" spans="1:12">
      <c r="A348" s="20" t="s">
        <v>329</v>
      </c>
      <c r="E348" s="22">
        <f>IF(D348="?OLD","!!!","")</f>
        <v/>
      </c>
      <c r="F348" s="23" t="str">
        <f>IF(OR(E348="",E348="!!!"),"",IF(NOT(ISNA(VLOOKUP(E348,E$1:E347,1,FALSE()))),"OLD",IF(AND(E348&lt;&gt;"",E348&lt;&gt;"!!!"),"NEW","")))</f>
        <v> </v>
      </c>
      <c r="G348" s="24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> </v>
      </c>
      <c r="H348" s="25" t="str">
        <f>IF(J348&lt;&gt;1,"",IF(I348="SBJ","CB","?"))</f>
        <v> </v>
      </c>
      <c r="I348" s="26" t="str">
        <f>IF(OR(E348="",E348="!!!",F348="NEW"),"",INDEX(B347:B$2,-1+SUMPRODUCT(MAX(ROW(E347:E$2)*(E348=E347:E$2)))))</f>
        <v> </v>
      </c>
      <c r="J348" s="26" t="str">
        <f>IF(OR(E348="",E348="!!!",F348="NEW"),"",COUNTBLANK(OFFSET(A$1,,,SUMPRODUCT(MAX(ROW(E$2:E348)*(E348=E$2:E348)))))-COUNTBLANK(OFFSET(A$1,,,SUMPRODUCT(MAX(ROW(E$1:E347)*(E2=E$1:E347))))))</f>
        <v> </v>
      </c>
      <c r="K348" s="26" t="str">
        <f>IF(OR(E348="",E348="!!!",F348="NEW"),"",INDEX(J$1:J347,SUMPRODUCT(MAX(ROW(E$1:E347)*(E348=E$1:E347)))))</f>
        <v> </v>
      </c>
      <c r="L348" s="27"/>
    </row>
    <row r="349" spans="1:12">
      <c r="A349" s="20" t="s">
        <v>176</v>
      </c>
      <c r="E349" s="22">
        <f>IF(D349="?OLD","!!!","")</f>
        <v/>
      </c>
      <c r="F349" s="23" t="str">
        <f>IF(OR(E349="",E349="!!!"),"",IF(NOT(ISNA(VLOOKUP(E349,E$1:E348,1,FALSE()))),"OLD",IF(AND(E349&lt;&gt;"",E349&lt;&gt;"!!!"),"NEW","")))</f>
        <v> </v>
      </c>
      <c r="G349" s="24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> </v>
      </c>
      <c r="H349" s="25" t="str">
        <f>IF(J349&lt;&gt;1,"",IF(I349="SBJ","CB","?"))</f>
        <v> </v>
      </c>
      <c r="I349" s="26" t="str">
        <f>IF(OR(E349="",E349="!!!",F349="NEW"),"",INDEX(B348:B$2,-1+SUMPRODUCT(MAX(ROW(E348:E$2)*(E349=E348:E$2)))))</f>
        <v> </v>
      </c>
      <c r="J349" s="26" t="str">
        <f>IF(OR(E349="",E349="!!!",F349="NEW"),"",COUNTBLANK(OFFSET(A$1,,,SUMPRODUCT(MAX(ROW(E$2:E349)*(E349=E$2:E349)))))-COUNTBLANK(OFFSET(A$1,,,SUMPRODUCT(MAX(ROW(E$1:E348)*(E2=E$1:E348))))))</f>
        <v> </v>
      </c>
      <c r="K349" s="26" t="str">
        <f>IF(OR(E349="",E349="!!!",F349="NEW"),"",INDEX(J$1:J348,SUMPRODUCT(MAX(ROW(E$1:E348)*(E349=E$1:E348)))))</f>
        <v> </v>
      </c>
      <c r="L349" s="27"/>
    </row>
    <row r="350" spans="1:12">
      <c r="A350" s="20" t="s">
        <v>330</v>
      </c>
      <c r="E350" s="22">
        <f>IF(D350="?OLD","!!!","")</f>
        <v/>
      </c>
      <c r="F350" s="23" t="str">
        <f>IF(OR(E350="",E350="!!!"),"",IF(NOT(ISNA(VLOOKUP(E350,E$1:E349,1,FALSE()))),"OLD",IF(AND(E350&lt;&gt;"",E350&lt;&gt;"!!!"),"NEW","")))</f>
        <v> </v>
      </c>
      <c r="G350" s="24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> </v>
      </c>
      <c r="H350" s="25" t="str">
        <f>IF(J350&lt;&gt;1,"",IF(I350="SBJ","CB","?"))</f>
        <v> </v>
      </c>
      <c r="I350" s="26" t="str">
        <f>IF(OR(E350="",E350="!!!",F350="NEW"),"",INDEX(B349:B$2,-1+SUMPRODUCT(MAX(ROW(E349:E$2)*(E350=E349:E$2)))))</f>
        <v> </v>
      </c>
      <c r="J350" s="26" t="str">
        <f>IF(OR(E350="",E350="!!!",F350="NEW"),"",COUNTBLANK(OFFSET(A$1,,,SUMPRODUCT(MAX(ROW(E$2:E350)*(E350=E$2:E350)))))-COUNTBLANK(OFFSET(A$1,,,SUMPRODUCT(MAX(ROW(E$1:E349)*(E2=E$1:E349))))))</f>
        <v> </v>
      </c>
      <c r="K350" s="26" t="str">
        <f>IF(OR(E350="",E350="!!!",F350="NEW"),"",INDEX(J$1:J349,SUMPRODUCT(MAX(ROW(E$1:E349)*(E350=E$1:E349)))))</f>
        <v> </v>
      </c>
      <c r="L350" s="27"/>
    </row>
    <row r="351" spans="1:12">
      <c r="A351" s="20" t="s">
        <v>280</v>
      </c>
      <c r="B351" s="21" t="s">
        <v>125</v>
      </c>
      <c r="C351" s="21" t="s">
        <v>158</v>
      </c>
      <c r="E351" s="22">
        <f>IF(D351="?OLD","!!!","")</f>
        <v/>
      </c>
      <c r="F351" s="23" t="str">
        <f>IF(OR(E351="",E351="!!!"),"",IF(NOT(ISNA(VLOOKUP(E351,E$1:E350,1,FALSE()))),"OLD",IF(AND(E351&lt;&gt;"",E351&lt;&gt;"!!!"),"NEW","")))</f>
        <v> </v>
      </c>
      <c r="G351" s="24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5" t="str">
        <f>IF(J351&lt;&gt;1,"",IF(I351="SBJ","CB","?"))</f>
        <v> </v>
      </c>
      <c r="I351" s="26" t="str">
        <f>IF(OR(E351="",E351="!!!",F351="NEW"),"",INDEX(B350:B$2,-1+SUMPRODUCT(MAX(ROW(E350:E$2)*(E351=E350:E$2)))))</f>
        <v> </v>
      </c>
      <c r="J351" s="26" t="str">
        <f>IF(OR(E351="",E351="!!!",F351="NEW"),"",COUNTBLANK(OFFSET(A$1,,,SUMPRODUCT(MAX(ROW(E$2:E351)*(E351=E$2:E351)))))-COUNTBLANK(OFFSET(A$1,,,SUMPRODUCT(MAX(ROW(E$1:E350)*(E2=E$1:E350))))))</f>
        <v> </v>
      </c>
      <c r="K351" s="26" t="str">
        <f>IF(OR(E351="",E351="!!!",F351="NEW"),"",INDEX(J$1:J350,SUMPRODUCT(MAX(ROW(E$1:E350)*(E351=E$1:E350)))))</f>
        <v> </v>
      </c>
      <c r="L351" s="27"/>
    </row>
    <row r="352" spans="1:12">
      <c r="A352" s="20" t="s">
        <v>331</v>
      </c>
      <c r="E352" s="22">
        <f>IF(D352="?OLD","!!!","")</f>
        <v/>
      </c>
      <c r="F352" s="23" t="str">
        <f>IF(OR(E352="",E352="!!!"),"",IF(NOT(ISNA(VLOOKUP(E352,E$1:E351,1,FALSE()))),"OLD",IF(AND(E352&lt;&gt;"",E352&lt;&gt;"!!!"),"NEW","")))</f>
        <v> </v>
      </c>
      <c r="G352" s="24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5" t="str">
        <f>IF(J352&lt;&gt;1,"",IF(I352="SBJ","CB","?"))</f>
        <v> </v>
      </c>
      <c r="I352" s="26" t="str">
        <f>IF(OR(E352="",E352="!!!",F352="NEW"),"",INDEX(B351:B$2,-1+SUMPRODUCT(MAX(ROW(E351:E$2)*(E352=E351:E$2)))))</f>
        <v> </v>
      </c>
      <c r="J352" s="26" t="str">
        <f>IF(OR(E352="",E352="!!!",F352="NEW"),"",COUNTBLANK(OFFSET(A$1,,,SUMPRODUCT(MAX(ROW(E$2:E352)*(E352=E$2:E352)))))-COUNTBLANK(OFFSET(A$1,,,SUMPRODUCT(MAX(ROW(E$1:E351)*(E2=E$1:E351))))))</f>
        <v> </v>
      </c>
      <c r="K352" s="26" t="str">
        <f>IF(OR(E352="",E352="!!!",F352="NEW"),"",INDEX(J$1:J351,SUMPRODUCT(MAX(ROW(E$1:E351)*(E352=E$1:E351)))))</f>
        <v> </v>
      </c>
      <c r="L352" s="27"/>
    </row>
    <row r="353" spans="1:12">
      <c r="A353" s="20" t="s">
        <v>116</v>
      </c>
      <c r="E353" s="22">
        <f>IF(D353="?OLD","!!!","")</f>
        <v/>
      </c>
      <c r="F353" s="23" t="str">
        <f>IF(OR(E353="",E353="!!!"),"",IF(NOT(ISNA(VLOOKUP(E353,E$1:E352,1,FALSE()))),"OLD",IF(AND(E353&lt;&gt;"",E353&lt;&gt;"!!!"),"NEW","")))</f>
        <v> </v>
      </c>
      <c r="G353" s="24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5" t="str">
        <f>IF(J353&lt;&gt;1,"",IF(I353="SBJ","CB","?"))</f>
        <v> </v>
      </c>
      <c r="I353" s="26" t="str">
        <f>IF(OR(E353="",E353="!!!",F353="NEW"),"",INDEX(B352:B$2,-1+SUMPRODUCT(MAX(ROW(E352:E$2)*(E353=E352:E$2)))))</f>
        <v> </v>
      </c>
      <c r="J353" s="26" t="str">
        <f>IF(OR(E353="",E353="!!!",F353="NEW"),"",COUNTBLANK(OFFSET(A$1,,,SUMPRODUCT(MAX(ROW(E$2:E353)*(E353=E$2:E353)))))-COUNTBLANK(OFFSET(A$1,,,SUMPRODUCT(MAX(ROW(E$1:E352)*(E2=E$1:E352))))))</f>
        <v> </v>
      </c>
      <c r="K353" s="26" t="str">
        <f>IF(OR(E353="",E353="!!!",F353="NEW"),"",INDEX(J$1:J352,SUMPRODUCT(MAX(ROW(E$1:E352)*(E353=E$1:E352)))))</f>
        <v> </v>
      </c>
      <c r="L353" s="27"/>
    </row>
    <row r="354" spans="1:12">
      <c r="A354" s="20" t="s">
        <v>114</v>
      </c>
      <c r="E354" s="22">
        <f>IF(D354="?OLD","!!!","")</f>
        <v/>
      </c>
      <c r="F354" s="23" t="str">
        <f>IF(OR(E354="",E354="!!!"),"",IF(NOT(ISNA(VLOOKUP(E354,E$1:E353,1,FALSE()))),"OLD",IF(AND(E354&lt;&gt;"",E354&lt;&gt;"!!!"),"NEW","")))</f>
        <v> </v>
      </c>
      <c r="G354" s="24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 </v>
      </c>
      <c r="H354" s="25" t="str">
        <f>IF(J354&lt;&gt;1,"",IF(I354="SBJ","CB","?"))</f>
        <v> </v>
      </c>
      <c r="I354" s="26" t="str">
        <f>IF(OR(E354="",E354="!!!",F354="NEW"),"",INDEX(B353:B$2,-1+SUMPRODUCT(MAX(ROW(E353:E$2)*(E354=E353:E$2)))))</f>
        <v> </v>
      </c>
      <c r="J354" s="26" t="str">
        <f>IF(OR(E354="",E354="!!!",F354="NEW"),"",COUNTBLANK(OFFSET(A$1,,,SUMPRODUCT(MAX(ROW(E$2:E354)*(E354=E$2:E354)))))-COUNTBLANK(OFFSET(A$1,,,SUMPRODUCT(MAX(ROW(E$1:E353)*(E2=E$1:E353))))))</f>
        <v> </v>
      </c>
      <c r="K354" s="26" t="str">
        <f>IF(OR(E354="",E354="!!!",F354="NEW"),"",INDEX(J$1:J353,SUMPRODUCT(MAX(ROW(E$1:E353)*(E354=E$1:E353)))))</f>
        <v> </v>
      </c>
      <c r="L354" s="27"/>
    </row>
    <row r="355" spans="1:12">
      <c r="A355" s="20" t="s">
        <v>332</v>
      </c>
      <c r="B355" s="21" t="s">
        <v>104</v>
      </c>
      <c r="C355" s="21" t="s">
        <v>105</v>
      </c>
      <c r="D355" s="21" t="s">
        <v>106</v>
      </c>
      <c r="E355" s="22">
        <f>IF(D355="?OLD","!!!","")</f>
        <v/>
      </c>
      <c r="F355" s="23" t="str">
        <f>IF(OR(E355="",E355="!!!"),"",IF(NOT(ISNA(VLOOKUP(E355,E$1:E354,1,FALSE()))),"OLD",IF(AND(E355&lt;&gt;"",E355&lt;&gt;"!!!"),"NEW","")))</f>
        <v> </v>
      </c>
      <c r="G355" s="24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5" t="str">
        <f>IF(J355&lt;&gt;1,"",IF(I355="SBJ","CB","?"))</f>
        <v> </v>
      </c>
      <c r="I355" s="26" t="str">
        <f>IF(OR(E355="",E355="!!!",F355="NEW"),"",INDEX(B354:B$2,-1+SUMPRODUCT(MAX(ROW(E354:E$2)*(E355=E354:E$2)))))</f>
        <v> </v>
      </c>
      <c r="J355" s="26" t="str">
        <f>IF(OR(E355="",E355="!!!",F355="NEW"),"",COUNTBLANK(OFFSET(A$1,,,SUMPRODUCT(MAX(ROW(E$2:E355)*(E355=E$2:E355)))))-COUNTBLANK(OFFSET(A$1,,,SUMPRODUCT(MAX(ROW(E$1:E354)*(E2=E$1:E354))))))</f>
        <v> </v>
      </c>
      <c r="K355" s="26" t="str">
        <f>IF(OR(E355="",E355="!!!",F355="NEW"),"",INDEX(J$1:J354,SUMPRODUCT(MAX(ROW(E$1:E354)*(E355=E$1:E354)))))</f>
        <v> </v>
      </c>
      <c r="L355" s="27"/>
    </row>
    <row r="356" spans="1:12">
      <c r="A356" s="20" t="s">
        <v>237</v>
      </c>
      <c r="B356" s="21" t="s">
        <v>187</v>
      </c>
      <c r="C356" s="21" t="s">
        <v>105</v>
      </c>
      <c r="D356" s="21" t="s">
        <v>106</v>
      </c>
      <c r="E356" s="22">
        <f>IF(D356="?OLD","!!!","")</f>
        <v/>
      </c>
      <c r="F356" s="23" t="str">
        <f>IF(OR(E356="",E356="!!!"),"",IF(NOT(ISNA(VLOOKUP(E356,E$1:E355,1,FALSE()))),"OLD",IF(AND(E356&lt;&gt;"",E356&lt;&gt;"!!!"),"NEW","")))</f>
        <v> </v>
      </c>
      <c r="G356" s="24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> </v>
      </c>
      <c r="H356" s="25" t="str">
        <f>IF(J356&lt;&gt;1,"",IF(I356="SBJ","CB","?"))</f>
        <v> </v>
      </c>
      <c r="I356" s="26" t="str">
        <f>IF(OR(E356="",E356="!!!",F356="NEW"),"",INDEX(B355:B$2,-1+SUMPRODUCT(MAX(ROW(E355:E$2)*(E356=E355:E$2)))))</f>
        <v> </v>
      </c>
      <c r="J356" s="26" t="str">
        <f>IF(OR(E356="",E356="!!!",F356="NEW"),"",COUNTBLANK(OFFSET(A$1,,,SUMPRODUCT(MAX(ROW(E$2:E356)*(E356=E$2:E356)))))-COUNTBLANK(OFFSET(A$1,,,SUMPRODUCT(MAX(ROW(E$1:E355)*(E2=E$1:E355))))))</f>
        <v> </v>
      </c>
      <c r="K356" s="26" t="str">
        <f>IF(OR(E356="",E356="!!!",F356="NEW"),"",INDEX(J$1:J355,SUMPRODUCT(MAX(ROW(E$1:E355)*(E356=E$1:E355)))))</f>
        <v> </v>
      </c>
      <c r="L356" s="27"/>
    </row>
    <row r="357" spans="1:12">
      <c r="A357" s="20" t="s">
        <v>333</v>
      </c>
      <c r="E357" s="22">
        <f>IF(D357="?OLD","!!!","")</f>
        <v/>
      </c>
      <c r="F357" s="23" t="str">
        <f>IF(OR(E357="",E357="!!!"),"",IF(NOT(ISNA(VLOOKUP(E357,E$1:E356,1,FALSE()))),"OLD",IF(AND(E357&lt;&gt;"",E357&lt;&gt;"!!!"),"NEW","")))</f>
        <v> </v>
      </c>
      <c r="G357" s="24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> </v>
      </c>
      <c r="H357" s="25" t="str">
        <f>IF(J357&lt;&gt;1,"",IF(I357="SBJ","CB","?"))</f>
        <v> </v>
      </c>
      <c r="I357" s="26" t="str">
        <f>IF(OR(E357="",E357="!!!",F357="NEW"),"",INDEX(B356:B$2,-1+SUMPRODUCT(MAX(ROW(E356:E$2)*(E357=E356:E$2)))))</f>
        <v> </v>
      </c>
      <c r="J357" s="26" t="str">
        <f>IF(OR(E357="",E357="!!!",F357="NEW"),"",COUNTBLANK(OFFSET(A$1,,,SUMPRODUCT(MAX(ROW(E$2:E357)*(E357=E$2:E357)))))-COUNTBLANK(OFFSET(A$1,,,SUMPRODUCT(MAX(ROW(E$1:E356)*(E2=E$1:E356))))))</f>
        <v> </v>
      </c>
      <c r="K357" s="26" t="str">
        <f>IF(OR(E357="",E357="!!!",F357="NEW"),"",INDEX(J$1:J356,SUMPRODUCT(MAX(ROW(E$1:E356)*(E357=E$1:E356)))))</f>
        <v> </v>
      </c>
      <c r="L357" s="27"/>
    </row>
    <row r="358" spans="1:12">
      <c r="A358" s="20" t="s">
        <v>116</v>
      </c>
      <c r="E358" s="22">
        <f>IF(D358="?OLD","!!!","")</f>
        <v/>
      </c>
      <c r="F358" s="23" t="str">
        <f>IF(OR(E358="",E358="!!!"),"",IF(NOT(ISNA(VLOOKUP(E358,E$1:E357,1,FALSE()))),"OLD",IF(AND(E358&lt;&gt;"",E358&lt;&gt;"!!!"),"NEW","")))</f>
        <v> </v>
      </c>
      <c r="G358" s="24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 </v>
      </c>
      <c r="H358" s="25" t="str">
        <f>IF(J358&lt;&gt;1,"",IF(I358="SBJ","CB","?"))</f>
        <v> </v>
      </c>
      <c r="I358" s="26" t="str">
        <f>IF(OR(E358="",E358="!!!",F358="NEW"),"",INDEX(B357:B$2,-1+SUMPRODUCT(MAX(ROW(E357:E$2)*(E358=E357:E$2)))))</f>
        <v> </v>
      </c>
      <c r="J358" s="26" t="str">
        <f>IF(OR(E358="",E358="!!!",F358="NEW"),"",COUNTBLANK(OFFSET(A$1,,,SUMPRODUCT(MAX(ROW(E$2:E358)*(E358=E$2:E358)))))-COUNTBLANK(OFFSET(A$1,,,SUMPRODUCT(MAX(ROW(E$1:E357)*(E2=E$1:E357))))))</f>
        <v> </v>
      </c>
      <c r="K358" s="26" t="str">
        <f>IF(OR(E358="",E358="!!!",F358="NEW"),"",INDEX(J$1:J357,SUMPRODUCT(MAX(ROW(E$1:E357)*(E358=E$1:E357)))))</f>
        <v> </v>
      </c>
      <c r="L358" s="27"/>
    </row>
    <row r="359" spans="1:12">
      <c r="A359" s="20" t="s">
        <v>334</v>
      </c>
      <c r="E359" s="22">
        <f>IF(D359="?OLD","!!!","")</f>
        <v/>
      </c>
      <c r="F359" s="23" t="str">
        <f>IF(OR(E359="",E359="!!!"),"",IF(NOT(ISNA(VLOOKUP(E359,E$1:E358,1,FALSE()))),"OLD",IF(AND(E359&lt;&gt;"",E359&lt;&gt;"!!!"),"NEW","")))</f>
        <v> </v>
      </c>
      <c r="G359" s="24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> </v>
      </c>
      <c r="H359" s="25" t="str">
        <f>IF(J359&lt;&gt;1,"",IF(I359="SBJ","CB","?"))</f>
        <v> </v>
      </c>
      <c r="I359" s="26" t="str">
        <f>IF(OR(E359="",E359="!!!",F359="NEW"),"",INDEX(B358:B$2,-1+SUMPRODUCT(MAX(ROW(E358:E$2)*(E359=E358:E$2)))))</f>
        <v> </v>
      </c>
      <c r="J359" s="26" t="str">
        <f>IF(OR(E359="",E359="!!!",F359="NEW"),"",COUNTBLANK(OFFSET(A$1,,,SUMPRODUCT(MAX(ROW(E$2:E359)*(E359=E$2:E359)))))-COUNTBLANK(OFFSET(A$1,,,SUMPRODUCT(MAX(ROW(E$1:E358)*(E2=E$1:E358))))))</f>
        <v> </v>
      </c>
      <c r="K359" s="26" t="str">
        <f>IF(OR(E359="",E359="!!!",F359="NEW"),"",INDEX(J$1:J358,SUMPRODUCT(MAX(ROW(E$1:E358)*(E359=E$1:E358)))))</f>
        <v> </v>
      </c>
      <c r="L359" s="27"/>
    </row>
    <row r="360" spans="1:12">
      <c r="A360" s="20" t="s">
        <v>172</v>
      </c>
      <c r="B360" s="21" t="s">
        <v>198</v>
      </c>
      <c r="C360" s="21" t="s">
        <v>105</v>
      </c>
      <c r="D360" s="21" t="s">
        <v>106</v>
      </c>
      <c r="E360" s="22">
        <f>IF(D360="?OLD","!!!","")</f>
        <v/>
      </c>
      <c r="F360" s="23" t="str">
        <f>IF(OR(E360="",E360="!!!"),"",IF(NOT(ISNA(VLOOKUP(E360,E$1:E359,1,FALSE()))),"OLD",IF(AND(E360&lt;&gt;"",E360&lt;&gt;"!!!"),"NEW","")))</f>
        <v> </v>
      </c>
      <c r="G360" s="24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25" t="str">
        <f>IF(J360&lt;&gt;1,"",IF(I360="SBJ","CB","?"))</f>
        <v> </v>
      </c>
      <c r="I360" s="26" t="str">
        <f>IF(OR(E360="",E360="!!!",F360="NEW"),"",INDEX(B359:B$2,-1+SUMPRODUCT(MAX(ROW(E359:E$2)*(E360=E359:E$2)))))</f>
        <v> </v>
      </c>
      <c r="J360" s="26" t="str">
        <f>IF(OR(E360="",E360="!!!",F360="NEW"),"",COUNTBLANK(OFFSET(A$1,,,SUMPRODUCT(MAX(ROW(E$2:E360)*(E360=E$2:E360)))))-COUNTBLANK(OFFSET(A$1,,,SUMPRODUCT(MAX(ROW(E$1:E359)*(E2=E$1:E359))))))</f>
        <v> </v>
      </c>
      <c r="K360" s="26" t="str">
        <f>IF(OR(E360="",E360="!!!",F360="NEW"),"",INDEX(J$1:J359,SUMPRODUCT(MAX(ROW(E$1:E359)*(E360=E$1:E359)))))</f>
        <v> </v>
      </c>
      <c r="L360" s="27"/>
    </row>
    <row r="361" spans="1:12">
      <c r="A361" s="20" t="s">
        <v>233</v>
      </c>
      <c r="E361" s="22">
        <f>IF(D361="?OLD","!!!","")</f>
        <v/>
      </c>
      <c r="F361" s="23" t="str">
        <f>IF(OR(E361="",E361="!!!"),"",IF(NOT(ISNA(VLOOKUP(E361,E$1:E360,1,FALSE()))),"OLD",IF(AND(E361&lt;&gt;"",E361&lt;&gt;"!!!"),"NEW","")))</f>
        <v> </v>
      </c>
      <c r="G361" s="24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5" t="str">
        <f>IF(J361&lt;&gt;1,"",IF(I361="SBJ","CB","?"))</f>
        <v> </v>
      </c>
      <c r="I361" s="26" t="str">
        <f>IF(OR(E361="",E361="!!!",F361="NEW"),"",INDEX(B360:B$2,-1+SUMPRODUCT(MAX(ROW(E360:E$2)*(E361=E360:E$2)))))</f>
        <v> </v>
      </c>
      <c r="J361" s="26" t="str">
        <f>IF(OR(E361="",E361="!!!",F361="NEW"),"",COUNTBLANK(OFFSET(A$1,,,SUMPRODUCT(MAX(ROW(E$2:E361)*(E361=E$2:E361)))))-COUNTBLANK(OFFSET(A$1,,,SUMPRODUCT(MAX(ROW(E$1:E360)*(E2=E$1:E360))))))</f>
        <v> </v>
      </c>
      <c r="K361" s="26" t="str">
        <f>IF(OR(E361="",E361="!!!",F361="NEW"),"",INDEX(J$1:J360,SUMPRODUCT(MAX(ROW(E$1:E360)*(E361=E$1:E360)))))</f>
        <v> </v>
      </c>
      <c r="L361" s="27"/>
    </row>
    <row r="362" spans="1:12">
      <c r="A362" s="20" t="s">
        <v>335</v>
      </c>
      <c r="B362" s="21" t="s">
        <v>225</v>
      </c>
      <c r="C362" s="21" t="s">
        <v>122</v>
      </c>
      <c r="E362" s="22">
        <f>IF(D362="?OLD","!!!","")</f>
        <v/>
      </c>
      <c r="F362" s="23" t="str">
        <f>IF(OR(E362="",E362="!!!"),"",IF(NOT(ISNA(VLOOKUP(E362,E$1:E361,1,FALSE()))),"OLD",IF(AND(E362&lt;&gt;"",E362&lt;&gt;"!!!"),"NEW","")))</f>
        <v> </v>
      </c>
      <c r="G362" s="24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5" t="str">
        <f>IF(J362&lt;&gt;1,"",IF(I362="SBJ","CB","?"))</f>
        <v> </v>
      </c>
      <c r="I362" s="26" t="str">
        <f>IF(OR(E362="",E362="!!!",F362="NEW"),"",INDEX(B361:B$2,-1+SUMPRODUCT(MAX(ROW(E361:E$2)*(E362=E361:E$2)))))</f>
        <v> </v>
      </c>
      <c r="J362" s="26" t="str">
        <f>IF(OR(E362="",E362="!!!",F362="NEW"),"",COUNTBLANK(OFFSET(A$1,,,SUMPRODUCT(MAX(ROW(E$2:E362)*(E362=E$2:E362)))))-COUNTBLANK(OFFSET(A$1,,,SUMPRODUCT(MAX(ROW(E$1:E361)*(E2=E$1:E361))))))</f>
        <v> </v>
      </c>
      <c r="K362" s="26" t="str">
        <f>IF(OR(E362="",E362="!!!",F362="NEW"),"",INDEX(J$1:J361,SUMPRODUCT(MAX(ROW(E$1:E361)*(E362=E$1:E361)))))</f>
        <v> </v>
      </c>
      <c r="L362" s="27"/>
    </row>
    <row r="363" spans="1:12">
      <c r="A363" s="20" t="s">
        <v>141</v>
      </c>
      <c r="E363" s="22">
        <f>IF(D363="?OLD","!!!","")</f>
        <v/>
      </c>
      <c r="F363" s="23" t="str">
        <f>IF(OR(E363="",E363="!!!"),"",IF(NOT(ISNA(VLOOKUP(E363,E$1:E362,1,FALSE()))),"OLD",IF(AND(E363&lt;&gt;"",E363&lt;&gt;"!!!"),"NEW","")))</f>
        <v> </v>
      </c>
      <c r="G363" s="24" t="str">
        <f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> </v>
      </c>
      <c r="H363" s="25" t="str">
        <f>IF(J363&lt;&gt;1,"",IF(I363="SBJ","CB","?"))</f>
        <v> </v>
      </c>
      <c r="I363" s="26" t="str">
        <f>IF(OR(E363="",E363="!!!",F363="NEW"),"",INDEX(B362:B$2,-1+SUMPRODUCT(MAX(ROW(E362:E$2)*(E363=E362:E$2)))))</f>
        <v> </v>
      </c>
      <c r="J363" s="26" t="str">
        <f>IF(OR(E363="",E363="!!!",F363="NEW"),"",COUNTBLANK(OFFSET(A$1,,,SUMPRODUCT(MAX(ROW(E$2:E363)*(E363=E$2:E363)))))-COUNTBLANK(OFFSET(A$1,,,SUMPRODUCT(MAX(ROW(E$1:E362)*(E2=E$1:E362))))))</f>
        <v> </v>
      </c>
      <c r="K363" s="26" t="str">
        <f>IF(OR(E363="",E363="!!!",F363="NEW"),"",INDEX(J$1:J362,SUMPRODUCT(MAX(ROW(E$1:E362)*(E363=E$1:E362)))))</f>
        <v> </v>
      </c>
      <c r="L363" s="27"/>
    </row>
    <row r="364" spans="1:12">
      <c r="A364" s="20" t="s">
        <v>336</v>
      </c>
      <c r="B364" s="21" t="s">
        <v>337</v>
      </c>
      <c r="C364" s="21" t="s">
        <v>162</v>
      </c>
      <c r="D364" s="21" t="s">
        <v>106</v>
      </c>
      <c r="E364" s="22">
        <f>IF(D364="?OLD","!!!","")</f>
        <v/>
      </c>
      <c r="F364" s="23" t="str">
        <f>IF(OR(E364="",E364="!!!"),"",IF(NOT(ISNA(VLOOKUP(E364,E$1:E363,1,FALSE()))),"OLD",IF(AND(E364&lt;&gt;"",E364&lt;&gt;"!!!"),"NEW","")))</f>
        <v> </v>
      </c>
      <c r="G364" s="24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 </v>
      </c>
      <c r="H364" s="25" t="str">
        <f>IF(J364&lt;&gt;1,"",IF(I364="SBJ","CB","?"))</f>
        <v> </v>
      </c>
      <c r="I364" s="26" t="str">
        <f>IF(OR(E364="",E364="!!!",F364="NEW"),"",INDEX(B363:B$2,-1+SUMPRODUCT(MAX(ROW(E363:E$2)*(E364=E363:E$2)))))</f>
        <v> </v>
      </c>
      <c r="J364" s="26" t="str">
        <f>IF(OR(E364="",E364="!!!",F364="NEW"),"",COUNTBLANK(OFFSET(A$1,,,SUMPRODUCT(MAX(ROW(E$2:E364)*(E364=E$2:E364)))))-COUNTBLANK(OFFSET(A$1,,,SUMPRODUCT(MAX(ROW(E$1:E363)*(E2=E$1:E363))))))</f>
        <v> </v>
      </c>
      <c r="K364" s="26" t="str">
        <f>IF(OR(E364="",E364="!!!",F364="NEW"),"",INDEX(J$1:J363,SUMPRODUCT(MAX(ROW(E$1:E363)*(E364=E$1:E363)))))</f>
        <v> </v>
      </c>
      <c r="L364" s="27"/>
    </row>
    <row r="365" spans="1:12">
      <c r="A365" s="20" t="s">
        <v>338</v>
      </c>
      <c r="B365" s="21" t="s">
        <v>195</v>
      </c>
      <c r="C365" s="21" t="s">
        <v>164</v>
      </c>
      <c r="D365" s="21" t="s">
        <v>106</v>
      </c>
      <c r="E365" s="22">
        <f>IF(D365="?OLD","!!!","")</f>
        <v/>
      </c>
      <c r="F365" s="23" t="str">
        <f>IF(OR(E365="",E365="!!!"),"",IF(NOT(ISNA(VLOOKUP(E365,E$1:E364,1,FALSE()))),"OLD",IF(AND(E365&lt;&gt;"",E365&lt;&gt;"!!!"),"NEW","")))</f>
        <v> </v>
      </c>
      <c r="G365" s="24" t="str">
        <f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> </v>
      </c>
      <c r="H365" s="25" t="str">
        <f>IF(J365&lt;&gt;1,"",IF(I365="SBJ","CB","?"))</f>
        <v> </v>
      </c>
      <c r="I365" s="26" t="str">
        <f>IF(OR(E365="",E365="!!!",F365="NEW"),"",INDEX(B364:B$2,-1+SUMPRODUCT(MAX(ROW(E364:E$2)*(E365=E364:E$2)))))</f>
        <v> </v>
      </c>
      <c r="J365" s="26" t="str">
        <f>IF(OR(E365="",E365="!!!",F365="NEW"),"",COUNTBLANK(OFFSET(A$1,,,SUMPRODUCT(MAX(ROW(E$2:E365)*(E365=E$2:E365)))))-COUNTBLANK(OFFSET(A$1,,,SUMPRODUCT(MAX(ROW(E$1:E364)*(E2=E$1:E364))))))</f>
        <v> </v>
      </c>
      <c r="K365" s="26" t="str">
        <f>IF(OR(E365="",E365="!!!",F365="NEW"),"",INDEX(J$1:J364,SUMPRODUCT(MAX(ROW(E$1:E364)*(E365=E$1:E364)))))</f>
        <v> </v>
      </c>
      <c r="L365" s="27"/>
    </row>
    <row r="366" spans="1:12">
      <c r="A366" s="20" t="s">
        <v>339</v>
      </c>
      <c r="E366" s="22">
        <f>IF(D366="?OLD","!!!","")</f>
        <v/>
      </c>
      <c r="F366" s="23" t="str">
        <f>IF(OR(E366="",E366="!!!"),"",IF(NOT(ISNA(VLOOKUP(E366,E$1:E365,1,FALSE()))),"OLD",IF(AND(E366&lt;&gt;"",E366&lt;&gt;"!!!"),"NEW","")))</f>
        <v> </v>
      </c>
      <c r="G366" s="24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5" t="str">
        <f>IF(J366&lt;&gt;1,"",IF(I366="SBJ","CB","?"))</f>
        <v> </v>
      </c>
      <c r="I366" s="26" t="str">
        <f>IF(OR(E366="",E366="!!!",F366="NEW"),"",INDEX(B365:B$2,-1+SUMPRODUCT(MAX(ROW(E365:E$2)*(E366=E365:E$2)))))</f>
        <v> </v>
      </c>
      <c r="J366" s="26" t="str">
        <f>IF(OR(E366="",E366="!!!",F366="NEW"),"",COUNTBLANK(OFFSET(A$1,,,SUMPRODUCT(MAX(ROW(E$2:E366)*(E366=E$2:E366)))))-COUNTBLANK(OFFSET(A$1,,,SUMPRODUCT(MAX(ROW(E$1:E365)*(E2=E$1:E365))))))</f>
        <v> </v>
      </c>
      <c r="K366" s="26" t="str">
        <f>IF(OR(E366="",E366="!!!",F366="NEW"),"",INDEX(J$1:J365,SUMPRODUCT(MAX(ROW(E$1:E365)*(E366=E$1:E365)))))</f>
        <v> </v>
      </c>
      <c r="L366" s="27"/>
    </row>
    <row r="367" spans="1:12">
      <c r="A367" s="20" t="s">
        <v>116</v>
      </c>
      <c r="E367" s="22">
        <f>IF(D367="?OLD","!!!","")</f>
        <v/>
      </c>
      <c r="F367" s="23" t="str">
        <f>IF(OR(E367="",E367="!!!"),"",IF(NOT(ISNA(VLOOKUP(E367,E$1:E366,1,FALSE()))),"OLD",IF(AND(E367&lt;&gt;"",E367&lt;&gt;"!!!"),"NEW","")))</f>
        <v> </v>
      </c>
      <c r="G367" s="24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5" t="str">
        <f>IF(J367&lt;&gt;1,"",IF(I367="SBJ","CB","?"))</f>
        <v> </v>
      </c>
      <c r="I367" s="26" t="str">
        <f>IF(OR(E367="",E367="!!!",F367="NEW"),"",INDEX(B366:B$2,-1+SUMPRODUCT(MAX(ROW(E366:E$2)*(E367=E366:E$2)))))</f>
        <v> </v>
      </c>
      <c r="J367" s="26" t="str">
        <f>IF(OR(E367="",E367="!!!",F367="NEW"),"",COUNTBLANK(OFFSET(A$1,,,SUMPRODUCT(MAX(ROW(E$2:E367)*(E367=E$2:E367)))))-COUNTBLANK(OFFSET(A$1,,,SUMPRODUCT(MAX(ROW(E$1:E366)*(E2=E$1:E366))))))</f>
        <v> </v>
      </c>
      <c r="K367" s="26" t="str">
        <f>IF(OR(E367="",E367="!!!",F367="NEW"),"",INDEX(J$1:J366,SUMPRODUCT(MAX(ROW(E$1:E366)*(E367=E$1:E366)))))</f>
        <v> </v>
      </c>
      <c r="L367" s="27"/>
    </row>
    <row r="368" spans="1:12">
      <c r="A368" s="20" t="s">
        <v>340</v>
      </c>
      <c r="E368" s="22">
        <f>IF(D368="?OLD","!!!","")</f>
        <v/>
      </c>
      <c r="F368" s="23" t="str">
        <f>IF(OR(E368="",E368="!!!"),"",IF(NOT(ISNA(VLOOKUP(E368,E$1:E367,1,FALSE()))),"OLD",IF(AND(E368&lt;&gt;"",E368&lt;&gt;"!!!"),"NEW","")))</f>
        <v> </v>
      </c>
      <c r="G368" s="24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5" t="str">
        <f>IF(J368&lt;&gt;1,"",IF(I368="SBJ","CB","?"))</f>
        <v> </v>
      </c>
      <c r="I368" s="26" t="str">
        <f>IF(OR(E368="",E368="!!!",F368="NEW"),"",INDEX(B367:B$2,-1+SUMPRODUCT(MAX(ROW(E367:E$2)*(E368=E367:E$2)))))</f>
        <v> </v>
      </c>
      <c r="J368" s="26" t="str">
        <f>IF(OR(E368="",E368="!!!",F368="NEW"),"",COUNTBLANK(OFFSET(A$1,,,SUMPRODUCT(MAX(ROW(E$2:E368)*(E368=E$2:E368)))))-COUNTBLANK(OFFSET(A$1,,,SUMPRODUCT(MAX(ROW(E$1:E367)*(E2=E$1:E367))))))</f>
        <v> </v>
      </c>
      <c r="K368" s="26" t="str">
        <f>IF(OR(E368="",E368="!!!",F368="NEW"),"",INDEX(J$1:J367,SUMPRODUCT(MAX(ROW(E$1:E367)*(E368=E$1:E367)))))</f>
        <v> </v>
      </c>
      <c r="L368" s="27"/>
    </row>
    <row r="369" spans="1:12">
      <c r="A369" s="20" t="s">
        <v>172</v>
      </c>
      <c r="B369" s="21" t="s">
        <v>139</v>
      </c>
      <c r="C369" s="21" t="s">
        <v>105</v>
      </c>
      <c r="D369" s="21" t="s">
        <v>106</v>
      </c>
      <c r="E369" s="22">
        <f>IF(D369="?OLD","!!!","")</f>
        <v/>
      </c>
      <c r="F369" s="23" t="str">
        <f>IF(OR(E369="",E369="!!!"),"",IF(NOT(ISNA(VLOOKUP(E369,E$1:E368,1,FALSE()))),"OLD",IF(AND(E369&lt;&gt;"",E369&lt;&gt;"!!!"),"NEW","")))</f>
        <v> </v>
      </c>
      <c r="G369" s="24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5" t="str">
        <f>IF(J369&lt;&gt;1,"",IF(I369="SBJ","CB","?"))</f>
        <v> </v>
      </c>
      <c r="I369" s="26" t="str">
        <f>IF(OR(E369="",E369="!!!",F369="NEW"),"",INDEX(B368:B$2,-1+SUMPRODUCT(MAX(ROW(E368:E$2)*(E369=E368:E$2)))))</f>
        <v> </v>
      </c>
      <c r="J369" s="26" t="str">
        <f>IF(OR(E369="",E369="!!!",F369="NEW"),"",COUNTBLANK(OFFSET(A$1,,,SUMPRODUCT(MAX(ROW(E$2:E369)*(E369=E$2:E369)))))-COUNTBLANK(OFFSET(A$1,,,SUMPRODUCT(MAX(ROW(E$1:E368)*(E2=E$1:E368))))))</f>
        <v> </v>
      </c>
      <c r="K369" s="26" t="str">
        <f>IF(OR(E369="",E369="!!!",F369="NEW"),"",INDEX(J$1:J368,SUMPRODUCT(MAX(ROW(E$1:E368)*(E369=E$1:E368)))))</f>
        <v> </v>
      </c>
      <c r="L369" s="27"/>
    </row>
    <row r="370" spans="1:12">
      <c r="A370" s="20" t="s">
        <v>341</v>
      </c>
      <c r="E370" s="22">
        <f>IF(D370="?OLD","!!!","")</f>
        <v/>
      </c>
      <c r="F370" s="23" t="str">
        <f>IF(OR(E370="",E370="!!!"),"",IF(NOT(ISNA(VLOOKUP(E370,E$1:E369,1,FALSE()))),"OLD",IF(AND(E370&lt;&gt;"",E370&lt;&gt;"!!!"),"NEW","")))</f>
        <v> </v>
      </c>
      <c r="G370" s="24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5" t="str">
        <f>IF(J370&lt;&gt;1,"",IF(I370="SBJ","CB","?"))</f>
        <v> </v>
      </c>
      <c r="I370" s="26" t="str">
        <f>IF(OR(E370="",E370="!!!",F370="NEW"),"",INDEX(B369:B$2,-1+SUMPRODUCT(MAX(ROW(E369:E$2)*(E370=E369:E$2)))))</f>
        <v> </v>
      </c>
      <c r="J370" s="26" t="str">
        <f>IF(OR(E370="",E370="!!!",F370="NEW"),"",COUNTBLANK(OFFSET(A$1,,,SUMPRODUCT(MAX(ROW(E$2:E370)*(E370=E$2:E370)))))-COUNTBLANK(OFFSET(A$1,,,SUMPRODUCT(MAX(ROW(E$1:E369)*(E2=E$1:E369))))))</f>
        <v> </v>
      </c>
      <c r="K370" s="26" t="str">
        <f>IF(OR(E370="",E370="!!!",F370="NEW"),"",INDEX(J$1:J369,SUMPRODUCT(MAX(ROW(E$1:E369)*(E370=E$1:E369)))))</f>
        <v> </v>
      </c>
      <c r="L370" s="27"/>
    </row>
    <row r="371" spans="1:12">
      <c r="A371" s="20" t="s">
        <v>342</v>
      </c>
      <c r="E371" s="22">
        <f>IF(D371="?OLD","!!!","")</f>
        <v/>
      </c>
      <c r="F371" s="23" t="str">
        <f>IF(OR(E371="",E371="!!!"),"",IF(NOT(ISNA(VLOOKUP(E371,E$1:E370,1,FALSE()))),"OLD",IF(AND(E371&lt;&gt;"",E371&lt;&gt;"!!!"),"NEW","")))</f>
        <v> </v>
      </c>
      <c r="G371" s="24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5" t="str">
        <f>IF(J371&lt;&gt;1,"",IF(I371="SBJ","CB","?"))</f>
        <v> </v>
      </c>
      <c r="I371" s="26" t="str">
        <f>IF(OR(E371="",E371="!!!",F371="NEW"),"",INDEX(B370:B$2,-1+SUMPRODUCT(MAX(ROW(E370:E$2)*(E371=E370:E$2)))))</f>
        <v> </v>
      </c>
      <c r="J371" s="26" t="str">
        <f>IF(OR(E371="",E371="!!!",F371="NEW"),"",COUNTBLANK(OFFSET(A$1,,,SUMPRODUCT(MAX(ROW(E$2:E371)*(E371=E$2:E371)))))-COUNTBLANK(OFFSET(A$1,,,SUMPRODUCT(MAX(ROW(E$1:E370)*(E2=E$1:E370))))))</f>
        <v> </v>
      </c>
      <c r="K371" s="26" t="str">
        <f>IF(OR(E371="",E371="!!!",F371="NEW"),"",INDEX(J$1:J370,SUMPRODUCT(MAX(ROW(E$1:E370)*(E371=E$1:E370)))))</f>
        <v> </v>
      </c>
      <c r="L371" s="27"/>
    </row>
    <row r="372" spans="1:12">
      <c r="A372" s="20" t="s">
        <v>343</v>
      </c>
      <c r="E372" s="22">
        <f>IF(D372="?OLD","!!!","")</f>
        <v/>
      </c>
      <c r="F372" s="23" t="str">
        <f>IF(OR(E372="",E372="!!!"),"",IF(NOT(ISNA(VLOOKUP(E372,E$1:E371,1,FALSE()))),"OLD",IF(AND(E372&lt;&gt;"",E372&lt;&gt;"!!!"),"NEW","")))</f>
        <v> </v>
      </c>
      <c r="G372" s="24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5" t="str">
        <f>IF(J372&lt;&gt;1,"",IF(I372="SBJ","CB","?"))</f>
        <v> </v>
      </c>
      <c r="I372" s="26" t="str">
        <f>IF(OR(E372="",E372="!!!",F372="NEW"),"",INDEX(B371:B$2,-1+SUMPRODUCT(MAX(ROW(E371:E$2)*(E372=E371:E$2)))))</f>
        <v> </v>
      </c>
      <c r="J372" s="26" t="str">
        <f>IF(OR(E372="",E372="!!!",F372="NEW"),"",COUNTBLANK(OFFSET(A$1,,,SUMPRODUCT(MAX(ROW(E$2:E372)*(E372=E$2:E372)))))-COUNTBLANK(OFFSET(A$1,,,SUMPRODUCT(MAX(ROW(E$1:E371)*(E2=E$1:E371))))))</f>
        <v> </v>
      </c>
      <c r="K372" s="26" t="str">
        <f>IF(OR(E372="",E372="!!!",F372="NEW"),"",INDEX(J$1:J371,SUMPRODUCT(MAX(ROW(E$1:E371)*(E372=E$1:E371)))))</f>
        <v> </v>
      </c>
      <c r="L372" s="27"/>
    </row>
    <row r="373" spans="1:12">
      <c r="A373" s="20" t="s">
        <v>116</v>
      </c>
      <c r="E373" s="22">
        <f>IF(D373="?OLD","!!!","")</f>
        <v/>
      </c>
      <c r="F373" s="23" t="str">
        <f>IF(OR(E373="",E373="!!!"),"",IF(NOT(ISNA(VLOOKUP(E373,E$1:E372,1,FALSE()))),"OLD",IF(AND(E373&lt;&gt;"",E373&lt;&gt;"!!!"),"NEW","")))</f>
        <v> </v>
      </c>
      <c r="G373" s="24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5" t="str">
        <f>IF(J373&lt;&gt;1,"",IF(I373="SBJ","CB","?"))</f>
        <v> </v>
      </c>
      <c r="I373" s="26" t="str">
        <f>IF(OR(E373="",E373="!!!",F373="NEW"),"",INDEX(B372:B$2,-1+SUMPRODUCT(MAX(ROW(E372:E$2)*(E373=E372:E$2)))))</f>
        <v> </v>
      </c>
      <c r="J373" s="26" t="str">
        <f>IF(OR(E373="",E373="!!!",F373="NEW"),"",COUNTBLANK(OFFSET(A$1,,,SUMPRODUCT(MAX(ROW(E$2:E373)*(E373=E$2:E373)))))-COUNTBLANK(OFFSET(A$1,,,SUMPRODUCT(MAX(ROW(E$1:E372)*(E2=E$1:E372))))))</f>
        <v> </v>
      </c>
      <c r="K373" s="26" t="str">
        <f>IF(OR(E373="",E373="!!!",F373="NEW"),"",INDEX(J$1:J372,SUMPRODUCT(MAX(ROW(E$1:E372)*(E373=E$1:E372)))))</f>
        <v> </v>
      </c>
      <c r="L373" s="27"/>
    </row>
    <row r="374" spans="1:12">
      <c r="A374" s="20" t="s">
        <v>291</v>
      </c>
      <c r="E374" s="22">
        <f>IF(D374="?OLD","!!!","")</f>
        <v/>
      </c>
      <c r="F374" s="23" t="str">
        <f>IF(OR(E374="",E374="!!!"),"",IF(NOT(ISNA(VLOOKUP(E374,E$1:E373,1,FALSE()))),"OLD",IF(AND(E374&lt;&gt;"",E374&lt;&gt;"!!!"),"NEW","")))</f>
        <v> </v>
      </c>
      <c r="G374" s="24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5" t="str">
        <f>IF(J374&lt;&gt;1,"",IF(I374="SBJ","CB","?"))</f>
        <v> </v>
      </c>
      <c r="I374" s="26" t="str">
        <f>IF(OR(E374="",E374="!!!",F374="NEW"),"",INDEX(B373:B$2,-1+SUMPRODUCT(MAX(ROW(E373:E$2)*(E374=E373:E$2)))))</f>
        <v> </v>
      </c>
      <c r="J374" s="26" t="str">
        <f>IF(OR(E374="",E374="!!!",F374="NEW"),"",COUNTBLANK(OFFSET(A$1,,,SUMPRODUCT(MAX(ROW(E$2:E374)*(E374=E$2:E374)))))-COUNTBLANK(OFFSET(A$1,,,SUMPRODUCT(MAX(ROW(E$1:E373)*(E2=E$1:E373))))))</f>
        <v> </v>
      </c>
      <c r="K374" s="26" t="str">
        <f>IF(OR(E374="",E374="!!!",F374="NEW"),"",INDEX(J$1:J373,SUMPRODUCT(MAX(ROW(E$1:E373)*(E374=E$1:E373)))))</f>
        <v> </v>
      </c>
      <c r="L374" s="27"/>
    </row>
    <row r="375" spans="1:12">
      <c r="A375" s="20" t="s">
        <v>199</v>
      </c>
      <c r="E375" s="22">
        <f>IF(D375="?OLD","!!!","")</f>
        <v/>
      </c>
      <c r="F375" s="23" t="str">
        <f>IF(OR(E375="",E375="!!!"),"",IF(NOT(ISNA(VLOOKUP(E375,E$1:E374,1,FALSE()))),"OLD",IF(AND(E375&lt;&gt;"",E375&lt;&gt;"!!!"),"NEW","")))</f>
        <v> </v>
      </c>
      <c r="G375" s="24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25" t="str">
        <f>IF(J375&lt;&gt;1,"",IF(I375="SBJ","CB","?"))</f>
        <v> </v>
      </c>
      <c r="I375" s="26" t="str">
        <f>IF(OR(E375="",E375="!!!",F375="NEW"),"",INDEX(B374:B$2,-1+SUMPRODUCT(MAX(ROW(E374:E$2)*(E375=E374:E$2)))))</f>
        <v> </v>
      </c>
      <c r="J375" s="26" t="str">
        <f>IF(OR(E375="",E375="!!!",F375="NEW"),"",COUNTBLANK(OFFSET(A$1,,,SUMPRODUCT(MAX(ROW(E$2:E375)*(E375=E$2:E375)))))-COUNTBLANK(OFFSET(A$1,,,SUMPRODUCT(MAX(ROW(E$1:E374)*(E2=E$1:E374))))))</f>
        <v> </v>
      </c>
      <c r="K375" s="26" t="str">
        <f>IF(OR(E375="",E375="!!!",F375="NEW"),"",INDEX(J$1:J374,SUMPRODUCT(MAX(ROW(E$1:E374)*(E375=E$1:E374)))))</f>
        <v> </v>
      </c>
      <c r="L375" s="27"/>
    </row>
    <row r="376" spans="1:12">
      <c r="A376" s="20" t="s">
        <v>116</v>
      </c>
      <c r="E376" s="22">
        <f>IF(D376="?OLD","!!!","")</f>
        <v/>
      </c>
      <c r="F376" s="23" t="str">
        <f>IF(OR(E376="",E376="!!!"),"",IF(NOT(ISNA(VLOOKUP(E376,E$1:E375,1,FALSE()))),"OLD",IF(AND(E376&lt;&gt;"",E376&lt;&gt;"!!!"),"NEW","")))</f>
        <v> </v>
      </c>
      <c r="G376" s="24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5" t="str">
        <f>IF(J376&lt;&gt;1,"",IF(I376="SBJ","CB","?"))</f>
        <v> </v>
      </c>
      <c r="I376" s="26" t="str">
        <f>IF(OR(E376="",E376="!!!",F376="NEW"),"",INDEX(B375:B$2,-1+SUMPRODUCT(MAX(ROW(E375:E$2)*(E376=E375:E$2)))))</f>
        <v> </v>
      </c>
      <c r="J376" s="26" t="str">
        <f>IF(OR(E376="",E376="!!!",F376="NEW"),"",COUNTBLANK(OFFSET(A$1,,,SUMPRODUCT(MAX(ROW(E$2:E376)*(E376=E$2:E376)))))-COUNTBLANK(OFFSET(A$1,,,SUMPRODUCT(MAX(ROW(E$1:E375)*(E2=E$1:E375))))))</f>
        <v> </v>
      </c>
      <c r="K376" s="26" t="str">
        <f>IF(OR(E376="",E376="!!!",F376="NEW"),"",INDEX(J$1:J375,SUMPRODUCT(MAX(ROW(E$1:E375)*(E376=E$1:E375)))))</f>
        <v> </v>
      </c>
      <c r="L376" s="27"/>
    </row>
    <row r="377" spans="1:12">
      <c r="A377" s="20" t="s">
        <v>232</v>
      </c>
      <c r="E377" s="22">
        <f>IF(D377="?OLD","!!!","")</f>
        <v/>
      </c>
      <c r="F377" s="23" t="str">
        <f>IF(OR(E377="",E377="!!!"),"",IF(NOT(ISNA(VLOOKUP(E377,E$1:E376,1,FALSE()))),"OLD",IF(AND(E377&lt;&gt;"",E377&lt;&gt;"!!!"),"NEW","")))</f>
        <v> </v>
      </c>
      <c r="G377" s="24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5" t="str">
        <f>IF(J377&lt;&gt;1,"",IF(I377="SBJ","CB","?"))</f>
        <v> </v>
      </c>
      <c r="I377" s="26" t="str">
        <f>IF(OR(E377="",E377="!!!",F377="NEW"),"",INDEX(B376:B$2,-1+SUMPRODUCT(MAX(ROW(E376:E$2)*(E377=E376:E$2)))))</f>
        <v> </v>
      </c>
      <c r="J377" s="26" t="str">
        <f>IF(OR(E377="",E377="!!!",F377="NEW"),"",COUNTBLANK(OFFSET(A$1,,,SUMPRODUCT(MAX(ROW(E$2:E377)*(E377=E$2:E377)))))-COUNTBLANK(OFFSET(A$1,,,SUMPRODUCT(MAX(ROW(E$1:E376)*(E2=E$1:E376))))))</f>
        <v> </v>
      </c>
      <c r="K377" s="26" t="str">
        <f>IF(OR(E377="",E377="!!!",F377="NEW"),"",INDEX(J$1:J376,SUMPRODUCT(MAX(ROW(E$1:E376)*(E377=E$1:E376)))))</f>
        <v> </v>
      </c>
      <c r="L377" s="27"/>
    </row>
    <row r="378" spans="1:12">
      <c r="A378" s="20" t="s">
        <v>172</v>
      </c>
      <c r="B378" s="21" t="s">
        <v>104</v>
      </c>
      <c r="C378" s="21" t="s">
        <v>105</v>
      </c>
      <c r="D378" s="21" t="s">
        <v>106</v>
      </c>
      <c r="E378" s="22">
        <f>IF(D378="?OLD","!!!","")</f>
        <v/>
      </c>
      <c r="F378" s="23" t="str">
        <f>IF(OR(E378="",E378="!!!"),"",IF(NOT(ISNA(VLOOKUP(E378,E$1:E377,1,FALSE()))),"OLD",IF(AND(E378&lt;&gt;"",E378&lt;&gt;"!!!"),"NEW","")))</f>
        <v> </v>
      </c>
      <c r="G378" s="24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5" t="str">
        <f>IF(J378&lt;&gt;1,"",IF(I378="SBJ","CB","?"))</f>
        <v> </v>
      </c>
      <c r="I378" s="26" t="str">
        <f>IF(OR(E378="",E378="!!!",F378="NEW"),"",INDEX(B377:B$2,-1+SUMPRODUCT(MAX(ROW(E377:E$2)*(E378=E377:E$2)))))</f>
        <v> </v>
      </c>
      <c r="J378" s="26" t="str">
        <f>IF(OR(E378="",E378="!!!",F378="NEW"),"",COUNTBLANK(OFFSET(A$1,,,SUMPRODUCT(MAX(ROW(E$2:E378)*(E378=E$2:E378)))))-COUNTBLANK(OFFSET(A$1,,,SUMPRODUCT(MAX(ROW(E$1:E377)*(E2=E$1:E377))))))</f>
        <v> </v>
      </c>
      <c r="K378" s="26" t="str">
        <f>IF(OR(E378="",E378="!!!",F378="NEW"),"",INDEX(J$1:J377,SUMPRODUCT(MAX(ROW(E$1:E377)*(E378=E$1:E377)))))</f>
        <v> </v>
      </c>
      <c r="L378" s="27"/>
    </row>
    <row r="379" spans="1:12">
      <c r="A379" s="20" t="s">
        <v>344</v>
      </c>
      <c r="E379" s="22">
        <f>IF(D379="?OLD","!!!","")</f>
        <v/>
      </c>
      <c r="F379" s="23" t="str">
        <f>IF(OR(E379="",E379="!!!"),"",IF(NOT(ISNA(VLOOKUP(E379,E$1:E378,1,FALSE()))),"OLD",IF(AND(E379&lt;&gt;"",E379&lt;&gt;"!!!"),"NEW","")))</f>
        <v> </v>
      </c>
      <c r="G379" s="24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5" t="str">
        <f>IF(J379&lt;&gt;1,"",IF(I379="SBJ","CB","?"))</f>
        <v> </v>
      </c>
      <c r="I379" s="26" t="str">
        <f>IF(OR(E379="",E379="!!!",F379="NEW"),"",INDEX(B378:B$2,-1+SUMPRODUCT(MAX(ROW(E378:E$2)*(E379=E378:E$2)))))</f>
        <v> </v>
      </c>
      <c r="J379" s="26" t="str">
        <f>IF(OR(E379="",E379="!!!",F379="NEW"),"",COUNTBLANK(OFFSET(A$1,,,SUMPRODUCT(MAX(ROW(E$2:E379)*(E379=E$2:E379)))))-COUNTBLANK(OFFSET(A$1,,,SUMPRODUCT(MAX(ROW(E$1:E378)*(E2=E$1:E378))))))</f>
        <v> </v>
      </c>
      <c r="K379" s="26" t="str">
        <f>IF(OR(E379="",E379="!!!",F379="NEW"),"",INDEX(J$1:J378,SUMPRODUCT(MAX(ROW(E$1:E378)*(E379=E$1:E378)))))</f>
        <v> </v>
      </c>
      <c r="L379" s="27"/>
    </row>
    <row r="380" spans="1:12">
      <c r="A380" s="20" t="s">
        <v>210</v>
      </c>
      <c r="B380" s="21" t="s">
        <v>104</v>
      </c>
      <c r="C380" s="21" t="s">
        <v>175</v>
      </c>
      <c r="D380" s="21" t="s">
        <v>106</v>
      </c>
      <c r="E380" s="22">
        <f>IF(D380="?OLD","!!!","")</f>
        <v/>
      </c>
      <c r="F380" s="23" t="str">
        <f>IF(OR(E380="",E380="!!!"),"",IF(NOT(ISNA(VLOOKUP(E380,E$1:E379,1,FALSE()))),"OLD",IF(AND(E380&lt;&gt;"",E380&lt;&gt;"!!!"),"NEW","")))</f>
        <v> </v>
      </c>
      <c r="G380" s="24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25" t="str">
        <f>IF(J380&lt;&gt;1,"",IF(I380="SBJ","CB","?"))</f>
        <v> </v>
      </c>
      <c r="I380" s="26" t="str">
        <f>IF(OR(E380="",E380="!!!",F380="NEW"),"",INDEX(B379:B$2,-1+SUMPRODUCT(MAX(ROW(E379:E$2)*(E380=E379:E$2)))))</f>
        <v> </v>
      </c>
      <c r="J380" s="26" t="str">
        <f>IF(OR(E380="",E380="!!!",F380="NEW"),"",COUNTBLANK(OFFSET(A$1,,,SUMPRODUCT(MAX(ROW(E$2:E380)*(E380=E$2:E380)))))-COUNTBLANK(OFFSET(A$1,,,SUMPRODUCT(MAX(ROW(E$1:E379)*(E2=E$1:E379))))))</f>
        <v> </v>
      </c>
      <c r="K380" s="26" t="str">
        <f>IF(OR(E380="",E380="!!!",F380="NEW"),"",INDEX(J$1:J379,SUMPRODUCT(MAX(ROW(E$1:E379)*(E380=E$1:E379)))))</f>
        <v> </v>
      </c>
      <c r="L380" s="27"/>
    </row>
    <row r="381" spans="1:12">
      <c r="A381" s="20" t="s">
        <v>345</v>
      </c>
      <c r="E381" s="22">
        <f>IF(D381="?OLD","!!!","")</f>
        <v/>
      </c>
      <c r="F381" s="23" t="str">
        <f>IF(OR(E381="",E381="!!!"),"",IF(NOT(ISNA(VLOOKUP(E381,E$1:E380,1,FALSE()))),"OLD",IF(AND(E381&lt;&gt;"",E381&lt;&gt;"!!!"),"NEW","")))</f>
        <v> </v>
      </c>
      <c r="G381" s="24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> </v>
      </c>
      <c r="H381" s="25" t="str">
        <f>IF(J381&lt;&gt;1,"",IF(I381="SBJ","CB","?"))</f>
        <v> </v>
      </c>
      <c r="I381" s="26" t="str">
        <f>IF(OR(E381="",E381="!!!",F381="NEW"),"",INDEX(B380:B$2,-1+SUMPRODUCT(MAX(ROW(E380:E$2)*(E381=E380:E$2)))))</f>
        <v> </v>
      </c>
      <c r="J381" s="26" t="str">
        <f>IF(OR(E381="",E381="!!!",F381="NEW"),"",COUNTBLANK(OFFSET(A$1,,,SUMPRODUCT(MAX(ROW(E$2:E381)*(E381=E$2:E381)))))-COUNTBLANK(OFFSET(A$1,,,SUMPRODUCT(MAX(ROW(E$1:E380)*(E2=E$1:E380))))))</f>
        <v> </v>
      </c>
      <c r="K381" s="26" t="str">
        <f>IF(OR(E381="",E381="!!!",F381="NEW"),"",INDEX(J$1:J380,SUMPRODUCT(MAX(ROW(E$1:E380)*(E381=E$1:E380)))))</f>
        <v> </v>
      </c>
      <c r="L381" s="27"/>
    </row>
    <row r="382" spans="1:12">
      <c r="A382" s="20" t="s">
        <v>346</v>
      </c>
      <c r="E382" s="22">
        <f>IF(D382="?OLD","!!!","")</f>
        <v/>
      </c>
      <c r="F382" s="23" t="str">
        <f>IF(OR(E382="",E382="!!!"),"",IF(NOT(ISNA(VLOOKUP(E382,E$1:E381,1,FALSE()))),"OLD",IF(AND(E382&lt;&gt;"",E382&lt;&gt;"!!!"),"NEW","")))</f>
        <v> </v>
      </c>
      <c r="G382" s="24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25" t="str">
        <f>IF(J382&lt;&gt;1,"",IF(I382="SBJ","CB","?"))</f>
        <v> </v>
      </c>
      <c r="I382" s="26" t="str">
        <f>IF(OR(E382="",E382="!!!",F382="NEW"),"",INDEX(B381:B$2,-1+SUMPRODUCT(MAX(ROW(E381:E$2)*(E382=E381:E$2)))))</f>
        <v> </v>
      </c>
      <c r="J382" s="26" t="str">
        <f>IF(OR(E382="",E382="!!!",F382="NEW"),"",COUNTBLANK(OFFSET(A$1,,,SUMPRODUCT(MAX(ROW(E$2:E382)*(E382=E$2:E382)))))-COUNTBLANK(OFFSET(A$1,,,SUMPRODUCT(MAX(ROW(E$1:E381)*(E2=E$1:E381))))))</f>
        <v> </v>
      </c>
      <c r="K382" s="26" t="str">
        <f>IF(OR(E382="",E382="!!!",F382="NEW"),"",INDEX(J$1:J381,SUMPRODUCT(MAX(ROW(E$1:E381)*(E382=E$1:E381)))))</f>
        <v> </v>
      </c>
      <c r="L382" s="27"/>
    </row>
    <row r="383" spans="1:12">
      <c r="A383" s="20" t="s">
        <v>347</v>
      </c>
      <c r="E383" s="22">
        <f>IF(D383="?OLD","!!!","")</f>
        <v/>
      </c>
      <c r="F383" s="23" t="str">
        <f>IF(OR(E383="",E383="!!!"),"",IF(NOT(ISNA(VLOOKUP(E383,E$1:E382,1,FALSE()))),"OLD",IF(AND(E383&lt;&gt;"",E383&lt;&gt;"!!!"),"NEW","")))</f>
        <v> </v>
      </c>
      <c r="G383" s="24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5" t="str">
        <f>IF(J383&lt;&gt;1,"",IF(I383="SBJ","CB","?"))</f>
        <v> </v>
      </c>
      <c r="I383" s="26" t="str">
        <f>IF(OR(E383="",E383="!!!",F383="NEW"),"",INDEX(B382:B$2,-1+SUMPRODUCT(MAX(ROW(E382:E$2)*(E383=E382:E$2)))))</f>
        <v> </v>
      </c>
      <c r="J383" s="26" t="str">
        <f>IF(OR(E383="",E383="!!!",F383="NEW"),"",COUNTBLANK(OFFSET(A$1,,,SUMPRODUCT(MAX(ROW(E$2:E383)*(E383=E$2:E383)))))-COUNTBLANK(OFFSET(A$1,,,SUMPRODUCT(MAX(ROW(E$1:E382)*(E2=E$1:E382))))))</f>
        <v> </v>
      </c>
      <c r="K383" s="26" t="str">
        <f>IF(OR(E383="",E383="!!!",F383="NEW"),"",INDEX(J$1:J382,SUMPRODUCT(MAX(ROW(E$1:E382)*(E383=E$1:E382)))))</f>
        <v> </v>
      </c>
      <c r="L383" s="27"/>
    </row>
    <row r="384" spans="1:12">
      <c r="A384" s="20" t="s">
        <v>135</v>
      </c>
      <c r="E384" s="22">
        <f>IF(D384="?OLD","!!!","")</f>
        <v/>
      </c>
      <c r="F384" s="23" t="str">
        <f>IF(OR(E384="",E384="!!!"),"",IF(NOT(ISNA(VLOOKUP(E384,E$1:E383,1,FALSE()))),"OLD",IF(AND(E384&lt;&gt;"",E384&lt;&gt;"!!!"),"NEW","")))</f>
        <v> </v>
      </c>
      <c r="G384" s="24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5" t="str">
        <f>IF(J384&lt;&gt;1,"",IF(I384="SBJ","CB","?"))</f>
        <v> </v>
      </c>
      <c r="I384" s="26" t="str">
        <f>IF(OR(E384="",E384="!!!",F384="NEW"),"",INDEX(B383:B$2,-1+SUMPRODUCT(MAX(ROW(E383:E$2)*(E384=E383:E$2)))))</f>
        <v> </v>
      </c>
      <c r="J384" s="26" t="str">
        <f>IF(OR(E384="",E384="!!!",F384="NEW"),"",COUNTBLANK(OFFSET(A$1,,,SUMPRODUCT(MAX(ROW(E$2:E384)*(E384=E$2:E384)))))-COUNTBLANK(OFFSET(A$1,,,SUMPRODUCT(MAX(ROW(E$1:E383)*(E2=E$1:E383))))))</f>
        <v> </v>
      </c>
      <c r="K384" s="26" t="str">
        <f>IF(OR(E384="",E384="!!!",F384="NEW"),"",INDEX(J$1:J383,SUMPRODUCT(MAX(ROW(E$1:E383)*(E384=E$1:E383)))))</f>
        <v> </v>
      </c>
      <c r="L384" s="27"/>
    </row>
    <row r="385" spans="1:12">
      <c r="A385" s="20" t="s">
        <v>342</v>
      </c>
      <c r="E385" s="22">
        <f>IF(D385="?OLD","!!!","")</f>
        <v/>
      </c>
      <c r="F385" s="23" t="str">
        <f>IF(OR(E385="",E385="!!!"),"",IF(NOT(ISNA(VLOOKUP(E385,E$1:E384,1,FALSE()))),"OLD",IF(AND(E385&lt;&gt;"",E385&lt;&gt;"!!!"),"NEW","")))</f>
        <v> </v>
      </c>
      <c r="G385" s="24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5" t="str">
        <f>IF(J385&lt;&gt;1,"",IF(I385="SBJ","CB","?"))</f>
        <v> </v>
      </c>
      <c r="I385" s="26" t="str">
        <f>IF(OR(E385="",E385="!!!",F385="NEW"),"",INDEX(B384:B$2,-1+SUMPRODUCT(MAX(ROW(E384:E$2)*(E385=E384:E$2)))))</f>
        <v> </v>
      </c>
      <c r="J385" s="26" t="str">
        <f>IF(OR(E385="",E385="!!!",F385="NEW"),"",COUNTBLANK(OFFSET(A$1,,,SUMPRODUCT(MAX(ROW(E$2:E385)*(E385=E$2:E385)))))-COUNTBLANK(OFFSET(A$1,,,SUMPRODUCT(MAX(ROW(E$1:E384)*(E2=E$1:E384))))))</f>
        <v> </v>
      </c>
      <c r="K385" s="26" t="str">
        <f>IF(OR(E385="",E385="!!!",F385="NEW"),"",INDEX(J$1:J384,SUMPRODUCT(MAX(ROW(E$1:E384)*(E385=E$1:E384)))))</f>
        <v> </v>
      </c>
      <c r="L385" s="27"/>
    </row>
    <row r="386" spans="1:12">
      <c r="A386" s="20"/>
    </row>
    <row r="387" spans="1:12">
      <c r="A387" s="20" t="s">
        <v>348</v>
      </c>
    </row>
    <row r="388" spans="1:12">
      <c r="A388" s="20" t="s">
        <v>349</v>
      </c>
      <c r="E388" s="22">
        <f>IF(D388="?OLD","!!!","")</f>
        <v/>
      </c>
      <c r="F388" s="23" t="str">
        <f>IF(OR(E388="",E388="!!!"),"",IF(NOT(ISNA(VLOOKUP(E388,E$1:E387,1,FALSE()))),"OLD",IF(AND(E388&lt;&gt;"",E388&lt;&gt;"!!!"),"NEW","")))</f>
        <v> </v>
      </c>
      <c r="G388" s="24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 </v>
      </c>
      <c r="H388" s="25" t="str">
        <f>IF(J388&lt;&gt;1,"",IF(I388="SBJ","CB","?"))</f>
        <v> </v>
      </c>
      <c r="I388" s="26" t="str">
        <f>IF(OR(E388="",E388="!!!",F388="NEW"),"",INDEX(B387:B$2,-1+SUMPRODUCT(MAX(ROW(E387:E$2)*(E388=E387:E$2)))))</f>
        <v> </v>
      </c>
      <c r="J388" s="26" t="str">
        <f>IF(OR(E388="",E388="!!!",F388="NEW"),"",COUNTBLANK(OFFSET(A$1,,,SUMPRODUCT(MAX(ROW(E$2:E388)*(E388=E$2:E388)))))-COUNTBLANK(OFFSET(A$1,,,SUMPRODUCT(MAX(ROW(E$1:E387)*(E2=E$1:E387))))))</f>
        <v> </v>
      </c>
      <c r="K388" s="26" t="str">
        <f>IF(OR(E388="",E388="!!!",F388="NEW"),"",INDEX(J$1:J387,SUMPRODUCT(MAX(ROW(E$1:E387)*(E388=E$1:E387)))))</f>
        <v> </v>
      </c>
      <c r="L388" s="27"/>
    </row>
    <row r="389" spans="1:12">
      <c r="A389" s="20" t="s">
        <v>350</v>
      </c>
      <c r="E389" s="22">
        <f>IF(D389="?OLD","!!!","")</f>
        <v/>
      </c>
      <c r="F389" s="23" t="str">
        <f>IF(OR(E389="",E389="!!!"),"",IF(NOT(ISNA(VLOOKUP(E389,E$1:E388,1,FALSE()))),"OLD",IF(AND(E389&lt;&gt;"",E389&lt;&gt;"!!!"),"NEW","")))</f>
        <v> </v>
      </c>
      <c r="G389" s="24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> </v>
      </c>
      <c r="H389" s="25" t="str">
        <f>IF(J389&lt;&gt;1,"",IF(I389="SBJ","CB","?"))</f>
        <v> </v>
      </c>
      <c r="I389" s="26" t="str">
        <f>IF(OR(E389="",E389="!!!",F389="NEW"),"",INDEX(B388:B$2,-1+SUMPRODUCT(MAX(ROW(E388:E$2)*(E389=E388:E$2)))))</f>
        <v> </v>
      </c>
      <c r="J389" s="26" t="str">
        <f>IF(OR(E389="",E389="!!!",F389="NEW"),"",COUNTBLANK(OFFSET(A$1,,,SUMPRODUCT(MAX(ROW(E$2:E389)*(E389=E$2:E389)))))-COUNTBLANK(OFFSET(A$1,,,SUMPRODUCT(MAX(ROW(E$1:E388)*(E2=E$1:E388))))))</f>
        <v> </v>
      </c>
      <c r="K389" s="26" t="str">
        <f>IF(OR(E389="",E389="!!!",F389="NEW"),"",INDEX(J$1:J388,SUMPRODUCT(MAX(ROW(E$1:E388)*(E389=E$1:E388)))))</f>
        <v> </v>
      </c>
      <c r="L389" s="27"/>
    </row>
    <row r="390" spans="1:12">
      <c r="A390" s="20" t="s">
        <v>172</v>
      </c>
      <c r="B390" s="21" t="s">
        <v>139</v>
      </c>
      <c r="C390" s="21" t="s">
        <v>105</v>
      </c>
      <c r="D390" s="21" t="s">
        <v>106</v>
      </c>
      <c r="E390" s="22">
        <f>IF(D390="?OLD","!!!","")</f>
        <v/>
      </c>
      <c r="F390" s="23" t="str">
        <f>IF(OR(E390="",E390="!!!"),"",IF(NOT(ISNA(VLOOKUP(E390,E$1:E389,1,FALSE()))),"OLD",IF(AND(E390&lt;&gt;"",E390&lt;&gt;"!!!"),"NEW","")))</f>
        <v> </v>
      </c>
      <c r="G390" s="24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5" t="str">
        <f>IF(J390&lt;&gt;1,"",IF(I390="SBJ","CB","?"))</f>
        <v> </v>
      </c>
      <c r="I390" s="26" t="str">
        <f>IF(OR(E390="",E390="!!!",F390="NEW"),"",INDEX(B389:B$2,-1+SUMPRODUCT(MAX(ROW(E389:E$2)*(E390=E389:E$2)))))</f>
        <v> </v>
      </c>
      <c r="J390" s="26" t="str">
        <f>IF(OR(E390="",E390="!!!",F390="NEW"),"",COUNTBLANK(OFFSET(A$1,,,SUMPRODUCT(MAX(ROW(E$2:E390)*(E390=E$2:E390)))))-COUNTBLANK(OFFSET(A$1,,,SUMPRODUCT(MAX(ROW(E$1:E389)*(E2=E$1:E389))))))</f>
        <v> </v>
      </c>
      <c r="K390" s="26" t="str">
        <f>IF(OR(E390="",E390="!!!",F390="NEW"),"",INDEX(J$1:J389,SUMPRODUCT(MAX(ROW(E$1:E389)*(E390=E$1:E389)))))</f>
        <v> </v>
      </c>
      <c r="L390" s="27"/>
    </row>
    <row r="391" spans="1:12">
      <c r="A391" s="20" t="s">
        <v>141</v>
      </c>
      <c r="E391" s="22">
        <f>IF(D391="?OLD","!!!","")</f>
        <v/>
      </c>
      <c r="F391" s="23" t="str">
        <f>IF(OR(E391="",E391="!!!"),"",IF(NOT(ISNA(VLOOKUP(E391,E$1:E390,1,FALSE()))),"OLD",IF(AND(E391&lt;&gt;"",E391&lt;&gt;"!!!"),"NEW","")))</f>
        <v> </v>
      </c>
      <c r="G391" s="24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5" t="str">
        <f>IF(J391&lt;&gt;1,"",IF(I391="SBJ","CB","?"))</f>
        <v> </v>
      </c>
      <c r="I391" s="26" t="str">
        <f>IF(OR(E391="",E391="!!!",F391="NEW"),"",INDEX(B390:B$2,-1+SUMPRODUCT(MAX(ROW(E390:E$2)*(E391=E390:E$2)))))</f>
        <v> </v>
      </c>
      <c r="J391" s="26" t="str">
        <f>IF(OR(E391="",E391="!!!",F391="NEW"),"",COUNTBLANK(OFFSET(A$1,,,SUMPRODUCT(MAX(ROW(E$2:E391)*(E391=E$2:E391)))))-COUNTBLANK(OFFSET(A$1,,,SUMPRODUCT(MAX(ROW(E$1:E390)*(E2=E$1:E390))))))</f>
        <v> </v>
      </c>
      <c r="K391" s="26" t="str">
        <f>IF(OR(E391="",E391="!!!",F391="NEW"),"",INDEX(J$1:J390,SUMPRODUCT(MAX(ROW(E$1:E390)*(E391=E$1:E390)))))</f>
        <v> </v>
      </c>
      <c r="L391" s="27"/>
    </row>
    <row r="392" spans="1:12">
      <c r="A392" s="20" t="s">
        <v>194</v>
      </c>
      <c r="B392" s="21" t="s">
        <v>124</v>
      </c>
      <c r="C392" s="21" t="s">
        <v>170</v>
      </c>
      <c r="D392" s="21" t="s">
        <v>106</v>
      </c>
      <c r="E392" s="22">
        <f>IF(D392="?OLD","!!!","")</f>
        <v/>
      </c>
      <c r="F392" s="23" t="str">
        <f>IF(OR(E392="",E392="!!!"),"",IF(NOT(ISNA(VLOOKUP(E392,E$1:E391,1,FALSE()))),"OLD",IF(AND(E392&lt;&gt;"",E392&lt;&gt;"!!!"),"NEW","")))</f>
        <v> </v>
      </c>
      <c r="G392" s="24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5" t="str">
        <f>IF(J392&lt;&gt;1,"",IF(I392="SBJ","CB","?"))</f>
        <v> </v>
      </c>
      <c r="I392" s="26" t="str">
        <f>IF(OR(E392="",E392="!!!",F392="NEW"),"",INDEX(B391:B$2,-1+SUMPRODUCT(MAX(ROW(E391:E$2)*(E392=E391:E$2)))))</f>
        <v> </v>
      </c>
      <c r="J392" s="26" t="str">
        <f>IF(OR(E392="",E392="!!!",F392="NEW"),"",COUNTBLANK(OFFSET(A$1,,,SUMPRODUCT(MAX(ROW(E$2:E392)*(E392=E$2:E392)))))-COUNTBLANK(OFFSET(A$1,,,SUMPRODUCT(MAX(ROW(E$1:E391)*(E2=E$1:E391))))))</f>
        <v> </v>
      </c>
      <c r="K392" s="26" t="str">
        <f>IF(OR(E392="",E392="!!!",F392="NEW"),"",INDEX(J$1:J391,SUMPRODUCT(MAX(ROW(E$1:E391)*(E392=E$1:E391)))))</f>
        <v> </v>
      </c>
      <c r="L392" s="27"/>
    </row>
    <row r="393" spans="1:12">
      <c r="A393" s="20" t="s">
        <v>351</v>
      </c>
      <c r="B393" s="21" t="s">
        <v>110</v>
      </c>
      <c r="C393" s="21" t="s">
        <v>130</v>
      </c>
      <c r="E393" s="22">
        <f>IF(D393="?OLD","!!!","")</f>
        <v/>
      </c>
      <c r="F393" s="23" t="str">
        <f>IF(OR(E393="",E393="!!!"),"",IF(NOT(ISNA(VLOOKUP(E393,E$1:E392,1,FALSE()))),"OLD",IF(AND(E393&lt;&gt;"",E393&lt;&gt;"!!!"),"NEW","")))</f>
        <v> </v>
      </c>
      <c r="G393" s="24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5" t="str">
        <f>IF(J393&lt;&gt;1,"",IF(I393="SBJ","CB","?"))</f>
        <v> </v>
      </c>
      <c r="I393" s="26" t="str">
        <f>IF(OR(E393="",E393="!!!",F393="NEW"),"",INDEX(B392:B$2,-1+SUMPRODUCT(MAX(ROW(E392:E$2)*(E393=E392:E$2)))))</f>
        <v> </v>
      </c>
      <c r="J393" s="26" t="str">
        <f>IF(OR(E393="",E393="!!!",F393="NEW"),"",COUNTBLANK(OFFSET(A$1,,,SUMPRODUCT(MAX(ROW(E$2:E393)*(E393=E$2:E393)))))-COUNTBLANK(OFFSET(A$1,,,SUMPRODUCT(MAX(ROW(E$1:E392)*(E2=E$1:E392))))))</f>
        <v> </v>
      </c>
      <c r="K393" s="26" t="str">
        <f>IF(OR(E393="",E393="!!!",F393="NEW"),"",INDEX(J$1:J392,SUMPRODUCT(MAX(ROW(E$1:E392)*(E393=E$1:E392)))))</f>
        <v> </v>
      </c>
      <c r="L393" s="27"/>
    </row>
    <row r="394" spans="1:12">
      <c r="A394" s="20" t="s">
        <v>128</v>
      </c>
      <c r="E394" s="22">
        <f>IF(D394="?OLD","!!!","")</f>
        <v/>
      </c>
      <c r="F394" s="23" t="str">
        <f>IF(OR(E394="",E394="!!!"),"",IF(NOT(ISNA(VLOOKUP(E394,E$1:E393,1,FALSE()))),"OLD",IF(AND(E394&lt;&gt;"",E394&lt;&gt;"!!!"),"NEW","")))</f>
        <v> </v>
      </c>
      <c r="G394" s="24" t="str">
        <f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> </v>
      </c>
      <c r="H394" s="25" t="str">
        <f>IF(J394&lt;&gt;1,"",IF(I394="SBJ","CB","?"))</f>
        <v> </v>
      </c>
      <c r="I394" s="26" t="str">
        <f>IF(OR(E394="",E394="!!!",F394="NEW"),"",INDEX(B393:B$2,-1+SUMPRODUCT(MAX(ROW(E393:E$2)*(E394=E393:E$2)))))</f>
        <v> </v>
      </c>
      <c r="J394" s="26" t="str">
        <f>IF(OR(E394="",E394="!!!",F394="NEW"),"",COUNTBLANK(OFFSET(A$1,,,SUMPRODUCT(MAX(ROW(E$2:E394)*(E394=E$2:E394)))))-COUNTBLANK(OFFSET(A$1,,,SUMPRODUCT(MAX(ROW(E$1:E393)*(E2=E$1:E393))))))</f>
        <v> </v>
      </c>
      <c r="K394" s="26" t="str">
        <f>IF(OR(E394="",E394="!!!",F394="NEW"),"",INDEX(J$1:J393,SUMPRODUCT(MAX(ROW(E$1:E393)*(E394=E$1:E393)))))</f>
        <v> </v>
      </c>
      <c r="L394" s="27"/>
    </row>
    <row r="395" spans="1:12">
      <c r="A395" s="20" t="s">
        <v>148</v>
      </c>
      <c r="E395" s="22">
        <f>IF(D395="?OLD","!!!","")</f>
        <v/>
      </c>
      <c r="F395" s="23" t="str">
        <f>IF(OR(E395="",E395="!!!"),"",IF(NOT(ISNA(VLOOKUP(E395,E$1:E394,1,FALSE()))),"OLD",IF(AND(E395&lt;&gt;"",E395&lt;&gt;"!!!"),"NEW","")))</f>
        <v> </v>
      </c>
      <c r="G395" s="24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5" t="str">
        <f>IF(J395&lt;&gt;1,"",IF(I395="SBJ","CB","?"))</f>
        <v> </v>
      </c>
      <c r="I395" s="26" t="str">
        <f>IF(OR(E395="",E395="!!!",F395="NEW"),"",INDEX(B394:B$2,-1+SUMPRODUCT(MAX(ROW(E394:E$2)*(E395=E394:E$2)))))</f>
        <v> </v>
      </c>
      <c r="J395" s="26" t="str">
        <f>IF(OR(E395="",E395="!!!",F395="NEW"),"",COUNTBLANK(OFFSET(A$1,,,SUMPRODUCT(MAX(ROW(E$2:E395)*(E395=E$2:E395)))))-COUNTBLANK(OFFSET(A$1,,,SUMPRODUCT(MAX(ROW(E$1:E394)*(E2=E$1:E394))))))</f>
        <v> </v>
      </c>
      <c r="K395" s="26" t="str">
        <f>IF(OR(E395="",E395="!!!",F395="NEW"),"",INDEX(J$1:J394,SUMPRODUCT(MAX(ROW(E$1:E394)*(E395=E$1:E394)))))</f>
        <v> </v>
      </c>
      <c r="L395" s="27"/>
    </row>
    <row r="396" spans="1:12">
      <c r="A396" s="20" t="s">
        <v>352</v>
      </c>
      <c r="E396" s="22">
        <f>IF(D396="?OLD","!!!","")</f>
        <v/>
      </c>
      <c r="F396" s="23" t="str">
        <f>IF(OR(E396="",E396="!!!"),"",IF(NOT(ISNA(VLOOKUP(E396,E$1:E395,1,FALSE()))),"OLD",IF(AND(E396&lt;&gt;"",E396&lt;&gt;"!!!"),"NEW","")))</f>
        <v> </v>
      </c>
      <c r="G396" s="24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5" t="str">
        <f>IF(J396&lt;&gt;1,"",IF(I396="SBJ","CB","?"))</f>
        <v> </v>
      </c>
      <c r="I396" s="26" t="str">
        <f>IF(OR(E396="",E396="!!!",F396="NEW"),"",INDEX(B395:B$2,-1+SUMPRODUCT(MAX(ROW(E395:E$2)*(E396=E395:E$2)))))</f>
        <v> </v>
      </c>
      <c r="J396" s="26" t="str">
        <f>IF(OR(E396="",E396="!!!",F396="NEW"),"",COUNTBLANK(OFFSET(A$1,,,SUMPRODUCT(MAX(ROW(E$2:E396)*(E396=E$2:E396)))))-COUNTBLANK(OFFSET(A$1,,,SUMPRODUCT(MAX(ROW(E$1:E395)*(E2=E$1:E395))))))</f>
        <v> </v>
      </c>
      <c r="K396" s="26" t="str">
        <f>IF(OR(E396="",E396="!!!",F396="NEW"),"",INDEX(J$1:J395,SUMPRODUCT(MAX(ROW(E$1:E395)*(E396=E$1:E395)))))</f>
        <v> </v>
      </c>
      <c r="L396" s="27"/>
    </row>
    <row r="397" spans="1:12">
      <c r="A397" s="20" t="s">
        <v>353</v>
      </c>
      <c r="B397" s="21" t="s">
        <v>125</v>
      </c>
      <c r="C397" s="21" t="s">
        <v>111</v>
      </c>
      <c r="D397" s="21" t="s">
        <v>106</v>
      </c>
      <c r="E397" s="22">
        <f>IF(D397="?OLD","!!!","")</f>
        <v/>
      </c>
      <c r="F397" s="23" t="str">
        <f>IF(OR(E397="",E397="!!!"),"",IF(NOT(ISNA(VLOOKUP(E397,E$1:E396,1,FALSE()))),"OLD",IF(AND(E397&lt;&gt;"",E397&lt;&gt;"!!!"),"NEW","")))</f>
        <v> </v>
      </c>
      <c r="G397" s="24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5" t="str">
        <f>IF(J397&lt;&gt;1,"",IF(I397="SBJ","CB","?"))</f>
        <v> </v>
      </c>
      <c r="I397" s="26" t="str">
        <f>IF(OR(E397="",E397="!!!",F397="NEW"),"",INDEX(B396:B$2,-1+SUMPRODUCT(MAX(ROW(E396:E$2)*(E397=E396:E$2)))))</f>
        <v> </v>
      </c>
      <c r="J397" s="26" t="str">
        <f>IF(OR(E397="",E397="!!!",F397="NEW"),"",COUNTBLANK(OFFSET(A$1,,,SUMPRODUCT(MAX(ROW(E$2:E397)*(E397=E$2:E397)))))-COUNTBLANK(OFFSET(A$1,,,SUMPRODUCT(MAX(ROW(E$1:E396)*(E2=E$1:E396))))))</f>
        <v> </v>
      </c>
      <c r="K397" s="26" t="str">
        <f>IF(OR(E397="",E397="!!!",F397="NEW"),"",INDEX(J$1:J396,SUMPRODUCT(MAX(ROW(E$1:E396)*(E397=E$1:E396)))))</f>
        <v> </v>
      </c>
      <c r="L397" s="27"/>
    </row>
    <row r="398" spans="1:12">
      <c r="A398" s="20" t="s">
        <v>354</v>
      </c>
      <c r="E398" s="22">
        <f>IF(D398="?OLD","!!!","")</f>
        <v/>
      </c>
      <c r="F398" s="23" t="str">
        <f>IF(OR(E398="",E398="!!!"),"",IF(NOT(ISNA(VLOOKUP(E398,E$1:E397,1,FALSE()))),"OLD",IF(AND(E398&lt;&gt;"",E398&lt;&gt;"!!!"),"NEW","")))</f>
        <v> </v>
      </c>
      <c r="G398" s="24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5" t="str">
        <f>IF(J398&lt;&gt;1,"",IF(I398="SBJ","CB","?"))</f>
        <v> </v>
      </c>
      <c r="I398" s="26" t="str">
        <f>IF(OR(E398="",E398="!!!",F398="NEW"),"",INDEX(B397:B$2,-1+SUMPRODUCT(MAX(ROW(E397:E$2)*(E398=E397:E$2)))))</f>
        <v> </v>
      </c>
      <c r="J398" s="26" t="str">
        <f>IF(OR(E398="",E398="!!!",F398="NEW"),"",COUNTBLANK(OFFSET(A$1,,,SUMPRODUCT(MAX(ROW(E$2:E398)*(E398=E$2:E398)))))-COUNTBLANK(OFFSET(A$1,,,SUMPRODUCT(MAX(ROW(E$1:E397)*(E2=E$1:E397))))))</f>
        <v> </v>
      </c>
      <c r="K398" s="26" t="str">
        <f>IF(OR(E398="",E398="!!!",F398="NEW"),"",INDEX(J$1:J397,SUMPRODUCT(MAX(ROW(E$1:E397)*(E398=E$1:E397)))))</f>
        <v> </v>
      </c>
      <c r="L398" s="27"/>
    </row>
    <row r="399" spans="1:12">
      <c r="A399" s="20" t="s">
        <v>355</v>
      </c>
      <c r="E399" s="22">
        <f>IF(D399="?OLD","!!!","")</f>
        <v/>
      </c>
      <c r="F399" s="23" t="str">
        <f>IF(OR(E399="",E399="!!!"),"",IF(NOT(ISNA(VLOOKUP(E399,E$1:E398,1,FALSE()))),"OLD",IF(AND(E399&lt;&gt;"",E399&lt;&gt;"!!!"),"NEW","")))</f>
        <v> </v>
      </c>
      <c r="G399" s="24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25" t="str">
        <f>IF(J399&lt;&gt;1,"",IF(I399="SBJ","CB","?"))</f>
        <v> </v>
      </c>
      <c r="I399" s="26" t="str">
        <f>IF(OR(E399="",E399="!!!",F399="NEW"),"",INDEX(B398:B$2,-1+SUMPRODUCT(MAX(ROW(E398:E$2)*(E399=E398:E$2)))))</f>
        <v> </v>
      </c>
      <c r="J399" s="26" t="str">
        <f>IF(OR(E399="",E399="!!!",F399="NEW"),"",COUNTBLANK(OFFSET(A$1,,,SUMPRODUCT(MAX(ROW(E$2:E399)*(E399=E$2:E399)))))-COUNTBLANK(OFFSET(A$1,,,SUMPRODUCT(MAX(ROW(E$1:E398)*(E2=E$1:E398))))))</f>
        <v> </v>
      </c>
      <c r="K399" s="26" t="str">
        <f>IF(OR(E399="",E399="!!!",F399="NEW"),"",INDEX(J$1:J398,SUMPRODUCT(MAX(ROW(E$1:E398)*(E399=E$1:E398)))))</f>
        <v> </v>
      </c>
      <c r="L399" s="27"/>
    </row>
    <row r="400" spans="1:12">
      <c r="A400" s="20" t="s">
        <v>253</v>
      </c>
      <c r="B400" s="21" t="s">
        <v>139</v>
      </c>
      <c r="C400" s="21" t="s">
        <v>130</v>
      </c>
      <c r="E400" s="22">
        <f>IF(D400="?OLD","!!!","")</f>
        <v/>
      </c>
      <c r="F400" s="23" t="str">
        <f>IF(OR(E400="",E400="!!!"),"",IF(NOT(ISNA(VLOOKUP(E400,E$1:E399,1,FALSE()))),"OLD",IF(AND(E400&lt;&gt;"",E400&lt;&gt;"!!!"),"NEW","")))</f>
        <v> </v>
      </c>
      <c r="G400" s="24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> </v>
      </c>
      <c r="H400" s="25" t="str">
        <f>IF(J400&lt;&gt;1,"",IF(I400="SBJ","CB","?"))</f>
        <v> </v>
      </c>
      <c r="I400" s="26" t="str">
        <f>IF(OR(E400="",E400="!!!",F400="NEW"),"",INDEX(B399:B$2,-1+SUMPRODUCT(MAX(ROW(E399:E$2)*(E400=E399:E$2)))))</f>
        <v> </v>
      </c>
      <c r="J400" s="26" t="str">
        <f>IF(OR(E400="",E400="!!!",F400="NEW"),"",COUNTBLANK(OFFSET(A$1,,,SUMPRODUCT(MAX(ROW(E$2:E400)*(E400=E$2:E400)))))-COUNTBLANK(OFFSET(A$1,,,SUMPRODUCT(MAX(ROW(E$1:E399)*(E2=E$1:E399))))))</f>
        <v> </v>
      </c>
      <c r="K400" s="26" t="str">
        <f>IF(OR(E400="",E400="!!!",F400="NEW"),"",INDEX(J$1:J399,SUMPRODUCT(MAX(ROW(E$1:E399)*(E400=E$1:E399)))))</f>
        <v> </v>
      </c>
      <c r="L400" s="27"/>
    </row>
    <row r="401" spans="1:12">
      <c r="A401" s="20" t="s">
        <v>356</v>
      </c>
      <c r="E401" s="22">
        <f>IF(D401="?OLD","!!!","")</f>
        <v/>
      </c>
      <c r="F401" s="23" t="str">
        <f>IF(OR(E401="",E401="!!!"),"",IF(NOT(ISNA(VLOOKUP(E401,E$1:E400,1,FALSE()))),"OLD",IF(AND(E401&lt;&gt;"",E401&lt;&gt;"!!!"),"NEW","")))</f>
        <v> </v>
      </c>
      <c r="G401" s="24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> </v>
      </c>
      <c r="H401" s="25" t="str">
        <f>IF(J401&lt;&gt;1,"",IF(I401="SBJ","CB","?"))</f>
        <v> </v>
      </c>
      <c r="I401" s="26" t="str">
        <f>IF(OR(E401="",E401="!!!",F401="NEW"),"",INDEX(B400:B$2,-1+SUMPRODUCT(MAX(ROW(E400:E$2)*(E401=E400:E$2)))))</f>
        <v> </v>
      </c>
      <c r="J401" s="26" t="str">
        <f>IF(OR(E401="",E401="!!!",F401="NEW"),"",COUNTBLANK(OFFSET(A$1,,,SUMPRODUCT(MAX(ROW(E$2:E401)*(E401=E$2:E401)))))-COUNTBLANK(OFFSET(A$1,,,SUMPRODUCT(MAX(ROW(E$1:E400)*(E2=E$1:E400))))))</f>
        <v> </v>
      </c>
      <c r="K401" s="26" t="str">
        <f>IF(OR(E401="",E401="!!!",F401="NEW"),"",INDEX(J$1:J400,SUMPRODUCT(MAX(ROW(E$1:E400)*(E401=E$1:E400)))))</f>
        <v> </v>
      </c>
      <c r="L401" s="27"/>
    </row>
    <row r="402" spans="1:12">
      <c r="A402" s="20" t="s">
        <v>116</v>
      </c>
      <c r="E402" s="22">
        <f>IF(D402="?OLD","!!!","")</f>
        <v/>
      </c>
      <c r="F402" s="23" t="str">
        <f>IF(OR(E402="",E402="!!!"),"",IF(NOT(ISNA(VLOOKUP(E402,E$1:E401,1,FALSE()))),"OLD",IF(AND(E402&lt;&gt;"",E402&lt;&gt;"!!!"),"NEW","")))</f>
        <v> </v>
      </c>
      <c r="G402" s="24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> </v>
      </c>
      <c r="H402" s="25" t="str">
        <f>IF(J402&lt;&gt;1,"",IF(I402="SBJ","CB","?"))</f>
        <v> </v>
      </c>
      <c r="I402" s="26" t="str">
        <f>IF(OR(E402="",E402="!!!",F402="NEW"),"",INDEX(B401:B$2,-1+SUMPRODUCT(MAX(ROW(E401:E$2)*(E402=E401:E$2)))))</f>
        <v> </v>
      </c>
      <c r="J402" s="26" t="str">
        <f>IF(OR(E402="",E402="!!!",F402="NEW"),"",COUNTBLANK(OFFSET(A$1,,,SUMPRODUCT(MAX(ROW(E$2:E402)*(E402=E$2:E402)))))-COUNTBLANK(OFFSET(A$1,,,SUMPRODUCT(MAX(ROW(E$1:E401)*(E2=E$1:E401))))))</f>
        <v> </v>
      </c>
      <c r="K402" s="26" t="str">
        <f>IF(OR(E402="",E402="!!!",F402="NEW"),"",INDEX(J$1:J401,SUMPRODUCT(MAX(ROW(E$1:E401)*(E402=E$1:E401)))))</f>
        <v> </v>
      </c>
      <c r="L402" s="27"/>
    </row>
    <row r="403" spans="1:12">
      <c r="A403" s="20" t="s">
        <v>357</v>
      </c>
      <c r="E403" s="22">
        <f>IF(D403="?OLD","!!!","")</f>
        <v/>
      </c>
      <c r="F403" s="23" t="str">
        <f>IF(OR(E403="",E403="!!!"),"",IF(NOT(ISNA(VLOOKUP(E403,E$1:E402,1,FALSE()))),"OLD",IF(AND(E403&lt;&gt;"",E403&lt;&gt;"!!!"),"NEW","")))</f>
        <v> </v>
      </c>
      <c r="G403" s="24" t="str">
        <f>IF(OR(E403="",E403="!!!"),"",IF(OR(J403=0,AND(J403=1,K403=1),AND(J403=1,I403="SBJ"),AND(J403=1,I403=0)),"?IN_FOCUS",IF(J403&lt;=2,"?ACTIVATED",IF(J403&lt;&gt;"","?FAMILIAR",IF(F403="NEW",IF(ISNA(VLOOKUP(E403,#REF!,1,FALSE())),"?TYPE_IDENTIFIABLE","?REFERENTIAL"),"_")))))</f>
        <v> </v>
      </c>
      <c r="H403" s="25" t="str">
        <f>IF(J403&lt;&gt;1,"",IF(I403="SBJ","CB","?"))</f>
        <v> </v>
      </c>
      <c r="I403" s="26" t="str">
        <f>IF(OR(E403="",E403="!!!",F403="NEW"),"",INDEX(B402:B$2,-1+SUMPRODUCT(MAX(ROW(E402:E$2)*(E403=E402:E$2)))))</f>
        <v> </v>
      </c>
      <c r="J403" s="26" t="str">
        <f>IF(OR(E403="",E403="!!!",F403="NEW"),"",COUNTBLANK(OFFSET(A$1,,,SUMPRODUCT(MAX(ROW(E$2:E403)*(E403=E$2:E403)))))-COUNTBLANK(OFFSET(A$1,,,SUMPRODUCT(MAX(ROW(E$1:E402)*(E2=E$1:E402))))))</f>
        <v> </v>
      </c>
      <c r="K403" s="26" t="str">
        <f>IF(OR(E403="",E403="!!!",F403="NEW"),"",INDEX(J$1:J402,SUMPRODUCT(MAX(ROW(E$1:E402)*(E403=E$1:E402)))))</f>
        <v> </v>
      </c>
      <c r="L403" s="27"/>
    </row>
    <row r="404" spans="1:12">
      <c r="A404" s="20" t="s">
        <v>114</v>
      </c>
      <c r="E404" s="22">
        <f>IF(D404="?OLD","!!!","")</f>
        <v/>
      </c>
      <c r="F404" s="23" t="str">
        <f>IF(OR(E404="",E404="!!!"),"",IF(NOT(ISNA(VLOOKUP(E404,E$1:E403,1,FALSE()))),"OLD",IF(AND(E404&lt;&gt;"",E404&lt;&gt;"!!!"),"NEW","")))</f>
        <v> </v>
      </c>
      <c r="G404" s="24" t="str">
        <f>IF(OR(E404="",E404="!!!"),"",IF(OR(J404=0,AND(J404=1,K404=1),AND(J404=1,I404="SBJ"),AND(J404=1,I404=0)),"?IN_FOCUS",IF(J404&lt;=2,"?ACTIVATED",IF(J404&lt;&gt;"","?FAMILIAR",IF(F404="NEW",IF(ISNA(VLOOKUP(E404,#REF!,1,FALSE())),"?TYPE_IDENTIFIABLE","?REFERENTIAL"),"_")))))</f>
        <v> </v>
      </c>
      <c r="H404" s="25" t="str">
        <f>IF(J404&lt;&gt;1,"",IF(I404="SBJ","CB","?"))</f>
        <v> </v>
      </c>
      <c r="I404" s="26" t="str">
        <f>IF(OR(E404="",E404="!!!",F404="NEW"),"",INDEX(B403:B$2,-1+SUMPRODUCT(MAX(ROW(E403:E$2)*(E404=E403:E$2)))))</f>
        <v> </v>
      </c>
      <c r="J404" s="26" t="str">
        <f>IF(OR(E404="",E404="!!!",F404="NEW"),"",COUNTBLANK(OFFSET(A$1,,,SUMPRODUCT(MAX(ROW(E$2:E404)*(E404=E$2:E404)))))-COUNTBLANK(OFFSET(A$1,,,SUMPRODUCT(MAX(ROW(E$1:E403)*(E2=E$1:E403))))))</f>
        <v> </v>
      </c>
      <c r="K404" s="26" t="str">
        <f>IF(OR(E404="",E404="!!!",F404="NEW"),"",INDEX(J$1:J403,SUMPRODUCT(MAX(ROW(E$1:E403)*(E404=E$1:E403)))))</f>
        <v> </v>
      </c>
      <c r="L404" s="27"/>
    </row>
    <row r="405" spans="1:12">
      <c r="A405" s="20" t="s">
        <v>358</v>
      </c>
      <c r="E405" s="22">
        <f>IF(D405="?OLD","!!!","")</f>
        <v/>
      </c>
      <c r="F405" s="23" t="str">
        <f>IF(OR(E405="",E405="!!!"),"",IF(NOT(ISNA(VLOOKUP(E405,E$1:E404,1,FALSE()))),"OLD",IF(AND(E405&lt;&gt;"",E405&lt;&gt;"!!!"),"NEW","")))</f>
        <v> </v>
      </c>
      <c r="G405" s="24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> </v>
      </c>
      <c r="H405" s="25" t="str">
        <f>IF(J405&lt;&gt;1,"",IF(I405="SBJ","CB","?"))</f>
        <v> </v>
      </c>
      <c r="I405" s="26" t="str">
        <f>IF(OR(E405="",E405="!!!",F405="NEW"),"",INDEX(B404:B$2,-1+SUMPRODUCT(MAX(ROW(E404:E$2)*(E405=E404:E$2)))))</f>
        <v> </v>
      </c>
      <c r="J405" s="26" t="str">
        <f>IF(OR(E405="",E405="!!!",F405="NEW"),"",COUNTBLANK(OFFSET(A$1,,,SUMPRODUCT(MAX(ROW(E$2:E405)*(E405=E$2:E405)))))-COUNTBLANK(OFFSET(A$1,,,SUMPRODUCT(MAX(ROW(E$1:E404)*(E2=E$1:E404))))))</f>
        <v> </v>
      </c>
      <c r="K405" s="26" t="str">
        <f>IF(OR(E405="",E405="!!!",F405="NEW"),"",INDEX(J$1:J404,SUMPRODUCT(MAX(ROW(E$1:E404)*(E405=E$1:E404)))))</f>
        <v> </v>
      </c>
      <c r="L405" s="27"/>
    </row>
    <row r="406" spans="1:12">
      <c r="A406" s="20" t="s">
        <v>116</v>
      </c>
      <c r="E406" s="22">
        <f>IF(D406="?OLD","!!!","")</f>
        <v/>
      </c>
      <c r="F406" s="23" t="str">
        <f>IF(OR(E406="",E406="!!!"),"",IF(NOT(ISNA(VLOOKUP(E406,E$1:E405,1,FALSE()))),"OLD",IF(AND(E406&lt;&gt;"",E406&lt;&gt;"!!!"),"NEW","")))</f>
        <v> </v>
      </c>
      <c r="G406" s="24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5" t="str">
        <f>IF(J406&lt;&gt;1,"",IF(I406="SBJ","CB","?"))</f>
        <v> </v>
      </c>
      <c r="I406" s="26" t="str">
        <f>IF(OR(E406="",E406="!!!",F406="NEW"),"",INDEX(B405:B$2,-1+SUMPRODUCT(MAX(ROW(E405:E$2)*(E406=E405:E$2)))))</f>
        <v> </v>
      </c>
      <c r="J406" s="26" t="str">
        <f>IF(OR(E406="",E406="!!!",F406="NEW"),"",COUNTBLANK(OFFSET(A$1,,,SUMPRODUCT(MAX(ROW(E$2:E406)*(E406=E$2:E406)))))-COUNTBLANK(OFFSET(A$1,,,SUMPRODUCT(MAX(ROW(E$1:E405)*(E2=E$1:E405))))))</f>
        <v> </v>
      </c>
      <c r="K406" s="26" t="str">
        <f>IF(OR(E406="",E406="!!!",F406="NEW"),"",INDEX(J$1:J405,SUMPRODUCT(MAX(ROW(E$1:E405)*(E406=E$1:E405)))))</f>
        <v> </v>
      </c>
      <c r="L406" s="27"/>
    </row>
    <row r="407" spans="1:12">
      <c r="A407" s="20" t="s">
        <v>267</v>
      </c>
      <c r="E407" s="22">
        <f>IF(D407="?OLD","!!!","")</f>
        <v/>
      </c>
      <c r="F407" s="23" t="str">
        <f>IF(OR(E407="",E407="!!!"),"",IF(NOT(ISNA(VLOOKUP(E407,E$1:E406,1,FALSE()))),"OLD",IF(AND(E407&lt;&gt;"",E407&lt;&gt;"!!!"),"NEW","")))</f>
        <v> </v>
      </c>
      <c r="G407" s="24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5" t="str">
        <f>IF(J407&lt;&gt;1,"",IF(I407="SBJ","CB","?"))</f>
        <v> </v>
      </c>
      <c r="I407" s="26" t="str">
        <f>IF(OR(E407="",E407="!!!",F407="NEW"),"",INDEX(B406:B$2,-1+SUMPRODUCT(MAX(ROW(E406:E$2)*(E407=E406:E$2)))))</f>
        <v> </v>
      </c>
      <c r="J407" s="26" t="str">
        <f>IF(OR(E407="",E407="!!!",F407="NEW"),"",COUNTBLANK(OFFSET(A$1,,,SUMPRODUCT(MAX(ROW(E$2:E407)*(E407=E$2:E407)))))-COUNTBLANK(OFFSET(A$1,,,SUMPRODUCT(MAX(ROW(E$1:E406)*(E2=E$1:E406))))))</f>
        <v> </v>
      </c>
      <c r="K407" s="26" t="str">
        <f>IF(OR(E407="",E407="!!!",F407="NEW"),"",INDEX(J$1:J406,SUMPRODUCT(MAX(ROW(E$1:E406)*(E407=E$1:E406)))))</f>
        <v> </v>
      </c>
      <c r="L407" s="27"/>
    </row>
    <row r="408" spans="1:12">
      <c r="A408" s="20" t="s">
        <v>359</v>
      </c>
      <c r="B408" s="21" t="s">
        <v>125</v>
      </c>
      <c r="C408" s="21" t="s">
        <v>175</v>
      </c>
      <c r="D408" s="21" t="s">
        <v>106</v>
      </c>
      <c r="E408" s="22">
        <f>IF(D408="?OLD","!!!","")</f>
        <v/>
      </c>
      <c r="F408" s="23" t="str">
        <f>IF(OR(E408="",E408="!!!"),"",IF(NOT(ISNA(VLOOKUP(E408,E$1:E407,1,FALSE()))),"OLD",IF(AND(E408&lt;&gt;"",E408&lt;&gt;"!!!"),"NEW","")))</f>
        <v> </v>
      </c>
      <c r="G408" s="24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> </v>
      </c>
      <c r="H408" s="25" t="str">
        <f>IF(J408&lt;&gt;1,"",IF(I408="SBJ","CB","?"))</f>
        <v> </v>
      </c>
      <c r="I408" s="26" t="str">
        <f>IF(OR(E408="",E408="!!!",F408="NEW"),"",INDEX(B407:B$2,-1+SUMPRODUCT(MAX(ROW(E407:E$2)*(E408=E407:E$2)))))</f>
        <v> </v>
      </c>
      <c r="J408" s="26" t="str">
        <f>IF(OR(E408="",E408="!!!",F408="NEW"),"",COUNTBLANK(OFFSET(A$1,,,SUMPRODUCT(MAX(ROW(E$2:E408)*(E408=E$2:E408)))))-COUNTBLANK(OFFSET(A$1,,,SUMPRODUCT(MAX(ROW(E$1:E407)*(E2=E$1:E407))))))</f>
        <v> </v>
      </c>
      <c r="K408" s="26" t="str">
        <f>IF(OR(E408="",E408="!!!",F408="NEW"),"",INDEX(J$1:J407,SUMPRODUCT(MAX(ROW(E$1:E407)*(E408=E$1:E407)))))</f>
        <v> </v>
      </c>
      <c r="L408" s="27"/>
    </row>
    <row r="409" spans="1:12">
      <c r="A409" s="20" t="s">
        <v>360</v>
      </c>
      <c r="B409" s="21" t="s">
        <v>124</v>
      </c>
      <c r="C409" s="21" t="s">
        <v>130</v>
      </c>
      <c r="E409" s="22">
        <f>IF(D409="?OLD","!!!","")</f>
        <v/>
      </c>
      <c r="F409" s="23" t="str">
        <f>IF(OR(E409="",E409="!!!"),"",IF(NOT(ISNA(VLOOKUP(E409,E$1:E408,1,FALSE()))),"OLD",IF(AND(E409&lt;&gt;"",E409&lt;&gt;"!!!"),"NEW","")))</f>
        <v> </v>
      </c>
      <c r="G409" s="24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> </v>
      </c>
      <c r="H409" s="25" t="str">
        <f>IF(J409&lt;&gt;1,"",IF(I409="SBJ","CB","?"))</f>
        <v> </v>
      </c>
      <c r="I409" s="26" t="str">
        <f>IF(OR(E409="",E409="!!!",F409="NEW"),"",INDEX(B408:B$2,-1+SUMPRODUCT(MAX(ROW(E408:E$2)*(E409=E408:E$2)))))</f>
        <v> </v>
      </c>
      <c r="J409" s="26" t="str">
        <f>IF(OR(E409="",E409="!!!",F409="NEW"),"",COUNTBLANK(OFFSET(A$1,,,SUMPRODUCT(MAX(ROW(E$2:E409)*(E409=E$2:E409)))))-COUNTBLANK(OFFSET(A$1,,,SUMPRODUCT(MAX(ROW(E$1:E408)*(E2=E$1:E408))))))</f>
        <v> </v>
      </c>
      <c r="K409" s="26" t="str">
        <f>IF(OR(E409="",E409="!!!",F409="NEW"),"",INDEX(J$1:J408,SUMPRODUCT(MAX(ROW(E$1:E408)*(E409=E$1:E408)))))</f>
        <v> </v>
      </c>
      <c r="L409" s="27"/>
    </row>
    <row r="410" spans="1:12">
      <c r="A410" s="20" t="s">
        <v>131</v>
      </c>
      <c r="E410" s="22">
        <f>IF(D410="?OLD","!!!","")</f>
        <v/>
      </c>
      <c r="F410" s="23" t="str">
        <f>IF(OR(E410="",E410="!!!"),"",IF(NOT(ISNA(VLOOKUP(E410,E$1:E409,1,FALSE()))),"OLD",IF(AND(E410&lt;&gt;"",E410&lt;&gt;"!!!"),"NEW","")))</f>
        <v> </v>
      </c>
      <c r="G410" s="24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25" t="str">
        <f>IF(J410&lt;&gt;1,"",IF(I410="SBJ","CB","?"))</f>
        <v> </v>
      </c>
      <c r="I410" s="26" t="str">
        <f>IF(OR(E410="",E410="!!!",F410="NEW"),"",INDEX(B409:B$2,-1+SUMPRODUCT(MAX(ROW(E409:E$2)*(E410=E409:E$2)))))</f>
        <v> </v>
      </c>
      <c r="J410" s="26" t="str">
        <f>IF(OR(E410="",E410="!!!",F410="NEW"),"",COUNTBLANK(OFFSET(A$1,,,SUMPRODUCT(MAX(ROW(E$2:E410)*(E410=E$2:E410)))))-COUNTBLANK(OFFSET(A$1,,,SUMPRODUCT(MAX(ROW(E$1:E409)*(E2=E$1:E409))))))</f>
        <v> </v>
      </c>
      <c r="K410" s="26" t="str">
        <f>IF(OR(E410="",E410="!!!",F410="NEW"),"",INDEX(J$1:J409,SUMPRODUCT(MAX(ROW(E$1:E409)*(E410=E$1:E409)))))</f>
        <v> </v>
      </c>
      <c r="L410" s="27"/>
    </row>
    <row r="411" spans="1:12">
      <c r="A411" s="20" t="s">
        <v>361</v>
      </c>
      <c r="E411" s="22">
        <f>IF(D411="?OLD","!!!","")</f>
        <v/>
      </c>
      <c r="F411" s="23" t="str">
        <f>IF(OR(E411="",E411="!!!"),"",IF(NOT(ISNA(VLOOKUP(E411,E$1:E410,1,FALSE()))),"OLD",IF(AND(E411&lt;&gt;"",E411&lt;&gt;"!!!"),"NEW","")))</f>
        <v> </v>
      </c>
      <c r="G411" s="24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25" t="str">
        <f>IF(J411&lt;&gt;1,"",IF(I411="SBJ","CB","?"))</f>
        <v> </v>
      </c>
      <c r="I411" s="26" t="str">
        <f>IF(OR(E411="",E411="!!!",F411="NEW"),"",INDEX(B410:B$2,-1+SUMPRODUCT(MAX(ROW(E410:E$2)*(E411=E410:E$2)))))</f>
        <v> </v>
      </c>
      <c r="J411" s="26" t="str">
        <f>IF(OR(E411="",E411="!!!",F411="NEW"),"",COUNTBLANK(OFFSET(A$1,,,SUMPRODUCT(MAX(ROW(E$2:E411)*(E411=E$2:E411)))))-COUNTBLANK(OFFSET(A$1,,,SUMPRODUCT(MAX(ROW(E$1:E410)*(E2=E$1:E410))))))</f>
        <v> </v>
      </c>
      <c r="K411" s="26" t="str">
        <f>IF(OR(E411="",E411="!!!",F411="NEW"),"",INDEX(J$1:J410,SUMPRODUCT(MAX(ROW(E$1:E410)*(E411=E$1:E410)))))</f>
        <v> </v>
      </c>
      <c r="L411" s="27"/>
    </row>
    <row r="412" spans="1:12">
      <c r="A412" s="20" t="s">
        <v>244</v>
      </c>
      <c r="B412" s="21" t="s">
        <v>110</v>
      </c>
      <c r="C412" s="21" t="s">
        <v>130</v>
      </c>
      <c r="E412" s="22">
        <f>IF(D412="?OLD","!!!","")</f>
        <v/>
      </c>
      <c r="F412" s="23" t="str">
        <f>IF(OR(E412="",E412="!!!"),"",IF(NOT(ISNA(VLOOKUP(E412,E$1:E411,1,FALSE()))),"OLD",IF(AND(E412&lt;&gt;"",E412&lt;&gt;"!!!"),"NEW","")))</f>
        <v> </v>
      </c>
      <c r="G412" s="24" t="str">
        <f>IF(OR(E412="",E412="!!!"),"",IF(OR(J412=0,AND(J412=1,K412=1),AND(J412=1,I412="SBJ"),AND(J412=1,I412=0)),"?IN_FOCUS",IF(J412&lt;=2,"?ACTIVATED",IF(J412&lt;&gt;"","?FAMILIAR",IF(F412="NEW",IF(ISNA(VLOOKUP(E412,#REF!,1,FALSE())),"?TYPE_IDENTIFIABLE","?REFERENTIAL"),"_")))))</f>
        <v> </v>
      </c>
      <c r="H412" s="25" t="str">
        <f>IF(J412&lt;&gt;1,"",IF(I412="SBJ","CB","?"))</f>
        <v> </v>
      </c>
      <c r="I412" s="26" t="str">
        <f>IF(OR(E412="",E412="!!!",F412="NEW"),"",INDEX(B411:B$2,-1+SUMPRODUCT(MAX(ROW(E411:E$2)*(E412=E411:E$2)))))</f>
        <v> </v>
      </c>
      <c r="J412" s="26" t="str">
        <f>IF(OR(E412="",E412="!!!",F412="NEW"),"",COUNTBLANK(OFFSET(A$1,,,SUMPRODUCT(MAX(ROW(E$2:E412)*(E412=E$2:E412)))))-COUNTBLANK(OFFSET(A$1,,,SUMPRODUCT(MAX(ROW(E$1:E411)*(E2=E$1:E411))))))</f>
        <v> </v>
      </c>
      <c r="K412" s="26" t="str">
        <f>IF(OR(E412="",E412="!!!",F412="NEW"),"",INDEX(J$1:J411,SUMPRODUCT(MAX(ROW(E$1:E411)*(E412=E$1:E411)))))</f>
        <v> </v>
      </c>
      <c r="L412" s="27"/>
    </row>
    <row r="413" spans="1:12">
      <c r="A413" s="20" t="s">
        <v>135</v>
      </c>
      <c r="E413" s="22">
        <f>IF(D413="?OLD","!!!","")</f>
        <v/>
      </c>
      <c r="F413" s="23" t="str">
        <f>IF(OR(E413="",E413="!!!"),"",IF(NOT(ISNA(VLOOKUP(E413,E$1:E412,1,FALSE()))),"OLD",IF(AND(E413&lt;&gt;"",E413&lt;&gt;"!!!"),"NEW","")))</f>
        <v> </v>
      </c>
      <c r="G413" s="24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25" t="str">
        <f>IF(J413&lt;&gt;1,"",IF(I413="SBJ","CB","?"))</f>
        <v> </v>
      </c>
      <c r="I413" s="26" t="str">
        <f>IF(OR(E413="",E413="!!!",F413="NEW"),"",INDEX(B412:B$2,-1+SUMPRODUCT(MAX(ROW(E412:E$2)*(E413=E412:E$2)))))</f>
        <v> </v>
      </c>
      <c r="J413" s="26" t="str">
        <f>IF(OR(E413="",E413="!!!",F413="NEW"),"",COUNTBLANK(OFFSET(A$1,,,SUMPRODUCT(MAX(ROW(E$2:E413)*(E413=E$2:E413)))))-COUNTBLANK(OFFSET(A$1,,,SUMPRODUCT(MAX(ROW(E$1:E412)*(E2=E$1:E412))))))</f>
        <v> </v>
      </c>
      <c r="K413" s="26" t="str">
        <f>IF(OR(E413="",E413="!!!",F413="NEW"),"",INDEX(J$1:J412,SUMPRODUCT(MAX(ROW(E$1:E412)*(E413=E$1:E412)))))</f>
        <v> </v>
      </c>
      <c r="L413" s="27"/>
    </row>
    <row r="414" spans="1:12">
      <c r="A414" s="20"/>
    </row>
    <row r="415" spans="1:12">
      <c r="A415" s="20" t="s">
        <v>362</v>
      </c>
    </row>
    <row r="416" spans="1:12">
      <c r="A416" s="20" t="s">
        <v>363</v>
      </c>
      <c r="E416" s="22">
        <f>IF(D416="?OLD","!!!","")</f>
        <v/>
      </c>
      <c r="F416" s="23" t="str">
        <f>IF(OR(E416="",E416="!!!"),"",IF(NOT(ISNA(VLOOKUP(E416,E$1:E415,1,FALSE()))),"OLD",IF(AND(E416&lt;&gt;"",E416&lt;&gt;"!!!"),"NEW","")))</f>
        <v> </v>
      </c>
      <c r="G416" s="24" t="str">
        <f>IF(OR(E416="",E416="!!!"),"",IF(OR(J416=0,AND(J416=1,K416=1),AND(J416=1,I416="SBJ"),AND(J416=1,I416=0)),"?IN_FOCUS",IF(J416&lt;=2,"?ACTIVATED",IF(J416&lt;&gt;"","?FAMILIAR",IF(F416="NEW",IF(ISNA(VLOOKUP(E416,#REF!,1,FALSE())),"?TYPE_IDENTIFIABLE","?REFERENTIAL"),"_")))))</f>
        <v> </v>
      </c>
      <c r="H416" s="25" t="str">
        <f>IF(J416&lt;&gt;1,"",IF(I416="SBJ","CB","?"))</f>
        <v> </v>
      </c>
      <c r="I416" s="26" t="str">
        <f>IF(OR(E416="",E416="!!!",F416="NEW"),"",INDEX(B415:B$2,-1+SUMPRODUCT(MAX(ROW(E415:E$2)*(E416=E415:E$2)))))</f>
        <v> </v>
      </c>
      <c r="J416" s="26" t="str">
        <f>IF(OR(E416="",E416="!!!",F416="NEW"),"",COUNTBLANK(OFFSET(A$1,,,SUMPRODUCT(MAX(ROW(E$2:E416)*(E416=E$2:E416)))))-COUNTBLANK(OFFSET(A$1,,,SUMPRODUCT(MAX(ROW(E$1:E415)*(E2=E$1:E415))))))</f>
        <v> </v>
      </c>
      <c r="K416" s="26" t="str">
        <f>IF(OR(E416="",E416="!!!",F416="NEW"),"",INDEX(J$1:J415,SUMPRODUCT(MAX(ROW(E$1:E415)*(E416=E$1:E415)))))</f>
        <v> </v>
      </c>
      <c r="L416" s="27"/>
    </row>
    <row r="417" spans="1:12">
      <c r="A417" s="20" t="s">
        <v>364</v>
      </c>
      <c r="B417" s="21" t="s">
        <v>124</v>
      </c>
      <c r="C417" s="21" t="s">
        <v>130</v>
      </c>
      <c r="E417" s="22">
        <f>IF(D417="?OLD","!!!","")</f>
        <v/>
      </c>
      <c r="F417" s="23" t="str">
        <f>IF(OR(E417="",E417="!!!"),"",IF(NOT(ISNA(VLOOKUP(E417,E$1:E416,1,FALSE()))),"OLD",IF(AND(E417&lt;&gt;"",E417&lt;&gt;"!!!"),"NEW","")))</f>
        <v> </v>
      </c>
      <c r="G417" s="24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> </v>
      </c>
      <c r="H417" s="25" t="str">
        <f>IF(J417&lt;&gt;1,"",IF(I417="SBJ","CB","?"))</f>
        <v> </v>
      </c>
      <c r="I417" s="26" t="str">
        <f>IF(OR(E417="",E417="!!!",F417="NEW"),"",INDEX(B416:B$2,-1+SUMPRODUCT(MAX(ROW(E416:E$2)*(E417=E416:E$2)))))</f>
        <v> </v>
      </c>
      <c r="J417" s="26" t="str">
        <f>IF(OR(E417="",E417="!!!",F417="NEW"),"",COUNTBLANK(OFFSET(A$1,,,SUMPRODUCT(MAX(ROW(E$2:E417)*(E417=E$2:E417)))))-COUNTBLANK(OFFSET(A$1,,,SUMPRODUCT(MAX(ROW(E$1:E416)*(E2=E$1:E416))))))</f>
        <v> </v>
      </c>
      <c r="K417" s="26" t="str">
        <f>IF(OR(E417="",E417="!!!",F417="NEW"),"",INDEX(J$1:J416,SUMPRODUCT(MAX(ROW(E$1:E416)*(E417=E$1:E416)))))</f>
        <v> </v>
      </c>
      <c r="L417" s="27"/>
    </row>
    <row r="418" spans="1:12">
      <c r="A418" s="20" t="s">
        <v>365</v>
      </c>
      <c r="E418" s="22">
        <f>IF(D418="?OLD","!!!","")</f>
        <v/>
      </c>
      <c r="F418" s="23" t="str">
        <f>IF(OR(E418="",E418="!!!"),"",IF(NOT(ISNA(VLOOKUP(E418,E$1:E417,1,FALSE()))),"OLD",IF(AND(E418&lt;&gt;"",E418&lt;&gt;"!!!"),"NEW","")))</f>
        <v> </v>
      </c>
      <c r="G418" s="24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25" t="str">
        <f>IF(J418&lt;&gt;1,"",IF(I418="SBJ","CB","?"))</f>
        <v> </v>
      </c>
      <c r="I418" s="26" t="str">
        <f>IF(OR(E418="",E418="!!!",F418="NEW"),"",INDEX(B417:B$2,-1+SUMPRODUCT(MAX(ROW(E417:E$2)*(E418=E417:E$2)))))</f>
        <v> </v>
      </c>
      <c r="J418" s="26" t="str">
        <f>IF(OR(E418="",E418="!!!",F418="NEW"),"",COUNTBLANK(OFFSET(A$1,,,SUMPRODUCT(MAX(ROW(E$2:E418)*(E418=E$2:E418)))))-COUNTBLANK(OFFSET(A$1,,,SUMPRODUCT(MAX(ROW(E$1:E417)*(E2=E$1:E417))))))</f>
        <v> </v>
      </c>
      <c r="K418" s="26" t="str">
        <f>IF(OR(E418="",E418="!!!",F418="NEW"),"",INDEX(J$1:J417,SUMPRODUCT(MAX(ROW(E$1:E417)*(E418=E$1:E417)))))</f>
        <v> </v>
      </c>
      <c r="L418" s="27"/>
    </row>
    <row r="419" spans="1:12">
      <c r="A419" s="20" t="s">
        <v>366</v>
      </c>
      <c r="B419" s="21" t="s">
        <v>125</v>
      </c>
      <c r="C419" s="21" t="s">
        <v>111</v>
      </c>
      <c r="D419" s="21" t="s">
        <v>106</v>
      </c>
      <c r="E419" s="22">
        <f>IF(D419="?OLD","!!!","")</f>
        <v/>
      </c>
      <c r="F419" s="23" t="str">
        <f>IF(OR(E419="",E419="!!!"),"",IF(NOT(ISNA(VLOOKUP(E419,E$1:E418,1,FALSE()))),"OLD",IF(AND(E419&lt;&gt;"",E419&lt;&gt;"!!!"),"NEW","")))</f>
        <v> </v>
      </c>
      <c r="G419" s="24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25" t="str">
        <f>IF(J419&lt;&gt;1,"",IF(I419="SBJ","CB","?"))</f>
        <v> </v>
      </c>
      <c r="I419" s="26" t="str">
        <f>IF(OR(E419="",E419="!!!",F419="NEW"),"",INDEX(B418:B$2,-1+SUMPRODUCT(MAX(ROW(E418:E$2)*(E419=E418:E$2)))))</f>
        <v> </v>
      </c>
      <c r="J419" s="26" t="str">
        <f>IF(OR(E419="",E419="!!!",F419="NEW"),"",COUNTBLANK(OFFSET(A$1,,,SUMPRODUCT(MAX(ROW(E$2:E419)*(E419=E$2:E419)))))-COUNTBLANK(OFFSET(A$1,,,SUMPRODUCT(MAX(ROW(E$1:E418)*(E2=E$1:E418))))))</f>
        <v> </v>
      </c>
      <c r="K419" s="26" t="str">
        <f>IF(OR(E419="",E419="!!!",F419="NEW"),"",INDEX(J$1:J418,SUMPRODUCT(MAX(ROW(E$1:E418)*(E419=E$1:E418)))))</f>
        <v> </v>
      </c>
      <c r="L419" s="27"/>
    </row>
    <row r="420" spans="1:12">
      <c r="A420" s="20" t="s">
        <v>367</v>
      </c>
      <c r="E420" s="22">
        <f>IF(D420="?OLD","!!!","")</f>
        <v/>
      </c>
      <c r="F420" s="23" t="str">
        <f>IF(OR(E420="",E420="!!!"),"",IF(NOT(ISNA(VLOOKUP(E420,E$1:E419,1,FALSE()))),"OLD",IF(AND(E420&lt;&gt;"",E420&lt;&gt;"!!!"),"NEW","")))</f>
        <v> </v>
      </c>
      <c r="G420" s="24" t="str">
        <f>IF(OR(E420="",E420="!!!"),"",IF(OR(J420=0,AND(J420=1,K420=1),AND(J420=1,I420="SBJ"),AND(J420=1,I420=0)),"?IN_FOCUS",IF(J420&lt;=2,"?ACTIVATED",IF(J420&lt;&gt;"","?FAMILIAR",IF(F420="NEW",IF(ISNA(VLOOKUP(E420,#REF!,1,FALSE())),"?TYPE_IDENTIFIABLE","?REFERENTIAL"),"_")))))</f>
        <v> </v>
      </c>
      <c r="H420" s="25" t="str">
        <f>IF(J420&lt;&gt;1,"",IF(I420="SBJ","CB","?"))</f>
        <v> </v>
      </c>
      <c r="I420" s="26" t="str">
        <f>IF(OR(E420="",E420="!!!",F420="NEW"),"",INDEX(B419:B$2,-1+SUMPRODUCT(MAX(ROW(E419:E$2)*(E420=E419:E$2)))))</f>
        <v> </v>
      </c>
      <c r="J420" s="26" t="str">
        <f>IF(OR(E420="",E420="!!!",F420="NEW"),"",COUNTBLANK(OFFSET(A$1,,,SUMPRODUCT(MAX(ROW(E$2:E420)*(E420=E$2:E420)))))-COUNTBLANK(OFFSET(A$1,,,SUMPRODUCT(MAX(ROW(E$1:E419)*(E2=E$1:E419))))))</f>
        <v> </v>
      </c>
      <c r="K420" s="26" t="str">
        <f>IF(OR(E420="",E420="!!!",F420="NEW"),"",INDEX(J$1:J419,SUMPRODUCT(MAX(ROW(E$1:E419)*(E420=E$1:E419)))))</f>
        <v> </v>
      </c>
      <c r="L420" s="27"/>
    </row>
    <row r="421" spans="1:12">
      <c r="A421" s="20" t="s">
        <v>368</v>
      </c>
      <c r="E421" s="22">
        <f>IF(D421="?OLD","!!!","")</f>
        <v/>
      </c>
      <c r="F421" s="23" t="str">
        <f>IF(OR(E421="",E421="!!!"),"",IF(NOT(ISNA(VLOOKUP(E421,E$1:E420,1,FALSE()))),"OLD",IF(AND(E421&lt;&gt;"",E421&lt;&gt;"!!!"),"NEW","")))</f>
        <v> </v>
      </c>
      <c r="G421" s="24" t="str">
        <f>IF(OR(E421="",E421="!!!"),"",IF(OR(J421=0,AND(J421=1,K421=1),AND(J421=1,I421="SBJ"),AND(J421=1,I421=0)),"?IN_FOCUS",IF(J421&lt;=2,"?ACTIVATED",IF(J421&lt;&gt;"","?FAMILIAR",IF(F421="NEW",IF(ISNA(VLOOKUP(E421,#REF!,1,FALSE())),"?TYPE_IDENTIFIABLE","?REFERENTIAL"),"_")))))</f>
        <v> </v>
      </c>
      <c r="H421" s="25" t="str">
        <f>IF(J421&lt;&gt;1,"",IF(I421="SBJ","CB","?"))</f>
        <v> </v>
      </c>
      <c r="I421" s="26" t="str">
        <f>IF(OR(E421="",E421="!!!",F421="NEW"),"",INDEX(B420:B$2,-1+SUMPRODUCT(MAX(ROW(E420:E$2)*(E421=E420:E$2)))))</f>
        <v> </v>
      </c>
      <c r="J421" s="26" t="str">
        <f>IF(OR(E421="",E421="!!!",F421="NEW"),"",COUNTBLANK(OFFSET(A$1,,,SUMPRODUCT(MAX(ROW(E$2:E421)*(E421=E$2:E421)))))-COUNTBLANK(OFFSET(A$1,,,SUMPRODUCT(MAX(ROW(E$1:E420)*(E2=E$1:E420))))))</f>
        <v> </v>
      </c>
      <c r="K421" s="26" t="str">
        <f>IF(OR(E421="",E421="!!!",F421="NEW"),"",INDEX(J$1:J420,SUMPRODUCT(MAX(ROW(E$1:E420)*(E421=E$1:E420)))))</f>
        <v> </v>
      </c>
      <c r="L421" s="27"/>
    </row>
    <row r="422" spans="1:12">
      <c r="A422" s="20" t="s">
        <v>172</v>
      </c>
      <c r="B422" s="21" t="s">
        <v>104</v>
      </c>
      <c r="C422" s="21" t="s">
        <v>105</v>
      </c>
      <c r="D422" s="21" t="s">
        <v>106</v>
      </c>
      <c r="E422" s="22">
        <f>IF(D422="?OLD","!!!","")</f>
        <v/>
      </c>
      <c r="F422" s="23" t="str">
        <f>IF(OR(E422="",E422="!!!"),"",IF(NOT(ISNA(VLOOKUP(E422,E$1:E421,1,FALSE()))),"OLD",IF(AND(E422&lt;&gt;"",E422&lt;&gt;"!!!"),"NEW","")))</f>
        <v> </v>
      </c>
      <c r="G422" s="24" t="str">
        <f>IF(OR(E422="",E422="!!!"),"",IF(OR(J422=0,AND(J422=1,K422=1),AND(J422=1,I422="SBJ"),AND(J422=1,I422=0)),"?IN_FOCUS",IF(J422&lt;=2,"?ACTIVATED",IF(J422&lt;&gt;"","?FAMILIAR",IF(F422="NEW",IF(ISNA(VLOOKUP(E422,#REF!,1,FALSE())),"?TYPE_IDENTIFIABLE","?REFERENTIAL"),"_")))))</f>
        <v> </v>
      </c>
      <c r="H422" s="25" t="str">
        <f>IF(J422&lt;&gt;1,"",IF(I422="SBJ","CB","?"))</f>
        <v> </v>
      </c>
      <c r="I422" s="26" t="str">
        <f>IF(OR(E422="",E422="!!!",F422="NEW"),"",INDEX(B421:B$2,-1+SUMPRODUCT(MAX(ROW(E421:E$2)*(E422=E421:E$2)))))</f>
        <v> </v>
      </c>
      <c r="J422" s="26" t="str">
        <f>IF(OR(E422="",E422="!!!",F422="NEW"),"",COUNTBLANK(OFFSET(A$1,,,SUMPRODUCT(MAX(ROW(E$2:E422)*(E422=E$2:E422)))))-COUNTBLANK(OFFSET(A$1,,,SUMPRODUCT(MAX(ROW(E$1:E421)*(E2=E$1:E421))))))</f>
        <v> </v>
      </c>
      <c r="K422" s="26" t="str">
        <f>IF(OR(E422="",E422="!!!",F422="NEW"),"",INDEX(J$1:J421,SUMPRODUCT(MAX(ROW(E$1:E421)*(E422=E$1:E421)))))</f>
        <v> </v>
      </c>
      <c r="L422" s="27"/>
    </row>
    <row r="423" spans="1:12">
      <c r="A423" s="20" t="s">
        <v>224</v>
      </c>
      <c r="E423" s="22">
        <f>IF(D423="?OLD","!!!","")</f>
        <v/>
      </c>
      <c r="F423" s="23" t="str">
        <f>IF(OR(E423="",E423="!!!"),"",IF(NOT(ISNA(VLOOKUP(E423,E$1:E422,1,FALSE()))),"OLD",IF(AND(E423&lt;&gt;"",E423&lt;&gt;"!!!"),"NEW","")))</f>
        <v> </v>
      </c>
      <c r="G423" s="24" t="str">
        <f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> </v>
      </c>
      <c r="H423" s="25" t="str">
        <f>IF(J423&lt;&gt;1,"",IF(I423="SBJ","CB","?"))</f>
        <v> </v>
      </c>
      <c r="I423" s="26" t="str">
        <f>IF(OR(E423="",E423="!!!",F423="NEW"),"",INDEX(B422:B$2,-1+SUMPRODUCT(MAX(ROW(E422:E$2)*(E423=E422:E$2)))))</f>
        <v> </v>
      </c>
      <c r="J423" s="26" t="str">
        <f>IF(OR(E423="",E423="!!!",F423="NEW"),"",COUNTBLANK(OFFSET(A$1,,,SUMPRODUCT(MAX(ROW(E$2:E423)*(E423=E$2:E423)))))-COUNTBLANK(OFFSET(A$1,,,SUMPRODUCT(MAX(ROW(E$1:E422)*(E2=E$1:E422))))))</f>
        <v> </v>
      </c>
      <c r="K423" s="26" t="str">
        <f>IF(OR(E423="",E423="!!!",F423="NEW"),"",INDEX(J$1:J422,SUMPRODUCT(MAX(ROW(E$1:E422)*(E423=E$1:E422)))))</f>
        <v> </v>
      </c>
      <c r="L423" s="27"/>
    </row>
    <row r="424" spans="1:12">
      <c r="A424" s="20" t="s">
        <v>369</v>
      </c>
      <c r="E424" s="22">
        <f>IF(D424="?OLD","!!!","")</f>
        <v/>
      </c>
      <c r="F424" s="23" t="str">
        <f>IF(OR(E424="",E424="!!!"),"",IF(NOT(ISNA(VLOOKUP(E424,E$1:E423,1,FALSE()))),"OLD",IF(AND(E424&lt;&gt;"",E424&lt;&gt;"!!!"),"NEW","")))</f>
        <v> </v>
      </c>
      <c r="G424" s="24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 </v>
      </c>
      <c r="H424" s="25" t="str">
        <f>IF(J424&lt;&gt;1,"",IF(I424="SBJ","CB","?"))</f>
        <v> </v>
      </c>
      <c r="I424" s="26" t="str">
        <f>IF(OR(E424="",E424="!!!",F424="NEW"),"",INDEX(B423:B$2,-1+SUMPRODUCT(MAX(ROW(E423:E$2)*(E424=E423:E$2)))))</f>
        <v> </v>
      </c>
      <c r="J424" s="26" t="str">
        <f>IF(OR(E424="",E424="!!!",F424="NEW"),"",COUNTBLANK(OFFSET(A$1,,,SUMPRODUCT(MAX(ROW(E$2:E424)*(E424=E$2:E424)))))-COUNTBLANK(OFFSET(A$1,,,SUMPRODUCT(MAX(ROW(E$1:E423)*(E2=E$1:E423))))))</f>
        <v> </v>
      </c>
      <c r="K424" s="26" t="str">
        <f>IF(OR(E424="",E424="!!!",F424="NEW"),"",INDEX(J$1:J423,SUMPRODUCT(MAX(ROW(E$1:E423)*(E424=E$1:E423)))))</f>
        <v> </v>
      </c>
      <c r="L424" s="27"/>
    </row>
    <row r="425" spans="1:12">
      <c r="A425" s="20" t="s">
        <v>370</v>
      </c>
      <c r="B425" s="21" t="s">
        <v>187</v>
      </c>
      <c r="C425" s="21" t="s">
        <v>147</v>
      </c>
      <c r="D425" s="21" t="s">
        <v>106</v>
      </c>
      <c r="E425" s="22">
        <f>IF(D425="?OLD","!!!","")</f>
        <v/>
      </c>
      <c r="F425" s="23" t="str">
        <f>IF(OR(E425="",E425="!!!"),"",IF(NOT(ISNA(VLOOKUP(E425,E$1:E424,1,FALSE()))),"OLD",IF(AND(E425&lt;&gt;"",E425&lt;&gt;"!!!"),"NEW","")))</f>
        <v> </v>
      </c>
      <c r="G425" s="24" t="str">
        <f>IF(OR(E425="",E425="!!!"),"",IF(OR(J425=0,AND(J425=1,K425=1),AND(J425=1,I425="SBJ"),AND(J425=1,I425=0)),"?IN_FOCUS",IF(J425&lt;=2,"?ACTIVATED",IF(J425&lt;&gt;"","?FAMILIAR",IF(F425="NEW",IF(ISNA(VLOOKUP(E425,#REF!,1,FALSE())),"?TYPE_IDENTIFIABLE","?REFERENTIAL"),"_")))))</f>
        <v> </v>
      </c>
      <c r="H425" s="25" t="str">
        <f>IF(J425&lt;&gt;1,"",IF(I425="SBJ","CB","?"))</f>
        <v> </v>
      </c>
      <c r="I425" s="26" t="str">
        <f>IF(OR(E425="",E425="!!!",F425="NEW"),"",INDEX(B424:B$2,-1+SUMPRODUCT(MAX(ROW(E424:E$2)*(E425=E424:E$2)))))</f>
        <v> </v>
      </c>
      <c r="J425" s="26" t="str">
        <f>IF(OR(E425="",E425="!!!",F425="NEW"),"",COUNTBLANK(OFFSET(A$1,,,SUMPRODUCT(MAX(ROW(E$2:E425)*(E425=E$2:E425)))))-COUNTBLANK(OFFSET(A$1,,,SUMPRODUCT(MAX(ROW(E$1:E424)*(E2=E$1:E424))))))</f>
        <v> </v>
      </c>
      <c r="K425" s="26" t="str">
        <f>IF(OR(E425="",E425="!!!",F425="NEW"),"",INDEX(J$1:J424,SUMPRODUCT(MAX(ROW(E$1:E424)*(E425=E$1:E424)))))</f>
        <v> </v>
      </c>
      <c r="L425" s="27"/>
    </row>
    <row r="426" spans="1:12">
      <c r="A426" s="20" t="s">
        <v>217</v>
      </c>
      <c r="E426" s="22">
        <f>IF(D426="?OLD","!!!","")</f>
        <v/>
      </c>
      <c r="F426" s="23" t="str">
        <f>IF(OR(E426="",E426="!!!"),"",IF(NOT(ISNA(VLOOKUP(E426,E$1:E425,1,FALSE()))),"OLD",IF(AND(E426&lt;&gt;"",E426&lt;&gt;"!!!"),"NEW","")))</f>
        <v> </v>
      </c>
      <c r="G426" s="24" t="str">
        <f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> </v>
      </c>
      <c r="H426" s="25" t="str">
        <f>IF(J426&lt;&gt;1,"",IF(I426="SBJ","CB","?"))</f>
        <v> </v>
      </c>
      <c r="I426" s="26" t="str">
        <f>IF(OR(E426="",E426="!!!",F426="NEW"),"",INDEX(B425:B$2,-1+SUMPRODUCT(MAX(ROW(E425:E$2)*(E426=E425:E$2)))))</f>
        <v> </v>
      </c>
      <c r="J426" s="26" t="str">
        <f>IF(OR(E426="",E426="!!!",F426="NEW"),"",COUNTBLANK(OFFSET(A$1,,,SUMPRODUCT(MAX(ROW(E$2:E426)*(E426=E$2:E426)))))-COUNTBLANK(OFFSET(A$1,,,SUMPRODUCT(MAX(ROW(E$1:E425)*(E2=E$1:E425))))))</f>
        <v> </v>
      </c>
      <c r="K426" s="26" t="str">
        <f>IF(OR(E426="",E426="!!!",F426="NEW"),"",INDEX(J$1:J425,SUMPRODUCT(MAX(ROW(E$1:E425)*(E426=E$1:E425)))))</f>
        <v> </v>
      </c>
      <c r="L426" s="27"/>
    </row>
    <row r="427" spans="1:12">
      <c r="A427" s="20" t="s">
        <v>371</v>
      </c>
      <c r="B427" s="21" t="s">
        <v>125</v>
      </c>
      <c r="C427" s="21" t="s">
        <v>147</v>
      </c>
      <c r="D427" s="21" t="s">
        <v>106</v>
      </c>
      <c r="E427" s="22">
        <f>IF(D427="?OLD","!!!","")</f>
        <v/>
      </c>
      <c r="F427" s="23" t="str">
        <f>IF(OR(E427="",E427="!!!"),"",IF(NOT(ISNA(VLOOKUP(E427,E$1:E426,1,FALSE()))),"OLD",IF(AND(E427&lt;&gt;"",E427&lt;&gt;"!!!"),"NEW","")))</f>
        <v> </v>
      </c>
      <c r="G427" s="24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> </v>
      </c>
      <c r="H427" s="25" t="str">
        <f>IF(J427&lt;&gt;1,"",IF(I427="SBJ","CB","?"))</f>
        <v> </v>
      </c>
      <c r="I427" s="26" t="str">
        <f>IF(OR(E427="",E427="!!!",F427="NEW"),"",INDEX(B426:B$2,-1+SUMPRODUCT(MAX(ROW(E426:E$2)*(E427=E426:E$2)))))</f>
        <v> </v>
      </c>
      <c r="J427" s="26" t="str">
        <f>IF(OR(E427="",E427="!!!",F427="NEW"),"",COUNTBLANK(OFFSET(A$1,,,SUMPRODUCT(MAX(ROW(E$2:E427)*(E427=E$2:E427)))))-COUNTBLANK(OFFSET(A$1,,,SUMPRODUCT(MAX(ROW(E$1:E426)*(E2=E$1:E426))))))</f>
        <v> </v>
      </c>
      <c r="K427" s="26" t="str">
        <f>IF(OR(E427="",E427="!!!",F427="NEW"),"",INDEX(J$1:J426,SUMPRODUCT(MAX(ROW(E$1:E426)*(E427=E$1:E426)))))</f>
        <v> </v>
      </c>
      <c r="L427" s="27"/>
    </row>
    <row r="428" spans="1:12">
      <c r="A428" s="20" t="s">
        <v>372</v>
      </c>
      <c r="E428" s="22">
        <f>IF(D428="?OLD","!!!","")</f>
        <v/>
      </c>
      <c r="F428" s="23" t="str">
        <f>IF(OR(E428="",E428="!!!"),"",IF(NOT(ISNA(VLOOKUP(E428,E$1:E427,1,FALSE()))),"OLD",IF(AND(E428&lt;&gt;"",E428&lt;&gt;"!!!"),"NEW","")))</f>
        <v> </v>
      </c>
      <c r="G428" s="24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> </v>
      </c>
      <c r="H428" s="25" t="str">
        <f>IF(J428&lt;&gt;1,"",IF(I428="SBJ","CB","?"))</f>
        <v> </v>
      </c>
      <c r="I428" s="26" t="str">
        <f>IF(OR(E428="",E428="!!!",F428="NEW"),"",INDEX(B427:B$2,-1+SUMPRODUCT(MAX(ROW(E427:E$2)*(E428=E427:E$2)))))</f>
        <v> </v>
      </c>
      <c r="J428" s="26" t="str">
        <f>IF(OR(E428="",E428="!!!",F428="NEW"),"",COUNTBLANK(OFFSET(A$1,,,SUMPRODUCT(MAX(ROW(E$2:E428)*(E428=E$2:E428)))))-COUNTBLANK(OFFSET(A$1,,,SUMPRODUCT(MAX(ROW(E$1:E427)*(E2=E$1:E427))))))</f>
        <v> </v>
      </c>
      <c r="K428" s="26" t="str">
        <f>IF(OR(E428="",E428="!!!",F428="NEW"),"",INDEX(J$1:J427,SUMPRODUCT(MAX(ROW(E$1:E427)*(E428=E$1:E427)))))</f>
        <v> </v>
      </c>
      <c r="L428" s="27"/>
    </row>
    <row r="429" spans="1:12">
      <c r="A429" s="20" t="s">
        <v>307</v>
      </c>
      <c r="B429" s="21" t="s">
        <v>195</v>
      </c>
      <c r="C429" s="21" t="s">
        <v>147</v>
      </c>
      <c r="D429" s="21" t="s">
        <v>106</v>
      </c>
      <c r="E429" s="22">
        <f>IF(D429="?OLD","!!!","")</f>
        <v/>
      </c>
      <c r="F429" s="23" t="str">
        <f>IF(OR(E429="",E429="!!!"),"",IF(NOT(ISNA(VLOOKUP(E429,E$1:E428,1,FALSE()))),"OLD",IF(AND(E429&lt;&gt;"",E429&lt;&gt;"!!!"),"NEW","")))</f>
        <v> </v>
      </c>
      <c r="G429" s="24" t="str">
        <f>IF(OR(E429="",E429="!!!"),"",IF(OR(J429=0,AND(J429=1,K429=1),AND(J429=1,I429="SBJ"),AND(J429=1,I429=0)),"?IN_FOCUS",IF(J429&lt;=2,"?ACTIVATED",IF(J429&lt;&gt;"","?FAMILIAR",IF(F429="NEW",IF(ISNA(VLOOKUP(E429,#REF!,1,FALSE())),"?TYPE_IDENTIFIABLE","?REFERENTIAL"),"_")))))</f>
        <v> </v>
      </c>
      <c r="H429" s="25" t="str">
        <f>IF(J429&lt;&gt;1,"",IF(I429="SBJ","CB","?"))</f>
        <v> </v>
      </c>
      <c r="I429" s="26" t="str">
        <f>IF(OR(E429="",E429="!!!",F429="NEW"),"",INDEX(B428:B$2,-1+SUMPRODUCT(MAX(ROW(E428:E$2)*(E429=E428:E$2)))))</f>
        <v> </v>
      </c>
      <c r="J429" s="26" t="str">
        <f>IF(OR(E429="",E429="!!!",F429="NEW"),"",COUNTBLANK(OFFSET(A$1,,,SUMPRODUCT(MAX(ROW(E$2:E429)*(E429=E$2:E429)))))-COUNTBLANK(OFFSET(A$1,,,SUMPRODUCT(MAX(ROW(E$1:E428)*(E2=E$1:E428))))))</f>
        <v> </v>
      </c>
      <c r="K429" s="26" t="str">
        <f>IF(OR(E429="",E429="!!!",F429="NEW"),"",INDEX(J$1:J428,SUMPRODUCT(MAX(ROW(E$1:E428)*(E429=E$1:E428)))))</f>
        <v> </v>
      </c>
      <c r="L429" s="27"/>
    </row>
    <row r="430" spans="1:12">
      <c r="A430" s="20" t="s">
        <v>116</v>
      </c>
      <c r="E430" s="22">
        <f>IF(D430="?OLD","!!!","")</f>
        <v/>
      </c>
      <c r="F430" s="23" t="str">
        <f>IF(OR(E430="",E430="!!!"),"",IF(NOT(ISNA(VLOOKUP(E430,E$1:E429,1,FALSE()))),"OLD",IF(AND(E430&lt;&gt;"",E430&lt;&gt;"!!!"),"NEW","")))</f>
        <v> </v>
      </c>
      <c r="G430" s="24" t="str">
        <f>IF(OR(E430="",E430="!!!"),"",IF(OR(J430=0,AND(J430=1,K430=1),AND(J430=1,I430="SBJ"),AND(J430=1,I430=0)),"?IN_FOCUS",IF(J430&lt;=2,"?ACTIVATED",IF(J430&lt;&gt;"","?FAMILIAR",IF(F430="NEW",IF(ISNA(VLOOKUP(E430,#REF!,1,FALSE())),"?TYPE_IDENTIFIABLE","?REFERENTIAL"),"_")))))</f>
        <v> </v>
      </c>
      <c r="H430" s="25" t="str">
        <f>IF(J430&lt;&gt;1,"",IF(I430="SBJ","CB","?"))</f>
        <v> </v>
      </c>
      <c r="I430" s="26" t="str">
        <f>IF(OR(E430="",E430="!!!",F430="NEW"),"",INDEX(B429:B$2,-1+SUMPRODUCT(MAX(ROW(E429:E$2)*(E430=E429:E$2)))))</f>
        <v> </v>
      </c>
      <c r="J430" s="26" t="str">
        <f>IF(OR(E430="",E430="!!!",F430="NEW"),"",COUNTBLANK(OFFSET(A$1,,,SUMPRODUCT(MAX(ROW(E$2:E430)*(E430=E$2:E430)))))-COUNTBLANK(OFFSET(A$1,,,SUMPRODUCT(MAX(ROW(E$1:E429)*(E2=E$1:E429))))))</f>
        <v> </v>
      </c>
      <c r="K430" s="26" t="str">
        <f>IF(OR(E430="",E430="!!!",F430="NEW"),"",INDEX(J$1:J429,SUMPRODUCT(MAX(ROW(E$1:E429)*(E430=E$1:E429)))))</f>
        <v> </v>
      </c>
      <c r="L430" s="27"/>
    </row>
    <row r="431" spans="1:12">
      <c r="A431" s="20" t="s">
        <v>373</v>
      </c>
      <c r="E431" s="22">
        <f>IF(D431="?OLD","!!!","")</f>
        <v/>
      </c>
      <c r="F431" s="23" t="str">
        <f>IF(OR(E431="",E431="!!!"),"",IF(NOT(ISNA(VLOOKUP(E431,E$1:E430,1,FALSE()))),"OLD",IF(AND(E431&lt;&gt;"",E431&lt;&gt;"!!!"),"NEW","")))</f>
        <v> </v>
      </c>
      <c r="G431" s="24" t="str">
        <f>IF(OR(E431="",E431="!!!"),"",IF(OR(J431=0,AND(J431=1,K431=1),AND(J431=1,I431="SBJ"),AND(J431=1,I431=0)),"?IN_FOCUS",IF(J431&lt;=2,"?ACTIVATED",IF(J431&lt;&gt;"","?FAMILIAR",IF(F431="NEW",IF(ISNA(VLOOKUP(E431,#REF!,1,FALSE())),"?TYPE_IDENTIFIABLE","?REFERENTIAL"),"_")))))</f>
        <v> </v>
      </c>
      <c r="H431" s="25" t="str">
        <f>IF(J431&lt;&gt;1,"",IF(I431="SBJ","CB","?"))</f>
        <v> </v>
      </c>
      <c r="I431" s="26" t="str">
        <f>IF(OR(E431="",E431="!!!",F431="NEW"),"",INDEX(B430:B$2,-1+SUMPRODUCT(MAX(ROW(E430:E$2)*(E431=E430:E$2)))))</f>
        <v> </v>
      </c>
      <c r="J431" s="26" t="str">
        <f>IF(OR(E431="",E431="!!!",F431="NEW"),"",COUNTBLANK(OFFSET(A$1,,,SUMPRODUCT(MAX(ROW(E$2:E431)*(E431=E$2:E431)))))-COUNTBLANK(OFFSET(A$1,,,SUMPRODUCT(MAX(ROW(E$1:E430)*(E2=E$1:E430))))))</f>
        <v> </v>
      </c>
      <c r="K431" s="26" t="str">
        <f>IF(OR(E431="",E431="!!!",F431="NEW"),"",INDEX(J$1:J430,SUMPRODUCT(MAX(ROW(E$1:E430)*(E431=E$1:E430)))))</f>
        <v> </v>
      </c>
      <c r="L431" s="27"/>
    </row>
    <row r="432" spans="1:12">
      <c r="A432" s="20" t="s">
        <v>224</v>
      </c>
      <c r="E432" s="22">
        <f>IF(D432="?OLD","!!!","")</f>
        <v/>
      </c>
      <c r="F432" s="23" t="str">
        <f>IF(OR(E432="",E432="!!!"),"",IF(NOT(ISNA(VLOOKUP(E432,E$1:E431,1,FALSE()))),"OLD",IF(AND(E432&lt;&gt;"",E432&lt;&gt;"!!!"),"NEW","")))</f>
        <v> </v>
      </c>
      <c r="G432" s="24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> </v>
      </c>
      <c r="H432" s="25" t="str">
        <f>IF(J432&lt;&gt;1,"",IF(I432="SBJ","CB","?"))</f>
        <v> </v>
      </c>
      <c r="I432" s="26" t="str">
        <f>IF(OR(E432="",E432="!!!",F432="NEW"),"",INDEX(B431:B$2,-1+SUMPRODUCT(MAX(ROW(E431:E$2)*(E432=E431:E$2)))))</f>
        <v> </v>
      </c>
      <c r="J432" s="26" t="str">
        <f>IF(OR(E432="",E432="!!!",F432="NEW"),"",COUNTBLANK(OFFSET(A$1,,,SUMPRODUCT(MAX(ROW(E$2:E432)*(E432=E$2:E432)))))-COUNTBLANK(OFFSET(A$1,,,SUMPRODUCT(MAX(ROW(E$1:E431)*(E2=E$1:E431))))))</f>
        <v> </v>
      </c>
      <c r="K432" s="26" t="str">
        <f>IF(OR(E432="",E432="!!!",F432="NEW"),"",INDEX(J$1:J431,SUMPRODUCT(MAX(ROW(E$1:E431)*(E432=E$1:E431)))))</f>
        <v> </v>
      </c>
      <c r="L432" s="27"/>
    </row>
    <row r="433" spans="1:12">
      <c r="A433" s="20" t="s">
        <v>374</v>
      </c>
      <c r="B433" s="21" t="s">
        <v>157</v>
      </c>
      <c r="C433" s="21" t="s">
        <v>147</v>
      </c>
      <c r="D433" s="21" t="s">
        <v>106</v>
      </c>
      <c r="E433" s="22">
        <f>IF(D433="?OLD","!!!","")</f>
        <v/>
      </c>
      <c r="F433" s="23" t="str">
        <f>IF(OR(E433="",E433="!!!"),"",IF(NOT(ISNA(VLOOKUP(E433,E$1:E432,1,FALSE()))),"OLD",IF(AND(E433&lt;&gt;"",E433&lt;&gt;"!!!"),"NEW","")))</f>
        <v> </v>
      </c>
      <c r="G433" s="24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25" t="str">
        <f>IF(J433&lt;&gt;1,"",IF(I433="SBJ","CB","?"))</f>
        <v> </v>
      </c>
      <c r="I433" s="26" t="str">
        <f>IF(OR(E433="",E433="!!!",F433="NEW"),"",INDEX(B432:B$2,-1+SUMPRODUCT(MAX(ROW(E432:E$2)*(E433=E432:E$2)))))</f>
        <v> </v>
      </c>
      <c r="J433" s="26" t="str">
        <f>IF(OR(E433="",E433="!!!",F433="NEW"),"",COUNTBLANK(OFFSET(A$1,,,SUMPRODUCT(MAX(ROW(E$2:E433)*(E433=E$2:E433)))))-COUNTBLANK(OFFSET(A$1,,,SUMPRODUCT(MAX(ROW(E$1:E432)*(E2=E$1:E432))))))</f>
        <v> </v>
      </c>
      <c r="K433" s="26" t="str">
        <f>IF(OR(E433="",E433="!!!",F433="NEW"),"",INDEX(J$1:J432,SUMPRODUCT(MAX(ROW(E$1:E432)*(E433=E$1:E432)))))</f>
        <v> </v>
      </c>
      <c r="L433" s="27"/>
    </row>
    <row r="434" spans="1:12">
      <c r="A434" s="20" t="s">
        <v>375</v>
      </c>
      <c r="B434" s="21" t="s">
        <v>124</v>
      </c>
      <c r="C434" s="21" t="s">
        <v>111</v>
      </c>
      <c r="D434" s="21" t="s">
        <v>106</v>
      </c>
      <c r="E434" s="22">
        <f>IF(D434="?OLD","!!!","")</f>
        <v/>
      </c>
      <c r="F434" s="23" t="str">
        <f>IF(OR(E434="",E434="!!!"),"",IF(NOT(ISNA(VLOOKUP(E434,E$1:E433,1,FALSE()))),"OLD",IF(AND(E434&lt;&gt;"",E434&lt;&gt;"!!!"),"NEW","")))</f>
        <v> </v>
      </c>
      <c r="G434" s="24" t="str">
        <f>IF(OR(E434="",E434="!!!"),"",IF(OR(J434=0,AND(J434=1,K434=1),AND(J434=1,I434="SBJ"),AND(J434=1,I434=0)),"?IN_FOCUS",IF(J434&lt;=2,"?ACTIVATED",IF(J434&lt;&gt;"","?FAMILIAR",IF(F434="NEW",IF(ISNA(VLOOKUP(E434,#REF!,1,FALSE())),"?TYPE_IDENTIFIABLE","?REFERENTIAL"),"_")))))</f>
        <v> </v>
      </c>
      <c r="H434" s="25" t="str">
        <f>IF(J434&lt;&gt;1,"",IF(I434="SBJ","CB","?"))</f>
        <v> </v>
      </c>
      <c r="I434" s="26" t="str">
        <f>IF(OR(E434="",E434="!!!",F434="NEW"),"",INDEX(B433:B$2,-1+SUMPRODUCT(MAX(ROW(E433:E$2)*(E434=E433:E$2)))))</f>
        <v> </v>
      </c>
      <c r="J434" s="26" t="str">
        <f>IF(OR(E434="",E434="!!!",F434="NEW"),"",COUNTBLANK(OFFSET(A$1,,,SUMPRODUCT(MAX(ROW(E$2:E434)*(E434=E$2:E434)))))-COUNTBLANK(OFFSET(A$1,,,SUMPRODUCT(MAX(ROW(E$1:E433)*(E2=E$1:E433))))))</f>
        <v> </v>
      </c>
      <c r="K434" s="26" t="str">
        <f>IF(OR(E434="",E434="!!!",F434="NEW"),"",INDEX(J$1:J433,SUMPRODUCT(MAX(ROW(E$1:E433)*(E434=E$1:E433)))))</f>
        <v> </v>
      </c>
      <c r="L434" s="27"/>
    </row>
    <row r="435" spans="1:12">
      <c r="A435" s="20" t="s">
        <v>116</v>
      </c>
      <c r="E435" s="22">
        <f>IF(D435="?OLD","!!!","")</f>
        <v/>
      </c>
      <c r="F435" s="23" t="str">
        <f>IF(OR(E435="",E435="!!!"),"",IF(NOT(ISNA(VLOOKUP(E435,E$1:E434,1,FALSE()))),"OLD",IF(AND(E435&lt;&gt;"",E435&lt;&gt;"!!!"),"NEW","")))</f>
        <v> </v>
      </c>
      <c r="G435" s="24" t="str">
        <f>IF(OR(E435="",E435="!!!"),"",IF(OR(J435=0,AND(J435=1,K435=1),AND(J435=1,I435="SBJ"),AND(J435=1,I435=0)),"?IN_FOCUS",IF(J435&lt;=2,"?ACTIVATED",IF(J435&lt;&gt;"","?FAMILIAR",IF(F435="NEW",IF(ISNA(VLOOKUP(E435,#REF!,1,FALSE())),"?TYPE_IDENTIFIABLE","?REFERENTIAL"),"_")))))</f>
        <v> </v>
      </c>
      <c r="H435" s="25" t="str">
        <f>IF(J435&lt;&gt;1,"",IF(I435="SBJ","CB","?"))</f>
        <v> </v>
      </c>
      <c r="I435" s="26" t="str">
        <f>IF(OR(E435="",E435="!!!",F435="NEW"),"",INDEX(B434:B$2,-1+SUMPRODUCT(MAX(ROW(E434:E$2)*(E435=E434:E$2)))))</f>
        <v> </v>
      </c>
      <c r="J435" s="26" t="str">
        <f>IF(OR(E435="",E435="!!!",F435="NEW"),"",COUNTBLANK(OFFSET(A$1,,,SUMPRODUCT(MAX(ROW(E$2:E435)*(E435=E$2:E435)))))-COUNTBLANK(OFFSET(A$1,,,SUMPRODUCT(MAX(ROW(E$1:E434)*(E2=E$1:E434))))))</f>
        <v> </v>
      </c>
      <c r="K435" s="26" t="str">
        <f>IF(OR(E435="",E435="!!!",F435="NEW"),"",INDEX(J$1:J434,SUMPRODUCT(MAX(ROW(E$1:E434)*(E435=E$1:E434)))))</f>
        <v> </v>
      </c>
      <c r="L435" s="27"/>
    </row>
    <row r="436" spans="1:12">
      <c r="A436" s="20" t="s">
        <v>191</v>
      </c>
      <c r="E436" s="22">
        <f>IF(D436="?OLD","!!!","")</f>
        <v/>
      </c>
      <c r="F436" s="23" t="str">
        <f>IF(OR(E436="",E436="!!!"),"",IF(NOT(ISNA(VLOOKUP(E436,E$1:E435,1,FALSE()))),"OLD",IF(AND(E436&lt;&gt;"",E436&lt;&gt;"!!!"),"NEW","")))</f>
        <v> </v>
      </c>
      <c r="G436" s="24" t="str">
        <f>IF(OR(E436="",E436="!!!"),"",IF(OR(J436=0,AND(J436=1,K436=1),AND(J436=1,I436="SBJ"),AND(J436=1,I436=0)),"?IN_FOCUS",IF(J436&lt;=2,"?ACTIVATED",IF(J436&lt;&gt;"","?FAMILIAR",IF(F436="NEW",IF(ISNA(VLOOKUP(E436,#REF!,1,FALSE())),"?TYPE_IDENTIFIABLE","?REFERENTIAL"),"_")))))</f>
        <v> </v>
      </c>
      <c r="H436" s="25" t="str">
        <f>IF(J436&lt;&gt;1,"",IF(I436="SBJ","CB","?"))</f>
        <v> </v>
      </c>
      <c r="I436" s="26" t="str">
        <f>IF(OR(E436="",E436="!!!",F436="NEW"),"",INDEX(B435:B$2,-1+SUMPRODUCT(MAX(ROW(E435:E$2)*(E436=E435:E$2)))))</f>
        <v> </v>
      </c>
      <c r="J436" s="26" t="str">
        <f>IF(OR(E436="",E436="!!!",F436="NEW"),"",COUNTBLANK(OFFSET(A$1,,,SUMPRODUCT(MAX(ROW(E$2:E436)*(E436=E$2:E436)))))-COUNTBLANK(OFFSET(A$1,,,SUMPRODUCT(MAX(ROW(E$1:E435)*(E2=E$1:E435))))))</f>
        <v> </v>
      </c>
      <c r="K436" s="26" t="str">
        <f>IF(OR(E436="",E436="!!!",F436="NEW"),"",INDEX(J$1:J435,SUMPRODUCT(MAX(ROW(E$1:E435)*(E436=E$1:E435)))))</f>
        <v> </v>
      </c>
      <c r="L436" s="27"/>
    </row>
    <row r="437" spans="1:12">
      <c r="A437" s="20" t="s">
        <v>376</v>
      </c>
      <c r="E437" s="22">
        <f>IF(D437="?OLD","!!!","")</f>
        <v/>
      </c>
      <c r="F437" s="23" t="str">
        <f>IF(OR(E437="",E437="!!!"),"",IF(NOT(ISNA(VLOOKUP(E437,E$1:E436,1,FALSE()))),"OLD",IF(AND(E437&lt;&gt;"",E437&lt;&gt;"!!!"),"NEW","")))</f>
        <v> </v>
      </c>
      <c r="G437" s="24" t="str">
        <f>IF(OR(E437="",E437="!!!"),"",IF(OR(J437=0,AND(J437=1,K437=1),AND(J437=1,I437="SBJ"),AND(J437=1,I437=0)),"?IN_FOCUS",IF(J437&lt;=2,"?ACTIVATED",IF(J437&lt;&gt;"","?FAMILIAR",IF(F437="NEW",IF(ISNA(VLOOKUP(E437,#REF!,1,FALSE())),"?TYPE_IDENTIFIABLE","?REFERENTIAL"),"_")))))</f>
        <v> </v>
      </c>
      <c r="H437" s="25" t="str">
        <f>IF(J437&lt;&gt;1,"",IF(I437="SBJ","CB","?"))</f>
        <v> </v>
      </c>
      <c r="I437" s="26" t="str">
        <f>IF(OR(E437="",E437="!!!",F437="NEW"),"",INDEX(B436:B$2,-1+SUMPRODUCT(MAX(ROW(E436:E$2)*(E437=E436:E$2)))))</f>
        <v> </v>
      </c>
      <c r="J437" s="26" t="str">
        <f>IF(OR(E437="",E437="!!!",F437="NEW"),"",COUNTBLANK(OFFSET(A$1,,,SUMPRODUCT(MAX(ROW(E$2:E437)*(E437=E$2:E437)))))-COUNTBLANK(OFFSET(A$1,,,SUMPRODUCT(MAX(ROW(E$1:E436)*(E2=E$1:E436))))))</f>
        <v> </v>
      </c>
      <c r="K437" s="26" t="str">
        <f>IF(OR(E437="",E437="!!!",F437="NEW"),"",INDEX(J$1:J436,SUMPRODUCT(MAX(ROW(E$1:E436)*(E437=E$1:E436)))))</f>
        <v> </v>
      </c>
      <c r="L437" s="27"/>
    </row>
    <row r="438" spans="1:12">
      <c r="A438" s="20" t="s">
        <v>377</v>
      </c>
      <c r="E438" s="22">
        <f>IF(D438="?OLD","!!!","")</f>
        <v/>
      </c>
      <c r="F438" s="23" t="str">
        <f>IF(OR(E438="",E438="!!!"),"",IF(NOT(ISNA(VLOOKUP(E438,E$1:E437,1,FALSE()))),"OLD",IF(AND(E438&lt;&gt;"",E438&lt;&gt;"!!!"),"NEW","")))</f>
        <v> </v>
      </c>
      <c r="G438" s="24" t="str">
        <f>IF(OR(E438="",E438="!!!"),"",IF(OR(J438=0,AND(J438=1,K438=1),AND(J438=1,I438="SBJ"),AND(J438=1,I438=0)),"?IN_FOCUS",IF(J438&lt;=2,"?ACTIVATED",IF(J438&lt;&gt;"","?FAMILIAR",IF(F438="NEW",IF(ISNA(VLOOKUP(E438,#REF!,1,FALSE())),"?TYPE_IDENTIFIABLE","?REFERENTIAL"),"_")))))</f>
        <v> </v>
      </c>
      <c r="H438" s="25" t="str">
        <f>IF(J438&lt;&gt;1,"",IF(I438="SBJ","CB","?"))</f>
        <v> </v>
      </c>
      <c r="I438" s="26" t="str">
        <f>IF(OR(E438="",E438="!!!",F438="NEW"),"",INDEX(B437:B$2,-1+SUMPRODUCT(MAX(ROW(E437:E$2)*(E438=E437:E$2)))))</f>
        <v> </v>
      </c>
      <c r="J438" s="26" t="str">
        <f>IF(OR(E438="",E438="!!!",F438="NEW"),"",COUNTBLANK(OFFSET(A$1,,,SUMPRODUCT(MAX(ROW(E$2:E438)*(E438=E$2:E438)))))-COUNTBLANK(OFFSET(A$1,,,SUMPRODUCT(MAX(ROW(E$1:E437)*(E2=E$1:E437))))))</f>
        <v> </v>
      </c>
      <c r="K438" s="26" t="str">
        <f>IF(OR(E438="",E438="!!!",F438="NEW"),"",INDEX(J$1:J437,SUMPRODUCT(MAX(ROW(E$1:E437)*(E438=E$1:E437)))))</f>
        <v> </v>
      </c>
      <c r="L438" s="27"/>
    </row>
    <row r="439" spans="1:12">
      <c r="A439" s="20" t="s">
        <v>116</v>
      </c>
      <c r="E439" s="22">
        <f>IF(D439="?OLD","!!!","")</f>
        <v/>
      </c>
      <c r="F439" s="23" t="str">
        <f>IF(OR(E439="",E439="!!!"),"",IF(NOT(ISNA(VLOOKUP(E439,E$1:E438,1,FALSE()))),"OLD",IF(AND(E439&lt;&gt;"",E439&lt;&gt;"!!!"),"NEW","")))</f>
        <v> </v>
      </c>
      <c r="G439" s="24" t="str">
        <f>IF(OR(E439="",E439="!!!"),"",IF(OR(J439=0,AND(J439=1,K439=1),AND(J439=1,I439="SBJ"),AND(J439=1,I439=0)),"?IN_FOCUS",IF(J439&lt;=2,"?ACTIVATED",IF(J439&lt;&gt;"","?FAMILIAR",IF(F439="NEW",IF(ISNA(VLOOKUP(E439,#REF!,1,FALSE())),"?TYPE_IDENTIFIABLE","?REFERENTIAL"),"_")))))</f>
        <v> </v>
      </c>
      <c r="H439" s="25" t="str">
        <f>IF(J439&lt;&gt;1,"",IF(I439="SBJ","CB","?"))</f>
        <v> </v>
      </c>
      <c r="I439" s="26" t="str">
        <f>IF(OR(E439="",E439="!!!",F439="NEW"),"",INDEX(B438:B$2,-1+SUMPRODUCT(MAX(ROW(E438:E$2)*(E439=E438:E$2)))))</f>
        <v> </v>
      </c>
      <c r="J439" s="26" t="str">
        <f>IF(OR(E439="",E439="!!!",F439="NEW"),"",COUNTBLANK(OFFSET(A$1,,,SUMPRODUCT(MAX(ROW(E$2:E439)*(E439=E$2:E439)))))-COUNTBLANK(OFFSET(A$1,,,SUMPRODUCT(MAX(ROW(E$1:E438)*(E2=E$1:E438))))))</f>
        <v> </v>
      </c>
      <c r="K439" s="26" t="str">
        <f>IF(OR(E439="",E439="!!!",F439="NEW"),"",INDEX(J$1:J438,SUMPRODUCT(MAX(ROW(E$1:E438)*(E439=E$1:E438)))))</f>
        <v> </v>
      </c>
      <c r="L439" s="27"/>
    </row>
    <row r="440" spans="1:12">
      <c r="A440" s="20" t="s">
        <v>378</v>
      </c>
      <c r="B440" s="21" t="s">
        <v>198</v>
      </c>
      <c r="C440" s="21" t="s">
        <v>175</v>
      </c>
      <c r="D440" s="21" t="s">
        <v>106</v>
      </c>
      <c r="E440" s="22">
        <f>IF(D440="?OLD","!!!","")</f>
        <v/>
      </c>
      <c r="F440" s="23" t="str">
        <f>IF(OR(E440="",E440="!!!"),"",IF(NOT(ISNA(VLOOKUP(E440,E$1:E439,1,FALSE()))),"OLD",IF(AND(E440&lt;&gt;"",E440&lt;&gt;"!!!"),"NEW","")))</f>
        <v> </v>
      </c>
      <c r="G440" s="24" t="str">
        <f>IF(OR(E440="",E440="!!!"),"",IF(OR(J440=0,AND(J440=1,K440=1),AND(J440=1,I440="SBJ"),AND(J440=1,I440=0)),"?IN_FOCUS",IF(J440&lt;=2,"?ACTIVATED",IF(J440&lt;&gt;"","?FAMILIAR",IF(F440="NEW",IF(ISNA(VLOOKUP(E440,#REF!,1,FALSE())),"?TYPE_IDENTIFIABLE","?REFERENTIAL"),"_")))))</f>
        <v> </v>
      </c>
      <c r="H440" s="25" t="str">
        <f>IF(J440&lt;&gt;1,"",IF(I440="SBJ","CB","?"))</f>
        <v> </v>
      </c>
      <c r="I440" s="26" t="str">
        <f>IF(OR(E440="",E440="!!!",F440="NEW"),"",INDEX(B439:B$2,-1+SUMPRODUCT(MAX(ROW(E439:E$2)*(E440=E439:E$2)))))</f>
        <v> </v>
      </c>
      <c r="J440" s="26" t="str">
        <f>IF(OR(E440="",E440="!!!",F440="NEW"),"",COUNTBLANK(OFFSET(A$1,,,SUMPRODUCT(MAX(ROW(E$2:E440)*(E440=E$2:E440)))))-COUNTBLANK(OFFSET(A$1,,,SUMPRODUCT(MAX(ROW(E$1:E439)*(E2=E$1:E439))))))</f>
        <v> </v>
      </c>
      <c r="K440" s="26" t="str">
        <f>IF(OR(E440="",E440="!!!",F440="NEW"),"",INDEX(J$1:J439,SUMPRODUCT(MAX(ROW(E$1:E439)*(E440=E$1:E439)))))</f>
        <v> </v>
      </c>
      <c r="L440" s="27"/>
    </row>
    <row r="441" spans="1:12">
      <c r="A441" s="20" t="s">
        <v>379</v>
      </c>
      <c r="E441" s="22">
        <f>IF(D441="?OLD","!!!","")</f>
        <v/>
      </c>
      <c r="F441" s="23" t="str">
        <f>IF(OR(E441="",E441="!!!"),"",IF(NOT(ISNA(VLOOKUP(E441,E$1:E440,1,FALSE()))),"OLD",IF(AND(E441&lt;&gt;"",E441&lt;&gt;"!!!"),"NEW","")))</f>
        <v> </v>
      </c>
      <c r="G441" s="24" t="str">
        <f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> </v>
      </c>
      <c r="H441" s="25" t="str">
        <f>IF(J441&lt;&gt;1,"",IF(I441="SBJ","CB","?"))</f>
        <v> </v>
      </c>
      <c r="I441" s="26" t="str">
        <f>IF(OR(E441="",E441="!!!",F441="NEW"),"",INDEX(B440:B$2,-1+SUMPRODUCT(MAX(ROW(E440:E$2)*(E441=E440:E$2)))))</f>
        <v> </v>
      </c>
      <c r="J441" s="26" t="str">
        <f>IF(OR(E441="",E441="!!!",F441="NEW"),"",COUNTBLANK(OFFSET(A$1,,,SUMPRODUCT(MAX(ROW(E$2:E441)*(E441=E$2:E441)))))-COUNTBLANK(OFFSET(A$1,,,SUMPRODUCT(MAX(ROW(E$1:E440)*(E2=E$1:E440))))))</f>
        <v> </v>
      </c>
      <c r="K441" s="26" t="str">
        <f>IF(OR(E441="",E441="!!!",F441="NEW"),"",INDEX(J$1:J440,SUMPRODUCT(MAX(ROW(E$1:E440)*(E441=E$1:E440)))))</f>
        <v> </v>
      </c>
      <c r="L441" s="27"/>
    </row>
    <row r="442" spans="1:12">
      <c r="A442" s="20" t="s">
        <v>380</v>
      </c>
      <c r="B442" s="21" t="s">
        <v>225</v>
      </c>
      <c r="C442" s="21" t="s">
        <v>130</v>
      </c>
      <c r="E442" s="22">
        <f>IF(D442="?OLD","!!!","")</f>
        <v/>
      </c>
      <c r="F442" s="23" t="str">
        <f>IF(OR(E442="",E442="!!!"),"",IF(NOT(ISNA(VLOOKUP(E442,E$1:E441,1,FALSE()))),"OLD",IF(AND(E442&lt;&gt;"",E442&lt;&gt;"!!!"),"NEW","")))</f>
        <v> </v>
      </c>
      <c r="G442" s="24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> </v>
      </c>
      <c r="H442" s="25" t="str">
        <f>IF(J442&lt;&gt;1,"",IF(I442="SBJ","CB","?"))</f>
        <v> </v>
      </c>
      <c r="I442" s="26" t="str">
        <f>IF(OR(E442="",E442="!!!",F442="NEW"),"",INDEX(B441:B$2,-1+SUMPRODUCT(MAX(ROW(E441:E$2)*(E442=E441:E$2)))))</f>
        <v> </v>
      </c>
      <c r="J442" s="26" t="str">
        <f>IF(OR(E442="",E442="!!!",F442="NEW"),"",COUNTBLANK(OFFSET(A$1,,,SUMPRODUCT(MAX(ROW(E$2:E442)*(E442=E$2:E442)))))-COUNTBLANK(OFFSET(A$1,,,SUMPRODUCT(MAX(ROW(E$1:E441)*(E2=E$1:E441))))))</f>
        <v> </v>
      </c>
      <c r="K442" s="26" t="str">
        <f>IF(OR(E442="",E442="!!!",F442="NEW"),"",INDEX(J$1:J441,SUMPRODUCT(MAX(ROW(E$1:E441)*(E442=E$1:E441)))))</f>
        <v> </v>
      </c>
      <c r="L442" s="27"/>
    </row>
    <row r="443" spans="1:12">
      <c r="A443" s="20" t="s">
        <v>381</v>
      </c>
      <c r="E443" s="22">
        <f>IF(D443="?OLD","!!!","")</f>
        <v/>
      </c>
      <c r="F443" s="23" t="str">
        <f>IF(OR(E443="",E443="!!!"),"",IF(NOT(ISNA(VLOOKUP(E443,E$1:E442,1,FALSE()))),"OLD",IF(AND(E443&lt;&gt;"",E443&lt;&gt;"!!!"),"NEW","")))</f>
        <v> </v>
      </c>
      <c r="G443" s="24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> </v>
      </c>
      <c r="H443" s="25" t="str">
        <f>IF(J443&lt;&gt;1,"",IF(I443="SBJ","CB","?"))</f>
        <v> </v>
      </c>
      <c r="I443" s="26" t="str">
        <f>IF(OR(E443="",E443="!!!",F443="NEW"),"",INDEX(B442:B$2,-1+SUMPRODUCT(MAX(ROW(E442:E$2)*(E443=E442:E$2)))))</f>
        <v> </v>
      </c>
      <c r="J443" s="26" t="str">
        <f>IF(OR(E443="",E443="!!!",F443="NEW"),"",COUNTBLANK(OFFSET(A$1,,,SUMPRODUCT(MAX(ROW(E$2:E443)*(E443=E$2:E443)))))-COUNTBLANK(OFFSET(A$1,,,SUMPRODUCT(MAX(ROW(E$1:E442)*(E2=E$1:E442))))))</f>
        <v> </v>
      </c>
      <c r="K443" s="26" t="str">
        <f>IF(OR(E443="",E443="!!!",F443="NEW"),"",INDEX(J$1:J442,SUMPRODUCT(MAX(ROW(E$1:E442)*(E443=E$1:E442)))))</f>
        <v> </v>
      </c>
      <c r="L443" s="27"/>
    </row>
    <row r="444" spans="1:12">
      <c r="A444" s="20" t="s">
        <v>382</v>
      </c>
      <c r="E444" s="22">
        <f>IF(D444="?OLD","!!!","")</f>
        <v/>
      </c>
      <c r="F444" s="23" t="str">
        <f>IF(OR(E444="",E444="!!!"),"",IF(NOT(ISNA(VLOOKUP(E444,E$1:E443,1,FALSE()))),"OLD",IF(AND(E444&lt;&gt;"",E444&lt;&gt;"!!!"),"NEW","")))</f>
        <v> </v>
      </c>
      <c r="G444" s="24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 </v>
      </c>
      <c r="H444" s="25" t="str">
        <f>IF(J444&lt;&gt;1,"",IF(I444="SBJ","CB","?"))</f>
        <v> </v>
      </c>
      <c r="I444" s="26" t="str">
        <f>IF(OR(E444="",E444="!!!",F444="NEW"),"",INDEX(B443:B$2,-1+SUMPRODUCT(MAX(ROW(E443:E$2)*(E444=E443:E$2)))))</f>
        <v> </v>
      </c>
      <c r="J444" s="26" t="str">
        <f>IF(OR(E444="",E444="!!!",F444="NEW"),"",COUNTBLANK(OFFSET(A$1,,,SUMPRODUCT(MAX(ROW(E$2:E444)*(E444=E$2:E444)))))-COUNTBLANK(OFFSET(A$1,,,SUMPRODUCT(MAX(ROW(E$1:E443)*(E2=E$1:E443))))))</f>
        <v> </v>
      </c>
      <c r="K444" s="26" t="str">
        <f>IF(OR(E444="",E444="!!!",F444="NEW"),"",INDEX(J$1:J443,SUMPRODUCT(MAX(ROW(E$1:E443)*(E444=E$1:E443)))))</f>
        <v> </v>
      </c>
      <c r="L444" s="27"/>
    </row>
    <row r="445" spans="1:12">
      <c r="A445" s="20" t="s">
        <v>383</v>
      </c>
      <c r="B445" s="21" t="s">
        <v>125</v>
      </c>
      <c r="C445" s="21" t="s">
        <v>130</v>
      </c>
      <c r="E445" s="22">
        <f>IF(D445="?OLD","!!!","")</f>
        <v/>
      </c>
      <c r="F445" s="23" t="str">
        <f>IF(OR(E445="",E445="!!!"),"",IF(NOT(ISNA(VLOOKUP(E445,E$1:E444,1,FALSE()))),"OLD",IF(AND(E445&lt;&gt;"",E445&lt;&gt;"!!!"),"NEW","")))</f>
        <v> </v>
      </c>
      <c r="G445" s="24" t="str">
        <f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> </v>
      </c>
      <c r="H445" s="25" t="str">
        <f>IF(J445&lt;&gt;1,"",IF(I445="SBJ","CB","?"))</f>
        <v> </v>
      </c>
      <c r="I445" s="26" t="str">
        <f>IF(OR(E445="",E445="!!!",F445="NEW"),"",INDEX(B444:B$2,-1+SUMPRODUCT(MAX(ROW(E444:E$2)*(E445=E444:E$2)))))</f>
        <v> </v>
      </c>
      <c r="J445" s="26" t="str">
        <f>IF(OR(E445="",E445="!!!",F445="NEW"),"",COUNTBLANK(OFFSET(A$1,,,SUMPRODUCT(MAX(ROW(E$2:E445)*(E445=E$2:E445)))))-COUNTBLANK(OFFSET(A$1,,,SUMPRODUCT(MAX(ROW(E$1:E444)*(E2=E$1:E444))))))</f>
        <v> </v>
      </c>
      <c r="K445" s="26" t="str">
        <f>IF(OR(E445="",E445="!!!",F445="NEW"),"",INDEX(J$1:J444,SUMPRODUCT(MAX(ROW(E$1:E444)*(E445=E$1:E444)))))</f>
        <v> </v>
      </c>
      <c r="L445" s="27"/>
    </row>
    <row r="446" spans="1:12">
      <c r="A446" s="20" t="s">
        <v>384</v>
      </c>
      <c r="E446" s="22">
        <f>IF(D446="?OLD","!!!","")</f>
        <v/>
      </c>
      <c r="F446" s="23" t="str">
        <f>IF(OR(E446="",E446="!!!"),"",IF(NOT(ISNA(VLOOKUP(E446,E$1:E445,1,FALSE()))),"OLD",IF(AND(E446&lt;&gt;"",E446&lt;&gt;"!!!"),"NEW","")))</f>
        <v> </v>
      </c>
      <c r="G446" s="24" t="str">
        <f>IF(OR(E446="",E446="!!!"),"",IF(OR(J446=0,AND(J446=1,K446=1),AND(J446=1,I446="SBJ"),AND(J446=1,I446=0)),"?IN_FOCUS",IF(J446&lt;=2,"?ACTIVATED",IF(J446&lt;&gt;"","?FAMILIAR",IF(F446="NEW",IF(ISNA(VLOOKUP(E446,#REF!,1,FALSE())),"?TYPE_IDENTIFIABLE","?REFERENTIAL"),"_")))))</f>
        <v> </v>
      </c>
      <c r="H446" s="25" t="str">
        <f>IF(J446&lt;&gt;1,"",IF(I446="SBJ","CB","?"))</f>
        <v> </v>
      </c>
      <c r="I446" s="26" t="str">
        <f>IF(OR(E446="",E446="!!!",F446="NEW"),"",INDEX(B445:B$2,-1+SUMPRODUCT(MAX(ROW(E445:E$2)*(E446=E445:E$2)))))</f>
        <v> </v>
      </c>
      <c r="J446" s="26" t="str">
        <f>IF(OR(E446="",E446="!!!",F446="NEW"),"",COUNTBLANK(OFFSET(A$1,,,SUMPRODUCT(MAX(ROW(E$2:E446)*(E446=E$2:E446)))))-COUNTBLANK(OFFSET(A$1,,,SUMPRODUCT(MAX(ROW(E$1:E445)*(E2=E$1:E445))))))</f>
        <v> </v>
      </c>
      <c r="K446" s="26" t="str">
        <f>IF(OR(E446="",E446="!!!",F446="NEW"),"",INDEX(J$1:J445,SUMPRODUCT(MAX(ROW(E$1:E445)*(E446=E$1:E445)))))</f>
        <v> </v>
      </c>
      <c r="L446" s="27"/>
    </row>
    <row r="447" spans="1:12">
      <c r="A447" s="20" t="s">
        <v>116</v>
      </c>
      <c r="E447" s="22">
        <f>IF(D447="?OLD","!!!","")</f>
        <v/>
      </c>
      <c r="F447" s="23" t="str">
        <f>IF(OR(E447="",E447="!!!"),"",IF(NOT(ISNA(VLOOKUP(E447,E$1:E446,1,FALSE()))),"OLD",IF(AND(E447&lt;&gt;"",E447&lt;&gt;"!!!"),"NEW","")))</f>
        <v> </v>
      </c>
      <c r="G447" s="24" t="str">
        <f>IF(OR(E447="",E447="!!!"),"",IF(OR(J447=0,AND(J447=1,K447=1),AND(J447=1,I447="SBJ"),AND(J447=1,I447=0)),"?IN_FOCUS",IF(J447&lt;=2,"?ACTIVATED",IF(J447&lt;&gt;"","?FAMILIAR",IF(F447="NEW",IF(ISNA(VLOOKUP(E447,#REF!,1,FALSE())),"?TYPE_IDENTIFIABLE","?REFERENTIAL"),"_")))))</f>
        <v> </v>
      </c>
      <c r="H447" s="25" t="str">
        <f>IF(J447&lt;&gt;1,"",IF(I447="SBJ","CB","?"))</f>
        <v> </v>
      </c>
      <c r="I447" s="26" t="str">
        <f>IF(OR(E447="",E447="!!!",F447="NEW"),"",INDEX(B446:B$2,-1+SUMPRODUCT(MAX(ROW(E446:E$2)*(E447=E446:E$2)))))</f>
        <v> </v>
      </c>
      <c r="J447" s="26" t="str">
        <f>IF(OR(E447="",E447="!!!",F447="NEW"),"",COUNTBLANK(OFFSET(A$1,,,SUMPRODUCT(MAX(ROW(E$2:E447)*(E447=E$2:E447)))))-COUNTBLANK(OFFSET(A$1,,,SUMPRODUCT(MAX(ROW(E$1:E446)*(E2=E$1:E446))))))</f>
        <v> </v>
      </c>
      <c r="K447" s="26" t="str">
        <f>IF(OR(E447="",E447="!!!",F447="NEW"),"",INDEX(J$1:J446,SUMPRODUCT(MAX(ROW(E$1:E446)*(E447=E$1:E446)))))</f>
        <v> </v>
      </c>
      <c r="L447" s="27"/>
    </row>
    <row r="448" spans="1:12">
      <c r="A448" s="20" t="s">
        <v>114</v>
      </c>
      <c r="E448" s="22">
        <f>IF(D448="?OLD","!!!","")</f>
        <v/>
      </c>
      <c r="F448" s="23" t="str">
        <f>IF(OR(E448="",E448="!!!"),"",IF(NOT(ISNA(VLOOKUP(E448,E$1:E447,1,FALSE()))),"OLD",IF(AND(E448&lt;&gt;"",E448&lt;&gt;"!!!"),"NEW","")))</f>
        <v> </v>
      </c>
      <c r="G448" s="24" t="str">
        <f>IF(OR(E448="",E448="!!!"),"",IF(OR(J448=0,AND(J448=1,K448=1),AND(J448=1,I448="SBJ"),AND(J448=1,I448=0)),"?IN_FOCUS",IF(J448&lt;=2,"?ACTIVATED",IF(J448&lt;&gt;"","?FAMILIAR",IF(F448="NEW",IF(ISNA(VLOOKUP(E448,#REF!,1,FALSE())),"?TYPE_IDENTIFIABLE","?REFERENTIAL"),"_")))))</f>
        <v> </v>
      </c>
      <c r="H448" s="25" t="str">
        <f>IF(J448&lt;&gt;1,"",IF(I448="SBJ","CB","?"))</f>
        <v> </v>
      </c>
      <c r="I448" s="26" t="str">
        <f>IF(OR(E448="",E448="!!!",F448="NEW"),"",INDEX(B447:B$2,-1+SUMPRODUCT(MAX(ROW(E447:E$2)*(E448=E447:E$2)))))</f>
        <v> </v>
      </c>
      <c r="J448" s="26" t="str">
        <f>IF(OR(E448="",E448="!!!",F448="NEW"),"",COUNTBLANK(OFFSET(A$1,,,SUMPRODUCT(MAX(ROW(E$2:E448)*(E448=E$2:E448)))))-COUNTBLANK(OFFSET(A$1,,,SUMPRODUCT(MAX(ROW(E$1:E447)*(E2=E$1:E447))))))</f>
        <v> </v>
      </c>
      <c r="K448" s="26" t="str">
        <f>IF(OR(E448="",E448="!!!",F448="NEW"),"",INDEX(J$1:J447,SUMPRODUCT(MAX(ROW(E$1:E447)*(E448=E$1:E447)))))</f>
        <v> </v>
      </c>
      <c r="L448" s="27"/>
    </row>
    <row r="449" spans="1:12">
      <c r="A449" s="20" t="s">
        <v>385</v>
      </c>
      <c r="E449" s="22">
        <f>IF(D449="?OLD","!!!","")</f>
        <v/>
      </c>
      <c r="F449" s="23" t="str">
        <f>IF(OR(E449="",E449="!!!"),"",IF(NOT(ISNA(VLOOKUP(E449,E$1:E448,1,FALSE()))),"OLD",IF(AND(E449&lt;&gt;"",E449&lt;&gt;"!!!"),"NEW","")))</f>
        <v> </v>
      </c>
      <c r="G449" s="24" t="str">
        <f>IF(OR(E449="",E449="!!!"),"",IF(OR(J449=0,AND(J449=1,K449=1),AND(J449=1,I449="SBJ"),AND(J449=1,I449=0)),"?IN_FOCUS",IF(J449&lt;=2,"?ACTIVATED",IF(J449&lt;&gt;"","?FAMILIAR",IF(F449="NEW",IF(ISNA(VLOOKUP(E449,#REF!,1,FALSE())),"?TYPE_IDENTIFIABLE","?REFERENTIAL"),"_")))))</f>
        <v> </v>
      </c>
      <c r="H449" s="25" t="str">
        <f>IF(J449&lt;&gt;1,"",IF(I449="SBJ","CB","?"))</f>
        <v> </v>
      </c>
      <c r="I449" s="26" t="str">
        <f>IF(OR(E449="",E449="!!!",F449="NEW"),"",INDEX(B448:B$2,-1+SUMPRODUCT(MAX(ROW(E448:E$2)*(E449=E448:E$2)))))</f>
        <v> </v>
      </c>
      <c r="J449" s="26" t="str">
        <f>IF(OR(E449="",E449="!!!",F449="NEW"),"",COUNTBLANK(OFFSET(A$1,,,SUMPRODUCT(MAX(ROW(E$2:E449)*(E449=E$2:E449)))))-COUNTBLANK(OFFSET(A$1,,,SUMPRODUCT(MAX(ROW(E$1:E448)*(E2=E$1:E448))))))</f>
        <v> </v>
      </c>
      <c r="K449" s="26" t="str">
        <f>IF(OR(E449="",E449="!!!",F449="NEW"),"",INDEX(J$1:J448,SUMPRODUCT(MAX(ROW(E$1:E448)*(E449=E$1:E448)))))</f>
        <v> </v>
      </c>
      <c r="L449" s="27"/>
    </row>
    <row r="450" spans="1:12">
      <c r="A450" s="20" t="s">
        <v>386</v>
      </c>
      <c r="E450" s="22">
        <f>IF(D450="?OLD","!!!","")</f>
        <v/>
      </c>
      <c r="F450" s="23" t="str">
        <f>IF(OR(E450="",E450="!!!"),"",IF(NOT(ISNA(VLOOKUP(E450,E$1:E449,1,FALSE()))),"OLD",IF(AND(E450&lt;&gt;"",E450&lt;&gt;"!!!"),"NEW","")))</f>
        <v> </v>
      </c>
      <c r="G450" s="24" t="str">
        <f>IF(OR(E450="",E450="!!!"),"",IF(OR(J450=0,AND(J450=1,K450=1),AND(J450=1,I450="SBJ"),AND(J450=1,I450=0)),"?IN_FOCUS",IF(J450&lt;=2,"?ACTIVATED",IF(J450&lt;&gt;"","?FAMILIAR",IF(F450="NEW",IF(ISNA(VLOOKUP(E450,#REF!,1,FALSE())),"?TYPE_IDENTIFIABLE","?REFERENTIAL"),"_")))))</f>
        <v> </v>
      </c>
      <c r="H450" s="25" t="str">
        <f>IF(J450&lt;&gt;1,"",IF(I450="SBJ","CB","?"))</f>
        <v> </v>
      </c>
      <c r="I450" s="26" t="str">
        <f>IF(OR(E450="",E450="!!!",F450="NEW"),"",INDEX(B449:B$2,-1+SUMPRODUCT(MAX(ROW(E449:E$2)*(E450=E449:E$2)))))</f>
        <v> </v>
      </c>
      <c r="J450" s="26" t="str">
        <f>IF(OR(E450="",E450="!!!",F450="NEW"),"",COUNTBLANK(OFFSET(A$1,,,SUMPRODUCT(MAX(ROW(E$2:E450)*(E450=E$2:E450)))))-COUNTBLANK(OFFSET(A$1,,,SUMPRODUCT(MAX(ROW(E$1:E449)*(E2=E$1:E449))))))</f>
        <v> </v>
      </c>
      <c r="K450" s="26" t="str">
        <f>IF(OR(E450="",E450="!!!",F450="NEW"),"",INDEX(J$1:J449,SUMPRODUCT(MAX(ROW(E$1:E449)*(E450=E$1:E449)))))</f>
        <v> </v>
      </c>
      <c r="L450" s="27"/>
    </row>
    <row r="451" spans="1:12">
      <c r="A451" s="20" t="s">
        <v>142</v>
      </c>
      <c r="E451" s="22">
        <f>IF(D451="?OLD","!!!","")</f>
        <v/>
      </c>
      <c r="F451" s="23" t="str">
        <f>IF(OR(E451="",E451="!!!"),"",IF(NOT(ISNA(VLOOKUP(E451,E$1:E450,1,FALSE()))),"OLD",IF(AND(E451&lt;&gt;"",E451&lt;&gt;"!!!"),"NEW","")))</f>
        <v> </v>
      </c>
      <c r="G451" s="24" t="str">
        <f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> </v>
      </c>
      <c r="H451" s="25" t="str">
        <f>IF(J451&lt;&gt;1,"",IF(I451="SBJ","CB","?"))</f>
        <v> </v>
      </c>
      <c r="I451" s="26" t="str">
        <f>IF(OR(E451="",E451="!!!",F451="NEW"),"",INDEX(B450:B$2,-1+SUMPRODUCT(MAX(ROW(E450:E$2)*(E451=E450:E$2)))))</f>
        <v> </v>
      </c>
      <c r="J451" s="26" t="str">
        <f>IF(OR(E451="",E451="!!!",F451="NEW"),"",COUNTBLANK(OFFSET(A$1,,,SUMPRODUCT(MAX(ROW(E$2:E451)*(E451=E$2:E451)))))-COUNTBLANK(OFFSET(A$1,,,SUMPRODUCT(MAX(ROW(E$1:E450)*(E2=E$1:E450))))))</f>
        <v> </v>
      </c>
      <c r="K451" s="26" t="str">
        <f>IF(OR(E451="",E451="!!!",F451="NEW"),"",INDEX(J$1:J450,SUMPRODUCT(MAX(ROW(E$1:E450)*(E451=E$1:E450)))))</f>
        <v> </v>
      </c>
      <c r="L451" s="27"/>
    </row>
    <row r="452" spans="1:12">
      <c r="A452" s="20" t="s">
        <v>260</v>
      </c>
      <c r="B452" s="21" t="s">
        <v>225</v>
      </c>
      <c r="C452" s="21" t="s">
        <v>122</v>
      </c>
      <c r="E452" s="22">
        <f>IF(D452="?OLD","!!!","")</f>
        <v/>
      </c>
      <c r="F452" s="23" t="str">
        <f>IF(OR(E452="",E452="!!!"),"",IF(NOT(ISNA(VLOOKUP(E452,E$1:E451,1,FALSE()))),"OLD",IF(AND(E452&lt;&gt;"",E452&lt;&gt;"!!!"),"NEW","")))</f>
        <v> </v>
      </c>
      <c r="G452" s="24" t="str">
        <f>IF(OR(E452="",E452="!!!"),"",IF(OR(J452=0,AND(J452=1,K452=1),AND(J452=1,I452="SBJ"),AND(J452=1,I452=0)),"?IN_FOCUS",IF(J452&lt;=2,"?ACTIVATED",IF(J452&lt;&gt;"","?FAMILIAR",IF(F452="NEW",IF(ISNA(VLOOKUP(E452,#REF!,1,FALSE())),"?TYPE_IDENTIFIABLE","?REFERENTIAL"),"_")))))</f>
        <v> </v>
      </c>
      <c r="H452" s="25" t="str">
        <f>IF(J452&lt;&gt;1,"",IF(I452="SBJ","CB","?"))</f>
        <v> </v>
      </c>
      <c r="I452" s="26" t="str">
        <f>IF(OR(E452="",E452="!!!",F452="NEW"),"",INDEX(B451:B$2,-1+SUMPRODUCT(MAX(ROW(E451:E$2)*(E452=E451:E$2)))))</f>
        <v> </v>
      </c>
      <c r="J452" s="26" t="str">
        <f>IF(OR(E452="",E452="!!!",F452="NEW"),"",COUNTBLANK(OFFSET(A$1,,,SUMPRODUCT(MAX(ROW(E$2:E452)*(E452=E$2:E452)))))-COUNTBLANK(OFFSET(A$1,,,SUMPRODUCT(MAX(ROW(E$1:E451)*(E2=E$1:E451))))))</f>
        <v> </v>
      </c>
      <c r="K452" s="26" t="str">
        <f>IF(OR(E452="",E452="!!!",F452="NEW"),"",INDEX(J$1:J451,SUMPRODUCT(MAX(ROW(E$1:E451)*(E452=E$1:E451)))))</f>
        <v> </v>
      </c>
      <c r="L452" s="27"/>
    </row>
    <row r="453" spans="1:12">
      <c r="A453" s="20" t="s">
        <v>387</v>
      </c>
      <c r="E453" s="22">
        <f>IF(D453="?OLD","!!!","")</f>
        <v/>
      </c>
      <c r="F453" s="23" t="str">
        <f>IF(OR(E453="",E453="!!!"),"",IF(NOT(ISNA(VLOOKUP(E453,E$1:E452,1,FALSE()))),"OLD",IF(AND(E453&lt;&gt;"",E453&lt;&gt;"!!!"),"NEW","")))</f>
        <v> </v>
      </c>
      <c r="G453" s="24" t="str">
        <f>IF(OR(E453="",E453="!!!"),"",IF(OR(J453=0,AND(J453=1,K453=1),AND(J453=1,I453="SBJ"),AND(J453=1,I453=0)),"?IN_FOCUS",IF(J453&lt;=2,"?ACTIVATED",IF(J453&lt;&gt;"","?FAMILIAR",IF(F453="NEW",IF(ISNA(VLOOKUP(E453,#REF!,1,FALSE())),"?TYPE_IDENTIFIABLE","?REFERENTIAL"),"_")))))</f>
        <v> </v>
      </c>
      <c r="H453" s="25" t="str">
        <f>IF(J453&lt;&gt;1,"",IF(I453="SBJ","CB","?"))</f>
        <v> </v>
      </c>
      <c r="I453" s="26" t="str">
        <f>IF(OR(E453="",E453="!!!",F453="NEW"),"",INDEX(B452:B$2,-1+SUMPRODUCT(MAX(ROW(E452:E$2)*(E453=E452:E$2)))))</f>
        <v> </v>
      </c>
      <c r="J453" s="26" t="str">
        <f>IF(OR(E453="",E453="!!!",F453="NEW"),"",COUNTBLANK(OFFSET(A$1,,,SUMPRODUCT(MAX(ROW(E$2:E453)*(E453=E$2:E453)))))-COUNTBLANK(OFFSET(A$1,,,SUMPRODUCT(MAX(ROW(E$1:E452)*(E2=E$1:E452))))))</f>
        <v> </v>
      </c>
      <c r="K453" s="26" t="str">
        <f>IF(OR(E453="",E453="!!!",F453="NEW"),"",INDEX(J$1:J452,SUMPRODUCT(MAX(ROW(E$1:E452)*(E453=E$1:E452)))))</f>
        <v> </v>
      </c>
      <c r="L453" s="27"/>
    </row>
    <row r="454" spans="1:12">
      <c r="A454" s="20" t="s">
        <v>135</v>
      </c>
      <c r="E454" s="22">
        <f>IF(D454="?OLD","!!!","")</f>
        <v/>
      </c>
      <c r="F454" s="23" t="str">
        <f>IF(OR(E454="",E454="!!!"),"",IF(NOT(ISNA(VLOOKUP(E454,E$1:E453,1,FALSE()))),"OLD",IF(AND(E454&lt;&gt;"",E454&lt;&gt;"!!!"),"NEW","")))</f>
        <v> </v>
      </c>
      <c r="G454" s="24" t="str">
        <f>IF(OR(E454="",E454="!!!"),"",IF(OR(J454=0,AND(J454=1,K454=1),AND(J454=1,I454="SBJ"),AND(J454=1,I454=0)),"?IN_FOCUS",IF(J454&lt;=2,"?ACTIVATED",IF(J454&lt;&gt;"","?FAMILIAR",IF(F454="NEW",IF(ISNA(VLOOKUP(E454,#REF!,1,FALSE())),"?TYPE_IDENTIFIABLE","?REFERENTIAL"),"_")))))</f>
        <v> </v>
      </c>
      <c r="H454" s="25" t="str">
        <f>IF(J454&lt;&gt;1,"",IF(I454="SBJ","CB","?"))</f>
        <v> </v>
      </c>
      <c r="I454" s="26" t="str">
        <f>IF(OR(E454="",E454="!!!",F454="NEW"),"",INDEX(B453:B$2,-1+SUMPRODUCT(MAX(ROW(E453:E$2)*(E454=E453:E$2)))))</f>
        <v> </v>
      </c>
      <c r="J454" s="26" t="str">
        <f>IF(OR(E454="",E454="!!!",F454="NEW"),"",COUNTBLANK(OFFSET(A$1,,,SUMPRODUCT(MAX(ROW(E$2:E454)*(E454=E$2:E454)))))-COUNTBLANK(OFFSET(A$1,,,SUMPRODUCT(MAX(ROW(E$1:E453)*(E2=E$1:E453))))))</f>
        <v> </v>
      </c>
      <c r="K454" s="26" t="str">
        <f>IF(OR(E454="",E454="!!!",F454="NEW"),"",INDEX(J$1:J453,SUMPRODUCT(MAX(ROW(E$1:E453)*(E454=E$1:E453)))))</f>
        <v> </v>
      </c>
      <c r="L454" s="27"/>
    </row>
    <row r="455" spans="1:12">
      <c r="A455" s="20"/>
    </row>
    <row r="456" spans="1:12">
      <c r="A456" s="20" t="s">
        <v>388</v>
      </c>
    </row>
    <row r="457" spans="1:12">
      <c r="A457" s="20" t="s">
        <v>389</v>
      </c>
      <c r="B457" s="21" t="s">
        <v>139</v>
      </c>
      <c r="C457" s="21" t="s">
        <v>175</v>
      </c>
      <c r="D457" s="21" t="s">
        <v>106</v>
      </c>
      <c r="E457" s="22">
        <f>IF(D457="?OLD","!!!","")</f>
        <v/>
      </c>
      <c r="F457" s="23" t="str">
        <f>IF(OR(E457="",E457="!!!"),"",IF(NOT(ISNA(VLOOKUP(E457,E$1:E456,1,FALSE()))),"OLD",IF(AND(E457&lt;&gt;"",E457&lt;&gt;"!!!"),"NEW","")))</f>
        <v> </v>
      </c>
      <c r="G457" s="24" t="str">
        <f>IF(OR(E457="",E457="!!!"),"",IF(OR(J457=0,AND(J457=1,K457=1),AND(J457=1,I457="SBJ"),AND(J457=1,I457=0)),"?IN_FOCUS",IF(J457&lt;=2,"?ACTIVATED",IF(J457&lt;&gt;"","?FAMILIAR",IF(F457="NEW",IF(ISNA(VLOOKUP(E457,#REF!,1,FALSE())),"?TYPE_IDENTIFIABLE","?REFERENTIAL"),"_")))))</f>
        <v> </v>
      </c>
      <c r="H457" s="25" t="str">
        <f>IF(J457&lt;&gt;1,"",IF(I457="SBJ","CB","?"))</f>
        <v> </v>
      </c>
      <c r="I457" s="26" t="str">
        <f>IF(OR(E457="",E457="!!!",F457="NEW"),"",INDEX(B456:B$2,-1+SUMPRODUCT(MAX(ROW(E456:E$2)*(E457=E456:E$2)))))</f>
        <v> </v>
      </c>
      <c r="J457" s="26" t="str">
        <f>IF(OR(E457="",E457="!!!",F457="NEW"),"",COUNTBLANK(OFFSET(A$1,,,SUMPRODUCT(MAX(ROW(E$2:E457)*(E457=E$2:E457)))))-COUNTBLANK(OFFSET(A$1,,,SUMPRODUCT(MAX(ROW(E$1:E456)*(E2=E$1:E456))))))</f>
        <v> </v>
      </c>
      <c r="K457" s="26" t="str">
        <f>IF(OR(E457="",E457="!!!",F457="NEW"),"",INDEX(J$1:J456,SUMPRODUCT(MAX(ROW(E$1:E456)*(E457=E$1:E456)))))</f>
        <v> </v>
      </c>
      <c r="L457" s="27"/>
    </row>
    <row r="458" spans="1:12">
      <c r="A458" s="20" t="s">
        <v>289</v>
      </c>
      <c r="E458" s="22">
        <f>IF(D458="?OLD","!!!","")</f>
        <v/>
      </c>
      <c r="F458" s="23" t="str">
        <f>IF(OR(E458="",E458="!!!"),"",IF(NOT(ISNA(VLOOKUP(E458,E$1:E457,1,FALSE()))),"OLD",IF(AND(E458&lt;&gt;"",E458&lt;&gt;"!!!"),"NEW","")))</f>
        <v> </v>
      </c>
      <c r="G458" s="24" t="str">
        <f>IF(OR(E458="",E458="!!!"),"",IF(OR(J458=0,AND(J458=1,K458=1),AND(J458=1,I458="SBJ"),AND(J458=1,I458=0)),"?IN_FOCUS",IF(J458&lt;=2,"?ACTIVATED",IF(J458&lt;&gt;"","?FAMILIAR",IF(F458="NEW",IF(ISNA(VLOOKUP(E458,#REF!,1,FALSE())),"?TYPE_IDENTIFIABLE","?REFERENTIAL"),"_")))))</f>
        <v> </v>
      </c>
      <c r="H458" s="25" t="str">
        <f>IF(J458&lt;&gt;1,"",IF(I458="SBJ","CB","?"))</f>
        <v> </v>
      </c>
      <c r="I458" s="26" t="str">
        <f>IF(OR(E458="",E458="!!!",F458="NEW"),"",INDEX(B457:B$2,-1+SUMPRODUCT(MAX(ROW(E457:E$2)*(E458=E457:E$2)))))</f>
        <v> </v>
      </c>
      <c r="J458" s="26" t="str">
        <f>IF(OR(E458="",E458="!!!",F458="NEW"),"",COUNTBLANK(OFFSET(A$1,,,SUMPRODUCT(MAX(ROW(E$2:E458)*(E458=E$2:E458)))))-COUNTBLANK(OFFSET(A$1,,,SUMPRODUCT(MAX(ROW(E$1:E457)*(E2=E$1:E457))))))</f>
        <v> </v>
      </c>
      <c r="K458" s="26" t="str">
        <f>IF(OR(E458="",E458="!!!",F458="NEW"),"",INDEX(J$1:J457,SUMPRODUCT(MAX(ROW(E$1:E457)*(E458=E$1:E457)))))</f>
        <v> </v>
      </c>
      <c r="L458" s="27"/>
    </row>
    <row r="459" spans="1:12">
      <c r="A459" s="20" t="s">
        <v>390</v>
      </c>
      <c r="E459" s="22">
        <f>IF(D459="?OLD","!!!","")</f>
        <v/>
      </c>
      <c r="F459" s="23" t="str">
        <f>IF(OR(E459="",E459="!!!"),"",IF(NOT(ISNA(VLOOKUP(E459,E$1:E458,1,FALSE()))),"OLD",IF(AND(E459&lt;&gt;"",E459&lt;&gt;"!!!"),"NEW","")))</f>
        <v> </v>
      </c>
      <c r="G459" s="24" t="str">
        <f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> </v>
      </c>
      <c r="H459" s="25" t="str">
        <f>IF(J459&lt;&gt;1,"",IF(I459="SBJ","CB","?"))</f>
        <v> </v>
      </c>
      <c r="I459" s="26" t="str">
        <f>IF(OR(E459="",E459="!!!",F459="NEW"),"",INDEX(B458:B$2,-1+SUMPRODUCT(MAX(ROW(E458:E$2)*(E459=E458:E$2)))))</f>
        <v> </v>
      </c>
      <c r="J459" s="26" t="str">
        <f>IF(OR(E459="",E459="!!!",F459="NEW"),"",COUNTBLANK(OFFSET(A$1,,,SUMPRODUCT(MAX(ROW(E$2:E459)*(E459=E$2:E459)))))-COUNTBLANK(OFFSET(A$1,,,SUMPRODUCT(MAX(ROW(E$1:E458)*(E2=E$1:E458))))))</f>
        <v> </v>
      </c>
      <c r="K459" s="26" t="str">
        <f>IF(OR(E459="",E459="!!!",F459="NEW"),"",INDEX(J$1:J458,SUMPRODUCT(MAX(ROW(E$1:E458)*(E459=E$1:E458)))))</f>
        <v> </v>
      </c>
      <c r="L459" s="27"/>
    </row>
    <row r="460" spans="1:12">
      <c r="A460" s="20" t="s">
        <v>11</v>
      </c>
      <c r="E460" s="22">
        <f>IF(D460="?OLD","!!!","")</f>
        <v/>
      </c>
      <c r="F460" s="23" t="str">
        <f>IF(OR(E460="",E460="!!!"),"",IF(NOT(ISNA(VLOOKUP(E460,E$1:E459,1,FALSE()))),"OLD",IF(AND(E460&lt;&gt;"",E460&lt;&gt;"!!!"),"NEW","")))</f>
        <v> </v>
      </c>
      <c r="G460" s="24" t="str">
        <f>IF(OR(E460="",E460="!!!"),"",IF(OR(J460=0,AND(J460=1,K460=1),AND(J460=1,I460="SBJ"),AND(J460=1,I460=0)),"?IN_FOCUS",IF(J460&lt;=2,"?ACTIVATED",IF(J460&lt;&gt;"","?FAMILIAR",IF(F460="NEW",IF(ISNA(VLOOKUP(E460,#REF!,1,FALSE())),"?TYPE_IDENTIFIABLE","?REFERENTIAL"),"_")))))</f>
        <v> </v>
      </c>
      <c r="H460" s="25" t="str">
        <f>IF(J460&lt;&gt;1,"",IF(I460="SBJ","CB","?"))</f>
        <v> </v>
      </c>
      <c r="I460" s="26" t="str">
        <f>IF(OR(E460="",E460="!!!",F460="NEW"),"",INDEX(B459:B$2,-1+SUMPRODUCT(MAX(ROW(E459:E$2)*(E460=E459:E$2)))))</f>
        <v> </v>
      </c>
      <c r="J460" s="26" t="str">
        <f>IF(OR(E460="",E460="!!!",F460="NEW"),"",COUNTBLANK(OFFSET(A$1,,,SUMPRODUCT(MAX(ROW(E$2:E460)*(E460=E$2:E460)))))-COUNTBLANK(OFFSET(A$1,,,SUMPRODUCT(MAX(ROW(E$1:E459)*(E2=E$1:E459))))))</f>
        <v> </v>
      </c>
      <c r="K460" s="26" t="str">
        <f>IF(OR(E460="",E460="!!!",F460="NEW"),"",INDEX(J$1:J459,SUMPRODUCT(MAX(ROW(E$1:E459)*(E460=E$1:E459)))))</f>
        <v> </v>
      </c>
      <c r="L460" s="27"/>
    </row>
    <row r="461" spans="1:12">
      <c r="A461" s="20" t="s">
        <v>391</v>
      </c>
      <c r="B461" s="21" t="s">
        <v>157</v>
      </c>
      <c r="C461" s="21" t="s">
        <v>130</v>
      </c>
      <c r="E461" s="22">
        <f>IF(D461="?OLD","!!!","")</f>
        <v/>
      </c>
      <c r="F461" s="23" t="str">
        <f>IF(OR(E461="",E461="!!!"),"",IF(NOT(ISNA(VLOOKUP(E461,E$1:E460,1,FALSE()))),"OLD",IF(AND(E461&lt;&gt;"",E461&lt;&gt;"!!!"),"NEW","")))</f>
        <v> </v>
      </c>
      <c r="G461" s="24" t="str">
        <f>IF(OR(E461="",E461="!!!"),"",IF(OR(J461=0,AND(J461=1,K461=1),AND(J461=1,I461="SBJ"),AND(J461=1,I461=0)),"?IN_FOCUS",IF(J461&lt;=2,"?ACTIVATED",IF(J461&lt;&gt;"","?FAMILIAR",IF(F461="NEW",IF(ISNA(VLOOKUP(E461,#REF!,1,FALSE())),"?TYPE_IDENTIFIABLE","?REFERENTIAL"),"_")))))</f>
        <v> </v>
      </c>
      <c r="H461" s="25" t="str">
        <f>IF(J461&lt;&gt;1,"",IF(I461="SBJ","CB","?"))</f>
        <v> </v>
      </c>
      <c r="I461" s="26" t="str">
        <f>IF(OR(E461="",E461="!!!",F461="NEW"),"",INDEX(B460:B$2,-1+SUMPRODUCT(MAX(ROW(E460:E$2)*(E461=E460:E$2)))))</f>
        <v> </v>
      </c>
      <c r="J461" s="26" t="str">
        <f>IF(OR(E461="",E461="!!!",F461="NEW"),"",COUNTBLANK(OFFSET(A$1,,,SUMPRODUCT(MAX(ROW(E$2:E461)*(E461=E$2:E461)))))-COUNTBLANK(OFFSET(A$1,,,SUMPRODUCT(MAX(ROW(E$1:E460)*(E2=E$1:E460))))))</f>
        <v> </v>
      </c>
      <c r="K461" s="26" t="str">
        <f>IF(OR(E461="",E461="!!!",F461="NEW"),"",INDEX(J$1:J460,SUMPRODUCT(MAX(ROW(E$1:E460)*(E461=E$1:E460)))))</f>
        <v> </v>
      </c>
      <c r="L461" s="27"/>
    </row>
    <row r="462" spans="1:12">
      <c r="A462" s="20" t="s">
        <v>116</v>
      </c>
      <c r="E462" s="22">
        <f>IF(D462="?OLD","!!!","")</f>
        <v/>
      </c>
      <c r="F462" s="23" t="str">
        <f>IF(OR(E462="",E462="!!!"),"",IF(NOT(ISNA(VLOOKUP(E462,E$1:E461,1,FALSE()))),"OLD",IF(AND(E462&lt;&gt;"",E462&lt;&gt;"!!!"),"NEW","")))</f>
        <v> </v>
      </c>
      <c r="G462" s="24" t="str">
        <f>IF(OR(E462="",E462="!!!"),"",IF(OR(J462=0,AND(J462=1,K462=1),AND(J462=1,I462="SBJ"),AND(J462=1,I462=0)),"?IN_FOCUS",IF(J462&lt;=2,"?ACTIVATED",IF(J462&lt;&gt;"","?FAMILIAR",IF(F462="NEW",IF(ISNA(VLOOKUP(E462,#REF!,1,FALSE())),"?TYPE_IDENTIFIABLE","?REFERENTIAL"),"_")))))</f>
        <v> </v>
      </c>
      <c r="H462" s="25" t="str">
        <f>IF(J462&lt;&gt;1,"",IF(I462="SBJ","CB","?"))</f>
        <v> </v>
      </c>
      <c r="I462" s="26" t="str">
        <f>IF(OR(E462="",E462="!!!",F462="NEW"),"",INDEX(B461:B$2,-1+SUMPRODUCT(MAX(ROW(E461:E$2)*(E462=E461:E$2)))))</f>
        <v> </v>
      </c>
      <c r="J462" s="26" t="str">
        <f>IF(OR(E462="",E462="!!!",F462="NEW"),"",COUNTBLANK(OFFSET(A$1,,,SUMPRODUCT(MAX(ROW(E$2:E462)*(E462=E$2:E462)))))-COUNTBLANK(OFFSET(A$1,,,SUMPRODUCT(MAX(ROW(E$1:E461)*(E2=E$1:E461))))))</f>
        <v> </v>
      </c>
      <c r="K462" s="26" t="str">
        <f>IF(OR(E462="",E462="!!!",F462="NEW"),"",INDEX(J$1:J461,SUMPRODUCT(MAX(ROW(E$1:E461)*(E462=E$1:E461)))))</f>
        <v> </v>
      </c>
      <c r="L462" s="27"/>
    </row>
    <row r="463" spans="1:12">
      <c r="A463" s="20" t="s">
        <v>191</v>
      </c>
      <c r="E463" s="22">
        <f>IF(D463="?OLD","!!!","")</f>
        <v/>
      </c>
      <c r="F463" s="23" t="str">
        <f>IF(OR(E463="",E463="!!!"),"",IF(NOT(ISNA(VLOOKUP(E463,E$1:E462,1,FALSE()))),"OLD",IF(AND(E463&lt;&gt;"",E463&lt;&gt;"!!!"),"NEW","")))</f>
        <v> </v>
      </c>
      <c r="G463" s="24" t="str">
        <f>IF(OR(E463="",E463="!!!"),"",IF(OR(J463=0,AND(J463=1,K463=1),AND(J463=1,I463="SBJ"),AND(J463=1,I463=0)),"?IN_FOCUS",IF(J463&lt;=2,"?ACTIVATED",IF(J463&lt;&gt;"","?FAMILIAR",IF(F463="NEW",IF(ISNA(VLOOKUP(E463,#REF!,1,FALSE())),"?TYPE_IDENTIFIABLE","?REFERENTIAL"),"_")))))</f>
        <v> </v>
      </c>
      <c r="H463" s="25" t="str">
        <f>IF(J463&lt;&gt;1,"",IF(I463="SBJ","CB","?"))</f>
        <v> </v>
      </c>
      <c r="I463" s="26" t="str">
        <f>IF(OR(E463="",E463="!!!",F463="NEW"),"",INDEX(B462:B$2,-1+SUMPRODUCT(MAX(ROW(E462:E$2)*(E463=E462:E$2)))))</f>
        <v> </v>
      </c>
      <c r="J463" s="26" t="str">
        <f>IF(OR(E463="",E463="!!!",F463="NEW"),"",COUNTBLANK(OFFSET(A$1,,,SUMPRODUCT(MAX(ROW(E$2:E463)*(E463=E$2:E463)))))-COUNTBLANK(OFFSET(A$1,,,SUMPRODUCT(MAX(ROW(E$1:E462)*(E2=E$1:E462))))))</f>
        <v> </v>
      </c>
      <c r="K463" s="26" t="str">
        <f>IF(OR(E463="",E463="!!!",F463="NEW"),"",INDEX(J$1:J462,SUMPRODUCT(MAX(ROW(E$1:E462)*(E463=E$1:E462)))))</f>
        <v> </v>
      </c>
      <c r="L463" s="27"/>
    </row>
    <row r="464" spans="1:12">
      <c r="A464" s="20" t="s">
        <v>253</v>
      </c>
      <c r="B464" s="21" t="s">
        <v>187</v>
      </c>
      <c r="C464" s="21" t="s">
        <v>130</v>
      </c>
      <c r="E464" s="22">
        <f>IF(D464="?OLD","!!!","")</f>
        <v/>
      </c>
      <c r="F464" s="23" t="str">
        <f>IF(OR(E464="",E464="!!!"),"",IF(NOT(ISNA(VLOOKUP(E464,E$1:E463,1,FALSE()))),"OLD",IF(AND(E464&lt;&gt;"",E464&lt;&gt;"!!!"),"NEW","")))</f>
        <v> </v>
      </c>
      <c r="G464" s="24" t="str">
        <f>IF(OR(E464="",E464="!!!"),"",IF(OR(J464=0,AND(J464=1,K464=1),AND(J464=1,I464="SBJ"),AND(J464=1,I464=0)),"?IN_FOCUS",IF(J464&lt;=2,"?ACTIVATED",IF(J464&lt;&gt;"","?FAMILIAR",IF(F464="NEW",IF(ISNA(VLOOKUP(E464,#REF!,1,FALSE())),"?TYPE_IDENTIFIABLE","?REFERENTIAL"),"_")))))</f>
        <v> </v>
      </c>
      <c r="H464" s="25" t="str">
        <f>IF(J464&lt;&gt;1,"",IF(I464="SBJ","CB","?"))</f>
        <v> </v>
      </c>
      <c r="I464" s="26" t="str">
        <f>IF(OR(E464="",E464="!!!",F464="NEW"),"",INDEX(B463:B$2,-1+SUMPRODUCT(MAX(ROW(E463:E$2)*(E464=E463:E$2)))))</f>
        <v> </v>
      </c>
      <c r="J464" s="26" t="str">
        <f>IF(OR(E464="",E464="!!!",F464="NEW"),"",COUNTBLANK(OFFSET(A$1,,,SUMPRODUCT(MAX(ROW(E$2:E464)*(E464=E$2:E464)))))-COUNTBLANK(OFFSET(A$1,,,SUMPRODUCT(MAX(ROW(E$1:E463)*(E2=E$1:E463))))))</f>
        <v> </v>
      </c>
      <c r="K464" s="26" t="str">
        <f>IF(OR(E464="",E464="!!!",F464="NEW"),"",INDEX(J$1:J463,SUMPRODUCT(MAX(ROW(E$1:E463)*(E464=E$1:E463)))))</f>
        <v> </v>
      </c>
      <c r="L464" s="27"/>
    </row>
    <row r="465" spans="1:12">
      <c r="A465" s="20" t="s">
        <v>308</v>
      </c>
      <c r="E465" s="22">
        <f>IF(D465="?OLD","!!!","")</f>
        <v/>
      </c>
      <c r="F465" s="23" t="str">
        <f>IF(OR(E465="",E465="!!!"),"",IF(NOT(ISNA(VLOOKUP(E465,E$1:E464,1,FALSE()))),"OLD",IF(AND(E465&lt;&gt;"",E465&lt;&gt;"!!!"),"NEW","")))</f>
        <v> </v>
      </c>
      <c r="G465" s="24" t="str">
        <f>IF(OR(E465="",E465="!!!"),"",IF(OR(J465=0,AND(J465=1,K465=1),AND(J465=1,I465="SBJ"),AND(J465=1,I465=0)),"?IN_FOCUS",IF(J465&lt;=2,"?ACTIVATED",IF(J465&lt;&gt;"","?FAMILIAR",IF(F465="NEW",IF(ISNA(VLOOKUP(E465,#REF!,1,FALSE())),"?TYPE_IDENTIFIABLE","?REFERENTIAL"),"_")))))</f>
        <v> </v>
      </c>
      <c r="H465" s="25" t="str">
        <f>IF(J465&lt;&gt;1,"",IF(I465="SBJ","CB","?"))</f>
        <v> </v>
      </c>
      <c r="I465" s="26" t="str">
        <f>IF(OR(E465="",E465="!!!",F465="NEW"),"",INDEX(B464:B$2,-1+SUMPRODUCT(MAX(ROW(E464:E$2)*(E465=E464:E$2)))))</f>
        <v> </v>
      </c>
      <c r="J465" s="26" t="str">
        <f>IF(OR(E465="",E465="!!!",F465="NEW"),"",COUNTBLANK(OFFSET(A$1,,,SUMPRODUCT(MAX(ROW(E$2:E465)*(E465=E$2:E465)))))-COUNTBLANK(OFFSET(A$1,,,SUMPRODUCT(MAX(ROW(E$1:E464)*(E2=E$1:E464))))))</f>
        <v> </v>
      </c>
      <c r="K465" s="26" t="str">
        <f>IF(OR(E465="",E465="!!!",F465="NEW"),"",INDEX(J$1:J464,SUMPRODUCT(MAX(ROW(E$1:E464)*(E465=E$1:E464)))))</f>
        <v> </v>
      </c>
      <c r="L465" s="27"/>
    </row>
    <row r="466" spans="1:12">
      <c r="A466" s="20" t="s">
        <v>392</v>
      </c>
      <c r="B466" s="21" t="s">
        <v>125</v>
      </c>
      <c r="C466" s="21" t="s">
        <v>175</v>
      </c>
      <c r="D466" s="21" t="s">
        <v>106</v>
      </c>
      <c r="E466" s="22">
        <f>IF(D466="?OLD","!!!","")</f>
        <v/>
      </c>
      <c r="F466" s="23" t="str">
        <f>IF(OR(E466="",E466="!!!"),"",IF(NOT(ISNA(VLOOKUP(E466,E$1:E465,1,FALSE()))),"OLD",IF(AND(E466&lt;&gt;"",E466&lt;&gt;"!!!"),"NEW","")))</f>
        <v> </v>
      </c>
      <c r="G466" s="24" t="str">
        <f>IF(OR(E466="",E466="!!!"),"",IF(OR(J466=0,AND(J466=1,K466=1),AND(J466=1,I466="SBJ"),AND(J466=1,I466=0)),"?IN_FOCUS",IF(J466&lt;=2,"?ACTIVATED",IF(J466&lt;&gt;"","?FAMILIAR",IF(F466="NEW",IF(ISNA(VLOOKUP(E466,#REF!,1,FALSE())),"?TYPE_IDENTIFIABLE","?REFERENTIAL"),"_")))))</f>
        <v> </v>
      </c>
      <c r="H466" s="25" t="str">
        <f>IF(J466&lt;&gt;1,"",IF(I466="SBJ","CB","?"))</f>
        <v> </v>
      </c>
      <c r="I466" s="26" t="str">
        <f>IF(OR(E466="",E466="!!!",F466="NEW"),"",INDEX(B465:B$2,-1+SUMPRODUCT(MAX(ROW(E465:E$2)*(E466=E465:E$2)))))</f>
        <v> </v>
      </c>
      <c r="J466" s="26" t="str">
        <f>IF(OR(E466="",E466="!!!",F466="NEW"),"",COUNTBLANK(OFFSET(A$1,,,SUMPRODUCT(MAX(ROW(E$2:E466)*(E466=E$2:E466)))))-COUNTBLANK(OFFSET(A$1,,,SUMPRODUCT(MAX(ROW(E$1:E465)*(E2=E$1:E465))))))</f>
        <v> </v>
      </c>
      <c r="K466" s="26" t="str">
        <f>IF(OR(E466="",E466="!!!",F466="NEW"),"",INDEX(J$1:J465,SUMPRODUCT(MAX(ROW(E$1:E465)*(E466=E$1:E465)))))</f>
        <v> </v>
      </c>
      <c r="L466" s="27"/>
    </row>
    <row r="467" spans="1:12">
      <c r="A467" s="20" t="s">
        <v>393</v>
      </c>
      <c r="B467" s="21" t="s">
        <v>124</v>
      </c>
      <c r="C467" s="21" t="s">
        <v>130</v>
      </c>
      <c r="E467" s="22">
        <f>IF(D467="?OLD","!!!","")</f>
        <v/>
      </c>
      <c r="F467" s="23" t="str">
        <f>IF(OR(E467="",E467="!!!"),"",IF(NOT(ISNA(VLOOKUP(E467,E$1:E466,1,FALSE()))),"OLD",IF(AND(E467&lt;&gt;"",E467&lt;&gt;"!!!"),"NEW","")))</f>
        <v> </v>
      </c>
      <c r="G467" s="24" t="str">
        <f>IF(OR(E467="",E467="!!!"),"",IF(OR(J467=0,AND(J467=1,K467=1),AND(J467=1,I467="SBJ"),AND(J467=1,I467=0)),"?IN_FOCUS",IF(J467&lt;=2,"?ACTIVATED",IF(J467&lt;&gt;"","?FAMILIAR",IF(F467="NEW",IF(ISNA(VLOOKUP(E467,#REF!,1,FALSE())),"?TYPE_IDENTIFIABLE","?REFERENTIAL"),"_")))))</f>
        <v> </v>
      </c>
      <c r="H467" s="25" t="str">
        <f>IF(J467&lt;&gt;1,"",IF(I467="SBJ","CB","?"))</f>
        <v> </v>
      </c>
      <c r="I467" s="26" t="str">
        <f>IF(OR(E467="",E467="!!!",F467="NEW"),"",INDEX(B466:B$2,-1+SUMPRODUCT(MAX(ROW(E466:E$2)*(E467=E466:E$2)))))</f>
        <v> </v>
      </c>
      <c r="J467" s="26" t="str">
        <f>IF(OR(E467="",E467="!!!",F467="NEW"),"",COUNTBLANK(OFFSET(A$1,,,SUMPRODUCT(MAX(ROW(E$2:E467)*(E467=E$2:E467)))))-COUNTBLANK(OFFSET(A$1,,,SUMPRODUCT(MAX(ROW(E$1:E466)*(E2=E$1:E466))))))</f>
        <v> </v>
      </c>
      <c r="K467" s="26" t="str">
        <f>IF(OR(E467="",E467="!!!",F467="NEW"),"",INDEX(J$1:J466,SUMPRODUCT(MAX(ROW(E$1:E466)*(E467=E$1:E466)))))</f>
        <v> </v>
      </c>
      <c r="L467" s="27"/>
    </row>
    <row r="468" spans="1:12">
      <c r="A468" s="20" t="s">
        <v>297</v>
      </c>
      <c r="E468" s="22">
        <f>IF(D468="?OLD","!!!","")</f>
        <v/>
      </c>
      <c r="F468" s="23" t="str">
        <f>IF(OR(E468="",E468="!!!"),"",IF(NOT(ISNA(VLOOKUP(E468,E$1:E467,1,FALSE()))),"OLD",IF(AND(E468&lt;&gt;"",E468&lt;&gt;"!!!"),"NEW","")))</f>
        <v> </v>
      </c>
      <c r="G468" s="24" t="str">
        <f>IF(OR(E468="",E468="!!!"),"",IF(OR(J468=0,AND(J468=1,K468=1),AND(J468=1,I468="SBJ"),AND(J468=1,I468=0)),"?IN_FOCUS",IF(J468&lt;=2,"?ACTIVATED",IF(J468&lt;&gt;"","?FAMILIAR",IF(F468="NEW",IF(ISNA(VLOOKUP(E468,#REF!,1,FALSE())),"?TYPE_IDENTIFIABLE","?REFERENTIAL"),"_")))))</f>
        <v> </v>
      </c>
      <c r="H468" s="25" t="str">
        <f>IF(J468&lt;&gt;1,"",IF(I468="SBJ","CB","?"))</f>
        <v> </v>
      </c>
      <c r="I468" s="26" t="str">
        <f>IF(OR(E468="",E468="!!!",F468="NEW"),"",INDEX(B467:B$2,-1+SUMPRODUCT(MAX(ROW(E467:E$2)*(E468=E467:E$2)))))</f>
        <v> </v>
      </c>
      <c r="J468" s="26" t="str">
        <f>IF(OR(E468="",E468="!!!",F468="NEW"),"",COUNTBLANK(OFFSET(A$1,,,SUMPRODUCT(MAX(ROW(E$2:E468)*(E468=E$2:E468)))))-COUNTBLANK(OFFSET(A$1,,,SUMPRODUCT(MAX(ROW(E$1:E467)*(E2=E$1:E467))))))</f>
        <v> </v>
      </c>
      <c r="K468" s="26" t="str">
        <f>IF(OR(E468="",E468="!!!",F468="NEW"),"",INDEX(J$1:J467,SUMPRODUCT(MAX(ROW(E$1:E467)*(E468=E$1:E467)))))</f>
        <v> </v>
      </c>
      <c r="L468" s="27"/>
    </row>
    <row r="469" spans="1:12">
      <c r="A469" s="20" t="s">
        <v>116</v>
      </c>
      <c r="E469" s="22">
        <f>IF(D469="?OLD","!!!","")</f>
        <v/>
      </c>
      <c r="F469" s="23" t="str">
        <f>IF(OR(E469="",E469="!!!"),"",IF(NOT(ISNA(VLOOKUP(E469,E$1:E468,1,FALSE()))),"OLD",IF(AND(E469&lt;&gt;"",E469&lt;&gt;"!!!"),"NEW","")))</f>
        <v> </v>
      </c>
      <c r="G469" s="24" t="str">
        <f>IF(OR(E469="",E469="!!!"),"",IF(OR(J469=0,AND(J469=1,K469=1),AND(J469=1,I469="SBJ"),AND(J469=1,I469=0)),"?IN_FOCUS",IF(J469&lt;=2,"?ACTIVATED",IF(J469&lt;&gt;"","?FAMILIAR",IF(F469="NEW",IF(ISNA(VLOOKUP(E469,#REF!,1,FALSE())),"?TYPE_IDENTIFIABLE","?REFERENTIAL"),"_")))))</f>
        <v> </v>
      </c>
      <c r="H469" s="25" t="str">
        <f>IF(J469&lt;&gt;1,"",IF(I469="SBJ","CB","?"))</f>
        <v> </v>
      </c>
      <c r="I469" s="26" t="str">
        <f>IF(OR(E469="",E469="!!!",F469="NEW"),"",INDEX(B468:B$2,-1+SUMPRODUCT(MAX(ROW(E468:E$2)*(E469=E468:E$2)))))</f>
        <v> </v>
      </c>
      <c r="J469" s="26" t="str">
        <f>IF(OR(E469="",E469="!!!",F469="NEW"),"",COUNTBLANK(OFFSET(A$1,,,SUMPRODUCT(MAX(ROW(E$2:E469)*(E469=E$2:E469)))))-COUNTBLANK(OFFSET(A$1,,,SUMPRODUCT(MAX(ROW(E$1:E468)*(E2=E$1:E468))))))</f>
        <v> </v>
      </c>
      <c r="K469" s="26" t="str">
        <f>IF(OR(E469="",E469="!!!",F469="NEW"),"",INDEX(J$1:J468,SUMPRODUCT(MAX(ROW(E$1:E468)*(E469=E$1:E468)))))</f>
        <v> </v>
      </c>
      <c r="L469" s="27"/>
    </row>
    <row r="470" spans="1:12">
      <c r="A470" s="20" t="s">
        <v>224</v>
      </c>
      <c r="B470" s="21" t="s">
        <v>104</v>
      </c>
      <c r="E470" s="22">
        <f>IF(D470="?OLD","!!!","")</f>
        <v/>
      </c>
      <c r="F470" s="23" t="str">
        <f>IF(OR(E470="",E470="!!!"),"",IF(NOT(ISNA(VLOOKUP(E470,E$1:E469,1,FALSE()))),"OLD",IF(AND(E470&lt;&gt;"",E470&lt;&gt;"!!!"),"NEW","")))</f>
        <v> </v>
      </c>
      <c r="G470" s="24" t="str">
        <f>IF(OR(E470="",E470="!!!"),"",IF(OR(J470=0,AND(J470=1,K470=1),AND(J470=1,I470="SBJ"),AND(J470=1,I470=0)),"?IN_FOCUS",IF(J470&lt;=2,"?ACTIVATED",IF(J470&lt;&gt;"","?FAMILIAR",IF(F470="NEW",IF(ISNA(VLOOKUP(E470,#REF!,1,FALSE())),"?TYPE_IDENTIFIABLE","?REFERENTIAL"),"_")))))</f>
        <v> </v>
      </c>
      <c r="H470" s="25" t="str">
        <f>IF(J470&lt;&gt;1,"",IF(I470="SBJ","CB","?"))</f>
        <v> </v>
      </c>
      <c r="I470" s="26" t="str">
        <f>IF(OR(E470="",E470="!!!",F470="NEW"),"",INDEX(B469:B$2,-1+SUMPRODUCT(MAX(ROW(E469:E$2)*(E470=E469:E$2)))))</f>
        <v> </v>
      </c>
      <c r="J470" s="26" t="str">
        <f>IF(OR(E470="",E470="!!!",F470="NEW"),"",COUNTBLANK(OFFSET(A$1,,,SUMPRODUCT(MAX(ROW(E$2:E470)*(E470=E$2:E470)))))-COUNTBLANK(OFFSET(A$1,,,SUMPRODUCT(MAX(ROW(E$1:E469)*(E2=E$1:E469))))))</f>
        <v> </v>
      </c>
      <c r="K470" s="26" t="str">
        <f>IF(OR(E470="",E470="!!!",F470="NEW"),"",INDEX(J$1:J469,SUMPRODUCT(MAX(ROW(E$1:E469)*(E470=E$1:E469)))))</f>
        <v> </v>
      </c>
      <c r="L470" s="27"/>
    </row>
    <row r="471" spans="1:12">
      <c r="A471" s="20" t="s">
        <v>145</v>
      </c>
      <c r="E471" s="22">
        <f>IF(D471="?OLD","!!!","")</f>
        <v/>
      </c>
      <c r="F471" s="23" t="str">
        <f>IF(OR(E471="",E471="!!!"),"",IF(NOT(ISNA(VLOOKUP(E471,E$1:E470,1,FALSE()))),"OLD",IF(AND(E471&lt;&gt;"",E471&lt;&gt;"!!!"),"NEW","")))</f>
        <v> </v>
      </c>
      <c r="G471" s="24" t="str">
        <f>IF(OR(E471="",E471="!!!"),"",IF(OR(J471=0,AND(J471=1,K471=1),AND(J471=1,I471="SBJ"),AND(J471=1,I471=0)),"?IN_FOCUS",IF(J471&lt;=2,"?ACTIVATED",IF(J471&lt;&gt;"","?FAMILIAR",IF(F471="NEW",IF(ISNA(VLOOKUP(E471,#REF!,1,FALSE())),"?TYPE_IDENTIFIABLE","?REFERENTIAL"),"_")))))</f>
        <v> </v>
      </c>
      <c r="H471" s="25" t="str">
        <f>IF(J471&lt;&gt;1,"",IF(I471="SBJ","CB","?"))</f>
        <v> </v>
      </c>
      <c r="I471" s="26" t="str">
        <f>IF(OR(E471="",E471="!!!",F471="NEW"),"",INDEX(B470:B$2,-1+SUMPRODUCT(MAX(ROW(E470:E$2)*(E471=E470:E$2)))))</f>
        <v> </v>
      </c>
      <c r="J471" s="26" t="str">
        <f>IF(OR(E471="",E471="!!!",F471="NEW"),"",COUNTBLANK(OFFSET(A$1,,,SUMPRODUCT(MAX(ROW(E$2:E471)*(E471=E$2:E471)))))-COUNTBLANK(OFFSET(A$1,,,SUMPRODUCT(MAX(ROW(E$1:E470)*(E2=E$1:E470))))))</f>
        <v> </v>
      </c>
      <c r="K471" s="26" t="str">
        <f>IF(OR(E471="",E471="!!!",F471="NEW"),"",INDEX(J$1:J470,SUMPRODUCT(MAX(ROW(E$1:E470)*(E471=E$1:E470)))))</f>
        <v> </v>
      </c>
      <c r="L471" s="27"/>
    </row>
    <row r="472" spans="1:12">
      <c r="A472" s="20" t="s">
        <v>304</v>
      </c>
      <c r="B472" s="21" t="s">
        <v>187</v>
      </c>
      <c r="C472" s="21" t="s">
        <v>147</v>
      </c>
      <c r="D472" s="21" t="s">
        <v>106</v>
      </c>
      <c r="E472" s="22">
        <f>IF(D472="?OLD","!!!","")</f>
        <v/>
      </c>
      <c r="F472" s="23" t="str">
        <f>IF(OR(E472="",E472="!!!"),"",IF(NOT(ISNA(VLOOKUP(E472,E$1:E471,1,FALSE()))),"OLD",IF(AND(E472&lt;&gt;"",E472&lt;&gt;"!!!"),"NEW","")))</f>
        <v> </v>
      </c>
      <c r="G472" s="24" t="str">
        <f>IF(OR(E472="",E472="!!!"),"",IF(OR(J472=0,AND(J472=1,K472=1),AND(J472=1,I472="SBJ"),AND(J472=1,I472=0)),"?IN_FOCUS",IF(J472&lt;=2,"?ACTIVATED",IF(J472&lt;&gt;"","?FAMILIAR",IF(F472="NEW",IF(ISNA(VLOOKUP(E472,#REF!,1,FALSE())),"?TYPE_IDENTIFIABLE","?REFERENTIAL"),"_")))))</f>
        <v> </v>
      </c>
      <c r="H472" s="25" t="str">
        <f>IF(J472&lt;&gt;1,"",IF(I472="SBJ","CB","?"))</f>
        <v> </v>
      </c>
      <c r="I472" s="26" t="str">
        <f>IF(OR(E472="",E472="!!!",F472="NEW"),"",INDEX(B471:B$2,-1+SUMPRODUCT(MAX(ROW(E471:E$2)*(E472=E471:E$2)))))</f>
        <v> </v>
      </c>
      <c r="J472" s="26" t="str">
        <f>IF(OR(E472="",E472="!!!",F472="NEW"),"",COUNTBLANK(OFFSET(A$1,,,SUMPRODUCT(MAX(ROW(E$2:E472)*(E472=E$2:E472)))))-COUNTBLANK(OFFSET(A$1,,,SUMPRODUCT(MAX(ROW(E$1:E471)*(E2=E$1:E471))))))</f>
        <v> </v>
      </c>
      <c r="K472" s="26" t="str">
        <f>IF(OR(E472="",E472="!!!",F472="NEW"),"",INDEX(J$1:J471,SUMPRODUCT(MAX(ROW(E$1:E471)*(E472=E$1:E471)))))</f>
        <v> </v>
      </c>
      <c r="L472" s="27"/>
    </row>
    <row r="473" spans="1:12">
      <c r="A473" s="20" t="s">
        <v>394</v>
      </c>
      <c r="E473" s="22">
        <f>IF(D473="?OLD","!!!","")</f>
        <v/>
      </c>
      <c r="F473" s="23" t="str">
        <f>IF(OR(E473="",E473="!!!"),"",IF(NOT(ISNA(VLOOKUP(E473,E$1:E472,1,FALSE()))),"OLD",IF(AND(E473&lt;&gt;"",E473&lt;&gt;"!!!"),"NEW","")))</f>
        <v> </v>
      </c>
      <c r="G473" s="24" t="str">
        <f>IF(OR(E473="",E473="!!!"),"",IF(OR(J473=0,AND(J473=1,K473=1),AND(J473=1,I473="SBJ"),AND(J473=1,I473=0)),"?IN_FOCUS",IF(J473&lt;=2,"?ACTIVATED",IF(J473&lt;&gt;"","?FAMILIAR",IF(F473="NEW",IF(ISNA(VLOOKUP(E473,#REF!,1,FALSE())),"?TYPE_IDENTIFIABLE","?REFERENTIAL"),"_")))))</f>
        <v> </v>
      </c>
      <c r="H473" s="25" t="str">
        <f>IF(J473&lt;&gt;1,"",IF(I473="SBJ","CB","?"))</f>
        <v> </v>
      </c>
      <c r="I473" s="26" t="str">
        <f>IF(OR(E473="",E473="!!!",F473="NEW"),"",INDEX(B472:B$2,-1+SUMPRODUCT(MAX(ROW(E472:E$2)*(E473=E472:E$2)))))</f>
        <v> </v>
      </c>
      <c r="J473" s="26" t="str">
        <f>IF(OR(E473="",E473="!!!",F473="NEW"),"",COUNTBLANK(OFFSET(A$1,,,SUMPRODUCT(MAX(ROW(E$2:E473)*(E473=E$2:E473)))))-COUNTBLANK(OFFSET(A$1,,,SUMPRODUCT(MAX(ROW(E$1:E472)*(E2=E$1:E472))))))</f>
        <v> </v>
      </c>
      <c r="K473" s="26" t="str">
        <f>IF(OR(E473="",E473="!!!",F473="NEW"),"",INDEX(J$1:J472,SUMPRODUCT(MAX(ROW(E$1:E472)*(E473=E$1:E472)))))</f>
        <v> </v>
      </c>
      <c r="L473" s="27"/>
    </row>
    <row r="474" spans="1:12">
      <c r="A474" s="20" t="s">
        <v>395</v>
      </c>
      <c r="E474" s="22">
        <f>IF(D474="?OLD","!!!","")</f>
        <v/>
      </c>
      <c r="F474" s="23" t="str">
        <f>IF(OR(E474="",E474="!!!"),"",IF(NOT(ISNA(VLOOKUP(E474,E$1:E473,1,FALSE()))),"OLD",IF(AND(E474&lt;&gt;"",E474&lt;&gt;"!!!"),"NEW","")))</f>
        <v> </v>
      </c>
      <c r="G474" s="24" t="str">
        <f>IF(OR(E474="",E474="!!!"),"",IF(OR(J474=0,AND(J474=1,K474=1),AND(J474=1,I474="SBJ"),AND(J474=1,I474=0)),"?IN_FOCUS",IF(J474&lt;=2,"?ACTIVATED",IF(J474&lt;&gt;"","?FAMILIAR",IF(F474="NEW",IF(ISNA(VLOOKUP(E474,#REF!,1,FALSE())),"?TYPE_IDENTIFIABLE","?REFERENTIAL"),"_")))))</f>
        <v> </v>
      </c>
      <c r="H474" s="25" t="str">
        <f>IF(J474&lt;&gt;1,"",IF(I474="SBJ","CB","?"))</f>
        <v> </v>
      </c>
      <c r="I474" s="26" t="str">
        <f>IF(OR(E474="",E474="!!!",F474="NEW"),"",INDEX(B473:B$2,-1+SUMPRODUCT(MAX(ROW(E473:E$2)*(E474=E473:E$2)))))</f>
        <v> </v>
      </c>
      <c r="J474" s="26" t="str">
        <f>IF(OR(E474="",E474="!!!",F474="NEW"),"",COUNTBLANK(OFFSET(A$1,,,SUMPRODUCT(MAX(ROW(E$2:E474)*(E474=E$2:E474)))))-COUNTBLANK(OFFSET(A$1,,,SUMPRODUCT(MAX(ROW(E$1:E473)*(E2=E$1:E473))))))</f>
        <v> </v>
      </c>
      <c r="K474" s="26" t="str">
        <f>IF(OR(E474="",E474="!!!",F474="NEW"),"",INDEX(J$1:J473,SUMPRODUCT(MAX(ROW(E$1:E473)*(E474=E$1:E473)))))</f>
        <v> </v>
      </c>
      <c r="L474" s="27"/>
    </row>
    <row r="475" spans="1:12">
      <c r="A475" s="20" t="s">
        <v>116</v>
      </c>
      <c r="E475" s="22">
        <f>IF(D475="?OLD","!!!","")</f>
        <v/>
      </c>
      <c r="F475" s="23" t="str">
        <f>IF(OR(E475="",E475="!!!"),"",IF(NOT(ISNA(VLOOKUP(E475,E$1:E474,1,FALSE()))),"OLD",IF(AND(E475&lt;&gt;"",E475&lt;&gt;"!!!"),"NEW","")))</f>
        <v> </v>
      </c>
      <c r="G475" s="24" t="str">
        <f>IF(OR(E475="",E475="!!!"),"",IF(OR(J475=0,AND(J475=1,K475=1),AND(J475=1,I475="SBJ"),AND(J475=1,I475=0)),"?IN_FOCUS",IF(J475&lt;=2,"?ACTIVATED",IF(J475&lt;&gt;"","?FAMILIAR",IF(F475="NEW",IF(ISNA(VLOOKUP(E475,#REF!,1,FALSE())),"?TYPE_IDENTIFIABLE","?REFERENTIAL"),"_")))))</f>
        <v> </v>
      </c>
      <c r="H475" s="25" t="str">
        <f>IF(J475&lt;&gt;1,"",IF(I475="SBJ","CB","?"))</f>
        <v> </v>
      </c>
      <c r="I475" s="26" t="str">
        <f>IF(OR(E475="",E475="!!!",F475="NEW"),"",INDEX(B474:B$2,-1+SUMPRODUCT(MAX(ROW(E474:E$2)*(E475=E474:E$2)))))</f>
        <v> </v>
      </c>
      <c r="J475" s="26" t="str">
        <f>IF(OR(E475="",E475="!!!",F475="NEW"),"",COUNTBLANK(OFFSET(A$1,,,SUMPRODUCT(MAX(ROW(E$2:E475)*(E475=E$2:E475)))))-COUNTBLANK(OFFSET(A$1,,,SUMPRODUCT(MAX(ROW(E$1:E474)*(E2=E$1:E474))))))</f>
        <v> </v>
      </c>
      <c r="K475" s="26" t="str">
        <f>IF(OR(E475="",E475="!!!",F475="NEW"),"",INDEX(J$1:J474,SUMPRODUCT(MAX(ROW(E$1:E474)*(E475=E$1:E474)))))</f>
        <v> </v>
      </c>
      <c r="L475" s="27"/>
    </row>
    <row r="476" spans="1:12">
      <c r="A476" s="20" t="s">
        <v>396</v>
      </c>
      <c r="E476" s="22">
        <f>IF(D476="?OLD","!!!","")</f>
        <v/>
      </c>
      <c r="F476" s="23" t="str">
        <f>IF(OR(E476="",E476="!!!"),"",IF(NOT(ISNA(VLOOKUP(E476,E$1:E475,1,FALSE()))),"OLD",IF(AND(E476&lt;&gt;"",E476&lt;&gt;"!!!"),"NEW","")))</f>
        <v> </v>
      </c>
      <c r="G476" s="24" t="str">
        <f>IF(OR(E476="",E476="!!!"),"",IF(OR(J476=0,AND(J476=1,K476=1),AND(J476=1,I476="SBJ"),AND(J476=1,I476=0)),"?IN_FOCUS",IF(J476&lt;=2,"?ACTIVATED",IF(J476&lt;&gt;"","?FAMILIAR",IF(F476="NEW",IF(ISNA(VLOOKUP(E476,#REF!,1,FALSE())),"?TYPE_IDENTIFIABLE","?REFERENTIAL"),"_")))))</f>
        <v> </v>
      </c>
      <c r="H476" s="25" t="str">
        <f>IF(J476&lt;&gt;1,"",IF(I476="SBJ","CB","?"))</f>
        <v> </v>
      </c>
      <c r="I476" s="26" t="str">
        <f>IF(OR(E476="",E476="!!!",F476="NEW"),"",INDEX(B475:B$2,-1+SUMPRODUCT(MAX(ROW(E475:E$2)*(E476=E475:E$2)))))</f>
        <v> </v>
      </c>
      <c r="J476" s="26" t="str">
        <f>IF(OR(E476="",E476="!!!",F476="NEW"),"",COUNTBLANK(OFFSET(A$1,,,SUMPRODUCT(MAX(ROW(E$2:E476)*(E476=E$2:E476)))))-COUNTBLANK(OFFSET(A$1,,,SUMPRODUCT(MAX(ROW(E$1:E475)*(E2=E$1:E475))))))</f>
        <v> </v>
      </c>
      <c r="K476" s="26" t="str">
        <f>IF(OR(E476="",E476="!!!",F476="NEW"),"",INDEX(J$1:J475,SUMPRODUCT(MAX(ROW(E$1:E475)*(E476=E$1:E475)))))</f>
        <v> </v>
      </c>
      <c r="L476" s="27"/>
    </row>
    <row r="477" spans="1:12">
      <c r="A477" s="20" t="s">
        <v>275</v>
      </c>
      <c r="B477" s="21" t="s">
        <v>198</v>
      </c>
      <c r="C477" s="21" t="s">
        <v>105</v>
      </c>
      <c r="D477" s="21" t="s">
        <v>106</v>
      </c>
      <c r="E477" s="22">
        <f>IF(D477="?OLD","!!!","")</f>
        <v/>
      </c>
      <c r="F477" s="23" t="str">
        <f>IF(OR(E477="",E477="!!!"),"",IF(NOT(ISNA(VLOOKUP(E477,E$1:E476,1,FALSE()))),"OLD",IF(AND(E477&lt;&gt;"",E477&lt;&gt;"!!!"),"NEW","")))</f>
        <v> </v>
      </c>
      <c r="G477" s="24" t="str">
        <f>IF(OR(E477="",E477="!!!"),"",IF(OR(J477=0,AND(J477=1,K477=1),AND(J477=1,I477="SBJ"),AND(J477=1,I477=0)),"?IN_FOCUS",IF(J477&lt;=2,"?ACTIVATED",IF(J477&lt;&gt;"","?FAMILIAR",IF(F477="NEW",IF(ISNA(VLOOKUP(E477,#REF!,1,FALSE())),"?TYPE_IDENTIFIABLE","?REFERENTIAL"),"_")))))</f>
        <v> </v>
      </c>
      <c r="H477" s="25" t="str">
        <f>IF(J477&lt;&gt;1,"",IF(I477="SBJ","CB","?"))</f>
        <v> </v>
      </c>
      <c r="I477" s="26" t="str">
        <f>IF(OR(E477="",E477="!!!",F477="NEW"),"",INDEX(B476:B$2,-1+SUMPRODUCT(MAX(ROW(E476:E$2)*(E477=E476:E$2)))))</f>
        <v> </v>
      </c>
      <c r="J477" s="26" t="str">
        <f>IF(OR(E477="",E477="!!!",F477="NEW"),"",COUNTBLANK(OFFSET(A$1,,,SUMPRODUCT(MAX(ROW(E$2:E477)*(E477=E$2:E477)))))-COUNTBLANK(OFFSET(A$1,,,SUMPRODUCT(MAX(ROW(E$1:E476)*(E2=E$1:E476))))))</f>
        <v> </v>
      </c>
      <c r="K477" s="26" t="str">
        <f>IF(OR(E477="",E477="!!!",F477="NEW"),"",INDEX(J$1:J476,SUMPRODUCT(MAX(ROW(E$1:E476)*(E477=E$1:E476)))))</f>
        <v> </v>
      </c>
      <c r="L477" s="27"/>
    </row>
    <row r="478" spans="1:12">
      <c r="A478" s="20" t="s">
        <v>224</v>
      </c>
      <c r="E478" s="22">
        <f>IF(D478="?OLD","!!!","")</f>
        <v/>
      </c>
      <c r="F478" s="23" t="str">
        <f>IF(OR(E478="",E478="!!!"),"",IF(NOT(ISNA(VLOOKUP(E478,E$1:E477,1,FALSE()))),"OLD",IF(AND(E478&lt;&gt;"",E478&lt;&gt;"!!!"),"NEW","")))</f>
        <v> </v>
      </c>
      <c r="G478" s="24" t="str">
        <f>IF(OR(E478="",E478="!!!"),"",IF(OR(J478=0,AND(J478=1,K478=1),AND(J478=1,I478="SBJ"),AND(J478=1,I478=0)),"?IN_FOCUS",IF(J478&lt;=2,"?ACTIVATED",IF(J478&lt;&gt;"","?FAMILIAR",IF(F478="NEW",IF(ISNA(VLOOKUP(E478,#REF!,1,FALSE())),"?TYPE_IDENTIFIABLE","?REFERENTIAL"),"_")))))</f>
        <v> </v>
      </c>
      <c r="H478" s="25" t="str">
        <f>IF(J478&lt;&gt;1,"",IF(I478="SBJ","CB","?"))</f>
        <v> </v>
      </c>
      <c r="I478" s="26" t="str">
        <f>IF(OR(E478="",E478="!!!",F478="NEW"),"",INDEX(B477:B$2,-1+SUMPRODUCT(MAX(ROW(E477:E$2)*(E478=E477:E$2)))))</f>
        <v> </v>
      </c>
      <c r="J478" s="26" t="str">
        <f>IF(OR(E478="",E478="!!!",F478="NEW"),"",COUNTBLANK(OFFSET(A$1,,,SUMPRODUCT(MAX(ROW(E$2:E478)*(E478=E$2:E478)))))-COUNTBLANK(OFFSET(A$1,,,SUMPRODUCT(MAX(ROW(E$1:E477)*(E2=E$1:E477))))))</f>
        <v> </v>
      </c>
      <c r="K478" s="26" t="str">
        <f>IF(OR(E478="",E478="!!!",F478="NEW"),"",INDEX(J$1:J477,SUMPRODUCT(MAX(ROW(E$1:E477)*(E478=E$1:E477)))))</f>
        <v> </v>
      </c>
      <c r="L478" s="27"/>
    </row>
    <row r="479" spans="1:12">
      <c r="A479" s="20" t="s">
        <v>371</v>
      </c>
      <c r="B479" s="21" t="s">
        <v>225</v>
      </c>
      <c r="C479" s="21" t="s">
        <v>147</v>
      </c>
      <c r="D479" s="21" t="s">
        <v>106</v>
      </c>
      <c r="E479" s="22">
        <f>IF(D479="?OLD","!!!","")</f>
        <v/>
      </c>
      <c r="F479" s="23" t="str">
        <f>IF(OR(E479="",E479="!!!"),"",IF(NOT(ISNA(VLOOKUP(E479,E$1:E478,1,FALSE()))),"OLD",IF(AND(E479&lt;&gt;"",E479&lt;&gt;"!!!"),"NEW","")))</f>
        <v> </v>
      </c>
      <c r="G479" s="24" t="str">
        <f>IF(OR(E479="",E479="!!!"),"",IF(OR(J479=0,AND(J479=1,K479=1),AND(J479=1,I479="SBJ"),AND(J479=1,I479=0)),"?IN_FOCUS",IF(J479&lt;=2,"?ACTIVATED",IF(J479&lt;&gt;"","?FAMILIAR",IF(F479="NEW",IF(ISNA(VLOOKUP(E479,#REF!,1,FALSE())),"?TYPE_IDENTIFIABLE","?REFERENTIAL"),"_")))))</f>
        <v> </v>
      </c>
      <c r="H479" s="25" t="str">
        <f>IF(J479&lt;&gt;1,"",IF(I479="SBJ","CB","?"))</f>
        <v> </v>
      </c>
      <c r="I479" s="26" t="str">
        <f>IF(OR(E479="",E479="!!!",F479="NEW"),"",INDEX(B478:B$2,-1+SUMPRODUCT(MAX(ROW(E478:E$2)*(E479=E478:E$2)))))</f>
        <v> </v>
      </c>
      <c r="J479" s="26" t="str">
        <f>IF(OR(E479="",E479="!!!",F479="NEW"),"",COUNTBLANK(OFFSET(A$1,,,SUMPRODUCT(MAX(ROW(E$2:E479)*(E479=E$2:E479)))))-COUNTBLANK(OFFSET(A$1,,,SUMPRODUCT(MAX(ROW(E$1:E478)*(E2=E$1:E478))))))</f>
        <v> </v>
      </c>
      <c r="K479" s="26" t="str">
        <f>IF(OR(E479="",E479="!!!",F479="NEW"),"",INDEX(J$1:J478,SUMPRODUCT(MAX(ROW(E$1:E478)*(E479=E$1:E478)))))</f>
        <v> </v>
      </c>
      <c r="L479" s="27"/>
    </row>
    <row r="480" spans="1:12">
      <c r="A480" s="20" t="s">
        <v>372</v>
      </c>
      <c r="E480" s="22">
        <f>IF(D480="?OLD","!!!","")</f>
        <v/>
      </c>
      <c r="F480" s="23" t="str">
        <f>IF(OR(E480="",E480="!!!"),"",IF(NOT(ISNA(VLOOKUP(E480,E$1:E479,1,FALSE()))),"OLD",IF(AND(E480&lt;&gt;"",E480&lt;&gt;"!!!"),"NEW","")))</f>
        <v> </v>
      </c>
      <c r="G480" s="24" t="str">
        <f>IF(OR(E480="",E480="!!!"),"",IF(OR(J480=0,AND(J480=1,K480=1),AND(J480=1,I480="SBJ"),AND(J480=1,I480=0)),"?IN_FOCUS",IF(J480&lt;=2,"?ACTIVATED",IF(J480&lt;&gt;"","?FAMILIAR",IF(F480="NEW",IF(ISNA(VLOOKUP(E480,#REF!,1,FALSE())),"?TYPE_IDENTIFIABLE","?REFERENTIAL"),"_")))))</f>
        <v> </v>
      </c>
      <c r="H480" s="25" t="str">
        <f>IF(J480&lt;&gt;1,"",IF(I480="SBJ","CB","?"))</f>
        <v> </v>
      </c>
      <c r="I480" s="26" t="str">
        <f>IF(OR(E480="",E480="!!!",F480="NEW"),"",INDEX(B479:B$2,-1+SUMPRODUCT(MAX(ROW(E479:E$2)*(E480=E479:E$2)))))</f>
        <v> </v>
      </c>
      <c r="J480" s="26" t="str">
        <f>IF(OR(E480="",E480="!!!",F480="NEW"),"",COUNTBLANK(OFFSET(A$1,,,SUMPRODUCT(MAX(ROW(E$2:E480)*(E480=E$2:E480)))))-COUNTBLANK(OFFSET(A$1,,,SUMPRODUCT(MAX(ROW(E$1:E479)*(E2=E$1:E479))))))</f>
        <v> </v>
      </c>
      <c r="K480" s="26" t="str">
        <f>IF(OR(E480="",E480="!!!",F480="NEW"),"",INDEX(J$1:J479,SUMPRODUCT(MAX(ROW(E$1:E479)*(E480=E$1:E479)))))</f>
        <v> </v>
      </c>
      <c r="L480" s="27"/>
    </row>
    <row r="481" spans="1:12">
      <c r="A481" s="20" t="s">
        <v>307</v>
      </c>
      <c r="B481" s="21" t="s">
        <v>195</v>
      </c>
      <c r="C481" s="21" t="s">
        <v>147</v>
      </c>
      <c r="D481" s="21" t="s">
        <v>106</v>
      </c>
      <c r="E481" s="22">
        <f>IF(D481="?OLD","!!!","")</f>
        <v/>
      </c>
      <c r="F481" s="23" t="str">
        <f>IF(OR(E481="",E481="!!!"),"",IF(NOT(ISNA(VLOOKUP(E481,E$1:E480,1,FALSE()))),"OLD",IF(AND(E481&lt;&gt;"",E481&lt;&gt;"!!!"),"NEW","")))</f>
        <v> </v>
      </c>
      <c r="G481" s="24" t="str">
        <f>IF(OR(E481="",E481="!!!"),"",IF(OR(J481=0,AND(J481=1,K481=1),AND(J481=1,I481="SBJ"),AND(J481=1,I481=0)),"?IN_FOCUS",IF(J481&lt;=2,"?ACTIVATED",IF(J481&lt;&gt;"","?FAMILIAR",IF(F481="NEW",IF(ISNA(VLOOKUP(E481,#REF!,1,FALSE())),"?TYPE_IDENTIFIABLE","?REFERENTIAL"),"_")))))</f>
        <v> </v>
      </c>
      <c r="H481" s="25" t="str">
        <f>IF(J481&lt;&gt;1,"",IF(I481="SBJ","CB","?"))</f>
        <v> </v>
      </c>
      <c r="I481" s="26" t="str">
        <f>IF(OR(E481="",E481="!!!",F481="NEW"),"",INDEX(B480:B$2,-1+SUMPRODUCT(MAX(ROW(E480:E$2)*(E481=E480:E$2)))))</f>
        <v> </v>
      </c>
      <c r="J481" s="26" t="str">
        <f>IF(OR(E481="",E481="!!!",F481="NEW"),"",COUNTBLANK(OFFSET(A$1,,,SUMPRODUCT(MAX(ROW(E$2:E481)*(E481=E$2:E481)))))-COUNTBLANK(OFFSET(A$1,,,SUMPRODUCT(MAX(ROW(E$1:E480)*(E2=E$1:E480))))))</f>
        <v> </v>
      </c>
      <c r="K481" s="26" t="str">
        <f>IF(OR(E481="",E481="!!!",F481="NEW"),"",INDEX(J$1:J480,SUMPRODUCT(MAX(ROW(E$1:E480)*(E481=E$1:E480)))))</f>
        <v> </v>
      </c>
      <c r="L481" s="27"/>
    </row>
    <row r="482" spans="1:12">
      <c r="A482" s="20" t="s">
        <v>397</v>
      </c>
      <c r="E482" s="22">
        <f>IF(D482="?OLD","!!!","")</f>
        <v/>
      </c>
      <c r="F482" s="23" t="str">
        <f>IF(OR(E482="",E482="!!!"),"",IF(NOT(ISNA(VLOOKUP(E482,E$1:E481,1,FALSE()))),"OLD",IF(AND(E482&lt;&gt;"",E482&lt;&gt;"!!!"),"NEW","")))</f>
        <v> </v>
      </c>
      <c r="G482" s="24" t="str">
        <f>IF(OR(E482="",E482="!!!"),"",IF(OR(J482=0,AND(J482=1,K482=1),AND(J482=1,I482="SBJ"),AND(J482=1,I482=0)),"?IN_FOCUS",IF(J482&lt;=2,"?ACTIVATED",IF(J482&lt;&gt;"","?FAMILIAR",IF(F482="NEW",IF(ISNA(VLOOKUP(E482,#REF!,1,FALSE())),"?TYPE_IDENTIFIABLE","?REFERENTIAL"),"_")))))</f>
        <v> </v>
      </c>
      <c r="H482" s="25" t="str">
        <f>IF(J482&lt;&gt;1,"",IF(I482="SBJ","CB","?"))</f>
        <v> </v>
      </c>
      <c r="I482" s="26" t="str">
        <f>IF(OR(E482="",E482="!!!",F482="NEW"),"",INDEX(B481:B$2,-1+SUMPRODUCT(MAX(ROW(E481:E$2)*(E482=E481:E$2)))))</f>
        <v> </v>
      </c>
      <c r="J482" s="26" t="str">
        <f>IF(OR(E482="",E482="!!!",F482="NEW"),"",COUNTBLANK(OFFSET(A$1,,,SUMPRODUCT(MAX(ROW(E$2:E482)*(E482=E$2:E482)))))-COUNTBLANK(OFFSET(A$1,,,SUMPRODUCT(MAX(ROW(E$1:E481)*(E2=E$1:E481))))))</f>
        <v> </v>
      </c>
      <c r="K482" s="26" t="str">
        <f>IF(OR(E482="",E482="!!!",F482="NEW"),"",INDEX(J$1:J481,SUMPRODUCT(MAX(ROW(E$1:E481)*(E482=E$1:E481)))))</f>
        <v> </v>
      </c>
      <c r="L482" s="27"/>
    </row>
    <row r="483" spans="1:12">
      <c r="A483" s="20" t="s">
        <v>398</v>
      </c>
      <c r="E483" s="22">
        <f>IF(D483="?OLD","!!!","")</f>
        <v/>
      </c>
      <c r="F483" s="23" t="str">
        <f>IF(OR(E483="",E483="!!!"),"",IF(NOT(ISNA(VLOOKUP(E483,E$1:E482,1,FALSE()))),"OLD",IF(AND(E483&lt;&gt;"",E483&lt;&gt;"!!!"),"NEW","")))</f>
        <v> </v>
      </c>
      <c r="G483" s="24" t="str">
        <f>IF(OR(E483="",E483="!!!"),"",IF(OR(J483=0,AND(J483=1,K483=1),AND(J483=1,I483="SBJ"),AND(J483=1,I483=0)),"?IN_FOCUS",IF(J483&lt;=2,"?ACTIVATED",IF(J483&lt;&gt;"","?FAMILIAR",IF(F483="NEW",IF(ISNA(VLOOKUP(E483,#REF!,1,FALSE())),"?TYPE_IDENTIFIABLE","?REFERENTIAL"),"_")))))</f>
        <v> </v>
      </c>
      <c r="H483" s="25" t="str">
        <f>IF(J483&lt;&gt;1,"",IF(I483="SBJ","CB","?"))</f>
        <v> </v>
      </c>
      <c r="I483" s="26" t="str">
        <f>IF(OR(E483="",E483="!!!",F483="NEW"),"",INDEX(B482:B$2,-1+SUMPRODUCT(MAX(ROW(E482:E$2)*(E483=E482:E$2)))))</f>
        <v> </v>
      </c>
      <c r="J483" s="26" t="str">
        <f>IF(OR(E483="",E483="!!!",F483="NEW"),"",COUNTBLANK(OFFSET(A$1,,,SUMPRODUCT(MAX(ROW(E$2:E483)*(E483=E$2:E483)))))-COUNTBLANK(OFFSET(A$1,,,SUMPRODUCT(MAX(ROW(E$1:E482)*(E2=E$1:E482))))))</f>
        <v> </v>
      </c>
      <c r="K483" s="26" t="str">
        <f>IF(OR(E483="",E483="!!!",F483="NEW"),"",INDEX(J$1:J482,SUMPRODUCT(MAX(ROW(E$1:E482)*(E483=E$1:E482)))))</f>
        <v> </v>
      </c>
      <c r="L483" s="27"/>
    </row>
    <row r="484" spans="1:12">
      <c r="A484" s="20" t="s">
        <v>135</v>
      </c>
      <c r="E484" s="22">
        <f>IF(D484="?OLD","!!!","")</f>
        <v/>
      </c>
      <c r="F484" s="23" t="str">
        <f>IF(OR(E484="",E484="!!!"),"",IF(NOT(ISNA(VLOOKUP(E484,E$1:E483,1,FALSE()))),"OLD",IF(AND(E484&lt;&gt;"",E484&lt;&gt;"!!!"),"NEW","")))</f>
        <v> </v>
      </c>
      <c r="G484" s="24" t="str">
        <f>IF(OR(E484="",E484="!!!"),"",IF(OR(J484=0,AND(J484=1,K484=1),AND(J484=1,I484="SBJ"),AND(J484=1,I484=0)),"?IN_FOCUS",IF(J484&lt;=2,"?ACTIVATED",IF(J484&lt;&gt;"","?FAMILIAR",IF(F484="NEW",IF(ISNA(VLOOKUP(E484,#REF!,1,FALSE())),"?TYPE_IDENTIFIABLE","?REFERENTIAL"),"_")))))</f>
        <v> </v>
      </c>
      <c r="H484" s="25" t="str">
        <f>IF(J484&lt;&gt;1,"",IF(I484="SBJ","CB","?"))</f>
        <v> </v>
      </c>
      <c r="I484" s="26" t="str">
        <f>IF(OR(E484="",E484="!!!",F484="NEW"),"",INDEX(B483:B$2,-1+SUMPRODUCT(MAX(ROW(E483:E$2)*(E484=E483:E$2)))))</f>
        <v> </v>
      </c>
      <c r="J484" s="26" t="str">
        <f>IF(OR(E484="",E484="!!!",F484="NEW"),"",COUNTBLANK(OFFSET(A$1,,,SUMPRODUCT(MAX(ROW(E$2:E484)*(E484=E$2:E484)))))-COUNTBLANK(OFFSET(A$1,,,SUMPRODUCT(MAX(ROW(E$1:E483)*(E2=E$1:E483))))))</f>
        <v> </v>
      </c>
      <c r="K484" s="26" t="str">
        <f>IF(OR(E484="",E484="!!!",F484="NEW"),"",INDEX(J$1:J483,SUMPRODUCT(MAX(ROW(E$1:E483)*(E484=E$1:E483)))))</f>
        <v> </v>
      </c>
      <c r="L484" s="27"/>
    </row>
    <row r="485" spans="1:12">
      <c r="A485" s="20"/>
    </row>
    <row r="486" spans="1:12">
      <c r="A486" s="20" t="s">
        <v>399</v>
      </c>
    </row>
    <row r="487" spans="1:12">
      <c r="A487" s="20" t="s">
        <v>400</v>
      </c>
      <c r="E487" s="22">
        <f>IF(D487="?OLD","!!!","")</f>
        <v/>
      </c>
      <c r="F487" s="23" t="str">
        <f>IF(OR(E487="",E487="!!!"),"",IF(NOT(ISNA(VLOOKUP(E487,E$1:E486,1,FALSE()))),"OLD",IF(AND(E487&lt;&gt;"",E487&lt;&gt;"!!!"),"NEW","")))</f>
        <v> </v>
      </c>
      <c r="G487" s="24" t="str">
        <f>IF(OR(E487="",E487="!!!"),"",IF(OR(J487=0,AND(J487=1,K487=1),AND(J487=1,I487="SBJ"),AND(J487=1,I487=0)),"?IN_FOCUS",IF(J487&lt;=2,"?ACTIVATED",IF(J487&lt;&gt;"","?FAMILIAR",IF(F487="NEW",IF(ISNA(VLOOKUP(E487,#REF!,1,FALSE())),"?TYPE_IDENTIFIABLE","?REFERENTIAL"),"_")))))</f>
        <v> </v>
      </c>
      <c r="H487" s="25" t="str">
        <f>IF(J487&lt;&gt;1,"",IF(I487="SBJ","CB","?"))</f>
        <v> </v>
      </c>
      <c r="I487" s="26" t="str">
        <f>IF(OR(E487="",E487="!!!",F487="NEW"),"",INDEX(B486:B$2,-1+SUMPRODUCT(MAX(ROW(E486:E$2)*(E487=E486:E$2)))))</f>
        <v> </v>
      </c>
      <c r="J487" s="26" t="str">
        <f>IF(OR(E487="",E487="!!!",F487="NEW"),"",COUNTBLANK(OFFSET(A$1,,,SUMPRODUCT(MAX(ROW(E$2:E487)*(E487=E$2:E487)))))-COUNTBLANK(OFFSET(A$1,,,SUMPRODUCT(MAX(ROW(E$1:E486)*(E2=E$1:E486))))))</f>
        <v> </v>
      </c>
      <c r="K487" s="26" t="str">
        <f>IF(OR(E487="",E487="!!!",F487="NEW"),"",INDEX(J$1:J486,SUMPRODUCT(MAX(ROW(E$1:E486)*(E487=E$1:E486)))))</f>
        <v> </v>
      </c>
      <c r="L487" s="27"/>
    </row>
    <row r="488" spans="1:12">
      <c r="A488" s="20" t="s">
        <v>401</v>
      </c>
      <c r="E488" s="22">
        <f>IF(D488="?OLD","!!!","")</f>
        <v/>
      </c>
      <c r="F488" s="23" t="str">
        <f>IF(OR(E488="",E488="!!!"),"",IF(NOT(ISNA(VLOOKUP(E488,E$1:E487,1,FALSE()))),"OLD",IF(AND(E488&lt;&gt;"",E488&lt;&gt;"!!!"),"NEW","")))</f>
        <v> </v>
      </c>
      <c r="G488" s="24" t="str">
        <f>IF(OR(E488="",E488="!!!"),"",IF(OR(J488=0,AND(J488=1,K488=1),AND(J488=1,I488="SBJ"),AND(J488=1,I488=0)),"?IN_FOCUS",IF(J488&lt;=2,"?ACTIVATED",IF(J488&lt;&gt;"","?FAMILIAR",IF(F488="NEW",IF(ISNA(VLOOKUP(E488,#REF!,1,FALSE())),"?TYPE_IDENTIFIABLE","?REFERENTIAL"),"_")))))</f>
        <v> </v>
      </c>
      <c r="H488" s="25" t="str">
        <f>IF(J488&lt;&gt;1,"",IF(I488="SBJ","CB","?"))</f>
        <v> </v>
      </c>
      <c r="I488" s="26" t="str">
        <f>IF(OR(E488="",E488="!!!",F488="NEW"),"",INDEX(B487:B$2,-1+SUMPRODUCT(MAX(ROW(E487:E$2)*(E488=E487:E$2)))))</f>
        <v> </v>
      </c>
      <c r="J488" s="26" t="str">
        <f>IF(OR(E488="",E488="!!!",F488="NEW"),"",COUNTBLANK(OFFSET(A$1,,,SUMPRODUCT(MAX(ROW(E$2:E488)*(E488=E$2:E488)))))-COUNTBLANK(OFFSET(A$1,,,SUMPRODUCT(MAX(ROW(E$1:E487)*(E2=E$1:E487))))))</f>
        <v> </v>
      </c>
      <c r="K488" s="26" t="str">
        <f>IF(OR(E488="",E488="!!!",F488="NEW"),"",INDEX(J$1:J487,SUMPRODUCT(MAX(ROW(E$1:E487)*(E488=E$1:E487)))))</f>
        <v> </v>
      </c>
      <c r="L488" s="27"/>
    </row>
    <row r="489" spans="1:12">
      <c r="A489" s="20" t="s">
        <v>116</v>
      </c>
      <c r="E489" s="22">
        <f>IF(D489="?OLD","!!!","")</f>
        <v/>
      </c>
      <c r="F489" s="23" t="str">
        <f>IF(OR(E489="",E489="!!!"),"",IF(NOT(ISNA(VLOOKUP(E489,E$1:E488,1,FALSE()))),"OLD",IF(AND(E489&lt;&gt;"",E489&lt;&gt;"!!!"),"NEW","")))</f>
        <v> </v>
      </c>
      <c r="G489" s="24" t="str">
        <f>IF(OR(E489="",E489="!!!"),"",IF(OR(J489=0,AND(J489=1,K489=1),AND(J489=1,I489="SBJ"),AND(J489=1,I489=0)),"?IN_FOCUS",IF(J489&lt;=2,"?ACTIVATED",IF(J489&lt;&gt;"","?FAMILIAR",IF(F489="NEW",IF(ISNA(VLOOKUP(E489,#REF!,1,FALSE())),"?TYPE_IDENTIFIABLE","?REFERENTIAL"),"_")))))</f>
        <v> </v>
      </c>
      <c r="H489" s="25" t="str">
        <f>IF(J489&lt;&gt;1,"",IF(I489="SBJ","CB","?"))</f>
        <v> </v>
      </c>
      <c r="I489" s="26" t="str">
        <f>IF(OR(E489="",E489="!!!",F489="NEW"),"",INDEX(B488:B$2,-1+SUMPRODUCT(MAX(ROW(E488:E$2)*(E489=E488:E$2)))))</f>
        <v> </v>
      </c>
      <c r="J489" s="26" t="str">
        <f>IF(OR(E489="",E489="!!!",F489="NEW"),"",COUNTBLANK(OFFSET(A$1,,,SUMPRODUCT(MAX(ROW(E$2:E489)*(E489=E$2:E489)))))-COUNTBLANK(OFFSET(A$1,,,SUMPRODUCT(MAX(ROW(E$1:E488)*(E2=E$1:E488))))))</f>
        <v> </v>
      </c>
      <c r="K489" s="26" t="str">
        <f>IF(OR(E489="",E489="!!!",F489="NEW"),"",INDEX(J$1:J488,SUMPRODUCT(MAX(ROW(E$1:E488)*(E489=E$1:E488)))))</f>
        <v> </v>
      </c>
      <c r="L489" s="27"/>
    </row>
    <row r="490" spans="1:12">
      <c r="A490" s="20" t="s">
        <v>204</v>
      </c>
      <c r="B490" s="21" t="s">
        <v>104</v>
      </c>
      <c r="C490" s="21" t="s">
        <v>175</v>
      </c>
      <c r="D490" s="21" t="s">
        <v>106</v>
      </c>
      <c r="E490" s="22">
        <f>IF(D490="?OLD","!!!","")</f>
        <v/>
      </c>
      <c r="F490" s="23" t="str">
        <f>IF(OR(E490="",E490="!!!"),"",IF(NOT(ISNA(VLOOKUP(E490,E$1:E489,1,FALSE()))),"OLD",IF(AND(E490&lt;&gt;"",E490&lt;&gt;"!!!"),"NEW","")))</f>
        <v> </v>
      </c>
      <c r="G490" s="24" t="str">
        <f>IF(OR(E490="",E490="!!!"),"",IF(OR(J490=0,AND(J490=1,K490=1),AND(J490=1,I490="SBJ"),AND(J490=1,I490=0)),"?IN_FOCUS",IF(J490&lt;=2,"?ACTIVATED",IF(J490&lt;&gt;"","?FAMILIAR",IF(F490="NEW",IF(ISNA(VLOOKUP(E490,#REF!,1,FALSE())),"?TYPE_IDENTIFIABLE","?REFERENTIAL"),"_")))))</f>
        <v> </v>
      </c>
      <c r="H490" s="25" t="str">
        <f>IF(J490&lt;&gt;1,"",IF(I490="SBJ","CB","?"))</f>
        <v> </v>
      </c>
      <c r="I490" s="26" t="str">
        <f>IF(OR(E490="",E490="!!!",F490="NEW"),"",INDEX(B489:B$2,-1+SUMPRODUCT(MAX(ROW(E489:E$2)*(E490=E489:E$2)))))</f>
        <v> </v>
      </c>
      <c r="J490" s="26" t="str">
        <f>IF(OR(E490="",E490="!!!",F490="NEW"),"",COUNTBLANK(OFFSET(A$1,,,SUMPRODUCT(MAX(ROW(E$2:E490)*(E490=E$2:E490)))))-COUNTBLANK(OFFSET(A$1,,,SUMPRODUCT(MAX(ROW(E$1:E489)*(E2=E$1:E489))))))</f>
        <v> </v>
      </c>
      <c r="K490" s="26" t="str">
        <f>IF(OR(E490="",E490="!!!",F490="NEW"),"",INDEX(J$1:J489,SUMPRODUCT(MAX(ROW(E$1:E489)*(E490=E$1:E489)))))</f>
        <v> </v>
      </c>
      <c r="L490" s="27"/>
    </row>
    <row r="491" spans="1:12">
      <c r="A491" s="20" t="s">
        <v>289</v>
      </c>
      <c r="E491" s="22">
        <f>IF(D491="?OLD","!!!","")</f>
        <v/>
      </c>
      <c r="F491" s="23" t="str">
        <f>IF(OR(E491="",E491="!!!"),"",IF(NOT(ISNA(VLOOKUP(E491,E$1:E490,1,FALSE()))),"OLD",IF(AND(E491&lt;&gt;"",E491&lt;&gt;"!!!"),"NEW","")))</f>
        <v> </v>
      </c>
      <c r="G491" s="24" t="str">
        <f>IF(OR(E491="",E491="!!!"),"",IF(OR(J491=0,AND(J491=1,K491=1),AND(J491=1,I491="SBJ"),AND(J491=1,I491=0)),"?IN_FOCUS",IF(J491&lt;=2,"?ACTIVATED",IF(J491&lt;&gt;"","?FAMILIAR",IF(F491="NEW",IF(ISNA(VLOOKUP(E491,#REF!,1,FALSE())),"?TYPE_IDENTIFIABLE","?REFERENTIAL"),"_")))))</f>
        <v> </v>
      </c>
      <c r="H491" s="25" t="str">
        <f>IF(J491&lt;&gt;1,"",IF(I491="SBJ","CB","?"))</f>
        <v> </v>
      </c>
      <c r="I491" s="26" t="str">
        <f>IF(OR(E491="",E491="!!!",F491="NEW"),"",INDEX(B490:B$2,-1+SUMPRODUCT(MAX(ROW(E490:E$2)*(E491=E490:E$2)))))</f>
        <v> </v>
      </c>
      <c r="J491" s="26" t="str">
        <f>IF(OR(E491="",E491="!!!",F491="NEW"),"",COUNTBLANK(OFFSET(A$1,,,SUMPRODUCT(MAX(ROW(E$2:E491)*(E491=E$2:E491)))))-COUNTBLANK(OFFSET(A$1,,,SUMPRODUCT(MAX(ROW(E$1:E490)*(E2=E$1:E490))))))</f>
        <v> </v>
      </c>
      <c r="K491" s="26" t="str">
        <f>IF(OR(E491="",E491="!!!",F491="NEW"),"",INDEX(J$1:J490,SUMPRODUCT(MAX(ROW(E$1:E490)*(E491=E$1:E490)))))</f>
        <v> </v>
      </c>
      <c r="L491" s="27"/>
    </row>
    <row r="492" spans="1:12">
      <c r="A492" s="20" t="s">
        <v>402</v>
      </c>
      <c r="B492" s="21" t="s">
        <v>187</v>
      </c>
      <c r="C492" s="21" t="s">
        <v>130</v>
      </c>
      <c r="E492" s="22">
        <f>IF(D492="?OLD","!!!","")</f>
        <v/>
      </c>
      <c r="F492" s="23" t="str">
        <f>IF(OR(E492="",E492="!!!"),"",IF(NOT(ISNA(VLOOKUP(E492,E$1:E491,1,FALSE()))),"OLD",IF(AND(E492&lt;&gt;"",E492&lt;&gt;"!!!"),"NEW","")))</f>
        <v> </v>
      </c>
      <c r="G492" s="24" t="str">
        <f>IF(OR(E492="",E492="!!!"),"",IF(OR(J492=0,AND(J492=1,K492=1),AND(J492=1,I492="SBJ"),AND(J492=1,I492=0)),"?IN_FOCUS",IF(J492&lt;=2,"?ACTIVATED",IF(J492&lt;&gt;"","?FAMILIAR",IF(F492="NEW",IF(ISNA(VLOOKUP(E492,#REF!,1,FALSE())),"?TYPE_IDENTIFIABLE","?REFERENTIAL"),"_")))))</f>
        <v> </v>
      </c>
      <c r="H492" s="25" t="str">
        <f>IF(J492&lt;&gt;1,"",IF(I492="SBJ","CB","?"))</f>
        <v> </v>
      </c>
      <c r="I492" s="26" t="str">
        <f>IF(OR(E492="",E492="!!!",F492="NEW"),"",INDEX(B491:B$2,-1+SUMPRODUCT(MAX(ROW(E491:E$2)*(E492=E491:E$2)))))</f>
        <v> </v>
      </c>
      <c r="J492" s="26" t="str">
        <f>IF(OR(E492="",E492="!!!",F492="NEW"),"",COUNTBLANK(OFFSET(A$1,,,SUMPRODUCT(MAX(ROW(E$2:E492)*(E492=E$2:E492)))))-COUNTBLANK(OFFSET(A$1,,,SUMPRODUCT(MAX(ROW(E$1:E491)*(E2=E$1:E491))))))</f>
        <v> </v>
      </c>
      <c r="K492" s="26" t="str">
        <f>IF(OR(E492="",E492="!!!",F492="NEW"),"",INDEX(J$1:J491,SUMPRODUCT(MAX(ROW(E$1:E491)*(E492=E$1:E491)))))</f>
        <v> </v>
      </c>
      <c r="L492" s="27"/>
    </row>
    <row r="493" spans="1:12">
      <c r="A493" s="20" t="s">
        <v>116</v>
      </c>
      <c r="E493" s="22">
        <f>IF(D493="?OLD","!!!","")</f>
        <v/>
      </c>
      <c r="F493" s="23" t="str">
        <f>IF(OR(E493="",E493="!!!"),"",IF(NOT(ISNA(VLOOKUP(E493,E$1:E492,1,FALSE()))),"OLD",IF(AND(E493&lt;&gt;"",E493&lt;&gt;"!!!"),"NEW","")))</f>
        <v> </v>
      </c>
      <c r="G493" s="24" t="str">
        <f>IF(OR(E493="",E493="!!!"),"",IF(OR(J493=0,AND(J493=1,K493=1),AND(J493=1,I493="SBJ"),AND(J493=1,I493=0)),"?IN_FOCUS",IF(J493&lt;=2,"?ACTIVATED",IF(J493&lt;&gt;"","?FAMILIAR",IF(F493="NEW",IF(ISNA(VLOOKUP(E493,#REF!,1,FALSE())),"?TYPE_IDENTIFIABLE","?REFERENTIAL"),"_")))))</f>
        <v> </v>
      </c>
      <c r="H493" s="25" t="str">
        <f>IF(J493&lt;&gt;1,"",IF(I493="SBJ","CB","?"))</f>
        <v> </v>
      </c>
      <c r="I493" s="26" t="str">
        <f>IF(OR(E493="",E493="!!!",F493="NEW"),"",INDEX(B492:B$2,-1+SUMPRODUCT(MAX(ROW(E492:E$2)*(E493=E492:E$2)))))</f>
        <v> </v>
      </c>
      <c r="J493" s="26" t="str">
        <f>IF(OR(E493="",E493="!!!",F493="NEW"),"",COUNTBLANK(OFFSET(A$1,,,SUMPRODUCT(MAX(ROW(E$2:E493)*(E493=E$2:E493)))))-COUNTBLANK(OFFSET(A$1,,,SUMPRODUCT(MAX(ROW(E$1:E492)*(E2=E$1:E492))))))</f>
        <v> </v>
      </c>
      <c r="K493" s="26" t="str">
        <f>IF(OR(E493="",E493="!!!",F493="NEW"),"",INDEX(J$1:J492,SUMPRODUCT(MAX(ROW(E$1:E492)*(E493=E$1:E492)))))</f>
        <v> </v>
      </c>
      <c r="L493" s="27"/>
    </row>
    <row r="494" spans="1:12">
      <c r="A494" s="20" t="s">
        <v>191</v>
      </c>
      <c r="E494" s="22">
        <f>IF(D494="?OLD","!!!","")</f>
        <v/>
      </c>
      <c r="F494" s="23" t="str">
        <f>IF(OR(E494="",E494="!!!"),"",IF(NOT(ISNA(VLOOKUP(E494,E$1:E493,1,FALSE()))),"OLD",IF(AND(E494&lt;&gt;"",E494&lt;&gt;"!!!"),"NEW","")))</f>
        <v> </v>
      </c>
      <c r="G494" s="24" t="str">
        <f>IF(OR(E494="",E494="!!!"),"",IF(OR(J494=0,AND(J494=1,K494=1),AND(J494=1,I494="SBJ"),AND(J494=1,I494=0)),"?IN_FOCUS",IF(J494&lt;=2,"?ACTIVATED",IF(J494&lt;&gt;"","?FAMILIAR",IF(F494="NEW",IF(ISNA(VLOOKUP(E494,#REF!,1,FALSE())),"?TYPE_IDENTIFIABLE","?REFERENTIAL"),"_")))))</f>
        <v> </v>
      </c>
      <c r="H494" s="25" t="str">
        <f>IF(J494&lt;&gt;1,"",IF(I494="SBJ","CB","?"))</f>
        <v> </v>
      </c>
      <c r="I494" s="26" t="str">
        <f>IF(OR(E494="",E494="!!!",F494="NEW"),"",INDEX(B493:B$2,-1+SUMPRODUCT(MAX(ROW(E493:E$2)*(E494=E493:E$2)))))</f>
        <v> </v>
      </c>
      <c r="J494" s="26" t="str">
        <f>IF(OR(E494="",E494="!!!",F494="NEW"),"",COUNTBLANK(OFFSET(A$1,,,SUMPRODUCT(MAX(ROW(E$2:E494)*(E494=E$2:E494)))))-COUNTBLANK(OFFSET(A$1,,,SUMPRODUCT(MAX(ROW(E$1:E493)*(E2=E$1:E493))))))</f>
        <v> </v>
      </c>
      <c r="K494" s="26" t="str">
        <f>IF(OR(E494="",E494="!!!",F494="NEW"),"",INDEX(J$1:J493,SUMPRODUCT(MAX(ROW(E$1:E493)*(E494=E$1:E493)))))</f>
        <v> </v>
      </c>
      <c r="L494" s="27"/>
    </row>
    <row r="495" spans="1:12">
      <c r="A495" s="20" t="s">
        <v>403</v>
      </c>
      <c r="E495" s="22">
        <f>IF(D495="?OLD","!!!","")</f>
        <v/>
      </c>
      <c r="F495" s="23" t="str">
        <f>IF(OR(E495="",E495="!!!"),"",IF(NOT(ISNA(VLOOKUP(E495,E$1:E494,1,FALSE()))),"OLD",IF(AND(E495&lt;&gt;"",E495&lt;&gt;"!!!"),"NEW","")))</f>
        <v> </v>
      </c>
      <c r="G495" s="24" t="str">
        <f>IF(OR(E495="",E495="!!!"),"",IF(OR(J495=0,AND(J495=1,K495=1),AND(J495=1,I495="SBJ"),AND(J495=1,I495=0)),"?IN_FOCUS",IF(J495&lt;=2,"?ACTIVATED",IF(J495&lt;&gt;"","?FAMILIAR",IF(F495="NEW",IF(ISNA(VLOOKUP(E495,#REF!,1,FALSE())),"?TYPE_IDENTIFIABLE","?REFERENTIAL"),"_")))))</f>
        <v> </v>
      </c>
      <c r="H495" s="25" t="str">
        <f>IF(J495&lt;&gt;1,"",IF(I495="SBJ","CB","?"))</f>
        <v> </v>
      </c>
      <c r="I495" s="26" t="str">
        <f>IF(OR(E495="",E495="!!!",F495="NEW"),"",INDEX(B494:B$2,-1+SUMPRODUCT(MAX(ROW(E494:E$2)*(E495=E494:E$2)))))</f>
        <v> </v>
      </c>
      <c r="J495" s="26" t="str">
        <f>IF(OR(E495="",E495="!!!",F495="NEW"),"",COUNTBLANK(OFFSET(A$1,,,SUMPRODUCT(MAX(ROW(E$2:E495)*(E495=E$2:E495)))))-COUNTBLANK(OFFSET(A$1,,,SUMPRODUCT(MAX(ROW(E$1:E494)*(E2=E$1:E494))))))</f>
        <v> </v>
      </c>
      <c r="K495" s="26" t="str">
        <f>IF(OR(E495="",E495="!!!",F495="NEW"),"",INDEX(J$1:J494,SUMPRODUCT(MAX(ROW(E$1:E494)*(E495=E$1:E494)))))</f>
        <v> </v>
      </c>
      <c r="L495" s="27"/>
    </row>
    <row r="496" spans="1:12">
      <c r="A496" s="20" t="s">
        <v>300</v>
      </c>
      <c r="B496" s="21" t="s">
        <v>225</v>
      </c>
      <c r="C496" s="21" t="s">
        <v>130</v>
      </c>
      <c r="E496" s="22">
        <f>IF(D496="?OLD","!!!","")</f>
        <v/>
      </c>
      <c r="F496" s="23" t="str">
        <f>IF(OR(E496="",E496="!!!"),"",IF(NOT(ISNA(VLOOKUP(E496,E$1:E495,1,FALSE()))),"OLD",IF(AND(E496&lt;&gt;"",E496&lt;&gt;"!!!"),"NEW","")))</f>
        <v> </v>
      </c>
      <c r="G496" s="24" t="str">
        <f>IF(OR(E496="",E496="!!!"),"",IF(OR(J496=0,AND(J496=1,K496=1),AND(J496=1,I496="SBJ"),AND(J496=1,I496=0)),"?IN_FOCUS",IF(J496&lt;=2,"?ACTIVATED",IF(J496&lt;&gt;"","?FAMILIAR",IF(F496="NEW",IF(ISNA(VLOOKUP(E496,#REF!,1,FALSE())),"?TYPE_IDENTIFIABLE","?REFERENTIAL"),"_")))))</f>
        <v> </v>
      </c>
      <c r="H496" s="25" t="str">
        <f>IF(J496&lt;&gt;1,"",IF(I496="SBJ","CB","?"))</f>
        <v> </v>
      </c>
      <c r="I496" s="26" t="str">
        <f>IF(OR(E496="",E496="!!!",F496="NEW"),"",INDEX(B495:B$2,-1+SUMPRODUCT(MAX(ROW(E495:E$2)*(E496=E495:E$2)))))</f>
        <v> </v>
      </c>
      <c r="J496" s="26" t="str">
        <f>IF(OR(E496="",E496="!!!",F496="NEW"),"",COUNTBLANK(OFFSET(A$1,,,SUMPRODUCT(MAX(ROW(E$2:E496)*(E496=E$2:E496)))))-COUNTBLANK(OFFSET(A$1,,,SUMPRODUCT(MAX(ROW(E$1:E495)*(E2=E$1:E495))))))</f>
        <v> </v>
      </c>
      <c r="K496" s="26" t="str">
        <f>IF(OR(E496="",E496="!!!",F496="NEW"),"",INDEX(J$1:J495,SUMPRODUCT(MAX(ROW(E$1:E495)*(E496=E$1:E495)))))</f>
        <v> </v>
      </c>
      <c r="L496" s="27"/>
    </row>
    <row r="497" spans="1:12">
      <c r="A497" s="20" t="s">
        <v>357</v>
      </c>
      <c r="E497" s="22">
        <f>IF(D497="?OLD","!!!","")</f>
        <v/>
      </c>
      <c r="F497" s="23" t="str">
        <f>IF(OR(E497="",E497="!!!"),"",IF(NOT(ISNA(VLOOKUP(E497,E$1:E496,1,FALSE()))),"OLD",IF(AND(E497&lt;&gt;"",E497&lt;&gt;"!!!"),"NEW","")))</f>
        <v> </v>
      </c>
      <c r="G497" s="24" t="str">
        <f>IF(OR(E497="",E497="!!!"),"",IF(OR(J497=0,AND(J497=1,K497=1),AND(J497=1,I497="SBJ"),AND(J497=1,I497=0)),"?IN_FOCUS",IF(J497&lt;=2,"?ACTIVATED",IF(J497&lt;&gt;"","?FAMILIAR",IF(F497="NEW",IF(ISNA(VLOOKUP(E497,#REF!,1,FALSE())),"?TYPE_IDENTIFIABLE","?REFERENTIAL"),"_")))))</f>
        <v> </v>
      </c>
      <c r="H497" s="25" t="str">
        <f>IF(J497&lt;&gt;1,"",IF(I497="SBJ","CB","?"))</f>
        <v> </v>
      </c>
      <c r="I497" s="26" t="str">
        <f>IF(OR(E497="",E497="!!!",F497="NEW"),"",INDEX(B496:B$2,-1+SUMPRODUCT(MAX(ROW(E496:E$2)*(E497=E496:E$2)))))</f>
        <v> </v>
      </c>
      <c r="J497" s="26" t="str">
        <f>IF(OR(E497="",E497="!!!",F497="NEW"),"",COUNTBLANK(OFFSET(A$1,,,SUMPRODUCT(MAX(ROW(E$2:E497)*(E497=E$2:E497)))))-COUNTBLANK(OFFSET(A$1,,,SUMPRODUCT(MAX(ROW(E$1:E496)*(E2=E$1:E496))))))</f>
        <v> </v>
      </c>
      <c r="K497" s="26" t="str">
        <f>IF(OR(E497="",E497="!!!",F497="NEW"),"",INDEX(J$1:J496,SUMPRODUCT(MAX(ROW(E$1:E496)*(E497=E$1:E496)))))</f>
        <v> </v>
      </c>
      <c r="L497" s="27"/>
    </row>
    <row r="498" spans="1:12">
      <c r="A498" s="20" t="s">
        <v>114</v>
      </c>
      <c r="E498" s="22">
        <f>IF(D498="?OLD","!!!","")</f>
        <v/>
      </c>
      <c r="F498" s="23" t="str">
        <f>IF(OR(E498="",E498="!!!"),"",IF(NOT(ISNA(VLOOKUP(E498,E$1:E497,1,FALSE()))),"OLD",IF(AND(E498&lt;&gt;"",E498&lt;&gt;"!!!"),"NEW","")))</f>
        <v> </v>
      </c>
      <c r="G498" s="24" t="str">
        <f>IF(OR(E498="",E498="!!!"),"",IF(OR(J498=0,AND(J498=1,K498=1),AND(J498=1,I498="SBJ"),AND(J498=1,I498=0)),"?IN_FOCUS",IF(J498&lt;=2,"?ACTIVATED",IF(J498&lt;&gt;"","?FAMILIAR",IF(F498="NEW",IF(ISNA(VLOOKUP(E498,#REF!,1,FALSE())),"?TYPE_IDENTIFIABLE","?REFERENTIAL"),"_")))))</f>
        <v> </v>
      </c>
      <c r="H498" s="25" t="str">
        <f>IF(J498&lt;&gt;1,"",IF(I498="SBJ","CB","?"))</f>
        <v> </v>
      </c>
      <c r="I498" s="26" t="str">
        <f>IF(OR(E498="",E498="!!!",F498="NEW"),"",INDEX(B497:B$2,-1+SUMPRODUCT(MAX(ROW(E497:E$2)*(E498=E497:E$2)))))</f>
        <v> </v>
      </c>
      <c r="J498" s="26" t="str">
        <f>IF(OR(E498="",E498="!!!",F498="NEW"),"",COUNTBLANK(OFFSET(A$1,,,SUMPRODUCT(MAX(ROW(E$2:E498)*(E498=E$2:E498)))))-COUNTBLANK(OFFSET(A$1,,,SUMPRODUCT(MAX(ROW(E$1:E497)*(E2=E$1:E497))))))</f>
        <v> </v>
      </c>
      <c r="K498" s="26" t="str">
        <f>IF(OR(E498="",E498="!!!",F498="NEW"),"",INDEX(J$1:J497,SUMPRODUCT(MAX(ROW(E$1:E497)*(E498=E$1:E497)))))</f>
        <v> </v>
      </c>
      <c r="L498" s="27"/>
    </row>
    <row r="499" spans="1:12">
      <c r="A499" s="20" t="s">
        <v>358</v>
      </c>
      <c r="E499" s="22">
        <f>IF(D499="?OLD","!!!","")</f>
        <v/>
      </c>
      <c r="F499" s="23" t="str">
        <f>IF(OR(E499="",E499="!!!"),"",IF(NOT(ISNA(VLOOKUP(E499,E$1:E498,1,FALSE()))),"OLD",IF(AND(E499&lt;&gt;"",E499&lt;&gt;"!!!"),"NEW","")))</f>
        <v> </v>
      </c>
      <c r="G499" s="24" t="str">
        <f>IF(OR(E499="",E499="!!!"),"",IF(OR(J499=0,AND(J499=1,K499=1),AND(J499=1,I499="SBJ"),AND(J499=1,I499=0)),"?IN_FOCUS",IF(J499&lt;=2,"?ACTIVATED",IF(J499&lt;&gt;"","?FAMILIAR",IF(F499="NEW",IF(ISNA(VLOOKUP(E499,#REF!,1,FALSE())),"?TYPE_IDENTIFIABLE","?REFERENTIAL"),"_")))))</f>
        <v> </v>
      </c>
      <c r="H499" s="25" t="str">
        <f>IF(J499&lt;&gt;1,"",IF(I499="SBJ","CB","?"))</f>
        <v> </v>
      </c>
      <c r="I499" s="26" t="str">
        <f>IF(OR(E499="",E499="!!!",F499="NEW"),"",INDEX(B498:B$2,-1+SUMPRODUCT(MAX(ROW(E498:E$2)*(E499=E498:E$2)))))</f>
        <v> </v>
      </c>
      <c r="J499" s="26" t="str">
        <f>IF(OR(E499="",E499="!!!",F499="NEW"),"",COUNTBLANK(OFFSET(A$1,,,SUMPRODUCT(MAX(ROW(E$2:E499)*(E499=E$2:E499)))))-COUNTBLANK(OFFSET(A$1,,,SUMPRODUCT(MAX(ROW(E$1:E498)*(E2=E$1:E498))))))</f>
        <v> </v>
      </c>
      <c r="K499" s="26" t="str">
        <f>IF(OR(E499="",E499="!!!",F499="NEW"),"",INDEX(J$1:J498,SUMPRODUCT(MAX(ROW(E$1:E498)*(E499=E$1:E498)))))</f>
        <v> </v>
      </c>
      <c r="L499" s="27"/>
    </row>
    <row r="500" spans="1:12">
      <c r="A500" s="20" t="s">
        <v>297</v>
      </c>
      <c r="E500" s="22">
        <f>IF(D500="?OLD","!!!","")</f>
        <v/>
      </c>
      <c r="F500" s="23" t="str">
        <f>IF(OR(E500="",E500="!!!"),"",IF(NOT(ISNA(VLOOKUP(E500,E$1:E499,1,FALSE()))),"OLD",IF(AND(E500&lt;&gt;"",E500&lt;&gt;"!!!"),"NEW","")))</f>
        <v> </v>
      </c>
      <c r="G500" s="24" t="str">
        <f>IF(OR(E500="",E500="!!!"),"",IF(OR(J500=0,AND(J500=1,K500=1),AND(J500=1,I500="SBJ"),AND(J500=1,I500=0)),"?IN_FOCUS",IF(J500&lt;=2,"?ACTIVATED",IF(J500&lt;&gt;"","?FAMILIAR",IF(F500="NEW",IF(ISNA(VLOOKUP(E500,#REF!,1,FALSE())),"?TYPE_IDENTIFIABLE","?REFERENTIAL"),"_")))))</f>
        <v> </v>
      </c>
      <c r="H500" s="25" t="str">
        <f>IF(J500&lt;&gt;1,"",IF(I500="SBJ","CB","?"))</f>
        <v> </v>
      </c>
      <c r="I500" s="26" t="str">
        <f>IF(OR(E500="",E500="!!!",F500="NEW"),"",INDEX(B499:B$2,-1+SUMPRODUCT(MAX(ROW(E499:E$2)*(E500=E499:E$2)))))</f>
        <v> </v>
      </c>
      <c r="J500" s="26" t="str">
        <f>IF(OR(E500="",E500="!!!",F500="NEW"),"",COUNTBLANK(OFFSET(A$1,,,SUMPRODUCT(MAX(ROW(E$2:E500)*(E500=E$2:E500)))))-COUNTBLANK(OFFSET(A$1,,,SUMPRODUCT(MAX(ROW(E$1:E499)*(E2=E$1:E499))))))</f>
        <v> </v>
      </c>
      <c r="K500" s="26" t="str">
        <f>IF(OR(E500="",E500="!!!",F500="NEW"),"",INDEX(J$1:J499,SUMPRODUCT(MAX(ROW(E$1:E499)*(E500=E$1:E499)))))</f>
        <v> </v>
      </c>
      <c r="L500" s="27"/>
    </row>
    <row r="501" spans="1:12">
      <c r="A501" s="20" t="s">
        <v>135</v>
      </c>
      <c r="E501" s="22">
        <f>IF(D501="?OLD","!!!","")</f>
        <v/>
      </c>
      <c r="F501" s="23" t="str">
        <f>IF(OR(E501="",E501="!!!"),"",IF(NOT(ISNA(VLOOKUP(E501,E$1:E500,1,FALSE()))),"OLD",IF(AND(E501&lt;&gt;"",E501&lt;&gt;"!!!"),"NEW","")))</f>
        <v> </v>
      </c>
      <c r="G501" s="24" t="str">
        <f>IF(OR(E501="",E501="!!!"),"",IF(OR(J501=0,AND(J501=1,K501=1),AND(J501=1,I501="SBJ"),AND(J501=1,I501=0)),"?IN_FOCUS",IF(J501&lt;=2,"?ACTIVATED",IF(J501&lt;&gt;"","?FAMILIAR",IF(F501="NEW",IF(ISNA(VLOOKUP(E501,#REF!,1,FALSE())),"?TYPE_IDENTIFIABLE","?REFERENTIAL"),"_")))))</f>
        <v> </v>
      </c>
      <c r="H501" s="25" t="str">
        <f>IF(J501&lt;&gt;1,"",IF(I501="SBJ","CB","?"))</f>
        <v> </v>
      </c>
      <c r="I501" s="26" t="str">
        <f>IF(OR(E501="",E501="!!!",F501="NEW"),"",INDEX(B500:B$2,-1+SUMPRODUCT(MAX(ROW(E500:E$2)*(E501=E500:E$2)))))</f>
        <v> </v>
      </c>
      <c r="J501" s="26" t="str">
        <f>IF(OR(E501="",E501="!!!",F501="NEW"),"",COUNTBLANK(OFFSET(A$1,,,SUMPRODUCT(MAX(ROW(E$2:E501)*(E501=E$2:E501)))))-COUNTBLANK(OFFSET(A$1,,,SUMPRODUCT(MAX(ROW(E$1:E500)*(E2=E$1:E500))))))</f>
        <v> </v>
      </c>
      <c r="K501" s="26" t="str">
        <f>IF(OR(E501="",E501="!!!",F501="NEW"),"",INDEX(J$1:J500,SUMPRODUCT(MAX(ROW(E$1:E500)*(E501=E$1:E500)))))</f>
        <v> </v>
      </c>
      <c r="L501" s="27"/>
    </row>
    <row r="502" spans="1:12">
      <c r="A502" s="20"/>
    </row>
    <row r="503" spans="1:12">
      <c r="A503" s="20" t="s">
        <v>324</v>
      </c>
      <c r="E503" s="22">
        <f>IF(D503="?OLD","!!!","")</f>
        <v/>
      </c>
      <c r="F503" s="23" t="str">
        <f>IF(OR(E503="",E503="!!!"),"",IF(NOT(ISNA(VLOOKUP(E503,E$1:E502,1,FALSE()))),"OLD",IF(AND(E503&lt;&gt;"",E503&lt;&gt;"!!!"),"NEW","")))</f>
        <v> </v>
      </c>
      <c r="G503" s="24" t="str">
        <f>IF(OR(E503="",E503="!!!"),"",IF(OR(J503=0,AND(J503=1,K503=1),AND(J503=1,I503="SBJ"),AND(J503=1,I503=0)),"?IN_FOCUS",IF(J503&lt;=2,"?ACTIVATED",IF(J503&lt;&gt;"","?FAMILIAR",IF(F503="NEW",IF(ISNA(VLOOKUP(E503,#REF!,1,FALSE())),"?TYPE_IDENTIFIABLE","?REFERENTIAL"),"_")))))</f>
        <v> </v>
      </c>
      <c r="H503" s="25" t="str">
        <f>IF(J503&lt;&gt;1,"",IF(I503="SBJ","CB","?"))</f>
        <v> </v>
      </c>
      <c r="I503" s="26" t="str">
        <f>IF(OR(E503="",E503="!!!",F503="NEW"),"",INDEX(B502:B$2,-1+SUMPRODUCT(MAX(ROW(E502:E$2)*(E503=E502:E$2)))))</f>
        <v> </v>
      </c>
      <c r="J503" s="26" t="str">
        <f>IF(OR(E503="",E503="!!!",F503="NEW"),"",COUNTBLANK(OFFSET(A$1,,,SUMPRODUCT(MAX(ROW(E$2:E503)*(E503=E$2:E503)))))-COUNTBLANK(OFFSET(A$1,,,SUMPRODUCT(MAX(ROW(E$1:E502)*(E2=E$1:E502))))))</f>
        <v> </v>
      </c>
      <c r="K503" s="26" t="str">
        <f>IF(OR(E503="",E503="!!!",F503="NEW"),"",INDEX(J$1:J502,SUMPRODUCT(MAX(ROW(E$1:E502)*(E503=E$1:E502)))))</f>
        <v> </v>
      </c>
      <c r="L503" s="27"/>
    </row>
    <row r="504" spans="1:12">
      <c r="A504" s="20" t="s">
        <v>404</v>
      </c>
    </row>
    <row r="505" spans="1:12">
      <c r="A505" s="20" t="s">
        <v>181</v>
      </c>
      <c r="E505" s="22">
        <f>IF(D505="?OLD","!!!","")</f>
        <v/>
      </c>
      <c r="F505" s="23" t="str">
        <f>IF(OR(E505="",E505="!!!"),"",IF(NOT(ISNA(VLOOKUP(E505,E$1:E504,1,FALSE()))),"OLD",IF(AND(E505&lt;&gt;"",E505&lt;&gt;"!!!"),"NEW","")))</f>
        <v> </v>
      </c>
      <c r="G505" s="24" t="str">
        <f>IF(OR(E505="",E505="!!!"),"",IF(OR(J505=0,AND(J505=1,K505=1),AND(J505=1,I505="SBJ"),AND(J505=1,I505=0)),"?IN_FOCUS",IF(J505&lt;=2,"?ACTIVATED",IF(J505&lt;&gt;"","?FAMILIAR",IF(F505="NEW",IF(ISNA(VLOOKUP(E505,#REF!,1,FALSE())),"?TYPE_IDENTIFIABLE","?REFERENTIAL"),"_")))))</f>
        <v> </v>
      </c>
      <c r="H505" s="25" t="str">
        <f>IF(J505&lt;&gt;1,"",IF(I505="SBJ","CB","?"))</f>
        <v> </v>
      </c>
      <c r="I505" s="26" t="str">
        <f>IF(OR(E505="",E505="!!!",F505="NEW"),"",INDEX(B504:B$2,-1+SUMPRODUCT(MAX(ROW(E504:E$2)*(E505=E504:E$2)))))</f>
        <v> </v>
      </c>
      <c r="J505" s="26" t="str">
        <f>IF(OR(E505="",E505="!!!",F505="NEW"),"",COUNTBLANK(OFFSET(A$1,,,SUMPRODUCT(MAX(ROW(E$2:E505)*(E505=E$2:E505)))))-COUNTBLANK(OFFSET(A$1,,,SUMPRODUCT(MAX(ROW(E$1:E504)*(E2=E$1:E504))))))</f>
        <v> </v>
      </c>
      <c r="K505" s="26" t="str">
        <f>IF(OR(E505="",E505="!!!",F505="NEW"),"",INDEX(J$1:J504,SUMPRODUCT(MAX(ROW(E$1:E504)*(E505=E$1:E504)))))</f>
        <v> </v>
      </c>
      <c r="L505" s="27"/>
    </row>
    <row r="506" spans="1:12">
      <c r="A506" s="20" t="s">
        <v>117</v>
      </c>
      <c r="E506" s="22">
        <f>IF(D506="?OLD","!!!","")</f>
        <v/>
      </c>
      <c r="F506" s="23" t="str">
        <f>IF(OR(E506="",E506="!!!"),"",IF(NOT(ISNA(VLOOKUP(E506,E$1:E505,1,FALSE()))),"OLD",IF(AND(E506&lt;&gt;"",E506&lt;&gt;"!!!"),"NEW","")))</f>
        <v> </v>
      </c>
      <c r="G506" s="24" t="str">
        <f>IF(OR(E506="",E506="!!!"),"",IF(OR(J506=0,AND(J506=1,K506=1),AND(J506=1,I506="SBJ"),AND(J506=1,I506=0)),"?IN_FOCUS",IF(J506&lt;=2,"?ACTIVATED",IF(J506&lt;&gt;"","?FAMILIAR",IF(F506="NEW",IF(ISNA(VLOOKUP(E506,#REF!,1,FALSE())),"?TYPE_IDENTIFIABLE","?REFERENTIAL"),"_")))))</f>
        <v> </v>
      </c>
      <c r="H506" s="25" t="str">
        <f>IF(J506&lt;&gt;1,"",IF(I506="SBJ","CB","?"))</f>
        <v> </v>
      </c>
      <c r="I506" s="26" t="str">
        <f>IF(OR(E506="",E506="!!!",F506="NEW"),"",INDEX(B505:B$2,-1+SUMPRODUCT(MAX(ROW(E505:E$2)*(E506=E505:E$2)))))</f>
        <v> </v>
      </c>
      <c r="J506" s="26" t="str">
        <f>IF(OR(E506="",E506="!!!",F506="NEW"),"",COUNTBLANK(OFFSET(A$1,,,SUMPRODUCT(MAX(ROW(E$2:E506)*(E506=E$2:E506)))))-COUNTBLANK(OFFSET(A$1,,,SUMPRODUCT(MAX(ROW(E$1:E505)*(E2=E$1:E505))))))</f>
        <v> </v>
      </c>
      <c r="K506" s="26" t="str">
        <f>IF(OR(E506="",E506="!!!",F506="NEW"),"",INDEX(J$1:J505,SUMPRODUCT(MAX(ROW(E$1:E505)*(E506=E$1:E505)))))</f>
        <v> </v>
      </c>
      <c r="L506" s="27"/>
    </row>
    <row r="507" spans="1:12">
      <c r="A507" s="20" t="s">
        <v>405</v>
      </c>
      <c r="B507" s="21" t="s">
        <v>125</v>
      </c>
      <c r="C507" s="21" t="s">
        <v>122</v>
      </c>
      <c r="E507" s="22">
        <f>IF(D507="?OLD","!!!","")</f>
        <v/>
      </c>
      <c r="F507" s="23" t="str">
        <f>IF(OR(E507="",E507="!!!"),"",IF(NOT(ISNA(VLOOKUP(E507,E$1:E506,1,FALSE()))),"OLD",IF(AND(E507&lt;&gt;"",E507&lt;&gt;"!!!"),"NEW","")))</f>
        <v> </v>
      </c>
      <c r="G507" s="24" t="str">
        <f>IF(OR(E507="",E507="!!!"),"",IF(OR(J507=0,AND(J507=1,K507=1),AND(J507=1,I507="SBJ"),AND(J507=1,I507=0)),"?IN_FOCUS",IF(J507&lt;=2,"?ACTIVATED",IF(J507&lt;&gt;"","?FAMILIAR",IF(F507="NEW",IF(ISNA(VLOOKUP(E507,#REF!,1,FALSE())),"?TYPE_IDENTIFIABLE","?REFERENTIAL"),"_")))))</f>
        <v> </v>
      </c>
      <c r="H507" s="25" t="str">
        <f>IF(J507&lt;&gt;1,"",IF(I507="SBJ","CB","?"))</f>
        <v> </v>
      </c>
      <c r="I507" s="26" t="str">
        <f>IF(OR(E507="",E507="!!!",F507="NEW"),"",INDEX(B506:B$2,-1+SUMPRODUCT(MAX(ROW(E506:E$2)*(E507=E506:E$2)))))</f>
        <v> </v>
      </c>
      <c r="J507" s="26" t="str">
        <f>IF(OR(E507="",E507="!!!",F507="NEW"),"",COUNTBLANK(OFFSET(A$1,,,SUMPRODUCT(MAX(ROW(E$2:E507)*(E507=E$2:E507)))))-COUNTBLANK(OFFSET(A$1,,,SUMPRODUCT(MAX(ROW(E$1:E506)*(E2=E$1:E506))))))</f>
        <v> </v>
      </c>
      <c r="K507" s="26" t="str">
        <f>IF(OR(E507="",E507="!!!",F507="NEW"),"",INDEX(J$1:J506,SUMPRODUCT(MAX(ROW(E$1:E506)*(E507=E$1:E506)))))</f>
        <v> </v>
      </c>
      <c r="L507" s="27"/>
    </row>
    <row r="508" spans="1:12">
      <c r="A508" s="20" t="s">
        <v>116</v>
      </c>
      <c r="E508" s="22">
        <f>IF(D508="?OLD","!!!","")</f>
        <v/>
      </c>
      <c r="F508" s="23" t="str">
        <f>IF(OR(E508="",E508="!!!"),"",IF(NOT(ISNA(VLOOKUP(E508,E$1:E507,1,FALSE()))),"OLD",IF(AND(E508&lt;&gt;"",E508&lt;&gt;"!!!"),"NEW","")))</f>
        <v> </v>
      </c>
      <c r="G508" s="24" t="str">
        <f>IF(OR(E508="",E508="!!!"),"",IF(OR(J508=0,AND(J508=1,K508=1),AND(J508=1,I508="SBJ"),AND(J508=1,I508=0)),"?IN_FOCUS",IF(J508&lt;=2,"?ACTIVATED",IF(J508&lt;&gt;"","?FAMILIAR",IF(F508="NEW",IF(ISNA(VLOOKUP(E508,#REF!,1,FALSE())),"?TYPE_IDENTIFIABLE","?REFERENTIAL"),"_")))))</f>
        <v> </v>
      </c>
      <c r="H508" s="25" t="str">
        <f>IF(J508&lt;&gt;1,"",IF(I508="SBJ","CB","?"))</f>
        <v> </v>
      </c>
      <c r="I508" s="26" t="str">
        <f>IF(OR(E508="",E508="!!!",F508="NEW"),"",INDEX(B507:B$2,-1+SUMPRODUCT(MAX(ROW(E507:E$2)*(E508=E507:E$2)))))</f>
        <v> </v>
      </c>
      <c r="J508" s="26" t="str">
        <f>IF(OR(E508="",E508="!!!",F508="NEW"),"",COUNTBLANK(OFFSET(A$1,,,SUMPRODUCT(MAX(ROW(E$2:E508)*(E508=E$2:E508)))))-COUNTBLANK(OFFSET(A$1,,,SUMPRODUCT(MAX(ROW(E$1:E507)*(E2=E$1:E507))))))</f>
        <v> </v>
      </c>
      <c r="K508" s="26" t="str">
        <f>IF(OR(E508="",E508="!!!",F508="NEW"),"",INDEX(J$1:J507,SUMPRODUCT(MAX(ROW(E$1:E507)*(E508=E$1:E507)))))</f>
        <v> </v>
      </c>
      <c r="L508" s="27"/>
    </row>
    <row r="509" spans="1:12">
      <c r="A509" s="20" t="s">
        <v>145</v>
      </c>
      <c r="B509" s="21" t="s">
        <v>406</v>
      </c>
      <c r="E509" s="22">
        <f>IF(D509="?OLD","!!!","")</f>
        <v/>
      </c>
      <c r="F509" s="23" t="str">
        <f>IF(OR(E509="",E509="!!!"),"",IF(NOT(ISNA(VLOOKUP(E509,E$1:E508,1,FALSE()))),"OLD",IF(AND(E509&lt;&gt;"",E509&lt;&gt;"!!!"),"NEW","")))</f>
        <v> </v>
      </c>
      <c r="G509" s="24" t="str">
        <f>IF(OR(E509="",E509="!!!"),"",IF(OR(J509=0,AND(J509=1,K509=1),AND(J509=1,I509="SBJ"),AND(J509=1,I509=0)),"?IN_FOCUS",IF(J509&lt;=2,"?ACTIVATED",IF(J509&lt;&gt;"","?FAMILIAR",IF(F509="NEW",IF(ISNA(VLOOKUP(E509,#REF!,1,FALSE())),"?TYPE_IDENTIFIABLE","?REFERENTIAL"),"_")))))</f>
        <v> </v>
      </c>
      <c r="H509" s="25" t="str">
        <f>IF(J509&lt;&gt;1,"",IF(I509="SBJ","CB","?"))</f>
        <v> </v>
      </c>
      <c r="I509" s="26" t="str">
        <f>IF(OR(E509="",E509="!!!",F509="NEW"),"",INDEX(B508:B$2,-1+SUMPRODUCT(MAX(ROW(E508:E$2)*(E509=E508:E$2)))))</f>
        <v> </v>
      </c>
      <c r="J509" s="26" t="str">
        <f>IF(OR(E509="",E509="!!!",F509="NEW"),"",COUNTBLANK(OFFSET(A$1,,,SUMPRODUCT(MAX(ROW(E$2:E509)*(E509=E$2:E509)))))-COUNTBLANK(OFFSET(A$1,,,SUMPRODUCT(MAX(ROW(E$1:E508)*(E2=E$1:E508))))))</f>
        <v> </v>
      </c>
      <c r="K509" s="26" t="str">
        <f>IF(OR(E509="",E509="!!!",F509="NEW"),"",INDEX(J$1:J508,SUMPRODUCT(MAX(ROW(E$1:E508)*(E509=E$1:E508)))))</f>
        <v> </v>
      </c>
      <c r="L509" s="27"/>
    </row>
    <row r="510" spans="1:12">
      <c r="A510" s="20" t="s">
        <v>204</v>
      </c>
      <c r="B510" s="21" t="s">
        <v>407</v>
      </c>
      <c r="C510" s="21" t="s">
        <v>175</v>
      </c>
      <c r="D510" s="21" t="s">
        <v>106</v>
      </c>
      <c r="E510" s="22">
        <f>IF(D510="?OLD","!!!","")</f>
        <v/>
      </c>
      <c r="F510" s="23" t="str">
        <f>IF(OR(E510="",E510="!!!"),"",IF(NOT(ISNA(VLOOKUP(E510,E$1:E509,1,FALSE()))),"OLD",IF(AND(E510&lt;&gt;"",E510&lt;&gt;"!!!"),"NEW","")))</f>
        <v> </v>
      </c>
      <c r="G510" s="24" t="str">
        <f>IF(OR(E510="",E510="!!!"),"",IF(OR(J510=0,AND(J510=1,K510=1),AND(J510=1,I510="SBJ"),AND(J510=1,I510=0)),"?IN_FOCUS",IF(J510&lt;=2,"?ACTIVATED",IF(J510&lt;&gt;"","?FAMILIAR",IF(F510="NEW",IF(ISNA(VLOOKUP(E510,#REF!,1,FALSE())),"?TYPE_IDENTIFIABLE","?REFERENTIAL"),"_")))))</f>
        <v> </v>
      </c>
      <c r="H510" s="25" t="str">
        <f>IF(J510&lt;&gt;1,"",IF(I510="SBJ","CB","?"))</f>
        <v> </v>
      </c>
      <c r="I510" s="26" t="str">
        <f>IF(OR(E510="",E510="!!!",F510="NEW"),"",INDEX(B509:B$2,-1+SUMPRODUCT(MAX(ROW(E509:E$2)*(E510=E509:E$2)))))</f>
        <v> </v>
      </c>
      <c r="J510" s="26" t="str">
        <f>IF(OR(E510="",E510="!!!",F510="NEW"),"",COUNTBLANK(OFFSET(A$1,,,SUMPRODUCT(MAX(ROW(E$2:E510)*(E510=E$2:E510)))))-COUNTBLANK(OFFSET(A$1,,,SUMPRODUCT(MAX(ROW(E$1:E509)*(E2=E$1:E509))))))</f>
        <v> </v>
      </c>
      <c r="K510" s="26" t="str">
        <f>IF(OR(E510="",E510="!!!",F510="NEW"),"",INDEX(J$1:J509,SUMPRODUCT(MAX(ROW(E$1:E509)*(E510=E$1:E509)))))</f>
        <v> </v>
      </c>
      <c r="L510" s="27"/>
    </row>
    <row r="511" spans="1:12">
      <c r="A511" s="20" t="s">
        <v>176</v>
      </c>
      <c r="E511" s="22">
        <f>IF(D511="?OLD","!!!","")</f>
        <v/>
      </c>
      <c r="F511" s="23" t="str">
        <f>IF(OR(E511="",E511="!!!"),"",IF(NOT(ISNA(VLOOKUP(E511,E$1:E510,1,FALSE()))),"OLD",IF(AND(E511&lt;&gt;"",E511&lt;&gt;"!!!"),"NEW","")))</f>
        <v> </v>
      </c>
      <c r="G511" s="24" t="str">
        <f>IF(OR(E511="",E511="!!!"),"",IF(OR(J511=0,AND(J511=1,K511=1),AND(J511=1,I511="SBJ"),AND(J511=1,I511=0)),"?IN_FOCUS",IF(J511&lt;=2,"?ACTIVATED",IF(J511&lt;&gt;"","?FAMILIAR",IF(F511="NEW",IF(ISNA(VLOOKUP(E511,#REF!,1,FALSE())),"?TYPE_IDENTIFIABLE","?REFERENTIAL"),"_")))))</f>
        <v> </v>
      </c>
      <c r="H511" s="25" t="str">
        <f>IF(J511&lt;&gt;1,"",IF(I511="SBJ","CB","?"))</f>
        <v> </v>
      </c>
      <c r="I511" s="26" t="str">
        <f>IF(OR(E511="",E511="!!!",F511="NEW"),"",INDEX(B510:B$2,-1+SUMPRODUCT(MAX(ROW(E510:E$2)*(E511=E510:E$2)))))</f>
        <v> </v>
      </c>
      <c r="J511" s="26" t="str">
        <f>IF(OR(E511="",E511="!!!",F511="NEW"),"",COUNTBLANK(OFFSET(A$1,,,SUMPRODUCT(MAX(ROW(E$2:E511)*(E511=E$2:E511)))))-COUNTBLANK(OFFSET(A$1,,,SUMPRODUCT(MAX(ROW(E$1:E510)*(E2=E$1:E510))))))</f>
        <v> </v>
      </c>
      <c r="K511" s="26" t="str">
        <f>IF(OR(E511="",E511="!!!",F511="NEW"),"",INDEX(J$1:J510,SUMPRODUCT(MAX(ROW(E$1:E510)*(E511=E$1:E510)))))</f>
        <v> </v>
      </c>
      <c r="L511" s="27"/>
    </row>
    <row r="512" spans="1:12">
      <c r="A512" s="20" t="s">
        <v>408</v>
      </c>
      <c r="B512" s="21" t="s">
        <v>337</v>
      </c>
      <c r="C512" s="21" t="s">
        <v>130</v>
      </c>
      <c r="E512" s="22">
        <f>IF(D512="?OLD","!!!","")</f>
        <v/>
      </c>
      <c r="F512" s="23" t="str">
        <f>IF(OR(E512="",E512="!!!"),"",IF(NOT(ISNA(VLOOKUP(E512,E$1:E511,1,FALSE()))),"OLD",IF(AND(E512&lt;&gt;"",E512&lt;&gt;"!!!"),"NEW","")))</f>
        <v> </v>
      </c>
      <c r="G512" s="24" t="str">
        <f>IF(OR(E512="",E512="!!!"),"",IF(OR(J512=0,AND(J512=1,K512=1),AND(J512=1,I512="SBJ"),AND(J512=1,I512=0)),"?IN_FOCUS",IF(J512&lt;=2,"?ACTIVATED",IF(J512&lt;&gt;"","?FAMILIAR",IF(F512="NEW",IF(ISNA(VLOOKUP(E512,#REF!,1,FALSE())),"?TYPE_IDENTIFIABLE","?REFERENTIAL"),"_")))))</f>
        <v> </v>
      </c>
      <c r="H512" s="25" t="str">
        <f>IF(J512&lt;&gt;1,"",IF(I512="SBJ","CB","?"))</f>
        <v> </v>
      </c>
      <c r="I512" s="26" t="str">
        <f>IF(OR(E512="",E512="!!!",F512="NEW"),"",INDEX(B511:B$2,-1+SUMPRODUCT(MAX(ROW(E511:E$2)*(E512=E511:E$2)))))</f>
        <v> </v>
      </c>
      <c r="J512" s="26" t="str">
        <f>IF(OR(E512="",E512="!!!",F512="NEW"),"",COUNTBLANK(OFFSET(A$1,,,SUMPRODUCT(MAX(ROW(E$2:E512)*(E512=E$2:E512)))))-COUNTBLANK(OFFSET(A$1,,,SUMPRODUCT(MAX(ROW(E$1:E511)*(E2=E$1:E511))))))</f>
        <v> </v>
      </c>
      <c r="K512" s="26" t="str">
        <f>IF(OR(E512="",E512="!!!",F512="NEW"),"",INDEX(J$1:J511,SUMPRODUCT(MAX(ROW(E$1:E511)*(E512=E$1:E511)))))</f>
        <v> </v>
      </c>
      <c r="L512" s="27"/>
    </row>
    <row r="513" spans="1:12">
      <c r="A513" s="20" t="s">
        <v>128</v>
      </c>
      <c r="E513" s="22">
        <f>IF(D513="?OLD","!!!","")</f>
        <v/>
      </c>
      <c r="F513" s="23" t="str">
        <f>IF(OR(E513="",E513="!!!"),"",IF(NOT(ISNA(VLOOKUP(E513,E$1:E512,1,FALSE()))),"OLD",IF(AND(E513&lt;&gt;"",E513&lt;&gt;"!!!"),"NEW","")))</f>
        <v> </v>
      </c>
      <c r="G513" s="24" t="str">
        <f>IF(OR(E513="",E513="!!!"),"",IF(OR(J513=0,AND(J513=1,K513=1),AND(J513=1,I513="SBJ"),AND(J513=1,I513=0)),"?IN_FOCUS",IF(J513&lt;=2,"?ACTIVATED",IF(J513&lt;&gt;"","?FAMILIAR",IF(F513="NEW",IF(ISNA(VLOOKUP(E513,#REF!,1,FALSE())),"?TYPE_IDENTIFIABLE","?REFERENTIAL"),"_")))))</f>
        <v> </v>
      </c>
      <c r="H513" s="25" t="str">
        <f>IF(J513&lt;&gt;1,"",IF(I513="SBJ","CB","?"))</f>
        <v> </v>
      </c>
      <c r="I513" s="26" t="str">
        <f>IF(OR(E513="",E513="!!!",F513="NEW"),"",INDEX(B512:B$2,-1+SUMPRODUCT(MAX(ROW(E512:E$2)*(E513=E512:E$2)))))</f>
        <v> </v>
      </c>
      <c r="J513" s="26" t="str">
        <f>IF(OR(E513="",E513="!!!",F513="NEW"),"",COUNTBLANK(OFFSET(A$1,,,SUMPRODUCT(MAX(ROW(E$2:E513)*(E513=E$2:E513)))))-COUNTBLANK(OFFSET(A$1,,,SUMPRODUCT(MAX(ROW(E$1:E512)*(E2=E$1:E512))))))</f>
        <v> </v>
      </c>
      <c r="K513" s="26" t="str">
        <f>IF(OR(E513="",E513="!!!",F513="NEW"),"",INDEX(J$1:J512,SUMPRODUCT(MAX(ROW(E$1:E512)*(E513=E$1:E512)))))</f>
        <v> </v>
      </c>
      <c r="L513" s="27"/>
    </row>
    <row r="514" spans="1:12">
      <c r="A514" s="20" t="s">
        <v>148</v>
      </c>
      <c r="E514" s="22">
        <f>IF(D514="?OLD","!!!","")</f>
        <v/>
      </c>
      <c r="F514" s="23" t="str">
        <f>IF(OR(E514="",E514="!!!"),"",IF(NOT(ISNA(VLOOKUP(E514,E$1:E513,1,FALSE()))),"OLD",IF(AND(E514&lt;&gt;"",E514&lt;&gt;"!!!"),"NEW","")))</f>
        <v> </v>
      </c>
      <c r="G514" s="24" t="str">
        <f>IF(OR(E514="",E514="!!!"),"",IF(OR(J514=0,AND(J514=1,K514=1),AND(J514=1,I514="SBJ"),AND(J514=1,I514=0)),"?IN_FOCUS",IF(J514&lt;=2,"?ACTIVATED",IF(J514&lt;&gt;"","?FAMILIAR",IF(F514="NEW",IF(ISNA(VLOOKUP(E514,#REF!,1,FALSE())),"?TYPE_IDENTIFIABLE","?REFERENTIAL"),"_")))))</f>
        <v> </v>
      </c>
      <c r="H514" s="25" t="str">
        <f>IF(J514&lt;&gt;1,"",IF(I514="SBJ","CB","?"))</f>
        <v> </v>
      </c>
      <c r="I514" s="26" t="str">
        <f>IF(OR(E514="",E514="!!!",F514="NEW"),"",INDEX(B513:B$2,-1+SUMPRODUCT(MAX(ROW(E513:E$2)*(E514=E513:E$2)))))</f>
        <v> </v>
      </c>
      <c r="J514" s="26" t="str">
        <f>IF(OR(E514="",E514="!!!",F514="NEW"),"",COUNTBLANK(OFFSET(A$1,,,SUMPRODUCT(MAX(ROW(E$2:E514)*(E514=E$2:E514)))))-COUNTBLANK(OFFSET(A$1,,,SUMPRODUCT(MAX(ROW(E$1:E513)*(E2=E$1:E513))))))</f>
        <v> </v>
      </c>
      <c r="K514" s="26" t="str">
        <f>IF(OR(E514="",E514="!!!",F514="NEW"),"",INDEX(J$1:J513,SUMPRODUCT(MAX(ROW(E$1:E513)*(E514=E$1:E513)))))</f>
        <v> </v>
      </c>
      <c r="L514" s="27"/>
    </row>
    <row r="515" spans="1:12">
      <c r="A515" s="20" t="s">
        <v>353</v>
      </c>
      <c r="B515" s="21" t="s">
        <v>337</v>
      </c>
      <c r="C515" s="21" t="s">
        <v>111</v>
      </c>
      <c r="D515" s="21" t="s">
        <v>106</v>
      </c>
      <c r="E515" s="22">
        <f>IF(D515="?OLD","!!!","")</f>
        <v/>
      </c>
      <c r="F515" s="23" t="str">
        <f>IF(OR(E515="",E515="!!!"),"",IF(NOT(ISNA(VLOOKUP(E515,E$1:E514,1,FALSE()))),"OLD",IF(AND(E515&lt;&gt;"",E515&lt;&gt;"!!!"),"NEW","")))</f>
        <v> </v>
      </c>
      <c r="G515" s="24" t="str">
        <f>IF(OR(E515="",E515="!!!"),"",IF(OR(J515=0,AND(J515=1,K515=1),AND(J515=1,I515="SBJ"),AND(J515=1,I515=0)),"?IN_FOCUS",IF(J515&lt;=2,"?ACTIVATED",IF(J515&lt;&gt;"","?FAMILIAR",IF(F515="NEW",IF(ISNA(VLOOKUP(E515,#REF!,1,FALSE())),"?TYPE_IDENTIFIABLE","?REFERENTIAL"),"_")))))</f>
        <v> </v>
      </c>
      <c r="H515" s="25" t="str">
        <f>IF(J515&lt;&gt;1,"",IF(I515="SBJ","CB","?"))</f>
        <v> </v>
      </c>
      <c r="I515" s="26" t="str">
        <f>IF(OR(E515="",E515="!!!",F515="NEW"),"",INDEX(B514:B$2,-1+SUMPRODUCT(MAX(ROW(E514:E$2)*(E515=E514:E$2)))))</f>
        <v> </v>
      </c>
      <c r="J515" s="26" t="str">
        <f>IF(OR(E515="",E515="!!!",F515="NEW"),"",COUNTBLANK(OFFSET(A$1,,,SUMPRODUCT(MAX(ROW(E$2:E515)*(E515=E$2:E515)))))-COUNTBLANK(OFFSET(A$1,,,SUMPRODUCT(MAX(ROW(E$1:E514)*(E2=E$1:E514))))))</f>
        <v> </v>
      </c>
      <c r="K515" s="26" t="str">
        <f>IF(OR(E515="",E515="!!!",F515="NEW"),"",INDEX(J$1:J514,SUMPRODUCT(MAX(ROW(E$1:E514)*(E515=E$1:E514)))))</f>
        <v> </v>
      </c>
      <c r="L515" s="27"/>
    </row>
    <row r="516" spans="1:12">
      <c r="A516" s="20" t="s">
        <v>354</v>
      </c>
      <c r="E516" s="22">
        <f>IF(D516="?OLD","!!!","")</f>
        <v/>
      </c>
      <c r="F516" s="23" t="str">
        <f>IF(OR(E516="",E516="!!!"),"",IF(NOT(ISNA(VLOOKUP(E516,E$1:E515,1,FALSE()))),"OLD",IF(AND(E516&lt;&gt;"",E516&lt;&gt;"!!!"),"NEW","")))</f>
        <v> </v>
      </c>
      <c r="G516" s="24" t="str">
        <f>IF(OR(E516="",E516="!!!"),"",IF(OR(J516=0,AND(J516=1,K516=1),AND(J516=1,I516="SBJ"),AND(J516=1,I516=0)),"?IN_FOCUS",IF(J516&lt;=2,"?ACTIVATED",IF(J516&lt;&gt;"","?FAMILIAR",IF(F516="NEW",IF(ISNA(VLOOKUP(E516,#REF!,1,FALSE())),"?TYPE_IDENTIFIABLE","?REFERENTIAL"),"_")))))</f>
        <v> </v>
      </c>
      <c r="H516" s="25" t="str">
        <f>IF(J516&lt;&gt;1,"",IF(I516="SBJ","CB","?"))</f>
        <v> </v>
      </c>
      <c r="I516" s="26" t="str">
        <f>IF(OR(E516="",E516="!!!",F516="NEW"),"",INDEX(B515:B$2,-1+SUMPRODUCT(MAX(ROW(E515:E$2)*(E516=E515:E$2)))))</f>
        <v> </v>
      </c>
      <c r="J516" s="26" t="str">
        <f>IF(OR(E516="",E516="!!!",F516="NEW"),"",COUNTBLANK(OFFSET(A$1,,,SUMPRODUCT(MAX(ROW(E$2:E516)*(E516=E$2:E516)))))-COUNTBLANK(OFFSET(A$1,,,SUMPRODUCT(MAX(ROW(E$1:E515)*(E2=E$1:E515))))))</f>
        <v> </v>
      </c>
      <c r="K516" s="26" t="str">
        <f>IF(OR(E516="",E516="!!!",F516="NEW"),"",INDEX(J$1:J515,SUMPRODUCT(MAX(ROW(E$1:E515)*(E516=E$1:E515)))))</f>
        <v> </v>
      </c>
      <c r="L516" s="27"/>
    </row>
    <row r="517" spans="1:12">
      <c r="A517" s="20" t="s">
        <v>409</v>
      </c>
      <c r="E517" s="22">
        <f>IF(D517="?OLD","!!!","")</f>
        <v/>
      </c>
      <c r="F517" s="23" t="str">
        <f>IF(OR(E517="",E517="!!!"),"",IF(NOT(ISNA(VLOOKUP(E517,E$1:E516,1,FALSE()))),"OLD",IF(AND(E517&lt;&gt;"",E517&lt;&gt;"!!!"),"NEW","")))</f>
        <v> </v>
      </c>
      <c r="G517" s="24" t="str">
        <f>IF(OR(E517="",E517="!!!"),"",IF(OR(J517=0,AND(J517=1,K517=1),AND(J517=1,I517="SBJ"),AND(J517=1,I517=0)),"?IN_FOCUS",IF(J517&lt;=2,"?ACTIVATED",IF(J517&lt;&gt;"","?FAMILIAR",IF(F517="NEW",IF(ISNA(VLOOKUP(E517,#REF!,1,FALSE())),"?TYPE_IDENTIFIABLE","?REFERENTIAL"),"_")))))</f>
        <v> </v>
      </c>
      <c r="H517" s="25" t="str">
        <f>IF(J517&lt;&gt;1,"",IF(I517="SBJ","CB","?"))</f>
        <v> </v>
      </c>
      <c r="I517" s="26" t="str">
        <f>IF(OR(E517="",E517="!!!",F517="NEW"),"",INDEX(B516:B$2,-1+SUMPRODUCT(MAX(ROW(E516:E$2)*(E517=E516:E$2)))))</f>
        <v> </v>
      </c>
      <c r="J517" s="26" t="str">
        <f>IF(OR(E517="",E517="!!!",F517="NEW"),"",COUNTBLANK(OFFSET(A$1,,,SUMPRODUCT(MAX(ROW(E$2:E517)*(E517=E$2:E517)))))-COUNTBLANK(OFFSET(A$1,,,SUMPRODUCT(MAX(ROW(E$1:E516)*(E2=E$1:E516))))))</f>
        <v> </v>
      </c>
      <c r="K517" s="26" t="str">
        <f>IF(OR(E517="",E517="!!!",F517="NEW"),"",INDEX(J$1:J516,SUMPRODUCT(MAX(ROW(E$1:E516)*(E517=E$1:E516)))))</f>
        <v> </v>
      </c>
      <c r="L517" s="27"/>
    </row>
    <row r="518" spans="1:12">
      <c r="A518" s="20" t="s">
        <v>116</v>
      </c>
      <c r="E518" s="22">
        <f>IF(D518="?OLD","!!!","")</f>
        <v/>
      </c>
      <c r="F518" s="23" t="str">
        <f>IF(OR(E518="",E518="!!!"),"",IF(NOT(ISNA(VLOOKUP(E518,E$1:E517,1,FALSE()))),"OLD",IF(AND(E518&lt;&gt;"",E518&lt;&gt;"!!!"),"NEW","")))</f>
        <v> </v>
      </c>
      <c r="G518" s="24" t="str">
        <f>IF(OR(E518="",E518="!!!"),"",IF(OR(J518=0,AND(J518=1,K518=1),AND(J518=1,I518="SBJ"),AND(J518=1,I518=0)),"?IN_FOCUS",IF(J518&lt;=2,"?ACTIVATED",IF(J518&lt;&gt;"","?FAMILIAR",IF(F518="NEW",IF(ISNA(VLOOKUP(E518,#REF!,1,FALSE())),"?TYPE_IDENTIFIABLE","?REFERENTIAL"),"_")))))</f>
        <v> </v>
      </c>
      <c r="H518" s="25" t="str">
        <f>IF(J518&lt;&gt;1,"",IF(I518="SBJ","CB","?"))</f>
        <v> </v>
      </c>
      <c r="I518" s="26" t="str">
        <f>IF(OR(E518="",E518="!!!",F518="NEW"),"",INDEX(B517:B$2,-1+SUMPRODUCT(MAX(ROW(E517:E$2)*(E518=E517:E$2)))))</f>
        <v> </v>
      </c>
      <c r="J518" s="26" t="str">
        <f>IF(OR(E518="",E518="!!!",F518="NEW"),"",COUNTBLANK(OFFSET(A$1,,,SUMPRODUCT(MAX(ROW(E$2:E518)*(E518=E$2:E518)))))-COUNTBLANK(OFFSET(A$1,,,SUMPRODUCT(MAX(ROW(E$1:E517)*(E2=E$1:E517))))))</f>
        <v> </v>
      </c>
      <c r="K518" s="26" t="str">
        <f>IF(OR(E518="",E518="!!!",F518="NEW"),"",INDEX(J$1:J517,SUMPRODUCT(MAX(ROW(E$1:E517)*(E518=E$1:E517)))))</f>
        <v> </v>
      </c>
      <c r="L518" s="27"/>
    </row>
    <row r="519" spans="1:12">
      <c r="A519" s="20" t="s">
        <v>410</v>
      </c>
      <c r="E519" s="22">
        <f>IF(D519="?OLD","!!!","")</f>
        <v/>
      </c>
      <c r="F519" s="23" t="str">
        <f>IF(OR(E519="",E519="!!!"),"",IF(NOT(ISNA(VLOOKUP(E519,E$1:E518,1,FALSE()))),"OLD",IF(AND(E519&lt;&gt;"",E519&lt;&gt;"!!!"),"NEW","")))</f>
        <v> </v>
      </c>
      <c r="G519" s="24" t="str">
        <f>IF(OR(E519="",E519="!!!"),"",IF(OR(J519=0,AND(J519=1,K519=1),AND(J519=1,I519="SBJ"),AND(J519=1,I519=0)),"?IN_FOCUS",IF(J519&lt;=2,"?ACTIVATED",IF(J519&lt;&gt;"","?FAMILIAR",IF(F519="NEW",IF(ISNA(VLOOKUP(E519,#REF!,1,FALSE())),"?TYPE_IDENTIFIABLE","?REFERENTIAL"),"_")))))</f>
        <v> </v>
      </c>
      <c r="H519" s="25" t="str">
        <f>IF(J519&lt;&gt;1,"",IF(I519="SBJ","CB","?"))</f>
        <v> </v>
      </c>
      <c r="I519" s="26" t="str">
        <f>IF(OR(E519="",E519="!!!",F519="NEW"),"",INDEX(B518:B$2,-1+SUMPRODUCT(MAX(ROW(E518:E$2)*(E519=E518:E$2)))))</f>
        <v> </v>
      </c>
      <c r="J519" s="26" t="str">
        <f>IF(OR(E519="",E519="!!!",F519="NEW"),"",COUNTBLANK(OFFSET(A$1,,,SUMPRODUCT(MAX(ROW(E$2:E519)*(E519=E$2:E519)))))-COUNTBLANK(OFFSET(A$1,,,SUMPRODUCT(MAX(ROW(E$1:E518)*(E2=E$1:E518))))))</f>
        <v> </v>
      </c>
      <c r="K519" s="26" t="str">
        <f>IF(OR(E519="",E519="!!!",F519="NEW"),"",INDEX(J$1:J518,SUMPRODUCT(MAX(ROW(E$1:E518)*(E519=E$1:E518)))))</f>
        <v> </v>
      </c>
      <c r="L519" s="27"/>
    </row>
    <row r="520" spans="1:12">
      <c r="A520" s="20" t="s">
        <v>411</v>
      </c>
      <c r="E520" s="22">
        <f>IF(D520="?OLD","!!!","")</f>
        <v/>
      </c>
      <c r="F520" s="23" t="str">
        <f>IF(OR(E520="",E520="!!!"),"",IF(NOT(ISNA(VLOOKUP(E520,E$1:E519,1,FALSE()))),"OLD",IF(AND(E520&lt;&gt;"",E520&lt;&gt;"!!!"),"NEW","")))</f>
        <v> </v>
      </c>
      <c r="G520" s="24" t="str">
        <f>IF(OR(E520="",E520="!!!"),"",IF(OR(J520=0,AND(J520=1,K520=1),AND(J520=1,I520="SBJ"),AND(J520=1,I520=0)),"?IN_FOCUS",IF(J520&lt;=2,"?ACTIVATED",IF(J520&lt;&gt;"","?FAMILIAR",IF(F520="NEW",IF(ISNA(VLOOKUP(E520,#REF!,1,FALSE())),"?TYPE_IDENTIFIABLE","?REFERENTIAL"),"_")))))</f>
        <v> </v>
      </c>
      <c r="H520" s="25" t="str">
        <f>IF(J520&lt;&gt;1,"",IF(I520="SBJ","CB","?"))</f>
        <v> </v>
      </c>
      <c r="I520" s="26" t="str">
        <f>IF(OR(E520="",E520="!!!",F520="NEW"),"",INDEX(B519:B$2,-1+SUMPRODUCT(MAX(ROW(E519:E$2)*(E520=E519:E$2)))))</f>
        <v> </v>
      </c>
      <c r="J520" s="26" t="str">
        <f>IF(OR(E520="",E520="!!!",F520="NEW"),"",COUNTBLANK(OFFSET(A$1,,,SUMPRODUCT(MAX(ROW(E$2:E520)*(E520=E$2:E520)))))-COUNTBLANK(OFFSET(A$1,,,SUMPRODUCT(MAX(ROW(E$1:E519)*(E2=E$1:E519))))))</f>
        <v> </v>
      </c>
      <c r="K520" s="26" t="str">
        <f>IF(OR(E520="",E520="!!!",F520="NEW"),"",INDEX(J$1:J519,SUMPRODUCT(MAX(ROW(E$1:E519)*(E520=E$1:E519)))))</f>
        <v> </v>
      </c>
      <c r="L520" s="27"/>
    </row>
    <row r="521" spans="1:12">
      <c r="A521" s="20" t="s">
        <v>412</v>
      </c>
      <c r="E521" s="22">
        <f>IF(D521="?OLD","!!!","")</f>
        <v/>
      </c>
      <c r="F521" s="23" t="str">
        <f>IF(OR(E521="",E521="!!!"),"",IF(NOT(ISNA(VLOOKUP(E521,E$1:E520,1,FALSE()))),"OLD",IF(AND(E521&lt;&gt;"",E521&lt;&gt;"!!!"),"NEW","")))</f>
        <v> </v>
      </c>
      <c r="G521" s="24" t="str">
        <f>IF(OR(E521="",E521="!!!"),"",IF(OR(J521=0,AND(J521=1,K521=1),AND(J521=1,I521="SBJ"),AND(J521=1,I521=0)),"?IN_FOCUS",IF(J521&lt;=2,"?ACTIVATED",IF(J521&lt;&gt;"","?FAMILIAR",IF(F521="NEW",IF(ISNA(VLOOKUP(E521,#REF!,1,FALSE())),"?TYPE_IDENTIFIABLE","?REFERENTIAL"),"_")))))</f>
        <v> </v>
      </c>
      <c r="H521" s="25" t="str">
        <f>IF(J521&lt;&gt;1,"",IF(I521="SBJ","CB","?"))</f>
        <v> </v>
      </c>
      <c r="I521" s="26" t="str">
        <f>IF(OR(E521="",E521="!!!",F521="NEW"),"",INDEX(B520:B$2,-1+SUMPRODUCT(MAX(ROW(E520:E$2)*(E521=E520:E$2)))))</f>
        <v> </v>
      </c>
      <c r="J521" s="26" t="str">
        <f>IF(OR(E521="",E521="!!!",F521="NEW"),"",COUNTBLANK(OFFSET(A$1,,,SUMPRODUCT(MAX(ROW(E$2:E521)*(E521=E$2:E521)))))-COUNTBLANK(OFFSET(A$1,,,SUMPRODUCT(MAX(ROW(E$1:E520)*(E2=E$1:E520))))))</f>
        <v> </v>
      </c>
      <c r="K521" s="26" t="str">
        <f>IF(OR(E521="",E521="!!!",F521="NEW"),"",INDEX(J$1:J520,SUMPRODUCT(MAX(ROW(E$1:E520)*(E521=E$1:E520)))))</f>
        <v> </v>
      </c>
      <c r="L521" s="27"/>
    </row>
    <row r="522" spans="1:12">
      <c r="A522" s="20" t="s">
        <v>307</v>
      </c>
      <c r="B522" s="21" t="s">
        <v>187</v>
      </c>
      <c r="C522" s="21" t="s">
        <v>122</v>
      </c>
      <c r="E522" s="22">
        <f>IF(D522="?OLD","!!!","")</f>
        <v/>
      </c>
      <c r="F522" s="23" t="str">
        <f>IF(OR(E522="",E522="!!!"),"",IF(NOT(ISNA(VLOOKUP(E522,E$1:E521,1,FALSE()))),"OLD",IF(AND(E522&lt;&gt;"",E522&lt;&gt;"!!!"),"NEW","")))</f>
        <v> </v>
      </c>
      <c r="G522" s="24" t="str">
        <f>IF(OR(E522="",E522="!!!"),"",IF(OR(J522=0,AND(J522=1,K522=1),AND(J522=1,I522="SBJ"),AND(J522=1,I522=0)),"?IN_FOCUS",IF(J522&lt;=2,"?ACTIVATED",IF(J522&lt;&gt;"","?FAMILIAR",IF(F522="NEW",IF(ISNA(VLOOKUP(E522,#REF!,1,FALSE())),"?TYPE_IDENTIFIABLE","?REFERENTIAL"),"_")))))</f>
        <v> </v>
      </c>
      <c r="H522" s="25" t="str">
        <f>IF(J522&lt;&gt;1,"",IF(I522="SBJ","CB","?"))</f>
        <v> </v>
      </c>
      <c r="I522" s="26" t="str">
        <f>IF(OR(E522="",E522="!!!",F522="NEW"),"",INDEX(B521:B$2,-1+SUMPRODUCT(MAX(ROW(E521:E$2)*(E522=E521:E$2)))))</f>
        <v> </v>
      </c>
      <c r="J522" s="26" t="str">
        <f>IF(OR(E522="",E522="!!!",F522="NEW"),"",COUNTBLANK(OFFSET(A$1,,,SUMPRODUCT(MAX(ROW(E$2:E522)*(E522=E$2:E522)))))-COUNTBLANK(OFFSET(A$1,,,SUMPRODUCT(MAX(ROW(E$1:E521)*(E2=E$1:E521))))))</f>
        <v> </v>
      </c>
      <c r="K522" s="26" t="str">
        <f>IF(OR(E522="",E522="!!!",F522="NEW"),"",INDEX(J$1:J521,SUMPRODUCT(MAX(ROW(E$1:E521)*(E522=E$1:E521)))))</f>
        <v> </v>
      </c>
      <c r="L522" s="27"/>
    </row>
    <row r="523" spans="1:12">
      <c r="A523" s="20" t="s">
        <v>116</v>
      </c>
      <c r="E523" s="22">
        <f>IF(D523="?OLD","!!!","")</f>
        <v/>
      </c>
      <c r="F523" s="23" t="str">
        <f>IF(OR(E523="",E523="!!!"),"",IF(NOT(ISNA(VLOOKUP(E523,E$1:E522,1,FALSE()))),"OLD",IF(AND(E523&lt;&gt;"",E523&lt;&gt;"!!!"),"NEW","")))</f>
        <v> </v>
      </c>
      <c r="G523" s="24" t="str">
        <f>IF(OR(E523="",E523="!!!"),"",IF(OR(J523=0,AND(J523=1,K523=1),AND(J523=1,I523="SBJ"),AND(J523=1,I523=0)),"?IN_FOCUS",IF(J523&lt;=2,"?ACTIVATED",IF(J523&lt;&gt;"","?FAMILIAR",IF(F523="NEW",IF(ISNA(VLOOKUP(E523,#REF!,1,FALSE())),"?TYPE_IDENTIFIABLE","?REFERENTIAL"),"_")))))</f>
        <v> </v>
      </c>
      <c r="H523" s="25" t="str">
        <f>IF(J523&lt;&gt;1,"",IF(I523="SBJ","CB","?"))</f>
        <v> </v>
      </c>
      <c r="I523" s="26" t="str">
        <f>IF(OR(E523="",E523="!!!",F523="NEW"),"",INDEX(B522:B$2,-1+SUMPRODUCT(MAX(ROW(E522:E$2)*(E523=E522:E$2)))))</f>
        <v> </v>
      </c>
      <c r="J523" s="26" t="str">
        <f>IF(OR(E523="",E523="!!!",F523="NEW"),"",COUNTBLANK(OFFSET(A$1,,,SUMPRODUCT(MAX(ROW(E$2:E523)*(E523=E$2:E523)))))-COUNTBLANK(OFFSET(A$1,,,SUMPRODUCT(MAX(ROW(E$1:E522)*(E2=E$1:E522))))))</f>
        <v> </v>
      </c>
      <c r="K523" s="26" t="str">
        <f>IF(OR(E523="",E523="!!!",F523="NEW"),"",INDEX(J$1:J522,SUMPRODUCT(MAX(ROW(E$1:E522)*(E523=E$1:E522)))))</f>
        <v> </v>
      </c>
      <c r="L523" s="27"/>
    </row>
    <row r="524" spans="1:12">
      <c r="A524" s="20" t="s">
        <v>281</v>
      </c>
      <c r="E524" s="22">
        <f>IF(D524="?OLD","!!!","")</f>
        <v/>
      </c>
      <c r="F524" s="23" t="str">
        <f>IF(OR(E524="",E524="!!!"),"",IF(NOT(ISNA(VLOOKUP(E524,E$1:E523,1,FALSE()))),"OLD",IF(AND(E524&lt;&gt;"",E524&lt;&gt;"!!!"),"NEW","")))</f>
        <v> </v>
      </c>
      <c r="G524" s="24" t="str">
        <f>IF(OR(E524="",E524="!!!"),"",IF(OR(J524=0,AND(J524=1,K524=1),AND(J524=1,I524="SBJ"),AND(J524=1,I524=0)),"?IN_FOCUS",IF(J524&lt;=2,"?ACTIVATED",IF(J524&lt;&gt;"","?FAMILIAR",IF(F524="NEW",IF(ISNA(VLOOKUP(E524,#REF!,1,FALSE())),"?TYPE_IDENTIFIABLE","?REFERENTIAL"),"_")))))</f>
        <v> </v>
      </c>
      <c r="H524" s="25" t="str">
        <f>IF(J524&lt;&gt;1,"",IF(I524="SBJ","CB","?"))</f>
        <v> </v>
      </c>
      <c r="I524" s="26" t="str">
        <f>IF(OR(E524="",E524="!!!",F524="NEW"),"",INDEX(B523:B$2,-1+SUMPRODUCT(MAX(ROW(E523:E$2)*(E524=E523:E$2)))))</f>
        <v> </v>
      </c>
      <c r="J524" s="26" t="str">
        <f>IF(OR(E524="",E524="!!!",F524="NEW"),"",COUNTBLANK(OFFSET(A$1,,,SUMPRODUCT(MAX(ROW(E$2:E524)*(E524=E$2:E524)))))-COUNTBLANK(OFFSET(A$1,,,SUMPRODUCT(MAX(ROW(E$1:E523)*(E2=E$1:E523))))))</f>
        <v> </v>
      </c>
      <c r="K524" s="26" t="str">
        <f>IF(OR(E524="",E524="!!!",F524="NEW"),"",INDEX(J$1:J523,SUMPRODUCT(MAX(ROW(E$1:E523)*(E524=E$1:E523)))))</f>
        <v> </v>
      </c>
      <c r="L524" s="27"/>
    </row>
    <row r="525" spans="1:12">
      <c r="A525" s="20" t="s">
        <v>413</v>
      </c>
      <c r="B525" s="21" t="s">
        <v>125</v>
      </c>
      <c r="C525" s="21" t="s">
        <v>111</v>
      </c>
      <c r="D525" s="21" t="s">
        <v>106</v>
      </c>
      <c r="E525" s="22">
        <f>IF(D525="?OLD","!!!","")</f>
        <v/>
      </c>
      <c r="F525" s="23" t="str">
        <f>IF(OR(E525="",E525="!!!"),"",IF(NOT(ISNA(VLOOKUP(E525,E$1:E524,1,FALSE()))),"OLD",IF(AND(E525&lt;&gt;"",E525&lt;&gt;"!!!"),"NEW","")))</f>
        <v> </v>
      </c>
      <c r="G525" s="24" t="str">
        <f>IF(OR(E525="",E525="!!!"),"",IF(OR(J525=0,AND(J525=1,K525=1),AND(J525=1,I525="SBJ"),AND(J525=1,I525=0)),"?IN_FOCUS",IF(J525&lt;=2,"?ACTIVATED",IF(J525&lt;&gt;"","?FAMILIAR",IF(F525="NEW",IF(ISNA(VLOOKUP(E525,#REF!,1,FALSE())),"?TYPE_IDENTIFIABLE","?REFERENTIAL"),"_")))))</f>
        <v> </v>
      </c>
      <c r="H525" s="25" t="str">
        <f>IF(J525&lt;&gt;1,"",IF(I525="SBJ","CB","?"))</f>
        <v> </v>
      </c>
      <c r="I525" s="26" t="str">
        <f>IF(OR(E525="",E525="!!!",F525="NEW"),"",INDEX(B524:B$2,-1+SUMPRODUCT(MAX(ROW(E524:E$2)*(E525=E524:E$2)))))</f>
        <v> </v>
      </c>
      <c r="J525" s="26" t="str">
        <f>IF(OR(E525="",E525="!!!",F525="NEW"),"",COUNTBLANK(OFFSET(A$1,,,SUMPRODUCT(MAX(ROW(E$2:E525)*(E525=E$2:E525)))))-COUNTBLANK(OFFSET(A$1,,,SUMPRODUCT(MAX(ROW(E$1:E524)*(E2=E$1:E524))))))</f>
        <v> </v>
      </c>
      <c r="K525" s="26" t="str">
        <f>IF(OR(E525="",E525="!!!",F525="NEW"),"",INDEX(J$1:J524,SUMPRODUCT(MAX(ROW(E$1:E524)*(E525=E$1:E524)))))</f>
        <v> </v>
      </c>
      <c r="L525" s="27"/>
    </row>
    <row r="526" spans="1:12">
      <c r="A526" s="20" t="s">
        <v>11</v>
      </c>
      <c r="E526" s="22">
        <f>IF(D526="?OLD","!!!","")</f>
        <v/>
      </c>
      <c r="F526" s="23" t="str">
        <f>IF(OR(E526="",E526="!!!"),"",IF(NOT(ISNA(VLOOKUP(E526,E$1:E525,1,FALSE()))),"OLD",IF(AND(E526&lt;&gt;"",E526&lt;&gt;"!!!"),"NEW","")))</f>
        <v> </v>
      </c>
      <c r="G526" s="24" t="str">
        <f>IF(OR(E526="",E526="!!!"),"",IF(OR(J526=0,AND(J526=1,K526=1),AND(J526=1,I526="SBJ"),AND(J526=1,I526=0)),"?IN_FOCUS",IF(J526&lt;=2,"?ACTIVATED",IF(J526&lt;&gt;"","?FAMILIAR",IF(F526="NEW",IF(ISNA(VLOOKUP(E526,#REF!,1,FALSE())),"?TYPE_IDENTIFIABLE","?REFERENTIAL"),"_")))))</f>
        <v> </v>
      </c>
      <c r="H526" s="25" t="str">
        <f>IF(J526&lt;&gt;1,"",IF(I526="SBJ","CB","?"))</f>
        <v> </v>
      </c>
      <c r="I526" s="26" t="str">
        <f>IF(OR(E526="",E526="!!!",F526="NEW"),"",INDEX(B525:B$2,-1+SUMPRODUCT(MAX(ROW(E525:E$2)*(E526=E525:E$2)))))</f>
        <v> </v>
      </c>
      <c r="J526" s="26" t="str">
        <f>IF(OR(E526="",E526="!!!",F526="NEW"),"",COUNTBLANK(OFFSET(A$1,,,SUMPRODUCT(MAX(ROW(E$2:E526)*(E526=E$2:E526)))))-COUNTBLANK(OFFSET(A$1,,,SUMPRODUCT(MAX(ROW(E$1:E525)*(E2=E$1:E525))))))</f>
        <v> </v>
      </c>
      <c r="K526" s="26" t="str">
        <f>IF(OR(E526="",E526="!!!",F526="NEW"),"",INDEX(J$1:J525,SUMPRODUCT(MAX(ROW(E$1:E525)*(E526=E$1:E525)))))</f>
        <v> </v>
      </c>
      <c r="L526" s="27"/>
    </row>
    <row r="527" spans="1:12">
      <c r="A527" s="20" t="s">
        <v>414</v>
      </c>
      <c r="E527" s="22">
        <f>IF(D527="?OLD","!!!","")</f>
        <v/>
      </c>
      <c r="F527" s="23" t="str">
        <f>IF(OR(E527="",E527="!!!"),"",IF(NOT(ISNA(VLOOKUP(E527,E$1:E526,1,FALSE()))),"OLD",IF(AND(E527&lt;&gt;"",E527&lt;&gt;"!!!"),"NEW","")))</f>
        <v> </v>
      </c>
      <c r="G527" s="24" t="str">
        <f>IF(OR(E527="",E527="!!!"),"",IF(OR(J527=0,AND(J527=1,K527=1),AND(J527=1,I527="SBJ"),AND(J527=1,I527=0)),"?IN_FOCUS",IF(J527&lt;=2,"?ACTIVATED",IF(J527&lt;&gt;"","?FAMILIAR",IF(F527="NEW",IF(ISNA(VLOOKUP(E527,#REF!,1,FALSE())),"?TYPE_IDENTIFIABLE","?REFERENTIAL"),"_")))))</f>
        <v> </v>
      </c>
      <c r="H527" s="25" t="str">
        <f>IF(J527&lt;&gt;1,"",IF(I527="SBJ","CB","?"))</f>
        <v> </v>
      </c>
      <c r="I527" s="26" t="str">
        <f>IF(OR(E527="",E527="!!!",F527="NEW"),"",INDEX(B526:B$2,-1+SUMPRODUCT(MAX(ROW(E526:E$2)*(E527=E526:E$2)))))</f>
        <v> </v>
      </c>
      <c r="J527" s="26" t="str">
        <f>IF(OR(E527="",E527="!!!",F527="NEW"),"",COUNTBLANK(OFFSET(A$1,,,SUMPRODUCT(MAX(ROW(E$2:E527)*(E527=E$2:E527)))))-COUNTBLANK(OFFSET(A$1,,,SUMPRODUCT(MAX(ROW(E$1:E526)*(E2=E$1:E526))))))</f>
        <v> </v>
      </c>
      <c r="K527" s="26" t="str">
        <f>IF(OR(E527="",E527="!!!",F527="NEW"),"",INDEX(J$1:J526,SUMPRODUCT(MAX(ROW(E$1:E526)*(E527=E$1:E526)))))</f>
        <v> </v>
      </c>
      <c r="L527" s="27"/>
    </row>
    <row r="528" spans="1:12">
      <c r="A528" s="20" t="s">
        <v>116</v>
      </c>
      <c r="E528" s="22">
        <f>IF(D528="?OLD","!!!","")</f>
        <v/>
      </c>
      <c r="F528" s="23" t="str">
        <f>IF(OR(E528="",E528="!!!"),"",IF(NOT(ISNA(VLOOKUP(E528,E$1:E527,1,FALSE()))),"OLD",IF(AND(E528&lt;&gt;"",E528&lt;&gt;"!!!"),"NEW","")))</f>
        <v> </v>
      </c>
      <c r="G528" s="24" t="str">
        <f>IF(OR(E528="",E528="!!!"),"",IF(OR(J528=0,AND(J528=1,K528=1),AND(J528=1,I528="SBJ"),AND(J528=1,I528=0)),"?IN_FOCUS",IF(J528&lt;=2,"?ACTIVATED",IF(J528&lt;&gt;"","?FAMILIAR",IF(F528="NEW",IF(ISNA(VLOOKUP(E528,#REF!,1,FALSE())),"?TYPE_IDENTIFIABLE","?REFERENTIAL"),"_")))))</f>
        <v> </v>
      </c>
      <c r="H528" s="25" t="str">
        <f>IF(J528&lt;&gt;1,"",IF(I528="SBJ","CB","?"))</f>
        <v> </v>
      </c>
      <c r="I528" s="26" t="str">
        <f>IF(OR(E528="",E528="!!!",F528="NEW"),"",INDEX(B527:B$2,-1+SUMPRODUCT(MAX(ROW(E527:E$2)*(E528=E527:E$2)))))</f>
        <v> </v>
      </c>
      <c r="J528" s="26" t="str">
        <f>IF(OR(E528="",E528="!!!",F528="NEW"),"",COUNTBLANK(OFFSET(A$1,,,SUMPRODUCT(MAX(ROW(E$2:E528)*(E528=E$2:E528)))))-COUNTBLANK(OFFSET(A$1,,,SUMPRODUCT(MAX(ROW(E$1:E527)*(E2=E$1:E527))))))</f>
        <v> </v>
      </c>
      <c r="K528" s="26" t="str">
        <f>IF(OR(E528="",E528="!!!",F528="NEW"),"",INDEX(J$1:J527,SUMPRODUCT(MAX(ROW(E$1:E527)*(E528=E$1:E527)))))</f>
        <v> </v>
      </c>
      <c r="L528" s="27"/>
    </row>
    <row r="529" spans="1:12">
      <c r="A529" s="20" t="s">
        <v>217</v>
      </c>
      <c r="B529" s="21" t="s">
        <v>407</v>
      </c>
      <c r="C529" s="21" t="s">
        <v>175</v>
      </c>
      <c r="D529" s="21" t="s">
        <v>106</v>
      </c>
      <c r="E529" s="22">
        <f>IF(D529="?OLD","!!!","")</f>
        <v/>
      </c>
      <c r="F529" s="23" t="str">
        <f>IF(OR(E529="",E529="!!!"),"",IF(NOT(ISNA(VLOOKUP(E529,E$1:E528,1,FALSE()))),"OLD",IF(AND(E529&lt;&gt;"",E529&lt;&gt;"!!!"),"NEW","")))</f>
        <v> </v>
      </c>
      <c r="G529" s="24" t="str">
        <f>IF(OR(E529="",E529="!!!"),"",IF(OR(J529=0,AND(J529=1,K529=1),AND(J529=1,I529="SBJ"),AND(J529=1,I529=0)),"?IN_FOCUS",IF(J529&lt;=2,"?ACTIVATED",IF(J529&lt;&gt;"","?FAMILIAR",IF(F529="NEW",IF(ISNA(VLOOKUP(E529,#REF!,1,FALSE())),"?TYPE_IDENTIFIABLE","?REFERENTIAL"),"_")))))</f>
        <v> </v>
      </c>
      <c r="H529" s="25" t="str">
        <f>IF(J529&lt;&gt;1,"",IF(I529="SBJ","CB","?"))</f>
        <v> </v>
      </c>
      <c r="I529" s="26" t="str">
        <f>IF(OR(E529="",E529="!!!",F529="NEW"),"",INDEX(B528:B$2,-1+SUMPRODUCT(MAX(ROW(E528:E$2)*(E529=E528:E$2)))))</f>
        <v> </v>
      </c>
      <c r="J529" s="26" t="str">
        <f>IF(OR(E529="",E529="!!!",F529="NEW"),"",COUNTBLANK(OFFSET(A$1,,,SUMPRODUCT(MAX(ROW(E$2:E529)*(E529=E$2:E529)))))-COUNTBLANK(OFFSET(A$1,,,SUMPRODUCT(MAX(ROW(E$1:E528)*(E2=E$1:E528))))))</f>
        <v> </v>
      </c>
      <c r="K529" s="26" t="str">
        <f>IF(OR(E529="",E529="!!!",F529="NEW"),"",INDEX(J$1:J528,SUMPRODUCT(MAX(ROW(E$1:E528)*(E529=E$1:E528)))))</f>
        <v> </v>
      </c>
      <c r="L529" s="27"/>
    </row>
    <row r="530" spans="1:12">
      <c r="A530" s="20" t="s">
        <v>415</v>
      </c>
      <c r="E530" s="22">
        <f>IF(D530="?OLD","!!!","")</f>
        <v/>
      </c>
      <c r="F530" s="23" t="str">
        <f>IF(OR(E530="",E530="!!!"),"",IF(NOT(ISNA(VLOOKUP(E530,E$1:E529,1,FALSE()))),"OLD",IF(AND(E530&lt;&gt;"",E530&lt;&gt;"!!!"),"NEW","")))</f>
        <v> </v>
      </c>
      <c r="G530" s="24" t="str">
        <f>IF(OR(E530="",E530="!!!"),"",IF(OR(J530=0,AND(J530=1,K530=1),AND(J530=1,I530="SBJ"),AND(J530=1,I530=0)),"?IN_FOCUS",IF(J530&lt;=2,"?ACTIVATED",IF(J530&lt;&gt;"","?FAMILIAR",IF(F530="NEW",IF(ISNA(VLOOKUP(E530,#REF!,1,FALSE())),"?TYPE_IDENTIFIABLE","?REFERENTIAL"),"_")))))</f>
        <v> </v>
      </c>
      <c r="H530" s="25" t="str">
        <f>IF(J530&lt;&gt;1,"",IF(I530="SBJ","CB","?"))</f>
        <v> </v>
      </c>
      <c r="I530" s="26" t="str">
        <f>IF(OR(E530="",E530="!!!",F530="NEW"),"",INDEX(B529:B$2,-1+SUMPRODUCT(MAX(ROW(E529:E$2)*(E530=E529:E$2)))))</f>
        <v> </v>
      </c>
      <c r="J530" s="26" t="str">
        <f>IF(OR(E530="",E530="!!!",F530="NEW"),"",COUNTBLANK(OFFSET(A$1,,,SUMPRODUCT(MAX(ROW(E$2:E530)*(E530=E$2:E530)))))-COUNTBLANK(OFFSET(A$1,,,SUMPRODUCT(MAX(ROW(E$1:E529)*(E2=E$1:E529))))))</f>
        <v> </v>
      </c>
      <c r="K530" s="26" t="str">
        <f>IF(OR(E530="",E530="!!!",F530="NEW"),"",INDEX(J$1:J529,SUMPRODUCT(MAX(ROW(E$1:E529)*(E530=E$1:E529)))))</f>
        <v> </v>
      </c>
      <c r="L530" s="27"/>
    </row>
    <row r="531" spans="1:12">
      <c r="A531" s="20" t="s">
        <v>416</v>
      </c>
      <c r="E531" s="22">
        <f>IF(D531="?OLD","!!!","")</f>
        <v/>
      </c>
      <c r="F531" s="23" t="str">
        <f>IF(OR(E531="",E531="!!!"),"",IF(NOT(ISNA(VLOOKUP(E531,E$1:E530,1,FALSE()))),"OLD",IF(AND(E531&lt;&gt;"",E531&lt;&gt;"!!!"),"NEW","")))</f>
        <v> </v>
      </c>
      <c r="G531" s="24" t="str">
        <f>IF(OR(E531="",E531="!!!"),"",IF(OR(J531=0,AND(J531=1,K531=1),AND(J531=1,I531="SBJ"),AND(J531=1,I531=0)),"?IN_FOCUS",IF(J531&lt;=2,"?ACTIVATED",IF(J531&lt;&gt;"","?FAMILIAR",IF(F531="NEW",IF(ISNA(VLOOKUP(E531,#REF!,1,FALSE())),"?TYPE_IDENTIFIABLE","?REFERENTIAL"),"_")))))</f>
        <v> </v>
      </c>
      <c r="H531" s="25" t="str">
        <f>IF(J531&lt;&gt;1,"",IF(I531="SBJ","CB","?"))</f>
        <v> </v>
      </c>
      <c r="I531" s="26" t="str">
        <f>IF(OR(E531="",E531="!!!",F531="NEW"),"",INDEX(B530:B$2,-1+SUMPRODUCT(MAX(ROW(E530:E$2)*(E531=E530:E$2)))))</f>
        <v> </v>
      </c>
      <c r="J531" s="26" t="str">
        <f>IF(OR(E531="",E531="!!!",F531="NEW"),"",COUNTBLANK(OFFSET(A$1,,,SUMPRODUCT(MAX(ROW(E$2:E531)*(E531=E$2:E531)))))-COUNTBLANK(OFFSET(A$1,,,SUMPRODUCT(MAX(ROW(E$1:E530)*(E2=E$1:E530))))))</f>
        <v> </v>
      </c>
      <c r="K531" s="26" t="str">
        <f>IF(OR(E531="",E531="!!!",F531="NEW"),"",INDEX(J$1:J530,SUMPRODUCT(MAX(ROW(E$1:E530)*(E531=E$1:E530)))))</f>
        <v> </v>
      </c>
      <c r="L531" s="27"/>
    </row>
    <row r="532" spans="1:12">
      <c r="A532" s="20" t="s">
        <v>81</v>
      </c>
      <c r="E532" s="22">
        <f>IF(D532="?OLD","!!!","")</f>
        <v/>
      </c>
      <c r="F532" s="23" t="str">
        <f>IF(OR(E532="",E532="!!!"),"",IF(NOT(ISNA(VLOOKUP(E532,E$1:E531,1,FALSE()))),"OLD",IF(AND(E532&lt;&gt;"",E532&lt;&gt;"!!!"),"NEW","")))</f>
        <v> </v>
      </c>
      <c r="G532" s="24" t="str">
        <f>IF(OR(E532="",E532="!!!"),"",IF(OR(J532=0,AND(J532=1,K532=1),AND(J532=1,I532="SBJ"),AND(J532=1,I532=0)),"?IN_FOCUS",IF(J532&lt;=2,"?ACTIVATED",IF(J532&lt;&gt;"","?FAMILIAR",IF(F532="NEW",IF(ISNA(VLOOKUP(E532,#REF!,1,FALSE())),"?TYPE_IDENTIFIABLE","?REFERENTIAL"),"_")))))</f>
        <v> </v>
      </c>
      <c r="H532" s="25" t="str">
        <f>IF(J532&lt;&gt;1,"",IF(I532="SBJ","CB","?"))</f>
        <v> </v>
      </c>
      <c r="I532" s="26" t="str">
        <f>IF(OR(E532="",E532="!!!",F532="NEW"),"",INDEX(B531:B$2,-1+SUMPRODUCT(MAX(ROW(E531:E$2)*(E532=E531:E$2)))))</f>
        <v> </v>
      </c>
      <c r="J532" s="26" t="str">
        <f>IF(OR(E532="",E532="!!!",F532="NEW"),"",COUNTBLANK(OFFSET(A$1,,,SUMPRODUCT(MAX(ROW(E$2:E532)*(E532=E$2:E532)))))-COUNTBLANK(OFFSET(A$1,,,SUMPRODUCT(MAX(ROW(E$1:E531)*(E2=E$1:E531))))))</f>
        <v> </v>
      </c>
      <c r="K532" s="26" t="str">
        <f>IF(OR(E532="",E532="!!!",F532="NEW"),"",INDEX(J$1:J531,SUMPRODUCT(MAX(ROW(E$1:E531)*(E532=E$1:E531)))))</f>
        <v> </v>
      </c>
      <c r="L532" s="27"/>
    </row>
    <row r="533" spans="1:12">
      <c r="A533" s="20" t="s">
        <v>280</v>
      </c>
      <c r="B533" s="21" t="s">
        <v>337</v>
      </c>
      <c r="C533" s="21" t="s">
        <v>158</v>
      </c>
      <c r="E533" s="22">
        <f>IF(D533="?OLD","!!!","")</f>
        <v/>
      </c>
      <c r="F533" s="23" t="str">
        <f>IF(OR(E533="",E533="!!!"),"",IF(NOT(ISNA(VLOOKUP(E533,E$1:E532,1,FALSE()))),"OLD",IF(AND(E533&lt;&gt;"",E533&lt;&gt;"!!!"),"NEW","")))</f>
        <v> </v>
      </c>
      <c r="G533" s="24" t="str">
        <f>IF(OR(E533="",E533="!!!"),"",IF(OR(J533=0,AND(J533=1,K533=1),AND(J533=1,I533="SBJ"),AND(J533=1,I533=0)),"?IN_FOCUS",IF(J533&lt;=2,"?ACTIVATED",IF(J533&lt;&gt;"","?FAMILIAR",IF(F533="NEW",IF(ISNA(VLOOKUP(E533,#REF!,1,FALSE())),"?TYPE_IDENTIFIABLE","?REFERENTIAL"),"_")))))</f>
        <v> </v>
      </c>
      <c r="H533" s="25" t="str">
        <f>IF(J533&lt;&gt;1,"",IF(I533="SBJ","CB","?"))</f>
        <v> </v>
      </c>
      <c r="I533" s="26" t="str">
        <f>IF(OR(E533="",E533="!!!",F533="NEW"),"",INDEX(B532:B$2,-1+SUMPRODUCT(MAX(ROW(E532:E$2)*(E533=E532:E$2)))))</f>
        <v> </v>
      </c>
      <c r="J533" s="26" t="str">
        <f>IF(OR(E533="",E533="!!!",F533="NEW"),"",COUNTBLANK(OFFSET(A$1,,,SUMPRODUCT(MAX(ROW(E$2:E533)*(E533=E$2:E533)))))-COUNTBLANK(OFFSET(A$1,,,SUMPRODUCT(MAX(ROW(E$1:E532)*(E2=E$1:E532))))))</f>
        <v> </v>
      </c>
      <c r="K533" s="26" t="str">
        <f>IF(OR(E533="",E533="!!!",F533="NEW"),"",INDEX(J$1:J532,SUMPRODUCT(MAX(ROW(E$1:E532)*(E533=E$1:E532)))))</f>
        <v> </v>
      </c>
      <c r="L533" s="27"/>
    </row>
    <row r="534" spans="1:12">
      <c r="A534" s="20" t="s">
        <v>167</v>
      </c>
      <c r="E534" s="22">
        <f>IF(D534="?OLD","!!!","")</f>
        <v/>
      </c>
      <c r="F534" s="23" t="str">
        <f>IF(OR(E534="",E534="!!!"),"",IF(NOT(ISNA(VLOOKUP(E534,E$1:E533,1,FALSE()))),"OLD",IF(AND(E534&lt;&gt;"",E534&lt;&gt;"!!!"),"NEW","")))</f>
        <v> </v>
      </c>
      <c r="G534" s="24" t="str">
        <f>IF(OR(E534="",E534="!!!"),"",IF(OR(J534=0,AND(J534=1,K534=1),AND(J534=1,I534="SBJ"),AND(J534=1,I534=0)),"?IN_FOCUS",IF(J534&lt;=2,"?ACTIVATED",IF(J534&lt;&gt;"","?FAMILIAR",IF(F534="NEW",IF(ISNA(VLOOKUP(E534,#REF!,1,FALSE())),"?TYPE_IDENTIFIABLE","?REFERENTIAL"),"_")))))</f>
        <v> </v>
      </c>
      <c r="H534" s="25" t="str">
        <f>IF(J534&lt;&gt;1,"",IF(I534="SBJ","CB","?"))</f>
        <v> </v>
      </c>
      <c r="I534" s="26" t="str">
        <f>IF(OR(E534="",E534="!!!",F534="NEW"),"",INDEX(B533:B$2,-1+SUMPRODUCT(MAX(ROW(E533:E$2)*(E534=E533:E$2)))))</f>
        <v> </v>
      </c>
      <c r="J534" s="26" t="str">
        <f>IF(OR(E534="",E534="!!!",F534="NEW"),"",COUNTBLANK(OFFSET(A$1,,,SUMPRODUCT(MAX(ROW(E$2:E534)*(E534=E$2:E534)))))-COUNTBLANK(OFFSET(A$1,,,SUMPRODUCT(MAX(ROW(E$1:E533)*(E2=E$1:E533))))))</f>
        <v> </v>
      </c>
      <c r="K534" s="26" t="str">
        <f>IF(OR(E534="",E534="!!!",F534="NEW"),"",INDEX(J$1:J533,SUMPRODUCT(MAX(ROW(E$1:E533)*(E534=E$1:E533)))))</f>
        <v> </v>
      </c>
      <c r="L534" s="27"/>
    </row>
    <row r="535" spans="1:12">
      <c r="A535" s="20" t="s">
        <v>138</v>
      </c>
      <c r="E535" s="22">
        <f>IF(D535="?OLD","!!!","")</f>
        <v/>
      </c>
      <c r="F535" s="23" t="str">
        <f>IF(OR(E535="",E535="!!!"),"",IF(NOT(ISNA(VLOOKUP(E535,E$1:E534,1,FALSE()))),"OLD",IF(AND(E535&lt;&gt;"",E535&lt;&gt;"!!!"),"NEW","")))</f>
        <v> </v>
      </c>
      <c r="G535" s="24" t="str">
        <f>IF(OR(E535="",E535="!!!"),"",IF(OR(J535=0,AND(J535=1,K535=1),AND(J535=1,I535="SBJ"),AND(J535=1,I535=0)),"?IN_FOCUS",IF(J535&lt;=2,"?ACTIVATED",IF(J535&lt;&gt;"","?FAMILIAR",IF(F535="NEW",IF(ISNA(VLOOKUP(E535,#REF!,1,FALSE())),"?TYPE_IDENTIFIABLE","?REFERENTIAL"),"_")))))</f>
        <v> </v>
      </c>
      <c r="H535" s="25" t="str">
        <f>IF(J535&lt;&gt;1,"",IF(I535="SBJ","CB","?"))</f>
        <v> </v>
      </c>
      <c r="I535" s="26" t="str">
        <f>IF(OR(E535="",E535="!!!",F535="NEW"),"",INDEX(B534:B$2,-1+SUMPRODUCT(MAX(ROW(E534:E$2)*(E535=E534:E$2)))))</f>
        <v> </v>
      </c>
      <c r="J535" s="26" t="str">
        <f>IF(OR(E535="",E535="!!!",F535="NEW"),"",COUNTBLANK(OFFSET(A$1,,,SUMPRODUCT(MAX(ROW(E$2:E535)*(E535=E$2:E535)))))-COUNTBLANK(OFFSET(A$1,,,SUMPRODUCT(MAX(ROW(E$1:E534)*(E2=E$1:E534))))))</f>
        <v> </v>
      </c>
      <c r="K535" s="26" t="str">
        <f>IF(OR(E535="",E535="!!!",F535="NEW"),"",INDEX(J$1:J534,SUMPRODUCT(MAX(ROW(E$1:E534)*(E535=E$1:E534)))))</f>
        <v> </v>
      </c>
      <c r="L535" s="27"/>
    </row>
    <row r="536" spans="1:12">
      <c r="A536" s="20" t="s">
        <v>114</v>
      </c>
      <c r="E536" s="22">
        <f>IF(D536="?OLD","!!!","")</f>
        <v/>
      </c>
      <c r="F536" s="23" t="str">
        <f>IF(OR(E536="",E536="!!!"),"",IF(NOT(ISNA(VLOOKUP(E536,E$1:E535,1,FALSE()))),"OLD",IF(AND(E536&lt;&gt;"",E536&lt;&gt;"!!!"),"NEW","")))</f>
        <v> </v>
      </c>
      <c r="G536" s="24" t="str">
        <f>IF(OR(E536="",E536="!!!"),"",IF(OR(J536=0,AND(J536=1,K536=1),AND(J536=1,I536="SBJ"),AND(J536=1,I536=0)),"?IN_FOCUS",IF(J536&lt;=2,"?ACTIVATED",IF(J536&lt;&gt;"","?FAMILIAR",IF(F536="NEW",IF(ISNA(VLOOKUP(E536,#REF!,1,FALSE())),"?TYPE_IDENTIFIABLE","?REFERENTIAL"),"_")))))</f>
        <v> </v>
      </c>
      <c r="H536" s="25" t="str">
        <f>IF(J536&lt;&gt;1,"",IF(I536="SBJ","CB","?"))</f>
        <v> </v>
      </c>
      <c r="I536" s="26" t="str">
        <f>IF(OR(E536="",E536="!!!",F536="NEW"),"",INDEX(B535:B$2,-1+SUMPRODUCT(MAX(ROW(E535:E$2)*(E536=E535:E$2)))))</f>
        <v> </v>
      </c>
      <c r="J536" s="26" t="str">
        <f>IF(OR(E536="",E536="!!!",F536="NEW"),"",COUNTBLANK(OFFSET(A$1,,,SUMPRODUCT(MAX(ROW(E$2:E536)*(E536=E$2:E536)))))-COUNTBLANK(OFFSET(A$1,,,SUMPRODUCT(MAX(ROW(E$1:E535)*(E2=E$1:E535))))))</f>
        <v> </v>
      </c>
      <c r="K536" s="26" t="str">
        <f>IF(OR(E536="",E536="!!!",F536="NEW"),"",INDEX(J$1:J535,SUMPRODUCT(MAX(ROW(E$1:E535)*(E536=E$1:E535)))))</f>
        <v> </v>
      </c>
      <c r="L536" s="27"/>
    </row>
    <row r="537" spans="1:12">
      <c r="A537" s="20" t="s">
        <v>417</v>
      </c>
      <c r="E537" s="22">
        <f>IF(D537="?OLD","!!!","")</f>
        <v/>
      </c>
      <c r="F537" s="23" t="str">
        <f>IF(OR(E537="",E537="!!!"),"",IF(NOT(ISNA(VLOOKUP(E537,E$1:E536,1,FALSE()))),"OLD",IF(AND(E537&lt;&gt;"",E537&lt;&gt;"!!!"),"NEW","")))</f>
        <v> </v>
      </c>
      <c r="G537" s="24" t="str">
        <f>IF(OR(E537="",E537="!!!"),"",IF(OR(J537=0,AND(J537=1,K537=1),AND(J537=1,I537="SBJ"),AND(J537=1,I537=0)),"?IN_FOCUS",IF(J537&lt;=2,"?ACTIVATED",IF(J537&lt;&gt;"","?FAMILIAR",IF(F537="NEW",IF(ISNA(VLOOKUP(E537,#REF!,1,FALSE())),"?TYPE_IDENTIFIABLE","?REFERENTIAL"),"_")))))</f>
        <v> </v>
      </c>
      <c r="H537" s="25" t="str">
        <f>IF(J537&lt;&gt;1,"",IF(I537="SBJ","CB","?"))</f>
        <v> </v>
      </c>
      <c r="I537" s="26" t="str">
        <f>IF(OR(E537="",E537="!!!",F537="NEW"),"",INDEX(B536:B$2,-1+SUMPRODUCT(MAX(ROW(E536:E$2)*(E537=E536:E$2)))))</f>
        <v> </v>
      </c>
      <c r="J537" s="26" t="str">
        <f>IF(OR(E537="",E537="!!!",F537="NEW"),"",COUNTBLANK(OFFSET(A$1,,,SUMPRODUCT(MAX(ROW(E$2:E537)*(E537=E$2:E537)))))-COUNTBLANK(OFFSET(A$1,,,SUMPRODUCT(MAX(ROW(E$1:E536)*(E2=E$1:E536))))))</f>
        <v> </v>
      </c>
      <c r="K537" s="26" t="str">
        <f>IF(OR(E537="",E537="!!!",F537="NEW"),"",INDEX(J$1:J536,SUMPRODUCT(MAX(ROW(E$1:E536)*(E537=E$1:E536)))))</f>
        <v> </v>
      </c>
      <c r="L537" s="27"/>
    </row>
    <row r="538" spans="1:12">
      <c r="A538" s="20" t="s">
        <v>418</v>
      </c>
      <c r="E538" s="22">
        <f>IF(D538="?OLD","!!!","")</f>
        <v/>
      </c>
      <c r="F538" s="23" t="str">
        <f>IF(OR(E538="",E538="!!!"),"",IF(NOT(ISNA(VLOOKUP(E538,E$1:E537,1,FALSE()))),"OLD",IF(AND(E538&lt;&gt;"",E538&lt;&gt;"!!!"),"NEW","")))</f>
        <v> </v>
      </c>
      <c r="G538" s="24" t="str">
        <f>IF(OR(E538="",E538="!!!"),"",IF(OR(J538=0,AND(J538=1,K538=1),AND(J538=1,I538="SBJ"),AND(J538=1,I538=0)),"?IN_FOCUS",IF(J538&lt;=2,"?ACTIVATED",IF(J538&lt;&gt;"","?FAMILIAR",IF(F538="NEW",IF(ISNA(VLOOKUP(E538,#REF!,1,FALSE())),"?TYPE_IDENTIFIABLE","?REFERENTIAL"),"_")))))</f>
        <v> </v>
      </c>
      <c r="H538" s="25" t="str">
        <f>IF(J538&lt;&gt;1,"",IF(I538="SBJ","CB","?"))</f>
        <v> </v>
      </c>
      <c r="I538" s="26" t="str">
        <f>IF(OR(E538="",E538="!!!",F538="NEW"),"",INDEX(B537:B$2,-1+SUMPRODUCT(MAX(ROW(E537:E$2)*(E538=E537:E$2)))))</f>
        <v> </v>
      </c>
      <c r="J538" s="26" t="str">
        <f>IF(OR(E538="",E538="!!!",F538="NEW"),"",COUNTBLANK(OFFSET(A$1,,,SUMPRODUCT(MAX(ROW(E$2:E538)*(E538=E$2:E538)))))-COUNTBLANK(OFFSET(A$1,,,SUMPRODUCT(MAX(ROW(E$1:E537)*(E2=E$1:E537))))))</f>
        <v> </v>
      </c>
      <c r="K538" s="26" t="str">
        <f>IF(OR(E538="",E538="!!!",F538="NEW"),"",INDEX(J$1:J537,SUMPRODUCT(MAX(ROW(E$1:E537)*(E538=E$1:E537)))))</f>
        <v> </v>
      </c>
      <c r="L538" s="27"/>
    </row>
    <row r="539" spans="1:12">
      <c r="A539" s="20" t="s">
        <v>244</v>
      </c>
      <c r="B539" s="21" t="s">
        <v>187</v>
      </c>
      <c r="C539" s="21" t="s">
        <v>130</v>
      </c>
      <c r="E539" s="22">
        <f>IF(D539="?OLD","!!!","")</f>
        <v/>
      </c>
      <c r="F539" s="23" t="str">
        <f>IF(OR(E539="",E539="!!!"),"",IF(NOT(ISNA(VLOOKUP(E539,E$1:E538,1,FALSE()))),"OLD",IF(AND(E539&lt;&gt;"",E539&lt;&gt;"!!!"),"NEW","")))</f>
        <v> </v>
      </c>
      <c r="G539" s="24" t="str">
        <f>IF(OR(E539="",E539="!!!"),"",IF(OR(J539=0,AND(J539=1,K539=1),AND(J539=1,I539="SBJ"),AND(J539=1,I539=0)),"?IN_FOCUS",IF(J539&lt;=2,"?ACTIVATED",IF(J539&lt;&gt;"","?FAMILIAR",IF(F539="NEW",IF(ISNA(VLOOKUP(E539,#REF!,1,FALSE())),"?TYPE_IDENTIFIABLE","?REFERENTIAL"),"_")))))</f>
        <v> </v>
      </c>
      <c r="H539" s="25" t="str">
        <f>IF(J539&lt;&gt;1,"",IF(I539="SBJ","CB","?"))</f>
        <v> </v>
      </c>
      <c r="I539" s="26" t="str">
        <f>IF(OR(E539="",E539="!!!",F539="NEW"),"",INDEX(B538:B$2,-1+SUMPRODUCT(MAX(ROW(E538:E$2)*(E539=E538:E$2)))))</f>
        <v> </v>
      </c>
      <c r="J539" s="26" t="str">
        <f>IF(OR(E539="",E539="!!!",F539="NEW"),"",COUNTBLANK(OFFSET(A$1,,,SUMPRODUCT(MAX(ROW(E$2:E539)*(E539=E$2:E539)))))-COUNTBLANK(OFFSET(A$1,,,SUMPRODUCT(MAX(ROW(E$1:E538)*(E2=E$1:E538))))))</f>
        <v> </v>
      </c>
      <c r="K539" s="26" t="str">
        <f>IF(OR(E539="",E539="!!!",F539="NEW"),"",INDEX(J$1:J538,SUMPRODUCT(MAX(ROW(E$1:E538)*(E539=E$1:E538)))))</f>
        <v> </v>
      </c>
      <c r="L539" s="27"/>
    </row>
    <row r="540" spans="1:12">
      <c r="A540" s="20" t="s">
        <v>419</v>
      </c>
      <c r="E540" s="22">
        <f>IF(D540="?OLD","!!!","")</f>
        <v/>
      </c>
      <c r="F540" s="23" t="str">
        <f>IF(OR(E540="",E540="!!!"),"",IF(NOT(ISNA(VLOOKUP(E540,E$1:E539,1,FALSE()))),"OLD",IF(AND(E540&lt;&gt;"",E540&lt;&gt;"!!!"),"NEW","")))</f>
        <v> </v>
      </c>
      <c r="G540" s="24" t="str">
        <f>IF(OR(E540="",E540="!!!"),"",IF(OR(J540=0,AND(J540=1,K540=1),AND(J540=1,I540="SBJ"),AND(J540=1,I540=0)),"?IN_FOCUS",IF(J540&lt;=2,"?ACTIVATED",IF(J540&lt;&gt;"","?FAMILIAR",IF(F540="NEW",IF(ISNA(VLOOKUP(E540,#REF!,1,FALSE())),"?TYPE_IDENTIFIABLE","?REFERENTIAL"),"_")))))</f>
        <v> </v>
      </c>
      <c r="H540" s="25" t="str">
        <f>IF(J540&lt;&gt;1,"",IF(I540="SBJ","CB","?"))</f>
        <v> </v>
      </c>
      <c r="I540" s="26" t="str">
        <f>IF(OR(E540="",E540="!!!",F540="NEW"),"",INDEX(B539:B$2,-1+SUMPRODUCT(MAX(ROW(E539:E$2)*(E540=E539:E$2)))))</f>
        <v> </v>
      </c>
      <c r="J540" s="26" t="str">
        <f>IF(OR(E540="",E540="!!!",F540="NEW"),"",COUNTBLANK(OFFSET(A$1,,,SUMPRODUCT(MAX(ROW(E$2:E540)*(E540=E$2:E540)))))-COUNTBLANK(OFFSET(A$1,,,SUMPRODUCT(MAX(ROW(E$1:E539)*(E2=E$1:E539))))))</f>
        <v> </v>
      </c>
      <c r="K540" s="26" t="str">
        <f>IF(OR(E540="",E540="!!!",F540="NEW"),"",INDEX(J$1:J539,SUMPRODUCT(MAX(ROW(E$1:E539)*(E540=E$1:E539)))))</f>
        <v> </v>
      </c>
      <c r="L540" s="27"/>
    </row>
    <row r="541" spans="1:12">
      <c r="A541" s="20" t="s">
        <v>410</v>
      </c>
      <c r="E541" s="22">
        <f>IF(D541="?OLD","!!!","")</f>
        <v/>
      </c>
      <c r="F541" s="23" t="str">
        <f>IF(OR(E541="",E541="!!!"),"",IF(NOT(ISNA(VLOOKUP(E541,E$1:E540,1,FALSE()))),"OLD",IF(AND(E541&lt;&gt;"",E541&lt;&gt;"!!!"),"NEW","")))</f>
        <v> </v>
      </c>
      <c r="G541" s="24" t="str">
        <f>IF(OR(E541="",E541="!!!"),"",IF(OR(J541=0,AND(J541=1,K541=1),AND(J541=1,I541="SBJ"),AND(J541=1,I541=0)),"?IN_FOCUS",IF(J541&lt;=2,"?ACTIVATED",IF(J541&lt;&gt;"","?FAMILIAR",IF(F541="NEW",IF(ISNA(VLOOKUP(E541,#REF!,1,FALSE())),"?TYPE_IDENTIFIABLE","?REFERENTIAL"),"_")))))</f>
        <v> </v>
      </c>
      <c r="H541" s="25" t="str">
        <f>IF(J541&lt;&gt;1,"",IF(I541="SBJ","CB","?"))</f>
        <v> </v>
      </c>
      <c r="I541" s="26" t="str">
        <f>IF(OR(E541="",E541="!!!",F541="NEW"),"",INDEX(B540:B$2,-1+SUMPRODUCT(MAX(ROW(E540:E$2)*(E541=E540:E$2)))))</f>
        <v> </v>
      </c>
      <c r="J541" s="26" t="str">
        <f>IF(OR(E541="",E541="!!!",F541="NEW"),"",COUNTBLANK(OFFSET(A$1,,,SUMPRODUCT(MAX(ROW(E$2:E541)*(E541=E$2:E541)))))-COUNTBLANK(OFFSET(A$1,,,SUMPRODUCT(MAX(ROW(E$1:E540)*(E2=E$1:E540))))))</f>
        <v> </v>
      </c>
      <c r="K541" s="26" t="str">
        <f>IF(OR(E541="",E541="!!!",F541="NEW"),"",INDEX(J$1:J540,SUMPRODUCT(MAX(ROW(E$1:E540)*(E541=E$1:E540)))))</f>
        <v> </v>
      </c>
      <c r="L541" s="27"/>
    </row>
    <row r="542" spans="1:12">
      <c r="A542" s="20" t="s">
        <v>116</v>
      </c>
      <c r="E542" s="22">
        <f>IF(D542="?OLD","!!!","")</f>
        <v/>
      </c>
      <c r="F542" s="23" t="str">
        <f>IF(OR(E542="",E542="!!!"),"",IF(NOT(ISNA(VLOOKUP(E542,E$1:E541,1,FALSE()))),"OLD",IF(AND(E542&lt;&gt;"",E542&lt;&gt;"!!!"),"NEW","")))</f>
        <v> </v>
      </c>
      <c r="G542" s="24" t="str">
        <f>IF(OR(E542="",E542="!!!"),"",IF(OR(J542=0,AND(J542=1,K542=1),AND(J542=1,I542="SBJ"),AND(J542=1,I542=0)),"?IN_FOCUS",IF(J542&lt;=2,"?ACTIVATED",IF(J542&lt;&gt;"","?FAMILIAR",IF(F542="NEW",IF(ISNA(VLOOKUP(E542,#REF!,1,FALSE())),"?TYPE_IDENTIFIABLE","?REFERENTIAL"),"_")))))</f>
        <v> </v>
      </c>
      <c r="H542" s="25" t="str">
        <f>IF(J542&lt;&gt;1,"",IF(I542="SBJ","CB","?"))</f>
        <v> </v>
      </c>
      <c r="I542" s="26" t="str">
        <f>IF(OR(E542="",E542="!!!",F542="NEW"),"",INDEX(B541:B$2,-1+SUMPRODUCT(MAX(ROW(E541:E$2)*(E542=E541:E$2)))))</f>
        <v> </v>
      </c>
      <c r="J542" s="26" t="str">
        <f>IF(OR(E542="",E542="!!!",F542="NEW"),"",COUNTBLANK(OFFSET(A$1,,,SUMPRODUCT(MAX(ROW(E$2:E542)*(E542=E$2:E542)))))-COUNTBLANK(OFFSET(A$1,,,SUMPRODUCT(MAX(ROW(E$1:E541)*(E2=E$1:E541))))))</f>
        <v> </v>
      </c>
      <c r="K542" s="26" t="str">
        <f>IF(OR(E542="",E542="!!!",F542="NEW"),"",INDEX(J$1:J541,SUMPRODUCT(MAX(ROW(E$1:E541)*(E542=E$1:E541)))))</f>
        <v> </v>
      </c>
      <c r="L542" s="27"/>
    </row>
    <row r="543" spans="1:12">
      <c r="A543" s="20" t="s">
        <v>420</v>
      </c>
      <c r="B543" s="21" t="s">
        <v>139</v>
      </c>
      <c r="C543" s="21" t="s">
        <v>130</v>
      </c>
      <c r="E543" s="22">
        <f>IF(D543="?OLD","!!!","")</f>
        <v/>
      </c>
      <c r="F543" s="23" t="str">
        <f>IF(OR(E543="",E543="!!!"),"",IF(NOT(ISNA(VLOOKUP(E543,E$1:E542,1,FALSE()))),"OLD",IF(AND(E543&lt;&gt;"",E543&lt;&gt;"!!!"),"NEW","")))</f>
        <v> </v>
      </c>
      <c r="G543" s="24" t="str">
        <f>IF(OR(E543="",E543="!!!"),"",IF(OR(J543=0,AND(J543=1,K543=1),AND(J543=1,I543="SBJ"),AND(J543=1,I543=0)),"?IN_FOCUS",IF(J543&lt;=2,"?ACTIVATED",IF(J543&lt;&gt;"","?FAMILIAR",IF(F543="NEW",IF(ISNA(VLOOKUP(E543,#REF!,1,FALSE())),"?TYPE_IDENTIFIABLE","?REFERENTIAL"),"_")))))</f>
        <v> </v>
      </c>
      <c r="H543" s="25" t="str">
        <f>IF(J543&lt;&gt;1,"",IF(I543="SBJ","CB","?"))</f>
        <v> </v>
      </c>
      <c r="I543" s="26" t="str">
        <f>IF(OR(E543="",E543="!!!",F543="NEW"),"",INDEX(B542:B$2,-1+SUMPRODUCT(MAX(ROW(E542:E$2)*(E543=E542:E$2)))))</f>
        <v> </v>
      </c>
      <c r="J543" s="26" t="str">
        <f>IF(OR(E543="",E543="!!!",F543="NEW"),"",COUNTBLANK(OFFSET(A$1,,,SUMPRODUCT(MAX(ROW(E$2:E543)*(E543=E$2:E543)))))-COUNTBLANK(OFFSET(A$1,,,SUMPRODUCT(MAX(ROW(E$1:E542)*(E2=E$1:E542))))))</f>
        <v> </v>
      </c>
      <c r="K543" s="26" t="str">
        <f>IF(OR(E543="",E543="!!!",F543="NEW"),"",INDEX(J$1:J542,SUMPRODUCT(MAX(ROW(E$1:E542)*(E543=E$1:E542)))))</f>
        <v> </v>
      </c>
      <c r="L543" s="27"/>
    </row>
    <row r="544" spans="1:12">
      <c r="A544" s="20" t="s">
        <v>416</v>
      </c>
      <c r="E544" s="22">
        <f>IF(D544="?OLD","!!!","")</f>
        <v/>
      </c>
      <c r="F544" s="23" t="str">
        <f>IF(OR(E544="",E544="!!!"),"",IF(NOT(ISNA(VLOOKUP(E544,E$1:E543,1,FALSE()))),"OLD",IF(AND(E544&lt;&gt;"",E544&lt;&gt;"!!!"),"NEW","")))</f>
        <v> </v>
      </c>
      <c r="G544" s="24" t="str">
        <f>IF(OR(E544="",E544="!!!"),"",IF(OR(J544=0,AND(J544=1,K544=1),AND(J544=1,I544="SBJ"),AND(J544=1,I544=0)),"?IN_FOCUS",IF(J544&lt;=2,"?ACTIVATED",IF(J544&lt;&gt;"","?FAMILIAR",IF(F544="NEW",IF(ISNA(VLOOKUP(E544,#REF!,1,FALSE())),"?TYPE_IDENTIFIABLE","?REFERENTIAL"),"_")))))</f>
        <v> </v>
      </c>
      <c r="H544" s="25" t="str">
        <f>IF(J544&lt;&gt;1,"",IF(I544="SBJ","CB","?"))</f>
        <v> </v>
      </c>
      <c r="I544" s="26" t="str">
        <f>IF(OR(E544="",E544="!!!",F544="NEW"),"",INDEX(B543:B$2,-1+SUMPRODUCT(MAX(ROW(E543:E$2)*(E544=E543:E$2)))))</f>
        <v> </v>
      </c>
      <c r="J544" s="26" t="str">
        <f>IF(OR(E544="",E544="!!!",F544="NEW"),"",COUNTBLANK(OFFSET(A$1,,,SUMPRODUCT(MAX(ROW(E$2:E544)*(E544=E$2:E544)))))-COUNTBLANK(OFFSET(A$1,,,SUMPRODUCT(MAX(ROW(E$1:E543)*(E2=E$1:E543))))))</f>
        <v> </v>
      </c>
      <c r="K544" s="26" t="str">
        <f>IF(OR(E544="",E544="!!!",F544="NEW"),"",INDEX(J$1:J543,SUMPRODUCT(MAX(ROW(E$1:E543)*(E544=E$1:E543)))))</f>
        <v> </v>
      </c>
      <c r="L544" s="27"/>
    </row>
    <row r="545" spans="1:12">
      <c r="A545" s="20" t="s">
        <v>421</v>
      </c>
      <c r="E545" s="22">
        <f>IF(D545="?OLD","!!!","")</f>
        <v/>
      </c>
      <c r="F545" s="23" t="str">
        <f>IF(OR(E545="",E545="!!!"),"",IF(NOT(ISNA(VLOOKUP(E545,E$1:E544,1,FALSE()))),"OLD",IF(AND(E545&lt;&gt;"",E545&lt;&gt;"!!!"),"NEW","")))</f>
        <v> </v>
      </c>
      <c r="G545" s="24" t="str">
        <f>IF(OR(E545="",E545="!!!"),"",IF(OR(J545=0,AND(J545=1,K545=1),AND(J545=1,I545="SBJ"),AND(J545=1,I545=0)),"?IN_FOCUS",IF(J545&lt;=2,"?ACTIVATED",IF(J545&lt;&gt;"","?FAMILIAR",IF(F545="NEW",IF(ISNA(VLOOKUP(E545,#REF!,1,FALSE())),"?TYPE_IDENTIFIABLE","?REFERENTIAL"),"_")))))</f>
        <v> </v>
      </c>
      <c r="H545" s="25" t="str">
        <f>IF(J545&lt;&gt;1,"",IF(I545="SBJ","CB","?"))</f>
        <v> </v>
      </c>
      <c r="I545" s="26" t="str">
        <f>IF(OR(E545="",E545="!!!",F545="NEW"),"",INDEX(B544:B$2,-1+SUMPRODUCT(MAX(ROW(E544:E$2)*(E545=E544:E$2)))))</f>
        <v> </v>
      </c>
      <c r="J545" s="26" t="str">
        <f>IF(OR(E545="",E545="!!!",F545="NEW"),"",COUNTBLANK(OFFSET(A$1,,,SUMPRODUCT(MAX(ROW(E$2:E545)*(E545=E$2:E545)))))-COUNTBLANK(OFFSET(A$1,,,SUMPRODUCT(MAX(ROW(E$1:E544)*(E2=E$1:E544))))))</f>
        <v> </v>
      </c>
      <c r="K545" s="26" t="str">
        <f>IF(OR(E545="",E545="!!!",F545="NEW"),"",INDEX(J$1:J544,SUMPRODUCT(MAX(ROW(E$1:E544)*(E545=E$1:E544)))))</f>
        <v> </v>
      </c>
      <c r="L545" s="27"/>
    </row>
    <row r="546" spans="1:12">
      <c r="A546" s="20" t="s">
        <v>422</v>
      </c>
      <c r="E546" s="22">
        <f>IF(D546="?OLD","!!!","")</f>
        <v/>
      </c>
      <c r="F546" s="23" t="str">
        <f>IF(OR(E546="",E546="!!!"),"",IF(NOT(ISNA(VLOOKUP(E546,E$1:E545,1,FALSE()))),"OLD",IF(AND(E546&lt;&gt;"",E546&lt;&gt;"!!!"),"NEW","")))</f>
        <v> </v>
      </c>
      <c r="G546" s="24" t="str">
        <f>IF(OR(E546="",E546="!!!"),"",IF(OR(J546=0,AND(J546=1,K546=1),AND(J546=1,I546="SBJ"),AND(J546=1,I546=0)),"?IN_FOCUS",IF(J546&lt;=2,"?ACTIVATED",IF(J546&lt;&gt;"","?FAMILIAR",IF(F546="NEW",IF(ISNA(VLOOKUP(E546,#REF!,1,FALSE())),"?TYPE_IDENTIFIABLE","?REFERENTIAL"),"_")))))</f>
        <v> </v>
      </c>
      <c r="H546" s="25" t="str">
        <f>IF(J546&lt;&gt;1,"",IF(I546="SBJ","CB","?"))</f>
        <v> </v>
      </c>
      <c r="I546" s="26" t="str">
        <f>IF(OR(E546="",E546="!!!",F546="NEW"),"",INDEX(B545:B$2,-1+SUMPRODUCT(MAX(ROW(E545:E$2)*(E546=E545:E$2)))))</f>
        <v> </v>
      </c>
      <c r="J546" s="26" t="str">
        <f>IF(OR(E546="",E546="!!!",F546="NEW"),"",COUNTBLANK(OFFSET(A$1,,,SUMPRODUCT(MAX(ROW(E$2:E546)*(E546=E$2:E546)))))-COUNTBLANK(OFFSET(A$1,,,SUMPRODUCT(MAX(ROW(E$1:E545)*(E2=E$1:E545))))))</f>
        <v> </v>
      </c>
      <c r="K546" s="26" t="str">
        <f>IF(OR(E546="",E546="!!!",F546="NEW"),"",INDEX(J$1:J545,SUMPRODUCT(MAX(ROW(E$1:E545)*(E546=E$1:E545)))))</f>
        <v> </v>
      </c>
      <c r="L546" s="27"/>
    </row>
    <row r="547" spans="1:12">
      <c r="A547" s="20" t="s">
        <v>244</v>
      </c>
      <c r="B547" s="21" t="s">
        <v>110</v>
      </c>
      <c r="C547" s="21" t="s">
        <v>245</v>
      </c>
      <c r="E547" s="22">
        <f>IF(D547="?OLD","!!!","")</f>
        <v/>
      </c>
      <c r="F547" s="23" t="str">
        <f>IF(OR(E547="",E547="!!!"),"",IF(NOT(ISNA(VLOOKUP(E547,E$1:E546,1,FALSE()))),"OLD",IF(AND(E547&lt;&gt;"",E547&lt;&gt;"!!!"),"NEW","")))</f>
        <v> </v>
      </c>
      <c r="G547" s="24" t="str">
        <f>IF(OR(E547="",E547="!!!"),"",IF(OR(J547=0,AND(J547=1,K547=1),AND(J547=1,I547="SBJ"),AND(J547=1,I547=0)),"?IN_FOCUS",IF(J547&lt;=2,"?ACTIVATED",IF(J547&lt;&gt;"","?FAMILIAR",IF(F547="NEW",IF(ISNA(VLOOKUP(E547,#REF!,1,FALSE())),"?TYPE_IDENTIFIABLE","?REFERENTIAL"),"_")))))</f>
        <v> </v>
      </c>
      <c r="H547" s="25" t="str">
        <f>IF(J547&lt;&gt;1,"",IF(I547="SBJ","CB","?"))</f>
        <v> </v>
      </c>
      <c r="I547" s="26" t="str">
        <f>IF(OR(E547="",E547="!!!",F547="NEW"),"",INDEX(B546:B$2,-1+SUMPRODUCT(MAX(ROW(E546:E$2)*(E547=E546:E$2)))))</f>
        <v> </v>
      </c>
      <c r="J547" s="26" t="str">
        <f>IF(OR(E547="",E547="!!!",F547="NEW"),"",COUNTBLANK(OFFSET(A$1,,,SUMPRODUCT(MAX(ROW(E$2:E547)*(E547=E$2:E547)))))-COUNTBLANK(OFFSET(A$1,,,SUMPRODUCT(MAX(ROW(E$1:E546)*(E2=E$1:E546))))))</f>
        <v> </v>
      </c>
      <c r="K547" s="26" t="str">
        <f>IF(OR(E547="",E547="!!!",F547="NEW"),"",INDEX(J$1:J546,SUMPRODUCT(MAX(ROW(E$1:E546)*(E547=E$1:E546)))))</f>
        <v> </v>
      </c>
      <c r="L547" s="27"/>
    </row>
    <row r="548" spans="1:12">
      <c r="A548" s="20" t="s">
        <v>401</v>
      </c>
      <c r="E548" s="22">
        <f>IF(D548="?OLD","!!!","")</f>
        <v/>
      </c>
      <c r="F548" s="23" t="str">
        <f>IF(OR(E548="",E548="!!!"),"",IF(NOT(ISNA(VLOOKUP(E548,E$1:E547,1,FALSE()))),"OLD",IF(AND(E548&lt;&gt;"",E548&lt;&gt;"!!!"),"NEW","")))</f>
        <v> </v>
      </c>
      <c r="G548" s="24" t="str">
        <f>IF(OR(E548="",E548="!!!"),"",IF(OR(J548=0,AND(J548=1,K548=1),AND(J548=1,I548="SBJ"),AND(J548=1,I548=0)),"?IN_FOCUS",IF(J548&lt;=2,"?ACTIVATED",IF(J548&lt;&gt;"","?FAMILIAR",IF(F548="NEW",IF(ISNA(VLOOKUP(E548,#REF!,1,FALSE())),"?TYPE_IDENTIFIABLE","?REFERENTIAL"),"_")))))</f>
        <v> </v>
      </c>
      <c r="H548" s="25" t="str">
        <f>IF(J548&lt;&gt;1,"",IF(I548="SBJ","CB","?"))</f>
        <v> </v>
      </c>
      <c r="I548" s="26" t="str">
        <f>IF(OR(E548="",E548="!!!",F548="NEW"),"",INDEX(B547:B$2,-1+SUMPRODUCT(MAX(ROW(E547:E$2)*(E548=E547:E$2)))))</f>
        <v> </v>
      </c>
      <c r="J548" s="26" t="str">
        <f>IF(OR(E548="",E548="!!!",F548="NEW"),"",COUNTBLANK(OFFSET(A$1,,,SUMPRODUCT(MAX(ROW(E$2:E548)*(E548=E$2:E548)))))-COUNTBLANK(OFFSET(A$1,,,SUMPRODUCT(MAX(ROW(E$1:E547)*(E2=E$1:E547))))))</f>
        <v> </v>
      </c>
      <c r="K548" s="26" t="str">
        <f>IF(OR(E548="",E548="!!!",F548="NEW"),"",INDEX(J$1:J547,SUMPRODUCT(MAX(ROW(E$1:E547)*(E548=E$1:E547)))))</f>
        <v> </v>
      </c>
      <c r="L548" s="27"/>
    </row>
    <row r="549" spans="1:12">
      <c r="A549" s="20" t="s">
        <v>341</v>
      </c>
      <c r="E549" s="22">
        <f>IF(D549="?OLD","!!!","")</f>
        <v/>
      </c>
      <c r="F549" s="23" t="str">
        <f>IF(OR(E549="",E549="!!!"),"",IF(NOT(ISNA(VLOOKUP(E549,E$1:E548,1,FALSE()))),"OLD",IF(AND(E549&lt;&gt;"",E549&lt;&gt;"!!!"),"NEW","")))</f>
        <v> </v>
      </c>
      <c r="G549" s="24" t="str">
        <f>IF(OR(E549="",E549="!!!"),"",IF(OR(J549=0,AND(J549=1,K549=1),AND(J549=1,I549="SBJ"),AND(J549=1,I549=0)),"?IN_FOCUS",IF(J549&lt;=2,"?ACTIVATED",IF(J549&lt;&gt;"","?FAMILIAR",IF(F549="NEW",IF(ISNA(VLOOKUP(E549,#REF!,1,FALSE())),"?TYPE_IDENTIFIABLE","?REFERENTIAL"),"_")))))</f>
        <v> </v>
      </c>
      <c r="H549" s="25" t="str">
        <f>IF(J549&lt;&gt;1,"",IF(I549="SBJ","CB","?"))</f>
        <v> </v>
      </c>
      <c r="I549" s="26" t="str">
        <f>IF(OR(E549="",E549="!!!",F549="NEW"),"",INDEX(B548:B$2,-1+SUMPRODUCT(MAX(ROW(E548:E$2)*(E549=E548:E$2)))))</f>
        <v> </v>
      </c>
      <c r="J549" s="26" t="str">
        <f>IF(OR(E549="",E549="!!!",F549="NEW"),"",COUNTBLANK(OFFSET(A$1,,,SUMPRODUCT(MAX(ROW(E$2:E549)*(E549=E$2:E549)))))-COUNTBLANK(OFFSET(A$1,,,SUMPRODUCT(MAX(ROW(E$1:E548)*(E2=E$1:E548))))))</f>
        <v> </v>
      </c>
      <c r="K549" s="26" t="str">
        <f>IF(OR(E549="",E549="!!!",F549="NEW"),"",INDEX(J$1:J548,SUMPRODUCT(MAX(ROW(E$1:E548)*(E549=E$1:E548)))))</f>
        <v> </v>
      </c>
      <c r="L549" s="27"/>
    </row>
    <row r="550" spans="1:12">
      <c r="A550" s="20" t="s">
        <v>342</v>
      </c>
      <c r="E550" s="22">
        <f>IF(D550="?OLD","!!!","")</f>
        <v/>
      </c>
      <c r="F550" s="23" t="str">
        <f>IF(OR(E550="",E550="!!!"),"",IF(NOT(ISNA(VLOOKUP(E550,E$1:E549,1,FALSE()))),"OLD",IF(AND(E550&lt;&gt;"",E550&lt;&gt;"!!!"),"NEW","")))</f>
        <v> </v>
      </c>
      <c r="G550" s="24" t="str">
        <f>IF(OR(E550="",E550="!!!"),"",IF(OR(J550=0,AND(J550=1,K550=1),AND(J550=1,I550="SBJ"),AND(J550=1,I550=0)),"?IN_FOCUS",IF(J550&lt;=2,"?ACTIVATED",IF(J550&lt;&gt;"","?FAMILIAR",IF(F550="NEW",IF(ISNA(VLOOKUP(E550,#REF!,1,FALSE())),"?TYPE_IDENTIFIABLE","?REFERENTIAL"),"_")))))</f>
        <v> </v>
      </c>
      <c r="H550" s="25" t="str">
        <f>IF(J550&lt;&gt;1,"",IF(I550="SBJ","CB","?"))</f>
        <v> </v>
      </c>
      <c r="I550" s="26" t="str">
        <f>IF(OR(E550="",E550="!!!",F550="NEW"),"",INDEX(B549:B$2,-1+SUMPRODUCT(MAX(ROW(E549:E$2)*(E550=E549:E$2)))))</f>
        <v> </v>
      </c>
      <c r="J550" s="26" t="str">
        <f>IF(OR(E550="",E550="!!!",F550="NEW"),"",COUNTBLANK(OFFSET(A$1,,,SUMPRODUCT(MAX(ROW(E$2:E550)*(E550=E$2:E550)))))-COUNTBLANK(OFFSET(A$1,,,SUMPRODUCT(MAX(ROW(E$1:E549)*(E2=E$1:E549))))))</f>
        <v> </v>
      </c>
      <c r="K550" s="26" t="str">
        <f>IF(OR(E550="",E550="!!!",F550="NEW"),"",INDEX(J$1:J549,SUMPRODUCT(MAX(ROW(E$1:E549)*(E550=E$1:E549)))))</f>
        <v> </v>
      </c>
      <c r="L550" s="27"/>
    </row>
    <row r="551" spans="1:12">
      <c r="A551" s="20" t="s">
        <v>318</v>
      </c>
      <c r="B551" s="21" t="s">
        <v>104</v>
      </c>
      <c r="C551" s="21" t="s">
        <v>105</v>
      </c>
      <c r="D551" s="21" t="s">
        <v>106</v>
      </c>
      <c r="E551" s="22">
        <f>IF(D551="?OLD","!!!","")</f>
        <v/>
      </c>
      <c r="F551" s="23" t="str">
        <f>IF(OR(E551="",E551="!!!"),"",IF(NOT(ISNA(VLOOKUP(E551,E$1:E550,1,FALSE()))),"OLD",IF(AND(E551&lt;&gt;"",E551&lt;&gt;"!!!"),"NEW","")))</f>
        <v> </v>
      </c>
      <c r="G551" s="24" t="str">
        <f>IF(OR(E551="",E551="!!!"),"",IF(OR(J551=0,AND(J551=1,K551=1),AND(J551=1,I551="SBJ"),AND(J551=1,I551=0)),"?IN_FOCUS",IF(J551&lt;=2,"?ACTIVATED",IF(J551&lt;&gt;"","?FAMILIAR",IF(F551="NEW",IF(ISNA(VLOOKUP(E551,#REF!,1,FALSE())),"?TYPE_IDENTIFIABLE","?REFERENTIAL"),"_")))))</f>
        <v> </v>
      </c>
      <c r="H551" s="25" t="str">
        <f>IF(J551&lt;&gt;1,"",IF(I551="SBJ","CB","?"))</f>
        <v> </v>
      </c>
      <c r="I551" s="26" t="str">
        <f>IF(OR(E551="",E551="!!!",F551="NEW"),"",INDEX(B550:B$2,-1+SUMPRODUCT(MAX(ROW(E550:E$2)*(E551=E550:E$2)))))</f>
        <v> </v>
      </c>
      <c r="J551" s="26" t="str">
        <f>IF(OR(E551="",E551="!!!",F551="NEW"),"",COUNTBLANK(OFFSET(A$1,,,SUMPRODUCT(MAX(ROW(E$2:E551)*(E551=E$2:E551)))))-COUNTBLANK(OFFSET(A$1,,,SUMPRODUCT(MAX(ROW(E$1:E550)*(E2=E$1:E550))))))</f>
        <v> </v>
      </c>
      <c r="K551" s="26" t="str">
        <f>IF(OR(E551="",E551="!!!",F551="NEW"),"",INDEX(J$1:J550,SUMPRODUCT(MAX(ROW(E$1:E550)*(E551=E$1:E550)))))</f>
        <v> </v>
      </c>
      <c r="L551" s="27"/>
    </row>
    <row r="552" spans="1:12">
      <c r="A552" s="20" t="s">
        <v>138</v>
      </c>
      <c r="E552" s="22">
        <f>IF(D552="?OLD","!!!","")</f>
        <v/>
      </c>
      <c r="F552" s="23" t="str">
        <f>IF(OR(E552="",E552="!!!"),"",IF(NOT(ISNA(VLOOKUP(E552,E$1:E551,1,FALSE()))),"OLD",IF(AND(E552&lt;&gt;"",E552&lt;&gt;"!!!"),"NEW","")))</f>
        <v> </v>
      </c>
      <c r="G552" s="24" t="str">
        <f>IF(OR(E552="",E552="!!!"),"",IF(OR(J552=0,AND(J552=1,K552=1),AND(J552=1,I552="SBJ"),AND(J552=1,I552=0)),"?IN_FOCUS",IF(J552&lt;=2,"?ACTIVATED",IF(J552&lt;&gt;"","?FAMILIAR",IF(F552="NEW",IF(ISNA(VLOOKUP(E552,#REF!,1,FALSE())),"?TYPE_IDENTIFIABLE","?REFERENTIAL"),"_")))))</f>
        <v> </v>
      </c>
      <c r="H552" s="25" t="str">
        <f>IF(J552&lt;&gt;1,"",IF(I552="SBJ","CB","?"))</f>
        <v> </v>
      </c>
      <c r="I552" s="26" t="str">
        <f>IF(OR(E552="",E552="!!!",F552="NEW"),"",INDEX(B551:B$2,-1+SUMPRODUCT(MAX(ROW(E551:E$2)*(E552=E551:E$2)))))</f>
        <v> </v>
      </c>
      <c r="J552" s="26" t="str">
        <f>IF(OR(E552="",E552="!!!",F552="NEW"),"",COUNTBLANK(OFFSET(A$1,,,SUMPRODUCT(MAX(ROW(E$2:E552)*(E552=E$2:E552)))))-COUNTBLANK(OFFSET(A$1,,,SUMPRODUCT(MAX(ROW(E$1:E551)*(E2=E$1:E551))))))</f>
        <v> </v>
      </c>
      <c r="K552" s="26" t="str">
        <f>IF(OR(E552="",E552="!!!",F552="NEW"),"",INDEX(J$1:J551,SUMPRODUCT(MAX(ROW(E$1:E551)*(E552=E$1:E551)))))</f>
        <v> </v>
      </c>
      <c r="L552" s="27"/>
    </row>
    <row r="553" spans="1:12">
      <c r="A553" s="20" t="s">
        <v>423</v>
      </c>
      <c r="E553" s="22">
        <f>IF(D553="?OLD","!!!","")</f>
        <v/>
      </c>
      <c r="F553" s="23" t="str">
        <f>IF(OR(E553="",E553="!!!"),"",IF(NOT(ISNA(VLOOKUP(E553,E$1:E552,1,FALSE()))),"OLD",IF(AND(E553&lt;&gt;"",E553&lt;&gt;"!!!"),"NEW","")))</f>
        <v> </v>
      </c>
      <c r="G553" s="24" t="str">
        <f>IF(OR(E553="",E553="!!!"),"",IF(OR(J553=0,AND(J553=1,K553=1),AND(J553=1,I553="SBJ"),AND(J553=1,I553=0)),"?IN_FOCUS",IF(J553&lt;=2,"?ACTIVATED",IF(J553&lt;&gt;"","?FAMILIAR",IF(F553="NEW",IF(ISNA(VLOOKUP(E553,#REF!,1,FALSE())),"?TYPE_IDENTIFIABLE","?REFERENTIAL"),"_")))))</f>
        <v> </v>
      </c>
      <c r="H553" s="25" t="str">
        <f>IF(J553&lt;&gt;1,"",IF(I553="SBJ","CB","?"))</f>
        <v> </v>
      </c>
      <c r="I553" s="26" t="str">
        <f>IF(OR(E553="",E553="!!!",F553="NEW"),"",INDEX(B552:B$2,-1+SUMPRODUCT(MAX(ROW(E552:E$2)*(E553=E552:E$2)))))</f>
        <v> </v>
      </c>
      <c r="J553" s="26" t="str">
        <f>IF(OR(E553="",E553="!!!",F553="NEW"),"",COUNTBLANK(OFFSET(A$1,,,SUMPRODUCT(MAX(ROW(E$2:E553)*(E553=E$2:E553)))))-COUNTBLANK(OFFSET(A$1,,,SUMPRODUCT(MAX(ROW(E$1:E552)*(E2=E$1:E552))))))</f>
        <v> </v>
      </c>
      <c r="K553" s="26" t="str">
        <f>IF(OR(E553="",E553="!!!",F553="NEW"),"",INDEX(J$1:J552,SUMPRODUCT(MAX(ROW(E$1:E552)*(E553=E$1:E552)))))</f>
        <v> </v>
      </c>
      <c r="L553" s="27"/>
    </row>
    <row r="554" spans="1:12">
      <c r="A554" s="20" t="s">
        <v>424</v>
      </c>
      <c r="E554" s="22">
        <f>IF(D554="?OLD","!!!","")</f>
        <v/>
      </c>
      <c r="F554" s="23" t="str">
        <f>IF(OR(E554="",E554="!!!"),"",IF(NOT(ISNA(VLOOKUP(E554,E$1:E553,1,FALSE()))),"OLD",IF(AND(E554&lt;&gt;"",E554&lt;&gt;"!!!"),"NEW","")))</f>
        <v> </v>
      </c>
      <c r="G554" s="24" t="str">
        <f>IF(OR(E554="",E554="!!!"),"",IF(OR(J554=0,AND(J554=1,K554=1),AND(J554=1,I554="SBJ"),AND(J554=1,I554=0)),"?IN_FOCUS",IF(J554&lt;=2,"?ACTIVATED",IF(J554&lt;&gt;"","?FAMILIAR",IF(F554="NEW",IF(ISNA(VLOOKUP(E554,#REF!,1,FALSE())),"?TYPE_IDENTIFIABLE","?REFERENTIAL"),"_")))))</f>
        <v> </v>
      </c>
      <c r="H554" s="25" t="str">
        <f>IF(J554&lt;&gt;1,"",IF(I554="SBJ","CB","?"))</f>
        <v> </v>
      </c>
      <c r="I554" s="26" t="str">
        <f>IF(OR(E554="",E554="!!!",F554="NEW"),"",INDEX(B553:B$2,-1+SUMPRODUCT(MAX(ROW(E553:E$2)*(E554=E553:E$2)))))</f>
        <v> </v>
      </c>
      <c r="J554" s="26" t="str">
        <f>IF(OR(E554="",E554="!!!",F554="NEW"),"",COUNTBLANK(OFFSET(A$1,,,SUMPRODUCT(MAX(ROW(E$2:E554)*(E554=E$2:E554)))))-COUNTBLANK(OFFSET(A$1,,,SUMPRODUCT(MAX(ROW(E$1:E553)*(E2=E$1:E553))))))</f>
        <v> </v>
      </c>
      <c r="K554" s="26" t="str">
        <f>IF(OR(E554="",E554="!!!",F554="NEW"),"",INDEX(J$1:J553,SUMPRODUCT(MAX(ROW(E$1:E553)*(E554=E$1:E553)))))</f>
        <v> </v>
      </c>
      <c r="L554" s="27"/>
    </row>
    <row r="555" spans="1:12">
      <c r="A555" s="20" t="s">
        <v>116</v>
      </c>
      <c r="E555" s="22">
        <f>IF(D555="?OLD","!!!","")</f>
        <v/>
      </c>
      <c r="F555" s="23" t="str">
        <f>IF(OR(E555="",E555="!!!"),"",IF(NOT(ISNA(VLOOKUP(E555,E$1:E554,1,FALSE()))),"OLD",IF(AND(E555&lt;&gt;"",E555&lt;&gt;"!!!"),"NEW","")))</f>
        <v> </v>
      </c>
      <c r="G555" s="24" t="str">
        <f>IF(OR(E555="",E555="!!!"),"",IF(OR(J555=0,AND(J555=1,K555=1),AND(J555=1,I555="SBJ"),AND(J555=1,I555=0)),"?IN_FOCUS",IF(J555&lt;=2,"?ACTIVATED",IF(J555&lt;&gt;"","?FAMILIAR",IF(F555="NEW",IF(ISNA(VLOOKUP(E555,#REF!,1,FALSE())),"?TYPE_IDENTIFIABLE","?REFERENTIAL"),"_")))))</f>
        <v> </v>
      </c>
      <c r="H555" s="25" t="str">
        <f>IF(J555&lt;&gt;1,"",IF(I555="SBJ","CB","?"))</f>
        <v> </v>
      </c>
      <c r="I555" s="26" t="str">
        <f>IF(OR(E555="",E555="!!!",F555="NEW"),"",INDEX(B554:B$2,-1+SUMPRODUCT(MAX(ROW(E554:E$2)*(E555=E554:E$2)))))</f>
        <v> </v>
      </c>
      <c r="J555" s="26" t="str">
        <f>IF(OR(E555="",E555="!!!",F555="NEW"),"",COUNTBLANK(OFFSET(A$1,,,SUMPRODUCT(MAX(ROW(E$2:E555)*(E555=E$2:E555)))))-COUNTBLANK(OFFSET(A$1,,,SUMPRODUCT(MAX(ROW(E$1:E554)*(E2=E$1:E554))))))</f>
        <v> </v>
      </c>
      <c r="K555" s="26" t="str">
        <f>IF(OR(E555="",E555="!!!",F555="NEW"),"",INDEX(J$1:J554,SUMPRODUCT(MAX(ROW(E$1:E554)*(E555=E$1:E554)))))</f>
        <v> </v>
      </c>
      <c r="L555" s="27"/>
    </row>
    <row r="556" spans="1:12">
      <c r="A556" s="20" t="s">
        <v>131</v>
      </c>
      <c r="E556" s="22">
        <f>IF(D556="?OLD","!!!","")</f>
        <v/>
      </c>
      <c r="F556" s="23" t="str">
        <f>IF(OR(E556="",E556="!!!"),"",IF(NOT(ISNA(VLOOKUP(E556,E$1:E555,1,FALSE()))),"OLD",IF(AND(E556&lt;&gt;"",E556&lt;&gt;"!!!"),"NEW","")))</f>
        <v> </v>
      </c>
      <c r="G556" s="24" t="str">
        <f>IF(OR(E556="",E556="!!!"),"",IF(OR(J556=0,AND(J556=1,K556=1),AND(J556=1,I556="SBJ"),AND(J556=1,I556=0)),"?IN_FOCUS",IF(J556&lt;=2,"?ACTIVATED",IF(J556&lt;&gt;"","?FAMILIAR",IF(F556="NEW",IF(ISNA(VLOOKUP(E556,#REF!,1,FALSE())),"?TYPE_IDENTIFIABLE","?REFERENTIAL"),"_")))))</f>
        <v> </v>
      </c>
      <c r="H556" s="25" t="str">
        <f>IF(J556&lt;&gt;1,"",IF(I556="SBJ","CB","?"))</f>
        <v> </v>
      </c>
      <c r="I556" s="26" t="str">
        <f>IF(OR(E556="",E556="!!!",F556="NEW"),"",INDEX(B555:B$2,-1+SUMPRODUCT(MAX(ROW(E555:E$2)*(E556=E555:E$2)))))</f>
        <v> </v>
      </c>
      <c r="J556" s="26" t="str">
        <f>IF(OR(E556="",E556="!!!",F556="NEW"),"",COUNTBLANK(OFFSET(A$1,,,SUMPRODUCT(MAX(ROW(E$2:E556)*(E556=E$2:E556)))))-COUNTBLANK(OFFSET(A$1,,,SUMPRODUCT(MAX(ROW(E$1:E555)*(E2=E$1:E555))))))</f>
        <v> </v>
      </c>
      <c r="K556" s="26" t="str">
        <f>IF(OR(E556="",E556="!!!",F556="NEW"),"",INDEX(J$1:J555,SUMPRODUCT(MAX(ROW(E$1:E555)*(E556=E$1:E555)))))</f>
        <v> </v>
      </c>
      <c r="L556" s="27"/>
    </row>
    <row r="557" spans="1:12">
      <c r="A557" s="20" t="s">
        <v>344</v>
      </c>
      <c r="E557" s="22">
        <f>IF(D557="?OLD","!!!","")</f>
        <v/>
      </c>
      <c r="F557" s="23" t="str">
        <f>IF(OR(E557="",E557="!!!"),"",IF(NOT(ISNA(VLOOKUP(E557,E$1:E556,1,FALSE()))),"OLD",IF(AND(E557&lt;&gt;"",E557&lt;&gt;"!!!"),"NEW","")))</f>
        <v> </v>
      </c>
      <c r="G557" s="24" t="str">
        <f>IF(OR(E557="",E557="!!!"),"",IF(OR(J557=0,AND(J557=1,K557=1),AND(J557=1,I557="SBJ"),AND(J557=1,I557=0)),"?IN_FOCUS",IF(J557&lt;=2,"?ACTIVATED",IF(J557&lt;&gt;"","?FAMILIAR",IF(F557="NEW",IF(ISNA(VLOOKUP(E557,#REF!,1,FALSE())),"?TYPE_IDENTIFIABLE","?REFERENTIAL"),"_")))))</f>
        <v> </v>
      </c>
      <c r="H557" s="25" t="str">
        <f>IF(J557&lt;&gt;1,"",IF(I557="SBJ","CB","?"))</f>
        <v> </v>
      </c>
      <c r="I557" s="26" t="str">
        <f>IF(OR(E557="",E557="!!!",F557="NEW"),"",INDEX(B556:B$2,-1+SUMPRODUCT(MAX(ROW(E556:E$2)*(E557=E556:E$2)))))</f>
        <v> </v>
      </c>
      <c r="J557" s="26" t="str">
        <f>IF(OR(E557="",E557="!!!",F557="NEW"),"",COUNTBLANK(OFFSET(A$1,,,SUMPRODUCT(MAX(ROW(E$2:E557)*(E557=E$2:E557)))))-COUNTBLANK(OFFSET(A$1,,,SUMPRODUCT(MAX(ROW(E$1:E556)*(E2=E$1:E556))))))</f>
        <v> </v>
      </c>
      <c r="K557" s="26" t="str">
        <f>IF(OR(E557="",E557="!!!",F557="NEW"),"",INDEX(J$1:J556,SUMPRODUCT(MAX(ROW(E$1:E556)*(E557=E$1:E556)))))</f>
        <v> </v>
      </c>
      <c r="L557" s="27"/>
    </row>
    <row r="558" spans="1:12">
      <c r="A558" s="20" t="s">
        <v>425</v>
      </c>
      <c r="B558" s="21" t="s">
        <v>198</v>
      </c>
      <c r="C558" s="21" t="s">
        <v>188</v>
      </c>
      <c r="E558" s="22">
        <f>IF(D558="?OLD","!!!","")</f>
        <v/>
      </c>
      <c r="F558" s="23" t="str">
        <f>IF(OR(E558="",E558="!!!"),"",IF(NOT(ISNA(VLOOKUP(E558,E$1:E557,1,FALSE()))),"OLD",IF(AND(E558&lt;&gt;"",E558&lt;&gt;"!!!"),"NEW","")))</f>
        <v> </v>
      </c>
      <c r="G558" s="24" t="str">
        <f>IF(OR(E558="",E558="!!!"),"",IF(OR(J558=0,AND(J558=1,K558=1),AND(J558=1,I558="SBJ"),AND(J558=1,I558=0)),"?IN_FOCUS",IF(J558&lt;=2,"?ACTIVATED",IF(J558&lt;&gt;"","?FAMILIAR",IF(F558="NEW",IF(ISNA(VLOOKUP(E558,#REF!,1,FALSE())),"?TYPE_IDENTIFIABLE","?REFERENTIAL"),"_")))))</f>
        <v> </v>
      </c>
      <c r="H558" s="25" t="str">
        <f>IF(J558&lt;&gt;1,"",IF(I558="SBJ","CB","?"))</f>
        <v> </v>
      </c>
      <c r="I558" s="26" t="str">
        <f>IF(OR(E558="",E558="!!!",F558="NEW"),"",INDEX(B557:B$2,-1+SUMPRODUCT(MAX(ROW(E557:E$2)*(E558=E557:E$2)))))</f>
        <v> </v>
      </c>
      <c r="J558" s="26" t="str">
        <f>IF(OR(E558="",E558="!!!",F558="NEW"),"",COUNTBLANK(OFFSET(A$1,,,SUMPRODUCT(MAX(ROW(E$2:E558)*(E558=E$2:E558)))))-COUNTBLANK(OFFSET(A$1,,,SUMPRODUCT(MAX(ROW(E$1:E557)*(E2=E$1:E557))))))</f>
        <v> </v>
      </c>
      <c r="K558" s="26" t="str">
        <f>IF(OR(E558="",E558="!!!",F558="NEW"),"",INDEX(J$1:J557,SUMPRODUCT(MAX(ROW(E$1:E557)*(E558=E$1:E557)))))</f>
        <v> </v>
      </c>
      <c r="L558" s="27"/>
    </row>
    <row r="559" spans="1:12">
      <c r="A559" s="20" t="s">
        <v>305</v>
      </c>
      <c r="E559" s="22">
        <f>IF(D559="?OLD","!!!","")</f>
        <v/>
      </c>
      <c r="F559" s="23" t="str">
        <f>IF(OR(E559="",E559="!!!"),"",IF(NOT(ISNA(VLOOKUP(E559,E$1:E558,1,FALSE()))),"OLD",IF(AND(E559&lt;&gt;"",E559&lt;&gt;"!!!"),"NEW","")))</f>
        <v> </v>
      </c>
      <c r="G559" s="24" t="str">
        <f>IF(OR(E559="",E559="!!!"),"",IF(OR(J559=0,AND(J559=1,K559=1),AND(J559=1,I559="SBJ"),AND(J559=1,I559=0)),"?IN_FOCUS",IF(J559&lt;=2,"?ACTIVATED",IF(J559&lt;&gt;"","?FAMILIAR",IF(F559="NEW",IF(ISNA(VLOOKUP(E559,#REF!,1,FALSE())),"?TYPE_IDENTIFIABLE","?REFERENTIAL"),"_")))))</f>
        <v> </v>
      </c>
      <c r="H559" s="25" t="str">
        <f>IF(J559&lt;&gt;1,"",IF(I559="SBJ","CB","?"))</f>
        <v> </v>
      </c>
      <c r="I559" s="26" t="str">
        <f>IF(OR(E559="",E559="!!!",F559="NEW"),"",INDEX(B558:B$2,-1+SUMPRODUCT(MAX(ROW(E558:E$2)*(E559=E558:E$2)))))</f>
        <v> </v>
      </c>
      <c r="J559" s="26" t="str">
        <f>IF(OR(E559="",E559="!!!",F559="NEW"),"",COUNTBLANK(OFFSET(A$1,,,SUMPRODUCT(MAX(ROW(E$2:E559)*(E559=E$2:E559)))))-COUNTBLANK(OFFSET(A$1,,,SUMPRODUCT(MAX(ROW(E$1:E558)*(E2=E$1:E558))))))</f>
        <v> </v>
      </c>
      <c r="K559" s="26" t="str">
        <f>IF(OR(E559="",E559="!!!",F559="NEW"),"",INDEX(J$1:J558,SUMPRODUCT(MAX(ROW(E$1:E558)*(E559=E$1:E558)))))</f>
        <v> </v>
      </c>
      <c r="L559" s="27"/>
    </row>
    <row r="560" spans="1:12">
      <c r="A560" s="20" t="s">
        <v>426</v>
      </c>
      <c r="B560" s="21" t="s">
        <v>125</v>
      </c>
      <c r="C560" s="21" t="s">
        <v>130</v>
      </c>
      <c r="E560" s="22">
        <f>IF(D560="?OLD","!!!","")</f>
        <v/>
      </c>
      <c r="F560" s="23" t="str">
        <f>IF(OR(E560="",E560="!!!"),"",IF(NOT(ISNA(VLOOKUP(E560,E$1:E559,1,FALSE()))),"OLD",IF(AND(E560&lt;&gt;"",E560&lt;&gt;"!!!"),"NEW","")))</f>
        <v> </v>
      </c>
      <c r="G560" s="24" t="str">
        <f>IF(OR(E560="",E560="!!!"),"",IF(OR(J560=0,AND(J560=1,K560=1),AND(J560=1,I560="SBJ"),AND(J560=1,I560=0)),"?IN_FOCUS",IF(J560&lt;=2,"?ACTIVATED",IF(J560&lt;&gt;"","?FAMILIAR",IF(F560="NEW",IF(ISNA(VLOOKUP(E560,#REF!,1,FALSE())),"?TYPE_IDENTIFIABLE","?REFERENTIAL"),"_")))))</f>
        <v> </v>
      </c>
      <c r="H560" s="25" t="str">
        <f>IF(J560&lt;&gt;1,"",IF(I560="SBJ","CB","?"))</f>
        <v> </v>
      </c>
      <c r="I560" s="26" t="str">
        <f>IF(OR(E560="",E560="!!!",F560="NEW"),"",INDEX(B559:B$2,-1+SUMPRODUCT(MAX(ROW(E559:E$2)*(E560=E559:E$2)))))</f>
        <v> </v>
      </c>
      <c r="J560" s="26" t="str">
        <f>IF(OR(E560="",E560="!!!",F560="NEW"),"",COUNTBLANK(OFFSET(A$1,,,SUMPRODUCT(MAX(ROW(E$2:E560)*(E560=E$2:E560)))))-COUNTBLANK(OFFSET(A$1,,,SUMPRODUCT(MAX(ROW(E$1:E559)*(E2=E$1:E559))))))</f>
        <v> </v>
      </c>
      <c r="K560" s="26" t="str">
        <f>IF(OR(E560="",E560="!!!",F560="NEW"),"",INDEX(J$1:J559,SUMPRODUCT(MAX(ROW(E$1:E559)*(E560=E$1:E559)))))</f>
        <v> </v>
      </c>
      <c r="L560" s="27"/>
    </row>
    <row r="561" spans="1:12">
      <c r="A561" s="20" t="s">
        <v>427</v>
      </c>
      <c r="E561" s="22">
        <f>IF(D561="?OLD","!!!","")</f>
        <v/>
      </c>
      <c r="F561" s="23" t="str">
        <f>IF(OR(E561="",E561="!!!"),"",IF(NOT(ISNA(VLOOKUP(E561,E$1:E560,1,FALSE()))),"OLD",IF(AND(E561&lt;&gt;"",E561&lt;&gt;"!!!"),"NEW","")))</f>
        <v> </v>
      </c>
      <c r="G561" s="24" t="str">
        <f>IF(OR(E561="",E561="!!!"),"",IF(OR(J561=0,AND(J561=1,K561=1),AND(J561=1,I561="SBJ"),AND(J561=1,I561=0)),"?IN_FOCUS",IF(J561&lt;=2,"?ACTIVATED",IF(J561&lt;&gt;"","?FAMILIAR",IF(F561="NEW",IF(ISNA(VLOOKUP(E561,#REF!,1,FALSE())),"?TYPE_IDENTIFIABLE","?REFERENTIAL"),"_")))))</f>
        <v> </v>
      </c>
      <c r="H561" s="25" t="str">
        <f>IF(J561&lt;&gt;1,"",IF(I561="SBJ","CB","?"))</f>
        <v> </v>
      </c>
      <c r="I561" s="26" t="str">
        <f>IF(OR(E561="",E561="!!!",F561="NEW"),"",INDEX(B560:B$2,-1+SUMPRODUCT(MAX(ROW(E560:E$2)*(E561=E560:E$2)))))</f>
        <v> </v>
      </c>
      <c r="J561" s="26" t="str">
        <f>IF(OR(E561="",E561="!!!",F561="NEW"),"",COUNTBLANK(OFFSET(A$1,,,SUMPRODUCT(MAX(ROW(E$2:E561)*(E561=E$2:E561)))))-COUNTBLANK(OFFSET(A$1,,,SUMPRODUCT(MAX(ROW(E$1:E560)*(E2=E$1:E560))))))</f>
        <v> </v>
      </c>
      <c r="K561" s="26" t="str">
        <f>IF(OR(E561="",E561="!!!",F561="NEW"),"",INDEX(J$1:J560,SUMPRODUCT(MAX(ROW(E$1:E560)*(E561=E$1:E560)))))</f>
        <v> </v>
      </c>
      <c r="L561" s="27"/>
    </row>
    <row r="562" spans="1:12">
      <c r="A562" s="20" t="s">
        <v>116</v>
      </c>
      <c r="E562" s="22">
        <f>IF(D562="?OLD","!!!","")</f>
        <v/>
      </c>
      <c r="F562" s="23" t="str">
        <f>IF(OR(E562="",E562="!!!"),"",IF(NOT(ISNA(VLOOKUP(E562,E$1:E561,1,FALSE()))),"OLD",IF(AND(E562&lt;&gt;"",E562&lt;&gt;"!!!"),"NEW","")))</f>
        <v> </v>
      </c>
      <c r="G562" s="24" t="str">
        <f>IF(OR(E562="",E562="!!!"),"",IF(OR(J562=0,AND(J562=1,K562=1),AND(J562=1,I562="SBJ"),AND(J562=1,I562=0)),"?IN_FOCUS",IF(J562&lt;=2,"?ACTIVATED",IF(J562&lt;&gt;"","?FAMILIAR",IF(F562="NEW",IF(ISNA(VLOOKUP(E562,#REF!,1,FALSE())),"?TYPE_IDENTIFIABLE","?REFERENTIAL"),"_")))))</f>
        <v> </v>
      </c>
      <c r="H562" s="25" t="str">
        <f>IF(J562&lt;&gt;1,"",IF(I562="SBJ","CB","?"))</f>
        <v> </v>
      </c>
      <c r="I562" s="26" t="str">
        <f>IF(OR(E562="",E562="!!!",F562="NEW"),"",INDEX(B561:B$2,-1+SUMPRODUCT(MAX(ROW(E561:E$2)*(E562=E561:E$2)))))</f>
        <v> </v>
      </c>
      <c r="J562" s="26" t="str">
        <f>IF(OR(E562="",E562="!!!",F562="NEW"),"",COUNTBLANK(OFFSET(A$1,,,SUMPRODUCT(MAX(ROW(E$2:E562)*(E562=E$2:E562)))))-COUNTBLANK(OFFSET(A$1,,,SUMPRODUCT(MAX(ROW(E$1:E561)*(E2=E$1:E561))))))</f>
        <v> </v>
      </c>
      <c r="K562" s="26" t="str">
        <f>IF(OR(E562="",E562="!!!",F562="NEW"),"",INDEX(J$1:J561,SUMPRODUCT(MAX(ROW(E$1:E561)*(E562=E$1:E561)))))</f>
        <v> </v>
      </c>
      <c r="L562" s="27"/>
    </row>
    <row r="563" spans="1:12">
      <c r="A563" s="20" t="s">
        <v>114</v>
      </c>
      <c r="E563" s="22">
        <f>IF(D563="?OLD","!!!","")</f>
        <v/>
      </c>
      <c r="F563" s="23" t="str">
        <f>IF(OR(E563="",E563="!!!"),"",IF(NOT(ISNA(VLOOKUP(E563,E$1:E562,1,FALSE()))),"OLD",IF(AND(E563&lt;&gt;"",E563&lt;&gt;"!!!"),"NEW","")))</f>
        <v> </v>
      </c>
      <c r="G563" s="24" t="str">
        <f>IF(OR(E563="",E563="!!!"),"",IF(OR(J563=0,AND(J563=1,K563=1),AND(J563=1,I563="SBJ"),AND(J563=1,I563=0)),"?IN_FOCUS",IF(J563&lt;=2,"?ACTIVATED",IF(J563&lt;&gt;"","?FAMILIAR",IF(F563="NEW",IF(ISNA(VLOOKUP(E563,#REF!,1,FALSE())),"?TYPE_IDENTIFIABLE","?REFERENTIAL"),"_")))))</f>
        <v> </v>
      </c>
      <c r="H563" s="25" t="str">
        <f>IF(J563&lt;&gt;1,"",IF(I563="SBJ","CB","?"))</f>
        <v> </v>
      </c>
      <c r="I563" s="26" t="str">
        <f>IF(OR(E563="",E563="!!!",F563="NEW"),"",INDEX(B562:B$2,-1+SUMPRODUCT(MAX(ROW(E562:E$2)*(E563=E562:E$2)))))</f>
        <v> </v>
      </c>
      <c r="J563" s="26" t="str">
        <f>IF(OR(E563="",E563="!!!",F563="NEW"),"",COUNTBLANK(OFFSET(A$1,,,SUMPRODUCT(MAX(ROW(E$2:E563)*(E563=E$2:E563)))))-COUNTBLANK(OFFSET(A$1,,,SUMPRODUCT(MAX(ROW(E$1:E562)*(E2=E$1:E562))))))</f>
        <v> </v>
      </c>
      <c r="K563" s="26" t="str">
        <f>IF(OR(E563="",E563="!!!",F563="NEW"),"",INDEX(J$1:J562,SUMPRODUCT(MAX(ROW(E$1:E562)*(E563=E$1:E562)))))</f>
        <v> </v>
      </c>
      <c r="L563" s="27"/>
    </row>
    <row r="564" spans="1:12">
      <c r="A564" s="20" t="s">
        <v>428</v>
      </c>
      <c r="E564" s="22">
        <f>IF(D564="?OLD","!!!","")</f>
        <v/>
      </c>
      <c r="F564" s="23" t="str">
        <f>IF(OR(E564="",E564="!!!"),"",IF(NOT(ISNA(VLOOKUP(E564,E$1:E563,1,FALSE()))),"OLD",IF(AND(E564&lt;&gt;"",E564&lt;&gt;"!!!"),"NEW","")))</f>
        <v> </v>
      </c>
      <c r="G564" s="24" t="str">
        <f>IF(OR(E564="",E564="!!!"),"",IF(OR(J564=0,AND(J564=1,K564=1),AND(J564=1,I564="SBJ"),AND(J564=1,I564=0)),"?IN_FOCUS",IF(J564&lt;=2,"?ACTIVATED",IF(J564&lt;&gt;"","?FAMILIAR",IF(F564="NEW",IF(ISNA(VLOOKUP(E564,#REF!,1,FALSE())),"?TYPE_IDENTIFIABLE","?REFERENTIAL"),"_")))))</f>
        <v> </v>
      </c>
      <c r="H564" s="25" t="str">
        <f>IF(J564&lt;&gt;1,"",IF(I564="SBJ","CB","?"))</f>
        <v> </v>
      </c>
      <c r="I564" s="26" t="str">
        <f>IF(OR(E564="",E564="!!!",F564="NEW"),"",INDEX(B563:B$2,-1+SUMPRODUCT(MAX(ROW(E563:E$2)*(E564=E563:E$2)))))</f>
        <v> </v>
      </c>
      <c r="J564" s="26" t="str">
        <f>IF(OR(E564="",E564="!!!",F564="NEW"),"",COUNTBLANK(OFFSET(A$1,,,SUMPRODUCT(MAX(ROW(E$2:E564)*(E564=E$2:E564)))))-COUNTBLANK(OFFSET(A$1,,,SUMPRODUCT(MAX(ROW(E$1:E563)*(E2=E$1:E563))))))</f>
        <v> </v>
      </c>
      <c r="K564" s="26" t="str">
        <f>IF(OR(E564="",E564="!!!",F564="NEW"),"",INDEX(J$1:J563,SUMPRODUCT(MAX(ROW(E$1:E563)*(E564=E$1:E563)))))</f>
        <v> </v>
      </c>
      <c r="L564" s="27"/>
    </row>
    <row r="565" spans="1:12">
      <c r="A565" s="20" t="s">
        <v>429</v>
      </c>
      <c r="E565" s="22">
        <f>IF(D565="?OLD","!!!","")</f>
        <v/>
      </c>
      <c r="F565" s="23" t="str">
        <f>IF(OR(E565="",E565="!!!"),"",IF(NOT(ISNA(VLOOKUP(E565,E$1:E564,1,FALSE()))),"OLD",IF(AND(E565&lt;&gt;"",E565&lt;&gt;"!!!"),"NEW","")))</f>
        <v> </v>
      </c>
      <c r="G565" s="24" t="str">
        <f>IF(OR(E565="",E565="!!!"),"",IF(OR(J565=0,AND(J565=1,K565=1),AND(J565=1,I565="SBJ"),AND(J565=1,I565=0)),"?IN_FOCUS",IF(J565&lt;=2,"?ACTIVATED",IF(J565&lt;&gt;"","?FAMILIAR",IF(F565="NEW",IF(ISNA(VLOOKUP(E565,#REF!,1,FALSE())),"?TYPE_IDENTIFIABLE","?REFERENTIAL"),"_")))))</f>
        <v> </v>
      </c>
      <c r="H565" s="25" t="str">
        <f>IF(J565&lt;&gt;1,"",IF(I565="SBJ","CB","?"))</f>
        <v> </v>
      </c>
      <c r="I565" s="26" t="str">
        <f>IF(OR(E565="",E565="!!!",F565="NEW"),"",INDEX(B564:B$2,-1+SUMPRODUCT(MAX(ROW(E564:E$2)*(E565=E564:E$2)))))</f>
        <v> </v>
      </c>
      <c r="J565" s="26" t="str">
        <f>IF(OR(E565="",E565="!!!",F565="NEW"),"",COUNTBLANK(OFFSET(A$1,,,SUMPRODUCT(MAX(ROW(E$2:E565)*(E565=E$2:E565)))))-COUNTBLANK(OFFSET(A$1,,,SUMPRODUCT(MAX(ROW(E$1:E564)*(E2=E$1:E564))))))</f>
        <v> </v>
      </c>
      <c r="K565" s="26" t="str">
        <f>IF(OR(E565="",E565="!!!",F565="NEW"),"",INDEX(J$1:J564,SUMPRODUCT(MAX(ROW(E$1:E564)*(E565=E$1:E564)))))</f>
        <v> </v>
      </c>
      <c r="L565" s="27"/>
    </row>
    <row r="566" spans="1:12">
      <c r="A566" s="20" t="s">
        <v>135</v>
      </c>
      <c r="E566" s="22">
        <f>IF(D566="?OLD","!!!","")</f>
        <v/>
      </c>
      <c r="F566" s="23" t="str">
        <f>IF(OR(E566="",E566="!!!"),"",IF(NOT(ISNA(VLOOKUP(E566,E$1:E565,1,FALSE()))),"OLD",IF(AND(E566&lt;&gt;"",E566&lt;&gt;"!!!"),"NEW","")))</f>
        <v> </v>
      </c>
      <c r="G566" s="24" t="str">
        <f>IF(OR(E566="",E566="!!!"),"",IF(OR(J566=0,AND(J566=1,K566=1),AND(J566=1,I566="SBJ"),AND(J566=1,I566=0)),"?IN_FOCUS",IF(J566&lt;=2,"?ACTIVATED",IF(J566&lt;&gt;"","?FAMILIAR",IF(F566="NEW",IF(ISNA(VLOOKUP(E566,#REF!,1,FALSE())),"?TYPE_IDENTIFIABLE","?REFERENTIAL"),"_")))))</f>
        <v> </v>
      </c>
      <c r="H566" s="25" t="str">
        <f>IF(J566&lt;&gt;1,"",IF(I566="SBJ","CB","?"))</f>
        <v> </v>
      </c>
      <c r="I566" s="26" t="str">
        <f>IF(OR(E566="",E566="!!!",F566="NEW"),"",INDEX(B565:B$2,-1+SUMPRODUCT(MAX(ROW(E565:E$2)*(E566=E565:E$2)))))</f>
        <v> </v>
      </c>
      <c r="J566" s="26" t="str">
        <f>IF(OR(E566="",E566="!!!",F566="NEW"),"",COUNTBLANK(OFFSET(A$1,,,SUMPRODUCT(MAX(ROW(E$2:E566)*(E566=E$2:E566)))))-COUNTBLANK(OFFSET(A$1,,,SUMPRODUCT(MAX(ROW(E$1:E565)*(E2=E$1:E565))))))</f>
        <v> </v>
      </c>
      <c r="K566" s="26" t="str">
        <f>IF(OR(E566="",E566="!!!",F566="NEW"),"",INDEX(J$1:J565,SUMPRODUCT(MAX(ROW(E$1:E565)*(E566=E$1:E565)))))</f>
        <v> </v>
      </c>
      <c r="L566" s="27"/>
    </row>
    <row r="567" spans="1:12">
      <c r="A567" s="20" t="s">
        <v>342</v>
      </c>
      <c r="E567" s="22">
        <f>IF(D567="?OLD","!!!","")</f>
        <v/>
      </c>
      <c r="F567" s="23" t="str">
        <f>IF(OR(E567="",E567="!!!"),"",IF(NOT(ISNA(VLOOKUP(E567,E$1:E566,1,FALSE()))),"OLD",IF(AND(E567&lt;&gt;"",E567&lt;&gt;"!!!"),"NEW","")))</f>
        <v> </v>
      </c>
      <c r="G567" s="24" t="str">
        <f>IF(OR(E567="",E567="!!!"),"",IF(OR(J567=0,AND(J567=1,K567=1),AND(J567=1,I567="SBJ"),AND(J567=1,I567=0)),"?IN_FOCUS",IF(J567&lt;=2,"?ACTIVATED",IF(J567&lt;&gt;"","?FAMILIAR",IF(F567="NEW",IF(ISNA(VLOOKUP(E567,#REF!,1,FALSE())),"?TYPE_IDENTIFIABLE","?REFERENTIAL"),"_")))))</f>
        <v> </v>
      </c>
      <c r="H567" s="25" t="str">
        <f>IF(J567&lt;&gt;1,"",IF(I567="SBJ","CB","?"))</f>
        <v> </v>
      </c>
      <c r="I567" s="26" t="str">
        <f>IF(OR(E567="",E567="!!!",F567="NEW"),"",INDEX(B566:B$2,-1+SUMPRODUCT(MAX(ROW(E566:E$2)*(E567=E566:E$2)))))</f>
        <v> </v>
      </c>
      <c r="J567" s="26" t="str">
        <f>IF(OR(E567="",E567="!!!",F567="NEW"),"",COUNTBLANK(OFFSET(A$1,,,SUMPRODUCT(MAX(ROW(E$2:E567)*(E567=E$2:E567)))))-COUNTBLANK(OFFSET(A$1,,,SUMPRODUCT(MAX(ROW(E$1:E566)*(E2=E$1:E566))))))</f>
        <v> </v>
      </c>
      <c r="K567" s="26" t="str">
        <f>IF(OR(E567="",E567="!!!",F567="NEW"),"",INDEX(J$1:J566,SUMPRODUCT(MAX(ROW(E$1:E566)*(E567=E$1:E566)))))</f>
        <v> </v>
      </c>
      <c r="L567" s="27"/>
    </row>
    <row r="568" spans="1:12">
      <c r="A568" s="20"/>
    </row>
    <row r="569" spans="1:12">
      <c r="A569" s="20" t="s">
        <v>430</v>
      </c>
    </row>
    <row r="570" spans="1:12">
      <c r="A570" s="20" t="s">
        <v>365</v>
      </c>
      <c r="E570" s="22">
        <f>IF(D570="?OLD","!!!","")</f>
        <v/>
      </c>
      <c r="F570" s="23" t="str">
        <f>IF(OR(E570="",E570="!!!"),"",IF(NOT(ISNA(VLOOKUP(E570,E$1:E569,1,FALSE()))),"OLD",IF(AND(E570&lt;&gt;"",E570&lt;&gt;"!!!"),"NEW","")))</f>
        <v> </v>
      </c>
      <c r="G570" s="24" t="str">
        <f>IF(OR(E570="",E570="!!!"),"",IF(OR(J570=0,AND(J570=1,K570=1),AND(J570=1,I570="SBJ"),AND(J570=1,I570=0)),"?IN_FOCUS",IF(J570&lt;=2,"?ACTIVATED",IF(J570&lt;&gt;"","?FAMILIAR",IF(F570="NEW",IF(ISNA(VLOOKUP(E570,#REF!,1,FALSE())),"?TYPE_IDENTIFIABLE","?REFERENTIAL"),"_")))))</f>
        <v> </v>
      </c>
      <c r="H570" s="25" t="str">
        <f>IF(J570&lt;&gt;1,"",IF(I570="SBJ","CB","?"))</f>
        <v> </v>
      </c>
      <c r="I570" s="26" t="str">
        <f>IF(OR(E570="",E570="!!!",F570="NEW"),"",INDEX(B569:B$2,-1+SUMPRODUCT(MAX(ROW(E569:E$2)*(E570=E569:E$2)))))</f>
        <v> </v>
      </c>
      <c r="J570" s="26" t="str">
        <f>IF(OR(E570="",E570="!!!",F570="NEW"),"",COUNTBLANK(OFFSET(A$1,,,SUMPRODUCT(MAX(ROW(E$2:E570)*(E570=E$2:E570)))))-COUNTBLANK(OFFSET(A$1,,,SUMPRODUCT(MAX(ROW(E$1:E569)*(E2=E$1:E569))))))</f>
        <v> </v>
      </c>
      <c r="K570" s="26" t="str">
        <f>IF(OR(E570="",E570="!!!",F570="NEW"),"",INDEX(J$1:J569,SUMPRODUCT(MAX(ROW(E$1:E569)*(E570=E$1:E569)))))</f>
        <v> </v>
      </c>
      <c r="L570" s="27"/>
    </row>
    <row r="571" spans="1:12">
      <c r="A571" s="20" t="s">
        <v>431</v>
      </c>
      <c r="B571" s="21" t="s">
        <v>124</v>
      </c>
      <c r="C571" s="21" t="s">
        <v>130</v>
      </c>
      <c r="E571" s="22">
        <f>IF(D571="?OLD","!!!","")</f>
        <v/>
      </c>
      <c r="F571" s="23" t="str">
        <f>IF(OR(E571="",E571="!!!"),"",IF(NOT(ISNA(VLOOKUP(E571,E$1:E570,1,FALSE()))),"OLD",IF(AND(E571&lt;&gt;"",E571&lt;&gt;"!!!"),"NEW","")))</f>
        <v> </v>
      </c>
      <c r="G571" s="24" t="str">
        <f>IF(OR(E571="",E571="!!!"),"",IF(OR(J571=0,AND(J571=1,K571=1),AND(J571=1,I571="SBJ"),AND(J571=1,I571=0)),"?IN_FOCUS",IF(J571&lt;=2,"?ACTIVATED",IF(J571&lt;&gt;"","?FAMILIAR",IF(F571="NEW",IF(ISNA(VLOOKUP(E571,#REF!,1,FALSE())),"?TYPE_IDENTIFIABLE","?REFERENTIAL"),"_")))))</f>
        <v> </v>
      </c>
      <c r="H571" s="25" t="str">
        <f>IF(J571&lt;&gt;1,"",IF(I571="SBJ","CB","?"))</f>
        <v> </v>
      </c>
      <c r="I571" s="26" t="str">
        <f>IF(OR(E571="",E571="!!!",F571="NEW"),"",INDEX(B570:B$2,-1+SUMPRODUCT(MAX(ROW(E570:E$2)*(E571=E570:E$2)))))</f>
        <v> </v>
      </c>
      <c r="J571" s="26" t="str">
        <f>IF(OR(E571="",E571="!!!",F571="NEW"),"",COUNTBLANK(OFFSET(A$1,,,SUMPRODUCT(MAX(ROW(E$2:E571)*(E571=E$2:E571)))))-COUNTBLANK(OFFSET(A$1,,,SUMPRODUCT(MAX(ROW(E$1:E570)*(E2=E$1:E570))))))</f>
        <v> </v>
      </c>
      <c r="K571" s="26" t="str">
        <f>IF(OR(E571="",E571="!!!",F571="NEW"),"",INDEX(J$1:J570,SUMPRODUCT(MAX(ROW(E$1:E570)*(E571=E$1:E570)))))</f>
        <v> </v>
      </c>
      <c r="L571" s="27"/>
    </row>
    <row r="572" spans="1:12">
      <c r="A572" s="20" t="s">
        <v>367</v>
      </c>
      <c r="E572" s="22">
        <f>IF(D572="?OLD","!!!","")</f>
        <v/>
      </c>
      <c r="F572" s="23" t="str">
        <f>IF(OR(E572="",E572="!!!"),"",IF(NOT(ISNA(VLOOKUP(E572,E$1:E571,1,FALSE()))),"OLD",IF(AND(E572&lt;&gt;"",E572&lt;&gt;"!!!"),"NEW","")))</f>
        <v> </v>
      </c>
      <c r="G572" s="24" t="str">
        <f>IF(OR(E572="",E572="!!!"),"",IF(OR(J572=0,AND(J572=1,K572=1),AND(J572=1,I572="SBJ"),AND(J572=1,I572=0)),"?IN_FOCUS",IF(J572&lt;=2,"?ACTIVATED",IF(J572&lt;&gt;"","?FAMILIAR",IF(F572="NEW",IF(ISNA(VLOOKUP(E572,#REF!,1,FALSE())),"?TYPE_IDENTIFIABLE","?REFERENTIAL"),"_")))))</f>
        <v> </v>
      </c>
      <c r="H572" s="25" t="str">
        <f>IF(J572&lt;&gt;1,"",IF(I572="SBJ","CB","?"))</f>
        <v> </v>
      </c>
      <c r="I572" s="26" t="str">
        <f>IF(OR(E572="",E572="!!!",F572="NEW"),"",INDEX(B571:B$2,-1+SUMPRODUCT(MAX(ROW(E571:E$2)*(E572=E571:E$2)))))</f>
        <v> </v>
      </c>
      <c r="J572" s="26" t="str">
        <f>IF(OR(E572="",E572="!!!",F572="NEW"),"",COUNTBLANK(OFFSET(A$1,,,SUMPRODUCT(MAX(ROW(E$2:E572)*(E572=E$2:E572)))))-COUNTBLANK(OFFSET(A$1,,,SUMPRODUCT(MAX(ROW(E$1:E571)*(E2=E$1:E571))))))</f>
        <v> </v>
      </c>
      <c r="K572" s="26" t="str">
        <f>IF(OR(E572="",E572="!!!",F572="NEW"),"",INDEX(J$1:J571,SUMPRODUCT(MAX(ROW(E$1:E571)*(E572=E$1:E571)))))</f>
        <v> </v>
      </c>
      <c r="L572" s="27"/>
    </row>
    <row r="573" spans="1:12">
      <c r="A573" s="20" t="s">
        <v>432</v>
      </c>
      <c r="B573" s="21" t="s">
        <v>139</v>
      </c>
      <c r="C573" s="21" t="s">
        <v>130</v>
      </c>
      <c r="E573" s="22">
        <f>IF(D573="?OLD","!!!","")</f>
        <v/>
      </c>
      <c r="F573" s="23" t="str">
        <f>IF(OR(E573="",E573="!!!"),"",IF(NOT(ISNA(VLOOKUP(E573,E$1:E572,1,FALSE()))),"OLD",IF(AND(E573&lt;&gt;"",E573&lt;&gt;"!!!"),"NEW","")))</f>
        <v> </v>
      </c>
      <c r="G573" s="24" t="str">
        <f>IF(OR(E573="",E573="!!!"),"",IF(OR(J573=0,AND(J573=1,K573=1),AND(J573=1,I573="SBJ"),AND(J573=1,I573=0)),"?IN_FOCUS",IF(J573&lt;=2,"?ACTIVATED",IF(J573&lt;&gt;"","?FAMILIAR",IF(F573="NEW",IF(ISNA(VLOOKUP(E573,#REF!,1,FALSE())),"?TYPE_IDENTIFIABLE","?REFERENTIAL"),"_")))))</f>
        <v> </v>
      </c>
      <c r="H573" s="25" t="str">
        <f>IF(J573&lt;&gt;1,"",IF(I573="SBJ","CB","?"))</f>
        <v> </v>
      </c>
      <c r="I573" s="26" t="str">
        <f>IF(OR(E573="",E573="!!!",F573="NEW"),"",INDEX(B572:B$2,-1+SUMPRODUCT(MAX(ROW(E572:E$2)*(E573=E572:E$2)))))</f>
        <v> </v>
      </c>
      <c r="J573" s="26" t="str">
        <f>IF(OR(E573="",E573="!!!",F573="NEW"),"",COUNTBLANK(OFFSET(A$1,,,SUMPRODUCT(MAX(ROW(E$2:E573)*(E573=E$2:E573)))))-COUNTBLANK(OFFSET(A$1,,,SUMPRODUCT(MAX(ROW(E$1:E572)*(E2=E$1:E572))))))</f>
        <v> </v>
      </c>
      <c r="K573" s="26" t="str">
        <f>IF(OR(E573="",E573="!!!",F573="NEW"),"",INDEX(J$1:J572,SUMPRODUCT(MAX(ROW(E$1:E572)*(E573=E$1:E572)))))</f>
        <v> </v>
      </c>
      <c r="L573" s="27"/>
    </row>
    <row r="574" spans="1:12">
      <c r="A574" s="20" t="s">
        <v>209</v>
      </c>
      <c r="E574" s="22">
        <f>IF(D574="?OLD","!!!","")</f>
        <v/>
      </c>
      <c r="F574" s="23" t="str">
        <f>IF(OR(E574="",E574="!!!"),"",IF(NOT(ISNA(VLOOKUP(E574,E$1:E573,1,FALSE()))),"OLD",IF(AND(E574&lt;&gt;"",E574&lt;&gt;"!!!"),"NEW","")))</f>
        <v> </v>
      </c>
      <c r="G574" s="24" t="str">
        <f>IF(OR(E574="",E574="!!!"),"",IF(OR(J574=0,AND(J574=1,K574=1),AND(J574=1,I574="SBJ"),AND(J574=1,I574=0)),"?IN_FOCUS",IF(J574&lt;=2,"?ACTIVATED",IF(J574&lt;&gt;"","?FAMILIAR",IF(F574="NEW",IF(ISNA(VLOOKUP(E574,#REF!,1,FALSE())),"?TYPE_IDENTIFIABLE","?REFERENTIAL"),"_")))))</f>
        <v> </v>
      </c>
      <c r="H574" s="25" t="str">
        <f>IF(J574&lt;&gt;1,"",IF(I574="SBJ","CB","?"))</f>
        <v> </v>
      </c>
      <c r="I574" s="26" t="str">
        <f>IF(OR(E574="",E574="!!!",F574="NEW"),"",INDEX(B573:B$2,-1+SUMPRODUCT(MAX(ROW(E573:E$2)*(E574=E573:E$2)))))</f>
        <v> </v>
      </c>
      <c r="J574" s="26" t="str">
        <f>IF(OR(E574="",E574="!!!",F574="NEW"),"",COUNTBLANK(OFFSET(A$1,,,SUMPRODUCT(MAX(ROW(E$2:E574)*(E574=E$2:E574)))))-COUNTBLANK(OFFSET(A$1,,,SUMPRODUCT(MAX(ROW(E$1:E573)*(E2=E$1:E573))))))</f>
        <v> </v>
      </c>
      <c r="K574" s="26" t="str">
        <f>IF(OR(E574="",E574="!!!",F574="NEW"),"",INDEX(J$1:J573,SUMPRODUCT(MAX(ROW(E$1:E573)*(E574=E$1:E573)))))</f>
        <v> </v>
      </c>
      <c r="L574" s="27"/>
    </row>
    <row r="575" spans="1:12">
      <c r="A575" s="20" t="s">
        <v>433</v>
      </c>
      <c r="B575" s="21" t="s">
        <v>139</v>
      </c>
      <c r="C575" s="21" t="s">
        <v>130</v>
      </c>
      <c r="E575" s="22">
        <f>IF(D575="?OLD","!!!","")</f>
        <v/>
      </c>
      <c r="F575" s="23" t="str">
        <f>IF(OR(E575="",E575="!!!"),"",IF(NOT(ISNA(VLOOKUP(E575,E$1:E574,1,FALSE()))),"OLD",IF(AND(E575&lt;&gt;"",E575&lt;&gt;"!!!"),"NEW","")))</f>
        <v> </v>
      </c>
      <c r="G575" s="24" t="str">
        <f>IF(OR(E575="",E575="!!!"),"",IF(OR(J575=0,AND(J575=1,K575=1),AND(J575=1,I575="SBJ"),AND(J575=1,I575=0)),"?IN_FOCUS",IF(J575&lt;=2,"?ACTIVATED",IF(J575&lt;&gt;"","?FAMILIAR",IF(F575="NEW",IF(ISNA(VLOOKUP(E575,#REF!,1,FALSE())),"?TYPE_IDENTIFIABLE","?REFERENTIAL"),"_")))))</f>
        <v> </v>
      </c>
      <c r="H575" s="25" t="str">
        <f>IF(J575&lt;&gt;1,"",IF(I575="SBJ","CB","?"))</f>
        <v> </v>
      </c>
      <c r="I575" s="26" t="str">
        <f>IF(OR(E575="",E575="!!!",F575="NEW"),"",INDEX(B574:B$2,-1+SUMPRODUCT(MAX(ROW(E574:E$2)*(E575=E574:E$2)))))</f>
        <v> </v>
      </c>
      <c r="J575" s="26" t="str">
        <f>IF(OR(E575="",E575="!!!",F575="NEW"),"",COUNTBLANK(OFFSET(A$1,,,SUMPRODUCT(MAX(ROW(E$2:E575)*(E575=E$2:E575)))))-COUNTBLANK(OFFSET(A$1,,,SUMPRODUCT(MAX(ROW(E$1:E574)*(E2=E$1:E574))))))</f>
        <v> </v>
      </c>
      <c r="K575" s="26" t="str">
        <f>IF(OR(E575="",E575="!!!",F575="NEW"),"",INDEX(J$1:J574,SUMPRODUCT(MAX(ROW(E$1:E574)*(E575=E$1:E574)))))</f>
        <v> </v>
      </c>
      <c r="L575" s="27"/>
    </row>
    <row r="576" spans="1:12">
      <c r="A576" s="20" t="s">
        <v>434</v>
      </c>
      <c r="B576" s="21" t="s">
        <v>157</v>
      </c>
      <c r="C576" s="21" t="s">
        <v>188</v>
      </c>
      <c r="E576" s="22">
        <f>IF(D576="?OLD","!!!","")</f>
        <v/>
      </c>
      <c r="F576" s="23" t="str">
        <f>IF(OR(E576="",E576="!!!"),"",IF(NOT(ISNA(VLOOKUP(E576,E$1:E575,1,FALSE()))),"OLD",IF(AND(E576&lt;&gt;"",E576&lt;&gt;"!!!"),"NEW","")))</f>
        <v> </v>
      </c>
      <c r="G576" s="24" t="str">
        <f>IF(OR(E576="",E576="!!!"),"",IF(OR(J576=0,AND(J576=1,K576=1),AND(J576=1,I576="SBJ"),AND(J576=1,I576=0)),"?IN_FOCUS",IF(J576&lt;=2,"?ACTIVATED",IF(J576&lt;&gt;"","?FAMILIAR",IF(F576="NEW",IF(ISNA(VLOOKUP(E576,#REF!,1,FALSE())),"?TYPE_IDENTIFIABLE","?REFERENTIAL"),"_")))))</f>
        <v> </v>
      </c>
      <c r="H576" s="25" t="str">
        <f>IF(J576&lt;&gt;1,"",IF(I576="SBJ","CB","?"))</f>
        <v> </v>
      </c>
      <c r="I576" s="26" t="str">
        <f>IF(OR(E576="",E576="!!!",F576="NEW"),"",INDEX(B575:B$2,-1+SUMPRODUCT(MAX(ROW(E575:E$2)*(E576=E575:E$2)))))</f>
        <v> </v>
      </c>
      <c r="J576" s="26" t="str">
        <f>IF(OR(E576="",E576="!!!",F576="NEW"),"",COUNTBLANK(OFFSET(A$1,,,SUMPRODUCT(MAX(ROW(E$2:E576)*(E576=E$2:E576)))))-COUNTBLANK(OFFSET(A$1,,,SUMPRODUCT(MAX(ROW(E$1:E575)*(E2=E$1:E575))))))</f>
        <v> </v>
      </c>
      <c r="K576" s="26" t="str">
        <f>IF(OR(E576="",E576="!!!",F576="NEW"),"",INDEX(J$1:J575,SUMPRODUCT(MAX(ROW(E$1:E575)*(E576=E$1:E575)))))</f>
        <v> </v>
      </c>
      <c r="L576" s="27"/>
    </row>
    <row r="577" spans="1:12">
      <c r="A577" s="20" t="s">
        <v>359</v>
      </c>
      <c r="B577" s="21" t="s">
        <v>124</v>
      </c>
      <c r="C577" s="21" t="s">
        <v>175</v>
      </c>
      <c r="D577" s="21" t="s">
        <v>106</v>
      </c>
      <c r="E577" s="22">
        <f>IF(D577="?OLD","!!!","")</f>
        <v/>
      </c>
      <c r="F577" s="23" t="str">
        <f>IF(OR(E577="",E577="!!!"),"",IF(NOT(ISNA(VLOOKUP(E577,E$1:E576,1,FALSE()))),"OLD",IF(AND(E577&lt;&gt;"",E577&lt;&gt;"!!!"),"NEW","")))</f>
        <v> </v>
      </c>
      <c r="G577" s="24" t="str">
        <f>IF(OR(E577="",E577="!!!"),"",IF(OR(J577=0,AND(J577=1,K577=1),AND(J577=1,I577="SBJ"),AND(J577=1,I577=0)),"?IN_FOCUS",IF(J577&lt;=2,"?ACTIVATED",IF(J577&lt;&gt;"","?FAMILIAR",IF(F577="NEW",IF(ISNA(VLOOKUP(E577,#REF!,1,FALSE())),"?TYPE_IDENTIFIABLE","?REFERENTIAL"),"_")))))</f>
        <v> </v>
      </c>
      <c r="H577" s="25" t="str">
        <f>IF(J577&lt;&gt;1,"",IF(I577="SBJ","CB","?"))</f>
        <v> </v>
      </c>
      <c r="I577" s="26" t="str">
        <f>IF(OR(E577="",E577="!!!",F577="NEW"),"",INDEX(B576:B$2,-1+SUMPRODUCT(MAX(ROW(E576:E$2)*(E577=E576:E$2)))))</f>
        <v> </v>
      </c>
      <c r="J577" s="26" t="str">
        <f>IF(OR(E577="",E577="!!!",F577="NEW"),"",COUNTBLANK(OFFSET(A$1,,,SUMPRODUCT(MAX(ROW(E$2:E577)*(E577=E$2:E577)))))-COUNTBLANK(OFFSET(A$1,,,SUMPRODUCT(MAX(ROW(E$1:E576)*(E2=E$1:E576))))))</f>
        <v> </v>
      </c>
      <c r="K577" s="26" t="str">
        <f>IF(OR(E577="",E577="!!!",F577="NEW"),"",INDEX(J$1:J576,SUMPRODUCT(MAX(ROW(E$1:E576)*(E577=E$1:E576)))))</f>
        <v> </v>
      </c>
      <c r="L577" s="27"/>
    </row>
    <row r="578" spans="1:12">
      <c r="A578" s="20" t="s">
        <v>435</v>
      </c>
      <c r="B578" s="21" t="s">
        <v>139</v>
      </c>
      <c r="C578" s="21" t="s">
        <v>436</v>
      </c>
      <c r="D578" s="21" t="s">
        <v>106</v>
      </c>
      <c r="E578" s="22">
        <f>IF(D578="?OLD","!!!","")</f>
        <v/>
      </c>
      <c r="F578" s="23" t="str">
        <f>IF(OR(E578="",E578="!!!"),"",IF(NOT(ISNA(VLOOKUP(E578,E$1:E577,1,FALSE()))),"OLD",IF(AND(E578&lt;&gt;"",E578&lt;&gt;"!!!"),"NEW","")))</f>
        <v> </v>
      </c>
      <c r="G578" s="24" t="str">
        <f>IF(OR(E578="",E578="!!!"),"",IF(OR(J578=0,AND(J578=1,K578=1),AND(J578=1,I578="SBJ"),AND(J578=1,I578=0)),"?IN_FOCUS",IF(J578&lt;=2,"?ACTIVATED",IF(J578&lt;&gt;"","?FAMILIAR",IF(F578="NEW",IF(ISNA(VLOOKUP(E578,#REF!,1,FALSE())),"?TYPE_IDENTIFIABLE","?REFERENTIAL"),"_")))))</f>
        <v> </v>
      </c>
      <c r="H578" s="25" t="str">
        <f>IF(J578&lt;&gt;1,"",IF(I578="SBJ","CB","?"))</f>
        <v> </v>
      </c>
      <c r="I578" s="26" t="str">
        <f>IF(OR(E578="",E578="!!!",F578="NEW"),"",INDEX(B577:B$2,-1+SUMPRODUCT(MAX(ROW(E577:E$2)*(E578=E577:E$2)))))</f>
        <v> </v>
      </c>
      <c r="J578" s="26" t="str">
        <f>IF(OR(E578="",E578="!!!",F578="NEW"),"",COUNTBLANK(OFFSET(A$1,,,SUMPRODUCT(MAX(ROW(E$2:E578)*(E578=E$2:E578)))))-COUNTBLANK(OFFSET(A$1,,,SUMPRODUCT(MAX(ROW(E$1:E577)*(E2=E$1:E577))))))</f>
        <v> </v>
      </c>
      <c r="K578" s="26" t="str">
        <f>IF(OR(E578="",E578="!!!",F578="NEW"),"",INDEX(J$1:J577,SUMPRODUCT(MAX(ROW(E$1:E577)*(E578=E$1:E577)))))</f>
        <v> </v>
      </c>
      <c r="L578" s="27"/>
    </row>
    <row r="579" spans="1:12">
      <c r="A579" s="20" t="s">
        <v>437</v>
      </c>
      <c r="E579" s="22">
        <f>IF(D579="?OLD","!!!","")</f>
        <v/>
      </c>
      <c r="F579" s="23" t="str">
        <f>IF(OR(E579="",E579="!!!"),"",IF(NOT(ISNA(VLOOKUP(E579,E$1:E578,1,FALSE()))),"OLD",IF(AND(E579&lt;&gt;"",E579&lt;&gt;"!!!"),"NEW","")))</f>
        <v> </v>
      </c>
      <c r="G579" s="24" t="str">
        <f>IF(OR(E579="",E579="!!!"),"",IF(OR(J579=0,AND(J579=1,K579=1),AND(J579=1,I579="SBJ"),AND(J579=1,I579=0)),"?IN_FOCUS",IF(J579&lt;=2,"?ACTIVATED",IF(J579&lt;&gt;"","?FAMILIAR",IF(F579="NEW",IF(ISNA(VLOOKUP(E579,#REF!,1,FALSE())),"?TYPE_IDENTIFIABLE","?REFERENTIAL"),"_")))))</f>
        <v> </v>
      </c>
      <c r="H579" s="25" t="str">
        <f>IF(J579&lt;&gt;1,"",IF(I579="SBJ","CB","?"))</f>
        <v> </v>
      </c>
      <c r="I579" s="26" t="str">
        <f>IF(OR(E579="",E579="!!!",F579="NEW"),"",INDEX(B578:B$2,-1+SUMPRODUCT(MAX(ROW(E578:E$2)*(E579=E578:E$2)))))</f>
        <v> </v>
      </c>
      <c r="J579" s="26" t="str">
        <f>IF(OR(E579="",E579="!!!",F579="NEW"),"",COUNTBLANK(OFFSET(A$1,,,SUMPRODUCT(MAX(ROW(E$2:E579)*(E579=E$2:E579)))))-COUNTBLANK(OFFSET(A$1,,,SUMPRODUCT(MAX(ROW(E$1:E578)*(E2=E$1:E578))))))</f>
        <v> </v>
      </c>
      <c r="K579" s="26" t="str">
        <f>IF(OR(E579="",E579="!!!",F579="NEW"),"",INDEX(J$1:J578,SUMPRODUCT(MAX(ROW(E$1:E578)*(E579=E$1:E578)))))</f>
        <v> </v>
      </c>
      <c r="L579" s="27"/>
    </row>
    <row r="580" spans="1:12">
      <c r="A580" s="20" t="s">
        <v>116</v>
      </c>
      <c r="E580" s="22">
        <f>IF(D580="?OLD","!!!","")</f>
        <v/>
      </c>
      <c r="F580" s="23" t="str">
        <f>IF(OR(E580="",E580="!!!"),"",IF(NOT(ISNA(VLOOKUP(E580,E$1:E579,1,FALSE()))),"OLD",IF(AND(E580&lt;&gt;"",E580&lt;&gt;"!!!"),"NEW","")))</f>
        <v> </v>
      </c>
      <c r="G580" s="24" t="str">
        <f>IF(OR(E580="",E580="!!!"),"",IF(OR(J580=0,AND(J580=1,K580=1),AND(J580=1,I580="SBJ"),AND(J580=1,I580=0)),"?IN_FOCUS",IF(J580&lt;=2,"?ACTIVATED",IF(J580&lt;&gt;"","?FAMILIAR",IF(F580="NEW",IF(ISNA(VLOOKUP(E580,#REF!,1,FALSE())),"?TYPE_IDENTIFIABLE","?REFERENTIAL"),"_")))))</f>
        <v> </v>
      </c>
      <c r="H580" s="25" t="str">
        <f>IF(J580&lt;&gt;1,"",IF(I580="SBJ","CB","?"))</f>
        <v> </v>
      </c>
      <c r="I580" s="26" t="str">
        <f>IF(OR(E580="",E580="!!!",F580="NEW"),"",INDEX(B579:B$2,-1+SUMPRODUCT(MAX(ROW(E579:E$2)*(E580=E579:E$2)))))</f>
        <v> </v>
      </c>
      <c r="J580" s="26" t="str">
        <f>IF(OR(E580="",E580="!!!",F580="NEW"),"",COUNTBLANK(OFFSET(A$1,,,SUMPRODUCT(MAX(ROW(E$2:E580)*(E580=E$2:E580)))))-COUNTBLANK(OFFSET(A$1,,,SUMPRODUCT(MAX(ROW(E$1:E579)*(E2=E$1:E579))))))</f>
        <v> </v>
      </c>
      <c r="K580" s="26" t="str">
        <f>IF(OR(E580="",E580="!!!",F580="NEW"),"",INDEX(J$1:J579,SUMPRODUCT(MAX(ROW(E$1:E579)*(E580=E$1:E579)))))</f>
        <v> </v>
      </c>
      <c r="L580" s="27"/>
    </row>
    <row r="581" spans="1:12">
      <c r="A581" s="20" t="s">
        <v>281</v>
      </c>
      <c r="E581" s="22">
        <f>IF(D581="?OLD","!!!","")</f>
        <v/>
      </c>
      <c r="F581" s="23" t="str">
        <f>IF(OR(E581="",E581="!!!"),"",IF(NOT(ISNA(VLOOKUP(E581,E$1:E580,1,FALSE()))),"OLD",IF(AND(E581&lt;&gt;"",E581&lt;&gt;"!!!"),"NEW","")))</f>
        <v> </v>
      </c>
      <c r="G581" s="24" t="str">
        <f>IF(OR(E581="",E581="!!!"),"",IF(OR(J581=0,AND(J581=1,K581=1),AND(J581=1,I581="SBJ"),AND(J581=1,I581=0)),"?IN_FOCUS",IF(J581&lt;=2,"?ACTIVATED",IF(J581&lt;&gt;"","?FAMILIAR",IF(F581="NEW",IF(ISNA(VLOOKUP(E581,#REF!,1,FALSE())),"?TYPE_IDENTIFIABLE","?REFERENTIAL"),"_")))))</f>
        <v> </v>
      </c>
      <c r="H581" s="25" t="str">
        <f>IF(J581&lt;&gt;1,"",IF(I581="SBJ","CB","?"))</f>
        <v> </v>
      </c>
      <c r="I581" s="26" t="str">
        <f>IF(OR(E581="",E581="!!!",F581="NEW"),"",INDEX(B580:B$2,-1+SUMPRODUCT(MAX(ROW(E580:E$2)*(E581=E580:E$2)))))</f>
        <v> </v>
      </c>
      <c r="J581" s="26" t="str">
        <f>IF(OR(E581="",E581="!!!",F581="NEW"),"",COUNTBLANK(OFFSET(A$1,,,SUMPRODUCT(MAX(ROW(E$2:E581)*(E581=E$2:E581)))))-COUNTBLANK(OFFSET(A$1,,,SUMPRODUCT(MAX(ROW(E$1:E580)*(E2=E$1:E580))))))</f>
        <v> </v>
      </c>
      <c r="K581" s="26" t="str">
        <f>IF(OR(E581="",E581="!!!",F581="NEW"),"",INDEX(J$1:J580,SUMPRODUCT(MAX(ROW(E$1:E580)*(E581=E$1:E580)))))</f>
        <v> </v>
      </c>
      <c r="L581" s="27"/>
    </row>
    <row r="582" spans="1:12">
      <c r="A582" s="20" t="s">
        <v>438</v>
      </c>
      <c r="E582" s="22">
        <f>IF(D582="?OLD","!!!","")</f>
        <v/>
      </c>
      <c r="F582" s="23" t="str">
        <f>IF(OR(E582="",E582="!!!"),"",IF(NOT(ISNA(VLOOKUP(E582,E$1:E581,1,FALSE()))),"OLD",IF(AND(E582&lt;&gt;"",E582&lt;&gt;"!!!"),"NEW","")))</f>
        <v> </v>
      </c>
      <c r="G582" s="24" t="str">
        <f>IF(OR(E582="",E582="!!!"),"",IF(OR(J582=0,AND(J582=1,K582=1),AND(J582=1,I582="SBJ"),AND(J582=1,I582=0)),"?IN_FOCUS",IF(J582&lt;=2,"?ACTIVATED",IF(J582&lt;&gt;"","?FAMILIAR",IF(F582="NEW",IF(ISNA(VLOOKUP(E582,#REF!,1,FALSE())),"?TYPE_IDENTIFIABLE","?REFERENTIAL"),"_")))))</f>
        <v> </v>
      </c>
      <c r="H582" s="25" t="str">
        <f>IF(J582&lt;&gt;1,"",IF(I582="SBJ","CB","?"))</f>
        <v> </v>
      </c>
      <c r="I582" s="26" t="str">
        <f>IF(OR(E582="",E582="!!!",F582="NEW"),"",INDEX(B581:B$2,-1+SUMPRODUCT(MAX(ROW(E581:E$2)*(E582=E581:E$2)))))</f>
        <v> </v>
      </c>
      <c r="J582" s="26" t="str">
        <f>IF(OR(E582="",E582="!!!",F582="NEW"),"",COUNTBLANK(OFFSET(A$1,,,SUMPRODUCT(MAX(ROW(E$2:E582)*(E582=E$2:E582)))))-COUNTBLANK(OFFSET(A$1,,,SUMPRODUCT(MAX(ROW(E$1:E581)*(E2=E$1:E581))))))</f>
        <v> </v>
      </c>
      <c r="K582" s="26" t="str">
        <f>IF(OR(E582="",E582="!!!",F582="NEW"),"",INDEX(J$1:J581,SUMPRODUCT(MAX(ROW(E$1:E581)*(E582=E$1:E581)))))</f>
        <v> </v>
      </c>
      <c r="L582" s="27"/>
    </row>
    <row r="583" spans="1:12">
      <c r="A583" s="20" t="s">
        <v>439</v>
      </c>
      <c r="B583" s="21" t="s">
        <v>187</v>
      </c>
      <c r="C583" s="21" t="s">
        <v>122</v>
      </c>
      <c r="E583" s="22">
        <f>IF(D583="?OLD","!!!","")</f>
        <v/>
      </c>
      <c r="F583" s="23" t="str">
        <f>IF(OR(E583="",E583="!!!"),"",IF(NOT(ISNA(VLOOKUP(E583,E$1:E582,1,FALSE()))),"OLD",IF(AND(E583&lt;&gt;"",E583&lt;&gt;"!!!"),"NEW","")))</f>
        <v> </v>
      </c>
      <c r="G583" s="24" t="str">
        <f>IF(OR(E583="",E583="!!!"),"",IF(OR(J583=0,AND(J583=1,K583=1),AND(J583=1,I583="SBJ"),AND(J583=1,I583=0)),"?IN_FOCUS",IF(J583&lt;=2,"?ACTIVATED",IF(J583&lt;&gt;"","?FAMILIAR",IF(F583="NEW",IF(ISNA(VLOOKUP(E583,#REF!,1,FALSE())),"?TYPE_IDENTIFIABLE","?REFERENTIAL"),"_")))))</f>
        <v> </v>
      </c>
      <c r="H583" s="25" t="str">
        <f>IF(J583&lt;&gt;1,"",IF(I583="SBJ","CB","?"))</f>
        <v> </v>
      </c>
      <c r="I583" s="26" t="str">
        <f>IF(OR(E583="",E583="!!!",F583="NEW"),"",INDEX(B582:B$2,-1+SUMPRODUCT(MAX(ROW(E582:E$2)*(E583=E582:E$2)))))</f>
        <v> </v>
      </c>
      <c r="J583" s="26" t="str">
        <f>IF(OR(E583="",E583="!!!",F583="NEW"),"",COUNTBLANK(OFFSET(A$1,,,SUMPRODUCT(MAX(ROW(E$2:E583)*(E583=E$2:E583)))))-COUNTBLANK(OFFSET(A$1,,,SUMPRODUCT(MAX(ROW(E$1:E582)*(E2=E$1:E582))))))</f>
        <v> </v>
      </c>
      <c r="K583" s="26" t="str">
        <f>IF(OR(E583="",E583="!!!",F583="NEW"),"",INDEX(J$1:J582,SUMPRODUCT(MAX(ROW(E$1:E582)*(E583=E$1:E582)))))</f>
        <v> </v>
      </c>
      <c r="L583" s="27"/>
    </row>
    <row r="584" spans="1:12">
      <c r="A584" s="20" t="s">
        <v>189</v>
      </c>
      <c r="E584" s="22">
        <f>IF(D584="?OLD","!!!","")</f>
        <v/>
      </c>
      <c r="F584" s="23" t="str">
        <f>IF(OR(E584="",E584="!!!"),"",IF(NOT(ISNA(VLOOKUP(E584,E$1:E583,1,FALSE()))),"OLD",IF(AND(E584&lt;&gt;"",E584&lt;&gt;"!!!"),"NEW","")))</f>
        <v> </v>
      </c>
      <c r="G584" s="24" t="str">
        <f>IF(OR(E584="",E584="!!!"),"",IF(OR(J584=0,AND(J584=1,K584=1),AND(J584=1,I584="SBJ"),AND(J584=1,I584=0)),"?IN_FOCUS",IF(J584&lt;=2,"?ACTIVATED",IF(J584&lt;&gt;"","?FAMILIAR",IF(F584="NEW",IF(ISNA(VLOOKUP(E584,#REF!,1,FALSE())),"?TYPE_IDENTIFIABLE","?REFERENTIAL"),"_")))))</f>
        <v> </v>
      </c>
      <c r="H584" s="25" t="str">
        <f>IF(J584&lt;&gt;1,"",IF(I584="SBJ","CB","?"))</f>
        <v> </v>
      </c>
      <c r="I584" s="26" t="str">
        <f>IF(OR(E584="",E584="!!!",F584="NEW"),"",INDEX(B583:B$2,-1+SUMPRODUCT(MAX(ROW(E583:E$2)*(E584=E583:E$2)))))</f>
        <v> </v>
      </c>
      <c r="J584" s="26" t="str">
        <f>IF(OR(E584="",E584="!!!",F584="NEW"),"",COUNTBLANK(OFFSET(A$1,,,SUMPRODUCT(MAX(ROW(E$2:E584)*(E584=E$2:E584)))))-COUNTBLANK(OFFSET(A$1,,,SUMPRODUCT(MAX(ROW(E$1:E583)*(E2=E$1:E583))))))</f>
        <v> </v>
      </c>
      <c r="K584" s="26" t="str">
        <f>IF(OR(E584="",E584="!!!",F584="NEW"),"",INDEX(J$1:J583,SUMPRODUCT(MAX(ROW(E$1:E583)*(E584=E$1:E583)))))</f>
        <v> </v>
      </c>
      <c r="L584" s="27"/>
    </row>
    <row r="585" spans="1:12">
      <c r="A585" s="20" t="s">
        <v>440</v>
      </c>
      <c r="E585" s="22">
        <f>IF(D585="?OLD","!!!","")</f>
        <v/>
      </c>
      <c r="F585" s="23" t="str">
        <f>IF(OR(E585="",E585="!!!"),"",IF(NOT(ISNA(VLOOKUP(E585,E$1:E584,1,FALSE()))),"OLD",IF(AND(E585&lt;&gt;"",E585&lt;&gt;"!!!"),"NEW","")))</f>
        <v> </v>
      </c>
      <c r="G585" s="24" t="str">
        <f>IF(OR(E585="",E585="!!!"),"",IF(OR(J585=0,AND(J585=1,K585=1),AND(J585=1,I585="SBJ"),AND(J585=1,I585=0)),"?IN_FOCUS",IF(J585&lt;=2,"?ACTIVATED",IF(J585&lt;&gt;"","?FAMILIAR",IF(F585="NEW",IF(ISNA(VLOOKUP(E585,#REF!,1,FALSE())),"?TYPE_IDENTIFIABLE","?REFERENTIAL"),"_")))))</f>
        <v> </v>
      </c>
      <c r="H585" s="25" t="str">
        <f>IF(J585&lt;&gt;1,"",IF(I585="SBJ","CB","?"))</f>
        <v> </v>
      </c>
      <c r="I585" s="26" t="str">
        <f>IF(OR(E585="",E585="!!!",F585="NEW"),"",INDEX(B584:B$2,-1+SUMPRODUCT(MAX(ROW(E584:E$2)*(E585=E584:E$2)))))</f>
        <v> </v>
      </c>
      <c r="J585" s="26" t="str">
        <f>IF(OR(E585="",E585="!!!",F585="NEW"),"",COUNTBLANK(OFFSET(A$1,,,SUMPRODUCT(MAX(ROW(E$2:E585)*(E585=E$2:E585)))))-COUNTBLANK(OFFSET(A$1,,,SUMPRODUCT(MAX(ROW(E$1:E584)*(E2=E$1:E584))))))</f>
        <v> </v>
      </c>
      <c r="K585" s="26" t="str">
        <f>IF(OR(E585="",E585="!!!",F585="NEW"),"",INDEX(J$1:J584,SUMPRODUCT(MAX(ROW(E$1:E584)*(E585=E$1:E584)))))</f>
        <v> </v>
      </c>
      <c r="L585" s="27"/>
    </row>
    <row r="586" spans="1:12">
      <c r="A586" s="20" t="s">
        <v>135</v>
      </c>
      <c r="E586" s="22">
        <f>IF(D586="?OLD","!!!","")</f>
        <v/>
      </c>
      <c r="F586" s="23" t="str">
        <f>IF(OR(E586="",E586="!!!"),"",IF(NOT(ISNA(VLOOKUP(E586,E$1:E585,1,FALSE()))),"OLD",IF(AND(E586&lt;&gt;"",E586&lt;&gt;"!!!"),"NEW","")))</f>
        <v> </v>
      </c>
      <c r="G586" s="24" t="str">
        <f>IF(OR(E586="",E586="!!!"),"",IF(OR(J586=0,AND(J586=1,K586=1),AND(J586=1,I586="SBJ"),AND(J586=1,I586=0)),"?IN_FOCUS",IF(J586&lt;=2,"?ACTIVATED",IF(J586&lt;&gt;"","?FAMILIAR",IF(F586="NEW",IF(ISNA(VLOOKUP(E586,#REF!,1,FALSE())),"?TYPE_IDENTIFIABLE","?REFERENTIAL"),"_")))))</f>
        <v> </v>
      </c>
      <c r="H586" s="25" t="str">
        <f>IF(J586&lt;&gt;1,"",IF(I586="SBJ","CB","?"))</f>
        <v> </v>
      </c>
      <c r="I586" s="26" t="str">
        <f>IF(OR(E586="",E586="!!!",F586="NEW"),"",INDEX(B585:B$2,-1+SUMPRODUCT(MAX(ROW(E585:E$2)*(E586=E585:E$2)))))</f>
        <v> </v>
      </c>
      <c r="J586" s="26" t="str">
        <f>IF(OR(E586="",E586="!!!",F586="NEW"),"",COUNTBLANK(OFFSET(A$1,,,SUMPRODUCT(MAX(ROW(E$2:E586)*(E586=E$2:E586)))))-COUNTBLANK(OFFSET(A$1,,,SUMPRODUCT(MAX(ROW(E$1:E585)*(E2=E$1:E585))))))</f>
        <v> </v>
      </c>
      <c r="K586" s="26" t="str">
        <f>IF(OR(E586="",E586="!!!",F586="NEW"),"",INDEX(J$1:J585,SUMPRODUCT(MAX(ROW(E$1:E585)*(E586=E$1:E585)))))</f>
        <v> </v>
      </c>
      <c r="L586" s="27"/>
    </row>
    <row r="587" spans="1:12">
      <c r="A587" s="20"/>
    </row>
    <row r="588" spans="1:12">
      <c r="A588" s="20" t="s">
        <v>441</v>
      </c>
    </row>
    <row r="589" spans="1:12">
      <c r="A589" s="20" t="s">
        <v>169</v>
      </c>
      <c r="B589" s="21" t="s">
        <v>110</v>
      </c>
      <c r="C589" s="21" t="s">
        <v>170</v>
      </c>
      <c r="D589" s="21" t="s">
        <v>106</v>
      </c>
      <c r="E589" s="22">
        <f>IF(D589="?OLD","!!!","")</f>
        <v/>
      </c>
      <c r="F589" s="23" t="str">
        <f>IF(OR(E589="",E589="!!!"),"",IF(NOT(ISNA(VLOOKUP(E589,E$1:E588,1,FALSE()))),"OLD",IF(AND(E589&lt;&gt;"",E589&lt;&gt;"!!!"),"NEW","")))</f>
        <v> </v>
      </c>
      <c r="G589" s="24" t="str">
        <f>IF(OR(E589="",E589="!!!"),"",IF(OR(J589=0,AND(J589=1,K589=1),AND(J589=1,I589="SBJ"),AND(J589=1,I589=0)),"?IN_FOCUS",IF(J589&lt;=2,"?ACTIVATED",IF(J589&lt;&gt;"","?FAMILIAR",IF(F589="NEW",IF(ISNA(VLOOKUP(E589,#REF!,1,FALSE())),"?TYPE_IDENTIFIABLE","?REFERENTIAL"),"_")))))</f>
        <v> </v>
      </c>
      <c r="H589" s="25" t="str">
        <f>IF(J589&lt;&gt;1,"",IF(I589="SBJ","CB","?"))</f>
        <v> </v>
      </c>
      <c r="I589" s="26" t="str">
        <f>IF(OR(E589="",E589="!!!",F589="NEW"),"",INDEX(B588:B$2,-1+SUMPRODUCT(MAX(ROW(E588:E$2)*(E589=E588:E$2)))))</f>
        <v> </v>
      </c>
      <c r="J589" s="26" t="str">
        <f>IF(OR(E589="",E589="!!!",F589="NEW"),"",COUNTBLANK(OFFSET(A$1,,,SUMPRODUCT(MAX(ROW(E$2:E589)*(E589=E$2:E589)))))-COUNTBLANK(OFFSET(A$1,,,SUMPRODUCT(MAX(ROW(E$1:E588)*(E2=E$1:E588))))))</f>
        <v> </v>
      </c>
      <c r="K589" s="26" t="str">
        <f>IF(OR(E589="",E589="!!!",F589="NEW"),"",INDEX(J$1:J588,SUMPRODUCT(MAX(ROW(E$1:E588)*(E589=E$1:E588)))))</f>
        <v> </v>
      </c>
      <c r="L589" s="27"/>
    </row>
    <row r="590" spans="1:12">
      <c r="A590" s="20" t="s">
        <v>442</v>
      </c>
      <c r="B590" s="21" t="s">
        <v>110</v>
      </c>
      <c r="C590" s="21" t="s">
        <v>130</v>
      </c>
      <c r="E590" s="22">
        <f>IF(D590="?OLD","!!!","")</f>
        <v/>
      </c>
      <c r="F590" s="23" t="str">
        <f>IF(OR(E590="",E590="!!!"),"",IF(NOT(ISNA(VLOOKUP(E590,E$1:E589,1,FALSE()))),"OLD",IF(AND(E590&lt;&gt;"",E590&lt;&gt;"!!!"),"NEW","")))</f>
        <v> </v>
      </c>
      <c r="G590" s="24" t="str">
        <f>IF(OR(E590="",E590="!!!"),"",IF(OR(J590=0,AND(J590=1,K590=1),AND(J590=1,I590="SBJ"),AND(J590=1,I590=0)),"?IN_FOCUS",IF(J590&lt;=2,"?ACTIVATED",IF(J590&lt;&gt;"","?FAMILIAR",IF(F590="NEW",IF(ISNA(VLOOKUP(E590,#REF!,1,FALSE())),"?TYPE_IDENTIFIABLE","?REFERENTIAL"),"_")))))</f>
        <v> </v>
      </c>
      <c r="H590" s="25" t="str">
        <f>IF(J590&lt;&gt;1,"",IF(I590="SBJ","CB","?"))</f>
        <v> </v>
      </c>
      <c r="I590" s="26" t="str">
        <f>IF(OR(E590="",E590="!!!",F590="NEW"),"",INDEX(B589:B$2,-1+SUMPRODUCT(MAX(ROW(E589:E$2)*(E590=E589:E$2)))))</f>
        <v> </v>
      </c>
      <c r="J590" s="26" t="str">
        <f>IF(OR(E590="",E590="!!!",F590="NEW"),"",COUNTBLANK(OFFSET(A$1,,,SUMPRODUCT(MAX(ROW(E$2:E590)*(E590=E$2:E590)))))-COUNTBLANK(OFFSET(A$1,,,SUMPRODUCT(MAX(ROW(E$1:E589)*(E2=E$1:E589))))))</f>
        <v> </v>
      </c>
      <c r="K590" s="26" t="str">
        <f>IF(OR(E590="",E590="!!!",F590="NEW"),"",INDEX(J$1:J589,SUMPRODUCT(MAX(ROW(E$1:E589)*(E590=E$1:E589)))))</f>
        <v> </v>
      </c>
      <c r="L590" s="27"/>
    </row>
    <row r="591" spans="1:12">
      <c r="A591" s="20" t="s">
        <v>114</v>
      </c>
      <c r="E591" s="22">
        <f>IF(D591="?OLD","!!!","")</f>
        <v/>
      </c>
      <c r="F591" s="23" t="str">
        <f>IF(OR(E591="",E591="!!!"),"",IF(NOT(ISNA(VLOOKUP(E591,E$1:E590,1,FALSE()))),"OLD",IF(AND(E591&lt;&gt;"",E591&lt;&gt;"!!!"),"NEW","")))</f>
        <v> </v>
      </c>
      <c r="G591" s="24" t="str">
        <f>IF(OR(E591="",E591="!!!"),"",IF(OR(J591=0,AND(J591=1,K591=1),AND(J591=1,I591="SBJ"),AND(J591=1,I591=0)),"?IN_FOCUS",IF(J591&lt;=2,"?ACTIVATED",IF(J591&lt;&gt;"","?FAMILIAR",IF(F591="NEW",IF(ISNA(VLOOKUP(E591,#REF!,1,FALSE())),"?TYPE_IDENTIFIABLE","?REFERENTIAL"),"_")))))</f>
        <v> </v>
      </c>
      <c r="H591" s="25" t="str">
        <f>IF(J591&lt;&gt;1,"",IF(I591="SBJ","CB","?"))</f>
        <v> </v>
      </c>
      <c r="I591" s="26" t="str">
        <f>IF(OR(E591="",E591="!!!",F591="NEW"),"",INDEX(B590:B$2,-1+SUMPRODUCT(MAX(ROW(E590:E$2)*(E591=E590:E$2)))))</f>
        <v> </v>
      </c>
      <c r="J591" s="26" t="str">
        <f>IF(OR(E591="",E591="!!!",F591="NEW"),"",COUNTBLANK(OFFSET(A$1,,,SUMPRODUCT(MAX(ROW(E$2:E591)*(E591=E$2:E591)))))-COUNTBLANK(OFFSET(A$1,,,SUMPRODUCT(MAX(ROW(E$1:E590)*(E2=E$1:E590))))))</f>
        <v> </v>
      </c>
      <c r="K591" s="26" t="str">
        <f>IF(OR(E591="",E591="!!!",F591="NEW"),"",INDEX(J$1:J590,SUMPRODUCT(MAX(ROW(E$1:E590)*(E591=E$1:E590)))))</f>
        <v> </v>
      </c>
      <c r="L591" s="27"/>
    </row>
    <row r="592" spans="1:12">
      <c r="A592" s="20" t="s">
        <v>443</v>
      </c>
      <c r="B592" s="21" t="s">
        <v>124</v>
      </c>
      <c r="C592" s="21" t="s">
        <v>170</v>
      </c>
      <c r="D592" s="21" t="s">
        <v>106</v>
      </c>
      <c r="E592" s="22">
        <f>IF(D592="?OLD","!!!","")</f>
        <v/>
      </c>
      <c r="F592" s="23" t="str">
        <f>IF(OR(E592="",E592="!!!"),"",IF(NOT(ISNA(VLOOKUP(E592,E$1:E591,1,FALSE()))),"OLD",IF(AND(E592&lt;&gt;"",E592&lt;&gt;"!!!"),"NEW","")))</f>
        <v> </v>
      </c>
      <c r="G592" s="24" t="str">
        <f>IF(OR(E592="",E592="!!!"),"",IF(OR(J592=0,AND(J592=1,K592=1),AND(J592=1,I592="SBJ"),AND(J592=1,I592=0)),"?IN_FOCUS",IF(J592&lt;=2,"?ACTIVATED",IF(J592&lt;&gt;"","?FAMILIAR",IF(F592="NEW",IF(ISNA(VLOOKUP(E592,#REF!,1,FALSE())),"?TYPE_IDENTIFIABLE","?REFERENTIAL"),"_")))))</f>
        <v> </v>
      </c>
      <c r="H592" s="25" t="str">
        <f>IF(J592&lt;&gt;1,"",IF(I592="SBJ","CB","?"))</f>
        <v> </v>
      </c>
      <c r="I592" s="26" t="str">
        <f>IF(OR(E592="",E592="!!!",F592="NEW"),"",INDEX(B591:B$2,-1+SUMPRODUCT(MAX(ROW(E591:E$2)*(E592=E591:E$2)))))</f>
        <v> </v>
      </c>
      <c r="J592" s="26" t="str">
        <f>IF(OR(E592="",E592="!!!",F592="NEW"),"",COUNTBLANK(OFFSET(A$1,,,SUMPRODUCT(MAX(ROW(E$2:E592)*(E592=E$2:E592)))))-COUNTBLANK(OFFSET(A$1,,,SUMPRODUCT(MAX(ROW(E$1:E591)*(E2=E$1:E591))))))</f>
        <v> </v>
      </c>
      <c r="K592" s="26" t="str">
        <f>IF(OR(E592="",E592="!!!",F592="NEW"),"",INDEX(J$1:J591,SUMPRODUCT(MAX(ROW(E$1:E591)*(E592=E$1:E591)))))</f>
        <v> </v>
      </c>
      <c r="L592" s="27"/>
    </row>
    <row r="593" spans="1:12">
      <c r="A593" s="20" t="s">
        <v>444</v>
      </c>
      <c r="B593" s="21" t="s">
        <v>110</v>
      </c>
      <c r="C593" s="21" t="s">
        <v>130</v>
      </c>
      <c r="E593" s="22">
        <f>IF(D593="?OLD","!!!","")</f>
        <v/>
      </c>
      <c r="F593" s="23" t="str">
        <f>IF(OR(E593="",E593="!!!"),"",IF(NOT(ISNA(VLOOKUP(E593,E$1:E592,1,FALSE()))),"OLD",IF(AND(E593&lt;&gt;"",E593&lt;&gt;"!!!"),"NEW","")))</f>
        <v> </v>
      </c>
      <c r="G593" s="24" t="str">
        <f>IF(OR(E593="",E593="!!!"),"",IF(OR(J593=0,AND(J593=1,K593=1),AND(J593=1,I593="SBJ"),AND(J593=1,I593=0)),"?IN_FOCUS",IF(J593&lt;=2,"?ACTIVATED",IF(J593&lt;&gt;"","?FAMILIAR",IF(F593="NEW",IF(ISNA(VLOOKUP(E593,#REF!,1,FALSE())),"?TYPE_IDENTIFIABLE","?REFERENTIAL"),"_")))))</f>
        <v> </v>
      </c>
      <c r="H593" s="25" t="str">
        <f>IF(J593&lt;&gt;1,"",IF(I593="SBJ","CB","?"))</f>
        <v> </v>
      </c>
      <c r="I593" s="26" t="str">
        <f>IF(OR(E593="",E593="!!!",F593="NEW"),"",INDEX(B592:B$2,-1+SUMPRODUCT(MAX(ROW(E592:E$2)*(E593=E592:E$2)))))</f>
        <v> </v>
      </c>
      <c r="J593" s="26" t="str">
        <f>IF(OR(E593="",E593="!!!",F593="NEW"),"",COUNTBLANK(OFFSET(A$1,,,SUMPRODUCT(MAX(ROW(E$2:E593)*(E593=E$2:E593)))))-COUNTBLANK(OFFSET(A$1,,,SUMPRODUCT(MAX(ROW(E$1:E592)*(E2=E$1:E592))))))</f>
        <v> </v>
      </c>
      <c r="K593" s="26" t="str">
        <f>IF(OR(E593="",E593="!!!",F593="NEW"),"",INDEX(J$1:J592,SUMPRODUCT(MAX(ROW(E$1:E592)*(E593=E$1:E592)))))</f>
        <v> </v>
      </c>
      <c r="L593" s="27"/>
    </row>
    <row r="594" spans="1:12">
      <c r="A594" s="20" t="s">
        <v>138</v>
      </c>
      <c r="E594" s="22">
        <f>IF(D594="?OLD","!!!","")</f>
        <v/>
      </c>
      <c r="F594" s="23" t="str">
        <f>IF(OR(E594="",E594="!!!"),"",IF(NOT(ISNA(VLOOKUP(E594,E$1:E593,1,FALSE()))),"OLD",IF(AND(E594&lt;&gt;"",E594&lt;&gt;"!!!"),"NEW","")))</f>
        <v> </v>
      </c>
      <c r="G594" s="24" t="str">
        <f>IF(OR(E594="",E594="!!!"),"",IF(OR(J594=0,AND(J594=1,K594=1),AND(J594=1,I594="SBJ"),AND(J594=1,I594=0)),"?IN_FOCUS",IF(J594&lt;=2,"?ACTIVATED",IF(J594&lt;&gt;"","?FAMILIAR",IF(F594="NEW",IF(ISNA(VLOOKUP(E594,#REF!,1,FALSE())),"?TYPE_IDENTIFIABLE","?REFERENTIAL"),"_")))))</f>
        <v> </v>
      </c>
      <c r="H594" s="25" t="str">
        <f>IF(J594&lt;&gt;1,"",IF(I594="SBJ","CB","?"))</f>
        <v> </v>
      </c>
      <c r="I594" s="26" t="str">
        <f>IF(OR(E594="",E594="!!!",F594="NEW"),"",INDEX(B593:B$2,-1+SUMPRODUCT(MAX(ROW(E593:E$2)*(E594=E593:E$2)))))</f>
        <v> </v>
      </c>
      <c r="J594" s="26" t="str">
        <f>IF(OR(E594="",E594="!!!",F594="NEW"),"",COUNTBLANK(OFFSET(A$1,,,SUMPRODUCT(MAX(ROW(E$2:E594)*(E594=E$2:E594)))))-COUNTBLANK(OFFSET(A$1,,,SUMPRODUCT(MAX(ROW(E$1:E593)*(E2=E$1:E593))))))</f>
        <v> </v>
      </c>
      <c r="K594" s="26" t="str">
        <f>IF(OR(E594="",E594="!!!",F594="NEW"),"",INDEX(J$1:J593,SUMPRODUCT(MAX(ROW(E$1:E593)*(E594=E$1:E593)))))</f>
        <v> </v>
      </c>
      <c r="L594" s="27"/>
    </row>
    <row r="595" spans="1:12">
      <c r="A595" s="20" t="s">
        <v>275</v>
      </c>
      <c r="E595" s="22">
        <f>IF(D595="?OLD","!!!","")</f>
        <v/>
      </c>
      <c r="F595" s="23" t="str">
        <f>IF(OR(E595="",E595="!!!"),"",IF(NOT(ISNA(VLOOKUP(E595,E$1:E594,1,FALSE()))),"OLD",IF(AND(E595&lt;&gt;"",E595&lt;&gt;"!!!"),"NEW","")))</f>
        <v> </v>
      </c>
      <c r="G595" s="24" t="str">
        <f>IF(OR(E595="",E595="!!!"),"",IF(OR(J595=0,AND(J595=1,K595=1),AND(J595=1,I595="SBJ"),AND(J595=1,I595=0)),"?IN_FOCUS",IF(J595&lt;=2,"?ACTIVATED",IF(J595&lt;&gt;"","?FAMILIAR",IF(F595="NEW",IF(ISNA(VLOOKUP(E595,#REF!,1,FALSE())),"?TYPE_IDENTIFIABLE","?REFERENTIAL"),"_")))))</f>
        <v> </v>
      </c>
      <c r="H595" s="25" t="str">
        <f>IF(J595&lt;&gt;1,"",IF(I595="SBJ","CB","?"))</f>
        <v> </v>
      </c>
      <c r="I595" s="26" t="str">
        <f>IF(OR(E595="",E595="!!!",F595="NEW"),"",INDEX(B594:B$2,-1+SUMPRODUCT(MAX(ROW(E594:E$2)*(E595=E594:E$2)))))</f>
        <v> </v>
      </c>
      <c r="J595" s="26" t="str">
        <f>IF(OR(E595="",E595="!!!",F595="NEW"),"",COUNTBLANK(OFFSET(A$1,,,SUMPRODUCT(MAX(ROW(E$2:E595)*(E595=E$2:E595)))))-COUNTBLANK(OFFSET(A$1,,,SUMPRODUCT(MAX(ROW(E$1:E594)*(E2=E$1:E594))))))</f>
        <v> </v>
      </c>
      <c r="K595" s="26" t="str">
        <f>IF(OR(E595="",E595="!!!",F595="NEW"),"",INDEX(J$1:J594,SUMPRODUCT(MAX(ROW(E$1:E594)*(E595=E$1:E594)))))</f>
        <v> </v>
      </c>
      <c r="L595" s="27"/>
    </row>
    <row r="596" spans="1:12">
      <c r="A596" s="20" t="s">
        <v>116</v>
      </c>
      <c r="E596" s="22">
        <f>IF(D596="?OLD","!!!","")</f>
        <v/>
      </c>
      <c r="F596" s="23" t="str">
        <f>IF(OR(E596="",E596="!!!"),"",IF(NOT(ISNA(VLOOKUP(E596,E$1:E595,1,FALSE()))),"OLD",IF(AND(E596&lt;&gt;"",E596&lt;&gt;"!!!"),"NEW","")))</f>
        <v> </v>
      </c>
      <c r="G596" s="24" t="str">
        <f>IF(OR(E596="",E596="!!!"),"",IF(OR(J596=0,AND(J596=1,K596=1),AND(J596=1,I596="SBJ"),AND(J596=1,I596=0)),"?IN_FOCUS",IF(J596&lt;=2,"?ACTIVATED",IF(J596&lt;&gt;"","?FAMILIAR",IF(F596="NEW",IF(ISNA(VLOOKUP(E596,#REF!,1,FALSE())),"?TYPE_IDENTIFIABLE","?REFERENTIAL"),"_")))))</f>
        <v> </v>
      </c>
      <c r="H596" s="25" t="str">
        <f>IF(J596&lt;&gt;1,"",IF(I596="SBJ","CB","?"))</f>
        <v> </v>
      </c>
      <c r="I596" s="26" t="str">
        <f>IF(OR(E596="",E596="!!!",F596="NEW"),"",INDEX(B595:B$2,-1+SUMPRODUCT(MAX(ROW(E595:E$2)*(E596=E595:E$2)))))</f>
        <v> </v>
      </c>
      <c r="J596" s="26" t="str">
        <f>IF(OR(E596="",E596="!!!",F596="NEW"),"",COUNTBLANK(OFFSET(A$1,,,SUMPRODUCT(MAX(ROW(E$2:E596)*(E596=E$2:E596)))))-COUNTBLANK(OFFSET(A$1,,,SUMPRODUCT(MAX(ROW(E$1:E595)*(E2=E$1:E595))))))</f>
        <v> </v>
      </c>
      <c r="K596" s="26" t="str">
        <f>IF(OR(E596="",E596="!!!",F596="NEW"),"",INDEX(J$1:J595,SUMPRODUCT(MAX(ROW(E$1:E595)*(E596=E$1:E595)))))</f>
        <v> </v>
      </c>
      <c r="L596" s="27"/>
    </row>
    <row r="597" spans="1:12">
      <c r="A597" s="20" t="s">
        <v>193</v>
      </c>
      <c r="E597" s="22">
        <f>IF(D597="?OLD","!!!","")</f>
        <v/>
      </c>
      <c r="F597" s="23" t="str">
        <f>IF(OR(E597="",E597="!!!"),"",IF(NOT(ISNA(VLOOKUP(E597,E$1:E596,1,FALSE()))),"OLD",IF(AND(E597&lt;&gt;"",E597&lt;&gt;"!!!"),"NEW","")))</f>
        <v> </v>
      </c>
      <c r="G597" s="24" t="str">
        <f>IF(OR(E597="",E597="!!!"),"",IF(OR(J597=0,AND(J597=1,K597=1),AND(J597=1,I597="SBJ"),AND(J597=1,I597=0)),"?IN_FOCUS",IF(J597&lt;=2,"?ACTIVATED",IF(J597&lt;&gt;"","?FAMILIAR",IF(F597="NEW",IF(ISNA(VLOOKUP(E597,#REF!,1,FALSE())),"?TYPE_IDENTIFIABLE","?REFERENTIAL"),"_")))))</f>
        <v> </v>
      </c>
      <c r="H597" s="25" t="str">
        <f>IF(J597&lt;&gt;1,"",IF(I597="SBJ","CB","?"))</f>
        <v> </v>
      </c>
      <c r="I597" s="26" t="str">
        <f>IF(OR(E597="",E597="!!!",F597="NEW"),"",INDEX(B596:B$2,-1+SUMPRODUCT(MAX(ROW(E596:E$2)*(E597=E596:E$2)))))</f>
        <v> </v>
      </c>
      <c r="J597" s="26" t="str">
        <f>IF(OR(E597="",E597="!!!",F597="NEW"),"",COUNTBLANK(OFFSET(A$1,,,SUMPRODUCT(MAX(ROW(E$2:E597)*(E597=E$2:E597)))))-COUNTBLANK(OFFSET(A$1,,,SUMPRODUCT(MAX(ROW(E$1:E596)*(E2=E$1:E596))))))</f>
        <v> </v>
      </c>
      <c r="K597" s="26" t="str">
        <f>IF(OR(E597="",E597="!!!",F597="NEW"),"",INDEX(J$1:J596,SUMPRODUCT(MAX(ROW(E$1:E596)*(E597=E$1:E596)))))</f>
        <v> </v>
      </c>
      <c r="L597" s="27"/>
    </row>
    <row r="598" spans="1:12">
      <c r="A598" s="20" t="s">
        <v>224</v>
      </c>
      <c r="E598" s="22">
        <f>IF(D598="?OLD","!!!","")</f>
        <v/>
      </c>
      <c r="F598" s="23" t="str">
        <f>IF(OR(E598="",E598="!!!"),"",IF(NOT(ISNA(VLOOKUP(E598,E$1:E597,1,FALSE()))),"OLD",IF(AND(E598&lt;&gt;"",E598&lt;&gt;"!!!"),"NEW","")))</f>
        <v> </v>
      </c>
      <c r="G598" s="24" t="str">
        <f>IF(OR(E598="",E598="!!!"),"",IF(OR(J598=0,AND(J598=1,K598=1),AND(J598=1,I598="SBJ"),AND(J598=1,I598=0)),"?IN_FOCUS",IF(J598&lt;=2,"?ACTIVATED",IF(J598&lt;&gt;"","?FAMILIAR",IF(F598="NEW",IF(ISNA(VLOOKUP(E598,#REF!,1,FALSE())),"?TYPE_IDENTIFIABLE","?REFERENTIAL"),"_")))))</f>
        <v> </v>
      </c>
      <c r="H598" s="25" t="str">
        <f>IF(J598&lt;&gt;1,"",IF(I598="SBJ","CB","?"))</f>
        <v> </v>
      </c>
      <c r="I598" s="26" t="str">
        <f>IF(OR(E598="",E598="!!!",F598="NEW"),"",INDEX(B597:B$2,-1+SUMPRODUCT(MAX(ROW(E597:E$2)*(E598=E597:E$2)))))</f>
        <v> </v>
      </c>
      <c r="J598" s="26" t="str">
        <f>IF(OR(E598="",E598="!!!",F598="NEW"),"",COUNTBLANK(OFFSET(A$1,,,SUMPRODUCT(MAX(ROW(E$2:E598)*(E598=E$2:E598)))))-COUNTBLANK(OFFSET(A$1,,,SUMPRODUCT(MAX(ROW(E$1:E597)*(E2=E$1:E597))))))</f>
        <v> </v>
      </c>
      <c r="K598" s="26" t="str">
        <f>IF(OR(E598="",E598="!!!",F598="NEW"),"",INDEX(J$1:J597,SUMPRODUCT(MAX(ROW(E$1:E597)*(E598=E$1:E597)))))</f>
        <v> </v>
      </c>
      <c r="L598" s="27"/>
    </row>
    <row r="599" spans="1:12">
      <c r="A599" s="20" t="s">
        <v>445</v>
      </c>
      <c r="B599" s="21" t="s">
        <v>104</v>
      </c>
      <c r="C599" s="21" t="s">
        <v>147</v>
      </c>
      <c r="D599" s="21" t="s">
        <v>106</v>
      </c>
      <c r="E599" s="22">
        <f>IF(D599="?OLD","!!!","")</f>
        <v/>
      </c>
      <c r="F599" s="23" t="str">
        <f>IF(OR(E599="",E599="!!!"),"",IF(NOT(ISNA(VLOOKUP(E599,E$1:E598,1,FALSE()))),"OLD",IF(AND(E599&lt;&gt;"",E599&lt;&gt;"!!!"),"NEW","")))</f>
        <v> </v>
      </c>
      <c r="G599" s="24" t="str">
        <f>IF(OR(E599="",E599="!!!"),"",IF(OR(J599=0,AND(J599=1,K599=1),AND(J599=1,I599="SBJ"),AND(J599=1,I599=0)),"?IN_FOCUS",IF(J599&lt;=2,"?ACTIVATED",IF(J599&lt;&gt;"","?FAMILIAR",IF(F599="NEW",IF(ISNA(VLOOKUP(E599,#REF!,1,FALSE())),"?TYPE_IDENTIFIABLE","?REFERENTIAL"),"_")))))</f>
        <v> </v>
      </c>
      <c r="H599" s="25" t="str">
        <f>IF(J599&lt;&gt;1,"",IF(I599="SBJ","CB","?"))</f>
        <v> </v>
      </c>
      <c r="I599" s="26" t="str">
        <f>IF(OR(E599="",E599="!!!",F599="NEW"),"",INDEX(B598:B$2,-1+SUMPRODUCT(MAX(ROW(E598:E$2)*(E599=E598:E$2)))))</f>
        <v> </v>
      </c>
      <c r="J599" s="26" t="str">
        <f>IF(OR(E599="",E599="!!!",F599="NEW"),"",COUNTBLANK(OFFSET(A$1,,,SUMPRODUCT(MAX(ROW(E$2:E599)*(E599=E$2:E599)))))-COUNTBLANK(OFFSET(A$1,,,SUMPRODUCT(MAX(ROW(E$1:E598)*(E2=E$1:E598))))))</f>
        <v> </v>
      </c>
      <c r="K599" s="26" t="str">
        <f>IF(OR(E599="",E599="!!!",F599="NEW"),"",INDEX(J$1:J598,SUMPRODUCT(MAX(ROW(E$1:E598)*(E599=E$1:E598)))))</f>
        <v> </v>
      </c>
      <c r="L599" s="27"/>
    </row>
    <row r="600" spans="1:12">
      <c r="A600" s="20" t="s">
        <v>114</v>
      </c>
      <c r="E600" s="22">
        <f>IF(D600="?OLD","!!!","")</f>
        <v/>
      </c>
      <c r="F600" s="23" t="str">
        <f>IF(OR(E600="",E600="!!!"),"",IF(NOT(ISNA(VLOOKUP(E600,E$1:E599,1,FALSE()))),"OLD",IF(AND(E600&lt;&gt;"",E600&lt;&gt;"!!!"),"NEW","")))</f>
        <v> </v>
      </c>
      <c r="G600" s="24" t="str">
        <f>IF(OR(E600="",E600="!!!"),"",IF(OR(J600=0,AND(J600=1,K600=1),AND(J600=1,I600="SBJ"),AND(J600=1,I600=0)),"?IN_FOCUS",IF(J600&lt;=2,"?ACTIVATED",IF(J600&lt;&gt;"","?FAMILIAR",IF(F600="NEW",IF(ISNA(VLOOKUP(E600,#REF!,1,FALSE())),"?TYPE_IDENTIFIABLE","?REFERENTIAL"),"_")))))</f>
        <v> </v>
      </c>
      <c r="H600" s="25" t="str">
        <f>IF(J600&lt;&gt;1,"",IF(I600="SBJ","CB","?"))</f>
        <v> </v>
      </c>
      <c r="I600" s="26" t="str">
        <f>IF(OR(E600="",E600="!!!",F600="NEW"),"",INDEX(B599:B$2,-1+SUMPRODUCT(MAX(ROW(E599:E$2)*(E600=E599:E$2)))))</f>
        <v> </v>
      </c>
      <c r="J600" s="26" t="str">
        <f>IF(OR(E600="",E600="!!!",F600="NEW"),"",COUNTBLANK(OFFSET(A$1,,,SUMPRODUCT(MAX(ROW(E$2:E600)*(E600=E$2:E600)))))-COUNTBLANK(OFFSET(A$1,,,SUMPRODUCT(MAX(ROW(E$1:E599)*(E2=E$1:E599))))))</f>
        <v> </v>
      </c>
      <c r="K600" s="26" t="str">
        <f>IF(OR(E600="",E600="!!!",F600="NEW"),"",INDEX(J$1:J599,SUMPRODUCT(MAX(ROW(E$1:E599)*(E600=E$1:E599)))))</f>
        <v> </v>
      </c>
      <c r="L600" s="27"/>
    </row>
    <row r="601" spans="1:12">
      <c r="A601" s="20" t="s">
        <v>446</v>
      </c>
      <c r="B601" s="21" t="s">
        <v>125</v>
      </c>
      <c r="C601" s="21" t="s">
        <v>130</v>
      </c>
      <c r="E601" s="22">
        <f>IF(D601="?OLD","!!!","")</f>
        <v/>
      </c>
      <c r="F601" s="23" t="str">
        <f>IF(OR(E601="",E601="!!!"),"",IF(NOT(ISNA(VLOOKUP(E601,E$1:E600,1,FALSE()))),"OLD",IF(AND(E601&lt;&gt;"",E601&lt;&gt;"!!!"),"NEW","")))</f>
        <v> </v>
      </c>
      <c r="G601" s="24" t="str">
        <f>IF(OR(E601="",E601="!!!"),"",IF(OR(J601=0,AND(J601=1,K601=1),AND(J601=1,I601="SBJ"),AND(J601=1,I601=0)),"?IN_FOCUS",IF(J601&lt;=2,"?ACTIVATED",IF(J601&lt;&gt;"","?FAMILIAR",IF(F601="NEW",IF(ISNA(VLOOKUP(E601,#REF!,1,FALSE())),"?TYPE_IDENTIFIABLE","?REFERENTIAL"),"_")))))</f>
        <v> </v>
      </c>
      <c r="H601" s="25" t="str">
        <f>IF(J601&lt;&gt;1,"",IF(I601="SBJ","CB","?"))</f>
        <v> </v>
      </c>
      <c r="I601" s="26" t="str">
        <f>IF(OR(E601="",E601="!!!",F601="NEW"),"",INDEX(B600:B$2,-1+SUMPRODUCT(MAX(ROW(E600:E$2)*(E601=E600:E$2)))))</f>
        <v> </v>
      </c>
      <c r="J601" s="26" t="str">
        <f>IF(OR(E601="",E601="!!!",F601="NEW"),"",COUNTBLANK(OFFSET(A$1,,,SUMPRODUCT(MAX(ROW(E$2:E601)*(E601=E$2:E601)))))-COUNTBLANK(OFFSET(A$1,,,SUMPRODUCT(MAX(ROW(E$1:E600)*(E2=E$1:E600))))))</f>
        <v> </v>
      </c>
      <c r="K601" s="26" t="str">
        <f>IF(OR(E601="",E601="!!!",F601="NEW"),"",INDEX(J$1:J600,SUMPRODUCT(MAX(ROW(E$1:E600)*(E601=E$1:E600)))))</f>
        <v> </v>
      </c>
      <c r="L601" s="27"/>
    </row>
    <row r="602" spans="1:12">
      <c r="A602" s="20" t="s">
        <v>116</v>
      </c>
      <c r="E602" s="22">
        <f>IF(D602="?OLD","!!!","")</f>
        <v/>
      </c>
      <c r="F602" s="23" t="str">
        <f>IF(OR(E602="",E602="!!!"),"",IF(NOT(ISNA(VLOOKUP(E602,E$1:E601,1,FALSE()))),"OLD",IF(AND(E602&lt;&gt;"",E602&lt;&gt;"!!!"),"NEW","")))</f>
        <v> </v>
      </c>
      <c r="G602" s="24" t="str">
        <f>IF(OR(E602="",E602="!!!"),"",IF(OR(J602=0,AND(J602=1,K602=1),AND(J602=1,I602="SBJ"),AND(J602=1,I602=0)),"?IN_FOCUS",IF(J602&lt;=2,"?ACTIVATED",IF(J602&lt;&gt;"","?FAMILIAR",IF(F602="NEW",IF(ISNA(VLOOKUP(E602,#REF!,1,FALSE())),"?TYPE_IDENTIFIABLE","?REFERENTIAL"),"_")))))</f>
        <v> </v>
      </c>
      <c r="H602" s="25" t="str">
        <f>IF(J602&lt;&gt;1,"",IF(I602="SBJ","CB","?"))</f>
        <v> </v>
      </c>
      <c r="I602" s="26" t="str">
        <f>IF(OR(E602="",E602="!!!",F602="NEW"),"",INDEX(B601:B$2,-1+SUMPRODUCT(MAX(ROW(E601:E$2)*(E602=E601:E$2)))))</f>
        <v> </v>
      </c>
      <c r="J602" s="26" t="str">
        <f>IF(OR(E602="",E602="!!!",F602="NEW"),"",COUNTBLANK(OFFSET(A$1,,,SUMPRODUCT(MAX(ROW(E$2:E602)*(E602=E$2:E602)))))-COUNTBLANK(OFFSET(A$1,,,SUMPRODUCT(MAX(ROW(E$1:E601)*(E2=E$1:E601))))))</f>
        <v> </v>
      </c>
      <c r="K602" s="26" t="str">
        <f>IF(OR(E602="",E602="!!!",F602="NEW"),"",INDEX(J$1:J601,SUMPRODUCT(MAX(ROW(E$1:E601)*(E602=E$1:E601)))))</f>
        <v> </v>
      </c>
      <c r="L602" s="27"/>
    </row>
    <row r="603" spans="1:12">
      <c r="A603" s="20" t="s">
        <v>224</v>
      </c>
      <c r="B603" s="21" t="s">
        <v>238</v>
      </c>
      <c r="E603" s="22">
        <f>IF(D603="?OLD","!!!","")</f>
        <v/>
      </c>
      <c r="F603" s="23" t="str">
        <f>IF(OR(E603="",E603="!!!"),"",IF(NOT(ISNA(VLOOKUP(E603,E$1:E602,1,FALSE()))),"OLD",IF(AND(E603&lt;&gt;"",E603&lt;&gt;"!!!"),"NEW","")))</f>
        <v> </v>
      </c>
      <c r="G603" s="24" t="str">
        <f>IF(OR(E603="",E603="!!!"),"",IF(OR(J603=0,AND(J603=1,K603=1),AND(J603=1,I603="SBJ"),AND(J603=1,I603=0)),"?IN_FOCUS",IF(J603&lt;=2,"?ACTIVATED",IF(J603&lt;&gt;"","?FAMILIAR",IF(F603="NEW",IF(ISNA(VLOOKUP(E603,#REF!,1,FALSE())),"?TYPE_IDENTIFIABLE","?REFERENTIAL"),"_")))))</f>
        <v> </v>
      </c>
      <c r="H603" s="25" t="str">
        <f>IF(J603&lt;&gt;1,"",IF(I603="SBJ","CB","?"))</f>
        <v> </v>
      </c>
      <c r="I603" s="26" t="str">
        <f>IF(OR(E603="",E603="!!!",F603="NEW"),"",INDEX(B602:B$2,-1+SUMPRODUCT(MAX(ROW(E602:E$2)*(E603=E602:E$2)))))</f>
        <v> </v>
      </c>
      <c r="J603" s="26" t="str">
        <f>IF(OR(E603="",E603="!!!",F603="NEW"),"",COUNTBLANK(OFFSET(A$1,,,SUMPRODUCT(MAX(ROW(E$2:E603)*(E603=E$2:E603)))))-COUNTBLANK(OFFSET(A$1,,,SUMPRODUCT(MAX(ROW(E$1:E602)*(E2=E$1:E602))))))</f>
        <v> </v>
      </c>
      <c r="K603" s="26" t="str">
        <f>IF(OR(E603="",E603="!!!",F603="NEW"),"",INDEX(J$1:J602,SUMPRODUCT(MAX(ROW(E$1:E602)*(E603=E$1:E602)))))</f>
        <v> </v>
      </c>
      <c r="L603" s="27"/>
    </row>
    <row r="604" spans="1:12">
      <c r="A604" s="20" t="s">
        <v>204</v>
      </c>
      <c r="B604" s="21" t="s">
        <v>235</v>
      </c>
      <c r="C604" s="21" t="s">
        <v>175</v>
      </c>
      <c r="D604" s="21" t="s">
        <v>106</v>
      </c>
      <c r="E604" s="22">
        <f>IF(D604="?OLD","!!!","")</f>
        <v/>
      </c>
      <c r="F604" s="23" t="str">
        <f>IF(OR(E604="",E604="!!!"),"",IF(NOT(ISNA(VLOOKUP(E604,E$1:E603,1,FALSE()))),"OLD",IF(AND(E604&lt;&gt;"",E604&lt;&gt;"!!!"),"NEW","")))</f>
        <v> </v>
      </c>
      <c r="G604" s="24" t="str">
        <f>IF(OR(E604="",E604="!!!"),"",IF(OR(J604=0,AND(J604=1,K604=1),AND(J604=1,I604="SBJ"),AND(J604=1,I604=0)),"?IN_FOCUS",IF(J604&lt;=2,"?ACTIVATED",IF(J604&lt;&gt;"","?FAMILIAR",IF(F604="NEW",IF(ISNA(VLOOKUP(E604,#REF!,1,FALSE())),"?TYPE_IDENTIFIABLE","?REFERENTIAL"),"_")))))</f>
        <v> </v>
      </c>
      <c r="H604" s="25" t="str">
        <f>IF(J604&lt;&gt;1,"",IF(I604="SBJ","CB","?"))</f>
        <v> </v>
      </c>
      <c r="I604" s="26" t="str">
        <f>IF(OR(E604="",E604="!!!",F604="NEW"),"",INDEX(B603:B$2,-1+SUMPRODUCT(MAX(ROW(E603:E$2)*(E604=E603:E$2)))))</f>
        <v> </v>
      </c>
      <c r="J604" s="26" t="str">
        <f>IF(OR(E604="",E604="!!!",F604="NEW"),"",COUNTBLANK(OFFSET(A$1,,,SUMPRODUCT(MAX(ROW(E$2:E604)*(E604=E$2:E604)))))-COUNTBLANK(OFFSET(A$1,,,SUMPRODUCT(MAX(ROW(E$1:E603)*(E2=E$1:E603))))))</f>
        <v> </v>
      </c>
      <c r="K604" s="26" t="str">
        <f>IF(OR(E604="",E604="!!!",F604="NEW"),"",INDEX(J$1:J603,SUMPRODUCT(MAX(ROW(E$1:E603)*(E604=E$1:E603)))))</f>
        <v> </v>
      </c>
      <c r="L604" s="27"/>
    </row>
    <row r="605" spans="1:12">
      <c r="A605" s="20" t="s">
        <v>108</v>
      </c>
      <c r="E605" s="22">
        <f>IF(D605="?OLD","!!!","")</f>
        <v/>
      </c>
      <c r="F605" s="23" t="str">
        <f>IF(OR(E605="",E605="!!!"),"",IF(NOT(ISNA(VLOOKUP(E605,E$1:E604,1,FALSE()))),"OLD",IF(AND(E605&lt;&gt;"",E605&lt;&gt;"!!!"),"NEW","")))</f>
        <v> </v>
      </c>
      <c r="G605" s="24" t="str">
        <f>IF(OR(E605="",E605="!!!"),"",IF(OR(J605=0,AND(J605=1,K605=1),AND(J605=1,I605="SBJ"),AND(J605=1,I605=0)),"?IN_FOCUS",IF(J605&lt;=2,"?ACTIVATED",IF(J605&lt;&gt;"","?FAMILIAR",IF(F605="NEW",IF(ISNA(VLOOKUP(E605,#REF!,1,FALSE())),"?TYPE_IDENTIFIABLE","?REFERENTIAL"),"_")))))</f>
        <v> </v>
      </c>
      <c r="H605" s="25" t="str">
        <f>IF(J605&lt;&gt;1,"",IF(I605="SBJ","CB","?"))</f>
        <v> </v>
      </c>
      <c r="I605" s="26" t="str">
        <f>IF(OR(E605="",E605="!!!",F605="NEW"),"",INDEX(B604:B$2,-1+SUMPRODUCT(MAX(ROW(E604:E$2)*(E605=E604:E$2)))))</f>
        <v> </v>
      </c>
      <c r="J605" s="26" t="str">
        <f>IF(OR(E605="",E605="!!!",F605="NEW"),"",COUNTBLANK(OFFSET(A$1,,,SUMPRODUCT(MAX(ROW(E$2:E605)*(E605=E$2:E605)))))-COUNTBLANK(OFFSET(A$1,,,SUMPRODUCT(MAX(ROW(E$1:E604)*(E2=E$1:E604))))))</f>
        <v> </v>
      </c>
      <c r="K605" s="26" t="str">
        <f>IF(OR(E605="",E605="!!!",F605="NEW"),"",INDEX(J$1:J604,SUMPRODUCT(MAX(ROW(E$1:E604)*(E605=E$1:E604)))))</f>
        <v> </v>
      </c>
      <c r="L605" s="27"/>
    </row>
    <row r="606" spans="1:12">
      <c r="A606" s="20" t="s">
        <v>412</v>
      </c>
      <c r="B606" s="21" t="s">
        <v>337</v>
      </c>
      <c r="C606" s="21" t="s">
        <v>170</v>
      </c>
      <c r="D606" s="21" t="s">
        <v>106</v>
      </c>
      <c r="E606" s="22">
        <f>IF(D606="?OLD","!!!","")</f>
        <v/>
      </c>
      <c r="F606" s="23" t="str">
        <f>IF(OR(E606="",E606="!!!"),"",IF(NOT(ISNA(VLOOKUP(E606,E$1:E605,1,FALSE()))),"OLD",IF(AND(E606&lt;&gt;"",E606&lt;&gt;"!!!"),"NEW","")))</f>
        <v> </v>
      </c>
      <c r="G606" s="24" t="str">
        <f>IF(OR(E606="",E606="!!!"),"",IF(OR(J606=0,AND(J606=1,K606=1),AND(J606=1,I606="SBJ"),AND(J606=1,I606=0)),"?IN_FOCUS",IF(J606&lt;=2,"?ACTIVATED",IF(J606&lt;&gt;"","?FAMILIAR",IF(F606="NEW",IF(ISNA(VLOOKUP(E606,#REF!,1,FALSE())),"?TYPE_IDENTIFIABLE","?REFERENTIAL"),"_")))))</f>
        <v> </v>
      </c>
      <c r="H606" s="25" t="str">
        <f>IF(J606&lt;&gt;1,"",IF(I606="SBJ","CB","?"))</f>
        <v> </v>
      </c>
      <c r="I606" s="26" t="str">
        <f>IF(OR(E606="",E606="!!!",F606="NEW"),"",INDEX(B605:B$2,-1+SUMPRODUCT(MAX(ROW(E605:E$2)*(E606=E605:E$2)))))</f>
        <v> </v>
      </c>
      <c r="J606" s="26" t="str">
        <f>IF(OR(E606="",E606="!!!",F606="NEW"),"",COUNTBLANK(OFFSET(A$1,,,SUMPRODUCT(MAX(ROW(E$2:E606)*(E606=E$2:E606)))))-COUNTBLANK(OFFSET(A$1,,,SUMPRODUCT(MAX(ROW(E$1:E605)*(E2=E$1:E605))))))</f>
        <v> </v>
      </c>
      <c r="K606" s="26" t="str">
        <f>IF(OR(E606="",E606="!!!",F606="NEW"),"",INDEX(J$1:J605,SUMPRODUCT(MAX(ROW(E$1:E605)*(E606=E$1:E605)))))</f>
        <v> </v>
      </c>
      <c r="L606" s="27"/>
    </row>
    <row r="607" spans="1:12">
      <c r="A607" s="20" t="s">
        <v>447</v>
      </c>
      <c r="B607" s="21" t="s">
        <v>195</v>
      </c>
      <c r="C607" s="21" t="s">
        <v>130</v>
      </c>
      <c r="E607" s="22">
        <f>IF(D607="?OLD","!!!","")</f>
        <v/>
      </c>
      <c r="F607" s="23" t="str">
        <f>IF(OR(E607="",E607="!!!"),"",IF(NOT(ISNA(VLOOKUP(E607,E$1:E606,1,FALSE()))),"OLD",IF(AND(E607&lt;&gt;"",E607&lt;&gt;"!!!"),"NEW","")))</f>
        <v> </v>
      </c>
      <c r="G607" s="24" t="str">
        <f>IF(OR(E607="",E607="!!!"),"",IF(OR(J607=0,AND(J607=1,K607=1),AND(J607=1,I607="SBJ"),AND(J607=1,I607=0)),"?IN_FOCUS",IF(J607&lt;=2,"?ACTIVATED",IF(J607&lt;&gt;"","?FAMILIAR",IF(F607="NEW",IF(ISNA(VLOOKUP(E607,#REF!,1,FALSE())),"?TYPE_IDENTIFIABLE","?REFERENTIAL"),"_")))))</f>
        <v> </v>
      </c>
      <c r="H607" s="25" t="str">
        <f>IF(J607&lt;&gt;1,"",IF(I607="SBJ","CB","?"))</f>
        <v> </v>
      </c>
      <c r="I607" s="26" t="str">
        <f>IF(OR(E607="",E607="!!!",F607="NEW"),"",INDEX(B606:B$2,-1+SUMPRODUCT(MAX(ROW(E606:E$2)*(E607=E606:E$2)))))</f>
        <v> </v>
      </c>
      <c r="J607" s="26" t="str">
        <f>IF(OR(E607="",E607="!!!",F607="NEW"),"",COUNTBLANK(OFFSET(A$1,,,SUMPRODUCT(MAX(ROW(E$2:E607)*(E607=E$2:E607)))))-COUNTBLANK(OFFSET(A$1,,,SUMPRODUCT(MAX(ROW(E$1:E606)*(E2=E$1:E606))))))</f>
        <v> </v>
      </c>
      <c r="K607" s="26" t="str">
        <f>IF(OR(E607="",E607="!!!",F607="NEW"),"",INDEX(J$1:J606,SUMPRODUCT(MAX(ROW(E$1:E606)*(E607=E$1:E606)))))</f>
        <v> </v>
      </c>
      <c r="L607" s="27"/>
    </row>
    <row r="608" spans="1:12">
      <c r="A608" s="20" t="s">
        <v>448</v>
      </c>
      <c r="E608" s="22">
        <f>IF(D608="?OLD","!!!","")</f>
        <v/>
      </c>
      <c r="F608" s="23" t="str">
        <f>IF(OR(E608="",E608="!!!"),"",IF(NOT(ISNA(VLOOKUP(E608,E$1:E607,1,FALSE()))),"OLD",IF(AND(E608&lt;&gt;"",E608&lt;&gt;"!!!"),"NEW","")))</f>
        <v> </v>
      </c>
      <c r="G608" s="24" t="str">
        <f>IF(OR(E608="",E608="!!!"),"",IF(OR(J608=0,AND(J608=1,K608=1),AND(J608=1,I608="SBJ"),AND(J608=1,I608=0)),"?IN_FOCUS",IF(J608&lt;=2,"?ACTIVATED",IF(J608&lt;&gt;"","?FAMILIAR",IF(F608="NEW",IF(ISNA(VLOOKUP(E608,#REF!,1,FALSE())),"?TYPE_IDENTIFIABLE","?REFERENTIAL"),"_")))))</f>
        <v> </v>
      </c>
      <c r="H608" s="25" t="str">
        <f>IF(J608&lt;&gt;1,"",IF(I608="SBJ","CB","?"))</f>
        <v> </v>
      </c>
      <c r="I608" s="26" t="str">
        <f>IF(OR(E608="",E608="!!!",F608="NEW"),"",INDEX(B607:B$2,-1+SUMPRODUCT(MAX(ROW(E607:E$2)*(E608=E607:E$2)))))</f>
        <v> </v>
      </c>
      <c r="J608" s="26" t="str">
        <f>IF(OR(E608="",E608="!!!",F608="NEW"),"",COUNTBLANK(OFFSET(A$1,,,SUMPRODUCT(MAX(ROW(E$2:E608)*(E608=E$2:E608)))))-COUNTBLANK(OFFSET(A$1,,,SUMPRODUCT(MAX(ROW(E$1:E607)*(E2=E$1:E607))))))</f>
        <v> </v>
      </c>
      <c r="K608" s="26" t="str">
        <f>IF(OR(E608="",E608="!!!",F608="NEW"),"",INDEX(J$1:J607,SUMPRODUCT(MAX(ROW(E$1:E607)*(E608=E$1:E607)))))</f>
        <v> </v>
      </c>
      <c r="L608" s="27"/>
    </row>
    <row r="609" spans="1:12">
      <c r="A609" s="20" t="s">
        <v>116</v>
      </c>
      <c r="E609" s="22">
        <f>IF(D609="?OLD","!!!","")</f>
        <v/>
      </c>
      <c r="F609" s="23" t="str">
        <f>IF(OR(E609="",E609="!!!"),"",IF(NOT(ISNA(VLOOKUP(E609,E$1:E608,1,FALSE()))),"OLD",IF(AND(E609&lt;&gt;"",E609&lt;&gt;"!!!"),"NEW","")))</f>
        <v> </v>
      </c>
      <c r="G609" s="24" t="str">
        <f>IF(OR(E609="",E609="!!!"),"",IF(OR(J609=0,AND(J609=1,K609=1),AND(J609=1,I609="SBJ"),AND(J609=1,I609=0)),"?IN_FOCUS",IF(J609&lt;=2,"?ACTIVATED",IF(J609&lt;&gt;"","?FAMILIAR",IF(F609="NEW",IF(ISNA(VLOOKUP(E609,#REF!,1,FALSE())),"?TYPE_IDENTIFIABLE","?REFERENTIAL"),"_")))))</f>
        <v> </v>
      </c>
      <c r="H609" s="25" t="str">
        <f>IF(J609&lt;&gt;1,"",IF(I609="SBJ","CB","?"))</f>
        <v> </v>
      </c>
      <c r="I609" s="26" t="str">
        <f>IF(OR(E609="",E609="!!!",F609="NEW"),"",INDEX(B608:B$2,-1+SUMPRODUCT(MAX(ROW(E608:E$2)*(E609=E608:E$2)))))</f>
        <v> </v>
      </c>
      <c r="J609" s="26" t="str">
        <f>IF(OR(E609="",E609="!!!",F609="NEW"),"",COUNTBLANK(OFFSET(A$1,,,SUMPRODUCT(MAX(ROW(E$2:E609)*(E609=E$2:E609)))))-COUNTBLANK(OFFSET(A$1,,,SUMPRODUCT(MAX(ROW(E$1:E608)*(E2=E$1:E608))))))</f>
        <v> </v>
      </c>
      <c r="K609" s="26" t="str">
        <f>IF(OR(E609="",E609="!!!",F609="NEW"),"",INDEX(J$1:J608,SUMPRODUCT(MAX(ROW(E$1:E608)*(E609=E$1:E608)))))</f>
        <v> </v>
      </c>
      <c r="L609" s="27"/>
    </row>
    <row r="610" spans="1:12">
      <c r="A610" s="20" t="s">
        <v>219</v>
      </c>
      <c r="E610" s="22">
        <f>IF(D610="?OLD","!!!","")</f>
        <v/>
      </c>
      <c r="F610" s="23" t="str">
        <f>IF(OR(E610="",E610="!!!"),"",IF(NOT(ISNA(VLOOKUP(E610,E$1:E609,1,FALSE()))),"OLD",IF(AND(E610&lt;&gt;"",E610&lt;&gt;"!!!"),"NEW","")))</f>
        <v> </v>
      </c>
      <c r="G610" s="24" t="str">
        <f>IF(OR(E610="",E610="!!!"),"",IF(OR(J610=0,AND(J610=1,K610=1),AND(J610=1,I610="SBJ"),AND(J610=1,I610=0)),"?IN_FOCUS",IF(J610&lt;=2,"?ACTIVATED",IF(J610&lt;&gt;"","?FAMILIAR",IF(F610="NEW",IF(ISNA(VLOOKUP(E610,#REF!,1,FALSE())),"?TYPE_IDENTIFIABLE","?REFERENTIAL"),"_")))))</f>
        <v> </v>
      </c>
      <c r="H610" s="25" t="str">
        <f>IF(J610&lt;&gt;1,"",IF(I610="SBJ","CB","?"))</f>
        <v> </v>
      </c>
      <c r="I610" s="26" t="str">
        <f>IF(OR(E610="",E610="!!!",F610="NEW"),"",INDEX(B609:B$2,-1+SUMPRODUCT(MAX(ROW(E609:E$2)*(E610=E609:E$2)))))</f>
        <v> </v>
      </c>
      <c r="J610" s="26" t="str">
        <f>IF(OR(E610="",E610="!!!",F610="NEW"),"",COUNTBLANK(OFFSET(A$1,,,SUMPRODUCT(MAX(ROW(E$2:E610)*(E610=E$2:E610)))))-COUNTBLANK(OFFSET(A$1,,,SUMPRODUCT(MAX(ROW(E$1:E609)*(E2=E$1:E609))))))</f>
        <v> </v>
      </c>
      <c r="K610" s="26" t="str">
        <f>IF(OR(E610="",E610="!!!",F610="NEW"),"",INDEX(J$1:J609,SUMPRODUCT(MAX(ROW(E$1:E609)*(E610=E$1:E609)))))</f>
        <v> </v>
      </c>
      <c r="L610" s="27"/>
    </row>
    <row r="611" spans="1:12">
      <c r="A611" s="20" t="s">
        <v>220</v>
      </c>
      <c r="E611" s="22">
        <f>IF(D611="?OLD","!!!","")</f>
        <v/>
      </c>
      <c r="F611" s="23" t="str">
        <f>IF(OR(E611="",E611="!!!"),"",IF(NOT(ISNA(VLOOKUP(E611,E$1:E610,1,FALSE()))),"OLD",IF(AND(E611&lt;&gt;"",E611&lt;&gt;"!!!"),"NEW","")))</f>
        <v> </v>
      </c>
      <c r="G611" s="24" t="str">
        <f>IF(OR(E611="",E611="!!!"),"",IF(OR(J611=0,AND(J611=1,K611=1),AND(J611=1,I611="SBJ"),AND(J611=1,I611=0)),"?IN_FOCUS",IF(J611&lt;=2,"?ACTIVATED",IF(J611&lt;&gt;"","?FAMILIAR",IF(F611="NEW",IF(ISNA(VLOOKUP(E611,#REF!,1,FALSE())),"?TYPE_IDENTIFIABLE","?REFERENTIAL"),"_")))))</f>
        <v> </v>
      </c>
      <c r="H611" s="25" t="str">
        <f>IF(J611&lt;&gt;1,"",IF(I611="SBJ","CB","?"))</f>
        <v> </v>
      </c>
      <c r="I611" s="26" t="str">
        <f>IF(OR(E611="",E611="!!!",F611="NEW"),"",INDEX(B610:B$2,-1+SUMPRODUCT(MAX(ROW(E610:E$2)*(E611=E610:E$2)))))</f>
        <v> </v>
      </c>
      <c r="J611" s="26" t="str">
        <f>IF(OR(E611="",E611="!!!",F611="NEW"),"",COUNTBLANK(OFFSET(A$1,,,SUMPRODUCT(MAX(ROW(E$2:E611)*(E611=E$2:E611)))))-COUNTBLANK(OFFSET(A$1,,,SUMPRODUCT(MAX(ROW(E$1:E610)*(E2=E$1:E610))))))</f>
        <v> </v>
      </c>
      <c r="K611" s="26" t="str">
        <f>IF(OR(E611="",E611="!!!",F611="NEW"),"",INDEX(J$1:J610,SUMPRODUCT(MAX(ROW(E$1:E610)*(E611=E$1:E610)))))</f>
        <v> </v>
      </c>
      <c r="L611" s="27"/>
    </row>
    <row r="612" spans="1:12">
      <c r="A612" s="20" t="s">
        <v>449</v>
      </c>
      <c r="E612" s="22">
        <f>IF(D612="?OLD","!!!","")</f>
        <v/>
      </c>
      <c r="F612" s="23" t="str">
        <f>IF(OR(E612="",E612="!!!"),"",IF(NOT(ISNA(VLOOKUP(E612,E$1:E611,1,FALSE()))),"OLD",IF(AND(E612&lt;&gt;"",E612&lt;&gt;"!!!"),"NEW","")))</f>
        <v> </v>
      </c>
      <c r="G612" s="24" t="str">
        <f>IF(OR(E612="",E612="!!!"),"",IF(OR(J612=0,AND(J612=1,K612=1),AND(J612=1,I612="SBJ"),AND(J612=1,I612=0)),"?IN_FOCUS",IF(J612&lt;=2,"?ACTIVATED",IF(J612&lt;&gt;"","?FAMILIAR",IF(F612="NEW",IF(ISNA(VLOOKUP(E612,#REF!,1,FALSE())),"?TYPE_IDENTIFIABLE","?REFERENTIAL"),"_")))))</f>
        <v> </v>
      </c>
      <c r="H612" s="25" t="str">
        <f>IF(J612&lt;&gt;1,"",IF(I612="SBJ","CB","?"))</f>
        <v> </v>
      </c>
      <c r="I612" s="26" t="str">
        <f>IF(OR(E612="",E612="!!!",F612="NEW"),"",INDEX(B611:B$2,-1+SUMPRODUCT(MAX(ROW(E611:E$2)*(E612=E611:E$2)))))</f>
        <v> </v>
      </c>
      <c r="J612" s="26" t="str">
        <f>IF(OR(E612="",E612="!!!",F612="NEW"),"",COUNTBLANK(OFFSET(A$1,,,SUMPRODUCT(MAX(ROW(E$2:E612)*(E612=E$2:E612)))))-COUNTBLANK(OFFSET(A$1,,,SUMPRODUCT(MAX(ROW(E$1:E611)*(E2=E$1:E611))))))</f>
        <v> </v>
      </c>
      <c r="K612" s="26" t="str">
        <f>IF(OR(E612="",E612="!!!",F612="NEW"),"",INDEX(J$1:J611,SUMPRODUCT(MAX(ROW(E$1:E611)*(E612=E$1:E611)))))</f>
        <v> </v>
      </c>
      <c r="L612" s="27"/>
    </row>
    <row r="613" spans="1:12">
      <c r="A613" s="20" t="s">
        <v>116</v>
      </c>
      <c r="E613" s="22">
        <f>IF(D613="?OLD","!!!","")</f>
        <v/>
      </c>
      <c r="F613" s="23" t="str">
        <f>IF(OR(E613="",E613="!!!"),"",IF(NOT(ISNA(VLOOKUP(E613,E$1:E612,1,FALSE()))),"OLD",IF(AND(E613&lt;&gt;"",E613&lt;&gt;"!!!"),"NEW","")))</f>
        <v> </v>
      </c>
      <c r="G613" s="24" t="str">
        <f>IF(OR(E613="",E613="!!!"),"",IF(OR(J613=0,AND(J613=1,K613=1),AND(J613=1,I613="SBJ"),AND(J613=1,I613=0)),"?IN_FOCUS",IF(J613&lt;=2,"?ACTIVATED",IF(J613&lt;&gt;"","?FAMILIAR",IF(F613="NEW",IF(ISNA(VLOOKUP(E613,#REF!,1,FALSE())),"?TYPE_IDENTIFIABLE","?REFERENTIAL"),"_")))))</f>
        <v> </v>
      </c>
      <c r="H613" s="25" t="str">
        <f>IF(J613&lt;&gt;1,"",IF(I613="SBJ","CB","?"))</f>
        <v> </v>
      </c>
      <c r="I613" s="26" t="str">
        <f>IF(OR(E613="",E613="!!!",F613="NEW"),"",INDEX(B612:B$2,-1+SUMPRODUCT(MAX(ROW(E612:E$2)*(E613=E612:E$2)))))</f>
        <v> </v>
      </c>
      <c r="J613" s="26" t="str">
        <f>IF(OR(E613="",E613="!!!",F613="NEW"),"",COUNTBLANK(OFFSET(A$1,,,SUMPRODUCT(MAX(ROW(E$2:E613)*(E613=E$2:E613)))))-COUNTBLANK(OFFSET(A$1,,,SUMPRODUCT(MAX(ROW(E$1:E612)*(E2=E$1:E612))))))</f>
        <v> </v>
      </c>
      <c r="K613" s="26" t="str">
        <f>IF(OR(E613="",E613="!!!",F613="NEW"),"",INDEX(J$1:J612,SUMPRODUCT(MAX(ROW(E$1:E612)*(E613=E$1:E612)))))</f>
        <v> </v>
      </c>
      <c r="L613" s="27"/>
    </row>
    <row r="614" spans="1:12">
      <c r="A614" s="20" t="s">
        <v>191</v>
      </c>
      <c r="E614" s="22">
        <f>IF(D614="?OLD","!!!","")</f>
        <v/>
      </c>
      <c r="F614" s="23" t="str">
        <f>IF(OR(E614="",E614="!!!"),"",IF(NOT(ISNA(VLOOKUP(E614,E$1:E613,1,FALSE()))),"OLD",IF(AND(E614&lt;&gt;"",E614&lt;&gt;"!!!"),"NEW","")))</f>
        <v> </v>
      </c>
      <c r="G614" s="24" t="str">
        <f>IF(OR(E614="",E614="!!!"),"",IF(OR(J614=0,AND(J614=1,K614=1),AND(J614=1,I614="SBJ"),AND(J614=1,I614=0)),"?IN_FOCUS",IF(J614&lt;=2,"?ACTIVATED",IF(J614&lt;&gt;"","?FAMILIAR",IF(F614="NEW",IF(ISNA(VLOOKUP(E614,#REF!,1,FALSE())),"?TYPE_IDENTIFIABLE","?REFERENTIAL"),"_")))))</f>
        <v> </v>
      </c>
      <c r="H614" s="25" t="str">
        <f>IF(J614&lt;&gt;1,"",IF(I614="SBJ","CB","?"))</f>
        <v> </v>
      </c>
      <c r="I614" s="26" t="str">
        <f>IF(OR(E614="",E614="!!!",F614="NEW"),"",INDEX(B613:B$2,-1+SUMPRODUCT(MAX(ROW(E613:E$2)*(E614=E613:E$2)))))</f>
        <v> </v>
      </c>
      <c r="J614" s="26" t="str">
        <f>IF(OR(E614="",E614="!!!",F614="NEW"),"",COUNTBLANK(OFFSET(A$1,,,SUMPRODUCT(MAX(ROW(E$2:E614)*(E614=E$2:E614)))))-COUNTBLANK(OFFSET(A$1,,,SUMPRODUCT(MAX(ROW(E$1:E613)*(E2=E$1:E613))))))</f>
        <v> </v>
      </c>
      <c r="K614" s="26" t="str">
        <f>IF(OR(E614="",E614="!!!",F614="NEW"),"",INDEX(J$1:J613,SUMPRODUCT(MAX(ROW(E$1:E613)*(E614=E$1:E613)))))</f>
        <v> </v>
      </c>
      <c r="L614" s="27"/>
    </row>
    <row r="615" spans="1:12">
      <c r="A615" s="20" t="s">
        <v>450</v>
      </c>
      <c r="E615" s="22">
        <f>IF(D615="?OLD","!!!","")</f>
        <v/>
      </c>
      <c r="F615" s="23" t="str">
        <f>IF(OR(E615="",E615="!!!"),"",IF(NOT(ISNA(VLOOKUP(E615,E$1:E614,1,FALSE()))),"OLD",IF(AND(E615&lt;&gt;"",E615&lt;&gt;"!!!"),"NEW","")))</f>
        <v> </v>
      </c>
      <c r="G615" s="24" t="str">
        <f>IF(OR(E615="",E615="!!!"),"",IF(OR(J615=0,AND(J615=1,K615=1),AND(J615=1,I615="SBJ"),AND(J615=1,I615=0)),"?IN_FOCUS",IF(J615&lt;=2,"?ACTIVATED",IF(J615&lt;&gt;"","?FAMILIAR",IF(F615="NEW",IF(ISNA(VLOOKUP(E615,#REF!,1,FALSE())),"?TYPE_IDENTIFIABLE","?REFERENTIAL"),"_")))))</f>
        <v> </v>
      </c>
      <c r="H615" s="25" t="str">
        <f>IF(J615&lt;&gt;1,"",IF(I615="SBJ","CB","?"))</f>
        <v> </v>
      </c>
      <c r="I615" s="26" t="str">
        <f>IF(OR(E615="",E615="!!!",F615="NEW"),"",INDEX(B614:B$2,-1+SUMPRODUCT(MAX(ROW(E614:E$2)*(E615=E614:E$2)))))</f>
        <v> </v>
      </c>
      <c r="J615" s="26" t="str">
        <f>IF(OR(E615="",E615="!!!",F615="NEW"),"",COUNTBLANK(OFFSET(A$1,,,SUMPRODUCT(MAX(ROW(E$2:E615)*(E615=E$2:E615)))))-COUNTBLANK(OFFSET(A$1,,,SUMPRODUCT(MAX(ROW(E$1:E614)*(E2=E$1:E614))))))</f>
        <v> </v>
      </c>
      <c r="K615" s="26" t="str">
        <f>IF(OR(E615="",E615="!!!",F615="NEW"),"",INDEX(J$1:J614,SUMPRODUCT(MAX(ROW(E$1:E614)*(E615=E$1:E614)))))</f>
        <v> </v>
      </c>
      <c r="L615" s="27"/>
    </row>
    <row r="616" spans="1:12">
      <c r="A616" s="20" t="s">
        <v>244</v>
      </c>
      <c r="B616" s="21" t="s">
        <v>225</v>
      </c>
      <c r="C616" s="21" t="s">
        <v>130</v>
      </c>
      <c r="E616" s="22">
        <f>IF(D616="?OLD","!!!","")</f>
        <v/>
      </c>
      <c r="F616" s="23" t="str">
        <f>IF(OR(E616="",E616="!!!"),"",IF(NOT(ISNA(VLOOKUP(E616,E$1:E615,1,FALSE()))),"OLD",IF(AND(E616&lt;&gt;"",E616&lt;&gt;"!!!"),"NEW","")))</f>
        <v> </v>
      </c>
      <c r="G616" s="24" t="str">
        <f>IF(OR(E616="",E616="!!!"),"",IF(OR(J616=0,AND(J616=1,K616=1),AND(J616=1,I616="SBJ"),AND(J616=1,I616=0)),"?IN_FOCUS",IF(J616&lt;=2,"?ACTIVATED",IF(J616&lt;&gt;"","?FAMILIAR",IF(F616="NEW",IF(ISNA(VLOOKUP(E616,#REF!,1,FALSE())),"?TYPE_IDENTIFIABLE","?REFERENTIAL"),"_")))))</f>
        <v> </v>
      </c>
      <c r="H616" s="25" t="str">
        <f>IF(J616&lt;&gt;1,"",IF(I616="SBJ","CB","?"))</f>
        <v> </v>
      </c>
      <c r="I616" s="26" t="str">
        <f>IF(OR(E616="",E616="!!!",F616="NEW"),"",INDEX(B615:B$2,-1+SUMPRODUCT(MAX(ROW(E615:E$2)*(E616=E615:E$2)))))</f>
        <v> </v>
      </c>
      <c r="J616" s="26" t="str">
        <f>IF(OR(E616="",E616="!!!",F616="NEW"),"",COUNTBLANK(OFFSET(A$1,,,SUMPRODUCT(MAX(ROW(E$2:E616)*(E616=E$2:E616)))))-COUNTBLANK(OFFSET(A$1,,,SUMPRODUCT(MAX(ROW(E$1:E615)*(E2=E$1:E615))))))</f>
        <v> </v>
      </c>
      <c r="K616" s="26" t="str">
        <f>IF(OR(E616="",E616="!!!",F616="NEW"),"",INDEX(J$1:J615,SUMPRODUCT(MAX(ROW(E$1:E615)*(E616=E$1:E615)))))</f>
        <v> </v>
      </c>
      <c r="L616" s="27"/>
    </row>
    <row r="617" spans="1:12">
      <c r="A617" s="20" t="s">
        <v>297</v>
      </c>
      <c r="E617" s="22">
        <f>IF(D617="?OLD","!!!","")</f>
        <v/>
      </c>
      <c r="F617" s="23" t="str">
        <f>IF(OR(E617="",E617="!!!"),"",IF(NOT(ISNA(VLOOKUP(E617,E$1:E616,1,FALSE()))),"OLD",IF(AND(E617&lt;&gt;"",E617&lt;&gt;"!!!"),"NEW","")))</f>
        <v> </v>
      </c>
      <c r="G617" s="24" t="str">
        <f>IF(OR(E617="",E617="!!!"),"",IF(OR(J617=0,AND(J617=1,K617=1),AND(J617=1,I617="SBJ"),AND(J617=1,I617=0)),"?IN_FOCUS",IF(J617&lt;=2,"?ACTIVATED",IF(J617&lt;&gt;"","?FAMILIAR",IF(F617="NEW",IF(ISNA(VLOOKUP(E617,#REF!,1,FALSE())),"?TYPE_IDENTIFIABLE","?REFERENTIAL"),"_")))))</f>
        <v> </v>
      </c>
      <c r="H617" s="25" t="str">
        <f>IF(J617&lt;&gt;1,"",IF(I617="SBJ","CB","?"))</f>
        <v> </v>
      </c>
      <c r="I617" s="26" t="str">
        <f>IF(OR(E617="",E617="!!!",F617="NEW"),"",INDEX(B616:B$2,-1+SUMPRODUCT(MAX(ROW(E616:E$2)*(E617=E616:E$2)))))</f>
        <v> </v>
      </c>
      <c r="J617" s="26" t="str">
        <f>IF(OR(E617="",E617="!!!",F617="NEW"),"",COUNTBLANK(OFFSET(A$1,,,SUMPRODUCT(MAX(ROW(E$2:E617)*(E617=E$2:E617)))))-COUNTBLANK(OFFSET(A$1,,,SUMPRODUCT(MAX(ROW(E$1:E616)*(E2=E$1:E616))))))</f>
        <v> </v>
      </c>
      <c r="K617" s="26" t="str">
        <f>IF(OR(E617="",E617="!!!",F617="NEW"),"",INDEX(J$1:J616,SUMPRODUCT(MAX(ROW(E$1:E616)*(E617=E$1:E616)))))</f>
        <v> </v>
      </c>
      <c r="L617" s="27"/>
    </row>
    <row r="618" spans="1:12">
      <c r="A618" s="20" t="s">
        <v>116</v>
      </c>
      <c r="E618" s="22">
        <f>IF(D618="?OLD","!!!","")</f>
        <v/>
      </c>
      <c r="F618" s="23" t="str">
        <f>IF(OR(E618="",E618="!!!"),"",IF(NOT(ISNA(VLOOKUP(E618,E$1:E617,1,FALSE()))),"OLD",IF(AND(E618&lt;&gt;"",E618&lt;&gt;"!!!"),"NEW","")))</f>
        <v> </v>
      </c>
      <c r="G618" s="24" t="str">
        <f>IF(OR(E618="",E618="!!!"),"",IF(OR(J618=0,AND(J618=1,K618=1),AND(J618=1,I618="SBJ"),AND(J618=1,I618=0)),"?IN_FOCUS",IF(J618&lt;=2,"?ACTIVATED",IF(J618&lt;&gt;"","?FAMILIAR",IF(F618="NEW",IF(ISNA(VLOOKUP(E618,#REF!,1,FALSE())),"?TYPE_IDENTIFIABLE","?REFERENTIAL"),"_")))))</f>
        <v> </v>
      </c>
      <c r="H618" s="25" t="str">
        <f>IF(J618&lt;&gt;1,"",IF(I618="SBJ","CB","?"))</f>
        <v> </v>
      </c>
      <c r="I618" s="26" t="str">
        <f>IF(OR(E618="",E618="!!!",F618="NEW"),"",INDEX(B617:B$2,-1+SUMPRODUCT(MAX(ROW(E617:E$2)*(E618=E617:E$2)))))</f>
        <v> </v>
      </c>
      <c r="J618" s="26" t="str">
        <f>IF(OR(E618="",E618="!!!",F618="NEW"),"",COUNTBLANK(OFFSET(A$1,,,SUMPRODUCT(MAX(ROW(E$2:E618)*(E618=E$2:E618)))))-COUNTBLANK(OFFSET(A$1,,,SUMPRODUCT(MAX(ROW(E$1:E617)*(E2=E$1:E617))))))</f>
        <v> </v>
      </c>
      <c r="K618" s="26" t="str">
        <f>IF(OR(E618="",E618="!!!",F618="NEW"),"",INDEX(J$1:J617,SUMPRODUCT(MAX(ROW(E$1:E617)*(E618=E$1:E617)))))</f>
        <v> </v>
      </c>
      <c r="L618" s="27"/>
    </row>
    <row r="619" spans="1:12">
      <c r="A619" s="20" t="s">
        <v>141</v>
      </c>
      <c r="E619" s="22">
        <f>IF(D619="?OLD","!!!","")</f>
        <v/>
      </c>
      <c r="F619" s="23" t="str">
        <f>IF(OR(E619="",E619="!!!"),"",IF(NOT(ISNA(VLOOKUP(E619,E$1:E618,1,FALSE()))),"OLD",IF(AND(E619&lt;&gt;"",E619&lt;&gt;"!!!"),"NEW","")))</f>
        <v> </v>
      </c>
      <c r="G619" s="24" t="str">
        <f>IF(OR(E619="",E619="!!!"),"",IF(OR(J619=0,AND(J619=1,K619=1),AND(J619=1,I619="SBJ"),AND(J619=1,I619=0)),"?IN_FOCUS",IF(J619&lt;=2,"?ACTIVATED",IF(J619&lt;&gt;"","?FAMILIAR",IF(F619="NEW",IF(ISNA(VLOOKUP(E619,#REF!,1,FALSE())),"?TYPE_IDENTIFIABLE","?REFERENTIAL"),"_")))))</f>
        <v> </v>
      </c>
      <c r="H619" s="25" t="str">
        <f>IF(J619&lt;&gt;1,"",IF(I619="SBJ","CB","?"))</f>
        <v> </v>
      </c>
      <c r="I619" s="26" t="str">
        <f>IF(OR(E619="",E619="!!!",F619="NEW"),"",INDEX(B618:B$2,-1+SUMPRODUCT(MAX(ROW(E618:E$2)*(E619=E618:E$2)))))</f>
        <v> </v>
      </c>
      <c r="J619" s="26" t="str">
        <f>IF(OR(E619="",E619="!!!",F619="NEW"),"",COUNTBLANK(OFFSET(A$1,,,SUMPRODUCT(MAX(ROW(E$2:E619)*(E619=E$2:E619)))))-COUNTBLANK(OFFSET(A$1,,,SUMPRODUCT(MAX(ROW(E$1:E618)*(E2=E$1:E618))))))</f>
        <v> </v>
      </c>
      <c r="K619" s="26" t="str">
        <f>IF(OR(E619="",E619="!!!",F619="NEW"),"",INDEX(J$1:J618,SUMPRODUCT(MAX(ROW(E$1:E618)*(E619=E$1:E618)))))</f>
        <v> </v>
      </c>
      <c r="L619" s="27"/>
    </row>
    <row r="620" spans="1:12">
      <c r="A620" s="20" t="s">
        <v>224</v>
      </c>
      <c r="E620" s="22">
        <f>IF(D620="?OLD","!!!","")</f>
        <v/>
      </c>
      <c r="F620" s="23" t="str">
        <f>IF(OR(E620="",E620="!!!"),"",IF(NOT(ISNA(VLOOKUP(E620,E$1:E619,1,FALSE()))),"OLD",IF(AND(E620&lt;&gt;"",E620&lt;&gt;"!!!"),"NEW","")))</f>
        <v> </v>
      </c>
      <c r="G620" s="24" t="str">
        <f>IF(OR(E620="",E620="!!!"),"",IF(OR(J620=0,AND(J620=1,K620=1),AND(J620=1,I620="SBJ"),AND(J620=1,I620=0)),"?IN_FOCUS",IF(J620&lt;=2,"?ACTIVATED",IF(J620&lt;&gt;"","?FAMILIAR",IF(F620="NEW",IF(ISNA(VLOOKUP(E620,#REF!,1,FALSE())),"?TYPE_IDENTIFIABLE","?REFERENTIAL"),"_")))))</f>
        <v> </v>
      </c>
      <c r="H620" s="25" t="str">
        <f>IF(J620&lt;&gt;1,"",IF(I620="SBJ","CB","?"))</f>
        <v> </v>
      </c>
      <c r="I620" s="26" t="str">
        <f>IF(OR(E620="",E620="!!!",F620="NEW"),"",INDEX(B619:B$2,-1+SUMPRODUCT(MAX(ROW(E619:E$2)*(E620=E619:E$2)))))</f>
        <v> </v>
      </c>
      <c r="J620" s="26" t="str">
        <f>IF(OR(E620="",E620="!!!",F620="NEW"),"",COUNTBLANK(OFFSET(A$1,,,SUMPRODUCT(MAX(ROW(E$2:E620)*(E620=E$2:E620)))))-COUNTBLANK(OFFSET(A$1,,,SUMPRODUCT(MAX(ROW(E$1:E619)*(E2=E$1:E619))))))</f>
        <v> </v>
      </c>
      <c r="K620" s="26" t="str">
        <f>IF(OR(E620="",E620="!!!",F620="NEW"),"",INDEX(J$1:J619,SUMPRODUCT(MAX(ROW(E$1:E619)*(E620=E$1:E619)))))</f>
        <v> </v>
      </c>
      <c r="L620" s="27"/>
    </row>
    <row r="621" spans="1:12">
      <c r="A621" s="20" t="s">
        <v>116</v>
      </c>
      <c r="E621" s="22">
        <f>IF(D621="?OLD","!!!","")</f>
        <v/>
      </c>
      <c r="F621" s="23" t="str">
        <f>IF(OR(E621="",E621="!!!"),"",IF(NOT(ISNA(VLOOKUP(E621,E$1:E620,1,FALSE()))),"OLD",IF(AND(E621&lt;&gt;"",E621&lt;&gt;"!!!"),"NEW","")))</f>
        <v> </v>
      </c>
      <c r="G621" s="24" t="str">
        <f>IF(OR(E621="",E621="!!!"),"",IF(OR(J621=0,AND(J621=1,K621=1),AND(J621=1,I621="SBJ"),AND(J621=1,I621=0)),"?IN_FOCUS",IF(J621&lt;=2,"?ACTIVATED",IF(J621&lt;&gt;"","?FAMILIAR",IF(F621="NEW",IF(ISNA(VLOOKUP(E621,#REF!,1,FALSE())),"?TYPE_IDENTIFIABLE","?REFERENTIAL"),"_")))))</f>
        <v> </v>
      </c>
      <c r="H621" s="25" t="str">
        <f>IF(J621&lt;&gt;1,"",IF(I621="SBJ","CB","?"))</f>
        <v> </v>
      </c>
      <c r="I621" s="26" t="str">
        <f>IF(OR(E621="",E621="!!!",F621="NEW"),"",INDEX(B620:B$2,-1+SUMPRODUCT(MAX(ROW(E620:E$2)*(E621=E620:E$2)))))</f>
        <v> </v>
      </c>
      <c r="J621" s="26" t="str">
        <f>IF(OR(E621="",E621="!!!",F621="NEW"),"",COUNTBLANK(OFFSET(A$1,,,SUMPRODUCT(MAX(ROW(E$2:E621)*(E621=E$2:E621)))))-COUNTBLANK(OFFSET(A$1,,,SUMPRODUCT(MAX(ROW(E$1:E620)*(E2=E$1:E620))))))</f>
        <v> </v>
      </c>
      <c r="K621" s="26" t="str">
        <f>IF(OR(E621="",E621="!!!",F621="NEW"),"",INDEX(J$1:J620,SUMPRODUCT(MAX(ROW(E$1:E620)*(E621=E$1:E620)))))</f>
        <v> </v>
      </c>
      <c r="L621" s="27"/>
    </row>
    <row r="622" spans="1:12">
      <c r="A622" s="20" t="s">
        <v>224</v>
      </c>
      <c r="B622" s="21" t="s">
        <v>406</v>
      </c>
      <c r="E622" s="22">
        <f>IF(D622="?OLD","!!!","")</f>
        <v/>
      </c>
      <c r="F622" s="23" t="str">
        <f>IF(OR(E622="",E622="!!!"),"",IF(NOT(ISNA(VLOOKUP(E622,E$1:E621,1,FALSE()))),"OLD",IF(AND(E622&lt;&gt;"",E622&lt;&gt;"!!!"),"NEW","")))</f>
        <v> </v>
      </c>
      <c r="G622" s="24" t="str">
        <f>IF(OR(E622="",E622="!!!"),"",IF(OR(J622=0,AND(J622=1,K622=1),AND(J622=1,I622="SBJ"),AND(J622=1,I622=0)),"?IN_FOCUS",IF(J622&lt;=2,"?ACTIVATED",IF(J622&lt;&gt;"","?FAMILIAR",IF(F622="NEW",IF(ISNA(VLOOKUP(E622,#REF!,1,FALSE())),"?TYPE_IDENTIFIABLE","?REFERENTIAL"),"_")))))</f>
        <v> </v>
      </c>
      <c r="H622" s="25" t="str">
        <f>IF(J622&lt;&gt;1,"",IF(I622="SBJ","CB","?"))</f>
        <v> </v>
      </c>
      <c r="I622" s="26" t="str">
        <f>IF(OR(E622="",E622="!!!",F622="NEW"),"",INDEX(B621:B$2,-1+SUMPRODUCT(MAX(ROW(E621:E$2)*(E622=E621:E$2)))))</f>
        <v> </v>
      </c>
      <c r="J622" s="26" t="str">
        <f>IF(OR(E622="",E622="!!!",F622="NEW"),"",COUNTBLANK(OFFSET(A$1,,,SUMPRODUCT(MAX(ROW(E$2:E622)*(E622=E$2:E622)))))-COUNTBLANK(OFFSET(A$1,,,SUMPRODUCT(MAX(ROW(E$1:E621)*(E2=E$1:E621))))))</f>
        <v> </v>
      </c>
      <c r="K622" s="26" t="str">
        <f>IF(OR(E622="",E622="!!!",F622="NEW"),"",INDEX(J$1:J621,SUMPRODUCT(MAX(ROW(E$1:E621)*(E622=E$1:E621)))))</f>
        <v> </v>
      </c>
      <c r="L622" s="27"/>
    </row>
    <row r="623" spans="1:12">
      <c r="A623" s="20" t="s">
        <v>210</v>
      </c>
      <c r="B623" s="21" t="s">
        <v>407</v>
      </c>
      <c r="C623" s="21" t="s">
        <v>175</v>
      </c>
      <c r="D623" s="21" t="s">
        <v>106</v>
      </c>
      <c r="E623" s="22">
        <f>IF(D623="?OLD","!!!","")</f>
        <v/>
      </c>
      <c r="F623" s="23" t="str">
        <f>IF(OR(E623="",E623="!!!"),"",IF(NOT(ISNA(VLOOKUP(E623,E$1:E622,1,FALSE()))),"OLD",IF(AND(E623&lt;&gt;"",E623&lt;&gt;"!!!"),"NEW","")))</f>
        <v> </v>
      </c>
      <c r="G623" s="24" t="str">
        <f>IF(OR(E623="",E623="!!!"),"",IF(OR(J623=0,AND(J623=1,K623=1),AND(J623=1,I623="SBJ"),AND(J623=1,I623=0)),"?IN_FOCUS",IF(J623&lt;=2,"?ACTIVATED",IF(J623&lt;&gt;"","?FAMILIAR",IF(F623="NEW",IF(ISNA(VLOOKUP(E623,#REF!,1,FALSE())),"?TYPE_IDENTIFIABLE","?REFERENTIAL"),"_")))))</f>
        <v> </v>
      </c>
      <c r="H623" s="25" t="str">
        <f>IF(J623&lt;&gt;1,"",IF(I623="SBJ","CB","?"))</f>
        <v> </v>
      </c>
      <c r="I623" s="26" t="str">
        <f>IF(OR(E623="",E623="!!!",F623="NEW"),"",INDEX(B622:B$2,-1+SUMPRODUCT(MAX(ROW(E622:E$2)*(E623=E622:E$2)))))</f>
        <v> </v>
      </c>
      <c r="J623" s="26" t="str">
        <f>IF(OR(E623="",E623="!!!",F623="NEW"),"",COUNTBLANK(OFFSET(A$1,,,SUMPRODUCT(MAX(ROW(E$2:E623)*(E623=E$2:E623)))))-COUNTBLANK(OFFSET(A$1,,,SUMPRODUCT(MAX(ROW(E$1:E622)*(E2=E$1:E622))))))</f>
        <v> </v>
      </c>
      <c r="K623" s="26" t="str">
        <f>IF(OR(E623="",E623="!!!",F623="NEW"),"",INDEX(J$1:J622,SUMPRODUCT(MAX(ROW(E$1:E622)*(E623=E$1:E622)))))</f>
        <v> </v>
      </c>
      <c r="L623" s="27"/>
    </row>
    <row r="624" spans="1:12">
      <c r="A624" s="20" t="s">
        <v>451</v>
      </c>
      <c r="E624" s="22">
        <f>IF(D624="?OLD","!!!","")</f>
        <v/>
      </c>
      <c r="F624" s="23" t="str">
        <f>IF(OR(E624="",E624="!!!"),"",IF(NOT(ISNA(VLOOKUP(E624,E$1:E623,1,FALSE()))),"OLD",IF(AND(E624&lt;&gt;"",E624&lt;&gt;"!!!"),"NEW","")))</f>
        <v> </v>
      </c>
      <c r="G624" s="24" t="str">
        <f>IF(OR(E624="",E624="!!!"),"",IF(OR(J624=0,AND(J624=1,K624=1),AND(J624=1,I624="SBJ"),AND(J624=1,I624=0)),"?IN_FOCUS",IF(J624&lt;=2,"?ACTIVATED",IF(J624&lt;&gt;"","?FAMILIAR",IF(F624="NEW",IF(ISNA(VLOOKUP(E624,#REF!,1,FALSE())),"?TYPE_IDENTIFIABLE","?REFERENTIAL"),"_")))))</f>
        <v> </v>
      </c>
      <c r="H624" s="25" t="str">
        <f>IF(J624&lt;&gt;1,"",IF(I624="SBJ","CB","?"))</f>
        <v> </v>
      </c>
      <c r="I624" s="26" t="str">
        <f>IF(OR(E624="",E624="!!!",F624="NEW"),"",INDEX(B623:B$2,-1+SUMPRODUCT(MAX(ROW(E623:E$2)*(E624=E623:E$2)))))</f>
        <v> </v>
      </c>
      <c r="J624" s="26" t="str">
        <f>IF(OR(E624="",E624="!!!",F624="NEW"),"",COUNTBLANK(OFFSET(A$1,,,SUMPRODUCT(MAX(ROW(E$2:E624)*(E624=E$2:E624)))))-COUNTBLANK(OFFSET(A$1,,,SUMPRODUCT(MAX(ROW(E$1:E623)*(E2=E$1:E623))))))</f>
        <v> </v>
      </c>
      <c r="K624" s="26" t="str">
        <f>IF(OR(E624="",E624="!!!",F624="NEW"),"",INDEX(J$1:J623,SUMPRODUCT(MAX(ROW(E$1:E623)*(E624=E$1:E623)))))</f>
        <v> </v>
      </c>
      <c r="L624" s="27"/>
    </row>
    <row r="625" spans="1:12">
      <c r="A625" s="20" t="s">
        <v>135</v>
      </c>
      <c r="E625" s="22">
        <f>IF(D625="?OLD","!!!","")</f>
        <v/>
      </c>
      <c r="F625" s="23" t="str">
        <f>IF(OR(E625="",E625="!!!"),"",IF(NOT(ISNA(VLOOKUP(E625,E$1:E624,1,FALSE()))),"OLD",IF(AND(E625&lt;&gt;"",E625&lt;&gt;"!!!"),"NEW","")))</f>
        <v> </v>
      </c>
      <c r="G625" s="24" t="str">
        <f>IF(OR(E625="",E625="!!!"),"",IF(OR(J625=0,AND(J625=1,K625=1),AND(J625=1,I625="SBJ"),AND(J625=1,I625=0)),"?IN_FOCUS",IF(J625&lt;=2,"?ACTIVATED",IF(J625&lt;&gt;"","?FAMILIAR",IF(F625="NEW",IF(ISNA(VLOOKUP(E625,#REF!,1,FALSE())),"?TYPE_IDENTIFIABLE","?REFERENTIAL"),"_")))))</f>
        <v> </v>
      </c>
      <c r="H625" s="25" t="str">
        <f>IF(J625&lt;&gt;1,"",IF(I625="SBJ","CB","?"))</f>
        <v> </v>
      </c>
      <c r="I625" s="26" t="str">
        <f>IF(OR(E625="",E625="!!!",F625="NEW"),"",INDEX(B624:B$2,-1+SUMPRODUCT(MAX(ROW(E624:E$2)*(E625=E624:E$2)))))</f>
        <v> </v>
      </c>
      <c r="J625" s="26" t="str">
        <f>IF(OR(E625="",E625="!!!",F625="NEW"),"",COUNTBLANK(OFFSET(A$1,,,SUMPRODUCT(MAX(ROW(E$2:E625)*(E625=E$2:E625)))))-COUNTBLANK(OFFSET(A$1,,,SUMPRODUCT(MAX(ROW(E$1:E624)*(E2=E$1:E624))))))</f>
        <v> </v>
      </c>
      <c r="K625" s="26" t="str">
        <f>IF(OR(E625="",E625="!!!",F625="NEW"),"",INDEX(J$1:J624,SUMPRODUCT(MAX(ROW(E$1:E624)*(E625=E$1:E624)))))</f>
        <v> </v>
      </c>
      <c r="L625" s="27"/>
    </row>
    <row r="626" spans="1:12">
      <c r="A626" s="20"/>
    </row>
    <row r="627" spans="1:12">
      <c r="A627" s="20" t="s">
        <v>452</v>
      </c>
    </row>
    <row r="628" spans="1:12">
      <c r="A628" s="20" t="s">
        <v>453</v>
      </c>
      <c r="E628" s="22">
        <f>IF(D628="?OLD","!!!","")</f>
        <v/>
      </c>
      <c r="F628" s="23" t="str">
        <f>IF(OR(E628="",E628="!!!"),"",IF(NOT(ISNA(VLOOKUP(E628,E$1:E627,1,FALSE()))),"OLD",IF(AND(E628&lt;&gt;"",E628&lt;&gt;"!!!"),"NEW","")))</f>
        <v> </v>
      </c>
      <c r="G628" s="24" t="str">
        <f>IF(OR(E628="",E628="!!!"),"",IF(OR(J628=0,AND(J628=1,K628=1),AND(J628=1,I628="SBJ"),AND(J628=1,I628=0)),"?IN_FOCUS",IF(J628&lt;=2,"?ACTIVATED",IF(J628&lt;&gt;"","?FAMILIAR",IF(F628="NEW",IF(ISNA(VLOOKUP(E628,#REF!,1,FALSE())),"?TYPE_IDENTIFIABLE","?REFERENTIAL"),"_")))))</f>
        <v> </v>
      </c>
      <c r="H628" s="25" t="str">
        <f>IF(J628&lt;&gt;1,"",IF(I628="SBJ","CB","?"))</f>
        <v> </v>
      </c>
      <c r="I628" s="26" t="str">
        <f>IF(OR(E628="",E628="!!!",F628="NEW"),"",INDEX(B627:B$2,-1+SUMPRODUCT(MAX(ROW(E627:E$2)*(E628=E627:E$2)))))</f>
        <v> </v>
      </c>
      <c r="J628" s="26" t="str">
        <f>IF(OR(E628="",E628="!!!",F628="NEW"),"",COUNTBLANK(OFFSET(A$1,,,SUMPRODUCT(MAX(ROW(E$2:E628)*(E628=E$2:E628)))))-COUNTBLANK(OFFSET(A$1,,,SUMPRODUCT(MAX(ROW(E$1:E627)*(E2=E$1:E627))))))</f>
        <v> </v>
      </c>
      <c r="K628" s="26" t="str">
        <f>IF(OR(E628="",E628="!!!",F628="NEW"),"",INDEX(J$1:J627,SUMPRODUCT(MAX(ROW(E$1:E627)*(E628=E$1:E627)))))</f>
        <v> </v>
      </c>
      <c r="L628" s="27"/>
    </row>
    <row r="629" spans="1:12">
      <c r="A629" s="20" t="s">
        <v>237</v>
      </c>
      <c r="B629" s="21" t="s">
        <v>124</v>
      </c>
      <c r="C629" s="21" t="s">
        <v>105</v>
      </c>
      <c r="D629" s="21" t="s">
        <v>106</v>
      </c>
      <c r="E629" s="22">
        <f>IF(D629="?OLD","!!!","")</f>
        <v/>
      </c>
      <c r="F629" s="23" t="str">
        <f>IF(OR(E629="",E629="!!!"),"",IF(NOT(ISNA(VLOOKUP(E629,E$1:E628,1,FALSE()))),"OLD",IF(AND(E629&lt;&gt;"",E629&lt;&gt;"!!!"),"NEW","")))</f>
        <v> </v>
      </c>
      <c r="G629" s="24" t="str">
        <f>IF(OR(E629="",E629="!!!"),"",IF(OR(J629=0,AND(J629=1,K629=1),AND(J629=1,I629="SBJ"),AND(J629=1,I629=0)),"?IN_FOCUS",IF(J629&lt;=2,"?ACTIVATED",IF(J629&lt;&gt;"","?FAMILIAR",IF(F629="NEW",IF(ISNA(VLOOKUP(E629,#REF!,1,FALSE())),"?TYPE_IDENTIFIABLE","?REFERENTIAL"),"_")))))</f>
        <v> </v>
      </c>
      <c r="H629" s="25" t="str">
        <f>IF(J629&lt;&gt;1,"",IF(I629="SBJ","CB","?"))</f>
        <v> </v>
      </c>
      <c r="I629" s="26" t="str">
        <f>IF(OR(E629="",E629="!!!",F629="NEW"),"",INDEX(B628:B$2,-1+SUMPRODUCT(MAX(ROW(E628:E$2)*(E629=E628:E$2)))))</f>
        <v> </v>
      </c>
      <c r="J629" s="26" t="str">
        <f>IF(OR(E629="",E629="!!!",F629="NEW"),"",COUNTBLANK(OFFSET(A$1,,,SUMPRODUCT(MAX(ROW(E$2:E629)*(E629=E$2:E629)))))-COUNTBLANK(OFFSET(A$1,,,SUMPRODUCT(MAX(ROW(E$1:E628)*(E2=E$1:E628))))))</f>
        <v> </v>
      </c>
      <c r="K629" s="26" t="str">
        <f>IF(OR(E629="",E629="!!!",F629="NEW"),"",INDEX(J$1:J628,SUMPRODUCT(MAX(ROW(E$1:E628)*(E629=E$1:E628)))))</f>
        <v> </v>
      </c>
      <c r="L629" s="27"/>
    </row>
    <row r="630" spans="1:12">
      <c r="A630" s="20" t="s">
        <v>138</v>
      </c>
      <c r="E630" s="22">
        <f>IF(D630="?OLD","!!!","")</f>
        <v/>
      </c>
      <c r="F630" s="23" t="str">
        <f>IF(OR(E630="",E630="!!!"),"",IF(NOT(ISNA(VLOOKUP(E630,E$1:E629,1,FALSE()))),"OLD",IF(AND(E630&lt;&gt;"",E630&lt;&gt;"!!!"),"NEW","")))</f>
        <v> </v>
      </c>
      <c r="G630" s="24" t="str">
        <f>IF(OR(E630="",E630="!!!"),"",IF(OR(J630=0,AND(J630=1,K630=1),AND(J630=1,I630="SBJ"),AND(J630=1,I630=0)),"?IN_FOCUS",IF(J630&lt;=2,"?ACTIVATED",IF(J630&lt;&gt;"","?FAMILIAR",IF(F630="NEW",IF(ISNA(VLOOKUP(E630,#REF!,1,FALSE())),"?TYPE_IDENTIFIABLE","?REFERENTIAL"),"_")))))</f>
        <v> </v>
      </c>
      <c r="H630" s="25" t="str">
        <f>IF(J630&lt;&gt;1,"",IF(I630="SBJ","CB","?"))</f>
        <v> </v>
      </c>
      <c r="I630" s="26" t="str">
        <f>IF(OR(E630="",E630="!!!",F630="NEW"),"",INDEX(B629:B$2,-1+SUMPRODUCT(MAX(ROW(E629:E$2)*(E630=E629:E$2)))))</f>
        <v> </v>
      </c>
      <c r="J630" s="26" t="str">
        <f>IF(OR(E630="",E630="!!!",F630="NEW"),"",COUNTBLANK(OFFSET(A$1,,,SUMPRODUCT(MAX(ROW(E$2:E630)*(E630=E$2:E630)))))-COUNTBLANK(OFFSET(A$1,,,SUMPRODUCT(MAX(ROW(E$1:E629)*(E2=E$1:E629))))))</f>
        <v> </v>
      </c>
      <c r="K630" s="26" t="str">
        <f>IF(OR(E630="",E630="!!!",F630="NEW"),"",INDEX(J$1:J629,SUMPRODUCT(MAX(ROW(E$1:E629)*(E630=E$1:E629)))))</f>
        <v> </v>
      </c>
      <c r="L630" s="27"/>
    </row>
    <row r="631" spans="1:12">
      <c r="A631" s="20" t="s">
        <v>275</v>
      </c>
      <c r="B631" s="21" t="s">
        <v>104</v>
      </c>
      <c r="C631" s="21" t="s">
        <v>105</v>
      </c>
      <c r="D631" s="21" t="s">
        <v>106</v>
      </c>
      <c r="E631" s="22">
        <f>IF(D631="?OLD","!!!","")</f>
        <v/>
      </c>
      <c r="F631" s="23" t="str">
        <f>IF(OR(E631="",E631="!!!"),"",IF(NOT(ISNA(VLOOKUP(E631,E$1:E630,1,FALSE()))),"OLD",IF(AND(E631&lt;&gt;"",E631&lt;&gt;"!!!"),"NEW","")))</f>
        <v> </v>
      </c>
      <c r="G631" s="24" t="str">
        <f>IF(OR(E631="",E631="!!!"),"",IF(OR(J631=0,AND(J631=1,K631=1),AND(J631=1,I631="SBJ"),AND(J631=1,I631=0)),"?IN_FOCUS",IF(J631&lt;=2,"?ACTIVATED",IF(J631&lt;&gt;"","?FAMILIAR",IF(F631="NEW",IF(ISNA(VLOOKUP(E631,#REF!,1,FALSE())),"?TYPE_IDENTIFIABLE","?REFERENTIAL"),"_")))))</f>
        <v> </v>
      </c>
      <c r="H631" s="25" t="str">
        <f>IF(J631&lt;&gt;1,"",IF(I631="SBJ","CB","?"))</f>
        <v> </v>
      </c>
      <c r="I631" s="26" t="str">
        <f>IF(OR(E631="",E631="!!!",F631="NEW"),"",INDEX(B630:B$2,-1+SUMPRODUCT(MAX(ROW(E630:E$2)*(E631=E630:E$2)))))</f>
        <v> </v>
      </c>
      <c r="J631" s="26" t="str">
        <f>IF(OR(E631="",E631="!!!",F631="NEW"),"",COUNTBLANK(OFFSET(A$1,,,SUMPRODUCT(MAX(ROW(E$2:E631)*(E631=E$2:E631)))))-COUNTBLANK(OFFSET(A$1,,,SUMPRODUCT(MAX(ROW(E$1:E630)*(E2=E$1:E630))))))</f>
        <v> </v>
      </c>
      <c r="K631" s="26" t="str">
        <f>IF(OR(E631="",E631="!!!",F631="NEW"),"",INDEX(J$1:J630,SUMPRODUCT(MAX(ROW(E$1:E630)*(E631=E$1:E630)))))</f>
        <v> </v>
      </c>
      <c r="L631" s="27"/>
    </row>
    <row r="632" spans="1:12">
      <c r="A632" s="20" t="s">
        <v>281</v>
      </c>
      <c r="E632" s="22">
        <f>IF(D632="?OLD","!!!","")</f>
        <v/>
      </c>
      <c r="F632" s="23" t="str">
        <f>IF(OR(E632="",E632="!!!"),"",IF(NOT(ISNA(VLOOKUP(E632,E$1:E631,1,FALSE()))),"OLD",IF(AND(E632&lt;&gt;"",E632&lt;&gt;"!!!"),"NEW","")))</f>
        <v> </v>
      </c>
      <c r="G632" s="24" t="str">
        <f>IF(OR(E632="",E632="!!!"),"",IF(OR(J632=0,AND(J632=1,K632=1),AND(J632=1,I632="SBJ"),AND(J632=1,I632=0)),"?IN_FOCUS",IF(J632&lt;=2,"?ACTIVATED",IF(J632&lt;&gt;"","?FAMILIAR",IF(F632="NEW",IF(ISNA(VLOOKUP(E632,#REF!,1,FALSE())),"?TYPE_IDENTIFIABLE","?REFERENTIAL"),"_")))))</f>
        <v> </v>
      </c>
      <c r="H632" s="25" t="str">
        <f>IF(J632&lt;&gt;1,"",IF(I632="SBJ","CB","?"))</f>
        <v> </v>
      </c>
      <c r="I632" s="26" t="str">
        <f>IF(OR(E632="",E632="!!!",F632="NEW"),"",INDEX(B631:B$2,-1+SUMPRODUCT(MAX(ROW(E631:E$2)*(E632=E631:E$2)))))</f>
        <v> </v>
      </c>
      <c r="J632" s="26" t="str">
        <f>IF(OR(E632="",E632="!!!",F632="NEW"),"",COUNTBLANK(OFFSET(A$1,,,SUMPRODUCT(MAX(ROW(E$2:E632)*(E632=E$2:E632)))))-COUNTBLANK(OFFSET(A$1,,,SUMPRODUCT(MAX(ROW(E$1:E631)*(E2=E$1:E631))))))</f>
        <v> </v>
      </c>
      <c r="K632" s="26" t="str">
        <f>IF(OR(E632="",E632="!!!",F632="NEW"),"",INDEX(J$1:J631,SUMPRODUCT(MAX(ROW(E$1:E631)*(E632=E$1:E631)))))</f>
        <v> </v>
      </c>
      <c r="L632" s="27"/>
    </row>
    <row r="633" spans="1:12">
      <c r="A633" s="20" t="s">
        <v>454</v>
      </c>
      <c r="B633" s="21" t="s">
        <v>110</v>
      </c>
      <c r="C633" s="21" t="s">
        <v>122</v>
      </c>
      <c r="E633" s="22">
        <f>IF(D633="?OLD","!!!","")</f>
        <v/>
      </c>
      <c r="F633" s="23" t="str">
        <f>IF(OR(E633="",E633="!!!"),"",IF(NOT(ISNA(VLOOKUP(E633,E$1:E632,1,FALSE()))),"OLD",IF(AND(E633&lt;&gt;"",E633&lt;&gt;"!!!"),"NEW","")))</f>
        <v> </v>
      </c>
      <c r="G633" s="24" t="str">
        <f>IF(OR(E633="",E633="!!!"),"",IF(OR(J633=0,AND(J633=1,K633=1),AND(J633=1,I633="SBJ"),AND(J633=1,I633=0)),"?IN_FOCUS",IF(J633&lt;=2,"?ACTIVATED",IF(J633&lt;&gt;"","?FAMILIAR",IF(F633="NEW",IF(ISNA(VLOOKUP(E633,#REF!,1,FALSE())),"?TYPE_IDENTIFIABLE","?REFERENTIAL"),"_")))))</f>
        <v> </v>
      </c>
      <c r="H633" s="25" t="str">
        <f>IF(J633&lt;&gt;1,"",IF(I633="SBJ","CB","?"))</f>
        <v> </v>
      </c>
      <c r="I633" s="26" t="str">
        <f>IF(OR(E633="",E633="!!!",F633="NEW"),"",INDEX(B632:B$2,-1+SUMPRODUCT(MAX(ROW(E632:E$2)*(E633=E632:E$2)))))</f>
        <v> </v>
      </c>
      <c r="J633" s="26" t="str">
        <f>IF(OR(E633="",E633="!!!",F633="NEW"),"",COUNTBLANK(OFFSET(A$1,,,SUMPRODUCT(MAX(ROW(E$2:E633)*(E633=E$2:E633)))))-COUNTBLANK(OFFSET(A$1,,,SUMPRODUCT(MAX(ROW(E$1:E632)*(E2=E$1:E632))))))</f>
        <v> </v>
      </c>
      <c r="K633" s="26" t="str">
        <f>IF(OR(E633="",E633="!!!",F633="NEW"),"",INDEX(J$1:J632,SUMPRODUCT(MAX(ROW(E$1:E632)*(E633=E$1:E632)))))</f>
        <v> </v>
      </c>
      <c r="L633" s="27"/>
    </row>
    <row r="634" spans="1:12">
      <c r="A634" s="20" t="s">
        <v>116</v>
      </c>
      <c r="E634" s="22">
        <f>IF(D634="?OLD","!!!","")</f>
        <v/>
      </c>
      <c r="F634" s="23" t="str">
        <f>IF(OR(E634="",E634="!!!"),"",IF(NOT(ISNA(VLOOKUP(E634,E$1:E633,1,FALSE()))),"OLD",IF(AND(E634&lt;&gt;"",E634&lt;&gt;"!!!"),"NEW","")))</f>
        <v> </v>
      </c>
      <c r="G634" s="24" t="str">
        <f>IF(OR(E634="",E634="!!!"),"",IF(OR(J634=0,AND(J634=1,K634=1),AND(J634=1,I634="SBJ"),AND(J634=1,I634=0)),"?IN_FOCUS",IF(J634&lt;=2,"?ACTIVATED",IF(J634&lt;&gt;"","?FAMILIAR",IF(F634="NEW",IF(ISNA(VLOOKUP(E634,#REF!,1,FALSE())),"?TYPE_IDENTIFIABLE","?REFERENTIAL"),"_")))))</f>
        <v> </v>
      </c>
      <c r="H634" s="25" t="str">
        <f>IF(J634&lt;&gt;1,"",IF(I634="SBJ","CB","?"))</f>
        <v> </v>
      </c>
      <c r="I634" s="26" t="str">
        <f>IF(OR(E634="",E634="!!!",F634="NEW"),"",INDEX(B633:B$2,-1+SUMPRODUCT(MAX(ROW(E633:E$2)*(E634=E633:E$2)))))</f>
        <v> </v>
      </c>
      <c r="J634" s="26" t="str">
        <f>IF(OR(E634="",E634="!!!",F634="NEW"),"",COUNTBLANK(OFFSET(A$1,,,SUMPRODUCT(MAX(ROW(E$2:E634)*(E634=E$2:E634)))))-COUNTBLANK(OFFSET(A$1,,,SUMPRODUCT(MAX(ROW(E$1:E633)*(E2=E$1:E633))))))</f>
        <v> </v>
      </c>
      <c r="K634" s="26" t="str">
        <f>IF(OR(E634="",E634="!!!",F634="NEW"),"",INDEX(J$1:J633,SUMPRODUCT(MAX(ROW(E$1:E633)*(E634=E$1:E633)))))</f>
        <v> </v>
      </c>
      <c r="L634" s="27"/>
    </row>
    <row r="635" spans="1:12">
      <c r="A635" s="20" t="s">
        <v>191</v>
      </c>
      <c r="E635" s="22">
        <f>IF(D635="?OLD","!!!","")</f>
        <v/>
      </c>
      <c r="F635" s="23" t="str">
        <f>IF(OR(E635="",E635="!!!"),"",IF(NOT(ISNA(VLOOKUP(E635,E$1:E634,1,FALSE()))),"OLD",IF(AND(E635&lt;&gt;"",E635&lt;&gt;"!!!"),"NEW","")))</f>
        <v> </v>
      </c>
      <c r="G635" s="24" t="str">
        <f>IF(OR(E635="",E635="!!!"),"",IF(OR(J635=0,AND(J635=1,K635=1),AND(J635=1,I635="SBJ"),AND(J635=1,I635=0)),"?IN_FOCUS",IF(J635&lt;=2,"?ACTIVATED",IF(J635&lt;&gt;"","?FAMILIAR",IF(F635="NEW",IF(ISNA(VLOOKUP(E635,#REF!,1,FALSE())),"?TYPE_IDENTIFIABLE","?REFERENTIAL"),"_")))))</f>
        <v> </v>
      </c>
      <c r="H635" s="25" t="str">
        <f>IF(J635&lt;&gt;1,"",IF(I635="SBJ","CB","?"))</f>
        <v> </v>
      </c>
      <c r="I635" s="26" t="str">
        <f>IF(OR(E635="",E635="!!!",F635="NEW"),"",INDEX(B634:B$2,-1+SUMPRODUCT(MAX(ROW(E634:E$2)*(E635=E634:E$2)))))</f>
        <v> </v>
      </c>
      <c r="J635" s="26" t="str">
        <f>IF(OR(E635="",E635="!!!",F635="NEW"),"",COUNTBLANK(OFFSET(A$1,,,SUMPRODUCT(MAX(ROW(E$2:E635)*(E635=E$2:E635)))))-COUNTBLANK(OFFSET(A$1,,,SUMPRODUCT(MAX(ROW(E$1:E634)*(E2=E$1:E634))))))</f>
        <v> </v>
      </c>
      <c r="K635" s="26" t="str">
        <f>IF(OR(E635="",E635="!!!",F635="NEW"),"",INDEX(J$1:J634,SUMPRODUCT(MAX(ROW(E$1:E634)*(E635=E$1:E634)))))</f>
        <v> </v>
      </c>
      <c r="L635" s="27"/>
    </row>
    <row r="636" spans="1:12">
      <c r="A636" s="20" t="s">
        <v>224</v>
      </c>
      <c r="E636" s="22">
        <f>IF(D636="?OLD","!!!","")</f>
        <v/>
      </c>
      <c r="F636" s="23" t="str">
        <f>IF(OR(E636="",E636="!!!"),"",IF(NOT(ISNA(VLOOKUP(E636,E$1:E635,1,FALSE()))),"OLD",IF(AND(E636&lt;&gt;"",E636&lt;&gt;"!!!"),"NEW","")))</f>
        <v> </v>
      </c>
      <c r="G636" s="24" t="str">
        <f>IF(OR(E636="",E636="!!!"),"",IF(OR(J636=0,AND(J636=1,K636=1),AND(J636=1,I636="SBJ"),AND(J636=1,I636=0)),"?IN_FOCUS",IF(J636&lt;=2,"?ACTIVATED",IF(J636&lt;&gt;"","?FAMILIAR",IF(F636="NEW",IF(ISNA(VLOOKUP(E636,#REF!,1,FALSE())),"?TYPE_IDENTIFIABLE","?REFERENTIAL"),"_")))))</f>
        <v> </v>
      </c>
      <c r="H636" s="25" t="str">
        <f>IF(J636&lt;&gt;1,"",IF(I636="SBJ","CB","?"))</f>
        <v> </v>
      </c>
      <c r="I636" s="26" t="str">
        <f>IF(OR(E636="",E636="!!!",F636="NEW"),"",INDEX(B635:B$2,-1+SUMPRODUCT(MAX(ROW(E635:E$2)*(E636=E635:E$2)))))</f>
        <v> </v>
      </c>
      <c r="J636" s="26" t="str">
        <f>IF(OR(E636="",E636="!!!",F636="NEW"),"",COUNTBLANK(OFFSET(A$1,,,SUMPRODUCT(MAX(ROW(E$2:E636)*(E636=E$2:E636)))))-COUNTBLANK(OFFSET(A$1,,,SUMPRODUCT(MAX(ROW(E$1:E635)*(E2=E$1:E635))))))</f>
        <v> </v>
      </c>
      <c r="K636" s="26" t="str">
        <f>IF(OR(E636="",E636="!!!",F636="NEW"),"",INDEX(J$1:J635,SUMPRODUCT(MAX(ROW(E$1:E635)*(E636=E$1:E635)))))</f>
        <v> </v>
      </c>
      <c r="L636" s="27"/>
    </row>
    <row r="637" spans="1:12">
      <c r="A637" s="20" t="s">
        <v>455</v>
      </c>
      <c r="B637" s="21" t="s">
        <v>225</v>
      </c>
      <c r="C637" s="21" t="s">
        <v>147</v>
      </c>
      <c r="D637" s="21" t="s">
        <v>106</v>
      </c>
      <c r="E637" s="22">
        <f>IF(D637="?OLD","!!!","")</f>
        <v/>
      </c>
      <c r="F637" s="23" t="str">
        <f>IF(OR(E637="",E637="!!!"),"",IF(NOT(ISNA(VLOOKUP(E637,E$1:E636,1,FALSE()))),"OLD",IF(AND(E637&lt;&gt;"",E637&lt;&gt;"!!!"),"NEW","")))</f>
        <v> </v>
      </c>
      <c r="G637" s="24" t="str">
        <f>IF(OR(E637="",E637="!!!"),"",IF(OR(J637=0,AND(J637=1,K637=1),AND(J637=1,I637="SBJ"),AND(J637=1,I637=0)),"?IN_FOCUS",IF(J637&lt;=2,"?ACTIVATED",IF(J637&lt;&gt;"","?FAMILIAR",IF(F637="NEW",IF(ISNA(VLOOKUP(E637,#REF!,1,FALSE())),"?TYPE_IDENTIFIABLE","?REFERENTIAL"),"_")))))</f>
        <v> </v>
      </c>
      <c r="H637" s="25" t="str">
        <f>IF(J637&lt;&gt;1,"",IF(I637="SBJ","CB","?"))</f>
        <v> </v>
      </c>
      <c r="I637" s="26" t="str">
        <f>IF(OR(E637="",E637="!!!",F637="NEW"),"",INDEX(B636:B$2,-1+SUMPRODUCT(MAX(ROW(E636:E$2)*(E637=E636:E$2)))))</f>
        <v> </v>
      </c>
      <c r="J637" s="26" t="str">
        <f>IF(OR(E637="",E637="!!!",F637="NEW"),"",COUNTBLANK(OFFSET(A$1,,,SUMPRODUCT(MAX(ROW(E$2:E637)*(E637=E$2:E637)))))-COUNTBLANK(OFFSET(A$1,,,SUMPRODUCT(MAX(ROW(E$1:E636)*(E2=E$1:E636))))))</f>
        <v> </v>
      </c>
      <c r="K637" s="26" t="str">
        <f>IF(OR(E637="",E637="!!!",F637="NEW"),"",INDEX(J$1:J636,SUMPRODUCT(MAX(ROW(E$1:E636)*(E637=E$1:E636)))))</f>
        <v> </v>
      </c>
      <c r="L637" s="27"/>
    </row>
    <row r="638" spans="1:12">
      <c r="A638" s="20" t="s">
        <v>456</v>
      </c>
      <c r="E638" s="22">
        <f>IF(D638="?OLD","!!!","")</f>
        <v/>
      </c>
      <c r="F638" s="23" t="str">
        <f>IF(OR(E638="",E638="!!!"),"",IF(NOT(ISNA(VLOOKUP(E638,E$1:E637,1,FALSE()))),"OLD",IF(AND(E638&lt;&gt;"",E638&lt;&gt;"!!!"),"NEW","")))</f>
        <v> </v>
      </c>
      <c r="G638" s="24" t="str">
        <f>IF(OR(E638="",E638="!!!"),"",IF(OR(J638=0,AND(J638=1,K638=1),AND(J638=1,I638="SBJ"),AND(J638=1,I638=0)),"?IN_FOCUS",IF(J638&lt;=2,"?ACTIVATED",IF(J638&lt;&gt;"","?FAMILIAR",IF(F638="NEW",IF(ISNA(VLOOKUP(E638,#REF!,1,FALSE())),"?TYPE_IDENTIFIABLE","?REFERENTIAL"),"_")))))</f>
        <v> </v>
      </c>
      <c r="H638" s="25" t="str">
        <f>IF(J638&lt;&gt;1,"",IF(I638="SBJ","CB","?"))</f>
        <v> </v>
      </c>
      <c r="I638" s="26" t="str">
        <f>IF(OR(E638="",E638="!!!",F638="NEW"),"",INDEX(B637:B$2,-1+SUMPRODUCT(MAX(ROW(E637:E$2)*(E638=E637:E$2)))))</f>
        <v> </v>
      </c>
      <c r="J638" s="26" t="str">
        <f>IF(OR(E638="",E638="!!!",F638="NEW"),"",COUNTBLANK(OFFSET(A$1,,,SUMPRODUCT(MAX(ROW(E$2:E638)*(E638=E$2:E638)))))-COUNTBLANK(OFFSET(A$1,,,SUMPRODUCT(MAX(ROW(E$1:E637)*(E2=E$1:E637))))))</f>
        <v> </v>
      </c>
      <c r="K638" s="26" t="str">
        <f>IF(OR(E638="",E638="!!!",F638="NEW"),"",INDEX(J$1:J637,SUMPRODUCT(MAX(ROW(E$1:E637)*(E638=E$1:E637)))))</f>
        <v> </v>
      </c>
      <c r="L638" s="27"/>
    </row>
    <row r="639" spans="1:12">
      <c r="A639" s="20" t="s">
        <v>189</v>
      </c>
      <c r="E639" s="22">
        <f>IF(D639="?OLD","!!!","")</f>
        <v/>
      </c>
      <c r="F639" s="23" t="str">
        <f>IF(OR(E639="",E639="!!!"),"",IF(NOT(ISNA(VLOOKUP(E639,E$1:E638,1,FALSE()))),"OLD",IF(AND(E639&lt;&gt;"",E639&lt;&gt;"!!!"),"NEW","")))</f>
        <v> </v>
      </c>
      <c r="G639" s="24" t="str">
        <f>IF(OR(E639="",E639="!!!"),"",IF(OR(J639=0,AND(J639=1,K639=1),AND(J639=1,I639="SBJ"),AND(J639=1,I639=0)),"?IN_FOCUS",IF(J639&lt;=2,"?ACTIVATED",IF(J639&lt;&gt;"","?FAMILIAR",IF(F639="NEW",IF(ISNA(VLOOKUP(E639,#REF!,1,FALSE())),"?TYPE_IDENTIFIABLE","?REFERENTIAL"),"_")))))</f>
        <v> </v>
      </c>
      <c r="H639" s="25" t="str">
        <f>IF(J639&lt;&gt;1,"",IF(I639="SBJ","CB","?"))</f>
        <v> </v>
      </c>
      <c r="I639" s="26" t="str">
        <f>IF(OR(E639="",E639="!!!",F639="NEW"),"",INDEX(B638:B$2,-1+SUMPRODUCT(MAX(ROW(E638:E$2)*(E639=E638:E$2)))))</f>
        <v> </v>
      </c>
      <c r="J639" s="26" t="str">
        <f>IF(OR(E639="",E639="!!!",F639="NEW"),"",COUNTBLANK(OFFSET(A$1,,,SUMPRODUCT(MAX(ROW(E$2:E639)*(E639=E$2:E639)))))-COUNTBLANK(OFFSET(A$1,,,SUMPRODUCT(MAX(ROW(E$1:E638)*(E2=E$1:E638))))))</f>
        <v> </v>
      </c>
      <c r="K639" s="26" t="str">
        <f>IF(OR(E639="",E639="!!!",F639="NEW"),"",INDEX(J$1:J638,SUMPRODUCT(MAX(ROW(E$1:E638)*(E639=E$1:E638)))))</f>
        <v> </v>
      </c>
      <c r="L639" s="27"/>
    </row>
    <row r="640" spans="1:12">
      <c r="A640" s="20" t="s">
        <v>457</v>
      </c>
      <c r="E640" s="22">
        <f>IF(D640="?OLD","!!!","")</f>
        <v/>
      </c>
      <c r="F640" s="23" t="str">
        <f>IF(OR(E640="",E640="!!!"),"",IF(NOT(ISNA(VLOOKUP(E640,E$1:E639,1,FALSE()))),"OLD",IF(AND(E640&lt;&gt;"",E640&lt;&gt;"!!!"),"NEW","")))</f>
        <v> </v>
      </c>
      <c r="G640" s="24" t="str">
        <f>IF(OR(E640="",E640="!!!"),"",IF(OR(J640=0,AND(J640=1,K640=1),AND(J640=1,I640="SBJ"),AND(J640=1,I640=0)),"?IN_FOCUS",IF(J640&lt;=2,"?ACTIVATED",IF(J640&lt;&gt;"","?FAMILIAR",IF(F640="NEW",IF(ISNA(VLOOKUP(E640,#REF!,1,FALSE())),"?TYPE_IDENTIFIABLE","?REFERENTIAL"),"_")))))</f>
        <v> </v>
      </c>
      <c r="H640" s="25" t="str">
        <f>IF(J640&lt;&gt;1,"",IF(I640="SBJ","CB","?"))</f>
        <v> </v>
      </c>
      <c r="I640" s="26" t="str">
        <f>IF(OR(E640="",E640="!!!",F640="NEW"),"",INDEX(B639:B$2,-1+SUMPRODUCT(MAX(ROW(E639:E$2)*(E640=E639:E$2)))))</f>
        <v> </v>
      </c>
      <c r="J640" s="26" t="str">
        <f>IF(OR(E640="",E640="!!!",F640="NEW"),"",COUNTBLANK(OFFSET(A$1,,,SUMPRODUCT(MAX(ROW(E$2:E640)*(E640=E$2:E640)))))-COUNTBLANK(OFFSET(A$1,,,SUMPRODUCT(MAX(ROW(E$1:E639)*(E2=E$1:E639))))))</f>
        <v> </v>
      </c>
      <c r="K640" s="26" t="str">
        <f>IF(OR(E640="",E640="!!!",F640="NEW"),"",INDEX(J$1:J639,SUMPRODUCT(MAX(ROW(E$1:E639)*(E640=E$1:E639)))))</f>
        <v> </v>
      </c>
      <c r="L640" s="27"/>
    </row>
    <row r="641" spans="1:12">
      <c r="A641" s="20" t="s">
        <v>116</v>
      </c>
      <c r="E641" s="22">
        <f>IF(D641="?OLD","!!!","")</f>
        <v/>
      </c>
      <c r="F641" s="23" t="str">
        <f>IF(OR(E641="",E641="!!!"),"",IF(NOT(ISNA(VLOOKUP(E641,E$1:E640,1,FALSE()))),"OLD",IF(AND(E641&lt;&gt;"",E641&lt;&gt;"!!!"),"NEW","")))</f>
        <v> </v>
      </c>
      <c r="G641" s="24" t="str">
        <f>IF(OR(E641="",E641="!!!"),"",IF(OR(J641=0,AND(J641=1,K641=1),AND(J641=1,I641="SBJ"),AND(J641=1,I641=0)),"?IN_FOCUS",IF(J641&lt;=2,"?ACTIVATED",IF(J641&lt;&gt;"","?FAMILIAR",IF(F641="NEW",IF(ISNA(VLOOKUP(E641,#REF!,1,FALSE())),"?TYPE_IDENTIFIABLE","?REFERENTIAL"),"_")))))</f>
        <v> </v>
      </c>
      <c r="H641" s="25" t="str">
        <f>IF(J641&lt;&gt;1,"",IF(I641="SBJ","CB","?"))</f>
        <v> </v>
      </c>
      <c r="I641" s="26" t="str">
        <f>IF(OR(E641="",E641="!!!",F641="NEW"),"",INDEX(B640:B$2,-1+SUMPRODUCT(MAX(ROW(E640:E$2)*(E641=E640:E$2)))))</f>
        <v> </v>
      </c>
      <c r="J641" s="26" t="str">
        <f>IF(OR(E641="",E641="!!!",F641="NEW"),"",COUNTBLANK(OFFSET(A$1,,,SUMPRODUCT(MAX(ROW(E$2:E641)*(E641=E$2:E641)))))-COUNTBLANK(OFFSET(A$1,,,SUMPRODUCT(MAX(ROW(E$1:E640)*(E2=E$1:E640))))))</f>
        <v> </v>
      </c>
      <c r="K641" s="26" t="str">
        <f>IF(OR(E641="",E641="!!!",F641="NEW"),"",INDEX(J$1:J640,SUMPRODUCT(MAX(ROW(E$1:E640)*(E641=E$1:E640)))))</f>
        <v> </v>
      </c>
      <c r="L641" s="27"/>
    </row>
    <row r="642" spans="1:12">
      <c r="A642" s="20" t="s">
        <v>224</v>
      </c>
      <c r="B642" s="21" t="s">
        <v>198</v>
      </c>
      <c r="E642" s="22">
        <f>IF(D642="?OLD","!!!","")</f>
        <v/>
      </c>
      <c r="F642" s="23" t="str">
        <f>IF(OR(E642="",E642="!!!"),"",IF(NOT(ISNA(VLOOKUP(E642,E$1:E641,1,FALSE()))),"OLD",IF(AND(E642&lt;&gt;"",E642&lt;&gt;"!!!"),"NEW","")))</f>
        <v> </v>
      </c>
      <c r="G642" s="24" t="str">
        <f>IF(OR(E642="",E642="!!!"),"",IF(OR(J642=0,AND(J642=1,K642=1),AND(J642=1,I642="SBJ"),AND(J642=1,I642=0)),"?IN_FOCUS",IF(J642&lt;=2,"?ACTIVATED",IF(J642&lt;&gt;"","?FAMILIAR",IF(F642="NEW",IF(ISNA(VLOOKUP(E642,#REF!,1,FALSE())),"?TYPE_IDENTIFIABLE","?REFERENTIAL"),"_")))))</f>
        <v> </v>
      </c>
      <c r="H642" s="25" t="str">
        <f>IF(J642&lt;&gt;1,"",IF(I642="SBJ","CB","?"))</f>
        <v> </v>
      </c>
      <c r="I642" s="26" t="str">
        <f>IF(OR(E642="",E642="!!!",F642="NEW"),"",INDEX(B641:B$2,-1+SUMPRODUCT(MAX(ROW(E641:E$2)*(E642=E641:E$2)))))</f>
        <v> </v>
      </c>
      <c r="J642" s="26" t="str">
        <f>IF(OR(E642="",E642="!!!",F642="NEW"),"",COUNTBLANK(OFFSET(A$1,,,SUMPRODUCT(MAX(ROW(E$2:E642)*(E642=E$2:E642)))))-COUNTBLANK(OFFSET(A$1,,,SUMPRODUCT(MAX(ROW(E$1:E641)*(E2=E$1:E641))))))</f>
        <v> </v>
      </c>
      <c r="K642" s="26" t="str">
        <f>IF(OR(E642="",E642="!!!",F642="NEW"),"",INDEX(J$1:J641,SUMPRODUCT(MAX(ROW(E$1:E641)*(E642=E$1:E641)))))</f>
        <v> </v>
      </c>
      <c r="L642" s="27"/>
    </row>
    <row r="643" spans="1:12">
      <c r="A643" s="20" t="s">
        <v>212</v>
      </c>
      <c r="E643" s="22">
        <f>IF(D643="?OLD","!!!","")</f>
        <v/>
      </c>
      <c r="F643" s="23" t="str">
        <f>IF(OR(E643="",E643="!!!"),"",IF(NOT(ISNA(VLOOKUP(E643,E$1:E642,1,FALSE()))),"OLD",IF(AND(E643&lt;&gt;"",E643&lt;&gt;"!!!"),"NEW","")))</f>
        <v> </v>
      </c>
      <c r="G643" s="24" t="str">
        <f>IF(OR(E643="",E643="!!!"),"",IF(OR(J643=0,AND(J643=1,K643=1),AND(J643=1,I643="SBJ"),AND(J643=1,I643=0)),"?IN_FOCUS",IF(J643&lt;=2,"?ACTIVATED",IF(J643&lt;&gt;"","?FAMILIAR",IF(F643="NEW",IF(ISNA(VLOOKUP(E643,#REF!,1,FALSE())),"?TYPE_IDENTIFIABLE","?REFERENTIAL"),"_")))))</f>
        <v> </v>
      </c>
      <c r="H643" s="25" t="str">
        <f>IF(J643&lt;&gt;1,"",IF(I643="SBJ","CB","?"))</f>
        <v> </v>
      </c>
      <c r="I643" s="26" t="str">
        <f>IF(OR(E643="",E643="!!!",F643="NEW"),"",INDEX(B642:B$2,-1+SUMPRODUCT(MAX(ROW(E642:E$2)*(E643=E642:E$2)))))</f>
        <v> </v>
      </c>
      <c r="J643" s="26" t="str">
        <f>IF(OR(E643="",E643="!!!",F643="NEW"),"",COUNTBLANK(OFFSET(A$1,,,SUMPRODUCT(MAX(ROW(E$2:E643)*(E643=E$2:E643)))))-COUNTBLANK(OFFSET(A$1,,,SUMPRODUCT(MAX(ROW(E$1:E642)*(E2=E$1:E642))))))</f>
        <v> </v>
      </c>
      <c r="K643" s="26" t="str">
        <f>IF(OR(E643="",E643="!!!",F643="NEW"),"",INDEX(J$1:J642,SUMPRODUCT(MAX(ROW(E$1:E642)*(E643=E$1:E642)))))</f>
        <v> </v>
      </c>
      <c r="L643" s="27"/>
    </row>
    <row r="644" spans="1:12">
      <c r="A644" s="20" t="s">
        <v>148</v>
      </c>
      <c r="E644" s="22">
        <f>IF(D644="?OLD","!!!","")</f>
        <v/>
      </c>
      <c r="F644" s="23" t="str">
        <f>IF(OR(E644="",E644="!!!"),"",IF(NOT(ISNA(VLOOKUP(E644,E$1:E643,1,FALSE()))),"OLD",IF(AND(E644&lt;&gt;"",E644&lt;&gt;"!!!"),"NEW","")))</f>
        <v> </v>
      </c>
      <c r="G644" s="24" t="str">
        <f>IF(OR(E644="",E644="!!!"),"",IF(OR(J644=0,AND(J644=1,K644=1),AND(J644=1,I644="SBJ"),AND(J644=1,I644=0)),"?IN_FOCUS",IF(J644&lt;=2,"?ACTIVATED",IF(J644&lt;&gt;"","?FAMILIAR",IF(F644="NEW",IF(ISNA(VLOOKUP(E644,#REF!,1,FALSE())),"?TYPE_IDENTIFIABLE","?REFERENTIAL"),"_")))))</f>
        <v> </v>
      </c>
      <c r="H644" s="25" t="str">
        <f>IF(J644&lt;&gt;1,"",IF(I644="SBJ","CB","?"))</f>
        <v> </v>
      </c>
      <c r="I644" s="26" t="str">
        <f>IF(OR(E644="",E644="!!!",F644="NEW"),"",INDEX(B643:B$2,-1+SUMPRODUCT(MAX(ROW(E643:E$2)*(E644=E643:E$2)))))</f>
        <v> </v>
      </c>
      <c r="J644" s="26" t="str">
        <f>IF(OR(E644="",E644="!!!",F644="NEW"),"",COUNTBLANK(OFFSET(A$1,,,SUMPRODUCT(MAX(ROW(E$2:E644)*(E644=E$2:E644)))))-COUNTBLANK(OFFSET(A$1,,,SUMPRODUCT(MAX(ROW(E$1:E643)*(E2=E$1:E643))))))</f>
        <v> </v>
      </c>
      <c r="K644" s="26" t="str">
        <f>IF(OR(E644="",E644="!!!",F644="NEW"),"",INDEX(J$1:J643,SUMPRODUCT(MAX(ROW(E$1:E643)*(E644=E$1:E643)))))</f>
        <v> </v>
      </c>
      <c r="L644" s="27"/>
    </row>
    <row r="645" spans="1:12">
      <c r="A645" s="20" t="s">
        <v>214</v>
      </c>
      <c r="B645" s="21" t="s">
        <v>125</v>
      </c>
      <c r="C645" s="21" t="s">
        <v>147</v>
      </c>
      <c r="D645" s="21" t="s">
        <v>106</v>
      </c>
      <c r="E645" s="22">
        <f>IF(D645="?OLD","!!!","")</f>
        <v/>
      </c>
      <c r="F645" s="23" t="str">
        <f>IF(OR(E645="",E645="!!!"),"",IF(NOT(ISNA(VLOOKUP(E645,E$1:E644,1,FALSE()))),"OLD",IF(AND(E645&lt;&gt;"",E645&lt;&gt;"!!!"),"NEW","")))</f>
        <v> </v>
      </c>
      <c r="G645" s="24" t="str">
        <f>IF(OR(E645="",E645="!!!"),"",IF(OR(J645=0,AND(J645=1,K645=1),AND(J645=1,I645="SBJ"),AND(J645=1,I645=0)),"?IN_FOCUS",IF(J645&lt;=2,"?ACTIVATED",IF(J645&lt;&gt;"","?FAMILIAR",IF(F645="NEW",IF(ISNA(VLOOKUP(E645,#REF!,1,FALSE())),"?TYPE_IDENTIFIABLE","?REFERENTIAL"),"_")))))</f>
        <v> </v>
      </c>
      <c r="H645" s="25" t="str">
        <f>IF(J645&lt;&gt;1,"",IF(I645="SBJ","CB","?"))</f>
        <v> </v>
      </c>
      <c r="I645" s="26" t="str">
        <f>IF(OR(E645="",E645="!!!",F645="NEW"),"",INDEX(B644:B$2,-1+SUMPRODUCT(MAX(ROW(E644:E$2)*(E645=E644:E$2)))))</f>
        <v> </v>
      </c>
      <c r="J645" s="26" t="str">
        <f>IF(OR(E645="",E645="!!!",F645="NEW"),"",COUNTBLANK(OFFSET(A$1,,,SUMPRODUCT(MAX(ROW(E$2:E645)*(E645=E$2:E645)))))-COUNTBLANK(OFFSET(A$1,,,SUMPRODUCT(MAX(ROW(E$1:E644)*(E2=E$1:E644))))))</f>
        <v> </v>
      </c>
      <c r="K645" s="26" t="str">
        <f>IF(OR(E645="",E645="!!!",F645="NEW"),"",INDEX(J$1:J644,SUMPRODUCT(MAX(ROW(E$1:E644)*(E645=E$1:E644)))))</f>
        <v> </v>
      </c>
      <c r="L645" s="27"/>
    </row>
    <row r="646" spans="1:12">
      <c r="A646" s="20" t="s">
        <v>114</v>
      </c>
      <c r="E646" s="22">
        <f>IF(D646="?OLD","!!!","")</f>
        <v/>
      </c>
      <c r="F646" s="23" t="str">
        <f>IF(OR(E646="",E646="!!!"),"",IF(NOT(ISNA(VLOOKUP(E646,E$1:E645,1,FALSE()))),"OLD",IF(AND(E646&lt;&gt;"",E646&lt;&gt;"!!!"),"NEW","")))</f>
        <v> </v>
      </c>
      <c r="G646" s="24" t="str">
        <f>IF(OR(E646="",E646="!!!"),"",IF(OR(J646=0,AND(J646=1,K646=1),AND(J646=1,I646="SBJ"),AND(J646=1,I646=0)),"?IN_FOCUS",IF(J646&lt;=2,"?ACTIVATED",IF(J646&lt;&gt;"","?FAMILIAR",IF(F646="NEW",IF(ISNA(VLOOKUP(E646,#REF!,1,FALSE())),"?TYPE_IDENTIFIABLE","?REFERENTIAL"),"_")))))</f>
        <v> </v>
      </c>
      <c r="H646" s="25" t="str">
        <f>IF(J646&lt;&gt;1,"",IF(I646="SBJ","CB","?"))</f>
        <v> </v>
      </c>
      <c r="I646" s="26" t="str">
        <f>IF(OR(E646="",E646="!!!",F646="NEW"),"",INDEX(B645:B$2,-1+SUMPRODUCT(MAX(ROW(E645:E$2)*(E646=E645:E$2)))))</f>
        <v> </v>
      </c>
      <c r="J646" s="26" t="str">
        <f>IF(OR(E646="",E646="!!!",F646="NEW"),"",COUNTBLANK(OFFSET(A$1,,,SUMPRODUCT(MAX(ROW(E$2:E646)*(E646=E$2:E646)))))-COUNTBLANK(OFFSET(A$1,,,SUMPRODUCT(MAX(ROW(E$1:E645)*(E2=E$1:E645))))))</f>
        <v> </v>
      </c>
      <c r="K646" s="26" t="str">
        <f>IF(OR(E646="",E646="!!!",F646="NEW"),"",INDEX(J$1:J645,SUMPRODUCT(MAX(ROW(E$1:E645)*(E646=E$1:E645)))))</f>
        <v> </v>
      </c>
      <c r="L646" s="27"/>
    </row>
    <row r="647" spans="1:12">
      <c r="A647" s="20" t="s">
        <v>458</v>
      </c>
      <c r="B647" s="21" t="s">
        <v>195</v>
      </c>
      <c r="C647" s="21" t="s">
        <v>130</v>
      </c>
      <c r="E647" s="22">
        <f>IF(D647="?OLD","!!!","")</f>
        <v/>
      </c>
      <c r="F647" s="23" t="str">
        <f>IF(OR(E647="",E647="!!!"),"",IF(NOT(ISNA(VLOOKUP(E647,E$1:E646,1,FALSE()))),"OLD",IF(AND(E647&lt;&gt;"",E647&lt;&gt;"!!!"),"NEW","")))</f>
        <v> </v>
      </c>
      <c r="G647" s="24" t="str">
        <f>IF(OR(E647="",E647="!!!"),"",IF(OR(J647=0,AND(J647=1,K647=1),AND(J647=1,I647="SBJ"),AND(J647=1,I647=0)),"?IN_FOCUS",IF(J647&lt;=2,"?ACTIVATED",IF(J647&lt;&gt;"","?FAMILIAR",IF(F647="NEW",IF(ISNA(VLOOKUP(E647,#REF!,1,FALSE())),"?TYPE_IDENTIFIABLE","?REFERENTIAL"),"_")))))</f>
        <v> </v>
      </c>
      <c r="H647" s="25" t="str">
        <f>IF(J647&lt;&gt;1,"",IF(I647="SBJ","CB","?"))</f>
        <v> </v>
      </c>
      <c r="I647" s="26" t="str">
        <f>IF(OR(E647="",E647="!!!",F647="NEW"),"",INDEX(B646:B$2,-1+SUMPRODUCT(MAX(ROW(E646:E$2)*(E647=E646:E$2)))))</f>
        <v> </v>
      </c>
      <c r="J647" s="26" t="str">
        <f>IF(OR(E647="",E647="!!!",F647="NEW"),"",COUNTBLANK(OFFSET(A$1,,,SUMPRODUCT(MAX(ROW(E$2:E647)*(E647=E$2:E647)))))-COUNTBLANK(OFFSET(A$1,,,SUMPRODUCT(MAX(ROW(E$1:E646)*(E2=E$1:E646))))))</f>
        <v> </v>
      </c>
      <c r="K647" s="26" t="str">
        <f>IF(OR(E647="",E647="!!!",F647="NEW"),"",INDEX(J$1:J646,SUMPRODUCT(MAX(ROW(E$1:E646)*(E647=E$1:E646)))))</f>
        <v> </v>
      </c>
      <c r="L647" s="27"/>
    </row>
    <row r="648" spans="1:12">
      <c r="A648" s="20" t="s">
        <v>459</v>
      </c>
      <c r="E648" s="22">
        <f>IF(D648="?OLD","!!!","")</f>
        <v/>
      </c>
      <c r="F648" s="23" t="str">
        <f>IF(OR(E648="",E648="!!!"),"",IF(NOT(ISNA(VLOOKUP(E648,E$1:E647,1,FALSE()))),"OLD",IF(AND(E648&lt;&gt;"",E648&lt;&gt;"!!!"),"NEW","")))</f>
        <v> </v>
      </c>
      <c r="G648" s="24" t="str">
        <f>IF(OR(E648="",E648="!!!"),"",IF(OR(J648=0,AND(J648=1,K648=1),AND(J648=1,I648="SBJ"),AND(J648=1,I648=0)),"?IN_FOCUS",IF(J648&lt;=2,"?ACTIVATED",IF(J648&lt;&gt;"","?FAMILIAR",IF(F648="NEW",IF(ISNA(VLOOKUP(E648,#REF!,1,FALSE())),"?TYPE_IDENTIFIABLE","?REFERENTIAL"),"_")))))</f>
        <v> </v>
      </c>
      <c r="H648" s="25" t="str">
        <f>IF(J648&lt;&gt;1,"",IF(I648="SBJ","CB","?"))</f>
        <v> </v>
      </c>
      <c r="I648" s="26" t="str">
        <f>IF(OR(E648="",E648="!!!",F648="NEW"),"",INDEX(B647:B$2,-1+SUMPRODUCT(MAX(ROW(E647:E$2)*(E648=E647:E$2)))))</f>
        <v> </v>
      </c>
      <c r="J648" s="26" t="str">
        <f>IF(OR(E648="",E648="!!!",F648="NEW"),"",COUNTBLANK(OFFSET(A$1,,,SUMPRODUCT(MAX(ROW(E$2:E648)*(E648=E$2:E648)))))-COUNTBLANK(OFFSET(A$1,,,SUMPRODUCT(MAX(ROW(E$1:E647)*(E2=E$1:E647))))))</f>
        <v> </v>
      </c>
      <c r="K648" s="26" t="str">
        <f>IF(OR(E648="",E648="!!!",F648="NEW"),"",INDEX(J$1:J647,SUMPRODUCT(MAX(ROW(E$1:E647)*(E648=E$1:E647)))))</f>
        <v> </v>
      </c>
      <c r="L648" s="27"/>
    </row>
    <row r="649" spans="1:12">
      <c r="A649" s="20" t="s">
        <v>460</v>
      </c>
      <c r="E649" s="22">
        <f>IF(D649="?OLD","!!!","")</f>
        <v/>
      </c>
      <c r="F649" s="23" t="str">
        <f>IF(OR(E649="",E649="!!!"),"",IF(NOT(ISNA(VLOOKUP(E649,E$1:E648,1,FALSE()))),"OLD",IF(AND(E649&lt;&gt;"",E649&lt;&gt;"!!!"),"NEW","")))</f>
        <v> </v>
      </c>
      <c r="G649" s="24" t="str">
        <f>IF(OR(E649="",E649="!!!"),"",IF(OR(J649=0,AND(J649=1,K649=1),AND(J649=1,I649="SBJ"),AND(J649=1,I649=0)),"?IN_FOCUS",IF(J649&lt;=2,"?ACTIVATED",IF(J649&lt;&gt;"","?FAMILIAR",IF(F649="NEW",IF(ISNA(VLOOKUP(E649,#REF!,1,FALSE())),"?TYPE_IDENTIFIABLE","?REFERENTIAL"),"_")))))</f>
        <v> </v>
      </c>
      <c r="H649" s="25" t="str">
        <f>IF(J649&lt;&gt;1,"",IF(I649="SBJ","CB","?"))</f>
        <v> </v>
      </c>
      <c r="I649" s="26" t="str">
        <f>IF(OR(E649="",E649="!!!",F649="NEW"),"",INDEX(B648:B$2,-1+SUMPRODUCT(MAX(ROW(E648:E$2)*(E649=E648:E$2)))))</f>
        <v> </v>
      </c>
      <c r="J649" s="26" t="str">
        <f>IF(OR(E649="",E649="!!!",F649="NEW"),"",COUNTBLANK(OFFSET(A$1,,,SUMPRODUCT(MAX(ROW(E$2:E649)*(E649=E$2:E649)))))-COUNTBLANK(OFFSET(A$1,,,SUMPRODUCT(MAX(ROW(E$1:E648)*(E2=E$1:E648))))))</f>
        <v> </v>
      </c>
      <c r="K649" s="26" t="str">
        <f>IF(OR(E649="",E649="!!!",F649="NEW"),"",INDEX(J$1:J648,SUMPRODUCT(MAX(ROW(E$1:E648)*(E649=E$1:E648)))))</f>
        <v> </v>
      </c>
      <c r="L649" s="27"/>
    </row>
    <row r="650" spans="1:12">
      <c r="A650" s="20" t="s">
        <v>116</v>
      </c>
      <c r="E650" s="22">
        <f>IF(D650="?OLD","!!!","")</f>
        <v/>
      </c>
      <c r="F650" s="23" t="str">
        <f>IF(OR(E650="",E650="!!!"),"",IF(NOT(ISNA(VLOOKUP(E650,E$1:E649,1,FALSE()))),"OLD",IF(AND(E650&lt;&gt;"",E650&lt;&gt;"!!!"),"NEW","")))</f>
        <v> </v>
      </c>
      <c r="G650" s="24" t="str">
        <f>IF(OR(E650="",E650="!!!"),"",IF(OR(J650=0,AND(J650=1,K650=1),AND(J650=1,I650="SBJ"),AND(J650=1,I650=0)),"?IN_FOCUS",IF(J650&lt;=2,"?ACTIVATED",IF(J650&lt;&gt;"","?FAMILIAR",IF(F650="NEW",IF(ISNA(VLOOKUP(E650,#REF!,1,FALSE())),"?TYPE_IDENTIFIABLE","?REFERENTIAL"),"_")))))</f>
        <v> </v>
      </c>
      <c r="H650" s="25" t="str">
        <f>IF(J650&lt;&gt;1,"",IF(I650="SBJ","CB","?"))</f>
        <v> </v>
      </c>
      <c r="I650" s="26" t="str">
        <f>IF(OR(E650="",E650="!!!",F650="NEW"),"",INDEX(B649:B$2,-1+SUMPRODUCT(MAX(ROW(E649:E$2)*(E650=E649:E$2)))))</f>
        <v> </v>
      </c>
      <c r="J650" s="26" t="str">
        <f>IF(OR(E650="",E650="!!!",F650="NEW"),"",COUNTBLANK(OFFSET(A$1,,,SUMPRODUCT(MAX(ROW(E$2:E650)*(E650=E$2:E650)))))-COUNTBLANK(OFFSET(A$1,,,SUMPRODUCT(MAX(ROW(E$1:E649)*(E2=E$1:E649))))))</f>
        <v> </v>
      </c>
      <c r="K650" s="26" t="str">
        <f>IF(OR(E650="",E650="!!!",F650="NEW"),"",INDEX(J$1:J649,SUMPRODUCT(MAX(ROW(E$1:E649)*(E650=E$1:E649)))))</f>
        <v> </v>
      </c>
      <c r="L650" s="27"/>
    </row>
    <row r="651" spans="1:12">
      <c r="A651" s="20" t="s">
        <v>138</v>
      </c>
      <c r="E651" s="22">
        <f>IF(D651="?OLD","!!!","")</f>
        <v/>
      </c>
      <c r="F651" s="23" t="str">
        <f>IF(OR(E651="",E651="!!!"),"",IF(NOT(ISNA(VLOOKUP(E651,E$1:E650,1,FALSE()))),"OLD",IF(AND(E651&lt;&gt;"",E651&lt;&gt;"!!!"),"NEW","")))</f>
        <v> </v>
      </c>
      <c r="G651" s="24" t="str">
        <f>IF(OR(E651="",E651="!!!"),"",IF(OR(J651=0,AND(J651=1,K651=1),AND(J651=1,I651="SBJ"),AND(J651=1,I651=0)),"?IN_FOCUS",IF(J651&lt;=2,"?ACTIVATED",IF(J651&lt;&gt;"","?FAMILIAR",IF(F651="NEW",IF(ISNA(VLOOKUP(E651,#REF!,1,FALSE())),"?TYPE_IDENTIFIABLE","?REFERENTIAL"),"_")))))</f>
        <v> </v>
      </c>
      <c r="H651" s="25" t="str">
        <f>IF(J651&lt;&gt;1,"",IF(I651="SBJ","CB","?"))</f>
        <v> </v>
      </c>
      <c r="I651" s="26" t="str">
        <f>IF(OR(E651="",E651="!!!",F651="NEW"),"",INDEX(B650:B$2,-1+SUMPRODUCT(MAX(ROW(E650:E$2)*(E651=E650:E$2)))))</f>
        <v> </v>
      </c>
      <c r="J651" s="26" t="str">
        <f>IF(OR(E651="",E651="!!!",F651="NEW"),"",COUNTBLANK(OFFSET(A$1,,,SUMPRODUCT(MAX(ROW(E$2:E651)*(E651=E$2:E651)))))-COUNTBLANK(OFFSET(A$1,,,SUMPRODUCT(MAX(ROW(E$1:E650)*(E2=E$1:E650))))))</f>
        <v> </v>
      </c>
      <c r="K651" s="26" t="str">
        <f>IF(OR(E651="",E651="!!!",F651="NEW"),"",INDEX(J$1:J650,SUMPRODUCT(MAX(ROW(E$1:E650)*(E651=E$1:E650)))))</f>
        <v> </v>
      </c>
      <c r="L651" s="27"/>
    </row>
    <row r="652" spans="1:12">
      <c r="A652" s="20" t="s">
        <v>141</v>
      </c>
      <c r="E652" s="22">
        <f>IF(D652="?OLD","!!!","")</f>
        <v/>
      </c>
      <c r="F652" s="23" t="str">
        <f>IF(OR(E652="",E652="!!!"),"",IF(NOT(ISNA(VLOOKUP(E652,E$1:E651,1,FALSE()))),"OLD",IF(AND(E652&lt;&gt;"",E652&lt;&gt;"!!!"),"NEW","")))</f>
        <v> </v>
      </c>
      <c r="G652" s="24" t="str">
        <f>IF(OR(E652="",E652="!!!"),"",IF(OR(J652=0,AND(J652=1,K652=1),AND(J652=1,I652="SBJ"),AND(J652=1,I652=0)),"?IN_FOCUS",IF(J652&lt;=2,"?ACTIVATED",IF(J652&lt;&gt;"","?FAMILIAR",IF(F652="NEW",IF(ISNA(VLOOKUP(E652,#REF!,1,FALSE())),"?TYPE_IDENTIFIABLE","?REFERENTIAL"),"_")))))</f>
        <v> </v>
      </c>
      <c r="H652" s="25" t="str">
        <f>IF(J652&lt;&gt;1,"",IF(I652="SBJ","CB","?"))</f>
        <v> </v>
      </c>
      <c r="I652" s="26" t="str">
        <f>IF(OR(E652="",E652="!!!",F652="NEW"),"",INDEX(B651:B$2,-1+SUMPRODUCT(MAX(ROW(E651:E$2)*(E652=E651:E$2)))))</f>
        <v> </v>
      </c>
      <c r="J652" s="26" t="str">
        <f>IF(OR(E652="",E652="!!!",F652="NEW"),"",COUNTBLANK(OFFSET(A$1,,,SUMPRODUCT(MAX(ROW(E$2:E652)*(E652=E$2:E652)))))-COUNTBLANK(OFFSET(A$1,,,SUMPRODUCT(MAX(ROW(E$1:E651)*(E2=E$1:E651))))))</f>
        <v> </v>
      </c>
      <c r="K652" s="26" t="str">
        <f>IF(OR(E652="",E652="!!!",F652="NEW"),"",INDEX(J$1:J651,SUMPRODUCT(MAX(ROW(E$1:E651)*(E652=E$1:E651)))))</f>
        <v> </v>
      </c>
      <c r="L652" s="27"/>
    </row>
    <row r="653" spans="1:12">
      <c r="A653" s="20" t="s">
        <v>237</v>
      </c>
      <c r="B653" s="21" t="s">
        <v>110</v>
      </c>
      <c r="C653" s="21" t="s">
        <v>105</v>
      </c>
      <c r="D653" s="21" t="s">
        <v>106</v>
      </c>
      <c r="E653" s="22">
        <f>IF(D653="?OLD","!!!","")</f>
        <v/>
      </c>
      <c r="F653" s="23" t="str">
        <f>IF(OR(E653="",E653="!!!"),"",IF(NOT(ISNA(VLOOKUP(E653,E$1:E652,1,FALSE()))),"OLD",IF(AND(E653&lt;&gt;"",E653&lt;&gt;"!!!"),"NEW","")))</f>
        <v> </v>
      </c>
      <c r="G653" s="24" t="str">
        <f>IF(OR(E653="",E653="!!!"),"",IF(OR(J653=0,AND(J653=1,K653=1),AND(J653=1,I653="SBJ"),AND(J653=1,I653=0)),"?IN_FOCUS",IF(J653&lt;=2,"?ACTIVATED",IF(J653&lt;&gt;"","?FAMILIAR",IF(F653="NEW",IF(ISNA(VLOOKUP(E653,#REF!,1,FALSE())),"?TYPE_IDENTIFIABLE","?REFERENTIAL"),"_")))))</f>
        <v> </v>
      </c>
      <c r="H653" s="25" t="str">
        <f>IF(J653&lt;&gt;1,"",IF(I653="SBJ","CB","?"))</f>
        <v> </v>
      </c>
      <c r="I653" s="26" t="str">
        <f>IF(OR(E653="",E653="!!!",F653="NEW"),"",INDEX(B652:B$2,-1+SUMPRODUCT(MAX(ROW(E652:E$2)*(E653=E652:E$2)))))</f>
        <v> </v>
      </c>
      <c r="J653" s="26" t="str">
        <f>IF(OR(E653="",E653="!!!",F653="NEW"),"",COUNTBLANK(OFFSET(A$1,,,SUMPRODUCT(MAX(ROW(E$2:E653)*(E653=E$2:E653)))))-COUNTBLANK(OFFSET(A$1,,,SUMPRODUCT(MAX(ROW(E$1:E652)*(E2=E$1:E652))))))</f>
        <v> </v>
      </c>
      <c r="K653" s="26" t="str">
        <f>IF(OR(E653="",E653="!!!",F653="NEW"),"",INDEX(J$1:J652,SUMPRODUCT(MAX(ROW(E$1:E652)*(E653=E$1:E652)))))</f>
        <v> </v>
      </c>
      <c r="L653" s="27"/>
    </row>
    <row r="654" spans="1:12">
      <c r="A654" s="20" t="s">
        <v>461</v>
      </c>
      <c r="E654" s="22">
        <f>IF(D654="?OLD","!!!","")</f>
        <v/>
      </c>
      <c r="F654" s="23" t="str">
        <f>IF(OR(E654="",E654="!!!"),"",IF(NOT(ISNA(VLOOKUP(E654,E$1:E653,1,FALSE()))),"OLD",IF(AND(E654&lt;&gt;"",E654&lt;&gt;"!!!"),"NEW","")))</f>
        <v> </v>
      </c>
      <c r="G654" s="24" t="str">
        <f>IF(OR(E654="",E654="!!!"),"",IF(OR(J654=0,AND(J654=1,K654=1),AND(J654=1,I654="SBJ"),AND(J654=1,I654=0)),"?IN_FOCUS",IF(J654&lt;=2,"?ACTIVATED",IF(J654&lt;&gt;"","?FAMILIAR",IF(F654="NEW",IF(ISNA(VLOOKUP(E654,#REF!,1,FALSE())),"?TYPE_IDENTIFIABLE","?REFERENTIAL"),"_")))))</f>
        <v> </v>
      </c>
      <c r="H654" s="25" t="str">
        <f>IF(J654&lt;&gt;1,"",IF(I654="SBJ","CB","?"))</f>
        <v> </v>
      </c>
      <c r="I654" s="26" t="str">
        <f>IF(OR(E654="",E654="!!!",F654="NEW"),"",INDEX(B653:B$2,-1+SUMPRODUCT(MAX(ROW(E653:E$2)*(E654=E653:E$2)))))</f>
        <v> </v>
      </c>
      <c r="J654" s="26" t="str">
        <f>IF(OR(E654="",E654="!!!",F654="NEW"),"",COUNTBLANK(OFFSET(A$1,,,SUMPRODUCT(MAX(ROW(E$2:E654)*(E654=E$2:E654)))))-COUNTBLANK(OFFSET(A$1,,,SUMPRODUCT(MAX(ROW(E$1:E653)*(E2=E$1:E653))))))</f>
        <v> </v>
      </c>
      <c r="K654" s="26" t="str">
        <f>IF(OR(E654="",E654="!!!",F654="NEW"),"",INDEX(J$1:J653,SUMPRODUCT(MAX(ROW(E$1:E653)*(E654=E$1:E653)))))</f>
        <v> </v>
      </c>
      <c r="L654" s="27"/>
    </row>
    <row r="655" spans="1:12">
      <c r="A655" s="20" t="s">
        <v>114</v>
      </c>
      <c r="E655" s="22">
        <f>IF(D655="?OLD","!!!","")</f>
        <v/>
      </c>
      <c r="F655" s="23" t="str">
        <f>IF(OR(E655="",E655="!!!"),"",IF(NOT(ISNA(VLOOKUP(E655,E$1:E654,1,FALSE()))),"OLD",IF(AND(E655&lt;&gt;"",E655&lt;&gt;"!!!"),"NEW","")))</f>
        <v> </v>
      </c>
      <c r="G655" s="24" t="str">
        <f>IF(OR(E655="",E655="!!!"),"",IF(OR(J655=0,AND(J655=1,K655=1),AND(J655=1,I655="SBJ"),AND(J655=1,I655=0)),"?IN_FOCUS",IF(J655&lt;=2,"?ACTIVATED",IF(J655&lt;&gt;"","?FAMILIAR",IF(F655="NEW",IF(ISNA(VLOOKUP(E655,#REF!,1,FALSE())),"?TYPE_IDENTIFIABLE","?REFERENTIAL"),"_")))))</f>
        <v> </v>
      </c>
      <c r="H655" s="25" t="str">
        <f>IF(J655&lt;&gt;1,"",IF(I655="SBJ","CB","?"))</f>
        <v> </v>
      </c>
      <c r="I655" s="26" t="str">
        <f>IF(OR(E655="",E655="!!!",F655="NEW"),"",INDEX(B654:B$2,-1+SUMPRODUCT(MAX(ROW(E654:E$2)*(E655=E654:E$2)))))</f>
        <v> </v>
      </c>
      <c r="J655" s="26" t="str">
        <f>IF(OR(E655="",E655="!!!",F655="NEW"),"",COUNTBLANK(OFFSET(A$1,,,SUMPRODUCT(MAX(ROW(E$2:E655)*(E655=E$2:E655)))))-COUNTBLANK(OFFSET(A$1,,,SUMPRODUCT(MAX(ROW(E$1:E654)*(E2=E$1:E654))))))</f>
        <v> </v>
      </c>
      <c r="K655" s="26" t="str">
        <f>IF(OR(E655="",E655="!!!",F655="NEW"),"",INDEX(J$1:J654,SUMPRODUCT(MAX(ROW(E$1:E654)*(E655=E$1:E654)))))</f>
        <v> </v>
      </c>
      <c r="L655" s="27"/>
    </row>
    <row r="656" spans="1:12">
      <c r="A656" s="20" t="s">
        <v>462</v>
      </c>
      <c r="E656" s="22">
        <f>IF(D656="?OLD","!!!","")</f>
        <v/>
      </c>
      <c r="F656" s="23" t="str">
        <f>IF(OR(E656="",E656="!!!"),"",IF(NOT(ISNA(VLOOKUP(E656,E$1:E655,1,FALSE()))),"OLD",IF(AND(E656&lt;&gt;"",E656&lt;&gt;"!!!"),"NEW","")))</f>
        <v> </v>
      </c>
      <c r="G656" s="24" t="str">
        <f>IF(OR(E656="",E656="!!!"),"",IF(OR(J656=0,AND(J656=1,K656=1),AND(J656=1,I656="SBJ"),AND(J656=1,I656=0)),"?IN_FOCUS",IF(J656&lt;=2,"?ACTIVATED",IF(J656&lt;&gt;"","?FAMILIAR",IF(F656="NEW",IF(ISNA(VLOOKUP(E656,#REF!,1,FALSE())),"?TYPE_IDENTIFIABLE","?REFERENTIAL"),"_")))))</f>
        <v> </v>
      </c>
      <c r="H656" s="25" t="str">
        <f>IF(J656&lt;&gt;1,"",IF(I656="SBJ","CB","?"))</f>
        <v> </v>
      </c>
      <c r="I656" s="26" t="str">
        <f>IF(OR(E656="",E656="!!!",F656="NEW"),"",INDEX(B655:B$2,-1+SUMPRODUCT(MAX(ROW(E655:E$2)*(E656=E655:E$2)))))</f>
        <v> </v>
      </c>
      <c r="J656" s="26" t="str">
        <f>IF(OR(E656="",E656="!!!",F656="NEW"),"",COUNTBLANK(OFFSET(A$1,,,SUMPRODUCT(MAX(ROW(E$2:E656)*(E656=E$2:E656)))))-COUNTBLANK(OFFSET(A$1,,,SUMPRODUCT(MAX(ROW(E$1:E655)*(E2=E$1:E655))))))</f>
        <v> </v>
      </c>
      <c r="K656" s="26" t="str">
        <f>IF(OR(E656="",E656="!!!",F656="NEW"),"",INDEX(J$1:J655,SUMPRODUCT(MAX(ROW(E$1:E655)*(E656=E$1:E655)))))</f>
        <v> </v>
      </c>
      <c r="L656" s="27"/>
    </row>
    <row r="657" spans="1:12">
      <c r="A657" s="20" t="s">
        <v>463</v>
      </c>
      <c r="B657" s="21" t="s">
        <v>187</v>
      </c>
      <c r="C657" s="21" t="s">
        <v>130</v>
      </c>
      <c r="E657" s="22">
        <f>IF(D657="?OLD","!!!","")</f>
        <v/>
      </c>
      <c r="F657" s="23" t="str">
        <f>IF(OR(E657="",E657="!!!"),"",IF(NOT(ISNA(VLOOKUP(E657,E$1:E656,1,FALSE()))),"OLD",IF(AND(E657&lt;&gt;"",E657&lt;&gt;"!!!"),"NEW","")))</f>
        <v> </v>
      </c>
      <c r="G657" s="24" t="str">
        <f>IF(OR(E657="",E657="!!!"),"",IF(OR(J657=0,AND(J657=1,K657=1),AND(J657=1,I657="SBJ"),AND(J657=1,I657=0)),"?IN_FOCUS",IF(J657&lt;=2,"?ACTIVATED",IF(J657&lt;&gt;"","?FAMILIAR",IF(F657="NEW",IF(ISNA(VLOOKUP(E657,#REF!,1,FALSE())),"?TYPE_IDENTIFIABLE","?REFERENTIAL"),"_")))))</f>
        <v> </v>
      </c>
      <c r="H657" s="25" t="str">
        <f>IF(J657&lt;&gt;1,"",IF(I657="SBJ","CB","?"))</f>
        <v> </v>
      </c>
      <c r="I657" s="26" t="str">
        <f>IF(OR(E657="",E657="!!!",F657="NEW"),"",INDEX(B656:B$2,-1+SUMPRODUCT(MAX(ROW(E656:E$2)*(E657=E656:E$2)))))</f>
        <v> </v>
      </c>
      <c r="J657" s="26" t="str">
        <f>IF(OR(E657="",E657="!!!",F657="NEW"),"",COUNTBLANK(OFFSET(A$1,,,SUMPRODUCT(MAX(ROW(E$2:E657)*(E657=E$2:E657)))))-COUNTBLANK(OFFSET(A$1,,,SUMPRODUCT(MAX(ROW(E$1:E656)*(E2=E$1:E656))))))</f>
        <v> </v>
      </c>
      <c r="K657" s="26" t="str">
        <f>IF(OR(E657="",E657="!!!",F657="NEW"),"",INDEX(J$1:J656,SUMPRODUCT(MAX(ROW(E$1:E656)*(E657=E$1:E656)))))</f>
        <v> </v>
      </c>
      <c r="L657" s="27"/>
    </row>
    <row r="658" spans="1:12">
      <c r="A658" s="20" t="s">
        <v>141</v>
      </c>
      <c r="E658" s="22">
        <f>IF(D658="?OLD","!!!","")</f>
        <v/>
      </c>
      <c r="F658" s="23" t="str">
        <f>IF(OR(E658="",E658="!!!"),"",IF(NOT(ISNA(VLOOKUP(E658,E$1:E657,1,FALSE()))),"OLD",IF(AND(E658&lt;&gt;"",E658&lt;&gt;"!!!"),"NEW","")))</f>
        <v> </v>
      </c>
      <c r="G658" s="24" t="str">
        <f>IF(OR(E658="",E658="!!!"),"",IF(OR(J658=0,AND(J658=1,K658=1),AND(J658=1,I658="SBJ"),AND(J658=1,I658=0)),"?IN_FOCUS",IF(J658&lt;=2,"?ACTIVATED",IF(J658&lt;&gt;"","?FAMILIAR",IF(F658="NEW",IF(ISNA(VLOOKUP(E658,#REF!,1,FALSE())),"?TYPE_IDENTIFIABLE","?REFERENTIAL"),"_")))))</f>
        <v> </v>
      </c>
      <c r="H658" s="25" t="str">
        <f>IF(J658&lt;&gt;1,"",IF(I658="SBJ","CB","?"))</f>
        <v> </v>
      </c>
      <c r="I658" s="26" t="str">
        <f>IF(OR(E658="",E658="!!!",F658="NEW"),"",INDEX(B657:B$2,-1+SUMPRODUCT(MAX(ROW(E657:E$2)*(E658=E657:E$2)))))</f>
        <v> </v>
      </c>
      <c r="J658" s="26" t="str">
        <f>IF(OR(E658="",E658="!!!",F658="NEW"),"",COUNTBLANK(OFFSET(A$1,,,SUMPRODUCT(MAX(ROW(E$2:E658)*(E658=E$2:E658)))))-COUNTBLANK(OFFSET(A$1,,,SUMPRODUCT(MAX(ROW(E$1:E657)*(E2=E$1:E657))))))</f>
        <v> </v>
      </c>
      <c r="K658" s="26" t="str">
        <f>IF(OR(E658="",E658="!!!",F658="NEW"),"",INDEX(J$1:J657,SUMPRODUCT(MAX(ROW(E$1:E657)*(E658=E$1:E657)))))</f>
        <v> </v>
      </c>
      <c r="L658" s="27"/>
    </row>
    <row r="659" spans="1:12">
      <c r="A659" s="20" t="s">
        <v>243</v>
      </c>
      <c r="E659" s="22">
        <f>IF(D659="?OLD","!!!","")</f>
        <v/>
      </c>
      <c r="F659" s="23" t="str">
        <f>IF(OR(E659="",E659="!!!"),"",IF(NOT(ISNA(VLOOKUP(E659,E$1:E658,1,FALSE()))),"OLD",IF(AND(E659&lt;&gt;"",E659&lt;&gt;"!!!"),"NEW","")))</f>
        <v> </v>
      </c>
      <c r="G659" s="24" t="str">
        <f>IF(OR(E659="",E659="!!!"),"",IF(OR(J659=0,AND(J659=1,K659=1),AND(J659=1,I659="SBJ"),AND(J659=1,I659=0)),"?IN_FOCUS",IF(J659&lt;=2,"?ACTIVATED",IF(J659&lt;&gt;"","?FAMILIAR",IF(F659="NEW",IF(ISNA(VLOOKUP(E659,#REF!,1,FALSE())),"?TYPE_IDENTIFIABLE","?REFERENTIAL"),"_")))))</f>
        <v> </v>
      </c>
      <c r="H659" s="25" t="str">
        <f>IF(J659&lt;&gt;1,"",IF(I659="SBJ","CB","?"))</f>
        <v> </v>
      </c>
      <c r="I659" s="26" t="str">
        <f>IF(OR(E659="",E659="!!!",F659="NEW"),"",INDEX(B658:B$2,-1+SUMPRODUCT(MAX(ROW(E658:E$2)*(E659=E658:E$2)))))</f>
        <v> </v>
      </c>
      <c r="J659" s="26" t="str">
        <f>IF(OR(E659="",E659="!!!",F659="NEW"),"",COUNTBLANK(OFFSET(A$1,,,SUMPRODUCT(MAX(ROW(E$2:E659)*(E659=E$2:E659)))))-COUNTBLANK(OFFSET(A$1,,,SUMPRODUCT(MAX(ROW(E$1:E658)*(E2=E$1:E658))))))</f>
        <v> </v>
      </c>
      <c r="K659" s="26" t="str">
        <f>IF(OR(E659="",E659="!!!",F659="NEW"),"",INDEX(J$1:J658,SUMPRODUCT(MAX(ROW(E$1:E658)*(E659=E$1:E658)))))</f>
        <v> </v>
      </c>
      <c r="L659" s="27"/>
    </row>
    <row r="660" spans="1:12">
      <c r="A660" s="20" t="s">
        <v>464</v>
      </c>
      <c r="B660" s="21" t="s">
        <v>125</v>
      </c>
      <c r="C660" s="21" t="s">
        <v>245</v>
      </c>
      <c r="E660" s="22">
        <f>IF(D660="?OLD","!!!","")</f>
        <v/>
      </c>
      <c r="F660" s="23" t="str">
        <f>IF(OR(E660="",E660="!!!"),"",IF(NOT(ISNA(VLOOKUP(E660,E$1:E659,1,FALSE()))),"OLD",IF(AND(E660&lt;&gt;"",E660&lt;&gt;"!!!"),"NEW","")))</f>
        <v> </v>
      </c>
      <c r="G660" s="24" t="str">
        <f>IF(OR(E660="",E660="!!!"),"",IF(OR(J660=0,AND(J660=1,K660=1),AND(J660=1,I660="SBJ"),AND(J660=1,I660=0)),"?IN_FOCUS",IF(J660&lt;=2,"?ACTIVATED",IF(J660&lt;&gt;"","?FAMILIAR",IF(F660="NEW",IF(ISNA(VLOOKUP(E660,#REF!,1,FALSE())),"?TYPE_IDENTIFIABLE","?REFERENTIAL"),"_")))))</f>
        <v> </v>
      </c>
      <c r="H660" s="25" t="str">
        <f>IF(J660&lt;&gt;1,"",IF(I660="SBJ","CB","?"))</f>
        <v> </v>
      </c>
      <c r="I660" s="26" t="str">
        <f>IF(OR(E660="",E660="!!!",F660="NEW"),"",INDEX(B659:B$2,-1+SUMPRODUCT(MAX(ROW(E659:E$2)*(E660=E659:E$2)))))</f>
        <v> </v>
      </c>
      <c r="J660" s="26" t="str">
        <f>IF(OR(E660="",E660="!!!",F660="NEW"),"",COUNTBLANK(OFFSET(A$1,,,SUMPRODUCT(MAX(ROW(E$2:E660)*(E660=E$2:E660)))))-COUNTBLANK(OFFSET(A$1,,,SUMPRODUCT(MAX(ROW(E$1:E659)*(E2=E$1:E659))))))</f>
        <v> </v>
      </c>
      <c r="K660" s="26" t="str">
        <f>IF(OR(E660="",E660="!!!",F660="NEW"),"",INDEX(J$1:J659,SUMPRODUCT(MAX(ROW(E$1:E659)*(E660=E$1:E659)))))</f>
        <v> </v>
      </c>
      <c r="L660" s="27"/>
    </row>
    <row r="661" spans="1:12">
      <c r="A661" s="20" t="s">
        <v>297</v>
      </c>
      <c r="E661" s="22">
        <f>IF(D661="?OLD","!!!","")</f>
        <v/>
      </c>
      <c r="F661" s="23" t="str">
        <f>IF(OR(E661="",E661="!!!"),"",IF(NOT(ISNA(VLOOKUP(E661,E$1:E660,1,FALSE()))),"OLD",IF(AND(E661&lt;&gt;"",E661&lt;&gt;"!!!"),"NEW","")))</f>
        <v> </v>
      </c>
      <c r="G661" s="24" t="str">
        <f>IF(OR(E661="",E661="!!!"),"",IF(OR(J661=0,AND(J661=1,K661=1),AND(J661=1,I661="SBJ"),AND(J661=1,I661=0)),"?IN_FOCUS",IF(J661&lt;=2,"?ACTIVATED",IF(J661&lt;&gt;"","?FAMILIAR",IF(F661="NEW",IF(ISNA(VLOOKUP(E661,#REF!,1,FALSE())),"?TYPE_IDENTIFIABLE","?REFERENTIAL"),"_")))))</f>
        <v> </v>
      </c>
      <c r="H661" s="25" t="str">
        <f>IF(J661&lt;&gt;1,"",IF(I661="SBJ","CB","?"))</f>
        <v> </v>
      </c>
      <c r="I661" s="26" t="str">
        <f>IF(OR(E661="",E661="!!!",F661="NEW"),"",INDEX(B660:B$2,-1+SUMPRODUCT(MAX(ROW(E660:E$2)*(E661=E660:E$2)))))</f>
        <v> </v>
      </c>
      <c r="J661" s="26" t="str">
        <f>IF(OR(E661="",E661="!!!",F661="NEW"),"",COUNTBLANK(OFFSET(A$1,,,SUMPRODUCT(MAX(ROW(E$2:E661)*(E661=E$2:E661)))))-COUNTBLANK(OFFSET(A$1,,,SUMPRODUCT(MAX(ROW(E$1:E660)*(E2=E$1:E660))))))</f>
        <v> </v>
      </c>
      <c r="K661" s="26" t="str">
        <f>IF(OR(E661="",E661="!!!",F661="NEW"),"",INDEX(J$1:J660,SUMPRODUCT(MAX(ROW(E$1:E660)*(E661=E$1:E660)))))</f>
        <v> </v>
      </c>
      <c r="L661" s="27"/>
    </row>
    <row r="662" spans="1:12">
      <c r="A662" s="20" t="s">
        <v>135</v>
      </c>
      <c r="E662" s="22">
        <f>IF(D662="?OLD","!!!","")</f>
        <v/>
      </c>
      <c r="F662" s="23" t="str">
        <f>IF(OR(E662="",E662="!!!"),"",IF(NOT(ISNA(VLOOKUP(E662,E$1:E661,1,FALSE()))),"OLD",IF(AND(E662&lt;&gt;"",E662&lt;&gt;"!!!"),"NEW","")))</f>
        <v> </v>
      </c>
      <c r="G662" s="24" t="str">
        <f>IF(OR(E662="",E662="!!!"),"",IF(OR(J662=0,AND(J662=1,K662=1),AND(J662=1,I662="SBJ"),AND(J662=1,I662=0)),"?IN_FOCUS",IF(J662&lt;=2,"?ACTIVATED",IF(J662&lt;&gt;"","?FAMILIAR",IF(F662="NEW",IF(ISNA(VLOOKUP(E662,#REF!,1,FALSE())),"?TYPE_IDENTIFIABLE","?REFERENTIAL"),"_")))))</f>
        <v> </v>
      </c>
      <c r="H662" s="25" t="str">
        <f>IF(J662&lt;&gt;1,"",IF(I662="SBJ","CB","?"))</f>
        <v> </v>
      </c>
      <c r="I662" s="26" t="str">
        <f>IF(OR(E662="",E662="!!!",F662="NEW"),"",INDEX(B661:B$2,-1+SUMPRODUCT(MAX(ROW(E661:E$2)*(E662=E661:E$2)))))</f>
        <v> </v>
      </c>
      <c r="J662" s="26" t="str">
        <f>IF(OR(E662="",E662="!!!",F662="NEW"),"",COUNTBLANK(OFFSET(A$1,,,SUMPRODUCT(MAX(ROW(E$2:E662)*(E662=E$2:E662)))))-COUNTBLANK(OFFSET(A$1,,,SUMPRODUCT(MAX(ROW(E$1:E661)*(E2=E$1:E661))))))</f>
        <v> </v>
      </c>
      <c r="K662" s="26" t="str">
        <f>IF(OR(E662="",E662="!!!",F662="NEW"),"",INDEX(J$1:J661,SUMPRODUCT(MAX(ROW(E$1:E661)*(E662=E$1:E661)))))</f>
        <v> </v>
      </c>
      <c r="L662" s="27"/>
    </row>
    <row r="663" spans="1:12">
      <c r="A663" s="20"/>
    </row>
    <row r="664" spans="1:12">
      <c r="A664" s="20" t="s">
        <v>465</v>
      </c>
    </row>
    <row r="665" spans="1:12">
      <c r="A665" s="20" t="s">
        <v>466</v>
      </c>
      <c r="E665" s="22">
        <f>IF(D665="?OLD","!!!","")</f>
        <v/>
      </c>
      <c r="F665" s="23" t="str">
        <f>IF(OR(E665="",E665="!!!"),"",IF(NOT(ISNA(VLOOKUP(E665,E$1:E664,1,FALSE()))),"OLD",IF(AND(E665&lt;&gt;"",E665&lt;&gt;"!!!"),"NEW","")))</f>
        <v> </v>
      </c>
      <c r="G665" s="24" t="str">
        <f>IF(OR(E665="",E665="!!!"),"",IF(OR(J665=0,AND(J665=1,K665=1),AND(J665=1,I665="SBJ"),AND(J665=1,I665=0)),"?IN_FOCUS",IF(J665&lt;=2,"?ACTIVATED",IF(J665&lt;&gt;"","?FAMILIAR",IF(F665="NEW",IF(ISNA(VLOOKUP(E665,#REF!,1,FALSE())),"?TYPE_IDENTIFIABLE","?REFERENTIAL"),"_")))))</f>
        <v> </v>
      </c>
      <c r="H665" s="25" t="str">
        <f>IF(J665&lt;&gt;1,"",IF(I665="SBJ","CB","?"))</f>
        <v> </v>
      </c>
      <c r="I665" s="26" t="str">
        <f>IF(OR(E665="",E665="!!!",F665="NEW"),"",INDEX(B664:B$2,-1+SUMPRODUCT(MAX(ROW(E664:E$2)*(E665=E664:E$2)))))</f>
        <v> </v>
      </c>
      <c r="J665" s="26" t="str">
        <f>IF(OR(E665="",E665="!!!",F665="NEW"),"",COUNTBLANK(OFFSET(A$1,,,SUMPRODUCT(MAX(ROW(E$2:E665)*(E665=E$2:E665)))))-COUNTBLANK(OFFSET(A$1,,,SUMPRODUCT(MAX(ROW(E$1:E664)*(E2=E$1:E664))))))</f>
        <v> </v>
      </c>
      <c r="K665" s="26" t="str">
        <f>IF(OR(E665="",E665="!!!",F665="NEW"),"",INDEX(J$1:J664,SUMPRODUCT(MAX(ROW(E$1:E664)*(E665=E$1:E664)))))</f>
        <v> </v>
      </c>
      <c r="L665" s="27"/>
    </row>
    <row r="666" spans="1:12">
      <c r="A666" s="20" t="s">
        <v>108</v>
      </c>
      <c r="E666" s="22">
        <f>IF(D666="?OLD","!!!","")</f>
        <v/>
      </c>
      <c r="F666" s="23" t="str">
        <f>IF(OR(E666="",E666="!!!"),"",IF(NOT(ISNA(VLOOKUP(E666,E$1:E665,1,FALSE()))),"OLD",IF(AND(E666&lt;&gt;"",E666&lt;&gt;"!!!"),"NEW","")))</f>
        <v> </v>
      </c>
      <c r="G666" s="24" t="str">
        <f>IF(OR(E666="",E666="!!!"),"",IF(OR(J666=0,AND(J666=1,K666=1),AND(J666=1,I666="SBJ"),AND(J666=1,I666=0)),"?IN_FOCUS",IF(J666&lt;=2,"?ACTIVATED",IF(J666&lt;&gt;"","?FAMILIAR",IF(F666="NEW",IF(ISNA(VLOOKUP(E666,#REF!,1,FALSE())),"?TYPE_IDENTIFIABLE","?REFERENTIAL"),"_")))))</f>
        <v> </v>
      </c>
      <c r="H666" s="25" t="str">
        <f>IF(J666&lt;&gt;1,"",IF(I666="SBJ","CB","?"))</f>
        <v> </v>
      </c>
      <c r="I666" s="26" t="str">
        <f>IF(OR(E666="",E666="!!!",F666="NEW"),"",INDEX(B665:B$2,-1+SUMPRODUCT(MAX(ROW(E665:E$2)*(E666=E665:E$2)))))</f>
        <v> </v>
      </c>
      <c r="J666" s="26" t="str">
        <f>IF(OR(E666="",E666="!!!",F666="NEW"),"",COUNTBLANK(OFFSET(A$1,,,SUMPRODUCT(MAX(ROW(E$2:E666)*(E666=E$2:E666)))))-COUNTBLANK(OFFSET(A$1,,,SUMPRODUCT(MAX(ROW(E$1:E665)*(E2=E$1:E665))))))</f>
        <v> </v>
      </c>
      <c r="K666" s="26" t="str">
        <f>IF(OR(E666="",E666="!!!",F666="NEW"),"",INDEX(J$1:J665,SUMPRODUCT(MAX(ROW(E$1:E665)*(E666=E$1:E665)))))</f>
        <v> </v>
      </c>
      <c r="L666" s="27"/>
    </row>
    <row r="667" spans="1:12">
      <c r="A667" s="20" t="s">
        <v>109</v>
      </c>
      <c r="B667" s="21" t="s">
        <v>110</v>
      </c>
      <c r="C667" s="21" t="s">
        <v>111</v>
      </c>
      <c r="D667" s="21" t="s">
        <v>106</v>
      </c>
      <c r="E667" s="22">
        <f>IF(D667="?OLD","!!!","")</f>
        <v/>
      </c>
      <c r="F667" s="23" t="str">
        <f>IF(OR(E667="",E667="!!!"),"",IF(NOT(ISNA(VLOOKUP(E667,E$1:E666,1,FALSE()))),"OLD",IF(AND(E667&lt;&gt;"",E667&lt;&gt;"!!!"),"NEW","")))</f>
        <v> </v>
      </c>
      <c r="G667" s="24" t="str">
        <f>IF(OR(E667="",E667="!!!"),"",IF(OR(J667=0,AND(J667=1,K667=1),AND(J667=1,I667="SBJ"),AND(J667=1,I667=0)),"?IN_FOCUS",IF(J667&lt;=2,"?ACTIVATED",IF(J667&lt;&gt;"","?FAMILIAR",IF(F667="NEW",IF(ISNA(VLOOKUP(E667,#REF!,1,FALSE())),"?TYPE_IDENTIFIABLE","?REFERENTIAL"),"_")))))</f>
        <v> </v>
      </c>
      <c r="H667" s="25" t="str">
        <f>IF(J667&lt;&gt;1,"",IF(I667="SBJ","CB","?"))</f>
        <v> </v>
      </c>
      <c r="I667" s="26" t="str">
        <f>IF(OR(E667="",E667="!!!",F667="NEW"),"",INDEX(B666:B$2,-1+SUMPRODUCT(MAX(ROW(E666:E$2)*(E667=E666:E$2)))))</f>
        <v> </v>
      </c>
      <c r="J667" s="26" t="str">
        <f>IF(OR(E667="",E667="!!!",F667="NEW"),"",COUNTBLANK(OFFSET(A$1,,,SUMPRODUCT(MAX(ROW(E$2:E667)*(E667=E$2:E667)))))-COUNTBLANK(OFFSET(A$1,,,SUMPRODUCT(MAX(ROW(E$1:E666)*(E2=E$1:E666))))))</f>
        <v> </v>
      </c>
      <c r="K667" s="26" t="str">
        <f>IF(OR(E667="",E667="!!!",F667="NEW"),"",INDEX(J$1:J666,SUMPRODUCT(MAX(ROW(E$1:E666)*(E667=E$1:E666)))))</f>
        <v> </v>
      </c>
      <c r="L667" s="27"/>
    </row>
    <row r="668" spans="1:12">
      <c r="A668" s="20" t="s">
        <v>112</v>
      </c>
      <c r="E668" s="22">
        <f>IF(D668="?OLD","!!!","")</f>
        <v/>
      </c>
      <c r="F668" s="23" t="str">
        <f>IF(OR(E668="",E668="!!!"),"",IF(NOT(ISNA(VLOOKUP(E668,E$1:E667,1,FALSE()))),"OLD",IF(AND(E668&lt;&gt;"",E668&lt;&gt;"!!!"),"NEW","")))</f>
        <v> </v>
      </c>
      <c r="G668" s="24" t="str">
        <f>IF(OR(E668="",E668="!!!"),"",IF(OR(J668=0,AND(J668=1,K668=1),AND(J668=1,I668="SBJ"),AND(J668=1,I668=0)),"?IN_FOCUS",IF(J668&lt;=2,"?ACTIVATED",IF(J668&lt;&gt;"","?FAMILIAR",IF(F668="NEW",IF(ISNA(VLOOKUP(E668,#REF!,1,FALSE())),"?TYPE_IDENTIFIABLE","?REFERENTIAL"),"_")))))</f>
        <v> </v>
      </c>
      <c r="H668" s="25" t="str">
        <f>IF(J668&lt;&gt;1,"",IF(I668="SBJ","CB","?"))</f>
        <v> </v>
      </c>
      <c r="I668" s="26" t="str">
        <f>IF(OR(E668="",E668="!!!",F668="NEW"),"",INDEX(B667:B$2,-1+SUMPRODUCT(MAX(ROW(E667:E$2)*(E668=E667:E$2)))))</f>
        <v> </v>
      </c>
      <c r="J668" s="26" t="str">
        <f>IF(OR(E668="",E668="!!!",F668="NEW"),"",COUNTBLANK(OFFSET(A$1,,,SUMPRODUCT(MAX(ROW(E$2:E668)*(E668=E$2:E668)))))-COUNTBLANK(OFFSET(A$1,,,SUMPRODUCT(MAX(ROW(E$1:E667)*(E2=E$1:E667))))))</f>
        <v> </v>
      </c>
      <c r="K668" s="26" t="str">
        <f>IF(OR(E668="",E668="!!!",F668="NEW"),"",INDEX(J$1:J667,SUMPRODUCT(MAX(ROW(E$1:E667)*(E668=E$1:E667)))))</f>
        <v> </v>
      </c>
      <c r="L668" s="27"/>
    </row>
    <row r="669" spans="1:12">
      <c r="A669" s="20" t="s">
        <v>467</v>
      </c>
      <c r="E669" s="22">
        <f>IF(D669="?OLD","!!!","")</f>
        <v/>
      </c>
      <c r="F669" s="23" t="str">
        <f>IF(OR(E669="",E669="!!!"),"",IF(NOT(ISNA(VLOOKUP(E669,E$1:E668,1,FALSE()))),"OLD",IF(AND(E669&lt;&gt;"",E669&lt;&gt;"!!!"),"NEW","")))</f>
        <v> </v>
      </c>
      <c r="G669" s="24" t="str">
        <f>IF(OR(E669="",E669="!!!"),"",IF(OR(J669=0,AND(J669=1,K669=1),AND(J669=1,I669="SBJ"),AND(J669=1,I669=0)),"?IN_FOCUS",IF(J669&lt;=2,"?ACTIVATED",IF(J669&lt;&gt;"","?FAMILIAR",IF(F669="NEW",IF(ISNA(VLOOKUP(E669,#REF!,1,FALSE())),"?TYPE_IDENTIFIABLE","?REFERENTIAL"),"_")))))</f>
        <v> </v>
      </c>
      <c r="H669" s="25" t="str">
        <f>IF(J669&lt;&gt;1,"",IF(I669="SBJ","CB","?"))</f>
        <v> </v>
      </c>
      <c r="I669" s="26" t="str">
        <f>IF(OR(E669="",E669="!!!",F669="NEW"),"",INDEX(B668:B$2,-1+SUMPRODUCT(MAX(ROW(E668:E$2)*(E669=E668:E$2)))))</f>
        <v> </v>
      </c>
      <c r="J669" s="26" t="str">
        <f>IF(OR(E669="",E669="!!!",F669="NEW"),"",COUNTBLANK(OFFSET(A$1,,,SUMPRODUCT(MAX(ROW(E$2:E669)*(E669=E$2:E669)))))-COUNTBLANK(OFFSET(A$1,,,SUMPRODUCT(MAX(ROW(E$1:E668)*(E2=E$1:E668))))))</f>
        <v> </v>
      </c>
      <c r="K669" s="26" t="str">
        <f>IF(OR(E669="",E669="!!!",F669="NEW"),"",INDEX(J$1:J668,SUMPRODUCT(MAX(ROW(E$1:E668)*(E669=E$1:E668)))))</f>
        <v> </v>
      </c>
      <c r="L669" s="27"/>
    </row>
    <row r="670" spans="1:12">
      <c r="A670" s="20" t="s">
        <v>108</v>
      </c>
      <c r="E670" s="22">
        <f>IF(D670="?OLD","!!!","")</f>
        <v/>
      </c>
      <c r="F670" s="23" t="str">
        <f>IF(OR(E670="",E670="!!!"),"",IF(NOT(ISNA(VLOOKUP(E670,E$1:E669,1,FALSE()))),"OLD",IF(AND(E670&lt;&gt;"",E670&lt;&gt;"!!!"),"NEW","")))</f>
        <v> </v>
      </c>
      <c r="G670" s="24" t="str">
        <f>IF(OR(E670="",E670="!!!"),"",IF(OR(J670=0,AND(J670=1,K670=1),AND(J670=1,I670="SBJ"),AND(J670=1,I670=0)),"?IN_FOCUS",IF(J670&lt;=2,"?ACTIVATED",IF(J670&lt;&gt;"","?FAMILIAR",IF(F670="NEW",IF(ISNA(VLOOKUP(E670,#REF!,1,FALSE())),"?TYPE_IDENTIFIABLE","?REFERENTIAL"),"_")))))</f>
        <v> </v>
      </c>
      <c r="H670" s="25" t="str">
        <f>IF(J670&lt;&gt;1,"",IF(I670="SBJ","CB","?"))</f>
        <v> </v>
      </c>
      <c r="I670" s="26" t="str">
        <f>IF(OR(E670="",E670="!!!",F670="NEW"),"",INDEX(B669:B$2,-1+SUMPRODUCT(MAX(ROW(E669:E$2)*(E670=E669:E$2)))))</f>
        <v> </v>
      </c>
      <c r="J670" s="26" t="str">
        <f>IF(OR(E670="",E670="!!!",F670="NEW"),"",COUNTBLANK(OFFSET(A$1,,,SUMPRODUCT(MAX(ROW(E$2:E670)*(E670=E$2:E670)))))-COUNTBLANK(OFFSET(A$1,,,SUMPRODUCT(MAX(ROW(E$1:E669)*(E2=E$1:E669))))))</f>
        <v> </v>
      </c>
      <c r="K670" s="26" t="str">
        <f>IF(OR(E670="",E670="!!!",F670="NEW"),"",INDEX(J$1:J669,SUMPRODUCT(MAX(ROW(E$1:E669)*(E670=E$1:E669)))))</f>
        <v> </v>
      </c>
      <c r="L670" s="27"/>
    </row>
    <row r="671" spans="1:12">
      <c r="A671" s="20" t="s">
        <v>468</v>
      </c>
      <c r="B671" s="21" t="s">
        <v>124</v>
      </c>
      <c r="C671" s="21" t="s">
        <v>111</v>
      </c>
      <c r="D671" s="21" t="s">
        <v>106</v>
      </c>
      <c r="E671" s="22">
        <f>IF(D671="?OLD","!!!","")</f>
        <v/>
      </c>
      <c r="F671" s="23" t="str">
        <f>IF(OR(E671="",E671="!!!"),"",IF(NOT(ISNA(VLOOKUP(E671,E$1:E670,1,FALSE()))),"OLD",IF(AND(E671&lt;&gt;"",E671&lt;&gt;"!!!"),"NEW","")))</f>
        <v> </v>
      </c>
      <c r="G671" s="24" t="str">
        <f>IF(OR(E671="",E671="!!!"),"",IF(OR(J671=0,AND(J671=1,K671=1),AND(J671=1,I671="SBJ"),AND(J671=1,I671=0)),"?IN_FOCUS",IF(J671&lt;=2,"?ACTIVATED",IF(J671&lt;&gt;"","?FAMILIAR",IF(F671="NEW",IF(ISNA(VLOOKUP(E671,#REF!,1,FALSE())),"?TYPE_IDENTIFIABLE","?REFERENTIAL"),"_")))))</f>
        <v> </v>
      </c>
      <c r="H671" s="25" t="str">
        <f>IF(J671&lt;&gt;1,"",IF(I671="SBJ","CB","?"))</f>
        <v> </v>
      </c>
      <c r="I671" s="26" t="str">
        <f>IF(OR(E671="",E671="!!!",F671="NEW"),"",INDEX(B670:B$2,-1+SUMPRODUCT(MAX(ROW(E670:E$2)*(E671=E670:E$2)))))</f>
        <v> </v>
      </c>
      <c r="J671" s="26" t="str">
        <f>IF(OR(E671="",E671="!!!",F671="NEW"),"",COUNTBLANK(OFFSET(A$1,,,SUMPRODUCT(MAX(ROW(E$2:E671)*(E671=E$2:E671)))))-COUNTBLANK(OFFSET(A$1,,,SUMPRODUCT(MAX(ROW(E$1:E670)*(E2=E$1:E670))))))</f>
        <v> </v>
      </c>
      <c r="K671" s="26" t="str">
        <f>IF(OR(E671="",E671="!!!",F671="NEW"),"",INDEX(J$1:J670,SUMPRODUCT(MAX(ROW(E$1:E670)*(E671=E$1:E670)))))</f>
        <v> </v>
      </c>
      <c r="L671" s="27"/>
    </row>
    <row r="672" spans="1:12">
      <c r="A672" s="20" t="s">
        <v>116</v>
      </c>
      <c r="E672" s="22">
        <f>IF(D672="?OLD","!!!","")</f>
        <v/>
      </c>
      <c r="F672" s="23" t="str">
        <f>IF(OR(E672="",E672="!!!"),"",IF(NOT(ISNA(VLOOKUP(E672,E$1:E671,1,FALSE()))),"OLD",IF(AND(E672&lt;&gt;"",E672&lt;&gt;"!!!"),"NEW","")))</f>
        <v> </v>
      </c>
      <c r="G672" s="24" t="str">
        <f>IF(OR(E672="",E672="!!!"),"",IF(OR(J672=0,AND(J672=1,K672=1),AND(J672=1,I672="SBJ"),AND(J672=1,I672=0)),"?IN_FOCUS",IF(J672&lt;=2,"?ACTIVATED",IF(J672&lt;&gt;"","?FAMILIAR",IF(F672="NEW",IF(ISNA(VLOOKUP(E672,#REF!,1,FALSE())),"?TYPE_IDENTIFIABLE","?REFERENTIAL"),"_")))))</f>
        <v> </v>
      </c>
      <c r="H672" s="25" t="str">
        <f>IF(J672&lt;&gt;1,"",IF(I672="SBJ","CB","?"))</f>
        <v> </v>
      </c>
      <c r="I672" s="26" t="str">
        <f>IF(OR(E672="",E672="!!!",F672="NEW"),"",INDEX(B671:B$2,-1+SUMPRODUCT(MAX(ROW(E671:E$2)*(E672=E671:E$2)))))</f>
        <v> </v>
      </c>
      <c r="J672" s="26" t="str">
        <f>IF(OR(E672="",E672="!!!",F672="NEW"),"",COUNTBLANK(OFFSET(A$1,,,SUMPRODUCT(MAX(ROW(E$2:E672)*(E672=E$2:E672)))))-COUNTBLANK(OFFSET(A$1,,,SUMPRODUCT(MAX(ROW(E$1:E671)*(E2=E$1:E671))))))</f>
        <v> </v>
      </c>
      <c r="K672" s="26" t="str">
        <f>IF(OR(E672="",E672="!!!",F672="NEW"),"",INDEX(J$1:J671,SUMPRODUCT(MAX(ROW(E$1:E671)*(E672=E$1:E671)))))</f>
        <v> </v>
      </c>
      <c r="L672" s="27"/>
    </row>
    <row r="673" spans="1:12">
      <c r="A673" s="20" t="s">
        <v>172</v>
      </c>
      <c r="B673" s="21" t="s">
        <v>139</v>
      </c>
      <c r="C673" s="21" t="s">
        <v>105</v>
      </c>
      <c r="D673" s="21" t="s">
        <v>106</v>
      </c>
      <c r="E673" s="22">
        <f>IF(D673="?OLD","!!!","")</f>
        <v/>
      </c>
      <c r="F673" s="23" t="str">
        <f>IF(OR(E673="",E673="!!!"),"",IF(NOT(ISNA(VLOOKUP(E673,E$1:E672,1,FALSE()))),"OLD",IF(AND(E673&lt;&gt;"",E673&lt;&gt;"!!!"),"NEW","")))</f>
        <v> </v>
      </c>
      <c r="G673" s="24" t="str">
        <f>IF(OR(E673="",E673="!!!"),"",IF(OR(J673=0,AND(J673=1,K673=1),AND(J673=1,I673="SBJ"),AND(J673=1,I673=0)),"?IN_FOCUS",IF(J673&lt;=2,"?ACTIVATED",IF(J673&lt;&gt;"","?FAMILIAR",IF(F673="NEW",IF(ISNA(VLOOKUP(E673,#REF!,1,FALSE())),"?TYPE_IDENTIFIABLE","?REFERENTIAL"),"_")))))</f>
        <v> </v>
      </c>
      <c r="H673" s="25" t="str">
        <f>IF(J673&lt;&gt;1,"",IF(I673="SBJ","CB","?"))</f>
        <v> </v>
      </c>
      <c r="I673" s="26" t="str">
        <f>IF(OR(E673="",E673="!!!",F673="NEW"),"",INDEX(B672:B$2,-1+SUMPRODUCT(MAX(ROW(E672:E$2)*(E673=E672:E$2)))))</f>
        <v> </v>
      </c>
      <c r="J673" s="26" t="str">
        <f>IF(OR(E673="",E673="!!!",F673="NEW"),"",COUNTBLANK(OFFSET(A$1,,,SUMPRODUCT(MAX(ROW(E$2:E673)*(E673=E$2:E673)))))-COUNTBLANK(OFFSET(A$1,,,SUMPRODUCT(MAX(ROW(E$1:E672)*(E2=E$1:E672))))))</f>
        <v> </v>
      </c>
      <c r="K673" s="26" t="str">
        <f>IF(OR(E673="",E673="!!!",F673="NEW"),"",INDEX(J$1:J672,SUMPRODUCT(MAX(ROW(E$1:E672)*(E673=E$1:E672)))))</f>
        <v> </v>
      </c>
      <c r="L673" s="27"/>
    </row>
    <row r="674" spans="1:12">
      <c r="A674" s="20" t="s">
        <v>469</v>
      </c>
      <c r="E674" s="22">
        <f>IF(D674="?OLD","!!!","")</f>
        <v/>
      </c>
      <c r="F674" s="23" t="str">
        <f>IF(OR(E674="",E674="!!!"),"",IF(NOT(ISNA(VLOOKUP(E674,E$1:E673,1,FALSE()))),"OLD",IF(AND(E674&lt;&gt;"",E674&lt;&gt;"!!!"),"NEW","")))</f>
        <v> </v>
      </c>
      <c r="G674" s="24" t="str">
        <f>IF(OR(E674="",E674="!!!"),"",IF(OR(J674=0,AND(J674=1,K674=1),AND(J674=1,I674="SBJ"),AND(J674=1,I674=0)),"?IN_FOCUS",IF(J674&lt;=2,"?ACTIVATED",IF(J674&lt;&gt;"","?FAMILIAR",IF(F674="NEW",IF(ISNA(VLOOKUP(E674,#REF!,1,FALSE())),"?TYPE_IDENTIFIABLE","?REFERENTIAL"),"_")))))</f>
        <v> </v>
      </c>
      <c r="H674" s="25" t="str">
        <f>IF(J674&lt;&gt;1,"",IF(I674="SBJ","CB","?"))</f>
        <v> </v>
      </c>
      <c r="I674" s="26" t="str">
        <f>IF(OR(E674="",E674="!!!",F674="NEW"),"",INDEX(B673:B$2,-1+SUMPRODUCT(MAX(ROW(E673:E$2)*(E674=E673:E$2)))))</f>
        <v> </v>
      </c>
      <c r="J674" s="26" t="str">
        <f>IF(OR(E674="",E674="!!!",F674="NEW"),"",COUNTBLANK(OFFSET(A$1,,,SUMPRODUCT(MAX(ROW(E$2:E674)*(E674=E$2:E674)))))-COUNTBLANK(OFFSET(A$1,,,SUMPRODUCT(MAX(ROW(E$1:E673)*(E2=E$1:E673))))))</f>
        <v> </v>
      </c>
      <c r="K674" s="26" t="str">
        <f>IF(OR(E674="",E674="!!!",F674="NEW"),"",INDEX(J$1:J673,SUMPRODUCT(MAX(ROW(E$1:E673)*(E674=E$1:E673)))))</f>
        <v> </v>
      </c>
      <c r="L674" s="27"/>
    </row>
    <row r="675" spans="1:12">
      <c r="A675" s="20" t="s">
        <v>116</v>
      </c>
      <c r="E675" s="22">
        <f>IF(D675="?OLD","!!!","")</f>
        <v/>
      </c>
      <c r="F675" s="23" t="str">
        <f>IF(OR(E675="",E675="!!!"),"",IF(NOT(ISNA(VLOOKUP(E675,E$1:E674,1,FALSE()))),"OLD",IF(AND(E675&lt;&gt;"",E675&lt;&gt;"!!!"),"NEW","")))</f>
        <v> </v>
      </c>
      <c r="G675" s="24" t="str">
        <f>IF(OR(E675="",E675="!!!"),"",IF(OR(J675=0,AND(J675=1,K675=1),AND(J675=1,I675="SBJ"),AND(J675=1,I675=0)),"?IN_FOCUS",IF(J675&lt;=2,"?ACTIVATED",IF(J675&lt;&gt;"","?FAMILIAR",IF(F675="NEW",IF(ISNA(VLOOKUP(E675,#REF!,1,FALSE())),"?TYPE_IDENTIFIABLE","?REFERENTIAL"),"_")))))</f>
        <v> </v>
      </c>
      <c r="H675" s="25" t="str">
        <f>IF(J675&lt;&gt;1,"",IF(I675="SBJ","CB","?"))</f>
        <v> </v>
      </c>
      <c r="I675" s="26" t="str">
        <f>IF(OR(E675="",E675="!!!",F675="NEW"),"",INDEX(B674:B$2,-1+SUMPRODUCT(MAX(ROW(E674:E$2)*(E675=E674:E$2)))))</f>
        <v> </v>
      </c>
      <c r="J675" s="26" t="str">
        <f>IF(OR(E675="",E675="!!!",F675="NEW"),"",COUNTBLANK(OFFSET(A$1,,,SUMPRODUCT(MAX(ROW(E$2:E675)*(E675=E$2:E675)))))-COUNTBLANK(OFFSET(A$1,,,SUMPRODUCT(MAX(ROW(E$1:E674)*(E2=E$1:E674))))))</f>
        <v> </v>
      </c>
      <c r="K675" s="26" t="str">
        <f>IF(OR(E675="",E675="!!!",F675="NEW"),"",INDEX(J$1:J674,SUMPRODUCT(MAX(ROW(E$1:E674)*(E675=E$1:E674)))))</f>
        <v> </v>
      </c>
      <c r="L675" s="27"/>
    </row>
    <row r="676" spans="1:12">
      <c r="A676" s="20" t="s">
        <v>193</v>
      </c>
      <c r="E676" s="22">
        <f>IF(D676="?OLD","!!!","")</f>
        <v/>
      </c>
      <c r="F676" s="23" t="str">
        <f>IF(OR(E676="",E676="!!!"),"",IF(NOT(ISNA(VLOOKUP(E676,E$1:E675,1,FALSE()))),"OLD",IF(AND(E676&lt;&gt;"",E676&lt;&gt;"!!!"),"NEW","")))</f>
        <v> </v>
      </c>
      <c r="G676" s="24" t="str">
        <f>IF(OR(E676="",E676="!!!"),"",IF(OR(J676=0,AND(J676=1,K676=1),AND(J676=1,I676="SBJ"),AND(J676=1,I676=0)),"?IN_FOCUS",IF(J676&lt;=2,"?ACTIVATED",IF(J676&lt;&gt;"","?FAMILIAR",IF(F676="NEW",IF(ISNA(VLOOKUP(E676,#REF!,1,FALSE())),"?TYPE_IDENTIFIABLE","?REFERENTIAL"),"_")))))</f>
        <v> </v>
      </c>
      <c r="H676" s="25" t="str">
        <f>IF(J676&lt;&gt;1,"",IF(I676="SBJ","CB","?"))</f>
        <v> </v>
      </c>
      <c r="I676" s="26" t="str">
        <f>IF(OR(E676="",E676="!!!",F676="NEW"),"",INDEX(B675:B$2,-1+SUMPRODUCT(MAX(ROW(E675:E$2)*(E676=E675:E$2)))))</f>
        <v> </v>
      </c>
      <c r="J676" s="26" t="str">
        <f>IF(OR(E676="",E676="!!!",F676="NEW"),"",COUNTBLANK(OFFSET(A$1,,,SUMPRODUCT(MAX(ROW(E$2:E676)*(E676=E$2:E676)))))-COUNTBLANK(OFFSET(A$1,,,SUMPRODUCT(MAX(ROW(E$1:E675)*(E2=E$1:E675))))))</f>
        <v> </v>
      </c>
      <c r="K676" s="26" t="str">
        <f>IF(OR(E676="",E676="!!!",F676="NEW"),"",INDEX(J$1:J675,SUMPRODUCT(MAX(ROW(E$1:E675)*(E676=E$1:E675)))))</f>
        <v> </v>
      </c>
      <c r="L676" s="27"/>
    </row>
    <row r="677" spans="1:12">
      <c r="A677" s="20" t="s">
        <v>470</v>
      </c>
      <c r="B677" s="21" t="s">
        <v>104</v>
      </c>
      <c r="C677" s="21" t="s">
        <v>162</v>
      </c>
      <c r="D677" s="21" t="s">
        <v>106</v>
      </c>
      <c r="E677" s="22">
        <f>IF(D677="?OLD","!!!","")</f>
        <v/>
      </c>
      <c r="F677" s="23" t="str">
        <f>IF(OR(E677="",E677="!!!"),"",IF(NOT(ISNA(VLOOKUP(E677,E$1:E676,1,FALSE()))),"OLD",IF(AND(E677&lt;&gt;"",E677&lt;&gt;"!!!"),"NEW","")))</f>
        <v> </v>
      </c>
      <c r="G677" s="24" t="str">
        <f>IF(OR(E677="",E677="!!!"),"",IF(OR(J677=0,AND(J677=1,K677=1),AND(J677=1,I677="SBJ"),AND(J677=1,I677=0)),"?IN_FOCUS",IF(J677&lt;=2,"?ACTIVATED",IF(J677&lt;&gt;"","?FAMILIAR",IF(F677="NEW",IF(ISNA(VLOOKUP(E677,#REF!,1,FALSE())),"?TYPE_IDENTIFIABLE","?REFERENTIAL"),"_")))))</f>
        <v> </v>
      </c>
      <c r="H677" s="25" t="str">
        <f>IF(J677&lt;&gt;1,"",IF(I677="SBJ","CB","?"))</f>
        <v> </v>
      </c>
      <c r="I677" s="26" t="str">
        <f>IF(OR(E677="",E677="!!!",F677="NEW"),"",INDEX(B676:B$2,-1+SUMPRODUCT(MAX(ROW(E676:E$2)*(E677=E676:E$2)))))</f>
        <v> </v>
      </c>
      <c r="J677" s="26" t="str">
        <f>IF(OR(E677="",E677="!!!",F677="NEW"),"",COUNTBLANK(OFFSET(A$1,,,SUMPRODUCT(MAX(ROW(E$2:E677)*(E677=E$2:E677)))))-COUNTBLANK(OFFSET(A$1,,,SUMPRODUCT(MAX(ROW(E$1:E676)*(E2=E$1:E676))))))</f>
        <v> </v>
      </c>
      <c r="K677" s="26" t="str">
        <f>IF(OR(E677="",E677="!!!",F677="NEW"),"",INDEX(J$1:J676,SUMPRODUCT(MAX(ROW(E$1:E676)*(E677=E$1:E676)))))</f>
        <v> </v>
      </c>
      <c r="L677" s="27"/>
    </row>
    <row r="678" spans="1:12">
      <c r="A678" s="20" t="s">
        <v>199</v>
      </c>
      <c r="E678" s="22">
        <f>IF(D678="?OLD","!!!","")</f>
        <v/>
      </c>
      <c r="F678" s="23" t="str">
        <f>IF(OR(E678="",E678="!!!"),"",IF(NOT(ISNA(VLOOKUP(E678,E$1:E677,1,FALSE()))),"OLD",IF(AND(E678&lt;&gt;"",E678&lt;&gt;"!!!"),"NEW","")))</f>
        <v> </v>
      </c>
      <c r="G678" s="24" t="str">
        <f>IF(OR(E678="",E678="!!!"),"",IF(OR(J678=0,AND(J678=1,K678=1),AND(J678=1,I678="SBJ"),AND(J678=1,I678=0)),"?IN_FOCUS",IF(J678&lt;=2,"?ACTIVATED",IF(J678&lt;&gt;"","?FAMILIAR",IF(F678="NEW",IF(ISNA(VLOOKUP(E678,#REF!,1,FALSE())),"?TYPE_IDENTIFIABLE","?REFERENTIAL"),"_")))))</f>
        <v> </v>
      </c>
      <c r="H678" s="25" t="str">
        <f>IF(J678&lt;&gt;1,"",IF(I678="SBJ","CB","?"))</f>
        <v> </v>
      </c>
      <c r="I678" s="26" t="str">
        <f>IF(OR(E678="",E678="!!!",F678="NEW"),"",INDEX(B677:B$2,-1+SUMPRODUCT(MAX(ROW(E677:E$2)*(E678=E677:E$2)))))</f>
        <v> </v>
      </c>
      <c r="J678" s="26" t="str">
        <f>IF(OR(E678="",E678="!!!",F678="NEW"),"",COUNTBLANK(OFFSET(A$1,,,SUMPRODUCT(MAX(ROW(E$2:E678)*(E678=E$2:E678)))))-COUNTBLANK(OFFSET(A$1,,,SUMPRODUCT(MAX(ROW(E$1:E677)*(E2=E$1:E677))))))</f>
        <v> </v>
      </c>
      <c r="K678" s="26" t="str">
        <f>IF(OR(E678="",E678="!!!",F678="NEW"),"",INDEX(J$1:J677,SUMPRODUCT(MAX(ROW(E$1:E677)*(E678=E$1:E677)))))</f>
        <v> </v>
      </c>
      <c r="L678" s="27"/>
    </row>
    <row r="679" spans="1:12">
      <c r="A679" s="20" t="s">
        <v>471</v>
      </c>
      <c r="E679" s="22">
        <f>IF(D679="?OLD","!!!","")</f>
        <v/>
      </c>
      <c r="F679" s="23" t="str">
        <f>IF(OR(E679="",E679="!!!"),"",IF(NOT(ISNA(VLOOKUP(E679,E$1:E678,1,FALSE()))),"OLD",IF(AND(E679&lt;&gt;"",E679&lt;&gt;"!!!"),"NEW","")))</f>
        <v> </v>
      </c>
      <c r="G679" s="24" t="str">
        <f>IF(OR(E679="",E679="!!!"),"",IF(OR(J679=0,AND(J679=1,K679=1),AND(J679=1,I679="SBJ"),AND(J679=1,I679=0)),"?IN_FOCUS",IF(J679&lt;=2,"?ACTIVATED",IF(J679&lt;&gt;"","?FAMILIAR",IF(F679="NEW",IF(ISNA(VLOOKUP(E679,#REF!,1,FALSE())),"?TYPE_IDENTIFIABLE","?REFERENTIAL"),"_")))))</f>
        <v> </v>
      </c>
      <c r="H679" s="25" t="str">
        <f>IF(J679&lt;&gt;1,"",IF(I679="SBJ","CB","?"))</f>
        <v> </v>
      </c>
      <c r="I679" s="26" t="str">
        <f>IF(OR(E679="",E679="!!!",F679="NEW"),"",INDEX(B678:B$2,-1+SUMPRODUCT(MAX(ROW(E678:E$2)*(E679=E678:E$2)))))</f>
        <v> </v>
      </c>
      <c r="J679" s="26" t="str">
        <f>IF(OR(E679="",E679="!!!",F679="NEW"),"",COUNTBLANK(OFFSET(A$1,,,SUMPRODUCT(MAX(ROW(E$2:E679)*(E679=E$2:E679)))))-COUNTBLANK(OFFSET(A$1,,,SUMPRODUCT(MAX(ROW(E$1:E678)*(E2=E$1:E678))))))</f>
        <v> </v>
      </c>
      <c r="K679" s="26" t="str">
        <f>IF(OR(E679="",E679="!!!",F679="NEW"),"",INDEX(J$1:J678,SUMPRODUCT(MAX(ROW(E$1:E678)*(E679=E$1:E678)))))</f>
        <v> </v>
      </c>
      <c r="L679" s="27"/>
    </row>
    <row r="680" spans="1:12">
      <c r="A680" s="20" t="s">
        <v>472</v>
      </c>
      <c r="E680" s="22">
        <f>IF(D680="?OLD","!!!","")</f>
        <v/>
      </c>
      <c r="F680" s="23" t="str">
        <f>IF(OR(E680="",E680="!!!"),"",IF(NOT(ISNA(VLOOKUP(E680,E$1:E679,1,FALSE()))),"OLD",IF(AND(E680&lt;&gt;"",E680&lt;&gt;"!!!"),"NEW","")))</f>
        <v> </v>
      </c>
      <c r="G680" s="24" t="str">
        <f>IF(OR(E680="",E680="!!!"),"",IF(OR(J680=0,AND(J680=1,K680=1),AND(J680=1,I680="SBJ"),AND(J680=1,I680=0)),"?IN_FOCUS",IF(J680&lt;=2,"?ACTIVATED",IF(J680&lt;&gt;"","?FAMILIAR",IF(F680="NEW",IF(ISNA(VLOOKUP(E680,#REF!,1,FALSE())),"?TYPE_IDENTIFIABLE","?REFERENTIAL"),"_")))))</f>
        <v> </v>
      </c>
      <c r="H680" s="25" t="str">
        <f>IF(J680&lt;&gt;1,"",IF(I680="SBJ","CB","?"))</f>
        <v> </v>
      </c>
      <c r="I680" s="26" t="str">
        <f>IF(OR(E680="",E680="!!!",F680="NEW"),"",INDEX(B679:B$2,-1+SUMPRODUCT(MAX(ROW(E679:E$2)*(E680=E679:E$2)))))</f>
        <v> </v>
      </c>
      <c r="J680" s="26" t="str">
        <f>IF(OR(E680="",E680="!!!",F680="NEW"),"",COUNTBLANK(OFFSET(A$1,,,SUMPRODUCT(MAX(ROW(E$2:E680)*(E680=E$2:E680)))))-COUNTBLANK(OFFSET(A$1,,,SUMPRODUCT(MAX(ROW(E$1:E679)*(E2=E$1:E679))))))</f>
        <v> </v>
      </c>
      <c r="K680" s="26" t="str">
        <f>IF(OR(E680="",E680="!!!",F680="NEW"),"",INDEX(J$1:J679,SUMPRODUCT(MAX(ROW(E$1:E679)*(E680=E$1:E679)))))</f>
        <v> </v>
      </c>
      <c r="L680" s="27"/>
    </row>
    <row r="681" spans="1:12">
      <c r="A681" s="20" t="s">
        <v>473</v>
      </c>
      <c r="B681" s="21" t="s">
        <v>187</v>
      </c>
      <c r="C681" s="21" t="s">
        <v>245</v>
      </c>
      <c r="E681" s="22">
        <f>IF(D681="?OLD","!!!","")</f>
        <v/>
      </c>
      <c r="F681" s="23" t="str">
        <f>IF(OR(E681="",E681="!!!"),"",IF(NOT(ISNA(VLOOKUP(E681,E$1:E680,1,FALSE()))),"OLD",IF(AND(E681&lt;&gt;"",E681&lt;&gt;"!!!"),"NEW","")))</f>
        <v> </v>
      </c>
      <c r="G681" s="24" t="str">
        <f>IF(OR(E681="",E681="!!!"),"",IF(OR(J681=0,AND(J681=1,K681=1),AND(J681=1,I681="SBJ"),AND(J681=1,I681=0)),"?IN_FOCUS",IF(J681&lt;=2,"?ACTIVATED",IF(J681&lt;&gt;"","?FAMILIAR",IF(F681="NEW",IF(ISNA(VLOOKUP(E681,#REF!,1,FALSE())),"?TYPE_IDENTIFIABLE","?REFERENTIAL"),"_")))))</f>
        <v> </v>
      </c>
      <c r="H681" s="25" t="str">
        <f>IF(J681&lt;&gt;1,"",IF(I681="SBJ","CB","?"))</f>
        <v> </v>
      </c>
      <c r="I681" s="26" t="str">
        <f>IF(OR(E681="",E681="!!!",F681="NEW"),"",INDEX(B680:B$2,-1+SUMPRODUCT(MAX(ROW(E680:E$2)*(E681=E680:E$2)))))</f>
        <v> </v>
      </c>
      <c r="J681" s="26" t="str">
        <f>IF(OR(E681="",E681="!!!",F681="NEW"),"",COUNTBLANK(OFFSET(A$1,,,SUMPRODUCT(MAX(ROW(E$2:E681)*(E681=E$2:E681)))))-COUNTBLANK(OFFSET(A$1,,,SUMPRODUCT(MAX(ROW(E$1:E680)*(E2=E$1:E680))))))</f>
        <v> </v>
      </c>
      <c r="K681" s="26" t="str">
        <f>IF(OR(E681="",E681="!!!",F681="NEW"),"",INDEX(J$1:J680,SUMPRODUCT(MAX(ROW(E$1:E680)*(E681=E$1:E680)))))</f>
        <v> </v>
      </c>
      <c r="L681" s="27"/>
    </row>
    <row r="682" spans="1:12">
      <c r="A682" s="20" t="s">
        <v>141</v>
      </c>
      <c r="E682" s="22">
        <f>IF(D682="?OLD","!!!","")</f>
        <v/>
      </c>
      <c r="F682" s="23" t="str">
        <f>IF(OR(E682="",E682="!!!"),"",IF(NOT(ISNA(VLOOKUP(E682,E$1:E681,1,FALSE()))),"OLD",IF(AND(E682&lt;&gt;"",E682&lt;&gt;"!!!"),"NEW","")))</f>
        <v> </v>
      </c>
      <c r="G682" s="24" t="str">
        <f>IF(OR(E682="",E682="!!!"),"",IF(OR(J682=0,AND(J682=1,K682=1),AND(J682=1,I682="SBJ"),AND(J682=1,I682=0)),"?IN_FOCUS",IF(J682&lt;=2,"?ACTIVATED",IF(J682&lt;&gt;"","?FAMILIAR",IF(F682="NEW",IF(ISNA(VLOOKUP(E682,#REF!,1,FALSE())),"?TYPE_IDENTIFIABLE","?REFERENTIAL"),"_")))))</f>
        <v> </v>
      </c>
      <c r="H682" s="25" t="str">
        <f>IF(J682&lt;&gt;1,"",IF(I682="SBJ","CB","?"))</f>
        <v> </v>
      </c>
      <c r="I682" s="26" t="str">
        <f>IF(OR(E682="",E682="!!!",F682="NEW"),"",INDEX(B681:B$2,-1+SUMPRODUCT(MAX(ROW(E681:E$2)*(E682=E681:E$2)))))</f>
        <v> </v>
      </c>
      <c r="J682" s="26" t="str">
        <f>IF(OR(E682="",E682="!!!",F682="NEW"),"",COUNTBLANK(OFFSET(A$1,,,SUMPRODUCT(MAX(ROW(E$2:E682)*(E682=E$2:E682)))))-COUNTBLANK(OFFSET(A$1,,,SUMPRODUCT(MAX(ROW(E$1:E681)*(E2=E$1:E681))))))</f>
        <v> </v>
      </c>
      <c r="K682" s="26" t="str">
        <f>IF(OR(E682="",E682="!!!",F682="NEW"),"",INDEX(J$1:J681,SUMPRODUCT(MAX(ROW(E$1:E681)*(E682=E$1:E681)))))</f>
        <v> </v>
      </c>
      <c r="L682" s="27"/>
    </row>
    <row r="683" spans="1:12">
      <c r="A683" s="20" t="s">
        <v>474</v>
      </c>
      <c r="E683" s="22">
        <f>IF(D683="?OLD","!!!","")</f>
        <v/>
      </c>
      <c r="F683" s="23" t="str">
        <f>IF(OR(E683="",E683="!!!"),"",IF(NOT(ISNA(VLOOKUP(E683,E$1:E682,1,FALSE()))),"OLD",IF(AND(E683&lt;&gt;"",E683&lt;&gt;"!!!"),"NEW","")))</f>
        <v> </v>
      </c>
      <c r="G683" s="24" t="str">
        <f>IF(OR(E683="",E683="!!!"),"",IF(OR(J683=0,AND(J683=1,K683=1),AND(J683=1,I683="SBJ"),AND(J683=1,I683=0)),"?IN_FOCUS",IF(J683&lt;=2,"?ACTIVATED",IF(J683&lt;&gt;"","?FAMILIAR",IF(F683="NEW",IF(ISNA(VLOOKUP(E683,#REF!,1,FALSE())),"?TYPE_IDENTIFIABLE","?REFERENTIAL"),"_")))))</f>
        <v> </v>
      </c>
      <c r="H683" s="25" t="str">
        <f>IF(J683&lt;&gt;1,"",IF(I683="SBJ","CB","?"))</f>
        <v> </v>
      </c>
      <c r="I683" s="26" t="str">
        <f>IF(OR(E683="",E683="!!!",F683="NEW"),"",INDEX(B682:B$2,-1+SUMPRODUCT(MAX(ROW(E682:E$2)*(E683=E682:E$2)))))</f>
        <v> </v>
      </c>
      <c r="J683" s="26" t="str">
        <f>IF(OR(E683="",E683="!!!",F683="NEW"),"",COUNTBLANK(OFFSET(A$1,,,SUMPRODUCT(MAX(ROW(E$2:E683)*(E683=E$2:E683)))))-COUNTBLANK(OFFSET(A$1,,,SUMPRODUCT(MAX(ROW(E$1:E682)*(E2=E$1:E682))))))</f>
        <v> </v>
      </c>
      <c r="K683" s="26" t="str">
        <f>IF(OR(E683="",E683="!!!",F683="NEW"),"",INDEX(J$1:J682,SUMPRODUCT(MAX(ROW(E$1:E682)*(E683=E$1:E682)))))</f>
        <v> </v>
      </c>
      <c r="L683" s="27"/>
    </row>
    <row r="684" spans="1:12">
      <c r="A684" s="20" t="s">
        <v>475</v>
      </c>
      <c r="B684" s="21" t="s">
        <v>124</v>
      </c>
      <c r="C684" s="21" t="s">
        <v>130</v>
      </c>
      <c r="E684" s="22">
        <f>IF(D684="?OLD","!!!","")</f>
        <v/>
      </c>
      <c r="F684" s="23" t="str">
        <f>IF(OR(E684="",E684="!!!"),"",IF(NOT(ISNA(VLOOKUP(E684,E$1:E683,1,FALSE()))),"OLD",IF(AND(E684&lt;&gt;"",E684&lt;&gt;"!!!"),"NEW","")))</f>
        <v> </v>
      </c>
      <c r="G684" s="24" t="str">
        <f>IF(OR(E684="",E684="!!!"),"",IF(OR(J684=0,AND(J684=1,K684=1),AND(J684=1,I684="SBJ"),AND(J684=1,I684=0)),"?IN_FOCUS",IF(J684&lt;=2,"?ACTIVATED",IF(J684&lt;&gt;"","?FAMILIAR",IF(F684="NEW",IF(ISNA(VLOOKUP(E684,#REF!,1,FALSE())),"?TYPE_IDENTIFIABLE","?REFERENTIAL"),"_")))))</f>
        <v> </v>
      </c>
      <c r="H684" s="25" t="str">
        <f>IF(J684&lt;&gt;1,"",IF(I684="SBJ","CB","?"))</f>
        <v> </v>
      </c>
      <c r="I684" s="26" t="str">
        <f>IF(OR(E684="",E684="!!!",F684="NEW"),"",INDEX(B683:B$2,-1+SUMPRODUCT(MAX(ROW(E683:E$2)*(E684=E683:E$2)))))</f>
        <v> </v>
      </c>
      <c r="J684" s="26" t="str">
        <f>IF(OR(E684="",E684="!!!",F684="NEW"),"",COUNTBLANK(OFFSET(A$1,,,SUMPRODUCT(MAX(ROW(E$2:E684)*(E684=E$2:E684)))))-COUNTBLANK(OFFSET(A$1,,,SUMPRODUCT(MAX(ROW(E$1:E683)*(E2=E$1:E683))))))</f>
        <v> </v>
      </c>
      <c r="K684" s="26" t="str">
        <f>IF(OR(E684="",E684="!!!",F684="NEW"),"",INDEX(J$1:J683,SUMPRODUCT(MAX(ROW(E$1:E683)*(E684=E$1:E683)))))</f>
        <v> </v>
      </c>
      <c r="L684" s="27"/>
    </row>
    <row r="685" spans="1:12">
      <c r="A685" s="20" t="s">
        <v>476</v>
      </c>
      <c r="E685" s="22">
        <f>IF(D685="?OLD","!!!","")</f>
        <v/>
      </c>
      <c r="F685" s="23" t="str">
        <f>IF(OR(E685="",E685="!!!"),"",IF(NOT(ISNA(VLOOKUP(E685,E$1:E684,1,FALSE()))),"OLD",IF(AND(E685&lt;&gt;"",E685&lt;&gt;"!!!"),"NEW","")))</f>
        <v> </v>
      </c>
      <c r="G685" s="24" t="str">
        <f>IF(OR(E685="",E685="!!!"),"",IF(OR(J685=0,AND(J685=1,K685=1),AND(J685=1,I685="SBJ"),AND(J685=1,I685=0)),"?IN_FOCUS",IF(J685&lt;=2,"?ACTIVATED",IF(J685&lt;&gt;"","?FAMILIAR",IF(F685="NEW",IF(ISNA(VLOOKUP(E685,#REF!,1,FALSE())),"?TYPE_IDENTIFIABLE","?REFERENTIAL"),"_")))))</f>
        <v> </v>
      </c>
      <c r="H685" s="25" t="str">
        <f>IF(J685&lt;&gt;1,"",IF(I685="SBJ","CB","?"))</f>
        <v> </v>
      </c>
      <c r="I685" s="26" t="str">
        <f>IF(OR(E685="",E685="!!!",F685="NEW"),"",INDEX(B684:B$2,-1+SUMPRODUCT(MAX(ROW(E684:E$2)*(E685=E684:E$2)))))</f>
        <v> </v>
      </c>
      <c r="J685" s="26" t="str">
        <f>IF(OR(E685="",E685="!!!",F685="NEW"),"",COUNTBLANK(OFFSET(A$1,,,SUMPRODUCT(MAX(ROW(E$2:E685)*(E685=E$2:E685)))))-COUNTBLANK(OFFSET(A$1,,,SUMPRODUCT(MAX(ROW(E$1:E684)*(E2=E$1:E684))))))</f>
        <v> </v>
      </c>
      <c r="K685" s="26" t="str">
        <f>IF(OR(E685="",E685="!!!",F685="NEW"),"",INDEX(J$1:J684,SUMPRODUCT(MAX(ROW(E$1:E684)*(E685=E$1:E684)))))</f>
        <v> </v>
      </c>
      <c r="L685" s="27"/>
    </row>
    <row r="686" spans="1:12">
      <c r="A686" s="20" t="s">
        <v>116</v>
      </c>
      <c r="E686" s="22">
        <f>IF(D686="?OLD","!!!","")</f>
        <v/>
      </c>
      <c r="F686" s="23" t="str">
        <f>IF(OR(E686="",E686="!!!"),"",IF(NOT(ISNA(VLOOKUP(E686,E$1:E685,1,FALSE()))),"OLD",IF(AND(E686&lt;&gt;"",E686&lt;&gt;"!!!"),"NEW","")))</f>
        <v> </v>
      </c>
      <c r="G686" s="24" t="str">
        <f>IF(OR(E686="",E686="!!!"),"",IF(OR(J686=0,AND(J686=1,K686=1),AND(J686=1,I686="SBJ"),AND(J686=1,I686=0)),"?IN_FOCUS",IF(J686&lt;=2,"?ACTIVATED",IF(J686&lt;&gt;"","?FAMILIAR",IF(F686="NEW",IF(ISNA(VLOOKUP(E686,#REF!,1,FALSE())),"?TYPE_IDENTIFIABLE","?REFERENTIAL"),"_")))))</f>
        <v> </v>
      </c>
      <c r="H686" s="25" t="str">
        <f>IF(J686&lt;&gt;1,"",IF(I686="SBJ","CB","?"))</f>
        <v> </v>
      </c>
      <c r="I686" s="26" t="str">
        <f>IF(OR(E686="",E686="!!!",F686="NEW"),"",INDEX(B685:B$2,-1+SUMPRODUCT(MAX(ROW(E685:E$2)*(E686=E685:E$2)))))</f>
        <v> </v>
      </c>
      <c r="J686" s="26" t="str">
        <f>IF(OR(E686="",E686="!!!",F686="NEW"),"",COUNTBLANK(OFFSET(A$1,,,SUMPRODUCT(MAX(ROW(E$2:E686)*(E686=E$2:E686)))))-COUNTBLANK(OFFSET(A$1,,,SUMPRODUCT(MAX(ROW(E$1:E685)*(E2=E$1:E685))))))</f>
        <v> </v>
      </c>
      <c r="K686" s="26" t="str">
        <f>IF(OR(E686="",E686="!!!",F686="NEW"),"",INDEX(J$1:J685,SUMPRODUCT(MAX(ROW(E$1:E685)*(E686=E$1:E685)))))</f>
        <v> </v>
      </c>
      <c r="L686" s="27"/>
    </row>
    <row r="687" spans="1:12">
      <c r="A687" s="20" t="s">
        <v>477</v>
      </c>
      <c r="E687" s="22">
        <f>IF(D687="?OLD","!!!","")</f>
        <v/>
      </c>
      <c r="F687" s="23" t="str">
        <f>IF(OR(E687="",E687="!!!"),"",IF(NOT(ISNA(VLOOKUP(E687,E$1:E686,1,FALSE()))),"OLD",IF(AND(E687&lt;&gt;"",E687&lt;&gt;"!!!"),"NEW","")))</f>
        <v> </v>
      </c>
      <c r="G687" s="24" t="str">
        <f>IF(OR(E687="",E687="!!!"),"",IF(OR(J687=0,AND(J687=1,K687=1),AND(J687=1,I687="SBJ"),AND(J687=1,I687=0)),"?IN_FOCUS",IF(J687&lt;=2,"?ACTIVATED",IF(J687&lt;&gt;"","?FAMILIAR",IF(F687="NEW",IF(ISNA(VLOOKUP(E687,#REF!,1,FALSE())),"?TYPE_IDENTIFIABLE","?REFERENTIAL"),"_")))))</f>
        <v> </v>
      </c>
      <c r="H687" s="25" t="str">
        <f>IF(J687&lt;&gt;1,"",IF(I687="SBJ","CB","?"))</f>
        <v> </v>
      </c>
      <c r="I687" s="26" t="str">
        <f>IF(OR(E687="",E687="!!!",F687="NEW"),"",INDEX(B686:B$2,-1+SUMPRODUCT(MAX(ROW(E686:E$2)*(E687=E686:E$2)))))</f>
        <v> </v>
      </c>
      <c r="J687" s="26" t="str">
        <f>IF(OR(E687="",E687="!!!",F687="NEW"),"",COUNTBLANK(OFFSET(A$1,,,SUMPRODUCT(MAX(ROW(E$2:E687)*(E687=E$2:E687)))))-COUNTBLANK(OFFSET(A$1,,,SUMPRODUCT(MAX(ROW(E$1:E686)*(E2=E$1:E686))))))</f>
        <v> </v>
      </c>
      <c r="K687" s="26" t="str">
        <f>IF(OR(E687="",E687="!!!",F687="NEW"),"",INDEX(J$1:J686,SUMPRODUCT(MAX(ROW(E$1:E686)*(E687=E$1:E686)))))</f>
        <v> </v>
      </c>
      <c r="L687" s="27"/>
    </row>
    <row r="688" spans="1:12">
      <c r="A688" s="20" t="s">
        <v>478</v>
      </c>
      <c r="E688" s="22">
        <f>IF(D688="?OLD","!!!","")</f>
        <v/>
      </c>
      <c r="F688" s="23" t="str">
        <f>IF(OR(E688="",E688="!!!"),"",IF(NOT(ISNA(VLOOKUP(E688,E$1:E687,1,FALSE()))),"OLD",IF(AND(E688&lt;&gt;"",E688&lt;&gt;"!!!"),"NEW","")))</f>
        <v> </v>
      </c>
      <c r="G688" s="24" t="str">
        <f>IF(OR(E688="",E688="!!!"),"",IF(OR(J688=0,AND(J688=1,K688=1),AND(J688=1,I688="SBJ"),AND(J688=1,I688=0)),"?IN_FOCUS",IF(J688&lt;=2,"?ACTIVATED",IF(J688&lt;&gt;"","?FAMILIAR",IF(F688="NEW",IF(ISNA(VLOOKUP(E688,#REF!,1,FALSE())),"?TYPE_IDENTIFIABLE","?REFERENTIAL"),"_")))))</f>
        <v> </v>
      </c>
      <c r="H688" s="25" t="str">
        <f>IF(J688&lt;&gt;1,"",IF(I688="SBJ","CB","?"))</f>
        <v> </v>
      </c>
      <c r="I688" s="26" t="str">
        <f>IF(OR(E688="",E688="!!!",F688="NEW"),"",INDEX(B687:B$2,-1+SUMPRODUCT(MAX(ROW(E687:E$2)*(E688=E687:E$2)))))</f>
        <v> </v>
      </c>
      <c r="J688" s="26" t="str">
        <f>IF(OR(E688="",E688="!!!",F688="NEW"),"",COUNTBLANK(OFFSET(A$1,,,SUMPRODUCT(MAX(ROW(E$2:E688)*(E688=E$2:E688)))))-COUNTBLANK(OFFSET(A$1,,,SUMPRODUCT(MAX(ROW(E$1:E687)*(E2=E$1:E687))))))</f>
        <v> </v>
      </c>
      <c r="K688" s="26" t="str">
        <f>IF(OR(E688="",E688="!!!",F688="NEW"),"",INDEX(J$1:J687,SUMPRODUCT(MAX(ROW(E$1:E687)*(E688=E$1:E687)))))</f>
        <v> </v>
      </c>
      <c r="L688" s="27"/>
    </row>
    <row r="689" spans="1:12">
      <c r="A689" s="20" t="s">
        <v>135</v>
      </c>
      <c r="E689" s="22">
        <f>IF(D689="?OLD","!!!","")</f>
        <v/>
      </c>
      <c r="F689" s="23" t="str">
        <f>IF(OR(E689="",E689="!!!"),"",IF(NOT(ISNA(VLOOKUP(E689,E$1:E688,1,FALSE()))),"OLD",IF(AND(E689&lt;&gt;"",E689&lt;&gt;"!!!"),"NEW","")))</f>
        <v> </v>
      </c>
      <c r="G689" s="24" t="str">
        <f>IF(OR(E689="",E689="!!!"),"",IF(OR(J689=0,AND(J689=1,K689=1),AND(J689=1,I689="SBJ"),AND(J689=1,I689=0)),"?IN_FOCUS",IF(J689&lt;=2,"?ACTIVATED",IF(J689&lt;&gt;"","?FAMILIAR",IF(F689="NEW",IF(ISNA(VLOOKUP(E689,#REF!,1,FALSE())),"?TYPE_IDENTIFIABLE","?REFERENTIAL"),"_")))))</f>
        <v> </v>
      </c>
      <c r="H689" s="25" t="str">
        <f>IF(J689&lt;&gt;1,"",IF(I689="SBJ","CB","?"))</f>
        <v> </v>
      </c>
      <c r="I689" s="26" t="str">
        <f>IF(OR(E689="",E689="!!!",F689="NEW"),"",INDEX(B688:B$2,-1+SUMPRODUCT(MAX(ROW(E688:E$2)*(E689=E688:E$2)))))</f>
        <v> </v>
      </c>
      <c r="J689" s="26" t="str">
        <f>IF(OR(E689="",E689="!!!",F689="NEW"),"",COUNTBLANK(OFFSET(A$1,,,SUMPRODUCT(MAX(ROW(E$2:E689)*(E689=E$2:E689)))))-COUNTBLANK(OFFSET(A$1,,,SUMPRODUCT(MAX(ROW(E$1:E688)*(E2=E$1:E688))))))</f>
        <v> </v>
      </c>
      <c r="K689" s="26" t="str">
        <f>IF(OR(E689="",E689="!!!",F689="NEW"),"",INDEX(J$1:J688,SUMPRODUCT(MAX(ROW(E$1:E688)*(E689=E$1:E688)))))</f>
        <v> </v>
      </c>
      <c r="L689" s="27"/>
    </row>
    <row r="690" spans="1:12">
      <c r="A690" s="20"/>
    </row>
    <row r="691" spans="1:12">
      <c r="A691" s="20" t="s">
        <v>479</v>
      </c>
    </row>
    <row r="692" spans="1:12">
      <c r="A692" s="20" t="s">
        <v>480</v>
      </c>
      <c r="E692" s="22">
        <f>IF(D692="?OLD","!!!","")</f>
        <v/>
      </c>
      <c r="F692" s="23" t="str">
        <f>IF(OR(E692="",E692="!!!"),"",IF(NOT(ISNA(VLOOKUP(E692,E$1:E691,1,FALSE()))),"OLD",IF(AND(E692&lt;&gt;"",E692&lt;&gt;"!!!"),"NEW","")))</f>
        <v> </v>
      </c>
      <c r="G692" s="24" t="str">
        <f>IF(OR(E692="",E692="!!!"),"",IF(OR(J692=0,AND(J692=1,K692=1),AND(J692=1,I692="SBJ"),AND(J692=1,I692=0)),"?IN_FOCUS",IF(J692&lt;=2,"?ACTIVATED",IF(J692&lt;&gt;"","?FAMILIAR",IF(F692="NEW",IF(ISNA(VLOOKUP(E692,#REF!,1,FALSE())),"?TYPE_IDENTIFIABLE","?REFERENTIAL"),"_")))))</f>
        <v> </v>
      </c>
      <c r="H692" s="25" t="str">
        <f>IF(J692&lt;&gt;1,"",IF(I692="SBJ","CB","?"))</f>
        <v> </v>
      </c>
      <c r="I692" s="26" t="str">
        <f>IF(OR(E692="",E692="!!!",F692="NEW"),"",INDEX(B691:B$2,-1+SUMPRODUCT(MAX(ROW(E691:E$2)*(E692=E691:E$2)))))</f>
        <v> </v>
      </c>
      <c r="J692" s="26" t="str">
        <f>IF(OR(E692="",E692="!!!",F692="NEW"),"",COUNTBLANK(OFFSET(A$1,,,SUMPRODUCT(MAX(ROW(E$2:E692)*(E692=E$2:E692)))))-COUNTBLANK(OFFSET(A$1,,,SUMPRODUCT(MAX(ROW(E$1:E691)*(E2=E$1:E691))))))</f>
        <v> </v>
      </c>
      <c r="K692" s="26" t="str">
        <f>IF(OR(E692="",E692="!!!",F692="NEW"),"",INDEX(J$1:J691,SUMPRODUCT(MAX(ROW(E$1:E691)*(E692=E$1:E691)))))</f>
        <v> </v>
      </c>
      <c r="L692" s="27"/>
    </row>
    <row r="693" spans="1:12">
      <c r="A693" s="20" t="s">
        <v>481</v>
      </c>
      <c r="B693" s="21" t="s">
        <v>110</v>
      </c>
      <c r="C693" s="21" t="s">
        <v>158</v>
      </c>
      <c r="E693" s="22">
        <f>IF(D693="?OLD","!!!","")</f>
        <v/>
      </c>
      <c r="F693" s="23" t="str">
        <f>IF(OR(E693="",E693="!!!"),"",IF(NOT(ISNA(VLOOKUP(E693,E$1:E692,1,FALSE()))),"OLD",IF(AND(E693&lt;&gt;"",E693&lt;&gt;"!!!"),"NEW","")))</f>
        <v> </v>
      </c>
      <c r="G693" s="24" t="str">
        <f>IF(OR(E693="",E693="!!!"),"",IF(OR(J693=0,AND(J693=1,K693=1),AND(J693=1,I693="SBJ"),AND(J693=1,I693=0)),"?IN_FOCUS",IF(J693&lt;=2,"?ACTIVATED",IF(J693&lt;&gt;"","?FAMILIAR",IF(F693="NEW",IF(ISNA(VLOOKUP(E693,#REF!,1,FALSE())),"?TYPE_IDENTIFIABLE","?REFERENTIAL"),"_")))))</f>
        <v> </v>
      </c>
      <c r="H693" s="25" t="str">
        <f>IF(J693&lt;&gt;1,"",IF(I693="SBJ","CB","?"))</f>
        <v> </v>
      </c>
      <c r="I693" s="26" t="str">
        <f>IF(OR(E693="",E693="!!!",F693="NEW"),"",INDEX(B692:B$2,-1+SUMPRODUCT(MAX(ROW(E692:E$2)*(E693=E692:E$2)))))</f>
        <v> </v>
      </c>
      <c r="J693" s="26" t="str">
        <f>IF(OR(E693="",E693="!!!",F693="NEW"),"",COUNTBLANK(OFFSET(A$1,,,SUMPRODUCT(MAX(ROW(E$2:E693)*(E693=E$2:E693)))))-COUNTBLANK(OFFSET(A$1,,,SUMPRODUCT(MAX(ROW(E$1:E692)*(E2=E$1:E692))))))</f>
        <v> </v>
      </c>
      <c r="K693" s="26" t="str">
        <f>IF(OR(E693="",E693="!!!",F693="NEW"),"",INDEX(J$1:J692,SUMPRODUCT(MAX(ROW(E$1:E692)*(E693=E$1:E692)))))</f>
        <v> </v>
      </c>
      <c r="L693" s="27"/>
    </row>
    <row r="694" spans="1:12">
      <c r="A694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2025-07-15T17:23:20Z</dcterms:created>
  <dcterms:modified xsi:type="dcterms:W3CDTF">2025-07-15T17:23:20Z</dcterms:modified>
</cp:coreProperties>
</file>