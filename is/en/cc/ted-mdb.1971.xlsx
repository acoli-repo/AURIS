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<sst xmlns="http://schemas.openxmlformats.org/spreadsheetml/2006/main" count="1518" uniqueCount="472">
  <si>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</si>
  <si>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</si>
  <si>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</si>
  <si>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</si>
  <si>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</si>
  <si>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</si>
  <si>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</si>
  <si>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</si>
  <si>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</si>
  <si>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</si>
  <si>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</si>
  <si>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</si>
  <si>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talkid: 1971</t>
  </si>
  <si>
    <t xml:space="preserve">talkid</t>
  </si>
  <si>
    <t xml:space="preserve">other</t>
  </si>
  <si>
    <t xml:space="preserve">indef-np.quant</t>
  </si>
  <si>
    <t xml:space="preserve">:</t>
  </si>
  <si>
    <t xml:space="preserve"># text = David Sengeh: The sore problem of prosthetic limbs</t>
  </si>
  <si>
    <t xml:space="preserve">David</t>
  </si>
  <si>
    <t xml:space="preserve">ne</t>
  </si>
  <si>
    <t xml:space="preserve">?OLD</t>
  </si>
  <si>
    <t xml:space="preserve">Sengeh</t>
  </si>
  <si>
    <t xml:space="preserve">The</t>
  </si>
  <si>
    <t xml:space="preserve">sore</t>
  </si>
  <si>
    <t xml:space="preserve">problem</t>
  </si>
  <si>
    <t xml:space="preserve">def-np.the</t>
  </si>
  <si>
    <t xml:space="preserve">of</t>
  </si>
  <si>
    <t xml:space="preserve">prosthetic</t>
  </si>
  <si>
    <t xml:space="preserve">limbs</t>
  </si>
  <si>
    <t xml:space="preserve">other_2</t>
  </si>
  <si>
    <t xml:space="preserve">indef-np.bare</t>
  </si>
  <si>
    <t xml:space="preserve"># text = I was born and raised in Sierra Leone, a small and very beautiful country in West Africa, a country rich both in physical resources and creative talent.</t>
  </si>
  <si>
    <t xml:space="preserve">I</t>
  </si>
  <si>
    <t xml:space="preserve">SBJ</t>
  </si>
  <si>
    <t xml:space="preserve">pron.pper</t>
  </si>
  <si>
    <t xml:space="preserve">author</t>
  </si>
  <si>
    <t xml:space="preserve">SIT</t>
  </si>
  <si>
    <t xml:space="preserve">REFERENTIAL</t>
  </si>
  <si>
    <t xml:space="preserve">was</t>
  </si>
  <si>
    <t xml:space="preserve">born</t>
  </si>
  <si>
    <t xml:space="preserve">and</t>
  </si>
  <si>
    <t xml:space="preserve">raised</t>
  </si>
  <si>
    <t xml:space="preserve">in</t>
  </si>
  <si>
    <t xml:space="preserve">Sierra</t>
  </si>
  <si>
    <t xml:space="preserve">sierra_leone</t>
  </si>
  <si>
    <t xml:space="preserve">Leone</t>
  </si>
  <si>
    <t xml:space="preserve">,</t>
  </si>
  <si>
    <t xml:space="preserve">a</t>
  </si>
  <si>
    <t xml:space="preserve">small</t>
  </si>
  <si>
    <t xml:space="preserve">very</t>
  </si>
  <si>
    <t xml:space="preserve">beautiful</t>
  </si>
  <si>
    <t xml:space="preserve">country</t>
  </si>
  <si>
    <t xml:space="preserve">indef-np.a</t>
  </si>
  <si>
    <t xml:space="preserve">West</t>
  </si>
  <si>
    <t xml:space="preserve">Africa</t>
  </si>
  <si>
    <t xml:space="preserve">other_3</t>
  </si>
  <si>
    <t xml:space="preserve">west_africa</t>
  </si>
  <si>
    <t xml:space="preserve">PRED</t>
  </si>
  <si>
    <t xml:space="preserve">IN_FOCUS</t>
  </si>
  <si>
    <t xml:space="preserve">rich</t>
  </si>
  <si>
    <t xml:space="preserve">both</t>
  </si>
  <si>
    <t xml:space="preserve">physical</t>
  </si>
  <si>
    <t xml:space="preserve">resources</t>
  </si>
  <si>
    <t xml:space="preserve">other_4</t>
  </si>
  <si>
    <t xml:space="preserve">def-np.quant</t>
  </si>
  <si>
    <t xml:space="preserve">physical_resources</t>
  </si>
  <si>
    <t xml:space="preserve">creative</t>
  </si>
  <si>
    <t xml:space="preserve">talent</t>
  </si>
  <si>
    <t xml:space="preserve">other_5</t>
  </si>
  <si>
    <t xml:space="preserve">.</t>
  </si>
  <si>
    <t xml:space="preserve"># text = However, Sierra Leone is infamous for a decade-long rebel war in the '90s when entire villages were burnt down.</t>
  </si>
  <si>
    <t xml:space="preserve">However</t>
  </si>
  <si>
    <t xml:space="preserve">ACTIVATED</t>
  </si>
  <si>
    <t xml:space="preserve">is</t>
  </si>
  <si>
    <t xml:space="preserve">infamous</t>
  </si>
  <si>
    <t xml:space="preserve">for</t>
  </si>
  <si>
    <t xml:space="preserve">decade</t>
  </si>
  <si>
    <t xml:space="preserve">_</t>
  </si>
  <si>
    <t xml:space="preserve">long</t>
  </si>
  <si>
    <t xml:space="preserve">rebel</t>
  </si>
  <si>
    <t xml:space="preserve">war</t>
  </si>
  <si>
    <t xml:space="preserve">the</t>
  </si>
  <si>
    <t xml:space="preserve">'</t>
  </si>
  <si>
    <t xml:space="preserve">90s</t>
  </si>
  <si>
    <t xml:space="preserve">1990s</t>
  </si>
  <si>
    <t xml:space="preserve">FAMILIAR</t>
  </si>
  <si>
    <t xml:space="preserve">when</t>
  </si>
  <si>
    <t xml:space="preserve">entire</t>
  </si>
  <si>
    <t xml:space="preserve">villages</t>
  </si>
  <si>
    <t xml:space="preserve">SBJ_2</t>
  </si>
  <si>
    <t xml:space="preserve">were</t>
  </si>
  <si>
    <t xml:space="preserve">bur</t>
  </si>
  <si>
    <t xml:space="preserve">nt</t>
  </si>
  <si>
    <t xml:space="preserve">down</t>
  </si>
  <si>
    <t xml:space="preserve"># text = An estimated 8,000 men, women and children had their arms and legs amputated during this time.</t>
  </si>
  <si>
    <t xml:space="preserve">An</t>
  </si>
  <si>
    <t xml:space="preserve">estimated</t>
  </si>
  <si>
    <t xml:space="preserve">men</t>
  </si>
  <si>
    <t xml:space="preserve">8000_people</t>
  </si>
  <si>
    <t xml:space="preserve">women</t>
  </si>
  <si>
    <t xml:space="preserve">children</t>
  </si>
  <si>
    <t xml:space="preserve">had</t>
  </si>
  <si>
    <t xml:space="preserve">their</t>
  </si>
  <si>
    <t xml:space="preserve">pron.ppos</t>
  </si>
  <si>
    <t xml:space="preserve">arms</t>
  </si>
  <si>
    <t xml:space="preserve">OBJ</t>
  </si>
  <si>
    <t xml:space="preserve">def-np.poss</t>
  </si>
  <si>
    <t xml:space="preserve">8000_limbs</t>
  </si>
  <si>
    <t xml:space="preserve">legs</t>
  </si>
  <si>
    <t xml:space="preserve">amputated</t>
  </si>
  <si>
    <t xml:space="preserve">amputations</t>
  </si>
  <si>
    <t xml:space="preserve">during</t>
  </si>
  <si>
    <t xml:space="preserve">this</t>
  </si>
  <si>
    <t xml:space="preserve">time</t>
  </si>
  <si>
    <t xml:space="preserve">def-np.dem</t>
  </si>
  <si>
    <t xml:space="preserve"># text = As my family and I ran for safety when I was about 12 from one of those attacks, I resolved that I would do everything I could to ensure that my own children would not go through the same experiences we had.</t>
  </si>
  <si>
    <t xml:space="preserve">As</t>
  </si>
  <si>
    <t xml:space="preserve">my</t>
  </si>
  <si>
    <t xml:space="preserve">family</t>
  </si>
  <si>
    <t xml:space="preserve">authors_family</t>
  </si>
  <si>
    <t xml:space="preserve">ran</t>
  </si>
  <si>
    <t xml:space="preserve">safety</t>
  </si>
  <si>
    <t xml:space="preserve">about</t>
  </si>
  <si>
    <t xml:space="preserve">from</t>
  </si>
  <si>
    <t xml:space="preserve">one</t>
  </si>
  <si>
    <t xml:space="preserve">one_attack</t>
  </si>
  <si>
    <t xml:space="preserve">NEW</t>
  </si>
  <si>
    <t xml:space="preserve">those</t>
  </si>
  <si>
    <t xml:space="preserve">attacks</t>
  </si>
  <si>
    <t xml:space="preserve">GEN</t>
  </si>
  <si>
    <t xml:space="preserve">resolved</t>
  </si>
  <si>
    <t xml:space="preserve">that</t>
  </si>
  <si>
    <t xml:space="preserve">SBJ_3</t>
  </si>
  <si>
    <t xml:space="preserve">would</t>
  </si>
  <si>
    <t xml:space="preserve">do</t>
  </si>
  <si>
    <t xml:space="preserve">everything</t>
  </si>
  <si>
    <t xml:space="preserve">OBJ_3</t>
  </si>
  <si>
    <t xml:space="preserve">pron</t>
  </si>
  <si>
    <t xml:space="preserve">SBJ_5</t>
  </si>
  <si>
    <t xml:space="preserve">could</t>
  </si>
  <si>
    <t xml:space="preserve">to</t>
  </si>
  <si>
    <t xml:space="preserve">ensure</t>
  </si>
  <si>
    <t xml:space="preserve">other_7</t>
  </si>
  <si>
    <t xml:space="preserve">own</t>
  </si>
  <si>
    <t xml:space="preserve">SBJ_6</t>
  </si>
  <si>
    <t xml:space="preserve">authors_children</t>
  </si>
  <si>
    <t xml:space="preserve">not</t>
  </si>
  <si>
    <t xml:space="preserve">go</t>
  </si>
  <si>
    <t xml:space="preserve">through</t>
  </si>
  <si>
    <t xml:space="preserve">same</t>
  </si>
  <si>
    <t xml:space="preserve">experiences</t>
  </si>
  <si>
    <t xml:space="preserve">other_6</t>
  </si>
  <si>
    <t xml:space="preserve">we</t>
  </si>
  <si>
    <t xml:space="preserve">SBJ_8</t>
  </si>
  <si>
    <t xml:space="preserve"># text = They would, in fact, be part of a Sierra Leone where war and amputation were no longer a strategy for gaining power.</t>
  </si>
  <si>
    <t xml:space="preserve">They</t>
  </si>
  <si>
    <t xml:space="preserve">fact</t>
  </si>
  <si>
    <t xml:space="preserve">be</t>
  </si>
  <si>
    <t xml:space="preserve">part</t>
  </si>
  <si>
    <t xml:space="preserve">IDIOM</t>
  </si>
  <si>
    <t xml:space="preserve">where</t>
  </si>
  <si>
    <t xml:space="preserve">amputation</t>
  </si>
  <si>
    <t xml:space="preserve">not coreferntial with amputations because this refers to future amputations, not past amputations</t>
  </si>
  <si>
    <t xml:space="preserve">no</t>
  </si>
  <si>
    <t xml:space="preserve">longer</t>
  </si>
  <si>
    <t xml:space="preserve">strategy</t>
  </si>
  <si>
    <t xml:space="preserve">gaining</t>
  </si>
  <si>
    <t xml:space="preserve">power</t>
  </si>
  <si>
    <t xml:space="preserve"># text = As I watched people who I knew, loved ones, recover from this devastation, one thing that deeply troubled me was that many of the amputees in the country would not use their prostheses.</t>
  </si>
  <si>
    <t xml:space="preserve">SBJ_4</t>
  </si>
  <si>
    <t xml:space="preserve">watched</t>
  </si>
  <si>
    <t xml:space="preserve">people</t>
  </si>
  <si>
    <t xml:space="preserve">OBJ_4</t>
  </si>
  <si>
    <t xml:space="preserve">who</t>
  </si>
  <si>
    <t xml:space="preserve">knew</t>
  </si>
  <si>
    <t xml:space="preserve">loved</t>
  </si>
  <si>
    <t xml:space="preserve">ones</t>
  </si>
  <si>
    <t xml:space="preserve">OBJ_6</t>
  </si>
  <si>
    <t xml:space="preserve">recover</t>
  </si>
  <si>
    <t xml:space="preserve">devastation</t>
  </si>
  <si>
    <t xml:space="preserve">metaphorical reference</t>
  </si>
  <si>
    <t xml:space="preserve">thing</t>
  </si>
  <si>
    <t xml:space="preserve">deeply</t>
  </si>
  <si>
    <t xml:space="preserve">troubled</t>
  </si>
  <si>
    <t xml:space="preserve">me</t>
  </si>
  <si>
    <t xml:space="preserve">OBJ_5</t>
  </si>
  <si>
    <t xml:space="preserve">many</t>
  </si>
  <si>
    <t xml:space="preserve">amputees</t>
  </si>
  <si>
    <t xml:space="preserve">use</t>
  </si>
  <si>
    <t xml:space="preserve">not_use_leg</t>
  </si>
  <si>
    <t xml:space="preserve">this is repeated later on, according to guidelines, it is not to be annotated</t>
  </si>
  <si>
    <t xml:space="preserve">prostheses</t>
  </si>
  <si>
    <t xml:space="preserve">OBJ_2</t>
  </si>
  <si>
    <t xml:space="preserve"># text = The reason, I would come to find out, was that their prosthetic sockets were painful because they did not fit well.</t>
  </si>
  <si>
    <t xml:space="preserve">reason</t>
  </si>
  <si>
    <t xml:space="preserve">CAT</t>
  </si>
  <si>
    <t xml:space="preserve">come</t>
  </si>
  <si>
    <t xml:space="preserve">find</t>
  </si>
  <si>
    <t xml:space="preserve">out</t>
  </si>
  <si>
    <t xml:space="preserve">sockets</t>
  </si>
  <si>
    <t xml:space="preserve">painful</t>
  </si>
  <si>
    <t xml:space="preserve">because</t>
  </si>
  <si>
    <t xml:space="preserve">they</t>
  </si>
  <si>
    <t xml:space="preserve">did</t>
  </si>
  <si>
    <t xml:space="preserve">fit</t>
  </si>
  <si>
    <t xml:space="preserve">well</t>
  </si>
  <si>
    <t xml:space="preserve"># text = The prosthetic socket is the part in which the amputee inserts their residual limb, and which connects to the prosthetic ankle.</t>
  </si>
  <si>
    <t xml:space="preserve">socket</t>
  </si>
  <si>
    <t xml:space="preserve">substitutable with plural</t>
  </si>
  <si>
    <t xml:space="preserve">which</t>
  </si>
  <si>
    <t xml:space="preserve">amputee</t>
  </si>
  <si>
    <t xml:space="preserve">inserts</t>
  </si>
  <si>
    <t xml:space="preserve">residual</t>
  </si>
  <si>
    <t xml:space="preserve">limb</t>
  </si>
  <si>
    <t xml:space="preserve">residual_limb</t>
  </si>
  <si>
    <t xml:space="preserve">pron.pint</t>
  </si>
  <si>
    <t xml:space="preserve">connects</t>
  </si>
  <si>
    <t xml:space="preserve">ankle</t>
  </si>
  <si>
    <t xml:space="preserve">prosthetic_ankle</t>
  </si>
  <si>
    <t xml:space="preserve"># text = Even in the developed world, it takes a period of three weeks to often years for a patient to get a comfortable socket, if ever.</t>
  </si>
  <si>
    <t xml:space="preserve">Even</t>
  </si>
  <si>
    <t xml:space="preserve">developed</t>
  </si>
  <si>
    <t xml:space="preserve">world</t>
  </si>
  <si>
    <t xml:space="preserve">developed_world</t>
  </si>
  <si>
    <t xml:space="preserve">it</t>
  </si>
  <si>
    <t xml:space="preserve">takes</t>
  </si>
  <si>
    <t xml:space="preserve">period</t>
  </si>
  <si>
    <t xml:space="preserve">three</t>
  </si>
  <si>
    <t xml:space="preserve">weeks</t>
  </si>
  <si>
    <t xml:space="preserve">often</t>
  </si>
  <si>
    <t xml:space="preserve">years</t>
  </si>
  <si>
    <t xml:space="preserve">patient</t>
  </si>
  <si>
    <t xml:space="preserve">substitutable with plural, generic reference</t>
  </si>
  <si>
    <t xml:space="preserve">get</t>
  </si>
  <si>
    <t xml:space="preserve">comfortable</t>
  </si>
  <si>
    <t xml:space="preserve">if</t>
  </si>
  <si>
    <t xml:space="preserve">ever</t>
  </si>
  <si>
    <t xml:space="preserve"># text = Prosthetists still use conventional processes like molding and casting to create single-material prosthetic sockets.</t>
  </si>
  <si>
    <t xml:space="preserve">Prosthetists</t>
  </si>
  <si>
    <t xml:space="preserve">prosthetists</t>
  </si>
  <si>
    <t xml:space="preserve">still</t>
  </si>
  <si>
    <t xml:space="preserve">conventional</t>
  </si>
  <si>
    <t xml:space="preserve">processes</t>
  </si>
  <si>
    <t xml:space="preserve">like</t>
  </si>
  <si>
    <t xml:space="preserve">molding</t>
  </si>
  <si>
    <t xml:space="preserve">casting</t>
  </si>
  <si>
    <t xml:space="preserve">create</t>
  </si>
  <si>
    <t xml:space="preserve">single</t>
  </si>
  <si>
    <t xml:space="preserve">material</t>
  </si>
  <si>
    <t xml:space="preserve"># text = Such sockets often leave intolerable amounts of pressure on the limbs of the patient, leaving them with pressure sores and blisters.</t>
  </si>
  <si>
    <t xml:space="preserve">Such</t>
  </si>
  <si>
    <t xml:space="preserve">pron.pds</t>
  </si>
  <si>
    <t xml:space="preserve">leave</t>
  </si>
  <si>
    <t xml:space="preserve">intolerable</t>
  </si>
  <si>
    <t xml:space="preserve">amounts</t>
  </si>
  <si>
    <t xml:space="preserve">pressure</t>
  </si>
  <si>
    <t xml:space="preserve">on</t>
  </si>
  <si>
    <t xml:space="preserve">leaving</t>
  </si>
  <si>
    <t xml:space="preserve">them</t>
  </si>
  <si>
    <t xml:space="preserve">with</t>
  </si>
  <si>
    <t xml:space="preserve">sores</t>
  </si>
  <si>
    <t xml:space="preserve">blisters</t>
  </si>
  <si>
    <t xml:space="preserve"># text = It does not matter how powerful your prosthetic ankle is.</t>
  </si>
  <si>
    <t xml:space="preserve">It</t>
  </si>
  <si>
    <t xml:space="preserve">does</t>
  </si>
  <si>
    <t xml:space="preserve">matter</t>
  </si>
  <si>
    <t xml:space="preserve">how</t>
  </si>
  <si>
    <t xml:space="preserve">powerful</t>
  </si>
  <si>
    <t xml:space="preserve">your</t>
  </si>
  <si>
    <t xml:space="preserve"># text = If your prosthetic socket is uncomfortable, you will not use your leg, and that is just simply unacceptable in our age.</t>
  </si>
  <si>
    <t xml:space="preserve">If</t>
  </si>
  <si>
    <t xml:space="preserve">uncomfortable</t>
  </si>
  <si>
    <t xml:space="preserve">you</t>
  </si>
  <si>
    <t xml:space="preserve">will</t>
  </si>
  <si>
    <t xml:space="preserve">leg</t>
  </si>
  <si>
    <t xml:space="preserve">what this means is the prosthesis, not the entire leg</t>
  </si>
  <si>
    <t xml:space="preserve">just</t>
  </si>
  <si>
    <t xml:space="preserve">simply</t>
  </si>
  <si>
    <t xml:space="preserve">unacceptable</t>
  </si>
  <si>
    <t xml:space="preserve">our</t>
  </si>
  <si>
    <t xml:space="preserve">we&gt;hearer,author</t>
  </si>
  <si>
    <t xml:space="preserve">age</t>
  </si>
  <si>
    <t xml:space="preserve">our_age</t>
  </si>
  <si>
    <t xml:space="preserve">--</t>
  </si>
  <si>
    <t xml:space="preserve"># text = So one day, when I met professor Hugh Herr about two and a half years ago, and he asked me if I knew how to solve this problem, I said, "No, not yet, but I would love to figure it out."</t>
  </si>
  <si>
    <t xml:space="preserve">So</t>
  </si>
  <si>
    <t xml:space="preserve">day</t>
  </si>
  <si>
    <t xml:space="preserve">met</t>
  </si>
  <si>
    <t xml:space="preserve">professor</t>
  </si>
  <si>
    <t xml:space="preserve">hugh_herr</t>
  </si>
  <si>
    <t xml:space="preserve">Hugh</t>
  </si>
  <si>
    <t xml:space="preserve">Herr</t>
  </si>
  <si>
    <t xml:space="preserve">two</t>
  </si>
  <si>
    <t xml:space="preserve">half</t>
  </si>
  <si>
    <t xml:space="preserve">ago</t>
  </si>
  <si>
    <t xml:space="preserve">he</t>
  </si>
  <si>
    <t xml:space="preserve">asked</t>
  </si>
  <si>
    <t xml:space="preserve">solve</t>
  </si>
  <si>
    <t xml:space="preserve">said</t>
  </si>
  <si>
    <t xml:space="preserve">&amp;quot;</t>
  </si>
  <si>
    <t xml:space="preserve">No</t>
  </si>
  <si>
    <t xml:space="preserve">yet</t>
  </si>
  <si>
    <t xml:space="preserve">but</t>
  </si>
  <si>
    <t xml:space="preserve">love</t>
  </si>
  <si>
    <t xml:space="preserve">figure</t>
  </si>
  <si>
    <t xml:space="preserve"># text = And so, for my Ph.D. at the MIT Media Lab, I designed custom prosthetic sockets quickly and cheaply that are more comfortable than conventional prostheses.</t>
  </si>
  <si>
    <t xml:space="preserve">And</t>
  </si>
  <si>
    <t xml:space="preserve">so</t>
  </si>
  <si>
    <t xml:space="preserve">Ph.D.</t>
  </si>
  <si>
    <t xml:space="preserve">authors_thesis</t>
  </si>
  <si>
    <t xml:space="preserve">UNIQUE</t>
  </si>
  <si>
    <t xml:space="preserve">at</t>
  </si>
  <si>
    <t xml:space="preserve">MIT</t>
  </si>
  <si>
    <t xml:space="preserve">Media</t>
  </si>
  <si>
    <t xml:space="preserve">Lab</t>
  </si>
  <si>
    <t xml:space="preserve">MIT_Media_Lab</t>
  </si>
  <si>
    <t xml:space="preserve">designed</t>
  </si>
  <si>
    <t xml:space="preserve">custom</t>
  </si>
  <si>
    <t xml:space="preserve">authors_sockets</t>
  </si>
  <si>
    <t xml:space="preserve">these prosthetics are not substitutable with the generics we spoke about so far</t>
  </si>
  <si>
    <t xml:space="preserve">quickly</t>
  </si>
  <si>
    <t xml:space="preserve">cheaply</t>
  </si>
  <si>
    <t xml:space="preserve">pron.prel</t>
  </si>
  <si>
    <t xml:space="preserve">BOUND</t>
  </si>
  <si>
    <t xml:space="preserve">relative pronoun</t>
  </si>
  <si>
    <t xml:space="preserve">are</t>
  </si>
  <si>
    <t xml:space="preserve">more</t>
  </si>
  <si>
    <t xml:space="preserve">than</t>
  </si>
  <si>
    <t xml:space="preserve">we now understand that the prostheses we’ve been talking aboiut were the conventional kind</t>
  </si>
  <si>
    <t xml:space="preserve"># text = I used magnetic resonance imaging to capture the actual shape of the patient's anatomy, then use finite element modeling to better predict the internal stresses and strains on the normal forces, and then create a prosthetic socket for manufacture.</t>
  </si>
  <si>
    <t xml:space="preserve">used</t>
  </si>
  <si>
    <t xml:space="preserve">magnetic</t>
  </si>
  <si>
    <t xml:space="preserve">resonance</t>
  </si>
  <si>
    <t xml:space="preserve">imaging</t>
  </si>
  <si>
    <t xml:space="preserve">capture</t>
  </si>
  <si>
    <t xml:space="preserve">actual</t>
  </si>
  <si>
    <t xml:space="preserve">shape</t>
  </si>
  <si>
    <t xml:space="preserve">shape_of_anatomy</t>
  </si>
  <si>
    <t xml:space="preserve">this is not a specific shape of a specific patient</t>
  </si>
  <si>
    <t xml:space="preserve">still generic</t>
  </si>
  <si>
    <t xml:space="preserve">'s</t>
  </si>
  <si>
    <t xml:space="preserve">anatomy</t>
  </si>
  <si>
    <t xml:space="preserve">substitutable, anatomy refers to a feature of the actual limb</t>
  </si>
  <si>
    <t xml:space="preserve">then</t>
  </si>
  <si>
    <t xml:space="preserve">finite</t>
  </si>
  <si>
    <t xml:space="preserve">element</t>
  </si>
  <si>
    <t xml:space="preserve">modeling</t>
  </si>
  <si>
    <t xml:space="preserve">better</t>
  </si>
  <si>
    <t xml:space="preserve">predict</t>
  </si>
  <si>
    <t xml:space="preserve">internal</t>
  </si>
  <si>
    <t xml:space="preserve">stresses</t>
  </si>
  <si>
    <t xml:space="preserve">stresses_and_strains</t>
  </si>
  <si>
    <t xml:space="preserve">strains</t>
  </si>
  <si>
    <t xml:space="preserve">normal</t>
  </si>
  <si>
    <t xml:space="preserve">forces</t>
  </si>
  <si>
    <t xml:space="preserve">normal_forces</t>
  </si>
  <si>
    <t xml:space="preserve">TYPE</t>
  </si>
  <si>
    <t xml:space="preserve">manufacture</t>
  </si>
  <si>
    <t xml:space="preserve"># text = We use a 3D printer to create a multi-material prosthetic socket which relieves pressure where needed on the anatomy of the patient.</t>
  </si>
  <si>
    <t xml:space="preserve">We</t>
  </si>
  <si>
    <t xml:space="preserve">authors_group</t>
  </si>
  <si>
    <t xml:space="preserve">3D</t>
  </si>
  <si>
    <t xml:space="preserve">printer</t>
  </si>
  <si>
    <t xml:space="preserve">multi-material</t>
  </si>
  <si>
    <t xml:space="preserve">relieves</t>
  </si>
  <si>
    <t xml:space="preserve">needed</t>
  </si>
  <si>
    <t xml:space="preserve">as before, we consider this interchangeable with limb</t>
  </si>
  <si>
    <t xml:space="preserve"># text = In short, we're using data to make novel sockets quickly and cheaply.</t>
  </si>
  <si>
    <t xml:space="preserve">In</t>
  </si>
  <si>
    <t xml:space="preserve">short</t>
  </si>
  <si>
    <t xml:space="preserve">'re</t>
  </si>
  <si>
    <t xml:space="preserve">using</t>
  </si>
  <si>
    <t xml:space="preserve">data</t>
  </si>
  <si>
    <t xml:space="preserve">make</t>
  </si>
  <si>
    <t xml:space="preserve">novel</t>
  </si>
  <si>
    <t xml:space="preserve"># text = In a recent trial we just wrapped up at the Media Lab, one of our patients, a U.S. veteran who has been an amputee for about 20 years and worn dozens of legs, said of one of our printed parts, "It's so soft, it's like walking on pillows, and it's effing sexy."</t>
  </si>
  <si>
    <t xml:space="preserve">recent</t>
  </si>
  <si>
    <t xml:space="preserve">trial</t>
  </si>
  <si>
    <t xml:space="preserve">wrapped</t>
  </si>
  <si>
    <t xml:space="preserve">up</t>
  </si>
  <si>
    <t xml:space="preserve">patient1</t>
  </si>
  <si>
    <t xml:space="preserve">parser error, must be num</t>
  </si>
  <si>
    <t xml:space="preserve">patients</t>
  </si>
  <si>
    <t xml:space="preserve">authors_patients</t>
  </si>
  <si>
    <t xml:space="preserve">these are different from the generic amputees before</t>
  </si>
  <si>
    <t xml:space="preserve">U.S.</t>
  </si>
  <si>
    <t xml:space="preserve">US</t>
  </si>
  <si>
    <t xml:space="preserve">extraction error</t>
  </si>
  <si>
    <t xml:space="preserve">veteran</t>
  </si>
  <si>
    <t xml:space="preserve">has</t>
  </si>
  <si>
    <t xml:space="preserve">been</t>
  </si>
  <si>
    <t xml:space="preserve">an</t>
  </si>
  <si>
    <t xml:space="preserve">worn</t>
  </si>
  <si>
    <t xml:space="preserve">dozens</t>
  </si>
  <si>
    <t xml:space="preserve">patient1_prosthetic1</t>
  </si>
  <si>
    <t xml:space="preserve">printed</t>
  </si>
  <si>
    <t xml:space="preserve">parts</t>
  </si>
  <si>
    <t xml:space="preserve">authors_prosthetics</t>
  </si>
  <si>
    <t xml:space="preserve">soft</t>
  </si>
  <si>
    <t xml:space="preserve">EXPL</t>
  </si>
  <si>
    <t xml:space="preserve">walking</t>
  </si>
  <si>
    <t xml:space="preserve">pillows</t>
  </si>
  <si>
    <t xml:space="preserve">effing</t>
  </si>
  <si>
    <t xml:space="preserve">sexy</t>
  </si>
  <si>
    <t xml:space="preserve"># text = (Laughter)</t>
  </si>
  <si>
    <t xml:space="preserve">(</t>
  </si>
  <si>
    <t xml:space="preserve">Laughter</t>
  </si>
  <si>
    <t xml:space="preserve">not part of text</t>
  </si>
  <si>
    <t xml:space="preserve">)</t>
  </si>
  <si>
    <t xml:space="preserve"># text = Disability in our age should not prevent anyone from living meaningful lives.</t>
  </si>
  <si>
    <t xml:space="preserve">Disability</t>
  </si>
  <si>
    <t xml:space="preserve">OLD</t>
  </si>
  <si>
    <t xml:space="preserve">should</t>
  </si>
  <si>
    <t xml:space="preserve">prevent</t>
  </si>
  <si>
    <t xml:space="preserve">anyone</t>
  </si>
  <si>
    <t xml:space="preserve">pron.pind</t>
  </si>
  <si>
    <t xml:space="preserve">living</t>
  </si>
  <si>
    <t xml:space="preserve">meaningful</t>
  </si>
  <si>
    <t xml:space="preserve">lives</t>
  </si>
  <si>
    <t xml:space="preserve"># text = My hope and desire is that the tools and processes we develop in our research group can be used to bring highly functional prostheses to those who need them.</t>
  </si>
  <si>
    <t xml:space="preserve">My</t>
  </si>
  <si>
    <t xml:space="preserve">hope</t>
  </si>
  <si>
    <t xml:space="preserve">desire</t>
  </si>
  <si>
    <t xml:space="preserve">tools</t>
  </si>
  <si>
    <t xml:space="preserve">authors_tools</t>
  </si>
  <si>
    <t xml:space="preserve">authors_processes</t>
  </si>
  <si>
    <t xml:space="preserve">develop</t>
  </si>
  <si>
    <t xml:space="preserve">research</t>
  </si>
  <si>
    <t xml:space="preserve">group</t>
  </si>
  <si>
    <t xml:space="preserve">authors_group_institution</t>
  </si>
  <si>
    <t xml:space="preserve">differentiated from the individuals working there</t>
  </si>
  <si>
    <t xml:space="preserve">can</t>
  </si>
  <si>
    <t xml:space="preserve">bring</t>
  </si>
  <si>
    <t xml:space="preserve">highly</t>
  </si>
  <si>
    <t xml:space="preserve">functional</t>
  </si>
  <si>
    <t xml:space="preserve">novel_prostheses</t>
  </si>
  <si>
    <t xml:space="preserve">need</t>
  </si>
  <si>
    <t xml:space="preserve"># text = For me, a place to begin healing the souls of those affected by war and disease is by creating comfortable and affordable interfaces for their bodies.</t>
  </si>
  <si>
    <t xml:space="preserve">For</t>
  </si>
  <si>
    <t xml:space="preserve">place</t>
  </si>
  <si>
    <t xml:space="preserve">begin</t>
  </si>
  <si>
    <t xml:space="preserve">healing</t>
  </si>
  <si>
    <t xml:space="preserve">souls</t>
  </si>
  <si>
    <t xml:space="preserve">extraction error: gap</t>
  </si>
  <si>
    <t xml:space="preserve">affected</t>
  </si>
  <si>
    <t xml:space="preserve">by</t>
  </si>
  <si>
    <t xml:space="preserve">disease</t>
  </si>
  <si>
    <t xml:space="preserve">creating</t>
  </si>
  <si>
    <t xml:space="preserve">creating_comfortable_and_affordable_interfaces</t>
  </si>
  <si>
    <t xml:space="preserve">affordable</t>
  </si>
  <si>
    <t xml:space="preserve">interfaces</t>
  </si>
  <si>
    <t xml:space="preserve">bodies</t>
  </si>
  <si>
    <t xml:space="preserve">amputees_bodies</t>
  </si>
  <si>
    <t xml:space="preserve"># text = Whether it's in Sierra Leone or in Boston, I hope this not only restores but indeed transforms their sense of human potential.</t>
  </si>
  <si>
    <t xml:space="preserve">Whether</t>
  </si>
  <si>
    <t xml:space="preserve">or</t>
  </si>
  <si>
    <t xml:space="preserve">Boston</t>
  </si>
  <si>
    <t xml:space="preserve">boston</t>
  </si>
  <si>
    <t xml:space="preserve">this would be a better CB, but then, first person pronouns must be removedd from CF ranking</t>
  </si>
  <si>
    <t xml:space="preserve">only</t>
  </si>
  <si>
    <t xml:space="preserve">restores</t>
  </si>
  <si>
    <t xml:space="preserve">indeed</t>
  </si>
  <si>
    <t xml:space="preserve">transforms</t>
  </si>
  <si>
    <t xml:space="preserve">this is generic, again</t>
  </si>
  <si>
    <t xml:space="preserve">sense</t>
  </si>
  <si>
    <t xml:space="preserve">amputees_sense_of_potential</t>
  </si>
  <si>
    <t xml:space="preserve">human</t>
  </si>
  <si>
    <t xml:space="preserve">potential</t>
  </si>
  <si>
    <t xml:space="preserve"># text = Thank you very much.</t>
  </si>
  <si>
    <t xml:space="preserve">Thank</t>
  </si>
  <si>
    <t xml:space="preserve">hearer</t>
  </si>
  <si>
    <t xml:space="preserve">much</t>
  </si>
</sst>
</file>

<file path=xl/styles.xml><?xml version="1.0" encoding="utf-8"?>
<styleSheet xmlns="http://schemas.openxmlformats.org/spreadsheetml/2006/main">
  <numFmts count="2">
    <numFmt numFmtId="164" formatCode="General"/>
    <numFmt numFmtId="165"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0" fillId="2" borderId="4" xfId="0" applyFont="false" applyBorder="true" applyAlignment="false" applyProtection="false">
      <alignment horizontal="general" vertical="bottom" textRotation="0" wrapText="false" indent="0" shrinkToFit="false"/>
      <protection locked="true" hidden="false"/>
    </xf>
    <xf numFmtId="165" fontId="0" fillId="3" borderId="0" xfId="0" applyFont="false" applyBorder="false" applyAlignment="true" applyProtection="false">
      <alignment horizontal="center"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center" vertical="bottom" textRotation="0" wrapText="false" indent="0" shrinkToFit="false"/>
      <protection locked="true" hidden="false"/>
    </xf>
    <xf numFmtId="165" fontId="0" fillId="6" borderId="4" xfId="0" applyFont="false" applyBorder="true" applyAlignment="true" applyProtection="false">
      <alignment horizontal="center" vertical="bottom" textRotation="0" wrapText="false" indent="0" shrinkToFit="false"/>
      <protection locked="true" hidden="false"/>
    </xf>
    <xf numFmtId="165"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7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02" activePane="bottomRight" state="frozen"/>
      <selection pane="topLeft" activeCell="A1" activeCellId="0" sqref="A1"/>
      <selection pane="topRight" activeCell="B1" activeCellId="0" sqref="B1"/>
      <selection pane="bottomLeft" activeCell="A702" activeCellId="0" sqref="A702"/>
      <selection pane="bottomRight" activeCell="I722" activeCellId="0" sqref="I722"/>
    </sheetView>
  </sheetViews>
  <sheetFormatPr defaultColWidth="11.5703125" defaultRowHeight="12.8" zeroHeight="false" outlineLevelRow="0" outlineLevelCol="0"/>
  <cols>
    <col collapsed="false" customWidth="true" hidden="false" outlineLevel="0" max="5" min="5" style="0" width="23.02"/>
    <col collapsed="false" customWidth="true" hidden="false" outlineLevel="0" max="7" min="6" style="0" width="13.86"/>
    <col collapsed="false" customWidth="false" hidden="true" outlineLevel="0" max="10" min="10" style="0" width="11.54"/>
    <col collapsed="false" customWidth="true" hidden="true" outlineLevel="0" max="11" min="11" style="0" width="18.89"/>
    <col collapsed="false" customWidth="true" hidden="false" outlineLevel="0" max="12" min="12" style="0" width="46.68"/>
  </cols>
  <sheetData>
    <row r="1" customFormat="false" ht="12.8"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8" hidden="false" customHeight="false" outlineLevel="0" collapsed="false">
      <c r="B2" s="9"/>
      <c r="E2" s="10" t="str">
        <f aca="false">IF(D2="?OLD","!!!","")</f>
        <v/>
      </c>
      <c r="F2" s="11" t="str">
        <f aca="false">IF(OR(E2="",E2="!!!"),"",IF(NOT(ISNA(VLOOKUP(E2,E$1:E1,1,FALSE()))),"OLD",IF(AND(E2&lt;&gt;"",E2&lt;&gt;"!!!"),"NEW","")))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IF(OR(E2="",E2="!!!",F2="NEW"),"",COUNTBLANK(OFFSET(A$1,,,SUMPRODUCT(MAX(ROW(E$2:E2)*(E2=E$2:E2)))))-COUNTBLANK(OFFSET(A$1,,,SUMPRODUCT(MAX(ROW(E$1:E1)*(E2=E$1:E1))))))</f>
        <v/>
      </c>
      <c r="K2" s="15" t="str">
        <f aca="false">IF(OR(E2="",E2="!!!",F2="NEW"),"",INDEX(J$1:J1,SUMPRODUCT(MAX(ROW(E$1:E1)*(E2=E$1:E1)))))</f>
        <v/>
      </c>
      <c r="L2" s="16"/>
    </row>
    <row r="3" customFormat="false" ht="12.8" hidden="false" customHeight="false" outlineLevel="0" collapsed="false">
      <c r="A3" s="0" t="s">
        <v>12</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IF(OR(E3="",E3="!!!",F3="NEW"),"",INDEX(B2:B$2,-1+SUMPRODUCT(MAX(ROW(E2:E$2)*(E3=E2:E$2)))))</f>
        <v/>
      </c>
      <c r="J3" s="15" t="str">
        <f aca="true">IF(OR(E3="",E3="!!!",F3="NEW"),"",COUNTBLANK(OFFSET(A$1,,,SUMPRODUCT(MAX(ROW(E$2:E3)*(E3=E$2:E3)))))-COUNTBLANK(OFFSET(A$1,,,SUMPRODUCT(MAX(ROW(E$1:E2)*(E3=E$1:E2))))))</f>
        <v/>
      </c>
      <c r="K3" s="15" t="str">
        <f aca="false">IF(OR(E3="",E3="!!!",F3="NEW"),"",INDEX(J$1:J2,SUMPRODUCT(MAX(ROW(E$1:E2)*(E3=E$1:E2)))))</f>
        <v/>
      </c>
      <c r="L3" s="16"/>
    </row>
    <row r="4" customFormat="false" ht="12.8" hidden="false" customHeight="false" outlineLevel="0" collapsed="false">
      <c r="A4" s="0" t="s">
        <v>13</v>
      </c>
      <c r="B4" s="0" t="s">
        <v>14</v>
      </c>
      <c r="C4" s="0" t="s">
        <v>15</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IF(OR(E4="",E4="!!!",F4="NEW"),"",INDEX(B3:B$2,-1+SUMPRODUCT(MAX(ROW(E3:E$2)*(E4=E3:E$2)))))</f>
        <v/>
      </c>
      <c r="J4" s="15" t="str">
        <f aca="true">IF(OR(E4="",E4="!!!",F4="NEW"),"",COUNTBLANK(OFFSET(A$1,,,SUMPRODUCT(MAX(ROW(E$2:E4)*(E4=E$2:E4)))))-COUNTBLANK(OFFSET(A$1,,,SUMPRODUCT(MAX(ROW(E$1:E3)*(E4=E$1:E3))))))</f>
        <v/>
      </c>
      <c r="K4" s="15" t="str">
        <f aca="false">IF(OR(E4="",E4="!!!",F4="NEW"),"",INDEX(J$1:J3,SUMPRODUCT(MAX(ROW(E$1:E3)*(E4=E$1:E3)))))</f>
        <v/>
      </c>
      <c r="L4" s="16"/>
    </row>
    <row r="5" customFormat="false" ht="12.8" hidden="false" customHeight="false" outlineLevel="0" collapsed="false">
      <c r="A5" s="0" t="s">
        <v>16</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IF(OR(E5="",E5="!!!",F5="NEW"),"",INDEX(B4:B$2,-1+SUMPRODUCT(MAX(ROW(E4:E$2)*(E5=E4:E$2)))))</f>
        <v/>
      </c>
      <c r="J5" s="15" t="str">
        <f aca="true">IF(OR(E5="",E5="!!!",F5="NEW"),"",COUNTBLANK(OFFSET(A$1,,,SUMPRODUCT(MAX(ROW(E$2:E5)*(E5=E$2:E5)))))-COUNTBLANK(OFFSET(A$1,,,SUMPRODUCT(MAX(ROW(E$1:E4)*(E5=E$1:E4))))))</f>
        <v/>
      </c>
      <c r="K5" s="15" t="str">
        <f aca="false">IF(OR(E5="",E5="!!!",F5="NEW"),"",INDEX(J$1:J4,SUMPRODUCT(MAX(ROW(E$1:E4)*(E5=E$1:E4)))))</f>
        <v/>
      </c>
      <c r="L5" s="16"/>
    </row>
    <row r="6" customFormat="false" ht="12.8" hidden="false" customHeight="false" outlineLevel="0" collapsed="false">
      <c r="A6" s="0" t="n">
        <v>1971</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IF(OR(E6="",E6="!!!",F6="NEW"),"",INDEX(B5:B$2,-1+SUMPRODUCT(MAX(ROW(E5:E$2)*(E6=E5:E$2)))))</f>
        <v/>
      </c>
      <c r="J6" s="15" t="str">
        <f aca="true">IF(OR(E6="",E6="!!!",F6="NEW"),"",COUNTBLANK(OFFSET(A$1,,,SUMPRODUCT(MAX(ROW(E$2:E6)*(E6=E$2:E6)))))-COUNTBLANK(OFFSET(A$1,,,SUMPRODUCT(MAX(ROW(E$1:E5)*(E6=E$1:E5))))))</f>
        <v/>
      </c>
      <c r="K6" s="15" t="str">
        <f aca="false">IF(OR(E6="",E6="!!!",F6="NEW"),"",INDEX(J$1:J5,SUMPRODUCT(MAX(ROW(E$1:E5)*(E6=E$1:E5)))))</f>
        <v/>
      </c>
      <c r="L6" s="16"/>
    </row>
    <row r="7" customFormat="false" ht="12.8" hidden="false" customHeight="false" outlineLevel="0" collapsed="false">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IF(OR(E7="",E7="!!!",F7="NEW"),"",INDEX(B6:B$2,-1+SUMPRODUCT(MAX(ROW(E6:E$2)*(E7=E6:E$2)))))</f>
        <v/>
      </c>
      <c r="J7" s="15" t="str">
        <f aca="true">IF(OR(E7="",E7="!!!",F7="NEW"),"",COUNTBLANK(OFFSET(A$1,,,SUMPRODUCT(MAX(ROW(E$2:E7)*(E7=E$2:E7)))))-COUNTBLANK(OFFSET(A$1,,,SUMPRODUCT(MAX(ROW(E$1:E6)*(E7=E$1:E6))))))</f>
        <v/>
      </c>
      <c r="K7" s="15" t="str">
        <f aca="false">IF(OR(E7="",E7="!!!",F7="NEW"),"",INDEX(J$1:J6,SUMPRODUCT(MAX(ROW(E$1:E6)*(E7=E$1:E6)))))</f>
        <v/>
      </c>
      <c r="L7" s="16"/>
    </row>
    <row r="8" customFormat="false" ht="12.8" hidden="false" customHeight="false" outlineLevel="0" collapsed="false">
      <c r="A8" s="0" t="s">
        <v>17</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IF(OR(E8="",E8="!!!",F8="NEW"),"",INDEX(B7:B$2,-1+SUMPRODUCT(MAX(ROW(E7:E$2)*(E8=E7:E$2)))))</f>
        <v/>
      </c>
      <c r="J8" s="15" t="str">
        <f aca="true">IF(OR(E8="",E8="!!!",F8="NEW"),"",COUNTBLANK(OFFSET(A$1,,,SUMPRODUCT(MAX(ROW(E$2:E8)*(E8=E$2:E8)))))-COUNTBLANK(OFFSET(A$1,,,SUMPRODUCT(MAX(ROW(E$1:E7)*(E8=E$1:E7))))))</f>
        <v/>
      </c>
      <c r="K8" s="15" t="str">
        <f aca="false">IF(OR(E8="",E8="!!!",F8="NEW"),"",INDEX(J$1:J7,SUMPRODUCT(MAX(ROW(E$1:E7)*(E8=E$1:E7)))))</f>
        <v/>
      </c>
      <c r="L8" s="16"/>
    </row>
    <row r="9" customFormat="false" ht="12.8" hidden="false" customHeight="false" outlineLevel="0" collapsed="false">
      <c r="A9" s="0" t="s">
        <v>18</v>
      </c>
      <c r="B9" s="0" t="s">
        <v>14</v>
      </c>
      <c r="C9" s="0" t="s">
        <v>19</v>
      </c>
      <c r="D9" s="0" t="s">
        <v>20</v>
      </c>
      <c r="E9" s="10"/>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IF(OR(E9="",E9="!!!",F9="NEW"),"",INDEX(B8:B$2,-1+SUMPRODUCT(MAX(ROW(E8:E$2)*(E9=E8:E$2)))))</f>
        <v/>
      </c>
      <c r="J9" s="15" t="str">
        <f aca="true">IF(OR(E9="",E9="!!!",F9="NEW"),"",COUNTBLANK(OFFSET(A$1,,,SUMPRODUCT(MAX(ROW(E$2:E9)*(E9=E$2:E9)))))-COUNTBLANK(OFFSET(A$1,,,SUMPRODUCT(MAX(ROW(E$1:E8)*(E9=E$1:E8))))))</f>
        <v/>
      </c>
      <c r="K9" s="15" t="str">
        <f aca="false">IF(OR(E9="",E9="!!!",F9="NEW"),"",INDEX(J$1:J8,SUMPRODUCT(MAX(ROW(E$1:E8)*(E9=E$1:E8)))))</f>
        <v/>
      </c>
      <c r="L9" s="16"/>
    </row>
    <row r="10" customFormat="false" ht="12.8" hidden="false" customHeight="false" outlineLevel="0" collapsed="false">
      <c r="A10" s="0" t="s">
        <v>21</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IF(OR(E10="",E10="!!!",F10="NEW"),"",INDEX(B9:B$2,-1+SUMPRODUCT(MAX(ROW(E9:E$2)*(E10=E9:E$2)))))</f>
        <v/>
      </c>
      <c r="J10" s="15" t="str">
        <f aca="true">IF(OR(E10="",E10="!!!",F10="NEW"),"",COUNTBLANK(OFFSET(A$1,,,SUMPRODUCT(MAX(ROW(E$2:E10)*(E10=E$2:E10)))))-COUNTBLANK(OFFSET(A$1,,,SUMPRODUCT(MAX(ROW(E$1:E9)*(E10=E$1:E9))))))</f>
        <v/>
      </c>
      <c r="K10" s="15" t="str">
        <f aca="false">IF(OR(E10="",E10="!!!",F10="NEW"),"",INDEX(J$1:J9,SUMPRODUCT(MAX(ROW(E$1:E9)*(E10=E$1:E9)))))</f>
        <v/>
      </c>
      <c r="L10" s="16"/>
    </row>
    <row r="11" customFormat="false" ht="12.8" hidden="false" customHeight="false" outlineLevel="0" collapsed="false">
      <c r="A11" s="0" t="s">
        <v>16</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IF(OR(E11="",E11="!!!",F11="NEW"),"",INDEX(B10:B$2,-1+SUMPRODUCT(MAX(ROW(E10:E$2)*(E11=E10:E$2)))))</f>
        <v/>
      </c>
      <c r="J11" s="15" t="str">
        <f aca="true">IF(OR(E11="",E11="!!!",F11="NEW"),"",COUNTBLANK(OFFSET(A$1,,,SUMPRODUCT(MAX(ROW(E$2:E11)*(E11=E$2:E11)))))-COUNTBLANK(OFFSET(A$1,,,SUMPRODUCT(MAX(ROW(E$1:E10)*(E11=E$1:E10))))))</f>
        <v/>
      </c>
      <c r="K11" s="15" t="str">
        <f aca="false">IF(OR(E11="",E11="!!!",F11="NEW"),"",INDEX(J$1:J10,SUMPRODUCT(MAX(ROW(E$1:E10)*(E11=E$1:E10)))))</f>
        <v/>
      </c>
      <c r="L11" s="16"/>
    </row>
    <row r="12" customFormat="false" ht="12.8" hidden="false" customHeight="false" outlineLevel="0" collapsed="false">
      <c r="A12" s="0" t="s">
        <v>22</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IF(OR(E12="",E12="!!!",F12="NEW"),"",INDEX(B11:B$2,-1+SUMPRODUCT(MAX(ROW(E11:E$2)*(E12=E11:E$2)))))</f>
        <v/>
      </c>
      <c r="J12" s="15" t="str">
        <f aca="true">IF(OR(E12="",E12="!!!",F12="NEW"),"",COUNTBLANK(OFFSET(A$1,,,SUMPRODUCT(MAX(ROW(E$2:E12)*(E12=E$2:E12)))))-COUNTBLANK(OFFSET(A$1,,,SUMPRODUCT(MAX(ROW(E$1:E11)*(E12=E$1:E11))))))</f>
        <v/>
      </c>
      <c r="K12" s="15" t="str">
        <f aca="false">IF(OR(E12="",E12="!!!",F12="NEW"),"",INDEX(J$1:J11,SUMPRODUCT(MAX(ROW(E$1:E11)*(E12=E$1:E11)))))</f>
        <v/>
      </c>
      <c r="L12" s="16"/>
    </row>
    <row r="13" customFormat="false" ht="12.8" hidden="false" customHeight="false" outlineLevel="0" collapsed="false">
      <c r="A13" s="0" t="s">
        <v>23</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IF(OR(E13="",E13="!!!",F13="NEW"),"",INDEX(B12:B$2,-1+SUMPRODUCT(MAX(ROW(E12:E$2)*(E13=E12:E$2)))))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8" hidden="false" customHeight="false" outlineLevel="0" collapsed="false">
      <c r="A14" s="0" t="s">
        <v>24</v>
      </c>
      <c r="B14" s="0" t="s">
        <v>14</v>
      </c>
      <c r="C14" s="0" t="s">
        <v>25</v>
      </c>
      <c r="D14" s="0" t="s">
        <v>20</v>
      </c>
      <c r="E14" s="10"/>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IF(OR(E14="",E14="!!!",F14="NEW"),"",INDEX(B13:B$2,-1+SUMPRODUCT(MAX(ROW(E13:E$2)*(E14=E13:E$2)))))</f>
        <v/>
      </c>
      <c r="J14" s="15" t="str">
        <f aca="true">IF(OR(E14="",E14="!!!",F14="NEW"),"",COUNTBLANK(OFFSET(A$1,,,SUMPRODUCT(MAX(ROW(E$2:E14)*(E14=E$2:E14)))))-COUNTBLANK(OFFSET(A$1,,,SUMPRODUCT(MAX(ROW(E$1:E13)*(E14=E$1:E13))))))</f>
        <v/>
      </c>
      <c r="K14" s="15" t="str">
        <f aca="false">IF(OR(E14="",E14="!!!",F14="NEW"),"",INDEX(J$1:J13,SUMPRODUCT(MAX(ROW(E$1:E13)*(E14=E$1:E13)))))</f>
        <v/>
      </c>
      <c r="L14" s="16"/>
    </row>
    <row r="15" customFormat="false" ht="12.8" hidden="false" customHeight="false" outlineLevel="0" collapsed="false">
      <c r="A15" s="0" t="s">
        <v>26</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IF(OR(E15="",E15="!!!",F15="NEW"),"",INDEX(B14:B$2,-1+SUMPRODUCT(MAX(ROW(E14:E$2)*(E15=E14:E$2)))))</f>
        <v/>
      </c>
      <c r="J15" s="15" t="str">
        <f aca="true">IF(OR(E15="",E15="!!!",F15="NEW"),"",COUNTBLANK(OFFSET(A$1,,,SUMPRODUCT(MAX(ROW(E$2:E15)*(E15=E$2:E15)))))-COUNTBLANK(OFFSET(A$1,,,SUMPRODUCT(MAX(ROW(E$1:E14)*(E15=E$1:E14))))))</f>
        <v/>
      </c>
      <c r="K15" s="15" t="str">
        <f aca="false">IF(OR(E15="",E15="!!!",F15="NEW"),"",INDEX(J$1:J14,SUMPRODUCT(MAX(ROW(E$1:E14)*(E15=E$1:E14)))))</f>
        <v/>
      </c>
      <c r="L15" s="16"/>
    </row>
    <row r="16" customFormat="false" ht="12.8" hidden="false" customHeight="false" outlineLevel="0" collapsed="false">
      <c r="A16" s="0" t="s">
        <v>27</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IF(OR(E16="",E16="!!!",F16="NEW"),"",INDEX(B15:B$2,-1+SUMPRODUCT(MAX(ROW(E15:E$2)*(E16=E15:E$2)))))</f>
        <v/>
      </c>
      <c r="J16" s="15" t="str">
        <f aca="true">IF(OR(E16="",E16="!!!",F16="NEW"),"",COUNTBLANK(OFFSET(A$1,,,SUMPRODUCT(MAX(ROW(E$2:E16)*(E16=E$2:E16)))))-COUNTBLANK(OFFSET(A$1,,,SUMPRODUCT(MAX(ROW(E$1:E15)*(E16=E$1:E15))))))</f>
        <v/>
      </c>
      <c r="K16" s="15" t="str">
        <f aca="false">IF(OR(E16="",E16="!!!",F16="NEW"),"",INDEX(J$1:J15,SUMPRODUCT(MAX(ROW(E$1:E15)*(E16=E$1:E15)))))</f>
        <v/>
      </c>
      <c r="L16" s="16"/>
    </row>
    <row r="17" customFormat="false" ht="12.8" hidden="false" customHeight="false" outlineLevel="0" collapsed="false">
      <c r="A17" s="0" t="s">
        <v>28</v>
      </c>
      <c r="B17" s="0" t="s">
        <v>29</v>
      </c>
      <c r="C17" s="0" t="s">
        <v>30</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IF(OR(E17="",E17="!!!",F17="NEW"),"",INDEX(B16:B$2,-1+SUMPRODUCT(MAX(ROW(E16:E$2)*(E17=E16:E$2)))))</f>
        <v/>
      </c>
      <c r="J17" s="15" t="str">
        <f aca="true">IF(OR(E17="",E17="!!!",F17="NEW"),"",COUNTBLANK(OFFSET(A$1,,,SUMPRODUCT(MAX(ROW(E$2:E17)*(E17=E$2:E17)))))-COUNTBLANK(OFFSET(A$1,,,SUMPRODUCT(MAX(ROW(E$1:E16)*(E17=E$1:E16))))))</f>
        <v/>
      </c>
      <c r="K17" s="15" t="str">
        <f aca="false">IF(OR(E17="",E17="!!!",F17="NEW"),"",INDEX(J$1:J16,SUMPRODUCT(MAX(ROW(E$1:E16)*(E17=E$1:E16)))))</f>
        <v/>
      </c>
      <c r="L17" s="16"/>
    </row>
    <row r="18" customFormat="false" ht="12.8" hidden="false" customHeight="false" outlineLevel="0" collapsed="false">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IF(OR(E18="",E18="!!!",F18="NEW"),"",INDEX(B17:B$2,-1+SUMPRODUCT(MAX(ROW(E17:E$2)*(E18=E17:E$2)))))</f>
        <v/>
      </c>
      <c r="J18" s="15" t="str">
        <f aca="true">IF(OR(E18="",E18="!!!",F18="NEW"),"",COUNTBLANK(OFFSET(A$1,,,SUMPRODUCT(MAX(ROW(E$2:E18)*(E18=E$2:E18)))))-COUNTBLANK(OFFSET(A$1,,,SUMPRODUCT(MAX(ROW(E$1:E17)*(E18=E$1:E17))))))</f>
        <v/>
      </c>
      <c r="K18" s="15" t="str">
        <f aca="false">IF(OR(E18="",E18="!!!",F18="NEW"),"",INDEX(J$1:J17,SUMPRODUCT(MAX(ROW(E$1:E17)*(E18=E$1:E17)))))</f>
        <v/>
      </c>
      <c r="L18" s="16"/>
    </row>
    <row r="19" customFormat="false" ht="12.8" hidden="false" customHeight="false" outlineLevel="0" collapsed="false">
      <c r="A19" s="0" t="s">
        <v>31</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IF(OR(E19="",E19="!!!",F19="NEW"),"",INDEX(B18:B$2,-1+SUMPRODUCT(MAX(ROW(E18:E$2)*(E19=E18:E$2)))))</f>
        <v/>
      </c>
      <c r="J19" s="15" t="str">
        <f aca="true">IF(OR(E19="",E19="!!!",F19="NEW"),"",COUNTBLANK(OFFSET(A$1,,,SUMPRODUCT(MAX(ROW(E$2:E19)*(E19=E$2:E19)))))-COUNTBLANK(OFFSET(A$1,,,SUMPRODUCT(MAX(ROW(E$1:E18)*(E19=E$1:E18))))))</f>
        <v/>
      </c>
      <c r="K19" s="15" t="str">
        <f aca="false">IF(OR(E19="",E19="!!!",F19="NEW"),"",INDEX(J$1:J18,SUMPRODUCT(MAX(ROW(E$1:E18)*(E19=E$1:E18)))))</f>
        <v/>
      </c>
      <c r="L19" s="16"/>
    </row>
    <row r="20" customFormat="false" ht="12.8" hidden="false" customHeight="false" outlineLevel="0" collapsed="false">
      <c r="A20" s="0" t="s">
        <v>32</v>
      </c>
      <c r="B20" s="0" t="s">
        <v>33</v>
      </c>
      <c r="C20" s="0" t="s">
        <v>34</v>
      </c>
      <c r="D20" s="0" t="s">
        <v>20</v>
      </c>
      <c r="E20" s="10" t="s">
        <v>35</v>
      </c>
      <c r="F20" s="11" t="s">
        <v>36</v>
      </c>
      <c r="G20" s="12" t="s">
        <v>37</v>
      </c>
      <c r="H20" s="13"/>
      <c r="I20" s="14" t="e">
        <f aca="false">IF(OR(E20="",E20="!!!",F20="NEW"),"",INDEX(B19:B$2,-1+SUMPRODUCT(MAX(ROW(E19:E$2)*(E20=E19:E$2)))))</f>
        <v>#VALUE!</v>
      </c>
      <c r="J20" s="15" t="e">
        <f aca="true">IF(OR(E20="",E20="!!!",F20="NEW"),"",COUNTBLANK(OFFSET(A$1,,,SUMPRODUCT(MAX(ROW(E$2:E20)*(E20=E$2:E20)))))-COUNTBLANK(OFFSET(A$1,,,SUMPRODUCT(MAX(ROW(E$1:E19)*(E20=E$1:E19))))))</f>
        <v>#VALUE!</v>
      </c>
      <c r="K20" s="15" t="e">
        <f aca="false">IF(OR(E20="",E20="!!!",F20="NEW"),"",INDEX(J$1:J19,SUMPRODUCT(MAX(ROW(E$1:E19)*(E20=E$1:E19)))))</f>
        <v>#VALUE!</v>
      </c>
      <c r="L20" s="16"/>
    </row>
    <row r="21" customFormat="false" ht="12.8" hidden="false" customHeight="false" outlineLevel="0" collapsed="false">
      <c r="A21" s="0" t="s">
        <v>38</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IF(OR(E21="",E21="!!!",F21="NEW"),"",INDEX(B20:B$2,-1+SUMPRODUCT(MAX(ROW(E20:E$2)*(E21=E20:E$2)))))</f>
        <v/>
      </c>
      <c r="J21" s="15" t="str">
        <f aca="true">IF(OR(E21="",E21="!!!",F21="NEW"),"",COUNTBLANK(OFFSET(A$1,,,SUMPRODUCT(MAX(ROW(E$2:E21)*(E21=E$2:E21)))))-COUNTBLANK(OFFSET(A$1,,,SUMPRODUCT(MAX(ROW(E$1:E20)*(E21=E$1:E20))))))</f>
        <v/>
      </c>
      <c r="K21" s="15" t="str">
        <f aca="false">IF(OR(E21="",E21="!!!",F21="NEW"),"",INDEX(J$1:J20,SUMPRODUCT(MAX(ROW(E$1:E20)*(E21=E$1:E20)))))</f>
        <v/>
      </c>
      <c r="L21" s="16"/>
    </row>
    <row r="22" customFormat="false" ht="12.8" hidden="false" customHeight="false" outlineLevel="0" collapsed="false">
      <c r="A22" s="0" t="s">
        <v>39</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IF(OR(E22="",E22="!!!",F22="NEW"),"",INDEX(B21:B$2,-1+SUMPRODUCT(MAX(ROW(E21:E$2)*(E22=E21:E$2)))))</f>
        <v/>
      </c>
      <c r="J22" s="15" t="str">
        <f aca="true">IF(OR(E22="",E22="!!!",F22="NEW"),"",COUNTBLANK(OFFSET(A$1,,,SUMPRODUCT(MAX(ROW(E$2:E22)*(E22=E$2:E22)))))-COUNTBLANK(OFFSET(A$1,,,SUMPRODUCT(MAX(ROW(E$1:E21)*(E22=E$1:E21))))))</f>
        <v/>
      </c>
      <c r="K22" s="15" t="str">
        <f aca="false">IF(OR(E22="",E22="!!!",F22="NEW"),"",INDEX(J$1:J21,SUMPRODUCT(MAX(ROW(E$1:E21)*(E22=E$1:E21)))))</f>
        <v/>
      </c>
      <c r="L22" s="16"/>
    </row>
    <row r="23" customFormat="false" ht="12.8" hidden="false" customHeight="false" outlineLevel="0" collapsed="false">
      <c r="A23" s="0" t="s">
        <v>40</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IF(OR(E23="",E23="!!!",F23="NEW"),"",INDEX(B22:B$2,-1+SUMPRODUCT(MAX(ROW(E22:E$2)*(E23=E22:E$2)))))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8" hidden="false" customHeight="false" outlineLevel="0" collapsed="false">
      <c r="A24" s="0" t="s">
        <v>41</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IF(OR(E24="",E24="!!!",F24="NEW"),"",INDEX(B23:B$2,-1+SUMPRODUCT(MAX(ROW(E23:E$2)*(E24=E23:E$2)))))</f>
        <v/>
      </c>
      <c r="J24" s="15" t="str">
        <f aca="true">IF(OR(E24="",E24="!!!",F24="NEW"),"",COUNTBLANK(OFFSET(A$1,,,SUMPRODUCT(MAX(ROW(E$2:E24)*(E24=E$2:E24)))))-COUNTBLANK(OFFSET(A$1,,,SUMPRODUCT(MAX(ROW(E$1:E23)*(E24=E$1:E23))))))</f>
        <v/>
      </c>
      <c r="K24" s="15" t="str">
        <f aca="false">IF(OR(E24="",E24="!!!",F24="NEW"),"",INDEX(J$1:J23,SUMPRODUCT(MAX(ROW(E$1:E23)*(E24=E$1:E23)))))</f>
        <v/>
      </c>
      <c r="L24" s="16"/>
    </row>
    <row r="25" customFormat="false" ht="12.8" hidden="false" customHeight="false" outlineLevel="0" collapsed="false">
      <c r="A25" s="0" t="s">
        <v>42</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IF(OR(E25="",E25="!!!",F25="NEW"),"",INDEX(B24:B$2,-1+SUMPRODUCT(MAX(ROW(E24:E$2)*(E25=E24:E$2)))))</f>
        <v/>
      </c>
      <c r="J25" s="15" t="str">
        <f aca="true">IF(OR(E25="",E25="!!!",F25="NEW"),"",COUNTBLANK(OFFSET(A$1,,,SUMPRODUCT(MAX(ROW(E$2:E25)*(E25=E$2:E25)))))-COUNTBLANK(OFFSET(A$1,,,SUMPRODUCT(MAX(ROW(E$1:E24)*(E25=E$1:E24))))))</f>
        <v/>
      </c>
      <c r="K25" s="15" t="str">
        <f aca="false">IF(OR(E25="",E25="!!!",F25="NEW"),"",INDEX(J$1:J24,SUMPRODUCT(MAX(ROW(E$1:E24)*(E25=E$1:E24)))))</f>
        <v/>
      </c>
      <c r="L25" s="16"/>
    </row>
    <row r="26" customFormat="false" ht="12.8" hidden="false" customHeight="false" outlineLevel="0" collapsed="false">
      <c r="A26" s="0" t="s">
        <v>43</v>
      </c>
      <c r="B26" s="0" t="s">
        <v>14</v>
      </c>
      <c r="C26" s="0" t="s">
        <v>19</v>
      </c>
      <c r="D26" s="0" t="s">
        <v>20</v>
      </c>
      <c r="E26" s="10" t="s">
        <v>44</v>
      </c>
      <c r="F26" s="11" t="str">
        <f aca="false">IF(OR(E26="",E26="!!!"),"",IF(NOT(ISNA(VLOOKUP(E26,E$1:E25,1,FALSE()))),"OLD",IF(AND(E26&lt;&gt;"",E26&lt;&gt;"!!!"),"NEW","")))</f>
        <v>NEW</v>
      </c>
      <c r="G26" s="12" t="str">
        <f aca="false">IF(OR(E26="",E26="!!!"),"",IF(OR(J26=0,AND(J26=1,K26=1),AND(J26=1,I26="SBJ"),AND(J26=1,I26=0)),"?IN_FOCUS",IF(J26&lt;=2,"?ACTIVATED",IF(J26&lt;&gt;"","?FAMILIAR",IF(F26="NEW",IF(ISNA(VLOOKUP(E26,#REF!,1,FALSE())),"?TYPE_IDENTIFIABLE","?REFERENTIAL"),"_")))))</f>
        <v>?REFERENTIAL</v>
      </c>
      <c r="H26" s="13" t="str">
        <f aca="false">IF(J26&lt;&gt;1,"",IF(I26="SBJ","CB","?"))</f>
        <v/>
      </c>
      <c r="I26" s="14" t="str">
        <f aca="false">IF(OR(E26="",E26="!!!",F26="NEW"),"",INDEX(B25:B$2,-1+SUMPRODUCT(MAX(ROW(E25:E$2)*(E26=E25:E$2)))))</f>
        <v/>
      </c>
      <c r="J26" s="15" t="str">
        <f aca="true">IF(OR(E26="",E26="!!!",F26="NEW"),"",COUNTBLANK(OFFSET(A$1,,,SUMPRODUCT(MAX(ROW(E$2:E26)*(E26=E$2:E26)))))-COUNTBLANK(OFFSET(A$1,,,SUMPRODUCT(MAX(ROW(E$1:E25)*(E26=E$1:E25))))))</f>
        <v/>
      </c>
      <c r="K26" s="15" t="str">
        <f aca="false">IF(OR(E26="",E26="!!!",F26="NEW"),"",INDEX(J$1:J25,SUMPRODUCT(MAX(ROW(E$1:E25)*(E26=E$1:E25)))))</f>
        <v/>
      </c>
      <c r="L26" s="16"/>
    </row>
    <row r="27" customFormat="false" ht="12.8" hidden="false" customHeight="false" outlineLevel="0" collapsed="false">
      <c r="A27" s="0" t="s">
        <v>45</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IF(OR(E27="",E27="!!!",F27="NEW"),"",INDEX(B26:B$2,-1+SUMPRODUCT(MAX(ROW(E26:E$2)*(E27=E26:E$2)))))</f>
        <v/>
      </c>
      <c r="J27" s="15" t="str">
        <f aca="true">IF(OR(E27="",E27="!!!",F27="NEW"),"",COUNTBLANK(OFFSET(A$1,,,SUMPRODUCT(MAX(ROW(E$2:E27)*(E27=E$2:E27)))))-COUNTBLANK(OFFSET(A$1,,,SUMPRODUCT(MAX(ROW(E$1:E26)*(E27=E$1:E26))))))</f>
        <v/>
      </c>
      <c r="K27" s="15" t="str">
        <f aca="false">IF(OR(E27="",E27="!!!",F27="NEW"),"",INDEX(J$1:J26,SUMPRODUCT(MAX(ROW(E$1:E26)*(E27=E$1:E26)))))</f>
        <v/>
      </c>
      <c r="L27" s="16"/>
    </row>
    <row r="28" customFormat="false" ht="12.8" hidden="false" customHeight="false" outlineLevel="0" collapsed="false">
      <c r="A28" s="0" t="s">
        <v>46</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IF(OR(E28="",E28="!!!",F28="NEW"),"",INDEX(B27:B$2,-1+SUMPRODUCT(MAX(ROW(E27:E$2)*(E28=E27:E$2)))))</f>
        <v/>
      </c>
      <c r="J28" s="15" t="str">
        <f aca="true">IF(OR(E28="",E28="!!!",F28="NEW"),"",COUNTBLANK(OFFSET(A$1,,,SUMPRODUCT(MAX(ROW(E$2:E28)*(E28=E$2:E28)))))-COUNTBLANK(OFFSET(A$1,,,SUMPRODUCT(MAX(ROW(E$1:E27)*(E28=E$1:E27))))))</f>
        <v/>
      </c>
      <c r="K28" s="15" t="str">
        <f aca="false">IF(OR(E28="",E28="!!!",F28="NEW"),"",INDEX(J$1:J27,SUMPRODUCT(MAX(ROW(E$1:E27)*(E28=E$1:E27)))))</f>
        <v/>
      </c>
      <c r="L28" s="16"/>
    </row>
    <row r="29" customFormat="false" ht="12.8" hidden="false" customHeight="false" outlineLevel="0" collapsed="false">
      <c r="A29" s="0" t="s">
        <v>47</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IF(OR(E29="",E29="!!!",F29="NEW"),"",INDEX(B28:B$2,-1+SUMPRODUCT(MAX(ROW(E28:E$2)*(E29=E28:E$2)))))</f>
        <v/>
      </c>
      <c r="J29" s="15" t="str">
        <f aca="true">IF(OR(E29="",E29="!!!",F29="NEW"),"",COUNTBLANK(OFFSET(A$1,,,SUMPRODUCT(MAX(ROW(E$2:E29)*(E29=E$2:E29)))))-COUNTBLANK(OFFSET(A$1,,,SUMPRODUCT(MAX(ROW(E$1:E28)*(E29=E$1:E28))))))</f>
        <v/>
      </c>
      <c r="K29" s="15" t="str">
        <f aca="false">IF(OR(E29="",E29="!!!",F29="NEW"),"",INDEX(J$1:J28,SUMPRODUCT(MAX(ROW(E$1:E28)*(E29=E$1:E28)))))</f>
        <v/>
      </c>
      <c r="L29" s="16"/>
    </row>
    <row r="30" customFormat="false" ht="12.8" hidden="false" customHeight="false" outlineLevel="0" collapsed="false">
      <c r="A30" s="0" t="s">
        <v>48</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IF(OR(E30="",E30="!!!",F30="NEW"),"",INDEX(B29:B$2,-1+SUMPRODUCT(MAX(ROW(E29:E$2)*(E30=E29:E$2)))))</f>
        <v/>
      </c>
      <c r="J30" s="15" t="str">
        <f aca="true">IF(OR(E30="",E30="!!!",F30="NEW"),"",COUNTBLANK(OFFSET(A$1,,,SUMPRODUCT(MAX(ROW(E$2:E30)*(E30=E$2:E30)))))-COUNTBLANK(OFFSET(A$1,,,SUMPRODUCT(MAX(ROW(E$1:E29)*(E30=E$1:E29))))))</f>
        <v/>
      </c>
      <c r="K30" s="15" t="str">
        <f aca="false">IF(OR(E30="",E30="!!!",F30="NEW"),"",INDEX(J$1:J29,SUMPRODUCT(MAX(ROW(E$1:E29)*(E30=E$1:E29)))))</f>
        <v/>
      </c>
      <c r="L30" s="16"/>
    </row>
    <row r="31" customFormat="false" ht="12.8" hidden="false" customHeight="false" outlineLevel="0" collapsed="false">
      <c r="A31" s="0" t="s">
        <v>40</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IF(OR(E31="",E31="!!!",F31="NEW"),"",INDEX(B30:B$2,-1+SUMPRODUCT(MAX(ROW(E30:E$2)*(E31=E30:E$2)))))</f>
        <v/>
      </c>
      <c r="J31" s="15" t="str">
        <f aca="true">IF(OR(E31="",E31="!!!",F31="NEW"),"",COUNTBLANK(OFFSET(A$1,,,SUMPRODUCT(MAX(ROW(E$2:E31)*(E31=E$2:E31)))))-COUNTBLANK(OFFSET(A$1,,,SUMPRODUCT(MAX(ROW(E$1:E30)*(E31=E$1:E30))))))</f>
        <v/>
      </c>
      <c r="K31" s="15" t="str">
        <f aca="false">IF(OR(E31="",E31="!!!",F31="NEW"),"",INDEX(J$1:J30,SUMPRODUCT(MAX(ROW(E$1:E30)*(E31=E$1:E30)))))</f>
        <v/>
      </c>
      <c r="L31" s="16"/>
    </row>
    <row r="32" customFormat="false" ht="12.8" hidden="false" customHeight="false" outlineLevel="0" collapsed="false">
      <c r="A32" s="0" t="s">
        <v>49</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IF(OR(E32="",E32="!!!",F32="NEW"),"",INDEX(B31:B$2,-1+SUMPRODUCT(MAX(ROW(E31:E$2)*(E32=E31:E$2)))))</f>
        <v/>
      </c>
      <c r="J32" s="15" t="str">
        <f aca="true">IF(OR(E32="",E32="!!!",F32="NEW"),"",COUNTBLANK(OFFSET(A$1,,,SUMPRODUCT(MAX(ROW(E$2:E32)*(E32=E$2:E32)))))-COUNTBLANK(OFFSET(A$1,,,SUMPRODUCT(MAX(ROW(E$1:E31)*(E32=E$1:E31))))))</f>
        <v/>
      </c>
      <c r="K32" s="15" t="str">
        <f aca="false">IF(OR(E32="",E32="!!!",F32="NEW"),"",INDEX(J$1:J31,SUMPRODUCT(MAX(ROW(E$1:E31)*(E32=E$1:E31)))))</f>
        <v/>
      </c>
      <c r="L32" s="16"/>
    </row>
    <row r="33" customFormat="false" ht="12.8" hidden="false" customHeight="false" outlineLevel="0" collapsed="false">
      <c r="A33" s="0" t="s">
        <v>50</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IF(OR(E33="",E33="!!!",F33="NEW"),"",INDEX(B32:B$2,-1+SUMPRODUCT(MAX(ROW(E32:E$2)*(E33=E32:E$2)))))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8" hidden="false" customHeight="false" outlineLevel="0" collapsed="false">
      <c r="A34" s="0" t="s">
        <v>51</v>
      </c>
      <c r="B34" s="0" t="s">
        <v>29</v>
      </c>
      <c r="C34" s="0" t="s">
        <v>52</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IF(OR(E34="",E34="!!!",F34="NEW"),"",INDEX(B33:B$2,-1+SUMPRODUCT(MAX(ROW(E33:E$2)*(E34=E33:E$2)))))</f>
        <v/>
      </c>
      <c r="J34" s="15" t="str">
        <f aca="true">IF(OR(E34="",E34="!!!",F34="NEW"),"",COUNTBLANK(OFFSET(A$1,,,SUMPRODUCT(MAX(ROW(E$2:E34)*(E34=E$2:E34)))))-COUNTBLANK(OFFSET(A$1,,,SUMPRODUCT(MAX(ROW(E$1:E33)*(E34=E$1:E33))))))</f>
        <v/>
      </c>
      <c r="K34" s="15" t="str">
        <f aca="false">IF(OR(E34="",E34="!!!",F34="NEW"),"",INDEX(J$1:J33,SUMPRODUCT(MAX(ROW(E$1:E33)*(E34=E$1:E33)))))</f>
        <v/>
      </c>
      <c r="L34" s="16"/>
    </row>
    <row r="35" customFormat="false" ht="12.8" hidden="false" customHeight="false" outlineLevel="0" collapsed="false">
      <c r="A35" s="0" t="s">
        <v>42</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IF(OR(E35="",E35="!!!",F35="NEW"),"",INDEX(B34:B$2,-1+SUMPRODUCT(MAX(ROW(E34:E$2)*(E35=E34:E$2)))))</f>
        <v/>
      </c>
      <c r="J35" s="15" t="str">
        <f aca="true">IF(OR(E35="",E35="!!!",F35="NEW"),"",COUNTBLANK(OFFSET(A$1,,,SUMPRODUCT(MAX(ROW(E$2:E35)*(E35=E$2:E35)))))-COUNTBLANK(OFFSET(A$1,,,SUMPRODUCT(MAX(ROW(E$1:E34)*(E35=E$1:E34))))))</f>
        <v/>
      </c>
      <c r="K35" s="15" t="str">
        <f aca="false">IF(OR(E35="",E35="!!!",F35="NEW"),"",INDEX(J$1:J34,SUMPRODUCT(MAX(ROW(E$1:E34)*(E35=E$1:E34)))))</f>
        <v/>
      </c>
      <c r="L35" s="16"/>
    </row>
    <row r="36" customFormat="false" ht="12.8" hidden="false" customHeight="false" outlineLevel="0" collapsed="false">
      <c r="A36" s="0" t="s">
        <v>53</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IF(OR(E36="",E36="!!!",F36="NEW"),"",INDEX(B35:B$2,-1+SUMPRODUCT(MAX(ROW(E35:E$2)*(E36=E35:E$2)))))</f>
        <v/>
      </c>
      <c r="J36" s="15" t="str">
        <f aca="true">IF(OR(E36="",E36="!!!",F36="NEW"),"",COUNTBLANK(OFFSET(A$1,,,SUMPRODUCT(MAX(ROW(E$2:E36)*(E36=E$2:E36)))))-COUNTBLANK(OFFSET(A$1,,,SUMPRODUCT(MAX(ROW(E$1:E35)*(E36=E$1:E35))))))</f>
        <v/>
      </c>
      <c r="K36" s="15" t="str">
        <f aca="false">IF(OR(E36="",E36="!!!",F36="NEW"),"",INDEX(J$1:J35,SUMPRODUCT(MAX(ROW(E$1:E35)*(E36=E$1:E35)))))</f>
        <v/>
      </c>
      <c r="L36" s="16"/>
    </row>
    <row r="37" customFormat="false" ht="12.8" hidden="false" customHeight="false" outlineLevel="0" collapsed="false">
      <c r="A37" s="0" t="s">
        <v>54</v>
      </c>
      <c r="B37" s="0" t="s">
        <v>55</v>
      </c>
      <c r="C37" s="0" t="s">
        <v>19</v>
      </c>
      <c r="D37" s="0" t="s">
        <v>20</v>
      </c>
      <c r="E37" s="10" t="s">
        <v>56</v>
      </c>
      <c r="F37" s="11" t="str">
        <f aca="false">IF(OR(E37="",E37="!!!"),"",IF(NOT(ISNA(VLOOKUP(E37,E$1:E36,1,FALSE()))),"OLD",IF(AND(E37&lt;&gt;"",E37&lt;&gt;"!!!"),"NEW","")))</f>
        <v>NEW</v>
      </c>
      <c r="G37" s="12" t="str">
        <f aca="false">IF(OR(E37="",E37="!!!"),"",IF(OR(J37=0,AND(J37=1,K37=1),AND(J37=1,I37="SBJ"),AND(J37=1,I37=0)),"?IN_FOCUS",IF(J37&lt;=2,"?ACTIVATED",IF(J37&lt;&gt;"","?FAMILIAR",IF(F37="NEW",IF(ISNA(VLOOKUP(E37,#REF!,1,FALSE())),"?TYPE_IDENTIFIABLE","?REFERENTIAL"),"_")))))</f>
        <v>?REFERENTIAL</v>
      </c>
      <c r="H37" s="13" t="str">
        <f aca="false">IF(J37&lt;&gt;1,"",IF(I37="SBJ","CB","?"))</f>
        <v/>
      </c>
      <c r="I37" s="14" t="str">
        <f aca="false">IF(OR(E37="",E37="!!!",F37="NEW"),"",INDEX(B36:B$2,-1+SUMPRODUCT(MAX(ROW(E36:E$2)*(E37=E36:E$2)))))</f>
        <v/>
      </c>
      <c r="J37" s="15" t="str">
        <f aca="true">IF(OR(E37="",E37="!!!",F37="NEW"),"",COUNTBLANK(OFFSET(A$1,,,SUMPRODUCT(MAX(ROW(E$2:E37)*(E37=E$2:E37)))))-COUNTBLANK(OFFSET(A$1,,,SUMPRODUCT(MAX(ROW(E$1:E36)*(E37=E$1:E36))))))</f>
        <v/>
      </c>
      <c r="K37" s="15" t="str">
        <f aca="false">IF(OR(E37="",E37="!!!",F37="NEW"),"",INDEX(J$1:J36,SUMPRODUCT(MAX(ROW(E$1:E36)*(E37=E$1:E36)))))</f>
        <v/>
      </c>
      <c r="L37" s="16"/>
    </row>
    <row r="38" customFormat="false" ht="12.8" hidden="false" customHeight="false" outlineLevel="0" collapsed="false">
      <c r="A38" s="0" t="s">
        <v>46</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IF(OR(E38="",E38="!!!",F38="NEW"),"",INDEX(B37:B$2,-1+SUMPRODUCT(MAX(ROW(E37:E$2)*(E38=E37:E$2)))))</f>
        <v/>
      </c>
      <c r="J38" s="15" t="str">
        <f aca="true">IF(OR(E38="",E38="!!!",F38="NEW"),"",COUNTBLANK(OFFSET(A$1,,,SUMPRODUCT(MAX(ROW(E$2:E38)*(E38=E$2:E38)))))-COUNTBLANK(OFFSET(A$1,,,SUMPRODUCT(MAX(ROW(E$1:E37)*(E38=E$1:E37))))))</f>
        <v/>
      </c>
      <c r="K38" s="15" t="str">
        <f aca="false">IF(OR(E38="",E38="!!!",F38="NEW"),"",INDEX(J$1:J37,SUMPRODUCT(MAX(ROW(E$1:E37)*(E38=E$1:E37)))))</f>
        <v/>
      </c>
      <c r="L38" s="16"/>
    </row>
    <row r="39" customFormat="false" ht="12.8" hidden="false" customHeight="false" outlineLevel="0" collapsed="false">
      <c r="A39" s="0" t="s">
        <v>47</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IF(OR(E39="",E39="!!!",F39="NEW"),"",INDEX(B38:B$2,-1+SUMPRODUCT(MAX(ROW(E38:E$2)*(E39=E38:E$2)))))</f>
        <v/>
      </c>
      <c r="J39" s="15" t="str">
        <f aca="true">IF(OR(E39="",E39="!!!",F39="NEW"),"",COUNTBLANK(OFFSET(A$1,,,SUMPRODUCT(MAX(ROW(E$2:E39)*(E39=E$2:E39)))))-COUNTBLANK(OFFSET(A$1,,,SUMPRODUCT(MAX(ROW(E$1:E38)*(E39=E$1:E38))))))</f>
        <v/>
      </c>
      <c r="K39" s="15" t="str">
        <f aca="false">IF(OR(E39="",E39="!!!",F39="NEW"),"",INDEX(J$1:J38,SUMPRODUCT(MAX(ROW(E$1:E38)*(E39=E$1:E38)))))</f>
        <v/>
      </c>
      <c r="L39" s="16"/>
    </row>
    <row r="40" customFormat="false" ht="12.8" hidden="false" customHeight="false" outlineLevel="0" collapsed="false">
      <c r="A40" s="0" t="s">
        <v>51</v>
      </c>
      <c r="B40" s="0" t="s">
        <v>29</v>
      </c>
      <c r="C40" s="0" t="s">
        <v>52</v>
      </c>
      <c r="E40" s="10" t="s">
        <v>44</v>
      </c>
      <c r="F40" s="11" t="s">
        <v>57</v>
      </c>
      <c r="G40" s="12" t="s">
        <v>58</v>
      </c>
      <c r="H40" s="13" t="str">
        <f aca="false">IF(J40&lt;&gt;1,"",IF(I40="SBJ","CB","?"))</f>
        <v/>
      </c>
      <c r="I40" s="14" t="str">
        <f aca="false">IF(OR(E40="",E40="!!!",F40="NEW"),"",INDEX(B39:B$2,-1+SUMPRODUCT(MAX(ROW(E39:E$2)*(E40=E39:E$2)))))</f>
        <v>other</v>
      </c>
      <c r="J40" s="15" t="n">
        <f aca="true">IF(OR(E40="",E40="!!!",F40="NEW"),"",COUNTBLANK(OFFSET(A$1,,,SUMPRODUCT(MAX(ROW(E$2:E40)*(E40=E$2:E40)))))-COUNTBLANK(OFFSET(A$1,,,SUMPRODUCT(MAX(ROW(E$1:E39)*(E40=E$1:E39))))))</f>
        <v>0</v>
      </c>
      <c r="K40" s="15" t="str">
        <f aca="false">IF(OR(E40="",E40="!!!",F40="NEW"),"",INDEX(J$1:J39,SUMPRODUCT(MAX(ROW(E$1:E39)*(E40=E$1:E39)))))</f>
        <v/>
      </c>
      <c r="L40" s="16"/>
    </row>
    <row r="41" customFormat="false" ht="12.8" hidden="false" customHeight="false" outlineLevel="0" collapsed="false">
      <c r="A41" s="0" t="s">
        <v>59</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IF(OR(E41="",E41="!!!",F41="NEW"),"",INDEX(B40:B$2,-1+SUMPRODUCT(MAX(ROW(E40:E$2)*(E41=E40:E$2)))))</f>
        <v/>
      </c>
      <c r="J41" s="15" t="str">
        <f aca="true">IF(OR(E41="",E41="!!!",F41="NEW"),"",COUNTBLANK(OFFSET(A$1,,,SUMPRODUCT(MAX(ROW(E$2:E41)*(E41=E$2:E41)))))-COUNTBLANK(OFFSET(A$1,,,SUMPRODUCT(MAX(ROW(E$1:E40)*(E41=E$1:E40))))))</f>
        <v/>
      </c>
      <c r="K41" s="15" t="str">
        <f aca="false">IF(OR(E41="",E41="!!!",F41="NEW"),"",INDEX(J$1:J40,SUMPRODUCT(MAX(ROW(E$1:E40)*(E41=E$1:E40)))))</f>
        <v/>
      </c>
      <c r="L41" s="16"/>
    </row>
    <row r="42" customFormat="false" ht="12.8" hidden="false" customHeight="false" outlineLevel="0" collapsed="false">
      <c r="A42" s="0" t="s">
        <v>60</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IF(OR(E42="",E42="!!!",F42="NEW"),"",INDEX(B41:B$2,-1+SUMPRODUCT(MAX(ROW(E41:E$2)*(E42=E41:E$2)))))</f>
        <v/>
      </c>
      <c r="J42" s="15" t="str">
        <f aca="true">IF(OR(E42="",E42="!!!",F42="NEW"),"",COUNTBLANK(OFFSET(A$1,,,SUMPRODUCT(MAX(ROW(E$2:E42)*(E42=E$2:E42)))))-COUNTBLANK(OFFSET(A$1,,,SUMPRODUCT(MAX(ROW(E$1:E41)*(E42=E$1:E41))))))</f>
        <v/>
      </c>
      <c r="K42" s="15" t="str">
        <f aca="false">IF(OR(E42="",E42="!!!",F42="NEW"),"",INDEX(J$1:J41,SUMPRODUCT(MAX(ROW(E$1:E41)*(E42=E$1:E41)))))</f>
        <v/>
      </c>
      <c r="L42" s="16"/>
    </row>
    <row r="43" customFormat="false" ht="12.8" hidden="false" customHeight="false" outlineLevel="0" collapsed="false">
      <c r="A43" s="0" t="s">
        <v>42</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IF(OR(E43="",E43="!!!",F43="NEW"),"",INDEX(B42:B$2,-1+SUMPRODUCT(MAX(ROW(E42:E$2)*(E43=E42:E$2)))))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8" hidden="false" customHeight="false" outlineLevel="0" collapsed="false">
      <c r="A44" s="0" t="s">
        <v>61</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IF(OR(E44="",E44="!!!",F44="NEW"),"",INDEX(B43:B$2,-1+SUMPRODUCT(MAX(ROW(E43:E$2)*(E44=E43:E$2)))))</f>
        <v/>
      </c>
      <c r="J44" s="15" t="str">
        <f aca="true">IF(OR(E44="",E44="!!!",F44="NEW"),"",COUNTBLANK(OFFSET(A$1,,,SUMPRODUCT(MAX(ROW(E$2:E44)*(E44=E$2:E44)))))-COUNTBLANK(OFFSET(A$1,,,SUMPRODUCT(MAX(ROW(E$1:E43)*(E44=E$1:E43))))))</f>
        <v/>
      </c>
      <c r="K44" s="15" t="str">
        <f aca="false">IF(OR(E44="",E44="!!!",F44="NEW"),"",INDEX(J$1:J43,SUMPRODUCT(MAX(ROW(E$1:E43)*(E44=E$1:E43)))))</f>
        <v/>
      </c>
      <c r="L44" s="16"/>
    </row>
    <row r="45" customFormat="false" ht="12.8" hidden="false" customHeight="false" outlineLevel="0" collapsed="false">
      <c r="A45" s="0" t="s">
        <v>62</v>
      </c>
      <c r="B45" s="0" t="s">
        <v>63</v>
      </c>
      <c r="C45" s="0" t="s">
        <v>64</v>
      </c>
      <c r="D45" s="0" t="s">
        <v>20</v>
      </c>
      <c r="E45" s="10" t="s">
        <v>65</v>
      </c>
      <c r="F45" s="11" t="str">
        <f aca="false">IF(OR(E45="",E45="!!!"),"",IF(NOT(ISNA(VLOOKUP(E45,E$1:E44,1,FALSE()))),"OLD",IF(AND(E45&lt;&gt;"",E45&lt;&gt;"!!!"),"NEW","")))</f>
        <v>NEW</v>
      </c>
      <c r="G45" s="12" t="str">
        <f aca="false">IF(OR(E45="",E45="!!!"),"",IF(OR(J45=0,AND(J45=1,K45=1),AND(J45=1,I45="SBJ"),AND(J45=1,I45=0)),"?IN_FOCUS",IF(J45&lt;=2,"?ACTIVATED",IF(J45&lt;&gt;"","?FAMILIAR",IF(F45="NEW",IF(ISNA(VLOOKUP(E45,#REF!,1,FALSE())),"?TYPE_IDENTIFIABLE","?REFERENTIAL"),"_")))))</f>
        <v>?REFERENTIAL</v>
      </c>
      <c r="H45" s="13" t="str">
        <f aca="false">IF(J45&lt;&gt;1,"",IF(I45="SBJ","CB","?"))</f>
        <v/>
      </c>
      <c r="I45" s="14" t="str">
        <f aca="false">IF(OR(E45="",E45="!!!",F45="NEW"),"",INDEX(B44:B$2,-1+SUMPRODUCT(MAX(ROW(E44:E$2)*(E45=E44:E$2)))))</f>
        <v/>
      </c>
      <c r="J45" s="15" t="str">
        <f aca="true">IF(OR(E45="",E45="!!!",F45="NEW"),"",COUNTBLANK(OFFSET(A$1,,,SUMPRODUCT(MAX(ROW(E$2:E45)*(E45=E$2:E45)))))-COUNTBLANK(OFFSET(A$1,,,SUMPRODUCT(MAX(ROW(E$1:E44)*(E45=E$1:E44))))))</f>
        <v/>
      </c>
      <c r="K45" s="15" t="str">
        <f aca="false">IF(OR(E45="",E45="!!!",F45="NEW"),"",INDEX(J$1:J44,SUMPRODUCT(MAX(ROW(E$1:E44)*(E45=E$1:E44)))))</f>
        <v/>
      </c>
      <c r="L45" s="16"/>
    </row>
    <row r="46" customFormat="false" ht="12.8" hidden="false" customHeight="false" outlineLevel="0" collapsed="false">
      <c r="A46" s="0" t="s">
        <v>40</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IF(OR(E46="",E46="!!!",F46="NEW"),"",INDEX(B45:B$2,-1+SUMPRODUCT(MAX(ROW(E45:E$2)*(E46=E45:E$2)))))</f>
        <v/>
      </c>
      <c r="J46" s="15" t="str">
        <f aca="true">IF(OR(E46="",E46="!!!",F46="NEW"),"",COUNTBLANK(OFFSET(A$1,,,SUMPRODUCT(MAX(ROW(E$2:E46)*(E46=E$2:E46)))))-COUNTBLANK(OFFSET(A$1,,,SUMPRODUCT(MAX(ROW(E$1:E45)*(E46=E$1:E45))))))</f>
        <v/>
      </c>
      <c r="K46" s="15" t="str">
        <f aca="false">IF(OR(E46="",E46="!!!",F46="NEW"),"",INDEX(J$1:J45,SUMPRODUCT(MAX(ROW(E$1:E45)*(E46=E$1:E45)))))</f>
        <v/>
      </c>
      <c r="L46" s="16"/>
    </row>
    <row r="47" customFormat="false" ht="12.8" hidden="false" customHeight="false" outlineLevel="0" collapsed="false">
      <c r="A47" s="0" t="s">
        <v>66</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IF(OR(E47="",E47="!!!",F47="NEW"),"",INDEX(B46:B$2,-1+SUMPRODUCT(MAX(ROW(E46:E$2)*(E47=E46:E$2)))))</f>
        <v/>
      </c>
      <c r="J47" s="15" t="str">
        <f aca="true">IF(OR(E47="",E47="!!!",F47="NEW"),"",COUNTBLANK(OFFSET(A$1,,,SUMPRODUCT(MAX(ROW(E$2:E47)*(E47=E$2:E47)))))-COUNTBLANK(OFFSET(A$1,,,SUMPRODUCT(MAX(ROW(E$1:E46)*(E47=E$1:E46))))))</f>
        <v/>
      </c>
      <c r="K47" s="15" t="str">
        <f aca="false">IF(OR(E47="",E47="!!!",F47="NEW"),"",INDEX(J$1:J46,SUMPRODUCT(MAX(ROW(E$1:E46)*(E47=E$1:E46)))))</f>
        <v/>
      </c>
      <c r="L47" s="16"/>
    </row>
    <row r="48" customFormat="false" ht="12.8" hidden="false" customHeight="false" outlineLevel="0" collapsed="false">
      <c r="A48" s="0" t="s">
        <v>67</v>
      </c>
      <c r="B48" s="0" t="s">
        <v>68</v>
      </c>
      <c r="C48" s="0" t="s">
        <v>30</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IF(OR(E48="",E48="!!!",F48="NEW"),"",INDEX(B47:B$2,-1+SUMPRODUCT(MAX(ROW(E47:E$2)*(E48=E47:E$2)))))</f>
        <v/>
      </c>
      <c r="J48" s="15" t="str">
        <f aca="true">IF(OR(E48="",E48="!!!",F48="NEW"),"",COUNTBLANK(OFFSET(A$1,,,SUMPRODUCT(MAX(ROW(E$2:E48)*(E48=E$2:E48)))))-COUNTBLANK(OFFSET(A$1,,,SUMPRODUCT(MAX(ROW(E$1:E47)*(E48=E$1:E47))))))</f>
        <v/>
      </c>
      <c r="K48" s="15" t="str">
        <f aca="false">IF(OR(E48="",E48="!!!",F48="NEW"),"",INDEX(J$1:J47,SUMPRODUCT(MAX(ROW(E$1:E47)*(E48=E$1:E47)))))</f>
        <v/>
      </c>
      <c r="L48" s="16"/>
    </row>
    <row r="49" customFormat="false" ht="12.8" hidden="false" customHeight="false" outlineLevel="0" collapsed="false">
      <c r="A49" s="0" t="s">
        <v>69</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IF(OR(E49="",E49="!!!",F49="NEW"),"",INDEX(B48:B$2,-1+SUMPRODUCT(MAX(ROW(E48:E$2)*(E49=E48:E$2)))))</f>
        <v/>
      </c>
      <c r="J49" s="15" t="str">
        <f aca="true">IF(OR(E49="",E49="!!!",F49="NEW"),"",COUNTBLANK(OFFSET(A$1,,,SUMPRODUCT(MAX(ROW(E$2:E49)*(E49=E$2:E49)))))-COUNTBLANK(OFFSET(A$1,,,SUMPRODUCT(MAX(ROW(E$1:E48)*(E49=E$1:E48))))))</f>
        <v/>
      </c>
      <c r="K49" s="15" t="str">
        <f aca="false">IF(OR(E49="",E49="!!!",F49="NEW"),"",INDEX(J$1:J48,SUMPRODUCT(MAX(ROW(E$1:E48)*(E49=E$1:E48)))))</f>
        <v/>
      </c>
      <c r="L49" s="16"/>
    </row>
    <row r="50" customFormat="false" ht="12.8" hidden="false" customHeight="false" outlineLevel="0" collapsed="false">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IF(OR(E50="",E50="!!!",F50="NEW"),"",INDEX(B49:B$2,-1+SUMPRODUCT(MAX(ROW(E49:E$2)*(E50=E49:E$2)))))</f>
        <v/>
      </c>
      <c r="J50" s="15" t="str">
        <f aca="true">IF(OR(E50="",E50="!!!",F50="NEW"),"",COUNTBLANK(OFFSET(A$1,,,SUMPRODUCT(MAX(ROW(E$2:E50)*(E50=E$2:E50)))))-COUNTBLANK(OFFSET(A$1,,,SUMPRODUCT(MAX(ROW(E$1:E49)*(E50=E$1:E49))))))</f>
        <v/>
      </c>
      <c r="K50" s="15" t="str">
        <f aca="false">IF(OR(E50="",E50="!!!",F50="NEW"),"",INDEX(J$1:J49,SUMPRODUCT(MAX(ROW(E$1:E49)*(E50=E$1:E49)))))</f>
        <v/>
      </c>
      <c r="L50" s="16"/>
    </row>
    <row r="51" customFormat="false" ht="12.8" hidden="false" customHeight="false" outlineLevel="0" collapsed="false">
      <c r="A51" s="0" t="s">
        <v>70</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IF(OR(E51="",E51="!!!",F51="NEW"),"",INDEX(B50:B$2,-1+SUMPRODUCT(MAX(ROW(E50:E$2)*(E51=E50:E$2)))))</f>
        <v/>
      </c>
      <c r="J51" s="15" t="str">
        <f aca="true">IF(OR(E51="",E51="!!!",F51="NEW"),"",COUNTBLANK(OFFSET(A$1,,,SUMPRODUCT(MAX(ROW(E$2:E51)*(E51=E$2:E51)))))-COUNTBLANK(OFFSET(A$1,,,SUMPRODUCT(MAX(ROW(E$1:E50)*(E51=E$1:E50))))))</f>
        <v/>
      </c>
      <c r="K51" s="15" t="str">
        <f aca="false">IF(OR(E51="",E51="!!!",F51="NEW"),"",INDEX(J$1:J50,SUMPRODUCT(MAX(ROW(E$1:E50)*(E51=E$1:E50)))))</f>
        <v/>
      </c>
      <c r="L51" s="16"/>
    </row>
    <row r="52" customFormat="false" ht="12.8" hidden="false" customHeight="false" outlineLevel="0" collapsed="false">
      <c r="A52" s="0" t="s">
        <v>71</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IF(OR(E52="",E52="!!!",F52="NEW"),"",INDEX(B51:B$2,-1+SUMPRODUCT(MAX(ROW(E51:E$2)*(E52=E51:E$2)))))</f>
        <v/>
      </c>
      <c r="J52" s="15" t="str">
        <f aca="true">IF(OR(E52="",E52="!!!",F52="NEW"),"",COUNTBLANK(OFFSET(A$1,,,SUMPRODUCT(MAX(ROW(E$2:E52)*(E52=E$2:E52)))))-COUNTBLANK(OFFSET(A$1,,,SUMPRODUCT(MAX(ROW(E$1:E51)*(E52=E$1:E51))))))</f>
        <v/>
      </c>
      <c r="K52" s="15" t="str">
        <f aca="false">IF(OR(E52="",E52="!!!",F52="NEW"),"",INDEX(J$1:J51,SUMPRODUCT(MAX(ROW(E$1:E51)*(E52=E$1:E51)))))</f>
        <v/>
      </c>
      <c r="L52" s="16"/>
    </row>
    <row r="53" customFormat="false" ht="12.8" hidden="false" customHeight="false" outlineLevel="0" collapsed="false">
      <c r="A53" s="0" t="s">
        <v>46</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IF(OR(E53="",E53="!!!",F53="NEW"),"",INDEX(B52:B$2,-1+SUMPRODUCT(MAX(ROW(E52:E$2)*(E53=E52:E$2)))))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8" hidden="false" customHeight="false" outlineLevel="0" collapsed="false">
      <c r="A54" s="0" t="s">
        <v>43</v>
      </c>
      <c r="B54" s="0" t="s">
        <v>33</v>
      </c>
      <c r="C54" s="0" t="s">
        <v>19</v>
      </c>
      <c r="D54" s="0" t="s">
        <v>20</v>
      </c>
      <c r="E54" s="10" t="s">
        <v>44</v>
      </c>
      <c r="F54" s="11" t="str">
        <f aca="false">IF(OR(E54="",E54="!!!"),"",IF(NOT(ISNA(VLOOKUP(E54,E$1:E53,1,FALSE()))),"OLD",IF(AND(E54&lt;&gt;"",E54&lt;&gt;"!!!"),"NEW","")))</f>
        <v>OLD</v>
      </c>
      <c r="G54" s="12" t="s">
        <v>72</v>
      </c>
      <c r="H54" s="13" t="s">
        <v>7</v>
      </c>
      <c r="I54" s="14" t="str">
        <f aca="false">IF(OR(E54="",E54="!!!",F54="NEW"),"",INDEX(B53:B$2,-1+SUMPRODUCT(MAX(ROW(E53:E$2)*(E54=E53:E$2)))))</f>
        <v>other_2</v>
      </c>
      <c r="J54" s="15" t="n">
        <f aca="true">IF(OR(E54="",E54="!!!",F54="NEW"),"",COUNTBLANK(OFFSET(A$1,,,SUMPRODUCT(MAX(ROW(E$2:E54)*(E54=E$2:E54)))))-COUNTBLANK(OFFSET(A$1,,,SUMPRODUCT(MAX(ROW(E$1:E53)*(E54=E$1:E53))))))</f>
        <v>1</v>
      </c>
      <c r="K54" s="15" t="n">
        <f aca="false">IF(OR(E54="",E54="!!!",F54="NEW"),"",INDEX(J$1:J53,SUMPRODUCT(MAX(ROW(E$1:E53)*(E54=E$1:E53)))))</f>
        <v>0</v>
      </c>
      <c r="L54" s="16"/>
    </row>
    <row r="55" customFormat="false" ht="12.8" hidden="false" customHeight="false" outlineLevel="0" collapsed="false">
      <c r="A55" s="0" t="s">
        <v>45</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IF(OR(E55="",E55="!!!",F55="NEW"),"",INDEX(B54:B$2,-1+SUMPRODUCT(MAX(ROW(E54:E$2)*(E55=E54:E$2)))))</f>
        <v/>
      </c>
      <c r="J55" s="15" t="str">
        <f aca="true">IF(OR(E55="",E55="!!!",F55="NEW"),"",COUNTBLANK(OFFSET(A$1,,,SUMPRODUCT(MAX(ROW(E$2:E55)*(E55=E$2:E55)))))-COUNTBLANK(OFFSET(A$1,,,SUMPRODUCT(MAX(ROW(E$1:E54)*(E55=E$1:E54))))))</f>
        <v/>
      </c>
      <c r="K55" s="15" t="str">
        <f aca="false">IF(OR(E55="",E55="!!!",F55="NEW"),"",INDEX(J$1:J54,SUMPRODUCT(MAX(ROW(E$1:E54)*(E55=E$1:E54)))))</f>
        <v/>
      </c>
      <c r="L55" s="16"/>
    </row>
    <row r="56" customFormat="false" ht="12.8" hidden="false" customHeight="false" outlineLevel="0" collapsed="false">
      <c r="A56" s="0" t="s">
        <v>73</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IF(OR(E56="",E56="!!!",F56="NEW"),"",INDEX(B55:B$2,-1+SUMPRODUCT(MAX(ROW(E55:E$2)*(E56=E55:E$2)))))</f>
        <v/>
      </c>
      <c r="J56" s="15" t="str">
        <f aca="true">IF(OR(E56="",E56="!!!",F56="NEW"),"",COUNTBLANK(OFFSET(A$1,,,SUMPRODUCT(MAX(ROW(E$2:E56)*(E56=E$2:E56)))))-COUNTBLANK(OFFSET(A$1,,,SUMPRODUCT(MAX(ROW(E$1:E55)*(E56=E$1:E55))))))</f>
        <v/>
      </c>
      <c r="K56" s="15" t="str">
        <f aca="false">IF(OR(E56="",E56="!!!",F56="NEW"),"",INDEX(J$1:J55,SUMPRODUCT(MAX(ROW(E$1:E55)*(E56=E$1:E55)))))</f>
        <v/>
      </c>
      <c r="L56" s="16"/>
    </row>
    <row r="57" customFormat="false" ht="12.8" hidden="false" customHeight="false" outlineLevel="0" collapsed="false">
      <c r="A57" s="0" t="s">
        <v>74</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IF(OR(E57="",E57="!!!",F57="NEW"),"",INDEX(B56:B$2,-1+SUMPRODUCT(MAX(ROW(E56:E$2)*(E57=E56:E$2)))))</f>
        <v/>
      </c>
      <c r="J57" s="15" t="str">
        <f aca="true">IF(OR(E57="",E57="!!!",F57="NEW"),"",COUNTBLANK(OFFSET(A$1,,,SUMPRODUCT(MAX(ROW(E$2:E57)*(E57=E$2:E57)))))-COUNTBLANK(OFFSET(A$1,,,SUMPRODUCT(MAX(ROW(E$1:E56)*(E57=E$1:E56))))))</f>
        <v/>
      </c>
      <c r="K57" s="15" t="str">
        <f aca="false">IF(OR(E57="",E57="!!!",F57="NEW"),"",INDEX(J$1:J56,SUMPRODUCT(MAX(ROW(E$1:E56)*(E57=E$1:E56)))))</f>
        <v/>
      </c>
      <c r="L57" s="16"/>
    </row>
    <row r="58" customFormat="false" ht="12.8" hidden="false" customHeight="false" outlineLevel="0" collapsed="false">
      <c r="A58" s="0" t="s">
        <v>75</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IF(OR(E58="",E58="!!!",F58="NEW"),"",INDEX(B57:B$2,-1+SUMPRODUCT(MAX(ROW(E57:E$2)*(E58=E57:E$2)))))</f>
        <v/>
      </c>
      <c r="J58" s="15" t="str">
        <f aca="true">IF(OR(E58="",E58="!!!",F58="NEW"),"",COUNTBLANK(OFFSET(A$1,,,SUMPRODUCT(MAX(ROW(E$2:E58)*(E58=E$2:E58)))))-COUNTBLANK(OFFSET(A$1,,,SUMPRODUCT(MAX(ROW(E$1:E57)*(E58=E$1:E57))))))</f>
        <v/>
      </c>
      <c r="K58" s="15" t="str">
        <f aca="false">IF(OR(E58="",E58="!!!",F58="NEW"),"",INDEX(J$1:J57,SUMPRODUCT(MAX(ROW(E$1:E57)*(E58=E$1:E57)))))</f>
        <v/>
      </c>
      <c r="L58" s="16"/>
    </row>
    <row r="59" customFormat="false" ht="12.8" hidden="false" customHeight="false" outlineLevel="0" collapsed="false">
      <c r="A59" s="0" t="s">
        <v>47</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IF(OR(E59="",E59="!!!",F59="NEW"),"",INDEX(B58:B$2,-1+SUMPRODUCT(MAX(ROW(E58:E$2)*(E59=E58:E$2)))))</f>
        <v/>
      </c>
      <c r="J59" s="15" t="str">
        <f aca="true">IF(OR(E59="",E59="!!!",F59="NEW"),"",COUNTBLANK(OFFSET(A$1,,,SUMPRODUCT(MAX(ROW(E$2:E59)*(E59=E$2:E59)))))-COUNTBLANK(OFFSET(A$1,,,SUMPRODUCT(MAX(ROW(E$1:E58)*(E59=E$1:E58))))))</f>
        <v/>
      </c>
      <c r="K59" s="15" t="str">
        <f aca="false">IF(OR(E59="",E59="!!!",F59="NEW"),"",INDEX(J$1:J58,SUMPRODUCT(MAX(ROW(E$1:E58)*(E59=E$1:E58)))))</f>
        <v/>
      </c>
      <c r="L59" s="16"/>
    </row>
    <row r="60" customFormat="false" ht="12.8" hidden="false" customHeight="false" outlineLevel="0" collapsed="false">
      <c r="A60" s="0" t="s">
        <v>76</v>
      </c>
      <c r="B60" s="0" t="s">
        <v>55</v>
      </c>
      <c r="C60" s="0" t="s">
        <v>30</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IF(OR(E60="",E60="!!!",F60="NEW"),"",INDEX(B59:B$2,-1+SUMPRODUCT(MAX(ROW(E59:E$2)*(E60=E59:E$2)))))</f>
        <v/>
      </c>
      <c r="J60" s="15" t="str">
        <f aca="true">IF(OR(E60="",E60="!!!",F60="NEW"),"",COUNTBLANK(OFFSET(A$1,,,SUMPRODUCT(MAX(ROW(E$2:E60)*(E60=E$2:E60)))))-COUNTBLANK(OFFSET(A$1,,,SUMPRODUCT(MAX(ROW(E$1:E59)*(E60=E$1:E59))))))</f>
        <v/>
      </c>
      <c r="K60" s="15" t="str">
        <f aca="false">IF(OR(E60="",E60="!!!",F60="NEW"),"",INDEX(J$1:J59,SUMPRODUCT(MAX(ROW(E$1:E59)*(E60=E$1:E59)))))</f>
        <v/>
      </c>
      <c r="L60" s="16"/>
    </row>
    <row r="61" customFormat="false" ht="12.8" hidden="false" customHeight="false" outlineLevel="0" collapsed="false">
      <c r="A61" s="0" t="s">
        <v>77</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IF(OR(E61="",E61="!!!",F61="NEW"),"",INDEX(B60:B$2,-1+SUMPRODUCT(MAX(ROW(E60:E$2)*(E61=E60:E$2)))))</f>
        <v/>
      </c>
      <c r="J61" s="15" t="str">
        <f aca="true">IF(OR(E61="",E61="!!!",F61="NEW"),"",COUNTBLANK(OFFSET(A$1,,,SUMPRODUCT(MAX(ROW(E$2:E61)*(E61=E$2:E61)))))-COUNTBLANK(OFFSET(A$1,,,SUMPRODUCT(MAX(ROW(E$1:E60)*(E61=E$1:E60))))))</f>
        <v/>
      </c>
      <c r="K61" s="15" t="str">
        <f aca="false">IF(OR(E61="",E61="!!!",F61="NEW"),"",INDEX(J$1:J60,SUMPRODUCT(MAX(ROW(E$1:E60)*(E61=E$1:E60)))))</f>
        <v/>
      </c>
      <c r="L61" s="16"/>
    </row>
    <row r="62" customFormat="false" ht="12.8" hidden="false" customHeight="false" outlineLevel="0" collapsed="false">
      <c r="A62" s="0" t="s">
        <v>78</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IF(OR(E62="",E62="!!!",F62="NEW"),"",INDEX(B61:B$2,-1+SUMPRODUCT(MAX(ROW(E61:E$2)*(E62=E61:E$2)))))</f>
        <v/>
      </c>
      <c r="J62" s="15" t="str">
        <f aca="true">IF(OR(E62="",E62="!!!",F62="NEW"),"",COUNTBLANK(OFFSET(A$1,,,SUMPRODUCT(MAX(ROW(E$2:E62)*(E62=E$2:E62)))))-COUNTBLANK(OFFSET(A$1,,,SUMPRODUCT(MAX(ROW(E$1:E61)*(E62=E$1:E61))))))</f>
        <v/>
      </c>
      <c r="K62" s="15" t="str">
        <f aca="false">IF(OR(E62="",E62="!!!",F62="NEW"),"",INDEX(J$1:J61,SUMPRODUCT(MAX(ROW(E$1:E61)*(E62=E$1:E61)))))</f>
        <v/>
      </c>
      <c r="L62" s="16"/>
    </row>
    <row r="63" customFormat="false" ht="12.8" hidden="false" customHeight="false" outlineLevel="0" collapsed="false">
      <c r="A63" s="0" t="s">
        <v>79</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IF(OR(E63="",E63="!!!",F63="NEW"),"",INDEX(B62:B$2,-1+SUMPRODUCT(MAX(ROW(E62:E$2)*(E63=E62:E$2)))))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8" hidden="false" customHeight="false" outlineLevel="0" collapsed="false">
      <c r="A64" s="0" t="s">
        <v>80</v>
      </c>
      <c r="B64" s="0" t="s">
        <v>14</v>
      </c>
      <c r="C64" s="0" t="s">
        <v>52</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IF(OR(E64="",E64="!!!",F64="NEW"),"",INDEX(B63:B$2,-1+SUMPRODUCT(MAX(ROW(E63:E$2)*(E64=E63:E$2)))))</f>
        <v/>
      </c>
      <c r="J64" s="15" t="str">
        <f aca="true">IF(OR(E64="",E64="!!!",F64="NEW"),"",COUNTBLANK(OFFSET(A$1,,,SUMPRODUCT(MAX(ROW(E$2:E64)*(E64=E$2:E64)))))-COUNTBLANK(OFFSET(A$1,,,SUMPRODUCT(MAX(ROW(E$1:E63)*(E64=E$1:E63))))))</f>
        <v/>
      </c>
      <c r="K64" s="15" t="str">
        <f aca="false">IF(OR(E64="",E64="!!!",F64="NEW"),"",INDEX(J$1:J63,SUMPRODUCT(MAX(ROW(E$1:E63)*(E64=E$1:E63)))))</f>
        <v/>
      </c>
      <c r="L64" s="16"/>
    </row>
    <row r="65" customFormat="false" ht="12.8" hidden="false" customHeight="false" outlineLevel="0" collapsed="false">
      <c r="A65" s="0" t="s">
        <v>42</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IF(OR(E65="",E65="!!!",F65="NEW"),"",INDEX(B64:B$2,-1+SUMPRODUCT(MAX(ROW(E64:E$2)*(E65=E64:E$2)))))</f>
        <v/>
      </c>
      <c r="J65" s="15" t="str">
        <f aca="true">IF(OR(E65="",E65="!!!",F65="NEW"),"",COUNTBLANK(OFFSET(A$1,,,SUMPRODUCT(MAX(ROW(E$2:E65)*(E65=E$2:E65)))))-COUNTBLANK(OFFSET(A$1,,,SUMPRODUCT(MAX(ROW(E$1:E64)*(E65=E$1:E64))))))</f>
        <v/>
      </c>
      <c r="K65" s="15" t="str">
        <f aca="false">IF(OR(E65="",E65="!!!",F65="NEW"),"",INDEX(J$1:J64,SUMPRODUCT(MAX(ROW(E$1:E64)*(E65=E$1:E64)))))</f>
        <v/>
      </c>
      <c r="L65" s="16"/>
    </row>
    <row r="66" customFormat="false" ht="12.8" hidden="false" customHeight="false" outlineLevel="0" collapsed="false">
      <c r="A66" s="0" t="s">
        <v>81</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IF(OR(E66="",E66="!!!",F66="NEW"),"",INDEX(B65:B$2,-1+SUMPRODUCT(MAX(ROW(E65:E$2)*(E66=E65:E$2)))))</f>
        <v/>
      </c>
      <c r="J66" s="15" t="str">
        <f aca="true">IF(OR(E66="",E66="!!!",F66="NEW"),"",COUNTBLANK(OFFSET(A$1,,,SUMPRODUCT(MAX(ROW(E$2:E66)*(E66=E$2:E66)))))-COUNTBLANK(OFFSET(A$1,,,SUMPRODUCT(MAX(ROW(E$1:E65)*(E66=E$1:E65))))))</f>
        <v/>
      </c>
      <c r="K66" s="15" t="str">
        <f aca="false">IF(OR(E66="",E66="!!!",F66="NEW"),"",INDEX(J$1:J65,SUMPRODUCT(MAX(ROW(E$1:E65)*(E66=E$1:E65)))))</f>
        <v/>
      </c>
      <c r="L66" s="16"/>
    </row>
    <row r="67" customFormat="false" ht="12.8" hidden="false" customHeight="false" outlineLevel="0" collapsed="false">
      <c r="A67" s="0" t="s">
        <v>82</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IF(OR(E67="",E67="!!!",F67="NEW"),"",INDEX(B66:B$2,-1+SUMPRODUCT(MAX(ROW(E66:E$2)*(E67=E66:E$2)))))</f>
        <v/>
      </c>
      <c r="J67" s="15" t="str">
        <f aca="true">IF(OR(E67="",E67="!!!",F67="NEW"),"",COUNTBLANK(OFFSET(A$1,,,SUMPRODUCT(MAX(ROW(E$2:E67)*(E67=E$2:E67)))))-COUNTBLANK(OFFSET(A$1,,,SUMPRODUCT(MAX(ROW(E$1:E66)*(E67=E$1:E66))))))</f>
        <v/>
      </c>
      <c r="K67" s="15" t="str">
        <f aca="false">IF(OR(E67="",E67="!!!",F67="NEW"),"",INDEX(J$1:J66,SUMPRODUCT(MAX(ROW(E$1:E66)*(E67=E$1:E66)))))</f>
        <v/>
      </c>
      <c r="L67" s="16"/>
    </row>
    <row r="68" customFormat="false" ht="12.8" hidden="false" customHeight="false" outlineLevel="0" collapsed="false">
      <c r="A68" s="0" t="s">
        <v>83</v>
      </c>
      <c r="B68" s="0" t="s">
        <v>29</v>
      </c>
      <c r="C68" s="0" t="s">
        <v>25</v>
      </c>
      <c r="D68" s="0" t="s">
        <v>20</v>
      </c>
      <c r="E68" s="10" t="s">
        <v>84</v>
      </c>
      <c r="F68" s="11" t="str">
        <f aca="false">IF(OR(E68="",E68="!!!"),"",IF(NOT(ISNA(VLOOKUP(E68,E$1:E67,1,FALSE()))),"OLD",IF(AND(E68&lt;&gt;"",E68&lt;&gt;"!!!"),"NEW","")))</f>
        <v>NEW</v>
      </c>
      <c r="G68" s="12" t="s">
        <v>85</v>
      </c>
      <c r="H68" s="13" t="str">
        <f aca="false">IF(J68&lt;&gt;1,"",IF(I68="SBJ","CB","?"))</f>
        <v/>
      </c>
      <c r="I68" s="14" t="str">
        <f aca="false">IF(OR(E68="",E68="!!!",F68="NEW"),"",INDEX(B67:B$2,-1+SUMPRODUCT(MAX(ROW(E67:E$2)*(E68=E67:E$2)))))</f>
        <v/>
      </c>
      <c r="J68" s="15" t="str">
        <f aca="true">IF(OR(E68="",E68="!!!",F68="NEW"),"",COUNTBLANK(OFFSET(A$1,,,SUMPRODUCT(MAX(ROW(E$2:E68)*(E68=E$2:E68)))))-COUNTBLANK(OFFSET(A$1,,,SUMPRODUCT(MAX(ROW(E$1:E67)*(E68=E$1:E67))))))</f>
        <v/>
      </c>
      <c r="K68" s="15" t="str">
        <f aca="false">IF(OR(E68="",E68="!!!",F68="NEW"),"",INDEX(J$1:J67,SUMPRODUCT(MAX(ROW(E$1:E67)*(E68=E$1:E67)))))</f>
        <v/>
      </c>
      <c r="L68" s="16"/>
    </row>
    <row r="69" customFormat="false" ht="12.8" hidden="false" customHeight="false" outlineLevel="0" collapsed="false">
      <c r="A69" s="0" t="s">
        <v>86</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IF(OR(E69="",E69="!!!",F69="NEW"),"",INDEX(B68:B$2,-1+SUMPRODUCT(MAX(ROW(E68:E$2)*(E69=E68:E$2)))))</f>
        <v/>
      </c>
      <c r="J69" s="15" t="str">
        <f aca="true">IF(OR(E69="",E69="!!!",F69="NEW"),"",COUNTBLANK(OFFSET(A$1,,,SUMPRODUCT(MAX(ROW(E$2:E69)*(E69=E$2:E69)))))-COUNTBLANK(OFFSET(A$1,,,SUMPRODUCT(MAX(ROW(E$1:E68)*(E69=E$1:E68))))))</f>
        <v/>
      </c>
      <c r="K69" s="15" t="str">
        <f aca="false">IF(OR(E69="",E69="!!!",F69="NEW"),"",INDEX(J$1:J68,SUMPRODUCT(MAX(ROW(E$1:E68)*(E69=E$1:E68)))))</f>
        <v/>
      </c>
      <c r="L69" s="16"/>
    </row>
    <row r="70" customFormat="false" ht="12.8" hidden="false" customHeight="false" outlineLevel="0" collapsed="false">
      <c r="A70" s="0" t="s">
        <v>87</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IF(OR(E70="",E70="!!!",F70="NEW"),"",INDEX(B69:B$2,-1+SUMPRODUCT(MAX(ROW(E69:E$2)*(E70=E69:E$2)))))</f>
        <v/>
      </c>
      <c r="J70" s="15" t="str">
        <f aca="true">IF(OR(E70="",E70="!!!",F70="NEW"),"",COUNTBLANK(OFFSET(A$1,,,SUMPRODUCT(MAX(ROW(E$2:E70)*(E70=E$2:E70)))))-COUNTBLANK(OFFSET(A$1,,,SUMPRODUCT(MAX(ROW(E$1:E69)*(E70=E$1:E69))))))</f>
        <v/>
      </c>
      <c r="K70" s="15" t="str">
        <f aca="false">IF(OR(E70="",E70="!!!",F70="NEW"),"",INDEX(J$1:J69,SUMPRODUCT(MAX(ROW(E$1:E69)*(E70=E$1:E69)))))</f>
        <v/>
      </c>
      <c r="L70" s="16"/>
    </row>
    <row r="71" customFormat="false" ht="12.8" hidden="false" customHeight="false" outlineLevel="0" collapsed="false">
      <c r="A71" s="0" t="s">
        <v>88</v>
      </c>
      <c r="B71" s="0" t="s">
        <v>89</v>
      </c>
      <c r="C71" s="0" t="s">
        <v>30</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IF(OR(E71="",E71="!!!",F71="NEW"),"",INDEX(B70:B$2,-1+SUMPRODUCT(MAX(ROW(E70:E$2)*(E71=E70:E$2)))))</f>
        <v/>
      </c>
      <c r="J71" s="15" t="str">
        <f aca="true">IF(OR(E71="",E71="!!!",F71="NEW"),"",COUNTBLANK(OFFSET(A$1,,,SUMPRODUCT(MAX(ROW(E$2:E71)*(E71=E$2:E71)))))-COUNTBLANK(OFFSET(A$1,,,SUMPRODUCT(MAX(ROW(E$1:E70)*(E71=E$1:E70))))))</f>
        <v/>
      </c>
      <c r="K71" s="15" t="str">
        <f aca="false">IF(OR(E71="",E71="!!!",F71="NEW"),"",INDEX(J$1:J70,SUMPRODUCT(MAX(ROW(E$1:E70)*(E71=E$1:E70)))))</f>
        <v/>
      </c>
      <c r="L71" s="16"/>
    </row>
    <row r="72" customFormat="false" ht="12.8" hidden="false" customHeight="false" outlineLevel="0" collapsed="false">
      <c r="A72" s="0" t="s">
        <v>90</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IF(OR(E72="",E72="!!!",F72="NEW"),"",INDEX(B71:B$2,-1+SUMPRODUCT(MAX(ROW(E71:E$2)*(E72=E71:E$2)))))</f>
        <v/>
      </c>
      <c r="J72" s="15" t="str">
        <f aca="true">IF(OR(E72="",E72="!!!",F72="NEW"),"",COUNTBLANK(OFFSET(A$1,,,SUMPRODUCT(MAX(ROW(E$2:E72)*(E72=E$2:E72)))))-COUNTBLANK(OFFSET(A$1,,,SUMPRODUCT(MAX(ROW(E$1:E71)*(E72=E$1:E71))))))</f>
        <v/>
      </c>
      <c r="K72" s="15" t="str">
        <f aca="false">IF(OR(E72="",E72="!!!",F72="NEW"),"",INDEX(J$1:J71,SUMPRODUCT(MAX(ROW(E$1:E71)*(E72=E$1:E71)))))</f>
        <v/>
      </c>
      <c r="L72" s="16"/>
    </row>
    <row r="73" customFormat="false" ht="12.8" hidden="false" customHeight="false" outlineLevel="0" collapsed="false">
      <c r="A73" s="0" t="s">
        <v>91</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IF(OR(E73="",E73="!!!",F73="NEW"),"",INDEX(B72:B$2,-1+SUMPRODUCT(MAX(ROW(E72:E$2)*(E73=E72:E$2)))))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8" hidden="false" customHeight="false" outlineLevel="0" collapsed="false">
      <c r="A74" s="0" t="s">
        <v>92</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IF(OR(E74="",E74="!!!",F74="NEW"),"",INDEX(B73:B$2,-1+SUMPRODUCT(MAX(ROW(E73:E$2)*(E74=E73:E$2)))))</f>
        <v/>
      </c>
      <c r="J74" s="15" t="str">
        <f aca="true">IF(OR(E74="",E74="!!!",F74="NEW"),"",COUNTBLANK(OFFSET(A$1,,,SUMPRODUCT(MAX(ROW(E$2:E74)*(E74=E$2:E74)))))-COUNTBLANK(OFFSET(A$1,,,SUMPRODUCT(MAX(ROW(E$1:E73)*(E74=E$1:E73))))))</f>
        <v/>
      </c>
      <c r="K74" s="15" t="str">
        <f aca="false">IF(OR(E74="",E74="!!!",F74="NEW"),"",INDEX(J$1:J73,SUMPRODUCT(MAX(ROW(E$1:E73)*(E74=E$1:E73)))))</f>
        <v/>
      </c>
      <c r="L74" s="16"/>
    </row>
    <row r="75" customFormat="false" ht="12.8" hidden="false" customHeight="false" outlineLevel="0" collapsed="false">
      <c r="A75" s="0" t="s">
        <v>93</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IF(OR(E75="",E75="!!!",F75="NEW"),"",INDEX(B74:B$2,-1+SUMPRODUCT(MAX(ROW(E74:E$2)*(E75=E74:E$2)))))</f>
        <v/>
      </c>
      <c r="J75" s="15" t="str">
        <f aca="true">IF(OR(E75="",E75="!!!",F75="NEW"),"",COUNTBLANK(OFFSET(A$1,,,SUMPRODUCT(MAX(ROW(E$2:E75)*(E75=E$2:E75)))))-COUNTBLANK(OFFSET(A$1,,,SUMPRODUCT(MAX(ROW(E$1:E74)*(E75=E$1:E74))))))</f>
        <v/>
      </c>
      <c r="K75" s="15" t="str">
        <f aca="false">IF(OR(E75="",E75="!!!",F75="NEW"),"",INDEX(J$1:J74,SUMPRODUCT(MAX(ROW(E$1:E74)*(E75=E$1:E74)))))</f>
        <v/>
      </c>
      <c r="L75" s="16"/>
    </row>
    <row r="76" customFormat="false" ht="12.8" hidden="false" customHeight="false" outlineLevel="0" collapsed="false">
      <c r="A76" s="0" t="s">
        <v>69</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IF(OR(E76="",E76="!!!",F76="NEW"),"",INDEX(B75:B$2,-1+SUMPRODUCT(MAX(ROW(E75:E$2)*(E76=E75:E$2)))))</f>
        <v/>
      </c>
      <c r="J76" s="15" t="str">
        <f aca="true">IF(OR(E76="",E76="!!!",F76="NEW"),"",COUNTBLANK(OFFSET(A$1,,,SUMPRODUCT(MAX(ROW(E$2:E76)*(E76=E$2:E76)))))-COUNTBLANK(OFFSET(A$1,,,SUMPRODUCT(MAX(ROW(E$1:E75)*(E76=E$1:E75))))))</f>
        <v/>
      </c>
      <c r="K76" s="15" t="str">
        <f aca="false">IF(OR(E76="",E76="!!!",F76="NEW"),"",INDEX(J$1:J75,SUMPRODUCT(MAX(ROW(E$1:E75)*(E76=E$1:E75)))))</f>
        <v/>
      </c>
      <c r="L76" s="16"/>
    </row>
    <row r="77" customFormat="false" ht="12.8" hidden="false" customHeight="false" outlineLevel="0" collapsed="false">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IF(OR(E77="",E77="!!!",F77="NEW"),"",INDEX(B76:B$2,-1+SUMPRODUCT(MAX(ROW(E76:E$2)*(E77=E76:E$2)))))</f>
        <v/>
      </c>
      <c r="J77" s="15" t="str">
        <f aca="true">IF(OR(E77="",E77="!!!",F77="NEW"),"",COUNTBLANK(OFFSET(A$1,,,SUMPRODUCT(MAX(ROW(E$2:E77)*(E77=E$2:E77)))))-COUNTBLANK(OFFSET(A$1,,,SUMPRODUCT(MAX(ROW(E$1:E76)*(E77=E$1:E76))))))</f>
        <v/>
      </c>
      <c r="K77" s="15" t="str">
        <f aca="false">IF(OR(E77="",E77="!!!",F77="NEW"),"",INDEX(J$1:J76,SUMPRODUCT(MAX(ROW(E$1:E76)*(E77=E$1:E76)))))</f>
        <v/>
      </c>
      <c r="L77" s="16"/>
    </row>
    <row r="78" customFormat="false" ht="12.8" hidden="false" customHeight="false" outlineLevel="0" collapsed="false">
      <c r="A78" s="0" t="s">
        <v>94</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IF(OR(E78="",E78="!!!",F78="NEW"),"",INDEX(B77:B$2,-1+SUMPRODUCT(MAX(ROW(E77:E$2)*(E78=E77:E$2)))))</f>
        <v/>
      </c>
      <c r="J78" s="15" t="str">
        <f aca="true">IF(OR(E78="",E78="!!!",F78="NEW"),"",COUNTBLANK(OFFSET(A$1,,,SUMPRODUCT(MAX(ROW(E$2:E78)*(E78=E$2:E78)))))-COUNTBLANK(OFFSET(A$1,,,SUMPRODUCT(MAX(ROW(E$1:E77)*(E78=E$1:E77))))))</f>
        <v/>
      </c>
      <c r="K78" s="15" t="str">
        <f aca="false">IF(OR(E78="",E78="!!!",F78="NEW"),"",INDEX(J$1:J77,SUMPRODUCT(MAX(ROW(E$1:E77)*(E78=E$1:E77)))))</f>
        <v/>
      </c>
      <c r="L78" s="16"/>
    </row>
    <row r="79" customFormat="false" ht="12.8" hidden="false" customHeight="false" outlineLevel="0" collapsed="false">
      <c r="A79" s="0" t="s">
        <v>95</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IF(OR(E79="",E79="!!!",F79="NEW"),"",INDEX(B78:B$2,-1+SUMPRODUCT(MAX(ROW(E78:E$2)*(E79=E78:E$2)))))</f>
        <v/>
      </c>
      <c r="J79" s="15" t="str">
        <f aca="true">IF(OR(E79="",E79="!!!",F79="NEW"),"",COUNTBLANK(OFFSET(A$1,,,SUMPRODUCT(MAX(ROW(E$2:E79)*(E79=E$2:E79)))))-COUNTBLANK(OFFSET(A$1,,,SUMPRODUCT(MAX(ROW(E$1:E78)*(E79=E$1:E78))))))</f>
        <v/>
      </c>
      <c r="K79" s="15" t="str">
        <f aca="false">IF(OR(E79="",E79="!!!",F79="NEW"),"",INDEX(J$1:J78,SUMPRODUCT(MAX(ROW(E$1:E78)*(E79=E$1:E78)))))</f>
        <v/>
      </c>
      <c r="L79" s="16"/>
    </row>
    <row r="80" customFormat="false" ht="12.8" hidden="false" customHeight="false" outlineLevel="0" collapsed="false">
      <c r="A80" s="0" t="s">
        <v>96</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IF(OR(E80="",E80="!!!",F80="NEW"),"",INDEX(B79:B$2,-1+SUMPRODUCT(MAX(ROW(E79:E$2)*(E80=E79:E$2)))))</f>
        <v/>
      </c>
      <c r="J80" s="15" t="str">
        <f aca="true">IF(OR(E80="",E80="!!!",F80="NEW"),"",COUNTBLANK(OFFSET(A$1,,,SUMPRODUCT(MAX(ROW(E$2:E80)*(E80=E$2:E80)))))-COUNTBLANK(OFFSET(A$1,,,SUMPRODUCT(MAX(ROW(E$1:E79)*(E80=E$1:E79))))))</f>
        <v/>
      </c>
      <c r="K80" s="15" t="str">
        <f aca="false">IF(OR(E80="",E80="!!!",F80="NEW"),"",INDEX(J$1:J79,SUMPRODUCT(MAX(ROW(E$1:E79)*(E80=E$1:E79)))))</f>
        <v/>
      </c>
      <c r="L80" s="16"/>
    </row>
    <row r="81" customFormat="false" ht="12.8" hidden="false" customHeight="false" outlineLevel="0" collapsed="false">
      <c r="A81" s="0" t="n">
        <v>8000</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IF(OR(E81="",E81="!!!",F81="NEW"),"",INDEX(B80:B$2,-1+SUMPRODUCT(MAX(ROW(E80:E$2)*(E81=E80:E$2)))))</f>
        <v/>
      </c>
      <c r="J81" s="15" t="str">
        <f aca="true">IF(OR(E81="",E81="!!!",F81="NEW"),"",COUNTBLANK(OFFSET(A$1,,,SUMPRODUCT(MAX(ROW(E$2:E81)*(E81=E$2:E81)))))-COUNTBLANK(OFFSET(A$1,,,SUMPRODUCT(MAX(ROW(E$1:E80)*(E81=E$1:E80))))))</f>
        <v/>
      </c>
      <c r="K81" s="15" t="str">
        <f aca="false">IF(OR(E81="",E81="!!!",F81="NEW"),"",INDEX(J$1:J80,SUMPRODUCT(MAX(ROW(E$1:E80)*(E81=E$1:E80)))))</f>
        <v/>
      </c>
      <c r="L81" s="16"/>
    </row>
    <row r="82" customFormat="false" ht="12.8" hidden="false" customHeight="false" outlineLevel="0" collapsed="false">
      <c r="A82" s="0" t="s">
        <v>97</v>
      </c>
      <c r="B82" s="0" t="s">
        <v>33</v>
      </c>
      <c r="C82" s="0" t="s">
        <v>52</v>
      </c>
      <c r="E82" s="10" t="s">
        <v>98</v>
      </c>
      <c r="F82" s="11" t="str">
        <f aca="false">IF(OR(E82="",E82="!!!"),"",IF(NOT(ISNA(VLOOKUP(E82,E$1:E81,1,FALSE()))),"OLD",IF(AND(E82&lt;&gt;"",E82&lt;&gt;"!!!"),"NEW","")))</f>
        <v>NEW</v>
      </c>
      <c r="G82" s="12" t="s">
        <v>37</v>
      </c>
      <c r="H82" s="13" t="str">
        <f aca="false">IF(J82&lt;&gt;1,"",IF(I82="SBJ","CB","?"))</f>
        <v/>
      </c>
      <c r="I82" s="14" t="str">
        <f aca="false">IF(OR(E82="",E82="!!!",F82="NEW"),"",INDEX(B81:B$2,-1+SUMPRODUCT(MAX(ROW(E81:E$2)*(E82=E81:E$2)))))</f>
        <v/>
      </c>
      <c r="J82" s="15" t="str">
        <f aca="true">IF(OR(E82="",E82="!!!",F82="NEW"),"",COUNTBLANK(OFFSET(A$1,,,SUMPRODUCT(MAX(ROW(E$2:E82)*(E82=E$2:E82)))))-COUNTBLANK(OFFSET(A$1,,,SUMPRODUCT(MAX(ROW(E$1:E81)*(E82=E$1:E81))))))</f>
        <v/>
      </c>
      <c r="K82" s="15" t="str">
        <f aca="false">IF(OR(E82="",E82="!!!",F82="NEW"),"",INDEX(J$1:J81,SUMPRODUCT(MAX(ROW(E$1:E81)*(E82=E$1:E81)))))</f>
        <v/>
      </c>
      <c r="L82" s="16"/>
    </row>
    <row r="83" customFormat="false" ht="12.8" hidden="false" customHeight="false" outlineLevel="0" collapsed="false">
      <c r="A83" s="0" t="s">
        <v>46</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IF(OR(E83="",E83="!!!",F83="NEW"),"",INDEX(B82:B$2,-1+SUMPRODUCT(MAX(ROW(E82:E$2)*(E83=E82:E$2)))))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8" hidden="false" customHeight="false" outlineLevel="0" collapsed="false">
      <c r="A84" s="0" t="s">
        <v>99</v>
      </c>
      <c r="B84" s="0" t="s">
        <v>29</v>
      </c>
      <c r="C84" s="0" t="s">
        <v>30</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IF(OR(E84="",E84="!!!",F84="NEW"),"",INDEX(B83:B$2,-1+SUMPRODUCT(MAX(ROW(E83:E$2)*(E84=E83:E$2)))))</f>
        <v/>
      </c>
      <c r="J84" s="15" t="str">
        <f aca="true">IF(OR(E84="",E84="!!!",F84="NEW"),"",COUNTBLANK(OFFSET(A$1,,,SUMPRODUCT(MAX(ROW(E$2:E84)*(E84=E$2:E84)))))-COUNTBLANK(OFFSET(A$1,,,SUMPRODUCT(MAX(ROW(E$1:E83)*(E84=E$1:E83))))))</f>
        <v/>
      </c>
      <c r="K84" s="15" t="str">
        <f aca="false">IF(OR(E84="",E84="!!!",F84="NEW"),"",INDEX(J$1:J83,SUMPRODUCT(MAX(ROW(E$1:E83)*(E84=E$1:E83)))))</f>
        <v/>
      </c>
      <c r="L84" s="16"/>
    </row>
    <row r="85" customFormat="false" ht="12.8" hidden="false" customHeight="false" outlineLevel="0" collapsed="false">
      <c r="A85" s="0" t="s">
        <v>40</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IF(OR(E85="",E85="!!!",F85="NEW"),"",INDEX(B84:B$2,-1+SUMPRODUCT(MAX(ROW(E84:E$2)*(E85=E84:E$2)))))</f>
        <v/>
      </c>
      <c r="J85" s="15" t="str">
        <f aca="true">IF(OR(E85="",E85="!!!",F85="NEW"),"",COUNTBLANK(OFFSET(A$1,,,SUMPRODUCT(MAX(ROW(E$2:E85)*(E85=E$2:E85)))))-COUNTBLANK(OFFSET(A$1,,,SUMPRODUCT(MAX(ROW(E$1:E84)*(E85=E$1:E84))))))</f>
        <v/>
      </c>
      <c r="K85" s="15" t="str">
        <f aca="false">IF(OR(E85="",E85="!!!",F85="NEW"),"",INDEX(J$1:J84,SUMPRODUCT(MAX(ROW(E$1:E84)*(E85=E$1:E84)))))</f>
        <v/>
      </c>
      <c r="L85" s="16"/>
    </row>
    <row r="86" customFormat="false" ht="12.8" hidden="false" customHeight="false" outlineLevel="0" collapsed="false">
      <c r="A86" s="0" t="s">
        <v>100</v>
      </c>
      <c r="B86" s="0" t="s">
        <v>29</v>
      </c>
      <c r="C86" s="0" t="s">
        <v>30</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IF(OR(E86="",E86="!!!",F86="NEW"),"",INDEX(B85:B$2,-1+SUMPRODUCT(MAX(ROW(E85:E$2)*(E86=E85:E$2)))))</f>
        <v/>
      </c>
      <c r="J86" s="15" t="str">
        <f aca="true">IF(OR(E86="",E86="!!!",F86="NEW"),"",COUNTBLANK(OFFSET(A$1,,,SUMPRODUCT(MAX(ROW(E$2:E86)*(E86=E$2:E86)))))-COUNTBLANK(OFFSET(A$1,,,SUMPRODUCT(MAX(ROW(E$1:E85)*(E86=E$1:E85))))))</f>
        <v/>
      </c>
      <c r="K86" s="15" t="str">
        <f aca="false">IF(OR(E86="",E86="!!!",F86="NEW"),"",INDEX(J$1:J85,SUMPRODUCT(MAX(ROW(E$1:E85)*(E86=E$1:E85)))))</f>
        <v/>
      </c>
      <c r="L86" s="16"/>
    </row>
    <row r="87" customFormat="false" ht="12.8" hidden="false" customHeight="false" outlineLevel="0" collapsed="false">
      <c r="A87" s="0" t="s">
        <v>101</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IF(OR(E87="",E87="!!!",F87="NEW"),"",INDEX(B86:B$2,-1+SUMPRODUCT(MAX(ROW(E86:E$2)*(E87=E86:E$2)))))</f>
        <v/>
      </c>
      <c r="J87" s="15" t="str">
        <f aca="true">IF(OR(E87="",E87="!!!",F87="NEW"),"",COUNTBLANK(OFFSET(A$1,,,SUMPRODUCT(MAX(ROW(E$2:E87)*(E87=E$2:E87)))))-COUNTBLANK(OFFSET(A$1,,,SUMPRODUCT(MAX(ROW(E$1:E86)*(E87=E$1:E86))))))</f>
        <v/>
      </c>
      <c r="K87" s="15" t="str">
        <f aca="false">IF(OR(E87="",E87="!!!",F87="NEW"),"",INDEX(J$1:J86,SUMPRODUCT(MAX(ROW(E$1:E86)*(E87=E$1:E86)))))</f>
        <v/>
      </c>
      <c r="L87" s="16"/>
    </row>
    <row r="88" customFormat="false" ht="12.8" hidden="false" customHeight="false" outlineLevel="0" collapsed="false">
      <c r="A88" s="0" t="s">
        <v>102</v>
      </c>
      <c r="B88" s="0" t="s">
        <v>29</v>
      </c>
      <c r="C88" s="0" t="s">
        <v>103</v>
      </c>
      <c r="D88" s="0" t="s">
        <v>20</v>
      </c>
      <c r="E88" s="10" t="s">
        <v>98</v>
      </c>
      <c r="F88" s="11" t="str">
        <f aca="false">IF(OR(E88="",E88="!!!"),"",IF(NOT(ISNA(VLOOKUP(E88,E$1:E87,1,FALSE()))),"OLD",IF(AND(E88&lt;&gt;"",E88&lt;&gt;"!!!"),"NEW","")))</f>
        <v>OLD</v>
      </c>
      <c r="G88" s="12" t="s">
        <v>58</v>
      </c>
      <c r="H88" s="13" t="str">
        <f aca="false">IF(J88&lt;&gt;1,"",IF(I88="SBJ","CB","?"))</f>
        <v/>
      </c>
      <c r="I88" s="14" t="str">
        <f aca="false">IF(OR(E88="",E88="!!!",F88="NEW"),"",INDEX(B87:B$2,-1+SUMPRODUCT(MAX(ROW(E87:E$2)*(E88=E87:E$2)))))</f>
        <v>SBJ</v>
      </c>
      <c r="J88" s="15" t="n">
        <f aca="true">IF(OR(E88="",E88="!!!",F88="NEW"),"",COUNTBLANK(OFFSET(A$1,,,SUMPRODUCT(MAX(ROW(E$2:E88)*(E88=E$2:E88)))))-COUNTBLANK(OFFSET(A$1,,,SUMPRODUCT(MAX(ROW(E$1:E87)*(E88=E$1:E87))))))</f>
        <v>0</v>
      </c>
      <c r="K88" s="15" t="str">
        <f aca="false">IF(OR(E88="",E88="!!!",F88="NEW"),"",INDEX(J$1:J87,SUMPRODUCT(MAX(ROW(E$1:E87)*(E88=E$1:E87)))))</f>
        <v/>
      </c>
      <c r="L88" s="16"/>
    </row>
    <row r="89" customFormat="false" ht="12.8" hidden="false" customHeight="false" outlineLevel="0" collapsed="false">
      <c r="A89" s="0" t="s">
        <v>104</v>
      </c>
      <c r="B89" s="0" t="s">
        <v>105</v>
      </c>
      <c r="C89" s="0" t="s">
        <v>106</v>
      </c>
      <c r="D89" s="0" t="s">
        <v>20</v>
      </c>
      <c r="E89" s="10" t="s">
        <v>107</v>
      </c>
      <c r="F89" s="11" t="str">
        <f aca="false">IF(OR(E89="",E89="!!!"),"",IF(NOT(ISNA(VLOOKUP(E89,E$1:E88,1,FALSE()))),"OLD",IF(AND(E89&lt;&gt;"",E89&lt;&gt;"!!!"),"NEW","")))</f>
        <v>NEW</v>
      </c>
      <c r="G89" s="12" t="str">
        <f aca="false">IF(OR(E89="",E89="!!!"),"",IF(OR(J89=0,AND(J89=1,K89=1),AND(J89=1,I89="SBJ"),AND(J89=1,I89=0)),"?IN_FOCUS",IF(J89&lt;=2,"?ACTIVATED",IF(J89&lt;&gt;"","?FAMILIAR",IF(F89="NEW",IF(ISNA(VLOOKUP(E89,#REF!,1,FALSE())),"?TYPE_IDENTIFIABLE","?REFERENTIAL"),"_")))))</f>
        <v>?REFERENTIAL</v>
      </c>
      <c r="H89" s="13" t="str">
        <f aca="false">IF(J89&lt;&gt;1,"",IF(I89="SBJ","CB","?"))</f>
        <v/>
      </c>
      <c r="I89" s="14" t="str">
        <f aca="false">IF(OR(E89="",E89="!!!",F89="NEW"),"",INDEX(B88:B$2,-1+SUMPRODUCT(MAX(ROW(E88:E$2)*(E89=E88:E$2)))))</f>
        <v/>
      </c>
      <c r="J89" s="15" t="str">
        <f aca="true">IF(OR(E89="",E89="!!!",F89="NEW"),"",COUNTBLANK(OFFSET(A$1,,,SUMPRODUCT(MAX(ROW(E$2:E89)*(E89=E$2:E89)))))-COUNTBLANK(OFFSET(A$1,,,SUMPRODUCT(MAX(ROW(E$1:E88)*(E89=E$1:E88))))))</f>
        <v/>
      </c>
      <c r="K89" s="15" t="str">
        <f aca="false">IF(OR(E89="",E89="!!!",F89="NEW"),"",INDEX(J$1:J88,SUMPRODUCT(MAX(ROW(E$1:E88)*(E89=E$1:E88)))))</f>
        <v/>
      </c>
      <c r="L89" s="16"/>
    </row>
    <row r="90" customFormat="false" ht="12.8" hidden="false" customHeight="false" outlineLevel="0" collapsed="false">
      <c r="A90" s="0" t="s">
        <v>40</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IF(OR(E90="",E90="!!!",F90="NEW"),"",INDEX(B89:B$2,-1+SUMPRODUCT(MAX(ROW(E89:E$2)*(E90=E89:E$2)))))</f>
        <v/>
      </c>
      <c r="J90" s="15" t="str">
        <f aca="true">IF(OR(E90="",E90="!!!",F90="NEW"),"",COUNTBLANK(OFFSET(A$1,,,SUMPRODUCT(MAX(ROW(E$2:E90)*(E90=E$2:E90)))))-COUNTBLANK(OFFSET(A$1,,,SUMPRODUCT(MAX(ROW(E$1:E89)*(E90=E$1:E89))))))</f>
        <v/>
      </c>
      <c r="K90" s="15" t="str">
        <f aca="false">IF(OR(E90="",E90="!!!",F90="NEW"),"",INDEX(J$1:J89,SUMPRODUCT(MAX(ROW(E$1:E89)*(E90=E$1:E89)))))</f>
        <v/>
      </c>
      <c r="L90" s="16"/>
    </row>
    <row r="91" customFormat="false" ht="12.8" hidden="false" customHeight="false" outlineLevel="0" collapsed="false">
      <c r="A91" s="0" t="s">
        <v>108</v>
      </c>
      <c r="B91" s="0" t="s">
        <v>29</v>
      </c>
      <c r="C91" s="0" t="s">
        <v>30</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IF(OR(E91="",E91="!!!",F91="NEW"),"",INDEX(B90:B$2,-1+SUMPRODUCT(MAX(ROW(E90:E$2)*(E91=E90:E$2)))))</f>
        <v/>
      </c>
      <c r="J91" s="15" t="str">
        <f aca="true">IF(OR(E91="",E91="!!!",F91="NEW"),"",COUNTBLANK(OFFSET(A$1,,,SUMPRODUCT(MAX(ROW(E$2:E91)*(E91=E$2:E91)))))-COUNTBLANK(OFFSET(A$1,,,SUMPRODUCT(MAX(ROW(E$1:E90)*(E91=E$1:E90))))))</f>
        <v/>
      </c>
      <c r="K91" s="15" t="str">
        <f aca="false">IF(OR(E91="",E91="!!!",F91="NEW"),"",INDEX(J$1:J90,SUMPRODUCT(MAX(ROW(E$1:E90)*(E91=E$1:E90)))))</f>
        <v/>
      </c>
      <c r="L91" s="16"/>
    </row>
    <row r="92" customFormat="false" ht="12.8" hidden="false" customHeight="false" outlineLevel="0" collapsed="false">
      <c r="A92" s="0" t="s">
        <v>109</v>
      </c>
      <c r="E92" s="10" t="s">
        <v>110</v>
      </c>
      <c r="F92" s="11" t="str">
        <f aca="false">IF(OR(E92="",E92="!!!"),"",IF(NOT(ISNA(VLOOKUP(E92,E$1:E91,1,FALSE()))),"OLD",IF(AND(E92&lt;&gt;"",E92&lt;&gt;"!!!"),"NEW","")))</f>
        <v>NEW</v>
      </c>
      <c r="G92" s="12" t="s">
        <v>37</v>
      </c>
      <c r="H92" s="13" t="str">
        <f aca="false">IF(J92&lt;&gt;1,"",IF(I92="SBJ","CB","?"))</f>
        <v/>
      </c>
      <c r="I92" s="14" t="str">
        <f aca="false">IF(OR(E92="",E92="!!!",F92="NEW"),"",INDEX(B91:B$2,-1+SUMPRODUCT(MAX(ROW(E91:E$2)*(E92=E91:E$2)))))</f>
        <v/>
      </c>
      <c r="J92" s="15" t="str">
        <f aca="true">IF(OR(E92="",E92="!!!",F92="NEW"),"",COUNTBLANK(OFFSET(A$1,,,SUMPRODUCT(MAX(ROW(E$2:E92)*(E92=E$2:E92)))))-COUNTBLANK(OFFSET(A$1,,,SUMPRODUCT(MAX(ROW(E$1:E91)*(E92=E$1:E91))))))</f>
        <v/>
      </c>
      <c r="K92" s="15" t="str">
        <f aca="false">IF(OR(E92="",E92="!!!",F92="NEW"),"",INDEX(J$1:J91,SUMPRODUCT(MAX(ROW(E$1:E91)*(E92=E$1:E91)))))</f>
        <v/>
      </c>
      <c r="L92" s="16"/>
    </row>
    <row r="93" customFormat="false" ht="12.8" hidden="false" customHeight="false" outlineLevel="0" collapsed="false">
      <c r="A93" s="0" t="s">
        <v>111</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IF(OR(E93="",E93="!!!",F93="NEW"),"",INDEX(B92:B$2,-1+SUMPRODUCT(MAX(ROW(E92:E$2)*(E93=E92:E$2)))))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8" hidden="false" customHeight="false" outlineLevel="0" collapsed="false">
      <c r="A94" s="0" t="s">
        <v>112</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IF(OR(E94="",E94="!!!",F94="NEW"),"",INDEX(B93:B$2,-1+SUMPRODUCT(MAX(ROW(E93:E$2)*(E94=E93:E$2)))))</f>
        <v/>
      </c>
      <c r="J94" s="15" t="str">
        <f aca="true">IF(OR(E94="",E94="!!!",F94="NEW"),"",COUNTBLANK(OFFSET(A$1,,,SUMPRODUCT(MAX(ROW(E$2:E94)*(E94=E$2:E94)))))-COUNTBLANK(OFFSET(A$1,,,SUMPRODUCT(MAX(ROW(E$1:E93)*(E94=E$1:E93))))))</f>
        <v/>
      </c>
      <c r="K94" s="15" t="str">
        <f aca="false">IF(OR(E94="",E94="!!!",F94="NEW"),"",INDEX(J$1:J93,SUMPRODUCT(MAX(ROW(E$1:E93)*(E94=E$1:E93)))))</f>
        <v/>
      </c>
      <c r="L94" s="16"/>
    </row>
    <row r="95" customFormat="false" ht="12.8" hidden="false" customHeight="false" outlineLevel="0" collapsed="false">
      <c r="A95" s="0" t="s">
        <v>113</v>
      </c>
      <c r="B95" s="0" t="s">
        <v>14</v>
      </c>
      <c r="C95" s="0" t="s">
        <v>114</v>
      </c>
      <c r="D95" s="0" t="s">
        <v>20</v>
      </c>
      <c r="E95" s="10" t="s">
        <v>84</v>
      </c>
      <c r="F95" s="11" t="str">
        <f aca="false">IF(OR(E95="",E95="!!!"),"",IF(NOT(ISNA(VLOOKUP(E95,E$1:E94,1,FALSE()))),"OLD",IF(AND(E95&lt;&gt;"",E95&lt;&gt;"!!!"),"NEW","")))</f>
        <v>OLD</v>
      </c>
      <c r="G95" s="12" t="s">
        <v>72</v>
      </c>
      <c r="H95" s="13" t="s">
        <v>7</v>
      </c>
      <c r="I95" s="14" t="str">
        <f aca="false">IF(OR(E95="",E95="!!!",F95="NEW"),"",INDEX(B94:B$2,-1+SUMPRODUCT(MAX(ROW(E94:E$2)*(E95=E94:E$2)))))</f>
        <v>other_2</v>
      </c>
      <c r="J95" s="15" t="n">
        <f aca="true">IF(OR(E95="",E95="!!!",F95="NEW"),"",COUNTBLANK(OFFSET(A$1,,,SUMPRODUCT(MAX(ROW(E$2:E95)*(E95=E$2:E95)))))-COUNTBLANK(OFFSET(A$1,,,SUMPRODUCT(MAX(ROW(E$1:E94)*(E95=E$1:E94))))))</f>
        <v>1</v>
      </c>
      <c r="K95" s="15" t="str">
        <f aca="false">IF(OR(E95="",E95="!!!",F95="NEW"),"",INDEX(J$1:J94,SUMPRODUCT(MAX(ROW(E$1:E94)*(E95=E$1:E94)))))</f>
        <v/>
      </c>
      <c r="L95" s="16"/>
    </row>
    <row r="96" customFormat="false" ht="12.8" hidden="false" customHeight="false" outlineLevel="0" collapsed="false">
      <c r="A96" s="0" t="s">
        <v>69</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IF(OR(E96="",E96="!!!",F96="NEW"),"",INDEX(B95:B$2,-1+SUMPRODUCT(MAX(ROW(E95:E$2)*(E96=E95:E$2)))))</f>
        <v/>
      </c>
      <c r="J96" s="15" t="str">
        <f aca="true">IF(OR(E96="",E96="!!!",F96="NEW"),"",COUNTBLANK(OFFSET(A$1,,,SUMPRODUCT(MAX(ROW(E$2:E96)*(E96=E$2:E96)))))-COUNTBLANK(OFFSET(A$1,,,SUMPRODUCT(MAX(ROW(E$1:E95)*(E96=E$1:E95))))))</f>
        <v/>
      </c>
      <c r="K96" s="15" t="str">
        <f aca="false">IF(OR(E96="",E96="!!!",F96="NEW"),"",INDEX(J$1:J95,SUMPRODUCT(MAX(ROW(E$1:E95)*(E96=E$1:E95)))))</f>
        <v/>
      </c>
      <c r="L96" s="16"/>
    </row>
    <row r="97" customFormat="false" ht="12.8" hidden="false" customHeight="false" outlineLevel="0" collapsed="false">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IF(OR(E97="",E97="!!!",F97="NEW"),"",INDEX(B96:B$2,-1+SUMPRODUCT(MAX(ROW(E96:E$2)*(E97=E96:E$2)))))</f>
        <v/>
      </c>
      <c r="J97" s="15" t="str">
        <f aca="true">IF(OR(E97="",E97="!!!",F97="NEW"),"",COUNTBLANK(OFFSET(A$1,,,SUMPRODUCT(MAX(ROW(E$2:E97)*(E97=E$2:E97)))))-COUNTBLANK(OFFSET(A$1,,,SUMPRODUCT(MAX(ROW(E$1:E96)*(E97=E$1:E96))))))</f>
        <v/>
      </c>
      <c r="K97" s="15" t="str">
        <f aca="false">IF(OR(E97="",E97="!!!",F97="NEW"),"",INDEX(J$1:J96,SUMPRODUCT(MAX(ROW(E$1:E96)*(E97=E$1:E96)))))</f>
        <v/>
      </c>
      <c r="L97" s="16"/>
    </row>
    <row r="98" customFormat="false" ht="12.8" hidden="false" customHeight="false" outlineLevel="0" collapsed="false">
      <c r="A98" s="0" t="s">
        <v>115</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IF(OR(E98="",E98="!!!",F98="NEW"),"",INDEX(B97:B$2,-1+SUMPRODUCT(MAX(ROW(E97:E$2)*(E98=E97:E$2)))))</f>
        <v/>
      </c>
      <c r="J98" s="15" t="str">
        <f aca="true">IF(OR(E98="",E98="!!!",F98="NEW"),"",COUNTBLANK(OFFSET(A$1,,,SUMPRODUCT(MAX(ROW(E$2:E98)*(E98=E$2:E98)))))-COUNTBLANK(OFFSET(A$1,,,SUMPRODUCT(MAX(ROW(E$1:E97)*(E98=E$1:E97))))))</f>
        <v/>
      </c>
      <c r="K98" s="15" t="str">
        <f aca="false">IF(OR(E98="",E98="!!!",F98="NEW"),"",INDEX(J$1:J97,SUMPRODUCT(MAX(ROW(E$1:E97)*(E98=E$1:E97)))))</f>
        <v/>
      </c>
      <c r="L98" s="16"/>
    </row>
    <row r="99" customFormat="false" ht="12.8" hidden="false" customHeight="false" outlineLevel="0" collapsed="false">
      <c r="A99" s="0" t="s">
        <v>116</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IF(OR(E99="",E99="!!!",F99="NEW"),"",INDEX(B98:B$2,-1+SUMPRODUCT(MAX(ROW(E98:E$2)*(E99=E98:E$2)))))</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8" hidden="false" customHeight="false" outlineLevel="0" collapsed="false">
      <c r="A100" s="0" t="s">
        <v>117</v>
      </c>
      <c r="B100" s="0" t="s">
        <v>29</v>
      </c>
      <c r="C100" s="0" t="s">
        <v>103</v>
      </c>
      <c r="D100" s="0" t="s">
        <v>20</v>
      </c>
      <c r="E100" s="10" t="s">
        <v>35</v>
      </c>
      <c r="F100" s="11" t="str">
        <f aca="false">IF(OR(E100="",E100="!!!"),"",IF(NOT(ISNA(VLOOKUP(E100,E$1:E99,1,FALSE()))),"OLD",IF(AND(E100&lt;&gt;"",E100&lt;&gt;"!!!"),"NEW","")))</f>
        <v>OLD</v>
      </c>
      <c r="G100" s="12" t="s">
        <v>85</v>
      </c>
      <c r="H100" s="13" t="str">
        <f aca="false">IF(J100&lt;&gt;1,"",IF(I100="SBJ","CB","?"))</f>
        <v/>
      </c>
      <c r="I100" s="14" t="str">
        <f aca="false">IF(OR(E100="",E100="!!!",F100="NEW"),"",INDEX(B99:B$2,-1+SUMPRODUCT(MAX(ROW(E99:E$2)*(E100=E99:E$2)))))</f>
        <v>SBJ</v>
      </c>
      <c r="J100" s="15" t="n">
        <f aca="true">IF(OR(E100="",E100="!!!",F100="NEW"),"",COUNTBLANK(OFFSET(A$1,,,SUMPRODUCT(MAX(ROW(E$2:E100)*(E100=E$2:E100)))))-COUNTBLANK(OFFSET(A$1,,,SUMPRODUCT(MAX(ROW(E$1:E99)*(E100=E$1:E99))))))</f>
        <v>3</v>
      </c>
      <c r="K100" s="15" t="e">
        <f aca="false">IF(OR(E100="",E100="!!!",F100="NEW"),"",INDEX(J$1:J99,SUMPRODUCT(MAX(ROW(E$1:E99)*(E100=E$1:E99)))))</f>
        <v>#VALUE!</v>
      </c>
      <c r="L100" s="16"/>
    </row>
    <row r="101" customFormat="false" ht="12.8" hidden="false" customHeight="false" outlineLevel="0" collapsed="false">
      <c r="A101" s="0" t="s">
        <v>118</v>
      </c>
      <c r="B101" s="0" t="s">
        <v>14</v>
      </c>
      <c r="C101" s="0" t="s">
        <v>106</v>
      </c>
      <c r="D101" s="0" t="s">
        <v>20</v>
      </c>
      <c r="E101" s="10" t="s">
        <v>119</v>
      </c>
      <c r="F101" s="11" t="str">
        <f aca="false">IF(OR(E101="",E101="!!!"),"",IF(NOT(ISNA(VLOOKUP(E101,E$1:E100,1,FALSE()))),"OLD",IF(AND(E101&lt;&gt;"",E101&lt;&gt;"!!!"),"NEW","")))</f>
        <v>NEW</v>
      </c>
      <c r="G101" s="12" t="str">
        <f aca="false">IF(OR(E101="",E101="!!!"),"",IF(OR(J101=0,AND(J101=1,K101=1),AND(J101=1,I101="SBJ"),AND(J101=1,I101=0)),"?IN_FOCUS",IF(J101&lt;=2,"?ACTIVATED",IF(J101&lt;&gt;"","?FAMILIAR",IF(F101="NEW",IF(ISNA(VLOOKUP(E101,#REF!,1,FALSE())),"?TYPE_IDENTIFIABLE","?REFERENTIAL"),"_")))))</f>
        <v>?REFERENTIAL</v>
      </c>
      <c r="H101" s="13" t="str">
        <f aca="false">IF(J101&lt;&gt;1,"",IF(I101="SBJ","CB","?"))</f>
        <v/>
      </c>
      <c r="I101" s="14" t="str">
        <f aca="false">IF(OR(E101="",E101="!!!",F101="NEW"),"",INDEX(B100:B$2,-1+SUMPRODUCT(MAX(ROW(E100:E$2)*(E101=E100:E$2)))))</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8" hidden="false" customHeight="false" outlineLevel="0" collapsed="false">
      <c r="A102" s="0" t="s">
        <v>40</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IF(OR(E102="",E102="!!!",F102="NEW"),"",INDEX(B101:B$2,-1+SUMPRODUCT(MAX(ROW(E101:E$2)*(E102=E101:E$2)))))</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8" hidden="false" customHeight="false" outlineLevel="0" collapsed="false">
      <c r="A103" s="0" t="s">
        <v>32</v>
      </c>
      <c r="B103" s="0" t="s">
        <v>29</v>
      </c>
      <c r="C103" s="0" t="s">
        <v>34</v>
      </c>
      <c r="D103" s="0" t="s">
        <v>20</v>
      </c>
      <c r="E103" s="10" t="s">
        <v>35</v>
      </c>
      <c r="F103" s="11" t="str">
        <f aca="false">IF(OR(E103="",E103="!!!"),"",IF(NOT(ISNA(VLOOKUP(E103,E$1:E102,1,FALSE()))),"OLD",IF(AND(E103&lt;&gt;"",E103&lt;&gt;"!!!"),"NEW","")))</f>
        <v>OLD</v>
      </c>
      <c r="G103" s="12" t="s">
        <v>58</v>
      </c>
      <c r="H103" s="13" t="str">
        <f aca="false">IF(J103&lt;&gt;1,"",IF(I103="SBJ","CB","?"))</f>
        <v/>
      </c>
      <c r="I103" s="14" t="str">
        <f aca="false">IF(OR(E103="",E103="!!!",F103="NEW"),"",INDEX(B102:B$2,-1+SUMPRODUCT(MAX(ROW(E102:E$2)*(E103=E102:E$2)))))</f>
        <v>other_2</v>
      </c>
      <c r="J103" s="15" t="n">
        <f aca="true">IF(OR(E103="",E103="!!!",F103="NEW"),"",COUNTBLANK(OFFSET(A$1,,,SUMPRODUCT(MAX(ROW(E$2:E103)*(E103=E$2:E103)))))-COUNTBLANK(OFFSET(A$1,,,SUMPRODUCT(MAX(ROW(E$1:E102)*(E103=E$1:E102))))))</f>
        <v>0</v>
      </c>
      <c r="K103" s="15" t="n">
        <f aca="false">IF(OR(E103="",E103="!!!",F103="NEW"),"",INDEX(J$1:J102,SUMPRODUCT(MAX(ROW(E$1:E102)*(E103=E$1:E102)))))</f>
        <v>3</v>
      </c>
      <c r="L103" s="16"/>
    </row>
    <row r="104" customFormat="false" ht="12.8" hidden="false" customHeight="false" outlineLevel="0" collapsed="false">
      <c r="A104" s="0" t="s">
        <v>120</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IF(OR(E104="",E104="!!!",F104="NEW"),"",INDEX(B103:B$2,-1+SUMPRODUCT(MAX(ROW(E103:E$2)*(E104=E103:E$2)))))</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8" hidden="false" customHeight="false" outlineLevel="0" collapsed="false">
      <c r="A105" s="0" t="s">
        <v>75</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IF(OR(E105="",E105="!!!",F105="NEW"),"",INDEX(B104:B$2,-1+SUMPRODUCT(MAX(ROW(E104:E$2)*(E105=E104:E$2)))))</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8" hidden="false" customHeight="false" outlineLevel="0" collapsed="false">
      <c r="A106" s="0" t="s">
        <v>121</v>
      </c>
      <c r="B106" s="0" t="s">
        <v>14</v>
      </c>
      <c r="C106" s="0" t="s">
        <v>30</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IF(OR(E106="",E106="!!!",F106="NEW"),"",INDEX(B105:B$2,-1+SUMPRODUCT(MAX(ROW(E105:E$2)*(E106=E105:E$2)))))</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8" hidden="false" customHeight="false" outlineLevel="0" collapsed="false">
      <c r="A107" s="0" t="s">
        <v>86</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IF(OR(E107="",E107="!!!",F107="NEW"),"",INDEX(B106:B$2,-1+SUMPRODUCT(MAX(ROW(E106:E$2)*(E107=E106:E$2)))))</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8" hidden="false" customHeight="false" outlineLevel="0" collapsed="false">
      <c r="A108" s="0" t="s">
        <v>32</v>
      </c>
      <c r="B108" s="0" t="s">
        <v>89</v>
      </c>
      <c r="C108" s="0" t="s">
        <v>34</v>
      </c>
      <c r="D108" s="0" t="s">
        <v>20</v>
      </c>
      <c r="E108" s="10" t="s">
        <v>35</v>
      </c>
      <c r="F108" s="11" t="str">
        <f aca="false">IF(OR(E108="",E108="!!!"),"",IF(NOT(ISNA(VLOOKUP(E108,E$1:E107,1,FALSE()))),"OLD",IF(AND(E108&lt;&gt;"",E108&lt;&gt;"!!!"),"NEW","")))</f>
        <v>OLD</v>
      </c>
      <c r="G108" s="12" t="s">
        <v>58</v>
      </c>
      <c r="H108" s="13" t="str">
        <f aca="false">IF(J108&lt;&gt;1,"",IF(I108="SBJ","CB","?"))</f>
        <v/>
      </c>
      <c r="I108" s="14" t="str">
        <f aca="false">IF(OR(E108="",E108="!!!",F108="NEW"),"",INDEX(B107:B$2,-1+SUMPRODUCT(MAX(ROW(E107:E$2)*(E108=E107:E$2)))))</f>
        <v>other_2</v>
      </c>
      <c r="J108" s="15" t="n">
        <f aca="true">IF(OR(E108="",E108="!!!",F108="NEW"),"",COUNTBLANK(OFFSET(A$1,,,SUMPRODUCT(MAX(ROW(E$2:E108)*(E108=E$2:E108)))))-COUNTBLANK(OFFSET(A$1,,,SUMPRODUCT(MAX(ROW(E$1:E107)*(E108=E$1:E107))))))</f>
        <v>0</v>
      </c>
      <c r="K108" s="15" t="n">
        <f aca="false">IF(OR(E108="",E108="!!!",F108="NEW"),"",INDEX(J$1:J107,SUMPRODUCT(MAX(ROW(E$1:E107)*(E108=E$1:E107)))))</f>
        <v>0</v>
      </c>
      <c r="L108" s="16"/>
    </row>
    <row r="109" customFormat="false" ht="12.8" hidden="false" customHeight="false" outlineLevel="0" collapsed="false">
      <c r="A109" s="0" t="s">
        <v>38</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IF(OR(E109="",E109="!!!",F109="NEW"),"",INDEX(B108:B$2,-1+SUMPRODUCT(MAX(ROW(E108:E$2)*(E109=E108:E$2)))))</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8" hidden="false" customHeight="false" outlineLevel="0" collapsed="false">
      <c r="A110" s="0" t="s">
        <v>122</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IF(OR(E110="",E110="!!!",F110="NEW"),"",INDEX(B109:B$2,-1+SUMPRODUCT(MAX(ROW(E109:E$2)*(E110=E109:E$2)))))</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8" hidden="false" customHeight="false" outlineLevel="0" collapsed="false">
      <c r="A111" s="0" t="n">
        <v>12</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IF(OR(E111="",E111="!!!",F111="NEW"),"",INDEX(B110:B$2,-1+SUMPRODUCT(MAX(ROW(E110:E$2)*(E111=E110:E$2)))))</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8" hidden="false" customHeight="false" outlineLevel="0" collapsed="false">
      <c r="A112" s="0" t="s">
        <v>123</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IF(OR(E112="",E112="!!!",F112="NEW"),"",INDEX(B111:B$2,-1+SUMPRODUCT(MAX(ROW(E111:E$2)*(E112=E111:E$2)))))</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8" hidden="false" customHeight="false" outlineLevel="0" collapsed="false">
      <c r="A113" s="0" t="s">
        <v>124</v>
      </c>
      <c r="B113" s="0" t="s">
        <v>29</v>
      </c>
      <c r="C113" s="0" t="s">
        <v>106</v>
      </c>
      <c r="D113" s="0" t="s">
        <v>20</v>
      </c>
      <c r="E113" s="10" t="s">
        <v>125</v>
      </c>
      <c r="F113" s="11" t="s">
        <v>126</v>
      </c>
      <c r="G113" s="12" t="str">
        <f aca="false">IF(OR(E113="",E113="!!!"),"",IF(OR(J113=0,AND(J113=1,K113=1),AND(J113=1,I113="SBJ"),AND(J113=1,I113=0)),"?IN_FOCUS",IF(J113&lt;=2,"?ACTIVATED",IF(J113&lt;&gt;"","?FAMILIAR",IF(F113="NEW",IF(ISNA(VLOOKUP(E113,#REF!,1,FALSE())),"?TYPE_IDENTIFIABLE","?REFERENTIAL"),"_")))))</f>
        <v>?REFERENTIAL</v>
      </c>
      <c r="H113" s="13"/>
      <c r="I113" s="14" t="str">
        <f aca="false">IF(OR(E113="",E113="!!!",F113="NEW"),"",INDEX(B112:B$2,-1+SUMPRODUCT(MAX(ROW(E112:E$2)*(E113=E112:E$2)))))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8" hidden="false" customHeight="false" outlineLevel="0" collapsed="false">
      <c r="A114" s="0" t="s">
        <v>26</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IF(OR(E114="",E114="!!!",F114="NEW"),"",INDEX(B113:B$2,-1+SUMPRODUCT(MAX(ROW(E113:E$2)*(E114=E113:E$2)))))</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8" hidden="false" customHeight="false" outlineLevel="0" collapsed="false">
      <c r="A115" s="0" t="s">
        <v>127</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IF(OR(E115="",E115="!!!",F115="NEW"),"",INDEX(B114:B$2,-1+SUMPRODUCT(MAX(ROW(E114:E$2)*(E115=E114:E$2)))))</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8" hidden="false" customHeight="false" outlineLevel="0" collapsed="false">
      <c r="A116" s="0" t="s">
        <v>128</v>
      </c>
      <c r="B116" s="0" t="s">
        <v>55</v>
      </c>
      <c r="C116" s="0" t="s">
        <v>114</v>
      </c>
      <c r="D116" s="0" t="s">
        <v>20</v>
      </c>
      <c r="E116" s="10" t="s">
        <v>77</v>
      </c>
      <c r="F116" s="11" t="s">
        <v>129</v>
      </c>
      <c r="G116" s="12"/>
      <c r="H116" s="13"/>
      <c r="I116" s="14" t="e">
        <f aca="false">IF(OR(E116="",E116="!!!",F116="NEW"),"",INDEX(B115:B$2,-1+SUMPRODUCT(MAX(ROW(E115:E$2)*(E116=E115:E$2)))))</f>
        <v>#VALUE!</v>
      </c>
      <c r="J116" s="15" t="e">
        <f aca="true">IF(OR(E116="",E116="!!!",F116="NEW"),"",COUNTBLANK(OFFSET(A$1,,,SUMPRODUCT(MAX(ROW(E$2:E116)*(E116=E$2:E116)))))-COUNTBLANK(OFFSET(A$1,,,SUMPRODUCT(MAX(ROW(E$1:E115)*(E116=E$1:E115))))))</f>
        <v>#VALUE!</v>
      </c>
      <c r="K116" s="15" t="e">
        <f aca="false">IF(OR(E116="",E116="!!!",F116="NEW"),"",INDEX(J$1:J115,SUMPRODUCT(MAX(ROW(E$1:E115)*(E116=E$1:E115)))))</f>
        <v>#VALUE!</v>
      </c>
      <c r="L116" s="16"/>
    </row>
    <row r="117" customFormat="false" ht="12.8" hidden="false" customHeight="false" outlineLevel="0" collapsed="false">
      <c r="A117" s="0" t="s">
        <v>46</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IF(OR(E117="",E117="!!!",F117="NEW"),"",INDEX(B116:B$2,-1+SUMPRODUCT(MAX(ROW(E116:E$2)*(E117=E116:E$2)))))</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8" hidden="false" customHeight="false" outlineLevel="0" collapsed="false">
      <c r="A118" s="0" t="s">
        <v>32</v>
      </c>
      <c r="B118" s="0" t="s">
        <v>89</v>
      </c>
      <c r="C118" s="0" t="s">
        <v>34</v>
      </c>
      <c r="D118" s="0" t="s">
        <v>20</v>
      </c>
      <c r="E118" s="10" t="s">
        <v>35</v>
      </c>
      <c r="F118" s="11" t="str">
        <f aca="false">IF(OR(E118="",E118="!!!"),"",IF(NOT(ISNA(VLOOKUP(E118,E$1:E117,1,FALSE()))),"OLD",IF(AND(E118&lt;&gt;"",E118&lt;&gt;"!!!"),"NEW","")))</f>
        <v>OLD</v>
      </c>
      <c r="G118" s="12" t="s">
        <v>58</v>
      </c>
      <c r="H118" s="13" t="str">
        <f aca="false">IF(J118&lt;&gt;1,"",IF(I118="SBJ","CB","?"))</f>
        <v/>
      </c>
      <c r="I118" s="14" t="str">
        <f aca="false">IF(OR(E118="",E118="!!!",F118="NEW"),"",INDEX(B117:B$2,-1+SUMPRODUCT(MAX(ROW(E117:E$2)*(E118=E117:E$2)))))</f>
        <v>SBJ_2</v>
      </c>
      <c r="J118" s="15" t="n">
        <f aca="true">IF(OR(E118="",E118="!!!",F118="NEW"),"",COUNTBLANK(OFFSET(A$1,,,SUMPRODUCT(MAX(ROW(E$2:E118)*(E118=E$2:E118)))))-COUNTBLANK(OFFSET(A$1,,,SUMPRODUCT(MAX(ROW(E$1:E117)*(E118=E$1:E117))))))</f>
        <v>0</v>
      </c>
      <c r="K118" s="15" t="n">
        <f aca="false">IF(OR(E118="",E118="!!!",F118="NEW"),"",INDEX(J$1:J117,SUMPRODUCT(MAX(ROW(E$1:E117)*(E118=E$1:E117)))))</f>
        <v>0</v>
      </c>
      <c r="L118" s="16"/>
    </row>
    <row r="119" customFormat="false" ht="12.8" hidden="false" customHeight="false" outlineLevel="0" collapsed="false">
      <c r="A119" s="0" t="s">
        <v>130</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IF(OR(E119="",E119="!!!",F119="NEW"),"",INDEX(B118:B$2,-1+SUMPRODUCT(MAX(ROW(E118:E$2)*(E119=E118:E$2)))))</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8" hidden="false" customHeight="false" outlineLevel="0" collapsed="false">
      <c r="A120" s="0" t="s">
        <v>131</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IF(OR(E120="",E120="!!!",F120="NEW"),"",INDEX(B119:B$2,-1+SUMPRODUCT(MAX(ROW(E119:E$2)*(E120=E119:E$2)))))</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8" hidden="false" customHeight="false" outlineLevel="0" collapsed="false">
      <c r="A121" s="0" t="s">
        <v>32</v>
      </c>
      <c r="B121" s="0" t="s">
        <v>132</v>
      </c>
      <c r="C121" s="0" t="s">
        <v>34</v>
      </c>
      <c r="D121" s="0" t="s">
        <v>20</v>
      </c>
      <c r="E121" s="10" t="s">
        <v>35</v>
      </c>
      <c r="F121" s="11" t="str">
        <f aca="false">IF(OR(E121="",E121="!!!"),"",IF(NOT(ISNA(VLOOKUP(E121,E$1:E120,1,FALSE()))),"OLD",IF(AND(E121&lt;&gt;"",E121&lt;&gt;"!!!"),"NEW","")))</f>
        <v>OLD</v>
      </c>
      <c r="G121" s="12" t="s">
        <v>58</v>
      </c>
      <c r="H121" s="13" t="str">
        <f aca="false">IF(J121&lt;&gt;1,"",IF(I121="SBJ","CB","?"))</f>
        <v/>
      </c>
      <c r="I121" s="14" t="str">
        <f aca="false">IF(OR(E121="",E121="!!!",F121="NEW"),"",INDEX(B120:B$2,-1+SUMPRODUCT(MAX(ROW(E120:E$2)*(E121=E120:E$2)))))</f>
        <v>SBJ_2</v>
      </c>
      <c r="J121" s="15" t="n">
        <f aca="true">IF(OR(E121="",E121="!!!",F121="NEW"),"",COUNTBLANK(OFFSET(A$1,,,SUMPRODUCT(MAX(ROW(E$2:E121)*(E121=E$2:E121)))))-COUNTBLANK(OFFSET(A$1,,,SUMPRODUCT(MAX(ROW(E$1:E120)*(E121=E$1:E120))))))</f>
        <v>0</v>
      </c>
      <c r="K121" s="15" t="n">
        <f aca="false">IF(OR(E121="",E121="!!!",F121="NEW"),"",INDEX(J$1:J120,SUMPRODUCT(MAX(ROW(E$1:E120)*(E121=E$1:E120)))))</f>
        <v>0</v>
      </c>
      <c r="L121" s="16"/>
    </row>
    <row r="122" customFormat="false" ht="12.8" hidden="false" customHeight="false" outlineLevel="0" collapsed="false">
      <c r="A122" s="0" t="s">
        <v>133</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IF(OR(E122="",E122="!!!",F122="NEW"),"",INDEX(B121:B$2,-1+SUMPRODUCT(MAX(ROW(E121:E$2)*(E122=E121:E$2)))))</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8" hidden="false" customHeight="false" outlineLevel="0" collapsed="false">
      <c r="A123" s="0" t="s">
        <v>134</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IF(OR(E123="",E123="!!!",F123="NEW"),"",INDEX(B122:B$2,-1+SUMPRODUCT(MAX(ROW(E122:E$2)*(E123=E122:E$2)))))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8" hidden="false" customHeight="false" outlineLevel="0" collapsed="false">
      <c r="A124" s="0" t="s">
        <v>135</v>
      </c>
      <c r="B124" s="0" t="s">
        <v>136</v>
      </c>
      <c r="C124" s="0" t="s">
        <v>137</v>
      </c>
      <c r="D124" s="0" t="s">
        <v>20</v>
      </c>
      <c r="E124" s="10" t="s">
        <v>77</v>
      </c>
      <c r="F124" s="11" t="s">
        <v>129</v>
      </c>
      <c r="G124" s="12"/>
      <c r="H124" s="13" t="str">
        <f aca="false">IF(J124&lt;&gt;1,"",IF(I124="SBJ","CB","?"))</f>
        <v/>
      </c>
      <c r="I124" s="14" t="str">
        <f aca="false">IF(OR(E124="",E124="!!!",F124="NEW"),"",INDEX(B123:B$2,-1+SUMPRODUCT(MAX(ROW(E123:E$2)*(E124=E123:E$2)))))</f>
        <v>other_3</v>
      </c>
      <c r="J124" s="15" t="n">
        <f aca="true">IF(OR(E124="",E124="!!!",F124="NEW"),"",COUNTBLANK(OFFSET(A$1,,,SUMPRODUCT(MAX(ROW(E$2:E124)*(E124=E$2:E124)))))-COUNTBLANK(OFFSET(A$1,,,SUMPRODUCT(MAX(ROW(E$1:E123)*(E124=E$1:E123))))))</f>
        <v>0</v>
      </c>
      <c r="K124" s="15" t="e">
        <f aca="false">IF(OR(E124="",E124="!!!",F124="NEW"),"",INDEX(J$1:J123,SUMPRODUCT(MAX(ROW(E$1:E123)*(E124=E$1:E123)))))</f>
        <v>#VALUE!</v>
      </c>
      <c r="L124" s="16"/>
    </row>
    <row r="125" customFormat="false" ht="12.8" hidden="false" customHeight="false" outlineLevel="0" collapsed="false">
      <c r="A125" s="0" t="s">
        <v>32</v>
      </c>
      <c r="B125" s="0" t="s">
        <v>138</v>
      </c>
      <c r="C125" s="0" t="s">
        <v>34</v>
      </c>
      <c r="D125" s="0" t="s">
        <v>20</v>
      </c>
      <c r="E125" s="10" t="s">
        <v>35</v>
      </c>
      <c r="F125" s="11" t="str">
        <f aca="false">IF(OR(E125="",E125="!!!"),"",IF(NOT(ISNA(VLOOKUP(E125,E$1:E124,1,FALSE()))),"OLD",IF(AND(E125&lt;&gt;"",E125&lt;&gt;"!!!"),"NEW","")))</f>
        <v>OLD</v>
      </c>
      <c r="G125" s="12" t="s">
        <v>58</v>
      </c>
      <c r="H125" s="13" t="str">
        <f aca="false">IF(J125&lt;&gt;1,"",IF(I125="SBJ","CB","?"))</f>
        <v/>
      </c>
      <c r="I125" s="14" t="str">
        <f aca="false">IF(OR(E125="",E125="!!!",F125="NEW"),"",INDEX(B124:B$2,-1+SUMPRODUCT(MAX(ROW(E124:E$2)*(E125=E124:E$2)))))</f>
        <v>SBJ_3</v>
      </c>
      <c r="J125" s="15" t="n">
        <f aca="true">IF(OR(E125="",E125="!!!",F125="NEW"),"",COUNTBLANK(OFFSET(A$1,,,SUMPRODUCT(MAX(ROW(E$2:E125)*(E125=E$2:E125)))))-COUNTBLANK(OFFSET(A$1,,,SUMPRODUCT(MAX(ROW(E$1:E124)*(E125=E$1:E124))))))</f>
        <v>0</v>
      </c>
      <c r="K125" s="15" t="n">
        <f aca="false">IF(OR(E125="",E125="!!!",F125="NEW"),"",INDEX(J$1:J124,SUMPRODUCT(MAX(ROW(E$1:E124)*(E125=E$1:E124)))))</f>
        <v>0</v>
      </c>
      <c r="L125" s="16"/>
    </row>
    <row r="126" customFormat="false" ht="12.8" hidden="false" customHeight="false" outlineLevel="0" collapsed="false">
      <c r="A126" s="0" t="s">
        <v>139</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IF(OR(E126="",E126="!!!",F126="NEW"),"",INDEX(B125:B$2,-1+SUMPRODUCT(MAX(ROW(E125:E$2)*(E126=E125:E$2)))))</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8" hidden="false" customHeight="false" outlineLevel="0" collapsed="false">
      <c r="A127" s="0" t="s">
        <v>140</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IF(OR(E127="",E127="!!!",F127="NEW"),"",INDEX(B126:B$2,-1+SUMPRODUCT(MAX(ROW(E126:E$2)*(E127=E126:E$2)))))</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8" hidden="false" customHeight="false" outlineLevel="0" collapsed="false">
      <c r="A128" s="0" t="s">
        <v>141</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IF(OR(E128="",E128="!!!",F128="NEW"),"",INDEX(B127:B$2,-1+SUMPRODUCT(MAX(ROW(E127:E$2)*(E128=E127:E$2)))))</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8" hidden="false" customHeight="false" outlineLevel="0" collapsed="false">
      <c r="A129" s="0" t="s">
        <v>131</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IF(OR(E129="",E129="!!!",F129="NEW"),"",INDEX(B128:B$2,-1+SUMPRODUCT(MAX(ROW(E128:E$2)*(E129=E128:E$2)))))</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8" hidden="false" customHeight="false" outlineLevel="0" collapsed="false">
      <c r="A130" s="0" t="s">
        <v>117</v>
      </c>
      <c r="B130" s="0" t="s">
        <v>142</v>
      </c>
      <c r="C130" s="0" t="s">
        <v>103</v>
      </c>
      <c r="D130" s="0" t="s">
        <v>20</v>
      </c>
      <c r="E130" s="10" t="s">
        <v>35</v>
      </c>
      <c r="F130" s="11" t="str">
        <f aca="false">IF(OR(E130="",E130="!!!"),"",IF(NOT(ISNA(VLOOKUP(E130,E$1:E129,1,FALSE()))),"OLD",IF(AND(E130&lt;&gt;"",E130&lt;&gt;"!!!"),"NEW","")))</f>
        <v>OLD</v>
      </c>
      <c r="G130" s="12" t="s">
        <v>58</v>
      </c>
      <c r="H130" s="13" t="str">
        <f aca="false">IF(J130&lt;&gt;1,"",IF(I130="SBJ","CB","?"))</f>
        <v/>
      </c>
      <c r="I130" s="14" t="str">
        <f aca="false">IF(OR(E130="",E130="!!!",F130="NEW"),"",INDEX(B129:B$2,-1+SUMPRODUCT(MAX(ROW(E129:E$2)*(E130=E129:E$2)))))</f>
        <v>SBJ_5</v>
      </c>
      <c r="J130" s="15" t="n">
        <f aca="true">IF(OR(E130="",E130="!!!",F130="NEW"),"",COUNTBLANK(OFFSET(A$1,,,SUMPRODUCT(MAX(ROW(E$2:E130)*(E130=E$2:E130)))))-COUNTBLANK(OFFSET(A$1,,,SUMPRODUCT(MAX(ROW(E$1:E129)*(E130=E$1:E129))))))</f>
        <v>0</v>
      </c>
      <c r="K130" s="15" t="n">
        <f aca="false">IF(OR(E130="",E130="!!!",F130="NEW"),"",INDEX(J$1:J129,SUMPRODUCT(MAX(ROW(E$1:E129)*(E130=E$1:E129)))))</f>
        <v>0</v>
      </c>
      <c r="L130" s="16"/>
    </row>
    <row r="131" customFormat="false" ht="12.8" hidden="false" customHeight="false" outlineLevel="0" collapsed="false">
      <c r="A131" s="0" t="s">
        <v>143</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IF(OR(E131="",E131="!!!",F131="NEW"),"",INDEX(B130:B$2,-1+SUMPRODUCT(MAX(ROW(E130:E$2)*(E131=E130:E$2)))))</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8" hidden="false" customHeight="false" outlineLevel="0" collapsed="false">
      <c r="A132" s="0" t="s">
        <v>100</v>
      </c>
      <c r="B132" s="0" t="s">
        <v>144</v>
      </c>
      <c r="C132" s="0" t="s">
        <v>106</v>
      </c>
      <c r="D132" s="0" t="s">
        <v>20</v>
      </c>
      <c r="E132" s="10" t="s">
        <v>145</v>
      </c>
      <c r="F132" s="11" t="str">
        <f aca="false">IF(OR(E132="",E132="!!!"),"",IF(NOT(ISNA(VLOOKUP(E132,E$1:E131,1,FALSE()))),"OLD",IF(AND(E132&lt;&gt;"",E132&lt;&gt;"!!!"),"NEW","")))</f>
        <v>NEW</v>
      </c>
      <c r="G132" s="12" t="s">
        <v>37</v>
      </c>
      <c r="H132" s="13" t="str">
        <f aca="false">IF(J132&lt;&gt;1,"",IF(I132="SBJ","CB","?"))</f>
        <v/>
      </c>
      <c r="I132" s="14" t="str">
        <f aca="false">IF(OR(E132="",E132="!!!",F132="NEW"),"",INDEX(B131:B$2,-1+SUMPRODUCT(MAX(ROW(E131:E$2)*(E132=E131:E$2)))))</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8" hidden="false" customHeight="false" outlineLevel="0" collapsed="false">
      <c r="A133" s="0" t="s">
        <v>133</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IF(OR(E133="",E133="!!!",F133="NEW"),"",INDEX(B132:B$2,-1+SUMPRODUCT(MAX(ROW(E132:E$2)*(E133=E132:E$2)))))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8" hidden="false" customHeight="false" outlineLevel="0" collapsed="false">
      <c r="A134" s="0" t="s">
        <v>146</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IF(OR(E134="",E134="!!!",F134="NEW"),"",INDEX(B133:B$2,-1+SUMPRODUCT(MAX(ROW(E133:E$2)*(E134=E133:E$2)))))</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8" hidden="false" customHeight="false" outlineLevel="0" collapsed="false">
      <c r="A135" s="0" t="s">
        <v>147</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IF(OR(E135="",E135="!!!",F135="NEW"),"",INDEX(B134:B$2,-1+SUMPRODUCT(MAX(ROW(E134:E$2)*(E135=E134:E$2)))))</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8" hidden="false" customHeight="false" outlineLevel="0" collapsed="false">
      <c r="A136" s="0" t="s">
        <v>148</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IF(OR(E136="",E136="!!!",F136="NEW"),"",INDEX(B135:B$2,-1+SUMPRODUCT(MAX(ROW(E135:E$2)*(E136=E135:E$2)))))</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8" hidden="false" customHeight="false" outlineLevel="0" collapsed="false">
      <c r="A137" s="0" t="s">
        <v>81</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IF(OR(E137="",E137="!!!",F137="NEW"),"",INDEX(B136:B$2,-1+SUMPRODUCT(MAX(ROW(E136:E$2)*(E137=E136:E$2)))))</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8" hidden="false" customHeight="false" outlineLevel="0" collapsed="false">
      <c r="A138" s="0" t="s">
        <v>149</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IF(OR(E138="",E138="!!!",F138="NEW"),"",INDEX(B137:B$2,-1+SUMPRODUCT(MAX(ROW(E137:E$2)*(E138=E137:E$2)))))</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8" hidden="false" customHeight="false" outlineLevel="0" collapsed="false">
      <c r="A139" s="0" t="s">
        <v>150</v>
      </c>
      <c r="B139" s="0" t="s">
        <v>151</v>
      </c>
      <c r="C139" s="0" t="s">
        <v>25</v>
      </c>
      <c r="D139" s="0" t="s">
        <v>20</v>
      </c>
      <c r="E139" s="10" t="s">
        <v>110</v>
      </c>
      <c r="F139" s="11" t="str">
        <f aca="false">IF(OR(E139="",E139="!!!"),"",IF(NOT(ISNA(VLOOKUP(E139,E$1:E138,1,FALSE()))),"OLD",IF(AND(E139&lt;&gt;"",E139&lt;&gt;"!!!"),"NEW","")))</f>
        <v>OLD</v>
      </c>
      <c r="G139" s="12" t="s">
        <v>58</v>
      </c>
      <c r="H139" s="13"/>
      <c r="I139" s="14" t="n">
        <f aca="false">IF(OR(E139="",E139="!!!",F139="NEW"),"",INDEX(B138:B$2,-1+SUMPRODUCT(MAX(ROW(E138:E$2)*(E139=E138:E$2)))))</f>
        <v>0</v>
      </c>
      <c r="J139" s="15" t="n">
        <f aca="true">IF(OR(E139="",E139="!!!",F139="NEW"),"",COUNTBLANK(OFFSET(A$1,,,SUMPRODUCT(MAX(ROW(E$2:E139)*(E139=E$2:E139)))))-COUNTBLANK(OFFSET(A$1,,,SUMPRODUCT(MAX(ROW(E$1:E138)*(E139=E$1:E138))))))</f>
        <v>1</v>
      </c>
      <c r="K139" s="15" t="str">
        <f aca="false">IF(OR(E139="",E139="!!!",F139="NEW"),"",INDEX(J$1:J138,SUMPRODUCT(MAX(ROW(E$1:E138)*(E139=E$1:E138)))))</f>
        <v/>
      </c>
      <c r="L139" s="16"/>
    </row>
    <row r="140" customFormat="false" ht="12.8" hidden="false" customHeight="false" outlineLevel="0" collapsed="false">
      <c r="A140" s="0" t="s">
        <v>152</v>
      </c>
      <c r="B140" s="0" t="s">
        <v>153</v>
      </c>
      <c r="C140" s="0" t="s">
        <v>34</v>
      </c>
      <c r="D140" s="0" t="s">
        <v>20</v>
      </c>
      <c r="E140" s="10" t="s">
        <v>119</v>
      </c>
      <c r="F140" s="11" t="str">
        <f aca="false">IF(OR(E140="",E140="!!!"),"",IF(NOT(ISNA(VLOOKUP(E140,E$1:E139,1,FALSE()))),"OLD",IF(AND(E140&lt;&gt;"",E140&lt;&gt;"!!!"),"NEW","")))</f>
        <v>OLD</v>
      </c>
      <c r="G140" s="12" t="s">
        <v>58</v>
      </c>
      <c r="H140" s="13" t="str">
        <f aca="false">IF(J140&lt;&gt;1,"",IF(I140="SBJ","CB","?"))</f>
        <v/>
      </c>
      <c r="I140" s="14" t="str">
        <f aca="false">IF(OR(E140="",E140="!!!",F140="NEW"),"",INDEX(B139:B$2,-1+SUMPRODUCT(MAX(ROW(E139:E$2)*(E140=E139:E$2)))))</f>
        <v>other</v>
      </c>
      <c r="J140" s="15" t="n">
        <f aca="true">IF(OR(E140="",E140="!!!",F140="NEW"),"",COUNTBLANK(OFFSET(A$1,,,SUMPRODUCT(MAX(ROW(E$2:E140)*(E140=E$2:E140)))))-COUNTBLANK(OFFSET(A$1,,,SUMPRODUCT(MAX(ROW(E$1:E139)*(E140=E$1:E139))))))</f>
        <v>0</v>
      </c>
      <c r="K140" s="15" t="str">
        <f aca="false">IF(OR(E140="",E140="!!!",F140="NEW"),"",INDEX(J$1:J139,SUMPRODUCT(MAX(ROW(E$1:E139)*(E140=E$1:E139)))))</f>
        <v/>
      </c>
      <c r="L140" s="16"/>
    </row>
    <row r="141" customFormat="false" ht="12.8" hidden="false" customHeight="false" outlineLevel="0" collapsed="false">
      <c r="A141" s="0" t="s">
        <v>101</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IF(OR(E141="",E141="!!!",F141="NEW"),"",INDEX(B140:B$2,-1+SUMPRODUCT(MAX(ROW(E140:E$2)*(E141=E140:E$2)))))</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8" hidden="false" customHeight="false" outlineLevel="0" collapsed="false">
      <c r="A142" s="0" t="s">
        <v>69</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IF(OR(E142="",E142="!!!",F142="NEW"),"",INDEX(B141:B$2,-1+SUMPRODUCT(MAX(ROW(E141:E$2)*(E142=E141:E$2)))))</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8" hidden="false" customHeight="false" outlineLevel="0" collapsed="false">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IF(OR(E143="",E143="!!!",F143="NEW"),"",INDEX(B142:B$2,-1+SUMPRODUCT(MAX(ROW(E142:E$2)*(E143=E142:E$2)))))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8" hidden="false" customHeight="false" outlineLevel="0" collapsed="false">
      <c r="A144" s="0" t="s">
        <v>154</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IF(OR(E144="",E144="!!!",F144="NEW"),"",INDEX(B143:B$2,-1+SUMPRODUCT(MAX(ROW(E143:E$2)*(E144=E143:E$2)))))</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8" hidden="false" customHeight="false" outlineLevel="0" collapsed="false">
      <c r="A145" s="0" t="s">
        <v>155</v>
      </c>
      <c r="B145" s="0" t="s">
        <v>89</v>
      </c>
      <c r="C145" s="0" t="s">
        <v>34</v>
      </c>
      <c r="D145" s="0" t="s">
        <v>20</v>
      </c>
      <c r="E145" s="10" t="s">
        <v>145</v>
      </c>
      <c r="F145" s="11" t="str">
        <f aca="false">IF(OR(E145="",E145="!!!"),"",IF(NOT(ISNA(VLOOKUP(E145,E$1:E144,1,FALSE()))),"OLD",IF(AND(E145&lt;&gt;"",E145&lt;&gt;"!!!"),"NEW","")))</f>
        <v>OLD</v>
      </c>
      <c r="G145" s="12" t="s">
        <v>58</v>
      </c>
      <c r="H145" s="13" t="s">
        <v>7</v>
      </c>
      <c r="I145" s="14" t="str">
        <f aca="false">IF(OR(E145="",E145="!!!",F145="NEW"),"",INDEX(B144:B$2,-1+SUMPRODUCT(MAX(ROW(E144:E$2)*(E145=E144:E$2)))))</f>
        <v>SBJ_6</v>
      </c>
      <c r="J145" s="15" t="n">
        <f aca="true">IF(OR(E145="",E145="!!!",F145="NEW"),"",COUNTBLANK(OFFSET(A$1,,,SUMPRODUCT(MAX(ROW(E$2:E145)*(E145=E$2:E145)))))-COUNTBLANK(OFFSET(A$1,,,SUMPRODUCT(MAX(ROW(E$1:E144)*(E145=E$1:E144))))))</f>
        <v>1</v>
      </c>
      <c r="K145" s="15" t="str">
        <f aca="false">IF(OR(E145="",E145="!!!",F145="NEW"),"",INDEX(J$1:J144,SUMPRODUCT(MAX(ROW(E$1:E144)*(E145=E$1:E144)))))</f>
        <v/>
      </c>
      <c r="L145" s="16"/>
    </row>
    <row r="146" customFormat="false" ht="12.8" hidden="false" customHeight="false" outlineLevel="0" collapsed="false">
      <c r="A146" s="0" t="s">
        <v>133</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IF(OR(E146="",E146="!!!",F146="NEW"),"",INDEX(B145:B$2,-1+SUMPRODUCT(MAX(ROW(E145:E$2)*(E146=E145:E$2)))))</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8" hidden="false" customHeight="false" outlineLevel="0" collapsed="false">
      <c r="A147" s="0" t="s">
        <v>46</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IF(OR(E147="",E147="!!!",F147="NEW"),"",INDEX(B146:B$2,-1+SUMPRODUCT(MAX(ROW(E146:E$2)*(E147=E146:E$2)))))</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8" hidden="false" customHeight="false" outlineLevel="0" collapsed="false">
      <c r="A148" s="0" t="s">
        <v>42</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IF(OR(E148="",E148="!!!",F148="NEW"),"",INDEX(B147:B$2,-1+SUMPRODUCT(MAX(ROW(E147:E$2)*(E148=E147:E$2)))))</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8" hidden="false" customHeight="false" outlineLevel="0" collapsed="false">
      <c r="A149" s="0" t="s">
        <v>156</v>
      </c>
      <c r="B149" s="0" t="s">
        <v>29</v>
      </c>
      <c r="C149" s="0" t="s">
        <v>30</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IF(OR(E149="",E149="!!!",F149="NEW"),"",INDEX(B148:B$2,-1+SUMPRODUCT(MAX(ROW(E148:E$2)*(E149=E148:E$2)))))</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8" hidden="false" customHeight="false" outlineLevel="0" collapsed="false">
      <c r="A150" s="0" t="s">
        <v>46</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IF(OR(E150="",E150="!!!",F150="NEW"),"",INDEX(B149:B$2,-1+SUMPRODUCT(MAX(ROW(E149:E$2)*(E150=E149:E$2)))))</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8" hidden="false" customHeight="false" outlineLevel="0" collapsed="false">
      <c r="A151" s="0" t="s">
        <v>157</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IF(OR(E151="",E151="!!!",F151="NEW"),"",INDEX(B150:B$2,-1+SUMPRODUCT(MAX(ROW(E150:E$2)*(E151=E150:E$2)))))</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8" hidden="false" customHeight="false" outlineLevel="0" collapsed="false">
      <c r="A152" s="0" t="s">
        <v>158</v>
      </c>
      <c r="B152" s="0" t="s">
        <v>33</v>
      </c>
      <c r="C152" s="0" t="s">
        <v>106</v>
      </c>
      <c r="D152" s="0" t="s">
        <v>20</v>
      </c>
      <c r="E152" s="10" t="s">
        <v>77</v>
      </c>
      <c r="F152" s="11" t="s">
        <v>159</v>
      </c>
      <c r="G152" s="12"/>
      <c r="H152" s="13"/>
      <c r="I152" s="14" t="str">
        <f aca="false">IF(OR(E152="",E152="!!!",F152="NEW"),"",INDEX(B151:B$2,-1+SUMPRODUCT(MAX(ROW(E151:E$2)*(E152=E151:E$2)))))</f>
        <v>OBJ_3</v>
      </c>
      <c r="J152" s="15" t="n">
        <f aca="true">IF(OR(E152="",E152="!!!",F152="NEW"),"",COUNTBLANK(OFFSET(A$1,,,SUMPRODUCT(MAX(ROW(E$2:E152)*(E152=E$2:E152)))))-COUNTBLANK(OFFSET(A$1,,,SUMPRODUCT(MAX(ROW(E$1:E151)*(E152=E$1:E151))))))</f>
        <v>1</v>
      </c>
      <c r="K152" s="15" t="n">
        <f aca="false">IF(OR(E152="",E152="!!!",F152="NEW"),"",INDEX(J$1:J151,SUMPRODUCT(MAX(ROW(E$1:E151)*(E152=E$1:E151)))))</f>
        <v>0</v>
      </c>
      <c r="L152" s="16"/>
    </row>
    <row r="153" customFormat="false" ht="12.8" hidden="false" customHeight="false" outlineLevel="0" collapsed="false">
      <c r="A153" s="0" t="s">
        <v>26</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IF(OR(E153="",E153="!!!",F153="NEW"),"",INDEX(B152:B$2,-1+SUMPRODUCT(MAX(ROW(E152:E$2)*(E153=E152:E$2)))))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8" hidden="false" customHeight="false" outlineLevel="0" collapsed="false">
      <c r="A154" s="0" t="s">
        <v>47</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IF(OR(E154="",E154="!!!",F154="NEW"),"",INDEX(B153:B$2,-1+SUMPRODUCT(MAX(ROW(E153:E$2)*(E154=E153:E$2)))))</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8" hidden="false" customHeight="false" outlineLevel="0" collapsed="false">
      <c r="A155" s="0" t="s">
        <v>43</v>
      </c>
      <c r="B155" s="0" t="s">
        <v>29</v>
      </c>
      <c r="C155" s="0" t="s">
        <v>19</v>
      </c>
      <c r="D155" s="0" t="s">
        <v>20</v>
      </c>
      <c r="E155" s="10" t="s">
        <v>44</v>
      </c>
      <c r="F155" s="11" t="str">
        <f aca="false">IF(OR(E155="",E155="!!!"),"",IF(NOT(ISNA(VLOOKUP(E155,E$1:E154,1,FALSE()))),"OLD",IF(AND(E155&lt;&gt;"",E155&lt;&gt;"!!!"),"NEW","")))</f>
        <v>OLD</v>
      </c>
      <c r="G155" s="12" t="s">
        <v>85</v>
      </c>
      <c r="H155" s="13" t="str">
        <f aca="false">IF(J155&lt;&gt;1,"",IF(I155="SBJ","CB","?"))</f>
        <v/>
      </c>
      <c r="I155" s="14" t="str">
        <f aca="false">IF(OR(E155="",E155="!!!",F155="NEW"),"",INDEX(B154:B$2,-1+SUMPRODUCT(MAX(ROW(E154:E$2)*(E155=E154:E$2)))))</f>
        <v>SBJ</v>
      </c>
      <c r="J155" s="15" t="n">
        <f aca="true">IF(OR(E155="",E155="!!!",F155="NEW"),"",COUNTBLANK(OFFSET(A$1,,,SUMPRODUCT(MAX(ROW(E$2:E155)*(E155=E$2:E155)))))-COUNTBLANK(OFFSET(A$1,,,SUMPRODUCT(MAX(ROW(E$1:E154)*(E155=E$1:E154))))))</f>
        <v>3</v>
      </c>
      <c r="K155" s="15" t="n">
        <f aca="false">IF(OR(E155="",E155="!!!",F155="NEW"),"",INDEX(J$1:J154,SUMPRODUCT(MAX(ROW(E$1:E154)*(E155=E$1:E154)))))</f>
        <v>1</v>
      </c>
      <c r="L155" s="16"/>
    </row>
    <row r="156" customFormat="false" ht="12.8" hidden="false" customHeight="false" outlineLevel="0" collapsed="false">
      <c r="A156" s="0" t="s">
        <v>45</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IF(OR(E156="",E156="!!!",F156="NEW"),"",INDEX(B155:B$2,-1+SUMPRODUCT(MAX(ROW(E155:E$2)*(E156=E155:E$2)))))</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8" hidden="false" customHeight="false" outlineLevel="0" collapsed="false">
      <c r="A157" s="0" t="s">
        <v>160</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IF(OR(E157="",E157="!!!",F157="NEW"),"",INDEX(B156:B$2,-1+SUMPRODUCT(MAX(ROW(E156:E$2)*(E157=E156:E$2)))))</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8" hidden="false" customHeight="false" outlineLevel="0" collapsed="false">
      <c r="A158" s="0" t="s">
        <v>80</v>
      </c>
      <c r="B158" s="0" t="s">
        <v>89</v>
      </c>
      <c r="C158" s="0" t="s">
        <v>30</v>
      </c>
      <c r="E158" s="10" t="s">
        <v>77</v>
      </c>
      <c r="F158" s="11" t="s">
        <v>129</v>
      </c>
      <c r="G158" s="12"/>
      <c r="H158" s="13" t="str">
        <f aca="false">IF(J158&lt;&gt;1,"",IF(I158="SBJ","CB","?"))</f>
        <v/>
      </c>
      <c r="I158" s="14" t="str">
        <f aca="false">IF(OR(E158="",E158="!!!",F158="NEW"),"",INDEX(B157:B$2,-1+SUMPRODUCT(MAX(ROW(E157:E$2)*(E158=E157:E$2)))))</f>
        <v>SBJ</v>
      </c>
      <c r="J158" s="15" t="n">
        <f aca="true">IF(OR(E158="",E158="!!!",F158="NEW"),"",COUNTBLANK(OFFSET(A$1,,,SUMPRODUCT(MAX(ROW(E$2:E158)*(E158=E$2:E158)))))-COUNTBLANK(OFFSET(A$1,,,SUMPRODUCT(MAX(ROW(E$1:E157)*(E158=E$1:E157))))))</f>
        <v>0</v>
      </c>
      <c r="K158" s="15" t="n">
        <f aca="false">IF(OR(E158="",E158="!!!",F158="NEW"),"",INDEX(J$1:J157,SUMPRODUCT(MAX(ROW(E$1:E157)*(E158=E$1:E157)))))</f>
        <v>1</v>
      </c>
      <c r="L158" s="16"/>
    </row>
    <row r="159" customFormat="false" ht="12.8" hidden="false" customHeight="false" outlineLevel="0" collapsed="false">
      <c r="A159" s="0" t="s">
        <v>40</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IF(OR(E159="",E159="!!!",F159="NEW"),"",INDEX(B158:B$2,-1+SUMPRODUCT(MAX(ROW(E158:E$2)*(E159=E158:E$2)))))</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23.85" hidden="false" customHeight="false" outlineLevel="0" collapsed="false">
      <c r="A160" s="0" t="s">
        <v>161</v>
      </c>
      <c r="B160" s="0" t="s">
        <v>55</v>
      </c>
      <c r="C160" s="0" t="s">
        <v>30</v>
      </c>
      <c r="E160" s="10" t="s">
        <v>77</v>
      </c>
      <c r="F160" s="11" t="s">
        <v>129</v>
      </c>
      <c r="G160" s="12"/>
      <c r="H160" s="13" t="str">
        <f aca="false">IF(J160&lt;&gt;1,"",IF(I160="SBJ","CB","?"))</f>
        <v/>
      </c>
      <c r="I160" s="14" t="str">
        <f aca="false">IF(OR(E160="",E160="!!!",F160="NEW"),"",INDEX(B159:B$2,-1+SUMPRODUCT(MAX(ROW(E159:E$2)*(E160=E159:E$2)))))</f>
        <v>SBJ_2</v>
      </c>
      <c r="J160" s="15" t="n">
        <f aca="true">IF(OR(E160="",E160="!!!",F160="NEW"),"",COUNTBLANK(OFFSET(A$1,,,SUMPRODUCT(MAX(ROW(E$2:E160)*(E160=E$2:E160)))))-COUNTBLANK(OFFSET(A$1,,,SUMPRODUCT(MAX(ROW(E$1:E159)*(E160=E$1:E159))))))</f>
        <v>0</v>
      </c>
      <c r="K160" s="15" t="n">
        <f aca="false">IF(OR(E160="",E160="!!!",F160="NEW"),"",INDEX(J$1:J159,SUMPRODUCT(MAX(ROW(E$1:E159)*(E160=E$1:E159)))))</f>
        <v>0</v>
      </c>
      <c r="L160" s="16" t="s">
        <v>162</v>
      </c>
    </row>
    <row r="161" customFormat="false" ht="12.8" hidden="false" customHeight="false" outlineLevel="0" collapsed="false">
      <c r="A161" s="0" t="s">
        <v>90</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IF(OR(E161="",E161="!!!",F161="NEW"),"",INDEX(B160:B$2,-1+SUMPRODUCT(MAX(ROW(E160:E$2)*(E161=E160:E$2)))))</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8" hidden="false" customHeight="false" outlineLevel="0" collapsed="false">
      <c r="A162" s="0" t="s">
        <v>163</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IF(OR(E162="",E162="!!!",F162="NEW"),"",INDEX(B161:B$2,-1+SUMPRODUCT(MAX(ROW(E161:E$2)*(E162=E161:E$2)))))</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8" hidden="false" customHeight="false" outlineLevel="0" collapsed="false">
      <c r="A163" s="0" t="s">
        <v>164</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IF(OR(E163="",E163="!!!",F163="NEW"),"",INDEX(B162:B$2,-1+SUMPRODUCT(MAX(ROW(E162:E$2)*(E163=E162:E$2)))))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8" hidden="false" customHeight="false" outlineLevel="0" collapsed="false">
      <c r="A164" s="0" t="s">
        <v>47</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IF(OR(E164="",E164="!!!",F164="NEW"),"",INDEX(B163:B$2,-1+SUMPRODUCT(MAX(ROW(E163:E$2)*(E164=E163:E$2)))))</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8" hidden="false" customHeight="false" outlineLevel="0" collapsed="false">
      <c r="A165" s="0" t="s">
        <v>165</v>
      </c>
      <c r="B165" s="0" t="s">
        <v>14</v>
      </c>
      <c r="C165" s="0" t="s">
        <v>52</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IF(OR(E165="",E165="!!!",F165="NEW"),"",INDEX(B164:B$2,-1+SUMPRODUCT(MAX(ROW(E164:E$2)*(E165=E164:E$2)))))</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8" hidden="false" customHeight="false" outlineLevel="0" collapsed="false">
      <c r="A166" s="0" t="s">
        <v>75</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IF(OR(E166="",E166="!!!",F166="NEW"),"",INDEX(B165:B$2,-1+SUMPRODUCT(MAX(ROW(E165:E$2)*(E166=E165:E$2)))))</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8" hidden="false" customHeight="false" outlineLevel="0" collapsed="false">
      <c r="A167" s="0" t="s">
        <v>166</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IF(OR(E167="",E167="!!!",F167="NEW"),"",INDEX(B166:B$2,-1+SUMPRODUCT(MAX(ROW(E166:E$2)*(E167=E166:E$2)))))</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8" hidden="false" customHeight="false" outlineLevel="0" collapsed="false">
      <c r="A168" s="0" t="s">
        <v>167</v>
      </c>
      <c r="B168" s="0" t="s">
        <v>136</v>
      </c>
      <c r="C168" s="0" t="s">
        <v>30</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IF(OR(E168="",E168="!!!",F168="NEW"),"",INDEX(B167:B$2,-1+SUMPRODUCT(MAX(ROW(E167:E$2)*(E168=E167:E$2)))))</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8" hidden="false" customHeight="false" outlineLevel="0" collapsed="false">
      <c r="A169" s="0" t="s">
        <v>69</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IF(OR(E169="",E169="!!!",F169="NEW"),"",INDEX(B168:B$2,-1+SUMPRODUCT(MAX(ROW(E168:E$2)*(E169=E168:E$2)))))</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8" hidden="false" customHeight="false" outlineLevel="0" collapsed="false">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IF(OR(E170="",E170="!!!",F170="NEW"),"",INDEX(B169:B$2,-1+SUMPRODUCT(MAX(ROW(E169:E$2)*(E170=E169:E$2)))))</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8" hidden="false" customHeight="false" outlineLevel="0" collapsed="false">
      <c r="A171" s="0" t="s">
        <v>168</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IF(OR(E171="",E171="!!!",F171="NEW"),"",INDEX(B170:B$2,-1+SUMPRODUCT(MAX(ROW(E170:E$2)*(E171=E170:E$2)))))</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8" hidden="false" customHeight="false" outlineLevel="0" collapsed="false">
      <c r="A172" s="0" t="s">
        <v>116</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IF(OR(E172="",E172="!!!",F172="NEW"),"",INDEX(B171:B$2,-1+SUMPRODUCT(MAX(ROW(E171:E$2)*(E172=E171:E$2)))))</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8" hidden="false" customHeight="false" outlineLevel="0" collapsed="false">
      <c r="A173" s="0" t="s">
        <v>32</v>
      </c>
      <c r="B173" s="0" t="s">
        <v>169</v>
      </c>
      <c r="C173" s="0" t="s">
        <v>34</v>
      </c>
      <c r="D173" s="0" t="s">
        <v>20</v>
      </c>
      <c r="E173" s="10" t="s">
        <v>35</v>
      </c>
      <c r="F173" s="11" t="str">
        <f aca="false">IF(OR(E173="",E173="!!!"),"",IF(NOT(ISNA(VLOOKUP(E173,E$1:E172,1,FALSE()))),"OLD",IF(AND(E173&lt;&gt;"",E173&lt;&gt;"!!!"),"NEW","")))</f>
        <v>OLD</v>
      </c>
      <c r="G173" s="12" t="s">
        <v>72</v>
      </c>
      <c r="H173" s="13" t="str">
        <f aca="false">IF(J173&lt;&gt;1,"",IF(I173="SBJ","CB","?"))</f>
        <v/>
      </c>
      <c r="I173" s="14" t="str">
        <f aca="false">IF(OR(E173="",E173="!!!",F173="NEW"),"",INDEX(B172:B$2,-1+SUMPRODUCT(MAX(ROW(E172:E$2)*(E173=E172:E$2)))))</f>
        <v>other_7</v>
      </c>
      <c r="J173" s="15" t="n">
        <f aca="true">IF(OR(E173="",E173="!!!",F173="NEW"),"",COUNTBLANK(OFFSET(A$1,,,SUMPRODUCT(MAX(ROW(E$2:E173)*(E173=E$2:E173)))))-COUNTBLANK(OFFSET(A$1,,,SUMPRODUCT(MAX(ROW(E$1:E172)*(E173=E$1:E172))))))</f>
        <v>2</v>
      </c>
      <c r="K173" s="15" t="n">
        <f aca="false">IF(OR(E173="",E173="!!!",F173="NEW"),"",INDEX(J$1:J172,SUMPRODUCT(MAX(ROW(E$1:E172)*(E173=E$1:E172)))))</f>
        <v>0</v>
      </c>
      <c r="L173" s="16"/>
    </row>
    <row r="174" customFormat="false" ht="12.8" hidden="false" customHeight="false" outlineLevel="0" collapsed="false">
      <c r="A174" s="0" t="s">
        <v>170</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IF(OR(E174="",E174="!!!",F174="NEW"),"",INDEX(B173:B$2,-1+SUMPRODUCT(MAX(ROW(E173:E$2)*(E174=E173:E$2)))))</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8" hidden="false" customHeight="false" outlineLevel="0" collapsed="false">
      <c r="A175" s="0" t="s">
        <v>171</v>
      </c>
      <c r="B175" s="0" t="s">
        <v>172</v>
      </c>
      <c r="C175" s="0" t="s">
        <v>30</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IF(OR(E175="",E175="!!!",F175="NEW"),"",INDEX(B174:B$2,-1+SUMPRODUCT(MAX(ROW(E174:E$2)*(E175=E174:E$2)))))</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8" hidden="false" customHeight="false" outlineLevel="0" collapsed="false">
      <c r="A176" s="0" t="s">
        <v>173</v>
      </c>
      <c r="B176" s="0" t="s">
        <v>144</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IF(OR(E176="",E176="!!!",F176="NEW"),"",INDEX(B175:B$2,-1+SUMPRODUCT(MAX(ROW(E175:E$2)*(E176=E175:E$2)))))</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8" hidden="false" customHeight="false" outlineLevel="0" collapsed="false">
      <c r="A177" s="0" t="s">
        <v>32</v>
      </c>
      <c r="B177" s="0" t="s">
        <v>144</v>
      </c>
      <c r="C177" s="0" t="s">
        <v>34</v>
      </c>
      <c r="D177" s="0" t="s">
        <v>20</v>
      </c>
      <c r="E177" s="10" t="s">
        <v>35</v>
      </c>
      <c r="F177" s="11" t="str">
        <f aca="false">IF(OR(E177="",E177="!!!"),"",IF(NOT(ISNA(VLOOKUP(E177,E$1:E176,1,FALSE()))),"OLD",IF(AND(E177&lt;&gt;"",E177&lt;&gt;"!!!"),"NEW","")))</f>
        <v>OLD</v>
      </c>
      <c r="G177" s="12" t="s">
        <v>58</v>
      </c>
      <c r="H177" s="13" t="str">
        <f aca="false">IF(J177&lt;&gt;1,"",IF(I177="SBJ","CB","?"))</f>
        <v/>
      </c>
      <c r="I177" s="14" t="str">
        <f aca="false">IF(OR(E177="",E177="!!!",F177="NEW"),"",INDEX(B176:B$2,-1+SUMPRODUCT(MAX(ROW(E176:E$2)*(E177=E176:E$2)))))</f>
        <v>SBJ_4</v>
      </c>
      <c r="J177" s="15" t="n">
        <f aca="true">IF(OR(E177="",E177="!!!",F177="NEW"),"",COUNTBLANK(OFFSET(A$1,,,SUMPRODUCT(MAX(ROW(E$2:E177)*(E177=E$2:E177)))))-COUNTBLANK(OFFSET(A$1,,,SUMPRODUCT(MAX(ROW(E$1:E176)*(E177=E$1:E176))))))</f>
        <v>0</v>
      </c>
      <c r="K177" s="15" t="n">
        <f aca="false">IF(OR(E177="",E177="!!!",F177="NEW"),"",INDEX(J$1:J176,SUMPRODUCT(MAX(ROW(E$1:E176)*(E177=E$1:E176)))))</f>
        <v>2</v>
      </c>
      <c r="L177" s="16"/>
    </row>
    <row r="178" customFormat="false" ht="12.8" hidden="false" customHeight="false" outlineLevel="0" collapsed="false">
      <c r="A178" s="0" t="s">
        <v>174</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IF(OR(E178="",E178="!!!",F178="NEW"),"",INDEX(B177:B$2,-1+SUMPRODUCT(MAX(ROW(E177:E$2)*(E178=E177:E$2)))))</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8" hidden="false" customHeight="false" outlineLevel="0" collapsed="false">
      <c r="A179" s="0" t="s">
        <v>46</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IF(OR(E179="",E179="!!!",F179="NEW"),"",INDEX(B178:B$2,-1+SUMPRODUCT(MAX(ROW(E178:E$2)*(E179=E178:E$2)))))</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8" hidden="false" customHeight="false" outlineLevel="0" collapsed="false">
      <c r="A180" s="0" t="s">
        <v>175</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IF(OR(E180="",E180="!!!",F180="NEW"),"",INDEX(B179:B$2,-1+SUMPRODUCT(MAX(ROW(E179:E$2)*(E180=E179:E$2)))))</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8" hidden="false" customHeight="false" outlineLevel="0" collapsed="false">
      <c r="A181" s="0" t="s">
        <v>176</v>
      </c>
      <c r="B181" s="0" t="s">
        <v>177</v>
      </c>
      <c r="C181" s="0" t="s">
        <v>30</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IF(OR(E181="",E181="!!!",F181="NEW"),"",INDEX(B180:B$2,-1+SUMPRODUCT(MAX(ROW(E180:E$2)*(E181=E180:E$2)))))</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8" hidden="false" customHeight="false" outlineLevel="0" collapsed="false">
      <c r="A182" s="0" t="s">
        <v>46</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IF(OR(E182="",E182="!!!",F182="NEW"),"",INDEX(B181:B$2,-1+SUMPRODUCT(MAX(ROW(E181:E$2)*(E182=E181:E$2)))))</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8" hidden="false" customHeight="false" outlineLevel="0" collapsed="false">
      <c r="A183" s="0" t="s">
        <v>178</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IF(OR(E183="",E183="!!!",F183="NEW"),"",INDEX(B182:B$2,-1+SUMPRODUCT(MAX(ROW(E182:E$2)*(E183=E182:E$2)))))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8" hidden="false" customHeight="false" outlineLevel="0" collapsed="false">
      <c r="A184" s="0" t="s">
        <v>123</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IF(OR(E184="",E184="!!!",F184="NEW"),"",INDEX(B183:B$2,-1+SUMPRODUCT(MAX(ROW(E183:E$2)*(E184=E183:E$2)))))</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8" hidden="false" customHeight="false" outlineLevel="0" collapsed="false">
      <c r="A185" s="0" t="s">
        <v>112</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IF(OR(E185="",E185="!!!",F185="NEW"),"",INDEX(B184:B$2,-1+SUMPRODUCT(MAX(ROW(E184:E$2)*(E185=E184:E$2)))))</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8" hidden="false" customHeight="false" outlineLevel="0" collapsed="false">
      <c r="A186" s="0" t="s">
        <v>179</v>
      </c>
      <c r="B186" s="0" t="s">
        <v>68</v>
      </c>
      <c r="C186" s="0" t="s">
        <v>114</v>
      </c>
      <c r="D186" s="0" t="s">
        <v>20</v>
      </c>
      <c r="E186" s="10" t="s">
        <v>110</v>
      </c>
      <c r="F186" s="11" t="str">
        <f aca="false">IF(OR(E186="",E186="!!!"),"",IF(NOT(ISNA(VLOOKUP(E186,E$1:E185,1,FALSE()))),"OLD",IF(AND(E186&lt;&gt;"",E186&lt;&gt;"!!!"),"NEW","")))</f>
        <v>OLD</v>
      </c>
      <c r="G186" s="12" t="s">
        <v>72</v>
      </c>
      <c r="H186" s="13" t="str">
        <f aca="false">IF(J186&lt;&gt;1,"",IF(I186="SBJ","CB","?"))</f>
        <v/>
      </c>
      <c r="I186" s="14" t="str">
        <f aca="false">IF(OR(E186="",E186="!!!",F186="NEW"),"",INDEX(B185:B$2,-1+SUMPRODUCT(MAX(ROW(E185:E$2)*(E186=E185:E$2)))))</f>
        <v>other_6</v>
      </c>
      <c r="J186" s="15" t="n">
        <f aca="true">IF(OR(E186="",E186="!!!",F186="NEW"),"",COUNTBLANK(OFFSET(A$1,,,SUMPRODUCT(MAX(ROW(E$2:E186)*(E186=E$2:E186)))))-COUNTBLANK(OFFSET(A$1,,,SUMPRODUCT(MAX(ROW(E$1:E185)*(E186=E$1:E185))))))</f>
        <v>2</v>
      </c>
      <c r="K186" s="15" t="n">
        <f aca="false">IF(OR(E186="",E186="!!!",F186="NEW"),"",INDEX(J$1:J185,SUMPRODUCT(MAX(ROW(E$1:E185)*(E186=E$1:E185)))))</f>
        <v>1</v>
      </c>
      <c r="L186" s="16" t="s">
        <v>180</v>
      </c>
    </row>
    <row r="187" customFormat="false" ht="12.8" hidden="false" customHeight="false" outlineLevel="0" collapsed="false">
      <c r="A187" s="0" t="s">
        <v>46</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IF(OR(E187="",E187="!!!",F187="NEW"),"",INDEX(B186:B$2,-1+SUMPRODUCT(MAX(ROW(E186:E$2)*(E187=E186:E$2)))))</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8" hidden="false" customHeight="false" outlineLevel="0" collapsed="false">
      <c r="A188" s="0" t="s">
        <v>124</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IF(OR(E188="",E188="!!!",F188="NEW"),"",INDEX(B187:B$2,-1+SUMPRODUCT(MAX(ROW(E187:E$2)*(E188=E187:E$2)))))</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8" hidden="false" customHeight="false" outlineLevel="0" collapsed="false">
      <c r="A189" s="0" t="s">
        <v>181</v>
      </c>
      <c r="B189" s="0" t="s">
        <v>132</v>
      </c>
      <c r="C189" s="0" t="s">
        <v>15</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IF(OR(E189="",E189="!!!",F189="NEW"),"",INDEX(B188:B$2,-1+SUMPRODUCT(MAX(ROW(E188:E$2)*(E189=E188:E$2)))))</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8" hidden="false" customHeight="false" outlineLevel="0" collapsed="false">
      <c r="A190" s="0" t="s">
        <v>131</v>
      </c>
      <c r="B190" s="0" t="s">
        <v>138</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IF(OR(E190="",E190="!!!",F190="NEW"),"",INDEX(B189:B$2,-1+SUMPRODUCT(MAX(ROW(E189:E$2)*(E190=E189:E$2)))))</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8" hidden="false" customHeight="false" outlineLevel="0" collapsed="false">
      <c r="A191" s="0" t="s">
        <v>182</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IF(OR(E191="",E191="!!!",F191="NEW"),"",INDEX(B190:B$2,-1+SUMPRODUCT(MAX(ROW(E190:E$2)*(E191=E190:E$2)))))</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8" hidden="false" customHeight="false" outlineLevel="0" collapsed="false">
      <c r="A192" s="0" t="s">
        <v>183</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IF(OR(E192="",E192="!!!",F192="NEW"),"",INDEX(B191:B$2,-1+SUMPRODUCT(MAX(ROW(E191:E$2)*(E192=E191:E$2)))))</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8" hidden="false" customHeight="false" outlineLevel="0" collapsed="false">
      <c r="A193" s="0" t="s">
        <v>184</v>
      </c>
      <c r="B193" s="0" t="s">
        <v>185</v>
      </c>
      <c r="C193" s="0" t="s">
        <v>34</v>
      </c>
      <c r="D193" s="0" t="s">
        <v>20</v>
      </c>
      <c r="E193" s="10" t="s">
        <v>35</v>
      </c>
      <c r="F193" s="11" t="str">
        <f aca="false">IF(OR(E193="",E193="!!!"),"",IF(NOT(ISNA(VLOOKUP(E193,E$1:E192,1,FALSE()))),"OLD",IF(AND(E193&lt;&gt;"",E193&lt;&gt;"!!!"),"NEW","")))</f>
        <v>OLD</v>
      </c>
      <c r="G193" s="12" t="s">
        <v>58</v>
      </c>
      <c r="H193" s="13" t="str">
        <f aca="false">IF(J193&lt;&gt;1,"",IF(I193="SBJ","CB","?"))</f>
        <v/>
      </c>
      <c r="I193" s="14" t="str">
        <f aca="false">IF(OR(E193="",E193="!!!",F193="NEW"),"",INDEX(B192:B$2,-1+SUMPRODUCT(MAX(ROW(E192:E$2)*(E193=E192:E$2)))))</f>
        <v>SBJ_6</v>
      </c>
      <c r="J193" s="15" t="n">
        <f aca="true">IF(OR(E193="",E193="!!!",F193="NEW"),"",COUNTBLANK(OFFSET(A$1,,,SUMPRODUCT(MAX(ROW(E$2:E193)*(E193=E$2:E193)))))-COUNTBLANK(OFFSET(A$1,,,SUMPRODUCT(MAX(ROW(E$1:E192)*(E193=E$1:E192))))))</f>
        <v>0</v>
      </c>
      <c r="K193" s="15" t="n">
        <f aca="false">IF(OR(E193="",E193="!!!",F193="NEW"),"",INDEX(J$1:J192,SUMPRODUCT(MAX(ROW(E$1:E192)*(E193=E$1:E192)))))</f>
        <v>0</v>
      </c>
      <c r="L193" s="16"/>
    </row>
    <row r="194" customFormat="false" ht="12.8" hidden="false" customHeight="false" outlineLevel="0" collapsed="false">
      <c r="A194" s="0" t="s">
        <v>38</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IF(OR(E194="",E194="!!!",F194="NEW"),"",INDEX(B193:B$2,-1+SUMPRODUCT(MAX(ROW(E193:E$2)*(E194=E193:E$2)))))</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8" hidden="false" customHeight="false" outlineLevel="0" collapsed="false">
      <c r="A195" s="0" t="s">
        <v>131</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IF(OR(E195="",E195="!!!",F195="NEW"),"",INDEX(B194:B$2,-1+SUMPRODUCT(MAX(ROW(E194:E$2)*(E195=E194:E$2)))))</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8" hidden="false" customHeight="false" outlineLevel="0" collapsed="false">
      <c r="A196" s="0" t="s">
        <v>186</v>
      </c>
      <c r="B196" s="0" t="s">
        <v>89</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IF(OR(E196="",E196="!!!",F196="NEW"),"",INDEX(B195:B$2,-1+SUMPRODUCT(MAX(ROW(E195:E$2)*(E196=E195:E$2)))))</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8" hidden="false" customHeight="false" outlineLevel="0" collapsed="false">
      <c r="A197" s="0" t="s">
        <v>26</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IF(OR(E197="",E197="!!!",F197="NEW"),"",INDEX(B196:B$2,-1+SUMPRODUCT(MAX(ROW(E196:E$2)*(E197=E196:E$2)))))</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8" hidden="false" customHeight="false" outlineLevel="0" collapsed="false">
      <c r="A198" s="0" t="s">
        <v>81</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IF(OR(E198="",E198="!!!",F198="NEW"),"",INDEX(B197:B$2,-1+SUMPRODUCT(MAX(ROW(E197:E$2)*(E198=E197:E$2)))))</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8" hidden="false" customHeight="false" outlineLevel="0" collapsed="false">
      <c r="A199" s="0" t="s">
        <v>187</v>
      </c>
      <c r="B199" s="0" t="s">
        <v>55</v>
      </c>
      <c r="C199" s="0" t="s">
        <v>25</v>
      </c>
      <c r="D199" s="0" t="s">
        <v>20</v>
      </c>
      <c r="E199" s="10" t="s">
        <v>187</v>
      </c>
      <c r="F199" s="11" t="s">
        <v>129</v>
      </c>
      <c r="G199" s="12" t="s">
        <v>37</v>
      </c>
      <c r="H199" s="13"/>
      <c r="I199" s="14" t="e">
        <f aca="false">IF(OR(E199="",E199="!!!",F199="NEW"),"",INDEX(B198:B$2,-1+SUMPRODUCT(MAX(ROW(E198:E$2)*(E199=E198:E$2)))))</f>
        <v>#VALUE!</v>
      </c>
      <c r="J199" s="15" t="e">
        <f aca="true">IF(OR(E199="",E199="!!!",F199="NEW"),"",COUNTBLANK(OFFSET(A$1,,,SUMPRODUCT(MAX(ROW(E$2:E199)*(E199=E$2:E199)))))-COUNTBLANK(OFFSET(A$1,,,SUMPRODUCT(MAX(ROW(E$1:E198)*(E199=E$1:E198))))))</f>
        <v>#VALUE!</v>
      </c>
      <c r="K199" s="15" t="e">
        <f aca="false">IF(OR(E199="",E199="!!!",F199="NEW"),"",INDEX(J$1:J198,SUMPRODUCT(MAX(ROW(E$1:E198)*(E199=E$1:E198)))))</f>
        <v>#VALUE!</v>
      </c>
      <c r="L199" s="16"/>
    </row>
    <row r="200" customFormat="false" ht="12.8" hidden="false" customHeight="false" outlineLevel="0" collapsed="false">
      <c r="A200" s="0" t="s">
        <v>42</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IF(OR(E200="",E200="!!!",F200="NEW"),"",INDEX(B199:B$2,-1+SUMPRODUCT(MAX(ROW(E199:E$2)*(E200=E199:E$2)))))</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8" hidden="false" customHeight="false" outlineLevel="0" collapsed="false">
      <c r="A201" s="0" t="s">
        <v>81</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IF(OR(E201="",E201="!!!",F201="NEW"),"",INDEX(B200:B$2,-1+SUMPRODUCT(MAX(ROW(E200:E$2)*(E201=E200:E$2)))))</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8" hidden="false" customHeight="false" outlineLevel="0" collapsed="false">
      <c r="A202" s="0" t="s">
        <v>51</v>
      </c>
      <c r="B202" s="0" t="s">
        <v>63</v>
      </c>
      <c r="C202" s="0" t="s">
        <v>25</v>
      </c>
      <c r="D202" s="0" t="s">
        <v>20</v>
      </c>
      <c r="E202" s="10" t="s">
        <v>44</v>
      </c>
      <c r="F202" s="11" t="str">
        <f aca="false">IF(OR(E202="",E202="!!!"),"",IF(NOT(ISNA(VLOOKUP(E202,E$1:E201,1,FALSE()))),"OLD",IF(AND(E202&lt;&gt;"",E202&lt;&gt;"!!!"),"NEW","")))</f>
        <v>OLD</v>
      </c>
      <c r="G202" s="12" t="s">
        <v>72</v>
      </c>
      <c r="H202" s="13" t="s">
        <v>7</v>
      </c>
      <c r="I202" s="14" t="str">
        <f aca="false">IF(OR(E202="",E202="!!!",F202="NEW"),"",INDEX(B201:B$2,-1+SUMPRODUCT(MAX(ROW(E201:E$2)*(E202=E201:E$2)))))</f>
        <v>other_2</v>
      </c>
      <c r="J202" s="15" t="n">
        <f aca="true">IF(OR(E202="",E202="!!!",F202="NEW"),"",COUNTBLANK(OFFSET(A$1,,,SUMPRODUCT(MAX(ROW(E$2:E202)*(E202=E$2:E202)))))-COUNTBLANK(OFFSET(A$1,,,SUMPRODUCT(MAX(ROW(E$1:E201)*(E202=E$1:E201))))))</f>
        <v>1</v>
      </c>
      <c r="K202" s="15" t="n">
        <f aca="false">IF(OR(E202="",E202="!!!",F202="NEW"),"",INDEX(J$1:J201,SUMPRODUCT(MAX(ROW(E$1:E201)*(E202=E$1:E201)))))</f>
        <v>3</v>
      </c>
      <c r="L202" s="16"/>
    </row>
    <row r="203" customFormat="false" ht="12.8" hidden="false" customHeight="false" outlineLevel="0" collapsed="false">
      <c r="A203" s="0" t="s">
        <v>133</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IF(OR(E203="",E203="!!!",F203="NEW"),"",INDEX(B202:B$2,-1+SUMPRODUCT(MAX(ROW(E202:E$2)*(E203=E202:E$2)))))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8" hidden="false" customHeight="false" outlineLevel="0" collapsed="false">
      <c r="A204" s="0" t="s">
        <v>146</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IF(OR(E204="",E204="!!!",F204="NEW"),"",INDEX(B203:B$2,-1+SUMPRODUCT(MAX(ROW(E203:E$2)*(E204=E203:E$2)))))</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23.85" hidden="false" customHeight="false" outlineLevel="0" collapsed="false">
      <c r="A205" s="0" t="s">
        <v>188</v>
      </c>
      <c r="E205" s="10" t="s">
        <v>189</v>
      </c>
      <c r="F205" s="11" t="str">
        <f aca="false">IF(OR(E205="",E205="!!!"),"",IF(NOT(ISNA(VLOOKUP(E205,E$1:E204,1,FALSE()))),"OLD",IF(AND(E205&lt;&gt;"",E205&lt;&gt;"!!!"),"NEW","")))</f>
        <v>NEW</v>
      </c>
      <c r="G205" s="12" t="s">
        <v>37</v>
      </c>
      <c r="H205" s="13" t="str">
        <f aca="false">IF(J205&lt;&gt;1,"",IF(I205="SBJ","CB","?"))</f>
        <v/>
      </c>
      <c r="I205" s="14" t="str">
        <f aca="false">IF(OR(E205="",E205="!!!",F205="NEW"),"",INDEX(B204:B$2,-1+SUMPRODUCT(MAX(ROW(E204:E$2)*(E205=E204:E$2)))))</f>
        <v/>
      </c>
      <c r="J205" s="15" t="str">
        <f aca="true">IF(OR(E205="",E205="!!!",F205="NEW"),"",COUNTBLANK(OFFSET(A$1,,,SUMPRODUCT(MAX(ROW(E$2:E205)*(E205=E$2:E205)))))-COUNTBLANK(OFFSET(A$1,,,SUMPRODUCT(MAX(ROW(E$1:E204)*(E205=E$1:E204))))))</f>
        <v/>
      </c>
      <c r="K205" s="15" t="str">
        <f aca="false">IF(OR(E205="",E205="!!!",F205="NEW"),"",INDEX(J$1:J204,SUMPRODUCT(MAX(ROW(E$1:E204)*(E205=E$1:E204)))))</f>
        <v/>
      </c>
      <c r="L205" s="16" t="s">
        <v>190</v>
      </c>
    </row>
    <row r="206" customFormat="false" ht="12.8" hidden="false" customHeight="false" outlineLevel="0" collapsed="false">
      <c r="A206" s="0" t="s">
        <v>102</v>
      </c>
      <c r="B206" s="0" t="s">
        <v>55</v>
      </c>
      <c r="C206" s="0" t="s">
        <v>103</v>
      </c>
      <c r="D206" s="0" t="s">
        <v>20</v>
      </c>
      <c r="E206" s="10" t="s">
        <v>187</v>
      </c>
      <c r="F206" s="11" t="str">
        <f aca="false">IF(OR(E206="",E206="!!!"),"",IF(NOT(ISNA(VLOOKUP(E206,E$1:E205,1,FALSE()))),"OLD",IF(AND(E206&lt;&gt;"",E206&lt;&gt;"!!!"),"NEW","")))</f>
        <v>OLD</v>
      </c>
      <c r="G206" s="12" t="s">
        <v>58</v>
      </c>
      <c r="H206" s="13" t="str">
        <f aca="false">IF(J206&lt;&gt;1,"",IF(I206="SBJ","CB","?"))</f>
        <v/>
      </c>
      <c r="I206" s="14" t="str">
        <f aca="false">IF(OR(E206="",E206="!!!",F206="NEW"),"",INDEX(B205:B$2,-1+SUMPRODUCT(MAX(ROW(E205:E$2)*(E206=E205:E$2)))))</f>
        <v>other_3</v>
      </c>
      <c r="J206" s="15" t="n">
        <f aca="true">IF(OR(E206="",E206="!!!",F206="NEW"),"",COUNTBLANK(OFFSET(A$1,,,SUMPRODUCT(MAX(ROW(E$2:E206)*(E206=E$2:E206)))))-COUNTBLANK(OFFSET(A$1,,,SUMPRODUCT(MAX(ROW(E$1:E205)*(E206=E$1:E205))))))</f>
        <v>0</v>
      </c>
      <c r="K206" s="15" t="e">
        <f aca="false">IF(OR(E206="",E206="!!!",F206="NEW"),"",INDEX(J$1:J205,SUMPRODUCT(MAX(ROW(E$1:E205)*(E206=E$1:E205)))))</f>
        <v>#VALUE!</v>
      </c>
      <c r="L206" s="16"/>
    </row>
    <row r="207" customFormat="false" ht="12.8" hidden="false" customHeight="false" outlineLevel="0" collapsed="false">
      <c r="A207" s="0" t="s">
        <v>191</v>
      </c>
      <c r="B207" s="0" t="s">
        <v>192</v>
      </c>
      <c r="C207" s="0" t="s">
        <v>106</v>
      </c>
      <c r="D207" s="0" t="s">
        <v>20</v>
      </c>
      <c r="E207" s="10" t="s">
        <v>191</v>
      </c>
      <c r="F207" s="11" t="str">
        <f aca="false">IF(OR(E207="",E207="!!!"),"",IF(NOT(ISNA(VLOOKUP(E207,E$1:E206,1,FALSE()))),"OLD",IF(AND(E207&lt;&gt;"",E207&lt;&gt;"!!!"),"NEW","")))</f>
        <v>NEW</v>
      </c>
      <c r="G207" s="12" t="s">
        <v>85</v>
      </c>
      <c r="H207" s="13" t="str">
        <f aca="false">IF(J207&lt;&gt;1,"",IF(I207="SBJ","CB","?"))</f>
        <v/>
      </c>
      <c r="I207" s="14" t="str">
        <f aca="false">IF(OR(E207="",E207="!!!",F207="NEW"),"",INDEX(B206:B$2,-1+SUMPRODUCT(MAX(ROW(E206:E$2)*(E207=E206:E$2)))))</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8" hidden="false" customHeight="false" outlineLevel="0" collapsed="false">
      <c r="A208" s="0" t="s">
        <v>69</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IF(OR(E208="",E208="!!!",F208="NEW"),"",INDEX(B207:B$2,-1+SUMPRODUCT(MAX(ROW(E207:E$2)*(E208=E207:E$2)))))</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8" hidden="false" customHeight="false" outlineLevel="0" collapsed="false">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IF(OR(E209="",E209="!!!",F209="NEW"),"",INDEX(B208:B$2,-1+SUMPRODUCT(MAX(ROW(E208:E$2)*(E209=E208:E$2)))))</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8" hidden="false" customHeight="false" outlineLevel="0" collapsed="false">
      <c r="A210" s="0" t="s">
        <v>193</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IF(OR(E210="",E210="!!!",F210="NEW"),"",INDEX(B209:B$2,-1+SUMPRODUCT(MAX(ROW(E209:E$2)*(E210=E209:E$2)))))</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8" hidden="false" customHeight="false" outlineLevel="0" collapsed="false">
      <c r="A211" s="0" t="s">
        <v>22</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IF(OR(E211="",E211="!!!",F211="NEW"),"",INDEX(B210:B$2,-1+SUMPRODUCT(MAX(ROW(E210:E$2)*(E211=E210:E$2)))))</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8" hidden="false" customHeight="false" outlineLevel="0" collapsed="false">
      <c r="A212" s="0" t="s">
        <v>194</v>
      </c>
      <c r="B212" s="0" t="s">
        <v>14</v>
      </c>
      <c r="C212" s="0" t="s">
        <v>25</v>
      </c>
      <c r="D212" s="0" t="s">
        <v>20</v>
      </c>
      <c r="E212" s="10" t="s">
        <v>194</v>
      </c>
      <c r="F212" s="11" t="s">
        <v>195</v>
      </c>
      <c r="G212" s="12" t="s">
        <v>37</v>
      </c>
      <c r="H212" s="13"/>
      <c r="I212" s="14" t="e">
        <f aca="false">IF(OR(E212="",E212="!!!",F212="NEW"),"",INDEX(B211:B$2,-1+SUMPRODUCT(MAX(ROW(E211:E$2)*(E212=E211:E$2)))))</f>
        <v>#VALUE!</v>
      </c>
      <c r="J212" s="15" t="e">
        <f aca="true">IF(OR(E212="",E212="!!!",F212="NEW"),"",COUNTBLANK(OFFSET(A$1,,,SUMPRODUCT(MAX(ROW(E$2:E212)*(E212=E$2:E212)))))-COUNTBLANK(OFFSET(A$1,,,SUMPRODUCT(MAX(ROW(E$1:E211)*(E212=E$1:E211))))))</f>
        <v>#VALUE!</v>
      </c>
      <c r="K212" s="15" t="e">
        <f aca="false">IF(OR(E212="",E212="!!!",F212="NEW"),"",INDEX(J$1:J211,SUMPRODUCT(MAX(ROW(E$1:E211)*(E212=E$1:E211)))))</f>
        <v>#VALUE!</v>
      </c>
      <c r="L212" s="16"/>
    </row>
    <row r="213" customFormat="false" ht="12.8" hidden="false" customHeight="false" outlineLevel="0" collapsed="false">
      <c r="A213" s="0" t="s">
        <v>46</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IF(OR(E213="",E213="!!!",F213="NEW"),"",INDEX(B212:B$2,-1+SUMPRODUCT(MAX(ROW(E212:E$2)*(E213=E212:E$2)))))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8" hidden="false" customHeight="false" outlineLevel="0" collapsed="false">
      <c r="A214" s="0" t="s">
        <v>32</v>
      </c>
      <c r="B214" s="0" t="s">
        <v>33</v>
      </c>
      <c r="C214" s="0" t="s">
        <v>34</v>
      </c>
      <c r="D214" s="0" t="s">
        <v>20</v>
      </c>
      <c r="E214" s="10" t="s">
        <v>35</v>
      </c>
      <c r="F214" s="11" t="str">
        <f aca="false">IF(OR(E214="",E214="!!!"),"",IF(NOT(ISNA(VLOOKUP(E214,E$1:E213,1,FALSE()))),"OLD",IF(AND(E214&lt;&gt;"",E214&lt;&gt;"!!!"),"NEW","")))</f>
        <v>OLD</v>
      </c>
      <c r="G214" s="12" t="s">
        <v>72</v>
      </c>
      <c r="H214" s="13"/>
      <c r="I214" s="14" t="str">
        <f aca="false">IF(OR(E214="",E214="!!!",F214="NEW"),"",INDEX(B213:B$2,-1+SUMPRODUCT(MAX(ROW(E213:E$2)*(E214=E213:E$2)))))</f>
        <v>OBJ_5</v>
      </c>
      <c r="J214" s="15" t="n">
        <f aca="true">IF(OR(E214="",E214="!!!",F214="NEW"),"",COUNTBLANK(OFFSET(A$1,,,SUMPRODUCT(MAX(ROW(E$2:E214)*(E214=E$2:E214)))))-COUNTBLANK(OFFSET(A$1,,,SUMPRODUCT(MAX(ROW(E$1:E213)*(E214=E$1:E213))))))</f>
        <v>1</v>
      </c>
      <c r="K214" s="15" t="n">
        <f aca="false">IF(OR(E214="",E214="!!!",F214="NEW"),"",INDEX(J$1:J213,SUMPRODUCT(MAX(ROW(E$1:E213)*(E214=E$1:E213)))))</f>
        <v>0</v>
      </c>
      <c r="L214" s="16"/>
    </row>
    <row r="215" customFormat="false" ht="12.8" hidden="false" customHeight="false" outlineLevel="0" collapsed="false">
      <c r="A215" s="0" t="s">
        <v>133</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IF(OR(E215="",E215="!!!",F215="NEW"),"",INDEX(B214:B$2,-1+SUMPRODUCT(MAX(ROW(E214:E$2)*(E215=E214:E$2)))))</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8" hidden="false" customHeight="false" outlineLevel="0" collapsed="false">
      <c r="A216" s="0" t="s">
        <v>196</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IF(OR(E216="",E216="!!!",F216="NEW"),"",INDEX(B215:B$2,-1+SUMPRODUCT(MAX(ROW(E215:E$2)*(E216=E215:E$2)))))</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8" hidden="false" customHeight="false" outlineLevel="0" collapsed="false">
      <c r="A217" s="0" t="s">
        <v>140</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IF(OR(E217="",E217="!!!",F217="NEW"),"",INDEX(B216:B$2,-1+SUMPRODUCT(MAX(ROW(E216:E$2)*(E217=E216:E$2)))))</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8" hidden="false" customHeight="false" outlineLevel="0" collapsed="false">
      <c r="A218" s="0" t="s">
        <v>197</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IF(OR(E218="",E218="!!!",F218="NEW"),"",INDEX(B217:B$2,-1+SUMPRODUCT(MAX(ROW(E217:E$2)*(E218=E217:E$2)))))</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8" hidden="false" customHeight="false" outlineLevel="0" collapsed="false">
      <c r="A219" s="0" t="s">
        <v>198</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IF(OR(E219="",E219="!!!",F219="NEW"),"",INDEX(B218:B$2,-1+SUMPRODUCT(MAX(ROW(E218:E$2)*(E219=E218:E$2)))))</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8" hidden="false" customHeight="false" outlineLevel="0" collapsed="false">
      <c r="A220" s="0" t="s">
        <v>46</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IF(OR(E220="",E220="!!!",F220="NEW"),"",INDEX(B219:B$2,-1+SUMPRODUCT(MAX(ROW(E219:E$2)*(E220=E219:E$2)))))</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8" hidden="false" customHeight="false" outlineLevel="0" collapsed="false">
      <c r="A221" s="0" t="s">
        <v>38</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IF(OR(E221="",E221="!!!",F221="NEW"),"",INDEX(B220:B$2,-1+SUMPRODUCT(MAX(ROW(E220:E$2)*(E221=E220:E$2)))))</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8" hidden="false" customHeight="false" outlineLevel="0" collapsed="false">
      <c r="A222" s="0" t="s">
        <v>131</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IF(OR(E222="",E222="!!!",F222="NEW"),"",INDEX(B221:B$2,-1+SUMPRODUCT(MAX(ROW(E221:E$2)*(E222=E221:E$2)))))</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8" hidden="false" customHeight="false" outlineLevel="0" collapsed="false">
      <c r="A223" s="0" t="s">
        <v>102</v>
      </c>
      <c r="B223" s="0" t="s">
        <v>63</v>
      </c>
      <c r="C223" s="0" t="s">
        <v>103</v>
      </c>
      <c r="D223" s="0" t="s">
        <v>20</v>
      </c>
      <c r="E223" s="10" t="s">
        <v>187</v>
      </c>
      <c r="F223" s="11" t="str">
        <f aca="false">IF(OR(E223="",E223="!!!"),"",IF(NOT(ISNA(VLOOKUP(E223,E$1:E222,1,FALSE()))),"OLD",IF(AND(E223&lt;&gt;"",E223&lt;&gt;"!!!"),"NEW","")))</f>
        <v>OLD</v>
      </c>
      <c r="G223" s="12" t="s">
        <v>72</v>
      </c>
      <c r="H223" s="13" t="s">
        <v>7</v>
      </c>
      <c r="I223" s="14" t="str">
        <f aca="false">IF(OR(E223="",E223="!!!",F223="NEW"),"",INDEX(B222:B$2,-1+SUMPRODUCT(MAX(ROW(E222:E$2)*(E223=E222:E$2)))))</f>
        <v>other_3</v>
      </c>
      <c r="J223" s="15" t="n">
        <f aca="true">IF(OR(E223="",E223="!!!",F223="NEW"),"",COUNTBLANK(OFFSET(A$1,,,SUMPRODUCT(MAX(ROW(E$2:E223)*(E223=E$2:E223)))))-COUNTBLANK(OFFSET(A$1,,,SUMPRODUCT(MAX(ROW(E$1:E222)*(E223=E$1:E222))))))</f>
        <v>1</v>
      </c>
      <c r="K223" s="15" t="n">
        <f aca="false">IF(OR(E223="",E223="!!!",F223="NEW"),"",INDEX(J$1:J222,SUMPRODUCT(MAX(ROW(E$1:E222)*(E223=E$1:E222)))))</f>
        <v>0</v>
      </c>
      <c r="L223" s="16"/>
    </row>
    <row r="224" customFormat="false" ht="12.8" hidden="false" customHeight="false" outlineLevel="0" collapsed="false">
      <c r="A224" s="0" t="s">
        <v>27</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IF(OR(E224="",E224="!!!",F224="NEW"),"",INDEX(B223:B$2,-1+SUMPRODUCT(MAX(ROW(E223:E$2)*(E224=E223:E$2)))))</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8" hidden="false" customHeight="false" outlineLevel="0" collapsed="false">
      <c r="A225" s="0" t="s">
        <v>199</v>
      </c>
      <c r="B225" s="0" t="s">
        <v>132</v>
      </c>
      <c r="C225" s="0" t="s">
        <v>106</v>
      </c>
      <c r="D225" s="0" t="s">
        <v>20</v>
      </c>
      <c r="E225" s="10" t="s">
        <v>199</v>
      </c>
      <c r="F225" s="11" t="str">
        <f aca="false">IF(OR(E225="",E225="!!!"),"",IF(NOT(ISNA(VLOOKUP(E225,E$1:E224,1,FALSE()))),"OLD",IF(AND(E225&lt;&gt;"",E225&lt;&gt;"!!!"),"NEW","")))</f>
        <v>NEW</v>
      </c>
      <c r="G225" s="12" t="s">
        <v>37</v>
      </c>
      <c r="H225" s="13" t="str">
        <f aca="false">IF(J225&lt;&gt;1,"",IF(I225="SBJ","CB","?"))</f>
        <v/>
      </c>
      <c r="I225" s="14" t="str">
        <f aca="false">IF(OR(E225="",E225="!!!",F225="NEW"),"",INDEX(B224:B$2,-1+SUMPRODUCT(MAX(ROW(E224:E$2)*(E225=E224:E$2)))))</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8" hidden="false" customHeight="false" outlineLevel="0" collapsed="false">
      <c r="A226" s="0" t="s">
        <v>90</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IF(OR(E226="",E226="!!!",F226="NEW"),"",INDEX(B225:B$2,-1+SUMPRODUCT(MAX(ROW(E225:E$2)*(E226=E225:E$2)))))</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8" hidden="false" customHeight="false" outlineLevel="0" collapsed="false">
      <c r="A227" s="0" t="s">
        <v>200</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IF(OR(E227="",E227="!!!",F227="NEW"),"",INDEX(B226:B$2,-1+SUMPRODUCT(MAX(ROW(E226:E$2)*(E227=E226:E$2)))))</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8" hidden="false" customHeight="false" outlineLevel="0" collapsed="false">
      <c r="A228" s="0" t="s">
        <v>201</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IF(OR(E228="",E228="!!!",F228="NEW"),"",INDEX(B227:B$2,-1+SUMPRODUCT(MAX(ROW(E227:E$2)*(E228=E227:E$2)))))</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8" hidden="false" customHeight="false" outlineLevel="0" collapsed="false">
      <c r="A229" s="0" t="s">
        <v>202</v>
      </c>
      <c r="B229" s="0" t="s">
        <v>89</v>
      </c>
      <c r="C229" s="0" t="s">
        <v>34</v>
      </c>
      <c r="D229" s="0" t="s">
        <v>20</v>
      </c>
      <c r="E229" s="10" t="s">
        <v>199</v>
      </c>
      <c r="F229" s="11" t="str">
        <f aca="false">IF(OR(E229="",E229="!!!"),"",IF(NOT(ISNA(VLOOKUP(E229,E$1:E228,1,FALSE()))),"OLD",IF(AND(E229&lt;&gt;"",E229&lt;&gt;"!!!"),"NEW","")))</f>
        <v>OLD</v>
      </c>
      <c r="G229" s="12" t="s">
        <v>58</v>
      </c>
      <c r="H229" s="13" t="str">
        <f aca="false">IF(J229&lt;&gt;1,"",IF(I229="SBJ","CB","?"))</f>
        <v/>
      </c>
      <c r="I229" s="14" t="str">
        <f aca="false">IF(OR(E229="",E229="!!!",F229="NEW"),"",INDEX(B228:B$2,-1+SUMPRODUCT(MAX(ROW(E228:E$2)*(E229=E228:E$2)))))</f>
        <v>SBJ_3</v>
      </c>
      <c r="J229" s="15" t="n">
        <f aca="true">IF(OR(E229="",E229="!!!",F229="NEW"),"",COUNTBLANK(OFFSET(A$1,,,SUMPRODUCT(MAX(ROW(E$2:E229)*(E229=E$2:E229)))))-COUNTBLANK(OFFSET(A$1,,,SUMPRODUCT(MAX(ROW(E$1:E228)*(E229=E$1:E228))))))</f>
        <v>0</v>
      </c>
      <c r="K229" s="15" t="str">
        <f aca="false">IF(OR(E229="",E229="!!!",F229="NEW"),"",INDEX(J$1:J228,SUMPRODUCT(MAX(ROW(E$1:E228)*(E229=E$1:E228)))))</f>
        <v/>
      </c>
      <c r="L229" s="16"/>
    </row>
    <row r="230" customFormat="false" ht="12.8" hidden="false" customHeight="false" outlineLevel="0" collapsed="false">
      <c r="A230" s="0" t="s">
        <v>203</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IF(OR(E230="",E230="!!!",F230="NEW"),"",INDEX(B229:B$2,-1+SUMPRODUCT(MAX(ROW(E229:E$2)*(E230=E229:E$2)))))</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8" hidden="false" customHeight="false" outlineLevel="0" collapsed="false">
      <c r="A231" s="0" t="s">
        <v>146</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IF(OR(E231="",E231="!!!",F231="NEW"),"",INDEX(B230:B$2,-1+SUMPRODUCT(MAX(ROW(E230:E$2)*(E231=E230:E$2)))))</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8" hidden="false" customHeight="false" outlineLevel="0" collapsed="false">
      <c r="A232" s="0" t="s">
        <v>204</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IF(OR(E232="",E232="!!!",F232="NEW"),"",INDEX(B231:B$2,-1+SUMPRODUCT(MAX(ROW(E231:E$2)*(E232=E231:E$2)))))</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8" hidden="false" customHeight="false" outlineLevel="0" collapsed="false">
      <c r="A233" s="0" t="s">
        <v>205</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IF(OR(E233="",E233="!!!",F233="NEW"),"",INDEX(B232:B$2,-1+SUMPRODUCT(MAX(ROW(E232:E$2)*(E233=E232:E$2)))))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8" hidden="false" customHeight="false" outlineLevel="0" collapsed="false">
      <c r="A234" s="0" t="s">
        <v>69</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IF(OR(E234="",E234="!!!",F234="NEW"),"",INDEX(B233:B$2,-1+SUMPRODUCT(MAX(ROW(E233:E$2)*(E234=E233:E$2)))))</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8" hidden="false" customHeight="false" outlineLevel="0" collapsed="false">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IF(OR(E235="",E235="!!!",F235="NEW"),"",INDEX(B234:B$2,-1+SUMPRODUCT(MAX(ROW(E234:E$2)*(E235=E234:E$2)))))</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8" hidden="false" customHeight="false" outlineLevel="0" collapsed="false">
      <c r="A236" s="0" t="s">
        <v>206</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IF(OR(E236="",E236="!!!",F236="NEW"),"",INDEX(B235:B$2,-1+SUMPRODUCT(MAX(ROW(E235:E$2)*(E236=E235:E$2)))))</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8" hidden="false" customHeight="false" outlineLevel="0" collapsed="false">
      <c r="A237" s="0" t="s">
        <v>22</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IF(OR(E237="",E237="!!!",F237="NEW"),"",INDEX(B236:B$2,-1+SUMPRODUCT(MAX(ROW(E236:E$2)*(E237=E236:E$2)))))</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8" hidden="false" customHeight="false" outlineLevel="0" collapsed="false">
      <c r="A238" s="0" t="s">
        <v>27</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IF(OR(E238="",E238="!!!",F238="NEW"),"",INDEX(B237:B$2,-1+SUMPRODUCT(MAX(ROW(E237:E$2)*(E238=E237:E$2)))))</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8" hidden="false" customHeight="false" outlineLevel="0" collapsed="false">
      <c r="A239" s="0" t="s">
        <v>207</v>
      </c>
      <c r="B239" s="0" t="s">
        <v>33</v>
      </c>
      <c r="C239" s="0" t="s">
        <v>25</v>
      </c>
      <c r="D239" s="0" t="s">
        <v>20</v>
      </c>
      <c r="E239" s="10" t="s">
        <v>199</v>
      </c>
      <c r="F239" s="11" t="str">
        <f aca="false">IF(OR(E239="",E239="!!!"),"",IF(NOT(ISNA(VLOOKUP(E239,E$1:E238,1,FALSE()))),"OLD",IF(AND(E239&lt;&gt;"",E239&lt;&gt;"!!!"),"NEW","")))</f>
        <v>OLD</v>
      </c>
      <c r="G239" s="12" t="s">
        <v>72</v>
      </c>
      <c r="H239" s="13"/>
      <c r="I239" s="14" t="str">
        <f aca="false">IF(OR(E239="",E239="!!!",F239="NEW"),"",INDEX(B238:B$2,-1+SUMPRODUCT(MAX(ROW(E238:E$2)*(E239=E238:E$2)))))</f>
        <v>SBJ_2</v>
      </c>
      <c r="J239" s="15" t="n">
        <f aca="true">IF(OR(E239="",E239="!!!",F239="NEW"),"",COUNTBLANK(OFFSET(A$1,,,SUMPRODUCT(MAX(ROW(E$2:E239)*(E239=E$2:E239)))))-COUNTBLANK(OFFSET(A$1,,,SUMPRODUCT(MAX(ROW(E$1:E238)*(E239=E$1:E238))))))</f>
        <v>1</v>
      </c>
      <c r="K239" s="15" t="n">
        <f aca="false">IF(OR(E239="",E239="!!!",F239="NEW"),"",INDEX(J$1:J238,SUMPRODUCT(MAX(ROW(E$1:E238)*(E239=E$1:E238)))))</f>
        <v>0</v>
      </c>
      <c r="L239" s="16" t="s">
        <v>208</v>
      </c>
    </row>
    <row r="240" customFormat="false" ht="12.8" hidden="false" customHeight="false" outlineLevel="0" collapsed="false">
      <c r="A240" s="0" t="s">
        <v>73</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IF(OR(E240="",E240="!!!",F240="NEW"),"",INDEX(B239:B$2,-1+SUMPRODUCT(MAX(ROW(E239:E$2)*(E240=E239:E$2)))))</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8" hidden="false" customHeight="false" outlineLevel="0" collapsed="false">
      <c r="A241" s="0" t="s">
        <v>81</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IF(OR(E241="",E241="!!!",F241="NEW"),"",INDEX(B240:B$2,-1+SUMPRODUCT(MAX(ROW(E240:E$2)*(E241=E240:E$2)))))</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8" hidden="false" customHeight="false" outlineLevel="0" collapsed="false">
      <c r="A242" s="0" t="s">
        <v>158</v>
      </c>
      <c r="B242" s="0" t="s">
        <v>14</v>
      </c>
      <c r="C242" s="0" t="s">
        <v>25</v>
      </c>
      <c r="D242" s="0" t="s">
        <v>20</v>
      </c>
      <c r="E242" s="10" t="s">
        <v>199</v>
      </c>
      <c r="F242" s="11" t="s">
        <v>57</v>
      </c>
      <c r="G242" s="12"/>
      <c r="H242" s="13" t="str">
        <f aca="false">IF(J242&lt;&gt;1,"",IF(I242="SBJ","CB","?"))</f>
        <v/>
      </c>
      <c r="I242" s="14" t="str">
        <f aca="false">IF(OR(E242="",E242="!!!",F242="NEW"),"",INDEX(B241:B$2,-1+SUMPRODUCT(MAX(ROW(E241:E$2)*(E242=E241:E$2)))))</f>
        <v>SBJ</v>
      </c>
      <c r="J242" s="15" t="n">
        <f aca="true">IF(OR(E242="",E242="!!!",F242="NEW"),"",COUNTBLANK(OFFSET(A$1,,,SUMPRODUCT(MAX(ROW(E$2:E242)*(E242=E$2:E242)))))-COUNTBLANK(OFFSET(A$1,,,SUMPRODUCT(MAX(ROW(E$1:E241)*(E242=E$1:E241))))))</f>
        <v>0</v>
      </c>
      <c r="K242" s="15" t="n">
        <f aca="false">IF(OR(E242="",E242="!!!",F242="NEW"),"",INDEX(J$1:J241,SUMPRODUCT(MAX(ROW(E$1:E241)*(E242=E$1:E241)))))</f>
        <v>1</v>
      </c>
      <c r="L242" s="16"/>
    </row>
    <row r="243" customFormat="false" ht="12.8" hidden="false" customHeight="false" outlineLevel="0" collapsed="false">
      <c r="A243" s="0" t="s">
        <v>42</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IF(OR(E243="",E243="!!!",F243="NEW"),"",INDEX(B242:B$2,-1+SUMPRODUCT(MAX(ROW(E242:E$2)*(E243=E242:E$2)))))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8" hidden="false" customHeight="false" outlineLevel="0" collapsed="false">
      <c r="A244" s="0" t="s">
        <v>209</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IF(OR(E244="",E244="!!!",F244="NEW"),"",INDEX(B243:B$2,-1+SUMPRODUCT(MAX(ROW(E243:E$2)*(E244=E243:E$2)))))</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8" hidden="false" customHeight="false" outlineLevel="0" collapsed="false">
      <c r="A245" s="0" t="s">
        <v>81</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IF(OR(E245="",E245="!!!",F245="NEW"),"",INDEX(B244:B$2,-1+SUMPRODUCT(MAX(ROW(E244:E$2)*(E245=E244:E$2)))))</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8" hidden="false" customHeight="false" outlineLevel="0" collapsed="false">
      <c r="A246" s="0" t="s">
        <v>210</v>
      </c>
      <c r="B246" s="0" t="s">
        <v>89</v>
      </c>
      <c r="C246" s="0" t="s">
        <v>25</v>
      </c>
      <c r="D246" s="0" t="s">
        <v>20</v>
      </c>
      <c r="E246" s="10" t="s">
        <v>187</v>
      </c>
      <c r="F246" s="11" t="str">
        <f aca="false">IF(OR(E246="",E246="!!!"),"",IF(NOT(ISNA(VLOOKUP(E246,E$1:E245,1,FALSE()))),"OLD",IF(AND(E246&lt;&gt;"",E246&lt;&gt;"!!!"),"NEW","")))</f>
        <v>OLD</v>
      </c>
      <c r="G246" s="12" t="s">
        <v>58</v>
      </c>
      <c r="H246" s="13" t="s">
        <v>7</v>
      </c>
      <c r="I246" s="14" t="str">
        <f aca="false">IF(OR(E246="",E246="!!!",F246="NEW"),"",INDEX(B245:B$2,-1+SUMPRODUCT(MAX(ROW(E245:E$2)*(E246=E245:E$2)))))</f>
        <v>other_4</v>
      </c>
      <c r="J246" s="15" t="n">
        <f aca="true">IF(OR(E246="",E246="!!!",F246="NEW"),"",COUNTBLANK(OFFSET(A$1,,,SUMPRODUCT(MAX(ROW(E$2:E246)*(E246=E$2:E246)))))-COUNTBLANK(OFFSET(A$1,,,SUMPRODUCT(MAX(ROW(E$1:E245)*(E246=E$1:E245))))))</f>
        <v>1</v>
      </c>
      <c r="K246" s="15" t="n">
        <f aca="false">IF(OR(E246="",E246="!!!",F246="NEW"),"",INDEX(J$1:J245,SUMPRODUCT(MAX(ROW(E$1:E245)*(E246=E$1:E245)))))</f>
        <v>1</v>
      </c>
      <c r="L246" s="16" t="s">
        <v>208</v>
      </c>
    </row>
    <row r="247" customFormat="false" ht="12.8" hidden="false" customHeight="false" outlineLevel="0" collapsed="false">
      <c r="A247" s="0" t="s">
        <v>211</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IF(OR(E247="",E247="!!!",F247="NEW"),"",INDEX(B246:B$2,-1+SUMPRODUCT(MAX(ROW(E246:E$2)*(E247=E246:E$2)))))</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8" hidden="false" customHeight="false" outlineLevel="0" collapsed="false">
      <c r="A248" s="0" t="s">
        <v>102</v>
      </c>
      <c r="B248" s="0" t="s">
        <v>55</v>
      </c>
      <c r="C248" s="0" t="s">
        <v>103</v>
      </c>
      <c r="D248" s="0" t="s">
        <v>20</v>
      </c>
      <c r="E248" s="10" t="s">
        <v>187</v>
      </c>
      <c r="F248" s="11" t="str">
        <f aca="false">IF(OR(E248="",E248="!!!"),"",IF(NOT(ISNA(VLOOKUP(E248,E$1:E247,1,FALSE()))),"OLD",IF(AND(E248&lt;&gt;"",E248&lt;&gt;"!!!"),"NEW","")))</f>
        <v>OLD</v>
      </c>
      <c r="G248" s="12" t="s">
        <v>58</v>
      </c>
      <c r="H248" s="13" t="str">
        <f aca="false">IF(J248&lt;&gt;1,"",IF(I248="SBJ","CB","?"))</f>
        <v/>
      </c>
      <c r="I248" s="14" t="str">
        <f aca="false">IF(OR(E248="",E248="!!!",F248="NEW"),"",INDEX(B247:B$2,-1+SUMPRODUCT(MAX(ROW(E247:E$2)*(E248=E247:E$2)))))</f>
        <v>SBJ_2</v>
      </c>
      <c r="J248" s="15" t="n">
        <f aca="true">IF(OR(E248="",E248="!!!",F248="NEW"),"",COUNTBLANK(OFFSET(A$1,,,SUMPRODUCT(MAX(ROW(E$2:E248)*(E248=E$2:E248)))))-COUNTBLANK(OFFSET(A$1,,,SUMPRODUCT(MAX(ROW(E$1:E247)*(E248=E$1:E247))))))</f>
        <v>0</v>
      </c>
      <c r="K248" s="15" t="n">
        <f aca="false">IF(OR(E248="",E248="!!!",F248="NEW"),"",INDEX(J$1:J247,SUMPRODUCT(MAX(ROW(E$1:E247)*(E248=E$1:E247)))))</f>
        <v>1</v>
      </c>
      <c r="L248" s="16"/>
    </row>
    <row r="249" customFormat="false" ht="12.8" hidden="false" customHeight="false" outlineLevel="0" collapsed="false">
      <c r="A249" s="0" t="s">
        <v>212</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IF(OR(E249="",E249="!!!",F249="NEW"),"",INDEX(B248:B$2,-1+SUMPRODUCT(MAX(ROW(E248:E$2)*(E249=E248:E$2)))))</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8" hidden="false" customHeight="false" outlineLevel="0" collapsed="false">
      <c r="A250" s="0" t="s">
        <v>213</v>
      </c>
      <c r="B250" s="0" t="s">
        <v>192</v>
      </c>
      <c r="C250" s="0" t="s">
        <v>106</v>
      </c>
      <c r="D250" s="0" t="s">
        <v>20</v>
      </c>
      <c r="E250" s="10" t="s">
        <v>214</v>
      </c>
      <c r="F250" s="11" t="str">
        <f aca="false">IF(OR(E250="",E250="!!!"),"",IF(NOT(ISNA(VLOOKUP(E250,E$1:E249,1,FALSE()))),"OLD",IF(AND(E250&lt;&gt;"",E250&lt;&gt;"!!!"),"NEW","")))</f>
        <v>NEW</v>
      </c>
      <c r="G250" s="12" t="s">
        <v>85</v>
      </c>
      <c r="H250" s="13" t="str">
        <f aca="false">IF(J250&lt;&gt;1,"",IF(I250="SBJ","CB","?"))</f>
        <v/>
      </c>
      <c r="I250" s="14" t="str">
        <f aca="false">IF(OR(E250="",E250="!!!",F250="NEW"),"",INDEX(B249:B$2,-1+SUMPRODUCT(MAX(ROW(E249:E$2)*(E250=E249:E$2)))))</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8" hidden="false" customHeight="false" outlineLevel="0" collapsed="false">
      <c r="A251" s="0" t="s">
        <v>46</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IF(OR(E251="",E251="!!!",F251="NEW"),"",INDEX(B250:B$2,-1+SUMPRODUCT(MAX(ROW(E250:E$2)*(E251=E250:E$2)))))</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8" hidden="false" customHeight="false" outlineLevel="0" collapsed="false">
      <c r="A252" s="0" t="s">
        <v>40</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IF(OR(E252="",E252="!!!",F252="NEW"),"",INDEX(B251:B$2,-1+SUMPRODUCT(MAX(ROW(E251:E$2)*(E252=E251:E$2)))))</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8" hidden="false" customHeight="false" outlineLevel="0" collapsed="false">
      <c r="A253" s="0" t="s">
        <v>209</v>
      </c>
      <c r="B253" s="0" t="s">
        <v>132</v>
      </c>
      <c r="C253" s="0" t="s">
        <v>215</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IF(OR(E253="",E253="!!!",F253="NEW"),"",INDEX(B252:B$2,-1+SUMPRODUCT(MAX(ROW(E252:E$2)*(E253=E252:E$2)))))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8" hidden="false" customHeight="false" outlineLevel="0" collapsed="false">
      <c r="A254" s="0" t="s">
        <v>216</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IF(OR(E254="",E254="!!!",F254="NEW"),"",INDEX(B253:B$2,-1+SUMPRODUCT(MAX(ROW(E253:E$2)*(E254=E253:E$2)))))</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8" hidden="false" customHeight="false" outlineLevel="0" collapsed="false">
      <c r="A255" s="0" t="s">
        <v>140</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IF(OR(E255="",E255="!!!",F255="NEW"),"",INDEX(B254:B$2,-1+SUMPRODUCT(MAX(ROW(E254:E$2)*(E255=E254:E$2)))))</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8" hidden="false" customHeight="false" outlineLevel="0" collapsed="false">
      <c r="A256" s="0" t="s">
        <v>81</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IF(OR(E256="",E256="!!!",F256="NEW"),"",INDEX(B255:B$2,-1+SUMPRODUCT(MAX(ROW(E255:E$2)*(E256=E255:E$2)))))</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8" hidden="false" customHeight="false" outlineLevel="0" collapsed="false">
      <c r="A257" s="0" t="s">
        <v>27</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IF(OR(E257="",E257="!!!",F257="NEW"),"",INDEX(B256:B$2,-1+SUMPRODUCT(MAX(ROW(E256:E$2)*(E257=E256:E$2)))))</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8" hidden="false" customHeight="false" outlineLevel="0" collapsed="false">
      <c r="A258" s="0" t="s">
        <v>217</v>
      </c>
      <c r="B258" s="0" t="s">
        <v>55</v>
      </c>
      <c r="C258" s="0" t="s">
        <v>25</v>
      </c>
      <c r="D258" s="0" t="s">
        <v>20</v>
      </c>
      <c r="E258" s="10" t="s">
        <v>218</v>
      </c>
      <c r="F258" s="11" t="str">
        <f aca="false">IF(OR(E258="",E258="!!!"),"",IF(NOT(ISNA(VLOOKUP(E258,E$1:E257,1,FALSE()))),"OLD",IF(AND(E258&lt;&gt;"",E258&lt;&gt;"!!!"),"NEW","")))</f>
        <v>NEW</v>
      </c>
      <c r="G258" s="12" t="s">
        <v>85</v>
      </c>
      <c r="H258" s="13" t="str">
        <f aca="false">IF(J258&lt;&gt;1,"",IF(I258="SBJ","CB","?"))</f>
        <v/>
      </c>
      <c r="I258" s="14" t="str">
        <f aca="false">IF(OR(E258="",E258="!!!",F258="NEW"),"",INDEX(B257:B$2,-1+SUMPRODUCT(MAX(ROW(E257:E$2)*(E258=E257:E$2)))))</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8" hidden="false" customHeight="false" outlineLevel="0" collapsed="false">
      <c r="A259" s="0" t="s">
        <v>69</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IF(OR(E259="",E259="!!!",F259="NEW"),"",INDEX(B258:B$2,-1+SUMPRODUCT(MAX(ROW(E258:E$2)*(E259=E258:E$2)))))</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8" hidden="false" customHeight="false" outlineLevel="0" collapsed="false">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IF(OR(E260="",E260="!!!",F260="NEW"),"",INDEX(B259:B$2,-1+SUMPRODUCT(MAX(ROW(E259:E$2)*(E260=E259:E$2)))))</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8" hidden="false" customHeight="false" outlineLevel="0" collapsed="false">
      <c r="A261" s="0" t="s">
        <v>219</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IF(OR(E261="",E261="!!!",F261="NEW"),"",INDEX(B260:B$2,-1+SUMPRODUCT(MAX(ROW(E260:E$2)*(E261=E260:E$2)))))</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8" hidden="false" customHeight="false" outlineLevel="0" collapsed="false">
      <c r="A262" s="0" t="s">
        <v>220</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IF(OR(E262="",E262="!!!",F262="NEW"),"",INDEX(B261:B$2,-1+SUMPRODUCT(MAX(ROW(E261:E$2)*(E262=E261:E$2)))))</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8" hidden="false" customHeight="false" outlineLevel="0" collapsed="false">
      <c r="A263" s="0" t="s">
        <v>42</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IF(OR(E263="",E263="!!!",F263="NEW"),"",INDEX(B262:B$2,-1+SUMPRODUCT(MAX(ROW(E262:E$2)*(E263=E262:E$2)))))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8" hidden="false" customHeight="false" outlineLevel="0" collapsed="false">
      <c r="A264" s="0" t="s">
        <v>81</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IF(OR(E264="",E264="!!!",F264="NEW"),"",INDEX(B263:B$2,-1+SUMPRODUCT(MAX(ROW(E263:E$2)*(E264=E263:E$2)))))</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8" hidden="false" customHeight="false" outlineLevel="0" collapsed="false">
      <c r="A265" s="0" t="s">
        <v>221</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IF(OR(E265="",E265="!!!",F265="NEW"),"",INDEX(B264:B$2,-1+SUMPRODUCT(MAX(ROW(E264:E$2)*(E265=E264:E$2)))))</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8" hidden="false" customHeight="false" outlineLevel="0" collapsed="false">
      <c r="A266" s="0" t="s">
        <v>222</v>
      </c>
      <c r="B266" s="0" t="s">
        <v>14</v>
      </c>
      <c r="C266" s="0" t="s">
        <v>25</v>
      </c>
      <c r="D266" s="0" t="s">
        <v>20</v>
      </c>
      <c r="E266" s="10" t="s">
        <v>223</v>
      </c>
      <c r="F266" s="11" t="str">
        <f aca="false">IF(OR(E266="",E266="!!!"),"",IF(NOT(ISNA(VLOOKUP(E266,E$1:E265,1,FALSE()))),"OLD",IF(AND(E266&lt;&gt;"",E266&lt;&gt;"!!!"),"NEW","")))</f>
        <v>NEW</v>
      </c>
      <c r="G266" s="12" t="str">
        <f aca="false">IF(OR(E266="",E266="!!!"),"",IF(OR(J266=0,AND(J266=1,K266=1),AND(J266=1,I266="SBJ"),AND(J266=1,I266=0)),"?IN_FOCUS",IF(J266&lt;=2,"?ACTIVATED",IF(J266&lt;&gt;"","?FAMILIAR",IF(F266="NEW",IF(ISNA(VLOOKUP(E266,#REF!,1,FALSE())),"?TYPE_IDENTIFIABLE","?REFERENTIAL"),"_")))))</f>
        <v>?REFERENTIAL</v>
      </c>
      <c r="H266" s="13" t="str">
        <f aca="false">IF(J266&lt;&gt;1,"",IF(I266="SBJ","CB","?"))</f>
        <v/>
      </c>
      <c r="I266" s="14" t="str">
        <f aca="false">IF(OR(E266="",E266="!!!",F266="NEW"),"",INDEX(B265:B$2,-1+SUMPRODUCT(MAX(ROW(E265:E$2)*(E266=E265:E$2)))))</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8" hidden="false" customHeight="false" outlineLevel="0" collapsed="false">
      <c r="A267" s="0" t="s">
        <v>46</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IF(OR(E267="",E267="!!!",F267="NEW"),"",INDEX(B266:B$2,-1+SUMPRODUCT(MAX(ROW(E266:E$2)*(E267=E266:E$2)))))</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8" hidden="false" customHeight="false" outlineLevel="0" collapsed="false">
      <c r="A268" s="0" t="s">
        <v>224</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IF(OR(E268="",E268="!!!",F268="NEW"),"",INDEX(B267:B$2,-1+SUMPRODUCT(MAX(ROW(E267:E$2)*(E268=E267:E$2)))))</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8" hidden="false" customHeight="false" outlineLevel="0" collapsed="false">
      <c r="A269" s="0" t="s">
        <v>225</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IF(OR(E269="",E269="!!!",F269="NEW"),"",INDEX(B268:B$2,-1+SUMPRODUCT(MAX(ROW(E268:E$2)*(E269=E268:E$2)))))</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8" hidden="false" customHeight="false" outlineLevel="0" collapsed="false">
      <c r="A270" s="0" t="s">
        <v>47</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IF(OR(E270="",E270="!!!",F270="NEW"),"",INDEX(B269:B$2,-1+SUMPRODUCT(MAX(ROW(E269:E$2)*(E270=E269:E$2)))))</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8" hidden="false" customHeight="false" outlineLevel="0" collapsed="false">
      <c r="A271" s="0" t="s">
        <v>226</v>
      </c>
      <c r="B271" s="0" t="s">
        <v>105</v>
      </c>
      <c r="C271" s="0" t="s">
        <v>52</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IF(OR(E271="",E271="!!!",F271="NEW"),"",INDEX(B270:B$2,-1+SUMPRODUCT(MAX(ROW(E270:E$2)*(E271=E270:E$2)))))</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8" hidden="false" customHeight="false" outlineLevel="0" collapsed="false">
      <c r="A272" s="0" t="s">
        <v>26</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IF(OR(E272="",E272="!!!",F272="NEW"),"",INDEX(B271:B$2,-1+SUMPRODUCT(MAX(ROW(E271:E$2)*(E272=E271:E$2)))))</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8" hidden="false" customHeight="false" outlineLevel="0" collapsed="false">
      <c r="A273" s="0" t="s">
        <v>227</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IF(OR(E273="",E273="!!!",F273="NEW"),"",INDEX(B272:B$2,-1+SUMPRODUCT(MAX(ROW(E272:E$2)*(E273=E272:E$2)))))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8" hidden="false" customHeight="false" outlineLevel="0" collapsed="false">
      <c r="A274" s="0" t="s">
        <v>228</v>
      </c>
      <c r="B274" s="0" t="s">
        <v>29</v>
      </c>
      <c r="C274" s="0" t="s">
        <v>15</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IF(OR(E274="",E274="!!!",F274="NEW"),"",INDEX(B273:B$2,-1+SUMPRODUCT(MAX(ROW(E273:E$2)*(E274=E273:E$2)))))</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8" hidden="false" customHeight="false" outlineLevel="0" collapsed="false">
      <c r="A275" s="0" t="s">
        <v>140</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IF(OR(E275="",E275="!!!",F275="NEW"),"",INDEX(B274:B$2,-1+SUMPRODUCT(MAX(ROW(E274:E$2)*(E275=E274:E$2)))))</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8" hidden="false" customHeight="false" outlineLevel="0" collapsed="false">
      <c r="A276" s="0" t="s">
        <v>229</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IF(OR(E276="",E276="!!!",F276="NEW"),"",INDEX(B275:B$2,-1+SUMPRODUCT(MAX(ROW(E275:E$2)*(E276=E275:E$2)))))</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8" hidden="false" customHeight="false" outlineLevel="0" collapsed="false">
      <c r="A277" s="0" t="s">
        <v>230</v>
      </c>
      <c r="B277" s="0" t="s">
        <v>192</v>
      </c>
      <c r="C277" s="0" t="s">
        <v>30</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IF(OR(E277="",E277="!!!",F277="NEW"),"",INDEX(B276:B$2,-1+SUMPRODUCT(MAX(ROW(E276:E$2)*(E277=E276:E$2)))))</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8" hidden="false" customHeight="false" outlineLevel="0" collapsed="false">
      <c r="A278" s="0" t="s">
        <v>75</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IF(OR(E278="",E278="!!!",F278="NEW"),"",INDEX(B277:B$2,-1+SUMPRODUCT(MAX(ROW(E277:E$2)*(E278=E277:E$2)))))</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8" hidden="false" customHeight="false" outlineLevel="0" collapsed="false">
      <c r="A279" s="0" t="s">
        <v>47</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IF(OR(E279="",E279="!!!",F279="NEW"),"",INDEX(B278:B$2,-1+SUMPRODUCT(MAX(ROW(E278:E$2)*(E279=E278:E$2)))))</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8" hidden="false" customHeight="false" outlineLevel="0" collapsed="false">
      <c r="A280" s="0" t="s">
        <v>231</v>
      </c>
      <c r="B280" s="0" t="s">
        <v>55</v>
      </c>
      <c r="C280" s="0" t="s">
        <v>52</v>
      </c>
      <c r="E280" s="10" t="s">
        <v>187</v>
      </c>
      <c r="F280" s="11" t="s">
        <v>129</v>
      </c>
      <c r="G280" s="12" t="s">
        <v>72</v>
      </c>
      <c r="H280" s="13"/>
      <c r="I280" s="14" t="str">
        <f aca="false">IF(OR(E280="",E280="!!!",F280="NEW"),"",INDEX(B279:B$2,-1+SUMPRODUCT(MAX(ROW(E279:E$2)*(E280=E279:E$2)))))</f>
        <v>other_3</v>
      </c>
      <c r="J280" s="15" t="n">
        <f aca="true">IF(OR(E280="",E280="!!!",F280="NEW"),"",COUNTBLANK(OFFSET(A$1,,,SUMPRODUCT(MAX(ROW(E$2:E280)*(E280=E$2:E280)))))-COUNTBLANK(OFFSET(A$1,,,SUMPRODUCT(MAX(ROW(E$1:E279)*(E280=E$1:E279))))))</f>
        <v>1</v>
      </c>
      <c r="K280" s="15" t="n">
        <f aca="false">IF(OR(E280="",E280="!!!",F280="NEW"),"",INDEX(J$1:J279,SUMPRODUCT(MAX(ROW(E$1:E279)*(E280=E$1:E279)))))</f>
        <v>0</v>
      </c>
      <c r="L280" s="16" t="s">
        <v>232</v>
      </c>
    </row>
    <row r="281" customFormat="false" ht="12.8" hidden="false" customHeight="false" outlineLevel="0" collapsed="false">
      <c r="A281" s="0" t="s">
        <v>140</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IF(OR(E281="",E281="!!!",F281="NEW"),"",INDEX(B280:B$2,-1+SUMPRODUCT(MAX(ROW(E280:E$2)*(E281=E280:E$2)))))</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8" hidden="false" customHeight="false" outlineLevel="0" collapsed="false">
      <c r="A282" s="0" t="s">
        <v>233</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IF(OR(E282="",E282="!!!",F282="NEW"),"",INDEX(B281:B$2,-1+SUMPRODUCT(MAX(ROW(E281:E$2)*(E282=E281:E$2)))))</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8" hidden="false" customHeight="false" outlineLevel="0" collapsed="false">
      <c r="A283" s="0" t="s">
        <v>47</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IF(OR(E283="",E283="!!!",F283="NEW"),"",INDEX(B282:B$2,-1+SUMPRODUCT(MAX(ROW(E282:E$2)*(E283=E282:E$2)))))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8" hidden="false" customHeight="false" outlineLevel="0" collapsed="false">
      <c r="A284" s="0" t="s">
        <v>234</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IF(OR(E284="",E284="!!!",F284="NEW"),"",INDEX(B283:B$2,-1+SUMPRODUCT(MAX(ROW(E283:E$2)*(E284=E283:E$2)))))</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8" hidden="false" customHeight="false" outlineLevel="0" collapsed="false">
      <c r="A285" s="0" t="s">
        <v>207</v>
      </c>
      <c r="B285" s="0" t="s">
        <v>185</v>
      </c>
      <c r="C285" s="0" t="s">
        <v>52</v>
      </c>
      <c r="E285" s="10" t="s">
        <v>199</v>
      </c>
      <c r="F285" s="11" t="str">
        <f aca="false">IF(OR(E285="",E285="!!!"),"",IF(NOT(ISNA(VLOOKUP(E285,E$1:E284,1,FALSE()))),"OLD",IF(AND(E285&lt;&gt;"",E285&lt;&gt;"!!!"),"NEW","")))</f>
        <v>OLD</v>
      </c>
      <c r="G285" s="12" t="s">
        <v>72</v>
      </c>
      <c r="H285" s="13" t="s">
        <v>7</v>
      </c>
      <c r="I285" s="14" t="str">
        <f aca="false">IF(OR(E285="",E285="!!!",F285="NEW"),"",INDEX(B284:B$2,-1+SUMPRODUCT(MAX(ROW(E284:E$2)*(E285=E284:E$2)))))</f>
        <v>other</v>
      </c>
      <c r="J285" s="15" t="n">
        <f aca="true">IF(OR(E285="",E285="!!!",F285="NEW"),"",COUNTBLANK(OFFSET(A$1,,,SUMPRODUCT(MAX(ROW(E$2:E285)*(E285=E$2:E285)))))-COUNTBLANK(OFFSET(A$1,,,SUMPRODUCT(MAX(ROW(E$1:E284)*(E285=E$1:E284))))))</f>
        <v>1</v>
      </c>
      <c r="K285" s="15" t="n">
        <f aca="false">IF(OR(E285="",E285="!!!",F285="NEW"),"",INDEX(J$1:J284,SUMPRODUCT(MAX(ROW(E$1:E284)*(E285=E$1:E284)))))</f>
        <v>0</v>
      </c>
      <c r="L285" s="16"/>
    </row>
    <row r="286" customFormat="false" ht="12.8" hidden="false" customHeight="false" outlineLevel="0" collapsed="false">
      <c r="A286" s="0" t="s">
        <v>46</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IF(OR(E286="",E286="!!!",F286="NEW"),"",INDEX(B285:B$2,-1+SUMPRODUCT(MAX(ROW(E285:E$2)*(E286=E285:E$2)))))</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8" hidden="false" customHeight="false" outlineLevel="0" collapsed="false">
      <c r="A287" s="0" t="s">
        <v>235</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IF(OR(E287="",E287="!!!",F287="NEW"),"",INDEX(B286:B$2,-1+SUMPRODUCT(MAX(ROW(E286:E$2)*(E287=E286:E$2)))))</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8" hidden="false" customHeight="false" outlineLevel="0" collapsed="false">
      <c r="A288" s="0" t="s">
        <v>236</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IF(OR(E288="",E288="!!!",F288="NEW"),"",INDEX(B287:B$2,-1+SUMPRODUCT(MAX(ROW(E287:E$2)*(E288=E287:E$2)))))</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8" hidden="false" customHeight="false" outlineLevel="0" collapsed="false">
      <c r="A289" s="0" t="s">
        <v>69</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IF(OR(E289="",E289="!!!",F289="NEW"),"",INDEX(B288:B$2,-1+SUMPRODUCT(MAX(ROW(E288:E$2)*(E289=E288:E$2)))))</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8" hidden="false" customHeight="false" outlineLevel="0" collapsed="false">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IF(OR(E290="",E290="!!!",F290="NEW"),"",INDEX(B289:B$2,-1+SUMPRODUCT(MAX(ROW(E289:E$2)*(E290=E289:E$2)))))</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8" hidden="false" customHeight="false" outlineLevel="0" collapsed="false">
      <c r="A291" s="0" t="s">
        <v>237</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IF(OR(E291="",E291="!!!",F291="NEW"),"",INDEX(B290:B$2,-1+SUMPRODUCT(MAX(ROW(E290:E$2)*(E291=E290:E$2)))))</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8" hidden="false" customHeight="false" outlineLevel="0" collapsed="false">
      <c r="A292" s="0" t="s">
        <v>238</v>
      </c>
      <c r="B292" s="0" t="s">
        <v>33</v>
      </c>
      <c r="C292" s="0" t="s">
        <v>30</v>
      </c>
      <c r="E292" s="10" t="s">
        <v>239</v>
      </c>
      <c r="F292" s="11" t="str">
        <f aca="false">IF(OR(E292="",E292="!!!"),"",IF(NOT(ISNA(VLOOKUP(E292,E$1:E291,1,FALSE()))),"OLD",IF(AND(E292&lt;&gt;"",E292&lt;&gt;"!!!"),"NEW","")))</f>
        <v>NEW</v>
      </c>
      <c r="G292" s="12" t="s">
        <v>85</v>
      </c>
      <c r="H292" s="13" t="str">
        <f aca="false">IF(J292&lt;&gt;1,"",IF(I292="SBJ","CB","?"))</f>
        <v/>
      </c>
      <c r="I292" s="14" t="str">
        <f aca="false">IF(OR(E292="",E292="!!!",F292="NEW"),"",INDEX(B291:B$2,-1+SUMPRODUCT(MAX(ROW(E291:E$2)*(E292=E291:E$2)))))</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8" hidden="false" customHeight="false" outlineLevel="0" collapsed="false">
      <c r="A293" s="0" t="s">
        <v>240</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IF(OR(E293="",E293="!!!",F293="NEW"),"",INDEX(B292:B$2,-1+SUMPRODUCT(MAX(ROW(E292:E$2)*(E293=E292:E$2)))))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8" hidden="false" customHeight="false" outlineLevel="0" collapsed="false">
      <c r="A294" s="0" t="s">
        <v>188</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IF(OR(E294="",E294="!!!",F294="NEW"),"",INDEX(B293:B$2,-1+SUMPRODUCT(MAX(ROW(E293:E$2)*(E294=E293:E$2)))))</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8" hidden="false" customHeight="false" outlineLevel="0" collapsed="false">
      <c r="A295" s="0" t="s">
        <v>241</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IF(OR(E295="",E295="!!!",F295="NEW"),"",INDEX(B294:B$2,-1+SUMPRODUCT(MAX(ROW(E294:E$2)*(E295=E294:E$2)))))</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8" hidden="false" customHeight="false" outlineLevel="0" collapsed="false">
      <c r="A296" s="0" t="s">
        <v>242</v>
      </c>
      <c r="B296" s="0" t="s">
        <v>105</v>
      </c>
      <c r="C296" s="0" t="s">
        <v>30</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IF(OR(E296="",E296="!!!",F296="NEW"),"",INDEX(B295:B$2,-1+SUMPRODUCT(MAX(ROW(E295:E$2)*(E296=E295:E$2)))))</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8" hidden="false" customHeight="false" outlineLevel="0" collapsed="false">
      <c r="A297" s="0" t="s">
        <v>243</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IF(OR(E297="",E297="!!!",F297="NEW"),"",INDEX(B296:B$2,-1+SUMPRODUCT(MAX(ROW(E296:E$2)*(E297=E296:E$2)))))</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8" hidden="false" customHeight="false" outlineLevel="0" collapsed="false">
      <c r="A298" s="0" t="s">
        <v>244</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IF(OR(E298="",E298="!!!",F298="NEW"),"",INDEX(B297:B$2,-1+SUMPRODUCT(MAX(ROW(E297:E$2)*(E298=E297:E$2)))))</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8" hidden="false" customHeight="false" outlineLevel="0" collapsed="false">
      <c r="A299" s="0" t="s">
        <v>40</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IF(OR(E299="",E299="!!!",F299="NEW"),"",INDEX(B298:B$2,-1+SUMPRODUCT(MAX(ROW(E298:E$2)*(E299=E298:E$2)))))</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8" hidden="false" customHeight="false" outlineLevel="0" collapsed="false">
      <c r="A300" s="0" t="s">
        <v>245</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IF(OR(E300="",E300="!!!",F300="NEW"),"",INDEX(B299:B$2,-1+SUMPRODUCT(MAX(ROW(E299:E$2)*(E300=E299:E$2)))))</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8" hidden="false" customHeight="false" outlineLevel="0" collapsed="false">
      <c r="A301" s="0" t="s">
        <v>140</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IF(OR(E301="",E301="!!!",F301="NEW"),"",INDEX(B300:B$2,-1+SUMPRODUCT(MAX(ROW(E300:E$2)*(E301=E300:E$2)))))</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8" hidden="false" customHeight="false" outlineLevel="0" collapsed="false">
      <c r="A302" s="0" t="s">
        <v>246</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IF(OR(E302="",E302="!!!",F302="NEW"),"",INDEX(B301:B$2,-1+SUMPRODUCT(MAX(ROW(E301:E$2)*(E302=E301:E$2)))))</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8" hidden="false" customHeight="false" outlineLevel="0" collapsed="false">
      <c r="A303" s="0" t="s">
        <v>247</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IF(OR(E303="",E303="!!!",F303="NEW"),"",INDEX(B302:B$2,-1+SUMPRODUCT(MAX(ROW(E302:E$2)*(E303=E302:E$2)))))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8" hidden="false" customHeight="false" outlineLevel="0" collapsed="false">
      <c r="A304" s="0" t="s">
        <v>77</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IF(OR(E304="",E304="!!!",F304="NEW"),"",INDEX(B303:B$2,-1+SUMPRODUCT(MAX(ROW(E303:E$2)*(E304=E303:E$2)))))</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8" hidden="false" customHeight="false" outlineLevel="0" collapsed="false">
      <c r="A305" s="0" t="s">
        <v>248</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IF(OR(E305="",E305="!!!",F305="NEW"),"",INDEX(B304:B$2,-1+SUMPRODUCT(MAX(ROW(E304:E$2)*(E305=E304:E$2)))))</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8" hidden="false" customHeight="false" outlineLevel="0" collapsed="false">
      <c r="A306" s="0" t="s">
        <v>27</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IF(OR(E306="",E306="!!!",F306="NEW"),"",INDEX(B305:B$2,-1+SUMPRODUCT(MAX(ROW(E305:E$2)*(E306=E305:E$2)))))</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8" hidden="false" customHeight="false" outlineLevel="0" collapsed="false">
      <c r="A307" s="0" t="s">
        <v>199</v>
      </c>
      <c r="B307" s="0" t="s">
        <v>185</v>
      </c>
      <c r="C307" s="0" t="s">
        <v>30</v>
      </c>
      <c r="E307" s="10" t="s">
        <v>199</v>
      </c>
      <c r="F307" s="11" t="str">
        <f aca="false">IF(OR(E307="",E307="!!!"),"",IF(NOT(ISNA(VLOOKUP(E307,E$1:E306,1,FALSE()))),"OLD",IF(AND(E307&lt;&gt;"",E307&lt;&gt;"!!!"),"NEW","")))</f>
        <v>OLD</v>
      </c>
      <c r="G307" s="12" t="s">
        <v>58</v>
      </c>
      <c r="H307" s="13" t="s">
        <v>7</v>
      </c>
      <c r="I307" s="14" t="str">
        <f aca="false">IF(OR(E307="",E307="!!!",F307="NEW"),"",INDEX(B306:B$2,-1+SUMPRODUCT(MAX(ROW(E306:E$2)*(E307=E306:E$2)))))</f>
        <v>OBJ_5</v>
      </c>
      <c r="J307" s="15" t="n">
        <f aca="true">IF(OR(E307="",E307="!!!",F307="NEW"),"",COUNTBLANK(OFFSET(A$1,,,SUMPRODUCT(MAX(ROW(E$2:E307)*(E307=E$2:E307)))))-COUNTBLANK(OFFSET(A$1,,,SUMPRODUCT(MAX(ROW(E$1:E306)*(E307=E$1:E306))))))</f>
        <v>1</v>
      </c>
      <c r="K307" s="15" t="n">
        <f aca="false">IF(OR(E307="",E307="!!!",F307="NEW"),"",INDEX(J$1:J306,SUMPRODUCT(MAX(ROW(E$1:E306)*(E307=E$1:E306)))))</f>
        <v>1</v>
      </c>
      <c r="L307" s="16"/>
    </row>
    <row r="308" customFormat="false" ht="12.8" hidden="false" customHeight="false" outlineLevel="0" collapsed="false">
      <c r="A308" s="0" t="s">
        <v>69</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IF(OR(E308="",E308="!!!",F308="NEW"),"",INDEX(B307:B$2,-1+SUMPRODUCT(MAX(ROW(E307:E$2)*(E308=E307:E$2)))))</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8" hidden="false" customHeight="false" outlineLevel="0" collapsed="false">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IF(OR(E309="",E309="!!!",F309="NEW"),"",INDEX(B308:B$2,-1+SUMPRODUCT(MAX(ROW(E308:E$2)*(E309=E308:E$2)))))</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8" hidden="false" customHeight="false" outlineLevel="0" collapsed="false">
      <c r="A310" s="0" t="s">
        <v>249</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IF(OR(E310="",E310="!!!",F310="NEW"),"",INDEX(B309:B$2,-1+SUMPRODUCT(MAX(ROW(E309:E$2)*(E310=E309:E$2)))))</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8" hidden="false" customHeight="false" outlineLevel="0" collapsed="false">
      <c r="A311" s="0" t="s">
        <v>250</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IF(OR(E311="",E311="!!!",F311="NEW"),"",INDEX(B310:B$2,-1+SUMPRODUCT(MAX(ROW(E310:E$2)*(E311=E310:E$2)))))</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8" hidden="false" customHeight="false" outlineLevel="0" collapsed="false">
      <c r="A312" s="0" t="s">
        <v>199</v>
      </c>
      <c r="B312" s="0" t="s">
        <v>33</v>
      </c>
      <c r="C312" s="0" t="s">
        <v>251</v>
      </c>
      <c r="E312" s="10" t="s">
        <v>199</v>
      </c>
      <c r="F312" s="11" t="str">
        <f aca="false">IF(OR(E312="",E312="!!!"),"",IF(NOT(ISNA(VLOOKUP(E312,E$1:E311,1,FALSE()))),"OLD",IF(AND(E312&lt;&gt;"",E312&lt;&gt;"!!!"),"NEW","")))</f>
        <v>OLD</v>
      </c>
      <c r="G312" s="12" t="s">
        <v>58</v>
      </c>
      <c r="H312" s="13" t="s">
        <v>7</v>
      </c>
      <c r="I312" s="14" t="str">
        <f aca="false">IF(OR(E312="",E312="!!!",F312="NEW"),"",INDEX(B311:B$2,-1+SUMPRODUCT(MAX(ROW(E311:E$2)*(E312=E311:E$2)))))</f>
        <v>OBJ_5</v>
      </c>
      <c r="J312" s="15" t="n">
        <f aca="true">IF(OR(E312="",E312="!!!",F312="NEW"),"",COUNTBLANK(OFFSET(A$1,,,SUMPRODUCT(MAX(ROW(E$2:E312)*(E312=E$2:E312)))))-COUNTBLANK(OFFSET(A$1,,,SUMPRODUCT(MAX(ROW(E$1:E311)*(E312=E$1:E311))))))</f>
        <v>1</v>
      </c>
      <c r="K312" s="15" t="n">
        <f aca="false">IF(OR(E312="",E312="!!!",F312="NEW"),"",INDEX(J$1:J311,SUMPRODUCT(MAX(ROW(E$1:E311)*(E312=E$1:E311)))))</f>
        <v>1</v>
      </c>
      <c r="L312" s="16"/>
    </row>
    <row r="313" customFormat="false" ht="12.8" hidden="false" customHeight="false" outlineLevel="0" collapsed="false">
      <c r="A313" s="0" t="s">
        <v>229</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IF(OR(E313="",E313="!!!",F313="NEW"),"",INDEX(B312:B$2,-1+SUMPRODUCT(MAX(ROW(E312:E$2)*(E313=E312:E$2)))))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8" hidden="false" customHeight="false" outlineLevel="0" collapsed="false">
      <c r="A314" s="0" t="s">
        <v>252</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IF(OR(E314="",E314="!!!",F314="NEW"),"",INDEX(B313:B$2,-1+SUMPRODUCT(MAX(ROW(E313:E$2)*(E314=E313:E$2)))))</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8" hidden="false" customHeight="false" outlineLevel="0" collapsed="false">
      <c r="A315" s="0" t="s">
        <v>253</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IF(OR(E315="",E315="!!!",F315="NEW"),"",INDEX(B314:B$2,-1+SUMPRODUCT(MAX(ROW(E314:E$2)*(E315=E314:E$2)))))</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8" hidden="false" customHeight="false" outlineLevel="0" collapsed="false">
      <c r="A316" s="0" t="s">
        <v>254</v>
      </c>
      <c r="B316" s="0" t="s">
        <v>105</v>
      </c>
      <c r="C316" s="0" t="s">
        <v>30</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IF(OR(E316="",E316="!!!",F316="NEW"),"",INDEX(B315:B$2,-1+SUMPRODUCT(MAX(ROW(E315:E$2)*(E316=E315:E$2)))))</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8" hidden="false" customHeight="false" outlineLevel="0" collapsed="false">
      <c r="A317" s="0" t="s">
        <v>26</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IF(OR(E317="",E317="!!!",F317="NEW"),"",INDEX(B316:B$2,-1+SUMPRODUCT(MAX(ROW(E316:E$2)*(E317=E316:E$2)))))</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8" hidden="false" customHeight="false" outlineLevel="0" collapsed="false">
      <c r="A318" s="0" t="s">
        <v>255</v>
      </c>
      <c r="B318" s="0" t="s">
        <v>29</v>
      </c>
      <c r="C318" s="0" t="s">
        <v>30</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IF(OR(E318="",E318="!!!",F318="NEW"),"",INDEX(B317:B$2,-1+SUMPRODUCT(MAX(ROW(E317:E$2)*(E318=E317:E$2)))))</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8" hidden="false" customHeight="false" outlineLevel="0" collapsed="false">
      <c r="A319" s="0" t="s">
        <v>256</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IF(OR(E319="",E319="!!!",F319="NEW"),"",INDEX(B318:B$2,-1+SUMPRODUCT(MAX(ROW(E318:E$2)*(E319=E318:E$2)))))</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8" hidden="false" customHeight="false" outlineLevel="0" collapsed="false">
      <c r="A320" s="0" t="s">
        <v>81</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IF(OR(E320="",E320="!!!",F320="NEW"),"",INDEX(B319:B$2,-1+SUMPRODUCT(MAX(ROW(E319:E$2)*(E320=E319:E$2)))))</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8" hidden="false" customHeight="false" outlineLevel="0" collapsed="false">
      <c r="A321" s="0" t="s">
        <v>28</v>
      </c>
      <c r="B321" s="0" t="s">
        <v>55</v>
      </c>
      <c r="C321" s="0" t="s">
        <v>25</v>
      </c>
      <c r="D321" s="0" t="s">
        <v>20</v>
      </c>
      <c r="E321" s="10" t="s">
        <v>214</v>
      </c>
      <c r="F321" s="11" t="s">
        <v>129</v>
      </c>
      <c r="G321" s="12" t="s">
        <v>85</v>
      </c>
      <c r="H321" s="13" t="str">
        <f aca="false">IF(J321&lt;&gt;1,"",IF(I321="SBJ","CB","?"))</f>
        <v/>
      </c>
      <c r="I321" s="14" t="str">
        <f aca="false">IF(OR(E321="",E321="!!!",F321="NEW"),"",INDEX(B320:B$2,-1+SUMPRODUCT(MAX(ROW(E320:E$2)*(E321=E320:E$2)))))</f>
        <v>OBJ_2</v>
      </c>
      <c r="J321" s="15" t="n">
        <f aca="true">IF(OR(E321="",E321="!!!",F321="NEW"),"",COUNTBLANK(OFFSET(A$1,,,SUMPRODUCT(MAX(ROW(E$2:E321)*(E321=E$2:E321)))))-COUNTBLANK(OFFSET(A$1,,,SUMPRODUCT(MAX(ROW(E$1:E320)*(E321=E$1:E320))))))</f>
        <v>3</v>
      </c>
      <c r="K321" s="15" t="str">
        <f aca="false">IF(OR(E321="",E321="!!!",F321="NEW"),"",INDEX(J$1:J320,SUMPRODUCT(MAX(ROW(E$1:E320)*(E321=E$1:E320)))))</f>
        <v/>
      </c>
      <c r="L321" s="16"/>
    </row>
    <row r="322" customFormat="false" ht="12.8" hidden="false" customHeight="false" outlineLevel="0" collapsed="false">
      <c r="A322" s="0" t="s">
        <v>26</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IF(OR(E322="",E322="!!!",F322="NEW"),"",INDEX(B321:B$2,-1+SUMPRODUCT(MAX(ROW(E321:E$2)*(E322=E321:E$2)))))</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8" hidden="false" customHeight="false" outlineLevel="0" collapsed="false">
      <c r="A323" s="0" t="s">
        <v>81</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IF(OR(E323="",E323="!!!",F323="NEW"),"",INDEX(B322:B$2,-1+SUMPRODUCT(MAX(ROW(E322:E$2)*(E323=E322:E$2)))))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8" hidden="false" customHeight="false" outlineLevel="0" collapsed="false">
      <c r="A324" s="0" t="s">
        <v>231</v>
      </c>
      <c r="B324" s="0" t="s">
        <v>63</v>
      </c>
      <c r="C324" s="0" t="s">
        <v>25</v>
      </c>
      <c r="D324" s="0" t="s">
        <v>20</v>
      </c>
      <c r="E324" s="10" t="s">
        <v>187</v>
      </c>
      <c r="F324" s="11" t="str">
        <f aca="false">IF(OR(E324="",E324="!!!"),"",IF(NOT(ISNA(VLOOKUP(E324,E$1:E323,1,FALSE()))),"OLD",IF(AND(E324&lt;&gt;"",E324&lt;&gt;"!!!"),"NEW","")))</f>
        <v>OLD</v>
      </c>
      <c r="G324" s="12" t="s">
        <v>72</v>
      </c>
      <c r="H324" s="13" t="str">
        <f aca="false">IF(J324&lt;&gt;1,"",IF(I324="SBJ","CB","?"))</f>
        <v/>
      </c>
      <c r="I324" s="14" t="str">
        <f aca="false">IF(OR(E324="",E324="!!!",F324="NEW"),"",INDEX(B323:B$2,-1+SUMPRODUCT(MAX(ROW(E323:E$2)*(E324=E323:E$2)))))</f>
        <v>other_3</v>
      </c>
      <c r="J324" s="15" t="n">
        <f aca="true">IF(OR(E324="",E324="!!!",F324="NEW"),"",COUNTBLANK(OFFSET(A$1,,,SUMPRODUCT(MAX(ROW(E$2:E324)*(E324=E$2:E324)))))-COUNTBLANK(OFFSET(A$1,,,SUMPRODUCT(MAX(ROW(E$1:E323)*(E324=E$1:E323))))))</f>
        <v>2</v>
      </c>
      <c r="K324" s="15" t="n">
        <f aca="false">IF(OR(E324="",E324="!!!",F324="NEW"),"",INDEX(J$1:J323,SUMPRODUCT(MAX(ROW(E$1:E323)*(E324=E$1:E323)))))</f>
        <v>1</v>
      </c>
      <c r="L324" s="16"/>
    </row>
    <row r="325" customFormat="false" ht="12.8" hidden="false" customHeight="false" outlineLevel="0" collapsed="false">
      <c r="A325" s="0" t="s">
        <v>46</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IF(OR(E325="",E325="!!!",F325="NEW"),"",INDEX(B324:B$2,-1+SUMPRODUCT(MAX(ROW(E324:E$2)*(E325=E324:E$2)))))</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8" hidden="false" customHeight="false" outlineLevel="0" collapsed="false">
      <c r="A326" s="0" t="s">
        <v>257</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IF(OR(E326="",E326="!!!",F326="NEW"),"",INDEX(B325:B$2,-1+SUMPRODUCT(MAX(ROW(E325:E$2)*(E326=E325:E$2)))))</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8" hidden="false" customHeight="false" outlineLevel="0" collapsed="false">
      <c r="A327" s="0" t="s">
        <v>258</v>
      </c>
      <c r="B327" s="0" t="s">
        <v>192</v>
      </c>
      <c r="C327" s="0" t="s">
        <v>34</v>
      </c>
      <c r="D327" s="0" t="s">
        <v>20</v>
      </c>
      <c r="E327" s="10" t="s">
        <v>187</v>
      </c>
      <c r="F327" s="11" t="str">
        <f aca="false">IF(OR(E327="",E327="!!!"),"",IF(NOT(ISNA(VLOOKUP(E327,E$1:E326,1,FALSE()))),"OLD",IF(AND(E327&lt;&gt;"",E327&lt;&gt;"!!!"),"NEW","")))</f>
        <v>OLD</v>
      </c>
      <c r="G327" s="12" t="s">
        <v>58</v>
      </c>
      <c r="H327" s="13" t="str">
        <f aca="false">IF(J327&lt;&gt;1,"",IF(I327="SBJ","CB","?"))</f>
        <v/>
      </c>
      <c r="I327" s="14" t="str">
        <f aca="false">IF(OR(E327="",E327="!!!",F327="NEW"),"",INDEX(B326:B$2,-1+SUMPRODUCT(MAX(ROW(E326:E$2)*(E327=E326:E$2)))))</f>
        <v>other_4</v>
      </c>
      <c r="J327" s="15" t="n">
        <f aca="true">IF(OR(E327="",E327="!!!",F327="NEW"),"",COUNTBLANK(OFFSET(A$1,,,SUMPRODUCT(MAX(ROW(E$2:E327)*(E327=E$2:E327)))))-COUNTBLANK(OFFSET(A$1,,,SUMPRODUCT(MAX(ROW(E$1:E326)*(E327=E$1:E326))))))</f>
        <v>0</v>
      </c>
      <c r="K327" s="15" t="n">
        <f aca="false">IF(OR(E327="",E327="!!!",F327="NEW"),"",INDEX(J$1:J326,SUMPRODUCT(MAX(ROW(E$1:E326)*(E327=E$1:E326)))))</f>
        <v>2</v>
      </c>
      <c r="L327" s="16"/>
    </row>
    <row r="328" customFormat="false" ht="12.8" hidden="false" customHeight="false" outlineLevel="0" collapsed="false">
      <c r="A328" s="0" t="s">
        <v>259</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IF(OR(E328="",E328="!!!",F328="NEW"),"",INDEX(B327:B$2,-1+SUMPRODUCT(MAX(ROW(E327:E$2)*(E328=E327:E$2)))))</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8" hidden="false" customHeight="false" outlineLevel="0" collapsed="false">
      <c r="A329" s="0" t="s">
        <v>255</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IF(OR(E329="",E329="!!!",F329="NEW"),"",INDEX(B328:B$2,-1+SUMPRODUCT(MAX(ROW(E328:E$2)*(E329=E328:E$2)))))</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8" hidden="false" customHeight="false" outlineLevel="0" collapsed="false">
      <c r="A330" s="0" t="s">
        <v>260</v>
      </c>
      <c r="B330" s="0" t="s">
        <v>29</v>
      </c>
      <c r="C330" s="0" t="s">
        <v>30</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IF(OR(E330="",E330="!!!",F330="NEW"),"",INDEX(B329:B$2,-1+SUMPRODUCT(MAX(ROW(E329:E$2)*(E330=E329:E$2)))))</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8" hidden="false" customHeight="false" outlineLevel="0" collapsed="false">
      <c r="A331" s="0" t="s">
        <v>40</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IF(OR(E331="",E331="!!!",F331="NEW"),"",INDEX(B330:B$2,-1+SUMPRODUCT(MAX(ROW(E330:E$2)*(E331=E330:E$2)))))</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8" hidden="false" customHeight="false" outlineLevel="0" collapsed="false">
      <c r="A332" s="0" t="s">
        <v>261</v>
      </c>
      <c r="B332" s="0" t="s">
        <v>55</v>
      </c>
      <c r="C332" s="0" t="s">
        <v>30</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IF(OR(E332="",E332="!!!",F332="NEW"),"",INDEX(B331:B$2,-1+SUMPRODUCT(MAX(ROW(E331:E$2)*(E332=E331:E$2)))))</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8" hidden="false" customHeight="false" outlineLevel="0" collapsed="false">
      <c r="A333" s="0" t="s">
        <v>69</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IF(OR(E333="",E333="!!!",F333="NEW"),"",INDEX(B332:B$2,-1+SUMPRODUCT(MAX(ROW(E332:E$2)*(E333=E332:E$2)))))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8" hidden="false" customHeight="false" outlineLevel="0" collapsed="false">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IF(OR(E334="",E334="!!!",F334="NEW"),"",INDEX(B333:B$2,-1+SUMPRODUCT(MAX(ROW(E333:E$2)*(E334=E333:E$2)))))</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8" hidden="false" customHeight="false" outlineLevel="0" collapsed="false">
      <c r="A335" s="0" t="s">
        <v>262</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IF(OR(E335="",E335="!!!",F335="NEW"),"",INDEX(B334:B$2,-1+SUMPRODUCT(MAX(ROW(E334:E$2)*(E335=E334:E$2)))))</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8" hidden="false" customHeight="false" outlineLevel="0" collapsed="false">
      <c r="A336" s="0" t="s">
        <v>263</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IF(OR(E336="",E336="!!!",F336="NEW"),"",INDEX(B335:B$2,-1+SUMPRODUCT(MAX(ROW(E335:E$2)*(E336=E335:E$2)))))</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8" hidden="false" customHeight="false" outlineLevel="0" collapsed="false">
      <c r="A337" s="0" t="s">
        <v>264</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IF(OR(E337="",E337="!!!",F337="NEW"),"",INDEX(B336:B$2,-1+SUMPRODUCT(MAX(ROW(E336:E$2)*(E337=E336:E$2)))))</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8" hidden="false" customHeight="false" outlineLevel="0" collapsed="false">
      <c r="A338" s="0" t="s">
        <v>146</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IF(OR(E338="",E338="!!!",F338="NEW"),"",INDEX(B337:B$2,-1+SUMPRODUCT(MAX(ROW(E337:E$2)*(E338=E337:E$2)))))</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8" hidden="false" customHeight="false" outlineLevel="0" collapsed="false">
      <c r="A339" s="0" t="s">
        <v>265</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IF(OR(E339="",E339="!!!",F339="NEW"),"",INDEX(B338:B$2,-1+SUMPRODUCT(MAX(ROW(E338:E$2)*(E339=E338:E$2)))))</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8" hidden="false" customHeight="false" outlineLevel="0" collapsed="false">
      <c r="A340" s="0" t="s">
        <v>266</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IF(OR(E340="",E340="!!!",F340="NEW"),"",INDEX(B339:B$2,-1+SUMPRODUCT(MAX(ROW(E339:E$2)*(E340=E339:E$2)))))</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8" hidden="false" customHeight="false" outlineLevel="0" collapsed="false">
      <c r="A341" s="0" t="s">
        <v>267</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IF(OR(E341="",E341="!!!",F341="NEW"),"",INDEX(B340:B$2,-1+SUMPRODUCT(MAX(ROW(E340:E$2)*(E341=E340:E$2)))))</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8" hidden="false" customHeight="false" outlineLevel="0" collapsed="false">
      <c r="A342" s="0" t="s">
        <v>268</v>
      </c>
      <c r="B342" s="0" t="s">
        <v>55</v>
      </c>
      <c r="C342" s="0" t="s">
        <v>103</v>
      </c>
      <c r="D342" s="0" t="s">
        <v>20</v>
      </c>
      <c r="E342" s="10" t="s">
        <v>187</v>
      </c>
      <c r="F342" s="11" t="str">
        <f aca="false">IF(OR(E342="",E342="!!!"),"",IF(NOT(ISNA(VLOOKUP(E342,E$1:E341,1,FALSE()))),"OLD",IF(AND(E342&lt;&gt;"",E342&lt;&gt;"!!!"),"NEW","")))</f>
        <v>OLD</v>
      </c>
      <c r="G342" s="12" t="s">
        <v>72</v>
      </c>
      <c r="H342" s="13" t="s">
        <v>7</v>
      </c>
      <c r="I342" s="14" t="str">
        <f aca="false">IF(OR(E342="",E342="!!!",F342="NEW"),"",INDEX(B341:B$2,-1+SUMPRODUCT(MAX(ROW(E341:E$2)*(E342=E341:E$2)))))</f>
        <v>OBJ_2</v>
      </c>
      <c r="J342" s="15" t="n">
        <f aca="true">IF(OR(E342="",E342="!!!",F342="NEW"),"",COUNTBLANK(OFFSET(A$1,,,SUMPRODUCT(MAX(ROW(E$2:E342)*(E342=E$2:E342)))))-COUNTBLANK(OFFSET(A$1,,,SUMPRODUCT(MAX(ROW(E$1:E341)*(E342=E$1:E341))))))</f>
        <v>1</v>
      </c>
      <c r="K342" s="15" t="n">
        <f aca="false">IF(OR(E342="",E342="!!!",F342="NEW"),"",INDEX(J$1:J341,SUMPRODUCT(MAX(ROW(E$1:E341)*(E342=E$1:E341)))))</f>
        <v>0</v>
      </c>
      <c r="L342" s="16"/>
    </row>
    <row r="343" customFormat="false" ht="12.8" hidden="false" customHeight="false" outlineLevel="0" collapsed="false">
      <c r="A343" s="0" t="s">
        <v>27</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IF(OR(E343="",E343="!!!",F343="NEW"),"",INDEX(B342:B$2,-1+SUMPRODUCT(MAX(ROW(E342:E$2)*(E343=E342:E$2)))))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8" hidden="false" customHeight="false" outlineLevel="0" collapsed="false">
      <c r="A344" s="0" t="s">
        <v>217</v>
      </c>
      <c r="B344" s="0" t="s">
        <v>89</v>
      </c>
      <c r="C344" s="0" t="s">
        <v>106</v>
      </c>
      <c r="D344" s="0" t="s">
        <v>20</v>
      </c>
      <c r="E344" s="10" t="s">
        <v>218</v>
      </c>
      <c r="F344" s="11" t="str">
        <f aca="false">IF(OR(E344="",E344="!!!"),"",IF(NOT(ISNA(VLOOKUP(E344,E$1:E343,1,FALSE()))),"OLD",IF(AND(E344&lt;&gt;"",E344&lt;&gt;"!!!"),"NEW","")))</f>
        <v>OLD</v>
      </c>
      <c r="G344" s="12" t="s">
        <v>85</v>
      </c>
      <c r="H344" s="13" t="str">
        <f aca="false">IF(J344&lt;&gt;1,"",IF(I344="SBJ","CB","?"))</f>
        <v/>
      </c>
      <c r="I344" s="14" t="str">
        <f aca="false">IF(OR(E344="",E344="!!!",F344="NEW"),"",INDEX(B343:B$2,-1+SUMPRODUCT(MAX(ROW(E343:E$2)*(E344=E343:E$2)))))</f>
        <v>other_3</v>
      </c>
      <c r="J344" s="15" t="n">
        <f aca="true">IF(OR(E344="",E344="!!!",F344="NEW"),"",COUNTBLANK(OFFSET(A$1,,,SUMPRODUCT(MAX(ROW(E$2:E344)*(E344=E$2:E344)))))-COUNTBLANK(OFFSET(A$1,,,SUMPRODUCT(MAX(ROW(E$1:E343)*(E344=E$1:E343))))))</f>
        <v>4</v>
      </c>
      <c r="K344" s="15" t="str">
        <f aca="false">IF(OR(E344="",E344="!!!",F344="NEW"),"",INDEX(J$1:J343,SUMPRODUCT(MAX(ROW(E$1:E343)*(E344=E$1:E343)))))</f>
        <v/>
      </c>
      <c r="L344" s="16"/>
    </row>
    <row r="345" customFormat="false" ht="12.8" hidden="false" customHeight="false" outlineLevel="0" collapsed="false">
      <c r="A345" s="0" t="s">
        <v>73</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IF(OR(E345="",E345="!!!",F345="NEW"),"",INDEX(B344:B$2,-1+SUMPRODUCT(MAX(ROW(E344:E$2)*(E345=E344:E$2)))))</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8" hidden="false" customHeight="false" outlineLevel="0" collapsed="false">
      <c r="A346" s="0" t="s">
        <v>69</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IF(OR(E346="",E346="!!!",F346="NEW"),"",INDEX(B345:B$2,-1+SUMPRODUCT(MAX(ROW(E345:E$2)*(E346=E345:E$2)))))</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8" hidden="false" customHeight="false" outlineLevel="0" collapsed="false">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IF(OR(E347="",E347="!!!",F347="NEW"),"",INDEX(B346:B$2,-1+SUMPRODUCT(MAX(ROW(E346:E$2)*(E347=E346:E$2)))))</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8" hidden="false" customHeight="false" outlineLevel="0" collapsed="false">
      <c r="A348" s="0" t="s">
        <v>269</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IF(OR(E348="",E348="!!!",F348="NEW"),"",INDEX(B347:B$2,-1+SUMPRODUCT(MAX(ROW(E347:E$2)*(E348=E347:E$2)))))</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8" hidden="false" customHeight="false" outlineLevel="0" collapsed="false">
      <c r="A349" s="0" t="s">
        <v>270</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IF(OR(E349="",E349="!!!",F349="NEW"),"",INDEX(B348:B$2,-1+SUMPRODUCT(MAX(ROW(E348:E$2)*(E349=E348:E$2)))))</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8" hidden="false" customHeight="false" outlineLevel="0" collapsed="false">
      <c r="A350" s="0" t="s">
        <v>268</v>
      </c>
      <c r="B350" s="0" t="s">
        <v>55</v>
      </c>
      <c r="C350" s="0" t="s">
        <v>103</v>
      </c>
      <c r="D350" s="0" t="s">
        <v>20</v>
      </c>
      <c r="E350" s="10" t="s">
        <v>187</v>
      </c>
      <c r="F350" s="11" t="str">
        <f aca="false">IF(OR(E350="",E350="!!!"),"",IF(NOT(ISNA(VLOOKUP(E350,E$1:E349,1,FALSE()))),"OLD",IF(AND(E350&lt;&gt;"",E350&lt;&gt;"!!!"),"NEW","")))</f>
        <v>OLD</v>
      </c>
      <c r="G350" s="12" t="s">
        <v>58</v>
      </c>
      <c r="H350" s="13" t="s">
        <v>7</v>
      </c>
      <c r="I350" s="14" t="str">
        <f aca="false">IF(OR(E350="",E350="!!!",F350="NEW"),"",INDEX(B349:B$2,-1+SUMPRODUCT(MAX(ROW(E349:E$2)*(E350=E349:E$2)))))</f>
        <v>other_3</v>
      </c>
      <c r="J350" s="15" t="n">
        <f aca="true">IF(OR(E350="",E350="!!!",F350="NEW"),"",COUNTBLANK(OFFSET(A$1,,,SUMPRODUCT(MAX(ROW(E$2:E350)*(E350=E$2:E350)))))-COUNTBLANK(OFFSET(A$1,,,SUMPRODUCT(MAX(ROW(E$1:E349)*(E350=E$1:E349))))))</f>
        <v>1</v>
      </c>
      <c r="K350" s="15" t="n">
        <f aca="false">IF(OR(E350="",E350="!!!",F350="NEW"),"",INDEX(J$1:J349,SUMPRODUCT(MAX(ROW(E$1:E349)*(E350=E$1:E349)))))</f>
        <v>1</v>
      </c>
      <c r="L350" s="16"/>
    </row>
    <row r="351" customFormat="false" ht="12.8" hidden="false" customHeight="false" outlineLevel="0" collapsed="false">
      <c r="A351" s="0" t="s">
        <v>27</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IF(OR(E351="",E351="!!!",F351="NEW"),"",INDEX(B350:B$2,-1+SUMPRODUCT(MAX(ROW(E350:E$2)*(E351=E350:E$2)))))</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8" hidden="false" customHeight="false" outlineLevel="0" collapsed="false">
      <c r="A352" s="0" t="s">
        <v>207</v>
      </c>
      <c r="B352" s="0" t="s">
        <v>89</v>
      </c>
      <c r="C352" s="0" t="s">
        <v>106</v>
      </c>
      <c r="D352" s="0" t="s">
        <v>20</v>
      </c>
      <c r="E352" s="10" t="s">
        <v>199</v>
      </c>
      <c r="F352" s="11" t="str">
        <f aca="false">IF(OR(E352="",E352="!!!"),"",IF(NOT(ISNA(VLOOKUP(E352,E$1:E351,1,FALSE()))),"OLD",IF(AND(E352&lt;&gt;"",E352&lt;&gt;"!!!"),"NEW","")))</f>
        <v>OLD</v>
      </c>
      <c r="G352" s="12" t="s">
        <v>72</v>
      </c>
      <c r="H352" s="13" t="str">
        <f aca="false">IF(J352&lt;&gt;1,"",IF(I352="SBJ","CB","?"))</f>
        <v/>
      </c>
      <c r="I352" s="14" t="str">
        <f aca="false">IF(OR(E352="",E352="!!!",F352="NEW"),"",INDEX(B351:B$2,-1+SUMPRODUCT(MAX(ROW(E351:E$2)*(E352=E351:E$2)))))</f>
        <v>SBJ</v>
      </c>
      <c r="J352" s="15" t="n">
        <f aca="true">IF(OR(E352="",E352="!!!",F352="NEW"),"",COUNTBLANK(OFFSET(A$1,,,SUMPRODUCT(MAX(ROW(E$2:E352)*(E352=E$2:E352)))))-COUNTBLANK(OFFSET(A$1,,,SUMPRODUCT(MAX(ROW(E$1:E351)*(E352=E$1:E351))))))</f>
        <v>2</v>
      </c>
      <c r="K352" s="15" t="n">
        <f aca="false">IF(OR(E352="",E352="!!!",F352="NEW"),"",INDEX(J$1:J351,SUMPRODUCT(MAX(ROW(E$1:E351)*(E352=E$1:E351)))))</f>
        <v>1</v>
      </c>
      <c r="L352" s="16"/>
    </row>
    <row r="353" customFormat="false" ht="12.8" hidden="false" customHeight="false" outlineLevel="0" collapsed="false">
      <c r="A353" s="0" t="s">
        <v>73</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IF(OR(E353="",E353="!!!",F353="NEW"),"",INDEX(B352:B$2,-1+SUMPRODUCT(MAX(ROW(E352:E$2)*(E353=E352:E$2)))))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8" hidden="false" customHeight="false" outlineLevel="0" collapsed="false">
      <c r="A354" s="0" t="s">
        <v>271</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IF(OR(E354="",E354="!!!",F354="NEW"),"",INDEX(B353:B$2,-1+SUMPRODUCT(MAX(ROW(E353:E$2)*(E354=E353:E$2)))))</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8" hidden="false" customHeight="false" outlineLevel="0" collapsed="false">
      <c r="A355" s="0" t="s">
        <v>46</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IF(OR(E355="",E355="!!!",F355="NEW"),"",INDEX(B354:B$2,-1+SUMPRODUCT(MAX(ROW(E354:E$2)*(E355=E354:E$2)))))</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8" hidden="false" customHeight="false" outlineLevel="0" collapsed="false">
      <c r="A356" s="0" t="s">
        <v>272</v>
      </c>
      <c r="B356" s="0" t="s">
        <v>33</v>
      </c>
      <c r="C356" s="0" t="s">
        <v>34</v>
      </c>
      <c r="D356" s="0" t="s">
        <v>20</v>
      </c>
      <c r="E356" s="10" t="s">
        <v>187</v>
      </c>
      <c r="F356" s="11" t="str">
        <f aca="false">IF(OR(E356="",E356="!!!"),"",IF(NOT(ISNA(VLOOKUP(E356,E$1:E355,1,FALSE()))),"OLD",IF(AND(E356&lt;&gt;"",E356&lt;&gt;"!!!"),"NEW","")))</f>
        <v>OLD</v>
      </c>
      <c r="G356" s="12" t="s">
        <v>58</v>
      </c>
      <c r="H356" s="13" t="str">
        <f aca="false">IF(J356&lt;&gt;1,"",IF(I356="SBJ","CB","?"))</f>
        <v/>
      </c>
      <c r="I356" s="14" t="str">
        <f aca="false">IF(OR(E356="",E356="!!!",F356="NEW"),"",INDEX(B355:B$2,-1+SUMPRODUCT(MAX(ROW(E355:E$2)*(E356=E355:E$2)))))</f>
        <v>other_3</v>
      </c>
      <c r="J356" s="15" t="n">
        <f aca="true">IF(OR(E356="",E356="!!!",F356="NEW"),"",COUNTBLANK(OFFSET(A$1,,,SUMPRODUCT(MAX(ROW(E$2:E356)*(E356=E$2:E356)))))-COUNTBLANK(OFFSET(A$1,,,SUMPRODUCT(MAX(ROW(E$1:E355)*(E356=E$1:E355))))))</f>
        <v>0</v>
      </c>
      <c r="K356" s="15" t="n">
        <f aca="false">IF(OR(E356="",E356="!!!",F356="NEW"),"",INDEX(J$1:J355,SUMPRODUCT(MAX(ROW(E$1:E355)*(E356=E$1:E355)))))</f>
        <v>1</v>
      </c>
      <c r="L356" s="16"/>
    </row>
    <row r="357" customFormat="false" ht="12.8" hidden="false" customHeight="false" outlineLevel="0" collapsed="false">
      <c r="A357" s="0" t="s">
        <v>273</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IF(OR(E357="",E357="!!!",F357="NEW"),"",INDEX(B356:B$2,-1+SUMPRODUCT(MAX(ROW(E356:E$2)*(E357=E356:E$2)))))</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8" hidden="false" customHeight="false" outlineLevel="0" collapsed="false">
      <c r="A358" s="0" t="s">
        <v>146</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IF(OR(E358="",E358="!!!",F358="NEW"),"",INDEX(B357:B$2,-1+SUMPRODUCT(MAX(ROW(E357:E$2)*(E358=E357:E$2)))))</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8" hidden="false" customHeight="false" outlineLevel="0" collapsed="false">
      <c r="A359" s="0" t="s">
        <v>188</v>
      </c>
      <c r="E359" s="10" t="s">
        <v>189</v>
      </c>
      <c r="F359" s="11"/>
      <c r="G359" s="12"/>
      <c r="H359" s="13"/>
      <c r="I359" s="14" t="e">
        <f aca="false">IF(OR(E359="",E359="!!!",F359="NEW"),"",INDEX(B358:B$2,-1+SUMPRODUCT(MAX(ROW(E358:E$2)*(E359=E358:E$2)))))</f>
        <v>#VALUE!</v>
      </c>
      <c r="J359" s="15" t="n">
        <f aca="true">IF(OR(E359="",E359="!!!",F359="NEW"),"",COUNTBLANK(OFFSET(A$1,,,SUMPRODUCT(MAX(ROW(E$2:E359)*(E359=E$2:E359)))))-COUNTBLANK(OFFSET(A$1,,,SUMPRODUCT(MAX(ROW(E$1:E358)*(E359=E$1:E358))))))</f>
        <v>7</v>
      </c>
      <c r="K359" s="15" t="str">
        <f aca="false">IF(OR(E359="",E359="!!!",F359="NEW"),"",INDEX(J$1:J358,SUMPRODUCT(MAX(ROW(E$1:E358)*(E359=E$1:E358)))))</f>
        <v/>
      </c>
      <c r="L359" s="16"/>
    </row>
    <row r="360" customFormat="false" ht="12.8" hidden="false" customHeight="false" outlineLevel="0" collapsed="false">
      <c r="A360" s="0" t="s">
        <v>268</v>
      </c>
      <c r="B360" s="0" t="s">
        <v>29</v>
      </c>
      <c r="C360" s="0" t="s">
        <v>103</v>
      </c>
      <c r="D360" s="0" t="s">
        <v>20</v>
      </c>
      <c r="E360" s="10" t="s">
        <v>187</v>
      </c>
      <c r="F360" s="11" t="str">
        <f aca="false">IF(OR(E360="",E360="!!!"),"",IF(NOT(ISNA(VLOOKUP(E360,E$1:E359,1,FALSE()))),"OLD",IF(AND(E360&lt;&gt;"",E360&lt;&gt;"!!!"),"NEW","")))</f>
        <v>OLD</v>
      </c>
      <c r="G360" s="12" t="s">
        <v>58</v>
      </c>
      <c r="H360" s="13" t="str">
        <f aca="false">IF(J360&lt;&gt;1,"",IF(I360="SBJ","CB","?"))</f>
        <v/>
      </c>
      <c r="I360" s="14" t="str">
        <f aca="false">IF(OR(E360="",E360="!!!",F360="NEW"),"",INDEX(B359:B$2,-1+SUMPRODUCT(MAX(ROW(E359:E$2)*(E360=E359:E$2)))))</f>
        <v>SBJ</v>
      </c>
      <c r="J360" s="15" t="n">
        <f aca="true">IF(OR(E360="",E360="!!!",F360="NEW"),"",COUNTBLANK(OFFSET(A$1,,,SUMPRODUCT(MAX(ROW(E$2:E360)*(E360=E$2:E360)))))-COUNTBLANK(OFFSET(A$1,,,SUMPRODUCT(MAX(ROW(E$1:E359)*(E360=E$1:E359))))))</f>
        <v>0</v>
      </c>
      <c r="K360" s="15" t="n">
        <f aca="false">IF(OR(E360="",E360="!!!",F360="NEW"),"",INDEX(J$1:J359,SUMPRODUCT(MAX(ROW(E$1:E359)*(E360=E$1:E359)))))</f>
        <v>0</v>
      </c>
      <c r="L360" s="16"/>
    </row>
    <row r="361" customFormat="false" ht="12.8" hidden="false" customHeight="false" outlineLevel="0" collapsed="false">
      <c r="A361" s="0" t="s">
        <v>274</v>
      </c>
      <c r="B361" s="0" t="s">
        <v>105</v>
      </c>
      <c r="C361" s="0" t="s">
        <v>106</v>
      </c>
      <c r="D361" s="0" t="s">
        <v>20</v>
      </c>
      <c r="E361" s="10" t="s">
        <v>191</v>
      </c>
      <c r="F361" s="11" t="str">
        <f aca="false">IF(OR(E361="",E361="!!!"),"",IF(NOT(ISNA(VLOOKUP(E361,E$1:E360,1,FALSE()))),"OLD",IF(AND(E361&lt;&gt;"",E361&lt;&gt;"!!!"),"NEW","")))</f>
        <v>OLD</v>
      </c>
      <c r="G361" s="12" t="s">
        <v>85</v>
      </c>
      <c r="H361" s="13" t="str">
        <f aca="false">IF(J361&lt;&gt;1,"",IF(I361="SBJ","CB","?"))</f>
        <v/>
      </c>
      <c r="I361" s="14" t="str">
        <f aca="false">IF(OR(E361="",E361="!!!",F361="NEW"),"",INDEX(B360:B$2,-1+SUMPRODUCT(MAX(ROW(E360:E$2)*(E361=E360:E$2)))))</f>
        <v>OBJ_2</v>
      </c>
      <c r="J361" s="15" t="n">
        <f aca="true">IF(OR(E361="",E361="!!!",F361="NEW"),"",COUNTBLANK(OFFSET(A$1,,,SUMPRODUCT(MAX(ROW(E$2:E361)*(E361=E$2:E361)))))-COUNTBLANK(OFFSET(A$1,,,SUMPRODUCT(MAX(ROW(E$1:E360)*(E361=E$1:E360))))))</f>
        <v>7</v>
      </c>
      <c r="K361" s="15" t="str">
        <f aca="false">IF(OR(E361="",E361="!!!",F361="NEW"),"",INDEX(J$1:J360,SUMPRODUCT(MAX(ROW(E$1:E360)*(E361=E$1:E360)))))</f>
        <v/>
      </c>
      <c r="L361" s="16" t="s">
        <v>275</v>
      </c>
    </row>
    <row r="362" customFormat="false" ht="12.8" hidden="false" customHeight="false" outlineLevel="0" collapsed="false">
      <c r="A362" s="0" t="s">
        <v>46</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IF(OR(E362="",E362="!!!",F362="NEW"),"",INDEX(B361:B$2,-1+SUMPRODUCT(MAX(ROW(E361:E$2)*(E362=E361:E$2)))))</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8" hidden="false" customHeight="false" outlineLevel="0" collapsed="false">
      <c r="A363" s="0" t="s">
        <v>40</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IF(OR(E363="",E363="!!!",F363="NEW"),"",INDEX(B362:B$2,-1+SUMPRODUCT(MAX(ROW(E362:E$2)*(E363=E362:E$2)))))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8" hidden="false" customHeight="false" outlineLevel="0" collapsed="false">
      <c r="A364" s="0" t="s">
        <v>131</v>
      </c>
      <c r="B364" s="0" t="s">
        <v>89</v>
      </c>
      <c r="C364" s="0" t="s">
        <v>251</v>
      </c>
      <c r="D364" s="0" t="s">
        <v>20</v>
      </c>
      <c r="E364" s="10" t="s">
        <v>189</v>
      </c>
      <c r="F364" s="11" t="str">
        <f aca="false">IF(OR(E364="",E364="!!!"),"",IF(NOT(ISNA(VLOOKUP(E364,E$1:E363,1,FALSE()))),"OLD",IF(AND(E364&lt;&gt;"",E364&lt;&gt;"!!!"),"NEW","")))</f>
        <v>OLD</v>
      </c>
      <c r="G364" s="12" t="s">
        <v>58</v>
      </c>
      <c r="H364" s="13" t="str">
        <f aca="false">IF(J364&lt;&gt;1,"",IF(I364="SBJ","CB","?"))</f>
        <v/>
      </c>
      <c r="I364" s="14" t="n">
        <f aca="false">IF(OR(E364="",E364="!!!",F364="NEW"),"",INDEX(B363:B$2,-1+SUMPRODUCT(MAX(ROW(E363:E$2)*(E364=E363:E$2)))))</f>
        <v>0</v>
      </c>
      <c r="J364" s="15" t="n">
        <f aca="true">IF(OR(E364="",E364="!!!",F364="NEW"),"",COUNTBLANK(OFFSET(A$1,,,SUMPRODUCT(MAX(ROW(E$2:E364)*(E364=E$2:E364)))))-COUNTBLANK(OFFSET(A$1,,,SUMPRODUCT(MAX(ROW(E$1:E363)*(E364=E$1:E363))))))</f>
        <v>0</v>
      </c>
      <c r="K364" s="15" t="n">
        <f aca="false">IF(OR(E364="",E364="!!!",F364="NEW"),"",INDEX(J$1:J363,SUMPRODUCT(MAX(ROW(E$1:E363)*(E364=E$1:E363)))))</f>
        <v>7</v>
      </c>
      <c r="L364" s="16"/>
    </row>
    <row r="365" customFormat="false" ht="12.8" hidden="false" customHeight="false" outlineLevel="0" collapsed="false">
      <c r="A365" s="0" t="s">
        <v>73</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IF(OR(E365="",E365="!!!",F365="NEW"),"",INDEX(B364:B$2,-1+SUMPRODUCT(MAX(ROW(E364:E$2)*(E365=E364:E$2)))))</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8" hidden="false" customHeight="false" outlineLevel="0" collapsed="false">
      <c r="A366" s="0" t="s">
        <v>276</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IF(OR(E366="",E366="!!!",F366="NEW"),"",INDEX(B365:B$2,-1+SUMPRODUCT(MAX(ROW(E365:E$2)*(E366=E365:E$2)))))</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8" hidden="false" customHeight="false" outlineLevel="0" collapsed="false">
      <c r="A367" s="0" t="s">
        <v>277</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IF(OR(E367="",E367="!!!",F367="NEW"),"",INDEX(B366:B$2,-1+SUMPRODUCT(MAX(ROW(E366:E$2)*(E367=E366:E$2)))))</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8" hidden="false" customHeight="false" outlineLevel="0" collapsed="false">
      <c r="A368" s="0" t="s">
        <v>278</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IF(OR(E368="",E368="!!!",F368="NEW"),"",INDEX(B367:B$2,-1+SUMPRODUCT(MAX(ROW(E367:E$2)*(E368=E367:E$2)))))</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8" hidden="false" customHeight="false" outlineLevel="0" collapsed="false">
      <c r="A369" s="0" t="s">
        <v>42</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IF(OR(E369="",E369="!!!",F369="NEW"),"",INDEX(B368:B$2,-1+SUMPRODUCT(MAX(ROW(E368:E$2)*(E369=E368:E$2)))))</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8" hidden="false" customHeight="false" outlineLevel="0" collapsed="false">
      <c r="A370" s="0" t="s">
        <v>279</v>
      </c>
      <c r="B370" s="0" t="s">
        <v>55</v>
      </c>
      <c r="C370" s="0" t="s">
        <v>103</v>
      </c>
      <c r="D370" s="0" t="s">
        <v>20</v>
      </c>
      <c r="E370" s="10" t="s">
        <v>280</v>
      </c>
      <c r="F370" s="11" t="s">
        <v>36</v>
      </c>
      <c r="G370" s="12" t="s">
        <v>85</v>
      </c>
      <c r="H370" s="13"/>
      <c r="I370" s="14" t="e">
        <f aca="false">IF(OR(E370="",E370="!!!",F370="NEW"),"",INDEX(B369:B$2,-1+SUMPRODUCT(MAX(ROW(E369:E$2)*(E370=E369:E$2)))))</f>
        <v>#VALUE!</v>
      </c>
      <c r="J370" s="15" t="e">
        <f aca="true">IF(OR(E370="",E370="!!!",F370="NEW"),"",COUNTBLANK(OFFSET(A$1,,,SUMPRODUCT(MAX(ROW(E$2:E370)*(E370=E$2:E370)))))-COUNTBLANK(OFFSET(A$1,,,SUMPRODUCT(MAX(ROW(E$1:E369)*(E370=E$1:E369))))))</f>
        <v>#VALUE!</v>
      </c>
      <c r="K370" s="15" t="e">
        <f aca="false">IF(OR(E370="",E370="!!!",F370="NEW"),"",INDEX(J$1:J369,SUMPRODUCT(MAX(ROW(E$1:E369)*(E370=E$1:E369)))))</f>
        <v>#VALUE!</v>
      </c>
      <c r="L370" s="16"/>
    </row>
    <row r="371" customFormat="false" ht="12.8" hidden="false" customHeight="false" outlineLevel="0" collapsed="false">
      <c r="A371" s="0" t="s">
        <v>281</v>
      </c>
      <c r="B371" s="0" t="s">
        <v>29</v>
      </c>
      <c r="C371" s="0" t="s">
        <v>106</v>
      </c>
      <c r="D371" s="0" t="s">
        <v>20</v>
      </c>
      <c r="E371" s="10" t="s">
        <v>282</v>
      </c>
      <c r="F371" s="11" t="s">
        <v>36</v>
      </c>
      <c r="G371" s="12" t="s">
        <v>85</v>
      </c>
      <c r="H371" s="13"/>
      <c r="I371" s="14" t="e">
        <f aca="false">IF(OR(E371="",E371="!!!",F371="NEW"),"",INDEX(B370:B$2,-1+SUMPRODUCT(MAX(ROW(E370:E$2)*(E371=E370:E$2)))))</f>
        <v>#VALUE!</v>
      </c>
      <c r="J371" s="15" t="e">
        <f aca="true">IF(OR(E371="",E371="!!!",F371="NEW"),"",COUNTBLANK(OFFSET(A$1,,,SUMPRODUCT(MAX(ROW(E$2:E371)*(E371=E$2:E371)))))-COUNTBLANK(OFFSET(A$1,,,SUMPRODUCT(MAX(ROW(E$1:E370)*(E371=E$1:E370))))))</f>
        <v>#VALUE!</v>
      </c>
      <c r="K371" s="15" t="e">
        <f aca="false">IF(OR(E371="",E371="!!!",F371="NEW"),"",INDEX(J$1:J370,SUMPRODUCT(MAX(ROW(E$1:E370)*(E371=E$1:E370)))))</f>
        <v>#VALUE!</v>
      </c>
      <c r="L371" s="16"/>
    </row>
    <row r="372" customFormat="false" ht="12.8" hidden="false" customHeight="false" outlineLevel="0" collapsed="false">
      <c r="A372" s="0" t="s">
        <v>69</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IF(OR(E372="",E372="!!!",F372="NEW"),"",INDEX(B371:B$2,-1+SUMPRODUCT(MAX(ROW(E371:E$2)*(E372=E371:E$2)))))</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8" hidden="false" customHeight="false" outlineLevel="0" collapsed="false">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IF(OR(E373="",E373="!!!",F373="NEW"),"",INDEX(B372:B$2,-1+SUMPRODUCT(MAX(ROW(E372:E$2)*(E373=E372:E$2)))))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8" hidden="false" customHeight="false" outlineLevel="0" collapsed="false">
      <c r="A374" s="0" t="s">
        <v>283</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IF(OR(E374="",E374="!!!",F374="NEW"),"",INDEX(B373:B$2,-1+SUMPRODUCT(MAX(ROW(E373:E$2)*(E374=E373:E$2)))))</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8" hidden="false" customHeight="false" outlineLevel="0" collapsed="false">
      <c r="A375" s="0" t="s">
        <v>284</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IF(OR(E375="",E375="!!!",F375="NEW"),"",INDEX(B374:B$2,-1+SUMPRODUCT(MAX(ROW(E374:E$2)*(E375=E374:E$2)))))</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8" hidden="false" customHeight="false" outlineLevel="0" collapsed="false">
      <c r="A376" s="0" t="s">
        <v>285</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IF(OR(E376="",E376="!!!",F376="NEW"),"",INDEX(B375:B$2,-1+SUMPRODUCT(MAX(ROW(E375:E$2)*(E376=E375:E$2)))))</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8" hidden="false" customHeight="false" outlineLevel="0" collapsed="false">
      <c r="A377" s="0" t="s">
        <v>124</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IF(OR(E377="",E377="!!!",F377="NEW"),"",INDEX(B376:B$2,-1+SUMPRODUCT(MAX(ROW(E376:E$2)*(E377=E376:E$2)))))</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8" hidden="false" customHeight="false" outlineLevel="0" collapsed="false">
      <c r="A378" s="0" t="s">
        <v>286</v>
      </c>
      <c r="B378" s="0" t="s">
        <v>14</v>
      </c>
      <c r="C378" s="0" t="s">
        <v>15</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IF(OR(E378="",E378="!!!",F378="NEW"),"",INDEX(B377:B$2,-1+SUMPRODUCT(MAX(ROW(E377:E$2)*(E378=E377:E$2)))))</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8" hidden="false" customHeight="false" outlineLevel="0" collapsed="false">
      <c r="A379" s="0" t="s">
        <v>46</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IF(OR(E379="",E379="!!!",F379="NEW"),"",INDEX(B378:B$2,-1+SUMPRODUCT(MAX(ROW(E378:E$2)*(E379=E378:E$2)))))</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8" hidden="false" customHeight="false" outlineLevel="0" collapsed="false">
      <c r="A380" s="0" t="s">
        <v>86</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IF(OR(E380="",E380="!!!",F380="NEW"),"",INDEX(B379:B$2,-1+SUMPRODUCT(MAX(ROW(E379:E$2)*(E380=E379:E$2)))))</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8" hidden="false" customHeight="false" outlineLevel="0" collapsed="false">
      <c r="A381" s="0" t="s">
        <v>32</v>
      </c>
      <c r="B381" s="0" t="s">
        <v>132</v>
      </c>
      <c r="C381" s="0" t="s">
        <v>34</v>
      </c>
      <c r="D381" s="0" t="s">
        <v>20</v>
      </c>
      <c r="E381" s="10" t="s">
        <v>35</v>
      </c>
      <c r="F381" s="11" t="str">
        <f aca="false">IF(OR(E381="",E381="!!!"),"",IF(NOT(ISNA(VLOOKUP(E381,E$1:E380,1,FALSE()))),"OLD",IF(AND(E381&lt;&gt;"",E381&lt;&gt;"!!!"),"NEW","")))</f>
        <v>OLD</v>
      </c>
      <c r="G381" s="12" t="s">
        <v>85</v>
      </c>
      <c r="H381" s="13" t="str">
        <f aca="false">IF(J381&lt;&gt;1,"",IF(I381="SBJ","CB","?"))</f>
        <v/>
      </c>
      <c r="I381" s="14" t="str">
        <f aca="false">IF(OR(E381="",E381="!!!",F381="NEW"),"",INDEX(B380:B$2,-1+SUMPRODUCT(MAX(ROW(E380:E$2)*(E381=E380:E$2)))))</f>
        <v>SBJ</v>
      </c>
      <c r="J381" s="15" t="n">
        <f aca="true">IF(OR(E381="",E381="!!!",F381="NEW"),"",COUNTBLANK(OFFSET(A$1,,,SUMPRODUCT(MAX(ROW(E$2:E381)*(E381=E$2:E381)))))-COUNTBLANK(OFFSET(A$1,,,SUMPRODUCT(MAX(ROW(E$1:E380)*(E381=E$1:E380))))))</f>
        <v>7</v>
      </c>
      <c r="K381" s="15" t="n">
        <f aca="false">IF(OR(E381="",E381="!!!",F381="NEW"),"",INDEX(J$1:J380,SUMPRODUCT(MAX(ROW(E$1:E380)*(E381=E$1:E380)))))</f>
        <v>1</v>
      </c>
      <c r="L381" s="16"/>
    </row>
    <row r="382" customFormat="false" ht="12.8" hidden="false" customHeight="false" outlineLevel="0" collapsed="false">
      <c r="A382" s="0" t="s">
        <v>287</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IF(OR(E382="",E382="!!!",F382="NEW"),"",INDEX(B381:B$2,-1+SUMPRODUCT(MAX(ROW(E381:E$2)*(E382=E381:E$2)))))</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8" hidden="false" customHeight="false" outlineLevel="0" collapsed="false">
      <c r="A383" s="0" t="s">
        <v>288</v>
      </c>
      <c r="B383" s="0" t="s">
        <v>136</v>
      </c>
      <c r="C383" s="0" t="s">
        <v>19</v>
      </c>
      <c r="D383" s="0" t="s">
        <v>20</v>
      </c>
      <c r="E383" s="10" t="s">
        <v>289</v>
      </c>
      <c r="F383" s="11" t="str">
        <f aca="false">IF(OR(E383="",E383="!!!"),"",IF(NOT(ISNA(VLOOKUP(E383,E$1:E382,1,FALSE()))),"OLD",IF(AND(E383&lt;&gt;"",E383&lt;&gt;"!!!"),"NEW","")))</f>
        <v>NEW</v>
      </c>
      <c r="G383" s="12" t="s">
        <v>37</v>
      </c>
      <c r="H383" s="13" t="str">
        <f aca="false">IF(J383&lt;&gt;1,"",IF(I383="SBJ","CB","?"))</f>
        <v/>
      </c>
      <c r="I383" s="14" t="str">
        <f aca="false">IF(OR(E383="",E383="!!!",F383="NEW"),"",INDEX(B382:B$2,-1+SUMPRODUCT(MAX(ROW(E382:E$2)*(E383=E382:E$2)))))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8" hidden="false" customHeight="false" outlineLevel="0" collapsed="false">
      <c r="A384" s="0" t="s">
        <v>290</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IF(OR(E384="",E384="!!!",F384="NEW"),"",INDEX(B383:B$2,-1+SUMPRODUCT(MAX(ROW(E383:E$2)*(E384=E383:E$2)))))</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8" hidden="false" customHeight="false" outlineLevel="0" collapsed="false">
      <c r="A385" s="0" t="s">
        <v>291</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IF(OR(E385="",E385="!!!",F385="NEW"),"",INDEX(B384:B$2,-1+SUMPRODUCT(MAX(ROW(E384:E$2)*(E385=E384:E$2)))))</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8" hidden="false" customHeight="false" outlineLevel="0" collapsed="false">
      <c r="A386" s="0" t="s">
        <v>122</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IF(OR(E386="",E386="!!!",F386="NEW"),"",INDEX(B385:B$2,-1+SUMPRODUCT(MAX(ROW(E385:E$2)*(E386=E385:E$2)))))</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8" hidden="false" customHeight="false" outlineLevel="0" collapsed="false">
      <c r="A387" s="0" t="s">
        <v>292</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IF(OR(E387="",E387="!!!",F387="NEW"),"",INDEX(B386:B$2,-1+SUMPRODUCT(MAX(ROW(E386:E$2)*(E387=E386:E$2)))))</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8" hidden="false" customHeight="false" outlineLevel="0" collapsed="false">
      <c r="A388" s="0" t="s">
        <v>40</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IF(OR(E388="",E388="!!!",F388="NEW"),"",INDEX(B387:B$2,-1+SUMPRODUCT(MAX(ROW(E387:E$2)*(E388=E387:E$2)))))</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8" hidden="false" customHeight="false" outlineLevel="0" collapsed="false">
      <c r="A389" s="0" t="s">
        <v>47</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IF(OR(E389="",E389="!!!",F389="NEW"),"",INDEX(B388:B$2,-1+SUMPRODUCT(MAX(ROW(E388:E$2)*(E389=E388:E$2)))))</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8" hidden="false" customHeight="false" outlineLevel="0" collapsed="false">
      <c r="A390" s="0" t="s">
        <v>293</v>
      </c>
      <c r="B390" s="0" t="s">
        <v>151</v>
      </c>
      <c r="C390" s="0" t="s">
        <v>52</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IF(OR(E390="",E390="!!!",F390="NEW"),"",INDEX(B389:B$2,-1+SUMPRODUCT(MAX(ROW(E389:E$2)*(E390=E389:E$2)))))</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8" hidden="false" customHeight="false" outlineLevel="0" collapsed="false">
      <c r="A391" s="0" t="s">
        <v>230</v>
      </c>
      <c r="B391" s="0" t="s">
        <v>63</v>
      </c>
      <c r="C391" s="0" t="s">
        <v>15</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IF(OR(E391="",E391="!!!",F391="NEW"),"",INDEX(B390:B$2,-1+SUMPRODUCT(MAX(ROW(E390:E$2)*(E391=E390:E$2)))))</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8" hidden="false" customHeight="false" outlineLevel="0" collapsed="false">
      <c r="A392" s="0" t="s">
        <v>294</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IF(OR(E392="",E392="!!!",F392="NEW"),"",INDEX(B391:B$2,-1+SUMPRODUCT(MAX(ROW(E391:E$2)*(E392=E391:E$2)))))</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8" hidden="false" customHeight="false" outlineLevel="0" collapsed="false">
      <c r="A393" s="0" t="s">
        <v>46</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IF(OR(E393="",E393="!!!",F393="NEW"),"",INDEX(B392:B$2,-1+SUMPRODUCT(MAX(ROW(E392:E$2)*(E393=E392:E$2)))))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8" hidden="false" customHeight="false" outlineLevel="0" collapsed="false">
      <c r="A394" s="0" t="s">
        <v>40</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IF(OR(E394="",E394="!!!",F394="NEW"),"",INDEX(B393:B$2,-1+SUMPRODUCT(MAX(ROW(E393:E$2)*(E394=E393:E$2)))))</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8" hidden="false" customHeight="false" outlineLevel="0" collapsed="false">
      <c r="A395" s="0" t="s">
        <v>295</v>
      </c>
      <c r="B395" s="0" t="s">
        <v>132</v>
      </c>
      <c r="C395" s="0" t="s">
        <v>34</v>
      </c>
      <c r="D395" s="0" t="s">
        <v>20</v>
      </c>
      <c r="E395" s="10" t="s">
        <v>289</v>
      </c>
      <c r="F395" s="11" t="str">
        <f aca="false">IF(OR(E395="",E395="!!!"),"",IF(NOT(ISNA(VLOOKUP(E395,E$1:E394,1,FALSE()))),"OLD",IF(AND(E395&lt;&gt;"",E395&lt;&gt;"!!!"),"NEW","")))</f>
        <v>OLD</v>
      </c>
      <c r="G395" s="12" t="s">
        <v>58</v>
      </c>
      <c r="H395" s="13" t="str">
        <f aca="false">IF(J395&lt;&gt;1,"",IF(I395="SBJ","CB","?"))</f>
        <v/>
      </c>
      <c r="I395" s="14" t="str">
        <f aca="false">IF(OR(E395="",E395="!!!",F395="NEW"),"",INDEX(B394:B$2,-1+SUMPRODUCT(MAX(ROW(E394:E$2)*(E395=E394:E$2)))))</f>
        <v>OBJ_3</v>
      </c>
      <c r="J395" s="15" t="n">
        <f aca="true">IF(OR(E395="",E395="!!!",F395="NEW"),"",COUNTBLANK(OFFSET(A$1,,,SUMPRODUCT(MAX(ROW(E$2:E395)*(E395=E$2:E395)))))-COUNTBLANK(OFFSET(A$1,,,SUMPRODUCT(MAX(ROW(E$1:E394)*(E395=E$1:E394))))))</f>
        <v>0</v>
      </c>
      <c r="K395" s="15" t="str">
        <f aca="false">IF(OR(E395="",E395="!!!",F395="NEW"),"",INDEX(J$1:J394,SUMPRODUCT(MAX(ROW(E$1:E394)*(E395=E$1:E394)))))</f>
        <v/>
      </c>
      <c r="L395" s="16"/>
    </row>
    <row r="396" customFormat="false" ht="12.8" hidden="false" customHeight="false" outlineLevel="0" collapsed="false">
      <c r="A396" s="0" t="s">
        <v>296</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IF(OR(E396="",E396="!!!",F396="NEW"),"",INDEX(B395:B$2,-1+SUMPRODUCT(MAX(ROW(E395:E$2)*(E396=E395:E$2)))))</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8" hidden="false" customHeight="false" outlineLevel="0" collapsed="false">
      <c r="A397" s="0" t="s">
        <v>184</v>
      </c>
      <c r="B397" s="0" t="s">
        <v>136</v>
      </c>
      <c r="C397" s="0" t="s">
        <v>34</v>
      </c>
      <c r="D397" s="0" t="s">
        <v>20</v>
      </c>
      <c r="E397" s="10" t="s">
        <v>35</v>
      </c>
      <c r="F397" s="11" t="str">
        <f aca="false">IF(OR(E397="",E397="!!!"),"",IF(NOT(ISNA(VLOOKUP(E397,E$1:E396,1,FALSE()))),"OLD",IF(AND(E397&lt;&gt;"",E397&lt;&gt;"!!!"),"NEW","")))</f>
        <v>OLD</v>
      </c>
      <c r="G397" s="12" t="s">
        <v>58</v>
      </c>
      <c r="H397" s="13" t="str">
        <f aca="false">IF(J397&lt;&gt;1,"",IF(I397="SBJ","CB","?"))</f>
        <v/>
      </c>
      <c r="I397" s="14" t="str">
        <f aca="false">IF(OR(E397="",E397="!!!",F397="NEW"),"",INDEX(B396:B$2,-1+SUMPRODUCT(MAX(ROW(E396:E$2)*(E397=E396:E$2)))))</f>
        <v>SBJ_3</v>
      </c>
      <c r="J397" s="15" t="n">
        <f aca="true">IF(OR(E397="",E397="!!!",F397="NEW"),"",COUNTBLANK(OFFSET(A$1,,,SUMPRODUCT(MAX(ROW(E$2:E397)*(E397=E$2:E397)))))-COUNTBLANK(OFFSET(A$1,,,SUMPRODUCT(MAX(ROW(E$1:E396)*(E397=E$1:E396))))))</f>
        <v>0</v>
      </c>
      <c r="K397" s="15" t="n">
        <f aca="false">IF(OR(E397="",E397="!!!",F397="NEW"),"",INDEX(J$1:J396,SUMPRODUCT(MAX(ROW(E$1:E396)*(E397=E$1:E396)))))</f>
        <v>7</v>
      </c>
      <c r="L397" s="16"/>
    </row>
    <row r="398" customFormat="false" ht="12.8" hidden="false" customHeight="false" outlineLevel="0" collapsed="false">
      <c r="A398" s="0" t="s">
        <v>235</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IF(OR(E398="",E398="!!!",F398="NEW"),"",INDEX(B397:B$2,-1+SUMPRODUCT(MAX(ROW(E397:E$2)*(E398=E397:E$2)))))</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8" hidden="false" customHeight="false" outlineLevel="0" collapsed="false">
      <c r="A399" s="0" t="s">
        <v>32</v>
      </c>
      <c r="B399" s="0" t="s">
        <v>169</v>
      </c>
      <c r="C399" s="0" t="s">
        <v>34</v>
      </c>
      <c r="D399" s="0" t="s">
        <v>20</v>
      </c>
      <c r="E399" s="10" t="s">
        <v>35</v>
      </c>
      <c r="F399" s="11" t="str">
        <f aca="false">IF(OR(E399="",E399="!!!"),"",IF(NOT(ISNA(VLOOKUP(E399,E$1:E398,1,FALSE()))),"OLD",IF(AND(E399&lt;&gt;"",E399&lt;&gt;"!!!"),"NEW","")))</f>
        <v>OLD</v>
      </c>
      <c r="G399" s="12" t="s">
        <v>58</v>
      </c>
      <c r="H399" s="13" t="str">
        <f aca="false">IF(J399&lt;&gt;1,"",IF(I399="SBJ","CB","?"))</f>
        <v/>
      </c>
      <c r="I399" s="14" t="str">
        <f aca="false">IF(OR(E399="",E399="!!!",F399="NEW"),"",INDEX(B398:B$2,-1+SUMPRODUCT(MAX(ROW(E398:E$2)*(E399=E398:E$2)))))</f>
        <v>OBJ_3</v>
      </c>
      <c r="J399" s="15" t="n">
        <f aca="true">IF(OR(E399="",E399="!!!",F399="NEW"),"",COUNTBLANK(OFFSET(A$1,,,SUMPRODUCT(MAX(ROW(E$2:E399)*(E399=E$2:E399)))))-COUNTBLANK(OFFSET(A$1,,,SUMPRODUCT(MAX(ROW(E$1:E398)*(E399=E$1:E398))))))</f>
        <v>0</v>
      </c>
      <c r="K399" s="15" t="n">
        <f aca="false">IF(OR(E399="",E399="!!!",F399="NEW"),"",INDEX(J$1:J398,SUMPRODUCT(MAX(ROW(E$1:E398)*(E399=E$1:E398)))))</f>
        <v>0</v>
      </c>
      <c r="L399" s="16"/>
    </row>
    <row r="400" customFormat="false" ht="12.8" hidden="false" customHeight="false" outlineLevel="0" collapsed="false">
      <c r="A400" s="0" t="s">
        <v>174</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IF(OR(E400="",E400="!!!",F400="NEW"),"",INDEX(B399:B$2,-1+SUMPRODUCT(MAX(ROW(E399:E$2)*(E400=E399:E$2)))))</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8" hidden="false" customHeight="false" outlineLevel="0" collapsed="false">
      <c r="A401" s="0" t="s">
        <v>266</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IF(OR(E401="",E401="!!!",F401="NEW"),"",INDEX(B400:B$2,-1+SUMPRODUCT(MAX(ROW(E400:E$2)*(E401=E400:E$2)))))</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8" hidden="false" customHeight="false" outlineLevel="0" collapsed="false">
      <c r="A402" s="0" t="s">
        <v>140</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IF(OR(E402="",E402="!!!",F402="NEW"),"",INDEX(B401:B$2,-1+SUMPRODUCT(MAX(ROW(E401:E$2)*(E402=E401:E$2)))))</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8" hidden="false" customHeight="false" outlineLevel="0" collapsed="false">
      <c r="A403" s="0" t="s">
        <v>297</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IF(OR(E403="",E403="!!!",F403="NEW"),"",INDEX(B402:B$2,-1+SUMPRODUCT(MAX(ROW(E402:E$2)*(E403=E402:E$2)))))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8" hidden="false" customHeight="false" outlineLevel="0" collapsed="false">
      <c r="A404" s="0" t="s">
        <v>112</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IF(OR(E404="",E404="!!!",F404="NEW"),"",INDEX(B403:B$2,-1+SUMPRODUCT(MAX(ROW(E403:E$2)*(E404=E403:E$2)))))</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8" hidden="false" customHeight="false" outlineLevel="0" collapsed="false">
      <c r="A405" s="0" t="s">
        <v>24</v>
      </c>
      <c r="B405" s="0" t="s">
        <v>185</v>
      </c>
      <c r="C405" s="0" t="s">
        <v>114</v>
      </c>
      <c r="D405" s="0" t="s">
        <v>20</v>
      </c>
      <c r="E405" s="10" t="s">
        <v>189</v>
      </c>
      <c r="F405" s="11" t="str">
        <f aca="false">IF(OR(E405="",E405="!!!"),"",IF(NOT(ISNA(VLOOKUP(E405,E$1:E404,1,FALSE()))),"OLD",IF(AND(E405&lt;&gt;"",E405&lt;&gt;"!!!"),"NEW","")))</f>
        <v>OLD</v>
      </c>
      <c r="G405" s="12" t="s">
        <v>72</v>
      </c>
      <c r="H405" s="13" t="s">
        <v>7</v>
      </c>
      <c r="I405" s="14" t="str">
        <f aca="false">IF(OR(E405="",E405="!!!",F405="NEW"),"",INDEX(B404:B$2,-1+SUMPRODUCT(MAX(ROW(E404:E$2)*(E405=E404:E$2)))))</f>
        <v>SBJ_2</v>
      </c>
      <c r="J405" s="15" t="n">
        <f aca="true">IF(OR(E405="",E405="!!!",F405="NEW"),"",COUNTBLANK(OFFSET(A$1,,,SUMPRODUCT(MAX(ROW(E$2:E405)*(E405=E$2:E405)))))-COUNTBLANK(OFFSET(A$1,,,SUMPRODUCT(MAX(ROW(E$1:E404)*(E405=E$1:E404))))))</f>
        <v>1</v>
      </c>
      <c r="K405" s="15" t="n">
        <f aca="false">IF(OR(E405="",E405="!!!",F405="NEW"),"",INDEX(J$1:J404,SUMPRODUCT(MAX(ROW(E$1:E404)*(E405=E$1:E404)))))</f>
        <v>0</v>
      </c>
      <c r="L405" s="16"/>
    </row>
    <row r="406" customFormat="false" ht="12.8" hidden="false" customHeight="false" outlineLevel="0" collapsed="false">
      <c r="A406" s="0" t="s">
        <v>46</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IF(OR(E406="",E406="!!!",F406="NEW"),"",INDEX(B405:B$2,-1+SUMPRODUCT(MAX(ROW(E405:E$2)*(E406=E405:E$2)))))</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8" hidden="false" customHeight="false" outlineLevel="0" collapsed="false">
      <c r="A407" s="0" t="s">
        <v>32</v>
      </c>
      <c r="B407" s="0" t="s">
        <v>33</v>
      </c>
      <c r="C407" s="0" t="s">
        <v>34</v>
      </c>
      <c r="D407" s="0" t="s">
        <v>20</v>
      </c>
      <c r="E407" s="10" t="s">
        <v>35</v>
      </c>
      <c r="F407" s="11" t="str">
        <f aca="false">IF(OR(E407="",E407="!!!"),"",IF(NOT(ISNA(VLOOKUP(E407,E$1:E406,1,FALSE()))),"OLD",IF(AND(E407&lt;&gt;"",E407&lt;&gt;"!!!"),"NEW","")))</f>
        <v>OLD</v>
      </c>
      <c r="G407" s="12" t="s">
        <v>58</v>
      </c>
      <c r="H407" s="13" t="str">
        <f aca="false">IF(J407&lt;&gt;1,"",IF(I407="SBJ","CB","?"))</f>
        <v/>
      </c>
      <c r="I407" s="14" t="str">
        <f aca="false">IF(OR(E407="",E407="!!!",F407="NEW"),"",INDEX(B406:B$2,-1+SUMPRODUCT(MAX(ROW(E406:E$2)*(E407=E406:E$2)))))</f>
        <v>SBJ_4</v>
      </c>
      <c r="J407" s="15" t="n">
        <f aca="true">IF(OR(E407="",E407="!!!",F407="NEW"),"",COUNTBLANK(OFFSET(A$1,,,SUMPRODUCT(MAX(ROW(E$2:E407)*(E407=E$2:E407)))))-COUNTBLANK(OFFSET(A$1,,,SUMPRODUCT(MAX(ROW(E$1:E406)*(E407=E$1:E406))))))</f>
        <v>0</v>
      </c>
      <c r="K407" s="15" t="n">
        <f aca="false">IF(OR(E407="",E407="!!!",F407="NEW"),"",INDEX(J$1:J406,SUMPRODUCT(MAX(ROW(E$1:E406)*(E407=E$1:E406)))))</f>
        <v>0</v>
      </c>
      <c r="L407" s="16"/>
    </row>
    <row r="408" customFormat="false" ht="12.8" hidden="false" customHeight="false" outlineLevel="0" collapsed="false">
      <c r="A408" s="0" t="s">
        <v>298</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IF(OR(E408="",E408="!!!",F408="NEW"),"",INDEX(B407:B$2,-1+SUMPRODUCT(MAX(ROW(E407:E$2)*(E408=E407:E$2)))))</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8" hidden="false" customHeight="false" outlineLevel="0" collapsed="false">
      <c r="A409" s="0" t="s">
        <v>46</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IF(OR(E409="",E409="!!!",F409="NEW"),"",INDEX(B408:B$2,-1+SUMPRODUCT(MAX(ROW(E408:E$2)*(E409=E408:E$2)))))</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8" hidden="false" customHeight="false" outlineLevel="0" collapsed="false">
      <c r="A410" s="0" t="s">
        <v>299</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IF(OR(E410="",E410="!!!",F410="NEW"),"",INDEX(B409:B$2,-1+SUMPRODUCT(MAX(ROW(E409:E$2)*(E410=E409:E$2)))))</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8" hidden="false" customHeight="false" outlineLevel="0" collapsed="false">
      <c r="A411" s="0" t="s">
        <v>300</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IF(OR(E411="",E411="!!!",F411="NEW"),"",INDEX(B410:B$2,-1+SUMPRODUCT(MAX(ROW(E410:E$2)*(E411=E410:E$2)))))</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8" hidden="false" customHeight="false" outlineLevel="0" collapsed="false">
      <c r="A412" s="0" t="s">
        <v>46</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IF(OR(E412="",E412="!!!",F412="NEW"),"",INDEX(B411:B$2,-1+SUMPRODUCT(MAX(ROW(E411:E$2)*(E412=E411:E$2)))))</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8" hidden="false" customHeight="false" outlineLevel="0" collapsed="false">
      <c r="A413" s="0" t="s">
        <v>146</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IF(OR(E413="",E413="!!!",F413="NEW"),"",INDEX(B412:B$2,-1+SUMPRODUCT(MAX(ROW(E412:E$2)*(E413=E412:E$2)))))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8" hidden="false" customHeight="false" outlineLevel="0" collapsed="false">
      <c r="A414" s="0" t="s">
        <v>301</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IF(OR(E414="",E414="!!!",F414="NEW"),"",INDEX(B413:B$2,-1+SUMPRODUCT(MAX(ROW(E413:E$2)*(E414=E413:E$2)))))</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8" hidden="false" customHeight="false" outlineLevel="0" collapsed="false">
      <c r="A415" s="0" t="s">
        <v>46</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IF(OR(E415="",E415="!!!",F415="NEW"),"",INDEX(B414:B$2,-1+SUMPRODUCT(MAX(ROW(E414:E$2)*(E415=E414:E$2)))))</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8" hidden="false" customHeight="false" outlineLevel="0" collapsed="false">
      <c r="A416" s="0" t="s">
        <v>302</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IF(OR(E416="",E416="!!!",F416="NEW"),"",INDEX(B415:B$2,-1+SUMPRODUCT(MAX(ROW(E415:E$2)*(E416=E415:E$2)))))</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8" hidden="false" customHeight="false" outlineLevel="0" collapsed="false">
      <c r="A417" s="0" t="s">
        <v>32</v>
      </c>
      <c r="B417" s="0" t="s">
        <v>89</v>
      </c>
      <c r="C417" s="0" t="s">
        <v>34</v>
      </c>
      <c r="D417" s="0" t="s">
        <v>20</v>
      </c>
      <c r="E417" s="10" t="s">
        <v>35</v>
      </c>
      <c r="F417" s="11" t="str">
        <f aca="false">IF(OR(E417="",E417="!!!"),"",IF(NOT(ISNA(VLOOKUP(E417,E$1:E416,1,FALSE()))),"OLD",IF(AND(E417&lt;&gt;"",E417&lt;&gt;"!!!"),"NEW","")))</f>
        <v>OLD</v>
      </c>
      <c r="G417" s="12" t="s">
        <v>58</v>
      </c>
      <c r="H417" s="13" t="str">
        <f aca="false">IF(J417&lt;&gt;1,"",IF(I417="SBJ","CB","?"))</f>
        <v/>
      </c>
      <c r="I417" s="14" t="str">
        <f aca="false">IF(OR(E417="",E417="!!!",F417="NEW"),"",INDEX(B416:B$2,-1+SUMPRODUCT(MAX(ROW(E416:E$2)*(E417=E416:E$2)))))</f>
        <v>SBJ</v>
      </c>
      <c r="J417" s="15" t="n">
        <f aca="true">IF(OR(E417="",E417="!!!",F417="NEW"),"",COUNTBLANK(OFFSET(A$1,,,SUMPRODUCT(MAX(ROW(E$2:E417)*(E417=E$2:E417)))))-COUNTBLANK(OFFSET(A$1,,,SUMPRODUCT(MAX(ROW(E$1:E416)*(E417=E$1:E416))))))</f>
        <v>0</v>
      </c>
      <c r="K417" s="15" t="n">
        <f aca="false">IF(OR(E417="",E417="!!!",F417="NEW"),"",INDEX(J$1:J416,SUMPRODUCT(MAX(ROW(E$1:E416)*(E417=E$1:E416)))))</f>
        <v>0</v>
      </c>
      <c r="L417" s="16"/>
    </row>
    <row r="418" customFormat="false" ht="12.8" hidden="false" customHeight="false" outlineLevel="0" collapsed="false">
      <c r="A418" s="0" t="s">
        <v>133</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IF(OR(E418="",E418="!!!",F418="NEW"),"",INDEX(B417:B$2,-1+SUMPRODUCT(MAX(ROW(E417:E$2)*(E418=E417:E$2)))))</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8" hidden="false" customHeight="false" outlineLevel="0" collapsed="false">
      <c r="A419" s="0" t="s">
        <v>303</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IF(OR(E419="",E419="!!!",F419="NEW"),"",INDEX(B418:B$2,-1+SUMPRODUCT(MAX(ROW(E418:E$2)*(E419=E418:E$2)))))</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8" hidden="false" customHeight="false" outlineLevel="0" collapsed="false">
      <c r="A420" s="0" t="s">
        <v>140</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IF(OR(E420="",E420="!!!",F420="NEW"),"",INDEX(B419:B$2,-1+SUMPRODUCT(MAX(ROW(E419:E$2)*(E420=E419:E$2)))))</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8" hidden="false" customHeight="false" outlineLevel="0" collapsed="false">
      <c r="A421" s="0" t="s">
        <v>304</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IF(OR(E421="",E421="!!!",F421="NEW"),"",INDEX(B420:B$2,-1+SUMPRODUCT(MAX(ROW(E420:E$2)*(E421=E420:E$2)))))</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8" hidden="false" customHeight="false" outlineLevel="0" collapsed="false">
      <c r="A422" s="0" t="s">
        <v>224</v>
      </c>
      <c r="B422" s="0" t="s">
        <v>136</v>
      </c>
      <c r="C422" s="0" t="s">
        <v>34</v>
      </c>
      <c r="D422" s="0" t="s">
        <v>20</v>
      </c>
      <c r="E422" s="10" t="s">
        <v>189</v>
      </c>
      <c r="F422" s="11" t="str">
        <f aca="false">IF(OR(E422="",E422="!!!"),"",IF(NOT(ISNA(VLOOKUP(E422,E$1:E421,1,FALSE()))),"OLD",IF(AND(E422&lt;&gt;"",E422&lt;&gt;"!!!"),"NEW","")))</f>
        <v>OLD</v>
      </c>
      <c r="G422" s="12" t="s">
        <v>58</v>
      </c>
      <c r="H422" s="13" t="str">
        <f aca="false">IF(J422&lt;&gt;1,"",IF(I422="SBJ","CB","?"))</f>
        <v/>
      </c>
      <c r="I422" s="14" t="str">
        <f aca="false">IF(OR(E422="",E422="!!!",F422="NEW"),"",INDEX(B421:B$2,-1+SUMPRODUCT(MAX(ROW(E421:E$2)*(E422=E421:E$2)))))</f>
        <v>OBJ_5</v>
      </c>
      <c r="J422" s="15" t="n">
        <f aca="true">IF(OR(E422="",E422="!!!",F422="NEW"),"",COUNTBLANK(OFFSET(A$1,,,SUMPRODUCT(MAX(ROW(E$2:E422)*(E422=E$2:E422)))))-COUNTBLANK(OFFSET(A$1,,,SUMPRODUCT(MAX(ROW(E$1:E421)*(E422=E$1:E421))))))</f>
        <v>0</v>
      </c>
      <c r="K422" s="15" t="n">
        <f aca="false">IF(OR(E422="",E422="!!!",F422="NEW"),"",INDEX(J$1:J421,SUMPRODUCT(MAX(ROW(E$1:E421)*(E422=E$1:E421)))))</f>
        <v>1</v>
      </c>
      <c r="L422" s="16"/>
    </row>
    <row r="423" customFormat="false" ht="12.8" hidden="false" customHeight="false" outlineLevel="0" collapsed="false">
      <c r="A423" s="0" t="s">
        <v>198</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IF(OR(E423="",E423="!!!",F423="NEW"),"",INDEX(B422:B$2,-1+SUMPRODUCT(MAX(ROW(E422:E$2)*(E423=E422:E$2)))))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8" hidden="false" customHeight="false" outlineLevel="0" collapsed="false">
      <c r="A424" s="0" t="s">
        <v>69</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IF(OR(E424="",E424="!!!",F424="NEW"),"",INDEX(B423:B$2,-1+SUMPRODUCT(MAX(ROW(E423:E$2)*(E424=E423:E$2)))))</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8" hidden="false" customHeight="false" outlineLevel="0" collapsed="false">
      <c r="A425" s="0" t="s">
        <v>299</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IF(OR(E425="",E425="!!!",F425="NEW"),"",INDEX(B424:B$2,-1+SUMPRODUCT(MAX(ROW(E424:E$2)*(E425=E424:E$2)))))</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8" hidden="false" customHeight="false" outlineLevel="0" collapsed="false">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IF(OR(E426="",E426="!!!",F426="NEW"),"",INDEX(B425:B$2,-1+SUMPRODUCT(MAX(ROW(E425:E$2)*(E426=E425:E$2)))))</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8" hidden="false" customHeight="false" outlineLevel="0" collapsed="false">
      <c r="A427" s="0" t="s">
        <v>305</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IF(OR(E427="",E427="!!!",F427="NEW"),"",INDEX(B426:B$2,-1+SUMPRODUCT(MAX(ROW(E426:E$2)*(E427=E426:E$2)))))</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8" hidden="false" customHeight="false" outlineLevel="0" collapsed="false">
      <c r="A428" s="0" t="s">
        <v>306</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IF(OR(E428="",E428="!!!",F428="NEW"),"",INDEX(B427:B$2,-1+SUMPRODUCT(MAX(ROW(E427:E$2)*(E428=E427:E$2)))))</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8" hidden="false" customHeight="false" outlineLevel="0" collapsed="false">
      <c r="A429" s="0" t="s">
        <v>307</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IF(OR(E429="",E429="!!!",F429="NEW"),"",INDEX(B428:B$2,-1+SUMPRODUCT(MAX(ROW(E428:E$2)*(E429=E428:E$2)))))</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8" hidden="false" customHeight="false" outlineLevel="0" collapsed="false">
      <c r="A430" s="0" t="s">
        <v>46</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IF(OR(E430="",E430="!!!",F430="NEW"),"",INDEX(B429:B$2,-1+SUMPRODUCT(MAX(ROW(E429:E$2)*(E430=E429:E$2)))))</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8" hidden="false" customHeight="false" outlineLevel="0" collapsed="false">
      <c r="A431" s="0" t="s">
        <v>75</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IF(OR(E431="",E431="!!!",F431="NEW"),"",INDEX(B430:B$2,-1+SUMPRODUCT(MAX(ROW(E430:E$2)*(E431=E430:E$2)))))</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8" hidden="false" customHeight="false" outlineLevel="0" collapsed="false">
      <c r="A432" s="0" t="s">
        <v>117</v>
      </c>
      <c r="B432" s="0" t="s">
        <v>29</v>
      </c>
      <c r="C432" s="0" t="s">
        <v>103</v>
      </c>
      <c r="D432" s="0" t="s">
        <v>20</v>
      </c>
      <c r="E432" s="10" t="s">
        <v>35</v>
      </c>
      <c r="F432" s="11" t="str">
        <f aca="false">IF(OR(E432="",E432="!!!"),"",IF(NOT(ISNA(VLOOKUP(E432,E$1:E431,1,FALSE()))),"OLD",IF(AND(E432&lt;&gt;"",E432&lt;&gt;"!!!"),"NEW","")))</f>
        <v>OLD</v>
      </c>
      <c r="G432" s="12" t="s">
        <v>72</v>
      </c>
      <c r="H432" s="13" t="s">
        <v>7</v>
      </c>
      <c r="I432" s="14" t="str">
        <f aca="false">IF(OR(E432="",E432="!!!",F432="NEW"),"",INDEX(B431:B$2,-1+SUMPRODUCT(MAX(ROW(E431:E$2)*(E432=E431:E$2)))))</f>
        <v>SBJ_2</v>
      </c>
      <c r="J432" s="15" t="n">
        <f aca="true">IF(OR(E432="",E432="!!!",F432="NEW"),"",COUNTBLANK(OFFSET(A$1,,,SUMPRODUCT(MAX(ROW(E$2:E432)*(E432=E$2:E432)))))-COUNTBLANK(OFFSET(A$1,,,SUMPRODUCT(MAX(ROW(E$1:E431)*(E432=E$1:E431))))))</f>
        <v>1</v>
      </c>
      <c r="K432" s="15" t="n">
        <f aca="false">IF(OR(E432="",E432="!!!",F432="NEW"),"",INDEX(J$1:J431,SUMPRODUCT(MAX(ROW(E$1:E431)*(E432=E$1:E431)))))</f>
        <v>0</v>
      </c>
      <c r="L432" s="16"/>
    </row>
    <row r="433" customFormat="false" ht="12.8" hidden="false" customHeight="false" outlineLevel="0" collapsed="false">
      <c r="A433" s="0" t="s">
        <v>308</v>
      </c>
      <c r="B433" s="0" t="s">
        <v>14</v>
      </c>
      <c r="C433" s="0" t="s">
        <v>106</v>
      </c>
      <c r="D433" s="0" t="s">
        <v>20</v>
      </c>
      <c r="E433" s="10" t="s">
        <v>309</v>
      </c>
      <c r="F433" s="11" t="str">
        <f aca="false">IF(OR(E433="",E433="!!!"),"",IF(NOT(ISNA(VLOOKUP(E433,E$1:E432,1,FALSE()))),"OLD",IF(AND(E433&lt;&gt;"",E433&lt;&gt;"!!!"),"NEW","")))</f>
        <v>NEW</v>
      </c>
      <c r="G433" s="12" t="s">
        <v>310</v>
      </c>
      <c r="H433" s="13" t="str">
        <f aca="false">IF(J433&lt;&gt;1,"",IF(I433="SBJ","CB","?"))</f>
        <v/>
      </c>
      <c r="I433" s="14" t="str">
        <f aca="false">IF(OR(E433="",E433="!!!",F433="NEW"),"",INDEX(B432:B$2,-1+SUMPRODUCT(MAX(ROW(E432:E$2)*(E433=E432:E$2)))))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8" hidden="false" customHeight="false" outlineLevel="0" collapsed="false">
      <c r="A434" s="0" t="s">
        <v>311</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IF(OR(E434="",E434="!!!",F434="NEW"),"",INDEX(B433:B$2,-1+SUMPRODUCT(MAX(ROW(E433:E$2)*(E434=E433:E$2)))))</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8" hidden="false" customHeight="false" outlineLevel="0" collapsed="false">
      <c r="A435" s="0" t="s">
        <v>81</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IF(OR(E435="",E435="!!!",F435="NEW"),"",INDEX(B434:B$2,-1+SUMPRODUCT(MAX(ROW(E434:E$2)*(E435=E434:E$2)))))</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8" hidden="false" customHeight="false" outlineLevel="0" collapsed="false">
      <c r="A436" s="0" t="s">
        <v>312</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IF(OR(E436="",E436="!!!",F436="NEW"),"",INDEX(B435:B$2,-1+SUMPRODUCT(MAX(ROW(E435:E$2)*(E436=E435:E$2)))))</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8" hidden="false" customHeight="false" outlineLevel="0" collapsed="false">
      <c r="A437" s="0" t="s">
        <v>313</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IF(OR(E437="",E437="!!!",F437="NEW"),"",INDEX(B436:B$2,-1+SUMPRODUCT(MAX(ROW(E436:E$2)*(E437=E436:E$2)))))</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8" hidden="false" customHeight="false" outlineLevel="0" collapsed="false">
      <c r="A438" s="0" t="s">
        <v>314</v>
      </c>
      <c r="B438" s="0" t="s">
        <v>29</v>
      </c>
      <c r="C438" s="0" t="s">
        <v>19</v>
      </c>
      <c r="D438" s="0" t="s">
        <v>20</v>
      </c>
      <c r="E438" s="10" t="s">
        <v>315</v>
      </c>
      <c r="F438" s="11" t="str">
        <f aca="false">IF(OR(E438="",E438="!!!"),"",IF(NOT(ISNA(VLOOKUP(E438,E$1:E437,1,FALSE()))),"OLD",IF(AND(E438&lt;&gt;"",E438&lt;&gt;"!!!"),"NEW","")))</f>
        <v>NEW</v>
      </c>
      <c r="G438" s="12" t="s">
        <v>85</v>
      </c>
      <c r="H438" s="13" t="str">
        <f aca="false">IF(J438&lt;&gt;1,"",IF(I438="SBJ","CB","?"))</f>
        <v/>
      </c>
      <c r="I438" s="14" t="str">
        <f aca="false">IF(OR(E438="",E438="!!!",F438="NEW"),"",INDEX(B437:B$2,-1+SUMPRODUCT(MAX(ROW(E437:E$2)*(E438=E437:E$2)))))</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8" hidden="false" customHeight="false" outlineLevel="0" collapsed="false">
      <c r="A439" s="0" t="s">
        <v>46</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IF(OR(E439="",E439="!!!",F439="NEW"),"",INDEX(B438:B$2,-1+SUMPRODUCT(MAX(ROW(E438:E$2)*(E439=E438:E$2)))))</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8" hidden="false" customHeight="false" outlineLevel="0" collapsed="false">
      <c r="A440" s="0" t="s">
        <v>32</v>
      </c>
      <c r="B440" s="0" t="s">
        <v>33</v>
      </c>
      <c r="C440" s="0" t="s">
        <v>34</v>
      </c>
      <c r="D440" s="0" t="s">
        <v>20</v>
      </c>
      <c r="E440" s="10" t="s">
        <v>35</v>
      </c>
      <c r="F440" s="11" t="str">
        <f aca="false">IF(OR(E440="",E440="!!!"),"",IF(NOT(ISNA(VLOOKUP(E440,E$1:E439,1,FALSE()))),"OLD",IF(AND(E440&lt;&gt;"",E440&lt;&gt;"!!!"),"NEW","")))</f>
        <v>OLD</v>
      </c>
      <c r="G440" s="12" t="s">
        <v>58</v>
      </c>
      <c r="H440" s="13" t="str">
        <f aca="false">IF(J440&lt;&gt;1,"",IF(I440="SBJ","CB","?"))</f>
        <v/>
      </c>
      <c r="I440" s="14" t="str">
        <f aca="false">IF(OR(E440="",E440="!!!",F440="NEW"),"",INDEX(B439:B$2,-1+SUMPRODUCT(MAX(ROW(E439:E$2)*(E440=E439:E$2)))))</f>
        <v>other_2</v>
      </c>
      <c r="J440" s="15" t="n">
        <f aca="true">IF(OR(E440="",E440="!!!",F440="NEW"),"",COUNTBLANK(OFFSET(A$1,,,SUMPRODUCT(MAX(ROW(E$2:E440)*(E440=E$2:E440)))))-COUNTBLANK(OFFSET(A$1,,,SUMPRODUCT(MAX(ROW(E$1:E439)*(E440=E$1:E439))))))</f>
        <v>0</v>
      </c>
      <c r="K440" s="15" t="n">
        <f aca="false">IF(OR(E440="",E440="!!!",F440="NEW"),"",INDEX(J$1:J439,SUMPRODUCT(MAX(ROW(E$1:E439)*(E440=E$1:E439)))))</f>
        <v>1</v>
      </c>
      <c r="L440" s="16"/>
    </row>
    <row r="441" customFormat="false" ht="12.8" hidden="false" customHeight="false" outlineLevel="0" collapsed="false">
      <c r="A441" s="0" t="s">
        <v>316</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IF(OR(E441="",E441="!!!",F441="NEW"),"",INDEX(B440:B$2,-1+SUMPRODUCT(MAX(ROW(E440:E$2)*(E441=E440:E$2)))))</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8" hidden="false" customHeight="false" outlineLevel="0" collapsed="false">
      <c r="A442" s="0" t="s">
        <v>317</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IF(OR(E442="",E442="!!!",F442="NEW"),"",INDEX(B441:B$2,-1+SUMPRODUCT(MAX(ROW(E441:E$2)*(E442=E441:E$2)))))</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8" hidden="false" customHeight="false" outlineLevel="0" collapsed="false">
      <c r="A443" s="0" t="s">
        <v>27</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IF(OR(E443="",E443="!!!",F443="NEW"),"",INDEX(B442:B$2,-1+SUMPRODUCT(MAX(ROW(E442:E$2)*(E443=E442:E$2)))))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23.85" hidden="false" customHeight="false" outlineLevel="0" collapsed="false">
      <c r="A444" s="0" t="s">
        <v>199</v>
      </c>
      <c r="B444" s="0" t="s">
        <v>105</v>
      </c>
      <c r="C444" s="0" t="s">
        <v>30</v>
      </c>
      <c r="E444" s="10" t="s">
        <v>318</v>
      </c>
      <c r="F444" s="11" t="str">
        <f aca="false">IF(OR(E444="",E444="!!!"),"",IF(NOT(ISNA(VLOOKUP(E444,E$1:E443,1,FALSE()))),"OLD",IF(AND(E444&lt;&gt;"",E444&lt;&gt;"!!!"),"NEW","")))</f>
        <v>NEW</v>
      </c>
      <c r="G444" s="12" t="s">
        <v>310</v>
      </c>
      <c r="H444" s="13" t="str">
        <f aca="false">IF(J444&lt;&gt;1,"",IF(I444="SBJ","CB","?"))</f>
        <v/>
      </c>
      <c r="I444" s="14" t="str">
        <f aca="false">IF(OR(E444="",E444="!!!",F444="NEW"),"",INDEX(B443:B$2,-1+SUMPRODUCT(MAX(ROW(E443:E$2)*(E444=E443:E$2)))))</f>
        <v/>
      </c>
      <c r="J444" s="15" t="str">
        <f aca="true">IF(OR(E444="",E444="!!!",F444="NEW"),"",COUNTBLANK(OFFSET(A$1,,,SUMPRODUCT(MAX(ROW(E$2:E444)*(E444=E$2:E444)))))-COUNTBLANK(OFFSET(A$1,,,SUMPRODUCT(MAX(ROW(E$1:E443)*(E444=E$1:E443))))))</f>
        <v/>
      </c>
      <c r="K444" s="15" t="str">
        <f aca="false">IF(OR(E444="",E444="!!!",F444="NEW"),"",INDEX(J$1:J443,SUMPRODUCT(MAX(ROW(E$1:E443)*(E444=E$1:E443)))))</f>
        <v/>
      </c>
      <c r="L444" s="16" t="s">
        <v>319</v>
      </c>
    </row>
    <row r="445" customFormat="false" ht="12.8" hidden="false" customHeight="false" outlineLevel="0" collapsed="false">
      <c r="A445" s="0" t="s">
        <v>320</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IF(OR(E445="",E445="!!!",F445="NEW"),"",INDEX(B444:B$2,-1+SUMPRODUCT(MAX(ROW(E444:E$2)*(E445=E444:E$2)))))</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8" hidden="false" customHeight="false" outlineLevel="0" collapsed="false">
      <c r="A446" s="0" t="s">
        <v>40</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IF(OR(E446="",E446="!!!",F446="NEW"),"",INDEX(B445:B$2,-1+SUMPRODUCT(MAX(ROW(E445:E$2)*(E446=E445:E$2)))))</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8" hidden="false" customHeight="false" outlineLevel="0" collapsed="false">
      <c r="A447" s="0" t="s">
        <v>321</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IF(OR(E447="",E447="!!!",F447="NEW"),"",INDEX(B446:B$2,-1+SUMPRODUCT(MAX(ROW(E446:E$2)*(E447=E446:E$2)))))</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8" hidden="false" customHeight="false" outlineLevel="0" collapsed="false">
      <c r="A448" s="0" t="s">
        <v>131</v>
      </c>
      <c r="B448" s="0" t="s">
        <v>132</v>
      </c>
      <c r="C448" s="0" t="s">
        <v>322</v>
      </c>
      <c r="D448" s="0" t="s">
        <v>20</v>
      </c>
      <c r="E448" s="10" t="s">
        <v>318</v>
      </c>
      <c r="F448" s="11" t="s">
        <v>323</v>
      </c>
      <c r="G448" s="12" t="s">
        <v>58</v>
      </c>
      <c r="H448" s="13" t="str">
        <f aca="false">IF(J448&lt;&gt;1,"",IF(I448="SBJ","CB","?"))</f>
        <v/>
      </c>
      <c r="I448" s="14" t="str">
        <f aca="false">IF(OR(E448="",E448="!!!",F448="NEW"),"",INDEX(B447:B$2,-1+SUMPRODUCT(MAX(ROW(E447:E$2)*(E448=E447:E$2)))))</f>
        <v>OBJ</v>
      </c>
      <c r="J448" s="15" t="n">
        <f aca="true">IF(OR(E448="",E448="!!!",F448="NEW"),"",COUNTBLANK(OFFSET(A$1,,,SUMPRODUCT(MAX(ROW(E$2:E448)*(E448=E$2:E448)))))-COUNTBLANK(OFFSET(A$1,,,SUMPRODUCT(MAX(ROW(E$1:E447)*(E448=E$1:E447))))))</f>
        <v>0</v>
      </c>
      <c r="K448" s="15" t="str">
        <f aca="false">IF(OR(E448="",E448="!!!",F448="NEW"),"",INDEX(J$1:J447,SUMPRODUCT(MAX(ROW(E$1:E447)*(E448=E$1:E447)))))</f>
        <v/>
      </c>
      <c r="L448" s="16" t="s">
        <v>324</v>
      </c>
    </row>
    <row r="449" customFormat="false" ht="12.8" hidden="false" customHeight="false" outlineLevel="0" collapsed="false">
      <c r="A449" s="0" t="s">
        <v>325</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IF(OR(E449="",E449="!!!",F449="NEW"),"",INDEX(B448:B$2,-1+SUMPRODUCT(MAX(ROW(E448:E$2)*(E449=E448:E$2)))))</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8" hidden="false" customHeight="false" outlineLevel="0" collapsed="false">
      <c r="A450" s="0" t="s">
        <v>326</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IF(OR(E450="",E450="!!!",F450="NEW"),"",INDEX(B449:B$2,-1+SUMPRODUCT(MAX(ROW(E449:E$2)*(E450=E449:E$2)))))</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8" hidden="false" customHeight="false" outlineLevel="0" collapsed="false">
      <c r="A451" s="0" t="s">
        <v>234</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IF(OR(E451="",E451="!!!",F451="NEW"),"",INDEX(B450:B$2,-1+SUMPRODUCT(MAX(ROW(E450:E$2)*(E451=E450:E$2)))))</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8" hidden="false" customHeight="false" outlineLevel="0" collapsed="false">
      <c r="A452" s="0" t="s">
        <v>327</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IF(OR(E452="",E452="!!!",F452="NEW"),"",INDEX(B451:B$2,-1+SUMPRODUCT(MAX(ROW(E451:E$2)*(E452=E451:E$2)))))</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8" hidden="false" customHeight="false" outlineLevel="0" collapsed="false">
      <c r="A453" s="0" t="s">
        <v>241</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IF(OR(E453="",E453="!!!",F453="NEW"),"",INDEX(B452:B$2,-1+SUMPRODUCT(MAX(ROW(E452:E$2)*(E453=E452:E$2)))))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23.85" hidden="false" customHeight="false" outlineLevel="0" collapsed="false">
      <c r="A454" s="0" t="s">
        <v>191</v>
      </c>
      <c r="B454" s="0" t="s">
        <v>55</v>
      </c>
      <c r="C454" s="0" t="s">
        <v>30</v>
      </c>
      <c r="E454" s="10" t="s">
        <v>191</v>
      </c>
      <c r="F454" s="11" t="str">
        <f aca="false">IF(OR(E454="",E454="!!!"),"",IF(NOT(ISNA(VLOOKUP(E454,E$1:E453,1,FALSE()))),"OLD",IF(AND(E454&lt;&gt;"",E454&lt;&gt;"!!!"),"NEW","")))</f>
        <v>OLD</v>
      </c>
      <c r="G454" s="12" t="s">
        <v>72</v>
      </c>
      <c r="H454" s="13" t="str">
        <f aca="false">IF(J454&lt;&gt;1,"",IF(I454="SBJ","CB","?"))</f>
        <v/>
      </c>
      <c r="I454" s="14" t="str">
        <f aca="false">IF(OR(E454="",E454="!!!",F454="NEW"),"",INDEX(B453:B$2,-1+SUMPRODUCT(MAX(ROW(E453:E$2)*(E454=E453:E$2)))))</f>
        <v>OBJ</v>
      </c>
      <c r="J454" s="15" t="n">
        <f aca="true">IF(OR(E454="",E454="!!!",F454="NEW"),"",COUNTBLANK(OFFSET(A$1,,,SUMPRODUCT(MAX(ROW(E$2:E454)*(E454=E$2:E454)))))-COUNTBLANK(OFFSET(A$1,,,SUMPRODUCT(MAX(ROW(E$1:E453)*(E454=E$1:E453))))))</f>
        <v>2</v>
      </c>
      <c r="K454" s="15" t="n">
        <f aca="false">IF(OR(E454="",E454="!!!",F454="NEW"),"",INDEX(J$1:J453,SUMPRODUCT(MAX(ROW(E$1:E453)*(E454=E$1:E453)))))</f>
        <v>7</v>
      </c>
      <c r="L454" s="16" t="s">
        <v>328</v>
      </c>
    </row>
    <row r="455" customFormat="false" ht="12.8" hidden="false" customHeight="false" outlineLevel="0" collapsed="false">
      <c r="A455" s="0" t="s">
        <v>69</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IF(OR(E455="",E455="!!!",F455="NEW"),"",INDEX(B454:B$2,-1+SUMPRODUCT(MAX(ROW(E454:E$2)*(E455=E454:E$2)))))</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8" hidden="false" customHeight="false" outlineLevel="0" collapsed="false">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IF(OR(E456="",E456="!!!",F456="NEW"),"",INDEX(B455:B$2,-1+SUMPRODUCT(MAX(ROW(E455:E$2)*(E456=E455:E$2)))))</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8" hidden="false" customHeight="false" outlineLevel="0" collapsed="false">
      <c r="A457" s="0" t="s">
        <v>329</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IF(OR(E457="",E457="!!!",F457="NEW"),"",INDEX(B456:B$2,-1+SUMPRODUCT(MAX(ROW(E456:E$2)*(E457=E456:E$2)))))</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8" hidden="false" customHeight="false" outlineLevel="0" collapsed="false">
      <c r="A458" s="0" t="s">
        <v>32</v>
      </c>
      <c r="B458" s="0" t="s">
        <v>33</v>
      </c>
      <c r="C458" s="0" t="s">
        <v>34</v>
      </c>
      <c r="D458" s="0" t="s">
        <v>20</v>
      </c>
      <c r="E458" s="10" t="s">
        <v>35</v>
      </c>
      <c r="F458" s="11" t="str">
        <f aca="false">IF(OR(E458="",E458="!!!"),"",IF(NOT(ISNA(VLOOKUP(E458,E$1:E457,1,FALSE()))),"OLD",IF(AND(E458&lt;&gt;"",E458&lt;&gt;"!!!"),"NEW","")))</f>
        <v>OLD</v>
      </c>
      <c r="G458" s="12" t="s">
        <v>58</v>
      </c>
      <c r="H458" s="13"/>
      <c r="I458" s="14" t="str">
        <f aca="false">IF(OR(E458="",E458="!!!",F458="NEW"),"",INDEX(B457:B$2,-1+SUMPRODUCT(MAX(ROW(E457:E$2)*(E458=E457:E$2)))))</f>
        <v>SBJ</v>
      </c>
      <c r="J458" s="15" t="n">
        <f aca="true">IF(OR(E458="",E458="!!!",F458="NEW"),"",COUNTBLANK(OFFSET(A$1,,,SUMPRODUCT(MAX(ROW(E$2:E458)*(E458=E$2:E458)))))-COUNTBLANK(OFFSET(A$1,,,SUMPRODUCT(MAX(ROW(E$1:E457)*(E458=E$1:E457))))))</f>
        <v>1</v>
      </c>
      <c r="K458" s="15" t="n">
        <f aca="false">IF(OR(E458="",E458="!!!",F458="NEW"),"",INDEX(J$1:J457,SUMPRODUCT(MAX(ROW(E$1:E457)*(E458=E$1:E457)))))</f>
        <v>0</v>
      </c>
      <c r="L458" s="16"/>
    </row>
    <row r="459" customFormat="false" ht="12.8" hidden="false" customHeight="false" outlineLevel="0" collapsed="false">
      <c r="A459" s="0" t="s">
        <v>330</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IF(OR(E459="",E459="!!!",F459="NEW"),"",INDEX(B458:B$2,-1+SUMPRODUCT(MAX(ROW(E458:E$2)*(E459=E458:E$2)))))</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8" hidden="false" customHeight="false" outlineLevel="0" collapsed="false">
      <c r="A460" s="0" t="s">
        <v>331</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IF(OR(E460="",E460="!!!",F460="NEW"),"",INDEX(B459:B$2,-1+SUMPRODUCT(MAX(ROW(E459:E$2)*(E460=E459:E$2)))))</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8" hidden="false" customHeight="false" outlineLevel="0" collapsed="false">
      <c r="A461" s="0" t="s">
        <v>332</v>
      </c>
      <c r="B461" s="0" t="s">
        <v>105</v>
      </c>
      <c r="C461" s="0" t="s">
        <v>30</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IF(OR(E461="",E461="!!!",F461="NEW"),"",INDEX(B460:B$2,-1+SUMPRODUCT(MAX(ROW(E460:E$2)*(E461=E460:E$2)))))</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8" hidden="false" customHeight="false" outlineLevel="0" collapsed="false">
      <c r="A462" s="0" t="s">
        <v>333</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IF(OR(E462="",E462="!!!",F462="NEW"),"",INDEX(B461:B$2,-1+SUMPRODUCT(MAX(ROW(E461:E$2)*(E462=E461:E$2)))))</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8" hidden="false" customHeight="false" outlineLevel="0" collapsed="false">
      <c r="A463" s="0" t="s">
        <v>140</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IF(OR(E463="",E463="!!!",F463="NEW"),"",INDEX(B462:B$2,-1+SUMPRODUCT(MAX(ROW(E462:E$2)*(E463=E462:E$2)))))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8" hidden="false" customHeight="false" outlineLevel="0" collapsed="false">
      <c r="A464" s="0" t="s">
        <v>334</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IF(OR(E464="",E464="!!!",F464="NEW"),"",INDEX(B463:B$2,-1+SUMPRODUCT(MAX(ROW(E463:E$2)*(E464=E463:E$2)))))</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8" hidden="false" customHeight="false" outlineLevel="0" collapsed="false">
      <c r="A465" s="0" t="s">
        <v>81</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IF(OR(E465="",E465="!!!",F465="NEW"),"",INDEX(B464:B$2,-1+SUMPRODUCT(MAX(ROW(E464:E$2)*(E465=E464:E$2)))))</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8" hidden="false" customHeight="false" outlineLevel="0" collapsed="false">
      <c r="A466" s="0" t="s">
        <v>335</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IF(OR(E466="",E466="!!!",F466="NEW"),"",INDEX(B465:B$2,-1+SUMPRODUCT(MAX(ROW(E465:E$2)*(E466=E465:E$2)))))</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8" hidden="false" customHeight="false" outlineLevel="0" collapsed="false">
      <c r="A467" s="0" t="s">
        <v>336</v>
      </c>
      <c r="B467" s="0" t="s">
        <v>136</v>
      </c>
      <c r="C467" s="0" t="s">
        <v>106</v>
      </c>
      <c r="D467" s="0" t="s">
        <v>20</v>
      </c>
      <c r="E467" s="10" t="s">
        <v>337</v>
      </c>
      <c r="F467" s="11" t="s">
        <v>129</v>
      </c>
      <c r="G467" s="12" t="s">
        <v>85</v>
      </c>
      <c r="H467" s="13"/>
      <c r="I467" s="14" t="e">
        <f aca="false">IF(OR(E467="",E467="!!!",F467="NEW"),"",INDEX(B466:B$2,-1+SUMPRODUCT(MAX(ROW(E466:E$2)*(E467=E466:E$2)))))</f>
        <v>#VALUE!</v>
      </c>
      <c r="J467" s="15" t="e">
        <f aca="true">IF(OR(E467="",E467="!!!",F467="NEW"),"",COUNTBLANK(OFFSET(A$1,,,SUMPRODUCT(MAX(ROW(E$2:E467)*(E467=E$2:E467)))))-COUNTBLANK(OFFSET(A$1,,,SUMPRODUCT(MAX(ROW(E$1:E466)*(E467=E$1:E466))))))</f>
        <v>#VALUE!</v>
      </c>
      <c r="K467" s="15" t="e">
        <f aca="false">IF(OR(E467="",E467="!!!",F467="NEW"),"",INDEX(J$1:J466,SUMPRODUCT(MAX(ROW(E$1:E466)*(E467=E$1:E466)))))</f>
        <v>#VALUE!</v>
      </c>
      <c r="L467" s="16" t="s">
        <v>338</v>
      </c>
    </row>
    <row r="468" customFormat="false" ht="12.8" hidden="false" customHeight="false" outlineLevel="0" collapsed="false">
      <c r="A468" s="0" t="s">
        <v>26</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IF(OR(E468="",E468="!!!",F468="NEW"),"",INDEX(B467:B$2,-1+SUMPRODUCT(MAX(ROW(E467:E$2)*(E468=E467:E$2)))))</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8" hidden="false" customHeight="false" outlineLevel="0" collapsed="false">
      <c r="A469" s="0" t="s">
        <v>81</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IF(OR(E469="",E469="!!!",F469="NEW"),"",INDEX(B468:B$2,-1+SUMPRODUCT(MAX(ROW(E468:E$2)*(E469=E468:E$2)))))</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8" hidden="false" customHeight="false" outlineLevel="0" collapsed="false">
      <c r="A470" s="0" t="s">
        <v>231</v>
      </c>
      <c r="B470" s="0" t="s">
        <v>68</v>
      </c>
      <c r="C470" s="0" t="s">
        <v>25</v>
      </c>
      <c r="D470" s="0" t="s">
        <v>20</v>
      </c>
      <c r="E470" s="10" t="s">
        <v>187</v>
      </c>
      <c r="F470" s="11" t="str">
        <f aca="false">IF(OR(E470="",E470="!!!"),"",IF(NOT(ISNA(VLOOKUP(E470,E$1:E469,1,FALSE()))),"OLD",IF(AND(E470&lt;&gt;"",E470&lt;&gt;"!!!"),"NEW","")))</f>
        <v>OLD</v>
      </c>
      <c r="G470" s="12" t="s">
        <v>85</v>
      </c>
      <c r="H470" s="13" t="str">
        <f aca="false">IF(J470&lt;&gt;1,"",IF(I470="SBJ","CB","?"))</f>
        <v/>
      </c>
      <c r="I470" s="14" t="str">
        <f aca="false">IF(OR(E470="",E470="!!!",F470="NEW"),"",INDEX(B469:B$2,-1+SUMPRODUCT(MAX(ROW(E469:E$2)*(E470=E469:E$2)))))</f>
        <v>other_2</v>
      </c>
      <c r="J470" s="15" t="n">
        <f aca="true">IF(OR(E470="",E470="!!!",F470="NEW"),"",COUNTBLANK(OFFSET(A$1,,,SUMPRODUCT(MAX(ROW(E$2:E470)*(E470=E$2:E470)))))-COUNTBLANK(OFFSET(A$1,,,SUMPRODUCT(MAX(ROW(E$1:E469)*(E470=E$1:E469))))))</f>
        <v>3</v>
      </c>
      <c r="K470" s="15" t="n">
        <f aca="false">IF(OR(E470="",E470="!!!",F470="NEW"),"",INDEX(J$1:J469,SUMPRODUCT(MAX(ROW(E$1:E469)*(E470=E$1:E469)))))</f>
        <v>0</v>
      </c>
      <c r="L470" s="16" t="s">
        <v>339</v>
      </c>
    </row>
    <row r="471" customFormat="false" ht="12.8" hidden="false" customHeight="false" outlineLevel="0" collapsed="false">
      <c r="A471" s="0" t="s">
        <v>340</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IF(OR(E471="",E471="!!!",F471="NEW"),"",INDEX(B470:B$2,-1+SUMPRODUCT(MAX(ROW(E470:E$2)*(E471=E470:E$2)))))</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23.85" hidden="false" customHeight="false" outlineLevel="0" collapsed="false">
      <c r="A472" s="0" t="s">
        <v>341</v>
      </c>
      <c r="B472" s="0" t="s">
        <v>63</v>
      </c>
      <c r="C472" s="0" t="s">
        <v>106</v>
      </c>
      <c r="D472" s="0" t="s">
        <v>20</v>
      </c>
      <c r="E472" s="10" t="s">
        <v>214</v>
      </c>
      <c r="F472" s="11" t="str">
        <f aca="false">IF(OR(E472="",E472="!!!"),"",IF(NOT(ISNA(VLOOKUP(E472,E$1:E471,1,FALSE()))),"OLD",IF(AND(E472&lt;&gt;"",E472&lt;&gt;"!!!"),"NEW","")))</f>
        <v>OLD</v>
      </c>
      <c r="G472" s="12" t="s">
        <v>85</v>
      </c>
      <c r="H472" s="13" t="str">
        <f aca="false">IF(J472&lt;&gt;1,"",IF(I472="SBJ","CB","?"))</f>
        <v/>
      </c>
      <c r="I472" s="14" t="str">
        <f aca="false">IF(OR(E472="",E472="!!!",F472="NEW"),"",INDEX(B471:B$2,-1+SUMPRODUCT(MAX(ROW(E471:E$2)*(E472=E471:E$2)))))</f>
        <v>other_3</v>
      </c>
      <c r="J472" s="15" t="n">
        <f aca="true">IF(OR(E472="",E472="!!!",F472="NEW"),"",COUNTBLANK(OFFSET(A$1,,,SUMPRODUCT(MAX(ROW(E$2:E472)*(E472=E$2:E472)))))-COUNTBLANK(OFFSET(A$1,,,SUMPRODUCT(MAX(ROW(E$1:E471)*(E472=E$1:E471))))))</f>
        <v>5</v>
      </c>
      <c r="K472" s="15" t="n">
        <f aca="false">IF(OR(E472="",E472="!!!",F472="NEW"),"",INDEX(J$1:J471,SUMPRODUCT(MAX(ROW(E$1:E471)*(E472=E$1:E471)))))</f>
        <v>3</v>
      </c>
      <c r="L472" s="16" t="s">
        <v>342</v>
      </c>
    </row>
    <row r="473" customFormat="false" ht="12.8" hidden="false" customHeight="false" outlineLevel="0" collapsed="false">
      <c r="A473" s="0" t="s">
        <v>46</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IF(OR(E473="",E473="!!!",F473="NEW"),"",INDEX(B472:B$2,-1+SUMPRODUCT(MAX(ROW(E472:E$2)*(E473=E472:E$2)))))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8" hidden="false" customHeight="false" outlineLevel="0" collapsed="false">
      <c r="A474" s="0" t="s">
        <v>343</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IF(OR(E474="",E474="!!!",F474="NEW"),"",INDEX(B473:B$2,-1+SUMPRODUCT(MAX(ROW(E473:E$2)*(E474=E473:E$2)))))</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8" hidden="false" customHeight="false" outlineLevel="0" collapsed="false">
      <c r="A475" s="0" t="s">
        <v>188</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IF(OR(E475="",E475="!!!",F475="NEW"),"",INDEX(B474:B$2,-1+SUMPRODUCT(MAX(ROW(E474:E$2)*(E475=E474:E$2)))))</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8" hidden="false" customHeight="false" outlineLevel="0" collapsed="false">
      <c r="A476" s="0" t="s">
        <v>344</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IF(OR(E476="",E476="!!!",F476="NEW"),"",INDEX(B475:B$2,-1+SUMPRODUCT(MAX(ROW(E475:E$2)*(E476=E475:E$2)))))</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8" hidden="false" customHeight="false" outlineLevel="0" collapsed="false">
      <c r="A477" s="0" t="s">
        <v>345</v>
      </c>
      <c r="B477" s="0" t="s">
        <v>192</v>
      </c>
      <c r="C477" s="0" t="s">
        <v>30</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IF(OR(E477="",E477="!!!",F477="NEW"),"",INDEX(B476:B$2,-1+SUMPRODUCT(MAX(ROW(E476:E$2)*(E477=E476:E$2)))))</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8" hidden="false" customHeight="false" outlineLevel="0" collapsed="false">
      <c r="A478" s="0" t="s">
        <v>346</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IF(OR(E478="",E478="!!!",F478="NEW"),"",INDEX(B477:B$2,-1+SUMPRODUCT(MAX(ROW(E477:E$2)*(E478=E477:E$2)))))</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8" hidden="false" customHeight="false" outlineLevel="0" collapsed="false">
      <c r="A479" s="0" t="s">
        <v>140</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IF(OR(E479="",E479="!!!",F479="NEW"),"",INDEX(B478:B$2,-1+SUMPRODUCT(MAX(ROW(E478:E$2)*(E479=E478:E$2)))))</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8" hidden="false" customHeight="false" outlineLevel="0" collapsed="false">
      <c r="A480" s="0" t="s">
        <v>347</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IF(OR(E480="",E480="!!!",F480="NEW"),"",INDEX(B479:B$2,-1+SUMPRODUCT(MAX(ROW(E479:E$2)*(E480=E479:E$2)))))</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8" hidden="false" customHeight="false" outlineLevel="0" collapsed="false">
      <c r="A481" s="0" t="s">
        <v>348</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IF(OR(E481="",E481="!!!",F481="NEW"),"",INDEX(B480:B$2,-1+SUMPRODUCT(MAX(ROW(E480:E$2)*(E481=E480:E$2)))))</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8" hidden="false" customHeight="false" outlineLevel="0" collapsed="false">
      <c r="A482" s="0" t="s">
        <v>81</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IF(OR(E482="",E482="!!!",F482="NEW"),"",INDEX(B481:B$2,-1+SUMPRODUCT(MAX(ROW(E481:E$2)*(E482=E481:E$2)))))</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8" hidden="false" customHeight="false" outlineLevel="0" collapsed="false">
      <c r="A483" s="0" t="s">
        <v>349</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IF(OR(E483="",E483="!!!",F483="NEW"),"",INDEX(B482:B$2,-1+SUMPRODUCT(MAX(ROW(E482:E$2)*(E483=E482:E$2)))))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8" hidden="false" customHeight="false" outlineLevel="0" collapsed="false">
      <c r="A484" s="0" t="s">
        <v>350</v>
      </c>
      <c r="B484" s="0" t="s">
        <v>172</v>
      </c>
      <c r="C484" s="0" t="s">
        <v>25</v>
      </c>
      <c r="D484" s="0" t="s">
        <v>20</v>
      </c>
      <c r="E484" s="10" t="s">
        <v>351</v>
      </c>
      <c r="F484" s="11" t="s">
        <v>129</v>
      </c>
      <c r="G484" s="12" t="s">
        <v>85</v>
      </c>
      <c r="H484" s="13"/>
      <c r="I484" s="14" t="e">
        <f aca="false">IF(OR(E484="",E484="!!!",F484="NEW"),"",INDEX(B483:B$2,-1+SUMPRODUCT(MAX(ROW(E483:E$2)*(E484=E483:E$2)))))</f>
        <v>#VALUE!</v>
      </c>
      <c r="J484" s="15" t="e">
        <f aca="true">IF(OR(E484="",E484="!!!",F484="NEW"),"",COUNTBLANK(OFFSET(A$1,,,SUMPRODUCT(MAX(ROW(E$2:E484)*(E484=E$2:E484)))))-COUNTBLANK(OFFSET(A$1,,,SUMPRODUCT(MAX(ROW(E$1:E483)*(E484=E$1:E483))))))</f>
        <v>#VALUE!</v>
      </c>
      <c r="K484" s="15" t="e">
        <f aca="false">IF(OR(E484="",E484="!!!",F484="NEW"),"",INDEX(J$1:J483,SUMPRODUCT(MAX(ROW(E$1:E483)*(E484=E$1:E483)))))</f>
        <v>#VALUE!</v>
      </c>
      <c r="L484" s="16"/>
    </row>
    <row r="485" customFormat="false" ht="12.8" hidden="false" customHeight="false" outlineLevel="0" collapsed="false">
      <c r="A485" s="0" t="s">
        <v>40</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IF(OR(E485="",E485="!!!",F485="NEW"),"",INDEX(B484:B$2,-1+SUMPRODUCT(MAX(ROW(E484:E$2)*(E485=E484:E$2)))))</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8" hidden="false" customHeight="false" outlineLevel="0" collapsed="false">
      <c r="A486" s="0" t="s">
        <v>352</v>
      </c>
      <c r="B486" s="0" t="s">
        <v>68</v>
      </c>
      <c r="C486" s="0" t="s">
        <v>30</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IF(OR(E486="",E486="!!!",F486="NEW"),"",INDEX(B485:B$2,-1+SUMPRODUCT(MAX(ROW(E485:E$2)*(E486=E485:E$2)))))</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8" hidden="false" customHeight="false" outlineLevel="0" collapsed="false">
      <c r="A487" s="0" t="s">
        <v>256</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IF(OR(E487="",E487="!!!",F487="NEW"),"",INDEX(B486:B$2,-1+SUMPRODUCT(MAX(ROW(E486:E$2)*(E487=E486:E$2)))))</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8" hidden="false" customHeight="false" outlineLevel="0" collapsed="false">
      <c r="A488" s="0" t="s">
        <v>81</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IF(OR(E488="",E488="!!!",F488="NEW"),"",INDEX(B487:B$2,-1+SUMPRODUCT(MAX(ROW(E487:E$2)*(E488=E487:E$2)))))</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8" hidden="false" customHeight="false" outlineLevel="0" collapsed="false">
      <c r="A489" s="0" t="s">
        <v>353</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IF(OR(E489="",E489="!!!",F489="NEW"),"",INDEX(B488:B$2,-1+SUMPRODUCT(MAX(ROW(E488:E$2)*(E489=E488:E$2)))))</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8" hidden="false" customHeight="false" outlineLevel="0" collapsed="false">
      <c r="A490" s="0" t="s">
        <v>354</v>
      </c>
      <c r="B490" s="0" t="s">
        <v>63</v>
      </c>
      <c r="C490" s="0" t="s">
        <v>25</v>
      </c>
      <c r="D490" s="0" t="s">
        <v>20</v>
      </c>
      <c r="E490" s="10" t="s">
        <v>355</v>
      </c>
      <c r="F490" s="11" t="s">
        <v>129</v>
      </c>
      <c r="G490" s="12" t="s">
        <v>356</v>
      </c>
      <c r="H490" s="13"/>
      <c r="I490" s="14" t="e">
        <f aca="false">IF(OR(E490="",E490="!!!",F490="NEW"),"",INDEX(B489:B$2,-1+SUMPRODUCT(MAX(ROW(E489:E$2)*(E490=E489:E$2)))))</f>
        <v>#VALUE!</v>
      </c>
      <c r="J490" s="15" t="e">
        <f aca="true">IF(OR(E490="",E490="!!!",F490="NEW"),"",COUNTBLANK(OFFSET(A$1,,,SUMPRODUCT(MAX(ROW(E$2:E490)*(E490=E$2:E490)))))-COUNTBLANK(OFFSET(A$1,,,SUMPRODUCT(MAX(ROW(E$1:E489)*(E490=E$1:E489))))))</f>
        <v>#VALUE!</v>
      </c>
      <c r="K490" s="15" t="e">
        <f aca="false">IF(OR(E490="",E490="!!!",F490="NEW"),"",INDEX(J$1:J489,SUMPRODUCT(MAX(ROW(E$1:E489)*(E490=E$1:E489)))))</f>
        <v>#VALUE!</v>
      </c>
      <c r="L490" s="16"/>
    </row>
    <row r="491" customFormat="false" ht="12.8" hidden="false" customHeight="false" outlineLevel="0" collapsed="false">
      <c r="A491" s="0" t="s">
        <v>46</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IF(OR(E491="",E491="!!!",F491="NEW"),"",INDEX(B490:B$2,-1+SUMPRODUCT(MAX(ROW(E490:E$2)*(E491=E490:E$2)))))</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8" hidden="false" customHeight="false" outlineLevel="0" collapsed="false">
      <c r="A492" s="0" t="s">
        <v>40</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IF(OR(E492="",E492="!!!",F492="NEW"),"",INDEX(B491:B$2,-1+SUMPRODUCT(MAX(ROW(E491:E$2)*(E492=E491:E$2)))))</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8" hidden="false" customHeight="false" outlineLevel="0" collapsed="false">
      <c r="A493" s="0" t="s">
        <v>343</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IF(OR(E493="",E493="!!!",F493="NEW"),"",INDEX(B492:B$2,-1+SUMPRODUCT(MAX(ROW(E492:E$2)*(E493=E492:E$2)))))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8" hidden="false" customHeight="false" outlineLevel="0" collapsed="false">
      <c r="A494" s="0" t="s">
        <v>246</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IF(OR(E494="",E494="!!!",F494="NEW"),"",INDEX(B493:B$2,-1+SUMPRODUCT(MAX(ROW(E493:E$2)*(E494=E493:E$2)))))</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8" hidden="false" customHeight="false" outlineLevel="0" collapsed="false">
      <c r="A495" s="0" t="s">
        <v>47</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IF(OR(E495="",E495="!!!",F495="NEW"),"",INDEX(B494:B$2,-1+SUMPRODUCT(MAX(ROW(E494:E$2)*(E495=E494:E$2)))))</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8" hidden="false" customHeight="false" outlineLevel="0" collapsed="false">
      <c r="A496" s="0" t="s">
        <v>27</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IF(OR(E496="",E496="!!!",F496="NEW"),"",INDEX(B495:B$2,-1+SUMPRODUCT(MAX(ROW(E495:E$2)*(E496=E495:E$2)))))</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8" hidden="false" customHeight="false" outlineLevel="0" collapsed="false">
      <c r="A497" s="0" t="s">
        <v>207</v>
      </c>
      <c r="B497" s="0" t="s">
        <v>192</v>
      </c>
      <c r="C497" s="0" t="s">
        <v>52</v>
      </c>
      <c r="E497" s="10" t="s">
        <v>318</v>
      </c>
      <c r="F497" s="11" t="str">
        <f aca="false">IF(OR(E497="",E497="!!!"),"",IF(NOT(ISNA(VLOOKUP(E497,E$1:E496,1,FALSE()))),"OLD",IF(AND(E497&lt;&gt;"",E497&lt;&gt;"!!!"),"NEW","")))</f>
        <v>OLD</v>
      </c>
      <c r="G497" s="12" t="s">
        <v>72</v>
      </c>
      <c r="H497" s="13" t="s">
        <v>7</v>
      </c>
      <c r="I497" s="14" t="str">
        <f aca="false">IF(OR(E497="",E497="!!!",F497="NEW"),"",INDEX(B496:B$2,-1+SUMPRODUCT(MAX(ROW(E496:E$2)*(E497=E496:E$2)))))</f>
        <v>SBJ_3</v>
      </c>
      <c r="J497" s="15" t="n">
        <f aca="true">IF(OR(E497="",E497="!!!",F497="NEW"),"",COUNTBLANK(OFFSET(A$1,,,SUMPRODUCT(MAX(ROW(E$2:E497)*(E497=E$2:E497)))))-COUNTBLANK(OFFSET(A$1,,,SUMPRODUCT(MAX(ROW(E$1:E496)*(E497=E$1:E496))))))</f>
        <v>1</v>
      </c>
      <c r="K497" s="15" t="n">
        <f aca="false">IF(OR(E497="",E497="!!!",F497="NEW"),"",INDEX(J$1:J496,SUMPRODUCT(MAX(ROW(E$1:E496)*(E497=E$1:E496)))))</f>
        <v>0</v>
      </c>
      <c r="L497" s="16"/>
    </row>
    <row r="498" customFormat="false" ht="12.8" hidden="false" customHeight="false" outlineLevel="0" collapsed="false">
      <c r="A498" s="0" t="s">
        <v>75</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IF(OR(E498="",E498="!!!",F498="NEW"),"",INDEX(B497:B$2,-1+SUMPRODUCT(MAX(ROW(E497:E$2)*(E498=E497:E$2)))))</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8" hidden="false" customHeight="false" outlineLevel="0" collapsed="false">
      <c r="A499" s="0" t="s">
        <v>357</v>
      </c>
      <c r="B499" s="0" t="s">
        <v>55</v>
      </c>
      <c r="C499" s="0" t="s">
        <v>30</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IF(OR(E499="",E499="!!!",F499="NEW"),"",INDEX(B498:B$2,-1+SUMPRODUCT(MAX(ROW(E498:E$2)*(E499=E498:E$2)))))</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8" hidden="false" customHeight="false" outlineLevel="0" collapsed="false">
      <c r="A500" s="0" t="s">
        <v>69</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IF(OR(E500="",E500="!!!",F500="NEW"),"",INDEX(B499:B$2,-1+SUMPRODUCT(MAX(ROW(E499:E$2)*(E500=E499:E$2)))))</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8" hidden="false" customHeight="false" outlineLevel="0" collapsed="false">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IF(OR(E501="",E501="!!!",F501="NEW"),"",INDEX(B500:B$2,-1+SUMPRODUCT(MAX(ROW(E500:E$2)*(E501=E500:E$2)))))</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8" hidden="false" customHeight="false" outlineLevel="0" collapsed="false">
      <c r="A502" s="0" t="s">
        <v>358</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IF(OR(E502="",E502="!!!",F502="NEW"),"",INDEX(B501:B$2,-1+SUMPRODUCT(MAX(ROW(E501:E$2)*(E502=E501:E$2)))))</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8" hidden="false" customHeight="false" outlineLevel="0" collapsed="false">
      <c r="A503" s="0" t="s">
        <v>359</v>
      </c>
      <c r="B503" s="0" t="s">
        <v>33</v>
      </c>
      <c r="C503" s="0" t="s">
        <v>34</v>
      </c>
      <c r="D503" s="0" t="s">
        <v>20</v>
      </c>
      <c r="E503" s="10" t="s">
        <v>360</v>
      </c>
      <c r="F503" s="11" t="str">
        <f aca="false">IF(OR(E503="",E503="!!!"),"",IF(NOT(ISNA(VLOOKUP(E503,E$1:E502,1,FALSE()))),"OLD",IF(AND(E503&lt;&gt;"",E503&lt;&gt;"!!!"),"NEW","")))</f>
        <v>NEW</v>
      </c>
      <c r="G503" s="12" t="s">
        <v>85</v>
      </c>
      <c r="H503" s="13" t="str">
        <f aca="false">IF(J503&lt;&gt;1,"",IF(I503="SBJ","CB","?"))</f>
        <v/>
      </c>
      <c r="I503" s="14" t="str">
        <f aca="false">IF(OR(E503="",E503="!!!",F503="NEW"),"",INDEX(B502:B$2,-1+SUMPRODUCT(MAX(ROW(E502:E$2)*(E503=E502:E$2)))))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8" hidden="false" customHeight="false" outlineLevel="0" collapsed="false">
      <c r="A504" s="0" t="s">
        <v>188</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IF(OR(E504="",E504="!!!",F504="NEW"),"",INDEX(B503:B$2,-1+SUMPRODUCT(MAX(ROW(E503:E$2)*(E504=E503:E$2)))))</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8" hidden="false" customHeight="false" outlineLevel="0" collapsed="false">
      <c r="A505" s="0" t="s">
        <v>47</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IF(OR(E505="",E505="!!!",F505="NEW"),"",INDEX(B504:B$2,-1+SUMPRODUCT(MAX(ROW(E504:E$2)*(E505=E504:E$2)))))</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8" hidden="false" customHeight="false" outlineLevel="0" collapsed="false">
      <c r="A506" s="0" t="s">
        <v>361</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IF(OR(E506="",E506="!!!",F506="NEW"),"",INDEX(B505:B$2,-1+SUMPRODUCT(MAX(ROW(E505:E$2)*(E506=E505:E$2)))))</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8" hidden="false" customHeight="false" outlineLevel="0" collapsed="false">
      <c r="A507" s="0" t="s">
        <v>362</v>
      </c>
      <c r="B507" s="0" t="s">
        <v>105</v>
      </c>
      <c r="C507" s="0" t="s">
        <v>52</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IF(OR(E507="",E507="!!!",F507="NEW"),"",INDEX(B506:B$2,-1+SUMPRODUCT(MAX(ROW(E506:E$2)*(E507=E506:E$2)))))</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8" hidden="false" customHeight="false" outlineLevel="0" collapsed="false">
      <c r="A508" s="0" t="s">
        <v>140</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IF(OR(E508="",E508="!!!",F508="NEW"),"",INDEX(B507:B$2,-1+SUMPRODUCT(MAX(ROW(E507:E$2)*(E508=E507:E$2)))))</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8" hidden="false" customHeight="false" outlineLevel="0" collapsed="false">
      <c r="A509" s="0" t="s">
        <v>246</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IF(OR(E509="",E509="!!!",F509="NEW"),"",INDEX(B508:B$2,-1+SUMPRODUCT(MAX(ROW(E508:E$2)*(E509=E508:E$2)))))</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8" hidden="false" customHeight="false" outlineLevel="0" collapsed="false">
      <c r="A510" s="0" t="s">
        <v>47</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IF(OR(E510="",E510="!!!",F510="NEW"),"",INDEX(B509:B$2,-1+SUMPRODUCT(MAX(ROW(E509:E$2)*(E510=E509:E$2)))))</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8" hidden="false" customHeight="false" outlineLevel="0" collapsed="false">
      <c r="A511" s="0" t="s">
        <v>363</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IF(OR(E511="",E511="!!!",F511="NEW"),"",INDEX(B510:B$2,-1+SUMPRODUCT(MAX(ROW(E510:E$2)*(E511=E510:E$2)))))</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8" hidden="false" customHeight="false" outlineLevel="0" collapsed="false">
      <c r="A512" s="0" t="s">
        <v>27</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IF(OR(E512="",E512="!!!",F512="NEW"),"",INDEX(B511:B$2,-1+SUMPRODUCT(MAX(ROW(E511:E$2)*(E512=E511:E$2)))))</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8" hidden="false" customHeight="false" outlineLevel="0" collapsed="false">
      <c r="A513" s="0" t="s">
        <v>207</v>
      </c>
      <c r="B513" s="0" t="s">
        <v>192</v>
      </c>
      <c r="C513" s="0" t="s">
        <v>52</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IF(OR(E513="",E513="!!!",F513="NEW"),"",INDEX(B512:B$2,-1+SUMPRODUCT(MAX(ROW(E512:E$2)*(E513=E512:E$2)))))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8" hidden="false" customHeight="false" outlineLevel="0" collapsed="false">
      <c r="A514" s="0" t="s">
        <v>209</v>
      </c>
      <c r="B514" s="0" t="s">
        <v>169</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IF(OR(E514="",E514="!!!",F514="NEW"),"",INDEX(B513:B$2,-1+SUMPRODUCT(MAX(ROW(E513:E$2)*(E514=E513:E$2)))))</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8" hidden="false" customHeight="false" outlineLevel="0" collapsed="false">
      <c r="A515" s="0" t="s">
        <v>364</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IF(OR(E515="",E515="!!!",F515="NEW"),"",INDEX(B514:B$2,-1+SUMPRODUCT(MAX(ROW(E514:E$2)*(E515=E514:E$2)))))</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8" hidden="false" customHeight="false" outlineLevel="0" collapsed="false">
      <c r="A516" s="0" t="s">
        <v>255</v>
      </c>
      <c r="B516" s="0" t="s">
        <v>172</v>
      </c>
      <c r="C516" s="0" t="s">
        <v>30</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IF(OR(E516="",E516="!!!",F516="NEW"),"",INDEX(B515:B$2,-1+SUMPRODUCT(MAX(ROW(E515:E$2)*(E516=E515:E$2)))))</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8" hidden="false" customHeight="false" outlineLevel="0" collapsed="false">
      <c r="A517" s="0" t="s">
        <v>160</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IF(OR(E517="",E517="!!!",F517="NEW"),"",INDEX(B516:B$2,-1+SUMPRODUCT(MAX(ROW(E516:E$2)*(E517=E516:E$2)))))</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8" hidden="false" customHeight="false" outlineLevel="0" collapsed="false">
      <c r="A518" s="0" t="s">
        <v>365</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IF(OR(E518="",E518="!!!",F518="NEW"),"",INDEX(B517:B$2,-1+SUMPRODUCT(MAX(ROW(E517:E$2)*(E518=E517:E$2)))))</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8" hidden="false" customHeight="false" outlineLevel="0" collapsed="false">
      <c r="A519" s="0" t="s">
        <v>256</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IF(OR(E519="",E519="!!!",F519="NEW"),"",INDEX(B518:B$2,-1+SUMPRODUCT(MAX(ROW(E518:E$2)*(E519=E518:E$2)))))</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8" hidden="false" customHeight="false" outlineLevel="0" collapsed="false">
      <c r="A520" s="0" t="s">
        <v>81</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IF(OR(E520="",E520="!!!",F520="NEW"),"",INDEX(B519:B$2,-1+SUMPRODUCT(MAX(ROW(E519:E$2)*(E520=E519:E$2)))))</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8" hidden="false" customHeight="false" outlineLevel="0" collapsed="false">
      <c r="A521" s="0" t="s">
        <v>341</v>
      </c>
      <c r="B521" s="0" t="s">
        <v>151</v>
      </c>
      <c r="C521" s="0" t="s">
        <v>25</v>
      </c>
      <c r="D521" s="0" t="s">
        <v>20</v>
      </c>
      <c r="E521" s="10" t="s">
        <v>214</v>
      </c>
      <c r="F521" s="11" t="str">
        <f aca="false">IF(OR(E521="",E521="!!!"),"",IF(NOT(ISNA(VLOOKUP(E521,E$1:E520,1,FALSE()))),"OLD",IF(AND(E521&lt;&gt;"",E521&lt;&gt;"!!!"),"NEW","")))</f>
        <v>OLD</v>
      </c>
      <c r="G521" s="12" t="s">
        <v>72</v>
      </c>
      <c r="H521" s="13" t="s">
        <v>7</v>
      </c>
      <c r="I521" s="14" t="str">
        <f aca="false">IF(OR(E521="",E521="!!!",F521="NEW"),"",INDEX(B520:B$2,-1+SUMPRODUCT(MAX(ROW(E520:E$2)*(E521=E520:E$2)))))</f>
        <v>other_4</v>
      </c>
      <c r="J521" s="15" t="n">
        <f aca="true">IF(OR(E521="",E521="!!!",F521="NEW"),"",COUNTBLANK(OFFSET(A$1,,,SUMPRODUCT(MAX(ROW(E$2:E521)*(E521=E$2:E521)))))-COUNTBLANK(OFFSET(A$1,,,SUMPRODUCT(MAX(ROW(E$1:E520)*(E521=E$1:E520))))))</f>
        <v>1</v>
      </c>
      <c r="K521" s="15" t="n">
        <f aca="false">IF(OR(E521="",E521="!!!",F521="NEW"),"",INDEX(J$1:J520,SUMPRODUCT(MAX(ROW(E$1:E520)*(E521=E$1:E520)))))</f>
        <v>5</v>
      </c>
      <c r="L521" s="16" t="s">
        <v>366</v>
      </c>
    </row>
    <row r="522" customFormat="false" ht="12.8" hidden="false" customHeight="false" outlineLevel="0" collapsed="false">
      <c r="A522" s="0" t="s">
        <v>26</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IF(OR(E522="",E522="!!!",F522="NEW"),"",INDEX(B521:B$2,-1+SUMPRODUCT(MAX(ROW(E521:E$2)*(E522=E521:E$2)))))</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8" hidden="false" customHeight="false" outlineLevel="0" collapsed="false">
      <c r="A523" s="0" t="s">
        <v>81</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IF(OR(E523="",E523="!!!",F523="NEW"),"",INDEX(B522:B$2,-1+SUMPRODUCT(MAX(ROW(E522:E$2)*(E523=E522:E$2)))))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8" hidden="false" customHeight="false" outlineLevel="0" collapsed="false">
      <c r="A524" s="0" t="s">
        <v>231</v>
      </c>
      <c r="B524" s="0" t="s">
        <v>142</v>
      </c>
      <c r="C524" s="0" t="s">
        <v>25</v>
      </c>
      <c r="D524" s="0" t="s">
        <v>20</v>
      </c>
      <c r="E524" s="10" t="s">
        <v>187</v>
      </c>
      <c r="F524" s="11" t="str">
        <f aca="false">IF(OR(E524="",E524="!!!"),"",IF(NOT(ISNA(VLOOKUP(E524,E$1:E523,1,FALSE()))),"OLD",IF(AND(E524&lt;&gt;"",E524&lt;&gt;"!!!"),"NEW","")))</f>
        <v>OLD</v>
      </c>
      <c r="G524" s="12" t="s">
        <v>72</v>
      </c>
      <c r="H524" s="13"/>
      <c r="I524" s="14" t="str">
        <f aca="false">IF(OR(E524="",E524="!!!",F524="NEW"),"",INDEX(B523:B$2,-1+SUMPRODUCT(MAX(ROW(E523:E$2)*(E524=E523:E$2)))))</f>
        <v>other_5</v>
      </c>
      <c r="J524" s="15" t="n">
        <f aca="true">IF(OR(E524="",E524="!!!",F524="NEW"),"",COUNTBLANK(OFFSET(A$1,,,SUMPRODUCT(MAX(ROW(E$2:E524)*(E524=E$2:E524)))))-COUNTBLANK(OFFSET(A$1,,,SUMPRODUCT(MAX(ROW(E$1:E523)*(E524=E$1:E523))))))</f>
        <v>1</v>
      </c>
      <c r="K524" s="15" t="n">
        <f aca="false">IF(OR(E524="",E524="!!!",F524="NEW"),"",INDEX(J$1:J523,SUMPRODUCT(MAX(ROW(E$1:E523)*(E524=E$1:E523)))))</f>
        <v>3</v>
      </c>
      <c r="L524" s="16"/>
    </row>
    <row r="525" customFormat="false" ht="12.8" hidden="false" customHeight="false" outlineLevel="0" collapsed="false">
      <c r="A525" s="0" t="s">
        <v>69</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IF(OR(E525="",E525="!!!",F525="NEW"),"",INDEX(B524:B$2,-1+SUMPRODUCT(MAX(ROW(E524:E$2)*(E525=E524:E$2)))))</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8" hidden="false" customHeight="false" outlineLevel="0" collapsed="false">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IF(OR(E526="",E526="!!!",F526="NEW"),"",INDEX(B525:B$2,-1+SUMPRODUCT(MAX(ROW(E525:E$2)*(E526=E525:E$2)))))</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8" hidden="false" customHeight="false" outlineLevel="0" collapsed="false">
      <c r="A527" s="0" t="s">
        <v>367</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IF(OR(E527="",E527="!!!",F527="NEW"),"",INDEX(B526:B$2,-1+SUMPRODUCT(MAX(ROW(E526:E$2)*(E527=E526:E$2)))))</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8" hidden="false" customHeight="false" outlineLevel="0" collapsed="false">
      <c r="A528" s="0" t="s">
        <v>368</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IF(OR(E528="",E528="!!!",F528="NEW"),"",INDEX(B527:B$2,-1+SUMPRODUCT(MAX(ROW(E527:E$2)*(E528=E527:E$2)))))</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8" hidden="false" customHeight="false" outlineLevel="0" collapsed="false">
      <c r="A529" s="0" t="s">
        <v>369</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IF(OR(E529="",E529="!!!",F529="NEW"),"",INDEX(B528:B$2,-1+SUMPRODUCT(MAX(ROW(E528:E$2)*(E529=E528:E$2)))))</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8" hidden="false" customHeight="false" outlineLevel="0" collapsed="false">
      <c r="A530" s="0" t="s">
        <v>46</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IF(OR(E530="",E530="!!!",F530="NEW"),"",INDEX(B529:B$2,-1+SUMPRODUCT(MAX(ROW(E529:E$2)*(E530=E529:E$2)))))</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8" hidden="false" customHeight="false" outlineLevel="0" collapsed="false">
      <c r="A531" s="0" t="s">
        <v>152</v>
      </c>
      <c r="B531" s="0" t="s">
        <v>33</v>
      </c>
      <c r="C531" s="0" t="s">
        <v>34</v>
      </c>
      <c r="D531" s="0" t="s">
        <v>20</v>
      </c>
      <c r="E531" s="10" t="s">
        <v>360</v>
      </c>
      <c r="F531" s="11" t="str">
        <f aca="false">IF(OR(E531="",E531="!!!"),"",IF(NOT(ISNA(VLOOKUP(E531,E$1:E530,1,FALSE()))),"OLD",IF(AND(E531&lt;&gt;"",E531&lt;&gt;"!!!"),"NEW","")))</f>
        <v>OLD</v>
      </c>
      <c r="G531" s="12" t="s">
        <v>58</v>
      </c>
      <c r="H531" s="13" t="str">
        <f aca="false">IF(J531&lt;&gt;1,"",IF(I531="SBJ","CB","?"))</f>
        <v>CB</v>
      </c>
      <c r="I531" s="14" t="str">
        <f aca="false">IF(OR(E531="",E531="!!!",F531="NEW"),"",INDEX(B530:B$2,-1+SUMPRODUCT(MAX(ROW(E530:E$2)*(E531=E530:E$2)))))</f>
        <v>SBJ</v>
      </c>
      <c r="J531" s="15" t="n">
        <f aca="true">IF(OR(E531="",E531="!!!",F531="NEW"),"",COUNTBLANK(OFFSET(A$1,,,SUMPRODUCT(MAX(ROW(E$2:E531)*(E531=E$2:E531)))))-COUNTBLANK(OFFSET(A$1,,,SUMPRODUCT(MAX(ROW(E$1:E530)*(E531=E$1:E530))))))</f>
        <v>1</v>
      </c>
      <c r="K531" s="15" t="str">
        <f aca="false">IF(OR(E531="",E531="!!!",F531="NEW"),"",INDEX(J$1:J530,SUMPRODUCT(MAX(ROW(E$1:E530)*(E531=E$1:E530)))))</f>
        <v/>
      </c>
      <c r="L531" s="16"/>
    </row>
    <row r="532" customFormat="false" ht="12.8" hidden="false" customHeight="false" outlineLevel="0" collapsed="false">
      <c r="A532" s="0" t="s">
        <v>370</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IF(OR(E532="",E532="!!!",F532="NEW"),"",INDEX(B531:B$2,-1+SUMPRODUCT(MAX(ROW(E531:E$2)*(E532=E531:E$2)))))</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8" hidden="false" customHeight="false" outlineLevel="0" collapsed="false">
      <c r="A533" s="0" t="s">
        <v>371</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IF(OR(E533="",E533="!!!",F533="NEW"),"",INDEX(B532:B$2,-1+SUMPRODUCT(MAX(ROW(E532:E$2)*(E533=E532:E$2)))))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8" hidden="false" customHeight="false" outlineLevel="0" collapsed="false">
      <c r="A534" s="0" t="s">
        <v>372</v>
      </c>
      <c r="B534" s="0" t="s">
        <v>105</v>
      </c>
      <c r="C534" s="0" t="s">
        <v>30</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IF(OR(E534="",E534="!!!",F534="NEW"),"",INDEX(B533:B$2,-1+SUMPRODUCT(MAX(ROW(E533:E$2)*(E534=E533:E$2)))))</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8" hidden="false" customHeight="false" outlineLevel="0" collapsed="false">
      <c r="A535" s="0" t="s">
        <v>140</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IF(OR(E535="",E535="!!!",F535="NEW"),"",INDEX(B534:B$2,-1+SUMPRODUCT(MAX(ROW(E534:E$2)*(E535=E534:E$2)))))</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8" hidden="false" customHeight="false" outlineLevel="0" collapsed="false">
      <c r="A536" s="0" t="s">
        <v>373</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IF(OR(E536="",E536="!!!",F536="NEW"),"",INDEX(B535:B$2,-1+SUMPRODUCT(MAX(ROW(E535:E$2)*(E536=E535:E$2)))))</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8" hidden="false" customHeight="false" outlineLevel="0" collapsed="false">
      <c r="A537" s="0" t="s">
        <v>374</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IF(OR(E537="",E537="!!!",F537="NEW"),"",INDEX(B536:B$2,-1+SUMPRODUCT(MAX(ROW(E536:E$2)*(E537=E536:E$2)))))</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8" hidden="false" customHeight="false" outlineLevel="0" collapsed="false">
      <c r="A538" s="0" t="s">
        <v>199</v>
      </c>
      <c r="B538" s="0" t="s">
        <v>192</v>
      </c>
      <c r="C538" s="0" t="s">
        <v>30</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IF(OR(E538="",E538="!!!",F538="NEW"),"",INDEX(B537:B$2,-1+SUMPRODUCT(MAX(ROW(E537:E$2)*(E538=E537:E$2)))))</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8" hidden="false" customHeight="false" outlineLevel="0" collapsed="false">
      <c r="A539" s="0" t="s">
        <v>320</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IF(OR(E539="",E539="!!!",F539="NEW"),"",INDEX(B538:B$2,-1+SUMPRODUCT(MAX(ROW(E538:E$2)*(E539=E538:E$2)))))</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8" hidden="false" customHeight="false" outlineLevel="0" collapsed="false">
      <c r="A540" s="0" t="s">
        <v>40</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IF(OR(E540="",E540="!!!",F540="NEW"),"",INDEX(B539:B$2,-1+SUMPRODUCT(MAX(ROW(E539:E$2)*(E540=E539:E$2)))))</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8" hidden="false" customHeight="false" outlineLevel="0" collapsed="false">
      <c r="A541" s="0" t="s">
        <v>321</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IF(OR(E541="",E541="!!!",F541="NEW"),"",INDEX(B540:B$2,-1+SUMPRODUCT(MAX(ROW(E540:E$2)*(E541=E540:E$2)))))</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8" hidden="false" customHeight="false" outlineLevel="0" collapsed="false">
      <c r="A542" s="0" t="s">
        <v>69</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IF(OR(E542="",E542="!!!",F542="NEW"),"",INDEX(B541:B$2,-1+SUMPRODUCT(MAX(ROW(E541:E$2)*(E542=E541:E$2)))))</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8" hidden="false" customHeight="false" outlineLevel="0" collapsed="false">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IF(OR(E543="",E543="!!!",F543="NEW"),"",INDEX(B542:B$2,-1+SUMPRODUCT(MAX(ROW(E542:E$2)*(E543=E542:E$2)))))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8" hidden="false" customHeight="false" outlineLevel="0" collapsed="false">
      <c r="A544" s="0" t="s">
        <v>283</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IF(OR(E544="",E544="!!!",F544="NEW"),"",INDEX(B543:B$2,-1+SUMPRODUCT(MAX(ROW(E543:E$2)*(E544=E543:E$2)))))</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8" hidden="false" customHeight="false" outlineLevel="0" collapsed="false">
      <c r="A545" s="0" t="s">
        <v>375</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IF(OR(E545="",E545="!!!",F545="NEW"),"",INDEX(B544:B$2,-1+SUMPRODUCT(MAX(ROW(E544:E$2)*(E545=E544:E$2)))))</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8" hidden="false" customHeight="false" outlineLevel="0" collapsed="false">
      <c r="A546" s="0" t="s">
        <v>368</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IF(OR(E546="",E546="!!!",F546="NEW"),"",INDEX(B545:B$2,-1+SUMPRODUCT(MAX(ROW(E545:E$2)*(E546=E545:E$2)))))</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8" hidden="false" customHeight="false" outlineLevel="0" collapsed="false">
      <c r="A547" s="0" t="s">
        <v>47</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IF(OR(E547="",E547="!!!",F547="NEW"),"",INDEX(B546:B$2,-1+SUMPRODUCT(MAX(ROW(E546:E$2)*(E547=E546:E$2)))))</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8" hidden="false" customHeight="false" outlineLevel="0" collapsed="false">
      <c r="A548" s="0" t="s">
        <v>376</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IF(OR(E548="",E548="!!!",F548="NEW"),"",INDEX(B547:B$2,-1+SUMPRODUCT(MAX(ROW(E547:E$2)*(E548=E547:E$2)))))</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8" hidden="false" customHeight="false" outlineLevel="0" collapsed="false">
      <c r="A549" s="0" t="s">
        <v>377</v>
      </c>
      <c r="B549" s="0" t="s">
        <v>14</v>
      </c>
      <c r="C549" s="0" t="s">
        <v>52</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IF(OR(E549="",E549="!!!",F549="NEW"),"",INDEX(B548:B$2,-1+SUMPRODUCT(MAX(ROW(E548:E$2)*(E549=E548:E$2)))))</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8" hidden="false" customHeight="false" outlineLevel="0" collapsed="false">
      <c r="A550" s="0" t="s">
        <v>152</v>
      </c>
      <c r="B550" s="0" t="s">
        <v>33</v>
      </c>
      <c r="C550" s="0" t="s">
        <v>34</v>
      </c>
      <c r="D550" s="0" t="s">
        <v>20</v>
      </c>
      <c r="E550" s="10" t="s">
        <v>360</v>
      </c>
      <c r="F550" s="11" t="str">
        <f aca="false">IF(OR(E550="",E550="!!!"),"",IF(NOT(ISNA(VLOOKUP(E550,E$1:E549,1,FALSE()))),"OLD",IF(AND(E550&lt;&gt;"",E550&lt;&gt;"!!!"),"NEW","")))</f>
        <v>OLD</v>
      </c>
      <c r="G550" s="12" t="s">
        <v>58</v>
      </c>
      <c r="H550" s="13" t="str">
        <f aca="false">IF(J550&lt;&gt;1,"",IF(I550="SBJ","CB","?"))</f>
        <v>CB</v>
      </c>
      <c r="I550" s="14" t="str">
        <f aca="false">IF(OR(E550="",E550="!!!",F550="NEW"),"",INDEX(B549:B$2,-1+SUMPRODUCT(MAX(ROW(E549:E$2)*(E550=E549:E$2)))))</f>
        <v>SBJ</v>
      </c>
      <c r="J550" s="15" t="n">
        <f aca="true">IF(OR(E550="",E550="!!!",F550="NEW"),"",COUNTBLANK(OFFSET(A$1,,,SUMPRODUCT(MAX(ROW(E$2:E550)*(E550=E$2:E550)))))-COUNTBLANK(OFFSET(A$1,,,SUMPRODUCT(MAX(ROW(E$1:E549)*(E550=E$1:E549))))))</f>
        <v>1</v>
      </c>
      <c r="K550" s="15" t="n">
        <f aca="false">IF(OR(E550="",E550="!!!",F550="NEW"),"",INDEX(J$1:J549,SUMPRODUCT(MAX(ROW(E$1:E549)*(E550=E$1:E549)))))</f>
        <v>1</v>
      </c>
      <c r="L550" s="16"/>
    </row>
    <row r="551" customFormat="false" ht="12.8" hidden="false" customHeight="false" outlineLevel="0" collapsed="false">
      <c r="A551" s="0" t="s">
        <v>276</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IF(OR(E551="",E551="!!!",F551="NEW"),"",INDEX(B550:B$2,-1+SUMPRODUCT(MAX(ROW(E550:E$2)*(E551=E550:E$2)))))</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8" hidden="false" customHeight="false" outlineLevel="0" collapsed="false">
      <c r="A552" s="0" t="s">
        <v>378</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IF(OR(E552="",E552="!!!",F552="NEW"),"",INDEX(B551:B$2,-1+SUMPRODUCT(MAX(ROW(E551:E$2)*(E552=E551:E$2)))))</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8" hidden="false" customHeight="false" outlineLevel="0" collapsed="false">
      <c r="A553" s="0" t="s">
        <v>379</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IF(OR(E553="",E553="!!!",F553="NEW"),"",INDEX(B552:B$2,-1+SUMPRODUCT(MAX(ROW(E552:E$2)*(E553=E552:E$2)))))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8" hidden="false" customHeight="false" outlineLevel="0" collapsed="false">
      <c r="A554" s="0" t="s">
        <v>311</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IF(OR(E554="",E554="!!!",F554="NEW"),"",INDEX(B553:B$2,-1+SUMPRODUCT(MAX(ROW(E553:E$2)*(E554=E553:E$2)))))</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8" hidden="false" customHeight="false" outlineLevel="0" collapsed="false">
      <c r="A555" s="0" t="s">
        <v>81</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IF(OR(E555="",E555="!!!",F555="NEW"),"",INDEX(B554:B$2,-1+SUMPRODUCT(MAX(ROW(E554:E$2)*(E555=E554:E$2)))))</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8" hidden="false" customHeight="false" outlineLevel="0" collapsed="false">
      <c r="A556" s="0" t="s">
        <v>313</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IF(OR(E556="",E556="!!!",F556="NEW"),"",INDEX(B555:B$2,-1+SUMPRODUCT(MAX(ROW(E555:E$2)*(E556=E555:E$2)))))</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8" hidden="false" customHeight="false" outlineLevel="0" collapsed="false">
      <c r="A557" s="0" t="s">
        <v>314</v>
      </c>
      <c r="B557" s="0" t="s">
        <v>14</v>
      </c>
      <c r="C557" s="0" t="s">
        <v>19</v>
      </c>
      <c r="D557" s="0" t="s">
        <v>20</v>
      </c>
      <c r="E557" s="10" t="s">
        <v>315</v>
      </c>
      <c r="F557" s="11" t="str">
        <f aca="false">IF(OR(E557="",E557="!!!"),"",IF(NOT(ISNA(VLOOKUP(E557,E$1:E556,1,FALSE()))),"OLD",IF(AND(E557&lt;&gt;"",E557&lt;&gt;"!!!"),"NEW","")))</f>
        <v>OLD</v>
      </c>
      <c r="G557" s="12" t="s">
        <v>85</v>
      </c>
      <c r="H557" s="13" t="str">
        <f aca="false">IF(J557&lt;&gt;1,"",IF(I557="SBJ","CB","?"))</f>
        <v/>
      </c>
      <c r="I557" s="14" t="str">
        <f aca="false">IF(OR(E557="",E557="!!!",F557="NEW"),"",INDEX(B556:B$2,-1+SUMPRODUCT(MAX(ROW(E556:E$2)*(E557=E556:E$2)))))</f>
        <v>other_2</v>
      </c>
      <c r="J557" s="15" t="n">
        <f aca="true">IF(OR(E557="",E557="!!!",F557="NEW"),"",COUNTBLANK(OFFSET(A$1,,,SUMPRODUCT(MAX(ROW(E$2:E557)*(E557=E$2:E557)))))-COUNTBLANK(OFFSET(A$1,,,SUMPRODUCT(MAX(ROW(E$1:E556)*(E557=E$1:E556))))))</f>
        <v>4</v>
      </c>
      <c r="K557" s="15" t="str">
        <f aca="false">IF(OR(E557="",E557="!!!",F557="NEW"),"",INDEX(J$1:J556,SUMPRODUCT(MAX(ROW(E$1:E556)*(E557=E$1:E556)))))</f>
        <v/>
      </c>
      <c r="L557" s="16"/>
    </row>
    <row r="558" customFormat="false" ht="12.8" hidden="false" customHeight="false" outlineLevel="0" collapsed="false">
      <c r="A558" s="0" t="s">
        <v>46</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IF(OR(E558="",E558="!!!",F558="NEW"),"",INDEX(B557:B$2,-1+SUMPRODUCT(MAX(ROW(E557:E$2)*(E558=E557:E$2)))))</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8" hidden="false" customHeight="false" outlineLevel="0" collapsed="false">
      <c r="A559" s="0" t="s">
        <v>124</v>
      </c>
      <c r="B559" s="0" t="s">
        <v>14</v>
      </c>
      <c r="C559" s="0" t="s">
        <v>106</v>
      </c>
      <c r="D559" s="0" t="s">
        <v>20</v>
      </c>
      <c r="E559" s="10" t="s">
        <v>380</v>
      </c>
      <c r="F559" s="11" t="str">
        <f aca="false">IF(OR(E559="",E559="!!!"),"",IF(NOT(ISNA(VLOOKUP(E559,E$1:E558,1,FALSE()))),"OLD",IF(AND(E559&lt;&gt;"",E559&lt;&gt;"!!!"),"NEW","")))</f>
        <v>NEW</v>
      </c>
      <c r="G559" s="12" t="s">
        <v>310</v>
      </c>
      <c r="H559" s="13" t="str">
        <f aca="false">IF(J559&lt;&gt;1,"",IF(I559="SBJ","CB","?"))</f>
        <v/>
      </c>
      <c r="I559" s="14" t="str">
        <f aca="false">IF(OR(E559="",E559="!!!",F559="NEW"),"",INDEX(B558:B$2,-1+SUMPRODUCT(MAX(ROW(E558:E$2)*(E559=E558:E$2)))))</f>
        <v/>
      </c>
      <c r="J559" s="15" t="str">
        <f aca="true">IF(OR(E559="",E559="!!!",F559="NEW"),"",COUNTBLANK(OFFSET(A$1,,,SUMPRODUCT(MAX(ROW(E$2:E559)*(E559=E$2:E559)))))-COUNTBLANK(OFFSET(A$1,,,SUMPRODUCT(MAX(ROW(E$1:E558)*(E559=E$1:E558))))))</f>
        <v/>
      </c>
      <c r="K559" s="15" t="str">
        <f aca="false">IF(OR(E559="",E559="!!!",F559="NEW"),"",INDEX(J$1:J558,SUMPRODUCT(MAX(ROW(E$1:E558)*(E559=E$1:E558)))))</f>
        <v/>
      </c>
      <c r="L559" s="16" t="s">
        <v>381</v>
      </c>
    </row>
    <row r="560" customFormat="false" ht="12.8" hidden="false" customHeight="false" outlineLevel="0" collapsed="false">
      <c r="A560" s="0" t="s">
        <v>26</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IF(OR(E560="",E560="!!!",F560="NEW"),"",INDEX(B559:B$2,-1+SUMPRODUCT(MAX(ROW(E559:E$2)*(E560=E559:E$2)))))</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8" hidden="false" customHeight="false" outlineLevel="0" collapsed="false">
      <c r="A561" s="0" t="s">
        <v>279</v>
      </c>
      <c r="B561" s="0" t="s">
        <v>55</v>
      </c>
      <c r="C561" s="0" t="s">
        <v>103</v>
      </c>
      <c r="D561" s="0" t="s">
        <v>20</v>
      </c>
      <c r="E561" s="10" t="s">
        <v>360</v>
      </c>
      <c r="F561" s="11" t="str">
        <f aca="false">IF(OR(E561="",E561="!!!"),"",IF(NOT(ISNA(VLOOKUP(E561,E$1:E560,1,FALSE()))),"OLD",IF(AND(E561&lt;&gt;"",E561&lt;&gt;"!!!"),"NEW","")))</f>
        <v>OLD</v>
      </c>
      <c r="G561" s="12" t="s">
        <v>58</v>
      </c>
      <c r="H561" s="13" t="str">
        <f aca="false">IF(J561&lt;&gt;1,"",IF(I561="SBJ","CB","?"))</f>
        <v/>
      </c>
      <c r="I561" s="14" t="str">
        <f aca="false">IF(OR(E561="",E561="!!!",F561="NEW"),"",INDEX(B560:B$2,-1+SUMPRODUCT(MAX(ROW(E560:E$2)*(E561=E560:E$2)))))</f>
        <v>SBJ</v>
      </c>
      <c r="J561" s="15" t="n">
        <f aca="true">IF(OR(E561="",E561="!!!",F561="NEW"),"",COUNTBLANK(OFFSET(A$1,,,SUMPRODUCT(MAX(ROW(E$2:E561)*(E561=E$2:E561)))))-COUNTBLANK(OFFSET(A$1,,,SUMPRODUCT(MAX(ROW(E$1:E560)*(E561=E$1:E560))))))</f>
        <v>0</v>
      </c>
      <c r="K561" s="15" t="n">
        <f aca="false">IF(OR(E561="",E561="!!!",F561="NEW"),"",INDEX(J$1:J560,SUMPRODUCT(MAX(ROW(E$1:E560)*(E561=E$1:E560)))))</f>
        <v>1</v>
      </c>
      <c r="L561" s="16"/>
    </row>
    <row r="562" customFormat="false" ht="12.8" hidden="false" customHeight="false" outlineLevel="0" collapsed="false">
      <c r="A562" s="0" t="s">
        <v>382</v>
      </c>
      <c r="B562" s="0" t="s">
        <v>29</v>
      </c>
      <c r="C562" s="0" t="s">
        <v>106</v>
      </c>
      <c r="D562" s="0" t="s">
        <v>20</v>
      </c>
      <c r="E562" s="10" t="s">
        <v>383</v>
      </c>
      <c r="F562" s="11" t="str">
        <f aca="false">IF(OR(E562="",E562="!!!"),"",IF(NOT(ISNA(VLOOKUP(E562,E$1:E561,1,FALSE()))),"OLD",IF(AND(E562&lt;&gt;"",E562&lt;&gt;"!!!"),"NEW","")))</f>
        <v>NEW</v>
      </c>
      <c r="G562" s="12" t="str">
        <f aca="false">IF(OR(E562="",E562="!!!"),"",IF(OR(J562=0,AND(J562=1,K562=1),AND(J562=1,I562="SBJ"),AND(J562=1,I562=0)),"?IN_FOCUS",IF(J562&lt;=2,"?ACTIVATED",IF(J562&lt;&gt;"","?FAMILIAR",IF(F562="NEW",IF(ISNA(VLOOKUP(E562,#REF!,1,FALSE())),"?TYPE_IDENTIFIABLE","?REFERENTIAL"),"_")))))</f>
        <v>?REFERENTIAL</v>
      </c>
      <c r="H562" s="13" t="str">
        <f aca="false">IF(J562&lt;&gt;1,"",IF(I562="SBJ","CB","?"))</f>
        <v/>
      </c>
      <c r="I562" s="14" t="str">
        <f aca="false">IF(OR(E562="",E562="!!!",F562="NEW"),"",INDEX(B561:B$2,-1+SUMPRODUCT(MAX(ROW(E561:E$2)*(E562=E561:E$2)))))</f>
        <v/>
      </c>
      <c r="J562" s="15" t="str">
        <f aca="true">IF(OR(E562="",E562="!!!",F562="NEW"),"",COUNTBLANK(OFFSET(A$1,,,SUMPRODUCT(MAX(ROW(E$2:E562)*(E562=E$2:E562)))))-COUNTBLANK(OFFSET(A$1,,,SUMPRODUCT(MAX(ROW(E$1:E561)*(E562=E$1:E561))))))</f>
        <v/>
      </c>
      <c r="K562" s="15" t="str">
        <f aca="false">IF(OR(E562="",E562="!!!",F562="NEW"),"",INDEX(J$1:J561,SUMPRODUCT(MAX(ROW(E$1:E561)*(E562=E$1:E561)))))</f>
        <v/>
      </c>
      <c r="L562" s="16" t="s">
        <v>384</v>
      </c>
    </row>
    <row r="563" customFormat="false" ht="12.8" hidden="false" customHeight="false" outlineLevel="0" collapsed="false">
      <c r="A563" s="0" t="s">
        <v>46</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IF(OR(E563="",E563="!!!",F563="NEW"),"",INDEX(B562:B$2,-1+SUMPRODUCT(MAX(ROW(E562:E$2)*(E563=E562:E$2)))))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8" hidden="false" customHeight="false" outlineLevel="0" collapsed="false">
      <c r="A564" s="0" t="s">
        <v>47</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IF(OR(E564="",E564="!!!",F564="NEW"),"",INDEX(B563:B$2,-1+SUMPRODUCT(MAX(ROW(E563:E$2)*(E564=E563:E$2)))))</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8" hidden="false" customHeight="false" outlineLevel="0" collapsed="false">
      <c r="A565" s="0" t="s">
        <v>385</v>
      </c>
      <c r="E565" s="10" t="s">
        <v>386</v>
      </c>
      <c r="F565" s="11" t="str">
        <f aca="false">IF(OR(E565="",E565="!!!"),"",IF(NOT(ISNA(VLOOKUP(E565,E$1:E564,1,FALSE()))),"OLD",IF(AND(E565&lt;&gt;"",E565&lt;&gt;"!!!"),"NEW","")))</f>
        <v>NEW</v>
      </c>
      <c r="G565" s="12" t="s">
        <v>85</v>
      </c>
      <c r="H565" s="13" t="str">
        <f aca="false">IF(J565&lt;&gt;1,"",IF(I565="SBJ","CB","?"))</f>
        <v/>
      </c>
      <c r="I565" s="14" t="str">
        <f aca="false">IF(OR(E565="",E565="!!!",F565="NEW"),"",INDEX(B564:B$2,-1+SUMPRODUCT(MAX(ROW(E564:E$2)*(E565=E564:E$2)))))</f>
        <v/>
      </c>
      <c r="J565" s="15" t="str">
        <f aca="true">IF(OR(E565="",E565="!!!",F565="NEW"),"",COUNTBLANK(OFFSET(A$1,,,SUMPRODUCT(MAX(ROW(E$2:E565)*(E565=E$2:E565)))))-COUNTBLANK(OFFSET(A$1,,,SUMPRODUCT(MAX(ROW(E$1:E564)*(E565=E$1:E564))))))</f>
        <v/>
      </c>
      <c r="K565" s="15" t="str">
        <f aca="false">IF(OR(E565="",E565="!!!",F565="NEW"),"",INDEX(J$1:J564,SUMPRODUCT(MAX(ROW(E$1:E564)*(E565=E$1:E564)))))</f>
        <v/>
      </c>
      <c r="L565" s="16" t="s">
        <v>387</v>
      </c>
    </row>
    <row r="566" customFormat="false" ht="12.8" hidden="false" customHeight="false" outlineLevel="0" collapsed="false">
      <c r="A566" s="0" t="s">
        <v>388</v>
      </c>
      <c r="B566" s="0" t="s">
        <v>105</v>
      </c>
      <c r="C566" s="0" t="s">
        <v>52</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IF(OR(E566="",E566="!!!",F566="NEW"),"",INDEX(B565:B$2,-1+SUMPRODUCT(MAX(ROW(E565:E$2)*(E566=E565:E$2)))))</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8" hidden="false" customHeight="false" outlineLevel="0" collapsed="false">
      <c r="A567" s="0" t="s">
        <v>173</v>
      </c>
      <c r="B567" s="0" t="s">
        <v>132</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IF(OR(E567="",E567="!!!",F567="NEW"),"",INDEX(B566:B$2,-1+SUMPRODUCT(MAX(ROW(E566:E$2)*(E567=E566:E$2)))))</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8" hidden="false" customHeight="false" outlineLevel="0" collapsed="false">
      <c r="A568" s="0" t="s">
        <v>389</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IF(OR(E568="",E568="!!!",F568="NEW"),"",INDEX(B567:B$2,-1+SUMPRODUCT(MAX(ROW(E567:E$2)*(E568=E567:E$2)))))</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8" hidden="false" customHeight="false" outlineLevel="0" collapsed="false">
      <c r="A569" s="0" t="s">
        <v>390</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IF(OR(E569="",E569="!!!",F569="NEW"),"",INDEX(B568:B$2,-1+SUMPRODUCT(MAX(ROW(E568:E$2)*(E569=E568:E$2)))))</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8" hidden="false" customHeight="false" outlineLevel="0" collapsed="false">
      <c r="A570" s="0" t="s">
        <v>391</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IF(OR(E570="",E570="!!!",F570="NEW"),"",INDEX(B569:B$2,-1+SUMPRODUCT(MAX(ROW(E569:E$2)*(E570=E569:E$2)))))</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8" hidden="false" customHeight="false" outlineLevel="0" collapsed="false">
      <c r="A571" s="0" t="s">
        <v>210</v>
      </c>
      <c r="B571" s="0" t="s">
        <v>29</v>
      </c>
      <c r="C571" s="0" t="s">
        <v>52</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IF(OR(E571="",E571="!!!",F571="NEW"),"",INDEX(B570:B$2,-1+SUMPRODUCT(MAX(ROW(E570:E$2)*(E571=E570:E$2)))))</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8" hidden="false" customHeight="false" outlineLevel="0" collapsed="false">
      <c r="A572" s="0" t="s">
        <v>75</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IF(OR(E572="",E572="!!!",F572="NEW"),"",INDEX(B571:B$2,-1+SUMPRODUCT(MAX(ROW(E571:E$2)*(E572=E571:E$2)))))</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8" hidden="false" customHeight="false" outlineLevel="0" collapsed="false">
      <c r="A573" s="0" t="s">
        <v>122</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IF(OR(E573="",E573="!!!",F573="NEW"),"",INDEX(B572:B$2,-1+SUMPRODUCT(MAX(ROW(E572:E$2)*(E573=E572:E$2)))))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8" hidden="false" customHeight="false" outlineLevel="0" collapsed="false">
      <c r="A574" s="0" t="n">
        <v>20</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IF(OR(E574="",E574="!!!",F574="NEW"),"",INDEX(B573:B$2,-1+SUMPRODUCT(MAX(ROW(E573:E$2)*(E574=E573:E$2)))))</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8" hidden="false" customHeight="false" outlineLevel="0" collapsed="false">
      <c r="A575" s="0" t="s">
        <v>230</v>
      </c>
      <c r="B575" s="0" t="s">
        <v>55</v>
      </c>
      <c r="C575" s="0" t="s">
        <v>15</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IF(OR(E575="",E575="!!!",F575="NEW"),"",INDEX(B574:B$2,-1+SUMPRODUCT(MAX(ROW(E574:E$2)*(E575=E574:E$2)))))</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8" hidden="false" customHeight="false" outlineLevel="0" collapsed="false">
      <c r="A576" s="0" t="s">
        <v>40</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IF(OR(E576="",E576="!!!",F576="NEW"),"",INDEX(B575:B$2,-1+SUMPRODUCT(MAX(ROW(E575:E$2)*(E576=E575:E$2)))))</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8" hidden="false" customHeight="false" outlineLevel="0" collapsed="false">
      <c r="A577" s="0" t="s">
        <v>392</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IF(OR(E577="",E577="!!!",F577="NEW"),"",INDEX(B576:B$2,-1+SUMPRODUCT(MAX(ROW(E576:E$2)*(E577=E576:E$2)))))</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8" hidden="false" customHeight="false" outlineLevel="0" collapsed="false">
      <c r="A578" s="0" t="s">
        <v>393</v>
      </c>
      <c r="B578" s="0" t="s">
        <v>55</v>
      </c>
      <c r="C578" s="0" t="s">
        <v>30</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IF(OR(E578="",E578="!!!",F578="NEW"),"",INDEX(B577:B$2,-1+SUMPRODUCT(MAX(ROW(E577:E$2)*(E578=E577:E$2)))))</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8" hidden="false" customHeight="false" outlineLevel="0" collapsed="false">
      <c r="A579" s="0" t="s">
        <v>26</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IF(OR(E579="",E579="!!!",F579="NEW"),"",INDEX(B578:B$2,-1+SUMPRODUCT(MAX(ROW(E578:E$2)*(E579=E578:E$2)))))</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8" hidden="false" customHeight="false" outlineLevel="0" collapsed="false">
      <c r="A580" s="0" t="s">
        <v>108</v>
      </c>
      <c r="B580" s="0" t="s">
        <v>63</v>
      </c>
      <c r="C580" s="0" t="s">
        <v>30</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IF(OR(E580="",E580="!!!",F580="NEW"),"",INDEX(B579:B$2,-1+SUMPRODUCT(MAX(ROW(E579:E$2)*(E580=E579:E$2)))))</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8" hidden="false" customHeight="false" outlineLevel="0" collapsed="false">
      <c r="A581" s="0" t="s">
        <v>46</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IF(OR(E581="",E581="!!!",F581="NEW"),"",INDEX(B580:B$2,-1+SUMPRODUCT(MAX(ROW(E580:E$2)*(E581=E580:E$2)))))</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8" hidden="false" customHeight="false" outlineLevel="0" collapsed="false">
      <c r="A582" s="0" t="s">
        <v>298</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IF(OR(E582="",E582="!!!",F582="NEW"),"",INDEX(B581:B$2,-1+SUMPRODUCT(MAX(ROW(E581:E$2)*(E582=E581:E$2)))))</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8" hidden="false" customHeight="false" outlineLevel="0" collapsed="false">
      <c r="A583" s="0" t="s">
        <v>26</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IF(OR(E583="",E583="!!!",F583="NEW"),"",INDEX(B582:B$2,-1+SUMPRODUCT(MAX(ROW(E582:E$2)*(E583=E582:E$2)))))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8" hidden="false" customHeight="false" outlineLevel="0" collapsed="false">
      <c r="A584" s="0" t="s">
        <v>124</v>
      </c>
      <c r="B584" s="0" t="s">
        <v>29</v>
      </c>
      <c r="C584" s="0" t="s">
        <v>106</v>
      </c>
      <c r="D584" s="0" t="s">
        <v>20</v>
      </c>
      <c r="E584" s="10" t="s">
        <v>394</v>
      </c>
      <c r="F584" s="11" t="str">
        <f aca="false">IF(OR(E584="",E584="!!!"),"",IF(NOT(ISNA(VLOOKUP(E584,E$1:E583,1,FALSE()))),"OLD",IF(AND(E584&lt;&gt;"",E584&lt;&gt;"!!!"),"NEW","")))</f>
        <v>NEW</v>
      </c>
      <c r="G584" s="12" t="s">
        <v>85</v>
      </c>
      <c r="H584" s="13" t="str">
        <f aca="false">IF(J584&lt;&gt;1,"",IF(I584="SBJ","CB","?"))</f>
        <v/>
      </c>
      <c r="I584" s="14" t="str">
        <f aca="false">IF(OR(E584="",E584="!!!",F584="NEW"),"",INDEX(B583:B$2,-1+SUMPRODUCT(MAX(ROW(E583:E$2)*(E584=E583:E$2)))))</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8" hidden="false" customHeight="false" outlineLevel="0" collapsed="false">
      <c r="A585" s="0" t="s">
        <v>26</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IF(OR(E585="",E585="!!!",F585="NEW"),"",INDEX(B584:B$2,-1+SUMPRODUCT(MAX(ROW(E584:E$2)*(E585=E584:E$2)))))</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8" hidden="false" customHeight="false" outlineLevel="0" collapsed="false">
      <c r="A586" s="0" t="s">
        <v>279</v>
      </c>
      <c r="B586" s="0" t="s">
        <v>63</v>
      </c>
      <c r="C586" s="0" t="s">
        <v>103</v>
      </c>
      <c r="D586" s="0" t="s">
        <v>20</v>
      </c>
      <c r="E586" s="10" t="s">
        <v>360</v>
      </c>
      <c r="F586" s="11" t="str">
        <f aca="false">IF(OR(E586="",E586="!!!"),"",IF(NOT(ISNA(VLOOKUP(E586,E$1:E585,1,FALSE()))),"OLD",IF(AND(E586&lt;&gt;"",E586&lt;&gt;"!!!"),"NEW","")))</f>
        <v>OLD</v>
      </c>
      <c r="G586" s="12" t="s">
        <v>58</v>
      </c>
      <c r="H586" s="13" t="str">
        <f aca="false">IF(J586&lt;&gt;1,"",IF(I586="SBJ","CB","?"))</f>
        <v/>
      </c>
      <c r="I586" s="14" t="str">
        <f aca="false">IF(OR(E586="",E586="!!!",F586="NEW"),"",INDEX(B585:B$2,-1+SUMPRODUCT(MAX(ROW(E585:E$2)*(E586=E585:E$2)))))</f>
        <v>other_3</v>
      </c>
      <c r="J586" s="15" t="n">
        <f aca="true">IF(OR(E586="",E586="!!!",F586="NEW"),"",COUNTBLANK(OFFSET(A$1,,,SUMPRODUCT(MAX(ROW(E$2:E586)*(E586=E$2:E586)))))-COUNTBLANK(OFFSET(A$1,,,SUMPRODUCT(MAX(ROW(E$1:E585)*(E586=E$1:E585))))))</f>
        <v>0</v>
      </c>
      <c r="K586" s="15" t="n">
        <f aca="false">IF(OR(E586="",E586="!!!",F586="NEW"),"",INDEX(J$1:J585,SUMPRODUCT(MAX(ROW(E$1:E585)*(E586=E$1:E585)))))</f>
        <v>0</v>
      </c>
      <c r="L586" s="16"/>
    </row>
    <row r="587" customFormat="false" ht="12.8" hidden="false" customHeight="false" outlineLevel="0" collapsed="false">
      <c r="A587" s="0" t="s">
        <v>395</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IF(OR(E587="",E587="!!!",F587="NEW"),"",INDEX(B586:B$2,-1+SUMPRODUCT(MAX(ROW(E586:E$2)*(E587=E586:E$2)))))</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8" hidden="false" customHeight="false" outlineLevel="0" collapsed="false">
      <c r="A588" s="0" t="s">
        <v>396</v>
      </c>
      <c r="B588" s="0" t="s">
        <v>55</v>
      </c>
      <c r="C588" s="0" t="s">
        <v>106</v>
      </c>
      <c r="D588" s="0" t="s">
        <v>20</v>
      </c>
      <c r="E588" s="10" t="s">
        <v>397</v>
      </c>
      <c r="F588" s="11" t="str">
        <f aca="false">IF(OR(E588="",E588="!!!"),"",IF(NOT(ISNA(VLOOKUP(E588,E$1:E587,1,FALSE()))),"OLD",IF(AND(E588&lt;&gt;"",E588&lt;&gt;"!!!"),"NEW","")))</f>
        <v>NEW</v>
      </c>
      <c r="G588" s="12" t="s">
        <v>85</v>
      </c>
      <c r="H588" s="13" t="str">
        <f aca="false">IF(J588&lt;&gt;1,"",IF(I588="SBJ","CB","?"))</f>
        <v/>
      </c>
      <c r="I588" s="14" t="str">
        <f aca="false">IF(OR(E588="",E588="!!!",F588="NEW"),"",INDEX(B587:B$2,-1+SUMPRODUCT(MAX(ROW(E587:E$2)*(E588=E587:E$2)))))</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8" hidden="false" customHeight="false" outlineLevel="0" collapsed="false">
      <c r="A589" s="0" t="s">
        <v>46</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IF(OR(E589="",E589="!!!",F589="NEW"),"",INDEX(B588:B$2,-1+SUMPRODUCT(MAX(ROW(E588:E$2)*(E589=E588:E$2)))))</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8" hidden="false" customHeight="false" outlineLevel="0" collapsed="false">
      <c r="A590" s="0" t="s">
        <v>299</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IF(OR(E590="",E590="!!!",F590="NEW"),"",INDEX(B589:B$2,-1+SUMPRODUCT(MAX(ROW(E589:E$2)*(E590=E589:E$2)))))</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8" hidden="false" customHeight="false" outlineLevel="0" collapsed="false">
      <c r="A591" s="0" t="s">
        <v>263</v>
      </c>
      <c r="B591" s="0" t="s">
        <v>89</v>
      </c>
      <c r="C591" s="0" t="s">
        <v>34</v>
      </c>
      <c r="D591" s="0" t="s">
        <v>20</v>
      </c>
      <c r="E591" s="10" t="s">
        <v>394</v>
      </c>
      <c r="F591" s="11" t="str">
        <f aca="false">IF(OR(E591="",E591="!!!"),"",IF(NOT(ISNA(VLOOKUP(E591,E$1:E590,1,FALSE()))),"OLD",IF(AND(E591&lt;&gt;"",E591&lt;&gt;"!!!"),"NEW","")))</f>
        <v>OLD</v>
      </c>
      <c r="G591" s="12" t="s">
        <v>58</v>
      </c>
      <c r="H591" s="13" t="str">
        <f aca="false">IF(J591&lt;&gt;1,"",IF(I591="SBJ","CB","?"))</f>
        <v/>
      </c>
      <c r="I591" s="14" t="str">
        <f aca="false">IF(OR(E591="",E591="!!!",F591="NEW"),"",INDEX(B590:B$2,-1+SUMPRODUCT(MAX(ROW(E590:E$2)*(E591=E590:E$2)))))</f>
        <v>other_2</v>
      </c>
      <c r="J591" s="15" t="n">
        <f aca="true">IF(OR(E591="",E591="!!!",F591="NEW"),"",COUNTBLANK(OFFSET(A$1,,,SUMPRODUCT(MAX(ROW(E$2:E591)*(E591=E$2:E591)))))-COUNTBLANK(OFFSET(A$1,,,SUMPRODUCT(MAX(ROW(E$1:E590)*(E591=E$1:E590))))))</f>
        <v>0</v>
      </c>
      <c r="K591" s="15" t="str">
        <f aca="false">IF(OR(E591="",E591="!!!",F591="NEW"),"",INDEX(J$1:J590,SUMPRODUCT(MAX(ROW(E$1:E590)*(E591=E$1:E590)))))</f>
        <v/>
      </c>
      <c r="L591" s="16"/>
    </row>
    <row r="592" customFormat="false" ht="12.8" hidden="false" customHeight="false" outlineLevel="0" collapsed="false">
      <c r="A592" s="0" t="s">
        <v>340</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IF(OR(E592="",E592="!!!",F592="NEW"),"",INDEX(B591:B$2,-1+SUMPRODUCT(MAX(ROW(E591:E$2)*(E592=E591:E$2)))))</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8" hidden="false" customHeight="false" outlineLevel="0" collapsed="false">
      <c r="A593" s="0" t="s">
        <v>307</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IF(OR(E593="",E593="!!!",F593="NEW"),"",INDEX(B592:B$2,-1+SUMPRODUCT(MAX(ROW(E592:E$2)*(E593=E592:E$2)))))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8" hidden="false" customHeight="false" outlineLevel="0" collapsed="false">
      <c r="A594" s="0" t="s">
        <v>398</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IF(OR(E594="",E594="!!!",F594="NEW"),"",INDEX(B593:B$2,-1+SUMPRODUCT(MAX(ROW(E593:E$2)*(E594=E593:E$2)))))</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8" hidden="false" customHeight="false" outlineLevel="0" collapsed="false">
      <c r="A595" s="0" t="s">
        <v>46</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IF(OR(E595="",E595="!!!",F595="NEW"),"",INDEX(B594:B$2,-1+SUMPRODUCT(MAX(ROW(E594:E$2)*(E595=E594:E$2)))))</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8" hidden="false" customHeight="false" outlineLevel="0" collapsed="false">
      <c r="A596" s="0" t="s">
        <v>224</v>
      </c>
      <c r="B596" s="0" t="s">
        <v>132</v>
      </c>
      <c r="C596" s="0" t="s">
        <v>34</v>
      </c>
      <c r="D596" s="0" t="s">
        <v>20</v>
      </c>
      <c r="E596" s="10"/>
      <c r="F596" s="11" t="s">
        <v>399</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IF(OR(E596="",E596="!!!",F596="NEW"),"",INDEX(B595:B$2,-1+SUMPRODUCT(MAX(ROW(E595:E$2)*(E596=E595:E$2)))))</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8" hidden="false" customHeight="false" outlineLevel="0" collapsed="false">
      <c r="A597" s="0" t="s">
        <v>340</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IF(OR(E597="",E597="!!!",F597="NEW"),"",INDEX(B596:B$2,-1+SUMPRODUCT(MAX(ROW(E596:E$2)*(E597=E596:E$2)))))</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8" hidden="false" customHeight="false" outlineLevel="0" collapsed="false">
      <c r="A598" s="0" t="s">
        <v>243</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IF(OR(E598="",E598="!!!",F598="NEW"),"",INDEX(B597:B$2,-1+SUMPRODUCT(MAX(ROW(E597:E$2)*(E598=E597:E$2)))))</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8" hidden="false" customHeight="false" outlineLevel="0" collapsed="false">
      <c r="A599" s="0" t="s">
        <v>400</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IF(OR(E599="",E599="!!!",F599="NEW"),"",INDEX(B598:B$2,-1+SUMPRODUCT(MAX(ROW(E598:E$2)*(E599=E598:E$2)))))</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8" hidden="false" customHeight="false" outlineLevel="0" collapsed="false">
      <c r="A600" s="0" t="s">
        <v>256</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IF(OR(E600="",E600="!!!",F600="NEW"),"",INDEX(B599:B$2,-1+SUMPRODUCT(MAX(ROW(E599:E$2)*(E600=E599:E$2)))))</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8" hidden="false" customHeight="false" outlineLevel="0" collapsed="false">
      <c r="A601" s="0" t="s">
        <v>401</v>
      </c>
      <c r="B601" s="0" t="s">
        <v>63</v>
      </c>
      <c r="C601" s="0" t="s">
        <v>30</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IF(OR(E601="",E601="!!!",F601="NEW"),"",INDEX(B600:B$2,-1+SUMPRODUCT(MAX(ROW(E600:E$2)*(E601=E600:E$2)))))</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8" hidden="false" customHeight="false" outlineLevel="0" collapsed="false">
      <c r="A602" s="0" t="s">
        <v>46</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IF(OR(E602="",E602="!!!",F602="NEW"),"",INDEX(B601:B$2,-1+SUMPRODUCT(MAX(ROW(E601:E$2)*(E602=E601:E$2)))))</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8" hidden="false" customHeight="false" outlineLevel="0" collapsed="false">
      <c r="A603" s="0" t="s">
        <v>40</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IF(OR(E603="",E603="!!!",F603="NEW"),"",INDEX(B602:B$2,-1+SUMPRODUCT(MAX(ROW(E602:E$2)*(E603=E602:E$2)))))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8" hidden="false" customHeight="false" outlineLevel="0" collapsed="false">
      <c r="A604" s="0" t="s">
        <v>224</v>
      </c>
      <c r="B604" s="0" t="s">
        <v>132</v>
      </c>
      <c r="C604" s="0" t="s">
        <v>34</v>
      </c>
      <c r="D604" s="0" t="s">
        <v>20</v>
      </c>
      <c r="E604" s="10" t="s">
        <v>394</v>
      </c>
      <c r="F604" s="11" t="str">
        <f aca="false">IF(OR(E604="",E604="!!!"),"",IF(NOT(ISNA(VLOOKUP(E604,E$1:E603,1,FALSE()))),"OLD",IF(AND(E604&lt;&gt;"",E604&lt;&gt;"!!!"),"NEW","")))</f>
        <v>OLD</v>
      </c>
      <c r="G604" s="12" t="s">
        <v>58</v>
      </c>
      <c r="H604" s="13" t="str">
        <f aca="false">IF(J604&lt;&gt;1,"",IF(I604="SBJ","CB","?"))</f>
        <v/>
      </c>
      <c r="I604" s="14" t="str">
        <f aca="false">IF(OR(E604="",E604="!!!",F604="NEW"),"",INDEX(B603:B$2,-1+SUMPRODUCT(MAX(ROW(E603:E$2)*(E604=E603:E$2)))))</f>
        <v>SBJ_2</v>
      </c>
      <c r="J604" s="15" t="n">
        <f aca="true">IF(OR(E604="",E604="!!!",F604="NEW"),"",COUNTBLANK(OFFSET(A$1,,,SUMPRODUCT(MAX(ROW(E$2:E604)*(E604=E$2:E604)))))-COUNTBLANK(OFFSET(A$1,,,SUMPRODUCT(MAX(ROW(E$1:E603)*(E604=E$1:E603))))))</f>
        <v>0</v>
      </c>
      <c r="K604" s="15" t="n">
        <f aca="false">IF(OR(E604="",E604="!!!",F604="NEW"),"",INDEX(J$1:J603,SUMPRODUCT(MAX(ROW(E$1:E603)*(E604=E$1:E603)))))</f>
        <v>0</v>
      </c>
      <c r="L604" s="16"/>
    </row>
    <row r="605" customFormat="false" ht="12.8" hidden="false" customHeight="false" outlineLevel="0" collapsed="false">
      <c r="A605" s="0" t="s">
        <v>340</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IF(OR(E605="",E605="!!!",F605="NEW"),"",INDEX(B604:B$2,-1+SUMPRODUCT(MAX(ROW(E604:E$2)*(E605=E604:E$2)))))</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8" hidden="false" customHeight="false" outlineLevel="0" collapsed="false">
      <c r="A606" s="0" t="s">
        <v>402</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IF(OR(E606="",E606="!!!",F606="NEW"),"",INDEX(B605:B$2,-1+SUMPRODUCT(MAX(ROW(E605:E$2)*(E606=E605:E$2)))))</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8" hidden="false" customHeight="false" outlineLevel="0" collapsed="false">
      <c r="A607" s="0" t="s">
        <v>403</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IF(OR(E607="",E607="!!!",F607="NEW"),"",INDEX(B606:B$2,-1+SUMPRODUCT(MAX(ROW(E606:E$2)*(E607=E606:E$2)))))</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8" hidden="false" customHeight="false" outlineLevel="0" collapsed="false">
      <c r="A608" s="0" t="s">
        <v>69</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IF(OR(E608="",E608="!!!",F608="NEW"),"",INDEX(B607:B$2,-1+SUMPRODUCT(MAX(ROW(E607:E$2)*(E608=E607:E$2)))))</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8" hidden="false" customHeight="false" outlineLevel="0" collapsed="false">
      <c r="A609" s="0" t="s">
        <v>299</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IF(OR(E609="",E609="!!!",F609="NEW"),"",INDEX(B608:B$2,-1+SUMPRODUCT(MAX(ROW(E608:E$2)*(E609=E608:E$2)))))</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8" hidden="false" customHeight="false" outlineLevel="0" collapsed="false">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IF(OR(E610="",E610="!!!",F610="NEW"),"",INDEX(B609:B$2,-1+SUMPRODUCT(MAX(ROW(E609:E$2)*(E610=E609:E$2)))))</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8" hidden="false" customHeight="false" outlineLevel="0" collapsed="false">
      <c r="A611" s="0" t="s">
        <v>404</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IF(OR(E611="",E611="!!!",F611="NEW"),"",INDEX(B610:B$2,-1+SUMPRODUCT(MAX(ROW(E610:E$2)*(E611=E610:E$2)))))</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8" hidden="false" customHeight="false" outlineLevel="0" collapsed="false">
      <c r="A612" s="0" t="s">
        <v>405</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IF(OR(E612="",E612="!!!",F612="NEW"),"",INDEX(B611:B$2,-1+SUMPRODUCT(MAX(ROW(E611:E$2)*(E612=E611:E$2)))))</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8" hidden="false" customHeight="false" outlineLevel="0" collapsed="false">
      <c r="A613" s="0" t="s">
        <v>406</v>
      </c>
      <c r="B613" s="0" t="s">
        <v>14</v>
      </c>
      <c r="C613" s="0" t="s">
        <v>19</v>
      </c>
      <c r="D613" s="0" t="s">
        <v>20</v>
      </c>
      <c r="E613" s="10"/>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IF(OR(E613="",E613="!!!",F613="NEW"),"",INDEX(B612:B$2,-1+SUMPRODUCT(MAX(ROW(E612:E$2)*(E613=E612:E$2)))))</f>
        <v/>
      </c>
      <c r="J613" s="15" t="str">
        <f aca="true">IF(OR(E613="",E613="!!!",F613="NEW"),"",COUNTBLANK(OFFSET(A$1,,,SUMPRODUCT(MAX(ROW(E$2:E613)*(E613=E$2:E613)))))-COUNTBLANK(OFFSET(A$1,,,SUMPRODUCT(MAX(ROW(E$1:E612)*(E613=E$1:E612))))))</f>
        <v/>
      </c>
      <c r="K613" s="15" t="str">
        <f aca="false">IF(OR(E613="",E613="!!!",F613="NEW"),"",INDEX(J$1:J612,SUMPRODUCT(MAX(ROW(E$1:E612)*(E613=E$1:E612)))))</f>
        <v/>
      </c>
      <c r="L613" s="16" t="s">
        <v>407</v>
      </c>
    </row>
    <row r="614" customFormat="false" ht="12.8" hidden="false" customHeight="false" outlineLevel="0" collapsed="false">
      <c r="A614" s="0" t="s">
        <v>408</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IF(OR(E614="",E614="!!!",F614="NEW"),"",INDEX(B613:B$2,-1+SUMPRODUCT(MAX(ROW(E613:E$2)*(E614=E613:E$2)))))</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8" hidden="false" customHeight="false" outlineLevel="0" collapsed="false">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IF(OR(E615="",E615="!!!",F615="NEW"),"",INDEX(B614:B$2,-1+SUMPRODUCT(MAX(ROW(E614:E$2)*(E615=E614:E$2)))))</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8" hidden="false" customHeight="false" outlineLevel="0" collapsed="false">
      <c r="A616" s="0" t="s">
        <v>409</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IF(OR(E616="",E616="!!!",F616="NEW"),"",INDEX(B615:B$2,-1+SUMPRODUCT(MAX(ROW(E615:E$2)*(E616=E615:E$2)))))</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8" hidden="false" customHeight="false" outlineLevel="0" collapsed="false">
      <c r="A617" s="0" t="s">
        <v>410</v>
      </c>
      <c r="B617" s="0" t="s">
        <v>33</v>
      </c>
      <c r="C617" s="0" t="s">
        <v>30</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IF(OR(E617="",E617="!!!",F617="NEW"),"",INDEX(B616:B$2,-1+SUMPRODUCT(MAX(ROW(E616:E$2)*(E617=E616:E$2)))))</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8" hidden="false" customHeight="false" outlineLevel="0" collapsed="false">
      <c r="A618" s="0" t="s">
        <v>42</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IF(OR(E618="",E618="!!!",F618="NEW"),"",INDEX(B617:B$2,-1+SUMPRODUCT(MAX(ROW(E617:E$2)*(E618=E617:E$2)))))</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8" hidden="false" customHeight="false" outlineLevel="0" collapsed="false">
      <c r="A619" s="0" t="s">
        <v>279</v>
      </c>
      <c r="B619" s="0" t="s">
        <v>55</v>
      </c>
      <c r="C619" s="0" t="s">
        <v>103</v>
      </c>
      <c r="D619" s="0" t="s">
        <v>20</v>
      </c>
      <c r="E619" s="10" t="s">
        <v>152</v>
      </c>
      <c r="F619" s="11" t="s">
        <v>411</v>
      </c>
      <c r="G619" s="12" t="s">
        <v>85</v>
      </c>
      <c r="H619" s="13"/>
      <c r="I619" s="14" t="e">
        <f aca="false">IF(OR(E619="",E619="!!!",F619="NEW"),"",INDEX(B618:B$2,-1+SUMPRODUCT(MAX(ROW(E618:E$2)*(E619=E618:E$2)))))</f>
        <v>#VALUE!</v>
      </c>
      <c r="J619" s="15" t="e">
        <f aca="true">IF(OR(E619="",E619="!!!",F619="NEW"),"",COUNTBLANK(OFFSET(A$1,,,SUMPRODUCT(MAX(ROW(E$2:E619)*(E619=E$2:E619)))))-COUNTBLANK(OFFSET(A$1,,,SUMPRODUCT(MAX(ROW(E$1:E618)*(E619=E$1:E618))))))</f>
        <v>#VALUE!</v>
      </c>
      <c r="K619" s="15" t="e">
        <f aca="false">IF(OR(E619="",E619="!!!",F619="NEW"),"",INDEX(J$1:J618,SUMPRODUCT(MAX(ROW(E$1:E618)*(E619=E$1:E618)))))</f>
        <v>#VALUE!</v>
      </c>
      <c r="L619" s="16"/>
    </row>
    <row r="620" customFormat="false" ht="12.8" hidden="false" customHeight="false" outlineLevel="0" collapsed="false">
      <c r="A620" s="0" t="s">
        <v>281</v>
      </c>
      <c r="B620" s="0" t="s">
        <v>29</v>
      </c>
      <c r="C620" s="0" t="s">
        <v>106</v>
      </c>
      <c r="D620" s="0" t="s">
        <v>20</v>
      </c>
      <c r="E620" s="10" t="s">
        <v>282</v>
      </c>
      <c r="F620" s="11" t="str">
        <f aca="false">IF(OR(E620="",E620="!!!"),"",IF(NOT(ISNA(VLOOKUP(E620,E$1:E619,1,FALSE()))),"OLD",IF(AND(E620&lt;&gt;"",E620&lt;&gt;"!!!"),"NEW","")))</f>
        <v>OLD</v>
      </c>
      <c r="G620" s="12" t="s">
        <v>85</v>
      </c>
      <c r="H620" s="13" t="str">
        <f aca="false">IF(J620&lt;&gt;1,"",IF(I620="SBJ","CB","?"))</f>
        <v/>
      </c>
      <c r="I620" s="14" t="str">
        <f aca="false">IF(OR(E620="",E620="!!!",F620="NEW"),"",INDEX(B619:B$2,-1+SUMPRODUCT(MAX(ROW(E619:E$2)*(E620=E619:E$2)))))</f>
        <v>other_2</v>
      </c>
      <c r="J620" s="15" t="n">
        <f aca="true">IF(OR(E620="",E620="!!!",F620="NEW"),"",COUNTBLANK(OFFSET(A$1,,,SUMPRODUCT(MAX(ROW(E$2:E620)*(E620=E$2:E620)))))-COUNTBLANK(OFFSET(A$1,,,SUMPRODUCT(MAX(ROW(E$1:E619)*(E620=E$1:E619))))))</f>
        <v>8</v>
      </c>
      <c r="K620" s="15" t="e">
        <f aca="false">IF(OR(E620="",E620="!!!",F620="NEW"),"",INDEX(J$1:J619,SUMPRODUCT(MAX(ROW(E$1:E619)*(E620=E$1:E619)))))</f>
        <v>#VALUE!</v>
      </c>
      <c r="L620" s="16"/>
    </row>
    <row r="621" customFormat="false" ht="12.8" hidden="false" customHeight="false" outlineLevel="0" collapsed="false">
      <c r="A621" s="0" t="s">
        <v>412</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IF(OR(E621="",E621="!!!",F621="NEW"),"",INDEX(B620:B$2,-1+SUMPRODUCT(MAX(ROW(E620:E$2)*(E621=E620:E$2)))))</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8" hidden="false" customHeight="false" outlineLevel="0" collapsed="false">
      <c r="A622" s="0" t="s">
        <v>146</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IF(OR(E622="",E622="!!!",F622="NEW"),"",INDEX(B621:B$2,-1+SUMPRODUCT(MAX(ROW(E621:E$2)*(E622=E621:E$2)))))</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8" hidden="false" customHeight="false" outlineLevel="0" collapsed="false">
      <c r="A623" s="0" t="s">
        <v>413</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IF(OR(E623="",E623="!!!",F623="NEW"),"",INDEX(B622:B$2,-1+SUMPRODUCT(MAX(ROW(E622:E$2)*(E623=E622:E$2)))))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8" hidden="false" customHeight="false" outlineLevel="0" collapsed="false">
      <c r="A624" s="0" t="s">
        <v>414</v>
      </c>
      <c r="B624" s="0" t="s">
        <v>105</v>
      </c>
      <c r="C624" s="0" t="s">
        <v>415</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IF(OR(E624="",E624="!!!",F624="NEW"),"",INDEX(B623:B$2,-1+SUMPRODUCT(MAX(ROW(E623:E$2)*(E624=E623:E$2)))))</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8" hidden="false" customHeight="false" outlineLevel="0" collapsed="false">
      <c r="A625" s="0" t="s">
        <v>123</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IF(OR(E625="",E625="!!!",F625="NEW"),"",INDEX(B624:B$2,-1+SUMPRODUCT(MAX(ROW(E624:E$2)*(E625=E624:E$2)))))</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8" hidden="false" customHeight="false" outlineLevel="0" collapsed="false">
      <c r="A626" s="0" t="s">
        <v>416</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IF(OR(E626="",E626="!!!",F626="NEW"),"",INDEX(B625:B$2,-1+SUMPRODUCT(MAX(ROW(E625:E$2)*(E626=E625:E$2)))))</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8" hidden="false" customHeight="false" outlineLevel="0" collapsed="false">
      <c r="A627" s="0" t="s">
        <v>417</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IF(OR(E627="",E627="!!!",F627="NEW"),"",INDEX(B626:B$2,-1+SUMPRODUCT(MAX(ROW(E626:E$2)*(E627=E626:E$2)))))</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8" hidden="false" customHeight="false" outlineLevel="0" collapsed="false">
      <c r="A628" s="0" t="s">
        <v>418</v>
      </c>
      <c r="B628" s="0" t="s">
        <v>192</v>
      </c>
      <c r="C628" s="0" t="s">
        <v>30</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IF(OR(E628="",E628="!!!",F628="NEW"),"",INDEX(B627:B$2,-1+SUMPRODUCT(MAX(ROW(E627:E$2)*(E628=E627:E$2)))))</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8" hidden="false" customHeight="false" outlineLevel="0" collapsed="false">
      <c r="A629" s="0" t="s">
        <v>69</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IF(OR(E629="",E629="!!!",F629="NEW"),"",INDEX(B628:B$2,-1+SUMPRODUCT(MAX(ROW(E628:E$2)*(E629=E628:E$2)))))</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8" hidden="false" customHeight="false" outlineLevel="0" collapsed="false">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IF(OR(E630="",E630="!!!",F630="NEW"),"",INDEX(B629:B$2,-1+SUMPRODUCT(MAX(ROW(E629:E$2)*(E630=E629:E$2)))))</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8" hidden="false" customHeight="false" outlineLevel="0" collapsed="false">
      <c r="A631" s="0" t="s">
        <v>419</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IF(OR(E631="",E631="!!!",F631="NEW"),"",INDEX(B630:B$2,-1+SUMPRODUCT(MAX(ROW(E630:E$2)*(E631=E630:E$2)))))</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8" hidden="false" customHeight="false" outlineLevel="0" collapsed="false">
      <c r="A632" s="0" t="s">
        <v>420</v>
      </c>
      <c r="B632" s="0" t="s">
        <v>29</v>
      </c>
      <c r="C632" s="0" t="s">
        <v>103</v>
      </c>
      <c r="D632" s="0" t="s">
        <v>20</v>
      </c>
      <c r="E632" s="10" t="s">
        <v>35</v>
      </c>
      <c r="F632" s="11" t="str">
        <f aca="false">IF(OR(E632="",E632="!!!"),"",IF(NOT(ISNA(VLOOKUP(E632,E$1:E631,1,FALSE()))),"OLD",IF(AND(E632&lt;&gt;"",E632&lt;&gt;"!!!"),"NEW","")))</f>
        <v>OLD</v>
      </c>
      <c r="G632" s="12" t="s">
        <v>85</v>
      </c>
      <c r="H632" s="13" t="str">
        <f aca="false">IF(J632&lt;&gt;1,"",IF(I632="SBJ","CB","?"))</f>
        <v/>
      </c>
      <c r="I632" s="14" t="str">
        <f aca="false">IF(OR(E632="",E632="!!!",F632="NEW"),"",INDEX(B631:B$2,-1+SUMPRODUCT(MAX(ROW(E631:E$2)*(E632=E631:E$2)))))</f>
        <v>SBJ</v>
      </c>
      <c r="J632" s="15" t="n">
        <f aca="true">IF(OR(E632="",E632="!!!",F632="NEW"),"",COUNTBLANK(OFFSET(A$1,,,SUMPRODUCT(MAX(ROW(E$2:E632)*(E632=E$2:E632)))))-COUNTBLANK(OFFSET(A$1,,,SUMPRODUCT(MAX(ROW(E$1:E631)*(E632=E$1:E631))))))</f>
        <v>6</v>
      </c>
      <c r="K632" s="15" t="n">
        <f aca="false">IF(OR(E632="",E632="!!!",F632="NEW"),"",INDEX(J$1:J631,SUMPRODUCT(MAX(ROW(E$1:E631)*(E632=E$1:E631)))))</f>
        <v>1</v>
      </c>
      <c r="L632" s="16"/>
    </row>
    <row r="633" customFormat="false" ht="12.8" hidden="false" customHeight="false" outlineLevel="0" collapsed="false">
      <c r="A633" s="0" t="s">
        <v>421</v>
      </c>
      <c r="B633" s="0" t="s">
        <v>33</v>
      </c>
      <c r="C633" s="0" t="s">
        <v>106</v>
      </c>
      <c r="D633" s="0" t="s">
        <v>20</v>
      </c>
      <c r="E633" s="10"/>
      <c r="F633" s="11" t="s">
        <v>159</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IF(OR(E633="",E633="!!!",F633="NEW"),"",INDEX(B632:B$2,-1+SUMPRODUCT(MAX(ROW(E632:E$2)*(E633=E632:E$2)))))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8" hidden="false" customHeight="false" outlineLevel="0" collapsed="false">
      <c r="A634" s="0" t="s">
        <v>40</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IF(OR(E634="",E634="!!!",F634="NEW"),"",INDEX(B633:B$2,-1+SUMPRODUCT(MAX(ROW(E633:E$2)*(E634=E633:E$2)))))</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8" hidden="false" customHeight="false" outlineLevel="0" collapsed="false">
      <c r="A635" s="0" t="s">
        <v>422</v>
      </c>
      <c r="B635" s="0" t="s">
        <v>29</v>
      </c>
      <c r="C635" s="0" t="s">
        <v>30</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IF(OR(E635="",E635="!!!",F635="NEW"),"",INDEX(B634:B$2,-1+SUMPRODUCT(MAX(ROW(E634:E$2)*(E635=E634:E$2)))))</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8" hidden="false" customHeight="false" outlineLevel="0" collapsed="false">
      <c r="A636" s="0" t="s">
        <v>73</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IF(OR(E636="",E636="!!!",F636="NEW"),"",INDEX(B635:B$2,-1+SUMPRODUCT(MAX(ROW(E635:E$2)*(E636=E635:E$2)))))</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8" hidden="false" customHeight="false" outlineLevel="0" collapsed="false">
      <c r="A637" s="0" t="s">
        <v>131</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IF(OR(E637="",E637="!!!",F637="NEW"),"",INDEX(B636:B$2,-1+SUMPRODUCT(MAX(ROW(E636:E$2)*(E637=E636:E$2)))))</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8" hidden="false" customHeight="false" outlineLevel="0" collapsed="false">
      <c r="A638" s="0" t="s">
        <v>81</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IF(OR(E638="",E638="!!!",F638="NEW"),"",INDEX(B637:B$2,-1+SUMPRODUCT(MAX(ROW(E637:E$2)*(E638=E637:E$2)))))</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8" hidden="false" customHeight="false" outlineLevel="0" collapsed="false">
      <c r="A639" s="0" t="s">
        <v>423</v>
      </c>
      <c r="B639" s="0" t="s">
        <v>89</v>
      </c>
      <c r="C639" s="0" t="s">
        <v>25</v>
      </c>
      <c r="D639" s="0" t="s">
        <v>20</v>
      </c>
      <c r="E639" s="10" t="s">
        <v>424</v>
      </c>
      <c r="F639" s="11" t="str">
        <f aca="false">IF(OR(E639="",E639="!!!"),"",IF(NOT(ISNA(VLOOKUP(E639,E$1:E638,1,FALSE()))),"OLD",IF(AND(E639&lt;&gt;"",E639&lt;&gt;"!!!"),"NEW","")))</f>
        <v>NEW</v>
      </c>
      <c r="G639" s="12" t="s">
        <v>310</v>
      </c>
      <c r="H639" s="13" t="str">
        <f aca="false">IF(J639&lt;&gt;1,"",IF(I639="SBJ","CB","?"))</f>
        <v/>
      </c>
      <c r="I639" s="14" t="str">
        <f aca="false">IF(OR(E639="",E639="!!!",F639="NEW"),"",INDEX(B638:B$2,-1+SUMPRODUCT(MAX(ROW(E638:E$2)*(E639=E638:E$2)))))</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8" hidden="false" customHeight="false" outlineLevel="0" collapsed="false">
      <c r="A640" s="0" t="s">
        <v>40</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IF(OR(E640="",E640="!!!",F640="NEW"),"",INDEX(B639:B$2,-1+SUMPRODUCT(MAX(ROW(E639:E$2)*(E640=E639:E$2)))))</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8" hidden="false" customHeight="false" outlineLevel="0" collapsed="false">
      <c r="A641" s="0" t="s">
        <v>242</v>
      </c>
      <c r="B641" s="0" t="s">
        <v>55</v>
      </c>
      <c r="C641" s="0" t="s">
        <v>30</v>
      </c>
      <c r="E641" s="10" t="s">
        <v>425</v>
      </c>
      <c r="F641" s="11" t="str">
        <f aca="false">IF(OR(E641="",E641="!!!"),"",IF(NOT(ISNA(VLOOKUP(E641,E$1:E640,1,FALSE()))),"OLD",IF(AND(E641&lt;&gt;"",E641&lt;&gt;"!!!"),"NEW","")))</f>
        <v>NEW</v>
      </c>
      <c r="G641" s="12" t="s">
        <v>310</v>
      </c>
      <c r="H641" s="13" t="str">
        <f aca="false">IF(J641&lt;&gt;1,"",IF(I641="SBJ","CB","?"))</f>
        <v/>
      </c>
      <c r="I641" s="14" t="str">
        <f aca="false">IF(OR(E641="",E641="!!!",F641="NEW"),"",INDEX(B640:B$2,-1+SUMPRODUCT(MAX(ROW(E640:E$2)*(E641=E640:E$2)))))</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8" hidden="false" customHeight="false" outlineLevel="0" collapsed="false">
      <c r="A642" s="0" t="s">
        <v>152</v>
      </c>
      <c r="B642" s="0" t="s">
        <v>169</v>
      </c>
      <c r="C642" s="0" t="s">
        <v>34</v>
      </c>
      <c r="D642" s="0" t="s">
        <v>20</v>
      </c>
      <c r="E642" s="10" t="s">
        <v>360</v>
      </c>
      <c r="F642" s="11" t="str">
        <f aca="false">IF(OR(E642="",E642="!!!"),"",IF(NOT(ISNA(VLOOKUP(E642,E$1:E641,1,FALSE()))),"OLD",IF(AND(E642&lt;&gt;"",E642&lt;&gt;"!!!"),"NEW","")))</f>
        <v>OLD</v>
      </c>
      <c r="G642" s="12" t="s">
        <v>85</v>
      </c>
      <c r="H642" s="13" t="str">
        <f aca="false">IF(J642&lt;&gt;1,"",IF(I642="SBJ","CB","?"))</f>
        <v/>
      </c>
      <c r="I642" s="14" t="str">
        <f aca="false">IF(OR(E642="",E642="!!!",F642="NEW"),"",INDEX(B641:B$2,-1+SUMPRODUCT(MAX(ROW(E641:E$2)*(E642=E641:E$2)))))</f>
        <v>other_4</v>
      </c>
      <c r="J642" s="15" t="n">
        <f aca="true">IF(OR(E642="",E642="!!!",F642="NEW"),"",COUNTBLANK(OFFSET(A$1,,,SUMPRODUCT(MAX(ROW(E$2:E642)*(E642=E$2:E642)))))-COUNTBLANK(OFFSET(A$1,,,SUMPRODUCT(MAX(ROW(E$1:E641)*(E642=E$1:E641))))))</f>
        <v>3</v>
      </c>
      <c r="K642" s="15" t="n">
        <f aca="false">IF(OR(E642="",E642="!!!",F642="NEW"),"",INDEX(J$1:J641,SUMPRODUCT(MAX(ROW(E$1:E641)*(E642=E$1:E641)))))</f>
        <v>0</v>
      </c>
      <c r="L642" s="16"/>
    </row>
    <row r="643" customFormat="false" ht="12.8" hidden="false" customHeight="false" outlineLevel="0" collapsed="false">
      <c r="A643" s="0" t="s">
        <v>426</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IF(OR(E643="",E643="!!!",F643="NEW"),"",INDEX(B642:B$2,-1+SUMPRODUCT(MAX(ROW(E642:E$2)*(E643=E642:E$2)))))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8" hidden="false" customHeight="false" outlineLevel="0" collapsed="false">
      <c r="A644" s="0" t="s">
        <v>42</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IF(OR(E644="",E644="!!!",F644="NEW"),"",INDEX(B643:B$2,-1+SUMPRODUCT(MAX(ROW(E643:E$2)*(E644=E643:E$2)))))</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8" hidden="false" customHeight="false" outlineLevel="0" collapsed="false">
      <c r="A645" s="0" t="s">
        <v>279</v>
      </c>
      <c r="B645" s="0" t="s">
        <v>68</v>
      </c>
      <c r="C645" s="0" t="s">
        <v>103</v>
      </c>
      <c r="D645" s="0" t="s">
        <v>20</v>
      </c>
      <c r="E645" s="10" t="s">
        <v>360</v>
      </c>
      <c r="F645" s="11" t="str">
        <f aca="false">IF(OR(E645="",E645="!!!"),"",IF(NOT(ISNA(VLOOKUP(E645,E$1:E644,1,FALSE()))),"OLD",IF(AND(E645&lt;&gt;"",E645&lt;&gt;"!!!"),"NEW","")))</f>
        <v>OLD</v>
      </c>
      <c r="G645" s="12" t="s">
        <v>58</v>
      </c>
      <c r="H645" s="13" t="str">
        <f aca="false">IF(J645&lt;&gt;1,"",IF(I645="SBJ","CB","?"))</f>
        <v/>
      </c>
      <c r="I645" s="14" t="str">
        <f aca="false">IF(OR(E645="",E645="!!!",F645="NEW"),"",INDEX(B644:B$2,-1+SUMPRODUCT(MAX(ROW(E644:E$2)*(E645=E644:E$2)))))</f>
        <v>SBJ_4</v>
      </c>
      <c r="J645" s="15" t="n">
        <f aca="true">IF(OR(E645="",E645="!!!",F645="NEW"),"",COUNTBLANK(OFFSET(A$1,,,SUMPRODUCT(MAX(ROW(E$2:E645)*(E645=E$2:E645)))))-COUNTBLANK(OFFSET(A$1,,,SUMPRODUCT(MAX(ROW(E$1:E644)*(E645=E$1:E644))))))</f>
        <v>0</v>
      </c>
      <c r="K645" s="15" t="n">
        <f aca="false">IF(OR(E645="",E645="!!!",F645="NEW"),"",INDEX(J$1:J644,SUMPRODUCT(MAX(ROW(E$1:E644)*(E645=E$1:E644)))))</f>
        <v>3</v>
      </c>
      <c r="L645" s="16"/>
    </row>
    <row r="646" customFormat="false" ht="12.8" hidden="false" customHeight="false" outlineLevel="0" collapsed="false">
      <c r="A646" s="0" t="s">
        <v>427</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IF(OR(E646="",E646="!!!",F646="NEW"),"",INDEX(B645:B$2,-1+SUMPRODUCT(MAX(ROW(E645:E$2)*(E646=E645:E$2)))))</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8" hidden="false" customHeight="false" outlineLevel="0" collapsed="false">
      <c r="A647" s="0" t="s">
        <v>428</v>
      </c>
      <c r="B647" s="0" t="s">
        <v>63</v>
      </c>
      <c r="C647" s="0" t="s">
        <v>106</v>
      </c>
      <c r="D647" s="0" t="s">
        <v>20</v>
      </c>
      <c r="E647" s="10" t="s">
        <v>429</v>
      </c>
      <c r="F647" s="11" t="str">
        <f aca="false">IF(OR(E647="",E647="!!!"),"",IF(NOT(ISNA(VLOOKUP(E647,E$1:E646,1,FALSE()))),"OLD",IF(AND(E647&lt;&gt;"",E647&lt;&gt;"!!!"),"NEW","")))</f>
        <v>NEW</v>
      </c>
      <c r="G647" s="12" t="s">
        <v>58</v>
      </c>
      <c r="H647" s="13" t="str">
        <f aca="false">IF(J647&lt;&gt;1,"",IF(I647="SBJ","CB","?"))</f>
        <v/>
      </c>
      <c r="I647" s="14" t="str">
        <f aca="false">IF(OR(E647="",E647="!!!",F647="NEW"),"",INDEX(B646:B$2,-1+SUMPRODUCT(MAX(ROW(E646:E$2)*(E647=E646:E$2)))))</f>
        <v/>
      </c>
      <c r="J647" s="15" t="str">
        <f aca="true">IF(OR(E647="",E647="!!!",F647="NEW"),"",COUNTBLANK(OFFSET(A$1,,,SUMPRODUCT(MAX(ROW(E$2:E647)*(E647=E$2:E647)))))-COUNTBLANK(OFFSET(A$1,,,SUMPRODUCT(MAX(ROW(E$1:E646)*(E647=E$1:E646))))))</f>
        <v/>
      </c>
      <c r="K647" s="15" t="str">
        <f aca="false">IF(OR(E647="",E647="!!!",F647="NEW"),"",INDEX(J$1:J646,SUMPRODUCT(MAX(ROW(E$1:E646)*(E647=E$1:E646)))))</f>
        <v/>
      </c>
      <c r="L647" s="16" t="s">
        <v>430</v>
      </c>
    </row>
    <row r="648" customFormat="false" ht="12.8" hidden="false" customHeight="false" outlineLevel="0" collapsed="false">
      <c r="A648" s="0" t="s">
        <v>431</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IF(OR(E648="",E648="!!!",F648="NEW"),"",INDEX(B647:B$2,-1+SUMPRODUCT(MAX(ROW(E647:E$2)*(E648=E647:E$2)))))</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8" hidden="false" customHeight="false" outlineLevel="0" collapsed="false">
      <c r="A649" s="0" t="s">
        <v>157</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IF(OR(E649="",E649="!!!",F649="NEW"),"",INDEX(B648:B$2,-1+SUMPRODUCT(MAX(ROW(E648:E$2)*(E649=E648:E$2)))))</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8" hidden="false" customHeight="false" outlineLevel="0" collapsed="false">
      <c r="A650" s="0" t="s">
        <v>330</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IF(OR(E650="",E650="!!!",F650="NEW"),"",INDEX(B649:B$2,-1+SUMPRODUCT(MAX(ROW(E649:E$2)*(E650=E649:E$2)))))</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8" hidden="false" customHeight="false" outlineLevel="0" collapsed="false">
      <c r="A651" s="0" t="s">
        <v>140</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IF(OR(E651="",E651="!!!",F651="NEW"),"",INDEX(B650:B$2,-1+SUMPRODUCT(MAX(ROW(E650:E$2)*(E651=E650:E$2)))))</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8" hidden="false" customHeight="false" outlineLevel="0" collapsed="false">
      <c r="A652" s="0" t="s">
        <v>432</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IF(OR(E652="",E652="!!!",F652="NEW"),"",INDEX(B651:B$2,-1+SUMPRODUCT(MAX(ROW(E651:E$2)*(E652=E651:E$2)))))</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8" hidden="false" customHeight="false" outlineLevel="0" collapsed="false">
      <c r="A653" s="0" t="s">
        <v>433</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IF(OR(E653="",E653="!!!",F653="NEW"),"",INDEX(B652:B$2,-1+SUMPRODUCT(MAX(ROW(E652:E$2)*(E653=E652:E$2)))))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8" hidden="false" customHeight="false" outlineLevel="0" collapsed="false">
      <c r="A654" s="0" t="s">
        <v>434</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IF(OR(E654="",E654="!!!",F654="NEW"),"",INDEX(B653:B$2,-1+SUMPRODUCT(MAX(ROW(E653:E$2)*(E654=E653:E$2)))))</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8" hidden="false" customHeight="false" outlineLevel="0" collapsed="false">
      <c r="A655" s="0" t="s">
        <v>191</v>
      </c>
      <c r="B655" s="0" t="s">
        <v>136</v>
      </c>
      <c r="C655" s="0" t="s">
        <v>30</v>
      </c>
      <c r="E655" s="10" t="s">
        <v>435</v>
      </c>
      <c r="F655" s="11" t="str">
        <f aca="false">IF(OR(E655="",E655="!!!"),"",IF(NOT(ISNA(VLOOKUP(E655,E$1:E654,1,FALSE()))),"OLD",IF(AND(E655&lt;&gt;"",E655&lt;&gt;"!!!"),"NEW","")))</f>
        <v>NEW</v>
      </c>
      <c r="G655" s="12" t="s">
        <v>85</v>
      </c>
      <c r="H655" s="13" t="str">
        <f aca="false">IF(J655&lt;&gt;1,"",IF(I655="SBJ","CB","?"))</f>
        <v/>
      </c>
      <c r="I655" s="14" t="str">
        <f aca="false">IF(OR(E655="",E655="!!!",F655="NEW"),"",INDEX(B654:B$2,-1+SUMPRODUCT(MAX(ROW(E654:E$2)*(E655=E654:E$2)))))</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8" hidden="false" customHeight="false" outlineLevel="0" collapsed="false">
      <c r="A656" s="0" t="s">
        <v>140</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IF(OR(E656="",E656="!!!",F656="NEW"),"",INDEX(B655:B$2,-1+SUMPRODUCT(MAX(ROW(E655:E$2)*(E656=E655:E$2)))))</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8" hidden="false" customHeight="false" outlineLevel="0" collapsed="false">
      <c r="A657" s="0" t="s">
        <v>127</v>
      </c>
      <c r="B657" s="0" t="s">
        <v>55</v>
      </c>
      <c r="C657" s="0" t="s">
        <v>251</v>
      </c>
      <c r="D657" s="0" t="s">
        <v>20</v>
      </c>
      <c r="E657" s="10" t="s">
        <v>187</v>
      </c>
      <c r="F657" s="11" t="str">
        <f aca="false">IF(OR(E657="",E657="!!!"),"",IF(NOT(ISNA(VLOOKUP(E657,E$1:E656,1,FALSE()))),"OLD",IF(AND(E657&lt;&gt;"",E657&lt;&gt;"!!!"),"NEW","")))</f>
        <v>OLD</v>
      </c>
      <c r="G657" s="12" t="s">
        <v>85</v>
      </c>
      <c r="H657" s="13" t="str">
        <f aca="false">IF(J657&lt;&gt;1,"",IF(I657="SBJ","CB","?"))</f>
        <v/>
      </c>
      <c r="I657" s="14" t="str">
        <f aca="false">IF(OR(E657="",E657="!!!",F657="NEW"),"",INDEX(B656:B$2,-1+SUMPRODUCT(MAX(ROW(E656:E$2)*(E657=E656:E$2)))))</f>
        <v>other_7</v>
      </c>
      <c r="J657" s="15" t="n">
        <f aca="true">IF(OR(E657="",E657="!!!",F657="NEW"),"",COUNTBLANK(OFFSET(A$1,,,SUMPRODUCT(MAX(ROW(E$2:E657)*(E657=E$2:E657)))))-COUNTBLANK(OFFSET(A$1,,,SUMPRODUCT(MAX(ROW(E$1:E656)*(E657=E$1:E656))))))</f>
        <v>5</v>
      </c>
      <c r="K657" s="15" t="n">
        <f aca="false">IF(OR(E657="",E657="!!!",F657="NEW"),"",INDEX(J$1:J656,SUMPRODUCT(MAX(ROW(E$1:E656)*(E657=E$1:E656)))))</f>
        <v>1</v>
      </c>
      <c r="L657" s="16"/>
    </row>
    <row r="658" customFormat="false" ht="12.8" hidden="false" customHeight="false" outlineLevel="0" collapsed="false">
      <c r="A658" s="0" t="s">
        <v>173</v>
      </c>
      <c r="B658" s="0" t="s">
        <v>138</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IF(OR(E658="",E658="!!!",F658="NEW"),"",INDEX(B657:B$2,-1+SUMPRODUCT(MAX(ROW(E657:E$2)*(E658=E657:E$2)))))</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8" hidden="false" customHeight="false" outlineLevel="0" collapsed="false">
      <c r="A659" s="0" t="s">
        <v>436</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IF(OR(E659="",E659="!!!",F659="NEW"),"",INDEX(B658:B$2,-1+SUMPRODUCT(MAX(ROW(E658:E$2)*(E659=E658:E$2)))))</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8" hidden="false" customHeight="false" outlineLevel="0" collapsed="false">
      <c r="A660" s="0" t="s">
        <v>258</v>
      </c>
      <c r="B660" s="0" t="s">
        <v>185</v>
      </c>
      <c r="C660" s="0" t="s">
        <v>34</v>
      </c>
      <c r="D660" s="0" t="s">
        <v>20</v>
      </c>
      <c r="E660" s="10" t="s">
        <v>435</v>
      </c>
      <c r="F660" s="11" t="str">
        <f aca="false">IF(OR(E660="",E660="!!!"),"",IF(NOT(ISNA(VLOOKUP(E660,E$1:E659,1,FALSE()))),"OLD",IF(AND(E660&lt;&gt;"",E660&lt;&gt;"!!!"),"NEW","")))</f>
        <v>OLD</v>
      </c>
      <c r="G660" s="12" t="s">
        <v>58</v>
      </c>
      <c r="H660" s="13" t="str">
        <f aca="false">IF(J660&lt;&gt;1,"",IF(I660="SBJ","CB","?"))</f>
        <v/>
      </c>
      <c r="I660" s="14" t="str">
        <f aca="false">IF(OR(E660="",E660="!!!",F660="NEW"),"",INDEX(B659:B$2,-1+SUMPRODUCT(MAX(ROW(E659:E$2)*(E660=E659:E$2)))))</f>
        <v>OBJ_3</v>
      </c>
      <c r="J660" s="15" t="n">
        <f aca="true">IF(OR(E660="",E660="!!!",F660="NEW"),"",COUNTBLANK(OFFSET(A$1,,,SUMPRODUCT(MAX(ROW(E$2:E660)*(E660=E$2:E660)))))-COUNTBLANK(OFFSET(A$1,,,SUMPRODUCT(MAX(ROW(E$1:E659)*(E660=E$1:E659))))))</f>
        <v>0</v>
      </c>
      <c r="K660" s="15" t="str">
        <f aca="false">IF(OR(E660="",E660="!!!",F660="NEW"),"",INDEX(J$1:J659,SUMPRODUCT(MAX(ROW(E$1:E659)*(E660=E$1:E659)))))</f>
        <v/>
      </c>
      <c r="L660" s="16"/>
    </row>
    <row r="661" customFormat="false" ht="12.8" hidden="false" customHeight="false" outlineLevel="0" collapsed="false">
      <c r="A661" s="0" t="s">
        <v>69</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IF(OR(E661="",E661="!!!",F661="NEW"),"",INDEX(B660:B$2,-1+SUMPRODUCT(MAX(ROW(E660:E$2)*(E661=E660:E$2)))))</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8" hidden="false" customHeight="false" outlineLevel="0" collapsed="false">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IF(OR(E662="",E662="!!!",F662="NEW"),"",INDEX(B661:B$2,-1+SUMPRODUCT(MAX(ROW(E661:E$2)*(E662=E661:E$2)))))</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8" hidden="false" customHeight="false" outlineLevel="0" collapsed="false">
      <c r="A663" s="0" t="s">
        <v>437</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IF(OR(E663="",E663="!!!",F663="NEW"),"",INDEX(B662:B$2,-1+SUMPRODUCT(MAX(ROW(E662:E$2)*(E663=E662:E$2)))))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8" hidden="false" customHeight="false" outlineLevel="0" collapsed="false">
      <c r="A664" s="0" t="s">
        <v>438</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IF(OR(E664="",E664="!!!",F664="NEW"),"",INDEX(B663:B$2,-1+SUMPRODUCT(MAX(ROW(E663:E$2)*(E664=E663:E$2)))))</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8" hidden="false" customHeight="false" outlineLevel="0" collapsed="false">
      <c r="A665" s="0" t="s">
        <v>184</v>
      </c>
      <c r="B665" s="0" t="s">
        <v>14</v>
      </c>
      <c r="C665" s="0" t="s">
        <v>34</v>
      </c>
      <c r="D665" s="0" t="s">
        <v>20</v>
      </c>
      <c r="E665" s="10" t="s">
        <v>35</v>
      </c>
      <c r="F665" s="11" t="str">
        <f aca="false">IF(OR(E665="",E665="!!!"),"",IF(NOT(ISNA(VLOOKUP(E665,E$1:E664,1,FALSE()))),"OLD",IF(AND(E665&lt;&gt;"",E665&lt;&gt;"!!!"),"NEW","")))</f>
        <v>OLD</v>
      </c>
      <c r="G665" s="12" t="s">
        <v>72</v>
      </c>
      <c r="H665" s="13"/>
      <c r="I665" s="14" t="str">
        <f aca="false">IF(OR(E665="",E665="!!!",F665="NEW"),"",INDEX(B664:B$2,-1+SUMPRODUCT(MAX(ROW(E664:E$2)*(E665=E664:E$2)))))</f>
        <v>other_2</v>
      </c>
      <c r="J665" s="15" t="n">
        <f aca="true">IF(OR(E665="",E665="!!!",F665="NEW"),"",COUNTBLANK(OFFSET(A$1,,,SUMPRODUCT(MAX(ROW(E$2:E665)*(E665=E$2:E665)))))-COUNTBLANK(OFFSET(A$1,,,SUMPRODUCT(MAX(ROW(E$1:E664)*(E665=E$1:E664))))))</f>
        <v>1</v>
      </c>
      <c r="K665" s="15" t="n">
        <f aca="false">IF(OR(E665="",E665="!!!",F665="NEW"),"",INDEX(J$1:J664,SUMPRODUCT(MAX(ROW(E$1:E664)*(E665=E$1:E664)))))</f>
        <v>6</v>
      </c>
      <c r="L665" s="16"/>
    </row>
    <row r="666" customFormat="false" ht="12.8" hidden="false" customHeight="false" outlineLevel="0" collapsed="false">
      <c r="A666" s="0" t="s">
        <v>46</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IF(OR(E666="",E666="!!!",F666="NEW"),"",INDEX(B665:B$2,-1+SUMPRODUCT(MAX(ROW(E665:E$2)*(E666=E665:E$2)))))</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8" hidden="false" customHeight="false" outlineLevel="0" collapsed="false">
      <c r="A667" s="0" t="s">
        <v>47</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IF(OR(E667="",E667="!!!",F667="NEW"),"",INDEX(B666:B$2,-1+SUMPRODUCT(MAX(ROW(E666:E$2)*(E667=E666:E$2)))))</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8" hidden="false" customHeight="false" outlineLevel="0" collapsed="false">
      <c r="A668" s="0" t="s">
        <v>439</v>
      </c>
      <c r="B668" s="0" t="s">
        <v>33</v>
      </c>
      <c r="C668" s="0" t="s">
        <v>52</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IF(OR(E668="",E668="!!!",F668="NEW"),"",INDEX(B667:B$2,-1+SUMPRODUCT(MAX(ROW(E667:E$2)*(E668=E667:E$2)))))</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8" hidden="false" customHeight="false" outlineLevel="0" collapsed="false">
      <c r="A669" s="0" t="s">
        <v>140</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IF(OR(E669="",E669="!!!",F669="NEW"),"",INDEX(B668:B$2,-1+SUMPRODUCT(MAX(ROW(E668:E$2)*(E669=E668:E$2)))))</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8" hidden="false" customHeight="false" outlineLevel="0" collapsed="false">
      <c r="A670" s="0" t="s">
        <v>440</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IF(OR(E670="",E670="!!!",F670="NEW"),"",INDEX(B669:B$2,-1+SUMPRODUCT(MAX(ROW(E669:E$2)*(E670=E669:E$2)))))</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8" hidden="false" customHeight="false" outlineLevel="0" collapsed="false">
      <c r="A671" s="0" t="s">
        <v>441</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IF(OR(E671="",E671="!!!",F671="NEW"),"",INDEX(B670:B$2,-1+SUMPRODUCT(MAX(ROW(E670:E$2)*(E671=E670:E$2)))))</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8" hidden="false" customHeight="false" outlineLevel="0" collapsed="false">
      <c r="A672" s="0" t="s">
        <v>81</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IF(OR(E672="",E672="!!!",F672="NEW"),"",INDEX(B671:B$2,-1+SUMPRODUCT(MAX(ROW(E671:E$2)*(E672=E671:E$2)))))</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8" hidden="false" customHeight="false" outlineLevel="0" collapsed="false">
      <c r="A673" s="0" t="s">
        <v>442</v>
      </c>
      <c r="B673" s="0" t="s">
        <v>172</v>
      </c>
      <c r="C673" s="0" t="s">
        <v>25</v>
      </c>
      <c r="D673" s="0" t="s">
        <v>20</v>
      </c>
      <c r="E673" s="10"/>
      <c r="F673" s="11" t="s">
        <v>159</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IF(OR(E673="",E673="!!!",F673="NEW"),"",INDEX(B672:B$2,-1+SUMPRODUCT(MAX(ROW(E672:E$2)*(E673=E672:E$2)))))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8" hidden="false" customHeight="false" outlineLevel="0" collapsed="false">
      <c r="A674" s="0" t="s">
        <v>26</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IF(OR(E674="",E674="!!!",F674="NEW"),"",INDEX(B673:B$2,-1+SUMPRODUCT(MAX(ROW(E673:E$2)*(E674=E673:E$2)))))</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8" hidden="false" customHeight="false" outlineLevel="0" collapsed="false">
      <c r="A675" s="0" t="s">
        <v>127</v>
      </c>
      <c r="E675" s="10" t="s">
        <v>187</v>
      </c>
      <c r="F675" s="11" t="str">
        <f aca="false">IF(OR(E675="",E675="!!!"),"",IF(NOT(ISNA(VLOOKUP(E675,E$1:E674,1,FALSE()))),"OLD",IF(AND(E675&lt;&gt;"",E675&lt;&gt;"!!!"),"NEW","")))</f>
        <v>OLD</v>
      </c>
      <c r="G675" s="12" t="s">
        <v>58</v>
      </c>
      <c r="H675" s="13" t="s">
        <v>7</v>
      </c>
      <c r="I675" s="14" t="str">
        <f aca="false">IF(OR(E675="",E675="!!!",F675="NEW"),"",INDEX(B674:B$2,-1+SUMPRODUCT(MAX(ROW(E674:E$2)*(E675=E674:E$2)))))</f>
        <v>other_3</v>
      </c>
      <c r="J675" s="15" t="n">
        <f aca="true">IF(OR(E675="",E675="!!!",F675="NEW"),"",COUNTBLANK(OFFSET(A$1,,,SUMPRODUCT(MAX(ROW(E$2:E675)*(E675=E$2:E675)))))-COUNTBLANK(OFFSET(A$1,,,SUMPRODUCT(MAX(ROW(E$1:E674)*(E675=E$1:E674))))))</f>
        <v>1</v>
      </c>
      <c r="K675" s="15" t="n">
        <f aca="false">IF(OR(E675="",E675="!!!",F675="NEW"),"",INDEX(J$1:J674,SUMPRODUCT(MAX(ROW(E$1:E674)*(E675=E$1:E674)))))</f>
        <v>5</v>
      </c>
      <c r="L675" s="16" t="s">
        <v>443</v>
      </c>
    </row>
    <row r="676" customFormat="false" ht="12.8" hidden="false" customHeight="false" outlineLevel="0" collapsed="false">
      <c r="A676" s="0" t="s">
        <v>444</v>
      </c>
      <c r="E676" s="10"/>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IF(OR(E676="",E676="!!!",F676="NEW"),"",INDEX(B675:B$2,-1+SUMPRODUCT(MAX(ROW(E675:E$2)*(E676=E675:E$2)))))</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8" hidden="false" customHeight="false" outlineLevel="0" collapsed="false">
      <c r="A677" s="0" t="s">
        <v>445</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IF(OR(E677="",E677="!!!",F677="NEW"),"",INDEX(B676:B$2,-1+SUMPRODUCT(MAX(ROW(E676:E$2)*(E677=E676:E$2)))))</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8" hidden="false" customHeight="false" outlineLevel="0" collapsed="false">
      <c r="A678" s="0" t="s">
        <v>80</v>
      </c>
      <c r="B678" s="0" t="s">
        <v>142</v>
      </c>
      <c r="C678" s="0" t="s">
        <v>30</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IF(OR(E678="",E678="!!!",F678="NEW"),"",INDEX(B677:B$2,-1+SUMPRODUCT(MAX(ROW(E677:E$2)*(E678=E677:E$2)))))</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8" hidden="false" customHeight="false" outlineLevel="0" collapsed="false">
      <c r="A679" s="0" t="s">
        <v>40</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IF(OR(E679="",E679="!!!",F679="NEW"),"",INDEX(B678:B$2,-1+SUMPRODUCT(MAX(ROW(E678:E$2)*(E679=E678:E$2)))))</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8" hidden="false" customHeight="false" outlineLevel="0" collapsed="false">
      <c r="A680" s="0" t="s">
        <v>446</v>
      </c>
      <c r="B680" s="0" t="s">
        <v>151</v>
      </c>
      <c r="C680" s="0" t="s">
        <v>30</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IF(OR(E680="",E680="!!!",F680="NEW"),"",INDEX(B679:B$2,-1+SUMPRODUCT(MAX(ROW(E679:E$2)*(E680=E679:E$2)))))</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8" hidden="false" customHeight="false" outlineLevel="0" collapsed="false">
      <c r="A681" s="0" t="s">
        <v>73</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IF(OR(E681="",E681="!!!",F681="NEW"),"",INDEX(B680:B$2,-1+SUMPRODUCT(MAX(ROW(E680:E$2)*(E681=E680:E$2)))))</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8" hidden="false" customHeight="false" outlineLevel="0" collapsed="false">
      <c r="A682" s="0" t="s">
        <v>445</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IF(OR(E682="",E682="!!!",F682="NEW"),"",INDEX(B681:B$2,-1+SUMPRODUCT(MAX(ROW(E681:E$2)*(E682=E681:E$2)))))</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8" hidden="false" customHeight="false" outlineLevel="0" collapsed="false">
      <c r="A683" s="0" t="s">
        <v>447</v>
      </c>
      <c r="E683" s="10" t="s">
        <v>448</v>
      </c>
      <c r="F683" s="11"/>
      <c r="G683" s="12"/>
      <c r="H683" s="13"/>
      <c r="I683" s="14" t="e">
        <f aca="false">IF(OR(E683="",E683="!!!",F683="NEW"),"",INDEX(B682:B$2,-1+SUMPRODUCT(MAX(ROW(E682:E$2)*(E683=E682:E$2)))))</f>
        <v>#VALUE!</v>
      </c>
      <c r="J683" s="15" t="e">
        <f aca="true">IF(OR(E683="",E683="!!!",F683="NEW"),"",COUNTBLANK(OFFSET(A$1,,,SUMPRODUCT(MAX(ROW(E$2:E683)*(E683=E$2:E683)))))-COUNTBLANK(OFFSET(A$1,,,SUMPRODUCT(MAX(ROW(E$1:E682)*(E683=E$1:E682))))))</f>
        <v>#VALUE!</v>
      </c>
      <c r="K683" s="15" t="e">
        <f aca="false">IF(OR(E683="",E683="!!!",F683="NEW"),"",INDEX(J$1:J682,SUMPRODUCT(MAX(ROW(E$1:E682)*(E683=E$1:E682)))))</f>
        <v>#VALUE!</v>
      </c>
      <c r="L683" s="16"/>
    </row>
    <row r="684" customFormat="false" ht="12.8" hidden="false" customHeight="false" outlineLevel="0" collapsed="false">
      <c r="A684" s="0" t="s">
        <v>234</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IF(OR(E684="",E684="!!!",F684="NEW"),"",INDEX(B683:B$2,-1+SUMPRODUCT(MAX(ROW(E683:E$2)*(E684=E683:E$2)))))</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8" hidden="false" customHeight="false" outlineLevel="0" collapsed="false">
      <c r="A685" s="0" t="s">
        <v>40</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IF(OR(E685="",E685="!!!",F685="NEW"),"",INDEX(B684:B$2,-1+SUMPRODUCT(MAX(ROW(E684:E$2)*(E685=E684:E$2)))))</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8" hidden="false" customHeight="false" outlineLevel="0" collapsed="false">
      <c r="A686" s="0" t="s">
        <v>449</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IF(OR(E686="",E686="!!!",F686="NEW"),"",INDEX(B685:B$2,-1+SUMPRODUCT(MAX(ROW(E685:E$2)*(E686=E685:E$2)))))</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8" hidden="false" customHeight="false" outlineLevel="0" collapsed="false">
      <c r="A687" s="0" t="s">
        <v>450</v>
      </c>
      <c r="B687" s="0" t="s">
        <v>192</v>
      </c>
      <c r="C687" s="0" t="s">
        <v>30</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IF(OR(E687="",E687="!!!",F687="NEW"),"",INDEX(B686:B$2,-1+SUMPRODUCT(MAX(ROW(E686:E$2)*(E687=E686:E$2)))))</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8" hidden="false" customHeight="false" outlineLevel="0" collapsed="false">
      <c r="A688" s="0" t="s">
        <v>75</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IF(OR(E688="",E688="!!!",F688="NEW"),"",INDEX(B687:B$2,-1+SUMPRODUCT(MAX(ROW(E687:E$2)*(E688=E687:E$2)))))</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8" hidden="false" customHeight="false" outlineLevel="0" collapsed="false">
      <c r="A689" s="0" t="s">
        <v>102</v>
      </c>
      <c r="B689" s="0" t="s">
        <v>29</v>
      </c>
      <c r="C689" s="0" t="s">
        <v>103</v>
      </c>
      <c r="D689" s="0" t="s">
        <v>20</v>
      </c>
      <c r="E689" s="10" t="s">
        <v>187</v>
      </c>
      <c r="F689" s="11" t="str">
        <f aca="false">IF(OR(E689="",E689="!!!"),"",IF(NOT(ISNA(VLOOKUP(E689,E$1:E688,1,FALSE()))),"OLD",IF(AND(E689&lt;&gt;"",E689&lt;&gt;"!!!"),"NEW","")))</f>
        <v>OLD</v>
      </c>
      <c r="G689" s="12" t="s">
        <v>58</v>
      </c>
      <c r="H689" s="13" t="str">
        <f aca="false">IF(J689&lt;&gt;1,"",IF(I689="SBJ","CB","?"))</f>
        <v/>
      </c>
      <c r="I689" s="14" t="n">
        <f aca="false">IF(OR(E689="",E689="!!!",F689="NEW"),"",INDEX(B688:B$2,-1+SUMPRODUCT(MAX(ROW(E688:E$2)*(E689=E688:E$2)))))</f>
        <v>0</v>
      </c>
      <c r="J689" s="15" t="n">
        <f aca="true">IF(OR(E689="",E689="!!!",F689="NEW"),"",COUNTBLANK(OFFSET(A$1,,,SUMPRODUCT(MAX(ROW(E$2:E689)*(E689=E$2:E689)))))-COUNTBLANK(OFFSET(A$1,,,SUMPRODUCT(MAX(ROW(E$1:E688)*(E689=E$1:E688))))))</f>
        <v>0</v>
      </c>
      <c r="K689" s="15" t="n">
        <f aca="false">IF(OR(E689="",E689="!!!",F689="NEW"),"",INDEX(J$1:J688,SUMPRODUCT(MAX(ROW(E$1:E688)*(E689=E$1:E688)))))</f>
        <v>1</v>
      </c>
      <c r="L689" s="16"/>
    </row>
    <row r="690" customFormat="false" ht="12.8" hidden="false" customHeight="false" outlineLevel="0" collapsed="false">
      <c r="A690" s="0" t="s">
        <v>451</v>
      </c>
      <c r="B690" s="0" t="s">
        <v>14</v>
      </c>
      <c r="C690" s="0" t="s">
        <v>106</v>
      </c>
      <c r="D690" s="0" t="s">
        <v>20</v>
      </c>
      <c r="E690" s="10" t="s">
        <v>452</v>
      </c>
      <c r="F690" s="11" t="str">
        <f aca="false">IF(OR(E690="",E690="!!!"),"",IF(NOT(ISNA(VLOOKUP(E690,E$1:E689,1,FALSE()))),"OLD",IF(AND(E690&lt;&gt;"",E690&lt;&gt;"!!!"),"NEW","")))</f>
        <v>NEW</v>
      </c>
      <c r="G690" s="12" t="s">
        <v>85</v>
      </c>
      <c r="H690" s="13" t="str">
        <f aca="false">IF(J690&lt;&gt;1,"",IF(I690="SBJ","CB","?"))</f>
        <v/>
      </c>
      <c r="I690" s="14" t="str">
        <f aca="false">IF(OR(E690="",E690="!!!",F690="NEW"),"",INDEX(B689:B$2,-1+SUMPRODUCT(MAX(ROW(E689:E$2)*(E690=E689:E$2)))))</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8" hidden="false" customHeight="false" outlineLevel="0" collapsed="false">
      <c r="A691" s="0" t="s">
        <v>69</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IF(OR(E691="",E691="!!!",F691="NEW"),"",INDEX(B690:B$2,-1+SUMPRODUCT(MAX(ROW(E690:E$2)*(E691=E690:E$2)))))</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8" hidden="false" customHeight="false" outlineLevel="0" collapsed="false">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IF(OR(E692="",E692="!!!",F692="NEW"),"",INDEX(B691:B$2,-1+SUMPRODUCT(MAX(ROW(E691:E$2)*(E692=E691:E$2)))))</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8" hidden="false" customHeight="false" outlineLevel="0" collapsed="false">
      <c r="A693" s="0" t="s">
        <v>453</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IF(OR(E693="",E693="!!!",F693="NEW"),"",INDEX(B692:B$2,-1+SUMPRODUCT(MAX(ROW(E692:E$2)*(E693=E692:E$2)))))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8" hidden="false" customHeight="false" outlineLevel="0" collapsed="false">
      <c r="A694" s="0" t="s">
        <v>454</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IF(OR(E694="",E694="!!!",F694="NEW"),"",INDEX(B693:B$2,-1+SUMPRODUCT(MAX(ROW(E693:E$2)*(E694=E693:E$2)))))</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8" hidden="false" customHeight="false" outlineLevel="0" collapsed="false">
      <c r="A695" s="0" t="s">
        <v>224</v>
      </c>
      <c r="B695" s="0" t="s">
        <v>89</v>
      </c>
      <c r="C695" s="0" t="s">
        <v>34</v>
      </c>
      <c r="D695" s="0" t="s">
        <v>20</v>
      </c>
      <c r="E695" s="10"/>
      <c r="F695" s="11" t="s">
        <v>399</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IF(OR(E695="",E695="!!!",F695="NEW"),"",INDEX(B694:B$2,-1+SUMPRODUCT(MAX(ROW(E694:E$2)*(E695=E694:E$2)))))</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8" hidden="false" customHeight="false" outlineLevel="0" collapsed="false">
      <c r="A696" s="0" t="s">
        <v>340</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IF(OR(E696="",E696="!!!",F696="NEW"),"",INDEX(B695:B$2,-1+SUMPRODUCT(MAX(ROW(E695:E$2)*(E696=E695:E$2)))))</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8" hidden="false" customHeight="false" outlineLevel="0" collapsed="false">
      <c r="A697" s="0" t="s">
        <v>42</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IF(OR(E697="",E697="!!!",F697="NEW"),"",INDEX(B696:B$2,-1+SUMPRODUCT(MAX(ROW(E696:E$2)*(E697=E696:E$2)))))</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8" hidden="false" customHeight="false" outlineLevel="0" collapsed="false">
      <c r="A698" s="0" t="s">
        <v>43</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IF(OR(E698="",E698="!!!",F698="NEW"),"",INDEX(B697:B$2,-1+SUMPRODUCT(MAX(ROW(E697:E$2)*(E698=E697:E$2)))))</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8" hidden="false" customHeight="false" outlineLevel="0" collapsed="false">
      <c r="A699" s="0" t="s">
        <v>45</v>
      </c>
      <c r="B699" s="0" t="s">
        <v>14</v>
      </c>
      <c r="C699" s="0" t="s">
        <v>19</v>
      </c>
      <c r="D699" s="0" t="s">
        <v>20</v>
      </c>
      <c r="E699" s="10" t="s">
        <v>44</v>
      </c>
      <c r="F699" s="11" t="str">
        <f aca="false">IF(OR(E699="",E699="!!!"),"",IF(NOT(ISNA(VLOOKUP(E699,E$1:E698,1,FALSE()))),"OLD",IF(AND(E699&lt;&gt;"",E699&lt;&gt;"!!!"),"NEW","")))</f>
        <v>OLD</v>
      </c>
      <c r="G699" s="12" t="s">
        <v>85</v>
      </c>
      <c r="H699" s="13" t="str">
        <f aca="false">IF(J699&lt;&gt;1,"",IF(I699="SBJ","CB","?"))</f>
        <v/>
      </c>
      <c r="I699" s="14" t="str">
        <f aca="false">IF(OR(E699="",E699="!!!",F699="NEW"),"",INDEX(B698:B$2,-1+SUMPRODUCT(MAX(ROW(E698:E$2)*(E699=E698:E$2)))))</f>
        <v>other_4</v>
      </c>
      <c r="J699" s="15" t="n">
        <f aca="true">IF(OR(E699="",E699="!!!",F699="NEW"),"",COUNTBLANK(OFFSET(A$1,,,SUMPRODUCT(MAX(ROW(E$2:E699)*(E699=E$2:E699)))))-COUNTBLANK(OFFSET(A$1,,,SUMPRODUCT(MAX(ROW(E$1:E698)*(E699=E$1:E698))))))</f>
        <v>18</v>
      </c>
      <c r="K699" s="15" t="n">
        <f aca="false">IF(OR(E699="",E699="!!!",F699="NEW"),"",INDEX(J$1:J698,SUMPRODUCT(MAX(ROW(E$1:E698)*(E699=E$1:E698)))))</f>
        <v>1</v>
      </c>
      <c r="L699" s="16"/>
    </row>
    <row r="700" customFormat="false" ht="12.8" hidden="false" customHeight="false" outlineLevel="0" collapsed="false">
      <c r="A700" s="0" t="s">
        <v>455</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IF(OR(E700="",E700="!!!",F700="NEW"),"",INDEX(B699:B$2,-1+SUMPRODUCT(MAX(ROW(E699:E$2)*(E700=E699:E$2)))))</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8" hidden="false" customHeight="false" outlineLevel="0" collapsed="false">
      <c r="A701" s="0" t="s">
        <v>42</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IF(OR(E701="",E701="!!!",F701="NEW"),"",INDEX(B700:B$2,-1+SUMPRODUCT(MAX(ROW(E700:E$2)*(E701=E700:E$2)))))</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8" hidden="false" customHeight="false" outlineLevel="0" collapsed="false">
      <c r="A702" s="0" t="s">
        <v>456</v>
      </c>
      <c r="B702" s="0" t="s">
        <v>29</v>
      </c>
      <c r="C702" s="0" t="s">
        <v>19</v>
      </c>
      <c r="D702" s="0" t="s">
        <v>20</v>
      </c>
      <c r="E702" s="10" t="s">
        <v>457</v>
      </c>
      <c r="F702" s="11" t="str">
        <f aca="false">IF(OR(E702="",E702="!!!"),"",IF(NOT(ISNA(VLOOKUP(E702,E$1:E701,1,FALSE()))),"OLD",IF(AND(E702&lt;&gt;"",E702&lt;&gt;"!!!"),"NEW","")))</f>
        <v>NEW</v>
      </c>
      <c r="G702" s="12" t="s">
        <v>85</v>
      </c>
      <c r="H702" s="13" t="str">
        <f aca="false">IF(J702&lt;&gt;1,"",IF(I702="SBJ","CB","?"))</f>
        <v/>
      </c>
      <c r="I702" s="14" t="str">
        <f aca="false">IF(OR(E702="",E702="!!!",F702="NEW"),"",INDEX(B701:B$2,-1+SUMPRODUCT(MAX(ROW(E701:E$2)*(E702=E701:E$2)))))</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8" hidden="false" customHeight="false" outlineLevel="0" collapsed="false">
      <c r="A703" s="0" t="s">
        <v>46</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IF(OR(E703="",E703="!!!",F703="NEW"),"",INDEX(B702:B$2,-1+SUMPRODUCT(MAX(ROW(E702:E$2)*(E703=E702:E$2)))))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8" hidden="false" customHeight="false" outlineLevel="0" collapsed="false">
      <c r="A704" s="0" t="s">
        <v>32</v>
      </c>
      <c r="B704" s="0" t="s">
        <v>33</v>
      </c>
      <c r="C704" s="0" t="s">
        <v>34</v>
      </c>
      <c r="D704" s="0" t="s">
        <v>20</v>
      </c>
      <c r="E704" s="10" t="s">
        <v>35</v>
      </c>
      <c r="F704" s="11" t="str">
        <f aca="false">IF(OR(E704="",E704="!!!"),"",IF(NOT(ISNA(VLOOKUP(E704,E$1:E703,1,FALSE()))),"OLD",IF(AND(E704&lt;&gt;"",E704&lt;&gt;"!!!"),"NEW","")))</f>
        <v>OLD</v>
      </c>
      <c r="G704" s="12" t="s">
        <v>58</v>
      </c>
      <c r="H704" s="13" t="s">
        <v>7</v>
      </c>
      <c r="I704" s="14" t="str">
        <f aca="false">IF(OR(E704="",E704="!!!",F704="NEW"),"",INDEX(B703:B$2,-1+SUMPRODUCT(MAX(ROW(E703:E$2)*(E704=E703:E$2)))))</f>
        <v>other</v>
      </c>
      <c r="J704" s="15" t="n">
        <f aca="true">IF(OR(E704="",E704="!!!",F704="NEW"),"",COUNTBLANK(OFFSET(A$1,,,SUMPRODUCT(MAX(ROW(E$2:E704)*(E704=E$2:E704)))))-COUNTBLANK(OFFSET(A$1,,,SUMPRODUCT(MAX(ROW(E$1:E703)*(E704=E$1:E703))))))</f>
        <v>1</v>
      </c>
      <c r="K704" s="15" t="n">
        <f aca="false">IF(OR(E704="",E704="!!!",F704="NEW"),"",INDEX(J$1:J703,SUMPRODUCT(MAX(ROW(E$1:E703)*(E704=E$1:E703)))))</f>
        <v>1</v>
      </c>
      <c r="L704" s="16"/>
    </row>
    <row r="705" customFormat="false" ht="12.8" hidden="false" customHeight="false" outlineLevel="0" collapsed="false">
      <c r="A705" s="0" t="s">
        <v>421</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IF(OR(E705="",E705="!!!",F705="NEW"),"",INDEX(B704:B$2,-1+SUMPRODUCT(MAX(ROW(E704:E$2)*(E705=E704:E$2)))))</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23.85" hidden="false" customHeight="false" outlineLevel="0" collapsed="false">
      <c r="A706" s="0" t="s">
        <v>112</v>
      </c>
      <c r="B706" s="0" t="s">
        <v>89</v>
      </c>
      <c r="C706" s="0" t="s">
        <v>251</v>
      </c>
      <c r="D706" s="0" t="s">
        <v>20</v>
      </c>
      <c r="E706" s="10" t="s">
        <v>448</v>
      </c>
      <c r="F706" s="11" t="str">
        <f aca="false">IF(OR(E706="",E706="!!!"),"",IF(NOT(ISNA(VLOOKUP(E706,E$1:E705,1,FALSE()))),"OLD",IF(AND(E706&lt;&gt;"",E706&lt;&gt;"!!!"),"NEW","")))</f>
        <v>OLD</v>
      </c>
      <c r="G706" s="12" t="s">
        <v>58</v>
      </c>
      <c r="H706" s="13"/>
      <c r="I706" s="14" t="n">
        <f aca="false">IF(OR(E706="",E706="!!!",F706="NEW"),"",INDEX(B705:B$2,-1+SUMPRODUCT(MAX(ROW(E705:E$2)*(E706=E705:E$2)))))</f>
        <v>0</v>
      </c>
      <c r="J706" s="15" t="n">
        <f aca="true">IF(OR(E706="",E706="!!!",F706="NEW"),"",COUNTBLANK(OFFSET(A$1,,,SUMPRODUCT(MAX(ROW(E$2:E706)*(E706=E$2:E706)))))-COUNTBLANK(OFFSET(A$1,,,SUMPRODUCT(MAX(ROW(E$1:E705)*(E706=E$1:E705))))))</f>
        <v>1</v>
      </c>
      <c r="K706" s="15" t="e">
        <f aca="false">IF(OR(E706="",E706="!!!",F706="NEW"),"",INDEX(J$1:J705,SUMPRODUCT(MAX(ROW(E$1:E705)*(E706=E$1:E705)))))</f>
        <v>#VALUE!</v>
      </c>
      <c r="L706" s="16" t="s">
        <v>458</v>
      </c>
    </row>
    <row r="707" customFormat="false" ht="12.8" hidden="false" customHeight="false" outlineLevel="0" collapsed="false">
      <c r="A707" s="0" t="s">
        <v>146</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IF(OR(E707="",E707="!!!",F707="NEW"),"",INDEX(B706:B$2,-1+SUMPRODUCT(MAX(ROW(E706:E$2)*(E707=E706:E$2)))))</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8" hidden="false" customHeight="false" outlineLevel="0" collapsed="false">
      <c r="A708" s="0" t="s">
        <v>459</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IF(OR(E708="",E708="!!!",F708="NEW"),"",INDEX(B707:B$2,-1+SUMPRODUCT(MAX(ROW(E707:E$2)*(E708=E707:E$2)))))</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8" hidden="false" customHeight="false" outlineLevel="0" collapsed="false">
      <c r="A709" s="0" t="s">
        <v>460</v>
      </c>
      <c r="B709" s="0" t="s">
        <v>14</v>
      </c>
      <c r="C709" s="0" t="s">
        <v>30</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IF(OR(E709="",E709="!!!",F709="NEW"),"",INDEX(B708:B$2,-1+SUMPRODUCT(MAX(ROW(E708:E$2)*(E709=E708:E$2)))))</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8" hidden="false" customHeight="false" outlineLevel="0" collapsed="false">
      <c r="A710" s="0" t="s">
        <v>302</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IF(OR(E710="",E710="!!!",F710="NEW"),"",INDEX(B709:B$2,-1+SUMPRODUCT(MAX(ROW(E709:E$2)*(E710=E709:E$2)))))</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8" hidden="false" customHeight="false" outlineLevel="0" collapsed="false">
      <c r="A711" s="0" t="s">
        <v>461</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IF(OR(E711="",E711="!!!",F711="NEW"),"",INDEX(B710:B$2,-1+SUMPRODUCT(MAX(ROW(E710:E$2)*(E711=E710:E$2)))))</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8" hidden="false" customHeight="false" outlineLevel="0" collapsed="false">
      <c r="A712" s="0" t="s">
        <v>462</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IF(OR(E712="",E712="!!!",F712="NEW"),"",INDEX(B711:B$2,-1+SUMPRODUCT(MAX(ROW(E711:E$2)*(E712=E711:E$2)))))</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8" hidden="false" customHeight="false" outlineLevel="0" collapsed="false">
      <c r="A713" s="0" t="s">
        <v>102</v>
      </c>
      <c r="B713" s="0" t="s">
        <v>63</v>
      </c>
      <c r="C713" s="0" t="s">
        <v>103</v>
      </c>
      <c r="D713" s="0" t="s">
        <v>20</v>
      </c>
      <c r="E713" s="10" t="s">
        <v>187</v>
      </c>
      <c r="F713" s="11" t="str">
        <f aca="false">IF(OR(E713="",E713="!!!"),"",IF(NOT(ISNA(VLOOKUP(E713,E$1:E712,1,FALSE()))),"OLD",IF(AND(E713&lt;&gt;"",E713&lt;&gt;"!!!"),"NEW","")))</f>
        <v>OLD</v>
      </c>
      <c r="G713" s="12" t="s">
        <v>72</v>
      </c>
      <c r="H713" s="13"/>
      <c r="I713" s="14" t="str">
        <f aca="false">IF(OR(E713="",E713="!!!",F713="NEW"),"",INDEX(B712:B$2,-1+SUMPRODUCT(MAX(ROW(E712:E$2)*(E713=E712:E$2)))))</f>
        <v>other_2</v>
      </c>
      <c r="J713" s="15" t="n">
        <f aca="true">IF(OR(E713="",E713="!!!",F713="NEW"),"",COUNTBLANK(OFFSET(A$1,,,SUMPRODUCT(MAX(ROW(E$2:E713)*(E713=E$2:E713)))))-COUNTBLANK(OFFSET(A$1,,,SUMPRODUCT(MAX(ROW(E$1:E712)*(E713=E$1:E712))))))</f>
        <v>1</v>
      </c>
      <c r="K713" s="15" t="n">
        <f aca="false">IF(OR(E713="",E713="!!!",F713="NEW"),"",INDEX(J$1:J712,SUMPRODUCT(MAX(ROW(E$1:E712)*(E713=E$1:E712)))))</f>
        <v>0</v>
      </c>
      <c r="L713" s="16" t="s">
        <v>463</v>
      </c>
    </row>
    <row r="714" customFormat="false" ht="12.8" hidden="false" customHeight="false" outlineLevel="0" collapsed="false">
      <c r="A714" s="0" t="s">
        <v>464</v>
      </c>
      <c r="B714" s="0" t="s">
        <v>136</v>
      </c>
      <c r="C714" s="0" t="s">
        <v>106</v>
      </c>
      <c r="D714" s="0" t="s">
        <v>20</v>
      </c>
      <c r="E714" s="10" t="s">
        <v>465</v>
      </c>
      <c r="F714" s="11" t="str">
        <f aca="false">IF(OR(E714="",E714="!!!"),"",IF(NOT(ISNA(VLOOKUP(E714,E$1:E713,1,FALSE()))),"OLD",IF(AND(E714&lt;&gt;"",E714&lt;&gt;"!!!"),"NEW","")))</f>
        <v>NEW</v>
      </c>
      <c r="G714" s="12" t="s">
        <v>85</v>
      </c>
      <c r="H714" s="13" t="str">
        <f aca="false">IF(J714&lt;&gt;1,"",IF(I714="SBJ","CB","?"))</f>
        <v/>
      </c>
      <c r="I714" s="14" t="str">
        <f aca="false">IF(OR(E714="",E714="!!!",F714="NEW"),"",INDEX(B713:B$2,-1+SUMPRODUCT(MAX(ROW(E713:E$2)*(E714=E713:E$2)))))</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8" hidden="false" customHeight="false" outlineLevel="0" collapsed="false">
      <c r="A715" s="0" t="s">
        <v>26</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IF(OR(E715="",E715="!!!",F715="NEW"),"",INDEX(B714:B$2,-1+SUMPRODUCT(MAX(ROW(E714:E$2)*(E715=E714:E$2)))))</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8" hidden="false" customHeight="false" outlineLevel="0" collapsed="false">
      <c r="A716" s="0" t="s">
        <v>466</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IF(OR(E716="",E716="!!!",F716="NEW"),"",INDEX(B715:B$2,-1+SUMPRODUCT(MAX(ROW(E715:E$2)*(E716=E715:E$2)))))</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8" hidden="false" customHeight="false" outlineLevel="0" collapsed="false">
      <c r="A717" s="0" t="s">
        <v>467</v>
      </c>
      <c r="B717" s="0" t="s">
        <v>63</v>
      </c>
      <c r="C717" s="0" t="s">
        <v>30</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IF(OR(E717="",E717="!!!",F717="NEW"),"",INDEX(B716:B$2,-1+SUMPRODUCT(MAX(ROW(E716:E$2)*(E717=E716:E$2)))))</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8" hidden="false" customHeight="false" outlineLevel="0" collapsed="false">
      <c r="A718" s="0" t="s">
        <v>69</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IF(OR(E718="",E718="!!!",F718="NEW"),"",INDEX(B717:B$2,-1+SUMPRODUCT(MAX(ROW(E717:E$2)*(E718=E717:E$2)))))</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8" hidden="false" customHeight="false" outlineLevel="0" collapsed="false">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IF(OR(E719="",E719="!!!",F719="NEW"),"",INDEX(B718:B$2,-1+SUMPRODUCT(MAX(ROW(E718:E$2)*(E719=E718:E$2)))))</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8" hidden="false" customHeight="false" outlineLevel="0" collapsed="false">
      <c r="A720" s="0" t="s">
        <v>468</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IF(OR(E720="",E720="!!!",F720="NEW"),"",INDEX(B719:B$2,-1+SUMPRODUCT(MAX(ROW(E719:E$2)*(E720=E719:E$2)))))</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8" hidden="false" customHeight="false" outlineLevel="0" collapsed="false">
      <c r="A721" s="0" t="s">
        <v>469</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IF(OR(E721="",E721="!!!",F721="NEW"),"",INDEX(B720:B$2,-1+SUMPRODUCT(MAX(ROW(E720:E$2)*(E721=E720:E$2)))))</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8" hidden="false" customHeight="false" outlineLevel="0" collapsed="false">
      <c r="A722" s="0" t="s">
        <v>272</v>
      </c>
      <c r="B722" s="0" t="s">
        <v>105</v>
      </c>
      <c r="C722" s="0" t="s">
        <v>34</v>
      </c>
      <c r="D722" s="0" t="s">
        <v>20</v>
      </c>
      <c r="E722" s="10" t="s">
        <v>470</v>
      </c>
      <c r="F722" s="11" t="s">
        <v>411</v>
      </c>
      <c r="G722" s="12" t="s">
        <v>85</v>
      </c>
      <c r="H722" s="13"/>
      <c r="I722" s="14"/>
      <c r="J722" s="15" t="e">
        <f aca="true">IF(OR(E722="",E722="!!!",F722="NEW"),"",COUNTBLANK(OFFSET(A$1,,,SUMPRODUCT(MAX(ROW(E$2:E722)*(E722=E$2:E722)))))-COUNTBLANK(OFFSET(A$1,,,SUMPRODUCT(MAX(ROW(E$1:E721)*(E722=E$1:E721))))))</f>
        <v>#VALUE!</v>
      </c>
      <c r="K722" s="15" t="e">
        <f aca="false">IF(OR(E722="",E722="!!!",F722="NEW"),"",INDEX(J$1:J721,SUMPRODUCT(MAX(ROW(E$1:E721)*(E722=E$1:E721)))))</f>
        <v>#VALUE!</v>
      </c>
      <c r="L722" s="16"/>
    </row>
    <row r="723" customFormat="false" ht="12.8" hidden="false" customHeight="false" outlineLevel="0" collapsed="false">
      <c r="A723" s="0" t="s">
        <v>49</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IF(OR(E723="",E723="!!!",F723="NEW"),"",INDEX(B722:B$2,-1+SUMPRODUCT(MAX(ROW(E722:E$2)*(E723=E722:E$2)))))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8" hidden="false" customHeight="false" outlineLevel="0" collapsed="false">
      <c r="A724" s="0" t="s">
        <v>471</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IF(OR(E724="",E724="!!!",F724="NEW"),"",INDEX(B723:B$2,-1+SUMPRODUCT(MAX(ROW(E723:E$2)*(E724=E723:E$2)))))</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8" hidden="false" customHeight="false" outlineLevel="0" collapsed="false">
      <c r="A725" s="0" t="s">
        <v>69</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IF(OR(E725="",E725="!!!",F725="NEW"),"",INDEX(B724:B$2,-1+SUMPRODUCT(MAX(ROW(E724:E$2)*(E725=E724:E$2)))))</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8" hidden="false" customHeight="false" outlineLevel="0" collapsed="false">
      <c r="E726" s="10"/>
      <c r="F726" s="11"/>
      <c r="G726" s="12"/>
      <c r="H726" s="13"/>
      <c r="I726" s="14"/>
      <c r="J726" s="15"/>
      <c r="K726" s="15"/>
      <c r="L726" s="16"/>
    </row>
    <row r="727" customFormat="false" ht="12.8" hidden="false" customHeight="false" outlineLevel="0" collapsed="false">
      <c r="E727" s="10"/>
      <c r="F727" s="11"/>
      <c r="G727" s="12"/>
      <c r="H727" s="13"/>
      <c r="I727" s="14"/>
      <c r="J727" s="15"/>
      <c r="K727" s="15"/>
      <c r="L727" s="16"/>
    </row>
    <row r="728" customFormat="false" ht="12.8" hidden="false" customHeight="false" outlineLevel="0" collapsed="false">
      <c r="E728" s="10"/>
      <c r="F728" s="11"/>
      <c r="G728" s="12"/>
      <c r="H728" s="13"/>
      <c r="I728" s="14"/>
      <c r="J728" s="15"/>
      <c r="K728" s="15"/>
      <c r="L728" s="16"/>
    </row>
    <row r="729" customFormat="false" ht="12.8" hidden="false" customHeight="false" outlineLevel="0" collapsed="false">
      <c r="E729" s="10"/>
      <c r="F729" s="11"/>
      <c r="G729" s="12"/>
      <c r="H729" s="13"/>
      <c r="I729" s="14"/>
      <c r="J729" s="15"/>
      <c r="K729" s="15"/>
      <c r="L729" s="16"/>
    </row>
    <row r="730" customFormat="false" ht="12.8" hidden="false" customHeight="false" outlineLevel="0" collapsed="false">
      <c r="E730" s="10"/>
      <c r="F730" s="11"/>
      <c r="G730" s="12"/>
      <c r="H730" s="13"/>
      <c r="I730" s="14"/>
      <c r="J730" s="15"/>
      <c r="K730" s="15"/>
      <c r="L730" s="16"/>
    </row>
    <row r="731" customFormat="false" ht="12.8" hidden="false" customHeight="false" outlineLevel="0" collapsed="false">
      <c r="E731" s="10"/>
      <c r="F731" s="11"/>
      <c r="G731" s="12"/>
      <c r="H731" s="13"/>
      <c r="I731" s="14"/>
      <c r="J731" s="15"/>
      <c r="K731" s="15"/>
      <c r="L731" s="16"/>
    </row>
    <row r="732" customFormat="false" ht="12.8" hidden="false" customHeight="false" outlineLevel="0" collapsed="false">
      <c r="E732" s="10"/>
      <c r="F732" s="11"/>
      <c r="G732" s="12"/>
      <c r="H732" s="13"/>
      <c r="I732" s="14"/>
      <c r="J732" s="15"/>
      <c r="K732" s="15"/>
      <c r="L732" s="16"/>
    </row>
    <row r="733" customFormat="false" ht="12.8" hidden="false" customHeight="false" outlineLevel="0" collapsed="false">
      <c r="E733" s="10"/>
      <c r="F733" s="11"/>
      <c r="G733" s="12"/>
      <c r="H733" s="13"/>
      <c r="I733" s="14"/>
      <c r="J733" s="15"/>
      <c r="K733" s="15"/>
      <c r="L733" s="16"/>
    </row>
    <row r="734" customFormat="false" ht="12.8" hidden="false" customHeight="false" outlineLevel="0" collapsed="false">
      <c r="E734" s="10"/>
      <c r="F734" s="11"/>
      <c r="G734" s="12"/>
      <c r="H734" s="13"/>
      <c r="I734" s="14"/>
      <c r="J734" s="15"/>
      <c r="K734" s="15"/>
      <c r="L734" s="16"/>
    </row>
    <row r="735" customFormat="false" ht="12.8" hidden="false" customHeight="false" outlineLevel="0" collapsed="false">
      <c r="E735" s="10"/>
      <c r="F735" s="11"/>
      <c r="G735" s="12"/>
      <c r="H735" s="13"/>
      <c r="I735" s="14"/>
      <c r="J735" s="15"/>
      <c r="K735" s="15"/>
      <c r="L735" s="16"/>
    </row>
    <row r="736" customFormat="false" ht="12.8" hidden="false" customHeight="false" outlineLevel="0" collapsed="false">
      <c r="E736" s="10"/>
      <c r="F736" s="11"/>
      <c r="G736" s="12"/>
      <c r="H736" s="13"/>
      <c r="I736" s="14"/>
      <c r="J736" s="15"/>
      <c r="K736" s="15"/>
      <c r="L736" s="16"/>
    </row>
    <row r="737" customFormat="false" ht="12.8" hidden="false" customHeight="false" outlineLevel="0" collapsed="false">
      <c r="E737" s="10"/>
      <c r="F737" s="11"/>
      <c r="G737" s="12"/>
      <c r="H737" s="13"/>
      <c r="I737" s="14"/>
      <c r="J737" s="15"/>
      <c r="K737" s="15"/>
      <c r="L737" s="16"/>
    </row>
    <row r="738" customFormat="false" ht="12.8" hidden="false" customHeight="false" outlineLevel="0" collapsed="false">
      <c r="E738" s="10"/>
      <c r="F738" s="11"/>
      <c r="G738" s="12"/>
      <c r="H738" s="13"/>
      <c r="I738" s="14"/>
      <c r="J738" s="15"/>
      <c r="K738" s="15"/>
      <c r="L738" s="16"/>
    </row>
    <row r="739" customFormat="false" ht="12.8" hidden="false" customHeight="false" outlineLevel="0" collapsed="false">
      <c r="E739" s="10"/>
      <c r="F739" s="11"/>
      <c r="G739" s="12"/>
      <c r="H739" s="13"/>
      <c r="I739" s="14"/>
      <c r="J739" s="15"/>
      <c r="K739" s="15"/>
      <c r="L739" s="16"/>
    </row>
    <row r="740" customFormat="false" ht="12.8" hidden="false" customHeight="false" outlineLevel="0" collapsed="false">
      <c r="E740" s="10"/>
      <c r="F740" s="11"/>
      <c r="G740" s="12"/>
      <c r="H740" s="13"/>
      <c r="I740" s="14"/>
      <c r="J740" s="15"/>
      <c r="K740" s="15"/>
      <c r="L740" s="16"/>
    </row>
    <row r="741" customFormat="false" ht="12.8" hidden="false" customHeight="false" outlineLevel="0" collapsed="false">
      <c r="E741" s="10"/>
      <c r="F741" s="11"/>
      <c r="G741" s="12"/>
      <c r="H741" s="13"/>
      <c r="I741" s="14"/>
      <c r="J741" s="15"/>
      <c r="K741" s="15"/>
      <c r="L741" s="16"/>
    </row>
    <row r="742" customFormat="false" ht="12.8" hidden="false" customHeight="false" outlineLevel="0" collapsed="false">
      <c r="E742" s="10"/>
      <c r="F742" s="11"/>
      <c r="G742" s="12"/>
      <c r="H742" s="13"/>
      <c r="I742" s="14"/>
      <c r="J742" s="15"/>
      <c r="K742" s="15"/>
      <c r="L742" s="16"/>
    </row>
    <row r="743" customFormat="false" ht="12.8" hidden="false" customHeight="false" outlineLevel="0" collapsed="false">
      <c r="E743" s="10"/>
      <c r="F743" s="11"/>
      <c r="G743" s="12"/>
      <c r="H743" s="13"/>
      <c r="I743" s="14"/>
      <c r="J743" s="15"/>
      <c r="K743" s="15"/>
      <c r="L743" s="16"/>
    </row>
    <row r="744" customFormat="false" ht="12.8" hidden="false" customHeight="false" outlineLevel="0" collapsed="false">
      <c r="E744" s="10"/>
      <c r="F744" s="11"/>
      <c r="G744" s="12"/>
      <c r="H744" s="13"/>
      <c r="I744" s="14"/>
      <c r="J744" s="15"/>
      <c r="K744" s="15"/>
      <c r="L744" s="16"/>
    </row>
    <row r="745" customFormat="false" ht="12.8" hidden="false" customHeight="false" outlineLevel="0" collapsed="false">
      <c r="E745" s="10"/>
      <c r="F745" s="11"/>
      <c r="G745" s="12"/>
      <c r="H745" s="13"/>
      <c r="I745" s="14"/>
      <c r="J745" s="15"/>
      <c r="K745" s="15"/>
      <c r="L745" s="16"/>
    </row>
    <row r="746" customFormat="false" ht="12.8" hidden="false" customHeight="false" outlineLevel="0" collapsed="false">
      <c r="E746" s="10"/>
      <c r="F746" s="11"/>
      <c r="G746" s="12"/>
      <c r="H746" s="13"/>
      <c r="I746" s="14"/>
      <c r="J746" s="15"/>
      <c r="K746" s="15"/>
      <c r="L746" s="16"/>
    </row>
    <row r="747" customFormat="false" ht="12.8" hidden="false" customHeight="false" outlineLevel="0" collapsed="false">
      <c r="E747" s="10"/>
      <c r="F747" s="11"/>
      <c r="G747" s="12"/>
      <c r="H747" s="13"/>
      <c r="I747" s="14"/>
      <c r="J747" s="15"/>
      <c r="K747" s="15"/>
      <c r="L747" s="16"/>
    </row>
    <row r="748" customFormat="false" ht="12.8" hidden="false" customHeight="false" outlineLevel="0" collapsed="false">
      <c r="E748" s="10"/>
      <c r="F748" s="11"/>
      <c r="G748" s="12"/>
      <c r="H748" s="13"/>
      <c r="I748" s="14"/>
      <c r="J748" s="15"/>
      <c r="K748" s="15"/>
      <c r="L748" s="16"/>
    </row>
    <row r="749" customFormat="false" ht="12.8" hidden="false" customHeight="false" outlineLevel="0" collapsed="false">
      <c r="E749" s="10"/>
      <c r="F749" s="11"/>
      <c r="G749" s="12"/>
      <c r="H749" s="13"/>
      <c r="I749" s="14"/>
      <c r="J749" s="15"/>
      <c r="K749" s="15"/>
      <c r="L749" s="16"/>
    </row>
    <row r="750" customFormat="false" ht="12.8" hidden="false" customHeight="false" outlineLevel="0" collapsed="false">
      <c r="E750" s="10"/>
      <c r="F750" s="11"/>
      <c r="G750" s="12"/>
      <c r="H750" s="13"/>
      <c r="I750" s="14"/>
      <c r="J750" s="15"/>
      <c r="K750" s="15"/>
      <c r="L750" s="16"/>
    </row>
    <row r="751" customFormat="false" ht="12.8" hidden="false" customHeight="false" outlineLevel="0" collapsed="false">
      <c r="E751" s="10"/>
      <c r="F751" s="11"/>
      <c r="G751" s="12"/>
      <c r="H751" s="13"/>
      <c r="I751" s="14"/>
      <c r="J751" s="15"/>
      <c r="K751" s="15"/>
      <c r="L751" s="16"/>
    </row>
    <row r="752" customFormat="false" ht="12.8" hidden="false" customHeight="false" outlineLevel="0" collapsed="false">
      <c r="E752" s="10"/>
      <c r="F752" s="11"/>
      <c r="G752" s="12"/>
      <c r="H752" s="13"/>
      <c r="I752" s="14"/>
      <c r="J752" s="15"/>
      <c r="K752" s="15"/>
      <c r="L752" s="16"/>
    </row>
    <row r="753" customFormat="false" ht="12.8" hidden="false" customHeight="false" outlineLevel="0" collapsed="false">
      <c r="E753" s="10"/>
      <c r="F753" s="11"/>
      <c r="G753" s="12"/>
      <c r="H753" s="13"/>
      <c r="I753" s="14"/>
      <c r="J753" s="15"/>
      <c r="K753" s="15"/>
      <c r="L753" s="16"/>
    </row>
    <row r="754" customFormat="false" ht="12.8" hidden="false" customHeight="false" outlineLevel="0" collapsed="false">
      <c r="E754" s="10"/>
      <c r="F754" s="11"/>
      <c r="G754" s="12"/>
      <c r="H754" s="13"/>
      <c r="I754" s="14"/>
      <c r="J754" s="15"/>
      <c r="K754" s="15"/>
      <c r="L754" s="16"/>
    </row>
    <row r="755" customFormat="false" ht="12.8" hidden="false" customHeight="false" outlineLevel="0" collapsed="false">
      <c r="E755" s="10"/>
      <c r="F755" s="11"/>
      <c r="G755" s="12"/>
      <c r="H755" s="13"/>
      <c r="I755" s="14"/>
      <c r="J755" s="15"/>
      <c r="K755" s="15"/>
      <c r="L755" s="16"/>
    </row>
    <row r="756" customFormat="false" ht="12.8" hidden="false" customHeight="false" outlineLevel="0" collapsed="false">
      <c r="E756" s="10"/>
      <c r="F756" s="11"/>
      <c r="G756" s="12"/>
      <c r="H756" s="13"/>
      <c r="I756" s="14"/>
      <c r="J756" s="15"/>
      <c r="K756" s="15"/>
      <c r="L756" s="16"/>
    </row>
    <row r="757" customFormat="false" ht="12.8" hidden="false" customHeight="false" outlineLevel="0" collapsed="false">
      <c r="E757" s="10"/>
      <c r="F757" s="11"/>
      <c r="G757" s="12"/>
      <c r="H757" s="13"/>
      <c r="I757" s="14"/>
      <c r="J757" s="15"/>
      <c r="K757" s="15"/>
      <c r="L757" s="16"/>
    </row>
    <row r="758" customFormat="false" ht="12.8" hidden="false" customHeight="false" outlineLevel="0" collapsed="false">
      <c r="E758" s="10"/>
      <c r="F758" s="11"/>
      <c r="G758" s="12"/>
      <c r="H758" s="13"/>
      <c r="I758" s="14"/>
      <c r="J758" s="15"/>
      <c r="K758" s="15"/>
      <c r="L758" s="16"/>
    </row>
    <row r="759" customFormat="false" ht="12.8" hidden="false" customHeight="false" outlineLevel="0" collapsed="false">
      <c r="E759" s="10"/>
      <c r="F759" s="11"/>
      <c r="G759" s="12"/>
      <c r="H759" s="13"/>
      <c r="I759" s="14"/>
      <c r="J759" s="15"/>
      <c r="K759" s="15"/>
      <c r="L759" s="16"/>
    </row>
    <row r="760" customFormat="false" ht="12.8" hidden="false" customHeight="false" outlineLevel="0" collapsed="false">
      <c r="E760" s="10"/>
      <c r="F760" s="11"/>
      <c r="G760" s="12"/>
      <c r="H760" s="13"/>
      <c r="I760" s="14"/>
      <c r="J760" s="15"/>
      <c r="K760" s="15"/>
      <c r="L760" s="16"/>
    </row>
    <row r="761" customFormat="false" ht="12.8" hidden="false" customHeight="false" outlineLevel="0" collapsed="false">
      <c r="E761" s="10"/>
      <c r="F761" s="11"/>
      <c r="G761" s="12"/>
      <c r="H761" s="13"/>
      <c r="I761" s="14"/>
      <c r="J761" s="15"/>
      <c r="K761" s="15"/>
      <c r="L761" s="16"/>
    </row>
    <row r="762" customFormat="false" ht="12.8" hidden="false" customHeight="false" outlineLevel="0" collapsed="false">
      <c r="E762" s="10"/>
      <c r="F762" s="11"/>
      <c r="G762" s="12"/>
      <c r="H762" s="13"/>
      <c r="I762" s="14"/>
      <c r="J762" s="15"/>
      <c r="K762" s="15"/>
      <c r="L762" s="16"/>
    </row>
    <row r="763" customFormat="false" ht="12.8" hidden="false" customHeight="false" outlineLevel="0" collapsed="false">
      <c r="E763" s="10"/>
      <c r="F763" s="11"/>
      <c r="G763" s="12"/>
      <c r="H763" s="13"/>
      <c r="I763" s="14"/>
      <c r="J763" s="15"/>
      <c r="K763" s="15"/>
      <c r="L763" s="16"/>
    </row>
    <row r="764" customFormat="false" ht="12.8" hidden="false" customHeight="false" outlineLevel="0" collapsed="false">
      <c r="E764" s="10"/>
      <c r="F764" s="11"/>
      <c r="G764" s="12"/>
      <c r="H764" s="13"/>
      <c r="I764" s="14"/>
      <c r="J764" s="15"/>
      <c r="K764" s="15"/>
      <c r="L764" s="16"/>
    </row>
    <row r="765" customFormat="false" ht="12.8" hidden="false" customHeight="false" outlineLevel="0" collapsed="false">
      <c r="E765" s="10"/>
      <c r="F765" s="11"/>
      <c r="G765" s="12"/>
      <c r="H765" s="13"/>
      <c r="I765" s="14"/>
      <c r="J765" s="15"/>
      <c r="K765" s="15"/>
      <c r="L765" s="16"/>
    </row>
    <row r="766" customFormat="false" ht="12.8" hidden="false" customHeight="false" outlineLevel="0" collapsed="false">
      <c r="E766" s="10"/>
      <c r="F766" s="11"/>
      <c r="G766" s="12"/>
      <c r="H766" s="13"/>
      <c r="I766" s="14"/>
      <c r="J766" s="15"/>
      <c r="K766" s="15"/>
      <c r="L766" s="16"/>
    </row>
    <row r="767" customFormat="false" ht="12.8" hidden="false" customHeight="false" outlineLevel="0" collapsed="false">
      <c r="E767" s="10"/>
      <c r="F767" s="11"/>
      <c r="G767" s="12"/>
      <c r="H767" s="13"/>
      <c r="I767" s="14"/>
      <c r="J767" s="15"/>
      <c r="K767" s="15"/>
      <c r="L767" s="16"/>
    </row>
    <row r="768" customFormat="false" ht="12.8" hidden="false" customHeight="false" outlineLevel="0" collapsed="false">
      <c r="E768" s="10"/>
      <c r="F768" s="11"/>
      <c r="G768" s="12"/>
      <c r="H768" s="13"/>
      <c r="I768" s="14"/>
      <c r="J768" s="15"/>
      <c r="K768" s="15"/>
      <c r="L768" s="16"/>
    </row>
    <row r="769" customFormat="false" ht="12.8" hidden="false" customHeight="false" outlineLevel="0" collapsed="false">
      <c r="E769" s="10"/>
      <c r="F769" s="11"/>
      <c r="G769" s="12"/>
      <c r="H769" s="13"/>
      <c r="I769" s="14"/>
      <c r="J769" s="15"/>
      <c r="K769" s="15"/>
      <c r="L769" s="16"/>
    </row>
    <row r="770" customFormat="false" ht="12.8" hidden="false" customHeight="false" outlineLevel="0" collapsed="false">
      <c r="E770" s="10"/>
      <c r="F770" s="11"/>
      <c r="G770" s="12"/>
      <c r="H770" s="13"/>
      <c r="I770" s="14"/>
      <c r="J770" s="15"/>
      <c r="K770" s="15"/>
      <c r="L770" s="16"/>
    </row>
    <row r="771" customFormat="false" ht="12.8" hidden="false" customHeight="false" outlineLevel="0" collapsed="false">
      <c r="E771" s="10"/>
      <c r="F771" s="11"/>
      <c r="G771" s="12"/>
      <c r="H771" s="13"/>
      <c r="I771" s="14"/>
      <c r="J771" s="15"/>
      <c r="K771" s="15"/>
      <c r="L771" s="16"/>
    </row>
    <row r="772" customFormat="false" ht="12.8" hidden="false" customHeight="false" outlineLevel="0" collapsed="false">
      <c r="E772" s="10"/>
      <c r="F772" s="11"/>
      <c r="G772" s="12"/>
      <c r="H772" s="13"/>
      <c r="I772" s="14"/>
      <c r="J772" s="15"/>
      <c r="K772" s="15"/>
      <c r="L772" s="16"/>
    </row>
    <row r="773" customFormat="false" ht="12.8" hidden="false" customHeight="false" outlineLevel="0" collapsed="false">
      <c r="E773" s="10"/>
      <c r="F773" s="11"/>
      <c r="G773" s="12"/>
      <c r="H773" s="13"/>
      <c r="I773" s="14"/>
      <c r="J773" s="15"/>
      <c r="K773" s="15"/>
      <c r="L773" s="16"/>
    </row>
    <row r="774" customFormat="false" ht="12.8" hidden="false" customHeight="false" outlineLevel="0" collapsed="false">
      <c r="E774" s="10"/>
      <c r="F774" s="11"/>
      <c r="G774" s="12"/>
      <c r="H774" s="13"/>
      <c r="I774" s="14"/>
      <c r="J774" s="15"/>
      <c r="K774" s="15"/>
      <c r="L774" s="16"/>
    </row>
    <row r="775" customFormat="false" ht="12.8" hidden="false" customHeight="false" outlineLevel="0" collapsed="false">
      <c r="E775" s="10"/>
      <c r="F775" s="11"/>
      <c r="G775" s="12"/>
      <c r="H775" s="13"/>
      <c r="I775" s="14"/>
      <c r="J775" s="15"/>
      <c r="K775" s="15"/>
      <c r="L775" s="16"/>
    </row>
    <row r="776" customFormat="false" ht="12.8" hidden="false" customHeight="false" outlineLevel="0" collapsed="false">
      <c r="E776" s="10"/>
      <c r="F776" s="11"/>
      <c r="G776" s="12"/>
      <c r="H776" s="13"/>
      <c r="I776" s="14"/>
      <c r="J776" s="15"/>
      <c r="K776" s="15"/>
      <c r="L776" s="16"/>
    </row>
    <row r="777" customFormat="false" ht="12.8" hidden="false" customHeight="false" outlineLevel="0" collapsed="false">
      <c r="E777" s="10"/>
      <c r="F777" s="11"/>
      <c r="G777" s="12"/>
      <c r="H777" s="13"/>
      <c r="I777" s="14"/>
      <c r="J777" s="15"/>
      <c r="K777" s="15"/>
      <c r="L777" s="16"/>
    </row>
    <row r="778" customFormat="false" ht="12.8" hidden="false" customHeight="false" outlineLevel="0" collapsed="false">
      <c r="E778" s="10"/>
      <c r="F778" s="11"/>
      <c r="G778" s="12"/>
      <c r="H778" s="13"/>
      <c r="I778" s="14"/>
      <c r="J778" s="15"/>
      <c r="K778" s="15"/>
      <c r="L778" s="16"/>
    </row>
    <row r="779" customFormat="false" ht="12.8" hidden="false" customHeight="false" outlineLevel="0" collapsed="false">
      <c r="E779" s="10"/>
      <c r="F779" s="11"/>
      <c r="G779" s="12"/>
      <c r="H779" s="13"/>
      <c r="I779" s="14"/>
      <c r="J779" s="15"/>
      <c r="K779" s="15"/>
      <c r="L779" s="16"/>
    </row>
    <row r="780" customFormat="false" ht="12.8" hidden="false" customHeight="false" outlineLevel="0" collapsed="false">
      <c r="E780" s="10"/>
      <c r="F780" s="11"/>
      <c r="G780" s="12"/>
      <c r="H780" s="13"/>
      <c r="I780" s="14"/>
      <c r="J780" s="15"/>
      <c r="K780" s="15"/>
      <c r="L780" s="16"/>
    </row>
    <row r="781" customFormat="false" ht="12.8" hidden="false" customHeight="false" outlineLevel="0" collapsed="false">
      <c r="E781" s="10"/>
      <c r="F781" s="11"/>
      <c r="G781" s="12"/>
      <c r="H781" s="13"/>
      <c r="I781" s="14"/>
      <c r="J781" s="15"/>
      <c r="K781" s="15"/>
      <c r="L781" s="16"/>
    </row>
    <row r="782" customFormat="false" ht="12.8" hidden="false" customHeight="false" outlineLevel="0" collapsed="false">
      <c r="E782" s="10"/>
      <c r="F782" s="11"/>
      <c r="G782" s="12"/>
      <c r="H782" s="13"/>
      <c r="I782" s="14"/>
      <c r="J782" s="15"/>
      <c r="K782" s="15"/>
      <c r="L782" s="16"/>
    </row>
    <row r="783" customFormat="false" ht="12.8" hidden="false" customHeight="false" outlineLevel="0" collapsed="false">
      <c r="E783" s="10"/>
      <c r="F783" s="11"/>
      <c r="G783" s="12"/>
      <c r="H783" s="13"/>
      <c r="I783" s="14"/>
      <c r="J783" s="15"/>
      <c r="K783" s="15"/>
      <c r="L783" s="16"/>
    </row>
    <row r="784" customFormat="false" ht="12.8" hidden="false" customHeight="false" outlineLevel="0" collapsed="false">
      <c r="E784" s="10"/>
      <c r="F784" s="11"/>
      <c r="G784" s="12"/>
      <c r="H784" s="13"/>
      <c r="I784" s="14"/>
      <c r="J784" s="15"/>
      <c r="K784" s="15"/>
      <c r="L784" s="16"/>
    </row>
    <row r="785" customFormat="false" ht="12.8" hidden="false" customHeight="false" outlineLevel="0" collapsed="false">
      <c r="E785" s="10"/>
      <c r="F785" s="11"/>
      <c r="G785" s="12"/>
      <c r="H785" s="13"/>
      <c r="I785" s="14"/>
      <c r="J785" s="15"/>
      <c r="K785" s="15"/>
      <c r="L785" s="16"/>
    </row>
    <row r="786" customFormat="false" ht="12.8" hidden="false" customHeight="false" outlineLevel="0" collapsed="false">
      <c r="E786" s="10"/>
      <c r="F786" s="11"/>
      <c r="G786" s="12"/>
      <c r="H786" s="13"/>
      <c r="I786" s="14"/>
      <c r="J786" s="15"/>
      <c r="K786" s="15"/>
      <c r="L786" s="16"/>
    </row>
    <row r="787" customFormat="false" ht="12.8" hidden="false" customHeight="false" outlineLevel="0" collapsed="false">
      <c r="E787" s="10"/>
      <c r="F787" s="11"/>
      <c r="G787" s="12"/>
      <c r="H787" s="13"/>
      <c r="I787" s="14"/>
      <c r="J787" s="15"/>
      <c r="K787" s="15"/>
      <c r="L787" s="16"/>
    </row>
    <row r="788" customFormat="false" ht="12.8" hidden="false" customHeight="false" outlineLevel="0" collapsed="false">
      <c r="E788" s="10"/>
      <c r="F788" s="11"/>
      <c r="G788" s="12"/>
      <c r="H788" s="13"/>
      <c r="I788" s="14"/>
      <c r="J788" s="15"/>
      <c r="K788" s="15"/>
      <c r="L788" s="16"/>
    </row>
    <row r="789" customFormat="false" ht="12.8" hidden="false" customHeight="false" outlineLevel="0" collapsed="false">
      <c r="E789" s="10"/>
      <c r="F789" s="11"/>
      <c r="G789" s="12"/>
      <c r="H789" s="13"/>
      <c r="I789" s="14"/>
      <c r="J789" s="15"/>
      <c r="K789" s="15"/>
      <c r="L789" s="16"/>
    </row>
    <row r="790" customFormat="false" ht="12.8" hidden="false" customHeight="false" outlineLevel="0" collapsed="false">
      <c r="E790" s="10"/>
      <c r="F790" s="11"/>
      <c r="G790" s="12"/>
      <c r="H790" s="13"/>
      <c r="I790" s="14"/>
      <c r="J790" s="15"/>
      <c r="K790" s="15"/>
      <c r="L790" s="16"/>
    </row>
    <row r="791" customFormat="false" ht="12.8" hidden="false" customHeight="false" outlineLevel="0" collapsed="false">
      <c r="E791" s="10"/>
      <c r="F791" s="11"/>
      <c r="G791" s="12"/>
      <c r="H791" s="13"/>
      <c r="I791" s="14"/>
      <c r="J791" s="15"/>
      <c r="K791" s="15"/>
      <c r="L791" s="16"/>
    </row>
    <row r="792" customFormat="false" ht="12.8" hidden="false" customHeight="false" outlineLevel="0" collapsed="false">
      <c r="E792" s="10"/>
      <c r="F792" s="11"/>
      <c r="G792" s="12"/>
      <c r="H792" s="13"/>
      <c r="I792" s="14"/>
      <c r="J792" s="15"/>
      <c r="K792" s="15"/>
      <c r="L792" s="16"/>
    </row>
    <row r="793" customFormat="false" ht="12.8" hidden="false" customHeight="false" outlineLevel="0" collapsed="false">
      <c r="E793" s="10"/>
      <c r="F793" s="11"/>
      <c r="G793" s="12"/>
      <c r="H793" s="13"/>
      <c r="I793" s="14"/>
      <c r="J793" s="15"/>
      <c r="K793" s="15"/>
      <c r="L793" s="16"/>
    </row>
    <row r="794" customFormat="false" ht="12.8" hidden="false" customHeight="false" outlineLevel="0" collapsed="false">
      <c r="E794" s="10"/>
      <c r="F794" s="11"/>
      <c r="G794" s="12"/>
      <c r="H794" s="13"/>
      <c r="I794" s="14"/>
      <c r="J794" s="15"/>
      <c r="K794" s="15"/>
      <c r="L794" s="16"/>
    </row>
    <row r="795" customFormat="false" ht="12.8" hidden="false" customHeight="false" outlineLevel="0" collapsed="false">
      <c r="E795" s="10"/>
      <c r="F795" s="11"/>
      <c r="G795" s="12"/>
      <c r="H795" s="13"/>
      <c r="I795" s="14"/>
      <c r="J795" s="15"/>
      <c r="K795" s="15"/>
      <c r="L795" s="16"/>
    </row>
    <row r="796" customFormat="false" ht="12.8" hidden="false" customHeight="false" outlineLevel="0" collapsed="false">
      <c r="E796" s="10"/>
      <c r="F796" s="11"/>
      <c r="G796" s="12"/>
      <c r="H796" s="13"/>
      <c r="I796" s="14"/>
      <c r="J796" s="15"/>
      <c r="K796" s="15"/>
      <c r="L796" s="16"/>
    </row>
    <row r="797" customFormat="false" ht="12.8" hidden="false" customHeight="false" outlineLevel="0" collapsed="false">
      <c r="E797" s="10"/>
      <c r="F797" s="11"/>
      <c r="G797" s="12"/>
      <c r="H797" s="13"/>
      <c r="I797" s="14"/>
      <c r="J797" s="15"/>
      <c r="K797" s="15"/>
      <c r="L797" s="16"/>
    </row>
    <row r="798" customFormat="false" ht="12.8" hidden="false" customHeight="false" outlineLevel="0" collapsed="false">
      <c r="E798" s="10"/>
      <c r="F798" s="11"/>
      <c r="G798" s="12"/>
      <c r="H798" s="13"/>
      <c r="I798" s="14"/>
      <c r="J798" s="15"/>
      <c r="K798" s="15"/>
      <c r="L798" s="16"/>
    </row>
    <row r="799" customFormat="false" ht="12.8" hidden="false" customHeight="false" outlineLevel="0" collapsed="false">
      <c r="E799" s="10"/>
      <c r="F799" s="11"/>
      <c r="G799" s="12"/>
      <c r="H799" s="13"/>
      <c r="I799" s="14"/>
      <c r="J799" s="15"/>
      <c r="K799" s="15"/>
      <c r="L799" s="16"/>
    </row>
    <row r="800" customFormat="false" ht="12.8" hidden="false" customHeight="false" outlineLevel="0" collapsed="false">
      <c r="E800" s="10"/>
      <c r="F800" s="11"/>
      <c r="G800" s="12"/>
      <c r="H800" s="13"/>
      <c r="I800" s="14"/>
      <c r="J800" s="15"/>
      <c r="K800" s="15"/>
      <c r="L800" s="16"/>
    </row>
    <row r="801" customFormat="false" ht="12.8" hidden="false" customHeight="false" outlineLevel="0" collapsed="false">
      <c r="E801" s="10"/>
      <c r="F801" s="11"/>
      <c r="G801" s="12"/>
      <c r="H801" s="13"/>
      <c r="I801" s="14"/>
      <c r="J801" s="15"/>
      <c r="K801" s="15"/>
      <c r="L801" s="16"/>
    </row>
    <row r="802" customFormat="false" ht="12.8" hidden="false" customHeight="false" outlineLevel="0" collapsed="false">
      <c r="E802" s="10"/>
      <c r="F802" s="11"/>
      <c r="G802" s="12"/>
      <c r="H802" s="13"/>
      <c r="I802" s="14"/>
      <c r="J802" s="15"/>
      <c r="K802" s="15"/>
      <c r="L802" s="16"/>
    </row>
    <row r="803" customFormat="false" ht="12.8" hidden="false" customHeight="false" outlineLevel="0" collapsed="false">
      <c r="E803" s="10"/>
      <c r="F803" s="11"/>
      <c r="G803" s="12"/>
      <c r="H803" s="13"/>
      <c r="I803" s="14"/>
      <c r="J803" s="15"/>
      <c r="K803" s="15"/>
      <c r="L803" s="16"/>
    </row>
    <row r="804" customFormat="false" ht="12.8" hidden="false" customHeight="false" outlineLevel="0" collapsed="false">
      <c r="E804" s="10"/>
      <c r="F804" s="11"/>
      <c r="G804" s="12"/>
      <c r="H804" s="13"/>
      <c r="I804" s="14"/>
      <c r="J804" s="15"/>
      <c r="K804" s="15"/>
      <c r="L804" s="16"/>
    </row>
    <row r="805" customFormat="false" ht="12.8" hidden="false" customHeight="false" outlineLevel="0" collapsed="false">
      <c r="E805" s="10"/>
      <c r="F805" s="11"/>
      <c r="G805" s="12"/>
      <c r="H805" s="13"/>
      <c r="I805" s="14"/>
      <c r="J805" s="15"/>
      <c r="K805" s="15"/>
      <c r="L805" s="16"/>
    </row>
    <row r="806" customFormat="false" ht="12.8" hidden="false" customHeight="false" outlineLevel="0" collapsed="false">
      <c r="E806" s="10"/>
      <c r="F806" s="11"/>
      <c r="G806" s="12"/>
      <c r="H806" s="13"/>
      <c r="I806" s="14"/>
      <c r="J806" s="15"/>
      <c r="K806" s="15"/>
      <c r="L806" s="16"/>
    </row>
    <row r="807" customFormat="false" ht="12.8" hidden="false" customHeight="false" outlineLevel="0" collapsed="false">
      <c r="E807" s="10"/>
      <c r="F807" s="11"/>
      <c r="G807" s="12"/>
      <c r="H807" s="13"/>
      <c r="I807" s="14"/>
      <c r="J807" s="15"/>
      <c r="K807" s="15"/>
      <c r="L807" s="16"/>
    </row>
    <row r="808" customFormat="false" ht="12.8" hidden="false" customHeight="false" outlineLevel="0" collapsed="false">
      <c r="E808" s="10"/>
      <c r="F808" s="11"/>
      <c r="G808" s="12"/>
      <c r="H808" s="13"/>
      <c r="I808" s="14"/>
      <c r="J808" s="15"/>
      <c r="K808" s="15"/>
      <c r="L808" s="16"/>
    </row>
    <row r="809" customFormat="false" ht="12.8" hidden="false" customHeight="false" outlineLevel="0" collapsed="false">
      <c r="E809" s="10"/>
      <c r="F809" s="11"/>
      <c r="G809" s="12"/>
      <c r="H809" s="13"/>
      <c r="I809" s="14"/>
      <c r="J809" s="15"/>
      <c r="K809" s="15"/>
      <c r="L809" s="16"/>
    </row>
    <row r="810" customFormat="false" ht="12.8" hidden="false" customHeight="false" outlineLevel="0" collapsed="false">
      <c r="E810" s="10"/>
      <c r="F810" s="11"/>
      <c r="G810" s="12"/>
      <c r="H810" s="13"/>
      <c r="I810" s="14"/>
      <c r="J810" s="15"/>
      <c r="K810" s="15"/>
      <c r="L810" s="16"/>
    </row>
    <row r="811" customFormat="false" ht="12.8" hidden="false" customHeight="false" outlineLevel="0" collapsed="false">
      <c r="E811" s="10"/>
      <c r="F811" s="11"/>
      <c r="G811" s="12"/>
      <c r="H811" s="13"/>
      <c r="I811" s="14"/>
      <c r="J811" s="15"/>
      <c r="K811" s="15"/>
      <c r="L811" s="16"/>
    </row>
    <row r="812" customFormat="false" ht="12.8" hidden="false" customHeight="false" outlineLevel="0" collapsed="false">
      <c r="E812" s="10"/>
      <c r="F812" s="11"/>
      <c r="G812" s="12"/>
      <c r="H812" s="13"/>
      <c r="I812" s="14"/>
      <c r="J812" s="15"/>
      <c r="K812" s="15"/>
      <c r="L812" s="16"/>
    </row>
    <row r="813" customFormat="false" ht="12.8" hidden="false" customHeight="false" outlineLevel="0" collapsed="false">
      <c r="E813" s="10"/>
      <c r="F813" s="11"/>
      <c r="G813" s="12"/>
      <c r="H813" s="13"/>
      <c r="I813" s="14"/>
      <c r="J813" s="15"/>
      <c r="K813" s="15"/>
      <c r="L813" s="16"/>
    </row>
    <row r="814" customFormat="false" ht="12.8" hidden="false" customHeight="false" outlineLevel="0" collapsed="false">
      <c r="E814" s="10"/>
      <c r="F814" s="11"/>
      <c r="G814" s="12"/>
      <c r="H814" s="13"/>
      <c r="I814" s="14"/>
      <c r="J814" s="15"/>
      <c r="K814" s="15"/>
      <c r="L814" s="16"/>
    </row>
    <row r="815" customFormat="false" ht="12.8" hidden="false" customHeight="false" outlineLevel="0" collapsed="false">
      <c r="E815" s="10"/>
      <c r="F815" s="11"/>
      <c r="G815" s="12"/>
      <c r="H815" s="13"/>
      <c r="I815" s="14"/>
      <c r="J815" s="15"/>
      <c r="K815" s="15"/>
      <c r="L815" s="16"/>
    </row>
    <row r="816" customFormat="false" ht="12.8" hidden="false" customHeight="false" outlineLevel="0" collapsed="false">
      <c r="E816" s="10"/>
      <c r="F816" s="11"/>
      <c r="G816" s="12"/>
      <c r="H816" s="13"/>
      <c r="I816" s="14"/>
      <c r="J816" s="15"/>
      <c r="K816" s="15"/>
      <c r="L816" s="16"/>
    </row>
    <row r="817" customFormat="false" ht="12.8" hidden="false" customHeight="false" outlineLevel="0" collapsed="false">
      <c r="E817" s="10"/>
      <c r="F817" s="11"/>
      <c r="G817" s="12"/>
      <c r="H817" s="13"/>
      <c r="I817" s="14"/>
      <c r="J817" s="15"/>
      <c r="K817" s="15"/>
      <c r="L817" s="16"/>
    </row>
    <row r="818" customFormat="false" ht="12.8" hidden="false" customHeight="false" outlineLevel="0" collapsed="false">
      <c r="E818" s="10"/>
      <c r="F818" s="11"/>
      <c r="G818" s="12"/>
      <c r="H818" s="13"/>
      <c r="I818" s="14"/>
      <c r="J818" s="15"/>
      <c r="K818" s="15"/>
      <c r="L818" s="16"/>
    </row>
    <row r="819" customFormat="false" ht="12.8" hidden="false" customHeight="false" outlineLevel="0" collapsed="false">
      <c r="E819" s="10"/>
      <c r="F819" s="11"/>
      <c r="G819" s="12"/>
      <c r="H819" s="13"/>
      <c r="I819" s="14"/>
      <c r="J819" s="15"/>
      <c r="K819" s="15"/>
      <c r="L819" s="16"/>
    </row>
    <row r="820" customFormat="false" ht="12.8" hidden="false" customHeight="false" outlineLevel="0" collapsed="false">
      <c r="E820" s="10"/>
      <c r="F820" s="11"/>
      <c r="G820" s="12"/>
      <c r="H820" s="13"/>
      <c r="I820" s="14"/>
      <c r="J820" s="15"/>
      <c r="K820" s="15"/>
      <c r="L820" s="16"/>
    </row>
    <row r="821" customFormat="false" ht="12.8" hidden="false" customHeight="false" outlineLevel="0" collapsed="false">
      <c r="E821" s="10"/>
      <c r="F821" s="11"/>
      <c r="G821" s="12"/>
      <c r="H821" s="13"/>
      <c r="I821" s="14"/>
      <c r="J821" s="15"/>
      <c r="K821" s="15"/>
      <c r="L821" s="16"/>
    </row>
    <row r="822" customFormat="false" ht="12.8" hidden="false" customHeight="false" outlineLevel="0" collapsed="false">
      <c r="E822" s="10"/>
      <c r="F822" s="11"/>
      <c r="G822" s="12"/>
      <c r="H822" s="13"/>
      <c r="I822" s="14"/>
      <c r="J822" s="15"/>
      <c r="K822" s="15"/>
      <c r="L822" s="16"/>
    </row>
    <row r="823" customFormat="false" ht="12.8" hidden="false" customHeight="false" outlineLevel="0" collapsed="false">
      <c r="E823" s="10"/>
      <c r="F823" s="11"/>
      <c r="G823" s="12"/>
      <c r="H823" s="13"/>
      <c r="I823" s="14"/>
      <c r="J823" s="15"/>
      <c r="K823" s="15"/>
      <c r="L823" s="16"/>
    </row>
    <row r="824" customFormat="false" ht="12.8" hidden="false" customHeight="false" outlineLevel="0" collapsed="false">
      <c r="E824" s="10"/>
      <c r="F824" s="11"/>
      <c r="G824" s="12"/>
      <c r="H824" s="13"/>
      <c r="I824" s="14"/>
      <c r="J824" s="15"/>
      <c r="K824" s="15"/>
      <c r="L824" s="16"/>
    </row>
    <row r="825" customFormat="false" ht="12.8" hidden="false" customHeight="false" outlineLevel="0" collapsed="false">
      <c r="E825" s="10"/>
      <c r="F825" s="11"/>
      <c r="G825" s="12"/>
      <c r="H825" s="13"/>
      <c r="I825" s="14"/>
      <c r="J825" s="15"/>
      <c r="K825" s="15"/>
      <c r="L825" s="16"/>
    </row>
    <row r="826" customFormat="false" ht="12.8" hidden="false" customHeight="false" outlineLevel="0" collapsed="false">
      <c r="E826" s="10"/>
      <c r="F826" s="11"/>
      <c r="G826" s="12"/>
      <c r="H826" s="13"/>
      <c r="I826" s="14"/>
      <c r="J826" s="15"/>
      <c r="K826" s="15"/>
      <c r="L826" s="16"/>
    </row>
    <row r="827" customFormat="false" ht="12.8" hidden="false" customHeight="false" outlineLevel="0" collapsed="false">
      <c r="E827" s="10"/>
      <c r="F827" s="11"/>
      <c r="G827" s="12"/>
      <c r="H827" s="13"/>
      <c r="I827" s="14"/>
      <c r="J827" s="15"/>
      <c r="K827" s="15"/>
      <c r="L827" s="16"/>
    </row>
    <row r="828" customFormat="false" ht="12.8" hidden="false" customHeight="false" outlineLevel="0" collapsed="false">
      <c r="E828" s="10"/>
      <c r="F828" s="11"/>
      <c r="G828" s="12"/>
      <c r="H828" s="13"/>
      <c r="I828" s="14"/>
      <c r="J828" s="15"/>
      <c r="K828" s="15"/>
      <c r="L828" s="16"/>
    </row>
    <row r="829" customFormat="false" ht="12.8" hidden="false" customHeight="false" outlineLevel="0" collapsed="false">
      <c r="E829" s="10"/>
      <c r="F829" s="11"/>
      <c r="G829" s="12"/>
      <c r="H829" s="13"/>
      <c r="I829" s="14"/>
      <c r="J829" s="15"/>
      <c r="K829" s="15"/>
      <c r="L829" s="16"/>
    </row>
    <row r="830" customFormat="false" ht="12.8" hidden="false" customHeight="false" outlineLevel="0" collapsed="false">
      <c r="E830" s="10"/>
      <c r="F830" s="11"/>
      <c r="G830" s="12"/>
      <c r="H830" s="13"/>
      <c r="I830" s="14"/>
      <c r="J830" s="15"/>
      <c r="K830" s="15"/>
      <c r="L830" s="16"/>
    </row>
    <row r="831" customFormat="false" ht="12.8" hidden="false" customHeight="false" outlineLevel="0" collapsed="false">
      <c r="E831" s="10"/>
      <c r="F831" s="11"/>
      <c r="G831" s="12"/>
      <c r="H831" s="13"/>
      <c r="I831" s="14"/>
      <c r="J831" s="15"/>
      <c r="K831" s="15"/>
      <c r="L831" s="16"/>
    </row>
    <row r="832" customFormat="false" ht="12.8" hidden="false" customHeight="false" outlineLevel="0" collapsed="false">
      <c r="E832" s="10"/>
      <c r="F832" s="11"/>
      <c r="G832" s="12"/>
      <c r="H832" s="13"/>
      <c r="I832" s="14"/>
      <c r="J832" s="15"/>
      <c r="K832" s="15"/>
      <c r="L832" s="16"/>
    </row>
    <row r="833" customFormat="false" ht="12.8" hidden="false" customHeight="false" outlineLevel="0" collapsed="false">
      <c r="E833" s="10"/>
      <c r="F833" s="11"/>
      <c r="G833" s="12"/>
      <c r="H833" s="13"/>
      <c r="I833" s="14"/>
      <c r="J833" s="15"/>
      <c r="K833" s="15"/>
      <c r="L833" s="16"/>
    </row>
    <row r="834" customFormat="false" ht="12.8" hidden="false" customHeight="false" outlineLevel="0" collapsed="false">
      <c r="E834" s="10"/>
      <c r="F834" s="11"/>
      <c r="G834" s="12"/>
      <c r="H834" s="13"/>
      <c r="I834" s="14"/>
      <c r="J834" s="15"/>
      <c r="K834" s="15"/>
      <c r="L834" s="16"/>
    </row>
    <row r="835" customFormat="false" ht="12.8" hidden="false" customHeight="false" outlineLevel="0" collapsed="false">
      <c r="E835" s="10"/>
      <c r="F835" s="11"/>
      <c r="G835" s="12"/>
      <c r="H835" s="13"/>
      <c r="I835" s="14"/>
      <c r="J835" s="15"/>
      <c r="K835" s="15"/>
      <c r="L835" s="16"/>
    </row>
    <row r="836" customFormat="false" ht="12.8" hidden="false" customHeight="false" outlineLevel="0" collapsed="false">
      <c r="E836" s="10"/>
      <c r="F836" s="11"/>
      <c r="G836" s="12"/>
      <c r="H836" s="13"/>
      <c r="I836" s="14"/>
      <c r="J836" s="15"/>
      <c r="K836" s="15"/>
      <c r="L836" s="16"/>
    </row>
    <row r="837" customFormat="false" ht="12.8" hidden="false" customHeight="false" outlineLevel="0" collapsed="false">
      <c r="E837" s="10"/>
      <c r="F837" s="11"/>
      <c r="G837" s="12"/>
      <c r="H837" s="13"/>
      <c r="I837" s="14"/>
      <c r="J837" s="15"/>
      <c r="K837" s="15"/>
      <c r="L837" s="16"/>
    </row>
    <row r="838" customFormat="false" ht="12.8" hidden="false" customHeight="false" outlineLevel="0" collapsed="false">
      <c r="E838" s="10"/>
      <c r="F838" s="11"/>
      <c r="G838" s="12"/>
      <c r="H838" s="13"/>
      <c r="I838" s="14"/>
      <c r="J838" s="15"/>
      <c r="K838" s="15"/>
      <c r="L838" s="16"/>
    </row>
    <row r="839" customFormat="false" ht="12.8" hidden="false" customHeight="false" outlineLevel="0" collapsed="false">
      <c r="E839" s="10"/>
      <c r="F839" s="11"/>
      <c r="G839" s="12"/>
      <c r="H839" s="13"/>
      <c r="I839" s="14"/>
      <c r="J839" s="15"/>
      <c r="K839" s="15"/>
      <c r="L839" s="16"/>
    </row>
    <row r="840" customFormat="false" ht="12.8" hidden="false" customHeight="false" outlineLevel="0" collapsed="false">
      <c r="E840" s="10"/>
      <c r="F840" s="11"/>
      <c r="G840" s="12"/>
      <c r="H840" s="13"/>
      <c r="I840" s="14"/>
      <c r="J840" s="15"/>
      <c r="K840" s="15"/>
      <c r="L840" s="16"/>
    </row>
    <row r="841" customFormat="false" ht="12.8" hidden="false" customHeight="false" outlineLevel="0" collapsed="false">
      <c r="E841" s="10"/>
      <c r="F841" s="11"/>
      <c r="G841" s="12"/>
      <c r="H841" s="13"/>
      <c r="I841" s="14"/>
      <c r="J841" s="15"/>
      <c r="K841" s="15"/>
      <c r="L841" s="16"/>
    </row>
    <row r="842" customFormat="false" ht="12.8" hidden="false" customHeight="false" outlineLevel="0" collapsed="false">
      <c r="E842" s="10"/>
      <c r="F842" s="11"/>
      <c r="G842" s="12"/>
      <c r="H842" s="13"/>
      <c r="I842" s="14"/>
      <c r="J842" s="15"/>
      <c r="K842" s="15"/>
      <c r="L842" s="16"/>
    </row>
    <row r="843" customFormat="false" ht="12.8" hidden="false" customHeight="false" outlineLevel="0" collapsed="false">
      <c r="E843" s="10"/>
      <c r="F843" s="11"/>
      <c r="G843" s="12"/>
      <c r="H843" s="13"/>
      <c r="I843" s="14"/>
      <c r="J843" s="15"/>
      <c r="K843" s="15"/>
      <c r="L843" s="16"/>
    </row>
    <row r="844" customFormat="false" ht="12.8" hidden="false" customHeight="false" outlineLevel="0" collapsed="false">
      <c r="E844" s="10"/>
      <c r="F844" s="11"/>
      <c r="G844" s="12"/>
      <c r="H844" s="13"/>
      <c r="I844" s="14"/>
      <c r="J844" s="15"/>
      <c r="K844" s="15"/>
      <c r="L844" s="16"/>
    </row>
    <row r="845" customFormat="false" ht="12.8" hidden="false" customHeight="false" outlineLevel="0" collapsed="false">
      <c r="E845" s="10"/>
      <c r="F845" s="11"/>
      <c r="G845" s="12"/>
      <c r="H845" s="13"/>
      <c r="I845" s="14"/>
      <c r="J845" s="15"/>
      <c r="K845" s="15"/>
      <c r="L845" s="16"/>
    </row>
    <row r="846" customFormat="false" ht="12.8" hidden="false" customHeight="false" outlineLevel="0" collapsed="false">
      <c r="E846" s="10"/>
      <c r="F846" s="11"/>
      <c r="G846" s="12"/>
      <c r="H846" s="13"/>
      <c r="I846" s="14"/>
      <c r="J846" s="15"/>
      <c r="K846" s="15"/>
      <c r="L846" s="16"/>
    </row>
    <row r="847" customFormat="false" ht="12.8" hidden="false" customHeight="false" outlineLevel="0" collapsed="false">
      <c r="E847" s="10"/>
      <c r="F847" s="11"/>
      <c r="G847" s="12"/>
      <c r="H847" s="13"/>
      <c r="I847" s="14"/>
      <c r="J847" s="15"/>
      <c r="K847" s="15"/>
      <c r="L847" s="16"/>
    </row>
    <row r="848" customFormat="false" ht="12.8" hidden="false" customHeight="false" outlineLevel="0" collapsed="false">
      <c r="E848" s="10"/>
      <c r="F848" s="11"/>
      <c r="G848" s="12"/>
      <c r="H848" s="13"/>
      <c r="I848" s="14"/>
      <c r="J848" s="15"/>
      <c r="K848" s="15"/>
      <c r="L848" s="16"/>
    </row>
    <row r="849" customFormat="false" ht="12.8" hidden="false" customHeight="false" outlineLevel="0" collapsed="false">
      <c r="E849" s="10"/>
      <c r="F849" s="11"/>
      <c r="G849" s="12"/>
      <c r="H849" s="13"/>
      <c r="I849" s="14"/>
      <c r="J849" s="15"/>
      <c r="K849" s="15"/>
      <c r="L849" s="16"/>
    </row>
    <row r="850" customFormat="false" ht="12.8" hidden="false" customHeight="false" outlineLevel="0" collapsed="false">
      <c r="E850" s="10"/>
      <c r="F850" s="11"/>
      <c r="G850" s="12"/>
      <c r="H850" s="13"/>
      <c r="I850" s="14"/>
      <c r="J850" s="15"/>
      <c r="K850" s="15"/>
      <c r="L850" s="16"/>
    </row>
    <row r="851" customFormat="false" ht="12.8" hidden="false" customHeight="false" outlineLevel="0" collapsed="false">
      <c r="E851" s="10"/>
      <c r="F851" s="11"/>
      <c r="G851" s="12"/>
      <c r="H851" s="13"/>
      <c r="I851" s="14"/>
      <c r="J851" s="15"/>
      <c r="K851" s="15"/>
      <c r="L851" s="16"/>
    </row>
    <row r="852" customFormat="false" ht="12.8" hidden="false" customHeight="false" outlineLevel="0" collapsed="false">
      <c r="E852" s="10"/>
      <c r="F852" s="11"/>
      <c r="G852" s="12"/>
      <c r="H852" s="13"/>
      <c r="I852" s="14"/>
      <c r="J852" s="15"/>
      <c r="K852" s="15"/>
      <c r="L852" s="16"/>
    </row>
    <row r="853" customFormat="false" ht="12.8" hidden="false" customHeight="false" outlineLevel="0" collapsed="false">
      <c r="E853" s="10"/>
      <c r="F853" s="11"/>
      <c r="G853" s="12"/>
      <c r="H853" s="13"/>
      <c r="I853" s="14"/>
      <c r="J853" s="15"/>
      <c r="K853" s="15"/>
      <c r="L853" s="16"/>
    </row>
    <row r="854" customFormat="false" ht="12.8" hidden="false" customHeight="false" outlineLevel="0" collapsed="false">
      <c r="E854" s="10"/>
      <c r="F854" s="11"/>
      <c r="G854" s="12"/>
      <c r="H854" s="13"/>
      <c r="I854" s="14"/>
      <c r="J854" s="15"/>
      <c r="K854" s="15"/>
      <c r="L854" s="16"/>
    </row>
    <row r="855" customFormat="false" ht="12.8" hidden="false" customHeight="false" outlineLevel="0" collapsed="false">
      <c r="E855" s="10"/>
      <c r="F855" s="11"/>
      <c r="G855" s="12"/>
      <c r="H855" s="13"/>
      <c r="I855" s="14"/>
      <c r="J855" s="15"/>
      <c r="K855" s="15"/>
      <c r="L855" s="16"/>
    </row>
    <row r="856" customFormat="false" ht="12.8" hidden="false" customHeight="false" outlineLevel="0" collapsed="false">
      <c r="E856" s="10"/>
      <c r="F856" s="11"/>
      <c r="G856" s="12"/>
      <c r="H856" s="13"/>
      <c r="I856" s="14"/>
      <c r="J856" s="15"/>
      <c r="K856" s="15"/>
      <c r="L856" s="16"/>
    </row>
    <row r="857" customFormat="false" ht="12.8" hidden="false" customHeight="false" outlineLevel="0" collapsed="false">
      <c r="E857" s="10"/>
      <c r="F857" s="11"/>
      <c r="G857" s="12"/>
      <c r="H857" s="13"/>
      <c r="I857" s="14"/>
      <c r="J857" s="15"/>
      <c r="K857" s="15"/>
      <c r="L857" s="16"/>
    </row>
    <row r="858" customFormat="false" ht="12.8" hidden="false" customHeight="false" outlineLevel="0" collapsed="false">
      <c r="E858" s="10"/>
      <c r="F858" s="11"/>
      <c r="G858" s="12"/>
      <c r="H858" s="13"/>
      <c r="I858" s="14"/>
      <c r="J858" s="15"/>
      <c r="K858" s="15"/>
      <c r="L858" s="16"/>
    </row>
    <row r="859" customFormat="false" ht="12.8" hidden="false" customHeight="false" outlineLevel="0" collapsed="false">
      <c r="E859" s="10"/>
      <c r="F859" s="11"/>
      <c r="G859" s="12"/>
      <c r="H859" s="13"/>
      <c r="I859" s="14"/>
      <c r="J859" s="15"/>
      <c r="K859" s="15"/>
      <c r="L859" s="16"/>
    </row>
    <row r="860" customFormat="false" ht="12.8" hidden="false" customHeight="false" outlineLevel="0" collapsed="false">
      <c r="E860" s="10"/>
      <c r="F860" s="11"/>
      <c r="G860" s="12"/>
      <c r="H860" s="13"/>
      <c r="I860" s="14"/>
      <c r="J860" s="15"/>
      <c r="K860" s="15"/>
      <c r="L860" s="16"/>
    </row>
    <row r="861" customFormat="false" ht="12.8" hidden="false" customHeight="false" outlineLevel="0" collapsed="false">
      <c r="E861" s="10"/>
      <c r="F861" s="11"/>
      <c r="G861" s="12"/>
      <c r="H861" s="13"/>
      <c r="I861" s="14"/>
      <c r="J861" s="15"/>
      <c r="K861" s="15"/>
      <c r="L861" s="16"/>
    </row>
    <row r="862" customFormat="false" ht="12.8" hidden="false" customHeight="false" outlineLevel="0" collapsed="false">
      <c r="E862" s="10"/>
      <c r="F862" s="11"/>
      <c r="G862" s="12"/>
      <c r="H862" s="13"/>
      <c r="I862" s="14"/>
      <c r="J862" s="15"/>
      <c r="K862" s="15"/>
      <c r="L862" s="16"/>
    </row>
    <row r="863" customFormat="false" ht="12.8" hidden="false" customHeight="false" outlineLevel="0" collapsed="false">
      <c r="E863" s="10"/>
      <c r="F863" s="11"/>
      <c r="G863" s="12"/>
      <c r="H863" s="13"/>
      <c r="I863" s="14"/>
      <c r="J863" s="15"/>
      <c r="K863" s="15"/>
      <c r="L863" s="16"/>
    </row>
    <row r="864" customFormat="false" ht="12.8" hidden="false" customHeight="false" outlineLevel="0" collapsed="false">
      <c r="E864" s="10"/>
      <c r="F864" s="11"/>
      <c r="G864" s="12"/>
      <c r="H864" s="13"/>
      <c r="I864" s="14"/>
      <c r="J864" s="15"/>
      <c r="K864" s="15"/>
      <c r="L864" s="16"/>
    </row>
    <row r="865" customFormat="false" ht="12.8" hidden="false" customHeight="false" outlineLevel="0" collapsed="false">
      <c r="E865" s="10"/>
      <c r="F865" s="11"/>
      <c r="G865" s="12"/>
      <c r="H865" s="13"/>
      <c r="I865" s="14"/>
      <c r="J865" s="15"/>
      <c r="K865" s="15"/>
      <c r="L865" s="16"/>
    </row>
    <row r="866" customFormat="false" ht="12.8" hidden="false" customHeight="false" outlineLevel="0" collapsed="false">
      <c r="E866" s="10"/>
      <c r="F866" s="11"/>
      <c r="G866" s="12"/>
      <c r="H866" s="13"/>
      <c r="I866" s="14"/>
      <c r="J866" s="15"/>
      <c r="K866" s="15"/>
      <c r="L866" s="16"/>
    </row>
    <row r="867" customFormat="false" ht="12.8" hidden="false" customHeight="false" outlineLevel="0" collapsed="false">
      <c r="E867" s="10"/>
      <c r="F867" s="11"/>
      <c r="G867" s="12"/>
      <c r="H867" s="13"/>
      <c r="I867" s="14"/>
      <c r="J867" s="15"/>
      <c r="K867" s="15"/>
      <c r="L867" s="16"/>
    </row>
    <row r="868" customFormat="false" ht="12.8" hidden="false" customHeight="false" outlineLevel="0" collapsed="false">
      <c r="E868" s="10"/>
      <c r="F868" s="11"/>
      <c r="G868" s="12"/>
      <c r="H868" s="13"/>
      <c r="I868" s="14"/>
      <c r="J868" s="15"/>
      <c r="K868" s="15"/>
      <c r="L868" s="16"/>
    </row>
    <row r="869" customFormat="false" ht="12.8" hidden="false" customHeight="false" outlineLevel="0" collapsed="false">
      <c r="E869" s="10"/>
      <c r="F869" s="11"/>
      <c r="G869" s="12"/>
      <c r="H869" s="13"/>
      <c r="I869" s="14"/>
      <c r="J869" s="15"/>
      <c r="K869" s="15"/>
      <c r="L869" s="16"/>
    </row>
    <row r="870" customFormat="false" ht="12.8" hidden="false" customHeight="false" outlineLevel="0" collapsed="false">
      <c r="E870" s="10"/>
      <c r="F870" s="11"/>
      <c r="G870" s="12"/>
      <c r="H870" s="13"/>
      <c r="I870" s="14"/>
      <c r="J870" s="15"/>
      <c r="K870" s="15"/>
      <c r="L870" s="16"/>
    </row>
    <row r="871" customFormat="false" ht="12.8" hidden="false" customHeight="false" outlineLevel="0" collapsed="false">
      <c r="E871" s="10"/>
      <c r="F871" s="11"/>
      <c r="G871" s="12"/>
      <c r="H871" s="13"/>
      <c r="I871" s="14"/>
      <c r="J871" s="15"/>
      <c r="K871" s="15"/>
      <c r="L871" s="16"/>
    </row>
    <row r="872" customFormat="false" ht="12.8" hidden="false" customHeight="false" outlineLevel="0" collapsed="false">
      <c r="E872" s="10"/>
      <c r="F872" s="11"/>
      <c r="G872" s="12"/>
      <c r="H872" s="13"/>
      <c r="I872" s="14"/>
      <c r="J872" s="15"/>
      <c r="K872" s="15"/>
      <c r="L872" s="16"/>
    </row>
    <row r="873" customFormat="false" ht="12.8" hidden="false" customHeight="false" outlineLevel="0" collapsed="false">
      <c r="E873" s="10"/>
      <c r="F873" s="11"/>
      <c r="G873" s="12"/>
      <c r="H873" s="13"/>
      <c r="I873" s="14"/>
      <c r="J873" s="15"/>
      <c r="K873" s="15"/>
      <c r="L873" s="16"/>
    </row>
    <row r="874" customFormat="false" ht="12.8" hidden="false" customHeight="false" outlineLevel="0" collapsed="false">
      <c r="E874" s="10"/>
      <c r="F874" s="11"/>
      <c r="G874" s="12"/>
      <c r="H874" s="13"/>
      <c r="I874" s="14"/>
      <c r="J874" s="15"/>
      <c r="K874" s="15"/>
      <c r="L874" s="16"/>
    </row>
    <row r="875" customFormat="false" ht="12.8" hidden="false" customHeight="false" outlineLevel="0" collapsed="false">
      <c r="E875" s="10"/>
      <c r="F875" s="11"/>
      <c r="G875" s="12"/>
      <c r="H875" s="13"/>
      <c r="I875" s="14"/>
      <c r="J875" s="15"/>
      <c r="K875" s="15"/>
      <c r="L875" s="16"/>
    </row>
    <row r="876" customFormat="false" ht="12.8" hidden="false" customHeight="false" outlineLevel="0" collapsed="false">
      <c r="E876" s="10"/>
      <c r="F876" s="11"/>
      <c r="G876" s="12"/>
      <c r="H876" s="13"/>
      <c r="I876" s="14"/>
      <c r="J876" s="15"/>
      <c r="K876" s="15"/>
      <c r="L876" s="16"/>
    </row>
    <row r="877" customFormat="false" ht="12.8" hidden="false" customHeight="false" outlineLevel="0" collapsed="false">
      <c r="E877" s="10"/>
      <c r="F877" s="11"/>
      <c r="G877" s="12"/>
      <c r="H877" s="13"/>
      <c r="I877" s="14"/>
      <c r="J877" s="15"/>
      <c r="K877" s="15"/>
      <c r="L877" s="16"/>
    </row>
    <row r="878" customFormat="false" ht="12.8" hidden="false" customHeight="false" outlineLevel="0" collapsed="false">
      <c r="E878" s="10"/>
      <c r="F878" s="11"/>
      <c r="G878" s="12"/>
      <c r="H878" s="13"/>
      <c r="I878" s="14"/>
      <c r="J878" s="15"/>
      <c r="K878" s="15"/>
      <c r="L878" s="16"/>
    </row>
    <row r="879" customFormat="false" ht="12.8" hidden="false" customHeight="false" outlineLevel="0" collapsed="false">
      <c r="E879" s="10"/>
      <c r="F879" s="11"/>
      <c r="G879" s="12"/>
      <c r="H879" s="13"/>
      <c r="I879" s="14"/>
      <c r="J879" s="15"/>
      <c r="K879" s="15"/>
      <c r="L879" s="16"/>
    </row>
    <row r="880" customFormat="false" ht="12.8" hidden="false" customHeight="false" outlineLevel="0" collapsed="false">
      <c r="E880" s="10"/>
      <c r="F880" s="11"/>
      <c r="G880" s="12"/>
      <c r="H880" s="13"/>
      <c r="I880" s="14"/>
      <c r="J880" s="15"/>
      <c r="K880" s="15"/>
      <c r="L880" s="16"/>
    </row>
    <row r="881" customFormat="false" ht="12.8" hidden="false" customHeight="false" outlineLevel="0" collapsed="false">
      <c r="E881" s="10"/>
      <c r="F881" s="11"/>
      <c r="G881" s="12"/>
      <c r="H881" s="13"/>
      <c r="I881" s="14"/>
      <c r="J881" s="15"/>
      <c r="K881" s="15"/>
      <c r="L881" s="16"/>
    </row>
    <row r="882" customFormat="false" ht="12.8" hidden="false" customHeight="false" outlineLevel="0" collapsed="false">
      <c r="E882" s="10"/>
      <c r="F882" s="11"/>
      <c r="G882" s="12"/>
      <c r="H882" s="13"/>
      <c r="I882" s="14"/>
      <c r="J882" s="15"/>
      <c r="K882" s="15"/>
      <c r="L882" s="16"/>
    </row>
    <row r="883" customFormat="false" ht="12.8" hidden="false" customHeight="false" outlineLevel="0" collapsed="false">
      <c r="E883" s="10"/>
      <c r="F883" s="11"/>
      <c r="G883" s="12"/>
      <c r="H883" s="13"/>
      <c r="I883" s="14"/>
      <c r="J883" s="15"/>
      <c r="K883" s="15"/>
      <c r="L883" s="16"/>
    </row>
    <row r="884" customFormat="false" ht="12.8" hidden="false" customHeight="false" outlineLevel="0" collapsed="false">
      <c r="E884" s="10"/>
      <c r="F884" s="11"/>
      <c r="G884" s="12"/>
      <c r="H884" s="13"/>
      <c r="I884" s="14"/>
      <c r="J884" s="15"/>
      <c r="K884" s="15"/>
      <c r="L884" s="16"/>
    </row>
    <row r="885" customFormat="false" ht="12.8" hidden="false" customHeight="false" outlineLevel="0" collapsed="false">
      <c r="E885" s="10"/>
      <c r="F885" s="11"/>
      <c r="G885" s="12"/>
      <c r="H885" s="13"/>
      <c r="I885" s="14"/>
      <c r="J885" s="15"/>
      <c r="K885" s="15"/>
      <c r="L885" s="16"/>
    </row>
    <row r="886" customFormat="false" ht="12.8" hidden="false" customHeight="false" outlineLevel="0" collapsed="false">
      <c r="E886" s="10"/>
      <c r="F886" s="11"/>
      <c r="G886" s="12"/>
      <c r="H886" s="13"/>
      <c r="I886" s="14"/>
      <c r="J886" s="15"/>
      <c r="K886" s="15"/>
      <c r="L886" s="16"/>
    </row>
    <row r="887" customFormat="false" ht="12.8" hidden="false" customHeight="false" outlineLevel="0" collapsed="false">
      <c r="E887" s="10"/>
      <c r="F887" s="11"/>
      <c r="G887" s="12"/>
      <c r="H887" s="13"/>
      <c r="I887" s="14"/>
      <c r="J887" s="15"/>
      <c r="K887" s="15"/>
      <c r="L887" s="16"/>
    </row>
    <row r="888" customFormat="false" ht="12.8" hidden="false" customHeight="false" outlineLevel="0" collapsed="false">
      <c r="E888" s="10"/>
      <c r="F888" s="11"/>
      <c r="G888" s="12"/>
      <c r="H888" s="13"/>
      <c r="I888" s="14"/>
      <c r="J888" s="15"/>
      <c r="K888" s="15"/>
      <c r="L888" s="16"/>
    </row>
    <row r="889" customFormat="false" ht="12.8" hidden="false" customHeight="false" outlineLevel="0" collapsed="false">
      <c r="E889" s="10"/>
      <c r="F889" s="11"/>
      <c r="G889" s="12"/>
      <c r="H889" s="13"/>
      <c r="I889" s="14"/>
      <c r="J889" s="15"/>
      <c r="K889" s="15"/>
      <c r="L889" s="16"/>
    </row>
    <row r="890" customFormat="false" ht="12.8" hidden="false" customHeight="false" outlineLevel="0" collapsed="false">
      <c r="E890" s="10"/>
      <c r="F890" s="11"/>
      <c r="G890" s="12"/>
      <c r="H890" s="13"/>
      <c r="I890" s="14"/>
      <c r="J890" s="15"/>
      <c r="K890" s="15"/>
      <c r="L890" s="16"/>
    </row>
    <row r="891" customFormat="false" ht="12.8" hidden="false" customHeight="false" outlineLevel="0" collapsed="false">
      <c r="E891" s="10"/>
      <c r="F891" s="11"/>
      <c r="G891" s="12"/>
      <c r="H891" s="13"/>
      <c r="I891" s="14"/>
      <c r="J891" s="15"/>
      <c r="K891" s="15"/>
      <c r="L891" s="16"/>
    </row>
    <row r="892" customFormat="false" ht="12.8" hidden="false" customHeight="false" outlineLevel="0" collapsed="false">
      <c r="E892" s="10"/>
      <c r="F892" s="11"/>
      <c r="G892" s="12"/>
      <c r="H892" s="13"/>
      <c r="I892" s="14"/>
      <c r="J892" s="15"/>
      <c r="K892" s="15"/>
      <c r="L892" s="16"/>
    </row>
    <row r="893" customFormat="false" ht="12.8" hidden="false" customHeight="false" outlineLevel="0" collapsed="false">
      <c r="E893" s="10"/>
      <c r="F893" s="11"/>
      <c r="G893" s="12"/>
      <c r="H893" s="13"/>
      <c r="I893" s="14"/>
      <c r="J893" s="15"/>
      <c r="K893" s="15"/>
      <c r="L893" s="16"/>
    </row>
    <row r="894" customFormat="false" ht="12.8" hidden="false" customHeight="false" outlineLevel="0" collapsed="false">
      <c r="E894" s="10"/>
      <c r="F894" s="11"/>
      <c r="G894" s="12"/>
      <c r="H894" s="13"/>
      <c r="I894" s="14"/>
      <c r="J894" s="15"/>
      <c r="K894" s="15"/>
      <c r="L894" s="16"/>
    </row>
    <row r="895" customFormat="false" ht="12.8" hidden="false" customHeight="false" outlineLevel="0" collapsed="false">
      <c r="E895" s="10"/>
      <c r="F895" s="11"/>
      <c r="G895" s="12"/>
      <c r="H895" s="13"/>
      <c r="I895" s="14"/>
      <c r="J895" s="15"/>
      <c r="K895" s="15"/>
      <c r="L895" s="16"/>
    </row>
    <row r="896" customFormat="false" ht="12.8" hidden="false" customHeight="false" outlineLevel="0" collapsed="false">
      <c r="E896" s="10"/>
      <c r="F896" s="11"/>
      <c r="G896" s="12"/>
      <c r="H896" s="13"/>
      <c r="I896" s="14"/>
      <c r="J896" s="15"/>
      <c r="K896" s="15"/>
      <c r="L896" s="16"/>
    </row>
    <row r="897" customFormat="false" ht="12.8" hidden="false" customHeight="false" outlineLevel="0" collapsed="false">
      <c r="E897" s="10"/>
      <c r="F897" s="11"/>
      <c r="G897" s="12"/>
      <c r="H897" s="13"/>
      <c r="I897" s="14"/>
      <c r="J897" s="15"/>
      <c r="K897" s="15"/>
      <c r="L897" s="16"/>
    </row>
    <row r="898" customFormat="false" ht="12.8" hidden="false" customHeight="false" outlineLevel="0" collapsed="false">
      <c r="E898" s="10"/>
      <c r="F898" s="11"/>
      <c r="G898" s="12"/>
      <c r="H898" s="13"/>
      <c r="I898" s="14"/>
      <c r="J898" s="15"/>
      <c r="K898" s="15"/>
      <c r="L898" s="16"/>
    </row>
    <row r="899" customFormat="false" ht="12.8" hidden="false" customHeight="false" outlineLevel="0" collapsed="false">
      <c r="E899" s="10"/>
      <c r="F899" s="11"/>
      <c r="G899" s="12"/>
      <c r="H899" s="13"/>
      <c r="I899" s="14"/>
      <c r="J899" s="15"/>
      <c r="K899" s="15"/>
      <c r="L899" s="16"/>
    </row>
    <row r="900" customFormat="false" ht="12.8" hidden="false" customHeight="false" outlineLevel="0" collapsed="false">
      <c r="E900" s="10"/>
      <c r="F900" s="11"/>
      <c r="G900" s="12"/>
      <c r="H900" s="13"/>
      <c r="I900" s="14"/>
      <c r="J900" s="15"/>
      <c r="K900" s="15"/>
      <c r="L900" s="16"/>
    </row>
    <row r="901" customFormat="false" ht="12.8" hidden="false" customHeight="false" outlineLevel="0" collapsed="false">
      <c r="E901" s="10"/>
      <c r="F901" s="11"/>
      <c r="G901" s="12"/>
      <c r="H901" s="13"/>
      <c r="I901" s="14"/>
      <c r="J901" s="15"/>
      <c r="K901" s="15"/>
      <c r="L901" s="16"/>
    </row>
    <row r="902" customFormat="false" ht="12.8" hidden="false" customHeight="false" outlineLevel="0" collapsed="false">
      <c r="E902" s="10"/>
      <c r="F902" s="11"/>
      <c r="G902" s="12"/>
      <c r="H902" s="13"/>
      <c r="I902" s="14"/>
      <c r="J902" s="15"/>
      <c r="K902" s="15"/>
      <c r="L902" s="16"/>
    </row>
    <row r="903" customFormat="false" ht="12.8" hidden="false" customHeight="false" outlineLevel="0" collapsed="false">
      <c r="E903" s="10"/>
      <c r="F903" s="11"/>
      <c r="G903" s="12"/>
      <c r="H903" s="13"/>
      <c r="I903" s="14"/>
      <c r="J903" s="15"/>
      <c r="K903" s="15"/>
      <c r="L903" s="16"/>
    </row>
    <row r="904" customFormat="false" ht="12.8" hidden="false" customHeight="false" outlineLevel="0" collapsed="false">
      <c r="E904" s="10"/>
      <c r="F904" s="11"/>
      <c r="G904" s="12"/>
      <c r="H904" s="13"/>
      <c r="I904" s="14"/>
      <c r="J904" s="15"/>
      <c r="K904" s="15"/>
      <c r="L904" s="16"/>
    </row>
    <row r="905" customFormat="false" ht="12.8" hidden="false" customHeight="false" outlineLevel="0" collapsed="false">
      <c r="E905" s="10"/>
      <c r="F905" s="11"/>
      <c r="G905" s="12"/>
      <c r="H905" s="13"/>
      <c r="I905" s="14"/>
      <c r="J905" s="15"/>
      <c r="K905" s="15"/>
      <c r="L905" s="16"/>
    </row>
    <row r="906" customFormat="false" ht="12.8" hidden="false" customHeight="false" outlineLevel="0" collapsed="false">
      <c r="E906" s="10"/>
      <c r="F906" s="11"/>
      <c r="G906" s="12"/>
      <c r="H906" s="13"/>
      <c r="I906" s="14"/>
      <c r="J906" s="15"/>
      <c r="K906" s="15"/>
      <c r="L906" s="16"/>
    </row>
    <row r="907" customFormat="false" ht="12.8" hidden="false" customHeight="false" outlineLevel="0" collapsed="false">
      <c r="E907" s="10"/>
      <c r="F907" s="11"/>
      <c r="G907" s="12"/>
      <c r="H907" s="13"/>
      <c r="I907" s="14"/>
      <c r="J907" s="15"/>
      <c r="K907" s="15"/>
      <c r="L907" s="16"/>
    </row>
    <row r="908" customFormat="false" ht="12.8" hidden="false" customHeight="false" outlineLevel="0" collapsed="false">
      <c r="E908" s="10"/>
      <c r="F908" s="11"/>
      <c r="G908" s="12"/>
      <c r="H908" s="13"/>
      <c r="I908" s="14"/>
      <c r="J908" s="15"/>
      <c r="K908" s="15"/>
      <c r="L908" s="16"/>
    </row>
    <row r="909" customFormat="false" ht="12.8" hidden="false" customHeight="false" outlineLevel="0" collapsed="false">
      <c r="E909" s="10"/>
      <c r="F909" s="11"/>
      <c r="G909" s="12"/>
      <c r="H909" s="13"/>
      <c r="I909" s="14"/>
      <c r="J909" s="15"/>
      <c r="K909" s="15"/>
      <c r="L909" s="16"/>
    </row>
    <row r="910" customFormat="false" ht="12.8" hidden="false" customHeight="false" outlineLevel="0" collapsed="false">
      <c r="E910" s="10"/>
      <c r="F910" s="11"/>
      <c r="G910" s="12"/>
      <c r="H910" s="13"/>
      <c r="I910" s="14"/>
      <c r="J910" s="15"/>
      <c r="K910" s="15"/>
      <c r="L910" s="16"/>
    </row>
    <row r="911" customFormat="false" ht="12.8" hidden="false" customHeight="false" outlineLevel="0" collapsed="false">
      <c r="E911" s="10"/>
      <c r="F911" s="11"/>
      <c r="G911" s="12"/>
      <c r="H911" s="13"/>
      <c r="I911" s="14"/>
      <c r="J911" s="15"/>
      <c r="K911" s="15"/>
      <c r="L911" s="16"/>
    </row>
    <row r="912" customFormat="false" ht="12.8" hidden="false" customHeight="false" outlineLevel="0" collapsed="false">
      <c r="E912" s="10"/>
      <c r="F912" s="11"/>
      <c r="G912" s="12"/>
      <c r="H912" s="13"/>
      <c r="I912" s="14"/>
      <c r="J912" s="15"/>
      <c r="K912" s="15"/>
      <c r="L912" s="16"/>
    </row>
    <row r="913" customFormat="false" ht="12.8" hidden="false" customHeight="false" outlineLevel="0" collapsed="false">
      <c r="E913" s="10"/>
      <c r="F913" s="11"/>
      <c r="G913" s="12"/>
      <c r="H913" s="13"/>
      <c r="I913" s="14"/>
      <c r="J913" s="15"/>
      <c r="K913" s="15"/>
      <c r="L913" s="16"/>
    </row>
    <row r="914" customFormat="false" ht="12.8" hidden="false" customHeight="false" outlineLevel="0" collapsed="false">
      <c r="E914" s="10"/>
      <c r="F914" s="11"/>
      <c r="G914" s="12"/>
      <c r="H914" s="13"/>
      <c r="I914" s="14"/>
      <c r="J914" s="15"/>
      <c r="K914" s="15"/>
      <c r="L914" s="16"/>
    </row>
    <row r="915" customFormat="false" ht="12.8" hidden="false" customHeight="false" outlineLevel="0" collapsed="false">
      <c r="E915" s="10"/>
      <c r="F915" s="11"/>
      <c r="G915" s="12"/>
      <c r="H915" s="13"/>
      <c r="I915" s="14"/>
      <c r="J915" s="15"/>
      <c r="K915" s="15"/>
      <c r="L915" s="16"/>
    </row>
    <row r="916" customFormat="false" ht="12.8" hidden="false" customHeight="false" outlineLevel="0" collapsed="false">
      <c r="E916" s="10"/>
      <c r="F916" s="11"/>
      <c r="G916" s="12"/>
      <c r="H916" s="13"/>
      <c r="I916" s="14"/>
      <c r="J916" s="15"/>
      <c r="K916" s="15"/>
      <c r="L916" s="16"/>
    </row>
    <row r="917" customFormat="false" ht="12.8" hidden="false" customHeight="false" outlineLevel="0" collapsed="false">
      <c r="E917" s="10"/>
      <c r="F917" s="11"/>
      <c r="G917" s="12"/>
      <c r="H917" s="13"/>
      <c r="I917" s="14"/>
      <c r="J917" s="15"/>
      <c r="K917" s="15"/>
      <c r="L917" s="16"/>
    </row>
    <row r="918" customFormat="false" ht="12.8" hidden="false" customHeight="false" outlineLevel="0" collapsed="false">
      <c r="E918" s="10"/>
      <c r="F918" s="11"/>
      <c r="G918" s="12"/>
      <c r="H918" s="13"/>
      <c r="I918" s="14"/>
      <c r="J918" s="15"/>
      <c r="K918" s="15"/>
      <c r="L918" s="16"/>
    </row>
    <row r="919" customFormat="false" ht="12.8" hidden="false" customHeight="false" outlineLevel="0" collapsed="false">
      <c r="E919" s="10"/>
      <c r="F919" s="11"/>
      <c r="G919" s="12"/>
      <c r="H919" s="13"/>
      <c r="I919" s="14"/>
      <c r="J919" s="15"/>
      <c r="K919" s="15"/>
      <c r="L919" s="16"/>
    </row>
    <row r="920" customFormat="false" ht="12.8" hidden="false" customHeight="false" outlineLevel="0" collapsed="false">
      <c r="E920" s="10"/>
      <c r="F920" s="11"/>
      <c r="G920" s="12"/>
      <c r="H920" s="13"/>
      <c r="I920" s="14"/>
      <c r="J920" s="15"/>
      <c r="K920" s="15"/>
      <c r="L920" s="16"/>
    </row>
    <row r="921" customFormat="false" ht="12.8" hidden="false" customHeight="false" outlineLevel="0" collapsed="false">
      <c r="E921" s="10"/>
      <c r="F921" s="11"/>
      <c r="G921" s="12"/>
      <c r="H921" s="13"/>
      <c r="I921" s="14"/>
      <c r="J921" s="15"/>
      <c r="K921" s="15"/>
      <c r="L921" s="16"/>
    </row>
    <row r="922" customFormat="false" ht="12.8" hidden="false" customHeight="false" outlineLevel="0" collapsed="false">
      <c r="E922" s="10"/>
      <c r="F922" s="11"/>
      <c r="G922" s="12"/>
      <c r="H922" s="13"/>
      <c r="I922" s="14"/>
      <c r="J922" s="15"/>
      <c r="K922" s="15"/>
      <c r="L922" s="16"/>
    </row>
    <row r="923" customFormat="false" ht="12.8" hidden="false" customHeight="false" outlineLevel="0" collapsed="false">
      <c r="E923" s="10"/>
      <c r="F923" s="11"/>
      <c r="G923" s="12"/>
      <c r="H923" s="13"/>
      <c r="I923" s="14"/>
      <c r="J923" s="15"/>
      <c r="K923" s="15"/>
      <c r="L923" s="16"/>
    </row>
    <row r="924" customFormat="false" ht="12.8" hidden="false" customHeight="false" outlineLevel="0" collapsed="false">
      <c r="E924" s="10"/>
      <c r="F924" s="11"/>
      <c r="G924" s="12"/>
      <c r="H924" s="13"/>
      <c r="I924" s="14"/>
      <c r="J924" s="15"/>
      <c r="K924" s="15"/>
      <c r="L924" s="16"/>
    </row>
    <row r="925" customFormat="false" ht="12.8" hidden="false" customHeight="false" outlineLevel="0" collapsed="false">
      <c r="E925" s="10"/>
      <c r="F925" s="11"/>
      <c r="G925" s="12"/>
      <c r="H925" s="13"/>
      <c r="I925" s="14"/>
      <c r="J925" s="15"/>
      <c r="K925" s="15"/>
      <c r="L925" s="16"/>
    </row>
    <row r="926" customFormat="false" ht="12.8" hidden="false" customHeight="false" outlineLevel="0" collapsed="false">
      <c r="E926" s="10"/>
      <c r="F926" s="11"/>
      <c r="G926" s="12"/>
      <c r="H926" s="13"/>
      <c r="I926" s="14"/>
      <c r="J926" s="15"/>
      <c r="K926" s="15"/>
      <c r="L926" s="16"/>
    </row>
    <row r="927" customFormat="false" ht="12.8" hidden="false" customHeight="false" outlineLevel="0" collapsed="false">
      <c r="E927" s="10"/>
      <c r="F927" s="11"/>
      <c r="G927" s="12"/>
      <c r="H927" s="13"/>
      <c r="I927" s="14"/>
      <c r="J927" s="15"/>
      <c r="K927" s="15"/>
      <c r="L927" s="16"/>
    </row>
    <row r="928" customFormat="false" ht="12.8" hidden="false" customHeight="false" outlineLevel="0" collapsed="false">
      <c r="E928" s="10"/>
      <c r="F928" s="11"/>
      <c r="G928" s="12"/>
      <c r="H928" s="13"/>
      <c r="I928" s="14"/>
      <c r="J928" s="15"/>
      <c r="K928" s="15"/>
      <c r="L928" s="16"/>
    </row>
    <row r="929" customFormat="false" ht="12.8" hidden="false" customHeight="false" outlineLevel="0" collapsed="false">
      <c r="E929" s="10"/>
      <c r="F929" s="11"/>
      <c r="G929" s="12"/>
      <c r="H929" s="13"/>
      <c r="I929" s="14"/>
      <c r="J929" s="15"/>
      <c r="K929" s="15"/>
      <c r="L929" s="16"/>
    </row>
    <row r="930" customFormat="false" ht="12.8" hidden="false" customHeight="false" outlineLevel="0" collapsed="false">
      <c r="E930" s="10"/>
      <c r="F930" s="11"/>
      <c r="G930" s="12"/>
      <c r="H930" s="13"/>
      <c r="I930" s="14"/>
      <c r="J930" s="15"/>
      <c r="K930" s="15"/>
      <c r="L930" s="16"/>
    </row>
    <row r="931" customFormat="false" ht="12.8" hidden="false" customHeight="false" outlineLevel="0" collapsed="false">
      <c r="E931" s="10"/>
      <c r="F931" s="11"/>
      <c r="G931" s="12"/>
      <c r="H931" s="13"/>
      <c r="I931" s="14"/>
      <c r="J931" s="15"/>
      <c r="K931" s="15"/>
      <c r="L931" s="16"/>
    </row>
    <row r="932" customFormat="false" ht="12.8" hidden="false" customHeight="false" outlineLevel="0" collapsed="false">
      <c r="E932" s="10"/>
      <c r="F932" s="11"/>
      <c r="G932" s="12"/>
      <c r="H932" s="13"/>
      <c r="I932" s="14"/>
      <c r="J932" s="15"/>
      <c r="K932" s="15"/>
      <c r="L932" s="16"/>
    </row>
    <row r="933" customFormat="false" ht="12.8" hidden="false" customHeight="false" outlineLevel="0" collapsed="false">
      <c r="E933" s="10"/>
      <c r="F933" s="11"/>
      <c r="G933" s="12"/>
      <c r="H933" s="13"/>
      <c r="I933" s="14"/>
      <c r="J933" s="15"/>
      <c r="K933" s="15"/>
      <c r="L933" s="16"/>
    </row>
    <row r="934" customFormat="false" ht="12.8" hidden="false" customHeight="false" outlineLevel="0" collapsed="false">
      <c r="E934" s="10"/>
      <c r="F934" s="11"/>
      <c r="G934" s="12"/>
      <c r="H934" s="13"/>
      <c r="I934" s="14"/>
      <c r="J934" s="15"/>
      <c r="K934" s="15"/>
      <c r="L934" s="16"/>
    </row>
    <row r="935" customFormat="false" ht="12.8" hidden="false" customHeight="false" outlineLevel="0" collapsed="false">
      <c r="E935" s="10"/>
      <c r="F935" s="11"/>
      <c r="G935" s="12"/>
      <c r="H935" s="13"/>
      <c r="I935" s="14"/>
      <c r="J935" s="15"/>
      <c r="K935" s="15"/>
      <c r="L935" s="16"/>
    </row>
    <row r="936" customFormat="false" ht="12.8" hidden="false" customHeight="false" outlineLevel="0" collapsed="false">
      <c r="E936" s="10"/>
      <c r="F936" s="11"/>
      <c r="G936" s="12"/>
      <c r="H936" s="13"/>
      <c r="I936" s="14"/>
      <c r="J936" s="15"/>
      <c r="K936" s="15"/>
      <c r="L936" s="16"/>
    </row>
    <row r="937" customFormat="false" ht="12.8" hidden="false" customHeight="false" outlineLevel="0" collapsed="false">
      <c r="E937" s="10"/>
      <c r="F937" s="11"/>
      <c r="G937" s="12"/>
      <c r="H937" s="13"/>
      <c r="I937" s="14"/>
      <c r="J937" s="15"/>
      <c r="K937" s="15"/>
      <c r="L937" s="16"/>
    </row>
    <row r="938" customFormat="false" ht="12.8" hidden="false" customHeight="false" outlineLevel="0" collapsed="false">
      <c r="E938" s="10"/>
      <c r="F938" s="11"/>
      <c r="G938" s="12"/>
      <c r="H938" s="13"/>
      <c r="I938" s="14"/>
      <c r="J938" s="15"/>
      <c r="K938" s="15"/>
      <c r="L938" s="16"/>
    </row>
    <row r="939" customFormat="false" ht="12.8" hidden="false" customHeight="false" outlineLevel="0" collapsed="false">
      <c r="E939" s="10"/>
      <c r="F939" s="11"/>
      <c r="G939" s="12"/>
      <c r="H939" s="13"/>
      <c r="I939" s="14"/>
      <c r="J939" s="15"/>
      <c r="K939" s="15"/>
      <c r="L939" s="16"/>
    </row>
    <row r="940" customFormat="false" ht="12.8" hidden="false" customHeight="false" outlineLevel="0" collapsed="false">
      <c r="E940" s="10"/>
      <c r="F940" s="11"/>
      <c r="G940" s="12"/>
      <c r="H940" s="13"/>
      <c r="I940" s="14"/>
      <c r="J940" s="15"/>
      <c r="K940" s="15"/>
      <c r="L940" s="16"/>
    </row>
    <row r="941" customFormat="false" ht="12.8" hidden="false" customHeight="false" outlineLevel="0" collapsed="false">
      <c r="E941" s="10"/>
      <c r="F941" s="11"/>
      <c r="G941" s="12"/>
      <c r="H941" s="13"/>
      <c r="I941" s="14"/>
      <c r="J941" s="15"/>
      <c r="K941" s="15"/>
      <c r="L941" s="16"/>
    </row>
    <row r="942" customFormat="false" ht="12.8" hidden="false" customHeight="false" outlineLevel="0" collapsed="false">
      <c r="E942" s="10"/>
      <c r="F942" s="11"/>
      <c r="G942" s="12"/>
      <c r="H942" s="13"/>
      <c r="I942" s="14"/>
      <c r="J942" s="15"/>
      <c r="K942" s="15"/>
      <c r="L942" s="16"/>
    </row>
    <row r="943" customFormat="false" ht="12.8" hidden="false" customHeight="false" outlineLevel="0" collapsed="false">
      <c r="E943" s="10"/>
      <c r="F943" s="11"/>
      <c r="G943" s="12"/>
      <c r="H943" s="13"/>
      <c r="I943" s="14"/>
      <c r="J943" s="15"/>
      <c r="K943" s="15"/>
      <c r="L943" s="16"/>
    </row>
    <row r="944" customFormat="false" ht="12.8" hidden="false" customHeight="false" outlineLevel="0" collapsed="false">
      <c r="E944" s="10"/>
      <c r="F944" s="11"/>
      <c r="G944" s="12"/>
      <c r="H944" s="13"/>
      <c r="I944" s="14"/>
      <c r="J944" s="15"/>
      <c r="K944" s="15"/>
      <c r="L944" s="16"/>
    </row>
    <row r="945" customFormat="false" ht="12.8" hidden="false" customHeight="false" outlineLevel="0" collapsed="false">
      <c r="E945" s="10"/>
      <c r="F945" s="11"/>
      <c r="G945" s="12"/>
      <c r="H945" s="13"/>
      <c r="I945" s="14"/>
      <c r="J945" s="15"/>
      <c r="K945" s="15"/>
      <c r="L945" s="16"/>
    </row>
    <row r="946" customFormat="false" ht="12.8" hidden="false" customHeight="false" outlineLevel="0" collapsed="false">
      <c r="E946" s="10"/>
      <c r="F946" s="11"/>
      <c r="G946" s="12"/>
      <c r="H946" s="13"/>
      <c r="I946" s="14"/>
      <c r="J946" s="15"/>
      <c r="K946" s="15"/>
      <c r="L946" s="16"/>
    </row>
    <row r="947" customFormat="false" ht="12.8" hidden="false" customHeight="false" outlineLevel="0" collapsed="false">
      <c r="E947" s="10"/>
      <c r="F947" s="11"/>
      <c r="G947" s="12"/>
      <c r="H947" s="13"/>
      <c r="I947" s="14"/>
      <c r="J947" s="15"/>
      <c r="K947" s="15"/>
      <c r="L947" s="16"/>
    </row>
    <row r="948" customFormat="false" ht="12.8" hidden="false" customHeight="false" outlineLevel="0" collapsed="false">
      <c r="E948" s="10"/>
      <c r="F948" s="11"/>
      <c r="G948" s="12"/>
      <c r="H948" s="13"/>
      <c r="I948" s="14"/>
      <c r="J948" s="15"/>
      <c r="K948" s="15"/>
      <c r="L948" s="16"/>
    </row>
    <row r="949" customFormat="false" ht="12.8" hidden="false" customHeight="false" outlineLevel="0" collapsed="false">
      <c r="E949" s="10"/>
      <c r="F949" s="11"/>
      <c r="G949" s="12"/>
      <c r="H949" s="13"/>
      <c r="I949" s="14"/>
      <c r="J949" s="15"/>
      <c r="K949" s="15"/>
      <c r="L949" s="16"/>
    </row>
    <row r="950" customFormat="false" ht="12.8" hidden="false" customHeight="false" outlineLevel="0" collapsed="false">
      <c r="E950" s="10"/>
      <c r="F950" s="11"/>
      <c r="G950" s="12"/>
      <c r="H950" s="13"/>
      <c r="I950" s="14"/>
      <c r="J950" s="15"/>
      <c r="K950" s="15"/>
      <c r="L950" s="16"/>
    </row>
    <row r="951" customFormat="false" ht="12.8" hidden="false" customHeight="false" outlineLevel="0" collapsed="false">
      <c r="E951" s="10"/>
      <c r="F951" s="11"/>
      <c r="G951" s="12"/>
      <c r="H951" s="13"/>
      <c r="I951" s="14"/>
      <c r="J951" s="15"/>
      <c r="K951" s="15"/>
      <c r="L951" s="16"/>
    </row>
    <row r="952" customFormat="false" ht="12.8" hidden="false" customHeight="false" outlineLevel="0" collapsed="false">
      <c r="E952" s="10"/>
      <c r="F952" s="11"/>
      <c r="G952" s="12"/>
      <c r="H952" s="13"/>
      <c r="I952" s="14"/>
      <c r="J952" s="15"/>
      <c r="K952" s="15"/>
      <c r="L952" s="16"/>
    </row>
    <row r="953" customFormat="false" ht="12.8" hidden="false" customHeight="false" outlineLevel="0" collapsed="false">
      <c r="E953" s="10"/>
      <c r="F953" s="11"/>
      <c r="G953" s="12"/>
      <c r="H953" s="13"/>
      <c r="I953" s="14"/>
      <c r="J953" s="15"/>
      <c r="K953" s="15"/>
      <c r="L953" s="16"/>
    </row>
    <row r="954" customFormat="false" ht="12.8" hidden="false" customHeight="false" outlineLevel="0" collapsed="false">
      <c r="E954" s="10"/>
      <c r="F954" s="11"/>
      <c r="G954" s="12"/>
      <c r="H954" s="13"/>
      <c r="I954" s="14"/>
      <c r="J954" s="15"/>
      <c r="K954" s="15"/>
      <c r="L954" s="16"/>
    </row>
    <row r="955" customFormat="false" ht="12.8" hidden="false" customHeight="false" outlineLevel="0" collapsed="false">
      <c r="E955" s="10"/>
      <c r="F955" s="11"/>
      <c r="G955" s="12"/>
      <c r="H955" s="13"/>
      <c r="I955" s="14"/>
      <c r="J955" s="15"/>
      <c r="K955" s="15"/>
      <c r="L955" s="16"/>
    </row>
    <row r="956" customFormat="false" ht="12.8" hidden="false" customHeight="false" outlineLevel="0" collapsed="false">
      <c r="E956" s="10"/>
      <c r="F956" s="11"/>
      <c r="G956" s="12"/>
      <c r="H956" s="13"/>
      <c r="I956" s="14"/>
      <c r="J956" s="15"/>
      <c r="K956" s="15"/>
      <c r="L956" s="16"/>
    </row>
    <row r="957" customFormat="false" ht="12.8" hidden="false" customHeight="false" outlineLevel="0" collapsed="false">
      <c r="E957" s="10"/>
      <c r="F957" s="11"/>
      <c r="G957" s="12"/>
      <c r="H957" s="13"/>
      <c r="I957" s="14"/>
      <c r="J957" s="15"/>
      <c r="K957" s="15"/>
      <c r="L957" s="16"/>
    </row>
    <row r="958" customFormat="false" ht="12.8" hidden="false" customHeight="false" outlineLevel="0" collapsed="false">
      <c r="E958" s="10"/>
      <c r="F958" s="11"/>
      <c r="G958" s="12"/>
      <c r="H958" s="13"/>
      <c r="I958" s="14"/>
      <c r="J958" s="15"/>
      <c r="K958" s="15"/>
      <c r="L958" s="16"/>
    </row>
    <row r="959" customFormat="false" ht="12.8" hidden="false" customHeight="false" outlineLevel="0" collapsed="false">
      <c r="E959" s="10"/>
      <c r="F959" s="11"/>
      <c r="G959" s="12"/>
      <c r="H959" s="13"/>
      <c r="I959" s="14"/>
      <c r="J959" s="15"/>
      <c r="K959" s="15"/>
      <c r="L959" s="16"/>
    </row>
    <row r="960" customFormat="false" ht="12.8" hidden="false" customHeight="false" outlineLevel="0" collapsed="false">
      <c r="E960" s="10"/>
      <c r="F960" s="11"/>
      <c r="G960" s="12"/>
      <c r="H960" s="13"/>
      <c r="I960" s="14"/>
      <c r="J960" s="15"/>
      <c r="K960" s="15"/>
      <c r="L960" s="16"/>
    </row>
    <row r="961" customFormat="false" ht="12.8" hidden="false" customHeight="false" outlineLevel="0" collapsed="false">
      <c r="E961" s="10"/>
      <c r="F961" s="11"/>
      <c r="G961" s="12"/>
      <c r="H961" s="13"/>
      <c r="I961" s="14"/>
      <c r="J961" s="15"/>
      <c r="K961" s="15"/>
      <c r="L961" s="16"/>
    </row>
    <row r="962" customFormat="false" ht="12.8" hidden="false" customHeight="false" outlineLevel="0" collapsed="false">
      <c r="E962" s="10"/>
      <c r="F962" s="11"/>
      <c r="G962" s="12"/>
      <c r="H962" s="13"/>
      <c r="I962" s="14"/>
      <c r="J962" s="15"/>
      <c r="K962" s="15"/>
      <c r="L962" s="16"/>
    </row>
    <row r="963" customFormat="false" ht="12.8" hidden="false" customHeight="false" outlineLevel="0" collapsed="false">
      <c r="E963" s="10"/>
      <c r="F963" s="11"/>
      <c r="G963" s="12"/>
      <c r="H963" s="13"/>
      <c r="I963" s="14"/>
      <c r="J963" s="15"/>
      <c r="K963" s="15"/>
      <c r="L963" s="16"/>
    </row>
    <row r="964" customFormat="false" ht="12.8" hidden="false" customHeight="false" outlineLevel="0" collapsed="false">
      <c r="E964" s="10"/>
      <c r="F964" s="11"/>
      <c r="G964" s="12"/>
      <c r="H964" s="13"/>
      <c r="I964" s="14"/>
      <c r="J964" s="15"/>
      <c r="K964" s="15"/>
      <c r="L964" s="16"/>
    </row>
    <row r="965" customFormat="false" ht="12.8" hidden="false" customHeight="false" outlineLevel="0" collapsed="false">
      <c r="E965" s="10"/>
      <c r="F965" s="11"/>
      <c r="G965" s="12"/>
      <c r="H965" s="13"/>
      <c r="I965" s="14"/>
      <c r="J965" s="15"/>
      <c r="K965" s="15"/>
      <c r="L965" s="16"/>
    </row>
    <row r="966" customFormat="false" ht="12.8" hidden="false" customHeight="false" outlineLevel="0" collapsed="false">
      <c r="E966" s="10"/>
      <c r="F966" s="11"/>
      <c r="G966" s="12"/>
      <c r="H966" s="13"/>
      <c r="I966" s="14"/>
      <c r="J966" s="15"/>
      <c r="K966" s="15"/>
      <c r="L966" s="16"/>
    </row>
    <row r="967" customFormat="false" ht="12.8" hidden="false" customHeight="false" outlineLevel="0" collapsed="false">
      <c r="E967" s="10"/>
      <c r="F967" s="11"/>
      <c r="G967" s="12"/>
      <c r="H967" s="13"/>
      <c r="I967" s="14"/>
      <c r="J967" s="15"/>
      <c r="K967" s="15"/>
      <c r="L967" s="16"/>
    </row>
    <row r="968" customFormat="false" ht="12.8" hidden="false" customHeight="false" outlineLevel="0" collapsed="false">
      <c r="E968" s="10"/>
      <c r="F968" s="11"/>
      <c r="G968" s="12"/>
      <c r="H968" s="13"/>
      <c r="I968" s="14"/>
      <c r="J968" s="15"/>
      <c r="K968" s="15"/>
      <c r="L968" s="16"/>
    </row>
    <row r="969" customFormat="false" ht="12.8" hidden="false" customHeight="false" outlineLevel="0" collapsed="false">
      <c r="E969" s="10"/>
      <c r="F969" s="11"/>
      <c r="G969" s="12"/>
      <c r="H969" s="13"/>
      <c r="I969" s="14"/>
      <c r="J969" s="15"/>
      <c r="K969" s="15"/>
      <c r="L969" s="16"/>
    </row>
    <row r="970" customFormat="false" ht="12.8" hidden="false" customHeight="false" outlineLevel="0" collapsed="false">
      <c r="E970" s="10"/>
      <c r="F970" s="11"/>
      <c r="G970" s="12"/>
      <c r="H970" s="13"/>
      <c r="I970" s="14"/>
      <c r="J970" s="15"/>
      <c r="K970" s="15"/>
      <c r="L970" s="16"/>
    </row>
    <row r="971" customFormat="false" ht="12.8" hidden="false" customHeight="false" outlineLevel="0" collapsed="false">
      <c r="E971" s="10"/>
      <c r="F971" s="11"/>
      <c r="G971" s="12"/>
      <c r="H971" s="13"/>
      <c r="I971" s="14"/>
      <c r="J971" s="15"/>
      <c r="K971" s="15"/>
      <c r="L971" s="16"/>
    </row>
    <row r="972" customFormat="false" ht="12.8" hidden="false" customHeight="false" outlineLevel="0" collapsed="false">
      <c r="E972" s="10"/>
      <c r="F972" s="11"/>
      <c r="G972" s="12"/>
      <c r="H972" s="13"/>
      <c r="I972" s="14"/>
      <c r="J972" s="15"/>
      <c r="K972" s="15"/>
      <c r="L972" s="16"/>
    </row>
    <row r="973" customFormat="false" ht="12.8" hidden="false" customHeight="false" outlineLevel="0" collapsed="false">
      <c r="E973" s="10"/>
      <c r="F973" s="11"/>
      <c r="G973" s="12"/>
      <c r="H973" s="13"/>
      <c r="I973" s="14"/>
      <c r="J973" s="15"/>
      <c r="K973" s="15"/>
      <c r="L973" s="16"/>
    </row>
    <row r="974" customFormat="false" ht="12.8" hidden="false" customHeight="false" outlineLevel="0" collapsed="false">
      <c r="E974" s="10"/>
      <c r="F974" s="11"/>
      <c r="G974" s="12"/>
      <c r="H974" s="13"/>
      <c r="I974" s="14"/>
      <c r="J974" s="15"/>
      <c r="K974" s="15"/>
      <c r="L974" s="16"/>
    </row>
    <row r="975" customFormat="false" ht="12.8" hidden="false" customHeight="false" outlineLevel="0" collapsed="false">
      <c r="E975" s="10"/>
      <c r="F975" s="11"/>
      <c r="G975" s="12"/>
      <c r="H975" s="13"/>
      <c r="I975" s="14"/>
      <c r="J975" s="15"/>
      <c r="K975" s="15"/>
      <c r="L975" s="16"/>
    </row>
    <row r="976" customFormat="false" ht="12.8" hidden="false" customHeight="false" outlineLevel="0" collapsed="false">
      <c r="E976" s="10"/>
      <c r="F976" s="11"/>
      <c r="G976" s="12"/>
      <c r="H976" s="13"/>
      <c r="I976" s="14"/>
      <c r="J976" s="15"/>
      <c r="K976" s="15"/>
      <c r="L976" s="16"/>
    </row>
    <row r="977" customFormat="false" ht="12.8" hidden="false" customHeight="false" outlineLevel="0" collapsed="false">
      <c r="E977" s="10"/>
      <c r="F977" s="11"/>
      <c r="G977" s="12"/>
      <c r="H977" s="13"/>
      <c r="I977" s="14"/>
      <c r="J977" s="15"/>
      <c r="K977" s="15"/>
      <c r="L977" s="16"/>
    </row>
    <row r="978" customFormat="false" ht="12.8" hidden="false" customHeight="false" outlineLevel="0" collapsed="false">
      <c r="E978" s="10"/>
      <c r="F978" s="11"/>
      <c r="G978" s="12"/>
      <c r="H978" s="13"/>
      <c r="I978" s="14"/>
      <c r="J978" s="15"/>
      <c r="K978" s="15"/>
      <c r="L978" s="16"/>
    </row>
    <row r="979" customFormat="false" ht="12.8" hidden="false" customHeight="false" outlineLevel="0" collapsed="false">
      <c r="E979" s="10"/>
      <c r="F979" s="11"/>
      <c r="G979" s="12"/>
      <c r="H979" s="13"/>
      <c r="I979" s="14"/>
      <c r="J979" s="15"/>
      <c r="K979" s="15"/>
      <c r="L979" s="16"/>
    </row>
    <row r="980" customFormat="false" ht="12.8" hidden="false" customHeight="false" outlineLevel="0" collapsed="false">
      <c r="E980" s="10"/>
      <c r="F980" s="11"/>
      <c r="G980" s="12"/>
      <c r="H980" s="13"/>
      <c r="I980" s="14"/>
      <c r="J980" s="15"/>
      <c r="K980" s="15"/>
      <c r="L980" s="16"/>
    </row>
    <row r="981" customFormat="false" ht="12.8" hidden="false" customHeight="false" outlineLevel="0" collapsed="false">
      <c r="E981" s="10"/>
      <c r="F981" s="11"/>
      <c r="G981" s="12"/>
      <c r="H981" s="13"/>
      <c r="I981" s="14"/>
      <c r="J981" s="15"/>
      <c r="K981" s="15"/>
      <c r="L981" s="16"/>
    </row>
    <row r="982" customFormat="false" ht="12.8" hidden="false" customHeight="false" outlineLevel="0" collapsed="false">
      <c r="E982" s="10"/>
      <c r="F982" s="11"/>
      <c r="G982" s="12"/>
      <c r="H982" s="13"/>
      <c r="I982" s="14"/>
      <c r="J982" s="15"/>
      <c r="K982" s="15"/>
      <c r="L982" s="16"/>
    </row>
    <row r="983" customFormat="false" ht="12.8" hidden="false" customHeight="false" outlineLevel="0" collapsed="false">
      <c r="E983" s="10"/>
      <c r="F983" s="11"/>
      <c r="G983" s="12"/>
      <c r="H983" s="13"/>
      <c r="I983" s="14"/>
      <c r="J983" s="15"/>
      <c r="K983" s="15"/>
      <c r="L983" s="16"/>
    </row>
    <row r="984" customFormat="false" ht="12.8" hidden="false" customHeight="false" outlineLevel="0" collapsed="false">
      <c r="E984" s="10"/>
      <c r="F984" s="11"/>
      <c r="G984" s="12"/>
      <c r="H984" s="13"/>
      <c r="I984" s="14"/>
      <c r="J984" s="15"/>
      <c r="K984" s="15"/>
      <c r="L984" s="16"/>
    </row>
    <row r="985" customFormat="false" ht="12.8" hidden="false" customHeight="false" outlineLevel="0" collapsed="false">
      <c r="E985" s="10"/>
      <c r="F985" s="11"/>
      <c r="G985" s="12"/>
      <c r="H985" s="13"/>
      <c r="I985" s="14"/>
      <c r="J985" s="15"/>
      <c r="K985" s="15"/>
      <c r="L985" s="16"/>
    </row>
    <row r="986" customFormat="false" ht="12.8" hidden="false" customHeight="false" outlineLevel="0" collapsed="false">
      <c r="E986" s="10"/>
      <c r="F986" s="11"/>
      <c r="G986" s="12"/>
      <c r="H986" s="13"/>
      <c r="I986" s="14"/>
      <c r="J986" s="15"/>
      <c r="K986" s="15"/>
      <c r="L986" s="16"/>
    </row>
    <row r="987" customFormat="false" ht="12.8" hidden="false" customHeight="false" outlineLevel="0" collapsed="false">
      <c r="E987" s="10"/>
      <c r="F987" s="11"/>
      <c r="G987" s="12"/>
      <c r="H987" s="13"/>
      <c r="I987" s="14"/>
      <c r="J987" s="15"/>
      <c r="K987" s="15"/>
      <c r="L987" s="16"/>
    </row>
    <row r="988" customFormat="false" ht="12.8" hidden="false" customHeight="false" outlineLevel="0" collapsed="false">
      <c r="E988" s="10"/>
      <c r="F988" s="11"/>
      <c r="G988" s="12"/>
      <c r="H988" s="13"/>
      <c r="I988" s="14"/>
      <c r="J988" s="15"/>
      <c r="K988" s="15"/>
      <c r="L988" s="16"/>
    </row>
    <row r="989" customFormat="false" ht="12.8" hidden="false" customHeight="false" outlineLevel="0" collapsed="false">
      <c r="E989" s="10"/>
      <c r="F989" s="11"/>
      <c r="G989" s="12"/>
      <c r="H989" s="13"/>
      <c r="I989" s="14"/>
      <c r="J989" s="15"/>
      <c r="K989" s="15"/>
      <c r="L989" s="16"/>
    </row>
    <row r="990" customFormat="false" ht="12.8" hidden="false" customHeight="false" outlineLevel="0" collapsed="false">
      <c r="E990" s="10"/>
      <c r="F990" s="11"/>
      <c r="G990" s="12"/>
      <c r="H990" s="13"/>
      <c r="I990" s="14"/>
      <c r="J990" s="15"/>
      <c r="K990" s="15"/>
      <c r="L990" s="16"/>
    </row>
    <row r="991" customFormat="false" ht="12.8" hidden="false" customHeight="false" outlineLevel="0" collapsed="false">
      <c r="E991" s="10"/>
      <c r="F991" s="11"/>
      <c r="G991" s="12"/>
      <c r="H991" s="13"/>
      <c r="I991" s="14"/>
      <c r="J991" s="15"/>
      <c r="K991" s="15"/>
      <c r="L991" s="16"/>
    </row>
    <row r="992" customFormat="false" ht="12.8" hidden="false" customHeight="false" outlineLevel="0" collapsed="false">
      <c r="E992" s="10"/>
      <c r="F992" s="11"/>
      <c r="G992" s="12"/>
      <c r="H992" s="13"/>
      <c r="I992" s="14"/>
      <c r="J992" s="15"/>
      <c r="K992" s="15"/>
      <c r="L992" s="16"/>
    </row>
    <row r="993" customFormat="false" ht="12.8" hidden="false" customHeight="false" outlineLevel="0" collapsed="false">
      <c r="E993" s="10"/>
      <c r="F993" s="11"/>
      <c r="G993" s="12"/>
      <c r="H993" s="13"/>
      <c r="I993" s="14"/>
      <c r="J993" s="15"/>
      <c r="K993" s="15"/>
      <c r="L993" s="16"/>
    </row>
    <row r="994" customFormat="false" ht="12.8" hidden="false" customHeight="false" outlineLevel="0" collapsed="false">
      <c r="E994" s="10"/>
      <c r="F994" s="11"/>
      <c r="G994" s="12"/>
      <c r="H994" s="13"/>
      <c r="I994" s="14"/>
      <c r="J994" s="15"/>
      <c r="K994" s="15"/>
      <c r="L994" s="16"/>
    </row>
    <row r="995" customFormat="false" ht="12.8" hidden="false" customHeight="false" outlineLevel="0" collapsed="false">
      <c r="E995" s="10"/>
      <c r="F995" s="11"/>
      <c r="G995" s="12"/>
      <c r="H995" s="13"/>
      <c r="I995" s="14"/>
      <c r="J995" s="15"/>
      <c r="K995" s="15"/>
      <c r="L995" s="16"/>
    </row>
    <row r="996" customFormat="false" ht="12.8" hidden="false" customHeight="false" outlineLevel="0" collapsed="false">
      <c r="E996" s="10"/>
      <c r="F996" s="11"/>
      <c r="G996" s="12"/>
      <c r="H996" s="13"/>
      <c r="I996" s="14"/>
      <c r="J996" s="15"/>
      <c r="K996" s="15"/>
      <c r="L996" s="16"/>
    </row>
    <row r="997" customFormat="false" ht="12.8" hidden="false" customHeight="false" outlineLevel="0" collapsed="false">
      <c r="E997" s="10"/>
      <c r="F997" s="11"/>
      <c r="G997" s="12"/>
      <c r="H997" s="13"/>
      <c r="I997" s="14"/>
      <c r="J997" s="15"/>
      <c r="K997" s="15"/>
      <c r="L997" s="16"/>
    </row>
    <row r="998" customFormat="false" ht="12.8" hidden="false" customHeight="false" outlineLevel="0" collapsed="false">
      <c r="E998" s="10"/>
      <c r="F998" s="11"/>
      <c r="G998" s="12"/>
      <c r="H998" s="13"/>
      <c r="I998" s="14"/>
      <c r="J998" s="15"/>
      <c r="K998" s="15"/>
      <c r="L998" s="16"/>
    </row>
    <row r="999" customFormat="false" ht="12.8" hidden="false" customHeight="false" outlineLevel="0" collapsed="false">
      <c r="E999" s="10"/>
      <c r="F999" s="11"/>
      <c r="G999" s="12"/>
      <c r="H999" s="13"/>
      <c r="I999" s="14"/>
      <c r="J999" s="15"/>
      <c r="K999" s="15"/>
      <c r="L999" s="16"/>
    </row>
    <row r="1000" customFormat="false" ht="12.8" hidden="false" customHeight="false" outlineLevel="0" collapsed="false">
      <c r="E1000" s="10"/>
      <c r="F1000" s="11"/>
      <c r="G1000" s="12"/>
      <c r="H1000" s="13"/>
      <c r="I1000" s="14"/>
      <c r="J1000" s="15"/>
      <c r="K1000" s="15"/>
      <c r="L1000" s="16"/>
    </row>
    <row r="1001" customFormat="false" ht="12.8" hidden="false" customHeight="false" outlineLevel="0" collapsed="false">
      <c r="E1001" s="10"/>
      <c r="F1001" s="11"/>
      <c r="G1001" s="12"/>
      <c r="H1001" s="13"/>
      <c r="I1001" s="14"/>
      <c r="J1001" s="15"/>
      <c r="K1001" s="15"/>
      <c r="L1001" s="16"/>
    </row>
    <row r="1002" customFormat="false" ht="12.8" hidden="false" customHeight="false" outlineLevel="0" collapsed="false">
      <c r="E1002" s="10"/>
      <c r="F1002" s="11"/>
      <c r="G1002" s="12"/>
      <c r="H1002" s="13"/>
      <c r="I1002" s="14"/>
      <c r="J1002" s="15"/>
      <c r="K1002" s="15"/>
      <c r="L1002" s="16"/>
    </row>
    <row r="1003" customFormat="false" ht="12.8" hidden="false" customHeight="false" outlineLevel="0" collapsed="false">
      <c r="E1003" s="10"/>
      <c r="F1003" s="11"/>
      <c r="G1003" s="12"/>
      <c r="H1003" s="13"/>
      <c r="I1003" s="14"/>
      <c r="J1003" s="15"/>
      <c r="K1003" s="15"/>
      <c r="L1003" s="16"/>
    </row>
    <row r="1004" customFormat="false" ht="12.8" hidden="false" customHeight="false" outlineLevel="0" collapsed="false">
      <c r="E1004" s="10"/>
      <c r="F1004" s="11"/>
      <c r="G1004" s="12"/>
      <c r="H1004" s="13"/>
      <c r="I1004" s="14"/>
      <c r="J1004" s="15"/>
      <c r="K1004" s="15"/>
      <c r="L1004" s="16"/>
    </row>
    <row r="1005" customFormat="false" ht="12.8" hidden="false" customHeight="false" outlineLevel="0" collapsed="false">
      <c r="E1005" s="10"/>
      <c r="F1005" s="11"/>
      <c r="G1005" s="12"/>
      <c r="H1005" s="13"/>
      <c r="I1005" s="14"/>
      <c r="J1005" s="15"/>
      <c r="K1005" s="15"/>
      <c r="L1005" s="16"/>
    </row>
    <row r="1006" customFormat="false" ht="12.8" hidden="false" customHeight="false" outlineLevel="0" collapsed="false">
      <c r="E1006" s="10"/>
      <c r="F1006" s="11"/>
      <c r="G1006" s="12"/>
      <c r="H1006" s="13"/>
      <c r="I1006" s="14"/>
      <c r="J1006" s="15"/>
      <c r="K1006" s="15"/>
      <c r="L1006" s="16"/>
    </row>
    <row r="1007" customFormat="false" ht="12.8" hidden="false" customHeight="false" outlineLevel="0" collapsed="false">
      <c r="E1007" s="10"/>
      <c r="F1007" s="11"/>
      <c r="G1007" s="12"/>
      <c r="H1007" s="13"/>
      <c r="I1007" s="14"/>
      <c r="J1007" s="15"/>
      <c r="K1007" s="15"/>
      <c r="L1007" s="16"/>
    </row>
    <row r="1008" customFormat="false" ht="12.8" hidden="false" customHeight="false" outlineLevel="0" collapsed="false">
      <c r="E1008" s="10"/>
      <c r="F1008" s="11"/>
      <c r="G1008" s="12"/>
      <c r="H1008" s="13"/>
      <c r="I1008" s="14"/>
      <c r="J1008" s="15"/>
      <c r="K1008" s="15"/>
      <c r="L1008" s="16"/>
    </row>
    <row r="1009" customFormat="false" ht="12.8" hidden="false" customHeight="false" outlineLevel="0" collapsed="false">
      <c r="E1009" s="10"/>
      <c r="F1009" s="11"/>
      <c r="G1009" s="12"/>
      <c r="H1009" s="13"/>
      <c r="I1009" s="14"/>
      <c r="J1009" s="15"/>
      <c r="K1009" s="15"/>
      <c r="L1009" s="16"/>
    </row>
    <row r="1010" customFormat="false" ht="12.8" hidden="false" customHeight="false" outlineLevel="0" collapsed="false">
      <c r="E1010" s="10"/>
      <c r="F1010" s="11"/>
      <c r="G1010" s="12"/>
      <c r="H1010" s="13"/>
      <c r="I1010" s="14"/>
      <c r="J1010" s="15"/>
      <c r="K1010" s="15"/>
      <c r="L1010" s="16"/>
    </row>
    <row r="1011" customFormat="false" ht="12.8" hidden="false" customHeight="false" outlineLevel="0" collapsed="false">
      <c r="E1011" s="10"/>
      <c r="F1011" s="11"/>
      <c r="G1011" s="12"/>
      <c r="H1011" s="13"/>
      <c r="I1011" s="14"/>
      <c r="J1011" s="15"/>
      <c r="K1011" s="15"/>
      <c r="L1011" s="16"/>
    </row>
    <row r="1012" customFormat="false" ht="12.8" hidden="false" customHeight="false" outlineLevel="0" collapsed="false">
      <c r="E1012" s="10"/>
      <c r="F1012" s="11"/>
      <c r="G1012" s="12"/>
      <c r="H1012" s="13"/>
      <c r="I1012" s="14"/>
      <c r="J1012" s="15"/>
      <c r="K1012" s="15"/>
      <c r="L1012" s="16"/>
    </row>
    <row r="1013" customFormat="false" ht="12.8" hidden="false" customHeight="false" outlineLevel="0" collapsed="false">
      <c r="E1013" s="10"/>
      <c r="F1013" s="11"/>
      <c r="G1013" s="12"/>
      <c r="H1013" s="13"/>
      <c r="I1013" s="14"/>
      <c r="J1013" s="15"/>
      <c r="K1013" s="15"/>
      <c r="L1013" s="16"/>
    </row>
    <row r="1014" customFormat="false" ht="12.8" hidden="false" customHeight="false" outlineLevel="0" collapsed="false">
      <c r="E1014" s="10"/>
      <c r="F1014" s="11"/>
      <c r="G1014" s="12"/>
      <c r="H1014" s="13"/>
      <c r="I1014" s="14"/>
      <c r="J1014" s="15"/>
      <c r="K1014" s="15"/>
      <c r="L1014" s="16"/>
    </row>
    <row r="1015" customFormat="false" ht="12.8" hidden="false" customHeight="false" outlineLevel="0" collapsed="false">
      <c r="E1015" s="10"/>
      <c r="F1015" s="11"/>
      <c r="G1015" s="12"/>
      <c r="H1015" s="13"/>
      <c r="I1015" s="14"/>
      <c r="J1015" s="15"/>
      <c r="K1015" s="15"/>
      <c r="L1015" s="16"/>
    </row>
    <row r="1016" customFormat="false" ht="12.8" hidden="false" customHeight="false" outlineLevel="0" collapsed="false">
      <c r="E1016" s="10"/>
      <c r="F1016" s="11"/>
      <c r="G1016" s="12"/>
      <c r="H1016" s="13"/>
      <c r="I1016" s="14"/>
      <c r="J1016" s="15"/>
      <c r="K1016" s="15"/>
      <c r="L1016" s="16"/>
    </row>
    <row r="1017" customFormat="false" ht="12.8" hidden="false" customHeight="false" outlineLevel="0" collapsed="false">
      <c r="E1017" s="10"/>
      <c r="F1017" s="11"/>
      <c r="G1017" s="12"/>
      <c r="H1017" s="13"/>
      <c r="I1017" s="14"/>
      <c r="J1017" s="15"/>
      <c r="K1017" s="15"/>
      <c r="L1017" s="16"/>
    </row>
    <row r="1018" customFormat="false" ht="12.8" hidden="false" customHeight="false" outlineLevel="0" collapsed="false">
      <c r="E1018" s="10"/>
      <c r="F1018" s="11"/>
      <c r="G1018" s="12"/>
      <c r="H1018" s="13"/>
      <c r="I1018" s="14"/>
      <c r="J1018" s="15"/>
      <c r="K1018" s="15"/>
      <c r="L1018" s="16"/>
    </row>
    <row r="1019" customFormat="false" ht="12.8" hidden="false" customHeight="false" outlineLevel="0" collapsed="false">
      <c r="E1019" s="10"/>
      <c r="F1019" s="11"/>
      <c r="G1019" s="12"/>
      <c r="H1019" s="13"/>
      <c r="I1019" s="14"/>
      <c r="J1019" s="15"/>
      <c r="K1019" s="15"/>
      <c r="L1019" s="16"/>
    </row>
    <row r="1020" customFormat="false" ht="12.8" hidden="false" customHeight="false" outlineLevel="0" collapsed="false">
      <c r="E1020" s="10"/>
      <c r="F1020" s="11"/>
      <c r="G1020" s="12"/>
      <c r="H1020" s="13"/>
      <c r="I1020" s="14"/>
      <c r="J1020" s="15"/>
      <c r="K1020" s="15"/>
      <c r="L1020" s="16"/>
    </row>
    <row r="1021" customFormat="false" ht="12.8" hidden="false" customHeight="false" outlineLevel="0" collapsed="false">
      <c r="E1021" s="10"/>
      <c r="F1021" s="11"/>
      <c r="G1021" s="12"/>
      <c r="H1021" s="13"/>
      <c r="I1021" s="14"/>
      <c r="J1021" s="15"/>
      <c r="K1021" s="15"/>
      <c r="L1021" s="16"/>
    </row>
    <row r="1022" customFormat="false" ht="12.8" hidden="false" customHeight="false" outlineLevel="0" collapsed="false">
      <c r="E1022" s="10"/>
      <c r="F1022" s="11"/>
      <c r="G1022" s="12"/>
      <c r="H1022" s="13"/>
      <c r="I1022" s="14"/>
      <c r="J1022" s="15"/>
      <c r="K1022" s="15"/>
      <c r="L1022" s="16"/>
    </row>
    <row r="1023" customFormat="false" ht="12.8" hidden="false" customHeight="false" outlineLevel="0" collapsed="false">
      <c r="E1023" s="10"/>
      <c r="F1023" s="11"/>
      <c r="G1023" s="12"/>
      <c r="H1023" s="13"/>
      <c r="I1023" s="14"/>
      <c r="J1023" s="15"/>
      <c r="K1023" s="15"/>
      <c r="L1023" s="16"/>
    </row>
    <row r="1024" customFormat="false" ht="12.8" hidden="false" customHeight="false" outlineLevel="0" collapsed="false">
      <c r="E1024" s="10"/>
      <c r="F1024" s="11"/>
      <c r="G1024" s="12"/>
      <c r="H1024" s="13"/>
      <c r="I1024" s="14"/>
      <c r="J1024" s="15"/>
      <c r="K1024" s="15"/>
      <c r="L1024" s="16"/>
    </row>
    <row r="1025" customFormat="false" ht="12.8" hidden="false" customHeight="false" outlineLevel="0" collapsed="false">
      <c r="E1025" s="10"/>
      <c r="F1025" s="11"/>
      <c r="G1025" s="12"/>
      <c r="H1025" s="13"/>
      <c r="I1025" s="14"/>
      <c r="J1025" s="15"/>
      <c r="K1025" s="15"/>
      <c r="L1025" s="16"/>
    </row>
    <row r="1026" customFormat="false" ht="12.8" hidden="false" customHeight="false" outlineLevel="0" collapsed="false">
      <c r="E1026" s="10"/>
      <c r="F1026" s="11"/>
      <c r="G1026" s="12"/>
      <c r="H1026" s="13"/>
      <c r="I1026" s="14"/>
      <c r="J1026" s="15"/>
      <c r="K1026" s="15"/>
      <c r="L1026" s="16"/>
    </row>
    <row r="1027" customFormat="false" ht="12.8" hidden="false" customHeight="false" outlineLevel="0" collapsed="false">
      <c r="E1027" s="10"/>
      <c r="F1027" s="11"/>
      <c r="G1027" s="12"/>
      <c r="H1027" s="13"/>
      <c r="I1027" s="14"/>
      <c r="J1027" s="15"/>
      <c r="K1027" s="15"/>
      <c r="L1027" s="16"/>
    </row>
    <row r="1028" customFormat="false" ht="12.8" hidden="false" customHeight="false" outlineLevel="0" collapsed="false">
      <c r="E1028" s="10"/>
      <c r="F1028" s="11"/>
      <c r="G1028" s="12"/>
      <c r="H1028" s="13"/>
      <c r="I1028" s="14"/>
      <c r="J1028" s="15"/>
      <c r="K1028" s="15"/>
      <c r="L1028" s="16"/>
    </row>
    <row r="1029" customFormat="false" ht="12.8" hidden="false" customHeight="false" outlineLevel="0" collapsed="false">
      <c r="E1029" s="10"/>
      <c r="F1029" s="11"/>
      <c r="G1029" s="12"/>
      <c r="H1029" s="13"/>
      <c r="I1029" s="14"/>
      <c r="J1029" s="15"/>
      <c r="K1029" s="15"/>
      <c r="L1029" s="16"/>
    </row>
    <row r="1030" customFormat="false" ht="12.8" hidden="false" customHeight="false" outlineLevel="0" collapsed="false">
      <c r="E1030" s="10"/>
      <c r="F1030" s="11"/>
      <c r="G1030" s="12"/>
      <c r="H1030" s="13"/>
      <c r="I1030" s="14"/>
      <c r="J1030" s="15"/>
      <c r="K1030" s="15"/>
      <c r="L1030" s="16"/>
    </row>
    <row r="1031" customFormat="false" ht="12.8" hidden="false" customHeight="false" outlineLevel="0" collapsed="false">
      <c r="E1031" s="10"/>
      <c r="F1031" s="11"/>
      <c r="G1031" s="12"/>
      <c r="H1031" s="13"/>
      <c r="I1031" s="14"/>
      <c r="J1031" s="15"/>
      <c r="K1031" s="15"/>
      <c r="L1031" s="16"/>
    </row>
    <row r="1032" customFormat="false" ht="12.8" hidden="false" customHeight="false" outlineLevel="0" collapsed="false">
      <c r="E1032" s="10"/>
      <c r="F1032" s="11"/>
      <c r="G1032" s="12"/>
      <c r="H1032" s="13"/>
      <c r="I1032" s="14"/>
      <c r="J1032" s="15"/>
      <c r="K1032" s="15"/>
      <c r="L1032" s="16"/>
    </row>
    <row r="1033" customFormat="false" ht="12.8" hidden="false" customHeight="false" outlineLevel="0" collapsed="false">
      <c r="E1033" s="10"/>
      <c r="F1033" s="11"/>
      <c r="G1033" s="12"/>
      <c r="H1033" s="13"/>
      <c r="I1033" s="14"/>
      <c r="J1033" s="15"/>
      <c r="K1033" s="15"/>
      <c r="L1033" s="16"/>
    </row>
    <row r="1034" customFormat="false" ht="12.8" hidden="false" customHeight="false" outlineLevel="0" collapsed="false">
      <c r="E1034" s="10"/>
      <c r="F1034" s="11"/>
      <c r="G1034" s="12"/>
      <c r="H1034" s="13"/>
      <c r="I1034" s="14"/>
      <c r="J1034" s="15"/>
      <c r="K1034" s="15"/>
      <c r="L1034" s="16"/>
    </row>
    <row r="1035" customFormat="false" ht="12.8" hidden="false" customHeight="false" outlineLevel="0" collapsed="false">
      <c r="E1035" s="10"/>
      <c r="F1035" s="11"/>
      <c r="G1035" s="12"/>
      <c r="H1035" s="13"/>
      <c r="I1035" s="14"/>
      <c r="J1035" s="15"/>
      <c r="K1035" s="15"/>
      <c r="L1035" s="16"/>
    </row>
    <row r="1036" customFormat="false" ht="12.8" hidden="false" customHeight="false" outlineLevel="0" collapsed="false">
      <c r="E1036" s="10"/>
      <c r="F1036" s="11"/>
      <c r="G1036" s="12"/>
      <c r="H1036" s="13"/>
      <c r="I1036" s="14"/>
      <c r="J1036" s="15"/>
      <c r="K1036" s="15"/>
      <c r="L1036" s="16"/>
    </row>
    <row r="1037" customFormat="false" ht="12.8" hidden="false" customHeight="false" outlineLevel="0" collapsed="false">
      <c r="E1037" s="10"/>
      <c r="F1037" s="11"/>
      <c r="G1037" s="12"/>
      <c r="H1037" s="13"/>
      <c r="I1037" s="14"/>
      <c r="J1037" s="15"/>
      <c r="K1037" s="15"/>
      <c r="L1037" s="16"/>
    </row>
    <row r="1038" customFormat="false" ht="12.8" hidden="false" customHeight="false" outlineLevel="0" collapsed="false">
      <c r="E1038" s="10"/>
      <c r="F1038" s="11"/>
      <c r="G1038" s="12"/>
      <c r="H1038" s="13"/>
      <c r="I1038" s="14"/>
      <c r="J1038" s="15"/>
      <c r="K1038" s="15"/>
      <c r="L1038" s="16"/>
    </row>
    <row r="1039" customFormat="false" ht="12.8" hidden="false" customHeight="false" outlineLevel="0" collapsed="false">
      <c r="E1039" s="10"/>
      <c r="F1039" s="11"/>
      <c r="G1039" s="12"/>
      <c r="H1039" s="13"/>
      <c r="I1039" s="14"/>
      <c r="J1039" s="15"/>
      <c r="K1039" s="15"/>
      <c r="L1039" s="16"/>
    </row>
    <row r="1040" customFormat="false" ht="12.8" hidden="false" customHeight="false" outlineLevel="0" collapsed="false">
      <c r="E1040" s="10"/>
      <c r="F1040" s="11"/>
      <c r="G1040" s="12"/>
      <c r="H1040" s="13"/>
      <c r="I1040" s="14"/>
      <c r="J1040" s="15"/>
      <c r="K1040" s="15"/>
      <c r="L1040" s="16"/>
    </row>
    <row r="1041" customFormat="false" ht="12.8" hidden="false" customHeight="false" outlineLevel="0" collapsed="false">
      <c r="E1041" s="10"/>
      <c r="F1041" s="11"/>
      <c r="G1041" s="12"/>
      <c r="H1041" s="13"/>
      <c r="I1041" s="14"/>
      <c r="J1041" s="15"/>
      <c r="K1041" s="15"/>
      <c r="L1041" s="16"/>
    </row>
    <row r="1042" customFormat="false" ht="12.8" hidden="false" customHeight="false" outlineLevel="0" collapsed="false">
      <c r="E1042" s="10"/>
      <c r="F1042" s="11"/>
      <c r="G1042" s="12"/>
      <c r="H1042" s="13"/>
      <c r="I1042" s="14"/>
      <c r="J1042" s="15"/>
      <c r="K1042" s="15"/>
      <c r="L1042" s="16"/>
    </row>
    <row r="1043" customFormat="false" ht="12.8" hidden="false" customHeight="false" outlineLevel="0" collapsed="false">
      <c r="E1043" s="10"/>
      <c r="F1043" s="11"/>
      <c r="G1043" s="12"/>
      <c r="H1043" s="13"/>
      <c r="I1043" s="14"/>
      <c r="J1043" s="15"/>
      <c r="K1043" s="15"/>
      <c r="L1043" s="16"/>
    </row>
    <row r="1044" customFormat="false" ht="12.8" hidden="false" customHeight="false" outlineLevel="0" collapsed="false">
      <c r="E1044" s="10"/>
      <c r="F1044" s="11"/>
      <c r="G1044" s="12"/>
      <c r="H1044" s="13"/>
      <c r="I1044" s="14"/>
      <c r="J1044" s="15"/>
      <c r="K1044" s="15"/>
      <c r="L1044" s="16"/>
    </row>
    <row r="1045" customFormat="false" ht="12.8" hidden="false" customHeight="false" outlineLevel="0" collapsed="false">
      <c r="E1045" s="10"/>
      <c r="F1045" s="11"/>
      <c r="G1045" s="12"/>
      <c r="H1045" s="13"/>
      <c r="I1045" s="14"/>
      <c r="J1045" s="15"/>
      <c r="K1045" s="15"/>
      <c r="L1045" s="16"/>
    </row>
    <row r="1046" customFormat="false" ht="12.8" hidden="false" customHeight="false" outlineLevel="0" collapsed="false">
      <c r="E1046" s="10"/>
      <c r="F1046" s="11"/>
      <c r="G1046" s="12"/>
      <c r="H1046" s="13"/>
      <c r="I1046" s="14"/>
      <c r="J1046" s="15"/>
      <c r="K1046" s="15"/>
      <c r="L1046" s="16"/>
    </row>
    <row r="1047" customFormat="false" ht="12.8" hidden="false" customHeight="false" outlineLevel="0" collapsed="false">
      <c r="E1047" s="10"/>
      <c r="F1047" s="11"/>
      <c r="G1047" s="12"/>
      <c r="H1047" s="13"/>
      <c r="I1047" s="14"/>
      <c r="J1047" s="15"/>
      <c r="K1047" s="15"/>
      <c r="L1047" s="16"/>
    </row>
    <row r="1048" customFormat="false" ht="12.8" hidden="false" customHeight="false" outlineLevel="0" collapsed="false">
      <c r="E1048" s="10"/>
      <c r="F1048" s="11"/>
      <c r="G1048" s="12"/>
      <c r="H1048" s="13"/>
      <c r="I1048" s="14"/>
      <c r="J1048" s="15"/>
      <c r="K1048" s="15"/>
      <c r="L1048" s="16"/>
    </row>
    <row r="1049" customFormat="false" ht="12.8" hidden="false" customHeight="false" outlineLevel="0" collapsed="false">
      <c r="E1049" s="10"/>
      <c r="F1049" s="11"/>
      <c r="G1049" s="12"/>
      <c r="H1049" s="13"/>
      <c r="I1049" s="14"/>
      <c r="J1049" s="15"/>
      <c r="K1049" s="15"/>
      <c r="L1049" s="16"/>
    </row>
    <row r="1050" customFormat="false" ht="12.8" hidden="false" customHeight="false" outlineLevel="0" collapsed="false">
      <c r="E1050" s="10"/>
      <c r="F1050" s="11"/>
      <c r="G1050" s="12"/>
      <c r="H1050" s="13"/>
      <c r="I1050" s="14"/>
      <c r="J1050" s="15"/>
      <c r="K1050" s="15"/>
      <c r="L1050" s="16"/>
    </row>
    <row r="1051" customFormat="false" ht="12.8" hidden="false" customHeight="false" outlineLevel="0" collapsed="false">
      <c r="E1051" s="10"/>
      <c r="F1051" s="11"/>
      <c r="G1051" s="12"/>
      <c r="H1051" s="13"/>
      <c r="I1051" s="14"/>
      <c r="J1051" s="15"/>
      <c r="K1051" s="15"/>
      <c r="L1051" s="16"/>
    </row>
    <row r="1052" customFormat="false" ht="12.8" hidden="false" customHeight="false" outlineLevel="0" collapsed="false">
      <c r="E1052" s="10"/>
      <c r="F1052" s="11"/>
      <c r="G1052" s="12"/>
      <c r="H1052" s="13"/>
      <c r="I1052" s="14"/>
      <c r="J1052" s="15"/>
      <c r="K1052" s="15"/>
      <c r="L1052" s="16"/>
    </row>
    <row r="1053" customFormat="false" ht="12.8" hidden="false" customHeight="false" outlineLevel="0" collapsed="false">
      <c r="E1053" s="10"/>
      <c r="F1053" s="11"/>
      <c r="G1053" s="12"/>
      <c r="H1053" s="13"/>
      <c r="I1053" s="14"/>
      <c r="J1053" s="15"/>
      <c r="K1053" s="15"/>
      <c r="L1053" s="16"/>
    </row>
    <row r="1054" customFormat="false" ht="12.8" hidden="false" customHeight="false" outlineLevel="0" collapsed="false">
      <c r="E1054" s="10"/>
      <c r="F1054" s="11"/>
      <c r="G1054" s="12"/>
      <c r="H1054" s="13"/>
      <c r="I1054" s="14"/>
      <c r="J1054" s="15"/>
      <c r="K1054" s="15"/>
      <c r="L1054" s="16"/>
    </row>
    <row r="1055" customFormat="false" ht="12.8" hidden="false" customHeight="false" outlineLevel="0" collapsed="false">
      <c r="E1055" s="10"/>
      <c r="F1055" s="11"/>
      <c r="G1055" s="12"/>
      <c r="H1055" s="13"/>
      <c r="I1055" s="14"/>
      <c r="J1055" s="15"/>
      <c r="K1055" s="15"/>
      <c r="L1055" s="16"/>
    </row>
    <row r="1056" customFormat="false" ht="12.8" hidden="false" customHeight="false" outlineLevel="0" collapsed="false">
      <c r="E1056" s="10"/>
      <c r="F1056" s="11"/>
      <c r="G1056" s="12"/>
      <c r="H1056" s="13"/>
      <c r="I1056" s="14"/>
      <c r="J1056" s="15"/>
      <c r="K1056" s="15"/>
      <c r="L1056" s="16"/>
    </row>
    <row r="1057" customFormat="false" ht="12.8" hidden="false" customHeight="false" outlineLevel="0" collapsed="false">
      <c r="E1057" s="10"/>
      <c r="F1057" s="11"/>
      <c r="G1057" s="12"/>
      <c r="H1057" s="13"/>
      <c r="I1057" s="14"/>
      <c r="J1057" s="15"/>
      <c r="K1057" s="15"/>
      <c r="L1057" s="16"/>
    </row>
    <row r="1058" customFormat="false" ht="12.8" hidden="false" customHeight="false" outlineLevel="0" collapsed="false">
      <c r="E1058" s="10"/>
      <c r="F1058" s="11"/>
      <c r="G1058" s="12"/>
      <c r="H1058" s="13"/>
      <c r="I1058" s="14"/>
      <c r="J1058" s="15"/>
      <c r="K1058" s="15"/>
      <c r="L1058" s="16"/>
    </row>
    <row r="1059" customFormat="false" ht="12.8" hidden="false" customHeight="false" outlineLevel="0" collapsed="false">
      <c r="E1059" s="10"/>
      <c r="F1059" s="11"/>
      <c r="G1059" s="12"/>
      <c r="H1059" s="13"/>
      <c r="I1059" s="14"/>
      <c r="J1059" s="15"/>
      <c r="K1059" s="15"/>
      <c r="L1059" s="16"/>
    </row>
    <row r="1060" customFormat="false" ht="12.8" hidden="false" customHeight="false" outlineLevel="0" collapsed="false">
      <c r="E1060" s="10"/>
      <c r="F1060" s="11"/>
      <c r="G1060" s="12"/>
      <c r="H1060" s="13"/>
      <c r="I1060" s="14"/>
      <c r="J1060" s="15"/>
      <c r="K1060" s="15"/>
      <c r="L1060" s="16"/>
    </row>
    <row r="1061" customFormat="false" ht="12.8" hidden="false" customHeight="false" outlineLevel="0" collapsed="false">
      <c r="E1061" s="10"/>
      <c r="F1061" s="11"/>
      <c r="G1061" s="12"/>
      <c r="H1061" s="13"/>
      <c r="I1061" s="14"/>
      <c r="J1061" s="15"/>
      <c r="K1061" s="15"/>
      <c r="L1061" s="16"/>
    </row>
    <row r="1062" customFormat="false" ht="12.8" hidden="false" customHeight="false" outlineLevel="0" collapsed="false">
      <c r="E1062" s="10"/>
      <c r="F1062" s="11"/>
      <c r="G1062" s="12"/>
      <c r="H1062" s="13"/>
      <c r="I1062" s="14"/>
      <c r="J1062" s="15"/>
      <c r="K1062" s="15"/>
      <c r="L1062" s="16"/>
    </row>
    <row r="1063" customFormat="false" ht="12.8" hidden="false" customHeight="false" outlineLevel="0" collapsed="false">
      <c r="E1063" s="10"/>
      <c r="F1063" s="11"/>
      <c r="G1063" s="12"/>
      <c r="H1063" s="13"/>
      <c r="I1063" s="14"/>
      <c r="J1063" s="15"/>
      <c r="K1063" s="15"/>
      <c r="L1063" s="16"/>
    </row>
    <row r="1064" customFormat="false" ht="12.8" hidden="false" customHeight="false" outlineLevel="0" collapsed="false">
      <c r="E1064" s="10"/>
      <c r="F1064" s="11"/>
      <c r="G1064" s="12"/>
      <c r="H1064" s="13"/>
      <c r="I1064" s="14"/>
      <c r="J1064" s="15"/>
      <c r="K1064" s="15"/>
      <c r="L1064" s="16"/>
    </row>
    <row r="1065" customFormat="false" ht="12.8" hidden="false" customHeight="false" outlineLevel="0" collapsed="false">
      <c r="E1065" s="10"/>
      <c r="F1065" s="11"/>
      <c r="G1065" s="12"/>
      <c r="H1065" s="13"/>
      <c r="I1065" s="14"/>
      <c r="J1065" s="15"/>
      <c r="K1065" s="15"/>
      <c r="L1065" s="16"/>
    </row>
    <row r="1066" customFormat="false" ht="12.8" hidden="false" customHeight="false" outlineLevel="0" collapsed="false">
      <c r="E1066" s="10"/>
      <c r="F1066" s="11"/>
      <c r="G1066" s="12"/>
      <c r="H1066" s="13"/>
      <c r="I1066" s="14"/>
      <c r="J1066" s="15"/>
      <c r="K1066" s="15"/>
      <c r="L1066" s="16"/>
    </row>
    <row r="1067" customFormat="false" ht="12.8" hidden="false" customHeight="false" outlineLevel="0" collapsed="false">
      <c r="E1067" s="10"/>
      <c r="F1067" s="11"/>
      <c r="G1067" s="12"/>
      <c r="H1067" s="13"/>
      <c r="I1067" s="14"/>
      <c r="J1067" s="15"/>
      <c r="K1067" s="15"/>
      <c r="L1067" s="16"/>
    </row>
    <row r="1068" customFormat="false" ht="12.8" hidden="false" customHeight="false" outlineLevel="0" collapsed="false">
      <c r="E1068" s="10"/>
      <c r="F1068" s="11"/>
      <c r="G1068" s="12"/>
      <c r="H1068" s="13"/>
      <c r="I1068" s="14"/>
      <c r="J1068" s="15"/>
      <c r="K1068" s="15"/>
      <c r="L1068" s="16"/>
    </row>
    <row r="1069" customFormat="false" ht="12.8" hidden="false" customHeight="false" outlineLevel="0" collapsed="false">
      <c r="E1069" s="10"/>
      <c r="F1069" s="11"/>
      <c r="G1069" s="12"/>
      <c r="H1069" s="13"/>
      <c r="I1069" s="14"/>
      <c r="J1069" s="15"/>
      <c r="K1069" s="15"/>
      <c r="L1069" s="16"/>
    </row>
    <row r="1070" customFormat="false" ht="12.8" hidden="false" customHeight="false" outlineLevel="0" collapsed="false">
      <c r="E1070" s="10"/>
      <c r="F1070" s="11"/>
      <c r="G1070" s="12"/>
      <c r="H1070" s="13"/>
      <c r="I1070" s="14"/>
      <c r="J1070" s="15"/>
      <c r="K1070" s="15"/>
      <c r="L1070" s="16"/>
    </row>
    <row r="1071" customFormat="false" ht="12.8" hidden="false" customHeight="false" outlineLevel="0" collapsed="false">
      <c r="E1071" s="10"/>
      <c r="F1071" s="11"/>
      <c r="G1071" s="12"/>
      <c r="H1071" s="13"/>
      <c r="I1071" s="14"/>
      <c r="J1071" s="15"/>
      <c r="K1071" s="15"/>
      <c r="L1071" s="16"/>
    </row>
    <row r="1072" customFormat="false" ht="12.8" hidden="false" customHeight="false" outlineLevel="0" collapsed="false">
      <c r="E1072" s="10"/>
      <c r="F1072" s="11"/>
      <c r="G1072" s="12"/>
      <c r="H1072" s="13"/>
      <c r="I1072" s="14"/>
      <c r="J1072" s="15"/>
      <c r="K1072" s="15"/>
      <c r="L1072" s="16"/>
    </row>
    <row r="1073" customFormat="false" ht="12.8" hidden="false" customHeight="false" outlineLevel="0" collapsed="false">
      <c r="E1073" s="10"/>
      <c r="F1073" s="11"/>
      <c r="G1073" s="12"/>
      <c r="H1073" s="13"/>
      <c r="I1073" s="14"/>
      <c r="J1073" s="15"/>
      <c r="K1073" s="15"/>
      <c r="L1073" s="16"/>
    </row>
    <row r="1074" customFormat="false" ht="12.8" hidden="false" customHeight="false" outlineLevel="0" collapsed="false">
      <c r="E1074" s="10"/>
      <c r="F1074" s="11"/>
      <c r="G1074" s="12"/>
      <c r="H1074" s="13"/>
      <c r="I1074" s="14"/>
      <c r="J1074" s="15"/>
      <c r="K1074" s="15"/>
      <c r="L1074" s="16"/>
    </row>
    <row r="1075" customFormat="false" ht="12.8" hidden="false" customHeight="false" outlineLevel="0" collapsed="false">
      <c r="E1075" s="10"/>
      <c r="F1075" s="11"/>
      <c r="G1075" s="12"/>
      <c r="H1075" s="13"/>
      <c r="I1075" s="14"/>
      <c r="J1075" s="15"/>
      <c r="K1075" s="15"/>
      <c r="L1075" s="16"/>
    </row>
    <row r="1076" customFormat="false" ht="12.8" hidden="false" customHeight="false" outlineLevel="0" collapsed="false">
      <c r="E1076" s="10"/>
      <c r="F1076" s="11"/>
      <c r="G1076" s="12"/>
      <c r="H1076" s="13"/>
      <c r="I1076" s="14"/>
      <c r="J1076" s="15"/>
      <c r="K1076" s="15"/>
      <c r="L1076" s="16"/>
    </row>
    <row r="1077" customFormat="false" ht="12.8" hidden="false" customHeight="false" outlineLevel="0" collapsed="false">
      <c r="E1077" s="10"/>
      <c r="F1077" s="11"/>
      <c r="G1077" s="12"/>
      <c r="H1077" s="13"/>
      <c r="I1077" s="14"/>
      <c r="J1077" s="15"/>
      <c r="K1077" s="15"/>
      <c r="L1077" s="16"/>
    </row>
    <row r="1078" customFormat="false" ht="12.8" hidden="false" customHeight="false" outlineLevel="0" collapsed="false">
      <c r="E1078" s="10"/>
      <c r="F1078" s="11"/>
      <c r="G1078" s="12"/>
      <c r="H1078" s="13"/>
      <c r="I1078" s="14"/>
      <c r="J1078" s="15"/>
      <c r="K1078" s="15"/>
      <c r="L1078" s="16"/>
    </row>
    <row r="1079" customFormat="false" ht="12.8" hidden="false" customHeight="false" outlineLevel="0" collapsed="false">
      <c r="E1079" s="10"/>
      <c r="F1079" s="11"/>
      <c r="G1079" s="12"/>
      <c r="H1079" s="13"/>
      <c r="I1079" s="14"/>
      <c r="J1079" s="15"/>
      <c r="K1079" s="15"/>
      <c r="L1079" s="16"/>
    </row>
    <row r="1080" customFormat="false" ht="12.8" hidden="false" customHeight="false" outlineLevel="0" collapsed="false">
      <c r="E1080" s="10"/>
      <c r="F1080" s="11"/>
      <c r="G1080" s="12"/>
      <c r="H1080" s="13"/>
      <c r="I1080" s="14"/>
      <c r="J1080" s="15"/>
      <c r="K1080" s="15"/>
      <c r="L1080" s="16"/>
    </row>
    <row r="1081" customFormat="false" ht="12.8" hidden="false" customHeight="false" outlineLevel="0" collapsed="false">
      <c r="E1081" s="10"/>
      <c r="F1081" s="11"/>
      <c r="G1081" s="12"/>
      <c r="H1081" s="13"/>
      <c r="I1081" s="14"/>
      <c r="J1081" s="15"/>
      <c r="K1081" s="15"/>
      <c r="L1081" s="16"/>
    </row>
    <row r="1082" customFormat="false" ht="12.8" hidden="false" customHeight="false" outlineLevel="0" collapsed="false">
      <c r="E1082" s="10"/>
      <c r="F1082" s="11"/>
      <c r="G1082" s="12"/>
      <c r="H1082" s="13"/>
      <c r="I1082" s="14"/>
      <c r="J1082" s="15"/>
      <c r="K1082" s="15"/>
      <c r="L1082" s="16"/>
    </row>
    <row r="1083" customFormat="false" ht="12.8" hidden="false" customHeight="false" outlineLevel="0" collapsed="false">
      <c r="E1083" s="10"/>
      <c r="F1083" s="11"/>
      <c r="G1083" s="12"/>
      <c r="H1083" s="13"/>
      <c r="I1083" s="14"/>
      <c r="J1083" s="15"/>
      <c r="K1083" s="15"/>
      <c r="L1083" s="16"/>
    </row>
    <row r="1084" customFormat="false" ht="12.8" hidden="false" customHeight="false" outlineLevel="0" collapsed="false">
      <c r="E1084" s="10"/>
      <c r="F1084" s="11"/>
      <c r="G1084" s="12"/>
      <c r="H1084" s="13"/>
      <c r="I1084" s="14"/>
      <c r="J1084" s="15"/>
      <c r="K1084" s="15"/>
      <c r="L1084" s="16"/>
    </row>
    <row r="1085" customFormat="false" ht="12.8" hidden="false" customHeight="false" outlineLevel="0" collapsed="false">
      <c r="E1085" s="10"/>
      <c r="F1085" s="11"/>
      <c r="G1085" s="12"/>
      <c r="H1085" s="13"/>
      <c r="I1085" s="14"/>
      <c r="J1085" s="15"/>
      <c r="K1085" s="15"/>
      <c r="L1085" s="16"/>
    </row>
    <row r="1086" customFormat="false" ht="12.8" hidden="false" customHeight="false" outlineLevel="0" collapsed="false">
      <c r="E1086" s="10"/>
      <c r="F1086" s="11"/>
      <c r="G1086" s="12"/>
      <c r="H1086" s="13"/>
      <c r="I1086" s="14"/>
      <c r="J1086" s="15"/>
      <c r="K1086" s="15"/>
      <c r="L1086" s="16"/>
    </row>
    <row r="1087" customFormat="false" ht="12.8" hidden="false" customHeight="false" outlineLevel="0" collapsed="false">
      <c r="E1087" s="10"/>
      <c r="F1087" s="11"/>
      <c r="G1087" s="12"/>
      <c r="H1087" s="13"/>
      <c r="I1087" s="14"/>
      <c r="J1087" s="15"/>
      <c r="K1087" s="15"/>
      <c r="L1087" s="16"/>
    </row>
    <row r="1088" customFormat="false" ht="12.8" hidden="false" customHeight="false" outlineLevel="0" collapsed="false">
      <c r="E1088" s="10"/>
      <c r="F1088" s="11"/>
      <c r="G1088" s="12"/>
      <c r="H1088" s="13"/>
      <c r="I1088" s="14"/>
      <c r="J1088" s="15"/>
      <c r="K1088" s="15"/>
      <c r="L1088" s="16"/>
    </row>
    <row r="1089" customFormat="false" ht="12.8" hidden="false" customHeight="false" outlineLevel="0" collapsed="false">
      <c r="E1089" s="10"/>
      <c r="F1089" s="11"/>
      <c r="G1089" s="12"/>
      <c r="H1089" s="13"/>
      <c r="I1089" s="14"/>
      <c r="J1089" s="15"/>
      <c r="K1089" s="15"/>
      <c r="L1089" s="16"/>
    </row>
    <row r="1090" customFormat="false" ht="12.8" hidden="false" customHeight="false" outlineLevel="0" collapsed="false">
      <c r="E1090" s="10"/>
      <c r="F1090" s="11"/>
      <c r="G1090" s="12"/>
      <c r="H1090" s="13"/>
      <c r="I1090" s="14"/>
      <c r="J1090" s="15"/>
      <c r="K1090" s="15"/>
      <c r="L1090" s="16"/>
    </row>
    <row r="1091" customFormat="false" ht="12.8" hidden="false" customHeight="false" outlineLevel="0" collapsed="false">
      <c r="E1091" s="10"/>
      <c r="F1091" s="11"/>
      <c r="G1091" s="12"/>
      <c r="H1091" s="13"/>
      <c r="I1091" s="14"/>
      <c r="J1091" s="15"/>
      <c r="K1091" s="15"/>
      <c r="L1091" s="16"/>
    </row>
    <row r="1092" customFormat="false" ht="12.8" hidden="false" customHeight="false" outlineLevel="0" collapsed="false">
      <c r="E1092" s="10"/>
      <c r="F1092" s="11"/>
      <c r="G1092" s="12"/>
      <c r="H1092" s="13"/>
      <c r="I1092" s="14"/>
      <c r="J1092" s="15"/>
      <c r="K1092" s="15"/>
      <c r="L1092" s="16"/>
    </row>
    <row r="1093" customFormat="false" ht="12.8" hidden="false" customHeight="false" outlineLevel="0" collapsed="false">
      <c r="E1093" s="10"/>
      <c r="F1093" s="11"/>
      <c r="G1093" s="12"/>
      <c r="H1093" s="13"/>
      <c r="I1093" s="14"/>
      <c r="J1093" s="15"/>
      <c r="K1093" s="15"/>
      <c r="L1093" s="16"/>
    </row>
    <row r="1094" customFormat="false" ht="12.8" hidden="false" customHeight="false" outlineLevel="0" collapsed="false">
      <c r="E1094" s="10"/>
      <c r="F1094" s="11"/>
      <c r="G1094" s="12"/>
      <c r="H1094" s="13"/>
      <c r="I1094" s="14"/>
      <c r="J1094" s="15"/>
      <c r="K1094" s="15"/>
      <c r="L1094" s="16"/>
    </row>
    <row r="1095" customFormat="false" ht="12.8" hidden="false" customHeight="false" outlineLevel="0" collapsed="false">
      <c r="E1095" s="10"/>
      <c r="F1095" s="11"/>
      <c r="G1095" s="12"/>
      <c r="H1095" s="13"/>
      <c r="I1095" s="14"/>
      <c r="J1095" s="15"/>
      <c r="K1095" s="15"/>
      <c r="L1095" s="16"/>
    </row>
    <row r="1096" customFormat="false" ht="12.8" hidden="false" customHeight="false" outlineLevel="0" collapsed="false">
      <c r="E1096" s="10"/>
      <c r="F1096" s="11"/>
      <c r="G1096" s="12"/>
      <c r="H1096" s="13"/>
      <c r="I1096" s="14"/>
      <c r="J1096" s="15"/>
      <c r="K1096" s="15"/>
      <c r="L1096" s="16"/>
    </row>
    <row r="1097" customFormat="false" ht="12.8" hidden="false" customHeight="false" outlineLevel="0" collapsed="false">
      <c r="E1097" s="10"/>
      <c r="F1097" s="11"/>
      <c r="G1097" s="12"/>
      <c r="H1097" s="13"/>
      <c r="I1097" s="14"/>
      <c r="J1097" s="15"/>
      <c r="K1097" s="15"/>
      <c r="L1097" s="16"/>
    </row>
    <row r="1098" customFormat="false" ht="12.8" hidden="false" customHeight="false" outlineLevel="0" collapsed="false">
      <c r="E1098" s="10"/>
      <c r="F1098" s="11"/>
      <c r="G1098" s="12"/>
      <c r="H1098" s="13"/>
      <c r="I1098" s="14"/>
      <c r="J1098" s="15"/>
      <c r="K1098" s="15"/>
      <c r="L1098" s="16"/>
    </row>
    <row r="1099" customFormat="false" ht="12.8" hidden="false" customHeight="false" outlineLevel="0" collapsed="false">
      <c r="E1099" s="10"/>
      <c r="F1099" s="11"/>
      <c r="G1099" s="12"/>
      <c r="H1099" s="13"/>
      <c r="I1099" s="14"/>
      <c r="J1099" s="15"/>
      <c r="K1099" s="15"/>
      <c r="L1099" s="16"/>
    </row>
    <row r="1100" customFormat="false" ht="12.8" hidden="false" customHeight="false" outlineLevel="0" collapsed="false">
      <c r="E1100" s="10"/>
      <c r="F1100" s="11"/>
      <c r="G1100" s="12"/>
      <c r="H1100" s="13"/>
      <c r="I1100" s="14"/>
      <c r="J1100" s="15"/>
      <c r="K1100" s="15"/>
      <c r="L1100" s="16"/>
    </row>
    <row r="1101" customFormat="false" ht="12.8" hidden="false" customHeight="false" outlineLevel="0" collapsed="false">
      <c r="E1101" s="10"/>
      <c r="F1101" s="11"/>
      <c r="G1101" s="12"/>
      <c r="H1101" s="13"/>
      <c r="I1101" s="14"/>
      <c r="J1101" s="15"/>
      <c r="K1101" s="15"/>
      <c r="L1101" s="16"/>
    </row>
    <row r="1102" customFormat="false" ht="12.8" hidden="false" customHeight="false" outlineLevel="0" collapsed="false">
      <c r="E1102" s="10"/>
      <c r="F1102" s="11"/>
      <c r="G1102" s="12"/>
      <c r="H1102" s="13"/>
      <c r="I1102" s="14"/>
      <c r="J1102" s="15"/>
      <c r="K1102" s="15"/>
      <c r="L1102" s="16"/>
    </row>
    <row r="1103" customFormat="false" ht="12.8" hidden="false" customHeight="false" outlineLevel="0" collapsed="false">
      <c r="E1103" s="10"/>
      <c r="F1103" s="11"/>
      <c r="G1103" s="12"/>
      <c r="H1103" s="13"/>
      <c r="I1103" s="14"/>
      <c r="J1103" s="15"/>
      <c r="K1103" s="15"/>
      <c r="L1103" s="16"/>
    </row>
    <row r="1104" customFormat="false" ht="12.8" hidden="false" customHeight="false" outlineLevel="0" collapsed="false">
      <c r="E1104" s="10"/>
      <c r="F1104" s="11"/>
      <c r="G1104" s="12"/>
      <c r="H1104" s="13"/>
      <c r="I1104" s="14"/>
      <c r="J1104" s="15"/>
      <c r="K1104" s="15"/>
      <c r="L1104" s="16"/>
    </row>
    <row r="1105" customFormat="false" ht="12.8" hidden="false" customHeight="false" outlineLevel="0" collapsed="false">
      <c r="E1105" s="10"/>
      <c r="F1105" s="11"/>
      <c r="G1105" s="12"/>
      <c r="H1105" s="13"/>
      <c r="I1105" s="14"/>
      <c r="J1105" s="15"/>
      <c r="K1105" s="15"/>
      <c r="L1105" s="16"/>
    </row>
    <row r="1106" customFormat="false" ht="12.8" hidden="false" customHeight="false" outlineLevel="0" collapsed="false">
      <c r="E1106" s="10"/>
      <c r="F1106" s="11"/>
      <c r="G1106" s="12"/>
      <c r="H1106" s="13"/>
      <c r="I1106" s="14"/>
      <c r="J1106" s="15"/>
      <c r="K1106" s="15"/>
      <c r="L1106" s="16"/>
    </row>
    <row r="1107" customFormat="false" ht="12.8" hidden="false" customHeight="false" outlineLevel="0" collapsed="false">
      <c r="E1107" s="10"/>
      <c r="F1107" s="11"/>
      <c r="G1107" s="12"/>
      <c r="H1107" s="13"/>
      <c r="I1107" s="14"/>
      <c r="J1107" s="15"/>
      <c r="K1107" s="15"/>
      <c r="L1107" s="16"/>
    </row>
    <row r="1108" customFormat="false" ht="12.8" hidden="false" customHeight="false" outlineLevel="0" collapsed="false">
      <c r="E1108" s="10"/>
      <c r="F1108" s="11"/>
      <c r="G1108" s="12"/>
      <c r="H1108" s="13"/>
      <c r="I1108" s="14"/>
      <c r="J1108" s="15"/>
      <c r="K1108" s="15"/>
      <c r="L1108" s="16"/>
    </row>
    <row r="1109" customFormat="false" ht="12.8" hidden="false" customHeight="false" outlineLevel="0" collapsed="false">
      <c r="E1109" s="10"/>
      <c r="F1109" s="11"/>
      <c r="G1109" s="12"/>
      <c r="H1109" s="13"/>
      <c r="I1109" s="14"/>
      <c r="J1109" s="15"/>
      <c r="K1109" s="15"/>
      <c r="L1109" s="16"/>
    </row>
    <row r="1110" customFormat="false" ht="12.8" hidden="false" customHeight="false" outlineLevel="0" collapsed="false">
      <c r="E1110" s="10"/>
      <c r="F1110" s="11"/>
      <c r="G1110" s="12"/>
      <c r="H1110" s="13"/>
      <c r="I1110" s="14"/>
      <c r="J1110" s="15"/>
      <c r="K1110" s="15"/>
      <c r="L1110" s="16"/>
    </row>
    <row r="1111" customFormat="false" ht="12.8" hidden="false" customHeight="false" outlineLevel="0" collapsed="false">
      <c r="E1111" s="10"/>
      <c r="F1111" s="11"/>
      <c r="G1111" s="12"/>
      <c r="H1111" s="13"/>
      <c r="I1111" s="14"/>
      <c r="J1111" s="15"/>
      <c r="K1111" s="15"/>
      <c r="L1111" s="16"/>
    </row>
    <row r="1112" customFormat="false" ht="12.8" hidden="false" customHeight="false" outlineLevel="0" collapsed="false">
      <c r="E1112" s="10"/>
      <c r="F1112" s="11"/>
      <c r="G1112" s="12"/>
      <c r="H1112" s="13"/>
      <c r="I1112" s="14"/>
      <c r="J1112" s="15"/>
      <c r="K1112" s="15"/>
      <c r="L1112" s="16"/>
    </row>
    <row r="1113" customFormat="false" ht="12.8" hidden="false" customHeight="false" outlineLevel="0" collapsed="false">
      <c r="E1113" s="10"/>
      <c r="F1113" s="11"/>
      <c r="G1113" s="12"/>
      <c r="H1113" s="13"/>
      <c r="I1113" s="14"/>
      <c r="J1113" s="15"/>
      <c r="K1113" s="15"/>
      <c r="L1113" s="16"/>
    </row>
    <row r="1114" customFormat="false" ht="12.8" hidden="false" customHeight="false" outlineLevel="0" collapsed="false">
      <c r="E1114" s="10"/>
      <c r="F1114" s="11"/>
      <c r="G1114" s="12"/>
      <c r="H1114" s="13"/>
      <c r="I1114" s="14"/>
      <c r="J1114" s="15"/>
      <c r="K1114" s="15"/>
      <c r="L1114" s="16"/>
    </row>
    <row r="1115" customFormat="false" ht="12.8" hidden="false" customHeight="false" outlineLevel="0" collapsed="false">
      <c r="E1115" s="10"/>
      <c r="F1115" s="11"/>
      <c r="G1115" s="12"/>
      <c r="H1115" s="13"/>
      <c r="I1115" s="14"/>
      <c r="J1115" s="15"/>
      <c r="K1115" s="15"/>
      <c r="L1115" s="16"/>
    </row>
    <row r="1116" customFormat="false" ht="12.8" hidden="false" customHeight="false" outlineLevel="0" collapsed="false">
      <c r="E1116" s="10"/>
      <c r="F1116" s="11"/>
      <c r="G1116" s="12"/>
      <c r="H1116" s="13"/>
      <c r="I1116" s="14"/>
      <c r="J1116" s="15"/>
      <c r="K1116" s="15"/>
      <c r="L1116" s="16"/>
    </row>
    <row r="1117" customFormat="false" ht="12.8" hidden="false" customHeight="false" outlineLevel="0" collapsed="false">
      <c r="E1117" s="10"/>
      <c r="F1117" s="11"/>
      <c r="G1117" s="12"/>
      <c r="H1117" s="13"/>
      <c r="I1117" s="14"/>
      <c r="J1117" s="15"/>
      <c r="K1117" s="15"/>
      <c r="L1117" s="16"/>
    </row>
    <row r="1118" customFormat="false" ht="12.8" hidden="false" customHeight="false" outlineLevel="0" collapsed="false">
      <c r="E1118" s="10"/>
      <c r="F1118" s="11"/>
      <c r="G1118" s="12"/>
      <c r="H1118" s="13"/>
      <c r="I1118" s="14"/>
      <c r="J1118" s="15"/>
      <c r="K1118" s="15"/>
      <c r="L1118" s="16"/>
    </row>
    <row r="1119" customFormat="false" ht="12.8" hidden="false" customHeight="false" outlineLevel="0" collapsed="false">
      <c r="E1119" s="10"/>
      <c r="F1119" s="11"/>
      <c r="G1119" s="12"/>
      <c r="H1119" s="13"/>
      <c r="I1119" s="14"/>
      <c r="J1119" s="15"/>
      <c r="K1119" s="15"/>
      <c r="L1119" s="16"/>
    </row>
    <row r="1120" customFormat="false" ht="12.8" hidden="false" customHeight="false" outlineLevel="0" collapsed="false">
      <c r="E1120" s="10"/>
      <c r="F1120" s="11"/>
      <c r="G1120" s="12"/>
      <c r="H1120" s="13"/>
      <c r="I1120" s="14"/>
      <c r="J1120" s="15"/>
      <c r="K1120" s="15"/>
      <c r="L1120" s="16"/>
    </row>
    <row r="1121" customFormat="false" ht="12.8" hidden="false" customHeight="false" outlineLevel="0" collapsed="false">
      <c r="E1121" s="10"/>
      <c r="F1121" s="11"/>
      <c r="G1121" s="12"/>
      <c r="H1121" s="13"/>
      <c r="I1121" s="14"/>
      <c r="J1121" s="15"/>
      <c r="K1121" s="15"/>
      <c r="L1121" s="16"/>
    </row>
    <row r="1122" customFormat="false" ht="12.8" hidden="false" customHeight="false" outlineLevel="0" collapsed="false">
      <c r="E1122" s="10"/>
      <c r="F1122" s="11"/>
      <c r="G1122" s="12"/>
      <c r="H1122" s="13"/>
      <c r="I1122" s="14"/>
      <c r="J1122" s="15"/>
      <c r="K1122" s="15"/>
      <c r="L1122" s="16"/>
    </row>
    <row r="1123" customFormat="false" ht="12.8" hidden="false" customHeight="false" outlineLevel="0" collapsed="false">
      <c r="E1123" s="10"/>
      <c r="F1123" s="11"/>
      <c r="G1123" s="12"/>
      <c r="H1123" s="13"/>
      <c r="I1123" s="14"/>
      <c r="J1123" s="15"/>
      <c r="K1123" s="15"/>
      <c r="L1123" s="16"/>
    </row>
    <row r="1124" customFormat="false" ht="12.8" hidden="false" customHeight="false" outlineLevel="0" collapsed="false">
      <c r="E1124" s="10"/>
      <c r="F1124" s="11"/>
      <c r="G1124" s="12"/>
      <c r="H1124" s="13"/>
      <c r="I1124" s="14"/>
      <c r="J1124" s="15"/>
      <c r="K1124" s="15"/>
      <c r="L1124" s="16"/>
    </row>
    <row r="1125" customFormat="false" ht="12.8" hidden="false" customHeight="false" outlineLevel="0" collapsed="false">
      <c r="E1125" s="10"/>
      <c r="F1125" s="11"/>
      <c r="G1125" s="12"/>
      <c r="H1125" s="13"/>
      <c r="I1125" s="14"/>
      <c r="J1125" s="15"/>
      <c r="K1125" s="15"/>
      <c r="L1125" s="16"/>
    </row>
    <row r="1126" customFormat="false" ht="12.8" hidden="false" customHeight="false" outlineLevel="0" collapsed="false">
      <c r="E1126" s="10"/>
      <c r="F1126" s="11"/>
      <c r="G1126" s="12"/>
      <c r="H1126" s="13"/>
      <c r="I1126" s="14"/>
      <c r="J1126" s="15"/>
      <c r="K1126" s="15"/>
      <c r="L1126" s="16"/>
    </row>
    <row r="1127" customFormat="false" ht="12.8" hidden="false" customHeight="false" outlineLevel="0" collapsed="false">
      <c r="E1127" s="10"/>
      <c r="F1127" s="11"/>
      <c r="G1127" s="12"/>
      <c r="H1127" s="13"/>
      <c r="I1127" s="14"/>
      <c r="J1127" s="15"/>
      <c r="K1127" s="15"/>
      <c r="L1127" s="16"/>
    </row>
    <row r="1128" customFormat="false" ht="12.8" hidden="false" customHeight="false" outlineLevel="0" collapsed="false">
      <c r="E1128" s="10"/>
      <c r="F1128" s="11"/>
      <c r="G1128" s="12"/>
      <c r="H1128" s="13"/>
      <c r="I1128" s="14"/>
      <c r="J1128" s="15"/>
      <c r="K1128" s="15"/>
      <c r="L1128" s="16"/>
    </row>
    <row r="1129" customFormat="false" ht="12.8" hidden="false" customHeight="false" outlineLevel="0" collapsed="false">
      <c r="E1129" s="10"/>
      <c r="F1129" s="11"/>
      <c r="G1129" s="12"/>
      <c r="H1129" s="13"/>
      <c r="I1129" s="14"/>
      <c r="J1129" s="15"/>
      <c r="K1129" s="15"/>
      <c r="L1129" s="16"/>
    </row>
    <row r="1130" customFormat="false" ht="12.8" hidden="false" customHeight="false" outlineLevel="0" collapsed="false">
      <c r="E1130" s="10"/>
      <c r="F1130" s="11"/>
      <c r="G1130" s="12"/>
      <c r="H1130" s="13"/>
      <c r="I1130" s="14"/>
      <c r="J1130" s="15"/>
      <c r="K1130" s="15"/>
      <c r="L1130" s="16"/>
    </row>
    <row r="1131" customFormat="false" ht="12.8" hidden="false" customHeight="false" outlineLevel="0" collapsed="false">
      <c r="E1131" s="10"/>
      <c r="F1131" s="11"/>
      <c r="G1131" s="12"/>
      <c r="H1131" s="13"/>
      <c r="I1131" s="14"/>
      <c r="J1131" s="15"/>
      <c r="K1131" s="15"/>
      <c r="L1131" s="16"/>
    </row>
    <row r="1132" customFormat="false" ht="12.8" hidden="false" customHeight="false" outlineLevel="0" collapsed="false">
      <c r="E1132" s="10"/>
      <c r="F1132" s="11"/>
      <c r="G1132" s="12"/>
      <c r="H1132" s="13"/>
      <c r="I1132" s="14"/>
      <c r="J1132" s="15"/>
      <c r="K1132" s="15"/>
      <c r="L1132" s="16"/>
    </row>
    <row r="1133" customFormat="false" ht="12.8" hidden="false" customHeight="false" outlineLevel="0" collapsed="false">
      <c r="E1133" s="10"/>
      <c r="F1133" s="11"/>
      <c r="G1133" s="12"/>
      <c r="H1133" s="13"/>
      <c r="I1133" s="14"/>
      <c r="J1133" s="15"/>
      <c r="K1133" s="15"/>
      <c r="L1133" s="16"/>
    </row>
    <row r="1134" customFormat="false" ht="12.8" hidden="false" customHeight="false" outlineLevel="0" collapsed="false">
      <c r="E1134" s="10"/>
      <c r="F1134" s="11"/>
      <c r="G1134" s="12"/>
      <c r="H1134" s="13"/>
      <c r="I1134" s="14"/>
      <c r="J1134" s="15"/>
      <c r="K1134" s="15"/>
      <c r="L1134" s="16"/>
    </row>
    <row r="1135" customFormat="false" ht="12.8" hidden="false" customHeight="false" outlineLevel="0" collapsed="false">
      <c r="E1135" s="10"/>
      <c r="F1135" s="11"/>
      <c r="G1135" s="12"/>
      <c r="H1135" s="13"/>
      <c r="I1135" s="14"/>
      <c r="J1135" s="15"/>
      <c r="K1135" s="15"/>
      <c r="L1135" s="16"/>
    </row>
    <row r="1136" customFormat="false" ht="12.8" hidden="false" customHeight="false" outlineLevel="0" collapsed="false">
      <c r="E1136" s="10"/>
      <c r="F1136" s="11"/>
      <c r="G1136" s="12"/>
      <c r="H1136" s="13"/>
      <c r="I1136" s="14"/>
      <c r="J1136" s="15"/>
      <c r="K1136" s="15"/>
      <c r="L1136" s="16"/>
    </row>
    <row r="1137" customFormat="false" ht="12.8" hidden="false" customHeight="false" outlineLevel="0" collapsed="false">
      <c r="E1137" s="10"/>
      <c r="F1137" s="11"/>
      <c r="G1137" s="12"/>
      <c r="H1137" s="13"/>
      <c r="I1137" s="14"/>
      <c r="J1137" s="15"/>
      <c r="K1137" s="15"/>
      <c r="L1137" s="16"/>
    </row>
    <row r="1138" customFormat="false" ht="12.8" hidden="false" customHeight="false" outlineLevel="0" collapsed="false">
      <c r="E1138" s="10"/>
      <c r="F1138" s="11"/>
      <c r="G1138" s="12"/>
      <c r="H1138" s="13"/>
      <c r="I1138" s="14"/>
      <c r="J1138" s="15"/>
      <c r="K1138" s="15"/>
      <c r="L1138" s="16"/>
    </row>
    <row r="1139" customFormat="false" ht="12.8" hidden="false" customHeight="false" outlineLevel="0" collapsed="false">
      <c r="E1139" s="10"/>
      <c r="F1139" s="11"/>
      <c r="G1139" s="12"/>
      <c r="H1139" s="13"/>
      <c r="I1139" s="14"/>
      <c r="J1139" s="15"/>
      <c r="K1139" s="15"/>
      <c r="L1139" s="16"/>
    </row>
    <row r="1140" customFormat="false" ht="12.8" hidden="false" customHeight="false" outlineLevel="0" collapsed="false">
      <c r="E1140" s="10"/>
      <c r="F1140" s="11"/>
      <c r="G1140" s="12"/>
      <c r="H1140" s="13"/>
      <c r="I1140" s="14"/>
      <c r="J1140" s="15"/>
      <c r="K1140" s="15"/>
      <c r="L1140" s="16"/>
    </row>
    <row r="1141" customFormat="false" ht="12.8" hidden="false" customHeight="false" outlineLevel="0" collapsed="false">
      <c r="E1141" s="10"/>
      <c r="F1141" s="11"/>
      <c r="G1141" s="12"/>
      <c r="H1141" s="13"/>
      <c r="I1141" s="14"/>
      <c r="J1141" s="15"/>
      <c r="K1141" s="15"/>
      <c r="L1141" s="16"/>
    </row>
    <row r="1142" customFormat="false" ht="12.8" hidden="false" customHeight="false" outlineLevel="0" collapsed="false">
      <c r="E1142" s="10"/>
      <c r="F1142" s="11"/>
      <c r="G1142" s="12"/>
      <c r="H1142" s="13"/>
      <c r="I1142" s="14"/>
      <c r="J1142" s="15"/>
      <c r="K1142" s="15"/>
      <c r="L1142" s="16"/>
    </row>
    <row r="1143" customFormat="false" ht="12.8" hidden="false" customHeight="false" outlineLevel="0" collapsed="false">
      <c r="E1143" s="10"/>
      <c r="F1143" s="11"/>
      <c r="G1143" s="12"/>
      <c r="H1143" s="13"/>
      <c r="I1143" s="14"/>
      <c r="J1143" s="15"/>
      <c r="K1143" s="15"/>
      <c r="L1143" s="16"/>
    </row>
    <row r="1144" customFormat="false" ht="12.8" hidden="false" customHeight="false" outlineLevel="0" collapsed="false">
      <c r="E1144" s="10"/>
      <c r="F1144" s="11"/>
      <c r="G1144" s="12"/>
      <c r="H1144" s="13"/>
      <c r="I1144" s="14"/>
      <c r="J1144" s="15"/>
      <c r="K1144" s="15"/>
      <c r="L1144" s="16"/>
    </row>
    <row r="1145" customFormat="false" ht="12.8" hidden="false" customHeight="false" outlineLevel="0" collapsed="false">
      <c r="E1145" s="10"/>
      <c r="F1145" s="11"/>
      <c r="G1145" s="12"/>
      <c r="H1145" s="13"/>
      <c r="I1145" s="14"/>
      <c r="J1145" s="15"/>
      <c r="K1145" s="15"/>
      <c r="L1145" s="16"/>
    </row>
    <row r="1146" customFormat="false" ht="12.8" hidden="false" customHeight="false" outlineLevel="0" collapsed="false">
      <c r="E1146" s="10"/>
      <c r="F1146" s="11"/>
      <c r="G1146" s="12"/>
      <c r="H1146" s="13"/>
      <c r="I1146" s="14"/>
      <c r="J1146" s="15"/>
      <c r="K1146" s="15"/>
      <c r="L1146" s="16"/>
    </row>
    <row r="1147" customFormat="false" ht="12.8" hidden="false" customHeight="false" outlineLevel="0" collapsed="false">
      <c r="E1147" s="10"/>
      <c r="F1147" s="11"/>
      <c r="G1147" s="12"/>
      <c r="H1147" s="13"/>
      <c r="I1147" s="14"/>
      <c r="J1147" s="15"/>
      <c r="K1147" s="15"/>
      <c r="L1147" s="16"/>
    </row>
    <row r="1148" customFormat="false" ht="12.8" hidden="false" customHeight="false" outlineLevel="0" collapsed="false">
      <c r="E1148" s="10"/>
      <c r="F1148" s="11"/>
      <c r="G1148" s="12"/>
      <c r="H1148" s="13"/>
      <c r="I1148" s="14"/>
      <c r="J1148" s="15"/>
      <c r="K1148" s="15"/>
      <c r="L1148" s="16"/>
    </row>
    <row r="1149" customFormat="false" ht="12.8" hidden="false" customHeight="false" outlineLevel="0" collapsed="false">
      <c r="E1149" s="10"/>
      <c r="F1149" s="11"/>
      <c r="G1149" s="12"/>
      <c r="H1149" s="13"/>
      <c r="I1149" s="14"/>
      <c r="J1149" s="15"/>
      <c r="K1149" s="15"/>
      <c r="L1149" s="16"/>
    </row>
    <row r="1150" customFormat="false" ht="12.8" hidden="false" customHeight="false" outlineLevel="0" collapsed="false">
      <c r="E1150" s="10"/>
      <c r="F1150" s="11"/>
      <c r="G1150" s="12"/>
      <c r="H1150" s="13"/>
      <c r="I1150" s="14"/>
      <c r="J1150" s="15"/>
      <c r="K1150" s="15"/>
      <c r="L1150" s="16"/>
    </row>
    <row r="1151" customFormat="false" ht="12.8" hidden="false" customHeight="false" outlineLevel="0" collapsed="false">
      <c r="E1151" s="10"/>
      <c r="F1151" s="11"/>
      <c r="G1151" s="12"/>
      <c r="H1151" s="13"/>
      <c r="I1151" s="14"/>
      <c r="J1151" s="15"/>
      <c r="K1151" s="15"/>
      <c r="L1151" s="16"/>
    </row>
    <row r="1152" customFormat="false" ht="12.8" hidden="false" customHeight="false" outlineLevel="0" collapsed="false">
      <c r="E1152" s="10"/>
      <c r="F1152" s="11"/>
      <c r="G1152" s="12"/>
      <c r="H1152" s="13"/>
      <c r="I1152" s="14"/>
      <c r="J1152" s="15"/>
      <c r="K1152" s="15"/>
      <c r="L1152" s="16"/>
    </row>
    <row r="1153" customFormat="false" ht="12.8" hidden="false" customHeight="false" outlineLevel="0" collapsed="false">
      <c r="E1153" s="10"/>
      <c r="F1153" s="11"/>
      <c r="G1153" s="12"/>
      <c r="H1153" s="13"/>
      <c r="I1153" s="14"/>
      <c r="J1153" s="15"/>
      <c r="K1153" s="15"/>
      <c r="L1153" s="16"/>
    </row>
    <row r="1154" customFormat="false" ht="12.8" hidden="false" customHeight="false" outlineLevel="0" collapsed="false">
      <c r="E1154" s="10"/>
      <c r="F1154" s="11"/>
      <c r="G1154" s="12"/>
      <c r="H1154" s="13"/>
      <c r="I1154" s="14"/>
      <c r="J1154" s="15"/>
      <c r="K1154" s="15"/>
      <c r="L1154" s="16"/>
    </row>
    <row r="1155" customFormat="false" ht="12.8" hidden="false" customHeight="false" outlineLevel="0" collapsed="false">
      <c r="E1155" s="10"/>
      <c r="F1155" s="11"/>
      <c r="G1155" s="12"/>
      <c r="H1155" s="13"/>
      <c r="I1155" s="14"/>
      <c r="J1155" s="15"/>
      <c r="K1155" s="15"/>
      <c r="L1155" s="16"/>
    </row>
    <row r="1156" customFormat="false" ht="12.8" hidden="false" customHeight="false" outlineLevel="0" collapsed="false">
      <c r="E1156" s="10"/>
      <c r="F1156" s="11"/>
      <c r="G1156" s="12"/>
      <c r="H1156" s="13"/>
      <c r="I1156" s="14"/>
      <c r="J1156" s="15"/>
      <c r="K1156" s="15"/>
      <c r="L1156" s="16"/>
    </row>
    <row r="1157" customFormat="false" ht="12.8" hidden="false" customHeight="false" outlineLevel="0" collapsed="false">
      <c r="E1157" s="10"/>
      <c r="F1157" s="11"/>
      <c r="G1157" s="12"/>
      <c r="H1157" s="13"/>
      <c r="I1157" s="14"/>
      <c r="J1157" s="15"/>
      <c r="K1157" s="15"/>
      <c r="L1157" s="16"/>
    </row>
    <row r="1158" customFormat="false" ht="12.8" hidden="false" customHeight="false" outlineLevel="0" collapsed="false">
      <c r="E1158" s="10"/>
      <c r="F1158" s="11"/>
      <c r="G1158" s="12"/>
      <c r="H1158" s="13"/>
      <c r="I1158" s="14"/>
      <c r="J1158" s="15"/>
      <c r="K1158" s="15"/>
      <c r="L1158" s="16"/>
    </row>
    <row r="1159" customFormat="false" ht="12.8" hidden="false" customHeight="false" outlineLevel="0" collapsed="false">
      <c r="E1159" s="10"/>
      <c r="F1159" s="11"/>
      <c r="G1159" s="12"/>
      <c r="H1159" s="13"/>
      <c r="I1159" s="14"/>
      <c r="J1159" s="15"/>
      <c r="K1159" s="15"/>
      <c r="L1159" s="16"/>
    </row>
    <row r="1160" customFormat="false" ht="12.8" hidden="false" customHeight="false" outlineLevel="0" collapsed="false">
      <c r="E1160" s="10"/>
      <c r="F1160" s="11"/>
      <c r="G1160" s="12"/>
      <c r="H1160" s="13"/>
      <c r="I1160" s="14"/>
      <c r="J1160" s="15"/>
      <c r="K1160" s="15"/>
      <c r="L1160" s="16"/>
    </row>
    <row r="1161" customFormat="false" ht="12.8" hidden="false" customHeight="false" outlineLevel="0" collapsed="false">
      <c r="E1161" s="10"/>
      <c r="F1161" s="11"/>
      <c r="G1161" s="12"/>
      <c r="H1161" s="13"/>
      <c r="I1161" s="14"/>
      <c r="J1161" s="15"/>
      <c r="K1161" s="15"/>
      <c r="L1161" s="16"/>
    </row>
    <row r="1162" customFormat="false" ht="12.8" hidden="false" customHeight="false" outlineLevel="0" collapsed="false">
      <c r="E1162" s="10"/>
      <c r="F1162" s="11"/>
      <c r="G1162" s="12"/>
      <c r="H1162" s="13"/>
      <c r="I1162" s="14"/>
      <c r="J1162" s="15"/>
      <c r="K1162" s="15"/>
      <c r="L1162" s="16"/>
    </row>
    <row r="1163" customFormat="false" ht="12.8" hidden="false" customHeight="false" outlineLevel="0" collapsed="false">
      <c r="E1163" s="10"/>
      <c r="F1163" s="11"/>
      <c r="G1163" s="12"/>
      <c r="H1163" s="13"/>
      <c r="I1163" s="14"/>
      <c r="J1163" s="15"/>
      <c r="K1163" s="15"/>
      <c r="L1163" s="16"/>
    </row>
    <row r="1164" customFormat="false" ht="12.8" hidden="false" customHeight="false" outlineLevel="0" collapsed="false">
      <c r="E1164" s="10"/>
      <c r="F1164" s="11"/>
      <c r="G1164" s="12"/>
      <c r="H1164" s="13"/>
      <c r="I1164" s="14"/>
      <c r="J1164" s="15"/>
      <c r="K1164" s="15"/>
      <c r="L1164" s="16"/>
    </row>
    <row r="1165" customFormat="false" ht="12.8" hidden="false" customHeight="false" outlineLevel="0" collapsed="false">
      <c r="E1165" s="10"/>
      <c r="F1165" s="11"/>
      <c r="G1165" s="12"/>
      <c r="H1165" s="13"/>
      <c r="I1165" s="14"/>
      <c r="J1165" s="15"/>
      <c r="K1165" s="15"/>
      <c r="L1165" s="16"/>
    </row>
    <row r="1166" customFormat="false" ht="12.8" hidden="false" customHeight="false" outlineLevel="0" collapsed="false">
      <c r="E1166" s="10"/>
      <c r="F1166" s="11"/>
      <c r="G1166" s="12"/>
      <c r="H1166" s="13"/>
      <c r="I1166" s="14"/>
      <c r="J1166" s="15"/>
      <c r="K1166" s="15"/>
      <c r="L1166" s="16"/>
    </row>
    <row r="1167" customFormat="false" ht="12.8" hidden="false" customHeight="false" outlineLevel="0" collapsed="false">
      <c r="E1167" s="10"/>
      <c r="F1167" s="11"/>
      <c r="G1167" s="12"/>
      <c r="H1167" s="13"/>
      <c r="I1167" s="14"/>
      <c r="J1167" s="15"/>
      <c r="K1167" s="15"/>
      <c r="L1167" s="16"/>
    </row>
    <row r="1168" customFormat="false" ht="12.8" hidden="false" customHeight="false" outlineLevel="0" collapsed="false">
      <c r="E1168" s="10"/>
      <c r="F1168" s="11"/>
      <c r="G1168" s="12"/>
      <c r="H1168" s="13"/>
      <c r="I1168" s="14"/>
      <c r="J1168" s="15"/>
      <c r="K1168" s="15"/>
      <c r="L1168" s="16"/>
    </row>
    <row r="1169" customFormat="false" ht="12.8" hidden="false" customHeight="false" outlineLevel="0" collapsed="false">
      <c r="E1169" s="10"/>
      <c r="F1169" s="11"/>
      <c r="G1169" s="12"/>
      <c r="H1169" s="13"/>
      <c r="I1169" s="14"/>
      <c r="J1169" s="15"/>
      <c r="K1169" s="15"/>
      <c r="L1169" s="16"/>
    </row>
    <row r="1170" customFormat="false" ht="12.8" hidden="false" customHeight="false" outlineLevel="0" collapsed="false">
      <c r="E1170" s="10"/>
      <c r="F1170" s="11"/>
      <c r="G1170" s="12"/>
      <c r="H1170" s="13"/>
      <c r="I1170" s="14"/>
      <c r="J1170" s="15"/>
      <c r="K1170" s="15"/>
      <c r="L1170" s="16"/>
    </row>
    <row r="1171" customFormat="false" ht="12.8" hidden="false" customHeight="false" outlineLevel="0" collapsed="false">
      <c r="E1171" s="10"/>
      <c r="F1171" s="11"/>
      <c r="G1171" s="12"/>
      <c r="H1171" s="13"/>
      <c r="I1171" s="14"/>
      <c r="J1171" s="15"/>
      <c r="K1171" s="15"/>
      <c r="L1171" s="16"/>
    </row>
    <row r="1172" customFormat="false" ht="12.8" hidden="false" customHeight="false" outlineLevel="0" collapsed="false">
      <c r="E1172" s="10"/>
      <c r="F1172" s="11"/>
      <c r="G1172" s="12"/>
      <c r="H1172" s="13"/>
      <c r="I1172" s="14"/>
      <c r="J1172" s="15"/>
      <c r="K1172" s="15"/>
      <c r="L1172" s="16"/>
    </row>
    <row r="1173" customFormat="false" ht="12.8" hidden="false" customHeight="false" outlineLevel="0" collapsed="false">
      <c r="E1173" s="10"/>
      <c r="F1173" s="11"/>
      <c r="G1173" s="12"/>
      <c r="H1173" s="13"/>
      <c r="I1173" s="14"/>
      <c r="J1173" s="15"/>
      <c r="K1173" s="15"/>
      <c r="L1173" s="16"/>
    </row>
    <row r="1174" customFormat="false" ht="12.8" hidden="false" customHeight="false" outlineLevel="0" collapsed="false">
      <c r="E1174" s="10"/>
      <c r="F1174" s="11"/>
      <c r="G1174" s="12"/>
      <c r="H1174" s="13"/>
      <c r="I1174" s="14"/>
      <c r="J1174" s="15"/>
      <c r="K1174" s="15"/>
      <c r="L1174" s="16"/>
    </row>
    <row r="1175" customFormat="false" ht="12.8" hidden="false" customHeight="false" outlineLevel="0" collapsed="false">
      <c r="E1175" s="10"/>
      <c r="F1175" s="11"/>
      <c r="G1175" s="12"/>
      <c r="H1175" s="13"/>
      <c r="I1175" s="14"/>
      <c r="J1175" s="15"/>
      <c r="K1175" s="15"/>
      <c r="L1175" s="16"/>
    </row>
    <row r="1176" customFormat="false" ht="12.8" hidden="false" customHeight="false" outlineLevel="0" collapsed="false">
      <c r="E1176" s="10"/>
      <c r="F1176" s="11"/>
      <c r="G1176" s="12"/>
      <c r="H1176" s="13"/>
      <c r="I1176" s="14"/>
      <c r="J1176" s="15"/>
      <c r="K1176" s="15"/>
      <c r="L1176" s="16"/>
    </row>
    <row r="1177" customFormat="false" ht="12.8" hidden="false" customHeight="false" outlineLevel="0" collapsed="false">
      <c r="E1177" s="10"/>
      <c r="F1177" s="11"/>
      <c r="G1177" s="12"/>
      <c r="H1177" s="13"/>
      <c r="I1177" s="14"/>
      <c r="J1177" s="15"/>
      <c r="K1177" s="15"/>
      <c r="L1177" s="16"/>
    </row>
    <row r="1178" customFormat="false" ht="12.8" hidden="false" customHeight="false" outlineLevel="0" collapsed="false">
      <c r="E1178" s="10"/>
      <c r="F1178" s="11"/>
      <c r="G1178" s="12"/>
      <c r="H1178" s="13"/>
      <c r="I1178" s="14"/>
      <c r="J1178" s="15"/>
      <c r="K1178" s="15"/>
      <c r="L1178" s="16"/>
    </row>
    <row r="1179" customFormat="false" ht="12.8" hidden="false" customHeight="false" outlineLevel="0" collapsed="false">
      <c r="E1179" s="10"/>
      <c r="F1179" s="11"/>
      <c r="G1179" s="12"/>
      <c r="H1179" s="13"/>
      <c r="I1179" s="14"/>
      <c r="J1179" s="15"/>
      <c r="K1179" s="15"/>
      <c r="L1179" s="16"/>
    </row>
    <row r="1180" customFormat="false" ht="12.8" hidden="false" customHeight="false" outlineLevel="0" collapsed="false">
      <c r="E1180" s="10"/>
      <c r="F1180" s="11"/>
      <c r="G1180" s="12"/>
      <c r="H1180" s="13"/>
      <c r="I1180" s="14"/>
      <c r="J1180" s="15"/>
      <c r="K1180" s="15"/>
      <c r="L1180" s="16"/>
    </row>
    <row r="1181" customFormat="false" ht="12.8" hidden="false" customHeight="false" outlineLevel="0" collapsed="false">
      <c r="E1181" s="10"/>
      <c r="F1181" s="11"/>
      <c r="G1181" s="12"/>
      <c r="H1181" s="13"/>
      <c r="I1181" s="14"/>
      <c r="J1181" s="15"/>
      <c r="K1181" s="15"/>
      <c r="L1181" s="16"/>
    </row>
    <row r="1182" customFormat="false" ht="12.8" hidden="false" customHeight="false" outlineLevel="0" collapsed="false">
      <c r="E1182" s="10"/>
      <c r="F1182" s="11"/>
      <c r="G1182" s="12"/>
      <c r="H1182" s="13"/>
      <c r="I1182" s="14"/>
      <c r="J1182" s="15"/>
      <c r="K1182" s="15"/>
      <c r="L1182" s="16"/>
    </row>
    <row r="1183" customFormat="false" ht="12.8" hidden="false" customHeight="false" outlineLevel="0" collapsed="false">
      <c r="E1183" s="10"/>
      <c r="F1183" s="11"/>
      <c r="G1183" s="12"/>
      <c r="H1183" s="13"/>
      <c r="I1183" s="14"/>
      <c r="J1183" s="15"/>
      <c r="K1183" s="15"/>
      <c r="L1183" s="16"/>
    </row>
    <row r="1184" customFormat="false" ht="12.8" hidden="false" customHeight="false" outlineLevel="0" collapsed="false">
      <c r="E1184" s="10"/>
      <c r="F1184" s="11"/>
      <c r="G1184" s="12"/>
      <c r="H1184" s="13"/>
      <c r="I1184" s="14"/>
      <c r="J1184" s="15"/>
      <c r="K1184" s="15"/>
      <c r="L1184" s="16"/>
    </row>
    <row r="1185" customFormat="false" ht="12.8" hidden="false" customHeight="false" outlineLevel="0" collapsed="false">
      <c r="E1185" s="10"/>
      <c r="F1185" s="11"/>
      <c r="G1185" s="12"/>
      <c r="H1185" s="13"/>
      <c r="I1185" s="14"/>
      <c r="J1185" s="15"/>
      <c r="K1185" s="15"/>
      <c r="L1185" s="16"/>
    </row>
    <row r="1186" customFormat="false" ht="12.8" hidden="false" customHeight="false" outlineLevel="0" collapsed="false">
      <c r="E1186" s="10"/>
      <c r="F1186" s="11"/>
      <c r="G1186" s="12"/>
      <c r="H1186" s="13"/>
      <c r="I1186" s="14"/>
      <c r="J1186" s="15"/>
      <c r="K1186" s="15"/>
      <c r="L1186" s="16"/>
    </row>
    <row r="1187" customFormat="false" ht="12.8" hidden="false" customHeight="false" outlineLevel="0" collapsed="false">
      <c r="E1187" s="10"/>
      <c r="F1187" s="11"/>
      <c r="G1187" s="12"/>
      <c r="H1187" s="13"/>
      <c r="I1187" s="14"/>
      <c r="J1187" s="15"/>
      <c r="K1187" s="15"/>
      <c r="L1187" s="16"/>
    </row>
    <row r="1188" customFormat="false" ht="12.8" hidden="false" customHeight="false" outlineLevel="0" collapsed="false">
      <c r="E1188" s="10"/>
      <c r="F1188" s="11"/>
      <c r="G1188" s="12"/>
      <c r="H1188" s="13"/>
      <c r="I1188" s="14"/>
      <c r="J1188" s="15"/>
      <c r="K1188" s="15"/>
      <c r="L1188" s="16"/>
    </row>
    <row r="1189" customFormat="false" ht="12.8" hidden="false" customHeight="false" outlineLevel="0" collapsed="false">
      <c r="E1189" s="10"/>
      <c r="F1189" s="11"/>
      <c r="G1189" s="12"/>
      <c r="H1189" s="13"/>
      <c r="I1189" s="14"/>
      <c r="J1189" s="15"/>
      <c r="K1189" s="15"/>
      <c r="L1189" s="16"/>
    </row>
    <row r="1190" customFormat="false" ht="12.8" hidden="false" customHeight="false" outlineLevel="0" collapsed="false">
      <c r="E1190" s="10"/>
      <c r="F1190" s="11"/>
      <c r="G1190" s="12"/>
      <c r="H1190" s="13"/>
      <c r="I1190" s="14"/>
      <c r="J1190" s="15"/>
      <c r="K1190" s="15"/>
      <c r="L1190" s="16"/>
    </row>
    <row r="1191" customFormat="false" ht="12.8" hidden="false" customHeight="false" outlineLevel="0" collapsed="false">
      <c r="E1191" s="10"/>
      <c r="F1191" s="11"/>
      <c r="G1191" s="12"/>
      <c r="H1191" s="13"/>
      <c r="I1191" s="14"/>
      <c r="J1191" s="15"/>
      <c r="K1191" s="15"/>
      <c r="L1191" s="16"/>
    </row>
    <row r="1192" customFormat="false" ht="12.8" hidden="false" customHeight="false" outlineLevel="0" collapsed="false">
      <c r="E1192" s="10"/>
      <c r="F1192" s="11"/>
      <c r="G1192" s="12"/>
      <c r="H1192" s="13"/>
      <c r="I1192" s="14"/>
      <c r="J1192" s="15"/>
      <c r="K1192" s="15"/>
      <c r="L1192" s="16"/>
    </row>
    <row r="1193" customFormat="false" ht="12.8" hidden="false" customHeight="false" outlineLevel="0" collapsed="false">
      <c r="E1193" s="10"/>
      <c r="F1193" s="11"/>
      <c r="G1193" s="12"/>
      <c r="H1193" s="13"/>
      <c r="I1193" s="14"/>
      <c r="J1193" s="15"/>
      <c r="K1193" s="15"/>
      <c r="L1193" s="16"/>
    </row>
    <row r="1194" customFormat="false" ht="12.8" hidden="false" customHeight="false" outlineLevel="0" collapsed="false">
      <c r="E1194" s="10"/>
      <c r="F1194" s="11"/>
      <c r="G1194" s="12"/>
      <c r="H1194" s="13"/>
      <c r="I1194" s="14"/>
      <c r="J1194" s="15"/>
      <c r="K1194" s="15"/>
      <c r="L1194" s="16"/>
    </row>
    <row r="1195" customFormat="false" ht="12.8" hidden="false" customHeight="false" outlineLevel="0" collapsed="false">
      <c r="E1195" s="10"/>
      <c r="F1195" s="11"/>
      <c r="G1195" s="12"/>
      <c r="H1195" s="13"/>
      <c r="I1195" s="14"/>
      <c r="J1195" s="15"/>
      <c r="K1195" s="15"/>
      <c r="L1195" s="16"/>
    </row>
    <row r="1196" customFormat="false" ht="12.8" hidden="false" customHeight="false" outlineLevel="0" collapsed="false">
      <c r="E1196" s="10"/>
      <c r="F1196" s="11"/>
      <c r="G1196" s="12"/>
      <c r="H1196" s="13"/>
      <c r="I1196" s="14"/>
      <c r="J1196" s="15"/>
      <c r="K1196" s="15"/>
      <c r="L1196" s="16"/>
    </row>
    <row r="1197" customFormat="false" ht="12.8" hidden="false" customHeight="false" outlineLevel="0" collapsed="false">
      <c r="E1197" s="10"/>
      <c r="F1197" s="11"/>
      <c r="G1197" s="12"/>
      <c r="H1197" s="13"/>
      <c r="I1197" s="14"/>
      <c r="J1197" s="15"/>
      <c r="K1197" s="15"/>
      <c r="L1197" s="16"/>
    </row>
    <row r="1198" customFormat="false" ht="12.8" hidden="false" customHeight="false" outlineLevel="0" collapsed="false">
      <c r="E1198" s="10"/>
      <c r="F1198" s="11"/>
      <c r="G1198" s="12"/>
      <c r="H1198" s="13"/>
      <c r="I1198" s="14"/>
      <c r="J1198" s="15"/>
      <c r="K1198" s="15"/>
      <c r="L1198" s="16"/>
    </row>
    <row r="1199" customFormat="false" ht="12.8" hidden="false" customHeight="false" outlineLevel="0" collapsed="false">
      <c r="E1199" s="10"/>
      <c r="F1199" s="11"/>
      <c r="G1199" s="12"/>
      <c r="H1199" s="13"/>
      <c r="I1199" s="14"/>
      <c r="J1199" s="15"/>
      <c r="K1199" s="15"/>
      <c r="L1199" s="16"/>
    </row>
    <row r="1200" customFormat="false" ht="12.8" hidden="false" customHeight="false" outlineLevel="0" collapsed="false">
      <c r="E1200" s="10"/>
      <c r="F1200" s="11"/>
      <c r="G1200" s="12"/>
      <c r="H1200" s="13"/>
      <c r="I1200" s="14"/>
      <c r="J1200" s="15"/>
      <c r="K1200" s="15"/>
      <c r="L1200" s="16"/>
    </row>
    <row r="1201" customFormat="false" ht="12.8" hidden="false" customHeight="false" outlineLevel="0" collapsed="false">
      <c r="E1201" s="10"/>
      <c r="F1201" s="11"/>
      <c r="G1201" s="12"/>
      <c r="H1201" s="13"/>
      <c r="I1201" s="14"/>
      <c r="J1201" s="15"/>
      <c r="K1201" s="15"/>
      <c r="L1201" s="16"/>
    </row>
    <row r="1202" customFormat="false" ht="12.8" hidden="false" customHeight="false" outlineLevel="0" collapsed="false">
      <c r="E1202" s="10"/>
      <c r="F1202" s="11"/>
      <c r="G1202" s="12"/>
      <c r="H1202" s="13"/>
      <c r="I1202" s="14"/>
      <c r="J1202" s="15"/>
      <c r="K1202" s="15"/>
      <c r="L1202" s="16"/>
    </row>
    <row r="1203" customFormat="false" ht="12.8" hidden="false" customHeight="false" outlineLevel="0" collapsed="false">
      <c r="E1203" s="10"/>
      <c r="F1203" s="11"/>
      <c r="G1203" s="12"/>
      <c r="H1203" s="13"/>
      <c r="I1203" s="14"/>
      <c r="J1203" s="15"/>
      <c r="K1203" s="15"/>
      <c r="L1203" s="16"/>
    </row>
    <row r="1204" customFormat="false" ht="12.8" hidden="false" customHeight="false" outlineLevel="0" collapsed="false">
      <c r="E1204" s="10"/>
      <c r="F1204" s="11"/>
      <c r="G1204" s="12"/>
      <c r="H1204" s="13"/>
      <c r="I1204" s="14"/>
      <c r="J1204" s="15"/>
      <c r="K1204" s="15"/>
      <c r="L1204" s="16"/>
    </row>
    <row r="1205" customFormat="false" ht="12.8" hidden="false" customHeight="false" outlineLevel="0" collapsed="false">
      <c r="E1205" s="10"/>
      <c r="F1205" s="11"/>
      <c r="G1205" s="12"/>
      <c r="H1205" s="13"/>
      <c r="I1205" s="14"/>
      <c r="J1205" s="15"/>
      <c r="K1205" s="15"/>
      <c r="L1205" s="16"/>
    </row>
    <row r="1206" customFormat="false" ht="12.8" hidden="false" customHeight="false" outlineLevel="0" collapsed="false">
      <c r="E1206" s="10"/>
      <c r="F1206" s="11"/>
      <c r="G1206" s="12"/>
      <c r="H1206" s="13"/>
      <c r="I1206" s="14"/>
      <c r="J1206" s="15"/>
      <c r="K1206" s="15"/>
      <c r="L1206" s="16"/>
    </row>
    <row r="1207" customFormat="false" ht="12.8" hidden="false" customHeight="false" outlineLevel="0" collapsed="false">
      <c r="E1207" s="10"/>
      <c r="F1207" s="11"/>
      <c r="G1207" s="12"/>
      <c r="H1207" s="13"/>
      <c r="I1207" s="14"/>
      <c r="J1207" s="15"/>
      <c r="K1207" s="15"/>
      <c r="L1207" s="16"/>
    </row>
    <row r="1208" customFormat="false" ht="12.8" hidden="false" customHeight="false" outlineLevel="0" collapsed="false">
      <c r="E1208" s="10"/>
      <c r="F1208" s="11"/>
      <c r="G1208" s="12"/>
      <c r="H1208" s="13"/>
      <c r="I1208" s="14"/>
      <c r="J1208" s="15"/>
      <c r="K1208" s="15"/>
      <c r="L1208" s="16"/>
    </row>
    <row r="1209" customFormat="false" ht="12.8" hidden="false" customHeight="false" outlineLevel="0" collapsed="false">
      <c r="E1209" s="10"/>
      <c r="F1209" s="11"/>
      <c r="G1209" s="12"/>
      <c r="H1209" s="13"/>
      <c r="I1209" s="14"/>
      <c r="J1209" s="15"/>
      <c r="K1209" s="15"/>
      <c r="L1209" s="16"/>
    </row>
    <row r="1210" customFormat="false" ht="12.8" hidden="false" customHeight="false" outlineLevel="0" collapsed="false">
      <c r="E1210" s="10"/>
      <c r="F1210" s="11"/>
      <c r="G1210" s="12"/>
      <c r="H1210" s="13"/>
      <c r="I1210" s="14"/>
      <c r="J1210" s="15"/>
      <c r="K1210" s="15"/>
      <c r="L1210" s="16"/>
    </row>
    <row r="1211" customFormat="false" ht="12.8" hidden="false" customHeight="false" outlineLevel="0" collapsed="false">
      <c r="E1211" s="10"/>
      <c r="F1211" s="11"/>
      <c r="G1211" s="12"/>
      <c r="H1211" s="13"/>
      <c r="I1211" s="14"/>
      <c r="J1211" s="15"/>
      <c r="K1211" s="15"/>
      <c r="L1211" s="16"/>
    </row>
    <row r="1212" customFormat="false" ht="12.8" hidden="false" customHeight="false" outlineLevel="0" collapsed="false">
      <c r="E1212" s="10"/>
      <c r="F1212" s="11"/>
      <c r="G1212" s="12"/>
      <c r="H1212" s="13"/>
      <c r="I1212" s="14"/>
      <c r="J1212" s="15"/>
      <c r="K1212" s="15"/>
      <c r="L1212" s="16"/>
    </row>
    <row r="1213" customFormat="false" ht="12.8" hidden="false" customHeight="false" outlineLevel="0" collapsed="false">
      <c r="E1213" s="10"/>
      <c r="F1213" s="11"/>
      <c r="G1213" s="12"/>
      <c r="H1213" s="13"/>
      <c r="I1213" s="14"/>
      <c r="J1213" s="15"/>
      <c r="K1213" s="15"/>
      <c r="L1213" s="16"/>
    </row>
    <row r="1214" customFormat="false" ht="12.8" hidden="false" customHeight="false" outlineLevel="0" collapsed="false">
      <c r="E1214" s="10"/>
      <c r="F1214" s="11"/>
      <c r="G1214" s="12"/>
      <c r="H1214" s="13"/>
      <c r="I1214" s="14"/>
      <c r="J1214" s="15"/>
      <c r="K1214" s="15"/>
      <c r="L1214" s="16"/>
    </row>
    <row r="1215" customFormat="false" ht="12.8" hidden="false" customHeight="false" outlineLevel="0" collapsed="false">
      <c r="E1215" s="10"/>
      <c r="F1215" s="11"/>
      <c r="G1215" s="12"/>
      <c r="H1215" s="13"/>
      <c r="I1215" s="14"/>
      <c r="J1215" s="15"/>
      <c r="K1215" s="15"/>
      <c r="L1215" s="16"/>
    </row>
    <row r="1216" customFormat="false" ht="12.8" hidden="false" customHeight="false" outlineLevel="0" collapsed="false">
      <c r="E1216" s="10"/>
      <c r="F1216" s="11"/>
      <c r="G1216" s="12"/>
      <c r="H1216" s="13"/>
      <c r="I1216" s="14"/>
      <c r="J1216" s="15"/>
      <c r="K1216" s="15"/>
      <c r="L1216" s="16"/>
    </row>
    <row r="1217" customFormat="false" ht="12.8" hidden="false" customHeight="false" outlineLevel="0" collapsed="false">
      <c r="E1217" s="10"/>
      <c r="F1217" s="11"/>
      <c r="G1217" s="12"/>
      <c r="H1217" s="13"/>
      <c r="I1217" s="14"/>
      <c r="J1217" s="15"/>
      <c r="K1217" s="15"/>
      <c r="L1217" s="16"/>
    </row>
    <row r="1218" customFormat="false" ht="12.8" hidden="false" customHeight="false" outlineLevel="0" collapsed="false">
      <c r="E1218" s="10"/>
      <c r="F1218" s="11"/>
      <c r="G1218" s="12"/>
      <c r="H1218" s="13"/>
      <c r="I1218" s="14"/>
      <c r="J1218" s="15"/>
      <c r="K1218" s="15"/>
      <c r="L1218" s="16"/>
    </row>
    <row r="1219" customFormat="false" ht="12.8" hidden="false" customHeight="false" outlineLevel="0" collapsed="false">
      <c r="E1219" s="10"/>
      <c r="F1219" s="11"/>
      <c r="G1219" s="12"/>
      <c r="H1219" s="13"/>
      <c r="I1219" s="14"/>
      <c r="J1219" s="15"/>
      <c r="K1219" s="15"/>
      <c r="L1219" s="16"/>
    </row>
    <row r="1220" customFormat="false" ht="12.8" hidden="false" customHeight="false" outlineLevel="0" collapsed="false">
      <c r="E1220" s="10"/>
      <c r="F1220" s="11"/>
      <c r="G1220" s="12"/>
      <c r="H1220" s="13"/>
      <c r="I1220" s="14"/>
      <c r="J1220" s="15"/>
      <c r="K1220" s="15"/>
      <c r="L1220" s="16"/>
    </row>
    <row r="1221" customFormat="false" ht="12.8" hidden="false" customHeight="false" outlineLevel="0" collapsed="false">
      <c r="E1221" s="10"/>
      <c r="F1221" s="11"/>
      <c r="G1221" s="12"/>
      <c r="H1221" s="13"/>
      <c r="I1221" s="14"/>
      <c r="J1221" s="15"/>
      <c r="K1221" s="15"/>
      <c r="L1221" s="16"/>
    </row>
    <row r="1222" customFormat="false" ht="12.8" hidden="false" customHeight="false" outlineLevel="0" collapsed="false">
      <c r="E1222" s="10"/>
      <c r="F1222" s="11"/>
      <c r="G1222" s="12"/>
      <c r="H1222" s="13"/>
      <c r="I1222" s="14"/>
      <c r="J1222" s="15"/>
      <c r="K1222" s="15"/>
      <c r="L1222" s="16"/>
    </row>
    <row r="1223" customFormat="false" ht="12.8" hidden="false" customHeight="false" outlineLevel="0" collapsed="false">
      <c r="E1223" s="10"/>
      <c r="F1223" s="11"/>
      <c r="G1223" s="12"/>
      <c r="H1223" s="13"/>
      <c r="I1223" s="14"/>
      <c r="J1223" s="15"/>
      <c r="K1223" s="15"/>
      <c r="L1223" s="16"/>
    </row>
    <row r="1224" customFormat="false" ht="12.8" hidden="false" customHeight="false" outlineLevel="0" collapsed="false">
      <c r="E1224" s="10"/>
      <c r="F1224" s="11"/>
      <c r="G1224" s="12"/>
      <c r="H1224" s="13"/>
      <c r="I1224" s="14"/>
      <c r="J1224" s="15"/>
      <c r="K1224" s="15"/>
      <c r="L1224" s="16"/>
    </row>
    <row r="1225" customFormat="false" ht="12.8" hidden="false" customHeight="false" outlineLevel="0" collapsed="false">
      <c r="E1225" s="10"/>
      <c r="F1225" s="11"/>
      <c r="G1225" s="12"/>
      <c r="H1225" s="13"/>
      <c r="I1225" s="14"/>
      <c r="J1225" s="15"/>
      <c r="K1225" s="15"/>
      <c r="L1225" s="16"/>
    </row>
    <row r="1226" customFormat="false" ht="12.8" hidden="false" customHeight="false" outlineLevel="0" collapsed="false">
      <c r="E1226" s="10"/>
      <c r="F1226" s="11"/>
      <c r="G1226" s="12"/>
      <c r="H1226" s="13"/>
      <c r="I1226" s="14"/>
      <c r="J1226" s="15"/>
      <c r="K1226" s="15"/>
      <c r="L1226" s="16"/>
    </row>
    <row r="1227" customFormat="false" ht="12.8" hidden="false" customHeight="false" outlineLevel="0" collapsed="false">
      <c r="E1227" s="10"/>
      <c r="F1227" s="11"/>
      <c r="G1227" s="12"/>
      <c r="H1227" s="13"/>
      <c r="I1227" s="14"/>
      <c r="J1227" s="15"/>
      <c r="K1227" s="15"/>
      <c r="L1227" s="16"/>
    </row>
    <row r="1228" customFormat="false" ht="12.8" hidden="false" customHeight="false" outlineLevel="0" collapsed="false">
      <c r="E1228" s="10"/>
      <c r="F1228" s="11"/>
      <c r="G1228" s="12"/>
      <c r="H1228" s="13"/>
      <c r="I1228" s="14"/>
      <c r="J1228" s="15"/>
      <c r="K1228" s="15"/>
      <c r="L1228" s="16"/>
    </row>
    <row r="1229" customFormat="false" ht="12.8" hidden="false" customHeight="false" outlineLevel="0" collapsed="false">
      <c r="E1229" s="10"/>
      <c r="F1229" s="11"/>
      <c r="G1229" s="12"/>
      <c r="H1229" s="13"/>
      <c r="I1229" s="14"/>
      <c r="J1229" s="15"/>
      <c r="K1229" s="15"/>
      <c r="L1229" s="16"/>
    </row>
    <row r="1230" customFormat="false" ht="12.8" hidden="false" customHeight="false" outlineLevel="0" collapsed="false">
      <c r="E1230" s="10"/>
      <c r="F1230" s="11"/>
      <c r="G1230" s="12"/>
      <c r="H1230" s="13"/>
      <c r="I1230" s="14"/>
      <c r="J1230" s="15"/>
      <c r="K1230" s="15"/>
      <c r="L1230" s="16"/>
    </row>
    <row r="1231" customFormat="false" ht="12.8" hidden="false" customHeight="false" outlineLevel="0" collapsed="false">
      <c r="E1231" s="10"/>
      <c r="F1231" s="11"/>
      <c r="G1231" s="12"/>
      <c r="H1231" s="13"/>
      <c r="I1231" s="14"/>
      <c r="J1231" s="15"/>
      <c r="K1231" s="15"/>
      <c r="L1231" s="16"/>
    </row>
    <row r="1232" customFormat="false" ht="12.8" hidden="false" customHeight="false" outlineLevel="0" collapsed="false">
      <c r="E1232" s="10"/>
      <c r="F1232" s="11"/>
      <c r="G1232" s="12"/>
      <c r="H1232" s="13"/>
      <c r="I1232" s="14"/>
      <c r="J1232" s="15"/>
      <c r="K1232" s="15"/>
      <c r="L1232" s="16"/>
    </row>
    <row r="1233" customFormat="false" ht="12.8" hidden="false" customHeight="false" outlineLevel="0" collapsed="false">
      <c r="E1233" s="10"/>
      <c r="F1233" s="11"/>
      <c r="G1233" s="12"/>
      <c r="H1233" s="13"/>
      <c r="I1233" s="14"/>
      <c r="J1233" s="15"/>
      <c r="K1233" s="15"/>
      <c r="L1233" s="16"/>
    </row>
    <row r="1234" customFormat="false" ht="12.8" hidden="false" customHeight="false" outlineLevel="0" collapsed="false">
      <c r="E1234" s="10"/>
      <c r="F1234" s="11"/>
      <c r="G1234" s="12"/>
      <c r="H1234" s="13"/>
      <c r="I1234" s="14"/>
      <c r="J1234" s="15"/>
      <c r="K1234" s="15"/>
      <c r="L1234" s="16"/>
    </row>
    <row r="1235" customFormat="false" ht="12.8" hidden="false" customHeight="false" outlineLevel="0" collapsed="false">
      <c r="E1235" s="10"/>
      <c r="F1235" s="11"/>
      <c r="G1235" s="12"/>
      <c r="H1235" s="13"/>
      <c r="I1235" s="14"/>
      <c r="J1235" s="15"/>
      <c r="K1235" s="15"/>
      <c r="L1235" s="16"/>
    </row>
    <row r="1236" customFormat="false" ht="12.8" hidden="false" customHeight="false" outlineLevel="0" collapsed="false">
      <c r="E1236" s="10"/>
      <c r="F1236" s="11"/>
      <c r="G1236" s="12"/>
      <c r="H1236" s="13"/>
      <c r="I1236" s="14"/>
      <c r="J1236" s="15"/>
      <c r="K1236" s="15"/>
      <c r="L1236" s="16"/>
    </row>
    <row r="1237" customFormat="false" ht="12.8" hidden="false" customHeight="false" outlineLevel="0" collapsed="false">
      <c r="E1237" s="10"/>
      <c r="F1237" s="11"/>
      <c r="G1237" s="12"/>
      <c r="H1237" s="13"/>
      <c r="I1237" s="14"/>
      <c r="J1237" s="15"/>
      <c r="K1237" s="15"/>
      <c r="L1237" s="16"/>
    </row>
    <row r="1238" customFormat="false" ht="12.8" hidden="false" customHeight="false" outlineLevel="0" collapsed="false">
      <c r="E1238" s="10"/>
      <c r="F1238" s="11"/>
      <c r="G1238" s="12"/>
      <c r="H1238" s="13"/>
      <c r="I1238" s="14"/>
      <c r="J1238" s="15"/>
      <c r="K1238" s="15"/>
      <c r="L1238" s="16"/>
    </row>
    <row r="1239" customFormat="false" ht="12.8" hidden="false" customHeight="false" outlineLevel="0" collapsed="false">
      <c r="E1239" s="10"/>
      <c r="F1239" s="11"/>
      <c r="G1239" s="12"/>
      <c r="H1239" s="13"/>
      <c r="I1239" s="14"/>
      <c r="J1239" s="15"/>
      <c r="K1239" s="15"/>
      <c r="L1239" s="16"/>
    </row>
    <row r="1240" customFormat="false" ht="12.8" hidden="false" customHeight="false" outlineLevel="0" collapsed="false">
      <c r="E1240" s="10"/>
      <c r="F1240" s="11"/>
      <c r="G1240" s="12"/>
      <c r="H1240" s="13"/>
      <c r="I1240" s="14"/>
      <c r="J1240" s="15"/>
      <c r="K1240" s="15"/>
      <c r="L1240" s="16"/>
    </row>
    <row r="1241" customFormat="false" ht="12.8" hidden="false" customHeight="false" outlineLevel="0" collapsed="false">
      <c r="E1241" s="10"/>
      <c r="F1241" s="11"/>
      <c r="G1241" s="12"/>
      <c r="H1241" s="13"/>
      <c r="I1241" s="14"/>
      <c r="J1241" s="15"/>
      <c r="K1241" s="15"/>
      <c r="L1241" s="16"/>
    </row>
    <row r="1242" customFormat="false" ht="12.8" hidden="false" customHeight="false" outlineLevel="0" collapsed="false">
      <c r="E1242" s="10"/>
      <c r="F1242" s="11"/>
      <c r="G1242" s="12"/>
      <c r="H1242" s="13"/>
      <c r="I1242" s="14"/>
      <c r="J1242" s="15"/>
      <c r="K1242" s="15"/>
      <c r="L1242" s="16"/>
    </row>
    <row r="1243" customFormat="false" ht="12.8" hidden="false" customHeight="false" outlineLevel="0" collapsed="false">
      <c r="E1243" s="10"/>
      <c r="F1243" s="11"/>
      <c r="G1243" s="12"/>
      <c r="H1243" s="13"/>
      <c r="I1243" s="14"/>
      <c r="J1243" s="15"/>
      <c r="K1243" s="15"/>
      <c r="L1243" s="16"/>
    </row>
    <row r="1244" customFormat="false" ht="12.8" hidden="false" customHeight="false" outlineLevel="0" collapsed="false">
      <c r="E1244" s="10"/>
      <c r="F1244" s="11"/>
      <c r="G1244" s="12"/>
      <c r="H1244" s="13"/>
      <c r="I1244" s="14"/>
      <c r="J1244" s="15"/>
      <c r="K1244" s="15"/>
      <c r="L1244" s="16"/>
    </row>
    <row r="1245" customFormat="false" ht="12.8" hidden="false" customHeight="false" outlineLevel="0" collapsed="false">
      <c r="E1245" s="10"/>
      <c r="F1245" s="11"/>
      <c r="G1245" s="12"/>
      <c r="H1245" s="13"/>
      <c r="I1245" s="14"/>
      <c r="J1245" s="15"/>
      <c r="K1245" s="15"/>
      <c r="L1245" s="16"/>
    </row>
    <row r="1246" customFormat="false" ht="12.8" hidden="false" customHeight="false" outlineLevel="0" collapsed="false">
      <c r="E1246" s="10"/>
      <c r="F1246" s="11"/>
      <c r="G1246" s="12"/>
      <c r="H1246" s="13"/>
      <c r="I1246" s="14"/>
      <c r="J1246" s="15"/>
      <c r="K1246" s="15"/>
      <c r="L1246" s="16"/>
    </row>
    <row r="1247" customFormat="false" ht="12.8" hidden="false" customHeight="false" outlineLevel="0" collapsed="false">
      <c r="E1247" s="10"/>
      <c r="F1247" s="11"/>
      <c r="G1247" s="12"/>
      <c r="H1247" s="13"/>
      <c r="I1247" s="14"/>
      <c r="J1247" s="15"/>
      <c r="K1247" s="15"/>
      <c r="L1247" s="16"/>
    </row>
    <row r="1248" customFormat="false" ht="12.8" hidden="false" customHeight="false" outlineLevel="0" collapsed="false">
      <c r="E1248" s="10"/>
      <c r="F1248" s="11"/>
      <c r="G1248" s="12"/>
      <c r="H1248" s="13"/>
      <c r="I1248" s="14"/>
      <c r="J1248" s="15"/>
      <c r="K1248" s="15"/>
      <c r="L1248" s="16"/>
    </row>
    <row r="1249" customFormat="false" ht="12.8" hidden="false" customHeight="false" outlineLevel="0" collapsed="false">
      <c r="E1249" s="10"/>
      <c r="F1249" s="11"/>
      <c r="G1249" s="12"/>
      <c r="H1249" s="13"/>
      <c r="I1249" s="14"/>
      <c r="J1249" s="15"/>
      <c r="K1249" s="15"/>
      <c r="L1249" s="16"/>
    </row>
    <row r="1250" customFormat="false" ht="12.8" hidden="false" customHeight="false" outlineLevel="0" collapsed="false">
      <c r="E1250" s="10"/>
      <c r="F1250" s="11"/>
      <c r="G1250" s="12"/>
      <c r="H1250" s="13"/>
      <c r="I1250" s="14"/>
      <c r="J1250" s="15"/>
      <c r="K1250" s="15"/>
      <c r="L1250" s="16"/>
    </row>
    <row r="1251" customFormat="false" ht="12.8" hidden="false" customHeight="false" outlineLevel="0" collapsed="false">
      <c r="E1251" s="10"/>
      <c r="F1251" s="11"/>
      <c r="G1251" s="12"/>
      <c r="H1251" s="13"/>
      <c r="I1251" s="14"/>
      <c r="J1251" s="15"/>
      <c r="K1251" s="15"/>
      <c r="L1251" s="16"/>
    </row>
    <row r="1252" customFormat="false" ht="12.8" hidden="false" customHeight="false" outlineLevel="0" collapsed="false">
      <c r="E1252" s="10"/>
      <c r="F1252" s="11"/>
      <c r="G1252" s="12"/>
      <c r="H1252" s="13"/>
      <c r="I1252" s="14"/>
      <c r="J1252" s="15"/>
      <c r="K1252" s="15"/>
      <c r="L1252" s="16"/>
    </row>
    <row r="1253" customFormat="false" ht="12.8" hidden="false" customHeight="false" outlineLevel="0" collapsed="false">
      <c r="E1253" s="10"/>
      <c r="F1253" s="11"/>
      <c r="G1253" s="12"/>
      <c r="H1253" s="13"/>
      <c r="I1253" s="14"/>
      <c r="J1253" s="15"/>
      <c r="K1253" s="15"/>
      <c r="L1253" s="16"/>
    </row>
    <row r="1254" customFormat="false" ht="12.8" hidden="false" customHeight="false" outlineLevel="0" collapsed="false">
      <c r="E1254" s="10"/>
      <c r="F1254" s="11"/>
      <c r="G1254" s="12"/>
      <c r="H1254" s="13"/>
      <c r="I1254" s="14"/>
      <c r="J1254" s="15"/>
      <c r="K1254" s="15"/>
      <c r="L1254" s="16"/>
    </row>
    <row r="1255" customFormat="false" ht="12.8" hidden="false" customHeight="false" outlineLevel="0" collapsed="false">
      <c r="E1255" s="10"/>
      <c r="F1255" s="11"/>
      <c r="G1255" s="12"/>
      <c r="H1255" s="13"/>
      <c r="I1255" s="14"/>
      <c r="J1255" s="15"/>
      <c r="K1255" s="15"/>
      <c r="L1255" s="16"/>
    </row>
    <row r="1256" customFormat="false" ht="12.8" hidden="false" customHeight="false" outlineLevel="0" collapsed="false">
      <c r="E1256" s="10"/>
      <c r="F1256" s="11"/>
      <c r="G1256" s="12"/>
      <c r="H1256" s="13"/>
      <c r="I1256" s="14"/>
      <c r="J1256" s="15"/>
      <c r="K1256" s="15"/>
      <c r="L1256" s="16"/>
    </row>
    <row r="1257" customFormat="false" ht="12.8" hidden="false" customHeight="false" outlineLevel="0" collapsed="false">
      <c r="E1257" s="10"/>
      <c r="F1257" s="11"/>
      <c r="G1257" s="12"/>
      <c r="H1257" s="13"/>
      <c r="I1257" s="14"/>
      <c r="J1257" s="15"/>
      <c r="K1257" s="15"/>
      <c r="L1257" s="16"/>
    </row>
    <row r="1258" customFormat="false" ht="12.8" hidden="false" customHeight="false" outlineLevel="0" collapsed="false">
      <c r="E1258" s="10"/>
      <c r="F1258" s="11"/>
      <c r="G1258" s="12"/>
      <c r="H1258" s="13"/>
      <c r="I1258" s="14"/>
      <c r="J1258" s="15"/>
      <c r="K1258" s="15"/>
      <c r="L1258" s="16"/>
    </row>
    <row r="1259" customFormat="false" ht="12.8" hidden="false" customHeight="false" outlineLevel="0" collapsed="false">
      <c r="E1259" s="10"/>
      <c r="F1259" s="11"/>
      <c r="G1259" s="12"/>
      <c r="H1259" s="13"/>
      <c r="I1259" s="14"/>
      <c r="J1259" s="15"/>
      <c r="K1259" s="15"/>
      <c r="L1259" s="16"/>
    </row>
    <row r="1260" customFormat="false" ht="12.8" hidden="false" customHeight="false" outlineLevel="0" collapsed="false">
      <c r="E1260" s="10"/>
      <c r="F1260" s="11"/>
      <c r="G1260" s="12"/>
      <c r="H1260" s="13"/>
      <c r="I1260" s="14"/>
      <c r="J1260" s="15"/>
      <c r="K1260" s="15"/>
      <c r="L1260" s="16"/>
    </row>
    <row r="1261" customFormat="false" ht="12.8" hidden="false" customHeight="false" outlineLevel="0" collapsed="false">
      <c r="E1261" s="10"/>
      <c r="F1261" s="11"/>
      <c r="G1261" s="12"/>
      <c r="H1261" s="13"/>
      <c r="I1261" s="14"/>
      <c r="J1261" s="15"/>
      <c r="K1261" s="15"/>
      <c r="L1261" s="16"/>
    </row>
    <row r="1262" customFormat="false" ht="12.8" hidden="false" customHeight="false" outlineLevel="0" collapsed="false">
      <c r="E1262" s="10"/>
      <c r="F1262" s="11"/>
      <c r="G1262" s="12"/>
      <c r="H1262" s="13"/>
      <c r="I1262" s="14"/>
      <c r="J1262" s="15"/>
      <c r="K1262" s="15"/>
      <c r="L1262" s="16"/>
    </row>
    <row r="1263" customFormat="false" ht="12.8" hidden="false" customHeight="false" outlineLevel="0" collapsed="false">
      <c r="E1263" s="10"/>
      <c r="F1263" s="11"/>
      <c r="G1263" s="12"/>
      <c r="H1263" s="13"/>
      <c r="I1263" s="14"/>
      <c r="J1263" s="15"/>
      <c r="K1263" s="15"/>
      <c r="L1263" s="16"/>
    </row>
    <row r="1264" customFormat="false" ht="12.8" hidden="false" customHeight="false" outlineLevel="0" collapsed="false">
      <c r="E1264" s="10"/>
      <c r="F1264" s="11"/>
      <c r="G1264" s="12"/>
      <c r="H1264" s="13"/>
      <c r="I1264" s="14"/>
      <c r="J1264" s="15"/>
      <c r="K1264" s="15"/>
      <c r="L1264" s="16"/>
    </row>
    <row r="1265" customFormat="false" ht="12.8" hidden="false" customHeight="false" outlineLevel="0" collapsed="false">
      <c r="E1265" s="10"/>
      <c r="F1265" s="11"/>
      <c r="G1265" s="12"/>
      <c r="H1265" s="13"/>
      <c r="I1265" s="14"/>
      <c r="J1265" s="15"/>
      <c r="K1265" s="15"/>
      <c r="L1265" s="16"/>
    </row>
    <row r="1266" customFormat="false" ht="12.8" hidden="false" customHeight="false" outlineLevel="0" collapsed="false">
      <c r="E1266" s="10"/>
      <c r="F1266" s="11"/>
      <c r="G1266" s="12"/>
      <c r="H1266" s="13"/>
      <c r="I1266" s="14"/>
      <c r="J1266" s="15"/>
      <c r="K1266" s="15"/>
      <c r="L1266" s="16"/>
    </row>
    <row r="1267" customFormat="false" ht="12.8" hidden="false" customHeight="false" outlineLevel="0" collapsed="false">
      <c r="E1267" s="10"/>
      <c r="F1267" s="11"/>
      <c r="G1267" s="12"/>
      <c r="H1267" s="13"/>
      <c r="I1267" s="14"/>
      <c r="J1267" s="15"/>
      <c r="K1267" s="15"/>
      <c r="L1267" s="16"/>
    </row>
    <row r="1268" customFormat="false" ht="12.8" hidden="false" customHeight="false" outlineLevel="0" collapsed="false">
      <c r="E1268" s="10"/>
      <c r="F1268" s="11"/>
      <c r="G1268" s="12"/>
      <c r="H1268" s="13"/>
      <c r="I1268" s="14"/>
      <c r="J1268" s="15"/>
      <c r="K1268" s="15"/>
      <c r="L1268" s="16"/>
    </row>
    <row r="1269" customFormat="false" ht="12.8" hidden="false" customHeight="false" outlineLevel="0" collapsed="false">
      <c r="E1269" s="10"/>
      <c r="F1269" s="11"/>
      <c r="G1269" s="12"/>
      <c r="H1269" s="13"/>
      <c r="I1269" s="14"/>
      <c r="J1269" s="15"/>
      <c r="K1269" s="15"/>
      <c r="L1269" s="16"/>
    </row>
    <row r="1270" customFormat="false" ht="12.8" hidden="false" customHeight="false" outlineLevel="0" collapsed="false">
      <c r="E1270" s="10"/>
      <c r="F1270" s="11"/>
      <c r="G1270" s="12"/>
      <c r="H1270" s="13"/>
      <c r="I1270" s="14"/>
      <c r="J1270" s="15"/>
      <c r="K1270" s="15"/>
      <c r="L1270" s="16"/>
    </row>
    <row r="1271" customFormat="false" ht="12.8" hidden="false" customHeight="false" outlineLevel="0" collapsed="false">
      <c r="E1271" s="10"/>
      <c r="F1271" s="11"/>
      <c r="G1271" s="12"/>
      <c r="H1271" s="13"/>
      <c r="I1271" s="14"/>
      <c r="J1271" s="15"/>
      <c r="K1271" s="15"/>
      <c r="L1271" s="16"/>
    </row>
    <row r="1272" customFormat="false" ht="12.8" hidden="false" customHeight="false" outlineLevel="0" collapsed="false">
      <c r="E1272" s="10"/>
      <c r="F1272" s="11"/>
      <c r="G1272" s="12"/>
      <c r="H1272" s="13"/>
      <c r="I1272" s="14"/>
      <c r="J1272" s="15"/>
      <c r="K1272" s="15"/>
      <c r="L1272" s="16"/>
    </row>
    <row r="1273" customFormat="false" ht="12.8" hidden="false" customHeight="false" outlineLevel="0" collapsed="false">
      <c r="E1273" s="10"/>
      <c r="F1273" s="11"/>
      <c r="G1273" s="12"/>
      <c r="H1273" s="13"/>
      <c r="I1273" s="14"/>
      <c r="J1273" s="15"/>
      <c r="K1273" s="15"/>
      <c r="L1273" s="16"/>
    </row>
    <row r="1274" customFormat="false" ht="12.8" hidden="false" customHeight="false" outlineLevel="0" collapsed="false">
      <c r="E1274" s="10"/>
      <c r="F1274" s="11"/>
      <c r="G1274" s="12"/>
      <c r="H1274" s="13"/>
      <c r="I1274" s="14"/>
      <c r="J1274" s="15"/>
      <c r="K1274" s="15"/>
      <c r="L1274" s="16"/>
    </row>
    <row r="1275" customFormat="false" ht="12.8" hidden="false" customHeight="false" outlineLevel="0" collapsed="false">
      <c r="E1275" s="10"/>
      <c r="F1275" s="11"/>
      <c r="G1275" s="12"/>
      <c r="H1275" s="13"/>
      <c r="I1275" s="14"/>
      <c r="J1275" s="15"/>
      <c r="K1275" s="15"/>
      <c r="L1275" s="16"/>
    </row>
    <row r="1276" customFormat="false" ht="12.8" hidden="false" customHeight="false" outlineLevel="0" collapsed="false">
      <c r="E1276" s="10"/>
      <c r="F1276" s="11"/>
      <c r="G1276" s="12"/>
      <c r="H1276" s="13"/>
      <c r="I1276" s="14"/>
      <c r="J1276" s="15"/>
      <c r="K1276" s="15"/>
      <c r="L1276" s="16"/>
    </row>
    <row r="1277" customFormat="false" ht="12.8" hidden="false" customHeight="false" outlineLevel="0" collapsed="false">
      <c r="E1277" s="10"/>
      <c r="F1277" s="11"/>
      <c r="G1277" s="12"/>
      <c r="H1277" s="13"/>
      <c r="I1277" s="14"/>
      <c r="J1277" s="15"/>
      <c r="K1277" s="15"/>
      <c r="L1277" s="16"/>
    </row>
    <row r="1278" customFormat="false" ht="12.8" hidden="false" customHeight="false" outlineLevel="0" collapsed="false">
      <c r="E1278" s="10"/>
      <c r="F1278" s="11"/>
      <c r="G1278" s="12"/>
      <c r="H1278" s="13"/>
      <c r="I1278" s="14"/>
      <c r="J1278" s="15"/>
      <c r="K1278" s="15"/>
      <c r="L1278" s="16"/>
    </row>
    <row r="1279" customFormat="false" ht="12.8" hidden="false" customHeight="false" outlineLevel="0" collapsed="false">
      <c r="E1279" s="10"/>
      <c r="F1279" s="11"/>
      <c r="G1279" s="12"/>
      <c r="H1279" s="13"/>
      <c r="I1279" s="14"/>
      <c r="J1279" s="15"/>
      <c r="K1279" s="15"/>
      <c r="L1279" s="16"/>
    </row>
    <row r="1280" customFormat="false" ht="12.8" hidden="false" customHeight="false" outlineLevel="0" collapsed="false">
      <c r="E1280" s="10"/>
      <c r="F1280" s="11"/>
      <c r="G1280" s="12"/>
      <c r="H1280" s="13"/>
      <c r="I1280" s="14"/>
      <c r="J1280" s="15"/>
      <c r="K1280" s="15"/>
      <c r="L1280" s="16"/>
    </row>
    <row r="1281" customFormat="false" ht="12.8" hidden="false" customHeight="false" outlineLevel="0" collapsed="false">
      <c r="E1281" s="10"/>
      <c r="F1281" s="11"/>
      <c r="G1281" s="12"/>
      <c r="H1281" s="13"/>
      <c r="I1281" s="14"/>
      <c r="J1281" s="15"/>
      <c r="K1281" s="15"/>
      <c r="L1281" s="16"/>
    </row>
    <row r="1282" customFormat="false" ht="12.8" hidden="false" customHeight="false" outlineLevel="0" collapsed="false">
      <c r="E1282" s="10"/>
      <c r="F1282" s="11"/>
      <c r="G1282" s="12"/>
      <c r="H1282" s="13"/>
      <c r="I1282" s="14"/>
      <c r="J1282" s="15"/>
      <c r="K1282" s="15"/>
      <c r="L1282" s="16"/>
    </row>
    <row r="1283" customFormat="false" ht="12.8" hidden="false" customHeight="false" outlineLevel="0" collapsed="false">
      <c r="E1283" s="10"/>
      <c r="F1283" s="11"/>
      <c r="G1283" s="12"/>
      <c r="H1283" s="13"/>
      <c r="I1283" s="14"/>
      <c r="J1283" s="15"/>
      <c r="K1283" s="15"/>
      <c r="L1283" s="16"/>
    </row>
    <row r="1284" customFormat="false" ht="12.8" hidden="false" customHeight="false" outlineLevel="0" collapsed="false">
      <c r="E1284" s="10"/>
      <c r="F1284" s="11"/>
      <c r="G1284" s="12"/>
      <c r="H1284" s="13"/>
      <c r="I1284" s="14"/>
      <c r="J1284" s="15"/>
      <c r="K1284" s="15"/>
      <c r="L1284" s="16"/>
    </row>
    <row r="1285" customFormat="false" ht="12.8" hidden="false" customHeight="false" outlineLevel="0" collapsed="false">
      <c r="E1285" s="10"/>
      <c r="F1285" s="11"/>
      <c r="G1285" s="12"/>
      <c r="H1285" s="13"/>
      <c r="I1285" s="14"/>
      <c r="J1285" s="15"/>
      <c r="K1285" s="15"/>
      <c r="L1285" s="16"/>
    </row>
    <row r="1286" customFormat="false" ht="12.8" hidden="false" customHeight="false" outlineLevel="0" collapsed="false">
      <c r="E1286" s="10"/>
      <c r="F1286" s="11"/>
      <c r="G1286" s="12"/>
      <c r="H1286" s="13"/>
      <c r="I1286" s="14"/>
      <c r="J1286" s="15"/>
      <c r="K1286" s="15"/>
      <c r="L1286" s="16"/>
    </row>
    <row r="1287" customFormat="false" ht="12.8" hidden="false" customHeight="false" outlineLevel="0" collapsed="false">
      <c r="E1287" s="10"/>
      <c r="F1287" s="11"/>
      <c r="G1287" s="12"/>
      <c r="H1287" s="13"/>
      <c r="I1287" s="14"/>
      <c r="J1287" s="15"/>
      <c r="K1287" s="15"/>
      <c r="L1287" s="16"/>
    </row>
    <row r="1288" customFormat="false" ht="12.8" hidden="false" customHeight="false" outlineLevel="0" collapsed="false">
      <c r="E1288" s="10"/>
      <c r="F1288" s="11"/>
      <c r="G1288" s="12"/>
      <c r="H1288" s="13"/>
      <c r="I1288" s="14"/>
      <c r="J1288" s="15"/>
      <c r="K1288" s="15"/>
      <c r="L1288" s="16"/>
    </row>
    <row r="1289" customFormat="false" ht="12.8" hidden="false" customHeight="false" outlineLevel="0" collapsed="false">
      <c r="E1289" s="10"/>
      <c r="F1289" s="11"/>
      <c r="G1289" s="12"/>
      <c r="H1289" s="13"/>
      <c r="I1289" s="14"/>
      <c r="J1289" s="15"/>
      <c r="K1289" s="15"/>
      <c r="L1289" s="16"/>
    </row>
    <row r="1290" customFormat="false" ht="12.8" hidden="false" customHeight="false" outlineLevel="0" collapsed="false">
      <c r="E1290" s="10"/>
      <c r="F1290" s="11"/>
      <c r="G1290" s="12"/>
      <c r="H1290" s="13"/>
      <c r="I1290" s="14"/>
      <c r="J1290" s="15"/>
      <c r="K1290" s="15"/>
      <c r="L1290" s="16"/>
    </row>
    <row r="1291" customFormat="false" ht="12.8" hidden="false" customHeight="false" outlineLevel="0" collapsed="false">
      <c r="E1291" s="10"/>
      <c r="F1291" s="11"/>
      <c r="G1291" s="12"/>
      <c r="H1291" s="13"/>
      <c r="I1291" s="14"/>
      <c r="J1291" s="15"/>
      <c r="K1291" s="15"/>
      <c r="L1291" s="16"/>
    </row>
    <row r="1292" customFormat="false" ht="12.8" hidden="false" customHeight="false" outlineLevel="0" collapsed="false">
      <c r="E1292" s="10"/>
      <c r="F1292" s="11"/>
      <c r="G1292" s="12"/>
      <c r="H1292" s="13"/>
      <c r="I1292" s="14"/>
      <c r="J1292" s="15"/>
      <c r="K1292" s="15"/>
      <c r="L1292" s="16"/>
    </row>
    <row r="1293" customFormat="false" ht="12.8" hidden="false" customHeight="false" outlineLevel="0" collapsed="false">
      <c r="E1293" s="10"/>
      <c r="F1293" s="11"/>
      <c r="G1293" s="12"/>
      <c r="H1293" s="13"/>
      <c r="I1293" s="14"/>
      <c r="J1293" s="15"/>
      <c r="K1293" s="15"/>
      <c r="L1293" s="16"/>
    </row>
    <row r="1294" customFormat="false" ht="12.8" hidden="false" customHeight="false" outlineLevel="0" collapsed="false">
      <c r="E1294" s="10"/>
      <c r="F1294" s="11"/>
      <c r="G1294" s="12"/>
      <c r="H1294" s="13"/>
      <c r="I1294" s="14"/>
      <c r="J1294" s="15"/>
      <c r="K1294" s="15"/>
      <c r="L1294" s="16"/>
    </row>
    <row r="1295" customFormat="false" ht="12.8" hidden="false" customHeight="false" outlineLevel="0" collapsed="false">
      <c r="E1295" s="10"/>
      <c r="F1295" s="11"/>
      <c r="G1295" s="12"/>
      <c r="H1295" s="13"/>
      <c r="I1295" s="14"/>
      <c r="J1295" s="15"/>
      <c r="K1295" s="15"/>
      <c r="L1295" s="16"/>
    </row>
    <row r="1296" customFormat="false" ht="12.8" hidden="false" customHeight="false" outlineLevel="0" collapsed="false">
      <c r="E1296" s="10"/>
      <c r="F1296" s="11"/>
      <c r="G1296" s="12"/>
      <c r="H1296" s="13"/>
      <c r="I1296" s="14"/>
      <c r="J1296" s="15"/>
      <c r="K1296" s="15"/>
      <c r="L1296" s="16"/>
    </row>
    <row r="1297" customFormat="false" ht="12.8" hidden="false" customHeight="false" outlineLevel="0" collapsed="false">
      <c r="E1297" s="10"/>
      <c r="F1297" s="11"/>
      <c r="G1297" s="12"/>
      <c r="H1297" s="13"/>
      <c r="I1297" s="14"/>
      <c r="J1297" s="15"/>
      <c r="K1297" s="15"/>
      <c r="L1297" s="16"/>
    </row>
    <row r="1298" customFormat="false" ht="12.8" hidden="false" customHeight="false" outlineLevel="0" collapsed="false">
      <c r="E1298" s="10"/>
      <c r="F1298" s="11"/>
      <c r="G1298" s="12"/>
      <c r="H1298" s="13"/>
      <c r="I1298" s="14"/>
      <c r="J1298" s="15"/>
      <c r="K1298" s="15"/>
      <c r="L1298" s="16"/>
    </row>
    <row r="1299" customFormat="false" ht="12.8" hidden="false" customHeight="false" outlineLevel="0" collapsed="false">
      <c r="E1299" s="10"/>
      <c r="F1299" s="11"/>
      <c r="G1299" s="12"/>
      <c r="H1299" s="13"/>
      <c r="I1299" s="14"/>
      <c r="J1299" s="15"/>
      <c r="K1299" s="15"/>
      <c r="L1299" s="16"/>
    </row>
    <row r="1300" customFormat="false" ht="12.8" hidden="false" customHeight="false" outlineLevel="0" collapsed="false">
      <c r="E1300" s="10"/>
      <c r="F1300" s="11"/>
      <c r="G1300" s="12"/>
      <c r="H1300" s="13"/>
      <c r="I1300" s="14"/>
      <c r="J1300" s="15"/>
      <c r="K1300" s="15"/>
      <c r="L1300" s="16"/>
    </row>
    <row r="1301" customFormat="false" ht="12.8" hidden="false" customHeight="false" outlineLevel="0" collapsed="false">
      <c r="E1301" s="10"/>
      <c r="F1301" s="11"/>
      <c r="G1301" s="12"/>
      <c r="H1301" s="13"/>
      <c r="I1301" s="14"/>
      <c r="J1301" s="15"/>
      <c r="K1301" s="15"/>
      <c r="L1301" s="16"/>
    </row>
    <row r="1302" customFormat="false" ht="12.8" hidden="false" customHeight="false" outlineLevel="0" collapsed="false">
      <c r="E1302" s="10"/>
      <c r="F1302" s="11"/>
      <c r="G1302" s="12"/>
      <c r="H1302" s="13"/>
      <c r="I1302" s="14"/>
      <c r="J1302" s="15"/>
      <c r="K1302" s="15"/>
      <c r="L1302" s="16"/>
    </row>
    <row r="1303" customFormat="false" ht="12.8" hidden="false" customHeight="false" outlineLevel="0" collapsed="false">
      <c r="E1303" s="10"/>
      <c r="F1303" s="11"/>
      <c r="G1303" s="12"/>
      <c r="H1303" s="13"/>
      <c r="I1303" s="14"/>
      <c r="J1303" s="15"/>
      <c r="K1303" s="15"/>
      <c r="L1303" s="16"/>
    </row>
    <row r="1304" customFormat="false" ht="12.8" hidden="false" customHeight="false" outlineLevel="0" collapsed="false">
      <c r="E1304" s="10"/>
      <c r="F1304" s="11"/>
      <c r="G1304" s="12"/>
      <c r="H1304" s="13"/>
      <c r="I1304" s="14"/>
      <c r="J1304" s="15"/>
      <c r="K1304" s="15"/>
      <c r="L1304" s="16"/>
    </row>
    <row r="1305" customFormat="false" ht="12.8" hidden="false" customHeight="false" outlineLevel="0" collapsed="false">
      <c r="E1305" s="17"/>
      <c r="F1305" s="11"/>
      <c r="G1305" s="12"/>
      <c r="H1305" s="13"/>
      <c r="I1305" s="14"/>
      <c r="J1305" s="15"/>
      <c r="K1305" s="15"/>
      <c r="L1305" s="16"/>
    </row>
    <row r="1306" customFormat="false" ht="12.8" hidden="false" customHeight="false" outlineLevel="0" collapsed="false">
      <c r="E1306" s="10"/>
      <c r="F1306" s="11"/>
      <c r="G1306" s="12"/>
      <c r="H1306" s="13"/>
      <c r="I1306" s="14"/>
      <c r="J1306" s="15"/>
      <c r="K1306" s="15"/>
      <c r="L1306" s="16"/>
    </row>
    <row r="1307" customFormat="false" ht="12.8" hidden="false" customHeight="false" outlineLevel="0" collapsed="false">
      <c r="E1307" s="10"/>
      <c r="F1307" s="11"/>
      <c r="G1307" s="12"/>
      <c r="H1307" s="13"/>
      <c r="I1307" s="14"/>
      <c r="J1307" s="15"/>
      <c r="K1307" s="15"/>
      <c r="L1307" s="16"/>
    </row>
    <row r="1308" customFormat="false" ht="12.8" hidden="false" customHeight="false" outlineLevel="0" collapsed="false">
      <c r="E1308" s="10"/>
      <c r="F1308" s="11"/>
      <c r="G1308" s="12"/>
      <c r="H1308" s="13"/>
      <c r="I1308" s="14"/>
      <c r="J1308" s="15"/>
      <c r="K1308" s="15"/>
      <c r="L1308" s="16"/>
    </row>
    <row r="1309" customFormat="false" ht="12.8" hidden="false" customHeight="false" outlineLevel="0" collapsed="false">
      <c r="E1309" s="10"/>
      <c r="F1309" s="11"/>
      <c r="G1309" s="12"/>
      <c r="H1309" s="13"/>
      <c r="I1309" s="14"/>
      <c r="J1309" s="15"/>
      <c r="K1309" s="15"/>
      <c r="L1309" s="16"/>
    </row>
    <row r="1310" customFormat="false" ht="12.8" hidden="false" customHeight="false" outlineLevel="0" collapsed="false">
      <c r="E1310" s="10"/>
      <c r="F1310" s="11"/>
      <c r="G1310" s="12"/>
      <c r="H1310" s="13"/>
      <c r="I1310" s="14"/>
      <c r="J1310" s="15"/>
      <c r="K1310" s="15"/>
      <c r="L1310" s="16"/>
    </row>
    <row r="1311" customFormat="false" ht="12.8" hidden="false" customHeight="false" outlineLevel="0" collapsed="false">
      <c r="E1311" s="10"/>
      <c r="F1311" s="11"/>
      <c r="G1311" s="12"/>
      <c r="H1311" s="13"/>
      <c r="I1311" s="14"/>
      <c r="J1311" s="15"/>
      <c r="K1311" s="15"/>
      <c r="L1311" s="16"/>
    </row>
    <row r="1312" customFormat="false" ht="12.8" hidden="false" customHeight="false" outlineLevel="0" collapsed="false">
      <c r="E1312" s="10"/>
      <c r="F1312" s="11"/>
      <c r="G1312" s="12"/>
      <c r="H1312" s="13"/>
      <c r="I1312" s="14"/>
      <c r="J1312" s="15"/>
      <c r="K1312" s="15"/>
      <c r="L1312" s="16"/>
    </row>
    <row r="1313" customFormat="false" ht="12.8" hidden="false" customHeight="false" outlineLevel="0" collapsed="false">
      <c r="E1313" s="10"/>
      <c r="F1313" s="11"/>
      <c r="G1313" s="12"/>
      <c r="H1313" s="13"/>
      <c r="I1313" s="14"/>
      <c r="J1313" s="15"/>
      <c r="K1313" s="15"/>
      <c r="L1313" s="16"/>
    </row>
    <row r="1314" customFormat="false" ht="12.8" hidden="false" customHeight="false" outlineLevel="0" collapsed="false">
      <c r="E1314" s="10"/>
      <c r="F1314" s="11"/>
      <c r="G1314" s="12"/>
      <c r="H1314" s="13"/>
      <c r="I1314" s="14"/>
      <c r="J1314" s="15"/>
      <c r="K1314" s="15"/>
      <c r="L1314" s="16"/>
    </row>
    <row r="1315" customFormat="false" ht="12.8" hidden="false" customHeight="false" outlineLevel="0" collapsed="false">
      <c r="E1315" s="10"/>
      <c r="F1315" s="11"/>
      <c r="G1315" s="12"/>
      <c r="H1315" s="13"/>
      <c r="I1315" s="14"/>
      <c r="J1315" s="15"/>
      <c r="K1315" s="15"/>
      <c r="L1315" s="16"/>
    </row>
    <row r="1316" customFormat="false" ht="12.8" hidden="false" customHeight="false" outlineLevel="0" collapsed="false">
      <c r="E1316" s="10"/>
      <c r="F1316" s="11"/>
      <c r="G1316" s="12"/>
      <c r="H1316" s="13"/>
      <c r="I1316" s="14"/>
      <c r="J1316" s="15"/>
      <c r="K1316" s="15"/>
      <c r="L1316" s="16"/>
    </row>
    <row r="1317" customFormat="false" ht="12.8" hidden="false" customHeight="false" outlineLevel="0" collapsed="false">
      <c r="E1317" s="10"/>
      <c r="F1317" s="11"/>
      <c r="G1317" s="12"/>
      <c r="H1317" s="13"/>
      <c r="I1317" s="14"/>
      <c r="J1317" s="15"/>
      <c r="K1317" s="15"/>
      <c r="L1317" s="16"/>
    </row>
    <row r="1318" customFormat="false" ht="12.8" hidden="false" customHeight="false" outlineLevel="0" collapsed="false">
      <c r="E1318" s="10"/>
      <c r="F1318" s="11"/>
      <c r="G1318" s="12"/>
      <c r="H1318" s="13"/>
      <c r="I1318" s="14"/>
      <c r="J1318" s="15"/>
      <c r="K1318" s="15"/>
      <c r="L1318" s="16"/>
    </row>
    <row r="1319" customFormat="false" ht="12.8" hidden="false" customHeight="false" outlineLevel="0" collapsed="false">
      <c r="E1319" s="10"/>
      <c r="F1319" s="11"/>
      <c r="G1319" s="12"/>
      <c r="H1319" s="13"/>
      <c r="I1319" s="14"/>
      <c r="J1319" s="15"/>
      <c r="K1319" s="15"/>
      <c r="L1319" s="16"/>
    </row>
    <row r="1320" customFormat="false" ht="12.8" hidden="false" customHeight="false" outlineLevel="0" collapsed="false">
      <c r="E1320" s="10"/>
      <c r="F1320" s="11"/>
      <c r="G1320" s="12"/>
      <c r="H1320" s="13"/>
      <c r="I1320" s="14"/>
      <c r="J1320" s="15"/>
      <c r="K1320" s="15"/>
      <c r="L1320" s="16"/>
    </row>
    <row r="1321" customFormat="false" ht="12.8" hidden="false" customHeight="false" outlineLevel="0" collapsed="false">
      <c r="E1321" s="10"/>
      <c r="F1321" s="11"/>
      <c r="G1321" s="12"/>
      <c r="H1321" s="13"/>
      <c r="I1321" s="14"/>
      <c r="J1321" s="15"/>
      <c r="K1321" s="15"/>
      <c r="L1321" s="16"/>
    </row>
    <row r="1322" customFormat="false" ht="12.8" hidden="false" customHeight="false" outlineLevel="0" collapsed="false">
      <c r="E1322" s="10"/>
      <c r="F1322" s="11"/>
      <c r="G1322" s="12"/>
      <c r="H1322" s="13"/>
      <c r="I1322" s="14"/>
      <c r="J1322" s="15"/>
      <c r="K1322" s="15"/>
      <c r="L1322" s="16"/>
    </row>
    <row r="1323" customFormat="false" ht="12.8" hidden="false" customHeight="false" outlineLevel="0" collapsed="false">
      <c r="E1323" s="10"/>
      <c r="F1323" s="11"/>
      <c r="G1323" s="12"/>
      <c r="H1323" s="13"/>
      <c r="I1323" s="14"/>
      <c r="J1323" s="15"/>
      <c r="K1323" s="15"/>
      <c r="L1323" s="16"/>
    </row>
    <row r="1324" customFormat="false" ht="12.8" hidden="false" customHeight="false" outlineLevel="0" collapsed="false">
      <c r="E1324" s="10"/>
      <c r="F1324" s="11"/>
      <c r="G1324" s="12"/>
      <c r="H1324" s="13"/>
      <c r="I1324" s="14"/>
      <c r="J1324" s="15"/>
      <c r="K1324" s="15"/>
      <c r="L1324" s="16"/>
    </row>
    <row r="1325" customFormat="false" ht="12.8" hidden="false" customHeight="false" outlineLevel="0" collapsed="false">
      <c r="E1325" s="10"/>
      <c r="F1325" s="11"/>
      <c r="G1325" s="12"/>
      <c r="H1325" s="13"/>
      <c r="I1325" s="14"/>
      <c r="J1325" s="15"/>
      <c r="K1325" s="15"/>
      <c r="L1325" s="16"/>
    </row>
    <row r="1326" customFormat="false" ht="12.8" hidden="false" customHeight="false" outlineLevel="0" collapsed="false">
      <c r="E1326" s="10"/>
      <c r="F1326" s="11"/>
      <c r="G1326" s="12"/>
      <c r="H1326" s="13"/>
      <c r="I1326" s="14"/>
      <c r="J1326" s="15"/>
      <c r="K1326" s="15"/>
      <c r="L1326" s="16"/>
    </row>
    <row r="1327" customFormat="false" ht="12.8" hidden="false" customHeight="false" outlineLevel="0" collapsed="false">
      <c r="E1327" s="10"/>
      <c r="F1327" s="11"/>
      <c r="G1327" s="12"/>
      <c r="H1327" s="13"/>
      <c r="I1327" s="14"/>
      <c r="J1327" s="15"/>
      <c r="K1327" s="15"/>
      <c r="L1327" s="16"/>
    </row>
    <row r="1328" customFormat="false" ht="12.8" hidden="false" customHeight="false" outlineLevel="0" collapsed="false">
      <c r="E1328" s="10"/>
      <c r="F1328" s="11"/>
      <c r="G1328" s="12"/>
      <c r="H1328" s="13"/>
      <c r="I1328" s="14"/>
      <c r="J1328" s="15"/>
      <c r="K1328" s="15"/>
      <c r="L1328" s="16"/>
    </row>
    <row r="1329" customFormat="false" ht="12.8" hidden="false" customHeight="false" outlineLevel="0" collapsed="false">
      <c r="E1329" s="10"/>
      <c r="F1329" s="11"/>
      <c r="G1329" s="12"/>
      <c r="H1329" s="13"/>
      <c r="I1329" s="14"/>
      <c r="J1329" s="15"/>
      <c r="K1329" s="15"/>
      <c r="L1329" s="16"/>
    </row>
    <row r="1330" customFormat="false" ht="12.8" hidden="false" customHeight="false" outlineLevel="0" collapsed="false">
      <c r="E1330" s="10"/>
      <c r="F1330" s="11"/>
      <c r="G1330" s="12"/>
      <c r="H1330" s="13"/>
      <c r="I1330" s="14"/>
      <c r="J1330" s="15"/>
      <c r="K1330" s="15"/>
      <c r="L1330" s="16"/>
    </row>
    <row r="1331" customFormat="false" ht="12.8" hidden="false" customHeight="false" outlineLevel="0" collapsed="false">
      <c r="E1331" s="10"/>
      <c r="F1331" s="11"/>
      <c r="G1331" s="12"/>
      <c r="H1331" s="13"/>
      <c r="I1331" s="14"/>
      <c r="J1331" s="15"/>
      <c r="K1331" s="15"/>
      <c r="L1331" s="16"/>
    </row>
    <row r="1332" customFormat="false" ht="12.8" hidden="false" customHeight="false" outlineLevel="0" collapsed="false">
      <c r="E1332" s="10"/>
      <c r="F1332" s="11"/>
      <c r="G1332" s="12"/>
      <c r="H1332" s="13"/>
      <c r="I1332" s="14"/>
      <c r="J1332" s="15"/>
      <c r="K1332" s="15"/>
      <c r="L1332" s="16"/>
    </row>
    <row r="1333" customFormat="false" ht="12.8" hidden="false" customHeight="false" outlineLevel="0" collapsed="false">
      <c r="E1333" s="10"/>
      <c r="F1333" s="11"/>
      <c r="G1333" s="12"/>
      <c r="H1333" s="13"/>
      <c r="I1333" s="14"/>
      <c r="J1333" s="15"/>
      <c r="K1333" s="15"/>
      <c r="L1333" s="16"/>
    </row>
    <row r="1334" customFormat="false" ht="12.8" hidden="false" customHeight="false" outlineLevel="0" collapsed="false">
      <c r="E1334" s="10"/>
      <c r="F1334" s="11"/>
      <c r="G1334" s="12"/>
      <c r="H1334" s="13"/>
      <c r="I1334" s="14"/>
      <c r="J1334" s="15"/>
      <c r="K1334" s="15"/>
      <c r="L1334" s="16"/>
    </row>
    <row r="1335" customFormat="false" ht="12.8" hidden="false" customHeight="false" outlineLevel="0" collapsed="false">
      <c r="E1335" s="10"/>
      <c r="F1335" s="11"/>
      <c r="G1335" s="12"/>
      <c r="H1335" s="13"/>
      <c r="I1335" s="14"/>
      <c r="J1335" s="15"/>
      <c r="K1335" s="15"/>
      <c r="L1335" s="16"/>
    </row>
    <row r="1336" customFormat="false" ht="12.8" hidden="false" customHeight="false" outlineLevel="0" collapsed="false">
      <c r="E1336" s="10"/>
      <c r="F1336" s="11"/>
      <c r="G1336" s="12"/>
      <c r="H1336" s="13"/>
      <c r="I1336" s="14"/>
      <c r="J1336" s="15"/>
      <c r="K1336" s="15"/>
      <c r="L1336" s="16"/>
    </row>
    <row r="1337" customFormat="false" ht="12.8" hidden="false" customHeight="false" outlineLevel="0" collapsed="false">
      <c r="E1337" s="10"/>
      <c r="F1337" s="11"/>
      <c r="G1337" s="12"/>
      <c r="H1337" s="13"/>
      <c r="I1337" s="14"/>
      <c r="J1337" s="15"/>
      <c r="K1337" s="15"/>
      <c r="L1337" s="16"/>
    </row>
    <row r="1338" customFormat="false" ht="12.8" hidden="false" customHeight="false" outlineLevel="0" collapsed="false">
      <c r="E1338" s="10"/>
      <c r="F1338" s="11"/>
      <c r="G1338" s="12"/>
      <c r="H1338" s="13"/>
      <c r="I1338" s="14"/>
      <c r="J1338" s="15"/>
      <c r="K1338" s="15"/>
      <c r="L1338" s="16"/>
    </row>
    <row r="1339" customFormat="false" ht="12.8" hidden="false" customHeight="false" outlineLevel="0" collapsed="false">
      <c r="E1339" s="10"/>
      <c r="F1339" s="11"/>
      <c r="G1339" s="12"/>
      <c r="H1339" s="13"/>
      <c r="I1339" s="14"/>
      <c r="J1339" s="15"/>
      <c r="K1339" s="15"/>
      <c r="L1339" s="16"/>
    </row>
    <row r="1340" customFormat="false" ht="12.8" hidden="false" customHeight="false" outlineLevel="0" collapsed="false">
      <c r="E1340" s="10"/>
      <c r="F1340" s="11"/>
      <c r="G1340" s="12"/>
      <c r="H1340" s="13"/>
      <c r="I1340" s="14"/>
      <c r="J1340" s="15"/>
      <c r="K1340" s="15"/>
      <c r="L1340" s="16"/>
    </row>
    <row r="1341" customFormat="false" ht="12.8" hidden="false" customHeight="false" outlineLevel="0" collapsed="false">
      <c r="E1341" s="10"/>
      <c r="F1341" s="11"/>
      <c r="G1341" s="12"/>
      <c r="H1341" s="13"/>
      <c r="I1341" s="14"/>
      <c r="J1341" s="15"/>
      <c r="K1341" s="15"/>
      <c r="L1341" s="16"/>
    </row>
    <row r="1342" customFormat="false" ht="12.8" hidden="false" customHeight="false" outlineLevel="0" collapsed="false">
      <c r="E1342" s="10"/>
      <c r="F1342" s="11"/>
      <c r="G1342" s="12"/>
      <c r="H1342" s="13"/>
      <c r="I1342" s="14"/>
      <c r="J1342" s="15"/>
      <c r="K1342" s="15"/>
      <c r="L1342" s="16"/>
    </row>
    <row r="1343" customFormat="false" ht="12.8" hidden="false" customHeight="false" outlineLevel="0" collapsed="false">
      <c r="E1343" s="10"/>
      <c r="F1343" s="11"/>
      <c r="G1343" s="12"/>
      <c r="H1343" s="13"/>
      <c r="I1343" s="14"/>
      <c r="J1343" s="15"/>
      <c r="K1343" s="15"/>
      <c r="L1343" s="16"/>
    </row>
    <row r="1344" customFormat="false" ht="12.8" hidden="false" customHeight="false" outlineLevel="0" collapsed="false">
      <c r="E1344" s="10"/>
      <c r="F1344" s="11"/>
      <c r="G1344" s="12"/>
      <c r="H1344" s="13"/>
      <c r="I1344" s="14"/>
      <c r="J1344" s="15"/>
      <c r="K1344" s="15"/>
      <c r="L1344" s="16"/>
    </row>
    <row r="1345" customFormat="false" ht="12.8" hidden="false" customHeight="false" outlineLevel="0" collapsed="false">
      <c r="E1345" s="10"/>
      <c r="F1345" s="11"/>
      <c r="G1345" s="12"/>
      <c r="H1345" s="13"/>
      <c r="I1345" s="14"/>
      <c r="J1345" s="15"/>
      <c r="K1345" s="15"/>
      <c r="L1345" s="16"/>
    </row>
    <row r="1346" customFormat="false" ht="12.8" hidden="false" customHeight="false" outlineLevel="0" collapsed="false">
      <c r="E1346" s="10"/>
      <c r="F1346" s="11"/>
      <c r="G1346" s="12"/>
      <c r="H1346" s="13"/>
      <c r="I1346" s="14"/>
      <c r="J1346" s="15"/>
      <c r="K1346" s="15"/>
      <c r="L1346" s="16"/>
    </row>
    <row r="1347" customFormat="false" ht="12.8" hidden="false" customHeight="false" outlineLevel="0" collapsed="false">
      <c r="E1347" s="10"/>
      <c r="F1347" s="11"/>
      <c r="G1347" s="12"/>
      <c r="H1347" s="13"/>
      <c r="I1347" s="14"/>
      <c r="J1347" s="15"/>
      <c r="K1347" s="15"/>
      <c r="L1347" s="16"/>
    </row>
    <row r="1348" customFormat="false" ht="12.8" hidden="false" customHeight="false" outlineLevel="0" collapsed="false">
      <c r="E1348" s="10"/>
      <c r="F1348" s="11"/>
      <c r="G1348" s="12"/>
      <c r="H1348" s="13"/>
      <c r="I1348" s="14"/>
      <c r="J1348" s="15"/>
      <c r="K1348" s="15"/>
      <c r="L1348" s="16"/>
    </row>
    <row r="1349" customFormat="false" ht="12.8" hidden="false" customHeight="false" outlineLevel="0" collapsed="false">
      <c r="E1349" s="10"/>
      <c r="F1349" s="11"/>
      <c r="G1349" s="12"/>
      <c r="H1349" s="13"/>
      <c r="I1349" s="14"/>
      <c r="J1349" s="15"/>
      <c r="K1349" s="15"/>
      <c r="L1349" s="16"/>
    </row>
    <row r="1350" customFormat="false" ht="12.8" hidden="false" customHeight="false" outlineLevel="0" collapsed="false">
      <c r="E1350" s="10"/>
      <c r="F1350" s="11"/>
      <c r="G1350" s="12"/>
      <c r="H1350" s="13"/>
      <c r="I1350" s="14"/>
      <c r="J1350" s="15"/>
      <c r="K1350" s="15"/>
      <c r="L1350" s="16"/>
    </row>
    <row r="1351" customFormat="false" ht="12.8" hidden="false" customHeight="false" outlineLevel="0" collapsed="false">
      <c r="E1351" s="10"/>
      <c r="F1351" s="11"/>
      <c r="G1351" s="12"/>
      <c r="H1351" s="13"/>
      <c r="I1351" s="14"/>
      <c r="J1351" s="15"/>
      <c r="K1351" s="15"/>
      <c r="L1351" s="16"/>
    </row>
    <row r="1352" customFormat="false" ht="12.8" hidden="false" customHeight="false" outlineLevel="0" collapsed="false">
      <c r="E1352" s="10"/>
      <c r="F1352" s="11"/>
      <c r="G1352" s="12"/>
      <c r="H1352" s="13"/>
      <c r="I1352" s="14"/>
      <c r="J1352" s="15"/>
      <c r="K1352" s="15"/>
      <c r="L1352" s="16"/>
    </row>
    <row r="1353" customFormat="false" ht="12.8" hidden="false" customHeight="false" outlineLevel="0" collapsed="false">
      <c r="E1353" s="10"/>
      <c r="F1353" s="11"/>
      <c r="G1353" s="12"/>
      <c r="H1353" s="13"/>
      <c r="I1353" s="14"/>
      <c r="J1353" s="15"/>
      <c r="K1353" s="15"/>
      <c r="L1353" s="16"/>
    </row>
    <row r="1354" customFormat="false" ht="12.8" hidden="false" customHeight="false" outlineLevel="0" collapsed="false">
      <c r="E1354" s="10"/>
      <c r="F1354" s="11"/>
      <c r="G1354" s="12"/>
      <c r="H1354" s="13"/>
      <c r="I1354" s="14"/>
      <c r="J1354" s="15"/>
      <c r="K1354" s="15"/>
      <c r="L1354" s="16"/>
    </row>
    <row r="1355" customFormat="false" ht="12.8" hidden="false" customHeight="false" outlineLevel="0" collapsed="false">
      <c r="E1355" s="10"/>
      <c r="F1355" s="11"/>
      <c r="G1355" s="12"/>
      <c r="H1355" s="13"/>
      <c r="I1355" s="14"/>
      <c r="J1355" s="15"/>
      <c r="K1355" s="15"/>
      <c r="L1355" s="16"/>
    </row>
    <row r="1356" customFormat="false" ht="12.8" hidden="false" customHeight="false" outlineLevel="0" collapsed="false">
      <c r="E1356" s="10"/>
      <c r="F1356" s="11"/>
      <c r="G1356" s="12"/>
      <c r="H1356" s="13"/>
      <c r="I1356" s="14"/>
      <c r="J1356" s="15"/>
      <c r="K1356" s="15"/>
      <c r="L1356" s="16"/>
    </row>
    <row r="1357" customFormat="false" ht="12.8" hidden="false" customHeight="false" outlineLevel="0" collapsed="false">
      <c r="E1357" s="10"/>
      <c r="F1357" s="11"/>
      <c r="G1357" s="12"/>
      <c r="H1357" s="13"/>
      <c r="I1357" s="14"/>
      <c r="J1357" s="15"/>
      <c r="K1357" s="15"/>
      <c r="L1357" s="16"/>
    </row>
    <row r="1358" customFormat="false" ht="12.8" hidden="false" customHeight="false" outlineLevel="0" collapsed="false">
      <c r="E1358" s="10"/>
      <c r="F1358" s="11"/>
      <c r="G1358" s="12"/>
      <c r="H1358" s="13"/>
      <c r="I1358" s="14"/>
      <c r="J1358" s="15"/>
      <c r="K1358" s="15"/>
      <c r="L1358" s="16"/>
    </row>
    <row r="1359" customFormat="false" ht="12.8" hidden="false" customHeight="false" outlineLevel="0" collapsed="false">
      <c r="E1359" s="10"/>
      <c r="F1359" s="11"/>
      <c r="G1359" s="12"/>
      <c r="H1359" s="13"/>
      <c r="I1359" s="14"/>
      <c r="J1359" s="15"/>
      <c r="K1359" s="15"/>
      <c r="L1359" s="16"/>
    </row>
    <row r="1360" customFormat="false" ht="12.8" hidden="false" customHeight="false" outlineLevel="0" collapsed="false">
      <c r="E1360" s="10"/>
      <c r="F1360" s="11"/>
      <c r="G1360" s="12"/>
      <c r="H1360" s="13"/>
      <c r="I1360" s="14"/>
      <c r="J1360" s="15"/>
      <c r="K1360" s="15"/>
      <c r="L1360" s="16"/>
    </row>
    <row r="1361" customFormat="false" ht="12.8" hidden="false" customHeight="false" outlineLevel="0" collapsed="false">
      <c r="E1361" s="10"/>
      <c r="F1361" s="11"/>
      <c r="G1361" s="12"/>
      <c r="H1361" s="13"/>
      <c r="I1361" s="14"/>
      <c r="J1361" s="15"/>
      <c r="K1361" s="15"/>
      <c r="L1361" s="16"/>
    </row>
    <row r="1362" customFormat="false" ht="12.8" hidden="false" customHeight="false" outlineLevel="0" collapsed="false">
      <c r="E1362" s="10"/>
      <c r="F1362" s="11"/>
      <c r="G1362" s="12"/>
      <c r="H1362" s="13"/>
      <c r="I1362" s="14"/>
      <c r="J1362" s="15"/>
      <c r="K1362" s="15"/>
      <c r="L1362" s="16"/>
    </row>
    <row r="1363" customFormat="false" ht="12.8" hidden="false" customHeight="false" outlineLevel="0" collapsed="false">
      <c r="E1363" s="10"/>
      <c r="F1363" s="11"/>
      <c r="G1363" s="12"/>
      <c r="H1363" s="13"/>
      <c r="I1363" s="14"/>
      <c r="J1363" s="15"/>
      <c r="K1363" s="15"/>
      <c r="L1363" s="16"/>
    </row>
    <row r="1364" customFormat="false" ht="12.8" hidden="false" customHeight="false" outlineLevel="0" collapsed="false">
      <c r="E1364" s="10"/>
      <c r="F1364" s="11"/>
      <c r="G1364" s="12"/>
      <c r="H1364" s="13"/>
      <c r="I1364" s="14"/>
      <c r="J1364" s="15"/>
      <c r="K1364" s="15"/>
      <c r="L1364" s="16"/>
    </row>
    <row r="1365" customFormat="false" ht="12.8" hidden="false" customHeight="false" outlineLevel="0" collapsed="false">
      <c r="E1365" s="10"/>
      <c r="F1365" s="11"/>
      <c r="G1365" s="12"/>
      <c r="H1365" s="13"/>
      <c r="I1365" s="14"/>
      <c r="J1365" s="15"/>
      <c r="K1365" s="15"/>
      <c r="L1365" s="16"/>
    </row>
    <row r="1366" customFormat="false" ht="12.8" hidden="false" customHeight="false" outlineLevel="0" collapsed="false">
      <c r="E1366" s="10"/>
      <c r="F1366" s="11"/>
      <c r="G1366" s="12"/>
      <c r="H1366" s="13"/>
      <c r="I1366" s="14"/>
      <c r="J1366" s="15"/>
      <c r="K1366" s="15"/>
      <c r="L1366" s="16"/>
    </row>
    <row r="1367" customFormat="false" ht="12.8" hidden="false" customHeight="false" outlineLevel="0" collapsed="false">
      <c r="E1367" s="10"/>
      <c r="F1367" s="11"/>
      <c r="G1367" s="12"/>
      <c r="H1367" s="13"/>
      <c r="I1367" s="14"/>
      <c r="J1367" s="15"/>
      <c r="K1367" s="15"/>
      <c r="L1367" s="16"/>
    </row>
    <row r="1368" customFormat="false" ht="12.8" hidden="false" customHeight="false" outlineLevel="0" collapsed="false">
      <c r="E1368" s="10"/>
      <c r="F1368" s="11"/>
      <c r="G1368" s="12"/>
      <c r="H1368" s="13"/>
      <c r="I1368" s="14"/>
      <c r="J1368" s="15"/>
      <c r="K1368" s="15"/>
      <c r="L1368" s="16"/>
    </row>
    <row r="1369" customFormat="false" ht="12.8" hidden="false" customHeight="false" outlineLevel="0" collapsed="false">
      <c r="E1369" s="10"/>
      <c r="F1369" s="11"/>
      <c r="G1369" s="12"/>
      <c r="H1369" s="13"/>
      <c r="I1369" s="14"/>
      <c r="J1369" s="15"/>
      <c r="K1369" s="15"/>
      <c r="L1369" s="16"/>
    </row>
    <row r="1370" customFormat="false" ht="12.8" hidden="false" customHeight="false" outlineLevel="0" collapsed="false">
      <c r="E1370" s="10"/>
      <c r="F1370" s="11"/>
      <c r="G1370" s="12"/>
      <c r="H1370" s="13"/>
      <c r="I1370" s="14"/>
      <c r="J1370" s="15"/>
      <c r="K1370" s="15"/>
      <c r="L1370" s="16"/>
    </row>
    <row r="1371" customFormat="false" ht="12.8" hidden="false" customHeight="false" outlineLevel="0" collapsed="false">
      <c r="E1371" s="10"/>
      <c r="F1371" s="11"/>
      <c r="G1371" s="12"/>
      <c r="H1371" s="13"/>
      <c r="I1371" s="14"/>
      <c r="J1371" s="15"/>
      <c r="K1371" s="15"/>
      <c r="L1371" s="16"/>
    </row>
    <row r="1372" customFormat="false" ht="12.8" hidden="false" customHeight="false" outlineLevel="0" collapsed="false">
      <c r="E1372" s="10"/>
      <c r="F1372" s="11"/>
      <c r="G1372" s="12"/>
      <c r="H1372" s="13"/>
      <c r="I1372" s="14"/>
      <c r="J1372" s="15"/>
      <c r="K1372" s="15"/>
      <c r="L1372" s="16"/>
    </row>
    <row r="1373" customFormat="false" ht="12.8" hidden="false" customHeight="false" outlineLevel="0" collapsed="false">
      <c r="E1373" s="10"/>
      <c r="F1373" s="11"/>
      <c r="G1373" s="12"/>
      <c r="H1373" s="13"/>
      <c r="I1373" s="14"/>
      <c r="J1373" s="15"/>
      <c r="K1373" s="15"/>
      <c r="L1373" s="16"/>
    </row>
    <row r="1374" customFormat="false" ht="12.8" hidden="false" customHeight="false" outlineLevel="0" collapsed="false">
      <c r="E1374" s="10"/>
      <c r="F1374" s="11"/>
      <c r="G1374" s="12"/>
      <c r="H1374" s="13"/>
      <c r="I1374" s="14"/>
      <c r="J1374" s="15"/>
      <c r="K1374" s="15"/>
      <c r="L1374" s="16"/>
    </row>
    <row r="1375" customFormat="false" ht="12.8" hidden="false" customHeight="false" outlineLevel="0" collapsed="false">
      <c r="E1375" s="10"/>
      <c r="F1375" s="11"/>
      <c r="G1375" s="12"/>
      <c r="H1375" s="13"/>
      <c r="I1375" s="14"/>
      <c r="J1375" s="15"/>
      <c r="K1375" s="15"/>
      <c r="L1375" s="16"/>
    </row>
    <row r="1376" customFormat="false" ht="12.8" hidden="false" customHeight="false" outlineLevel="0" collapsed="false">
      <c r="E1376" s="10"/>
      <c r="F1376" s="11"/>
      <c r="G1376" s="12"/>
      <c r="H1376" s="13"/>
      <c r="I1376" s="14"/>
      <c r="J1376" s="15"/>
      <c r="K1376" s="15"/>
      <c r="L1376" s="16"/>
    </row>
    <row r="1377" customFormat="false" ht="12.8" hidden="false" customHeight="false" outlineLevel="0" collapsed="false">
      <c r="E1377" s="10"/>
      <c r="F1377" s="11"/>
      <c r="G1377" s="12"/>
      <c r="H1377" s="13"/>
      <c r="I1377" s="14"/>
      <c r="J1377" s="15"/>
      <c r="K1377" s="15"/>
      <c r="L1377" s="16"/>
    </row>
    <row r="1378" customFormat="false" ht="12.8" hidden="false" customHeight="false" outlineLevel="0" collapsed="false">
      <c r="E1378" s="10"/>
      <c r="F1378" s="11"/>
      <c r="G1378" s="12"/>
      <c r="H1378" s="13"/>
      <c r="I1378" s="14"/>
      <c r="J1378" s="15"/>
      <c r="K1378" s="15"/>
      <c r="L1378" s="16"/>
    </row>
    <row r="1379" customFormat="false" ht="12.8" hidden="false" customHeight="false" outlineLevel="0" collapsed="false">
      <c r="E1379" s="10"/>
      <c r="F1379" s="11"/>
      <c r="G1379" s="12"/>
      <c r="H1379" s="13"/>
      <c r="I1379" s="14"/>
      <c r="J1379" s="15"/>
      <c r="K1379" s="15"/>
      <c r="L1379" s="16"/>
    </row>
    <row r="1380" customFormat="false" ht="12.8" hidden="false" customHeight="false" outlineLevel="0" collapsed="false">
      <c r="E1380" s="10"/>
      <c r="F1380" s="11"/>
      <c r="G1380" s="12"/>
      <c r="H1380" s="13"/>
      <c r="I1380" s="14"/>
      <c r="J1380" s="15"/>
      <c r="K1380" s="15"/>
      <c r="L1380" s="16"/>
    </row>
    <row r="1381" customFormat="false" ht="12.8" hidden="false" customHeight="false" outlineLevel="0" collapsed="false">
      <c r="E1381" s="10"/>
      <c r="F1381" s="11"/>
      <c r="G1381" s="12"/>
      <c r="H1381" s="13"/>
      <c r="I1381" s="14"/>
      <c r="J1381" s="15"/>
      <c r="K1381" s="15"/>
      <c r="L1381" s="16"/>
    </row>
    <row r="1382" customFormat="false" ht="12.8" hidden="false" customHeight="false" outlineLevel="0" collapsed="false">
      <c r="E1382" s="10"/>
      <c r="F1382" s="11"/>
      <c r="G1382" s="12"/>
      <c r="H1382" s="13"/>
      <c r="I1382" s="14"/>
      <c r="J1382" s="15"/>
      <c r="K1382" s="15"/>
      <c r="L1382" s="16"/>
    </row>
    <row r="1383" customFormat="false" ht="12.8" hidden="false" customHeight="false" outlineLevel="0" collapsed="false">
      <c r="E1383" s="10"/>
      <c r="F1383" s="11"/>
      <c r="G1383" s="12"/>
      <c r="H1383" s="13"/>
      <c r="I1383" s="14"/>
      <c r="J1383" s="15"/>
      <c r="K1383" s="15"/>
      <c r="L1383" s="16"/>
    </row>
    <row r="1384" customFormat="false" ht="12.8" hidden="false" customHeight="false" outlineLevel="0" collapsed="false">
      <c r="E1384" s="10"/>
      <c r="F1384" s="11"/>
      <c r="G1384" s="12"/>
      <c r="H1384" s="13"/>
      <c r="I1384" s="14"/>
      <c r="J1384" s="15"/>
      <c r="K1384" s="15"/>
      <c r="L1384" s="16"/>
    </row>
    <row r="1385" customFormat="false" ht="12.8" hidden="false" customHeight="false" outlineLevel="0" collapsed="false">
      <c r="E1385" s="10"/>
      <c r="F1385" s="11"/>
      <c r="G1385" s="12"/>
      <c r="H1385" s="13"/>
      <c r="I1385" s="14"/>
      <c r="J1385" s="15"/>
      <c r="K1385" s="15"/>
      <c r="L1385" s="16"/>
    </row>
    <row r="1386" customFormat="false" ht="12.8" hidden="false" customHeight="false" outlineLevel="0" collapsed="false">
      <c r="E1386" s="10"/>
      <c r="F1386" s="11"/>
      <c r="G1386" s="12"/>
      <c r="H1386" s="13"/>
      <c r="I1386" s="14"/>
      <c r="J1386" s="15"/>
      <c r="K1386" s="15"/>
      <c r="L1386" s="16"/>
    </row>
    <row r="1387" customFormat="false" ht="12.8" hidden="false" customHeight="false" outlineLevel="0" collapsed="false">
      <c r="E1387" s="10"/>
      <c r="F1387" s="11"/>
      <c r="G1387" s="12"/>
      <c r="H1387" s="13"/>
      <c r="I1387" s="14"/>
      <c r="J1387" s="15"/>
      <c r="K1387" s="15"/>
      <c r="L1387" s="16"/>
    </row>
    <row r="1388" customFormat="false" ht="12.8" hidden="false" customHeight="false" outlineLevel="0" collapsed="false">
      <c r="E1388" s="10"/>
      <c r="F1388" s="11"/>
      <c r="G1388" s="12"/>
      <c r="H1388" s="13"/>
      <c r="I1388" s="14"/>
      <c r="J1388" s="15"/>
      <c r="K1388" s="15"/>
      <c r="L1388" s="16"/>
    </row>
    <row r="1389" customFormat="false" ht="12.8" hidden="false" customHeight="false" outlineLevel="0" collapsed="false">
      <c r="E1389" s="10"/>
      <c r="F1389" s="11"/>
      <c r="G1389" s="12"/>
      <c r="H1389" s="13"/>
      <c r="I1389" s="14"/>
      <c r="J1389" s="15"/>
      <c r="K1389" s="15"/>
      <c r="L1389" s="16"/>
    </row>
    <row r="1390" customFormat="false" ht="12.8" hidden="false" customHeight="false" outlineLevel="0" collapsed="false">
      <c r="E1390" s="10"/>
      <c r="F1390" s="11"/>
      <c r="G1390" s="12"/>
      <c r="H1390" s="13"/>
      <c r="I1390" s="14"/>
      <c r="J1390" s="15"/>
      <c r="K1390" s="15"/>
      <c r="L1390" s="16"/>
    </row>
    <row r="1391" customFormat="false" ht="12.8" hidden="false" customHeight="false" outlineLevel="0" collapsed="false">
      <c r="E1391" s="10"/>
      <c r="F1391" s="11"/>
      <c r="G1391" s="12"/>
      <c r="H1391" s="13"/>
      <c r="I1391" s="14"/>
      <c r="J1391" s="15"/>
      <c r="K1391" s="15"/>
      <c r="L1391" s="16"/>
    </row>
    <row r="1392" customFormat="false" ht="12.8" hidden="false" customHeight="false" outlineLevel="0" collapsed="false">
      <c r="E1392" s="10"/>
      <c r="F1392" s="11"/>
      <c r="G1392" s="12"/>
      <c r="H1392" s="13"/>
      <c r="I1392" s="14"/>
      <c r="J1392" s="15"/>
      <c r="K1392" s="15"/>
      <c r="L1392" s="16"/>
    </row>
    <row r="1393" customFormat="false" ht="12.8" hidden="false" customHeight="false" outlineLevel="0" collapsed="false">
      <c r="E1393" s="10"/>
      <c r="F1393" s="11"/>
      <c r="G1393" s="12"/>
      <c r="H1393" s="13"/>
      <c r="I1393" s="14"/>
      <c r="J1393" s="15"/>
      <c r="K1393" s="15"/>
      <c r="L1393" s="16"/>
    </row>
    <row r="1394" customFormat="false" ht="12.8" hidden="false" customHeight="false" outlineLevel="0" collapsed="false">
      <c r="E1394" s="10"/>
      <c r="F1394" s="11"/>
      <c r="G1394" s="12"/>
      <c r="H1394" s="13"/>
      <c r="I1394" s="14"/>
      <c r="J1394" s="15"/>
      <c r="K1394" s="15"/>
      <c r="L1394" s="16"/>
    </row>
    <row r="1395" customFormat="false" ht="12.8" hidden="false" customHeight="false" outlineLevel="0" collapsed="false">
      <c r="E1395" s="10"/>
      <c r="F1395" s="11"/>
      <c r="G1395" s="12"/>
      <c r="H1395" s="13"/>
      <c r="I1395" s="14"/>
      <c r="J1395" s="15"/>
      <c r="K1395" s="15"/>
      <c r="L1395" s="16"/>
    </row>
    <row r="1396" customFormat="false" ht="12.8" hidden="false" customHeight="false" outlineLevel="0" collapsed="false">
      <c r="E1396" s="10"/>
      <c r="F1396" s="11"/>
      <c r="G1396" s="12"/>
      <c r="H1396" s="13"/>
      <c r="I1396" s="14"/>
      <c r="J1396" s="15"/>
      <c r="K1396" s="15"/>
      <c r="L1396" s="16"/>
    </row>
    <row r="1397" customFormat="false" ht="12.8" hidden="false" customHeight="false" outlineLevel="0" collapsed="false">
      <c r="E1397" s="10"/>
      <c r="F1397" s="11"/>
      <c r="G1397" s="12"/>
      <c r="H1397" s="13"/>
      <c r="I1397" s="14"/>
      <c r="J1397" s="15"/>
      <c r="K1397" s="15"/>
      <c r="L1397" s="16"/>
    </row>
    <row r="1398" customFormat="false" ht="12.8" hidden="false" customHeight="false" outlineLevel="0" collapsed="false">
      <c r="E1398" s="10"/>
      <c r="F1398" s="11"/>
      <c r="G1398" s="12"/>
      <c r="H1398" s="13"/>
      <c r="I1398" s="14"/>
      <c r="J1398" s="15"/>
      <c r="K1398" s="15"/>
      <c r="L1398" s="16"/>
    </row>
    <row r="1399" customFormat="false" ht="12.8" hidden="false" customHeight="false" outlineLevel="0" collapsed="false">
      <c r="E1399" s="10"/>
      <c r="F1399" s="11"/>
      <c r="G1399" s="12"/>
      <c r="H1399" s="13"/>
      <c r="I1399" s="14"/>
      <c r="J1399" s="15"/>
      <c r="K1399" s="15"/>
      <c r="L1399" s="16"/>
    </row>
    <row r="1400" customFormat="false" ht="12.8" hidden="false" customHeight="false" outlineLevel="0" collapsed="false">
      <c r="E1400" s="10"/>
      <c r="F1400" s="11"/>
      <c r="G1400" s="12"/>
      <c r="H1400" s="13"/>
      <c r="I1400" s="14"/>
      <c r="J1400" s="15"/>
      <c r="K1400" s="15"/>
      <c r="L1400" s="16"/>
    </row>
    <row r="1401" customFormat="false" ht="12.8" hidden="false" customHeight="false" outlineLevel="0" collapsed="false">
      <c r="E1401" s="10"/>
      <c r="F1401" s="11"/>
      <c r="G1401" s="12"/>
      <c r="H1401" s="13"/>
      <c r="I1401" s="14"/>
      <c r="J1401" s="15"/>
      <c r="K1401" s="15"/>
      <c r="L1401" s="16"/>
    </row>
    <row r="1402" customFormat="false" ht="12.8" hidden="false" customHeight="false" outlineLevel="0" collapsed="false">
      <c r="E1402" s="10"/>
      <c r="F1402" s="11"/>
      <c r="G1402" s="12"/>
      <c r="H1402" s="13"/>
      <c r="I1402" s="14"/>
      <c r="J1402" s="15"/>
      <c r="K1402" s="15"/>
      <c r="L1402" s="16"/>
    </row>
    <row r="1403" customFormat="false" ht="12.8" hidden="false" customHeight="false" outlineLevel="0" collapsed="false">
      <c r="E1403" s="10"/>
      <c r="F1403" s="11"/>
      <c r="G1403" s="12"/>
      <c r="H1403" s="13"/>
      <c r="I1403" s="14"/>
      <c r="J1403" s="15"/>
      <c r="K1403" s="15"/>
      <c r="L1403" s="16"/>
    </row>
    <row r="1404" customFormat="false" ht="12.8" hidden="false" customHeight="false" outlineLevel="0" collapsed="false">
      <c r="E1404" s="10"/>
      <c r="F1404" s="11"/>
      <c r="G1404" s="12"/>
      <c r="H1404" s="13"/>
      <c r="I1404" s="14"/>
      <c r="J1404" s="15"/>
      <c r="K1404" s="15"/>
      <c r="L1404" s="16"/>
    </row>
    <row r="1405" customFormat="false" ht="12.8" hidden="false" customHeight="false" outlineLevel="0" collapsed="false">
      <c r="E1405" s="10"/>
      <c r="F1405" s="11"/>
      <c r="G1405" s="12"/>
      <c r="H1405" s="13"/>
      <c r="I1405" s="14"/>
      <c r="J1405" s="15"/>
      <c r="K1405" s="15"/>
      <c r="L1405" s="16"/>
    </row>
    <row r="1406" customFormat="false" ht="12.8" hidden="false" customHeight="false" outlineLevel="0" collapsed="false">
      <c r="E1406" s="10"/>
      <c r="F1406" s="11"/>
      <c r="G1406" s="12"/>
      <c r="H1406" s="13"/>
      <c r="I1406" s="14"/>
      <c r="J1406" s="15"/>
      <c r="K1406" s="15"/>
      <c r="L1406" s="16"/>
    </row>
    <row r="1407" customFormat="false" ht="12.8" hidden="false" customHeight="false" outlineLevel="0" collapsed="false">
      <c r="E1407" s="10"/>
      <c r="F1407" s="11"/>
      <c r="G1407" s="12"/>
      <c r="H1407" s="13"/>
      <c r="I1407" s="14"/>
      <c r="J1407" s="15"/>
      <c r="K1407" s="15"/>
      <c r="L1407" s="16"/>
    </row>
    <row r="1408" customFormat="false" ht="12.8" hidden="false" customHeight="false" outlineLevel="0" collapsed="false">
      <c r="E1408" s="10"/>
      <c r="F1408" s="11"/>
      <c r="G1408" s="12"/>
      <c r="H1408" s="13"/>
      <c r="I1408" s="14"/>
      <c r="J1408" s="15"/>
      <c r="K1408" s="15"/>
      <c r="L1408" s="16"/>
    </row>
    <row r="1409" customFormat="false" ht="12.8" hidden="false" customHeight="false" outlineLevel="0" collapsed="false">
      <c r="E1409" s="10"/>
      <c r="F1409" s="11"/>
      <c r="G1409" s="12"/>
      <c r="H1409" s="13"/>
      <c r="I1409" s="14"/>
      <c r="J1409" s="15"/>
      <c r="K1409" s="15"/>
      <c r="L1409" s="16"/>
    </row>
    <row r="1410" customFormat="false" ht="12.8" hidden="false" customHeight="false" outlineLevel="0" collapsed="false">
      <c r="E1410" s="10"/>
      <c r="F1410" s="11"/>
      <c r="G1410" s="12"/>
      <c r="H1410" s="13"/>
      <c r="I1410" s="14"/>
      <c r="J1410" s="15"/>
      <c r="K1410" s="15"/>
      <c r="L1410" s="16"/>
    </row>
    <row r="1411" customFormat="false" ht="12.8" hidden="false" customHeight="false" outlineLevel="0" collapsed="false">
      <c r="E1411" s="10"/>
      <c r="F1411" s="11"/>
      <c r="G1411" s="12"/>
      <c r="H1411" s="13"/>
      <c r="I1411" s="14"/>
      <c r="J1411" s="15"/>
      <c r="K1411" s="15"/>
      <c r="L1411" s="16"/>
    </row>
    <row r="1412" customFormat="false" ht="12.8" hidden="false" customHeight="false" outlineLevel="0" collapsed="false">
      <c r="E1412" s="10"/>
      <c r="F1412" s="11"/>
      <c r="G1412" s="12"/>
      <c r="H1412" s="13"/>
      <c r="I1412" s="14"/>
      <c r="J1412" s="15"/>
      <c r="K1412" s="15"/>
      <c r="L1412" s="16"/>
    </row>
    <row r="1413" customFormat="false" ht="12.8" hidden="false" customHeight="false" outlineLevel="0" collapsed="false">
      <c r="E1413" s="10"/>
      <c r="F1413" s="11"/>
      <c r="G1413" s="12"/>
      <c r="H1413" s="13"/>
      <c r="I1413" s="14"/>
      <c r="J1413" s="15"/>
      <c r="K1413" s="15"/>
      <c r="L1413" s="16"/>
    </row>
    <row r="1414" customFormat="false" ht="12.8" hidden="false" customHeight="false" outlineLevel="0" collapsed="false">
      <c r="E1414" s="10"/>
      <c r="F1414" s="11"/>
      <c r="G1414" s="12"/>
      <c r="H1414" s="13"/>
      <c r="I1414" s="14"/>
      <c r="J1414" s="15"/>
      <c r="K1414" s="15"/>
      <c r="L1414" s="16"/>
    </row>
    <row r="1415" customFormat="false" ht="12.8" hidden="false" customHeight="false" outlineLevel="0" collapsed="false">
      <c r="E1415" s="10"/>
      <c r="F1415" s="11"/>
      <c r="G1415" s="12"/>
      <c r="H1415" s="13"/>
      <c r="I1415" s="14"/>
      <c r="J1415" s="15"/>
      <c r="K1415" s="15"/>
      <c r="L1415" s="16"/>
    </row>
    <row r="1416" customFormat="false" ht="12.8" hidden="false" customHeight="false" outlineLevel="0" collapsed="false">
      <c r="E1416" s="10"/>
      <c r="F1416" s="11"/>
      <c r="G1416" s="12"/>
      <c r="H1416" s="13"/>
      <c r="I1416" s="14"/>
      <c r="J1416" s="15"/>
      <c r="K1416" s="15"/>
      <c r="L1416" s="16"/>
    </row>
    <row r="1417" customFormat="false" ht="12.8" hidden="false" customHeight="false" outlineLevel="0" collapsed="false">
      <c r="E1417" s="10"/>
      <c r="F1417" s="11"/>
      <c r="G1417" s="12"/>
      <c r="H1417" s="13"/>
      <c r="I1417" s="14"/>
      <c r="J1417" s="15"/>
      <c r="K1417" s="15"/>
      <c r="L1417" s="16"/>
    </row>
    <row r="1418" customFormat="false" ht="12.8" hidden="false" customHeight="false" outlineLevel="0" collapsed="false">
      <c r="E1418" s="10"/>
      <c r="F1418" s="11"/>
      <c r="G1418" s="12"/>
      <c r="H1418" s="13"/>
      <c r="I1418" s="14"/>
      <c r="J1418" s="15"/>
      <c r="K1418" s="15"/>
      <c r="L1418" s="16"/>
    </row>
    <row r="1419" customFormat="false" ht="12.8" hidden="false" customHeight="false" outlineLevel="0" collapsed="false">
      <c r="E1419" s="10"/>
      <c r="F1419" s="11"/>
      <c r="G1419" s="12"/>
      <c r="H1419" s="13"/>
      <c r="I1419" s="14"/>
      <c r="J1419" s="15"/>
      <c r="K1419" s="15"/>
      <c r="L1419" s="16"/>
    </row>
    <row r="1420" customFormat="false" ht="12.8" hidden="false" customHeight="false" outlineLevel="0" collapsed="false">
      <c r="E1420" s="10"/>
      <c r="F1420" s="11"/>
      <c r="G1420" s="12"/>
      <c r="H1420" s="13"/>
      <c r="I1420" s="14"/>
      <c r="J1420" s="15"/>
      <c r="K1420" s="15"/>
      <c r="L1420" s="16"/>
    </row>
    <row r="1421" customFormat="false" ht="12.8" hidden="false" customHeight="false" outlineLevel="0" collapsed="false">
      <c r="E1421" s="10"/>
      <c r="F1421" s="11"/>
      <c r="G1421" s="12"/>
      <c r="H1421" s="13"/>
      <c r="I1421" s="14"/>
      <c r="J1421" s="15"/>
      <c r="K1421" s="15"/>
      <c r="L1421" s="16"/>
    </row>
    <row r="1422" customFormat="false" ht="12.8" hidden="false" customHeight="false" outlineLevel="0" collapsed="false">
      <c r="E1422" s="10"/>
      <c r="F1422" s="11"/>
      <c r="G1422" s="12"/>
      <c r="H1422" s="13"/>
      <c r="I1422" s="14"/>
      <c r="J1422" s="15"/>
      <c r="K1422" s="15"/>
      <c r="L1422" s="16"/>
    </row>
    <row r="1423" customFormat="false" ht="12.8" hidden="false" customHeight="false" outlineLevel="0" collapsed="false">
      <c r="E1423" s="10"/>
      <c r="F1423" s="11"/>
      <c r="G1423" s="12"/>
      <c r="H1423" s="13"/>
      <c r="I1423" s="14"/>
      <c r="J1423" s="15"/>
      <c r="K1423" s="15"/>
      <c r="L1423" s="16"/>
    </row>
    <row r="1424" customFormat="false" ht="12.8" hidden="false" customHeight="false" outlineLevel="0" collapsed="false">
      <c r="E1424" s="10"/>
      <c r="F1424" s="11"/>
      <c r="G1424" s="12"/>
      <c r="H1424" s="13"/>
      <c r="I1424" s="14"/>
      <c r="J1424" s="15"/>
      <c r="K1424" s="15"/>
      <c r="L1424" s="16"/>
    </row>
    <row r="1425" customFormat="false" ht="12.8" hidden="false" customHeight="false" outlineLevel="0" collapsed="false">
      <c r="E1425" s="10"/>
      <c r="F1425" s="11"/>
      <c r="G1425" s="12"/>
      <c r="H1425" s="13"/>
      <c r="I1425" s="14"/>
      <c r="J1425" s="15"/>
      <c r="K1425" s="15"/>
      <c r="L1425" s="16"/>
    </row>
    <row r="1426" customFormat="false" ht="12.8" hidden="false" customHeight="false" outlineLevel="0" collapsed="false">
      <c r="E1426" s="10"/>
      <c r="F1426" s="11"/>
      <c r="G1426" s="12"/>
      <c r="H1426" s="13"/>
      <c r="I1426" s="14"/>
      <c r="J1426" s="15"/>
      <c r="K1426" s="15"/>
      <c r="L1426" s="16"/>
    </row>
    <row r="1427" customFormat="false" ht="12.8" hidden="false" customHeight="false" outlineLevel="0" collapsed="false">
      <c r="E1427" s="10"/>
      <c r="F1427" s="11"/>
      <c r="G1427" s="12"/>
      <c r="H1427" s="13"/>
      <c r="I1427" s="14"/>
      <c r="J1427" s="15"/>
      <c r="K1427" s="15"/>
      <c r="L1427" s="16"/>
    </row>
    <row r="1428" customFormat="false" ht="12.8" hidden="false" customHeight="false" outlineLevel="0" collapsed="false">
      <c r="E1428" s="10"/>
      <c r="F1428" s="11"/>
      <c r="G1428" s="12"/>
      <c r="H1428" s="13"/>
      <c r="I1428" s="14"/>
      <c r="J1428" s="15"/>
      <c r="K1428" s="15"/>
      <c r="L1428" s="16"/>
    </row>
    <row r="1429" customFormat="false" ht="12.8" hidden="false" customHeight="false" outlineLevel="0" collapsed="false">
      <c r="E1429" s="10"/>
      <c r="F1429" s="11"/>
      <c r="G1429" s="12"/>
      <c r="H1429" s="13"/>
      <c r="I1429" s="14"/>
      <c r="J1429" s="15"/>
      <c r="K1429" s="15"/>
      <c r="L1429" s="16"/>
    </row>
    <row r="1430" customFormat="false" ht="12.8" hidden="false" customHeight="false" outlineLevel="0" collapsed="false">
      <c r="E1430" s="10"/>
      <c r="F1430" s="11"/>
      <c r="G1430" s="12"/>
      <c r="H1430" s="13"/>
      <c r="I1430" s="14"/>
      <c r="J1430" s="15"/>
      <c r="K1430" s="15"/>
      <c r="L1430" s="16"/>
    </row>
    <row r="1431" customFormat="false" ht="12.8" hidden="false" customHeight="false" outlineLevel="0" collapsed="false">
      <c r="E1431" s="10"/>
      <c r="F1431" s="11"/>
      <c r="G1431" s="12"/>
      <c r="H1431" s="13"/>
      <c r="I1431" s="14"/>
      <c r="J1431" s="15"/>
      <c r="K1431" s="15"/>
      <c r="L1431" s="16"/>
    </row>
    <row r="1432" customFormat="false" ht="12.8" hidden="false" customHeight="false" outlineLevel="0" collapsed="false">
      <c r="E1432" s="10"/>
      <c r="F1432" s="11"/>
      <c r="G1432" s="12"/>
      <c r="H1432" s="13"/>
      <c r="I1432" s="14"/>
      <c r="J1432" s="15"/>
      <c r="K1432" s="15"/>
      <c r="L1432" s="16"/>
    </row>
    <row r="1433" customFormat="false" ht="12.8" hidden="false" customHeight="false" outlineLevel="0" collapsed="false">
      <c r="E1433" s="10"/>
      <c r="F1433" s="11"/>
      <c r="G1433" s="12"/>
      <c r="H1433" s="13"/>
      <c r="I1433" s="14"/>
      <c r="J1433" s="15"/>
      <c r="K1433" s="15"/>
      <c r="L1433" s="16"/>
    </row>
    <row r="1434" customFormat="false" ht="12.8" hidden="false" customHeight="false" outlineLevel="0" collapsed="false">
      <c r="E1434" s="10"/>
      <c r="F1434" s="11"/>
      <c r="G1434" s="12"/>
      <c r="H1434" s="13"/>
      <c r="I1434" s="14"/>
      <c r="J1434" s="15"/>
      <c r="K1434" s="15"/>
      <c r="L1434" s="16"/>
    </row>
    <row r="1435" customFormat="false" ht="12.8" hidden="false" customHeight="false" outlineLevel="0" collapsed="false">
      <c r="E1435" s="10"/>
      <c r="F1435" s="11"/>
      <c r="G1435" s="12"/>
      <c r="H1435" s="13"/>
      <c r="I1435" s="14"/>
      <c r="J1435" s="15"/>
      <c r="K1435" s="15"/>
      <c r="L1435" s="16"/>
    </row>
    <row r="1436" customFormat="false" ht="12.8" hidden="false" customHeight="false" outlineLevel="0" collapsed="false">
      <c r="E1436" s="10"/>
      <c r="F1436" s="11"/>
      <c r="G1436" s="12"/>
      <c r="H1436" s="13"/>
      <c r="I1436" s="14"/>
      <c r="J1436" s="15"/>
      <c r="K1436" s="15"/>
      <c r="L1436" s="16"/>
    </row>
    <row r="1437" customFormat="false" ht="12.8" hidden="false" customHeight="false" outlineLevel="0" collapsed="false">
      <c r="E1437" s="10"/>
      <c r="F1437" s="11"/>
      <c r="G1437" s="12"/>
      <c r="H1437" s="13"/>
      <c r="I1437" s="14"/>
      <c r="J1437" s="15"/>
      <c r="K1437" s="15"/>
      <c r="L1437" s="16"/>
    </row>
    <row r="1438" customFormat="false" ht="12.8" hidden="false" customHeight="false" outlineLevel="0" collapsed="false">
      <c r="E1438" s="10"/>
      <c r="F1438" s="11"/>
      <c r="G1438" s="12"/>
      <c r="H1438" s="13"/>
      <c r="I1438" s="14"/>
      <c r="J1438" s="15"/>
      <c r="K1438" s="15"/>
      <c r="L1438" s="16"/>
    </row>
    <row r="1439" customFormat="false" ht="12.8" hidden="false" customHeight="false" outlineLevel="0" collapsed="false">
      <c r="E1439" s="10"/>
      <c r="F1439" s="11"/>
      <c r="G1439" s="12"/>
      <c r="H1439" s="13"/>
      <c r="I1439" s="14"/>
      <c r="J1439" s="15"/>
      <c r="K1439" s="15"/>
      <c r="L1439" s="16"/>
    </row>
    <row r="1440" customFormat="false" ht="12.8" hidden="false" customHeight="false" outlineLevel="0" collapsed="false">
      <c r="E1440" s="10"/>
      <c r="F1440" s="11"/>
      <c r="G1440" s="12"/>
      <c r="H1440" s="13"/>
      <c r="I1440" s="14"/>
      <c r="J1440" s="15"/>
      <c r="K1440" s="15"/>
      <c r="L1440" s="16"/>
    </row>
    <row r="1441" customFormat="false" ht="12.8" hidden="false" customHeight="false" outlineLevel="0" collapsed="false">
      <c r="E1441" s="10"/>
      <c r="F1441" s="11"/>
      <c r="G1441" s="12"/>
      <c r="H1441" s="13"/>
      <c r="I1441" s="14"/>
      <c r="J1441" s="15"/>
      <c r="K1441" s="15"/>
      <c r="L1441" s="16"/>
    </row>
    <row r="1442" customFormat="false" ht="12.8" hidden="false" customHeight="false" outlineLevel="0" collapsed="false">
      <c r="E1442" s="10"/>
      <c r="F1442" s="11"/>
      <c r="G1442" s="12"/>
      <c r="H1442" s="13"/>
      <c r="I1442" s="14"/>
      <c r="J1442" s="15"/>
      <c r="K1442" s="15"/>
      <c r="L1442" s="16"/>
    </row>
    <row r="1443" customFormat="false" ht="12.8" hidden="false" customHeight="false" outlineLevel="0" collapsed="false">
      <c r="E1443" s="10"/>
      <c r="F1443" s="11"/>
      <c r="G1443" s="12"/>
      <c r="H1443" s="13"/>
      <c r="I1443" s="14"/>
      <c r="J1443" s="15"/>
      <c r="K1443" s="15"/>
      <c r="L1443" s="16"/>
    </row>
    <row r="1444" customFormat="false" ht="12.8" hidden="false" customHeight="false" outlineLevel="0" collapsed="false">
      <c r="E1444" s="10"/>
      <c r="F1444" s="11"/>
      <c r="G1444" s="12"/>
      <c r="H1444" s="13"/>
      <c r="I1444" s="14"/>
      <c r="J1444" s="15"/>
      <c r="K1444" s="15"/>
      <c r="L1444" s="16"/>
    </row>
    <row r="1445" customFormat="false" ht="12.8" hidden="false" customHeight="false" outlineLevel="0" collapsed="false">
      <c r="E1445" s="10"/>
      <c r="F1445" s="11"/>
      <c r="G1445" s="12"/>
      <c r="H1445" s="13"/>
      <c r="I1445" s="14"/>
      <c r="J1445" s="15"/>
      <c r="K1445" s="15"/>
      <c r="L1445" s="16"/>
    </row>
    <row r="1446" customFormat="false" ht="12.8" hidden="false" customHeight="false" outlineLevel="0" collapsed="false">
      <c r="E1446" s="10"/>
      <c r="F1446" s="11"/>
      <c r="G1446" s="12"/>
      <c r="H1446" s="13"/>
      <c r="I1446" s="14"/>
      <c r="J1446" s="15"/>
      <c r="K1446" s="15"/>
      <c r="L1446" s="16"/>
    </row>
    <row r="1447" customFormat="false" ht="12.8" hidden="false" customHeight="false" outlineLevel="0" collapsed="false">
      <c r="E1447" s="10"/>
      <c r="F1447" s="11"/>
      <c r="G1447" s="12"/>
      <c r="H1447" s="13"/>
      <c r="I1447" s="14"/>
      <c r="J1447" s="15"/>
      <c r="K1447" s="15"/>
      <c r="L1447" s="16"/>
    </row>
    <row r="1448" customFormat="false" ht="12.8" hidden="false" customHeight="false" outlineLevel="0" collapsed="false">
      <c r="E1448" s="10"/>
      <c r="F1448" s="11"/>
      <c r="G1448" s="12"/>
      <c r="H1448" s="13"/>
      <c r="I1448" s="14"/>
      <c r="J1448" s="15"/>
      <c r="K1448" s="15"/>
      <c r="L1448" s="16"/>
    </row>
    <row r="1449" customFormat="false" ht="12.8" hidden="false" customHeight="false" outlineLevel="0" collapsed="false">
      <c r="E1449" s="10"/>
      <c r="F1449" s="11"/>
      <c r="G1449" s="12"/>
      <c r="H1449" s="13"/>
      <c r="I1449" s="14"/>
      <c r="J1449" s="15"/>
      <c r="K1449" s="15"/>
      <c r="L1449" s="16"/>
    </row>
    <row r="1450" customFormat="false" ht="12.8" hidden="false" customHeight="false" outlineLevel="0" collapsed="false">
      <c r="E1450" s="10"/>
      <c r="F1450" s="11"/>
      <c r="G1450" s="12"/>
      <c r="H1450" s="13"/>
      <c r="I1450" s="14"/>
      <c r="J1450" s="15"/>
      <c r="K1450" s="15"/>
      <c r="L1450" s="16"/>
    </row>
    <row r="1451" customFormat="false" ht="12.8" hidden="false" customHeight="false" outlineLevel="0" collapsed="false">
      <c r="E1451" s="10"/>
      <c r="F1451" s="11"/>
      <c r="G1451" s="12"/>
      <c r="H1451" s="13"/>
      <c r="I1451" s="14"/>
      <c r="J1451" s="15"/>
      <c r="K1451" s="15"/>
      <c r="L1451" s="16"/>
    </row>
    <row r="1452" customFormat="false" ht="12.8" hidden="false" customHeight="false" outlineLevel="0" collapsed="false">
      <c r="E1452" s="10"/>
      <c r="F1452" s="11"/>
      <c r="G1452" s="12"/>
      <c r="H1452" s="13"/>
      <c r="I1452" s="14"/>
      <c r="J1452" s="15"/>
      <c r="K1452" s="15"/>
      <c r="L1452" s="16"/>
    </row>
    <row r="1453" customFormat="false" ht="12.8" hidden="false" customHeight="false" outlineLevel="0" collapsed="false">
      <c r="E1453" s="10"/>
      <c r="F1453" s="11"/>
      <c r="G1453" s="12"/>
      <c r="H1453" s="13"/>
      <c r="I1453" s="14"/>
      <c r="J1453" s="15"/>
      <c r="K1453" s="15"/>
      <c r="L1453" s="16"/>
    </row>
    <row r="1454" customFormat="false" ht="12.8" hidden="false" customHeight="false" outlineLevel="0" collapsed="false">
      <c r="E1454" s="10"/>
      <c r="F1454" s="11"/>
      <c r="G1454" s="12"/>
      <c r="H1454" s="13"/>
      <c r="I1454" s="14"/>
      <c r="J1454" s="15"/>
      <c r="K1454" s="15"/>
      <c r="L1454" s="16"/>
    </row>
    <row r="1455" customFormat="false" ht="12.8" hidden="false" customHeight="false" outlineLevel="0" collapsed="false">
      <c r="E1455" s="10"/>
      <c r="F1455" s="11"/>
      <c r="G1455" s="12"/>
      <c r="H1455" s="13"/>
      <c r="I1455" s="14"/>
      <c r="J1455" s="15"/>
      <c r="K1455" s="15"/>
      <c r="L1455" s="16"/>
    </row>
    <row r="1456" customFormat="false" ht="12.8" hidden="false" customHeight="false" outlineLevel="0" collapsed="false">
      <c r="E1456" s="10"/>
      <c r="F1456" s="11"/>
      <c r="G1456" s="12"/>
      <c r="H1456" s="13"/>
      <c r="I1456" s="14"/>
      <c r="J1456" s="15"/>
      <c r="K1456" s="15"/>
      <c r="L1456" s="16"/>
    </row>
    <row r="1457" customFormat="false" ht="12.8" hidden="false" customHeight="false" outlineLevel="0" collapsed="false">
      <c r="E1457" s="10"/>
      <c r="F1457" s="11"/>
      <c r="G1457" s="12"/>
      <c r="H1457" s="13"/>
      <c r="I1457" s="14"/>
      <c r="J1457" s="15"/>
      <c r="K1457" s="15"/>
      <c r="L1457" s="16"/>
    </row>
    <row r="1458" customFormat="false" ht="12.8" hidden="false" customHeight="false" outlineLevel="0" collapsed="false">
      <c r="E1458" s="10"/>
      <c r="F1458" s="11"/>
      <c r="G1458" s="12"/>
      <c r="H1458" s="13"/>
      <c r="I1458" s="14"/>
      <c r="J1458" s="15"/>
      <c r="K1458" s="15"/>
      <c r="L1458" s="16"/>
    </row>
    <row r="1459" customFormat="false" ht="12.8" hidden="false" customHeight="false" outlineLevel="0" collapsed="false">
      <c r="E1459" s="10"/>
      <c r="F1459" s="11"/>
      <c r="G1459" s="12"/>
      <c r="H1459" s="13"/>
      <c r="I1459" s="14"/>
      <c r="J1459" s="15"/>
      <c r="K1459" s="15"/>
      <c r="L1459" s="16"/>
    </row>
    <row r="1460" customFormat="false" ht="12.8" hidden="false" customHeight="false" outlineLevel="0" collapsed="false">
      <c r="E1460" s="10"/>
      <c r="F1460" s="11"/>
      <c r="G1460" s="12"/>
      <c r="H1460" s="13"/>
      <c r="I1460" s="14"/>
      <c r="J1460" s="15"/>
      <c r="K1460" s="15"/>
      <c r="L1460" s="16"/>
    </row>
    <row r="1461" customFormat="false" ht="12.8" hidden="false" customHeight="false" outlineLevel="0" collapsed="false">
      <c r="E1461" s="10"/>
      <c r="F1461" s="11"/>
      <c r="G1461" s="12"/>
      <c r="H1461" s="13"/>
      <c r="I1461" s="14"/>
      <c r="J1461" s="15"/>
      <c r="K1461" s="15"/>
      <c r="L1461" s="16"/>
    </row>
    <row r="1462" customFormat="false" ht="12.8" hidden="false" customHeight="false" outlineLevel="0" collapsed="false">
      <c r="E1462" s="10"/>
      <c r="F1462" s="11"/>
      <c r="G1462" s="12"/>
      <c r="H1462" s="13"/>
      <c r="I1462" s="14"/>
      <c r="J1462" s="15"/>
      <c r="K1462" s="15"/>
      <c r="L1462" s="16"/>
    </row>
    <row r="1463" customFormat="false" ht="12.8" hidden="false" customHeight="false" outlineLevel="0" collapsed="false">
      <c r="E1463" s="10"/>
      <c r="F1463" s="11"/>
      <c r="G1463" s="12"/>
      <c r="H1463" s="13"/>
      <c r="I1463" s="14"/>
      <c r="J1463" s="15"/>
      <c r="K1463" s="15"/>
      <c r="L1463" s="16"/>
    </row>
    <row r="1464" customFormat="false" ht="12.8" hidden="false" customHeight="false" outlineLevel="0" collapsed="false">
      <c r="E1464" s="10"/>
      <c r="F1464" s="11"/>
      <c r="G1464" s="12"/>
      <c r="H1464" s="13"/>
      <c r="I1464" s="14"/>
      <c r="J1464" s="15"/>
      <c r="K1464" s="15"/>
      <c r="L1464" s="16"/>
    </row>
    <row r="1465" customFormat="false" ht="12.8" hidden="false" customHeight="false" outlineLevel="0" collapsed="false">
      <c r="E1465" s="10"/>
      <c r="F1465" s="11"/>
      <c r="G1465" s="12"/>
      <c r="H1465" s="13"/>
      <c r="I1465" s="14"/>
      <c r="J1465" s="15"/>
      <c r="K1465" s="15"/>
      <c r="L1465" s="16"/>
    </row>
    <row r="1466" customFormat="false" ht="12.8" hidden="false" customHeight="false" outlineLevel="0" collapsed="false">
      <c r="E1466" s="10"/>
      <c r="F1466" s="11"/>
      <c r="G1466" s="12"/>
      <c r="H1466" s="13"/>
      <c r="I1466" s="14"/>
      <c r="J1466" s="15"/>
      <c r="K1466" s="15"/>
      <c r="L1466" s="16"/>
    </row>
    <row r="1467" customFormat="false" ht="12.8" hidden="false" customHeight="false" outlineLevel="0" collapsed="false">
      <c r="E1467" s="10"/>
      <c r="F1467" s="11"/>
      <c r="G1467" s="12"/>
      <c r="H1467" s="13"/>
      <c r="I1467" s="14"/>
      <c r="J1467" s="15"/>
      <c r="K1467" s="15"/>
      <c r="L1467" s="16"/>
    </row>
    <row r="1468" customFormat="false" ht="12.8" hidden="false" customHeight="false" outlineLevel="0" collapsed="false">
      <c r="E1468" s="10"/>
      <c r="F1468" s="11"/>
      <c r="G1468" s="12"/>
      <c r="H1468" s="13"/>
      <c r="I1468" s="14"/>
      <c r="J1468" s="15"/>
      <c r="K1468" s="15"/>
      <c r="L1468" s="16"/>
    </row>
    <row r="1469" customFormat="false" ht="12.8" hidden="false" customHeight="false" outlineLevel="0" collapsed="false">
      <c r="E1469" s="10"/>
      <c r="F1469" s="11"/>
      <c r="G1469" s="12"/>
      <c r="H1469" s="13"/>
      <c r="I1469" s="14"/>
      <c r="J1469" s="15"/>
      <c r="K1469" s="15"/>
      <c r="L1469" s="16"/>
    </row>
    <row r="1470" customFormat="false" ht="12.8" hidden="false" customHeight="false" outlineLevel="0" collapsed="false">
      <c r="E1470" s="10"/>
      <c r="F1470" s="11"/>
      <c r="G1470" s="12"/>
      <c r="H1470" s="13"/>
      <c r="I1470" s="14"/>
      <c r="J1470" s="15"/>
      <c r="K1470" s="15"/>
      <c r="L1470" s="16"/>
    </row>
    <row r="1471" customFormat="false" ht="12.8" hidden="false" customHeight="false" outlineLevel="0" collapsed="false">
      <c r="E1471" s="10"/>
      <c r="F1471" s="11"/>
      <c r="G1471" s="12"/>
      <c r="H1471" s="13"/>
      <c r="I1471" s="14"/>
      <c r="J1471" s="15"/>
      <c r="K1471" s="15"/>
      <c r="L1471" s="16"/>
    </row>
    <row r="1472" customFormat="false" ht="12.8" hidden="false" customHeight="false" outlineLevel="0" collapsed="false">
      <c r="E1472" s="10"/>
      <c r="F1472" s="11"/>
      <c r="G1472" s="12"/>
      <c r="H1472" s="13"/>
      <c r="I1472" s="14"/>
      <c r="J1472" s="15"/>
      <c r="K1472" s="15"/>
      <c r="L1472" s="16"/>
    </row>
    <row r="1473" customFormat="false" ht="12.8" hidden="false" customHeight="false" outlineLevel="0" collapsed="false">
      <c r="E1473" s="10"/>
      <c r="F1473" s="11"/>
      <c r="G1473" s="12"/>
      <c r="H1473" s="13"/>
      <c r="I1473" s="14"/>
      <c r="J1473" s="15"/>
      <c r="K1473" s="15"/>
      <c r="L1473" s="16"/>
    </row>
    <row r="1474" customFormat="false" ht="12.8" hidden="false" customHeight="false" outlineLevel="0" collapsed="false">
      <c r="E1474" s="10"/>
      <c r="F1474" s="11"/>
      <c r="G1474" s="12"/>
      <c r="H1474" s="13"/>
      <c r="I1474" s="14"/>
      <c r="J1474" s="15"/>
      <c r="K1474" s="15"/>
      <c r="L1474" s="16"/>
    </row>
    <row r="1475" customFormat="false" ht="12.8" hidden="false" customHeight="false" outlineLevel="0" collapsed="false">
      <c r="E1475" s="10"/>
      <c r="F1475" s="11"/>
      <c r="G1475" s="12"/>
      <c r="H1475" s="13"/>
      <c r="I1475" s="14"/>
      <c r="J1475" s="15"/>
      <c r="K1475" s="15"/>
      <c r="L1475" s="16"/>
    </row>
    <row r="1476" customFormat="false" ht="12.8" hidden="false" customHeight="false" outlineLevel="0" collapsed="false">
      <c r="E1476" s="10"/>
      <c r="F1476" s="11"/>
      <c r="G1476" s="12"/>
      <c r="H1476" s="13"/>
      <c r="I1476" s="14"/>
      <c r="J1476" s="15"/>
      <c r="K1476" s="15"/>
      <c r="L1476" s="16"/>
    </row>
    <row r="1477" customFormat="false" ht="12.8" hidden="false" customHeight="false" outlineLevel="0" collapsed="false">
      <c r="E1477" s="10"/>
      <c r="F1477" s="11"/>
      <c r="G1477" s="12"/>
      <c r="H1477" s="13"/>
      <c r="I1477" s="14"/>
      <c r="J1477" s="15"/>
      <c r="K1477" s="15"/>
      <c r="L1477" s="16"/>
    </row>
    <row r="1478" customFormat="false" ht="12.8" hidden="false" customHeight="false" outlineLevel="0" collapsed="false">
      <c r="E1478" s="10"/>
      <c r="F1478" s="11"/>
      <c r="G1478" s="12"/>
      <c r="H1478" s="13"/>
      <c r="I1478" s="14"/>
      <c r="J1478" s="15"/>
      <c r="K1478" s="15"/>
      <c r="L1478" s="16"/>
    </row>
    <row r="1479" customFormat="false" ht="12.8" hidden="false" customHeight="false" outlineLevel="0" collapsed="false">
      <c r="E1479" s="10"/>
      <c r="F1479" s="11"/>
      <c r="G1479" s="12"/>
      <c r="H1479" s="13"/>
      <c r="I1479" s="14"/>
      <c r="J1479" s="15"/>
      <c r="K1479" s="15"/>
      <c r="L1479" s="16"/>
    </row>
    <row r="1480" customFormat="false" ht="12.8" hidden="false" customHeight="false" outlineLevel="0" collapsed="false">
      <c r="E1480" s="10"/>
      <c r="F1480" s="11"/>
      <c r="G1480" s="12"/>
      <c r="H1480" s="13"/>
      <c r="I1480" s="14"/>
      <c r="J1480" s="15"/>
      <c r="K1480" s="15"/>
      <c r="L1480" s="16"/>
    </row>
    <row r="1481" customFormat="false" ht="12.8" hidden="false" customHeight="false" outlineLevel="0" collapsed="false">
      <c r="E1481" s="10"/>
      <c r="F1481" s="11"/>
      <c r="G1481" s="12"/>
      <c r="H1481" s="13"/>
      <c r="I1481" s="14"/>
      <c r="J1481" s="15"/>
      <c r="K1481" s="15"/>
      <c r="L1481" s="16"/>
    </row>
    <row r="1482" customFormat="false" ht="12.8" hidden="false" customHeight="false" outlineLevel="0" collapsed="false">
      <c r="E1482" s="10"/>
      <c r="F1482" s="11"/>
      <c r="G1482" s="12"/>
      <c r="H1482" s="13"/>
      <c r="I1482" s="14"/>
      <c r="J1482" s="15"/>
      <c r="K1482" s="15"/>
      <c r="L1482" s="16"/>
    </row>
    <row r="1483" customFormat="false" ht="12.8" hidden="false" customHeight="false" outlineLevel="0" collapsed="false">
      <c r="E1483" s="10"/>
      <c r="F1483" s="11"/>
      <c r="G1483" s="12"/>
      <c r="H1483" s="13"/>
      <c r="I1483" s="14"/>
      <c r="J1483" s="15"/>
      <c r="K1483" s="15"/>
      <c r="L1483" s="16"/>
    </row>
    <row r="1484" customFormat="false" ht="12.8" hidden="false" customHeight="false" outlineLevel="0" collapsed="false">
      <c r="E1484" s="10"/>
      <c r="F1484" s="11"/>
      <c r="G1484" s="12"/>
      <c r="H1484" s="13"/>
      <c r="I1484" s="14"/>
      <c r="J1484" s="15"/>
      <c r="K1484" s="15"/>
      <c r="L1484" s="16"/>
    </row>
    <row r="1485" customFormat="false" ht="12.8" hidden="false" customHeight="false" outlineLevel="0" collapsed="false">
      <c r="E1485" s="10"/>
      <c r="F1485" s="11"/>
      <c r="G1485" s="12"/>
      <c r="H1485" s="13"/>
      <c r="I1485" s="14"/>
      <c r="J1485" s="15"/>
      <c r="K1485" s="15"/>
      <c r="L1485" s="16"/>
    </row>
    <row r="1486" customFormat="false" ht="12.8" hidden="false" customHeight="false" outlineLevel="0" collapsed="false">
      <c r="E1486" s="10"/>
      <c r="F1486" s="11"/>
      <c r="G1486" s="12"/>
      <c r="H1486" s="13"/>
      <c r="I1486" s="14"/>
      <c r="J1486" s="15"/>
      <c r="K1486" s="15"/>
      <c r="L1486" s="16"/>
    </row>
    <row r="1487" customFormat="false" ht="12.8" hidden="false" customHeight="false" outlineLevel="0" collapsed="false">
      <c r="E1487" s="10"/>
      <c r="F1487" s="11"/>
      <c r="G1487" s="12"/>
      <c r="H1487" s="13"/>
      <c r="I1487" s="14"/>
      <c r="J1487" s="15"/>
      <c r="K1487" s="15"/>
      <c r="L1487" s="16"/>
    </row>
    <row r="1488" customFormat="false" ht="12.8" hidden="false" customHeight="false" outlineLevel="0" collapsed="false">
      <c r="E1488" s="10"/>
      <c r="F1488" s="11"/>
      <c r="G1488" s="12"/>
      <c r="H1488" s="13"/>
      <c r="I1488" s="14"/>
      <c r="J1488" s="15"/>
      <c r="K1488" s="15"/>
      <c r="L1488" s="16"/>
    </row>
    <row r="1489" customFormat="false" ht="12.8" hidden="false" customHeight="false" outlineLevel="0" collapsed="false">
      <c r="E1489" s="10"/>
      <c r="F1489" s="11"/>
      <c r="G1489" s="12"/>
      <c r="H1489" s="13"/>
      <c r="I1489" s="14"/>
      <c r="J1489" s="15"/>
      <c r="K1489" s="15"/>
      <c r="L1489" s="16"/>
    </row>
    <row r="1490" customFormat="false" ht="12.8" hidden="false" customHeight="false" outlineLevel="0" collapsed="false">
      <c r="E1490" s="10"/>
      <c r="F1490" s="11"/>
      <c r="G1490" s="12"/>
      <c r="H1490" s="13"/>
      <c r="I1490" s="14"/>
      <c r="J1490" s="15"/>
      <c r="K1490" s="15"/>
      <c r="L1490" s="16"/>
    </row>
    <row r="1491" customFormat="false" ht="12.8" hidden="false" customHeight="false" outlineLevel="0" collapsed="false">
      <c r="E1491" s="10"/>
      <c r="F1491" s="11"/>
      <c r="G1491" s="12"/>
      <c r="H1491" s="13"/>
      <c r="I1491" s="14"/>
      <c r="J1491" s="15"/>
      <c r="K1491" s="15"/>
      <c r="L1491" s="16"/>
    </row>
    <row r="1492" customFormat="false" ht="12.8" hidden="false" customHeight="false" outlineLevel="0" collapsed="false">
      <c r="E1492" s="10"/>
      <c r="F1492" s="11"/>
      <c r="G1492" s="12"/>
      <c r="H1492" s="13"/>
      <c r="I1492" s="14"/>
      <c r="J1492" s="15"/>
      <c r="K1492" s="15"/>
      <c r="L1492" s="16"/>
    </row>
    <row r="1493" customFormat="false" ht="12.8" hidden="false" customHeight="false" outlineLevel="0" collapsed="false">
      <c r="E1493" s="10"/>
      <c r="F1493" s="11"/>
      <c r="G1493" s="12"/>
      <c r="H1493" s="13"/>
      <c r="I1493" s="14"/>
      <c r="J1493" s="15"/>
      <c r="K1493" s="15"/>
      <c r="L1493" s="16"/>
    </row>
    <row r="1494" customFormat="false" ht="12.8" hidden="false" customHeight="false" outlineLevel="0" collapsed="false">
      <c r="E1494" s="10"/>
      <c r="F1494" s="11"/>
      <c r="G1494" s="12"/>
      <c r="H1494" s="13"/>
      <c r="I1494" s="14"/>
      <c r="J1494" s="15"/>
      <c r="K1494" s="15"/>
      <c r="L1494" s="16"/>
    </row>
    <row r="1495" customFormat="false" ht="12.8" hidden="false" customHeight="false" outlineLevel="0" collapsed="false">
      <c r="E1495" s="10"/>
      <c r="F1495" s="11"/>
      <c r="G1495" s="12"/>
      <c r="H1495" s="13"/>
      <c r="I1495" s="14"/>
      <c r="J1495" s="15"/>
      <c r="K1495" s="15"/>
      <c r="L1495" s="16"/>
    </row>
    <row r="1496" customFormat="false" ht="12.8" hidden="false" customHeight="false" outlineLevel="0" collapsed="false">
      <c r="E1496" s="10"/>
      <c r="F1496" s="11"/>
      <c r="G1496" s="12"/>
      <c r="H1496" s="13"/>
      <c r="I1496" s="14"/>
      <c r="J1496" s="15"/>
      <c r="K1496" s="15"/>
      <c r="L1496" s="16"/>
    </row>
    <row r="1497" customFormat="false" ht="12.8" hidden="false" customHeight="false" outlineLevel="0" collapsed="false">
      <c r="E1497" s="10"/>
      <c r="F1497" s="11"/>
      <c r="G1497" s="12"/>
      <c r="H1497" s="13"/>
      <c r="I1497" s="14"/>
      <c r="J1497" s="15"/>
      <c r="K1497" s="15"/>
      <c r="L1497" s="16"/>
    </row>
    <row r="1498" customFormat="false" ht="12.8" hidden="false" customHeight="false" outlineLevel="0" collapsed="false">
      <c r="E1498" s="10"/>
      <c r="F1498" s="11"/>
      <c r="G1498" s="12"/>
      <c r="H1498" s="13"/>
      <c r="I1498" s="14"/>
      <c r="J1498" s="15"/>
      <c r="K1498" s="15"/>
      <c r="L1498" s="16"/>
    </row>
    <row r="1499" customFormat="false" ht="12.8" hidden="false" customHeight="false" outlineLevel="0" collapsed="false">
      <c r="E1499" s="10"/>
      <c r="F1499" s="11"/>
      <c r="G1499" s="12"/>
      <c r="H1499" s="13"/>
      <c r="I1499" s="14"/>
      <c r="J1499" s="15"/>
      <c r="K1499" s="15"/>
      <c r="L1499" s="16"/>
    </row>
    <row r="1500" customFormat="false" ht="12.8" hidden="false" customHeight="false" outlineLevel="0" collapsed="false">
      <c r="E1500" s="10"/>
      <c r="F1500" s="11"/>
      <c r="G1500" s="12"/>
      <c r="H1500" s="13"/>
      <c r="I1500" s="14"/>
      <c r="J1500" s="15"/>
      <c r="K1500" s="15"/>
      <c r="L1500" s="16"/>
    </row>
    <row r="1501" customFormat="false" ht="12.8" hidden="false" customHeight="false" outlineLevel="0" collapsed="false">
      <c r="E1501" s="10"/>
      <c r="F1501" s="11"/>
      <c r="G1501" s="12"/>
      <c r="H1501" s="13"/>
      <c r="I1501" s="14"/>
      <c r="J1501" s="15"/>
      <c r="K1501" s="15"/>
      <c r="L1501" s="16"/>
    </row>
    <row r="1502" customFormat="false" ht="12.8" hidden="false" customHeight="false" outlineLevel="0" collapsed="false">
      <c r="E1502" s="10"/>
      <c r="F1502" s="11"/>
      <c r="G1502" s="12"/>
      <c r="H1502" s="13"/>
      <c r="I1502" s="14"/>
      <c r="J1502" s="15"/>
      <c r="K1502" s="15"/>
      <c r="L1502" s="16"/>
    </row>
    <row r="1503" customFormat="false" ht="12.8" hidden="false" customHeight="false" outlineLevel="0" collapsed="false">
      <c r="E1503" s="10"/>
      <c r="F1503" s="11"/>
      <c r="G1503" s="12"/>
      <c r="H1503" s="13"/>
      <c r="I1503" s="14"/>
      <c r="J1503" s="15"/>
      <c r="K1503" s="15"/>
      <c r="L1503" s="16"/>
    </row>
    <row r="1504" customFormat="false" ht="12.8" hidden="false" customHeight="false" outlineLevel="0" collapsed="false">
      <c r="E1504" s="10"/>
      <c r="F1504" s="11"/>
      <c r="G1504" s="12"/>
      <c r="H1504" s="13"/>
      <c r="I1504" s="14"/>
      <c r="J1504" s="15"/>
      <c r="K1504" s="15"/>
      <c r="L1504" s="16"/>
    </row>
    <row r="1505" customFormat="false" ht="12.8" hidden="false" customHeight="false" outlineLevel="0" collapsed="false">
      <c r="E1505" s="10"/>
      <c r="F1505" s="11"/>
      <c r="G1505" s="12"/>
      <c r="H1505" s="13"/>
      <c r="I1505" s="14"/>
      <c r="J1505" s="15"/>
      <c r="K1505" s="15"/>
      <c r="L1505" s="16"/>
    </row>
    <row r="1506" customFormat="false" ht="12.8" hidden="false" customHeight="false" outlineLevel="0" collapsed="false">
      <c r="E1506" s="10"/>
      <c r="F1506" s="11"/>
      <c r="G1506" s="12"/>
      <c r="H1506" s="13"/>
      <c r="I1506" s="14"/>
      <c r="J1506" s="15"/>
      <c r="K1506" s="15"/>
      <c r="L1506" s="16"/>
    </row>
    <row r="1507" customFormat="false" ht="12.8" hidden="false" customHeight="false" outlineLevel="0" collapsed="false">
      <c r="E1507" s="10"/>
      <c r="F1507" s="11"/>
      <c r="G1507" s="12"/>
      <c r="H1507" s="13"/>
      <c r="I1507" s="14"/>
      <c r="J1507" s="15"/>
      <c r="K1507" s="15"/>
      <c r="L1507" s="16"/>
    </row>
    <row r="1508" customFormat="false" ht="12.8" hidden="false" customHeight="false" outlineLevel="0" collapsed="false">
      <c r="E1508" s="10"/>
      <c r="F1508" s="11"/>
      <c r="G1508" s="12"/>
      <c r="H1508" s="13"/>
      <c r="I1508" s="14"/>
      <c r="J1508" s="15"/>
      <c r="K1508" s="15"/>
      <c r="L1508" s="16"/>
    </row>
    <row r="1509" customFormat="false" ht="12.8" hidden="false" customHeight="false" outlineLevel="0" collapsed="false">
      <c r="E1509" s="10"/>
      <c r="F1509" s="11"/>
      <c r="G1509" s="12"/>
      <c r="H1509" s="13"/>
      <c r="I1509" s="14"/>
      <c r="J1509" s="15"/>
      <c r="K1509" s="15"/>
      <c r="L1509" s="16"/>
    </row>
    <row r="1510" customFormat="false" ht="12.8" hidden="false" customHeight="false" outlineLevel="0" collapsed="false">
      <c r="E1510" s="10"/>
      <c r="F1510" s="11"/>
      <c r="G1510" s="12"/>
      <c r="H1510" s="13"/>
      <c r="I1510" s="14"/>
      <c r="J1510" s="15"/>
      <c r="K1510" s="15"/>
      <c r="L1510" s="16"/>
    </row>
    <row r="1511" customFormat="false" ht="12.8" hidden="false" customHeight="false" outlineLevel="0" collapsed="false">
      <c r="E1511" s="10"/>
      <c r="F1511" s="11"/>
      <c r="G1511" s="12"/>
      <c r="H1511" s="13"/>
      <c r="I1511" s="14"/>
      <c r="J1511" s="15"/>
      <c r="K1511" s="15"/>
      <c r="L1511" s="16"/>
    </row>
    <row r="1512" customFormat="false" ht="12.8" hidden="false" customHeight="false" outlineLevel="0" collapsed="false">
      <c r="E1512" s="10"/>
      <c r="F1512" s="11"/>
      <c r="G1512" s="12"/>
      <c r="H1512" s="13"/>
      <c r="I1512" s="14"/>
      <c r="J1512" s="15"/>
      <c r="K1512" s="15"/>
      <c r="L1512" s="16"/>
    </row>
    <row r="1513" customFormat="false" ht="12.8" hidden="false" customHeight="false" outlineLevel="0" collapsed="false">
      <c r="E1513" s="10"/>
      <c r="F1513" s="11"/>
      <c r="G1513" s="12"/>
      <c r="H1513" s="13"/>
      <c r="I1513" s="14"/>
      <c r="J1513" s="15"/>
      <c r="K1513" s="15"/>
      <c r="L1513" s="16"/>
    </row>
    <row r="1514" customFormat="false" ht="12.8" hidden="false" customHeight="false" outlineLevel="0" collapsed="false">
      <c r="E1514" s="10"/>
      <c r="F1514" s="11"/>
      <c r="G1514" s="12"/>
      <c r="H1514" s="13"/>
      <c r="I1514" s="14"/>
      <c r="J1514" s="15"/>
      <c r="K1514" s="15"/>
      <c r="L1514" s="16"/>
    </row>
    <row r="1515" customFormat="false" ht="12.8" hidden="false" customHeight="false" outlineLevel="0" collapsed="false">
      <c r="E1515" s="10"/>
      <c r="F1515" s="11"/>
      <c r="G1515" s="12"/>
      <c r="H1515" s="13"/>
      <c r="I1515" s="14"/>
      <c r="J1515" s="15"/>
      <c r="K1515" s="15"/>
      <c r="L1515" s="16"/>
    </row>
    <row r="1516" customFormat="false" ht="12.8" hidden="false" customHeight="false" outlineLevel="0" collapsed="false">
      <c r="E1516" s="10"/>
      <c r="F1516" s="11"/>
      <c r="G1516" s="12"/>
      <c r="H1516" s="13"/>
      <c r="I1516" s="14"/>
      <c r="J1516" s="15"/>
      <c r="K1516" s="15"/>
      <c r="L1516" s="16"/>
    </row>
    <row r="1517" customFormat="false" ht="12.8" hidden="false" customHeight="false" outlineLevel="0" collapsed="false">
      <c r="E1517" s="10"/>
      <c r="F1517" s="11"/>
      <c r="G1517" s="12"/>
      <c r="H1517" s="13"/>
      <c r="I1517" s="14"/>
      <c r="J1517" s="15"/>
      <c r="K1517" s="15"/>
      <c r="L1517" s="16"/>
    </row>
    <row r="1518" customFormat="false" ht="12.8" hidden="false" customHeight="false" outlineLevel="0" collapsed="false">
      <c r="E1518" s="10"/>
      <c r="F1518" s="11"/>
      <c r="G1518" s="12"/>
      <c r="H1518" s="13"/>
      <c r="I1518" s="14"/>
      <c r="J1518" s="15"/>
      <c r="K1518" s="15"/>
      <c r="L1518" s="16"/>
    </row>
    <row r="1519" customFormat="false" ht="12.8" hidden="false" customHeight="false" outlineLevel="0" collapsed="false">
      <c r="E1519" s="10"/>
      <c r="F1519" s="11"/>
      <c r="G1519" s="12"/>
      <c r="H1519" s="13"/>
      <c r="I1519" s="14"/>
      <c r="J1519" s="15"/>
      <c r="K1519" s="15"/>
      <c r="L1519" s="16"/>
    </row>
    <row r="1520" customFormat="false" ht="12.8" hidden="false" customHeight="false" outlineLevel="0" collapsed="false">
      <c r="E1520" s="10"/>
      <c r="F1520" s="11"/>
      <c r="G1520" s="12"/>
      <c r="H1520" s="13"/>
      <c r="I1520" s="14"/>
      <c r="J1520" s="15"/>
      <c r="K1520" s="15"/>
      <c r="L1520" s="16"/>
    </row>
    <row r="1521" customFormat="false" ht="12.8" hidden="false" customHeight="false" outlineLevel="0" collapsed="false">
      <c r="E1521" s="10"/>
      <c r="F1521" s="11"/>
      <c r="G1521" s="12"/>
      <c r="H1521" s="13"/>
      <c r="I1521" s="14"/>
      <c r="J1521" s="15"/>
      <c r="K1521" s="15"/>
      <c r="L1521" s="16"/>
    </row>
    <row r="1522" customFormat="false" ht="12.8" hidden="false" customHeight="false" outlineLevel="0" collapsed="false">
      <c r="E1522" s="10"/>
      <c r="F1522" s="11"/>
      <c r="G1522" s="12"/>
      <c r="H1522" s="13"/>
      <c r="I1522" s="14"/>
      <c r="J1522" s="15"/>
      <c r="K1522" s="15"/>
      <c r="L1522" s="16"/>
    </row>
    <row r="1523" customFormat="false" ht="12.8" hidden="false" customHeight="false" outlineLevel="0" collapsed="false">
      <c r="E1523" s="10"/>
      <c r="F1523" s="11"/>
      <c r="G1523" s="12"/>
      <c r="H1523" s="13"/>
      <c r="I1523" s="14"/>
      <c r="J1523" s="15"/>
      <c r="K1523" s="15"/>
      <c r="L1523" s="16"/>
    </row>
    <row r="1524" customFormat="false" ht="12.8" hidden="false" customHeight="false" outlineLevel="0" collapsed="false">
      <c r="E1524" s="10"/>
      <c r="F1524" s="11"/>
      <c r="G1524" s="12"/>
      <c r="H1524" s="13"/>
      <c r="I1524" s="14"/>
      <c r="J1524" s="15"/>
      <c r="K1524" s="15"/>
      <c r="L1524" s="16"/>
    </row>
    <row r="1525" customFormat="false" ht="12.8" hidden="false" customHeight="false" outlineLevel="0" collapsed="false">
      <c r="E1525" s="10"/>
      <c r="F1525" s="11"/>
      <c r="G1525" s="12"/>
      <c r="H1525" s="13"/>
      <c r="I1525" s="14"/>
      <c r="J1525" s="15"/>
      <c r="K1525" s="15"/>
      <c r="L1525" s="16"/>
    </row>
    <row r="1526" customFormat="false" ht="12.8" hidden="false" customHeight="false" outlineLevel="0" collapsed="false">
      <c r="E1526" s="10"/>
      <c r="F1526" s="11"/>
      <c r="G1526" s="12"/>
      <c r="H1526" s="13"/>
      <c r="I1526" s="14"/>
      <c r="J1526" s="15"/>
      <c r="K1526" s="15"/>
      <c r="L1526" s="16"/>
    </row>
    <row r="1527" customFormat="false" ht="12.8" hidden="false" customHeight="false" outlineLevel="0" collapsed="false">
      <c r="E1527" s="10"/>
      <c r="F1527" s="11"/>
      <c r="G1527" s="12"/>
      <c r="H1527" s="13"/>
      <c r="I1527" s="14"/>
      <c r="J1527" s="15"/>
      <c r="K1527" s="15"/>
      <c r="L1527" s="16"/>
    </row>
    <row r="1528" customFormat="false" ht="12.8" hidden="false" customHeight="false" outlineLevel="0" collapsed="false">
      <c r="E1528" s="10"/>
      <c r="F1528" s="11"/>
      <c r="G1528" s="12"/>
      <c r="H1528" s="13"/>
      <c r="I1528" s="14"/>
      <c r="J1528" s="15"/>
      <c r="K1528" s="15"/>
      <c r="L1528" s="16"/>
    </row>
    <row r="1529" customFormat="false" ht="12.8" hidden="false" customHeight="false" outlineLevel="0" collapsed="false">
      <c r="E1529" s="10"/>
      <c r="F1529" s="11"/>
      <c r="G1529" s="12"/>
      <c r="H1529" s="13"/>
      <c r="I1529" s="14"/>
      <c r="J1529" s="15"/>
      <c r="K1529" s="15"/>
      <c r="L1529" s="16"/>
    </row>
    <row r="1530" customFormat="false" ht="12.8" hidden="false" customHeight="false" outlineLevel="0" collapsed="false">
      <c r="E1530" s="10"/>
      <c r="F1530" s="11"/>
      <c r="G1530" s="12"/>
      <c r="H1530" s="13"/>
      <c r="I1530" s="14"/>
      <c r="J1530" s="15"/>
      <c r="K1530" s="15"/>
      <c r="L1530" s="16"/>
    </row>
    <row r="1531" customFormat="false" ht="12.8" hidden="false" customHeight="false" outlineLevel="0" collapsed="false">
      <c r="E1531" s="10"/>
      <c r="F1531" s="11"/>
      <c r="G1531" s="12"/>
      <c r="H1531" s="13"/>
      <c r="I1531" s="14"/>
      <c r="J1531" s="15"/>
      <c r="K1531" s="15"/>
      <c r="L1531" s="16"/>
    </row>
    <row r="1532" customFormat="false" ht="12.8" hidden="false" customHeight="false" outlineLevel="0" collapsed="false">
      <c r="E1532" s="10"/>
      <c r="F1532" s="11"/>
      <c r="G1532" s="12"/>
      <c r="H1532" s="13"/>
      <c r="I1532" s="14"/>
      <c r="J1532" s="15"/>
      <c r="K1532" s="15"/>
      <c r="L1532" s="16"/>
    </row>
    <row r="1533" customFormat="false" ht="12.8" hidden="false" customHeight="false" outlineLevel="0" collapsed="false">
      <c r="E1533" s="10"/>
      <c r="F1533" s="11"/>
      <c r="G1533" s="12"/>
      <c r="H1533" s="13"/>
      <c r="I1533" s="14"/>
      <c r="J1533" s="15"/>
      <c r="K1533" s="15"/>
      <c r="L1533" s="16"/>
    </row>
    <row r="1534" customFormat="false" ht="12.8" hidden="false" customHeight="false" outlineLevel="0" collapsed="false">
      <c r="E1534" s="10"/>
      <c r="F1534" s="11"/>
      <c r="G1534" s="12"/>
      <c r="H1534" s="13"/>
      <c r="I1534" s="14"/>
      <c r="J1534" s="15"/>
      <c r="K1534" s="15"/>
      <c r="L1534" s="16"/>
    </row>
    <row r="1535" customFormat="false" ht="12.8" hidden="false" customHeight="false" outlineLevel="0" collapsed="false">
      <c r="E1535" s="10"/>
      <c r="F1535" s="11"/>
      <c r="G1535" s="12"/>
      <c r="H1535" s="13"/>
      <c r="I1535" s="14"/>
      <c r="J1535" s="15"/>
      <c r="K1535" s="15"/>
      <c r="L1535" s="16"/>
    </row>
    <row r="1536" customFormat="false" ht="12.8" hidden="false" customHeight="false" outlineLevel="0" collapsed="false">
      <c r="E1536" s="10"/>
      <c r="F1536" s="11"/>
      <c r="G1536" s="12"/>
      <c r="H1536" s="13"/>
      <c r="I1536" s="14"/>
      <c r="J1536" s="15"/>
      <c r="K1536" s="15"/>
      <c r="L1536" s="16"/>
    </row>
    <row r="1537" customFormat="false" ht="12.8" hidden="false" customHeight="false" outlineLevel="0" collapsed="false">
      <c r="E1537" s="10"/>
      <c r="F1537" s="11"/>
      <c r="G1537" s="12"/>
      <c r="H1537" s="13"/>
      <c r="I1537" s="14"/>
      <c r="J1537" s="15"/>
      <c r="K1537" s="15"/>
      <c r="L1537" s="16"/>
    </row>
    <row r="1538" customFormat="false" ht="12.8" hidden="false" customHeight="false" outlineLevel="0" collapsed="false">
      <c r="E1538" s="10"/>
      <c r="F1538" s="11"/>
      <c r="G1538" s="12"/>
      <c r="H1538" s="13"/>
      <c r="I1538" s="14"/>
      <c r="J1538" s="15"/>
      <c r="K1538" s="15"/>
      <c r="L1538" s="16"/>
    </row>
    <row r="1539" customFormat="false" ht="12.8" hidden="false" customHeight="false" outlineLevel="0" collapsed="false">
      <c r="E1539" s="10"/>
      <c r="F1539" s="11"/>
      <c r="G1539" s="12"/>
      <c r="H1539" s="13"/>
      <c r="I1539" s="14"/>
      <c r="J1539" s="15"/>
      <c r="K1539" s="15"/>
      <c r="L1539" s="16"/>
    </row>
    <row r="1540" customFormat="false" ht="12.8" hidden="false" customHeight="false" outlineLevel="0" collapsed="false">
      <c r="E1540" s="10"/>
      <c r="F1540" s="11"/>
      <c r="G1540" s="12"/>
      <c r="H1540" s="13"/>
      <c r="I1540" s="14"/>
      <c r="J1540" s="15"/>
      <c r="K1540" s="15"/>
      <c r="L1540" s="16"/>
    </row>
    <row r="1541" customFormat="false" ht="12.8" hidden="false" customHeight="false" outlineLevel="0" collapsed="false">
      <c r="E1541" s="10"/>
      <c r="F1541" s="11"/>
      <c r="G1541" s="12"/>
      <c r="H1541" s="13"/>
      <c r="I1541" s="14"/>
      <c r="J1541" s="15"/>
      <c r="K1541" s="15"/>
      <c r="L1541" s="16"/>
    </row>
    <row r="1542" customFormat="false" ht="12.8" hidden="false" customHeight="false" outlineLevel="0" collapsed="false">
      <c r="E1542" s="10"/>
      <c r="F1542" s="11"/>
      <c r="G1542" s="12"/>
      <c r="H1542" s="13"/>
      <c r="I1542" s="14"/>
      <c r="J1542" s="15"/>
      <c r="K1542" s="15"/>
      <c r="L1542" s="16"/>
    </row>
    <row r="1543" customFormat="false" ht="12.8" hidden="false" customHeight="false" outlineLevel="0" collapsed="false">
      <c r="E1543" s="10"/>
      <c r="F1543" s="11"/>
      <c r="G1543" s="12"/>
      <c r="H1543" s="13"/>
      <c r="I1543" s="14"/>
      <c r="J1543" s="15"/>
      <c r="K1543" s="15"/>
      <c r="L1543" s="16"/>
    </row>
    <row r="1544" customFormat="false" ht="12.8" hidden="false" customHeight="false" outlineLevel="0" collapsed="false">
      <c r="E1544" s="10"/>
      <c r="F1544" s="11"/>
      <c r="G1544" s="12"/>
      <c r="H1544" s="13"/>
      <c r="I1544" s="14"/>
      <c r="J1544" s="15"/>
      <c r="K1544" s="15"/>
      <c r="L1544" s="16"/>
    </row>
    <row r="1545" customFormat="false" ht="12.8" hidden="false" customHeight="false" outlineLevel="0" collapsed="false">
      <c r="E1545" s="10"/>
      <c r="F1545" s="11"/>
      <c r="G1545" s="12"/>
      <c r="H1545" s="13"/>
      <c r="I1545" s="14"/>
      <c r="J1545" s="15"/>
      <c r="K1545" s="15"/>
      <c r="L1545" s="16"/>
    </row>
    <row r="1546" customFormat="false" ht="12.8" hidden="false" customHeight="false" outlineLevel="0" collapsed="false">
      <c r="E1546" s="10"/>
      <c r="F1546" s="11"/>
      <c r="G1546" s="12"/>
      <c r="H1546" s="13"/>
      <c r="I1546" s="14"/>
      <c r="J1546" s="15"/>
      <c r="K1546" s="15"/>
      <c r="L1546" s="16"/>
    </row>
    <row r="1547" customFormat="false" ht="12.8" hidden="false" customHeight="false" outlineLevel="0" collapsed="false">
      <c r="E1547" s="10"/>
      <c r="F1547" s="11"/>
      <c r="G1547" s="12"/>
      <c r="H1547" s="13"/>
      <c r="I1547" s="14"/>
      <c r="J1547" s="15"/>
      <c r="K1547" s="15"/>
      <c r="L1547" s="16"/>
    </row>
    <row r="1548" customFormat="false" ht="12.8" hidden="false" customHeight="false" outlineLevel="0" collapsed="false">
      <c r="E1548" s="10"/>
      <c r="F1548" s="11"/>
      <c r="G1548" s="12"/>
      <c r="H1548" s="13"/>
      <c r="I1548" s="14"/>
      <c r="J1548" s="15"/>
      <c r="K1548" s="15"/>
      <c r="L1548" s="16"/>
    </row>
    <row r="1549" customFormat="false" ht="12.8" hidden="false" customHeight="false" outlineLevel="0" collapsed="false">
      <c r="E1549" s="10"/>
      <c r="F1549" s="11"/>
      <c r="G1549" s="12"/>
      <c r="H1549" s="13"/>
      <c r="I1549" s="14"/>
      <c r="J1549" s="15"/>
      <c r="K1549" s="15"/>
      <c r="L1549" s="16"/>
    </row>
    <row r="1550" customFormat="false" ht="12.8" hidden="false" customHeight="false" outlineLevel="0" collapsed="false">
      <c r="E1550" s="10"/>
      <c r="F1550" s="11"/>
      <c r="G1550" s="12"/>
      <c r="H1550" s="13"/>
      <c r="I1550" s="14"/>
      <c r="J1550" s="15"/>
      <c r="K1550" s="15"/>
      <c r="L1550" s="16"/>
    </row>
    <row r="1551" customFormat="false" ht="12.8" hidden="false" customHeight="false" outlineLevel="0" collapsed="false">
      <c r="E1551" s="10"/>
      <c r="F1551" s="11"/>
      <c r="G1551" s="12"/>
      <c r="H1551" s="13"/>
      <c r="I1551" s="14"/>
      <c r="J1551" s="15"/>
      <c r="K1551" s="15"/>
      <c r="L1551" s="16"/>
    </row>
    <row r="1552" customFormat="false" ht="12.8" hidden="false" customHeight="false" outlineLevel="0" collapsed="false">
      <c r="E1552" s="10"/>
      <c r="F1552" s="11"/>
      <c r="G1552" s="12"/>
      <c r="H1552" s="13"/>
      <c r="I1552" s="14"/>
      <c r="J1552" s="15"/>
      <c r="K1552" s="15"/>
      <c r="L1552" s="16"/>
    </row>
    <row r="1553" customFormat="false" ht="12.8" hidden="false" customHeight="false" outlineLevel="0" collapsed="false">
      <c r="E1553" s="10"/>
      <c r="F1553" s="11"/>
      <c r="G1553" s="12"/>
      <c r="H1553" s="13"/>
      <c r="I1553" s="14"/>
      <c r="J1553" s="15"/>
      <c r="K1553" s="15"/>
      <c r="L1553" s="16"/>
    </row>
    <row r="1554" customFormat="false" ht="12.8" hidden="false" customHeight="false" outlineLevel="0" collapsed="false">
      <c r="E1554" s="10"/>
      <c r="F1554" s="11"/>
      <c r="G1554" s="12"/>
      <c r="H1554" s="13"/>
      <c r="I1554" s="14"/>
      <c r="J1554" s="15"/>
      <c r="K1554" s="15"/>
      <c r="L1554" s="16"/>
    </row>
    <row r="1555" customFormat="false" ht="12.8" hidden="false" customHeight="false" outlineLevel="0" collapsed="false">
      <c r="E1555" s="10"/>
      <c r="F1555" s="11"/>
      <c r="G1555" s="12"/>
      <c r="H1555" s="13"/>
      <c r="I1555" s="14"/>
      <c r="J1555" s="15"/>
      <c r="K1555" s="15"/>
      <c r="L1555" s="16"/>
    </row>
    <row r="1556" customFormat="false" ht="12.8" hidden="false" customHeight="false" outlineLevel="0" collapsed="false">
      <c r="E1556" s="10"/>
      <c r="F1556" s="11"/>
      <c r="G1556" s="12"/>
      <c r="H1556" s="13"/>
      <c r="I1556" s="14"/>
      <c r="J1556" s="15"/>
      <c r="K1556" s="15"/>
      <c r="L1556" s="16"/>
    </row>
    <row r="1557" customFormat="false" ht="12.8" hidden="false" customHeight="false" outlineLevel="0" collapsed="false">
      <c r="E1557" s="10"/>
      <c r="F1557" s="11"/>
      <c r="G1557" s="12"/>
      <c r="H1557" s="13"/>
      <c r="I1557" s="14"/>
      <c r="J1557" s="15"/>
      <c r="K1557" s="15"/>
      <c r="L1557" s="16"/>
    </row>
    <row r="1558" customFormat="false" ht="12.8" hidden="false" customHeight="false" outlineLevel="0" collapsed="false">
      <c r="E1558" s="10"/>
      <c r="F1558" s="11"/>
      <c r="G1558" s="12"/>
      <c r="H1558" s="13"/>
      <c r="I1558" s="14"/>
      <c r="J1558" s="15"/>
      <c r="K1558" s="15"/>
      <c r="L1558" s="16"/>
    </row>
    <row r="1559" customFormat="false" ht="12.8" hidden="false" customHeight="false" outlineLevel="0" collapsed="false">
      <c r="E1559" s="10"/>
      <c r="F1559" s="11"/>
      <c r="G1559" s="12"/>
      <c r="H1559" s="13"/>
      <c r="I1559" s="14"/>
      <c r="J1559" s="15"/>
      <c r="K1559" s="15"/>
      <c r="L1559" s="16"/>
    </row>
    <row r="1560" customFormat="false" ht="12.8" hidden="false" customHeight="false" outlineLevel="0" collapsed="false">
      <c r="E1560" s="10"/>
      <c r="F1560" s="11"/>
      <c r="G1560" s="12"/>
      <c r="H1560" s="13"/>
      <c r="I1560" s="14"/>
      <c r="J1560" s="15"/>
      <c r="K1560" s="15"/>
      <c r="L1560" s="16"/>
    </row>
    <row r="1561" customFormat="false" ht="12.8" hidden="false" customHeight="false" outlineLevel="0" collapsed="false">
      <c r="E1561" s="10"/>
      <c r="F1561" s="11"/>
      <c r="G1561" s="12"/>
      <c r="H1561" s="13"/>
      <c r="I1561" s="14"/>
      <c r="J1561" s="15"/>
      <c r="K1561" s="15"/>
      <c r="L1561" s="16"/>
    </row>
    <row r="1562" customFormat="false" ht="12.8" hidden="false" customHeight="false" outlineLevel="0" collapsed="false">
      <c r="E1562" s="10"/>
      <c r="F1562" s="11"/>
      <c r="G1562" s="12"/>
      <c r="H1562" s="13"/>
      <c r="I1562" s="14"/>
      <c r="J1562" s="15"/>
      <c r="K1562" s="15"/>
      <c r="L1562" s="16"/>
    </row>
    <row r="1563" customFormat="false" ht="12.8" hidden="false" customHeight="false" outlineLevel="0" collapsed="false">
      <c r="E1563" s="10"/>
      <c r="F1563" s="11"/>
      <c r="G1563" s="12"/>
      <c r="H1563" s="13"/>
      <c r="I1563" s="14"/>
      <c r="J1563" s="15"/>
      <c r="K1563" s="15"/>
      <c r="L1563" s="16"/>
    </row>
    <row r="1564" customFormat="false" ht="12.8" hidden="false" customHeight="false" outlineLevel="0" collapsed="false">
      <c r="E1564" s="10"/>
      <c r="F1564" s="11"/>
      <c r="G1564" s="12"/>
      <c r="H1564" s="13"/>
      <c r="I1564" s="14"/>
      <c r="J1564" s="15"/>
      <c r="K1564" s="15"/>
      <c r="L1564" s="16"/>
    </row>
    <row r="1565" customFormat="false" ht="12.8" hidden="false" customHeight="false" outlineLevel="0" collapsed="false">
      <c r="E1565" s="10"/>
      <c r="F1565" s="11"/>
      <c r="G1565" s="12"/>
      <c r="H1565" s="13"/>
      <c r="I1565" s="14"/>
      <c r="J1565" s="15"/>
      <c r="K1565" s="15"/>
      <c r="L1565" s="16"/>
    </row>
    <row r="1566" customFormat="false" ht="12.8" hidden="false" customHeight="false" outlineLevel="0" collapsed="false">
      <c r="E1566" s="10"/>
      <c r="F1566" s="11"/>
      <c r="G1566" s="12"/>
      <c r="H1566" s="13"/>
      <c r="I1566" s="14"/>
      <c r="J1566" s="15"/>
      <c r="K1566" s="15"/>
      <c r="L1566" s="16"/>
    </row>
    <row r="1567" customFormat="false" ht="12.8" hidden="false" customHeight="false" outlineLevel="0" collapsed="false">
      <c r="E1567" s="10"/>
      <c r="F1567" s="11"/>
      <c r="G1567" s="12"/>
      <c r="H1567" s="13"/>
      <c r="I1567" s="14"/>
      <c r="J1567" s="15"/>
      <c r="K1567" s="15"/>
      <c r="L1567" s="16"/>
    </row>
    <row r="1568" customFormat="false" ht="12.8" hidden="false" customHeight="false" outlineLevel="0" collapsed="false">
      <c r="E1568" s="10"/>
      <c r="F1568" s="11"/>
      <c r="G1568" s="12"/>
      <c r="H1568" s="13"/>
      <c r="I1568" s="14"/>
      <c r="J1568" s="15"/>
      <c r="K1568" s="15"/>
      <c r="L1568" s="16"/>
    </row>
    <row r="1569" customFormat="false" ht="12.8" hidden="false" customHeight="false" outlineLevel="0" collapsed="false">
      <c r="E1569" s="10"/>
      <c r="F1569" s="11"/>
      <c r="G1569" s="12"/>
      <c r="H1569" s="13"/>
      <c r="I1569" s="14"/>
      <c r="J1569" s="15"/>
      <c r="K1569" s="15"/>
      <c r="L1569" s="16"/>
    </row>
    <row r="1570" customFormat="false" ht="12.8" hidden="false" customHeight="false" outlineLevel="0" collapsed="false">
      <c r="E1570" s="10"/>
      <c r="F1570" s="11"/>
      <c r="G1570" s="12"/>
      <c r="H1570" s="13"/>
      <c r="I1570" s="14"/>
      <c r="J1570" s="15"/>
      <c r="K1570" s="15"/>
      <c r="L1570" s="16"/>
    </row>
    <row r="1571" customFormat="false" ht="12.8" hidden="false" customHeight="false" outlineLevel="0" collapsed="false">
      <c r="E1571" s="10"/>
      <c r="F1571" s="11"/>
      <c r="G1571" s="12"/>
      <c r="H1571" s="13"/>
      <c r="I1571" s="14"/>
      <c r="J1571" s="15"/>
      <c r="K1571" s="15"/>
      <c r="L1571" s="16"/>
    </row>
    <row r="1572" customFormat="false" ht="12.8" hidden="false" customHeight="false" outlineLevel="0" collapsed="false">
      <c r="E1572" s="10"/>
      <c r="F1572" s="11"/>
      <c r="G1572" s="12"/>
      <c r="H1572" s="13"/>
      <c r="I1572" s="14"/>
      <c r="J1572" s="15"/>
      <c r="K1572" s="15"/>
      <c r="L1572" s="16"/>
    </row>
    <row r="1573" customFormat="false" ht="12.8" hidden="false" customHeight="false" outlineLevel="0" collapsed="false">
      <c r="E1573" s="10"/>
      <c r="F1573" s="11"/>
      <c r="G1573" s="12"/>
      <c r="H1573" s="13"/>
      <c r="I1573" s="14"/>
      <c r="J1573" s="15"/>
      <c r="K1573" s="15"/>
      <c r="L1573" s="16"/>
    </row>
    <row r="1574" customFormat="false" ht="12.8" hidden="false" customHeight="false" outlineLevel="0" collapsed="false">
      <c r="E1574" s="10"/>
      <c r="F1574" s="11"/>
      <c r="G1574" s="12"/>
      <c r="H1574" s="13"/>
      <c r="I1574" s="14"/>
      <c r="J1574" s="15"/>
      <c r="K1574" s="15"/>
      <c r="L1574" s="16"/>
    </row>
    <row r="1575" customFormat="false" ht="12.8" hidden="false" customHeight="false" outlineLevel="0" collapsed="false">
      <c r="E1575" s="10"/>
      <c r="F1575" s="11"/>
      <c r="G1575" s="12"/>
      <c r="H1575" s="13"/>
      <c r="I1575" s="14"/>
      <c r="J1575" s="15"/>
      <c r="K1575" s="15"/>
      <c r="L1575" s="16"/>
    </row>
    <row r="1576" customFormat="false" ht="12.8" hidden="false" customHeight="false" outlineLevel="0" collapsed="false">
      <c r="E1576" s="10"/>
      <c r="F1576" s="11"/>
      <c r="G1576" s="12"/>
      <c r="H1576" s="13"/>
      <c r="I1576" s="14"/>
      <c r="J1576" s="15"/>
      <c r="K1576" s="15"/>
      <c r="L1576" s="16"/>
    </row>
    <row r="1577" customFormat="false" ht="12.8" hidden="false" customHeight="false" outlineLevel="0" collapsed="false">
      <c r="E1577" s="10"/>
      <c r="F1577" s="11"/>
      <c r="G1577" s="12"/>
      <c r="H1577" s="13"/>
      <c r="I1577" s="14"/>
      <c r="J1577" s="15"/>
      <c r="K1577" s="15"/>
      <c r="L1577" s="16"/>
    </row>
    <row r="1578" customFormat="false" ht="12.8" hidden="false" customHeight="false" outlineLevel="0" collapsed="false">
      <c r="E1578" s="10"/>
      <c r="F1578" s="11"/>
      <c r="G1578" s="12"/>
      <c r="H1578" s="13"/>
      <c r="I1578" s="14"/>
      <c r="J1578" s="15"/>
      <c r="K1578" s="15"/>
      <c r="L1578" s="16"/>
    </row>
    <row r="1579" customFormat="false" ht="12.8" hidden="false" customHeight="false" outlineLevel="0" collapsed="false">
      <c r="E1579" s="10"/>
      <c r="F1579" s="11"/>
      <c r="G1579" s="12"/>
      <c r="H1579" s="13"/>
      <c r="I1579" s="14"/>
      <c r="J1579" s="15"/>
      <c r="K1579" s="15"/>
      <c r="L1579" s="16"/>
    </row>
    <row r="1580" customFormat="false" ht="12.8" hidden="false" customHeight="false" outlineLevel="0" collapsed="false">
      <c r="E1580" s="10"/>
      <c r="F1580" s="11"/>
      <c r="G1580" s="12"/>
      <c r="H1580" s="13"/>
      <c r="I1580" s="14"/>
      <c r="J1580" s="15"/>
      <c r="K1580" s="15"/>
      <c r="L1580" s="16"/>
    </row>
    <row r="1581" customFormat="false" ht="12.8" hidden="false" customHeight="false" outlineLevel="0" collapsed="false">
      <c r="E1581" s="10"/>
      <c r="F1581" s="11"/>
      <c r="G1581" s="12"/>
      <c r="H1581" s="13"/>
      <c r="I1581" s="14"/>
      <c r="J1581" s="15"/>
      <c r="K1581" s="15"/>
      <c r="L1581" s="16"/>
    </row>
    <row r="1582" customFormat="false" ht="12.8" hidden="false" customHeight="false" outlineLevel="0" collapsed="false">
      <c r="E1582" s="10"/>
      <c r="F1582" s="11"/>
      <c r="G1582" s="12"/>
      <c r="H1582" s="13"/>
      <c r="I1582" s="14"/>
      <c r="J1582" s="15"/>
      <c r="K1582" s="15"/>
      <c r="L1582" s="16"/>
    </row>
    <row r="1583" customFormat="false" ht="12.8" hidden="false" customHeight="false" outlineLevel="0" collapsed="false">
      <c r="E1583" s="10"/>
      <c r="F1583" s="11"/>
      <c r="G1583" s="12"/>
      <c r="H1583" s="13"/>
      <c r="I1583" s="14"/>
      <c r="J1583" s="15"/>
      <c r="K1583" s="15"/>
      <c r="L1583" s="16"/>
    </row>
    <row r="1584" customFormat="false" ht="12.8" hidden="false" customHeight="false" outlineLevel="0" collapsed="false">
      <c r="E1584" s="10"/>
      <c r="F1584" s="11"/>
      <c r="G1584" s="12"/>
      <c r="H1584" s="13"/>
      <c r="I1584" s="14"/>
      <c r="J1584" s="15"/>
      <c r="K1584" s="15"/>
      <c r="L1584" s="16"/>
    </row>
    <row r="1585" customFormat="false" ht="12.8" hidden="false" customHeight="false" outlineLevel="0" collapsed="false">
      <c r="E1585" s="10"/>
      <c r="F1585" s="11"/>
      <c r="G1585" s="12"/>
      <c r="H1585" s="13"/>
      <c r="I1585" s="14"/>
      <c r="J1585" s="15"/>
      <c r="K1585" s="15"/>
      <c r="L1585" s="16"/>
    </row>
    <row r="1586" customFormat="false" ht="12.8" hidden="false" customHeight="false" outlineLevel="0" collapsed="false">
      <c r="E1586" s="10"/>
      <c r="F1586" s="11"/>
      <c r="G1586" s="12"/>
      <c r="H1586" s="13"/>
      <c r="I1586" s="14"/>
      <c r="J1586" s="15"/>
      <c r="K1586" s="15"/>
      <c r="L1586" s="16"/>
    </row>
    <row r="1587" customFormat="false" ht="12.8" hidden="false" customHeight="false" outlineLevel="0" collapsed="false">
      <c r="E1587" s="10"/>
      <c r="F1587" s="11"/>
      <c r="G1587" s="12"/>
      <c r="H1587" s="13"/>
      <c r="I1587" s="14"/>
      <c r="J1587" s="15"/>
      <c r="K1587" s="15"/>
      <c r="L1587" s="16"/>
    </row>
    <row r="1588" customFormat="false" ht="12.8" hidden="false" customHeight="false" outlineLevel="0" collapsed="false">
      <c r="E1588" s="10"/>
      <c r="F1588" s="11"/>
      <c r="G1588" s="12"/>
      <c r="H1588" s="13"/>
      <c r="I1588" s="14"/>
      <c r="J1588" s="15"/>
      <c r="K1588" s="15"/>
      <c r="L1588" s="16"/>
    </row>
    <row r="1589" customFormat="false" ht="12.8" hidden="false" customHeight="false" outlineLevel="0" collapsed="false">
      <c r="E1589" s="10"/>
      <c r="F1589" s="11"/>
      <c r="G1589" s="12"/>
      <c r="H1589" s="13"/>
      <c r="I1589" s="14"/>
      <c r="J1589" s="15"/>
      <c r="K1589" s="15"/>
      <c r="L1589" s="16"/>
    </row>
    <row r="1590" customFormat="false" ht="12.8" hidden="false" customHeight="false" outlineLevel="0" collapsed="false">
      <c r="E1590" s="10"/>
      <c r="F1590" s="11"/>
      <c r="G1590" s="12"/>
      <c r="H1590" s="13"/>
      <c r="I1590" s="14"/>
      <c r="J1590" s="15"/>
      <c r="K1590" s="15"/>
      <c r="L1590" s="16"/>
    </row>
    <row r="1591" customFormat="false" ht="12.8" hidden="false" customHeight="false" outlineLevel="0" collapsed="false">
      <c r="E1591" s="10"/>
      <c r="F1591" s="11"/>
      <c r="G1591" s="12"/>
      <c r="H1591" s="13"/>
      <c r="I1591" s="14"/>
      <c r="J1591" s="15"/>
      <c r="K1591" s="15"/>
      <c r="L1591" s="16"/>
    </row>
    <row r="1592" customFormat="false" ht="12.8" hidden="false" customHeight="false" outlineLevel="0" collapsed="false">
      <c r="E1592" s="10"/>
      <c r="F1592" s="11"/>
      <c r="G1592" s="12"/>
      <c r="H1592" s="13"/>
      <c r="I1592" s="14"/>
      <c r="J1592" s="15"/>
      <c r="K1592" s="15"/>
      <c r="L1592" s="16"/>
    </row>
    <row r="1593" customFormat="false" ht="12.8" hidden="false" customHeight="false" outlineLevel="0" collapsed="false">
      <c r="E1593" s="10"/>
      <c r="F1593" s="11"/>
      <c r="G1593" s="12"/>
      <c r="H1593" s="13"/>
      <c r="I1593" s="14"/>
      <c r="J1593" s="15"/>
      <c r="K1593" s="15"/>
      <c r="L1593" s="16"/>
    </row>
    <row r="1594" customFormat="false" ht="12.8" hidden="false" customHeight="false" outlineLevel="0" collapsed="false">
      <c r="E1594" s="10"/>
      <c r="F1594" s="11"/>
      <c r="G1594" s="12"/>
      <c r="H1594" s="13"/>
      <c r="I1594" s="14"/>
      <c r="J1594" s="15"/>
      <c r="K1594" s="15"/>
      <c r="L1594" s="16"/>
    </row>
    <row r="1595" customFormat="false" ht="12.8" hidden="false" customHeight="false" outlineLevel="0" collapsed="false">
      <c r="E1595" s="10"/>
      <c r="F1595" s="11"/>
      <c r="G1595" s="12"/>
      <c r="H1595" s="13"/>
      <c r="I1595" s="14"/>
      <c r="J1595" s="15"/>
      <c r="K1595" s="15"/>
      <c r="L1595" s="16"/>
    </row>
    <row r="1596" customFormat="false" ht="12.8" hidden="false" customHeight="false" outlineLevel="0" collapsed="false">
      <c r="E1596" s="10"/>
      <c r="F1596" s="11"/>
      <c r="G1596" s="12"/>
      <c r="H1596" s="13"/>
      <c r="I1596" s="14"/>
      <c r="J1596" s="15"/>
      <c r="K1596" s="15"/>
      <c r="L1596" s="16"/>
    </row>
    <row r="1597" customFormat="false" ht="12.8" hidden="false" customHeight="false" outlineLevel="0" collapsed="false">
      <c r="E1597" s="10"/>
      <c r="F1597" s="11"/>
      <c r="G1597" s="12"/>
      <c r="H1597" s="13"/>
      <c r="I1597" s="14"/>
      <c r="J1597" s="15"/>
      <c r="K1597" s="15"/>
      <c r="L1597" s="16"/>
    </row>
    <row r="1598" customFormat="false" ht="12.8" hidden="false" customHeight="false" outlineLevel="0" collapsed="false">
      <c r="E1598" s="10"/>
      <c r="F1598" s="11"/>
      <c r="G1598" s="12"/>
      <c r="H1598" s="13"/>
      <c r="I1598" s="14"/>
      <c r="J1598" s="15"/>
      <c r="K1598" s="15"/>
      <c r="L1598" s="16"/>
    </row>
    <row r="1599" customFormat="false" ht="12.8" hidden="false" customHeight="false" outlineLevel="0" collapsed="false">
      <c r="E1599" s="10"/>
      <c r="F1599" s="11"/>
      <c r="G1599" s="12"/>
      <c r="H1599" s="13"/>
      <c r="I1599" s="14"/>
      <c r="J1599" s="15"/>
      <c r="K1599" s="15"/>
      <c r="L1599" s="16"/>
    </row>
    <row r="1600" customFormat="false" ht="12.8" hidden="false" customHeight="false" outlineLevel="0" collapsed="false">
      <c r="E1600" s="10"/>
      <c r="F1600" s="11"/>
      <c r="G1600" s="12"/>
      <c r="H1600" s="13"/>
      <c r="I1600" s="14"/>
      <c r="J1600" s="15"/>
      <c r="K1600" s="15"/>
      <c r="L1600" s="16"/>
    </row>
    <row r="1601" customFormat="false" ht="12.8" hidden="false" customHeight="false" outlineLevel="0" collapsed="false">
      <c r="E1601" s="10"/>
      <c r="F1601" s="11"/>
      <c r="G1601" s="12"/>
      <c r="H1601" s="13"/>
      <c r="I1601" s="14"/>
      <c r="J1601" s="15"/>
      <c r="K1601" s="15"/>
      <c r="L1601" s="16"/>
    </row>
    <row r="1602" customFormat="false" ht="12.8" hidden="false" customHeight="false" outlineLevel="0" collapsed="false">
      <c r="E1602" s="10"/>
      <c r="F1602" s="11"/>
      <c r="G1602" s="12"/>
      <c r="H1602" s="13"/>
      <c r="I1602" s="14"/>
      <c r="J1602" s="15"/>
      <c r="K1602" s="15"/>
      <c r="L1602" s="16"/>
    </row>
    <row r="1603" customFormat="false" ht="12.8" hidden="false" customHeight="false" outlineLevel="0" collapsed="false">
      <c r="E1603" s="10"/>
      <c r="F1603" s="11"/>
      <c r="G1603" s="12"/>
      <c r="H1603" s="13"/>
      <c r="I1603" s="14"/>
      <c r="J1603" s="15"/>
      <c r="K1603" s="15"/>
      <c r="L1603" s="16"/>
    </row>
    <row r="1604" customFormat="false" ht="12.8" hidden="false" customHeight="false" outlineLevel="0" collapsed="false">
      <c r="E1604" s="10"/>
      <c r="F1604" s="11"/>
      <c r="G1604" s="12"/>
      <c r="H1604" s="13"/>
      <c r="I1604" s="14"/>
      <c r="J1604" s="15"/>
      <c r="K1604" s="15"/>
      <c r="L1604" s="16"/>
    </row>
    <row r="1605" customFormat="false" ht="12.8" hidden="false" customHeight="false" outlineLevel="0" collapsed="false">
      <c r="E1605" s="10"/>
      <c r="F1605" s="11"/>
      <c r="G1605" s="12"/>
      <c r="H1605" s="13"/>
      <c r="I1605" s="14"/>
      <c r="J1605" s="15"/>
      <c r="K1605" s="15"/>
      <c r="L1605" s="16"/>
    </row>
    <row r="1606" customFormat="false" ht="12.8" hidden="false" customHeight="false" outlineLevel="0" collapsed="false">
      <c r="E1606" s="10"/>
      <c r="F1606" s="11"/>
      <c r="G1606" s="12"/>
      <c r="H1606" s="13"/>
      <c r="I1606" s="14"/>
      <c r="J1606" s="15"/>
      <c r="K1606" s="15"/>
      <c r="L1606" s="16"/>
    </row>
    <row r="1607" customFormat="false" ht="12.8" hidden="false" customHeight="false" outlineLevel="0" collapsed="false">
      <c r="E1607" s="10"/>
      <c r="F1607" s="11"/>
      <c r="G1607" s="12"/>
      <c r="H1607" s="13"/>
      <c r="I1607" s="14"/>
      <c r="J1607" s="15"/>
      <c r="K1607" s="15"/>
      <c r="L1607" s="16"/>
    </row>
    <row r="1608" customFormat="false" ht="12.8" hidden="false" customHeight="false" outlineLevel="0" collapsed="false">
      <c r="E1608" s="10"/>
      <c r="F1608" s="11"/>
      <c r="G1608" s="12"/>
      <c r="H1608" s="13"/>
      <c r="I1608" s="14"/>
      <c r="J1608" s="15"/>
      <c r="K1608" s="15"/>
      <c r="L1608" s="16"/>
    </row>
    <row r="1609" customFormat="false" ht="12.8" hidden="false" customHeight="false" outlineLevel="0" collapsed="false">
      <c r="E1609" s="10"/>
      <c r="F1609" s="11"/>
      <c r="G1609" s="12"/>
      <c r="H1609" s="13"/>
      <c r="I1609" s="14"/>
      <c r="J1609" s="15"/>
      <c r="K1609" s="15"/>
      <c r="L1609" s="16"/>
    </row>
    <row r="1610" customFormat="false" ht="12.8" hidden="false" customHeight="false" outlineLevel="0" collapsed="false">
      <c r="E1610" s="10"/>
      <c r="F1610" s="11"/>
      <c r="G1610" s="12"/>
      <c r="H1610" s="13"/>
      <c r="I1610" s="14"/>
      <c r="J1610" s="15"/>
      <c r="K1610" s="15"/>
      <c r="L1610" s="16"/>
    </row>
    <row r="1611" customFormat="false" ht="12.8" hidden="false" customHeight="false" outlineLevel="0" collapsed="false">
      <c r="E1611" s="10"/>
      <c r="F1611" s="11"/>
      <c r="G1611" s="12"/>
      <c r="H1611" s="13"/>
      <c r="I1611" s="14"/>
      <c r="J1611" s="15"/>
      <c r="K1611" s="15"/>
      <c r="L1611" s="16"/>
    </row>
    <row r="1612" customFormat="false" ht="12.8" hidden="false" customHeight="false" outlineLevel="0" collapsed="false">
      <c r="E1612" s="10"/>
      <c r="F1612" s="11"/>
      <c r="G1612" s="12"/>
      <c r="H1612" s="13"/>
      <c r="I1612" s="14"/>
      <c r="J1612" s="15"/>
      <c r="K1612" s="15"/>
      <c r="L1612" s="16"/>
    </row>
    <row r="1613" customFormat="false" ht="12.8" hidden="false" customHeight="false" outlineLevel="0" collapsed="false">
      <c r="E1613" s="10"/>
      <c r="F1613" s="11"/>
      <c r="G1613" s="12"/>
      <c r="H1613" s="13"/>
      <c r="I1613" s="14"/>
      <c r="J1613" s="15"/>
      <c r="K1613" s="15"/>
      <c r="L1613" s="16"/>
    </row>
    <row r="1614" customFormat="false" ht="12.8" hidden="false" customHeight="false" outlineLevel="0" collapsed="false">
      <c r="E1614" s="10"/>
      <c r="F1614" s="11"/>
      <c r="G1614" s="12"/>
      <c r="H1614" s="13"/>
      <c r="I1614" s="14"/>
      <c r="J1614" s="15"/>
      <c r="K1614" s="15"/>
      <c r="L1614" s="16"/>
    </row>
    <row r="1615" customFormat="false" ht="12.8" hidden="false" customHeight="false" outlineLevel="0" collapsed="false">
      <c r="E1615" s="10"/>
      <c r="F1615" s="11"/>
      <c r="G1615" s="12"/>
      <c r="H1615" s="13"/>
      <c r="I1615" s="14"/>
      <c r="J1615" s="15"/>
      <c r="K1615" s="15"/>
      <c r="L1615" s="16"/>
    </row>
    <row r="1616" customFormat="false" ht="12.8" hidden="false" customHeight="false" outlineLevel="0" collapsed="false">
      <c r="E1616" s="10"/>
      <c r="F1616" s="11"/>
      <c r="G1616" s="12"/>
      <c r="H1616" s="13"/>
      <c r="I1616" s="14"/>
      <c r="J1616" s="15"/>
      <c r="K1616" s="15"/>
      <c r="L1616" s="16"/>
    </row>
    <row r="1617" customFormat="false" ht="12.8" hidden="false" customHeight="false" outlineLevel="0" collapsed="false">
      <c r="E1617" s="10"/>
      <c r="F1617" s="11"/>
      <c r="G1617" s="12"/>
      <c r="H1617" s="13"/>
      <c r="I1617" s="14"/>
      <c r="J1617" s="15"/>
      <c r="K1617" s="15"/>
      <c r="L1617" s="16"/>
    </row>
    <row r="1618" customFormat="false" ht="12.8" hidden="false" customHeight="false" outlineLevel="0" collapsed="false">
      <c r="E1618" s="10"/>
      <c r="F1618" s="11"/>
      <c r="G1618" s="12"/>
      <c r="H1618" s="13"/>
      <c r="I1618" s="14"/>
      <c r="J1618" s="15"/>
      <c r="K1618" s="15"/>
      <c r="L1618" s="16"/>
    </row>
    <row r="1619" customFormat="false" ht="12.8" hidden="false" customHeight="false" outlineLevel="0" collapsed="false">
      <c r="E1619" s="10"/>
      <c r="F1619" s="11"/>
      <c r="G1619" s="12"/>
      <c r="H1619" s="13"/>
      <c r="I1619" s="14"/>
      <c r="J1619" s="15"/>
      <c r="K1619" s="15"/>
      <c r="L1619" s="16"/>
    </row>
    <row r="1620" customFormat="false" ht="12.8" hidden="false" customHeight="false" outlineLevel="0" collapsed="false">
      <c r="E1620" s="10"/>
      <c r="F1620" s="11"/>
      <c r="G1620" s="12"/>
      <c r="H1620" s="13"/>
      <c r="I1620" s="14"/>
      <c r="J1620" s="15"/>
      <c r="K1620" s="15"/>
      <c r="L1620" s="16"/>
    </row>
    <row r="1621" customFormat="false" ht="12.8" hidden="false" customHeight="false" outlineLevel="0" collapsed="false">
      <c r="E1621" s="10"/>
      <c r="F1621" s="11"/>
      <c r="G1621" s="12"/>
      <c r="H1621" s="13"/>
      <c r="I1621" s="14"/>
      <c r="J1621" s="15"/>
      <c r="K1621" s="15"/>
      <c r="L1621" s="16"/>
    </row>
    <row r="1622" customFormat="false" ht="12.8" hidden="false" customHeight="false" outlineLevel="0" collapsed="false">
      <c r="E1622" s="10"/>
      <c r="F1622" s="11"/>
      <c r="G1622" s="12"/>
      <c r="H1622" s="13"/>
      <c r="I1622" s="14"/>
      <c r="J1622" s="15"/>
      <c r="K1622" s="15"/>
      <c r="L1622" s="16"/>
    </row>
    <row r="1623" customFormat="false" ht="12.8" hidden="false" customHeight="false" outlineLevel="0" collapsed="false">
      <c r="E1623" s="10"/>
      <c r="F1623" s="11"/>
      <c r="G1623" s="12"/>
      <c r="H1623" s="13"/>
      <c r="I1623" s="14"/>
      <c r="J1623" s="15"/>
      <c r="K1623" s="15"/>
      <c r="L1623" s="16"/>
    </row>
    <row r="1624" customFormat="false" ht="12.8" hidden="false" customHeight="false" outlineLevel="0" collapsed="false">
      <c r="E1624" s="10"/>
      <c r="F1624" s="11"/>
      <c r="G1624" s="12"/>
      <c r="H1624" s="13"/>
      <c r="I1624" s="14"/>
      <c r="J1624" s="15"/>
      <c r="K1624" s="15"/>
      <c r="L1624" s="16"/>
    </row>
    <row r="1625" customFormat="false" ht="12.8" hidden="false" customHeight="false" outlineLevel="0" collapsed="false">
      <c r="E1625" s="10"/>
      <c r="F1625" s="11"/>
      <c r="G1625" s="12"/>
      <c r="H1625" s="13"/>
      <c r="I1625" s="14"/>
      <c r="J1625" s="15"/>
      <c r="K1625" s="15"/>
      <c r="L1625" s="16"/>
    </row>
    <row r="1626" customFormat="false" ht="12.8" hidden="false" customHeight="false" outlineLevel="0" collapsed="false">
      <c r="E1626" s="10"/>
      <c r="F1626" s="11"/>
      <c r="G1626" s="12"/>
      <c r="H1626" s="13"/>
      <c r="I1626" s="14"/>
      <c r="J1626" s="15"/>
      <c r="K1626" s="15"/>
      <c r="L1626" s="16"/>
    </row>
    <row r="1627" customFormat="false" ht="12.8" hidden="false" customHeight="false" outlineLevel="0" collapsed="false">
      <c r="E1627" s="10"/>
      <c r="F1627" s="11"/>
      <c r="G1627" s="12"/>
      <c r="H1627" s="13"/>
      <c r="I1627" s="14"/>
      <c r="J1627" s="15"/>
      <c r="K1627" s="15"/>
      <c r="L1627" s="16"/>
    </row>
    <row r="1628" customFormat="false" ht="12.8" hidden="false" customHeight="false" outlineLevel="0" collapsed="false">
      <c r="E1628" s="10"/>
      <c r="F1628" s="11"/>
      <c r="G1628" s="12"/>
      <c r="H1628" s="13"/>
      <c r="I1628" s="14"/>
      <c r="J1628" s="15"/>
      <c r="K1628" s="15"/>
      <c r="L1628" s="16"/>
    </row>
    <row r="1629" customFormat="false" ht="12.8" hidden="false" customHeight="false" outlineLevel="0" collapsed="false">
      <c r="E1629" s="10"/>
      <c r="F1629" s="11"/>
      <c r="G1629" s="12"/>
      <c r="H1629" s="13"/>
      <c r="I1629" s="14"/>
      <c r="J1629" s="15"/>
      <c r="K1629" s="15"/>
      <c r="L1629" s="16"/>
    </row>
    <row r="1630" customFormat="false" ht="12.8" hidden="false" customHeight="false" outlineLevel="0" collapsed="false">
      <c r="E1630" s="10"/>
      <c r="F1630" s="11"/>
      <c r="G1630" s="12"/>
      <c r="H1630" s="13"/>
      <c r="I1630" s="14"/>
      <c r="J1630" s="15"/>
      <c r="K1630" s="15"/>
      <c r="L1630" s="16"/>
    </row>
    <row r="1631" customFormat="false" ht="12.8" hidden="false" customHeight="false" outlineLevel="0" collapsed="false">
      <c r="E1631" s="10"/>
      <c r="F1631" s="11"/>
      <c r="G1631" s="12"/>
      <c r="H1631" s="13"/>
      <c r="I1631" s="14"/>
      <c r="J1631" s="15"/>
      <c r="K1631" s="15"/>
      <c r="L1631" s="16"/>
    </row>
    <row r="1632" customFormat="false" ht="12.8" hidden="false" customHeight="false" outlineLevel="0" collapsed="false">
      <c r="E1632" s="10"/>
      <c r="F1632" s="11"/>
      <c r="G1632" s="12"/>
      <c r="H1632" s="13"/>
      <c r="I1632" s="14"/>
      <c r="J1632" s="15"/>
      <c r="K1632" s="15"/>
      <c r="L1632" s="16"/>
    </row>
    <row r="1633" customFormat="false" ht="12.8" hidden="false" customHeight="false" outlineLevel="0" collapsed="false">
      <c r="E1633" s="10"/>
      <c r="F1633" s="11"/>
      <c r="G1633" s="12"/>
      <c r="H1633" s="13"/>
      <c r="I1633" s="14"/>
      <c r="J1633" s="15"/>
      <c r="K1633" s="15"/>
      <c r="L1633" s="16"/>
    </row>
    <row r="1634" customFormat="false" ht="12.8" hidden="false" customHeight="false" outlineLevel="0" collapsed="false">
      <c r="E1634" s="10"/>
      <c r="F1634" s="11"/>
      <c r="G1634" s="12"/>
      <c r="H1634" s="13"/>
      <c r="I1634" s="14"/>
      <c r="J1634" s="15"/>
      <c r="K1634" s="15"/>
      <c r="L1634" s="16"/>
    </row>
    <row r="1635" customFormat="false" ht="12.8" hidden="false" customHeight="false" outlineLevel="0" collapsed="false">
      <c r="E1635" s="10"/>
      <c r="F1635" s="11"/>
      <c r="G1635" s="12"/>
      <c r="H1635" s="13"/>
      <c r="I1635" s="14"/>
      <c r="J1635" s="15"/>
      <c r="K1635" s="15"/>
      <c r="L1635" s="16"/>
    </row>
    <row r="1636" customFormat="false" ht="12.8" hidden="false" customHeight="false" outlineLevel="0" collapsed="false">
      <c r="E1636" s="10"/>
      <c r="F1636" s="11"/>
      <c r="G1636" s="12"/>
      <c r="H1636" s="13"/>
      <c r="I1636" s="14"/>
      <c r="J1636" s="15"/>
      <c r="K1636" s="15"/>
      <c r="L1636" s="16"/>
    </row>
    <row r="1637" customFormat="false" ht="12.8" hidden="false" customHeight="false" outlineLevel="0" collapsed="false">
      <c r="E1637" s="10"/>
      <c r="F1637" s="11"/>
      <c r="G1637" s="12"/>
      <c r="H1637" s="13"/>
      <c r="I1637" s="14"/>
      <c r="J1637" s="15"/>
      <c r="K1637" s="15"/>
      <c r="L1637" s="16"/>
    </row>
    <row r="1638" customFormat="false" ht="12.8" hidden="false" customHeight="false" outlineLevel="0" collapsed="false">
      <c r="E1638" s="10"/>
      <c r="F1638" s="11"/>
      <c r="G1638" s="12"/>
      <c r="H1638" s="13"/>
      <c r="I1638" s="14"/>
      <c r="J1638" s="15"/>
      <c r="K1638" s="15"/>
      <c r="L1638" s="16"/>
    </row>
    <row r="1639" customFormat="false" ht="12.8" hidden="false" customHeight="false" outlineLevel="0" collapsed="false">
      <c r="E1639" s="10"/>
      <c r="F1639" s="11"/>
      <c r="G1639" s="12"/>
      <c r="H1639" s="13"/>
      <c r="I1639" s="14"/>
      <c r="J1639" s="15"/>
      <c r="K1639" s="15"/>
      <c r="L1639" s="16"/>
    </row>
    <row r="1640" customFormat="false" ht="12.8" hidden="false" customHeight="false" outlineLevel="0" collapsed="false">
      <c r="E1640" s="10"/>
      <c r="F1640" s="11"/>
      <c r="G1640" s="12"/>
      <c r="H1640" s="13"/>
      <c r="I1640" s="14"/>
      <c r="J1640" s="15"/>
      <c r="K1640" s="15"/>
      <c r="L1640" s="16"/>
    </row>
    <row r="1641" customFormat="false" ht="12.8" hidden="false" customHeight="false" outlineLevel="0" collapsed="false">
      <c r="E1641" s="10"/>
      <c r="F1641" s="11"/>
      <c r="G1641" s="12"/>
      <c r="H1641" s="13"/>
      <c r="I1641" s="14"/>
      <c r="J1641" s="15"/>
      <c r="K1641" s="15"/>
      <c r="L1641" s="16"/>
    </row>
    <row r="1642" customFormat="false" ht="12.8" hidden="false" customHeight="false" outlineLevel="0" collapsed="false">
      <c r="E1642" s="10"/>
      <c r="F1642" s="11"/>
      <c r="G1642" s="12"/>
      <c r="H1642" s="13"/>
      <c r="I1642" s="14"/>
      <c r="J1642" s="15"/>
      <c r="K1642" s="15"/>
      <c r="L1642" s="16"/>
    </row>
    <row r="1643" customFormat="false" ht="12.8" hidden="false" customHeight="false" outlineLevel="0" collapsed="false">
      <c r="E1643" s="10"/>
      <c r="F1643" s="11"/>
      <c r="G1643" s="12"/>
      <c r="H1643" s="13"/>
      <c r="I1643" s="14"/>
      <c r="J1643" s="15"/>
      <c r="K1643" s="15"/>
      <c r="L1643" s="16"/>
    </row>
    <row r="1644" customFormat="false" ht="12.8" hidden="false" customHeight="false" outlineLevel="0" collapsed="false">
      <c r="E1644" s="10"/>
      <c r="F1644" s="11"/>
      <c r="G1644" s="12"/>
      <c r="H1644" s="13"/>
      <c r="I1644" s="14"/>
      <c r="J1644" s="15"/>
      <c r="K1644" s="15"/>
      <c r="L1644" s="16"/>
    </row>
    <row r="1645" customFormat="false" ht="12.8" hidden="false" customHeight="false" outlineLevel="0" collapsed="false">
      <c r="E1645" s="10"/>
      <c r="F1645" s="11"/>
      <c r="G1645" s="12"/>
      <c r="H1645" s="13"/>
      <c r="I1645" s="14"/>
      <c r="J1645" s="15"/>
      <c r="K1645" s="15"/>
      <c r="L1645" s="16"/>
    </row>
    <row r="1646" customFormat="false" ht="12.8" hidden="false" customHeight="false" outlineLevel="0" collapsed="false">
      <c r="E1646" s="10"/>
      <c r="F1646" s="11"/>
      <c r="G1646" s="12"/>
      <c r="H1646" s="13"/>
      <c r="I1646" s="14"/>
      <c r="J1646" s="15"/>
      <c r="K1646" s="15"/>
      <c r="L1646" s="16"/>
    </row>
    <row r="1647" customFormat="false" ht="12.8" hidden="false" customHeight="false" outlineLevel="0" collapsed="false">
      <c r="E1647" s="10"/>
      <c r="F1647" s="11"/>
      <c r="G1647" s="12"/>
      <c r="H1647" s="13"/>
      <c r="I1647" s="14"/>
      <c r="J1647" s="15"/>
      <c r="K1647" s="15"/>
      <c r="L1647" s="16"/>
    </row>
    <row r="1648" customFormat="false" ht="12.8" hidden="false" customHeight="false" outlineLevel="0" collapsed="false">
      <c r="E1648" s="10"/>
      <c r="F1648" s="11"/>
      <c r="G1648" s="12"/>
      <c r="H1648" s="13"/>
      <c r="I1648" s="14"/>
      <c r="J1648" s="15"/>
      <c r="K1648" s="15"/>
      <c r="L1648" s="16"/>
    </row>
    <row r="1649" customFormat="false" ht="12.8" hidden="false" customHeight="false" outlineLevel="0" collapsed="false">
      <c r="E1649" s="10"/>
      <c r="F1649" s="11"/>
      <c r="G1649" s="12"/>
      <c r="H1649" s="13"/>
      <c r="I1649" s="14"/>
      <c r="J1649" s="15"/>
      <c r="K1649" s="15"/>
      <c r="L1649" s="16"/>
    </row>
    <row r="1650" customFormat="false" ht="12.8" hidden="false" customHeight="false" outlineLevel="0" collapsed="false">
      <c r="E1650" s="10"/>
      <c r="F1650" s="11"/>
      <c r="G1650" s="12"/>
      <c r="H1650" s="13"/>
      <c r="I1650" s="14"/>
      <c r="J1650" s="15"/>
      <c r="K1650" s="15"/>
      <c r="L1650" s="16"/>
    </row>
    <row r="1651" customFormat="false" ht="12.8" hidden="false" customHeight="false" outlineLevel="0" collapsed="false">
      <c r="E1651" s="10"/>
      <c r="F1651" s="11"/>
      <c r="G1651" s="12"/>
      <c r="H1651" s="13"/>
      <c r="I1651" s="14"/>
      <c r="J1651" s="15"/>
      <c r="K1651" s="15"/>
      <c r="L1651" s="16"/>
    </row>
    <row r="1652" customFormat="false" ht="12.8" hidden="false" customHeight="false" outlineLevel="0" collapsed="false">
      <c r="E1652" s="10"/>
      <c r="F1652" s="11"/>
      <c r="G1652" s="12"/>
      <c r="H1652" s="13"/>
      <c r="I1652" s="14"/>
      <c r="J1652" s="15"/>
      <c r="K1652" s="15"/>
      <c r="L1652" s="16"/>
    </row>
    <row r="1653" customFormat="false" ht="12.8" hidden="false" customHeight="false" outlineLevel="0" collapsed="false">
      <c r="E1653" s="10"/>
      <c r="F1653" s="11"/>
      <c r="G1653" s="12"/>
      <c r="H1653" s="13"/>
      <c r="I1653" s="14"/>
      <c r="J1653" s="15"/>
      <c r="K1653" s="15"/>
      <c r="L1653" s="16"/>
    </row>
    <row r="1654" customFormat="false" ht="12.8" hidden="false" customHeight="false" outlineLevel="0" collapsed="false">
      <c r="E1654" s="10"/>
      <c r="F1654" s="11"/>
      <c r="G1654" s="12"/>
      <c r="H1654" s="13"/>
      <c r="I1654" s="14"/>
      <c r="J1654" s="15"/>
      <c r="K1654" s="15"/>
      <c r="L1654" s="16"/>
    </row>
    <row r="1655" customFormat="false" ht="12.8" hidden="false" customHeight="false" outlineLevel="0" collapsed="false">
      <c r="E1655" s="10"/>
      <c r="F1655" s="11"/>
      <c r="G1655" s="12"/>
      <c r="H1655" s="13"/>
      <c r="I1655" s="14"/>
      <c r="J1655" s="15"/>
      <c r="K1655" s="15"/>
      <c r="L1655" s="16"/>
    </row>
    <row r="1656" customFormat="false" ht="12.8" hidden="false" customHeight="false" outlineLevel="0" collapsed="false">
      <c r="E1656" s="10"/>
      <c r="F1656" s="11"/>
      <c r="G1656" s="12"/>
      <c r="H1656" s="13"/>
      <c r="I1656" s="14"/>
      <c r="J1656" s="15"/>
      <c r="K1656" s="15"/>
      <c r="L1656" s="16"/>
    </row>
    <row r="1657" customFormat="false" ht="12.8" hidden="false" customHeight="false" outlineLevel="0" collapsed="false">
      <c r="E1657" s="10"/>
      <c r="F1657" s="11"/>
      <c r="G1657" s="12"/>
      <c r="H1657" s="13"/>
      <c r="I1657" s="14"/>
      <c r="J1657" s="15"/>
      <c r="K1657" s="15"/>
      <c r="L1657" s="16"/>
    </row>
    <row r="1658" customFormat="false" ht="12.8" hidden="false" customHeight="false" outlineLevel="0" collapsed="false">
      <c r="E1658" s="10"/>
      <c r="F1658" s="11"/>
      <c r="G1658" s="12"/>
      <c r="H1658" s="13"/>
      <c r="I1658" s="14"/>
      <c r="J1658" s="15"/>
      <c r="K1658" s="15"/>
      <c r="L1658" s="16"/>
    </row>
    <row r="1659" customFormat="false" ht="12.8" hidden="false" customHeight="false" outlineLevel="0" collapsed="false">
      <c r="E1659" s="10"/>
      <c r="F1659" s="11"/>
      <c r="G1659" s="12"/>
      <c r="H1659" s="13"/>
      <c r="I1659" s="14"/>
      <c r="J1659" s="15"/>
      <c r="K1659" s="15"/>
      <c r="L1659" s="16"/>
    </row>
    <row r="1660" customFormat="false" ht="12.8" hidden="false" customHeight="false" outlineLevel="0" collapsed="false">
      <c r="E1660" s="10"/>
      <c r="F1660" s="11"/>
      <c r="G1660" s="12"/>
      <c r="H1660" s="13"/>
      <c r="I1660" s="14"/>
      <c r="J1660" s="15"/>
      <c r="K1660" s="15"/>
      <c r="L1660" s="16"/>
    </row>
    <row r="1661" customFormat="false" ht="12.8" hidden="false" customHeight="false" outlineLevel="0" collapsed="false">
      <c r="E1661" s="10"/>
      <c r="F1661" s="11"/>
      <c r="G1661" s="12"/>
      <c r="H1661" s="13"/>
      <c r="I1661" s="14"/>
      <c r="J1661" s="15"/>
      <c r="K1661" s="15"/>
      <c r="L1661" s="16"/>
    </row>
    <row r="1662" customFormat="false" ht="12.8" hidden="false" customHeight="false" outlineLevel="0" collapsed="false">
      <c r="E1662" s="10"/>
      <c r="F1662" s="11"/>
      <c r="G1662" s="12"/>
      <c r="H1662" s="13"/>
      <c r="I1662" s="14"/>
      <c r="J1662" s="15"/>
      <c r="K1662" s="15"/>
      <c r="L1662" s="16"/>
    </row>
    <row r="1663" customFormat="false" ht="12.8" hidden="false" customHeight="false" outlineLevel="0" collapsed="false">
      <c r="E1663" s="10"/>
      <c r="F1663" s="11"/>
      <c r="G1663" s="12"/>
      <c r="H1663" s="13"/>
      <c r="I1663" s="14"/>
      <c r="J1663" s="15"/>
      <c r="K1663" s="15"/>
      <c r="L1663" s="16"/>
    </row>
    <row r="1664" customFormat="false" ht="12.8" hidden="false" customHeight="false" outlineLevel="0" collapsed="false">
      <c r="E1664" s="10"/>
      <c r="F1664" s="11"/>
      <c r="G1664" s="12"/>
      <c r="H1664" s="13"/>
      <c r="I1664" s="14"/>
      <c r="J1664" s="15"/>
      <c r="K1664" s="15"/>
      <c r="L1664" s="16"/>
    </row>
    <row r="1665" customFormat="false" ht="12.8" hidden="false" customHeight="false" outlineLevel="0" collapsed="false">
      <c r="E1665" s="10"/>
      <c r="F1665" s="11"/>
      <c r="G1665" s="12"/>
      <c r="H1665" s="13"/>
      <c r="I1665" s="14"/>
      <c r="J1665" s="15"/>
      <c r="K1665" s="15"/>
      <c r="L1665" s="16"/>
    </row>
    <row r="1666" customFormat="false" ht="12.8" hidden="false" customHeight="false" outlineLevel="0" collapsed="false">
      <c r="E1666" s="10"/>
      <c r="F1666" s="11"/>
      <c r="G1666" s="12"/>
      <c r="H1666" s="13"/>
      <c r="I1666" s="14"/>
      <c r="J1666" s="15"/>
      <c r="K1666" s="15"/>
      <c r="L1666" s="16"/>
    </row>
    <row r="1667" customFormat="false" ht="12.8" hidden="false" customHeight="false" outlineLevel="0" collapsed="false">
      <c r="E1667" s="10"/>
      <c r="F1667" s="11"/>
      <c r="G1667" s="12"/>
      <c r="H1667" s="13"/>
      <c r="I1667" s="14"/>
      <c r="J1667" s="15"/>
      <c r="K1667" s="15"/>
      <c r="L1667" s="16"/>
    </row>
    <row r="1668" customFormat="false" ht="12.8" hidden="false" customHeight="false" outlineLevel="0" collapsed="false">
      <c r="E1668" s="10"/>
      <c r="F1668" s="11"/>
      <c r="G1668" s="12"/>
      <c r="H1668" s="13"/>
      <c r="I1668" s="14"/>
      <c r="J1668" s="15"/>
      <c r="K1668" s="15"/>
      <c r="L1668" s="16"/>
    </row>
    <row r="1669" customFormat="false" ht="12.8" hidden="false" customHeight="false" outlineLevel="0" collapsed="false">
      <c r="E1669" s="10"/>
      <c r="F1669" s="11"/>
      <c r="G1669" s="12"/>
      <c r="H1669" s="13"/>
      <c r="I1669" s="14"/>
      <c r="J1669" s="15"/>
      <c r="K1669" s="15"/>
      <c r="L1669" s="16"/>
    </row>
    <row r="1670" customFormat="false" ht="12.8" hidden="false" customHeight="false" outlineLevel="0" collapsed="false">
      <c r="E1670" s="10"/>
      <c r="F1670" s="11"/>
      <c r="G1670" s="12"/>
      <c r="H1670" s="13"/>
      <c r="I1670" s="14"/>
      <c r="J1670" s="15"/>
      <c r="K1670" s="15"/>
      <c r="L1670" s="16"/>
    </row>
    <row r="1671" customFormat="false" ht="12.8" hidden="false" customHeight="false" outlineLevel="0" collapsed="false">
      <c r="E1671" s="10"/>
      <c r="F1671" s="11"/>
      <c r="G1671" s="12"/>
      <c r="H1671" s="13"/>
      <c r="I1671" s="14"/>
      <c r="J1671" s="15"/>
      <c r="K1671" s="15"/>
      <c r="L1671" s="16"/>
    </row>
    <row r="1672" customFormat="false" ht="12.8" hidden="false" customHeight="false" outlineLevel="0" collapsed="false">
      <c r="E1672" s="10"/>
      <c r="F1672" s="11"/>
      <c r="G1672" s="12"/>
      <c r="H1672" s="13"/>
      <c r="I1672" s="14"/>
      <c r="J1672" s="15"/>
      <c r="K1672" s="15"/>
      <c r="L1672" s="16"/>
    </row>
    <row r="1673" customFormat="false" ht="12.8" hidden="false" customHeight="false" outlineLevel="0" collapsed="false">
      <c r="E1673" s="10"/>
      <c r="F1673" s="11"/>
      <c r="G1673" s="12"/>
      <c r="H1673" s="13"/>
      <c r="I1673" s="14"/>
      <c r="J1673" s="15"/>
      <c r="K1673" s="15"/>
      <c r="L1673" s="16"/>
    </row>
    <row r="1674" customFormat="false" ht="12.8" hidden="false" customHeight="false" outlineLevel="0" collapsed="false">
      <c r="E1674" s="10"/>
      <c r="F1674" s="11"/>
      <c r="G1674" s="12"/>
      <c r="H1674" s="13"/>
      <c r="I1674" s="14"/>
      <c r="J1674" s="15"/>
      <c r="K1674" s="15"/>
      <c r="L1674" s="16"/>
    </row>
    <row r="1675" customFormat="false" ht="12.8" hidden="false" customHeight="false" outlineLevel="0" collapsed="false">
      <c r="E1675" s="10"/>
      <c r="F1675" s="11"/>
      <c r="G1675" s="12"/>
      <c r="H1675" s="13"/>
      <c r="I1675" s="14"/>
      <c r="J1675" s="15"/>
      <c r="K1675" s="15"/>
      <c r="L1675" s="16"/>
    </row>
    <row r="1676" customFormat="false" ht="12.8" hidden="false" customHeight="false" outlineLevel="0" collapsed="false">
      <c r="E1676" s="10"/>
      <c r="F1676" s="11"/>
      <c r="G1676" s="12"/>
      <c r="H1676" s="13"/>
      <c r="I1676" s="14"/>
      <c r="J1676" s="15"/>
      <c r="K1676" s="15"/>
      <c r="L1676" s="16"/>
    </row>
    <row r="1677" customFormat="false" ht="12.8" hidden="false" customHeight="false" outlineLevel="0" collapsed="false">
      <c r="E1677" s="10"/>
      <c r="F1677" s="11"/>
      <c r="G1677" s="12"/>
      <c r="H1677" s="13"/>
      <c r="I1677" s="14"/>
      <c r="J1677" s="15"/>
      <c r="K1677" s="15"/>
      <c r="L1677" s="16"/>
    </row>
    <row r="1678" customFormat="false" ht="12.8" hidden="false" customHeight="false" outlineLevel="0" collapsed="false">
      <c r="E1678" s="10"/>
      <c r="F1678" s="11"/>
      <c r="G1678" s="12"/>
      <c r="H1678" s="13"/>
      <c r="I1678" s="14"/>
      <c r="J1678" s="15"/>
      <c r="K1678" s="15"/>
      <c r="L1678" s="16"/>
    </row>
    <row r="1679" customFormat="false" ht="12.8" hidden="false" customHeight="false" outlineLevel="0" collapsed="false">
      <c r="E1679" s="10"/>
      <c r="F1679" s="11"/>
      <c r="G1679" s="12"/>
      <c r="H1679" s="13"/>
      <c r="I1679" s="14"/>
      <c r="J1679" s="15"/>
      <c r="K1679" s="15"/>
      <c r="L1679" s="16"/>
    </row>
    <row r="1680" customFormat="false" ht="12.8" hidden="false" customHeight="false" outlineLevel="0" collapsed="false">
      <c r="E1680" s="10"/>
      <c r="F1680" s="11"/>
      <c r="G1680" s="12"/>
      <c r="H1680" s="13"/>
      <c r="I1680" s="14"/>
      <c r="J1680" s="15"/>
      <c r="K1680" s="15"/>
      <c r="L1680" s="16"/>
    </row>
    <row r="1681" customFormat="false" ht="12.8" hidden="false" customHeight="false" outlineLevel="0" collapsed="false">
      <c r="E1681" s="10"/>
      <c r="F1681" s="11"/>
      <c r="G1681" s="12"/>
      <c r="H1681" s="13"/>
      <c r="I1681" s="14"/>
      <c r="J1681" s="15"/>
      <c r="K1681" s="15"/>
      <c r="L1681" s="16"/>
    </row>
    <row r="1682" customFormat="false" ht="12.8" hidden="false" customHeight="false" outlineLevel="0" collapsed="false">
      <c r="E1682" s="10"/>
      <c r="F1682" s="11"/>
      <c r="G1682" s="12"/>
      <c r="H1682" s="13"/>
      <c r="I1682" s="14"/>
      <c r="J1682" s="15"/>
      <c r="K1682" s="15"/>
      <c r="L1682" s="16"/>
    </row>
    <row r="1683" customFormat="false" ht="12.8" hidden="false" customHeight="false" outlineLevel="0" collapsed="false">
      <c r="E1683" s="10"/>
      <c r="F1683" s="11"/>
      <c r="G1683" s="12"/>
      <c r="H1683" s="13"/>
      <c r="I1683" s="14"/>
      <c r="J1683" s="15"/>
      <c r="K1683" s="15"/>
      <c r="L1683" s="16"/>
    </row>
    <row r="1684" customFormat="false" ht="12.8" hidden="false" customHeight="false" outlineLevel="0" collapsed="false">
      <c r="E1684" s="10"/>
      <c r="F1684" s="11"/>
      <c r="G1684" s="12"/>
      <c r="H1684" s="13"/>
      <c r="I1684" s="14"/>
      <c r="J1684" s="15"/>
      <c r="K1684" s="15"/>
      <c r="L1684" s="16"/>
    </row>
    <row r="1685" customFormat="false" ht="12.8" hidden="false" customHeight="false" outlineLevel="0" collapsed="false">
      <c r="E1685" s="10"/>
      <c r="F1685" s="11"/>
      <c r="G1685" s="12"/>
      <c r="H1685" s="13"/>
      <c r="I1685" s="14"/>
      <c r="J1685" s="15"/>
      <c r="K1685" s="15"/>
      <c r="L1685" s="16"/>
    </row>
    <row r="1686" customFormat="false" ht="12.8" hidden="false" customHeight="false" outlineLevel="0" collapsed="false">
      <c r="E1686" s="10"/>
      <c r="F1686" s="11"/>
      <c r="G1686" s="12"/>
      <c r="H1686" s="13"/>
      <c r="I1686" s="14"/>
      <c r="J1686" s="15"/>
      <c r="K1686" s="15"/>
      <c r="L1686" s="16"/>
    </row>
    <row r="1687" customFormat="false" ht="12.8" hidden="false" customHeight="false" outlineLevel="0" collapsed="false">
      <c r="E1687" s="10"/>
      <c r="F1687" s="11"/>
      <c r="G1687" s="12"/>
      <c r="H1687" s="13"/>
      <c r="I1687" s="14"/>
      <c r="J1687" s="15"/>
      <c r="K1687" s="15"/>
      <c r="L1687" s="16"/>
    </row>
    <row r="1688" customFormat="false" ht="12.8" hidden="false" customHeight="false" outlineLevel="0" collapsed="false">
      <c r="E1688" s="10"/>
      <c r="F1688" s="11"/>
      <c r="G1688" s="12"/>
      <c r="H1688" s="13"/>
      <c r="I1688" s="14"/>
      <c r="J1688" s="15"/>
      <c r="K1688" s="15"/>
      <c r="L1688" s="16"/>
    </row>
    <row r="1689" customFormat="false" ht="12.8" hidden="false" customHeight="false" outlineLevel="0" collapsed="false">
      <c r="E1689" s="10"/>
      <c r="F1689" s="11"/>
      <c r="G1689" s="12"/>
      <c r="H1689" s="13"/>
      <c r="I1689" s="14"/>
      <c r="J1689" s="15"/>
      <c r="K1689" s="15"/>
      <c r="L1689" s="16"/>
    </row>
    <row r="1690" customFormat="false" ht="12.8" hidden="false" customHeight="false" outlineLevel="0" collapsed="false">
      <c r="E1690" s="10"/>
      <c r="F1690" s="11"/>
      <c r="G1690" s="12"/>
      <c r="H1690" s="13"/>
      <c r="I1690" s="14"/>
      <c r="J1690" s="15"/>
      <c r="K1690" s="15"/>
      <c r="L1690" s="16"/>
    </row>
    <row r="1691" customFormat="false" ht="12.8" hidden="false" customHeight="false" outlineLevel="0" collapsed="false">
      <c r="E1691" s="10"/>
      <c r="F1691" s="11"/>
      <c r="G1691" s="12"/>
      <c r="H1691" s="13"/>
      <c r="I1691" s="14"/>
      <c r="J1691" s="15"/>
      <c r="K1691" s="15"/>
      <c r="L1691" s="16"/>
    </row>
    <row r="1692" customFormat="false" ht="12.8" hidden="false" customHeight="false" outlineLevel="0" collapsed="false">
      <c r="E1692" s="10"/>
      <c r="F1692" s="11"/>
      <c r="G1692" s="12"/>
      <c r="H1692" s="13"/>
      <c r="I1692" s="14"/>
      <c r="J1692" s="15"/>
      <c r="K1692" s="15"/>
      <c r="L1692" s="16"/>
    </row>
    <row r="1693" customFormat="false" ht="12.8" hidden="false" customHeight="false" outlineLevel="0" collapsed="false">
      <c r="E1693" s="10"/>
      <c r="F1693" s="11"/>
      <c r="G1693" s="12"/>
      <c r="H1693" s="13"/>
      <c r="I1693" s="14"/>
      <c r="J1693" s="15"/>
      <c r="K1693" s="15"/>
      <c r="L1693" s="16"/>
    </row>
    <row r="1694" customFormat="false" ht="12.8" hidden="false" customHeight="false" outlineLevel="0" collapsed="false">
      <c r="E1694" s="10"/>
      <c r="F1694" s="11"/>
      <c r="G1694" s="12"/>
      <c r="H1694" s="13"/>
      <c r="I1694" s="14"/>
      <c r="J1694" s="15"/>
      <c r="K1694" s="15"/>
      <c r="L1694" s="16"/>
    </row>
    <row r="1695" customFormat="false" ht="12.8" hidden="false" customHeight="false" outlineLevel="0" collapsed="false">
      <c r="E1695" s="10"/>
      <c r="F1695" s="11"/>
      <c r="G1695" s="12"/>
      <c r="H1695" s="13"/>
      <c r="I1695" s="14"/>
      <c r="J1695" s="15"/>
      <c r="K1695" s="15"/>
      <c r="L1695" s="16"/>
    </row>
    <row r="1696" customFormat="false" ht="12.8" hidden="false" customHeight="false" outlineLevel="0" collapsed="false">
      <c r="E1696" s="10"/>
      <c r="F1696" s="11"/>
      <c r="G1696" s="12"/>
      <c r="H1696" s="13"/>
      <c r="I1696" s="14"/>
      <c r="J1696" s="15"/>
      <c r="K1696" s="15"/>
      <c r="L1696" s="16"/>
    </row>
    <row r="1697" customFormat="false" ht="12.8" hidden="false" customHeight="false" outlineLevel="0" collapsed="false">
      <c r="E1697" s="10"/>
      <c r="F1697" s="11"/>
      <c r="G1697" s="12"/>
      <c r="H1697" s="13"/>
      <c r="I1697" s="14"/>
      <c r="J1697" s="15"/>
      <c r="K1697" s="15"/>
      <c r="L1697" s="16"/>
    </row>
    <row r="1698" customFormat="false" ht="12.8" hidden="false" customHeight="false" outlineLevel="0" collapsed="false">
      <c r="E1698" s="10"/>
      <c r="F1698" s="11"/>
      <c r="G1698" s="12"/>
      <c r="H1698" s="13"/>
      <c r="I1698" s="14"/>
      <c r="J1698" s="15"/>
      <c r="K1698" s="15"/>
      <c r="L1698" s="16"/>
    </row>
    <row r="1699" customFormat="false" ht="12.8" hidden="false" customHeight="false" outlineLevel="0" collapsed="false">
      <c r="E1699" s="10"/>
      <c r="F1699" s="11"/>
      <c r="G1699" s="12"/>
      <c r="H1699" s="13"/>
      <c r="I1699" s="14"/>
      <c r="J1699" s="15"/>
      <c r="K1699" s="15"/>
      <c r="L1699" s="16"/>
    </row>
    <row r="1700" customFormat="false" ht="12.8" hidden="false" customHeight="false" outlineLevel="0" collapsed="false">
      <c r="E1700" s="10"/>
      <c r="F1700" s="11"/>
      <c r="G1700" s="12"/>
      <c r="H1700" s="13"/>
      <c r="I1700" s="14"/>
      <c r="J1700" s="15"/>
      <c r="K1700" s="15"/>
      <c r="L1700" s="16"/>
    </row>
    <row r="1701" customFormat="false" ht="12.8" hidden="false" customHeight="false" outlineLevel="0" collapsed="false">
      <c r="E1701" s="10"/>
      <c r="F1701" s="11"/>
      <c r="G1701" s="12"/>
      <c r="H1701" s="13"/>
      <c r="I1701" s="14"/>
      <c r="J1701" s="15"/>
      <c r="K1701" s="15"/>
      <c r="L1701" s="16"/>
    </row>
    <row r="1702" customFormat="false" ht="12.8" hidden="false" customHeight="false" outlineLevel="0" collapsed="false">
      <c r="E1702" s="10"/>
      <c r="F1702" s="11"/>
      <c r="G1702" s="12"/>
      <c r="H1702" s="13"/>
      <c r="I1702" s="14"/>
      <c r="J1702" s="15"/>
      <c r="K1702" s="15"/>
      <c r="L1702" s="16"/>
    </row>
    <row r="1703" customFormat="false" ht="12.8" hidden="false" customHeight="false" outlineLevel="0" collapsed="false">
      <c r="E1703" s="10"/>
      <c r="F1703" s="11"/>
      <c r="G1703" s="12"/>
      <c r="H1703" s="13"/>
      <c r="I1703" s="14"/>
      <c r="J1703" s="15"/>
      <c r="K1703" s="15"/>
      <c r="L1703" s="16"/>
    </row>
    <row r="1704" customFormat="false" ht="12.8" hidden="false" customHeight="false" outlineLevel="0" collapsed="false">
      <c r="E1704" s="10"/>
      <c r="F1704" s="11"/>
      <c r="G1704" s="12"/>
      <c r="H1704" s="13"/>
      <c r="I1704" s="14"/>
      <c r="J1704" s="15"/>
      <c r="K1704" s="15"/>
      <c r="L1704" s="16"/>
    </row>
    <row r="1705" customFormat="false" ht="12.8" hidden="false" customHeight="false" outlineLevel="0" collapsed="false">
      <c r="E1705" s="10"/>
      <c r="F1705" s="11"/>
      <c r="G1705" s="12"/>
      <c r="H1705" s="13"/>
      <c r="I1705" s="14"/>
      <c r="J1705" s="15"/>
      <c r="K1705" s="15"/>
      <c r="L1705" s="16"/>
    </row>
    <row r="1706" customFormat="false" ht="12.8" hidden="false" customHeight="false" outlineLevel="0" collapsed="false">
      <c r="E1706" s="10"/>
      <c r="F1706" s="11"/>
      <c r="G1706" s="12"/>
      <c r="H1706" s="13"/>
      <c r="I1706" s="14"/>
      <c r="J1706" s="15"/>
      <c r="K1706" s="15"/>
      <c r="L1706" s="16"/>
    </row>
    <row r="1707" customFormat="false" ht="12.8" hidden="false" customHeight="false" outlineLevel="0" collapsed="false">
      <c r="E1707" s="10"/>
      <c r="F1707" s="11"/>
      <c r="G1707" s="12"/>
      <c r="H1707" s="13"/>
      <c r="I1707" s="14"/>
      <c r="J1707" s="15"/>
      <c r="K1707" s="15"/>
      <c r="L1707" s="16"/>
    </row>
    <row r="1708" customFormat="false" ht="12.8" hidden="false" customHeight="false" outlineLevel="0" collapsed="false">
      <c r="E1708" s="10"/>
      <c r="F1708" s="11"/>
      <c r="G1708" s="12"/>
      <c r="H1708" s="13"/>
      <c r="I1708" s="14"/>
      <c r="J1708" s="15"/>
      <c r="K1708" s="15"/>
      <c r="L1708" s="16"/>
    </row>
    <row r="1709" customFormat="false" ht="12.8" hidden="false" customHeight="false" outlineLevel="0" collapsed="false">
      <c r="E1709" s="10"/>
      <c r="F1709" s="11"/>
      <c r="G1709" s="12"/>
      <c r="H1709" s="13"/>
      <c r="I1709" s="14"/>
      <c r="J1709" s="15"/>
      <c r="K1709" s="15"/>
      <c r="L1709" s="16"/>
    </row>
    <row r="1710" customFormat="false" ht="12.8" hidden="false" customHeight="false" outlineLevel="0" collapsed="false">
      <c r="E1710" s="10"/>
      <c r="F1710" s="11"/>
      <c r="G1710" s="12"/>
      <c r="H1710" s="13"/>
      <c r="I1710" s="14"/>
      <c r="J1710" s="15"/>
      <c r="K1710" s="15"/>
      <c r="L1710" s="16"/>
    </row>
    <row r="1711" customFormat="false" ht="12.8" hidden="false" customHeight="false" outlineLevel="0" collapsed="false">
      <c r="E1711" s="10"/>
      <c r="F1711" s="11"/>
      <c r="G1711" s="12"/>
      <c r="H1711" s="13"/>
      <c r="I1711" s="14"/>
      <c r="J1711" s="15"/>
      <c r="K1711" s="15"/>
      <c r="L1711" s="16"/>
    </row>
    <row r="1712" customFormat="false" ht="12.8" hidden="false" customHeight="false" outlineLevel="0" collapsed="false">
      <c r="E1712" s="10"/>
      <c r="F1712" s="11"/>
      <c r="G1712" s="12"/>
      <c r="H1712" s="13"/>
      <c r="I1712" s="14"/>
      <c r="J1712" s="15"/>
      <c r="K1712" s="15"/>
      <c r="L1712" s="16"/>
    </row>
    <row r="1713" customFormat="false" ht="12.8" hidden="false" customHeight="false" outlineLevel="0" collapsed="false">
      <c r="E1713" s="10"/>
      <c r="F1713" s="11"/>
      <c r="G1713" s="12"/>
      <c r="H1713" s="13"/>
      <c r="I1713" s="14"/>
      <c r="J1713" s="15"/>
      <c r="K1713" s="15"/>
      <c r="L1713" s="16"/>
    </row>
    <row r="1714" customFormat="false" ht="12.8" hidden="false" customHeight="false" outlineLevel="0" collapsed="false">
      <c r="E1714" s="10"/>
      <c r="F1714" s="11"/>
      <c r="G1714" s="12"/>
      <c r="H1714" s="13"/>
      <c r="I1714" s="14"/>
      <c r="J1714" s="15"/>
      <c r="K1714" s="15"/>
      <c r="L1714" s="16"/>
    </row>
    <row r="1715" customFormat="false" ht="12.8" hidden="false" customHeight="false" outlineLevel="0" collapsed="false">
      <c r="E1715" s="10"/>
      <c r="F1715" s="11"/>
      <c r="G1715" s="12"/>
      <c r="H1715" s="13"/>
      <c r="I1715" s="14"/>
      <c r="J1715" s="15"/>
      <c r="K1715" s="15"/>
      <c r="L1715" s="16"/>
    </row>
    <row r="1716" customFormat="false" ht="12.8" hidden="false" customHeight="false" outlineLevel="0" collapsed="false">
      <c r="E1716" s="10"/>
      <c r="F1716" s="11"/>
      <c r="G1716" s="12"/>
      <c r="H1716" s="13"/>
      <c r="I1716" s="14"/>
      <c r="J1716" s="15"/>
      <c r="K1716" s="15"/>
      <c r="L1716" s="16"/>
    </row>
    <row r="1717" customFormat="false" ht="12.8" hidden="false" customHeight="false" outlineLevel="0" collapsed="false">
      <c r="E1717" s="10"/>
      <c r="F1717" s="11"/>
      <c r="G1717" s="12"/>
      <c r="H1717" s="13"/>
      <c r="I1717" s="14"/>
      <c r="J1717" s="15"/>
      <c r="K1717" s="15"/>
      <c r="L1717" s="16"/>
    </row>
    <row r="1718" customFormat="false" ht="12.8" hidden="false" customHeight="false" outlineLevel="0" collapsed="false">
      <c r="E1718" s="10"/>
      <c r="F1718" s="11"/>
      <c r="G1718" s="12"/>
      <c r="H1718" s="13"/>
      <c r="I1718" s="14"/>
      <c r="J1718" s="15"/>
      <c r="K1718" s="15"/>
      <c r="L1718" s="16"/>
    </row>
    <row r="1719" customFormat="false" ht="12.8" hidden="false" customHeight="false" outlineLevel="0" collapsed="false">
      <c r="E1719" s="10"/>
      <c r="F1719" s="11"/>
      <c r="G1719" s="12"/>
      <c r="H1719" s="13"/>
      <c r="I1719" s="14"/>
      <c r="J1719" s="15"/>
      <c r="K1719" s="15"/>
      <c r="L1719" s="16"/>
    </row>
    <row r="1720" customFormat="false" ht="12.8" hidden="false" customHeight="false" outlineLevel="0" collapsed="false">
      <c r="E1720" s="10"/>
      <c r="F1720" s="11"/>
      <c r="G1720" s="12"/>
      <c r="H1720" s="13"/>
      <c r="I1720" s="14"/>
      <c r="J1720" s="15"/>
      <c r="K1720" s="15"/>
      <c r="L1720" s="16"/>
    </row>
    <row r="1721" customFormat="false" ht="12.8" hidden="false" customHeight="false" outlineLevel="0" collapsed="false">
      <c r="E1721" s="10"/>
      <c r="F1721" s="11"/>
      <c r="G1721" s="12"/>
      <c r="H1721" s="13"/>
      <c r="I1721" s="14"/>
      <c r="J1721" s="15"/>
      <c r="K1721" s="15"/>
      <c r="L1721" s="16"/>
    </row>
    <row r="1722" customFormat="false" ht="12.8" hidden="false" customHeight="false" outlineLevel="0" collapsed="false">
      <c r="E1722" s="10"/>
      <c r="F1722" s="11"/>
      <c r="G1722" s="12"/>
      <c r="H1722" s="13"/>
      <c r="I1722" s="14"/>
      <c r="J1722" s="15"/>
      <c r="K1722" s="15"/>
      <c r="L1722" s="16"/>
    </row>
    <row r="1723" customFormat="false" ht="12.8" hidden="false" customHeight="false" outlineLevel="0" collapsed="false">
      <c r="E1723" s="10"/>
      <c r="F1723" s="11"/>
      <c r="G1723" s="12"/>
      <c r="H1723" s="13"/>
      <c r="I1723" s="14"/>
      <c r="J1723" s="15"/>
      <c r="K1723" s="15"/>
      <c r="L1723" s="16"/>
    </row>
    <row r="1724" customFormat="false" ht="12.8" hidden="false" customHeight="false" outlineLevel="0" collapsed="false">
      <c r="E1724" s="10"/>
      <c r="F1724" s="11"/>
      <c r="G1724" s="12"/>
      <c r="H1724" s="13"/>
      <c r="I1724" s="14"/>
      <c r="J1724" s="15"/>
      <c r="K1724" s="15"/>
      <c r="L1724" s="16"/>
    </row>
    <row r="1725" customFormat="false" ht="12.8" hidden="false" customHeight="false" outlineLevel="0" collapsed="false">
      <c r="E1725" s="10"/>
      <c r="F1725" s="11"/>
      <c r="G1725" s="12"/>
      <c r="H1725" s="13"/>
      <c r="I1725" s="14"/>
      <c r="J1725" s="15"/>
      <c r="K1725" s="15"/>
      <c r="L1725" s="1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4543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2023-06-19T06:34:46Z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