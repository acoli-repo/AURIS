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defaultThemeVersion="166925"/>
  <mc:AlternateContent xmlns:mc="http://schemas.openxmlformats.org/markup-compatibility/2006">
    <mc:Choice Requires="x15">
      <x15ac:absPath xmlns:x15ac="http://schemas.microsoft.com/office/spreadsheetml/2010/11/ac" url="C:\Users\hk\Downloads\"/>
    </mc:Choice>
  </mc:AlternateContent>
  <xr:revisionPtr revIDLastSave="0" documentId="13_ncr:1_{4CFA99C0-3EFC-4E30-AA3A-4B94E3CA6FA0}" xr6:coauthVersionLast="47" xr6:coauthVersionMax="47" xr10:uidLastSave="{00000000-0000-0000-0000-000000000000}"/>
  <bookViews>
    <workbookView xWindow="-98" yWindow="-98" windowWidth="20715" windowHeight="13155" tabRatio="500" xr2:uid="{00000000-000D-0000-FFFF-FFFF00000000}"/>
  </bookViews>
  <sheets>
    <sheet name="annotation"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H310" i="1" l="1"/>
  <c r="E310" i="1"/>
  <c r="G310" i="1" s="1"/>
  <c r="H309" i="1"/>
  <c r="E309" i="1"/>
  <c r="G309" i="1" s="1"/>
  <c r="H308" i="1"/>
  <c r="G308" i="1"/>
  <c r="E308" i="1"/>
  <c r="F308" i="1" s="1"/>
  <c r="H307" i="1"/>
  <c r="G307" i="1"/>
  <c r="E307" i="1"/>
  <c r="F307" i="1" s="1"/>
  <c r="H306" i="1"/>
  <c r="H305" i="1"/>
  <c r="G305" i="1"/>
  <c r="E305" i="1"/>
  <c r="F305" i="1" s="1"/>
  <c r="H304" i="1"/>
  <c r="G304" i="1"/>
  <c r="E304" i="1"/>
  <c r="F304" i="1" s="1"/>
  <c r="H303" i="1"/>
  <c r="G303" i="1"/>
  <c r="E303" i="1"/>
  <c r="F303" i="1" s="1"/>
  <c r="H302" i="1"/>
  <c r="H301" i="1"/>
  <c r="G301" i="1"/>
  <c r="E301" i="1"/>
  <c r="F301" i="1" s="1"/>
  <c r="H300" i="1"/>
  <c r="E300" i="1"/>
  <c r="G300" i="1" s="1"/>
  <c r="H299" i="1"/>
  <c r="E299" i="1"/>
  <c r="G299" i="1" s="1"/>
  <c r="H298" i="1"/>
  <c r="F298" i="1"/>
  <c r="E298" i="1"/>
  <c r="G298" i="1" s="1"/>
  <c r="H297" i="1"/>
  <c r="E297" i="1"/>
  <c r="G297" i="1" s="1"/>
  <c r="H296" i="1"/>
  <c r="H295" i="1"/>
  <c r="E295" i="1"/>
  <c r="G295" i="1" s="1"/>
  <c r="H294" i="1"/>
  <c r="F294" i="1"/>
  <c r="E294" i="1"/>
  <c r="G294" i="1" s="1"/>
  <c r="H293" i="1"/>
  <c r="E293" i="1"/>
  <c r="G293" i="1" s="1"/>
  <c r="H292" i="1"/>
  <c r="H291" i="1"/>
  <c r="E291" i="1"/>
  <c r="G291" i="1" s="1"/>
  <c r="H290" i="1"/>
  <c r="H289" i="1"/>
  <c r="E289" i="1"/>
  <c r="G289" i="1" s="1"/>
  <c r="H288" i="1"/>
  <c r="E288" i="1"/>
  <c r="G288" i="1" s="1"/>
  <c r="H287" i="1"/>
  <c r="F287" i="1"/>
  <c r="E287" i="1"/>
  <c r="G287" i="1" s="1"/>
  <c r="H286" i="1"/>
  <c r="F286" i="1"/>
  <c r="H285" i="1"/>
  <c r="E285" i="1"/>
  <c r="G285" i="1" s="1"/>
  <c r="H284" i="1"/>
  <c r="E284" i="1"/>
  <c r="G284" i="1" s="1"/>
  <c r="H283" i="1"/>
  <c r="H282" i="1"/>
  <c r="F282" i="1"/>
  <c r="E282" i="1"/>
  <c r="G282" i="1" s="1"/>
  <c r="H281" i="1"/>
  <c r="E281" i="1"/>
  <c r="G281" i="1" s="1"/>
  <c r="H280" i="1"/>
  <c r="E280" i="1"/>
  <c r="G280" i="1" s="1"/>
  <c r="H279" i="1"/>
  <c r="F279" i="1"/>
  <c r="E279" i="1"/>
  <c r="G279" i="1" s="1"/>
  <c r="H278" i="1"/>
  <c r="F278" i="1"/>
  <c r="H277" i="1"/>
  <c r="E277" i="1"/>
  <c r="G277" i="1" s="1"/>
  <c r="H276" i="1"/>
  <c r="E276" i="1"/>
  <c r="G276" i="1" s="1"/>
  <c r="H275" i="1"/>
  <c r="F275" i="1"/>
  <c r="E275" i="1"/>
  <c r="G275" i="1" s="1"/>
  <c r="H274" i="1"/>
  <c r="F274" i="1"/>
  <c r="E274" i="1"/>
  <c r="G274" i="1" s="1"/>
  <c r="H273" i="1"/>
  <c r="H272" i="1"/>
  <c r="E272" i="1"/>
  <c r="G272" i="1" s="1"/>
  <c r="H271" i="1"/>
  <c r="F271" i="1"/>
  <c r="E271" i="1"/>
  <c r="G271" i="1" s="1"/>
  <c r="H270" i="1"/>
  <c r="F270" i="1"/>
  <c r="E270" i="1"/>
  <c r="G270" i="1" s="1"/>
  <c r="H269" i="1"/>
  <c r="E269" i="1"/>
  <c r="G269" i="1" s="1"/>
  <c r="H268" i="1"/>
  <c r="E268" i="1"/>
  <c r="G268" i="1" s="1"/>
  <c r="H267" i="1"/>
  <c r="F267" i="1"/>
  <c r="E267" i="1"/>
  <c r="G267" i="1" s="1"/>
  <c r="H266" i="1"/>
  <c r="F266" i="1"/>
  <c r="E266" i="1"/>
  <c r="G266" i="1" s="1"/>
  <c r="H265" i="1"/>
  <c r="E265" i="1"/>
  <c r="G265" i="1" s="1"/>
  <c r="H264" i="1"/>
  <c r="E264" i="1"/>
  <c r="G264" i="1" s="1"/>
  <c r="H263" i="1"/>
  <c r="H262" i="1"/>
  <c r="F262" i="1"/>
  <c r="H261" i="1"/>
  <c r="E261" i="1"/>
  <c r="G261" i="1" s="1"/>
  <c r="H260" i="1"/>
  <c r="E260" i="1"/>
  <c r="G260" i="1" s="1"/>
  <c r="H259" i="1"/>
  <c r="F259" i="1"/>
  <c r="E259" i="1"/>
  <c r="G259" i="1" s="1"/>
  <c r="H258" i="1"/>
  <c r="F258" i="1"/>
  <c r="E258" i="1"/>
  <c r="G258" i="1" s="1"/>
  <c r="H257" i="1"/>
  <c r="E257" i="1"/>
  <c r="G257" i="1" s="1"/>
  <c r="H256" i="1"/>
  <c r="E256" i="1"/>
  <c r="G256" i="1" s="1"/>
  <c r="H255" i="1"/>
  <c r="F255" i="1"/>
  <c r="E255" i="1"/>
  <c r="G255" i="1" s="1"/>
  <c r="H254" i="1"/>
  <c r="F254" i="1"/>
  <c r="E254" i="1"/>
  <c r="G254" i="1" s="1"/>
  <c r="H253" i="1"/>
  <c r="H252" i="1"/>
  <c r="E252" i="1"/>
  <c r="G252" i="1" s="1"/>
  <c r="H251" i="1"/>
  <c r="F251" i="1"/>
  <c r="E251" i="1"/>
  <c r="G251" i="1" s="1"/>
  <c r="H250" i="1"/>
  <c r="F250" i="1"/>
  <c r="E250" i="1"/>
  <c r="G250" i="1" s="1"/>
  <c r="H249" i="1"/>
  <c r="H248" i="1"/>
  <c r="E248" i="1"/>
  <c r="G248" i="1" s="1"/>
  <c r="H247" i="1"/>
  <c r="F247" i="1"/>
  <c r="E247" i="1"/>
  <c r="G247" i="1" s="1"/>
  <c r="H246" i="1"/>
  <c r="F246" i="1"/>
  <c r="E246" i="1"/>
  <c r="G246" i="1" s="1"/>
  <c r="H245" i="1"/>
  <c r="H244" i="1"/>
  <c r="E244" i="1"/>
  <c r="G244" i="1" s="1"/>
  <c r="H243" i="1"/>
  <c r="F243" i="1"/>
  <c r="E243" i="1"/>
  <c r="G243" i="1" s="1"/>
  <c r="H242" i="1"/>
  <c r="H241" i="1"/>
  <c r="E241" i="1"/>
  <c r="G241" i="1" s="1"/>
  <c r="H240" i="1"/>
  <c r="E240" i="1"/>
  <c r="G240" i="1" s="1"/>
  <c r="H239" i="1"/>
  <c r="F239" i="1"/>
  <c r="E239" i="1"/>
  <c r="G239" i="1" s="1"/>
  <c r="H238" i="1"/>
  <c r="F238" i="1"/>
  <c r="E238" i="1"/>
  <c r="G238" i="1" s="1"/>
  <c r="H237" i="1"/>
  <c r="H236" i="1"/>
  <c r="H235" i="1"/>
  <c r="F235" i="1"/>
  <c r="E235" i="1"/>
  <c r="G235" i="1" s="1"/>
  <c r="H234" i="1"/>
  <c r="F234" i="1"/>
  <c r="E234" i="1"/>
  <c r="G234" i="1" s="1"/>
  <c r="H233" i="1"/>
  <c r="E233" i="1"/>
  <c r="G233" i="1" s="1"/>
  <c r="H232" i="1"/>
  <c r="H231" i="1"/>
  <c r="F231" i="1"/>
  <c r="E231" i="1"/>
  <c r="G231" i="1" s="1"/>
  <c r="H230" i="1"/>
  <c r="F230" i="1"/>
  <c r="H229" i="1"/>
  <c r="E229" i="1"/>
  <c r="G229" i="1" s="1"/>
  <c r="H228" i="1"/>
  <c r="E228" i="1"/>
  <c r="G228" i="1" s="1"/>
  <c r="H227" i="1"/>
  <c r="F227" i="1"/>
  <c r="H226" i="1"/>
  <c r="F226" i="1"/>
  <c r="E226" i="1"/>
  <c r="G226" i="1" s="1"/>
  <c r="H225" i="1"/>
  <c r="E225" i="1"/>
  <c r="G225" i="1" s="1"/>
  <c r="H224" i="1"/>
  <c r="H223" i="1"/>
  <c r="F223" i="1"/>
  <c r="E223" i="1"/>
  <c r="G223" i="1" s="1"/>
  <c r="H222" i="1"/>
  <c r="F222" i="1"/>
  <c r="E222" i="1"/>
  <c r="G222" i="1" s="1"/>
  <c r="H221" i="1"/>
  <c r="E221" i="1"/>
  <c r="G221" i="1" s="1"/>
  <c r="H220" i="1"/>
  <c r="E220" i="1"/>
  <c r="G220" i="1" s="1"/>
  <c r="H219" i="1"/>
  <c r="F219" i="1"/>
  <c r="E219" i="1"/>
  <c r="G219" i="1" s="1"/>
  <c r="H218" i="1"/>
  <c r="H217" i="1"/>
  <c r="E217" i="1"/>
  <c r="G217" i="1" s="1"/>
  <c r="H216" i="1"/>
  <c r="E216" i="1"/>
  <c r="G216" i="1" s="1"/>
  <c r="H215" i="1"/>
  <c r="E215" i="1"/>
  <c r="G215" i="1" s="1"/>
  <c r="H214" i="1"/>
  <c r="E214" i="1"/>
  <c r="G214" i="1" s="1"/>
  <c r="H213" i="1"/>
  <c r="E213" i="1"/>
  <c r="G213" i="1" s="1"/>
  <c r="H212" i="1"/>
  <c r="E212" i="1"/>
  <c r="G212" i="1" s="1"/>
  <c r="H211" i="1"/>
  <c r="E211" i="1"/>
  <c r="G211" i="1" s="1"/>
  <c r="H210" i="1"/>
  <c r="E210" i="1"/>
  <c r="G210" i="1" s="1"/>
  <c r="H209" i="1"/>
  <c r="E209" i="1"/>
  <c r="G209" i="1" s="1"/>
  <c r="H208" i="1"/>
  <c r="G208" i="1"/>
  <c r="H207" i="1"/>
  <c r="E207" i="1"/>
  <c r="G207" i="1" s="1"/>
  <c r="H206" i="1"/>
  <c r="E206" i="1"/>
  <c r="G206" i="1" s="1"/>
  <c r="H205" i="1"/>
  <c r="E205" i="1"/>
  <c r="G205" i="1" s="1"/>
  <c r="H204" i="1"/>
  <c r="E204" i="1"/>
  <c r="G204" i="1" s="1"/>
  <c r="H203" i="1"/>
  <c r="H202" i="1"/>
  <c r="E202" i="1"/>
  <c r="G202" i="1" s="1"/>
  <c r="H201" i="1"/>
  <c r="H200" i="1"/>
  <c r="E200" i="1"/>
  <c r="G200" i="1" s="1"/>
  <c r="H199" i="1"/>
  <c r="H198" i="1"/>
  <c r="E198" i="1"/>
  <c r="G198" i="1" s="1"/>
  <c r="H197" i="1"/>
  <c r="E197" i="1"/>
  <c r="H196" i="1"/>
  <c r="E196" i="1"/>
  <c r="G196" i="1" s="1"/>
  <c r="H195" i="1"/>
  <c r="F195" i="1"/>
  <c r="E195" i="1"/>
  <c r="G195" i="1" s="1"/>
  <c r="H194" i="1"/>
  <c r="E194" i="1"/>
  <c r="G194" i="1" s="1"/>
  <c r="H193" i="1"/>
  <c r="E193" i="1"/>
  <c r="H192" i="1"/>
  <c r="H191" i="1"/>
  <c r="E191" i="1"/>
  <c r="G191" i="1" s="1"/>
  <c r="H190" i="1"/>
  <c r="E190" i="1"/>
  <c r="G190" i="1" s="1"/>
  <c r="H189" i="1"/>
  <c r="E189" i="1"/>
  <c r="H188" i="1"/>
  <c r="F188" i="1"/>
  <c r="E188" i="1"/>
  <c r="G188" i="1" s="1"/>
  <c r="H187" i="1"/>
  <c r="E187" i="1"/>
  <c r="G187" i="1" s="1"/>
  <c r="H186" i="1"/>
  <c r="H185" i="1"/>
  <c r="H184" i="1"/>
  <c r="E184" i="1"/>
  <c r="G184" i="1" s="1"/>
  <c r="H183" i="1"/>
  <c r="H182" i="1"/>
  <c r="E182" i="1"/>
  <c r="G182" i="1" s="1"/>
  <c r="H181" i="1"/>
  <c r="E181" i="1"/>
  <c r="H180" i="1"/>
  <c r="F180" i="1"/>
  <c r="E180" i="1"/>
  <c r="G180" i="1" s="1"/>
  <c r="H179" i="1"/>
  <c r="F179" i="1"/>
  <c r="E179" i="1"/>
  <c r="G179" i="1" s="1"/>
  <c r="H178" i="1"/>
  <c r="E178" i="1"/>
  <c r="G178" i="1" s="1"/>
  <c r="H177" i="1"/>
  <c r="E177" i="1"/>
  <c r="H176" i="1"/>
  <c r="E176" i="1"/>
  <c r="G176" i="1" s="1"/>
  <c r="H175" i="1"/>
  <c r="E175" i="1"/>
  <c r="G175" i="1" s="1"/>
  <c r="H174" i="1"/>
  <c r="H173" i="1"/>
  <c r="H172" i="1"/>
  <c r="F172" i="1"/>
  <c r="E172" i="1"/>
  <c r="G172" i="1" s="1"/>
  <c r="H171" i="1"/>
  <c r="F171" i="1"/>
  <c r="E171" i="1"/>
  <c r="G171" i="1" s="1"/>
  <c r="H170" i="1"/>
  <c r="E170" i="1"/>
  <c r="G170" i="1" s="1"/>
  <c r="H169" i="1"/>
  <c r="E169" i="1"/>
  <c r="H168" i="1"/>
  <c r="F168" i="1"/>
  <c r="E168" i="1"/>
  <c r="G168" i="1" s="1"/>
  <c r="H167" i="1"/>
  <c r="E167" i="1"/>
  <c r="G167" i="1" s="1"/>
  <c r="H166" i="1"/>
  <c r="E166" i="1"/>
  <c r="G166" i="1" s="1"/>
  <c r="H165" i="1"/>
  <c r="H164" i="1"/>
  <c r="H163" i="1"/>
  <c r="F163" i="1"/>
  <c r="E163" i="1"/>
  <c r="G163" i="1" s="1"/>
  <c r="H162" i="1"/>
  <c r="E162" i="1"/>
  <c r="G162" i="1" s="1"/>
  <c r="H161" i="1"/>
  <c r="E161" i="1"/>
  <c r="H160" i="1"/>
  <c r="F160" i="1"/>
  <c r="E160" i="1"/>
  <c r="G160" i="1" s="1"/>
  <c r="H159" i="1"/>
  <c r="H158" i="1"/>
  <c r="E158" i="1"/>
  <c r="G158" i="1" s="1"/>
  <c r="H157" i="1"/>
  <c r="E157" i="1"/>
  <c r="H156" i="1"/>
  <c r="H155" i="1"/>
  <c r="F155" i="1"/>
  <c r="E155" i="1"/>
  <c r="G155" i="1" s="1"/>
  <c r="H154" i="1"/>
  <c r="F154" i="1"/>
  <c r="E154" i="1"/>
  <c r="G154" i="1" s="1"/>
  <c r="H153" i="1"/>
  <c r="E153" i="1"/>
  <c r="H152" i="1"/>
  <c r="F152" i="1"/>
  <c r="E152" i="1"/>
  <c r="G152" i="1" s="1"/>
  <c r="H151" i="1"/>
  <c r="F151" i="1"/>
  <c r="E151" i="1"/>
  <c r="G151" i="1" s="1"/>
  <c r="H150" i="1"/>
  <c r="E150" i="1"/>
  <c r="G150" i="1" s="1"/>
  <c r="H149" i="1"/>
  <c r="H148" i="1"/>
  <c r="E148" i="1"/>
  <c r="G148" i="1" s="1"/>
  <c r="H147" i="1"/>
  <c r="H146" i="1"/>
  <c r="E146" i="1"/>
  <c r="G146" i="1" s="1"/>
  <c r="H145" i="1"/>
  <c r="E145" i="1"/>
  <c r="H144" i="1"/>
  <c r="F144" i="1"/>
  <c r="E144" i="1"/>
  <c r="G144" i="1" s="1"/>
  <c r="H143" i="1"/>
  <c r="F143" i="1"/>
  <c r="E143" i="1"/>
  <c r="G143" i="1" s="1"/>
  <c r="H142" i="1"/>
  <c r="H141" i="1"/>
  <c r="E141" i="1"/>
  <c r="H140" i="1"/>
  <c r="E140" i="1"/>
  <c r="G140" i="1" s="1"/>
  <c r="H139" i="1"/>
  <c r="E139" i="1"/>
  <c r="G139" i="1" s="1"/>
  <c r="H138" i="1"/>
  <c r="H137" i="1"/>
  <c r="E137" i="1"/>
  <c r="H136" i="1"/>
  <c r="H135" i="1"/>
  <c r="F135" i="1"/>
  <c r="E135" i="1"/>
  <c r="G135" i="1" s="1"/>
  <c r="H134" i="1"/>
  <c r="E134" i="1"/>
  <c r="G134" i="1" s="1"/>
  <c r="H133" i="1"/>
  <c r="H132" i="1"/>
  <c r="F132" i="1"/>
  <c r="E132" i="1"/>
  <c r="G132" i="1" s="1"/>
  <c r="H131" i="1"/>
  <c r="E131" i="1"/>
  <c r="G131" i="1" s="1"/>
  <c r="H130" i="1"/>
  <c r="E130" i="1"/>
  <c r="G130" i="1" s="1"/>
  <c r="H129" i="1"/>
  <c r="E129" i="1"/>
  <c r="H128" i="1"/>
  <c r="E128" i="1"/>
  <c r="G128" i="1" s="1"/>
  <c r="H127" i="1"/>
  <c r="H126" i="1"/>
  <c r="E126" i="1"/>
  <c r="G126" i="1" s="1"/>
  <c r="H125" i="1"/>
  <c r="E125" i="1"/>
  <c r="H124" i="1"/>
  <c r="H123" i="1"/>
  <c r="E123" i="1"/>
  <c r="G123" i="1" s="1"/>
  <c r="H122" i="1"/>
  <c r="E122" i="1"/>
  <c r="G122" i="1" s="1"/>
  <c r="H121" i="1"/>
  <c r="E121" i="1"/>
  <c r="H120" i="1"/>
  <c r="E120" i="1"/>
  <c r="G120" i="1" s="1"/>
  <c r="H119" i="1"/>
  <c r="E119" i="1"/>
  <c r="G119" i="1" s="1"/>
  <c r="H118" i="1"/>
  <c r="E118" i="1"/>
  <c r="G118" i="1" s="1"/>
  <c r="H117" i="1"/>
  <c r="E117" i="1"/>
  <c r="H116" i="1"/>
  <c r="E116" i="1"/>
  <c r="H115" i="1"/>
  <c r="E115" i="1"/>
  <c r="H114" i="1"/>
  <c r="H113" i="1"/>
  <c r="E113" i="1"/>
  <c r="H112" i="1"/>
  <c r="E112" i="1"/>
  <c r="H111" i="1"/>
  <c r="E111" i="1"/>
  <c r="H110" i="1"/>
  <c r="E110" i="1"/>
  <c r="H109" i="1"/>
  <c r="H108" i="1"/>
  <c r="E108" i="1"/>
  <c r="H107" i="1"/>
  <c r="E107" i="1"/>
  <c r="H106" i="1"/>
  <c r="E106" i="1"/>
  <c r="H105" i="1"/>
  <c r="E105" i="1"/>
  <c r="H104" i="1"/>
  <c r="E104" i="1"/>
  <c r="H103" i="1"/>
  <c r="H102" i="1"/>
  <c r="H101" i="1"/>
  <c r="E101" i="1"/>
  <c r="H100" i="1"/>
  <c r="E100" i="1"/>
  <c r="H99" i="1"/>
  <c r="E99" i="1"/>
  <c r="H98" i="1"/>
  <c r="E98" i="1"/>
  <c r="H97" i="1"/>
  <c r="H96" i="1"/>
  <c r="E96" i="1"/>
  <c r="H95" i="1"/>
  <c r="E95" i="1"/>
  <c r="H94" i="1"/>
  <c r="E94" i="1"/>
  <c r="H93" i="1"/>
  <c r="E93" i="1"/>
  <c r="H92" i="1"/>
  <c r="E92" i="1"/>
  <c r="H91" i="1"/>
  <c r="E91" i="1"/>
  <c r="H90" i="1"/>
  <c r="E90" i="1"/>
  <c r="H89" i="1"/>
  <c r="H88" i="1"/>
  <c r="E88" i="1"/>
  <c r="H87" i="1"/>
  <c r="E87" i="1"/>
  <c r="H86" i="1"/>
  <c r="E86" i="1"/>
  <c r="H85" i="1"/>
  <c r="E85" i="1"/>
  <c r="H84" i="1"/>
  <c r="E84" i="1"/>
  <c r="H83" i="1"/>
  <c r="E83" i="1"/>
  <c r="H82" i="1"/>
  <c r="E82" i="1"/>
  <c r="H81" i="1"/>
  <c r="E81" i="1"/>
  <c r="H80" i="1"/>
  <c r="E80" i="1"/>
  <c r="H79" i="1"/>
  <c r="H78" i="1"/>
  <c r="E78" i="1"/>
  <c r="H77" i="1"/>
  <c r="E77" i="1"/>
  <c r="H76" i="1"/>
  <c r="E76" i="1"/>
  <c r="H75" i="1"/>
  <c r="E75" i="1"/>
  <c r="H74" i="1"/>
  <c r="E74" i="1"/>
  <c r="H73" i="1"/>
  <c r="H72" i="1"/>
  <c r="E72" i="1"/>
  <c r="H71" i="1"/>
  <c r="E71" i="1"/>
  <c r="H70" i="1"/>
  <c r="E70" i="1"/>
  <c r="H69" i="1"/>
  <c r="E69" i="1"/>
  <c r="H68" i="1"/>
  <c r="E68" i="1"/>
  <c r="H67" i="1"/>
  <c r="E67" i="1"/>
  <c r="H66" i="1"/>
  <c r="H65" i="1"/>
  <c r="E65" i="1"/>
  <c r="H64" i="1"/>
  <c r="E64" i="1"/>
  <c r="H63" i="1"/>
  <c r="E63" i="1"/>
  <c r="H62" i="1"/>
  <c r="H61" i="1"/>
  <c r="E61" i="1"/>
  <c r="H60" i="1"/>
  <c r="E60" i="1"/>
  <c r="H59" i="1"/>
  <c r="E59" i="1"/>
  <c r="H58" i="1"/>
  <c r="E58" i="1"/>
  <c r="H57" i="1"/>
  <c r="E57" i="1"/>
  <c r="H56" i="1"/>
  <c r="E56" i="1"/>
  <c r="H55" i="1"/>
  <c r="E55" i="1"/>
  <c r="H54" i="1"/>
  <c r="H53" i="1"/>
  <c r="E53" i="1"/>
  <c r="G53" i="1" s="1"/>
  <c r="H52" i="1"/>
  <c r="E52" i="1"/>
  <c r="G52" i="1" s="1"/>
  <c r="H51" i="1"/>
  <c r="H50" i="1"/>
  <c r="E50" i="1"/>
  <c r="G50" i="1" s="1"/>
  <c r="H49" i="1"/>
  <c r="E49" i="1"/>
  <c r="G49" i="1" s="1"/>
  <c r="H48" i="1"/>
  <c r="E48" i="1"/>
  <c r="G48" i="1" s="1"/>
  <c r="H47" i="1"/>
  <c r="F47" i="1"/>
  <c r="E47" i="1"/>
  <c r="G47" i="1" s="1"/>
  <c r="H46" i="1"/>
  <c r="H45" i="1"/>
  <c r="E45" i="1"/>
  <c r="G45" i="1" s="1"/>
  <c r="H44" i="1"/>
  <c r="E44" i="1"/>
  <c r="G44" i="1" s="1"/>
  <c r="H43" i="1"/>
  <c r="E43" i="1"/>
  <c r="G43" i="1" s="1"/>
  <c r="H42" i="1"/>
  <c r="E42" i="1"/>
  <c r="G42" i="1" s="1"/>
  <c r="H41" i="1"/>
  <c r="H40" i="1"/>
  <c r="F40" i="1"/>
  <c r="H39" i="1"/>
  <c r="E39" i="1"/>
  <c r="G39" i="1" s="1"/>
  <c r="H38" i="1"/>
  <c r="H37" i="1"/>
  <c r="E37" i="1"/>
  <c r="G37" i="1" s="1"/>
  <c r="H36" i="1"/>
  <c r="E36" i="1"/>
  <c r="G36" i="1" s="1"/>
  <c r="H35" i="1"/>
  <c r="E35" i="1"/>
  <c r="G35" i="1" s="1"/>
  <c r="H34" i="1"/>
  <c r="E34" i="1"/>
  <c r="G34" i="1" s="1"/>
  <c r="H33" i="1"/>
  <c r="E33" i="1"/>
  <c r="G33" i="1" s="1"/>
  <c r="H32" i="1"/>
  <c r="E32" i="1"/>
  <c r="G32" i="1" s="1"/>
  <c r="H31" i="1"/>
  <c r="H30" i="1"/>
  <c r="E30" i="1"/>
  <c r="G30" i="1" s="1"/>
  <c r="H29" i="1"/>
  <c r="H28" i="1"/>
  <c r="E28" i="1"/>
  <c r="F28" i="1" s="1"/>
  <c r="H27" i="1"/>
  <c r="E27" i="1"/>
  <c r="G27" i="1" s="1"/>
  <c r="H26" i="1"/>
  <c r="E26" i="1"/>
  <c r="F26" i="1" s="1"/>
  <c r="H25" i="1"/>
  <c r="E25" i="1"/>
  <c r="G25" i="1" s="1"/>
  <c r="H24" i="1"/>
  <c r="E24" i="1"/>
  <c r="G24" i="1" s="1"/>
  <c r="H23" i="1"/>
  <c r="F23" i="1"/>
  <c r="H22" i="1"/>
  <c r="E22" i="1"/>
  <c r="G22" i="1" s="1"/>
  <c r="H21" i="1"/>
  <c r="E21" i="1"/>
  <c r="F21" i="1" s="1"/>
  <c r="H20" i="1"/>
  <c r="E20" i="1"/>
  <c r="G20" i="1" s="1"/>
  <c r="H19" i="1"/>
  <c r="E19" i="1"/>
  <c r="F19" i="1" s="1"/>
  <c r="H18" i="1"/>
  <c r="H17" i="1"/>
  <c r="E17" i="1"/>
  <c r="F17" i="1" s="1"/>
  <c r="H16" i="1"/>
  <c r="E16" i="1"/>
  <c r="G16" i="1" s="1"/>
  <c r="H15" i="1"/>
  <c r="E15" i="1"/>
  <c r="F15" i="1" s="1"/>
  <c r="H14" i="1"/>
  <c r="E14" i="1"/>
  <c r="G14" i="1" s="1"/>
  <c r="H13" i="1"/>
  <c r="E13" i="1"/>
  <c r="F13" i="1" s="1"/>
  <c r="H12" i="1"/>
  <c r="E12" i="1"/>
  <c r="G12" i="1" s="1"/>
  <c r="H11" i="1"/>
  <c r="E11" i="1"/>
  <c r="G11" i="1" s="1"/>
  <c r="H10" i="1"/>
  <c r="F10" i="1"/>
  <c r="H9" i="1"/>
  <c r="E9" i="1"/>
  <c r="F9" i="1" s="1"/>
  <c r="H8" i="1"/>
  <c r="H7" i="1"/>
  <c r="E7" i="1"/>
  <c r="G7" i="1" s="1"/>
  <c r="H6" i="1"/>
  <c r="E6" i="1"/>
  <c r="G6" i="1" s="1"/>
  <c r="H5" i="1"/>
  <c r="H4" i="1"/>
  <c r="E4" i="1"/>
  <c r="G4" i="1" s="1"/>
  <c r="G3" i="1"/>
  <c r="E3" i="1"/>
  <c r="G2" i="1"/>
  <c r="F2" i="1"/>
  <c r="K2" i="1" s="1"/>
  <c r="E2" i="1"/>
  <c r="I2" i="1" s="1"/>
  <c r="F309" i="1" l="1"/>
  <c r="F310" i="1"/>
  <c r="F217" i="1"/>
  <c r="F221" i="1"/>
  <c r="F225" i="1"/>
  <c r="F241" i="1"/>
  <c r="F253" i="1"/>
  <c r="F257" i="1"/>
  <c r="F265" i="1"/>
  <c r="F277" i="1"/>
  <c r="F281" i="1"/>
  <c r="F285" i="1"/>
  <c r="F289" i="1"/>
  <c r="F293" i="1"/>
  <c r="F297" i="1"/>
  <c r="F202" i="1"/>
  <c r="F203" i="1"/>
  <c r="F204" i="1"/>
  <c r="F205" i="1"/>
  <c r="F206" i="1"/>
  <c r="F207" i="1"/>
  <c r="F209" i="1"/>
  <c r="F210" i="1"/>
  <c r="F211" i="1"/>
  <c r="F212" i="1"/>
  <c r="F213" i="1"/>
  <c r="F214" i="1"/>
  <c r="F215" i="1"/>
  <c r="F216" i="1"/>
  <c r="F220" i="1"/>
  <c r="F228" i="1"/>
  <c r="F236" i="1"/>
  <c r="F240" i="1"/>
  <c r="F244" i="1"/>
  <c r="F248" i="1"/>
  <c r="F252" i="1"/>
  <c r="F256" i="1"/>
  <c r="F260" i="1"/>
  <c r="F264" i="1"/>
  <c r="F268" i="1"/>
  <c r="F272" i="1"/>
  <c r="F276" i="1"/>
  <c r="F280" i="1"/>
  <c r="F284" i="1"/>
  <c r="F288" i="1"/>
  <c r="F296" i="1"/>
  <c r="F300" i="1"/>
  <c r="F229" i="1"/>
  <c r="F233" i="1"/>
  <c r="F261" i="1"/>
  <c r="F269" i="1"/>
  <c r="F291" i="1"/>
  <c r="F295" i="1"/>
  <c r="F299" i="1"/>
  <c r="F138" i="1"/>
  <c r="F51" i="1"/>
  <c r="F120" i="1"/>
  <c r="F123" i="1"/>
  <c r="F131" i="1"/>
  <c r="F140" i="1"/>
  <c r="F148" i="1"/>
  <c r="F159" i="1"/>
  <c r="F167" i="1"/>
  <c r="F170" i="1"/>
  <c r="F176" i="1"/>
  <c r="F184" i="1"/>
  <c r="F187" i="1"/>
  <c r="F119" i="1"/>
  <c r="F122" i="1"/>
  <c r="F128" i="1"/>
  <c r="F139" i="1"/>
  <c r="F147" i="1"/>
  <c r="F164" i="1"/>
  <c r="F175" i="1"/>
  <c r="F191" i="1"/>
  <c r="G60" i="1"/>
  <c r="F60" i="1"/>
  <c r="G68" i="1"/>
  <c r="F68" i="1"/>
  <c r="G72" i="1"/>
  <c r="F72" i="1"/>
  <c r="G76" i="1"/>
  <c r="F76" i="1"/>
  <c r="G78" i="1"/>
  <c r="F78" i="1"/>
  <c r="G82" i="1"/>
  <c r="F82" i="1"/>
  <c r="G86" i="1"/>
  <c r="F86" i="1"/>
  <c r="G90" i="1"/>
  <c r="F90" i="1"/>
  <c r="G96" i="1"/>
  <c r="F96" i="1"/>
  <c r="G98" i="1"/>
  <c r="F98" i="1"/>
  <c r="F102" i="1"/>
  <c r="G106" i="1"/>
  <c r="F106" i="1"/>
  <c r="G110" i="1"/>
  <c r="F110" i="1"/>
  <c r="F114" i="1"/>
  <c r="G116" i="1"/>
  <c r="F116" i="1"/>
  <c r="G157" i="1"/>
  <c r="F157" i="1"/>
  <c r="G189" i="1"/>
  <c r="F189" i="1"/>
  <c r="F5" i="1"/>
  <c r="F7" i="1"/>
  <c r="F8" i="1"/>
  <c r="F11" i="1"/>
  <c r="F12" i="1"/>
  <c r="F14" i="1"/>
  <c r="F16" i="1"/>
  <c r="F18" i="1"/>
  <c r="F20" i="1"/>
  <c r="F22" i="1"/>
  <c r="F24" i="1"/>
  <c r="F25" i="1"/>
  <c r="F27" i="1"/>
  <c r="F29" i="1"/>
  <c r="F31" i="1"/>
  <c r="F33" i="1"/>
  <c r="F35" i="1"/>
  <c r="F37" i="1"/>
  <c r="F43" i="1"/>
  <c r="F45" i="1"/>
  <c r="F50" i="1"/>
  <c r="G121" i="1"/>
  <c r="F121" i="1"/>
  <c r="G137" i="1"/>
  <c r="F137" i="1"/>
  <c r="F166" i="1"/>
  <c r="F185" i="1"/>
  <c r="G9" i="1"/>
  <c r="G10" i="1"/>
  <c r="G13" i="1"/>
  <c r="G15" i="1"/>
  <c r="G17" i="1"/>
  <c r="G19" i="1"/>
  <c r="G21" i="1"/>
  <c r="G26" i="1"/>
  <c r="G28" i="1"/>
  <c r="F49" i="1"/>
  <c r="F53" i="1"/>
  <c r="G57" i="1"/>
  <c r="F57" i="1"/>
  <c r="G59" i="1"/>
  <c r="F59" i="1"/>
  <c r="G61" i="1"/>
  <c r="F61" i="1"/>
  <c r="G63" i="1"/>
  <c r="F63" i="1"/>
  <c r="G67" i="1"/>
  <c r="F67" i="1"/>
  <c r="G69" i="1"/>
  <c r="F69" i="1"/>
  <c r="G71" i="1"/>
  <c r="F71" i="1"/>
  <c r="F73" i="1"/>
  <c r="G75" i="1"/>
  <c r="F75" i="1"/>
  <c r="G77" i="1"/>
  <c r="F77" i="1"/>
  <c r="F79" i="1"/>
  <c r="G81" i="1"/>
  <c r="F81" i="1"/>
  <c r="G83" i="1"/>
  <c r="F83" i="1"/>
  <c r="G85" i="1"/>
  <c r="F85" i="1"/>
  <c r="G87" i="1"/>
  <c r="F87" i="1"/>
  <c r="F89" i="1"/>
  <c r="G91" i="1"/>
  <c r="F91" i="1"/>
  <c r="G93" i="1"/>
  <c r="F93" i="1"/>
  <c r="G95" i="1"/>
  <c r="F95" i="1"/>
  <c r="G99" i="1"/>
  <c r="F99" i="1"/>
  <c r="G101" i="1"/>
  <c r="F101" i="1"/>
  <c r="G105" i="1"/>
  <c r="F105" i="1"/>
  <c r="G107" i="1"/>
  <c r="F107" i="1"/>
  <c r="F109" i="1"/>
  <c r="G111" i="1"/>
  <c r="F111" i="1"/>
  <c r="G113" i="1"/>
  <c r="F113" i="1"/>
  <c r="G115" i="1"/>
  <c r="F115" i="1"/>
  <c r="G117" i="1"/>
  <c r="F117" i="1"/>
  <c r="F130" i="1"/>
  <c r="F146" i="1"/>
  <c r="F162" i="1"/>
  <c r="F178" i="1"/>
  <c r="G181" i="1"/>
  <c r="F181" i="1"/>
  <c r="G193" i="1"/>
  <c r="F193" i="1"/>
  <c r="F201" i="1"/>
  <c r="G56" i="1"/>
  <c r="F56" i="1"/>
  <c r="G58" i="1"/>
  <c r="F58" i="1"/>
  <c r="G64" i="1"/>
  <c r="F64" i="1"/>
  <c r="F66" i="1"/>
  <c r="G70" i="1"/>
  <c r="F70" i="1"/>
  <c r="G74" i="1"/>
  <c r="F74" i="1"/>
  <c r="G80" i="1"/>
  <c r="F80" i="1"/>
  <c r="G84" i="1"/>
  <c r="F84" i="1"/>
  <c r="G88" i="1"/>
  <c r="F88" i="1"/>
  <c r="G92" i="1"/>
  <c r="F92" i="1"/>
  <c r="G94" i="1"/>
  <c r="F94" i="1"/>
  <c r="G100" i="1"/>
  <c r="F100" i="1"/>
  <c r="G104" i="1"/>
  <c r="F104" i="1"/>
  <c r="G108" i="1"/>
  <c r="F108" i="1"/>
  <c r="G112" i="1"/>
  <c r="F112" i="1"/>
  <c r="G125" i="1"/>
  <c r="F125" i="1"/>
  <c r="G141" i="1"/>
  <c r="F141" i="1"/>
  <c r="F173" i="1"/>
  <c r="G197" i="1"/>
  <c r="F197" i="1"/>
  <c r="F4" i="1"/>
  <c r="F6" i="1"/>
  <c r="F30" i="1"/>
  <c r="F32" i="1"/>
  <c r="F34" i="1"/>
  <c r="F36" i="1"/>
  <c r="F39" i="1"/>
  <c r="F42" i="1"/>
  <c r="F44" i="1"/>
  <c r="F46" i="1"/>
  <c r="F118" i="1"/>
  <c r="F134" i="1"/>
  <c r="F150" i="1"/>
  <c r="G153" i="1"/>
  <c r="F153" i="1"/>
  <c r="G169" i="1"/>
  <c r="F169" i="1"/>
  <c r="F182" i="1"/>
  <c r="F194" i="1"/>
  <c r="G55" i="1"/>
  <c r="F55" i="1"/>
  <c r="G65" i="1"/>
  <c r="F65" i="1"/>
  <c r="F48" i="1"/>
  <c r="F52" i="1"/>
  <c r="F126" i="1"/>
  <c r="G129" i="1"/>
  <c r="F129" i="1"/>
  <c r="F142" i="1"/>
  <c r="G145" i="1"/>
  <c r="F145" i="1"/>
  <c r="F158" i="1"/>
  <c r="G161" i="1"/>
  <c r="F161" i="1"/>
  <c r="G177" i="1"/>
  <c r="F177" i="1"/>
  <c r="F190" i="1"/>
  <c r="F198" i="1"/>
  <c r="F196" i="1"/>
  <c r="F200" i="1"/>
  <c r="J2" i="1"/>
  <c r="H2" i="1" s="1"/>
  <c r="F3" i="1"/>
  <c r="J3" i="1" s="1"/>
  <c r="H3" i="1" s="1"/>
  <c r="K3" i="1" l="1"/>
  <c r="I3" i="1"/>
</calcChain>
</file>

<file path=xl/sharedStrings.xml><?xml version="1.0" encoding="utf-8"?>
<sst xmlns="http://schemas.openxmlformats.org/spreadsheetml/2006/main" count="3968" uniqueCount="880">
  <si>
    <t>WORD</t>
  </si>
  <si>
    <t>GR</t>
  </si>
  <si>
    <t>NP_TYPE</t>
  </si>
  <si>
    <t>REF_AUTO</t>
  </si>
  <si>
    <t>COREF</t>
  </si>
  <si>
    <t>REF</t>
  </si>
  <si>
    <t>IS</t>
  </si>
  <si>
    <t>CB</t>
  </si>
  <si>
    <t>GR_ANTE</t>
  </si>
  <si>
    <t>REF_DIST</t>
  </si>
  <si>
    <t>REF_DIST_ANTE</t>
  </si>
  <si>
    <t>COMMENT</t>
  </si>
  <si>
    <t># text = One of Sherlock Holmes's defectsâ€”if, indeed, one may call it a defectâ€”was that he was exceedingly loath to communicate his full plans to any other person until the instant of their fulfilment.</t>
  </si>
  <si>
    <t>One</t>
  </si>
  <si>
    <t>SBJ</t>
  </si>
  <si>
    <t>def-np.poss</t>
  </si>
  <si>
    <t>?OLD</t>
  </si>
  <si>
    <t>of</t>
  </si>
  <si>
    <t>Sherlock</t>
  </si>
  <si>
    <t>Holmes</t>
  </si>
  <si>
    <t>other_3</t>
  </si>
  <si>
    <t>ne</t>
  </si>
  <si>
    <t>'s</t>
  </si>
  <si>
    <t>defects</t>
  </si>
  <si>
    <t>other_2</t>
  </si>
  <si>
    <t>â€”if</t>
  </si>
  <si>
    <t>,</t>
  </si>
  <si>
    <t>indeed</t>
  </si>
  <si>
    <t>one</t>
  </si>
  <si>
    <t>may</t>
  </si>
  <si>
    <t>call</t>
  </si>
  <si>
    <t>it</t>
  </si>
  <si>
    <t>OBJ</t>
  </si>
  <si>
    <t>pron.pper</t>
  </si>
  <si>
    <t>a</t>
  </si>
  <si>
    <t>defect</t>
  </si>
  <si>
    <t>SBJ_2</t>
  </si>
  <si>
    <t>indef-np.a</t>
  </si>
  <si>
    <t>â€”was</t>
  </si>
  <si>
    <t>that</t>
  </si>
  <si>
    <t>he</t>
  </si>
  <si>
    <t>SBJ_3</t>
  </si>
  <si>
    <t>was</t>
  </si>
  <si>
    <t>exceedingly</t>
  </si>
  <si>
    <t>loath</t>
  </si>
  <si>
    <t>to</t>
  </si>
  <si>
    <t>communicate</t>
  </si>
  <si>
    <t>his</t>
  </si>
  <si>
    <t>other_5</t>
  </si>
  <si>
    <t>pron.ppos</t>
  </si>
  <si>
    <t>full</t>
  </si>
  <si>
    <t>plans</t>
  </si>
  <si>
    <t>OBJ_4</t>
  </si>
  <si>
    <t>any</t>
  </si>
  <si>
    <t>other</t>
  </si>
  <si>
    <t>person</t>
  </si>
  <si>
    <t>other_4</t>
  </si>
  <si>
    <t>until</t>
  </si>
  <si>
    <t>the</t>
  </si>
  <si>
    <t>instant</t>
  </si>
  <si>
    <t>their</t>
  </si>
  <si>
    <t>other_6</t>
  </si>
  <si>
    <t>fulfilment</t>
  </si>
  <si>
    <t>.</t>
  </si>
  <si>
    <t># text = Partly it came no doubt from his own masterful nature, which loved to dominate and surprise those who were around him.</t>
  </si>
  <si>
    <t>Partly</t>
  </si>
  <si>
    <t>came</t>
  </si>
  <si>
    <t>no</t>
  </si>
  <si>
    <t>doubt</t>
  </si>
  <si>
    <t>from</t>
  </si>
  <si>
    <t>own</t>
  </si>
  <si>
    <t>masterful</t>
  </si>
  <si>
    <t>nature</t>
  </si>
  <si>
    <t>which</t>
  </si>
  <si>
    <t>loved</t>
  </si>
  <si>
    <t>dominate</t>
  </si>
  <si>
    <t>and</t>
  </si>
  <si>
    <t>surprise</t>
  </si>
  <si>
    <t>those</t>
  </si>
  <si>
    <t>OBJ_5</t>
  </si>
  <si>
    <t>pron.pds</t>
  </si>
  <si>
    <t>who</t>
  </si>
  <si>
    <t>SBJ_7</t>
  </si>
  <si>
    <t>were</t>
  </si>
  <si>
    <t>around</t>
  </si>
  <si>
    <t>him</t>
  </si>
  <si>
    <t># text = Partly also from his professional caution, which urged him never to take any chances.</t>
  </si>
  <si>
    <t>also</t>
  </si>
  <si>
    <t>professional</t>
  </si>
  <si>
    <t>caution</t>
  </si>
  <si>
    <t>urged</t>
  </si>
  <si>
    <t>OBJ_2</t>
  </si>
  <si>
    <t>never</t>
  </si>
  <si>
    <t>take</t>
  </si>
  <si>
    <t>chances</t>
  </si>
  <si>
    <t>OBJ_3</t>
  </si>
  <si>
    <t># text = The result, however, was very trying for those who were acting as his agents and assistants.</t>
  </si>
  <si>
    <t>The</t>
  </si>
  <si>
    <t>result</t>
  </si>
  <si>
    <t>def-np.the</t>
  </si>
  <si>
    <t>however</t>
  </si>
  <si>
    <t>very</t>
  </si>
  <si>
    <t>trying</t>
  </si>
  <si>
    <t>for</t>
  </si>
  <si>
    <t>acting</t>
  </si>
  <si>
    <t>as</t>
  </si>
  <si>
    <t>agents</t>
  </si>
  <si>
    <t>assistants</t>
  </si>
  <si>
    <t>indef-np.bare</t>
  </si>
  <si>
    <t># text = I had often suffered under it, but never more so than during that long drive in the darkness.</t>
  </si>
  <si>
    <t>I</t>
  </si>
  <si>
    <t>had</t>
  </si>
  <si>
    <t>often</t>
  </si>
  <si>
    <t>suffered</t>
  </si>
  <si>
    <t>under</t>
  </si>
  <si>
    <t>but</t>
  </si>
  <si>
    <t>more</t>
  </si>
  <si>
    <t>so</t>
  </si>
  <si>
    <t>than</t>
  </si>
  <si>
    <t>during</t>
  </si>
  <si>
    <t>long</t>
  </si>
  <si>
    <t>drive</t>
  </si>
  <si>
    <t>def-np.dem</t>
  </si>
  <si>
    <t>in</t>
  </si>
  <si>
    <t>darkness</t>
  </si>
  <si>
    <t># text = The great ordeal was in front of us; at last we were about to make our final effort, and yet Holmes had said nothing, and I could only surmise what his course of action would be.</t>
  </si>
  <si>
    <t>great</t>
  </si>
  <si>
    <t>ordeal</t>
  </si>
  <si>
    <t>front</t>
  </si>
  <si>
    <t>us</t>
  </si>
  <si>
    <t>;</t>
  </si>
  <si>
    <t>at</t>
  </si>
  <si>
    <t>last</t>
  </si>
  <si>
    <t>we</t>
  </si>
  <si>
    <t>about</t>
  </si>
  <si>
    <t>make</t>
  </si>
  <si>
    <t>our</t>
  </si>
  <si>
    <t>final</t>
  </si>
  <si>
    <t>effort</t>
  </si>
  <si>
    <t>yet</t>
  </si>
  <si>
    <t>said</t>
  </si>
  <si>
    <t>nothing</t>
  </si>
  <si>
    <t>pron</t>
  </si>
  <si>
    <t>SBJ_4</t>
  </si>
  <si>
    <t>could</t>
  </si>
  <si>
    <t>only</t>
  </si>
  <si>
    <t>surmise</t>
  </si>
  <si>
    <t>what</t>
  </si>
  <si>
    <t>pron.pint</t>
  </si>
  <si>
    <t>other_7</t>
  </si>
  <si>
    <t>course</t>
  </si>
  <si>
    <t>SBJ_6</t>
  </si>
  <si>
    <t>action</t>
  </si>
  <si>
    <t>would</t>
  </si>
  <si>
    <t>be</t>
  </si>
  <si>
    <t># text = My nerves thrilled with anticipation when at last the cold wind upon our faces and the dark, void spaces on either side of the narrow road told me that we were back upon the moor once again.</t>
  </si>
  <si>
    <t>My</t>
  </si>
  <si>
    <t>nerves</t>
  </si>
  <si>
    <t>thrilled</t>
  </si>
  <si>
    <t>with</t>
  </si>
  <si>
    <t>anticipation</t>
  </si>
  <si>
    <t>when</t>
  </si>
  <si>
    <t>cold</t>
  </si>
  <si>
    <t>wind</t>
  </si>
  <si>
    <t>upon</t>
  </si>
  <si>
    <t>faces</t>
  </si>
  <si>
    <t>dark</t>
  </si>
  <si>
    <t>void</t>
  </si>
  <si>
    <t>spaces</t>
  </si>
  <si>
    <t>on</t>
  </si>
  <si>
    <t>either</t>
  </si>
  <si>
    <t>side</t>
  </si>
  <si>
    <t>indef-np</t>
  </si>
  <si>
    <t>narrow</t>
  </si>
  <si>
    <t>road</t>
  </si>
  <si>
    <t>told</t>
  </si>
  <si>
    <t>me</t>
  </si>
  <si>
    <t>back</t>
  </si>
  <si>
    <t>moor</t>
  </si>
  <si>
    <t>once</t>
  </si>
  <si>
    <t>again</t>
  </si>
  <si>
    <t># text = Every stride of the horses and every turn of the wheels was taking us nearer to our supreme adventure.</t>
  </si>
  <si>
    <t>Every</t>
  </si>
  <si>
    <t>stride</t>
  </si>
  <si>
    <t>horses</t>
  </si>
  <si>
    <t>every</t>
  </si>
  <si>
    <t>turn</t>
  </si>
  <si>
    <t>wheels</t>
  </si>
  <si>
    <t>taking</t>
  </si>
  <si>
    <t>nearer</t>
  </si>
  <si>
    <t>supreme</t>
  </si>
  <si>
    <t>adventure</t>
  </si>
  <si>
    <t># text = Our conversation was hampered by the presence of the driver of the hired wagonette, so that we were forced to talk of trivial matters when our nerves were tense with emotion and anticipation.</t>
  </si>
  <si>
    <t>Our</t>
  </si>
  <si>
    <t>conversation</t>
  </si>
  <si>
    <t>hampered</t>
  </si>
  <si>
    <t>by</t>
  </si>
  <si>
    <t>presence</t>
  </si>
  <si>
    <t>driver</t>
  </si>
  <si>
    <t>hired</t>
  </si>
  <si>
    <t>wagonette</t>
  </si>
  <si>
    <t>forced</t>
  </si>
  <si>
    <t>talk</t>
  </si>
  <si>
    <t>trivial</t>
  </si>
  <si>
    <t>matters</t>
  </si>
  <si>
    <t>tense</t>
  </si>
  <si>
    <t>emotion</t>
  </si>
  <si>
    <t># text = It was a relief to me, after that unnatural restraint, when we at last passed Frankland's house and knew that we were drawing near to the Hall and to the scene of action.</t>
  </si>
  <si>
    <t>It</t>
  </si>
  <si>
    <t>relief</t>
  </si>
  <si>
    <t>after</t>
  </si>
  <si>
    <t>unnatural</t>
  </si>
  <si>
    <t>restraint</t>
  </si>
  <si>
    <t>passed</t>
  </si>
  <si>
    <t>Frankland</t>
  </si>
  <si>
    <t>house</t>
  </si>
  <si>
    <t>knew</t>
  </si>
  <si>
    <t>drawing</t>
  </si>
  <si>
    <t>near</t>
  </si>
  <si>
    <t>Hall</t>
  </si>
  <si>
    <t>scene</t>
  </si>
  <si>
    <t># text = We did not drive up to the door but got down near the gate of the avenue.</t>
  </si>
  <si>
    <t>We</t>
  </si>
  <si>
    <t>did</t>
  </si>
  <si>
    <t>not</t>
  </si>
  <si>
    <t>up</t>
  </si>
  <si>
    <t>door</t>
  </si>
  <si>
    <t>got</t>
  </si>
  <si>
    <t>down</t>
  </si>
  <si>
    <t>gate</t>
  </si>
  <si>
    <t>avenue</t>
  </si>
  <si>
    <t># text = The wagonette was paid off and ordered to return to Coombe Tracey forthwith, while we started to walk to Merripit House.</t>
  </si>
  <si>
    <t>paid</t>
  </si>
  <si>
    <t>off</t>
  </si>
  <si>
    <t>ordered</t>
  </si>
  <si>
    <t>return</t>
  </si>
  <si>
    <t>Coombe</t>
  </si>
  <si>
    <t>Tracey</t>
  </si>
  <si>
    <t>forthwith</t>
  </si>
  <si>
    <t>while</t>
  </si>
  <si>
    <t>started</t>
  </si>
  <si>
    <t>walk</t>
  </si>
  <si>
    <t>Merripit</t>
  </si>
  <si>
    <t>House</t>
  </si>
  <si>
    <t>--</t>
  </si>
  <si>
    <t># text = "Are you armed, Lestrade?"</t>
  </si>
  <si>
    <t>&amp;quot;</t>
  </si>
  <si>
    <t>Are</t>
  </si>
  <si>
    <t>you</t>
  </si>
  <si>
    <t>armed</t>
  </si>
  <si>
    <t>Lestrade</t>
  </si>
  <si>
    <t>?</t>
  </si>
  <si>
    <t># text = The little detective smiled.</t>
  </si>
  <si>
    <t>little</t>
  </si>
  <si>
    <t>detective</t>
  </si>
  <si>
    <t>smiled</t>
  </si>
  <si>
    <t># text = \"As long as I have my trousers I have a hip-pocket, and as long as I have my hip-pocket I have something in it.\"</t>
  </si>
  <si>
    <t>As</t>
  </si>
  <si>
    <t>have</t>
  </si>
  <si>
    <t>my</t>
  </si>
  <si>
    <t>trousers</t>
  </si>
  <si>
    <t>hip</t>
  </si>
  <si>
    <t>_</t>
  </si>
  <si>
    <t>pocket</t>
  </si>
  <si>
    <t>other_9</t>
  </si>
  <si>
    <t>OBJ_7</t>
  </si>
  <si>
    <t>SBJ_9</t>
  </si>
  <si>
    <t>something</t>
  </si>
  <si>
    <t>OBJ_9</t>
  </si>
  <si>
    <t>other_10</t>
  </si>
  <si>
    <t># text = "Good!</t>
  </si>
  <si>
    <t>Good</t>
  </si>
  <si>
    <t>!</t>
  </si>
  <si>
    <t># text = My friend and I are also ready for emergencies."</t>
  </si>
  <si>
    <t>friend</t>
  </si>
  <si>
    <t>are</t>
  </si>
  <si>
    <t>ready</t>
  </si>
  <si>
    <t>emergencies</t>
  </si>
  <si>
    <t># text = "You're mighty close about this affair, Mr. Holmes.</t>
  </si>
  <si>
    <t>You</t>
  </si>
  <si>
    <t>'re</t>
  </si>
  <si>
    <t>mighty</t>
  </si>
  <si>
    <t>close</t>
  </si>
  <si>
    <t>this</t>
  </si>
  <si>
    <t>affair</t>
  </si>
  <si>
    <t>Mr.</t>
  </si>
  <si>
    <t># text = What's the game now?"</t>
  </si>
  <si>
    <t>What</t>
  </si>
  <si>
    <t>game</t>
  </si>
  <si>
    <t>now</t>
  </si>
  <si>
    <t># text = \"A waiting game.\"</t>
  </si>
  <si>
    <t>A</t>
  </si>
  <si>
    <t>waiting</t>
  </si>
  <si>
    <t># text = "My word, it does not seem a very cheerful place," said the detective with a shiver, glancing round him at the gloomy slopes of the hill and at the huge lake of fog which lay over the Grimpen Mire.</t>
  </si>
  <si>
    <t>word</t>
  </si>
  <si>
    <t>does</t>
  </si>
  <si>
    <t>seem</t>
  </si>
  <si>
    <t>cheerful</t>
  </si>
  <si>
    <t>place</t>
  </si>
  <si>
    <t>shiver</t>
  </si>
  <si>
    <t>glancing</t>
  </si>
  <si>
    <t>round</t>
  </si>
  <si>
    <t>gloomy</t>
  </si>
  <si>
    <t>slopes</t>
  </si>
  <si>
    <t>hill</t>
  </si>
  <si>
    <t>huge</t>
  </si>
  <si>
    <t>lake</t>
  </si>
  <si>
    <t>fog</t>
  </si>
  <si>
    <t>SBJ_5</t>
  </si>
  <si>
    <t>lay</t>
  </si>
  <si>
    <t>over</t>
  </si>
  <si>
    <t>Grimpen</t>
  </si>
  <si>
    <t>Mire</t>
  </si>
  <si>
    <t># text = \"I see the lights of a house ahead of us.\"</t>
  </si>
  <si>
    <t>see</t>
  </si>
  <si>
    <t>lights</t>
  </si>
  <si>
    <t>ahead</t>
  </si>
  <si>
    <t># text = "That is Merripit House and the end of our journey.</t>
  </si>
  <si>
    <t>That</t>
  </si>
  <si>
    <t>is</t>
  </si>
  <si>
    <t>end</t>
  </si>
  <si>
    <t>journey</t>
  </si>
  <si>
    <t># text = I must request you to walk on tiptoe and not to talk above a whisper.\"</t>
  </si>
  <si>
    <t>must</t>
  </si>
  <si>
    <t>request</t>
  </si>
  <si>
    <t>tiptoe</t>
  </si>
  <si>
    <t>above</t>
  </si>
  <si>
    <t>whisper</t>
  </si>
  <si>
    <t># text = We moved cautiously along the track as if we were bound for the house, but Holmes halted us when we were about two hundred yards from it.</t>
  </si>
  <si>
    <t>moved</t>
  </si>
  <si>
    <t>cautiously</t>
  </si>
  <si>
    <t>along</t>
  </si>
  <si>
    <t>track</t>
  </si>
  <si>
    <t>if</t>
  </si>
  <si>
    <t>bound</t>
  </si>
  <si>
    <t>halted</t>
  </si>
  <si>
    <t>two</t>
  </si>
  <si>
    <t>hundred</t>
  </si>
  <si>
    <t>yards</t>
  </si>
  <si>
    <t>indef-np.quant</t>
  </si>
  <si>
    <t># text = \"This will do,\" said he.</t>
  </si>
  <si>
    <t>This</t>
  </si>
  <si>
    <t>will</t>
  </si>
  <si>
    <t>do</t>
  </si>
  <si>
    <t># text = \"These rocks upon the right make an admirable screen.\"</t>
  </si>
  <si>
    <t>These</t>
  </si>
  <si>
    <t>rocks</t>
  </si>
  <si>
    <t>right</t>
  </si>
  <si>
    <t>an</t>
  </si>
  <si>
    <t>admirable</t>
  </si>
  <si>
    <t>screen</t>
  </si>
  <si>
    <t># text = "We are to wait here?"</t>
  </si>
  <si>
    <t>wait</t>
  </si>
  <si>
    <t>here</t>
  </si>
  <si>
    <t># text = "Yes, we shall make our little ambush here.</t>
  </si>
  <si>
    <t>Yes</t>
  </si>
  <si>
    <t>shall</t>
  </si>
  <si>
    <t>ambush</t>
  </si>
  <si>
    <t># text = Get into this hollow, Lestrade.</t>
  </si>
  <si>
    <t>Get</t>
  </si>
  <si>
    <t>into</t>
  </si>
  <si>
    <t>hollow</t>
  </si>
  <si>
    <t># text = You have been inside the house, have you not, Watson?</t>
  </si>
  <si>
    <t>been</t>
  </si>
  <si>
    <t>inside</t>
  </si>
  <si>
    <t>Watson</t>
  </si>
  <si>
    <t># text = Can you tell the position of the rooms?</t>
  </si>
  <si>
    <t>Can</t>
  </si>
  <si>
    <t>tell</t>
  </si>
  <si>
    <t>position</t>
  </si>
  <si>
    <t>rooms</t>
  </si>
  <si>
    <t># text = What are those latticed windows at this end?\"</t>
  </si>
  <si>
    <t>latticed</t>
  </si>
  <si>
    <t>windows</t>
  </si>
  <si>
    <t># text = \"I think they are the kitchen windows.\"</t>
  </si>
  <si>
    <t>think</t>
  </si>
  <si>
    <t>they</t>
  </si>
  <si>
    <t>kitchen</t>
  </si>
  <si>
    <t># text = \"And the one beyond, which shines so brightly?\"</t>
  </si>
  <si>
    <t>And</t>
  </si>
  <si>
    <t>beyond</t>
  </si>
  <si>
    <t>def-np.quant</t>
  </si>
  <si>
    <t>shines</t>
  </si>
  <si>
    <t>brightly</t>
  </si>
  <si>
    <t># text = "That is certainly the dining-room."</t>
  </si>
  <si>
    <t>certainly</t>
  </si>
  <si>
    <t>dining</t>
  </si>
  <si>
    <t>room</t>
  </si>
  <si>
    <t># text = \"The blinds are up.</t>
  </si>
  <si>
    <t>blinds</t>
  </si>
  <si>
    <t># text = You know the lie of the land best.</t>
  </si>
  <si>
    <t>know</t>
  </si>
  <si>
    <t>lie</t>
  </si>
  <si>
    <t>land</t>
  </si>
  <si>
    <t>best</t>
  </si>
  <si>
    <t># text = Creep forward quietly and see what they are doingâ€”but for heaven's sake don't let them know that they are watched!"</t>
  </si>
  <si>
    <t>Creep</t>
  </si>
  <si>
    <t>forward</t>
  </si>
  <si>
    <t>quietly</t>
  </si>
  <si>
    <t>doing</t>
  </si>
  <si>
    <t>â€”but</t>
  </si>
  <si>
    <t>heaven</t>
  </si>
  <si>
    <t>sake</t>
  </si>
  <si>
    <t>n't</t>
  </si>
  <si>
    <t>let</t>
  </si>
  <si>
    <t>them</t>
  </si>
  <si>
    <t>watched</t>
  </si>
  <si>
    <t># text = I tiptoed down the path and stooped behind the low wall which surrounded the stunted orchard.</t>
  </si>
  <si>
    <t>tiptoed</t>
  </si>
  <si>
    <t>path</t>
  </si>
  <si>
    <t>stooped</t>
  </si>
  <si>
    <t>behind</t>
  </si>
  <si>
    <t>low</t>
  </si>
  <si>
    <t>wall</t>
  </si>
  <si>
    <t>surrounded</t>
  </si>
  <si>
    <t>stunted</t>
  </si>
  <si>
    <t>orchard</t>
  </si>
  <si>
    <t># text = Creeping in its shadow I reached a point whence I could look straight through the uncurtained window.</t>
  </si>
  <si>
    <t>Creeping</t>
  </si>
  <si>
    <t>s</t>
  </si>
  <si>
    <t>shadow</t>
  </si>
  <si>
    <t>reached</t>
  </si>
  <si>
    <t>point</t>
  </si>
  <si>
    <t>whence</t>
  </si>
  <si>
    <t>look</t>
  </si>
  <si>
    <t>straight</t>
  </si>
  <si>
    <t>through</t>
  </si>
  <si>
    <t>uncurtained</t>
  </si>
  <si>
    <t>window</t>
  </si>
  <si>
    <t># text = There were only two men in the room, Sir Henry and Stapleton.</t>
  </si>
  <si>
    <t>There</t>
  </si>
  <si>
    <t>men</t>
  </si>
  <si>
    <t>Sir</t>
  </si>
  <si>
    <t>Henry</t>
  </si>
  <si>
    <t>Stapleton</t>
  </si>
  <si>
    <t># text = They sat with their profiles towards me on either side of the round table.</t>
  </si>
  <si>
    <t>They</t>
  </si>
  <si>
    <t>sat</t>
  </si>
  <si>
    <t>profiles</t>
  </si>
  <si>
    <t>towards</t>
  </si>
  <si>
    <t>table</t>
  </si>
  <si>
    <t># text = Both of them were smoking cigars, and coffee and wine were in front of them.</t>
  </si>
  <si>
    <t>Both</t>
  </si>
  <si>
    <t>smoking</t>
  </si>
  <si>
    <t>cigars</t>
  </si>
  <si>
    <t>coffee</t>
  </si>
  <si>
    <t>wine</t>
  </si>
  <si>
    <t># text = Stapleton was talking with animation, but the baronet looked pale and distrait.</t>
  </si>
  <si>
    <t>talking</t>
  </si>
  <si>
    <t>animation</t>
  </si>
  <si>
    <t>baronet</t>
  </si>
  <si>
    <t>looked</t>
  </si>
  <si>
    <t>pale</t>
  </si>
  <si>
    <t>distrait</t>
  </si>
  <si>
    <t># text = Perhaps the thought of that lonely walk across the ill-omened moor was weighing heavily upon his mind.</t>
  </si>
  <si>
    <t>Perhaps</t>
  </si>
  <si>
    <t>thought</t>
  </si>
  <si>
    <t>lonely</t>
  </si>
  <si>
    <t>across</t>
  </si>
  <si>
    <t>ill</t>
  </si>
  <si>
    <t>omened</t>
  </si>
  <si>
    <t>weighing</t>
  </si>
  <si>
    <t>heavily</t>
  </si>
  <si>
    <t>mind</t>
  </si>
  <si>
    <t># text = As I watched them Stapleton rose and left the room, while Sir Henry filled his glass again and leaned back in his chair, puffing at his cigar.</t>
  </si>
  <si>
    <t>rose</t>
  </si>
  <si>
    <t>left</t>
  </si>
  <si>
    <t>filled</t>
  </si>
  <si>
    <t>glass</t>
  </si>
  <si>
    <t>leaned</t>
  </si>
  <si>
    <t>chair</t>
  </si>
  <si>
    <t>puffing</t>
  </si>
  <si>
    <t>cigar</t>
  </si>
  <si>
    <t># text = I heard the creak of a door and the crisp sound of boots upon gravel.</t>
  </si>
  <si>
    <t>heard</t>
  </si>
  <si>
    <t>creak</t>
  </si>
  <si>
    <t>crisp</t>
  </si>
  <si>
    <t>sound</t>
  </si>
  <si>
    <t>boots</t>
  </si>
  <si>
    <t>gravel</t>
  </si>
  <si>
    <t># text = The steps passed along the path on the other side of the wall under which I crouched.</t>
  </si>
  <si>
    <t>steps</t>
  </si>
  <si>
    <t>def-np.the.other</t>
  </si>
  <si>
    <t>crouched</t>
  </si>
  <si>
    <t># text = Looking over, I saw the naturalist pause at the door of an out-house in the corner of the orchard.</t>
  </si>
  <si>
    <t>Looking</t>
  </si>
  <si>
    <t>saw</t>
  </si>
  <si>
    <t>naturalist</t>
  </si>
  <si>
    <t>pause</t>
  </si>
  <si>
    <t>out</t>
  </si>
  <si>
    <t>corner</t>
  </si>
  <si>
    <t># text = A key turned in a lock, and as he passed in there was a curious scuffling noise from within.</t>
  </si>
  <si>
    <t>key</t>
  </si>
  <si>
    <t>turned</t>
  </si>
  <si>
    <t>lock</t>
  </si>
  <si>
    <t>there</t>
  </si>
  <si>
    <t>curious</t>
  </si>
  <si>
    <t>scuffling</t>
  </si>
  <si>
    <t>noise</t>
  </si>
  <si>
    <t>within</t>
  </si>
  <si>
    <t># text = He was only a minute or so inside, and then I heard the key turn once more and he passed me and re-entered the house.</t>
  </si>
  <si>
    <t>He</t>
  </si>
  <si>
    <t>minute</t>
  </si>
  <si>
    <t>or</t>
  </si>
  <si>
    <t>then</t>
  </si>
  <si>
    <t>re-entered</t>
  </si>
  <si>
    <t># text = I saw him rejoin his guest, and I crept quietly back to where my companions were waiting to tell them what I had seen.</t>
  </si>
  <si>
    <t>rejoin</t>
  </si>
  <si>
    <t>guest</t>
  </si>
  <si>
    <t>crept</t>
  </si>
  <si>
    <t>where</t>
  </si>
  <si>
    <t>companions</t>
  </si>
  <si>
    <t>OBJ_6</t>
  </si>
  <si>
    <t>seen</t>
  </si>
  <si>
    <t># text = "You say, Watson, that the lady is not there?"</t>
  </si>
  <si>
    <t>say</t>
  </si>
  <si>
    <t>lady</t>
  </si>
  <si>
    <t>pron.padv</t>
  </si>
  <si>
    <t># text = Holmes asked, when I had finished my report.</t>
  </si>
  <si>
    <t>asked</t>
  </si>
  <si>
    <t>finished</t>
  </si>
  <si>
    <t>report</t>
  </si>
  <si>
    <t># text = \"No.\" \"Where can she be, then, since there is no light in any other room except the kitchen?\"</t>
  </si>
  <si>
    <t>No</t>
  </si>
  <si>
    <t>Where</t>
  </si>
  <si>
    <t>can</t>
  </si>
  <si>
    <t>she</t>
  </si>
  <si>
    <t>since</t>
  </si>
  <si>
    <t>light</t>
  </si>
  <si>
    <t>except</t>
  </si>
  <si>
    <t># text = "I cannot think where she is."</t>
  </si>
  <si>
    <t># text = I have said that over the great Grimpen Mire there hung a dense, white fog.</t>
  </si>
  <si>
    <t>hung</t>
  </si>
  <si>
    <t>dense</t>
  </si>
  <si>
    <t>white</t>
  </si>
  <si>
    <t># text = It was drifting slowly in our direction, and banked itself up like a wall on that side of us, low, but thick and well defined.</t>
  </si>
  <si>
    <t>drifting</t>
  </si>
  <si>
    <t>slowly</t>
  </si>
  <si>
    <t>direction</t>
  </si>
  <si>
    <t>banked</t>
  </si>
  <si>
    <t>itself</t>
  </si>
  <si>
    <t>like</t>
  </si>
  <si>
    <t>thick</t>
  </si>
  <si>
    <t>well</t>
  </si>
  <si>
    <t>defined</t>
  </si>
  <si>
    <t># text = The moon shone on it, and it looked like a great shimmering ice-field, with the heads of the distant tors as rocks borne upon its surface.</t>
  </si>
  <si>
    <t>moon</t>
  </si>
  <si>
    <t>shone</t>
  </si>
  <si>
    <t>shimmering</t>
  </si>
  <si>
    <t>ice</t>
  </si>
  <si>
    <t>field</t>
  </si>
  <si>
    <t>heads</t>
  </si>
  <si>
    <t>distant</t>
  </si>
  <si>
    <t>tors</t>
  </si>
  <si>
    <t>borne</t>
  </si>
  <si>
    <t>its</t>
  </si>
  <si>
    <t>surface</t>
  </si>
  <si>
    <t># text = Holmes's face was turned towards it, and he muttered impatiently as he watched its sluggish drift.</t>
  </si>
  <si>
    <t>face</t>
  </si>
  <si>
    <t>muttered</t>
  </si>
  <si>
    <t>impatiently</t>
  </si>
  <si>
    <t>sluggish</t>
  </si>
  <si>
    <t>drift</t>
  </si>
  <si>
    <t># text = "It's moving towards us, Watson."</t>
  </si>
  <si>
    <t>moving</t>
  </si>
  <si>
    <t># text = "Is that serious?"</t>
  </si>
  <si>
    <t>Is</t>
  </si>
  <si>
    <t>serious</t>
  </si>
  <si>
    <t># text = "Very serious, indeedâ€”the one thing upon earth which could have disarranged my plans.</t>
  </si>
  <si>
    <t>Very</t>
  </si>
  <si>
    <t>â€”the</t>
  </si>
  <si>
    <t>thing</t>
  </si>
  <si>
    <t>def-np</t>
  </si>
  <si>
    <t>earth</t>
  </si>
  <si>
    <t>disarranged</t>
  </si>
  <si>
    <t># text = He can't be very long, now.</t>
  </si>
  <si>
    <t>ca</t>
  </si>
  <si>
    <t># text = It is already ten o'clock.</t>
  </si>
  <si>
    <t>already</t>
  </si>
  <si>
    <t>ten</t>
  </si>
  <si>
    <t>o'clock</t>
  </si>
  <si>
    <t># text = Our success and even his life may depend upon his coming out before the fog is over the path."</t>
  </si>
  <si>
    <t>success</t>
  </si>
  <si>
    <t>even</t>
  </si>
  <si>
    <t>life</t>
  </si>
  <si>
    <t>depend</t>
  </si>
  <si>
    <t>coming</t>
  </si>
  <si>
    <t>before</t>
  </si>
  <si>
    <t># text = The night was clear and fine above us.</t>
  </si>
  <si>
    <t>night</t>
  </si>
  <si>
    <t>clear</t>
  </si>
  <si>
    <t>fine</t>
  </si>
  <si>
    <t># text = The stars shone cold and bright, while a half-moon bathed the whole scene in a soft, uncertain light.</t>
  </si>
  <si>
    <t>stars</t>
  </si>
  <si>
    <t>bright</t>
  </si>
  <si>
    <t>half</t>
  </si>
  <si>
    <t>bathed</t>
  </si>
  <si>
    <t>whole</t>
  </si>
  <si>
    <t>soft</t>
  </si>
  <si>
    <t>uncertain</t>
  </si>
  <si>
    <t># text = Before us lay the dark bulk of the house, its serrated roof and bristling chimneys hard outlined against the silver-spangled sky.</t>
  </si>
  <si>
    <t>Before</t>
  </si>
  <si>
    <t>bulk</t>
  </si>
  <si>
    <t>serrated</t>
  </si>
  <si>
    <t>roof</t>
  </si>
  <si>
    <t>bristling</t>
  </si>
  <si>
    <t>chimneys</t>
  </si>
  <si>
    <t>hard</t>
  </si>
  <si>
    <t>outlined</t>
  </si>
  <si>
    <t>against</t>
  </si>
  <si>
    <t>silver</t>
  </si>
  <si>
    <t>spangled</t>
  </si>
  <si>
    <t>sky</t>
  </si>
  <si>
    <t># text = Broad bars of golden light from the lower windows stretched across the orchard and the moor.</t>
  </si>
  <si>
    <t>Broad</t>
  </si>
  <si>
    <t>bars</t>
  </si>
  <si>
    <t>golden</t>
  </si>
  <si>
    <t>lower</t>
  </si>
  <si>
    <t>stretched</t>
  </si>
  <si>
    <t># text = One of them was suddenly shut off.</t>
  </si>
  <si>
    <t>suddenly</t>
  </si>
  <si>
    <t>shut</t>
  </si>
  <si>
    <t># text = The servants had left the kitchen.</t>
  </si>
  <si>
    <t>servants</t>
  </si>
  <si>
    <t># text = There only remained the lamp in the dining-room where the two men, the murderous host and the unconscious guest, still chatted over their cigars.</t>
  </si>
  <si>
    <t>remained</t>
  </si>
  <si>
    <t>lamp</t>
  </si>
  <si>
    <t>murderous</t>
  </si>
  <si>
    <t>host</t>
  </si>
  <si>
    <t>unconscious</t>
  </si>
  <si>
    <t>still</t>
  </si>
  <si>
    <t>chatted</t>
  </si>
  <si>
    <t># text = Every minute that white woolly plain which covered one half of the moor was drifting closer and closer to the house.</t>
  </si>
  <si>
    <t>woolly</t>
  </si>
  <si>
    <t>plain</t>
  </si>
  <si>
    <t>covered</t>
  </si>
  <si>
    <t>closer</t>
  </si>
  <si>
    <t># text = Already the first thin wisps of it were curling across the golden square of the lighted window.</t>
  </si>
  <si>
    <t>Already</t>
  </si>
  <si>
    <t>first</t>
  </si>
  <si>
    <t>thin</t>
  </si>
  <si>
    <t>wisps</t>
  </si>
  <si>
    <t>curling</t>
  </si>
  <si>
    <t>square</t>
  </si>
  <si>
    <t>lighted</t>
  </si>
  <si>
    <t># text = The farther wall of the orchard was already invisible, and the trees were standing out of a swirl of white vapour.</t>
  </si>
  <si>
    <t>farther</t>
  </si>
  <si>
    <t>invisible</t>
  </si>
  <si>
    <t>trees</t>
  </si>
  <si>
    <t>standing</t>
  </si>
  <si>
    <t>swirl</t>
  </si>
  <si>
    <t>vapour</t>
  </si>
  <si>
    <t># text = As we watched it the fog-wreaths came crawling round both corners of the house and rolled slowly into one dense bank, on which the upper floor and the roof floated like a strange ship upon a shadowy sea.</t>
  </si>
  <si>
    <t>wreaths</t>
  </si>
  <si>
    <t>crawling</t>
  </si>
  <si>
    <t>both</t>
  </si>
  <si>
    <t>corners</t>
  </si>
  <si>
    <t>rolled</t>
  </si>
  <si>
    <t>bank</t>
  </si>
  <si>
    <t>upper</t>
  </si>
  <si>
    <t>floor</t>
  </si>
  <si>
    <t>floated</t>
  </si>
  <si>
    <t>strange</t>
  </si>
  <si>
    <t>ship</t>
  </si>
  <si>
    <t>shadowy</t>
  </si>
  <si>
    <t>sea</t>
  </si>
  <si>
    <t># text = Holmes struck his hand passionately upon the rock in front of us and stamped his feet in his impatience.</t>
  </si>
  <si>
    <t>struck</t>
  </si>
  <si>
    <t>hand</t>
  </si>
  <si>
    <t>passionately</t>
  </si>
  <si>
    <t>rock</t>
  </si>
  <si>
    <t>stamped</t>
  </si>
  <si>
    <t>feet</t>
  </si>
  <si>
    <t>impatience</t>
  </si>
  <si>
    <t># text = \"If he isn't out in a quarter of an hour the path will be covered.</t>
  </si>
  <si>
    <t>If</t>
  </si>
  <si>
    <t>quarter</t>
  </si>
  <si>
    <t>hour</t>
  </si>
  <si>
    <t># text = In half an hour we won't be able to see our hands in front of us."</t>
  </si>
  <si>
    <t>In</t>
  </si>
  <si>
    <t>wo</t>
  </si>
  <si>
    <t>able</t>
  </si>
  <si>
    <t>hands</t>
  </si>
  <si>
    <t># text = "Shall we move farther back upon higher ground?"</t>
  </si>
  <si>
    <t>Shall</t>
  </si>
  <si>
    <t>move</t>
  </si>
  <si>
    <t>higher</t>
  </si>
  <si>
    <t>ground</t>
  </si>
  <si>
    <t># text = \"Yes, I think it would be as well.\"</t>
  </si>
  <si>
    <t># text = So as the fog-bank flowed onward we fell back before it until we were half a mile from the house, and still that dense white sea, with the moon silvering its upper edge, swept slowly and inexorably on.</t>
  </si>
  <si>
    <t>So</t>
  </si>
  <si>
    <t>flowed</t>
  </si>
  <si>
    <t>onward</t>
  </si>
  <si>
    <t>fell</t>
  </si>
  <si>
    <t>mile</t>
  </si>
  <si>
    <t>silvering</t>
  </si>
  <si>
    <t>edge</t>
  </si>
  <si>
    <t>swept</t>
  </si>
  <si>
    <t>inexorably</t>
  </si>
  <si>
    <t># text = \"We are going too far,\" said Holmes.</t>
  </si>
  <si>
    <t>going</t>
  </si>
  <si>
    <t>too</t>
  </si>
  <si>
    <t>far</t>
  </si>
  <si>
    <t># text = "We dare not take the chance of his being overtaken before he can reach us.</t>
  </si>
  <si>
    <t>dare</t>
  </si>
  <si>
    <t>chance</t>
  </si>
  <si>
    <t>being</t>
  </si>
  <si>
    <t>overtaken</t>
  </si>
  <si>
    <t>reach</t>
  </si>
  <si>
    <t># text = At all costs we must hold our ground where we are."</t>
  </si>
  <si>
    <t>At</t>
  </si>
  <si>
    <t>all</t>
  </si>
  <si>
    <t>costs</t>
  </si>
  <si>
    <t>hold</t>
  </si>
  <si>
    <t># text = He dropped on his knees and clapped his ear to the ground.</t>
  </si>
  <si>
    <t>dropped</t>
  </si>
  <si>
    <t>knees</t>
  </si>
  <si>
    <t>clapped</t>
  </si>
  <si>
    <t>ear</t>
  </si>
  <si>
    <t># text = \"Thank God, I think that I hear him coming.\"</t>
  </si>
  <si>
    <t>Thank</t>
  </si>
  <si>
    <t>God</t>
  </si>
  <si>
    <t>hear</t>
  </si>
  <si>
    <t># text = A sound of quick steps broke the silence of the moor.</t>
  </si>
  <si>
    <t>quick</t>
  </si>
  <si>
    <t>broke</t>
  </si>
  <si>
    <t>silence</t>
  </si>
  <si>
    <t># text = Crouching among the stones we stared intently at the silver-tipped bank in front of us.</t>
  </si>
  <si>
    <t>Crouching</t>
  </si>
  <si>
    <t>among</t>
  </si>
  <si>
    <t>stones</t>
  </si>
  <si>
    <t>stared</t>
  </si>
  <si>
    <t>intently</t>
  </si>
  <si>
    <t>tipped</t>
  </si>
  <si>
    <t># text = The steps grew louder, and through the fog, as through a curtain, there stepped the man whom we were awaiting.</t>
  </si>
  <si>
    <t>grew</t>
  </si>
  <si>
    <t>louder</t>
  </si>
  <si>
    <t>curtain</t>
  </si>
  <si>
    <t>stepped</t>
  </si>
  <si>
    <t>man</t>
  </si>
  <si>
    <t>whom</t>
  </si>
  <si>
    <t>awaiting</t>
  </si>
  <si>
    <t># text = He looked round him in surprise as he emerged into the clear, starlit night.</t>
  </si>
  <si>
    <t>emerged</t>
  </si>
  <si>
    <t>starlit</t>
  </si>
  <si>
    <t># text = Then he came swiftly along the path, passed close to where we lay, and went on up the long slope behind us.</t>
  </si>
  <si>
    <t>Then</t>
  </si>
  <si>
    <t>swiftly</t>
  </si>
  <si>
    <t>went</t>
  </si>
  <si>
    <t>slope</t>
  </si>
  <si>
    <t># text = As he walked he glanced continually over either shoulder, like a man who is ill at ease.</t>
  </si>
  <si>
    <t>walked</t>
  </si>
  <si>
    <t>glanced</t>
  </si>
  <si>
    <t>continually</t>
  </si>
  <si>
    <t>shoulder</t>
  </si>
  <si>
    <t>ease</t>
  </si>
  <si>
    <t># text = "Hist!" cried Holmes, and I heard the sharp click of a cocking pistol.</t>
  </si>
  <si>
    <t>Hist</t>
  </si>
  <si>
    <t>cried</t>
  </si>
  <si>
    <t>sharp</t>
  </si>
  <si>
    <t>click</t>
  </si>
  <si>
    <t>cocking</t>
  </si>
  <si>
    <t>pistol</t>
  </si>
  <si>
    <t># text = \"Look out!</t>
  </si>
  <si>
    <t>Look</t>
  </si>
  <si>
    <t># text = It's coming!\"</t>
  </si>
  <si>
    <t># text = There was a thin, crisp, continuous patter from somewhere in the heart of that crawling bank.</t>
  </si>
  <si>
    <t>continuous</t>
  </si>
  <si>
    <t>patter</t>
  </si>
  <si>
    <t>somewhere</t>
  </si>
  <si>
    <t>heart</t>
  </si>
  <si>
    <t># text = The cloud was within fifty yards of where we lay, and we glared at it, all three, uncertain what horror was about to break from the heart of it.</t>
  </si>
  <si>
    <t>cloud</t>
  </si>
  <si>
    <t>fifty</t>
  </si>
  <si>
    <t>glared</t>
  </si>
  <si>
    <t>three</t>
  </si>
  <si>
    <t>horror</t>
  </si>
  <si>
    <t>break</t>
  </si>
  <si>
    <t># text = I was at Holmes's elbow, and I glanced for an instant at his face.</t>
  </si>
  <si>
    <t>elbow</t>
  </si>
  <si>
    <t># text = It was pale and exultant, his eyes shining brightly in the moonlight.</t>
  </si>
  <si>
    <t>exultant</t>
  </si>
  <si>
    <t>eyes</t>
  </si>
  <si>
    <t>shining</t>
  </si>
  <si>
    <t>moonlight</t>
  </si>
  <si>
    <t># text = But suddenly they started forward in a rigid, fixed stare, and his lips parted in amazement.</t>
  </si>
  <si>
    <t>But</t>
  </si>
  <si>
    <t>rigid</t>
  </si>
  <si>
    <t>fixed</t>
  </si>
  <si>
    <t>stare</t>
  </si>
  <si>
    <t>lips</t>
  </si>
  <si>
    <t>parted</t>
  </si>
  <si>
    <t>amazement</t>
  </si>
  <si>
    <t># text = At the same instant Lestrade gave a yell of terror and threw himself face downward upon the ground.</t>
  </si>
  <si>
    <t>same</t>
  </si>
  <si>
    <t>gave</t>
  </si>
  <si>
    <t>yell</t>
  </si>
  <si>
    <t>terror</t>
  </si>
  <si>
    <t>threw</t>
  </si>
  <si>
    <t>himself</t>
  </si>
  <si>
    <t>downward</t>
  </si>
  <si>
    <t># text = I sprang to my feet, my inert hand grasping my pistol, my mind paralyzed by the dreadful shape which had sprung out upon us from the shadows of the fog.</t>
  </si>
  <si>
    <t>sprang</t>
  </si>
  <si>
    <t>inert</t>
  </si>
  <si>
    <t>grasping</t>
  </si>
  <si>
    <t>paralyzed</t>
  </si>
  <si>
    <t>dreadful</t>
  </si>
  <si>
    <t>shape</t>
  </si>
  <si>
    <t>sprung</t>
  </si>
  <si>
    <t>shadows</t>
  </si>
  <si>
    <t>other_8</t>
  </si>
  <si>
    <t># text = A hound it was, an enormous coal-black hound, but not such a hound as mortal eyes have ever seen.</t>
  </si>
  <si>
    <t>hound</t>
  </si>
  <si>
    <t>enormous</t>
  </si>
  <si>
    <t>coal</t>
  </si>
  <si>
    <t>black</t>
  </si>
  <si>
    <t>such</t>
  </si>
  <si>
    <t>mortal</t>
  </si>
  <si>
    <t>ever</t>
  </si>
  <si>
    <t># text = Fire burst from its open mouth, its eyes glowed with a smouldering glare, its muzzle and hackles and dewlap were outlined in flickering flame.</t>
  </si>
  <si>
    <t>Fire</t>
  </si>
  <si>
    <t>burst</t>
  </si>
  <si>
    <t>open</t>
  </si>
  <si>
    <t>mouth</t>
  </si>
  <si>
    <t>glowed</t>
  </si>
  <si>
    <t>smouldering</t>
  </si>
  <si>
    <t>glare</t>
  </si>
  <si>
    <t>muzzle</t>
  </si>
  <si>
    <t>hackles</t>
  </si>
  <si>
    <t>dewlap</t>
  </si>
  <si>
    <t>flickering</t>
  </si>
  <si>
    <t>flame</t>
  </si>
  <si>
    <t># text = Never in the delirious dream of a disordered brain could anything more savage, more appalling, more hellish be conceived than that dark form and savage face which broke upon us out of the wall of fog.</t>
  </si>
  <si>
    <t>Never</t>
  </si>
  <si>
    <t>delirious</t>
  </si>
  <si>
    <t>dream</t>
  </si>
  <si>
    <t>disordered</t>
  </si>
  <si>
    <t>brain</t>
  </si>
  <si>
    <t>anything</t>
  </si>
  <si>
    <t>savage</t>
  </si>
  <si>
    <t>appalling</t>
  </si>
  <si>
    <t>hellish</t>
  </si>
  <si>
    <t>conceived</t>
  </si>
  <si>
    <t>form</t>
  </si>
  <si>
    <t># text = With long bounds the huge black creature was leaping down the track, following hard upon the footsteps of our friend.</t>
  </si>
  <si>
    <t>With</t>
  </si>
  <si>
    <t>bounds</t>
  </si>
  <si>
    <t>creature</t>
  </si>
  <si>
    <t>leaping</t>
  </si>
  <si>
    <t>following</t>
  </si>
  <si>
    <t>footsteps</t>
  </si>
  <si>
    <t># text = So paralyzed were we by the apparition that we allowed him to pass before we had recovered our nerve.</t>
  </si>
  <si>
    <t>apparition</t>
  </si>
  <si>
    <t>allowed</t>
  </si>
  <si>
    <t>pass</t>
  </si>
  <si>
    <t>recovered</t>
  </si>
  <si>
    <t>nerve</t>
  </si>
  <si>
    <t># text = Then Holmes and I both fired together, and the creature gave a hideous howl, which showed that one at least had hit him.</t>
  </si>
  <si>
    <t>fired</t>
  </si>
  <si>
    <t>together</t>
  </si>
  <si>
    <t>hideous</t>
  </si>
  <si>
    <t>howl</t>
  </si>
  <si>
    <t>showed</t>
  </si>
  <si>
    <t>least</t>
  </si>
  <si>
    <t>hit</t>
  </si>
  <si>
    <t># text = He did not pause, however, but bounded onward.</t>
  </si>
  <si>
    <t>bounded</t>
  </si>
  <si>
    <t>NEW</t>
  </si>
  <si>
    <t>Sherlock Holmes</t>
  </si>
  <si>
    <t>OLD</t>
  </si>
  <si>
    <t>IN FOCUS</t>
  </si>
  <si>
    <t>Defect</t>
  </si>
  <si>
    <t>SH + W</t>
  </si>
  <si>
    <t>Type Identifiable</t>
  </si>
  <si>
    <t>Familiar</t>
  </si>
  <si>
    <t>Uniquely Identifiable</t>
  </si>
  <si>
    <t>GEN</t>
  </si>
  <si>
    <t>Activated</t>
  </si>
  <si>
    <t>Idiom</t>
  </si>
  <si>
    <t>might be mentioned later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</si>
</sst>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0"/>
      <name val="Arial"/>
      <family val="2"/>
      <charset val="1"/>
    </font>
  </fonts>
  <fills count="8">
    <fill>
      <patternFill patternType="none"/>
    </fill>
    <fill>
      <patternFill patternType="gray125"/>
    </fill>
    <fill>
      <patternFill patternType="solid">
        <fgColor rgb="FFFFF5CE"/>
        <bgColor rgb="FFEEEEEE"/>
      </patternFill>
    </fill>
    <fill>
      <patternFill patternType="solid">
        <fgColor rgb="FFDDE8CB"/>
        <bgColor rgb="FFDEE6EF"/>
      </patternFill>
    </fill>
    <fill>
      <patternFill patternType="solid">
        <fgColor rgb="FFDEE6EF"/>
        <bgColor rgb="FFEEEEEE"/>
      </patternFill>
    </fill>
    <fill>
      <patternFill patternType="solid">
        <fgColor rgb="FFE0C2CD"/>
        <bgColor rgb="FFB4C7DC"/>
      </patternFill>
    </fill>
    <fill>
      <patternFill patternType="solid">
        <fgColor rgb="FFEEEEEE"/>
        <bgColor rgb="FFDEE6EF"/>
      </patternFill>
    </fill>
    <fill>
      <patternFill patternType="solid">
        <fgColor rgb="FFB4C7DC"/>
        <bgColor rgb="FF99CCFF"/>
      </patternFill>
    </fill>
  </fills>
  <borders count="5">
    <border>
      <left/>
      <right/>
      <top/>
      <bottom/>
      <diagonal/>
    </border>
    <border>
      <left/>
      <right/>
      <top style="thin">
        <color auto="1"/>
      </top>
      <bottom style="thin">
        <color auto="1"/>
      </bottom>
      <diagonal/>
    </border>
    <border>
      <left style="thin">
        <color auto="1"/>
      </left>
      <right/>
      <top style="thin">
        <color auto="1"/>
      </top>
      <bottom style="thin">
        <color auto="1"/>
      </bottom>
      <diagonal/>
    </border>
    <border>
      <left style="thin">
        <color auto="1"/>
      </left>
      <right/>
      <top/>
      <bottom style="thin">
        <color auto="1"/>
      </bottom>
      <diagonal/>
    </border>
    <border>
      <left style="thin">
        <color auto="1"/>
      </left>
      <right/>
      <top/>
      <bottom/>
      <diagonal/>
    </border>
  </borders>
  <cellStyleXfs count="1">
    <xf numFmtId="0" fontId="0" fillId="0" borderId="0"/>
  </cellStyleXfs>
  <cellXfs count="16">
    <xf numFmtId="0" fontId="0" fillId="0" borderId="0" xfId="0"/>
    <xf numFmtId="0" fontId="0" fillId="0" borderId="1" xfId="0" applyBorder="1"/>
    <xf numFmtId="0" fontId="0" fillId="2" borderId="2" xfId="0" applyFill="1" applyBorder="1" applyAlignment="1">
      <alignment horizontal="center"/>
    </xf>
    <xf numFmtId="0" fontId="0" fillId="3" borderId="1" xfId="0" applyFill="1" applyBorder="1" applyAlignment="1">
      <alignment horizontal="center"/>
    </xf>
    <xf numFmtId="0" fontId="0" fillId="4" borderId="1" xfId="0" applyFill="1" applyBorder="1" applyAlignment="1">
      <alignment horizontal="center"/>
    </xf>
    <xf numFmtId="0" fontId="0" fillId="5" borderId="1" xfId="0" applyFill="1" applyBorder="1" applyAlignment="1">
      <alignment horizontal="center"/>
    </xf>
    <xf numFmtId="0" fontId="0" fillId="6" borderId="2" xfId="0" applyFill="1" applyBorder="1" applyAlignment="1">
      <alignment horizontal="center"/>
    </xf>
    <xf numFmtId="0" fontId="0" fillId="6" borderId="1" xfId="0" applyFill="1" applyBorder="1" applyAlignment="1">
      <alignment horizontal="center"/>
    </xf>
    <xf numFmtId="0" fontId="0" fillId="7" borderId="3" xfId="0" applyFill="1" applyBorder="1" applyAlignment="1">
      <alignment horizontal="center"/>
    </xf>
    <xf numFmtId="0" fontId="0" fillId="2" borderId="4" xfId="0" applyFill="1" applyBorder="1"/>
    <xf numFmtId="0" fontId="0" fillId="3" borderId="0" xfId="0" applyFill="1" applyAlignment="1">
      <alignment horizontal="center"/>
    </xf>
    <xf numFmtId="0" fontId="0" fillId="4" borderId="0" xfId="0" applyFill="1"/>
    <xf numFmtId="0" fontId="0" fillId="5" borderId="0" xfId="0" applyFill="1" applyAlignment="1">
      <alignment horizontal="center"/>
    </xf>
    <xf numFmtId="0" fontId="0" fillId="6" borderId="4" xfId="0" applyFill="1" applyBorder="1" applyAlignment="1">
      <alignment horizontal="center"/>
    </xf>
    <xf numFmtId="0" fontId="0" fillId="6" borderId="0" xfId="0" applyFill="1" applyAlignment="1">
      <alignment horizontal="center"/>
    </xf>
    <xf numFmtId="0" fontId="0" fillId="7" borderId="4" xfId="0" applyFill="1" applyBorder="1" applyAlignment="1">
      <alignment wrapText="1" shrinkToFit="1"/>
    </xf>
  </cellXfs>
  <cellStyles count="1">
    <cellStyle name="Standard" xfId="0" builtinId="0"/>
  </cellStyles>
  <dxfs count="0"/>
  <tableStyles count="0" defaultTableStyle="TableStyleMedium2" defaultPivotStyle="PivotStyleLight16"/>
  <colors>
    <indexedColors>
      <rgbColor rgb="FF000000"/>
      <rgbColor rgb="FFEEEEEE"/>
      <rgbColor rgb="FFFF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5CE"/>
      <rgbColor rgb="FFDEE6EF"/>
      <rgbColor rgb="FF660066"/>
      <rgbColor rgb="FFFF8080"/>
      <rgbColor rgb="FF0066CC"/>
      <rgbColor rgb="FFE0C2CD"/>
      <rgbColor rgb="FF000080"/>
      <rgbColor rgb="FFFF00FF"/>
      <rgbColor rgb="FFFFFF00"/>
      <rgbColor rgb="FF00FFFF"/>
      <rgbColor rgb="FF800080"/>
      <rgbColor rgb="FF800000"/>
      <rgbColor rgb="FF008080"/>
      <rgbColor rgb="FF0000FF"/>
      <rgbColor rgb="FF00CCFF"/>
      <rgbColor rgb="FFCCFFFF"/>
      <rgbColor rgb="FFDDE8CB"/>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326"/>
  <sheetViews>
    <sheetView tabSelected="1" zoomScaleNormal="100" workbookViewId="0">
      <pane xSplit="1" ySplit="1" topLeftCell="B194" activePane="bottomRight" state="frozen"/>
      <selection pane="topRight" activeCell="G1" sqref="G1"/>
      <selection pane="bottomLeft" activeCell="A2177" sqref="A2177"/>
      <selection pane="bottomRight" activeCell="G208" sqref="G208"/>
    </sheetView>
  </sheetViews>
  <sheetFormatPr baseColWidth="10" defaultColWidth="11.59765625" defaultRowHeight="12.75" x14ac:dyDescent="0.35"/>
  <cols>
    <col min="2" max="2" width="14.59765625" customWidth="1"/>
    <col min="3" max="3" width="18.265625" customWidth="1"/>
    <col min="4" max="4" width="23.6640625" customWidth="1"/>
    <col min="5" max="5" width="16.1328125" customWidth="1"/>
    <col min="7" max="7" width="14.73046875" customWidth="1"/>
    <col min="9" max="10" width="11.53125" hidden="1"/>
    <col min="11" max="11" width="18.86328125" hidden="1" customWidth="1"/>
    <col min="12" max="12" width="46.6640625" customWidth="1"/>
  </cols>
  <sheetData>
    <row r="1" spans="1:12" x14ac:dyDescent="0.35">
      <c r="A1" s="1" t="s">
        <v>0</v>
      </c>
      <c r="B1" s="1" t="s">
        <v>1</v>
      </c>
      <c r="C1" s="1" t="s">
        <v>2</v>
      </c>
      <c r="D1" s="1" t="s">
        <v>3</v>
      </c>
      <c r="E1" s="2" t="s">
        <v>4</v>
      </c>
      <c r="F1" s="3" t="s">
        <v>5</v>
      </c>
      <c r="G1" s="4" t="s">
        <v>6</v>
      </c>
      <c r="H1" s="5" t="s">
        <v>7</v>
      </c>
      <c r="I1" s="6" t="s">
        <v>8</v>
      </c>
      <c r="J1" s="7" t="s">
        <v>9</v>
      </c>
      <c r="K1" s="7" t="s">
        <v>10</v>
      </c>
      <c r="L1" s="8" t="s">
        <v>11</v>
      </c>
    </row>
    <row r="2" spans="1:12" x14ac:dyDescent="0.35">
      <c r="E2" s="9" t="str">
        <f>IF(D2="?OLD","!!!","")</f>
        <v/>
      </c>
      <c r="F2" s="10" t="str">
        <f>IF(OR(E2="",E2="!!!"),"",IF(NOT(ISNA(VLOOKUP(E2,E$1:E1,1,FALSE()))),"OLD",IF(AND(E2&lt;&gt;"",E2&lt;&gt;"!!!"),"NEW","")))</f>
        <v/>
      </c>
      <c r="G2" s="11" t="str">
        <f>IF(OR(E2="",E2="!!!"),"",IF(OR(J2=0,AND(J2=1,K2=1),AND(J2=1,I2="SBJ"),AND(J2=1,I2=0)),"?IN_FOCUS",IF(J2&lt;=2,"?ACTIVATED",IF(J2&lt;&gt;"","?FAMILIAR",IF(F2="NEW",IF(ISNA(VLOOKUP(E2,#REF!,1,FALSE())),"?TYPE_IDENTIFIABLE","?REFERENTIAL"),"_")))))</f>
        <v/>
      </c>
      <c r="H2" s="12" t="str">
        <f ca="1">IF(J2&lt;&gt;1,"",IF(I2="SBJ","CB","?"))</f>
        <v/>
      </c>
      <c r="I2" s="13" t="str">
        <f>IF(OR(E2="",E2="!!!",F2="NEW"),"",INDEX(B1:B$2,-1+SUMPRODUCT(MAX(ROW(E1:E$2)*(E2=E1:E$2)))))</f>
        <v/>
      </c>
      <c r="J2" s="14" t="str">
        <f ca="1">IF(OR(E2="",E2="!!!",F2="NEW"),"",COUNTBLANK(OFFSET(A$1,,,SUMPRODUCT(MAX(ROW(E$2:E2)*(E2=E$2:E2)))))-COUNTBLANK(OFFSET(A$1,,,SUMPRODUCT(MAX(ROW(E$1:E1)*(E2=E$1:E1))))))</f>
        <v/>
      </c>
      <c r="K2" s="14" t="str">
        <f>IF(OR(E2="",E2="!!!",F2="NEW"),"",INDEX(J$1:J1,SUMPRODUCT(MAX(ROW(E$1:E1)*(E2=E$1:E1)))))</f>
        <v/>
      </c>
      <c r="L2" s="15"/>
    </row>
    <row r="3" spans="1:12" x14ac:dyDescent="0.35">
      <c r="E3" s="9" t="str">
        <f>IF(D3="?OLD","!!!","")</f>
        <v/>
      </c>
      <c r="F3" s="10" t="str">
        <f>IF(OR(E3="",E3="!!!"),"",IF(NOT(ISNA(VLOOKUP(E3,E$1:E2,1,FALSE()))),"OLD",IF(AND(E3&lt;&gt;"",E3&lt;&gt;"!!!"),"NEW","")))</f>
        <v/>
      </c>
      <c r="G3" s="11" t="str">
        <f>IF(OR(E3="",E3="!!!"),"",IF(OR(J3=0,AND(J3=1,K3=1),AND(J3=1,I3="SBJ"),AND(J3=1,I3=0)),"?IN_FOCUS",IF(J3&lt;=2,"?ACTIVATED",IF(J3&lt;&gt;"","?FAMILIAR",IF(F3="NEW",IF(ISNA(VLOOKUP(E3,#REF!,1,FALSE())),"?TYPE_IDENTIFIABLE","?REFERENTIAL"),"_")))))</f>
        <v/>
      </c>
      <c r="H3" s="12" t="str">
        <f ca="1">IF(J3&lt;&gt;1,"",IF(I3="SBJ","CB","?"))</f>
        <v/>
      </c>
      <c r="I3" s="13" t="str">
        <f>IF(OR(E3="",E3="!!!",F3="NEW"),"",INDEX(B$2:B2,-1+SUMPRODUCT(MAX(ROW(E$2:E2)*(E3=E$2:E2)))))</f>
        <v/>
      </c>
      <c r="J3" s="14" t="str">
        <f ca="1">IF(OR(E3="",E3="!!!",F3="NEW"),"",COUNTBLANK(OFFSET(A$1,,,SUMPRODUCT(MAX(ROW(E$2:E3)*(E3=E$2:E3)))))-COUNTBLANK(OFFSET(A$1,,,SUMPRODUCT(MAX(ROW(E$1:E2)*(E3=E$1:E2))))))</f>
        <v/>
      </c>
      <c r="K3" s="14" t="str">
        <f>IF(OR(E3="",E3="!!!",F3="NEW"),"",INDEX(J$1:J2,SUMPRODUCT(MAX(ROW(E$1:E2)*(E3=E$1:E2)))))</f>
        <v/>
      </c>
      <c r="L3" s="15"/>
    </row>
    <row r="4" spans="1:12" x14ac:dyDescent="0.35">
      <c r="A4" t="s">
        <v>12</v>
      </c>
      <c r="E4" s="9" t="str">
        <f t="shared" ref="E4:E67" si="0">IF(D4="?OLD","!!!","")</f>
        <v/>
      </c>
      <c r="F4" s="10" t="str">
        <f>IF(OR(E4="",E4="!!!"),"",IF(NOT(ISNA(VLOOKUP(E4,E$1:E3,1,FALSE()))),"OLD",IF(AND(E4&lt;&gt;"",E4&lt;&gt;"!!!"),"NEW","")))</f>
        <v/>
      </c>
      <c r="G4" s="11" t="str">
        <f>IF(OR(E4="",E4="!!!"),"",IF(OR(J4=0,AND(J4=1,K4=1),AND(J4=1,I4="SBJ"),AND(J4=1,I4=0)),"?IN_FOCUS",IF(J4&lt;=2,"?ACTIVATED",IF(J4&lt;&gt;"","?FAMILIAR",IF(F4="NEW",IF(ISNA(VLOOKUP(E4,#REF!,1,FALSE())),"?TYPE_IDENTIFIABLE","?REFERENTIAL"),"_")))))</f>
        <v/>
      </c>
      <c r="H4" s="12" t="str">
        <f t="shared" ref="H4:H67" si="1">IF(J4&lt;&gt;1,"",IF(I4="SBJ","CB","?"))</f>
        <v/>
      </c>
      <c r="L4" s="15"/>
    </row>
    <row r="5" spans="1:12" x14ac:dyDescent="0.35">
      <c r="A5" t="s">
        <v>13</v>
      </c>
      <c r="B5" t="s">
        <v>14</v>
      </c>
      <c r="C5" t="s">
        <v>15</v>
      </c>
      <c r="D5" t="s">
        <v>867</v>
      </c>
      <c r="E5" s="9" t="s">
        <v>871</v>
      </c>
      <c r="F5" s="10" t="str">
        <f>IF(OR(E5="",E5="!!!"),"",IF(NOT(ISNA(VLOOKUP(E5,E$1:E4,1,FALSE()))),"OLD",IF(AND(E5&lt;&gt;"",E5&lt;&gt;"!!!"),"NEW","")))</f>
        <v>NEW</v>
      </c>
      <c r="G5" s="11" t="s">
        <v>873</v>
      </c>
      <c r="H5" s="12" t="str">
        <f t="shared" si="1"/>
        <v/>
      </c>
      <c r="L5" s="15"/>
    </row>
    <row r="6" spans="1:12" x14ac:dyDescent="0.35">
      <c r="A6" t="s">
        <v>17</v>
      </c>
      <c r="E6" s="9" t="str">
        <f t="shared" si="0"/>
        <v/>
      </c>
      <c r="F6" s="10" t="str">
        <f>IF(OR(E6="",E6="!!!"),"",IF(NOT(ISNA(VLOOKUP(E6,E$1:E5,1,FALSE()))),"OLD",IF(AND(E6&lt;&gt;"",E6&lt;&gt;"!!!"),"NEW","")))</f>
        <v/>
      </c>
      <c r="G6" s="11" t="str">
        <f>IF(OR(E6="",E6="!!!"),"",IF(OR(J6=0,AND(J6=1,K6=1),AND(J6=1,I6="SBJ"),AND(J6=1,I6=0)),"?IN_FOCUS",IF(J6&lt;=2,"?ACTIVATED",IF(J6&lt;&gt;"","?FAMILIAR",IF(F6="NEW",IF(ISNA(VLOOKUP(E6,#REF!,1,FALSE())),"?TYPE_IDENTIFIABLE","?REFERENTIAL"),"_")))))</f>
        <v/>
      </c>
      <c r="H6" s="12" t="str">
        <f t="shared" si="1"/>
        <v/>
      </c>
      <c r="L6" s="15"/>
    </row>
    <row r="7" spans="1:12" x14ac:dyDescent="0.35">
      <c r="A7" t="s">
        <v>18</v>
      </c>
      <c r="E7" s="9" t="str">
        <f t="shared" si="0"/>
        <v/>
      </c>
      <c r="F7" s="10" t="str">
        <f>IF(OR(E7="",E7="!!!"),"",IF(NOT(ISNA(VLOOKUP(E7,E$1:E6,1,FALSE()))),"OLD",IF(AND(E7&lt;&gt;"",E7&lt;&gt;"!!!"),"NEW","")))</f>
        <v/>
      </c>
      <c r="G7" s="11" t="str">
        <f>IF(OR(E7="",E7="!!!"),"",IF(OR(J7=0,AND(J7=1,K7=1),AND(J7=1,I7="SBJ"),AND(J7=1,I7=0)),"?IN_FOCUS",IF(J7&lt;=2,"?ACTIVATED",IF(J7&lt;&gt;"","?FAMILIAR",IF(F7="NEW",IF(ISNA(VLOOKUP(E7,#REF!,1,FALSE())),"?TYPE_IDENTIFIABLE","?REFERENTIAL"),"_")))))</f>
        <v/>
      </c>
      <c r="H7" s="12" t="str">
        <f t="shared" si="1"/>
        <v/>
      </c>
      <c r="L7" s="15"/>
    </row>
    <row r="8" spans="1:12" x14ac:dyDescent="0.35">
      <c r="A8" t="s">
        <v>19</v>
      </c>
      <c r="B8" t="s">
        <v>20</v>
      </c>
      <c r="C8" t="s">
        <v>21</v>
      </c>
      <c r="D8" t="s">
        <v>867</v>
      </c>
      <c r="E8" s="9" t="s">
        <v>868</v>
      </c>
      <c r="F8" s="10" t="str">
        <f>IF(OR(E8="",E8="!!!"),"",IF(NOT(ISNA(VLOOKUP(E8,E$1:E7,1,FALSE()))),"OLD",IF(AND(E8&lt;&gt;"",E8&lt;&gt;"!!!"),"NEW","")))</f>
        <v>NEW</v>
      </c>
      <c r="G8" s="11" t="s">
        <v>874</v>
      </c>
      <c r="H8" s="12" t="str">
        <f t="shared" si="1"/>
        <v/>
      </c>
      <c r="L8" s="15"/>
    </row>
    <row r="9" spans="1:12" x14ac:dyDescent="0.35">
      <c r="A9" t="s">
        <v>22</v>
      </c>
      <c r="E9" s="9" t="str">
        <f t="shared" si="0"/>
        <v/>
      </c>
      <c r="F9" s="10" t="str">
        <f>IF(OR(E9="",E9="!!!"),"",IF(NOT(ISNA(VLOOKUP(E9,E$1:E8,1,FALSE()))),"OLD",IF(AND(E9&lt;&gt;"",E9&lt;&gt;"!!!"),"NEW","")))</f>
        <v/>
      </c>
      <c r="G9" s="11" t="str">
        <f>IF(OR(E9="",E9="!!!"),"",IF(OR(J9=0,AND(J9=1,K9=1),AND(J9=1,I9="SBJ"),AND(J9=1,I9=0)),"?IN_FOCUS",IF(J9&lt;=2,"?ACTIVATED",IF(J9&lt;&gt;"","?FAMILIAR",IF(F9="NEW",IF(ISNA(VLOOKUP(E9,#REF!,1,FALSE())),"?TYPE_IDENTIFIABLE","?REFERENTIAL"),"_")))))</f>
        <v/>
      </c>
      <c r="H9" s="12" t="str">
        <f t="shared" si="1"/>
        <v/>
      </c>
      <c r="L9" s="15"/>
    </row>
    <row r="10" spans="1:12" x14ac:dyDescent="0.35">
      <c r="A10" t="s">
        <v>23</v>
      </c>
      <c r="B10" t="s">
        <v>24</v>
      </c>
      <c r="C10" t="s">
        <v>15</v>
      </c>
      <c r="D10" t="s">
        <v>16</v>
      </c>
      <c r="E10" s="9"/>
      <c r="F10" s="10" t="str">
        <f>IF(OR(E10="",E10="!!!"),"",IF(NOT(ISNA(VLOOKUP(E10,E$1:E9,1,FALSE()))),"OLD",IF(AND(E10&lt;&gt;"",E10&lt;&gt;"!!!"),"NEW","")))</f>
        <v/>
      </c>
      <c r="G10" s="11" t="str">
        <f>IF(OR(E10="",E10="!!!"),"",IF(OR(J10=0,AND(J10=1,K10=1),AND(J10=1,I10="SBJ"),AND(J10=1,I10=0)),"?IN_FOCUS",IF(J10&lt;=2,"?ACTIVATED",IF(J10&lt;&gt;"","?FAMILIAR",IF(F10="NEW",IF(ISNA(VLOOKUP(E10,#REF!,1,FALSE())),"?TYPE_IDENTIFIABLE","?REFERENTIAL"),"_")))))</f>
        <v/>
      </c>
      <c r="H10" s="12" t="str">
        <f t="shared" si="1"/>
        <v/>
      </c>
      <c r="L10" s="15"/>
    </row>
    <row r="11" spans="1:12" x14ac:dyDescent="0.35">
      <c r="A11" t="s">
        <v>25</v>
      </c>
      <c r="E11" s="9" t="str">
        <f t="shared" si="0"/>
        <v/>
      </c>
      <c r="F11" s="10" t="str">
        <f>IF(OR(E11="",E11="!!!"),"",IF(NOT(ISNA(VLOOKUP(E11,E$1:E10,1,FALSE()))),"OLD",IF(AND(E11&lt;&gt;"",E11&lt;&gt;"!!!"),"NEW","")))</f>
        <v/>
      </c>
      <c r="G11" s="11" t="str">
        <f>IF(OR(E11="",E11="!!!"),"",IF(OR(J11=0,AND(J11=1,K11=1),AND(J11=1,I11="SBJ"),AND(J11=1,I11=0)),"?IN_FOCUS",IF(J11&lt;=2,"?ACTIVATED",IF(J11&lt;&gt;"","?FAMILIAR",IF(F11="NEW",IF(ISNA(VLOOKUP(E11,#REF!,1,FALSE())),"?TYPE_IDENTIFIABLE","?REFERENTIAL"),"_")))))</f>
        <v/>
      </c>
      <c r="H11" s="12" t="str">
        <f t="shared" si="1"/>
        <v/>
      </c>
      <c r="L11" s="15"/>
    </row>
    <row r="12" spans="1:12" x14ac:dyDescent="0.35">
      <c r="A12" t="s">
        <v>26</v>
      </c>
      <c r="E12" s="9" t="str">
        <f t="shared" si="0"/>
        <v/>
      </c>
      <c r="F12" s="10" t="str">
        <f>IF(OR(E12="",E12="!!!"),"",IF(NOT(ISNA(VLOOKUP(E12,E$1:E11,1,FALSE()))),"OLD",IF(AND(E12&lt;&gt;"",E12&lt;&gt;"!!!"),"NEW","")))</f>
        <v/>
      </c>
      <c r="G12" s="11" t="str">
        <f>IF(OR(E12="",E12="!!!"),"",IF(OR(J12=0,AND(J12=1,K12=1),AND(J12=1,I12="SBJ"),AND(J12=1,I12=0)),"?IN_FOCUS",IF(J12&lt;=2,"?ACTIVATED",IF(J12&lt;&gt;"","?FAMILIAR",IF(F12="NEW",IF(ISNA(VLOOKUP(E12,#REF!,1,FALSE())),"?TYPE_IDENTIFIABLE","?REFERENTIAL"),"_")))))</f>
        <v/>
      </c>
      <c r="H12" s="12" t="str">
        <f t="shared" si="1"/>
        <v/>
      </c>
      <c r="L12" s="15"/>
    </row>
    <row r="13" spans="1:12" x14ac:dyDescent="0.35">
      <c r="A13" t="s">
        <v>27</v>
      </c>
      <c r="E13" s="9" t="str">
        <f t="shared" si="0"/>
        <v/>
      </c>
      <c r="F13" s="10" t="str">
        <f>IF(OR(E13="",E13="!!!"),"",IF(NOT(ISNA(VLOOKUP(E13,E$1:E12,1,FALSE()))),"OLD",IF(AND(E13&lt;&gt;"",E13&lt;&gt;"!!!"),"NEW","")))</f>
        <v/>
      </c>
      <c r="G13" s="11" t="str">
        <f>IF(OR(E13="",E13="!!!"),"",IF(OR(J13=0,AND(J13=1,K13=1),AND(J13=1,I13="SBJ"),AND(J13=1,I13=0)),"?IN_FOCUS",IF(J13&lt;=2,"?ACTIVATED",IF(J13&lt;&gt;"","?FAMILIAR",IF(F13="NEW",IF(ISNA(VLOOKUP(E13,#REF!,1,FALSE())),"?TYPE_IDENTIFIABLE","?REFERENTIAL"),"_")))))</f>
        <v/>
      </c>
      <c r="H13" s="12" t="str">
        <f t="shared" si="1"/>
        <v/>
      </c>
      <c r="L13" s="15"/>
    </row>
    <row r="14" spans="1:12" x14ac:dyDescent="0.35">
      <c r="A14" t="s">
        <v>26</v>
      </c>
      <c r="E14" s="9" t="str">
        <f t="shared" si="0"/>
        <v/>
      </c>
      <c r="F14" s="10" t="str">
        <f>IF(OR(E14="",E14="!!!"),"",IF(NOT(ISNA(VLOOKUP(E14,E$1:E13,1,FALSE()))),"OLD",IF(AND(E14&lt;&gt;"",E14&lt;&gt;"!!!"),"NEW","")))</f>
        <v/>
      </c>
      <c r="G14" s="11" t="str">
        <f>IF(OR(E14="",E14="!!!"),"",IF(OR(J14=0,AND(J14=1,K14=1),AND(J14=1,I14="SBJ"),AND(J14=1,I14=0)),"?IN_FOCUS",IF(J14&lt;=2,"?ACTIVATED",IF(J14&lt;&gt;"","?FAMILIAR",IF(F14="NEW",IF(ISNA(VLOOKUP(E14,#REF!,1,FALSE())),"?TYPE_IDENTIFIABLE","?REFERENTIAL"),"_")))))</f>
        <v/>
      </c>
      <c r="H14" s="12" t="str">
        <f t="shared" si="1"/>
        <v/>
      </c>
      <c r="L14" s="15"/>
    </row>
    <row r="15" spans="1:12" x14ac:dyDescent="0.35">
      <c r="A15" t="s">
        <v>28</v>
      </c>
      <c r="B15" t="s">
        <v>14</v>
      </c>
      <c r="E15" s="9" t="str">
        <f t="shared" si="0"/>
        <v/>
      </c>
      <c r="F15" s="10" t="str">
        <f>IF(OR(E15="",E15="!!!"),"",IF(NOT(ISNA(VLOOKUP(E15,E$1:E14,1,FALSE()))),"OLD",IF(AND(E15&lt;&gt;"",E15&lt;&gt;"!!!"),"NEW","")))</f>
        <v/>
      </c>
      <c r="G15" s="11" t="str">
        <f>IF(OR(E15="",E15="!!!"),"",IF(OR(J15=0,AND(J15=1,K15=1),AND(J15=1,I15="SBJ"),AND(J15=1,I15=0)),"?IN_FOCUS",IF(J15&lt;=2,"?ACTIVATED",IF(J15&lt;&gt;"","?FAMILIAR",IF(F15="NEW",IF(ISNA(VLOOKUP(E15,#REF!,1,FALSE())),"?TYPE_IDENTIFIABLE","?REFERENTIAL"),"_")))))</f>
        <v/>
      </c>
      <c r="H15" s="12" t="str">
        <f t="shared" si="1"/>
        <v/>
      </c>
      <c r="L15" s="15"/>
    </row>
    <row r="16" spans="1:12" x14ac:dyDescent="0.35">
      <c r="A16" t="s">
        <v>29</v>
      </c>
      <c r="E16" s="9" t="str">
        <f t="shared" si="0"/>
        <v/>
      </c>
      <c r="F16" s="10" t="str">
        <f>IF(OR(E16="",E16="!!!"),"",IF(NOT(ISNA(VLOOKUP(E16,E$1:E15,1,FALSE()))),"OLD",IF(AND(E16&lt;&gt;"",E16&lt;&gt;"!!!"),"NEW","")))</f>
        <v/>
      </c>
      <c r="G16" s="11" t="str">
        <f>IF(OR(E16="",E16="!!!"),"",IF(OR(J16=0,AND(J16=1,K16=1),AND(J16=1,I16="SBJ"),AND(J16=1,I16=0)),"?IN_FOCUS",IF(J16&lt;=2,"?ACTIVATED",IF(J16&lt;&gt;"","?FAMILIAR",IF(F16="NEW",IF(ISNA(VLOOKUP(E16,#REF!,1,FALSE())),"?TYPE_IDENTIFIABLE","?REFERENTIAL"),"_")))))</f>
        <v/>
      </c>
      <c r="H16" s="12" t="str">
        <f t="shared" si="1"/>
        <v/>
      </c>
      <c r="L16" s="15"/>
    </row>
    <row r="17" spans="1:12" x14ac:dyDescent="0.35">
      <c r="A17" t="s">
        <v>30</v>
      </c>
      <c r="E17" s="9" t="str">
        <f t="shared" si="0"/>
        <v/>
      </c>
      <c r="F17" s="10" t="str">
        <f>IF(OR(E17="",E17="!!!"),"",IF(NOT(ISNA(VLOOKUP(E17,E$1:E16,1,FALSE()))),"OLD",IF(AND(E17&lt;&gt;"",E17&lt;&gt;"!!!"),"NEW","")))</f>
        <v/>
      </c>
      <c r="G17" s="11" t="str">
        <f>IF(OR(E17="",E17="!!!"),"",IF(OR(J17=0,AND(J17=1,K17=1),AND(J17=1,I17="SBJ"),AND(J17=1,I17=0)),"?IN_FOCUS",IF(J17&lt;=2,"?ACTIVATED",IF(J17&lt;&gt;"","?FAMILIAR",IF(F17="NEW",IF(ISNA(VLOOKUP(E17,#REF!,1,FALSE())),"?TYPE_IDENTIFIABLE","?REFERENTIAL"),"_")))))</f>
        <v/>
      </c>
      <c r="H17" s="12" t="str">
        <f t="shared" si="1"/>
        <v/>
      </c>
      <c r="L17" s="15"/>
    </row>
    <row r="18" spans="1:12" x14ac:dyDescent="0.35">
      <c r="A18" t="s">
        <v>31</v>
      </c>
      <c r="B18" t="s">
        <v>32</v>
      </c>
      <c r="C18" t="s">
        <v>33</v>
      </c>
      <c r="D18" t="s">
        <v>16</v>
      </c>
      <c r="E18" s="9" t="s">
        <v>871</v>
      </c>
      <c r="F18" s="10" t="str">
        <f>IF(OR(E18="",E18="!!!"),"",IF(NOT(ISNA(VLOOKUP(E18,E$1:E17,1,FALSE()))),"OLD",IF(AND(E18&lt;&gt;"",E18&lt;&gt;"!!!"),"NEW","")))</f>
        <v>OLD</v>
      </c>
      <c r="G18" s="11" t="s">
        <v>870</v>
      </c>
      <c r="H18" s="12" t="str">
        <f t="shared" si="1"/>
        <v/>
      </c>
      <c r="L18" s="15"/>
    </row>
    <row r="19" spans="1:12" x14ac:dyDescent="0.35">
      <c r="A19" t="s">
        <v>34</v>
      </c>
      <c r="E19" s="9" t="str">
        <f t="shared" si="0"/>
        <v/>
      </c>
      <c r="F19" s="10" t="str">
        <f>IF(OR(E19="",E19="!!!"),"",IF(NOT(ISNA(VLOOKUP(E19,E$1:E18,1,FALSE()))),"OLD",IF(AND(E19&lt;&gt;"",E19&lt;&gt;"!!!"),"NEW","")))</f>
        <v/>
      </c>
      <c r="G19" s="11" t="str">
        <f>IF(OR(E19="",E19="!!!"),"",IF(OR(J19=0,AND(J19=1,K19=1),AND(J19=1,I19="SBJ"),AND(J19=1,I19=0)),"?IN_FOCUS",IF(J19&lt;=2,"?ACTIVATED",IF(J19&lt;&gt;"","?FAMILIAR",IF(F19="NEW",IF(ISNA(VLOOKUP(E19,#REF!,1,FALSE())),"?TYPE_IDENTIFIABLE","?REFERENTIAL"),"_")))))</f>
        <v/>
      </c>
      <c r="H19" s="12" t="str">
        <f t="shared" si="1"/>
        <v/>
      </c>
      <c r="L19" s="15"/>
    </row>
    <row r="20" spans="1:12" x14ac:dyDescent="0.35">
      <c r="A20" t="s">
        <v>35</v>
      </c>
      <c r="B20" t="s">
        <v>36</v>
      </c>
      <c r="C20" t="s">
        <v>37</v>
      </c>
      <c r="E20" s="9" t="str">
        <f t="shared" si="0"/>
        <v/>
      </c>
      <c r="F20" s="10" t="str">
        <f>IF(OR(E20="",E20="!!!"),"",IF(NOT(ISNA(VLOOKUP(E20,E$1:E19,1,FALSE()))),"OLD",IF(AND(E20&lt;&gt;"",E20&lt;&gt;"!!!"),"NEW","")))</f>
        <v/>
      </c>
      <c r="G20" s="11" t="str">
        <f>IF(OR(E20="",E20="!!!"),"",IF(OR(J20=0,AND(J20=1,K20=1),AND(J20=1,I20="SBJ"),AND(J20=1,I20=0)),"?IN_FOCUS",IF(J20&lt;=2,"?ACTIVATED",IF(J20&lt;&gt;"","?FAMILIAR",IF(F20="NEW",IF(ISNA(VLOOKUP(E20,#REF!,1,FALSE())),"?TYPE_IDENTIFIABLE","?REFERENTIAL"),"_")))))</f>
        <v/>
      </c>
      <c r="H20" s="12" t="str">
        <f t="shared" si="1"/>
        <v/>
      </c>
      <c r="L20" s="15"/>
    </row>
    <row r="21" spans="1:12" x14ac:dyDescent="0.35">
      <c r="A21" t="s">
        <v>38</v>
      </c>
      <c r="E21" s="9" t="str">
        <f t="shared" si="0"/>
        <v/>
      </c>
      <c r="F21" s="10" t="str">
        <f>IF(OR(E21="",E21="!!!"),"",IF(NOT(ISNA(VLOOKUP(E21,E$1:E20,1,FALSE()))),"OLD",IF(AND(E21&lt;&gt;"",E21&lt;&gt;"!!!"),"NEW","")))</f>
        <v/>
      </c>
      <c r="G21" s="11" t="str">
        <f>IF(OR(E21="",E21="!!!"),"",IF(OR(J21=0,AND(J21=1,K21=1),AND(J21=1,I21="SBJ"),AND(J21=1,I21=0)),"?IN_FOCUS",IF(J21&lt;=2,"?ACTIVATED",IF(J21&lt;&gt;"","?FAMILIAR",IF(F21="NEW",IF(ISNA(VLOOKUP(E21,#REF!,1,FALSE())),"?TYPE_IDENTIFIABLE","?REFERENTIAL"),"_")))))</f>
        <v/>
      </c>
      <c r="H21" s="12" t="str">
        <f t="shared" si="1"/>
        <v/>
      </c>
      <c r="L21" s="15"/>
    </row>
    <row r="22" spans="1:12" x14ac:dyDescent="0.35">
      <c r="A22" t="s">
        <v>39</v>
      </c>
      <c r="E22" s="9" t="str">
        <f t="shared" si="0"/>
        <v/>
      </c>
      <c r="F22" s="10" t="str">
        <f>IF(OR(E22="",E22="!!!"),"",IF(NOT(ISNA(VLOOKUP(E22,E$1:E21,1,FALSE()))),"OLD",IF(AND(E22&lt;&gt;"",E22&lt;&gt;"!!!"),"NEW","")))</f>
        <v/>
      </c>
      <c r="G22" s="11" t="str">
        <f>IF(OR(E22="",E22="!!!"),"",IF(OR(J22=0,AND(J22=1,K22=1),AND(J22=1,I22="SBJ"),AND(J22=1,I22=0)),"?IN_FOCUS",IF(J22&lt;=2,"?ACTIVATED",IF(J22&lt;&gt;"","?FAMILIAR",IF(F22="NEW",IF(ISNA(VLOOKUP(E22,#REF!,1,FALSE())),"?TYPE_IDENTIFIABLE","?REFERENTIAL"),"_")))))</f>
        <v/>
      </c>
      <c r="H22" s="12" t="str">
        <f t="shared" si="1"/>
        <v/>
      </c>
      <c r="L22" s="15"/>
    </row>
    <row r="23" spans="1:12" x14ac:dyDescent="0.35">
      <c r="A23" t="s">
        <v>40</v>
      </c>
      <c r="B23" t="s">
        <v>41</v>
      </c>
      <c r="C23" t="s">
        <v>33</v>
      </c>
      <c r="D23" t="s">
        <v>867</v>
      </c>
      <c r="E23" s="9" t="s">
        <v>868</v>
      </c>
      <c r="F23" s="10" t="str">
        <f>IF(OR(E23="",E23="!!!"),"",IF(NOT(ISNA(VLOOKUP(E23,E$1:E22,1,FALSE()))),"OLD",IF(AND(E23&lt;&gt;"",E23&lt;&gt;"!!!"),"NEW","")))</f>
        <v>OLD</v>
      </c>
      <c r="G23" s="11" t="s">
        <v>870</v>
      </c>
      <c r="H23" s="12" t="str">
        <f t="shared" si="1"/>
        <v/>
      </c>
      <c r="L23" s="15"/>
    </row>
    <row r="24" spans="1:12" x14ac:dyDescent="0.35">
      <c r="A24" t="s">
        <v>42</v>
      </c>
      <c r="E24" s="9" t="str">
        <f t="shared" si="0"/>
        <v/>
      </c>
      <c r="F24" s="10" t="str">
        <f>IF(OR(E24="",E24="!!!"),"",IF(NOT(ISNA(VLOOKUP(E24,E$1:E23,1,FALSE()))),"OLD",IF(AND(E24&lt;&gt;"",E24&lt;&gt;"!!!"),"NEW","")))</f>
        <v/>
      </c>
      <c r="G24" s="11" t="str">
        <f>IF(OR(E24="",E24="!!!"),"",IF(OR(J24=0,AND(J24=1,K24=1),AND(J24=1,I24="SBJ"),AND(J24=1,I24=0)),"?IN_FOCUS",IF(J24&lt;=2,"?ACTIVATED",IF(J24&lt;&gt;"","?FAMILIAR",IF(F24="NEW",IF(ISNA(VLOOKUP(E24,#REF!,1,FALSE())),"?TYPE_IDENTIFIABLE","?REFERENTIAL"),"_")))))</f>
        <v/>
      </c>
      <c r="H24" s="12" t="str">
        <f t="shared" si="1"/>
        <v/>
      </c>
      <c r="L24" s="15"/>
    </row>
    <row r="25" spans="1:12" x14ac:dyDescent="0.35">
      <c r="A25" t="s">
        <v>43</v>
      </c>
      <c r="E25" s="9" t="str">
        <f t="shared" si="0"/>
        <v/>
      </c>
      <c r="F25" s="10" t="str">
        <f>IF(OR(E25="",E25="!!!"),"",IF(NOT(ISNA(VLOOKUP(E25,E$1:E24,1,FALSE()))),"OLD",IF(AND(E25&lt;&gt;"",E25&lt;&gt;"!!!"),"NEW","")))</f>
        <v/>
      </c>
      <c r="G25" s="11" t="str">
        <f>IF(OR(E25="",E25="!!!"),"",IF(OR(J25=0,AND(J25=1,K25=1),AND(J25=1,I25="SBJ"),AND(J25=1,I25=0)),"?IN_FOCUS",IF(J25&lt;=2,"?ACTIVATED",IF(J25&lt;&gt;"","?FAMILIAR",IF(F25="NEW",IF(ISNA(VLOOKUP(E25,#REF!,1,FALSE())),"?TYPE_IDENTIFIABLE","?REFERENTIAL"),"_")))))</f>
        <v/>
      </c>
      <c r="H25" s="12" t="str">
        <f t="shared" si="1"/>
        <v/>
      </c>
      <c r="L25" s="15"/>
    </row>
    <row r="26" spans="1:12" x14ac:dyDescent="0.35">
      <c r="A26" t="s">
        <v>44</v>
      </c>
      <c r="E26" s="9" t="str">
        <f t="shared" si="0"/>
        <v/>
      </c>
      <c r="F26" s="10" t="str">
        <f>IF(OR(E26="",E26="!!!"),"",IF(NOT(ISNA(VLOOKUP(E26,E$1:E25,1,FALSE()))),"OLD",IF(AND(E26&lt;&gt;"",E26&lt;&gt;"!!!"),"NEW","")))</f>
        <v/>
      </c>
      <c r="G26" s="11" t="str">
        <f>IF(OR(E26="",E26="!!!"),"",IF(OR(J26=0,AND(J26=1,K26=1),AND(J26=1,I26="SBJ"),AND(J26=1,I26=0)),"?IN_FOCUS",IF(J26&lt;=2,"?ACTIVATED",IF(J26&lt;&gt;"","?FAMILIAR",IF(F26="NEW",IF(ISNA(VLOOKUP(E26,#REF!,1,FALSE())),"?TYPE_IDENTIFIABLE","?REFERENTIAL"),"_")))))</f>
        <v/>
      </c>
      <c r="H26" s="12" t="str">
        <f t="shared" si="1"/>
        <v/>
      </c>
      <c r="L26" s="15"/>
    </row>
    <row r="27" spans="1:12" x14ac:dyDescent="0.35">
      <c r="A27" t="s">
        <v>45</v>
      </c>
      <c r="E27" s="9" t="str">
        <f t="shared" si="0"/>
        <v/>
      </c>
      <c r="F27" s="10" t="str">
        <f>IF(OR(E27="",E27="!!!"),"",IF(NOT(ISNA(VLOOKUP(E27,E$1:E26,1,FALSE()))),"OLD",IF(AND(E27&lt;&gt;"",E27&lt;&gt;"!!!"),"NEW","")))</f>
        <v/>
      </c>
      <c r="G27" s="11" t="str">
        <f>IF(OR(E27="",E27="!!!"),"",IF(OR(J27=0,AND(J27=1,K27=1),AND(J27=1,I27="SBJ"),AND(J27=1,I27=0)),"?IN_FOCUS",IF(J27&lt;=2,"?ACTIVATED",IF(J27&lt;&gt;"","?FAMILIAR",IF(F27="NEW",IF(ISNA(VLOOKUP(E27,#REF!,1,FALSE())),"?TYPE_IDENTIFIABLE","?REFERENTIAL"),"_")))))</f>
        <v/>
      </c>
      <c r="H27" s="12" t="str">
        <f t="shared" si="1"/>
        <v/>
      </c>
      <c r="L27" s="15"/>
    </row>
    <row r="28" spans="1:12" x14ac:dyDescent="0.35">
      <c r="A28" t="s">
        <v>46</v>
      </c>
      <c r="E28" s="9" t="str">
        <f t="shared" si="0"/>
        <v/>
      </c>
      <c r="F28" s="10" t="str">
        <f>IF(OR(E28="",E28="!!!"),"",IF(NOT(ISNA(VLOOKUP(E28,E$1:E27,1,FALSE()))),"OLD",IF(AND(E28&lt;&gt;"",E28&lt;&gt;"!!!"),"NEW","")))</f>
        <v/>
      </c>
      <c r="G28" s="11" t="str">
        <f>IF(OR(E28="",E28="!!!"),"",IF(OR(J28=0,AND(J28=1,K28=1),AND(J28=1,I28="SBJ"),AND(J28=1,I28=0)),"?IN_FOCUS",IF(J28&lt;=2,"?ACTIVATED",IF(J28&lt;&gt;"","?FAMILIAR",IF(F28="NEW",IF(ISNA(VLOOKUP(E28,#REF!,1,FALSE())),"?TYPE_IDENTIFIABLE","?REFERENTIAL"),"_")))))</f>
        <v/>
      </c>
      <c r="H28" s="12" t="str">
        <f t="shared" si="1"/>
        <v/>
      </c>
      <c r="L28" s="15"/>
    </row>
    <row r="29" spans="1:12" x14ac:dyDescent="0.35">
      <c r="A29" t="s">
        <v>47</v>
      </c>
      <c r="B29" t="s">
        <v>48</v>
      </c>
      <c r="C29" t="s">
        <v>49</v>
      </c>
      <c r="D29" t="s">
        <v>869</v>
      </c>
      <c r="E29" s="9" t="s">
        <v>868</v>
      </c>
      <c r="F29" s="10" t="str">
        <f>IF(OR(E29="",E29="!!!"),"",IF(NOT(ISNA(VLOOKUP(E29,E$1:E28,1,FALSE()))),"OLD",IF(AND(E29&lt;&gt;"",E29&lt;&gt;"!!!"),"NEW","")))</f>
        <v>OLD</v>
      </c>
      <c r="G29" s="11" t="s">
        <v>870</v>
      </c>
      <c r="H29" s="12" t="str">
        <f t="shared" si="1"/>
        <v/>
      </c>
      <c r="L29" s="15"/>
    </row>
    <row r="30" spans="1:12" x14ac:dyDescent="0.35">
      <c r="A30" t="s">
        <v>50</v>
      </c>
      <c r="E30" s="9" t="str">
        <f t="shared" si="0"/>
        <v/>
      </c>
      <c r="F30" s="10" t="str">
        <f>IF(OR(E30="",E30="!!!"),"",IF(NOT(ISNA(VLOOKUP(E30,E$1:E29,1,FALSE()))),"OLD",IF(AND(E30&lt;&gt;"",E30&lt;&gt;"!!!"),"NEW","")))</f>
        <v/>
      </c>
      <c r="G30" s="11" t="str">
        <f>IF(OR(E30="",E30="!!!"),"",IF(OR(J30=0,AND(J30=1,K30=1),AND(J30=1,I30="SBJ"),AND(J30=1,I30=0)),"?IN_FOCUS",IF(J30&lt;=2,"?ACTIVATED",IF(J30&lt;&gt;"","?FAMILIAR",IF(F30="NEW",IF(ISNA(VLOOKUP(E30,#REF!,1,FALSE())),"?TYPE_IDENTIFIABLE","?REFERENTIAL"),"_")))))</f>
        <v/>
      </c>
      <c r="H30" s="12" t="str">
        <f t="shared" si="1"/>
        <v/>
      </c>
      <c r="L30" s="15"/>
    </row>
    <row r="31" spans="1:12" x14ac:dyDescent="0.35">
      <c r="A31" t="s">
        <v>51</v>
      </c>
      <c r="B31" t="s">
        <v>52</v>
      </c>
      <c r="C31" t="s">
        <v>15</v>
      </c>
      <c r="D31" t="s">
        <v>867</v>
      </c>
      <c r="E31" s="9" t="s">
        <v>51</v>
      </c>
      <c r="F31" s="10" t="str">
        <f>IF(OR(E31="",E31="!!!"),"",IF(NOT(ISNA(VLOOKUP(E31,E$1:E30,1,FALSE()))),"OLD",IF(AND(E31&lt;&gt;"",E31&lt;&gt;"!!!"),"NEW","")))</f>
        <v>NEW</v>
      </c>
      <c r="G31" s="11" t="s">
        <v>875</v>
      </c>
      <c r="H31" s="12" t="str">
        <f t="shared" si="1"/>
        <v/>
      </c>
      <c r="L31" s="15"/>
    </row>
    <row r="32" spans="1:12" x14ac:dyDescent="0.35">
      <c r="A32" t="s">
        <v>45</v>
      </c>
      <c r="E32" s="9" t="str">
        <f t="shared" si="0"/>
        <v/>
      </c>
      <c r="F32" s="10" t="str">
        <f>IF(OR(E32="",E32="!!!"),"",IF(NOT(ISNA(VLOOKUP(E32,E$1:E31,1,FALSE()))),"OLD",IF(AND(E32&lt;&gt;"",E32&lt;&gt;"!!!"),"NEW","")))</f>
        <v/>
      </c>
      <c r="G32" s="11" t="str">
        <f>IF(OR(E32="",E32="!!!"),"",IF(OR(J32=0,AND(J32=1,K32=1),AND(J32=1,I32="SBJ"),AND(J32=1,I32=0)),"?IN_FOCUS",IF(J32&lt;=2,"?ACTIVATED",IF(J32&lt;&gt;"","?FAMILIAR",IF(F32="NEW",IF(ISNA(VLOOKUP(E32,#REF!,1,FALSE())),"?TYPE_IDENTIFIABLE","?REFERENTIAL"),"_")))))</f>
        <v/>
      </c>
      <c r="H32" s="12" t="str">
        <f t="shared" si="1"/>
        <v/>
      </c>
      <c r="L32" s="15"/>
    </row>
    <row r="33" spans="1:12" x14ac:dyDescent="0.35">
      <c r="A33" t="s">
        <v>53</v>
      </c>
      <c r="E33" s="9" t="str">
        <f t="shared" si="0"/>
        <v/>
      </c>
      <c r="F33" s="10" t="str">
        <f>IF(OR(E33="",E33="!!!"),"",IF(NOT(ISNA(VLOOKUP(E33,E$1:E32,1,FALSE()))),"OLD",IF(AND(E33&lt;&gt;"",E33&lt;&gt;"!!!"),"NEW","")))</f>
        <v/>
      </c>
      <c r="G33" s="11" t="str">
        <f>IF(OR(E33="",E33="!!!"),"",IF(OR(J33=0,AND(J33=1,K33=1),AND(J33=1,I33="SBJ"),AND(J33=1,I33=0)),"?IN_FOCUS",IF(J33&lt;=2,"?ACTIVATED",IF(J33&lt;&gt;"","?FAMILIAR",IF(F33="NEW",IF(ISNA(VLOOKUP(E33,#REF!,1,FALSE())),"?TYPE_IDENTIFIABLE","?REFERENTIAL"),"_")))))</f>
        <v/>
      </c>
      <c r="H33" s="12" t="str">
        <f t="shared" si="1"/>
        <v/>
      </c>
      <c r="L33" s="15"/>
    </row>
    <row r="34" spans="1:12" x14ac:dyDescent="0.35">
      <c r="A34" t="s">
        <v>54</v>
      </c>
      <c r="E34" s="9" t="str">
        <f t="shared" si="0"/>
        <v/>
      </c>
      <c r="F34" s="10" t="str">
        <f>IF(OR(E34="",E34="!!!"),"",IF(NOT(ISNA(VLOOKUP(E34,E$1:E33,1,FALSE()))),"OLD",IF(AND(E34&lt;&gt;"",E34&lt;&gt;"!!!"),"NEW","")))</f>
        <v/>
      </c>
      <c r="G34" s="11" t="str">
        <f>IF(OR(E34="",E34="!!!"),"",IF(OR(J34=0,AND(J34=1,K34=1),AND(J34=1,I34="SBJ"),AND(J34=1,I34=0)),"?IN_FOCUS",IF(J34&lt;=2,"?ACTIVATED",IF(J34&lt;&gt;"","?FAMILIAR",IF(F34="NEW",IF(ISNA(VLOOKUP(E34,#REF!,1,FALSE())),"?TYPE_IDENTIFIABLE","?REFERENTIAL"),"_")))))</f>
        <v/>
      </c>
      <c r="H34" s="12" t="str">
        <f t="shared" si="1"/>
        <v/>
      </c>
      <c r="L34" s="15"/>
    </row>
    <row r="35" spans="1:12" x14ac:dyDescent="0.35">
      <c r="A35" t="s">
        <v>55</v>
      </c>
      <c r="B35" t="s">
        <v>56</v>
      </c>
      <c r="C35" t="s">
        <v>37</v>
      </c>
      <c r="E35" s="9" t="str">
        <f t="shared" si="0"/>
        <v/>
      </c>
      <c r="F35" s="10" t="str">
        <f>IF(OR(E35="",E35="!!!"),"",IF(NOT(ISNA(VLOOKUP(E35,E$1:E34,1,FALSE()))),"OLD",IF(AND(E35&lt;&gt;"",E35&lt;&gt;"!!!"),"NEW","")))</f>
        <v/>
      </c>
      <c r="G35" s="11" t="str">
        <f>IF(OR(E35="",E35="!!!"),"",IF(OR(J35=0,AND(J35=1,K35=1),AND(J35=1,I35="SBJ"),AND(J35=1,I35=0)),"?IN_FOCUS",IF(J35&lt;=2,"?ACTIVATED",IF(J35&lt;&gt;"","?FAMILIAR",IF(F35="NEW",IF(ISNA(VLOOKUP(E35,#REF!,1,FALSE())),"?TYPE_IDENTIFIABLE","?REFERENTIAL"),"_")))))</f>
        <v/>
      </c>
      <c r="H35" s="12" t="str">
        <f t="shared" si="1"/>
        <v/>
      </c>
      <c r="L35" s="15"/>
    </row>
    <row r="36" spans="1:12" x14ac:dyDescent="0.35">
      <c r="A36" t="s">
        <v>57</v>
      </c>
      <c r="E36" s="9" t="str">
        <f t="shared" si="0"/>
        <v/>
      </c>
      <c r="F36" s="10" t="str">
        <f>IF(OR(E36="",E36="!!!"),"",IF(NOT(ISNA(VLOOKUP(E36,E$1:E35,1,FALSE()))),"OLD",IF(AND(E36&lt;&gt;"",E36&lt;&gt;"!!!"),"NEW","")))</f>
        <v/>
      </c>
      <c r="G36" s="11" t="str">
        <f>IF(OR(E36="",E36="!!!"),"",IF(OR(J36=0,AND(J36=1,K36=1),AND(J36=1,I36="SBJ"),AND(J36=1,I36=0)),"?IN_FOCUS",IF(J36&lt;=2,"?ACTIVATED",IF(J36&lt;&gt;"","?FAMILIAR",IF(F36="NEW",IF(ISNA(VLOOKUP(E36,#REF!,1,FALSE())),"?TYPE_IDENTIFIABLE","?REFERENTIAL"),"_")))))</f>
        <v/>
      </c>
      <c r="H36" s="12" t="str">
        <f t="shared" si="1"/>
        <v/>
      </c>
      <c r="L36" s="15"/>
    </row>
    <row r="37" spans="1:12" x14ac:dyDescent="0.35">
      <c r="A37" t="s">
        <v>58</v>
      </c>
      <c r="E37" s="9" t="str">
        <f t="shared" si="0"/>
        <v/>
      </c>
      <c r="F37" s="10" t="str">
        <f>IF(OR(E37="",E37="!!!"),"",IF(NOT(ISNA(VLOOKUP(E37,E$1:E36,1,FALSE()))),"OLD",IF(AND(E37&lt;&gt;"",E37&lt;&gt;"!!!"),"NEW","")))</f>
        <v/>
      </c>
      <c r="G37" s="11" t="str">
        <f>IF(OR(E37="",E37="!!!"),"",IF(OR(J37=0,AND(J37=1,K37=1),AND(J37=1,I37="SBJ"),AND(J37=1,I37=0)),"?IN_FOCUS",IF(J37&lt;=2,"?ACTIVATED",IF(J37&lt;&gt;"","?FAMILIAR",IF(F37="NEW",IF(ISNA(VLOOKUP(E37,#REF!,1,FALSE())),"?TYPE_IDENTIFIABLE","?REFERENTIAL"),"_")))))</f>
        <v/>
      </c>
      <c r="H37" s="12" t="str">
        <f t="shared" si="1"/>
        <v/>
      </c>
      <c r="L37" s="15"/>
    </row>
    <row r="38" spans="1:12" x14ac:dyDescent="0.35">
      <c r="A38" t="s">
        <v>59</v>
      </c>
      <c r="B38" t="s">
        <v>56</v>
      </c>
      <c r="C38" t="s">
        <v>15</v>
      </c>
      <c r="D38" t="s">
        <v>16</v>
      </c>
      <c r="E38" s="9" t="s">
        <v>262</v>
      </c>
      <c r="F38" s="10" t="s">
        <v>876</v>
      </c>
      <c r="G38" s="11"/>
      <c r="H38" s="12" t="str">
        <f t="shared" si="1"/>
        <v/>
      </c>
      <c r="L38" s="15"/>
    </row>
    <row r="39" spans="1:12" x14ac:dyDescent="0.35">
      <c r="A39" t="s">
        <v>17</v>
      </c>
      <c r="E39" s="9" t="str">
        <f t="shared" si="0"/>
        <v/>
      </c>
      <c r="F39" s="10" t="str">
        <f>IF(OR(E39="",E39="!!!"),"",IF(NOT(ISNA(VLOOKUP(E39,E$1:E38,1,FALSE()))),"OLD",IF(AND(E39&lt;&gt;"",E39&lt;&gt;"!!!"),"NEW","")))</f>
        <v/>
      </c>
      <c r="G39" s="11" t="str">
        <f>IF(OR(E39="",E39="!!!"),"",IF(OR(J39=0,AND(J39=1,K39=1),AND(J39=1,I39="SBJ"),AND(J39=1,I39=0)),"?IN_FOCUS",IF(J39&lt;=2,"?ACTIVATED",IF(J39&lt;&gt;"","?FAMILIAR",IF(F39="NEW",IF(ISNA(VLOOKUP(E39,#REF!,1,FALSE())),"?TYPE_IDENTIFIABLE","?REFERENTIAL"),"_")))))</f>
        <v/>
      </c>
      <c r="H39" s="12" t="str">
        <f t="shared" si="1"/>
        <v/>
      </c>
      <c r="L39" s="15"/>
    </row>
    <row r="40" spans="1:12" x14ac:dyDescent="0.35">
      <c r="A40" t="s">
        <v>60</v>
      </c>
      <c r="B40" t="s">
        <v>61</v>
      </c>
      <c r="C40" t="s">
        <v>49</v>
      </c>
      <c r="D40" t="s">
        <v>867</v>
      </c>
      <c r="E40" s="9" t="s">
        <v>51</v>
      </c>
      <c r="F40" s="10" t="str">
        <f>IF(OR(E40="",E40="!!!"),"",IF(NOT(ISNA(VLOOKUP(E40,E$1:E39,1,FALSE()))),"OLD",IF(AND(E40&lt;&gt;"",E40&lt;&gt;"!!!"),"NEW","")))</f>
        <v>OLD</v>
      </c>
      <c r="G40" s="11" t="s">
        <v>875</v>
      </c>
      <c r="H40" s="12" t="str">
        <f t="shared" si="1"/>
        <v/>
      </c>
      <c r="L40" s="15"/>
    </row>
    <row r="41" spans="1:12" x14ac:dyDescent="0.35">
      <c r="A41" t="s">
        <v>62</v>
      </c>
      <c r="B41" t="s">
        <v>48</v>
      </c>
      <c r="C41" t="s">
        <v>15</v>
      </c>
      <c r="D41" t="s">
        <v>16</v>
      </c>
      <c r="E41" s="9" t="s">
        <v>262</v>
      </c>
      <c r="F41" s="10" t="s">
        <v>876</v>
      </c>
      <c r="G41" s="11"/>
      <c r="H41" s="12" t="str">
        <f t="shared" si="1"/>
        <v/>
      </c>
      <c r="L41" s="15"/>
    </row>
    <row r="42" spans="1:12" x14ac:dyDescent="0.35">
      <c r="A42" t="s">
        <v>63</v>
      </c>
      <c r="E42" s="9" t="str">
        <f t="shared" si="0"/>
        <v/>
      </c>
      <c r="F42" s="10" t="str">
        <f>IF(OR(E42="",E42="!!!"),"",IF(NOT(ISNA(VLOOKUP(E42,E$1:E41,1,FALSE()))),"OLD",IF(AND(E42&lt;&gt;"",E42&lt;&gt;"!!!"),"NEW","")))</f>
        <v/>
      </c>
      <c r="G42" s="11" t="str">
        <f>IF(OR(E42="",E42="!!!"),"",IF(OR(J42=0,AND(J42=1,K42=1),AND(J42=1,I42="SBJ"),AND(J42=1,I42=0)),"?IN_FOCUS",IF(J42&lt;=2,"?ACTIVATED",IF(J42&lt;&gt;"","?FAMILIAR",IF(F42="NEW",IF(ISNA(VLOOKUP(E42,#REF!,1,FALSE())),"?TYPE_IDENTIFIABLE","?REFERENTIAL"),"_")))))</f>
        <v/>
      </c>
      <c r="H42" s="12" t="str">
        <f t="shared" si="1"/>
        <v/>
      </c>
      <c r="L42" s="15"/>
    </row>
    <row r="43" spans="1:12" x14ac:dyDescent="0.35">
      <c r="E43" s="9" t="str">
        <f t="shared" si="0"/>
        <v/>
      </c>
      <c r="F43" s="10" t="str">
        <f>IF(OR(E43="",E43="!!!"),"",IF(NOT(ISNA(VLOOKUP(E43,E$1:E42,1,FALSE()))),"OLD",IF(AND(E43&lt;&gt;"",E43&lt;&gt;"!!!"),"NEW","")))</f>
        <v/>
      </c>
      <c r="G43" s="11" t="str">
        <f>IF(OR(E43="",E43="!!!"),"",IF(OR(J43=0,AND(J43=1,K43=1),AND(J43=1,I43="SBJ"),AND(J43=1,I43=0)),"?IN_FOCUS",IF(J43&lt;=2,"?ACTIVATED",IF(J43&lt;&gt;"","?FAMILIAR",IF(F43="NEW",IF(ISNA(VLOOKUP(E43,#REF!,1,FALSE())),"?TYPE_IDENTIFIABLE","?REFERENTIAL"),"_")))))</f>
        <v/>
      </c>
      <c r="H43" s="12" t="str">
        <f t="shared" si="1"/>
        <v/>
      </c>
      <c r="L43" s="15"/>
    </row>
    <row r="44" spans="1:12" x14ac:dyDescent="0.35">
      <c r="A44" t="s">
        <v>64</v>
      </c>
      <c r="E44" s="9" t="str">
        <f t="shared" si="0"/>
        <v/>
      </c>
      <c r="F44" s="10" t="str">
        <f>IF(OR(E44="",E44="!!!"),"",IF(NOT(ISNA(VLOOKUP(E44,E$1:E43,1,FALSE()))),"OLD",IF(AND(E44&lt;&gt;"",E44&lt;&gt;"!!!"),"NEW","")))</f>
        <v/>
      </c>
      <c r="G44" s="11" t="str">
        <f>IF(OR(E44="",E44="!!!"),"",IF(OR(J44=0,AND(J44=1,K44=1),AND(J44=1,I44="SBJ"),AND(J44=1,I44=0)),"?IN_FOCUS",IF(J44&lt;=2,"?ACTIVATED",IF(J44&lt;&gt;"","?FAMILIAR",IF(F44="NEW",IF(ISNA(VLOOKUP(E44,#REF!,1,FALSE())),"?TYPE_IDENTIFIABLE","?REFERENTIAL"),"_")))))</f>
        <v/>
      </c>
      <c r="H44" s="12" t="str">
        <f t="shared" si="1"/>
        <v/>
      </c>
      <c r="L44" s="15"/>
    </row>
    <row r="45" spans="1:12" x14ac:dyDescent="0.35">
      <c r="A45" t="s">
        <v>65</v>
      </c>
      <c r="E45" s="9" t="str">
        <f t="shared" si="0"/>
        <v/>
      </c>
      <c r="F45" s="10" t="str">
        <f>IF(OR(E45="",E45="!!!"),"",IF(NOT(ISNA(VLOOKUP(E45,E$1:E44,1,FALSE()))),"OLD",IF(AND(E45&lt;&gt;"",E45&lt;&gt;"!!!"),"NEW","")))</f>
        <v/>
      </c>
      <c r="G45" s="11" t="str">
        <f>IF(OR(E45="",E45="!!!"),"",IF(OR(J45=0,AND(J45=1,K45=1),AND(J45=1,I45="SBJ"),AND(J45=1,I45=0)),"?IN_FOCUS",IF(J45&lt;=2,"?ACTIVATED",IF(J45&lt;&gt;"","?FAMILIAR",IF(F45="NEW",IF(ISNA(VLOOKUP(E45,#REF!,1,FALSE())),"?TYPE_IDENTIFIABLE","?REFERENTIAL"),"_")))))</f>
        <v/>
      </c>
      <c r="H45" s="12" t="str">
        <f t="shared" si="1"/>
        <v/>
      </c>
      <c r="L45" s="15"/>
    </row>
    <row r="46" spans="1:12" x14ac:dyDescent="0.35">
      <c r="A46" t="s">
        <v>31</v>
      </c>
      <c r="B46" t="s">
        <v>14</v>
      </c>
      <c r="C46" t="s">
        <v>33</v>
      </c>
      <c r="D46" t="s">
        <v>869</v>
      </c>
      <c r="E46" s="9" t="s">
        <v>871</v>
      </c>
      <c r="F46" s="10" t="str">
        <f>IF(OR(E46="",E46="!!!"),"",IF(NOT(ISNA(VLOOKUP(E46,E$1:E45,1,FALSE()))),"OLD",IF(AND(E46&lt;&gt;"",E46&lt;&gt;"!!!"),"NEW","")))</f>
        <v>OLD</v>
      </c>
      <c r="G46" s="11" t="s">
        <v>870</v>
      </c>
      <c r="H46" s="12" t="str">
        <f t="shared" si="1"/>
        <v/>
      </c>
      <c r="L46" s="15"/>
    </row>
    <row r="47" spans="1:12" x14ac:dyDescent="0.35">
      <c r="A47" t="s">
        <v>66</v>
      </c>
      <c r="E47" s="9" t="str">
        <f t="shared" si="0"/>
        <v/>
      </c>
      <c r="F47" s="10" t="str">
        <f>IF(OR(E47="",E47="!!!"),"",IF(NOT(ISNA(VLOOKUP(E47,E$1:E46,1,FALSE()))),"OLD",IF(AND(E47&lt;&gt;"",E47&lt;&gt;"!!!"),"NEW","")))</f>
        <v/>
      </c>
      <c r="G47" s="11" t="str">
        <f>IF(OR(E47="",E47="!!!"),"",IF(OR(J47=0,AND(J47=1,K47=1),AND(J47=1,I47="SBJ"),AND(J47=1,I47=0)),"?IN_FOCUS",IF(J47&lt;=2,"?ACTIVATED",IF(J47&lt;&gt;"","?FAMILIAR",IF(F47="NEW",IF(ISNA(VLOOKUP(E47,#REF!,1,FALSE())),"?TYPE_IDENTIFIABLE","?REFERENTIAL"),"_")))))</f>
        <v/>
      </c>
      <c r="H47" s="12" t="str">
        <f t="shared" si="1"/>
        <v/>
      </c>
      <c r="L47" s="15"/>
    </row>
    <row r="48" spans="1:12" x14ac:dyDescent="0.35">
      <c r="A48" t="s">
        <v>67</v>
      </c>
      <c r="E48" s="9" t="str">
        <f t="shared" si="0"/>
        <v/>
      </c>
      <c r="F48" s="10" t="str">
        <f>IF(OR(E48="",E48="!!!"),"",IF(NOT(ISNA(VLOOKUP(E48,E$1:E47,1,FALSE()))),"OLD",IF(AND(E48&lt;&gt;"",E48&lt;&gt;"!!!"),"NEW","")))</f>
        <v/>
      </c>
      <c r="G48" s="11" t="str">
        <f>IF(OR(E48="",E48="!!!"),"",IF(OR(J48=0,AND(J48=1,K48=1),AND(J48=1,I48="SBJ"),AND(J48=1,I48=0)),"?IN_FOCUS",IF(J48&lt;=2,"?ACTIVATED",IF(J48&lt;&gt;"","?FAMILIAR",IF(F48="NEW",IF(ISNA(VLOOKUP(E48,#REF!,1,FALSE())),"?TYPE_IDENTIFIABLE","?REFERENTIAL"),"_")))))</f>
        <v/>
      </c>
      <c r="H48" s="12" t="str">
        <f t="shared" si="1"/>
        <v/>
      </c>
      <c r="L48" s="15"/>
    </row>
    <row r="49" spans="1:12" x14ac:dyDescent="0.35">
      <c r="A49" t="s">
        <v>68</v>
      </c>
      <c r="E49" s="9" t="str">
        <f t="shared" si="0"/>
        <v/>
      </c>
      <c r="F49" s="10" t="str">
        <f>IF(OR(E49="",E49="!!!"),"",IF(NOT(ISNA(VLOOKUP(E49,E$1:E48,1,FALSE()))),"OLD",IF(AND(E49&lt;&gt;"",E49&lt;&gt;"!!!"),"NEW","")))</f>
        <v/>
      </c>
      <c r="G49" s="11" t="str">
        <f>IF(OR(E49="",E49="!!!"),"",IF(OR(J49=0,AND(J49=1,K49=1),AND(J49=1,I49="SBJ"),AND(J49=1,I49=0)),"?IN_FOCUS",IF(J49&lt;=2,"?ACTIVATED",IF(J49&lt;&gt;"","?FAMILIAR",IF(F49="NEW",IF(ISNA(VLOOKUP(E49,#REF!,1,FALSE())),"?TYPE_IDENTIFIABLE","?REFERENTIAL"),"_")))))</f>
        <v/>
      </c>
      <c r="H49" s="12" t="str">
        <f t="shared" si="1"/>
        <v/>
      </c>
      <c r="L49" s="15"/>
    </row>
    <row r="50" spans="1:12" x14ac:dyDescent="0.35">
      <c r="A50" t="s">
        <v>69</v>
      </c>
      <c r="E50" s="9" t="str">
        <f t="shared" si="0"/>
        <v/>
      </c>
      <c r="F50" s="10" t="str">
        <f>IF(OR(E50="",E50="!!!"),"",IF(NOT(ISNA(VLOOKUP(E50,E$1:E49,1,FALSE()))),"OLD",IF(AND(E50&lt;&gt;"",E50&lt;&gt;"!!!"),"NEW","")))</f>
        <v/>
      </c>
      <c r="G50" s="11" t="str">
        <f>IF(OR(E50="",E50="!!!"),"",IF(OR(J50=0,AND(J50=1,K50=1),AND(J50=1,I50="SBJ"),AND(J50=1,I50=0)),"?IN_FOCUS",IF(J50&lt;=2,"?ACTIVATED",IF(J50&lt;&gt;"","?FAMILIAR",IF(F50="NEW",IF(ISNA(VLOOKUP(E50,#REF!,1,FALSE())),"?TYPE_IDENTIFIABLE","?REFERENTIAL"),"_")))))</f>
        <v/>
      </c>
      <c r="H50" s="12" t="str">
        <f t="shared" si="1"/>
        <v/>
      </c>
      <c r="L50" s="15"/>
    </row>
    <row r="51" spans="1:12" x14ac:dyDescent="0.35">
      <c r="A51" t="s">
        <v>47</v>
      </c>
      <c r="B51" t="s">
        <v>24</v>
      </c>
      <c r="C51" t="s">
        <v>49</v>
      </c>
      <c r="D51" t="s">
        <v>869</v>
      </c>
      <c r="E51" s="9" t="s">
        <v>868</v>
      </c>
      <c r="F51" s="10" t="str">
        <f>IF(OR(E51="",E51="!!!"),"",IF(NOT(ISNA(VLOOKUP(E51,E$1:E50,1,FALSE()))),"OLD",IF(AND(E51&lt;&gt;"",E51&lt;&gt;"!!!"),"NEW","")))</f>
        <v>OLD</v>
      </c>
      <c r="G51" s="11" t="s">
        <v>877</v>
      </c>
      <c r="H51" s="12" t="str">
        <f t="shared" si="1"/>
        <v/>
      </c>
      <c r="L51" s="15"/>
    </row>
    <row r="52" spans="1:12" x14ac:dyDescent="0.35">
      <c r="A52" t="s">
        <v>70</v>
      </c>
      <c r="E52" s="9" t="str">
        <f t="shared" si="0"/>
        <v/>
      </c>
      <c r="F52" s="10" t="str">
        <f>IF(OR(E52="",E52="!!!"),"",IF(NOT(ISNA(VLOOKUP(E52,E$1:E51,1,FALSE()))),"OLD",IF(AND(E52&lt;&gt;"",E52&lt;&gt;"!!!"),"NEW","")))</f>
        <v/>
      </c>
      <c r="G52" s="11" t="str">
        <f>IF(OR(E52="",E52="!!!"),"",IF(OR(J52=0,AND(J52=1,K52=1),AND(J52=1,I52="SBJ"),AND(J52=1,I52=0)),"?IN_FOCUS",IF(J52&lt;=2,"?ACTIVATED",IF(J52&lt;&gt;"","?FAMILIAR",IF(F52="NEW",IF(ISNA(VLOOKUP(E52,#REF!,1,FALSE())),"?TYPE_IDENTIFIABLE","?REFERENTIAL"),"_")))))</f>
        <v/>
      </c>
      <c r="H52" s="12" t="str">
        <f t="shared" si="1"/>
        <v/>
      </c>
      <c r="L52" s="15"/>
    </row>
    <row r="53" spans="1:12" x14ac:dyDescent="0.35">
      <c r="A53" t="s">
        <v>71</v>
      </c>
      <c r="E53" s="9" t="str">
        <f t="shared" si="0"/>
        <v/>
      </c>
      <c r="F53" s="10" t="str">
        <f>IF(OR(E53="",E53="!!!"),"",IF(NOT(ISNA(VLOOKUP(E53,E$1:E52,1,FALSE()))),"OLD",IF(AND(E53&lt;&gt;"",E53&lt;&gt;"!!!"),"NEW","")))</f>
        <v/>
      </c>
      <c r="G53" s="11" t="str">
        <f>IF(OR(E53="",E53="!!!"),"",IF(OR(J53=0,AND(J53=1,K53=1),AND(J53=1,I53="SBJ"),AND(J53=1,I53=0)),"?IN_FOCUS",IF(J53&lt;=2,"?ACTIVATED",IF(J53&lt;&gt;"","?FAMILIAR",IF(F53="NEW",IF(ISNA(VLOOKUP(E53,#REF!,1,FALSE())),"?TYPE_IDENTIFIABLE","?REFERENTIAL"),"_")))))</f>
        <v/>
      </c>
      <c r="H53" s="12" t="str">
        <f t="shared" si="1"/>
        <v/>
      </c>
      <c r="L53" s="15"/>
    </row>
    <row r="54" spans="1:12" x14ac:dyDescent="0.35">
      <c r="A54" t="s">
        <v>72</v>
      </c>
      <c r="B54" t="s">
        <v>54</v>
      </c>
      <c r="C54" t="s">
        <v>15</v>
      </c>
      <c r="D54" t="s">
        <v>16</v>
      </c>
      <c r="E54" s="9" t="s">
        <v>262</v>
      </c>
      <c r="F54" s="10" t="s">
        <v>878</v>
      </c>
      <c r="G54" s="11"/>
      <c r="H54" s="12" t="str">
        <f t="shared" si="1"/>
        <v/>
      </c>
      <c r="L54" s="15"/>
    </row>
    <row r="55" spans="1:12" x14ac:dyDescent="0.35">
      <c r="A55" t="s">
        <v>26</v>
      </c>
      <c r="E55" s="9" t="str">
        <f t="shared" si="0"/>
        <v/>
      </c>
      <c r="F55" s="10" t="str">
        <f>IF(OR(E55="",E55="!!!"),"",IF(NOT(ISNA(VLOOKUP(E55,E$1:E54,1,FALSE()))),"OLD",IF(AND(E55&lt;&gt;"",E55&lt;&gt;"!!!"),"NEW","")))</f>
        <v/>
      </c>
      <c r="G55" s="11" t="str">
        <f>IF(OR(E55="",E55="!!!"),"",IF(OR(J55=0,AND(J55=1,K55=1),AND(J55=1,I55="SBJ"),AND(J55=1,I55=0)),"?IN_FOCUS",IF(J55&lt;=2,"?ACTIVATED",IF(J55&lt;&gt;"","?FAMILIAR",IF(F55="NEW",IF(ISNA(VLOOKUP(E55,#REF!,1,FALSE())),"?TYPE_IDENTIFIABLE","?REFERENTIAL"),"_")))))</f>
        <v/>
      </c>
      <c r="H55" s="12" t="str">
        <f t="shared" si="1"/>
        <v/>
      </c>
      <c r="L55" s="15"/>
    </row>
    <row r="56" spans="1:12" x14ac:dyDescent="0.35">
      <c r="A56" t="s">
        <v>73</v>
      </c>
      <c r="B56" t="s">
        <v>41</v>
      </c>
      <c r="E56" s="9" t="str">
        <f t="shared" si="0"/>
        <v/>
      </c>
      <c r="F56" s="10" t="str">
        <f>IF(OR(E56="",E56="!!!"),"",IF(NOT(ISNA(VLOOKUP(E56,E$1:E55,1,FALSE()))),"OLD",IF(AND(E56&lt;&gt;"",E56&lt;&gt;"!!!"),"NEW","")))</f>
        <v/>
      </c>
      <c r="G56" s="11" t="str">
        <f>IF(OR(E56="",E56="!!!"),"",IF(OR(J56=0,AND(J56=1,K56=1),AND(J56=1,I56="SBJ"),AND(J56=1,I56=0)),"?IN_FOCUS",IF(J56&lt;=2,"?ACTIVATED",IF(J56&lt;&gt;"","?FAMILIAR",IF(F56="NEW",IF(ISNA(VLOOKUP(E56,#REF!,1,FALSE())),"?TYPE_IDENTIFIABLE","?REFERENTIAL"),"_")))))</f>
        <v/>
      </c>
      <c r="H56" s="12" t="str">
        <f t="shared" si="1"/>
        <v/>
      </c>
      <c r="L56" s="15"/>
    </row>
    <row r="57" spans="1:12" x14ac:dyDescent="0.35">
      <c r="A57" t="s">
        <v>74</v>
      </c>
      <c r="E57" s="9" t="str">
        <f t="shared" si="0"/>
        <v/>
      </c>
      <c r="F57" s="10" t="str">
        <f>IF(OR(E57="",E57="!!!"),"",IF(NOT(ISNA(VLOOKUP(E57,E$1:E56,1,FALSE()))),"OLD",IF(AND(E57&lt;&gt;"",E57&lt;&gt;"!!!"),"NEW","")))</f>
        <v/>
      </c>
      <c r="G57" s="11" t="str">
        <f>IF(OR(E57="",E57="!!!"),"",IF(OR(J57=0,AND(J57=1,K57=1),AND(J57=1,I57="SBJ"),AND(J57=1,I57=0)),"?IN_FOCUS",IF(J57&lt;=2,"?ACTIVATED",IF(J57&lt;&gt;"","?FAMILIAR",IF(F57="NEW",IF(ISNA(VLOOKUP(E57,#REF!,1,FALSE())),"?TYPE_IDENTIFIABLE","?REFERENTIAL"),"_")))))</f>
        <v/>
      </c>
      <c r="H57" s="12" t="str">
        <f t="shared" si="1"/>
        <v/>
      </c>
      <c r="L57" s="15"/>
    </row>
    <row r="58" spans="1:12" x14ac:dyDescent="0.35">
      <c r="A58" t="s">
        <v>45</v>
      </c>
      <c r="E58" s="9" t="str">
        <f t="shared" si="0"/>
        <v/>
      </c>
      <c r="F58" s="10" t="str">
        <f>IF(OR(E58="",E58="!!!"),"",IF(NOT(ISNA(VLOOKUP(E58,E$1:E57,1,FALSE()))),"OLD",IF(AND(E58&lt;&gt;"",E58&lt;&gt;"!!!"),"NEW","")))</f>
        <v/>
      </c>
      <c r="G58" s="11" t="str">
        <f>IF(OR(E58="",E58="!!!"),"",IF(OR(J58=0,AND(J58=1,K58=1),AND(J58=1,I58="SBJ"),AND(J58=1,I58=0)),"?IN_FOCUS",IF(J58&lt;=2,"?ACTIVATED",IF(J58&lt;&gt;"","?FAMILIAR",IF(F58="NEW",IF(ISNA(VLOOKUP(E58,#REF!,1,FALSE())),"?TYPE_IDENTIFIABLE","?REFERENTIAL"),"_")))))</f>
        <v/>
      </c>
      <c r="H58" s="12" t="str">
        <f t="shared" si="1"/>
        <v/>
      </c>
      <c r="L58" s="15"/>
    </row>
    <row r="59" spans="1:12" x14ac:dyDescent="0.35">
      <c r="A59" t="s">
        <v>75</v>
      </c>
      <c r="E59" s="9" t="str">
        <f t="shared" si="0"/>
        <v/>
      </c>
      <c r="F59" s="10" t="str">
        <f>IF(OR(E59="",E59="!!!"),"",IF(NOT(ISNA(VLOOKUP(E59,E$1:E58,1,FALSE()))),"OLD",IF(AND(E59&lt;&gt;"",E59&lt;&gt;"!!!"),"NEW","")))</f>
        <v/>
      </c>
      <c r="G59" s="11" t="str">
        <f>IF(OR(E59="",E59="!!!"),"",IF(OR(J59=0,AND(J59=1,K59=1),AND(J59=1,I59="SBJ"),AND(J59=1,I59=0)),"?IN_FOCUS",IF(J59&lt;=2,"?ACTIVATED",IF(J59&lt;&gt;"","?FAMILIAR",IF(F59="NEW",IF(ISNA(VLOOKUP(E59,#REF!,1,FALSE())),"?TYPE_IDENTIFIABLE","?REFERENTIAL"),"_")))))</f>
        <v/>
      </c>
      <c r="H59" s="12" t="str">
        <f t="shared" si="1"/>
        <v/>
      </c>
      <c r="L59" s="15"/>
    </row>
    <row r="60" spans="1:12" x14ac:dyDescent="0.35">
      <c r="A60" t="s">
        <v>76</v>
      </c>
      <c r="E60" s="9" t="str">
        <f t="shared" si="0"/>
        <v/>
      </c>
      <c r="F60" s="10" t="str">
        <f>IF(OR(E60="",E60="!!!"),"",IF(NOT(ISNA(VLOOKUP(E60,E$1:E59,1,FALSE()))),"OLD",IF(AND(E60&lt;&gt;"",E60&lt;&gt;"!!!"),"NEW","")))</f>
        <v/>
      </c>
      <c r="G60" s="11" t="str">
        <f>IF(OR(E60="",E60="!!!"),"",IF(OR(J60=0,AND(J60=1,K60=1),AND(J60=1,I60="SBJ"),AND(J60=1,I60=0)),"?IN_FOCUS",IF(J60&lt;=2,"?ACTIVATED",IF(J60&lt;&gt;"","?FAMILIAR",IF(F60="NEW",IF(ISNA(VLOOKUP(E60,#REF!,1,FALSE())),"?TYPE_IDENTIFIABLE","?REFERENTIAL"),"_")))))</f>
        <v/>
      </c>
      <c r="H60" s="12" t="str">
        <f t="shared" si="1"/>
        <v/>
      </c>
      <c r="L60" s="15"/>
    </row>
    <row r="61" spans="1:12" x14ac:dyDescent="0.35">
      <c r="A61" t="s">
        <v>77</v>
      </c>
      <c r="E61" s="9" t="str">
        <f t="shared" si="0"/>
        <v/>
      </c>
      <c r="F61" s="10" t="str">
        <f>IF(OR(E61="",E61="!!!"),"",IF(NOT(ISNA(VLOOKUP(E61,E$1:E60,1,FALSE()))),"OLD",IF(AND(E61&lt;&gt;"",E61&lt;&gt;"!!!"),"NEW","")))</f>
        <v/>
      </c>
      <c r="G61" s="11" t="str">
        <f>IF(OR(E61="",E61="!!!"),"",IF(OR(J61=0,AND(J61=1,K61=1),AND(J61=1,I61="SBJ"),AND(J61=1,I61=0)),"?IN_FOCUS",IF(J61&lt;=2,"?ACTIVATED",IF(J61&lt;&gt;"","?FAMILIAR",IF(F61="NEW",IF(ISNA(VLOOKUP(E61,#REF!,1,FALSE())),"?TYPE_IDENTIFIABLE","?REFERENTIAL"),"_")))))</f>
        <v/>
      </c>
      <c r="H61" s="12" t="str">
        <f t="shared" si="1"/>
        <v/>
      </c>
      <c r="L61" s="15"/>
    </row>
    <row r="62" spans="1:12" x14ac:dyDescent="0.35">
      <c r="A62" t="s">
        <v>78</v>
      </c>
      <c r="B62" t="s">
        <v>79</v>
      </c>
      <c r="C62" t="s">
        <v>80</v>
      </c>
      <c r="D62" t="s">
        <v>867</v>
      </c>
      <c r="E62" s="9" t="s">
        <v>262</v>
      </c>
      <c r="F62" s="10" t="s">
        <v>876</v>
      </c>
      <c r="G62" s="11"/>
      <c r="H62" s="12" t="str">
        <f t="shared" si="1"/>
        <v/>
      </c>
      <c r="L62" s="15"/>
    </row>
    <row r="63" spans="1:12" x14ac:dyDescent="0.35">
      <c r="A63" t="s">
        <v>81</v>
      </c>
      <c r="B63" t="s">
        <v>82</v>
      </c>
      <c r="E63" s="9" t="str">
        <f t="shared" si="0"/>
        <v/>
      </c>
      <c r="F63" s="10" t="str">
        <f>IF(OR(E63="",E63="!!!"),"",IF(NOT(ISNA(VLOOKUP(E63,E$1:E62,1,FALSE()))),"OLD",IF(AND(E63&lt;&gt;"",E63&lt;&gt;"!!!"),"NEW","")))</f>
        <v/>
      </c>
      <c r="G63" s="11" t="str">
        <f>IF(OR(E63="",E63="!!!"),"",IF(OR(J63=0,AND(J63=1,K63=1),AND(J63=1,I63="SBJ"),AND(J63=1,I63=0)),"?IN_FOCUS",IF(J63&lt;=2,"?ACTIVATED",IF(J63&lt;&gt;"","?FAMILIAR",IF(F63="NEW",IF(ISNA(VLOOKUP(E63,#REF!,1,FALSE())),"?TYPE_IDENTIFIABLE","?REFERENTIAL"),"_")))))</f>
        <v/>
      </c>
      <c r="H63" s="12" t="str">
        <f t="shared" si="1"/>
        <v/>
      </c>
      <c r="L63" s="15"/>
    </row>
    <row r="64" spans="1:12" x14ac:dyDescent="0.35">
      <c r="A64" t="s">
        <v>83</v>
      </c>
      <c r="E64" s="9" t="str">
        <f t="shared" si="0"/>
        <v/>
      </c>
      <c r="F64" s="10" t="str">
        <f>IF(OR(E64="",E64="!!!"),"",IF(NOT(ISNA(VLOOKUP(E64,E$1:E63,1,FALSE()))),"OLD",IF(AND(E64&lt;&gt;"",E64&lt;&gt;"!!!"),"NEW","")))</f>
        <v/>
      </c>
      <c r="G64" s="11" t="str">
        <f>IF(OR(E64="",E64="!!!"),"",IF(OR(J64=0,AND(J64=1,K64=1),AND(J64=1,I64="SBJ"),AND(J64=1,I64=0)),"?IN_FOCUS",IF(J64&lt;=2,"?ACTIVATED",IF(J64&lt;&gt;"","?FAMILIAR",IF(F64="NEW",IF(ISNA(VLOOKUP(E64,#REF!,1,FALSE())),"?TYPE_IDENTIFIABLE","?REFERENTIAL"),"_")))))</f>
        <v/>
      </c>
      <c r="H64" s="12" t="str">
        <f t="shared" si="1"/>
        <v/>
      </c>
      <c r="L64" s="15"/>
    </row>
    <row r="65" spans="1:12" x14ac:dyDescent="0.35">
      <c r="A65" t="s">
        <v>84</v>
      </c>
      <c r="E65" s="9" t="str">
        <f t="shared" si="0"/>
        <v/>
      </c>
      <c r="F65" s="10" t="str">
        <f>IF(OR(E65="",E65="!!!"),"",IF(NOT(ISNA(VLOOKUP(E65,E$1:E64,1,FALSE()))),"OLD",IF(AND(E65&lt;&gt;"",E65&lt;&gt;"!!!"),"NEW","")))</f>
        <v/>
      </c>
      <c r="G65" s="11" t="str">
        <f>IF(OR(E65="",E65="!!!"),"",IF(OR(J65=0,AND(J65=1,K65=1),AND(J65=1,I65="SBJ"),AND(J65=1,I65=0)),"?IN_FOCUS",IF(J65&lt;=2,"?ACTIVATED",IF(J65&lt;&gt;"","?FAMILIAR",IF(F65="NEW",IF(ISNA(VLOOKUP(E65,#REF!,1,FALSE())),"?TYPE_IDENTIFIABLE","?REFERENTIAL"),"_")))))</f>
        <v/>
      </c>
      <c r="H65" s="12" t="str">
        <f t="shared" si="1"/>
        <v/>
      </c>
      <c r="L65" s="15"/>
    </row>
    <row r="66" spans="1:12" x14ac:dyDescent="0.35">
      <c r="A66" t="s">
        <v>85</v>
      </c>
      <c r="B66" t="s">
        <v>61</v>
      </c>
      <c r="C66" t="s">
        <v>33</v>
      </c>
      <c r="D66" t="s">
        <v>867</v>
      </c>
      <c r="E66" s="9" t="s">
        <v>868</v>
      </c>
      <c r="F66" s="10" t="str">
        <f>IF(OR(E66="",E66="!!!"),"",IF(NOT(ISNA(VLOOKUP(E66,E$1:E65,1,FALSE()))),"OLD",IF(AND(E66&lt;&gt;"",E66&lt;&gt;"!!!"),"NEW","")))</f>
        <v>OLD</v>
      </c>
      <c r="G66" s="11" t="s">
        <v>870</v>
      </c>
      <c r="H66" s="12" t="str">
        <f t="shared" si="1"/>
        <v/>
      </c>
      <c r="L66" s="15"/>
    </row>
    <row r="67" spans="1:12" x14ac:dyDescent="0.35">
      <c r="A67" t="s">
        <v>63</v>
      </c>
      <c r="E67" s="9" t="str">
        <f t="shared" si="0"/>
        <v/>
      </c>
      <c r="F67" s="10" t="str">
        <f>IF(OR(E67="",E67="!!!"),"",IF(NOT(ISNA(VLOOKUP(E67,E$1:E66,1,FALSE()))),"OLD",IF(AND(E67&lt;&gt;"",E67&lt;&gt;"!!!"),"NEW","")))</f>
        <v/>
      </c>
      <c r="G67" s="11" t="str">
        <f>IF(OR(E67="",E67="!!!"),"",IF(OR(J67=0,AND(J67=1,K67=1),AND(J67=1,I67="SBJ"),AND(J67=1,I67=0)),"?IN_FOCUS",IF(J67&lt;=2,"?ACTIVATED",IF(J67&lt;&gt;"","?FAMILIAR",IF(F67="NEW",IF(ISNA(VLOOKUP(E67,#REF!,1,FALSE())),"?TYPE_IDENTIFIABLE","?REFERENTIAL"),"_")))))</f>
        <v/>
      </c>
      <c r="H67" s="12" t="str">
        <f t="shared" si="1"/>
        <v/>
      </c>
      <c r="L67" s="15"/>
    </row>
    <row r="68" spans="1:12" x14ac:dyDescent="0.35">
      <c r="E68" s="9" t="str">
        <f t="shared" ref="E68:E131" si="2">IF(D68="?OLD","!!!","")</f>
        <v/>
      </c>
      <c r="F68" s="10" t="str">
        <f>IF(OR(E68="",E68="!!!"),"",IF(NOT(ISNA(VLOOKUP(E68,E$1:E67,1,FALSE()))),"OLD",IF(AND(E68&lt;&gt;"",E68&lt;&gt;"!!!"),"NEW","")))</f>
        <v/>
      </c>
      <c r="G68" s="11" t="str">
        <f>IF(OR(E68="",E68="!!!"),"",IF(OR(J68=0,AND(J68=1,K68=1),AND(J68=1,I68="SBJ"),AND(J68=1,I68=0)),"?IN_FOCUS",IF(J68&lt;=2,"?ACTIVATED",IF(J68&lt;&gt;"","?FAMILIAR",IF(F68="NEW",IF(ISNA(VLOOKUP(E68,#REF!,1,FALSE())),"?TYPE_IDENTIFIABLE","?REFERENTIAL"),"_")))))</f>
        <v/>
      </c>
      <c r="H68" s="12" t="str">
        <f t="shared" ref="H68:H131" si="3">IF(J68&lt;&gt;1,"",IF(I68="SBJ","CB","?"))</f>
        <v/>
      </c>
      <c r="L68" s="15"/>
    </row>
    <row r="69" spans="1:12" x14ac:dyDescent="0.35">
      <c r="A69" t="s">
        <v>86</v>
      </c>
      <c r="E69" s="9" t="str">
        <f t="shared" si="2"/>
        <v/>
      </c>
      <c r="F69" s="10" t="str">
        <f>IF(OR(E69="",E69="!!!"),"",IF(NOT(ISNA(VLOOKUP(E69,E$1:E68,1,FALSE()))),"OLD",IF(AND(E69&lt;&gt;"",E69&lt;&gt;"!!!"),"NEW","")))</f>
        <v/>
      </c>
      <c r="G69" s="11" t="str">
        <f>IF(OR(E69="",E69="!!!"),"",IF(OR(J69=0,AND(J69=1,K69=1),AND(J69=1,I69="SBJ"),AND(J69=1,I69=0)),"?IN_FOCUS",IF(J69&lt;=2,"?ACTIVATED",IF(J69&lt;&gt;"","?FAMILIAR",IF(F69="NEW",IF(ISNA(VLOOKUP(E69,#REF!,1,FALSE())),"?TYPE_IDENTIFIABLE","?REFERENTIAL"),"_")))))</f>
        <v/>
      </c>
      <c r="H69" s="12" t="str">
        <f t="shared" si="3"/>
        <v/>
      </c>
      <c r="L69" s="15"/>
    </row>
    <row r="70" spans="1:12" x14ac:dyDescent="0.35">
      <c r="A70" t="s">
        <v>65</v>
      </c>
      <c r="E70" s="9" t="str">
        <f t="shared" si="2"/>
        <v/>
      </c>
      <c r="F70" s="10" t="str">
        <f>IF(OR(E70="",E70="!!!"),"",IF(NOT(ISNA(VLOOKUP(E70,E$1:E69,1,FALSE()))),"OLD",IF(AND(E70&lt;&gt;"",E70&lt;&gt;"!!!"),"NEW","")))</f>
        <v/>
      </c>
      <c r="G70" s="11" t="str">
        <f>IF(OR(E70="",E70="!!!"),"",IF(OR(J70=0,AND(J70=1,K70=1),AND(J70=1,I70="SBJ"),AND(J70=1,I70=0)),"?IN_FOCUS",IF(J70&lt;=2,"?ACTIVATED",IF(J70&lt;&gt;"","?FAMILIAR",IF(F70="NEW",IF(ISNA(VLOOKUP(E70,#REF!,1,FALSE())),"?TYPE_IDENTIFIABLE","?REFERENTIAL"),"_")))))</f>
        <v/>
      </c>
      <c r="H70" s="12" t="str">
        <f t="shared" si="3"/>
        <v/>
      </c>
      <c r="L70" s="15"/>
    </row>
    <row r="71" spans="1:12" x14ac:dyDescent="0.35">
      <c r="A71" t="s">
        <v>87</v>
      </c>
      <c r="E71" s="9" t="str">
        <f t="shared" si="2"/>
        <v/>
      </c>
      <c r="F71" s="10" t="str">
        <f>IF(OR(E71="",E71="!!!"),"",IF(NOT(ISNA(VLOOKUP(E71,E$1:E70,1,FALSE()))),"OLD",IF(AND(E71&lt;&gt;"",E71&lt;&gt;"!!!"),"NEW","")))</f>
        <v/>
      </c>
      <c r="G71" s="11" t="str">
        <f>IF(OR(E71="",E71="!!!"),"",IF(OR(J71=0,AND(J71=1,K71=1),AND(J71=1,I71="SBJ"),AND(J71=1,I71=0)),"?IN_FOCUS",IF(J71&lt;=2,"?ACTIVATED",IF(J71&lt;&gt;"","?FAMILIAR",IF(F71="NEW",IF(ISNA(VLOOKUP(E71,#REF!,1,FALSE())),"?TYPE_IDENTIFIABLE","?REFERENTIAL"),"_")))))</f>
        <v/>
      </c>
      <c r="H71" s="12" t="str">
        <f t="shared" si="3"/>
        <v/>
      </c>
      <c r="L71" s="15"/>
    </row>
    <row r="72" spans="1:12" x14ac:dyDescent="0.35">
      <c r="A72" t="s">
        <v>69</v>
      </c>
      <c r="E72" s="9" t="str">
        <f t="shared" si="2"/>
        <v/>
      </c>
      <c r="F72" s="10" t="str">
        <f>IF(OR(E72="",E72="!!!"),"",IF(NOT(ISNA(VLOOKUP(E72,E$1:E71,1,FALSE()))),"OLD",IF(AND(E72&lt;&gt;"",E72&lt;&gt;"!!!"),"NEW","")))</f>
        <v/>
      </c>
      <c r="G72" s="11" t="str">
        <f>IF(OR(E72="",E72="!!!"),"",IF(OR(J72=0,AND(J72=1,K72=1),AND(J72=1,I72="SBJ"),AND(J72=1,I72=0)),"?IN_FOCUS",IF(J72&lt;=2,"?ACTIVATED",IF(J72&lt;&gt;"","?FAMILIAR",IF(F72="NEW",IF(ISNA(VLOOKUP(E72,#REF!,1,FALSE())),"?TYPE_IDENTIFIABLE","?REFERENTIAL"),"_")))))</f>
        <v/>
      </c>
      <c r="H72" s="12" t="str">
        <f t="shared" si="3"/>
        <v/>
      </c>
      <c r="L72" s="15"/>
    </row>
    <row r="73" spans="1:12" x14ac:dyDescent="0.35">
      <c r="A73" t="s">
        <v>47</v>
      </c>
      <c r="B73" t="s">
        <v>54</v>
      </c>
      <c r="C73" t="s">
        <v>49</v>
      </c>
      <c r="D73" t="s">
        <v>869</v>
      </c>
      <c r="E73" s="9" t="s">
        <v>868</v>
      </c>
      <c r="F73" s="10" t="str">
        <f>IF(OR(E73="",E73="!!!"),"",IF(NOT(ISNA(VLOOKUP(E73,E$1:E72,1,FALSE()))),"OLD",IF(AND(E73&lt;&gt;"",E73&lt;&gt;"!!!"),"NEW","")))</f>
        <v>OLD</v>
      </c>
      <c r="G73" s="11" t="s">
        <v>877</v>
      </c>
      <c r="H73" s="12" t="str">
        <f t="shared" si="3"/>
        <v/>
      </c>
      <c r="L73" s="15"/>
    </row>
    <row r="74" spans="1:12" x14ac:dyDescent="0.35">
      <c r="A74" t="s">
        <v>88</v>
      </c>
      <c r="E74" s="9" t="str">
        <f t="shared" si="2"/>
        <v/>
      </c>
      <c r="F74" s="10" t="str">
        <f>IF(OR(E74="",E74="!!!"),"",IF(NOT(ISNA(VLOOKUP(E74,E$1:E73,1,FALSE()))),"OLD",IF(AND(E74&lt;&gt;"",E74&lt;&gt;"!!!"),"NEW","")))</f>
        <v/>
      </c>
      <c r="G74" s="11" t="str">
        <f>IF(OR(E74="",E74="!!!"),"",IF(OR(J74=0,AND(J74=1,K74=1),AND(J74=1,I74="SBJ"),AND(J74=1,I74=0)),"?IN_FOCUS",IF(J74&lt;=2,"?ACTIVATED",IF(J74&lt;&gt;"","?FAMILIAR",IF(F74="NEW",IF(ISNA(VLOOKUP(E74,#REF!,1,FALSE())),"?TYPE_IDENTIFIABLE","?REFERENTIAL"),"_")))))</f>
        <v/>
      </c>
      <c r="H74" s="12" t="str">
        <f t="shared" si="3"/>
        <v/>
      </c>
      <c r="L74" s="15"/>
    </row>
    <row r="75" spans="1:12" x14ac:dyDescent="0.35">
      <c r="A75" t="s">
        <v>89</v>
      </c>
      <c r="B75" t="s">
        <v>54</v>
      </c>
      <c r="C75" t="s">
        <v>15</v>
      </c>
      <c r="D75" t="s">
        <v>16</v>
      </c>
      <c r="E75" s="9" t="str">
        <f t="shared" si="2"/>
        <v>!!!</v>
      </c>
      <c r="F75" s="10" t="str">
        <f>IF(OR(E75="",E75="!!!"),"",IF(NOT(ISNA(VLOOKUP(E75,E$1:E74,1,FALSE()))),"OLD",IF(AND(E75&lt;&gt;"",E75&lt;&gt;"!!!"),"NEW","")))</f>
        <v/>
      </c>
      <c r="G75" s="11" t="str">
        <f>IF(OR(E75="",E75="!!!"),"",IF(OR(J75=0,AND(J75=1,K75=1),AND(J75=1,I75="SBJ"),AND(J75=1,I75=0)),"?IN_FOCUS",IF(J75&lt;=2,"?ACTIVATED",IF(J75&lt;&gt;"","?FAMILIAR",IF(F75="NEW",IF(ISNA(VLOOKUP(E75,#REF!,1,FALSE())),"?TYPE_IDENTIFIABLE","?REFERENTIAL"),"_")))))</f>
        <v/>
      </c>
      <c r="H75" s="12" t="str">
        <f t="shared" si="3"/>
        <v/>
      </c>
      <c r="L75" s="15"/>
    </row>
    <row r="76" spans="1:12" x14ac:dyDescent="0.35">
      <c r="A76" t="s">
        <v>26</v>
      </c>
      <c r="E76" s="9" t="str">
        <f t="shared" si="2"/>
        <v/>
      </c>
      <c r="F76" s="10" t="str">
        <f>IF(OR(E76="",E76="!!!"),"",IF(NOT(ISNA(VLOOKUP(E76,E$1:E75,1,FALSE()))),"OLD",IF(AND(E76&lt;&gt;"",E76&lt;&gt;"!!!"),"NEW","")))</f>
        <v/>
      </c>
      <c r="G76" s="11" t="str">
        <f>IF(OR(E76="",E76="!!!"),"",IF(OR(J76=0,AND(J76=1,K76=1),AND(J76=1,I76="SBJ"),AND(J76=1,I76=0)),"?IN_FOCUS",IF(J76&lt;=2,"?ACTIVATED",IF(J76&lt;&gt;"","?FAMILIAR",IF(F76="NEW",IF(ISNA(VLOOKUP(E76,#REF!,1,FALSE())),"?TYPE_IDENTIFIABLE","?REFERENTIAL"),"_")))))</f>
        <v/>
      </c>
      <c r="H76" s="12" t="str">
        <f t="shared" si="3"/>
        <v/>
      </c>
      <c r="L76" s="15"/>
    </row>
    <row r="77" spans="1:12" x14ac:dyDescent="0.35">
      <c r="A77" t="s">
        <v>73</v>
      </c>
      <c r="B77" t="s">
        <v>36</v>
      </c>
      <c r="E77" s="9" t="str">
        <f t="shared" si="2"/>
        <v/>
      </c>
      <c r="F77" s="10" t="str">
        <f>IF(OR(E77="",E77="!!!"),"",IF(NOT(ISNA(VLOOKUP(E77,E$1:E76,1,FALSE()))),"OLD",IF(AND(E77&lt;&gt;"",E77&lt;&gt;"!!!"),"NEW","")))</f>
        <v/>
      </c>
      <c r="G77" s="11" t="str">
        <f>IF(OR(E77="",E77="!!!"),"",IF(OR(J77=0,AND(J77=1,K77=1),AND(J77=1,I77="SBJ"),AND(J77=1,I77=0)),"?IN_FOCUS",IF(J77&lt;=2,"?ACTIVATED",IF(J77&lt;&gt;"","?FAMILIAR",IF(F77="NEW",IF(ISNA(VLOOKUP(E77,#REF!,1,FALSE())),"?TYPE_IDENTIFIABLE","?REFERENTIAL"),"_")))))</f>
        <v/>
      </c>
      <c r="H77" s="12" t="str">
        <f t="shared" si="3"/>
        <v/>
      </c>
      <c r="L77" s="15"/>
    </row>
    <row r="78" spans="1:12" x14ac:dyDescent="0.35">
      <c r="A78" t="s">
        <v>90</v>
      </c>
      <c r="E78" s="9" t="str">
        <f t="shared" si="2"/>
        <v/>
      </c>
      <c r="F78" s="10" t="str">
        <f>IF(OR(E78="",E78="!!!"),"",IF(NOT(ISNA(VLOOKUP(E78,E$1:E77,1,FALSE()))),"OLD",IF(AND(E78&lt;&gt;"",E78&lt;&gt;"!!!"),"NEW","")))</f>
        <v/>
      </c>
      <c r="G78" s="11" t="str">
        <f>IF(OR(E78="",E78="!!!"),"",IF(OR(J78=0,AND(J78=1,K78=1),AND(J78=1,I78="SBJ"),AND(J78=1,I78=0)),"?IN_FOCUS",IF(J78&lt;=2,"?ACTIVATED",IF(J78&lt;&gt;"","?FAMILIAR",IF(F78="NEW",IF(ISNA(VLOOKUP(E78,#REF!,1,FALSE())),"?TYPE_IDENTIFIABLE","?REFERENTIAL"),"_")))))</f>
        <v/>
      </c>
      <c r="H78" s="12" t="str">
        <f t="shared" si="3"/>
        <v/>
      </c>
      <c r="L78" s="15"/>
    </row>
    <row r="79" spans="1:12" x14ac:dyDescent="0.35">
      <c r="A79" t="s">
        <v>85</v>
      </c>
      <c r="B79" t="s">
        <v>91</v>
      </c>
      <c r="C79" t="s">
        <v>33</v>
      </c>
      <c r="D79" t="s">
        <v>869</v>
      </c>
      <c r="E79" s="9" t="s">
        <v>868</v>
      </c>
      <c r="F79" s="10" t="str">
        <f>IF(OR(E79="",E79="!!!"),"",IF(NOT(ISNA(VLOOKUP(E79,E$1:E78,1,FALSE()))),"OLD",IF(AND(E79&lt;&gt;"",E79&lt;&gt;"!!!"),"NEW","")))</f>
        <v>OLD</v>
      </c>
      <c r="G79" s="11" t="s">
        <v>877</v>
      </c>
      <c r="H79" s="12" t="str">
        <f t="shared" si="3"/>
        <v/>
      </c>
      <c r="L79" s="15"/>
    </row>
    <row r="80" spans="1:12" x14ac:dyDescent="0.35">
      <c r="A80" t="s">
        <v>92</v>
      </c>
      <c r="E80" s="9" t="str">
        <f t="shared" si="2"/>
        <v/>
      </c>
      <c r="F80" s="10" t="str">
        <f>IF(OR(E80="",E80="!!!"),"",IF(NOT(ISNA(VLOOKUP(E80,E$1:E79,1,FALSE()))),"OLD",IF(AND(E80&lt;&gt;"",E80&lt;&gt;"!!!"),"NEW","")))</f>
        <v/>
      </c>
      <c r="G80" s="11" t="str">
        <f>IF(OR(E80="",E80="!!!"),"",IF(OR(J80=0,AND(J80=1,K80=1),AND(J80=1,I80="SBJ"),AND(J80=1,I80=0)),"?IN_FOCUS",IF(J80&lt;=2,"?ACTIVATED",IF(J80&lt;&gt;"","?FAMILIAR",IF(F80="NEW",IF(ISNA(VLOOKUP(E80,#REF!,1,FALSE())),"?TYPE_IDENTIFIABLE","?REFERENTIAL"),"_")))))</f>
        <v/>
      </c>
      <c r="H80" s="12" t="str">
        <f t="shared" si="3"/>
        <v/>
      </c>
      <c r="L80" s="15"/>
    </row>
    <row r="81" spans="1:12" x14ac:dyDescent="0.35">
      <c r="A81" t="s">
        <v>45</v>
      </c>
      <c r="E81" s="9" t="str">
        <f t="shared" si="2"/>
        <v/>
      </c>
      <c r="F81" s="10" t="str">
        <f>IF(OR(E81="",E81="!!!"),"",IF(NOT(ISNA(VLOOKUP(E81,E$1:E80,1,FALSE()))),"OLD",IF(AND(E81&lt;&gt;"",E81&lt;&gt;"!!!"),"NEW","")))</f>
        <v/>
      </c>
      <c r="G81" s="11" t="str">
        <f>IF(OR(E81="",E81="!!!"),"",IF(OR(J81=0,AND(J81=1,K81=1),AND(J81=1,I81="SBJ"),AND(J81=1,I81=0)),"?IN_FOCUS",IF(J81&lt;=2,"?ACTIVATED",IF(J81&lt;&gt;"","?FAMILIAR",IF(F81="NEW",IF(ISNA(VLOOKUP(E81,#REF!,1,FALSE())),"?TYPE_IDENTIFIABLE","?REFERENTIAL"),"_")))))</f>
        <v/>
      </c>
      <c r="H81" s="12" t="str">
        <f t="shared" si="3"/>
        <v/>
      </c>
      <c r="L81" s="15"/>
    </row>
    <row r="82" spans="1:12" x14ac:dyDescent="0.35">
      <c r="A82" t="s">
        <v>93</v>
      </c>
      <c r="E82" s="9" t="str">
        <f t="shared" si="2"/>
        <v/>
      </c>
      <c r="F82" s="10" t="str">
        <f>IF(OR(E82="",E82="!!!"),"",IF(NOT(ISNA(VLOOKUP(E82,E$1:E81,1,FALSE()))),"OLD",IF(AND(E82&lt;&gt;"",E82&lt;&gt;"!!!"),"NEW","")))</f>
        <v/>
      </c>
      <c r="G82" s="11" t="str">
        <f>IF(OR(E82="",E82="!!!"),"",IF(OR(J82=0,AND(J82=1,K82=1),AND(J82=1,I82="SBJ"),AND(J82=1,I82=0)),"?IN_FOCUS",IF(J82&lt;=2,"?ACTIVATED",IF(J82&lt;&gt;"","?FAMILIAR",IF(F82="NEW",IF(ISNA(VLOOKUP(E82,#REF!,1,FALSE())),"?TYPE_IDENTIFIABLE","?REFERENTIAL"),"_")))))</f>
        <v/>
      </c>
      <c r="H82" s="12" t="str">
        <f t="shared" si="3"/>
        <v/>
      </c>
      <c r="L82" s="15"/>
    </row>
    <row r="83" spans="1:12" x14ac:dyDescent="0.35">
      <c r="A83" t="s">
        <v>53</v>
      </c>
      <c r="E83" s="9" t="str">
        <f t="shared" si="2"/>
        <v/>
      </c>
      <c r="F83" s="10" t="str">
        <f>IF(OR(E83="",E83="!!!"),"",IF(NOT(ISNA(VLOOKUP(E83,E$1:E82,1,FALSE()))),"OLD",IF(AND(E83&lt;&gt;"",E83&lt;&gt;"!!!"),"NEW","")))</f>
        <v/>
      </c>
      <c r="G83" s="11" t="str">
        <f>IF(OR(E83="",E83="!!!"),"",IF(OR(J83=0,AND(J83=1,K83=1),AND(J83=1,I83="SBJ"),AND(J83=1,I83=0)),"?IN_FOCUS",IF(J83&lt;=2,"?ACTIVATED",IF(J83&lt;&gt;"","?FAMILIAR",IF(F83="NEW",IF(ISNA(VLOOKUP(E83,#REF!,1,FALSE())),"?TYPE_IDENTIFIABLE","?REFERENTIAL"),"_")))))</f>
        <v/>
      </c>
      <c r="H83" s="12" t="str">
        <f t="shared" si="3"/>
        <v/>
      </c>
      <c r="L83" s="15"/>
    </row>
    <row r="84" spans="1:12" x14ac:dyDescent="0.35">
      <c r="A84" t="s">
        <v>94</v>
      </c>
      <c r="B84" t="s">
        <v>95</v>
      </c>
      <c r="C84" t="s">
        <v>37</v>
      </c>
      <c r="E84" s="9" t="str">
        <f t="shared" si="2"/>
        <v/>
      </c>
      <c r="F84" s="10" t="str">
        <f>IF(OR(E84="",E84="!!!"),"",IF(NOT(ISNA(VLOOKUP(E84,E$1:E83,1,FALSE()))),"OLD",IF(AND(E84&lt;&gt;"",E84&lt;&gt;"!!!"),"NEW","")))</f>
        <v/>
      </c>
      <c r="G84" s="11" t="str">
        <f>IF(OR(E84="",E84="!!!"),"",IF(OR(J84=0,AND(J84=1,K84=1),AND(J84=1,I84="SBJ"),AND(J84=1,I84=0)),"?IN_FOCUS",IF(J84&lt;=2,"?ACTIVATED",IF(J84&lt;&gt;"","?FAMILIAR",IF(F84="NEW",IF(ISNA(VLOOKUP(E84,#REF!,1,FALSE())),"?TYPE_IDENTIFIABLE","?REFERENTIAL"),"_")))))</f>
        <v/>
      </c>
      <c r="H84" s="12" t="str">
        <f t="shared" si="3"/>
        <v/>
      </c>
      <c r="L84" s="15"/>
    </row>
    <row r="85" spans="1:12" x14ac:dyDescent="0.35">
      <c r="A85" t="s">
        <v>63</v>
      </c>
      <c r="E85" s="9" t="str">
        <f t="shared" si="2"/>
        <v/>
      </c>
      <c r="F85" s="10" t="str">
        <f>IF(OR(E85="",E85="!!!"),"",IF(NOT(ISNA(VLOOKUP(E85,E$1:E84,1,FALSE()))),"OLD",IF(AND(E85&lt;&gt;"",E85&lt;&gt;"!!!"),"NEW","")))</f>
        <v/>
      </c>
      <c r="G85" s="11" t="str">
        <f>IF(OR(E85="",E85="!!!"),"",IF(OR(J85=0,AND(J85=1,K85=1),AND(J85=1,I85="SBJ"),AND(J85=1,I85=0)),"?IN_FOCUS",IF(J85&lt;=2,"?ACTIVATED",IF(J85&lt;&gt;"","?FAMILIAR",IF(F85="NEW",IF(ISNA(VLOOKUP(E85,#REF!,1,FALSE())),"?TYPE_IDENTIFIABLE","?REFERENTIAL"),"_")))))</f>
        <v/>
      </c>
      <c r="H85" s="12" t="str">
        <f t="shared" si="3"/>
        <v/>
      </c>
      <c r="L85" s="15"/>
    </row>
    <row r="86" spans="1:12" x14ac:dyDescent="0.35">
      <c r="E86" s="9" t="str">
        <f t="shared" si="2"/>
        <v/>
      </c>
      <c r="F86" s="10" t="str">
        <f>IF(OR(E86="",E86="!!!"),"",IF(NOT(ISNA(VLOOKUP(E86,E$1:E85,1,FALSE()))),"OLD",IF(AND(E86&lt;&gt;"",E86&lt;&gt;"!!!"),"NEW","")))</f>
        <v/>
      </c>
      <c r="G86" s="11" t="str">
        <f>IF(OR(E86="",E86="!!!"),"",IF(OR(J86=0,AND(J86=1,K86=1),AND(J86=1,I86="SBJ"),AND(J86=1,I86=0)),"?IN_FOCUS",IF(J86&lt;=2,"?ACTIVATED",IF(J86&lt;&gt;"","?FAMILIAR",IF(F86="NEW",IF(ISNA(VLOOKUP(E86,#REF!,1,FALSE())),"?TYPE_IDENTIFIABLE","?REFERENTIAL"),"_")))))</f>
        <v/>
      </c>
      <c r="H86" s="12" t="str">
        <f t="shared" si="3"/>
        <v/>
      </c>
      <c r="L86" s="15"/>
    </row>
    <row r="87" spans="1:12" x14ac:dyDescent="0.35">
      <c r="A87" t="s">
        <v>96</v>
      </c>
      <c r="E87" s="9" t="str">
        <f t="shared" si="2"/>
        <v/>
      </c>
      <c r="F87" s="10" t="str">
        <f>IF(OR(E87="",E87="!!!"),"",IF(NOT(ISNA(VLOOKUP(E87,E$1:E86,1,FALSE()))),"OLD",IF(AND(E87&lt;&gt;"",E87&lt;&gt;"!!!"),"NEW","")))</f>
        <v/>
      </c>
      <c r="G87" s="11" t="str">
        <f>IF(OR(E87="",E87="!!!"),"",IF(OR(J87=0,AND(J87=1,K87=1),AND(J87=1,I87="SBJ"),AND(J87=1,I87=0)),"?IN_FOCUS",IF(J87&lt;=2,"?ACTIVATED",IF(J87&lt;&gt;"","?FAMILIAR",IF(F87="NEW",IF(ISNA(VLOOKUP(E87,#REF!,1,FALSE())),"?TYPE_IDENTIFIABLE","?REFERENTIAL"),"_")))))</f>
        <v/>
      </c>
      <c r="H87" s="12" t="str">
        <f t="shared" si="3"/>
        <v/>
      </c>
      <c r="L87" s="15"/>
    </row>
    <row r="88" spans="1:12" x14ac:dyDescent="0.35">
      <c r="A88" t="s">
        <v>97</v>
      </c>
      <c r="E88" s="9" t="str">
        <f t="shared" si="2"/>
        <v/>
      </c>
      <c r="F88" s="10" t="str">
        <f>IF(OR(E88="",E88="!!!"),"",IF(NOT(ISNA(VLOOKUP(E88,E$1:E87,1,FALSE()))),"OLD",IF(AND(E88&lt;&gt;"",E88&lt;&gt;"!!!"),"NEW","")))</f>
        <v/>
      </c>
      <c r="G88" s="11" t="str">
        <f>IF(OR(E88="",E88="!!!"),"",IF(OR(J88=0,AND(J88=1,K88=1),AND(J88=1,I88="SBJ"),AND(J88=1,I88=0)),"?IN_FOCUS",IF(J88&lt;=2,"?ACTIVATED",IF(J88&lt;&gt;"","?FAMILIAR",IF(F88="NEW",IF(ISNA(VLOOKUP(E88,#REF!,1,FALSE())),"?TYPE_IDENTIFIABLE","?REFERENTIAL"),"_")))))</f>
        <v/>
      </c>
      <c r="H88" s="12" t="str">
        <f t="shared" si="3"/>
        <v/>
      </c>
      <c r="L88" s="15"/>
    </row>
    <row r="89" spans="1:12" x14ac:dyDescent="0.35">
      <c r="A89" t="s">
        <v>98</v>
      </c>
      <c r="B89" t="s">
        <v>14</v>
      </c>
      <c r="C89" t="s">
        <v>99</v>
      </c>
      <c r="D89" t="s">
        <v>16</v>
      </c>
      <c r="E89" s="9" t="s">
        <v>262</v>
      </c>
      <c r="F89" s="10" t="str">
        <f>IF(OR(E89="",E89="!!!"),"",IF(NOT(ISNA(VLOOKUP(E89,E$1:E88,1,FALSE()))),"OLD",IF(AND(E89&lt;&gt;"",E89&lt;&gt;"!!!"),"NEW","")))</f>
        <v>OLD</v>
      </c>
      <c r="G89" s="11"/>
      <c r="H89" s="12" t="str">
        <f t="shared" si="3"/>
        <v/>
      </c>
      <c r="L89" s="15"/>
    </row>
    <row r="90" spans="1:12" x14ac:dyDescent="0.35">
      <c r="A90" t="s">
        <v>26</v>
      </c>
      <c r="E90" s="9" t="str">
        <f t="shared" si="2"/>
        <v/>
      </c>
      <c r="F90" s="10" t="str">
        <f>IF(OR(E90="",E90="!!!"),"",IF(NOT(ISNA(VLOOKUP(E90,E$1:E89,1,FALSE()))),"OLD",IF(AND(E90&lt;&gt;"",E90&lt;&gt;"!!!"),"NEW","")))</f>
        <v/>
      </c>
      <c r="G90" s="11" t="str">
        <f>IF(OR(E90="",E90="!!!"),"",IF(OR(J90=0,AND(J90=1,K90=1),AND(J90=1,I90="SBJ"),AND(J90=1,I90=0)),"?IN_FOCUS",IF(J90&lt;=2,"?ACTIVATED",IF(J90&lt;&gt;"","?FAMILIAR",IF(F90="NEW",IF(ISNA(VLOOKUP(E90,#REF!,1,FALSE())),"?TYPE_IDENTIFIABLE","?REFERENTIAL"),"_")))))</f>
        <v/>
      </c>
      <c r="H90" s="12" t="str">
        <f t="shared" si="3"/>
        <v/>
      </c>
      <c r="L90" s="15"/>
    </row>
    <row r="91" spans="1:12" x14ac:dyDescent="0.35">
      <c r="A91" t="s">
        <v>100</v>
      </c>
      <c r="E91" s="9" t="str">
        <f t="shared" si="2"/>
        <v/>
      </c>
      <c r="F91" s="10" t="str">
        <f>IF(OR(E91="",E91="!!!"),"",IF(NOT(ISNA(VLOOKUP(E91,E$1:E90,1,FALSE()))),"OLD",IF(AND(E91&lt;&gt;"",E91&lt;&gt;"!!!"),"NEW","")))</f>
        <v/>
      </c>
      <c r="G91" s="11" t="str">
        <f>IF(OR(E91="",E91="!!!"),"",IF(OR(J91=0,AND(J91=1,K91=1),AND(J91=1,I91="SBJ"),AND(J91=1,I91=0)),"?IN_FOCUS",IF(J91&lt;=2,"?ACTIVATED",IF(J91&lt;&gt;"","?FAMILIAR",IF(F91="NEW",IF(ISNA(VLOOKUP(E91,#REF!,1,FALSE())),"?TYPE_IDENTIFIABLE","?REFERENTIAL"),"_")))))</f>
        <v/>
      </c>
      <c r="H91" s="12" t="str">
        <f t="shared" si="3"/>
        <v/>
      </c>
      <c r="L91" s="15"/>
    </row>
    <row r="92" spans="1:12" x14ac:dyDescent="0.35">
      <c r="A92" t="s">
        <v>26</v>
      </c>
      <c r="E92" s="9" t="str">
        <f t="shared" si="2"/>
        <v/>
      </c>
      <c r="F92" s="10" t="str">
        <f>IF(OR(E92="",E92="!!!"),"",IF(NOT(ISNA(VLOOKUP(E92,E$1:E91,1,FALSE()))),"OLD",IF(AND(E92&lt;&gt;"",E92&lt;&gt;"!!!"),"NEW","")))</f>
        <v/>
      </c>
      <c r="G92" s="11" t="str">
        <f>IF(OR(E92="",E92="!!!"),"",IF(OR(J92=0,AND(J92=1,K92=1),AND(J92=1,I92="SBJ"),AND(J92=1,I92=0)),"?IN_FOCUS",IF(J92&lt;=2,"?ACTIVATED",IF(J92&lt;&gt;"","?FAMILIAR",IF(F92="NEW",IF(ISNA(VLOOKUP(E92,#REF!,1,FALSE())),"?TYPE_IDENTIFIABLE","?REFERENTIAL"),"_")))))</f>
        <v/>
      </c>
      <c r="H92" s="12" t="str">
        <f t="shared" si="3"/>
        <v/>
      </c>
      <c r="L92" s="15"/>
    </row>
    <row r="93" spans="1:12" x14ac:dyDescent="0.35">
      <c r="A93" t="s">
        <v>42</v>
      </c>
      <c r="E93" s="9" t="str">
        <f t="shared" si="2"/>
        <v/>
      </c>
      <c r="F93" s="10" t="str">
        <f>IF(OR(E93="",E93="!!!"),"",IF(NOT(ISNA(VLOOKUP(E93,E$1:E92,1,FALSE()))),"OLD",IF(AND(E93&lt;&gt;"",E93&lt;&gt;"!!!"),"NEW","")))</f>
        <v/>
      </c>
      <c r="G93" s="11" t="str">
        <f>IF(OR(E93="",E93="!!!"),"",IF(OR(J93=0,AND(J93=1,K93=1),AND(J93=1,I93="SBJ"),AND(J93=1,I93=0)),"?IN_FOCUS",IF(J93&lt;=2,"?ACTIVATED",IF(J93&lt;&gt;"","?FAMILIAR",IF(F93="NEW",IF(ISNA(VLOOKUP(E93,#REF!,1,FALSE())),"?TYPE_IDENTIFIABLE","?REFERENTIAL"),"_")))))</f>
        <v/>
      </c>
      <c r="H93" s="12" t="str">
        <f t="shared" si="3"/>
        <v/>
      </c>
      <c r="L93" s="15"/>
    </row>
    <row r="94" spans="1:12" x14ac:dyDescent="0.35">
      <c r="A94" t="s">
        <v>101</v>
      </c>
      <c r="E94" s="9" t="str">
        <f t="shared" si="2"/>
        <v/>
      </c>
      <c r="F94" s="10" t="str">
        <f>IF(OR(E94="",E94="!!!"),"",IF(NOT(ISNA(VLOOKUP(E94,E$1:E93,1,FALSE()))),"OLD",IF(AND(E94&lt;&gt;"",E94&lt;&gt;"!!!"),"NEW","")))</f>
        <v/>
      </c>
      <c r="G94" s="11" t="str">
        <f>IF(OR(E94="",E94="!!!"),"",IF(OR(J94=0,AND(J94=1,K94=1),AND(J94=1,I94="SBJ"),AND(J94=1,I94=0)),"?IN_FOCUS",IF(J94&lt;=2,"?ACTIVATED",IF(J94&lt;&gt;"","?FAMILIAR",IF(F94="NEW",IF(ISNA(VLOOKUP(E94,#REF!,1,FALSE())),"?TYPE_IDENTIFIABLE","?REFERENTIAL"),"_")))))</f>
        <v/>
      </c>
      <c r="H94" s="12" t="str">
        <f t="shared" si="3"/>
        <v/>
      </c>
      <c r="L94" s="15"/>
    </row>
    <row r="95" spans="1:12" x14ac:dyDescent="0.35">
      <c r="A95" t="s">
        <v>102</v>
      </c>
      <c r="E95" s="9" t="str">
        <f t="shared" si="2"/>
        <v/>
      </c>
      <c r="F95" s="10" t="str">
        <f>IF(OR(E95="",E95="!!!"),"",IF(NOT(ISNA(VLOOKUP(E95,E$1:E94,1,FALSE()))),"OLD",IF(AND(E95&lt;&gt;"",E95&lt;&gt;"!!!"),"NEW","")))</f>
        <v/>
      </c>
      <c r="G95" s="11" t="str">
        <f>IF(OR(E95="",E95="!!!"),"",IF(OR(J95=0,AND(J95=1,K95=1),AND(J95=1,I95="SBJ"),AND(J95=1,I95=0)),"?IN_FOCUS",IF(J95&lt;=2,"?ACTIVATED",IF(J95&lt;&gt;"","?FAMILIAR",IF(F95="NEW",IF(ISNA(VLOOKUP(E95,#REF!,1,FALSE())),"?TYPE_IDENTIFIABLE","?REFERENTIAL"),"_")))))</f>
        <v/>
      </c>
      <c r="H95" s="12" t="str">
        <f t="shared" si="3"/>
        <v/>
      </c>
      <c r="L95" s="15"/>
    </row>
    <row r="96" spans="1:12" x14ac:dyDescent="0.35">
      <c r="A96" t="s">
        <v>103</v>
      </c>
      <c r="E96" s="9" t="str">
        <f t="shared" si="2"/>
        <v/>
      </c>
      <c r="F96" s="10" t="str">
        <f>IF(OR(E96="",E96="!!!"),"",IF(NOT(ISNA(VLOOKUP(E96,E$1:E95,1,FALSE()))),"OLD",IF(AND(E96&lt;&gt;"",E96&lt;&gt;"!!!"),"NEW","")))</f>
        <v/>
      </c>
      <c r="G96" s="11" t="str">
        <f>IF(OR(E96="",E96="!!!"),"",IF(OR(J96=0,AND(J96=1,K96=1),AND(J96=1,I96="SBJ"),AND(J96=1,I96=0)),"?IN_FOCUS",IF(J96&lt;=2,"?ACTIVATED",IF(J96&lt;&gt;"","?FAMILIAR",IF(F96="NEW",IF(ISNA(VLOOKUP(E96,#REF!,1,FALSE())),"?TYPE_IDENTIFIABLE","?REFERENTIAL"),"_")))))</f>
        <v/>
      </c>
      <c r="H96" s="12" t="str">
        <f t="shared" si="3"/>
        <v/>
      </c>
      <c r="L96" s="15"/>
    </row>
    <row r="97" spans="1:12" x14ac:dyDescent="0.35">
      <c r="A97" t="s">
        <v>78</v>
      </c>
      <c r="B97" t="s">
        <v>54</v>
      </c>
      <c r="C97" t="s">
        <v>80</v>
      </c>
      <c r="D97" t="s">
        <v>869</v>
      </c>
      <c r="E97" s="9" t="s">
        <v>262</v>
      </c>
      <c r="F97" s="10" t="s">
        <v>876</v>
      </c>
      <c r="G97" s="11"/>
      <c r="H97" s="12" t="str">
        <f t="shared" si="3"/>
        <v/>
      </c>
      <c r="L97" s="15"/>
    </row>
    <row r="98" spans="1:12" x14ac:dyDescent="0.35">
      <c r="A98" t="s">
        <v>81</v>
      </c>
      <c r="B98" t="s">
        <v>41</v>
      </c>
      <c r="E98" s="9" t="str">
        <f t="shared" si="2"/>
        <v/>
      </c>
      <c r="F98" s="10" t="str">
        <f>IF(OR(E98="",E98="!!!"),"",IF(NOT(ISNA(VLOOKUP(E98,E$1:E97,1,FALSE()))),"OLD",IF(AND(E98&lt;&gt;"",E98&lt;&gt;"!!!"),"NEW","")))</f>
        <v/>
      </c>
      <c r="G98" s="11" t="str">
        <f>IF(OR(E98="",E98="!!!"),"",IF(OR(J98=0,AND(J98=1,K98=1),AND(J98=1,I98="SBJ"),AND(J98=1,I98=0)),"?IN_FOCUS",IF(J98&lt;=2,"?ACTIVATED",IF(J98&lt;&gt;"","?FAMILIAR",IF(F98="NEW",IF(ISNA(VLOOKUP(E98,#REF!,1,FALSE())),"?TYPE_IDENTIFIABLE","?REFERENTIAL"),"_")))))</f>
        <v/>
      </c>
      <c r="H98" s="12" t="str">
        <f t="shared" si="3"/>
        <v/>
      </c>
      <c r="L98" s="15"/>
    </row>
    <row r="99" spans="1:12" x14ac:dyDescent="0.35">
      <c r="A99" t="s">
        <v>83</v>
      </c>
      <c r="E99" s="9" t="str">
        <f t="shared" si="2"/>
        <v/>
      </c>
      <c r="F99" s="10" t="str">
        <f>IF(OR(E99="",E99="!!!"),"",IF(NOT(ISNA(VLOOKUP(E99,E$1:E98,1,FALSE()))),"OLD",IF(AND(E99&lt;&gt;"",E99&lt;&gt;"!!!"),"NEW","")))</f>
        <v/>
      </c>
      <c r="G99" s="11" t="str">
        <f>IF(OR(E99="",E99="!!!"),"",IF(OR(J99=0,AND(J99=1,K99=1),AND(J99=1,I99="SBJ"),AND(J99=1,I99=0)),"?IN_FOCUS",IF(J99&lt;=2,"?ACTIVATED",IF(J99&lt;&gt;"","?FAMILIAR",IF(F99="NEW",IF(ISNA(VLOOKUP(E99,#REF!,1,FALSE())),"?TYPE_IDENTIFIABLE","?REFERENTIAL"),"_")))))</f>
        <v/>
      </c>
      <c r="H99" s="12" t="str">
        <f t="shared" si="3"/>
        <v/>
      </c>
      <c r="L99" s="15"/>
    </row>
    <row r="100" spans="1:12" x14ac:dyDescent="0.35">
      <c r="A100" t="s">
        <v>104</v>
      </c>
      <c r="E100" s="9" t="str">
        <f t="shared" si="2"/>
        <v/>
      </c>
      <c r="F100" s="10" t="str">
        <f>IF(OR(E100="",E100="!!!"),"",IF(NOT(ISNA(VLOOKUP(E100,E$1:E99,1,FALSE()))),"OLD",IF(AND(E100&lt;&gt;"",E100&lt;&gt;"!!!"),"NEW","")))</f>
        <v/>
      </c>
      <c r="G100" s="11" t="str">
        <f>IF(OR(E100="",E100="!!!"),"",IF(OR(J100=0,AND(J100=1,K100=1),AND(J100=1,I100="SBJ"),AND(J100=1,I100=0)),"?IN_FOCUS",IF(J100&lt;=2,"?ACTIVATED",IF(J100&lt;&gt;"","?FAMILIAR",IF(F100="NEW",IF(ISNA(VLOOKUP(E100,#REF!,1,FALSE())),"?TYPE_IDENTIFIABLE","?REFERENTIAL"),"_")))))</f>
        <v/>
      </c>
      <c r="H100" s="12" t="str">
        <f t="shared" si="3"/>
        <v/>
      </c>
      <c r="L100" s="15"/>
    </row>
    <row r="101" spans="1:12" x14ac:dyDescent="0.35">
      <c r="A101" t="s">
        <v>105</v>
      </c>
      <c r="E101" s="9" t="str">
        <f t="shared" si="2"/>
        <v/>
      </c>
      <c r="F101" s="10" t="str">
        <f>IF(OR(E101="",E101="!!!"),"",IF(NOT(ISNA(VLOOKUP(E101,E$1:E100,1,FALSE()))),"OLD",IF(AND(E101&lt;&gt;"",E101&lt;&gt;"!!!"),"NEW","")))</f>
        <v/>
      </c>
      <c r="G101" s="11" t="str">
        <f>IF(OR(E101="",E101="!!!"),"",IF(OR(J101=0,AND(J101=1,K101=1),AND(J101=1,I101="SBJ"),AND(J101=1,I101=0)),"?IN_FOCUS",IF(J101&lt;=2,"?ACTIVATED",IF(J101&lt;&gt;"","?FAMILIAR",IF(F101="NEW",IF(ISNA(VLOOKUP(E101,#REF!,1,FALSE())),"?TYPE_IDENTIFIABLE","?REFERENTIAL"),"_")))))</f>
        <v/>
      </c>
      <c r="H101" s="12" t="str">
        <f t="shared" si="3"/>
        <v/>
      </c>
      <c r="L101" s="15"/>
    </row>
    <row r="102" spans="1:12" x14ac:dyDescent="0.35">
      <c r="A102" t="s">
        <v>47</v>
      </c>
      <c r="B102" t="s">
        <v>56</v>
      </c>
      <c r="C102" t="s">
        <v>49</v>
      </c>
      <c r="D102" t="s">
        <v>869</v>
      </c>
      <c r="E102" s="9" t="s">
        <v>868</v>
      </c>
      <c r="F102" s="10" t="str">
        <f>IF(OR(E102="",E102="!!!"),"",IF(NOT(ISNA(VLOOKUP(E102,E$1:E101,1,FALSE()))),"OLD",IF(AND(E102&lt;&gt;"",E102&lt;&gt;"!!!"),"NEW","")))</f>
        <v>OLD</v>
      </c>
      <c r="G102" s="11" t="s">
        <v>877</v>
      </c>
      <c r="H102" s="12" t="str">
        <f t="shared" si="3"/>
        <v/>
      </c>
      <c r="L102" s="15"/>
    </row>
    <row r="103" spans="1:12" x14ac:dyDescent="0.35">
      <c r="A103" t="s">
        <v>106</v>
      </c>
      <c r="B103" t="s">
        <v>20</v>
      </c>
      <c r="C103" t="s">
        <v>15</v>
      </c>
      <c r="D103" t="s">
        <v>16</v>
      </c>
      <c r="E103" s="9" t="s">
        <v>262</v>
      </c>
      <c r="F103" s="10" t="s">
        <v>876</v>
      </c>
      <c r="G103" s="11"/>
      <c r="H103" s="12" t="str">
        <f t="shared" si="3"/>
        <v/>
      </c>
      <c r="L103" s="15"/>
    </row>
    <row r="104" spans="1:12" x14ac:dyDescent="0.35">
      <c r="A104" t="s">
        <v>76</v>
      </c>
      <c r="E104" s="9" t="str">
        <f t="shared" si="2"/>
        <v/>
      </c>
      <c r="F104" s="10" t="str">
        <f>IF(OR(E104="",E104="!!!"),"",IF(NOT(ISNA(VLOOKUP(E104,E$1:E103,1,FALSE()))),"OLD",IF(AND(E104&lt;&gt;"",E104&lt;&gt;"!!!"),"NEW","")))</f>
        <v/>
      </c>
      <c r="G104" s="11" t="str">
        <f>IF(OR(E104="",E104="!!!"),"",IF(OR(J104=0,AND(J104=1,K104=1),AND(J104=1,I104="SBJ"),AND(J104=1,I104=0)),"?IN_FOCUS",IF(J104&lt;=2,"?ACTIVATED",IF(J104&lt;&gt;"","?FAMILIAR",IF(F104="NEW",IF(ISNA(VLOOKUP(E104,#REF!,1,FALSE())),"?TYPE_IDENTIFIABLE","?REFERENTIAL"),"_")))))</f>
        <v/>
      </c>
      <c r="H104" s="12" t="str">
        <f t="shared" si="3"/>
        <v/>
      </c>
      <c r="L104" s="15"/>
    </row>
    <row r="105" spans="1:12" x14ac:dyDescent="0.35">
      <c r="A105" t="s">
        <v>107</v>
      </c>
      <c r="B105" t="s">
        <v>56</v>
      </c>
      <c r="C105" t="s">
        <v>108</v>
      </c>
      <c r="E105" s="9" t="str">
        <f t="shared" si="2"/>
        <v/>
      </c>
      <c r="F105" s="10" t="str">
        <f>IF(OR(E105="",E105="!!!"),"",IF(NOT(ISNA(VLOOKUP(E105,E$1:E104,1,FALSE()))),"OLD",IF(AND(E105&lt;&gt;"",E105&lt;&gt;"!!!"),"NEW","")))</f>
        <v/>
      </c>
      <c r="G105" s="11" t="str">
        <f>IF(OR(E105="",E105="!!!"),"",IF(OR(J105=0,AND(J105=1,K105=1),AND(J105=1,I105="SBJ"),AND(J105=1,I105=0)),"?IN_FOCUS",IF(J105&lt;=2,"?ACTIVATED",IF(J105&lt;&gt;"","?FAMILIAR",IF(F105="NEW",IF(ISNA(VLOOKUP(E105,#REF!,1,FALSE())),"?TYPE_IDENTIFIABLE","?REFERENTIAL"),"_")))))</f>
        <v/>
      </c>
      <c r="H105" s="12" t="str">
        <f t="shared" si="3"/>
        <v/>
      </c>
      <c r="L105" s="15"/>
    </row>
    <row r="106" spans="1:12" x14ac:dyDescent="0.35">
      <c r="A106" t="s">
        <v>63</v>
      </c>
      <c r="E106" s="9" t="str">
        <f t="shared" si="2"/>
        <v/>
      </c>
      <c r="F106" s="10" t="str">
        <f>IF(OR(E106="",E106="!!!"),"",IF(NOT(ISNA(VLOOKUP(E106,E$1:E105,1,FALSE()))),"OLD",IF(AND(E106&lt;&gt;"",E106&lt;&gt;"!!!"),"NEW","")))</f>
        <v/>
      </c>
      <c r="G106" s="11" t="str">
        <f>IF(OR(E106="",E106="!!!"),"",IF(OR(J106=0,AND(J106=1,K106=1),AND(J106=1,I106="SBJ"),AND(J106=1,I106=0)),"?IN_FOCUS",IF(J106&lt;=2,"?ACTIVATED",IF(J106&lt;&gt;"","?FAMILIAR",IF(F106="NEW",IF(ISNA(VLOOKUP(E106,#REF!,1,FALSE())),"?TYPE_IDENTIFIABLE","?REFERENTIAL"),"_")))))</f>
        <v/>
      </c>
      <c r="H106" s="12" t="str">
        <f t="shared" si="3"/>
        <v/>
      </c>
      <c r="L106" s="15"/>
    </row>
    <row r="107" spans="1:12" x14ac:dyDescent="0.35">
      <c r="E107" s="9" t="str">
        <f t="shared" si="2"/>
        <v/>
      </c>
      <c r="F107" s="10" t="str">
        <f>IF(OR(E107="",E107="!!!"),"",IF(NOT(ISNA(VLOOKUP(E107,E$1:E106,1,FALSE()))),"OLD",IF(AND(E107&lt;&gt;"",E107&lt;&gt;"!!!"),"NEW","")))</f>
        <v/>
      </c>
      <c r="G107" s="11" t="str">
        <f>IF(OR(E107="",E107="!!!"),"",IF(OR(J107=0,AND(J107=1,K107=1),AND(J107=1,I107="SBJ"),AND(J107=1,I107=0)),"?IN_FOCUS",IF(J107&lt;=2,"?ACTIVATED",IF(J107&lt;&gt;"","?FAMILIAR",IF(F107="NEW",IF(ISNA(VLOOKUP(E107,#REF!,1,FALSE())),"?TYPE_IDENTIFIABLE","?REFERENTIAL"),"_")))))</f>
        <v/>
      </c>
      <c r="H107" s="12" t="str">
        <f t="shared" si="3"/>
        <v/>
      </c>
      <c r="L107" s="15"/>
    </row>
    <row r="108" spans="1:12" x14ac:dyDescent="0.35">
      <c r="A108" t="s">
        <v>109</v>
      </c>
      <c r="E108" s="9" t="str">
        <f t="shared" si="2"/>
        <v/>
      </c>
      <c r="F108" s="10" t="str">
        <f>IF(OR(E108="",E108="!!!"),"",IF(NOT(ISNA(VLOOKUP(E108,E$1:E107,1,FALSE()))),"OLD",IF(AND(E108&lt;&gt;"",E108&lt;&gt;"!!!"),"NEW","")))</f>
        <v/>
      </c>
      <c r="G108" s="11" t="str">
        <f>IF(OR(E108="",E108="!!!"),"",IF(OR(J108=0,AND(J108=1,K108=1),AND(J108=1,I108="SBJ"),AND(J108=1,I108=0)),"?IN_FOCUS",IF(J108&lt;=2,"?ACTIVATED",IF(J108&lt;&gt;"","?FAMILIAR",IF(F108="NEW",IF(ISNA(VLOOKUP(E108,#REF!,1,FALSE())),"?TYPE_IDENTIFIABLE","?REFERENTIAL"),"_")))))</f>
        <v/>
      </c>
      <c r="H108" s="12" t="str">
        <f t="shared" si="3"/>
        <v/>
      </c>
      <c r="L108" s="15"/>
    </row>
    <row r="109" spans="1:12" x14ac:dyDescent="0.35">
      <c r="A109" t="s">
        <v>110</v>
      </c>
      <c r="B109" t="s">
        <v>14</v>
      </c>
      <c r="C109" t="s">
        <v>33</v>
      </c>
      <c r="D109" t="s">
        <v>867</v>
      </c>
      <c r="E109" s="9" t="s">
        <v>365</v>
      </c>
      <c r="F109" s="10" t="str">
        <f>IF(OR(E109="",E109="!!!"),"",IF(NOT(ISNA(VLOOKUP(E109,E$1:E108,1,FALSE()))),"OLD",IF(AND(E109&lt;&gt;"",E109&lt;&gt;"!!!"),"NEW","")))</f>
        <v>NEW</v>
      </c>
      <c r="G109" s="11" t="s">
        <v>870</v>
      </c>
      <c r="H109" s="12" t="str">
        <f t="shared" si="3"/>
        <v/>
      </c>
      <c r="L109" s="15"/>
    </row>
    <row r="110" spans="1:12" x14ac:dyDescent="0.35">
      <c r="A110" t="s">
        <v>111</v>
      </c>
      <c r="E110" s="9" t="str">
        <f t="shared" si="2"/>
        <v/>
      </c>
      <c r="F110" s="10" t="str">
        <f>IF(OR(E110="",E110="!!!"),"",IF(NOT(ISNA(VLOOKUP(E110,E$1:E109,1,FALSE()))),"OLD",IF(AND(E110&lt;&gt;"",E110&lt;&gt;"!!!"),"NEW","")))</f>
        <v/>
      </c>
      <c r="G110" s="11" t="str">
        <f>IF(OR(E110="",E110="!!!"),"",IF(OR(J110=0,AND(J110=1,K110=1),AND(J110=1,I110="SBJ"),AND(J110=1,I110=0)),"?IN_FOCUS",IF(J110&lt;=2,"?ACTIVATED",IF(J110&lt;&gt;"","?FAMILIAR",IF(F110="NEW",IF(ISNA(VLOOKUP(E110,#REF!,1,FALSE())),"?TYPE_IDENTIFIABLE","?REFERENTIAL"),"_")))))</f>
        <v/>
      </c>
      <c r="H110" s="12" t="str">
        <f t="shared" si="3"/>
        <v/>
      </c>
      <c r="L110" s="15"/>
    </row>
    <row r="111" spans="1:12" x14ac:dyDescent="0.35">
      <c r="A111" t="s">
        <v>112</v>
      </c>
      <c r="E111" s="9" t="str">
        <f t="shared" si="2"/>
        <v/>
      </c>
      <c r="F111" s="10" t="str">
        <f>IF(OR(E111="",E111="!!!"),"",IF(NOT(ISNA(VLOOKUP(E111,E$1:E110,1,FALSE()))),"OLD",IF(AND(E111&lt;&gt;"",E111&lt;&gt;"!!!"),"NEW","")))</f>
        <v/>
      </c>
      <c r="G111" s="11" t="str">
        <f>IF(OR(E111="",E111="!!!"),"",IF(OR(J111=0,AND(J111=1,K111=1),AND(J111=1,I111="SBJ"),AND(J111=1,I111=0)),"?IN_FOCUS",IF(J111&lt;=2,"?ACTIVATED",IF(J111&lt;&gt;"","?FAMILIAR",IF(F111="NEW",IF(ISNA(VLOOKUP(E111,#REF!,1,FALSE())),"?TYPE_IDENTIFIABLE","?REFERENTIAL"),"_")))))</f>
        <v/>
      </c>
      <c r="H111" s="12" t="str">
        <f t="shared" si="3"/>
        <v/>
      </c>
      <c r="L111" s="15"/>
    </row>
    <row r="112" spans="1:12" x14ac:dyDescent="0.35">
      <c r="A112" t="s">
        <v>113</v>
      </c>
      <c r="E112" s="9" t="str">
        <f t="shared" si="2"/>
        <v/>
      </c>
      <c r="F112" s="10" t="str">
        <f>IF(OR(E112="",E112="!!!"),"",IF(NOT(ISNA(VLOOKUP(E112,E$1:E111,1,FALSE()))),"OLD",IF(AND(E112&lt;&gt;"",E112&lt;&gt;"!!!"),"NEW","")))</f>
        <v/>
      </c>
      <c r="G112" s="11" t="str">
        <f>IF(OR(E112="",E112="!!!"),"",IF(OR(J112=0,AND(J112=1,K112=1),AND(J112=1,I112="SBJ"),AND(J112=1,I112=0)),"?IN_FOCUS",IF(J112&lt;=2,"?ACTIVATED",IF(J112&lt;&gt;"","?FAMILIAR",IF(F112="NEW",IF(ISNA(VLOOKUP(E112,#REF!,1,FALSE())),"?TYPE_IDENTIFIABLE","?REFERENTIAL"),"_")))))</f>
        <v/>
      </c>
      <c r="H112" s="12" t="str">
        <f t="shared" si="3"/>
        <v/>
      </c>
      <c r="L112" s="15"/>
    </row>
    <row r="113" spans="1:12" x14ac:dyDescent="0.35">
      <c r="A113" t="s">
        <v>114</v>
      </c>
      <c r="E113" s="9" t="str">
        <f t="shared" si="2"/>
        <v/>
      </c>
      <c r="F113" s="10" t="str">
        <f>IF(OR(E113="",E113="!!!"),"",IF(NOT(ISNA(VLOOKUP(E113,E$1:E112,1,FALSE()))),"OLD",IF(AND(E113&lt;&gt;"",E113&lt;&gt;"!!!"),"NEW","")))</f>
        <v/>
      </c>
      <c r="G113" s="11" t="str">
        <f>IF(OR(E113="",E113="!!!"),"",IF(OR(J113=0,AND(J113=1,K113=1),AND(J113=1,I113="SBJ"),AND(J113=1,I113=0)),"?IN_FOCUS",IF(J113&lt;=2,"?ACTIVATED",IF(J113&lt;&gt;"","?FAMILIAR",IF(F113="NEW",IF(ISNA(VLOOKUP(E113,#REF!,1,FALSE())),"?TYPE_IDENTIFIABLE","?REFERENTIAL"),"_")))))</f>
        <v/>
      </c>
      <c r="H113" s="12" t="str">
        <f t="shared" si="3"/>
        <v/>
      </c>
      <c r="L113" s="15"/>
    </row>
    <row r="114" spans="1:12" x14ac:dyDescent="0.35">
      <c r="A114" t="s">
        <v>31</v>
      </c>
      <c r="B114" t="s">
        <v>54</v>
      </c>
      <c r="C114" t="s">
        <v>33</v>
      </c>
      <c r="D114" t="s">
        <v>869</v>
      </c>
      <c r="E114" s="9" t="s">
        <v>871</v>
      </c>
      <c r="F114" s="10" t="str">
        <f>IF(OR(E114="",E114="!!!"),"",IF(NOT(ISNA(VLOOKUP(E114,E$1:E113,1,FALSE()))),"OLD",IF(AND(E114&lt;&gt;"",E114&lt;&gt;"!!!"),"NEW","")))</f>
        <v>OLD</v>
      </c>
      <c r="G114" s="11" t="s">
        <v>874</v>
      </c>
      <c r="H114" s="12" t="str">
        <f t="shared" si="3"/>
        <v/>
      </c>
      <c r="L114" s="15"/>
    </row>
    <row r="115" spans="1:12" x14ac:dyDescent="0.35">
      <c r="A115" t="s">
        <v>26</v>
      </c>
      <c r="E115" s="9" t="str">
        <f t="shared" si="2"/>
        <v/>
      </c>
      <c r="F115" s="10" t="str">
        <f>IF(OR(E115="",E115="!!!"),"",IF(NOT(ISNA(VLOOKUP(E115,E$1:E114,1,FALSE()))),"OLD",IF(AND(E115&lt;&gt;"",E115&lt;&gt;"!!!"),"NEW","")))</f>
        <v/>
      </c>
      <c r="G115" s="11" t="str">
        <f>IF(OR(E115="",E115="!!!"),"",IF(OR(J115=0,AND(J115=1,K115=1),AND(J115=1,I115="SBJ"),AND(J115=1,I115=0)),"?IN_FOCUS",IF(J115&lt;=2,"?ACTIVATED",IF(J115&lt;&gt;"","?FAMILIAR",IF(F115="NEW",IF(ISNA(VLOOKUP(E115,#REF!,1,FALSE())),"?TYPE_IDENTIFIABLE","?REFERENTIAL"),"_")))))</f>
        <v/>
      </c>
      <c r="H115" s="12" t="str">
        <f t="shared" si="3"/>
        <v/>
      </c>
      <c r="L115" s="15"/>
    </row>
    <row r="116" spans="1:12" x14ac:dyDescent="0.35">
      <c r="A116" t="s">
        <v>115</v>
      </c>
      <c r="E116" s="9" t="str">
        <f t="shared" si="2"/>
        <v/>
      </c>
      <c r="F116" s="10" t="str">
        <f>IF(OR(E116="",E116="!!!"),"",IF(NOT(ISNA(VLOOKUP(E116,E$1:E115,1,FALSE()))),"OLD",IF(AND(E116&lt;&gt;"",E116&lt;&gt;"!!!"),"NEW","")))</f>
        <v/>
      </c>
      <c r="G116" s="11" t="str">
        <f>IF(OR(E116="",E116="!!!"),"",IF(OR(J116=0,AND(J116=1,K116=1),AND(J116=1,I116="SBJ"),AND(J116=1,I116=0)),"?IN_FOCUS",IF(J116&lt;=2,"?ACTIVATED",IF(J116&lt;&gt;"","?FAMILIAR",IF(F116="NEW",IF(ISNA(VLOOKUP(E116,#REF!,1,FALSE())),"?TYPE_IDENTIFIABLE","?REFERENTIAL"),"_")))))</f>
        <v/>
      </c>
      <c r="H116" s="12" t="str">
        <f t="shared" si="3"/>
        <v/>
      </c>
      <c r="L116" s="15"/>
    </row>
    <row r="117" spans="1:12" x14ac:dyDescent="0.35">
      <c r="A117" t="s">
        <v>92</v>
      </c>
      <c r="E117" s="9" t="str">
        <f t="shared" si="2"/>
        <v/>
      </c>
      <c r="F117" s="10" t="str">
        <f>IF(OR(E117="",E117="!!!"),"",IF(NOT(ISNA(VLOOKUP(E117,E$1:E116,1,FALSE()))),"OLD",IF(AND(E117&lt;&gt;"",E117&lt;&gt;"!!!"),"NEW","")))</f>
        <v/>
      </c>
      <c r="G117" s="11" t="str">
        <f>IF(OR(E117="",E117="!!!"),"",IF(OR(J117=0,AND(J117=1,K117=1),AND(J117=1,I117="SBJ"),AND(J117=1,I117=0)),"?IN_FOCUS",IF(J117&lt;=2,"?ACTIVATED",IF(J117&lt;&gt;"","?FAMILIAR",IF(F117="NEW",IF(ISNA(VLOOKUP(E117,#REF!,1,FALSE())),"?TYPE_IDENTIFIABLE","?REFERENTIAL"),"_")))))</f>
        <v/>
      </c>
      <c r="H117" s="12" t="str">
        <f t="shared" si="3"/>
        <v/>
      </c>
      <c r="L117" s="15"/>
    </row>
    <row r="118" spans="1:12" x14ac:dyDescent="0.35">
      <c r="A118" t="s">
        <v>116</v>
      </c>
      <c r="E118" s="9" t="str">
        <f t="shared" si="2"/>
        <v/>
      </c>
      <c r="F118" s="10" t="str">
        <f>IF(OR(E118="",E118="!!!"),"",IF(NOT(ISNA(VLOOKUP(E118,E$1:E117,1,FALSE()))),"OLD",IF(AND(E118&lt;&gt;"",E118&lt;&gt;"!!!"),"NEW","")))</f>
        <v/>
      </c>
      <c r="G118" s="11" t="str">
        <f>IF(OR(E118="",E118="!!!"),"",IF(OR(J118=0,AND(J118=1,K118=1),AND(J118=1,I118="SBJ"),AND(J118=1,I118=0)),"?IN_FOCUS",IF(J118&lt;=2,"?ACTIVATED",IF(J118&lt;&gt;"","?FAMILIAR",IF(F118="NEW",IF(ISNA(VLOOKUP(E118,#REF!,1,FALSE())),"?TYPE_IDENTIFIABLE","?REFERENTIAL"),"_")))))</f>
        <v/>
      </c>
      <c r="H118" s="12" t="str">
        <f t="shared" si="3"/>
        <v/>
      </c>
      <c r="L118" s="15"/>
    </row>
    <row r="119" spans="1:12" x14ac:dyDescent="0.35">
      <c r="A119" t="s">
        <v>117</v>
      </c>
      <c r="E119" s="9" t="str">
        <f t="shared" si="2"/>
        <v/>
      </c>
      <c r="F119" s="10" t="str">
        <f>IF(OR(E119="",E119="!!!"),"",IF(NOT(ISNA(VLOOKUP(E119,E$1:E118,1,FALSE()))),"OLD",IF(AND(E119&lt;&gt;"",E119&lt;&gt;"!!!"),"NEW","")))</f>
        <v/>
      </c>
      <c r="G119" s="11" t="str">
        <f>IF(OR(E119="",E119="!!!"),"",IF(OR(J119=0,AND(J119=1,K119=1),AND(J119=1,I119="SBJ"),AND(J119=1,I119=0)),"?IN_FOCUS",IF(J119&lt;=2,"?ACTIVATED",IF(J119&lt;&gt;"","?FAMILIAR",IF(F119="NEW",IF(ISNA(VLOOKUP(E119,#REF!,1,FALSE())),"?TYPE_IDENTIFIABLE","?REFERENTIAL"),"_")))))</f>
        <v/>
      </c>
      <c r="H119" s="12" t="str">
        <f t="shared" si="3"/>
        <v/>
      </c>
      <c r="L119" s="15"/>
    </row>
    <row r="120" spans="1:12" x14ac:dyDescent="0.35">
      <c r="A120" t="s">
        <v>118</v>
      </c>
      <c r="E120" s="9" t="str">
        <f t="shared" si="2"/>
        <v/>
      </c>
      <c r="F120" s="10" t="str">
        <f>IF(OR(E120="",E120="!!!"),"",IF(NOT(ISNA(VLOOKUP(E120,E$1:E119,1,FALSE()))),"OLD",IF(AND(E120&lt;&gt;"",E120&lt;&gt;"!!!"),"NEW","")))</f>
        <v/>
      </c>
      <c r="G120" s="11" t="str">
        <f>IF(OR(E120="",E120="!!!"),"",IF(OR(J120=0,AND(J120=1,K120=1),AND(J120=1,I120="SBJ"),AND(J120=1,I120=0)),"?IN_FOCUS",IF(J120&lt;=2,"?ACTIVATED",IF(J120&lt;&gt;"","?FAMILIAR",IF(F120="NEW",IF(ISNA(VLOOKUP(E120,#REF!,1,FALSE())),"?TYPE_IDENTIFIABLE","?REFERENTIAL"),"_")))))</f>
        <v/>
      </c>
      <c r="H120" s="12" t="str">
        <f t="shared" si="3"/>
        <v/>
      </c>
      <c r="L120" s="15"/>
    </row>
    <row r="121" spans="1:12" x14ac:dyDescent="0.35">
      <c r="A121" t="s">
        <v>119</v>
      </c>
      <c r="E121" s="9" t="str">
        <f t="shared" si="2"/>
        <v/>
      </c>
      <c r="F121" s="10" t="str">
        <f>IF(OR(E121="",E121="!!!"),"",IF(NOT(ISNA(VLOOKUP(E121,E$1:E120,1,FALSE()))),"OLD",IF(AND(E121&lt;&gt;"",E121&lt;&gt;"!!!"),"NEW","")))</f>
        <v/>
      </c>
      <c r="G121" s="11" t="str">
        <f>IF(OR(E121="",E121="!!!"),"",IF(OR(J121=0,AND(J121=1,K121=1),AND(J121=1,I121="SBJ"),AND(J121=1,I121=0)),"?IN_FOCUS",IF(J121&lt;=2,"?ACTIVATED",IF(J121&lt;&gt;"","?FAMILIAR",IF(F121="NEW",IF(ISNA(VLOOKUP(E121,#REF!,1,FALSE())),"?TYPE_IDENTIFIABLE","?REFERENTIAL"),"_")))))</f>
        <v/>
      </c>
      <c r="H121" s="12" t="str">
        <f t="shared" si="3"/>
        <v/>
      </c>
      <c r="L121" s="15"/>
    </row>
    <row r="122" spans="1:12" x14ac:dyDescent="0.35">
      <c r="A122" t="s">
        <v>39</v>
      </c>
      <c r="E122" s="9" t="str">
        <f t="shared" si="2"/>
        <v/>
      </c>
      <c r="F122" s="10" t="str">
        <f>IF(OR(E122="",E122="!!!"),"",IF(NOT(ISNA(VLOOKUP(E122,E$1:E121,1,FALSE()))),"OLD",IF(AND(E122&lt;&gt;"",E122&lt;&gt;"!!!"),"NEW","")))</f>
        <v/>
      </c>
      <c r="G122" s="11" t="str">
        <f>IF(OR(E122="",E122="!!!"),"",IF(OR(J122=0,AND(J122=1,K122=1),AND(J122=1,I122="SBJ"),AND(J122=1,I122=0)),"?IN_FOCUS",IF(J122&lt;=2,"?ACTIVATED",IF(J122&lt;&gt;"","?FAMILIAR",IF(F122="NEW",IF(ISNA(VLOOKUP(E122,#REF!,1,FALSE())),"?TYPE_IDENTIFIABLE","?REFERENTIAL"),"_")))))</f>
        <v/>
      </c>
      <c r="H122" s="12" t="str">
        <f t="shared" si="3"/>
        <v/>
      </c>
      <c r="L122" s="15"/>
    </row>
    <row r="123" spans="1:12" x14ac:dyDescent="0.35">
      <c r="A123" t="s">
        <v>120</v>
      </c>
      <c r="E123" s="9" t="str">
        <f t="shared" si="2"/>
        <v/>
      </c>
      <c r="F123" s="10" t="str">
        <f>IF(OR(E123="",E123="!!!"),"",IF(NOT(ISNA(VLOOKUP(E123,E$1:E122,1,FALSE()))),"OLD",IF(AND(E123&lt;&gt;"",E123&lt;&gt;"!!!"),"NEW","")))</f>
        <v/>
      </c>
      <c r="G123" s="11" t="str">
        <f>IF(OR(E123="",E123="!!!"),"",IF(OR(J123=0,AND(J123=1,K123=1),AND(J123=1,I123="SBJ"),AND(J123=1,I123=0)),"?IN_FOCUS",IF(J123&lt;=2,"?ACTIVATED",IF(J123&lt;&gt;"","?FAMILIAR",IF(F123="NEW",IF(ISNA(VLOOKUP(E123,#REF!,1,FALSE())),"?TYPE_IDENTIFIABLE","?REFERENTIAL"),"_")))))</f>
        <v/>
      </c>
      <c r="H123" s="12" t="str">
        <f t="shared" si="3"/>
        <v/>
      </c>
      <c r="L123" s="15"/>
    </row>
    <row r="124" spans="1:12" x14ac:dyDescent="0.35">
      <c r="A124" t="s">
        <v>121</v>
      </c>
      <c r="B124" t="s">
        <v>54</v>
      </c>
      <c r="C124" t="s">
        <v>122</v>
      </c>
      <c r="D124" t="s">
        <v>16</v>
      </c>
      <c r="E124" s="9" t="s">
        <v>262</v>
      </c>
      <c r="F124" s="10" t="s">
        <v>876</v>
      </c>
      <c r="G124" s="11"/>
      <c r="H124" s="12" t="str">
        <f t="shared" si="3"/>
        <v/>
      </c>
      <c r="L124" s="15"/>
    </row>
    <row r="125" spans="1:12" x14ac:dyDescent="0.35">
      <c r="A125" t="s">
        <v>123</v>
      </c>
      <c r="E125" s="9" t="str">
        <f t="shared" si="2"/>
        <v/>
      </c>
      <c r="F125" s="10" t="str">
        <f>IF(OR(E125="",E125="!!!"),"",IF(NOT(ISNA(VLOOKUP(E125,E$1:E124,1,FALSE()))),"OLD",IF(AND(E125&lt;&gt;"",E125&lt;&gt;"!!!"),"NEW","")))</f>
        <v/>
      </c>
      <c r="G125" s="11" t="str">
        <f>IF(OR(E125="",E125="!!!"),"",IF(OR(J125=0,AND(J125=1,K125=1),AND(J125=1,I125="SBJ"),AND(J125=1,I125=0)),"?IN_FOCUS",IF(J125&lt;=2,"?ACTIVATED",IF(J125&lt;&gt;"","?FAMILIAR",IF(F125="NEW",IF(ISNA(VLOOKUP(E125,#REF!,1,FALSE())),"?TYPE_IDENTIFIABLE","?REFERENTIAL"),"_")))))</f>
        <v/>
      </c>
      <c r="H125" s="12" t="str">
        <f t="shared" si="3"/>
        <v/>
      </c>
      <c r="L125" s="15"/>
    </row>
    <row r="126" spans="1:12" x14ac:dyDescent="0.35">
      <c r="A126" t="s">
        <v>58</v>
      </c>
      <c r="E126" s="9" t="str">
        <f t="shared" si="2"/>
        <v/>
      </c>
      <c r="F126" s="10" t="str">
        <f>IF(OR(E126="",E126="!!!"),"",IF(NOT(ISNA(VLOOKUP(E126,E$1:E125,1,FALSE()))),"OLD",IF(AND(E126&lt;&gt;"",E126&lt;&gt;"!!!"),"NEW","")))</f>
        <v/>
      </c>
      <c r="G126" s="11" t="str">
        <f>IF(OR(E126="",E126="!!!"),"",IF(OR(J126=0,AND(J126=1,K126=1),AND(J126=1,I126="SBJ"),AND(J126=1,I126=0)),"?IN_FOCUS",IF(J126&lt;=2,"?ACTIVATED",IF(J126&lt;&gt;"","?FAMILIAR",IF(F126="NEW",IF(ISNA(VLOOKUP(E126,#REF!,1,FALSE())),"?TYPE_IDENTIFIABLE","?REFERENTIAL"),"_")))))</f>
        <v/>
      </c>
      <c r="H126" s="12" t="str">
        <f t="shared" si="3"/>
        <v/>
      </c>
      <c r="L126" s="15"/>
    </row>
    <row r="127" spans="1:12" x14ac:dyDescent="0.35">
      <c r="A127" t="s">
        <v>124</v>
      </c>
      <c r="B127" t="s">
        <v>24</v>
      </c>
      <c r="C127" t="s">
        <v>99</v>
      </c>
      <c r="D127" t="s">
        <v>16</v>
      </c>
      <c r="E127" s="9" t="s">
        <v>262</v>
      </c>
      <c r="F127" s="10" t="s">
        <v>876</v>
      </c>
      <c r="G127" s="11"/>
      <c r="H127" s="12" t="str">
        <f t="shared" si="3"/>
        <v/>
      </c>
      <c r="L127" s="15"/>
    </row>
    <row r="128" spans="1:12" x14ac:dyDescent="0.35">
      <c r="A128" t="s">
        <v>63</v>
      </c>
      <c r="E128" s="9" t="str">
        <f t="shared" si="2"/>
        <v/>
      </c>
      <c r="F128" s="10" t="str">
        <f>IF(OR(E128="",E128="!!!"),"",IF(NOT(ISNA(VLOOKUP(E128,E$1:E127,1,FALSE()))),"OLD",IF(AND(E128&lt;&gt;"",E128&lt;&gt;"!!!"),"NEW","")))</f>
        <v/>
      </c>
      <c r="G128" s="11" t="str">
        <f>IF(OR(E128="",E128="!!!"),"",IF(OR(J128=0,AND(J128=1,K128=1),AND(J128=1,I128="SBJ"),AND(J128=1,I128=0)),"?IN_FOCUS",IF(J128&lt;=2,"?ACTIVATED",IF(J128&lt;&gt;"","?FAMILIAR",IF(F128="NEW",IF(ISNA(VLOOKUP(E128,#REF!,1,FALSE())),"?TYPE_IDENTIFIABLE","?REFERENTIAL"),"_")))))</f>
        <v/>
      </c>
      <c r="H128" s="12" t="str">
        <f t="shared" si="3"/>
        <v/>
      </c>
      <c r="L128" s="15"/>
    </row>
    <row r="129" spans="1:12" x14ac:dyDescent="0.35">
      <c r="E129" s="9" t="str">
        <f t="shared" si="2"/>
        <v/>
      </c>
      <c r="F129" s="10" t="str">
        <f>IF(OR(E129="",E129="!!!"),"",IF(NOT(ISNA(VLOOKUP(E129,E$1:E128,1,FALSE()))),"OLD",IF(AND(E129&lt;&gt;"",E129&lt;&gt;"!!!"),"NEW","")))</f>
        <v/>
      </c>
      <c r="G129" s="11" t="str">
        <f>IF(OR(E129="",E129="!!!"),"",IF(OR(J129=0,AND(J129=1,K129=1),AND(J129=1,I129="SBJ"),AND(J129=1,I129=0)),"?IN_FOCUS",IF(J129&lt;=2,"?ACTIVATED",IF(J129&lt;&gt;"","?FAMILIAR",IF(F129="NEW",IF(ISNA(VLOOKUP(E129,#REF!,1,FALSE())),"?TYPE_IDENTIFIABLE","?REFERENTIAL"),"_")))))</f>
        <v/>
      </c>
      <c r="H129" s="12" t="str">
        <f t="shared" si="3"/>
        <v/>
      </c>
      <c r="L129" s="15"/>
    </row>
    <row r="130" spans="1:12" x14ac:dyDescent="0.35">
      <c r="A130" t="s">
        <v>125</v>
      </c>
      <c r="E130" s="9" t="str">
        <f t="shared" si="2"/>
        <v/>
      </c>
      <c r="F130" s="10" t="str">
        <f>IF(OR(E130="",E130="!!!"),"",IF(NOT(ISNA(VLOOKUP(E130,E$1:E129,1,FALSE()))),"OLD",IF(AND(E130&lt;&gt;"",E130&lt;&gt;"!!!"),"NEW","")))</f>
        <v/>
      </c>
      <c r="G130" s="11" t="str">
        <f>IF(OR(E130="",E130="!!!"),"",IF(OR(J130=0,AND(J130=1,K130=1),AND(J130=1,I130="SBJ"),AND(J130=1,I130=0)),"?IN_FOCUS",IF(J130&lt;=2,"?ACTIVATED",IF(J130&lt;&gt;"","?FAMILIAR",IF(F130="NEW",IF(ISNA(VLOOKUP(E130,#REF!,1,FALSE())),"?TYPE_IDENTIFIABLE","?REFERENTIAL"),"_")))))</f>
        <v/>
      </c>
      <c r="H130" s="12" t="str">
        <f t="shared" si="3"/>
        <v/>
      </c>
      <c r="L130" s="15"/>
    </row>
    <row r="131" spans="1:12" x14ac:dyDescent="0.35">
      <c r="A131" t="s">
        <v>97</v>
      </c>
      <c r="E131" s="9" t="str">
        <f t="shared" si="2"/>
        <v/>
      </c>
      <c r="F131" s="10" t="str">
        <f>IF(OR(E131="",E131="!!!"),"",IF(NOT(ISNA(VLOOKUP(E131,E$1:E130,1,FALSE()))),"OLD",IF(AND(E131&lt;&gt;"",E131&lt;&gt;"!!!"),"NEW","")))</f>
        <v/>
      </c>
      <c r="G131" s="11" t="str">
        <f>IF(OR(E131="",E131="!!!"),"",IF(OR(J131=0,AND(J131=1,K131=1),AND(J131=1,I131="SBJ"),AND(J131=1,I131=0)),"?IN_FOCUS",IF(J131&lt;=2,"?ACTIVATED",IF(J131&lt;&gt;"","?FAMILIAR",IF(F131="NEW",IF(ISNA(VLOOKUP(E131,#REF!,1,FALSE())),"?TYPE_IDENTIFIABLE","?REFERENTIAL"),"_")))))</f>
        <v/>
      </c>
      <c r="H131" s="12" t="str">
        <f t="shared" si="3"/>
        <v/>
      </c>
      <c r="L131" s="15"/>
    </row>
    <row r="132" spans="1:12" x14ac:dyDescent="0.35">
      <c r="A132" t="s">
        <v>126</v>
      </c>
      <c r="E132" s="9" t="str">
        <f t="shared" ref="E132:E195" si="4">IF(D132="?OLD","!!!","")</f>
        <v/>
      </c>
      <c r="F132" s="10" t="str">
        <f>IF(OR(E132="",E132="!!!"),"",IF(NOT(ISNA(VLOOKUP(E132,E$1:E131,1,FALSE()))),"OLD",IF(AND(E132&lt;&gt;"",E132&lt;&gt;"!!!"),"NEW","")))</f>
        <v/>
      </c>
      <c r="G132" s="11" t="str">
        <f>IF(OR(E132="",E132="!!!"),"",IF(OR(J132=0,AND(J132=1,K132=1),AND(J132=1,I132="SBJ"),AND(J132=1,I132=0)),"?IN_FOCUS",IF(J132&lt;=2,"?ACTIVATED",IF(J132&lt;&gt;"","?FAMILIAR",IF(F132="NEW",IF(ISNA(VLOOKUP(E132,#REF!,1,FALSE())),"?TYPE_IDENTIFIABLE","?REFERENTIAL"),"_")))))</f>
        <v/>
      </c>
      <c r="H132" s="12" t="str">
        <f t="shared" ref="H132:H195" si="5">IF(J132&lt;&gt;1,"",IF(I132="SBJ","CB","?"))</f>
        <v/>
      </c>
      <c r="L132" s="15"/>
    </row>
    <row r="133" spans="1:12" x14ac:dyDescent="0.35">
      <c r="A133" t="s">
        <v>127</v>
      </c>
      <c r="B133" t="s">
        <v>14</v>
      </c>
      <c r="C133" t="s">
        <v>99</v>
      </c>
      <c r="D133" t="s">
        <v>16</v>
      </c>
      <c r="E133" s="9" t="s">
        <v>262</v>
      </c>
      <c r="F133" s="10" t="s">
        <v>867</v>
      </c>
      <c r="G133" s="11"/>
      <c r="H133" s="12" t="str">
        <f t="shared" si="5"/>
        <v/>
      </c>
      <c r="L133" s="15"/>
    </row>
    <row r="134" spans="1:12" x14ac:dyDescent="0.35">
      <c r="A134" t="s">
        <v>42</v>
      </c>
      <c r="E134" s="9" t="str">
        <f t="shared" si="4"/>
        <v/>
      </c>
      <c r="F134" s="10" t="str">
        <f>IF(OR(E134="",E134="!!!"),"",IF(NOT(ISNA(VLOOKUP(E134,E$1:E133,1,FALSE()))),"OLD",IF(AND(E134&lt;&gt;"",E134&lt;&gt;"!!!"),"NEW","")))</f>
        <v/>
      </c>
      <c r="G134" s="11" t="str">
        <f>IF(OR(E134="",E134="!!!"),"",IF(OR(J134=0,AND(J134=1,K134=1),AND(J134=1,I134="SBJ"),AND(J134=1,I134=0)),"?IN_FOCUS",IF(J134&lt;=2,"?ACTIVATED",IF(J134&lt;&gt;"","?FAMILIAR",IF(F134="NEW",IF(ISNA(VLOOKUP(E134,#REF!,1,FALSE())),"?TYPE_IDENTIFIABLE","?REFERENTIAL"),"_")))))</f>
        <v/>
      </c>
      <c r="H134" s="12" t="str">
        <f t="shared" si="5"/>
        <v/>
      </c>
      <c r="L134" s="15"/>
    </row>
    <row r="135" spans="1:12" x14ac:dyDescent="0.35">
      <c r="A135" t="s">
        <v>123</v>
      </c>
      <c r="E135" s="9" t="str">
        <f t="shared" si="4"/>
        <v/>
      </c>
      <c r="F135" s="10" t="str">
        <f>IF(OR(E135="",E135="!!!"),"",IF(NOT(ISNA(VLOOKUP(E135,E$1:E134,1,FALSE()))),"OLD",IF(AND(E135&lt;&gt;"",E135&lt;&gt;"!!!"),"NEW","")))</f>
        <v/>
      </c>
      <c r="G135" s="11" t="str">
        <f>IF(OR(E135="",E135="!!!"),"",IF(OR(J135=0,AND(J135=1,K135=1),AND(J135=1,I135="SBJ"),AND(J135=1,I135=0)),"?IN_FOCUS",IF(J135&lt;=2,"?ACTIVATED",IF(J135&lt;&gt;"","?FAMILIAR",IF(F135="NEW",IF(ISNA(VLOOKUP(E135,#REF!,1,FALSE())),"?TYPE_IDENTIFIABLE","?REFERENTIAL"),"_")))))</f>
        <v/>
      </c>
      <c r="H135" s="12" t="str">
        <f t="shared" si="5"/>
        <v/>
      </c>
      <c r="L135" s="15"/>
    </row>
    <row r="136" spans="1:12" x14ac:dyDescent="0.35">
      <c r="A136" t="s">
        <v>128</v>
      </c>
      <c r="B136" t="s">
        <v>54</v>
      </c>
      <c r="C136" t="s">
        <v>15</v>
      </c>
      <c r="D136" t="s">
        <v>16</v>
      </c>
      <c r="E136" s="9" t="s">
        <v>262</v>
      </c>
      <c r="F136" s="10" t="s">
        <v>876</v>
      </c>
      <c r="G136" s="11"/>
      <c r="H136" s="12" t="str">
        <f t="shared" si="5"/>
        <v/>
      </c>
      <c r="L136" s="15"/>
    </row>
    <row r="137" spans="1:12" x14ac:dyDescent="0.35">
      <c r="A137" t="s">
        <v>17</v>
      </c>
      <c r="E137" s="9" t="str">
        <f t="shared" si="4"/>
        <v/>
      </c>
      <c r="F137" s="10" t="str">
        <f>IF(OR(E137="",E137="!!!"),"",IF(NOT(ISNA(VLOOKUP(E137,E$1:E136,1,FALSE()))),"OLD",IF(AND(E137&lt;&gt;"",E137&lt;&gt;"!!!"),"NEW","")))</f>
        <v/>
      </c>
      <c r="G137" s="11" t="str">
        <f>IF(OR(E137="",E137="!!!"),"",IF(OR(J137=0,AND(J137=1,K137=1),AND(J137=1,I137="SBJ"),AND(J137=1,I137=0)),"?IN_FOCUS",IF(J137&lt;=2,"?ACTIVATED",IF(J137&lt;&gt;"","?FAMILIAR",IF(F137="NEW",IF(ISNA(VLOOKUP(E137,#REF!,1,FALSE())),"?TYPE_IDENTIFIABLE","?REFERENTIAL"),"_")))))</f>
        <v/>
      </c>
      <c r="H137" s="12" t="str">
        <f t="shared" si="5"/>
        <v/>
      </c>
      <c r="L137" s="15"/>
    </row>
    <row r="138" spans="1:12" x14ac:dyDescent="0.35">
      <c r="A138" t="s">
        <v>129</v>
      </c>
      <c r="B138" t="s">
        <v>54</v>
      </c>
      <c r="C138" t="s">
        <v>33</v>
      </c>
      <c r="D138" t="s">
        <v>867</v>
      </c>
      <c r="E138" s="9" t="s">
        <v>872</v>
      </c>
      <c r="F138" s="10" t="str">
        <f>IF(OR(E138="",E138="!!!"),"",IF(NOT(ISNA(VLOOKUP(E138,E$1:E137,1,FALSE()))),"OLD",IF(AND(E138&lt;&gt;"",E138&lt;&gt;"!!!"),"NEW","")))</f>
        <v>NEW</v>
      </c>
      <c r="G138" s="11" t="s">
        <v>874</v>
      </c>
      <c r="H138" s="12" t="str">
        <f t="shared" si="5"/>
        <v/>
      </c>
      <c r="L138" s="15"/>
    </row>
    <row r="139" spans="1:12" x14ac:dyDescent="0.35">
      <c r="A139" t="s">
        <v>130</v>
      </c>
      <c r="E139" s="9" t="str">
        <f t="shared" si="4"/>
        <v/>
      </c>
      <c r="F139" s="10" t="str">
        <f>IF(OR(E139="",E139="!!!"),"",IF(NOT(ISNA(VLOOKUP(E139,E$1:E138,1,FALSE()))),"OLD",IF(AND(E139&lt;&gt;"",E139&lt;&gt;"!!!"),"NEW","")))</f>
        <v/>
      </c>
      <c r="G139" s="11" t="str">
        <f>IF(OR(E139="",E139="!!!"),"",IF(OR(J139=0,AND(J139=1,K139=1),AND(J139=1,I139="SBJ"),AND(J139=1,I139=0)),"?IN_FOCUS",IF(J139&lt;=2,"?ACTIVATED",IF(J139&lt;&gt;"","?FAMILIAR",IF(F139="NEW",IF(ISNA(VLOOKUP(E139,#REF!,1,FALSE())),"?TYPE_IDENTIFIABLE","?REFERENTIAL"),"_")))))</f>
        <v/>
      </c>
      <c r="H139" s="12" t="str">
        <f t="shared" si="5"/>
        <v/>
      </c>
      <c r="L139" s="15"/>
    </row>
    <row r="140" spans="1:12" x14ac:dyDescent="0.35">
      <c r="A140" t="s">
        <v>131</v>
      </c>
      <c r="E140" s="9" t="str">
        <f t="shared" si="4"/>
        <v/>
      </c>
      <c r="F140" s="10" t="str">
        <f>IF(OR(E140="",E140="!!!"),"",IF(NOT(ISNA(VLOOKUP(E140,E$1:E139,1,FALSE()))),"OLD",IF(AND(E140&lt;&gt;"",E140&lt;&gt;"!!!"),"NEW","")))</f>
        <v/>
      </c>
      <c r="G140" s="11" t="str">
        <f>IF(OR(E140="",E140="!!!"),"",IF(OR(J140=0,AND(J140=1,K140=1),AND(J140=1,I140="SBJ"),AND(J140=1,I140=0)),"?IN_FOCUS",IF(J140&lt;=2,"?ACTIVATED",IF(J140&lt;&gt;"","?FAMILIAR",IF(F140="NEW",IF(ISNA(VLOOKUP(E140,#REF!,1,FALSE())),"?TYPE_IDENTIFIABLE","?REFERENTIAL"),"_")))))</f>
        <v/>
      </c>
      <c r="H140" s="12" t="str">
        <f t="shared" si="5"/>
        <v/>
      </c>
      <c r="L140" s="15"/>
    </row>
    <row r="141" spans="1:12" x14ac:dyDescent="0.35">
      <c r="A141" t="s">
        <v>132</v>
      </c>
      <c r="E141" s="9" t="str">
        <f t="shared" si="4"/>
        <v/>
      </c>
      <c r="F141" s="10" t="str">
        <f>IF(OR(E141="",E141="!!!"),"",IF(NOT(ISNA(VLOOKUP(E141,E$1:E140,1,FALSE()))),"OLD",IF(AND(E141&lt;&gt;"",E141&lt;&gt;"!!!"),"NEW","")))</f>
        <v/>
      </c>
      <c r="G141" s="11" t="str">
        <f>IF(OR(E141="",E141="!!!"),"",IF(OR(J141=0,AND(J141=1,K141=1),AND(J141=1,I141="SBJ"),AND(J141=1,I141=0)),"?IN_FOCUS",IF(J141&lt;=2,"?ACTIVATED",IF(J141&lt;&gt;"","?FAMILIAR",IF(F141="NEW",IF(ISNA(VLOOKUP(E141,#REF!,1,FALSE())),"?TYPE_IDENTIFIABLE","?REFERENTIAL"),"_")))))</f>
        <v/>
      </c>
      <c r="H141" s="12" t="str">
        <f t="shared" si="5"/>
        <v/>
      </c>
      <c r="L141" s="15"/>
    </row>
    <row r="142" spans="1:12" x14ac:dyDescent="0.35">
      <c r="A142" t="s">
        <v>133</v>
      </c>
      <c r="B142" t="s">
        <v>36</v>
      </c>
      <c r="C142" t="s">
        <v>33</v>
      </c>
      <c r="D142" t="s">
        <v>869</v>
      </c>
      <c r="E142" s="9" t="s">
        <v>872</v>
      </c>
      <c r="F142" s="10" t="str">
        <f>IF(OR(E142="",E142="!!!"),"",IF(NOT(ISNA(VLOOKUP(E142,E$1:E141,1,FALSE()))),"OLD",IF(AND(E142&lt;&gt;"",E142&lt;&gt;"!!!"),"NEW","")))</f>
        <v>OLD</v>
      </c>
      <c r="G142" s="11" t="s">
        <v>870</v>
      </c>
      <c r="H142" s="12" t="str">
        <f t="shared" si="5"/>
        <v/>
      </c>
      <c r="L142" s="15"/>
    </row>
    <row r="143" spans="1:12" x14ac:dyDescent="0.35">
      <c r="A143" t="s">
        <v>83</v>
      </c>
      <c r="E143" s="9" t="str">
        <f t="shared" si="4"/>
        <v/>
      </c>
      <c r="F143" s="10" t="str">
        <f>IF(OR(E143="",E143="!!!"),"",IF(NOT(ISNA(VLOOKUP(E143,E$1:E142,1,FALSE()))),"OLD",IF(AND(E143&lt;&gt;"",E143&lt;&gt;"!!!"),"NEW","")))</f>
        <v/>
      </c>
      <c r="G143" s="11" t="str">
        <f>IF(OR(E143="",E143="!!!"),"",IF(OR(J143=0,AND(J143=1,K143=1),AND(J143=1,I143="SBJ"),AND(J143=1,I143=0)),"?IN_FOCUS",IF(J143&lt;=2,"?ACTIVATED",IF(J143&lt;&gt;"","?FAMILIAR",IF(F143="NEW",IF(ISNA(VLOOKUP(E143,#REF!,1,FALSE())),"?TYPE_IDENTIFIABLE","?REFERENTIAL"),"_")))))</f>
        <v/>
      </c>
      <c r="H143" s="12" t="str">
        <f t="shared" si="5"/>
        <v/>
      </c>
      <c r="L143" s="15"/>
    </row>
    <row r="144" spans="1:12" x14ac:dyDescent="0.35">
      <c r="A144" t="s">
        <v>134</v>
      </c>
      <c r="E144" s="9" t="str">
        <f t="shared" si="4"/>
        <v/>
      </c>
      <c r="F144" s="10" t="str">
        <f>IF(OR(E144="",E144="!!!"),"",IF(NOT(ISNA(VLOOKUP(E144,E$1:E143,1,FALSE()))),"OLD",IF(AND(E144&lt;&gt;"",E144&lt;&gt;"!!!"),"NEW","")))</f>
        <v/>
      </c>
      <c r="G144" s="11" t="str">
        <f>IF(OR(E144="",E144="!!!"),"",IF(OR(J144=0,AND(J144=1,K144=1),AND(J144=1,I144="SBJ"),AND(J144=1,I144=0)),"?IN_FOCUS",IF(J144&lt;=2,"?ACTIVATED",IF(J144&lt;&gt;"","?FAMILIAR",IF(F144="NEW",IF(ISNA(VLOOKUP(E144,#REF!,1,FALSE())),"?TYPE_IDENTIFIABLE","?REFERENTIAL"),"_")))))</f>
        <v/>
      </c>
      <c r="H144" s="12" t="str">
        <f t="shared" si="5"/>
        <v/>
      </c>
      <c r="L144" s="15"/>
    </row>
    <row r="145" spans="1:12" x14ac:dyDescent="0.35">
      <c r="A145" t="s">
        <v>45</v>
      </c>
      <c r="E145" s="9" t="str">
        <f t="shared" si="4"/>
        <v/>
      </c>
      <c r="F145" s="10" t="str">
        <f>IF(OR(E145="",E145="!!!"),"",IF(NOT(ISNA(VLOOKUP(E145,E$1:E144,1,FALSE()))),"OLD",IF(AND(E145&lt;&gt;"",E145&lt;&gt;"!!!"),"NEW","")))</f>
        <v/>
      </c>
      <c r="G145" s="11" t="str">
        <f>IF(OR(E145="",E145="!!!"),"",IF(OR(J145=0,AND(J145=1,K145=1),AND(J145=1,I145="SBJ"),AND(J145=1,I145=0)),"?IN_FOCUS",IF(J145&lt;=2,"?ACTIVATED",IF(J145&lt;&gt;"","?FAMILIAR",IF(F145="NEW",IF(ISNA(VLOOKUP(E145,#REF!,1,FALSE())),"?TYPE_IDENTIFIABLE","?REFERENTIAL"),"_")))))</f>
        <v/>
      </c>
      <c r="H145" s="12" t="str">
        <f t="shared" si="5"/>
        <v/>
      </c>
      <c r="L145" s="15"/>
    </row>
    <row r="146" spans="1:12" x14ac:dyDescent="0.35">
      <c r="A146" t="s">
        <v>135</v>
      </c>
      <c r="E146" s="9" t="str">
        <f t="shared" si="4"/>
        <v/>
      </c>
      <c r="F146" s="10" t="str">
        <f>IF(OR(E146="",E146="!!!"),"",IF(NOT(ISNA(VLOOKUP(E146,E$1:E145,1,FALSE()))),"OLD",IF(AND(E146&lt;&gt;"",E146&lt;&gt;"!!!"),"NEW","")))</f>
        <v/>
      </c>
      <c r="G146" s="11" t="str">
        <f>IF(OR(E146="",E146="!!!"),"",IF(OR(J146=0,AND(J146=1,K146=1),AND(J146=1,I146="SBJ"),AND(J146=1,I146=0)),"?IN_FOCUS",IF(J146&lt;=2,"?ACTIVATED",IF(J146&lt;&gt;"","?FAMILIAR",IF(F146="NEW",IF(ISNA(VLOOKUP(E146,#REF!,1,FALSE())),"?TYPE_IDENTIFIABLE","?REFERENTIAL"),"_")))))</f>
        <v/>
      </c>
      <c r="H146" s="12" t="str">
        <f t="shared" si="5"/>
        <v/>
      </c>
      <c r="L146" s="15"/>
    </row>
    <row r="147" spans="1:12" x14ac:dyDescent="0.35">
      <c r="A147" t="s">
        <v>136</v>
      </c>
      <c r="B147" t="s">
        <v>20</v>
      </c>
      <c r="C147" t="s">
        <v>49</v>
      </c>
      <c r="D147" t="s">
        <v>869</v>
      </c>
      <c r="E147" s="9" t="s">
        <v>872</v>
      </c>
      <c r="F147" s="10" t="str">
        <f>IF(OR(E147="",E147="!!!"),"",IF(NOT(ISNA(VLOOKUP(E147,E$1:E146,1,FALSE()))),"OLD",IF(AND(E147&lt;&gt;"",E147&lt;&gt;"!!!"),"NEW","")))</f>
        <v>OLD</v>
      </c>
      <c r="G147" s="11" t="s">
        <v>870</v>
      </c>
      <c r="H147" s="12" t="str">
        <f t="shared" si="5"/>
        <v/>
      </c>
      <c r="L147" s="15"/>
    </row>
    <row r="148" spans="1:12" x14ac:dyDescent="0.35">
      <c r="A148" t="s">
        <v>137</v>
      </c>
      <c r="E148" s="9" t="str">
        <f t="shared" si="4"/>
        <v/>
      </c>
      <c r="F148" s="10" t="str">
        <f>IF(OR(E148="",E148="!!!"),"",IF(NOT(ISNA(VLOOKUP(E148,E$1:E147,1,FALSE()))),"OLD",IF(AND(E148&lt;&gt;"",E148&lt;&gt;"!!!"),"NEW","")))</f>
        <v/>
      </c>
      <c r="G148" s="11" t="str">
        <f>IF(OR(E148="",E148="!!!"),"",IF(OR(J148=0,AND(J148=1,K148=1),AND(J148=1,I148="SBJ"),AND(J148=1,I148=0)),"?IN_FOCUS",IF(J148&lt;=2,"?ACTIVATED",IF(J148&lt;&gt;"","?FAMILIAR",IF(F148="NEW",IF(ISNA(VLOOKUP(E148,#REF!,1,FALSE())),"?TYPE_IDENTIFIABLE","?REFERENTIAL"),"_")))))</f>
        <v/>
      </c>
      <c r="H148" s="12" t="str">
        <f t="shared" si="5"/>
        <v/>
      </c>
      <c r="L148" s="15"/>
    </row>
    <row r="149" spans="1:12" x14ac:dyDescent="0.35">
      <c r="A149" t="s">
        <v>138</v>
      </c>
      <c r="B149" t="s">
        <v>91</v>
      </c>
      <c r="C149" t="s">
        <v>15</v>
      </c>
      <c r="D149" t="s">
        <v>16</v>
      </c>
      <c r="E149" s="9" t="s">
        <v>262</v>
      </c>
      <c r="F149" s="10" t="s">
        <v>876</v>
      </c>
      <c r="G149" s="11"/>
      <c r="H149" s="12" t="str">
        <f t="shared" si="5"/>
        <v/>
      </c>
      <c r="L149" s="15"/>
    </row>
    <row r="150" spans="1:12" x14ac:dyDescent="0.35">
      <c r="A150" t="s">
        <v>26</v>
      </c>
      <c r="E150" s="9" t="str">
        <f t="shared" si="4"/>
        <v/>
      </c>
      <c r="F150" s="10" t="str">
        <f>IF(OR(E150="",E150="!!!"),"",IF(NOT(ISNA(VLOOKUP(E150,E$1:E149,1,FALSE()))),"OLD",IF(AND(E150&lt;&gt;"",E150&lt;&gt;"!!!"),"NEW","")))</f>
        <v/>
      </c>
      <c r="G150" s="11" t="str">
        <f>IF(OR(E150="",E150="!!!"),"",IF(OR(J150=0,AND(J150=1,K150=1),AND(J150=1,I150="SBJ"),AND(J150=1,I150=0)),"?IN_FOCUS",IF(J150&lt;=2,"?ACTIVATED",IF(J150&lt;&gt;"","?FAMILIAR",IF(F150="NEW",IF(ISNA(VLOOKUP(E150,#REF!,1,FALSE())),"?TYPE_IDENTIFIABLE","?REFERENTIAL"),"_")))))</f>
        <v/>
      </c>
      <c r="H150" s="12" t="str">
        <f t="shared" si="5"/>
        <v/>
      </c>
      <c r="L150" s="15"/>
    </row>
    <row r="151" spans="1:12" x14ac:dyDescent="0.35">
      <c r="A151" t="s">
        <v>76</v>
      </c>
      <c r="E151" s="9" t="str">
        <f t="shared" si="4"/>
        <v/>
      </c>
      <c r="F151" s="10" t="str">
        <f>IF(OR(E151="",E151="!!!"),"",IF(NOT(ISNA(VLOOKUP(E151,E$1:E150,1,FALSE()))),"OLD",IF(AND(E151&lt;&gt;"",E151&lt;&gt;"!!!"),"NEW","")))</f>
        <v/>
      </c>
      <c r="G151" s="11" t="str">
        <f>IF(OR(E151="",E151="!!!"),"",IF(OR(J151=0,AND(J151=1,K151=1),AND(J151=1,I151="SBJ"),AND(J151=1,I151=0)),"?IN_FOCUS",IF(J151&lt;=2,"?ACTIVATED",IF(J151&lt;&gt;"","?FAMILIAR",IF(F151="NEW",IF(ISNA(VLOOKUP(E151,#REF!,1,FALSE())),"?TYPE_IDENTIFIABLE","?REFERENTIAL"),"_")))))</f>
        <v/>
      </c>
      <c r="H151" s="12" t="str">
        <f t="shared" si="5"/>
        <v/>
      </c>
      <c r="L151" s="15"/>
    </row>
    <row r="152" spans="1:12" x14ac:dyDescent="0.35">
      <c r="A152" t="s">
        <v>139</v>
      </c>
      <c r="E152" s="9" t="str">
        <f t="shared" si="4"/>
        <v/>
      </c>
      <c r="F152" s="10" t="str">
        <f>IF(OR(E152="",E152="!!!"),"",IF(NOT(ISNA(VLOOKUP(E152,E$1:E151,1,FALSE()))),"OLD",IF(AND(E152&lt;&gt;"",E152&lt;&gt;"!!!"),"NEW","")))</f>
        <v/>
      </c>
      <c r="G152" s="11" t="str">
        <f>IF(OR(E152="",E152="!!!"),"",IF(OR(J152=0,AND(J152=1,K152=1),AND(J152=1,I152="SBJ"),AND(J152=1,I152=0)),"?IN_FOCUS",IF(J152&lt;=2,"?ACTIVATED",IF(J152&lt;&gt;"","?FAMILIAR",IF(F152="NEW",IF(ISNA(VLOOKUP(E152,#REF!,1,FALSE())),"?TYPE_IDENTIFIABLE","?REFERENTIAL"),"_")))))</f>
        <v/>
      </c>
      <c r="H152" s="12" t="str">
        <f t="shared" si="5"/>
        <v/>
      </c>
      <c r="L152" s="15"/>
    </row>
    <row r="153" spans="1:12" x14ac:dyDescent="0.35">
      <c r="A153" t="s">
        <v>19</v>
      </c>
      <c r="B153" t="s">
        <v>36</v>
      </c>
      <c r="C153" t="s">
        <v>108</v>
      </c>
      <c r="E153" s="9" t="str">
        <f t="shared" si="4"/>
        <v/>
      </c>
      <c r="F153" s="10" t="str">
        <f>IF(OR(E153="",E153="!!!"),"",IF(NOT(ISNA(VLOOKUP(E153,E$1:E152,1,FALSE()))),"OLD",IF(AND(E153&lt;&gt;"",E153&lt;&gt;"!!!"),"NEW","")))</f>
        <v/>
      </c>
      <c r="G153" s="11" t="str">
        <f>IF(OR(E153="",E153="!!!"),"",IF(OR(J153=0,AND(J153=1,K153=1),AND(J153=1,I153="SBJ"),AND(J153=1,I153=0)),"?IN_FOCUS",IF(J153&lt;=2,"?ACTIVATED",IF(J153&lt;&gt;"","?FAMILIAR",IF(F153="NEW",IF(ISNA(VLOOKUP(E153,#REF!,1,FALSE())),"?TYPE_IDENTIFIABLE","?REFERENTIAL"),"_")))))</f>
        <v/>
      </c>
      <c r="H153" s="12" t="str">
        <f t="shared" si="5"/>
        <v/>
      </c>
      <c r="L153" s="15"/>
    </row>
    <row r="154" spans="1:12" x14ac:dyDescent="0.35">
      <c r="A154" t="s">
        <v>111</v>
      </c>
      <c r="E154" s="9" t="str">
        <f t="shared" si="4"/>
        <v/>
      </c>
      <c r="F154" s="10" t="str">
        <f>IF(OR(E154="",E154="!!!"),"",IF(NOT(ISNA(VLOOKUP(E154,E$1:E153,1,FALSE()))),"OLD",IF(AND(E154&lt;&gt;"",E154&lt;&gt;"!!!"),"NEW","")))</f>
        <v/>
      </c>
      <c r="G154" s="11" t="str">
        <f>IF(OR(E154="",E154="!!!"),"",IF(OR(J154=0,AND(J154=1,K154=1),AND(J154=1,I154="SBJ"),AND(J154=1,I154=0)),"?IN_FOCUS",IF(J154&lt;=2,"?ACTIVATED",IF(J154&lt;&gt;"","?FAMILIAR",IF(F154="NEW",IF(ISNA(VLOOKUP(E154,#REF!,1,FALSE())),"?TYPE_IDENTIFIABLE","?REFERENTIAL"),"_")))))</f>
        <v/>
      </c>
      <c r="H154" s="12" t="str">
        <f t="shared" si="5"/>
        <v/>
      </c>
      <c r="L154" s="15"/>
    </row>
    <row r="155" spans="1:12" x14ac:dyDescent="0.35">
      <c r="A155" t="s">
        <v>140</v>
      </c>
      <c r="E155" s="9" t="str">
        <f t="shared" si="4"/>
        <v/>
      </c>
      <c r="F155" s="10" t="str">
        <f>IF(OR(E155="",E155="!!!"),"",IF(NOT(ISNA(VLOOKUP(E155,E$1:E154,1,FALSE()))),"OLD",IF(AND(E155&lt;&gt;"",E155&lt;&gt;"!!!"),"NEW","")))</f>
        <v/>
      </c>
      <c r="G155" s="11" t="str">
        <f>IF(OR(E155="",E155="!!!"),"",IF(OR(J155=0,AND(J155=1,K155=1),AND(J155=1,I155="SBJ"),AND(J155=1,I155=0)),"?IN_FOCUS",IF(J155&lt;=2,"?ACTIVATED",IF(J155&lt;&gt;"","?FAMILIAR",IF(F155="NEW",IF(ISNA(VLOOKUP(E155,#REF!,1,FALSE())),"?TYPE_IDENTIFIABLE","?REFERENTIAL"),"_")))))</f>
        <v/>
      </c>
      <c r="H155" s="12" t="str">
        <f t="shared" si="5"/>
        <v/>
      </c>
      <c r="L155" s="15"/>
    </row>
    <row r="156" spans="1:12" x14ac:dyDescent="0.35">
      <c r="A156" t="s">
        <v>141</v>
      </c>
      <c r="B156" t="s">
        <v>91</v>
      </c>
      <c r="C156" t="s">
        <v>142</v>
      </c>
      <c r="D156" t="s">
        <v>16</v>
      </c>
      <c r="E156" s="9" t="s">
        <v>262</v>
      </c>
      <c r="F156" s="10" t="s">
        <v>876</v>
      </c>
      <c r="G156" s="11"/>
      <c r="H156" s="12" t="str">
        <f t="shared" si="5"/>
        <v/>
      </c>
      <c r="L156" s="15"/>
    </row>
    <row r="157" spans="1:12" x14ac:dyDescent="0.35">
      <c r="A157" t="s">
        <v>26</v>
      </c>
      <c r="E157" s="9" t="str">
        <f t="shared" si="4"/>
        <v/>
      </c>
      <c r="F157" s="10" t="str">
        <f>IF(OR(E157="",E157="!!!"),"",IF(NOT(ISNA(VLOOKUP(E157,E$1:E156,1,FALSE()))),"OLD",IF(AND(E157&lt;&gt;"",E157&lt;&gt;"!!!"),"NEW","")))</f>
        <v/>
      </c>
      <c r="G157" s="11" t="str">
        <f>IF(OR(E157="",E157="!!!"),"",IF(OR(J157=0,AND(J157=1,K157=1),AND(J157=1,I157="SBJ"),AND(J157=1,I157=0)),"?IN_FOCUS",IF(J157&lt;=2,"?ACTIVATED",IF(J157&lt;&gt;"","?FAMILIAR",IF(F157="NEW",IF(ISNA(VLOOKUP(E157,#REF!,1,FALSE())),"?TYPE_IDENTIFIABLE","?REFERENTIAL"),"_")))))</f>
        <v/>
      </c>
      <c r="H157" s="12" t="str">
        <f t="shared" si="5"/>
        <v/>
      </c>
      <c r="L157" s="15"/>
    </row>
    <row r="158" spans="1:12" x14ac:dyDescent="0.35">
      <c r="A158" t="s">
        <v>76</v>
      </c>
      <c r="E158" s="9" t="str">
        <f t="shared" si="4"/>
        <v/>
      </c>
      <c r="F158" s="10" t="str">
        <f>IF(OR(E158="",E158="!!!"),"",IF(NOT(ISNA(VLOOKUP(E158,E$1:E157,1,FALSE()))),"OLD",IF(AND(E158&lt;&gt;"",E158&lt;&gt;"!!!"),"NEW","")))</f>
        <v/>
      </c>
      <c r="G158" s="11" t="str">
        <f>IF(OR(E158="",E158="!!!"),"",IF(OR(J158=0,AND(J158=1,K158=1),AND(J158=1,I158="SBJ"),AND(J158=1,I158=0)),"?IN_FOCUS",IF(J158&lt;=2,"?ACTIVATED",IF(J158&lt;&gt;"","?FAMILIAR",IF(F158="NEW",IF(ISNA(VLOOKUP(E158,#REF!,1,FALSE())),"?TYPE_IDENTIFIABLE","?REFERENTIAL"),"_")))))</f>
        <v/>
      </c>
      <c r="H158" s="12" t="str">
        <f t="shared" si="5"/>
        <v/>
      </c>
      <c r="L158" s="15"/>
    </row>
    <row r="159" spans="1:12" x14ac:dyDescent="0.35">
      <c r="A159" t="s">
        <v>110</v>
      </c>
      <c r="B159" t="s">
        <v>143</v>
      </c>
      <c r="C159" t="s">
        <v>33</v>
      </c>
      <c r="D159" t="s">
        <v>869</v>
      </c>
      <c r="E159" s="9" t="s">
        <v>365</v>
      </c>
      <c r="F159" s="10" t="str">
        <f>IF(OR(E159="",E159="!!!"),"",IF(NOT(ISNA(VLOOKUP(E159,E$1:E158,1,FALSE()))),"OLD",IF(AND(E159&lt;&gt;"",E159&lt;&gt;"!!!"),"NEW","")))</f>
        <v>OLD</v>
      </c>
      <c r="G159" s="11" t="s">
        <v>877</v>
      </c>
      <c r="H159" s="12" t="str">
        <f t="shared" si="5"/>
        <v/>
      </c>
      <c r="L159" s="15"/>
    </row>
    <row r="160" spans="1:12" x14ac:dyDescent="0.35">
      <c r="A160" t="s">
        <v>144</v>
      </c>
      <c r="E160" s="9" t="str">
        <f t="shared" si="4"/>
        <v/>
      </c>
      <c r="F160" s="10" t="str">
        <f>IF(OR(E160="",E160="!!!"),"",IF(NOT(ISNA(VLOOKUP(E160,E$1:E159,1,FALSE()))),"OLD",IF(AND(E160&lt;&gt;"",E160&lt;&gt;"!!!"),"NEW","")))</f>
        <v/>
      </c>
      <c r="G160" s="11" t="str">
        <f>IF(OR(E160="",E160="!!!"),"",IF(OR(J160=0,AND(J160=1,K160=1),AND(J160=1,I160="SBJ"),AND(J160=1,I160=0)),"?IN_FOCUS",IF(J160&lt;=2,"?ACTIVATED",IF(J160&lt;&gt;"","?FAMILIAR",IF(F160="NEW",IF(ISNA(VLOOKUP(E160,#REF!,1,FALSE())),"?TYPE_IDENTIFIABLE","?REFERENTIAL"),"_")))))</f>
        <v/>
      </c>
      <c r="H160" s="12" t="str">
        <f t="shared" si="5"/>
        <v/>
      </c>
      <c r="L160" s="15"/>
    </row>
    <row r="161" spans="1:12" x14ac:dyDescent="0.35">
      <c r="A161" t="s">
        <v>145</v>
      </c>
      <c r="E161" s="9" t="str">
        <f t="shared" si="4"/>
        <v/>
      </c>
      <c r="F161" s="10" t="str">
        <f>IF(OR(E161="",E161="!!!"),"",IF(NOT(ISNA(VLOOKUP(E161,E$1:E160,1,FALSE()))),"OLD",IF(AND(E161&lt;&gt;"",E161&lt;&gt;"!!!"),"NEW","")))</f>
        <v/>
      </c>
      <c r="G161" s="11" t="str">
        <f>IF(OR(E161="",E161="!!!"),"",IF(OR(J161=0,AND(J161=1,K161=1),AND(J161=1,I161="SBJ"),AND(J161=1,I161=0)),"?IN_FOCUS",IF(J161&lt;=2,"?ACTIVATED",IF(J161&lt;&gt;"","?FAMILIAR",IF(F161="NEW",IF(ISNA(VLOOKUP(E161,#REF!,1,FALSE())),"?TYPE_IDENTIFIABLE","?REFERENTIAL"),"_")))))</f>
        <v/>
      </c>
      <c r="H161" s="12" t="str">
        <f t="shared" si="5"/>
        <v/>
      </c>
      <c r="L161" s="15"/>
    </row>
    <row r="162" spans="1:12" x14ac:dyDescent="0.35">
      <c r="A162" t="s">
        <v>146</v>
      </c>
      <c r="E162" s="9" t="str">
        <f t="shared" si="4"/>
        <v/>
      </c>
      <c r="F162" s="10" t="str">
        <f>IF(OR(E162="",E162="!!!"),"",IF(NOT(ISNA(VLOOKUP(E162,E$1:E161,1,FALSE()))),"OLD",IF(AND(E162&lt;&gt;"",E162&lt;&gt;"!!!"),"NEW","")))</f>
        <v/>
      </c>
      <c r="G162" s="11" t="str">
        <f>IF(OR(E162="",E162="!!!"),"",IF(OR(J162=0,AND(J162=1,K162=1),AND(J162=1,I162="SBJ"),AND(J162=1,I162=0)),"?IN_FOCUS",IF(J162&lt;=2,"?ACTIVATED",IF(J162&lt;&gt;"","?FAMILIAR",IF(F162="NEW",IF(ISNA(VLOOKUP(E162,#REF!,1,FALSE())),"?TYPE_IDENTIFIABLE","?REFERENTIAL"),"_")))))</f>
        <v/>
      </c>
      <c r="H162" s="12" t="str">
        <f t="shared" si="5"/>
        <v/>
      </c>
      <c r="L162" s="15"/>
    </row>
    <row r="163" spans="1:12" x14ac:dyDescent="0.35">
      <c r="A163" t="s">
        <v>147</v>
      </c>
      <c r="B163" t="s">
        <v>52</v>
      </c>
      <c r="C163" t="s">
        <v>148</v>
      </c>
      <c r="E163" s="9" t="str">
        <f t="shared" si="4"/>
        <v/>
      </c>
      <c r="F163" s="10" t="str">
        <f>IF(OR(E163="",E163="!!!"),"",IF(NOT(ISNA(VLOOKUP(E163,E$1:E162,1,FALSE()))),"OLD",IF(AND(E163&lt;&gt;"",E163&lt;&gt;"!!!"),"NEW","")))</f>
        <v/>
      </c>
      <c r="G163" s="11" t="str">
        <f>IF(OR(E163="",E163="!!!"),"",IF(OR(J163=0,AND(J163=1,K163=1),AND(J163=1,I163="SBJ"),AND(J163=1,I163=0)),"?IN_FOCUS",IF(J163&lt;=2,"?ACTIVATED",IF(J163&lt;&gt;"","?FAMILIAR",IF(F163="NEW",IF(ISNA(VLOOKUP(E163,#REF!,1,FALSE())),"?TYPE_IDENTIFIABLE","?REFERENTIAL"),"_")))))</f>
        <v/>
      </c>
      <c r="H163" s="12" t="str">
        <f t="shared" si="5"/>
        <v/>
      </c>
      <c r="L163" s="15"/>
    </row>
    <row r="164" spans="1:12" x14ac:dyDescent="0.35">
      <c r="A164" t="s">
        <v>47</v>
      </c>
      <c r="B164" t="s">
        <v>149</v>
      </c>
      <c r="C164" t="s">
        <v>49</v>
      </c>
      <c r="D164" t="s">
        <v>869</v>
      </c>
      <c r="E164" s="9" t="s">
        <v>868</v>
      </c>
      <c r="F164" s="10" t="str">
        <f>IF(OR(E164="",E164="!!!"),"",IF(NOT(ISNA(VLOOKUP(E164,E$1:E163,1,FALSE()))),"OLD",IF(AND(E164&lt;&gt;"",E164&lt;&gt;"!!!"),"NEW","")))</f>
        <v>OLD</v>
      </c>
      <c r="G164" s="11" t="s">
        <v>877</v>
      </c>
      <c r="H164" s="12" t="str">
        <f t="shared" si="5"/>
        <v/>
      </c>
      <c r="L164" s="15"/>
    </row>
    <row r="165" spans="1:12" x14ac:dyDescent="0.35">
      <c r="A165" t="s">
        <v>150</v>
      </c>
      <c r="B165" t="s">
        <v>151</v>
      </c>
      <c r="C165" t="s">
        <v>15</v>
      </c>
      <c r="D165" t="s">
        <v>16</v>
      </c>
      <c r="E165" s="9" t="s">
        <v>262</v>
      </c>
      <c r="F165" s="10" t="s">
        <v>876</v>
      </c>
      <c r="G165" s="11"/>
      <c r="H165" s="12" t="str">
        <f t="shared" si="5"/>
        <v/>
      </c>
      <c r="L165" s="15"/>
    </row>
    <row r="166" spans="1:12" x14ac:dyDescent="0.35">
      <c r="A166" t="s">
        <v>17</v>
      </c>
      <c r="E166" s="9" t="str">
        <f t="shared" si="4"/>
        <v/>
      </c>
      <c r="F166" s="10" t="str">
        <f>IF(OR(E166="",E166="!!!"),"",IF(NOT(ISNA(VLOOKUP(E166,E$1:E165,1,FALSE()))),"OLD",IF(AND(E166&lt;&gt;"",E166&lt;&gt;"!!!"),"NEW","")))</f>
        <v/>
      </c>
      <c r="G166" s="11" t="str">
        <f>IF(OR(E166="",E166="!!!"),"",IF(OR(J166=0,AND(J166=1,K166=1),AND(J166=1,I166="SBJ"),AND(J166=1,I166=0)),"?IN_FOCUS",IF(J166&lt;=2,"?ACTIVATED",IF(J166&lt;&gt;"","?FAMILIAR",IF(F166="NEW",IF(ISNA(VLOOKUP(E166,#REF!,1,FALSE())),"?TYPE_IDENTIFIABLE","?REFERENTIAL"),"_")))))</f>
        <v/>
      </c>
      <c r="H166" s="12" t="str">
        <f t="shared" si="5"/>
        <v/>
      </c>
      <c r="L166" s="15"/>
    </row>
    <row r="167" spans="1:12" x14ac:dyDescent="0.35">
      <c r="A167" t="s">
        <v>152</v>
      </c>
      <c r="B167" t="s">
        <v>149</v>
      </c>
      <c r="C167" t="s">
        <v>108</v>
      </c>
      <c r="E167" s="9" t="str">
        <f t="shared" si="4"/>
        <v/>
      </c>
      <c r="F167" s="10" t="str">
        <f>IF(OR(E167="",E167="!!!"),"",IF(NOT(ISNA(VLOOKUP(E167,E$1:E166,1,FALSE()))),"OLD",IF(AND(E167&lt;&gt;"",E167&lt;&gt;"!!!"),"NEW","")))</f>
        <v/>
      </c>
      <c r="G167" s="11" t="str">
        <f>IF(OR(E167="",E167="!!!"),"",IF(OR(J167=0,AND(J167=1,K167=1),AND(J167=1,I167="SBJ"),AND(J167=1,I167=0)),"?IN_FOCUS",IF(J167&lt;=2,"?ACTIVATED",IF(J167&lt;&gt;"","?FAMILIAR",IF(F167="NEW",IF(ISNA(VLOOKUP(E167,#REF!,1,FALSE())),"?TYPE_IDENTIFIABLE","?REFERENTIAL"),"_")))))</f>
        <v/>
      </c>
      <c r="H167" s="12" t="str">
        <f t="shared" si="5"/>
        <v/>
      </c>
      <c r="L167" s="15"/>
    </row>
    <row r="168" spans="1:12" x14ac:dyDescent="0.35">
      <c r="A168" t="s">
        <v>153</v>
      </c>
      <c r="E168" s="9" t="str">
        <f t="shared" si="4"/>
        <v/>
      </c>
      <c r="F168" s="10" t="str">
        <f>IF(OR(E168="",E168="!!!"),"",IF(NOT(ISNA(VLOOKUP(E168,E$1:E167,1,FALSE()))),"OLD",IF(AND(E168&lt;&gt;"",E168&lt;&gt;"!!!"),"NEW","")))</f>
        <v/>
      </c>
      <c r="G168" s="11" t="str">
        <f>IF(OR(E168="",E168="!!!"),"",IF(OR(J168=0,AND(J168=1,K168=1),AND(J168=1,I168="SBJ"),AND(J168=1,I168=0)),"?IN_FOCUS",IF(J168&lt;=2,"?ACTIVATED",IF(J168&lt;&gt;"","?FAMILIAR",IF(F168="NEW",IF(ISNA(VLOOKUP(E168,#REF!,1,FALSE())),"?TYPE_IDENTIFIABLE","?REFERENTIAL"),"_")))))</f>
        <v/>
      </c>
      <c r="H168" s="12" t="str">
        <f t="shared" si="5"/>
        <v/>
      </c>
      <c r="L168" s="15"/>
    </row>
    <row r="169" spans="1:12" x14ac:dyDescent="0.35">
      <c r="A169" t="s">
        <v>154</v>
      </c>
      <c r="E169" s="9" t="str">
        <f t="shared" si="4"/>
        <v/>
      </c>
      <c r="F169" s="10" t="str">
        <f>IF(OR(E169="",E169="!!!"),"",IF(NOT(ISNA(VLOOKUP(E169,E$1:E168,1,FALSE()))),"OLD",IF(AND(E169&lt;&gt;"",E169&lt;&gt;"!!!"),"NEW","")))</f>
        <v/>
      </c>
      <c r="G169" s="11" t="str">
        <f>IF(OR(E169="",E169="!!!"),"",IF(OR(J169=0,AND(J169=1,K169=1),AND(J169=1,I169="SBJ"),AND(J169=1,I169=0)),"?IN_FOCUS",IF(J169&lt;=2,"?ACTIVATED",IF(J169&lt;&gt;"","?FAMILIAR",IF(F169="NEW",IF(ISNA(VLOOKUP(E169,#REF!,1,FALSE())),"?TYPE_IDENTIFIABLE","?REFERENTIAL"),"_")))))</f>
        <v/>
      </c>
      <c r="H169" s="12" t="str">
        <f t="shared" si="5"/>
        <v/>
      </c>
      <c r="L169" s="15"/>
    </row>
    <row r="170" spans="1:12" x14ac:dyDescent="0.35">
      <c r="A170" t="s">
        <v>63</v>
      </c>
      <c r="E170" s="9" t="str">
        <f t="shared" si="4"/>
        <v/>
      </c>
      <c r="F170" s="10" t="str">
        <f>IF(OR(E170="",E170="!!!"),"",IF(NOT(ISNA(VLOOKUP(E170,E$1:E169,1,FALSE()))),"OLD",IF(AND(E170&lt;&gt;"",E170&lt;&gt;"!!!"),"NEW","")))</f>
        <v/>
      </c>
      <c r="G170" s="11" t="str">
        <f>IF(OR(E170="",E170="!!!"),"",IF(OR(J170=0,AND(J170=1,K170=1),AND(J170=1,I170="SBJ"),AND(J170=1,I170=0)),"?IN_FOCUS",IF(J170&lt;=2,"?ACTIVATED",IF(J170&lt;&gt;"","?FAMILIAR",IF(F170="NEW",IF(ISNA(VLOOKUP(E170,#REF!,1,FALSE())),"?TYPE_IDENTIFIABLE","?REFERENTIAL"),"_")))))</f>
        <v/>
      </c>
      <c r="H170" s="12" t="str">
        <f t="shared" si="5"/>
        <v/>
      </c>
      <c r="L170" s="15"/>
    </row>
    <row r="171" spans="1:12" x14ac:dyDescent="0.35">
      <c r="E171" s="9" t="str">
        <f t="shared" si="4"/>
        <v/>
      </c>
      <c r="F171" s="10" t="str">
        <f>IF(OR(E171="",E171="!!!"),"",IF(NOT(ISNA(VLOOKUP(E171,E$1:E170,1,FALSE()))),"OLD",IF(AND(E171&lt;&gt;"",E171&lt;&gt;"!!!"),"NEW","")))</f>
        <v/>
      </c>
      <c r="G171" s="11" t="str">
        <f>IF(OR(E171="",E171="!!!"),"",IF(OR(J171=0,AND(J171=1,K171=1),AND(J171=1,I171="SBJ"),AND(J171=1,I171=0)),"?IN_FOCUS",IF(J171&lt;=2,"?ACTIVATED",IF(J171&lt;&gt;"","?FAMILIAR",IF(F171="NEW",IF(ISNA(VLOOKUP(E171,#REF!,1,FALSE())),"?TYPE_IDENTIFIABLE","?REFERENTIAL"),"_")))))</f>
        <v/>
      </c>
      <c r="H171" s="12" t="str">
        <f t="shared" si="5"/>
        <v/>
      </c>
      <c r="L171" s="15"/>
    </row>
    <row r="172" spans="1:12" x14ac:dyDescent="0.35">
      <c r="A172" t="s">
        <v>155</v>
      </c>
      <c r="E172" s="9" t="str">
        <f t="shared" si="4"/>
        <v/>
      </c>
      <c r="F172" s="10" t="str">
        <f>IF(OR(E172="",E172="!!!"),"",IF(NOT(ISNA(VLOOKUP(E172,E$1:E171,1,FALSE()))),"OLD",IF(AND(E172&lt;&gt;"",E172&lt;&gt;"!!!"),"NEW","")))</f>
        <v/>
      </c>
      <c r="G172" s="11" t="str">
        <f>IF(OR(E172="",E172="!!!"),"",IF(OR(J172=0,AND(J172=1,K172=1),AND(J172=1,I172="SBJ"),AND(J172=1,I172=0)),"?IN_FOCUS",IF(J172&lt;=2,"?ACTIVATED",IF(J172&lt;&gt;"","?FAMILIAR",IF(F172="NEW",IF(ISNA(VLOOKUP(E172,#REF!,1,FALSE())),"?TYPE_IDENTIFIABLE","?REFERENTIAL"),"_")))))</f>
        <v/>
      </c>
      <c r="H172" s="12" t="str">
        <f t="shared" si="5"/>
        <v/>
      </c>
      <c r="L172" s="15"/>
    </row>
    <row r="173" spans="1:12" x14ac:dyDescent="0.35">
      <c r="A173" t="s">
        <v>156</v>
      </c>
      <c r="B173" t="s">
        <v>24</v>
      </c>
      <c r="C173" t="s">
        <v>49</v>
      </c>
      <c r="D173" t="s">
        <v>16</v>
      </c>
      <c r="E173" s="9" t="s">
        <v>365</v>
      </c>
      <c r="F173" s="10" t="str">
        <f>IF(OR(E173="",E173="!!!"),"",IF(NOT(ISNA(VLOOKUP(E173,E$1:E172,1,FALSE()))),"OLD",IF(AND(E173&lt;&gt;"",E173&lt;&gt;"!!!"),"NEW","")))</f>
        <v>OLD</v>
      </c>
      <c r="G173" s="11" t="s">
        <v>877</v>
      </c>
      <c r="H173" s="12" t="str">
        <f t="shared" si="5"/>
        <v/>
      </c>
      <c r="L173" s="15"/>
    </row>
    <row r="174" spans="1:12" x14ac:dyDescent="0.35">
      <c r="A174" t="s">
        <v>157</v>
      </c>
      <c r="B174" t="s">
        <v>14</v>
      </c>
      <c r="C174" t="s">
        <v>15</v>
      </c>
      <c r="D174" t="s">
        <v>16</v>
      </c>
      <c r="E174" s="9" t="s">
        <v>262</v>
      </c>
      <c r="F174" s="10" t="s">
        <v>876</v>
      </c>
      <c r="G174" s="11"/>
      <c r="H174" s="12" t="str">
        <f t="shared" si="5"/>
        <v/>
      </c>
      <c r="L174" s="15"/>
    </row>
    <row r="175" spans="1:12" x14ac:dyDescent="0.35">
      <c r="A175" t="s">
        <v>158</v>
      </c>
      <c r="E175" s="9" t="str">
        <f t="shared" si="4"/>
        <v/>
      </c>
      <c r="F175" s="10" t="str">
        <f>IF(OR(E175="",E175="!!!"),"",IF(NOT(ISNA(VLOOKUP(E175,E$1:E174,1,FALSE()))),"OLD",IF(AND(E175&lt;&gt;"",E175&lt;&gt;"!!!"),"NEW","")))</f>
        <v/>
      </c>
      <c r="G175" s="11" t="str">
        <f>IF(OR(E175="",E175="!!!"),"",IF(OR(J175=0,AND(J175=1,K175=1),AND(J175=1,I175="SBJ"),AND(J175=1,I175=0)),"?IN_FOCUS",IF(J175&lt;=2,"?ACTIVATED",IF(J175&lt;&gt;"","?FAMILIAR",IF(F175="NEW",IF(ISNA(VLOOKUP(E175,#REF!,1,FALSE())),"?TYPE_IDENTIFIABLE","?REFERENTIAL"),"_")))))</f>
        <v/>
      </c>
      <c r="H175" s="12" t="str">
        <f t="shared" si="5"/>
        <v/>
      </c>
      <c r="L175" s="15"/>
    </row>
    <row r="176" spans="1:12" x14ac:dyDescent="0.35">
      <c r="A176" t="s">
        <v>159</v>
      </c>
      <c r="E176" s="9" t="str">
        <f t="shared" si="4"/>
        <v/>
      </c>
      <c r="F176" s="10" t="str">
        <f>IF(OR(E176="",E176="!!!"),"",IF(NOT(ISNA(VLOOKUP(E176,E$1:E175,1,FALSE()))),"OLD",IF(AND(E176&lt;&gt;"",E176&lt;&gt;"!!!"),"NEW","")))</f>
        <v/>
      </c>
      <c r="G176" s="11" t="str">
        <f>IF(OR(E176="",E176="!!!"),"",IF(OR(J176=0,AND(J176=1,K176=1),AND(J176=1,I176="SBJ"),AND(J176=1,I176=0)),"?IN_FOCUS",IF(J176&lt;=2,"?ACTIVATED",IF(J176&lt;&gt;"","?FAMILIAR",IF(F176="NEW",IF(ISNA(VLOOKUP(E176,#REF!,1,FALSE())),"?TYPE_IDENTIFIABLE","?REFERENTIAL"),"_")))))</f>
        <v/>
      </c>
      <c r="H176" s="12" t="str">
        <f t="shared" si="5"/>
        <v/>
      </c>
      <c r="L176" s="15"/>
    </row>
    <row r="177" spans="1:12" x14ac:dyDescent="0.35">
      <c r="A177" t="s">
        <v>160</v>
      </c>
      <c r="B177" t="s">
        <v>54</v>
      </c>
      <c r="C177" t="s">
        <v>108</v>
      </c>
      <c r="E177" s="9" t="str">
        <f t="shared" si="4"/>
        <v/>
      </c>
      <c r="F177" s="10" t="str">
        <f>IF(OR(E177="",E177="!!!"),"",IF(NOT(ISNA(VLOOKUP(E177,E$1:E176,1,FALSE()))),"OLD",IF(AND(E177&lt;&gt;"",E177&lt;&gt;"!!!"),"NEW","")))</f>
        <v/>
      </c>
      <c r="G177" s="11" t="str">
        <f>IF(OR(E177="",E177="!!!"),"",IF(OR(J177=0,AND(J177=1,K177=1),AND(J177=1,I177="SBJ"),AND(J177=1,I177=0)),"?IN_FOCUS",IF(J177&lt;=2,"?ACTIVATED",IF(J177&lt;&gt;"","?FAMILIAR",IF(F177="NEW",IF(ISNA(VLOOKUP(E177,#REF!,1,FALSE())),"?TYPE_IDENTIFIABLE","?REFERENTIAL"),"_")))))</f>
        <v/>
      </c>
      <c r="H177" s="12" t="str">
        <f t="shared" si="5"/>
        <v/>
      </c>
      <c r="L177" s="15"/>
    </row>
    <row r="178" spans="1:12" x14ac:dyDescent="0.35">
      <c r="A178" t="s">
        <v>161</v>
      </c>
      <c r="E178" s="9" t="str">
        <f t="shared" si="4"/>
        <v/>
      </c>
      <c r="F178" s="10" t="str">
        <f>IF(OR(E178="",E178="!!!"),"",IF(NOT(ISNA(VLOOKUP(E178,E$1:E177,1,FALSE()))),"OLD",IF(AND(E178&lt;&gt;"",E178&lt;&gt;"!!!"),"NEW","")))</f>
        <v/>
      </c>
      <c r="G178" s="11" t="str">
        <f>IF(OR(E178="",E178="!!!"),"",IF(OR(J178=0,AND(J178=1,K178=1),AND(J178=1,I178="SBJ"),AND(J178=1,I178=0)),"?IN_FOCUS",IF(J178&lt;=2,"?ACTIVATED",IF(J178&lt;&gt;"","?FAMILIAR",IF(F178="NEW",IF(ISNA(VLOOKUP(E178,#REF!,1,FALSE())),"?TYPE_IDENTIFIABLE","?REFERENTIAL"),"_")))))</f>
        <v/>
      </c>
      <c r="H178" s="12" t="str">
        <f t="shared" si="5"/>
        <v/>
      </c>
      <c r="L178" s="15"/>
    </row>
    <row r="179" spans="1:12" x14ac:dyDescent="0.35">
      <c r="A179" t="s">
        <v>131</v>
      </c>
      <c r="E179" s="9" t="str">
        <f t="shared" si="4"/>
        <v/>
      </c>
      <c r="F179" s="10" t="str">
        <f>IF(OR(E179="",E179="!!!"),"",IF(NOT(ISNA(VLOOKUP(E179,E$1:E178,1,FALSE()))),"OLD",IF(AND(E179&lt;&gt;"",E179&lt;&gt;"!!!"),"NEW","")))</f>
        <v/>
      </c>
      <c r="G179" s="11" t="str">
        <f>IF(OR(E179="",E179="!!!"),"",IF(OR(J179=0,AND(J179=1,K179=1),AND(J179=1,I179="SBJ"),AND(J179=1,I179=0)),"?IN_FOCUS",IF(J179&lt;=2,"?ACTIVATED",IF(J179&lt;&gt;"","?FAMILIAR",IF(F179="NEW",IF(ISNA(VLOOKUP(E179,#REF!,1,FALSE())),"?TYPE_IDENTIFIABLE","?REFERENTIAL"),"_")))))</f>
        <v/>
      </c>
      <c r="H179" s="12" t="str">
        <f t="shared" si="5"/>
        <v/>
      </c>
      <c r="L179" s="15"/>
    </row>
    <row r="180" spans="1:12" x14ac:dyDescent="0.35">
      <c r="A180" t="s">
        <v>132</v>
      </c>
      <c r="E180" s="9" t="str">
        <f t="shared" si="4"/>
        <v/>
      </c>
      <c r="F180" s="10" t="str">
        <f>IF(OR(E180="",E180="!!!"),"",IF(NOT(ISNA(VLOOKUP(E180,E$1:E179,1,FALSE()))),"OLD",IF(AND(E180&lt;&gt;"",E180&lt;&gt;"!!!"),"NEW","")))</f>
        <v/>
      </c>
      <c r="G180" s="11" t="str">
        <f>IF(OR(E180="",E180="!!!"),"",IF(OR(J180=0,AND(J180=1,K180=1),AND(J180=1,I180="SBJ"),AND(J180=1,I180=0)),"?IN_FOCUS",IF(J180&lt;=2,"?ACTIVATED",IF(J180&lt;&gt;"","?FAMILIAR",IF(F180="NEW",IF(ISNA(VLOOKUP(E180,#REF!,1,FALSE())),"?TYPE_IDENTIFIABLE","?REFERENTIAL"),"_")))))</f>
        <v/>
      </c>
      <c r="H180" s="12" t="str">
        <f t="shared" si="5"/>
        <v/>
      </c>
      <c r="L180" s="15"/>
    </row>
    <row r="181" spans="1:12" x14ac:dyDescent="0.35">
      <c r="A181" t="s">
        <v>58</v>
      </c>
      <c r="E181" s="9" t="str">
        <f t="shared" si="4"/>
        <v/>
      </c>
      <c r="F181" s="10" t="str">
        <f>IF(OR(E181="",E181="!!!"),"",IF(NOT(ISNA(VLOOKUP(E181,E$1:E180,1,FALSE()))),"OLD",IF(AND(E181&lt;&gt;"",E181&lt;&gt;"!!!"),"NEW","")))</f>
        <v/>
      </c>
      <c r="G181" s="11" t="str">
        <f>IF(OR(E181="",E181="!!!"),"",IF(OR(J181=0,AND(J181=1,K181=1),AND(J181=1,I181="SBJ"),AND(J181=1,I181=0)),"?IN_FOCUS",IF(J181&lt;=2,"?ACTIVATED",IF(J181&lt;&gt;"","?FAMILIAR",IF(F181="NEW",IF(ISNA(VLOOKUP(E181,#REF!,1,FALSE())),"?TYPE_IDENTIFIABLE","?REFERENTIAL"),"_")))))</f>
        <v/>
      </c>
      <c r="H181" s="12" t="str">
        <f t="shared" si="5"/>
        <v/>
      </c>
      <c r="L181" s="15"/>
    </row>
    <row r="182" spans="1:12" x14ac:dyDescent="0.35">
      <c r="A182" t="s">
        <v>162</v>
      </c>
      <c r="E182" s="9" t="str">
        <f t="shared" si="4"/>
        <v/>
      </c>
      <c r="F182" s="10" t="str">
        <f>IF(OR(E182="",E182="!!!"),"",IF(NOT(ISNA(VLOOKUP(E182,E$1:E181,1,FALSE()))),"OLD",IF(AND(E182&lt;&gt;"",E182&lt;&gt;"!!!"),"NEW","")))</f>
        <v/>
      </c>
      <c r="G182" s="11" t="str">
        <f>IF(OR(E182="",E182="!!!"),"",IF(OR(J182=0,AND(J182=1,K182=1),AND(J182=1,I182="SBJ"),AND(J182=1,I182=0)),"?IN_FOCUS",IF(J182&lt;=2,"?ACTIVATED",IF(J182&lt;&gt;"","?FAMILIAR",IF(F182="NEW",IF(ISNA(VLOOKUP(E182,#REF!,1,FALSE())),"?TYPE_IDENTIFIABLE","?REFERENTIAL"),"_")))))</f>
        <v/>
      </c>
      <c r="H182" s="12" t="str">
        <f t="shared" si="5"/>
        <v/>
      </c>
      <c r="L182" s="15"/>
    </row>
    <row r="183" spans="1:12" x14ac:dyDescent="0.35">
      <c r="A183" t="s">
        <v>163</v>
      </c>
      <c r="B183" t="s">
        <v>24</v>
      </c>
      <c r="C183" t="s">
        <v>99</v>
      </c>
      <c r="D183" t="s">
        <v>16</v>
      </c>
      <c r="E183" s="9" t="s">
        <v>262</v>
      </c>
      <c r="F183" s="10" t="s">
        <v>876</v>
      </c>
      <c r="G183" s="11"/>
      <c r="H183" s="12" t="str">
        <f t="shared" si="5"/>
        <v/>
      </c>
      <c r="L183" s="15"/>
    </row>
    <row r="184" spans="1:12" x14ac:dyDescent="0.35">
      <c r="A184" t="s">
        <v>164</v>
      </c>
      <c r="E184" s="9" t="str">
        <f t="shared" si="4"/>
        <v/>
      </c>
      <c r="F184" s="10" t="str">
        <f>IF(OR(E184="",E184="!!!"),"",IF(NOT(ISNA(VLOOKUP(E184,E$1:E183,1,FALSE()))),"OLD",IF(AND(E184&lt;&gt;"",E184&lt;&gt;"!!!"),"NEW","")))</f>
        <v/>
      </c>
      <c r="G184" s="11" t="str">
        <f>IF(OR(E184="",E184="!!!"),"",IF(OR(J184=0,AND(J184=1,K184=1),AND(J184=1,I184="SBJ"),AND(J184=1,I184=0)),"?IN_FOCUS",IF(J184&lt;=2,"?ACTIVATED",IF(J184&lt;&gt;"","?FAMILIAR",IF(F184="NEW",IF(ISNA(VLOOKUP(E184,#REF!,1,FALSE())),"?TYPE_IDENTIFIABLE","?REFERENTIAL"),"_")))))</f>
        <v/>
      </c>
      <c r="H184" s="12" t="str">
        <f t="shared" si="5"/>
        <v/>
      </c>
      <c r="L184" s="15"/>
    </row>
    <row r="185" spans="1:12" x14ac:dyDescent="0.35">
      <c r="A185" t="s">
        <v>136</v>
      </c>
      <c r="B185" t="s">
        <v>56</v>
      </c>
      <c r="C185" t="s">
        <v>49</v>
      </c>
      <c r="D185" t="s">
        <v>16</v>
      </c>
      <c r="E185" s="9" t="s">
        <v>872</v>
      </c>
      <c r="F185" s="10" t="str">
        <f>IF(OR(E185="",E185="!!!"),"",IF(NOT(ISNA(VLOOKUP(E185,E$1:E184,1,FALSE()))),"OLD",IF(AND(E185&lt;&gt;"",E185&lt;&gt;"!!!"),"NEW","")))</f>
        <v>OLD</v>
      </c>
      <c r="G185" s="11" t="s">
        <v>874</v>
      </c>
      <c r="H185" s="12" t="str">
        <f t="shared" si="5"/>
        <v/>
      </c>
      <c r="L185" s="15"/>
    </row>
    <row r="186" spans="1:12" x14ac:dyDescent="0.35">
      <c r="A186" t="s">
        <v>165</v>
      </c>
      <c r="B186" t="s">
        <v>20</v>
      </c>
      <c r="C186" t="s">
        <v>15</v>
      </c>
      <c r="D186" t="s">
        <v>16</v>
      </c>
      <c r="E186" s="9" t="s">
        <v>262</v>
      </c>
      <c r="F186" s="10" t="s">
        <v>876</v>
      </c>
      <c r="G186" s="11"/>
      <c r="H186" s="12" t="str">
        <f t="shared" si="5"/>
        <v/>
      </c>
      <c r="L186" s="15"/>
    </row>
    <row r="187" spans="1:12" x14ac:dyDescent="0.35">
      <c r="A187" t="s">
        <v>76</v>
      </c>
      <c r="E187" s="9" t="str">
        <f t="shared" si="4"/>
        <v/>
      </c>
      <c r="F187" s="10" t="str">
        <f>IF(OR(E187="",E187="!!!"),"",IF(NOT(ISNA(VLOOKUP(E187,E$1:E186,1,FALSE()))),"OLD",IF(AND(E187&lt;&gt;"",E187&lt;&gt;"!!!"),"NEW","")))</f>
        <v/>
      </c>
      <c r="G187" s="11" t="str">
        <f>IF(OR(E187="",E187="!!!"),"",IF(OR(J187=0,AND(J187=1,K187=1),AND(J187=1,I187="SBJ"),AND(J187=1,I187=0)),"?IN_FOCUS",IF(J187&lt;=2,"?ACTIVATED",IF(J187&lt;&gt;"","?FAMILIAR",IF(F187="NEW",IF(ISNA(VLOOKUP(E187,#REF!,1,FALSE())),"?TYPE_IDENTIFIABLE","?REFERENTIAL"),"_")))))</f>
        <v/>
      </c>
      <c r="H187" s="12" t="str">
        <f t="shared" si="5"/>
        <v/>
      </c>
      <c r="L187" s="15"/>
    </row>
    <row r="188" spans="1:12" x14ac:dyDescent="0.35">
      <c r="A188" t="s">
        <v>58</v>
      </c>
      <c r="E188" s="9" t="str">
        <f t="shared" si="4"/>
        <v/>
      </c>
      <c r="F188" s="10" t="str">
        <f>IF(OR(E188="",E188="!!!"),"",IF(NOT(ISNA(VLOOKUP(E188,E$1:E187,1,FALSE()))),"OLD",IF(AND(E188&lt;&gt;"",E188&lt;&gt;"!!!"),"NEW","")))</f>
        <v/>
      </c>
      <c r="G188" s="11" t="str">
        <f>IF(OR(E188="",E188="!!!"),"",IF(OR(J188=0,AND(J188=1,K188=1),AND(J188=1,I188="SBJ"),AND(J188=1,I188=0)),"?IN_FOCUS",IF(J188&lt;=2,"?ACTIVATED",IF(J188&lt;&gt;"","?FAMILIAR",IF(F188="NEW",IF(ISNA(VLOOKUP(E188,#REF!,1,FALSE())),"?TYPE_IDENTIFIABLE","?REFERENTIAL"),"_")))))</f>
        <v/>
      </c>
      <c r="H188" s="12" t="str">
        <f t="shared" si="5"/>
        <v/>
      </c>
      <c r="L188" s="15"/>
    </row>
    <row r="189" spans="1:12" x14ac:dyDescent="0.35">
      <c r="A189" t="s">
        <v>166</v>
      </c>
      <c r="E189" s="9" t="str">
        <f t="shared" si="4"/>
        <v/>
      </c>
      <c r="F189" s="10" t="str">
        <f>IF(OR(E189="",E189="!!!"),"",IF(NOT(ISNA(VLOOKUP(E189,E$1:E188,1,FALSE()))),"OLD",IF(AND(E189&lt;&gt;"",E189&lt;&gt;"!!!"),"NEW","")))</f>
        <v/>
      </c>
      <c r="G189" s="11" t="str">
        <f>IF(OR(E189="",E189="!!!"),"",IF(OR(J189=0,AND(J189=1,K189=1),AND(J189=1,I189="SBJ"),AND(J189=1,I189=0)),"?IN_FOCUS",IF(J189&lt;=2,"?ACTIVATED",IF(J189&lt;&gt;"","?FAMILIAR",IF(F189="NEW",IF(ISNA(VLOOKUP(E189,#REF!,1,FALSE())),"?TYPE_IDENTIFIABLE","?REFERENTIAL"),"_")))))</f>
        <v/>
      </c>
      <c r="H189" s="12" t="str">
        <f t="shared" si="5"/>
        <v/>
      </c>
      <c r="L189" s="15"/>
    </row>
    <row r="190" spans="1:12" x14ac:dyDescent="0.35">
      <c r="A190" t="s">
        <v>26</v>
      </c>
      <c r="E190" s="9" t="str">
        <f t="shared" si="4"/>
        <v/>
      </c>
      <c r="F190" s="10" t="str">
        <f>IF(OR(E190="",E190="!!!"),"",IF(NOT(ISNA(VLOOKUP(E190,E$1:E189,1,FALSE()))),"OLD",IF(AND(E190&lt;&gt;"",E190&lt;&gt;"!!!"),"NEW","")))</f>
        <v/>
      </c>
      <c r="G190" s="11" t="str">
        <f>IF(OR(E190="",E190="!!!"),"",IF(OR(J190=0,AND(J190=1,K190=1),AND(J190=1,I190="SBJ"),AND(J190=1,I190=0)),"?IN_FOCUS",IF(J190&lt;=2,"?ACTIVATED",IF(J190&lt;&gt;"","?FAMILIAR",IF(F190="NEW",IF(ISNA(VLOOKUP(E190,#REF!,1,FALSE())),"?TYPE_IDENTIFIABLE","?REFERENTIAL"),"_")))))</f>
        <v/>
      </c>
      <c r="H190" s="12" t="str">
        <f t="shared" si="5"/>
        <v/>
      </c>
      <c r="L190" s="15"/>
    </row>
    <row r="191" spans="1:12" x14ac:dyDescent="0.35">
      <c r="A191" t="s">
        <v>167</v>
      </c>
      <c r="E191" s="9" t="str">
        <f t="shared" si="4"/>
        <v/>
      </c>
      <c r="F191" s="10" t="str">
        <f>IF(OR(E191="",E191="!!!"),"",IF(NOT(ISNA(VLOOKUP(E191,E$1:E190,1,FALSE()))),"OLD",IF(AND(E191&lt;&gt;"",E191&lt;&gt;"!!!"),"NEW","")))</f>
        <v/>
      </c>
      <c r="G191" s="11" t="str">
        <f>IF(OR(E191="",E191="!!!"),"",IF(OR(J191=0,AND(J191=1,K191=1),AND(J191=1,I191="SBJ"),AND(J191=1,I191=0)),"?IN_FOCUS",IF(J191&lt;=2,"?ACTIVATED",IF(J191&lt;&gt;"","?FAMILIAR",IF(F191="NEW",IF(ISNA(VLOOKUP(E191,#REF!,1,FALSE())),"?TYPE_IDENTIFIABLE","?REFERENTIAL"),"_")))))</f>
        <v/>
      </c>
      <c r="H191" s="12" t="str">
        <f t="shared" si="5"/>
        <v/>
      </c>
      <c r="L191" s="15"/>
    </row>
    <row r="192" spans="1:12" x14ac:dyDescent="0.35">
      <c r="A192" t="s">
        <v>168</v>
      </c>
      <c r="B192" t="s">
        <v>56</v>
      </c>
      <c r="C192" t="s">
        <v>99</v>
      </c>
      <c r="D192" t="s">
        <v>16</v>
      </c>
      <c r="E192" s="9" t="s">
        <v>262</v>
      </c>
      <c r="F192" s="10" t="s">
        <v>876</v>
      </c>
      <c r="G192" s="11"/>
      <c r="H192" s="12" t="str">
        <f t="shared" si="5"/>
        <v/>
      </c>
      <c r="L192" s="15"/>
    </row>
    <row r="193" spans="1:12" x14ac:dyDescent="0.35">
      <c r="A193" t="s">
        <v>169</v>
      </c>
      <c r="E193" s="9" t="str">
        <f t="shared" si="4"/>
        <v/>
      </c>
      <c r="F193" s="10" t="str">
        <f>IF(OR(E193="",E193="!!!"),"",IF(NOT(ISNA(VLOOKUP(E193,E$1:E192,1,FALSE()))),"OLD",IF(AND(E193&lt;&gt;"",E193&lt;&gt;"!!!"),"NEW","")))</f>
        <v/>
      </c>
      <c r="G193" s="11" t="str">
        <f>IF(OR(E193="",E193="!!!"),"",IF(OR(J193=0,AND(J193=1,K193=1),AND(J193=1,I193="SBJ"),AND(J193=1,I193=0)),"?IN_FOCUS",IF(J193&lt;=2,"?ACTIVATED",IF(J193&lt;&gt;"","?FAMILIAR",IF(F193="NEW",IF(ISNA(VLOOKUP(E193,#REF!,1,FALSE())),"?TYPE_IDENTIFIABLE","?REFERENTIAL"),"_")))))</f>
        <v/>
      </c>
      <c r="H193" s="12" t="str">
        <f t="shared" si="5"/>
        <v/>
      </c>
      <c r="L193" s="15"/>
    </row>
    <row r="194" spans="1:12" x14ac:dyDescent="0.35">
      <c r="A194" t="s">
        <v>170</v>
      </c>
      <c r="E194" s="9" t="str">
        <f t="shared" si="4"/>
        <v/>
      </c>
      <c r="F194" s="10" t="str">
        <f>IF(OR(E194="",E194="!!!"),"",IF(NOT(ISNA(VLOOKUP(E194,E$1:E193,1,FALSE()))),"OLD",IF(AND(E194&lt;&gt;"",E194&lt;&gt;"!!!"),"NEW","")))</f>
        <v/>
      </c>
      <c r="G194" s="11" t="str">
        <f>IF(OR(E194="",E194="!!!"),"",IF(OR(J194=0,AND(J194=1,K194=1),AND(J194=1,I194="SBJ"),AND(J194=1,I194=0)),"?IN_FOCUS",IF(J194&lt;=2,"?ACTIVATED",IF(J194&lt;&gt;"","?FAMILIAR",IF(F194="NEW",IF(ISNA(VLOOKUP(E194,#REF!,1,FALSE())),"?TYPE_IDENTIFIABLE","?REFERENTIAL"),"_")))))</f>
        <v/>
      </c>
      <c r="H194" s="12" t="str">
        <f t="shared" si="5"/>
        <v/>
      </c>
      <c r="L194" s="15"/>
    </row>
    <row r="195" spans="1:12" x14ac:dyDescent="0.35">
      <c r="A195" t="s">
        <v>171</v>
      </c>
      <c r="B195" t="s">
        <v>48</v>
      </c>
      <c r="C195" t="s">
        <v>172</v>
      </c>
      <c r="E195" s="9" t="str">
        <f t="shared" si="4"/>
        <v/>
      </c>
      <c r="F195" s="10" t="str">
        <f>IF(OR(E195="",E195="!!!"),"",IF(NOT(ISNA(VLOOKUP(E195,E$1:E194,1,FALSE()))),"OLD",IF(AND(E195&lt;&gt;"",E195&lt;&gt;"!!!"),"NEW","")))</f>
        <v/>
      </c>
      <c r="G195" s="11" t="str">
        <f>IF(OR(E195="",E195="!!!"),"",IF(OR(J195=0,AND(J195=1,K195=1),AND(J195=1,I195="SBJ"),AND(J195=1,I195=0)),"?IN_FOCUS",IF(J195&lt;=2,"?ACTIVATED",IF(J195&lt;&gt;"","?FAMILIAR",IF(F195="NEW",IF(ISNA(VLOOKUP(E195,#REF!,1,FALSE())),"?TYPE_IDENTIFIABLE","?REFERENTIAL"),"_")))))</f>
        <v/>
      </c>
      <c r="H195" s="12" t="str">
        <f t="shared" si="5"/>
        <v/>
      </c>
      <c r="L195" s="15"/>
    </row>
    <row r="196" spans="1:12" x14ac:dyDescent="0.35">
      <c r="A196" t="s">
        <v>17</v>
      </c>
      <c r="E196" s="9" t="str">
        <f t="shared" ref="E196:E201" si="6">IF(D196="?OLD","!!!","")</f>
        <v/>
      </c>
      <c r="F196" s="10" t="str">
        <f>IF(OR(E196="",E196="!!!"),"",IF(NOT(ISNA(VLOOKUP(E196,E$1:E195,1,FALSE()))),"OLD",IF(AND(E196&lt;&gt;"",E196&lt;&gt;"!!!"),"NEW","")))</f>
        <v/>
      </c>
      <c r="G196" s="11" t="str">
        <f>IF(OR(E196="",E196="!!!"),"",IF(OR(J196=0,AND(J196=1,K196=1),AND(J196=1,I196="SBJ"),AND(J196=1,I196=0)),"?IN_FOCUS",IF(J196&lt;=2,"?ACTIVATED",IF(J196&lt;&gt;"","?FAMILIAR",IF(F196="NEW",IF(ISNA(VLOOKUP(E196,#REF!,1,FALSE())),"?TYPE_IDENTIFIABLE","?REFERENTIAL"),"_")))))</f>
        <v/>
      </c>
      <c r="H196" s="12" t="str">
        <f t="shared" ref="H196:H201" si="7">IF(J196&lt;&gt;1,"",IF(I196="SBJ","CB","?"))</f>
        <v/>
      </c>
      <c r="L196" s="15"/>
    </row>
    <row r="197" spans="1:12" x14ac:dyDescent="0.35">
      <c r="A197" t="s">
        <v>58</v>
      </c>
      <c r="E197" s="9" t="str">
        <f t="shared" si="6"/>
        <v/>
      </c>
      <c r="F197" s="10" t="str">
        <f>IF(OR(E197="",E197="!!!"),"",IF(NOT(ISNA(VLOOKUP(E197,E$1:E196,1,FALSE()))),"OLD",IF(AND(E197&lt;&gt;"",E197&lt;&gt;"!!!"),"NEW","")))</f>
        <v/>
      </c>
      <c r="G197" s="11" t="str">
        <f>IF(OR(E197="",E197="!!!"),"",IF(OR(J197=0,AND(J197=1,K197=1),AND(J197=1,I197="SBJ"),AND(J197=1,I197=0)),"?IN_FOCUS",IF(J197&lt;=2,"?ACTIVATED",IF(J197&lt;&gt;"","?FAMILIAR",IF(F197="NEW",IF(ISNA(VLOOKUP(E197,#REF!,1,FALSE())),"?TYPE_IDENTIFIABLE","?REFERENTIAL"),"_")))))</f>
        <v/>
      </c>
      <c r="H197" s="12" t="str">
        <f t="shared" si="7"/>
        <v/>
      </c>
      <c r="L197" s="15"/>
    </row>
    <row r="198" spans="1:12" x14ac:dyDescent="0.35">
      <c r="A198" t="s">
        <v>173</v>
      </c>
      <c r="E198" s="9" t="str">
        <f t="shared" si="6"/>
        <v/>
      </c>
      <c r="F198" s="10" t="str">
        <f>IF(OR(E198="",E198="!!!"),"",IF(NOT(ISNA(VLOOKUP(E198,E$1:E197,1,FALSE()))),"OLD",IF(AND(E198&lt;&gt;"",E198&lt;&gt;"!!!"),"NEW","")))</f>
        <v/>
      </c>
      <c r="G198" s="11" t="str">
        <f>IF(OR(E198="",E198="!!!"),"",IF(OR(J198=0,AND(J198=1,K198=1),AND(J198=1,I198="SBJ"),AND(J198=1,I198=0)),"?IN_FOCUS",IF(J198&lt;=2,"?ACTIVATED",IF(J198&lt;&gt;"","?FAMILIAR",IF(F198="NEW",IF(ISNA(VLOOKUP(E198,#REF!,1,FALSE())),"?TYPE_IDENTIFIABLE","?REFERENTIAL"),"_")))))</f>
        <v/>
      </c>
      <c r="H198" s="12" t="str">
        <f t="shared" si="7"/>
        <v/>
      </c>
      <c r="L198" s="15"/>
    </row>
    <row r="199" spans="1:12" x14ac:dyDescent="0.35">
      <c r="A199" t="s">
        <v>174</v>
      </c>
      <c r="B199" t="s">
        <v>61</v>
      </c>
      <c r="C199" t="s">
        <v>99</v>
      </c>
      <c r="D199" t="s">
        <v>16</v>
      </c>
      <c r="E199" s="9" t="s">
        <v>262</v>
      </c>
      <c r="F199" s="10" t="s">
        <v>876</v>
      </c>
      <c r="G199" s="11"/>
      <c r="H199" s="12" t="str">
        <f t="shared" si="7"/>
        <v/>
      </c>
      <c r="L199" s="15"/>
    </row>
    <row r="200" spans="1:12" x14ac:dyDescent="0.35">
      <c r="A200" t="s">
        <v>175</v>
      </c>
      <c r="E200" s="9" t="str">
        <f t="shared" si="6"/>
        <v/>
      </c>
      <c r="F200" s="10" t="str">
        <f>IF(OR(E200="",E200="!!!"),"",IF(NOT(ISNA(VLOOKUP(E200,E$1:E199,1,FALSE()))),"OLD",IF(AND(E200&lt;&gt;"",E200&lt;&gt;"!!!"),"NEW","")))</f>
        <v/>
      </c>
      <c r="G200" s="11" t="str">
        <f>IF(OR(E200="",E200="!!!"),"",IF(OR(J200=0,AND(J200=1,K200=1),AND(J200=1,I200="SBJ"),AND(J200=1,I200=0)),"?IN_FOCUS",IF(J200&lt;=2,"?ACTIVATED",IF(J200&lt;&gt;"","?FAMILIAR",IF(F200="NEW",IF(ISNA(VLOOKUP(E200,#REF!,1,FALSE())),"?TYPE_IDENTIFIABLE","?REFERENTIAL"),"_")))))</f>
        <v/>
      </c>
      <c r="H200" s="12" t="str">
        <f t="shared" si="7"/>
        <v/>
      </c>
      <c r="L200" s="15"/>
    </row>
    <row r="201" spans="1:12" x14ac:dyDescent="0.35">
      <c r="A201" t="s">
        <v>176</v>
      </c>
      <c r="B201" t="s">
        <v>91</v>
      </c>
      <c r="C201" t="s">
        <v>33</v>
      </c>
      <c r="D201" t="s">
        <v>16</v>
      </c>
      <c r="E201" s="9" t="s">
        <v>365</v>
      </c>
      <c r="F201" s="10" t="str">
        <f>IF(OR(E201="",E201="!!!"),"",IF(NOT(ISNA(VLOOKUP(E201,E$1:E200,1,FALSE()))),"OLD",IF(AND(E201&lt;&gt;"",E201&lt;&gt;"!!!"),"NEW","")))</f>
        <v>OLD</v>
      </c>
      <c r="G201" s="11" t="s">
        <v>870</v>
      </c>
      <c r="H201" s="12" t="str">
        <f t="shared" si="7"/>
        <v/>
      </c>
      <c r="L201" s="15"/>
    </row>
    <row r="202" spans="1:12" x14ac:dyDescent="0.35">
      <c r="A202" t="s">
        <v>39</v>
      </c>
      <c r="E202" s="9" t="str">
        <f t="shared" ref="E202:E265" si="8">IF(D202="?OLD","!!!","")</f>
        <v/>
      </c>
      <c r="F202" s="10" t="str">
        <f>IF(OR(E202="",E202="!!!"),"",IF(NOT(ISNA(VLOOKUP(E202,E$1:E201,1,FALSE()))),"OLD",IF(AND(E202&lt;&gt;"",E202&lt;&gt;"!!!"),"NEW","")))</f>
        <v/>
      </c>
      <c r="G202" s="11" t="str">
        <f>IF(OR(E202="",E202="!!!"),"",IF(OR(J202=0,AND(J202=1,K202=1),AND(J202=1,I202="SBJ"),AND(J202=1,I202=0)),"?IN_FOCUS",IF(J202&lt;=2,"?ACTIVATED",IF(J202&lt;&gt;"","?FAMILIAR",IF(F202="NEW",IF(ISNA(VLOOKUP(E202,#REF!,1,FALSE())),"?TYPE_IDENTIFIABLE","?REFERENTIAL"),"_")))))</f>
        <v/>
      </c>
      <c r="H202" s="12" t="str">
        <f t="shared" ref="H202:H265" si="9">IF(J202&lt;&gt;1,"",IF(I202="SBJ","CB","?"))</f>
        <v/>
      </c>
      <c r="L202" s="15"/>
    </row>
    <row r="203" spans="1:12" x14ac:dyDescent="0.35">
      <c r="A203" t="s">
        <v>133</v>
      </c>
      <c r="B203" t="s">
        <v>41</v>
      </c>
      <c r="C203" t="s">
        <v>33</v>
      </c>
      <c r="D203" t="s">
        <v>16</v>
      </c>
      <c r="E203" s="9" t="s">
        <v>872</v>
      </c>
      <c r="F203" s="10" t="str">
        <f>IF(OR(E203="",E203="!!!"),"",IF(NOT(ISNA(VLOOKUP(E203,E$1:E202,1,FALSE()))),"OLD",IF(AND(E203&lt;&gt;"",E203&lt;&gt;"!!!"),"NEW","")))</f>
        <v>OLD</v>
      </c>
      <c r="G203" s="11" t="s">
        <v>870</v>
      </c>
      <c r="H203" s="12" t="str">
        <f t="shared" si="9"/>
        <v/>
      </c>
      <c r="L203" s="15"/>
    </row>
    <row r="204" spans="1:12" x14ac:dyDescent="0.35">
      <c r="A204" t="s">
        <v>83</v>
      </c>
      <c r="E204" s="9" t="str">
        <f t="shared" si="8"/>
        <v/>
      </c>
      <c r="F204" s="10" t="str">
        <f>IF(OR(E204="",E204="!!!"),"",IF(NOT(ISNA(VLOOKUP(E204,E$1:E203,1,FALSE()))),"OLD",IF(AND(E204&lt;&gt;"",E204&lt;&gt;"!!!"),"NEW","")))</f>
        <v/>
      </c>
      <c r="G204" s="11" t="str">
        <f>IF(OR(E204="",E204="!!!"),"",IF(OR(J204=0,AND(J204=1,K204=1),AND(J204=1,I204="SBJ"),AND(J204=1,I204=0)),"?IN_FOCUS",IF(J204&lt;=2,"?ACTIVATED",IF(J204&lt;&gt;"","?FAMILIAR",IF(F204="NEW",IF(ISNA(VLOOKUP(E204,#REF!,1,FALSE())),"?TYPE_IDENTIFIABLE","?REFERENTIAL"),"_")))))</f>
        <v/>
      </c>
      <c r="H204" s="12" t="str">
        <f t="shared" si="9"/>
        <v/>
      </c>
      <c r="L204" s="15"/>
    </row>
    <row r="205" spans="1:12" x14ac:dyDescent="0.35">
      <c r="A205" t="s">
        <v>177</v>
      </c>
      <c r="E205" s="9" t="str">
        <f t="shared" si="8"/>
        <v/>
      </c>
      <c r="F205" s="10" t="str">
        <f>IF(OR(E205="",E205="!!!"),"",IF(NOT(ISNA(VLOOKUP(E205,E$1:E204,1,FALSE()))),"OLD",IF(AND(E205&lt;&gt;"",E205&lt;&gt;"!!!"),"NEW","")))</f>
        <v/>
      </c>
      <c r="G205" s="11" t="str">
        <f>IF(OR(E205="",E205="!!!"),"",IF(OR(J205=0,AND(J205=1,K205=1),AND(J205=1,I205="SBJ"),AND(J205=1,I205=0)),"?IN_FOCUS",IF(J205&lt;=2,"?ACTIVATED",IF(J205&lt;&gt;"","?FAMILIAR",IF(F205="NEW",IF(ISNA(VLOOKUP(E205,#REF!,1,FALSE())),"?TYPE_IDENTIFIABLE","?REFERENTIAL"),"_")))))</f>
        <v/>
      </c>
      <c r="H205" s="12" t="str">
        <f t="shared" si="9"/>
        <v/>
      </c>
      <c r="L205" s="15"/>
    </row>
    <row r="206" spans="1:12" x14ac:dyDescent="0.35">
      <c r="A206" t="s">
        <v>164</v>
      </c>
      <c r="E206" s="9" t="str">
        <f t="shared" si="8"/>
        <v/>
      </c>
      <c r="F206" s="10" t="str">
        <f>IF(OR(E206="",E206="!!!"),"",IF(NOT(ISNA(VLOOKUP(E206,E$1:E205,1,FALSE()))),"OLD",IF(AND(E206&lt;&gt;"",E206&lt;&gt;"!!!"),"NEW","")))</f>
        <v/>
      </c>
      <c r="G206" s="11" t="str">
        <f>IF(OR(E206="",E206="!!!"),"",IF(OR(J206=0,AND(J206=1,K206=1),AND(J206=1,I206="SBJ"),AND(J206=1,I206=0)),"?IN_FOCUS",IF(J206&lt;=2,"?ACTIVATED",IF(J206&lt;&gt;"","?FAMILIAR",IF(F206="NEW",IF(ISNA(VLOOKUP(E206,#REF!,1,FALSE())),"?TYPE_IDENTIFIABLE","?REFERENTIAL"),"_")))))</f>
        <v/>
      </c>
      <c r="H206" s="12" t="str">
        <f t="shared" si="9"/>
        <v/>
      </c>
      <c r="L206" s="15"/>
    </row>
    <row r="207" spans="1:12" x14ac:dyDescent="0.35">
      <c r="A207" t="s">
        <v>58</v>
      </c>
      <c r="E207" s="9" t="str">
        <f t="shared" si="8"/>
        <v/>
      </c>
      <c r="F207" s="10" t="str">
        <f>IF(OR(E207="",E207="!!!"),"",IF(NOT(ISNA(VLOOKUP(E207,E$1:E206,1,FALSE()))),"OLD",IF(AND(E207&lt;&gt;"",E207&lt;&gt;"!!!"),"NEW","")))</f>
        <v/>
      </c>
      <c r="G207" s="11" t="str">
        <f>IF(OR(E207="",E207="!!!"),"",IF(OR(J207=0,AND(J207=1,K207=1),AND(J207=1,I207="SBJ"),AND(J207=1,I207=0)),"?IN_FOCUS",IF(J207&lt;=2,"?ACTIVATED",IF(J207&lt;&gt;"","?FAMILIAR",IF(F207="NEW",IF(ISNA(VLOOKUP(E207,#REF!,1,FALSE())),"?TYPE_IDENTIFIABLE","?REFERENTIAL"),"_")))))</f>
        <v/>
      </c>
      <c r="H207" s="12" t="str">
        <f t="shared" si="9"/>
        <v/>
      </c>
      <c r="L207" s="15"/>
    </row>
    <row r="208" spans="1:12" x14ac:dyDescent="0.35">
      <c r="A208" t="s">
        <v>178</v>
      </c>
      <c r="B208" t="s">
        <v>24</v>
      </c>
      <c r="C208" t="s">
        <v>99</v>
      </c>
      <c r="D208" t="s">
        <v>16</v>
      </c>
      <c r="E208" s="9" t="s">
        <v>262</v>
      </c>
      <c r="F208" s="10" t="s">
        <v>867</v>
      </c>
      <c r="G208" s="11" t="str">
        <f>IF(OR(E208="",E208="!!!"),"",IF(OR(J208=0,AND(J208=1,K208=1),AND(J208=1,I208="SBJ"),AND(J208=1,I208=0)),"?IN_FOCUS",IF(J208&lt;=2,"?ACTIVATED",IF(J208&lt;&gt;"","?FAMILIAR",IF(F208="NEW",IF(ISNA(VLOOKUP(E208,#REF!,1,FALSE())),"?TYPE_IDENTIFIABLE","?REFERENTIAL"),"_")))))</f>
        <v>?IN_FOCUS</v>
      </c>
      <c r="H208" s="12" t="str">
        <f t="shared" si="9"/>
        <v/>
      </c>
      <c r="L208" s="15" t="s">
        <v>879</v>
      </c>
    </row>
    <row r="209" spans="1:12" x14ac:dyDescent="0.35">
      <c r="A209" t="s">
        <v>179</v>
      </c>
      <c r="E209" s="9" t="str">
        <f t="shared" si="8"/>
        <v/>
      </c>
      <c r="F209" s="10" t="str">
        <f>IF(OR(E209="",E209="!!!"),"",IF(NOT(ISNA(VLOOKUP(E209,E$1:E208,1,FALSE()))),"OLD",IF(AND(E209&lt;&gt;"",E209&lt;&gt;"!!!"),"NEW","")))</f>
        <v/>
      </c>
      <c r="G209" s="11" t="str">
        <f>IF(OR(E209="",E209="!!!"),"",IF(OR(J209=0,AND(J209=1,K209=1),AND(J209=1,I209="SBJ"),AND(J209=1,I209=0)),"?IN_FOCUS",IF(J209&lt;=2,"?ACTIVATED",IF(J209&lt;&gt;"","?FAMILIAR",IF(F209="NEW",IF(ISNA(VLOOKUP(E209,#REF!,1,FALSE())),"?TYPE_IDENTIFIABLE","?REFERENTIAL"),"_")))))</f>
        <v/>
      </c>
      <c r="H209" s="12" t="str">
        <f t="shared" si="9"/>
        <v/>
      </c>
      <c r="L209" s="15"/>
    </row>
    <row r="210" spans="1:12" x14ac:dyDescent="0.35">
      <c r="A210" t="s">
        <v>180</v>
      </c>
      <c r="E210" s="9" t="str">
        <f t="shared" si="8"/>
        <v/>
      </c>
      <c r="F210" s="10" t="str">
        <f>IF(OR(E210="",E210="!!!"),"",IF(NOT(ISNA(VLOOKUP(E210,E$1:E209,1,FALSE()))),"OLD",IF(AND(E210&lt;&gt;"",E210&lt;&gt;"!!!"),"NEW","")))</f>
        <v/>
      </c>
      <c r="G210" s="11" t="str">
        <f>IF(OR(E210="",E210="!!!"),"",IF(OR(J210=0,AND(J210=1,K210=1),AND(J210=1,I210="SBJ"),AND(J210=1,I210=0)),"?IN_FOCUS",IF(J210&lt;=2,"?ACTIVATED",IF(J210&lt;&gt;"","?FAMILIAR",IF(F210="NEW",IF(ISNA(VLOOKUP(E210,#REF!,1,FALSE())),"?TYPE_IDENTIFIABLE","?REFERENTIAL"),"_")))))</f>
        <v/>
      </c>
      <c r="H210" s="12" t="str">
        <f t="shared" si="9"/>
        <v/>
      </c>
      <c r="L210" s="15"/>
    </row>
    <row r="211" spans="1:12" x14ac:dyDescent="0.35">
      <c r="A211" t="s">
        <v>63</v>
      </c>
      <c r="E211" s="9" t="str">
        <f t="shared" si="8"/>
        <v/>
      </c>
      <c r="F211" s="10" t="str">
        <f>IF(OR(E211="",E211="!!!"),"",IF(NOT(ISNA(VLOOKUP(E211,E$1:E210,1,FALSE()))),"OLD",IF(AND(E211&lt;&gt;"",E211&lt;&gt;"!!!"),"NEW","")))</f>
        <v/>
      </c>
      <c r="G211" s="11" t="str">
        <f>IF(OR(E211="",E211="!!!"),"",IF(OR(J211=0,AND(J211=1,K211=1),AND(J211=1,I211="SBJ"),AND(J211=1,I211=0)),"?IN_FOCUS",IF(J211&lt;=2,"?ACTIVATED",IF(J211&lt;&gt;"","?FAMILIAR",IF(F211="NEW",IF(ISNA(VLOOKUP(E211,#REF!,1,FALSE())),"?TYPE_IDENTIFIABLE","?REFERENTIAL"),"_")))))</f>
        <v/>
      </c>
      <c r="H211" s="12" t="str">
        <f t="shared" si="9"/>
        <v/>
      </c>
      <c r="L211" s="15"/>
    </row>
    <row r="212" spans="1:12" x14ac:dyDescent="0.35">
      <c r="E212" s="9" t="str">
        <f t="shared" si="8"/>
        <v/>
      </c>
      <c r="F212" s="10" t="str">
        <f>IF(OR(E212="",E212="!!!"),"",IF(NOT(ISNA(VLOOKUP(E212,E$1:E211,1,FALSE()))),"OLD",IF(AND(E212&lt;&gt;"",E212&lt;&gt;"!!!"),"NEW","")))</f>
        <v/>
      </c>
      <c r="G212" s="11" t="str">
        <f>IF(OR(E212="",E212="!!!"),"",IF(OR(J212=0,AND(J212=1,K212=1),AND(J212=1,I212="SBJ"),AND(J212=1,I212=0)),"?IN_FOCUS",IF(J212&lt;=2,"?ACTIVATED",IF(J212&lt;&gt;"","?FAMILIAR",IF(F212="NEW",IF(ISNA(VLOOKUP(E212,#REF!,1,FALSE())),"?TYPE_IDENTIFIABLE","?REFERENTIAL"),"_")))))</f>
        <v/>
      </c>
      <c r="H212" s="12" t="str">
        <f t="shared" si="9"/>
        <v/>
      </c>
      <c r="L212" s="15"/>
    </row>
    <row r="213" spans="1:12" x14ac:dyDescent="0.35">
      <c r="A213" t="s">
        <v>181</v>
      </c>
      <c r="E213" s="9" t="str">
        <f t="shared" si="8"/>
        <v/>
      </c>
      <c r="F213" s="10" t="str">
        <f>IF(OR(E213="",E213="!!!"),"",IF(NOT(ISNA(VLOOKUP(E213,E$1:E212,1,FALSE()))),"OLD",IF(AND(E213&lt;&gt;"",E213&lt;&gt;"!!!"),"NEW","")))</f>
        <v/>
      </c>
      <c r="G213" s="11" t="str">
        <f>IF(OR(E213="",E213="!!!"),"",IF(OR(J213=0,AND(J213=1,K213=1),AND(J213=1,I213="SBJ"),AND(J213=1,I213=0)),"?IN_FOCUS",IF(J213&lt;=2,"?ACTIVATED",IF(J213&lt;&gt;"","?FAMILIAR",IF(F213="NEW",IF(ISNA(VLOOKUP(E213,#REF!,1,FALSE())),"?TYPE_IDENTIFIABLE","?REFERENTIAL"),"_")))))</f>
        <v/>
      </c>
      <c r="H213" s="12" t="str">
        <f t="shared" si="9"/>
        <v/>
      </c>
      <c r="L213" s="15"/>
    </row>
    <row r="214" spans="1:12" x14ac:dyDescent="0.35">
      <c r="A214" t="s">
        <v>182</v>
      </c>
      <c r="E214" s="9" t="str">
        <f t="shared" si="8"/>
        <v/>
      </c>
      <c r="F214" s="10" t="str">
        <f>IF(OR(E214="",E214="!!!"),"",IF(NOT(ISNA(VLOOKUP(E214,E$1:E213,1,FALSE()))),"OLD",IF(AND(E214&lt;&gt;"",E214&lt;&gt;"!!!"),"NEW","")))</f>
        <v/>
      </c>
      <c r="G214" s="11" t="str">
        <f>IF(OR(E214="",E214="!!!"),"",IF(OR(J214=0,AND(J214=1,K214=1),AND(J214=1,I214="SBJ"),AND(J214=1,I214=0)),"?IN_FOCUS",IF(J214&lt;=2,"?ACTIVATED",IF(J214&lt;&gt;"","?FAMILIAR",IF(F214="NEW",IF(ISNA(VLOOKUP(E214,#REF!,1,FALSE())),"?TYPE_IDENTIFIABLE","?REFERENTIAL"),"_")))))</f>
        <v/>
      </c>
      <c r="H214" s="12" t="str">
        <f t="shared" si="9"/>
        <v/>
      </c>
      <c r="L214" s="15"/>
    </row>
    <row r="215" spans="1:12" x14ac:dyDescent="0.35">
      <c r="A215" t="s">
        <v>183</v>
      </c>
      <c r="B215" t="s">
        <v>54</v>
      </c>
      <c r="C215" t="s">
        <v>172</v>
      </c>
      <c r="E215" s="9" t="str">
        <f t="shared" si="8"/>
        <v/>
      </c>
      <c r="F215" s="10" t="str">
        <f>IF(OR(E215="",E215="!!!"),"",IF(NOT(ISNA(VLOOKUP(E215,E$1:E214,1,FALSE()))),"OLD",IF(AND(E215&lt;&gt;"",E215&lt;&gt;"!!!"),"NEW","")))</f>
        <v/>
      </c>
      <c r="G215" s="11" t="str">
        <f>IF(OR(E215="",E215="!!!"),"",IF(OR(J215=0,AND(J215=1,K215=1),AND(J215=1,I215="SBJ"),AND(J215=1,I215=0)),"?IN_FOCUS",IF(J215&lt;=2,"?ACTIVATED",IF(J215&lt;&gt;"","?FAMILIAR",IF(F215="NEW",IF(ISNA(VLOOKUP(E215,#REF!,1,FALSE())),"?TYPE_IDENTIFIABLE","?REFERENTIAL"),"_")))))</f>
        <v/>
      </c>
      <c r="H215" s="12" t="str">
        <f t="shared" si="9"/>
        <v/>
      </c>
      <c r="L215" s="15"/>
    </row>
    <row r="216" spans="1:12" x14ac:dyDescent="0.35">
      <c r="A216" t="s">
        <v>17</v>
      </c>
      <c r="E216" s="9" t="str">
        <f t="shared" si="8"/>
        <v/>
      </c>
      <c r="F216" s="10" t="str">
        <f>IF(OR(E216="",E216="!!!"),"",IF(NOT(ISNA(VLOOKUP(E216,E$1:E215,1,FALSE()))),"OLD",IF(AND(E216&lt;&gt;"",E216&lt;&gt;"!!!"),"NEW","")))</f>
        <v/>
      </c>
      <c r="G216" s="11" t="str">
        <f>IF(OR(E216="",E216="!!!"),"",IF(OR(J216=0,AND(J216=1,K216=1),AND(J216=1,I216="SBJ"),AND(J216=1,I216=0)),"?IN_FOCUS",IF(J216&lt;=2,"?ACTIVATED",IF(J216&lt;&gt;"","?FAMILIAR",IF(F216="NEW",IF(ISNA(VLOOKUP(E216,#REF!,1,FALSE())),"?TYPE_IDENTIFIABLE","?REFERENTIAL"),"_")))))</f>
        <v/>
      </c>
      <c r="H216" s="12" t="str">
        <f t="shared" si="9"/>
        <v/>
      </c>
      <c r="L216" s="15"/>
    </row>
    <row r="217" spans="1:12" x14ac:dyDescent="0.35">
      <c r="A217" t="s">
        <v>58</v>
      </c>
      <c r="E217" s="9" t="str">
        <f t="shared" si="8"/>
        <v/>
      </c>
      <c r="F217" s="10" t="str">
        <f>IF(OR(E217="",E217="!!!"),"",IF(NOT(ISNA(VLOOKUP(E217,E$1:E216,1,FALSE()))),"OLD",IF(AND(E217&lt;&gt;"",E217&lt;&gt;"!!!"),"NEW","")))</f>
        <v/>
      </c>
      <c r="G217" s="11" t="str">
        <f>IF(OR(E217="",E217="!!!"),"",IF(OR(J217=0,AND(J217=1,K217=1),AND(J217=1,I217="SBJ"),AND(J217=1,I217=0)),"?IN_FOCUS",IF(J217&lt;=2,"?ACTIVATED",IF(J217&lt;&gt;"","?FAMILIAR",IF(F217="NEW",IF(ISNA(VLOOKUP(E217,#REF!,1,FALSE())),"?TYPE_IDENTIFIABLE","?REFERENTIAL"),"_")))))</f>
        <v/>
      </c>
      <c r="H217" s="12" t="str">
        <f t="shared" si="9"/>
        <v/>
      </c>
      <c r="L217" s="15"/>
    </row>
    <row r="218" spans="1:12" x14ac:dyDescent="0.35">
      <c r="A218" t="s">
        <v>184</v>
      </c>
      <c r="B218" t="s">
        <v>54</v>
      </c>
      <c r="C218" t="s">
        <v>99</v>
      </c>
      <c r="D218" t="s">
        <v>16</v>
      </c>
      <c r="E218" s="9" t="s">
        <v>262</v>
      </c>
      <c r="F218" s="10" t="s">
        <v>876</v>
      </c>
      <c r="G218" s="11"/>
      <c r="H218" s="12" t="str">
        <f t="shared" si="9"/>
        <v/>
      </c>
      <c r="L218" s="15"/>
    </row>
    <row r="219" spans="1:12" x14ac:dyDescent="0.35">
      <c r="A219" t="s">
        <v>76</v>
      </c>
      <c r="E219" s="9" t="str">
        <f t="shared" si="8"/>
        <v/>
      </c>
      <c r="F219" s="10" t="str">
        <f>IF(OR(E219="",E219="!!!"),"",IF(NOT(ISNA(VLOOKUP(E219,E$1:E218,1,FALSE()))),"OLD",IF(AND(E219&lt;&gt;"",E219&lt;&gt;"!!!"),"NEW","")))</f>
        <v/>
      </c>
      <c r="G219" s="11" t="str">
        <f>IF(OR(E219="",E219="!!!"),"",IF(OR(J219=0,AND(J219=1,K219=1),AND(J219=1,I219="SBJ"),AND(J219=1,I219=0)),"?IN_FOCUS",IF(J219&lt;=2,"?ACTIVATED",IF(J219&lt;&gt;"","?FAMILIAR",IF(F219="NEW",IF(ISNA(VLOOKUP(E219,#REF!,1,FALSE())),"?TYPE_IDENTIFIABLE","?REFERENTIAL"),"_")))))</f>
        <v/>
      </c>
      <c r="H219" s="12" t="str">
        <f t="shared" si="9"/>
        <v/>
      </c>
      <c r="L219" s="15"/>
    </row>
    <row r="220" spans="1:12" x14ac:dyDescent="0.35">
      <c r="A220" t="s">
        <v>185</v>
      </c>
      <c r="E220" s="9" t="str">
        <f t="shared" si="8"/>
        <v/>
      </c>
      <c r="F220" s="10" t="str">
        <f>IF(OR(E220="",E220="!!!"),"",IF(NOT(ISNA(VLOOKUP(E220,E$1:E219,1,FALSE()))),"OLD",IF(AND(E220&lt;&gt;"",E220&lt;&gt;"!!!"),"NEW","")))</f>
        <v/>
      </c>
      <c r="G220" s="11" t="str">
        <f>IF(OR(E220="",E220="!!!"),"",IF(OR(J220=0,AND(J220=1,K220=1),AND(J220=1,I220="SBJ"),AND(J220=1,I220=0)),"?IN_FOCUS",IF(J220&lt;=2,"?ACTIVATED",IF(J220&lt;&gt;"","?FAMILIAR",IF(F220="NEW",IF(ISNA(VLOOKUP(E220,#REF!,1,FALSE())),"?TYPE_IDENTIFIABLE","?REFERENTIAL"),"_")))))</f>
        <v/>
      </c>
      <c r="H220" s="12" t="str">
        <f t="shared" si="9"/>
        <v/>
      </c>
      <c r="L220" s="15"/>
    </row>
    <row r="221" spans="1:12" x14ac:dyDescent="0.35">
      <c r="A221" t="s">
        <v>186</v>
      </c>
      <c r="B221" t="s">
        <v>36</v>
      </c>
      <c r="C221" t="s">
        <v>172</v>
      </c>
      <c r="E221" s="9" t="str">
        <f t="shared" si="8"/>
        <v/>
      </c>
      <c r="F221" s="10" t="str">
        <f>IF(OR(E221="",E221="!!!"),"",IF(NOT(ISNA(VLOOKUP(E221,E$1:E220,1,FALSE()))),"OLD",IF(AND(E221&lt;&gt;"",E221&lt;&gt;"!!!"),"NEW","")))</f>
        <v/>
      </c>
      <c r="G221" s="11" t="str">
        <f>IF(OR(E221="",E221="!!!"),"",IF(OR(J221=0,AND(J221=1,K221=1),AND(J221=1,I221="SBJ"),AND(J221=1,I221=0)),"?IN_FOCUS",IF(J221&lt;=2,"?ACTIVATED",IF(J221&lt;&gt;"","?FAMILIAR",IF(F221="NEW",IF(ISNA(VLOOKUP(E221,#REF!,1,FALSE())),"?TYPE_IDENTIFIABLE","?REFERENTIAL"),"_")))))</f>
        <v/>
      </c>
      <c r="H221" s="12" t="str">
        <f t="shared" si="9"/>
        <v/>
      </c>
      <c r="L221" s="15"/>
    </row>
    <row r="222" spans="1:12" x14ac:dyDescent="0.35">
      <c r="A222" t="s">
        <v>17</v>
      </c>
      <c r="E222" s="9" t="str">
        <f t="shared" si="8"/>
        <v/>
      </c>
      <c r="F222" s="10" t="str">
        <f>IF(OR(E222="",E222="!!!"),"",IF(NOT(ISNA(VLOOKUP(E222,E$1:E221,1,FALSE()))),"OLD",IF(AND(E222&lt;&gt;"",E222&lt;&gt;"!!!"),"NEW","")))</f>
        <v/>
      </c>
      <c r="G222" s="11" t="str">
        <f>IF(OR(E222="",E222="!!!"),"",IF(OR(J222=0,AND(J222=1,K222=1),AND(J222=1,I222="SBJ"),AND(J222=1,I222=0)),"?IN_FOCUS",IF(J222&lt;=2,"?ACTIVATED",IF(J222&lt;&gt;"","?FAMILIAR",IF(F222="NEW",IF(ISNA(VLOOKUP(E222,#REF!,1,FALSE())),"?TYPE_IDENTIFIABLE","?REFERENTIAL"),"_")))))</f>
        <v/>
      </c>
      <c r="H222" s="12" t="str">
        <f t="shared" si="9"/>
        <v/>
      </c>
      <c r="L222" s="15"/>
    </row>
    <row r="223" spans="1:12" x14ac:dyDescent="0.35">
      <c r="A223" t="s">
        <v>58</v>
      </c>
      <c r="E223" s="9" t="str">
        <f t="shared" si="8"/>
        <v/>
      </c>
      <c r="F223" s="10" t="str">
        <f>IF(OR(E223="",E223="!!!"),"",IF(NOT(ISNA(VLOOKUP(E223,E$1:E222,1,FALSE()))),"OLD",IF(AND(E223&lt;&gt;"",E223&lt;&gt;"!!!"),"NEW","")))</f>
        <v/>
      </c>
      <c r="G223" s="11" t="str">
        <f>IF(OR(E223="",E223="!!!"),"",IF(OR(J223=0,AND(J223=1,K223=1),AND(J223=1,I223="SBJ"),AND(J223=1,I223=0)),"?IN_FOCUS",IF(J223&lt;=2,"?ACTIVATED",IF(J223&lt;&gt;"","?FAMILIAR",IF(F223="NEW",IF(ISNA(VLOOKUP(E223,#REF!,1,FALSE())),"?TYPE_IDENTIFIABLE","?REFERENTIAL"),"_")))))</f>
        <v/>
      </c>
      <c r="H223" s="12" t="str">
        <f t="shared" si="9"/>
        <v/>
      </c>
      <c r="L223" s="15"/>
    </row>
    <row r="224" spans="1:12" x14ac:dyDescent="0.35">
      <c r="A224" t="s">
        <v>187</v>
      </c>
      <c r="B224" t="s">
        <v>20</v>
      </c>
      <c r="C224" t="s">
        <v>99</v>
      </c>
      <c r="D224" t="s">
        <v>16</v>
      </c>
      <c r="E224" s="9" t="s">
        <v>262</v>
      </c>
      <c r="F224" s="10" t="s">
        <v>876</v>
      </c>
      <c r="G224" s="11"/>
      <c r="H224" s="12" t="str">
        <f t="shared" si="9"/>
        <v/>
      </c>
      <c r="L224" s="15"/>
    </row>
    <row r="225" spans="1:12" x14ac:dyDescent="0.35">
      <c r="A225" t="s">
        <v>42</v>
      </c>
      <c r="E225" s="9" t="str">
        <f t="shared" si="8"/>
        <v/>
      </c>
      <c r="F225" s="10" t="str">
        <f>IF(OR(E225="",E225="!!!"),"",IF(NOT(ISNA(VLOOKUP(E225,E$1:E224,1,FALSE()))),"OLD",IF(AND(E225&lt;&gt;"",E225&lt;&gt;"!!!"),"NEW","")))</f>
        <v/>
      </c>
      <c r="G225" s="11" t="str">
        <f>IF(OR(E225="",E225="!!!"),"",IF(OR(J225=0,AND(J225=1,K225=1),AND(J225=1,I225="SBJ"),AND(J225=1,I225=0)),"?IN_FOCUS",IF(J225&lt;=2,"?ACTIVATED",IF(J225&lt;&gt;"","?FAMILIAR",IF(F225="NEW",IF(ISNA(VLOOKUP(E225,#REF!,1,FALSE())),"?TYPE_IDENTIFIABLE","?REFERENTIAL"),"_")))))</f>
        <v/>
      </c>
      <c r="H225" s="12" t="str">
        <f t="shared" si="9"/>
        <v/>
      </c>
      <c r="L225" s="15"/>
    </row>
    <row r="226" spans="1:12" x14ac:dyDescent="0.35">
      <c r="A226" t="s">
        <v>188</v>
      </c>
      <c r="E226" s="9" t="str">
        <f t="shared" si="8"/>
        <v/>
      </c>
      <c r="F226" s="10" t="str">
        <f>IF(OR(E226="",E226="!!!"),"",IF(NOT(ISNA(VLOOKUP(E226,E$1:E225,1,FALSE()))),"OLD",IF(AND(E226&lt;&gt;"",E226&lt;&gt;"!!!"),"NEW","")))</f>
        <v/>
      </c>
      <c r="G226" s="11" t="str">
        <f>IF(OR(E226="",E226="!!!"),"",IF(OR(J226=0,AND(J226=1,K226=1),AND(J226=1,I226="SBJ"),AND(J226=1,I226=0)),"?IN_FOCUS",IF(J226&lt;=2,"?ACTIVATED",IF(J226&lt;&gt;"","?FAMILIAR",IF(F226="NEW",IF(ISNA(VLOOKUP(E226,#REF!,1,FALSE())),"?TYPE_IDENTIFIABLE","?REFERENTIAL"),"_")))))</f>
        <v/>
      </c>
      <c r="H226" s="12" t="str">
        <f t="shared" si="9"/>
        <v/>
      </c>
      <c r="L226" s="15"/>
    </row>
    <row r="227" spans="1:12" x14ac:dyDescent="0.35">
      <c r="A227" t="s">
        <v>129</v>
      </c>
      <c r="B227" t="s">
        <v>91</v>
      </c>
      <c r="C227" t="s">
        <v>33</v>
      </c>
      <c r="D227" t="s">
        <v>16</v>
      </c>
      <c r="E227" s="9" t="s">
        <v>872</v>
      </c>
      <c r="F227" s="10" t="str">
        <f>IF(OR(E227="",E227="!!!"),"",IF(NOT(ISNA(VLOOKUP(E227,E$1:E226,1,FALSE()))),"OLD",IF(AND(E227&lt;&gt;"",E227&lt;&gt;"!!!"),"NEW","")))</f>
        <v>OLD</v>
      </c>
      <c r="G227" s="11" t="s">
        <v>877</v>
      </c>
      <c r="H227" s="12" t="str">
        <f t="shared" si="9"/>
        <v/>
      </c>
      <c r="L227" s="15"/>
    </row>
    <row r="228" spans="1:12" x14ac:dyDescent="0.35">
      <c r="A228" t="s">
        <v>189</v>
      </c>
      <c r="E228" s="9" t="str">
        <f t="shared" si="8"/>
        <v/>
      </c>
      <c r="F228" s="10" t="str">
        <f>IF(OR(E228="",E228="!!!"),"",IF(NOT(ISNA(VLOOKUP(E228,E$1:E227,1,FALSE()))),"OLD",IF(AND(E228&lt;&gt;"",E228&lt;&gt;"!!!"),"NEW","")))</f>
        <v/>
      </c>
      <c r="G228" s="11" t="str">
        <f>IF(OR(E228="",E228="!!!"),"",IF(OR(J228=0,AND(J228=1,K228=1),AND(J228=1,I228="SBJ"),AND(J228=1,I228=0)),"?IN_FOCUS",IF(J228&lt;=2,"?ACTIVATED",IF(J228&lt;&gt;"","?FAMILIAR",IF(F228="NEW",IF(ISNA(VLOOKUP(E228,#REF!,1,FALSE())),"?TYPE_IDENTIFIABLE","?REFERENTIAL"),"_")))))</f>
        <v/>
      </c>
      <c r="H228" s="12" t="str">
        <f t="shared" si="9"/>
        <v/>
      </c>
      <c r="L228" s="15"/>
    </row>
    <row r="229" spans="1:12" x14ac:dyDescent="0.35">
      <c r="A229" t="s">
        <v>45</v>
      </c>
      <c r="E229" s="9" t="str">
        <f t="shared" si="8"/>
        <v/>
      </c>
      <c r="F229" s="10" t="str">
        <f>IF(OR(E229="",E229="!!!"),"",IF(NOT(ISNA(VLOOKUP(E229,E$1:E228,1,FALSE()))),"OLD",IF(AND(E229&lt;&gt;"",E229&lt;&gt;"!!!"),"NEW","")))</f>
        <v/>
      </c>
      <c r="G229" s="11" t="str">
        <f>IF(OR(E229="",E229="!!!"),"",IF(OR(J229=0,AND(J229=1,K229=1),AND(J229=1,I229="SBJ"),AND(J229=1,I229=0)),"?IN_FOCUS",IF(J229&lt;=2,"?ACTIVATED",IF(J229&lt;&gt;"","?FAMILIAR",IF(F229="NEW",IF(ISNA(VLOOKUP(E229,#REF!,1,FALSE())),"?TYPE_IDENTIFIABLE","?REFERENTIAL"),"_")))))</f>
        <v/>
      </c>
      <c r="H229" s="12" t="str">
        <f t="shared" si="9"/>
        <v/>
      </c>
      <c r="L229" s="15"/>
    </row>
    <row r="230" spans="1:12" x14ac:dyDescent="0.35">
      <c r="A230" t="s">
        <v>136</v>
      </c>
      <c r="B230" t="s">
        <v>56</v>
      </c>
      <c r="C230" t="s">
        <v>49</v>
      </c>
      <c r="D230" t="s">
        <v>16</v>
      </c>
      <c r="E230" s="9" t="s">
        <v>872</v>
      </c>
      <c r="F230" s="10" t="str">
        <f>IF(OR(E230="",E230="!!!"),"",IF(NOT(ISNA(VLOOKUP(E230,E$1:E229,1,FALSE()))),"OLD",IF(AND(E230&lt;&gt;"",E230&lt;&gt;"!!!"),"NEW","")))</f>
        <v>OLD</v>
      </c>
      <c r="G230" s="11" t="s">
        <v>870</v>
      </c>
      <c r="H230" s="12" t="str">
        <f t="shared" si="9"/>
        <v/>
      </c>
      <c r="L230" s="15"/>
    </row>
    <row r="231" spans="1:12" x14ac:dyDescent="0.35">
      <c r="A231" t="s">
        <v>190</v>
      </c>
      <c r="E231" s="9" t="str">
        <f t="shared" si="8"/>
        <v/>
      </c>
      <c r="F231" s="10" t="str">
        <f>IF(OR(E231="",E231="!!!"),"",IF(NOT(ISNA(VLOOKUP(E231,E$1:E230,1,FALSE()))),"OLD",IF(AND(E231&lt;&gt;"",E231&lt;&gt;"!!!"),"NEW","")))</f>
        <v/>
      </c>
      <c r="G231" s="11" t="str">
        <f>IF(OR(E231="",E231="!!!"),"",IF(OR(J231=0,AND(J231=1,K231=1),AND(J231=1,I231="SBJ"),AND(J231=1,I231=0)),"?IN_FOCUS",IF(J231&lt;=2,"?ACTIVATED",IF(J231&lt;&gt;"","?FAMILIAR",IF(F231="NEW",IF(ISNA(VLOOKUP(E231,#REF!,1,FALSE())),"?TYPE_IDENTIFIABLE","?REFERENTIAL"),"_")))))</f>
        <v/>
      </c>
      <c r="H231" s="12" t="str">
        <f t="shared" si="9"/>
        <v/>
      </c>
      <c r="L231" s="15"/>
    </row>
    <row r="232" spans="1:12" x14ac:dyDescent="0.35">
      <c r="A232" t="s">
        <v>191</v>
      </c>
      <c r="B232" t="s">
        <v>20</v>
      </c>
      <c r="C232" t="s">
        <v>15</v>
      </c>
      <c r="D232" t="s">
        <v>16</v>
      </c>
      <c r="E232" s="9" t="s">
        <v>262</v>
      </c>
      <c r="F232" s="10" t="s">
        <v>876</v>
      </c>
      <c r="G232" s="11"/>
      <c r="H232" s="12" t="str">
        <f t="shared" si="9"/>
        <v/>
      </c>
      <c r="L232" s="15"/>
    </row>
    <row r="233" spans="1:12" x14ac:dyDescent="0.35">
      <c r="A233" t="s">
        <v>63</v>
      </c>
      <c r="E233" s="9" t="str">
        <f t="shared" si="8"/>
        <v/>
      </c>
      <c r="F233" s="10" t="str">
        <f>IF(OR(E233="",E233="!!!"),"",IF(NOT(ISNA(VLOOKUP(E233,E$1:E232,1,FALSE()))),"OLD",IF(AND(E233&lt;&gt;"",E233&lt;&gt;"!!!"),"NEW","")))</f>
        <v/>
      </c>
      <c r="G233" s="11" t="str">
        <f>IF(OR(E233="",E233="!!!"),"",IF(OR(J233=0,AND(J233=1,K233=1),AND(J233=1,I233="SBJ"),AND(J233=1,I233=0)),"?IN_FOCUS",IF(J233&lt;=2,"?ACTIVATED",IF(J233&lt;&gt;"","?FAMILIAR",IF(F233="NEW",IF(ISNA(VLOOKUP(E233,#REF!,1,FALSE())),"?TYPE_IDENTIFIABLE","?REFERENTIAL"),"_")))))</f>
        <v/>
      </c>
      <c r="H233" s="12" t="str">
        <f t="shared" si="9"/>
        <v/>
      </c>
      <c r="L233" s="15"/>
    </row>
    <row r="234" spans="1:12" x14ac:dyDescent="0.35">
      <c r="E234" s="9" t="str">
        <f t="shared" si="8"/>
        <v/>
      </c>
      <c r="F234" s="10" t="str">
        <f>IF(OR(E234="",E234="!!!"),"",IF(NOT(ISNA(VLOOKUP(E234,E$1:E233,1,FALSE()))),"OLD",IF(AND(E234&lt;&gt;"",E234&lt;&gt;"!!!"),"NEW","")))</f>
        <v/>
      </c>
      <c r="G234" s="11" t="str">
        <f>IF(OR(E234="",E234="!!!"),"",IF(OR(J234=0,AND(J234=1,K234=1),AND(J234=1,I234="SBJ"),AND(J234=1,I234=0)),"?IN_FOCUS",IF(J234&lt;=2,"?ACTIVATED",IF(J234&lt;&gt;"","?FAMILIAR",IF(F234="NEW",IF(ISNA(VLOOKUP(E234,#REF!,1,FALSE())),"?TYPE_IDENTIFIABLE","?REFERENTIAL"),"_")))))</f>
        <v/>
      </c>
      <c r="H234" s="12" t="str">
        <f t="shared" si="9"/>
        <v/>
      </c>
      <c r="L234" s="15"/>
    </row>
    <row r="235" spans="1:12" x14ac:dyDescent="0.35">
      <c r="A235" t="s">
        <v>192</v>
      </c>
      <c r="E235" s="9" t="str">
        <f t="shared" si="8"/>
        <v/>
      </c>
      <c r="F235" s="10" t="str">
        <f>IF(OR(E235="",E235="!!!"),"",IF(NOT(ISNA(VLOOKUP(E235,E$1:E234,1,FALSE()))),"OLD",IF(AND(E235&lt;&gt;"",E235&lt;&gt;"!!!"),"NEW","")))</f>
        <v/>
      </c>
      <c r="G235" s="11" t="str">
        <f>IF(OR(E235="",E235="!!!"),"",IF(OR(J235=0,AND(J235=1,K235=1),AND(J235=1,I235="SBJ"),AND(J235=1,I235=0)),"?IN_FOCUS",IF(J235&lt;=2,"?ACTIVATED",IF(J235&lt;&gt;"","?FAMILIAR",IF(F235="NEW",IF(ISNA(VLOOKUP(E235,#REF!,1,FALSE())),"?TYPE_IDENTIFIABLE","?REFERENTIAL"),"_")))))</f>
        <v/>
      </c>
      <c r="H235" s="12" t="str">
        <f t="shared" si="9"/>
        <v/>
      </c>
      <c r="L235" s="15"/>
    </row>
    <row r="236" spans="1:12" x14ac:dyDescent="0.35">
      <c r="A236" t="s">
        <v>193</v>
      </c>
      <c r="B236" t="s">
        <v>24</v>
      </c>
      <c r="C236" t="s">
        <v>49</v>
      </c>
      <c r="D236" t="s">
        <v>16</v>
      </c>
      <c r="E236" s="9" t="s">
        <v>872</v>
      </c>
      <c r="F236" s="10" t="str">
        <f>IF(OR(E236="",E236="!!!"),"",IF(NOT(ISNA(VLOOKUP(E236,E$1:E235,1,FALSE()))),"OLD",IF(AND(E236&lt;&gt;"",E236&lt;&gt;"!!!"),"NEW","")))</f>
        <v>OLD</v>
      </c>
      <c r="G236" s="11" t="s">
        <v>877</v>
      </c>
      <c r="H236" s="12" t="str">
        <f t="shared" si="9"/>
        <v/>
      </c>
      <c r="L236" s="15"/>
    </row>
    <row r="237" spans="1:12" x14ac:dyDescent="0.35">
      <c r="A237" t="s">
        <v>194</v>
      </c>
      <c r="B237" t="s">
        <v>14</v>
      </c>
      <c r="C237" t="s">
        <v>15</v>
      </c>
      <c r="D237" t="s">
        <v>16</v>
      </c>
      <c r="E237" s="9" t="s">
        <v>262</v>
      </c>
      <c r="F237" s="10" t="s">
        <v>876</v>
      </c>
      <c r="G237" s="11"/>
      <c r="H237" s="12" t="str">
        <f t="shared" si="9"/>
        <v/>
      </c>
      <c r="L237" s="15"/>
    </row>
    <row r="238" spans="1:12" x14ac:dyDescent="0.35">
      <c r="A238" t="s">
        <v>42</v>
      </c>
      <c r="E238" s="9" t="str">
        <f t="shared" si="8"/>
        <v/>
      </c>
      <c r="F238" s="10" t="str">
        <f>IF(OR(E238="",E238="!!!"),"",IF(NOT(ISNA(VLOOKUP(E238,E$1:E237,1,FALSE()))),"OLD",IF(AND(E238&lt;&gt;"",E238&lt;&gt;"!!!"),"NEW","")))</f>
        <v/>
      </c>
      <c r="G238" s="11" t="str">
        <f>IF(OR(E238="",E238="!!!"),"",IF(OR(J238=0,AND(J238=1,K238=1),AND(J238=1,I238="SBJ"),AND(J238=1,I238=0)),"?IN_FOCUS",IF(J238&lt;=2,"?ACTIVATED",IF(J238&lt;&gt;"","?FAMILIAR",IF(F238="NEW",IF(ISNA(VLOOKUP(E238,#REF!,1,FALSE())),"?TYPE_IDENTIFIABLE","?REFERENTIAL"),"_")))))</f>
        <v/>
      </c>
      <c r="H238" s="12" t="str">
        <f t="shared" si="9"/>
        <v/>
      </c>
      <c r="L238" s="15"/>
    </row>
    <row r="239" spans="1:12" x14ac:dyDescent="0.35">
      <c r="A239" t="s">
        <v>195</v>
      </c>
      <c r="E239" s="9" t="str">
        <f t="shared" si="8"/>
        <v/>
      </c>
      <c r="F239" s="10" t="str">
        <f>IF(OR(E239="",E239="!!!"),"",IF(NOT(ISNA(VLOOKUP(E239,E$1:E238,1,FALSE()))),"OLD",IF(AND(E239&lt;&gt;"",E239&lt;&gt;"!!!"),"NEW","")))</f>
        <v/>
      </c>
      <c r="G239" s="11" t="str">
        <f>IF(OR(E239="",E239="!!!"),"",IF(OR(J239=0,AND(J239=1,K239=1),AND(J239=1,I239="SBJ"),AND(J239=1,I239=0)),"?IN_FOCUS",IF(J239&lt;=2,"?ACTIVATED",IF(J239&lt;&gt;"","?FAMILIAR",IF(F239="NEW",IF(ISNA(VLOOKUP(E239,#REF!,1,FALSE())),"?TYPE_IDENTIFIABLE","?REFERENTIAL"),"_")))))</f>
        <v/>
      </c>
      <c r="H239" s="12" t="str">
        <f t="shared" si="9"/>
        <v/>
      </c>
      <c r="L239" s="15"/>
    </row>
    <row r="240" spans="1:12" x14ac:dyDescent="0.35">
      <c r="A240" t="s">
        <v>196</v>
      </c>
      <c r="E240" s="9" t="str">
        <f t="shared" si="8"/>
        <v/>
      </c>
      <c r="F240" s="10" t="str">
        <f>IF(OR(E240="",E240="!!!"),"",IF(NOT(ISNA(VLOOKUP(E240,E$1:E239,1,FALSE()))),"OLD",IF(AND(E240&lt;&gt;"",E240&lt;&gt;"!!!"),"NEW","")))</f>
        <v/>
      </c>
      <c r="G240" s="11" t="str">
        <f>IF(OR(E240="",E240="!!!"),"",IF(OR(J240=0,AND(J240=1,K240=1),AND(J240=1,I240="SBJ"),AND(J240=1,I240=0)),"?IN_FOCUS",IF(J240&lt;=2,"?ACTIVATED",IF(J240&lt;&gt;"","?FAMILIAR",IF(F240="NEW",IF(ISNA(VLOOKUP(E240,#REF!,1,FALSE())),"?TYPE_IDENTIFIABLE","?REFERENTIAL"),"_")))))</f>
        <v/>
      </c>
      <c r="H240" s="12" t="str">
        <f t="shared" si="9"/>
        <v/>
      </c>
      <c r="L240" s="15"/>
    </row>
    <row r="241" spans="1:12" x14ac:dyDescent="0.35">
      <c r="A241" t="s">
        <v>58</v>
      </c>
      <c r="E241" s="9" t="str">
        <f t="shared" si="8"/>
        <v/>
      </c>
      <c r="F241" s="10" t="str">
        <f>IF(OR(E241="",E241="!!!"),"",IF(NOT(ISNA(VLOOKUP(E241,E$1:E240,1,FALSE()))),"OLD",IF(AND(E241&lt;&gt;"",E241&lt;&gt;"!!!"),"NEW","")))</f>
        <v/>
      </c>
      <c r="G241" s="11" t="str">
        <f>IF(OR(E241="",E241="!!!"),"",IF(OR(J241=0,AND(J241=1,K241=1),AND(J241=1,I241="SBJ"),AND(J241=1,I241=0)),"?IN_FOCUS",IF(J241&lt;=2,"?ACTIVATED",IF(J241&lt;&gt;"","?FAMILIAR",IF(F241="NEW",IF(ISNA(VLOOKUP(E241,#REF!,1,FALSE())),"?TYPE_IDENTIFIABLE","?REFERENTIAL"),"_")))))</f>
        <v/>
      </c>
      <c r="H241" s="12" t="str">
        <f t="shared" si="9"/>
        <v/>
      </c>
      <c r="L241" s="15"/>
    </row>
    <row r="242" spans="1:12" x14ac:dyDescent="0.35">
      <c r="A242" t="s">
        <v>197</v>
      </c>
      <c r="B242" t="s">
        <v>54</v>
      </c>
      <c r="C242" t="s">
        <v>99</v>
      </c>
      <c r="D242" t="s">
        <v>16</v>
      </c>
      <c r="E242" s="9" t="s">
        <v>262</v>
      </c>
      <c r="F242" s="10" t="s">
        <v>876</v>
      </c>
      <c r="G242" s="11"/>
      <c r="H242" s="12" t="str">
        <f t="shared" si="9"/>
        <v/>
      </c>
      <c r="L242" s="15"/>
    </row>
    <row r="243" spans="1:12" x14ac:dyDescent="0.35">
      <c r="A243" t="s">
        <v>17</v>
      </c>
      <c r="E243" s="9" t="str">
        <f t="shared" si="8"/>
        <v/>
      </c>
      <c r="F243" s="10" t="str">
        <f>IF(OR(E243="",E243="!!!"),"",IF(NOT(ISNA(VLOOKUP(E243,E$1:E242,1,FALSE()))),"OLD",IF(AND(E243&lt;&gt;"",E243&lt;&gt;"!!!"),"NEW","")))</f>
        <v/>
      </c>
      <c r="G243" s="11" t="str">
        <f>IF(OR(E243="",E243="!!!"),"",IF(OR(J243=0,AND(J243=1,K243=1),AND(J243=1,I243="SBJ"),AND(J243=1,I243=0)),"?IN_FOCUS",IF(J243&lt;=2,"?ACTIVATED",IF(J243&lt;&gt;"","?FAMILIAR",IF(F243="NEW",IF(ISNA(VLOOKUP(E243,#REF!,1,FALSE())),"?TYPE_IDENTIFIABLE","?REFERENTIAL"),"_")))))</f>
        <v/>
      </c>
      <c r="H243" s="12" t="str">
        <f t="shared" si="9"/>
        <v/>
      </c>
      <c r="L243" s="15"/>
    </row>
    <row r="244" spans="1:12" x14ac:dyDescent="0.35">
      <c r="A244" t="s">
        <v>58</v>
      </c>
      <c r="E244" s="9" t="str">
        <f t="shared" si="8"/>
        <v/>
      </c>
      <c r="F244" s="10" t="str">
        <f>IF(OR(E244="",E244="!!!"),"",IF(NOT(ISNA(VLOOKUP(E244,E$1:E243,1,FALSE()))),"OLD",IF(AND(E244&lt;&gt;"",E244&lt;&gt;"!!!"),"NEW","")))</f>
        <v/>
      </c>
      <c r="G244" s="11" t="str">
        <f>IF(OR(E244="",E244="!!!"),"",IF(OR(J244=0,AND(J244=1,K244=1),AND(J244=1,I244="SBJ"),AND(J244=1,I244=0)),"?IN_FOCUS",IF(J244&lt;=2,"?ACTIVATED",IF(J244&lt;&gt;"","?FAMILIAR",IF(F244="NEW",IF(ISNA(VLOOKUP(E244,#REF!,1,FALSE())),"?TYPE_IDENTIFIABLE","?REFERENTIAL"),"_")))))</f>
        <v/>
      </c>
      <c r="H244" s="12" t="str">
        <f t="shared" si="9"/>
        <v/>
      </c>
      <c r="L244" s="15"/>
    </row>
    <row r="245" spans="1:12" x14ac:dyDescent="0.35">
      <c r="A245" t="s">
        <v>198</v>
      </c>
      <c r="B245" t="s">
        <v>24</v>
      </c>
      <c r="C245" t="s">
        <v>99</v>
      </c>
      <c r="D245" t="s">
        <v>16</v>
      </c>
      <c r="E245" s="9" t="s">
        <v>262</v>
      </c>
      <c r="F245" s="10" t="s">
        <v>876</v>
      </c>
      <c r="G245" s="11"/>
      <c r="H245" s="12" t="str">
        <f t="shared" si="9"/>
        <v/>
      </c>
      <c r="L245" s="15"/>
    </row>
    <row r="246" spans="1:12" x14ac:dyDescent="0.35">
      <c r="A246" t="s">
        <v>17</v>
      </c>
      <c r="E246" s="9" t="str">
        <f t="shared" si="8"/>
        <v/>
      </c>
      <c r="F246" s="10" t="str">
        <f>IF(OR(E246="",E246="!!!"),"",IF(NOT(ISNA(VLOOKUP(E246,E$1:E245,1,FALSE()))),"OLD",IF(AND(E246&lt;&gt;"",E246&lt;&gt;"!!!"),"NEW","")))</f>
        <v/>
      </c>
      <c r="G246" s="11" t="str">
        <f>IF(OR(E246="",E246="!!!"),"",IF(OR(J246=0,AND(J246=1,K246=1),AND(J246=1,I246="SBJ"),AND(J246=1,I246=0)),"?IN_FOCUS",IF(J246&lt;=2,"?ACTIVATED",IF(J246&lt;&gt;"","?FAMILIAR",IF(F246="NEW",IF(ISNA(VLOOKUP(E246,#REF!,1,FALSE())),"?TYPE_IDENTIFIABLE","?REFERENTIAL"),"_")))))</f>
        <v/>
      </c>
      <c r="H246" s="12" t="str">
        <f t="shared" si="9"/>
        <v/>
      </c>
      <c r="L246" s="15"/>
    </row>
    <row r="247" spans="1:12" x14ac:dyDescent="0.35">
      <c r="A247" t="s">
        <v>58</v>
      </c>
      <c r="E247" s="9" t="str">
        <f t="shared" si="8"/>
        <v/>
      </c>
      <c r="F247" s="10" t="str">
        <f>IF(OR(E247="",E247="!!!"),"",IF(NOT(ISNA(VLOOKUP(E247,E$1:E246,1,FALSE()))),"OLD",IF(AND(E247&lt;&gt;"",E247&lt;&gt;"!!!"),"NEW","")))</f>
        <v/>
      </c>
      <c r="G247" s="11" t="str">
        <f>IF(OR(E247="",E247="!!!"),"",IF(OR(J247=0,AND(J247=1,K247=1),AND(J247=1,I247="SBJ"),AND(J247=1,I247=0)),"?IN_FOCUS",IF(J247&lt;=2,"?ACTIVATED",IF(J247&lt;&gt;"","?FAMILIAR",IF(F247="NEW",IF(ISNA(VLOOKUP(E247,#REF!,1,FALSE())),"?TYPE_IDENTIFIABLE","?REFERENTIAL"),"_")))))</f>
        <v/>
      </c>
      <c r="H247" s="12" t="str">
        <f t="shared" si="9"/>
        <v/>
      </c>
      <c r="L247" s="15"/>
    </row>
    <row r="248" spans="1:12" x14ac:dyDescent="0.35">
      <c r="A248" t="s">
        <v>199</v>
      </c>
      <c r="E248" s="9" t="str">
        <f t="shared" si="8"/>
        <v/>
      </c>
      <c r="F248" s="10" t="str">
        <f>IF(OR(E248="",E248="!!!"),"",IF(NOT(ISNA(VLOOKUP(E248,E$1:E247,1,FALSE()))),"OLD",IF(AND(E248&lt;&gt;"",E248&lt;&gt;"!!!"),"NEW","")))</f>
        <v/>
      </c>
      <c r="G248" s="11" t="str">
        <f>IF(OR(E248="",E248="!!!"),"",IF(OR(J248=0,AND(J248=1,K248=1),AND(J248=1,I248="SBJ"),AND(J248=1,I248=0)),"?IN_FOCUS",IF(J248&lt;=2,"?ACTIVATED",IF(J248&lt;&gt;"","?FAMILIAR",IF(F248="NEW",IF(ISNA(VLOOKUP(E248,#REF!,1,FALSE())),"?TYPE_IDENTIFIABLE","?REFERENTIAL"),"_")))))</f>
        <v/>
      </c>
      <c r="H248" s="12" t="str">
        <f t="shared" si="9"/>
        <v/>
      </c>
      <c r="L248" s="15"/>
    </row>
    <row r="249" spans="1:12" x14ac:dyDescent="0.35">
      <c r="A249" t="s">
        <v>200</v>
      </c>
      <c r="B249" t="s">
        <v>20</v>
      </c>
      <c r="C249" t="s">
        <v>99</v>
      </c>
      <c r="D249" t="s">
        <v>16</v>
      </c>
      <c r="E249" s="9" t="s">
        <v>262</v>
      </c>
      <c r="F249" s="10" t="s">
        <v>876</v>
      </c>
      <c r="G249" s="11"/>
      <c r="H249" s="12" t="str">
        <f t="shared" si="9"/>
        <v/>
      </c>
      <c r="L249" s="15"/>
    </row>
    <row r="250" spans="1:12" x14ac:dyDescent="0.35">
      <c r="A250" t="s">
        <v>26</v>
      </c>
      <c r="E250" s="9" t="str">
        <f t="shared" si="8"/>
        <v/>
      </c>
      <c r="F250" s="10" t="str">
        <f>IF(OR(E250="",E250="!!!"),"",IF(NOT(ISNA(VLOOKUP(E250,E$1:E249,1,FALSE()))),"OLD",IF(AND(E250&lt;&gt;"",E250&lt;&gt;"!!!"),"NEW","")))</f>
        <v/>
      </c>
      <c r="G250" s="11" t="str">
        <f>IF(OR(E250="",E250="!!!"),"",IF(OR(J250=0,AND(J250=1,K250=1),AND(J250=1,I250="SBJ"),AND(J250=1,I250=0)),"?IN_FOCUS",IF(J250&lt;=2,"?ACTIVATED",IF(J250&lt;&gt;"","?FAMILIAR",IF(F250="NEW",IF(ISNA(VLOOKUP(E250,#REF!,1,FALSE())),"?TYPE_IDENTIFIABLE","?REFERENTIAL"),"_")))))</f>
        <v/>
      </c>
      <c r="H250" s="12" t="str">
        <f t="shared" si="9"/>
        <v/>
      </c>
      <c r="L250" s="15"/>
    </row>
    <row r="251" spans="1:12" x14ac:dyDescent="0.35">
      <c r="A251" t="s">
        <v>117</v>
      </c>
      <c r="E251" s="9" t="str">
        <f t="shared" si="8"/>
        <v/>
      </c>
      <c r="F251" s="10" t="str">
        <f>IF(OR(E251="",E251="!!!"),"",IF(NOT(ISNA(VLOOKUP(E251,E$1:E250,1,FALSE()))),"OLD",IF(AND(E251&lt;&gt;"",E251&lt;&gt;"!!!"),"NEW","")))</f>
        <v/>
      </c>
      <c r="G251" s="11" t="str">
        <f>IF(OR(E251="",E251="!!!"),"",IF(OR(J251=0,AND(J251=1,K251=1),AND(J251=1,I251="SBJ"),AND(J251=1,I251=0)),"?IN_FOCUS",IF(J251&lt;=2,"?ACTIVATED",IF(J251&lt;&gt;"","?FAMILIAR",IF(F251="NEW",IF(ISNA(VLOOKUP(E251,#REF!,1,FALSE())),"?TYPE_IDENTIFIABLE","?REFERENTIAL"),"_")))))</f>
        <v/>
      </c>
      <c r="H251" s="12" t="str">
        <f t="shared" si="9"/>
        <v/>
      </c>
      <c r="L251" s="15"/>
    </row>
    <row r="252" spans="1:12" x14ac:dyDescent="0.35">
      <c r="A252" t="s">
        <v>39</v>
      </c>
      <c r="E252" s="9" t="str">
        <f t="shared" si="8"/>
        <v/>
      </c>
      <c r="F252" s="10" t="str">
        <f>IF(OR(E252="",E252="!!!"),"",IF(NOT(ISNA(VLOOKUP(E252,E$1:E251,1,FALSE()))),"OLD",IF(AND(E252&lt;&gt;"",E252&lt;&gt;"!!!"),"NEW","")))</f>
        <v/>
      </c>
      <c r="G252" s="11" t="str">
        <f>IF(OR(E252="",E252="!!!"),"",IF(OR(J252=0,AND(J252=1,K252=1),AND(J252=1,I252="SBJ"),AND(J252=1,I252=0)),"?IN_FOCUS",IF(J252&lt;=2,"?ACTIVATED",IF(J252&lt;&gt;"","?FAMILIAR",IF(F252="NEW",IF(ISNA(VLOOKUP(E252,#REF!,1,FALSE())),"?TYPE_IDENTIFIABLE","?REFERENTIAL"),"_")))))</f>
        <v/>
      </c>
      <c r="H252" s="12" t="str">
        <f t="shared" si="9"/>
        <v/>
      </c>
      <c r="L252" s="15"/>
    </row>
    <row r="253" spans="1:12" x14ac:dyDescent="0.35">
      <c r="A253" t="s">
        <v>133</v>
      </c>
      <c r="B253" t="s">
        <v>36</v>
      </c>
      <c r="C253" t="s">
        <v>33</v>
      </c>
      <c r="D253" t="s">
        <v>16</v>
      </c>
      <c r="E253" s="9" t="s">
        <v>872</v>
      </c>
      <c r="F253" s="10" t="str">
        <f>IF(OR(E253="",E253="!!!"),"",IF(NOT(ISNA(VLOOKUP(E253,E$1:E252,1,FALSE()))),"OLD",IF(AND(E253&lt;&gt;"",E253&lt;&gt;"!!!"),"NEW","")))</f>
        <v>OLD</v>
      </c>
      <c r="G253" s="11" t="s">
        <v>870</v>
      </c>
      <c r="H253" s="12" t="str">
        <f t="shared" si="9"/>
        <v/>
      </c>
      <c r="L253" s="15"/>
    </row>
    <row r="254" spans="1:12" x14ac:dyDescent="0.35">
      <c r="A254" t="s">
        <v>83</v>
      </c>
      <c r="E254" s="9" t="str">
        <f t="shared" si="8"/>
        <v/>
      </c>
      <c r="F254" s="10" t="str">
        <f>IF(OR(E254="",E254="!!!"),"",IF(NOT(ISNA(VLOOKUP(E254,E$1:E253,1,FALSE()))),"OLD",IF(AND(E254&lt;&gt;"",E254&lt;&gt;"!!!"),"NEW","")))</f>
        <v/>
      </c>
      <c r="G254" s="11" t="str">
        <f>IF(OR(E254="",E254="!!!"),"",IF(OR(J254=0,AND(J254=1,K254=1),AND(J254=1,I254="SBJ"),AND(J254=1,I254=0)),"?IN_FOCUS",IF(J254&lt;=2,"?ACTIVATED",IF(J254&lt;&gt;"","?FAMILIAR",IF(F254="NEW",IF(ISNA(VLOOKUP(E254,#REF!,1,FALSE())),"?TYPE_IDENTIFIABLE","?REFERENTIAL"),"_")))))</f>
        <v/>
      </c>
      <c r="H254" s="12" t="str">
        <f t="shared" si="9"/>
        <v/>
      </c>
      <c r="L254" s="15"/>
    </row>
    <row r="255" spans="1:12" x14ac:dyDescent="0.35">
      <c r="A255" t="s">
        <v>201</v>
      </c>
      <c r="E255" s="9" t="str">
        <f t="shared" si="8"/>
        <v/>
      </c>
      <c r="F255" s="10" t="str">
        <f>IF(OR(E255="",E255="!!!"),"",IF(NOT(ISNA(VLOOKUP(E255,E$1:E254,1,FALSE()))),"OLD",IF(AND(E255&lt;&gt;"",E255&lt;&gt;"!!!"),"NEW","")))</f>
        <v/>
      </c>
      <c r="G255" s="11" t="str">
        <f>IF(OR(E255="",E255="!!!"),"",IF(OR(J255=0,AND(J255=1,K255=1),AND(J255=1,I255="SBJ"),AND(J255=1,I255=0)),"?IN_FOCUS",IF(J255&lt;=2,"?ACTIVATED",IF(J255&lt;&gt;"","?FAMILIAR",IF(F255="NEW",IF(ISNA(VLOOKUP(E255,#REF!,1,FALSE())),"?TYPE_IDENTIFIABLE","?REFERENTIAL"),"_")))))</f>
        <v/>
      </c>
      <c r="H255" s="12" t="str">
        <f t="shared" si="9"/>
        <v/>
      </c>
      <c r="L255" s="15"/>
    </row>
    <row r="256" spans="1:12" x14ac:dyDescent="0.35">
      <c r="A256" t="s">
        <v>45</v>
      </c>
      <c r="E256" s="9" t="str">
        <f t="shared" si="8"/>
        <v/>
      </c>
      <c r="F256" s="10" t="str">
        <f>IF(OR(E256="",E256="!!!"),"",IF(NOT(ISNA(VLOOKUP(E256,E$1:E255,1,FALSE()))),"OLD",IF(AND(E256&lt;&gt;"",E256&lt;&gt;"!!!"),"NEW","")))</f>
        <v/>
      </c>
      <c r="G256" s="11" t="str">
        <f>IF(OR(E256="",E256="!!!"),"",IF(OR(J256=0,AND(J256=1,K256=1),AND(J256=1,I256="SBJ"),AND(J256=1,I256=0)),"?IN_FOCUS",IF(J256&lt;=2,"?ACTIVATED",IF(J256&lt;&gt;"","?FAMILIAR",IF(F256="NEW",IF(ISNA(VLOOKUP(E256,#REF!,1,FALSE())),"?TYPE_IDENTIFIABLE","?REFERENTIAL"),"_")))))</f>
        <v/>
      </c>
      <c r="H256" s="12" t="str">
        <f t="shared" si="9"/>
        <v/>
      </c>
      <c r="L256" s="15"/>
    </row>
    <row r="257" spans="1:12" x14ac:dyDescent="0.35">
      <c r="A257" t="s">
        <v>202</v>
      </c>
      <c r="E257" s="9" t="str">
        <f t="shared" si="8"/>
        <v/>
      </c>
      <c r="F257" s="10" t="str">
        <f>IF(OR(E257="",E257="!!!"),"",IF(NOT(ISNA(VLOOKUP(E257,E$1:E256,1,FALSE()))),"OLD",IF(AND(E257&lt;&gt;"",E257&lt;&gt;"!!!"),"NEW","")))</f>
        <v/>
      </c>
      <c r="G257" s="11" t="str">
        <f>IF(OR(E257="",E257="!!!"),"",IF(OR(J257=0,AND(J257=1,K257=1),AND(J257=1,I257="SBJ"),AND(J257=1,I257=0)),"?IN_FOCUS",IF(J257&lt;=2,"?ACTIVATED",IF(J257&lt;&gt;"","?FAMILIAR",IF(F257="NEW",IF(ISNA(VLOOKUP(E257,#REF!,1,FALSE())),"?TYPE_IDENTIFIABLE","?REFERENTIAL"),"_")))))</f>
        <v/>
      </c>
      <c r="H257" s="12" t="str">
        <f t="shared" si="9"/>
        <v/>
      </c>
      <c r="L257" s="15"/>
    </row>
    <row r="258" spans="1:12" x14ac:dyDescent="0.35">
      <c r="A258" t="s">
        <v>17</v>
      </c>
      <c r="E258" s="9" t="str">
        <f t="shared" si="8"/>
        <v/>
      </c>
      <c r="F258" s="10" t="str">
        <f>IF(OR(E258="",E258="!!!"),"",IF(NOT(ISNA(VLOOKUP(E258,E$1:E257,1,FALSE()))),"OLD",IF(AND(E258&lt;&gt;"",E258&lt;&gt;"!!!"),"NEW","")))</f>
        <v/>
      </c>
      <c r="G258" s="11" t="str">
        <f>IF(OR(E258="",E258="!!!"),"",IF(OR(J258=0,AND(J258=1,K258=1),AND(J258=1,I258="SBJ"),AND(J258=1,I258=0)),"?IN_FOCUS",IF(J258&lt;=2,"?ACTIVATED",IF(J258&lt;&gt;"","?FAMILIAR",IF(F258="NEW",IF(ISNA(VLOOKUP(E258,#REF!,1,FALSE())),"?TYPE_IDENTIFIABLE","?REFERENTIAL"),"_")))))</f>
        <v/>
      </c>
      <c r="H258" s="12" t="str">
        <f t="shared" si="9"/>
        <v/>
      </c>
      <c r="L258" s="15"/>
    </row>
    <row r="259" spans="1:12" x14ac:dyDescent="0.35">
      <c r="A259" t="s">
        <v>203</v>
      </c>
      <c r="E259" s="9" t="str">
        <f t="shared" si="8"/>
        <v/>
      </c>
      <c r="F259" s="10" t="str">
        <f>IF(OR(E259="",E259="!!!"),"",IF(NOT(ISNA(VLOOKUP(E259,E$1:E258,1,FALSE()))),"OLD",IF(AND(E259&lt;&gt;"",E259&lt;&gt;"!!!"),"NEW","")))</f>
        <v/>
      </c>
      <c r="G259" s="11" t="str">
        <f>IF(OR(E259="",E259="!!!"),"",IF(OR(J259=0,AND(J259=1,K259=1),AND(J259=1,I259="SBJ"),AND(J259=1,I259=0)),"?IN_FOCUS",IF(J259&lt;=2,"?ACTIVATED",IF(J259&lt;&gt;"","?FAMILIAR",IF(F259="NEW",IF(ISNA(VLOOKUP(E259,#REF!,1,FALSE())),"?TYPE_IDENTIFIABLE","?REFERENTIAL"),"_")))))</f>
        <v/>
      </c>
      <c r="H259" s="12" t="str">
        <f t="shared" si="9"/>
        <v/>
      </c>
      <c r="L259" s="15"/>
    </row>
    <row r="260" spans="1:12" x14ac:dyDescent="0.35">
      <c r="A260" t="s">
        <v>204</v>
      </c>
      <c r="B260" t="s">
        <v>20</v>
      </c>
      <c r="C260" t="s">
        <v>108</v>
      </c>
      <c r="E260" s="9" t="str">
        <f t="shared" si="8"/>
        <v/>
      </c>
      <c r="F260" s="10" t="str">
        <f>IF(OR(E260="",E260="!!!"),"",IF(NOT(ISNA(VLOOKUP(E260,E$1:E259,1,FALSE()))),"OLD",IF(AND(E260&lt;&gt;"",E260&lt;&gt;"!!!"),"NEW","")))</f>
        <v/>
      </c>
      <c r="G260" s="11" t="str">
        <f>IF(OR(E260="",E260="!!!"),"",IF(OR(J260=0,AND(J260=1,K260=1),AND(J260=1,I260="SBJ"),AND(J260=1,I260=0)),"?IN_FOCUS",IF(J260&lt;=2,"?ACTIVATED",IF(J260&lt;&gt;"","?FAMILIAR",IF(F260="NEW",IF(ISNA(VLOOKUP(E260,#REF!,1,FALSE())),"?TYPE_IDENTIFIABLE","?REFERENTIAL"),"_")))))</f>
        <v/>
      </c>
      <c r="H260" s="12" t="str">
        <f t="shared" si="9"/>
        <v/>
      </c>
      <c r="L260" s="15"/>
    </row>
    <row r="261" spans="1:12" x14ac:dyDescent="0.35">
      <c r="A261" t="s">
        <v>161</v>
      </c>
      <c r="E261" s="9" t="str">
        <f t="shared" si="8"/>
        <v/>
      </c>
      <c r="F261" s="10" t="str">
        <f>IF(OR(E261="",E261="!!!"),"",IF(NOT(ISNA(VLOOKUP(E261,E$1:E260,1,FALSE()))),"OLD",IF(AND(E261&lt;&gt;"",E261&lt;&gt;"!!!"),"NEW","")))</f>
        <v/>
      </c>
      <c r="G261" s="11" t="str">
        <f>IF(OR(E261="",E261="!!!"),"",IF(OR(J261=0,AND(J261=1,K261=1),AND(J261=1,I261="SBJ"),AND(J261=1,I261=0)),"?IN_FOCUS",IF(J261&lt;=2,"?ACTIVATED",IF(J261&lt;&gt;"","?FAMILIAR",IF(F261="NEW",IF(ISNA(VLOOKUP(E261,#REF!,1,FALSE())),"?TYPE_IDENTIFIABLE","?REFERENTIAL"),"_")))))</f>
        <v/>
      </c>
      <c r="H261" s="12" t="str">
        <f t="shared" si="9"/>
        <v/>
      </c>
      <c r="L261" s="15"/>
    </row>
    <row r="262" spans="1:12" x14ac:dyDescent="0.35">
      <c r="A262" t="s">
        <v>136</v>
      </c>
      <c r="B262" t="s">
        <v>48</v>
      </c>
      <c r="C262" t="s">
        <v>49</v>
      </c>
      <c r="D262" t="s">
        <v>16</v>
      </c>
      <c r="E262" s="9" t="s">
        <v>872</v>
      </c>
      <c r="F262" s="10" t="str">
        <f>IF(OR(E262="",E262="!!!"),"",IF(NOT(ISNA(VLOOKUP(E262,E$1:E261,1,FALSE()))),"OLD",IF(AND(E262&lt;&gt;"",E262&lt;&gt;"!!!"),"NEW","")))</f>
        <v>OLD</v>
      </c>
      <c r="G262" s="11" t="s">
        <v>870</v>
      </c>
      <c r="H262" s="12" t="str">
        <f t="shared" si="9"/>
        <v/>
      </c>
      <c r="L262" s="15"/>
    </row>
    <row r="263" spans="1:12" x14ac:dyDescent="0.35">
      <c r="A263" t="s">
        <v>157</v>
      </c>
      <c r="B263" t="s">
        <v>143</v>
      </c>
      <c r="C263" t="s">
        <v>15</v>
      </c>
      <c r="D263" t="s">
        <v>16</v>
      </c>
      <c r="E263" s="9" t="s">
        <v>262</v>
      </c>
      <c r="F263" s="10" t="s">
        <v>876</v>
      </c>
      <c r="G263" s="11"/>
      <c r="H263" s="12" t="str">
        <f t="shared" si="9"/>
        <v/>
      </c>
      <c r="L263" s="15"/>
    </row>
    <row r="264" spans="1:12" x14ac:dyDescent="0.35">
      <c r="A264" t="s">
        <v>83</v>
      </c>
      <c r="E264" s="9" t="str">
        <f t="shared" si="8"/>
        <v/>
      </c>
      <c r="F264" s="10" t="str">
        <f>IF(OR(E264="",E264="!!!"),"",IF(NOT(ISNA(VLOOKUP(E264,E$1:E263,1,FALSE()))),"OLD",IF(AND(E264&lt;&gt;"",E264&lt;&gt;"!!!"),"NEW","")))</f>
        <v/>
      </c>
      <c r="G264" s="11" t="str">
        <f>IF(OR(E264="",E264="!!!"),"",IF(OR(J264=0,AND(J264=1,K264=1),AND(J264=1,I264="SBJ"),AND(J264=1,I264=0)),"?IN_FOCUS",IF(J264&lt;=2,"?ACTIVATED",IF(J264&lt;&gt;"","?FAMILIAR",IF(F264="NEW",IF(ISNA(VLOOKUP(E264,#REF!,1,FALSE())),"?TYPE_IDENTIFIABLE","?REFERENTIAL"),"_")))))</f>
        <v/>
      </c>
      <c r="H264" s="12" t="str">
        <f t="shared" si="9"/>
        <v/>
      </c>
      <c r="L264" s="15"/>
    </row>
    <row r="265" spans="1:12" x14ac:dyDescent="0.35">
      <c r="A265" t="s">
        <v>205</v>
      </c>
      <c r="E265" s="9" t="str">
        <f t="shared" si="8"/>
        <v/>
      </c>
      <c r="F265" s="10" t="str">
        <f>IF(OR(E265="",E265="!!!"),"",IF(NOT(ISNA(VLOOKUP(E265,E$1:E264,1,FALSE()))),"OLD",IF(AND(E265&lt;&gt;"",E265&lt;&gt;"!!!"),"NEW","")))</f>
        <v/>
      </c>
      <c r="G265" s="11" t="str">
        <f>IF(OR(E265="",E265="!!!"),"",IF(OR(J265=0,AND(J265=1,K265=1),AND(J265=1,I265="SBJ"),AND(J265=1,I265=0)),"?IN_FOCUS",IF(J265&lt;=2,"?ACTIVATED",IF(J265&lt;&gt;"","?FAMILIAR",IF(F265="NEW",IF(ISNA(VLOOKUP(E265,#REF!,1,FALSE())),"?TYPE_IDENTIFIABLE","?REFERENTIAL"),"_")))))</f>
        <v/>
      </c>
      <c r="H265" s="12" t="str">
        <f t="shared" si="9"/>
        <v/>
      </c>
      <c r="L265" s="15"/>
    </row>
    <row r="266" spans="1:12" x14ac:dyDescent="0.35">
      <c r="A266" t="s">
        <v>159</v>
      </c>
      <c r="E266" s="9" t="str">
        <f t="shared" ref="E266:E300" si="10">IF(D266="?OLD","!!!","")</f>
        <v/>
      </c>
      <c r="F266" s="10" t="str">
        <f>IF(OR(E266="",E266="!!!"),"",IF(NOT(ISNA(VLOOKUP(E266,E$1:E265,1,FALSE()))),"OLD",IF(AND(E266&lt;&gt;"",E266&lt;&gt;"!!!"),"NEW","")))</f>
        <v/>
      </c>
      <c r="G266" s="11" t="str">
        <f>IF(OR(E266="",E266="!!!"),"",IF(OR(J266=0,AND(J266=1,K266=1),AND(J266=1,I266="SBJ"),AND(J266=1,I266=0)),"?IN_FOCUS",IF(J266&lt;=2,"?ACTIVATED",IF(J266&lt;&gt;"","?FAMILIAR",IF(F266="NEW",IF(ISNA(VLOOKUP(E266,#REF!,1,FALSE())),"?TYPE_IDENTIFIABLE","?REFERENTIAL"),"_")))))</f>
        <v/>
      </c>
      <c r="H266" s="12" t="str">
        <f t="shared" ref="H266:H300" si="11">IF(J266&lt;&gt;1,"",IF(I266="SBJ","CB","?"))</f>
        <v/>
      </c>
      <c r="L266" s="15"/>
    </row>
    <row r="267" spans="1:12" x14ac:dyDescent="0.35">
      <c r="A267" t="s">
        <v>206</v>
      </c>
      <c r="B267" t="s">
        <v>56</v>
      </c>
      <c r="C267" t="s">
        <v>108</v>
      </c>
      <c r="E267" s="9" t="str">
        <f t="shared" si="10"/>
        <v/>
      </c>
      <c r="F267" s="10" t="str">
        <f>IF(OR(E267="",E267="!!!"),"",IF(NOT(ISNA(VLOOKUP(E267,E$1:E266,1,FALSE()))),"OLD",IF(AND(E267&lt;&gt;"",E267&lt;&gt;"!!!"),"NEW","")))</f>
        <v/>
      </c>
      <c r="G267" s="11" t="str">
        <f>IF(OR(E267="",E267="!!!"),"",IF(OR(J267=0,AND(J267=1,K267=1),AND(J267=1,I267="SBJ"),AND(J267=1,I267=0)),"?IN_FOCUS",IF(J267&lt;=2,"?ACTIVATED",IF(J267&lt;&gt;"","?FAMILIAR",IF(F267="NEW",IF(ISNA(VLOOKUP(E267,#REF!,1,FALSE())),"?TYPE_IDENTIFIABLE","?REFERENTIAL"),"_")))))</f>
        <v/>
      </c>
      <c r="H267" s="12" t="str">
        <f t="shared" si="11"/>
        <v/>
      </c>
      <c r="L267" s="15"/>
    </row>
    <row r="268" spans="1:12" x14ac:dyDescent="0.35">
      <c r="A268" t="s">
        <v>76</v>
      </c>
      <c r="E268" s="9" t="str">
        <f t="shared" si="10"/>
        <v/>
      </c>
      <c r="F268" s="10" t="str">
        <f>IF(OR(E268="",E268="!!!"),"",IF(NOT(ISNA(VLOOKUP(E268,E$1:E267,1,FALSE()))),"OLD",IF(AND(E268&lt;&gt;"",E268&lt;&gt;"!!!"),"NEW","")))</f>
        <v/>
      </c>
      <c r="G268" s="11" t="str">
        <f>IF(OR(E268="",E268="!!!"),"",IF(OR(J268=0,AND(J268=1,K268=1),AND(J268=1,I268="SBJ"),AND(J268=1,I268=0)),"?IN_FOCUS",IF(J268&lt;=2,"?ACTIVATED",IF(J268&lt;&gt;"","?FAMILIAR",IF(F268="NEW",IF(ISNA(VLOOKUP(E268,#REF!,1,FALSE())),"?TYPE_IDENTIFIABLE","?REFERENTIAL"),"_")))))</f>
        <v/>
      </c>
      <c r="H268" s="12" t="str">
        <f t="shared" si="11"/>
        <v/>
      </c>
      <c r="L268" s="15"/>
    </row>
    <row r="269" spans="1:12" x14ac:dyDescent="0.35">
      <c r="A269" t="s">
        <v>160</v>
      </c>
      <c r="B269" t="s">
        <v>48</v>
      </c>
      <c r="C269" t="s">
        <v>108</v>
      </c>
      <c r="E269" s="9" t="str">
        <f t="shared" si="10"/>
        <v/>
      </c>
      <c r="F269" s="10" t="str">
        <f>IF(OR(E269="",E269="!!!"),"",IF(NOT(ISNA(VLOOKUP(E269,E$1:E268,1,FALSE()))),"OLD",IF(AND(E269&lt;&gt;"",E269&lt;&gt;"!!!"),"NEW","")))</f>
        <v/>
      </c>
      <c r="G269" s="11" t="str">
        <f>IF(OR(E269="",E269="!!!"),"",IF(OR(J269=0,AND(J269=1,K269=1),AND(J269=1,I269="SBJ"),AND(J269=1,I269=0)),"?IN_FOCUS",IF(J269&lt;=2,"?ACTIVATED",IF(J269&lt;&gt;"","?FAMILIAR",IF(F269="NEW",IF(ISNA(VLOOKUP(E269,#REF!,1,FALSE())),"?TYPE_IDENTIFIABLE","?REFERENTIAL"),"_")))))</f>
        <v/>
      </c>
      <c r="H269" s="12" t="str">
        <f t="shared" si="11"/>
        <v/>
      </c>
      <c r="L269" s="15"/>
    </row>
    <row r="270" spans="1:12" x14ac:dyDescent="0.35">
      <c r="A270" t="s">
        <v>63</v>
      </c>
      <c r="E270" s="9" t="str">
        <f t="shared" si="10"/>
        <v/>
      </c>
      <c r="F270" s="10" t="str">
        <f>IF(OR(E270="",E270="!!!"),"",IF(NOT(ISNA(VLOOKUP(E270,E$1:E269,1,FALSE()))),"OLD",IF(AND(E270&lt;&gt;"",E270&lt;&gt;"!!!"),"NEW","")))</f>
        <v/>
      </c>
      <c r="G270" s="11" t="str">
        <f>IF(OR(E270="",E270="!!!"),"",IF(OR(J270=0,AND(J270=1,K270=1),AND(J270=1,I270="SBJ"),AND(J270=1,I270=0)),"?IN_FOCUS",IF(J270&lt;=2,"?ACTIVATED",IF(J270&lt;&gt;"","?FAMILIAR",IF(F270="NEW",IF(ISNA(VLOOKUP(E270,#REF!,1,FALSE())),"?TYPE_IDENTIFIABLE","?REFERENTIAL"),"_")))))</f>
        <v/>
      </c>
      <c r="H270" s="12" t="str">
        <f t="shared" si="11"/>
        <v/>
      </c>
      <c r="L270" s="15"/>
    </row>
    <row r="271" spans="1:12" x14ac:dyDescent="0.35">
      <c r="E271" s="9" t="str">
        <f t="shared" si="10"/>
        <v/>
      </c>
      <c r="F271" s="10" t="str">
        <f>IF(OR(E271="",E271="!!!"),"",IF(NOT(ISNA(VLOOKUP(E271,E$1:E270,1,FALSE()))),"OLD",IF(AND(E271&lt;&gt;"",E271&lt;&gt;"!!!"),"NEW","")))</f>
        <v/>
      </c>
      <c r="G271" s="11" t="str">
        <f>IF(OR(E271="",E271="!!!"),"",IF(OR(J271=0,AND(J271=1,K271=1),AND(J271=1,I271="SBJ"),AND(J271=1,I271=0)),"?IN_FOCUS",IF(J271&lt;=2,"?ACTIVATED",IF(J271&lt;&gt;"","?FAMILIAR",IF(F271="NEW",IF(ISNA(VLOOKUP(E271,#REF!,1,FALSE())),"?TYPE_IDENTIFIABLE","?REFERENTIAL"),"_")))))</f>
        <v/>
      </c>
      <c r="H271" s="12" t="str">
        <f t="shared" si="11"/>
        <v/>
      </c>
      <c r="L271" s="15"/>
    </row>
    <row r="272" spans="1:12" x14ac:dyDescent="0.35">
      <c r="A272" t="s">
        <v>207</v>
      </c>
      <c r="E272" s="9" t="str">
        <f t="shared" si="10"/>
        <v/>
      </c>
      <c r="F272" s="10" t="str">
        <f>IF(OR(E272="",E272="!!!"),"",IF(NOT(ISNA(VLOOKUP(E272,E$1:E271,1,FALSE()))),"OLD",IF(AND(E272&lt;&gt;"",E272&lt;&gt;"!!!"),"NEW","")))</f>
        <v/>
      </c>
      <c r="G272" s="11" t="str">
        <f>IF(OR(E272="",E272="!!!"),"",IF(OR(J272=0,AND(J272=1,K272=1),AND(J272=1,I272="SBJ"),AND(J272=1,I272=0)),"?IN_FOCUS",IF(J272&lt;=2,"?ACTIVATED",IF(J272&lt;&gt;"","?FAMILIAR",IF(F272="NEW",IF(ISNA(VLOOKUP(E272,#REF!,1,FALSE())),"?TYPE_IDENTIFIABLE","?REFERENTIAL"),"_")))))</f>
        <v/>
      </c>
      <c r="H272" s="12" t="str">
        <f t="shared" si="11"/>
        <v/>
      </c>
      <c r="L272" s="15"/>
    </row>
    <row r="273" spans="1:12" x14ac:dyDescent="0.35">
      <c r="A273" t="s">
        <v>208</v>
      </c>
      <c r="B273" t="s">
        <v>14</v>
      </c>
      <c r="C273" t="s">
        <v>33</v>
      </c>
      <c r="D273" t="s">
        <v>16</v>
      </c>
      <c r="E273" s="9" t="s">
        <v>262</v>
      </c>
      <c r="F273" s="10" t="s">
        <v>876</v>
      </c>
      <c r="G273" s="11"/>
      <c r="H273" s="12" t="str">
        <f t="shared" si="11"/>
        <v/>
      </c>
      <c r="L273" s="15"/>
    </row>
    <row r="274" spans="1:12" x14ac:dyDescent="0.35">
      <c r="A274" t="s">
        <v>42</v>
      </c>
      <c r="E274" s="9" t="str">
        <f t="shared" si="10"/>
        <v/>
      </c>
      <c r="F274" s="10" t="str">
        <f>IF(OR(E274="",E274="!!!"),"",IF(NOT(ISNA(VLOOKUP(E274,E$1:E273,1,FALSE()))),"OLD",IF(AND(E274&lt;&gt;"",E274&lt;&gt;"!!!"),"NEW","")))</f>
        <v/>
      </c>
      <c r="G274" s="11" t="str">
        <f>IF(OR(E274="",E274="!!!"),"",IF(OR(J274=0,AND(J274=1,K274=1),AND(J274=1,I274="SBJ"),AND(J274=1,I274=0)),"?IN_FOCUS",IF(J274&lt;=2,"?ACTIVATED",IF(J274&lt;&gt;"","?FAMILIAR",IF(F274="NEW",IF(ISNA(VLOOKUP(E274,#REF!,1,FALSE())),"?TYPE_IDENTIFIABLE","?REFERENTIAL"),"_")))))</f>
        <v/>
      </c>
      <c r="H274" s="12" t="str">
        <f t="shared" si="11"/>
        <v/>
      </c>
      <c r="L274" s="15"/>
    </row>
    <row r="275" spans="1:12" x14ac:dyDescent="0.35">
      <c r="A275" t="s">
        <v>34</v>
      </c>
      <c r="E275" s="9" t="str">
        <f t="shared" si="10"/>
        <v/>
      </c>
      <c r="F275" s="10" t="str">
        <f>IF(OR(E275="",E275="!!!"),"",IF(NOT(ISNA(VLOOKUP(E275,E$1:E274,1,FALSE()))),"OLD",IF(AND(E275&lt;&gt;"",E275&lt;&gt;"!!!"),"NEW","")))</f>
        <v/>
      </c>
      <c r="G275" s="11" t="str">
        <f>IF(OR(E275="",E275="!!!"),"",IF(OR(J275=0,AND(J275=1,K275=1),AND(J275=1,I275="SBJ"),AND(J275=1,I275=0)),"?IN_FOCUS",IF(J275&lt;=2,"?ACTIVATED",IF(J275&lt;&gt;"","?FAMILIAR",IF(F275="NEW",IF(ISNA(VLOOKUP(E275,#REF!,1,FALSE())),"?TYPE_IDENTIFIABLE","?REFERENTIAL"),"_")))))</f>
        <v/>
      </c>
      <c r="H275" s="12" t="str">
        <f t="shared" si="11"/>
        <v/>
      </c>
      <c r="L275" s="15"/>
    </row>
    <row r="276" spans="1:12" x14ac:dyDescent="0.35">
      <c r="A276" t="s">
        <v>209</v>
      </c>
      <c r="B276" t="s">
        <v>54</v>
      </c>
      <c r="C276" t="s">
        <v>37</v>
      </c>
      <c r="E276" s="9" t="str">
        <f t="shared" si="10"/>
        <v/>
      </c>
      <c r="F276" s="10" t="str">
        <f>IF(OR(E276="",E276="!!!"),"",IF(NOT(ISNA(VLOOKUP(E276,E$1:E275,1,FALSE()))),"OLD",IF(AND(E276&lt;&gt;"",E276&lt;&gt;"!!!"),"NEW","")))</f>
        <v/>
      </c>
      <c r="G276" s="11" t="str">
        <f>IF(OR(E276="",E276="!!!"),"",IF(OR(J276=0,AND(J276=1,K276=1),AND(J276=1,I276="SBJ"),AND(J276=1,I276=0)),"?IN_FOCUS",IF(J276&lt;=2,"?ACTIVATED",IF(J276&lt;&gt;"","?FAMILIAR",IF(F276="NEW",IF(ISNA(VLOOKUP(E276,#REF!,1,FALSE())),"?TYPE_IDENTIFIABLE","?REFERENTIAL"),"_")))))</f>
        <v/>
      </c>
      <c r="H276" s="12" t="str">
        <f t="shared" si="11"/>
        <v/>
      </c>
      <c r="L276" s="15"/>
    </row>
    <row r="277" spans="1:12" x14ac:dyDescent="0.35">
      <c r="A277" t="s">
        <v>45</v>
      </c>
      <c r="E277" s="9" t="str">
        <f t="shared" si="10"/>
        <v/>
      </c>
      <c r="F277" s="10" t="str">
        <f>IF(OR(E277="",E277="!!!"),"",IF(NOT(ISNA(VLOOKUP(E277,E$1:E276,1,FALSE()))),"OLD",IF(AND(E277&lt;&gt;"",E277&lt;&gt;"!!!"),"NEW","")))</f>
        <v/>
      </c>
      <c r="G277" s="11" t="str">
        <f>IF(OR(E277="",E277="!!!"),"",IF(OR(J277=0,AND(J277=1,K277=1),AND(J277=1,I277="SBJ"),AND(J277=1,I277=0)),"?IN_FOCUS",IF(J277&lt;=2,"?ACTIVATED",IF(J277&lt;&gt;"","?FAMILIAR",IF(F277="NEW",IF(ISNA(VLOOKUP(E277,#REF!,1,FALSE())),"?TYPE_IDENTIFIABLE","?REFERENTIAL"),"_")))))</f>
        <v/>
      </c>
      <c r="H277" s="12" t="str">
        <f t="shared" si="11"/>
        <v/>
      </c>
      <c r="L277" s="15"/>
    </row>
    <row r="278" spans="1:12" x14ac:dyDescent="0.35">
      <c r="A278" t="s">
        <v>176</v>
      </c>
      <c r="B278" t="s">
        <v>54</v>
      </c>
      <c r="C278" t="s">
        <v>33</v>
      </c>
      <c r="D278" t="s">
        <v>16</v>
      </c>
      <c r="E278" s="9" t="s">
        <v>365</v>
      </c>
      <c r="F278" s="10" t="str">
        <f>IF(OR(E278="",E278="!!!"),"",IF(NOT(ISNA(VLOOKUP(E278,E$1:E277,1,FALSE()))),"OLD",IF(AND(E278&lt;&gt;"",E278&lt;&gt;"!!!"),"NEW","")))</f>
        <v>OLD</v>
      </c>
      <c r="G278" s="11" t="s">
        <v>874</v>
      </c>
      <c r="H278" s="12" t="str">
        <f t="shared" si="11"/>
        <v/>
      </c>
      <c r="L278" s="15"/>
    </row>
    <row r="279" spans="1:12" x14ac:dyDescent="0.35">
      <c r="A279" t="s">
        <v>26</v>
      </c>
      <c r="E279" s="9" t="str">
        <f t="shared" si="10"/>
        <v/>
      </c>
      <c r="F279" s="10" t="str">
        <f>IF(OR(E279="",E279="!!!"),"",IF(NOT(ISNA(VLOOKUP(E279,E$1:E278,1,FALSE()))),"OLD",IF(AND(E279&lt;&gt;"",E279&lt;&gt;"!!!"),"NEW","")))</f>
        <v/>
      </c>
      <c r="G279" s="11" t="str">
        <f>IF(OR(E279="",E279="!!!"),"",IF(OR(J279=0,AND(J279=1,K279=1),AND(J279=1,I279="SBJ"),AND(J279=1,I279=0)),"?IN_FOCUS",IF(J279&lt;=2,"?ACTIVATED",IF(J279&lt;&gt;"","?FAMILIAR",IF(F279="NEW",IF(ISNA(VLOOKUP(E279,#REF!,1,FALSE())),"?TYPE_IDENTIFIABLE","?REFERENTIAL"),"_")))))</f>
        <v/>
      </c>
      <c r="H279" s="12" t="str">
        <f t="shared" si="11"/>
        <v/>
      </c>
      <c r="L279" s="15"/>
    </row>
    <row r="280" spans="1:12" x14ac:dyDescent="0.35">
      <c r="A280" t="s">
        <v>210</v>
      </c>
      <c r="E280" s="9" t="str">
        <f t="shared" si="10"/>
        <v/>
      </c>
      <c r="F280" s="10" t="str">
        <f>IF(OR(E280="",E280="!!!"),"",IF(NOT(ISNA(VLOOKUP(E280,E$1:E279,1,FALSE()))),"OLD",IF(AND(E280&lt;&gt;"",E280&lt;&gt;"!!!"),"NEW","")))</f>
        <v/>
      </c>
      <c r="G280" s="11" t="str">
        <f>IF(OR(E280="",E280="!!!"),"",IF(OR(J280=0,AND(J280=1,K280=1),AND(J280=1,I280="SBJ"),AND(J280=1,I280=0)),"?IN_FOCUS",IF(J280&lt;=2,"?ACTIVATED",IF(J280&lt;&gt;"","?FAMILIAR",IF(F280="NEW",IF(ISNA(VLOOKUP(E280,#REF!,1,FALSE())),"?TYPE_IDENTIFIABLE","?REFERENTIAL"),"_")))))</f>
        <v/>
      </c>
      <c r="H280" s="12" t="str">
        <f t="shared" si="11"/>
        <v/>
      </c>
      <c r="L280" s="15"/>
    </row>
    <row r="281" spans="1:12" x14ac:dyDescent="0.35">
      <c r="A281" t="s">
        <v>39</v>
      </c>
      <c r="E281" s="9" t="str">
        <f t="shared" si="10"/>
        <v/>
      </c>
      <c r="F281" s="10" t="str">
        <f>IF(OR(E281="",E281="!!!"),"",IF(NOT(ISNA(VLOOKUP(E281,E$1:E280,1,FALSE()))),"OLD",IF(AND(E281&lt;&gt;"",E281&lt;&gt;"!!!"),"NEW","")))</f>
        <v/>
      </c>
      <c r="G281" s="11" t="str">
        <f>IF(OR(E281="",E281="!!!"),"",IF(OR(J281=0,AND(J281=1,K281=1),AND(J281=1,I281="SBJ"),AND(J281=1,I281=0)),"?IN_FOCUS",IF(J281&lt;=2,"?ACTIVATED",IF(J281&lt;&gt;"","?FAMILIAR",IF(F281="NEW",IF(ISNA(VLOOKUP(E281,#REF!,1,FALSE())),"?TYPE_IDENTIFIABLE","?REFERENTIAL"),"_")))))</f>
        <v/>
      </c>
      <c r="H281" s="12" t="str">
        <f t="shared" si="11"/>
        <v/>
      </c>
      <c r="L281" s="15"/>
    </row>
    <row r="282" spans="1:12" x14ac:dyDescent="0.35">
      <c r="A282" t="s">
        <v>211</v>
      </c>
      <c r="E282" s="9" t="str">
        <f t="shared" si="10"/>
        <v/>
      </c>
      <c r="F282" s="10" t="str">
        <f>IF(OR(E282="",E282="!!!"),"",IF(NOT(ISNA(VLOOKUP(E282,E$1:E281,1,FALSE()))),"OLD",IF(AND(E282&lt;&gt;"",E282&lt;&gt;"!!!"),"NEW","")))</f>
        <v/>
      </c>
      <c r="G282" s="11" t="str">
        <f>IF(OR(E282="",E282="!!!"),"",IF(OR(J282=0,AND(J282=1,K282=1),AND(J282=1,I282="SBJ"),AND(J282=1,I282=0)),"?IN_FOCUS",IF(J282&lt;=2,"?ACTIVATED",IF(J282&lt;&gt;"","?FAMILIAR",IF(F282="NEW",IF(ISNA(VLOOKUP(E282,#REF!,1,FALSE())),"?TYPE_IDENTIFIABLE","?REFERENTIAL"),"_")))))</f>
        <v/>
      </c>
      <c r="H282" s="12" t="str">
        <f t="shared" si="11"/>
        <v/>
      </c>
      <c r="L282" s="15"/>
    </row>
    <row r="283" spans="1:12" x14ac:dyDescent="0.35">
      <c r="A283" t="s">
        <v>212</v>
      </c>
      <c r="B283" t="s">
        <v>54</v>
      </c>
      <c r="C283" t="s">
        <v>122</v>
      </c>
      <c r="D283" t="s">
        <v>16</v>
      </c>
      <c r="E283" s="9" t="s">
        <v>262</v>
      </c>
      <c r="F283" s="10" t="s">
        <v>876</v>
      </c>
      <c r="G283" s="11"/>
      <c r="H283" s="12" t="str">
        <f t="shared" si="11"/>
        <v/>
      </c>
      <c r="L283" s="15"/>
    </row>
    <row r="284" spans="1:12" x14ac:dyDescent="0.35">
      <c r="A284" t="s">
        <v>26</v>
      </c>
      <c r="E284" s="9" t="str">
        <f t="shared" si="10"/>
        <v/>
      </c>
      <c r="F284" s="10" t="str">
        <f>IF(OR(E284="",E284="!!!"),"",IF(NOT(ISNA(VLOOKUP(E284,E$1:E283,1,FALSE()))),"OLD",IF(AND(E284&lt;&gt;"",E284&lt;&gt;"!!!"),"NEW","")))</f>
        <v/>
      </c>
      <c r="G284" s="11" t="str">
        <f>IF(OR(E284="",E284="!!!"),"",IF(OR(J284=0,AND(J284=1,K284=1),AND(J284=1,I284="SBJ"),AND(J284=1,I284=0)),"?IN_FOCUS",IF(J284&lt;=2,"?ACTIVATED",IF(J284&lt;&gt;"","?FAMILIAR",IF(F284="NEW",IF(ISNA(VLOOKUP(E284,#REF!,1,FALSE())),"?TYPE_IDENTIFIABLE","?REFERENTIAL"),"_")))))</f>
        <v/>
      </c>
      <c r="H284" s="12" t="str">
        <f t="shared" si="11"/>
        <v/>
      </c>
      <c r="L284" s="15"/>
    </row>
    <row r="285" spans="1:12" x14ac:dyDescent="0.35">
      <c r="A285" t="s">
        <v>161</v>
      </c>
      <c r="E285" s="9" t="str">
        <f t="shared" si="10"/>
        <v/>
      </c>
      <c r="F285" s="10" t="str">
        <f>IF(OR(E285="",E285="!!!"),"",IF(NOT(ISNA(VLOOKUP(E285,E$1:E284,1,FALSE()))),"OLD",IF(AND(E285&lt;&gt;"",E285&lt;&gt;"!!!"),"NEW","")))</f>
        <v/>
      </c>
      <c r="G285" s="11" t="str">
        <f>IF(OR(E285="",E285="!!!"),"",IF(OR(J285=0,AND(J285=1,K285=1),AND(J285=1,I285="SBJ"),AND(J285=1,I285=0)),"?IN_FOCUS",IF(J285&lt;=2,"?ACTIVATED",IF(J285&lt;&gt;"","?FAMILIAR",IF(F285="NEW",IF(ISNA(VLOOKUP(E285,#REF!,1,FALSE())),"?TYPE_IDENTIFIABLE","?REFERENTIAL"),"_")))))</f>
        <v/>
      </c>
      <c r="H285" s="12" t="str">
        <f t="shared" si="11"/>
        <v/>
      </c>
      <c r="L285" s="15"/>
    </row>
    <row r="286" spans="1:12" x14ac:dyDescent="0.35">
      <c r="A286" t="s">
        <v>133</v>
      </c>
      <c r="B286" t="s">
        <v>36</v>
      </c>
      <c r="C286" t="s">
        <v>33</v>
      </c>
      <c r="D286" t="s">
        <v>16</v>
      </c>
      <c r="E286" s="9" t="s">
        <v>872</v>
      </c>
      <c r="F286" s="10" t="str">
        <f>IF(OR(E286="",E286="!!!"),"",IF(NOT(ISNA(VLOOKUP(E286,E$1:E285,1,FALSE()))),"OLD",IF(AND(E286&lt;&gt;"",E286&lt;&gt;"!!!"),"NEW","")))</f>
        <v>OLD</v>
      </c>
      <c r="G286" s="11" t="s">
        <v>877</v>
      </c>
      <c r="H286" s="12" t="str">
        <f t="shared" si="11"/>
        <v/>
      </c>
      <c r="L286" s="15"/>
    </row>
    <row r="287" spans="1:12" x14ac:dyDescent="0.35">
      <c r="A287" t="s">
        <v>131</v>
      </c>
      <c r="E287" s="9" t="str">
        <f t="shared" si="10"/>
        <v/>
      </c>
      <c r="F287" s="10" t="str">
        <f>IF(OR(E287="",E287="!!!"),"",IF(NOT(ISNA(VLOOKUP(E287,E$1:E286,1,FALSE()))),"OLD",IF(AND(E287&lt;&gt;"",E287&lt;&gt;"!!!"),"NEW","")))</f>
        <v/>
      </c>
      <c r="G287" s="11" t="str">
        <f>IF(OR(E287="",E287="!!!"),"",IF(OR(J287=0,AND(J287=1,K287=1),AND(J287=1,I287="SBJ"),AND(J287=1,I287=0)),"?IN_FOCUS",IF(J287&lt;=2,"?ACTIVATED",IF(J287&lt;&gt;"","?FAMILIAR",IF(F287="NEW",IF(ISNA(VLOOKUP(E287,#REF!,1,FALSE())),"?TYPE_IDENTIFIABLE","?REFERENTIAL"),"_")))))</f>
        <v/>
      </c>
      <c r="H287" s="12" t="str">
        <f t="shared" si="11"/>
        <v/>
      </c>
      <c r="L287" s="15"/>
    </row>
    <row r="288" spans="1:12" x14ac:dyDescent="0.35">
      <c r="A288" t="s">
        <v>132</v>
      </c>
      <c r="E288" s="9" t="str">
        <f t="shared" si="10"/>
        <v/>
      </c>
      <c r="F288" s="10" t="str">
        <f>IF(OR(E288="",E288="!!!"),"",IF(NOT(ISNA(VLOOKUP(E288,E$1:E287,1,FALSE()))),"OLD",IF(AND(E288&lt;&gt;"",E288&lt;&gt;"!!!"),"NEW","")))</f>
        <v/>
      </c>
      <c r="G288" s="11" t="str">
        <f>IF(OR(E288="",E288="!!!"),"",IF(OR(J288=0,AND(J288=1,K288=1),AND(J288=1,I288="SBJ"),AND(J288=1,I288=0)),"?IN_FOCUS",IF(J288&lt;=2,"?ACTIVATED",IF(J288&lt;&gt;"","?FAMILIAR",IF(F288="NEW",IF(ISNA(VLOOKUP(E288,#REF!,1,FALSE())),"?TYPE_IDENTIFIABLE","?REFERENTIAL"),"_")))))</f>
        <v/>
      </c>
      <c r="H288" s="12" t="str">
        <f t="shared" si="11"/>
        <v/>
      </c>
      <c r="L288" s="15"/>
    </row>
    <row r="289" spans="1:12" x14ac:dyDescent="0.35">
      <c r="A289" t="s">
        <v>213</v>
      </c>
      <c r="E289" s="9" t="str">
        <f t="shared" si="10"/>
        <v/>
      </c>
      <c r="F289" s="10" t="str">
        <f>IF(OR(E289="",E289="!!!"),"",IF(NOT(ISNA(VLOOKUP(E289,E$1:E288,1,FALSE()))),"OLD",IF(AND(E289&lt;&gt;"",E289&lt;&gt;"!!!"),"NEW","")))</f>
        <v/>
      </c>
      <c r="G289" s="11" t="str">
        <f>IF(OR(E289="",E289="!!!"),"",IF(OR(J289=0,AND(J289=1,K289=1),AND(J289=1,I289="SBJ"),AND(J289=1,I289=0)),"?IN_FOCUS",IF(J289&lt;=2,"?ACTIVATED",IF(J289&lt;&gt;"","?FAMILIAR",IF(F289="NEW",IF(ISNA(VLOOKUP(E289,#REF!,1,FALSE())),"?TYPE_IDENTIFIABLE","?REFERENTIAL"),"_")))))</f>
        <v/>
      </c>
      <c r="H289" s="12" t="str">
        <f t="shared" si="11"/>
        <v/>
      </c>
      <c r="L289" s="15"/>
    </row>
    <row r="290" spans="1:12" x14ac:dyDescent="0.35">
      <c r="A290" t="s">
        <v>214</v>
      </c>
      <c r="B290" t="s">
        <v>20</v>
      </c>
      <c r="C290" t="s">
        <v>21</v>
      </c>
      <c r="D290" t="s">
        <v>16</v>
      </c>
      <c r="E290" s="9" t="s">
        <v>262</v>
      </c>
      <c r="F290" s="10" t="s">
        <v>876</v>
      </c>
      <c r="G290" s="11"/>
      <c r="H290" s="12" t="str">
        <f t="shared" si="11"/>
        <v/>
      </c>
      <c r="L290" s="15"/>
    </row>
    <row r="291" spans="1:12" x14ac:dyDescent="0.35">
      <c r="A291" t="s">
        <v>22</v>
      </c>
      <c r="E291" s="9" t="str">
        <f t="shared" si="10"/>
        <v/>
      </c>
      <c r="F291" s="10" t="str">
        <f>IF(OR(E291="",E291="!!!"),"",IF(NOT(ISNA(VLOOKUP(E291,E$1:E290,1,FALSE()))),"OLD",IF(AND(E291&lt;&gt;"",E291&lt;&gt;"!!!"),"NEW","")))</f>
        <v/>
      </c>
      <c r="G291" s="11" t="str">
        <f>IF(OR(E291="",E291="!!!"),"",IF(OR(J291=0,AND(J291=1,K291=1),AND(J291=1,I291="SBJ"),AND(J291=1,I291=0)),"?IN_FOCUS",IF(J291&lt;=2,"?ACTIVATED",IF(J291&lt;&gt;"","?FAMILIAR",IF(F291="NEW",IF(ISNA(VLOOKUP(E291,#REF!,1,FALSE())),"?TYPE_IDENTIFIABLE","?REFERENTIAL"),"_")))))</f>
        <v/>
      </c>
      <c r="H291" s="12" t="str">
        <f t="shared" si="11"/>
        <v/>
      </c>
      <c r="L291" s="15"/>
    </row>
    <row r="292" spans="1:12" x14ac:dyDescent="0.35">
      <c r="A292" t="s">
        <v>215</v>
      </c>
      <c r="B292" t="s">
        <v>91</v>
      </c>
      <c r="C292" t="s">
        <v>15</v>
      </c>
      <c r="D292" t="s">
        <v>16</v>
      </c>
      <c r="E292" s="9" t="s">
        <v>262</v>
      </c>
      <c r="F292" s="10" t="s">
        <v>876</v>
      </c>
      <c r="G292" s="11"/>
      <c r="H292" s="12" t="str">
        <f t="shared" si="11"/>
        <v/>
      </c>
      <c r="L292" s="15"/>
    </row>
    <row r="293" spans="1:12" x14ac:dyDescent="0.35">
      <c r="A293" t="s">
        <v>76</v>
      </c>
      <c r="E293" s="9" t="str">
        <f t="shared" si="10"/>
        <v/>
      </c>
      <c r="F293" s="10" t="str">
        <f>IF(OR(E293="",E293="!!!"),"",IF(NOT(ISNA(VLOOKUP(E293,E$1:E292,1,FALSE()))),"OLD",IF(AND(E293&lt;&gt;"",E293&lt;&gt;"!!!"),"NEW","")))</f>
        <v/>
      </c>
      <c r="G293" s="11" t="str">
        <f>IF(OR(E293="",E293="!!!"),"",IF(OR(J293=0,AND(J293=1,K293=1),AND(J293=1,I293="SBJ"),AND(J293=1,I293=0)),"?IN_FOCUS",IF(J293&lt;=2,"?ACTIVATED",IF(J293&lt;&gt;"","?FAMILIAR",IF(F293="NEW",IF(ISNA(VLOOKUP(E293,#REF!,1,FALSE())),"?TYPE_IDENTIFIABLE","?REFERENTIAL"),"_")))))</f>
        <v/>
      </c>
      <c r="H293" s="12" t="str">
        <f t="shared" si="11"/>
        <v/>
      </c>
      <c r="L293" s="15"/>
    </row>
    <row r="294" spans="1:12" x14ac:dyDescent="0.35">
      <c r="A294" t="s">
        <v>216</v>
      </c>
      <c r="E294" s="9" t="str">
        <f t="shared" si="10"/>
        <v/>
      </c>
      <c r="F294" s="10" t="str">
        <f>IF(OR(E294="",E294="!!!"),"",IF(NOT(ISNA(VLOOKUP(E294,E$1:E293,1,FALSE()))),"OLD",IF(AND(E294&lt;&gt;"",E294&lt;&gt;"!!!"),"NEW","")))</f>
        <v/>
      </c>
      <c r="G294" s="11" t="str">
        <f>IF(OR(E294="",E294="!!!"),"",IF(OR(J294=0,AND(J294=1,K294=1),AND(J294=1,I294="SBJ"),AND(J294=1,I294=0)),"?IN_FOCUS",IF(J294&lt;=2,"?ACTIVATED",IF(J294&lt;&gt;"","?FAMILIAR",IF(F294="NEW",IF(ISNA(VLOOKUP(E294,#REF!,1,FALSE())),"?TYPE_IDENTIFIABLE","?REFERENTIAL"),"_")))))</f>
        <v/>
      </c>
      <c r="H294" s="12" t="str">
        <f t="shared" si="11"/>
        <v/>
      </c>
      <c r="L294" s="15"/>
    </row>
    <row r="295" spans="1:12" x14ac:dyDescent="0.35">
      <c r="A295" t="s">
        <v>39</v>
      </c>
      <c r="E295" s="9" t="str">
        <f t="shared" si="10"/>
        <v/>
      </c>
      <c r="F295" s="10" t="str">
        <f>IF(OR(E295="",E295="!!!"),"",IF(NOT(ISNA(VLOOKUP(E295,E$1:E294,1,FALSE()))),"OLD",IF(AND(E295&lt;&gt;"",E295&lt;&gt;"!!!"),"NEW","")))</f>
        <v/>
      </c>
      <c r="G295" s="11" t="str">
        <f>IF(OR(E295="",E295="!!!"),"",IF(OR(J295=0,AND(J295=1,K295=1),AND(J295=1,I295="SBJ"),AND(J295=1,I295=0)),"?IN_FOCUS",IF(J295&lt;=2,"?ACTIVATED",IF(J295&lt;&gt;"","?FAMILIAR",IF(F295="NEW",IF(ISNA(VLOOKUP(E295,#REF!,1,FALSE())),"?TYPE_IDENTIFIABLE","?REFERENTIAL"),"_")))))</f>
        <v/>
      </c>
      <c r="H295" s="12" t="str">
        <f t="shared" si="11"/>
        <v/>
      </c>
      <c r="L295" s="15"/>
    </row>
    <row r="296" spans="1:12" x14ac:dyDescent="0.35">
      <c r="A296" t="s">
        <v>133</v>
      </c>
      <c r="B296" t="s">
        <v>143</v>
      </c>
      <c r="C296" t="s">
        <v>33</v>
      </c>
      <c r="D296" t="s">
        <v>16</v>
      </c>
      <c r="E296" s="9" t="s">
        <v>872</v>
      </c>
      <c r="F296" s="10" t="str">
        <f>IF(OR(E296="",E296="!!!"),"",IF(NOT(ISNA(VLOOKUP(E296,E$1:E295,1,FALSE()))),"OLD",IF(AND(E296&lt;&gt;"",E296&lt;&gt;"!!!"),"NEW","")))</f>
        <v>OLD</v>
      </c>
      <c r="G296" s="11" t="s">
        <v>870</v>
      </c>
      <c r="H296" s="12" t="str">
        <f t="shared" si="11"/>
        <v/>
      </c>
      <c r="L296" s="15"/>
    </row>
    <row r="297" spans="1:12" x14ac:dyDescent="0.35">
      <c r="A297" t="s">
        <v>83</v>
      </c>
      <c r="E297" s="9" t="str">
        <f t="shared" si="10"/>
        <v/>
      </c>
      <c r="F297" s="10" t="str">
        <f>IF(OR(E297="",E297="!!!"),"",IF(NOT(ISNA(VLOOKUP(E297,E$1:E296,1,FALSE()))),"OLD",IF(AND(E297&lt;&gt;"",E297&lt;&gt;"!!!"),"NEW","")))</f>
        <v/>
      </c>
      <c r="G297" s="11" t="str">
        <f>IF(OR(E297="",E297="!!!"),"",IF(OR(J297=0,AND(J297=1,K297=1),AND(J297=1,I297="SBJ"),AND(J297=1,I297=0)),"?IN_FOCUS",IF(J297&lt;=2,"?ACTIVATED",IF(J297&lt;&gt;"","?FAMILIAR",IF(F297="NEW",IF(ISNA(VLOOKUP(E297,#REF!,1,FALSE())),"?TYPE_IDENTIFIABLE","?REFERENTIAL"),"_")))))</f>
        <v/>
      </c>
      <c r="H297" s="12" t="str">
        <f t="shared" si="11"/>
        <v/>
      </c>
      <c r="L297" s="15"/>
    </row>
    <row r="298" spans="1:12" x14ac:dyDescent="0.35">
      <c r="A298" t="s">
        <v>217</v>
      </c>
      <c r="E298" s="9" t="str">
        <f t="shared" si="10"/>
        <v/>
      </c>
      <c r="F298" s="10" t="str">
        <f>IF(OR(E298="",E298="!!!"),"",IF(NOT(ISNA(VLOOKUP(E298,E$1:E297,1,FALSE()))),"OLD",IF(AND(E298&lt;&gt;"",E298&lt;&gt;"!!!"),"NEW","")))</f>
        <v/>
      </c>
      <c r="G298" s="11" t="str">
        <f>IF(OR(E298="",E298="!!!"),"",IF(OR(J298=0,AND(J298=1,K298=1),AND(J298=1,I298="SBJ"),AND(J298=1,I298=0)),"?IN_FOCUS",IF(J298&lt;=2,"?ACTIVATED",IF(J298&lt;&gt;"","?FAMILIAR",IF(F298="NEW",IF(ISNA(VLOOKUP(E298,#REF!,1,FALSE())),"?TYPE_IDENTIFIABLE","?REFERENTIAL"),"_")))))</f>
        <v/>
      </c>
      <c r="H298" s="12" t="str">
        <f t="shared" si="11"/>
        <v/>
      </c>
      <c r="L298" s="15"/>
    </row>
    <row r="299" spans="1:12" x14ac:dyDescent="0.35">
      <c r="A299" t="s">
        <v>218</v>
      </c>
      <c r="E299" s="9" t="str">
        <f t="shared" si="10"/>
        <v/>
      </c>
      <c r="F299" s="10" t="str">
        <f>IF(OR(E299="",E299="!!!"),"",IF(NOT(ISNA(VLOOKUP(E299,E$1:E298,1,FALSE()))),"OLD",IF(AND(E299&lt;&gt;"",E299&lt;&gt;"!!!"),"NEW","")))</f>
        <v/>
      </c>
      <c r="G299" s="11" t="str">
        <f>IF(OR(E299="",E299="!!!"),"",IF(OR(J299=0,AND(J299=1,K299=1),AND(J299=1,I299="SBJ"),AND(J299=1,I299=0)),"?IN_FOCUS",IF(J299&lt;=2,"?ACTIVATED",IF(J299&lt;&gt;"","?FAMILIAR",IF(F299="NEW",IF(ISNA(VLOOKUP(E299,#REF!,1,FALSE())),"?TYPE_IDENTIFIABLE","?REFERENTIAL"),"_")))))</f>
        <v/>
      </c>
      <c r="H299" s="12" t="str">
        <f t="shared" si="11"/>
        <v/>
      </c>
      <c r="L299" s="15"/>
    </row>
    <row r="300" spans="1:12" x14ac:dyDescent="0.35">
      <c r="A300" t="s">
        <v>45</v>
      </c>
      <c r="E300" s="9" t="str">
        <f t="shared" si="10"/>
        <v/>
      </c>
      <c r="F300" s="10" t="str">
        <f>IF(OR(E300="",E300="!!!"),"",IF(NOT(ISNA(VLOOKUP(E300,E$1:E299,1,FALSE()))),"OLD",IF(AND(E300&lt;&gt;"",E300&lt;&gt;"!!!"),"NEW","")))</f>
        <v/>
      </c>
      <c r="G300" s="11" t="str">
        <f>IF(OR(E300="",E300="!!!"),"",IF(OR(J300=0,AND(J300=1,K300=1),AND(J300=1,I300="SBJ"),AND(J300=1,I300=0)),"?IN_FOCUS",IF(J300&lt;=2,"?ACTIVATED",IF(J300&lt;&gt;"","?FAMILIAR",IF(F300="NEW",IF(ISNA(VLOOKUP(E300,#REF!,1,FALSE())),"?TYPE_IDENTIFIABLE","?REFERENTIAL"),"_")))))</f>
        <v/>
      </c>
      <c r="H300" s="12" t="str">
        <f t="shared" si="11"/>
        <v/>
      </c>
      <c r="L300" s="15"/>
    </row>
    <row r="301" spans="1:12" x14ac:dyDescent="0.35">
      <c r="A301" t="s">
        <v>58</v>
      </c>
      <c r="E301" s="9" t="str">
        <f t="shared" ref="E301:E310" si="12">IF(D301="?OLD","!!!","")</f>
        <v/>
      </c>
      <c r="F301" s="10" t="str">
        <f>IF(OR(E301="",E301="!!!"),"",IF(NOT(ISNA(VLOOKUP(E301,E$1:E300,1,FALSE()))),"OLD",IF(AND(E301&lt;&gt;"",E301&lt;&gt;"!!!"),"NEW","")))</f>
        <v/>
      </c>
      <c r="G301" s="11" t="str">
        <f>IF(OR(E301="",E301="!!!"),"",IF(OR(J301=0,AND(J301=1,K301=1),AND(J301=1,I301="SBJ"),AND(J301=1,I301=0)),"?IN_FOCUS",IF(J301&lt;=2,"?ACTIVATED",IF(J301&lt;&gt;"","?FAMILIAR",IF(F301="NEW",IF(ISNA(VLOOKUP(E301,#REF!,1,FALSE())),"?TYPE_IDENTIFIABLE","?REFERENTIAL"),"_")))))</f>
        <v/>
      </c>
      <c r="H301" s="12" t="str">
        <f t="shared" ref="H301:H310" si="13">IF(J301&lt;&gt;1,"",IF(I301="SBJ","CB","?"))</f>
        <v/>
      </c>
      <c r="L301" s="15"/>
    </row>
    <row r="302" spans="1:12" x14ac:dyDescent="0.35">
      <c r="A302" t="s">
        <v>219</v>
      </c>
      <c r="B302" t="s">
        <v>56</v>
      </c>
      <c r="C302" t="s">
        <v>21</v>
      </c>
      <c r="D302" t="s">
        <v>16</v>
      </c>
      <c r="E302" s="9" t="s">
        <v>262</v>
      </c>
      <c r="F302" s="10" t="s">
        <v>876</v>
      </c>
      <c r="G302" s="11"/>
      <c r="H302" s="12" t="str">
        <f t="shared" si="13"/>
        <v/>
      </c>
      <c r="L302" s="15"/>
    </row>
    <row r="303" spans="1:12" x14ac:dyDescent="0.35">
      <c r="A303" t="s">
        <v>76</v>
      </c>
      <c r="E303" s="9" t="str">
        <f t="shared" si="12"/>
        <v/>
      </c>
      <c r="F303" s="10" t="str">
        <f>IF(OR(E303="",E303="!!!"),"",IF(NOT(ISNA(VLOOKUP(E303,E$1:E302,1,FALSE()))),"OLD",IF(AND(E303&lt;&gt;"",E303&lt;&gt;"!!!"),"NEW","")))</f>
        <v/>
      </c>
      <c r="G303" s="11" t="str">
        <f>IF(OR(E303="",E303="!!!"),"",IF(OR(J303=0,AND(J303=1,K303=1),AND(J303=1,I303="SBJ"),AND(J303=1,I303=0)),"?IN_FOCUS",IF(J303&lt;=2,"?ACTIVATED",IF(J303&lt;&gt;"","?FAMILIAR",IF(F303="NEW",IF(ISNA(VLOOKUP(E303,#REF!,1,FALSE())),"?TYPE_IDENTIFIABLE","?REFERENTIAL"),"_")))))</f>
        <v/>
      </c>
      <c r="H303" s="12" t="str">
        <f t="shared" si="13"/>
        <v/>
      </c>
      <c r="L303" s="15"/>
    </row>
    <row r="304" spans="1:12" x14ac:dyDescent="0.35">
      <c r="A304" t="s">
        <v>45</v>
      </c>
      <c r="E304" s="9" t="str">
        <f t="shared" si="12"/>
        <v/>
      </c>
      <c r="F304" s="10" t="str">
        <f>IF(OR(E304="",E304="!!!"),"",IF(NOT(ISNA(VLOOKUP(E304,E$1:E303,1,FALSE()))),"OLD",IF(AND(E304&lt;&gt;"",E304&lt;&gt;"!!!"),"NEW","")))</f>
        <v/>
      </c>
      <c r="G304" s="11" t="str">
        <f>IF(OR(E304="",E304="!!!"),"",IF(OR(J304=0,AND(J304=1,K304=1),AND(J304=1,I304="SBJ"),AND(J304=1,I304=0)),"?IN_FOCUS",IF(J304&lt;=2,"?ACTIVATED",IF(J304&lt;&gt;"","?FAMILIAR",IF(F304="NEW",IF(ISNA(VLOOKUP(E304,#REF!,1,FALSE())),"?TYPE_IDENTIFIABLE","?REFERENTIAL"),"_")))))</f>
        <v/>
      </c>
      <c r="H304" s="12" t="str">
        <f t="shared" si="13"/>
        <v/>
      </c>
      <c r="L304" s="15"/>
    </row>
    <row r="305" spans="1:12" x14ac:dyDescent="0.35">
      <c r="A305" t="s">
        <v>58</v>
      </c>
      <c r="E305" s="9" t="str">
        <f t="shared" si="12"/>
        <v/>
      </c>
      <c r="F305" s="10" t="str">
        <f>IF(OR(E305="",E305="!!!"),"",IF(NOT(ISNA(VLOOKUP(E305,E$1:E304,1,FALSE()))),"OLD",IF(AND(E305&lt;&gt;"",E305&lt;&gt;"!!!"),"NEW","")))</f>
        <v/>
      </c>
      <c r="G305" s="11" t="str">
        <f>IF(OR(E305="",E305="!!!"),"",IF(OR(J305=0,AND(J305=1,K305=1),AND(J305=1,I305="SBJ"),AND(J305=1,I305=0)),"?IN_FOCUS",IF(J305&lt;=2,"?ACTIVATED",IF(J305&lt;&gt;"","?FAMILIAR",IF(F305="NEW",IF(ISNA(VLOOKUP(E305,#REF!,1,FALSE())),"?TYPE_IDENTIFIABLE","?REFERENTIAL"),"_")))))</f>
        <v/>
      </c>
      <c r="H305" s="12" t="str">
        <f t="shared" si="13"/>
        <v/>
      </c>
      <c r="L305" s="15"/>
    </row>
    <row r="306" spans="1:12" x14ac:dyDescent="0.35">
      <c r="A306" t="s">
        <v>220</v>
      </c>
      <c r="B306" t="s">
        <v>56</v>
      </c>
      <c r="C306" t="s">
        <v>99</v>
      </c>
      <c r="D306" t="s">
        <v>16</v>
      </c>
      <c r="E306" s="9" t="s">
        <v>262</v>
      </c>
      <c r="F306" s="10" t="s">
        <v>876</v>
      </c>
      <c r="G306" s="11"/>
      <c r="H306" s="12" t="str">
        <f t="shared" si="13"/>
        <v/>
      </c>
      <c r="L306" s="15"/>
    </row>
    <row r="307" spans="1:12" x14ac:dyDescent="0.35">
      <c r="A307" t="s">
        <v>17</v>
      </c>
      <c r="E307" s="9" t="str">
        <f t="shared" si="12"/>
        <v/>
      </c>
      <c r="F307" s="10" t="str">
        <f>IF(OR(E307="",E307="!!!"),"",IF(NOT(ISNA(VLOOKUP(E307,E$1:E306,1,FALSE()))),"OLD",IF(AND(E307&lt;&gt;"",E307&lt;&gt;"!!!"),"NEW","")))</f>
        <v/>
      </c>
      <c r="G307" s="11" t="str">
        <f>IF(OR(E307="",E307="!!!"),"",IF(OR(J307=0,AND(J307=1,K307=1),AND(J307=1,I307="SBJ"),AND(J307=1,I307=0)),"?IN_FOCUS",IF(J307&lt;=2,"?ACTIVATED",IF(J307&lt;&gt;"","?FAMILIAR",IF(F307="NEW",IF(ISNA(VLOOKUP(E307,#REF!,1,FALSE())),"?TYPE_IDENTIFIABLE","?REFERENTIAL"),"_")))))</f>
        <v/>
      </c>
      <c r="H307" s="12" t="str">
        <f t="shared" si="13"/>
        <v/>
      </c>
      <c r="L307" s="15"/>
    </row>
    <row r="308" spans="1:12" x14ac:dyDescent="0.35">
      <c r="A308" t="s">
        <v>152</v>
      </c>
      <c r="B308" t="s">
        <v>48</v>
      </c>
      <c r="C308" t="s">
        <v>108</v>
      </c>
      <c r="E308" s="9" t="str">
        <f t="shared" si="12"/>
        <v/>
      </c>
      <c r="F308" s="10" t="str">
        <f>IF(OR(E308="",E308="!!!"),"",IF(NOT(ISNA(VLOOKUP(E308,E$1:E307,1,FALSE()))),"OLD",IF(AND(E308&lt;&gt;"",E308&lt;&gt;"!!!"),"NEW","")))</f>
        <v/>
      </c>
      <c r="G308" s="11" t="str">
        <f>IF(OR(E308="",E308="!!!"),"",IF(OR(J308=0,AND(J308=1,K308=1),AND(J308=1,I308="SBJ"),AND(J308=1,I308=0)),"?IN_FOCUS",IF(J308&lt;=2,"?ACTIVATED",IF(J308&lt;&gt;"","?FAMILIAR",IF(F308="NEW",IF(ISNA(VLOOKUP(E308,#REF!,1,FALSE())),"?TYPE_IDENTIFIABLE","?REFERENTIAL"),"_")))))</f>
        <v/>
      </c>
      <c r="H308" s="12" t="str">
        <f t="shared" si="13"/>
        <v/>
      </c>
      <c r="L308" s="15"/>
    </row>
    <row r="309" spans="1:12" x14ac:dyDescent="0.35">
      <c r="A309" t="s">
        <v>63</v>
      </c>
      <c r="E309" s="9" t="str">
        <f t="shared" si="12"/>
        <v/>
      </c>
      <c r="F309" s="10" t="str">
        <f>IF(OR(E309="",E309="!!!"),"",IF(NOT(ISNA(VLOOKUP(E309,E$1:E308,1,FALSE()))),"OLD",IF(AND(E309&lt;&gt;"",E309&lt;&gt;"!!!"),"NEW","")))</f>
        <v/>
      </c>
      <c r="G309" s="11" t="str">
        <f>IF(OR(E309="",E309="!!!"),"",IF(OR(J309=0,AND(J309=1,K309=1),AND(J309=1,I309="SBJ"),AND(J309=1,I309=0)),"?IN_FOCUS",IF(J309&lt;=2,"?ACTIVATED",IF(J309&lt;&gt;"","?FAMILIAR",IF(F309="NEW",IF(ISNA(VLOOKUP(E309,#REF!,1,FALSE())),"?TYPE_IDENTIFIABLE","?REFERENTIAL"),"_")))))</f>
        <v/>
      </c>
      <c r="H309" s="12" t="str">
        <f t="shared" si="13"/>
        <v/>
      </c>
      <c r="L309" s="15"/>
    </row>
    <row r="310" spans="1:12" x14ac:dyDescent="0.35">
      <c r="E310" s="9" t="str">
        <f t="shared" si="12"/>
        <v/>
      </c>
      <c r="F310" s="10" t="str">
        <f>IF(OR(E310="",E310="!!!"),"",IF(NOT(ISNA(VLOOKUP(E310,E$1:E309,1,FALSE()))),"OLD",IF(AND(E310&lt;&gt;"",E310&lt;&gt;"!!!"),"NEW","")))</f>
        <v/>
      </c>
      <c r="G310" s="11" t="str">
        <f>IF(OR(E310="",E310="!!!"),"",IF(OR(J310=0,AND(J310=1,K310=1),AND(J310=1,I310="SBJ"),AND(J310=1,I310=0)),"?IN_FOCUS",IF(J310&lt;=2,"?ACTIVATED",IF(J310&lt;&gt;"","?FAMILIAR",IF(F310="NEW",IF(ISNA(VLOOKUP(E310,#REF!,1,FALSE())),"?TYPE_IDENTIFIABLE","?REFERENTIAL"),"_")))))</f>
        <v/>
      </c>
      <c r="H310" s="12" t="str">
        <f t="shared" si="13"/>
        <v/>
      </c>
      <c r="L310" s="15"/>
    </row>
    <row r="311" spans="1:12" x14ac:dyDescent="0.35">
      <c r="A311" t="s">
        <v>221</v>
      </c>
    </row>
    <row r="312" spans="1:12" x14ac:dyDescent="0.35">
      <c r="A312" t="s">
        <v>222</v>
      </c>
      <c r="B312" t="s">
        <v>14</v>
      </c>
      <c r="C312" t="s">
        <v>33</v>
      </c>
      <c r="D312" t="s">
        <v>16</v>
      </c>
    </row>
    <row r="313" spans="1:12" x14ac:dyDescent="0.35">
      <c r="A313" t="s">
        <v>223</v>
      </c>
    </row>
    <row r="314" spans="1:12" x14ac:dyDescent="0.35">
      <c r="A314" t="s">
        <v>224</v>
      </c>
    </row>
    <row r="315" spans="1:12" x14ac:dyDescent="0.35">
      <c r="A315" t="s">
        <v>121</v>
      </c>
    </row>
    <row r="316" spans="1:12" x14ac:dyDescent="0.35">
      <c r="A316" t="s">
        <v>225</v>
      </c>
    </row>
    <row r="317" spans="1:12" x14ac:dyDescent="0.35">
      <c r="A317" t="s">
        <v>45</v>
      </c>
    </row>
    <row r="318" spans="1:12" x14ac:dyDescent="0.35">
      <c r="A318" t="s">
        <v>58</v>
      </c>
    </row>
    <row r="319" spans="1:12" x14ac:dyDescent="0.35">
      <c r="A319" t="s">
        <v>226</v>
      </c>
      <c r="B319" t="s">
        <v>54</v>
      </c>
      <c r="C319" t="s">
        <v>99</v>
      </c>
      <c r="D319" t="s">
        <v>16</v>
      </c>
    </row>
    <row r="320" spans="1:12" x14ac:dyDescent="0.35">
      <c r="A320" t="s">
        <v>115</v>
      </c>
    </row>
    <row r="321" spans="1:4" x14ac:dyDescent="0.35">
      <c r="A321" t="s">
        <v>227</v>
      </c>
    </row>
    <row r="322" spans="1:4" x14ac:dyDescent="0.35">
      <c r="A322" t="s">
        <v>228</v>
      </c>
    </row>
    <row r="323" spans="1:4" x14ac:dyDescent="0.35">
      <c r="A323" t="s">
        <v>218</v>
      </c>
    </row>
    <row r="324" spans="1:4" x14ac:dyDescent="0.35">
      <c r="A324" t="s">
        <v>58</v>
      </c>
    </row>
    <row r="325" spans="1:4" x14ac:dyDescent="0.35">
      <c r="A325" t="s">
        <v>229</v>
      </c>
      <c r="B325" t="s">
        <v>24</v>
      </c>
      <c r="C325" t="s">
        <v>99</v>
      </c>
      <c r="D325" t="s">
        <v>16</v>
      </c>
    </row>
    <row r="326" spans="1:4" x14ac:dyDescent="0.35">
      <c r="A326" t="s">
        <v>17</v>
      </c>
    </row>
    <row r="327" spans="1:4" x14ac:dyDescent="0.35">
      <c r="A327" t="s">
        <v>58</v>
      </c>
    </row>
    <row r="328" spans="1:4" x14ac:dyDescent="0.35">
      <c r="A328" t="s">
        <v>230</v>
      </c>
      <c r="B328" t="s">
        <v>20</v>
      </c>
      <c r="C328" t="s">
        <v>99</v>
      </c>
      <c r="D328" t="s">
        <v>16</v>
      </c>
    </row>
    <row r="329" spans="1:4" x14ac:dyDescent="0.35">
      <c r="A329" t="s">
        <v>63</v>
      </c>
    </row>
    <row r="331" spans="1:4" x14ac:dyDescent="0.35">
      <c r="A331" t="s">
        <v>231</v>
      </c>
    </row>
    <row r="332" spans="1:4" x14ac:dyDescent="0.35">
      <c r="A332" t="s">
        <v>97</v>
      </c>
    </row>
    <row r="333" spans="1:4" x14ac:dyDescent="0.35">
      <c r="A333" t="s">
        <v>200</v>
      </c>
      <c r="B333" t="s">
        <v>14</v>
      </c>
      <c r="C333" t="s">
        <v>99</v>
      </c>
      <c r="D333" t="s">
        <v>16</v>
      </c>
    </row>
    <row r="334" spans="1:4" x14ac:dyDescent="0.35">
      <c r="A334" t="s">
        <v>42</v>
      </c>
    </row>
    <row r="335" spans="1:4" x14ac:dyDescent="0.35">
      <c r="A335" t="s">
        <v>232</v>
      </c>
    </row>
    <row r="336" spans="1:4" x14ac:dyDescent="0.35">
      <c r="A336" t="s">
        <v>233</v>
      </c>
    </row>
    <row r="337" spans="1:4" x14ac:dyDescent="0.35">
      <c r="A337" t="s">
        <v>76</v>
      </c>
    </row>
    <row r="338" spans="1:4" x14ac:dyDescent="0.35">
      <c r="A338" t="s">
        <v>234</v>
      </c>
    </row>
    <row r="339" spans="1:4" x14ac:dyDescent="0.35">
      <c r="A339" t="s">
        <v>45</v>
      </c>
    </row>
    <row r="340" spans="1:4" x14ac:dyDescent="0.35">
      <c r="A340" t="s">
        <v>235</v>
      </c>
    </row>
    <row r="341" spans="1:4" x14ac:dyDescent="0.35">
      <c r="A341" t="s">
        <v>45</v>
      </c>
    </row>
    <row r="342" spans="1:4" x14ac:dyDescent="0.35">
      <c r="A342" t="s">
        <v>236</v>
      </c>
      <c r="B342" t="s">
        <v>20</v>
      </c>
      <c r="C342" t="s">
        <v>21</v>
      </c>
      <c r="D342" t="s">
        <v>16</v>
      </c>
    </row>
    <row r="343" spans="1:4" x14ac:dyDescent="0.35">
      <c r="A343" t="s">
        <v>237</v>
      </c>
    </row>
    <row r="344" spans="1:4" x14ac:dyDescent="0.35">
      <c r="A344" t="s">
        <v>238</v>
      </c>
    </row>
    <row r="345" spans="1:4" x14ac:dyDescent="0.35">
      <c r="A345" t="s">
        <v>26</v>
      </c>
    </row>
    <row r="346" spans="1:4" x14ac:dyDescent="0.35">
      <c r="A346" t="s">
        <v>239</v>
      </c>
    </row>
    <row r="347" spans="1:4" x14ac:dyDescent="0.35">
      <c r="A347" t="s">
        <v>133</v>
      </c>
      <c r="B347" t="s">
        <v>36</v>
      </c>
      <c r="C347" t="s">
        <v>33</v>
      </c>
      <c r="D347" t="s">
        <v>16</v>
      </c>
    </row>
    <row r="348" spans="1:4" x14ac:dyDescent="0.35">
      <c r="A348" t="s">
        <v>240</v>
      </c>
    </row>
    <row r="349" spans="1:4" x14ac:dyDescent="0.35">
      <c r="A349" t="s">
        <v>45</v>
      </c>
    </row>
    <row r="350" spans="1:4" x14ac:dyDescent="0.35">
      <c r="A350" t="s">
        <v>241</v>
      </c>
    </row>
    <row r="351" spans="1:4" x14ac:dyDescent="0.35">
      <c r="A351" t="s">
        <v>45</v>
      </c>
    </row>
    <row r="352" spans="1:4" x14ac:dyDescent="0.35">
      <c r="A352" t="s">
        <v>242</v>
      </c>
    </row>
    <row r="353" spans="1:4" x14ac:dyDescent="0.35">
      <c r="A353" t="s">
        <v>243</v>
      </c>
      <c r="B353" t="s">
        <v>20</v>
      </c>
      <c r="C353" t="s">
        <v>21</v>
      </c>
      <c r="D353" t="s">
        <v>16</v>
      </c>
    </row>
    <row r="354" spans="1:4" x14ac:dyDescent="0.35">
      <c r="A354" t="s">
        <v>63</v>
      </c>
    </row>
    <row r="356" spans="1:4" x14ac:dyDescent="0.35">
      <c r="A356" t="s">
        <v>244</v>
      </c>
    </row>
    <row r="357" spans="1:4" x14ac:dyDescent="0.35">
      <c r="A357" t="s">
        <v>245</v>
      </c>
    </row>
    <row r="358" spans="1:4" x14ac:dyDescent="0.35">
      <c r="A358" t="s">
        <v>246</v>
      </c>
    </row>
    <row r="359" spans="1:4" x14ac:dyDescent="0.35">
      <c r="A359" t="s">
        <v>247</v>
      </c>
    </row>
    <row r="360" spans="1:4" x14ac:dyDescent="0.35">
      <c r="A360" t="s">
        <v>248</v>
      </c>
      <c r="B360" t="s">
        <v>14</v>
      </c>
      <c r="C360" t="s">
        <v>33</v>
      </c>
      <c r="D360" t="s">
        <v>16</v>
      </c>
    </row>
    <row r="361" spans="1:4" x14ac:dyDescent="0.35">
      <c r="A361" t="s">
        <v>249</v>
      </c>
    </row>
    <row r="362" spans="1:4" x14ac:dyDescent="0.35">
      <c r="A362" t="s">
        <v>26</v>
      </c>
    </row>
    <row r="363" spans="1:4" x14ac:dyDescent="0.35">
      <c r="A363" t="s">
        <v>250</v>
      </c>
      <c r="B363" t="s">
        <v>54</v>
      </c>
      <c r="C363" t="s">
        <v>21</v>
      </c>
      <c r="D363" t="s">
        <v>16</v>
      </c>
    </row>
    <row r="364" spans="1:4" x14ac:dyDescent="0.35">
      <c r="A364" t="s">
        <v>251</v>
      </c>
    </row>
    <row r="365" spans="1:4" x14ac:dyDescent="0.35">
      <c r="A365" t="s">
        <v>246</v>
      </c>
    </row>
    <row r="367" spans="1:4" x14ac:dyDescent="0.35">
      <c r="A367" t="s">
        <v>252</v>
      </c>
    </row>
    <row r="368" spans="1:4" x14ac:dyDescent="0.35">
      <c r="A368" t="s">
        <v>97</v>
      </c>
    </row>
    <row r="369" spans="1:4" x14ac:dyDescent="0.35">
      <c r="A369" t="s">
        <v>253</v>
      </c>
    </row>
    <row r="370" spans="1:4" x14ac:dyDescent="0.35">
      <c r="A370" t="s">
        <v>254</v>
      </c>
      <c r="B370" t="s">
        <v>54</v>
      </c>
      <c r="C370" t="s">
        <v>99</v>
      </c>
      <c r="D370" t="s">
        <v>16</v>
      </c>
    </row>
    <row r="371" spans="1:4" x14ac:dyDescent="0.35">
      <c r="A371" t="s">
        <v>255</v>
      </c>
    </row>
    <row r="372" spans="1:4" x14ac:dyDescent="0.35">
      <c r="A372" t="s">
        <v>63</v>
      </c>
    </row>
    <row r="374" spans="1:4" x14ac:dyDescent="0.35">
      <c r="A374" t="s">
        <v>244</v>
      </c>
    </row>
    <row r="375" spans="1:4" x14ac:dyDescent="0.35">
      <c r="A375" t="s">
        <v>256</v>
      </c>
    </row>
    <row r="376" spans="1:4" x14ac:dyDescent="0.35">
      <c r="A376" t="s">
        <v>246</v>
      </c>
    </row>
    <row r="377" spans="1:4" x14ac:dyDescent="0.35">
      <c r="A377" t="s">
        <v>257</v>
      </c>
    </row>
    <row r="378" spans="1:4" x14ac:dyDescent="0.35">
      <c r="A378" t="s">
        <v>120</v>
      </c>
    </row>
    <row r="379" spans="1:4" x14ac:dyDescent="0.35">
      <c r="A379" t="s">
        <v>105</v>
      </c>
    </row>
    <row r="380" spans="1:4" x14ac:dyDescent="0.35">
      <c r="A380" t="s">
        <v>110</v>
      </c>
      <c r="B380" t="s">
        <v>36</v>
      </c>
      <c r="C380" t="s">
        <v>33</v>
      </c>
      <c r="D380" t="s">
        <v>16</v>
      </c>
    </row>
    <row r="381" spans="1:4" x14ac:dyDescent="0.35">
      <c r="A381" t="s">
        <v>258</v>
      </c>
    </row>
    <row r="382" spans="1:4" x14ac:dyDescent="0.35">
      <c r="A382" t="s">
        <v>259</v>
      </c>
      <c r="B382" t="s">
        <v>20</v>
      </c>
      <c r="C382" t="s">
        <v>49</v>
      </c>
      <c r="D382" t="s">
        <v>16</v>
      </c>
    </row>
    <row r="383" spans="1:4" x14ac:dyDescent="0.35">
      <c r="A383" t="s">
        <v>260</v>
      </c>
      <c r="B383" t="s">
        <v>91</v>
      </c>
      <c r="C383" t="s">
        <v>15</v>
      </c>
      <c r="D383" t="s">
        <v>16</v>
      </c>
    </row>
    <row r="384" spans="1:4" x14ac:dyDescent="0.35">
      <c r="A384" t="s">
        <v>110</v>
      </c>
      <c r="B384" t="s">
        <v>143</v>
      </c>
      <c r="C384" t="s">
        <v>33</v>
      </c>
      <c r="D384" t="s">
        <v>16</v>
      </c>
    </row>
    <row r="385" spans="1:4" x14ac:dyDescent="0.35">
      <c r="A385" t="s">
        <v>258</v>
      </c>
    </row>
    <row r="386" spans="1:4" x14ac:dyDescent="0.35">
      <c r="A386" t="s">
        <v>34</v>
      </c>
    </row>
    <row r="387" spans="1:4" x14ac:dyDescent="0.35">
      <c r="A387" t="s">
        <v>261</v>
      </c>
    </row>
    <row r="388" spans="1:4" x14ac:dyDescent="0.35">
      <c r="A388" t="s">
        <v>262</v>
      </c>
    </row>
    <row r="389" spans="1:4" x14ac:dyDescent="0.35">
      <c r="A389" t="s">
        <v>263</v>
      </c>
      <c r="B389" t="s">
        <v>52</v>
      </c>
      <c r="C389" t="s">
        <v>37</v>
      </c>
    </row>
    <row r="390" spans="1:4" x14ac:dyDescent="0.35">
      <c r="A390" t="s">
        <v>26</v>
      </c>
    </row>
    <row r="391" spans="1:4" x14ac:dyDescent="0.35">
      <c r="A391" t="s">
        <v>76</v>
      </c>
    </row>
    <row r="392" spans="1:4" x14ac:dyDescent="0.35">
      <c r="A392" t="s">
        <v>105</v>
      </c>
    </row>
    <row r="393" spans="1:4" x14ac:dyDescent="0.35">
      <c r="A393" t="s">
        <v>120</v>
      </c>
    </row>
    <row r="394" spans="1:4" x14ac:dyDescent="0.35">
      <c r="A394" t="s">
        <v>105</v>
      </c>
    </row>
    <row r="395" spans="1:4" x14ac:dyDescent="0.35">
      <c r="A395" t="s">
        <v>110</v>
      </c>
      <c r="B395" t="s">
        <v>82</v>
      </c>
      <c r="C395" t="s">
        <v>33</v>
      </c>
      <c r="D395" t="s">
        <v>16</v>
      </c>
    </row>
    <row r="396" spans="1:4" x14ac:dyDescent="0.35">
      <c r="A396" t="s">
        <v>258</v>
      </c>
    </row>
    <row r="397" spans="1:4" x14ac:dyDescent="0.35">
      <c r="A397" t="s">
        <v>259</v>
      </c>
      <c r="B397" t="s">
        <v>264</v>
      </c>
      <c r="C397" t="s">
        <v>49</v>
      </c>
      <c r="D397" t="s">
        <v>16</v>
      </c>
    </row>
    <row r="398" spans="1:4" x14ac:dyDescent="0.35">
      <c r="A398" t="s">
        <v>261</v>
      </c>
    </row>
    <row r="399" spans="1:4" x14ac:dyDescent="0.35">
      <c r="A399" t="s">
        <v>262</v>
      </c>
    </row>
    <row r="400" spans="1:4" x14ac:dyDescent="0.35">
      <c r="A400" t="s">
        <v>263</v>
      </c>
      <c r="B400" t="s">
        <v>265</v>
      </c>
      <c r="C400" t="s">
        <v>108</v>
      </c>
    </row>
    <row r="401" spans="1:4" x14ac:dyDescent="0.35">
      <c r="A401" t="s">
        <v>110</v>
      </c>
      <c r="B401" t="s">
        <v>266</v>
      </c>
      <c r="C401" t="s">
        <v>33</v>
      </c>
      <c r="D401" t="s">
        <v>16</v>
      </c>
    </row>
    <row r="402" spans="1:4" x14ac:dyDescent="0.35">
      <c r="A402" t="s">
        <v>258</v>
      </c>
    </row>
    <row r="403" spans="1:4" x14ac:dyDescent="0.35">
      <c r="A403" t="s">
        <v>267</v>
      </c>
      <c r="B403" t="s">
        <v>268</v>
      </c>
      <c r="C403" t="s">
        <v>142</v>
      </c>
      <c r="D403" t="s">
        <v>16</v>
      </c>
    </row>
    <row r="404" spans="1:4" x14ac:dyDescent="0.35">
      <c r="A404" t="s">
        <v>123</v>
      </c>
    </row>
    <row r="405" spans="1:4" x14ac:dyDescent="0.35">
      <c r="A405" t="s">
        <v>31</v>
      </c>
      <c r="B405" t="s">
        <v>269</v>
      </c>
      <c r="C405" t="s">
        <v>33</v>
      </c>
      <c r="D405" t="s">
        <v>16</v>
      </c>
    </row>
    <row r="406" spans="1:4" x14ac:dyDescent="0.35">
      <c r="A406" t="s">
        <v>63</v>
      </c>
    </row>
    <row r="407" spans="1:4" x14ac:dyDescent="0.35">
      <c r="A407" t="s">
        <v>246</v>
      </c>
    </row>
    <row r="409" spans="1:4" x14ac:dyDescent="0.35">
      <c r="A409" t="s">
        <v>244</v>
      </c>
    </row>
    <row r="410" spans="1:4" x14ac:dyDescent="0.35">
      <c r="A410" t="s">
        <v>270</v>
      </c>
    </row>
    <row r="411" spans="1:4" x14ac:dyDescent="0.35">
      <c r="A411" t="s">
        <v>246</v>
      </c>
    </row>
    <row r="412" spans="1:4" x14ac:dyDescent="0.35">
      <c r="A412" t="s">
        <v>271</v>
      </c>
    </row>
    <row r="413" spans="1:4" x14ac:dyDescent="0.35">
      <c r="A413" t="s">
        <v>272</v>
      </c>
    </row>
    <row r="415" spans="1:4" x14ac:dyDescent="0.35">
      <c r="A415" t="s">
        <v>244</v>
      </c>
    </row>
    <row r="416" spans="1:4" x14ac:dyDescent="0.35">
      <c r="A416" t="s">
        <v>273</v>
      </c>
    </row>
    <row r="417" spans="1:4" x14ac:dyDescent="0.35">
      <c r="A417" t="s">
        <v>156</v>
      </c>
      <c r="B417" t="s">
        <v>24</v>
      </c>
      <c r="C417" t="s">
        <v>49</v>
      </c>
      <c r="D417" t="s">
        <v>16</v>
      </c>
    </row>
    <row r="418" spans="1:4" x14ac:dyDescent="0.35">
      <c r="A418" t="s">
        <v>274</v>
      </c>
      <c r="B418" t="s">
        <v>14</v>
      </c>
      <c r="C418" t="s">
        <v>15</v>
      </c>
      <c r="D418" t="s">
        <v>16</v>
      </c>
    </row>
    <row r="419" spans="1:4" x14ac:dyDescent="0.35">
      <c r="A419" t="s">
        <v>76</v>
      </c>
    </row>
    <row r="420" spans="1:4" x14ac:dyDescent="0.35">
      <c r="A420" t="s">
        <v>110</v>
      </c>
      <c r="B420" t="s">
        <v>24</v>
      </c>
      <c r="C420" t="s">
        <v>33</v>
      </c>
      <c r="D420" t="s">
        <v>16</v>
      </c>
    </row>
    <row r="421" spans="1:4" x14ac:dyDescent="0.35">
      <c r="A421" t="s">
        <v>275</v>
      </c>
    </row>
    <row r="422" spans="1:4" x14ac:dyDescent="0.35">
      <c r="A422" t="s">
        <v>87</v>
      </c>
    </row>
    <row r="423" spans="1:4" x14ac:dyDescent="0.35">
      <c r="A423" t="s">
        <v>276</v>
      </c>
    </row>
    <row r="424" spans="1:4" x14ac:dyDescent="0.35">
      <c r="A424" t="s">
        <v>103</v>
      </c>
    </row>
    <row r="425" spans="1:4" x14ac:dyDescent="0.35">
      <c r="A425" t="s">
        <v>277</v>
      </c>
      <c r="B425" t="s">
        <v>54</v>
      </c>
      <c r="C425" t="s">
        <v>108</v>
      </c>
    </row>
    <row r="426" spans="1:4" x14ac:dyDescent="0.35">
      <c r="A426" t="s">
        <v>63</v>
      </c>
    </row>
    <row r="427" spans="1:4" x14ac:dyDescent="0.35">
      <c r="A427" t="s">
        <v>246</v>
      </c>
    </row>
    <row r="429" spans="1:4" x14ac:dyDescent="0.35">
      <c r="A429" t="s">
        <v>244</v>
      </c>
    </row>
    <row r="430" spans="1:4" x14ac:dyDescent="0.35">
      <c r="A430" t="s">
        <v>278</v>
      </c>
    </row>
    <row r="431" spans="1:4" x14ac:dyDescent="0.35">
      <c r="A431" t="s">
        <v>246</v>
      </c>
    </row>
    <row r="432" spans="1:4" x14ac:dyDescent="0.35">
      <c r="A432" t="s">
        <v>279</v>
      </c>
      <c r="B432" t="s">
        <v>36</v>
      </c>
      <c r="C432" t="s">
        <v>33</v>
      </c>
      <c r="D432" t="s">
        <v>16</v>
      </c>
    </row>
    <row r="433" spans="1:4" x14ac:dyDescent="0.35">
      <c r="A433" t="s">
        <v>280</v>
      </c>
    </row>
    <row r="434" spans="1:4" x14ac:dyDescent="0.35">
      <c r="A434" t="s">
        <v>281</v>
      </c>
    </row>
    <row r="435" spans="1:4" x14ac:dyDescent="0.35">
      <c r="A435" t="s">
        <v>282</v>
      </c>
    </row>
    <row r="436" spans="1:4" x14ac:dyDescent="0.35">
      <c r="A436" t="s">
        <v>134</v>
      </c>
    </row>
    <row r="437" spans="1:4" x14ac:dyDescent="0.35">
      <c r="A437" t="s">
        <v>283</v>
      </c>
    </row>
    <row r="438" spans="1:4" x14ac:dyDescent="0.35">
      <c r="A438" t="s">
        <v>284</v>
      </c>
      <c r="B438" t="s">
        <v>24</v>
      </c>
      <c r="C438" t="s">
        <v>122</v>
      </c>
      <c r="D438" t="s">
        <v>16</v>
      </c>
    </row>
    <row r="439" spans="1:4" x14ac:dyDescent="0.35">
      <c r="A439" t="s">
        <v>26</v>
      </c>
    </row>
    <row r="440" spans="1:4" x14ac:dyDescent="0.35">
      <c r="A440" t="s">
        <v>285</v>
      </c>
      <c r="B440" t="s">
        <v>54</v>
      </c>
      <c r="C440" t="s">
        <v>21</v>
      </c>
      <c r="D440" t="s">
        <v>16</v>
      </c>
    </row>
    <row r="441" spans="1:4" x14ac:dyDescent="0.35">
      <c r="A441" t="s">
        <v>19</v>
      </c>
    </row>
    <row r="442" spans="1:4" x14ac:dyDescent="0.35">
      <c r="A442" t="s">
        <v>63</v>
      </c>
    </row>
    <row r="444" spans="1:4" x14ac:dyDescent="0.35">
      <c r="A444" t="s">
        <v>244</v>
      </c>
    </row>
    <row r="445" spans="1:4" x14ac:dyDescent="0.35">
      <c r="A445" t="s">
        <v>286</v>
      </c>
    </row>
    <row r="446" spans="1:4" x14ac:dyDescent="0.35">
      <c r="A446" t="s">
        <v>287</v>
      </c>
      <c r="B446" t="s">
        <v>54</v>
      </c>
      <c r="C446" t="s">
        <v>148</v>
      </c>
    </row>
    <row r="447" spans="1:4" x14ac:dyDescent="0.35">
      <c r="A447" t="s">
        <v>22</v>
      </c>
    </row>
    <row r="448" spans="1:4" x14ac:dyDescent="0.35">
      <c r="A448" t="s">
        <v>58</v>
      </c>
    </row>
    <row r="449" spans="1:4" x14ac:dyDescent="0.35">
      <c r="A449" t="s">
        <v>288</v>
      </c>
      <c r="B449" t="s">
        <v>14</v>
      </c>
      <c r="C449" t="s">
        <v>99</v>
      </c>
      <c r="D449" t="s">
        <v>16</v>
      </c>
    </row>
    <row r="450" spans="1:4" x14ac:dyDescent="0.35">
      <c r="A450" t="s">
        <v>289</v>
      </c>
    </row>
    <row r="451" spans="1:4" x14ac:dyDescent="0.35">
      <c r="A451" t="s">
        <v>251</v>
      </c>
    </row>
    <row r="452" spans="1:4" x14ac:dyDescent="0.35">
      <c r="A452" t="s">
        <v>246</v>
      </c>
    </row>
    <row r="454" spans="1:4" x14ac:dyDescent="0.35">
      <c r="A454" t="s">
        <v>244</v>
      </c>
    </row>
    <row r="455" spans="1:4" x14ac:dyDescent="0.35">
      <c r="A455" t="s">
        <v>290</v>
      </c>
    </row>
    <row r="456" spans="1:4" x14ac:dyDescent="0.35">
      <c r="A456" t="s">
        <v>246</v>
      </c>
    </row>
    <row r="457" spans="1:4" x14ac:dyDescent="0.35">
      <c r="A457" t="s">
        <v>291</v>
      </c>
    </row>
    <row r="458" spans="1:4" x14ac:dyDescent="0.35">
      <c r="A458" t="s">
        <v>292</v>
      </c>
    </row>
    <row r="459" spans="1:4" x14ac:dyDescent="0.35">
      <c r="A459" t="s">
        <v>288</v>
      </c>
      <c r="B459" t="s">
        <v>54</v>
      </c>
      <c r="C459" t="s">
        <v>37</v>
      </c>
    </row>
    <row r="460" spans="1:4" x14ac:dyDescent="0.35">
      <c r="A460" t="s">
        <v>63</v>
      </c>
    </row>
    <row r="461" spans="1:4" x14ac:dyDescent="0.35">
      <c r="A461" t="s">
        <v>246</v>
      </c>
    </row>
    <row r="463" spans="1:4" x14ac:dyDescent="0.35">
      <c r="A463" t="s">
        <v>244</v>
      </c>
    </row>
    <row r="464" spans="1:4" x14ac:dyDescent="0.35">
      <c r="A464" t="s">
        <v>293</v>
      </c>
    </row>
    <row r="465" spans="1:4" x14ac:dyDescent="0.35">
      <c r="A465" t="s">
        <v>246</v>
      </c>
    </row>
    <row r="466" spans="1:4" x14ac:dyDescent="0.35">
      <c r="A466" t="s">
        <v>156</v>
      </c>
      <c r="B466" t="s">
        <v>20</v>
      </c>
      <c r="C466" t="s">
        <v>49</v>
      </c>
      <c r="D466" t="s">
        <v>16</v>
      </c>
    </row>
    <row r="467" spans="1:4" x14ac:dyDescent="0.35">
      <c r="A467" t="s">
        <v>294</v>
      </c>
      <c r="B467" t="s">
        <v>36</v>
      </c>
      <c r="C467" t="s">
        <v>15</v>
      </c>
      <c r="D467" t="s">
        <v>16</v>
      </c>
    </row>
    <row r="468" spans="1:4" x14ac:dyDescent="0.35">
      <c r="A468" t="s">
        <v>26</v>
      </c>
    </row>
    <row r="469" spans="1:4" x14ac:dyDescent="0.35">
      <c r="A469" t="s">
        <v>31</v>
      </c>
      <c r="B469" t="s">
        <v>36</v>
      </c>
      <c r="C469" t="s">
        <v>33</v>
      </c>
      <c r="D469" t="s">
        <v>16</v>
      </c>
    </row>
    <row r="470" spans="1:4" x14ac:dyDescent="0.35">
      <c r="A470" t="s">
        <v>295</v>
      </c>
    </row>
    <row r="471" spans="1:4" x14ac:dyDescent="0.35">
      <c r="A471" t="s">
        <v>224</v>
      </c>
    </row>
    <row r="472" spans="1:4" x14ac:dyDescent="0.35">
      <c r="A472" t="s">
        <v>296</v>
      </c>
    </row>
    <row r="473" spans="1:4" x14ac:dyDescent="0.35">
      <c r="A473" t="s">
        <v>34</v>
      </c>
    </row>
    <row r="474" spans="1:4" x14ac:dyDescent="0.35">
      <c r="A474" t="s">
        <v>101</v>
      </c>
    </row>
    <row r="475" spans="1:4" x14ac:dyDescent="0.35">
      <c r="A475" t="s">
        <v>297</v>
      </c>
    </row>
    <row r="476" spans="1:4" x14ac:dyDescent="0.35">
      <c r="A476" t="s">
        <v>298</v>
      </c>
      <c r="B476" t="s">
        <v>91</v>
      </c>
      <c r="C476" t="s">
        <v>37</v>
      </c>
    </row>
    <row r="477" spans="1:4" x14ac:dyDescent="0.35">
      <c r="A477" t="s">
        <v>26</v>
      </c>
    </row>
    <row r="478" spans="1:4" x14ac:dyDescent="0.35">
      <c r="A478" t="s">
        <v>246</v>
      </c>
    </row>
    <row r="479" spans="1:4" x14ac:dyDescent="0.35">
      <c r="A479" t="s">
        <v>140</v>
      </c>
    </row>
    <row r="480" spans="1:4" x14ac:dyDescent="0.35">
      <c r="A480" t="s">
        <v>58</v>
      </c>
    </row>
    <row r="481" spans="1:4" x14ac:dyDescent="0.35">
      <c r="A481" t="s">
        <v>254</v>
      </c>
      <c r="B481" t="s">
        <v>14</v>
      </c>
      <c r="C481" t="s">
        <v>99</v>
      </c>
      <c r="D481" t="s">
        <v>16</v>
      </c>
    </row>
    <row r="482" spans="1:4" x14ac:dyDescent="0.35">
      <c r="A482" t="s">
        <v>159</v>
      </c>
    </row>
    <row r="483" spans="1:4" x14ac:dyDescent="0.35">
      <c r="A483" t="s">
        <v>34</v>
      </c>
    </row>
    <row r="484" spans="1:4" x14ac:dyDescent="0.35">
      <c r="A484" t="s">
        <v>299</v>
      </c>
      <c r="B484" t="s">
        <v>24</v>
      </c>
      <c r="C484" t="s">
        <v>37</v>
      </c>
    </row>
    <row r="485" spans="1:4" x14ac:dyDescent="0.35">
      <c r="A485" t="s">
        <v>26</v>
      </c>
    </row>
    <row r="486" spans="1:4" x14ac:dyDescent="0.35">
      <c r="A486" t="s">
        <v>300</v>
      </c>
    </row>
    <row r="487" spans="1:4" x14ac:dyDescent="0.35">
      <c r="A487" t="s">
        <v>301</v>
      </c>
    </row>
    <row r="488" spans="1:4" x14ac:dyDescent="0.35">
      <c r="A488" t="s">
        <v>85</v>
      </c>
      <c r="B488" t="s">
        <v>95</v>
      </c>
      <c r="C488" t="s">
        <v>33</v>
      </c>
      <c r="D488" t="s">
        <v>16</v>
      </c>
    </row>
    <row r="489" spans="1:4" x14ac:dyDescent="0.35">
      <c r="A489" t="s">
        <v>131</v>
      </c>
    </row>
    <row r="490" spans="1:4" x14ac:dyDescent="0.35">
      <c r="A490" t="s">
        <v>58</v>
      </c>
    </row>
    <row r="491" spans="1:4" x14ac:dyDescent="0.35">
      <c r="A491" t="s">
        <v>302</v>
      </c>
    </row>
    <row r="492" spans="1:4" x14ac:dyDescent="0.35">
      <c r="A492" t="s">
        <v>303</v>
      </c>
      <c r="B492" t="s">
        <v>20</v>
      </c>
      <c r="C492" t="s">
        <v>15</v>
      </c>
      <c r="D492" t="s">
        <v>16</v>
      </c>
    </row>
    <row r="493" spans="1:4" x14ac:dyDescent="0.35">
      <c r="A493" t="s">
        <v>17</v>
      </c>
    </row>
    <row r="494" spans="1:4" x14ac:dyDescent="0.35">
      <c r="A494" t="s">
        <v>58</v>
      </c>
    </row>
    <row r="495" spans="1:4" x14ac:dyDescent="0.35">
      <c r="A495" t="s">
        <v>304</v>
      </c>
      <c r="B495" t="s">
        <v>56</v>
      </c>
      <c r="C495" t="s">
        <v>21</v>
      </c>
      <c r="D495" t="s">
        <v>16</v>
      </c>
    </row>
    <row r="496" spans="1:4" x14ac:dyDescent="0.35">
      <c r="A496" t="s">
        <v>76</v>
      </c>
    </row>
    <row r="497" spans="1:4" x14ac:dyDescent="0.35">
      <c r="A497" t="s">
        <v>131</v>
      </c>
    </row>
    <row r="498" spans="1:4" x14ac:dyDescent="0.35">
      <c r="A498" t="s">
        <v>58</v>
      </c>
    </row>
    <row r="499" spans="1:4" x14ac:dyDescent="0.35">
      <c r="A499" t="s">
        <v>305</v>
      </c>
    </row>
    <row r="500" spans="1:4" x14ac:dyDescent="0.35">
      <c r="A500" t="s">
        <v>306</v>
      </c>
      <c r="B500" t="s">
        <v>20</v>
      </c>
      <c r="C500" t="s">
        <v>99</v>
      </c>
      <c r="D500" t="s">
        <v>16</v>
      </c>
    </row>
    <row r="501" spans="1:4" x14ac:dyDescent="0.35">
      <c r="A501" t="s">
        <v>17</v>
      </c>
    </row>
    <row r="502" spans="1:4" x14ac:dyDescent="0.35">
      <c r="A502" t="s">
        <v>307</v>
      </c>
      <c r="B502" t="s">
        <v>56</v>
      </c>
      <c r="C502" t="s">
        <v>108</v>
      </c>
    </row>
    <row r="503" spans="1:4" x14ac:dyDescent="0.35">
      <c r="A503" t="s">
        <v>73</v>
      </c>
      <c r="B503" t="s">
        <v>308</v>
      </c>
    </row>
    <row r="504" spans="1:4" x14ac:dyDescent="0.35">
      <c r="A504" t="s">
        <v>309</v>
      </c>
    </row>
    <row r="505" spans="1:4" x14ac:dyDescent="0.35">
      <c r="A505" t="s">
        <v>310</v>
      </c>
    </row>
    <row r="506" spans="1:4" x14ac:dyDescent="0.35">
      <c r="A506" t="s">
        <v>58</v>
      </c>
    </row>
    <row r="507" spans="1:4" x14ac:dyDescent="0.35">
      <c r="A507" t="s">
        <v>311</v>
      </c>
    </row>
    <row r="508" spans="1:4" x14ac:dyDescent="0.35">
      <c r="A508" t="s">
        <v>312</v>
      </c>
      <c r="B508" t="s">
        <v>48</v>
      </c>
      <c r="C508" t="s">
        <v>21</v>
      </c>
      <c r="D508" t="s">
        <v>16</v>
      </c>
    </row>
    <row r="509" spans="1:4" x14ac:dyDescent="0.35">
      <c r="A509" t="s">
        <v>63</v>
      </c>
    </row>
    <row r="511" spans="1:4" x14ac:dyDescent="0.35">
      <c r="A511" t="s">
        <v>244</v>
      </c>
    </row>
    <row r="512" spans="1:4" x14ac:dyDescent="0.35">
      <c r="A512" t="s">
        <v>313</v>
      </c>
    </row>
    <row r="513" spans="1:4" x14ac:dyDescent="0.35">
      <c r="A513" t="s">
        <v>246</v>
      </c>
    </row>
    <row r="514" spans="1:4" x14ac:dyDescent="0.35">
      <c r="A514" t="s">
        <v>110</v>
      </c>
      <c r="B514" t="s">
        <v>14</v>
      </c>
      <c r="C514" t="s">
        <v>33</v>
      </c>
      <c r="D514" t="s">
        <v>16</v>
      </c>
    </row>
    <row r="515" spans="1:4" x14ac:dyDescent="0.35">
      <c r="A515" t="s">
        <v>314</v>
      </c>
    </row>
    <row r="516" spans="1:4" x14ac:dyDescent="0.35">
      <c r="A516" t="s">
        <v>58</v>
      </c>
    </row>
    <row r="517" spans="1:4" x14ac:dyDescent="0.35">
      <c r="A517" t="s">
        <v>315</v>
      </c>
      <c r="B517" t="s">
        <v>32</v>
      </c>
      <c r="C517" t="s">
        <v>99</v>
      </c>
      <c r="D517" t="s">
        <v>16</v>
      </c>
    </row>
    <row r="518" spans="1:4" x14ac:dyDescent="0.35">
      <c r="A518" t="s">
        <v>17</v>
      </c>
    </row>
    <row r="519" spans="1:4" x14ac:dyDescent="0.35">
      <c r="A519" t="s">
        <v>34</v>
      </c>
    </row>
    <row r="520" spans="1:4" x14ac:dyDescent="0.35">
      <c r="A520" t="s">
        <v>215</v>
      </c>
      <c r="B520" t="s">
        <v>24</v>
      </c>
      <c r="C520" t="s">
        <v>15</v>
      </c>
      <c r="D520" t="s">
        <v>16</v>
      </c>
    </row>
    <row r="521" spans="1:4" x14ac:dyDescent="0.35">
      <c r="A521" t="s">
        <v>316</v>
      </c>
    </row>
    <row r="522" spans="1:4" x14ac:dyDescent="0.35">
      <c r="A522" t="s">
        <v>17</v>
      </c>
    </row>
    <row r="523" spans="1:4" x14ac:dyDescent="0.35">
      <c r="A523" t="s">
        <v>129</v>
      </c>
      <c r="B523" t="s">
        <v>20</v>
      </c>
      <c r="C523" t="s">
        <v>33</v>
      </c>
      <c r="D523" t="s">
        <v>16</v>
      </c>
    </row>
    <row r="524" spans="1:4" x14ac:dyDescent="0.35">
      <c r="A524" t="s">
        <v>63</v>
      </c>
    </row>
    <row r="525" spans="1:4" x14ac:dyDescent="0.35">
      <c r="A525" t="s">
        <v>246</v>
      </c>
    </row>
    <row r="527" spans="1:4" x14ac:dyDescent="0.35">
      <c r="A527" t="s">
        <v>244</v>
      </c>
    </row>
    <row r="528" spans="1:4" x14ac:dyDescent="0.35">
      <c r="A528" t="s">
        <v>317</v>
      </c>
    </row>
    <row r="529" spans="1:4" x14ac:dyDescent="0.35">
      <c r="A529" t="s">
        <v>246</v>
      </c>
    </row>
    <row r="530" spans="1:4" x14ac:dyDescent="0.35">
      <c r="A530" t="s">
        <v>318</v>
      </c>
      <c r="B530" t="s">
        <v>14</v>
      </c>
      <c r="C530" t="s">
        <v>80</v>
      </c>
      <c r="D530" t="s">
        <v>16</v>
      </c>
    </row>
    <row r="531" spans="1:4" x14ac:dyDescent="0.35">
      <c r="A531" t="s">
        <v>319</v>
      </c>
    </row>
    <row r="532" spans="1:4" x14ac:dyDescent="0.35">
      <c r="A532" t="s">
        <v>242</v>
      </c>
    </row>
    <row r="533" spans="1:4" x14ac:dyDescent="0.35">
      <c r="A533" t="s">
        <v>243</v>
      </c>
      <c r="B533" t="s">
        <v>54</v>
      </c>
      <c r="C533" t="s">
        <v>21</v>
      </c>
      <c r="D533" t="s">
        <v>16</v>
      </c>
    </row>
    <row r="534" spans="1:4" x14ac:dyDescent="0.35">
      <c r="A534" t="s">
        <v>76</v>
      </c>
    </row>
    <row r="535" spans="1:4" x14ac:dyDescent="0.35">
      <c r="A535" t="s">
        <v>58</v>
      </c>
    </row>
    <row r="536" spans="1:4" x14ac:dyDescent="0.35">
      <c r="A536" t="s">
        <v>320</v>
      </c>
      <c r="B536" t="s">
        <v>54</v>
      </c>
      <c r="C536" t="s">
        <v>15</v>
      </c>
      <c r="D536" t="s">
        <v>16</v>
      </c>
    </row>
    <row r="537" spans="1:4" x14ac:dyDescent="0.35">
      <c r="A537" t="s">
        <v>17</v>
      </c>
    </row>
    <row r="538" spans="1:4" x14ac:dyDescent="0.35">
      <c r="A538" t="s">
        <v>136</v>
      </c>
      <c r="B538" t="s">
        <v>20</v>
      </c>
      <c r="C538" t="s">
        <v>49</v>
      </c>
      <c r="D538" t="s">
        <v>16</v>
      </c>
    </row>
    <row r="539" spans="1:4" x14ac:dyDescent="0.35">
      <c r="A539" t="s">
        <v>321</v>
      </c>
      <c r="B539" t="s">
        <v>24</v>
      </c>
      <c r="C539" t="s">
        <v>15</v>
      </c>
      <c r="D539" t="s">
        <v>16</v>
      </c>
    </row>
    <row r="540" spans="1:4" x14ac:dyDescent="0.35">
      <c r="A540" t="s">
        <v>63</v>
      </c>
    </row>
    <row r="542" spans="1:4" x14ac:dyDescent="0.35">
      <c r="A542" t="s">
        <v>244</v>
      </c>
    </row>
    <row r="543" spans="1:4" x14ac:dyDescent="0.35">
      <c r="A543" t="s">
        <v>322</v>
      </c>
    </row>
    <row r="544" spans="1:4" x14ac:dyDescent="0.35">
      <c r="A544" t="s">
        <v>110</v>
      </c>
      <c r="B544" t="s">
        <v>14</v>
      </c>
      <c r="C544" t="s">
        <v>33</v>
      </c>
      <c r="D544" t="s">
        <v>16</v>
      </c>
    </row>
    <row r="545" spans="1:4" x14ac:dyDescent="0.35">
      <c r="A545" t="s">
        <v>323</v>
      </c>
    </row>
    <row r="546" spans="1:4" x14ac:dyDescent="0.35">
      <c r="A546" t="s">
        <v>324</v>
      </c>
    </row>
    <row r="547" spans="1:4" x14ac:dyDescent="0.35">
      <c r="A547" t="s">
        <v>248</v>
      </c>
      <c r="B547" t="s">
        <v>32</v>
      </c>
      <c r="C547" t="s">
        <v>33</v>
      </c>
      <c r="D547" t="s">
        <v>16</v>
      </c>
    </row>
    <row r="548" spans="1:4" x14ac:dyDescent="0.35">
      <c r="A548" t="s">
        <v>45</v>
      </c>
    </row>
    <row r="549" spans="1:4" x14ac:dyDescent="0.35">
      <c r="A549" t="s">
        <v>241</v>
      </c>
    </row>
    <row r="550" spans="1:4" x14ac:dyDescent="0.35">
      <c r="A550" t="s">
        <v>169</v>
      </c>
    </row>
    <row r="551" spans="1:4" x14ac:dyDescent="0.35">
      <c r="A551" t="s">
        <v>325</v>
      </c>
      <c r="B551" t="s">
        <v>24</v>
      </c>
      <c r="C551" t="s">
        <v>108</v>
      </c>
    </row>
    <row r="552" spans="1:4" x14ac:dyDescent="0.35">
      <c r="A552" t="s">
        <v>76</v>
      </c>
    </row>
    <row r="553" spans="1:4" x14ac:dyDescent="0.35">
      <c r="A553" t="s">
        <v>224</v>
      </c>
    </row>
    <row r="554" spans="1:4" x14ac:dyDescent="0.35">
      <c r="A554" t="s">
        <v>45</v>
      </c>
    </row>
    <row r="555" spans="1:4" x14ac:dyDescent="0.35">
      <c r="A555" t="s">
        <v>202</v>
      </c>
    </row>
    <row r="556" spans="1:4" x14ac:dyDescent="0.35">
      <c r="A556" t="s">
        <v>326</v>
      </c>
    </row>
    <row r="557" spans="1:4" x14ac:dyDescent="0.35">
      <c r="A557" t="s">
        <v>34</v>
      </c>
    </row>
    <row r="558" spans="1:4" x14ac:dyDescent="0.35">
      <c r="A558" t="s">
        <v>327</v>
      </c>
      <c r="B558" t="s">
        <v>56</v>
      </c>
      <c r="C558" t="s">
        <v>37</v>
      </c>
    </row>
    <row r="559" spans="1:4" x14ac:dyDescent="0.35">
      <c r="A559" t="s">
        <v>63</v>
      </c>
    </row>
    <row r="560" spans="1:4" x14ac:dyDescent="0.35">
      <c r="A560" t="s">
        <v>246</v>
      </c>
    </row>
    <row r="562" spans="1:4" x14ac:dyDescent="0.35">
      <c r="A562" t="s">
        <v>328</v>
      </c>
    </row>
    <row r="563" spans="1:4" x14ac:dyDescent="0.35">
      <c r="A563" t="s">
        <v>222</v>
      </c>
      <c r="B563" t="s">
        <v>14</v>
      </c>
      <c r="C563" t="s">
        <v>33</v>
      </c>
      <c r="D563" t="s">
        <v>16</v>
      </c>
    </row>
    <row r="564" spans="1:4" x14ac:dyDescent="0.35">
      <c r="A564" t="s">
        <v>329</v>
      </c>
    </row>
    <row r="565" spans="1:4" x14ac:dyDescent="0.35">
      <c r="A565" t="s">
        <v>330</v>
      </c>
    </row>
    <row r="566" spans="1:4" x14ac:dyDescent="0.35">
      <c r="A566" t="s">
        <v>331</v>
      </c>
    </row>
    <row r="567" spans="1:4" x14ac:dyDescent="0.35">
      <c r="A567" t="s">
        <v>58</v>
      </c>
    </row>
    <row r="568" spans="1:4" x14ac:dyDescent="0.35">
      <c r="A568" t="s">
        <v>332</v>
      </c>
      <c r="B568" t="s">
        <v>54</v>
      </c>
      <c r="C568" t="s">
        <v>99</v>
      </c>
      <c r="D568" t="s">
        <v>16</v>
      </c>
    </row>
    <row r="569" spans="1:4" x14ac:dyDescent="0.35">
      <c r="A569" t="s">
        <v>105</v>
      </c>
    </row>
    <row r="570" spans="1:4" x14ac:dyDescent="0.35">
      <c r="A570" t="s">
        <v>333</v>
      </c>
    </row>
    <row r="571" spans="1:4" x14ac:dyDescent="0.35">
      <c r="A571" t="s">
        <v>133</v>
      </c>
      <c r="B571" t="s">
        <v>36</v>
      </c>
      <c r="C571" t="s">
        <v>33</v>
      </c>
      <c r="D571" t="s">
        <v>16</v>
      </c>
    </row>
    <row r="572" spans="1:4" x14ac:dyDescent="0.35">
      <c r="A572" t="s">
        <v>83</v>
      </c>
    </row>
    <row r="573" spans="1:4" x14ac:dyDescent="0.35">
      <c r="A573" t="s">
        <v>334</v>
      </c>
    </row>
    <row r="574" spans="1:4" x14ac:dyDescent="0.35">
      <c r="A574" t="s">
        <v>103</v>
      </c>
    </row>
    <row r="575" spans="1:4" x14ac:dyDescent="0.35">
      <c r="A575" t="s">
        <v>58</v>
      </c>
    </row>
    <row r="576" spans="1:4" x14ac:dyDescent="0.35">
      <c r="A576" t="s">
        <v>215</v>
      </c>
      <c r="B576" t="s">
        <v>24</v>
      </c>
      <c r="C576" t="s">
        <v>99</v>
      </c>
      <c r="D576" t="s">
        <v>16</v>
      </c>
    </row>
    <row r="577" spans="1:4" x14ac:dyDescent="0.35">
      <c r="A577" t="s">
        <v>26</v>
      </c>
    </row>
    <row r="578" spans="1:4" x14ac:dyDescent="0.35">
      <c r="A578" t="s">
        <v>115</v>
      </c>
    </row>
    <row r="579" spans="1:4" x14ac:dyDescent="0.35">
      <c r="A579" t="s">
        <v>19</v>
      </c>
      <c r="B579" t="s">
        <v>36</v>
      </c>
      <c r="C579" t="s">
        <v>21</v>
      </c>
      <c r="D579" t="s">
        <v>16</v>
      </c>
    </row>
    <row r="580" spans="1:4" x14ac:dyDescent="0.35">
      <c r="A580" t="s">
        <v>335</v>
      </c>
    </row>
    <row r="581" spans="1:4" x14ac:dyDescent="0.35">
      <c r="A581" t="s">
        <v>129</v>
      </c>
      <c r="B581" t="s">
        <v>91</v>
      </c>
      <c r="C581" t="s">
        <v>33</v>
      </c>
      <c r="D581" t="s">
        <v>16</v>
      </c>
    </row>
    <row r="582" spans="1:4" x14ac:dyDescent="0.35">
      <c r="A582" t="s">
        <v>161</v>
      </c>
    </row>
    <row r="583" spans="1:4" x14ac:dyDescent="0.35">
      <c r="A583" t="s">
        <v>133</v>
      </c>
      <c r="B583" t="s">
        <v>41</v>
      </c>
      <c r="C583" t="s">
        <v>33</v>
      </c>
      <c r="D583" t="s">
        <v>16</v>
      </c>
    </row>
    <row r="584" spans="1:4" x14ac:dyDescent="0.35">
      <c r="A584" t="s">
        <v>83</v>
      </c>
    </row>
    <row r="585" spans="1:4" x14ac:dyDescent="0.35">
      <c r="A585" t="s">
        <v>134</v>
      </c>
    </row>
    <row r="586" spans="1:4" x14ac:dyDescent="0.35">
      <c r="A586" t="s">
        <v>336</v>
      </c>
    </row>
    <row r="587" spans="1:4" x14ac:dyDescent="0.35">
      <c r="A587" t="s">
        <v>337</v>
      </c>
    </row>
    <row r="588" spans="1:4" x14ac:dyDescent="0.35">
      <c r="A588" t="s">
        <v>338</v>
      </c>
      <c r="B588" t="s">
        <v>24</v>
      </c>
      <c r="C588" t="s">
        <v>339</v>
      </c>
    </row>
    <row r="589" spans="1:4" x14ac:dyDescent="0.35">
      <c r="A589" t="s">
        <v>69</v>
      </c>
    </row>
    <row r="590" spans="1:4" x14ac:dyDescent="0.35">
      <c r="A590" t="s">
        <v>31</v>
      </c>
      <c r="B590" t="s">
        <v>20</v>
      </c>
      <c r="C590" t="s">
        <v>33</v>
      </c>
      <c r="D590" t="s">
        <v>16</v>
      </c>
    </row>
    <row r="591" spans="1:4" x14ac:dyDescent="0.35">
      <c r="A591" t="s">
        <v>63</v>
      </c>
    </row>
    <row r="593" spans="1:4" x14ac:dyDescent="0.35">
      <c r="A593" t="s">
        <v>244</v>
      </c>
    </row>
    <row r="594" spans="1:4" x14ac:dyDescent="0.35">
      <c r="A594" t="s">
        <v>340</v>
      </c>
    </row>
    <row r="595" spans="1:4" x14ac:dyDescent="0.35">
      <c r="A595" t="s">
        <v>246</v>
      </c>
    </row>
    <row r="596" spans="1:4" x14ac:dyDescent="0.35">
      <c r="A596" t="s">
        <v>341</v>
      </c>
      <c r="B596" t="s">
        <v>36</v>
      </c>
      <c r="C596" t="s">
        <v>80</v>
      </c>
      <c r="D596" t="s">
        <v>16</v>
      </c>
    </row>
    <row r="597" spans="1:4" x14ac:dyDescent="0.35">
      <c r="A597" t="s">
        <v>342</v>
      </c>
    </row>
    <row r="598" spans="1:4" x14ac:dyDescent="0.35">
      <c r="A598" t="s">
        <v>343</v>
      </c>
    </row>
    <row r="599" spans="1:4" x14ac:dyDescent="0.35">
      <c r="A599" t="s">
        <v>26</v>
      </c>
    </row>
    <row r="600" spans="1:4" x14ac:dyDescent="0.35">
      <c r="A600" t="s">
        <v>246</v>
      </c>
    </row>
    <row r="601" spans="1:4" x14ac:dyDescent="0.35">
      <c r="A601" t="s">
        <v>140</v>
      </c>
    </row>
    <row r="602" spans="1:4" x14ac:dyDescent="0.35">
      <c r="A602" t="s">
        <v>40</v>
      </c>
      <c r="B602" t="s">
        <v>14</v>
      </c>
      <c r="C602" t="s">
        <v>33</v>
      </c>
      <c r="D602" t="s">
        <v>16</v>
      </c>
    </row>
    <row r="603" spans="1:4" x14ac:dyDescent="0.35">
      <c r="A603" t="s">
        <v>63</v>
      </c>
    </row>
    <row r="605" spans="1:4" x14ac:dyDescent="0.35">
      <c r="A605" t="s">
        <v>244</v>
      </c>
    </row>
    <row r="606" spans="1:4" x14ac:dyDescent="0.35">
      <c r="A606" t="s">
        <v>344</v>
      </c>
    </row>
    <row r="607" spans="1:4" x14ac:dyDescent="0.35">
      <c r="A607" t="s">
        <v>246</v>
      </c>
    </row>
    <row r="608" spans="1:4" x14ac:dyDescent="0.35">
      <c r="A608" t="s">
        <v>345</v>
      </c>
    </row>
    <row r="609" spans="1:4" x14ac:dyDescent="0.35">
      <c r="A609" t="s">
        <v>346</v>
      </c>
      <c r="B609" t="s">
        <v>14</v>
      </c>
      <c r="C609" t="s">
        <v>122</v>
      </c>
      <c r="D609" t="s">
        <v>16</v>
      </c>
    </row>
    <row r="610" spans="1:4" x14ac:dyDescent="0.35">
      <c r="A610" t="s">
        <v>164</v>
      </c>
    </row>
    <row r="611" spans="1:4" x14ac:dyDescent="0.35">
      <c r="A611" t="s">
        <v>58</v>
      </c>
    </row>
    <row r="612" spans="1:4" x14ac:dyDescent="0.35">
      <c r="A612" t="s">
        <v>347</v>
      </c>
      <c r="B612" t="s">
        <v>24</v>
      </c>
      <c r="C612" t="s">
        <v>99</v>
      </c>
      <c r="D612" t="s">
        <v>16</v>
      </c>
    </row>
    <row r="613" spans="1:4" x14ac:dyDescent="0.35">
      <c r="A613" t="s">
        <v>135</v>
      </c>
    </row>
    <row r="614" spans="1:4" x14ac:dyDescent="0.35">
      <c r="A614" t="s">
        <v>348</v>
      </c>
    </row>
    <row r="615" spans="1:4" x14ac:dyDescent="0.35">
      <c r="A615" t="s">
        <v>349</v>
      </c>
    </row>
    <row r="616" spans="1:4" x14ac:dyDescent="0.35">
      <c r="A616" t="s">
        <v>350</v>
      </c>
      <c r="B616" t="s">
        <v>32</v>
      </c>
      <c r="C616" t="s">
        <v>37</v>
      </c>
    </row>
    <row r="617" spans="1:4" x14ac:dyDescent="0.35">
      <c r="A617" t="s">
        <v>63</v>
      </c>
    </row>
    <row r="618" spans="1:4" x14ac:dyDescent="0.35">
      <c r="A618" t="s">
        <v>246</v>
      </c>
    </row>
    <row r="620" spans="1:4" x14ac:dyDescent="0.35">
      <c r="A620" t="s">
        <v>244</v>
      </c>
    </row>
    <row r="621" spans="1:4" x14ac:dyDescent="0.35">
      <c r="A621" t="s">
        <v>351</v>
      </c>
    </row>
    <row r="622" spans="1:4" x14ac:dyDescent="0.35">
      <c r="A622" t="s">
        <v>246</v>
      </c>
    </row>
    <row r="623" spans="1:4" x14ac:dyDescent="0.35">
      <c r="A623" t="s">
        <v>222</v>
      </c>
      <c r="B623" t="s">
        <v>14</v>
      </c>
      <c r="C623" t="s">
        <v>33</v>
      </c>
      <c r="D623" t="s">
        <v>16</v>
      </c>
    </row>
    <row r="624" spans="1:4" x14ac:dyDescent="0.35">
      <c r="A624" t="s">
        <v>275</v>
      </c>
    </row>
    <row r="625" spans="1:4" x14ac:dyDescent="0.35">
      <c r="A625" t="s">
        <v>45</v>
      </c>
    </row>
    <row r="626" spans="1:4" x14ac:dyDescent="0.35">
      <c r="A626" t="s">
        <v>352</v>
      </c>
    </row>
    <row r="627" spans="1:4" x14ac:dyDescent="0.35">
      <c r="A627" t="s">
        <v>353</v>
      </c>
    </row>
    <row r="628" spans="1:4" x14ac:dyDescent="0.35">
      <c r="A628" t="s">
        <v>251</v>
      </c>
    </row>
    <row r="629" spans="1:4" x14ac:dyDescent="0.35">
      <c r="A629" t="s">
        <v>246</v>
      </c>
    </row>
    <row r="631" spans="1:4" x14ac:dyDescent="0.35">
      <c r="A631" t="s">
        <v>244</v>
      </c>
    </row>
    <row r="632" spans="1:4" x14ac:dyDescent="0.35">
      <c r="A632" t="s">
        <v>354</v>
      </c>
    </row>
    <row r="633" spans="1:4" x14ac:dyDescent="0.35">
      <c r="A633" t="s">
        <v>246</v>
      </c>
    </row>
    <row r="634" spans="1:4" x14ac:dyDescent="0.35">
      <c r="A634" t="s">
        <v>355</v>
      </c>
    </row>
    <row r="635" spans="1:4" x14ac:dyDescent="0.35">
      <c r="A635" t="s">
        <v>26</v>
      </c>
    </row>
    <row r="636" spans="1:4" x14ac:dyDescent="0.35">
      <c r="A636" t="s">
        <v>133</v>
      </c>
      <c r="B636" t="s">
        <v>14</v>
      </c>
      <c r="C636" t="s">
        <v>33</v>
      </c>
      <c r="D636" t="s">
        <v>16</v>
      </c>
    </row>
    <row r="637" spans="1:4" x14ac:dyDescent="0.35">
      <c r="A637" t="s">
        <v>356</v>
      </c>
    </row>
    <row r="638" spans="1:4" x14ac:dyDescent="0.35">
      <c r="A638" t="s">
        <v>135</v>
      </c>
    </row>
    <row r="639" spans="1:4" x14ac:dyDescent="0.35">
      <c r="A639" t="s">
        <v>136</v>
      </c>
      <c r="B639" t="s">
        <v>24</v>
      </c>
      <c r="C639" t="s">
        <v>49</v>
      </c>
      <c r="D639" t="s">
        <v>16</v>
      </c>
    </row>
    <row r="640" spans="1:4" x14ac:dyDescent="0.35">
      <c r="A640" t="s">
        <v>253</v>
      </c>
    </row>
    <row r="641" spans="1:4" x14ac:dyDescent="0.35">
      <c r="A641" t="s">
        <v>357</v>
      </c>
      <c r="B641" t="s">
        <v>32</v>
      </c>
      <c r="C641" t="s">
        <v>15</v>
      </c>
      <c r="D641" t="s">
        <v>16</v>
      </c>
    </row>
    <row r="642" spans="1:4" x14ac:dyDescent="0.35">
      <c r="A642" t="s">
        <v>353</v>
      </c>
    </row>
    <row r="643" spans="1:4" x14ac:dyDescent="0.35">
      <c r="A643" t="s">
        <v>63</v>
      </c>
    </row>
    <row r="645" spans="1:4" x14ac:dyDescent="0.35">
      <c r="A645" t="s">
        <v>358</v>
      </c>
    </row>
    <row r="646" spans="1:4" x14ac:dyDescent="0.35">
      <c r="A646" t="s">
        <v>359</v>
      </c>
    </row>
    <row r="647" spans="1:4" x14ac:dyDescent="0.35">
      <c r="A647" t="s">
        <v>360</v>
      </c>
    </row>
    <row r="648" spans="1:4" x14ac:dyDescent="0.35">
      <c r="A648" t="s">
        <v>283</v>
      </c>
    </row>
    <row r="649" spans="1:4" x14ac:dyDescent="0.35">
      <c r="A649" t="s">
        <v>361</v>
      </c>
      <c r="B649" t="s">
        <v>54</v>
      </c>
      <c r="C649" t="s">
        <v>122</v>
      </c>
      <c r="D649" t="s">
        <v>16</v>
      </c>
    </row>
    <row r="650" spans="1:4" x14ac:dyDescent="0.35">
      <c r="A650" t="s">
        <v>26</v>
      </c>
    </row>
    <row r="651" spans="1:4" x14ac:dyDescent="0.35">
      <c r="A651" t="s">
        <v>250</v>
      </c>
      <c r="B651" t="s">
        <v>24</v>
      </c>
      <c r="C651" t="s">
        <v>21</v>
      </c>
      <c r="D651" t="s">
        <v>16</v>
      </c>
    </row>
    <row r="652" spans="1:4" x14ac:dyDescent="0.35">
      <c r="A652" t="s">
        <v>63</v>
      </c>
    </row>
    <row r="654" spans="1:4" x14ac:dyDescent="0.35">
      <c r="A654" t="s">
        <v>362</v>
      </c>
    </row>
    <row r="655" spans="1:4" x14ac:dyDescent="0.35">
      <c r="A655" t="s">
        <v>279</v>
      </c>
      <c r="B655" t="s">
        <v>14</v>
      </c>
      <c r="C655" t="s">
        <v>33</v>
      </c>
      <c r="D655" t="s">
        <v>16</v>
      </c>
    </row>
    <row r="656" spans="1:4" x14ac:dyDescent="0.35">
      <c r="A656" t="s">
        <v>258</v>
      </c>
    </row>
    <row r="657" spans="1:4" x14ac:dyDescent="0.35">
      <c r="A657" t="s">
        <v>363</v>
      </c>
    </row>
    <row r="658" spans="1:4" x14ac:dyDescent="0.35">
      <c r="A658" t="s">
        <v>364</v>
      </c>
    </row>
    <row r="659" spans="1:4" x14ac:dyDescent="0.35">
      <c r="A659" t="s">
        <v>58</v>
      </c>
    </row>
    <row r="660" spans="1:4" x14ac:dyDescent="0.35">
      <c r="A660" t="s">
        <v>215</v>
      </c>
      <c r="B660" t="s">
        <v>54</v>
      </c>
      <c r="C660" t="s">
        <v>99</v>
      </c>
      <c r="D660" t="s">
        <v>16</v>
      </c>
    </row>
    <row r="661" spans="1:4" x14ac:dyDescent="0.35">
      <c r="A661" t="s">
        <v>26</v>
      </c>
    </row>
    <row r="662" spans="1:4" x14ac:dyDescent="0.35">
      <c r="A662" t="s">
        <v>258</v>
      </c>
    </row>
    <row r="663" spans="1:4" x14ac:dyDescent="0.35">
      <c r="A663" t="s">
        <v>248</v>
      </c>
      <c r="B663" t="s">
        <v>36</v>
      </c>
      <c r="C663" t="s">
        <v>33</v>
      </c>
      <c r="D663" t="s">
        <v>16</v>
      </c>
    </row>
    <row r="664" spans="1:4" x14ac:dyDescent="0.35">
      <c r="A664" t="s">
        <v>224</v>
      </c>
    </row>
    <row r="665" spans="1:4" x14ac:dyDescent="0.35">
      <c r="A665" t="s">
        <v>26</v>
      </c>
    </row>
    <row r="666" spans="1:4" x14ac:dyDescent="0.35">
      <c r="A666" t="s">
        <v>365</v>
      </c>
      <c r="B666" t="s">
        <v>54</v>
      </c>
      <c r="C666" t="s">
        <v>21</v>
      </c>
      <c r="D666" t="s">
        <v>16</v>
      </c>
    </row>
    <row r="667" spans="1:4" x14ac:dyDescent="0.35">
      <c r="A667" t="s">
        <v>251</v>
      </c>
    </row>
    <row r="669" spans="1:4" x14ac:dyDescent="0.35">
      <c r="A669" t="s">
        <v>366</v>
      </c>
    </row>
    <row r="670" spans="1:4" x14ac:dyDescent="0.35">
      <c r="A670" t="s">
        <v>367</v>
      </c>
    </row>
    <row r="671" spans="1:4" x14ac:dyDescent="0.35">
      <c r="A671" t="s">
        <v>248</v>
      </c>
      <c r="B671" t="s">
        <v>14</v>
      </c>
      <c r="C671" t="s">
        <v>33</v>
      </c>
      <c r="D671" t="s">
        <v>16</v>
      </c>
    </row>
    <row r="672" spans="1:4" x14ac:dyDescent="0.35">
      <c r="A672" t="s">
        <v>368</v>
      </c>
    </row>
    <row r="673" spans="1:4" x14ac:dyDescent="0.35">
      <c r="A673" t="s">
        <v>58</v>
      </c>
    </row>
    <row r="674" spans="1:4" x14ac:dyDescent="0.35">
      <c r="A674" t="s">
        <v>369</v>
      </c>
      <c r="B674" t="s">
        <v>32</v>
      </c>
      <c r="C674" t="s">
        <v>99</v>
      </c>
      <c r="D674" t="s">
        <v>16</v>
      </c>
    </row>
    <row r="675" spans="1:4" x14ac:dyDescent="0.35">
      <c r="A675" t="s">
        <v>17</v>
      </c>
    </row>
    <row r="676" spans="1:4" x14ac:dyDescent="0.35">
      <c r="A676" t="s">
        <v>58</v>
      </c>
    </row>
    <row r="677" spans="1:4" x14ac:dyDescent="0.35">
      <c r="A677" t="s">
        <v>370</v>
      </c>
      <c r="B677" t="s">
        <v>24</v>
      </c>
      <c r="C677" t="s">
        <v>99</v>
      </c>
      <c r="D677" t="s">
        <v>16</v>
      </c>
    </row>
    <row r="678" spans="1:4" x14ac:dyDescent="0.35">
      <c r="A678" t="s">
        <v>251</v>
      </c>
    </row>
    <row r="680" spans="1:4" x14ac:dyDescent="0.35">
      <c r="A680" t="s">
        <v>244</v>
      </c>
    </row>
    <row r="681" spans="1:4" x14ac:dyDescent="0.35">
      <c r="A681" t="s">
        <v>371</v>
      </c>
    </row>
    <row r="682" spans="1:4" x14ac:dyDescent="0.35">
      <c r="A682" t="s">
        <v>287</v>
      </c>
      <c r="B682" t="s">
        <v>54</v>
      </c>
      <c r="C682" t="s">
        <v>148</v>
      </c>
    </row>
    <row r="683" spans="1:4" x14ac:dyDescent="0.35">
      <c r="A683" t="s">
        <v>275</v>
      </c>
    </row>
    <row r="684" spans="1:4" x14ac:dyDescent="0.35">
      <c r="A684" t="s">
        <v>78</v>
      </c>
    </row>
    <row r="685" spans="1:4" x14ac:dyDescent="0.35">
      <c r="A685" t="s">
        <v>372</v>
      </c>
    </row>
    <row r="686" spans="1:4" x14ac:dyDescent="0.35">
      <c r="A686" t="s">
        <v>373</v>
      </c>
      <c r="B686" t="s">
        <v>14</v>
      </c>
      <c r="C686" t="s">
        <v>122</v>
      </c>
      <c r="D686" t="s">
        <v>16</v>
      </c>
    </row>
    <row r="687" spans="1:4" x14ac:dyDescent="0.35">
      <c r="A687" t="s">
        <v>131</v>
      </c>
    </row>
    <row r="688" spans="1:4" x14ac:dyDescent="0.35">
      <c r="A688" t="s">
        <v>283</v>
      </c>
    </row>
    <row r="689" spans="1:4" x14ac:dyDescent="0.35">
      <c r="A689" t="s">
        <v>320</v>
      </c>
      <c r="B689" t="s">
        <v>24</v>
      </c>
      <c r="C689" t="s">
        <v>122</v>
      </c>
      <c r="D689" t="s">
        <v>16</v>
      </c>
    </row>
    <row r="690" spans="1:4" x14ac:dyDescent="0.35">
      <c r="A690" t="s">
        <v>251</v>
      </c>
    </row>
    <row r="691" spans="1:4" x14ac:dyDescent="0.35">
      <c r="A691" t="s">
        <v>246</v>
      </c>
    </row>
    <row r="693" spans="1:4" x14ac:dyDescent="0.35">
      <c r="A693" t="s">
        <v>244</v>
      </c>
    </row>
    <row r="694" spans="1:4" x14ac:dyDescent="0.35">
      <c r="A694" t="s">
        <v>374</v>
      </c>
    </row>
    <row r="695" spans="1:4" x14ac:dyDescent="0.35">
      <c r="A695" t="s">
        <v>246</v>
      </c>
    </row>
    <row r="696" spans="1:4" x14ac:dyDescent="0.35">
      <c r="A696" t="s">
        <v>110</v>
      </c>
      <c r="B696" t="s">
        <v>14</v>
      </c>
      <c r="C696" t="s">
        <v>33</v>
      </c>
      <c r="D696" t="s">
        <v>16</v>
      </c>
    </row>
    <row r="697" spans="1:4" x14ac:dyDescent="0.35">
      <c r="A697" t="s">
        <v>375</v>
      </c>
    </row>
    <row r="698" spans="1:4" x14ac:dyDescent="0.35">
      <c r="A698" t="s">
        <v>376</v>
      </c>
      <c r="B698" t="s">
        <v>36</v>
      </c>
      <c r="C698" t="s">
        <v>33</v>
      </c>
      <c r="D698" t="s">
        <v>16</v>
      </c>
    </row>
    <row r="699" spans="1:4" x14ac:dyDescent="0.35">
      <c r="A699" t="s">
        <v>275</v>
      </c>
    </row>
    <row r="700" spans="1:4" x14ac:dyDescent="0.35">
      <c r="A700" t="s">
        <v>58</v>
      </c>
    </row>
    <row r="701" spans="1:4" x14ac:dyDescent="0.35">
      <c r="A701" t="s">
        <v>377</v>
      </c>
    </row>
    <row r="702" spans="1:4" x14ac:dyDescent="0.35">
      <c r="A702" t="s">
        <v>373</v>
      </c>
      <c r="B702" t="s">
        <v>54</v>
      </c>
      <c r="C702" t="s">
        <v>99</v>
      </c>
      <c r="D702" t="s">
        <v>16</v>
      </c>
    </row>
    <row r="703" spans="1:4" x14ac:dyDescent="0.35">
      <c r="A703" t="s">
        <v>63</v>
      </c>
    </row>
    <row r="704" spans="1:4" x14ac:dyDescent="0.35">
      <c r="A704" t="s">
        <v>246</v>
      </c>
    </row>
    <row r="706" spans="1:4" x14ac:dyDescent="0.35">
      <c r="A706" t="s">
        <v>244</v>
      </c>
    </row>
    <row r="707" spans="1:4" x14ac:dyDescent="0.35">
      <c r="A707" t="s">
        <v>378</v>
      </c>
    </row>
    <row r="708" spans="1:4" x14ac:dyDescent="0.35">
      <c r="A708" t="s">
        <v>246</v>
      </c>
    </row>
    <row r="709" spans="1:4" x14ac:dyDescent="0.35">
      <c r="A709" t="s">
        <v>379</v>
      </c>
    </row>
    <row r="710" spans="1:4" x14ac:dyDescent="0.35">
      <c r="A710" t="s">
        <v>58</v>
      </c>
    </row>
    <row r="711" spans="1:4" x14ac:dyDescent="0.35">
      <c r="A711" t="s">
        <v>28</v>
      </c>
    </row>
    <row r="712" spans="1:4" x14ac:dyDescent="0.35">
      <c r="A712" t="s">
        <v>380</v>
      </c>
      <c r="B712" t="s">
        <v>54</v>
      </c>
      <c r="C712" t="s">
        <v>381</v>
      </c>
      <c r="D712" t="s">
        <v>16</v>
      </c>
    </row>
    <row r="713" spans="1:4" x14ac:dyDescent="0.35">
      <c r="A713" t="s">
        <v>26</v>
      </c>
    </row>
    <row r="714" spans="1:4" x14ac:dyDescent="0.35">
      <c r="A714" t="s">
        <v>73</v>
      </c>
      <c r="B714" t="s">
        <v>36</v>
      </c>
    </row>
    <row r="715" spans="1:4" x14ac:dyDescent="0.35">
      <c r="A715" t="s">
        <v>382</v>
      </c>
    </row>
    <row r="716" spans="1:4" x14ac:dyDescent="0.35">
      <c r="A716" t="s">
        <v>117</v>
      </c>
    </row>
    <row r="717" spans="1:4" x14ac:dyDescent="0.35">
      <c r="A717" t="s">
        <v>383</v>
      </c>
    </row>
    <row r="718" spans="1:4" x14ac:dyDescent="0.35">
      <c r="A718" t="s">
        <v>251</v>
      </c>
    </row>
    <row r="719" spans="1:4" x14ac:dyDescent="0.35">
      <c r="A719" t="s">
        <v>246</v>
      </c>
    </row>
    <row r="721" spans="1:4" x14ac:dyDescent="0.35">
      <c r="A721" t="s">
        <v>244</v>
      </c>
    </row>
    <row r="722" spans="1:4" x14ac:dyDescent="0.35">
      <c r="A722" t="s">
        <v>384</v>
      </c>
    </row>
    <row r="723" spans="1:4" x14ac:dyDescent="0.35">
      <c r="A723" t="s">
        <v>246</v>
      </c>
    </row>
    <row r="724" spans="1:4" x14ac:dyDescent="0.35">
      <c r="A724" t="s">
        <v>318</v>
      </c>
      <c r="B724" t="s">
        <v>14</v>
      </c>
      <c r="C724" t="s">
        <v>80</v>
      </c>
      <c r="D724" t="s">
        <v>16</v>
      </c>
    </row>
    <row r="725" spans="1:4" x14ac:dyDescent="0.35">
      <c r="A725" t="s">
        <v>319</v>
      </c>
    </row>
    <row r="726" spans="1:4" x14ac:dyDescent="0.35">
      <c r="A726" t="s">
        <v>385</v>
      </c>
    </row>
    <row r="727" spans="1:4" x14ac:dyDescent="0.35">
      <c r="A727" t="s">
        <v>58</v>
      </c>
    </row>
    <row r="728" spans="1:4" x14ac:dyDescent="0.35">
      <c r="A728" t="s">
        <v>386</v>
      </c>
    </row>
    <row r="729" spans="1:4" x14ac:dyDescent="0.35">
      <c r="A729" t="s">
        <v>262</v>
      </c>
    </row>
    <row r="730" spans="1:4" x14ac:dyDescent="0.35">
      <c r="A730" t="s">
        <v>387</v>
      </c>
      <c r="B730" t="s">
        <v>54</v>
      </c>
      <c r="C730" t="s">
        <v>99</v>
      </c>
      <c r="D730" t="s">
        <v>16</v>
      </c>
    </row>
    <row r="731" spans="1:4" x14ac:dyDescent="0.35">
      <c r="A731" t="s">
        <v>63</v>
      </c>
    </row>
    <row r="732" spans="1:4" x14ac:dyDescent="0.35">
      <c r="A732" t="s">
        <v>246</v>
      </c>
    </row>
    <row r="734" spans="1:4" x14ac:dyDescent="0.35">
      <c r="A734" t="s">
        <v>244</v>
      </c>
    </row>
    <row r="735" spans="1:4" x14ac:dyDescent="0.35">
      <c r="A735" t="s">
        <v>388</v>
      </c>
    </row>
    <row r="736" spans="1:4" x14ac:dyDescent="0.35">
      <c r="A736" t="s">
        <v>246</v>
      </c>
    </row>
    <row r="737" spans="1:4" x14ac:dyDescent="0.35">
      <c r="A737" t="s">
        <v>97</v>
      </c>
    </row>
    <row r="738" spans="1:4" x14ac:dyDescent="0.35">
      <c r="A738" t="s">
        <v>389</v>
      </c>
      <c r="B738" t="s">
        <v>14</v>
      </c>
      <c r="C738" t="s">
        <v>99</v>
      </c>
      <c r="D738" t="s">
        <v>16</v>
      </c>
    </row>
    <row r="739" spans="1:4" x14ac:dyDescent="0.35">
      <c r="A739" t="s">
        <v>275</v>
      </c>
    </row>
    <row r="740" spans="1:4" x14ac:dyDescent="0.35">
      <c r="A740" t="s">
        <v>225</v>
      </c>
    </row>
    <row r="741" spans="1:4" x14ac:dyDescent="0.35">
      <c r="A741" t="s">
        <v>63</v>
      </c>
    </row>
    <row r="743" spans="1:4" x14ac:dyDescent="0.35">
      <c r="A743" t="s">
        <v>390</v>
      </c>
    </row>
    <row r="744" spans="1:4" x14ac:dyDescent="0.35">
      <c r="A744" t="s">
        <v>279</v>
      </c>
      <c r="B744" t="s">
        <v>14</v>
      </c>
      <c r="C744" t="s">
        <v>33</v>
      </c>
      <c r="D744" t="s">
        <v>16</v>
      </c>
    </row>
    <row r="745" spans="1:4" x14ac:dyDescent="0.35">
      <c r="A745" t="s">
        <v>391</v>
      </c>
    </row>
    <row r="746" spans="1:4" x14ac:dyDescent="0.35">
      <c r="A746" t="s">
        <v>58</v>
      </c>
    </row>
    <row r="747" spans="1:4" x14ac:dyDescent="0.35">
      <c r="A747" t="s">
        <v>392</v>
      </c>
      <c r="B747" t="s">
        <v>32</v>
      </c>
      <c r="C747" t="s">
        <v>99</v>
      </c>
      <c r="D747" t="s">
        <v>16</v>
      </c>
    </row>
    <row r="748" spans="1:4" x14ac:dyDescent="0.35">
      <c r="A748" t="s">
        <v>17</v>
      </c>
    </row>
    <row r="749" spans="1:4" x14ac:dyDescent="0.35">
      <c r="A749" t="s">
        <v>58</v>
      </c>
    </row>
    <row r="750" spans="1:4" x14ac:dyDescent="0.35">
      <c r="A750" t="s">
        <v>393</v>
      </c>
    </row>
    <row r="751" spans="1:4" x14ac:dyDescent="0.35">
      <c r="A751" t="s">
        <v>394</v>
      </c>
    </row>
    <row r="752" spans="1:4" x14ac:dyDescent="0.35">
      <c r="A752" t="s">
        <v>63</v>
      </c>
    </row>
    <row r="754" spans="1:4" x14ac:dyDescent="0.35">
      <c r="A754" t="s">
        <v>244</v>
      </c>
    </row>
    <row r="755" spans="1:4" x14ac:dyDescent="0.35">
      <c r="A755" t="s">
        <v>395</v>
      </c>
    </row>
    <row r="756" spans="1:4" x14ac:dyDescent="0.35">
      <c r="A756" t="s">
        <v>396</v>
      </c>
    </row>
    <row r="757" spans="1:4" x14ac:dyDescent="0.35">
      <c r="A757" t="s">
        <v>397</v>
      </c>
    </row>
    <row r="758" spans="1:4" x14ac:dyDescent="0.35">
      <c r="A758" t="s">
        <v>398</v>
      </c>
    </row>
    <row r="759" spans="1:4" x14ac:dyDescent="0.35">
      <c r="A759" t="s">
        <v>76</v>
      </c>
    </row>
    <row r="760" spans="1:4" x14ac:dyDescent="0.35">
      <c r="A760" t="s">
        <v>314</v>
      </c>
    </row>
    <row r="761" spans="1:4" x14ac:dyDescent="0.35">
      <c r="A761" t="s">
        <v>147</v>
      </c>
      <c r="B761" t="s">
        <v>95</v>
      </c>
      <c r="C761" t="s">
        <v>148</v>
      </c>
    </row>
    <row r="762" spans="1:4" x14ac:dyDescent="0.35">
      <c r="A762" t="s">
        <v>376</v>
      </c>
      <c r="B762" t="s">
        <v>41</v>
      </c>
      <c r="C762" t="s">
        <v>33</v>
      </c>
      <c r="D762" t="s">
        <v>16</v>
      </c>
    </row>
    <row r="763" spans="1:4" x14ac:dyDescent="0.35">
      <c r="A763" t="s">
        <v>275</v>
      </c>
    </row>
    <row r="764" spans="1:4" x14ac:dyDescent="0.35">
      <c r="A764" t="s">
        <v>399</v>
      </c>
    </row>
    <row r="765" spans="1:4" x14ac:dyDescent="0.35">
      <c r="A765" t="s">
        <v>400</v>
      </c>
    </row>
    <row r="766" spans="1:4" x14ac:dyDescent="0.35">
      <c r="A766" t="s">
        <v>103</v>
      </c>
    </row>
    <row r="767" spans="1:4" x14ac:dyDescent="0.35">
      <c r="A767" t="s">
        <v>401</v>
      </c>
      <c r="B767" t="s">
        <v>48</v>
      </c>
      <c r="C767" t="s">
        <v>108</v>
      </c>
    </row>
    <row r="768" spans="1:4" x14ac:dyDescent="0.35">
      <c r="A768" t="s">
        <v>22</v>
      </c>
    </row>
    <row r="769" spans="1:4" x14ac:dyDescent="0.35">
      <c r="A769" t="s">
        <v>402</v>
      </c>
      <c r="B769" t="s">
        <v>56</v>
      </c>
      <c r="C769" t="s">
        <v>15</v>
      </c>
      <c r="D769" t="s">
        <v>16</v>
      </c>
    </row>
    <row r="770" spans="1:4" x14ac:dyDescent="0.35">
      <c r="A770" t="s">
        <v>343</v>
      </c>
    </row>
    <row r="771" spans="1:4" x14ac:dyDescent="0.35">
      <c r="A771" t="s">
        <v>403</v>
      </c>
    </row>
    <row r="772" spans="1:4" x14ac:dyDescent="0.35">
      <c r="A772" t="s">
        <v>404</v>
      </c>
    </row>
    <row r="773" spans="1:4" x14ac:dyDescent="0.35">
      <c r="A773" t="s">
        <v>405</v>
      </c>
      <c r="B773" t="s">
        <v>52</v>
      </c>
      <c r="C773" t="s">
        <v>33</v>
      </c>
      <c r="D773" t="s">
        <v>16</v>
      </c>
    </row>
    <row r="774" spans="1:4" x14ac:dyDescent="0.35">
      <c r="A774" t="s">
        <v>391</v>
      </c>
    </row>
    <row r="775" spans="1:4" x14ac:dyDescent="0.35">
      <c r="A775" t="s">
        <v>39</v>
      </c>
    </row>
    <row r="776" spans="1:4" x14ac:dyDescent="0.35">
      <c r="A776" t="s">
        <v>376</v>
      </c>
      <c r="B776" t="s">
        <v>151</v>
      </c>
      <c r="C776" t="s">
        <v>33</v>
      </c>
      <c r="D776" t="s">
        <v>16</v>
      </c>
    </row>
    <row r="777" spans="1:4" x14ac:dyDescent="0.35">
      <c r="A777" t="s">
        <v>275</v>
      </c>
    </row>
    <row r="778" spans="1:4" x14ac:dyDescent="0.35">
      <c r="A778" t="s">
        <v>406</v>
      </c>
    </row>
    <row r="779" spans="1:4" x14ac:dyDescent="0.35">
      <c r="A779" t="s">
        <v>272</v>
      </c>
    </row>
    <row r="780" spans="1:4" x14ac:dyDescent="0.35">
      <c r="A780" t="s">
        <v>246</v>
      </c>
    </row>
    <row r="782" spans="1:4" x14ac:dyDescent="0.35">
      <c r="A782" t="s">
        <v>407</v>
      </c>
    </row>
    <row r="783" spans="1:4" x14ac:dyDescent="0.35">
      <c r="A783" t="s">
        <v>110</v>
      </c>
      <c r="B783" t="s">
        <v>14</v>
      </c>
      <c r="C783" t="s">
        <v>33</v>
      </c>
      <c r="D783" t="s">
        <v>16</v>
      </c>
    </row>
    <row r="784" spans="1:4" x14ac:dyDescent="0.35">
      <c r="A784" t="s">
        <v>408</v>
      </c>
    </row>
    <row r="785" spans="1:4" x14ac:dyDescent="0.35">
      <c r="A785" t="s">
        <v>228</v>
      </c>
    </row>
    <row r="786" spans="1:4" x14ac:dyDescent="0.35">
      <c r="A786" t="s">
        <v>58</v>
      </c>
    </row>
    <row r="787" spans="1:4" x14ac:dyDescent="0.35">
      <c r="A787" t="s">
        <v>409</v>
      </c>
      <c r="B787" t="s">
        <v>32</v>
      </c>
      <c r="C787" t="s">
        <v>99</v>
      </c>
      <c r="D787" t="s">
        <v>16</v>
      </c>
    </row>
    <row r="788" spans="1:4" x14ac:dyDescent="0.35">
      <c r="A788" t="s">
        <v>76</v>
      </c>
    </row>
    <row r="789" spans="1:4" x14ac:dyDescent="0.35">
      <c r="A789" t="s">
        <v>410</v>
      </c>
    </row>
    <row r="790" spans="1:4" x14ac:dyDescent="0.35">
      <c r="A790" t="s">
        <v>411</v>
      </c>
    </row>
    <row r="791" spans="1:4" x14ac:dyDescent="0.35">
      <c r="A791" t="s">
        <v>58</v>
      </c>
    </row>
    <row r="792" spans="1:4" x14ac:dyDescent="0.35">
      <c r="A792" t="s">
        <v>412</v>
      </c>
    </row>
    <row r="793" spans="1:4" x14ac:dyDescent="0.35">
      <c r="A793" t="s">
        <v>413</v>
      </c>
      <c r="B793" t="s">
        <v>24</v>
      </c>
      <c r="C793" t="s">
        <v>99</v>
      </c>
      <c r="D793" t="s">
        <v>16</v>
      </c>
    </row>
    <row r="794" spans="1:4" x14ac:dyDescent="0.35">
      <c r="A794" t="s">
        <v>73</v>
      </c>
      <c r="B794" t="s">
        <v>143</v>
      </c>
    </row>
    <row r="795" spans="1:4" x14ac:dyDescent="0.35">
      <c r="A795" t="s">
        <v>414</v>
      </c>
    </row>
    <row r="796" spans="1:4" x14ac:dyDescent="0.35">
      <c r="A796" t="s">
        <v>58</v>
      </c>
    </row>
    <row r="797" spans="1:4" x14ac:dyDescent="0.35">
      <c r="A797" t="s">
        <v>415</v>
      </c>
    </row>
    <row r="798" spans="1:4" x14ac:dyDescent="0.35">
      <c r="A798" t="s">
        <v>416</v>
      </c>
      <c r="B798" t="s">
        <v>52</v>
      </c>
      <c r="C798" t="s">
        <v>99</v>
      </c>
      <c r="D798" t="s">
        <v>16</v>
      </c>
    </row>
    <row r="799" spans="1:4" x14ac:dyDescent="0.35">
      <c r="A799" t="s">
        <v>63</v>
      </c>
    </row>
    <row r="801" spans="1:4" x14ac:dyDescent="0.35">
      <c r="A801" t="s">
        <v>417</v>
      </c>
    </row>
    <row r="802" spans="1:4" x14ac:dyDescent="0.35">
      <c r="A802" t="s">
        <v>418</v>
      </c>
    </row>
    <row r="803" spans="1:4" x14ac:dyDescent="0.35">
      <c r="A803" t="s">
        <v>123</v>
      </c>
    </row>
    <row r="804" spans="1:4" x14ac:dyDescent="0.35">
      <c r="A804" t="s">
        <v>31</v>
      </c>
      <c r="B804" t="s">
        <v>36</v>
      </c>
      <c r="C804" t="s">
        <v>33</v>
      </c>
      <c r="D804" t="s">
        <v>16</v>
      </c>
    </row>
    <row r="805" spans="1:4" x14ac:dyDescent="0.35">
      <c r="A805" t="s">
        <v>419</v>
      </c>
    </row>
    <row r="806" spans="1:4" x14ac:dyDescent="0.35">
      <c r="A806" t="s">
        <v>420</v>
      </c>
      <c r="B806" t="s">
        <v>54</v>
      </c>
      <c r="C806" t="s">
        <v>108</v>
      </c>
    </row>
    <row r="807" spans="1:4" x14ac:dyDescent="0.35">
      <c r="A807" t="s">
        <v>110</v>
      </c>
      <c r="B807" t="s">
        <v>41</v>
      </c>
      <c r="C807" t="s">
        <v>33</v>
      </c>
      <c r="D807" t="s">
        <v>16</v>
      </c>
    </row>
    <row r="808" spans="1:4" x14ac:dyDescent="0.35">
      <c r="A808" t="s">
        <v>421</v>
      </c>
    </row>
    <row r="809" spans="1:4" x14ac:dyDescent="0.35">
      <c r="A809" t="s">
        <v>34</v>
      </c>
    </row>
    <row r="810" spans="1:4" x14ac:dyDescent="0.35">
      <c r="A810" t="s">
        <v>422</v>
      </c>
    </row>
    <row r="811" spans="1:4" x14ac:dyDescent="0.35">
      <c r="A811" t="s">
        <v>423</v>
      </c>
      <c r="B811" t="s">
        <v>95</v>
      </c>
      <c r="C811" t="s">
        <v>37</v>
      </c>
    </row>
    <row r="812" spans="1:4" x14ac:dyDescent="0.35">
      <c r="A812" t="s">
        <v>110</v>
      </c>
      <c r="B812" t="s">
        <v>308</v>
      </c>
      <c r="C812" t="s">
        <v>33</v>
      </c>
      <c r="D812" t="s">
        <v>16</v>
      </c>
    </row>
    <row r="813" spans="1:4" x14ac:dyDescent="0.35">
      <c r="A813" t="s">
        <v>144</v>
      </c>
    </row>
    <row r="814" spans="1:4" x14ac:dyDescent="0.35">
      <c r="A814" t="s">
        <v>424</v>
      </c>
    </row>
    <row r="815" spans="1:4" x14ac:dyDescent="0.35">
      <c r="A815" t="s">
        <v>425</v>
      </c>
    </row>
    <row r="816" spans="1:4" x14ac:dyDescent="0.35">
      <c r="A816" t="s">
        <v>426</v>
      </c>
    </row>
    <row r="817" spans="1:4" x14ac:dyDescent="0.35">
      <c r="A817" t="s">
        <v>58</v>
      </c>
    </row>
    <row r="818" spans="1:4" x14ac:dyDescent="0.35">
      <c r="A818" t="s">
        <v>427</v>
      </c>
    </row>
    <row r="819" spans="1:4" x14ac:dyDescent="0.35">
      <c r="A819" t="s">
        <v>428</v>
      </c>
      <c r="B819" t="s">
        <v>48</v>
      </c>
      <c r="C819" t="s">
        <v>99</v>
      </c>
      <c r="D819" t="s">
        <v>16</v>
      </c>
    </row>
    <row r="820" spans="1:4" x14ac:dyDescent="0.35">
      <c r="A820" t="s">
        <v>63</v>
      </c>
    </row>
    <row r="822" spans="1:4" x14ac:dyDescent="0.35">
      <c r="A822" t="s">
        <v>429</v>
      </c>
    </row>
    <row r="823" spans="1:4" x14ac:dyDescent="0.35">
      <c r="A823" t="s">
        <v>430</v>
      </c>
    </row>
    <row r="824" spans="1:4" x14ac:dyDescent="0.35">
      <c r="A824" t="s">
        <v>83</v>
      </c>
    </row>
    <row r="825" spans="1:4" x14ac:dyDescent="0.35">
      <c r="A825" t="s">
        <v>145</v>
      </c>
    </row>
    <row r="826" spans="1:4" x14ac:dyDescent="0.35">
      <c r="A826" t="s">
        <v>336</v>
      </c>
    </row>
    <row r="827" spans="1:4" x14ac:dyDescent="0.35">
      <c r="A827" t="s">
        <v>431</v>
      </c>
      <c r="B827" t="s">
        <v>14</v>
      </c>
      <c r="C827" t="s">
        <v>339</v>
      </c>
    </row>
    <row r="828" spans="1:4" x14ac:dyDescent="0.35">
      <c r="A828" t="s">
        <v>123</v>
      </c>
    </row>
    <row r="829" spans="1:4" x14ac:dyDescent="0.35">
      <c r="A829" t="s">
        <v>58</v>
      </c>
    </row>
    <row r="830" spans="1:4" x14ac:dyDescent="0.35">
      <c r="A830" t="s">
        <v>387</v>
      </c>
      <c r="B830" t="s">
        <v>24</v>
      </c>
      <c r="C830" t="s">
        <v>99</v>
      </c>
      <c r="D830" t="s">
        <v>16</v>
      </c>
    </row>
    <row r="831" spans="1:4" x14ac:dyDescent="0.35">
      <c r="A831" t="s">
        <v>26</v>
      </c>
    </row>
    <row r="832" spans="1:4" x14ac:dyDescent="0.35">
      <c r="A832" t="s">
        <v>432</v>
      </c>
      <c r="B832" t="s">
        <v>24</v>
      </c>
      <c r="C832" t="s">
        <v>21</v>
      </c>
      <c r="D832" t="s">
        <v>16</v>
      </c>
    </row>
    <row r="833" spans="1:4" x14ac:dyDescent="0.35">
      <c r="A833" t="s">
        <v>433</v>
      </c>
    </row>
    <row r="834" spans="1:4" x14ac:dyDescent="0.35">
      <c r="A834" t="s">
        <v>76</v>
      </c>
    </row>
    <row r="835" spans="1:4" x14ac:dyDescent="0.35">
      <c r="A835" t="s">
        <v>434</v>
      </c>
      <c r="B835" t="s">
        <v>24</v>
      </c>
      <c r="C835" t="s">
        <v>21</v>
      </c>
      <c r="D835" t="s">
        <v>16</v>
      </c>
    </row>
    <row r="836" spans="1:4" x14ac:dyDescent="0.35">
      <c r="A836" t="s">
        <v>63</v>
      </c>
    </row>
    <row r="838" spans="1:4" x14ac:dyDescent="0.35">
      <c r="A838" t="s">
        <v>435</v>
      </c>
    </row>
    <row r="839" spans="1:4" x14ac:dyDescent="0.35">
      <c r="A839" t="s">
        <v>436</v>
      </c>
      <c r="B839" t="s">
        <v>14</v>
      </c>
      <c r="C839" t="s">
        <v>33</v>
      </c>
      <c r="D839" t="s">
        <v>16</v>
      </c>
    </row>
    <row r="840" spans="1:4" x14ac:dyDescent="0.35">
      <c r="A840" t="s">
        <v>437</v>
      </c>
    </row>
    <row r="841" spans="1:4" x14ac:dyDescent="0.35">
      <c r="A841" t="s">
        <v>159</v>
      </c>
    </row>
    <row r="842" spans="1:4" x14ac:dyDescent="0.35">
      <c r="A842" t="s">
        <v>60</v>
      </c>
      <c r="B842" t="s">
        <v>20</v>
      </c>
      <c r="C842" t="s">
        <v>49</v>
      </c>
      <c r="D842" t="s">
        <v>16</v>
      </c>
    </row>
    <row r="843" spans="1:4" x14ac:dyDescent="0.35">
      <c r="A843" t="s">
        <v>438</v>
      </c>
      <c r="B843" t="s">
        <v>24</v>
      </c>
      <c r="C843" t="s">
        <v>15</v>
      </c>
      <c r="D843" t="s">
        <v>16</v>
      </c>
    </row>
    <row r="844" spans="1:4" x14ac:dyDescent="0.35">
      <c r="A844" t="s">
        <v>439</v>
      </c>
    </row>
    <row r="845" spans="1:4" x14ac:dyDescent="0.35">
      <c r="A845" t="s">
        <v>176</v>
      </c>
      <c r="B845" t="s">
        <v>54</v>
      </c>
      <c r="C845" t="s">
        <v>33</v>
      </c>
      <c r="D845" t="s">
        <v>16</v>
      </c>
    </row>
    <row r="846" spans="1:4" x14ac:dyDescent="0.35">
      <c r="A846" t="s">
        <v>169</v>
      </c>
    </row>
    <row r="847" spans="1:4" x14ac:dyDescent="0.35">
      <c r="A847" t="s">
        <v>170</v>
      </c>
    </row>
    <row r="848" spans="1:4" x14ac:dyDescent="0.35">
      <c r="A848" t="s">
        <v>171</v>
      </c>
      <c r="B848" t="s">
        <v>54</v>
      </c>
      <c r="C848" t="s">
        <v>172</v>
      </c>
    </row>
    <row r="849" spans="1:4" x14ac:dyDescent="0.35">
      <c r="A849" t="s">
        <v>17</v>
      </c>
    </row>
    <row r="850" spans="1:4" x14ac:dyDescent="0.35">
      <c r="A850" t="s">
        <v>58</v>
      </c>
    </row>
    <row r="851" spans="1:4" x14ac:dyDescent="0.35">
      <c r="A851" t="s">
        <v>301</v>
      </c>
    </row>
    <row r="852" spans="1:4" x14ac:dyDescent="0.35">
      <c r="A852" t="s">
        <v>440</v>
      </c>
      <c r="B852" t="s">
        <v>24</v>
      </c>
      <c r="C852" t="s">
        <v>99</v>
      </c>
      <c r="D852" t="s">
        <v>16</v>
      </c>
    </row>
    <row r="853" spans="1:4" x14ac:dyDescent="0.35">
      <c r="A853" t="s">
        <v>63</v>
      </c>
    </row>
    <row r="855" spans="1:4" x14ac:dyDescent="0.35">
      <c r="A855" t="s">
        <v>441</v>
      </c>
    </row>
    <row r="856" spans="1:4" x14ac:dyDescent="0.35">
      <c r="A856" t="s">
        <v>442</v>
      </c>
      <c r="B856" t="s">
        <v>14</v>
      </c>
      <c r="C856" t="s">
        <v>15</v>
      </c>
      <c r="D856" t="s">
        <v>16</v>
      </c>
    </row>
    <row r="857" spans="1:4" x14ac:dyDescent="0.35">
      <c r="A857" t="s">
        <v>17</v>
      </c>
    </row>
    <row r="858" spans="1:4" x14ac:dyDescent="0.35">
      <c r="A858" t="s">
        <v>405</v>
      </c>
      <c r="B858" t="s">
        <v>24</v>
      </c>
      <c r="C858" t="s">
        <v>33</v>
      </c>
      <c r="D858" t="s">
        <v>16</v>
      </c>
    </row>
    <row r="859" spans="1:4" x14ac:dyDescent="0.35">
      <c r="A859" t="s">
        <v>83</v>
      </c>
    </row>
    <row r="860" spans="1:4" x14ac:dyDescent="0.35">
      <c r="A860" t="s">
        <v>443</v>
      </c>
    </row>
    <row r="861" spans="1:4" x14ac:dyDescent="0.35">
      <c r="A861" t="s">
        <v>444</v>
      </c>
      <c r="B861" t="s">
        <v>32</v>
      </c>
      <c r="C861" t="s">
        <v>108</v>
      </c>
    </row>
    <row r="862" spans="1:4" x14ac:dyDescent="0.35">
      <c r="A862" t="s">
        <v>26</v>
      </c>
    </row>
    <row r="863" spans="1:4" x14ac:dyDescent="0.35">
      <c r="A863" t="s">
        <v>76</v>
      </c>
    </row>
    <row r="864" spans="1:4" x14ac:dyDescent="0.35">
      <c r="A864" t="s">
        <v>445</v>
      </c>
      <c r="B864" t="s">
        <v>36</v>
      </c>
      <c r="C864" t="s">
        <v>108</v>
      </c>
    </row>
    <row r="865" spans="1:4" x14ac:dyDescent="0.35">
      <c r="A865" t="s">
        <v>76</v>
      </c>
    </row>
    <row r="866" spans="1:4" x14ac:dyDescent="0.35">
      <c r="A866" t="s">
        <v>446</v>
      </c>
      <c r="B866" t="s">
        <v>20</v>
      </c>
      <c r="C866" t="s">
        <v>108</v>
      </c>
    </row>
    <row r="867" spans="1:4" x14ac:dyDescent="0.35">
      <c r="A867" t="s">
        <v>83</v>
      </c>
    </row>
    <row r="868" spans="1:4" x14ac:dyDescent="0.35">
      <c r="A868" t="s">
        <v>123</v>
      </c>
    </row>
    <row r="869" spans="1:4" x14ac:dyDescent="0.35">
      <c r="A869" t="s">
        <v>128</v>
      </c>
      <c r="B869" t="s">
        <v>54</v>
      </c>
      <c r="C869" t="s">
        <v>15</v>
      </c>
      <c r="D869" t="s">
        <v>16</v>
      </c>
    </row>
    <row r="870" spans="1:4" x14ac:dyDescent="0.35">
      <c r="A870" t="s">
        <v>17</v>
      </c>
    </row>
    <row r="871" spans="1:4" x14ac:dyDescent="0.35">
      <c r="A871" t="s">
        <v>405</v>
      </c>
      <c r="B871" t="s">
        <v>24</v>
      </c>
      <c r="C871" t="s">
        <v>33</v>
      </c>
      <c r="D871" t="s">
        <v>16</v>
      </c>
    </row>
    <row r="872" spans="1:4" x14ac:dyDescent="0.35">
      <c r="A872" t="s">
        <v>63</v>
      </c>
    </row>
    <row r="874" spans="1:4" x14ac:dyDescent="0.35">
      <c r="A874" t="s">
        <v>447</v>
      </c>
    </row>
    <row r="875" spans="1:4" x14ac:dyDescent="0.35">
      <c r="A875" t="s">
        <v>434</v>
      </c>
      <c r="B875" t="s">
        <v>14</v>
      </c>
      <c r="C875" t="s">
        <v>21</v>
      </c>
      <c r="D875" t="s">
        <v>16</v>
      </c>
    </row>
    <row r="876" spans="1:4" x14ac:dyDescent="0.35">
      <c r="A876" t="s">
        <v>42</v>
      </c>
    </row>
    <row r="877" spans="1:4" x14ac:dyDescent="0.35">
      <c r="A877" t="s">
        <v>448</v>
      </c>
    </row>
    <row r="878" spans="1:4" x14ac:dyDescent="0.35">
      <c r="A878" t="s">
        <v>159</v>
      </c>
    </row>
    <row r="879" spans="1:4" x14ac:dyDescent="0.35">
      <c r="A879" t="s">
        <v>449</v>
      </c>
      <c r="B879" t="s">
        <v>54</v>
      </c>
      <c r="C879" t="s">
        <v>108</v>
      </c>
    </row>
    <row r="880" spans="1:4" x14ac:dyDescent="0.35">
      <c r="A880" t="s">
        <v>26</v>
      </c>
    </row>
    <row r="881" spans="1:4" x14ac:dyDescent="0.35">
      <c r="A881" t="s">
        <v>115</v>
      </c>
    </row>
    <row r="882" spans="1:4" x14ac:dyDescent="0.35">
      <c r="A882" t="s">
        <v>58</v>
      </c>
    </row>
    <row r="883" spans="1:4" x14ac:dyDescent="0.35">
      <c r="A883" t="s">
        <v>450</v>
      </c>
      <c r="B883" t="s">
        <v>36</v>
      </c>
      <c r="C883" t="s">
        <v>99</v>
      </c>
      <c r="D883" t="s">
        <v>16</v>
      </c>
    </row>
    <row r="884" spans="1:4" x14ac:dyDescent="0.35">
      <c r="A884" t="s">
        <v>451</v>
      </c>
    </row>
    <row r="885" spans="1:4" x14ac:dyDescent="0.35">
      <c r="A885" t="s">
        <v>452</v>
      </c>
      <c r="B885" t="s">
        <v>91</v>
      </c>
      <c r="C885" t="s">
        <v>108</v>
      </c>
    </row>
    <row r="886" spans="1:4" x14ac:dyDescent="0.35">
      <c r="A886" t="s">
        <v>76</v>
      </c>
    </row>
    <row r="887" spans="1:4" x14ac:dyDescent="0.35">
      <c r="A887" t="s">
        <v>453</v>
      </c>
      <c r="B887" t="s">
        <v>20</v>
      </c>
      <c r="C887" t="s">
        <v>108</v>
      </c>
    </row>
    <row r="888" spans="1:4" x14ac:dyDescent="0.35">
      <c r="A888" t="s">
        <v>63</v>
      </c>
    </row>
    <row r="890" spans="1:4" x14ac:dyDescent="0.35">
      <c r="A890" t="s">
        <v>454</v>
      </c>
    </row>
    <row r="891" spans="1:4" x14ac:dyDescent="0.35">
      <c r="A891" t="s">
        <v>455</v>
      </c>
    </row>
    <row r="892" spans="1:4" x14ac:dyDescent="0.35">
      <c r="A892" t="s">
        <v>58</v>
      </c>
    </row>
    <row r="893" spans="1:4" x14ac:dyDescent="0.35">
      <c r="A893" t="s">
        <v>456</v>
      </c>
      <c r="B893" t="s">
        <v>14</v>
      </c>
      <c r="C893" t="s">
        <v>15</v>
      </c>
      <c r="D893" t="s">
        <v>16</v>
      </c>
    </row>
    <row r="894" spans="1:4" x14ac:dyDescent="0.35">
      <c r="A894" t="s">
        <v>17</v>
      </c>
    </row>
    <row r="895" spans="1:4" x14ac:dyDescent="0.35">
      <c r="A895" t="s">
        <v>39</v>
      </c>
    </row>
    <row r="896" spans="1:4" x14ac:dyDescent="0.35">
      <c r="A896" t="s">
        <v>457</v>
      </c>
    </row>
    <row r="897" spans="1:4" x14ac:dyDescent="0.35">
      <c r="A897" t="s">
        <v>241</v>
      </c>
      <c r="B897" t="s">
        <v>24</v>
      </c>
      <c r="C897" t="s">
        <v>122</v>
      </c>
      <c r="D897" t="s">
        <v>16</v>
      </c>
    </row>
    <row r="898" spans="1:4" x14ac:dyDescent="0.35">
      <c r="A898" t="s">
        <v>458</v>
      </c>
    </row>
    <row r="899" spans="1:4" x14ac:dyDescent="0.35">
      <c r="A899" t="s">
        <v>58</v>
      </c>
    </row>
    <row r="900" spans="1:4" x14ac:dyDescent="0.35">
      <c r="A900" t="s">
        <v>459</v>
      </c>
    </row>
    <row r="901" spans="1:4" x14ac:dyDescent="0.35">
      <c r="A901" t="s">
        <v>262</v>
      </c>
    </row>
    <row r="902" spans="1:4" x14ac:dyDescent="0.35">
      <c r="A902" t="s">
        <v>460</v>
      </c>
    </row>
    <row r="903" spans="1:4" x14ac:dyDescent="0.35">
      <c r="A903" t="s">
        <v>178</v>
      </c>
      <c r="B903" t="s">
        <v>24</v>
      </c>
      <c r="C903" t="s">
        <v>99</v>
      </c>
      <c r="D903" t="s">
        <v>16</v>
      </c>
    </row>
    <row r="904" spans="1:4" x14ac:dyDescent="0.35">
      <c r="A904" t="s">
        <v>42</v>
      </c>
    </row>
    <row r="905" spans="1:4" x14ac:dyDescent="0.35">
      <c r="A905" t="s">
        <v>461</v>
      </c>
    </row>
    <row r="906" spans="1:4" x14ac:dyDescent="0.35">
      <c r="A906" t="s">
        <v>462</v>
      </c>
    </row>
    <row r="907" spans="1:4" x14ac:dyDescent="0.35">
      <c r="A907" t="s">
        <v>164</v>
      </c>
    </row>
    <row r="908" spans="1:4" x14ac:dyDescent="0.35">
      <c r="A908" t="s">
        <v>47</v>
      </c>
      <c r="B908" t="s">
        <v>24</v>
      </c>
      <c r="C908" t="s">
        <v>49</v>
      </c>
      <c r="D908" t="s">
        <v>16</v>
      </c>
    </row>
    <row r="909" spans="1:4" x14ac:dyDescent="0.35">
      <c r="A909" t="s">
        <v>463</v>
      </c>
      <c r="B909" t="s">
        <v>54</v>
      </c>
      <c r="C909" t="s">
        <v>15</v>
      </c>
      <c r="D909" t="s">
        <v>16</v>
      </c>
    </row>
    <row r="910" spans="1:4" x14ac:dyDescent="0.35">
      <c r="A910" t="s">
        <v>63</v>
      </c>
    </row>
    <row r="912" spans="1:4" x14ac:dyDescent="0.35">
      <c r="A912" t="s">
        <v>464</v>
      </c>
    </row>
    <row r="913" spans="1:4" x14ac:dyDescent="0.35">
      <c r="A913" t="s">
        <v>257</v>
      </c>
    </row>
    <row r="914" spans="1:4" x14ac:dyDescent="0.35">
      <c r="A914" t="s">
        <v>110</v>
      </c>
      <c r="B914" t="s">
        <v>14</v>
      </c>
      <c r="C914" t="s">
        <v>33</v>
      </c>
      <c r="D914" t="s">
        <v>16</v>
      </c>
    </row>
    <row r="915" spans="1:4" x14ac:dyDescent="0.35">
      <c r="A915" t="s">
        <v>406</v>
      </c>
    </row>
    <row r="916" spans="1:4" x14ac:dyDescent="0.35">
      <c r="A916" t="s">
        <v>405</v>
      </c>
      <c r="B916" t="s">
        <v>32</v>
      </c>
      <c r="C916" t="s">
        <v>33</v>
      </c>
      <c r="D916" t="s">
        <v>16</v>
      </c>
    </row>
    <row r="917" spans="1:4" x14ac:dyDescent="0.35">
      <c r="A917" t="s">
        <v>434</v>
      </c>
      <c r="B917" t="s">
        <v>36</v>
      </c>
      <c r="C917" t="s">
        <v>21</v>
      </c>
      <c r="D917" t="s">
        <v>16</v>
      </c>
    </row>
    <row r="918" spans="1:4" x14ac:dyDescent="0.35">
      <c r="A918" t="s">
        <v>465</v>
      </c>
    </row>
    <row r="919" spans="1:4" x14ac:dyDescent="0.35">
      <c r="A919" t="s">
        <v>76</v>
      </c>
    </row>
    <row r="920" spans="1:4" x14ac:dyDescent="0.35">
      <c r="A920" t="s">
        <v>466</v>
      </c>
    </row>
    <row r="921" spans="1:4" x14ac:dyDescent="0.35">
      <c r="A921" t="s">
        <v>58</v>
      </c>
    </row>
    <row r="922" spans="1:4" x14ac:dyDescent="0.35">
      <c r="A922" t="s">
        <v>387</v>
      </c>
      <c r="B922" t="s">
        <v>91</v>
      </c>
      <c r="C922" t="s">
        <v>99</v>
      </c>
      <c r="D922" t="s">
        <v>16</v>
      </c>
    </row>
    <row r="923" spans="1:4" x14ac:dyDescent="0.35">
      <c r="A923" t="s">
        <v>26</v>
      </c>
    </row>
    <row r="924" spans="1:4" x14ac:dyDescent="0.35">
      <c r="A924" t="s">
        <v>239</v>
      </c>
    </row>
    <row r="925" spans="1:4" x14ac:dyDescent="0.35">
      <c r="A925" t="s">
        <v>432</v>
      </c>
      <c r="B925" t="s">
        <v>36</v>
      </c>
      <c r="C925" t="s">
        <v>21</v>
      </c>
      <c r="D925" t="s">
        <v>16</v>
      </c>
    </row>
    <row r="926" spans="1:4" x14ac:dyDescent="0.35">
      <c r="A926" t="s">
        <v>433</v>
      </c>
    </row>
    <row r="927" spans="1:4" x14ac:dyDescent="0.35">
      <c r="A927" t="s">
        <v>467</v>
      </c>
    </row>
    <row r="928" spans="1:4" x14ac:dyDescent="0.35">
      <c r="A928" t="s">
        <v>47</v>
      </c>
      <c r="B928" t="s">
        <v>20</v>
      </c>
      <c r="C928" t="s">
        <v>49</v>
      </c>
      <c r="D928" t="s">
        <v>16</v>
      </c>
    </row>
    <row r="929" spans="1:4" x14ac:dyDescent="0.35">
      <c r="A929" t="s">
        <v>468</v>
      </c>
      <c r="B929" t="s">
        <v>91</v>
      </c>
      <c r="C929" t="s">
        <v>15</v>
      </c>
      <c r="D929" t="s">
        <v>16</v>
      </c>
    </row>
    <row r="930" spans="1:4" x14ac:dyDescent="0.35">
      <c r="A930" t="s">
        <v>180</v>
      </c>
    </row>
    <row r="931" spans="1:4" x14ac:dyDescent="0.35">
      <c r="A931" t="s">
        <v>76</v>
      </c>
    </row>
    <row r="932" spans="1:4" x14ac:dyDescent="0.35">
      <c r="A932" t="s">
        <v>469</v>
      </c>
    </row>
    <row r="933" spans="1:4" x14ac:dyDescent="0.35">
      <c r="A933" t="s">
        <v>177</v>
      </c>
    </row>
    <row r="934" spans="1:4" x14ac:dyDescent="0.35">
      <c r="A934" t="s">
        <v>123</v>
      </c>
    </row>
    <row r="935" spans="1:4" x14ac:dyDescent="0.35">
      <c r="A935" t="s">
        <v>47</v>
      </c>
      <c r="B935" t="s">
        <v>56</v>
      </c>
      <c r="C935" t="s">
        <v>49</v>
      </c>
      <c r="D935" t="s">
        <v>16</v>
      </c>
    </row>
    <row r="936" spans="1:4" x14ac:dyDescent="0.35">
      <c r="A936" t="s">
        <v>470</v>
      </c>
      <c r="B936" t="s">
        <v>20</v>
      </c>
      <c r="C936" t="s">
        <v>15</v>
      </c>
      <c r="D936" t="s">
        <v>16</v>
      </c>
    </row>
    <row r="937" spans="1:4" x14ac:dyDescent="0.35">
      <c r="A937" t="s">
        <v>26</v>
      </c>
    </row>
    <row r="938" spans="1:4" x14ac:dyDescent="0.35">
      <c r="A938" t="s">
        <v>471</v>
      </c>
    </row>
    <row r="939" spans="1:4" x14ac:dyDescent="0.35">
      <c r="A939" t="s">
        <v>131</v>
      </c>
    </row>
    <row r="940" spans="1:4" x14ac:dyDescent="0.35">
      <c r="A940" t="s">
        <v>47</v>
      </c>
      <c r="B940" t="s">
        <v>56</v>
      </c>
      <c r="C940" t="s">
        <v>49</v>
      </c>
      <c r="D940" t="s">
        <v>16</v>
      </c>
    </row>
    <row r="941" spans="1:4" x14ac:dyDescent="0.35">
      <c r="A941" t="s">
        <v>472</v>
      </c>
      <c r="B941" t="s">
        <v>20</v>
      </c>
      <c r="C941" t="s">
        <v>15</v>
      </c>
      <c r="D941" t="s">
        <v>16</v>
      </c>
    </row>
    <row r="942" spans="1:4" x14ac:dyDescent="0.35">
      <c r="A942" t="s">
        <v>63</v>
      </c>
    </row>
    <row r="944" spans="1:4" x14ac:dyDescent="0.35">
      <c r="A944" t="s">
        <v>473</v>
      </c>
    </row>
    <row r="945" spans="1:4" x14ac:dyDescent="0.35">
      <c r="A945" t="s">
        <v>110</v>
      </c>
      <c r="B945" t="s">
        <v>14</v>
      </c>
      <c r="C945" t="s">
        <v>33</v>
      </c>
      <c r="D945" t="s">
        <v>16</v>
      </c>
    </row>
    <row r="946" spans="1:4" x14ac:dyDescent="0.35">
      <c r="A946" t="s">
        <v>474</v>
      </c>
    </row>
    <row r="947" spans="1:4" x14ac:dyDescent="0.35">
      <c r="A947" t="s">
        <v>58</v>
      </c>
    </row>
    <row r="948" spans="1:4" x14ac:dyDescent="0.35">
      <c r="A948" t="s">
        <v>475</v>
      </c>
      <c r="B948" t="s">
        <v>32</v>
      </c>
      <c r="C948" t="s">
        <v>99</v>
      </c>
      <c r="D948" t="s">
        <v>16</v>
      </c>
    </row>
    <row r="949" spans="1:4" x14ac:dyDescent="0.35">
      <c r="A949" t="s">
        <v>17</v>
      </c>
    </row>
    <row r="950" spans="1:4" x14ac:dyDescent="0.35">
      <c r="A950" t="s">
        <v>34</v>
      </c>
    </row>
    <row r="951" spans="1:4" x14ac:dyDescent="0.35">
      <c r="A951" t="s">
        <v>226</v>
      </c>
      <c r="B951" t="s">
        <v>24</v>
      </c>
      <c r="C951" t="s">
        <v>37</v>
      </c>
    </row>
    <row r="952" spans="1:4" x14ac:dyDescent="0.35">
      <c r="A952" t="s">
        <v>76</v>
      </c>
    </row>
    <row r="953" spans="1:4" x14ac:dyDescent="0.35">
      <c r="A953" t="s">
        <v>58</v>
      </c>
    </row>
    <row r="954" spans="1:4" x14ac:dyDescent="0.35">
      <c r="A954" t="s">
        <v>476</v>
      </c>
    </row>
    <row r="955" spans="1:4" x14ac:dyDescent="0.35">
      <c r="A955" t="s">
        <v>477</v>
      </c>
      <c r="B955" t="s">
        <v>24</v>
      </c>
      <c r="C955" t="s">
        <v>99</v>
      </c>
      <c r="D955" t="s">
        <v>16</v>
      </c>
    </row>
    <row r="956" spans="1:4" x14ac:dyDescent="0.35">
      <c r="A956" t="s">
        <v>17</v>
      </c>
    </row>
    <row r="957" spans="1:4" x14ac:dyDescent="0.35">
      <c r="A957" t="s">
        <v>478</v>
      </c>
      <c r="B957" t="s">
        <v>20</v>
      </c>
      <c r="C957" t="s">
        <v>108</v>
      </c>
    </row>
    <row r="958" spans="1:4" x14ac:dyDescent="0.35">
      <c r="A958" t="s">
        <v>164</v>
      </c>
    </row>
    <row r="959" spans="1:4" x14ac:dyDescent="0.35">
      <c r="A959" t="s">
        <v>479</v>
      </c>
      <c r="B959" t="s">
        <v>56</v>
      </c>
      <c r="C959" t="s">
        <v>108</v>
      </c>
    </row>
    <row r="960" spans="1:4" x14ac:dyDescent="0.35">
      <c r="A960" t="s">
        <v>63</v>
      </c>
    </row>
    <row r="962" spans="1:4" x14ac:dyDescent="0.35">
      <c r="A962" t="s">
        <v>480</v>
      </c>
    </row>
    <row r="963" spans="1:4" x14ac:dyDescent="0.35">
      <c r="A963" t="s">
        <v>97</v>
      </c>
    </row>
    <row r="964" spans="1:4" x14ac:dyDescent="0.35">
      <c r="A964" t="s">
        <v>481</v>
      </c>
      <c r="B964" t="s">
        <v>14</v>
      </c>
      <c r="C964" t="s">
        <v>99</v>
      </c>
      <c r="D964" t="s">
        <v>16</v>
      </c>
    </row>
    <row r="965" spans="1:4" x14ac:dyDescent="0.35">
      <c r="A965" t="s">
        <v>213</v>
      </c>
    </row>
    <row r="966" spans="1:4" x14ac:dyDescent="0.35">
      <c r="A966" t="s">
        <v>331</v>
      </c>
    </row>
    <row r="967" spans="1:4" x14ac:dyDescent="0.35">
      <c r="A967" t="s">
        <v>58</v>
      </c>
    </row>
    <row r="968" spans="1:4" x14ac:dyDescent="0.35">
      <c r="A968" t="s">
        <v>409</v>
      </c>
      <c r="B968" t="s">
        <v>54</v>
      </c>
      <c r="C968" t="s">
        <v>99</v>
      </c>
      <c r="D968" t="s">
        <v>16</v>
      </c>
    </row>
    <row r="969" spans="1:4" x14ac:dyDescent="0.35">
      <c r="A969" t="s">
        <v>169</v>
      </c>
    </row>
    <row r="970" spans="1:4" x14ac:dyDescent="0.35">
      <c r="A970" t="s">
        <v>58</v>
      </c>
    </row>
    <row r="971" spans="1:4" x14ac:dyDescent="0.35">
      <c r="A971" t="s">
        <v>54</v>
      </c>
    </row>
    <row r="972" spans="1:4" x14ac:dyDescent="0.35">
      <c r="A972" t="s">
        <v>171</v>
      </c>
      <c r="B972" t="s">
        <v>24</v>
      </c>
      <c r="C972" t="s">
        <v>482</v>
      </c>
      <c r="D972" t="s">
        <v>16</v>
      </c>
    </row>
    <row r="973" spans="1:4" x14ac:dyDescent="0.35">
      <c r="A973" t="s">
        <v>17</v>
      </c>
    </row>
    <row r="974" spans="1:4" x14ac:dyDescent="0.35">
      <c r="A974" t="s">
        <v>58</v>
      </c>
    </row>
    <row r="975" spans="1:4" x14ac:dyDescent="0.35">
      <c r="A975" t="s">
        <v>413</v>
      </c>
      <c r="B975" t="s">
        <v>20</v>
      </c>
      <c r="C975" t="s">
        <v>99</v>
      </c>
      <c r="D975" t="s">
        <v>16</v>
      </c>
    </row>
    <row r="976" spans="1:4" x14ac:dyDescent="0.35">
      <c r="A976" t="s">
        <v>114</v>
      </c>
    </row>
    <row r="977" spans="1:4" x14ac:dyDescent="0.35">
      <c r="A977" t="s">
        <v>73</v>
      </c>
    </row>
    <row r="978" spans="1:4" x14ac:dyDescent="0.35">
      <c r="A978" t="s">
        <v>110</v>
      </c>
      <c r="B978" t="s">
        <v>36</v>
      </c>
      <c r="C978" t="s">
        <v>33</v>
      </c>
      <c r="D978" t="s">
        <v>16</v>
      </c>
    </row>
    <row r="979" spans="1:4" x14ac:dyDescent="0.35">
      <c r="A979" t="s">
        <v>483</v>
      </c>
    </row>
    <row r="980" spans="1:4" x14ac:dyDescent="0.35">
      <c r="A980" t="s">
        <v>63</v>
      </c>
    </row>
    <row r="982" spans="1:4" x14ac:dyDescent="0.35">
      <c r="A982" t="s">
        <v>484</v>
      </c>
    </row>
    <row r="983" spans="1:4" x14ac:dyDescent="0.35">
      <c r="A983" t="s">
        <v>485</v>
      </c>
    </row>
    <row r="984" spans="1:4" x14ac:dyDescent="0.35">
      <c r="A984" t="s">
        <v>310</v>
      </c>
    </row>
    <row r="985" spans="1:4" x14ac:dyDescent="0.35">
      <c r="A985" t="s">
        <v>26</v>
      </c>
    </row>
    <row r="986" spans="1:4" x14ac:dyDescent="0.35">
      <c r="A986" t="s">
        <v>110</v>
      </c>
      <c r="B986" t="s">
        <v>14</v>
      </c>
      <c r="C986" t="s">
        <v>33</v>
      </c>
      <c r="D986" t="s">
        <v>16</v>
      </c>
    </row>
    <row r="987" spans="1:4" x14ac:dyDescent="0.35">
      <c r="A987" t="s">
        <v>486</v>
      </c>
    </row>
    <row r="988" spans="1:4" x14ac:dyDescent="0.35">
      <c r="A988" t="s">
        <v>58</v>
      </c>
    </row>
    <row r="989" spans="1:4" x14ac:dyDescent="0.35">
      <c r="A989" t="s">
        <v>487</v>
      </c>
    </row>
    <row r="990" spans="1:4" x14ac:dyDescent="0.35">
      <c r="A990" t="s">
        <v>488</v>
      </c>
      <c r="B990" t="s">
        <v>32</v>
      </c>
      <c r="C990" t="s">
        <v>99</v>
      </c>
      <c r="D990" t="s">
        <v>16</v>
      </c>
    </row>
    <row r="991" spans="1:4" x14ac:dyDescent="0.35">
      <c r="A991" t="s">
        <v>131</v>
      </c>
    </row>
    <row r="992" spans="1:4" x14ac:dyDescent="0.35">
      <c r="A992" t="s">
        <v>58</v>
      </c>
    </row>
    <row r="993" spans="1:4" x14ac:dyDescent="0.35">
      <c r="A993" t="s">
        <v>226</v>
      </c>
      <c r="B993" t="s">
        <v>54</v>
      </c>
      <c r="C993" t="s">
        <v>99</v>
      </c>
      <c r="D993" t="s">
        <v>16</v>
      </c>
    </row>
    <row r="994" spans="1:4" x14ac:dyDescent="0.35">
      <c r="A994" t="s">
        <v>17</v>
      </c>
    </row>
    <row r="995" spans="1:4" x14ac:dyDescent="0.35">
      <c r="A995" t="s">
        <v>348</v>
      </c>
    </row>
    <row r="996" spans="1:4" x14ac:dyDescent="0.35">
      <c r="A996" t="s">
        <v>489</v>
      </c>
    </row>
    <row r="997" spans="1:4" x14ac:dyDescent="0.35">
      <c r="A997" t="s">
        <v>262</v>
      </c>
    </row>
    <row r="998" spans="1:4" x14ac:dyDescent="0.35">
      <c r="A998" t="s">
        <v>215</v>
      </c>
      <c r="B998" t="s">
        <v>24</v>
      </c>
      <c r="C998" t="s">
        <v>37</v>
      </c>
    </row>
    <row r="999" spans="1:4" x14ac:dyDescent="0.35">
      <c r="A999" t="s">
        <v>123</v>
      </c>
    </row>
    <row r="1000" spans="1:4" x14ac:dyDescent="0.35">
      <c r="A1000" t="s">
        <v>58</v>
      </c>
    </row>
    <row r="1001" spans="1:4" x14ac:dyDescent="0.35">
      <c r="A1001" t="s">
        <v>490</v>
      </c>
      <c r="B1001" t="s">
        <v>20</v>
      </c>
      <c r="C1001" t="s">
        <v>99</v>
      </c>
      <c r="D1001" t="s">
        <v>16</v>
      </c>
    </row>
    <row r="1002" spans="1:4" x14ac:dyDescent="0.35">
      <c r="A1002" t="s">
        <v>17</v>
      </c>
    </row>
    <row r="1003" spans="1:4" x14ac:dyDescent="0.35">
      <c r="A1003" t="s">
        <v>58</v>
      </c>
    </row>
    <row r="1004" spans="1:4" x14ac:dyDescent="0.35">
      <c r="A1004" t="s">
        <v>416</v>
      </c>
      <c r="B1004" t="s">
        <v>56</v>
      </c>
      <c r="C1004" t="s">
        <v>99</v>
      </c>
      <c r="D1004" t="s">
        <v>16</v>
      </c>
    </row>
    <row r="1005" spans="1:4" x14ac:dyDescent="0.35">
      <c r="A1005" t="s">
        <v>63</v>
      </c>
    </row>
    <row r="1007" spans="1:4" x14ac:dyDescent="0.35">
      <c r="A1007" t="s">
        <v>491</v>
      </c>
    </row>
    <row r="1008" spans="1:4" x14ac:dyDescent="0.35">
      <c r="A1008" t="s">
        <v>291</v>
      </c>
    </row>
    <row r="1009" spans="1:4" x14ac:dyDescent="0.35">
      <c r="A1009" t="s">
        <v>492</v>
      </c>
      <c r="B1009" t="s">
        <v>14</v>
      </c>
      <c r="C1009" t="s">
        <v>37</v>
      </c>
    </row>
    <row r="1010" spans="1:4" x14ac:dyDescent="0.35">
      <c r="A1010" t="s">
        <v>493</v>
      </c>
    </row>
    <row r="1011" spans="1:4" x14ac:dyDescent="0.35">
      <c r="A1011" t="s">
        <v>123</v>
      </c>
    </row>
    <row r="1012" spans="1:4" x14ac:dyDescent="0.35">
      <c r="A1012" t="s">
        <v>34</v>
      </c>
    </row>
    <row r="1013" spans="1:4" x14ac:dyDescent="0.35">
      <c r="A1013" t="s">
        <v>494</v>
      </c>
      <c r="B1013" t="s">
        <v>54</v>
      </c>
      <c r="C1013" t="s">
        <v>37</v>
      </c>
    </row>
    <row r="1014" spans="1:4" x14ac:dyDescent="0.35">
      <c r="A1014" t="s">
        <v>26</v>
      </c>
    </row>
    <row r="1015" spans="1:4" x14ac:dyDescent="0.35">
      <c r="A1015" t="s">
        <v>76</v>
      </c>
    </row>
    <row r="1016" spans="1:4" x14ac:dyDescent="0.35">
      <c r="A1016" t="s">
        <v>105</v>
      </c>
    </row>
    <row r="1017" spans="1:4" x14ac:dyDescent="0.35">
      <c r="A1017" t="s">
        <v>40</v>
      </c>
      <c r="B1017" t="s">
        <v>41</v>
      </c>
      <c r="C1017" t="s">
        <v>33</v>
      </c>
      <c r="D1017" t="s">
        <v>16</v>
      </c>
    </row>
    <row r="1018" spans="1:4" x14ac:dyDescent="0.35">
      <c r="A1018" t="s">
        <v>213</v>
      </c>
    </row>
    <row r="1019" spans="1:4" x14ac:dyDescent="0.35">
      <c r="A1019" t="s">
        <v>123</v>
      </c>
    </row>
    <row r="1020" spans="1:4" x14ac:dyDescent="0.35">
      <c r="A1020" t="s">
        <v>495</v>
      </c>
    </row>
    <row r="1021" spans="1:4" x14ac:dyDescent="0.35">
      <c r="A1021" t="s">
        <v>42</v>
      </c>
    </row>
    <row r="1022" spans="1:4" x14ac:dyDescent="0.35">
      <c r="A1022" t="s">
        <v>34</v>
      </c>
    </row>
    <row r="1023" spans="1:4" x14ac:dyDescent="0.35">
      <c r="A1023" t="s">
        <v>496</v>
      </c>
    </row>
    <row r="1024" spans="1:4" x14ac:dyDescent="0.35">
      <c r="A1024" t="s">
        <v>497</v>
      </c>
    </row>
    <row r="1025" spans="1:4" x14ac:dyDescent="0.35">
      <c r="A1025" t="s">
        <v>498</v>
      </c>
      <c r="B1025" t="s">
        <v>54</v>
      </c>
      <c r="C1025" t="s">
        <v>37</v>
      </c>
    </row>
    <row r="1026" spans="1:4" x14ac:dyDescent="0.35">
      <c r="A1026" t="s">
        <v>69</v>
      </c>
    </row>
    <row r="1027" spans="1:4" x14ac:dyDescent="0.35">
      <c r="A1027" t="s">
        <v>499</v>
      </c>
      <c r="B1027" t="s">
        <v>54</v>
      </c>
      <c r="C1027" t="s">
        <v>108</v>
      </c>
    </row>
    <row r="1028" spans="1:4" x14ac:dyDescent="0.35">
      <c r="A1028" t="s">
        <v>63</v>
      </c>
    </row>
    <row r="1030" spans="1:4" x14ac:dyDescent="0.35">
      <c r="A1030" t="s">
        <v>500</v>
      </c>
    </row>
    <row r="1031" spans="1:4" x14ac:dyDescent="0.35">
      <c r="A1031" t="s">
        <v>501</v>
      </c>
      <c r="B1031" t="s">
        <v>14</v>
      </c>
      <c r="C1031" t="s">
        <v>33</v>
      </c>
      <c r="D1031" t="s">
        <v>16</v>
      </c>
    </row>
    <row r="1032" spans="1:4" x14ac:dyDescent="0.35">
      <c r="A1032" t="s">
        <v>42</v>
      </c>
    </row>
    <row r="1033" spans="1:4" x14ac:dyDescent="0.35">
      <c r="A1033" t="s">
        <v>145</v>
      </c>
    </row>
    <row r="1034" spans="1:4" x14ac:dyDescent="0.35">
      <c r="A1034" t="s">
        <v>34</v>
      </c>
    </row>
    <row r="1035" spans="1:4" x14ac:dyDescent="0.35">
      <c r="A1035" t="s">
        <v>502</v>
      </c>
      <c r="B1035" t="s">
        <v>54</v>
      </c>
      <c r="C1035" t="s">
        <v>37</v>
      </c>
    </row>
    <row r="1036" spans="1:4" x14ac:dyDescent="0.35">
      <c r="A1036" t="s">
        <v>503</v>
      </c>
    </row>
    <row r="1037" spans="1:4" x14ac:dyDescent="0.35">
      <c r="A1037" t="s">
        <v>117</v>
      </c>
    </row>
    <row r="1038" spans="1:4" x14ac:dyDescent="0.35">
      <c r="A1038" t="s">
        <v>364</v>
      </c>
    </row>
    <row r="1039" spans="1:4" x14ac:dyDescent="0.35">
      <c r="A1039" t="s">
        <v>26</v>
      </c>
    </row>
    <row r="1040" spans="1:4" x14ac:dyDescent="0.35">
      <c r="A1040" t="s">
        <v>76</v>
      </c>
    </row>
    <row r="1041" spans="1:4" x14ac:dyDescent="0.35">
      <c r="A1041" t="s">
        <v>504</v>
      </c>
    </row>
    <row r="1042" spans="1:4" x14ac:dyDescent="0.35">
      <c r="A1042" t="s">
        <v>110</v>
      </c>
      <c r="B1042" t="s">
        <v>36</v>
      </c>
      <c r="C1042" t="s">
        <v>33</v>
      </c>
      <c r="D1042" t="s">
        <v>16</v>
      </c>
    </row>
    <row r="1043" spans="1:4" x14ac:dyDescent="0.35">
      <c r="A1043" t="s">
        <v>474</v>
      </c>
    </row>
    <row r="1044" spans="1:4" x14ac:dyDescent="0.35">
      <c r="A1044" t="s">
        <v>58</v>
      </c>
    </row>
    <row r="1045" spans="1:4" x14ac:dyDescent="0.35">
      <c r="A1045" t="s">
        <v>492</v>
      </c>
    </row>
    <row r="1046" spans="1:4" x14ac:dyDescent="0.35">
      <c r="A1046" t="s">
        <v>186</v>
      </c>
      <c r="B1046" t="s">
        <v>91</v>
      </c>
      <c r="C1046" t="s">
        <v>99</v>
      </c>
      <c r="D1046" t="s">
        <v>16</v>
      </c>
    </row>
    <row r="1047" spans="1:4" x14ac:dyDescent="0.35">
      <c r="A1047" t="s">
        <v>179</v>
      </c>
    </row>
    <row r="1048" spans="1:4" x14ac:dyDescent="0.35">
      <c r="A1048" t="s">
        <v>116</v>
      </c>
    </row>
    <row r="1049" spans="1:4" x14ac:dyDescent="0.35">
      <c r="A1049" t="s">
        <v>76</v>
      </c>
    </row>
    <row r="1050" spans="1:4" x14ac:dyDescent="0.35">
      <c r="A1050" t="s">
        <v>40</v>
      </c>
      <c r="B1050" t="s">
        <v>36</v>
      </c>
      <c r="C1050" t="s">
        <v>33</v>
      </c>
      <c r="D1050" t="s">
        <v>16</v>
      </c>
    </row>
    <row r="1051" spans="1:4" x14ac:dyDescent="0.35">
      <c r="A1051" t="s">
        <v>213</v>
      </c>
    </row>
    <row r="1052" spans="1:4" x14ac:dyDescent="0.35">
      <c r="A1052" t="s">
        <v>176</v>
      </c>
      <c r="B1052" t="s">
        <v>91</v>
      </c>
      <c r="C1052" t="s">
        <v>33</v>
      </c>
      <c r="D1052" t="s">
        <v>16</v>
      </c>
    </row>
    <row r="1053" spans="1:4" x14ac:dyDescent="0.35">
      <c r="A1053" t="s">
        <v>76</v>
      </c>
    </row>
    <row r="1054" spans="1:4" x14ac:dyDescent="0.35">
      <c r="A1054" t="s">
        <v>505</v>
      </c>
    </row>
    <row r="1055" spans="1:4" x14ac:dyDescent="0.35">
      <c r="A1055" t="s">
        <v>58</v>
      </c>
    </row>
    <row r="1056" spans="1:4" x14ac:dyDescent="0.35">
      <c r="A1056" t="s">
        <v>215</v>
      </c>
      <c r="B1056" t="s">
        <v>95</v>
      </c>
      <c r="C1056" t="s">
        <v>99</v>
      </c>
      <c r="D1056" t="s">
        <v>16</v>
      </c>
    </row>
    <row r="1057" spans="1:4" x14ac:dyDescent="0.35">
      <c r="A1057" t="s">
        <v>63</v>
      </c>
    </row>
    <row r="1059" spans="1:4" x14ac:dyDescent="0.35">
      <c r="A1059" t="s">
        <v>506</v>
      </c>
    </row>
    <row r="1060" spans="1:4" x14ac:dyDescent="0.35">
      <c r="A1060" t="s">
        <v>110</v>
      </c>
      <c r="B1060" t="s">
        <v>14</v>
      </c>
      <c r="C1060" t="s">
        <v>33</v>
      </c>
      <c r="D1060" t="s">
        <v>16</v>
      </c>
    </row>
    <row r="1061" spans="1:4" x14ac:dyDescent="0.35">
      <c r="A1061" t="s">
        <v>486</v>
      </c>
    </row>
    <row r="1062" spans="1:4" x14ac:dyDescent="0.35">
      <c r="A1062" t="s">
        <v>85</v>
      </c>
      <c r="B1062" t="s">
        <v>32</v>
      </c>
      <c r="C1062" t="s">
        <v>33</v>
      </c>
      <c r="D1062" t="s">
        <v>16</v>
      </c>
    </row>
    <row r="1063" spans="1:4" x14ac:dyDescent="0.35">
      <c r="A1063" t="s">
        <v>507</v>
      </c>
    </row>
    <row r="1064" spans="1:4" x14ac:dyDescent="0.35">
      <c r="A1064" t="s">
        <v>47</v>
      </c>
      <c r="B1064" t="s">
        <v>24</v>
      </c>
      <c r="C1064" t="s">
        <v>49</v>
      </c>
      <c r="D1064" t="s">
        <v>16</v>
      </c>
    </row>
    <row r="1065" spans="1:4" x14ac:dyDescent="0.35">
      <c r="A1065" t="s">
        <v>508</v>
      </c>
      <c r="B1065" t="s">
        <v>54</v>
      </c>
      <c r="C1065" t="s">
        <v>15</v>
      </c>
      <c r="D1065" t="s">
        <v>16</v>
      </c>
    </row>
    <row r="1066" spans="1:4" x14ac:dyDescent="0.35">
      <c r="A1066" t="s">
        <v>26</v>
      </c>
    </row>
    <row r="1067" spans="1:4" x14ac:dyDescent="0.35">
      <c r="A1067" t="s">
        <v>76</v>
      </c>
    </row>
    <row r="1068" spans="1:4" x14ac:dyDescent="0.35">
      <c r="A1068" t="s">
        <v>110</v>
      </c>
      <c r="B1068" t="s">
        <v>36</v>
      </c>
      <c r="C1068" t="s">
        <v>33</v>
      </c>
      <c r="D1068" t="s">
        <v>16</v>
      </c>
    </row>
    <row r="1069" spans="1:4" x14ac:dyDescent="0.35">
      <c r="A1069" t="s">
        <v>509</v>
      </c>
    </row>
    <row r="1070" spans="1:4" x14ac:dyDescent="0.35">
      <c r="A1070" t="s">
        <v>398</v>
      </c>
    </row>
    <row r="1071" spans="1:4" x14ac:dyDescent="0.35">
      <c r="A1071" t="s">
        <v>177</v>
      </c>
    </row>
    <row r="1072" spans="1:4" x14ac:dyDescent="0.35">
      <c r="A1072" t="s">
        <v>45</v>
      </c>
    </row>
    <row r="1073" spans="1:4" x14ac:dyDescent="0.35">
      <c r="A1073" t="s">
        <v>510</v>
      </c>
    </row>
    <row r="1074" spans="1:4" x14ac:dyDescent="0.35">
      <c r="A1074" t="s">
        <v>259</v>
      </c>
      <c r="B1074" t="s">
        <v>48</v>
      </c>
      <c r="C1074" t="s">
        <v>49</v>
      </c>
      <c r="D1074" t="s">
        <v>16</v>
      </c>
    </row>
    <row r="1075" spans="1:4" x14ac:dyDescent="0.35">
      <c r="A1075" t="s">
        <v>511</v>
      </c>
      <c r="B1075" t="s">
        <v>143</v>
      </c>
      <c r="C1075" t="s">
        <v>15</v>
      </c>
      <c r="D1075" t="s">
        <v>16</v>
      </c>
    </row>
    <row r="1076" spans="1:4" x14ac:dyDescent="0.35">
      <c r="A1076" t="s">
        <v>83</v>
      </c>
    </row>
    <row r="1077" spans="1:4" x14ac:dyDescent="0.35">
      <c r="A1077" t="s">
        <v>292</v>
      </c>
    </row>
    <row r="1078" spans="1:4" x14ac:dyDescent="0.35">
      <c r="A1078" t="s">
        <v>45</v>
      </c>
    </row>
    <row r="1079" spans="1:4" x14ac:dyDescent="0.35">
      <c r="A1079" t="s">
        <v>368</v>
      </c>
    </row>
    <row r="1080" spans="1:4" x14ac:dyDescent="0.35">
      <c r="A1080" t="s">
        <v>405</v>
      </c>
      <c r="B1080" t="s">
        <v>79</v>
      </c>
      <c r="C1080" t="s">
        <v>33</v>
      </c>
      <c r="D1080" t="s">
        <v>16</v>
      </c>
    </row>
    <row r="1081" spans="1:4" x14ac:dyDescent="0.35">
      <c r="A1081" t="s">
        <v>147</v>
      </c>
      <c r="B1081" t="s">
        <v>512</v>
      </c>
      <c r="C1081" t="s">
        <v>148</v>
      </c>
    </row>
    <row r="1082" spans="1:4" x14ac:dyDescent="0.35">
      <c r="A1082" t="s">
        <v>110</v>
      </c>
      <c r="B1082" t="s">
        <v>151</v>
      </c>
      <c r="C1082" t="s">
        <v>33</v>
      </c>
      <c r="D1082" t="s">
        <v>16</v>
      </c>
    </row>
    <row r="1083" spans="1:4" x14ac:dyDescent="0.35">
      <c r="A1083" t="s">
        <v>111</v>
      </c>
    </row>
    <row r="1084" spans="1:4" x14ac:dyDescent="0.35">
      <c r="A1084" t="s">
        <v>513</v>
      </c>
    </row>
    <row r="1085" spans="1:4" x14ac:dyDescent="0.35">
      <c r="A1085" t="s">
        <v>63</v>
      </c>
    </row>
    <row r="1087" spans="1:4" x14ac:dyDescent="0.35">
      <c r="A1087" t="s">
        <v>244</v>
      </c>
    </row>
    <row r="1088" spans="1:4" x14ac:dyDescent="0.35">
      <c r="A1088" t="s">
        <v>514</v>
      </c>
    </row>
    <row r="1089" spans="1:4" x14ac:dyDescent="0.35">
      <c r="A1089" t="s">
        <v>246</v>
      </c>
    </row>
    <row r="1090" spans="1:4" x14ac:dyDescent="0.35">
      <c r="A1090" t="s">
        <v>279</v>
      </c>
      <c r="B1090" t="s">
        <v>14</v>
      </c>
      <c r="C1090" t="s">
        <v>33</v>
      </c>
      <c r="D1090" t="s">
        <v>16</v>
      </c>
    </row>
    <row r="1091" spans="1:4" x14ac:dyDescent="0.35">
      <c r="A1091" t="s">
        <v>515</v>
      </c>
    </row>
    <row r="1092" spans="1:4" x14ac:dyDescent="0.35">
      <c r="A1092" t="s">
        <v>26</v>
      </c>
    </row>
    <row r="1093" spans="1:4" x14ac:dyDescent="0.35">
      <c r="A1093" t="s">
        <v>365</v>
      </c>
      <c r="B1093" t="s">
        <v>54</v>
      </c>
      <c r="C1093" t="s">
        <v>21</v>
      </c>
      <c r="D1093" t="s">
        <v>16</v>
      </c>
    </row>
    <row r="1094" spans="1:4" x14ac:dyDescent="0.35">
      <c r="A1094" t="s">
        <v>26</v>
      </c>
    </row>
    <row r="1095" spans="1:4" x14ac:dyDescent="0.35">
      <c r="A1095" t="s">
        <v>39</v>
      </c>
    </row>
    <row r="1096" spans="1:4" x14ac:dyDescent="0.35">
      <c r="A1096" t="s">
        <v>58</v>
      </c>
    </row>
    <row r="1097" spans="1:4" x14ac:dyDescent="0.35">
      <c r="A1097" t="s">
        <v>516</v>
      </c>
      <c r="B1097" t="s">
        <v>41</v>
      </c>
      <c r="C1097" t="s">
        <v>99</v>
      </c>
      <c r="D1097" t="s">
        <v>16</v>
      </c>
    </row>
    <row r="1098" spans="1:4" x14ac:dyDescent="0.35">
      <c r="A1098" t="s">
        <v>319</v>
      </c>
    </row>
    <row r="1099" spans="1:4" x14ac:dyDescent="0.35">
      <c r="A1099" t="s">
        <v>224</v>
      </c>
    </row>
    <row r="1100" spans="1:4" x14ac:dyDescent="0.35">
      <c r="A1100" t="s">
        <v>495</v>
      </c>
      <c r="B1100" t="s">
        <v>24</v>
      </c>
      <c r="C1100" t="s">
        <v>517</v>
      </c>
      <c r="D1100" t="s">
        <v>16</v>
      </c>
    </row>
    <row r="1101" spans="1:4" x14ac:dyDescent="0.35">
      <c r="A1101" t="s">
        <v>251</v>
      </c>
    </row>
    <row r="1102" spans="1:4" x14ac:dyDescent="0.35">
      <c r="A1102" t="s">
        <v>246</v>
      </c>
    </row>
    <row r="1104" spans="1:4" x14ac:dyDescent="0.35">
      <c r="A1104" t="s">
        <v>518</v>
      </c>
    </row>
    <row r="1105" spans="1:4" x14ac:dyDescent="0.35">
      <c r="A1105" t="s">
        <v>19</v>
      </c>
      <c r="B1105" t="s">
        <v>14</v>
      </c>
      <c r="C1105" t="s">
        <v>108</v>
      </c>
    </row>
    <row r="1106" spans="1:4" x14ac:dyDescent="0.35">
      <c r="A1106" t="s">
        <v>519</v>
      </c>
    </row>
    <row r="1107" spans="1:4" x14ac:dyDescent="0.35">
      <c r="A1107" t="s">
        <v>26</v>
      </c>
    </row>
    <row r="1108" spans="1:4" x14ac:dyDescent="0.35">
      <c r="A1108" t="s">
        <v>161</v>
      </c>
    </row>
    <row r="1109" spans="1:4" x14ac:dyDescent="0.35">
      <c r="A1109" t="s">
        <v>110</v>
      </c>
      <c r="B1109" t="s">
        <v>36</v>
      </c>
      <c r="C1109" t="s">
        <v>33</v>
      </c>
      <c r="D1109" t="s">
        <v>16</v>
      </c>
    </row>
    <row r="1110" spans="1:4" x14ac:dyDescent="0.35">
      <c r="A1110" t="s">
        <v>111</v>
      </c>
    </row>
    <row r="1111" spans="1:4" x14ac:dyDescent="0.35">
      <c r="A1111" t="s">
        <v>520</v>
      </c>
    </row>
    <row r="1112" spans="1:4" x14ac:dyDescent="0.35">
      <c r="A1112" t="s">
        <v>259</v>
      </c>
      <c r="B1112" t="s">
        <v>20</v>
      </c>
      <c r="C1112" t="s">
        <v>49</v>
      </c>
      <c r="D1112" t="s">
        <v>16</v>
      </c>
    </row>
    <row r="1113" spans="1:4" x14ac:dyDescent="0.35">
      <c r="A1113" t="s">
        <v>521</v>
      </c>
      <c r="B1113" t="s">
        <v>91</v>
      </c>
      <c r="C1113" t="s">
        <v>15</v>
      </c>
      <c r="D1113" t="s">
        <v>16</v>
      </c>
    </row>
    <row r="1114" spans="1:4" x14ac:dyDescent="0.35">
      <c r="A1114" t="s">
        <v>63</v>
      </c>
    </row>
    <row r="1116" spans="1:4" x14ac:dyDescent="0.35">
      <c r="A1116" t="s">
        <v>244</v>
      </c>
    </row>
    <row r="1117" spans="1:4" x14ac:dyDescent="0.35">
      <c r="A1117" t="s">
        <v>522</v>
      </c>
    </row>
    <row r="1118" spans="1:4" x14ac:dyDescent="0.35">
      <c r="A1118" t="s">
        <v>246</v>
      </c>
    </row>
    <row r="1119" spans="1:4" x14ac:dyDescent="0.35">
      <c r="A1119" t="s">
        <v>523</v>
      </c>
    </row>
    <row r="1120" spans="1:4" x14ac:dyDescent="0.35">
      <c r="A1120" t="s">
        <v>63</v>
      </c>
    </row>
    <row r="1121" spans="1:4" x14ac:dyDescent="0.35">
      <c r="A1121" t="s">
        <v>246</v>
      </c>
    </row>
    <row r="1122" spans="1:4" x14ac:dyDescent="0.35">
      <c r="A1122" t="s">
        <v>246</v>
      </c>
    </row>
    <row r="1123" spans="1:4" x14ac:dyDescent="0.35">
      <c r="A1123" t="s">
        <v>524</v>
      </c>
    </row>
    <row r="1124" spans="1:4" x14ac:dyDescent="0.35">
      <c r="A1124" t="s">
        <v>525</v>
      </c>
    </row>
    <row r="1125" spans="1:4" x14ac:dyDescent="0.35">
      <c r="A1125" t="s">
        <v>526</v>
      </c>
      <c r="B1125" t="s">
        <v>14</v>
      </c>
      <c r="C1125" t="s">
        <v>33</v>
      </c>
      <c r="D1125" t="s">
        <v>16</v>
      </c>
    </row>
    <row r="1126" spans="1:4" x14ac:dyDescent="0.35">
      <c r="A1126" t="s">
        <v>154</v>
      </c>
    </row>
    <row r="1127" spans="1:4" x14ac:dyDescent="0.35">
      <c r="A1127" t="s">
        <v>26</v>
      </c>
    </row>
    <row r="1128" spans="1:4" x14ac:dyDescent="0.35">
      <c r="A1128" t="s">
        <v>504</v>
      </c>
    </row>
    <row r="1129" spans="1:4" x14ac:dyDescent="0.35">
      <c r="A1129" t="s">
        <v>26</v>
      </c>
    </row>
    <row r="1130" spans="1:4" x14ac:dyDescent="0.35">
      <c r="A1130" t="s">
        <v>527</v>
      </c>
    </row>
    <row r="1131" spans="1:4" x14ac:dyDescent="0.35">
      <c r="A1131" t="s">
        <v>495</v>
      </c>
    </row>
    <row r="1132" spans="1:4" x14ac:dyDescent="0.35">
      <c r="A1132" t="s">
        <v>319</v>
      </c>
    </row>
    <row r="1133" spans="1:4" x14ac:dyDescent="0.35">
      <c r="A1133" t="s">
        <v>67</v>
      </c>
    </row>
    <row r="1134" spans="1:4" x14ac:dyDescent="0.35">
      <c r="A1134" t="s">
        <v>528</v>
      </c>
      <c r="B1134" t="s">
        <v>36</v>
      </c>
      <c r="C1134" t="s">
        <v>339</v>
      </c>
    </row>
    <row r="1135" spans="1:4" x14ac:dyDescent="0.35">
      <c r="A1135" t="s">
        <v>123</v>
      </c>
    </row>
    <row r="1136" spans="1:4" x14ac:dyDescent="0.35">
      <c r="A1136" t="s">
        <v>53</v>
      </c>
    </row>
    <row r="1137" spans="1:4" x14ac:dyDescent="0.35">
      <c r="A1137" t="s">
        <v>54</v>
      </c>
    </row>
    <row r="1138" spans="1:4" x14ac:dyDescent="0.35">
      <c r="A1138" t="s">
        <v>387</v>
      </c>
      <c r="B1138" t="s">
        <v>20</v>
      </c>
      <c r="C1138" t="s">
        <v>37</v>
      </c>
    </row>
    <row r="1139" spans="1:4" x14ac:dyDescent="0.35">
      <c r="A1139" t="s">
        <v>529</v>
      </c>
    </row>
    <row r="1140" spans="1:4" x14ac:dyDescent="0.35">
      <c r="A1140" t="s">
        <v>58</v>
      </c>
    </row>
    <row r="1141" spans="1:4" x14ac:dyDescent="0.35">
      <c r="A1141" t="s">
        <v>377</v>
      </c>
      <c r="B1141" t="s">
        <v>56</v>
      </c>
      <c r="C1141" t="s">
        <v>99</v>
      </c>
      <c r="D1141" t="s">
        <v>16</v>
      </c>
    </row>
    <row r="1142" spans="1:4" x14ac:dyDescent="0.35">
      <c r="A1142" t="s">
        <v>251</v>
      </c>
    </row>
    <row r="1143" spans="1:4" x14ac:dyDescent="0.35">
      <c r="A1143" t="s">
        <v>246</v>
      </c>
    </row>
    <row r="1145" spans="1:4" x14ac:dyDescent="0.35">
      <c r="A1145" t="s">
        <v>244</v>
      </c>
    </row>
    <row r="1146" spans="1:4" x14ac:dyDescent="0.35">
      <c r="A1146" t="s">
        <v>530</v>
      </c>
    </row>
    <row r="1147" spans="1:4" x14ac:dyDescent="0.35">
      <c r="A1147" t="s">
        <v>246</v>
      </c>
    </row>
    <row r="1148" spans="1:4" x14ac:dyDescent="0.35">
      <c r="A1148" t="s">
        <v>110</v>
      </c>
      <c r="B1148" t="s">
        <v>14</v>
      </c>
      <c r="C1148" t="s">
        <v>33</v>
      </c>
      <c r="D1148" t="s">
        <v>16</v>
      </c>
    </row>
    <row r="1149" spans="1:4" x14ac:dyDescent="0.35">
      <c r="A1149" t="s">
        <v>525</v>
      </c>
    </row>
    <row r="1150" spans="1:4" x14ac:dyDescent="0.35">
      <c r="A1150" t="s">
        <v>224</v>
      </c>
    </row>
    <row r="1151" spans="1:4" x14ac:dyDescent="0.35">
      <c r="A1151" t="s">
        <v>375</v>
      </c>
    </row>
    <row r="1152" spans="1:4" x14ac:dyDescent="0.35">
      <c r="A1152" t="s">
        <v>510</v>
      </c>
      <c r="B1152" t="s">
        <v>54</v>
      </c>
      <c r="C1152" t="s">
        <v>148</v>
      </c>
    </row>
    <row r="1153" spans="1:4" x14ac:dyDescent="0.35">
      <c r="A1153" t="s">
        <v>526</v>
      </c>
      <c r="B1153" t="s">
        <v>41</v>
      </c>
      <c r="C1153" t="s">
        <v>33</v>
      </c>
      <c r="D1153" t="s">
        <v>16</v>
      </c>
    </row>
    <row r="1154" spans="1:4" x14ac:dyDescent="0.35">
      <c r="A1154" t="s">
        <v>319</v>
      </c>
    </row>
    <row r="1155" spans="1:4" x14ac:dyDescent="0.35">
      <c r="A1155" t="s">
        <v>63</v>
      </c>
    </row>
    <row r="1156" spans="1:4" x14ac:dyDescent="0.35">
      <c r="A1156" t="s">
        <v>246</v>
      </c>
    </row>
    <row r="1158" spans="1:4" x14ac:dyDescent="0.35">
      <c r="A1158" t="s">
        <v>531</v>
      </c>
    </row>
    <row r="1159" spans="1:4" x14ac:dyDescent="0.35">
      <c r="A1159" t="s">
        <v>110</v>
      </c>
      <c r="B1159" t="s">
        <v>14</v>
      </c>
      <c r="C1159" t="s">
        <v>33</v>
      </c>
      <c r="D1159" t="s">
        <v>16</v>
      </c>
    </row>
    <row r="1160" spans="1:4" x14ac:dyDescent="0.35">
      <c r="A1160" t="s">
        <v>258</v>
      </c>
    </row>
    <row r="1161" spans="1:4" x14ac:dyDescent="0.35">
      <c r="A1161" t="s">
        <v>140</v>
      </c>
    </row>
    <row r="1162" spans="1:4" x14ac:dyDescent="0.35">
      <c r="A1162" t="s">
        <v>39</v>
      </c>
    </row>
    <row r="1163" spans="1:4" x14ac:dyDescent="0.35">
      <c r="A1163" t="s">
        <v>310</v>
      </c>
    </row>
    <row r="1164" spans="1:4" x14ac:dyDescent="0.35">
      <c r="A1164" t="s">
        <v>58</v>
      </c>
    </row>
    <row r="1165" spans="1:4" x14ac:dyDescent="0.35">
      <c r="A1165" t="s">
        <v>126</v>
      </c>
    </row>
    <row r="1166" spans="1:4" x14ac:dyDescent="0.35">
      <c r="A1166" t="s">
        <v>311</v>
      </c>
    </row>
    <row r="1167" spans="1:4" x14ac:dyDescent="0.35">
      <c r="A1167" t="s">
        <v>312</v>
      </c>
      <c r="B1167" t="s">
        <v>36</v>
      </c>
      <c r="C1167" t="s">
        <v>21</v>
      </c>
      <c r="D1167" t="s">
        <v>16</v>
      </c>
    </row>
    <row r="1168" spans="1:4" x14ac:dyDescent="0.35">
      <c r="A1168" t="s">
        <v>495</v>
      </c>
    </row>
    <row r="1169" spans="1:4" x14ac:dyDescent="0.35">
      <c r="A1169" t="s">
        <v>532</v>
      </c>
    </row>
    <row r="1170" spans="1:4" x14ac:dyDescent="0.35">
      <c r="A1170" t="s">
        <v>34</v>
      </c>
    </row>
    <row r="1171" spans="1:4" x14ac:dyDescent="0.35">
      <c r="A1171" t="s">
        <v>533</v>
      </c>
      <c r="B1171" t="s">
        <v>91</v>
      </c>
      <c r="C1171" t="s">
        <v>37</v>
      </c>
    </row>
    <row r="1172" spans="1:4" x14ac:dyDescent="0.35">
      <c r="A1172" t="s">
        <v>26</v>
      </c>
    </row>
    <row r="1173" spans="1:4" x14ac:dyDescent="0.35">
      <c r="A1173" t="s">
        <v>534</v>
      </c>
    </row>
    <row r="1174" spans="1:4" x14ac:dyDescent="0.35">
      <c r="A1174" t="s">
        <v>307</v>
      </c>
      <c r="B1174" t="s">
        <v>20</v>
      </c>
      <c r="C1174" t="s">
        <v>108</v>
      </c>
    </row>
    <row r="1175" spans="1:4" x14ac:dyDescent="0.35">
      <c r="A1175" t="s">
        <v>63</v>
      </c>
    </row>
    <row r="1177" spans="1:4" x14ac:dyDescent="0.35">
      <c r="A1177" t="s">
        <v>535</v>
      </c>
    </row>
    <row r="1178" spans="1:4" x14ac:dyDescent="0.35">
      <c r="A1178" t="s">
        <v>208</v>
      </c>
      <c r="B1178" t="s">
        <v>14</v>
      </c>
      <c r="C1178" t="s">
        <v>33</v>
      </c>
      <c r="D1178" t="s">
        <v>16</v>
      </c>
    </row>
    <row r="1179" spans="1:4" x14ac:dyDescent="0.35">
      <c r="A1179" t="s">
        <v>42</v>
      </c>
    </row>
    <row r="1180" spans="1:4" x14ac:dyDescent="0.35">
      <c r="A1180" t="s">
        <v>536</v>
      </c>
    </row>
    <row r="1181" spans="1:4" x14ac:dyDescent="0.35">
      <c r="A1181" t="s">
        <v>537</v>
      </c>
    </row>
    <row r="1182" spans="1:4" x14ac:dyDescent="0.35">
      <c r="A1182" t="s">
        <v>123</v>
      </c>
    </row>
    <row r="1183" spans="1:4" x14ac:dyDescent="0.35">
      <c r="A1183" t="s">
        <v>136</v>
      </c>
      <c r="B1183" t="s">
        <v>24</v>
      </c>
      <c r="C1183" t="s">
        <v>49</v>
      </c>
      <c r="D1183" t="s">
        <v>16</v>
      </c>
    </row>
    <row r="1184" spans="1:4" x14ac:dyDescent="0.35">
      <c r="A1184" t="s">
        <v>538</v>
      </c>
      <c r="B1184" t="s">
        <v>54</v>
      </c>
      <c r="C1184" t="s">
        <v>15</v>
      </c>
      <c r="D1184" t="s">
        <v>16</v>
      </c>
    </row>
    <row r="1185" spans="1:4" x14ac:dyDescent="0.35">
      <c r="A1185" t="s">
        <v>26</v>
      </c>
    </row>
    <row r="1186" spans="1:4" x14ac:dyDescent="0.35">
      <c r="A1186" t="s">
        <v>76</v>
      </c>
    </row>
    <row r="1187" spans="1:4" x14ac:dyDescent="0.35">
      <c r="A1187" t="s">
        <v>539</v>
      </c>
    </row>
    <row r="1188" spans="1:4" x14ac:dyDescent="0.35">
      <c r="A1188" t="s">
        <v>540</v>
      </c>
      <c r="B1188" t="s">
        <v>91</v>
      </c>
    </row>
    <row r="1189" spans="1:4" x14ac:dyDescent="0.35">
      <c r="A1189" t="s">
        <v>225</v>
      </c>
    </row>
    <row r="1190" spans="1:4" x14ac:dyDescent="0.35">
      <c r="A1190" t="s">
        <v>541</v>
      </c>
    </row>
    <row r="1191" spans="1:4" x14ac:dyDescent="0.35">
      <c r="A1191" t="s">
        <v>34</v>
      </c>
    </row>
    <row r="1192" spans="1:4" x14ac:dyDescent="0.35">
      <c r="A1192" t="s">
        <v>413</v>
      </c>
      <c r="B1192" t="s">
        <v>24</v>
      </c>
      <c r="C1192" t="s">
        <v>37</v>
      </c>
    </row>
    <row r="1193" spans="1:4" x14ac:dyDescent="0.35">
      <c r="A1193" t="s">
        <v>169</v>
      </c>
    </row>
    <row r="1194" spans="1:4" x14ac:dyDescent="0.35">
      <c r="A1194" t="s">
        <v>39</v>
      </c>
    </row>
    <row r="1195" spans="1:4" x14ac:dyDescent="0.35">
      <c r="A1195" t="s">
        <v>171</v>
      </c>
      <c r="B1195" t="s">
        <v>20</v>
      </c>
      <c r="C1195" t="s">
        <v>122</v>
      </c>
      <c r="D1195" t="s">
        <v>16</v>
      </c>
    </row>
    <row r="1196" spans="1:4" x14ac:dyDescent="0.35">
      <c r="A1196" t="s">
        <v>17</v>
      </c>
    </row>
    <row r="1197" spans="1:4" x14ac:dyDescent="0.35">
      <c r="A1197" t="s">
        <v>129</v>
      </c>
      <c r="B1197" t="s">
        <v>56</v>
      </c>
      <c r="C1197" t="s">
        <v>33</v>
      </c>
      <c r="D1197" t="s">
        <v>16</v>
      </c>
    </row>
    <row r="1198" spans="1:4" x14ac:dyDescent="0.35">
      <c r="A1198" t="s">
        <v>26</v>
      </c>
    </row>
    <row r="1199" spans="1:4" x14ac:dyDescent="0.35">
      <c r="A1199" t="s">
        <v>412</v>
      </c>
    </row>
    <row r="1200" spans="1:4" x14ac:dyDescent="0.35">
      <c r="A1200" t="s">
        <v>26</v>
      </c>
    </row>
    <row r="1201" spans="1:4" x14ac:dyDescent="0.35">
      <c r="A1201" t="s">
        <v>115</v>
      </c>
    </row>
    <row r="1202" spans="1:4" x14ac:dyDescent="0.35">
      <c r="A1202" t="s">
        <v>542</v>
      </c>
    </row>
    <row r="1203" spans="1:4" x14ac:dyDescent="0.35">
      <c r="A1203" t="s">
        <v>76</v>
      </c>
    </row>
    <row r="1204" spans="1:4" x14ac:dyDescent="0.35">
      <c r="A1204" t="s">
        <v>543</v>
      </c>
    </row>
    <row r="1205" spans="1:4" x14ac:dyDescent="0.35">
      <c r="A1205" t="s">
        <v>544</v>
      </c>
    </row>
    <row r="1206" spans="1:4" x14ac:dyDescent="0.35">
      <c r="A1206" t="s">
        <v>63</v>
      </c>
    </row>
    <row r="1208" spans="1:4" x14ac:dyDescent="0.35">
      <c r="A1208" t="s">
        <v>545</v>
      </c>
    </row>
    <row r="1209" spans="1:4" x14ac:dyDescent="0.35">
      <c r="A1209" t="s">
        <v>97</v>
      </c>
    </row>
    <row r="1210" spans="1:4" x14ac:dyDescent="0.35">
      <c r="A1210" t="s">
        <v>546</v>
      </c>
    </row>
    <row r="1211" spans="1:4" x14ac:dyDescent="0.35">
      <c r="A1211" t="s">
        <v>547</v>
      </c>
      <c r="B1211" t="s">
        <v>54</v>
      </c>
      <c r="C1211" t="s">
        <v>99</v>
      </c>
      <c r="D1211" t="s">
        <v>16</v>
      </c>
    </row>
    <row r="1212" spans="1:4" x14ac:dyDescent="0.35">
      <c r="A1212" t="s">
        <v>169</v>
      </c>
    </row>
    <row r="1213" spans="1:4" x14ac:dyDescent="0.35">
      <c r="A1213" t="s">
        <v>31</v>
      </c>
      <c r="B1213" t="s">
        <v>54</v>
      </c>
      <c r="C1213" t="s">
        <v>33</v>
      </c>
      <c r="D1213" t="s">
        <v>16</v>
      </c>
    </row>
    <row r="1214" spans="1:4" x14ac:dyDescent="0.35">
      <c r="A1214" t="s">
        <v>26</v>
      </c>
    </row>
    <row r="1215" spans="1:4" x14ac:dyDescent="0.35">
      <c r="A1215" t="s">
        <v>76</v>
      </c>
    </row>
    <row r="1216" spans="1:4" x14ac:dyDescent="0.35">
      <c r="A1216" t="s">
        <v>31</v>
      </c>
      <c r="B1216" t="s">
        <v>36</v>
      </c>
      <c r="C1216" t="s">
        <v>33</v>
      </c>
      <c r="D1216" t="s">
        <v>16</v>
      </c>
    </row>
    <row r="1217" spans="1:4" x14ac:dyDescent="0.35">
      <c r="A1217" t="s">
        <v>451</v>
      </c>
    </row>
    <row r="1218" spans="1:4" x14ac:dyDescent="0.35">
      <c r="A1218" t="s">
        <v>541</v>
      </c>
    </row>
    <row r="1219" spans="1:4" x14ac:dyDescent="0.35">
      <c r="A1219" t="s">
        <v>34</v>
      </c>
    </row>
    <row r="1220" spans="1:4" x14ac:dyDescent="0.35">
      <c r="A1220" t="s">
        <v>126</v>
      </c>
    </row>
    <row r="1221" spans="1:4" x14ac:dyDescent="0.35">
      <c r="A1221" t="s">
        <v>548</v>
      </c>
    </row>
    <row r="1222" spans="1:4" x14ac:dyDescent="0.35">
      <c r="A1222" t="s">
        <v>549</v>
      </c>
    </row>
    <row r="1223" spans="1:4" x14ac:dyDescent="0.35">
      <c r="A1223" t="s">
        <v>262</v>
      </c>
    </row>
    <row r="1224" spans="1:4" x14ac:dyDescent="0.35">
      <c r="A1224" t="s">
        <v>550</v>
      </c>
      <c r="B1224" t="s">
        <v>24</v>
      </c>
      <c r="C1224" t="s">
        <v>37</v>
      </c>
    </row>
    <row r="1225" spans="1:4" x14ac:dyDescent="0.35">
      <c r="A1225" t="s">
        <v>26</v>
      </c>
    </row>
    <row r="1226" spans="1:4" x14ac:dyDescent="0.35">
      <c r="A1226" t="s">
        <v>159</v>
      </c>
    </row>
    <row r="1227" spans="1:4" x14ac:dyDescent="0.35">
      <c r="A1227" t="s">
        <v>58</v>
      </c>
    </row>
    <row r="1228" spans="1:4" x14ac:dyDescent="0.35">
      <c r="A1228" t="s">
        <v>551</v>
      </c>
      <c r="B1228" t="s">
        <v>54</v>
      </c>
      <c r="C1228" t="s">
        <v>99</v>
      </c>
      <c r="D1228" t="s">
        <v>16</v>
      </c>
    </row>
    <row r="1229" spans="1:4" x14ac:dyDescent="0.35">
      <c r="A1229" t="s">
        <v>17</v>
      </c>
    </row>
    <row r="1230" spans="1:4" x14ac:dyDescent="0.35">
      <c r="A1230" t="s">
        <v>58</v>
      </c>
    </row>
    <row r="1231" spans="1:4" x14ac:dyDescent="0.35">
      <c r="A1231" t="s">
        <v>552</v>
      </c>
    </row>
    <row r="1232" spans="1:4" x14ac:dyDescent="0.35">
      <c r="A1232" t="s">
        <v>553</v>
      </c>
      <c r="B1232" t="s">
        <v>24</v>
      </c>
      <c r="C1232" t="s">
        <v>99</v>
      </c>
      <c r="D1232" t="s">
        <v>16</v>
      </c>
    </row>
    <row r="1233" spans="1:4" x14ac:dyDescent="0.35">
      <c r="A1233" t="s">
        <v>105</v>
      </c>
    </row>
    <row r="1234" spans="1:4" x14ac:dyDescent="0.35">
      <c r="A1234" t="s">
        <v>346</v>
      </c>
      <c r="B1234" t="s">
        <v>54</v>
      </c>
      <c r="C1234" t="s">
        <v>108</v>
      </c>
    </row>
    <row r="1235" spans="1:4" x14ac:dyDescent="0.35">
      <c r="A1235" t="s">
        <v>554</v>
      </c>
    </row>
    <row r="1236" spans="1:4" x14ac:dyDescent="0.35">
      <c r="A1236" t="s">
        <v>164</v>
      </c>
    </row>
    <row r="1237" spans="1:4" x14ac:dyDescent="0.35">
      <c r="A1237" t="s">
        <v>555</v>
      </c>
      <c r="B1237" t="s">
        <v>56</v>
      </c>
      <c r="C1237" t="s">
        <v>49</v>
      </c>
      <c r="D1237" t="s">
        <v>16</v>
      </c>
    </row>
    <row r="1238" spans="1:4" x14ac:dyDescent="0.35">
      <c r="A1238" t="s">
        <v>556</v>
      </c>
      <c r="B1238" t="s">
        <v>20</v>
      </c>
      <c r="C1238" t="s">
        <v>15</v>
      </c>
      <c r="D1238" t="s">
        <v>16</v>
      </c>
    </row>
    <row r="1239" spans="1:4" x14ac:dyDescent="0.35">
      <c r="A1239" t="s">
        <v>63</v>
      </c>
    </row>
    <row r="1241" spans="1:4" x14ac:dyDescent="0.35">
      <c r="A1241" t="s">
        <v>557</v>
      </c>
    </row>
    <row r="1242" spans="1:4" x14ac:dyDescent="0.35">
      <c r="A1242" t="s">
        <v>19</v>
      </c>
      <c r="B1242" t="s">
        <v>24</v>
      </c>
      <c r="C1242" t="s">
        <v>21</v>
      </c>
      <c r="D1242" t="s">
        <v>16</v>
      </c>
    </row>
    <row r="1243" spans="1:4" x14ac:dyDescent="0.35">
      <c r="A1243" t="s">
        <v>22</v>
      </c>
    </row>
    <row r="1244" spans="1:4" x14ac:dyDescent="0.35">
      <c r="A1244" t="s">
        <v>558</v>
      </c>
      <c r="B1244" t="s">
        <v>14</v>
      </c>
      <c r="C1244" t="s">
        <v>15</v>
      </c>
      <c r="D1244" t="s">
        <v>16</v>
      </c>
    </row>
    <row r="1245" spans="1:4" x14ac:dyDescent="0.35">
      <c r="A1245" t="s">
        <v>42</v>
      </c>
    </row>
    <row r="1246" spans="1:4" x14ac:dyDescent="0.35">
      <c r="A1246" t="s">
        <v>493</v>
      </c>
    </row>
    <row r="1247" spans="1:4" x14ac:dyDescent="0.35">
      <c r="A1247" t="s">
        <v>439</v>
      </c>
    </row>
    <row r="1248" spans="1:4" x14ac:dyDescent="0.35">
      <c r="A1248" t="s">
        <v>31</v>
      </c>
      <c r="B1248" t="s">
        <v>54</v>
      </c>
      <c r="C1248" t="s">
        <v>33</v>
      </c>
      <c r="D1248" t="s">
        <v>16</v>
      </c>
    </row>
    <row r="1249" spans="1:4" x14ac:dyDescent="0.35">
      <c r="A1249" t="s">
        <v>26</v>
      </c>
    </row>
    <row r="1250" spans="1:4" x14ac:dyDescent="0.35">
      <c r="A1250" t="s">
        <v>76</v>
      </c>
    </row>
    <row r="1251" spans="1:4" x14ac:dyDescent="0.35">
      <c r="A1251" t="s">
        <v>40</v>
      </c>
      <c r="B1251" t="s">
        <v>36</v>
      </c>
      <c r="C1251" t="s">
        <v>33</v>
      </c>
      <c r="D1251" t="s">
        <v>16</v>
      </c>
    </row>
    <row r="1252" spans="1:4" x14ac:dyDescent="0.35">
      <c r="A1252" t="s">
        <v>559</v>
      </c>
    </row>
    <row r="1253" spans="1:4" x14ac:dyDescent="0.35">
      <c r="A1253" t="s">
        <v>560</v>
      </c>
    </row>
    <row r="1254" spans="1:4" x14ac:dyDescent="0.35">
      <c r="A1254" t="s">
        <v>105</v>
      </c>
    </row>
    <row r="1255" spans="1:4" x14ac:dyDescent="0.35">
      <c r="A1255" t="s">
        <v>40</v>
      </c>
      <c r="B1255" t="s">
        <v>41</v>
      </c>
      <c r="C1255" t="s">
        <v>33</v>
      </c>
      <c r="D1255" t="s">
        <v>16</v>
      </c>
    </row>
    <row r="1256" spans="1:4" x14ac:dyDescent="0.35">
      <c r="A1256" t="s">
        <v>406</v>
      </c>
    </row>
    <row r="1257" spans="1:4" x14ac:dyDescent="0.35">
      <c r="A1257" t="s">
        <v>555</v>
      </c>
      <c r="B1257" t="s">
        <v>56</v>
      </c>
      <c r="C1257" t="s">
        <v>49</v>
      </c>
      <c r="D1257" t="s">
        <v>16</v>
      </c>
    </row>
    <row r="1258" spans="1:4" x14ac:dyDescent="0.35">
      <c r="A1258" t="s">
        <v>561</v>
      </c>
    </row>
    <row r="1259" spans="1:4" x14ac:dyDescent="0.35">
      <c r="A1259" t="s">
        <v>562</v>
      </c>
      <c r="B1259" t="s">
        <v>95</v>
      </c>
      <c r="C1259" t="s">
        <v>15</v>
      </c>
      <c r="D1259" t="s">
        <v>16</v>
      </c>
    </row>
    <row r="1260" spans="1:4" x14ac:dyDescent="0.35">
      <c r="A1260" t="s">
        <v>63</v>
      </c>
    </row>
    <row r="1262" spans="1:4" x14ac:dyDescent="0.35">
      <c r="A1262" t="s">
        <v>244</v>
      </c>
    </row>
    <row r="1263" spans="1:4" x14ac:dyDescent="0.35">
      <c r="A1263" t="s">
        <v>563</v>
      </c>
    </row>
    <row r="1264" spans="1:4" x14ac:dyDescent="0.35">
      <c r="A1264" t="s">
        <v>246</v>
      </c>
    </row>
    <row r="1265" spans="1:4" x14ac:dyDescent="0.35">
      <c r="A1265" t="s">
        <v>208</v>
      </c>
      <c r="B1265" t="s">
        <v>14</v>
      </c>
      <c r="C1265" t="s">
        <v>33</v>
      </c>
      <c r="D1265" t="s">
        <v>16</v>
      </c>
    </row>
    <row r="1266" spans="1:4" x14ac:dyDescent="0.35">
      <c r="A1266" t="s">
        <v>22</v>
      </c>
    </row>
    <row r="1267" spans="1:4" x14ac:dyDescent="0.35">
      <c r="A1267" t="s">
        <v>564</v>
      </c>
    </row>
    <row r="1268" spans="1:4" x14ac:dyDescent="0.35">
      <c r="A1268" t="s">
        <v>439</v>
      </c>
    </row>
    <row r="1269" spans="1:4" x14ac:dyDescent="0.35">
      <c r="A1269" t="s">
        <v>129</v>
      </c>
      <c r="B1269" t="s">
        <v>54</v>
      </c>
      <c r="C1269" t="s">
        <v>33</v>
      </c>
      <c r="D1269" t="s">
        <v>16</v>
      </c>
    </row>
    <row r="1270" spans="1:4" x14ac:dyDescent="0.35">
      <c r="A1270" t="s">
        <v>26</v>
      </c>
    </row>
    <row r="1271" spans="1:4" x14ac:dyDescent="0.35">
      <c r="A1271" t="s">
        <v>365</v>
      </c>
      <c r="B1271" t="s">
        <v>24</v>
      </c>
      <c r="C1271" t="s">
        <v>21</v>
      </c>
      <c r="D1271" t="s">
        <v>16</v>
      </c>
    </row>
    <row r="1272" spans="1:4" x14ac:dyDescent="0.35">
      <c r="A1272" t="s">
        <v>63</v>
      </c>
    </row>
    <row r="1273" spans="1:4" x14ac:dyDescent="0.35">
      <c r="A1273" t="s">
        <v>246</v>
      </c>
    </row>
    <row r="1275" spans="1:4" x14ac:dyDescent="0.35">
      <c r="A1275" t="s">
        <v>244</v>
      </c>
    </row>
    <row r="1276" spans="1:4" x14ac:dyDescent="0.35">
      <c r="A1276" t="s">
        <v>565</v>
      </c>
    </row>
    <row r="1277" spans="1:4" x14ac:dyDescent="0.35">
      <c r="A1277" t="s">
        <v>246</v>
      </c>
    </row>
    <row r="1278" spans="1:4" x14ac:dyDescent="0.35">
      <c r="A1278" t="s">
        <v>566</v>
      </c>
    </row>
    <row r="1279" spans="1:4" x14ac:dyDescent="0.35">
      <c r="A1279" t="s">
        <v>39</v>
      </c>
      <c r="B1279" t="s">
        <v>14</v>
      </c>
      <c r="C1279" t="s">
        <v>80</v>
      </c>
      <c r="D1279" t="s">
        <v>16</v>
      </c>
    </row>
    <row r="1280" spans="1:4" x14ac:dyDescent="0.35">
      <c r="A1280" t="s">
        <v>567</v>
      </c>
    </row>
    <row r="1281" spans="1:4" x14ac:dyDescent="0.35">
      <c r="A1281" t="s">
        <v>251</v>
      </c>
    </row>
    <row r="1282" spans="1:4" x14ac:dyDescent="0.35">
      <c r="A1282" t="s">
        <v>246</v>
      </c>
    </row>
    <row r="1284" spans="1:4" x14ac:dyDescent="0.35">
      <c r="A1284" t="s">
        <v>244</v>
      </c>
    </row>
    <row r="1285" spans="1:4" x14ac:dyDescent="0.35">
      <c r="A1285" t="s">
        <v>568</v>
      </c>
    </row>
    <row r="1286" spans="1:4" x14ac:dyDescent="0.35">
      <c r="A1286" t="s">
        <v>246</v>
      </c>
    </row>
    <row r="1287" spans="1:4" x14ac:dyDescent="0.35">
      <c r="A1287" t="s">
        <v>569</v>
      </c>
    </row>
    <row r="1288" spans="1:4" x14ac:dyDescent="0.35">
      <c r="A1288" t="s">
        <v>567</v>
      </c>
    </row>
    <row r="1289" spans="1:4" x14ac:dyDescent="0.35">
      <c r="A1289" t="s">
        <v>26</v>
      </c>
    </row>
    <row r="1290" spans="1:4" x14ac:dyDescent="0.35">
      <c r="A1290" t="s">
        <v>27</v>
      </c>
    </row>
    <row r="1291" spans="1:4" x14ac:dyDescent="0.35">
      <c r="A1291" t="s">
        <v>570</v>
      </c>
    </row>
    <row r="1292" spans="1:4" x14ac:dyDescent="0.35">
      <c r="A1292" t="s">
        <v>28</v>
      </c>
    </row>
    <row r="1293" spans="1:4" x14ac:dyDescent="0.35">
      <c r="A1293" t="s">
        <v>571</v>
      </c>
      <c r="B1293" t="s">
        <v>54</v>
      </c>
      <c r="C1293" t="s">
        <v>572</v>
      </c>
      <c r="D1293" t="s">
        <v>16</v>
      </c>
    </row>
    <row r="1294" spans="1:4" x14ac:dyDescent="0.35">
      <c r="A1294" t="s">
        <v>164</v>
      </c>
    </row>
    <row r="1295" spans="1:4" x14ac:dyDescent="0.35">
      <c r="A1295" t="s">
        <v>573</v>
      </c>
      <c r="B1295" t="s">
        <v>54</v>
      </c>
      <c r="C1295" t="s">
        <v>108</v>
      </c>
    </row>
    <row r="1296" spans="1:4" x14ac:dyDescent="0.35">
      <c r="A1296" t="s">
        <v>73</v>
      </c>
      <c r="B1296" t="s">
        <v>36</v>
      </c>
    </row>
    <row r="1297" spans="1:4" x14ac:dyDescent="0.35">
      <c r="A1297" t="s">
        <v>144</v>
      </c>
    </row>
    <row r="1298" spans="1:4" x14ac:dyDescent="0.35">
      <c r="A1298" t="s">
        <v>258</v>
      </c>
    </row>
    <row r="1299" spans="1:4" x14ac:dyDescent="0.35">
      <c r="A1299" t="s">
        <v>574</v>
      </c>
    </row>
    <row r="1300" spans="1:4" x14ac:dyDescent="0.35">
      <c r="A1300" t="s">
        <v>259</v>
      </c>
      <c r="B1300" t="s">
        <v>20</v>
      </c>
      <c r="C1300" t="s">
        <v>49</v>
      </c>
      <c r="D1300" t="s">
        <v>16</v>
      </c>
    </row>
    <row r="1301" spans="1:4" x14ac:dyDescent="0.35">
      <c r="A1301" t="s">
        <v>51</v>
      </c>
      <c r="B1301" t="s">
        <v>91</v>
      </c>
      <c r="C1301" t="s">
        <v>15</v>
      </c>
      <c r="D1301" t="s">
        <v>16</v>
      </c>
    </row>
    <row r="1302" spans="1:4" x14ac:dyDescent="0.35">
      <c r="A1302" t="s">
        <v>63</v>
      </c>
    </row>
    <row r="1304" spans="1:4" x14ac:dyDescent="0.35">
      <c r="A1304" t="s">
        <v>575</v>
      </c>
    </row>
    <row r="1305" spans="1:4" x14ac:dyDescent="0.35">
      <c r="A1305" t="s">
        <v>501</v>
      </c>
      <c r="B1305" t="s">
        <v>14</v>
      </c>
      <c r="C1305" t="s">
        <v>33</v>
      </c>
      <c r="D1305" t="s">
        <v>16</v>
      </c>
    </row>
    <row r="1306" spans="1:4" x14ac:dyDescent="0.35">
      <c r="A1306" t="s">
        <v>576</v>
      </c>
    </row>
    <row r="1307" spans="1:4" x14ac:dyDescent="0.35">
      <c r="A1307" t="s">
        <v>403</v>
      </c>
    </row>
    <row r="1308" spans="1:4" x14ac:dyDescent="0.35">
      <c r="A1308" t="s">
        <v>154</v>
      </c>
    </row>
    <row r="1309" spans="1:4" x14ac:dyDescent="0.35">
      <c r="A1309" t="s">
        <v>101</v>
      </c>
    </row>
    <row r="1310" spans="1:4" x14ac:dyDescent="0.35">
      <c r="A1310" t="s">
        <v>120</v>
      </c>
    </row>
    <row r="1311" spans="1:4" x14ac:dyDescent="0.35">
      <c r="A1311" t="s">
        <v>26</v>
      </c>
    </row>
    <row r="1312" spans="1:4" x14ac:dyDescent="0.35">
      <c r="A1312" t="s">
        <v>289</v>
      </c>
    </row>
    <row r="1313" spans="1:4" x14ac:dyDescent="0.35">
      <c r="A1313" t="s">
        <v>63</v>
      </c>
    </row>
    <row r="1315" spans="1:4" x14ac:dyDescent="0.35">
      <c r="A1315" t="s">
        <v>577</v>
      </c>
    </row>
    <row r="1316" spans="1:4" x14ac:dyDescent="0.35">
      <c r="A1316" t="s">
        <v>208</v>
      </c>
      <c r="B1316" t="s">
        <v>14</v>
      </c>
      <c r="C1316" t="s">
        <v>33</v>
      </c>
      <c r="D1316" t="s">
        <v>16</v>
      </c>
    </row>
    <row r="1317" spans="1:4" x14ac:dyDescent="0.35">
      <c r="A1317" t="s">
        <v>319</v>
      </c>
    </row>
    <row r="1318" spans="1:4" x14ac:dyDescent="0.35">
      <c r="A1318" t="s">
        <v>578</v>
      </c>
    </row>
    <row r="1319" spans="1:4" x14ac:dyDescent="0.35">
      <c r="A1319" t="s">
        <v>579</v>
      </c>
    </row>
    <row r="1320" spans="1:4" x14ac:dyDescent="0.35">
      <c r="A1320" t="s">
        <v>580</v>
      </c>
      <c r="B1320" t="s">
        <v>54</v>
      </c>
      <c r="C1320" t="s">
        <v>339</v>
      </c>
    </row>
    <row r="1321" spans="1:4" x14ac:dyDescent="0.35">
      <c r="A1321" t="s">
        <v>63</v>
      </c>
    </row>
    <row r="1323" spans="1:4" x14ac:dyDescent="0.35">
      <c r="A1323" t="s">
        <v>244</v>
      </c>
    </row>
    <row r="1324" spans="1:4" x14ac:dyDescent="0.35">
      <c r="A1324" t="s">
        <v>581</v>
      </c>
    </row>
    <row r="1325" spans="1:4" x14ac:dyDescent="0.35">
      <c r="A1325" t="s">
        <v>193</v>
      </c>
      <c r="B1325" t="s">
        <v>24</v>
      </c>
      <c r="C1325" t="s">
        <v>49</v>
      </c>
      <c r="D1325" t="s">
        <v>16</v>
      </c>
    </row>
    <row r="1326" spans="1:4" x14ac:dyDescent="0.35">
      <c r="A1326" t="s">
        <v>582</v>
      </c>
      <c r="B1326" t="s">
        <v>14</v>
      </c>
      <c r="C1326" t="s">
        <v>15</v>
      </c>
      <c r="D1326" t="s">
        <v>16</v>
      </c>
    </row>
    <row r="1327" spans="1:4" x14ac:dyDescent="0.35">
      <c r="A1327" t="s">
        <v>76</v>
      </c>
    </row>
    <row r="1328" spans="1:4" x14ac:dyDescent="0.35">
      <c r="A1328" t="s">
        <v>583</v>
      </c>
    </row>
    <row r="1329" spans="1:4" x14ac:dyDescent="0.35">
      <c r="A1329" t="s">
        <v>47</v>
      </c>
      <c r="B1329" t="s">
        <v>56</v>
      </c>
      <c r="C1329" t="s">
        <v>49</v>
      </c>
      <c r="D1329" t="s">
        <v>16</v>
      </c>
    </row>
    <row r="1330" spans="1:4" x14ac:dyDescent="0.35">
      <c r="A1330" t="s">
        <v>584</v>
      </c>
      <c r="B1330" t="s">
        <v>41</v>
      </c>
      <c r="C1330" t="s">
        <v>15</v>
      </c>
      <c r="D1330" t="s">
        <v>16</v>
      </c>
    </row>
    <row r="1331" spans="1:4" x14ac:dyDescent="0.35">
      <c r="A1331" t="s">
        <v>29</v>
      </c>
    </row>
    <row r="1332" spans="1:4" x14ac:dyDescent="0.35">
      <c r="A1332" t="s">
        <v>585</v>
      </c>
    </row>
    <row r="1333" spans="1:4" x14ac:dyDescent="0.35">
      <c r="A1333" t="s">
        <v>164</v>
      </c>
    </row>
    <row r="1334" spans="1:4" x14ac:dyDescent="0.35">
      <c r="A1334" t="s">
        <v>47</v>
      </c>
      <c r="B1334" t="s">
        <v>143</v>
      </c>
      <c r="C1334" t="s">
        <v>33</v>
      </c>
      <c r="D1334" t="s">
        <v>16</v>
      </c>
    </row>
    <row r="1335" spans="1:4" x14ac:dyDescent="0.35">
      <c r="A1335" t="s">
        <v>586</v>
      </c>
    </row>
    <row r="1336" spans="1:4" x14ac:dyDescent="0.35">
      <c r="A1336" t="s">
        <v>489</v>
      </c>
    </row>
    <row r="1337" spans="1:4" x14ac:dyDescent="0.35">
      <c r="A1337" t="s">
        <v>587</v>
      </c>
    </row>
    <row r="1338" spans="1:4" x14ac:dyDescent="0.35">
      <c r="A1338" t="s">
        <v>58</v>
      </c>
    </row>
    <row r="1339" spans="1:4" x14ac:dyDescent="0.35">
      <c r="A1339" t="s">
        <v>307</v>
      </c>
      <c r="B1339" t="s">
        <v>56</v>
      </c>
      <c r="C1339" t="s">
        <v>99</v>
      </c>
      <c r="D1339" t="s">
        <v>16</v>
      </c>
    </row>
    <row r="1340" spans="1:4" x14ac:dyDescent="0.35">
      <c r="A1340" t="s">
        <v>319</v>
      </c>
    </row>
    <row r="1341" spans="1:4" x14ac:dyDescent="0.35">
      <c r="A1341" t="s">
        <v>310</v>
      </c>
    </row>
    <row r="1342" spans="1:4" x14ac:dyDescent="0.35">
      <c r="A1342" t="s">
        <v>58</v>
      </c>
    </row>
    <row r="1343" spans="1:4" x14ac:dyDescent="0.35">
      <c r="A1343" t="s">
        <v>409</v>
      </c>
      <c r="B1343" t="s">
        <v>54</v>
      </c>
      <c r="C1343" t="s">
        <v>99</v>
      </c>
      <c r="D1343" t="s">
        <v>16</v>
      </c>
    </row>
    <row r="1344" spans="1:4" x14ac:dyDescent="0.35">
      <c r="A1344" t="s">
        <v>63</v>
      </c>
    </row>
    <row r="1345" spans="1:4" x14ac:dyDescent="0.35">
      <c r="A1345" t="s">
        <v>246</v>
      </c>
    </row>
    <row r="1347" spans="1:4" x14ac:dyDescent="0.35">
      <c r="A1347" t="s">
        <v>588</v>
      </c>
    </row>
    <row r="1348" spans="1:4" x14ac:dyDescent="0.35">
      <c r="A1348" t="s">
        <v>97</v>
      </c>
    </row>
    <row r="1349" spans="1:4" x14ac:dyDescent="0.35">
      <c r="A1349" t="s">
        <v>589</v>
      </c>
      <c r="B1349" t="s">
        <v>14</v>
      </c>
      <c r="C1349" t="s">
        <v>99</v>
      </c>
      <c r="D1349" t="s">
        <v>16</v>
      </c>
    </row>
    <row r="1350" spans="1:4" x14ac:dyDescent="0.35">
      <c r="A1350" t="s">
        <v>42</v>
      </c>
    </row>
    <row r="1351" spans="1:4" x14ac:dyDescent="0.35">
      <c r="A1351" t="s">
        <v>590</v>
      </c>
    </row>
    <row r="1352" spans="1:4" x14ac:dyDescent="0.35">
      <c r="A1352" t="s">
        <v>76</v>
      </c>
    </row>
    <row r="1353" spans="1:4" x14ac:dyDescent="0.35">
      <c r="A1353" t="s">
        <v>591</v>
      </c>
    </row>
    <row r="1354" spans="1:4" x14ac:dyDescent="0.35">
      <c r="A1354" t="s">
        <v>326</v>
      </c>
    </row>
    <row r="1355" spans="1:4" x14ac:dyDescent="0.35">
      <c r="A1355" t="s">
        <v>129</v>
      </c>
      <c r="B1355" t="s">
        <v>24</v>
      </c>
      <c r="C1355" t="s">
        <v>33</v>
      </c>
      <c r="D1355" t="s">
        <v>16</v>
      </c>
    </row>
    <row r="1356" spans="1:4" x14ac:dyDescent="0.35">
      <c r="A1356" t="s">
        <v>63</v>
      </c>
    </row>
    <row r="1358" spans="1:4" x14ac:dyDescent="0.35">
      <c r="A1358" t="s">
        <v>592</v>
      </c>
    </row>
    <row r="1359" spans="1:4" x14ac:dyDescent="0.35">
      <c r="A1359" t="s">
        <v>97</v>
      </c>
    </row>
    <row r="1360" spans="1:4" x14ac:dyDescent="0.35">
      <c r="A1360" t="s">
        <v>593</v>
      </c>
    </row>
    <row r="1361" spans="1:4" x14ac:dyDescent="0.35">
      <c r="A1361" t="s">
        <v>547</v>
      </c>
      <c r="B1361" t="s">
        <v>54</v>
      </c>
      <c r="C1361" t="s">
        <v>99</v>
      </c>
      <c r="D1361" t="s">
        <v>16</v>
      </c>
    </row>
    <row r="1362" spans="1:4" x14ac:dyDescent="0.35">
      <c r="A1362" t="s">
        <v>162</v>
      </c>
    </row>
    <row r="1363" spans="1:4" x14ac:dyDescent="0.35">
      <c r="A1363" t="s">
        <v>76</v>
      </c>
    </row>
    <row r="1364" spans="1:4" x14ac:dyDescent="0.35">
      <c r="A1364" t="s">
        <v>594</v>
      </c>
    </row>
    <row r="1365" spans="1:4" x14ac:dyDescent="0.35">
      <c r="A1365" t="s">
        <v>26</v>
      </c>
    </row>
    <row r="1366" spans="1:4" x14ac:dyDescent="0.35">
      <c r="A1366" t="s">
        <v>239</v>
      </c>
    </row>
    <row r="1367" spans="1:4" x14ac:dyDescent="0.35">
      <c r="A1367" t="s">
        <v>34</v>
      </c>
    </row>
    <row r="1368" spans="1:4" x14ac:dyDescent="0.35">
      <c r="A1368" t="s">
        <v>595</v>
      </c>
    </row>
    <row r="1369" spans="1:4" x14ac:dyDescent="0.35">
      <c r="A1369" t="s">
        <v>262</v>
      </c>
    </row>
    <row r="1370" spans="1:4" x14ac:dyDescent="0.35">
      <c r="A1370" t="s">
        <v>546</v>
      </c>
      <c r="B1370" t="s">
        <v>36</v>
      </c>
      <c r="C1370" t="s">
        <v>37</v>
      </c>
    </row>
    <row r="1371" spans="1:4" x14ac:dyDescent="0.35">
      <c r="A1371" t="s">
        <v>596</v>
      </c>
    </row>
    <row r="1372" spans="1:4" x14ac:dyDescent="0.35">
      <c r="A1372" t="s">
        <v>58</v>
      </c>
    </row>
    <row r="1373" spans="1:4" x14ac:dyDescent="0.35">
      <c r="A1373" t="s">
        <v>597</v>
      </c>
    </row>
    <row r="1374" spans="1:4" x14ac:dyDescent="0.35">
      <c r="A1374" t="s">
        <v>220</v>
      </c>
      <c r="B1374" t="s">
        <v>91</v>
      </c>
      <c r="C1374" t="s">
        <v>99</v>
      </c>
      <c r="D1374" t="s">
        <v>16</v>
      </c>
    </row>
    <row r="1375" spans="1:4" x14ac:dyDescent="0.35">
      <c r="A1375" t="s">
        <v>123</v>
      </c>
    </row>
    <row r="1376" spans="1:4" x14ac:dyDescent="0.35">
      <c r="A1376" t="s">
        <v>34</v>
      </c>
    </row>
    <row r="1377" spans="1:4" x14ac:dyDescent="0.35">
      <c r="A1377" t="s">
        <v>598</v>
      </c>
    </row>
    <row r="1378" spans="1:4" x14ac:dyDescent="0.35">
      <c r="A1378" t="s">
        <v>26</v>
      </c>
    </row>
    <row r="1379" spans="1:4" x14ac:dyDescent="0.35">
      <c r="A1379" t="s">
        <v>599</v>
      </c>
    </row>
    <row r="1380" spans="1:4" x14ac:dyDescent="0.35">
      <c r="A1380" t="s">
        <v>528</v>
      </c>
      <c r="B1380" t="s">
        <v>24</v>
      </c>
      <c r="C1380" t="s">
        <v>37</v>
      </c>
    </row>
    <row r="1381" spans="1:4" x14ac:dyDescent="0.35">
      <c r="A1381" t="s">
        <v>63</v>
      </c>
    </row>
    <row r="1383" spans="1:4" x14ac:dyDescent="0.35">
      <c r="A1383" t="s">
        <v>600</v>
      </c>
    </row>
    <row r="1384" spans="1:4" x14ac:dyDescent="0.35">
      <c r="A1384" t="s">
        <v>601</v>
      </c>
    </row>
    <row r="1385" spans="1:4" x14ac:dyDescent="0.35">
      <c r="A1385" t="s">
        <v>129</v>
      </c>
      <c r="B1385" t="s">
        <v>36</v>
      </c>
      <c r="C1385" t="s">
        <v>33</v>
      </c>
      <c r="D1385" t="s">
        <v>16</v>
      </c>
    </row>
    <row r="1386" spans="1:4" x14ac:dyDescent="0.35">
      <c r="A1386" t="s">
        <v>309</v>
      </c>
    </row>
    <row r="1387" spans="1:4" x14ac:dyDescent="0.35">
      <c r="A1387" t="s">
        <v>58</v>
      </c>
    </row>
    <row r="1388" spans="1:4" x14ac:dyDescent="0.35">
      <c r="A1388" t="s">
        <v>166</v>
      </c>
    </row>
    <row r="1389" spans="1:4" x14ac:dyDescent="0.35">
      <c r="A1389" t="s">
        <v>602</v>
      </c>
      <c r="B1389" t="s">
        <v>91</v>
      </c>
      <c r="C1389" t="s">
        <v>99</v>
      </c>
      <c r="D1389" t="s">
        <v>16</v>
      </c>
    </row>
    <row r="1390" spans="1:4" x14ac:dyDescent="0.35">
      <c r="A1390" t="s">
        <v>17</v>
      </c>
    </row>
    <row r="1391" spans="1:4" x14ac:dyDescent="0.35">
      <c r="A1391" t="s">
        <v>58</v>
      </c>
    </row>
    <row r="1392" spans="1:4" x14ac:dyDescent="0.35">
      <c r="A1392" t="s">
        <v>215</v>
      </c>
      <c r="B1392" t="s">
        <v>20</v>
      </c>
      <c r="C1392" t="s">
        <v>99</v>
      </c>
      <c r="D1392" t="s">
        <v>16</v>
      </c>
    </row>
    <row r="1393" spans="1:4" x14ac:dyDescent="0.35">
      <c r="A1393" t="s">
        <v>26</v>
      </c>
    </row>
    <row r="1394" spans="1:4" x14ac:dyDescent="0.35">
      <c r="A1394" t="s">
        <v>31</v>
      </c>
      <c r="B1394" t="s">
        <v>14</v>
      </c>
      <c r="C1394" t="s">
        <v>33</v>
      </c>
      <c r="D1394" t="s">
        <v>16</v>
      </c>
    </row>
    <row r="1395" spans="1:4" x14ac:dyDescent="0.35">
      <c r="A1395" t="s">
        <v>419</v>
      </c>
    </row>
    <row r="1396" spans="1:4" x14ac:dyDescent="0.35">
      <c r="A1396" t="s">
        <v>603</v>
      </c>
    </row>
    <row r="1397" spans="1:4" x14ac:dyDescent="0.35">
      <c r="A1397" t="s">
        <v>604</v>
      </c>
      <c r="B1397" t="s">
        <v>54</v>
      </c>
      <c r="C1397" t="s">
        <v>108</v>
      </c>
    </row>
    <row r="1398" spans="1:4" x14ac:dyDescent="0.35">
      <c r="A1398" t="s">
        <v>76</v>
      </c>
    </row>
    <row r="1399" spans="1:4" x14ac:dyDescent="0.35">
      <c r="A1399" t="s">
        <v>605</v>
      </c>
    </row>
    <row r="1400" spans="1:4" x14ac:dyDescent="0.35">
      <c r="A1400" t="s">
        <v>606</v>
      </c>
      <c r="B1400" t="s">
        <v>54</v>
      </c>
      <c r="C1400" t="s">
        <v>108</v>
      </c>
    </row>
    <row r="1401" spans="1:4" x14ac:dyDescent="0.35">
      <c r="A1401" t="s">
        <v>607</v>
      </c>
    </row>
    <row r="1402" spans="1:4" x14ac:dyDescent="0.35">
      <c r="A1402" t="s">
        <v>608</v>
      </c>
    </row>
    <row r="1403" spans="1:4" x14ac:dyDescent="0.35">
      <c r="A1403" t="s">
        <v>609</v>
      </c>
    </row>
    <row r="1404" spans="1:4" x14ac:dyDescent="0.35">
      <c r="A1404" t="s">
        <v>58</v>
      </c>
    </row>
    <row r="1405" spans="1:4" x14ac:dyDescent="0.35">
      <c r="A1405" t="s">
        <v>610</v>
      </c>
      <c r="B1405" t="s">
        <v>48</v>
      </c>
      <c r="C1405" t="s">
        <v>108</v>
      </c>
    </row>
    <row r="1406" spans="1:4" x14ac:dyDescent="0.35">
      <c r="A1406" t="s">
        <v>262</v>
      </c>
    </row>
    <row r="1407" spans="1:4" x14ac:dyDescent="0.35">
      <c r="A1407" t="s">
        <v>611</v>
      </c>
    </row>
    <row r="1408" spans="1:4" x14ac:dyDescent="0.35">
      <c r="A1408" t="s">
        <v>612</v>
      </c>
      <c r="B1408" t="s">
        <v>20</v>
      </c>
      <c r="C1408" t="s">
        <v>99</v>
      </c>
      <c r="D1408" t="s">
        <v>16</v>
      </c>
    </row>
    <row r="1409" spans="1:4" x14ac:dyDescent="0.35">
      <c r="A1409" t="s">
        <v>63</v>
      </c>
    </row>
    <row r="1411" spans="1:4" x14ac:dyDescent="0.35">
      <c r="A1411" t="s">
        <v>613</v>
      </c>
    </row>
    <row r="1412" spans="1:4" x14ac:dyDescent="0.35">
      <c r="A1412" t="s">
        <v>614</v>
      </c>
    </row>
    <row r="1413" spans="1:4" x14ac:dyDescent="0.35">
      <c r="A1413" t="s">
        <v>615</v>
      </c>
      <c r="B1413" t="s">
        <v>54</v>
      </c>
      <c r="C1413" t="s">
        <v>108</v>
      </c>
    </row>
    <row r="1414" spans="1:4" x14ac:dyDescent="0.35">
      <c r="A1414" t="s">
        <v>17</v>
      </c>
    </row>
    <row r="1415" spans="1:4" x14ac:dyDescent="0.35">
      <c r="A1415" t="s">
        <v>616</v>
      </c>
    </row>
    <row r="1416" spans="1:4" x14ac:dyDescent="0.35">
      <c r="A1416" t="s">
        <v>528</v>
      </c>
      <c r="B1416" t="s">
        <v>54</v>
      </c>
      <c r="C1416" t="s">
        <v>108</v>
      </c>
    </row>
    <row r="1417" spans="1:4" x14ac:dyDescent="0.35">
      <c r="A1417" t="s">
        <v>69</v>
      </c>
    </row>
    <row r="1418" spans="1:4" x14ac:dyDescent="0.35">
      <c r="A1418" t="s">
        <v>58</v>
      </c>
    </row>
    <row r="1419" spans="1:4" x14ac:dyDescent="0.35">
      <c r="A1419" t="s">
        <v>617</v>
      </c>
    </row>
    <row r="1420" spans="1:4" x14ac:dyDescent="0.35">
      <c r="A1420" t="s">
        <v>373</v>
      </c>
      <c r="B1420" t="s">
        <v>54</v>
      </c>
      <c r="C1420" t="s">
        <v>99</v>
      </c>
      <c r="D1420" t="s">
        <v>16</v>
      </c>
    </row>
    <row r="1421" spans="1:4" x14ac:dyDescent="0.35">
      <c r="A1421" t="s">
        <v>618</v>
      </c>
    </row>
    <row r="1422" spans="1:4" x14ac:dyDescent="0.35">
      <c r="A1422" t="s">
        <v>458</v>
      </c>
    </row>
    <row r="1423" spans="1:4" x14ac:dyDescent="0.35">
      <c r="A1423" t="s">
        <v>58</v>
      </c>
    </row>
    <row r="1424" spans="1:4" x14ac:dyDescent="0.35">
      <c r="A1424" t="s">
        <v>416</v>
      </c>
      <c r="B1424" t="s">
        <v>20</v>
      </c>
      <c r="C1424" t="s">
        <v>99</v>
      </c>
      <c r="D1424" t="s">
        <v>16</v>
      </c>
    </row>
    <row r="1425" spans="1:4" x14ac:dyDescent="0.35">
      <c r="A1425" t="s">
        <v>76</v>
      </c>
    </row>
    <row r="1426" spans="1:4" x14ac:dyDescent="0.35">
      <c r="A1426" t="s">
        <v>58</v>
      </c>
    </row>
    <row r="1427" spans="1:4" x14ac:dyDescent="0.35">
      <c r="A1427" t="s">
        <v>178</v>
      </c>
      <c r="B1427" t="s">
        <v>54</v>
      </c>
      <c r="C1427" t="s">
        <v>99</v>
      </c>
      <c r="D1427" t="s">
        <v>16</v>
      </c>
    </row>
    <row r="1428" spans="1:4" x14ac:dyDescent="0.35">
      <c r="A1428" t="s">
        <v>63</v>
      </c>
    </row>
    <row r="1430" spans="1:4" x14ac:dyDescent="0.35">
      <c r="A1430" t="s">
        <v>619</v>
      </c>
    </row>
    <row r="1431" spans="1:4" x14ac:dyDescent="0.35">
      <c r="A1431" t="s">
        <v>13</v>
      </c>
      <c r="B1431" t="s">
        <v>14</v>
      </c>
      <c r="C1431" t="s">
        <v>15</v>
      </c>
      <c r="D1431" t="s">
        <v>16</v>
      </c>
    </row>
    <row r="1432" spans="1:4" x14ac:dyDescent="0.35">
      <c r="A1432" t="s">
        <v>17</v>
      </c>
    </row>
    <row r="1433" spans="1:4" x14ac:dyDescent="0.35">
      <c r="A1433" t="s">
        <v>405</v>
      </c>
      <c r="B1433" t="s">
        <v>24</v>
      </c>
      <c r="C1433" t="s">
        <v>33</v>
      </c>
      <c r="D1433" t="s">
        <v>16</v>
      </c>
    </row>
    <row r="1434" spans="1:4" x14ac:dyDescent="0.35">
      <c r="A1434" t="s">
        <v>42</v>
      </c>
    </row>
    <row r="1435" spans="1:4" x14ac:dyDescent="0.35">
      <c r="A1435" t="s">
        <v>620</v>
      </c>
    </row>
    <row r="1436" spans="1:4" x14ac:dyDescent="0.35">
      <c r="A1436" t="s">
        <v>621</v>
      </c>
    </row>
    <row r="1437" spans="1:4" x14ac:dyDescent="0.35">
      <c r="A1437" t="s">
        <v>233</v>
      </c>
    </row>
    <row r="1438" spans="1:4" x14ac:dyDescent="0.35">
      <c r="A1438" t="s">
        <v>63</v>
      </c>
    </row>
    <row r="1440" spans="1:4" x14ac:dyDescent="0.35">
      <c r="A1440" t="s">
        <v>622</v>
      </c>
    </row>
    <row r="1441" spans="1:4" x14ac:dyDescent="0.35">
      <c r="A1441" t="s">
        <v>97</v>
      </c>
    </row>
    <row r="1442" spans="1:4" x14ac:dyDescent="0.35">
      <c r="A1442" t="s">
        <v>623</v>
      </c>
      <c r="B1442" t="s">
        <v>14</v>
      </c>
      <c r="C1442" t="s">
        <v>99</v>
      </c>
      <c r="D1442" t="s">
        <v>16</v>
      </c>
    </row>
    <row r="1443" spans="1:4" x14ac:dyDescent="0.35">
      <c r="A1443" t="s">
        <v>111</v>
      </c>
    </row>
    <row r="1444" spans="1:4" x14ac:dyDescent="0.35">
      <c r="A1444" t="s">
        <v>466</v>
      </c>
    </row>
    <row r="1445" spans="1:4" x14ac:dyDescent="0.35">
      <c r="A1445" t="s">
        <v>58</v>
      </c>
    </row>
    <row r="1446" spans="1:4" x14ac:dyDescent="0.35">
      <c r="A1446" t="s">
        <v>377</v>
      </c>
      <c r="B1446" t="s">
        <v>32</v>
      </c>
      <c r="C1446" t="s">
        <v>99</v>
      </c>
      <c r="D1446" t="s">
        <v>16</v>
      </c>
    </row>
    <row r="1447" spans="1:4" x14ac:dyDescent="0.35">
      <c r="A1447" t="s">
        <v>63</v>
      </c>
    </row>
    <row r="1449" spans="1:4" x14ac:dyDescent="0.35">
      <c r="A1449" t="s">
        <v>624</v>
      </c>
    </row>
    <row r="1450" spans="1:4" x14ac:dyDescent="0.35">
      <c r="A1450" t="s">
        <v>430</v>
      </c>
    </row>
    <row r="1451" spans="1:4" x14ac:dyDescent="0.35">
      <c r="A1451" t="s">
        <v>145</v>
      </c>
    </row>
    <row r="1452" spans="1:4" x14ac:dyDescent="0.35">
      <c r="A1452" t="s">
        <v>625</v>
      </c>
    </row>
    <row r="1453" spans="1:4" x14ac:dyDescent="0.35">
      <c r="A1453" t="s">
        <v>58</v>
      </c>
    </row>
    <row r="1454" spans="1:4" x14ac:dyDescent="0.35">
      <c r="A1454" t="s">
        <v>626</v>
      </c>
      <c r="B1454" t="s">
        <v>32</v>
      </c>
      <c r="C1454" t="s">
        <v>99</v>
      </c>
      <c r="D1454" t="s">
        <v>16</v>
      </c>
    </row>
    <row r="1455" spans="1:4" x14ac:dyDescent="0.35">
      <c r="A1455" t="s">
        <v>123</v>
      </c>
    </row>
    <row r="1456" spans="1:4" x14ac:dyDescent="0.35">
      <c r="A1456" t="s">
        <v>58</v>
      </c>
    </row>
    <row r="1457" spans="1:4" x14ac:dyDescent="0.35">
      <c r="A1457" t="s">
        <v>386</v>
      </c>
    </row>
    <row r="1458" spans="1:4" x14ac:dyDescent="0.35">
      <c r="A1458" t="s">
        <v>262</v>
      </c>
    </row>
    <row r="1459" spans="1:4" x14ac:dyDescent="0.35">
      <c r="A1459" t="s">
        <v>387</v>
      </c>
      <c r="B1459" t="s">
        <v>54</v>
      </c>
      <c r="C1459" t="s">
        <v>99</v>
      </c>
      <c r="D1459" t="s">
        <v>16</v>
      </c>
    </row>
    <row r="1460" spans="1:4" x14ac:dyDescent="0.35">
      <c r="A1460" t="s">
        <v>510</v>
      </c>
    </row>
    <row r="1461" spans="1:4" x14ac:dyDescent="0.35">
      <c r="A1461" t="s">
        <v>58</v>
      </c>
    </row>
    <row r="1462" spans="1:4" x14ac:dyDescent="0.35">
      <c r="A1462" t="s">
        <v>336</v>
      </c>
    </row>
    <row r="1463" spans="1:4" x14ac:dyDescent="0.35">
      <c r="A1463" t="s">
        <v>431</v>
      </c>
      <c r="B1463" t="s">
        <v>41</v>
      </c>
      <c r="C1463" t="s">
        <v>381</v>
      </c>
      <c r="D1463" t="s">
        <v>16</v>
      </c>
    </row>
    <row r="1464" spans="1:4" x14ac:dyDescent="0.35">
      <c r="A1464" t="s">
        <v>26</v>
      </c>
    </row>
    <row r="1465" spans="1:4" x14ac:dyDescent="0.35">
      <c r="A1465" t="s">
        <v>58</v>
      </c>
    </row>
    <row r="1466" spans="1:4" x14ac:dyDescent="0.35">
      <c r="A1466" t="s">
        <v>627</v>
      </c>
    </row>
    <row r="1467" spans="1:4" x14ac:dyDescent="0.35">
      <c r="A1467" t="s">
        <v>628</v>
      </c>
      <c r="B1467" t="s">
        <v>56</v>
      </c>
      <c r="C1467" t="s">
        <v>99</v>
      </c>
      <c r="D1467" t="s">
        <v>16</v>
      </c>
    </row>
    <row r="1468" spans="1:4" x14ac:dyDescent="0.35">
      <c r="A1468" t="s">
        <v>76</v>
      </c>
    </row>
    <row r="1469" spans="1:4" x14ac:dyDescent="0.35">
      <c r="A1469" t="s">
        <v>58</v>
      </c>
    </row>
    <row r="1470" spans="1:4" x14ac:dyDescent="0.35">
      <c r="A1470" t="s">
        <v>629</v>
      </c>
    </row>
    <row r="1471" spans="1:4" x14ac:dyDescent="0.35">
      <c r="A1471" t="s">
        <v>508</v>
      </c>
      <c r="B1471" t="s">
        <v>48</v>
      </c>
      <c r="C1471" t="s">
        <v>99</v>
      </c>
      <c r="D1471" t="s">
        <v>16</v>
      </c>
    </row>
    <row r="1472" spans="1:4" x14ac:dyDescent="0.35">
      <c r="A1472" t="s">
        <v>26</v>
      </c>
    </row>
    <row r="1473" spans="1:4" x14ac:dyDescent="0.35">
      <c r="A1473" t="s">
        <v>630</v>
      </c>
    </row>
    <row r="1474" spans="1:4" x14ac:dyDescent="0.35">
      <c r="A1474" t="s">
        <v>631</v>
      </c>
    </row>
    <row r="1475" spans="1:4" x14ac:dyDescent="0.35">
      <c r="A1475" t="s">
        <v>310</v>
      </c>
    </row>
    <row r="1476" spans="1:4" x14ac:dyDescent="0.35">
      <c r="A1476" t="s">
        <v>60</v>
      </c>
      <c r="B1476" t="s">
        <v>56</v>
      </c>
      <c r="C1476" t="s">
        <v>49</v>
      </c>
      <c r="D1476" t="s">
        <v>16</v>
      </c>
    </row>
    <row r="1477" spans="1:4" x14ac:dyDescent="0.35">
      <c r="A1477" t="s">
        <v>444</v>
      </c>
      <c r="B1477" t="s">
        <v>20</v>
      </c>
      <c r="C1477" t="s">
        <v>15</v>
      </c>
      <c r="D1477" t="s">
        <v>16</v>
      </c>
    </row>
    <row r="1478" spans="1:4" x14ac:dyDescent="0.35">
      <c r="A1478" t="s">
        <v>63</v>
      </c>
    </row>
    <row r="1480" spans="1:4" x14ac:dyDescent="0.35">
      <c r="A1480" t="s">
        <v>632</v>
      </c>
    </row>
    <row r="1481" spans="1:4" x14ac:dyDescent="0.35">
      <c r="A1481" t="s">
        <v>182</v>
      </c>
    </row>
    <row r="1482" spans="1:4" x14ac:dyDescent="0.35">
      <c r="A1482" t="s">
        <v>502</v>
      </c>
      <c r="B1482" t="s">
        <v>54</v>
      </c>
      <c r="C1482" t="s">
        <v>172</v>
      </c>
    </row>
    <row r="1483" spans="1:4" x14ac:dyDescent="0.35">
      <c r="A1483" t="s">
        <v>39</v>
      </c>
    </row>
    <row r="1484" spans="1:4" x14ac:dyDescent="0.35">
      <c r="A1484" t="s">
        <v>534</v>
      </c>
    </row>
    <row r="1485" spans="1:4" x14ac:dyDescent="0.35">
      <c r="A1485" t="s">
        <v>633</v>
      </c>
    </row>
    <row r="1486" spans="1:4" x14ac:dyDescent="0.35">
      <c r="A1486" t="s">
        <v>634</v>
      </c>
      <c r="B1486" t="s">
        <v>36</v>
      </c>
      <c r="C1486" t="s">
        <v>108</v>
      </c>
    </row>
    <row r="1487" spans="1:4" x14ac:dyDescent="0.35">
      <c r="A1487" t="s">
        <v>73</v>
      </c>
      <c r="B1487" t="s">
        <v>143</v>
      </c>
    </row>
    <row r="1488" spans="1:4" x14ac:dyDescent="0.35">
      <c r="A1488" t="s">
        <v>635</v>
      </c>
    </row>
    <row r="1489" spans="1:4" x14ac:dyDescent="0.35">
      <c r="A1489" t="s">
        <v>28</v>
      </c>
    </row>
    <row r="1490" spans="1:4" x14ac:dyDescent="0.35">
      <c r="A1490" t="s">
        <v>595</v>
      </c>
      <c r="B1490" t="s">
        <v>52</v>
      </c>
      <c r="C1490" t="s">
        <v>339</v>
      </c>
    </row>
    <row r="1491" spans="1:4" x14ac:dyDescent="0.35">
      <c r="A1491" t="s">
        <v>17</v>
      </c>
    </row>
    <row r="1492" spans="1:4" x14ac:dyDescent="0.35">
      <c r="A1492" t="s">
        <v>58</v>
      </c>
    </row>
    <row r="1493" spans="1:4" x14ac:dyDescent="0.35">
      <c r="A1493" t="s">
        <v>178</v>
      </c>
      <c r="B1493" t="s">
        <v>48</v>
      </c>
      <c r="C1493" t="s">
        <v>99</v>
      </c>
      <c r="D1493" t="s">
        <v>16</v>
      </c>
    </row>
    <row r="1494" spans="1:4" x14ac:dyDescent="0.35">
      <c r="A1494" t="s">
        <v>42</v>
      </c>
    </row>
    <row r="1495" spans="1:4" x14ac:dyDescent="0.35">
      <c r="A1495" t="s">
        <v>536</v>
      </c>
    </row>
    <row r="1496" spans="1:4" x14ac:dyDescent="0.35">
      <c r="A1496" t="s">
        <v>636</v>
      </c>
    </row>
    <row r="1497" spans="1:4" x14ac:dyDescent="0.35">
      <c r="A1497" t="s">
        <v>76</v>
      </c>
    </row>
    <row r="1498" spans="1:4" x14ac:dyDescent="0.35">
      <c r="A1498" t="s">
        <v>636</v>
      </c>
    </row>
    <row r="1499" spans="1:4" x14ac:dyDescent="0.35">
      <c r="A1499" t="s">
        <v>45</v>
      </c>
    </row>
    <row r="1500" spans="1:4" x14ac:dyDescent="0.35">
      <c r="A1500" t="s">
        <v>58</v>
      </c>
    </row>
    <row r="1501" spans="1:4" x14ac:dyDescent="0.35">
      <c r="A1501" t="s">
        <v>215</v>
      </c>
      <c r="B1501" t="s">
        <v>24</v>
      </c>
      <c r="C1501" t="s">
        <v>99</v>
      </c>
      <c r="D1501" t="s">
        <v>16</v>
      </c>
    </row>
    <row r="1502" spans="1:4" x14ac:dyDescent="0.35">
      <c r="A1502" t="s">
        <v>63</v>
      </c>
    </row>
    <row r="1504" spans="1:4" x14ac:dyDescent="0.35">
      <c r="A1504" t="s">
        <v>637</v>
      </c>
    </row>
    <row r="1505" spans="1:4" x14ac:dyDescent="0.35">
      <c r="A1505" t="s">
        <v>638</v>
      </c>
    </row>
    <row r="1506" spans="1:4" x14ac:dyDescent="0.35">
      <c r="A1506" t="s">
        <v>58</v>
      </c>
    </row>
    <row r="1507" spans="1:4" x14ac:dyDescent="0.35">
      <c r="A1507" t="s">
        <v>639</v>
      </c>
    </row>
    <row r="1508" spans="1:4" x14ac:dyDescent="0.35">
      <c r="A1508" t="s">
        <v>640</v>
      </c>
    </row>
    <row r="1509" spans="1:4" x14ac:dyDescent="0.35">
      <c r="A1509" t="s">
        <v>641</v>
      </c>
      <c r="B1509" t="s">
        <v>14</v>
      </c>
      <c r="C1509" t="s">
        <v>15</v>
      </c>
      <c r="D1509" t="s">
        <v>16</v>
      </c>
    </row>
    <row r="1510" spans="1:4" x14ac:dyDescent="0.35">
      <c r="A1510" t="s">
        <v>17</v>
      </c>
    </row>
    <row r="1511" spans="1:4" x14ac:dyDescent="0.35">
      <c r="A1511" t="s">
        <v>31</v>
      </c>
      <c r="B1511" t="s">
        <v>24</v>
      </c>
      <c r="C1511" t="s">
        <v>33</v>
      </c>
      <c r="D1511" t="s">
        <v>16</v>
      </c>
    </row>
    <row r="1512" spans="1:4" x14ac:dyDescent="0.35">
      <c r="A1512" t="s">
        <v>83</v>
      </c>
    </row>
    <row r="1513" spans="1:4" x14ac:dyDescent="0.35">
      <c r="A1513" t="s">
        <v>642</v>
      </c>
    </row>
    <row r="1514" spans="1:4" x14ac:dyDescent="0.35">
      <c r="A1514" t="s">
        <v>458</v>
      </c>
    </row>
    <row r="1515" spans="1:4" x14ac:dyDescent="0.35">
      <c r="A1515" t="s">
        <v>58</v>
      </c>
    </row>
    <row r="1516" spans="1:4" x14ac:dyDescent="0.35">
      <c r="A1516" t="s">
        <v>616</v>
      </c>
    </row>
    <row r="1517" spans="1:4" x14ac:dyDescent="0.35">
      <c r="A1517" t="s">
        <v>643</v>
      </c>
      <c r="B1517" t="s">
        <v>54</v>
      </c>
      <c r="C1517" t="s">
        <v>99</v>
      </c>
      <c r="D1517" t="s">
        <v>16</v>
      </c>
    </row>
    <row r="1518" spans="1:4" x14ac:dyDescent="0.35">
      <c r="A1518" t="s">
        <v>17</v>
      </c>
    </row>
    <row r="1519" spans="1:4" x14ac:dyDescent="0.35">
      <c r="A1519" t="s">
        <v>58</v>
      </c>
    </row>
    <row r="1520" spans="1:4" x14ac:dyDescent="0.35">
      <c r="A1520" t="s">
        <v>644</v>
      </c>
    </row>
    <row r="1521" spans="1:4" x14ac:dyDescent="0.35">
      <c r="A1521" t="s">
        <v>428</v>
      </c>
      <c r="B1521" t="s">
        <v>24</v>
      </c>
      <c r="C1521" t="s">
        <v>99</v>
      </c>
      <c r="D1521" t="s">
        <v>16</v>
      </c>
    </row>
    <row r="1522" spans="1:4" x14ac:dyDescent="0.35">
      <c r="A1522" t="s">
        <v>63</v>
      </c>
    </row>
    <row r="1524" spans="1:4" x14ac:dyDescent="0.35">
      <c r="A1524" t="s">
        <v>645</v>
      </c>
    </row>
    <row r="1525" spans="1:4" x14ac:dyDescent="0.35">
      <c r="A1525" t="s">
        <v>97</v>
      </c>
    </row>
    <row r="1526" spans="1:4" x14ac:dyDescent="0.35">
      <c r="A1526" t="s">
        <v>646</v>
      </c>
    </row>
    <row r="1527" spans="1:4" x14ac:dyDescent="0.35">
      <c r="A1527" t="s">
        <v>413</v>
      </c>
      <c r="B1527" t="s">
        <v>14</v>
      </c>
      <c r="C1527" t="s">
        <v>99</v>
      </c>
      <c r="D1527" t="s">
        <v>16</v>
      </c>
    </row>
    <row r="1528" spans="1:4" x14ac:dyDescent="0.35">
      <c r="A1528" t="s">
        <v>17</v>
      </c>
    </row>
    <row r="1529" spans="1:4" x14ac:dyDescent="0.35">
      <c r="A1529" t="s">
        <v>58</v>
      </c>
    </row>
    <row r="1530" spans="1:4" x14ac:dyDescent="0.35">
      <c r="A1530" t="s">
        <v>416</v>
      </c>
      <c r="B1530" t="s">
        <v>24</v>
      </c>
      <c r="C1530" t="s">
        <v>99</v>
      </c>
      <c r="D1530" t="s">
        <v>16</v>
      </c>
    </row>
    <row r="1531" spans="1:4" x14ac:dyDescent="0.35">
      <c r="A1531" t="s">
        <v>42</v>
      </c>
    </row>
    <row r="1532" spans="1:4" x14ac:dyDescent="0.35">
      <c r="A1532" t="s">
        <v>578</v>
      </c>
    </row>
    <row r="1533" spans="1:4" x14ac:dyDescent="0.35">
      <c r="A1533" t="s">
        <v>647</v>
      </c>
    </row>
    <row r="1534" spans="1:4" x14ac:dyDescent="0.35">
      <c r="A1534" t="s">
        <v>26</v>
      </c>
    </row>
    <row r="1535" spans="1:4" x14ac:dyDescent="0.35">
      <c r="A1535" t="s">
        <v>76</v>
      </c>
    </row>
    <row r="1536" spans="1:4" x14ac:dyDescent="0.35">
      <c r="A1536" t="s">
        <v>58</v>
      </c>
    </row>
    <row r="1537" spans="1:4" x14ac:dyDescent="0.35">
      <c r="A1537" t="s">
        <v>648</v>
      </c>
      <c r="B1537" t="s">
        <v>36</v>
      </c>
      <c r="C1537" t="s">
        <v>99</v>
      </c>
      <c r="D1537" t="s">
        <v>16</v>
      </c>
    </row>
    <row r="1538" spans="1:4" x14ac:dyDescent="0.35">
      <c r="A1538" t="s">
        <v>83</v>
      </c>
    </row>
    <row r="1539" spans="1:4" x14ac:dyDescent="0.35">
      <c r="A1539" t="s">
        <v>649</v>
      </c>
    </row>
    <row r="1540" spans="1:4" x14ac:dyDescent="0.35">
      <c r="A1540" t="s">
        <v>489</v>
      </c>
    </row>
    <row r="1541" spans="1:4" x14ac:dyDescent="0.35">
      <c r="A1541" t="s">
        <v>17</v>
      </c>
    </row>
    <row r="1542" spans="1:4" x14ac:dyDescent="0.35">
      <c r="A1542" t="s">
        <v>34</v>
      </c>
    </row>
    <row r="1543" spans="1:4" x14ac:dyDescent="0.35">
      <c r="A1543" t="s">
        <v>650</v>
      </c>
      <c r="B1543" t="s">
        <v>24</v>
      </c>
      <c r="C1543" t="s">
        <v>37</v>
      </c>
    </row>
    <row r="1544" spans="1:4" x14ac:dyDescent="0.35">
      <c r="A1544" t="s">
        <v>17</v>
      </c>
    </row>
    <row r="1545" spans="1:4" x14ac:dyDescent="0.35">
      <c r="A1545" t="s">
        <v>534</v>
      </c>
    </row>
    <row r="1546" spans="1:4" x14ac:dyDescent="0.35">
      <c r="A1546" t="s">
        <v>651</v>
      </c>
      <c r="B1546" t="s">
        <v>20</v>
      </c>
      <c r="C1546" t="s">
        <v>108</v>
      </c>
    </row>
    <row r="1547" spans="1:4" x14ac:dyDescent="0.35">
      <c r="A1547" t="s">
        <v>63</v>
      </c>
    </row>
    <row r="1549" spans="1:4" x14ac:dyDescent="0.35">
      <c r="A1549" t="s">
        <v>652</v>
      </c>
    </row>
    <row r="1550" spans="1:4" x14ac:dyDescent="0.35">
      <c r="A1550" t="s">
        <v>257</v>
      </c>
    </row>
    <row r="1551" spans="1:4" x14ac:dyDescent="0.35">
      <c r="A1551" t="s">
        <v>133</v>
      </c>
      <c r="B1551" t="s">
        <v>36</v>
      </c>
      <c r="C1551" t="s">
        <v>33</v>
      </c>
      <c r="D1551" t="s">
        <v>16</v>
      </c>
    </row>
    <row r="1552" spans="1:4" x14ac:dyDescent="0.35">
      <c r="A1552" t="s">
        <v>406</v>
      </c>
    </row>
    <row r="1553" spans="1:4" x14ac:dyDescent="0.35">
      <c r="A1553" t="s">
        <v>31</v>
      </c>
      <c r="B1553" t="s">
        <v>91</v>
      </c>
      <c r="C1553" t="s">
        <v>33</v>
      </c>
      <c r="D1553" t="s">
        <v>16</v>
      </c>
    </row>
    <row r="1554" spans="1:4" x14ac:dyDescent="0.35">
      <c r="A1554" t="s">
        <v>58</v>
      </c>
    </row>
    <row r="1555" spans="1:4" x14ac:dyDescent="0.35">
      <c r="A1555" t="s">
        <v>307</v>
      </c>
    </row>
    <row r="1556" spans="1:4" x14ac:dyDescent="0.35">
      <c r="A1556" t="s">
        <v>262</v>
      </c>
    </row>
    <row r="1557" spans="1:4" x14ac:dyDescent="0.35">
      <c r="A1557" t="s">
        <v>653</v>
      </c>
      <c r="B1557" t="s">
        <v>14</v>
      </c>
      <c r="C1557" t="s">
        <v>99</v>
      </c>
      <c r="D1557" t="s">
        <v>16</v>
      </c>
    </row>
    <row r="1558" spans="1:4" x14ac:dyDescent="0.35">
      <c r="A1558" t="s">
        <v>66</v>
      </c>
    </row>
    <row r="1559" spans="1:4" x14ac:dyDescent="0.35">
      <c r="A1559" t="s">
        <v>654</v>
      </c>
    </row>
    <row r="1560" spans="1:4" x14ac:dyDescent="0.35">
      <c r="A1560" t="s">
        <v>301</v>
      </c>
    </row>
    <row r="1561" spans="1:4" x14ac:dyDescent="0.35">
      <c r="A1561" t="s">
        <v>655</v>
      </c>
    </row>
    <row r="1562" spans="1:4" x14ac:dyDescent="0.35">
      <c r="A1562" t="s">
        <v>656</v>
      </c>
      <c r="B1562" t="s">
        <v>24</v>
      </c>
      <c r="C1562" t="s">
        <v>381</v>
      </c>
      <c r="D1562" t="s">
        <v>16</v>
      </c>
    </row>
    <row r="1563" spans="1:4" x14ac:dyDescent="0.35">
      <c r="A1563" t="s">
        <v>17</v>
      </c>
    </row>
    <row r="1564" spans="1:4" x14ac:dyDescent="0.35">
      <c r="A1564" t="s">
        <v>58</v>
      </c>
    </row>
    <row r="1565" spans="1:4" x14ac:dyDescent="0.35">
      <c r="A1565" t="s">
        <v>215</v>
      </c>
      <c r="B1565" t="s">
        <v>20</v>
      </c>
      <c r="C1565" t="s">
        <v>99</v>
      </c>
      <c r="D1565" t="s">
        <v>16</v>
      </c>
    </row>
    <row r="1566" spans="1:4" x14ac:dyDescent="0.35">
      <c r="A1566" t="s">
        <v>76</v>
      </c>
    </row>
    <row r="1567" spans="1:4" x14ac:dyDescent="0.35">
      <c r="A1567" t="s">
        <v>657</v>
      </c>
    </row>
    <row r="1568" spans="1:4" x14ac:dyDescent="0.35">
      <c r="A1568" t="s">
        <v>537</v>
      </c>
    </row>
    <row r="1569" spans="1:4" x14ac:dyDescent="0.35">
      <c r="A1569" t="s">
        <v>360</v>
      </c>
    </row>
    <row r="1570" spans="1:4" x14ac:dyDescent="0.35">
      <c r="A1570" t="s">
        <v>28</v>
      </c>
    </row>
    <row r="1571" spans="1:4" x14ac:dyDescent="0.35">
      <c r="A1571" t="s">
        <v>533</v>
      </c>
    </row>
    <row r="1572" spans="1:4" x14ac:dyDescent="0.35">
      <c r="A1572" t="s">
        <v>658</v>
      </c>
      <c r="B1572" t="s">
        <v>20</v>
      </c>
      <c r="C1572" t="s">
        <v>339</v>
      </c>
    </row>
    <row r="1573" spans="1:4" x14ac:dyDescent="0.35">
      <c r="A1573" t="s">
        <v>26</v>
      </c>
    </row>
    <row r="1574" spans="1:4" x14ac:dyDescent="0.35">
      <c r="A1574" t="s">
        <v>169</v>
      </c>
    </row>
    <row r="1575" spans="1:4" x14ac:dyDescent="0.35">
      <c r="A1575" t="s">
        <v>73</v>
      </c>
    </row>
    <row r="1576" spans="1:4" x14ac:dyDescent="0.35">
      <c r="A1576" t="s">
        <v>58</v>
      </c>
    </row>
    <row r="1577" spans="1:4" x14ac:dyDescent="0.35">
      <c r="A1577" t="s">
        <v>659</v>
      </c>
    </row>
    <row r="1578" spans="1:4" x14ac:dyDescent="0.35">
      <c r="A1578" t="s">
        <v>660</v>
      </c>
      <c r="B1578" t="s">
        <v>308</v>
      </c>
      <c r="C1578" t="s">
        <v>99</v>
      </c>
      <c r="D1578" t="s">
        <v>16</v>
      </c>
    </row>
    <row r="1579" spans="1:4" x14ac:dyDescent="0.35">
      <c r="A1579" t="s">
        <v>76</v>
      </c>
    </row>
    <row r="1580" spans="1:4" x14ac:dyDescent="0.35">
      <c r="A1580" t="s">
        <v>58</v>
      </c>
    </row>
    <row r="1581" spans="1:4" x14ac:dyDescent="0.35">
      <c r="A1581" t="s">
        <v>604</v>
      </c>
      <c r="B1581" t="s">
        <v>61</v>
      </c>
      <c r="C1581" t="s">
        <v>99</v>
      </c>
      <c r="D1581" t="s">
        <v>16</v>
      </c>
    </row>
    <row r="1582" spans="1:4" x14ac:dyDescent="0.35">
      <c r="A1582" t="s">
        <v>661</v>
      </c>
    </row>
    <row r="1583" spans="1:4" x14ac:dyDescent="0.35">
      <c r="A1583" t="s">
        <v>541</v>
      </c>
    </row>
    <row r="1584" spans="1:4" x14ac:dyDescent="0.35">
      <c r="A1584" t="s">
        <v>34</v>
      </c>
    </row>
    <row r="1585" spans="1:4" x14ac:dyDescent="0.35">
      <c r="A1585" t="s">
        <v>662</v>
      </c>
    </row>
    <row r="1586" spans="1:4" x14ac:dyDescent="0.35">
      <c r="A1586" t="s">
        <v>663</v>
      </c>
      <c r="B1586" t="s">
        <v>48</v>
      </c>
      <c r="C1586" t="s">
        <v>37</v>
      </c>
    </row>
    <row r="1587" spans="1:4" x14ac:dyDescent="0.35">
      <c r="A1587" t="s">
        <v>164</v>
      </c>
    </row>
    <row r="1588" spans="1:4" x14ac:dyDescent="0.35">
      <c r="A1588" t="s">
        <v>34</v>
      </c>
    </row>
    <row r="1589" spans="1:4" x14ac:dyDescent="0.35">
      <c r="A1589" t="s">
        <v>664</v>
      </c>
    </row>
    <row r="1590" spans="1:4" x14ac:dyDescent="0.35">
      <c r="A1590" t="s">
        <v>665</v>
      </c>
      <c r="B1590" t="s">
        <v>48</v>
      </c>
      <c r="C1590" t="s">
        <v>37</v>
      </c>
    </row>
    <row r="1591" spans="1:4" x14ac:dyDescent="0.35">
      <c r="A1591" t="s">
        <v>63</v>
      </c>
    </row>
    <row r="1593" spans="1:4" x14ac:dyDescent="0.35">
      <c r="A1593" t="s">
        <v>666</v>
      </c>
    </row>
    <row r="1594" spans="1:4" x14ac:dyDescent="0.35">
      <c r="A1594" t="s">
        <v>19</v>
      </c>
    </row>
    <row r="1595" spans="1:4" x14ac:dyDescent="0.35">
      <c r="A1595" t="s">
        <v>667</v>
      </c>
    </row>
    <row r="1596" spans="1:4" x14ac:dyDescent="0.35">
      <c r="A1596" t="s">
        <v>47</v>
      </c>
      <c r="B1596" t="s">
        <v>24</v>
      </c>
      <c r="C1596" t="s">
        <v>49</v>
      </c>
      <c r="D1596" t="s">
        <v>16</v>
      </c>
    </row>
    <row r="1597" spans="1:4" x14ac:dyDescent="0.35">
      <c r="A1597" t="s">
        <v>668</v>
      </c>
      <c r="B1597" t="s">
        <v>32</v>
      </c>
      <c r="C1597" t="s">
        <v>15</v>
      </c>
      <c r="D1597" t="s">
        <v>16</v>
      </c>
    </row>
    <row r="1598" spans="1:4" x14ac:dyDescent="0.35">
      <c r="A1598" t="s">
        <v>669</v>
      </c>
    </row>
    <row r="1599" spans="1:4" x14ac:dyDescent="0.35">
      <c r="A1599" t="s">
        <v>164</v>
      </c>
    </row>
    <row r="1600" spans="1:4" x14ac:dyDescent="0.35">
      <c r="A1600" t="s">
        <v>58</v>
      </c>
    </row>
    <row r="1601" spans="1:4" x14ac:dyDescent="0.35">
      <c r="A1601" t="s">
        <v>670</v>
      </c>
      <c r="B1601" t="s">
        <v>54</v>
      </c>
      <c r="C1601" t="s">
        <v>99</v>
      </c>
      <c r="D1601" t="s">
        <v>16</v>
      </c>
    </row>
    <row r="1602" spans="1:4" x14ac:dyDescent="0.35">
      <c r="A1602" t="s">
        <v>123</v>
      </c>
    </row>
    <row r="1603" spans="1:4" x14ac:dyDescent="0.35">
      <c r="A1603" t="s">
        <v>128</v>
      </c>
      <c r="B1603" t="s">
        <v>24</v>
      </c>
      <c r="C1603" t="s">
        <v>15</v>
      </c>
      <c r="D1603" t="s">
        <v>16</v>
      </c>
    </row>
    <row r="1604" spans="1:4" x14ac:dyDescent="0.35">
      <c r="A1604" t="s">
        <v>17</v>
      </c>
    </row>
    <row r="1605" spans="1:4" x14ac:dyDescent="0.35">
      <c r="A1605" t="s">
        <v>129</v>
      </c>
      <c r="B1605" t="s">
        <v>20</v>
      </c>
      <c r="C1605" t="s">
        <v>33</v>
      </c>
      <c r="D1605" t="s">
        <v>16</v>
      </c>
    </row>
    <row r="1606" spans="1:4" x14ac:dyDescent="0.35">
      <c r="A1606" t="s">
        <v>76</v>
      </c>
    </row>
    <row r="1607" spans="1:4" x14ac:dyDescent="0.35">
      <c r="A1607" t="s">
        <v>671</v>
      </c>
    </row>
    <row r="1608" spans="1:4" x14ac:dyDescent="0.35">
      <c r="A1608" t="s">
        <v>47</v>
      </c>
      <c r="B1608" t="s">
        <v>20</v>
      </c>
      <c r="C1608" t="s">
        <v>49</v>
      </c>
      <c r="D1608" t="s">
        <v>16</v>
      </c>
    </row>
    <row r="1609" spans="1:4" x14ac:dyDescent="0.35">
      <c r="A1609" t="s">
        <v>672</v>
      </c>
      <c r="B1609" t="s">
        <v>91</v>
      </c>
      <c r="C1609" t="s">
        <v>15</v>
      </c>
      <c r="D1609" t="s">
        <v>16</v>
      </c>
    </row>
    <row r="1610" spans="1:4" x14ac:dyDescent="0.35">
      <c r="A1610" t="s">
        <v>123</v>
      </c>
    </row>
    <row r="1611" spans="1:4" x14ac:dyDescent="0.35">
      <c r="A1611" t="s">
        <v>47</v>
      </c>
      <c r="B1611" t="s">
        <v>20</v>
      </c>
      <c r="C1611" t="s">
        <v>49</v>
      </c>
      <c r="D1611" t="s">
        <v>16</v>
      </c>
    </row>
    <row r="1612" spans="1:4" x14ac:dyDescent="0.35">
      <c r="A1612" t="s">
        <v>673</v>
      </c>
      <c r="B1612" t="s">
        <v>24</v>
      </c>
      <c r="C1612" t="s">
        <v>15</v>
      </c>
      <c r="D1612" t="s">
        <v>16</v>
      </c>
    </row>
    <row r="1613" spans="1:4" x14ac:dyDescent="0.35">
      <c r="A1613" t="s">
        <v>63</v>
      </c>
    </row>
    <row r="1615" spans="1:4" x14ac:dyDescent="0.35">
      <c r="A1615" t="s">
        <v>244</v>
      </c>
    </row>
    <row r="1616" spans="1:4" x14ac:dyDescent="0.35">
      <c r="A1616" t="s">
        <v>674</v>
      </c>
    </row>
    <row r="1617" spans="1:4" x14ac:dyDescent="0.35">
      <c r="A1617" t="s">
        <v>246</v>
      </c>
    </row>
    <row r="1618" spans="1:4" x14ac:dyDescent="0.35">
      <c r="A1618" t="s">
        <v>675</v>
      </c>
    </row>
    <row r="1619" spans="1:4" x14ac:dyDescent="0.35">
      <c r="A1619" t="s">
        <v>40</v>
      </c>
      <c r="B1619" t="s">
        <v>36</v>
      </c>
      <c r="C1619" t="s">
        <v>33</v>
      </c>
      <c r="D1619" t="s">
        <v>16</v>
      </c>
    </row>
    <row r="1620" spans="1:4" x14ac:dyDescent="0.35">
      <c r="A1620" t="s">
        <v>319</v>
      </c>
    </row>
    <row r="1621" spans="1:4" x14ac:dyDescent="0.35">
      <c r="A1621" t="s">
        <v>403</v>
      </c>
    </row>
    <row r="1622" spans="1:4" x14ac:dyDescent="0.35">
      <c r="A1622" t="s">
        <v>489</v>
      </c>
    </row>
    <row r="1623" spans="1:4" x14ac:dyDescent="0.35">
      <c r="A1623" t="s">
        <v>123</v>
      </c>
    </row>
    <row r="1624" spans="1:4" x14ac:dyDescent="0.35">
      <c r="A1624" t="s">
        <v>34</v>
      </c>
    </row>
    <row r="1625" spans="1:4" x14ac:dyDescent="0.35">
      <c r="A1625" t="s">
        <v>676</v>
      </c>
      <c r="B1625" t="s">
        <v>54</v>
      </c>
      <c r="C1625" t="s">
        <v>37</v>
      </c>
    </row>
    <row r="1626" spans="1:4" x14ac:dyDescent="0.35">
      <c r="A1626" t="s">
        <v>17</v>
      </c>
    </row>
    <row r="1627" spans="1:4" x14ac:dyDescent="0.35">
      <c r="A1627" t="s">
        <v>348</v>
      </c>
    </row>
    <row r="1628" spans="1:4" x14ac:dyDescent="0.35">
      <c r="A1628" t="s">
        <v>677</v>
      </c>
      <c r="B1628" t="s">
        <v>24</v>
      </c>
      <c r="C1628" t="s">
        <v>37</v>
      </c>
    </row>
    <row r="1629" spans="1:4" x14ac:dyDescent="0.35">
      <c r="A1629" t="s">
        <v>58</v>
      </c>
    </row>
    <row r="1630" spans="1:4" x14ac:dyDescent="0.35">
      <c r="A1630" t="s">
        <v>409</v>
      </c>
      <c r="B1630" t="s">
        <v>14</v>
      </c>
      <c r="C1630" t="s">
        <v>99</v>
      </c>
      <c r="D1630" t="s">
        <v>16</v>
      </c>
    </row>
    <row r="1631" spans="1:4" x14ac:dyDescent="0.35">
      <c r="A1631" t="s">
        <v>342</v>
      </c>
    </row>
    <row r="1632" spans="1:4" x14ac:dyDescent="0.35">
      <c r="A1632" t="s">
        <v>154</v>
      </c>
    </row>
    <row r="1633" spans="1:4" x14ac:dyDescent="0.35">
      <c r="A1633" t="s">
        <v>635</v>
      </c>
    </row>
    <row r="1634" spans="1:4" x14ac:dyDescent="0.35">
      <c r="A1634" t="s">
        <v>63</v>
      </c>
    </row>
    <row r="1636" spans="1:4" x14ac:dyDescent="0.35">
      <c r="A1636" t="s">
        <v>244</v>
      </c>
    </row>
    <row r="1637" spans="1:4" x14ac:dyDescent="0.35">
      <c r="A1637" t="s">
        <v>678</v>
      </c>
    </row>
    <row r="1638" spans="1:4" x14ac:dyDescent="0.35">
      <c r="A1638" t="s">
        <v>679</v>
      </c>
    </row>
    <row r="1639" spans="1:4" x14ac:dyDescent="0.35">
      <c r="A1639" t="s">
        <v>595</v>
      </c>
    </row>
    <row r="1640" spans="1:4" x14ac:dyDescent="0.35">
      <c r="A1640" t="s">
        <v>348</v>
      </c>
    </row>
    <row r="1641" spans="1:4" x14ac:dyDescent="0.35">
      <c r="A1641" t="s">
        <v>677</v>
      </c>
      <c r="B1641" t="s">
        <v>54</v>
      </c>
      <c r="C1641" t="s">
        <v>37</v>
      </c>
    </row>
    <row r="1642" spans="1:4" x14ac:dyDescent="0.35">
      <c r="A1642" t="s">
        <v>133</v>
      </c>
      <c r="B1642" t="s">
        <v>14</v>
      </c>
      <c r="C1642" t="s">
        <v>33</v>
      </c>
      <c r="D1642" t="s">
        <v>16</v>
      </c>
    </row>
    <row r="1643" spans="1:4" x14ac:dyDescent="0.35">
      <c r="A1643" t="s">
        <v>680</v>
      </c>
    </row>
    <row r="1644" spans="1:4" x14ac:dyDescent="0.35">
      <c r="A1644" t="s">
        <v>403</v>
      </c>
    </row>
    <row r="1645" spans="1:4" x14ac:dyDescent="0.35">
      <c r="A1645" t="s">
        <v>154</v>
      </c>
    </row>
    <row r="1646" spans="1:4" x14ac:dyDescent="0.35">
      <c r="A1646" t="s">
        <v>681</v>
      </c>
    </row>
    <row r="1647" spans="1:4" x14ac:dyDescent="0.35">
      <c r="A1647" t="s">
        <v>45</v>
      </c>
    </row>
    <row r="1648" spans="1:4" x14ac:dyDescent="0.35">
      <c r="A1648" t="s">
        <v>314</v>
      </c>
    </row>
    <row r="1649" spans="1:4" x14ac:dyDescent="0.35">
      <c r="A1649" t="s">
        <v>136</v>
      </c>
      <c r="B1649" t="s">
        <v>20</v>
      </c>
      <c r="C1649" t="s">
        <v>49</v>
      </c>
      <c r="D1649" t="s">
        <v>16</v>
      </c>
    </row>
    <row r="1650" spans="1:4" x14ac:dyDescent="0.35">
      <c r="A1650" t="s">
        <v>682</v>
      </c>
      <c r="B1650" t="s">
        <v>91</v>
      </c>
      <c r="C1650" t="s">
        <v>15</v>
      </c>
      <c r="D1650" t="s">
        <v>16</v>
      </c>
    </row>
    <row r="1651" spans="1:4" x14ac:dyDescent="0.35">
      <c r="A1651" t="s">
        <v>123</v>
      </c>
    </row>
    <row r="1652" spans="1:4" x14ac:dyDescent="0.35">
      <c r="A1652" t="s">
        <v>128</v>
      </c>
      <c r="B1652" t="s">
        <v>24</v>
      </c>
      <c r="C1652" t="s">
        <v>15</v>
      </c>
      <c r="D1652" t="s">
        <v>16</v>
      </c>
    </row>
    <row r="1653" spans="1:4" x14ac:dyDescent="0.35">
      <c r="A1653" t="s">
        <v>17</v>
      </c>
    </row>
    <row r="1654" spans="1:4" x14ac:dyDescent="0.35">
      <c r="A1654" t="s">
        <v>129</v>
      </c>
      <c r="B1654" t="s">
        <v>20</v>
      </c>
      <c r="C1654" t="s">
        <v>33</v>
      </c>
      <c r="D1654" t="s">
        <v>16</v>
      </c>
    </row>
    <row r="1655" spans="1:4" x14ac:dyDescent="0.35">
      <c r="A1655" t="s">
        <v>63</v>
      </c>
    </row>
    <row r="1656" spans="1:4" x14ac:dyDescent="0.35">
      <c r="A1656" t="s">
        <v>246</v>
      </c>
    </row>
    <row r="1658" spans="1:4" x14ac:dyDescent="0.35">
      <c r="A1658" t="s">
        <v>244</v>
      </c>
    </row>
    <row r="1659" spans="1:4" x14ac:dyDescent="0.35">
      <c r="A1659" t="s">
        <v>683</v>
      </c>
    </row>
    <row r="1660" spans="1:4" x14ac:dyDescent="0.35">
      <c r="A1660" t="s">
        <v>246</v>
      </c>
    </row>
    <row r="1661" spans="1:4" x14ac:dyDescent="0.35">
      <c r="A1661" t="s">
        <v>684</v>
      </c>
    </row>
    <row r="1662" spans="1:4" x14ac:dyDescent="0.35">
      <c r="A1662" t="s">
        <v>133</v>
      </c>
      <c r="B1662" t="s">
        <v>14</v>
      </c>
      <c r="C1662" t="s">
        <v>33</v>
      </c>
      <c r="D1662" t="s">
        <v>16</v>
      </c>
    </row>
    <row r="1663" spans="1:4" x14ac:dyDescent="0.35">
      <c r="A1663" t="s">
        <v>685</v>
      </c>
    </row>
    <row r="1664" spans="1:4" x14ac:dyDescent="0.35">
      <c r="A1664" t="s">
        <v>646</v>
      </c>
    </row>
    <row r="1665" spans="1:4" x14ac:dyDescent="0.35">
      <c r="A1665" t="s">
        <v>177</v>
      </c>
    </row>
    <row r="1666" spans="1:4" x14ac:dyDescent="0.35">
      <c r="A1666" t="s">
        <v>164</v>
      </c>
    </row>
    <row r="1667" spans="1:4" x14ac:dyDescent="0.35">
      <c r="A1667" t="s">
        <v>686</v>
      </c>
    </row>
    <row r="1668" spans="1:4" x14ac:dyDescent="0.35">
      <c r="A1668" t="s">
        <v>687</v>
      </c>
      <c r="B1668" t="s">
        <v>54</v>
      </c>
      <c r="C1668" t="s">
        <v>108</v>
      </c>
    </row>
    <row r="1669" spans="1:4" x14ac:dyDescent="0.35">
      <c r="A1669" t="s">
        <v>251</v>
      </c>
    </row>
    <row r="1670" spans="1:4" x14ac:dyDescent="0.35">
      <c r="A1670" t="s">
        <v>246</v>
      </c>
    </row>
    <row r="1672" spans="1:4" x14ac:dyDescent="0.35">
      <c r="A1672" t="s">
        <v>244</v>
      </c>
    </row>
    <row r="1673" spans="1:4" x14ac:dyDescent="0.35">
      <c r="A1673" t="s">
        <v>688</v>
      </c>
    </row>
    <row r="1674" spans="1:4" x14ac:dyDescent="0.35">
      <c r="A1674" t="s">
        <v>246</v>
      </c>
    </row>
    <row r="1675" spans="1:4" x14ac:dyDescent="0.35">
      <c r="A1675" t="s">
        <v>355</v>
      </c>
    </row>
    <row r="1676" spans="1:4" x14ac:dyDescent="0.35">
      <c r="A1676" t="s">
        <v>26</v>
      </c>
    </row>
    <row r="1677" spans="1:4" x14ac:dyDescent="0.35">
      <c r="A1677" t="s">
        <v>110</v>
      </c>
      <c r="B1677" t="s">
        <v>14</v>
      </c>
      <c r="C1677" t="s">
        <v>33</v>
      </c>
      <c r="D1677" t="s">
        <v>16</v>
      </c>
    </row>
    <row r="1678" spans="1:4" x14ac:dyDescent="0.35">
      <c r="A1678" t="s">
        <v>375</v>
      </c>
    </row>
    <row r="1679" spans="1:4" x14ac:dyDescent="0.35">
      <c r="A1679" t="s">
        <v>31</v>
      </c>
      <c r="B1679" t="s">
        <v>36</v>
      </c>
      <c r="C1679" t="s">
        <v>33</v>
      </c>
      <c r="D1679" t="s">
        <v>16</v>
      </c>
    </row>
    <row r="1680" spans="1:4" x14ac:dyDescent="0.35">
      <c r="A1680" t="s">
        <v>153</v>
      </c>
    </row>
    <row r="1681" spans="1:4" x14ac:dyDescent="0.35">
      <c r="A1681" t="s">
        <v>154</v>
      </c>
    </row>
    <row r="1682" spans="1:4" x14ac:dyDescent="0.35">
      <c r="A1682" t="s">
        <v>105</v>
      </c>
    </row>
    <row r="1683" spans="1:4" x14ac:dyDescent="0.35">
      <c r="A1683" t="s">
        <v>543</v>
      </c>
    </row>
    <row r="1684" spans="1:4" x14ac:dyDescent="0.35">
      <c r="A1684" t="s">
        <v>63</v>
      </c>
    </row>
    <row r="1685" spans="1:4" x14ac:dyDescent="0.35">
      <c r="A1685" t="s">
        <v>246</v>
      </c>
    </row>
    <row r="1687" spans="1:4" x14ac:dyDescent="0.35">
      <c r="A1687" t="s">
        <v>689</v>
      </c>
    </row>
    <row r="1688" spans="1:4" x14ac:dyDescent="0.35">
      <c r="A1688" t="s">
        <v>690</v>
      </c>
    </row>
    <row r="1689" spans="1:4" x14ac:dyDescent="0.35">
      <c r="A1689" t="s">
        <v>105</v>
      </c>
    </row>
    <row r="1690" spans="1:4" x14ac:dyDescent="0.35">
      <c r="A1690" t="s">
        <v>58</v>
      </c>
    </row>
    <row r="1691" spans="1:4" x14ac:dyDescent="0.35">
      <c r="A1691" t="s">
        <v>307</v>
      </c>
    </row>
    <row r="1692" spans="1:4" x14ac:dyDescent="0.35">
      <c r="A1692" t="s">
        <v>262</v>
      </c>
    </row>
    <row r="1693" spans="1:4" x14ac:dyDescent="0.35">
      <c r="A1693" t="s">
        <v>658</v>
      </c>
      <c r="B1693" t="s">
        <v>24</v>
      </c>
      <c r="C1693" t="s">
        <v>99</v>
      </c>
      <c r="D1693" t="s">
        <v>16</v>
      </c>
    </row>
    <row r="1694" spans="1:4" x14ac:dyDescent="0.35">
      <c r="A1694" t="s">
        <v>691</v>
      </c>
    </row>
    <row r="1695" spans="1:4" x14ac:dyDescent="0.35">
      <c r="A1695" t="s">
        <v>692</v>
      </c>
    </row>
    <row r="1696" spans="1:4" x14ac:dyDescent="0.35">
      <c r="A1696" t="s">
        <v>133</v>
      </c>
      <c r="B1696" t="s">
        <v>36</v>
      </c>
      <c r="C1696" t="s">
        <v>33</v>
      </c>
      <c r="D1696" t="s">
        <v>16</v>
      </c>
    </row>
    <row r="1697" spans="1:4" x14ac:dyDescent="0.35">
      <c r="A1697" t="s">
        <v>693</v>
      </c>
    </row>
    <row r="1698" spans="1:4" x14ac:dyDescent="0.35">
      <c r="A1698" t="s">
        <v>177</v>
      </c>
    </row>
    <row r="1699" spans="1:4" x14ac:dyDescent="0.35">
      <c r="A1699" t="s">
        <v>587</v>
      </c>
    </row>
    <row r="1700" spans="1:4" x14ac:dyDescent="0.35">
      <c r="A1700" t="s">
        <v>31</v>
      </c>
      <c r="B1700" t="s">
        <v>20</v>
      </c>
      <c r="C1700" t="s">
        <v>33</v>
      </c>
      <c r="D1700" t="s">
        <v>16</v>
      </c>
    </row>
    <row r="1701" spans="1:4" x14ac:dyDescent="0.35">
      <c r="A1701" t="s">
        <v>57</v>
      </c>
    </row>
    <row r="1702" spans="1:4" x14ac:dyDescent="0.35">
      <c r="A1702" t="s">
        <v>133</v>
      </c>
      <c r="B1702" t="s">
        <v>41</v>
      </c>
      <c r="C1702" t="s">
        <v>33</v>
      </c>
      <c r="D1702" t="s">
        <v>16</v>
      </c>
    </row>
    <row r="1703" spans="1:4" x14ac:dyDescent="0.35">
      <c r="A1703" t="s">
        <v>83</v>
      </c>
    </row>
    <row r="1704" spans="1:4" x14ac:dyDescent="0.35">
      <c r="A1704" t="s">
        <v>595</v>
      </c>
    </row>
    <row r="1705" spans="1:4" x14ac:dyDescent="0.35">
      <c r="A1705" t="s">
        <v>34</v>
      </c>
    </row>
    <row r="1706" spans="1:4" x14ac:dyDescent="0.35">
      <c r="A1706" t="s">
        <v>694</v>
      </c>
      <c r="B1706" t="s">
        <v>24</v>
      </c>
      <c r="C1706" t="s">
        <v>37</v>
      </c>
    </row>
    <row r="1707" spans="1:4" x14ac:dyDescent="0.35">
      <c r="A1707" t="s">
        <v>69</v>
      </c>
    </row>
    <row r="1708" spans="1:4" x14ac:dyDescent="0.35">
      <c r="A1708" t="s">
        <v>58</v>
      </c>
    </row>
    <row r="1709" spans="1:4" x14ac:dyDescent="0.35">
      <c r="A1709" t="s">
        <v>215</v>
      </c>
      <c r="B1709" t="s">
        <v>20</v>
      </c>
      <c r="C1709" t="s">
        <v>99</v>
      </c>
      <c r="D1709" t="s">
        <v>16</v>
      </c>
    </row>
    <row r="1710" spans="1:4" x14ac:dyDescent="0.35">
      <c r="A1710" t="s">
        <v>26</v>
      </c>
    </row>
    <row r="1711" spans="1:4" x14ac:dyDescent="0.35">
      <c r="A1711" t="s">
        <v>76</v>
      </c>
    </row>
    <row r="1712" spans="1:4" x14ac:dyDescent="0.35">
      <c r="A1712" t="s">
        <v>630</v>
      </c>
    </row>
    <row r="1713" spans="1:4" x14ac:dyDescent="0.35">
      <c r="A1713" t="s">
        <v>39</v>
      </c>
    </row>
    <row r="1714" spans="1:4" x14ac:dyDescent="0.35">
      <c r="A1714" t="s">
        <v>533</v>
      </c>
    </row>
    <row r="1715" spans="1:4" x14ac:dyDescent="0.35">
      <c r="A1715" t="s">
        <v>534</v>
      </c>
    </row>
    <row r="1716" spans="1:4" x14ac:dyDescent="0.35">
      <c r="A1716" t="s">
        <v>665</v>
      </c>
      <c r="B1716" t="s">
        <v>24</v>
      </c>
      <c r="C1716" t="s">
        <v>122</v>
      </c>
      <c r="D1716" t="s">
        <v>16</v>
      </c>
    </row>
    <row r="1717" spans="1:4" x14ac:dyDescent="0.35">
      <c r="A1717" t="s">
        <v>26</v>
      </c>
    </row>
    <row r="1718" spans="1:4" x14ac:dyDescent="0.35">
      <c r="A1718" t="s">
        <v>159</v>
      </c>
    </row>
    <row r="1719" spans="1:4" x14ac:dyDescent="0.35">
      <c r="A1719" t="s">
        <v>58</v>
      </c>
    </row>
    <row r="1720" spans="1:4" x14ac:dyDescent="0.35">
      <c r="A1720" t="s">
        <v>546</v>
      </c>
      <c r="B1720" t="s">
        <v>41</v>
      </c>
      <c r="C1720" t="s">
        <v>99</v>
      </c>
      <c r="D1720" t="s">
        <v>16</v>
      </c>
    </row>
    <row r="1721" spans="1:4" x14ac:dyDescent="0.35">
      <c r="A1721" t="s">
        <v>695</v>
      </c>
    </row>
    <row r="1722" spans="1:4" x14ac:dyDescent="0.35">
      <c r="A1722" t="s">
        <v>555</v>
      </c>
      <c r="B1722" t="s">
        <v>56</v>
      </c>
      <c r="C1722" t="s">
        <v>49</v>
      </c>
      <c r="D1722" t="s">
        <v>16</v>
      </c>
    </row>
    <row r="1723" spans="1:4" x14ac:dyDescent="0.35">
      <c r="A1723" t="s">
        <v>659</v>
      </c>
    </row>
    <row r="1724" spans="1:4" x14ac:dyDescent="0.35">
      <c r="A1724" t="s">
        <v>696</v>
      </c>
      <c r="B1724" t="s">
        <v>95</v>
      </c>
      <c r="C1724" t="s">
        <v>15</v>
      </c>
      <c r="D1724" t="s">
        <v>16</v>
      </c>
    </row>
    <row r="1725" spans="1:4" x14ac:dyDescent="0.35">
      <c r="A1725" t="s">
        <v>26</v>
      </c>
    </row>
    <row r="1726" spans="1:4" x14ac:dyDescent="0.35">
      <c r="A1726" t="s">
        <v>697</v>
      </c>
    </row>
    <row r="1727" spans="1:4" x14ac:dyDescent="0.35">
      <c r="A1727" t="s">
        <v>537</v>
      </c>
    </row>
    <row r="1728" spans="1:4" x14ac:dyDescent="0.35">
      <c r="A1728" t="s">
        <v>76</v>
      </c>
    </row>
    <row r="1729" spans="1:4" x14ac:dyDescent="0.35">
      <c r="A1729" t="s">
        <v>698</v>
      </c>
    </row>
    <row r="1730" spans="1:4" x14ac:dyDescent="0.35">
      <c r="A1730" t="s">
        <v>169</v>
      </c>
    </row>
    <row r="1731" spans="1:4" x14ac:dyDescent="0.35">
      <c r="A1731" t="s">
        <v>63</v>
      </c>
    </row>
    <row r="1733" spans="1:4" x14ac:dyDescent="0.35">
      <c r="A1733" t="s">
        <v>244</v>
      </c>
    </row>
    <row r="1734" spans="1:4" x14ac:dyDescent="0.35">
      <c r="A1734" t="s">
        <v>699</v>
      </c>
    </row>
    <row r="1735" spans="1:4" x14ac:dyDescent="0.35">
      <c r="A1735" t="s">
        <v>246</v>
      </c>
    </row>
    <row r="1736" spans="1:4" x14ac:dyDescent="0.35">
      <c r="A1736" t="s">
        <v>222</v>
      </c>
      <c r="B1736" t="s">
        <v>36</v>
      </c>
      <c r="C1736" t="s">
        <v>33</v>
      </c>
      <c r="D1736" t="s">
        <v>16</v>
      </c>
    </row>
    <row r="1737" spans="1:4" x14ac:dyDescent="0.35">
      <c r="A1737" t="s">
        <v>275</v>
      </c>
    </row>
    <row r="1738" spans="1:4" x14ac:dyDescent="0.35">
      <c r="A1738" t="s">
        <v>700</v>
      </c>
    </row>
    <row r="1739" spans="1:4" x14ac:dyDescent="0.35">
      <c r="A1739" t="s">
        <v>701</v>
      </c>
    </row>
    <row r="1740" spans="1:4" x14ac:dyDescent="0.35">
      <c r="A1740" t="s">
        <v>702</v>
      </c>
    </row>
    <row r="1741" spans="1:4" x14ac:dyDescent="0.35">
      <c r="A1741" t="s">
        <v>26</v>
      </c>
    </row>
    <row r="1742" spans="1:4" x14ac:dyDescent="0.35">
      <c r="A1742" t="s">
        <v>246</v>
      </c>
    </row>
    <row r="1743" spans="1:4" x14ac:dyDescent="0.35">
      <c r="A1743" t="s">
        <v>140</v>
      </c>
    </row>
    <row r="1744" spans="1:4" x14ac:dyDescent="0.35">
      <c r="A1744" t="s">
        <v>19</v>
      </c>
      <c r="B1744" t="s">
        <v>14</v>
      </c>
      <c r="C1744" t="s">
        <v>21</v>
      </c>
      <c r="D1744" t="s">
        <v>16</v>
      </c>
    </row>
    <row r="1745" spans="1:4" x14ac:dyDescent="0.35">
      <c r="A1745" t="s">
        <v>63</v>
      </c>
    </row>
    <row r="1747" spans="1:4" x14ac:dyDescent="0.35">
      <c r="A1747" t="s">
        <v>244</v>
      </c>
    </row>
    <row r="1748" spans="1:4" x14ac:dyDescent="0.35">
      <c r="A1748" t="s">
        <v>703</v>
      </c>
    </row>
    <row r="1749" spans="1:4" x14ac:dyDescent="0.35">
      <c r="A1749" t="s">
        <v>246</v>
      </c>
    </row>
    <row r="1750" spans="1:4" x14ac:dyDescent="0.35">
      <c r="A1750" t="s">
        <v>222</v>
      </c>
      <c r="B1750" t="s">
        <v>14</v>
      </c>
      <c r="C1750" t="s">
        <v>33</v>
      </c>
      <c r="D1750" t="s">
        <v>16</v>
      </c>
    </row>
    <row r="1751" spans="1:4" x14ac:dyDescent="0.35">
      <c r="A1751" t="s">
        <v>704</v>
      </c>
    </row>
    <row r="1752" spans="1:4" x14ac:dyDescent="0.35">
      <c r="A1752" t="s">
        <v>224</v>
      </c>
    </row>
    <row r="1753" spans="1:4" x14ac:dyDescent="0.35">
      <c r="A1753" t="s">
        <v>93</v>
      </c>
    </row>
    <row r="1754" spans="1:4" x14ac:dyDescent="0.35">
      <c r="A1754" t="s">
        <v>58</v>
      </c>
    </row>
    <row r="1755" spans="1:4" x14ac:dyDescent="0.35">
      <c r="A1755" t="s">
        <v>705</v>
      </c>
      <c r="B1755" t="s">
        <v>91</v>
      </c>
      <c r="C1755" t="s">
        <v>99</v>
      </c>
      <c r="D1755" t="s">
        <v>16</v>
      </c>
    </row>
    <row r="1756" spans="1:4" x14ac:dyDescent="0.35">
      <c r="A1756" t="s">
        <v>17</v>
      </c>
    </row>
    <row r="1757" spans="1:4" x14ac:dyDescent="0.35">
      <c r="A1757" t="s">
        <v>47</v>
      </c>
      <c r="B1757" t="s">
        <v>143</v>
      </c>
      <c r="C1757" t="s">
        <v>33</v>
      </c>
      <c r="D1757" t="s">
        <v>16</v>
      </c>
    </row>
    <row r="1758" spans="1:4" x14ac:dyDescent="0.35">
      <c r="A1758" t="s">
        <v>706</v>
      </c>
    </row>
    <row r="1759" spans="1:4" x14ac:dyDescent="0.35">
      <c r="A1759" t="s">
        <v>707</v>
      </c>
    </row>
    <row r="1760" spans="1:4" x14ac:dyDescent="0.35">
      <c r="A1760" t="s">
        <v>587</v>
      </c>
    </row>
    <row r="1761" spans="1:4" x14ac:dyDescent="0.35">
      <c r="A1761" t="s">
        <v>40</v>
      </c>
      <c r="B1761" t="s">
        <v>308</v>
      </c>
      <c r="C1761" t="s">
        <v>33</v>
      </c>
      <c r="D1761" t="s">
        <v>16</v>
      </c>
    </row>
    <row r="1762" spans="1:4" x14ac:dyDescent="0.35">
      <c r="A1762" t="s">
        <v>525</v>
      </c>
    </row>
    <row r="1763" spans="1:4" x14ac:dyDescent="0.35">
      <c r="A1763" t="s">
        <v>708</v>
      </c>
    </row>
    <row r="1764" spans="1:4" x14ac:dyDescent="0.35">
      <c r="A1764" t="s">
        <v>129</v>
      </c>
      <c r="B1764" t="s">
        <v>79</v>
      </c>
      <c r="C1764" t="s">
        <v>33</v>
      </c>
      <c r="D1764" t="s">
        <v>16</v>
      </c>
    </row>
    <row r="1765" spans="1:4" x14ac:dyDescent="0.35">
      <c r="A1765" t="s">
        <v>63</v>
      </c>
    </row>
    <row r="1767" spans="1:4" x14ac:dyDescent="0.35">
      <c r="A1767" t="s">
        <v>244</v>
      </c>
    </row>
    <row r="1768" spans="1:4" x14ac:dyDescent="0.35">
      <c r="A1768" t="s">
        <v>709</v>
      </c>
    </row>
    <row r="1769" spans="1:4" x14ac:dyDescent="0.35">
      <c r="A1769" t="s">
        <v>710</v>
      </c>
    </row>
    <row r="1770" spans="1:4" x14ac:dyDescent="0.35">
      <c r="A1770" t="s">
        <v>711</v>
      </c>
    </row>
    <row r="1771" spans="1:4" x14ac:dyDescent="0.35">
      <c r="A1771" t="s">
        <v>712</v>
      </c>
      <c r="B1771" t="s">
        <v>54</v>
      </c>
      <c r="C1771" t="s">
        <v>37</v>
      </c>
    </row>
    <row r="1772" spans="1:4" x14ac:dyDescent="0.35">
      <c r="A1772" t="s">
        <v>133</v>
      </c>
      <c r="B1772" t="s">
        <v>14</v>
      </c>
      <c r="C1772" t="s">
        <v>33</v>
      </c>
      <c r="D1772" t="s">
        <v>16</v>
      </c>
    </row>
    <row r="1773" spans="1:4" x14ac:dyDescent="0.35">
      <c r="A1773" t="s">
        <v>323</v>
      </c>
    </row>
    <row r="1774" spans="1:4" x14ac:dyDescent="0.35">
      <c r="A1774" t="s">
        <v>713</v>
      </c>
    </row>
    <row r="1775" spans="1:4" x14ac:dyDescent="0.35">
      <c r="A1775" t="s">
        <v>136</v>
      </c>
      <c r="B1775" t="s">
        <v>24</v>
      </c>
      <c r="C1775" t="s">
        <v>49</v>
      </c>
      <c r="D1775" t="s">
        <v>16</v>
      </c>
    </row>
    <row r="1776" spans="1:4" x14ac:dyDescent="0.35">
      <c r="A1776" t="s">
        <v>687</v>
      </c>
      <c r="B1776" t="s">
        <v>32</v>
      </c>
      <c r="C1776" t="s">
        <v>15</v>
      </c>
      <c r="D1776" t="s">
        <v>16</v>
      </c>
    </row>
    <row r="1777" spans="1:4" x14ac:dyDescent="0.35">
      <c r="A1777" t="s">
        <v>510</v>
      </c>
    </row>
    <row r="1778" spans="1:4" x14ac:dyDescent="0.35">
      <c r="A1778" t="s">
        <v>133</v>
      </c>
      <c r="B1778" t="s">
        <v>36</v>
      </c>
      <c r="C1778" t="s">
        <v>33</v>
      </c>
      <c r="D1778" t="s">
        <v>16</v>
      </c>
    </row>
    <row r="1779" spans="1:4" x14ac:dyDescent="0.35">
      <c r="A1779" t="s">
        <v>275</v>
      </c>
    </row>
    <row r="1780" spans="1:4" x14ac:dyDescent="0.35">
      <c r="A1780" t="s">
        <v>63</v>
      </c>
    </row>
    <row r="1781" spans="1:4" x14ac:dyDescent="0.35">
      <c r="A1781" t="s">
        <v>246</v>
      </c>
    </row>
    <row r="1783" spans="1:4" x14ac:dyDescent="0.35">
      <c r="A1783" t="s">
        <v>714</v>
      </c>
    </row>
    <row r="1784" spans="1:4" x14ac:dyDescent="0.35">
      <c r="A1784" t="s">
        <v>501</v>
      </c>
      <c r="B1784" t="s">
        <v>14</v>
      </c>
      <c r="C1784" t="s">
        <v>33</v>
      </c>
      <c r="D1784" t="s">
        <v>16</v>
      </c>
    </row>
    <row r="1785" spans="1:4" x14ac:dyDescent="0.35">
      <c r="A1785" t="s">
        <v>715</v>
      </c>
    </row>
    <row r="1786" spans="1:4" x14ac:dyDescent="0.35">
      <c r="A1786" t="s">
        <v>169</v>
      </c>
    </row>
    <row r="1787" spans="1:4" x14ac:dyDescent="0.35">
      <c r="A1787" t="s">
        <v>47</v>
      </c>
      <c r="B1787" t="s">
        <v>24</v>
      </c>
      <c r="C1787" t="s">
        <v>49</v>
      </c>
      <c r="D1787" t="s">
        <v>16</v>
      </c>
    </row>
    <row r="1788" spans="1:4" x14ac:dyDescent="0.35">
      <c r="A1788" t="s">
        <v>716</v>
      </c>
      <c r="B1788" t="s">
        <v>54</v>
      </c>
      <c r="C1788" t="s">
        <v>15</v>
      </c>
      <c r="D1788" t="s">
        <v>16</v>
      </c>
    </row>
    <row r="1789" spans="1:4" x14ac:dyDescent="0.35">
      <c r="A1789" t="s">
        <v>76</v>
      </c>
    </row>
    <row r="1790" spans="1:4" x14ac:dyDescent="0.35">
      <c r="A1790" t="s">
        <v>717</v>
      </c>
    </row>
    <row r="1791" spans="1:4" x14ac:dyDescent="0.35">
      <c r="A1791" t="s">
        <v>47</v>
      </c>
      <c r="B1791" t="s">
        <v>20</v>
      </c>
      <c r="C1791" t="s">
        <v>49</v>
      </c>
      <c r="D1791" t="s">
        <v>16</v>
      </c>
    </row>
    <row r="1792" spans="1:4" x14ac:dyDescent="0.35">
      <c r="A1792" t="s">
        <v>718</v>
      </c>
      <c r="B1792" t="s">
        <v>91</v>
      </c>
      <c r="C1792" t="s">
        <v>15</v>
      </c>
      <c r="D1792" t="s">
        <v>16</v>
      </c>
    </row>
    <row r="1793" spans="1:4" x14ac:dyDescent="0.35">
      <c r="A1793" t="s">
        <v>45</v>
      </c>
    </row>
    <row r="1794" spans="1:4" x14ac:dyDescent="0.35">
      <c r="A1794" t="s">
        <v>58</v>
      </c>
    </row>
    <row r="1795" spans="1:4" x14ac:dyDescent="0.35">
      <c r="A1795" t="s">
        <v>687</v>
      </c>
      <c r="B1795" t="s">
        <v>20</v>
      </c>
      <c r="C1795" t="s">
        <v>99</v>
      </c>
      <c r="D1795" t="s">
        <v>16</v>
      </c>
    </row>
    <row r="1796" spans="1:4" x14ac:dyDescent="0.35">
      <c r="A1796" t="s">
        <v>63</v>
      </c>
    </row>
    <row r="1798" spans="1:4" x14ac:dyDescent="0.35">
      <c r="A1798" t="s">
        <v>244</v>
      </c>
    </row>
    <row r="1799" spans="1:4" x14ac:dyDescent="0.35">
      <c r="A1799" t="s">
        <v>719</v>
      </c>
    </row>
    <row r="1800" spans="1:4" x14ac:dyDescent="0.35">
      <c r="A1800" t="s">
        <v>246</v>
      </c>
    </row>
    <row r="1801" spans="1:4" x14ac:dyDescent="0.35">
      <c r="A1801" t="s">
        <v>720</v>
      </c>
      <c r="B1801" t="s">
        <v>54</v>
      </c>
      <c r="C1801" t="s">
        <v>108</v>
      </c>
    </row>
    <row r="1802" spans="1:4" x14ac:dyDescent="0.35">
      <c r="A1802" t="s">
        <v>721</v>
      </c>
      <c r="B1802" t="s">
        <v>54</v>
      </c>
      <c r="C1802" t="s">
        <v>21</v>
      </c>
      <c r="D1802" t="s">
        <v>16</v>
      </c>
    </row>
    <row r="1803" spans="1:4" x14ac:dyDescent="0.35">
      <c r="A1803" t="s">
        <v>26</v>
      </c>
    </row>
    <row r="1804" spans="1:4" x14ac:dyDescent="0.35">
      <c r="A1804" t="s">
        <v>110</v>
      </c>
      <c r="B1804" t="s">
        <v>36</v>
      </c>
      <c r="C1804" t="s">
        <v>33</v>
      </c>
      <c r="D1804" t="s">
        <v>16</v>
      </c>
    </row>
    <row r="1805" spans="1:4" x14ac:dyDescent="0.35">
      <c r="A1805" t="s">
        <v>375</v>
      </c>
    </row>
    <row r="1806" spans="1:4" x14ac:dyDescent="0.35">
      <c r="A1806" t="s">
        <v>39</v>
      </c>
    </row>
    <row r="1807" spans="1:4" x14ac:dyDescent="0.35">
      <c r="A1807" t="s">
        <v>110</v>
      </c>
      <c r="B1807" t="s">
        <v>41</v>
      </c>
      <c r="C1807" t="s">
        <v>33</v>
      </c>
      <c r="D1807" t="s">
        <v>16</v>
      </c>
    </row>
    <row r="1808" spans="1:4" x14ac:dyDescent="0.35">
      <c r="A1808" t="s">
        <v>722</v>
      </c>
    </row>
    <row r="1809" spans="1:4" x14ac:dyDescent="0.35">
      <c r="A1809" t="s">
        <v>85</v>
      </c>
      <c r="B1809" t="s">
        <v>95</v>
      </c>
      <c r="C1809" t="s">
        <v>33</v>
      </c>
      <c r="D1809" t="s">
        <v>16</v>
      </c>
    </row>
    <row r="1810" spans="1:4" x14ac:dyDescent="0.35">
      <c r="A1810" t="s">
        <v>586</v>
      </c>
    </row>
    <row r="1811" spans="1:4" x14ac:dyDescent="0.35">
      <c r="A1811" t="s">
        <v>63</v>
      </c>
    </row>
    <row r="1812" spans="1:4" x14ac:dyDescent="0.35">
      <c r="A1812" t="s">
        <v>246</v>
      </c>
    </row>
    <row r="1814" spans="1:4" x14ac:dyDescent="0.35">
      <c r="A1814" t="s">
        <v>723</v>
      </c>
    </row>
    <row r="1815" spans="1:4" x14ac:dyDescent="0.35">
      <c r="A1815" t="s">
        <v>291</v>
      </c>
    </row>
    <row r="1816" spans="1:4" x14ac:dyDescent="0.35">
      <c r="A1816" t="s">
        <v>477</v>
      </c>
      <c r="B1816" t="s">
        <v>14</v>
      </c>
      <c r="C1816" t="s">
        <v>37</v>
      </c>
    </row>
    <row r="1817" spans="1:4" x14ac:dyDescent="0.35">
      <c r="A1817" t="s">
        <v>17</v>
      </c>
    </row>
    <row r="1818" spans="1:4" x14ac:dyDescent="0.35">
      <c r="A1818" t="s">
        <v>724</v>
      </c>
    </row>
    <row r="1819" spans="1:4" x14ac:dyDescent="0.35">
      <c r="A1819" t="s">
        <v>481</v>
      </c>
      <c r="B1819" t="s">
        <v>24</v>
      </c>
      <c r="C1819" t="s">
        <v>108</v>
      </c>
    </row>
    <row r="1820" spans="1:4" x14ac:dyDescent="0.35">
      <c r="A1820" t="s">
        <v>725</v>
      </c>
    </row>
    <row r="1821" spans="1:4" x14ac:dyDescent="0.35">
      <c r="A1821" t="s">
        <v>58</v>
      </c>
    </row>
    <row r="1822" spans="1:4" x14ac:dyDescent="0.35">
      <c r="A1822" t="s">
        <v>726</v>
      </c>
      <c r="B1822" t="s">
        <v>32</v>
      </c>
      <c r="C1822" t="s">
        <v>99</v>
      </c>
      <c r="D1822" t="s">
        <v>16</v>
      </c>
    </row>
    <row r="1823" spans="1:4" x14ac:dyDescent="0.35">
      <c r="A1823" t="s">
        <v>17</v>
      </c>
    </row>
    <row r="1824" spans="1:4" x14ac:dyDescent="0.35">
      <c r="A1824" t="s">
        <v>58</v>
      </c>
    </row>
    <row r="1825" spans="1:4" x14ac:dyDescent="0.35">
      <c r="A1825" t="s">
        <v>178</v>
      </c>
      <c r="B1825" t="s">
        <v>24</v>
      </c>
      <c r="C1825" t="s">
        <v>99</v>
      </c>
      <c r="D1825" t="s">
        <v>16</v>
      </c>
    </row>
    <row r="1826" spans="1:4" x14ac:dyDescent="0.35">
      <c r="A1826" t="s">
        <v>63</v>
      </c>
    </row>
    <row r="1828" spans="1:4" x14ac:dyDescent="0.35">
      <c r="A1828" t="s">
        <v>727</v>
      </c>
    </row>
    <row r="1829" spans="1:4" x14ac:dyDescent="0.35">
      <c r="A1829" t="s">
        <v>728</v>
      </c>
    </row>
    <row r="1830" spans="1:4" x14ac:dyDescent="0.35">
      <c r="A1830" t="s">
        <v>729</v>
      </c>
    </row>
    <row r="1831" spans="1:4" x14ac:dyDescent="0.35">
      <c r="A1831" t="s">
        <v>58</v>
      </c>
    </row>
    <row r="1832" spans="1:4" x14ac:dyDescent="0.35">
      <c r="A1832" t="s">
        <v>730</v>
      </c>
      <c r="B1832" t="s">
        <v>24</v>
      </c>
      <c r="C1832" t="s">
        <v>99</v>
      </c>
      <c r="D1832" t="s">
        <v>16</v>
      </c>
    </row>
    <row r="1833" spans="1:4" x14ac:dyDescent="0.35">
      <c r="A1833" t="s">
        <v>133</v>
      </c>
      <c r="B1833" t="s">
        <v>14</v>
      </c>
      <c r="C1833" t="s">
        <v>33</v>
      </c>
      <c r="D1833" t="s">
        <v>16</v>
      </c>
    </row>
    <row r="1834" spans="1:4" x14ac:dyDescent="0.35">
      <c r="A1834" t="s">
        <v>731</v>
      </c>
    </row>
    <row r="1835" spans="1:4" x14ac:dyDescent="0.35">
      <c r="A1835" t="s">
        <v>732</v>
      </c>
    </row>
    <row r="1836" spans="1:4" x14ac:dyDescent="0.35">
      <c r="A1836" t="s">
        <v>131</v>
      </c>
    </row>
    <row r="1837" spans="1:4" x14ac:dyDescent="0.35">
      <c r="A1837" t="s">
        <v>58</v>
      </c>
    </row>
    <row r="1838" spans="1:4" x14ac:dyDescent="0.35">
      <c r="A1838" t="s">
        <v>610</v>
      </c>
      <c r="B1838" t="s">
        <v>20</v>
      </c>
      <c r="C1838" t="s">
        <v>108</v>
      </c>
    </row>
    <row r="1839" spans="1:4" x14ac:dyDescent="0.35">
      <c r="A1839" t="s">
        <v>262</v>
      </c>
    </row>
    <row r="1840" spans="1:4" x14ac:dyDescent="0.35">
      <c r="A1840" t="s">
        <v>733</v>
      </c>
    </row>
    <row r="1841" spans="1:4" x14ac:dyDescent="0.35">
      <c r="A1841" t="s">
        <v>658</v>
      </c>
      <c r="B1841" t="s">
        <v>54</v>
      </c>
      <c r="C1841" t="s">
        <v>99</v>
      </c>
      <c r="D1841" t="s">
        <v>16</v>
      </c>
    </row>
    <row r="1842" spans="1:4" x14ac:dyDescent="0.35">
      <c r="A1842" t="s">
        <v>123</v>
      </c>
    </row>
    <row r="1843" spans="1:4" x14ac:dyDescent="0.35">
      <c r="A1843" t="s">
        <v>128</v>
      </c>
      <c r="B1843" t="s">
        <v>54</v>
      </c>
      <c r="C1843" t="s">
        <v>15</v>
      </c>
      <c r="D1843" t="s">
        <v>16</v>
      </c>
    </row>
    <row r="1844" spans="1:4" x14ac:dyDescent="0.35">
      <c r="A1844" t="s">
        <v>17</v>
      </c>
    </row>
    <row r="1845" spans="1:4" x14ac:dyDescent="0.35">
      <c r="A1845" t="s">
        <v>129</v>
      </c>
      <c r="B1845" t="s">
        <v>24</v>
      </c>
      <c r="C1845" t="s">
        <v>33</v>
      </c>
      <c r="D1845" t="s">
        <v>16</v>
      </c>
    </row>
    <row r="1846" spans="1:4" x14ac:dyDescent="0.35">
      <c r="A1846" t="s">
        <v>63</v>
      </c>
    </row>
    <row r="1848" spans="1:4" x14ac:dyDescent="0.35">
      <c r="A1848" t="s">
        <v>734</v>
      </c>
    </row>
    <row r="1849" spans="1:4" x14ac:dyDescent="0.35">
      <c r="A1849" t="s">
        <v>97</v>
      </c>
    </row>
    <row r="1850" spans="1:4" x14ac:dyDescent="0.35">
      <c r="A1850" t="s">
        <v>481</v>
      </c>
      <c r="B1850" t="s">
        <v>14</v>
      </c>
      <c r="C1850" t="s">
        <v>99</v>
      </c>
      <c r="D1850" t="s">
        <v>16</v>
      </c>
    </row>
    <row r="1851" spans="1:4" x14ac:dyDescent="0.35">
      <c r="A1851" t="s">
        <v>735</v>
      </c>
    </row>
    <row r="1852" spans="1:4" x14ac:dyDescent="0.35">
      <c r="A1852" t="s">
        <v>736</v>
      </c>
      <c r="B1852" t="s">
        <v>32</v>
      </c>
      <c r="C1852" t="s">
        <v>108</v>
      </c>
    </row>
    <row r="1853" spans="1:4" x14ac:dyDescent="0.35">
      <c r="A1853" t="s">
        <v>26</v>
      </c>
    </row>
    <row r="1854" spans="1:4" x14ac:dyDescent="0.35">
      <c r="A1854" t="s">
        <v>76</v>
      </c>
    </row>
    <row r="1855" spans="1:4" x14ac:dyDescent="0.35">
      <c r="A1855" t="s">
        <v>426</v>
      </c>
    </row>
    <row r="1856" spans="1:4" x14ac:dyDescent="0.35">
      <c r="A1856" t="s">
        <v>58</v>
      </c>
    </row>
    <row r="1857" spans="1:4" x14ac:dyDescent="0.35">
      <c r="A1857" t="s">
        <v>307</v>
      </c>
      <c r="B1857" t="s">
        <v>54</v>
      </c>
      <c r="C1857" t="s">
        <v>99</v>
      </c>
      <c r="D1857" t="s">
        <v>16</v>
      </c>
    </row>
    <row r="1858" spans="1:4" x14ac:dyDescent="0.35">
      <c r="A1858" t="s">
        <v>26</v>
      </c>
    </row>
    <row r="1859" spans="1:4" x14ac:dyDescent="0.35">
      <c r="A1859" t="s">
        <v>105</v>
      </c>
    </row>
    <row r="1860" spans="1:4" x14ac:dyDescent="0.35">
      <c r="A1860" t="s">
        <v>426</v>
      </c>
    </row>
    <row r="1861" spans="1:4" x14ac:dyDescent="0.35">
      <c r="A1861" t="s">
        <v>34</v>
      </c>
    </row>
    <row r="1862" spans="1:4" x14ac:dyDescent="0.35">
      <c r="A1862" t="s">
        <v>737</v>
      </c>
      <c r="B1862" t="s">
        <v>24</v>
      </c>
      <c r="C1862" t="s">
        <v>37</v>
      </c>
    </row>
    <row r="1863" spans="1:4" x14ac:dyDescent="0.35">
      <c r="A1863" t="s">
        <v>26</v>
      </c>
    </row>
    <row r="1864" spans="1:4" x14ac:dyDescent="0.35">
      <c r="A1864" t="s">
        <v>495</v>
      </c>
    </row>
    <row r="1865" spans="1:4" x14ac:dyDescent="0.35">
      <c r="A1865" t="s">
        <v>738</v>
      </c>
    </row>
    <row r="1866" spans="1:4" x14ac:dyDescent="0.35">
      <c r="A1866" t="s">
        <v>58</v>
      </c>
    </row>
    <row r="1867" spans="1:4" x14ac:dyDescent="0.35">
      <c r="A1867" t="s">
        <v>739</v>
      </c>
      <c r="B1867" t="s">
        <v>91</v>
      </c>
      <c r="C1867" t="s">
        <v>99</v>
      </c>
      <c r="D1867" t="s">
        <v>16</v>
      </c>
    </row>
    <row r="1868" spans="1:4" x14ac:dyDescent="0.35">
      <c r="A1868" t="s">
        <v>740</v>
      </c>
      <c r="B1868" t="s">
        <v>52</v>
      </c>
    </row>
    <row r="1869" spans="1:4" x14ac:dyDescent="0.35">
      <c r="A1869" t="s">
        <v>133</v>
      </c>
      <c r="B1869" t="s">
        <v>143</v>
      </c>
      <c r="C1869" t="s">
        <v>33</v>
      </c>
      <c r="D1869" t="s">
        <v>16</v>
      </c>
    </row>
    <row r="1870" spans="1:4" x14ac:dyDescent="0.35">
      <c r="A1870" t="s">
        <v>83</v>
      </c>
    </row>
    <row r="1871" spans="1:4" x14ac:dyDescent="0.35">
      <c r="A1871" t="s">
        <v>741</v>
      </c>
    </row>
    <row r="1872" spans="1:4" x14ac:dyDescent="0.35">
      <c r="A1872" t="s">
        <v>63</v>
      </c>
    </row>
    <row r="1874" spans="1:4" x14ac:dyDescent="0.35">
      <c r="A1874" t="s">
        <v>742</v>
      </c>
    </row>
    <row r="1875" spans="1:4" x14ac:dyDescent="0.35">
      <c r="A1875" t="s">
        <v>501</v>
      </c>
      <c r="B1875" t="s">
        <v>14</v>
      </c>
      <c r="C1875" t="s">
        <v>33</v>
      </c>
      <c r="D1875" t="s">
        <v>16</v>
      </c>
    </row>
    <row r="1876" spans="1:4" x14ac:dyDescent="0.35">
      <c r="A1876" t="s">
        <v>451</v>
      </c>
    </row>
    <row r="1877" spans="1:4" x14ac:dyDescent="0.35">
      <c r="A1877" t="s">
        <v>301</v>
      </c>
    </row>
    <row r="1878" spans="1:4" x14ac:dyDescent="0.35">
      <c r="A1878" t="s">
        <v>85</v>
      </c>
      <c r="B1878" t="s">
        <v>32</v>
      </c>
      <c r="C1878" t="s">
        <v>33</v>
      </c>
      <c r="D1878" t="s">
        <v>16</v>
      </c>
    </row>
    <row r="1879" spans="1:4" x14ac:dyDescent="0.35">
      <c r="A1879" t="s">
        <v>123</v>
      </c>
    </row>
    <row r="1880" spans="1:4" x14ac:dyDescent="0.35">
      <c r="A1880" t="s">
        <v>77</v>
      </c>
      <c r="B1880" t="s">
        <v>54</v>
      </c>
      <c r="C1880" t="s">
        <v>108</v>
      </c>
    </row>
    <row r="1881" spans="1:4" x14ac:dyDescent="0.35">
      <c r="A1881" t="s">
        <v>105</v>
      </c>
    </row>
    <row r="1882" spans="1:4" x14ac:dyDescent="0.35">
      <c r="A1882" t="s">
        <v>40</v>
      </c>
      <c r="B1882" t="s">
        <v>36</v>
      </c>
      <c r="C1882" t="s">
        <v>33</v>
      </c>
      <c r="D1882" t="s">
        <v>16</v>
      </c>
    </row>
    <row r="1883" spans="1:4" x14ac:dyDescent="0.35">
      <c r="A1883" t="s">
        <v>743</v>
      </c>
    </row>
    <row r="1884" spans="1:4" x14ac:dyDescent="0.35">
      <c r="A1884" t="s">
        <v>360</v>
      </c>
    </row>
    <row r="1885" spans="1:4" x14ac:dyDescent="0.35">
      <c r="A1885" t="s">
        <v>58</v>
      </c>
    </row>
    <row r="1886" spans="1:4" x14ac:dyDescent="0.35">
      <c r="A1886" t="s">
        <v>590</v>
      </c>
    </row>
    <row r="1887" spans="1:4" x14ac:dyDescent="0.35">
      <c r="A1887" t="s">
        <v>26</v>
      </c>
    </row>
    <row r="1888" spans="1:4" x14ac:dyDescent="0.35">
      <c r="A1888" t="s">
        <v>744</v>
      </c>
    </row>
    <row r="1889" spans="1:4" x14ac:dyDescent="0.35">
      <c r="A1889" t="s">
        <v>589</v>
      </c>
      <c r="B1889" t="s">
        <v>24</v>
      </c>
      <c r="C1889" t="s">
        <v>99</v>
      </c>
      <c r="D1889" t="s">
        <v>16</v>
      </c>
    </row>
    <row r="1890" spans="1:4" x14ac:dyDescent="0.35">
      <c r="A1890" t="s">
        <v>63</v>
      </c>
    </row>
    <row r="1892" spans="1:4" x14ac:dyDescent="0.35">
      <c r="A1892" t="s">
        <v>745</v>
      </c>
    </row>
    <row r="1893" spans="1:4" x14ac:dyDescent="0.35">
      <c r="A1893" t="s">
        <v>746</v>
      </c>
    </row>
    <row r="1894" spans="1:4" x14ac:dyDescent="0.35">
      <c r="A1894" t="s">
        <v>40</v>
      </c>
      <c r="B1894" t="s">
        <v>14</v>
      </c>
      <c r="C1894" t="s">
        <v>33</v>
      </c>
      <c r="D1894" t="s">
        <v>16</v>
      </c>
    </row>
    <row r="1895" spans="1:4" x14ac:dyDescent="0.35">
      <c r="A1895" t="s">
        <v>66</v>
      </c>
    </row>
    <row r="1896" spans="1:4" x14ac:dyDescent="0.35">
      <c r="A1896" t="s">
        <v>747</v>
      </c>
    </row>
    <row r="1897" spans="1:4" x14ac:dyDescent="0.35">
      <c r="A1897" t="s">
        <v>331</v>
      </c>
    </row>
    <row r="1898" spans="1:4" x14ac:dyDescent="0.35">
      <c r="A1898" t="s">
        <v>58</v>
      </c>
    </row>
    <row r="1899" spans="1:4" x14ac:dyDescent="0.35">
      <c r="A1899" t="s">
        <v>409</v>
      </c>
      <c r="B1899" t="s">
        <v>54</v>
      </c>
      <c r="C1899" t="s">
        <v>99</v>
      </c>
      <c r="D1899" t="s">
        <v>16</v>
      </c>
    </row>
    <row r="1900" spans="1:4" x14ac:dyDescent="0.35">
      <c r="A1900" t="s">
        <v>26</v>
      </c>
    </row>
    <row r="1901" spans="1:4" x14ac:dyDescent="0.35">
      <c r="A1901" t="s">
        <v>213</v>
      </c>
    </row>
    <row r="1902" spans="1:4" x14ac:dyDescent="0.35">
      <c r="A1902" t="s">
        <v>282</v>
      </c>
    </row>
    <row r="1903" spans="1:4" x14ac:dyDescent="0.35">
      <c r="A1903" t="s">
        <v>45</v>
      </c>
    </row>
    <row r="1904" spans="1:4" x14ac:dyDescent="0.35">
      <c r="A1904" t="s">
        <v>510</v>
      </c>
      <c r="B1904" t="s">
        <v>20</v>
      </c>
      <c r="C1904" t="s">
        <v>148</v>
      </c>
    </row>
    <row r="1905" spans="1:4" x14ac:dyDescent="0.35">
      <c r="A1905" t="s">
        <v>133</v>
      </c>
      <c r="B1905" t="s">
        <v>308</v>
      </c>
      <c r="C1905" t="s">
        <v>33</v>
      </c>
      <c r="D1905" t="s">
        <v>16</v>
      </c>
    </row>
    <row r="1906" spans="1:4" x14ac:dyDescent="0.35">
      <c r="A1906" t="s">
        <v>309</v>
      </c>
    </row>
    <row r="1907" spans="1:4" x14ac:dyDescent="0.35">
      <c r="A1907" t="s">
        <v>26</v>
      </c>
    </row>
    <row r="1908" spans="1:4" x14ac:dyDescent="0.35">
      <c r="A1908" t="s">
        <v>76</v>
      </c>
    </row>
    <row r="1909" spans="1:4" x14ac:dyDescent="0.35">
      <c r="A1909" t="s">
        <v>748</v>
      </c>
    </row>
    <row r="1910" spans="1:4" x14ac:dyDescent="0.35">
      <c r="A1910" t="s">
        <v>169</v>
      </c>
    </row>
    <row r="1911" spans="1:4" x14ac:dyDescent="0.35">
      <c r="A1911" t="s">
        <v>225</v>
      </c>
    </row>
    <row r="1912" spans="1:4" x14ac:dyDescent="0.35">
      <c r="A1912" t="s">
        <v>58</v>
      </c>
    </row>
    <row r="1913" spans="1:4" x14ac:dyDescent="0.35">
      <c r="A1913" t="s">
        <v>120</v>
      </c>
    </row>
    <row r="1914" spans="1:4" x14ac:dyDescent="0.35">
      <c r="A1914" t="s">
        <v>749</v>
      </c>
      <c r="B1914" t="s">
        <v>91</v>
      </c>
      <c r="C1914" t="s">
        <v>99</v>
      </c>
      <c r="D1914" t="s">
        <v>16</v>
      </c>
    </row>
    <row r="1915" spans="1:4" x14ac:dyDescent="0.35">
      <c r="A1915" t="s">
        <v>411</v>
      </c>
    </row>
    <row r="1916" spans="1:4" x14ac:dyDescent="0.35">
      <c r="A1916" t="s">
        <v>129</v>
      </c>
      <c r="B1916" t="s">
        <v>20</v>
      </c>
      <c r="C1916" t="s">
        <v>33</v>
      </c>
      <c r="D1916" t="s">
        <v>16</v>
      </c>
    </row>
    <row r="1917" spans="1:4" x14ac:dyDescent="0.35">
      <c r="A1917" t="s">
        <v>63</v>
      </c>
    </row>
    <row r="1919" spans="1:4" x14ac:dyDescent="0.35">
      <c r="A1919" t="s">
        <v>750</v>
      </c>
    </row>
    <row r="1920" spans="1:4" x14ac:dyDescent="0.35">
      <c r="A1920" t="s">
        <v>257</v>
      </c>
    </row>
    <row r="1921" spans="1:4" x14ac:dyDescent="0.35">
      <c r="A1921" t="s">
        <v>40</v>
      </c>
      <c r="B1921" t="s">
        <v>36</v>
      </c>
      <c r="C1921" t="s">
        <v>33</v>
      </c>
      <c r="D1921" t="s">
        <v>16</v>
      </c>
    </row>
    <row r="1922" spans="1:4" x14ac:dyDescent="0.35">
      <c r="A1922" t="s">
        <v>751</v>
      </c>
    </row>
    <row r="1923" spans="1:4" x14ac:dyDescent="0.35">
      <c r="A1923" t="s">
        <v>40</v>
      </c>
      <c r="B1923" t="s">
        <v>14</v>
      </c>
      <c r="C1923" t="s">
        <v>33</v>
      </c>
      <c r="D1923" t="s">
        <v>16</v>
      </c>
    </row>
    <row r="1924" spans="1:4" x14ac:dyDescent="0.35">
      <c r="A1924" t="s">
        <v>752</v>
      </c>
    </row>
    <row r="1925" spans="1:4" x14ac:dyDescent="0.35">
      <c r="A1925" t="s">
        <v>753</v>
      </c>
    </row>
    <row r="1926" spans="1:4" x14ac:dyDescent="0.35">
      <c r="A1926" t="s">
        <v>310</v>
      </c>
    </row>
    <row r="1927" spans="1:4" x14ac:dyDescent="0.35">
      <c r="A1927" t="s">
        <v>170</v>
      </c>
    </row>
    <row r="1928" spans="1:4" x14ac:dyDescent="0.35">
      <c r="A1928" t="s">
        <v>754</v>
      </c>
      <c r="B1928" t="s">
        <v>54</v>
      </c>
      <c r="C1928" t="s">
        <v>172</v>
      </c>
    </row>
    <row r="1929" spans="1:4" x14ac:dyDescent="0.35">
      <c r="A1929" t="s">
        <v>26</v>
      </c>
    </row>
    <row r="1930" spans="1:4" x14ac:dyDescent="0.35">
      <c r="A1930" t="s">
        <v>541</v>
      </c>
    </row>
    <row r="1931" spans="1:4" x14ac:dyDescent="0.35">
      <c r="A1931" t="s">
        <v>34</v>
      </c>
    </row>
    <row r="1932" spans="1:4" x14ac:dyDescent="0.35">
      <c r="A1932" t="s">
        <v>739</v>
      </c>
      <c r="B1932" t="s">
        <v>24</v>
      </c>
      <c r="C1932" t="s">
        <v>37</v>
      </c>
    </row>
    <row r="1933" spans="1:4" x14ac:dyDescent="0.35">
      <c r="A1933" t="s">
        <v>81</v>
      </c>
      <c r="B1933" t="s">
        <v>143</v>
      </c>
    </row>
    <row r="1934" spans="1:4" x14ac:dyDescent="0.35">
      <c r="A1934" t="s">
        <v>319</v>
      </c>
    </row>
    <row r="1935" spans="1:4" x14ac:dyDescent="0.35">
      <c r="A1935" t="s">
        <v>459</v>
      </c>
    </row>
    <row r="1936" spans="1:4" x14ac:dyDescent="0.35">
      <c r="A1936" t="s">
        <v>131</v>
      </c>
    </row>
    <row r="1937" spans="1:4" x14ac:dyDescent="0.35">
      <c r="A1937" t="s">
        <v>755</v>
      </c>
      <c r="B1937" t="s">
        <v>56</v>
      </c>
      <c r="C1937" t="s">
        <v>108</v>
      </c>
    </row>
    <row r="1938" spans="1:4" x14ac:dyDescent="0.35">
      <c r="A1938" t="s">
        <v>63</v>
      </c>
    </row>
    <row r="1940" spans="1:4" x14ac:dyDescent="0.35">
      <c r="A1940" t="s">
        <v>244</v>
      </c>
    </row>
    <row r="1941" spans="1:4" x14ac:dyDescent="0.35">
      <c r="A1941" t="s">
        <v>756</v>
      </c>
    </row>
    <row r="1942" spans="1:4" x14ac:dyDescent="0.35">
      <c r="A1942" t="s">
        <v>246</v>
      </c>
    </row>
    <row r="1943" spans="1:4" x14ac:dyDescent="0.35">
      <c r="A1943" t="s">
        <v>757</v>
      </c>
    </row>
    <row r="1944" spans="1:4" x14ac:dyDescent="0.35">
      <c r="A1944" t="s">
        <v>272</v>
      </c>
    </row>
    <row r="1945" spans="1:4" x14ac:dyDescent="0.35">
      <c r="A1945" t="s">
        <v>246</v>
      </c>
    </row>
    <row r="1946" spans="1:4" x14ac:dyDescent="0.35">
      <c r="A1946" t="s">
        <v>758</v>
      </c>
    </row>
    <row r="1947" spans="1:4" x14ac:dyDescent="0.35">
      <c r="A1947" t="s">
        <v>19</v>
      </c>
      <c r="B1947" t="s">
        <v>32</v>
      </c>
      <c r="C1947" t="s">
        <v>21</v>
      </c>
      <c r="D1947" t="s">
        <v>16</v>
      </c>
    </row>
    <row r="1948" spans="1:4" x14ac:dyDescent="0.35">
      <c r="A1948" t="s">
        <v>26</v>
      </c>
    </row>
    <row r="1949" spans="1:4" x14ac:dyDescent="0.35">
      <c r="A1949" t="s">
        <v>76</v>
      </c>
    </row>
    <row r="1950" spans="1:4" x14ac:dyDescent="0.35">
      <c r="A1950" t="s">
        <v>110</v>
      </c>
      <c r="B1950" t="s">
        <v>36</v>
      </c>
      <c r="C1950" t="s">
        <v>33</v>
      </c>
      <c r="D1950" t="s">
        <v>16</v>
      </c>
    </row>
    <row r="1951" spans="1:4" x14ac:dyDescent="0.35">
      <c r="A1951" t="s">
        <v>474</v>
      </c>
    </row>
    <row r="1952" spans="1:4" x14ac:dyDescent="0.35">
      <c r="A1952" t="s">
        <v>58</v>
      </c>
    </row>
    <row r="1953" spans="1:4" x14ac:dyDescent="0.35">
      <c r="A1953" t="s">
        <v>759</v>
      </c>
    </row>
    <row r="1954" spans="1:4" x14ac:dyDescent="0.35">
      <c r="A1954" t="s">
        <v>760</v>
      </c>
      <c r="B1954" t="s">
        <v>91</v>
      </c>
      <c r="C1954" t="s">
        <v>99</v>
      </c>
      <c r="D1954" t="s">
        <v>16</v>
      </c>
    </row>
    <row r="1955" spans="1:4" x14ac:dyDescent="0.35">
      <c r="A1955" t="s">
        <v>17</v>
      </c>
    </row>
    <row r="1956" spans="1:4" x14ac:dyDescent="0.35">
      <c r="A1956" t="s">
        <v>34</v>
      </c>
    </row>
    <row r="1957" spans="1:4" x14ac:dyDescent="0.35">
      <c r="A1957" t="s">
        <v>761</v>
      </c>
    </row>
    <row r="1958" spans="1:4" x14ac:dyDescent="0.35">
      <c r="A1958" t="s">
        <v>762</v>
      </c>
      <c r="B1958" t="s">
        <v>20</v>
      </c>
      <c r="C1958" t="s">
        <v>37</v>
      </c>
    </row>
    <row r="1959" spans="1:4" x14ac:dyDescent="0.35">
      <c r="A1959" t="s">
        <v>63</v>
      </c>
    </row>
    <row r="1961" spans="1:4" x14ac:dyDescent="0.35">
      <c r="A1961" t="s">
        <v>244</v>
      </c>
    </row>
    <row r="1962" spans="1:4" x14ac:dyDescent="0.35">
      <c r="A1962" t="s">
        <v>763</v>
      </c>
    </row>
    <row r="1963" spans="1:4" x14ac:dyDescent="0.35">
      <c r="A1963" t="s">
        <v>246</v>
      </c>
    </row>
    <row r="1964" spans="1:4" x14ac:dyDescent="0.35">
      <c r="A1964" t="s">
        <v>764</v>
      </c>
    </row>
    <row r="1965" spans="1:4" x14ac:dyDescent="0.35">
      <c r="A1965" t="s">
        <v>489</v>
      </c>
    </row>
    <row r="1966" spans="1:4" x14ac:dyDescent="0.35">
      <c r="A1966" t="s">
        <v>272</v>
      </c>
    </row>
    <row r="1968" spans="1:4" x14ac:dyDescent="0.35">
      <c r="A1968" t="s">
        <v>244</v>
      </c>
    </row>
    <row r="1969" spans="1:4" x14ac:dyDescent="0.35">
      <c r="A1969" t="s">
        <v>765</v>
      </c>
    </row>
    <row r="1970" spans="1:4" x14ac:dyDescent="0.35">
      <c r="A1970" t="s">
        <v>208</v>
      </c>
      <c r="B1970" t="s">
        <v>14</v>
      </c>
      <c r="C1970" t="s">
        <v>33</v>
      </c>
      <c r="D1970" t="s">
        <v>16</v>
      </c>
    </row>
    <row r="1971" spans="1:4" x14ac:dyDescent="0.35">
      <c r="A1971" t="s">
        <v>22</v>
      </c>
    </row>
    <row r="1972" spans="1:4" x14ac:dyDescent="0.35">
      <c r="A1972" t="s">
        <v>586</v>
      </c>
    </row>
    <row r="1973" spans="1:4" x14ac:dyDescent="0.35">
      <c r="A1973" t="s">
        <v>272</v>
      </c>
    </row>
    <row r="1974" spans="1:4" x14ac:dyDescent="0.35">
      <c r="A1974" t="s">
        <v>246</v>
      </c>
    </row>
    <row r="1976" spans="1:4" x14ac:dyDescent="0.35">
      <c r="A1976" t="s">
        <v>766</v>
      </c>
    </row>
    <row r="1977" spans="1:4" x14ac:dyDescent="0.35">
      <c r="A1977" t="s">
        <v>430</v>
      </c>
    </row>
    <row r="1978" spans="1:4" x14ac:dyDescent="0.35">
      <c r="A1978" t="s">
        <v>42</v>
      </c>
    </row>
    <row r="1979" spans="1:4" x14ac:dyDescent="0.35">
      <c r="A1979" t="s">
        <v>34</v>
      </c>
    </row>
    <row r="1980" spans="1:4" x14ac:dyDescent="0.35">
      <c r="A1980" t="s">
        <v>640</v>
      </c>
    </row>
    <row r="1981" spans="1:4" x14ac:dyDescent="0.35">
      <c r="A1981" t="s">
        <v>26</v>
      </c>
    </row>
    <row r="1982" spans="1:4" x14ac:dyDescent="0.35">
      <c r="A1982" t="s">
        <v>476</v>
      </c>
    </row>
    <row r="1983" spans="1:4" x14ac:dyDescent="0.35">
      <c r="A1983" t="s">
        <v>26</v>
      </c>
    </row>
    <row r="1984" spans="1:4" x14ac:dyDescent="0.35">
      <c r="A1984" t="s">
        <v>767</v>
      </c>
    </row>
    <row r="1985" spans="1:4" x14ac:dyDescent="0.35">
      <c r="A1985" t="s">
        <v>768</v>
      </c>
      <c r="B1985" t="s">
        <v>14</v>
      </c>
      <c r="C1985" t="s">
        <v>37</v>
      </c>
    </row>
    <row r="1986" spans="1:4" x14ac:dyDescent="0.35">
      <c r="A1986" t="s">
        <v>69</v>
      </c>
    </row>
    <row r="1987" spans="1:4" x14ac:dyDescent="0.35">
      <c r="A1987" t="s">
        <v>769</v>
      </c>
    </row>
    <row r="1988" spans="1:4" x14ac:dyDescent="0.35">
      <c r="A1988" t="s">
        <v>123</v>
      </c>
    </row>
    <row r="1989" spans="1:4" x14ac:dyDescent="0.35">
      <c r="A1989" t="s">
        <v>58</v>
      </c>
    </row>
    <row r="1990" spans="1:4" x14ac:dyDescent="0.35">
      <c r="A1990" t="s">
        <v>770</v>
      </c>
      <c r="B1990" t="s">
        <v>24</v>
      </c>
      <c r="C1990" t="s">
        <v>99</v>
      </c>
      <c r="D1990" t="s">
        <v>16</v>
      </c>
    </row>
    <row r="1991" spans="1:4" x14ac:dyDescent="0.35">
      <c r="A1991" t="s">
        <v>17</v>
      </c>
    </row>
    <row r="1992" spans="1:4" x14ac:dyDescent="0.35">
      <c r="A1992" t="s">
        <v>39</v>
      </c>
    </row>
    <row r="1993" spans="1:4" x14ac:dyDescent="0.35">
      <c r="A1993" t="s">
        <v>654</v>
      </c>
    </row>
    <row r="1994" spans="1:4" x14ac:dyDescent="0.35">
      <c r="A1994" t="s">
        <v>658</v>
      </c>
      <c r="B1994" t="s">
        <v>20</v>
      </c>
      <c r="C1994" t="s">
        <v>108</v>
      </c>
    </row>
    <row r="1995" spans="1:4" x14ac:dyDescent="0.35">
      <c r="A1995" t="s">
        <v>63</v>
      </c>
    </row>
    <row r="1997" spans="1:4" x14ac:dyDescent="0.35">
      <c r="A1997" t="s">
        <v>771</v>
      </c>
    </row>
    <row r="1998" spans="1:4" x14ac:dyDescent="0.35">
      <c r="A1998" t="s">
        <v>97</v>
      </c>
    </row>
    <row r="1999" spans="1:4" x14ac:dyDescent="0.35">
      <c r="A1999" t="s">
        <v>772</v>
      </c>
      <c r="B1999" t="s">
        <v>14</v>
      </c>
      <c r="C1999" t="s">
        <v>99</v>
      </c>
      <c r="D1999" t="s">
        <v>16</v>
      </c>
    </row>
    <row r="2000" spans="1:4" x14ac:dyDescent="0.35">
      <c r="A2000" t="s">
        <v>42</v>
      </c>
    </row>
    <row r="2001" spans="1:4" x14ac:dyDescent="0.35">
      <c r="A2001" t="s">
        <v>499</v>
      </c>
    </row>
    <row r="2002" spans="1:4" x14ac:dyDescent="0.35">
      <c r="A2002" t="s">
        <v>773</v>
      </c>
    </row>
    <row r="2003" spans="1:4" x14ac:dyDescent="0.35">
      <c r="A2003" t="s">
        <v>338</v>
      </c>
      <c r="B2003" t="s">
        <v>54</v>
      </c>
      <c r="C2003" t="s">
        <v>339</v>
      </c>
    </row>
    <row r="2004" spans="1:4" x14ac:dyDescent="0.35">
      <c r="A2004" t="s">
        <v>17</v>
      </c>
    </row>
    <row r="2005" spans="1:4" x14ac:dyDescent="0.35">
      <c r="A2005" t="s">
        <v>510</v>
      </c>
      <c r="B2005" t="s">
        <v>54</v>
      </c>
      <c r="C2005" t="s">
        <v>148</v>
      </c>
    </row>
    <row r="2006" spans="1:4" x14ac:dyDescent="0.35">
      <c r="A2006" t="s">
        <v>133</v>
      </c>
      <c r="B2006" t="s">
        <v>41</v>
      </c>
      <c r="C2006" t="s">
        <v>33</v>
      </c>
      <c r="D2006" t="s">
        <v>16</v>
      </c>
    </row>
    <row r="2007" spans="1:4" x14ac:dyDescent="0.35">
      <c r="A2007" t="s">
        <v>309</v>
      </c>
    </row>
    <row r="2008" spans="1:4" x14ac:dyDescent="0.35">
      <c r="A2008" t="s">
        <v>26</v>
      </c>
    </row>
    <row r="2009" spans="1:4" x14ac:dyDescent="0.35">
      <c r="A2009" t="s">
        <v>76</v>
      </c>
    </row>
    <row r="2010" spans="1:4" x14ac:dyDescent="0.35">
      <c r="A2010" t="s">
        <v>133</v>
      </c>
      <c r="B2010" t="s">
        <v>36</v>
      </c>
      <c r="C2010" t="s">
        <v>33</v>
      </c>
      <c r="D2010" t="s">
        <v>16</v>
      </c>
    </row>
    <row r="2011" spans="1:4" x14ac:dyDescent="0.35">
      <c r="A2011" t="s">
        <v>774</v>
      </c>
    </row>
    <row r="2012" spans="1:4" x14ac:dyDescent="0.35">
      <c r="A2012" t="s">
        <v>131</v>
      </c>
    </row>
    <row r="2013" spans="1:4" x14ac:dyDescent="0.35">
      <c r="A2013" t="s">
        <v>31</v>
      </c>
      <c r="B2013" t="s">
        <v>24</v>
      </c>
      <c r="C2013" t="s">
        <v>33</v>
      </c>
      <c r="D2013" t="s">
        <v>16</v>
      </c>
    </row>
    <row r="2014" spans="1:4" x14ac:dyDescent="0.35">
      <c r="A2014" t="s">
        <v>26</v>
      </c>
    </row>
    <row r="2015" spans="1:4" x14ac:dyDescent="0.35">
      <c r="A2015" t="s">
        <v>711</v>
      </c>
    </row>
    <row r="2016" spans="1:4" x14ac:dyDescent="0.35">
      <c r="A2016" t="s">
        <v>775</v>
      </c>
    </row>
    <row r="2017" spans="1:4" x14ac:dyDescent="0.35">
      <c r="A2017" t="s">
        <v>26</v>
      </c>
    </row>
    <row r="2018" spans="1:4" x14ac:dyDescent="0.35">
      <c r="A2018" t="s">
        <v>599</v>
      </c>
    </row>
    <row r="2019" spans="1:4" x14ac:dyDescent="0.35">
      <c r="A2019" t="s">
        <v>147</v>
      </c>
      <c r="B2019" t="s">
        <v>56</v>
      </c>
      <c r="C2019" t="s">
        <v>148</v>
      </c>
    </row>
    <row r="2020" spans="1:4" x14ac:dyDescent="0.35">
      <c r="A2020" t="s">
        <v>776</v>
      </c>
      <c r="B2020" t="s">
        <v>41</v>
      </c>
      <c r="C2020" t="s">
        <v>172</v>
      </c>
    </row>
    <row r="2021" spans="1:4" x14ac:dyDescent="0.35">
      <c r="A2021" t="s">
        <v>42</v>
      </c>
    </row>
    <row r="2022" spans="1:4" x14ac:dyDescent="0.35">
      <c r="A2022" t="s">
        <v>134</v>
      </c>
    </row>
    <row r="2023" spans="1:4" x14ac:dyDescent="0.35">
      <c r="A2023" t="s">
        <v>45</v>
      </c>
    </row>
    <row r="2024" spans="1:4" x14ac:dyDescent="0.35">
      <c r="A2024" t="s">
        <v>777</v>
      </c>
    </row>
    <row r="2025" spans="1:4" x14ac:dyDescent="0.35">
      <c r="A2025" t="s">
        <v>69</v>
      </c>
    </row>
    <row r="2026" spans="1:4" x14ac:dyDescent="0.35">
      <c r="A2026" t="s">
        <v>58</v>
      </c>
    </row>
    <row r="2027" spans="1:4" x14ac:dyDescent="0.35">
      <c r="A2027" t="s">
        <v>770</v>
      </c>
      <c r="B2027" t="s">
        <v>56</v>
      </c>
      <c r="C2027" t="s">
        <v>15</v>
      </c>
      <c r="D2027" t="s">
        <v>16</v>
      </c>
    </row>
    <row r="2028" spans="1:4" x14ac:dyDescent="0.35">
      <c r="A2028" t="s">
        <v>17</v>
      </c>
    </row>
    <row r="2029" spans="1:4" x14ac:dyDescent="0.35">
      <c r="A2029" t="s">
        <v>31</v>
      </c>
      <c r="B2029" t="s">
        <v>48</v>
      </c>
      <c r="C2029" t="s">
        <v>33</v>
      </c>
      <c r="D2029" t="s">
        <v>16</v>
      </c>
    </row>
    <row r="2030" spans="1:4" x14ac:dyDescent="0.35">
      <c r="A2030" t="s">
        <v>63</v>
      </c>
    </row>
    <row r="2032" spans="1:4" x14ac:dyDescent="0.35">
      <c r="A2032" t="s">
        <v>778</v>
      </c>
    </row>
    <row r="2033" spans="1:4" x14ac:dyDescent="0.35">
      <c r="A2033" t="s">
        <v>110</v>
      </c>
      <c r="B2033" t="s">
        <v>14</v>
      </c>
      <c r="C2033" t="s">
        <v>33</v>
      </c>
      <c r="D2033" t="s">
        <v>16</v>
      </c>
    </row>
    <row r="2034" spans="1:4" x14ac:dyDescent="0.35">
      <c r="A2034" t="s">
        <v>42</v>
      </c>
    </row>
    <row r="2035" spans="1:4" x14ac:dyDescent="0.35">
      <c r="A2035" t="s">
        <v>131</v>
      </c>
    </row>
    <row r="2036" spans="1:4" x14ac:dyDescent="0.35">
      <c r="A2036" t="s">
        <v>19</v>
      </c>
      <c r="B2036" t="s">
        <v>54</v>
      </c>
      <c r="C2036" t="s">
        <v>21</v>
      </c>
      <c r="D2036" t="s">
        <v>16</v>
      </c>
    </row>
    <row r="2037" spans="1:4" x14ac:dyDescent="0.35">
      <c r="A2037" t="s">
        <v>22</v>
      </c>
    </row>
    <row r="2038" spans="1:4" x14ac:dyDescent="0.35">
      <c r="A2038" t="s">
        <v>779</v>
      </c>
      <c r="B2038" t="s">
        <v>54</v>
      </c>
      <c r="C2038" t="s">
        <v>15</v>
      </c>
      <c r="D2038" t="s">
        <v>16</v>
      </c>
    </row>
    <row r="2039" spans="1:4" x14ac:dyDescent="0.35">
      <c r="A2039" t="s">
        <v>26</v>
      </c>
    </row>
    <row r="2040" spans="1:4" x14ac:dyDescent="0.35">
      <c r="A2040" t="s">
        <v>76</v>
      </c>
    </row>
    <row r="2041" spans="1:4" x14ac:dyDescent="0.35">
      <c r="A2041" t="s">
        <v>110</v>
      </c>
      <c r="B2041" t="s">
        <v>36</v>
      </c>
      <c r="C2041" t="s">
        <v>33</v>
      </c>
      <c r="D2041" t="s">
        <v>16</v>
      </c>
    </row>
    <row r="2042" spans="1:4" x14ac:dyDescent="0.35">
      <c r="A2042" t="s">
        <v>752</v>
      </c>
    </row>
    <row r="2043" spans="1:4" x14ac:dyDescent="0.35">
      <c r="A2043" t="s">
        <v>103</v>
      </c>
    </row>
    <row r="2044" spans="1:4" x14ac:dyDescent="0.35">
      <c r="A2044" t="s">
        <v>348</v>
      </c>
    </row>
    <row r="2045" spans="1:4" x14ac:dyDescent="0.35">
      <c r="A2045" t="s">
        <v>59</v>
      </c>
      <c r="B2045" t="s">
        <v>24</v>
      </c>
      <c r="C2045" t="s">
        <v>37</v>
      </c>
    </row>
    <row r="2046" spans="1:4" x14ac:dyDescent="0.35">
      <c r="A2046" t="s">
        <v>131</v>
      </c>
    </row>
    <row r="2047" spans="1:4" x14ac:dyDescent="0.35">
      <c r="A2047" t="s">
        <v>47</v>
      </c>
      <c r="B2047" t="s">
        <v>56</v>
      </c>
      <c r="C2047" t="s">
        <v>49</v>
      </c>
      <c r="D2047" t="s">
        <v>16</v>
      </c>
    </row>
    <row r="2048" spans="1:4" x14ac:dyDescent="0.35">
      <c r="A2048" t="s">
        <v>558</v>
      </c>
      <c r="B2048" t="s">
        <v>20</v>
      </c>
      <c r="C2048" t="s">
        <v>15</v>
      </c>
      <c r="D2048" t="s">
        <v>16</v>
      </c>
    </row>
    <row r="2049" spans="1:4" x14ac:dyDescent="0.35">
      <c r="A2049" t="s">
        <v>63</v>
      </c>
    </row>
    <row r="2051" spans="1:4" x14ac:dyDescent="0.35">
      <c r="A2051" t="s">
        <v>780</v>
      </c>
    </row>
    <row r="2052" spans="1:4" x14ac:dyDescent="0.35">
      <c r="A2052" t="s">
        <v>208</v>
      </c>
      <c r="B2052" t="s">
        <v>14</v>
      </c>
      <c r="C2052" t="s">
        <v>33</v>
      </c>
      <c r="D2052" t="s">
        <v>16</v>
      </c>
    </row>
    <row r="2053" spans="1:4" x14ac:dyDescent="0.35">
      <c r="A2053" t="s">
        <v>42</v>
      </c>
    </row>
    <row r="2054" spans="1:4" x14ac:dyDescent="0.35">
      <c r="A2054" t="s">
        <v>452</v>
      </c>
    </row>
    <row r="2055" spans="1:4" x14ac:dyDescent="0.35">
      <c r="A2055" t="s">
        <v>76</v>
      </c>
    </row>
    <row r="2056" spans="1:4" x14ac:dyDescent="0.35">
      <c r="A2056" t="s">
        <v>781</v>
      </c>
    </row>
    <row r="2057" spans="1:4" x14ac:dyDescent="0.35">
      <c r="A2057" t="s">
        <v>26</v>
      </c>
    </row>
    <row r="2058" spans="1:4" x14ac:dyDescent="0.35">
      <c r="A2058" t="s">
        <v>47</v>
      </c>
      <c r="B2058" t="s">
        <v>24</v>
      </c>
      <c r="C2058" t="s">
        <v>49</v>
      </c>
      <c r="D2058" t="s">
        <v>16</v>
      </c>
    </row>
    <row r="2059" spans="1:4" x14ac:dyDescent="0.35">
      <c r="A2059" t="s">
        <v>782</v>
      </c>
      <c r="B2059" t="s">
        <v>54</v>
      </c>
      <c r="C2059" t="s">
        <v>15</v>
      </c>
      <c r="D2059" t="s">
        <v>16</v>
      </c>
    </row>
    <row r="2060" spans="1:4" x14ac:dyDescent="0.35">
      <c r="A2060" t="s">
        <v>783</v>
      </c>
    </row>
    <row r="2061" spans="1:4" x14ac:dyDescent="0.35">
      <c r="A2061" t="s">
        <v>383</v>
      </c>
    </row>
    <row r="2062" spans="1:4" x14ac:dyDescent="0.35">
      <c r="A2062" t="s">
        <v>123</v>
      </c>
    </row>
    <row r="2063" spans="1:4" x14ac:dyDescent="0.35">
      <c r="A2063" t="s">
        <v>58</v>
      </c>
    </row>
    <row r="2064" spans="1:4" x14ac:dyDescent="0.35">
      <c r="A2064" t="s">
        <v>784</v>
      </c>
      <c r="B2064" t="s">
        <v>20</v>
      </c>
      <c r="C2064" t="s">
        <v>99</v>
      </c>
      <c r="D2064" t="s">
        <v>16</v>
      </c>
    </row>
    <row r="2065" spans="1:4" x14ac:dyDescent="0.35">
      <c r="A2065" t="s">
        <v>63</v>
      </c>
    </row>
    <row r="2067" spans="1:4" x14ac:dyDescent="0.35">
      <c r="A2067" t="s">
        <v>785</v>
      </c>
    </row>
    <row r="2068" spans="1:4" x14ac:dyDescent="0.35">
      <c r="A2068" t="s">
        <v>786</v>
      </c>
    </row>
    <row r="2069" spans="1:4" x14ac:dyDescent="0.35">
      <c r="A2069" t="s">
        <v>620</v>
      </c>
    </row>
    <row r="2070" spans="1:4" x14ac:dyDescent="0.35">
      <c r="A2070" t="s">
        <v>376</v>
      </c>
      <c r="B2070" t="s">
        <v>14</v>
      </c>
      <c r="C2070" t="s">
        <v>33</v>
      </c>
      <c r="D2070" t="s">
        <v>16</v>
      </c>
    </row>
    <row r="2071" spans="1:4" x14ac:dyDescent="0.35">
      <c r="A2071" t="s">
        <v>240</v>
      </c>
    </row>
    <row r="2072" spans="1:4" x14ac:dyDescent="0.35">
      <c r="A2072" t="s">
        <v>397</v>
      </c>
    </row>
    <row r="2073" spans="1:4" x14ac:dyDescent="0.35">
      <c r="A2073" t="s">
        <v>123</v>
      </c>
    </row>
    <row r="2074" spans="1:4" x14ac:dyDescent="0.35">
      <c r="A2074" t="s">
        <v>34</v>
      </c>
    </row>
    <row r="2075" spans="1:4" x14ac:dyDescent="0.35">
      <c r="A2075" t="s">
        <v>787</v>
      </c>
      <c r="B2075" t="s">
        <v>54</v>
      </c>
      <c r="C2075" t="s">
        <v>37</v>
      </c>
    </row>
    <row r="2076" spans="1:4" x14ac:dyDescent="0.35">
      <c r="A2076" t="s">
        <v>26</v>
      </c>
    </row>
    <row r="2077" spans="1:4" x14ac:dyDescent="0.35">
      <c r="A2077" t="s">
        <v>788</v>
      </c>
    </row>
    <row r="2078" spans="1:4" x14ac:dyDescent="0.35">
      <c r="A2078" t="s">
        <v>789</v>
      </c>
      <c r="B2078" t="s">
        <v>91</v>
      </c>
      <c r="C2078" t="s">
        <v>108</v>
      </c>
    </row>
    <row r="2079" spans="1:4" x14ac:dyDescent="0.35">
      <c r="A2079" t="s">
        <v>26</v>
      </c>
    </row>
    <row r="2080" spans="1:4" x14ac:dyDescent="0.35">
      <c r="A2080" t="s">
        <v>76</v>
      </c>
    </row>
    <row r="2081" spans="1:4" x14ac:dyDescent="0.35">
      <c r="A2081" t="s">
        <v>47</v>
      </c>
      <c r="B2081" t="s">
        <v>24</v>
      </c>
      <c r="C2081" t="s">
        <v>49</v>
      </c>
      <c r="D2081" t="s">
        <v>16</v>
      </c>
    </row>
    <row r="2082" spans="1:4" x14ac:dyDescent="0.35">
      <c r="A2082" t="s">
        <v>790</v>
      </c>
      <c r="B2082" t="s">
        <v>54</v>
      </c>
      <c r="C2082" t="s">
        <v>15</v>
      </c>
      <c r="D2082" t="s">
        <v>16</v>
      </c>
    </row>
    <row r="2083" spans="1:4" x14ac:dyDescent="0.35">
      <c r="A2083" t="s">
        <v>791</v>
      </c>
    </row>
    <row r="2084" spans="1:4" x14ac:dyDescent="0.35">
      <c r="A2084" t="s">
        <v>123</v>
      </c>
    </row>
    <row r="2085" spans="1:4" x14ac:dyDescent="0.35">
      <c r="A2085" t="s">
        <v>792</v>
      </c>
      <c r="B2085" t="s">
        <v>20</v>
      </c>
      <c r="C2085" t="s">
        <v>108</v>
      </c>
    </row>
    <row r="2086" spans="1:4" x14ac:dyDescent="0.35">
      <c r="A2086" t="s">
        <v>63</v>
      </c>
    </row>
    <row r="2088" spans="1:4" x14ac:dyDescent="0.35">
      <c r="A2088" t="s">
        <v>793</v>
      </c>
    </row>
    <row r="2089" spans="1:4" x14ac:dyDescent="0.35">
      <c r="A2089" t="s">
        <v>710</v>
      </c>
    </row>
    <row r="2090" spans="1:4" x14ac:dyDescent="0.35">
      <c r="A2090" t="s">
        <v>58</v>
      </c>
    </row>
    <row r="2091" spans="1:4" x14ac:dyDescent="0.35">
      <c r="A2091" t="s">
        <v>794</v>
      </c>
    </row>
    <row r="2092" spans="1:4" x14ac:dyDescent="0.35">
      <c r="A2092" t="s">
        <v>59</v>
      </c>
    </row>
    <row r="2093" spans="1:4" x14ac:dyDescent="0.35">
      <c r="A2093" t="s">
        <v>250</v>
      </c>
      <c r="B2093" t="s">
        <v>54</v>
      </c>
      <c r="C2093" t="s">
        <v>21</v>
      </c>
      <c r="D2093" t="s">
        <v>16</v>
      </c>
    </row>
    <row r="2094" spans="1:4" x14ac:dyDescent="0.35">
      <c r="A2094" t="s">
        <v>795</v>
      </c>
    </row>
    <row r="2095" spans="1:4" x14ac:dyDescent="0.35">
      <c r="A2095" t="s">
        <v>34</v>
      </c>
    </row>
    <row r="2096" spans="1:4" x14ac:dyDescent="0.35">
      <c r="A2096" t="s">
        <v>796</v>
      </c>
      <c r="B2096" t="s">
        <v>32</v>
      </c>
      <c r="C2096" t="s">
        <v>37</v>
      </c>
    </row>
    <row r="2097" spans="1:4" x14ac:dyDescent="0.35">
      <c r="A2097" t="s">
        <v>17</v>
      </c>
    </row>
    <row r="2098" spans="1:4" x14ac:dyDescent="0.35">
      <c r="A2098" t="s">
        <v>797</v>
      </c>
      <c r="B2098" t="s">
        <v>24</v>
      </c>
      <c r="C2098" t="s">
        <v>108</v>
      </c>
    </row>
    <row r="2099" spans="1:4" x14ac:dyDescent="0.35">
      <c r="A2099" t="s">
        <v>76</v>
      </c>
    </row>
    <row r="2100" spans="1:4" x14ac:dyDescent="0.35">
      <c r="A2100" t="s">
        <v>798</v>
      </c>
    </row>
    <row r="2101" spans="1:4" x14ac:dyDescent="0.35">
      <c r="A2101" t="s">
        <v>799</v>
      </c>
    </row>
    <row r="2102" spans="1:4" x14ac:dyDescent="0.35">
      <c r="A2102" t="s">
        <v>558</v>
      </c>
      <c r="B2102" t="s">
        <v>91</v>
      </c>
      <c r="C2102" t="s">
        <v>15</v>
      </c>
      <c r="D2102" t="s">
        <v>16</v>
      </c>
    </row>
    <row r="2103" spans="1:4" x14ac:dyDescent="0.35">
      <c r="A2103" t="s">
        <v>800</v>
      </c>
    </row>
    <row r="2104" spans="1:4" x14ac:dyDescent="0.35">
      <c r="A2104" t="s">
        <v>164</v>
      </c>
    </row>
    <row r="2105" spans="1:4" x14ac:dyDescent="0.35">
      <c r="A2105" t="s">
        <v>58</v>
      </c>
    </row>
    <row r="2106" spans="1:4" x14ac:dyDescent="0.35">
      <c r="A2106" t="s">
        <v>687</v>
      </c>
      <c r="B2106" t="s">
        <v>24</v>
      </c>
      <c r="C2106" t="s">
        <v>99</v>
      </c>
      <c r="D2106" t="s">
        <v>16</v>
      </c>
    </row>
    <row r="2107" spans="1:4" x14ac:dyDescent="0.35">
      <c r="A2107" t="s">
        <v>63</v>
      </c>
    </row>
    <row r="2109" spans="1:4" x14ac:dyDescent="0.35">
      <c r="A2109" t="s">
        <v>801</v>
      </c>
    </row>
    <row r="2110" spans="1:4" x14ac:dyDescent="0.35">
      <c r="A2110" t="s">
        <v>110</v>
      </c>
      <c r="B2110" t="s">
        <v>14</v>
      </c>
      <c r="C2110" t="s">
        <v>33</v>
      </c>
      <c r="D2110" t="s">
        <v>16</v>
      </c>
    </row>
    <row r="2111" spans="1:4" x14ac:dyDescent="0.35">
      <c r="A2111" t="s">
        <v>802</v>
      </c>
    </row>
    <row r="2112" spans="1:4" x14ac:dyDescent="0.35">
      <c r="A2112" t="s">
        <v>45</v>
      </c>
    </row>
    <row r="2113" spans="1:4" x14ac:dyDescent="0.35">
      <c r="A2113" t="s">
        <v>259</v>
      </c>
      <c r="B2113" t="s">
        <v>24</v>
      </c>
      <c r="C2113" t="s">
        <v>49</v>
      </c>
      <c r="D2113" t="s">
        <v>16</v>
      </c>
    </row>
    <row r="2114" spans="1:4" x14ac:dyDescent="0.35">
      <c r="A2114" t="s">
        <v>672</v>
      </c>
      <c r="B2114" t="s">
        <v>54</v>
      </c>
      <c r="C2114" t="s">
        <v>15</v>
      </c>
      <c r="D2114" t="s">
        <v>16</v>
      </c>
    </row>
    <row r="2115" spans="1:4" x14ac:dyDescent="0.35">
      <c r="A2115" t="s">
        <v>26</v>
      </c>
    </row>
    <row r="2116" spans="1:4" x14ac:dyDescent="0.35">
      <c r="A2116" t="s">
        <v>259</v>
      </c>
      <c r="B2116" t="s">
        <v>24</v>
      </c>
      <c r="C2116" t="s">
        <v>49</v>
      </c>
      <c r="D2116" t="s">
        <v>16</v>
      </c>
    </row>
    <row r="2117" spans="1:4" x14ac:dyDescent="0.35">
      <c r="A2117" t="s">
        <v>803</v>
      </c>
    </row>
    <row r="2118" spans="1:4" x14ac:dyDescent="0.35">
      <c r="A2118" t="s">
        <v>668</v>
      </c>
      <c r="B2118" t="s">
        <v>32</v>
      </c>
      <c r="C2118" t="s">
        <v>15</v>
      </c>
      <c r="D2118" t="s">
        <v>16</v>
      </c>
    </row>
    <row r="2119" spans="1:4" x14ac:dyDescent="0.35">
      <c r="A2119" t="s">
        <v>804</v>
      </c>
    </row>
    <row r="2120" spans="1:4" x14ac:dyDescent="0.35">
      <c r="A2120" t="s">
        <v>259</v>
      </c>
      <c r="B2120" t="s">
        <v>56</v>
      </c>
      <c r="C2120" t="s">
        <v>49</v>
      </c>
      <c r="D2120" t="s">
        <v>16</v>
      </c>
    </row>
    <row r="2121" spans="1:4" x14ac:dyDescent="0.35">
      <c r="A2121" t="s">
        <v>762</v>
      </c>
      <c r="B2121" t="s">
        <v>95</v>
      </c>
      <c r="C2121" t="s">
        <v>15</v>
      </c>
      <c r="D2121" t="s">
        <v>16</v>
      </c>
    </row>
    <row r="2122" spans="1:4" x14ac:dyDescent="0.35">
      <c r="A2122" t="s">
        <v>26</v>
      </c>
    </row>
    <row r="2123" spans="1:4" x14ac:dyDescent="0.35">
      <c r="A2123" t="s">
        <v>259</v>
      </c>
      <c r="B2123" t="s">
        <v>56</v>
      </c>
      <c r="C2123" t="s">
        <v>49</v>
      </c>
      <c r="D2123" t="s">
        <v>16</v>
      </c>
    </row>
    <row r="2124" spans="1:4" x14ac:dyDescent="0.35">
      <c r="A2124" t="s">
        <v>463</v>
      </c>
      <c r="B2124" t="s">
        <v>95</v>
      </c>
      <c r="C2124" t="s">
        <v>15</v>
      </c>
      <c r="D2124" t="s">
        <v>16</v>
      </c>
    </row>
    <row r="2125" spans="1:4" x14ac:dyDescent="0.35">
      <c r="A2125" t="s">
        <v>805</v>
      </c>
    </row>
    <row r="2126" spans="1:4" x14ac:dyDescent="0.35">
      <c r="A2126" t="s">
        <v>196</v>
      </c>
    </row>
    <row r="2127" spans="1:4" x14ac:dyDescent="0.35">
      <c r="A2127" t="s">
        <v>58</v>
      </c>
    </row>
    <row r="2128" spans="1:4" x14ac:dyDescent="0.35">
      <c r="A2128" t="s">
        <v>806</v>
      </c>
    </row>
    <row r="2129" spans="1:4" x14ac:dyDescent="0.35">
      <c r="A2129" t="s">
        <v>807</v>
      </c>
      <c r="B2129" t="s">
        <v>48</v>
      </c>
      <c r="C2129" t="s">
        <v>99</v>
      </c>
      <c r="D2129" t="s">
        <v>16</v>
      </c>
    </row>
    <row r="2130" spans="1:4" x14ac:dyDescent="0.35">
      <c r="A2130" t="s">
        <v>73</v>
      </c>
      <c r="B2130" t="s">
        <v>82</v>
      </c>
    </row>
    <row r="2131" spans="1:4" x14ac:dyDescent="0.35">
      <c r="A2131" t="s">
        <v>111</v>
      </c>
    </row>
    <row r="2132" spans="1:4" x14ac:dyDescent="0.35">
      <c r="A2132" t="s">
        <v>808</v>
      </c>
    </row>
    <row r="2133" spans="1:4" x14ac:dyDescent="0.35">
      <c r="A2133" t="s">
        <v>489</v>
      </c>
    </row>
    <row r="2134" spans="1:4" x14ac:dyDescent="0.35">
      <c r="A2134" t="s">
        <v>164</v>
      </c>
    </row>
    <row r="2135" spans="1:4" x14ac:dyDescent="0.35">
      <c r="A2135" t="s">
        <v>129</v>
      </c>
      <c r="B2135" t="s">
        <v>149</v>
      </c>
      <c r="C2135" t="s">
        <v>33</v>
      </c>
      <c r="D2135" t="s">
        <v>16</v>
      </c>
    </row>
    <row r="2136" spans="1:4" x14ac:dyDescent="0.35">
      <c r="A2136" t="s">
        <v>69</v>
      </c>
    </row>
    <row r="2137" spans="1:4" x14ac:dyDescent="0.35">
      <c r="A2137" t="s">
        <v>58</v>
      </c>
    </row>
    <row r="2138" spans="1:4" x14ac:dyDescent="0.35">
      <c r="A2138" t="s">
        <v>809</v>
      </c>
      <c r="B2138" t="s">
        <v>149</v>
      </c>
      <c r="C2138" t="s">
        <v>99</v>
      </c>
      <c r="D2138" t="s">
        <v>16</v>
      </c>
    </row>
    <row r="2139" spans="1:4" x14ac:dyDescent="0.35">
      <c r="A2139" t="s">
        <v>17</v>
      </c>
    </row>
    <row r="2140" spans="1:4" x14ac:dyDescent="0.35">
      <c r="A2140" t="s">
        <v>58</v>
      </c>
    </row>
    <row r="2141" spans="1:4" x14ac:dyDescent="0.35">
      <c r="A2141" t="s">
        <v>307</v>
      </c>
      <c r="B2141" t="s">
        <v>810</v>
      </c>
      <c r="C2141" t="s">
        <v>99</v>
      </c>
      <c r="D2141" t="s">
        <v>16</v>
      </c>
    </row>
    <row r="2142" spans="1:4" x14ac:dyDescent="0.35">
      <c r="A2142" t="s">
        <v>63</v>
      </c>
    </row>
    <row r="2144" spans="1:4" x14ac:dyDescent="0.35">
      <c r="A2144" t="s">
        <v>811</v>
      </c>
    </row>
    <row r="2145" spans="1:4" x14ac:dyDescent="0.35">
      <c r="A2145" t="s">
        <v>291</v>
      </c>
    </row>
    <row r="2146" spans="1:4" x14ac:dyDescent="0.35">
      <c r="A2146" t="s">
        <v>812</v>
      </c>
      <c r="B2146" t="s">
        <v>14</v>
      </c>
      <c r="C2146" t="s">
        <v>37</v>
      </c>
    </row>
    <row r="2147" spans="1:4" x14ac:dyDescent="0.35">
      <c r="A2147" t="s">
        <v>31</v>
      </c>
      <c r="B2147" t="s">
        <v>41</v>
      </c>
      <c r="C2147" t="s">
        <v>33</v>
      </c>
      <c r="D2147" t="s">
        <v>16</v>
      </c>
    </row>
    <row r="2148" spans="1:4" x14ac:dyDescent="0.35">
      <c r="A2148" t="s">
        <v>42</v>
      </c>
    </row>
    <row r="2149" spans="1:4" x14ac:dyDescent="0.35">
      <c r="A2149" t="s">
        <v>26</v>
      </c>
    </row>
    <row r="2150" spans="1:4" x14ac:dyDescent="0.35">
      <c r="A2150" t="s">
        <v>348</v>
      </c>
    </row>
    <row r="2151" spans="1:4" x14ac:dyDescent="0.35">
      <c r="A2151" t="s">
        <v>813</v>
      </c>
    </row>
    <row r="2152" spans="1:4" x14ac:dyDescent="0.35">
      <c r="A2152" t="s">
        <v>814</v>
      </c>
      <c r="B2152" t="s">
        <v>56</v>
      </c>
      <c r="C2152" t="s">
        <v>108</v>
      </c>
    </row>
    <row r="2153" spans="1:4" x14ac:dyDescent="0.35">
      <c r="A2153" t="s">
        <v>262</v>
      </c>
    </row>
    <row r="2154" spans="1:4" x14ac:dyDescent="0.35">
      <c r="A2154" t="s">
        <v>815</v>
      </c>
    </row>
    <row r="2155" spans="1:4" x14ac:dyDescent="0.35">
      <c r="A2155" t="s">
        <v>812</v>
      </c>
      <c r="B2155" t="s">
        <v>24</v>
      </c>
      <c r="C2155" t="s">
        <v>37</v>
      </c>
    </row>
    <row r="2156" spans="1:4" x14ac:dyDescent="0.35">
      <c r="A2156" t="s">
        <v>26</v>
      </c>
    </row>
    <row r="2157" spans="1:4" x14ac:dyDescent="0.35">
      <c r="A2157" t="s">
        <v>115</v>
      </c>
    </row>
    <row r="2158" spans="1:4" x14ac:dyDescent="0.35">
      <c r="A2158" t="s">
        <v>224</v>
      </c>
    </row>
    <row r="2159" spans="1:4" x14ac:dyDescent="0.35">
      <c r="A2159" t="s">
        <v>816</v>
      </c>
    </row>
    <row r="2160" spans="1:4" x14ac:dyDescent="0.35">
      <c r="A2160" t="s">
        <v>34</v>
      </c>
    </row>
    <row r="2161" spans="1:4" x14ac:dyDescent="0.35">
      <c r="A2161" t="s">
        <v>812</v>
      </c>
      <c r="B2161" t="s">
        <v>24</v>
      </c>
      <c r="C2161" t="s">
        <v>80</v>
      </c>
    </row>
    <row r="2162" spans="1:4" x14ac:dyDescent="0.35">
      <c r="A2162" t="s">
        <v>105</v>
      </c>
    </row>
    <row r="2163" spans="1:4" x14ac:dyDescent="0.35">
      <c r="A2163" t="s">
        <v>817</v>
      </c>
    </row>
    <row r="2164" spans="1:4" x14ac:dyDescent="0.35">
      <c r="A2164" t="s">
        <v>782</v>
      </c>
      <c r="B2164" t="s">
        <v>20</v>
      </c>
      <c r="C2164" t="s">
        <v>108</v>
      </c>
    </row>
    <row r="2165" spans="1:4" x14ac:dyDescent="0.35">
      <c r="A2165" t="s">
        <v>258</v>
      </c>
    </row>
    <row r="2166" spans="1:4" x14ac:dyDescent="0.35">
      <c r="A2166" t="s">
        <v>818</v>
      </c>
    </row>
    <row r="2167" spans="1:4" x14ac:dyDescent="0.35">
      <c r="A2167" t="s">
        <v>513</v>
      </c>
    </row>
    <row r="2168" spans="1:4" x14ac:dyDescent="0.35">
      <c r="A2168" t="s">
        <v>63</v>
      </c>
    </row>
    <row r="2170" spans="1:4" x14ac:dyDescent="0.35">
      <c r="A2170" t="s">
        <v>819</v>
      </c>
    </row>
    <row r="2171" spans="1:4" x14ac:dyDescent="0.35">
      <c r="A2171" t="s">
        <v>820</v>
      </c>
    </row>
    <row r="2172" spans="1:4" x14ac:dyDescent="0.35">
      <c r="A2172" t="s">
        <v>821</v>
      </c>
      <c r="B2172" t="s">
        <v>32</v>
      </c>
      <c r="C2172" t="s">
        <v>108</v>
      </c>
    </row>
    <row r="2173" spans="1:4" x14ac:dyDescent="0.35">
      <c r="A2173" t="s">
        <v>69</v>
      </c>
    </row>
    <row r="2174" spans="1:4" x14ac:dyDescent="0.35">
      <c r="A2174" t="s">
        <v>555</v>
      </c>
      <c r="B2174" t="s">
        <v>24</v>
      </c>
      <c r="C2174" t="s">
        <v>49</v>
      </c>
      <c r="D2174" t="s">
        <v>16</v>
      </c>
    </row>
    <row r="2175" spans="1:4" x14ac:dyDescent="0.35">
      <c r="A2175" t="s">
        <v>822</v>
      </c>
    </row>
    <row r="2176" spans="1:4" x14ac:dyDescent="0.35">
      <c r="A2176" t="s">
        <v>823</v>
      </c>
      <c r="B2176" t="s">
        <v>54</v>
      </c>
      <c r="C2176" t="s">
        <v>15</v>
      </c>
      <c r="D2176" t="s">
        <v>16</v>
      </c>
    </row>
    <row r="2177" spans="1:4" x14ac:dyDescent="0.35">
      <c r="A2177" t="s">
        <v>26</v>
      </c>
    </row>
    <row r="2178" spans="1:4" x14ac:dyDescent="0.35">
      <c r="A2178" t="s">
        <v>31</v>
      </c>
      <c r="B2178" t="s">
        <v>36</v>
      </c>
      <c r="C2178" t="s">
        <v>33</v>
      </c>
      <c r="D2178" t="s">
        <v>16</v>
      </c>
    </row>
    <row r="2179" spans="1:4" x14ac:dyDescent="0.35">
      <c r="A2179" t="s">
        <v>419</v>
      </c>
    </row>
    <row r="2180" spans="1:4" x14ac:dyDescent="0.35">
      <c r="A2180" t="s">
        <v>782</v>
      </c>
      <c r="B2180" t="s">
        <v>36</v>
      </c>
      <c r="C2180" t="s">
        <v>108</v>
      </c>
    </row>
    <row r="2181" spans="1:4" x14ac:dyDescent="0.35">
      <c r="A2181" t="s">
        <v>824</v>
      </c>
    </row>
    <row r="2182" spans="1:4" x14ac:dyDescent="0.35">
      <c r="A2182" t="s">
        <v>159</v>
      </c>
    </row>
    <row r="2183" spans="1:4" x14ac:dyDescent="0.35">
      <c r="A2183" t="s">
        <v>34</v>
      </c>
    </row>
    <row r="2184" spans="1:4" x14ac:dyDescent="0.35">
      <c r="A2184" t="s">
        <v>825</v>
      </c>
    </row>
    <row r="2185" spans="1:4" x14ac:dyDescent="0.35">
      <c r="A2185" t="s">
        <v>826</v>
      </c>
      <c r="B2185" t="s">
        <v>24</v>
      </c>
      <c r="C2185" t="s">
        <v>37</v>
      </c>
    </row>
    <row r="2186" spans="1:4" x14ac:dyDescent="0.35">
      <c r="A2186" t="s">
        <v>26</v>
      </c>
    </row>
    <row r="2187" spans="1:4" x14ac:dyDescent="0.35">
      <c r="A2187" t="s">
        <v>555</v>
      </c>
      <c r="B2187" t="s">
        <v>20</v>
      </c>
      <c r="C2187" t="s">
        <v>49</v>
      </c>
      <c r="D2187" t="s">
        <v>16</v>
      </c>
    </row>
    <row r="2188" spans="1:4" x14ac:dyDescent="0.35">
      <c r="A2188" t="s">
        <v>827</v>
      </c>
      <c r="B2188" t="s">
        <v>36</v>
      </c>
      <c r="C2188" t="s">
        <v>15</v>
      </c>
      <c r="D2188" t="s">
        <v>16</v>
      </c>
    </row>
    <row r="2189" spans="1:4" x14ac:dyDescent="0.35">
      <c r="A2189" t="s">
        <v>76</v>
      </c>
    </row>
    <row r="2190" spans="1:4" x14ac:dyDescent="0.35">
      <c r="A2190" t="s">
        <v>828</v>
      </c>
      <c r="B2190" t="s">
        <v>20</v>
      </c>
      <c r="C2190" t="s">
        <v>108</v>
      </c>
    </row>
    <row r="2191" spans="1:4" x14ac:dyDescent="0.35">
      <c r="A2191" t="s">
        <v>76</v>
      </c>
    </row>
    <row r="2192" spans="1:4" x14ac:dyDescent="0.35">
      <c r="A2192" t="s">
        <v>829</v>
      </c>
      <c r="B2192" t="s">
        <v>20</v>
      </c>
      <c r="C2192" t="s">
        <v>108</v>
      </c>
    </row>
    <row r="2193" spans="1:4" x14ac:dyDescent="0.35">
      <c r="A2193" t="s">
        <v>83</v>
      </c>
    </row>
    <row r="2194" spans="1:4" x14ac:dyDescent="0.35">
      <c r="A2194" t="s">
        <v>608</v>
      </c>
    </row>
    <row r="2195" spans="1:4" x14ac:dyDescent="0.35">
      <c r="A2195" t="s">
        <v>123</v>
      </c>
    </row>
    <row r="2196" spans="1:4" x14ac:dyDescent="0.35">
      <c r="A2196" t="s">
        <v>830</v>
      </c>
    </row>
    <row r="2197" spans="1:4" x14ac:dyDescent="0.35">
      <c r="A2197" t="s">
        <v>831</v>
      </c>
      <c r="B2197" t="s">
        <v>24</v>
      </c>
      <c r="C2197" t="s">
        <v>108</v>
      </c>
    </row>
    <row r="2198" spans="1:4" x14ac:dyDescent="0.35">
      <c r="A2198" t="s">
        <v>63</v>
      </c>
    </row>
    <row r="2200" spans="1:4" x14ac:dyDescent="0.35">
      <c r="A2200" t="s">
        <v>832</v>
      </c>
    </row>
    <row r="2201" spans="1:4" x14ac:dyDescent="0.35">
      <c r="A2201" t="s">
        <v>833</v>
      </c>
    </row>
    <row r="2202" spans="1:4" x14ac:dyDescent="0.35">
      <c r="A2202" t="s">
        <v>123</v>
      </c>
    </row>
    <row r="2203" spans="1:4" x14ac:dyDescent="0.35">
      <c r="A2203" t="s">
        <v>58</v>
      </c>
    </row>
    <row r="2204" spans="1:4" x14ac:dyDescent="0.35">
      <c r="A2204" t="s">
        <v>834</v>
      </c>
    </row>
    <row r="2205" spans="1:4" x14ac:dyDescent="0.35">
      <c r="A2205" t="s">
        <v>835</v>
      </c>
      <c r="B2205" t="s">
        <v>14</v>
      </c>
      <c r="C2205" t="s">
        <v>99</v>
      </c>
      <c r="D2205" t="s">
        <v>16</v>
      </c>
    </row>
    <row r="2206" spans="1:4" x14ac:dyDescent="0.35">
      <c r="A2206" t="s">
        <v>17</v>
      </c>
    </row>
    <row r="2207" spans="1:4" x14ac:dyDescent="0.35">
      <c r="A2207" t="s">
        <v>34</v>
      </c>
    </row>
    <row r="2208" spans="1:4" x14ac:dyDescent="0.35">
      <c r="A2208" t="s">
        <v>836</v>
      </c>
    </row>
    <row r="2209" spans="1:4" x14ac:dyDescent="0.35">
      <c r="A2209" t="s">
        <v>837</v>
      </c>
      <c r="B2209" t="s">
        <v>24</v>
      </c>
      <c r="C2209" t="s">
        <v>37</v>
      </c>
    </row>
    <row r="2210" spans="1:4" x14ac:dyDescent="0.35">
      <c r="A2210" t="s">
        <v>144</v>
      </c>
    </row>
    <row r="2211" spans="1:4" x14ac:dyDescent="0.35">
      <c r="A2211" t="s">
        <v>838</v>
      </c>
      <c r="B2211" t="s">
        <v>14</v>
      </c>
      <c r="C2211" t="s">
        <v>142</v>
      </c>
      <c r="D2211" t="s">
        <v>16</v>
      </c>
    </row>
    <row r="2212" spans="1:4" x14ac:dyDescent="0.35">
      <c r="A2212" t="s">
        <v>116</v>
      </c>
    </row>
    <row r="2213" spans="1:4" x14ac:dyDescent="0.35">
      <c r="A2213" t="s">
        <v>839</v>
      </c>
      <c r="B2213" t="s">
        <v>91</v>
      </c>
      <c r="C2213" t="s">
        <v>108</v>
      </c>
    </row>
    <row r="2214" spans="1:4" x14ac:dyDescent="0.35">
      <c r="A2214" t="s">
        <v>26</v>
      </c>
    </row>
    <row r="2215" spans="1:4" x14ac:dyDescent="0.35">
      <c r="A2215" t="s">
        <v>116</v>
      </c>
    </row>
    <row r="2216" spans="1:4" x14ac:dyDescent="0.35">
      <c r="A2216" t="s">
        <v>840</v>
      </c>
    </row>
    <row r="2217" spans="1:4" x14ac:dyDescent="0.35">
      <c r="A2217" t="s">
        <v>26</v>
      </c>
    </row>
    <row r="2218" spans="1:4" x14ac:dyDescent="0.35">
      <c r="A2218" t="s">
        <v>116</v>
      </c>
    </row>
    <row r="2219" spans="1:4" x14ac:dyDescent="0.35">
      <c r="A2219" t="s">
        <v>841</v>
      </c>
    </row>
    <row r="2220" spans="1:4" x14ac:dyDescent="0.35">
      <c r="A2220" t="s">
        <v>154</v>
      </c>
    </row>
    <row r="2221" spans="1:4" x14ac:dyDescent="0.35">
      <c r="A2221" t="s">
        <v>842</v>
      </c>
    </row>
    <row r="2222" spans="1:4" x14ac:dyDescent="0.35">
      <c r="A2222" t="s">
        <v>118</v>
      </c>
    </row>
    <row r="2223" spans="1:4" x14ac:dyDescent="0.35">
      <c r="A2223" t="s">
        <v>39</v>
      </c>
    </row>
    <row r="2224" spans="1:4" x14ac:dyDescent="0.35">
      <c r="A2224" t="s">
        <v>166</v>
      </c>
    </row>
    <row r="2225" spans="1:4" x14ac:dyDescent="0.35">
      <c r="A2225" t="s">
        <v>843</v>
      </c>
      <c r="B2225" t="s">
        <v>54</v>
      </c>
      <c r="C2225" t="s">
        <v>122</v>
      </c>
      <c r="D2225" t="s">
        <v>16</v>
      </c>
    </row>
    <row r="2226" spans="1:4" x14ac:dyDescent="0.35">
      <c r="A2226" t="s">
        <v>76</v>
      </c>
    </row>
    <row r="2227" spans="1:4" x14ac:dyDescent="0.35">
      <c r="A2227" t="s">
        <v>839</v>
      </c>
    </row>
    <row r="2228" spans="1:4" x14ac:dyDescent="0.35">
      <c r="A2228" t="s">
        <v>558</v>
      </c>
      <c r="B2228" t="s">
        <v>24</v>
      </c>
      <c r="C2228" t="s">
        <v>108</v>
      </c>
    </row>
    <row r="2229" spans="1:4" x14ac:dyDescent="0.35">
      <c r="A2229" t="s">
        <v>73</v>
      </c>
      <c r="B2229" t="s">
        <v>143</v>
      </c>
    </row>
    <row r="2230" spans="1:4" x14ac:dyDescent="0.35">
      <c r="A2230" t="s">
        <v>725</v>
      </c>
    </row>
    <row r="2231" spans="1:4" x14ac:dyDescent="0.35">
      <c r="A2231" t="s">
        <v>164</v>
      </c>
    </row>
    <row r="2232" spans="1:4" x14ac:dyDescent="0.35">
      <c r="A2232" t="s">
        <v>129</v>
      </c>
      <c r="B2232" t="s">
        <v>56</v>
      </c>
      <c r="C2232" t="s">
        <v>33</v>
      </c>
      <c r="D2232" t="s">
        <v>16</v>
      </c>
    </row>
    <row r="2233" spans="1:4" x14ac:dyDescent="0.35">
      <c r="A2233" t="s">
        <v>489</v>
      </c>
    </row>
    <row r="2234" spans="1:4" x14ac:dyDescent="0.35">
      <c r="A2234" t="s">
        <v>17</v>
      </c>
    </row>
    <row r="2235" spans="1:4" x14ac:dyDescent="0.35">
      <c r="A2235" t="s">
        <v>58</v>
      </c>
    </row>
    <row r="2236" spans="1:4" x14ac:dyDescent="0.35">
      <c r="A2236" t="s">
        <v>413</v>
      </c>
      <c r="B2236" t="s">
        <v>56</v>
      </c>
      <c r="C2236" t="s">
        <v>99</v>
      </c>
      <c r="D2236" t="s">
        <v>16</v>
      </c>
    </row>
    <row r="2237" spans="1:4" x14ac:dyDescent="0.35">
      <c r="A2237" t="s">
        <v>17</v>
      </c>
    </row>
    <row r="2238" spans="1:4" x14ac:dyDescent="0.35">
      <c r="A2238" t="s">
        <v>307</v>
      </c>
      <c r="B2238" t="s">
        <v>48</v>
      </c>
      <c r="C2238" t="s">
        <v>108</v>
      </c>
    </row>
    <row r="2239" spans="1:4" x14ac:dyDescent="0.35">
      <c r="A2239" t="s">
        <v>63</v>
      </c>
    </row>
    <row r="2241" spans="1:4" x14ac:dyDescent="0.35">
      <c r="A2241" t="s">
        <v>844</v>
      </c>
    </row>
    <row r="2242" spans="1:4" x14ac:dyDescent="0.35">
      <c r="A2242" t="s">
        <v>845</v>
      </c>
    </row>
    <row r="2243" spans="1:4" x14ac:dyDescent="0.35">
      <c r="A2243" t="s">
        <v>120</v>
      </c>
    </row>
    <row r="2244" spans="1:4" x14ac:dyDescent="0.35">
      <c r="A2244" t="s">
        <v>846</v>
      </c>
      <c r="B2244" t="s">
        <v>54</v>
      </c>
      <c r="C2244" t="s">
        <v>108</v>
      </c>
    </row>
    <row r="2245" spans="1:4" x14ac:dyDescent="0.35">
      <c r="A2245" t="s">
        <v>58</v>
      </c>
    </row>
    <row r="2246" spans="1:4" x14ac:dyDescent="0.35">
      <c r="A2246" t="s">
        <v>305</v>
      </c>
    </row>
    <row r="2247" spans="1:4" x14ac:dyDescent="0.35">
      <c r="A2247" t="s">
        <v>815</v>
      </c>
    </row>
    <row r="2248" spans="1:4" x14ac:dyDescent="0.35">
      <c r="A2248" t="s">
        <v>847</v>
      </c>
      <c r="B2248" t="s">
        <v>14</v>
      </c>
      <c r="C2248" t="s">
        <v>99</v>
      </c>
      <c r="D2248" t="s">
        <v>16</v>
      </c>
    </row>
    <row r="2249" spans="1:4" x14ac:dyDescent="0.35">
      <c r="A2249" t="s">
        <v>42</v>
      </c>
    </row>
    <row r="2250" spans="1:4" x14ac:dyDescent="0.35">
      <c r="A2250" t="s">
        <v>848</v>
      </c>
    </row>
    <row r="2251" spans="1:4" x14ac:dyDescent="0.35">
      <c r="A2251" t="s">
        <v>228</v>
      </c>
    </row>
    <row r="2252" spans="1:4" x14ac:dyDescent="0.35">
      <c r="A2252" t="s">
        <v>58</v>
      </c>
    </row>
    <row r="2253" spans="1:4" x14ac:dyDescent="0.35">
      <c r="A2253" t="s">
        <v>332</v>
      </c>
      <c r="B2253" t="s">
        <v>32</v>
      </c>
      <c r="C2253" t="s">
        <v>99</v>
      </c>
      <c r="D2253" t="s">
        <v>16</v>
      </c>
    </row>
    <row r="2254" spans="1:4" x14ac:dyDescent="0.35">
      <c r="A2254" t="s">
        <v>26</v>
      </c>
    </row>
    <row r="2255" spans="1:4" x14ac:dyDescent="0.35">
      <c r="A2255" t="s">
        <v>849</v>
      </c>
    </row>
    <row r="2256" spans="1:4" x14ac:dyDescent="0.35">
      <c r="A2256" t="s">
        <v>607</v>
      </c>
    </row>
    <row r="2257" spans="1:4" x14ac:dyDescent="0.35">
      <c r="A2257" t="s">
        <v>164</v>
      </c>
    </row>
    <row r="2258" spans="1:4" x14ac:dyDescent="0.35">
      <c r="A2258" t="s">
        <v>58</v>
      </c>
    </row>
    <row r="2259" spans="1:4" x14ac:dyDescent="0.35">
      <c r="A2259" t="s">
        <v>850</v>
      </c>
      <c r="B2259" t="s">
        <v>24</v>
      </c>
      <c r="C2259" t="s">
        <v>15</v>
      </c>
      <c r="D2259" t="s">
        <v>16</v>
      </c>
    </row>
    <row r="2260" spans="1:4" x14ac:dyDescent="0.35">
      <c r="A2260" t="s">
        <v>17</v>
      </c>
    </row>
    <row r="2261" spans="1:4" x14ac:dyDescent="0.35">
      <c r="A2261" t="s">
        <v>136</v>
      </c>
      <c r="B2261" t="s">
        <v>56</v>
      </c>
      <c r="C2261" t="s">
        <v>49</v>
      </c>
      <c r="D2261" t="s">
        <v>16</v>
      </c>
    </row>
    <row r="2262" spans="1:4" x14ac:dyDescent="0.35">
      <c r="A2262" t="s">
        <v>274</v>
      </c>
      <c r="B2262" t="s">
        <v>20</v>
      </c>
      <c r="C2262" t="s">
        <v>15</v>
      </c>
      <c r="D2262" t="s">
        <v>16</v>
      </c>
    </row>
    <row r="2263" spans="1:4" x14ac:dyDescent="0.35">
      <c r="A2263" t="s">
        <v>63</v>
      </c>
    </row>
    <row r="2265" spans="1:4" x14ac:dyDescent="0.35">
      <c r="A2265" t="s">
        <v>851</v>
      </c>
    </row>
    <row r="2266" spans="1:4" x14ac:dyDescent="0.35">
      <c r="A2266" t="s">
        <v>690</v>
      </c>
    </row>
    <row r="2267" spans="1:4" x14ac:dyDescent="0.35">
      <c r="A2267" t="s">
        <v>805</v>
      </c>
    </row>
    <row r="2268" spans="1:4" x14ac:dyDescent="0.35">
      <c r="A2268" t="s">
        <v>83</v>
      </c>
    </row>
    <row r="2269" spans="1:4" x14ac:dyDescent="0.35">
      <c r="A2269" t="s">
        <v>133</v>
      </c>
      <c r="B2269" t="s">
        <v>14</v>
      </c>
      <c r="C2269" t="s">
        <v>33</v>
      </c>
      <c r="D2269" t="s">
        <v>16</v>
      </c>
    </row>
    <row r="2270" spans="1:4" x14ac:dyDescent="0.35">
      <c r="A2270" t="s">
        <v>196</v>
      </c>
    </row>
    <row r="2271" spans="1:4" x14ac:dyDescent="0.35">
      <c r="A2271" t="s">
        <v>58</v>
      </c>
    </row>
    <row r="2272" spans="1:4" x14ac:dyDescent="0.35">
      <c r="A2272" t="s">
        <v>852</v>
      </c>
      <c r="B2272" t="s">
        <v>24</v>
      </c>
      <c r="C2272" t="s">
        <v>99</v>
      </c>
      <c r="D2272" t="s">
        <v>16</v>
      </c>
    </row>
    <row r="2273" spans="1:4" x14ac:dyDescent="0.35">
      <c r="A2273" t="s">
        <v>39</v>
      </c>
      <c r="B2273" t="s">
        <v>52</v>
      </c>
    </row>
    <row r="2274" spans="1:4" x14ac:dyDescent="0.35">
      <c r="A2274" t="s">
        <v>133</v>
      </c>
      <c r="B2274" t="s">
        <v>143</v>
      </c>
      <c r="C2274" t="s">
        <v>33</v>
      </c>
      <c r="D2274" t="s">
        <v>16</v>
      </c>
    </row>
    <row r="2275" spans="1:4" x14ac:dyDescent="0.35">
      <c r="A2275" t="s">
        <v>853</v>
      </c>
    </row>
    <row r="2276" spans="1:4" x14ac:dyDescent="0.35">
      <c r="A2276" t="s">
        <v>85</v>
      </c>
      <c r="B2276" t="s">
        <v>52</v>
      </c>
      <c r="C2276" t="s">
        <v>33</v>
      </c>
      <c r="D2276" t="s">
        <v>16</v>
      </c>
    </row>
    <row r="2277" spans="1:4" x14ac:dyDescent="0.35">
      <c r="A2277" t="s">
        <v>45</v>
      </c>
    </row>
    <row r="2278" spans="1:4" x14ac:dyDescent="0.35">
      <c r="A2278" t="s">
        <v>854</v>
      </c>
    </row>
    <row r="2279" spans="1:4" x14ac:dyDescent="0.35">
      <c r="A2279" t="s">
        <v>587</v>
      </c>
    </row>
    <row r="2280" spans="1:4" x14ac:dyDescent="0.35">
      <c r="A2280" t="s">
        <v>133</v>
      </c>
      <c r="B2280" t="s">
        <v>151</v>
      </c>
      <c r="C2280" t="s">
        <v>33</v>
      </c>
      <c r="D2280" t="s">
        <v>16</v>
      </c>
    </row>
    <row r="2281" spans="1:4" x14ac:dyDescent="0.35">
      <c r="A2281" t="s">
        <v>111</v>
      </c>
    </row>
    <row r="2282" spans="1:4" x14ac:dyDescent="0.35">
      <c r="A2282" t="s">
        <v>855</v>
      </c>
    </row>
    <row r="2283" spans="1:4" x14ac:dyDescent="0.35">
      <c r="A2283" t="s">
        <v>136</v>
      </c>
      <c r="B2283" t="s">
        <v>149</v>
      </c>
      <c r="C2283" t="s">
        <v>49</v>
      </c>
      <c r="D2283" t="s">
        <v>16</v>
      </c>
    </row>
    <row r="2284" spans="1:4" x14ac:dyDescent="0.35">
      <c r="A2284" t="s">
        <v>856</v>
      </c>
      <c r="B2284" t="s">
        <v>512</v>
      </c>
      <c r="C2284" t="s">
        <v>15</v>
      </c>
      <c r="D2284" t="s">
        <v>16</v>
      </c>
    </row>
    <row r="2285" spans="1:4" x14ac:dyDescent="0.35">
      <c r="A2285" t="s">
        <v>63</v>
      </c>
    </row>
    <row r="2287" spans="1:4" x14ac:dyDescent="0.35">
      <c r="A2287" t="s">
        <v>857</v>
      </c>
    </row>
    <row r="2288" spans="1:4" x14ac:dyDescent="0.35">
      <c r="A2288" t="s">
        <v>746</v>
      </c>
    </row>
    <row r="2289" spans="1:4" x14ac:dyDescent="0.35">
      <c r="A2289" t="s">
        <v>19</v>
      </c>
      <c r="B2289" t="s">
        <v>14</v>
      </c>
      <c r="C2289" t="s">
        <v>21</v>
      </c>
      <c r="D2289" t="s">
        <v>16</v>
      </c>
    </row>
    <row r="2290" spans="1:4" x14ac:dyDescent="0.35">
      <c r="A2290" t="s">
        <v>76</v>
      </c>
    </row>
    <row r="2291" spans="1:4" x14ac:dyDescent="0.35">
      <c r="A2291" t="s">
        <v>110</v>
      </c>
      <c r="B2291" t="s">
        <v>24</v>
      </c>
      <c r="C2291" t="s">
        <v>33</v>
      </c>
      <c r="D2291" t="s">
        <v>16</v>
      </c>
    </row>
    <row r="2292" spans="1:4" x14ac:dyDescent="0.35">
      <c r="A2292" t="s">
        <v>655</v>
      </c>
    </row>
    <row r="2293" spans="1:4" x14ac:dyDescent="0.35">
      <c r="A2293" t="s">
        <v>858</v>
      </c>
    </row>
    <row r="2294" spans="1:4" x14ac:dyDescent="0.35">
      <c r="A2294" t="s">
        <v>859</v>
      </c>
    </row>
    <row r="2295" spans="1:4" x14ac:dyDescent="0.35">
      <c r="A2295" t="s">
        <v>26</v>
      </c>
    </row>
    <row r="2296" spans="1:4" x14ac:dyDescent="0.35">
      <c r="A2296" t="s">
        <v>76</v>
      </c>
    </row>
    <row r="2297" spans="1:4" x14ac:dyDescent="0.35">
      <c r="A2297" t="s">
        <v>58</v>
      </c>
    </row>
    <row r="2298" spans="1:4" x14ac:dyDescent="0.35">
      <c r="A2298" t="s">
        <v>847</v>
      </c>
      <c r="B2298" t="s">
        <v>36</v>
      </c>
      <c r="C2298" t="s">
        <v>99</v>
      </c>
      <c r="D2298" t="s">
        <v>16</v>
      </c>
    </row>
    <row r="2299" spans="1:4" x14ac:dyDescent="0.35">
      <c r="A2299" t="s">
        <v>795</v>
      </c>
    </row>
    <row r="2300" spans="1:4" x14ac:dyDescent="0.35">
      <c r="A2300" t="s">
        <v>34</v>
      </c>
    </row>
    <row r="2301" spans="1:4" x14ac:dyDescent="0.35">
      <c r="A2301" t="s">
        <v>860</v>
      </c>
    </row>
    <row r="2302" spans="1:4" x14ac:dyDescent="0.35">
      <c r="A2302" t="s">
        <v>861</v>
      </c>
      <c r="B2302" t="s">
        <v>91</v>
      </c>
      <c r="C2302" t="s">
        <v>37</v>
      </c>
    </row>
    <row r="2303" spans="1:4" x14ac:dyDescent="0.35">
      <c r="A2303" t="s">
        <v>26</v>
      </c>
    </row>
    <row r="2304" spans="1:4" x14ac:dyDescent="0.35">
      <c r="A2304" t="s">
        <v>73</v>
      </c>
      <c r="B2304" t="s">
        <v>143</v>
      </c>
    </row>
    <row r="2305" spans="1:4" x14ac:dyDescent="0.35">
      <c r="A2305" t="s">
        <v>862</v>
      </c>
    </row>
    <row r="2306" spans="1:4" x14ac:dyDescent="0.35">
      <c r="A2306" t="s">
        <v>39</v>
      </c>
    </row>
    <row r="2307" spans="1:4" x14ac:dyDescent="0.35">
      <c r="A2307" t="s">
        <v>28</v>
      </c>
      <c r="B2307" t="s">
        <v>52</v>
      </c>
      <c r="C2307" t="s">
        <v>122</v>
      </c>
      <c r="D2307" t="s">
        <v>16</v>
      </c>
    </row>
    <row r="2308" spans="1:4" x14ac:dyDescent="0.35">
      <c r="A2308" t="s">
        <v>131</v>
      </c>
    </row>
    <row r="2309" spans="1:4" x14ac:dyDescent="0.35">
      <c r="A2309" t="s">
        <v>863</v>
      </c>
    </row>
    <row r="2310" spans="1:4" x14ac:dyDescent="0.35">
      <c r="A2310" t="s">
        <v>111</v>
      </c>
    </row>
    <row r="2311" spans="1:4" x14ac:dyDescent="0.35">
      <c r="A2311" t="s">
        <v>864</v>
      </c>
    </row>
    <row r="2312" spans="1:4" x14ac:dyDescent="0.35">
      <c r="A2312" t="s">
        <v>85</v>
      </c>
      <c r="B2312" t="s">
        <v>79</v>
      </c>
      <c r="C2312" t="s">
        <v>33</v>
      </c>
      <c r="D2312" t="s">
        <v>16</v>
      </c>
    </row>
    <row r="2313" spans="1:4" x14ac:dyDescent="0.35">
      <c r="A2313" t="s">
        <v>63</v>
      </c>
    </row>
    <row r="2315" spans="1:4" x14ac:dyDescent="0.35">
      <c r="A2315" t="s">
        <v>865</v>
      </c>
    </row>
    <row r="2316" spans="1:4" x14ac:dyDescent="0.35">
      <c r="A2316" t="s">
        <v>501</v>
      </c>
      <c r="B2316" t="s">
        <v>14</v>
      </c>
      <c r="C2316" t="s">
        <v>33</v>
      </c>
      <c r="D2316" t="s">
        <v>16</v>
      </c>
    </row>
    <row r="2317" spans="1:4" x14ac:dyDescent="0.35">
      <c r="A2317" t="s">
        <v>223</v>
      </c>
    </row>
    <row r="2318" spans="1:4" x14ac:dyDescent="0.35">
      <c r="A2318" t="s">
        <v>224</v>
      </c>
    </row>
    <row r="2319" spans="1:4" x14ac:dyDescent="0.35">
      <c r="A2319" t="s">
        <v>488</v>
      </c>
    </row>
    <row r="2320" spans="1:4" x14ac:dyDescent="0.35">
      <c r="A2320" t="s">
        <v>26</v>
      </c>
    </row>
    <row r="2321" spans="1:1" x14ac:dyDescent="0.35">
      <c r="A2321" t="s">
        <v>100</v>
      </c>
    </row>
    <row r="2322" spans="1:1" x14ac:dyDescent="0.35">
      <c r="A2322" t="s">
        <v>26</v>
      </c>
    </row>
    <row r="2323" spans="1:1" x14ac:dyDescent="0.35">
      <c r="A2323" t="s">
        <v>115</v>
      </c>
    </row>
    <row r="2324" spans="1:1" x14ac:dyDescent="0.35">
      <c r="A2324" t="s">
        <v>866</v>
      </c>
    </row>
    <row r="2325" spans="1:1" x14ac:dyDescent="0.35">
      <c r="A2325" t="s">
        <v>692</v>
      </c>
    </row>
    <row r="2326" spans="1:1" x14ac:dyDescent="0.35">
      <c r="A2326" t="s">
        <v>63</v>
      </c>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1</vt:i4>
      </vt:variant>
    </vt:vector>
  </HeadingPairs>
  <TitlesOfParts>
    <vt:vector size="1" baseType="lpstr">
      <vt:lpstr>annotation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F B</cp:lastModifiedBy>
  <cp:revision>29</cp:revision>
  <dcterms:modified xsi:type="dcterms:W3CDTF">2023-11-21T16:15:38Z</dcterms:modified>
  <dc:language>en-US</dc:language>
</cp:coreProperties>
</file>