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hk\Desktop\"/>
    </mc:Choice>
  </mc:AlternateContent>
  <xr:revisionPtr revIDLastSave="0" documentId="13_ncr:1_{3DB426D7-E8D2-4CD3-8F8F-612577AE67CE}" xr6:coauthVersionLast="47" xr6:coauthVersionMax="47" xr10:uidLastSave="{00000000-0000-0000-0000-000000000000}"/>
  <bookViews>
    <workbookView xWindow="-98" yWindow="-98" windowWidth="20715" windowHeight="13155" tabRatio="500" xr2:uid="{00000000-000D-0000-FFFF-FFFF00000000}"/>
  </bookViews>
  <sheets>
    <sheet name="annot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H1005" i="1" l="1"/>
  <c r="E1005" i="1"/>
  <c r="G1005" i="1" s="1"/>
  <c r="H1004" i="1"/>
  <c r="E1004" i="1"/>
  <c r="G1004" i="1" s="1"/>
  <c r="H1003" i="1"/>
  <c r="F1003" i="1"/>
  <c r="E1003" i="1"/>
  <c r="G1003" i="1" s="1"/>
  <c r="H1002" i="1"/>
  <c r="E1002" i="1"/>
  <c r="H1001" i="1"/>
  <c r="E1001" i="1"/>
  <c r="G1001" i="1" s="1"/>
  <c r="H1000" i="1"/>
  <c r="E1000" i="1"/>
  <c r="G1000" i="1" s="1"/>
  <c r="H999" i="1"/>
  <c r="F999" i="1"/>
  <c r="E999" i="1"/>
  <c r="G999" i="1" s="1"/>
  <c r="H998" i="1"/>
  <c r="E998" i="1"/>
  <c r="H997" i="1"/>
  <c r="E997" i="1"/>
  <c r="G997" i="1" s="1"/>
  <c r="H996" i="1"/>
  <c r="E996" i="1"/>
  <c r="G996" i="1" s="1"/>
  <c r="H995" i="1"/>
  <c r="F995" i="1"/>
  <c r="E995" i="1"/>
  <c r="G995" i="1" s="1"/>
  <c r="H994" i="1"/>
  <c r="E994" i="1"/>
  <c r="H993" i="1"/>
  <c r="E993" i="1"/>
  <c r="H992" i="1"/>
  <c r="E992" i="1"/>
  <c r="G992" i="1" s="1"/>
  <c r="H991" i="1"/>
  <c r="F991" i="1"/>
  <c r="E991" i="1"/>
  <c r="G991" i="1" s="1"/>
  <c r="H990" i="1"/>
  <c r="F990" i="1"/>
  <c r="E990" i="1"/>
  <c r="G990" i="1" s="1"/>
  <c r="H989" i="1"/>
  <c r="E989" i="1"/>
  <c r="H988" i="1"/>
  <c r="E988" i="1"/>
  <c r="G988" i="1" s="1"/>
  <c r="H987" i="1"/>
  <c r="F987" i="1"/>
  <c r="E987" i="1"/>
  <c r="G987" i="1" s="1"/>
  <c r="H986" i="1"/>
  <c r="E986" i="1"/>
  <c r="G986" i="1" s="1"/>
  <c r="H985" i="1"/>
  <c r="E985" i="1"/>
  <c r="H984" i="1"/>
  <c r="E984" i="1"/>
  <c r="G984" i="1" s="1"/>
  <c r="H983" i="1"/>
  <c r="F983" i="1"/>
  <c r="E983" i="1"/>
  <c r="G983" i="1" s="1"/>
  <c r="H982" i="1"/>
  <c r="F982" i="1"/>
  <c r="E982" i="1"/>
  <c r="G982" i="1" s="1"/>
  <c r="H981" i="1"/>
  <c r="E981" i="1"/>
  <c r="H980" i="1"/>
  <c r="E980" i="1"/>
  <c r="G980" i="1" s="1"/>
  <c r="H979" i="1"/>
  <c r="F979" i="1"/>
  <c r="E979" i="1"/>
  <c r="G979" i="1" s="1"/>
  <c r="H978" i="1"/>
  <c r="E978" i="1"/>
  <c r="G978" i="1" s="1"/>
  <c r="H977" i="1"/>
  <c r="E977" i="1"/>
  <c r="H976" i="1"/>
  <c r="E976" i="1"/>
  <c r="G976" i="1" s="1"/>
  <c r="H975" i="1"/>
  <c r="F975" i="1"/>
  <c r="E975" i="1"/>
  <c r="G975" i="1" s="1"/>
  <c r="H974" i="1"/>
  <c r="F974" i="1"/>
  <c r="E974" i="1"/>
  <c r="G974" i="1" s="1"/>
  <c r="H973" i="1"/>
  <c r="E973" i="1"/>
  <c r="H972" i="1"/>
  <c r="E972" i="1"/>
  <c r="G972" i="1" s="1"/>
  <c r="H971" i="1"/>
  <c r="F971" i="1"/>
  <c r="E971" i="1"/>
  <c r="G971" i="1" s="1"/>
  <c r="H970" i="1"/>
  <c r="E970" i="1"/>
  <c r="G970" i="1" s="1"/>
  <c r="H969" i="1"/>
  <c r="E969" i="1"/>
  <c r="H968" i="1"/>
  <c r="E968" i="1"/>
  <c r="G968" i="1" s="1"/>
  <c r="H967" i="1"/>
  <c r="F967" i="1"/>
  <c r="E967" i="1"/>
  <c r="G967" i="1" s="1"/>
  <c r="H966" i="1"/>
  <c r="F966" i="1"/>
  <c r="E966" i="1"/>
  <c r="G966" i="1" s="1"/>
  <c r="H965" i="1"/>
  <c r="E965" i="1"/>
  <c r="H964" i="1"/>
  <c r="E964" i="1"/>
  <c r="G964" i="1" s="1"/>
  <c r="H963" i="1"/>
  <c r="F963" i="1"/>
  <c r="E963" i="1"/>
  <c r="G963" i="1" s="1"/>
  <c r="H962" i="1"/>
  <c r="E962" i="1"/>
  <c r="G962" i="1" s="1"/>
  <c r="H961" i="1"/>
  <c r="E961" i="1"/>
  <c r="H960" i="1"/>
  <c r="E960" i="1"/>
  <c r="G960" i="1" s="1"/>
  <c r="H959" i="1"/>
  <c r="F959" i="1"/>
  <c r="E959" i="1"/>
  <c r="G959" i="1" s="1"/>
  <c r="H958" i="1"/>
  <c r="F958" i="1"/>
  <c r="E958" i="1"/>
  <c r="G958" i="1" s="1"/>
  <c r="H957" i="1"/>
  <c r="E957" i="1"/>
  <c r="H956" i="1"/>
  <c r="E956" i="1"/>
  <c r="G956" i="1" s="1"/>
  <c r="H955" i="1"/>
  <c r="F955" i="1"/>
  <c r="E955" i="1"/>
  <c r="G955" i="1" s="1"/>
  <c r="H954" i="1"/>
  <c r="E954" i="1"/>
  <c r="G954" i="1" s="1"/>
  <c r="H953" i="1"/>
  <c r="E953" i="1"/>
  <c r="H952" i="1"/>
  <c r="E952" i="1"/>
  <c r="G952" i="1" s="1"/>
  <c r="H951" i="1"/>
  <c r="F951" i="1"/>
  <c r="E951" i="1"/>
  <c r="G951" i="1" s="1"/>
  <c r="H950" i="1"/>
  <c r="F950" i="1"/>
  <c r="E950" i="1"/>
  <c r="G950" i="1" s="1"/>
  <c r="H949" i="1"/>
  <c r="E949" i="1"/>
  <c r="H948" i="1"/>
  <c r="E948" i="1"/>
  <c r="G948" i="1" s="1"/>
  <c r="H947" i="1"/>
  <c r="F947" i="1"/>
  <c r="E947" i="1"/>
  <c r="G947" i="1" s="1"/>
  <c r="H946" i="1"/>
  <c r="E946" i="1"/>
  <c r="G946" i="1" s="1"/>
  <c r="H945" i="1"/>
  <c r="E945" i="1"/>
  <c r="H944" i="1"/>
  <c r="E944" i="1"/>
  <c r="G944" i="1" s="1"/>
  <c r="H943" i="1"/>
  <c r="F943" i="1"/>
  <c r="E943" i="1"/>
  <c r="G943" i="1" s="1"/>
  <c r="H942" i="1"/>
  <c r="F942" i="1"/>
  <c r="E942" i="1"/>
  <c r="G942" i="1" s="1"/>
  <c r="H941" i="1"/>
  <c r="E941" i="1"/>
  <c r="H940" i="1"/>
  <c r="E940" i="1"/>
  <c r="G940" i="1" s="1"/>
  <c r="H939" i="1"/>
  <c r="F939" i="1"/>
  <c r="E939" i="1"/>
  <c r="G939" i="1" s="1"/>
  <c r="H938" i="1"/>
  <c r="E938" i="1"/>
  <c r="G938" i="1" s="1"/>
  <c r="H937" i="1"/>
  <c r="E937" i="1"/>
  <c r="H936" i="1"/>
  <c r="E936" i="1"/>
  <c r="G936" i="1" s="1"/>
  <c r="H935" i="1"/>
  <c r="F935" i="1"/>
  <c r="E935" i="1"/>
  <c r="G935" i="1" s="1"/>
  <c r="H934" i="1"/>
  <c r="F934" i="1"/>
  <c r="E934" i="1"/>
  <c r="G934" i="1" s="1"/>
  <c r="H933" i="1"/>
  <c r="E933" i="1"/>
  <c r="H932" i="1"/>
  <c r="E932" i="1"/>
  <c r="G932" i="1" s="1"/>
  <c r="H931" i="1"/>
  <c r="F931" i="1"/>
  <c r="E931" i="1"/>
  <c r="G931" i="1" s="1"/>
  <c r="H930" i="1"/>
  <c r="E930" i="1"/>
  <c r="G930" i="1" s="1"/>
  <c r="H929" i="1"/>
  <c r="E929" i="1"/>
  <c r="H928" i="1"/>
  <c r="E928" i="1"/>
  <c r="G928" i="1" s="1"/>
  <c r="H927" i="1"/>
  <c r="F927" i="1"/>
  <c r="E927" i="1"/>
  <c r="G927" i="1" s="1"/>
  <c r="H926" i="1"/>
  <c r="F926" i="1"/>
  <c r="E926" i="1"/>
  <c r="G926" i="1" s="1"/>
  <c r="H925" i="1"/>
  <c r="E925" i="1"/>
  <c r="H924" i="1"/>
  <c r="E924" i="1"/>
  <c r="G924" i="1" s="1"/>
  <c r="H923" i="1"/>
  <c r="F923" i="1"/>
  <c r="E923" i="1"/>
  <c r="G923" i="1" s="1"/>
  <c r="H922" i="1"/>
  <c r="E922" i="1"/>
  <c r="G922" i="1" s="1"/>
  <c r="H921" i="1"/>
  <c r="E921" i="1"/>
  <c r="H920" i="1"/>
  <c r="E920" i="1"/>
  <c r="H919" i="1"/>
  <c r="E919" i="1"/>
  <c r="H918" i="1"/>
  <c r="E918" i="1"/>
  <c r="H917" i="1"/>
  <c r="E917" i="1"/>
  <c r="H916" i="1"/>
  <c r="E916" i="1"/>
  <c r="H915" i="1"/>
  <c r="E915" i="1"/>
  <c r="H914" i="1"/>
  <c r="E914" i="1"/>
  <c r="H913" i="1"/>
  <c r="E913" i="1"/>
  <c r="H912" i="1"/>
  <c r="E912" i="1"/>
  <c r="H911" i="1"/>
  <c r="E911" i="1"/>
  <c r="H910" i="1"/>
  <c r="E910" i="1"/>
  <c r="H909" i="1"/>
  <c r="E909" i="1"/>
  <c r="H908" i="1"/>
  <c r="E908" i="1"/>
  <c r="H907" i="1"/>
  <c r="E907" i="1"/>
  <c r="H906" i="1"/>
  <c r="E906" i="1"/>
  <c r="H905" i="1"/>
  <c r="E905" i="1"/>
  <c r="H904" i="1"/>
  <c r="E904" i="1"/>
  <c r="H903" i="1"/>
  <c r="E903" i="1"/>
  <c r="H902" i="1"/>
  <c r="E902" i="1"/>
  <c r="H901" i="1"/>
  <c r="E901" i="1"/>
  <c r="H900" i="1"/>
  <c r="E900" i="1"/>
  <c r="H899" i="1"/>
  <c r="E899" i="1"/>
  <c r="H898" i="1"/>
  <c r="E898" i="1"/>
  <c r="H897" i="1"/>
  <c r="E897" i="1"/>
  <c r="H896" i="1"/>
  <c r="E896" i="1"/>
  <c r="H895" i="1"/>
  <c r="E895" i="1"/>
  <c r="H894" i="1"/>
  <c r="E894" i="1"/>
  <c r="H893" i="1"/>
  <c r="E893" i="1"/>
  <c r="H892" i="1"/>
  <c r="E892" i="1"/>
  <c r="H891" i="1"/>
  <c r="E891" i="1"/>
  <c r="H890" i="1"/>
  <c r="E890" i="1"/>
  <c r="H889" i="1"/>
  <c r="E889" i="1"/>
  <c r="H888" i="1"/>
  <c r="E888" i="1"/>
  <c r="H887" i="1"/>
  <c r="E887" i="1"/>
  <c r="H886" i="1"/>
  <c r="E886" i="1"/>
  <c r="H885" i="1"/>
  <c r="E885" i="1"/>
  <c r="H884" i="1"/>
  <c r="E884" i="1"/>
  <c r="H883" i="1"/>
  <c r="E883" i="1"/>
  <c r="H882" i="1"/>
  <c r="E882" i="1"/>
  <c r="H881" i="1"/>
  <c r="E881" i="1"/>
  <c r="H880" i="1"/>
  <c r="E880" i="1"/>
  <c r="H879" i="1"/>
  <c r="E879" i="1"/>
  <c r="H878" i="1"/>
  <c r="E878" i="1"/>
  <c r="H877" i="1"/>
  <c r="E877" i="1"/>
  <c r="H876" i="1"/>
  <c r="E876" i="1"/>
  <c r="H875" i="1"/>
  <c r="E875" i="1"/>
  <c r="H874" i="1"/>
  <c r="E874" i="1"/>
  <c r="H873" i="1"/>
  <c r="E873" i="1"/>
  <c r="H872" i="1"/>
  <c r="E872" i="1"/>
  <c r="H871" i="1"/>
  <c r="E871" i="1"/>
  <c r="H870" i="1"/>
  <c r="E870" i="1"/>
  <c r="H869" i="1"/>
  <c r="E869" i="1"/>
  <c r="H868" i="1"/>
  <c r="E868" i="1"/>
  <c r="H867" i="1"/>
  <c r="E867" i="1"/>
  <c r="H866" i="1"/>
  <c r="E866" i="1"/>
  <c r="H865" i="1"/>
  <c r="E865" i="1"/>
  <c r="H864" i="1"/>
  <c r="E864" i="1"/>
  <c r="H863" i="1"/>
  <c r="E863" i="1"/>
  <c r="H862" i="1"/>
  <c r="E862" i="1"/>
  <c r="H861" i="1"/>
  <c r="E861" i="1"/>
  <c r="H860" i="1"/>
  <c r="E860" i="1"/>
  <c r="H859" i="1"/>
  <c r="E859" i="1"/>
  <c r="H858" i="1"/>
  <c r="E858" i="1"/>
  <c r="G858" i="1" s="1"/>
  <c r="H857" i="1"/>
  <c r="E857" i="1"/>
  <c r="G857" i="1" s="1"/>
  <c r="H856" i="1"/>
  <c r="F856" i="1"/>
  <c r="E856" i="1"/>
  <c r="G856" i="1" s="1"/>
  <c r="H855" i="1"/>
  <c r="E855" i="1"/>
  <c r="G855" i="1" s="1"/>
  <c r="H854" i="1"/>
  <c r="E854" i="1"/>
  <c r="G854" i="1" s="1"/>
  <c r="H853" i="1"/>
  <c r="F853" i="1"/>
  <c r="E853" i="1"/>
  <c r="G853" i="1" s="1"/>
  <c r="H852" i="1"/>
  <c r="F852" i="1"/>
  <c r="E852" i="1"/>
  <c r="G852" i="1" s="1"/>
  <c r="H851" i="1"/>
  <c r="E851" i="1"/>
  <c r="G851" i="1" s="1"/>
  <c r="H850" i="1"/>
  <c r="E850" i="1"/>
  <c r="G850" i="1" s="1"/>
  <c r="H849" i="1"/>
  <c r="F849" i="1"/>
  <c r="E849" i="1"/>
  <c r="G849" i="1" s="1"/>
  <c r="H848" i="1"/>
  <c r="F848" i="1"/>
  <c r="E848" i="1"/>
  <c r="G848" i="1" s="1"/>
  <c r="H847" i="1"/>
  <c r="E847" i="1"/>
  <c r="G847" i="1" s="1"/>
  <c r="H846" i="1"/>
  <c r="E846" i="1"/>
  <c r="G846" i="1" s="1"/>
  <c r="H845" i="1"/>
  <c r="F845" i="1"/>
  <c r="E845" i="1"/>
  <c r="G845" i="1" s="1"/>
  <c r="H844" i="1"/>
  <c r="F844" i="1"/>
  <c r="E844" i="1"/>
  <c r="G844" i="1" s="1"/>
  <c r="H843" i="1"/>
  <c r="E843" i="1"/>
  <c r="G843" i="1" s="1"/>
  <c r="H842" i="1"/>
  <c r="E842" i="1"/>
  <c r="G842" i="1" s="1"/>
  <c r="H841" i="1"/>
  <c r="F841" i="1"/>
  <c r="E841" i="1"/>
  <c r="G841" i="1" s="1"/>
  <c r="H840" i="1"/>
  <c r="F840" i="1"/>
  <c r="E840" i="1"/>
  <c r="G840" i="1" s="1"/>
  <c r="H839" i="1"/>
  <c r="E839" i="1"/>
  <c r="G839" i="1" s="1"/>
  <c r="H838" i="1"/>
  <c r="E838" i="1"/>
  <c r="G838" i="1" s="1"/>
  <c r="H837" i="1"/>
  <c r="F837" i="1"/>
  <c r="E837" i="1"/>
  <c r="G837" i="1" s="1"/>
  <c r="H836" i="1"/>
  <c r="F836" i="1"/>
  <c r="E836" i="1"/>
  <c r="G836" i="1" s="1"/>
  <c r="H835" i="1"/>
  <c r="E835" i="1"/>
  <c r="G835" i="1" s="1"/>
  <c r="H834" i="1"/>
  <c r="E834" i="1"/>
  <c r="G834" i="1" s="1"/>
  <c r="H833" i="1"/>
  <c r="F833" i="1"/>
  <c r="E833" i="1"/>
  <c r="G833" i="1" s="1"/>
  <c r="H832" i="1"/>
  <c r="F832" i="1"/>
  <c r="E832" i="1"/>
  <c r="G832" i="1" s="1"/>
  <c r="H831" i="1"/>
  <c r="E831" i="1"/>
  <c r="G831" i="1" s="1"/>
  <c r="H830" i="1"/>
  <c r="E830" i="1"/>
  <c r="G830" i="1" s="1"/>
  <c r="H829" i="1"/>
  <c r="F829" i="1"/>
  <c r="E829" i="1"/>
  <c r="G829" i="1" s="1"/>
  <c r="H828" i="1"/>
  <c r="F828" i="1"/>
  <c r="E828" i="1"/>
  <c r="G828" i="1" s="1"/>
  <c r="H827" i="1"/>
  <c r="E827" i="1"/>
  <c r="G827" i="1" s="1"/>
  <c r="H826" i="1"/>
  <c r="E826" i="1"/>
  <c r="G826" i="1" s="1"/>
  <c r="H825" i="1"/>
  <c r="F825" i="1"/>
  <c r="E825" i="1"/>
  <c r="G825" i="1" s="1"/>
  <c r="H824" i="1"/>
  <c r="F824" i="1"/>
  <c r="E824" i="1"/>
  <c r="G824" i="1" s="1"/>
  <c r="H823" i="1"/>
  <c r="E823" i="1"/>
  <c r="G823" i="1" s="1"/>
  <c r="H822" i="1"/>
  <c r="E822" i="1"/>
  <c r="G822" i="1" s="1"/>
  <c r="H821" i="1"/>
  <c r="F821" i="1"/>
  <c r="E821" i="1"/>
  <c r="G821" i="1" s="1"/>
  <c r="H820" i="1"/>
  <c r="F820" i="1"/>
  <c r="E820" i="1"/>
  <c r="G820" i="1" s="1"/>
  <c r="H819" i="1"/>
  <c r="E819" i="1"/>
  <c r="G819" i="1" s="1"/>
  <c r="H818" i="1"/>
  <c r="E818" i="1"/>
  <c r="G818" i="1" s="1"/>
  <c r="H817" i="1"/>
  <c r="F817" i="1"/>
  <c r="E817" i="1"/>
  <c r="G817" i="1" s="1"/>
  <c r="H816" i="1"/>
  <c r="F816" i="1"/>
  <c r="E816" i="1"/>
  <c r="G816" i="1" s="1"/>
  <c r="H815" i="1"/>
  <c r="E815" i="1"/>
  <c r="G815" i="1" s="1"/>
  <c r="H814" i="1"/>
  <c r="E814" i="1"/>
  <c r="G814" i="1" s="1"/>
  <c r="H813" i="1"/>
  <c r="E813" i="1"/>
  <c r="G813" i="1" s="1"/>
  <c r="H812" i="1"/>
  <c r="F812" i="1"/>
  <c r="E812" i="1"/>
  <c r="G812" i="1" s="1"/>
  <c r="H811" i="1"/>
  <c r="E811" i="1"/>
  <c r="G811" i="1" s="1"/>
  <c r="H810" i="1"/>
  <c r="E810" i="1"/>
  <c r="G810" i="1" s="1"/>
  <c r="H809" i="1"/>
  <c r="E809" i="1"/>
  <c r="G809" i="1" s="1"/>
  <c r="H808" i="1"/>
  <c r="F808" i="1"/>
  <c r="E808" i="1"/>
  <c r="G808" i="1" s="1"/>
  <c r="H807" i="1"/>
  <c r="E807" i="1"/>
  <c r="G807" i="1" s="1"/>
  <c r="H806" i="1"/>
  <c r="E806" i="1"/>
  <c r="G806" i="1" s="1"/>
  <c r="H805" i="1"/>
  <c r="E805" i="1"/>
  <c r="G805" i="1" s="1"/>
  <c r="H804" i="1"/>
  <c r="F804" i="1"/>
  <c r="E804" i="1"/>
  <c r="G804" i="1" s="1"/>
  <c r="H803" i="1"/>
  <c r="E803" i="1"/>
  <c r="G803" i="1" s="1"/>
  <c r="H802" i="1"/>
  <c r="E802" i="1"/>
  <c r="G802" i="1" s="1"/>
  <c r="H801" i="1"/>
  <c r="E801" i="1"/>
  <c r="G801" i="1" s="1"/>
  <c r="H800" i="1"/>
  <c r="F800" i="1"/>
  <c r="E800" i="1"/>
  <c r="G800" i="1" s="1"/>
  <c r="H799" i="1"/>
  <c r="E799" i="1"/>
  <c r="G799" i="1" s="1"/>
  <c r="H798" i="1"/>
  <c r="E798" i="1"/>
  <c r="G798" i="1" s="1"/>
  <c r="H797" i="1"/>
  <c r="E797" i="1"/>
  <c r="G797" i="1" s="1"/>
  <c r="H796" i="1"/>
  <c r="F796" i="1"/>
  <c r="E796" i="1"/>
  <c r="G796" i="1" s="1"/>
  <c r="H795" i="1"/>
  <c r="E795" i="1"/>
  <c r="G795" i="1" s="1"/>
  <c r="H794" i="1"/>
  <c r="E794" i="1"/>
  <c r="G794" i="1" s="1"/>
  <c r="H793" i="1"/>
  <c r="E793" i="1"/>
  <c r="G793" i="1" s="1"/>
  <c r="H792" i="1"/>
  <c r="F792" i="1"/>
  <c r="E792" i="1"/>
  <c r="G792" i="1" s="1"/>
  <c r="H791" i="1"/>
  <c r="E791" i="1"/>
  <c r="G791" i="1" s="1"/>
  <c r="H790" i="1"/>
  <c r="E790" i="1"/>
  <c r="G790" i="1" s="1"/>
  <c r="H789" i="1"/>
  <c r="E789" i="1"/>
  <c r="G789" i="1" s="1"/>
  <c r="H788" i="1"/>
  <c r="F788" i="1"/>
  <c r="E788" i="1"/>
  <c r="G788" i="1" s="1"/>
  <c r="H787" i="1"/>
  <c r="E787" i="1"/>
  <c r="G787" i="1" s="1"/>
  <c r="H786" i="1"/>
  <c r="E786" i="1"/>
  <c r="G786" i="1" s="1"/>
  <c r="H785" i="1"/>
  <c r="E785" i="1"/>
  <c r="G785" i="1" s="1"/>
  <c r="H784" i="1"/>
  <c r="F784" i="1"/>
  <c r="E784" i="1"/>
  <c r="G784" i="1" s="1"/>
  <c r="H783" i="1"/>
  <c r="E783" i="1"/>
  <c r="G783" i="1" s="1"/>
  <c r="H782" i="1"/>
  <c r="E782" i="1"/>
  <c r="G782" i="1" s="1"/>
  <c r="H781" i="1"/>
  <c r="E781" i="1"/>
  <c r="G781" i="1" s="1"/>
  <c r="H780" i="1"/>
  <c r="F780" i="1"/>
  <c r="E780" i="1"/>
  <c r="G780" i="1" s="1"/>
  <c r="H779" i="1"/>
  <c r="E779" i="1"/>
  <c r="G779" i="1" s="1"/>
  <c r="H778" i="1"/>
  <c r="E778" i="1"/>
  <c r="G778" i="1" s="1"/>
  <c r="H777" i="1"/>
  <c r="E777" i="1"/>
  <c r="G777" i="1" s="1"/>
  <c r="H776" i="1"/>
  <c r="F776" i="1"/>
  <c r="E776" i="1"/>
  <c r="G776" i="1" s="1"/>
  <c r="H775" i="1"/>
  <c r="E775" i="1"/>
  <c r="G775" i="1" s="1"/>
  <c r="H774" i="1"/>
  <c r="E774" i="1"/>
  <c r="G774" i="1" s="1"/>
  <c r="H773" i="1"/>
  <c r="E773" i="1"/>
  <c r="G773" i="1" s="1"/>
  <c r="H772" i="1"/>
  <c r="E772" i="1"/>
  <c r="G772" i="1" s="1"/>
  <c r="H771" i="1"/>
  <c r="E771" i="1"/>
  <c r="G771" i="1" s="1"/>
  <c r="H770" i="1"/>
  <c r="E770" i="1"/>
  <c r="G770" i="1" s="1"/>
  <c r="H769" i="1"/>
  <c r="E769" i="1"/>
  <c r="G769" i="1" s="1"/>
  <c r="H768" i="1"/>
  <c r="E768" i="1"/>
  <c r="G768" i="1" s="1"/>
  <c r="H767" i="1"/>
  <c r="E767" i="1"/>
  <c r="G767" i="1" s="1"/>
  <c r="H766" i="1"/>
  <c r="E766" i="1"/>
  <c r="G766" i="1" s="1"/>
  <c r="H765" i="1"/>
  <c r="E765" i="1"/>
  <c r="G765" i="1" s="1"/>
  <c r="H764" i="1"/>
  <c r="E764" i="1"/>
  <c r="G764" i="1" s="1"/>
  <c r="H763" i="1"/>
  <c r="E763" i="1"/>
  <c r="G763" i="1" s="1"/>
  <c r="H762" i="1"/>
  <c r="E762" i="1"/>
  <c r="G762" i="1" s="1"/>
  <c r="H761" i="1"/>
  <c r="E761" i="1"/>
  <c r="G761" i="1" s="1"/>
  <c r="H760" i="1"/>
  <c r="E760" i="1"/>
  <c r="G760" i="1" s="1"/>
  <c r="H759" i="1"/>
  <c r="E759" i="1"/>
  <c r="G759" i="1" s="1"/>
  <c r="H758" i="1"/>
  <c r="E758" i="1"/>
  <c r="G758" i="1" s="1"/>
  <c r="H757" i="1"/>
  <c r="E757" i="1"/>
  <c r="G757" i="1" s="1"/>
  <c r="H756" i="1"/>
  <c r="E756" i="1"/>
  <c r="G756" i="1" s="1"/>
  <c r="H755" i="1"/>
  <c r="E755" i="1"/>
  <c r="G755" i="1" s="1"/>
  <c r="H754" i="1"/>
  <c r="E754" i="1"/>
  <c r="G754" i="1" s="1"/>
  <c r="H753" i="1"/>
  <c r="E753" i="1"/>
  <c r="G753" i="1" s="1"/>
  <c r="H752" i="1"/>
  <c r="E752" i="1"/>
  <c r="G752" i="1" s="1"/>
  <c r="H751" i="1"/>
  <c r="E751" i="1"/>
  <c r="G751" i="1" s="1"/>
  <c r="H750" i="1"/>
  <c r="E750" i="1"/>
  <c r="G750" i="1" s="1"/>
  <c r="H749" i="1"/>
  <c r="E749" i="1"/>
  <c r="G749" i="1" s="1"/>
  <c r="H748" i="1"/>
  <c r="E748" i="1"/>
  <c r="G748" i="1" s="1"/>
  <c r="H747" i="1"/>
  <c r="E747" i="1"/>
  <c r="G747" i="1" s="1"/>
  <c r="H746" i="1"/>
  <c r="E746" i="1"/>
  <c r="G746" i="1" s="1"/>
  <c r="H745" i="1"/>
  <c r="E745" i="1"/>
  <c r="G745" i="1" s="1"/>
  <c r="H744" i="1"/>
  <c r="E744" i="1"/>
  <c r="G744" i="1" s="1"/>
  <c r="H743" i="1"/>
  <c r="E743" i="1"/>
  <c r="G743" i="1" s="1"/>
  <c r="H742" i="1"/>
  <c r="E742" i="1"/>
  <c r="G742" i="1" s="1"/>
  <c r="H741" i="1"/>
  <c r="E741" i="1"/>
  <c r="G741" i="1" s="1"/>
  <c r="H740" i="1"/>
  <c r="E740" i="1"/>
  <c r="G740" i="1" s="1"/>
  <c r="H739" i="1"/>
  <c r="E739" i="1"/>
  <c r="G739" i="1" s="1"/>
  <c r="H738" i="1"/>
  <c r="E738" i="1"/>
  <c r="G738" i="1" s="1"/>
  <c r="H737" i="1"/>
  <c r="E737" i="1"/>
  <c r="G737" i="1" s="1"/>
  <c r="H736" i="1"/>
  <c r="E736" i="1"/>
  <c r="G736" i="1" s="1"/>
  <c r="H735" i="1"/>
  <c r="E735" i="1"/>
  <c r="G735" i="1" s="1"/>
  <c r="H734" i="1"/>
  <c r="E734" i="1"/>
  <c r="G734" i="1" s="1"/>
  <c r="H733" i="1"/>
  <c r="E733" i="1"/>
  <c r="G733" i="1" s="1"/>
  <c r="H732" i="1"/>
  <c r="E732" i="1"/>
  <c r="G732" i="1" s="1"/>
  <c r="H731" i="1"/>
  <c r="E731" i="1"/>
  <c r="G731" i="1" s="1"/>
  <c r="H730" i="1"/>
  <c r="E730" i="1"/>
  <c r="G730" i="1" s="1"/>
  <c r="H729" i="1"/>
  <c r="E729" i="1"/>
  <c r="G729" i="1" s="1"/>
  <c r="H728" i="1"/>
  <c r="E728" i="1"/>
  <c r="G728" i="1" s="1"/>
  <c r="H727" i="1"/>
  <c r="E727" i="1"/>
  <c r="G727" i="1" s="1"/>
  <c r="H726" i="1"/>
  <c r="E726" i="1"/>
  <c r="G726" i="1" s="1"/>
  <c r="H725" i="1"/>
  <c r="E725" i="1"/>
  <c r="G725" i="1" s="1"/>
  <c r="H724" i="1"/>
  <c r="E724" i="1"/>
  <c r="G724" i="1" s="1"/>
  <c r="H723" i="1"/>
  <c r="E723" i="1"/>
  <c r="G723" i="1" s="1"/>
  <c r="H722" i="1"/>
  <c r="E722" i="1"/>
  <c r="G722" i="1" s="1"/>
  <c r="H721" i="1"/>
  <c r="E721" i="1"/>
  <c r="G721" i="1" s="1"/>
  <c r="H720" i="1"/>
  <c r="E720" i="1"/>
  <c r="G720" i="1" s="1"/>
  <c r="H719" i="1"/>
  <c r="E719" i="1"/>
  <c r="G719" i="1" s="1"/>
  <c r="H718" i="1"/>
  <c r="E718" i="1"/>
  <c r="G718" i="1" s="1"/>
  <c r="H717" i="1"/>
  <c r="E717" i="1"/>
  <c r="H716" i="1"/>
  <c r="E716" i="1"/>
  <c r="H715" i="1"/>
  <c r="E715" i="1"/>
  <c r="H714" i="1"/>
  <c r="E714" i="1"/>
  <c r="H713" i="1"/>
  <c r="E713" i="1"/>
  <c r="H712" i="1"/>
  <c r="E712" i="1"/>
  <c r="H711" i="1"/>
  <c r="E711" i="1"/>
  <c r="H710" i="1"/>
  <c r="E710" i="1"/>
  <c r="H709" i="1"/>
  <c r="E709" i="1"/>
  <c r="H708" i="1"/>
  <c r="E708" i="1"/>
  <c r="H707" i="1"/>
  <c r="E707" i="1"/>
  <c r="H706" i="1"/>
  <c r="E706" i="1"/>
  <c r="H705" i="1"/>
  <c r="E705" i="1"/>
  <c r="H704" i="1"/>
  <c r="E704" i="1"/>
  <c r="H703" i="1"/>
  <c r="E703" i="1"/>
  <c r="H702" i="1"/>
  <c r="E702" i="1"/>
  <c r="H701" i="1"/>
  <c r="E701" i="1"/>
  <c r="H700" i="1"/>
  <c r="E700" i="1"/>
  <c r="H699" i="1"/>
  <c r="E699" i="1"/>
  <c r="H698" i="1"/>
  <c r="E698" i="1"/>
  <c r="H697" i="1"/>
  <c r="E697" i="1"/>
  <c r="H696" i="1"/>
  <c r="E696" i="1"/>
  <c r="H695" i="1"/>
  <c r="E695" i="1"/>
  <c r="H694" i="1"/>
  <c r="E694" i="1"/>
  <c r="H693" i="1"/>
  <c r="E693" i="1"/>
  <c r="H692" i="1"/>
  <c r="E692" i="1"/>
  <c r="H691" i="1"/>
  <c r="E691" i="1"/>
  <c r="H690" i="1"/>
  <c r="E690" i="1"/>
  <c r="H689" i="1"/>
  <c r="E689" i="1"/>
  <c r="H688" i="1"/>
  <c r="E688" i="1"/>
  <c r="H687" i="1"/>
  <c r="E687" i="1"/>
  <c r="H686" i="1"/>
  <c r="E686" i="1"/>
  <c r="H685" i="1"/>
  <c r="E685" i="1"/>
  <c r="H684" i="1"/>
  <c r="E684" i="1"/>
  <c r="H683" i="1"/>
  <c r="E683" i="1"/>
  <c r="H682" i="1"/>
  <c r="E682" i="1"/>
  <c r="H681" i="1"/>
  <c r="E681" i="1"/>
  <c r="H680" i="1"/>
  <c r="E680" i="1"/>
  <c r="H679" i="1"/>
  <c r="E679" i="1"/>
  <c r="H678" i="1"/>
  <c r="E678" i="1"/>
  <c r="H677" i="1"/>
  <c r="E677" i="1"/>
  <c r="H676" i="1"/>
  <c r="E676" i="1"/>
  <c r="H675" i="1"/>
  <c r="E675" i="1"/>
  <c r="H674" i="1"/>
  <c r="E674" i="1"/>
  <c r="H673" i="1"/>
  <c r="E673" i="1"/>
  <c r="H672" i="1"/>
  <c r="E672" i="1"/>
  <c r="H671" i="1"/>
  <c r="E671" i="1"/>
  <c r="H670" i="1"/>
  <c r="E670" i="1"/>
  <c r="H669" i="1"/>
  <c r="E669" i="1"/>
  <c r="H668" i="1"/>
  <c r="E668" i="1"/>
  <c r="H667" i="1"/>
  <c r="E667" i="1"/>
  <c r="H666" i="1"/>
  <c r="E666" i="1"/>
  <c r="H665" i="1"/>
  <c r="E665" i="1"/>
  <c r="H664" i="1"/>
  <c r="E664" i="1"/>
  <c r="H663" i="1"/>
  <c r="E663" i="1"/>
  <c r="H662" i="1"/>
  <c r="E662" i="1"/>
  <c r="H661" i="1"/>
  <c r="E661" i="1"/>
  <c r="H660" i="1"/>
  <c r="E660" i="1"/>
  <c r="H659" i="1"/>
  <c r="E659" i="1"/>
  <c r="H658" i="1"/>
  <c r="E658" i="1"/>
  <c r="H657" i="1"/>
  <c r="E657" i="1"/>
  <c r="H656" i="1"/>
  <c r="E656" i="1"/>
  <c r="H655" i="1"/>
  <c r="E655" i="1"/>
  <c r="H654" i="1"/>
  <c r="E654" i="1"/>
  <c r="H653" i="1"/>
  <c r="E653" i="1"/>
  <c r="H652" i="1"/>
  <c r="E652" i="1"/>
  <c r="H651" i="1"/>
  <c r="E651" i="1"/>
  <c r="H650" i="1"/>
  <c r="E650" i="1"/>
  <c r="H649" i="1"/>
  <c r="E649" i="1"/>
  <c r="H648" i="1"/>
  <c r="E648" i="1"/>
  <c r="H647" i="1"/>
  <c r="E647" i="1"/>
  <c r="H646" i="1"/>
  <c r="E646" i="1"/>
  <c r="H645" i="1"/>
  <c r="E645" i="1"/>
  <c r="H644" i="1"/>
  <c r="E644" i="1"/>
  <c r="H643" i="1"/>
  <c r="E643" i="1"/>
  <c r="H642" i="1"/>
  <c r="E642" i="1"/>
  <c r="H641" i="1"/>
  <c r="E641" i="1"/>
  <c r="H640" i="1"/>
  <c r="E640" i="1"/>
  <c r="H639" i="1"/>
  <c r="E639" i="1"/>
  <c r="H638" i="1"/>
  <c r="E638" i="1"/>
  <c r="H637" i="1"/>
  <c r="E637" i="1"/>
  <c r="H636" i="1"/>
  <c r="E636" i="1"/>
  <c r="H635" i="1"/>
  <c r="E635" i="1"/>
  <c r="H634" i="1"/>
  <c r="E634" i="1"/>
  <c r="H633" i="1"/>
  <c r="E633" i="1"/>
  <c r="H632" i="1"/>
  <c r="F632" i="1"/>
  <c r="E632" i="1"/>
  <c r="G632" i="1" s="1"/>
  <c r="H631" i="1"/>
  <c r="E631" i="1"/>
  <c r="G631" i="1" s="1"/>
  <c r="H630" i="1"/>
  <c r="E630" i="1"/>
  <c r="G630" i="1" s="1"/>
  <c r="H629" i="1"/>
  <c r="E629" i="1"/>
  <c r="G629" i="1" s="1"/>
  <c r="H628" i="1"/>
  <c r="E628" i="1"/>
  <c r="G628" i="1" s="1"/>
  <c r="H627" i="1"/>
  <c r="E627" i="1"/>
  <c r="G627" i="1" s="1"/>
  <c r="H626" i="1"/>
  <c r="E626" i="1"/>
  <c r="G626" i="1" s="1"/>
  <c r="H625" i="1"/>
  <c r="E625" i="1"/>
  <c r="G625" i="1" s="1"/>
  <c r="H624" i="1"/>
  <c r="E624" i="1"/>
  <c r="G624" i="1" s="1"/>
  <c r="H623" i="1"/>
  <c r="E623" i="1"/>
  <c r="G623" i="1" s="1"/>
  <c r="H622" i="1"/>
  <c r="E622" i="1"/>
  <c r="G622" i="1" s="1"/>
  <c r="H621" i="1"/>
  <c r="E621" i="1"/>
  <c r="G621" i="1" s="1"/>
  <c r="H620" i="1"/>
  <c r="E620" i="1"/>
  <c r="G620" i="1" s="1"/>
  <c r="H619" i="1"/>
  <c r="E619" i="1"/>
  <c r="G619" i="1" s="1"/>
  <c r="H618" i="1"/>
  <c r="E618" i="1"/>
  <c r="G618" i="1" s="1"/>
  <c r="H617" i="1"/>
  <c r="E617" i="1"/>
  <c r="G617" i="1" s="1"/>
  <c r="H616" i="1"/>
  <c r="E616" i="1"/>
  <c r="G616" i="1" s="1"/>
  <c r="H615" i="1"/>
  <c r="E615" i="1"/>
  <c r="G615" i="1" s="1"/>
  <c r="H614" i="1"/>
  <c r="E614" i="1"/>
  <c r="G614" i="1" s="1"/>
  <c r="H613" i="1"/>
  <c r="E613" i="1"/>
  <c r="G613" i="1" s="1"/>
  <c r="H612" i="1"/>
  <c r="H611" i="1"/>
  <c r="E611" i="1"/>
  <c r="G611" i="1" s="1"/>
  <c r="H610" i="1"/>
  <c r="E610" i="1"/>
  <c r="G610" i="1" s="1"/>
  <c r="H609" i="1"/>
  <c r="H608" i="1"/>
  <c r="E608" i="1"/>
  <c r="G608" i="1" s="1"/>
  <c r="H607" i="1"/>
  <c r="E607" i="1"/>
  <c r="G607" i="1" s="1"/>
  <c r="H606" i="1"/>
  <c r="E606" i="1"/>
  <c r="G606" i="1" s="1"/>
  <c r="H605" i="1"/>
  <c r="E605" i="1"/>
  <c r="G605" i="1" s="1"/>
  <c r="H604" i="1"/>
  <c r="E604" i="1"/>
  <c r="G604" i="1" s="1"/>
  <c r="H603" i="1"/>
  <c r="E603" i="1"/>
  <c r="G603" i="1" s="1"/>
  <c r="H602" i="1"/>
  <c r="H601" i="1"/>
  <c r="E601" i="1"/>
  <c r="G601" i="1" s="1"/>
  <c r="H600" i="1"/>
  <c r="E600" i="1"/>
  <c r="G600" i="1" s="1"/>
  <c r="H599" i="1"/>
  <c r="E599" i="1"/>
  <c r="G599" i="1" s="1"/>
  <c r="H598" i="1"/>
  <c r="E598" i="1"/>
  <c r="G598" i="1" s="1"/>
  <c r="H597" i="1"/>
  <c r="E597" i="1"/>
  <c r="G597" i="1" s="1"/>
  <c r="H596" i="1"/>
  <c r="H595" i="1"/>
  <c r="E595" i="1"/>
  <c r="G595" i="1" s="1"/>
  <c r="H594" i="1"/>
  <c r="E594" i="1"/>
  <c r="G594" i="1" s="1"/>
  <c r="H593" i="1"/>
  <c r="E593" i="1"/>
  <c r="G593" i="1" s="1"/>
  <c r="H592" i="1"/>
  <c r="E592" i="1"/>
  <c r="G592" i="1" s="1"/>
  <c r="H591" i="1"/>
  <c r="E591" i="1"/>
  <c r="G591" i="1" s="1"/>
  <c r="H590" i="1"/>
  <c r="H589" i="1"/>
  <c r="E589" i="1"/>
  <c r="G589" i="1" s="1"/>
  <c r="H588" i="1"/>
  <c r="E588" i="1"/>
  <c r="G588" i="1" s="1"/>
  <c r="H587" i="1"/>
  <c r="E587" i="1"/>
  <c r="G587" i="1" s="1"/>
  <c r="H586" i="1"/>
  <c r="E586" i="1"/>
  <c r="G586" i="1" s="1"/>
  <c r="H585" i="1"/>
  <c r="E585" i="1"/>
  <c r="G585" i="1" s="1"/>
  <c r="H584" i="1"/>
  <c r="E584" i="1"/>
  <c r="G584" i="1" s="1"/>
  <c r="H583" i="1"/>
  <c r="H582" i="1"/>
  <c r="E582" i="1"/>
  <c r="G582" i="1" s="1"/>
  <c r="H581" i="1"/>
  <c r="H580" i="1"/>
  <c r="E580" i="1"/>
  <c r="G580" i="1" s="1"/>
  <c r="H579" i="1"/>
  <c r="H578" i="1"/>
  <c r="E578" i="1"/>
  <c r="G578" i="1" s="1"/>
  <c r="H577" i="1"/>
  <c r="E577" i="1"/>
  <c r="G577" i="1" s="1"/>
  <c r="H576" i="1"/>
  <c r="H575" i="1"/>
  <c r="E575" i="1"/>
  <c r="G575" i="1" s="1"/>
  <c r="H574" i="1"/>
  <c r="E574" i="1"/>
  <c r="G574" i="1" s="1"/>
  <c r="H573" i="1"/>
  <c r="E573" i="1"/>
  <c r="G573" i="1" s="1"/>
  <c r="H572" i="1"/>
  <c r="E572" i="1"/>
  <c r="G572" i="1" s="1"/>
  <c r="H571" i="1"/>
  <c r="H570" i="1"/>
  <c r="E570" i="1"/>
  <c r="G570" i="1" s="1"/>
  <c r="H569" i="1"/>
  <c r="E569" i="1"/>
  <c r="G569" i="1" s="1"/>
  <c r="H568" i="1"/>
  <c r="H567" i="1"/>
  <c r="E567" i="1"/>
  <c r="G567" i="1" s="1"/>
  <c r="H566" i="1"/>
  <c r="E566" i="1"/>
  <c r="G566" i="1" s="1"/>
  <c r="H565" i="1"/>
  <c r="E565" i="1"/>
  <c r="G565" i="1" s="1"/>
  <c r="H564" i="1"/>
  <c r="E564" i="1"/>
  <c r="G564" i="1" s="1"/>
  <c r="H563" i="1"/>
  <c r="H562" i="1"/>
  <c r="E562" i="1"/>
  <c r="G562" i="1" s="1"/>
  <c r="H561" i="1"/>
  <c r="E561" i="1"/>
  <c r="G561" i="1" s="1"/>
  <c r="H560" i="1"/>
  <c r="E560" i="1"/>
  <c r="G560" i="1" s="1"/>
  <c r="H559" i="1"/>
  <c r="E559" i="1"/>
  <c r="G559" i="1" s="1"/>
  <c r="H558" i="1"/>
  <c r="E558" i="1"/>
  <c r="G558" i="1" s="1"/>
  <c r="H557" i="1"/>
  <c r="E557" i="1"/>
  <c r="G557" i="1" s="1"/>
  <c r="H556" i="1"/>
  <c r="E556" i="1"/>
  <c r="G556" i="1" s="1"/>
  <c r="H555" i="1"/>
  <c r="E555" i="1"/>
  <c r="G555" i="1" s="1"/>
  <c r="H554" i="1"/>
  <c r="E554" i="1"/>
  <c r="G554" i="1" s="1"/>
  <c r="H553" i="1"/>
  <c r="E553" i="1"/>
  <c r="G553" i="1" s="1"/>
  <c r="H552" i="1"/>
  <c r="E552" i="1"/>
  <c r="G552" i="1" s="1"/>
  <c r="H551" i="1"/>
  <c r="E551" i="1"/>
  <c r="G551" i="1" s="1"/>
  <c r="H550" i="1"/>
  <c r="E550" i="1"/>
  <c r="G550" i="1" s="1"/>
  <c r="H549" i="1"/>
  <c r="E549" i="1"/>
  <c r="G549" i="1" s="1"/>
  <c r="H548" i="1"/>
  <c r="E548" i="1"/>
  <c r="G548" i="1" s="1"/>
  <c r="H547" i="1"/>
  <c r="H546" i="1"/>
  <c r="E546" i="1"/>
  <c r="G546" i="1" s="1"/>
  <c r="H545" i="1"/>
  <c r="E545" i="1"/>
  <c r="H544" i="1"/>
  <c r="H543" i="1"/>
  <c r="F543" i="1"/>
  <c r="E543" i="1"/>
  <c r="G543" i="1" s="1"/>
  <c r="H542" i="1"/>
  <c r="E542" i="1"/>
  <c r="G542" i="1" s="1"/>
  <c r="H541" i="1"/>
  <c r="E541" i="1"/>
  <c r="H540" i="1"/>
  <c r="E540" i="1"/>
  <c r="G540" i="1" s="1"/>
  <c r="H539" i="1"/>
  <c r="H538" i="1"/>
  <c r="H537" i="1"/>
  <c r="E537" i="1"/>
  <c r="H536" i="1"/>
  <c r="H535" i="1"/>
  <c r="F535" i="1"/>
  <c r="E535" i="1"/>
  <c r="G535" i="1" s="1"/>
  <c r="H534" i="1"/>
  <c r="E534" i="1"/>
  <c r="G534" i="1" s="1"/>
  <c r="H533" i="1"/>
  <c r="H532" i="1"/>
  <c r="E532" i="1"/>
  <c r="G532" i="1" s="1"/>
  <c r="H531" i="1"/>
  <c r="F531" i="1"/>
  <c r="E531" i="1"/>
  <c r="G531" i="1" s="1"/>
  <c r="H530" i="1"/>
  <c r="H529" i="1"/>
  <c r="E529" i="1"/>
  <c r="H528" i="1"/>
  <c r="E528" i="1"/>
  <c r="G528" i="1" s="1"/>
  <c r="H527" i="1"/>
  <c r="F527" i="1"/>
  <c r="E527" i="1"/>
  <c r="G527" i="1" s="1"/>
  <c r="H526" i="1"/>
  <c r="E526" i="1"/>
  <c r="G526" i="1" s="1"/>
  <c r="H525" i="1"/>
  <c r="E525" i="1"/>
  <c r="H524" i="1"/>
  <c r="E524" i="1"/>
  <c r="G524" i="1" s="1"/>
  <c r="H523" i="1"/>
  <c r="F523" i="1"/>
  <c r="H522" i="1"/>
  <c r="E522" i="1"/>
  <c r="G522" i="1" s="1"/>
  <c r="H521" i="1"/>
  <c r="E521" i="1"/>
  <c r="H520" i="1"/>
  <c r="H519" i="1"/>
  <c r="F519" i="1"/>
  <c r="E519" i="1"/>
  <c r="G519" i="1" s="1"/>
  <c r="H518" i="1"/>
  <c r="E518" i="1"/>
  <c r="G518" i="1" s="1"/>
  <c r="H517" i="1"/>
  <c r="H516" i="1"/>
  <c r="E516" i="1"/>
  <c r="G516" i="1" s="1"/>
  <c r="H515" i="1"/>
  <c r="F515" i="1"/>
  <c r="E515" i="1"/>
  <c r="G515" i="1" s="1"/>
  <c r="H514" i="1"/>
  <c r="H513" i="1"/>
  <c r="E513" i="1"/>
  <c r="H512" i="1"/>
  <c r="E512" i="1"/>
  <c r="G512" i="1" s="1"/>
  <c r="H511" i="1"/>
  <c r="F511" i="1"/>
  <c r="E511" i="1"/>
  <c r="G511" i="1" s="1"/>
  <c r="H510" i="1"/>
  <c r="E510" i="1"/>
  <c r="G510" i="1" s="1"/>
  <c r="H509" i="1"/>
  <c r="E509" i="1"/>
  <c r="H508" i="1"/>
  <c r="H507" i="1"/>
  <c r="F507" i="1"/>
  <c r="E507" i="1"/>
  <c r="G507" i="1" s="1"/>
  <c r="H506" i="1"/>
  <c r="E506" i="1"/>
  <c r="G506" i="1" s="1"/>
  <c r="H505" i="1"/>
  <c r="E505" i="1"/>
  <c r="H504" i="1"/>
  <c r="E504" i="1"/>
  <c r="G504" i="1" s="1"/>
  <c r="H503" i="1"/>
  <c r="F503" i="1"/>
  <c r="E503" i="1"/>
  <c r="G503" i="1" s="1"/>
  <c r="H502" i="1"/>
  <c r="E502" i="1"/>
  <c r="G502" i="1" s="1"/>
  <c r="H501" i="1"/>
  <c r="E501" i="1"/>
  <c r="H500" i="1"/>
  <c r="H499" i="1"/>
  <c r="F499" i="1"/>
  <c r="E499" i="1"/>
  <c r="G499" i="1" s="1"/>
  <c r="H498" i="1"/>
  <c r="E498" i="1"/>
  <c r="G498" i="1" s="1"/>
  <c r="H497" i="1"/>
  <c r="E497" i="1"/>
  <c r="H496" i="1"/>
  <c r="E496" i="1"/>
  <c r="G496" i="1" s="1"/>
  <c r="H495" i="1"/>
  <c r="F495" i="1"/>
  <c r="H494" i="1"/>
  <c r="E494" i="1"/>
  <c r="G494" i="1" s="1"/>
  <c r="H493" i="1"/>
  <c r="E493" i="1"/>
  <c r="H492" i="1"/>
  <c r="H491" i="1"/>
  <c r="F491" i="1"/>
  <c r="E491" i="1"/>
  <c r="G491" i="1" s="1"/>
  <c r="H490" i="1"/>
  <c r="E490" i="1"/>
  <c r="G490" i="1" s="1"/>
  <c r="H489" i="1"/>
  <c r="E489" i="1"/>
  <c r="H488" i="1"/>
  <c r="H487" i="1"/>
  <c r="F487" i="1"/>
  <c r="E487" i="1"/>
  <c r="G487" i="1" s="1"/>
  <c r="H486" i="1"/>
  <c r="E486" i="1"/>
  <c r="G486" i="1" s="1"/>
  <c r="H485" i="1"/>
  <c r="E485" i="1"/>
  <c r="H484" i="1"/>
  <c r="E484" i="1"/>
  <c r="G484" i="1" s="1"/>
  <c r="H483" i="1"/>
  <c r="F483" i="1"/>
  <c r="E483" i="1"/>
  <c r="G483" i="1" s="1"/>
  <c r="H482" i="1"/>
  <c r="E482" i="1"/>
  <c r="G482" i="1" s="1"/>
  <c r="H481" i="1"/>
  <c r="H480" i="1"/>
  <c r="E480" i="1"/>
  <c r="G480" i="1" s="1"/>
  <c r="H479" i="1"/>
  <c r="F479" i="1"/>
  <c r="E479" i="1"/>
  <c r="G479" i="1" s="1"/>
  <c r="H478" i="1"/>
  <c r="E478" i="1"/>
  <c r="G478" i="1" s="1"/>
  <c r="H477" i="1"/>
  <c r="E477" i="1"/>
  <c r="H476" i="1"/>
  <c r="E476" i="1"/>
  <c r="G476" i="1" s="1"/>
  <c r="H475" i="1"/>
  <c r="F475" i="1"/>
  <c r="E475" i="1"/>
  <c r="G475" i="1" s="1"/>
  <c r="H474" i="1"/>
  <c r="E474" i="1"/>
  <c r="G474" i="1" s="1"/>
  <c r="H473" i="1"/>
  <c r="E473" i="1"/>
  <c r="H472" i="1"/>
  <c r="E472" i="1"/>
  <c r="G472" i="1" s="1"/>
  <c r="H471" i="1"/>
  <c r="F471" i="1"/>
  <c r="E471" i="1"/>
  <c r="G471" i="1" s="1"/>
  <c r="H470" i="1"/>
  <c r="E470" i="1"/>
  <c r="G470" i="1" s="1"/>
  <c r="H469" i="1"/>
  <c r="H468" i="1"/>
  <c r="E468" i="1"/>
  <c r="G468" i="1" s="1"/>
  <c r="H467" i="1"/>
  <c r="H466" i="1"/>
  <c r="H465" i="1"/>
  <c r="E465" i="1"/>
  <c r="H464" i="1"/>
  <c r="E464" i="1"/>
  <c r="G464" i="1" s="1"/>
  <c r="H463" i="1"/>
  <c r="F463" i="1"/>
  <c r="E463" i="1"/>
  <c r="G463" i="1" s="1"/>
  <c r="H462" i="1"/>
  <c r="E462" i="1"/>
  <c r="G462" i="1" s="1"/>
  <c r="H461" i="1"/>
  <c r="E461" i="1"/>
  <c r="H460" i="1"/>
  <c r="E460" i="1"/>
  <c r="H459" i="1"/>
  <c r="E459" i="1"/>
  <c r="H458" i="1"/>
  <c r="E458" i="1"/>
  <c r="H457" i="1"/>
  <c r="E457" i="1"/>
  <c r="H456" i="1"/>
  <c r="E456" i="1"/>
  <c r="H455" i="1"/>
  <c r="E455" i="1"/>
  <c r="H454" i="1"/>
  <c r="E454" i="1"/>
  <c r="H453" i="1"/>
  <c r="E453" i="1"/>
  <c r="H452" i="1"/>
  <c r="E452" i="1"/>
  <c r="H451" i="1"/>
  <c r="E451" i="1"/>
  <c r="H450" i="1"/>
  <c r="E450" i="1"/>
  <c r="H449" i="1"/>
  <c r="H448" i="1"/>
  <c r="E448" i="1"/>
  <c r="H447" i="1"/>
  <c r="E447" i="1"/>
  <c r="H446" i="1"/>
  <c r="E446" i="1"/>
  <c r="H445" i="1"/>
  <c r="E445" i="1"/>
  <c r="H444" i="1"/>
  <c r="E444" i="1"/>
  <c r="H443" i="1"/>
  <c r="E443" i="1"/>
  <c r="H442" i="1"/>
  <c r="E442" i="1"/>
  <c r="H441" i="1"/>
  <c r="E441" i="1"/>
  <c r="H440" i="1"/>
  <c r="H439" i="1"/>
  <c r="E439" i="1"/>
  <c r="H438" i="1"/>
  <c r="H437" i="1"/>
  <c r="E437" i="1"/>
  <c r="H436" i="1"/>
  <c r="E436" i="1"/>
  <c r="H435" i="1"/>
  <c r="E435" i="1"/>
  <c r="H434" i="1"/>
  <c r="E434" i="1"/>
  <c r="H433" i="1"/>
  <c r="E433" i="1"/>
  <c r="H432" i="1"/>
  <c r="H431" i="1"/>
  <c r="E431" i="1"/>
  <c r="H430" i="1"/>
  <c r="E430" i="1"/>
  <c r="H429" i="1"/>
  <c r="E429" i="1"/>
  <c r="H428" i="1"/>
  <c r="E428" i="1"/>
  <c r="H427" i="1"/>
  <c r="E427" i="1"/>
  <c r="H426" i="1"/>
  <c r="E426" i="1"/>
  <c r="H425" i="1"/>
  <c r="E425" i="1"/>
  <c r="H424" i="1"/>
  <c r="E424" i="1"/>
  <c r="H423" i="1"/>
  <c r="E423" i="1"/>
  <c r="H422" i="1"/>
  <c r="E422" i="1"/>
  <c r="H421" i="1"/>
  <c r="E421" i="1"/>
  <c r="H420" i="1"/>
  <c r="H419" i="1"/>
  <c r="E419" i="1"/>
  <c r="H418" i="1"/>
  <c r="H417" i="1"/>
  <c r="H416" i="1"/>
  <c r="E416" i="1"/>
  <c r="H415" i="1"/>
  <c r="E415" i="1"/>
  <c r="H414" i="1"/>
  <c r="E414" i="1"/>
  <c r="H413" i="1"/>
  <c r="E413" i="1"/>
  <c r="H412" i="1"/>
  <c r="E412" i="1"/>
  <c r="H411" i="1"/>
  <c r="E411" i="1"/>
  <c r="H410" i="1"/>
  <c r="E410" i="1"/>
  <c r="H409" i="1"/>
  <c r="E409" i="1"/>
  <c r="H408" i="1"/>
  <c r="E408" i="1"/>
  <c r="H407" i="1"/>
  <c r="E407" i="1"/>
  <c r="H406" i="1"/>
  <c r="E406" i="1"/>
  <c r="G406" i="1" s="1"/>
  <c r="H405" i="1"/>
  <c r="H404" i="1"/>
  <c r="F404" i="1"/>
  <c r="E404" i="1"/>
  <c r="G404" i="1" s="1"/>
  <c r="H403" i="1"/>
  <c r="H402" i="1"/>
  <c r="E402" i="1"/>
  <c r="G402" i="1" s="1"/>
  <c r="H401" i="1"/>
  <c r="H400" i="1"/>
  <c r="F400" i="1"/>
  <c r="E400" i="1"/>
  <c r="G400" i="1" s="1"/>
  <c r="H399" i="1"/>
  <c r="E399" i="1"/>
  <c r="G399" i="1" s="1"/>
  <c r="H398" i="1"/>
  <c r="E398" i="1"/>
  <c r="G398" i="1" s="1"/>
  <c r="H397" i="1"/>
  <c r="H396" i="1"/>
  <c r="G396" i="1"/>
  <c r="E396" i="1"/>
  <c r="F396" i="1" s="1"/>
  <c r="H395" i="1"/>
  <c r="F395" i="1"/>
  <c r="H394" i="1"/>
  <c r="G394" i="1"/>
  <c r="E394" i="1"/>
  <c r="F394" i="1" s="1"/>
  <c r="H393" i="1"/>
  <c r="G393" i="1"/>
  <c r="E393" i="1"/>
  <c r="F393" i="1" s="1"/>
  <c r="H392" i="1"/>
  <c r="G392" i="1"/>
  <c r="E392" i="1"/>
  <c r="F392" i="1" s="1"/>
  <c r="H391" i="1"/>
  <c r="G391" i="1"/>
  <c r="E391" i="1"/>
  <c r="F391" i="1" s="1"/>
  <c r="H390" i="1"/>
  <c r="G390" i="1"/>
  <c r="E390" i="1"/>
  <c r="F390" i="1" s="1"/>
  <c r="H389" i="1"/>
  <c r="G389" i="1"/>
  <c r="F389" i="1"/>
  <c r="H388" i="1"/>
  <c r="G388" i="1"/>
  <c r="E388" i="1"/>
  <c r="F388" i="1" s="1"/>
  <c r="H387" i="1"/>
  <c r="G387" i="1"/>
  <c r="E387" i="1"/>
  <c r="F387" i="1" s="1"/>
  <c r="H386" i="1"/>
  <c r="E386" i="1"/>
  <c r="H385" i="1"/>
  <c r="E385" i="1"/>
  <c r="H384" i="1"/>
  <c r="H383" i="1"/>
  <c r="H382" i="1"/>
  <c r="H381" i="1"/>
  <c r="E381" i="1"/>
  <c r="H380" i="1"/>
  <c r="H379" i="1"/>
  <c r="E379" i="1"/>
  <c r="H378" i="1"/>
  <c r="E378" i="1"/>
  <c r="H377" i="1"/>
  <c r="F377" i="1"/>
  <c r="E377" i="1"/>
  <c r="G377" i="1" s="1"/>
  <c r="H376" i="1"/>
  <c r="E376" i="1"/>
  <c r="G376" i="1" s="1"/>
  <c r="H375" i="1"/>
  <c r="E375" i="1"/>
  <c r="G375" i="1" s="1"/>
  <c r="H374" i="1"/>
  <c r="E374" i="1"/>
  <c r="G374" i="1" s="1"/>
  <c r="H373" i="1"/>
  <c r="F373" i="1"/>
  <c r="E373" i="1"/>
  <c r="G373" i="1" s="1"/>
  <c r="H372" i="1"/>
  <c r="E372" i="1"/>
  <c r="G372" i="1" s="1"/>
  <c r="H371" i="1"/>
  <c r="E371" i="1"/>
  <c r="G371" i="1" s="1"/>
  <c r="H370" i="1"/>
  <c r="H369" i="1"/>
  <c r="F369" i="1"/>
  <c r="E369" i="1"/>
  <c r="G369" i="1" s="1"/>
  <c r="H368" i="1"/>
  <c r="E368" i="1"/>
  <c r="G368" i="1" s="1"/>
  <c r="H367" i="1"/>
  <c r="E367" i="1"/>
  <c r="G367" i="1" s="1"/>
  <c r="H366" i="1"/>
  <c r="E366" i="1"/>
  <c r="G366" i="1" s="1"/>
  <c r="H365" i="1"/>
  <c r="F365" i="1"/>
  <c r="E365" i="1"/>
  <c r="G365" i="1" s="1"/>
  <c r="H364" i="1"/>
  <c r="E364" i="1"/>
  <c r="G364" i="1" s="1"/>
  <c r="H363" i="1"/>
  <c r="H362" i="1"/>
  <c r="E362" i="1"/>
  <c r="G362" i="1" s="1"/>
  <c r="H361" i="1"/>
  <c r="F361" i="1"/>
  <c r="E361" i="1"/>
  <c r="G361" i="1" s="1"/>
  <c r="H360" i="1"/>
  <c r="H359" i="1"/>
  <c r="E359" i="1"/>
  <c r="G359" i="1" s="1"/>
  <c r="H358" i="1"/>
  <c r="E358" i="1"/>
  <c r="G358" i="1" s="1"/>
  <c r="H357" i="1"/>
  <c r="F357" i="1"/>
  <c r="E357" i="1"/>
  <c r="G357" i="1" s="1"/>
  <c r="H356" i="1"/>
  <c r="E356" i="1"/>
  <c r="G356" i="1" s="1"/>
  <c r="H355" i="1"/>
  <c r="E355" i="1"/>
  <c r="G355" i="1" s="1"/>
  <c r="H354" i="1"/>
  <c r="E354" i="1"/>
  <c r="G354" i="1" s="1"/>
  <c r="H353" i="1"/>
  <c r="H352" i="1"/>
  <c r="E352" i="1"/>
  <c r="G352" i="1" s="1"/>
  <c r="H351" i="1"/>
  <c r="E351" i="1"/>
  <c r="G351" i="1" s="1"/>
  <c r="H350" i="1"/>
  <c r="E350" i="1"/>
  <c r="G350" i="1" s="1"/>
  <c r="H349" i="1"/>
  <c r="F349" i="1"/>
  <c r="E349" i="1"/>
  <c r="G349" i="1" s="1"/>
  <c r="H348" i="1"/>
  <c r="E348" i="1"/>
  <c r="G348" i="1" s="1"/>
  <c r="H347" i="1"/>
  <c r="H346" i="1"/>
  <c r="E346" i="1"/>
  <c r="G346" i="1" s="1"/>
  <c r="H345" i="1"/>
  <c r="F345" i="1"/>
  <c r="E345" i="1"/>
  <c r="G345" i="1" s="1"/>
  <c r="H344" i="1"/>
  <c r="E344" i="1"/>
  <c r="G344" i="1" s="1"/>
  <c r="H343" i="1"/>
  <c r="E343" i="1"/>
  <c r="G343" i="1" s="1"/>
  <c r="H342" i="1"/>
  <c r="H341" i="1"/>
  <c r="F341" i="1"/>
  <c r="E341" i="1"/>
  <c r="G341" i="1" s="1"/>
  <c r="H340" i="1"/>
  <c r="E340" i="1"/>
  <c r="G340" i="1" s="1"/>
  <c r="H339" i="1"/>
  <c r="E339" i="1"/>
  <c r="G339" i="1" s="1"/>
  <c r="H338" i="1"/>
  <c r="E338" i="1"/>
  <c r="G338" i="1" s="1"/>
  <c r="H337" i="1"/>
  <c r="F337" i="1"/>
  <c r="E337" i="1"/>
  <c r="G337" i="1" s="1"/>
  <c r="H336" i="1"/>
  <c r="E336" i="1"/>
  <c r="G336" i="1" s="1"/>
  <c r="H335" i="1"/>
  <c r="E335" i="1"/>
  <c r="G335" i="1" s="1"/>
  <c r="H334" i="1"/>
  <c r="E334" i="1"/>
  <c r="G334" i="1" s="1"/>
  <c r="H333" i="1"/>
  <c r="H332" i="1"/>
  <c r="E332" i="1"/>
  <c r="G332" i="1" s="1"/>
  <c r="H331" i="1"/>
  <c r="E331" i="1"/>
  <c r="G331" i="1" s="1"/>
  <c r="H330" i="1"/>
  <c r="E330" i="1"/>
  <c r="G330" i="1" s="1"/>
  <c r="H329" i="1"/>
  <c r="F329" i="1"/>
  <c r="E329" i="1"/>
  <c r="G329" i="1" s="1"/>
  <c r="H328" i="1"/>
  <c r="H327" i="1"/>
  <c r="E327" i="1"/>
  <c r="G327" i="1" s="1"/>
  <c r="H326" i="1"/>
  <c r="E326" i="1"/>
  <c r="G326" i="1" s="1"/>
  <c r="H325" i="1"/>
  <c r="H324" i="1"/>
  <c r="E324" i="1"/>
  <c r="G324" i="1" s="1"/>
  <c r="H323" i="1"/>
  <c r="E323" i="1"/>
  <c r="G323" i="1" s="1"/>
  <c r="H322" i="1"/>
  <c r="E322" i="1"/>
  <c r="G322" i="1" s="1"/>
  <c r="H321" i="1"/>
  <c r="F321" i="1"/>
  <c r="E321" i="1"/>
  <c r="G321" i="1" s="1"/>
  <c r="H320" i="1"/>
  <c r="E320" i="1"/>
  <c r="G320" i="1" s="1"/>
  <c r="H319" i="1"/>
  <c r="H318" i="1"/>
  <c r="E318" i="1"/>
  <c r="G318" i="1" s="1"/>
  <c r="H317" i="1"/>
  <c r="F317" i="1"/>
  <c r="E317" i="1"/>
  <c r="G317" i="1" s="1"/>
  <c r="H316" i="1"/>
  <c r="E316" i="1"/>
  <c r="G316" i="1" s="1"/>
  <c r="H315" i="1"/>
  <c r="E315" i="1"/>
  <c r="G315" i="1" s="1"/>
  <c r="H314" i="1"/>
  <c r="E314" i="1"/>
  <c r="G314" i="1" s="1"/>
  <c r="H313" i="1"/>
  <c r="F313" i="1"/>
  <c r="E313" i="1"/>
  <c r="G313" i="1" s="1"/>
  <c r="H312" i="1"/>
  <c r="H311" i="1"/>
  <c r="E311" i="1"/>
  <c r="G311" i="1" s="1"/>
  <c r="H310" i="1"/>
  <c r="E310" i="1"/>
  <c r="G310" i="1" s="1"/>
  <c r="H309" i="1"/>
  <c r="E309" i="1"/>
  <c r="G309" i="1" s="1"/>
  <c r="H308" i="1"/>
  <c r="G308" i="1"/>
  <c r="E308" i="1"/>
  <c r="F308" i="1" s="1"/>
  <c r="H307" i="1"/>
  <c r="G307" i="1"/>
  <c r="E307" i="1"/>
  <c r="F307" i="1" s="1"/>
  <c r="H306" i="1"/>
  <c r="H305" i="1"/>
  <c r="G305" i="1"/>
  <c r="E305" i="1"/>
  <c r="F305" i="1" s="1"/>
  <c r="H304" i="1"/>
  <c r="G304" i="1"/>
  <c r="E304" i="1"/>
  <c r="F304" i="1" s="1"/>
  <c r="H303" i="1"/>
  <c r="G303" i="1"/>
  <c r="E303" i="1"/>
  <c r="F303" i="1" s="1"/>
  <c r="H302" i="1"/>
  <c r="H301" i="1"/>
  <c r="G301" i="1"/>
  <c r="E301" i="1"/>
  <c r="F301" i="1" s="1"/>
  <c r="H300" i="1"/>
  <c r="E300" i="1"/>
  <c r="G300" i="1" s="1"/>
  <c r="H299" i="1"/>
  <c r="E299" i="1"/>
  <c r="G299" i="1" s="1"/>
  <c r="H298" i="1"/>
  <c r="F298" i="1"/>
  <c r="E298" i="1"/>
  <c r="G298" i="1" s="1"/>
  <c r="H297" i="1"/>
  <c r="E297" i="1"/>
  <c r="G297" i="1" s="1"/>
  <c r="H296" i="1"/>
  <c r="H295" i="1"/>
  <c r="E295" i="1"/>
  <c r="G295" i="1" s="1"/>
  <c r="H294" i="1"/>
  <c r="F294" i="1"/>
  <c r="E294" i="1"/>
  <c r="G294" i="1" s="1"/>
  <c r="H293" i="1"/>
  <c r="E293" i="1"/>
  <c r="G293" i="1" s="1"/>
  <c r="H292" i="1"/>
  <c r="H291" i="1"/>
  <c r="E291" i="1"/>
  <c r="G291" i="1" s="1"/>
  <c r="H290" i="1"/>
  <c r="H289" i="1"/>
  <c r="E289" i="1"/>
  <c r="G289" i="1" s="1"/>
  <c r="H288" i="1"/>
  <c r="E288" i="1"/>
  <c r="G288" i="1" s="1"/>
  <c r="H287" i="1"/>
  <c r="F287" i="1"/>
  <c r="E287" i="1"/>
  <c r="G287" i="1" s="1"/>
  <c r="H286" i="1"/>
  <c r="F286" i="1"/>
  <c r="H285" i="1"/>
  <c r="E285" i="1"/>
  <c r="G285" i="1" s="1"/>
  <c r="H284" i="1"/>
  <c r="E284" i="1"/>
  <c r="G284" i="1" s="1"/>
  <c r="H283" i="1"/>
  <c r="H282" i="1"/>
  <c r="F282" i="1"/>
  <c r="E282" i="1"/>
  <c r="G282" i="1" s="1"/>
  <c r="H281" i="1"/>
  <c r="E281" i="1"/>
  <c r="G281" i="1" s="1"/>
  <c r="H280" i="1"/>
  <c r="E280" i="1"/>
  <c r="G280" i="1" s="1"/>
  <c r="H279" i="1"/>
  <c r="F279" i="1"/>
  <c r="E279" i="1"/>
  <c r="G279" i="1" s="1"/>
  <c r="H278" i="1"/>
  <c r="F278" i="1"/>
  <c r="H277" i="1"/>
  <c r="E277" i="1"/>
  <c r="G277" i="1" s="1"/>
  <c r="H276" i="1"/>
  <c r="E276" i="1"/>
  <c r="G276" i="1" s="1"/>
  <c r="H275" i="1"/>
  <c r="F275" i="1"/>
  <c r="E275" i="1"/>
  <c r="G275" i="1" s="1"/>
  <c r="H274" i="1"/>
  <c r="F274" i="1"/>
  <c r="E274" i="1"/>
  <c r="G274" i="1" s="1"/>
  <c r="H273" i="1"/>
  <c r="H272" i="1"/>
  <c r="E272" i="1"/>
  <c r="G272" i="1" s="1"/>
  <c r="H271" i="1"/>
  <c r="F271" i="1"/>
  <c r="E271" i="1"/>
  <c r="G271" i="1" s="1"/>
  <c r="H270" i="1"/>
  <c r="F270" i="1"/>
  <c r="E270" i="1"/>
  <c r="G270" i="1" s="1"/>
  <c r="H269" i="1"/>
  <c r="E269" i="1"/>
  <c r="G269" i="1" s="1"/>
  <c r="H268" i="1"/>
  <c r="E268" i="1"/>
  <c r="G268" i="1" s="1"/>
  <c r="H267" i="1"/>
  <c r="F267" i="1"/>
  <c r="E267" i="1"/>
  <c r="G267" i="1" s="1"/>
  <c r="H266" i="1"/>
  <c r="F266" i="1"/>
  <c r="E266" i="1"/>
  <c r="G266" i="1" s="1"/>
  <c r="H265" i="1"/>
  <c r="E265" i="1"/>
  <c r="G265" i="1" s="1"/>
  <c r="H264" i="1"/>
  <c r="E264" i="1"/>
  <c r="G264" i="1" s="1"/>
  <c r="H263" i="1"/>
  <c r="H262" i="1"/>
  <c r="F262" i="1"/>
  <c r="H261" i="1"/>
  <c r="E261" i="1"/>
  <c r="G261" i="1" s="1"/>
  <c r="H260" i="1"/>
  <c r="E260" i="1"/>
  <c r="G260" i="1" s="1"/>
  <c r="H259" i="1"/>
  <c r="F259" i="1"/>
  <c r="E259" i="1"/>
  <c r="G259" i="1" s="1"/>
  <c r="H258" i="1"/>
  <c r="F258" i="1"/>
  <c r="E258" i="1"/>
  <c r="G258" i="1" s="1"/>
  <c r="H257" i="1"/>
  <c r="E257" i="1"/>
  <c r="G257" i="1" s="1"/>
  <c r="H256" i="1"/>
  <c r="E256" i="1"/>
  <c r="G256" i="1" s="1"/>
  <c r="H255" i="1"/>
  <c r="F255" i="1"/>
  <c r="E255" i="1"/>
  <c r="G255" i="1" s="1"/>
  <c r="H254" i="1"/>
  <c r="F254" i="1"/>
  <c r="E254" i="1"/>
  <c r="G254" i="1" s="1"/>
  <c r="H253" i="1"/>
  <c r="H252" i="1"/>
  <c r="E252" i="1"/>
  <c r="G252" i="1" s="1"/>
  <c r="H251" i="1"/>
  <c r="F251" i="1"/>
  <c r="E251" i="1"/>
  <c r="G251" i="1" s="1"/>
  <c r="H250" i="1"/>
  <c r="F250" i="1"/>
  <c r="E250" i="1"/>
  <c r="G250" i="1" s="1"/>
  <c r="H249" i="1"/>
  <c r="H248" i="1"/>
  <c r="E248" i="1"/>
  <c r="G248" i="1" s="1"/>
  <c r="H247" i="1"/>
  <c r="F247" i="1"/>
  <c r="E247" i="1"/>
  <c r="G247" i="1" s="1"/>
  <c r="H246" i="1"/>
  <c r="F246" i="1"/>
  <c r="E246" i="1"/>
  <c r="G246" i="1" s="1"/>
  <c r="H245" i="1"/>
  <c r="H244" i="1"/>
  <c r="E244" i="1"/>
  <c r="G244" i="1" s="1"/>
  <c r="H243" i="1"/>
  <c r="F243" i="1"/>
  <c r="E243" i="1"/>
  <c r="G243" i="1" s="1"/>
  <c r="H242" i="1"/>
  <c r="H241" i="1"/>
  <c r="E241" i="1"/>
  <c r="G241" i="1" s="1"/>
  <c r="H240" i="1"/>
  <c r="E240" i="1"/>
  <c r="G240" i="1" s="1"/>
  <c r="H239" i="1"/>
  <c r="F239" i="1"/>
  <c r="E239" i="1"/>
  <c r="G239" i="1" s="1"/>
  <c r="H238" i="1"/>
  <c r="F238" i="1"/>
  <c r="E238" i="1"/>
  <c r="G238" i="1" s="1"/>
  <c r="H237" i="1"/>
  <c r="H236" i="1"/>
  <c r="H235" i="1"/>
  <c r="F235" i="1"/>
  <c r="E235" i="1"/>
  <c r="G235" i="1" s="1"/>
  <c r="H234" i="1"/>
  <c r="F234" i="1"/>
  <c r="E234" i="1"/>
  <c r="G234" i="1" s="1"/>
  <c r="H233" i="1"/>
  <c r="E233" i="1"/>
  <c r="G233" i="1" s="1"/>
  <c r="H232" i="1"/>
  <c r="H231" i="1"/>
  <c r="F231" i="1"/>
  <c r="E231" i="1"/>
  <c r="G231" i="1" s="1"/>
  <c r="H230" i="1"/>
  <c r="F230" i="1"/>
  <c r="H229" i="1"/>
  <c r="E229" i="1"/>
  <c r="G229" i="1" s="1"/>
  <c r="H228" i="1"/>
  <c r="E228" i="1"/>
  <c r="G228" i="1" s="1"/>
  <c r="H227" i="1"/>
  <c r="F227" i="1"/>
  <c r="H226" i="1"/>
  <c r="F226" i="1"/>
  <c r="E226" i="1"/>
  <c r="G226" i="1" s="1"/>
  <c r="H225" i="1"/>
  <c r="E225" i="1"/>
  <c r="G225" i="1" s="1"/>
  <c r="H224" i="1"/>
  <c r="H223" i="1"/>
  <c r="F223" i="1"/>
  <c r="E223" i="1"/>
  <c r="G223" i="1" s="1"/>
  <c r="H222" i="1"/>
  <c r="F222" i="1"/>
  <c r="E222" i="1"/>
  <c r="G222" i="1" s="1"/>
  <c r="H221" i="1"/>
  <c r="E221" i="1"/>
  <c r="G221" i="1" s="1"/>
  <c r="H220" i="1"/>
  <c r="E220" i="1"/>
  <c r="G220" i="1" s="1"/>
  <c r="H219" i="1"/>
  <c r="F219" i="1"/>
  <c r="E219" i="1"/>
  <c r="G219" i="1" s="1"/>
  <c r="H218" i="1"/>
  <c r="H217" i="1"/>
  <c r="E217" i="1"/>
  <c r="G217" i="1" s="1"/>
  <c r="H216" i="1"/>
  <c r="E216" i="1"/>
  <c r="G216" i="1" s="1"/>
  <c r="H215" i="1"/>
  <c r="E215" i="1"/>
  <c r="G215" i="1" s="1"/>
  <c r="H214" i="1"/>
  <c r="E214" i="1"/>
  <c r="G214" i="1" s="1"/>
  <c r="H213" i="1"/>
  <c r="E213" i="1"/>
  <c r="G213" i="1" s="1"/>
  <c r="H212" i="1"/>
  <c r="E212" i="1"/>
  <c r="G212" i="1" s="1"/>
  <c r="H211" i="1"/>
  <c r="E211" i="1"/>
  <c r="G211" i="1" s="1"/>
  <c r="H210" i="1"/>
  <c r="E210" i="1"/>
  <c r="G210" i="1" s="1"/>
  <c r="H209" i="1"/>
  <c r="E209" i="1"/>
  <c r="G209" i="1" s="1"/>
  <c r="H208" i="1"/>
  <c r="G208" i="1"/>
  <c r="H207" i="1"/>
  <c r="E207" i="1"/>
  <c r="G207" i="1" s="1"/>
  <c r="H206" i="1"/>
  <c r="E206" i="1"/>
  <c r="G206" i="1" s="1"/>
  <c r="H205" i="1"/>
  <c r="E205" i="1"/>
  <c r="G205" i="1" s="1"/>
  <c r="H204" i="1"/>
  <c r="E204" i="1"/>
  <c r="G204" i="1" s="1"/>
  <c r="H203" i="1"/>
  <c r="H202" i="1"/>
  <c r="E202" i="1"/>
  <c r="G202" i="1" s="1"/>
  <c r="H201" i="1"/>
  <c r="H200" i="1"/>
  <c r="E200" i="1"/>
  <c r="G200" i="1" s="1"/>
  <c r="H199" i="1"/>
  <c r="H198" i="1"/>
  <c r="E198" i="1"/>
  <c r="G198" i="1" s="1"/>
  <c r="H197" i="1"/>
  <c r="E197" i="1"/>
  <c r="H196" i="1"/>
  <c r="E196" i="1"/>
  <c r="G196" i="1" s="1"/>
  <c r="H195" i="1"/>
  <c r="F195" i="1"/>
  <c r="E195" i="1"/>
  <c r="G195" i="1" s="1"/>
  <c r="H194" i="1"/>
  <c r="E194" i="1"/>
  <c r="G194" i="1" s="1"/>
  <c r="H193" i="1"/>
  <c r="E193" i="1"/>
  <c r="H192" i="1"/>
  <c r="H191" i="1"/>
  <c r="E191" i="1"/>
  <c r="G191" i="1" s="1"/>
  <c r="H190" i="1"/>
  <c r="E190" i="1"/>
  <c r="G190" i="1" s="1"/>
  <c r="H189" i="1"/>
  <c r="E189" i="1"/>
  <c r="H188" i="1"/>
  <c r="F188" i="1"/>
  <c r="E188" i="1"/>
  <c r="G188" i="1" s="1"/>
  <c r="H187" i="1"/>
  <c r="E187" i="1"/>
  <c r="G187" i="1" s="1"/>
  <c r="H186" i="1"/>
  <c r="H185" i="1"/>
  <c r="H184" i="1"/>
  <c r="E184" i="1"/>
  <c r="G184" i="1" s="1"/>
  <c r="H183" i="1"/>
  <c r="H182" i="1"/>
  <c r="E182" i="1"/>
  <c r="G182" i="1" s="1"/>
  <c r="H181" i="1"/>
  <c r="E181" i="1"/>
  <c r="H180" i="1"/>
  <c r="F180" i="1"/>
  <c r="E180" i="1"/>
  <c r="G180" i="1" s="1"/>
  <c r="H179" i="1"/>
  <c r="F179" i="1"/>
  <c r="E179" i="1"/>
  <c r="G179" i="1" s="1"/>
  <c r="H178" i="1"/>
  <c r="E178" i="1"/>
  <c r="G178" i="1" s="1"/>
  <c r="H177" i="1"/>
  <c r="E177" i="1"/>
  <c r="H176" i="1"/>
  <c r="E176" i="1"/>
  <c r="G176" i="1" s="1"/>
  <c r="H175" i="1"/>
  <c r="E175" i="1"/>
  <c r="G175" i="1" s="1"/>
  <c r="H174" i="1"/>
  <c r="H173" i="1"/>
  <c r="H172" i="1"/>
  <c r="F172" i="1"/>
  <c r="E172" i="1"/>
  <c r="G172" i="1" s="1"/>
  <c r="H171" i="1"/>
  <c r="F171" i="1"/>
  <c r="E171" i="1"/>
  <c r="G171" i="1" s="1"/>
  <c r="H170" i="1"/>
  <c r="E170" i="1"/>
  <c r="G170" i="1" s="1"/>
  <c r="H169" i="1"/>
  <c r="E169" i="1"/>
  <c r="H168" i="1"/>
  <c r="F168" i="1"/>
  <c r="E168" i="1"/>
  <c r="G168" i="1" s="1"/>
  <c r="H167" i="1"/>
  <c r="E167" i="1"/>
  <c r="G167" i="1" s="1"/>
  <c r="H166" i="1"/>
  <c r="E166" i="1"/>
  <c r="G166" i="1" s="1"/>
  <c r="H165" i="1"/>
  <c r="H164" i="1"/>
  <c r="H163" i="1"/>
  <c r="F163" i="1"/>
  <c r="E163" i="1"/>
  <c r="G163" i="1" s="1"/>
  <c r="H162" i="1"/>
  <c r="E162" i="1"/>
  <c r="G162" i="1" s="1"/>
  <c r="H161" i="1"/>
  <c r="E161" i="1"/>
  <c r="H160" i="1"/>
  <c r="F160" i="1"/>
  <c r="E160" i="1"/>
  <c r="G160" i="1" s="1"/>
  <c r="H159" i="1"/>
  <c r="H158" i="1"/>
  <c r="E158" i="1"/>
  <c r="G158" i="1" s="1"/>
  <c r="H157" i="1"/>
  <c r="E157" i="1"/>
  <c r="H156" i="1"/>
  <c r="H155" i="1"/>
  <c r="F155" i="1"/>
  <c r="E155" i="1"/>
  <c r="G155" i="1" s="1"/>
  <c r="H154" i="1"/>
  <c r="F154" i="1"/>
  <c r="E154" i="1"/>
  <c r="G154" i="1" s="1"/>
  <c r="H153" i="1"/>
  <c r="E153" i="1"/>
  <c r="H152" i="1"/>
  <c r="F152" i="1"/>
  <c r="E152" i="1"/>
  <c r="G152" i="1" s="1"/>
  <c r="H151" i="1"/>
  <c r="F151" i="1"/>
  <c r="E151" i="1"/>
  <c r="G151" i="1" s="1"/>
  <c r="H150" i="1"/>
  <c r="E150" i="1"/>
  <c r="G150" i="1" s="1"/>
  <c r="H149" i="1"/>
  <c r="H148" i="1"/>
  <c r="E148" i="1"/>
  <c r="G148" i="1" s="1"/>
  <c r="H147" i="1"/>
  <c r="H146" i="1"/>
  <c r="E146" i="1"/>
  <c r="G146" i="1" s="1"/>
  <c r="H145" i="1"/>
  <c r="E145" i="1"/>
  <c r="H144" i="1"/>
  <c r="F144" i="1"/>
  <c r="E144" i="1"/>
  <c r="G144" i="1" s="1"/>
  <c r="H143" i="1"/>
  <c r="F143" i="1"/>
  <c r="E143" i="1"/>
  <c r="G143" i="1" s="1"/>
  <c r="H142" i="1"/>
  <c r="H141" i="1"/>
  <c r="E141" i="1"/>
  <c r="H140" i="1"/>
  <c r="E140" i="1"/>
  <c r="G140" i="1" s="1"/>
  <c r="H139" i="1"/>
  <c r="E139" i="1"/>
  <c r="G139" i="1" s="1"/>
  <c r="H138" i="1"/>
  <c r="H137" i="1"/>
  <c r="E137" i="1"/>
  <c r="H136" i="1"/>
  <c r="H135" i="1"/>
  <c r="F135" i="1"/>
  <c r="E135" i="1"/>
  <c r="G135" i="1" s="1"/>
  <c r="H134" i="1"/>
  <c r="E134" i="1"/>
  <c r="G134" i="1" s="1"/>
  <c r="H133" i="1"/>
  <c r="H132" i="1"/>
  <c r="F132" i="1"/>
  <c r="E132" i="1"/>
  <c r="G132" i="1" s="1"/>
  <c r="H131" i="1"/>
  <c r="E131" i="1"/>
  <c r="G131" i="1" s="1"/>
  <c r="H130" i="1"/>
  <c r="E130" i="1"/>
  <c r="G130" i="1" s="1"/>
  <c r="H129" i="1"/>
  <c r="E129" i="1"/>
  <c r="H128" i="1"/>
  <c r="E128" i="1"/>
  <c r="G128" i="1" s="1"/>
  <c r="H127" i="1"/>
  <c r="H126" i="1"/>
  <c r="E126" i="1"/>
  <c r="G126" i="1" s="1"/>
  <c r="H125" i="1"/>
  <c r="E125" i="1"/>
  <c r="H124" i="1"/>
  <c r="H123" i="1"/>
  <c r="E123" i="1"/>
  <c r="G123" i="1" s="1"/>
  <c r="H122" i="1"/>
  <c r="E122" i="1"/>
  <c r="G122" i="1" s="1"/>
  <c r="H121" i="1"/>
  <c r="E121" i="1"/>
  <c r="H120" i="1"/>
  <c r="E120" i="1"/>
  <c r="G120" i="1" s="1"/>
  <c r="H119" i="1"/>
  <c r="E119" i="1"/>
  <c r="G119" i="1" s="1"/>
  <c r="H118" i="1"/>
  <c r="E118" i="1"/>
  <c r="G118" i="1" s="1"/>
  <c r="H117" i="1"/>
  <c r="E117" i="1"/>
  <c r="H116" i="1"/>
  <c r="E116" i="1"/>
  <c r="H115" i="1"/>
  <c r="E115" i="1"/>
  <c r="H114" i="1"/>
  <c r="H113" i="1"/>
  <c r="E113" i="1"/>
  <c r="H112" i="1"/>
  <c r="E112" i="1"/>
  <c r="H111" i="1"/>
  <c r="E111" i="1"/>
  <c r="H110" i="1"/>
  <c r="E110" i="1"/>
  <c r="H109" i="1"/>
  <c r="H108" i="1"/>
  <c r="E108" i="1"/>
  <c r="H107" i="1"/>
  <c r="E107" i="1"/>
  <c r="H106" i="1"/>
  <c r="E106" i="1"/>
  <c r="H105" i="1"/>
  <c r="E105" i="1"/>
  <c r="H104" i="1"/>
  <c r="E104" i="1"/>
  <c r="H103" i="1"/>
  <c r="H102" i="1"/>
  <c r="H101" i="1"/>
  <c r="E101" i="1"/>
  <c r="H100" i="1"/>
  <c r="E100" i="1"/>
  <c r="H99" i="1"/>
  <c r="E99" i="1"/>
  <c r="H98" i="1"/>
  <c r="E98" i="1"/>
  <c r="H97" i="1"/>
  <c r="H96" i="1"/>
  <c r="E96" i="1"/>
  <c r="H95" i="1"/>
  <c r="E95" i="1"/>
  <c r="H94" i="1"/>
  <c r="E94" i="1"/>
  <c r="H93" i="1"/>
  <c r="E93" i="1"/>
  <c r="H92" i="1"/>
  <c r="E92" i="1"/>
  <c r="H91" i="1"/>
  <c r="E91" i="1"/>
  <c r="H90" i="1"/>
  <c r="E90" i="1"/>
  <c r="H89" i="1"/>
  <c r="H88" i="1"/>
  <c r="E88" i="1"/>
  <c r="H87" i="1"/>
  <c r="E87" i="1"/>
  <c r="H86" i="1"/>
  <c r="E86" i="1"/>
  <c r="H85" i="1"/>
  <c r="E85" i="1"/>
  <c r="H84" i="1"/>
  <c r="E84" i="1"/>
  <c r="H83" i="1"/>
  <c r="E83" i="1"/>
  <c r="H82" i="1"/>
  <c r="E82" i="1"/>
  <c r="H81" i="1"/>
  <c r="E81" i="1"/>
  <c r="H80" i="1"/>
  <c r="E80" i="1"/>
  <c r="H79" i="1"/>
  <c r="H78" i="1"/>
  <c r="E78" i="1"/>
  <c r="H77" i="1"/>
  <c r="E77" i="1"/>
  <c r="H76" i="1"/>
  <c r="E76" i="1"/>
  <c r="H75" i="1"/>
  <c r="E75" i="1"/>
  <c r="H74" i="1"/>
  <c r="E74" i="1"/>
  <c r="H73" i="1"/>
  <c r="H72" i="1"/>
  <c r="E72" i="1"/>
  <c r="H71" i="1"/>
  <c r="E71" i="1"/>
  <c r="H70" i="1"/>
  <c r="E70" i="1"/>
  <c r="H69" i="1"/>
  <c r="E69" i="1"/>
  <c r="H68" i="1"/>
  <c r="E68" i="1"/>
  <c r="H67" i="1"/>
  <c r="E67" i="1"/>
  <c r="H66" i="1"/>
  <c r="H65" i="1"/>
  <c r="E65" i="1"/>
  <c r="H64" i="1"/>
  <c r="E64" i="1"/>
  <c r="H63" i="1"/>
  <c r="E63" i="1"/>
  <c r="H62" i="1"/>
  <c r="H61" i="1"/>
  <c r="E61" i="1"/>
  <c r="H60" i="1"/>
  <c r="E60" i="1"/>
  <c r="H59" i="1"/>
  <c r="E59" i="1"/>
  <c r="H58" i="1"/>
  <c r="E58" i="1"/>
  <c r="H57" i="1"/>
  <c r="E57" i="1"/>
  <c r="H56" i="1"/>
  <c r="E56" i="1"/>
  <c r="H55" i="1"/>
  <c r="E55" i="1"/>
  <c r="H54" i="1"/>
  <c r="H53" i="1"/>
  <c r="E53" i="1"/>
  <c r="G53" i="1" s="1"/>
  <c r="H52" i="1"/>
  <c r="E52" i="1"/>
  <c r="G52" i="1" s="1"/>
  <c r="H51" i="1"/>
  <c r="H50" i="1"/>
  <c r="E50" i="1"/>
  <c r="G50" i="1" s="1"/>
  <c r="H49" i="1"/>
  <c r="E49" i="1"/>
  <c r="G49" i="1" s="1"/>
  <c r="H48" i="1"/>
  <c r="E48" i="1"/>
  <c r="G48" i="1" s="1"/>
  <c r="H47" i="1"/>
  <c r="F47" i="1"/>
  <c r="E47" i="1"/>
  <c r="G47" i="1" s="1"/>
  <c r="H46" i="1"/>
  <c r="H45" i="1"/>
  <c r="E45" i="1"/>
  <c r="G45" i="1" s="1"/>
  <c r="H44" i="1"/>
  <c r="E44" i="1"/>
  <c r="G44" i="1" s="1"/>
  <c r="H43" i="1"/>
  <c r="E43" i="1"/>
  <c r="G43" i="1" s="1"/>
  <c r="H42" i="1"/>
  <c r="E42" i="1"/>
  <c r="G42" i="1" s="1"/>
  <c r="H41" i="1"/>
  <c r="H40" i="1"/>
  <c r="F40" i="1"/>
  <c r="H39" i="1"/>
  <c r="E39" i="1"/>
  <c r="G39" i="1" s="1"/>
  <c r="H38" i="1"/>
  <c r="H37" i="1"/>
  <c r="E37" i="1"/>
  <c r="G37" i="1" s="1"/>
  <c r="H36" i="1"/>
  <c r="E36" i="1"/>
  <c r="G36" i="1" s="1"/>
  <c r="H35" i="1"/>
  <c r="E35" i="1"/>
  <c r="G35" i="1" s="1"/>
  <c r="H34" i="1"/>
  <c r="E34" i="1"/>
  <c r="G34" i="1" s="1"/>
  <c r="H33" i="1"/>
  <c r="E33" i="1"/>
  <c r="G33" i="1" s="1"/>
  <c r="H32" i="1"/>
  <c r="E32" i="1"/>
  <c r="G32" i="1" s="1"/>
  <c r="H31" i="1"/>
  <c r="H30" i="1"/>
  <c r="E30" i="1"/>
  <c r="G30" i="1" s="1"/>
  <c r="H29" i="1"/>
  <c r="H28" i="1"/>
  <c r="E28" i="1"/>
  <c r="F28" i="1" s="1"/>
  <c r="H27" i="1"/>
  <c r="E27" i="1"/>
  <c r="G27" i="1" s="1"/>
  <c r="H26" i="1"/>
  <c r="E26" i="1"/>
  <c r="F26" i="1" s="1"/>
  <c r="H25" i="1"/>
  <c r="E25" i="1"/>
  <c r="G25" i="1" s="1"/>
  <c r="H24" i="1"/>
  <c r="E24" i="1"/>
  <c r="G24" i="1" s="1"/>
  <c r="H23" i="1"/>
  <c r="F23" i="1"/>
  <c r="H22" i="1"/>
  <c r="E22" i="1"/>
  <c r="G22" i="1" s="1"/>
  <c r="H21" i="1"/>
  <c r="E21" i="1"/>
  <c r="F21" i="1" s="1"/>
  <c r="H20" i="1"/>
  <c r="E20" i="1"/>
  <c r="G20" i="1" s="1"/>
  <c r="H19" i="1"/>
  <c r="E19" i="1"/>
  <c r="F19" i="1" s="1"/>
  <c r="H18" i="1"/>
  <c r="H17" i="1"/>
  <c r="E17" i="1"/>
  <c r="F17" i="1" s="1"/>
  <c r="H16" i="1"/>
  <c r="E16" i="1"/>
  <c r="G16" i="1" s="1"/>
  <c r="H15" i="1"/>
  <c r="E15" i="1"/>
  <c r="F15" i="1" s="1"/>
  <c r="H14" i="1"/>
  <c r="E14" i="1"/>
  <c r="G14" i="1" s="1"/>
  <c r="H13" i="1"/>
  <c r="E13" i="1"/>
  <c r="F13" i="1" s="1"/>
  <c r="H12" i="1"/>
  <c r="E12" i="1"/>
  <c r="G12" i="1" s="1"/>
  <c r="H11" i="1"/>
  <c r="E11" i="1"/>
  <c r="G11" i="1" s="1"/>
  <c r="H10" i="1"/>
  <c r="F10" i="1"/>
  <c r="H9" i="1"/>
  <c r="E9" i="1"/>
  <c r="F9" i="1" s="1"/>
  <c r="H8" i="1"/>
  <c r="H7" i="1"/>
  <c r="E7" i="1"/>
  <c r="G7" i="1" s="1"/>
  <c r="H6" i="1"/>
  <c r="E6" i="1"/>
  <c r="G6" i="1" s="1"/>
  <c r="H5" i="1"/>
  <c r="H4" i="1"/>
  <c r="E4" i="1"/>
  <c r="G4" i="1" s="1"/>
  <c r="G3" i="1"/>
  <c r="E3" i="1"/>
  <c r="G2" i="1"/>
  <c r="F2" i="1"/>
  <c r="K2" i="1" s="1"/>
  <c r="E2" i="1"/>
  <c r="I2" i="1" s="1"/>
  <c r="G860" i="1" l="1"/>
  <c r="F860" i="1"/>
  <c r="G864" i="1"/>
  <c r="F864" i="1"/>
  <c r="G868" i="1"/>
  <c r="F868" i="1"/>
  <c r="G872" i="1"/>
  <c r="F872" i="1"/>
  <c r="G876" i="1"/>
  <c r="F876" i="1"/>
  <c r="G880" i="1"/>
  <c r="F880" i="1"/>
  <c r="G882" i="1"/>
  <c r="F882" i="1"/>
  <c r="G886" i="1"/>
  <c r="F886" i="1"/>
  <c r="G890" i="1"/>
  <c r="F890" i="1"/>
  <c r="G894" i="1"/>
  <c r="F894" i="1"/>
  <c r="G898" i="1"/>
  <c r="F898" i="1"/>
  <c r="G902" i="1"/>
  <c r="F902" i="1"/>
  <c r="G908" i="1"/>
  <c r="F908" i="1"/>
  <c r="G912" i="1"/>
  <c r="F912" i="1"/>
  <c r="G916" i="1"/>
  <c r="F916" i="1"/>
  <c r="G941" i="1"/>
  <c r="F941" i="1"/>
  <c r="G949" i="1"/>
  <c r="F949" i="1"/>
  <c r="G957" i="1"/>
  <c r="F957" i="1"/>
  <c r="G965" i="1"/>
  <c r="F965" i="1"/>
  <c r="G973" i="1"/>
  <c r="F973" i="1"/>
  <c r="G981" i="1"/>
  <c r="F981" i="1"/>
  <c r="F922" i="1"/>
  <c r="F930" i="1"/>
  <c r="F938" i="1"/>
  <c r="F946" i="1"/>
  <c r="F954" i="1"/>
  <c r="F962" i="1"/>
  <c r="F970" i="1"/>
  <c r="F978" i="1"/>
  <c r="F986" i="1"/>
  <c r="G998" i="1"/>
  <c r="F998" i="1"/>
  <c r="G862" i="1"/>
  <c r="F862" i="1"/>
  <c r="G866" i="1"/>
  <c r="F866" i="1"/>
  <c r="G870" i="1"/>
  <c r="F870" i="1"/>
  <c r="G874" i="1"/>
  <c r="F874" i="1"/>
  <c r="G878" i="1"/>
  <c r="F878" i="1"/>
  <c r="G884" i="1"/>
  <c r="F884" i="1"/>
  <c r="G888" i="1"/>
  <c r="F888" i="1"/>
  <c r="G892" i="1"/>
  <c r="F892" i="1"/>
  <c r="G896" i="1"/>
  <c r="F896" i="1"/>
  <c r="G900" i="1"/>
  <c r="F900" i="1"/>
  <c r="G904" i="1"/>
  <c r="F904" i="1"/>
  <c r="G906" i="1"/>
  <c r="F906" i="1"/>
  <c r="G910" i="1"/>
  <c r="F910" i="1"/>
  <c r="G914" i="1"/>
  <c r="F914" i="1"/>
  <c r="G918" i="1"/>
  <c r="F918" i="1"/>
  <c r="G920" i="1"/>
  <c r="F920" i="1"/>
  <c r="G925" i="1"/>
  <c r="F925" i="1"/>
  <c r="G933" i="1"/>
  <c r="F933" i="1"/>
  <c r="G989" i="1"/>
  <c r="F989" i="1"/>
  <c r="G994" i="1"/>
  <c r="F994" i="1"/>
  <c r="G859" i="1"/>
  <c r="F859" i="1"/>
  <c r="G861" i="1"/>
  <c r="F861" i="1"/>
  <c r="G863" i="1"/>
  <c r="F863" i="1"/>
  <c r="G865" i="1"/>
  <c r="F865" i="1"/>
  <c r="G867" i="1"/>
  <c r="F867" i="1"/>
  <c r="G869" i="1"/>
  <c r="F869" i="1"/>
  <c r="G871" i="1"/>
  <c r="F871" i="1"/>
  <c r="G873" i="1"/>
  <c r="F873" i="1"/>
  <c r="G875" i="1"/>
  <c r="F875" i="1"/>
  <c r="G877" i="1"/>
  <c r="F877" i="1"/>
  <c r="G879" i="1"/>
  <c r="F879" i="1"/>
  <c r="G881" i="1"/>
  <c r="F881" i="1"/>
  <c r="G883" i="1"/>
  <c r="F883" i="1"/>
  <c r="G885" i="1"/>
  <c r="F885" i="1"/>
  <c r="G887" i="1"/>
  <c r="F887" i="1"/>
  <c r="G889" i="1"/>
  <c r="F889" i="1"/>
  <c r="G891" i="1"/>
  <c r="F891" i="1"/>
  <c r="G893" i="1"/>
  <c r="F893" i="1"/>
  <c r="G895" i="1"/>
  <c r="F895" i="1"/>
  <c r="G897" i="1"/>
  <c r="F897" i="1"/>
  <c r="G899" i="1"/>
  <c r="F899" i="1"/>
  <c r="G901" i="1"/>
  <c r="F901" i="1"/>
  <c r="G903" i="1"/>
  <c r="F903" i="1"/>
  <c r="G905" i="1"/>
  <c r="F905" i="1"/>
  <c r="G907" i="1"/>
  <c r="F907" i="1"/>
  <c r="G909" i="1"/>
  <c r="F909" i="1"/>
  <c r="G911" i="1"/>
  <c r="F911" i="1"/>
  <c r="G913" i="1"/>
  <c r="F913" i="1"/>
  <c r="G915" i="1"/>
  <c r="F915" i="1"/>
  <c r="G917" i="1"/>
  <c r="F917" i="1"/>
  <c r="G919" i="1"/>
  <c r="F919" i="1"/>
  <c r="G921" i="1"/>
  <c r="F921" i="1"/>
  <c r="G929" i="1"/>
  <c r="F929" i="1"/>
  <c r="G937" i="1"/>
  <c r="F937" i="1"/>
  <c r="G945" i="1"/>
  <c r="F945" i="1"/>
  <c r="G953" i="1"/>
  <c r="F953" i="1"/>
  <c r="G961" i="1"/>
  <c r="F961" i="1"/>
  <c r="G969" i="1"/>
  <c r="F969" i="1"/>
  <c r="G977" i="1"/>
  <c r="F977" i="1"/>
  <c r="G985" i="1"/>
  <c r="F985" i="1"/>
  <c r="G993" i="1"/>
  <c r="F993" i="1"/>
  <c r="G1002" i="1"/>
  <c r="F1002" i="1"/>
  <c r="F997" i="1"/>
  <c r="F1001" i="1"/>
  <c r="F1005" i="1"/>
  <c r="F924" i="1"/>
  <c r="F928" i="1"/>
  <c r="F932" i="1"/>
  <c r="F936" i="1"/>
  <c r="F940" i="1"/>
  <c r="F944" i="1"/>
  <c r="F948" i="1"/>
  <c r="F952" i="1"/>
  <c r="F956" i="1"/>
  <c r="F960" i="1"/>
  <c r="F964" i="1"/>
  <c r="F968" i="1"/>
  <c r="F972" i="1"/>
  <c r="F976" i="1"/>
  <c r="F980" i="1"/>
  <c r="F984" i="1"/>
  <c r="F988" i="1"/>
  <c r="F992" i="1"/>
  <c r="F996" i="1"/>
  <c r="F1000" i="1"/>
  <c r="F1004" i="1"/>
  <c r="F787" i="1"/>
  <c r="F795" i="1"/>
  <c r="F815" i="1"/>
  <c r="F823" i="1"/>
  <c r="F827" i="1"/>
  <c r="F835" i="1"/>
  <c r="F843" i="1"/>
  <c r="F851"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8" i="1"/>
  <c r="F782" i="1"/>
  <c r="F786" i="1"/>
  <c r="F790" i="1"/>
  <c r="F794" i="1"/>
  <c r="F798" i="1"/>
  <c r="F802" i="1"/>
  <c r="F806" i="1"/>
  <c r="F810" i="1"/>
  <c r="F814" i="1"/>
  <c r="F818" i="1"/>
  <c r="F822" i="1"/>
  <c r="F826" i="1"/>
  <c r="F830" i="1"/>
  <c r="F834" i="1"/>
  <c r="F838" i="1"/>
  <c r="F842" i="1"/>
  <c r="F846" i="1"/>
  <c r="F850" i="1"/>
  <c r="F854" i="1"/>
  <c r="F858" i="1"/>
  <c r="F775" i="1"/>
  <c r="F779" i="1"/>
  <c r="F783" i="1"/>
  <c r="F791" i="1"/>
  <c r="F799" i="1"/>
  <c r="F803" i="1"/>
  <c r="F807" i="1"/>
  <c r="F811" i="1"/>
  <c r="F819" i="1"/>
  <c r="F831" i="1"/>
  <c r="F839" i="1"/>
  <c r="F847" i="1"/>
  <c r="F855" i="1"/>
  <c r="F777" i="1"/>
  <c r="F781" i="1"/>
  <c r="F785" i="1"/>
  <c r="F789" i="1"/>
  <c r="F793" i="1"/>
  <c r="F797" i="1"/>
  <c r="F801" i="1"/>
  <c r="F805" i="1"/>
  <c r="F809" i="1"/>
  <c r="F813" i="1"/>
  <c r="F857" i="1"/>
  <c r="G634" i="1"/>
  <c r="F634" i="1"/>
  <c r="G636" i="1"/>
  <c r="F636" i="1"/>
  <c r="G638" i="1"/>
  <c r="F638" i="1"/>
  <c r="G640" i="1"/>
  <c r="F640" i="1"/>
  <c r="G642" i="1"/>
  <c r="F642" i="1"/>
  <c r="G644" i="1"/>
  <c r="F644" i="1"/>
  <c r="G646" i="1"/>
  <c r="F646" i="1"/>
  <c r="G648" i="1"/>
  <c r="F648" i="1"/>
  <c r="G650" i="1"/>
  <c r="F650" i="1"/>
  <c r="G652" i="1"/>
  <c r="F652" i="1"/>
  <c r="G654" i="1"/>
  <c r="F654" i="1"/>
  <c r="G656" i="1"/>
  <c r="F656" i="1"/>
  <c r="G658" i="1"/>
  <c r="F658" i="1"/>
  <c r="G660" i="1"/>
  <c r="F660" i="1"/>
  <c r="G662" i="1"/>
  <c r="F662" i="1"/>
  <c r="G664" i="1"/>
  <c r="F664" i="1"/>
  <c r="G666" i="1"/>
  <c r="F666" i="1"/>
  <c r="G668" i="1"/>
  <c r="F668" i="1"/>
  <c r="G670" i="1"/>
  <c r="F670" i="1"/>
  <c r="G672" i="1"/>
  <c r="F672" i="1"/>
  <c r="G674" i="1"/>
  <c r="F674" i="1"/>
  <c r="G676" i="1"/>
  <c r="F676" i="1"/>
  <c r="G678" i="1"/>
  <c r="F678" i="1"/>
  <c r="G680" i="1"/>
  <c r="F680" i="1"/>
  <c r="G682" i="1"/>
  <c r="F682" i="1"/>
  <c r="G684" i="1"/>
  <c r="F684" i="1"/>
  <c r="G686" i="1"/>
  <c r="F686" i="1"/>
  <c r="G688" i="1"/>
  <c r="F688" i="1"/>
  <c r="G690" i="1"/>
  <c r="F690" i="1"/>
  <c r="G692" i="1"/>
  <c r="F692" i="1"/>
  <c r="G694" i="1"/>
  <c r="F694" i="1"/>
  <c r="G696" i="1"/>
  <c r="F696" i="1"/>
  <c r="G698" i="1"/>
  <c r="F698" i="1"/>
  <c r="G700" i="1"/>
  <c r="F700" i="1"/>
  <c r="G702" i="1"/>
  <c r="F702" i="1"/>
  <c r="G704" i="1"/>
  <c r="F704" i="1"/>
  <c r="G706" i="1"/>
  <c r="F706" i="1"/>
  <c r="G708" i="1"/>
  <c r="F708" i="1"/>
  <c r="G710" i="1"/>
  <c r="F710" i="1"/>
  <c r="G712" i="1"/>
  <c r="F712" i="1"/>
  <c r="G714" i="1"/>
  <c r="F714" i="1"/>
  <c r="G716" i="1"/>
  <c r="F716" i="1"/>
  <c r="F546" i="1"/>
  <c r="F547" i="1"/>
  <c r="F548" i="1"/>
  <c r="F549" i="1"/>
  <c r="F550" i="1"/>
  <c r="F551" i="1"/>
  <c r="F552" i="1"/>
  <c r="F553" i="1"/>
  <c r="F554" i="1"/>
  <c r="F555" i="1"/>
  <c r="F556" i="1"/>
  <c r="F557" i="1"/>
  <c r="F558" i="1"/>
  <c r="F559" i="1"/>
  <c r="F560" i="1"/>
  <c r="F561" i="1"/>
  <c r="F562" i="1"/>
  <c r="F563" i="1"/>
  <c r="F564" i="1"/>
  <c r="F565" i="1"/>
  <c r="F566" i="1"/>
  <c r="F567"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7" i="1"/>
  <c r="F598" i="1"/>
  <c r="F599" i="1"/>
  <c r="F600" i="1"/>
  <c r="F601" i="1"/>
  <c r="F602" i="1"/>
  <c r="F603" i="1"/>
  <c r="F604" i="1"/>
  <c r="F605" i="1"/>
  <c r="F606" i="1"/>
  <c r="F607" i="1"/>
  <c r="F608" i="1"/>
  <c r="F610" i="1"/>
  <c r="F611" i="1"/>
  <c r="F613" i="1"/>
  <c r="F614" i="1"/>
  <c r="F615" i="1"/>
  <c r="F616" i="1"/>
  <c r="F617" i="1"/>
  <c r="F618" i="1"/>
  <c r="F619" i="1"/>
  <c r="F620" i="1"/>
  <c r="F621" i="1"/>
  <c r="F622" i="1"/>
  <c r="F623" i="1"/>
  <c r="F624" i="1"/>
  <c r="F625" i="1"/>
  <c r="F626" i="1"/>
  <c r="F627" i="1"/>
  <c r="F628" i="1"/>
  <c r="F629" i="1"/>
  <c r="F630" i="1"/>
  <c r="F631" i="1"/>
  <c r="G633" i="1"/>
  <c r="F633" i="1"/>
  <c r="G635" i="1"/>
  <c r="F635" i="1"/>
  <c r="G637" i="1"/>
  <c r="F637" i="1"/>
  <c r="G639" i="1"/>
  <c r="F639" i="1"/>
  <c r="G641" i="1"/>
  <c r="F641" i="1"/>
  <c r="G643" i="1"/>
  <c r="F643" i="1"/>
  <c r="G645" i="1"/>
  <c r="F645" i="1"/>
  <c r="G647" i="1"/>
  <c r="F647" i="1"/>
  <c r="G649" i="1"/>
  <c r="F649" i="1"/>
  <c r="G651" i="1"/>
  <c r="F651" i="1"/>
  <c r="G653" i="1"/>
  <c r="F653" i="1"/>
  <c r="G655" i="1"/>
  <c r="F655" i="1"/>
  <c r="G657" i="1"/>
  <c r="F657" i="1"/>
  <c r="G659" i="1"/>
  <c r="F659" i="1"/>
  <c r="G661" i="1"/>
  <c r="F661" i="1"/>
  <c r="G663" i="1"/>
  <c r="F663" i="1"/>
  <c r="G665" i="1"/>
  <c r="F665" i="1"/>
  <c r="G667" i="1"/>
  <c r="F667" i="1"/>
  <c r="G669" i="1"/>
  <c r="F669" i="1"/>
  <c r="G671" i="1"/>
  <c r="F671" i="1"/>
  <c r="G673" i="1"/>
  <c r="F673" i="1"/>
  <c r="G675" i="1"/>
  <c r="F675" i="1"/>
  <c r="G677" i="1"/>
  <c r="F677" i="1"/>
  <c r="G679" i="1"/>
  <c r="F679" i="1"/>
  <c r="G681" i="1"/>
  <c r="F681" i="1"/>
  <c r="G683" i="1"/>
  <c r="F683" i="1"/>
  <c r="G685" i="1"/>
  <c r="F685" i="1"/>
  <c r="G687" i="1"/>
  <c r="F687" i="1"/>
  <c r="G689" i="1"/>
  <c r="F689" i="1"/>
  <c r="G691" i="1"/>
  <c r="F691" i="1"/>
  <c r="G693" i="1"/>
  <c r="F693" i="1"/>
  <c r="G695" i="1"/>
  <c r="F695" i="1"/>
  <c r="G697" i="1"/>
  <c r="F697" i="1"/>
  <c r="G699" i="1"/>
  <c r="F699" i="1"/>
  <c r="G701" i="1"/>
  <c r="F701" i="1"/>
  <c r="G703" i="1"/>
  <c r="F703" i="1"/>
  <c r="G705" i="1"/>
  <c r="F705" i="1"/>
  <c r="G707" i="1"/>
  <c r="F707" i="1"/>
  <c r="G709" i="1"/>
  <c r="F709" i="1"/>
  <c r="G711" i="1"/>
  <c r="F711" i="1"/>
  <c r="G713" i="1"/>
  <c r="F713" i="1"/>
  <c r="G715" i="1"/>
  <c r="F715" i="1"/>
  <c r="G717" i="1"/>
  <c r="F717" i="1"/>
  <c r="G409" i="1"/>
  <c r="F409" i="1"/>
  <c r="G413" i="1"/>
  <c r="F413" i="1"/>
  <c r="G415" i="1"/>
  <c r="F415" i="1"/>
  <c r="G421" i="1"/>
  <c r="F421" i="1"/>
  <c r="G425" i="1"/>
  <c r="F425" i="1"/>
  <c r="G429" i="1"/>
  <c r="F429" i="1"/>
  <c r="G433" i="1"/>
  <c r="F433" i="1"/>
  <c r="G437" i="1"/>
  <c r="F437" i="1"/>
  <c r="G443" i="1"/>
  <c r="F443" i="1"/>
  <c r="G455" i="1"/>
  <c r="F455" i="1"/>
  <c r="F469" i="1"/>
  <c r="G477" i="1"/>
  <c r="F477" i="1"/>
  <c r="F482" i="1"/>
  <c r="F490" i="1"/>
  <c r="F498" i="1"/>
  <c r="F506" i="1"/>
  <c r="F514" i="1"/>
  <c r="F538" i="1"/>
  <c r="G408" i="1"/>
  <c r="F408" i="1"/>
  <c r="G410" i="1"/>
  <c r="F410" i="1"/>
  <c r="G412" i="1"/>
  <c r="F412" i="1"/>
  <c r="G416" i="1"/>
  <c r="F416" i="1"/>
  <c r="F418" i="1"/>
  <c r="G422" i="1"/>
  <c r="F422" i="1"/>
  <c r="G424" i="1"/>
  <c r="F424" i="1"/>
  <c r="G428" i="1"/>
  <c r="F428" i="1"/>
  <c r="G430" i="1"/>
  <c r="F430" i="1"/>
  <c r="F432" i="1"/>
  <c r="G434" i="1"/>
  <c r="F434" i="1"/>
  <c r="G436" i="1"/>
  <c r="F436" i="1"/>
  <c r="F440" i="1"/>
  <c r="G442" i="1"/>
  <c r="F442" i="1"/>
  <c r="G444" i="1"/>
  <c r="F444" i="1"/>
  <c r="G448" i="1"/>
  <c r="F448" i="1"/>
  <c r="G450" i="1"/>
  <c r="F450" i="1"/>
  <c r="G452" i="1"/>
  <c r="F452" i="1"/>
  <c r="G454" i="1"/>
  <c r="F454" i="1"/>
  <c r="G456" i="1"/>
  <c r="F456" i="1"/>
  <c r="G458" i="1"/>
  <c r="F458" i="1"/>
  <c r="G460" i="1"/>
  <c r="F460" i="1"/>
  <c r="F465" i="1"/>
  <c r="G473" i="1"/>
  <c r="F473" i="1"/>
  <c r="F481" i="1"/>
  <c r="G489" i="1"/>
  <c r="F489" i="1"/>
  <c r="G497" i="1"/>
  <c r="F497" i="1"/>
  <c r="G505" i="1"/>
  <c r="F505" i="1"/>
  <c r="G513" i="1"/>
  <c r="F513" i="1"/>
  <c r="G521" i="1"/>
  <c r="F521" i="1"/>
  <c r="G529" i="1"/>
  <c r="F529" i="1"/>
  <c r="G537" i="1"/>
  <c r="F537" i="1"/>
  <c r="G545" i="1"/>
  <c r="F545" i="1"/>
  <c r="G407" i="1"/>
  <c r="F407" i="1"/>
  <c r="G411" i="1"/>
  <c r="F411" i="1"/>
  <c r="F417" i="1"/>
  <c r="G419" i="1"/>
  <c r="F419" i="1"/>
  <c r="G423" i="1"/>
  <c r="F423" i="1"/>
  <c r="G427" i="1"/>
  <c r="F427" i="1"/>
  <c r="G431" i="1"/>
  <c r="F431" i="1"/>
  <c r="G435" i="1"/>
  <c r="F435" i="1"/>
  <c r="G439" i="1"/>
  <c r="F439" i="1"/>
  <c r="G441" i="1"/>
  <c r="F441" i="1"/>
  <c r="G445" i="1"/>
  <c r="F445" i="1"/>
  <c r="G447" i="1"/>
  <c r="F447" i="1"/>
  <c r="G451" i="1"/>
  <c r="F451" i="1"/>
  <c r="G453" i="1"/>
  <c r="F453" i="1"/>
  <c r="G457" i="1"/>
  <c r="F457" i="1"/>
  <c r="G459" i="1"/>
  <c r="F459" i="1"/>
  <c r="G461" i="1"/>
  <c r="F461" i="1"/>
  <c r="G485" i="1"/>
  <c r="F485" i="1"/>
  <c r="G493" i="1"/>
  <c r="F493" i="1"/>
  <c r="G501" i="1"/>
  <c r="F501" i="1"/>
  <c r="G509" i="1"/>
  <c r="F509" i="1"/>
  <c r="G525" i="1"/>
  <c r="F525" i="1"/>
  <c r="F533" i="1"/>
  <c r="G541" i="1"/>
  <c r="F541" i="1"/>
  <c r="F399" i="1"/>
  <c r="F474" i="1"/>
  <c r="F522" i="1"/>
  <c r="F530" i="1"/>
  <c r="F398" i="1"/>
  <c r="F402" i="1"/>
  <c r="F406" i="1"/>
  <c r="G414" i="1"/>
  <c r="F414" i="1"/>
  <c r="F420" i="1"/>
  <c r="G426" i="1"/>
  <c r="F426" i="1"/>
  <c r="G446" i="1"/>
  <c r="F446" i="1"/>
  <c r="F397" i="1"/>
  <c r="F401" i="1"/>
  <c r="F405" i="1"/>
  <c r="F462" i="1"/>
  <c r="F470" i="1"/>
  <c r="F478" i="1"/>
  <c r="F486" i="1"/>
  <c r="F494" i="1"/>
  <c r="F502" i="1"/>
  <c r="F510" i="1"/>
  <c r="F518" i="1"/>
  <c r="F526" i="1"/>
  <c r="F534" i="1"/>
  <c r="F542" i="1"/>
  <c r="F464" i="1"/>
  <c r="F468" i="1"/>
  <c r="F472" i="1"/>
  <c r="F476" i="1"/>
  <c r="F480" i="1"/>
  <c r="F484" i="1"/>
  <c r="F488" i="1"/>
  <c r="F492" i="1"/>
  <c r="F496" i="1"/>
  <c r="F500" i="1"/>
  <c r="F504" i="1"/>
  <c r="F508" i="1"/>
  <c r="F512" i="1"/>
  <c r="F516" i="1"/>
  <c r="F520" i="1"/>
  <c r="F524" i="1"/>
  <c r="F528" i="1"/>
  <c r="F532" i="1"/>
  <c r="F540" i="1"/>
  <c r="F544" i="1"/>
  <c r="G379" i="1"/>
  <c r="F379" i="1"/>
  <c r="G381" i="1"/>
  <c r="F381" i="1"/>
  <c r="G385" i="1"/>
  <c r="F385" i="1"/>
  <c r="F312" i="1"/>
  <c r="F316" i="1"/>
  <c r="F320" i="1"/>
  <c r="F324" i="1"/>
  <c r="F332" i="1"/>
  <c r="F336" i="1"/>
  <c r="F340" i="1"/>
  <c r="F344" i="1"/>
  <c r="F348" i="1"/>
  <c r="F352" i="1"/>
  <c r="F356" i="1"/>
  <c r="F360" i="1"/>
  <c r="F364" i="1"/>
  <c r="F368" i="1"/>
  <c r="F372" i="1"/>
  <c r="F376" i="1"/>
  <c r="F311" i="1"/>
  <c r="F315" i="1"/>
  <c r="F323" i="1"/>
  <c r="F327" i="1"/>
  <c r="F331" i="1"/>
  <c r="F335" i="1"/>
  <c r="F339" i="1"/>
  <c r="F343" i="1"/>
  <c r="F347" i="1"/>
  <c r="F351" i="1"/>
  <c r="F355" i="1"/>
  <c r="F359" i="1"/>
  <c r="F363" i="1"/>
  <c r="F367" i="1"/>
  <c r="F371" i="1"/>
  <c r="F375" i="1"/>
  <c r="G378" i="1"/>
  <c r="F378" i="1"/>
  <c r="F380" i="1"/>
  <c r="F382" i="1"/>
  <c r="F384" i="1"/>
  <c r="G386" i="1"/>
  <c r="F386" i="1"/>
  <c r="F314" i="1"/>
  <c r="F318" i="1"/>
  <c r="F322" i="1"/>
  <c r="F326" i="1"/>
  <c r="F330" i="1"/>
  <c r="F334" i="1"/>
  <c r="F338" i="1"/>
  <c r="F346" i="1"/>
  <c r="F350" i="1"/>
  <c r="F354" i="1"/>
  <c r="F358" i="1"/>
  <c r="F362" i="1"/>
  <c r="F366" i="1"/>
  <c r="F370" i="1"/>
  <c r="F374" i="1"/>
  <c r="F309" i="1"/>
  <c r="F310" i="1"/>
  <c r="F217" i="1"/>
  <c r="F221" i="1"/>
  <c r="F225" i="1"/>
  <c r="F241" i="1"/>
  <c r="F253" i="1"/>
  <c r="F257" i="1"/>
  <c r="F265" i="1"/>
  <c r="F277" i="1"/>
  <c r="F281" i="1"/>
  <c r="F285" i="1"/>
  <c r="F289" i="1"/>
  <c r="F293" i="1"/>
  <c r="F297" i="1"/>
  <c r="F202" i="1"/>
  <c r="F203" i="1"/>
  <c r="F204" i="1"/>
  <c r="F205" i="1"/>
  <c r="F206" i="1"/>
  <c r="F207" i="1"/>
  <c r="F209" i="1"/>
  <c r="F210" i="1"/>
  <c r="F211" i="1"/>
  <c r="F212" i="1"/>
  <c r="F213" i="1"/>
  <c r="F214" i="1"/>
  <c r="F215" i="1"/>
  <c r="F216" i="1"/>
  <c r="F220" i="1"/>
  <c r="F228" i="1"/>
  <c r="F236" i="1"/>
  <c r="F240" i="1"/>
  <c r="F244" i="1"/>
  <c r="F248" i="1"/>
  <c r="F252" i="1"/>
  <c r="F256" i="1"/>
  <c r="F260" i="1"/>
  <c r="F264" i="1"/>
  <c r="F268" i="1"/>
  <c r="F272" i="1"/>
  <c r="F276" i="1"/>
  <c r="F280" i="1"/>
  <c r="F284" i="1"/>
  <c r="F288" i="1"/>
  <c r="F296" i="1"/>
  <c r="F300" i="1"/>
  <c r="F229" i="1"/>
  <c r="F233" i="1"/>
  <c r="F261" i="1"/>
  <c r="F269" i="1"/>
  <c r="F291" i="1"/>
  <c r="F295" i="1"/>
  <c r="F299" i="1"/>
  <c r="F138" i="1"/>
  <c r="F51" i="1"/>
  <c r="F120" i="1"/>
  <c r="F123" i="1"/>
  <c r="F131" i="1"/>
  <c r="F140" i="1"/>
  <c r="F148" i="1"/>
  <c r="F159" i="1"/>
  <c r="F167" i="1"/>
  <c r="F170" i="1"/>
  <c r="F176" i="1"/>
  <c r="F184" i="1"/>
  <c r="F187" i="1"/>
  <c r="F119" i="1"/>
  <c r="F122" i="1"/>
  <c r="F128" i="1"/>
  <c r="F139" i="1"/>
  <c r="F147" i="1"/>
  <c r="F164" i="1"/>
  <c r="F175" i="1"/>
  <c r="F191" i="1"/>
  <c r="G60" i="1"/>
  <c r="F60" i="1"/>
  <c r="G68" i="1"/>
  <c r="F68" i="1"/>
  <c r="G72" i="1"/>
  <c r="F72" i="1"/>
  <c r="G76" i="1"/>
  <c r="F76" i="1"/>
  <c r="G78" i="1"/>
  <c r="F78" i="1"/>
  <c r="G82" i="1"/>
  <c r="F82" i="1"/>
  <c r="G86" i="1"/>
  <c r="F86" i="1"/>
  <c r="G90" i="1"/>
  <c r="F90" i="1"/>
  <c r="G96" i="1"/>
  <c r="F96" i="1"/>
  <c r="G98" i="1"/>
  <c r="F98" i="1"/>
  <c r="F102" i="1"/>
  <c r="G106" i="1"/>
  <c r="F106" i="1"/>
  <c r="G110" i="1"/>
  <c r="F110" i="1"/>
  <c r="F114" i="1"/>
  <c r="G116" i="1"/>
  <c r="F116" i="1"/>
  <c r="G157" i="1"/>
  <c r="F157" i="1"/>
  <c r="G189" i="1"/>
  <c r="F189" i="1"/>
  <c r="F5" i="1"/>
  <c r="F7" i="1"/>
  <c r="F8" i="1"/>
  <c r="F11" i="1"/>
  <c r="F12" i="1"/>
  <c r="F14" i="1"/>
  <c r="F16" i="1"/>
  <c r="F18" i="1"/>
  <c r="F20" i="1"/>
  <c r="F22" i="1"/>
  <c r="F24" i="1"/>
  <c r="F25" i="1"/>
  <c r="F27" i="1"/>
  <c r="F29" i="1"/>
  <c r="F31" i="1"/>
  <c r="F33" i="1"/>
  <c r="F35" i="1"/>
  <c r="F37" i="1"/>
  <c r="F43" i="1"/>
  <c r="F45" i="1"/>
  <c r="F50" i="1"/>
  <c r="G121" i="1"/>
  <c r="F121" i="1"/>
  <c r="G137" i="1"/>
  <c r="F137" i="1"/>
  <c r="F166" i="1"/>
  <c r="F185" i="1"/>
  <c r="G9" i="1"/>
  <c r="G10" i="1"/>
  <c r="G13" i="1"/>
  <c r="G15" i="1"/>
  <c r="G17" i="1"/>
  <c r="G19" i="1"/>
  <c r="G21" i="1"/>
  <c r="G26" i="1"/>
  <c r="G28" i="1"/>
  <c r="F49" i="1"/>
  <c r="F53" i="1"/>
  <c r="G57" i="1"/>
  <c r="F57" i="1"/>
  <c r="G59" i="1"/>
  <c r="F59" i="1"/>
  <c r="G61" i="1"/>
  <c r="F61" i="1"/>
  <c r="G63" i="1"/>
  <c r="F63" i="1"/>
  <c r="G67" i="1"/>
  <c r="F67" i="1"/>
  <c r="G69" i="1"/>
  <c r="F69" i="1"/>
  <c r="G71" i="1"/>
  <c r="F71" i="1"/>
  <c r="F73" i="1"/>
  <c r="G75" i="1"/>
  <c r="F75" i="1"/>
  <c r="G77" i="1"/>
  <c r="F77" i="1"/>
  <c r="F79" i="1"/>
  <c r="G81" i="1"/>
  <c r="F81" i="1"/>
  <c r="G83" i="1"/>
  <c r="F83" i="1"/>
  <c r="G85" i="1"/>
  <c r="F85" i="1"/>
  <c r="G87" i="1"/>
  <c r="F87" i="1"/>
  <c r="F89" i="1"/>
  <c r="G91" i="1"/>
  <c r="F91" i="1"/>
  <c r="G93" i="1"/>
  <c r="F93" i="1"/>
  <c r="G95" i="1"/>
  <c r="F95" i="1"/>
  <c r="G99" i="1"/>
  <c r="F99" i="1"/>
  <c r="G101" i="1"/>
  <c r="F101" i="1"/>
  <c r="G105" i="1"/>
  <c r="F105" i="1"/>
  <c r="G107" i="1"/>
  <c r="F107" i="1"/>
  <c r="F109" i="1"/>
  <c r="G111" i="1"/>
  <c r="F111" i="1"/>
  <c r="G113" i="1"/>
  <c r="F113" i="1"/>
  <c r="G115" i="1"/>
  <c r="F115" i="1"/>
  <c r="G117" i="1"/>
  <c r="F117" i="1"/>
  <c r="F130" i="1"/>
  <c r="F146" i="1"/>
  <c r="F162" i="1"/>
  <c r="F178" i="1"/>
  <c r="G181" i="1"/>
  <c r="F181" i="1"/>
  <c r="G193" i="1"/>
  <c r="F193" i="1"/>
  <c r="F201" i="1"/>
  <c r="G56" i="1"/>
  <c r="F56" i="1"/>
  <c r="G58" i="1"/>
  <c r="F58" i="1"/>
  <c r="G64" i="1"/>
  <c r="F64" i="1"/>
  <c r="F66" i="1"/>
  <c r="G70" i="1"/>
  <c r="F70" i="1"/>
  <c r="G74" i="1"/>
  <c r="F74" i="1"/>
  <c r="G80" i="1"/>
  <c r="F80" i="1"/>
  <c r="G84" i="1"/>
  <c r="F84" i="1"/>
  <c r="G88" i="1"/>
  <c r="F88" i="1"/>
  <c r="G92" i="1"/>
  <c r="F92" i="1"/>
  <c r="G94" i="1"/>
  <c r="F94" i="1"/>
  <c r="G100" i="1"/>
  <c r="F100" i="1"/>
  <c r="G104" i="1"/>
  <c r="F104" i="1"/>
  <c r="G108" i="1"/>
  <c r="F108" i="1"/>
  <c r="G112" i="1"/>
  <c r="F112" i="1"/>
  <c r="G125" i="1"/>
  <c r="F125" i="1"/>
  <c r="G141" i="1"/>
  <c r="F141" i="1"/>
  <c r="F173" i="1"/>
  <c r="G197" i="1"/>
  <c r="F197" i="1"/>
  <c r="F4" i="1"/>
  <c r="F6" i="1"/>
  <c r="F30" i="1"/>
  <c r="F32" i="1"/>
  <c r="F34" i="1"/>
  <c r="F36" i="1"/>
  <c r="F39" i="1"/>
  <c r="F42" i="1"/>
  <c r="F44" i="1"/>
  <c r="F46" i="1"/>
  <c r="F118" i="1"/>
  <c r="F134" i="1"/>
  <c r="F150" i="1"/>
  <c r="G153" i="1"/>
  <c r="F153" i="1"/>
  <c r="G169" i="1"/>
  <c r="F169" i="1"/>
  <c r="F182" i="1"/>
  <c r="F194" i="1"/>
  <c r="G55" i="1"/>
  <c r="F55" i="1"/>
  <c r="G65" i="1"/>
  <c r="F65" i="1"/>
  <c r="F48" i="1"/>
  <c r="F52" i="1"/>
  <c r="F126" i="1"/>
  <c r="G129" i="1"/>
  <c r="F129" i="1"/>
  <c r="F142" i="1"/>
  <c r="G145" i="1"/>
  <c r="F145" i="1"/>
  <c r="F158" i="1"/>
  <c r="G161" i="1"/>
  <c r="F161" i="1"/>
  <c r="G177" i="1"/>
  <c r="F177" i="1"/>
  <c r="F190" i="1"/>
  <c r="F198" i="1"/>
  <c r="F196" i="1"/>
  <c r="F200" i="1"/>
  <c r="J2" i="1"/>
  <c r="H2" i="1" s="1"/>
  <c r="F3" i="1"/>
  <c r="J3" i="1" s="1"/>
  <c r="H3" i="1" s="1"/>
  <c r="K3" i="1" l="1"/>
  <c r="I3" i="1"/>
</calcChain>
</file>

<file path=xl/sharedStrings.xml><?xml version="1.0" encoding="utf-8"?>
<sst xmlns="http://schemas.openxmlformats.org/spreadsheetml/2006/main" count="4083" uniqueCount="886">
  <si>
    <t>WORD</t>
  </si>
  <si>
    <t>GR</t>
  </si>
  <si>
    <t>NP_TYPE</t>
  </si>
  <si>
    <t>REF_AUTO</t>
  </si>
  <si>
    <t>COREF</t>
  </si>
  <si>
    <t>REF</t>
  </si>
  <si>
    <t>IS</t>
  </si>
  <si>
    <t>CB</t>
  </si>
  <si>
    <t>GR_ANTE</t>
  </si>
  <si>
    <t>REF_DIST</t>
  </si>
  <si>
    <t>REF_DIST_ANTE</t>
  </si>
  <si>
    <t>COMMENT</t>
  </si>
  <si>
    <t># text = One of Sherlock Holmes's defectsâ€”if, indeed, one may call it a defectâ€”was that he was exceedingly loath to communicate his full plans to any other person until the instant of their fulfilment.</t>
  </si>
  <si>
    <t>One</t>
  </si>
  <si>
    <t>SBJ</t>
  </si>
  <si>
    <t>def-np.poss</t>
  </si>
  <si>
    <t>?OLD</t>
  </si>
  <si>
    <t>of</t>
  </si>
  <si>
    <t>Sherlock</t>
  </si>
  <si>
    <t>Holmes</t>
  </si>
  <si>
    <t>other_3</t>
  </si>
  <si>
    <t>ne</t>
  </si>
  <si>
    <t>'s</t>
  </si>
  <si>
    <t>defects</t>
  </si>
  <si>
    <t>other_2</t>
  </si>
  <si>
    <t>â€”if</t>
  </si>
  <si>
    <t>,</t>
  </si>
  <si>
    <t>indeed</t>
  </si>
  <si>
    <t>one</t>
  </si>
  <si>
    <t>may</t>
  </si>
  <si>
    <t>call</t>
  </si>
  <si>
    <t>it</t>
  </si>
  <si>
    <t>OBJ</t>
  </si>
  <si>
    <t>pron.pper</t>
  </si>
  <si>
    <t>a</t>
  </si>
  <si>
    <t>defect</t>
  </si>
  <si>
    <t>SBJ_2</t>
  </si>
  <si>
    <t>indef-np.a</t>
  </si>
  <si>
    <t>â€”was</t>
  </si>
  <si>
    <t>that</t>
  </si>
  <si>
    <t>he</t>
  </si>
  <si>
    <t>SBJ_3</t>
  </si>
  <si>
    <t>was</t>
  </si>
  <si>
    <t>exceedingly</t>
  </si>
  <si>
    <t>loath</t>
  </si>
  <si>
    <t>to</t>
  </si>
  <si>
    <t>communicate</t>
  </si>
  <si>
    <t>his</t>
  </si>
  <si>
    <t>other_5</t>
  </si>
  <si>
    <t>pron.ppos</t>
  </si>
  <si>
    <t>full</t>
  </si>
  <si>
    <t>plans</t>
  </si>
  <si>
    <t>OBJ_4</t>
  </si>
  <si>
    <t>any</t>
  </si>
  <si>
    <t>other</t>
  </si>
  <si>
    <t>person</t>
  </si>
  <si>
    <t>other_4</t>
  </si>
  <si>
    <t>until</t>
  </si>
  <si>
    <t>the</t>
  </si>
  <si>
    <t>instant</t>
  </si>
  <si>
    <t>their</t>
  </si>
  <si>
    <t>other_6</t>
  </si>
  <si>
    <t>fulfilment</t>
  </si>
  <si>
    <t>.</t>
  </si>
  <si>
    <t># text = Partly it came no doubt from his own masterful nature, which loved to dominate and surprise those who were around him.</t>
  </si>
  <si>
    <t>Partly</t>
  </si>
  <si>
    <t>came</t>
  </si>
  <si>
    <t>no</t>
  </si>
  <si>
    <t>doubt</t>
  </si>
  <si>
    <t>from</t>
  </si>
  <si>
    <t>own</t>
  </si>
  <si>
    <t>masterful</t>
  </si>
  <si>
    <t>nature</t>
  </si>
  <si>
    <t>which</t>
  </si>
  <si>
    <t>loved</t>
  </si>
  <si>
    <t>dominate</t>
  </si>
  <si>
    <t>and</t>
  </si>
  <si>
    <t>surprise</t>
  </si>
  <si>
    <t>those</t>
  </si>
  <si>
    <t>OBJ_5</t>
  </si>
  <si>
    <t>pron.pds</t>
  </si>
  <si>
    <t>who</t>
  </si>
  <si>
    <t>SBJ_7</t>
  </si>
  <si>
    <t>were</t>
  </si>
  <si>
    <t>around</t>
  </si>
  <si>
    <t>him</t>
  </si>
  <si>
    <t># text = Partly also from his professional caution, which urged him never to take any chances.</t>
  </si>
  <si>
    <t>also</t>
  </si>
  <si>
    <t>professional</t>
  </si>
  <si>
    <t>caution</t>
  </si>
  <si>
    <t>urged</t>
  </si>
  <si>
    <t>OBJ_2</t>
  </si>
  <si>
    <t>never</t>
  </si>
  <si>
    <t>take</t>
  </si>
  <si>
    <t>chances</t>
  </si>
  <si>
    <t>OBJ_3</t>
  </si>
  <si>
    <t># text = The result, however, was very trying for those who were acting as his agents and assistants.</t>
  </si>
  <si>
    <t>The</t>
  </si>
  <si>
    <t>result</t>
  </si>
  <si>
    <t>def-np.the</t>
  </si>
  <si>
    <t>however</t>
  </si>
  <si>
    <t>very</t>
  </si>
  <si>
    <t>trying</t>
  </si>
  <si>
    <t>for</t>
  </si>
  <si>
    <t>acting</t>
  </si>
  <si>
    <t>as</t>
  </si>
  <si>
    <t>agents</t>
  </si>
  <si>
    <t>assistants</t>
  </si>
  <si>
    <t>indef-np.bare</t>
  </si>
  <si>
    <t># text = I had often suffered under it, but never more so than during that long drive in the darkness.</t>
  </si>
  <si>
    <t>I</t>
  </si>
  <si>
    <t>had</t>
  </si>
  <si>
    <t>often</t>
  </si>
  <si>
    <t>suffered</t>
  </si>
  <si>
    <t>under</t>
  </si>
  <si>
    <t>but</t>
  </si>
  <si>
    <t>more</t>
  </si>
  <si>
    <t>so</t>
  </si>
  <si>
    <t>than</t>
  </si>
  <si>
    <t>during</t>
  </si>
  <si>
    <t>long</t>
  </si>
  <si>
    <t>drive</t>
  </si>
  <si>
    <t>def-np.dem</t>
  </si>
  <si>
    <t>in</t>
  </si>
  <si>
    <t>darkness</t>
  </si>
  <si>
    <t># text = The great ordeal was in front of us; at last we were about to make our final effort, and yet Holmes had said nothing, and I could only surmise what his course of action would be.</t>
  </si>
  <si>
    <t>great</t>
  </si>
  <si>
    <t>ordeal</t>
  </si>
  <si>
    <t>front</t>
  </si>
  <si>
    <t>us</t>
  </si>
  <si>
    <t>;</t>
  </si>
  <si>
    <t>at</t>
  </si>
  <si>
    <t>last</t>
  </si>
  <si>
    <t>we</t>
  </si>
  <si>
    <t>about</t>
  </si>
  <si>
    <t>make</t>
  </si>
  <si>
    <t>our</t>
  </si>
  <si>
    <t>final</t>
  </si>
  <si>
    <t>effort</t>
  </si>
  <si>
    <t>yet</t>
  </si>
  <si>
    <t>said</t>
  </si>
  <si>
    <t>nothing</t>
  </si>
  <si>
    <t>pron</t>
  </si>
  <si>
    <t>SBJ_4</t>
  </si>
  <si>
    <t>could</t>
  </si>
  <si>
    <t>only</t>
  </si>
  <si>
    <t>surmise</t>
  </si>
  <si>
    <t>what</t>
  </si>
  <si>
    <t>pron.pint</t>
  </si>
  <si>
    <t>other_7</t>
  </si>
  <si>
    <t>course</t>
  </si>
  <si>
    <t>SBJ_6</t>
  </si>
  <si>
    <t>action</t>
  </si>
  <si>
    <t>would</t>
  </si>
  <si>
    <t>be</t>
  </si>
  <si>
    <t># text = My nerves thrilled with anticipation when at last the cold wind upon our faces and the dark, void spaces on either side of the narrow road told me that we were back upon the moor once again.</t>
  </si>
  <si>
    <t>My</t>
  </si>
  <si>
    <t>nerves</t>
  </si>
  <si>
    <t>thrilled</t>
  </si>
  <si>
    <t>with</t>
  </si>
  <si>
    <t>anticipation</t>
  </si>
  <si>
    <t>when</t>
  </si>
  <si>
    <t>cold</t>
  </si>
  <si>
    <t>wind</t>
  </si>
  <si>
    <t>upon</t>
  </si>
  <si>
    <t>faces</t>
  </si>
  <si>
    <t>dark</t>
  </si>
  <si>
    <t>void</t>
  </si>
  <si>
    <t>spaces</t>
  </si>
  <si>
    <t>on</t>
  </si>
  <si>
    <t>either</t>
  </si>
  <si>
    <t>side</t>
  </si>
  <si>
    <t>indef-np</t>
  </si>
  <si>
    <t>narrow</t>
  </si>
  <si>
    <t>road</t>
  </si>
  <si>
    <t>told</t>
  </si>
  <si>
    <t>me</t>
  </si>
  <si>
    <t>back</t>
  </si>
  <si>
    <t>moor</t>
  </si>
  <si>
    <t>once</t>
  </si>
  <si>
    <t>again</t>
  </si>
  <si>
    <t># text = Every stride of the horses and every turn of the wheels was taking us nearer to our supreme adventure.</t>
  </si>
  <si>
    <t>Every</t>
  </si>
  <si>
    <t>stride</t>
  </si>
  <si>
    <t>horses</t>
  </si>
  <si>
    <t>every</t>
  </si>
  <si>
    <t>turn</t>
  </si>
  <si>
    <t>wheels</t>
  </si>
  <si>
    <t>taking</t>
  </si>
  <si>
    <t>nearer</t>
  </si>
  <si>
    <t>supreme</t>
  </si>
  <si>
    <t>adventure</t>
  </si>
  <si>
    <t># text = Our conversation was hampered by the presence of the driver of the hired wagonette, so that we were forced to talk of trivial matters when our nerves were tense with emotion and anticipation.</t>
  </si>
  <si>
    <t>Our</t>
  </si>
  <si>
    <t>conversation</t>
  </si>
  <si>
    <t>hampered</t>
  </si>
  <si>
    <t>by</t>
  </si>
  <si>
    <t>presence</t>
  </si>
  <si>
    <t>driver</t>
  </si>
  <si>
    <t>hired</t>
  </si>
  <si>
    <t>wagonette</t>
  </si>
  <si>
    <t>forced</t>
  </si>
  <si>
    <t>talk</t>
  </si>
  <si>
    <t>trivial</t>
  </si>
  <si>
    <t>matters</t>
  </si>
  <si>
    <t>tense</t>
  </si>
  <si>
    <t>emotion</t>
  </si>
  <si>
    <t># text = It was a relief to me, after that unnatural restraint, when we at last passed Frankland's house and knew that we were drawing near to the Hall and to the scene of action.</t>
  </si>
  <si>
    <t>It</t>
  </si>
  <si>
    <t>relief</t>
  </si>
  <si>
    <t>after</t>
  </si>
  <si>
    <t>unnatural</t>
  </si>
  <si>
    <t>restraint</t>
  </si>
  <si>
    <t>passed</t>
  </si>
  <si>
    <t>Frankland</t>
  </si>
  <si>
    <t>house</t>
  </si>
  <si>
    <t>knew</t>
  </si>
  <si>
    <t>drawing</t>
  </si>
  <si>
    <t>near</t>
  </si>
  <si>
    <t>Hall</t>
  </si>
  <si>
    <t>scene</t>
  </si>
  <si>
    <t># text = We did not drive up to the door but got down near the gate of the avenue.</t>
  </si>
  <si>
    <t>We</t>
  </si>
  <si>
    <t>did</t>
  </si>
  <si>
    <t>not</t>
  </si>
  <si>
    <t>up</t>
  </si>
  <si>
    <t>door</t>
  </si>
  <si>
    <t>got</t>
  </si>
  <si>
    <t>down</t>
  </si>
  <si>
    <t>gate</t>
  </si>
  <si>
    <t>avenue</t>
  </si>
  <si>
    <t># text = The wagonette was paid off and ordered to return to Coombe Tracey forthwith, while we started to walk to Merripit House.</t>
  </si>
  <si>
    <t>paid</t>
  </si>
  <si>
    <t>off</t>
  </si>
  <si>
    <t>ordered</t>
  </si>
  <si>
    <t>return</t>
  </si>
  <si>
    <t>Coombe</t>
  </si>
  <si>
    <t>Tracey</t>
  </si>
  <si>
    <t>forthwith</t>
  </si>
  <si>
    <t>while</t>
  </si>
  <si>
    <t>started</t>
  </si>
  <si>
    <t>walk</t>
  </si>
  <si>
    <t>Merripit</t>
  </si>
  <si>
    <t>House</t>
  </si>
  <si>
    <t>--</t>
  </si>
  <si>
    <t># text = "Are you armed, Lestrade?"</t>
  </si>
  <si>
    <t>&amp;quot;</t>
  </si>
  <si>
    <t>Are</t>
  </si>
  <si>
    <t>you</t>
  </si>
  <si>
    <t>armed</t>
  </si>
  <si>
    <t>Lestrade</t>
  </si>
  <si>
    <t>?</t>
  </si>
  <si>
    <t># text = The little detective smiled.</t>
  </si>
  <si>
    <t>little</t>
  </si>
  <si>
    <t>detective</t>
  </si>
  <si>
    <t>smiled</t>
  </si>
  <si>
    <t># text = \"As long as I have my trousers I have a hip-pocket, and as long as I have my hip-pocket I have something in it.\"</t>
  </si>
  <si>
    <t>As</t>
  </si>
  <si>
    <t>have</t>
  </si>
  <si>
    <t>my</t>
  </si>
  <si>
    <t>trousers</t>
  </si>
  <si>
    <t>hip</t>
  </si>
  <si>
    <t>_</t>
  </si>
  <si>
    <t>pocket</t>
  </si>
  <si>
    <t>other_9</t>
  </si>
  <si>
    <t>OBJ_7</t>
  </si>
  <si>
    <t>SBJ_9</t>
  </si>
  <si>
    <t>something</t>
  </si>
  <si>
    <t>OBJ_9</t>
  </si>
  <si>
    <t>other_10</t>
  </si>
  <si>
    <t># text = "Good!</t>
  </si>
  <si>
    <t>Good</t>
  </si>
  <si>
    <t>!</t>
  </si>
  <si>
    <t># text = My friend and I are also ready for emergencies."</t>
  </si>
  <si>
    <t>friend</t>
  </si>
  <si>
    <t>are</t>
  </si>
  <si>
    <t>ready</t>
  </si>
  <si>
    <t>emergencies</t>
  </si>
  <si>
    <t># text = "You're mighty close about this affair, Mr. Holmes.</t>
  </si>
  <si>
    <t>You</t>
  </si>
  <si>
    <t>'re</t>
  </si>
  <si>
    <t>mighty</t>
  </si>
  <si>
    <t>close</t>
  </si>
  <si>
    <t>this</t>
  </si>
  <si>
    <t>affair</t>
  </si>
  <si>
    <t>Mr.</t>
  </si>
  <si>
    <t># text = What's the game now?"</t>
  </si>
  <si>
    <t>What</t>
  </si>
  <si>
    <t>game</t>
  </si>
  <si>
    <t>now</t>
  </si>
  <si>
    <t># text = \"A waiting game.\"</t>
  </si>
  <si>
    <t>A</t>
  </si>
  <si>
    <t>waiting</t>
  </si>
  <si>
    <t># text = "My word, it does not seem a very cheerful place," said the detective with a shiver, glancing round him at the gloomy slopes of the hill and at the huge lake of fog which lay over the Grimpen Mire.</t>
  </si>
  <si>
    <t>word</t>
  </si>
  <si>
    <t>does</t>
  </si>
  <si>
    <t>seem</t>
  </si>
  <si>
    <t>cheerful</t>
  </si>
  <si>
    <t>place</t>
  </si>
  <si>
    <t>shiver</t>
  </si>
  <si>
    <t>glancing</t>
  </si>
  <si>
    <t>round</t>
  </si>
  <si>
    <t>gloomy</t>
  </si>
  <si>
    <t>slopes</t>
  </si>
  <si>
    <t>hill</t>
  </si>
  <si>
    <t>huge</t>
  </si>
  <si>
    <t>lake</t>
  </si>
  <si>
    <t>fog</t>
  </si>
  <si>
    <t>SBJ_5</t>
  </si>
  <si>
    <t>lay</t>
  </si>
  <si>
    <t>over</t>
  </si>
  <si>
    <t>Grimpen</t>
  </si>
  <si>
    <t>Mire</t>
  </si>
  <si>
    <t># text = \"I see the lights of a house ahead of us.\"</t>
  </si>
  <si>
    <t>see</t>
  </si>
  <si>
    <t>lights</t>
  </si>
  <si>
    <t>ahead</t>
  </si>
  <si>
    <t># text = "That is Merripit House and the end of our journey.</t>
  </si>
  <si>
    <t>That</t>
  </si>
  <si>
    <t>is</t>
  </si>
  <si>
    <t>end</t>
  </si>
  <si>
    <t>journey</t>
  </si>
  <si>
    <t># text = I must request you to walk on tiptoe and not to talk above a whisper.\"</t>
  </si>
  <si>
    <t>must</t>
  </si>
  <si>
    <t>request</t>
  </si>
  <si>
    <t>tiptoe</t>
  </si>
  <si>
    <t>above</t>
  </si>
  <si>
    <t>whisper</t>
  </si>
  <si>
    <t># text = We moved cautiously along the track as if we were bound for the house, but Holmes halted us when we were about two hundred yards from it.</t>
  </si>
  <si>
    <t>moved</t>
  </si>
  <si>
    <t>cautiously</t>
  </si>
  <si>
    <t>along</t>
  </si>
  <si>
    <t>track</t>
  </si>
  <si>
    <t>if</t>
  </si>
  <si>
    <t>bound</t>
  </si>
  <si>
    <t>halted</t>
  </si>
  <si>
    <t>two</t>
  </si>
  <si>
    <t>hundred</t>
  </si>
  <si>
    <t>yards</t>
  </si>
  <si>
    <t>indef-np.quant</t>
  </si>
  <si>
    <t># text = \"This will do,\" said he.</t>
  </si>
  <si>
    <t>This</t>
  </si>
  <si>
    <t>will</t>
  </si>
  <si>
    <t>do</t>
  </si>
  <si>
    <t># text = \"These rocks upon the right make an admirable screen.\"</t>
  </si>
  <si>
    <t>These</t>
  </si>
  <si>
    <t>rocks</t>
  </si>
  <si>
    <t>right</t>
  </si>
  <si>
    <t>an</t>
  </si>
  <si>
    <t>admirable</t>
  </si>
  <si>
    <t>screen</t>
  </si>
  <si>
    <t># text = "We are to wait here?"</t>
  </si>
  <si>
    <t>wait</t>
  </si>
  <si>
    <t>here</t>
  </si>
  <si>
    <t># text = "Yes, we shall make our little ambush here.</t>
  </si>
  <si>
    <t>Yes</t>
  </si>
  <si>
    <t>shall</t>
  </si>
  <si>
    <t>ambush</t>
  </si>
  <si>
    <t># text = Get into this hollow, Lestrade.</t>
  </si>
  <si>
    <t>Get</t>
  </si>
  <si>
    <t>into</t>
  </si>
  <si>
    <t>hollow</t>
  </si>
  <si>
    <t># text = You have been inside the house, have you not, Watson?</t>
  </si>
  <si>
    <t>been</t>
  </si>
  <si>
    <t>inside</t>
  </si>
  <si>
    <t>Watson</t>
  </si>
  <si>
    <t># text = Can you tell the position of the rooms?</t>
  </si>
  <si>
    <t>Can</t>
  </si>
  <si>
    <t>tell</t>
  </si>
  <si>
    <t>position</t>
  </si>
  <si>
    <t>rooms</t>
  </si>
  <si>
    <t># text = What are those latticed windows at this end?\"</t>
  </si>
  <si>
    <t>latticed</t>
  </si>
  <si>
    <t>windows</t>
  </si>
  <si>
    <t># text = \"I think they are the kitchen windows.\"</t>
  </si>
  <si>
    <t>think</t>
  </si>
  <si>
    <t>they</t>
  </si>
  <si>
    <t>kitchen</t>
  </si>
  <si>
    <t># text = \"And the one beyond, which shines so brightly?\"</t>
  </si>
  <si>
    <t>And</t>
  </si>
  <si>
    <t>beyond</t>
  </si>
  <si>
    <t>def-np.quant</t>
  </si>
  <si>
    <t>shines</t>
  </si>
  <si>
    <t>brightly</t>
  </si>
  <si>
    <t># text = "That is certainly the dining-room."</t>
  </si>
  <si>
    <t>certainly</t>
  </si>
  <si>
    <t>dining</t>
  </si>
  <si>
    <t>room</t>
  </si>
  <si>
    <t># text = \"The blinds are up.</t>
  </si>
  <si>
    <t>blinds</t>
  </si>
  <si>
    <t># text = You know the lie of the land best.</t>
  </si>
  <si>
    <t>know</t>
  </si>
  <si>
    <t>lie</t>
  </si>
  <si>
    <t>land</t>
  </si>
  <si>
    <t>best</t>
  </si>
  <si>
    <t># text = Creep forward quietly and see what they are doingâ€”but for heaven's sake don't let them know that they are watched!"</t>
  </si>
  <si>
    <t>Creep</t>
  </si>
  <si>
    <t>forward</t>
  </si>
  <si>
    <t>quietly</t>
  </si>
  <si>
    <t>doing</t>
  </si>
  <si>
    <t>â€”but</t>
  </si>
  <si>
    <t>heaven</t>
  </si>
  <si>
    <t>sake</t>
  </si>
  <si>
    <t>n't</t>
  </si>
  <si>
    <t>let</t>
  </si>
  <si>
    <t>them</t>
  </si>
  <si>
    <t>watched</t>
  </si>
  <si>
    <t># text = I tiptoed down the path and stooped behind the low wall which surrounded the stunted orchard.</t>
  </si>
  <si>
    <t>tiptoed</t>
  </si>
  <si>
    <t>path</t>
  </si>
  <si>
    <t>stooped</t>
  </si>
  <si>
    <t>behind</t>
  </si>
  <si>
    <t>low</t>
  </si>
  <si>
    <t>wall</t>
  </si>
  <si>
    <t>surrounded</t>
  </si>
  <si>
    <t>stunted</t>
  </si>
  <si>
    <t>orchard</t>
  </si>
  <si>
    <t># text = Creeping in its shadow I reached a point whence I could look straight through the uncurtained window.</t>
  </si>
  <si>
    <t>Creeping</t>
  </si>
  <si>
    <t>s</t>
  </si>
  <si>
    <t>shadow</t>
  </si>
  <si>
    <t>reached</t>
  </si>
  <si>
    <t>point</t>
  </si>
  <si>
    <t>whence</t>
  </si>
  <si>
    <t>look</t>
  </si>
  <si>
    <t>straight</t>
  </si>
  <si>
    <t>through</t>
  </si>
  <si>
    <t>uncurtained</t>
  </si>
  <si>
    <t>window</t>
  </si>
  <si>
    <t># text = There were only two men in the room, Sir Henry and Stapleton.</t>
  </si>
  <si>
    <t>There</t>
  </si>
  <si>
    <t>men</t>
  </si>
  <si>
    <t>Sir</t>
  </si>
  <si>
    <t>Henry</t>
  </si>
  <si>
    <t>Stapleton</t>
  </si>
  <si>
    <t># text = They sat with their profiles towards me on either side of the round table.</t>
  </si>
  <si>
    <t>They</t>
  </si>
  <si>
    <t>sat</t>
  </si>
  <si>
    <t>profiles</t>
  </si>
  <si>
    <t>towards</t>
  </si>
  <si>
    <t>table</t>
  </si>
  <si>
    <t># text = Both of them were smoking cigars, and coffee and wine were in front of them.</t>
  </si>
  <si>
    <t>Both</t>
  </si>
  <si>
    <t>smoking</t>
  </si>
  <si>
    <t>cigars</t>
  </si>
  <si>
    <t>coffee</t>
  </si>
  <si>
    <t>wine</t>
  </si>
  <si>
    <t># text = Stapleton was talking with animation, but the baronet looked pale and distrait.</t>
  </si>
  <si>
    <t>talking</t>
  </si>
  <si>
    <t>animation</t>
  </si>
  <si>
    <t>baronet</t>
  </si>
  <si>
    <t>looked</t>
  </si>
  <si>
    <t>pale</t>
  </si>
  <si>
    <t>distrait</t>
  </si>
  <si>
    <t># text = Perhaps the thought of that lonely walk across the ill-omened moor was weighing heavily upon his mind.</t>
  </si>
  <si>
    <t>Perhaps</t>
  </si>
  <si>
    <t>thought</t>
  </si>
  <si>
    <t>lonely</t>
  </si>
  <si>
    <t>across</t>
  </si>
  <si>
    <t>ill</t>
  </si>
  <si>
    <t>omened</t>
  </si>
  <si>
    <t>weighing</t>
  </si>
  <si>
    <t>heavily</t>
  </si>
  <si>
    <t>mind</t>
  </si>
  <si>
    <t># text = As I watched them Stapleton rose and left the room, while Sir Henry filled his glass again and leaned back in his chair, puffing at his cigar.</t>
  </si>
  <si>
    <t>rose</t>
  </si>
  <si>
    <t>left</t>
  </si>
  <si>
    <t>filled</t>
  </si>
  <si>
    <t>glass</t>
  </si>
  <si>
    <t>leaned</t>
  </si>
  <si>
    <t>chair</t>
  </si>
  <si>
    <t>puffing</t>
  </si>
  <si>
    <t>cigar</t>
  </si>
  <si>
    <t># text = I heard the creak of a door and the crisp sound of boots upon gravel.</t>
  </si>
  <si>
    <t>heard</t>
  </si>
  <si>
    <t>creak</t>
  </si>
  <si>
    <t>crisp</t>
  </si>
  <si>
    <t>sound</t>
  </si>
  <si>
    <t>boots</t>
  </si>
  <si>
    <t>gravel</t>
  </si>
  <si>
    <t># text = The steps passed along the path on the other side of the wall under which I crouched.</t>
  </si>
  <si>
    <t>steps</t>
  </si>
  <si>
    <t>def-np.the.other</t>
  </si>
  <si>
    <t>crouched</t>
  </si>
  <si>
    <t># text = Looking over, I saw the naturalist pause at the door of an out-house in the corner of the orchard.</t>
  </si>
  <si>
    <t>Looking</t>
  </si>
  <si>
    <t>saw</t>
  </si>
  <si>
    <t>naturalist</t>
  </si>
  <si>
    <t>pause</t>
  </si>
  <si>
    <t>out</t>
  </si>
  <si>
    <t>corner</t>
  </si>
  <si>
    <t># text = A key turned in a lock, and as he passed in there was a curious scuffling noise from within.</t>
  </si>
  <si>
    <t>key</t>
  </si>
  <si>
    <t>turned</t>
  </si>
  <si>
    <t>lock</t>
  </si>
  <si>
    <t>there</t>
  </si>
  <si>
    <t>curious</t>
  </si>
  <si>
    <t>scuffling</t>
  </si>
  <si>
    <t>noise</t>
  </si>
  <si>
    <t>within</t>
  </si>
  <si>
    <t># text = He was only a minute or so inside, and then I heard the key turn once more and he passed me and re-entered the house.</t>
  </si>
  <si>
    <t>He</t>
  </si>
  <si>
    <t>minute</t>
  </si>
  <si>
    <t>or</t>
  </si>
  <si>
    <t>then</t>
  </si>
  <si>
    <t>re-entered</t>
  </si>
  <si>
    <t># text = I saw him rejoin his guest, and I crept quietly back to where my companions were waiting to tell them what I had seen.</t>
  </si>
  <si>
    <t>rejoin</t>
  </si>
  <si>
    <t>guest</t>
  </si>
  <si>
    <t>crept</t>
  </si>
  <si>
    <t>where</t>
  </si>
  <si>
    <t>companions</t>
  </si>
  <si>
    <t>OBJ_6</t>
  </si>
  <si>
    <t>seen</t>
  </si>
  <si>
    <t># text = "You say, Watson, that the lady is not there?"</t>
  </si>
  <si>
    <t>say</t>
  </si>
  <si>
    <t>lady</t>
  </si>
  <si>
    <t>pron.padv</t>
  </si>
  <si>
    <t># text = Holmes asked, when I had finished my report.</t>
  </si>
  <si>
    <t>asked</t>
  </si>
  <si>
    <t>finished</t>
  </si>
  <si>
    <t>report</t>
  </si>
  <si>
    <t># text = \"No.\" \"Where can she be, then, since there is no light in any other room except the kitchen?\"</t>
  </si>
  <si>
    <t>No</t>
  </si>
  <si>
    <t>Where</t>
  </si>
  <si>
    <t>can</t>
  </si>
  <si>
    <t>she</t>
  </si>
  <si>
    <t>since</t>
  </si>
  <si>
    <t>light</t>
  </si>
  <si>
    <t>except</t>
  </si>
  <si>
    <t># text = "I cannot think where she is."</t>
  </si>
  <si>
    <t># text = I have said that over the great Grimpen Mire there hung a dense, white fog.</t>
  </si>
  <si>
    <t>hung</t>
  </si>
  <si>
    <t>dense</t>
  </si>
  <si>
    <t>white</t>
  </si>
  <si>
    <t># text = It was drifting slowly in our direction, and banked itself up like a wall on that side of us, low, but thick and well defined.</t>
  </si>
  <si>
    <t>drifting</t>
  </si>
  <si>
    <t>slowly</t>
  </si>
  <si>
    <t>direction</t>
  </si>
  <si>
    <t>banked</t>
  </si>
  <si>
    <t>itself</t>
  </si>
  <si>
    <t>like</t>
  </si>
  <si>
    <t>thick</t>
  </si>
  <si>
    <t>well</t>
  </si>
  <si>
    <t>defined</t>
  </si>
  <si>
    <t># text = The moon shone on it, and it looked like a great shimmering ice-field, with the heads of the distant tors as rocks borne upon its surface.</t>
  </si>
  <si>
    <t>moon</t>
  </si>
  <si>
    <t>shone</t>
  </si>
  <si>
    <t>shimmering</t>
  </si>
  <si>
    <t>ice</t>
  </si>
  <si>
    <t>field</t>
  </si>
  <si>
    <t>heads</t>
  </si>
  <si>
    <t>distant</t>
  </si>
  <si>
    <t>tors</t>
  </si>
  <si>
    <t>borne</t>
  </si>
  <si>
    <t>its</t>
  </si>
  <si>
    <t>surface</t>
  </si>
  <si>
    <t># text = Holmes's face was turned towards it, and he muttered impatiently as he watched its sluggish drift.</t>
  </si>
  <si>
    <t>face</t>
  </si>
  <si>
    <t>muttered</t>
  </si>
  <si>
    <t>impatiently</t>
  </si>
  <si>
    <t>sluggish</t>
  </si>
  <si>
    <t>drift</t>
  </si>
  <si>
    <t># text = "It's moving towards us, Watson."</t>
  </si>
  <si>
    <t>moving</t>
  </si>
  <si>
    <t># text = "Is that serious?"</t>
  </si>
  <si>
    <t>Is</t>
  </si>
  <si>
    <t>serious</t>
  </si>
  <si>
    <t># text = "Very serious, indeedâ€”the one thing upon earth which could have disarranged my plans.</t>
  </si>
  <si>
    <t>Very</t>
  </si>
  <si>
    <t>â€”the</t>
  </si>
  <si>
    <t>thing</t>
  </si>
  <si>
    <t>def-np</t>
  </si>
  <si>
    <t>earth</t>
  </si>
  <si>
    <t>disarranged</t>
  </si>
  <si>
    <t># text = He can't be very long, now.</t>
  </si>
  <si>
    <t>ca</t>
  </si>
  <si>
    <t># text = It is already ten o'clock.</t>
  </si>
  <si>
    <t>already</t>
  </si>
  <si>
    <t>ten</t>
  </si>
  <si>
    <t>o'clock</t>
  </si>
  <si>
    <t># text = Our success and even his life may depend upon his coming out before the fog is over the path."</t>
  </si>
  <si>
    <t>success</t>
  </si>
  <si>
    <t>even</t>
  </si>
  <si>
    <t>life</t>
  </si>
  <si>
    <t>depend</t>
  </si>
  <si>
    <t>coming</t>
  </si>
  <si>
    <t>before</t>
  </si>
  <si>
    <t># text = The night was clear and fine above us.</t>
  </si>
  <si>
    <t>night</t>
  </si>
  <si>
    <t>clear</t>
  </si>
  <si>
    <t>fine</t>
  </si>
  <si>
    <t># text = The stars shone cold and bright, while a half-moon bathed the whole scene in a soft, uncertain light.</t>
  </si>
  <si>
    <t>stars</t>
  </si>
  <si>
    <t>bright</t>
  </si>
  <si>
    <t>half</t>
  </si>
  <si>
    <t>bathed</t>
  </si>
  <si>
    <t>whole</t>
  </si>
  <si>
    <t>soft</t>
  </si>
  <si>
    <t>uncertain</t>
  </si>
  <si>
    <t># text = Before us lay the dark bulk of the house, its serrated roof and bristling chimneys hard outlined against the silver-spangled sky.</t>
  </si>
  <si>
    <t>Before</t>
  </si>
  <si>
    <t>bulk</t>
  </si>
  <si>
    <t>serrated</t>
  </si>
  <si>
    <t>roof</t>
  </si>
  <si>
    <t>bristling</t>
  </si>
  <si>
    <t>chimneys</t>
  </si>
  <si>
    <t>hard</t>
  </si>
  <si>
    <t>outlined</t>
  </si>
  <si>
    <t>against</t>
  </si>
  <si>
    <t>silver</t>
  </si>
  <si>
    <t>spangled</t>
  </si>
  <si>
    <t>sky</t>
  </si>
  <si>
    <t># text = Broad bars of golden light from the lower windows stretched across the orchard and the moor.</t>
  </si>
  <si>
    <t>Broad</t>
  </si>
  <si>
    <t>bars</t>
  </si>
  <si>
    <t>golden</t>
  </si>
  <si>
    <t>lower</t>
  </si>
  <si>
    <t>stretched</t>
  </si>
  <si>
    <t># text = One of them was suddenly shut off.</t>
  </si>
  <si>
    <t>suddenly</t>
  </si>
  <si>
    <t>shut</t>
  </si>
  <si>
    <t># text = The servants had left the kitchen.</t>
  </si>
  <si>
    <t>servants</t>
  </si>
  <si>
    <t># text = There only remained the lamp in the dining-room where the two men, the murderous host and the unconscious guest, still chatted over their cigars.</t>
  </si>
  <si>
    <t>remained</t>
  </si>
  <si>
    <t>lamp</t>
  </si>
  <si>
    <t>murderous</t>
  </si>
  <si>
    <t>host</t>
  </si>
  <si>
    <t>unconscious</t>
  </si>
  <si>
    <t>still</t>
  </si>
  <si>
    <t>chatted</t>
  </si>
  <si>
    <t># text = Every minute that white woolly plain which covered one half of the moor was drifting closer and closer to the house.</t>
  </si>
  <si>
    <t>woolly</t>
  </si>
  <si>
    <t>plain</t>
  </si>
  <si>
    <t>covered</t>
  </si>
  <si>
    <t>closer</t>
  </si>
  <si>
    <t># text = Already the first thin wisps of it were curling across the golden square of the lighted window.</t>
  </si>
  <si>
    <t>Already</t>
  </si>
  <si>
    <t>first</t>
  </si>
  <si>
    <t>thin</t>
  </si>
  <si>
    <t>wisps</t>
  </si>
  <si>
    <t>curling</t>
  </si>
  <si>
    <t>square</t>
  </si>
  <si>
    <t>lighted</t>
  </si>
  <si>
    <t># text = The farther wall of the orchard was already invisible, and the trees were standing out of a swirl of white vapour.</t>
  </si>
  <si>
    <t>farther</t>
  </si>
  <si>
    <t>invisible</t>
  </si>
  <si>
    <t>trees</t>
  </si>
  <si>
    <t>standing</t>
  </si>
  <si>
    <t>swirl</t>
  </si>
  <si>
    <t>vapour</t>
  </si>
  <si>
    <t># text = As we watched it the fog-wreaths came crawling round both corners of the house and rolled slowly into one dense bank, on which the upper floor and the roof floated like a strange ship upon a shadowy sea.</t>
  </si>
  <si>
    <t>wreaths</t>
  </si>
  <si>
    <t>crawling</t>
  </si>
  <si>
    <t>both</t>
  </si>
  <si>
    <t>corners</t>
  </si>
  <si>
    <t>rolled</t>
  </si>
  <si>
    <t>bank</t>
  </si>
  <si>
    <t>upper</t>
  </si>
  <si>
    <t>floor</t>
  </si>
  <si>
    <t>floated</t>
  </si>
  <si>
    <t>strange</t>
  </si>
  <si>
    <t>ship</t>
  </si>
  <si>
    <t>shadowy</t>
  </si>
  <si>
    <t>sea</t>
  </si>
  <si>
    <t># text = Holmes struck his hand passionately upon the rock in front of us and stamped his feet in his impatience.</t>
  </si>
  <si>
    <t>struck</t>
  </si>
  <si>
    <t>hand</t>
  </si>
  <si>
    <t>passionately</t>
  </si>
  <si>
    <t>rock</t>
  </si>
  <si>
    <t>stamped</t>
  </si>
  <si>
    <t>feet</t>
  </si>
  <si>
    <t>impatience</t>
  </si>
  <si>
    <t># text = \"If he isn't out in a quarter of an hour the path will be covered.</t>
  </si>
  <si>
    <t>If</t>
  </si>
  <si>
    <t>quarter</t>
  </si>
  <si>
    <t>hour</t>
  </si>
  <si>
    <t># text = In half an hour we won't be able to see our hands in front of us."</t>
  </si>
  <si>
    <t>In</t>
  </si>
  <si>
    <t>wo</t>
  </si>
  <si>
    <t>able</t>
  </si>
  <si>
    <t>hands</t>
  </si>
  <si>
    <t># text = "Shall we move farther back upon higher ground?"</t>
  </si>
  <si>
    <t>Shall</t>
  </si>
  <si>
    <t>move</t>
  </si>
  <si>
    <t>higher</t>
  </si>
  <si>
    <t>ground</t>
  </si>
  <si>
    <t># text = \"Yes, I think it would be as well.\"</t>
  </si>
  <si>
    <t># text = So as the fog-bank flowed onward we fell back before it until we were half a mile from the house, and still that dense white sea, with the moon silvering its upper edge, swept slowly and inexorably on.</t>
  </si>
  <si>
    <t>So</t>
  </si>
  <si>
    <t>flowed</t>
  </si>
  <si>
    <t>onward</t>
  </si>
  <si>
    <t>fell</t>
  </si>
  <si>
    <t>mile</t>
  </si>
  <si>
    <t>silvering</t>
  </si>
  <si>
    <t>edge</t>
  </si>
  <si>
    <t>swept</t>
  </si>
  <si>
    <t>inexorably</t>
  </si>
  <si>
    <t># text = \"We are going too far,\" said Holmes.</t>
  </si>
  <si>
    <t>going</t>
  </si>
  <si>
    <t>too</t>
  </si>
  <si>
    <t>far</t>
  </si>
  <si>
    <t># text = "We dare not take the chance of his being overtaken before he can reach us.</t>
  </si>
  <si>
    <t>dare</t>
  </si>
  <si>
    <t>chance</t>
  </si>
  <si>
    <t>being</t>
  </si>
  <si>
    <t>overtaken</t>
  </si>
  <si>
    <t>reach</t>
  </si>
  <si>
    <t># text = At all costs we must hold our ground where we are."</t>
  </si>
  <si>
    <t>At</t>
  </si>
  <si>
    <t>all</t>
  </si>
  <si>
    <t>costs</t>
  </si>
  <si>
    <t>hold</t>
  </si>
  <si>
    <t># text = He dropped on his knees and clapped his ear to the ground.</t>
  </si>
  <si>
    <t>dropped</t>
  </si>
  <si>
    <t>knees</t>
  </si>
  <si>
    <t>clapped</t>
  </si>
  <si>
    <t>ear</t>
  </si>
  <si>
    <t># text = \"Thank God, I think that I hear him coming.\"</t>
  </si>
  <si>
    <t>Thank</t>
  </si>
  <si>
    <t>God</t>
  </si>
  <si>
    <t>hear</t>
  </si>
  <si>
    <t># text = A sound of quick steps broke the silence of the moor.</t>
  </si>
  <si>
    <t>quick</t>
  </si>
  <si>
    <t>broke</t>
  </si>
  <si>
    <t>silence</t>
  </si>
  <si>
    <t># text = Crouching among the stones we stared intently at the silver-tipped bank in front of us.</t>
  </si>
  <si>
    <t>Crouching</t>
  </si>
  <si>
    <t>among</t>
  </si>
  <si>
    <t>stones</t>
  </si>
  <si>
    <t>stared</t>
  </si>
  <si>
    <t>intently</t>
  </si>
  <si>
    <t>tipped</t>
  </si>
  <si>
    <t># text = The steps grew louder, and through the fog, as through a curtain, there stepped the man whom we were awaiting.</t>
  </si>
  <si>
    <t>grew</t>
  </si>
  <si>
    <t>louder</t>
  </si>
  <si>
    <t>curtain</t>
  </si>
  <si>
    <t>stepped</t>
  </si>
  <si>
    <t>man</t>
  </si>
  <si>
    <t>whom</t>
  </si>
  <si>
    <t>awaiting</t>
  </si>
  <si>
    <t># text = He looked round him in surprise as he emerged into the clear, starlit night.</t>
  </si>
  <si>
    <t>emerged</t>
  </si>
  <si>
    <t>starlit</t>
  </si>
  <si>
    <t># text = Then he came swiftly along the path, passed close to where we lay, and went on up the long slope behind us.</t>
  </si>
  <si>
    <t>Then</t>
  </si>
  <si>
    <t>swiftly</t>
  </si>
  <si>
    <t>went</t>
  </si>
  <si>
    <t>slope</t>
  </si>
  <si>
    <t># text = As he walked he glanced continually over either shoulder, like a man who is ill at ease.</t>
  </si>
  <si>
    <t>walked</t>
  </si>
  <si>
    <t>glanced</t>
  </si>
  <si>
    <t>continually</t>
  </si>
  <si>
    <t>shoulder</t>
  </si>
  <si>
    <t>ease</t>
  </si>
  <si>
    <t># text = "Hist!" cried Holmes, and I heard the sharp click of a cocking pistol.</t>
  </si>
  <si>
    <t>Hist</t>
  </si>
  <si>
    <t>cried</t>
  </si>
  <si>
    <t>sharp</t>
  </si>
  <si>
    <t>click</t>
  </si>
  <si>
    <t>cocking</t>
  </si>
  <si>
    <t>pistol</t>
  </si>
  <si>
    <t># text = \"Look out!</t>
  </si>
  <si>
    <t>Look</t>
  </si>
  <si>
    <t># text = It's coming!\"</t>
  </si>
  <si>
    <t># text = There was a thin, crisp, continuous patter from somewhere in the heart of that crawling bank.</t>
  </si>
  <si>
    <t>continuous</t>
  </si>
  <si>
    <t>patter</t>
  </si>
  <si>
    <t>somewhere</t>
  </si>
  <si>
    <t>heart</t>
  </si>
  <si>
    <t># text = The cloud was within fifty yards of where we lay, and we glared at it, all three, uncertain what horror was about to break from the heart of it.</t>
  </si>
  <si>
    <t>cloud</t>
  </si>
  <si>
    <t>fifty</t>
  </si>
  <si>
    <t>glared</t>
  </si>
  <si>
    <t>three</t>
  </si>
  <si>
    <t>horror</t>
  </si>
  <si>
    <t>break</t>
  </si>
  <si>
    <t># text = I was at Holmes's elbow, and I glanced for an instant at his face.</t>
  </si>
  <si>
    <t>elbow</t>
  </si>
  <si>
    <t># text = It was pale and exultant, his eyes shining brightly in the moonlight.</t>
  </si>
  <si>
    <t>exultant</t>
  </si>
  <si>
    <t>eyes</t>
  </si>
  <si>
    <t>shining</t>
  </si>
  <si>
    <t>moonlight</t>
  </si>
  <si>
    <t># text = But suddenly they started forward in a rigid, fixed stare, and his lips parted in amazement.</t>
  </si>
  <si>
    <t>But</t>
  </si>
  <si>
    <t>rigid</t>
  </si>
  <si>
    <t>fixed</t>
  </si>
  <si>
    <t>stare</t>
  </si>
  <si>
    <t>lips</t>
  </si>
  <si>
    <t>parted</t>
  </si>
  <si>
    <t>amazement</t>
  </si>
  <si>
    <t># text = At the same instant Lestrade gave a yell of terror and threw himself face downward upon the ground.</t>
  </si>
  <si>
    <t>same</t>
  </si>
  <si>
    <t>gave</t>
  </si>
  <si>
    <t>yell</t>
  </si>
  <si>
    <t>terror</t>
  </si>
  <si>
    <t>threw</t>
  </si>
  <si>
    <t>himself</t>
  </si>
  <si>
    <t>downward</t>
  </si>
  <si>
    <t># text = I sprang to my feet, my inert hand grasping my pistol, my mind paralyzed by the dreadful shape which had sprung out upon us from the shadows of the fog.</t>
  </si>
  <si>
    <t>sprang</t>
  </si>
  <si>
    <t>inert</t>
  </si>
  <si>
    <t>grasping</t>
  </si>
  <si>
    <t>paralyzed</t>
  </si>
  <si>
    <t>dreadful</t>
  </si>
  <si>
    <t>shape</t>
  </si>
  <si>
    <t>sprung</t>
  </si>
  <si>
    <t>shadows</t>
  </si>
  <si>
    <t>other_8</t>
  </si>
  <si>
    <t># text = A hound it was, an enormous coal-black hound, but not such a hound as mortal eyes have ever seen.</t>
  </si>
  <si>
    <t>hound</t>
  </si>
  <si>
    <t>enormous</t>
  </si>
  <si>
    <t>coal</t>
  </si>
  <si>
    <t>black</t>
  </si>
  <si>
    <t>such</t>
  </si>
  <si>
    <t>mortal</t>
  </si>
  <si>
    <t>ever</t>
  </si>
  <si>
    <t># text = Fire burst from its open mouth, its eyes glowed with a smouldering glare, its muzzle and hackles and dewlap were outlined in flickering flame.</t>
  </si>
  <si>
    <t>Fire</t>
  </si>
  <si>
    <t>burst</t>
  </si>
  <si>
    <t>open</t>
  </si>
  <si>
    <t>mouth</t>
  </si>
  <si>
    <t>glowed</t>
  </si>
  <si>
    <t>smouldering</t>
  </si>
  <si>
    <t>glare</t>
  </si>
  <si>
    <t>muzzle</t>
  </si>
  <si>
    <t>hackles</t>
  </si>
  <si>
    <t>dewlap</t>
  </si>
  <si>
    <t>flickering</t>
  </si>
  <si>
    <t>flame</t>
  </si>
  <si>
    <t># text = Never in the delirious dream of a disordered brain could anything more savage, more appalling, more hellish be conceived than that dark form and savage face which broke upon us out of the wall of fog.</t>
  </si>
  <si>
    <t>Never</t>
  </si>
  <si>
    <t>delirious</t>
  </si>
  <si>
    <t>dream</t>
  </si>
  <si>
    <t>disordered</t>
  </si>
  <si>
    <t>brain</t>
  </si>
  <si>
    <t>anything</t>
  </si>
  <si>
    <t>savage</t>
  </si>
  <si>
    <t>appalling</t>
  </si>
  <si>
    <t>hellish</t>
  </si>
  <si>
    <t>conceived</t>
  </si>
  <si>
    <t>form</t>
  </si>
  <si>
    <t># text = With long bounds the huge black creature was leaping down the track, following hard upon the footsteps of our friend.</t>
  </si>
  <si>
    <t>With</t>
  </si>
  <si>
    <t>bounds</t>
  </si>
  <si>
    <t>creature</t>
  </si>
  <si>
    <t>leaping</t>
  </si>
  <si>
    <t>following</t>
  </si>
  <si>
    <t>footsteps</t>
  </si>
  <si>
    <t># text = So paralyzed were we by the apparition that we allowed him to pass before we had recovered our nerve.</t>
  </si>
  <si>
    <t>apparition</t>
  </si>
  <si>
    <t>allowed</t>
  </si>
  <si>
    <t>pass</t>
  </si>
  <si>
    <t>recovered</t>
  </si>
  <si>
    <t>nerve</t>
  </si>
  <si>
    <t># text = Then Holmes and I both fired together, and the creature gave a hideous howl, which showed that one at least had hit him.</t>
  </si>
  <si>
    <t>fired</t>
  </si>
  <si>
    <t>together</t>
  </si>
  <si>
    <t>hideous</t>
  </si>
  <si>
    <t>howl</t>
  </si>
  <si>
    <t>showed</t>
  </si>
  <si>
    <t>least</t>
  </si>
  <si>
    <t>hit</t>
  </si>
  <si>
    <t># text = He did not pause, however, but bounded onward.</t>
  </si>
  <si>
    <t>bounded</t>
  </si>
  <si>
    <t>NEW</t>
  </si>
  <si>
    <t>Sherlock Holmes</t>
  </si>
  <si>
    <t>OLD</t>
  </si>
  <si>
    <t>IN FOCUS</t>
  </si>
  <si>
    <t>Defect</t>
  </si>
  <si>
    <t>SH + W</t>
  </si>
  <si>
    <t>Type Identifiable</t>
  </si>
  <si>
    <t>Familiar</t>
  </si>
  <si>
    <t>Uniquely Identifiable</t>
  </si>
  <si>
    <t>GEN</t>
  </si>
  <si>
    <t>Activated</t>
  </si>
  <si>
    <t>Idiom</t>
  </si>
  <si>
    <t>might be mentioned later</t>
  </si>
  <si>
    <t>little detective</t>
  </si>
  <si>
    <t>hip-pocket</t>
  </si>
  <si>
    <t>Referential</t>
  </si>
  <si>
    <t>Merripit House</t>
  </si>
  <si>
    <t>SH + W + L</t>
  </si>
  <si>
    <t>Watson + Lestrade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</si>
</sst>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6">
    <xf numFmtId="0" fontId="0" fillId="0" borderId="0" xfId="0"/>
    <xf numFmtId="0" fontId="0" fillId="0" borderId="1" xfId="0" applyBorder="1"/>
    <xf numFmtId="0" fontId="0" fillId="2" borderId="2"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cellXfs>
  <cellStyles count="1">
    <cellStyle name="Standard"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26"/>
  <sheetViews>
    <sheetView tabSelected="1" zoomScaleNormal="100" workbookViewId="0">
      <pane xSplit="1" ySplit="1" topLeftCell="B596" activePane="bottomRight" state="frozen"/>
      <selection pane="topRight" activeCell="G1" sqref="G1"/>
      <selection pane="bottomLeft" activeCell="A2177" sqref="A2177"/>
      <selection pane="bottomRight" activeCell="G613" sqref="G613"/>
    </sheetView>
  </sheetViews>
  <sheetFormatPr baseColWidth="10" defaultColWidth="11.59765625" defaultRowHeight="12.75" x14ac:dyDescent="0.35"/>
  <cols>
    <col min="2" max="2" width="14.59765625" customWidth="1"/>
    <col min="3" max="3" width="18.265625" customWidth="1"/>
    <col min="4" max="4" width="23.6640625" customWidth="1"/>
    <col min="5" max="5" width="16.1328125" customWidth="1"/>
    <col min="7" max="7" width="14.73046875" customWidth="1"/>
    <col min="9" max="10" width="11.53125" hidden="1"/>
    <col min="11" max="11" width="18.86328125" hidden="1" customWidth="1"/>
    <col min="12" max="12" width="46.6640625" customWidth="1"/>
  </cols>
  <sheetData>
    <row r="1" spans="1:12" x14ac:dyDescent="0.35">
      <c r="A1" s="1" t="s">
        <v>0</v>
      </c>
      <c r="B1" s="1" t="s">
        <v>1</v>
      </c>
      <c r="C1" s="1" t="s">
        <v>2</v>
      </c>
      <c r="D1" s="1" t="s">
        <v>3</v>
      </c>
      <c r="E1" s="2" t="s">
        <v>4</v>
      </c>
      <c r="F1" s="3" t="s">
        <v>5</v>
      </c>
      <c r="G1" s="4" t="s">
        <v>6</v>
      </c>
      <c r="H1" s="5" t="s">
        <v>7</v>
      </c>
      <c r="I1" s="6" t="s">
        <v>8</v>
      </c>
      <c r="J1" s="7" t="s">
        <v>9</v>
      </c>
      <c r="K1" s="7" t="s">
        <v>10</v>
      </c>
      <c r="L1" s="8" t="s">
        <v>11</v>
      </c>
    </row>
    <row r="2" spans="1:12" x14ac:dyDescent="0.35">
      <c r="E2" s="9" t="str">
        <f>IF(D2="?OLD","!!!","")</f>
        <v/>
      </c>
      <c r="F2" s="10" t="str">
        <f>IF(OR(E2="",E2="!!!"),"",IF(NOT(ISNA(VLOOKUP(E2,E$1:E1,1,FALSE()))),"OLD",IF(AND(E2&lt;&gt;"",E2&lt;&gt;"!!!"),"NEW","")))</f>
        <v/>
      </c>
      <c r="G2" s="11" t="str">
        <f>IF(OR(E2="",E2="!!!"),"",IF(OR(J2=0,AND(J2=1,K2=1),AND(J2=1,I2="SBJ"),AND(J2=1,I2=0)),"?IN_FOCUS",IF(J2&lt;=2,"?ACTIVATED",IF(J2&lt;&gt;"","?FAMILIAR",IF(F2="NEW",IF(ISNA(VLOOKUP(E2,#REF!,1,FALSE())),"?TYPE_IDENTIFIABLE","?REFERENTIAL"),"_")))))</f>
        <v/>
      </c>
      <c r="H2" s="12" t="str">
        <f ca="1">IF(J2&lt;&gt;1,"",IF(I2="SBJ","CB","?"))</f>
        <v/>
      </c>
      <c r="I2" s="13" t="str">
        <f>IF(OR(E2="",E2="!!!",F2="NEW"),"",INDEX(B1:B$2,-1+SUMPRODUCT(MAX(ROW(E1:E$2)*(E2=E1:E$2)))))</f>
        <v/>
      </c>
      <c r="J2" s="14" t="str">
        <f ca="1">IF(OR(E2="",E2="!!!",F2="NEW"),"",COUNTBLANK(OFFSET(A$1,,,SUMPRODUCT(MAX(ROW(E$2:E2)*(E2=E$2:E2)))))-COUNTBLANK(OFFSET(A$1,,,SUMPRODUCT(MAX(ROW(E$1:E1)*(E2=E$1:E1))))))</f>
        <v/>
      </c>
      <c r="K2" s="14" t="str">
        <f>IF(OR(E2="",E2="!!!",F2="NEW"),"",INDEX(J$1:J1,SUMPRODUCT(MAX(ROW(E$1:E1)*(E2=E$1:E1)))))</f>
        <v/>
      </c>
      <c r="L2" s="15"/>
    </row>
    <row r="3" spans="1:12" x14ac:dyDescent="0.35">
      <c r="E3" s="9" t="str">
        <f>IF(D3="?OLD","!!!","")</f>
        <v/>
      </c>
      <c r="F3" s="10" t="str">
        <f>IF(OR(E3="",E3="!!!"),"",IF(NOT(ISNA(VLOOKUP(E3,E$1:E2,1,FALSE()))),"OLD",IF(AND(E3&lt;&gt;"",E3&lt;&gt;"!!!"),"NEW","")))</f>
        <v/>
      </c>
      <c r="G3" s="11" t="str">
        <f>IF(OR(E3="",E3="!!!"),"",IF(OR(J3=0,AND(J3=1,K3=1),AND(J3=1,I3="SBJ"),AND(J3=1,I3=0)),"?IN_FOCUS",IF(J3&lt;=2,"?ACTIVATED",IF(J3&lt;&gt;"","?FAMILIAR",IF(F3="NEW",IF(ISNA(VLOOKUP(E3,#REF!,1,FALSE())),"?TYPE_IDENTIFIABLE","?REFERENTIAL"),"_")))))</f>
        <v/>
      </c>
      <c r="H3" s="12" t="str">
        <f ca="1">IF(J3&lt;&gt;1,"",IF(I3="SBJ","CB","?"))</f>
        <v/>
      </c>
      <c r="I3" s="13" t="str">
        <f>IF(OR(E3="",E3="!!!",F3="NEW"),"",INDEX(B$2:B2,-1+SUMPRODUCT(MAX(ROW(E$2:E2)*(E3=E$2:E2)))))</f>
        <v/>
      </c>
      <c r="J3" s="14" t="str">
        <f ca="1">IF(OR(E3="",E3="!!!",F3="NEW"),"",COUNTBLANK(OFFSET(A$1,,,SUMPRODUCT(MAX(ROW(E$2:E3)*(E3=E$2:E3)))))-COUNTBLANK(OFFSET(A$1,,,SUMPRODUCT(MAX(ROW(E$1:E2)*(E3=E$1:E2))))))</f>
        <v/>
      </c>
      <c r="K3" s="14" t="str">
        <f>IF(OR(E3="",E3="!!!",F3="NEW"),"",INDEX(J$1:J2,SUMPRODUCT(MAX(ROW(E$1:E2)*(E3=E$1:E2)))))</f>
        <v/>
      </c>
      <c r="L3" s="15"/>
    </row>
    <row r="4" spans="1:12" x14ac:dyDescent="0.35">
      <c r="A4" t="s">
        <v>12</v>
      </c>
      <c r="E4" s="9" t="str">
        <f t="shared" ref="E4:E67" si="0">IF(D4="?OLD","!!!","")</f>
        <v/>
      </c>
      <c r="F4" s="10" t="str">
        <f>IF(OR(E4="",E4="!!!"),"",IF(NOT(ISNA(VLOOKUP(E4,E$1:E3,1,FALSE()))),"OLD",IF(AND(E4&lt;&gt;"",E4&lt;&gt;"!!!"),"NEW","")))</f>
        <v/>
      </c>
      <c r="G4" s="11" t="str">
        <f>IF(OR(E4="",E4="!!!"),"",IF(OR(J4=0,AND(J4=1,K4=1),AND(J4=1,I4="SBJ"),AND(J4=1,I4=0)),"?IN_FOCUS",IF(J4&lt;=2,"?ACTIVATED",IF(J4&lt;&gt;"","?FAMILIAR",IF(F4="NEW",IF(ISNA(VLOOKUP(E4,#REF!,1,FALSE())),"?TYPE_IDENTIFIABLE","?REFERENTIAL"),"_")))))</f>
        <v/>
      </c>
      <c r="H4" s="12" t="str">
        <f t="shared" ref="H4:H67" si="1">IF(J4&lt;&gt;1,"",IF(I4="SBJ","CB","?"))</f>
        <v/>
      </c>
      <c r="L4" s="15"/>
    </row>
    <row r="5" spans="1:12" x14ac:dyDescent="0.35">
      <c r="A5" t="s">
        <v>13</v>
      </c>
      <c r="B5" t="s">
        <v>14</v>
      </c>
      <c r="C5" t="s">
        <v>15</v>
      </c>
      <c r="D5" t="s">
        <v>867</v>
      </c>
      <c r="E5" s="9" t="s">
        <v>871</v>
      </c>
      <c r="F5" s="10" t="str">
        <f>IF(OR(E5="",E5="!!!"),"",IF(NOT(ISNA(VLOOKUP(E5,E$1:E4,1,FALSE()))),"OLD",IF(AND(E5&lt;&gt;"",E5&lt;&gt;"!!!"),"NEW","")))</f>
        <v>NEW</v>
      </c>
      <c r="G5" s="11" t="s">
        <v>873</v>
      </c>
      <c r="H5" s="12" t="str">
        <f t="shared" si="1"/>
        <v/>
      </c>
      <c r="L5" s="15"/>
    </row>
    <row r="6" spans="1:12" x14ac:dyDescent="0.35">
      <c r="A6" t="s">
        <v>17</v>
      </c>
      <c r="E6" s="9" t="str">
        <f t="shared" si="0"/>
        <v/>
      </c>
      <c r="F6" s="10" t="str">
        <f>IF(OR(E6="",E6="!!!"),"",IF(NOT(ISNA(VLOOKUP(E6,E$1:E5,1,FALSE()))),"OLD",IF(AND(E6&lt;&gt;"",E6&lt;&gt;"!!!"),"NEW","")))</f>
        <v/>
      </c>
      <c r="G6" s="11" t="str">
        <f>IF(OR(E6="",E6="!!!"),"",IF(OR(J6=0,AND(J6=1,K6=1),AND(J6=1,I6="SBJ"),AND(J6=1,I6=0)),"?IN_FOCUS",IF(J6&lt;=2,"?ACTIVATED",IF(J6&lt;&gt;"","?FAMILIAR",IF(F6="NEW",IF(ISNA(VLOOKUP(E6,#REF!,1,FALSE())),"?TYPE_IDENTIFIABLE","?REFERENTIAL"),"_")))))</f>
        <v/>
      </c>
      <c r="H6" s="12" t="str">
        <f t="shared" si="1"/>
        <v/>
      </c>
      <c r="L6" s="15"/>
    </row>
    <row r="7" spans="1:12" x14ac:dyDescent="0.35">
      <c r="A7" t="s">
        <v>18</v>
      </c>
      <c r="E7" s="9" t="str">
        <f t="shared" si="0"/>
        <v/>
      </c>
      <c r="F7" s="10" t="str">
        <f>IF(OR(E7="",E7="!!!"),"",IF(NOT(ISNA(VLOOKUP(E7,E$1:E6,1,FALSE()))),"OLD",IF(AND(E7&lt;&gt;"",E7&lt;&gt;"!!!"),"NEW","")))</f>
        <v/>
      </c>
      <c r="G7" s="11" t="str">
        <f>IF(OR(E7="",E7="!!!"),"",IF(OR(J7=0,AND(J7=1,K7=1),AND(J7=1,I7="SBJ"),AND(J7=1,I7=0)),"?IN_FOCUS",IF(J7&lt;=2,"?ACTIVATED",IF(J7&lt;&gt;"","?FAMILIAR",IF(F7="NEW",IF(ISNA(VLOOKUP(E7,#REF!,1,FALSE())),"?TYPE_IDENTIFIABLE","?REFERENTIAL"),"_")))))</f>
        <v/>
      </c>
      <c r="H7" s="12" t="str">
        <f t="shared" si="1"/>
        <v/>
      </c>
      <c r="L7" s="15"/>
    </row>
    <row r="8" spans="1:12" x14ac:dyDescent="0.35">
      <c r="A8" t="s">
        <v>19</v>
      </c>
      <c r="B8" t="s">
        <v>20</v>
      </c>
      <c r="C8" t="s">
        <v>21</v>
      </c>
      <c r="D8" t="s">
        <v>867</v>
      </c>
      <c r="E8" s="9" t="s">
        <v>868</v>
      </c>
      <c r="F8" s="10" t="str">
        <f>IF(OR(E8="",E8="!!!"),"",IF(NOT(ISNA(VLOOKUP(E8,E$1:E7,1,FALSE()))),"OLD",IF(AND(E8&lt;&gt;"",E8&lt;&gt;"!!!"),"NEW","")))</f>
        <v>NEW</v>
      </c>
      <c r="G8" s="11" t="s">
        <v>874</v>
      </c>
      <c r="H8" s="12" t="str">
        <f t="shared" si="1"/>
        <v/>
      </c>
      <c r="L8" s="15"/>
    </row>
    <row r="9" spans="1:12" x14ac:dyDescent="0.35">
      <c r="A9" t="s">
        <v>22</v>
      </c>
      <c r="E9" s="9" t="str">
        <f t="shared" si="0"/>
        <v/>
      </c>
      <c r="F9" s="10" t="str">
        <f>IF(OR(E9="",E9="!!!"),"",IF(NOT(ISNA(VLOOKUP(E9,E$1:E8,1,FALSE()))),"OLD",IF(AND(E9&lt;&gt;"",E9&lt;&gt;"!!!"),"NEW","")))</f>
        <v/>
      </c>
      <c r="G9" s="11" t="str">
        <f>IF(OR(E9="",E9="!!!"),"",IF(OR(J9=0,AND(J9=1,K9=1),AND(J9=1,I9="SBJ"),AND(J9=1,I9=0)),"?IN_FOCUS",IF(J9&lt;=2,"?ACTIVATED",IF(J9&lt;&gt;"","?FAMILIAR",IF(F9="NEW",IF(ISNA(VLOOKUP(E9,#REF!,1,FALSE())),"?TYPE_IDENTIFIABLE","?REFERENTIAL"),"_")))))</f>
        <v/>
      </c>
      <c r="H9" s="12" t="str">
        <f t="shared" si="1"/>
        <v/>
      </c>
      <c r="L9" s="15"/>
    </row>
    <row r="10" spans="1:12" x14ac:dyDescent="0.35">
      <c r="A10" t="s">
        <v>23</v>
      </c>
      <c r="B10" t="s">
        <v>24</v>
      </c>
      <c r="C10" t="s">
        <v>15</v>
      </c>
      <c r="D10" t="s">
        <v>16</v>
      </c>
      <c r="E10" s="9"/>
      <c r="F10" s="10" t="str">
        <f>IF(OR(E10="",E10="!!!"),"",IF(NOT(ISNA(VLOOKUP(E10,E$1:E9,1,FALSE()))),"OLD",IF(AND(E10&lt;&gt;"",E10&lt;&gt;"!!!"),"NEW","")))</f>
        <v/>
      </c>
      <c r="G10" s="11" t="str">
        <f>IF(OR(E10="",E10="!!!"),"",IF(OR(J10=0,AND(J10=1,K10=1),AND(J10=1,I10="SBJ"),AND(J10=1,I10=0)),"?IN_FOCUS",IF(J10&lt;=2,"?ACTIVATED",IF(J10&lt;&gt;"","?FAMILIAR",IF(F10="NEW",IF(ISNA(VLOOKUP(E10,#REF!,1,FALSE())),"?TYPE_IDENTIFIABLE","?REFERENTIAL"),"_")))))</f>
        <v/>
      </c>
      <c r="H10" s="12" t="str">
        <f t="shared" si="1"/>
        <v/>
      </c>
      <c r="L10" s="15"/>
    </row>
    <row r="11" spans="1:12" x14ac:dyDescent="0.35">
      <c r="A11" t="s">
        <v>25</v>
      </c>
      <c r="E11" s="9" t="str">
        <f t="shared" si="0"/>
        <v/>
      </c>
      <c r="F11" s="10" t="str">
        <f>IF(OR(E11="",E11="!!!"),"",IF(NOT(ISNA(VLOOKUP(E11,E$1:E10,1,FALSE()))),"OLD",IF(AND(E11&lt;&gt;"",E11&lt;&gt;"!!!"),"NEW","")))</f>
        <v/>
      </c>
      <c r="G11" s="11" t="str">
        <f>IF(OR(E11="",E11="!!!"),"",IF(OR(J11=0,AND(J11=1,K11=1),AND(J11=1,I11="SBJ"),AND(J11=1,I11=0)),"?IN_FOCUS",IF(J11&lt;=2,"?ACTIVATED",IF(J11&lt;&gt;"","?FAMILIAR",IF(F11="NEW",IF(ISNA(VLOOKUP(E11,#REF!,1,FALSE())),"?TYPE_IDENTIFIABLE","?REFERENTIAL"),"_")))))</f>
        <v/>
      </c>
      <c r="H11" s="12" t="str">
        <f t="shared" si="1"/>
        <v/>
      </c>
      <c r="L11" s="15"/>
    </row>
    <row r="12" spans="1:12" x14ac:dyDescent="0.35">
      <c r="A12" t="s">
        <v>26</v>
      </c>
      <c r="E12" s="9" t="str">
        <f t="shared" si="0"/>
        <v/>
      </c>
      <c r="F12" s="10" t="str">
        <f>IF(OR(E12="",E12="!!!"),"",IF(NOT(ISNA(VLOOKUP(E12,E$1:E11,1,FALSE()))),"OLD",IF(AND(E12&lt;&gt;"",E12&lt;&gt;"!!!"),"NEW","")))</f>
        <v/>
      </c>
      <c r="G12" s="11" t="str">
        <f>IF(OR(E12="",E12="!!!"),"",IF(OR(J12=0,AND(J12=1,K12=1),AND(J12=1,I12="SBJ"),AND(J12=1,I12=0)),"?IN_FOCUS",IF(J12&lt;=2,"?ACTIVATED",IF(J12&lt;&gt;"","?FAMILIAR",IF(F12="NEW",IF(ISNA(VLOOKUP(E12,#REF!,1,FALSE())),"?TYPE_IDENTIFIABLE","?REFERENTIAL"),"_")))))</f>
        <v/>
      </c>
      <c r="H12" s="12" t="str">
        <f t="shared" si="1"/>
        <v/>
      </c>
      <c r="L12" s="15"/>
    </row>
    <row r="13" spans="1:12" x14ac:dyDescent="0.35">
      <c r="A13" t="s">
        <v>27</v>
      </c>
      <c r="E13" s="9" t="str">
        <f t="shared" si="0"/>
        <v/>
      </c>
      <c r="F13" s="10" t="str">
        <f>IF(OR(E13="",E13="!!!"),"",IF(NOT(ISNA(VLOOKUP(E13,E$1:E12,1,FALSE()))),"OLD",IF(AND(E13&lt;&gt;"",E13&lt;&gt;"!!!"),"NEW","")))</f>
        <v/>
      </c>
      <c r="G13" s="11" t="str">
        <f>IF(OR(E13="",E13="!!!"),"",IF(OR(J13=0,AND(J13=1,K13=1),AND(J13=1,I13="SBJ"),AND(J13=1,I13=0)),"?IN_FOCUS",IF(J13&lt;=2,"?ACTIVATED",IF(J13&lt;&gt;"","?FAMILIAR",IF(F13="NEW",IF(ISNA(VLOOKUP(E13,#REF!,1,FALSE())),"?TYPE_IDENTIFIABLE","?REFERENTIAL"),"_")))))</f>
        <v/>
      </c>
      <c r="H13" s="12" t="str">
        <f t="shared" si="1"/>
        <v/>
      </c>
      <c r="L13" s="15"/>
    </row>
    <row r="14" spans="1:12" x14ac:dyDescent="0.35">
      <c r="A14" t="s">
        <v>26</v>
      </c>
      <c r="E14" s="9" t="str">
        <f t="shared" si="0"/>
        <v/>
      </c>
      <c r="F14" s="10" t="str">
        <f>IF(OR(E14="",E14="!!!"),"",IF(NOT(ISNA(VLOOKUP(E14,E$1:E13,1,FALSE()))),"OLD",IF(AND(E14&lt;&gt;"",E14&lt;&gt;"!!!"),"NEW","")))</f>
        <v/>
      </c>
      <c r="G14" s="11" t="str">
        <f>IF(OR(E14="",E14="!!!"),"",IF(OR(J14=0,AND(J14=1,K14=1),AND(J14=1,I14="SBJ"),AND(J14=1,I14=0)),"?IN_FOCUS",IF(J14&lt;=2,"?ACTIVATED",IF(J14&lt;&gt;"","?FAMILIAR",IF(F14="NEW",IF(ISNA(VLOOKUP(E14,#REF!,1,FALSE())),"?TYPE_IDENTIFIABLE","?REFERENTIAL"),"_")))))</f>
        <v/>
      </c>
      <c r="H14" s="12" t="str">
        <f t="shared" si="1"/>
        <v/>
      </c>
      <c r="L14" s="15"/>
    </row>
    <row r="15" spans="1:12" x14ac:dyDescent="0.35">
      <c r="A15" t="s">
        <v>28</v>
      </c>
      <c r="B15" t="s">
        <v>14</v>
      </c>
      <c r="E15" s="9" t="str">
        <f t="shared" si="0"/>
        <v/>
      </c>
      <c r="F15" s="10" t="str">
        <f>IF(OR(E15="",E15="!!!"),"",IF(NOT(ISNA(VLOOKUP(E15,E$1:E14,1,FALSE()))),"OLD",IF(AND(E15&lt;&gt;"",E15&lt;&gt;"!!!"),"NEW","")))</f>
        <v/>
      </c>
      <c r="G15" s="11" t="str">
        <f>IF(OR(E15="",E15="!!!"),"",IF(OR(J15=0,AND(J15=1,K15=1),AND(J15=1,I15="SBJ"),AND(J15=1,I15=0)),"?IN_FOCUS",IF(J15&lt;=2,"?ACTIVATED",IF(J15&lt;&gt;"","?FAMILIAR",IF(F15="NEW",IF(ISNA(VLOOKUP(E15,#REF!,1,FALSE())),"?TYPE_IDENTIFIABLE","?REFERENTIAL"),"_")))))</f>
        <v/>
      </c>
      <c r="H15" s="12" t="str">
        <f t="shared" si="1"/>
        <v/>
      </c>
      <c r="L15" s="15"/>
    </row>
    <row r="16" spans="1:12" x14ac:dyDescent="0.35">
      <c r="A16" t="s">
        <v>29</v>
      </c>
      <c r="E16" s="9" t="str">
        <f t="shared" si="0"/>
        <v/>
      </c>
      <c r="F16" s="10" t="str">
        <f>IF(OR(E16="",E16="!!!"),"",IF(NOT(ISNA(VLOOKUP(E16,E$1:E15,1,FALSE()))),"OLD",IF(AND(E16&lt;&gt;"",E16&lt;&gt;"!!!"),"NEW","")))</f>
        <v/>
      </c>
      <c r="G16" s="11" t="str">
        <f>IF(OR(E16="",E16="!!!"),"",IF(OR(J16=0,AND(J16=1,K16=1),AND(J16=1,I16="SBJ"),AND(J16=1,I16=0)),"?IN_FOCUS",IF(J16&lt;=2,"?ACTIVATED",IF(J16&lt;&gt;"","?FAMILIAR",IF(F16="NEW",IF(ISNA(VLOOKUP(E16,#REF!,1,FALSE())),"?TYPE_IDENTIFIABLE","?REFERENTIAL"),"_")))))</f>
        <v/>
      </c>
      <c r="H16" s="12" t="str">
        <f t="shared" si="1"/>
        <v/>
      </c>
      <c r="L16" s="15"/>
    </row>
    <row r="17" spans="1:12" x14ac:dyDescent="0.35">
      <c r="A17" t="s">
        <v>30</v>
      </c>
      <c r="E17" s="9" t="str">
        <f t="shared" si="0"/>
        <v/>
      </c>
      <c r="F17" s="10" t="str">
        <f>IF(OR(E17="",E17="!!!"),"",IF(NOT(ISNA(VLOOKUP(E17,E$1:E16,1,FALSE()))),"OLD",IF(AND(E17&lt;&gt;"",E17&lt;&gt;"!!!"),"NEW","")))</f>
        <v/>
      </c>
      <c r="G17" s="11" t="str">
        <f>IF(OR(E17="",E17="!!!"),"",IF(OR(J17=0,AND(J17=1,K17=1),AND(J17=1,I17="SBJ"),AND(J17=1,I17=0)),"?IN_FOCUS",IF(J17&lt;=2,"?ACTIVATED",IF(J17&lt;&gt;"","?FAMILIAR",IF(F17="NEW",IF(ISNA(VLOOKUP(E17,#REF!,1,FALSE())),"?TYPE_IDENTIFIABLE","?REFERENTIAL"),"_")))))</f>
        <v/>
      </c>
      <c r="H17" s="12" t="str">
        <f t="shared" si="1"/>
        <v/>
      </c>
      <c r="L17" s="15"/>
    </row>
    <row r="18" spans="1:12" x14ac:dyDescent="0.35">
      <c r="A18" t="s">
        <v>31</v>
      </c>
      <c r="B18" t="s">
        <v>32</v>
      </c>
      <c r="C18" t="s">
        <v>33</v>
      </c>
      <c r="D18" t="s">
        <v>16</v>
      </c>
      <c r="E18" s="9" t="s">
        <v>871</v>
      </c>
      <c r="F18" s="10" t="str">
        <f>IF(OR(E18="",E18="!!!"),"",IF(NOT(ISNA(VLOOKUP(E18,E$1:E17,1,FALSE()))),"OLD",IF(AND(E18&lt;&gt;"",E18&lt;&gt;"!!!"),"NEW","")))</f>
        <v>OLD</v>
      </c>
      <c r="G18" s="11" t="s">
        <v>870</v>
      </c>
      <c r="H18" s="12" t="str">
        <f t="shared" si="1"/>
        <v/>
      </c>
      <c r="L18" s="15"/>
    </row>
    <row r="19" spans="1:12" x14ac:dyDescent="0.35">
      <c r="A19" t="s">
        <v>34</v>
      </c>
      <c r="E19" s="9" t="str">
        <f t="shared" si="0"/>
        <v/>
      </c>
      <c r="F19" s="10" t="str">
        <f>IF(OR(E19="",E19="!!!"),"",IF(NOT(ISNA(VLOOKUP(E19,E$1:E18,1,FALSE()))),"OLD",IF(AND(E19&lt;&gt;"",E19&lt;&gt;"!!!"),"NEW","")))</f>
        <v/>
      </c>
      <c r="G19" s="11" t="str">
        <f>IF(OR(E19="",E19="!!!"),"",IF(OR(J19=0,AND(J19=1,K19=1),AND(J19=1,I19="SBJ"),AND(J19=1,I19=0)),"?IN_FOCUS",IF(J19&lt;=2,"?ACTIVATED",IF(J19&lt;&gt;"","?FAMILIAR",IF(F19="NEW",IF(ISNA(VLOOKUP(E19,#REF!,1,FALSE())),"?TYPE_IDENTIFIABLE","?REFERENTIAL"),"_")))))</f>
        <v/>
      </c>
      <c r="H19" s="12" t="str">
        <f t="shared" si="1"/>
        <v/>
      </c>
      <c r="L19" s="15"/>
    </row>
    <row r="20" spans="1:12" x14ac:dyDescent="0.35">
      <c r="A20" t="s">
        <v>35</v>
      </c>
      <c r="B20" t="s">
        <v>36</v>
      </c>
      <c r="C20" t="s">
        <v>37</v>
      </c>
      <c r="E20" s="9" t="str">
        <f t="shared" si="0"/>
        <v/>
      </c>
      <c r="F20" s="10" t="str">
        <f>IF(OR(E20="",E20="!!!"),"",IF(NOT(ISNA(VLOOKUP(E20,E$1:E19,1,FALSE()))),"OLD",IF(AND(E20&lt;&gt;"",E20&lt;&gt;"!!!"),"NEW","")))</f>
        <v/>
      </c>
      <c r="G20" s="11" t="str">
        <f>IF(OR(E20="",E20="!!!"),"",IF(OR(J20=0,AND(J20=1,K20=1),AND(J20=1,I20="SBJ"),AND(J20=1,I20=0)),"?IN_FOCUS",IF(J20&lt;=2,"?ACTIVATED",IF(J20&lt;&gt;"","?FAMILIAR",IF(F20="NEW",IF(ISNA(VLOOKUP(E20,#REF!,1,FALSE())),"?TYPE_IDENTIFIABLE","?REFERENTIAL"),"_")))))</f>
        <v/>
      </c>
      <c r="H20" s="12" t="str">
        <f t="shared" si="1"/>
        <v/>
      </c>
      <c r="L20" s="15"/>
    </row>
    <row r="21" spans="1:12" x14ac:dyDescent="0.35">
      <c r="A21" t="s">
        <v>38</v>
      </c>
      <c r="E21" s="9" t="str">
        <f t="shared" si="0"/>
        <v/>
      </c>
      <c r="F21" s="10" t="str">
        <f>IF(OR(E21="",E21="!!!"),"",IF(NOT(ISNA(VLOOKUP(E21,E$1:E20,1,FALSE()))),"OLD",IF(AND(E21&lt;&gt;"",E21&lt;&gt;"!!!"),"NEW","")))</f>
        <v/>
      </c>
      <c r="G21" s="11" t="str">
        <f>IF(OR(E21="",E21="!!!"),"",IF(OR(J21=0,AND(J21=1,K21=1),AND(J21=1,I21="SBJ"),AND(J21=1,I21=0)),"?IN_FOCUS",IF(J21&lt;=2,"?ACTIVATED",IF(J21&lt;&gt;"","?FAMILIAR",IF(F21="NEW",IF(ISNA(VLOOKUP(E21,#REF!,1,FALSE())),"?TYPE_IDENTIFIABLE","?REFERENTIAL"),"_")))))</f>
        <v/>
      </c>
      <c r="H21" s="12" t="str">
        <f t="shared" si="1"/>
        <v/>
      </c>
      <c r="L21" s="15"/>
    </row>
    <row r="22" spans="1:12" x14ac:dyDescent="0.35">
      <c r="A22" t="s">
        <v>39</v>
      </c>
      <c r="E22" s="9" t="str">
        <f t="shared" si="0"/>
        <v/>
      </c>
      <c r="F22" s="10" t="str">
        <f>IF(OR(E22="",E22="!!!"),"",IF(NOT(ISNA(VLOOKUP(E22,E$1:E21,1,FALSE()))),"OLD",IF(AND(E22&lt;&gt;"",E22&lt;&gt;"!!!"),"NEW","")))</f>
        <v/>
      </c>
      <c r="G22" s="11" t="str">
        <f>IF(OR(E22="",E22="!!!"),"",IF(OR(J22=0,AND(J22=1,K22=1),AND(J22=1,I22="SBJ"),AND(J22=1,I22=0)),"?IN_FOCUS",IF(J22&lt;=2,"?ACTIVATED",IF(J22&lt;&gt;"","?FAMILIAR",IF(F22="NEW",IF(ISNA(VLOOKUP(E22,#REF!,1,FALSE())),"?TYPE_IDENTIFIABLE","?REFERENTIAL"),"_")))))</f>
        <v/>
      </c>
      <c r="H22" s="12" t="str">
        <f t="shared" si="1"/>
        <v/>
      </c>
      <c r="L22" s="15"/>
    </row>
    <row r="23" spans="1:12" x14ac:dyDescent="0.35">
      <c r="A23" t="s">
        <v>40</v>
      </c>
      <c r="B23" t="s">
        <v>41</v>
      </c>
      <c r="C23" t="s">
        <v>33</v>
      </c>
      <c r="D23" t="s">
        <v>867</v>
      </c>
      <c r="E23" s="9" t="s">
        <v>868</v>
      </c>
      <c r="F23" s="10" t="str">
        <f>IF(OR(E23="",E23="!!!"),"",IF(NOT(ISNA(VLOOKUP(E23,E$1:E22,1,FALSE()))),"OLD",IF(AND(E23&lt;&gt;"",E23&lt;&gt;"!!!"),"NEW","")))</f>
        <v>OLD</v>
      </c>
      <c r="G23" s="11" t="s">
        <v>870</v>
      </c>
      <c r="H23" s="12" t="str">
        <f t="shared" si="1"/>
        <v/>
      </c>
      <c r="L23" s="15"/>
    </row>
    <row r="24" spans="1:12" x14ac:dyDescent="0.35">
      <c r="A24" t="s">
        <v>42</v>
      </c>
      <c r="E24" s="9" t="str">
        <f t="shared" si="0"/>
        <v/>
      </c>
      <c r="F24" s="10" t="str">
        <f>IF(OR(E24="",E24="!!!"),"",IF(NOT(ISNA(VLOOKUP(E24,E$1:E23,1,FALSE()))),"OLD",IF(AND(E24&lt;&gt;"",E24&lt;&gt;"!!!"),"NEW","")))</f>
        <v/>
      </c>
      <c r="G24" s="11" t="str">
        <f>IF(OR(E24="",E24="!!!"),"",IF(OR(J24=0,AND(J24=1,K24=1),AND(J24=1,I24="SBJ"),AND(J24=1,I24=0)),"?IN_FOCUS",IF(J24&lt;=2,"?ACTIVATED",IF(J24&lt;&gt;"","?FAMILIAR",IF(F24="NEW",IF(ISNA(VLOOKUP(E24,#REF!,1,FALSE())),"?TYPE_IDENTIFIABLE","?REFERENTIAL"),"_")))))</f>
        <v/>
      </c>
      <c r="H24" s="12" t="str">
        <f t="shared" si="1"/>
        <v/>
      </c>
      <c r="L24" s="15"/>
    </row>
    <row r="25" spans="1:12" x14ac:dyDescent="0.35">
      <c r="A25" t="s">
        <v>43</v>
      </c>
      <c r="E25" s="9" t="str">
        <f t="shared" si="0"/>
        <v/>
      </c>
      <c r="F25" s="10" t="str">
        <f>IF(OR(E25="",E25="!!!"),"",IF(NOT(ISNA(VLOOKUP(E25,E$1:E24,1,FALSE()))),"OLD",IF(AND(E25&lt;&gt;"",E25&lt;&gt;"!!!"),"NEW","")))</f>
        <v/>
      </c>
      <c r="G25" s="11" t="str">
        <f>IF(OR(E25="",E25="!!!"),"",IF(OR(J25=0,AND(J25=1,K25=1),AND(J25=1,I25="SBJ"),AND(J25=1,I25=0)),"?IN_FOCUS",IF(J25&lt;=2,"?ACTIVATED",IF(J25&lt;&gt;"","?FAMILIAR",IF(F25="NEW",IF(ISNA(VLOOKUP(E25,#REF!,1,FALSE())),"?TYPE_IDENTIFIABLE","?REFERENTIAL"),"_")))))</f>
        <v/>
      </c>
      <c r="H25" s="12" t="str">
        <f t="shared" si="1"/>
        <v/>
      </c>
      <c r="L25" s="15"/>
    </row>
    <row r="26" spans="1:12" x14ac:dyDescent="0.35">
      <c r="A26" t="s">
        <v>44</v>
      </c>
      <c r="E26" s="9" t="str">
        <f t="shared" si="0"/>
        <v/>
      </c>
      <c r="F26" s="10" t="str">
        <f>IF(OR(E26="",E26="!!!"),"",IF(NOT(ISNA(VLOOKUP(E26,E$1:E25,1,FALSE()))),"OLD",IF(AND(E26&lt;&gt;"",E26&lt;&gt;"!!!"),"NEW","")))</f>
        <v/>
      </c>
      <c r="G26" s="11" t="str">
        <f>IF(OR(E26="",E26="!!!"),"",IF(OR(J26=0,AND(J26=1,K26=1),AND(J26=1,I26="SBJ"),AND(J26=1,I26=0)),"?IN_FOCUS",IF(J26&lt;=2,"?ACTIVATED",IF(J26&lt;&gt;"","?FAMILIAR",IF(F26="NEW",IF(ISNA(VLOOKUP(E26,#REF!,1,FALSE())),"?TYPE_IDENTIFIABLE","?REFERENTIAL"),"_")))))</f>
        <v/>
      </c>
      <c r="H26" s="12" t="str">
        <f t="shared" si="1"/>
        <v/>
      </c>
      <c r="L26" s="15"/>
    </row>
    <row r="27" spans="1:12" x14ac:dyDescent="0.35">
      <c r="A27" t="s">
        <v>45</v>
      </c>
      <c r="E27" s="9" t="str">
        <f t="shared" si="0"/>
        <v/>
      </c>
      <c r="F27" s="10" t="str">
        <f>IF(OR(E27="",E27="!!!"),"",IF(NOT(ISNA(VLOOKUP(E27,E$1:E26,1,FALSE()))),"OLD",IF(AND(E27&lt;&gt;"",E27&lt;&gt;"!!!"),"NEW","")))</f>
        <v/>
      </c>
      <c r="G27" s="11" t="str">
        <f>IF(OR(E27="",E27="!!!"),"",IF(OR(J27=0,AND(J27=1,K27=1),AND(J27=1,I27="SBJ"),AND(J27=1,I27=0)),"?IN_FOCUS",IF(J27&lt;=2,"?ACTIVATED",IF(J27&lt;&gt;"","?FAMILIAR",IF(F27="NEW",IF(ISNA(VLOOKUP(E27,#REF!,1,FALSE())),"?TYPE_IDENTIFIABLE","?REFERENTIAL"),"_")))))</f>
        <v/>
      </c>
      <c r="H27" s="12" t="str">
        <f t="shared" si="1"/>
        <v/>
      </c>
      <c r="L27" s="15"/>
    </row>
    <row r="28" spans="1:12" x14ac:dyDescent="0.35">
      <c r="A28" t="s">
        <v>46</v>
      </c>
      <c r="E28" s="9" t="str">
        <f t="shared" si="0"/>
        <v/>
      </c>
      <c r="F28" s="10" t="str">
        <f>IF(OR(E28="",E28="!!!"),"",IF(NOT(ISNA(VLOOKUP(E28,E$1:E27,1,FALSE()))),"OLD",IF(AND(E28&lt;&gt;"",E28&lt;&gt;"!!!"),"NEW","")))</f>
        <v/>
      </c>
      <c r="G28" s="11" t="str">
        <f>IF(OR(E28="",E28="!!!"),"",IF(OR(J28=0,AND(J28=1,K28=1),AND(J28=1,I28="SBJ"),AND(J28=1,I28=0)),"?IN_FOCUS",IF(J28&lt;=2,"?ACTIVATED",IF(J28&lt;&gt;"","?FAMILIAR",IF(F28="NEW",IF(ISNA(VLOOKUP(E28,#REF!,1,FALSE())),"?TYPE_IDENTIFIABLE","?REFERENTIAL"),"_")))))</f>
        <v/>
      </c>
      <c r="H28" s="12" t="str">
        <f t="shared" si="1"/>
        <v/>
      </c>
      <c r="L28" s="15"/>
    </row>
    <row r="29" spans="1:12" x14ac:dyDescent="0.35">
      <c r="A29" t="s">
        <v>47</v>
      </c>
      <c r="B29" t="s">
        <v>48</v>
      </c>
      <c r="C29" t="s">
        <v>49</v>
      </c>
      <c r="D29" t="s">
        <v>869</v>
      </c>
      <c r="E29" s="9" t="s">
        <v>868</v>
      </c>
      <c r="F29" s="10" t="str">
        <f>IF(OR(E29="",E29="!!!"),"",IF(NOT(ISNA(VLOOKUP(E29,E$1:E28,1,FALSE()))),"OLD",IF(AND(E29&lt;&gt;"",E29&lt;&gt;"!!!"),"NEW","")))</f>
        <v>OLD</v>
      </c>
      <c r="G29" s="11" t="s">
        <v>870</v>
      </c>
      <c r="H29" s="12" t="str">
        <f t="shared" si="1"/>
        <v/>
      </c>
      <c r="L29" s="15"/>
    </row>
    <row r="30" spans="1:12" x14ac:dyDescent="0.35">
      <c r="A30" t="s">
        <v>50</v>
      </c>
      <c r="E30" s="9" t="str">
        <f t="shared" si="0"/>
        <v/>
      </c>
      <c r="F30" s="10" t="str">
        <f>IF(OR(E30="",E30="!!!"),"",IF(NOT(ISNA(VLOOKUP(E30,E$1:E29,1,FALSE()))),"OLD",IF(AND(E30&lt;&gt;"",E30&lt;&gt;"!!!"),"NEW","")))</f>
        <v/>
      </c>
      <c r="G30" s="11" t="str">
        <f>IF(OR(E30="",E30="!!!"),"",IF(OR(J30=0,AND(J30=1,K30=1),AND(J30=1,I30="SBJ"),AND(J30=1,I30=0)),"?IN_FOCUS",IF(J30&lt;=2,"?ACTIVATED",IF(J30&lt;&gt;"","?FAMILIAR",IF(F30="NEW",IF(ISNA(VLOOKUP(E30,#REF!,1,FALSE())),"?TYPE_IDENTIFIABLE","?REFERENTIAL"),"_")))))</f>
        <v/>
      </c>
      <c r="H30" s="12" t="str">
        <f t="shared" si="1"/>
        <v/>
      </c>
      <c r="L30" s="15"/>
    </row>
    <row r="31" spans="1:12" x14ac:dyDescent="0.35">
      <c r="A31" t="s">
        <v>51</v>
      </c>
      <c r="B31" t="s">
        <v>52</v>
      </c>
      <c r="C31" t="s">
        <v>15</v>
      </c>
      <c r="D31" t="s">
        <v>867</v>
      </c>
      <c r="E31" s="9" t="s">
        <v>51</v>
      </c>
      <c r="F31" s="10" t="str">
        <f>IF(OR(E31="",E31="!!!"),"",IF(NOT(ISNA(VLOOKUP(E31,E$1:E30,1,FALSE()))),"OLD",IF(AND(E31&lt;&gt;"",E31&lt;&gt;"!!!"),"NEW","")))</f>
        <v>NEW</v>
      </c>
      <c r="G31" s="11" t="s">
        <v>875</v>
      </c>
      <c r="H31" s="12" t="str">
        <f t="shared" si="1"/>
        <v/>
      </c>
      <c r="L31" s="15"/>
    </row>
    <row r="32" spans="1:12" x14ac:dyDescent="0.35">
      <c r="A32" t="s">
        <v>45</v>
      </c>
      <c r="E32" s="9" t="str">
        <f t="shared" si="0"/>
        <v/>
      </c>
      <c r="F32" s="10" t="str">
        <f>IF(OR(E32="",E32="!!!"),"",IF(NOT(ISNA(VLOOKUP(E32,E$1:E31,1,FALSE()))),"OLD",IF(AND(E32&lt;&gt;"",E32&lt;&gt;"!!!"),"NEW","")))</f>
        <v/>
      </c>
      <c r="G32" s="11" t="str">
        <f>IF(OR(E32="",E32="!!!"),"",IF(OR(J32=0,AND(J32=1,K32=1),AND(J32=1,I32="SBJ"),AND(J32=1,I32=0)),"?IN_FOCUS",IF(J32&lt;=2,"?ACTIVATED",IF(J32&lt;&gt;"","?FAMILIAR",IF(F32="NEW",IF(ISNA(VLOOKUP(E32,#REF!,1,FALSE())),"?TYPE_IDENTIFIABLE","?REFERENTIAL"),"_")))))</f>
        <v/>
      </c>
      <c r="H32" s="12" t="str">
        <f t="shared" si="1"/>
        <v/>
      </c>
      <c r="L32" s="15"/>
    </row>
    <row r="33" spans="1:12" x14ac:dyDescent="0.35">
      <c r="A33" t="s">
        <v>53</v>
      </c>
      <c r="E33" s="9" t="str">
        <f t="shared" si="0"/>
        <v/>
      </c>
      <c r="F33" s="10" t="str">
        <f>IF(OR(E33="",E33="!!!"),"",IF(NOT(ISNA(VLOOKUP(E33,E$1:E32,1,FALSE()))),"OLD",IF(AND(E33&lt;&gt;"",E33&lt;&gt;"!!!"),"NEW","")))</f>
        <v/>
      </c>
      <c r="G33" s="11" t="str">
        <f>IF(OR(E33="",E33="!!!"),"",IF(OR(J33=0,AND(J33=1,K33=1),AND(J33=1,I33="SBJ"),AND(J33=1,I33=0)),"?IN_FOCUS",IF(J33&lt;=2,"?ACTIVATED",IF(J33&lt;&gt;"","?FAMILIAR",IF(F33="NEW",IF(ISNA(VLOOKUP(E33,#REF!,1,FALSE())),"?TYPE_IDENTIFIABLE","?REFERENTIAL"),"_")))))</f>
        <v/>
      </c>
      <c r="H33" s="12" t="str">
        <f t="shared" si="1"/>
        <v/>
      </c>
      <c r="L33" s="15"/>
    </row>
    <row r="34" spans="1:12" x14ac:dyDescent="0.35">
      <c r="A34" t="s">
        <v>54</v>
      </c>
      <c r="E34" s="9" t="str">
        <f t="shared" si="0"/>
        <v/>
      </c>
      <c r="F34" s="10" t="str">
        <f>IF(OR(E34="",E34="!!!"),"",IF(NOT(ISNA(VLOOKUP(E34,E$1:E33,1,FALSE()))),"OLD",IF(AND(E34&lt;&gt;"",E34&lt;&gt;"!!!"),"NEW","")))</f>
        <v/>
      </c>
      <c r="G34" s="11" t="str">
        <f>IF(OR(E34="",E34="!!!"),"",IF(OR(J34=0,AND(J34=1,K34=1),AND(J34=1,I34="SBJ"),AND(J34=1,I34=0)),"?IN_FOCUS",IF(J34&lt;=2,"?ACTIVATED",IF(J34&lt;&gt;"","?FAMILIAR",IF(F34="NEW",IF(ISNA(VLOOKUP(E34,#REF!,1,FALSE())),"?TYPE_IDENTIFIABLE","?REFERENTIAL"),"_")))))</f>
        <v/>
      </c>
      <c r="H34" s="12" t="str">
        <f t="shared" si="1"/>
        <v/>
      </c>
      <c r="L34" s="15"/>
    </row>
    <row r="35" spans="1:12" x14ac:dyDescent="0.35">
      <c r="A35" t="s">
        <v>55</v>
      </c>
      <c r="B35" t="s">
        <v>56</v>
      </c>
      <c r="C35" t="s">
        <v>37</v>
      </c>
      <c r="E35" s="9" t="str">
        <f t="shared" si="0"/>
        <v/>
      </c>
      <c r="F35" s="10" t="str">
        <f>IF(OR(E35="",E35="!!!"),"",IF(NOT(ISNA(VLOOKUP(E35,E$1:E34,1,FALSE()))),"OLD",IF(AND(E35&lt;&gt;"",E35&lt;&gt;"!!!"),"NEW","")))</f>
        <v/>
      </c>
      <c r="G35" s="11" t="str">
        <f>IF(OR(E35="",E35="!!!"),"",IF(OR(J35=0,AND(J35=1,K35=1),AND(J35=1,I35="SBJ"),AND(J35=1,I35=0)),"?IN_FOCUS",IF(J35&lt;=2,"?ACTIVATED",IF(J35&lt;&gt;"","?FAMILIAR",IF(F35="NEW",IF(ISNA(VLOOKUP(E35,#REF!,1,FALSE())),"?TYPE_IDENTIFIABLE","?REFERENTIAL"),"_")))))</f>
        <v/>
      </c>
      <c r="H35" s="12" t="str">
        <f t="shared" si="1"/>
        <v/>
      </c>
      <c r="L35" s="15"/>
    </row>
    <row r="36" spans="1:12" x14ac:dyDescent="0.35">
      <c r="A36" t="s">
        <v>57</v>
      </c>
      <c r="E36" s="9" t="str">
        <f t="shared" si="0"/>
        <v/>
      </c>
      <c r="F36" s="10" t="str">
        <f>IF(OR(E36="",E36="!!!"),"",IF(NOT(ISNA(VLOOKUP(E36,E$1:E35,1,FALSE()))),"OLD",IF(AND(E36&lt;&gt;"",E36&lt;&gt;"!!!"),"NEW","")))</f>
        <v/>
      </c>
      <c r="G36" s="11" t="str">
        <f>IF(OR(E36="",E36="!!!"),"",IF(OR(J36=0,AND(J36=1,K36=1),AND(J36=1,I36="SBJ"),AND(J36=1,I36=0)),"?IN_FOCUS",IF(J36&lt;=2,"?ACTIVATED",IF(J36&lt;&gt;"","?FAMILIAR",IF(F36="NEW",IF(ISNA(VLOOKUP(E36,#REF!,1,FALSE())),"?TYPE_IDENTIFIABLE","?REFERENTIAL"),"_")))))</f>
        <v/>
      </c>
      <c r="H36" s="12" t="str">
        <f t="shared" si="1"/>
        <v/>
      </c>
      <c r="L36" s="15"/>
    </row>
    <row r="37" spans="1:12" x14ac:dyDescent="0.35">
      <c r="A37" t="s">
        <v>58</v>
      </c>
      <c r="E37" s="9" t="str">
        <f t="shared" si="0"/>
        <v/>
      </c>
      <c r="F37" s="10" t="str">
        <f>IF(OR(E37="",E37="!!!"),"",IF(NOT(ISNA(VLOOKUP(E37,E$1:E36,1,FALSE()))),"OLD",IF(AND(E37&lt;&gt;"",E37&lt;&gt;"!!!"),"NEW","")))</f>
        <v/>
      </c>
      <c r="G37" s="11" t="str">
        <f>IF(OR(E37="",E37="!!!"),"",IF(OR(J37=0,AND(J37=1,K37=1),AND(J37=1,I37="SBJ"),AND(J37=1,I37=0)),"?IN_FOCUS",IF(J37&lt;=2,"?ACTIVATED",IF(J37&lt;&gt;"","?FAMILIAR",IF(F37="NEW",IF(ISNA(VLOOKUP(E37,#REF!,1,FALSE())),"?TYPE_IDENTIFIABLE","?REFERENTIAL"),"_")))))</f>
        <v/>
      </c>
      <c r="H37" s="12" t="str">
        <f t="shared" si="1"/>
        <v/>
      </c>
      <c r="L37" s="15"/>
    </row>
    <row r="38" spans="1:12" x14ac:dyDescent="0.35">
      <c r="A38" t="s">
        <v>59</v>
      </c>
      <c r="B38" t="s">
        <v>56</v>
      </c>
      <c r="C38" t="s">
        <v>15</v>
      </c>
      <c r="D38" t="s">
        <v>16</v>
      </c>
      <c r="E38" s="9" t="s">
        <v>262</v>
      </c>
      <c r="F38" s="10" t="s">
        <v>876</v>
      </c>
      <c r="G38" s="11"/>
      <c r="H38" s="12" t="str">
        <f t="shared" si="1"/>
        <v/>
      </c>
      <c r="L38" s="15"/>
    </row>
    <row r="39" spans="1:12" x14ac:dyDescent="0.35">
      <c r="A39" t="s">
        <v>17</v>
      </c>
      <c r="E39" s="9" t="str">
        <f t="shared" si="0"/>
        <v/>
      </c>
      <c r="F39" s="10" t="str">
        <f>IF(OR(E39="",E39="!!!"),"",IF(NOT(ISNA(VLOOKUP(E39,E$1:E38,1,FALSE()))),"OLD",IF(AND(E39&lt;&gt;"",E39&lt;&gt;"!!!"),"NEW","")))</f>
        <v/>
      </c>
      <c r="G39" s="11" t="str">
        <f>IF(OR(E39="",E39="!!!"),"",IF(OR(J39=0,AND(J39=1,K39=1),AND(J39=1,I39="SBJ"),AND(J39=1,I39=0)),"?IN_FOCUS",IF(J39&lt;=2,"?ACTIVATED",IF(J39&lt;&gt;"","?FAMILIAR",IF(F39="NEW",IF(ISNA(VLOOKUP(E39,#REF!,1,FALSE())),"?TYPE_IDENTIFIABLE","?REFERENTIAL"),"_")))))</f>
        <v/>
      </c>
      <c r="H39" s="12" t="str">
        <f t="shared" si="1"/>
        <v/>
      </c>
      <c r="L39" s="15"/>
    </row>
    <row r="40" spans="1:12" x14ac:dyDescent="0.35">
      <c r="A40" t="s">
        <v>60</v>
      </c>
      <c r="B40" t="s">
        <v>61</v>
      </c>
      <c r="C40" t="s">
        <v>49</v>
      </c>
      <c r="D40" t="s">
        <v>867</v>
      </c>
      <c r="E40" s="9" t="s">
        <v>51</v>
      </c>
      <c r="F40" s="10" t="str">
        <f>IF(OR(E40="",E40="!!!"),"",IF(NOT(ISNA(VLOOKUP(E40,E$1:E39,1,FALSE()))),"OLD",IF(AND(E40&lt;&gt;"",E40&lt;&gt;"!!!"),"NEW","")))</f>
        <v>OLD</v>
      </c>
      <c r="G40" s="11" t="s">
        <v>875</v>
      </c>
      <c r="H40" s="12" t="str">
        <f t="shared" si="1"/>
        <v/>
      </c>
      <c r="L40" s="15"/>
    </row>
    <row r="41" spans="1:12" x14ac:dyDescent="0.35">
      <c r="A41" t="s">
        <v>62</v>
      </c>
      <c r="B41" t="s">
        <v>48</v>
      </c>
      <c r="C41" t="s">
        <v>15</v>
      </c>
      <c r="D41" t="s">
        <v>16</v>
      </c>
      <c r="E41" s="9" t="s">
        <v>262</v>
      </c>
      <c r="F41" s="10" t="s">
        <v>876</v>
      </c>
      <c r="G41" s="11"/>
      <c r="H41" s="12" t="str">
        <f t="shared" si="1"/>
        <v/>
      </c>
      <c r="L41" s="15"/>
    </row>
    <row r="42" spans="1:12" x14ac:dyDescent="0.35">
      <c r="A42" t="s">
        <v>63</v>
      </c>
      <c r="E42" s="9" t="str">
        <f t="shared" si="0"/>
        <v/>
      </c>
      <c r="F42" s="10" t="str">
        <f>IF(OR(E42="",E42="!!!"),"",IF(NOT(ISNA(VLOOKUP(E42,E$1:E41,1,FALSE()))),"OLD",IF(AND(E42&lt;&gt;"",E42&lt;&gt;"!!!"),"NEW","")))</f>
        <v/>
      </c>
      <c r="G42" s="11" t="str">
        <f>IF(OR(E42="",E42="!!!"),"",IF(OR(J42=0,AND(J42=1,K42=1),AND(J42=1,I42="SBJ"),AND(J42=1,I42=0)),"?IN_FOCUS",IF(J42&lt;=2,"?ACTIVATED",IF(J42&lt;&gt;"","?FAMILIAR",IF(F42="NEW",IF(ISNA(VLOOKUP(E42,#REF!,1,FALSE())),"?TYPE_IDENTIFIABLE","?REFERENTIAL"),"_")))))</f>
        <v/>
      </c>
      <c r="H42" s="12" t="str">
        <f t="shared" si="1"/>
        <v/>
      </c>
      <c r="L42" s="15"/>
    </row>
    <row r="43" spans="1:12" x14ac:dyDescent="0.35">
      <c r="E43" s="9" t="str">
        <f t="shared" si="0"/>
        <v/>
      </c>
      <c r="F43" s="10" t="str">
        <f>IF(OR(E43="",E43="!!!"),"",IF(NOT(ISNA(VLOOKUP(E43,E$1:E42,1,FALSE()))),"OLD",IF(AND(E43&lt;&gt;"",E43&lt;&gt;"!!!"),"NEW","")))</f>
        <v/>
      </c>
      <c r="G43" s="11" t="str">
        <f>IF(OR(E43="",E43="!!!"),"",IF(OR(J43=0,AND(J43=1,K43=1),AND(J43=1,I43="SBJ"),AND(J43=1,I43=0)),"?IN_FOCUS",IF(J43&lt;=2,"?ACTIVATED",IF(J43&lt;&gt;"","?FAMILIAR",IF(F43="NEW",IF(ISNA(VLOOKUP(E43,#REF!,1,FALSE())),"?TYPE_IDENTIFIABLE","?REFERENTIAL"),"_")))))</f>
        <v/>
      </c>
      <c r="H43" s="12" t="str">
        <f t="shared" si="1"/>
        <v/>
      </c>
      <c r="L43" s="15"/>
    </row>
    <row r="44" spans="1:12" x14ac:dyDescent="0.35">
      <c r="A44" t="s">
        <v>64</v>
      </c>
      <c r="E44" s="9" t="str">
        <f t="shared" si="0"/>
        <v/>
      </c>
      <c r="F44" s="10" t="str">
        <f>IF(OR(E44="",E44="!!!"),"",IF(NOT(ISNA(VLOOKUP(E44,E$1:E43,1,FALSE()))),"OLD",IF(AND(E44&lt;&gt;"",E44&lt;&gt;"!!!"),"NEW","")))</f>
        <v/>
      </c>
      <c r="G44" s="11" t="str">
        <f>IF(OR(E44="",E44="!!!"),"",IF(OR(J44=0,AND(J44=1,K44=1),AND(J44=1,I44="SBJ"),AND(J44=1,I44=0)),"?IN_FOCUS",IF(J44&lt;=2,"?ACTIVATED",IF(J44&lt;&gt;"","?FAMILIAR",IF(F44="NEW",IF(ISNA(VLOOKUP(E44,#REF!,1,FALSE())),"?TYPE_IDENTIFIABLE","?REFERENTIAL"),"_")))))</f>
        <v/>
      </c>
      <c r="H44" s="12" t="str">
        <f t="shared" si="1"/>
        <v/>
      </c>
      <c r="L44" s="15"/>
    </row>
    <row r="45" spans="1:12" x14ac:dyDescent="0.35">
      <c r="A45" t="s">
        <v>65</v>
      </c>
      <c r="E45" s="9" t="str">
        <f t="shared" si="0"/>
        <v/>
      </c>
      <c r="F45" s="10" t="str">
        <f>IF(OR(E45="",E45="!!!"),"",IF(NOT(ISNA(VLOOKUP(E45,E$1:E44,1,FALSE()))),"OLD",IF(AND(E45&lt;&gt;"",E45&lt;&gt;"!!!"),"NEW","")))</f>
        <v/>
      </c>
      <c r="G45" s="11" t="str">
        <f>IF(OR(E45="",E45="!!!"),"",IF(OR(J45=0,AND(J45=1,K45=1),AND(J45=1,I45="SBJ"),AND(J45=1,I45=0)),"?IN_FOCUS",IF(J45&lt;=2,"?ACTIVATED",IF(J45&lt;&gt;"","?FAMILIAR",IF(F45="NEW",IF(ISNA(VLOOKUP(E45,#REF!,1,FALSE())),"?TYPE_IDENTIFIABLE","?REFERENTIAL"),"_")))))</f>
        <v/>
      </c>
      <c r="H45" s="12" t="str">
        <f t="shared" si="1"/>
        <v/>
      </c>
      <c r="L45" s="15"/>
    </row>
    <row r="46" spans="1:12" x14ac:dyDescent="0.35">
      <c r="A46" t="s">
        <v>31</v>
      </c>
      <c r="B46" t="s">
        <v>14</v>
      </c>
      <c r="C46" t="s">
        <v>33</v>
      </c>
      <c r="D46" t="s">
        <v>869</v>
      </c>
      <c r="E46" s="9" t="s">
        <v>871</v>
      </c>
      <c r="F46" s="10" t="str">
        <f>IF(OR(E46="",E46="!!!"),"",IF(NOT(ISNA(VLOOKUP(E46,E$1:E45,1,FALSE()))),"OLD",IF(AND(E46&lt;&gt;"",E46&lt;&gt;"!!!"),"NEW","")))</f>
        <v>OLD</v>
      </c>
      <c r="G46" s="11" t="s">
        <v>870</v>
      </c>
      <c r="H46" s="12" t="str">
        <f t="shared" si="1"/>
        <v/>
      </c>
      <c r="L46" s="15"/>
    </row>
    <row r="47" spans="1:12" x14ac:dyDescent="0.35">
      <c r="A47" t="s">
        <v>66</v>
      </c>
      <c r="E47" s="9" t="str">
        <f t="shared" si="0"/>
        <v/>
      </c>
      <c r="F47" s="10" t="str">
        <f>IF(OR(E47="",E47="!!!"),"",IF(NOT(ISNA(VLOOKUP(E47,E$1:E46,1,FALSE()))),"OLD",IF(AND(E47&lt;&gt;"",E47&lt;&gt;"!!!"),"NEW","")))</f>
        <v/>
      </c>
      <c r="G47" s="11" t="str">
        <f>IF(OR(E47="",E47="!!!"),"",IF(OR(J47=0,AND(J47=1,K47=1),AND(J47=1,I47="SBJ"),AND(J47=1,I47=0)),"?IN_FOCUS",IF(J47&lt;=2,"?ACTIVATED",IF(J47&lt;&gt;"","?FAMILIAR",IF(F47="NEW",IF(ISNA(VLOOKUP(E47,#REF!,1,FALSE())),"?TYPE_IDENTIFIABLE","?REFERENTIAL"),"_")))))</f>
        <v/>
      </c>
      <c r="H47" s="12" t="str">
        <f t="shared" si="1"/>
        <v/>
      </c>
      <c r="L47" s="15"/>
    </row>
    <row r="48" spans="1:12" x14ac:dyDescent="0.35">
      <c r="A48" t="s">
        <v>67</v>
      </c>
      <c r="E48" s="9" t="str">
        <f t="shared" si="0"/>
        <v/>
      </c>
      <c r="F48" s="10" t="str">
        <f>IF(OR(E48="",E48="!!!"),"",IF(NOT(ISNA(VLOOKUP(E48,E$1:E47,1,FALSE()))),"OLD",IF(AND(E48&lt;&gt;"",E48&lt;&gt;"!!!"),"NEW","")))</f>
        <v/>
      </c>
      <c r="G48" s="11" t="str">
        <f>IF(OR(E48="",E48="!!!"),"",IF(OR(J48=0,AND(J48=1,K48=1),AND(J48=1,I48="SBJ"),AND(J48=1,I48=0)),"?IN_FOCUS",IF(J48&lt;=2,"?ACTIVATED",IF(J48&lt;&gt;"","?FAMILIAR",IF(F48="NEW",IF(ISNA(VLOOKUP(E48,#REF!,1,FALSE())),"?TYPE_IDENTIFIABLE","?REFERENTIAL"),"_")))))</f>
        <v/>
      </c>
      <c r="H48" s="12" t="str">
        <f t="shared" si="1"/>
        <v/>
      </c>
      <c r="L48" s="15"/>
    </row>
    <row r="49" spans="1:12" x14ac:dyDescent="0.35">
      <c r="A49" t="s">
        <v>68</v>
      </c>
      <c r="E49" s="9" t="str">
        <f t="shared" si="0"/>
        <v/>
      </c>
      <c r="F49" s="10" t="str">
        <f>IF(OR(E49="",E49="!!!"),"",IF(NOT(ISNA(VLOOKUP(E49,E$1:E48,1,FALSE()))),"OLD",IF(AND(E49&lt;&gt;"",E49&lt;&gt;"!!!"),"NEW","")))</f>
        <v/>
      </c>
      <c r="G49" s="11" t="str">
        <f>IF(OR(E49="",E49="!!!"),"",IF(OR(J49=0,AND(J49=1,K49=1),AND(J49=1,I49="SBJ"),AND(J49=1,I49=0)),"?IN_FOCUS",IF(J49&lt;=2,"?ACTIVATED",IF(J49&lt;&gt;"","?FAMILIAR",IF(F49="NEW",IF(ISNA(VLOOKUP(E49,#REF!,1,FALSE())),"?TYPE_IDENTIFIABLE","?REFERENTIAL"),"_")))))</f>
        <v/>
      </c>
      <c r="H49" s="12" t="str">
        <f t="shared" si="1"/>
        <v/>
      </c>
      <c r="L49" s="15"/>
    </row>
    <row r="50" spans="1:12" x14ac:dyDescent="0.35">
      <c r="A50" t="s">
        <v>69</v>
      </c>
      <c r="E50" s="9" t="str">
        <f t="shared" si="0"/>
        <v/>
      </c>
      <c r="F50" s="10" t="str">
        <f>IF(OR(E50="",E50="!!!"),"",IF(NOT(ISNA(VLOOKUP(E50,E$1:E49,1,FALSE()))),"OLD",IF(AND(E50&lt;&gt;"",E50&lt;&gt;"!!!"),"NEW","")))</f>
        <v/>
      </c>
      <c r="G50" s="11" t="str">
        <f>IF(OR(E50="",E50="!!!"),"",IF(OR(J50=0,AND(J50=1,K50=1),AND(J50=1,I50="SBJ"),AND(J50=1,I50=0)),"?IN_FOCUS",IF(J50&lt;=2,"?ACTIVATED",IF(J50&lt;&gt;"","?FAMILIAR",IF(F50="NEW",IF(ISNA(VLOOKUP(E50,#REF!,1,FALSE())),"?TYPE_IDENTIFIABLE","?REFERENTIAL"),"_")))))</f>
        <v/>
      </c>
      <c r="H50" s="12" t="str">
        <f t="shared" si="1"/>
        <v/>
      </c>
      <c r="L50" s="15"/>
    </row>
    <row r="51" spans="1:12" x14ac:dyDescent="0.35">
      <c r="A51" t="s">
        <v>47</v>
      </c>
      <c r="B51" t="s">
        <v>24</v>
      </c>
      <c r="C51" t="s">
        <v>49</v>
      </c>
      <c r="D51" t="s">
        <v>869</v>
      </c>
      <c r="E51" s="9" t="s">
        <v>868</v>
      </c>
      <c r="F51" s="10" t="str">
        <f>IF(OR(E51="",E51="!!!"),"",IF(NOT(ISNA(VLOOKUP(E51,E$1:E50,1,FALSE()))),"OLD",IF(AND(E51&lt;&gt;"",E51&lt;&gt;"!!!"),"NEW","")))</f>
        <v>OLD</v>
      </c>
      <c r="G51" s="11" t="s">
        <v>877</v>
      </c>
      <c r="H51" s="12" t="str">
        <f t="shared" si="1"/>
        <v/>
      </c>
      <c r="L51" s="15"/>
    </row>
    <row r="52" spans="1:12" x14ac:dyDescent="0.35">
      <c r="A52" t="s">
        <v>70</v>
      </c>
      <c r="E52" s="9" t="str">
        <f t="shared" si="0"/>
        <v/>
      </c>
      <c r="F52" s="10" t="str">
        <f>IF(OR(E52="",E52="!!!"),"",IF(NOT(ISNA(VLOOKUP(E52,E$1:E51,1,FALSE()))),"OLD",IF(AND(E52&lt;&gt;"",E52&lt;&gt;"!!!"),"NEW","")))</f>
        <v/>
      </c>
      <c r="G52" s="11" t="str">
        <f>IF(OR(E52="",E52="!!!"),"",IF(OR(J52=0,AND(J52=1,K52=1),AND(J52=1,I52="SBJ"),AND(J52=1,I52=0)),"?IN_FOCUS",IF(J52&lt;=2,"?ACTIVATED",IF(J52&lt;&gt;"","?FAMILIAR",IF(F52="NEW",IF(ISNA(VLOOKUP(E52,#REF!,1,FALSE())),"?TYPE_IDENTIFIABLE","?REFERENTIAL"),"_")))))</f>
        <v/>
      </c>
      <c r="H52" s="12" t="str">
        <f t="shared" si="1"/>
        <v/>
      </c>
      <c r="L52" s="15"/>
    </row>
    <row r="53" spans="1:12" x14ac:dyDescent="0.35">
      <c r="A53" t="s">
        <v>71</v>
      </c>
      <c r="E53" s="9" t="str">
        <f t="shared" si="0"/>
        <v/>
      </c>
      <c r="F53" s="10" t="str">
        <f>IF(OR(E53="",E53="!!!"),"",IF(NOT(ISNA(VLOOKUP(E53,E$1:E52,1,FALSE()))),"OLD",IF(AND(E53&lt;&gt;"",E53&lt;&gt;"!!!"),"NEW","")))</f>
        <v/>
      </c>
      <c r="G53" s="11" t="str">
        <f>IF(OR(E53="",E53="!!!"),"",IF(OR(J53=0,AND(J53=1,K53=1),AND(J53=1,I53="SBJ"),AND(J53=1,I53=0)),"?IN_FOCUS",IF(J53&lt;=2,"?ACTIVATED",IF(J53&lt;&gt;"","?FAMILIAR",IF(F53="NEW",IF(ISNA(VLOOKUP(E53,#REF!,1,FALSE())),"?TYPE_IDENTIFIABLE","?REFERENTIAL"),"_")))))</f>
        <v/>
      </c>
      <c r="H53" s="12" t="str">
        <f t="shared" si="1"/>
        <v/>
      </c>
      <c r="L53" s="15"/>
    </row>
    <row r="54" spans="1:12" x14ac:dyDescent="0.35">
      <c r="A54" t="s">
        <v>72</v>
      </c>
      <c r="B54" t="s">
        <v>54</v>
      </c>
      <c r="C54" t="s">
        <v>15</v>
      </c>
      <c r="D54" t="s">
        <v>16</v>
      </c>
      <c r="E54" s="9" t="s">
        <v>262</v>
      </c>
      <c r="F54" s="10" t="s">
        <v>878</v>
      </c>
      <c r="G54" s="11"/>
      <c r="H54" s="12" t="str">
        <f t="shared" si="1"/>
        <v/>
      </c>
      <c r="L54" s="15"/>
    </row>
    <row r="55" spans="1:12" x14ac:dyDescent="0.35">
      <c r="A55" t="s">
        <v>26</v>
      </c>
      <c r="E55" s="9" t="str">
        <f t="shared" si="0"/>
        <v/>
      </c>
      <c r="F55" s="10" t="str">
        <f>IF(OR(E55="",E55="!!!"),"",IF(NOT(ISNA(VLOOKUP(E55,E$1:E54,1,FALSE()))),"OLD",IF(AND(E55&lt;&gt;"",E55&lt;&gt;"!!!"),"NEW","")))</f>
        <v/>
      </c>
      <c r="G55" s="11" t="str">
        <f>IF(OR(E55="",E55="!!!"),"",IF(OR(J55=0,AND(J55=1,K55=1),AND(J55=1,I55="SBJ"),AND(J55=1,I55=0)),"?IN_FOCUS",IF(J55&lt;=2,"?ACTIVATED",IF(J55&lt;&gt;"","?FAMILIAR",IF(F55="NEW",IF(ISNA(VLOOKUP(E55,#REF!,1,FALSE())),"?TYPE_IDENTIFIABLE","?REFERENTIAL"),"_")))))</f>
        <v/>
      </c>
      <c r="H55" s="12" t="str">
        <f t="shared" si="1"/>
        <v/>
      </c>
      <c r="L55" s="15"/>
    </row>
    <row r="56" spans="1:12" x14ac:dyDescent="0.35">
      <c r="A56" t="s">
        <v>73</v>
      </c>
      <c r="B56" t="s">
        <v>41</v>
      </c>
      <c r="E56" s="9" t="str">
        <f t="shared" si="0"/>
        <v/>
      </c>
      <c r="F56" s="10" t="str">
        <f>IF(OR(E56="",E56="!!!"),"",IF(NOT(ISNA(VLOOKUP(E56,E$1:E55,1,FALSE()))),"OLD",IF(AND(E56&lt;&gt;"",E56&lt;&gt;"!!!"),"NEW","")))</f>
        <v/>
      </c>
      <c r="G56" s="11" t="str">
        <f>IF(OR(E56="",E56="!!!"),"",IF(OR(J56=0,AND(J56=1,K56=1),AND(J56=1,I56="SBJ"),AND(J56=1,I56=0)),"?IN_FOCUS",IF(J56&lt;=2,"?ACTIVATED",IF(J56&lt;&gt;"","?FAMILIAR",IF(F56="NEW",IF(ISNA(VLOOKUP(E56,#REF!,1,FALSE())),"?TYPE_IDENTIFIABLE","?REFERENTIAL"),"_")))))</f>
        <v/>
      </c>
      <c r="H56" s="12" t="str">
        <f t="shared" si="1"/>
        <v/>
      </c>
      <c r="L56" s="15"/>
    </row>
    <row r="57" spans="1:12" x14ac:dyDescent="0.35">
      <c r="A57" t="s">
        <v>74</v>
      </c>
      <c r="E57" s="9" t="str">
        <f t="shared" si="0"/>
        <v/>
      </c>
      <c r="F57" s="10" t="str">
        <f>IF(OR(E57="",E57="!!!"),"",IF(NOT(ISNA(VLOOKUP(E57,E$1:E56,1,FALSE()))),"OLD",IF(AND(E57&lt;&gt;"",E57&lt;&gt;"!!!"),"NEW","")))</f>
        <v/>
      </c>
      <c r="G57" s="11" t="str">
        <f>IF(OR(E57="",E57="!!!"),"",IF(OR(J57=0,AND(J57=1,K57=1),AND(J57=1,I57="SBJ"),AND(J57=1,I57=0)),"?IN_FOCUS",IF(J57&lt;=2,"?ACTIVATED",IF(J57&lt;&gt;"","?FAMILIAR",IF(F57="NEW",IF(ISNA(VLOOKUP(E57,#REF!,1,FALSE())),"?TYPE_IDENTIFIABLE","?REFERENTIAL"),"_")))))</f>
        <v/>
      </c>
      <c r="H57" s="12" t="str">
        <f t="shared" si="1"/>
        <v/>
      </c>
      <c r="L57" s="15"/>
    </row>
    <row r="58" spans="1:12" x14ac:dyDescent="0.35">
      <c r="A58" t="s">
        <v>45</v>
      </c>
      <c r="E58" s="9" t="str">
        <f t="shared" si="0"/>
        <v/>
      </c>
      <c r="F58" s="10" t="str">
        <f>IF(OR(E58="",E58="!!!"),"",IF(NOT(ISNA(VLOOKUP(E58,E$1:E57,1,FALSE()))),"OLD",IF(AND(E58&lt;&gt;"",E58&lt;&gt;"!!!"),"NEW","")))</f>
        <v/>
      </c>
      <c r="G58" s="11" t="str">
        <f>IF(OR(E58="",E58="!!!"),"",IF(OR(J58=0,AND(J58=1,K58=1),AND(J58=1,I58="SBJ"),AND(J58=1,I58=0)),"?IN_FOCUS",IF(J58&lt;=2,"?ACTIVATED",IF(J58&lt;&gt;"","?FAMILIAR",IF(F58="NEW",IF(ISNA(VLOOKUP(E58,#REF!,1,FALSE())),"?TYPE_IDENTIFIABLE","?REFERENTIAL"),"_")))))</f>
        <v/>
      </c>
      <c r="H58" s="12" t="str">
        <f t="shared" si="1"/>
        <v/>
      </c>
      <c r="L58" s="15"/>
    </row>
    <row r="59" spans="1:12" x14ac:dyDescent="0.35">
      <c r="A59" t="s">
        <v>75</v>
      </c>
      <c r="E59" s="9" t="str">
        <f t="shared" si="0"/>
        <v/>
      </c>
      <c r="F59" s="10" t="str">
        <f>IF(OR(E59="",E59="!!!"),"",IF(NOT(ISNA(VLOOKUP(E59,E$1:E58,1,FALSE()))),"OLD",IF(AND(E59&lt;&gt;"",E59&lt;&gt;"!!!"),"NEW","")))</f>
        <v/>
      </c>
      <c r="G59" s="11" t="str">
        <f>IF(OR(E59="",E59="!!!"),"",IF(OR(J59=0,AND(J59=1,K59=1),AND(J59=1,I59="SBJ"),AND(J59=1,I59=0)),"?IN_FOCUS",IF(J59&lt;=2,"?ACTIVATED",IF(J59&lt;&gt;"","?FAMILIAR",IF(F59="NEW",IF(ISNA(VLOOKUP(E59,#REF!,1,FALSE())),"?TYPE_IDENTIFIABLE","?REFERENTIAL"),"_")))))</f>
        <v/>
      </c>
      <c r="H59" s="12" t="str">
        <f t="shared" si="1"/>
        <v/>
      </c>
      <c r="L59" s="15"/>
    </row>
    <row r="60" spans="1:12" x14ac:dyDescent="0.35">
      <c r="A60" t="s">
        <v>76</v>
      </c>
      <c r="E60" s="9" t="str">
        <f t="shared" si="0"/>
        <v/>
      </c>
      <c r="F60" s="10" t="str">
        <f>IF(OR(E60="",E60="!!!"),"",IF(NOT(ISNA(VLOOKUP(E60,E$1:E59,1,FALSE()))),"OLD",IF(AND(E60&lt;&gt;"",E60&lt;&gt;"!!!"),"NEW","")))</f>
        <v/>
      </c>
      <c r="G60" s="11" t="str">
        <f>IF(OR(E60="",E60="!!!"),"",IF(OR(J60=0,AND(J60=1,K60=1),AND(J60=1,I60="SBJ"),AND(J60=1,I60=0)),"?IN_FOCUS",IF(J60&lt;=2,"?ACTIVATED",IF(J60&lt;&gt;"","?FAMILIAR",IF(F60="NEW",IF(ISNA(VLOOKUP(E60,#REF!,1,FALSE())),"?TYPE_IDENTIFIABLE","?REFERENTIAL"),"_")))))</f>
        <v/>
      </c>
      <c r="H60" s="12" t="str">
        <f t="shared" si="1"/>
        <v/>
      </c>
      <c r="L60" s="15"/>
    </row>
    <row r="61" spans="1:12" x14ac:dyDescent="0.35">
      <c r="A61" t="s">
        <v>77</v>
      </c>
      <c r="E61" s="9" t="str">
        <f t="shared" si="0"/>
        <v/>
      </c>
      <c r="F61" s="10" t="str">
        <f>IF(OR(E61="",E61="!!!"),"",IF(NOT(ISNA(VLOOKUP(E61,E$1:E60,1,FALSE()))),"OLD",IF(AND(E61&lt;&gt;"",E61&lt;&gt;"!!!"),"NEW","")))</f>
        <v/>
      </c>
      <c r="G61" s="11" t="str">
        <f>IF(OR(E61="",E61="!!!"),"",IF(OR(J61=0,AND(J61=1,K61=1),AND(J61=1,I61="SBJ"),AND(J61=1,I61=0)),"?IN_FOCUS",IF(J61&lt;=2,"?ACTIVATED",IF(J61&lt;&gt;"","?FAMILIAR",IF(F61="NEW",IF(ISNA(VLOOKUP(E61,#REF!,1,FALSE())),"?TYPE_IDENTIFIABLE","?REFERENTIAL"),"_")))))</f>
        <v/>
      </c>
      <c r="H61" s="12" t="str">
        <f t="shared" si="1"/>
        <v/>
      </c>
      <c r="L61" s="15"/>
    </row>
    <row r="62" spans="1:12" x14ac:dyDescent="0.35">
      <c r="A62" t="s">
        <v>78</v>
      </c>
      <c r="B62" t="s">
        <v>79</v>
      </c>
      <c r="C62" t="s">
        <v>80</v>
      </c>
      <c r="D62" t="s">
        <v>867</v>
      </c>
      <c r="E62" s="9" t="s">
        <v>262</v>
      </c>
      <c r="F62" s="10" t="s">
        <v>876</v>
      </c>
      <c r="G62" s="11"/>
      <c r="H62" s="12" t="str">
        <f t="shared" si="1"/>
        <v/>
      </c>
      <c r="L62" s="15"/>
    </row>
    <row r="63" spans="1:12" x14ac:dyDescent="0.35">
      <c r="A63" t="s">
        <v>81</v>
      </c>
      <c r="B63" t="s">
        <v>82</v>
      </c>
      <c r="E63" s="9" t="str">
        <f t="shared" si="0"/>
        <v/>
      </c>
      <c r="F63" s="10" t="str">
        <f>IF(OR(E63="",E63="!!!"),"",IF(NOT(ISNA(VLOOKUP(E63,E$1:E62,1,FALSE()))),"OLD",IF(AND(E63&lt;&gt;"",E63&lt;&gt;"!!!"),"NEW","")))</f>
        <v/>
      </c>
      <c r="G63" s="11" t="str">
        <f>IF(OR(E63="",E63="!!!"),"",IF(OR(J63=0,AND(J63=1,K63=1),AND(J63=1,I63="SBJ"),AND(J63=1,I63=0)),"?IN_FOCUS",IF(J63&lt;=2,"?ACTIVATED",IF(J63&lt;&gt;"","?FAMILIAR",IF(F63="NEW",IF(ISNA(VLOOKUP(E63,#REF!,1,FALSE())),"?TYPE_IDENTIFIABLE","?REFERENTIAL"),"_")))))</f>
        <v/>
      </c>
      <c r="H63" s="12" t="str">
        <f t="shared" si="1"/>
        <v/>
      </c>
      <c r="L63" s="15"/>
    </row>
    <row r="64" spans="1:12" x14ac:dyDescent="0.35">
      <c r="A64" t="s">
        <v>83</v>
      </c>
      <c r="E64" s="9" t="str">
        <f t="shared" si="0"/>
        <v/>
      </c>
      <c r="F64" s="10" t="str">
        <f>IF(OR(E64="",E64="!!!"),"",IF(NOT(ISNA(VLOOKUP(E64,E$1:E63,1,FALSE()))),"OLD",IF(AND(E64&lt;&gt;"",E64&lt;&gt;"!!!"),"NEW","")))</f>
        <v/>
      </c>
      <c r="G64" s="11" t="str">
        <f>IF(OR(E64="",E64="!!!"),"",IF(OR(J64=0,AND(J64=1,K64=1),AND(J64=1,I64="SBJ"),AND(J64=1,I64=0)),"?IN_FOCUS",IF(J64&lt;=2,"?ACTIVATED",IF(J64&lt;&gt;"","?FAMILIAR",IF(F64="NEW",IF(ISNA(VLOOKUP(E64,#REF!,1,FALSE())),"?TYPE_IDENTIFIABLE","?REFERENTIAL"),"_")))))</f>
        <v/>
      </c>
      <c r="H64" s="12" t="str">
        <f t="shared" si="1"/>
        <v/>
      </c>
      <c r="L64" s="15"/>
    </row>
    <row r="65" spans="1:12" x14ac:dyDescent="0.35">
      <c r="A65" t="s">
        <v>84</v>
      </c>
      <c r="E65" s="9" t="str">
        <f t="shared" si="0"/>
        <v/>
      </c>
      <c r="F65" s="10" t="str">
        <f>IF(OR(E65="",E65="!!!"),"",IF(NOT(ISNA(VLOOKUP(E65,E$1:E64,1,FALSE()))),"OLD",IF(AND(E65&lt;&gt;"",E65&lt;&gt;"!!!"),"NEW","")))</f>
        <v/>
      </c>
      <c r="G65" s="11" t="str">
        <f>IF(OR(E65="",E65="!!!"),"",IF(OR(J65=0,AND(J65=1,K65=1),AND(J65=1,I65="SBJ"),AND(J65=1,I65=0)),"?IN_FOCUS",IF(J65&lt;=2,"?ACTIVATED",IF(J65&lt;&gt;"","?FAMILIAR",IF(F65="NEW",IF(ISNA(VLOOKUP(E65,#REF!,1,FALSE())),"?TYPE_IDENTIFIABLE","?REFERENTIAL"),"_")))))</f>
        <v/>
      </c>
      <c r="H65" s="12" t="str">
        <f t="shared" si="1"/>
        <v/>
      </c>
      <c r="L65" s="15"/>
    </row>
    <row r="66" spans="1:12" x14ac:dyDescent="0.35">
      <c r="A66" t="s">
        <v>85</v>
      </c>
      <c r="B66" t="s">
        <v>61</v>
      </c>
      <c r="C66" t="s">
        <v>33</v>
      </c>
      <c r="D66" t="s">
        <v>867</v>
      </c>
      <c r="E66" s="9" t="s">
        <v>868</v>
      </c>
      <c r="F66" s="10" t="str">
        <f>IF(OR(E66="",E66="!!!"),"",IF(NOT(ISNA(VLOOKUP(E66,E$1:E65,1,FALSE()))),"OLD",IF(AND(E66&lt;&gt;"",E66&lt;&gt;"!!!"),"NEW","")))</f>
        <v>OLD</v>
      </c>
      <c r="G66" s="11" t="s">
        <v>870</v>
      </c>
      <c r="H66" s="12" t="str">
        <f t="shared" si="1"/>
        <v/>
      </c>
      <c r="L66" s="15"/>
    </row>
    <row r="67" spans="1:12" x14ac:dyDescent="0.35">
      <c r="A67" t="s">
        <v>63</v>
      </c>
      <c r="E67" s="9" t="str">
        <f t="shared" si="0"/>
        <v/>
      </c>
      <c r="F67" s="10" t="str">
        <f>IF(OR(E67="",E67="!!!"),"",IF(NOT(ISNA(VLOOKUP(E67,E$1:E66,1,FALSE()))),"OLD",IF(AND(E67&lt;&gt;"",E67&lt;&gt;"!!!"),"NEW","")))</f>
        <v/>
      </c>
      <c r="G67" s="11" t="str">
        <f>IF(OR(E67="",E67="!!!"),"",IF(OR(J67=0,AND(J67=1,K67=1),AND(J67=1,I67="SBJ"),AND(J67=1,I67=0)),"?IN_FOCUS",IF(J67&lt;=2,"?ACTIVATED",IF(J67&lt;&gt;"","?FAMILIAR",IF(F67="NEW",IF(ISNA(VLOOKUP(E67,#REF!,1,FALSE())),"?TYPE_IDENTIFIABLE","?REFERENTIAL"),"_")))))</f>
        <v/>
      </c>
      <c r="H67" s="12" t="str">
        <f t="shared" si="1"/>
        <v/>
      </c>
      <c r="L67" s="15"/>
    </row>
    <row r="68" spans="1:12" x14ac:dyDescent="0.35">
      <c r="E68" s="9" t="str">
        <f t="shared" ref="E68:E131" si="2">IF(D68="?OLD","!!!","")</f>
        <v/>
      </c>
      <c r="F68" s="10" t="str">
        <f>IF(OR(E68="",E68="!!!"),"",IF(NOT(ISNA(VLOOKUP(E68,E$1:E67,1,FALSE()))),"OLD",IF(AND(E68&lt;&gt;"",E68&lt;&gt;"!!!"),"NEW","")))</f>
        <v/>
      </c>
      <c r="G68" s="11" t="str">
        <f>IF(OR(E68="",E68="!!!"),"",IF(OR(J68=0,AND(J68=1,K68=1),AND(J68=1,I68="SBJ"),AND(J68=1,I68=0)),"?IN_FOCUS",IF(J68&lt;=2,"?ACTIVATED",IF(J68&lt;&gt;"","?FAMILIAR",IF(F68="NEW",IF(ISNA(VLOOKUP(E68,#REF!,1,FALSE())),"?TYPE_IDENTIFIABLE","?REFERENTIAL"),"_")))))</f>
        <v/>
      </c>
      <c r="H68" s="12" t="str">
        <f t="shared" ref="H68:H131" si="3">IF(J68&lt;&gt;1,"",IF(I68="SBJ","CB","?"))</f>
        <v/>
      </c>
      <c r="L68" s="15"/>
    </row>
    <row r="69" spans="1:12" x14ac:dyDescent="0.35">
      <c r="A69" t="s">
        <v>86</v>
      </c>
      <c r="E69" s="9" t="str">
        <f t="shared" si="2"/>
        <v/>
      </c>
      <c r="F69" s="10" t="str">
        <f>IF(OR(E69="",E69="!!!"),"",IF(NOT(ISNA(VLOOKUP(E69,E$1:E68,1,FALSE()))),"OLD",IF(AND(E69&lt;&gt;"",E69&lt;&gt;"!!!"),"NEW","")))</f>
        <v/>
      </c>
      <c r="G69" s="11" t="str">
        <f>IF(OR(E69="",E69="!!!"),"",IF(OR(J69=0,AND(J69=1,K69=1),AND(J69=1,I69="SBJ"),AND(J69=1,I69=0)),"?IN_FOCUS",IF(J69&lt;=2,"?ACTIVATED",IF(J69&lt;&gt;"","?FAMILIAR",IF(F69="NEW",IF(ISNA(VLOOKUP(E69,#REF!,1,FALSE())),"?TYPE_IDENTIFIABLE","?REFERENTIAL"),"_")))))</f>
        <v/>
      </c>
      <c r="H69" s="12" t="str">
        <f t="shared" si="3"/>
        <v/>
      </c>
      <c r="L69" s="15"/>
    </row>
    <row r="70" spans="1:12" x14ac:dyDescent="0.35">
      <c r="A70" t="s">
        <v>65</v>
      </c>
      <c r="E70" s="9" t="str">
        <f t="shared" si="2"/>
        <v/>
      </c>
      <c r="F70" s="10" t="str">
        <f>IF(OR(E70="",E70="!!!"),"",IF(NOT(ISNA(VLOOKUP(E70,E$1:E69,1,FALSE()))),"OLD",IF(AND(E70&lt;&gt;"",E70&lt;&gt;"!!!"),"NEW","")))</f>
        <v/>
      </c>
      <c r="G70" s="11" t="str">
        <f>IF(OR(E70="",E70="!!!"),"",IF(OR(J70=0,AND(J70=1,K70=1),AND(J70=1,I70="SBJ"),AND(J70=1,I70=0)),"?IN_FOCUS",IF(J70&lt;=2,"?ACTIVATED",IF(J70&lt;&gt;"","?FAMILIAR",IF(F70="NEW",IF(ISNA(VLOOKUP(E70,#REF!,1,FALSE())),"?TYPE_IDENTIFIABLE","?REFERENTIAL"),"_")))))</f>
        <v/>
      </c>
      <c r="H70" s="12" t="str">
        <f t="shared" si="3"/>
        <v/>
      </c>
      <c r="L70" s="15"/>
    </row>
    <row r="71" spans="1:12" x14ac:dyDescent="0.35">
      <c r="A71" t="s">
        <v>87</v>
      </c>
      <c r="E71" s="9" t="str">
        <f t="shared" si="2"/>
        <v/>
      </c>
      <c r="F71" s="10" t="str">
        <f>IF(OR(E71="",E71="!!!"),"",IF(NOT(ISNA(VLOOKUP(E71,E$1:E70,1,FALSE()))),"OLD",IF(AND(E71&lt;&gt;"",E71&lt;&gt;"!!!"),"NEW","")))</f>
        <v/>
      </c>
      <c r="G71" s="11" t="str">
        <f>IF(OR(E71="",E71="!!!"),"",IF(OR(J71=0,AND(J71=1,K71=1),AND(J71=1,I71="SBJ"),AND(J71=1,I71=0)),"?IN_FOCUS",IF(J71&lt;=2,"?ACTIVATED",IF(J71&lt;&gt;"","?FAMILIAR",IF(F71="NEW",IF(ISNA(VLOOKUP(E71,#REF!,1,FALSE())),"?TYPE_IDENTIFIABLE","?REFERENTIAL"),"_")))))</f>
        <v/>
      </c>
      <c r="H71" s="12" t="str">
        <f t="shared" si="3"/>
        <v/>
      </c>
      <c r="L71" s="15"/>
    </row>
    <row r="72" spans="1:12" x14ac:dyDescent="0.35">
      <c r="A72" t="s">
        <v>69</v>
      </c>
      <c r="E72" s="9" t="str">
        <f t="shared" si="2"/>
        <v/>
      </c>
      <c r="F72" s="10" t="str">
        <f>IF(OR(E72="",E72="!!!"),"",IF(NOT(ISNA(VLOOKUP(E72,E$1:E71,1,FALSE()))),"OLD",IF(AND(E72&lt;&gt;"",E72&lt;&gt;"!!!"),"NEW","")))</f>
        <v/>
      </c>
      <c r="G72" s="11" t="str">
        <f>IF(OR(E72="",E72="!!!"),"",IF(OR(J72=0,AND(J72=1,K72=1),AND(J72=1,I72="SBJ"),AND(J72=1,I72=0)),"?IN_FOCUS",IF(J72&lt;=2,"?ACTIVATED",IF(J72&lt;&gt;"","?FAMILIAR",IF(F72="NEW",IF(ISNA(VLOOKUP(E72,#REF!,1,FALSE())),"?TYPE_IDENTIFIABLE","?REFERENTIAL"),"_")))))</f>
        <v/>
      </c>
      <c r="H72" s="12" t="str">
        <f t="shared" si="3"/>
        <v/>
      </c>
      <c r="L72" s="15"/>
    </row>
    <row r="73" spans="1:12" x14ac:dyDescent="0.35">
      <c r="A73" t="s">
        <v>47</v>
      </c>
      <c r="B73" t="s">
        <v>54</v>
      </c>
      <c r="C73" t="s">
        <v>49</v>
      </c>
      <c r="D73" t="s">
        <v>869</v>
      </c>
      <c r="E73" s="9" t="s">
        <v>868</v>
      </c>
      <c r="F73" s="10" t="str">
        <f>IF(OR(E73="",E73="!!!"),"",IF(NOT(ISNA(VLOOKUP(E73,E$1:E72,1,FALSE()))),"OLD",IF(AND(E73&lt;&gt;"",E73&lt;&gt;"!!!"),"NEW","")))</f>
        <v>OLD</v>
      </c>
      <c r="G73" s="11" t="s">
        <v>877</v>
      </c>
      <c r="H73" s="12" t="str">
        <f t="shared" si="3"/>
        <v/>
      </c>
      <c r="L73" s="15"/>
    </row>
    <row r="74" spans="1:12" x14ac:dyDescent="0.35">
      <c r="A74" t="s">
        <v>88</v>
      </c>
      <c r="E74" s="9" t="str">
        <f t="shared" si="2"/>
        <v/>
      </c>
      <c r="F74" s="10" t="str">
        <f>IF(OR(E74="",E74="!!!"),"",IF(NOT(ISNA(VLOOKUP(E74,E$1:E73,1,FALSE()))),"OLD",IF(AND(E74&lt;&gt;"",E74&lt;&gt;"!!!"),"NEW","")))</f>
        <v/>
      </c>
      <c r="G74" s="11" t="str">
        <f>IF(OR(E74="",E74="!!!"),"",IF(OR(J74=0,AND(J74=1,K74=1),AND(J74=1,I74="SBJ"),AND(J74=1,I74=0)),"?IN_FOCUS",IF(J74&lt;=2,"?ACTIVATED",IF(J74&lt;&gt;"","?FAMILIAR",IF(F74="NEW",IF(ISNA(VLOOKUP(E74,#REF!,1,FALSE())),"?TYPE_IDENTIFIABLE","?REFERENTIAL"),"_")))))</f>
        <v/>
      </c>
      <c r="H74" s="12" t="str">
        <f t="shared" si="3"/>
        <v/>
      </c>
      <c r="L74" s="15"/>
    </row>
    <row r="75" spans="1:12" x14ac:dyDescent="0.35">
      <c r="A75" t="s">
        <v>89</v>
      </c>
      <c r="B75" t="s">
        <v>54</v>
      </c>
      <c r="C75" t="s">
        <v>15</v>
      </c>
      <c r="D75" t="s">
        <v>16</v>
      </c>
      <c r="E75" s="9" t="str">
        <f t="shared" si="2"/>
        <v>!!!</v>
      </c>
      <c r="F75" s="10" t="str">
        <f>IF(OR(E75="",E75="!!!"),"",IF(NOT(ISNA(VLOOKUP(E75,E$1:E74,1,FALSE()))),"OLD",IF(AND(E75&lt;&gt;"",E75&lt;&gt;"!!!"),"NEW","")))</f>
        <v/>
      </c>
      <c r="G75" s="11" t="str">
        <f>IF(OR(E75="",E75="!!!"),"",IF(OR(J75=0,AND(J75=1,K75=1),AND(J75=1,I75="SBJ"),AND(J75=1,I75=0)),"?IN_FOCUS",IF(J75&lt;=2,"?ACTIVATED",IF(J75&lt;&gt;"","?FAMILIAR",IF(F75="NEW",IF(ISNA(VLOOKUP(E75,#REF!,1,FALSE())),"?TYPE_IDENTIFIABLE","?REFERENTIAL"),"_")))))</f>
        <v/>
      </c>
      <c r="H75" s="12" t="str">
        <f t="shared" si="3"/>
        <v/>
      </c>
      <c r="L75" s="15"/>
    </row>
    <row r="76" spans="1:12" x14ac:dyDescent="0.35">
      <c r="A76" t="s">
        <v>26</v>
      </c>
      <c r="E76" s="9" t="str">
        <f t="shared" si="2"/>
        <v/>
      </c>
      <c r="F76" s="10" t="str">
        <f>IF(OR(E76="",E76="!!!"),"",IF(NOT(ISNA(VLOOKUP(E76,E$1:E75,1,FALSE()))),"OLD",IF(AND(E76&lt;&gt;"",E76&lt;&gt;"!!!"),"NEW","")))</f>
        <v/>
      </c>
      <c r="G76" s="11" t="str">
        <f>IF(OR(E76="",E76="!!!"),"",IF(OR(J76=0,AND(J76=1,K76=1),AND(J76=1,I76="SBJ"),AND(J76=1,I76=0)),"?IN_FOCUS",IF(J76&lt;=2,"?ACTIVATED",IF(J76&lt;&gt;"","?FAMILIAR",IF(F76="NEW",IF(ISNA(VLOOKUP(E76,#REF!,1,FALSE())),"?TYPE_IDENTIFIABLE","?REFERENTIAL"),"_")))))</f>
        <v/>
      </c>
      <c r="H76" s="12" t="str">
        <f t="shared" si="3"/>
        <v/>
      </c>
      <c r="L76" s="15"/>
    </row>
    <row r="77" spans="1:12" x14ac:dyDescent="0.35">
      <c r="A77" t="s">
        <v>73</v>
      </c>
      <c r="B77" t="s">
        <v>36</v>
      </c>
      <c r="E77" s="9" t="str">
        <f t="shared" si="2"/>
        <v/>
      </c>
      <c r="F77" s="10" t="str">
        <f>IF(OR(E77="",E77="!!!"),"",IF(NOT(ISNA(VLOOKUP(E77,E$1:E76,1,FALSE()))),"OLD",IF(AND(E77&lt;&gt;"",E77&lt;&gt;"!!!"),"NEW","")))</f>
        <v/>
      </c>
      <c r="G77" s="11" t="str">
        <f>IF(OR(E77="",E77="!!!"),"",IF(OR(J77=0,AND(J77=1,K77=1),AND(J77=1,I77="SBJ"),AND(J77=1,I77=0)),"?IN_FOCUS",IF(J77&lt;=2,"?ACTIVATED",IF(J77&lt;&gt;"","?FAMILIAR",IF(F77="NEW",IF(ISNA(VLOOKUP(E77,#REF!,1,FALSE())),"?TYPE_IDENTIFIABLE","?REFERENTIAL"),"_")))))</f>
        <v/>
      </c>
      <c r="H77" s="12" t="str">
        <f t="shared" si="3"/>
        <v/>
      </c>
      <c r="L77" s="15"/>
    </row>
    <row r="78" spans="1:12" x14ac:dyDescent="0.35">
      <c r="A78" t="s">
        <v>90</v>
      </c>
      <c r="E78" s="9" t="str">
        <f t="shared" si="2"/>
        <v/>
      </c>
      <c r="F78" s="10" t="str">
        <f>IF(OR(E78="",E78="!!!"),"",IF(NOT(ISNA(VLOOKUP(E78,E$1:E77,1,FALSE()))),"OLD",IF(AND(E78&lt;&gt;"",E78&lt;&gt;"!!!"),"NEW","")))</f>
        <v/>
      </c>
      <c r="G78" s="11" t="str">
        <f>IF(OR(E78="",E78="!!!"),"",IF(OR(J78=0,AND(J78=1,K78=1),AND(J78=1,I78="SBJ"),AND(J78=1,I78=0)),"?IN_FOCUS",IF(J78&lt;=2,"?ACTIVATED",IF(J78&lt;&gt;"","?FAMILIAR",IF(F78="NEW",IF(ISNA(VLOOKUP(E78,#REF!,1,FALSE())),"?TYPE_IDENTIFIABLE","?REFERENTIAL"),"_")))))</f>
        <v/>
      </c>
      <c r="H78" s="12" t="str">
        <f t="shared" si="3"/>
        <v/>
      </c>
      <c r="L78" s="15"/>
    </row>
    <row r="79" spans="1:12" x14ac:dyDescent="0.35">
      <c r="A79" t="s">
        <v>85</v>
      </c>
      <c r="B79" t="s">
        <v>91</v>
      </c>
      <c r="C79" t="s">
        <v>33</v>
      </c>
      <c r="D79" t="s">
        <v>869</v>
      </c>
      <c r="E79" s="9" t="s">
        <v>868</v>
      </c>
      <c r="F79" s="10" t="str">
        <f>IF(OR(E79="",E79="!!!"),"",IF(NOT(ISNA(VLOOKUP(E79,E$1:E78,1,FALSE()))),"OLD",IF(AND(E79&lt;&gt;"",E79&lt;&gt;"!!!"),"NEW","")))</f>
        <v>OLD</v>
      </c>
      <c r="G79" s="11" t="s">
        <v>877</v>
      </c>
      <c r="H79" s="12" t="str">
        <f t="shared" si="3"/>
        <v/>
      </c>
      <c r="L79" s="15"/>
    </row>
    <row r="80" spans="1:12" x14ac:dyDescent="0.35">
      <c r="A80" t="s">
        <v>92</v>
      </c>
      <c r="E80" s="9" t="str">
        <f t="shared" si="2"/>
        <v/>
      </c>
      <c r="F80" s="10" t="str">
        <f>IF(OR(E80="",E80="!!!"),"",IF(NOT(ISNA(VLOOKUP(E80,E$1:E79,1,FALSE()))),"OLD",IF(AND(E80&lt;&gt;"",E80&lt;&gt;"!!!"),"NEW","")))</f>
        <v/>
      </c>
      <c r="G80" s="11" t="str">
        <f>IF(OR(E80="",E80="!!!"),"",IF(OR(J80=0,AND(J80=1,K80=1),AND(J80=1,I80="SBJ"),AND(J80=1,I80=0)),"?IN_FOCUS",IF(J80&lt;=2,"?ACTIVATED",IF(J80&lt;&gt;"","?FAMILIAR",IF(F80="NEW",IF(ISNA(VLOOKUP(E80,#REF!,1,FALSE())),"?TYPE_IDENTIFIABLE","?REFERENTIAL"),"_")))))</f>
        <v/>
      </c>
      <c r="H80" s="12" t="str">
        <f t="shared" si="3"/>
        <v/>
      </c>
      <c r="L80" s="15"/>
    </row>
    <row r="81" spans="1:12" x14ac:dyDescent="0.35">
      <c r="A81" t="s">
        <v>45</v>
      </c>
      <c r="E81" s="9" t="str">
        <f t="shared" si="2"/>
        <v/>
      </c>
      <c r="F81" s="10" t="str">
        <f>IF(OR(E81="",E81="!!!"),"",IF(NOT(ISNA(VLOOKUP(E81,E$1:E80,1,FALSE()))),"OLD",IF(AND(E81&lt;&gt;"",E81&lt;&gt;"!!!"),"NEW","")))</f>
        <v/>
      </c>
      <c r="G81" s="11" t="str">
        <f>IF(OR(E81="",E81="!!!"),"",IF(OR(J81=0,AND(J81=1,K81=1),AND(J81=1,I81="SBJ"),AND(J81=1,I81=0)),"?IN_FOCUS",IF(J81&lt;=2,"?ACTIVATED",IF(J81&lt;&gt;"","?FAMILIAR",IF(F81="NEW",IF(ISNA(VLOOKUP(E81,#REF!,1,FALSE())),"?TYPE_IDENTIFIABLE","?REFERENTIAL"),"_")))))</f>
        <v/>
      </c>
      <c r="H81" s="12" t="str">
        <f t="shared" si="3"/>
        <v/>
      </c>
      <c r="L81" s="15"/>
    </row>
    <row r="82" spans="1:12" x14ac:dyDescent="0.35">
      <c r="A82" t="s">
        <v>93</v>
      </c>
      <c r="E82" s="9" t="str">
        <f t="shared" si="2"/>
        <v/>
      </c>
      <c r="F82" s="10" t="str">
        <f>IF(OR(E82="",E82="!!!"),"",IF(NOT(ISNA(VLOOKUP(E82,E$1:E81,1,FALSE()))),"OLD",IF(AND(E82&lt;&gt;"",E82&lt;&gt;"!!!"),"NEW","")))</f>
        <v/>
      </c>
      <c r="G82" s="11" t="str">
        <f>IF(OR(E82="",E82="!!!"),"",IF(OR(J82=0,AND(J82=1,K82=1),AND(J82=1,I82="SBJ"),AND(J82=1,I82=0)),"?IN_FOCUS",IF(J82&lt;=2,"?ACTIVATED",IF(J82&lt;&gt;"","?FAMILIAR",IF(F82="NEW",IF(ISNA(VLOOKUP(E82,#REF!,1,FALSE())),"?TYPE_IDENTIFIABLE","?REFERENTIAL"),"_")))))</f>
        <v/>
      </c>
      <c r="H82" s="12" t="str">
        <f t="shared" si="3"/>
        <v/>
      </c>
      <c r="L82" s="15"/>
    </row>
    <row r="83" spans="1:12" x14ac:dyDescent="0.35">
      <c r="A83" t="s">
        <v>53</v>
      </c>
      <c r="E83" s="9" t="str">
        <f t="shared" si="2"/>
        <v/>
      </c>
      <c r="F83" s="10" t="str">
        <f>IF(OR(E83="",E83="!!!"),"",IF(NOT(ISNA(VLOOKUP(E83,E$1:E82,1,FALSE()))),"OLD",IF(AND(E83&lt;&gt;"",E83&lt;&gt;"!!!"),"NEW","")))</f>
        <v/>
      </c>
      <c r="G83" s="11" t="str">
        <f>IF(OR(E83="",E83="!!!"),"",IF(OR(J83=0,AND(J83=1,K83=1),AND(J83=1,I83="SBJ"),AND(J83=1,I83=0)),"?IN_FOCUS",IF(J83&lt;=2,"?ACTIVATED",IF(J83&lt;&gt;"","?FAMILIAR",IF(F83="NEW",IF(ISNA(VLOOKUP(E83,#REF!,1,FALSE())),"?TYPE_IDENTIFIABLE","?REFERENTIAL"),"_")))))</f>
        <v/>
      </c>
      <c r="H83" s="12" t="str">
        <f t="shared" si="3"/>
        <v/>
      </c>
      <c r="L83" s="15"/>
    </row>
    <row r="84" spans="1:12" x14ac:dyDescent="0.35">
      <c r="A84" t="s">
        <v>94</v>
      </c>
      <c r="B84" t="s">
        <v>95</v>
      </c>
      <c r="C84" t="s">
        <v>37</v>
      </c>
      <c r="E84" s="9" t="str">
        <f t="shared" si="2"/>
        <v/>
      </c>
      <c r="F84" s="10" t="str">
        <f>IF(OR(E84="",E84="!!!"),"",IF(NOT(ISNA(VLOOKUP(E84,E$1:E83,1,FALSE()))),"OLD",IF(AND(E84&lt;&gt;"",E84&lt;&gt;"!!!"),"NEW","")))</f>
        <v/>
      </c>
      <c r="G84" s="11" t="str">
        <f>IF(OR(E84="",E84="!!!"),"",IF(OR(J84=0,AND(J84=1,K84=1),AND(J84=1,I84="SBJ"),AND(J84=1,I84=0)),"?IN_FOCUS",IF(J84&lt;=2,"?ACTIVATED",IF(J84&lt;&gt;"","?FAMILIAR",IF(F84="NEW",IF(ISNA(VLOOKUP(E84,#REF!,1,FALSE())),"?TYPE_IDENTIFIABLE","?REFERENTIAL"),"_")))))</f>
        <v/>
      </c>
      <c r="H84" s="12" t="str">
        <f t="shared" si="3"/>
        <v/>
      </c>
      <c r="L84" s="15"/>
    </row>
    <row r="85" spans="1:12" x14ac:dyDescent="0.35">
      <c r="A85" t="s">
        <v>63</v>
      </c>
      <c r="E85" s="9" t="str">
        <f t="shared" si="2"/>
        <v/>
      </c>
      <c r="F85" s="10" t="str">
        <f>IF(OR(E85="",E85="!!!"),"",IF(NOT(ISNA(VLOOKUP(E85,E$1:E84,1,FALSE()))),"OLD",IF(AND(E85&lt;&gt;"",E85&lt;&gt;"!!!"),"NEW","")))</f>
        <v/>
      </c>
      <c r="G85" s="11" t="str">
        <f>IF(OR(E85="",E85="!!!"),"",IF(OR(J85=0,AND(J85=1,K85=1),AND(J85=1,I85="SBJ"),AND(J85=1,I85=0)),"?IN_FOCUS",IF(J85&lt;=2,"?ACTIVATED",IF(J85&lt;&gt;"","?FAMILIAR",IF(F85="NEW",IF(ISNA(VLOOKUP(E85,#REF!,1,FALSE())),"?TYPE_IDENTIFIABLE","?REFERENTIAL"),"_")))))</f>
        <v/>
      </c>
      <c r="H85" s="12" t="str">
        <f t="shared" si="3"/>
        <v/>
      </c>
      <c r="L85" s="15"/>
    </row>
    <row r="86" spans="1:12" x14ac:dyDescent="0.35">
      <c r="E86" s="9" t="str">
        <f t="shared" si="2"/>
        <v/>
      </c>
      <c r="F86" s="10" t="str">
        <f>IF(OR(E86="",E86="!!!"),"",IF(NOT(ISNA(VLOOKUP(E86,E$1:E85,1,FALSE()))),"OLD",IF(AND(E86&lt;&gt;"",E86&lt;&gt;"!!!"),"NEW","")))</f>
        <v/>
      </c>
      <c r="G86" s="11" t="str">
        <f>IF(OR(E86="",E86="!!!"),"",IF(OR(J86=0,AND(J86=1,K86=1),AND(J86=1,I86="SBJ"),AND(J86=1,I86=0)),"?IN_FOCUS",IF(J86&lt;=2,"?ACTIVATED",IF(J86&lt;&gt;"","?FAMILIAR",IF(F86="NEW",IF(ISNA(VLOOKUP(E86,#REF!,1,FALSE())),"?TYPE_IDENTIFIABLE","?REFERENTIAL"),"_")))))</f>
        <v/>
      </c>
      <c r="H86" s="12" t="str">
        <f t="shared" si="3"/>
        <v/>
      </c>
      <c r="L86" s="15"/>
    </row>
    <row r="87" spans="1:12" x14ac:dyDescent="0.35">
      <c r="A87" t="s">
        <v>96</v>
      </c>
      <c r="E87" s="9" t="str">
        <f t="shared" si="2"/>
        <v/>
      </c>
      <c r="F87" s="10" t="str">
        <f>IF(OR(E87="",E87="!!!"),"",IF(NOT(ISNA(VLOOKUP(E87,E$1:E86,1,FALSE()))),"OLD",IF(AND(E87&lt;&gt;"",E87&lt;&gt;"!!!"),"NEW","")))</f>
        <v/>
      </c>
      <c r="G87" s="11" t="str">
        <f>IF(OR(E87="",E87="!!!"),"",IF(OR(J87=0,AND(J87=1,K87=1),AND(J87=1,I87="SBJ"),AND(J87=1,I87=0)),"?IN_FOCUS",IF(J87&lt;=2,"?ACTIVATED",IF(J87&lt;&gt;"","?FAMILIAR",IF(F87="NEW",IF(ISNA(VLOOKUP(E87,#REF!,1,FALSE())),"?TYPE_IDENTIFIABLE","?REFERENTIAL"),"_")))))</f>
        <v/>
      </c>
      <c r="H87" s="12" t="str">
        <f t="shared" si="3"/>
        <v/>
      </c>
      <c r="L87" s="15"/>
    </row>
    <row r="88" spans="1:12" x14ac:dyDescent="0.35">
      <c r="A88" t="s">
        <v>97</v>
      </c>
      <c r="E88" s="9" t="str">
        <f t="shared" si="2"/>
        <v/>
      </c>
      <c r="F88" s="10" t="str">
        <f>IF(OR(E88="",E88="!!!"),"",IF(NOT(ISNA(VLOOKUP(E88,E$1:E87,1,FALSE()))),"OLD",IF(AND(E88&lt;&gt;"",E88&lt;&gt;"!!!"),"NEW","")))</f>
        <v/>
      </c>
      <c r="G88" s="11" t="str">
        <f>IF(OR(E88="",E88="!!!"),"",IF(OR(J88=0,AND(J88=1,K88=1),AND(J88=1,I88="SBJ"),AND(J88=1,I88=0)),"?IN_FOCUS",IF(J88&lt;=2,"?ACTIVATED",IF(J88&lt;&gt;"","?FAMILIAR",IF(F88="NEW",IF(ISNA(VLOOKUP(E88,#REF!,1,FALSE())),"?TYPE_IDENTIFIABLE","?REFERENTIAL"),"_")))))</f>
        <v/>
      </c>
      <c r="H88" s="12" t="str">
        <f t="shared" si="3"/>
        <v/>
      </c>
      <c r="L88" s="15"/>
    </row>
    <row r="89" spans="1:12" x14ac:dyDescent="0.35">
      <c r="A89" t="s">
        <v>98</v>
      </c>
      <c r="B89" t="s">
        <v>14</v>
      </c>
      <c r="C89" t="s">
        <v>99</v>
      </c>
      <c r="D89" t="s">
        <v>16</v>
      </c>
      <c r="E89" s="9" t="s">
        <v>262</v>
      </c>
      <c r="F89" s="10" t="str">
        <f>IF(OR(E89="",E89="!!!"),"",IF(NOT(ISNA(VLOOKUP(E89,E$1:E88,1,FALSE()))),"OLD",IF(AND(E89&lt;&gt;"",E89&lt;&gt;"!!!"),"NEW","")))</f>
        <v>OLD</v>
      </c>
      <c r="G89" s="11"/>
      <c r="H89" s="12" t="str">
        <f t="shared" si="3"/>
        <v/>
      </c>
      <c r="L89" s="15"/>
    </row>
    <row r="90" spans="1:12" x14ac:dyDescent="0.35">
      <c r="A90" t="s">
        <v>26</v>
      </c>
      <c r="E90" s="9" t="str">
        <f t="shared" si="2"/>
        <v/>
      </c>
      <c r="F90" s="10" t="str">
        <f>IF(OR(E90="",E90="!!!"),"",IF(NOT(ISNA(VLOOKUP(E90,E$1:E89,1,FALSE()))),"OLD",IF(AND(E90&lt;&gt;"",E90&lt;&gt;"!!!"),"NEW","")))</f>
        <v/>
      </c>
      <c r="G90" s="11" t="str">
        <f>IF(OR(E90="",E90="!!!"),"",IF(OR(J90=0,AND(J90=1,K90=1),AND(J90=1,I90="SBJ"),AND(J90=1,I90=0)),"?IN_FOCUS",IF(J90&lt;=2,"?ACTIVATED",IF(J90&lt;&gt;"","?FAMILIAR",IF(F90="NEW",IF(ISNA(VLOOKUP(E90,#REF!,1,FALSE())),"?TYPE_IDENTIFIABLE","?REFERENTIAL"),"_")))))</f>
        <v/>
      </c>
      <c r="H90" s="12" t="str">
        <f t="shared" si="3"/>
        <v/>
      </c>
      <c r="L90" s="15"/>
    </row>
    <row r="91" spans="1:12" x14ac:dyDescent="0.35">
      <c r="A91" t="s">
        <v>100</v>
      </c>
      <c r="E91" s="9" t="str">
        <f t="shared" si="2"/>
        <v/>
      </c>
      <c r="F91" s="10" t="str">
        <f>IF(OR(E91="",E91="!!!"),"",IF(NOT(ISNA(VLOOKUP(E91,E$1:E90,1,FALSE()))),"OLD",IF(AND(E91&lt;&gt;"",E91&lt;&gt;"!!!"),"NEW","")))</f>
        <v/>
      </c>
      <c r="G91" s="11" t="str">
        <f>IF(OR(E91="",E91="!!!"),"",IF(OR(J91=0,AND(J91=1,K91=1),AND(J91=1,I91="SBJ"),AND(J91=1,I91=0)),"?IN_FOCUS",IF(J91&lt;=2,"?ACTIVATED",IF(J91&lt;&gt;"","?FAMILIAR",IF(F91="NEW",IF(ISNA(VLOOKUP(E91,#REF!,1,FALSE())),"?TYPE_IDENTIFIABLE","?REFERENTIAL"),"_")))))</f>
        <v/>
      </c>
      <c r="H91" s="12" t="str">
        <f t="shared" si="3"/>
        <v/>
      </c>
      <c r="L91" s="15"/>
    </row>
    <row r="92" spans="1:12" x14ac:dyDescent="0.35">
      <c r="A92" t="s">
        <v>26</v>
      </c>
      <c r="E92" s="9" t="str">
        <f t="shared" si="2"/>
        <v/>
      </c>
      <c r="F92" s="10" t="str">
        <f>IF(OR(E92="",E92="!!!"),"",IF(NOT(ISNA(VLOOKUP(E92,E$1:E91,1,FALSE()))),"OLD",IF(AND(E92&lt;&gt;"",E92&lt;&gt;"!!!"),"NEW","")))</f>
        <v/>
      </c>
      <c r="G92" s="11" t="str">
        <f>IF(OR(E92="",E92="!!!"),"",IF(OR(J92=0,AND(J92=1,K92=1),AND(J92=1,I92="SBJ"),AND(J92=1,I92=0)),"?IN_FOCUS",IF(J92&lt;=2,"?ACTIVATED",IF(J92&lt;&gt;"","?FAMILIAR",IF(F92="NEW",IF(ISNA(VLOOKUP(E92,#REF!,1,FALSE())),"?TYPE_IDENTIFIABLE","?REFERENTIAL"),"_")))))</f>
        <v/>
      </c>
      <c r="H92" s="12" t="str">
        <f t="shared" si="3"/>
        <v/>
      </c>
      <c r="L92" s="15"/>
    </row>
    <row r="93" spans="1:12" x14ac:dyDescent="0.35">
      <c r="A93" t="s">
        <v>42</v>
      </c>
      <c r="E93" s="9" t="str">
        <f t="shared" si="2"/>
        <v/>
      </c>
      <c r="F93" s="10" t="str">
        <f>IF(OR(E93="",E93="!!!"),"",IF(NOT(ISNA(VLOOKUP(E93,E$1:E92,1,FALSE()))),"OLD",IF(AND(E93&lt;&gt;"",E93&lt;&gt;"!!!"),"NEW","")))</f>
        <v/>
      </c>
      <c r="G93" s="11" t="str">
        <f>IF(OR(E93="",E93="!!!"),"",IF(OR(J93=0,AND(J93=1,K93=1),AND(J93=1,I93="SBJ"),AND(J93=1,I93=0)),"?IN_FOCUS",IF(J93&lt;=2,"?ACTIVATED",IF(J93&lt;&gt;"","?FAMILIAR",IF(F93="NEW",IF(ISNA(VLOOKUP(E93,#REF!,1,FALSE())),"?TYPE_IDENTIFIABLE","?REFERENTIAL"),"_")))))</f>
        <v/>
      </c>
      <c r="H93" s="12" t="str">
        <f t="shared" si="3"/>
        <v/>
      </c>
      <c r="L93" s="15"/>
    </row>
    <row r="94" spans="1:12" x14ac:dyDescent="0.35">
      <c r="A94" t="s">
        <v>101</v>
      </c>
      <c r="E94" s="9" t="str">
        <f t="shared" si="2"/>
        <v/>
      </c>
      <c r="F94" s="10" t="str">
        <f>IF(OR(E94="",E94="!!!"),"",IF(NOT(ISNA(VLOOKUP(E94,E$1:E93,1,FALSE()))),"OLD",IF(AND(E94&lt;&gt;"",E94&lt;&gt;"!!!"),"NEW","")))</f>
        <v/>
      </c>
      <c r="G94" s="11" t="str">
        <f>IF(OR(E94="",E94="!!!"),"",IF(OR(J94=0,AND(J94=1,K94=1),AND(J94=1,I94="SBJ"),AND(J94=1,I94=0)),"?IN_FOCUS",IF(J94&lt;=2,"?ACTIVATED",IF(J94&lt;&gt;"","?FAMILIAR",IF(F94="NEW",IF(ISNA(VLOOKUP(E94,#REF!,1,FALSE())),"?TYPE_IDENTIFIABLE","?REFERENTIAL"),"_")))))</f>
        <v/>
      </c>
      <c r="H94" s="12" t="str">
        <f t="shared" si="3"/>
        <v/>
      </c>
      <c r="L94" s="15"/>
    </row>
    <row r="95" spans="1:12" x14ac:dyDescent="0.35">
      <c r="A95" t="s">
        <v>102</v>
      </c>
      <c r="E95" s="9" t="str">
        <f t="shared" si="2"/>
        <v/>
      </c>
      <c r="F95" s="10" t="str">
        <f>IF(OR(E95="",E95="!!!"),"",IF(NOT(ISNA(VLOOKUP(E95,E$1:E94,1,FALSE()))),"OLD",IF(AND(E95&lt;&gt;"",E95&lt;&gt;"!!!"),"NEW","")))</f>
        <v/>
      </c>
      <c r="G95" s="11" t="str">
        <f>IF(OR(E95="",E95="!!!"),"",IF(OR(J95=0,AND(J95=1,K95=1),AND(J95=1,I95="SBJ"),AND(J95=1,I95=0)),"?IN_FOCUS",IF(J95&lt;=2,"?ACTIVATED",IF(J95&lt;&gt;"","?FAMILIAR",IF(F95="NEW",IF(ISNA(VLOOKUP(E95,#REF!,1,FALSE())),"?TYPE_IDENTIFIABLE","?REFERENTIAL"),"_")))))</f>
        <v/>
      </c>
      <c r="H95" s="12" t="str">
        <f t="shared" si="3"/>
        <v/>
      </c>
      <c r="L95" s="15"/>
    </row>
    <row r="96" spans="1:12" x14ac:dyDescent="0.35">
      <c r="A96" t="s">
        <v>103</v>
      </c>
      <c r="E96" s="9" t="str">
        <f t="shared" si="2"/>
        <v/>
      </c>
      <c r="F96" s="10" t="str">
        <f>IF(OR(E96="",E96="!!!"),"",IF(NOT(ISNA(VLOOKUP(E96,E$1:E95,1,FALSE()))),"OLD",IF(AND(E96&lt;&gt;"",E96&lt;&gt;"!!!"),"NEW","")))</f>
        <v/>
      </c>
      <c r="G96" s="11" t="str">
        <f>IF(OR(E96="",E96="!!!"),"",IF(OR(J96=0,AND(J96=1,K96=1),AND(J96=1,I96="SBJ"),AND(J96=1,I96=0)),"?IN_FOCUS",IF(J96&lt;=2,"?ACTIVATED",IF(J96&lt;&gt;"","?FAMILIAR",IF(F96="NEW",IF(ISNA(VLOOKUP(E96,#REF!,1,FALSE())),"?TYPE_IDENTIFIABLE","?REFERENTIAL"),"_")))))</f>
        <v/>
      </c>
      <c r="H96" s="12" t="str">
        <f t="shared" si="3"/>
        <v/>
      </c>
      <c r="L96" s="15"/>
    </row>
    <row r="97" spans="1:12" x14ac:dyDescent="0.35">
      <c r="A97" t="s">
        <v>78</v>
      </c>
      <c r="B97" t="s">
        <v>54</v>
      </c>
      <c r="C97" t="s">
        <v>80</v>
      </c>
      <c r="D97" t="s">
        <v>869</v>
      </c>
      <c r="E97" s="9" t="s">
        <v>262</v>
      </c>
      <c r="F97" s="10" t="s">
        <v>876</v>
      </c>
      <c r="G97" s="11"/>
      <c r="H97" s="12" t="str">
        <f t="shared" si="3"/>
        <v/>
      </c>
      <c r="L97" s="15"/>
    </row>
    <row r="98" spans="1:12" x14ac:dyDescent="0.35">
      <c r="A98" t="s">
        <v>81</v>
      </c>
      <c r="B98" t="s">
        <v>41</v>
      </c>
      <c r="E98" s="9" t="str">
        <f t="shared" si="2"/>
        <v/>
      </c>
      <c r="F98" s="10" t="str">
        <f>IF(OR(E98="",E98="!!!"),"",IF(NOT(ISNA(VLOOKUP(E98,E$1:E97,1,FALSE()))),"OLD",IF(AND(E98&lt;&gt;"",E98&lt;&gt;"!!!"),"NEW","")))</f>
        <v/>
      </c>
      <c r="G98" s="11" t="str">
        <f>IF(OR(E98="",E98="!!!"),"",IF(OR(J98=0,AND(J98=1,K98=1),AND(J98=1,I98="SBJ"),AND(J98=1,I98=0)),"?IN_FOCUS",IF(J98&lt;=2,"?ACTIVATED",IF(J98&lt;&gt;"","?FAMILIAR",IF(F98="NEW",IF(ISNA(VLOOKUP(E98,#REF!,1,FALSE())),"?TYPE_IDENTIFIABLE","?REFERENTIAL"),"_")))))</f>
        <v/>
      </c>
      <c r="H98" s="12" t="str">
        <f t="shared" si="3"/>
        <v/>
      </c>
      <c r="L98" s="15"/>
    </row>
    <row r="99" spans="1:12" x14ac:dyDescent="0.35">
      <c r="A99" t="s">
        <v>83</v>
      </c>
      <c r="E99" s="9" t="str">
        <f t="shared" si="2"/>
        <v/>
      </c>
      <c r="F99" s="10" t="str">
        <f>IF(OR(E99="",E99="!!!"),"",IF(NOT(ISNA(VLOOKUP(E99,E$1:E98,1,FALSE()))),"OLD",IF(AND(E99&lt;&gt;"",E99&lt;&gt;"!!!"),"NEW","")))</f>
        <v/>
      </c>
      <c r="G99" s="11" t="str">
        <f>IF(OR(E99="",E99="!!!"),"",IF(OR(J99=0,AND(J99=1,K99=1),AND(J99=1,I99="SBJ"),AND(J99=1,I99=0)),"?IN_FOCUS",IF(J99&lt;=2,"?ACTIVATED",IF(J99&lt;&gt;"","?FAMILIAR",IF(F99="NEW",IF(ISNA(VLOOKUP(E99,#REF!,1,FALSE())),"?TYPE_IDENTIFIABLE","?REFERENTIAL"),"_")))))</f>
        <v/>
      </c>
      <c r="H99" s="12" t="str">
        <f t="shared" si="3"/>
        <v/>
      </c>
      <c r="L99" s="15"/>
    </row>
    <row r="100" spans="1:12" x14ac:dyDescent="0.35">
      <c r="A100" t="s">
        <v>104</v>
      </c>
      <c r="E100" s="9" t="str">
        <f t="shared" si="2"/>
        <v/>
      </c>
      <c r="F100" s="10" t="str">
        <f>IF(OR(E100="",E100="!!!"),"",IF(NOT(ISNA(VLOOKUP(E100,E$1:E99,1,FALSE()))),"OLD",IF(AND(E100&lt;&gt;"",E100&lt;&gt;"!!!"),"NEW","")))</f>
        <v/>
      </c>
      <c r="G100" s="11" t="str">
        <f>IF(OR(E100="",E100="!!!"),"",IF(OR(J100=0,AND(J100=1,K100=1),AND(J100=1,I100="SBJ"),AND(J100=1,I100=0)),"?IN_FOCUS",IF(J100&lt;=2,"?ACTIVATED",IF(J100&lt;&gt;"","?FAMILIAR",IF(F100="NEW",IF(ISNA(VLOOKUP(E100,#REF!,1,FALSE())),"?TYPE_IDENTIFIABLE","?REFERENTIAL"),"_")))))</f>
        <v/>
      </c>
      <c r="H100" s="12" t="str">
        <f t="shared" si="3"/>
        <v/>
      </c>
      <c r="L100" s="15"/>
    </row>
    <row r="101" spans="1:12" x14ac:dyDescent="0.35">
      <c r="A101" t="s">
        <v>105</v>
      </c>
      <c r="E101" s="9" t="str">
        <f t="shared" si="2"/>
        <v/>
      </c>
      <c r="F101" s="10" t="str">
        <f>IF(OR(E101="",E101="!!!"),"",IF(NOT(ISNA(VLOOKUP(E101,E$1:E100,1,FALSE()))),"OLD",IF(AND(E101&lt;&gt;"",E101&lt;&gt;"!!!"),"NEW","")))</f>
        <v/>
      </c>
      <c r="G101" s="11" t="str">
        <f>IF(OR(E101="",E101="!!!"),"",IF(OR(J101=0,AND(J101=1,K101=1),AND(J101=1,I101="SBJ"),AND(J101=1,I101=0)),"?IN_FOCUS",IF(J101&lt;=2,"?ACTIVATED",IF(J101&lt;&gt;"","?FAMILIAR",IF(F101="NEW",IF(ISNA(VLOOKUP(E101,#REF!,1,FALSE())),"?TYPE_IDENTIFIABLE","?REFERENTIAL"),"_")))))</f>
        <v/>
      </c>
      <c r="H101" s="12" t="str">
        <f t="shared" si="3"/>
        <v/>
      </c>
      <c r="L101" s="15"/>
    </row>
    <row r="102" spans="1:12" x14ac:dyDescent="0.35">
      <c r="A102" t="s">
        <v>47</v>
      </c>
      <c r="B102" t="s">
        <v>56</v>
      </c>
      <c r="C102" t="s">
        <v>49</v>
      </c>
      <c r="D102" t="s">
        <v>869</v>
      </c>
      <c r="E102" s="9" t="s">
        <v>868</v>
      </c>
      <c r="F102" s="10" t="str">
        <f>IF(OR(E102="",E102="!!!"),"",IF(NOT(ISNA(VLOOKUP(E102,E$1:E101,1,FALSE()))),"OLD",IF(AND(E102&lt;&gt;"",E102&lt;&gt;"!!!"),"NEW","")))</f>
        <v>OLD</v>
      </c>
      <c r="G102" s="11" t="s">
        <v>877</v>
      </c>
      <c r="H102" s="12" t="str">
        <f t="shared" si="3"/>
        <v/>
      </c>
      <c r="L102" s="15"/>
    </row>
    <row r="103" spans="1:12" x14ac:dyDescent="0.35">
      <c r="A103" t="s">
        <v>106</v>
      </c>
      <c r="B103" t="s">
        <v>20</v>
      </c>
      <c r="C103" t="s">
        <v>15</v>
      </c>
      <c r="D103" t="s">
        <v>16</v>
      </c>
      <c r="E103" s="9" t="s">
        <v>262</v>
      </c>
      <c r="F103" s="10" t="s">
        <v>876</v>
      </c>
      <c r="G103" s="11"/>
      <c r="H103" s="12" t="str">
        <f t="shared" si="3"/>
        <v/>
      </c>
      <c r="L103" s="15"/>
    </row>
    <row r="104" spans="1:12" x14ac:dyDescent="0.35">
      <c r="A104" t="s">
        <v>76</v>
      </c>
      <c r="E104" s="9" t="str">
        <f t="shared" si="2"/>
        <v/>
      </c>
      <c r="F104" s="10" t="str">
        <f>IF(OR(E104="",E104="!!!"),"",IF(NOT(ISNA(VLOOKUP(E104,E$1:E103,1,FALSE()))),"OLD",IF(AND(E104&lt;&gt;"",E104&lt;&gt;"!!!"),"NEW","")))</f>
        <v/>
      </c>
      <c r="G104" s="11" t="str">
        <f>IF(OR(E104="",E104="!!!"),"",IF(OR(J104=0,AND(J104=1,K104=1),AND(J104=1,I104="SBJ"),AND(J104=1,I104=0)),"?IN_FOCUS",IF(J104&lt;=2,"?ACTIVATED",IF(J104&lt;&gt;"","?FAMILIAR",IF(F104="NEW",IF(ISNA(VLOOKUP(E104,#REF!,1,FALSE())),"?TYPE_IDENTIFIABLE","?REFERENTIAL"),"_")))))</f>
        <v/>
      </c>
      <c r="H104" s="12" t="str">
        <f t="shared" si="3"/>
        <v/>
      </c>
      <c r="L104" s="15"/>
    </row>
    <row r="105" spans="1:12" x14ac:dyDescent="0.35">
      <c r="A105" t="s">
        <v>107</v>
      </c>
      <c r="B105" t="s">
        <v>56</v>
      </c>
      <c r="C105" t="s">
        <v>108</v>
      </c>
      <c r="E105" s="9" t="str">
        <f t="shared" si="2"/>
        <v/>
      </c>
      <c r="F105" s="10" t="str">
        <f>IF(OR(E105="",E105="!!!"),"",IF(NOT(ISNA(VLOOKUP(E105,E$1:E104,1,FALSE()))),"OLD",IF(AND(E105&lt;&gt;"",E105&lt;&gt;"!!!"),"NEW","")))</f>
        <v/>
      </c>
      <c r="G105" s="11" t="str">
        <f>IF(OR(E105="",E105="!!!"),"",IF(OR(J105=0,AND(J105=1,K105=1),AND(J105=1,I105="SBJ"),AND(J105=1,I105=0)),"?IN_FOCUS",IF(J105&lt;=2,"?ACTIVATED",IF(J105&lt;&gt;"","?FAMILIAR",IF(F105="NEW",IF(ISNA(VLOOKUP(E105,#REF!,1,FALSE())),"?TYPE_IDENTIFIABLE","?REFERENTIAL"),"_")))))</f>
        <v/>
      </c>
      <c r="H105" s="12" t="str">
        <f t="shared" si="3"/>
        <v/>
      </c>
      <c r="L105" s="15"/>
    </row>
    <row r="106" spans="1:12" x14ac:dyDescent="0.35">
      <c r="A106" t="s">
        <v>63</v>
      </c>
      <c r="E106" s="9" t="str">
        <f t="shared" si="2"/>
        <v/>
      </c>
      <c r="F106" s="10" t="str">
        <f>IF(OR(E106="",E106="!!!"),"",IF(NOT(ISNA(VLOOKUP(E106,E$1:E105,1,FALSE()))),"OLD",IF(AND(E106&lt;&gt;"",E106&lt;&gt;"!!!"),"NEW","")))</f>
        <v/>
      </c>
      <c r="G106" s="11" t="str">
        <f>IF(OR(E106="",E106="!!!"),"",IF(OR(J106=0,AND(J106=1,K106=1),AND(J106=1,I106="SBJ"),AND(J106=1,I106=0)),"?IN_FOCUS",IF(J106&lt;=2,"?ACTIVATED",IF(J106&lt;&gt;"","?FAMILIAR",IF(F106="NEW",IF(ISNA(VLOOKUP(E106,#REF!,1,FALSE())),"?TYPE_IDENTIFIABLE","?REFERENTIAL"),"_")))))</f>
        <v/>
      </c>
      <c r="H106" s="12" t="str">
        <f t="shared" si="3"/>
        <v/>
      </c>
      <c r="L106" s="15"/>
    </row>
    <row r="107" spans="1:12" x14ac:dyDescent="0.35">
      <c r="E107" s="9" t="str">
        <f t="shared" si="2"/>
        <v/>
      </c>
      <c r="F107" s="10" t="str">
        <f>IF(OR(E107="",E107="!!!"),"",IF(NOT(ISNA(VLOOKUP(E107,E$1:E106,1,FALSE()))),"OLD",IF(AND(E107&lt;&gt;"",E107&lt;&gt;"!!!"),"NEW","")))</f>
        <v/>
      </c>
      <c r="G107" s="11" t="str">
        <f>IF(OR(E107="",E107="!!!"),"",IF(OR(J107=0,AND(J107=1,K107=1),AND(J107=1,I107="SBJ"),AND(J107=1,I107=0)),"?IN_FOCUS",IF(J107&lt;=2,"?ACTIVATED",IF(J107&lt;&gt;"","?FAMILIAR",IF(F107="NEW",IF(ISNA(VLOOKUP(E107,#REF!,1,FALSE())),"?TYPE_IDENTIFIABLE","?REFERENTIAL"),"_")))))</f>
        <v/>
      </c>
      <c r="H107" s="12" t="str">
        <f t="shared" si="3"/>
        <v/>
      </c>
      <c r="L107" s="15"/>
    </row>
    <row r="108" spans="1:12" x14ac:dyDescent="0.35">
      <c r="A108" t="s">
        <v>109</v>
      </c>
      <c r="E108" s="9" t="str">
        <f t="shared" si="2"/>
        <v/>
      </c>
      <c r="F108" s="10" t="str">
        <f>IF(OR(E108="",E108="!!!"),"",IF(NOT(ISNA(VLOOKUP(E108,E$1:E107,1,FALSE()))),"OLD",IF(AND(E108&lt;&gt;"",E108&lt;&gt;"!!!"),"NEW","")))</f>
        <v/>
      </c>
      <c r="G108" s="11" t="str">
        <f>IF(OR(E108="",E108="!!!"),"",IF(OR(J108=0,AND(J108=1,K108=1),AND(J108=1,I108="SBJ"),AND(J108=1,I108=0)),"?IN_FOCUS",IF(J108&lt;=2,"?ACTIVATED",IF(J108&lt;&gt;"","?FAMILIAR",IF(F108="NEW",IF(ISNA(VLOOKUP(E108,#REF!,1,FALSE())),"?TYPE_IDENTIFIABLE","?REFERENTIAL"),"_")))))</f>
        <v/>
      </c>
      <c r="H108" s="12" t="str">
        <f t="shared" si="3"/>
        <v/>
      </c>
      <c r="L108" s="15"/>
    </row>
    <row r="109" spans="1:12" x14ac:dyDescent="0.35">
      <c r="A109" t="s">
        <v>110</v>
      </c>
      <c r="B109" t="s">
        <v>14</v>
      </c>
      <c r="C109" t="s">
        <v>33</v>
      </c>
      <c r="D109" t="s">
        <v>867</v>
      </c>
      <c r="E109" s="9" t="s">
        <v>365</v>
      </c>
      <c r="F109" s="10" t="str">
        <f>IF(OR(E109="",E109="!!!"),"",IF(NOT(ISNA(VLOOKUP(E109,E$1:E108,1,FALSE()))),"OLD",IF(AND(E109&lt;&gt;"",E109&lt;&gt;"!!!"),"NEW","")))</f>
        <v>NEW</v>
      </c>
      <c r="G109" s="11" t="s">
        <v>870</v>
      </c>
      <c r="H109" s="12" t="str">
        <f t="shared" si="3"/>
        <v/>
      </c>
      <c r="L109" s="15"/>
    </row>
    <row r="110" spans="1:12" x14ac:dyDescent="0.35">
      <c r="A110" t="s">
        <v>111</v>
      </c>
      <c r="E110" s="9" t="str">
        <f t="shared" si="2"/>
        <v/>
      </c>
      <c r="F110" s="10" t="str">
        <f>IF(OR(E110="",E110="!!!"),"",IF(NOT(ISNA(VLOOKUP(E110,E$1:E109,1,FALSE()))),"OLD",IF(AND(E110&lt;&gt;"",E110&lt;&gt;"!!!"),"NEW","")))</f>
        <v/>
      </c>
      <c r="G110" s="11" t="str">
        <f>IF(OR(E110="",E110="!!!"),"",IF(OR(J110=0,AND(J110=1,K110=1),AND(J110=1,I110="SBJ"),AND(J110=1,I110=0)),"?IN_FOCUS",IF(J110&lt;=2,"?ACTIVATED",IF(J110&lt;&gt;"","?FAMILIAR",IF(F110="NEW",IF(ISNA(VLOOKUP(E110,#REF!,1,FALSE())),"?TYPE_IDENTIFIABLE","?REFERENTIAL"),"_")))))</f>
        <v/>
      </c>
      <c r="H110" s="12" t="str">
        <f t="shared" si="3"/>
        <v/>
      </c>
      <c r="L110" s="15"/>
    </row>
    <row r="111" spans="1:12" x14ac:dyDescent="0.35">
      <c r="A111" t="s">
        <v>112</v>
      </c>
      <c r="E111" s="9" t="str">
        <f t="shared" si="2"/>
        <v/>
      </c>
      <c r="F111" s="10" t="str">
        <f>IF(OR(E111="",E111="!!!"),"",IF(NOT(ISNA(VLOOKUP(E111,E$1:E110,1,FALSE()))),"OLD",IF(AND(E111&lt;&gt;"",E111&lt;&gt;"!!!"),"NEW","")))</f>
        <v/>
      </c>
      <c r="G111" s="11" t="str">
        <f>IF(OR(E111="",E111="!!!"),"",IF(OR(J111=0,AND(J111=1,K111=1),AND(J111=1,I111="SBJ"),AND(J111=1,I111=0)),"?IN_FOCUS",IF(J111&lt;=2,"?ACTIVATED",IF(J111&lt;&gt;"","?FAMILIAR",IF(F111="NEW",IF(ISNA(VLOOKUP(E111,#REF!,1,FALSE())),"?TYPE_IDENTIFIABLE","?REFERENTIAL"),"_")))))</f>
        <v/>
      </c>
      <c r="H111" s="12" t="str">
        <f t="shared" si="3"/>
        <v/>
      </c>
      <c r="L111" s="15"/>
    </row>
    <row r="112" spans="1:12" x14ac:dyDescent="0.35">
      <c r="A112" t="s">
        <v>113</v>
      </c>
      <c r="E112" s="9" t="str">
        <f t="shared" si="2"/>
        <v/>
      </c>
      <c r="F112" s="10" t="str">
        <f>IF(OR(E112="",E112="!!!"),"",IF(NOT(ISNA(VLOOKUP(E112,E$1:E111,1,FALSE()))),"OLD",IF(AND(E112&lt;&gt;"",E112&lt;&gt;"!!!"),"NEW","")))</f>
        <v/>
      </c>
      <c r="G112" s="11" t="str">
        <f>IF(OR(E112="",E112="!!!"),"",IF(OR(J112=0,AND(J112=1,K112=1),AND(J112=1,I112="SBJ"),AND(J112=1,I112=0)),"?IN_FOCUS",IF(J112&lt;=2,"?ACTIVATED",IF(J112&lt;&gt;"","?FAMILIAR",IF(F112="NEW",IF(ISNA(VLOOKUP(E112,#REF!,1,FALSE())),"?TYPE_IDENTIFIABLE","?REFERENTIAL"),"_")))))</f>
        <v/>
      </c>
      <c r="H112" s="12" t="str">
        <f t="shared" si="3"/>
        <v/>
      </c>
      <c r="L112" s="15"/>
    </row>
    <row r="113" spans="1:12" x14ac:dyDescent="0.35">
      <c r="A113" t="s">
        <v>114</v>
      </c>
      <c r="E113" s="9" t="str">
        <f t="shared" si="2"/>
        <v/>
      </c>
      <c r="F113" s="10" t="str">
        <f>IF(OR(E113="",E113="!!!"),"",IF(NOT(ISNA(VLOOKUP(E113,E$1:E112,1,FALSE()))),"OLD",IF(AND(E113&lt;&gt;"",E113&lt;&gt;"!!!"),"NEW","")))</f>
        <v/>
      </c>
      <c r="G113" s="11" t="str">
        <f>IF(OR(E113="",E113="!!!"),"",IF(OR(J113=0,AND(J113=1,K113=1),AND(J113=1,I113="SBJ"),AND(J113=1,I113=0)),"?IN_FOCUS",IF(J113&lt;=2,"?ACTIVATED",IF(J113&lt;&gt;"","?FAMILIAR",IF(F113="NEW",IF(ISNA(VLOOKUP(E113,#REF!,1,FALSE())),"?TYPE_IDENTIFIABLE","?REFERENTIAL"),"_")))))</f>
        <v/>
      </c>
      <c r="H113" s="12" t="str">
        <f t="shared" si="3"/>
        <v/>
      </c>
      <c r="L113" s="15"/>
    </row>
    <row r="114" spans="1:12" x14ac:dyDescent="0.35">
      <c r="A114" t="s">
        <v>31</v>
      </c>
      <c r="B114" t="s">
        <v>54</v>
      </c>
      <c r="C114" t="s">
        <v>33</v>
      </c>
      <c r="D114" t="s">
        <v>869</v>
      </c>
      <c r="E114" s="9" t="s">
        <v>871</v>
      </c>
      <c r="F114" s="10" t="str">
        <f>IF(OR(E114="",E114="!!!"),"",IF(NOT(ISNA(VLOOKUP(E114,E$1:E113,1,FALSE()))),"OLD",IF(AND(E114&lt;&gt;"",E114&lt;&gt;"!!!"),"NEW","")))</f>
        <v>OLD</v>
      </c>
      <c r="G114" s="11" t="s">
        <v>874</v>
      </c>
      <c r="H114" s="12" t="str">
        <f t="shared" si="3"/>
        <v/>
      </c>
      <c r="L114" s="15"/>
    </row>
    <row r="115" spans="1:12" x14ac:dyDescent="0.35">
      <c r="A115" t="s">
        <v>26</v>
      </c>
      <c r="E115" s="9" t="str">
        <f t="shared" si="2"/>
        <v/>
      </c>
      <c r="F115" s="10" t="str">
        <f>IF(OR(E115="",E115="!!!"),"",IF(NOT(ISNA(VLOOKUP(E115,E$1:E114,1,FALSE()))),"OLD",IF(AND(E115&lt;&gt;"",E115&lt;&gt;"!!!"),"NEW","")))</f>
        <v/>
      </c>
      <c r="G115" s="11" t="str">
        <f>IF(OR(E115="",E115="!!!"),"",IF(OR(J115=0,AND(J115=1,K115=1),AND(J115=1,I115="SBJ"),AND(J115=1,I115=0)),"?IN_FOCUS",IF(J115&lt;=2,"?ACTIVATED",IF(J115&lt;&gt;"","?FAMILIAR",IF(F115="NEW",IF(ISNA(VLOOKUP(E115,#REF!,1,FALSE())),"?TYPE_IDENTIFIABLE","?REFERENTIAL"),"_")))))</f>
        <v/>
      </c>
      <c r="H115" s="12" t="str">
        <f t="shared" si="3"/>
        <v/>
      </c>
      <c r="L115" s="15"/>
    </row>
    <row r="116" spans="1:12" x14ac:dyDescent="0.35">
      <c r="A116" t="s">
        <v>115</v>
      </c>
      <c r="E116" s="9" t="str">
        <f t="shared" si="2"/>
        <v/>
      </c>
      <c r="F116" s="10" t="str">
        <f>IF(OR(E116="",E116="!!!"),"",IF(NOT(ISNA(VLOOKUP(E116,E$1:E115,1,FALSE()))),"OLD",IF(AND(E116&lt;&gt;"",E116&lt;&gt;"!!!"),"NEW","")))</f>
        <v/>
      </c>
      <c r="G116" s="11" t="str">
        <f>IF(OR(E116="",E116="!!!"),"",IF(OR(J116=0,AND(J116=1,K116=1),AND(J116=1,I116="SBJ"),AND(J116=1,I116=0)),"?IN_FOCUS",IF(J116&lt;=2,"?ACTIVATED",IF(J116&lt;&gt;"","?FAMILIAR",IF(F116="NEW",IF(ISNA(VLOOKUP(E116,#REF!,1,FALSE())),"?TYPE_IDENTIFIABLE","?REFERENTIAL"),"_")))))</f>
        <v/>
      </c>
      <c r="H116" s="12" t="str">
        <f t="shared" si="3"/>
        <v/>
      </c>
      <c r="L116" s="15"/>
    </row>
    <row r="117" spans="1:12" x14ac:dyDescent="0.35">
      <c r="A117" t="s">
        <v>92</v>
      </c>
      <c r="E117" s="9" t="str">
        <f t="shared" si="2"/>
        <v/>
      </c>
      <c r="F117" s="10" t="str">
        <f>IF(OR(E117="",E117="!!!"),"",IF(NOT(ISNA(VLOOKUP(E117,E$1:E116,1,FALSE()))),"OLD",IF(AND(E117&lt;&gt;"",E117&lt;&gt;"!!!"),"NEW","")))</f>
        <v/>
      </c>
      <c r="G117" s="11" t="str">
        <f>IF(OR(E117="",E117="!!!"),"",IF(OR(J117=0,AND(J117=1,K117=1),AND(J117=1,I117="SBJ"),AND(J117=1,I117=0)),"?IN_FOCUS",IF(J117&lt;=2,"?ACTIVATED",IF(J117&lt;&gt;"","?FAMILIAR",IF(F117="NEW",IF(ISNA(VLOOKUP(E117,#REF!,1,FALSE())),"?TYPE_IDENTIFIABLE","?REFERENTIAL"),"_")))))</f>
        <v/>
      </c>
      <c r="H117" s="12" t="str">
        <f t="shared" si="3"/>
        <v/>
      </c>
      <c r="L117" s="15"/>
    </row>
    <row r="118" spans="1:12" x14ac:dyDescent="0.35">
      <c r="A118" t="s">
        <v>116</v>
      </c>
      <c r="E118" s="9" t="str">
        <f t="shared" si="2"/>
        <v/>
      </c>
      <c r="F118" s="10" t="str">
        <f>IF(OR(E118="",E118="!!!"),"",IF(NOT(ISNA(VLOOKUP(E118,E$1:E117,1,FALSE()))),"OLD",IF(AND(E118&lt;&gt;"",E118&lt;&gt;"!!!"),"NEW","")))</f>
        <v/>
      </c>
      <c r="G118" s="11" t="str">
        <f>IF(OR(E118="",E118="!!!"),"",IF(OR(J118=0,AND(J118=1,K118=1),AND(J118=1,I118="SBJ"),AND(J118=1,I118=0)),"?IN_FOCUS",IF(J118&lt;=2,"?ACTIVATED",IF(J118&lt;&gt;"","?FAMILIAR",IF(F118="NEW",IF(ISNA(VLOOKUP(E118,#REF!,1,FALSE())),"?TYPE_IDENTIFIABLE","?REFERENTIAL"),"_")))))</f>
        <v/>
      </c>
      <c r="H118" s="12" t="str">
        <f t="shared" si="3"/>
        <v/>
      </c>
      <c r="L118" s="15"/>
    </row>
    <row r="119" spans="1:12" x14ac:dyDescent="0.35">
      <c r="A119" t="s">
        <v>117</v>
      </c>
      <c r="E119" s="9" t="str">
        <f t="shared" si="2"/>
        <v/>
      </c>
      <c r="F119" s="10" t="str">
        <f>IF(OR(E119="",E119="!!!"),"",IF(NOT(ISNA(VLOOKUP(E119,E$1:E118,1,FALSE()))),"OLD",IF(AND(E119&lt;&gt;"",E119&lt;&gt;"!!!"),"NEW","")))</f>
        <v/>
      </c>
      <c r="G119" s="11" t="str">
        <f>IF(OR(E119="",E119="!!!"),"",IF(OR(J119=0,AND(J119=1,K119=1),AND(J119=1,I119="SBJ"),AND(J119=1,I119=0)),"?IN_FOCUS",IF(J119&lt;=2,"?ACTIVATED",IF(J119&lt;&gt;"","?FAMILIAR",IF(F119="NEW",IF(ISNA(VLOOKUP(E119,#REF!,1,FALSE())),"?TYPE_IDENTIFIABLE","?REFERENTIAL"),"_")))))</f>
        <v/>
      </c>
      <c r="H119" s="12" t="str">
        <f t="shared" si="3"/>
        <v/>
      </c>
      <c r="L119" s="15"/>
    </row>
    <row r="120" spans="1:12" x14ac:dyDescent="0.35">
      <c r="A120" t="s">
        <v>118</v>
      </c>
      <c r="E120" s="9" t="str">
        <f t="shared" si="2"/>
        <v/>
      </c>
      <c r="F120" s="10" t="str">
        <f>IF(OR(E120="",E120="!!!"),"",IF(NOT(ISNA(VLOOKUP(E120,E$1:E119,1,FALSE()))),"OLD",IF(AND(E120&lt;&gt;"",E120&lt;&gt;"!!!"),"NEW","")))</f>
        <v/>
      </c>
      <c r="G120" s="11" t="str">
        <f>IF(OR(E120="",E120="!!!"),"",IF(OR(J120=0,AND(J120=1,K120=1),AND(J120=1,I120="SBJ"),AND(J120=1,I120=0)),"?IN_FOCUS",IF(J120&lt;=2,"?ACTIVATED",IF(J120&lt;&gt;"","?FAMILIAR",IF(F120="NEW",IF(ISNA(VLOOKUP(E120,#REF!,1,FALSE())),"?TYPE_IDENTIFIABLE","?REFERENTIAL"),"_")))))</f>
        <v/>
      </c>
      <c r="H120" s="12" t="str">
        <f t="shared" si="3"/>
        <v/>
      </c>
      <c r="L120" s="15"/>
    </row>
    <row r="121" spans="1:12" x14ac:dyDescent="0.35">
      <c r="A121" t="s">
        <v>119</v>
      </c>
      <c r="E121" s="9" t="str">
        <f t="shared" si="2"/>
        <v/>
      </c>
      <c r="F121" s="10" t="str">
        <f>IF(OR(E121="",E121="!!!"),"",IF(NOT(ISNA(VLOOKUP(E121,E$1:E120,1,FALSE()))),"OLD",IF(AND(E121&lt;&gt;"",E121&lt;&gt;"!!!"),"NEW","")))</f>
        <v/>
      </c>
      <c r="G121" s="11" t="str">
        <f>IF(OR(E121="",E121="!!!"),"",IF(OR(J121=0,AND(J121=1,K121=1),AND(J121=1,I121="SBJ"),AND(J121=1,I121=0)),"?IN_FOCUS",IF(J121&lt;=2,"?ACTIVATED",IF(J121&lt;&gt;"","?FAMILIAR",IF(F121="NEW",IF(ISNA(VLOOKUP(E121,#REF!,1,FALSE())),"?TYPE_IDENTIFIABLE","?REFERENTIAL"),"_")))))</f>
        <v/>
      </c>
      <c r="H121" s="12" t="str">
        <f t="shared" si="3"/>
        <v/>
      </c>
      <c r="L121" s="15"/>
    </row>
    <row r="122" spans="1:12" x14ac:dyDescent="0.35">
      <c r="A122" t="s">
        <v>39</v>
      </c>
      <c r="E122" s="9" t="str">
        <f t="shared" si="2"/>
        <v/>
      </c>
      <c r="F122" s="10" t="str">
        <f>IF(OR(E122="",E122="!!!"),"",IF(NOT(ISNA(VLOOKUP(E122,E$1:E121,1,FALSE()))),"OLD",IF(AND(E122&lt;&gt;"",E122&lt;&gt;"!!!"),"NEW","")))</f>
        <v/>
      </c>
      <c r="G122" s="11" t="str">
        <f>IF(OR(E122="",E122="!!!"),"",IF(OR(J122=0,AND(J122=1,K122=1),AND(J122=1,I122="SBJ"),AND(J122=1,I122=0)),"?IN_FOCUS",IF(J122&lt;=2,"?ACTIVATED",IF(J122&lt;&gt;"","?FAMILIAR",IF(F122="NEW",IF(ISNA(VLOOKUP(E122,#REF!,1,FALSE())),"?TYPE_IDENTIFIABLE","?REFERENTIAL"),"_")))))</f>
        <v/>
      </c>
      <c r="H122" s="12" t="str">
        <f t="shared" si="3"/>
        <v/>
      </c>
      <c r="L122" s="15"/>
    </row>
    <row r="123" spans="1:12" x14ac:dyDescent="0.35">
      <c r="A123" t="s">
        <v>120</v>
      </c>
      <c r="E123" s="9" t="str">
        <f t="shared" si="2"/>
        <v/>
      </c>
      <c r="F123" s="10" t="str">
        <f>IF(OR(E123="",E123="!!!"),"",IF(NOT(ISNA(VLOOKUP(E123,E$1:E122,1,FALSE()))),"OLD",IF(AND(E123&lt;&gt;"",E123&lt;&gt;"!!!"),"NEW","")))</f>
        <v/>
      </c>
      <c r="G123" s="11" t="str">
        <f>IF(OR(E123="",E123="!!!"),"",IF(OR(J123=0,AND(J123=1,K123=1),AND(J123=1,I123="SBJ"),AND(J123=1,I123=0)),"?IN_FOCUS",IF(J123&lt;=2,"?ACTIVATED",IF(J123&lt;&gt;"","?FAMILIAR",IF(F123="NEW",IF(ISNA(VLOOKUP(E123,#REF!,1,FALSE())),"?TYPE_IDENTIFIABLE","?REFERENTIAL"),"_")))))</f>
        <v/>
      </c>
      <c r="H123" s="12" t="str">
        <f t="shared" si="3"/>
        <v/>
      </c>
      <c r="L123" s="15"/>
    </row>
    <row r="124" spans="1:12" x14ac:dyDescent="0.35">
      <c r="A124" t="s">
        <v>121</v>
      </c>
      <c r="B124" t="s">
        <v>54</v>
      </c>
      <c r="C124" t="s">
        <v>122</v>
      </c>
      <c r="D124" t="s">
        <v>16</v>
      </c>
      <c r="E124" s="9" t="s">
        <v>262</v>
      </c>
      <c r="F124" s="10" t="s">
        <v>876</v>
      </c>
      <c r="G124" s="11"/>
      <c r="H124" s="12" t="str">
        <f t="shared" si="3"/>
        <v/>
      </c>
      <c r="L124" s="15"/>
    </row>
    <row r="125" spans="1:12" x14ac:dyDescent="0.35">
      <c r="A125" t="s">
        <v>123</v>
      </c>
      <c r="E125" s="9" t="str">
        <f t="shared" si="2"/>
        <v/>
      </c>
      <c r="F125" s="10" t="str">
        <f>IF(OR(E125="",E125="!!!"),"",IF(NOT(ISNA(VLOOKUP(E125,E$1:E124,1,FALSE()))),"OLD",IF(AND(E125&lt;&gt;"",E125&lt;&gt;"!!!"),"NEW","")))</f>
        <v/>
      </c>
      <c r="G125" s="11" t="str">
        <f>IF(OR(E125="",E125="!!!"),"",IF(OR(J125=0,AND(J125=1,K125=1),AND(J125=1,I125="SBJ"),AND(J125=1,I125=0)),"?IN_FOCUS",IF(J125&lt;=2,"?ACTIVATED",IF(J125&lt;&gt;"","?FAMILIAR",IF(F125="NEW",IF(ISNA(VLOOKUP(E125,#REF!,1,FALSE())),"?TYPE_IDENTIFIABLE","?REFERENTIAL"),"_")))))</f>
        <v/>
      </c>
      <c r="H125" s="12" t="str">
        <f t="shared" si="3"/>
        <v/>
      </c>
      <c r="L125" s="15"/>
    </row>
    <row r="126" spans="1:12" x14ac:dyDescent="0.35">
      <c r="A126" t="s">
        <v>58</v>
      </c>
      <c r="E126" s="9" t="str">
        <f t="shared" si="2"/>
        <v/>
      </c>
      <c r="F126" s="10" t="str">
        <f>IF(OR(E126="",E126="!!!"),"",IF(NOT(ISNA(VLOOKUP(E126,E$1:E125,1,FALSE()))),"OLD",IF(AND(E126&lt;&gt;"",E126&lt;&gt;"!!!"),"NEW","")))</f>
        <v/>
      </c>
      <c r="G126" s="11" t="str">
        <f>IF(OR(E126="",E126="!!!"),"",IF(OR(J126=0,AND(J126=1,K126=1),AND(J126=1,I126="SBJ"),AND(J126=1,I126=0)),"?IN_FOCUS",IF(J126&lt;=2,"?ACTIVATED",IF(J126&lt;&gt;"","?FAMILIAR",IF(F126="NEW",IF(ISNA(VLOOKUP(E126,#REF!,1,FALSE())),"?TYPE_IDENTIFIABLE","?REFERENTIAL"),"_")))))</f>
        <v/>
      </c>
      <c r="H126" s="12" t="str">
        <f t="shared" si="3"/>
        <v/>
      </c>
      <c r="L126" s="15"/>
    </row>
    <row r="127" spans="1:12" x14ac:dyDescent="0.35">
      <c r="A127" t="s">
        <v>124</v>
      </c>
      <c r="B127" t="s">
        <v>24</v>
      </c>
      <c r="C127" t="s">
        <v>99</v>
      </c>
      <c r="D127" t="s">
        <v>16</v>
      </c>
      <c r="E127" s="9" t="s">
        <v>262</v>
      </c>
      <c r="F127" s="10" t="s">
        <v>876</v>
      </c>
      <c r="G127" s="11"/>
      <c r="H127" s="12" t="str">
        <f t="shared" si="3"/>
        <v/>
      </c>
      <c r="L127" s="15"/>
    </row>
    <row r="128" spans="1:12" x14ac:dyDescent="0.35">
      <c r="A128" t="s">
        <v>63</v>
      </c>
      <c r="E128" s="9" t="str">
        <f t="shared" si="2"/>
        <v/>
      </c>
      <c r="F128" s="10" t="str">
        <f>IF(OR(E128="",E128="!!!"),"",IF(NOT(ISNA(VLOOKUP(E128,E$1:E127,1,FALSE()))),"OLD",IF(AND(E128&lt;&gt;"",E128&lt;&gt;"!!!"),"NEW","")))</f>
        <v/>
      </c>
      <c r="G128" s="11" t="str">
        <f>IF(OR(E128="",E128="!!!"),"",IF(OR(J128=0,AND(J128=1,K128=1),AND(J128=1,I128="SBJ"),AND(J128=1,I128=0)),"?IN_FOCUS",IF(J128&lt;=2,"?ACTIVATED",IF(J128&lt;&gt;"","?FAMILIAR",IF(F128="NEW",IF(ISNA(VLOOKUP(E128,#REF!,1,FALSE())),"?TYPE_IDENTIFIABLE","?REFERENTIAL"),"_")))))</f>
        <v/>
      </c>
      <c r="H128" s="12" t="str">
        <f t="shared" si="3"/>
        <v/>
      </c>
      <c r="L128" s="15"/>
    </row>
    <row r="129" spans="1:12" x14ac:dyDescent="0.35">
      <c r="E129" s="9" t="str">
        <f t="shared" si="2"/>
        <v/>
      </c>
      <c r="F129" s="10" t="str">
        <f>IF(OR(E129="",E129="!!!"),"",IF(NOT(ISNA(VLOOKUP(E129,E$1:E128,1,FALSE()))),"OLD",IF(AND(E129&lt;&gt;"",E129&lt;&gt;"!!!"),"NEW","")))</f>
        <v/>
      </c>
      <c r="G129" s="11" t="str">
        <f>IF(OR(E129="",E129="!!!"),"",IF(OR(J129=0,AND(J129=1,K129=1),AND(J129=1,I129="SBJ"),AND(J129=1,I129=0)),"?IN_FOCUS",IF(J129&lt;=2,"?ACTIVATED",IF(J129&lt;&gt;"","?FAMILIAR",IF(F129="NEW",IF(ISNA(VLOOKUP(E129,#REF!,1,FALSE())),"?TYPE_IDENTIFIABLE","?REFERENTIAL"),"_")))))</f>
        <v/>
      </c>
      <c r="H129" s="12" t="str">
        <f t="shared" si="3"/>
        <v/>
      </c>
      <c r="L129" s="15"/>
    </row>
    <row r="130" spans="1:12" x14ac:dyDescent="0.35">
      <c r="A130" t="s">
        <v>125</v>
      </c>
      <c r="E130" s="9" t="str">
        <f t="shared" si="2"/>
        <v/>
      </c>
      <c r="F130" s="10" t="str">
        <f>IF(OR(E130="",E130="!!!"),"",IF(NOT(ISNA(VLOOKUP(E130,E$1:E129,1,FALSE()))),"OLD",IF(AND(E130&lt;&gt;"",E130&lt;&gt;"!!!"),"NEW","")))</f>
        <v/>
      </c>
      <c r="G130" s="11" t="str">
        <f>IF(OR(E130="",E130="!!!"),"",IF(OR(J130=0,AND(J130=1,K130=1),AND(J130=1,I130="SBJ"),AND(J130=1,I130=0)),"?IN_FOCUS",IF(J130&lt;=2,"?ACTIVATED",IF(J130&lt;&gt;"","?FAMILIAR",IF(F130="NEW",IF(ISNA(VLOOKUP(E130,#REF!,1,FALSE())),"?TYPE_IDENTIFIABLE","?REFERENTIAL"),"_")))))</f>
        <v/>
      </c>
      <c r="H130" s="12" t="str">
        <f t="shared" si="3"/>
        <v/>
      </c>
      <c r="L130" s="15"/>
    </row>
    <row r="131" spans="1:12" x14ac:dyDescent="0.35">
      <c r="A131" t="s">
        <v>97</v>
      </c>
      <c r="E131" s="9" t="str">
        <f t="shared" si="2"/>
        <v/>
      </c>
      <c r="F131" s="10" t="str">
        <f>IF(OR(E131="",E131="!!!"),"",IF(NOT(ISNA(VLOOKUP(E131,E$1:E130,1,FALSE()))),"OLD",IF(AND(E131&lt;&gt;"",E131&lt;&gt;"!!!"),"NEW","")))</f>
        <v/>
      </c>
      <c r="G131" s="11" t="str">
        <f>IF(OR(E131="",E131="!!!"),"",IF(OR(J131=0,AND(J131=1,K131=1),AND(J131=1,I131="SBJ"),AND(J131=1,I131=0)),"?IN_FOCUS",IF(J131&lt;=2,"?ACTIVATED",IF(J131&lt;&gt;"","?FAMILIAR",IF(F131="NEW",IF(ISNA(VLOOKUP(E131,#REF!,1,FALSE())),"?TYPE_IDENTIFIABLE","?REFERENTIAL"),"_")))))</f>
        <v/>
      </c>
      <c r="H131" s="12" t="str">
        <f t="shared" si="3"/>
        <v/>
      </c>
      <c r="L131" s="15"/>
    </row>
    <row r="132" spans="1:12" x14ac:dyDescent="0.35">
      <c r="A132" t="s">
        <v>126</v>
      </c>
      <c r="E132" s="9" t="str">
        <f t="shared" ref="E132:E195" si="4">IF(D132="?OLD","!!!","")</f>
        <v/>
      </c>
      <c r="F132" s="10" t="str">
        <f>IF(OR(E132="",E132="!!!"),"",IF(NOT(ISNA(VLOOKUP(E132,E$1:E131,1,FALSE()))),"OLD",IF(AND(E132&lt;&gt;"",E132&lt;&gt;"!!!"),"NEW","")))</f>
        <v/>
      </c>
      <c r="G132" s="11" t="str">
        <f>IF(OR(E132="",E132="!!!"),"",IF(OR(J132=0,AND(J132=1,K132=1),AND(J132=1,I132="SBJ"),AND(J132=1,I132=0)),"?IN_FOCUS",IF(J132&lt;=2,"?ACTIVATED",IF(J132&lt;&gt;"","?FAMILIAR",IF(F132="NEW",IF(ISNA(VLOOKUP(E132,#REF!,1,FALSE())),"?TYPE_IDENTIFIABLE","?REFERENTIAL"),"_")))))</f>
        <v/>
      </c>
      <c r="H132" s="12" t="str">
        <f t="shared" ref="H132:H195" si="5">IF(J132&lt;&gt;1,"",IF(I132="SBJ","CB","?"))</f>
        <v/>
      </c>
      <c r="L132" s="15"/>
    </row>
    <row r="133" spans="1:12" x14ac:dyDescent="0.35">
      <c r="A133" t="s">
        <v>127</v>
      </c>
      <c r="B133" t="s">
        <v>14</v>
      </c>
      <c r="C133" t="s">
        <v>99</v>
      </c>
      <c r="D133" t="s">
        <v>16</v>
      </c>
      <c r="E133" s="9" t="s">
        <v>262</v>
      </c>
      <c r="F133" s="10" t="s">
        <v>867</v>
      </c>
      <c r="G133" s="11"/>
      <c r="H133" s="12" t="str">
        <f t="shared" si="5"/>
        <v/>
      </c>
      <c r="L133" s="15"/>
    </row>
    <row r="134" spans="1:12" x14ac:dyDescent="0.35">
      <c r="A134" t="s">
        <v>42</v>
      </c>
      <c r="E134" s="9" t="str">
        <f t="shared" si="4"/>
        <v/>
      </c>
      <c r="F134" s="10" t="str">
        <f>IF(OR(E134="",E134="!!!"),"",IF(NOT(ISNA(VLOOKUP(E134,E$1:E133,1,FALSE()))),"OLD",IF(AND(E134&lt;&gt;"",E134&lt;&gt;"!!!"),"NEW","")))</f>
        <v/>
      </c>
      <c r="G134" s="11" t="str">
        <f>IF(OR(E134="",E134="!!!"),"",IF(OR(J134=0,AND(J134=1,K134=1),AND(J134=1,I134="SBJ"),AND(J134=1,I134=0)),"?IN_FOCUS",IF(J134&lt;=2,"?ACTIVATED",IF(J134&lt;&gt;"","?FAMILIAR",IF(F134="NEW",IF(ISNA(VLOOKUP(E134,#REF!,1,FALSE())),"?TYPE_IDENTIFIABLE","?REFERENTIAL"),"_")))))</f>
        <v/>
      </c>
      <c r="H134" s="12" t="str">
        <f t="shared" si="5"/>
        <v/>
      </c>
      <c r="L134" s="15"/>
    </row>
    <row r="135" spans="1:12" x14ac:dyDescent="0.35">
      <c r="A135" t="s">
        <v>123</v>
      </c>
      <c r="E135" s="9" t="str">
        <f t="shared" si="4"/>
        <v/>
      </c>
      <c r="F135" s="10" t="str">
        <f>IF(OR(E135="",E135="!!!"),"",IF(NOT(ISNA(VLOOKUP(E135,E$1:E134,1,FALSE()))),"OLD",IF(AND(E135&lt;&gt;"",E135&lt;&gt;"!!!"),"NEW","")))</f>
        <v/>
      </c>
      <c r="G135" s="11" t="str">
        <f>IF(OR(E135="",E135="!!!"),"",IF(OR(J135=0,AND(J135=1,K135=1),AND(J135=1,I135="SBJ"),AND(J135=1,I135=0)),"?IN_FOCUS",IF(J135&lt;=2,"?ACTIVATED",IF(J135&lt;&gt;"","?FAMILIAR",IF(F135="NEW",IF(ISNA(VLOOKUP(E135,#REF!,1,FALSE())),"?TYPE_IDENTIFIABLE","?REFERENTIAL"),"_")))))</f>
        <v/>
      </c>
      <c r="H135" s="12" t="str">
        <f t="shared" si="5"/>
        <v/>
      </c>
      <c r="L135" s="15"/>
    </row>
    <row r="136" spans="1:12" x14ac:dyDescent="0.35">
      <c r="A136" t="s">
        <v>128</v>
      </c>
      <c r="B136" t="s">
        <v>54</v>
      </c>
      <c r="C136" t="s">
        <v>15</v>
      </c>
      <c r="D136" t="s">
        <v>16</v>
      </c>
      <c r="E136" s="9" t="s">
        <v>262</v>
      </c>
      <c r="F136" s="10" t="s">
        <v>876</v>
      </c>
      <c r="G136" s="11"/>
      <c r="H136" s="12" t="str">
        <f t="shared" si="5"/>
        <v/>
      </c>
      <c r="L136" s="15"/>
    </row>
    <row r="137" spans="1:12" x14ac:dyDescent="0.35">
      <c r="A137" t="s">
        <v>17</v>
      </c>
      <c r="E137" s="9" t="str">
        <f t="shared" si="4"/>
        <v/>
      </c>
      <c r="F137" s="10" t="str">
        <f>IF(OR(E137="",E137="!!!"),"",IF(NOT(ISNA(VLOOKUP(E137,E$1:E136,1,FALSE()))),"OLD",IF(AND(E137&lt;&gt;"",E137&lt;&gt;"!!!"),"NEW","")))</f>
        <v/>
      </c>
      <c r="G137" s="11" t="str">
        <f>IF(OR(E137="",E137="!!!"),"",IF(OR(J137=0,AND(J137=1,K137=1),AND(J137=1,I137="SBJ"),AND(J137=1,I137=0)),"?IN_FOCUS",IF(J137&lt;=2,"?ACTIVATED",IF(J137&lt;&gt;"","?FAMILIAR",IF(F137="NEW",IF(ISNA(VLOOKUP(E137,#REF!,1,FALSE())),"?TYPE_IDENTIFIABLE","?REFERENTIAL"),"_")))))</f>
        <v/>
      </c>
      <c r="H137" s="12" t="str">
        <f t="shared" si="5"/>
        <v/>
      </c>
      <c r="L137" s="15"/>
    </row>
    <row r="138" spans="1:12" x14ac:dyDescent="0.35">
      <c r="A138" t="s">
        <v>129</v>
      </c>
      <c r="B138" t="s">
        <v>54</v>
      </c>
      <c r="C138" t="s">
        <v>33</v>
      </c>
      <c r="D138" t="s">
        <v>867</v>
      </c>
      <c r="E138" s="9" t="s">
        <v>872</v>
      </c>
      <c r="F138" s="10" t="str">
        <f>IF(OR(E138="",E138="!!!"),"",IF(NOT(ISNA(VLOOKUP(E138,E$1:E137,1,FALSE()))),"OLD",IF(AND(E138&lt;&gt;"",E138&lt;&gt;"!!!"),"NEW","")))</f>
        <v>NEW</v>
      </c>
      <c r="G138" s="11" t="s">
        <v>874</v>
      </c>
      <c r="H138" s="12" t="str">
        <f t="shared" si="5"/>
        <v/>
      </c>
      <c r="L138" s="15"/>
    </row>
    <row r="139" spans="1:12" x14ac:dyDescent="0.35">
      <c r="A139" t="s">
        <v>130</v>
      </c>
      <c r="E139" s="9" t="str">
        <f t="shared" si="4"/>
        <v/>
      </c>
      <c r="F139" s="10" t="str">
        <f>IF(OR(E139="",E139="!!!"),"",IF(NOT(ISNA(VLOOKUP(E139,E$1:E138,1,FALSE()))),"OLD",IF(AND(E139&lt;&gt;"",E139&lt;&gt;"!!!"),"NEW","")))</f>
        <v/>
      </c>
      <c r="G139" s="11" t="str">
        <f>IF(OR(E139="",E139="!!!"),"",IF(OR(J139=0,AND(J139=1,K139=1),AND(J139=1,I139="SBJ"),AND(J139=1,I139=0)),"?IN_FOCUS",IF(J139&lt;=2,"?ACTIVATED",IF(J139&lt;&gt;"","?FAMILIAR",IF(F139="NEW",IF(ISNA(VLOOKUP(E139,#REF!,1,FALSE())),"?TYPE_IDENTIFIABLE","?REFERENTIAL"),"_")))))</f>
        <v/>
      </c>
      <c r="H139" s="12" t="str">
        <f t="shared" si="5"/>
        <v/>
      </c>
      <c r="L139" s="15"/>
    </row>
    <row r="140" spans="1:12" x14ac:dyDescent="0.35">
      <c r="A140" t="s">
        <v>131</v>
      </c>
      <c r="E140" s="9" t="str">
        <f t="shared" si="4"/>
        <v/>
      </c>
      <c r="F140" s="10" t="str">
        <f>IF(OR(E140="",E140="!!!"),"",IF(NOT(ISNA(VLOOKUP(E140,E$1:E139,1,FALSE()))),"OLD",IF(AND(E140&lt;&gt;"",E140&lt;&gt;"!!!"),"NEW","")))</f>
        <v/>
      </c>
      <c r="G140" s="11" t="str">
        <f>IF(OR(E140="",E140="!!!"),"",IF(OR(J140=0,AND(J140=1,K140=1),AND(J140=1,I140="SBJ"),AND(J140=1,I140=0)),"?IN_FOCUS",IF(J140&lt;=2,"?ACTIVATED",IF(J140&lt;&gt;"","?FAMILIAR",IF(F140="NEW",IF(ISNA(VLOOKUP(E140,#REF!,1,FALSE())),"?TYPE_IDENTIFIABLE","?REFERENTIAL"),"_")))))</f>
        <v/>
      </c>
      <c r="H140" s="12" t="str">
        <f t="shared" si="5"/>
        <v/>
      </c>
      <c r="L140" s="15"/>
    </row>
    <row r="141" spans="1:12" x14ac:dyDescent="0.35">
      <c r="A141" t="s">
        <v>132</v>
      </c>
      <c r="E141" s="9" t="str">
        <f t="shared" si="4"/>
        <v/>
      </c>
      <c r="F141" s="10" t="str">
        <f>IF(OR(E141="",E141="!!!"),"",IF(NOT(ISNA(VLOOKUP(E141,E$1:E140,1,FALSE()))),"OLD",IF(AND(E141&lt;&gt;"",E141&lt;&gt;"!!!"),"NEW","")))</f>
        <v/>
      </c>
      <c r="G141" s="11" t="str">
        <f>IF(OR(E141="",E141="!!!"),"",IF(OR(J141=0,AND(J141=1,K141=1),AND(J141=1,I141="SBJ"),AND(J141=1,I141=0)),"?IN_FOCUS",IF(J141&lt;=2,"?ACTIVATED",IF(J141&lt;&gt;"","?FAMILIAR",IF(F141="NEW",IF(ISNA(VLOOKUP(E141,#REF!,1,FALSE())),"?TYPE_IDENTIFIABLE","?REFERENTIAL"),"_")))))</f>
        <v/>
      </c>
      <c r="H141" s="12" t="str">
        <f t="shared" si="5"/>
        <v/>
      </c>
      <c r="L141" s="15"/>
    </row>
    <row r="142" spans="1:12" x14ac:dyDescent="0.35">
      <c r="A142" t="s">
        <v>133</v>
      </c>
      <c r="B142" t="s">
        <v>36</v>
      </c>
      <c r="C142" t="s">
        <v>33</v>
      </c>
      <c r="D142" t="s">
        <v>869</v>
      </c>
      <c r="E142" s="9" t="s">
        <v>872</v>
      </c>
      <c r="F142" s="10" t="str">
        <f>IF(OR(E142="",E142="!!!"),"",IF(NOT(ISNA(VLOOKUP(E142,E$1:E141,1,FALSE()))),"OLD",IF(AND(E142&lt;&gt;"",E142&lt;&gt;"!!!"),"NEW","")))</f>
        <v>OLD</v>
      </c>
      <c r="G142" s="11" t="s">
        <v>870</v>
      </c>
      <c r="H142" s="12" t="str">
        <f t="shared" si="5"/>
        <v/>
      </c>
      <c r="L142" s="15"/>
    </row>
    <row r="143" spans="1:12" x14ac:dyDescent="0.35">
      <c r="A143" t="s">
        <v>83</v>
      </c>
      <c r="E143" s="9" t="str">
        <f t="shared" si="4"/>
        <v/>
      </c>
      <c r="F143" s="10" t="str">
        <f>IF(OR(E143="",E143="!!!"),"",IF(NOT(ISNA(VLOOKUP(E143,E$1:E142,1,FALSE()))),"OLD",IF(AND(E143&lt;&gt;"",E143&lt;&gt;"!!!"),"NEW","")))</f>
        <v/>
      </c>
      <c r="G143" s="11" t="str">
        <f>IF(OR(E143="",E143="!!!"),"",IF(OR(J143=0,AND(J143=1,K143=1),AND(J143=1,I143="SBJ"),AND(J143=1,I143=0)),"?IN_FOCUS",IF(J143&lt;=2,"?ACTIVATED",IF(J143&lt;&gt;"","?FAMILIAR",IF(F143="NEW",IF(ISNA(VLOOKUP(E143,#REF!,1,FALSE())),"?TYPE_IDENTIFIABLE","?REFERENTIAL"),"_")))))</f>
        <v/>
      </c>
      <c r="H143" s="12" t="str">
        <f t="shared" si="5"/>
        <v/>
      </c>
      <c r="L143" s="15"/>
    </row>
    <row r="144" spans="1:12" x14ac:dyDescent="0.35">
      <c r="A144" t="s">
        <v>134</v>
      </c>
      <c r="E144" s="9" t="str">
        <f t="shared" si="4"/>
        <v/>
      </c>
      <c r="F144" s="10" t="str">
        <f>IF(OR(E144="",E144="!!!"),"",IF(NOT(ISNA(VLOOKUP(E144,E$1:E143,1,FALSE()))),"OLD",IF(AND(E144&lt;&gt;"",E144&lt;&gt;"!!!"),"NEW","")))</f>
        <v/>
      </c>
      <c r="G144" s="11" t="str">
        <f>IF(OR(E144="",E144="!!!"),"",IF(OR(J144=0,AND(J144=1,K144=1),AND(J144=1,I144="SBJ"),AND(J144=1,I144=0)),"?IN_FOCUS",IF(J144&lt;=2,"?ACTIVATED",IF(J144&lt;&gt;"","?FAMILIAR",IF(F144="NEW",IF(ISNA(VLOOKUP(E144,#REF!,1,FALSE())),"?TYPE_IDENTIFIABLE","?REFERENTIAL"),"_")))))</f>
        <v/>
      </c>
      <c r="H144" s="12" t="str">
        <f t="shared" si="5"/>
        <v/>
      </c>
      <c r="L144" s="15"/>
    </row>
    <row r="145" spans="1:12" x14ac:dyDescent="0.35">
      <c r="A145" t="s">
        <v>45</v>
      </c>
      <c r="E145" s="9" t="str">
        <f t="shared" si="4"/>
        <v/>
      </c>
      <c r="F145" s="10" t="str">
        <f>IF(OR(E145="",E145="!!!"),"",IF(NOT(ISNA(VLOOKUP(E145,E$1:E144,1,FALSE()))),"OLD",IF(AND(E145&lt;&gt;"",E145&lt;&gt;"!!!"),"NEW","")))</f>
        <v/>
      </c>
      <c r="G145" s="11" t="str">
        <f>IF(OR(E145="",E145="!!!"),"",IF(OR(J145=0,AND(J145=1,K145=1),AND(J145=1,I145="SBJ"),AND(J145=1,I145=0)),"?IN_FOCUS",IF(J145&lt;=2,"?ACTIVATED",IF(J145&lt;&gt;"","?FAMILIAR",IF(F145="NEW",IF(ISNA(VLOOKUP(E145,#REF!,1,FALSE())),"?TYPE_IDENTIFIABLE","?REFERENTIAL"),"_")))))</f>
        <v/>
      </c>
      <c r="H145" s="12" t="str">
        <f t="shared" si="5"/>
        <v/>
      </c>
      <c r="L145" s="15"/>
    </row>
    <row r="146" spans="1:12" x14ac:dyDescent="0.35">
      <c r="A146" t="s">
        <v>135</v>
      </c>
      <c r="E146" s="9" t="str">
        <f t="shared" si="4"/>
        <v/>
      </c>
      <c r="F146" s="10" t="str">
        <f>IF(OR(E146="",E146="!!!"),"",IF(NOT(ISNA(VLOOKUP(E146,E$1:E145,1,FALSE()))),"OLD",IF(AND(E146&lt;&gt;"",E146&lt;&gt;"!!!"),"NEW","")))</f>
        <v/>
      </c>
      <c r="G146" s="11" t="str">
        <f>IF(OR(E146="",E146="!!!"),"",IF(OR(J146=0,AND(J146=1,K146=1),AND(J146=1,I146="SBJ"),AND(J146=1,I146=0)),"?IN_FOCUS",IF(J146&lt;=2,"?ACTIVATED",IF(J146&lt;&gt;"","?FAMILIAR",IF(F146="NEW",IF(ISNA(VLOOKUP(E146,#REF!,1,FALSE())),"?TYPE_IDENTIFIABLE","?REFERENTIAL"),"_")))))</f>
        <v/>
      </c>
      <c r="H146" s="12" t="str">
        <f t="shared" si="5"/>
        <v/>
      </c>
      <c r="L146" s="15"/>
    </row>
    <row r="147" spans="1:12" x14ac:dyDescent="0.35">
      <c r="A147" t="s">
        <v>136</v>
      </c>
      <c r="B147" t="s">
        <v>20</v>
      </c>
      <c r="C147" t="s">
        <v>49</v>
      </c>
      <c r="D147" t="s">
        <v>869</v>
      </c>
      <c r="E147" s="9" t="s">
        <v>872</v>
      </c>
      <c r="F147" s="10" t="str">
        <f>IF(OR(E147="",E147="!!!"),"",IF(NOT(ISNA(VLOOKUP(E147,E$1:E146,1,FALSE()))),"OLD",IF(AND(E147&lt;&gt;"",E147&lt;&gt;"!!!"),"NEW","")))</f>
        <v>OLD</v>
      </c>
      <c r="G147" s="11" t="s">
        <v>870</v>
      </c>
      <c r="H147" s="12" t="str">
        <f t="shared" si="5"/>
        <v/>
      </c>
      <c r="L147" s="15"/>
    </row>
    <row r="148" spans="1:12" x14ac:dyDescent="0.35">
      <c r="A148" t="s">
        <v>137</v>
      </c>
      <c r="E148" s="9" t="str">
        <f t="shared" si="4"/>
        <v/>
      </c>
      <c r="F148" s="10" t="str">
        <f>IF(OR(E148="",E148="!!!"),"",IF(NOT(ISNA(VLOOKUP(E148,E$1:E147,1,FALSE()))),"OLD",IF(AND(E148&lt;&gt;"",E148&lt;&gt;"!!!"),"NEW","")))</f>
        <v/>
      </c>
      <c r="G148" s="11" t="str">
        <f>IF(OR(E148="",E148="!!!"),"",IF(OR(J148=0,AND(J148=1,K148=1),AND(J148=1,I148="SBJ"),AND(J148=1,I148=0)),"?IN_FOCUS",IF(J148&lt;=2,"?ACTIVATED",IF(J148&lt;&gt;"","?FAMILIAR",IF(F148="NEW",IF(ISNA(VLOOKUP(E148,#REF!,1,FALSE())),"?TYPE_IDENTIFIABLE","?REFERENTIAL"),"_")))))</f>
        <v/>
      </c>
      <c r="H148" s="12" t="str">
        <f t="shared" si="5"/>
        <v/>
      </c>
      <c r="L148" s="15"/>
    </row>
    <row r="149" spans="1:12" x14ac:dyDescent="0.35">
      <c r="A149" t="s">
        <v>138</v>
      </c>
      <c r="B149" t="s">
        <v>91</v>
      </c>
      <c r="C149" t="s">
        <v>15</v>
      </c>
      <c r="D149" t="s">
        <v>16</v>
      </c>
      <c r="E149" s="9" t="s">
        <v>262</v>
      </c>
      <c r="F149" s="10" t="s">
        <v>876</v>
      </c>
      <c r="G149" s="11"/>
      <c r="H149" s="12" t="str">
        <f t="shared" si="5"/>
        <v/>
      </c>
      <c r="L149" s="15"/>
    </row>
    <row r="150" spans="1:12" x14ac:dyDescent="0.35">
      <c r="A150" t="s">
        <v>26</v>
      </c>
      <c r="E150" s="9" t="str">
        <f t="shared" si="4"/>
        <v/>
      </c>
      <c r="F150" s="10" t="str">
        <f>IF(OR(E150="",E150="!!!"),"",IF(NOT(ISNA(VLOOKUP(E150,E$1:E149,1,FALSE()))),"OLD",IF(AND(E150&lt;&gt;"",E150&lt;&gt;"!!!"),"NEW","")))</f>
        <v/>
      </c>
      <c r="G150" s="11" t="str">
        <f>IF(OR(E150="",E150="!!!"),"",IF(OR(J150=0,AND(J150=1,K150=1),AND(J150=1,I150="SBJ"),AND(J150=1,I150=0)),"?IN_FOCUS",IF(J150&lt;=2,"?ACTIVATED",IF(J150&lt;&gt;"","?FAMILIAR",IF(F150="NEW",IF(ISNA(VLOOKUP(E150,#REF!,1,FALSE())),"?TYPE_IDENTIFIABLE","?REFERENTIAL"),"_")))))</f>
        <v/>
      </c>
      <c r="H150" s="12" t="str">
        <f t="shared" si="5"/>
        <v/>
      </c>
      <c r="L150" s="15"/>
    </row>
    <row r="151" spans="1:12" x14ac:dyDescent="0.35">
      <c r="A151" t="s">
        <v>76</v>
      </c>
      <c r="E151" s="9" t="str">
        <f t="shared" si="4"/>
        <v/>
      </c>
      <c r="F151" s="10" t="str">
        <f>IF(OR(E151="",E151="!!!"),"",IF(NOT(ISNA(VLOOKUP(E151,E$1:E150,1,FALSE()))),"OLD",IF(AND(E151&lt;&gt;"",E151&lt;&gt;"!!!"),"NEW","")))</f>
        <v/>
      </c>
      <c r="G151" s="11" t="str">
        <f>IF(OR(E151="",E151="!!!"),"",IF(OR(J151=0,AND(J151=1,K151=1),AND(J151=1,I151="SBJ"),AND(J151=1,I151=0)),"?IN_FOCUS",IF(J151&lt;=2,"?ACTIVATED",IF(J151&lt;&gt;"","?FAMILIAR",IF(F151="NEW",IF(ISNA(VLOOKUP(E151,#REF!,1,FALSE())),"?TYPE_IDENTIFIABLE","?REFERENTIAL"),"_")))))</f>
        <v/>
      </c>
      <c r="H151" s="12" t="str">
        <f t="shared" si="5"/>
        <v/>
      </c>
      <c r="L151" s="15"/>
    </row>
    <row r="152" spans="1:12" x14ac:dyDescent="0.35">
      <c r="A152" t="s">
        <v>139</v>
      </c>
      <c r="E152" s="9" t="str">
        <f t="shared" si="4"/>
        <v/>
      </c>
      <c r="F152" s="10" t="str">
        <f>IF(OR(E152="",E152="!!!"),"",IF(NOT(ISNA(VLOOKUP(E152,E$1:E151,1,FALSE()))),"OLD",IF(AND(E152&lt;&gt;"",E152&lt;&gt;"!!!"),"NEW","")))</f>
        <v/>
      </c>
      <c r="G152" s="11" t="str">
        <f>IF(OR(E152="",E152="!!!"),"",IF(OR(J152=0,AND(J152=1,K152=1),AND(J152=1,I152="SBJ"),AND(J152=1,I152=0)),"?IN_FOCUS",IF(J152&lt;=2,"?ACTIVATED",IF(J152&lt;&gt;"","?FAMILIAR",IF(F152="NEW",IF(ISNA(VLOOKUP(E152,#REF!,1,FALSE())),"?TYPE_IDENTIFIABLE","?REFERENTIAL"),"_")))))</f>
        <v/>
      </c>
      <c r="H152" s="12" t="str">
        <f t="shared" si="5"/>
        <v/>
      </c>
      <c r="L152" s="15"/>
    </row>
    <row r="153" spans="1:12" x14ac:dyDescent="0.35">
      <c r="A153" t="s">
        <v>19</v>
      </c>
      <c r="B153" t="s">
        <v>36</v>
      </c>
      <c r="C153" t="s">
        <v>108</v>
      </c>
      <c r="E153" s="9" t="str">
        <f t="shared" si="4"/>
        <v/>
      </c>
      <c r="F153" s="10" t="str">
        <f>IF(OR(E153="",E153="!!!"),"",IF(NOT(ISNA(VLOOKUP(E153,E$1:E152,1,FALSE()))),"OLD",IF(AND(E153&lt;&gt;"",E153&lt;&gt;"!!!"),"NEW","")))</f>
        <v/>
      </c>
      <c r="G153" s="11" t="str">
        <f>IF(OR(E153="",E153="!!!"),"",IF(OR(J153=0,AND(J153=1,K153=1),AND(J153=1,I153="SBJ"),AND(J153=1,I153=0)),"?IN_FOCUS",IF(J153&lt;=2,"?ACTIVATED",IF(J153&lt;&gt;"","?FAMILIAR",IF(F153="NEW",IF(ISNA(VLOOKUP(E153,#REF!,1,FALSE())),"?TYPE_IDENTIFIABLE","?REFERENTIAL"),"_")))))</f>
        <v/>
      </c>
      <c r="H153" s="12" t="str">
        <f t="shared" si="5"/>
        <v/>
      </c>
      <c r="L153" s="15"/>
    </row>
    <row r="154" spans="1:12" x14ac:dyDescent="0.35">
      <c r="A154" t="s">
        <v>111</v>
      </c>
      <c r="E154" s="9" t="str">
        <f t="shared" si="4"/>
        <v/>
      </c>
      <c r="F154" s="10" t="str">
        <f>IF(OR(E154="",E154="!!!"),"",IF(NOT(ISNA(VLOOKUP(E154,E$1:E153,1,FALSE()))),"OLD",IF(AND(E154&lt;&gt;"",E154&lt;&gt;"!!!"),"NEW","")))</f>
        <v/>
      </c>
      <c r="G154" s="11" t="str">
        <f>IF(OR(E154="",E154="!!!"),"",IF(OR(J154=0,AND(J154=1,K154=1),AND(J154=1,I154="SBJ"),AND(J154=1,I154=0)),"?IN_FOCUS",IF(J154&lt;=2,"?ACTIVATED",IF(J154&lt;&gt;"","?FAMILIAR",IF(F154="NEW",IF(ISNA(VLOOKUP(E154,#REF!,1,FALSE())),"?TYPE_IDENTIFIABLE","?REFERENTIAL"),"_")))))</f>
        <v/>
      </c>
      <c r="H154" s="12" t="str">
        <f t="shared" si="5"/>
        <v/>
      </c>
      <c r="L154" s="15"/>
    </row>
    <row r="155" spans="1:12" x14ac:dyDescent="0.35">
      <c r="A155" t="s">
        <v>140</v>
      </c>
      <c r="E155" s="9" t="str">
        <f t="shared" si="4"/>
        <v/>
      </c>
      <c r="F155" s="10" t="str">
        <f>IF(OR(E155="",E155="!!!"),"",IF(NOT(ISNA(VLOOKUP(E155,E$1:E154,1,FALSE()))),"OLD",IF(AND(E155&lt;&gt;"",E155&lt;&gt;"!!!"),"NEW","")))</f>
        <v/>
      </c>
      <c r="G155" s="11" t="str">
        <f>IF(OR(E155="",E155="!!!"),"",IF(OR(J155=0,AND(J155=1,K155=1),AND(J155=1,I155="SBJ"),AND(J155=1,I155=0)),"?IN_FOCUS",IF(J155&lt;=2,"?ACTIVATED",IF(J155&lt;&gt;"","?FAMILIAR",IF(F155="NEW",IF(ISNA(VLOOKUP(E155,#REF!,1,FALSE())),"?TYPE_IDENTIFIABLE","?REFERENTIAL"),"_")))))</f>
        <v/>
      </c>
      <c r="H155" s="12" t="str">
        <f t="shared" si="5"/>
        <v/>
      </c>
      <c r="L155" s="15"/>
    </row>
    <row r="156" spans="1:12" x14ac:dyDescent="0.35">
      <c r="A156" t="s">
        <v>141</v>
      </c>
      <c r="B156" t="s">
        <v>91</v>
      </c>
      <c r="C156" t="s">
        <v>142</v>
      </c>
      <c r="D156" t="s">
        <v>16</v>
      </c>
      <c r="E156" s="9" t="s">
        <v>262</v>
      </c>
      <c r="F156" s="10" t="s">
        <v>876</v>
      </c>
      <c r="G156" s="11"/>
      <c r="H156" s="12" t="str">
        <f t="shared" si="5"/>
        <v/>
      </c>
      <c r="L156" s="15"/>
    </row>
    <row r="157" spans="1:12" x14ac:dyDescent="0.35">
      <c r="A157" t="s">
        <v>26</v>
      </c>
      <c r="E157" s="9" t="str">
        <f t="shared" si="4"/>
        <v/>
      </c>
      <c r="F157" s="10" t="str">
        <f>IF(OR(E157="",E157="!!!"),"",IF(NOT(ISNA(VLOOKUP(E157,E$1:E156,1,FALSE()))),"OLD",IF(AND(E157&lt;&gt;"",E157&lt;&gt;"!!!"),"NEW","")))</f>
        <v/>
      </c>
      <c r="G157" s="11" t="str">
        <f>IF(OR(E157="",E157="!!!"),"",IF(OR(J157=0,AND(J157=1,K157=1),AND(J157=1,I157="SBJ"),AND(J157=1,I157=0)),"?IN_FOCUS",IF(J157&lt;=2,"?ACTIVATED",IF(J157&lt;&gt;"","?FAMILIAR",IF(F157="NEW",IF(ISNA(VLOOKUP(E157,#REF!,1,FALSE())),"?TYPE_IDENTIFIABLE","?REFERENTIAL"),"_")))))</f>
        <v/>
      </c>
      <c r="H157" s="12" t="str">
        <f t="shared" si="5"/>
        <v/>
      </c>
      <c r="L157" s="15"/>
    </row>
    <row r="158" spans="1:12" x14ac:dyDescent="0.35">
      <c r="A158" t="s">
        <v>76</v>
      </c>
      <c r="E158" s="9" t="str">
        <f t="shared" si="4"/>
        <v/>
      </c>
      <c r="F158" s="10" t="str">
        <f>IF(OR(E158="",E158="!!!"),"",IF(NOT(ISNA(VLOOKUP(E158,E$1:E157,1,FALSE()))),"OLD",IF(AND(E158&lt;&gt;"",E158&lt;&gt;"!!!"),"NEW","")))</f>
        <v/>
      </c>
      <c r="G158" s="11" t="str">
        <f>IF(OR(E158="",E158="!!!"),"",IF(OR(J158=0,AND(J158=1,K158=1),AND(J158=1,I158="SBJ"),AND(J158=1,I158=0)),"?IN_FOCUS",IF(J158&lt;=2,"?ACTIVATED",IF(J158&lt;&gt;"","?FAMILIAR",IF(F158="NEW",IF(ISNA(VLOOKUP(E158,#REF!,1,FALSE())),"?TYPE_IDENTIFIABLE","?REFERENTIAL"),"_")))))</f>
        <v/>
      </c>
      <c r="H158" s="12" t="str">
        <f t="shared" si="5"/>
        <v/>
      </c>
      <c r="L158" s="15"/>
    </row>
    <row r="159" spans="1:12" x14ac:dyDescent="0.35">
      <c r="A159" t="s">
        <v>110</v>
      </c>
      <c r="B159" t="s">
        <v>143</v>
      </c>
      <c r="C159" t="s">
        <v>33</v>
      </c>
      <c r="D159" t="s">
        <v>869</v>
      </c>
      <c r="E159" s="9" t="s">
        <v>365</v>
      </c>
      <c r="F159" s="10" t="str">
        <f>IF(OR(E159="",E159="!!!"),"",IF(NOT(ISNA(VLOOKUP(E159,E$1:E158,1,FALSE()))),"OLD",IF(AND(E159&lt;&gt;"",E159&lt;&gt;"!!!"),"NEW","")))</f>
        <v>OLD</v>
      </c>
      <c r="G159" s="11" t="s">
        <v>877</v>
      </c>
      <c r="H159" s="12" t="str">
        <f t="shared" si="5"/>
        <v/>
      </c>
      <c r="L159" s="15"/>
    </row>
    <row r="160" spans="1:12" x14ac:dyDescent="0.35">
      <c r="A160" t="s">
        <v>144</v>
      </c>
      <c r="E160" s="9" t="str">
        <f t="shared" si="4"/>
        <v/>
      </c>
      <c r="F160" s="10" t="str">
        <f>IF(OR(E160="",E160="!!!"),"",IF(NOT(ISNA(VLOOKUP(E160,E$1:E159,1,FALSE()))),"OLD",IF(AND(E160&lt;&gt;"",E160&lt;&gt;"!!!"),"NEW","")))</f>
        <v/>
      </c>
      <c r="G160" s="11" t="str">
        <f>IF(OR(E160="",E160="!!!"),"",IF(OR(J160=0,AND(J160=1,K160=1),AND(J160=1,I160="SBJ"),AND(J160=1,I160=0)),"?IN_FOCUS",IF(J160&lt;=2,"?ACTIVATED",IF(J160&lt;&gt;"","?FAMILIAR",IF(F160="NEW",IF(ISNA(VLOOKUP(E160,#REF!,1,FALSE())),"?TYPE_IDENTIFIABLE","?REFERENTIAL"),"_")))))</f>
        <v/>
      </c>
      <c r="H160" s="12" t="str">
        <f t="shared" si="5"/>
        <v/>
      </c>
      <c r="L160" s="15"/>
    </row>
    <row r="161" spans="1:12" x14ac:dyDescent="0.35">
      <c r="A161" t="s">
        <v>145</v>
      </c>
      <c r="E161" s="9" t="str">
        <f t="shared" si="4"/>
        <v/>
      </c>
      <c r="F161" s="10" t="str">
        <f>IF(OR(E161="",E161="!!!"),"",IF(NOT(ISNA(VLOOKUP(E161,E$1:E160,1,FALSE()))),"OLD",IF(AND(E161&lt;&gt;"",E161&lt;&gt;"!!!"),"NEW","")))</f>
        <v/>
      </c>
      <c r="G161" s="11" t="str">
        <f>IF(OR(E161="",E161="!!!"),"",IF(OR(J161=0,AND(J161=1,K161=1),AND(J161=1,I161="SBJ"),AND(J161=1,I161=0)),"?IN_FOCUS",IF(J161&lt;=2,"?ACTIVATED",IF(J161&lt;&gt;"","?FAMILIAR",IF(F161="NEW",IF(ISNA(VLOOKUP(E161,#REF!,1,FALSE())),"?TYPE_IDENTIFIABLE","?REFERENTIAL"),"_")))))</f>
        <v/>
      </c>
      <c r="H161" s="12" t="str">
        <f t="shared" si="5"/>
        <v/>
      </c>
      <c r="L161" s="15"/>
    </row>
    <row r="162" spans="1:12" x14ac:dyDescent="0.35">
      <c r="A162" t="s">
        <v>146</v>
      </c>
      <c r="E162" s="9" t="str">
        <f t="shared" si="4"/>
        <v/>
      </c>
      <c r="F162" s="10" t="str">
        <f>IF(OR(E162="",E162="!!!"),"",IF(NOT(ISNA(VLOOKUP(E162,E$1:E161,1,FALSE()))),"OLD",IF(AND(E162&lt;&gt;"",E162&lt;&gt;"!!!"),"NEW","")))</f>
        <v/>
      </c>
      <c r="G162" s="11" t="str">
        <f>IF(OR(E162="",E162="!!!"),"",IF(OR(J162=0,AND(J162=1,K162=1),AND(J162=1,I162="SBJ"),AND(J162=1,I162=0)),"?IN_FOCUS",IF(J162&lt;=2,"?ACTIVATED",IF(J162&lt;&gt;"","?FAMILIAR",IF(F162="NEW",IF(ISNA(VLOOKUP(E162,#REF!,1,FALSE())),"?TYPE_IDENTIFIABLE","?REFERENTIAL"),"_")))))</f>
        <v/>
      </c>
      <c r="H162" s="12" t="str">
        <f t="shared" si="5"/>
        <v/>
      </c>
      <c r="L162" s="15"/>
    </row>
    <row r="163" spans="1:12" x14ac:dyDescent="0.35">
      <c r="A163" t="s">
        <v>147</v>
      </c>
      <c r="B163" t="s">
        <v>52</v>
      </c>
      <c r="C163" t="s">
        <v>148</v>
      </c>
      <c r="E163" s="9" t="str">
        <f t="shared" si="4"/>
        <v/>
      </c>
      <c r="F163" s="10" t="str">
        <f>IF(OR(E163="",E163="!!!"),"",IF(NOT(ISNA(VLOOKUP(E163,E$1:E162,1,FALSE()))),"OLD",IF(AND(E163&lt;&gt;"",E163&lt;&gt;"!!!"),"NEW","")))</f>
        <v/>
      </c>
      <c r="G163" s="11" t="str">
        <f>IF(OR(E163="",E163="!!!"),"",IF(OR(J163=0,AND(J163=1,K163=1),AND(J163=1,I163="SBJ"),AND(J163=1,I163=0)),"?IN_FOCUS",IF(J163&lt;=2,"?ACTIVATED",IF(J163&lt;&gt;"","?FAMILIAR",IF(F163="NEW",IF(ISNA(VLOOKUP(E163,#REF!,1,FALSE())),"?TYPE_IDENTIFIABLE","?REFERENTIAL"),"_")))))</f>
        <v/>
      </c>
      <c r="H163" s="12" t="str">
        <f t="shared" si="5"/>
        <v/>
      </c>
      <c r="L163" s="15"/>
    </row>
    <row r="164" spans="1:12" x14ac:dyDescent="0.35">
      <c r="A164" t="s">
        <v>47</v>
      </c>
      <c r="B164" t="s">
        <v>149</v>
      </c>
      <c r="C164" t="s">
        <v>49</v>
      </c>
      <c r="D164" t="s">
        <v>869</v>
      </c>
      <c r="E164" s="9" t="s">
        <v>868</v>
      </c>
      <c r="F164" s="10" t="str">
        <f>IF(OR(E164="",E164="!!!"),"",IF(NOT(ISNA(VLOOKUP(E164,E$1:E163,1,FALSE()))),"OLD",IF(AND(E164&lt;&gt;"",E164&lt;&gt;"!!!"),"NEW","")))</f>
        <v>OLD</v>
      </c>
      <c r="G164" s="11" t="s">
        <v>877</v>
      </c>
      <c r="H164" s="12" t="str">
        <f t="shared" si="5"/>
        <v/>
      </c>
      <c r="L164" s="15"/>
    </row>
    <row r="165" spans="1:12" x14ac:dyDescent="0.35">
      <c r="A165" t="s">
        <v>150</v>
      </c>
      <c r="B165" t="s">
        <v>151</v>
      </c>
      <c r="C165" t="s">
        <v>15</v>
      </c>
      <c r="D165" t="s">
        <v>16</v>
      </c>
      <c r="E165" s="9" t="s">
        <v>262</v>
      </c>
      <c r="F165" s="10" t="s">
        <v>876</v>
      </c>
      <c r="G165" s="11"/>
      <c r="H165" s="12" t="str">
        <f t="shared" si="5"/>
        <v/>
      </c>
      <c r="L165" s="15"/>
    </row>
    <row r="166" spans="1:12" x14ac:dyDescent="0.35">
      <c r="A166" t="s">
        <v>17</v>
      </c>
      <c r="E166" s="9" t="str">
        <f t="shared" si="4"/>
        <v/>
      </c>
      <c r="F166" s="10" t="str">
        <f>IF(OR(E166="",E166="!!!"),"",IF(NOT(ISNA(VLOOKUP(E166,E$1:E165,1,FALSE()))),"OLD",IF(AND(E166&lt;&gt;"",E166&lt;&gt;"!!!"),"NEW","")))</f>
        <v/>
      </c>
      <c r="G166" s="11" t="str">
        <f>IF(OR(E166="",E166="!!!"),"",IF(OR(J166=0,AND(J166=1,K166=1),AND(J166=1,I166="SBJ"),AND(J166=1,I166=0)),"?IN_FOCUS",IF(J166&lt;=2,"?ACTIVATED",IF(J166&lt;&gt;"","?FAMILIAR",IF(F166="NEW",IF(ISNA(VLOOKUP(E166,#REF!,1,FALSE())),"?TYPE_IDENTIFIABLE","?REFERENTIAL"),"_")))))</f>
        <v/>
      </c>
      <c r="H166" s="12" t="str">
        <f t="shared" si="5"/>
        <v/>
      </c>
      <c r="L166" s="15"/>
    </row>
    <row r="167" spans="1:12" x14ac:dyDescent="0.35">
      <c r="A167" t="s">
        <v>152</v>
      </c>
      <c r="B167" t="s">
        <v>149</v>
      </c>
      <c r="C167" t="s">
        <v>108</v>
      </c>
      <c r="E167" s="9" t="str">
        <f t="shared" si="4"/>
        <v/>
      </c>
      <c r="F167" s="10" t="str">
        <f>IF(OR(E167="",E167="!!!"),"",IF(NOT(ISNA(VLOOKUP(E167,E$1:E166,1,FALSE()))),"OLD",IF(AND(E167&lt;&gt;"",E167&lt;&gt;"!!!"),"NEW","")))</f>
        <v/>
      </c>
      <c r="G167" s="11" t="str">
        <f>IF(OR(E167="",E167="!!!"),"",IF(OR(J167=0,AND(J167=1,K167=1),AND(J167=1,I167="SBJ"),AND(J167=1,I167=0)),"?IN_FOCUS",IF(J167&lt;=2,"?ACTIVATED",IF(J167&lt;&gt;"","?FAMILIAR",IF(F167="NEW",IF(ISNA(VLOOKUP(E167,#REF!,1,FALSE())),"?TYPE_IDENTIFIABLE","?REFERENTIAL"),"_")))))</f>
        <v/>
      </c>
      <c r="H167" s="12" t="str">
        <f t="shared" si="5"/>
        <v/>
      </c>
      <c r="L167" s="15"/>
    </row>
    <row r="168" spans="1:12" x14ac:dyDescent="0.35">
      <c r="A168" t="s">
        <v>153</v>
      </c>
      <c r="E168" s="9" t="str">
        <f t="shared" si="4"/>
        <v/>
      </c>
      <c r="F168" s="10" t="str">
        <f>IF(OR(E168="",E168="!!!"),"",IF(NOT(ISNA(VLOOKUP(E168,E$1:E167,1,FALSE()))),"OLD",IF(AND(E168&lt;&gt;"",E168&lt;&gt;"!!!"),"NEW","")))</f>
        <v/>
      </c>
      <c r="G168" s="11" t="str">
        <f>IF(OR(E168="",E168="!!!"),"",IF(OR(J168=0,AND(J168=1,K168=1),AND(J168=1,I168="SBJ"),AND(J168=1,I168=0)),"?IN_FOCUS",IF(J168&lt;=2,"?ACTIVATED",IF(J168&lt;&gt;"","?FAMILIAR",IF(F168="NEW",IF(ISNA(VLOOKUP(E168,#REF!,1,FALSE())),"?TYPE_IDENTIFIABLE","?REFERENTIAL"),"_")))))</f>
        <v/>
      </c>
      <c r="H168" s="12" t="str">
        <f t="shared" si="5"/>
        <v/>
      </c>
      <c r="L168" s="15"/>
    </row>
    <row r="169" spans="1:12" x14ac:dyDescent="0.35">
      <c r="A169" t="s">
        <v>154</v>
      </c>
      <c r="E169" s="9" t="str">
        <f t="shared" si="4"/>
        <v/>
      </c>
      <c r="F169" s="10" t="str">
        <f>IF(OR(E169="",E169="!!!"),"",IF(NOT(ISNA(VLOOKUP(E169,E$1:E168,1,FALSE()))),"OLD",IF(AND(E169&lt;&gt;"",E169&lt;&gt;"!!!"),"NEW","")))</f>
        <v/>
      </c>
      <c r="G169" s="11" t="str">
        <f>IF(OR(E169="",E169="!!!"),"",IF(OR(J169=0,AND(J169=1,K169=1),AND(J169=1,I169="SBJ"),AND(J169=1,I169=0)),"?IN_FOCUS",IF(J169&lt;=2,"?ACTIVATED",IF(J169&lt;&gt;"","?FAMILIAR",IF(F169="NEW",IF(ISNA(VLOOKUP(E169,#REF!,1,FALSE())),"?TYPE_IDENTIFIABLE","?REFERENTIAL"),"_")))))</f>
        <v/>
      </c>
      <c r="H169" s="12" t="str">
        <f t="shared" si="5"/>
        <v/>
      </c>
      <c r="L169" s="15"/>
    </row>
    <row r="170" spans="1:12" x14ac:dyDescent="0.35">
      <c r="A170" t="s">
        <v>63</v>
      </c>
      <c r="E170" s="9" t="str">
        <f t="shared" si="4"/>
        <v/>
      </c>
      <c r="F170" s="10" t="str">
        <f>IF(OR(E170="",E170="!!!"),"",IF(NOT(ISNA(VLOOKUP(E170,E$1:E169,1,FALSE()))),"OLD",IF(AND(E170&lt;&gt;"",E170&lt;&gt;"!!!"),"NEW","")))</f>
        <v/>
      </c>
      <c r="G170" s="11" t="str">
        <f>IF(OR(E170="",E170="!!!"),"",IF(OR(J170=0,AND(J170=1,K170=1),AND(J170=1,I170="SBJ"),AND(J170=1,I170=0)),"?IN_FOCUS",IF(J170&lt;=2,"?ACTIVATED",IF(J170&lt;&gt;"","?FAMILIAR",IF(F170="NEW",IF(ISNA(VLOOKUP(E170,#REF!,1,FALSE())),"?TYPE_IDENTIFIABLE","?REFERENTIAL"),"_")))))</f>
        <v/>
      </c>
      <c r="H170" s="12" t="str">
        <f t="shared" si="5"/>
        <v/>
      </c>
      <c r="L170" s="15"/>
    </row>
    <row r="171" spans="1:12" x14ac:dyDescent="0.35">
      <c r="E171" s="9" t="str">
        <f t="shared" si="4"/>
        <v/>
      </c>
      <c r="F171" s="10" t="str">
        <f>IF(OR(E171="",E171="!!!"),"",IF(NOT(ISNA(VLOOKUP(E171,E$1:E170,1,FALSE()))),"OLD",IF(AND(E171&lt;&gt;"",E171&lt;&gt;"!!!"),"NEW","")))</f>
        <v/>
      </c>
      <c r="G171" s="11" t="str">
        <f>IF(OR(E171="",E171="!!!"),"",IF(OR(J171=0,AND(J171=1,K171=1),AND(J171=1,I171="SBJ"),AND(J171=1,I171=0)),"?IN_FOCUS",IF(J171&lt;=2,"?ACTIVATED",IF(J171&lt;&gt;"","?FAMILIAR",IF(F171="NEW",IF(ISNA(VLOOKUP(E171,#REF!,1,FALSE())),"?TYPE_IDENTIFIABLE","?REFERENTIAL"),"_")))))</f>
        <v/>
      </c>
      <c r="H171" s="12" t="str">
        <f t="shared" si="5"/>
        <v/>
      </c>
      <c r="L171" s="15"/>
    </row>
    <row r="172" spans="1:12" x14ac:dyDescent="0.35">
      <c r="A172" t="s">
        <v>155</v>
      </c>
      <c r="E172" s="9" t="str">
        <f t="shared" si="4"/>
        <v/>
      </c>
      <c r="F172" s="10" t="str">
        <f>IF(OR(E172="",E172="!!!"),"",IF(NOT(ISNA(VLOOKUP(E172,E$1:E171,1,FALSE()))),"OLD",IF(AND(E172&lt;&gt;"",E172&lt;&gt;"!!!"),"NEW","")))</f>
        <v/>
      </c>
      <c r="G172" s="11" t="str">
        <f>IF(OR(E172="",E172="!!!"),"",IF(OR(J172=0,AND(J172=1,K172=1),AND(J172=1,I172="SBJ"),AND(J172=1,I172=0)),"?IN_FOCUS",IF(J172&lt;=2,"?ACTIVATED",IF(J172&lt;&gt;"","?FAMILIAR",IF(F172="NEW",IF(ISNA(VLOOKUP(E172,#REF!,1,FALSE())),"?TYPE_IDENTIFIABLE","?REFERENTIAL"),"_")))))</f>
        <v/>
      </c>
      <c r="H172" s="12" t="str">
        <f t="shared" si="5"/>
        <v/>
      </c>
      <c r="L172" s="15"/>
    </row>
    <row r="173" spans="1:12" x14ac:dyDescent="0.35">
      <c r="A173" t="s">
        <v>156</v>
      </c>
      <c r="B173" t="s">
        <v>24</v>
      </c>
      <c r="C173" t="s">
        <v>49</v>
      </c>
      <c r="D173" t="s">
        <v>16</v>
      </c>
      <c r="E173" s="9" t="s">
        <v>365</v>
      </c>
      <c r="F173" s="10" t="str">
        <f>IF(OR(E173="",E173="!!!"),"",IF(NOT(ISNA(VLOOKUP(E173,E$1:E172,1,FALSE()))),"OLD",IF(AND(E173&lt;&gt;"",E173&lt;&gt;"!!!"),"NEW","")))</f>
        <v>OLD</v>
      </c>
      <c r="G173" s="11" t="s">
        <v>877</v>
      </c>
      <c r="H173" s="12" t="str">
        <f t="shared" si="5"/>
        <v/>
      </c>
      <c r="L173" s="15"/>
    </row>
    <row r="174" spans="1:12" x14ac:dyDescent="0.35">
      <c r="A174" t="s">
        <v>157</v>
      </c>
      <c r="B174" t="s">
        <v>14</v>
      </c>
      <c r="C174" t="s">
        <v>15</v>
      </c>
      <c r="D174" t="s">
        <v>16</v>
      </c>
      <c r="E174" s="9" t="s">
        <v>262</v>
      </c>
      <c r="F174" s="10" t="s">
        <v>876</v>
      </c>
      <c r="G174" s="11"/>
      <c r="H174" s="12" t="str">
        <f t="shared" si="5"/>
        <v/>
      </c>
      <c r="L174" s="15"/>
    </row>
    <row r="175" spans="1:12" x14ac:dyDescent="0.35">
      <c r="A175" t="s">
        <v>158</v>
      </c>
      <c r="E175" s="9" t="str">
        <f t="shared" si="4"/>
        <v/>
      </c>
      <c r="F175" s="10" t="str">
        <f>IF(OR(E175="",E175="!!!"),"",IF(NOT(ISNA(VLOOKUP(E175,E$1:E174,1,FALSE()))),"OLD",IF(AND(E175&lt;&gt;"",E175&lt;&gt;"!!!"),"NEW","")))</f>
        <v/>
      </c>
      <c r="G175" s="11" t="str">
        <f>IF(OR(E175="",E175="!!!"),"",IF(OR(J175=0,AND(J175=1,K175=1),AND(J175=1,I175="SBJ"),AND(J175=1,I175=0)),"?IN_FOCUS",IF(J175&lt;=2,"?ACTIVATED",IF(J175&lt;&gt;"","?FAMILIAR",IF(F175="NEW",IF(ISNA(VLOOKUP(E175,#REF!,1,FALSE())),"?TYPE_IDENTIFIABLE","?REFERENTIAL"),"_")))))</f>
        <v/>
      </c>
      <c r="H175" s="12" t="str">
        <f t="shared" si="5"/>
        <v/>
      </c>
      <c r="L175" s="15"/>
    </row>
    <row r="176" spans="1:12" x14ac:dyDescent="0.35">
      <c r="A176" t="s">
        <v>159</v>
      </c>
      <c r="E176" s="9" t="str">
        <f t="shared" si="4"/>
        <v/>
      </c>
      <c r="F176" s="10" t="str">
        <f>IF(OR(E176="",E176="!!!"),"",IF(NOT(ISNA(VLOOKUP(E176,E$1:E175,1,FALSE()))),"OLD",IF(AND(E176&lt;&gt;"",E176&lt;&gt;"!!!"),"NEW","")))</f>
        <v/>
      </c>
      <c r="G176" s="11" t="str">
        <f>IF(OR(E176="",E176="!!!"),"",IF(OR(J176=0,AND(J176=1,K176=1),AND(J176=1,I176="SBJ"),AND(J176=1,I176=0)),"?IN_FOCUS",IF(J176&lt;=2,"?ACTIVATED",IF(J176&lt;&gt;"","?FAMILIAR",IF(F176="NEW",IF(ISNA(VLOOKUP(E176,#REF!,1,FALSE())),"?TYPE_IDENTIFIABLE","?REFERENTIAL"),"_")))))</f>
        <v/>
      </c>
      <c r="H176" s="12" t="str">
        <f t="shared" si="5"/>
        <v/>
      </c>
      <c r="L176" s="15"/>
    </row>
    <row r="177" spans="1:12" x14ac:dyDescent="0.35">
      <c r="A177" t="s">
        <v>160</v>
      </c>
      <c r="B177" t="s">
        <v>54</v>
      </c>
      <c r="C177" t="s">
        <v>108</v>
      </c>
      <c r="E177" s="9" t="str">
        <f t="shared" si="4"/>
        <v/>
      </c>
      <c r="F177" s="10" t="str">
        <f>IF(OR(E177="",E177="!!!"),"",IF(NOT(ISNA(VLOOKUP(E177,E$1:E176,1,FALSE()))),"OLD",IF(AND(E177&lt;&gt;"",E177&lt;&gt;"!!!"),"NEW","")))</f>
        <v/>
      </c>
      <c r="G177" s="11" t="str">
        <f>IF(OR(E177="",E177="!!!"),"",IF(OR(J177=0,AND(J177=1,K177=1),AND(J177=1,I177="SBJ"),AND(J177=1,I177=0)),"?IN_FOCUS",IF(J177&lt;=2,"?ACTIVATED",IF(J177&lt;&gt;"","?FAMILIAR",IF(F177="NEW",IF(ISNA(VLOOKUP(E177,#REF!,1,FALSE())),"?TYPE_IDENTIFIABLE","?REFERENTIAL"),"_")))))</f>
        <v/>
      </c>
      <c r="H177" s="12" t="str">
        <f t="shared" si="5"/>
        <v/>
      </c>
      <c r="L177" s="15"/>
    </row>
    <row r="178" spans="1:12" x14ac:dyDescent="0.35">
      <c r="A178" t="s">
        <v>161</v>
      </c>
      <c r="E178" s="9" t="str">
        <f t="shared" si="4"/>
        <v/>
      </c>
      <c r="F178" s="10" t="str">
        <f>IF(OR(E178="",E178="!!!"),"",IF(NOT(ISNA(VLOOKUP(E178,E$1:E177,1,FALSE()))),"OLD",IF(AND(E178&lt;&gt;"",E178&lt;&gt;"!!!"),"NEW","")))</f>
        <v/>
      </c>
      <c r="G178" s="11" t="str">
        <f>IF(OR(E178="",E178="!!!"),"",IF(OR(J178=0,AND(J178=1,K178=1),AND(J178=1,I178="SBJ"),AND(J178=1,I178=0)),"?IN_FOCUS",IF(J178&lt;=2,"?ACTIVATED",IF(J178&lt;&gt;"","?FAMILIAR",IF(F178="NEW",IF(ISNA(VLOOKUP(E178,#REF!,1,FALSE())),"?TYPE_IDENTIFIABLE","?REFERENTIAL"),"_")))))</f>
        <v/>
      </c>
      <c r="H178" s="12" t="str">
        <f t="shared" si="5"/>
        <v/>
      </c>
      <c r="L178" s="15"/>
    </row>
    <row r="179" spans="1:12" x14ac:dyDescent="0.35">
      <c r="A179" t="s">
        <v>131</v>
      </c>
      <c r="E179" s="9" t="str">
        <f t="shared" si="4"/>
        <v/>
      </c>
      <c r="F179" s="10" t="str">
        <f>IF(OR(E179="",E179="!!!"),"",IF(NOT(ISNA(VLOOKUP(E179,E$1:E178,1,FALSE()))),"OLD",IF(AND(E179&lt;&gt;"",E179&lt;&gt;"!!!"),"NEW","")))</f>
        <v/>
      </c>
      <c r="G179" s="11" t="str">
        <f>IF(OR(E179="",E179="!!!"),"",IF(OR(J179=0,AND(J179=1,K179=1),AND(J179=1,I179="SBJ"),AND(J179=1,I179=0)),"?IN_FOCUS",IF(J179&lt;=2,"?ACTIVATED",IF(J179&lt;&gt;"","?FAMILIAR",IF(F179="NEW",IF(ISNA(VLOOKUP(E179,#REF!,1,FALSE())),"?TYPE_IDENTIFIABLE","?REFERENTIAL"),"_")))))</f>
        <v/>
      </c>
      <c r="H179" s="12" t="str">
        <f t="shared" si="5"/>
        <v/>
      </c>
      <c r="L179" s="15"/>
    </row>
    <row r="180" spans="1:12" x14ac:dyDescent="0.35">
      <c r="A180" t="s">
        <v>132</v>
      </c>
      <c r="E180" s="9" t="str">
        <f t="shared" si="4"/>
        <v/>
      </c>
      <c r="F180" s="10" t="str">
        <f>IF(OR(E180="",E180="!!!"),"",IF(NOT(ISNA(VLOOKUP(E180,E$1:E179,1,FALSE()))),"OLD",IF(AND(E180&lt;&gt;"",E180&lt;&gt;"!!!"),"NEW","")))</f>
        <v/>
      </c>
      <c r="G180" s="11" t="str">
        <f>IF(OR(E180="",E180="!!!"),"",IF(OR(J180=0,AND(J180=1,K180=1),AND(J180=1,I180="SBJ"),AND(J180=1,I180=0)),"?IN_FOCUS",IF(J180&lt;=2,"?ACTIVATED",IF(J180&lt;&gt;"","?FAMILIAR",IF(F180="NEW",IF(ISNA(VLOOKUP(E180,#REF!,1,FALSE())),"?TYPE_IDENTIFIABLE","?REFERENTIAL"),"_")))))</f>
        <v/>
      </c>
      <c r="H180" s="12" t="str">
        <f t="shared" si="5"/>
        <v/>
      </c>
      <c r="L180" s="15"/>
    </row>
    <row r="181" spans="1:12" x14ac:dyDescent="0.35">
      <c r="A181" t="s">
        <v>58</v>
      </c>
      <c r="E181" s="9" t="str">
        <f t="shared" si="4"/>
        <v/>
      </c>
      <c r="F181" s="10" t="str">
        <f>IF(OR(E181="",E181="!!!"),"",IF(NOT(ISNA(VLOOKUP(E181,E$1:E180,1,FALSE()))),"OLD",IF(AND(E181&lt;&gt;"",E181&lt;&gt;"!!!"),"NEW","")))</f>
        <v/>
      </c>
      <c r="G181" s="11" t="str">
        <f>IF(OR(E181="",E181="!!!"),"",IF(OR(J181=0,AND(J181=1,K181=1),AND(J181=1,I181="SBJ"),AND(J181=1,I181=0)),"?IN_FOCUS",IF(J181&lt;=2,"?ACTIVATED",IF(J181&lt;&gt;"","?FAMILIAR",IF(F181="NEW",IF(ISNA(VLOOKUP(E181,#REF!,1,FALSE())),"?TYPE_IDENTIFIABLE","?REFERENTIAL"),"_")))))</f>
        <v/>
      </c>
      <c r="H181" s="12" t="str">
        <f t="shared" si="5"/>
        <v/>
      </c>
      <c r="L181" s="15"/>
    </row>
    <row r="182" spans="1:12" x14ac:dyDescent="0.35">
      <c r="A182" t="s">
        <v>162</v>
      </c>
      <c r="E182" s="9" t="str">
        <f t="shared" si="4"/>
        <v/>
      </c>
      <c r="F182" s="10" t="str">
        <f>IF(OR(E182="",E182="!!!"),"",IF(NOT(ISNA(VLOOKUP(E182,E$1:E181,1,FALSE()))),"OLD",IF(AND(E182&lt;&gt;"",E182&lt;&gt;"!!!"),"NEW","")))</f>
        <v/>
      </c>
      <c r="G182" s="11" t="str">
        <f>IF(OR(E182="",E182="!!!"),"",IF(OR(J182=0,AND(J182=1,K182=1),AND(J182=1,I182="SBJ"),AND(J182=1,I182=0)),"?IN_FOCUS",IF(J182&lt;=2,"?ACTIVATED",IF(J182&lt;&gt;"","?FAMILIAR",IF(F182="NEW",IF(ISNA(VLOOKUP(E182,#REF!,1,FALSE())),"?TYPE_IDENTIFIABLE","?REFERENTIAL"),"_")))))</f>
        <v/>
      </c>
      <c r="H182" s="12" t="str">
        <f t="shared" si="5"/>
        <v/>
      </c>
      <c r="L182" s="15"/>
    </row>
    <row r="183" spans="1:12" x14ac:dyDescent="0.35">
      <c r="A183" t="s">
        <v>163</v>
      </c>
      <c r="B183" t="s">
        <v>24</v>
      </c>
      <c r="C183" t="s">
        <v>99</v>
      </c>
      <c r="D183" t="s">
        <v>16</v>
      </c>
      <c r="E183" s="9" t="s">
        <v>262</v>
      </c>
      <c r="F183" s="10" t="s">
        <v>876</v>
      </c>
      <c r="G183" s="11"/>
      <c r="H183" s="12" t="str">
        <f t="shared" si="5"/>
        <v/>
      </c>
      <c r="L183" s="15"/>
    </row>
    <row r="184" spans="1:12" x14ac:dyDescent="0.35">
      <c r="A184" t="s">
        <v>164</v>
      </c>
      <c r="E184" s="9" t="str">
        <f t="shared" si="4"/>
        <v/>
      </c>
      <c r="F184" s="10" t="str">
        <f>IF(OR(E184="",E184="!!!"),"",IF(NOT(ISNA(VLOOKUP(E184,E$1:E183,1,FALSE()))),"OLD",IF(AND(E184&lt;&gt;"",E184&lt;&gt;"!!!"),"NEW","")))</f>
        <v/>
      </c>
      <c r="G184" s="11" t="str">
        <f>IF(OR(E184="",E184="!!!"),"",IF(OR(J184=0,AND(J184=1,K184=1),AND(J184=1,I184="SBJ"),AND(J184=1,I184=0)),"?IN_FOCUS",IF(J184&lt;=2,"?ACTIVATED",IF(J184&lt;&gt;"","?FAMILIAR",IF(F184="NEW",IF(ISNA(VLOOKUP(E184,#REF!,1,FALSE())),"?TYPE_IDENTIFIABLE","?REFERENTIAL"),"_")))))</f>
        <v/>
      </c>
      <c r="H184" s="12" t="str">
        <f t="shared" si="5"/>
        <v/>
      </c>
      <c r="L184" s="15"/>
    </row>
    <row r="185" spans="1:12" x14ac:dyDescent="0.35">
      <c r="A185" t="s">
        <v>136</v>
      </c>
      <c r="B185" t="s">
        <v>56</v>
      </c>
      <c r="C185" t="s">
        <v>49</v>
      </c>
      <c r="D185" t="s">
        <v>16</v>
      </c>
      <c r="E185" s="9" t="s">
        <v>872</v>
      </c>
      <c r="F185" s="10" t="str">
        <f>IF(OR(E185="",E185="!!!"),"",IF(NOT(ISNA(VLOOKUP(E185,E$1:E184,1,FALSE()))),"OLD",IF(AND(E185&lt;&gt;"",E185&lt;&gt;"!!!"),"NEW","")))</f>
        <v>OLD</v>
      </c>
      <c r="G185" s="11" t="s">
        <v>874</v>
      </c>
      <c r="H185" s="12" t="str">
        <f t="shared" si="5"/>
        <v/>
      </c>
      <c r="L185" s="15"/>
    </row>
    <row r="186" spans="1:12" x14ac:dyDescent="0.35">
      <c r="A186" t="s">
        <v>165</v>
      </c>
      <c r="B186" t="s">
        <v>20</v>
      </c>
      <c r="C186" t="s">
        <v>15</v>
      </c>
      <c r="D186" t="s">
        <v>16</v>
      </c>
      <c r="E186" s="9" t="s">
        <v>262</v>
      </c>
      <c r="F186" s="10" t="s">
        <v>876</v>
      </c>
      <c r="G186" s="11"/>
      <c r="H186" s="12" t="str">
        <f t="shared" si="5"/>
        <v/>
      </c>
      <c r="L186" s="15"/>
    </row>
    <row r="187" spans="1:12" x14ac:dyDescent="0.35">
      <c r="A187" t="s">
        <v>76</v>
      </c>
      <c r="E187" s="9" t="str">
        <f t="shared" si="4"/>
        <v/>
      </c>
      <c r="F187" s="10" t="str">
        <f>IF(OR(E187="",E187="!!!"),"",IF(NOT(ISNA(VLOOKUP(E187,E$1:E186,1,FALSE()))),"OLD",IF(AND(E187&lt;&gt;"",E187&lt;&gt;"!!!"),"NEW","")))</f>
        <v/>
      </c>
      <c r="G187" s="11" t="str">
        <f>IF(OR(E187="",E187="!!!"),"",IF(OR(J187=0,AND(J187=1,K187=1),AND(J187=1,I187="SBJ"),AND(J187=1,I187=0)),"?IN_FOCUS",IF(J187&lt;=2,"?ACTIVATED",IF(J187&lt;&gt;"","?FAMILIAR",IF(F187="NEW",IF(ISNA(VLOOKUP(E187,#REF!,1,FALSE())),"?TYPE_IDENTIFIABLE","?REFERENTIAL"),"_")))))</f>
        <v/>
      </c>
      <c r="H187" s="12" t="str">
        <f t="shared" si="5"/>
        <v/>
      </c>
      <c r="L187" s="15"/>
    </row>
    <row r="188" spans="1:12" x14ac:dyDescent="0.35">
      <c r="A188" t="s">
        <v>58</v>
      </c>
      <c r="E188" s="9" t="str">
        <f t="shared" si="4"/>
        <v/>
      </c>
      <c r="F188" s="10" t="str">
        <f>IF(OR(E188="",E188="!!!"),"",IF(NOT(ISNA(VLOOKUP(E188,E$1:E187,1,FALSE()))),"OLD",IF(AND(E188&lt;&gt;"",E188&lt;&gt;"!!!"),"NEW","")))</f>
        <v/>
      </c>
      <c r="G188" s="11" t="str">
        <f>IF(OR(E188="",E188="!!!"),"",IF(OR(J188=0,AND(J188=1,K188=1),AND(J188=1,I188="SBJ"),AND(J188=1,I188=0)),"?IN_FOCUS",IF(J188&lt;=2,"?ACTIVATED",IF(J188&lt;&gt;"","?FAMILIAR",IF(F188="NEW",IF(ISNA(VLOOKUP(E188,#REF!,1,FALSE())),"?TYPE_IDENTIFIABLE","?REFERENTIAL"),"_")))))</f>
        <v/>
      </c>
      <c r="H188" s="12" t="str">
        <f t="shared" si="5"/>
        <v/>
      </c>
      <c r="L188" s="15"/>
    </row>
    <row r="189" spans="1:12" x14ac:dyDescent="0.35">
      <c r="A189" t="s">
        <v>166</v>
      </c>
      <c r="E189" s="9" t="str">
        <f t="shared" si="4"/>
        <v/>
      </c>
      <c r="F189" s="10" t="str">
        <f>IF(OR(E189="",E189="!!!"),"",IF(NOT(ISNA(VLOOKUP(E189,E$1:E188,1,FALSE()))),"OLD",IF(AND(E189&lt;&gt;"",E189&lt;&gt;"!!!"),"NEW","")))</f>
        <v/>
      </c>
      <c r="G189" s="11" t="str">
        <f>IF(OR(E189="",E189="!!!"),"",IF(OR(J189=0,AND(J189=1,K189=1),AND(J189=1,I189="SBJ"),AND(J189=1,I189=0)),"?IN_FOCUS",IF(J189&lt;=2,"?ACTIVATED",IF(J189&lt;&gt;"","?FAMILIAR",IF(F189="NEW",IF(ISNA(VLOOKUP(E189,#REF!,1,FALSE())),"?TYPE_IDENTIFIABLE","?REFERENTIAL"),"_")))))</f>
        <v/>
      </c>
      <c r="H189" s="12" t="str">
        <f t="shared" si="5"/>
        <v/>
      </c>
      <c r="L189" s="15"/>
    </row>
    <row r="190" spans="1:12" x14ac:dyDescent="0.35">
      <c r="A190" t="s">
        <v>26</v>
      </c>
      <c r="E190" s="9" t="str">
        <f t="shared" si="4"/>
        <v/>
      </c>
      <c r="F190" s="10" t="str">
        <f>IF(OR(E190="",E190="!!!"),"",IF(NOT(ISNA(VLOOKUP(E190,E$1:E189,1,FALSE()))),"OLD",IF(AND(E190&lt;&gt;"",E190&lt;&gt;"!!!"),"NEW","")))</f>
        <v/>
      </c>
      <c r="G190" s="11" t="str">
        <f>IF(OR(E190="",E190="!!!"),"",IF(OR(J190=0,AND(J190=1,K190=1),AND(J190=1,I190="SBJ"),AND(J190=1,I190=0)),"?IN_FOCUS",IF(J190&lt;=2,"?ACTIVATED",IF(J190&lt;&gt;"","?FAMILIAR",IF(F190="NEW",IF(ISNA(VLOOKUP(E190,#REF!,1,FALSE())),"?TYPE_IDENTIFIABLE","?REFERENTIAL"),"_")))))</f>
        <v/>
      </c>
      <c r="H190" s="12" t="str">
        <f t="shared" si="5"/>
        <v/>
      </c>
      <c r="L190" s="15"/>
    </row>
    <row r="191" spans="1:12" x14ac:dyDescent="0.35">
      <c r="A191" t="s">
        <v>167</v>
      </c>
      <c r="E191" s="9" t="str">
        <f t="shared" si="4"/>
        <v/>
      </c>
      <c r="F191" s="10" t="str">
        <f>IF(OR(E191="",E191="!!!"),"",IF(NOT(ISNA(VLOOKUP(E191,E$1:E190,1,FALSE()))),"OLD",IF(AND(E191&lt;&gt;"",E191&lt;&gt;"!!!"),"NEW","")))</f>
        <v/>
      </c>
      <c r="G191" s="11" t="str">
        <f>IF(OR(E191="",E191="!!!"),"",IF(OR(J191=0,AND(J191=1,K191=1),AND(J191=1,I191="SBJ"),AND(J191=1,I191=0)),"?IN_FOCUS",IF(J191&lt;=2,"?ACTIVATED",IF(J191&lt;&gt;"","?FAMILIAR",IF(F191="NEW",IF(ISNA(VLOOKUP(E191,#REF!,1,FALSE())),"?TYPE_IDENTIFIABLE","?REFERENTIAL"),"_")))))</f>
        <v/>
      </c>
      <c r="H191" s="12" t="str">
        <f t="shared" si="5"/>
        <v/>
      </c>
      <c r="L191" s="15"/>
    </row>
    <row r="192" spans="1:12" x14ac:dyDescent="0.35">
      <c r="A192" t="s">
        <v>168</v>
      </c>
      <c r="B192" t="s">
        <v>56</v>
      </c>
      <c r="C192" t="s">
        <v>99</v>
      </c>
      <c r="D192" t="s">
        <v>16</v>
      </c>
      <c r="E192" s="9" t="s">
        <v>262</v>
      </c>
      <c r="F192" s="10" t="s">
        <v>876</v>
      </c>
      <c r="G192" s="11"/>
      <c r="H192" s="12" t="str">
        <f t="shared" si="5"/>
        <v/>
      </c>
      <c r="L192" s="15"/>
    </row>
    <row r="193" spans="1:12" x14ac:dyDescent="0.35">
      <c r="A193" t="s">
        <v>169</v>
      </c>
      <c r="E193" s="9" t="str">
        <f t="shared" si="4"/>
        <v/>
      </c>
      <c r="F193" s="10" t="str">
        <f>IF(OR(E193="",E193="!!!"),"",IF(NOT(ISNA(VLOOKUP(E193,E$1:E192,1,FALSE()))),"OLD",IF(AND(E193&lt;&gt;"",E193&lt;&gt;"!!!"),"NEW","")))</f>
        <v/>
      </c>
      <c r="G193" s="11" t="str">
        <f>IF(OR(E193="",E193="!!!"),"",IF(OR(J193=0,AND(J193=1,K193=1),AND(J193=1,I193="SBJ"),AND(J193=1,I193=0)),"?IN_FOCUS",IF(J193&lt;=2,"?ACTIVATED",IF(J193&lt;&gt;"","?FAMILIAR",IF(F193="NEW",IF(ISNA(VLOOKUP(E193,#REF!,1,FALSE())),"?TYPE_IDENTIFIABLE","?REFERENTIAL"),"_")))))</f>
        <v/>
      </c>
      <c r="H193" s="12" t="str">
        <f t="shared" si="5"/>
        <v/>
      </c>
      <c r="L193" s="15"/>
    </row>
    <row r="194" spans="1:12" x14ac:dyDescent="0.35">
      <c r="A194" t="s">
        <v>170</v>
      </c>
      <c r="E194" s="9" t="str">
        <f t="shared" si="4"/>
        <v/>
      </c>
      <c r="F194" s="10" t="str">
        <f>IF(OR(E194="",E194="!!!"),"",IF(NOT(ISNA(VLOOKUP(E194,E$1:E193,1,FALSE()))),"OLD",IF(AND(E194&lt;&gt;"",E194&lt;&gt;"!!!"),"NEW","")))</f>
        <v/>
      </c>
      <c r="G194" s="11" t="str">
        <f>IF(OR(E194="",E194="!!!"),"",IF(OR(J194=0,AND(J194=1,K194=1),AND(J194=1,I194="SBJ"),AND(J194=1,I194=0)),"?IN_FOCUS",IF(J194&lt;=2,"?ACTIVATED",IF(J194&lt;&gt;"","?FAMILIAR",IF(F194="NEW",IF(ISNA(VLOOKUP(E194,#REF!,1,FALSE())),"?TYPE_IDENTIFIABLE","?REFERENTIAL"),"_")))))</f>
        <v/>
      </c>
      <c r="H194" s="12" t="str">
        <f t="shared" si="5"/>
        <v/>
      </c>
      <c r="L194" s="15"/>
    </row>
    <row r="195" spans="1:12" x14ac:dyDescent="0.35">
      <c r="A195" t="s">
        <v>171</v>
      </c>
      <c r="B195" t="s">
        <v>48</v>
      </c>
      <c r="C195" t="s">
        <v>172</v>
      </c>
      <c r="E195" s="9" t="str">
        <f t="shared" si="4"/>
        <v/>
      </c>
      <c r="F195" s="10" t="str">
        <f>IF(OR(E195="",E195="!!!"),"",IF(NOT(ISNA(VLOOKUP(E195,E$1:E194,1,FALSE()))),"OLD",IF(AND(E195&lt;&gt;"",E195&lt;&gt;"!!!"),"NEW","")))</f>
        <v/>
      </c>
      <c r="G195" s="11" t="str">
        <f>IF(OR(E195="",E195="!!!"),"",IF(OR(J195=0,AND(J195=1,K195=1),AND(J195=1,I195="SBJ"),AND(J195=1,I195=0)),"?IN_FOCUS",IF(J195&lt;=2,"?ACTIVATED",IF(J195&lt;&gt;"","?FAMILIAR",IF(F195="NEW",IF(ISNA(VLOOKUP(E195,#REF!,1,FALSE())),"?TYPE_IDENTIFIABLE","?REFERENTIAL"),"_")))))</f>
        <v/>
      </c>
      <c r="H195" s="12" t="str">
        <f t="shared" si="5"/>
        <v/>
      </c>
      <c r="L195" s="15"/>
    </row>
    <row r="196" spans="1:12" x14ac:dyDescent="0.35">
      <c r="A196" t="s">
        <v>17</v>
      </c>
      <c r="E196" s="9" t="str">
        <f t="shared" ref="E196:E200" si="6">IF(D196="?OLD","!!!","")</f>
        <v/>
      </c>
      <c r="F196" s="10" t="str">
        <f>IF(OR(E196="",E196="!!!"),"",IF(NOT(ISNA(VLOOKUP(E196,E$1:E195,1,FALSE()))),"OLD",IF(AND(E196&lt;&gt;"",E196&lt;&gt;"!!!"),"NEW","")))</f>
        <v/>
      </c>
      <c r="G196" s="11" t="str">
        <f>IF(OR(E196="",E196="!!!"),"",IF(OR(J196=0,AND(J196=1,K196=1),AND(J196=1,I196="SBJ"),AND(J196=1,I196=0)),"?IN_FOCUS",IF(J196&lt;=2,"?ACTIVATED",IF(J196&lt;&gt;"","?FAMILIAR",IF(F196="NEW",IF(ISNA(VLOOKUP(E196,#REF!,1,FALSE())),"?TYPE_IDENTIFIABLE","?REFERENTIAL"),"_")))))</f>
        <v/>
      </c>
      <c r="H196" s="12" t="str">
        <f t="shared" ref="H196:H201" si="7">IF(J196&lt;&gt;1,"",IF(I196="SBJ","CB","?"))</f>
        <v/>
      </c>
      <c r="L196" s="15"/>
    </row>
    <row r="197" spans="1:12" x14ac:dyDescent="0.35">
      <c r="A197" t="s">
        <v>58</v>
      </c>
      <c r="E197" s="9" t="str">
        <f t="shared" si="6"/>
        <v/>
      </c>
      <c r="F197" s="10" t="str">
        <f>IF(OR(E197="",E197="!!!"),"",IF(NOT(ISNA(VLOOKUP(E197,E$1:E196,1,FALSE()))),"OLD",IF(AND(E197&lt;&gt;"",E197&lt;&gt;"!!!"),"NEW","")))</f>
        <v/>
      </c>
      <c r="G197" s="11" t="str">
        <f>IF(OR(E197="",E197="!!!"),"",IF(OR(J197=0,AND(J197=1,K197=1),AND(J197=1,I197="SBJ"),AND(J197=1,I197=0)),"?IN_FOCUS",IF(J197&lt;=2,"?ACTIVATED",IF(J197&lt;&gt;"","?FAMILIAR",IF(F197="NEW",IF(ISNA(VLOOKUP(E197,#REF!,1,FALSE())),"?TYPE_IDENTIFIABLE","?REFERENTIAL"),"_")))))</f>
        <v/>
      </c>
      <c r="H197" s="12" t="str">
        <f t="shared" si="7"/>
        <v/>
      </c>
      <c r="L197" s="15"/>
    </row>
    <row r="198" spans="1:12" x14ac:dyDescent="0.35">
      <c r="A198" t="s">
        <v>173</v>
      </c>
      <c r="E198" s="9" t="str">
        <f t="shared" si="6"/>
        <v/>
      </c>
      <c r="F198" s="10" t="str">
        <f>IF(OR(E198="",E198="!!!"),"",IF(NOT(ISNA(VLOOKUP(E198,E$1:E197,1,FALSE()))),"OLD",IF(AND(E198&lt;&gt;"",E198&lt;&gt;"!!!"),"NEW","")))</f>
        <v/>
      </c>
      <c r="G198" s="11" t="str">
        <f>IF(OR(E198="",E198="!!!"),"",IF(OR(J198=0,AND(J198=1,K198=1),AND(J198=1,I198="SBJ"),AND(J198=1,I198=0)),"?IN_FOCUS",IF(J198&lt;=2,"?ACTIVATED",IF(J198&lt;&gt;"","?FAMILIAR",IF(F198="NEW",IF(ISNA(VLOOKUP(E198,#REF!,1,FALSE())),"?TYPE_IDENTIFIABLE","?REFERENTIAL"),"_")))))</f>
        <v/>
      </c>
      <c r="H198" s="12" t="str">
        <f t="shared" si="7"/>
        <v/>
      </c>
      <c r="L198" s="15"/>
    </row>
    <row r="199" spans="1:12" x14ac:dyDescent="0.35">
      <c r="A199" t="s">
        <v>174</v>
      </c>
      <c r="B199" t="s">
        <v>61</v>
      </c>
      <c r="C199" t="s">
        <v>99</v>
      </c>
      <c r="D199" t="s">
        <v>16</v>
      </c>
      <c r="E199" s="9" t="s">
        <v>262</v>
      </c>
      <c r="F199" s="10" t="s">
        <v>876</v>
      </c>
      <c r="G199" s="11"/>
      <c r="H199" s="12" t="str">
        <f t="shared" si="7"/>
        <v/>
      </c>
      <c r="L199" s="15"/>
    </row>
    <row r="200" spans="1:12" x14ac:dyDescent="0.35">
      <c r="A200" t="s">
        <v>175</v>
      </c>
      <c r="E200" s="9" t="str">
        <f t="shared" si="6"/>
        <v/>
      </c>
      <c r="F200" s="10" t="str">
        <f>IF(OR(E200="",E200="!!!"),"",IF(NOT(ISNA(VLOOKUP(E200,E$1:E199,1,FALSE()))),"OLD",IF(AND(E200&lt;&gt;"",E200&lt;&gt;"!!!"),"NEW","")))</f>
        <v/>
      </c>
      <c r="G200" s="11" t="str">
        <f>IF(OR(E200="",E200="!!!"),"",IF(OR(J200=0,AND(J200=1,K200=1),AND(J200=1,I200="SBJ"),AND(J200=1,I200=0)),"?IN_FOCUS",IF(J200&lt;=2,"?ACTIVATED",IF(J200&lt;&gt;"","?FAMILIAR",IF(F200="NEW",IF(ISNA(VLOOKUP(E200,#REF!,1,FALSE())),"?TYPE_IDENTIFIABLE","?REFERENTIAL"),"_")))))</f>
        <v/>
      </c>
      <c r="H200" s="12" t="str">
        <f t="shared" si="7"/>
        <v/>
      </c>
      <c r="L200" s="15"/>
    </row>
    <row r="201" spans="1:12" x14ac:dyDescent="0.35">
      <c r="A201" t="s">
        <v>176</v>
      </c>
      <c r="B201" t="s">
        <v>91</v>
      </c>
      <c r="C201" t="s">
        <v>33</v>
      </c>
      <c r="D201" t="s">
        <v>16</v>
      </c>
      <c r="E201" s="9" t="s">
        <v>365</v>
      </c>
      <c r="F201" s="10" t="str">
        <f>IF(OR(E201="",E201="!!!"),"",IF(NOT(ISNA(VLOOKUP(E201,E$1:E200,1,FALSE()))),"OLD",IF(AND(E201&lt;&gt;"",E201&lt;&gt;"!!!"),"NEW","")))</f>
        <v>OLD</v>
      </c>
      <c r="G201" s="11" t="s">
        <v>870</v>
      </c>
      <c r="H201" s="12" t="str">
        <f t="shared" si="7"/>
        <v/>
      </c>
      <c r="L201" s="15"/>
    </row>
    <row r="202" spans="1:12" x14ac:dyDescent="0.35">
      <c r="A202" t="s">
        <v>39</v>
      </c>
      <c r="E202" s="9" t="str">
        <f t="shared" ref="E202:E265" si="8">IF(D202="?OLD","!!!","")</f>
        <v/>
      </c>
      <c r="F202" s="10" t="str">
        <f>IF(OR(E202="",E202="!!!"),"",IF(NOT(ISNA(VLOOKUP(E202,E$1:E201,1,FALSE()))),"OLD",IF(AND(E202&lt;&gt;"",E202&lt;&gt;"!!!"),"NEW","")))</f>
        <v/>
      </c>
      <c r="G202" s="11" t="str">
        <f>IF(OR(E202="",E202="!!!"),"",IF(OR(J202=0,AND(J202=1,K202=1),AND(J202=1,I202="SBJ"),AND(J202=1,I202=0)),"?IN_FOCUS",IF(J202&lt;=2,"?ACTIVATED",IF(J202&lt;&gt;"","?FAMILIAR",IF(F202="NEW",IF(ISNA(VLOOKUP(E202,#REF!,1,FALSE())),"?TYPE_IDENTIFIABLE","?REFERENTIAL"),"_")))))</f>
        <v/>
      </c>
      <c r="H202" s="12" t="str">
        <f t="shared" ref="H202:H265" si="9">IF(J202&lt;&gt;1,"",IF(I202="SBJ","CB","?"))</f>
        <v/>
      </c>
      <c r="L202" s="15"/>
    </row>
    <row r="203" spans="1:12" x14ac:dyDescent="0.35">
      <c r="A203" t="s">
        <v>133</v>
      </c>
      <c r="B203" t="s">
        <v>41</v>
      </c>
      <c r="C203" t="s">
        <v>33</v>
      </c>
      <c r="D203" t="s">
        <v>16</v>
      </c>
      <c r="E203" s="9" t="s">
        <v>872</v>
      </c>
      <c r="F203" s="10" t="str">
        <f>IF(OR(E203="",E203="!!!"),"",IF(NOT(ISNA(VLOOKUP(E203,E$1:E202,1,FALSE()))),"OLD",IF(AND(E203&lt;&gt;"",E203&lt;&gt;"!!!"),"NEW","")))</f>
        <v>OLD</v>
      </c>
      <c r="G203" s="11" t="s">
        <v>870</v>
      </c>
      <c r="H203" s="12" t="str">
        <f t="shared" si="9"/>
        <v/>
      </c>
      <c r="L203" s="15"/>
    </row>
    <row r="204" spans="1:12" x14ac:dyDescent="0.35">
      <c r="A204" t="s">
        <v>83</v>
      </c>
      <c r="E204" s="9" t="str">
        <f t="shared" si="8"/>
        <v/>
      </c>
      <c r="F204" s="10" t="str">
        <f>IF(OR(E204="",E204="!!!"),"",IF(NOT(ISNA(VLOOKUP(E204,E$1:E203,1,FALSE()))),"OLD",IF(AND(E204&lt;&gt;"",E204&lt;&gt;"!!!"),"NEW","")))</f>
        <v/>
      </c>
      <c r="G204" s="11" t="str">
        <f>IF(OR(E204="",E204="!!!"),"",IF(OR(J204=0,AND(J204=1,K204=1),AND(J204=1,I204="SBJ"),AND(J204=1,I204=0)),"?IN_FOCUS",IF(J204&lt;=2,"?ACTIVATED",IF(J204&lt;&gt;"","?FAMILIAR",IF(F204="NEW",IF(ISNA(VLOOKUP(E204,#REF!,1,FALSE())),"?TYPE_IDENTIFIABLE","?REFERENTIAL"),"_")))))</f>
        <v/>
      </c>
      <c r="H204" s="12" t="str">
        <f t="shared" si="9"/>
        <v/>
      </c>
      <c r="L204" s="15"/>
    </row>
    <row r="205" spans="1:12" x14ac:dyDescent="0.35">
      <c r="A205" t="s">
        <v>177</v>
      </c>
      <c r="E205" s="9" t="str">
        <f t="shared" si="8"/>
        <v/>
      </c>
      <c r="F205" s="10" t="str">
        <f>IF(OR(E205="",E205="!!!"),"",IF(NOT(ISNA(VLOOKUP(E205,E$1:E204,1,FALSE()))),"OLD",IF(AND(E205&lt;&gt;"",E205&lt;&gt;"!!!"),"NEW","")))</f>
        <v/>
      </c>
      <c r="G205" s="11" t="str">
        <f>IF(OR(E205="",E205="!!!"),"",IF(OR(J205=0,AND(J205=1,K205=1),AND(J205=1,I205="SBJ"),AND(J205=1,I205=0)),"?IN_FOCUS",IF(J205&lt;=2,"?ACTIVATED",IF(J205&lt;&gt;"","?FAMILIAR",IF(F205="NEW",IF(ISNA(VLOOKUP(E205,#REF!,1,FALSE())),"?TYPE_IDENTIFIABLE","?REFERENTIAL"),"_")))))</f>
        <v/>
      </c>
      <c r="H205" s="12" t="str">
        <f t="shared" si="9"/>
        <v/>
      </c>
      <c r="L205" s="15"/>
    </row>
    <row r="206" spans="1:12" x14ac:dyDescent="0.35">
      <c r="A206" t="s">
        <v>164</v>
      </c>
      <c r="E206" s="9" t="str">
        <f t="shared" si="8"/>
        <v/>
      </c>
      <c r="F206" s="10" t="str">
        <f>IF(OR(E206="",E206="!!!"),"",IF(NOT(ISNA(VLOOKUP(E206,E$1:E205,1,FALSE()))),"OLD",IF(AND(E206&lt;&gt;"",E206&lt;&gt;"!!!"),"NEW","")))</f>
        <v/>
      </c>
      <c r="G206" s="11" t="str">
        <f>IF(OR(E206="",E206="!!!"),"",IF(OR(J206=0,AND(J206=1,K206=1),AND(J206=1,I206="SBJ"),AND(J206=1,I206=0)),"?IN_FOCUS",IF(J206&lt;=2,"?ACTIVATED",IF(J206&lt;&gt;"","?FAMILIAR",IF(F206="NEW",IF(ISNA(VLOOKUP(E206,#REF!,1,FALSE())),"?TYPE_IDENTIFIABLE","?REFERENTIAL"),"_")))))</f>
        <v/>
      </c>
      <c r="H206" s="12" t="str">
        <f t="shared" si="9"/>
        <v/>
      </c>
      <c r="L206" s="15"/>
    </row>
    <row r="207" spans="1:12" x14ac:dyDescent="0.35">
      <c r="A207" t="s">
        <v>58</v>
      </c>
      <c r="E207" s="9" t="str">
        <f t="shared" si="8"/>
        <v/>
      </c>
      <c r="F207" s="10" t="str">
        <f>IF(OR(E207="",E207="!!!"),"",IF(NOT(ISNA(VLOOKUP(E207,E$1:E206,1,FALSE()))),"OLD",IF(AND(E207&lt;&gt;"",E207&lt;&gt;"!!!"),"NEW","")))</f>
        <v/>
      </c>
      <c r="G207" s="11" t="str">
        <f>IF(OR(E207="",E207="!!!"),"",IF(OR(J207=0,AND(J207=1,K207=1),AND(J207=1,I207="SBJ"),AND(J207=1,I207=0)),"?IN_FOCUS",IF(J207&lt;=2,"?ACTIVATED",IF(J207&lt;&gt;"","?FAMILIAR",IF(F207="NEW",IF(ISNA(VLOOKUP(E207,#REF!,1,FALSE())),"?TYPE_IDENTIFIABLE","?REFERENTIAL"),"_")))))</f>
        <v/>
      </c>
      <c r="H207" s="12" t="str">
        <f t="shared" si="9"/>
        <v/>
      </c>
      <c r="L207" s="15"/>
    </row>
    <row r="208" spans="1:12" x14ac:dyDescent="0.35">
      <c r="A208" t="s">
        <v>178</v>
      </c>
      <c r="B208" t="s">
        <v>24</v>
      </c>
      <c r="C208" t="s">
        <v>99</v>
      </c>
      <c r="D208" t="s">
        <v>16</v>
      </c>
      <c r="E208" s="9" t="s">
        <v>262</v>
      </c>
      <c r="F208" s="10" t="s">
        <v>867</v>
      </c>
      <c r="G208" s="11" t="str">
        <f>IF(OR(E208="",E208="!!!"),"",IF(OR(J208=0,AND(J208=1,K208=1),AND(J208=1,I208="SBJ"),AND(J208=1,I208=0)),"?IN_FOCUS",IF(J208&lt;=2,"?ACTIVATED",IF(J208&lt;&gt;"","?FAMILIAR",IF(F208="NEW",IF(ISNA(VLOOKUP(E208,#REF!,1,FALSE())),"?TYPE_IDENTIFIABLE","?REFERENTIAL"),"_")))))</f>
        <v>?IN_FOCUS</v>
      </c>
      <c r="H208" s="12" t="str">
        <f t="shared" si="9"/>
        <v/>
      </c>
      <c r="L208" s="15" t="s">
        <v>879</v>
      </c>
    </row>
    <row r="209" spans="1:12" x14ac:dyDescent="0.35">
      <c r="A209" t="s">
        <v>179</v>
      </c>
      <c r="E209" s="9" t="str">
        <f t="shared" si="8"/>
        <v/>
      </c>
      <c r="F209" s="10" t="str">
        <f>IF(OR(E209="",E209="!!!"),"",IF(NOT(ISNA(VLOOKUP(E209,E$1:E208,1,FALSE()))),"OLD",IF(AND(E209&lt;&gt;"",E209&lt;&gt;"!!!"),"NEW","")))</f>
        <v/>
      </c>
      <c r="G209" s="11" t="str">
        <f>IF(OR(E209="",E209="!!!"),"",IF(OR(J209=0,AND(J209=1,K209=1),AND(J209=1,I209="SBJ"),AND(J209=1,I209=0)),"?IN_FOCUS",IF(J209&lt;=2,"?ACTIVATED",IF(J209&lt;&gt;"","?FAMILIAR",IF(F209="NEW",IF(ISNA(VLOOKUP(E209,#REF!,1,FALSE())),"?TYPE_IDENTIFIABLE","?REFERENTIAL"),"_")))))</f>
        <v/>
      </c>
      <c r="H209" s="12" t="str">
        <f t="shared" si="9"/>
        <v/>
      </c>
      <c r="L209" s="15"/>
    </row>
    <row r="210" spans="1:12" x14ac:dyDescent="0.35">
      <c r="A210" t="s">
        <v>180</v>
      </c>
      <c r="E210" s="9" t="str">
        <f t="shared" si="8"/>
        <v/>
      </c>
      <c r="F210" s="10" t="str">
        <f>IF(OR(E210="",E210="!!!"),"",IF(NOT(ISNA(VLOOKUP(E210,E$1:E209,1,FALSE()))),"OLD",IF(AND(E210&lt;&gt;"",E210&lt;&gt;"!!!"),"NEW","")))</f>
        <v/>
      </c>
      <c r="G210" s="11" t="str">
        <f>IF(OR(E210="",E210="!!!"),"",IF(OR(J210=0,AND(J210=1,K210=1),AND(J210=1,I210="SBJ"),AND(J210=1,I210=0)),"?IN_FOCUS",IF(J210&lt;=2,"?ACTIVATED",IF(J210&lt;&gt;"","?FAMILIAR",IF(F210="NEW",IF(ISNA(VLOOKUP(E210,#REF!,1,FALSE())),"?TYPE_IDENTIFIABLE","?REFERENTIAL"),"_")))))</f>
        <v/>
      </c>
      <c r="H210" s="12" t="str">
        <f t="shared" si="9"/>
        <v/>
      </c>
      <c r="L210" s="15"/>
    </row>
    <row r="211" spans="1:12" x14ac:dyDescent="0.35">
      <c r="A211" t="s">
        <v>63</v>
      </c>
      <c r="E211" s="9" t="str">
        <f t="shared" si="8"/>
        <v/>
      </c>
      <c r="F211" s="10" t="str">
        <f>IF(OR(E211="",E211="!!!"),"",IF(NOT(ISNA(VLOOKUP(E211,E$1:E210,1,FALSE()))),"OLD",IF(AND(E211&lt;&gt;"",E211&lt;&gt;"!!!"),"NEW","")))</f>
        <v/>
      </c>
      <c r="G211" s="11" t="str">
        <f>IF(OR(E211="",E211="!!!"),"",IF(OR(J211=0,AND(J211=1,K211=1),AND(J211=1,I211="SBJ"),AND(J211=1,I211=0)),"?IN_FOCUS",IF(J211&lt;=2,"?ACTIVATED",IF(J211&lt;&gt;"","?FAMILIAR",IF(F211="NEW",IF(ISNA(VLOOKUP(E211,#REF!,1,FALSE())),"?TYPE_IDENTIFIABLE","?REFERENTIAL"),"_")))))</f>
        <v/>
      </c>
      <c r="H211" s="12" t="str">
        <f t="shared" si="9"/>
        <v/>
      </c>
      <c r="L211" s="15"/>
    </row>
    <row r="212" spans="1:12" x14ac:dyDescent="0.35">
      <c r="E212" s="9" t="str">
        <f t="shared" si="8"/>
        <v/>
      </c>
      <c r="F212" s="10" t="str">
        <f>IF(OR(E212="",E212="!!!"),"",IF(NOT(ISNA(VLOOKUP(E212,E$1:E211,1,FALSE()))),"OLD",IF(AND(E212&lt;&gt;"",E212&lt;&gt;"!!!"),"NEW","")))</f>
        <v/>
      </c>
      <c r="G212" s="11" t="str">
        <f>IF(OR(E212="",E212="!!!"),"",IF(OR(J212=0,AND(J212=1,K212=1),AND(J212=1,I212="SBJ"),AND(J212=1,I212=0)),"?IN_FOCUS",IF(J212&lt;=2,"?ACTIVATED",IF(J212&lt;&gt;"","?FAMILIAR",IF(F212="NEW",IF(ISNA(VLOOKUP(E212,#REF!,1,FALSE())),"?TYPE_IDENTIFIABLE","?REFERENTIAL"),"_")))))</f>
        <v/>
      </c>
      <c r="H212" s="12" t="str">
        <f t="shared" si="9"/>
        <v/>
      </c>
      <c r="L212" s="15"/>
    </row>
    <row r="213" spans="1:12" x14ac:dyDescent="0.35">
      <c r="A213" t="s">
        <v>181</v>
      </c>
      <c r="E213" s="9" t="str">
        <f t="shared" si="8"/>
        <v/>
      </c>
      <c r="F213" s="10" t="str">
        <f>IF(OR(E213="",E213="!!!"),"",IF(NOT(ISNA(VLOOKUP(E213,E$1:E212,1,FALSE()))),"OLD",IF(AND(E213&lt;&gt;"",E213&lt;&gt;"!!!"),"NEW","")))</f>
        <v/>
      </c>
      <c r="G213" s="11" t="str">
        <f>IF(OR(E213="",E213="!!!"),"",IF(OR(J213=0,AND(J213=1,K213=1),AND(J213=1,I213="SBJ"),AND(J213=1,I213=0)),"?IN_FOCUS",IF(J213&lt;=2,"?ACTIVATED",IF(J213&lt;&gt;"","?FAMILIAR",IF(F213="NEW",IF(ISNA(VLOOKUP(E213,#REF!,1,FALSE())),"?TYPE_IDENTIFIABLE","?REFERENTIAL"),"_")))))</f>
        <v/>
      </c>
      <c r="H213" s="12" t="str">
        <f t="shared" si="9"/>
        <v/>
      </c>
      <c r="L213" s="15"/>
    </row>
    <row r="214" spans="1:12" x14ac:dyDescent="0.35">
      <c r="A214" t="s">
        <v>182</v>
      </c>
      <c r="E214" s="9" t="str">
        <f t="shared" si="8"/>
        <v/>
      </c>
      <c r="F214" s="10" t="str">
        <f>IF(OR(E214="",E214="!!!"),"",IF(NOT(ISNA(VLOOKUP(E214,E$1:E213,1,FALSE()))),"OLD",IF(AND(E214&lt;&gt;"",E214&lt;&gt;"!!!"),"NEW","")))</f>
        <v/>
      </c>
      <c r="G214" s="11" t="str">
        <f>IF(OR(E214="",E214="!!!"),"",IF(OR(J214=0,AND(J214=1,K214=1),AND(J214=1,I214="SBJ"),AND(J214=1,I214=0)),"?IN_FOCUS",IF(J214&lt;=2,"?ACTIVATED",IF(J214&lt;&gt;"","?FAMILIAR",IF(F214="NEW",IF(ISNA(VLOOKUP(E214,#REF!,1,FALSE())),"?TYPE_IDENTIFIABLE","?REFERENTIAL"),"_")))))</f>
        <v/>
      </c>
      <c r="H214" s="12" t="str">
        <f t="shared" si="9"/>
        <v/>
      </c>
      <c r="L214" s="15"/>
    </row>
    <row r="215" spans="1:12" x14ac:dyDescent="0.35">
      <c r="A215" t="s">
        <v>183</v>
      </c>
      <c r="B215" t="s">
        <v>54</v>
      </c>
      <c r="C215" t="s">
        <v>172</v>
      </c>
      <c r="E215" s="9" t="str">
        <f t="shared" si="8"/>
        <v/>
      </c>
      <c r="F215" s="10" t="str">
        <f>IF(OR(E215="",E215="!!!"),"",IF(NOT(ISNA(VLOOKUP(E215,E$1:E214,1,FALSE()))),"OLD",IF(AND(E215&lt;&gt;"",E215&lt;&gt;"!!!"),"NEW","")))</f>
        <v/>
      </c>
      <c r="G215" s="11" t="str">
        <f>IF(OR(E215="",E215="!!!"),"",IF(OR(J215=0,AND(J215=1,K215=1),AND(J215=1,I215="SBJ"),AND(J215=1,I215=0)),"?IN_FOCUS",IF(J215&lt;=2,"?ACTIVATED",IF(J215&lt;&gt;"","?FAMILIAR",IF(F215="NEW",IF(ISNA(VLOOKUP(E215,#REF!,1,FALSE())),"?TYPE_IDENTIFIABLE","?REFERENTIAL"),"_")))))</f>
        <v/>
      </c>
      <c r="H215" s="12" t="str">
        <f t="shared" si="9"/>
        <v/>
      </c>
      <c r="L215" s="15"/>
    </row>
    <row r="216" spans="1:12" x14ac:dyDescent="0.35">
      <c r="A216" t="s">
        <v>17</v>
      </c>
      <c r="E216" s="9" t="str">
        <f t="shared" si="8"/>
        <v/>
      </c>
      <c r="F216" s="10" t="str">
        <f>IF(OR(E216="",E216="!!!"),"",IF(NOT(ISNA(VLOOKUP(E216,E$1:E215,1,FALSE()))),"OLD",IF(AND(E216&lt;&gt;"",E216&lt;&gt;"!!!"),"NEW","")))</f>
        <v/>
      </c>
      <c r="G216" s="11" t="str">
        <f>IF(OR(E216="",E216="!!!"),"",IF(OR(J216=0,AND(J216=1,K216=1),AND(J216=1,I216="SBJ"),AND(J216=1,I216=0)),"?IN_FOCUS",IF(J216&lt;=2,"?ACTIVATED",IF(J216&lt;&gt;"","?FAMILIAR",IF(F216="NEW",IF(ISNA(VLOOKUP(E216,#REF!,1,FALSE())),"?TYPE_IDENTIFIABLE","?REFERENTIAL"),"_")))))</f>
        <v/>
      </c>
      <c r="H216" s="12" t="str">
        <f t="shared" si="9"/>
        <v/>
      </c>
      <c r="L216" s="15"/>
    </row>
    <row r="217" spans="1:12" x14ac:dyDescent="0.35">
      <c r="A217" t="s">
        <v>58</v>
      </c>
      <c r="E217" s="9" t="str">
        <f t="shared" si="8"/>
        <v/>
      </c>
      <c r="F217" s="10" t="str">
        <f>IF(OR(E217="",E217="!!!"),"",IF(NOT(ISNA(VLOOKUP(E217,E$1:E216,1,FALSE()))),"OLD",IF(AND(E217&lt;&gt;"",E217&lt;&gt;"!!!"),"NEW","")))</f>
        <v/>
      </c>
      <c r="G217" s="11" t="str">
        <f>IF(OR(E217="",E217="!!!"),"",IF(OR(J217=0,AND(J217=1,K217=1),AND(J217=1,I217="SBJ"),AND(J217=1,I217=0)),"?IN_FOCUS",IF(J217&lt;=2,"?ACTIVATED",IF(J217&lt;&gt;"","?FAMILIAR",IF(F217="NEW",IF(ISNA(VLOOKUP(E217,#REF!,1,FALSE())),"?TYPE_IDENTIFIABLE","?REFERENTIAL"),"_")))))</f>
        <v/>
      </c>
      <c r="H217" s="12" t="str">
        <f t="shared" si="9"/>
        <v/>
      </c>
      <c r="L217" s="15"/>
    </row>
    <row r="218" spans="1:12" x14ac:dyDescent="0.35">
      <c r="A218" t="s">
        <v>184</v>
      </c>
      <c r="B218" t="s">
        <v>54</v>
      </c>
      <c r="C218" t="s">
        <v>99</v>
      </c>
      <c r="D218" t="s">
        <v>16</v>
      </c>
      <c r="E218" s="9" t="s">
        <v>262</v>
      </c>
      <c r="F218" s="10" t="s">
        <v>876</v>
      </c>
      <c r="G218" s="11"/>
      <c r="H218" s="12" t="str">
        <f t="shared" si="9"/>
        <v/>
      </c>
      <c r="L218" s="15"/>
    </row>
    <row r="219" spans="1:12" x14ac:dyDescent="0.35">
      <c r="A219" t="s">
        <v>76</v>
      </c>
      <c r="E219" s="9" t="str">
        <f t="shared" si="8"/>
        <v/>
      </c>
      <c r="F219" s="10" t="str">
        <f>IF(OR(E219="",E219="!!!"),"",IF(NOT(ISNA(VLOOKUP(E219,E$1:E218,1,FALSE()))),"OLD",IF(AND(E219&lt;&gt;"",E219&lt;&gt;"!!!"),"NEW","")))</f>
        <v/>
      </c>
      <c r="G219" s="11" t="str">
        <f>IF(OR(E219="",E219="!!!"),"",IF(OR(J219=0,AND(J219=1,K219=1),AND(J219=1,I219="SBJ"),AND(J219=1,I219=0)),"?IN_FOCUS",IF(J219&lt;=2,"?ACTIVATED",IF(J219&lt;&gt;"","?FAMILIAR",IF(F219="NEW",IF(ISNA(VLOOKUP(E219,#REF!,1,FALSE())),"?TYPE_IDENTIFIABLE","?REFERENTIAL"),"_")))))</f>
        <v/>
      </c>
      <c r="H219" s="12" t="str">
        <f t="shared" si="9"/>
        <v/>
      </c>
      <c r="L219" s="15"/>
    </row>
    <row r="220" spans="1:12" x14ac:dyDescent="0.35">
      <c r="A220" t="s">
        <v>185</v>
      </c>
      <c r="E220" s="9" t="str">
        <f t="shared" si="8"/>
        <v/>
      </c>
      <c r="F220" s="10" t="str">
        <f>IF(OR(E220="",E220="!!!"),"",IF(NOT(ISNA(VLOOKUP(E220,E$1:E219,1,FALSE()))),"OLD",IF(AND(E220&lt;&gt;"",E220&lt;&gt;"!!!"),"NEW","")))</f>
        <v/>
      </c>
      <c r="G220" s="11" t="str">
        <f>IF(OR(E220="",E220="!!!"),"",IF(OR(J220=0,AND(J220=1,K220=1),AND(J220=1,I220="SBJ"),AND(J220=1,I220=0)),"?IN_FOCUS",IF(J220&lt;=2,"?ACTIVATED",IF(J220&lt;&gt;"","?FAMILIAR",IF(F220="NEW",IF(ISNA(VLOOKUP(E220,#REF!,1,FALSE())),"?TYPE_IDENTIFIABLE","?REFERENTIAL"),"_")))))</f>
        <v/>
      </c>
      <c r="H220" s="12" t="str">
        <f t="shared" si="9"/>
        <v/>
      </c>
      <c r="L220" s="15"/>
    </row>
    <row r="221" spans="1:12" x14ac:dyDescent="0.35">
      <c r="A221" t="s">
        <v>186</v>
      </c>
      <c r="B221" t="s">
        <v>36</v>
      </c>
      <c r="C221" t="s">
        <v>172</v>
      </c>
      <c r="E221" s="9" t="str">
        <f t="shared" si="8"/>
        <v/>
      </c>
      <c r="F221" s="10" t="str">
        <f>IF(OR(E221="",E221="!!!"),"",IF(NOT(ISNA(VLOOKUP(E221,E$1:E220,1,FALSE()))),"OLD",IF(AND(E221&lt;&gt;"",E221&lt;&gt;"!!!"),"NEW","")))</f>
        <v/>
      </c>
      <c r="G221" s="11" t="str">
        <f>IF(OR(E221="",E221="!!!"),"",IF(OR(J221=0,AND(J221=1,K221=1),AND(J221=1,I221="SBJ"),AND(J221=1,I221=0)),"?IN_FOCUS",IF(J221&lt;=2,"?ACTIVATED",IF(J221&lt;&gt;"","?FAMILIAR",IF(F221="NEW",IF(ISNA(VLOOKUP(E221,#REF!,1,FALSE())),"?TYPE_IDENTIFIABLE","?REFERENTIAL"),"_")))))</f>
        <v/>
      </c>
      <c r="H221" s="12" t="str">
        <f t="shared" si="9"/>
        <v/>
      </c>
      <c r="L221" s="15"/>
    </row>
    <row r="222" spans="1:12" x14ac:dyDescent="0.35">
      <c r="A222" t="s">
        <v>17</v>
      </c>
      <c r="E222" s="9" t="str">
        <f t="shared" si="8"/>
        <v/>
      </c>
      <c r="F222" s="10" t="str">
        <f>IF(OR(E222="",E222="!!!"),"",IF(NOT(ISNA(VLOOKUP(E222,E$1:E221,1,FALSE()))),"OLD",IF(AND(E222&lt;&gt;"",E222&lt;&gt;"!!!"),"NEW","")))</f>
        <v/>
      </c>
      <c r="G222" s="11" t="str">
        <f>IF(OR(E222="",E222="!!!"),"",IF(OR(J222=0,AND(J222=1,K222=1),AND(J222=1,I222="SBJ"),AND(J222=1,I222=0)),"?IN_FOCUS",IF(J222&lt;=2,"?ACTIVATED",IF(J222&lt;&gt;"","?FAMILIAR",IF(F222="NEW",IF(ISNA(VLOOKUP(E222,#REF!,1,FALSE())),"?TYPE_IDENTIFIABLE","?REFERENTIAL"),"_")))))</f>
        <v/>
      </c>
      <c r="H222" s="12" t="str">
        <f t="shared" si="9"/>
        <v/>
      </c>
      <c r="L222" s="15"/>
    </row>
    <row r="223" spans="1:12" x14ac:dyDescent="0.35">
      <c r="A223" t="s">
        <v>58</v>
      </c>
      <c r="E223" s="9" t="str">
        <f t="shared" si="8"/>
        <v/>
      </c>
      <c r="F223" s="10" t="str">
        <f>IF(OR(E223="",E223="!!!"),"",IF(NOT(ISNA(VLOOKUP(E223,E$1:E222,1,FALSE()))),"OLD",IF(AND(E223&lt;&gt;"",E223&lt;&gt;"!!!"),"NEW","")))</f>
        <v/>
      </c>
      <c r="G223" s="11" t="str">
        <f>IF(OR(E223="",E223="!!!"),"",IF(OR(J223=0,AND(J223=1,K223=1),AND(J223=1,I223="SBJ"),AND(J223=1,I223=0)),"?IN_FOCUS",IF(J223&lt;=2,"?ACTIVATED",IF(J223&lt;&gt;"","?FAMILIAR",IF(F223="NEW",IF(ISNA(VLOOKUP(E223,#REF!,1,FALSE())),"?TYPE_IDENTIFIABLE","?REFERENTIAL"),"_")))))</f>
        <v/>
      </c>
      <c r="H223" s="12" t="str">
        <f t="shared" si="9"/>
        <v/>
      </c>
      <c r="L223" s="15"/>
    </row>
    <row r="224" spans="1:12" x14ac:dyDescent="0.35">
      <c r="A224" t="s">
        <v>187</v>
      </c>
      <c r="B224" t="s">
        <v>20</v>
      </c>
      <c r="C224" t="s">
        <v>99</v>
      </c>
      <c r="D224" t="s">
        <v>16</v>
      </c>
      <c r="E224" s="9" t="s">
        <v>262</v>
      </c>
      <c r="F224" s="10" t="s">
        <v>876</v>
      </c>
      <c r="G224" s="11"/>
      <c r="H224" s="12" t="str">
        <f t="shared" si="9"/>
        <v/>
      </c>
      <c r="L224" s="15"/>
    </row>
    <row r="225" spans="1:12" x14ac:dyDescent="0.35">
      <c r="A225" t="s">
        <v>42</v>
      </c>
      <c r="E225" s="9" t="str">
        <f t="shared" si="8"/>
        <v/>
      </c>
      <c r="F225" s="10" t="str">
        <f>IF(OR(E225="",E225="!!!"),"",IF(NOT(ISNA(VLOOKUP(E225,E$1:E224,1,FALSE()))),"OLD",IF(AND(E225&lt;&gt;"",E225&lt;&gt;"!!!"),"NEW","")))</f>
        <v/>
      </c>
      <c r="G225" s="11" t="str">
        <f>IF(OR(E225="",E225="!!!"),"",IF(OR(J225=0,AND(J225=1,K225=1),AND(J225=1,I225="SBJ"),AND(J225=1,I225=0)),"?IN_FOCUS",IF(J225&lt;=2,"?ACTIVATED",IF(J225&lt;&gt;"","?FAMILIAR",IF(F225="NEW",IF(ISNA(VLOOKUP(E225,#REF!,1,FALSE())),"?TYPE_IDENTIFIABLE","?REFERENTIAL"),"_")))))</f>
        <v/>
      </c>
      <c r="H225" s="12" t="str">
        <f t="shared" si="9"/>
        <v/>
      </c>
      <c r="L225" s="15"/>
    </row>
    <row r="226" spans="1:12" x14ac:dyDescent="0.35">
      <c r="A226" t="s">
        <v>188</v>
      </c>
      <c r="E226" s="9" t="str">
        <f t="shared" si="8"/>
        <v/>
      </c>
      <c r="F226" s="10" t="str">
        <f>IF(OR(E226="",E226="!!!"),"",IF(NOT(ISNA(VLOOKUP(E226,E$1:E225,1,FALSE()))),"OLD",IF(AND(E226&lt;&gt;"",E226&lt;&gt;"!!!"),"NEW","")))</f>
        <v/>
      </c>
      <c r="G226" s="11" t="str">
        <f>IF(OR(E226="",E226="!!!"),"",IF(OR(J226=0,AND(J226=1,K226=1),AND(J226=1,I226="SBJ"),AND(J226=1,I226=0)),"?IN_FOCUS",IF(J226&lt;=2,"?ACTIVATED",IF(J226&lt;&gt;"","?FAMILIAR",IF(F226="NEW",IF(ISNA(VLOOKUP(E226,#REF!,1,FALSE())),"?TYPE_IDENTIFIABLE","?REFERENTIAL"),"_")))))</f>
        <v/>
      </c>
      <c r="H226" s="12" t="str">
        <f t="shared" si="9"/>
        <v/>
      </c>
      <c r="L226" s="15"/>
    </row>
    <row r="227" spans="1:12" x14ac:dyDescent="0.35">
      <c r="A227" t="s">
        <v>129</v>
      </c>
      <c r="B227" t="s">
        <v>91</v>
      </c>
      <c r="C227" t="s">
        <v>33</v>
      </c>
      <c r="D227" t="s">
        <v>16</v>
      </c>
      <c r="E227" s="9" t="s">
        <v>872</v>
      </c>
      <c r="F227" s="10" t="str">
        <f>IF(OR(E227="",E227="!!!"),"",IF(NOT(ISNA(VLOOKUP(E227,E$1:E226,1,FALSE()))),"OLD",IF(AND(E227&lt;&gt;"",E227&lt;&gt;"!!!"),"NEW","")))</f>
        <v>OLD</v>
      </c>
      <c r="G227" s="11" t="s">
        <v>877</v>
      </c>
      <c r="H227" s="12" t="str">
        <f t="shared" si="9"/>
        <v/>
      </c>
      <c r="L227" s="15"/>
    </row>
    <row r="228" spans="1:12" x14ac:dyDescent="0.35">
      <c r="A228" t="s">
        <v>189</v>
      </c>
      <c r="E228" s="9" t="str">
        <f t="shared" si="8"/>
        <v/>
      </c>
      <c r="F228" s="10" t="str">
        <f>IF(OR(E228="",E228="!!!"),"",IF(NOT(ISNA(VLOOKUP(E228,E$1:E227,1,FALSE()))),"OLD",IF(AND(E228&lt;&gt;"",E228&lt;&gt;"!!!"),"NEW","")))</f>
        <v/>
      </c>
      <c r="G228" s="11" t="str">
        <f>IF(OR(E228="",E228="!!!"),"",IF(OR(J228=0,AND(J228=1,K228=1),AND(J228=1,I228="SBJ"),AND(J228=1,I228=0)),"?IN_FOCUS",IF(J228&lt;=2,"?ACTIVATED",IF(J228&lt;&gt;"","?FAMILIAR",IF(F228="NEW",IF(ISNA(VLOOKUP(E228,#REF!,1,FALSE())),"?TYPE_IDENTIFIABLE","?REFERENTIAL"),"_")))))</f>
        <v/>
      </c>
      <c r="H228" s="12" t="str">
        <f t="shared" si="9"/>
        <v/>
      </c>
      <c r="L228" s="15"/>
    </row>
    <row r="229" spans="1:12" x14ac:dyDescent="0.35">
      <c r="A229" t="s">
        <v>45</v>
      </c>
      <c r="E229" s="9" t="str">
        <f t="shared" si="8"/>
        <v/>
      </c>
      <c r="F229" s="10" t="str">
        <f>IF(OR(E229="",E229="!!!"),"",IF(NOT(ISNA(VLOOKUP(E229,E$1:E228,1,FALSE()))),"OLD",IF(AND(E229&lt;&gt;"",E229&lt;&gt;"!!!"),"NEW","")))</f>
        <v/>
      </c>
      <c r="G229" s="11" t="str">
        <f>IF(OR(E229="",E229="!!!"),"",IF(OR(J229=0,AND(J229=1,K229=1),AND(J229=1,I229="SBJ"),AND(J229=1,I229=0)),"?IN_FOCUS",IF(J229&lt;=2,"?ACTIVATED",IF(J229&lt;&gt;"","?FAMILIAR",IF(F229="NEW",IF(ISNA(VLOOKUP(E229,#REF!,1,FALSE())),"?TYPE_IDENTIFIABLE","?REFERENTIAL"),"_")))))</f>
        <v/>
      </c>
      <c r="H229" s="12" t="str">
        <f t="shared" si="9"/>
        <v/>
      </c>
      <c r="L229" s="15"/>
    </row>
    <row r="230" spans="1:12" x14ac:dyDescent="0.35">
      <c r="A230" t="s">
        <v>136</v>
      </c>
      <c r="B230" t="s">
        <v>56</v>
      </c>
      <c r="C230" t="s">
        <v>49</v>
      </c>
      <c r="D230" t="s">
        <v>16</v>
      </c>
      <c r="E230" s="9" t="s">
        <v>872</v>
      </c>
      <c r="F230" s="10" t="str">
        <f>IF(OR(E230="",E230="!!!"),"",IF(NOT(ISNA(VLOOKUP(E230,E$1:E229,1,FALSE()))),"OLD",IF(AND(E230&lt;&gt;"",E230&lt;&gt;"!!!"),"NEW","")))</f>
        <v>OLD</v>
      </c>
      <c r="G230" s="11" t="s">
        <v>870</v>
      </c>
      <c r="H230" s="12" t="str">
        <f t="shared" si="9"/>
        <v/>
      </c>
      <c r="L230" s="15"/>
    </row>
    <row r="231" spans="1:12" x14ac:dyDescent="0.35">
      <c r="A231" t="s">
        <v>190</v>
      </c>
      <c r="E231" s="9" t="str">
        <f t="shared" si="8"/>
        <v/>
      </c>
      <c r="F231" s="10" t="str">
        <f>IF(OR(E231="",E231="!!!"),"",IF(NOT(ISNA(VLOOKUP(E231,E$1:E230,1,FALSE()))),"OLD",IF(AND(E231&lt;&gt;"",E231&lt;&gt;"!!!"),"NEW","")))</f>
        <v/>
      </c>
      <c r="G231" s="11" t="str">
        <f>IF(OR(E231="",E231="!!!"),"",IF(OR(J231=0,AND(J231=1,K231=1),AND(J231=1,I231="SBJ"),AND(J231=1,I231=0)),"?IN_FOCUS",IF(J231&lt;=2,"?ACTIVATED",IF(J231&lt;&gt;"","?FAMILIAR",IF(F231="NEW",IF(ISNA(VLOOKUP(E231,#REF!,1,FALSE())),"?TYPE_IDENTIFIABLE","?REFERENTIAL"),"_")))))</f>
        <v/>
      </c>
      <c r="H231" s="12" t="str">
        <f t="shared" si="9"/>
        <v/>
      </c>
      <c r="L231" s="15"/>
    </row>
    <row r="232" spans="1:12" x14ac:dyDescent="0.35">
      <c r="A232" t="s">
        <v>191</v>
      </c>
      <c r="B232" t="s">
        <v>20</v>
      </c>
      <c r="C232" t="s">
        <v>15</v>
      </c>
      <c r="D232" t="s">
        <v>16</v>
      </c>
      <c r="E232" s="9" t="s">
        <v>262</v>
      </c>
      <c r="F232" s="10" t="s">
        <v>876</v>
      </c>
      <c r="G232" s="11"/>
      <c r="H232" s="12" t="str">
        <f t="shared" si="9"/>
        <v/>
      </c>
      <c r="L232" s="15"/>
    </row>
    <row r="233" spans="1:12" x14ac:dyDescent="0.35">
      <c r="A233" t="s">
        <v>63</v>
      </c>
      <c r="E233" s="9" t="str">
        <f t="shared" si="8"/>
        <v/>
      </c>
      <c r="F233" s="10" t="str">
        <f>IF(OR(E233="",E233="!!!"),"",IF(NOT(ISNA(VLOOKUP(E233,E$1:E232,1,FALSE()))),"OLD",IF(AND(E233&lt;&gt;"",E233&lt;&gt;"!!!"),"NEW","")))</f>
        <v/>
      </c>
      <c r="G233" s="11" t="str">
        <f>IF(OR(E233="",E233="!!!"),"",IF(OR(J233=0,AND(J233=1,K233=1),AND(J233=1,I233="SBJ"),AND(J233=1,I233=0)),"?IN_FOCUS",IF(J233&lt;=2,"?ACTIVATED",IF(J233&lt;&gt;"","?FAMILIAR",IF(F233="NEW",IF(ISNA(VLOOKUP(E233,#REF!,1,FALSE())),"?TYPE_IDENTIFIABLE","?REFERENTIAL"),"_")))))</f>
        <v/>
      </c>
      <c r="H233" s="12" t="str">
        <f t="shared" si="9"/>
        <v/>
      </c>
      <c r="L233" s="15"/>
    </row>
    <row r="234" spans="1:12" x14ac:dyDescent="0.35">
      <c r="E234" s="9" t="str">
        <f t="shared" si="8"/>
        <v/>
      </c>
      <c r="F234" s="10" t="str">
        <f>IF(OR(E234="",E234="!!!"),"",IF(NOT(ISNA(VLOOKUP(E234,E$1:E233,1,FALSE()))),"OLD",IF(AND(E234&lt;&gt;"",E234&lt;&gt;"!!!"),"NEW","")))</f>
        <v/>
      </c>
      <c r="G234" s="11" t="str">
        <f>IF(OR(E234="",E234="!!!"),"",IF(OR(J234=0,AND(J234=1,K234=1),AND(J234=1,I234="SBJ"),AND(J234=1,I234=0)),"?IN_FOCUS",IF(J234&lt;=2,"?ACTIVATED",IF(J234&lt;&gt;"","?FAMILIAR",IF(F234="NEW",IF(ISNA(VLOOKUP(E234,#REF!,1,FALSE())),"?TYPE_IDENTIFIABLE","?REFERENTIAL"),"_")))))</f>
        <v/>
      </c>
      <c r="H234" s="12" t="str">
        <f t="shared" si="9"/>
        <v/>
      </c>
      <c r="L234" s="15"/>
    </row>
    <row r="235" spans="1:12" x14ac:dyDescent="0.35">
      <c r="A235" t="s">
        <v>192</v>
      </c>
      <c r="E235" s="9" t="str">
        <f t="shared" si="8"/>
        <v/>
      </c>
      <c r="F235" s="10" t="str">
        <f>IF(OR(E235="",E235="!!!"),"",IF(NOT(ISNA(VLOOKUP(E235,E$1:E234,1,FALSE()))),"OLD",IF(AND(E235&lt;&gt;"",E235&lt;&gt;"!!!"),"NEW","")))</f>
        <v/>
      </c>
      <c r="G235" s="11" t="str">
        <f>IF(OR(E235="",E235="!!!"),"",IF(OR(J235=0,AND(J235=1,K235=1),AND(J235=1,I235="SBJ"),AND(J235=1,I235=0)),"?IN_FOCUS",IF(J235&lt;=2,"?ACTIVATED",IF(J235&lt;&gt;"","?FAMILIAR",IF(F235="NEW",IF(ISNA(VLOOKUP(E235,#REF!,1,FALSE())),"?TYPE_IDENTIFIABLE","?REFERENTIAL"),"_")))))</f>
        <v/>
      </c>
      <c r="H235" s="12" t="str">
        <f t="shared" si="9"/>
        <v/>
      </c>
      <c r="L235" s="15"/>
    </row>
    <row r="236" spans="1:12" x14ac:dyDescent="0.35">
      <c r="A236" t="s">
        <v>193</v>
      </c>
      <c r="B236" t="s">
        <v>24</v>
      </c>
      <c r="C236" t="s">
        <v>49</v>
      </c>
      <c r="D236" t="s">
        <v>16</v>
      </c>
      <c r="E236" s="9" t="s">
        <v>872</v>
      </c>
      <c r="F236" s="10" t="str">
        <f>IF(OR(E236="",E236="!!!"),"",IF(NOT(ISNA(VLOOKUP(E236,E$1:E235,1,FALSE()))),"OLD",IF(AND(E236&lt;&gt;"",E236&lt;&gt;"!!!"),"NEW","")))</f>
        <v>OLD</v>
      </c>
      <c r="G236" s="11" t="s">
        <v>877</v>
      </c>
      <c r="H236" s="12" t="str">
        <f t="shared" si="9"/>
        <v/>
      </c>
      <c r="L236" s="15"/>
    </row>
    <row r="237" spans="1:12" x14ac:dyDescent="0.35">
      <c r="A237" t="s">
        <v>194</v>
      </c>
      <c r="B237" t="s">
        <v>14</v>
      </c>
      <c r="C237" t="s">
        <v>15</v>
      </c>
      <c r="D237" t="s">
        <v>16</v>
      </c>
      <c r="E237" s="9" t="s">
        <v>262</v>
      </c>
      <c r="F237" s="10" t="s">
        <v>876</v>
      </c>
      <c r="G237" s="11"/>
      <c r="H237" s="12" t="str">
        <f t="shared" si="9"/>
        <v/>
      </c>
      <c r="L237" s="15"/>
    </row>
    <row r="238" spans="1:12" x14ac:dyDescent="0.35">
      <c r="A238" t="s">
        <v>42</v>
      </c>
      <c r="E238" s="9" t="str">
        <f t="shared" si="8"/>
        <v/>
      </c>
      <c r="F238" s="10" t="str">
        <f>IF(OR(E238="",E238="!!!"),"",IF(NOT(ISNA(VLOOKUP(E238,E$1:E237,1,FALSE()))),"OLD",IF(AND(E238&lt;&gt;"",E238&lt;&gt;"!!!"),"NEW","")))</f>
        <v/>
      </c>
      <c r="G238" s="11" t="str">
        <f>IF(OR(E238="",E238="!!!"),"",IF(OR(J238=0,AND(J238=1,K238=1),AND(J238=1,I238="SBJ"),AND(J238=1,I238=0)),"?IN_FOCUS",IF(J238&lt;=2,"?ACTIVATED",IF(J238&lt;&gt;"","?FAMILIAR",IF(F238="NEW",IF(ISNA(VLOOKUP(E238,#REF!,1,FALSE())),"?TYPE_IDENTIFIABLE","?REFERENTIAL"),"_")))))</f>
        <v/>
      </c>
      <c r="H238" s="12" t="str">
        <f t="shared" si="9"/>
        <v/>
      </c>
      <c r="L238" s="15"/>
    </row>
    <row r="239" spans="1:12" x14ac:dyDescent="0.35">
      <c r="A239" t="s">
        <v>195</v>
      </c>
      <c r="E239" s="9" t="str">
        <f t="shared" si="8"/>
        <v/>
      </c>
      <c r="F239" s="10" t="str">
        <f>IF(OR(E239="",E239="!!!"),"",IF(NOT(ISNA(VLOOKUP(E239,E$1:E238,1,FALSE()))),"OLD",IF(AND(E239&lt;&gt;"",E239&lt;&gt;"!!!"),"NEW","")))</f>
        <v/>
      </c>
      <c r="G239" s="11" t="str">
        <f>IF(OR(E239="",E239="!!!"),"",IF(OR(J239=0,AND(J239=1,K239=1),AND(J239=1,I239="SBJ"),AND(J239=1,I239=0)),"?IN_FOCUS",IF(J239&lt;=2,"?ACTIVATED",IF(J239&lt;&gt;"","?FAMILIAR",IF(F239="NEW",IF(ISNA(VLOOKUP(E239,#REF!,1,FALSE())),"?TYPE_IDENTIFIABLE","?REFERENTIAL"),"_")))))</f>
        <v/>
      </c>
      <c r="H239" s="12" t="str">
        <f t="shared" si="9"/>
        <v/>
      </c>
      <c r="L239" s="15"/>
    </row>
    <row r="240" spans="1:12" x14ac:dyDescent="0.35">
      <c r="A240" t="s">
        <v>196</v>
      </c>
      <c r="E240" s="9" t="str">
        <f t="shared" si="8"/>
        <v/>
      </c>
      <c r="F240" s="10" t="str">
        <f>IF(OR(E240="",E240="!!!"),"",IF(NOT(ISNA(VLOOKUP(E240,E$1:E239,1,FALSE()))),"OLD",IF(AND(E240&lt;&gt;"",E240&lt;&gt;"!!!"),"NEW","")))</f>
        <v/>
      </c>
      <c r="G240" s="11" t="str">
        <f>IF(OR(E240="",E240="!!!"),"",IF(OR(J240=0,AND(J240=1,K240=1),AND(J240=1,I240="SBJ"),AND(J240=1,I240=0)),"?IN_FOCUS",IF(J240&lt;=2,"?ACTIVATED",IF(J240&lt;&gt;"","?FAMILIAR",IF(F240="NEW",IF(ISNA(VLOOKUP(E240,#REF!,1,FALSE())),"?TYPE_IDENTIFIABLE","?REFERENTIAL"),"_")))))</f>
        <v/>
      </c>
      <c r="H240" s="12" t="str">
        <f t="shared" si="9"/>
        <v/>
      </c>
      <c r="L240" s="15"/>
    </row>
    <row r="241" spans="1:12" x14ac:dyDescent="0.35">
      <c r="A241" t="s">
        <v>58</v>
      </c>
      <c r="E241" s="9" t="str">
        <f t="shared" si="8"/>
        <v/>
      </c>
      <c r="F241" s="10" t="str">
        <f>IF(OR(E241="",E241="!!!"),"",IF(NOT(ISNA(VLOOKUP(E241,E$1:E240,1,FALSE()))),"OLD",IF(AND(E241&lt;&gt;"",E241&lt;&gt;"!!!"),"NEW","")))</f>
        <v/>
      </c>
      <c r="G241" s="11" t="str">
        <f>IF(OR(E241="",E241="!!!"),"",IF(OR(J241=0,AND(J241=1,K241=1),AND(J241=1,I241="SBJ"),AND(J241=1,I241=0)),"?IN_FOCUS",IF(J241&lt;=2,"?ACTIVATED",IF(J241&lt;&gt;"","?FAMILIAR",IF(F241="NEW",IF(ISNA(VLOOKUP(E241,#REF!,1,FALSE())),"?TYPE_IDENTIFIABLE","?REFERENTIAL"),"_")))))</f>
        <v/>
      </c>
      <c r="H241" s="12" t="str">
        <f t="shared" si="9"/>
        <v/>
      </c>
      <c r="L241" s="15"/>
    </row>
    <row r="242" spans="1:12" x14ac:dyDescent="0.35">
      <c r="A242" t="s">
        <v>197</v>
      </c>
      <c r="B242" t="s">
        <v>54</v>
      </c>
      <c r="C242" t="s">
        <v>99</v>
      </c>
      <c r="D242" t="s">
        <v>16</v>
      </c>
      <c r="E242" s="9" t="s">
        <v>262</v>
      </c>
      <c r="F242" s="10" t="s">
        <v>876</v>
      </c>
      <c r="G242" s="11"/>
      <c r="H242" s="12" t="str">
        <f t="shared" si="9"/>
        <v/>
      </c>
      <c r="L242" s="15"/>
    </row>
    <row r="243" spans="1:12" x14ac:dyDescent="0.35">
      <c r="A243" t="s">
        <v>17</v>
      </c>
      <c r="E243" s="9" t="str">
        <f t="shared" si="8"/>
        <v/>
      </c>
      <c r="F243" s="10" t="str">
        <f>IF(OR(E243="",E243="!!!"),"",IF(NOT(ISNA(VLOOKUP(E243,E$1:E242,1,FALSE()))),"OLD",IF(AND(E243&lt;&gt;"",E243&lt;&gt;"!!!"),"NEW","")))</f>
        <v/>
      </c>
      <c r="G243" s="11" t="str">
        <f>IF(OR(E243="",E243="!!!"),"",IF(OR(J243=0,AND(J243=1,K243=1),AND(J243=1,I243="SBJ"),AND(J243=1,I243=0)),"?IN_FOCUS",IF(J243&lt;=2,"?ACTIVATED",IF(J243&lt;&gt;"","?FAMILIAR",IF(F243="NEW",IF(ISNA(VLOOKUP(E243,#REF!,1,FALSE())),"?TYPE_IDENTIFIABLE","?REFERENTIAL"),"_")))))</f>
        <v/>
      </c>
      <c r="H243" s="12" t="str">
        <f t="shared" si="9"/>
        <v/>
      </c>
      <c r="L243" s="15"/>
    </row>
    <row r="244" spans="1:12" x14ac:dyDescent="0.35">
      <c r="A244" t="s">
        <v>58</v>
      </c>
      <c r="E244" s="9" t="str">
        <f t="shared" si="8"/>
        <v/>
      </c>
      <c r="F244" s="10" t="str">
        <f>IF(OR(E244="",E244="!!!"),"",IF(NOT(ISNA(VLOOKUP(E244,E$1:E243,1,FALSE()))),"OLD",IF(AND(E244&lt;&gt;"",E244&lt;&gt;"!!!"),"NEW","")))</f>
        <v/>
      </c>
      <c r="G244" s="11" t="str">
        <f>IF(OR(E244="",E244="!!!"),"",IF(OR(J244=0,AND(J244=1,K244=1),AND(J244=1,I244="SBJ"),AND(J244=1,I244=0)),"?IN_FOCUS",IF(J244&lt;=2,"?ACTIVATED",IF(J244&lt;&gt;"","?FAMILIAR",IF(F244="NEW",IF(ISNA(VLOOKUP(E244,#REF!,1,FALSE())),"?TYPE_IDENTIFIABLE","?REFERENTIAL"),"_")))))</f>
        <v/>
      </c>
      <c r="H244" s="12" t="str">
        <f t="shared" si="9"/>
        <v/>
      </c>
      <c r="L244" s="15"/>
    </row>
    <row r="245" spans="1:12" x14ac:dyDescent="0.35">
      <c r="A245" t="s">
        <v>198</v>
      </c>
      <c r="B245" t="s">
        <v>24</v>
      </c>
      <c r="C245" t="s">
        <v>99</v>
      </c>
      <c r="D245" t="s">
        <v>16</v>
      </c>
      <c r="E245" s="9" t="s">
        <v>262</v>
      </c>
      <c r="F245" s="10" t="s">
        <v>876</v>
      </c>
      <c r="G245" s="11"/>
      <c r="H245" s="12" t="str">
        <f t="shared" si="9"/>
        <v/>
      </c>
      <c r="L245" s="15"/>
    </row>
    <row r="246" spans="1:12" x14ac:dyDescent="0.35">
      <c r="A246" t="s">
        <v>17</v>
      </c>
      <c r="E246" s="9" t="str">
        <f t="shared" si="8"/>
        <v/>
      </c>
      <c r="F246" s="10" t="str">
        <f>IF(OR(E246="",E246="!!!"),"",IF(NOT(ISNA(VLOOKUP(E246,E$1:E245,1,FALSE()))),"OLD",IF(AND(E246&lt;&gt;"",E246&lt;&gt;"!!!"),"NEW","")))</f>
        <v/>
      </c>
      <c r="G246" s="11" t="str">
        <f>IF(OR(E246="",E246="!!!"),"",IF(OR(J246=0,AND(J246=1,K246=1),AND(J246=1,I246="SBJ"),AND(J246=1,I246=0)),"?IN_FOCUS",IF(J246&lt;=2,"?ACTIVATED",IF(J246&lt;&gt;"","?FAMILIAR",IF(F246="NEW",IF(ISNA(VLOOKUP(E246,#REF!,1,FALSE())),"?TYPE_IDENTIFIABLE","?REFERENTIAL"),"_")))))</f>
        <v/>
      </c>
      <c r="H246" s="12" t="str">
        <f t="shared" si="9"/>
        <v/>
      </c>
      <c r="L246" s="15"/>
    </row>
    <row r="247" spans="1:12" x14ac:dyDescent="0.35">
      <c r="A247" t="s">
        <v>58</v>
      </c>
      <c r="E247" s="9" t="str">
        <f t="shared" si="8"/>
        <v/>
      </c>
      <c r="F247" s="10" t="str">
        <f>IF(OR(E247="",E247="!!!"),"",IF(NOT(ISNA(VLOOKUP(E247,E$1:E246,1,FALSE()))),"OLD",IF(AND(E247&lt;&gt;"",E247&lt;&gt;"!!!"),"NEW","")))</f>
        <v/>
      </c>
      <c r="G247" s="11" t="str">
        <f>IF(OR(E247="",E247="!!!"),"",IF(OR(J247=0,AND(J247=1,K247=1),AND(J247=1,I247="SBJ"),AND(J247=1,I247=0)),"?IN_FOCUS",IF(J247&lt;=2,"?ACTIVATED",IF(J247&lt;&gt;"","?FAMILIAR",IF(F247="NEW",IF(ISNA(VLOOKUP(E247,#REF!,1,FALSE())),"?TYPE_IDENTIFIABLE","?REFERENTIAL"),"_")))))</f>
        <v/>
      </c>
      <c r="H247" s="12" t="str">
        <f t="shared" si="9"/>
        <v/>
      </c>
      <c r="L247" s="15"/>
    </row>
    <row r="248" spans="1:12" x14ac:dyDescent="0.35">
      <c r="A248" t="s">
        <v>199</v>
      </c>
      <c r="E248" s="9" t="str">
        <f t="shared" si="8"/>
        <v/>
      </c>
      <c r="F248" s="10" t="str">
        <f>IF(OR(E248="",E248="!!!"),"",IF(NOT(ISNA(VLOOKUP(E248,E$1:E247,1,FALSE()))),"OLD",IF(AND(E248&lt;&gt;"",E248&lt;&gt;"!!!"),"NEW","")))</f>
        <v/>
      </c>
      <c r="G248" s="11" t="str">
        <f>IF(OR(E248="",E248="!!!"),"",IF(OR(J248=0,AND(J248=1,K248=1),AND(J248=1,I248="SBJ"),AND(J248=1,I248=0)),"?IN_FOCUS",IF(J248&lt;=2,"?ACTIVATED",IF(J248&lt;&gt;"","?FAMILIAR",IF(F248="NEW",IF(ISNA(VLOOKUP(E248,#REF!,1,FALSE())),"?TYPE_IDENTIFIABLE","?REFERENTIAL"),"_")))))</f>
        <v/>
      </c>
      <c r="H248" s="12" t="str">
        <f t="shared" si="9"/>
        <v/>
      </c>
      <c r="L248" s="15"/>
    </row>
    <row r="249" spans="1:12" x14ac:dyDescent="0.35">
      <c r="A249" t="s">
        <v>200</v>
      </c>
      <c r="B249" t="s">
        <v>20</v>
      </c>
      <c r="C249" t="s">
        <v>99</v>
      </c>
      <c r="D249" t="s">
        <v>16</v>
      </c>
      <c r="E249" s="9" t="s">
        <v>262</v>
      </c>
      <c r="F249" s="10" t="s">
        <v>876</v>
      </c>
      <c r="G249" s="11"/>
      <c r="H249" s="12" t="str">
        <f t="shared" si="9"/>
        <v/>
      </c>
      <c r="L249" s="15"/>
    </row>
    <row r="250" spans="1:12" x14ac:dyDescent="0.35">
      <c r="A250" t="s">
        <v>26</v>
      </c>
      <c r="E250" s="9" t="str">
        <f t="shared" si="8"/>
        <v/>
      </c>
      <c r="F250" s="10" t="str">
        <f>IF(OR(E250="",E250="!!!"),"",IF(NOT(ISNA(VLOOKUP(E250,E$1:E249,1,FALSE()))),"OLD",IF(AND(E250&lt;&gt;"",E250&lt;&gt;"!!!"),"NEW","")))</f>
        <v/>
      </c>
      <c r="G250" s="11" t="str">
        <f>IF(OR(E250="",E250="!!!"),"",IF(OR(J250=0,AND(J250=1,K250=1),AND(J250=1,I250="SBJ"),AND(J250=1,I250=0)),"?IN_FOCUS",IF(J250&lt;=2,"?ACTIVATED",IF(J250&lt;&gt;"","?FAMILIAR",IF(F250="NEW",IF(ISNA(VLOOKUP(E250,#REF!,1,FALSE())),"?TYPE_IDENTIFIABLE","?REFERENTIAL"),"_")))))</f>
        <v/>
      </c>
      <c r="H250" s="12" t="str">
        <f t="shared" si="9"/>
        <v/>
      </c>
      <c r="L250" s="15"/>
    </row>
    <row r="251" spans="1:12" x14ac:dyDescent="0.35">
      <c r="A251" t="s">
        <v>117</v>
      </c>
      <c r="E251" s="9" t="str">
        <f t="shared" si="8"/>
        <v/>
      </c>
      <c r="F251" s="10" t="str">
        <f>IF(OR(E251="",E251="!!!"),"",IF(NOT(ISNA(VLOOKUP(E251,E$1:E250,1,FALSE()))),"OLD",IF(AND(E251&lt;&gt;"",E251&lt;&gt;"!!!"),"NEW","")))</f>
        <v/>
      </c>
      <c r="G251" s="11" t="str">
        <f>IF(OR(E251="",E251="!!!"),"",IF(OR(J251=0,AND(J251=1,K251=1),AND(J251=1,I251="SBJ"),AND(J251=1,I251=0)),"?IN_FOCUS",IF(J251&lt;=2,"?ACTIVATED",IF(J251&lt;&gt;"","?FAMILIAR",IF(F251="NEW",IF(ISNA(VLOOKUP(E251,#REF!,1,FALSE())),"?TYPE_IDENTIFIABLE","?REFERENTIAL"),"_")))))</f>
        <v/>
      </c>
      <c r="H251" s="12" t="str">
        <f t="shared" si="9"/>
        <v/>
      </c>
      <c r="L251" s="15"/>
    </row>
    <row r="252" spans="1:12" x14ac:dyDescent="0.35">
      <c r="A252" t="s">
        <v>39</v>
      </c>
      <c r="E252" s="9" t="str">
        <f t="shared" si="8"/>
        <v/>
      </c>
      <c r="F252" s="10" t="str">
        <f>IF(OR(E252="",E252="!!!"),"",IF(NOT(ISNA(VLOOKUP(E252,E$1:E251,1,FALSE()))),"OLD",IF(AND(E252&lt;&gt;"",E252&lt;&gt;"!!!"),"NEW","")))</f>
        <v/>
      </c>
      <c r="G252" s="11" t="str">
        <f>IF(OR(E252="",E252="!!!"),"",IF(OR(J252=0,AND(J252=1,K252=1),AND(J252=1,I252="SBJ"),AND(J252=1,I252=0)),"?IN_FOCUS",IF(J252&lt;=2,"?ACTIVATED",IF(J252&lt;&gt;"","?FAMILIAR",IF(F252="NEW",IF(ISNA(VLOOKUP(E252,#REF!,1,FALSE())),"?TYPE_IDENTIFIABLE","?REFERENTIAL"),"_")))))</f>
        <v/>
      </c>
      <c r="H252" s="12" t="str">
        <f t="shared" si="9"/>
        <v/>
      </c>
      <c r="L252" s="15"/>
    </row>
    <row r="253" spans="1:12" x14ac:dyDescent="0.35">
      <c r="A253" t="s">
        <v>133</v>
      </c>
      <c r="B253" t="s">
        <v>36</v>
      </c>
      <c r="C253" t="s">
        <v>33</v>
      </c>
      <c r="D253" t="s">
        <v>16</v>
      </c>
      <c r="E253" s="9" t="s">
        <v>872</v>
      </c>
      <c r="F253" s="10" t="str">
        <f>IF(OR(E253="",E253="!!!"),"",IF(NOT(ISNA(VLOOKUP(E253,E$1:E252,1,FALSE()))),"OLD",IF(AND(E253&lt;&gt;"",E253&lt;&gt;"!!!"),"NEW","")))</f>
        <v>OLD</v>
      </c>
      <c r="G253" s="11" t="s">
        <v>870</v>
      </c>
      <c r="H253" s="12" t="str">
        <f t="shared" si="9"/>
        <v/>
      </c>
      <c r="L253" s="15"/>
    </row>
    <row r="254" spans="1:12" x14ac:dyDescent="0.35">
      <c r="A254" t="s">
        <v>83</v>
      </c>
      <c r="E254" s="9" t="str">
        <f t="shared" si="8"/>
        <v/>
      </c>
      <c r="F254" s="10" t="str">
        <f>IF(OR(E254="",E254="!!!"),"",IF(NOT(ISNA(VLOOKUP(E254,E$1:E253,1,FALSE()))),"OLD",IF(AND(E254&lt;&gt;"",E254&lt;&gt;"!!!"),"NEW","")))</f>
        <v/>
      </c>
      <c r="G254" s="11" t="str">
        <f>IF(OR(E254="",E254="!!!"),"",IF(OR(J254=0,AND(J254=1,K254=1),AND(J254=1,I254="SBJ"),AND(J254=1,I254=0)),"?IN_FOCUS",IF(J254&lt;=2,"?ACTIVATED",IF(J254&lt;&gt;"","?FAMILIAR",IF(F254="NEW",IF(ISNA(VLOOKUP(E254,#REF!,1,FALSE())),"?TYPE_IDENTIFIABLE","?REFERENTIAL"),"_")))))</f>
        <v/>
      </c>
      <c r="H254" s="12" t="str">
        <f t="shared" si="9"/>
        <v/>
      </c>
      <c r="L254" s="15"/>
    </row>
    <row r="255" spans="1:12" x14ac:dyDescent="0.35">
      <c r="A255" t="s">
        <v>201</v>
      </c>
      <c r="E255" s="9" t="str">
        <f t="shared" si="8"/>
        <v/>
      </c>
      <c r="F255" s="10" t="str">
        <f>IF(OR(E255="",E255="!!!"),"",IF(NOT(ISNA(VLOOKUP(E255,E$1:E254,1,FALSE()))),"OLD",IF(AND(E255&lt;&gt;"",E255&lt;&gt;"!!!"),"NEW","")))</f>
        <v/>
      </c>
      <c r="G255" s="11" t="str">
        <f>IF(OR(E255="",E255="!!!"),"",IF(OR(J255=0,AND(J255=1,K255=1),AND(J255=1,I255="SBJ"),AND(J255=1,I255=0)),"?IN_FOCUS",IF(J255&lt;=2,"?ACTIVATED",IF(J255&lt;&gt;"","?FAMILIAR",IF(F255="NEW",IF(ISNA(VLOOKUP(E255,#REF!,1,FALSE())),"?TYPE_IDENTIFIABLE","?REFERENTIAL"),"_")))))</f>
        <v/>
      </c>
      <c r="H255" s="12" t="str">
        <f t="shared" si="9"/>
        <v/>
      </c>
      <c r="L255" s="15"/>
    </row>
    <row r="256" spans="1:12" x14ac:dyDescent="0.35">
      <c r="A256" t="s">
        <v>45</v>
      </c>
      <c r="E256" s="9" t="str">
        <f t="shared" si="8"/>
        <v/>
      </c>
      <c r="F256" s="10" t="str">
        <f>IF(OR(E256="",E256="!!!"),"",IF(NOT(ISNA(VLOOKUP(E256,E$1:E255,1,FALSE()))),"OLD",IF(AND(E256&lt;&gt;"",E256&lt;&gt;"!!!"),"NEW","")))</f>
        <v/>
      </c>
      <c r="G256" s="11" t="str">
        <f>IF(OR(E256="",E256="!!!"),"",IF(OR(J256=0,AND(J256=1,K256=1),AND(J256=1,I256="SBJ"),AND(J256=1,I256=0)),"?IN_FOCUS",IF(J256&lt;=2,"?ACTIVATED",IF(J256&lt;&gt;"","?FAMILIAR",IF(F256="NEW",IF(ISNA(VLOOKUP(E256,#REF!,1,FALSE())),"?TYPE_IDENTIFIABLE","?REFERENTIAL"),"_")))))</f>
        <v/>
      </c>
      <c r="H256" s="12" t="str">
        <f t="shared" si="9"/>
        <v/>
      </c>
      <c r="L256" s="15"/>
    </row>
    <row r="257" spans="1:12" x14ac:dyDescent="0.35">
      <c r="A257" t="s">
        <v>202</v>
      </c>
      <c r="E257" s="9" t="str">
        <f t="shared" si="8"/>
        <v/>
      </c>
      <c r="F257" s="10" t="str">
        <f>IF(OR(E257="",E257="!!!"),"",IF(NOT(ISNA(VLOOKUP(E257,E$1:E256,1,FALSE()))),"OLD",IF(AND(E257&lt;&gt;"",E257&lt;&gt;"!!!"),"NEW","")))</f>
        <v/>
      </c>
      <c r="G257" s="11" t="str">
        <f>IF(OR(E257="",E257="!!!"),"",IF(OR(J257=0,AND(J257=1,K257=1),AND(J257=1,I257="SBJ"),AND(J257=1,I257=0)),"?IN_FOCUS",IF(J257&lt;=2,"?ACTIVATED",IF(J257&lt;&gt;"","?FAMILIAR",IF(F257="NEW",IF(ISNA(VLOOKUP(E257,#REF!,1,FALSE())),"?TYPE_IDENTIFIABLE","?REFERENTIAL"),"_")))))</f>
        <v/>
      </c>
      <c r="H257" s="12" t="str">
        <f t="shared" si="9"/>
        <v/>
      </c>
      <c r="L257" s="15"/>
    </row>
    <row r="258" spans="1:12" x14ac:dyDescent="0.35">
      <c r="A258" t="s">
        <v>17</v>
      </c>
      <c r="E258" s="9" t="str">
        <f t="shared" si="8"/>
        <v/>
      </c>
      <c r="F258" s="10" t="str">
        <f>IF(OR(E258="",E258="!!!"),"",IF(NOT(ISNA(VLOOKUP(E258,E$1:E257,1,FALSE()))),"OLD",IF(AND(E258&lt;&gt;"",E258&lt;&gt;"!!!"),"NEW","")))</f>
        <v/>
      </c>
      <c r="G258" s="11" t="str">
        <f>IF(OR(E258="",E258="!!!"),"",IF(OR(J258=0,AND(J258=1,K258=1),AND(J258=1,I258="SBJ"),AND(J258=1,I258=0)),"?IN_FOCUS",IF(J258&lt;=2,"?ACTIVATED",IF(J258&lt;&gt;"","?FAMILIAR",IF(F258="NEW",IF(ISNA(VLOOKUP(E258,#REF!,1,FALSE())),"?TYPE_IDENTIFIABLE","?REFERENTIAL"),"_")))))</f>
        <v/>
      </c>
      <c r="H258" s="12" t="str">
        <f t="shared" si="9"/>
        <v/>
      </c>
      <c r="L258" s="15"/>
    </row>
    <row r="259" spans="1:12" x14ac:dyDescent="0.35">
      <c r="A259" t="s">
        <v>203</v>
      </c>
      <c r="E259" s="9" t="str">
        <f t="shared" si="8"/>
        <v/>
      </c>
      <c r="F259" s="10" t="str">
        <f>IF(OR(E259="",E259="!!!"),"",IF(NOT(ISNA(VLOOKUP(E259,E$1:E258,1,FALSE()))),"OLD",IF(AND(E259&lt;&gt;"",E259&lt;&gt;"!!!"),"NEW","")))</f>
        <v/>
      </c>
      <c r="G259" s="11" t="str">
        <f>IF(OR(E259="",E259="!!!"),"",IF(OR(J259=0,AND(J259=1,K259=1),AND(J259=1,I259="SBJ"),AND(J259=1,I259=0)),"?IN_FOCUS",IF(J259&lt;=2,"?ACTIVATED",IF(J259&lt;&gt;"","?FAMILIAR",IF(F259="NEW",IF(ISNA(VLOOKUP(E259,#REF!,1,FALSE())),"?TYPE_IDENTIFIABLE","?REFERENTIAL"),"_")))))</f>
        <v/>
      </c>
      <c r="H259" s="12" t="str">
        <f t="shared" si="9"/>
        <v/>
      </c>
      <c r="L259" s="15"/>
    </row>
    <row r="260" spans="1:12" x14ac:dyDescent="0.35">
      <c r="A260" t="s">
        <v>204</v>
      </c>
      <c r="B260" t="s">
        <v>20</v>
      </c>
      <c r="C260" t="s">
        <v>108</v>
      </c>
      <c r="E260" s="9" t="str">
        <f t="shared" si="8"/>
        <v/>
      </c>
      <c r="F260" s="10" t="str">
        <f>IF(OR(E260="",E260="!!!"),"",IF(NOT(ISNA(VLOOKUP(E260,E$1:E259,1,FALSE()))),"OLD",IF(AND(E260&lt;&gt;"",E260&lt;&gt;"!!!"),"NEW","")))</f>
        <v/>
      </c>
      <c r="G260" s="11" t="str">
        <f>IF(OR(E260="",E260="!!!"),"",IF(OR(J260=0,AND(J260=1,K260=1),AND(J260=1,I260="SBJ"),AND(J260=1,I260=0)),"?IN_FOCUS",IF(J260&lt;=2,"?ACTIVATED",IF(J260&lt;&gt;"","?FAMILIAR",IF(F260="NEW",IF(ISNA(VLOOKUP(E260,#REF!,1,FALSE())),"?TYPE_IDENTIFIABLE","?REFERENTIAL"),"_")))))</f>
        <v/>
      </c>
      <c r="H260" s="12" t="str">
        <f t="shared" si="9"/>
        <v/>
      </c>
      <c r="L260" s="15"/>
    </row>
    <row r="261" spans="1:12" x14ac:dyDescent="0.35">
      <c r="A261" t="s">
        <v>161</v>
      </c>
      <c r="E261" s="9" t="str">
        <f t="shared" si="8"/>
        <v/>
      </c>
      <c r="F261" s="10" t="str">
        <f>IF(OR(E261="",E261="!!!"),"",IF(NOT(ISNA(VLOOKUP(E261,E$1:E260,1,FALSE()))),"OLD",IF(AND(E261&lt;&gt;"",E261&lt;&gt;"!!!"),"NEW","")))</f>
        <v/>
      </c>
      <c r="G261" s="11" t="str">
        <f>IF(OR(E261="",E261="!!!"),"",IF(OR(J261=0,AND(J261=1,K261=1),AND(J261=1,I261="SBJ"),AND(J261=1,I261=0)),"?IN_FOCUS",IF(J261&lt;=2,"?ACTIVATED",IF(J261&lt;&gt;"","?FAMILIAR",IF(F261="NEW",IF(ISNA(VLOOKUP(E261,#REF!,1,FALSE())),"?TYPE_IDENTIFIABLE","?REFERENTIAL"),"_")))))</f>
        <v/>
      </c>
      <c r="H261" s="12" t="str">
        <f t="shared" si="9"/>
        <v/>
      </c>
      <c r="L261" s="15"/>
    </row>
    <row r="262" spans="1:12" x14ac:dyDescent="0.35">
      <c r="A262" t="s">
        <v>136</v>
      </c>
      <c r="B262" t="s">
        <v>48</v>
      </c>
      <c r="C262" t="s">
        <v>49</v>
      </c>
      <c r="D262" t="s">
        <v>16</v>
      </c>
      <c r="E262" s="9" t="s">
        <v>872</v>
      </c>
      <c r="F262" s="10" t="str">
        <f>IF(OR(E262="",E262="!!!"),"",IF(NOT(ISNA(VLOOKUP(E262,E$1:E261,1,FALSE()))),"OLD",IF(AND(E262&lt;&gt;"",E262&lt;&gt;"!!!"),"NEW","")))</f>
        <v>OLD</v>
      </c>
      <c r="G262" s="11" t="s">
        <v>870</v>
      </c>
      <c r="H262" s="12" t="str">
        <f t="shared" si="9"/>
        <v/>
      </c>
      <c r="L262" s="15"/>
    </row>
    <row r="263" spans="1:12" x14ac:dyDescent="0.35">
      <c r="A263" t="s">
        <v>157</v>
      </c>
      <c r="B263" t="s">
        <v>143</v>
      </c>
      <c r="C263" t="s">
        <v>15</v>
      </c>
      <c r="D263" t="s">
        <v>16</v>
      </c>
      <c r="E263" s="9" t="s">
        <v>262</v>
      </c>
      <c r="F263" s="10" t="s">
        <v>876</v>
      </c>
      <c r="G263" s="11"/>
      <c r="H263" s="12" t="str">
        <f t="shared" si="9"/>
        <v/>
      </c>
      <c r="L263" s="15"/>
    </row>
    <row r="264" spans="1:12" x14ac:dyDescent="0.35">
      <c r="A264" t="s">
        <v>83</v>
      </c>
      <c r="E264" s="9" t="str">
        <f t="shared" si="8"/>
        <v/>
      </c>
      <c r="F264" s="10" t="str">
        <f>IF(OR(E264="",E264="!!!"),"",IF(NOT(ISNA(VLOOKUP(E264,E$1:E263,1,FALSE()))),"OLD",IF(AND(E264&lt;&gt;"",E264&lt;&gt;"!!!"),"NEW","")))</f>
        <v/>
      </c>
      <c r="G264" s="11" t="str">
        <f>IF(OR(E264="",E264="!!!"),"",IF(OR(J264=0,AND(J264=1,K264=1),AND(J264=1,I264="SBJ"),AND(J264=1,I264=0)),"?IN_FOCUS",IF(J264&lt;=2,"?ACTIVATED",IF(J264&lt;&gt;"","?FAMILIAR",IF(F264="NEW",IF(ISNA(VLOOKUP(E264,#REF!,1,FALSE())),"?TYPE_IDENTIFIABLE","?REFERENTIAL"),"_")))))</f>
        <v/>
      </c>
      <c r="H264" s="12" t="str">
        <f t="shared" si="9"/>
        <v/>
      </c>
      <c r="L264" s="15"/>
    </row>
    <row r="265" spans="1:12" x14ac:dyDescent="0.35">
      <c r="A265" t="s">
        <v>205</v>
      </c>
      <c r="E265" s="9" t="str">
        <f t="shared" si="8"/>
        <v/>
      </c>
      <c r="F265" s="10" t="str">
        <f>IF(OR(E265="",E265="!!!"),"",IF(NOT(ISNA(VLOOKUP(E265,E$1:E264,1,FALSE()))),"OLD",IF(AND(E265&lt;&gt;"",E265&lt;&gt;"!!!"),"NEW","")))</f>
        <v/>
      </c>
      <c r="G265" s="11" t="str">
        <f>IF(OR(E265="",E265="!!!"),"",IF(OR(J265=0,AND(J265=1,K265=1),AND(J265=1,I265="SBJ"),AND(J265=1,I265=0)),"?IN_FOCUS",IF(J265&lt;=2,"?ACTIVATED",IF(J265&lt;&gt;"","?FAMILIAR",IF(F265="NEW",IF(ISNA(VLOOKUP(E265,#REF!,1,FALSE())),"?TYPE_IDENTIFIABLE","?REFERENTIAL"),"_")))))</f>
        <v/>
      </c>
      <c r="H265" s="12" t="str">
        <f t="shared" si="9"/>
        <v/>
      </c>
      <c r="L265" s="15"/>
    </row>
    <row r="266" spans="1:12" x14ac:dyDescent="0.35">
      <c r="A266" t="s">
        <v>159</v>
      </c>
      <c r="E266" s="9" t="str">
        <f t="shared" ref="E266:E300" si="10">IF(D266="?OLD","!!!","")</f>
        <v/>
      </c>
      <c r="F266" s="10" t="str">
        <f>IF(OR(E266="",E266="!!!"),"",IF(NOT(ISNA(VLOOKUP(E266,E$1:E265,1,FALSE()))),"OLD",IF(AND(E266&lt;&gt;"",E266&lt;&gt;"!!!"),"NEW","")))</f>
        <v/>
      </c>
      <c r="G266" s="11" t="str">
        <f>IF(OR(E266="",E266="!!!"),"",IF(OR(J266=0,AND(J266=1,K266=1),AND(J266=1,I266="SBJ"),AND(J266=1,I266=0)),"?IN_FOCUS",IF(J266&lt;=2,"?ACTIVATED",IF(J266&lt;&gt;"","?FAMILIAR",IF(F266="NEW",IF(ISNA(VLOOKUP(E266,#REF!,1,FALSE())),"?TYPE_IDENTIFIABLE","?REFERENTIAL"),"_")))))</f>
        <v/>
      </c>
      <c r="H266" s="12" t="str">
        <f t="shared" ref="H266:H300" si="11">IF(J266&lt;&gt;1,"",IF(I266="SBJ","CB","?"))</f>
        <v/>
      </c>
      <c r="L266" s="15"/>
    </row>
    <row r="267" spans="1:12" x14ac:dyDescent="0.35">
      <c r="A267" t="s">
        <v>206</v>
      </c>
      <c r="B267" t="s">
        <v>56</v>
      </c>
      <c r="C267" t="s">
        <v>108</v>
      </c>
      <c r="E267" s="9" t="str">
        <f t="shared" si="10"/>
        <v/>
      </c>
      <c r="F267" s="10" t="str">
        <f>IF(OR(E267="",E267="!!!"),"",IF(NOT(ISNA(VLOOKUP(E267,E$1:E266,1,FALSE()))),"OLD",IF(AND(E267&lt;&gt;"",E267&lt;&gt;"!!!"),"NEW","")))</f>
        <v/>
      </c>
      <c r="G267" s="11" t="str">
        <f>IF(OR(E267="",E267="!!!"),"",IF(OR(J267=0,AND(J267=1,K267=1),AND(J267=1,I267="SBJ"),AND(J267=1,I267=0)),"?IN_FOCUS",IF(J267&lt;=2,"?ACTIVATED",IF(J267&lt;&gt;"","?FAMILIAR",IF(F267="NEW",IF(ISNA(VLOOKUP(E267,#REF!,1,FALSE())),"?TYPE_IDENTIFIABLE","?REFERENTIAL"),"_")))))</f>
        <v/>
      </c>
      <c r="H267" s="12" t="str">
        <f t="shared" si="11"/>
        <v/>
      </c>
      <c r="L267" s="15"/>
    </row>
    <row r="268" spans="1:12" x14ac:dyDescent="0.35">
      <c r="A268" t="s">
        <v>76</v>
      </c>
      <c r="E268" s="9" t="str">
        <f t="shared" si="10"/>
        <v/>
      </c>
      <c r="F268" s="10" t="str">
        <f>IF(OR(E268="",E268="!!!"),"",IF(NOT(ISNA(VLOOKUP(E268,E$1:E267,1,FALSE()))),"OLD",IF(AND(E268&lt;&gt;"",E268&lt;&gt;"!!!"),"NEW","")))</f>
        <v/>
      </c>
      <c r="G268" s="11" t="str">
        <f>IF(OR(E268="",E268="!!!"),"",IF(OR(J268=0,AND(J268=1,K268=1),AND(J268=1,I268="SBJ"),AND(J268=1,I268=0)),"?IN_FOCUS",IF(J268&lt;=2,"?ACTIVATED",IF(J268&lt;&gt;"","?FAMILIAR",IF(F268="NEW",IF(ISNA(VLOOKUP(E268,#REF!,1,FALSE())),"?TYPE_IDENTIFIABLE","?REFERENTIAL"),"_")))))</f>
        <v/>
      </c>
      <c r="H268" s="12" t="str">
        <f t="shared" si="11"/>
        <v/>
      </c>
      <c r="L268" s="15"/>
    </row>
    <row r="269" spans="1:12" x14ac:dyDescent="0.35">
      <c r="A269" t="s">
        <v>160</v>
      </c>
      <c r="B269" t="s">
        <v>48</v>
      </c>
      <c r="C269" t="s">
        <v>108</v>
      </c>
      <c r="E269" s="9" t="str">
        <f t="shared" si="10"/>
        <v/>
      </c>
      <c r="F269" s="10" t="str">
        <f>IF(OR(E269="",E269="!!!"),"",IF(NOT(ISNA(VLOOKUP(E269,E$1:E268,1,FALSE()))),"OLD",IF(AND(E269&lt;&gt;"",E269&lt;&gt;"!!!"),"NEW","")))</f>
        <v/>
      </c>
      <c r="G269" s="11" t="str">
        <f>IF(OR(E269="",E269="!!!"),"",IF(OR(J269=0,AND(J269=1,K269=1),AND(J269=1,I269="SBJ"),AND(J269=1,I269=0)),"?IN_FOCUS",IF(J269&lt;=2,"?ACTIVATED",IF(J269&lt;&gt;"","?FAMILIAR",IF(F269="NEW",IF(ISNA(VLOOKUP(E269,#REF!,1,FALSE())),"?TYPE_IDENTIFIABLE","?REFERENTIAL"),"_")))))</f>
        <v/>
      </c>
      <c r="H269" s="12" t="str">
        <f t="shared" si="11"/>
        <v/>
      </c>
      <c r="L269" s="15"/>
    </row>
    <row r="270" spans="1:12" x14ac:dyDescent="0.35">
      <c r="A270" t="s">
        <v>63</v>
      </c>
      <c r="E270" s="9" t="str">
        <f t="shared" si="10"/>
        <v/>
      </c>
      <c r="F270" s="10" t="str">
        <f>IF(OR(E270="",E270="!!!"),"",IF(NOT(ISNA(VLOOKUP(E270,E$1:E269,1,FALSE()))),"OLD",IF(AND(E270&lt;&gt;"",E270&lt;&gt;"!!!"),"NEW","")))</f>
        <v/>
      </c>
      <c r="G270" s="11" t="str">
        <f>IF(OR(E270="",E270="!!!"),"",IF(OR(J270=0,AND(J270=1,K270=1),AND(J270=1,I270="SBJ"),AND(J270=1,I270=0)),"?IN_FOCUS",IF(J270&lt;=2,"?ACTIVATED",IF(J270&lt;&gt;"","?FAMILIAR",IF(F270="NEW",IF(ISNA(VLOOKUP(E270,#REF!,1,FALSE())),"?TYPE_IDENTIFIABLE","?REFERENTIAL"),"_")))))</f>
        <v/>
      </c>
      <c r="H270" s="12" t="str">
        <f t="shared" si="11"/>
        <v/>
      </c>
      <c r="L270" s="15"/>
    </row>
    <row r="271" spans="1:12" x14ac:dyDescent="0.35">
      <c r="E271" s="9" t="str">
        <f t="shared" si="10"/>
        <v/>
      </c>
      <c r="F271" s="10" t="str">
        <f>IF(OR(E271="",E271="!!!"),"",IF(NOT(ISNA(VLOOKUP(E271,E$1:E270,1,FALSE()))),"OLD",IF(AND(E271&lt;&gt;"",E271&lt;&gt;"!!!"),"NEW","")))</f>
        <v/>
      </c>
      <c r="G271" s="11" t="str">
        <f>IF(OR(E271="",E271="!!!"),"",IF(OR(J271=0,AND(J271=1,K271=1),AND(J271=1,I271="SBJ"),AND(J271=1,I271=0)),"?IN_FOCUS",IF(J271&lt;=2,"?ACTIVATED",IF(J271&lt;&gt;"","?FAMILIAR",IF(F271="NEW",IF(ISNA(VLOOKUP(E271,#REF!,1,FALSE())),"?TYPE_IDENTIFIABLE","?REFERENTIAL"),"_")))))</f>
        <v/>
      </c>
      <c r="H271" s="12" t="str">
        <f t="shared" si="11"/>
        <v/>
      </c>
      <c r="L271" s="15"/>
    </row>
    <row r="272" spans="1:12" x14ac:dyDescent="0.35">
      <c r="A272" t="s">
        <v>207</v>
      </c>
      <c r="E272" s="9" t="str">
        <f t="shared" si="10"/>
        <v/>
      </c>
      <c r="F272" s="10" t="str">
        <f>IF(OR(E272="",E272="!!!"),"",IF(NOT(ISNA(VLOOKUP(E272,E$1:E271,1,FALSE()))),"OLD",IF(AND(E272&lt;&gt;"",E272&lt;&gt;"!!!"),"NEW","")))</f>
        <v/>
      </c>
      <c r="G272" s="11" t="str">
        <f>IF(OR(E272="",E272="!!!"),"",IF(OR(J272=0,AND(J272=1,K272=1),AND(J272=1,I272="SBJ"),AND(J272=1,I272=0)),"?IN_FOCUS",IF(J272&lt;=2,"?ACTIVATED",IF(J272&lt;&gt;"","?FAMILIAR",IF(F272="NEW",IF(ISNA(VLOOKUP(E272,#REF!,1,FALSE())),"?TYPE_IDENTIFIABLE","?REFERENTIAL"),"_")))))</f>
        <v/>
      </c>
      <c r="H272" s="12" t="str">
        <f t="shared" si="11"/>
        <v/>
      </c>
      <c r="L272" s="15"/>
    </row>
    <row r="273" spans="1:12" x14ac:dyDescent="0.35">
      <c r="A273" t="s">
        <v>208</v>
      </c>
      <c r="B273" t="s">
        <v>14</v>
      </c>
      <c r="C273" t="s">
        <v>33</v>
      </c>
      <c r="D273" t="s">
        <v>16</v>
      </c>
      <c r="E273" s="9" t="s">
        <v>262</v>
      </c>
      <c r="F273" s="10" t="s">
        <v>876</v>
      </c>
      <c r="G273" s="11"/>
      <c r="H273" s="12" t="str">
        <f t="shared" si="11"/>
        <v/>
      </c>
      <c r="L273" s="15"/>
    </row>
    <row r="274" spans="1:12" x14ac:dyDescent="0.35">
      <c r="A274" t="s">
        <v>42</v>
      </c>
      <c r="E274" s="9" t="str">
        <f t="shared" si="10"/>
        <v/>
      </c>
      <c r="F274" s="10" t="str">
        <f>IF(OR(E274="",E274="!!!"),"",IF(NOT(ISNA(VLOOKUP(E274,E$1:E273,1,FALSE()))),"OLD",IF(AND(E274&lt;&gt;"",E274&lt;&gt;"!!!"),"NEW","")))</f>
        <v/>
      </c>
      <c r="G274" s="11" t="str">
        <f>IF(OR(E274="",E274="!!!"),"",IF(OR(J274=0,AND(J274=1,K274=1),AND(J274=1,I274="SBJ"),AND(J274=1,I274=0)),"?IN_FOCUS",IF(J274&lt;=2,"?ACTIVATED",IF(J274&lt;&gt;"","?FAMILIAR",IF(F274="NEW",IF(ISNA(VLOOKUP(E274,#REF!,1,FALSE())),"?TYPE_IDENTIFIABLE","?REFERENTIAL"),"_")))))</f>
        <v/>
      </c>
      <c r="H274" s="12" t="str">
        <f t="shared" si="11"/>
        <v/>
      </c>
      <c r="L274" s="15"/>
    </row>
    <row r="275" spans="1:12" x14ac:dyDescent="0.35">
      <c r="A275" t="s">
        <v>34</v>
      </c>
      <c r="E275" s="9" t="str">
        <f t="shared" si="10"/>
        <v/>
      </c>
      <c r="F275" s="10" t="str">
        <f>IF(OR(E275="",E275="!!!"),"",IF(NOT(ISNA(VLOOKUP(E275,E$1:E274,1,FALSE()))),"OLD",IF(AND(E275&lt;&gt;"",E275&lt;&gt;"!!!"),"NEW","")))</f>
        <v/>
      </c>
      <c r="G275" s="11" t="str">
        <f>IF(OR(E275="",E275="!!!"),"",IF(OR(J275=0,AND(J275=1,K275=1),AND(J275=1,I275="SBJ"),AND(J275=1,I275=0)),"?IN_FOCUS",IF(J275&lt;=2,"?ACTIVATED",IF(J275&lt;&gt;"","?FAMILIAR",IF(F275="NEW",IF(ISNA(VLOOKUP(E275,#REF!,1,FALSE())),"?TYPE_IDENTIFIABLE","?REFERENTIAL"),"_")))))</f>
        <v/>
      </c>
      <c r="H275" s="12" t="str">
        <f t="shared" si="11"/>
        <v/>
      </c>
      <c r="L275" s="15"/>
    </row>
    <row r="276" spans="1:12" x14ac:dyDescent="0.35">
      <c r="A276" t="s">
        <v>209</v>
      </c>
      <c r="B276" t="s">
        <v>54</v>
      </c>
      <c r="C276" t="s">
        <v>37</v>
      </c>
      <c r="E276" s="9" t="str">
        <f t="shared" si="10"/>
        <v/>
      </c>
      <c r="F276" s="10" t="str">
        <f>IF(OR(E276="",E276="!!!"),"",IF(NOT(ISNA(VLOOKUP(E276,E$1:E275,1,FALSE()))),"OLD",IF(AND(E276&lt;&gt;"",E276&lt;&gt;"!!!"),"NEW","")))</f>
        <v/>
      </c>
      <c r="G276" s="11" t="str">
        <f>IF(OR(E276="",E276="!!!"),"",IF(OR(J276=0,AND(J276=1,K276=1),AND(J276=1,I276="SBJ"),AND(J276=1,I276=0)),"?IN_FOCUS",IF(J276&lt;=2,"?ACTIVATED",IF(J276&lt;&gt;"","?FAMILIAR",IF(F276="NEW",IF(ISNA(VLOOKUP(E276,#REF!,1,FALSE())),"?TYPE_IDENTIFIABLE","?REFERENTIAL"),"_")))))</f>
        <v/>
      </c>
      <c r="H276" s="12" t="str">
        <f t="shared" si="11"/>
        <v/>
      </c>
      <c r="L276" s="15"/>
    </row>
    <row r="277" spans="1:12" x14ac:dyDescent="0.35">
      <c r="A277" t="s">
        <v>45</v>
      </c>
      <c r="E277" s="9" t="str">
        <f t="shared" si="10"/>
        <v/>
      </c>
      <c r="F277" s="10" t="str">
        <f>IF(OR(E277="",E277="!!!"),"",IF(NOT(ISNA(VLOOKUP(E277,E$1:E276,1,FALSE()))),"OLD",IF(AND(E277&lt;&gt;"",E277&lt;&gt;"!!!"),"NEW","")))</f>
        <v/>
      </c>
      <c r="G277" s="11" t="str">
        <f>IF(OR(E277="",E277="!!!"),"",IF(OR(J277=0,AND(J277=1,K277=1),AND(J277=1,I277="SBJ"),AND(J277=1,I277=0)),"?IN_FOCUS",IF(J277&lt;=2,"?ACTIVATED",IF(J277&lt;&gt;"","?FAMILIAR",IF(F277="NEW",IF(ISNA(VLOOKUP(E277,#REF!,1,FALSE())),"?TYPE_IDENTIFIABLE","?REFERENTIAL"),"_")))))</f>
        <v/>
      </c>
      <c r="H277" s="12" t="str">
        <f t="shared" si="11"/>
        <v/>
      </c>
      <c r="L277" s="15"/>
    </row>
    <row r="278" spans="1:12" x14ac:dyDescent="0.35">
      <c r="A278" t="s">
        <v>176</v>
      </c>
      <c r="B278" t="s">
        <v>54</v>
      </c>
      <c r="C278" t="s">
        <v>33</v>
      </c>
      <c r="D278" t="s">
        <v>16</v>
      </c>
      <c r="E278" s="9" t="s">
        <v>365</v>
      </c>
      <c r="F278" s="10" t="str">
        <f>IF(OR(E278="",E278="!!!"),"",IF(NOT(ISNA(VLOOKUP(E278,E$1:E277,1,FALSE()))),"OLD",IF(AND(E278&lt;&gt;"",E278&lt;&gt;"!!!"),"NEW","")))</f>
        <v>OLD</v>
      </c>
      <c r="G278" s="11" t="s">
        <v>874</v>
      </c>
      <c r="H278" s="12" t="str">
        <f t="shared" si="11"/>
        <v/>
      </c>
      <c r="L278" s="15"/>
    </row>
    <row r="279" spans="1:12" x14ac:dyDescent="0.35">
      <c r="A279" t="s">
        <v>26</v>
      </c>
      <c r="E279" s="9" t="str">
        <f t="shared" si="10"/>
        <v/>
      </c>
      <c r="F279" s="10" t="str">
        <f>IF(OR(E279="",E279="!!!"),"",IF(NOT(ISNA(VLOOKUP(E279,E$1:E278,1,FALSE()))),"OLD",IF(AND(E279&lt;&gt;"",E279&lt;&gt;"!!!"),"NEW","")))</f>
        <v/>
      </c>
      <c r="G279" s="11" t="str">
        <f>IF(OR(E279="",E279="!!!"),"",IF(OR(J279=0,AND(J279=1,K279=1),AND(J279=1,I279="SBJ"),AND(J279=1,I279=0)),"?IN_FOCUS",IF(J279&lt;=2,"?ACTIVATED",IF(J279&lt;&gt;"","?FAMILIAR",IF(F279="NEW",IF(ISNA(VLOOKUP(E279,#REF!,1,FALSE())),"?TYPE_IDENTIFIABLE","?REFERENTIAL"),"_")))))</f>
        <v/>
      </c>
      <c r="H279" s="12" t="str">
        <f t="shared" si="11"/>
        <v/>
      </c>
      <c r="L279" s="15"/>
    </row>
    <row r="280" spans="1:12" x14ac:dyDescent="0.35">
      <c r="A280" t="s">
        <v>210</v>
      </c>
      <c r="E280" s="9" t="str">
        <f t="shared" si="10"/>
        <v/>
      </c>
      <c r="F280" s="10" t="str">
        <f>IF(OR(E280="",E280="!!!"),"",IF(NOT(ISNA(VLOOKUP(E280,E$1:E279,1,FALSE()))),"OLD",IF(AND(E280&lt;&gt;"",E280&lt;&gt;"!!!"),"NEW","")))</f>
        <v/>
      </c>
      <c r="G280" s="11" t="str">
        <f>IF(OR(E280="",E280="!!!"),"",IF(OR(J280=0,AND(J280=1,K280=1),AND(J280=1,I280="SBJ"),AND(J280=1,I280=0)),"?IN_FOCUS",IF(J280&lt;=2,"?ACTIVATED",IF(J280&lt;&gt;"","?FAMILIAR",IF(F280="NEW",IF(ISNA(VLOOKUP(E280,#REF!,1,FALSE())),"?TYPE_IDENTIFIABLE","?REFERENTIAL"),"_")))))</f>
        <v/>
      </c>
      <c r="H280" s="12" t="str">
        <f t="shared" si="11"/>
        <v/>
      </c>
      <c r="L280" s="15"/>
    </row>
    <row r="281" spans="1:12" x14ac:dyDescent="0.35">
      <c r="A281" t="s">
        <v>39</v>
      </c>
      <c r="E281" s="9" t="str">
        <f t="shared" si="10"/>
        <v/>
      </c>
      <c r="F281" s="10" t="str">
        <f>IF(OR(E281="",E281="!!!"),"",IF(NOT(ISNA(VLOOKUP(E281,E$1:E280,1,FALSE()))),"OLD",IF(AND(E281&lt;&gt;"",E281&lt;&gt;"!!!"),"NEW","")))</f>
        <v/>
      </c>
      <c r="G281" s="11" t="str">
        <f>IF(OR(E281="",E281="!!!"),"",IF(OR(J281=0,AND(J281=1,K281=1),AND(J281=1,I281="SBJ"),AND(J281=1,I281=0)),"?IN_FOCUS",IF(J281&lt;=2,"?ACTIVATED",IF(J281&lt;&gt;"","?FAMILIAR",IF(F281="NEW",IF(ISNA(VLOOKUP(E281,#REF!,1,FALSE())),"?TYPE_IDENTIFIABLE","?REFERENTIAL"),"_")))))</f>
        <v/>
      </c>
      <c r="H281" s="12" t="str">
        <f t="shared" si="11"/>
        <v/>
      </c>
      <c r="L281" s="15"/>
    </row>
    <row r="282" spans="1:12" x14ac:dyDescent="0.35">
      <c r="A282" t="s">
        <v>211</v>
      </c>
      <c r="E282" s="9" t="str">
        <f t="shared" si="10"/>
        <v/>
      </c>
      <c r="F282" s="10" t="str">
        <f>IF(OR(E282="",E282="!!!"),"",IF(NOT(ISNA(VLOOKUP(E282,E$1:E281,1,FALSE()))),"OLD",IF(AND(E282&lt;&gt;"",E282&lt;&gt;"!!!"),"NEW","")))</f>
        <v/>
      </c>
      <c r="G282" s="11" t="str">
        <f>IF(OR(E282="",E282="!!!"),"",IF(OR(J282=0,AND(J282=1,K282=1),AND(J282=1,I282="SBJ"),AND(J282=1,I282=0)),"?IN_FOCUS",IF(J282&lt;=2,"?ACTIVATED",IF(J282&lt;&gt;"","?FAMILIAR",IF(F282="NEW",IF(ISNA(VLOOKUP(E282,#REF!,1,FALSE())),"?TYPE_IDENTIFIABLE","?REFERENTIAL"),"_")))))</f>
        <v/>
      </c>
      <c r="H282" s="12" t="str">
        <f t="shared" si="11"/>
        <v/>
      </c>
      <c r="L282" s="15"/>
    </row>
    <row r="283" spans="1:12" x14ac:dyDescent="0.35">
      <c r="A283" t="s">
        <v>212</v>
      </c>
      <c r="B283" t="s">
        <v>54</v>
      </c>
      <c r="C283" t="s">
        <v>122</v>
      </c>
      <c r="D283" t="s">
        <v>16</v>
      </c>
      <c r="E283" s="9" t="s">
        <v>262</v>
      </c>
      <c r="F283" s="10" t="s">
        <v>876</v>
      </c>
      <c r="G283" s="11"/>
      <c r="H283" s="12" t="str">
        <f t="shared" si="11"/>
        <v/>
      </c>
      <c r="L283" s="15"/>
    </row>
    <row r="284" spans="1:12" x14ac:dyDescent="0.35">
      <c r="A284" t="s">
        <v>26</v>
      </c>
      <c r="E284" s="9" t="str">
        <f t="shared" si="10"/>
        <v/>
      </c>
      <c r="F284" s="10" t="str">
        <f>IF(OR(E284="",E284="!!!"),"",IF(NOT(ISNA(VLOOKUP(E284,E$1:E283,1,FALSE()))),"OLD",IF(AND(E284&lt;&gt;"",E284&lt;&gt;"!!!"),"NEW","")))</f>
        <v/>
      </c>
      <c r="G284" s="11" t="str">
        <f>IF(OR(E284="",E284="!!!"),"",IF(OR(J284=0,AND(J284=1,K284=1),AND(J284=1,I284="SBJ"),AND(J284=1,I284=0)),"?IN_FOCUS",IF(J284&lt;=2,"?ACTIVATED",IF(J284&lt;&gt;"","?FAMILIAR",IF(F284="NEW",IF(ISNA(VLOOKUP(E284,#REF!,1,FALSE())),"?TYPE_IDENTIFIABLE","?REFERENTIAL"),"_")))))</f>
        <v/>
      </c>
      <c r="H284" s="12" t="str">
        <f t="shared" si="11"/>
        <v/>
      </c>
      <c r="L284" s="15"/>
    </row>
    <row r="285" spans="1:12" x14ac:dyDescent="0.35">
      <c r="A285" t="s">
        <v>161</v>
      </c>
      <c r="E285" s="9" t="str">
        <f t="shared" si="10"/>
        <v/>
      </c>
      <c r="F285" s="10" t="str">
        <f>IF(OR(E285="",E285="!!!"),"",IF(NOT(ISNA(VLOOKUP(E285,E$1:E284,1,FALSE()))),"OLD",IF(AND(E285&lt;&gt;"",E285&lt;&gt;"!!!"),"NEW","")))</f>
        <v/>
      </c>
      <c r="G285" s="11" t="str">
        <f>IF(OR(E285="",E285="!!!"),"",IF(OR(J285=0,AND(J285=1,K285=1),AND(J285=1,I285="SBJ"),AND(J285=1,I285=0)),"?IN_FOCUS",IF(J285&lt;=2,"?ACTIVATED",IF(J285&lt;&gt;"","?FAMILIAR",IF(F285="NEW",IF(ISNA(VLOOKUP(E285,#REF!,1,FALSE())),"?TYPE_IDENTIFIABLE","?REFERENTIAL"),"_")))))</f>
        <v/>
      </c>
      <c r="H285" s="12" t="str">
        <f t="shared" si="11"/>
        <v/>
      </c>
      <c r="L285" s="15"/>
    </row>
    <row r="286" spans="1:12" x14ac:dyDescent="0.35">
      <c r="A286" t="s">
        <v>133</v>
      </c>
      <c r="B286" t="s">
        <v>36</v>
      </c>
      <c r="C286" t="s">
        <v>33</v>
      </c>
      <c r="D286" t="s">
        <v>16</v>
      </c>
      <c r="E286" s="9" t="s">
        <v>872</v>
      </c>
      <c r="F286" s="10" t="str">
        <f>IF(OR(E286="",E286="!!!"),"",IF(NOT(ISNA(VLOOKUP(E286,E$1:E285,1,FALSE()))),"OLD",IF(AND(E286&lt;&gt;"",E286&lt;&gt;"!!!"),"NEW","")))</f>
        <v>OLD</v>
      </c>
      <c r="G286" s="11" t="s">
        <v>877</v>
      </c>
      <c r="H286" s="12" t="str">
        <f t="shared" si="11"/>
        <v/>
      </c>
      <c r="L286" s="15"/>
    </row>
    <row r="287" spans="1:12" x14ac:dyDescent="0.35">
      <c r="A287" t="s">
        <v>131</v>
      </c>
      <c r="E287" s="9" t="str">
        <f t="shared" si="10"/>
        <v/>
      </c>
      <c r="F287" s="10" t="str">
        <f>IF(OR(E287="",E287="!!!"),"",IF(NOT(ISNA(VLOOKUP(E287,E$1:E286,1,FALSE()))),"OLD",IF(AND(E287&lt;&gt;"",E287&lt;&gt;"!!!"),"NEW","")))</f>
        <v/>
      </c>
      <c r="G287" s="11" t="str">
        <f>IF(OR(E287="",E287="!!!"),"",IF(OR(J287=0,AND(J287=1,K287=1),AND(J287=1,I287="SBJ"),AND(J287=1,I287=0)),"?IN_FOCUS",IF(J287&lt;=2,"?ACTIVATED",IF(J287&lt;&gt;"","?FAMILIAR",IF(F287="NEW",IF(ISNA(VLOOKUP(E287,#REF!,1,FALSE())),"?TYPE_IDENTIFIABLE","?REFERENTIAL"),"_")))))</f>
        <v/>
      </c>
      <c r="H287" s="12" t="str">
        <f t="shared" si="11"/>
        <v/>
      </c>
      <c r="L287" s="15"/>
    </row>
    <row r="288" spans="1:12" x14ac:dyDescent="0.35">
      <c r="A288" t="s">
        <v>132</v>
      </c>
      <c r="E288" s="9" t="str">
        <f t="shared" si="10"/>
        <v/>
      </c>
      <c r="F288" s="10" t="str">
        <f>IF(OR(E288="",E288="!!!"),"",IF(NOT(ISNA(VLOOKUP(E288,E$1:E287,1,FALSE()))),"OLD",IF(AND(E288&lt;&gt;"",E288&lt;&gt;"!!!"),"NEW","")))</f>
        <v/>
      </c>
      <c r="G288" s="11" t="str">
        <f>IF(OR(E288="",E288="!!!"),"",IF(OR(J288=0,AND(J288=1,K288=1),AND(J288=1,I288="SBJ"),AND(J288=1,I288=0)),"?IN_FOCUS",IF(J288&lt;=2,"?ACTIVATED",IF(J288&lt;&gt;"","?FAMILIAR",IF(F288="NEW",IF(ISNA(VLOOKUP(E288,#REF!,1,FALSE())),"?TYPE_IDENTIFIABLE","?REFERENTIAL"),"_")))))</f>
        <v/>
      </c>
      <c r="H288" s="12" t="str">
        <f t="shared" si="11"/>
        <v/>
      </c>
      <c r="L288" s="15"/>
    </row>
    <row r="289" spans="1:12" x14ac:dyDescent="0.35">
      <c r="A289" t="s">
        <v>213</v>
      </c>
      <c r="E289" s="9" t="str">
        <f t="shared" si="10"/>
        <v/>
      </c>
      <c r="F289" s="10" t="str">
        <f>IF(OR(E289="",E289="!!!"),"",IF(NOT(ISNA(VLOOKUP(E289,E$1:E288,1,FALSE()))),"OLD",IF(AND(E289&lt;&gt;"",E289&lt;&gt;"!!!"),"NEW","")))</f>
        <v/>
      </c>
      <c r="G289" s="11" t="str">
        <f>IF(OR(E289="",E289="!!!"),"",IF(OR(J289=0,AND(J289=1,K289=1),AND(J289=1,I289="SBJ"),AND(J289=1,I289=0)),"?IN_FOCUS",IF(J289&lt;=2,"?ACTIVATED",IF(J289&lt;&gt;"","?FAMILIAR",IF(F289="NEW",IF(ISNA(VLOOKUP(E289,#REF!,1,FALSE())),"?TYPE_IDENTIFIABLE","?REFERENTIAL"),"_")))))</f>
        <v/>
      </c>
      <c r="H289" s="12" t="str">
        <f t="shared" si="11"/>
        <v/>
      </c>
      <c r="L289" s="15"/>
    </row>
    <row r="290" spans="1:12" x14ac:dyDescent="0.35">
      <c r="A290" t="s">
        <v>214</v>
      </c>
      <c r="B290" t="s">
        <v>20</v>
      </c>
      <c r="C290" t="s">
        <v>21</v>
      </c>
      <c r="D290" t="s">
        <v>16</v>
      </c>
      <c r="E290" s="9" t="s">
        <v>262</v>
      </c>
      <c r="F290" s="10" t="s">
        <v>876</v>
      </c>
      <c r="G290" s="11"/>
      <c r="H290" s="12" t="str">
        <f t="shared" si="11"/>
        <v/>
      </c>
      <c r="L290" s="15"/>
    </row>
    <row r="291" spans="1:12" x14ac:dyDescent="0.35">
      <c r="A291" t="s">
        <v>22</v>
      </c>
      <c r="E291" s="9" t="str">
        <f t="shared" si="10"/>
        <v/>
      </c>
      <c r="F291" s="10" t="str">
        <f>IF(OR(E291="",E291="!!!"),"",IF(NOT(ISNA(VLOOKUP(E291,E$1:E290,1,FALSE()))),"OLD",IF(AND(E291&lt;&gt;"",E291&lt;&gt;"!!!"),"NEW","")))</f>
        <v/>
      </c>
      <c r="G291" s="11" t="str">
        <f>IF(OR(E291="",E291="!!!"),"",IF(OR(J291=0,AND(J291=1,K291=1),AND(J291=1,I291="SBJ"),AND(J291=1,I291=0)),"?IN_FOCUS",IF(J291&lt;=2,"?ACTIVATED",IF(J291&lt;&gt;"","?FAMILIAR",IF(F291="NEW",IF(ISNA(VLOOKUP(E291,#REF!,1,FALSE())),"?TYPE_IDENTIFIABLE","?REFERENTIAL"),"_")))))</f>
        <v/>
      </c>
      <c r="H291" s="12" t="str">
        <f t="shared" si="11"/>
        <v/>
      </c>
      <c r="L291" s="15"/>
    </row>
    <row r="292" spans="1:12" x14ac:dyDescent="0.35">
      <c r="A292" t="s">
        <v>215</v>
      </c>
      <c r="B292" t="s">
        <v>91</v>
      </c>
      <c r="C292" t="s">
        <v>15</v>
      </c>
      <c r="D292" t="s">
        <v>16</v>
      </c>
      <c r="E292" s="9" t="s">
        <v>262</v>
      </c>
      <c r="F292" s="10" t="s">
        <v>876</v>
      </c>
      <c r="G292" s="11"/>
      <c r="H292" s="12" t="str">
        <f t="shared" si="11"/>
        <v/>
      </c>
      <c r="L292" s="15"/>
    </row>
    <row r="293" spans="1:12" x14ac:dyDescent="0.35">
      <c r="A293" t="s">
        <v>76</v>
      </c>
      <c r="E293" s="9" t="str">
        <f t="shared" si="10"/>
        <v/>
      </c>
      <c r="F293" s="10" t="str">
        <f>IF(OR(E293="",E293="!!!"),"",IF(NOT(ISNA(VLOOKUP(E293,E$1:E292,1,FALSE()))),"OLD",IF(AND(E293&lt;&gt;"",E293&lt;&gt;"!!!"),"NEW","")))</f>
        <v/>
      </c>
      <c r="G293" s="11" t="str">
        <f>IF(OR(E293="",E293="!!!"),"",IF(OR(J293=0,AND(J293=1,K293=1),AND(J293=1,I293="SBJ"),AND(J293=1,I293=0)),"?IN_FOCUS",IF(J293&lt;=2,"?ACTIVATED",IF(J293&lt;&gt;"","?FAMILIAR",IF(F293="NEW",IF(ISNA(VLOOKUP(E293,#REF!,1,FALSE())),"?TYPE_IDENTIFIABLE","?REFERENTIAL"),"_")))))</f>
        <v/>
      </c>
      <c r="H293" s="12" t="str">
        <f t="shared" si="11"/>
        <v/>
      </c>
      <c r="L293" s="15"/>
    </row>
    <row r="294" spans="1:12" x14ac:dyDescent="0.35">
      <c r="A294" t="s">
        <v>216</v>
      </c>
      <c r="E294" s="9" t="str">
        <f t="shared" si="10"/>
        <v/>
      </c>
      <c r="F294" s="10" t="str">
        <f>IF(OR(E294="",E294="!!!"),"",IF(NOT(ISNA(VLOOKUP(E294,E$1:E293,1,FALSE()))),"OLD",IF(AND(E294&lt;&gt;"",E294&lt;&gt;"!!!"),"NEW","")))</f>
        <v/>
      </c>
      <c r="G294" s="11" t="str">
        <f>IF(OR(E294="",E294="!!!"),"",IF(OR(J294=0,AND(J294=1,K294=1),AND(J294=1,I294="SBJ"),AND(J294=1,I294=0)),"?IN_FOCUS",IF(J294&lt;=2,"?ACTIVATED",IF(J294&lt;&gt;"","?FAMILIAR",IF(F294="NEW",IF(ISNA(VLOOKUP(E294,#REF!,1,FALSE())),"?TYPE_IDENTIFIABLE","?REFERENTIAL"),"_")))))</f>
        <v/>
      </c>
      <c r="H294" s="12" t="str">
        <f t="shared" si="11"/>
        <v/>
      </c>
      <c r="L294" s="15"/>
    </row>
    <row r="295" spans="1:12" x14ac:dyDescent="0.35">
      <c r="A295" t="s">
        <v>39</v>
      </c>
      <c r="E295" s="9" t="str">
        <f t="shared" si="10"/>
        <v/>
      </c>
      <c r="F295" s="10" t="str">
        <f>IF(OR(E295="",E295="!!!"),"",IF(NOT(ISNA(VLOOKUP(E295,E$1:E294,1,FALSE()))),"OLD",IF(AND(E295&lt;&gt;"",E295&lt;&gt;"!!!"),"NEW","")))</f>
        <v/>
      </c>
      <c r="G295" s="11" t="str">
        <f>IF(OR(E295="",E295="!!!"),"",IF(OR(J295=0,AND(J295=1,K295=1),AND(J295=1,I295="SBJ"),AND(J295=1,I295=0)),"?IN_FOCUS",IF(J295&lt;=2,"?ACTIVATED",IF(J295&lt;&gt;"","?FAMILIAR",IF(F295="NEW",IF(ISNA(VLOOKUP(E295,#REF!,1,FALSE())),"?TYPE_IDENTIFIABLE","?REFERENTIAL"),"_")))))</f>
        <v/>
      </c>
      <c r="H295" s="12" t="str">
        <f t="shared" si="11"/>
        <v/>
      </c>
      <c r="L295" s="15"/>
    </row>
    <row r="296" spans="1:12" x14ac:dyDescent="0.35">
      <c r="A296" t="s">
        <v>133</v>
      </c>
      <c r="B296" t="s">
        <v>143</v>
      </c>
      <c r="C296" t="s">
        <v>33</v>
      </c>
      <c r="D296" t="s">
        <v>16</v>
      </c>
      <c r="E296" s="9" t="s">
        <v>872</v>
      </c>
      <c r="F296" s="10" t="str">
        <f>IF(OR(E296="",E296="!!!"),"",IF(NOT(ISNA(VLOOKUP(E296,E$1:E295,1,FALSE()))),"OLD",IF(AND(E296&lt;&gt;"",E296&lt;&gt;"!!!"),"NEW","")))</f>
        <v>OLD</v>
      </c>
      <c r="G296" s="11" t="s">
        <v>870</v>
      </c>
      <c r="H296" s="12" t="str">
        <f t="shared" si="11"/>
        <v/>
      </c>
      <c r="L296" s="15"/>
    </row>
    <row r="297" spans="1:12" x14ac:dyDescent="0.35">
      <c r="A297" t="s">
        <v>83</v>
      </c>
      <c r="E297" s="9" t="str">
        <f t="shared" si="10"/>
        <v/>
      </c>
      <c r="F297" s="10" t="str">
        <f>IF(OR(E297="",E297="!!!"),"",IF(NOT(ISNA(VLOOKUP(E297,E$1:E296,1,FALSE()))),"OLD",IF(AND(E297&lt;&gt;"",E297&lt;&gt;"!!!"),"NEW","")))</f>
        <v/>
      </c>
      <c r="G297" s="11" t="str">
        <f>IF(OR(E297="",E297="!!!"),"",IF(OR(J297=0,AND(J297=1,K297=1),AND(J297=1,I297="SBJ"),AND(J297=1,I297=0)),"?IN_FOCUS",IF(J297&lt;=2,"?ACTIVATED",IF(J297&lt;&gt;"","?FAMILIAR",IF(F297="NEW",IF(ISNA(VLOOKUP(E297,#REF!,1,FALSE())),"?TYPE_IDENTIFIABLE","?REFERENTIAL"),"_")))))</f>
        <v/>
      </c>
      <c r="H297" s="12" t="str">
        <f t="shared" si="11"/>
        <v/>
      </c>
      <c r="L297" s="15"/>
    </row>
    <row r="298" spans="1:12" x14ac:dyDescent="0.35">
      <c r="A298" t="s">
        <v>217</v>
      </c>
      <c r="E298" s="9" t="str">
        <f t="shared" si="10"/>
        <v/>
      </c>
      <c r="F298" s="10" t="str">
        <f>IF(OR(E298="",E298="!!!"),"",IF(NOT(ISNA(VLOOKUP(E298,E$1:E297,1,FALSE()))),"OLD",IF(AND(E298&lt;&gt;"",E298&lt;&gt;"!!!"),"NEW","")))</f>
        <v/>
      </c>
      <c r="G298" s="11" t="str">
        <f>IF(OR(E298="",E298="!!!"),"",IF(OR(J298=0,AND(J298=1,K298=1),AND(J298=1,I298="SBJ"),AND(J298=1,I298=0)),"?IN_FOCUS",IF(J298&lt;=2,"?ACTIVATED",IF(J298&lt;&gt;"","?FAMILIAR",IF(F298="NEW",IF(ISNA(VLOOKUP(E298,#REF!,1,FALSE())),"?TYPE_IDENTIFIABLE","?REFERENTIAL"),"_")))))</f>
        <v/>
      </c>
      <c r="H298" s="12" t="str">
        <f t="shared" si="11"/>
        <v/>
      </c>
      <c r="L298" s="15"/>
    </row>
    <row r="299" spans="1:12" x14ac:dyDescent="0.35">
      <c r="A299" t="s">
        <v>218</v>
      </c>
      <c r="E299" s="9" t="str">
        <f t="shared" si="10"/>
        <v/>
      </c>
      <c r="F299" s="10" t="str">
        <f>IF(OR(E299="",E299="!!!"),"",IF(NOT(ISNA(VLOOKUP(E299,E$1:E298,1,FALSE()))),"OLD",IF(AND(E299&lt;&gt;"",E299&lt;&gt;"!!!"),"NEW","")))</f>
        <v/>
      </c>
      <c r="G299" s="11" t="str">
        <f>IF(OR(E299="",E299="!!!"),"",IF(OR(J299=0,AND(J299=1,K299=1),AND(J299=1,I299="SBJ"),AND(J299=1,I299=0)),"?IN_FOCUS",IF(J299&lt;=2,"?ACTIVATED",IF(J299&lt;&gt;"","?FAMILIAR",IF(F299="NEW",IF(ISNA(VLOOKUP(E299,#REF!,1,FALSE())),"?TYPE_IDENTIFIABLE","?REFERENTIAL"),"_")))))</f>
        <v/>
      </c>
      <c r="H299" s="12" t="str">
        <f t="shared" si="11"/>
        <v/>
      </c>
      <c r="L299" s="15"/>
    </row>
    <row r="300" spans="1:12" x14ac:dyDescent="0.35">
      <c r="A300" t="s">
        <v>45</v>
      </c>
      <c r="E300" s="9" t="str">
        <f t="shared" si="10"/>
        <v/>
      </c>
      <c r="F300" s="10" t="str">
        <f>IF(OR(E300="",E300="!!!"),"",IF(NOT(ISNA(VLOOKUP(E300,E$1:E299,1,FALSE()))),"OLD",IF(AND(E300&lt;&gt;"",E300&lt;&gt;"!!!"),"NEW","")))</f>
        <v/>
      </c>
      <c r="G300" s="11" t="str">
        <f>IF(OR(E300="",E300="!!!"),"",IF(OR(J300=0,AND(J300=1,K300=1),AND(J300=1,I300="SBJ"),AND(J300=1,I300=0)),"?IN_FOCUS",IF(J300&lt;=2,"?ACTIVATED",IF(J300&lt;&gt;"","?FAMILIAR",IF(F300="NEW",IF(ISNA(VLOOKUP(E300,#REF!,1,FALSE())),"?TYPE_IDENTIFIABLE","?REFERENTIAL"),"_")))))</f>
        <v/>
      </c>
      <c r="H300" s="12" t="str">
        <f t="shared" si="11"/>
        <v/>
      </c>
      <c r="L300" s="15"/>
    </row>
    <row r="301" spans="1:12" x14ac:dyDescent="0.35">
      <c r="A301" t="s">
        <v>58</v>
      </c>
      <c r="E301" s="9" t="str">
        <f t="shared" ref="E301:E310" si="12">IF(D301="?OLD","!!!","")</f>
        <v/>
      </c>
      <c r="F301" s="10" t="str">
        <f>IF(OR(E301="",E301="!!!"),"",IF(NOT(ISNA(VLOOKUP(E301,E$1:E300,1,FALSE()))),"OLD",IF(AND(E301&lt;&gt;"",E301&lt;&gt;"!!!"),"NEW","")))</f>
        <v/>
      </c>
      <c r="G301" s="11" t="str">
        <f>IF(OR(E301="",E301="!!!"),"",IF(OR(J301=0,AND(J301=1,K301=1),AND(J301=1,I301="SBJ"),AND(J301=1,I301=0)),"?IN_FOCUS",IF(J301&lt;=2,"?ACTIVATED",IF(J301&lt;&gt;"","?FAMILIAR",IF(F301="NEW",IF(ISNA(VLOOKUP(E301,#REF!,1,FALSE())),"?TYPE_IDENTIFIABLE","?REFERENTIAL"),"_")))))</f>
        <v/>
      </c>
      <c r="H301" s="12" t="str">
        <f t="shared" ref="H301:H310" si="13">IF(J301&lt;&gt;1,"",IF(I301="SBJ","CB","?"))</f>
        <v/>
      </c>
      <c r="L301" s="15"/>
    </row>
    <row r="302" spans="1:12" x14ac:dyDescent="0.35">
      <c r="A302" t="s">
        <v>219</v>
      </c>
      <c r="B302" t="s">
        <v>56</v>
      </c>
      <c r="C302" t="s">
        <v>21</v>
      </c>
      <c r="D302" t="s">
        <v>16</v>
      </c>
      <c r="E302" s="9" t="s">
        <v>262</v>
      </c>
      <c r="F302" s="10" t="s">
        <v>876</v>
      </c>
      <c r="G302" s="11"/>
      <c r="H302" s="12" t="str">
        <f t="shared" si="13"/>
        <v/>
      </c>
      <c r="L302" s="15"/>
    </row>
    <row r="303" spans="1:12" x14ac:dyDescent="0.35">
      <c r="A303" t="s">
        <v>76</v>
      </c>
      <c r="E303" s="9" t="str">
        <f t="shared" si="12"/>
        <v/>
      </c>
      <c r="F303" s="10" t="str">
        <f>IF(OR(E303="",E303="!!!"),"",IF(NOT(ISNA(VLOOKUP(E303,E$1:E302,1,FALSE()))),"OLD",IF(AND(E303&lt;&gt;"",E303&lt;&gt;"!!!"),"NEW","")))</f>
        <v/>
      </c>
      <c r="G303" s="11" t="str">
        <f>IF(OR(E303="",E303="!!!"),"",IF(OR(J303=0,AND(J303=1,K303=1),AND(J303=1,I303="SBJ"),AND(J303=1,I303=0)),"?IN_FOCUS",IF(J303&lt;=2,"?ACTIVATED",IF(J303&lt;&gt;"","?FAMILIAR",IF(F303="NEW",IF(ISNA(VLOOKUP(E303,#REF!,1,FALSE())),"?TYPE_IDENTIFIABLE","?REFERENTIAL"),"_")))))</f>
        <v/>
      </c>
      <c r="H303" s="12" t="str">
        <f t="shared" si="13"/>
        <v/>
      </c>
      <c r="L303" s="15"/>
    </row>
    <row r="304" spans="1:12" x14ac:dyDescent="0.35">
      <c r="A304" t="s">
        <v>45</v>
      </c>
      <c r="E304" s="9" t="str">
        <f t="shared" si="12"/>
        <v/>
      </c>
      <c r="F304" s="10" t="str">
        <f>IF(OR(E304="",E304="!!!"),"",IF(NOT(ISNA(VLOOKUP(E304,E$1:E303,1,FALSE()))),"OLD",IF(AND(E304&lt;&gt;"",E304&lt;&gt;"!!!"),"NEW","")))</f>
        <v/>
      </c>
      <c r="G304" s="11" t="str">
        <f>IF(OR(E304="",E304="!!!"),"",IF(OR(J304=0,AND(J304=1,K304=1),AND(J304=1,I304="SBJ"),AND(J304=1,I304=0)),"?IN_FOCUS",IF(J304&lt;=2,"?ACTIVATED",IF(J304&lt;&gt;"","?FAMILIAR",IF(F304="NEW",IF(ISNA(VLOOKUP(E304,#REF!,1,FALSE())),"?TYPE_IDENTIFIABLE","?REFERENTIAL"),"_")))))</f>
        <v/>
      </c>
      <c r="H304" s="12" t="str">
        <f t="shared" si="13"/>
        <v/>
      </c>
      <c r="L304" s="15"/>
    </row>
    <row r="305" spans="1:12" x14ac:dyDescent="0.35">
      <c r="A305" t="s">
        <v>58</v>
      </c>
      <c r="E305" s="9" t="str">
        <f t="shared" si="12"/>
        <v/>
      </c>
      <c r="F305" s="10" t="str">
        <f>IF(OR(E305="",E305="!!!"),"",IF(NOT(ISNA(VLOOKUP(E305,E$1:E304,1,FALSE()))),"OLD",IF(AND(E305&lt;&gt;"",E305&lt;&gt;"!!!"),"NEW","")))</f>
        <v/>
      </c>
      <c r="G305" s="11" t="str">
        <f>IF(OR(E305="",E305="!!!"),"",IF(OR(J305=0,AND(J305=1,K305=1),AND(J305=1,I305="SBJ"),AND(J305=1,I305=0)),"?IN_FOCUS",IF(J305&lt;=2,"?ACTIVATED",IF(J305&lt;&gt;"","?FAMILIAR",IF(F305="NEW",IF(ISNA(VLOOKUP(E305,#REF!,1,FALSE())),"?TYPE_IDENTIFIABLE","?REFERENTIAL"),"_")))))</f>
        <v/>
      </c>
      <c r="H305" s="12" t="str">
        <f t="shared" si="13"/>
        <v/>
      </c>
      <c r="L305" s="15"/>
    </row>
    <row r="306" spans="1:12" x14ac:dyDescent="0.35">
      <c r="A306" t="s">
        <v>220</v>
      </c>
      <c r="B306" t="s">
        <v>56</v>
      </c>
      <c r="C306" t="s">
        <v>99</v>
      </c>
      <c r="D306" t="s">
        <v>16</v>
      </c>
      <c r="E306" s="9" t="s">
        <v>262</v>
      </c>
      <c r="F306" s="10" t="s">
        <v>876</v>
      </c>
      <c r="G306" s="11"/>
      <c r="H306" s="12" t="str">
        <f t="shared" si="13"/>
        <v/>
      </c>
      <c r="L306" s="15"/>
    </row>
    <row r="307" spans="1:12" x14ac:dyDescent="0.35">
      <c r="A307" t="s">
        <v>17</v>
      </c>
      <c r="E307" s="9" t="str">
        <f t="shared" si="12"/>
        <v/>
      </c>
      <c r="F307" s="10" t="str">
        <f>IF(OR(E307="",E307="!!!"),"",IF(NOT(ISNA(VLOOKUP(E307,E$1:E306,1,FALSE()))),"OLD",IF(AND(E307&lt;&gt;"",E307&lt;&gt;"!!!"),"NEW","")))</f>
        <v/>
      </c>
      <c r="G307" s="11" t="str">
        <f>IF(OR(E307="",E307="!!!"),"",IF(OR(J307=0,AND(J307=1,K307=1),AND(J307=1,I307="SBJ"),AND(J307=1,I307=0)),"?IN_FOCUS",IF(J307&lt;=2,"?ACTIVATED",IF(J307&lt;&gt;"","?FAMILIAR",IF(F307="NEW",IF(ISNA(VLOOKUP(E307,#REF!,1,FALSE())),"?TYPE_IDENTIFIABLE","?REFERENTIAL"),"_")))))</f>
        <v/>
      </c>
      <c r="H307" s="12" t="str">
        <f t="shared" si="13"/>
        <v/>
      </c>
      <c r="L307" s="15"/>
    </row>
    <row r="308" spans="1:12" x14ac:dyDescent="0.35">
      <c r="A308" t="s">
        <v>152</v>
      </c>
      <c r="B308" t="s">
        <v>48</v>
      </c>
      <c r="C308" t="s">
        <v>108</v>
      </c>
      <c r="E308" s="9" t="str">
        <f t="shared" si="12"/>
        <v/>
      </c>
      <c r="F308" s="10" t="str">
        <f>IF(OR(E308="",E308="!!!"),"",IF(NOT(ISNA(VLOOKUP(E308,E$1:E307,1,FALSE()))),"OLD",IF(AND(E308&lt;&gt;"",E308&lt;&gt;"!!!"),"NEW","")))</f>
        <v/>
      </c>
      <c r="G308" s="11" t="str">
        <f>IF(OR(E308="",E308="!!!"),"",IF(OR(J308=0,AND(J308=1,K308=1),AND(J308=1,I308="SBJ"),AND(J308=1,I308=0)),"?IN_FOCUS",IF(J308&lt;=2,"?ACTIVATED",IF(J308&lt;&gt;"","?FAMILIAR",IF(F308="NEW",IF(ISNA(VLOOKUP(E308,#REF!,1,FALSE())),"?TYPE_IDENTIFIABLE","?REFERENTIAL"),"_")))))</f>
        <v/>
      </c>
      <c r="H308" s="12" t="str">
        <f t="shared" si="13"/>
        <v/>
      </c>
      <c r="L308" s="15"/>
    </row>
    <row r="309" spans="1:12" x14ac:dyDescent="0.35">
      <c r="A309" t="s">
        <v>63</v>
      </c>
      <c r="E309" s="9" t="str">
        <f t="shared" si="12"/>
        <v/>
      </c>
      <c r="F309" s="10" t="str">
        <f>IF(OR(E309="",E309="!!!"),"",IF(NOT(ISNA(VLOOKUP(E309,E$1:E308,1,FALSE()))),"OLD",IF(AND(E309&lt;&gt;"",E309&lt;&gt;"!!!"),"NEW","")))</f>
        <v/>
      </c>
      <c r="G309" s="11" t="str">
        <f>IF(OR(E309="",E309="!!!"),"",IF(OR(J309=0,AND(J309=1,K309=1),AND(J309=1,I309="SBJ"),AND(J309=1,I309=0)),"?IN_FOCUS",IF(J309&lt;=2,"?ACTIVATED",IF(J309&lt;&gt;"","?FAMILIAR",IF(F309="NEW",IF(ISNA(VLOOKUP(E309,#REF!,1,FALSE())),"?TYPE_IDENTIFIABLE","?REFERENTIAL"),"_")))))</f>
        <v/>
      </c>
      <c r="H309" s="12" t="str">
        <f t="shared" si="13"/>
        <v/>
      </c>
      <c r="L309" s="15"/>
    </row>
    <row r="310" spans="1:12" x14ac:dyDescent="0.35">
      <c r="E310" s="9" t="str">
        <f t="shared" si="12"/>
        <v/>
      </c>
      <c r="F310" s="10" t="str">
        <f>IF(OR(E310="",E310="!!!"),"",IF(NOT(ISNA(VLOOKUP(E310,E$1:E309,1,FALSE()))),"OLD",IF(AND(E310&lt;&gt;"",E310&lt;&gt;"!!!"),"NEW","")))</f>
        <v/>
      </c>
      <c r="G310" s="11" t="str">
        <f>IF(OR(E310="",E310="!!!"),"",IF(OR(J310=0,AND(J310=1,K310=1),AND(J310=1,I310="SBJ"),AND(J310=1,I310=0)),"?IN_FOCUS",IF(J310&lt;=2,"?ACTIVATED",IF(J310&lt;&gt;"","?FAMILIAR",IF(F310="NEW",IF(ISNA(VLOOKUP(E310,#REF!,1,FALSE())),"?TYPE_IDENTIFIABLE","?REFERENTIAL"),"_")))))</f>
        <v/>
      </c>
      <c r="H310" s="12" t="str">
        <f t="shared" si="13"/>
        <v/>
      </c>
      <c r="L310" s="15"/>
    </row>
    <row r="311" spans="1:12" x14ac:dyDescent="0.35">
      <c r="A311" t="s">
        <v>221</v>
      </c>
      <c r="E311" s="9" t="str">
        <f t="shared" ref="E311:E374" si="14">IF(D311="?OLD","!!!","")</f>
        <v/>
      </c>
      <c r="F311" s="10" t="str">
        <f>IF(OR(E311="",E311="!!!"),"",IF(NOT(ISNA(VLOOKUP(E311,E$1:E310,1,FALSE()))),"OLD",IF(AND(E311&lt;&gt;"",E311&lt;&gt;"!!!"),"NEW","")))</f>
        <v/>
      </c>
      <c r="G311" s="11" t="str">
        <f>IF(OR(E311="",E311="!!!"),"",IF(OR(J311=0,AND(J311=1,K311=1),AND(J311=1,I311="SBJ"),AND(J311=1,I311=0)),"?IN_FOCUS",IF(J311&lt;=2,"?ACTIVATED",IF(J311&lt;&gt;"","?FAMILIAR",IF(F311="NEW",IF(ISNA(VLOOKUP(E311,#REF!,1,FALSE())),"?TYPE_IDENTIFIABLE","?REFERENTIAL"),"_")))))</f>
        <v/>
      </c>
      <c r="H311" s="12" t="str">
        <f t="shared" ref="H311:H374" si="15">IF(J311&lt;&gt;1,"",IF(I311="SBJ","CB","?"))</f>
        <v/>
      </c>
    </row>
    <row r="312" spans="1:12" x14ac:dyDescent="0.35">
      <c r="A312" t="s">
        <v>222</v>
      </c>
      <c r="B312" t="s">
        <v>14</v>
      </c>
      <c r="C312" t="s">
        <v>33</v>
      </c>
      <c r="D312" t="s">
        <v>16</v>
      </c>
      <c r="E312" s="9" t="s">
        <v>872</v>
      </c>
      <c r="F312" s="10" t="str">
        <f>IF(OR(E312="",E312="!!!"),"",IF(NOT(ISNA(VLOOKUP(E312,E$1:E311,1,FALSE()))),"OLD",IF(AND(E312&lt;&gt;"",E312&lt;&gt;"!!!"),"NEW","")))</f>
        <v>OLD</v>
      </c>
      <c r="G312" s="11" t="s">
        <v>877</v>
      </c>
      <c r="H312" s="12" t="str">
        <f t="shared" si="15"/>
        <v/>
      </c>
    </row>
    <row r="313" spans="1:12" x14ac:dyDescent="0.35">
      <c r="A313" t="s">
        <v>223</v>
      </c>
      <c r="E313" s="9" t="str">
        <f t="shared" si="14"/>
        <v/>
      </c>
      <c r="F313" s="10" t="str">
        <f>IF(OR(E313="",E313="!!!"),"",IF(NOT(ISNA(VLOOKUP(E313,E$1:E312,1,FALSE()))),"OLD",IF(AND(E313&lt;&gt;"",E313&lt;&gt;"!!!"),"NEW","")))</f>
        <v/>
      </c>
      <c r="G313" s="11" t="str">
        <f>IF(OR(E313="",E313="!!!"),"",IF(OR(J313=0,AND(J313=1,K313=1),AND(J313=1,I313="SBJ"),AND(J313=1,I313=0)),"?IN_FOCUS",IF(J313&lt;=2,"?ACTIVATED",IF(J313&lt;&gt;"","?FAMILIAR",IF(F313="NEW",IF(ISNA(VLOOKUP(E313,#REF!,1,FALSE())),"?TYPE_IDENTIFIABLE","?REFERENTIAL"),"_")))))</f>
        <v/>
      </c>
      <c r="H313" s="12" t="str">
        <f t="shared" si="15"/>
        <v/>
      </c>
    </row>
    <row r="314" spans="1:12" x14ac:dyDescent="0.35">
      <c r="A314" t="s">
        <v>224</v>
      </c>
      <c r="E314" s="9" t="str">
        <f t="shared" si="14"/>
        <v/>
      </c>
      <c r="F314" s="10" t="str">
        <f>IF(OR(E314="",E314="!!!"),"",IF(NOT(ISNA(VLOOKUP(E314,E$1:E313,1,FALSE()))),"OLD",IF(AND(E314&lt;&gt;"",E314&lt;&gt;"!!!"),"NEW","")))</f>
        <v/>
      </c>
      <c r="G314" s="11" t="str">
        <f>IF(OR(E314="",E314="!!!"),"",IF(OR(J314=0,AND(J314=1,K314=1),AND(J314=1,I314="SBJ"),AND(J314=1,I314=0)),"?IN_FOCUS",IF(J314&lt;=2,"?ACTIVATED",IF(J314&lt;&gt;"","?FAMILIAR",IF(F314="NEW",IF(ISNA(VLOOKUP(E314,#REF!,1,FALSE())),"?TYPE_IDENTIFIABLE","?REFERENTIAL"),"_")))))</f>
        <v/>
      </c>
      <c r="H314" s="12" t="str">
        <f t="shared" si="15"/>
        <v/>
      </c>
    </row>
    <row r="315" spans="1:12" x14ac:dyDescent="0.35">
      <c r="A315" t="s">
        <v>121</v>
      </c>
      <c r="E315" s="9" t="str">
        <f t="shared" si="14"/>
        <v/>
      </c>
      <c r="F315" s="10" t="str">
        <f>IF(OR(E315="",E315="!!!"),"",IF(NOT(ISNA(VLOOKUP(E315,E$1:E314,1,FALSE()))),"OLD",IF(AND(E315&lt;&gt;"",E315&lt;&gt;"!!!"),"NEW","")))</f>
        <v/>
      </c>
      <c r="G315" s="11" t="str">
        <f>IF(OR(E315="",E315="!!!"),"",IF(OR(J315=0,AND(J315=1,K315=1),AND(J315=1,I315="SBJ"),AND(J315=1,I315=0)),"?IN_FOCUS",IF(J315&lt;=2,"?ACTIVATED",IF(J315&lt;&gt;"","?FAMILIAR",IF(F315="NEW",IF(ISNA(VLOOKUP(E315,#REF!,1,FALSE())),"?TYPE_IDENTIFIABLE","?REFERENTIAL"),"_")))))</f>
        <v/>
      </c>
      <c r="H315" s="12" t="str">
        <f t="shared" si="15"/>
        <v/>
      </c>
    </row>
    <row r="316" spans="1:12" x14ac:dyDescent="0.35">
      <c r="A316" t="s">
        <v>225</v>
      </c>
      <c r="E316" s="9" t="str">
        <f t="shared" si="14"/>
        <v/>
      </c>
      <c r="F316" s="10" t="str">
        <f>IF(OR(E316="",E316="!!!"),"",IF(NOT(ISNA(VLOOKUP(E316,E$1:E315,1,FALSE()))),"OLD",IF(AND(E316&lt;&gt;"",E316&lt;&gt;"!!!"),"NEW","")))</f>
        <v/>
      </c>
      <c r="G316" s="11" t="str">
        <f>IF(OR(E316="",E316="!!!"),"",IF(OR(J316=0,AND(J316=1,K316=1),AND(J316=1,I316="SBJ"),AND(J316=1,I316=0)),"?IN_FOCUS",IF(J316&lt;=2,"?ACTIVATED",IF(J316&lt;&gt;"","?FAMILIAR",IF(F316="NEW",IF(ISNA(VLOOKUP(E316,#REF!,1,FALSE())),"?TYPE_IDENTIFIABLE","?REFERENTIAL"),"_")))))</f>
        <v/>
      </c>
      <c r="H316" s="12" t="str">
        <f t="shared" si="15"/>
        <v/>
      </c>
    </row>
    <row r="317" spans="1:12" x14ac:dyDescent="0.35">
      <c r="A317" t="s">
        <v>45</v>
      </c>
      <c r="E317" s="9" t="str">
        <f t="shared" si="14"/>
        <v/>
      </c>
      <c r="F317" s="10" t="str">
        <f>IF(OR(E317="",E317="!!!"),"",IF(NOT(ISNA(VLOOKUP(E317,E$1:E316,1,FALSE()))),"OLD",IF(AND(E317&lt;&gt;"",E317&lt;&gt;"!!!"),"NEW","")))</f>
        <v/>
      </c>
      <c r="G317" s="11" t="str">
        <f>IF(OR(E317="",E317="!!!"),"",IF(OR(J317=0,AND(J317=1,K317=1),AND(J317=1,I317="SBJ"),AND(J317=1,I317=0)),"?IN_FOCUS",IF(J317&lt;=2,"?ACTIVATED",IF(J317&lt;&gt;"","?FAMILIAR",IF(F317="NEW",IF(ISNA(VLOOKUP(E317,#REF!,1,FALSE())),"?TYPE_IDENTIFIABLE","?REFERENTIAL"),"_")))))</f>
        <v/>
      </c>
      <c r="H317" s="12" t="str">
        <f t="shared" si="15"/>
        <v/>
      </c>
    </row>
    <row r="318" spans="1:12" x14ac:dyDescent="0.35">
      <c r="A318" t="s">
        <v>58</v>
      </c>
      <c r="E318" s="9" t="str">
        <f t="shared" si="14"/>
        <v/>
      </c>
      <c r="F318" s="10" t="str">
        <f>IF(OR(E318="",E318="!!!"),"",IF(NOT(ISNA(VLOOKUP(E318,E$1:E317,1,FALSE()))),"OLD",IF(AND(E318&lt;&gt;"",E318&lt;&gt;"!!!"),"NEW","")))</f>
        <v/>
      </c>
      <c r="G318" s="11" t="str">
        <f>IF(OR(E318="",E318="!!!"),"",IF(OR(J318=0,AND(J318=1,K318=1),AND(J318=1,I318="SBJ"),AND(J318=1,I318=0)),"?IN_FOCUS",IF(J318&lt;=2,"?ACTIVATED",IF(J318&lt;&gt;"","?FAMILIAR",IF(F318="NEW",IF(ISNA(VLOOKUP(E318,#REF!,1,FALSE())),"?TYPE_IDENTIFIABLE","?REFERENTIAL"),"_")))))</f>
        <v/>
      </c>
      <c r="H318" s="12" t="str">
        <f t="shared" si="15"/>
        <v/>
      </c>
    </row>
    <row r="319" spans="1:12" x14ac:dyDescent="0.35">
      <c r="A319" t="s">
        <v>226</v>
      </c>
      <c r="B319" t="s">
        <v>54</v>
      </c>
      <c r="C319" t="s">
        <v>99</v>
      </c>
      <c r="D319" t="s">
        <v>16</v>
      </c>
      <c r="E319" s="9" t="s">
        <v>262</v>
      </c>
      <c r="F319" s="10" t="s">
        <v>876</v>
      </c>
      <c r="G319" s="11"/>
      <c r="H319" s="12" t="str">
        <f t="shared" si="15"/>
        <v/>
      </c>
    </row>
    <row r="320" spans="1:12" x14ac:dyDescent="0.35">
      <c r="A320" t="s">
        <v>115</v>
      </c>
      <c r="E320" s="9" t="str">
        <f t="shared" si="14"/>
        <v/>
      </c>
      <c r="F320" s="10" t="str">
        <f>IF(OR(E320="",E320="!!!"),"",IF(NOT(ISNA(VLOOKUP(E320,E$1:E319,1,FALSE()))),"OLD",IF(AND(E320&lt;&gt;"",E320&lt;&gt;"!!!"),"NEW","")))</f>
        <v/>
      </c>
      <c r="G320" s="11" t="str">
        <f>IF(OR(E320="",E320="!!!"),"",IF(OR(J320=0,AND(J320=1,K320=1),AND(J320=1,I320="SBJ"),AND(J320=1,I320=0)),"?IN_FOCUS",IF(J320&lt;=2,"?ACTIVATED",IF(J320&lt;&gt;"","?FAMILIAR",IF(F320="NEW",IF(ISNA(VLOOKUP(E320,#REF!,1,FALSE())),"?TYPE_IDENTIFIABLE","?REFERENTIAL"),"_")))))</f>
        <v/>
      </c>
      <c r="H320" s="12" t="str">
        <f t="shared" si="15"/>
        <v/>
      </c>
    </row>
    <row r="321" spans="1:8" x14ac:dyDescent="0.35">
      <c r="A321" t="s">
        <v>227</v>
      </c>
      <c r="E321" s="9" t="str">
        <f t="shared" si="14"/>
        <v/>
      </c>
      <c r="F321" s="10" t="str">
        <f>IF(OR(E321="",E321="!!!"),"",IF(NOT(ISNA(VLOOKUP(E321,E$1:E320,1,FALSE()))),"OLD",IF(AND(E321&lt;&gt;"",E321&lt;&gt;"!!!"),"NEW","")))</f>
        <v/>
      </c>
      <c r="G321" s="11" t="str">
        <f>IF(OR(E321="",E321="!!!"),"",IF(OR(J321=0,AND(J321=1,K321=1),AND(J321=1,I321="SBJ"),AND(J321=1,I321=0)),"?IN_FOCUS",IF(J321&lt;=2,"?ACTIVATED",IF(J321&lt;&gt;"","?FAMILIAR",IF(F321="NEW",IF(ISNA(VLOOKUP(E321,#REF!,1,FALSE())),"?TYPE_IDENTIFIABLE","?REFERENTIAL"),"_")))))</f>
        <v/>
      </c>
      <c r="H321" s="12" t="str">
        <f t="shared" si="15"/>
        <v/>
      </c>
    </row>
    <row r="322" spans="1:8" x14ac:dyDescent="0.35">
      <c r="A322" t="s">
        <v>228</v>
      </c>
      <c r="E322" s="9" t="str">
        <f t="shared" si="14"/>
        <v/>
      </c>
      <c r="F322" s="10" t="str">
        <f>IF(OR(E322="",E322="!!!"),"",IF(NOT(ISNA(VLOOKUP(E322,E$1:E321,1,FALSE()))),"OLD",IF(AND(E322&lt;&gt;"",E322&lt;&gt;"!!!"),"NEW","")))</f>
        <v/>
      </c>
      <c r="G322" s="11" t="str">
        <f>IF(OR(E322="",E322="!!!"),"",IF(OR(J322=0,AND(J322=1,K322=1),AND(J322=1,I322="SBJ"),AND(J322=1,I322=0)),"?IN_FOCUS",IF(J322&lt;=2,"?ACTIVATED",IF(J322&lt;&gt;"","?FAMILIAR",IF(F322="NEW",IF(ISNA(VLOOKUP(E322,#REF!,1,FALSE())),"?TYPE_IDENTIFIABLE","?REFERENTIAL"),"_")))))</f>
        <v/>
      </c>
      <c r="H322" s="12" t="str">
        <f t="shared" si="15"/>
        <v/>
      </c>
    </row>
    <row r="323" spans="1:8" x14ac:dyDescent="0.35">
      <c r="A323" t="s">
        <v>218</v>
      </c>
      <c r="E323" s="9" t="str">
        <f t="shared" si="14"/>
        <v/>
      </c>
      <c r="F323" s="10" t="str">
        <f>IF(OR(E323="",E323="!!!"),"",IF(NOT(ISNA(VLOOKUP(E323,E$1:E322,1,FALSE()))),"OLD",IF(AND(E323&lt;&gt;"",E323&lt;&gt;"!!!"),"NEW","")))</f>
        <v/>
      </c>
      <c r="G323" s="11" t="str">
        <f>IF(OR(E323="",E323="!!!"),"",IF(OR(J323=0,AND(J323=1,K323=1),AND(J323=1,I323="SBJ"),AND(J323=1,I323=0)),"?IN_FOCUS",IF(J323&lt;=2,"?ACTIVATED",IF(J323&lt;&gt;"","?FAMILIAR",IF(F323="NEW",IF(ISNA(VLOOKUP(E323,#REF!,1,FALSE())),"?TYPE_IDENTIFIABLE","?REFERENTIAL"),"_")))))</f>
        <v/>
      </c>
      <c r="H323" s="12" t="str">
        <f t="shared" si="15"/>
        <v/>
      </c>
    </row>
    <row r="324" spans="1:8" x14ac:dyDescent="0.35">
      <c r="A324" t="s">
        <v>58</v>
      </c>
      <c r="E324" s="9" t="str">
        <f t="shared" si="14"/>
        <v/>
      </c>
      <c r="F324" s="10" t="str">
        <f>IF(OR(E324="",E324="!!!"),"",IF(NOT(ISNA(VLOOKUP(E324,E$1:E323,1,FALSE()))),"OLD",IF(AND(E324&lt;&gt;"",E324&lt;&gt;"!!!"),"NEW","")))</f>
        <v/>
      </c>
      <c r="G324" s="11" t="str">
        <f>IF(OR(E324="",E324="!!!"),"",IF(OR(J324=0,AND(J324=1,K324=1),AND(J324=1,I324="SBJ"),AND(J324=1,I324=0)),"?IN_FOCUS",IF(J324&lt;=2,"?ACTIVATED",IF(J324&lt;&gt;"","?FAMILIAR",IF(F324="NEW",IF(ISNA(VLOOKUP(E324,#REF!,1,FALSE())),"?TYPE_IDENTIFIABLE","?REFERENTIAL"),"_")))))</f>
        <v/>
      </c>
      <c r="H324" s="12" t="str">
        <f t="shared" si="15"/>
        <v/>
      </c>
    </row>
    <row r="325" spans="1:8" x14ac:dyDescent="0.35">
      <c r="A325" t="s">
        <v>229</v>
      </c>
      <c r="B325" t="s">
        <v>24</v>
      </c>
      <c r="C325" t="s">
        <v>99</v>
      </c>
      <c r="D325" t="s">
        <v>16</v>
      </c>
      <c r="E325" s="9" t="s">
        <v>262</v>
      </c>
      <c r="F325" s="10" t="s">
        <v>876</v>
      </c>
      <c r="G325" s="11"/>
      <c r="H325" s="12" t="str">
        <f t="shared" si="15"/>
        <v/>
      </c>
    </row>
    <row r="326" spans="1:8" x14ac:dyDescent="0.35">
      <c r="A326" t="s">
        <v>17</v>
      </c>
      <c r="E326" s="9" t="str">
        <f t="shared" si="14"/>
        <v/>
      </c>
      <c r="F326" s="10" t="str">
        <f>IF(OR(E326="",E326="!!!"),"",IF(NOT(ISNA(VLOOKUP(E326,E$1:E325,1,FALSE()))),"OLD",IF(AND(E326&lt;&gt;"",E326&lt;&gt;"!!!"),"NEW","")))</f>
        <v/>
      </c>
      <c r="G326" s="11" t="str">
        <f>IF(OR(E326="",E326="!!!"),"",IF(OR(J326=0,AND(J326=1,K326=1),AND(J326=1,I326="SBJ"),AND(J326=1,I326=0)),"?IN_FOCUS",IF(J326&lt;=2,"?ACTIVATED",IF(J326&lt;&gt;"","?FAMILIAR",IF(F326="NEW",IF(ISNA(VLOOKUP(E326,#REF!,1,FALSE())),"?TYPE_IDENTIFIABLE","?REFERENTIAL"),"_")))))</f>
        <v/>
      </c>
      <c r="H326" s="12" t="str">
        <f t="shared" si="15"/>
        <v/>
      </c>
    </row>
    <row r="327" spans="1:8" x14ac:dyDescent="0.35">
      <c r="A327" t="s">
        <v>58</v>
      </c>
      <c r="E327" s="9" t="str">
        <f t="shared" si="14"/>
        <v/>
      </c>
      <c r="F327" s="10" t="str">
        <f>IF(OR(E327="",E327="!!!"),"",IF(NOT(ISNA(VLOOKUP(E327,E$1:E326,1,FALSE()))),"OLD",IF(AND(E327&lt;&gt;"",E327&lt;&gt;"!!!"),"NEW","")))</f>
        <v/>
      </c>
      <c r="G327" s="11" t="str">
        <f>IF(OR(E327="",E327="!!!"),"",IF(OR(J327=0,AND(J327=1,K327=1),AND(J327=1,I327="SBJ"),AND(J327=1,I327=0)),"?IN_FOCUS",IF(J327&lt;=2,"?ACTIVATED",IF(J327&lt;&gt;"","?FAMILIAR",IF(F327="NEW",IF(ISNA(VLOOKUP(E327,#REF!,1,FALSE())),"?TYPE_IDENTIFIABLE","?REFERENTIAL"),"_")))))</f>
        <v/>
      </c>
      <c r="H327" s="12" t="str">
        <f t="shared" si="15"/>
        <v/>
      </c>
    </row>
    <row r="328" spans="1:8" x14ac:dyDescent="0.35">
      <c r="A328" t="s">
        <v>230</v>
      </c>
      <c r="B328" t="s">
        <v>20</v>
      </c>
      <c r="C328" t="s">
        <v>99</v>
      </c>
      <c r="D328" t="s">
        <v>16</v>
      </c>
      <c r="E328" s="9" t="s">
        <v>262</v>
      </c>
      <c r="F328" s="10" t="s">
        <v>876</v>
      </c>
      <c r="G328" s="11"/>
      <c r="H328" s="12" t="str">
        <f t="shared" si="15"/>
        <v/>
      </c>
    </row>
    <row r="329" spans="1:8" x14ac:dyDescent="0.35">
      <c r="A329" t="s">
        <v>63</v>
      </c>
      <c r="E329" s="9" t="str">
        <f t="shared" si="14"/>
        <v/>
      </c>
      <c r="F329" s="10" t="str">
        <f>IF(OR(E329="",E329="!!!"),"",IF(NOT(ISNA(VLOOKUP(E329,E$1:E328,1,FALSE()))),"OLD",IF(AND(E329&lt;&gt;"",E329&lt;&gt;"!!!"),"NEW","")))</f>
        <v/>
      </c>
      <c r="G329" s="11" t="str">
        <f>IF(OR(E329="",E329="!!!"),"",IF(OR(J329=0,AND(J329=1,K329=1),AND(J329=1,I329="SBJ"),AND(J329=1,I329=0)),"?IN_FOCUS",IF(J329&lt;=2,"?ACTIVATED",IF(J329&lt;&gt;"","?FAMILIAR",IF(F329="NEW",IF(ISNA(VLOOKUP(E329,#REF!,1,FALSE())),"?TYPE_IDENTIFIABLE","?REFERENTIAL"),"_")))))</f>
        <v/>
      </c>
      <c r="H329" s="12" t="str">
        <f t="shared" si="15"/>
        <v/>
      </c>
    </row>
    <row r="330" spans="1:8" x14ac:dyDescent="0.35">
      <c r="E330" s="9" t="str">
        <f t="shared" si="14"/>
        <v/>
      </c>
      <c r="F330" s="10" t="str">
        <f>IF(OR(E330="",E330="!!!"),"",IF(NOT(ISNA(VLOOKUP(E330,E$1:E329,1,FALSE()))),"OLD",IF(AND(E330&lt;&gt;"",E330&lt;&gt;"!!!"),"NEW","")))</f>
        <v/>
      </c>
      <c r="G330" s="11" t="str">
        <f>IF(OR(E330="",E330="!!!"),"",IF(OR(J330=0,AND(J330=1,K330=1),AND(J330=1,I330="SBJ"),AND(J330=1,I330=0)),"?IN_FOCUS",IF(J330&lt;=2,"?ACTIVATED",IF(J330&lt;&gt;"","?FAMILIAR",IF(F330="NEW",IF(ISNA(VLOOKUP(E330,#REF!,1,FALSE())),"?TYPE_IDENTIFIABLE","?REFERENTIAL"),"_")))))</f>
        <v/>
      </c>
      <c r="H330" s="12" t="str">
        <f t="shared" si="15"/>
        <v/>
      </c>
    </row>
    <row r="331" spans="1:8" x14ac:dyDescent="0.35">
      <c r="A331" t="s">
        <v>231</v>
      </c>
      <c r="E331" s="9" t="str">
        <f t="shared" si="14"/>
        <v/>
      </c>
      <c r="F331" s="10" t="str">
        <f>IF(OR(E331="",E331="!!!"),"",IF(NOT(ISNA(VLOOKUP(E331,E$1:E330,1,FALSE()))),"OLD",IF(AND(E331&lt;&gt;"",E331&lt;&gt;"!!!"),"NEW","")))</f>
        <v/>
      </c>
      <c r="G331" s="11" t="str">
        <f>IF(OR(E331="",E331="!!!"),"",IF(OR(J331=0,AND(J331=1,K331=1),AND(J331=1,I331="SBJ"),AND(J331=1,I331=0)),"?IN_FOCUS",IF(J331&lt;=2,"?ACTIVATED",IF(J331&lt;&gt;"","?FAMILIAR",IF(F331="NEW",IF(ISNA(VLOOKUP(E331,#REF!,1,FALSE())),"?TYPE_IDENTIFIABLE","?REFERENTIAL"),"_")))))</f>
        <v/>
      </c>
      <c r="H331" s="12" t="str">
        <f t="shared" si="15"/>
        <v/>
      </c>
    </row>
    <row r="332" spans="1:8" x14ac:dyDescent="0.35">
      <c r="A332" t="s">
        <v>97</v>
      </c>
      <c r="E332" s="9" t="str">
        <f t="shared" si="14"/>
        <v/>
      </c>
      <c r="F332" s="10" t="str">
        <f>IF(OR(E332="",E332="!!!"),"",IF(NOT(ISNA(VLOOKUP(E332,E$1:E331,1,FALSE()))),"OLD",IF(AND(E332&lt;&gt;"",E332&lt;&gt;"!!!"),"NEW","")))</f>
        <v/>
      </c>
      <c r="G332" s="11" t="str">
        <f>IF(OR(E332="",E332="!!!"),"",IF(OR(J332=0,AND(J332=1,K332=1),AND(J332=1,I332="SBJ"),AND(J332=1,I332=0)),"?IN_FOCUS",IF(J332&lt;=2,"?ACTIVATED",IF(J332&lt;&gt;"","?FAMILIAR",IF(F332="NEW",IF(ISNA(VLOOKUP(E332,#REF!,1,FALSE())),"?TYPE_IDENTIFIABLE","?REFERENTIAL"),"_")))))</f>
        <v/>
      </c>
      <c r="H332" s="12" t="str">
        <f t="shared" si="15"/>
        <v/>
      </c>
    </row>
    <row r="333" spans="1:8" x14ac:dyDescent="0.35">
      <c r="A333" t="s">
        <v>200</v>
      </c>
      <c r="B333" t="s">
        <v>14</v>
      </c>
      <c r="C333" t="s">
        <v>99</v>
      </c>
      <c r="D333" t="s">
        <v>16</v>
      </c>
      <c r="E333" s="9" t="s">
        <v>262</v>
      </c>
      <c r="F333" s="10" t="s">
        <v>876</v>
      </c>
      <c r="G333" s="11"/>
      <c r="H333" s="12" t="str">
        <f t="shared" si="15"/>
        <v/>
      </c>
    </row>
    <row r="334" spans="1:8" x14ac:dyDescent="0.35">
      <c r="A334" t="s">
        <v>42</v>
      </c>
      <c r="E334" s="9" t="str">
        <f t="shared" si="14"/>
        <v/>
      </c>
      <c r="F334" s="10" t="str">
        <f>IF(OR(E334="",E334="!!!"),"",IF(NOT(ISNA(VLOOKUP(E334,E$1:E333,1,FALSE()))),"OLD",IF(AND(E334&lt;&gt;"",E334&lt;&gt;"!!!"),"NEW","")))</f>
        <v/>
      </c>
      <c r="G334" s="11" t="str">
        <f>IF(OR(E334="",E334="!!!"),"",IF(OR(J334=0,AND(J334=1,K334=1),AND(J334=1,I334="SBJ"),AND(J334=1,I334=0)),"?IN_FOCUS",IF(J334&lt;=2,"?ACTIVATED",IF(J334&lt;&gt;"","?FAMILIAR",IF(F334="NEW",IF(ISNA(VLOOKUP(E334,#REF!,1,FALSE())),"?TYPE_IDENTIFIABLE","?REFERENTIAL"),"_")))))</f>
        <v/>
      </c>
      <c r="H334" s="12" t="str">
        <f t="shared" si="15"/>
        <v/>
      </c>
    </row>
    <row r="335" spans="1:8" x14ac:dyDescent="0.35">
      <c r="A335" t="s">
        <v>232</v>
      </c>
      <c r="E335" s="9" t="str">
        <f t="shared" si="14"/>
        <v/>
      </c>
      <c r="F335" s="10" t="str">
        <f>IF(OR(E335="",E335="!!!"),"",IF(NOT(ISNA(VLOOKUP(E335,E$1:E334,1,FALSE()))),"OLD",IF(AND(E335&lt;&gt;"",E335&lt;&gt;"!!!"),"NEW","")))</f>
        <v/>
      </c>
      <c r="G335" s="11" t="str">
        <f>IF(OR(E335="",E335="!!!"),"",IF(OR(J335=0,AND(J335=1,K335=1),AND(J335=1,I335="SBJ"),AND(J335=1,I335=0)),"?IN_FOCUS",IF(J335&lt;=2,"?ACTIVATED",IF(J335&lt;&gt;"","?FAMILIAR",IF(F335="NEW",IF(ISNA(VLOOKUP(E335,#REF!,1,FALSE())),"?TYPE_IDENTIFIABLE","?REFERENTIAL"),"_")))))</f>
        <v/>
      </c>
      <c r="H335" s="12" t="str">
        <f t="shared" si="15"/>
        <v/>
      </c>
    </row>
    <row r="336" spans="1:8" x14ac:dyDescent="0.35">
      <c r="A336" t="s">
        <v>233</v>
      </c>
      <c r="E336" s="9" t="str">
        <f t="shared" si="14"/>
        <v/>
      </c>
      <c r="F336" s="10" t="str">
        <f>IF(OR(E336="",E336="!!!"),"",IF(NOT(ISNA(VLOOKUP(E336,E$1:E335,1,FALSE()))),"OLD",IF(AND(E336&lt;&gt;"",E336&lt;&gt;"!!!"),"NEW","")))</f>
        <v/>
      </c>
      <c r="G336" s="11" t="str">
        <f>IF(OR(E336="",E336="!!!"),"",IF(OR(J336=0,AND(J336=1,K336=1),AND(J336=1,I336="SBJ"),AND(J336=1,I336=0)),"?IN_FOCUS",IF(J336&lt;=2,"?ACTIVATED",IF(J336&lt;&gt;"","?FAMILIAR",IF(F336="NEW",IF(ISNA(VLOOKUP(E336,#REF!,1,FALSE())),"?TYPE_IDENTIFIABLE","?REFERENTIAL"),"_")))))</f>
        <v/>
      </c>
      <c r="H336" s="12" t="str">
        <f t="shared" si="15"/>
        <v/>
      </c>
    </row>
    <row r="337" spans="1:8" x14ac:dyDescent="0.35">
      <c r="A337" t="s">
        <v>76</v>
      </c>
      <c r="E337" s="9" t="str">
        <f t="shared" si="14"/>
        <v/>
      </c>
      <c r="F337" s="10" t="str">
        <f>IF(OR(E337="",E337="!!!"),"",IF(NOT(ISNA(VLOOKUP(E337,E$1:E336,1,FALSE()))),"OLD",IF(AND(E337&lt;&gt;"",E337&lt;&gt;"!!!"),"NEW","")))</f>
        <v/>
      </c>
      <c r="G337" s="11" t="str">
        <f>IF(OR(E337="",E337="!!!"),"",IF(OR(J337=0,AND(J337=1,K337=1),AND(J337=1,I337="SBJ"),AND(J337=1,I337=0)),"?IN_FOCUS",IF(J337&lt;=2,"?ACTIVATED",IF(J337&lt;&gt;"","?FAMILIAR",IF(F337="NEW",IF(ISNA(VLOOKUP(E337,#REF!,1,FALSE())),"?TYPE_IDENTIFIABLE","?REFERENTIAL"),"_")))))</f>
        <v/>
      </c>
      <c r="H337" s="12" t="str">
        <f t="shared" si="15"/>
        <v/>
      </c>
    </row>
    <row r="338" spans="1:8" x14ac:dyDescent="0.35">
      <c r="A338" t="s">
        <v>234</v>
      </c>
      <c r="E338" s="9" t="str">
        <f t="shared" si="14"/>
        <v/>
      </c>
      <c r="F338" s="10" t="str">
        <f>IF(OR(E338="",E338="!!!"),"",IF(NOT(ISNA(VLOOKUP(E338,E$1:E337,1,FALSE()))),"OLD",IF(AND(E338&lt;&gt;"",E338&lt;&gt;"!!!"),"NEW","")))</f>
        <v/>
      </c>
      <c r="G338" s="11" t="str">
        <f>IF(OR(E338="",E338="!!!"),"",IF(OR(J338=0,AND(J338=1,K338=1),AND(J338=1,I338="SBJ"),AND(J338=1,I338=0)),"?IN_FOCUS",IF(J338&lt;=2,"?ACTIVATED",IF(J338&lt;&gt;"","?FAMILIAR",IF(F338="NEW",IF(ISNA(VLOOKUP(E338,#REF!,1,FALSE())),"?TYPE_IDENTIFIABLE","?REFERENTIAL"),"_")))))</f>
        <v/>
      </c>
      <c r="H338" s="12" t="str">
        <f t="shared" si="15"/>
        <v/>
      </c>
    </row>
    <row r="339" spans="1:8" x14ac:dyDescent="0.35">
      <c r="A339" t="s">
        <v>45</v>
      </c>
      <c r="E339" s="9" t="str">
        <f t="shared" si="14"/>
        <v/>
      </c>
      <c r="F339" s="10" t="str">
        <f>IF(OR(E339="",E339="!!!"),"",IF(NOT(ISNA(VLOOKUP(E339,E$1:E338,1,FALSE()))),"OLD",IF(AND(E339&lt;&gt;"",E339&lt;&gt;"!!!"),"NEW","")))</f>
        <v/>
      </c>
      <c r="G339" s="11" t="str">
        <f>IF(OR(E339="",E339="!!!"),"",IF(OR(J339=0,AND(J339=1,K339=1),AND(J339=1,I339="SBJ"),AND(J339=1,I339=0)),"?IN_FOCUS",IF(J339&lt;=2,"?ACTIVATED",IF(J339&lt;&gt;"","?FAMILIAR",IF(F339="NEW",IF(ISNA(VLOOKUP(E339,#REF!,1,FALSE())),"?TYPE_IDENTIFIABLE","?REFERENTIAL"),"_")))))</f>
        <v/>
      </c>
      <c r="H339" s="12" t="str">
        <f t="shared" si="15"/>
        <v/>
      </c>
    </row>
    <row r="340" spans="1:8" x14ac:dyDescent="0.35">
      <c r="A340" t="s">
        <v>235</v>
      </c>
      <c r="E340" s="9" t="str">
        <f t="shared" si="14"/>
        <v/>
      </c>
      <c r="F340" s="10" t="str">
        <f>IF(OR(E340="",E340="!!!"),"",IF(NOT(ISNA(VLOOKUP(E340,E$1:E339,1,FALSE()))),"OLD",IF(AND(E340&lt;&gt;"",E340&lt;&gt;"!!!"),"NEW","")))</f>
        <v/>
      </c>
      <c r="G340" s="11" t="str">
        <f>IF(OR(E340="",E340="!!!"),"",IF(OR(J340=0,AND(J340=1,K340=1),AND(J340=1,I340="SBJ"),AND(J340=1,I340=0)),"?IN_FOCUS",IF(J340&lt;=2,"?ACTIVATED",IF(J340&lt;&gt;"","?FAMILIAR",IF(F340="NEW",IF(ISNA(VLOOKUP(E340,#REF!,1,FALSE())),"?TYPE_IDENTIFIABLE","?REFERENTIAL"),"_")))))</f>
        <v/>
      </c>
      <c r="H340" s="12" t="str">
        <f t="shared" si="15"/>
        <v/>
      </c>
    </row>
    <row r="341" spans="1:8" x14ac:dyDescent="0.35">
      <c r="A341" t="s">
        <v>45</v>
      </c>
      <c r="E341" s="9" t="str">
        <f t="shared" si="14"/>
        <v/>
      </c>
      <c r="F341" s="10" t="str">
        <f>IF(OR(E341="",E341="!!!"),"",IF(NOT(ISNA(VLOOKUP(E341,E$1:E340,1,FALSE()))),"OLD",IF(AND(E341&lt;&gt;"",E341&lt;&gt;"!!!"),"NEW","")))</f>
        <v/>
      </c>
      <c r="G341" s="11" t="str">
        <f>IF(OR(E341="",E341="!!!"),"",IF(OR(J341=0,AND(J341=1,K341=1),AND(J341=1,I341="SBJ"),AND(J341=1,I341=0)),"?IN_FOCUS",IF(J341&lt;=2,"?ACTIVATED",IF(J341&lt;&gt;"","?FAMILIAR",IF(F341="NEW",IF(ISNA(VLOOKUP(E341,#REF!,1,FALSE())),"?TYPE_IDENTIFIABLE","?REFERENTIAL"),"_")))))</f>
        <v/>
      </c>
      <c r="H341" s="12" t="str">
        <f t="shared" si="15"/>
        <v/>
      </c>
    </row>
    <row r="342" spans="1:8" x14ac:dyDescent="0.35">
      <c r="A342" t="s">
        <v>236</v>
      </c>
      <c r="B342" t="s">
        <v>20</v>
      </c>
      <c r="C342" t="s">
        <v>21</v>
      </c>
      <c r="D342" t="s">
        <v>16</v>
      </c>
      <c r="E342" s="9" t="s">
        <v>262</v>
      </c>
      <c r="F342" s="10" t="s">
        <v>876</v>
      </c>
      <c r="G342" s="11"/>
      <c r="H342" s="12" t="str">
        <f t="shared" si="15"/>
        <v/>
      </c>
    </row>
    <row r="343" spans="1:8" x14ac:dyDescent="0.35">
      <c r="A343" t="s">
        <v>237</v>
      </c>
      <c r="E343" s="9" t="str">
        <f t="shared" si="14"/>
        <v/>
      </c>
      <c r="F343" s="10" t="str">
        <f>IF(OR(E343="",E343="!!!"),"",IF(NOT(ISNA(VLOOKUP(E343,E$1:E342,1,FALSE()))),"OLD",IF(AND(E343&lt;&gt;"",E343&lt;&gt;"!!!"),"NEW","")))</f>
        <v/>
      </c>
      <c r="G343" s="11" t="str">
        <f>IF(OR(E343="",E343="!!!"),"",IF(OR(J343=0,AND(J343=1,K343=1),AND(J343=1,I343="SBJ"),AND(J343=1,I343=0)),"?IN_FOCUS",IF(J343&lt;=2,"?ACTIVATED",IF(J343&lt;&gt;"","?FAMILIAR",IF(F343="NEW",IF(ISNA(VLOOKUP(E343,#REF!,1,FALSE())),"?TYPE_IDENTIFIABLE","?REFERENTIAL"),"_")))))</f>
        <v/>
      </c>
      <c r="H343" s="12" t="str">
        <f t="shared" si="15"/>
        <v/>
      </c>
    </row>
    <row r="344" spans="1:8" x14ac:dyDescent="0.35">
      <c r="A344" t="s">
        <v>238</v>
      </c>
      <c r="E344" s="9" t="str">
        <f t="shared" si="14"/>
        <v/>
      </c>
      <c r="F344" s="10" t="str">
        <f>IF(OR(E344="",E344="!!!"),"",IF(NOT(ISNA(VLOOKUP(E344,E$1:E343,1,FALSE()))),"OLD",IF(AND(E344&lt;&gt;"",E344&lt;&gt;"!!!"),"NEW","")))</f>
        <v/>
      </c>
      <c r="G344" s="11" t="str">
        <f>IF(OR(E344="",E344="!!!"),"",IF(OR(J344=0,AND(J344=1,K344=1),AND(J344=1,I344="SBJ"),AND(J344=1,I344=0)),"?IN_FOCUS",IF(J344&lt;=2,"?ACTIVATED",IF(J344&lt;&gt;"","?FAMILIAR",IF(F344="NEW",IF(ISNA(VLOOKUP(E344,#REF!,1,FALSE())),"?TYPE_IDENTIFIABLE","?REFERENTIAL"),"_")))))</f>
        <v/>
      </c>
      <c r="H344" s="12" t="str">
        <f t="shared" si="15"/>
        <v/>
      </c>
    </row>
    <row r="345" spans="1:8" x14ac:dyDescent="0.35">
      <c r="A345" t="s">
        <v>26</v>
      </c>
      <c r="E345" s="9" t="str">
        <f t="shared" si="14"/>
        <v/>
      </c>
      <c r="F345" s="10" t="str">
        <f>IF(OR(E345="",E345="!!!"),"",IF(NOT(ISNA(VLOOKUP(E345,E$1:E344,1,FALSE()))),"OLD",IF(AND(E345&lt;&gt;"",E345&lt;&gt;"!!!"),"NEW","")))</f>
        <v/>
      </c>
      <c r="G345" s="11" t="str">
        <f>IF(OR(E345="",E345="!!!"),"",IF(OR(J345=0,AND(J345=1,K345=1),AND(J345=1,I345="SBJ"),AND(J345=1,I345=0)),"?IN_FOCUS",IF(J345&lt;=2,"?ACTIVATED",IF(J345&lt;&gt;"","?FAMILIAR",IF(F345="NEW",IF(ISNA(VLOOKUP(E345,#REF!,1,FALSE())),"?TYPE_IDENTIFIABLE","?REFERENTIAL"),"_")))))</f>
        <v/>
      </c>
      <c r="H345" s="12" t="str">
        <f t="shared" si="15"/>
        <v/>
      </c>
    </row>
    <row r="346" spans="1:8" x14ac:dyDescent="0.35">
      <c r="A346" t="s">
        <v>239</v>
      </c>
      <c r="E346" s="9" t="str">
        <f t="shared" si="14"/>
        <v/>
      </c>
      <c r="F346" s="10" t="str">
        <f>IF(OR(E346="",E346="!!!"),"",IF(NOT(ISNA(VLOOKUP(E346,E$1:E345,1,FALSE()))),"OLD",IF(AND(E346&lt;&gt;"",E346&lt;&gt;"!!!"),"NEW","")))</f>
        <v/>
      </c>
      <c r="G346" s="11" t="str">
        <f>IF(OR(E346="",E346="!!!"),"",IF(OR(J346=0,AND(J346=1,K346=1),AND(J346=1,I346="SBJ"),AND(J346=1,I346=0)),"?IN_FOCUS",IF(J346&lt;=2,"?ACTIVATED",IF(J346&lt;&gt;"","?FAMILIAR",IF(F346="NEW",IF(ISNA(VLOOKUP(E346,#REF!,1,FALSE())),"?TYPE_IDENTIFIABLE","?REFERENTIAL"),"_")))))</f>
        <v/>
      </c>
      <c r="H346" s="12" t="str">
        <f t="shared" si="15"/>
        <v/>
      </c>
    </row>
    <row r="347" spans="1:8" x14ac:dyDescent="0.35">
      <c r="A347" t="s">
        <v>133</v>
      </c>
      <c r="B347" t="s">
        <v>36</v>
      </c>
      <c r="C347" t="s">
        <v>33</v>
      </c>
      <c r="D347" t="s">
        <v>16</v>
      </c>
      <c r="E347" s="9" t="s">
        <v>872</v>
      </c>
      <c r="F347" s="10" t="str">
        <f>IF(OR(E347="",E347="!!!"),"",IF(NOT(ISNA(VLOOKUP(E347,E$1:E346,1,FALSE()))),"OLD",IF(AND(E347&lt;&gt;"",E347&lt;&gt;"!!!"),"NEW","")))</f>
        <v>OLD</v>
      </c>
      <c r="G347" s="11" t="s">
        <v>877</v>
      </c>
      <c r="H347" s="12" t="str">
        <f t="shared" si="15"/>
        <v/>
      </c>
    </row>
    <row r="348" spans="1:8" x14ac:dyDescent="0.35">
      <c r="A348" t="s">
        <v>240</v>
      </c>
      <c r="E348" s="9" t="str">
        <f t="shared" si="14"/>
        <v/>
      </c>
      <c r="F348" s="10" t="str">
        <f>IF(OR(E348="",E348="!!!"),"",IF(NOT(ISNA(VLOOKUP(E348,E$1:E347,1,FALSE()))),"OLD",IF(AND(E348&lt;&gt;"",E348&lt;&gt;"!!!"),"NEW","")))</f>
        <v/>
      </c>
      <c r="G348" s="11" t="str">
        <f>IF(OR(E348="",E348="!!!"),"",IF(OR(J348=0,AND(J348=1,K348=1),AND(J348=1,I348="SBJ"),AND(J348=1,I348=0)),"?IN_FOCUS",IF(J348&lt;=2,"?ACTIVATED",IF(J348&lt;&gt;"","?FAMILIAR",IF(F348="NEW",IF(ISNA(VLOOKUP(E348,#REF!,1,FALSE())),"?TYPE_IDENTIFIABLE","?REFERENTIAL"),"_")))))</f>
        <v/>
      </c>
      <c r="H348" s="12" t="str">
        <f t="shared" si="15"/>
        <v/>
      </c>
    </row>
    <row r="349" spans="1:8" x14ac:dyDescent="0.35">
      <c r="A349" t="s">
        <v>45</v>
      </c>
      <c r="E349" s="9" t="str">
        <f t="shared" si="14"/>
        <v/>
      </c>
      <c r="F349" s="10" t="str">
        <f>IF(OR(E349="",E349="!!!"),"",IF(NOT(ISNA(VLOOKUP(E349,E$1:E348,1,FALSE()))),"OLD",IF(AND(E349&lt;&gt;"",E349&lt;&gt;"!!!"),"NEW","")))</f>
        <v/>
      </c>
      <c r="G349" s="11" t="str">
        <f>IF(OR(E349="",E349="!!!"),"",IF(OR(J349=0,AND(J349=1,K349=1),AND(J349=1,I349="SBJ"),AND(J349=1,I349=0)),"?IN_FOCUS",IF(J349&lt;=2,"?ACTIVATED",IF(J349&lt;&gt;"","?FAMILIAR",IF(F349="NEW",IF(ISNA(VLOOKUP(E349,#REF!,1,FALSE())),"?TYPE_IDENTIFIABLE","?REFERENTIAL"),"_")))))</f>
        <v/>
      </c>
      <c r="H349" s="12" t="str">
        <f t="shared" si="15"/>
        <v/>
      </c>
    </row>
    <row r="350" spans="1:8" x14ac:dyDescent="0.35">
      <c r="A350" t="s">
        <v>241</v>
      </c>
      <c r="E350" s="9" t="str">
        <f t="shared" si="14"/>
        <v/>
      </c>
      <c r="F350" s="10" t="str">
        <f>IF(OR(E350="",E350="!!!"),"",IF(NOT(ISNA(VLOOKUP(E350,E$1:E349,1,FALSE()))),"OLD",IF(AND(E350&lt;&gt;"",E350&lt;&gt;"!!!"),"NEW","")))</f>
        <v/>
      </c>
      <c r="G350" s="11" t="str">
        <f>IF(OR(E350="",E350="!!!"),"",IF(OR(J350=0,AND(J350=1,K350=1),AND(J350=1,I350="SBJ"),AND(J350=1,I350=0)),"?IN_FOCUS",IF(J350&lt;=2,"?ACTIVATED",IF(J350&lt;&gt;"","?FAMILIAR",IF(F350="NEW",IF(ISNA(VLOOKUP(E350,#REF!,1,FALSE())),"?TYPE_IDENTIFIABLE","?REFERENTIAL"),"_")))))</f>
        <v/>
      </c>
      <c r="H350" s="12" t="str">
        <f t="shared" si="15"/>
        <v/>
      </c>
    </row>
    <row r="351" spans="1:8" x14ac:dyDescent="0.35">
      <c r="A351" t="s">
        <v>45</v>
      </c>
      <c r="E351" s="9" t="str">
        <f t="shared" si="14"/>
        <v/>
      </c>
      <c r="F351" s="10" t="str">
        <f>IF(OR(E351="",E351="!!!"),"",IF(NOT(ISNA(VLOOKUP(E351,E$1:E350,1,FALSE()))),"OLD",IF(AND(E351&lt;&gt;"",E351&lt;&gt;"!!!"),"NEW","")))</f>
        <v/>
      </c>
      <c r="G351" s="11" t="str">
        <f>IF(OR(E351="",E351="!!!"),"",IF(OR(J351=0,AND(J351=1,K351=1),AND(J351=1,I351="SBJ"),AND(J351=1,I351=0)),"?IN_FOCUS",IF(J351&lt;=2,"?ACTIVATED",IF(J351&lt;&gt;"","?FAMILIAR",IF(F351="NEW",IF(ISNA(VLOOKUP(E351,#REF!,1,FALSE())),"?TYPE_IDENTIFIABLE","?REFERENTIAL"),"_")))))</f>
        <v/>
      </c>
      <c r="H351" s="12" t="str">
        <f t="shared" si="15"/>
        <v/>
      </c>
    </row>
    <row r="352" spans="1:8" x14ac:dyDescent="0.35">
      <c r="A352" t="s">
        <v>242</v>
      </c>
      <c r="E352" s="9" t="str">
        <f t="shared" si="14"/>
        <v/>
      </c>
      <c r="F352" s="10" t="str">
        <f>IF(OR(E352="",E352="!!!"),"",IF(NOT(ISNA(VLOOKUP(E352,E$1:E351,1,FALSE()))),"OLD",IF(AND(E352&lt;&gt;"",E352&lt;&gt;"!!!"),"NEW","")))</f>
        <v/>
      </c>
      <c r="G352" s="11" t="str">
        <f>IF(OR(E352="",E352="!!!"),"",IF(OR(J352=0,AND(J352=1,K352=1),AND(J352=1,I352="SBJ"),AND(J352=1,I352=0)),"?IN_FOCUS",IF(J352&lt;=2,"?ACTIVATED",IF(J352&lt;&gt;"","?FAMILIAR",IF(F352="NEW",IF(ISNA(VLOOKUP(E352,#REF!,1,FALSE())),"?TYPE_IDENTIFIABLE","?REFERENTIAL"),"_")))))</f>
        <v/>
      </c>
      <c r="H352" s="12" t="str">
        <f t="shared" si="15"/>
        <v/>
      </c>
    </row>
    <row r="353" spans="1:8" x14ac:dyDescent="0.35">
      <c r="A353" t="s">
        <v>243</v>
      </c>
      <c r="B353" t="s">
        <v>20</v>
      </c>
      <c r="C353" t="s">
        <v>21</v>
      </c>
      <c r="D353" t="s">
        <v>16</v>
      </c>
      <c r="E353" s="9" t="s">
        <v>262</v>
      </c>
      <c r="F353" s="10" t="s">
        <v>876</v>
      </c>
      <c r="G353" s="11"/>
      <c r="H353" s="12" t="str">
        <f t="shared" si="15"/>
        <v/>
      </c>
    </row>
    <row r="354" spans="1:8" x14ac:dyDescent="0.35">
      <c r="A354" t="s">
        <v>63</v>
      </c>
      <c r="E354" s="9" t="str">
        <f t="shared" si="14"/>
        <v/>
      </c>
      <c r="F354" s="10" t="str">
        <f>IF(OR(E354="",E354="!!!"),"",IF(NOT(ISNA(VLOOKUP(E354,E$1:E353,1,FALSE()))),"OLD",IF(AND(E354&lt;&gt;"",E354&lt;&gt;"!!!"),"NEW","")))</f>
        <v/>
      </c>
      <c r="G354" s="11" t="str">
        <f>IF(OR(E354="",E354="!!!"),"",IF(OR(J354=0,AND(J354=1,K354=1),AND(J354=1,I354="SBJ"),AND(J354=1,I354=0)),"?IN_FOCUS",IF(J354&lt;=2,"?ACTIVATED",IF(J354&lt;&gt;"","?FAMILIAR",IF(F354="NEW",IF(ISNA(VLOOKUP(E354,#REF!,1,FALSE())),"?TYPE_IDENTIFIABLE","?REFERENTIAL"),"_")))))</f>
        <v/>
      </c>
      <c r="H354" s="12" t="str">
        <f t="shared" si="15"/>
        <v/>
      </c>
    </row>
    <row r="355" spans="1:8" x14ac:dyDescent="0.35">
      <c r="E355" s="9" t="str">
        <f t="shared" si="14"/>
        <v/>
      </c>
      <c r="F355" s="10" t="str">
        <f>IF(OR(E355="",E355="!!!"),"",IF(NOT(ISNA(VLOOKUP(E355,E$1:E354,1,FALSE()))),"OLD",IF(AND(E355&lt;&gt;"",E355&lt;&gt;"!!!"),"NEW","")))</f>
        <v/>
      </c>
      <c r="G355" s="11" t="str">
        <f>IF(OR(E355="",E355="!!!"),"",IF(OR(J355=0,AND(J355=1,K355=1),AND(J355=1,I355="SBJ"),AND(J355=1,I355=0)),"?IN_FOCUS",IF(J355&lt;=2,"?ACTIVATED",IF(J355&lt;&gt;"","?FAMILIAR",IF(F355="NEW",IF(ISNA(VLOOKUP(E355,#REF!,1,FALSE())),"?TYPE_IDENTIFIABLE","?REFERENTIAL"),"_")))))</f>
        <v/>
      </c>
      <c r="H355" s="12" t="str">
        <f t="shared" si="15"/>
        <v/>
      </c>
    </row>
    <row r="356" spans="1:8" x14ac:dyDescent="0.35">
      <c r="A356" t="s">
        <v>244</v>
      </c>
      <c r="E356" s="9" t="str">
        <f t="shared" si="14"/>
        <v/>
      </c>
      <c r="F356" s="10" t="str">
        <f>IF(OR(E356="",E356="!!!"),"",IF(NOT(ISNA(VLOOKUP(E356,E$1:E355,1,FALSE()))),"OLD",IF(AND(E356&lt;&gt;"",E356&lt;&gt;"!!!"),"NEW","")))</f>
        <v/>
      </c>
      <c r="G356" s="11" t="str">
        <f>IF(OR(E356="",E356="!!!"),"",IF(OR(J356=0,AND(J356=1,K356=1),AND(J356=1,I356="SBJ"),AND(J356=1,I356=0)),"?IN_FOCUS",IF(J356&lt;=2,"?ACTIVATED",IF(J356&lt;&gt;"","?FAMILIAR",IF(F356="NEW",IF(ISNA(VLOOKUP(E356,#REF!,1,FALSE())),"?TYPE_IDENTIFIABLE","?REFERENTIAL"),"_")))))</f>
        <v/>
      </c>
      <c r="H356" s="12" t="str">
        <f t="shared" si="15"/>
        <v/>
      </c>
    </row>
    <row r="357" spans="1:8" x14ac:dyDescent="0.35">
      <c r="A357" t="s">
        <v>245</v>
      </c>
      <c r="E357" s="9" t="str">
        <f t="shared" si="14"/>
        <v/>
      </c>
      <c r="F357" s="10" t="str">
        <f>IF(OR(E357="",E357="!!!"),"",IF(NOT(ISNA(VLOOKUP(E357,E$1:E356,1,FALSE()))),"OLD",IF(AND(E357&lt;&gt;"",E357&lt;&gt;"!!!"),"NEW","")))</f>
        <v/>
      </c>
      <c r="G357" s="11" t="str">
        <f>IF(OR(E357="",E357="!!!"),"",IF(OR(J357=0,AND(J357=1,K357=1),AND(J357=1,I357="SBJ"),AND(J357=1,I357=0)),"?IN_FOCUS",IF(J357&lt;=2,"?ACTIVATED",IF(J357&lt;&gt;"","?FAMILIAR",IF(F357="NEW",IF(ISNA(VLOOKUP(E357,#REF!,1,FALSE())),"?TYPE_IDENTIFIABLE","?REFERENTIAL"),"_")))))</f>
        <v/>
      </c>
      <c r="H357" s="12" t="str">
        <f t="shared" si="15"/>
        <v/>
      </c>
    </row>
    <row r="358" spans="1:8" x14ac:dyDescent="0.35">
      <c r="A358" t="s">
        <v>246</v>
      </c>
      <c r="E358" s="9" t="str">
        <f t="shared" si="14"/>
        <v/>
      </c>
      <c r="F358" s="10" t="str">
        <f>IF(OR(E358="",E358="!!!"),"",IF(NOT(ISNA(VLOOKUP(E358,E$1:E357,1,FALSE()))),"OLD",IF(AND(E358&lt;&gt;"",E358&lt;&gt;"!!!"),"NEW","")))</f>
        <v/>
      </c>
      <c r="G358" s="11" t="str">
        <f>IF(OR(E358="",E358="!!!"),"",IF(OR(J358=0,AND(J358=1,K358=1),AND(J358=1,I358="SBJ"),AND(J358=1,I358=0)),"?IN_FOCUS",IF(J358&lt;=2,"?ACTIVATED",IF(J358&lt;&gt;"","?FAMILIAR",IF(F358="NEW",IF(ISNA(VLOOKUP(E358,#REF!,1,FALSE())),"?TYPE_IDENTIFIABLE","?REFERENTIAL"),"_")))))</f>
        <v/>
      </c>
      <c r="H358" s="12" t="str">
        <f t="shared" si="15"/>
        <v/>
      </c>
    </row>
    <row r="359" spans="1:8" x14ac:dyDescent="0.35">
      <c r="A359" t="s">
        <v>247</v>
      </c>
      <c r="E359" s="9" t="str">
        <f t="shared" si="14"/>
        <v/>
      </c>
      <c r="F359" s="10" t="str">
        <f>IF(OR(E359="",E359="!!!"),"",IF(NOT(ISNA(VLOOKUP(E359,E$1:E358,1,FALSE()))),"OLD",IF(AND(E359&lt;&gt;"",E359&lt;&gt;"!!!"),"NEW","")))</f>
        <v/>
      </c>
      <c r="G359" s="11" t="str">
        <f>IF(OR(E359="",E359="!!!"),"",IF(OR(J359=0,AND(J359=1,K359=1),AND(J359=1,I359="SBJ"),AND(J359=1,I359=0)),"?IN_FOCUS",IF(J359&lt;=2,"?ACTIVATED",IF(J359&lt;&gt;"","?FAMILIAR",IF(F359="NEW",IF(ISNA(VLOOKUP(E359,#REF!,1,FALSE())),"?TYPE_IDENTIFIABLE","?REFERENTIAL"),"_")))))</f>
        <v/>
      </c>
      <c r="H359" s="12" t="str">
        <f t="shared" si="15"/>
        <v/>
      </c>
    </row>
    <row r="360" spans="1:8" x14ac:dyDescent="0.35">
      <c r="A360" t="s">
        <v>248</v>
      </c>
      <c r="B360" t="s">
        <v>14</v>
      </c>
      <c r="C360" t="s">
        <v>33</v>
      </c>
      <c r="D360" t="s">
        <v>16</v>
      </c>
      <c r="E360" s="9" t="s">
        <v>250</v>
      </c>
      <c r="F360" s="10" t="str">
        <f>IF(OR(E360="",E360="!!!"),"",IF(NOT(ISNA(VLOOKUP(E360,E$1:E359,1,FALSE()))),"OLD",IF(AND(E360&lt;&gt;"",E360&lt;&gt;"!!!"),"NEW","")))</f>
        <v>NEW</v>
      </c>
      <c r="G360" s="11" t="s">
        <v>882</v>
      </c>
      <c r="H360" s="12" t="str">
        <f t="shared" si="15"/>
        <v/>
      </c>
    </row>
    <row r="361" spans="1:8" x14ac:dyDescent="0.35">
      <c r="A361" t="s">
        <v>249</v>
      </c>
      <c r="E361" s="9" t="str">
        <f t="shared" si="14"/>
        <v/>
      </c>
      <c r="F361" s="10" t="str">
        <f>IF(OR(E361="",E361="!!!"),"",IF(NOT(ISNA(VLOOKUP(E361,E$1:E360,1,FALSE()))),"OLD",IF(AND(E361&lt;&gt;"",E361&lt;&gt;"!!!"),"NEW","")))</f>
        <v/>
      </c>
      <c r="G361" s="11" t="str">
        <f>IF(OR(E361="",E361="!!!"),"",IF(OR(J361=0,AND(J361=1,K361=1),AND(J361=1,I361="SBJ"),AND(J361=1,I361=0)),"?IN_FOCUS",IF(J361&lt;=2,"?ACTIVATED",IF(J361&lt;&gt;"","?FAMILIAR",IF(F361="NEW",IF(ISNA(VLOOKUP(E361,#REF!,1,FALSE())),"?TYPE_IDENTIFIABLE","?REFERENTIAL"),"_")))))</f>
        <v/>
      </c>
      <c r="H361" s="12" t="str">
        <f t="shared" si="15"/>
        <v/>
      </c>
    </row>
    <row r="362" spans="1:8" x14ac:dyDescent="0.35">
      <c r="A362" t="s">
        <v>26</v>
      </c>
      <c r="E362" s="9" t="str">
        <f t="shared" si="14"/>
        <v/>
      </c>
      <c r="F362" s="10" t="str">
        <f>IF(OR(E362="",E362="!!!"),"",IF(NOT(ISNA(VLOOKUP(E362,E$1:E361,1,FALSE()))),"OLD",IF(AND(E362&lt;&gt;"",E362&lt;&gt;"!!!"),"NEW","")))</f>
        <v/>
      </c>
      <c r="G362" s="11" t="str">
        <f>IF(OR(E362="",E362="!!!"),"",IF(OR(J362=0,AND(J362=1,K362=1),AND(J362=1,I362="SBJ"),AND(J362=1,I362=0)),"?IN_FOCUS",IF(J362&lt;=2,"?ACTIVATED",IF(J362&lt;&gt;"","?FAMILIAR",IF(F362="NEW",IF(ISNA(VLOOKUP(E362,#REF!,1,FALSE())),"?TYPE_IDENTIFIABLE","?REFERENTIAL"),"_")))))</f>
        <v/>
      </c>
      <c r="H362" s="12" t="str">
        <f t="shared" si="15"/>
        <v/>
      </c>
    </row>
    <row r="363" spans="1:8" x14ac:dyDescent="0.35">
      <c r="A363" t="s">
        <v>250</v>
      </c>
      <c r="B363" t="s">
        <v>54</v>
      </c>
      <c r="C363" t="s">
        <v>21</v>
      </c>
      <c r="D363" t="s">
        <v>16</v>
      </c>
      <c r="E363" s="9" t="s">
        <v>880</v>
      </c>
      <c r="F363" s="10" t="str">
        <f>IF(OR(E363="",E363="!!!"),"",IF(NOT(ISNA(VLOOKUP(E363,E$1:E362,1,FALSE()))),"OLD",IF(AND(E363&lt;&gt;"",E363&lt;&gt;"!!!"),"NEW","")))</f>
        <v>NEW</v>
      </c>
      <c r="G363" s="11" t="s">
        <v>874</v>
      </c>
      <c r="H363" s="12" t="str">
        <f t="shared" si="15"/>
        <v/>
      </c>
    </row>
    <row r="364" spans="1:8" x14ac:dyDescent="0.35">
      <c r="A364" t="s">
        <v>251</v>
      </c>
      <c r="E364" s="9" t="str">
        <f t="shared" si="14"/>
        <v/>
      </c>
      <c r="F364" s="10" t="str">
        <f>IF(OR(E364="",E364="!!!"),"",IF(NOT(ISNA(VLOOKUP(E364,E$1:E363,1,FALSE()))),"OLD",IF(AND(E364&lt;&gt;"",E364&lt;&gt;"!!!"),"NEW","")))</f>
        <v/>
      </c>
      <c r="G364" s="11" t="str">
        <f>IF(OR(E364="",E364="!!!"),"",IF(OR(J364=0,AND(J364=1,K364=1),AND(J364=1,I364="SBJ"),AND(J364=1,I364=0)),"?IN_FOCUS",IF(J364&lt;=2,"?ACTIVATED",IF(J364&lt;&gt;"","?FAMILIAR",IF(F364="NEW",IF(ISNA(VLOOKUP(E364,#REF!,1,FALSE())),"?TYPE_IDENTIFIABLE","?REFERENTIAL"),"_")))))</f>
        <v/>
      </c>
      <c r="H364" s="12" t="str">
        <f t="shared" si="15"/>
        <v/>
      </c>
    </row>
    <row r="365" spans="1:8" x14ac:dyDescent="0.35">
      <c r="A365" t="s">
        <v>246</v>
      </c>
      <c r="E365" s="9" t="str">
        <f t="shared" si="14"/>
        <v/>
      </c>
      <c r="F365" s="10" t="str">
        <f>IF(OR(E365="",E365="!!!"),"",IF(NOT(ISNA(VLOOKUP(E365,E$1:E364,1,FALSE()))),"OLD",IF(AND(E365&lt;&gt;"",E365&lt;&gt;"!!!"),"NEW","")))</f>
        <v/>
      </c>
      <c r="G365" s="11" t="str">
        <f>IF(OR(E365="",E365="!!!"),"",IF(OR(J365=0,AND(J365=1,K365=1),AND(J365=1,I365="SBJ"),AND(J365=1,I365=0)),"?IN_FOCUS",IF(J365&lt;=2,"?ACTIVATED",IF(J365&lt;&gt;"","?FAMILIAR",IF(F365="NEW",IF(ISNA(VLOOKUP(E365,#REF!,1,FALSE())),"?TYPE_IDENTIFIABLE","?REFERENTIAL"),"_")))))</f>
        <v/>
      </c>
      <c r="H365" s="12" t="str">
        <f t="shared" si="15"/>
        <v/>
      </c>
    </row>
    <row r="366" spans="1:8" x14ac:dyDescent="0.35">
      <c r="E366" s="9" t="str">
        <f t="shared" si="14"/>
        <v/>
      </c>
      <c r="F366" s="10" t="str">
        <f>IF(OR(E366="",E366="!!!"),"",IF(NOT(ISNA(VLOOKUP(E366,E$1:E365,1,FALSE()))),"OLD",IF(AND(E366&lt;&gt;"",E366&lt;&gt;"!!!"),"NEW","")))</f>
        <v/>
      </c>
      <c r="G366" s="11" t="str">
        <f>IF(OR(E366="",E366="!!!"),"",IF(OR(J366=0,AND(J366=1,K366=1),AND(J366=1,I366="SBJ"),AND(J366=1,I366=0)),"?IN_FOCUS",IF(J366&lt;=2,"?ACTIVATED",IF(J366&lt;&gt;"","?FAMILIAR",IF(F366="NEW",IF(ISNA(VLOOKUP(E366,#REF!,1,FALSE())),"?TYPE_IDENTIFIABLE","?REFERENTIAL"),"_")))))</f>
        <v/>
      </c>
      <c r="H366" s="12" t="str">
        <f t="shared" si="15"/>
        <v/>
      </c>
    </row>
    <row r="367" spans="1:8" x14ac:dyDescent="0.35">
      <c r="A367" t="s">
        <v>252</v>
      </c>
      <c r="E367" s="9" t="str">
        <f t="shared" si="14"/>
        <v/>
      </c>
      <c r="F367" s="10" t="str">
        <f>IF(OR(E367="",E367="!!!"),"",IF(NOT(ISNA(VLOOKUP(E367,E$1:E366,1,FALSE()))),"OLD",IF(AND(E367&lt;&gt;"",E367&lt;&gt;"!!!"),"NEW","")))</f>
        <v/>
      </c>
      <c r="G367" s="11" t="str">
        <f>IF(OR(E367="",E367="!!!"),"",IF(OR(J367=0,AND(J367=1,K367=1),AND(J367=1,I367="SBJ"),AND(J367=1,I367=0)),"?IN_FOCUS",IF(J367&lt;=2,"?ACTIVATED",IF(J367&lt;&gt;"","?FAMILIAR",IF(F367="NEW",IF(ISNA(VLOOKUP(E367,#REF!,1,FALSE())),"?TYPE_IDENTIFIABLE","?REFERENTIAL"),"_")))))</f>
        <v/>
      </c>
      <c r="H367" s="12" t="str">
        <f t="shared" si="15"/>
        <v/>
      </c>
    </row>
    <row r="368" spans="1:8" x14ac:dyDescent="0.35">
      <c r="A368" t="s">
        <v>97</v>
      </c>
      <c r="E368" s="9" t="str">
        <f t="shared" si="14"/>
        <v/>
      </c>
      <c r="F368" s="10" t="str">
        <f>IF(OR(E368="",E368="!!!"),"",IF(NOT(ISNA(VLOOKUP(E368,E$1:E367,1,FALSE()))),"OLD",IF(AND(E368&lt;&gt;"",E368&lt;&gt;"!!!"),"NEW","")))</f>
        <v/>
      </c>
      <c r="G368" s="11" t="str">
        <f>IF(OR(E368="",E368="!!!"),"",IF(OR(J368=0,AND(J368=1,K368=1),AND(J368=1,I368="SBJ"),AND(J368=1,I368=0)),"?IN_FOCUS",IF(J368&lt;=2,"?ACTIVATED",IF(J368&lt;&gt;"","?FAMILIAR",IF(F368="NEW",IF(ISNA(VLOOKUP(E368,#REF!,1,FALSE())),"?TYPE_IDENTIFIABLE","?REFERENTIAL"),"_")))))</f>
        <v/>
      </c>
      <c r="H368" s="12" t="str">
        <f t="shared" si="15"/>
        <v/>
      </c>
    </row>
    <row r="369" spans="1:8" x14ac:dyDescent="0.35">
      <c r="A369" t="s">
        <v>253</v>
      </c>
      <c r="E369" s="9" t="str">
        <f t="shared" si="14"/>
        <v/>
      </c>
      <c r="F369" s="10" t="str">
        <f>IF(OR(E369="",E369="!!!"),"",IF(NOT(ISNA(VLOOKUP(E369,E$1:E368,1,FALSE()))),"OLD",IF(AND(E369&lt;&gt;"",E369&lt;&gt;"!!!"),"NEW","")))</f>
        <v/>
      </c>
      <c r="G369" s="11" t="str">
        <f>IF(OR(E369="",E369="!!!"),"",IF(OR(J369=0,AND(J369=1,K369=1),AND(J369=1,I369="SBJ"),AND(J369=1,I369=0)),"?IN_FOCUS",IF(J369&lt;=2,"?ACTIVATED",IF(J369&lt;&gt;"","?FAMILIAR",IF(F369="NEW",IF(ISNA(VLOOKUP(E369,#REF!,1,FALSE())),"?TYPE_IDENTIFIABLE","?REFERENTIAL"),"_")))))</f>
        <v/>
      </c>
      <c r="H369" s="12" t="str">
        <f t="shared" si="15"/>
        <v/>
      </c>
    </row>
    <row r="370" spans="1:8" x14ac:dyDescent="0.35">
      <c r="A370" t="s">
        <v>254</v>
      </c>
      <c r="B370" t="s">
        <v>54</v>
      </c>
      <c r="C370" t="s">
        <v>99</v>
      </c>
      <c r="D370" t="s">
        <v>16</v>
      </c>
      <c r="E370" s="9" t="s">
        <v>250</v>
      </c>
      <c r="F370" s="10" t="str">
        <f>IF(OR(E370="",E370="!!!"),"",IF(NOT(ISNA(VLOOKUP(E370,E$1:E369,1,FALSE()))),"OLD",IF(AND(E370&lt;&gt;"",E370&lt;&gt;"!!!"),"NEW","")))</f>
        <v>OLD</v>
      </c>
      <c r="G370" s="11" t="s">
        <v>870</v>
      </c>
      <c r="H370" s="12" t="str">
        <f t="shared" si="15"/>
        <v/>
      </c>
    </row>
    <row r="371" spans="1:8" x14ac:dyDescent="0.35">
      <c r="A371" t="s">
        <v>255</v>
      </c>
      <c r="E371" s="9" t="str">
        <f t="shared" si="14"/>
        <v/>
      </c>
      <c r="F371" s="10" t="str">
        <f>IF(OR(E371="",E371="!!!"),"",IF(NOT(ISNA(VLOOKUP(E371,E$1:E370,1,FALSE()))),"OLD",IF(AND(E371&lt;&gt;"",E371&lt;&gt;"!!!"),"NEW","")))</f>
        <v/>
      </c>
      <c r="G371" s="11" t="str">
        <f>IF(OR(E371="",E371="!!!"),"",IF(OR(J371=0,AND(J371=1,K371=1),AND(J371=1,I371="SBJ"),AND(J371=1,I371=0)),"?IN_FOCUS",IF(J371&lt;=2,"?ACTIVATED",IF(J371&lt;&gt;"","?FAMILIAR",IF(F371="NEW",IF(ISNA(VLOOKUP(E371,#REF!,1,FALSE())),"?TYPE_IDENTIFIABLE","?REFERENTIAL"),"_")))))</f>
        <v/>
      </c>
      <c r="H371" s="12" t="str">
        <f t="shared" si="15"/>
        <v/>
      </c>
    </row>
    <row r="372" spans="1:8" x14ac:dyDescent="0.35">
      <c r="A372" t="s">
        <v>63</v>
      </c>
      <c r="E372" s="9" t="str">
        <f t="shared" si="14"/>
        <v/>
      </c>
      <c r="F372" s="10" t="str">
        <f>IF(OR(E372="",E372="!!!"),"",IF(NOT(ISNA(VLOOKUP(E372,E$1:E371,1,FALSE()))),"OLD",IF(AND(E372&lt;&gt;"",E372&lt;&gt;"!!!"),"NEW","")))</f>
        <v/>
      </c>
      <c r="G372" s="11" t="str">
        <f>IF(OR(E372="",E372="!!!"),"",IF(OR(J372=0,AND(J372=1,K372=1),AND(J372=1,I372="SBJ"),AND(J372=1,I372=0)),"?IN_FOCUS",IF(J372&lt;=2,"?ACTIVATED",IF(J372&lt;&gt;"","?FAMILIAR",IF(F372="NEW",IF(ISNA(VLOOKUP(E372,#REF!,1,FALSE())),"?TYPE_IDENTIFIABLE","?REFERENTIAL"),"_")))))</f>
        <v/>
      </c>
      <c r="H372" s="12" t="str">
        <f t="shared" si="15"/>
        <v/>
      </c>
    </row>
    <row r="373" spans="1:8" x14ac:dyDescent="0.35">
      <c r="E373" s="9" t="str">
        <f t="shared" si="14"/>
        <v/>
      </c>
      <c r="F373" s="10" t="str">
        <f>IF(OR(E373="",E373="!!!"),"",IF(NOT(ISNA(VLOOKUP(E373,E$1:E372,1,FALSE()))),"OLD",IF(AND(E373&lt;&gt;"",E373&lt;&gt;"!!!"),"NEW","")))</f>
        <v/>
      </c>
      <c r="G373" s="11" t="str">
        <f>IF(OR(E373="",E373="!!!"),"",IF(OR(J373=0,AND(J373=1,K373=1),AND(J373=1,I373="SBJ"),AND(J373=1,I373=0)),"?IN_FOCUS",IF(J373&lt;=2,"?ACTIVATED",IF(J373&lt;&gt;"","?FAMILIAR",IF(F373="NEW",IF(ISNA(VLOOKUP(E373,#REF!,1,FALSE())),"?TYPE_IDENTIFIABLE","?REFERENTIAL"),"_")))))</f>
        <v/>
      </c>
      <c r="H373" s="12" t="str">
        <f t="shared" si="15"/>
        <v/>
      </c>
    </row>
    <row r="374" spans="1:8" x14ac:dyDescent="0.35">
      <c r="A374" t="s">
        <v>244</v>
      </c>
      <c r="E374" s="9" t="str">
        <f t="shared" si="14"/>
        <v/>
      </c>
      <c r="F374" s="10" t="str">
        <f>IF(OR(E374="",E374="!!!"),"",IF(NOT(ISNA(VLOOKUP(E374,E$1:E373,1,FALSE()))),"OLD",IF(AND(E374&lt;&gt;"",E374&lt;&gt;"!!!"),"NEW","")))</f>
        <v/>
      </c>
      <c r="G374" s="11" t="str">
        <f>IF(OR(E374="",E374="!!!"),"",IF(OR(J374=0,AND(J374=1,K374=1),AND(J374=1,I374="SBJ"),AND(J374=1,I374=0)),"?IN_FOCUS",IF(J374&lt;=2,"?ACTIVATED",IF(J374&lt;&gt;"","?FAMILIAR",IF(F374="NEW",IF(ISNA(VLOOKUP(E374,#REF!,1,FALSE())),"?TYPE_IDENTIFIABLE","?REFERENTIAL"),"_")))))</f>
        <v/>
      </c>
      <c r="H374" s="12" t="str">
        <f t="shared" si="15"/>
        <v/>
      </c>
    </row>
    <row r="375" spans="1:8" x14ac:dyDescent="0.35">
      <c r="A375" t="s">
        <v>256</v>
      </c>
      <c r="E375" s="9" t="str">
        <f t="shared" ref="E375:E438" si="16">IF(D375="?OLD","!!!","")</f>
        <v/>
      </c>
      <c r="F375" s="10" t="str">
        <f>IF(OR(E375="",E375="!!!"),"",IF(NOT(ISNA(VLOOKUP(E375,E$1:E374,1,FALSE()))),"OLD",IF(AND(E375&lt;&gt;"",E375&lt;&gt;"!!!"),"NEW","")))</f>
        <v/>
      </c>
      <c r="G375" s="11" t="str">
        <f>IF(OR(E375="",E375="!!!"),"",IF(OR(J375=0,AND(J375=1,K375=1),AND(J375=1,I375="SBJ"),AND(J375=1,I375=0)),"?IN_FOCUS",IF(J375&lt;=2,"?ACTIVATED",IF(J375&lt;&gt;"","?FAMILIAR",IF(F375="NEW",IF(ISNA(VLOOKUP(E375,#REF!,1,FALSE())),"?TYPE_IDENTIFIABLE","?REFERENTIAL"),"_")))))</f>
        <v/>
      </c>
      <c r="H375" s="12" t="str">
        <f t="shared" ref="H375:H438" si="17">IF(J375&lt;&gt;1,"",IF(I375="SBJ","CB","?"))</f>
        <v/>
      </c>
    </row>
    <row r="376" spans="1:8" x14ac:dyDescent="0.35">
      <c r="A376" t="s">
        <v>246</v>
      </c>
      <c r="E376" s="9" t="str">
        <f t="shared" si="16"/>
        <v/>
      </c>
      <c r="F376" s="10" t="str">
        <f>IF(OR(E376="",E376="!!!"),"",IF(NOT(ISNA(VLOOKUP(E376,E$1:E375,1,FALSE()))),"OLD",IF(AND(E376&lt;&gt;"",E376&lt;&gt;"!!!"),"NEW","")))</f>
        <v/>
      </c>
      <c r="G376" s="11" t="str">
        <f>IF(OR(E376="",E376="!!!"),"",IF(OR(J376=0,AND(J376=1,K376=1),AND(J376=1,I376="SBJ"),AND(J376=1,I376=0)),"?IN_FOCUS",IF(J376&lt;=2,"?ACTIVATED",IF(J376&lt;&gt;"","?FAMILIAR",IF(F376="NEW",IF(ISNA(VLOOKUP(E376,#REF!,1,FALSE())),"?TYPE_IDENTIFIABLE","?REFERENTIAL"),"_")))))</f>
        <v/>
      </c>
      <c r="H376" s="12" t="str">
        <f t="shared" si="17"/>
        <v/>
      </c>
    </row>
    <row r="377" spans="1:8" x14ac:dyDescent="0.35">
      <c r="A377" t="s">
        <v>257</v>
      </c>
      <c r="E377" s="9" t="str">
        <f t="shared" si="16"/>
        <v/>
      </c>
      <c r="F377" s="10" t="str">
        <f>IF(OR(E377="",E377="!!!"),"",IF(NOT(ISNA(VLOOKUP(E377,E$1:E376,1,FALSE()))),"OLD",IF(AND(E377&lt;&gt;"",E377&lt;&gt;"!!!"),"NEW","")))</f>
        <v/>
      </c>
      <c r="G377" s="11" t="str">
        <f>IF(OR(E377="",E377="!!!"),"",IF(OR(J377=0,AND(J377=1,K377=1),AND(J377=1,I377="SBJ"),AND(J377=1,I377=0)),"?IN_FOCUS",IF(J377&lt;=2,"?ACTIVATED",IF(J377&lt;&gt;"","?FAMILIAR",IF(F377="NEW",IF(ISNA(VLOOKUP(E377,#REF!,1,FALSE())),"?TYPE_IDENTIFIABLE","?REFERENTIAL"),"_")))))</f>
        <v/>
      </c>
      <c r="H377" s="12" t="str">
        <f t="shared" si="17"/>
        <v/>
      </c>
    </row>
    <row r="378" spans="1:8" x14ac:dyDescent="0.35">
      <c r="A378" t="s">
        <v>120</v>
      </c>
      <c r="E378" s="9" t="str">
        <f t="shared" si="16"/>
        <v/>
      </c>
      <c r="F378" s="10" t="str">
        <f>IF(OR(E378="",E378="!!!"),"",IF(NOT(ISNA(VLOOKUP(E378,E$1:E377,1,FALSE()))),"OLD",IF(AND(E378&lt;&gt;"",E378&lt;&gt;"!!!"),"NEW","")))</f>
        <v/>
      </c>
      <c r="G378" s="11" t="str">
        <f>IF(OR(E378="",E378="!!!"),"",IF(OR(J378=0,AND(J378=1,K378=1),AND(J378=1,I378="SBJ"),AND(J378=1,I378=0)),"?IN_FOCUS",IF(J378&lt;=2,"?ACTIVATED",IF(J378&lt;&gt;"","?FAMILIAR",IF(F378="NEW",IF(ISNA(VLOOKUP(E378,#REF!,1,FALSE())),"?TYPE_IDENTIFIABLE","?REFERENTIAL"),"_")))))</f>
        <v/>
      </c>
      <c r="H378" s="12" t="str">
        <f t="shared" si="17"/>
        <v/>
      </c>
    </row>
    <row r="379" spans="1:8" x14ac:dyDescent="0.35">
      <c r="A379" t="s">
        <v>105</v>
      </c>
      <c r="E379" s="9" t="str">
        <f t="shared" si="16"/>
        <v/>
      </c>
      <c r="F379" s="10" t="str">
        <f>IF(OR(E379="",E379="!!!"),"",IF(NOT(ISNA(VLOOKUP(E379,E$1:E378,1,FALSE()))),"OLD",IF(AND(E379&lt;&gt;"",E379&lt;&gt;"!!!"),"NEW","")))</f>
        <v/>
      </c>
      <c r="G379" s="11" t="str">
        <f>IF(OR(E379="",E379="!!!"),"",IF(OR(J379=0,AND(J379=1,K379=1),AND(J379=1,I379="SBJ"),AND(J379=1,I379=0)),"?IN_FOCUS",IF(J379&lt;=2,"?ACTIVATED",IF(J379&lt;&gt;"","?FAMILIAR",IF(F379="NEW",IF(ISNA(VLOOKUP(E379,#REF!,1,FALSE())),"?TYPE_IDENTIFIABLE","?REFERENTIAL"),"_")))))</f>
        <v/>
      </c>
      <c r="H379" s="12" t="str">
        <f t="shared" si="17"/>
        <v/>
      </c>
    </row>
    <row r="380" spans="1:8" x14ac:dyDescent="0.35">
      <c r="A380" t="s">
        <v>110</v>
      </c>
      <c r="B380" t="s">
        <v>36</v>
      </c>
      <c r="C380" t="s">
        <v>33</v>
      </c>
      <c r="D380" t="s">
        <v>16</v>
      </c>
      <c r="E380" s="9" t="s">
        <v>250</v>
      </c>
      <c r="F380" s="10" t="str">
        <f>IF(OR(E380="",E380="!!!"),"",IF(NOT(ISNA(VLOOKUP(E380,E$1:E379,1,FALSE()))),"OLD",IF(AND(E380&lt;&gt;"",E380&lt;&gt;"!!!"),"NEW","")))</f>
        <v>OLD</v>
      </c>
      <c r="G380" s="11" t="s">
        <v>874</v>
      </c>
      <c r="H380" s="12" t="str">
        <f t="shared" si="17"/>
        <v/>
      </c>
    </row>
    <row r="381" spans="1:8" x14ac:dyDescent="0.35">
      <c r="A381" t="s">
        <v>258</v>
      </c>
      <c r="E381" s="9" t="str">
        <f t="shared" si="16"/>
        <v/>
      </c>
      <c r="F381" s="10" t="str">
        <f>IF(OR(E381="",E381="!!!"),"",IF(NOT(ISNA(VLOOKUP(E381,E$1:E380,1,FALSE()))),"OLD",IF(AND(E381&lt;&gt;"",E381&lt;&gt;"!!!"),"NEW","")))</f>
        <v/>
      </c>
      <c r="G381" s="11" t="str">
        <f>IF(OR(E381="",E381="!!!"),"",IF(OR(J381=0,AND(J381=1,K381=1),AND(J381=1,I381="SBJ"),AND(J381=1,I381=0)),"?IN_FOCUS",IF(J381&lt;=2,"?ACTIVATED",IF(J381&lt;&gt;"","?FAMILIAR",IF(F381="NEW",IF(ISNA(VLOOKUP(E381,#REF!,1,FALSE())),"?TYPE_IDENTIFIABLE","?REFERENTIAL"),"_")))))</f>
        <v/>
      </c>
      <c r="H381" s="12" t="str">
        <f t="shared" si="17"/>
        <v/>
      </c>
    </row>
    <row r="382" spans="1:8" x14ac:dyDescent="0.35">
      <c r="A382" t="s">
        <v>259</v>
      </c>
      <c r="B382" t="s">
        <v>20</v>
      </c>
      <c r="C382" t="s">
        <v>49</v>
      </c>
      <c r="D382" t="s">
        <v>16</v>
      </c>
      <c r="E382" s="9" t="s">
        <v>250</v>
      </c>
      <c r="F382" s="10" t="str">
        <f>IF(OR(E382="",E382="!!!"),"",IF(NOT(ISNA(VLOOKUP(E382,E$1:E381,1,FALSE()))),"OLD",IF(AND(E382&lt;&gt;"",E382&lt;&gt;"!!!"),"NEW","")))</f>
        <v>OLD</v>
      </c>
      <c r="G382" s="11" t="s">
        <v>874</v>
      </c>
      <c r="H382" s="12" t="str">
        <f t="shared" si="17"/>
        <v/>
      </c>
    </row>
    <row r="383" spans="1:8" x14ac:dyDescent="0.35">
      <c r="A383" t="s">
        <v>260</v>
      </c>
      <c r="B383" t="s">
        <v>91</v>
      </c>
      <c r="C383" t="s">
        <v>15</v>
      </c>
      <c r="D383" t="s">
        <v>16</v>
      </c>
      <c r="E383" s="9" t="s">
        <v>262</v>
      </c>
      <c r="F383" s="10" t="s">
        <v>876</v>
      </c>
      <c r="G383" s="11"/>
      <c r="H383" s="12" t="str">
        <f t="shared" si="17"/>
        <v/>
      </c>
    </row>
    <row r="384" spans="1:8" x14ac:dyDescent="0.35">
      <c r="A384" t="s">
        <v>110</v>
      </c>
      <c r="B384" t="s">
        <v>143</v>
      </c>
      <c r="C384" t="s">
        <v>33</v>
      </c>
      <c r="D384" t="s">
        <v>16</v>
      </c>
      <c r="E384" s="9" t="s">
        <v>250</v>
      </c>
      <c r="F384" s="10" t="str">
        <f>IF(OR(E384="",E384="!!!"),"",IF(NOT(ISNA(VLOOKUP(E384,E$1:E383,1,FALSE()))),"OLD",IF(AND(E384&lt;&gt;"",E384&lt;&gt;"!!!"),"NEW","")))</f>
        <v>OLD</v>
      </c>
      <c r="G384" s="11" t="s">
        <v>874</v>
      </c>
      <c r="H384" s="12" t="str">
        <f t="shared" si="17"/>
        <v/>
      </c>
    </row>
    <row r="385" spans="1:8" x14ac:dyDescent="0.35">
      <c r="A385" t="s">
        <v>258</v>
      </c>
      <c r="E385" s="9" t="str">
        <f t="shared" si="16"/>
        <v/>
      </c>
      <c r="F385" s="10" t="str">
        <f>IF(OR(E385="",E385="!!!"),"",IF(NOT(ISNA(VLOOKUP(E385,E$1:E384,1,FALSE()))),"OLD",IF(AND(E385&lt;&gt;"",E385&lt;&gt;"!!!"),"NEW","")))</f>
        <v/>
      </c>
      <c r="G385" s="11" t="str">
        <f>IF(OR(E385="",E385="!!!"),"",IF(OR(J385=0,AND(J385=1,K385=1),AND(J385=1,I385="SBJ"),AND(J385=1,I385=0)),"?IN_FOCUS",IF(J385&lt;=2,"?ACTIVATED",IF(J385&lt;&gt;"","?FAMILIAR",IF(F385="NEW",IF(ISNA(VLOOKUP(E385,#REF!,1,FALSE())),"?TYPE_IDENTIFIABLE","?REFERENTIAL"),"_")))))</f>
        <v/>
      </c>
      <c r="H385" s="12" t="str">
        <f t="shared" si="17"/>
        <v/>
      </c>
    </row>
    <row r="386" spans="1:8" x14ac:dyDescent="0.35">
      <c r="A386" t="s">
        <v>34</v>
      </c>
      <c r="E386" s="9" t="str">
        <f t="shared" si="16"/>
        <v/>
      </c>
      <c r="F386" s="10" t="str">
        <f>IF(OR(E386="",E386="!!!"),"",IF(NOT(ISNA(VLOOKUP(E386,E$1:E385,1,FALSE()))),"OLD",IF(AND(E386&lt;&gt;"",E386&lt;&gt;"!!!"),"NEW","")))</f>
        <v/>
      </c>
      <c r="G386" s="11" t="str">
        <f>IF(OR(E386="",E386="!!!"),"",IF(OR(J386=0,AND(J386=1,K386=1),AND(J386=1,I386="SBJ"),AND(J386=1,I386=0)),"?IN_FOCUS",IF(J386&lt;=2,"?ACTIVATED",IF(J386&lt;&gt;"","?FAMILIAR",IF(F386="NEW",IF(ISNA(VLOOKUP(E386,#REF!,1,FALSE())),"?TYPE_IDENTIFIABLE","?REFERENTIAL"),"_")))))</f>
        <v/>
      </c>
      <c r="H386" s="12" t="str">
        <f t="shared" si="17"/>
        <v/>
      </c>
    </row>
    <row r="387" spans="1:8" x14ac:dyDescent="0.35">
      <c r="A387" t="s">
        <v>261</v>
      </c>
      <c r="E387" s="9" t="str">
        <f t="shared" si="16"/>
        <v/>
      </c>
      <c r="F387" s="10" t="str">
        <f>IF(OR(E387="",E387="!!!"),"",IF(NOT(ISNA(VLOOKUP(E387,E$1:E386,1,FALSE()))),"OLD",IF(AND(E387&lt;&gt;"",E387&lt;&gt;"!!!"),"NEW","")))</f>
        <v/>
      </c>
      <c r="G387" s="11" t="str">
        <f>IF(OR(E387="",E387="!!!"),"",IF(OR(J387=0,AND(J387=1,K387=1),AND(J387=1,I387="SBJ"),AND(J387=1,I387=0)),"?IN_FOCUS",IF(J387&lt;=2,"?ACTIVATED",IF(J387&lt;&gt;"","?FAMILIAR",IF(F387="NEW",IF(ISNA(VLOOKUP(E387,#REF!,1,FALSE())),"?TYPE_IDENTIFIABLE","?REFERENTIAL"),"_")))))</f>
        <v/>
      </c>
      <c r="H387" s="12" t="str">
        <f t="shared" si="17"/>
        <v/>
      </c>
    </row>
    <row r="388" spans="1:8" x14ac:dyDescent="0.35">
      <c r="A388" t="s">
        <v>262</v>
      </c>
      <c r="E388" s="9" t="str">
        <f t="shared" si="16"/>
        <v/>
      </c>
      <c r="F388" s="10" t="str">
        <f>IF(OR(E388="",E388="!!!"),"",IF(NOT(ISNA(VLOOKUP(E388,E$1:E387,1,FALSE()))),"OLD",IF(AND(E388&lt;&gt;"",E388&lt;&gt;"!!!"),"NEW","")))</f>
        <v/>
      </c>
      <c r="G388" s="11" t="str">
        <f>IF(OR(E388="",E388="!!!"),"",IF(OR(J388=0,AND(J388=1,K388=1),AND(J388=1,I388="SBJ"),AND(J388=1,I388=0)),"?IN_FOCUS",IF(J388&lt;=2,"?ACTIVATED",IF(J388&lt;&gt;"","?FAMILIAR",IF(F388="NEW",IF(ISNA(VLOOKUP(E388,#REF!,1,FALSE())),"?TYPE_IDENTIFIABLE","?REFERENTIAL"),"_")))))</f>
        <v/>
      </c>
      <c r="H388" s="12" t="str">
        <f t="shared" si="17"/>
        <v/>
      </c>
    </row>
    <row r="389" spans="1:8" x14ac:dyDescent="0.35">
      <c r="A389" t="s">
        <v>263</v>
      </c>
      <c r="B389" t="s">
        <v>52</v>
      </c>
      <c r="C389" t="s">
        <v>37</v>
      </c>
      <c r="E389" s="9"/>
      <c r="F389" s="10" t="str">
        <f>IF(OR(E389="",E389="!!!"),"",IF(NOT(ISNA(VLOOKUP(E389,E$1:E388,1,FALSE()))),"OLD",IF(AND(E389&lt;&gt;"",E389&lt;&gt;"!!!"),"NEW","")))</f>
        <v/>
      </c>
      <c r="G389" s="11" t="str">
        <f>IF(OR(E389="",E389="!!!"),"",IF(OR(J389=0,AND(J389=1,K389=1),AND(J389=1,I389="SBJ"),AND(J389=1,I389=0)),"?IN_FOCUS",IF(J389&lt;=2,"?ACTIVATED",IF(J389&lt;&gt;"","?FAMILIAR",IF(F389="NEW",IF(ISNA(VLOOKUP(E389,#REF!,1,FALSE())),"?TYPE_IDENTIFIABLE","?REFERENTIAL"),"_")))))</f>
        <v/>
      </c>
      <c r="H389" s="12" t="str">
        <f t="shared" si="17"/>
        <v/>
      </c>
    </row>
    <row r="390" spans="1:8" x14ac:dyDescent="0.35">
      <c r="A390" t="s">
        <v>26</v>
      </c>
      <c r="E390" s="9" t="str">
        <f t="shared" si="16"/>
        <v/>
      </c>
      <c r="F390" s="10" t="str">
        <f>IF(OR(E390="",E390="!!!"),"",IF(NOT(ISNA(VLOOKUP(E390,E$1:E389,1,FALSE()))),"OLD",IF(AND(E390&lt;&gt;"",E390&lt;&gt;"!!!"),"NEW","")))</f>
        <v/>
      </c>
      <c r="G390" s="11" t="str">
        <f>IF(OR(E390="",E390="!!!"),"",IF(OR(J390=0,AND(J390=1,K390=1),AND(J390=1,I390="SBJ"),AND(J390=1,I390=0)),"?IN_FOCUS",IF(J390&lt;=2,"?ACTIVATED",IF(J390&lt;&gt;"","?FAMILIAR",IF(F390="NEW",IF(ISNA(VLOOKUP(E390,#REF!,1,FALSE())),"?TYPE_IDENTIFIABLE","?REFERENTIAL"),"_")))))</f>
        <v/>
      </c>
      <c r="H390" s="12" t="str">
        <f t="shared" si="17"/>
        <v/>
      </c>
    </row>
    <row r="391" spans="1:8" x14ac:dyDescent="0.35">
      <c r="A391" t="s">
        <v>76</v>
      </c>
      <c r="E391" s="9" t="str">
        <f t="shared" si="16"/>
        <v/>
      </c>
      <c r="F391" s="10" t="str">
        <f>IF(OR(E391="",E391="!!!"),"",IF(NOT(ISNA(VLOOKUP(E391,E$1:E390,1,FALSE()))),"OLD",IF(AND(E391&lt;&gt;"",E391&lt;&gt;"!!!"),"NEW","")))</f>
        <v/>
      </c>
      <c r="G391" s="11" t="str">
        <f>IF(OR(E391="",E391="!!!"),"",IF(OR(J391=0,AND(J391=1,K391=1),AND(J391=1,I391="SBJ"),AND(J391=1,I391=0)),"?IN_FOCUS",IF(J391&lt;=2,"?ACTIVATED",IF(J391&lt;&gt;"","?FAMILIAR",IF(F391="NEW",IF(ISNA(VLOOKUP(E391,#REF!,1,FALSE())),"?TYPE_IDENTIFIABLE","?REFERENTIAL"),"_")))))</f>
        <v/>
      </c>
      <c r="H391" s="12" t="str">
        <f t="shared" si="17"/>
        <v/>
      </c>
    </row>
    <row r="392" spans="1:8" x14ac:dyDescent="0.35">
      <c r="A392" t="s">
        <v>105</v>
      </c>
      <c r="E392" s="9" t="str">
        <f t="shared" si="16"/>
        <v/>
      </c>
      <c r="F392" s="10" t="str">
        <f>IF(OR(E392="",E392="!!!"),"",IF(NOT(ISNA(VLOOKUP(E392,E$1:E391,1,FALSE()))),"OLD",IF(AND(E392&lt;&gt;"",E392&lt;&gt;"!!!"),"NEW","")))</f>
        <v/>
      </c>
      <c r="G392" s="11" t="str">
        <f>IF(OR(E392="",E392="!!!"),"",IF(OR(J392=0,AND(J392=1,K392=1),AND(J392=1,I392="SBJ"),AND(J392=1,I392=0)),"?IN_FOCUS",IF(J392&lt;=2,"?ACTIVATED",IF(J392&lt;&gt;"","?FAMILIAR",IF(F392="NEW",IF(ISNA(VLOOKUP(E392,#REF!,1,FALSE())),"?TYPE_IDENTIFIABLE","?REFERENTIAL"),"_")))))</f>
        <v/>
      </c>
      <c r="H392" s="12" t="str">
        <f t="shared" si="17"/>
        <v/>
      </c>
    </row>
    <row r="393" spans="1:8" x14ac:dyDescent="0.35">
      <c r="A393" t="s">
        <v>120</v>
      </c>
      <c r="E393" s="9" t="str">
        <f t="shared" si="16"/>
        <v/>
      </c>
      <c r="F393" s="10" t="str">
        <f>IF(OR(E393="",E393="!!!"),"",IF(NOT(ISNA(VLOOKUP(E393,E$1:E392,1,FALSE()))),"OLD",IF(AND(E393&lt;&gt;"",E393&lt;&gt;"!!!"),"NEW","")))</f>
        <v/>
      </c>
      <c r="G393" s="11" t="str">
        <f>IF(OR(E393="",E393="!!!"),"",IF(OR(J393=0,AND(J393=1,K393=1),AND(J393=1,I393="SBJ"),AND(J393=1,I393=0)),"?IN_FOCUS",IF(J393&lt;=2,"?ACTIVATED",IF(J393&lt;&gt;"","?FAMILIAR",IF(F393="NEW",IF(ISNA(VLOOKUP(E393,#REF!,1,FALSE())),"?TYPE_IDENTIFIABLE","?REFERENTIAL"),"_")))))</f>
        <v/>
      </c>
      <c r="H393" s="12" t="str">
        <f t="shared" si="17"/>
        <v/>
      </c>
    </row>
    <row r="394" spans="1:8" x14ac:dyDescent="0.35">
      <c r="A394" t="s">
        <v>105</v>
      </c>
      <c r="E394" s="9" t="str">
        <f t="shared" si="16"/>
        <v/>
      </c>
      <c r="F394" s="10" t="str">
        <f>IF(OR(E394="",E394="!!!"),"",IF(NOT(ISNA(VLOOKUP(E394,E$1:E393,1,FALSE()))),"OLD",IF(AND(E394&lt;&gt;"",E394&lt;&gt;"!!!"),"NEW","")))</f>
        <v/>
      </c>
      <c r="G394" s="11" t="str">
        <f>IF(OR(E394="",E394="!!!"),"",IF(OR(J394=0,AND(J394=1,K394=1),AND(J394=1,I394="SBJ"),AND(J394=1,I394=0)),"?IN_FOCUS",IF(J394&lt;=2,"?ACTIVATED",IF(J394&lt;&gt;"","?FAMILIAR",IF(F394="NEW",IF(ISNA(VLOOKUP(E394,#REF!,1,FALSE())),"?TYPE_IDENTIFIABLE","?REFERENTIAL"),"_")))))</f>
        <v/>
      </c>
      <c r="H394" s="12" t="str">
        <f t="shared" si="17"/>
        <v/>
      </c>
    </row>
    <row r="395" spans="1:8" x14ac:dyDescent="0.35">
      <c r="A395" t="s">
        <v>110</v>
      </c>
      <c r="B395" t="s">
        <v>82</v>
      </c>
      <c r="C395" t="s">
        <v>33</v>
      </c>
      <c r="D395" t="s">
        <v>16</v>
      </c>
      <c r="E395" s="9" t="s">
        <v>250</v>
      </c>
      <c r="F395" s="10" t="str">
        <f>IF(OR(E395="",E395="!!!"),"",IF(NOT(ISNA(VLOOKUP(E395,E$1:E394,1,FALSE()))),"OLD",IF(AND(E395&lt;&gt;"",E395&lt;&gt;"!!!"),"NEW","")))</f>
        <v>OLD</v>
      </c>
      <c r="G395" s="11" t="s">
        <v>870</v>
      </c>
      <c r="H395" s="12" t="str">
        <f t="shared" si="17"/>
        <v/>
      </c>
    </row>
    <row r="396" spans="1:8" x14ac:dyDescent="0.35">
      <c r="A396" t="s">
        <v>258</v>
      </c>
      <c r="E396" s="9" t="str">
        <f t="shared" si="16"/>
        <v/>
      </c>
      <c r="F396" s="10" t="str">
        <f>IF(OR(E396="",E396="!!!"),"",IF(NOT(ISNA(VLOOKUP(E396,E$1:E395,1,FALSE()))),"OLD",IF(AND(E396&lt;&gt;"",E396&lt;&gt;"!!!"),"NEW","")))</f>
        <v/>
      </c>
      <c r="G396" s="11" t="str">
        <f>IF(OR(E396="",E396="!!!"),"",IF(OR(J396=0,AND(J396=1,K396=1),AND(J396=1,I396="SBJ"),AND(J396=1,I396=0)),"?IN_FOCUS",IF(J396&lt;=2,"?ACTIVATED",IF(J396&lt;&gt;"","?FAMILIAR",IF(F396="NEW",IF(ISNA(VLOOKUP(E396,#REF!,1,FALSE())),"?TYPE_IDENTIFIABLE","?REFERENTIAL"),"_")))))</f>
        <v/>
      </c>
      <c r="H396" s="12" t="str">
        <f t="shared" si="17"/>
        <v/>
      </c>
    </row>
    <row r="397" spans="1:8" x14ac:dyDescent="0.35">
      <c r="A397" t="s">
        <v>259</v>
      </c>
      <c r="B397" t="s">
        <v>264</v>
      </c>
      <c r="C397" t="s">
        <v>49</v>
      </c>
      <c r="D397" t="s">
        <v>16</v>
      </c>
      <c r="E397" s="9" t="s">
        <v>250</v>
      </c>
      <c r="F397" s="10" t="str">
        <f>IF(OR(E397="",E397="!!!"),"",IF(NOT(ISNA(VLOOKUP(E397,E$1:E396,1,FALSE()))),"OLD",IF(AND(E397&lt;&gt;"",E397&lt;&gt;"!!!"),"NEW","")))</f>
        <v>OLD</v>
      </c>
      <c r="G397" s="11" t="s">
        <v>870</v>
      </c>
      <c r="H397" s="12" t="str">
        <f t="shared" si="17"/>
        <v/>
      </c>
    </row>
    <row r="398" spans="1:8" x14ac:dyDescent="0.35">
      <c r="A398" t="s">
        <v>261</v>
      </c>
      <c r="E398" s="9" t="str">
        <f t="shared" si="16"/>
        <v/>
      </c>
      <c r="F398" s="10" t="str">
        <f>IF(OR(E398="",E398="!!!"),"",IF(NOT(ISNA(VLOOKUP(E398,E$1:E397,1,FALSE()))),"OLD",IF(AND(E398&lt;&gt;"",E398&lt;&gt;"!!!"),"NEW","")))</f>
        <v/>
      </c>
      <c r="G398" s="11" t="str">
        <f>IF(OR(E398="",E398="!!!"),"",IF(OR(J398=0,AND(J398=1,K398=1),AND(J398=1,I398="SBJ"),AND(J398=1,I398=0)),"?IN_FOCUS",IF(J398&lt;=2,"?ACTIVATED",IF(J398&lt;&gt;"","?FAMILIAR",IF(F398="NEW",IF(ISNA(VLOOKUP(E398,#REF!,1,FALSE())),"?TYPE_IDENTIFIABLE","?REFERENTIAL"),"_")))))</f>
        <v/>
      </c>
      <c r="H398" s="12" t="str">
        <f t="shared" si="17"/>
        <v/>
      </c>
    </row>
    <row r="399" spans="1:8" x14ac:dyDescent="0.35">
      <c r="A399" t="s">
        <v>262</v>
      </c>
      <c r="E399" s="9" t="str">
        <f t="shared" si="16"/>
        <v/>
      </c>
      <c r="F399" s="10" t="str">
        <f>IF(OR(E399="",E399="!!!"),"",IF(NOT(ISNA(VLOOKUP(E399,E$1:E398,1,FALSE()))),"OLD",IF(AND(E399&lt;&gt;"",E399&lt;&gt;"!!!"),"NEW","")))</f>
        <v/>
      </c>
      <c r="G399" s="11" t="str">
        <f>IF(OR(E399="",E399="!!!"),"",IF(OR(J399=0,AND(J399=1,K399=1),AND(J399=1,I399="SBJ"),AND(J399=1,I399=0)),"?IN_FOCUS",IF(J399&lt;=2,"?ACTIVATED",IF(J399&lt;&gt;"","?FAMILIAR",IF(F399="NEW",IF(ISNA(VLOOKUP(E399,#REF!,1,FALSE())),"?TYPE_IDENTIFIABLE","?REFERENTIAL"),"_")))))</f>
        <v/>
      </c>
      <c r="H399" s="12" t="str">
        <f t="shared" si="17"/>
        <v/>
      </c>
    </row>
    <row r="400" spans="1:8" x14ac:dyDescent="0.35">
      <c r="A400" t="s">
        <v>263</v>
      </c>
      <c r="B400" t="s">
        <v>265</v>
      </c>
      <c r="C400" t="s">
        <v>108</v>
      </c>
      <c r="E400" s="9" t="str">
        <f t="shared" si="16"/>
        <v/>
      </c>
      <c r="F400" s="10" t="str">
        <f>IF(OR(E400="",E400="!!!"),"",IF(NOT(ISNA(VLOOKUP(E400,E$1:E399,1,FALSE()))),"OLD",IF(AND(E400&lt;&gt;"",E400&lt;&gt;"!!!"),"NEW","")))</f>
        <v/>
      </c>
      <c r="G400" s="11" t="str">
        <f>IF(OR(E400="",E400="!!!"),"",IF(OR(J400=0,AND(J400=1,K400=1),AND(J400=1,I400="SBJ"),AND(J400=1,I400=0)),"?IN_FOCUS",IF(J400&lt;=2,"?ACTIVATED",IF(J400&lt;&gt;"","?FAMILIAR",IF(F400="NEW",IF(ISNA(VLOOKUP(E400,#REF!,1,FALSE())),"?TYPE_IDENTIFIABLE","?REFERENTIAL"),"_")))))</f>
        <v/>
      </c>
      <c r="H400" s="12" t="str">
        <f t="shared" si="17"/>
        <v/>
      </c>
    </row>
    <row r="401" spans="1:8" x14ac:dyDescent="0.35">
      <c r="A401" t="s">
        <v>110</v>
      </c>
      <c r="B401" t="s">
        <v>266</v>
      </c>
      <c r="C401" t="s">
        <v>33</v>
      </c>
      <c r="D401" t="s">
        <v>16</v>
      </c>
      <c r="E401" s="9" t="s">
        <v>250</v>
      </c>
      <c r="F401" s="10" t="str">
        <f>IF(OR(E401="",E401="!!!"),"",IF(NOT(ISNA(VLOOKUP(E401,E$1:E400,1,FALSE()))),"OLD",IF(AND(E401&lt;&gt;"",E401&lt;&gt;"!!!"),"NEW","")))</f>
        <v>OLD</v>
      </c>
      <c r="G401" s="11" t="s">
        <v>870</v>
      </c>
      <c r="H401" s="12" t="str">
        <f t="shared" si="17"/>
        <v/>
      </c>
    </row>
    <row r="402" spans="1:8" x14ac:dyDescent="0.35">
      <c r="A402" t="s">
        <v>258</v>
      </c>
      <c r="E402" s="9" t="str">
        <f t="shared" si="16"/>
        <v/>
      </c>
      <c r="F402" s="10" t="str">
        <f>IF(OR(E402="",E402="!!!"),"",IF(NOT(ISNA(VLOOKUP(E402,E$1:E401,1,FALSE()))),"OLD",IF(AND(E402&lt;&gt;"",E402&lt;&gt;"!!!"),"NEW","")))</f>
        <v/>
      </c>
      <c r="G402" s="11" t="str">
        <f>IF(OR(E402="",E402="!!!"),"",IF(OR(J402=0,AND(J402=1,K402=1),AND(J402=1,I402="SBJ"),AND(J402=1,I402=0)),"?IN_FOCUS",IF(J402&lt;=2,"?ACTIVATED",IF(J402&lt;&gt;"","?FAMILIAR",IF(F402="NEW",IF(ISNA(VLOOKUP(E402,#REF!,1,FALSE())),"?TYPE_IDENTIFIABLE","?REFERENTIAL"),"_")))))</f>
        <v/>
      </c>
      <c r="H402" s="12" t="str">
        <f t="shared" si="17"/>
        <v/>
      </c>
    </row>
    <row r="403" spans="1:8" x14ac:dyDescent="0.35">
      <c r="A403" t="s">
        <v>267</v>
      </c>
      <c r="B403" t="s">
        <v>268</v>
      </c>
      <c r="C403" t="s">
        <v>142</v>
      </c>
      <c r="D403" t="s">
        <v>16</v>
      </c>
      <c r="E403" s="9" t="s">
        <v>262</v>
      </c>
      <c r="F403" s="10" t="s">
        <v>876</v>
      </c>
      <c r="G403" s="11"/>
      <c r="H403" s="12" t="str">
        <f t="shared" si="17"/>
        <v/>
      </c>
    </row>
    <row r="404" spans="1:8" x14ac:dyDescent="0.35">
      <c r="A404" t="s">
        <v>123</v>
      </c>
      <c r="E404" s="9" t="str">
        <f t="shared" si="16"/>
        <v/>
      </c>
      <c r="F404" s="10" t="str">
        <f>IF(OR(E404="",E404="!!!"),"",IF(NOT(ISNA(VLOOKUP(E404,E$1:E403,1,FALSE()))),"OLD",IF(AND(E404&lt;&gt;"",E404&lt;&gt;"!!!"),"NEW","")))</f>
        <v/>
      </c>
      <c r="G404" s="11" t="str">
        <f>IF(OR(E404="",E404="!!!"),"",IF(OR(J404=0,AND(J404=1,K404=1),AND(J404=1,I404="SBJ"),AND(J404=1,I404=0)),"?IN_FOCUS",IF(J404&lt;=2,"?ACTIVATED",IF(J404&lt;&gt;"","?FAMILIAR",IF(F404="NEW",IF(ISNA(VLOOKUP(E404,#REF!,1,FALSE())),"?TYPE_IDENTIFIABLE","?REFERENTIAL"),"_")))))</f>
        <v/>
      </c>
      <c r="H404" s="12" t="str">
        <f t="shared" si="17"/>
        <v/>
      </c>
    </row>
    <row r="405" spans="1:8" x14ac:dyDescent="0.35">
      <c r="A405" t="s">
        <v>31</v>
      </c>
      <c r="B405" t="s">
        <v>269</v>
      </c>
      <c r="C405" t="s">
        <v>33</v>
      </c>
      <c r="D405" t="s">
        <v>16</v>
      </c>
      <c r="E405" s="9" t="s">
        <v>881</v>
      </c>
      <c r="F405" s="10" t="str">
        <f>IF(OR(E405="",E405="!!!"),"",IF(NOT(ISNA(VLOOKUP(E405,E$1:E404,1,FALSE()))),"OLD",IF(AND(E405&lt;&gt;"",E405&lt;&gt;"!!!"),"NEW","")))</f>
        <v>NEW</v>
      </c>
      <c r="G405" s="11" t="s">
        <v>870</v>
      </c>
      <c r="H405" s="12" t="str">
        <f t="shared" si="17"/>
        <v/>
      </c>
    </row>
    <row r="406" spans="1:8" x14ac:dyDescent="0.35">
      <c r="A406" t="s">
        <v>63</v>
      </c>
      <c r="E406" s="9" t="str">
        <f t="shared" si="16"/>
        <v/>
      </c>
      <c r="F406" s="10" t="str">
        <f>IF(OR(E406="",E406="!!!"),"",IF(NOT(ISNA(VLOOKUP(E406,E$1:E405,1,FALSE()))),"OLD",IF(AND(E406&lt;&gt;"",E406&lt;&gt;"!!!"),"NEW","")))</f>
        <v/>
      </c>
      <c r="G406" s="11" t="str">
        <f>IF(OR(E406="",E406="!!!"),"",IF(OR(J406=0,AND(J406=1,K406=1),AND(J406=1,I406="SBJ"),AND(J406=1,I406=0)),"?IN_FOCUS",IF(J406&lt;=2,"?ACTIVATED",IF(J406&lt;&gt;"","?FAMILIAR",IF(F406="NEW",IF(ISNA(VLOOKUP(E406,#REF!,1,FALSE())),"?TYPE_IDENTIFIABLE","?REFERENTIAL"),"_")))))</f>
        <v/>
      </c>
      <c r="H406" s="12" t="str">
        <f t="shared" si="17"/>
        <v/>
      </c>
    </row>
    <row r="407" spans="1:8" x14ac:dyDescent="0.35">
      <c r="A407" t="s">
        <v>246</v>
      </c>
      <c r="E407" s="9" t="str">
        <f t="shared" si="16"/>
        <v/>
      </c>
      <c r="F407" s="10" t="str">
        <f>IF(OR(E407="",E407="!!!"),"",IF(NOT(ISNA(VLOOKUP(E407,E$1:E406,1,FALSE()))),"OLD",IF(AND(E407&lt;&gt;"",E407&lt;&gt;"!!!"),"NEW","")))</f>
        <v/>
      </c>
      <c r="G407" s="11" t="str">
        <f>IF(OR(E407="",E407="!!!"),"",IF(OR(J407=0,AND(J407=1,K407=1),AND(J407=1,I407="SBJ"),AND(J407=1,I407=0)),"?IN_FOCUS",IF(J407&lt;=2,"?ACTIVATED",IF(J407&lt;&gt;"","?FAMILIAR",IF(F407="NEW",IF(ISNA(VLOOKUP(E407,#REF!,1,FALSE())),"?TYPE_IDENTIFIABLE","?REFERENTIAL"),"_")))))</f>
        <v/>
      </c>
      <c r="H407" s="12" t="str">
        <f t="shared" si="17"/>
        <v/>
      </c>
    </row>
    <row r="408" spans="1:8" x14ac:dyDescent="0.35">
      <c r="E408" s="9" t="str">
        <f t="shared" si="16"/>
        <v/>
      </c>
      <c r="F408" s="10" t="str">
        <f>IF(OR(E408="",E408="!!!"),"",IF(NOT(ISNA(VLOOKUP(E408,E$1:E407,1,FALSE()))),"OLD",IF(AND(E408&lt;&gt;"",E408&lt;&gt;"!!!"),"NEW","")))</f>
        <v/>
      </c>
      <c r="G408" s="11" t="str">
        <f>IF(OR(E408="",E408="!!!"),"",IF(OR(J408=0,AND(J408=1,K408=1),AND(J408=1,I408="SBJ"),AND(J408=1,I408=0)),"?IN_FOCUS",IF(J408&lt;=2,"?ACTIVATED",IF(J408&lt;&gt;"","?FAMILIAR",IF(F408="NEW",IF(ISNA(VLOOKUP(E408,#REF!,1,FALSE())),"?TYPE_IDENTIFIABLE","?REFERENTIAL"),"_")))))</f>
        <v/>
      </c>
      <c r="H408" s="12" t="str">
        <f t="shared" si="17"/>
        <v/>
      </c>
    </row>
    <row r="409" spans="1:8" x14ac:dyDescent="0.35">
      <c r="A409" t="s">
        <v>244</v>
      </c>
      <c r="E409" s="9" t="str">
        <f t="shared" si="16"/>
        <v/>
      </c>
      <c r="F409" s="10" t="str">
        <f>IF(OR(E409="",E409="!!!"),"",IF(NOT(ISNA(VLOOKUP(E409,E$1:E408,1,FALSE()))),"OLD",IF(AND(E409&lt;&gt;"",E409&lt;&gt;"!!!"),"NEW","")))</f>
        <v/>
      </c>
      <c r="G409" s="11" t="str">
        <f>IF(OR(E409="",E409="!!!"),"",IF(OR(J409=0,AND(J409=1,K409=1),AND(J409=1,I409="SBJ"),AND(J409=1,I409=0)),"?IN_FOCUS",IF(J409&lt;=2,"?ACTIVATED",IF(J409&lt;&gt;"","?FAMILIAR",IF(F409="NEW",IF(ISNA(VLOOKUP(E409,#REF!,1,FALSE())),"?TYPE_IDENTIFIABLE","?REFERENTIAL"),"_")))))</f>
        <v/>
      </c>
      <c r="H409" s="12" t="str">
        <f t="shared" si="17"/>
        <v/>
      </c>
    </row>
    <row r="410" spans="1:8" x14ac:dyDescent="0.35">
      <c r="A410" t="s">
        <v>270</v>
      </c>
      <c r="E410" s="9" t="str">
        <f t="shared" si="16"/>
        <v/>
      </c>
      <c r="F410" s="10" t="str">
        <f>IF(OR(E410="",E410="!!!"),"",IF(NOT(ISNA(VLOOKUP(E410,E$1:E409,1,FALSE()))),"OLD",IF(AND(E410&lt;&gt;"",E410&lt;&gt;"!!!"),"NEW","")))</f>
        <v/>
      </c>
      <c r="G410" s="11" t="str">
        <f>IF(OR(E410="",E410="!!!"),"",IF(OR(J410=0,AND(J410=1,K410=1),AND(J410=1,I410="SBJ"),AND(J410=1,I410=0)),"?IN_FOCUS",IF(J410&lt;=2,"?ACTIVATED",IF(J410&lt;&gt;"","?FAMILIAR",IF(F410="NEW",IF(ISNA(VLOOKUP(E410,#REF!,1,FALSE())),"?TYPE_IDENTIFIABLE","?REFERENTIAL"),"_")))))</f>
        <v/>
      </c>
      <c r="H410" s="12" t="str">
        <f t="shared" si="17"/>
        <v/>
      </c>
    </row>
    <row r="411" spans="1:8" x14ac:dyDescent="0.35">
      <c r="A411" t="s">
        <v>246</v>
      </c>
      <c r="E411" s="9" t="str">
        <f t="shared" si="16"/>
        <v/>
      </c>
      <c r="F411" s="10" t="str">
        <f>IF(OR(E411="",E411="!!!"),"",IF(NOT(ISNA(VLOOKUP(E411,E$1:E410,1,FALSE()))),"OLD",IF(AND(E411&lt;&gt;"",E411&lt;&gt;"!!!"),"NEW","")))</f>
        <v/>
      </c>
      <c r="G411" s="11" t="str">
        <f>IF(OR(E411="",E411="!!!"),"",IF(OR(J411=0,AND(J411=1,K411=1),AND(J411=1,I411="SBJ"),AND(J411=1,I411=0)),"?IN_FOCUS",IF(J411&lt;=2,"?ACTIVATED",IF(J411&lt;&gt;"","?FAMILIAR",IF(F411="NEW",IF(ISNA(VLOOKUP(E411,#REF!,1,FALSE())),"?TYPE_IDENTIFIABLE","?REFERENTIAL"),"_")))))</f>
        <v/>
      </c>
      <c r="H411" s="12" t="str">
        <f t="shared" si="17"/>
        <v/>
      </c>
    </row>
    <row r="412" spans="1:8" x14ac:dyDescent="0.35">
      <c r="A412" t="s">
        <v>271</v>
      </c>
      <c r="E412" s="9" t="str">
        <f t="shared" si="16"/>
        <v/>
      </c>
      <c r="F412" s="10" t="str">
        <f>IF(OR(E412="",E412="!!!"),"",IF(NOT(ISNA(VLOOKUP(E412,E$1:E411,1,FALSE()))),"OLD",IF(AND(E412&lt;&gt;"",E412&lt;&gt;"!!!"),"NEW","")))</f>
        <v/>
      </c>
      <c r="G412" s="11" t="str">
        <f>IF(OR(E412="",E412="!!!"),"",IF(OR(J412=0,AND(J412=1,K412=1),AND(J412=1,I412="SBJ"),AND(J412=1,I412=0)),"?IN_FOCUS",IF(J412&lt;=2,"?ACTIVATED",IF(J412&lt;&gt;"","?FAMILIAR",IF(F412="NEW",IF(ISNA(VLOOKUP(E412,#REF!,1,FALSE())),"?TYPE_IDENTIFIABLE","?REFERENTIAL"),"_")))))</f>
        <v/>
      </c>
      <c r="H412" s="12" t="str">
        <f t="shared" si="17"/>
        <v/>
      </c>
    </row>
    <row r="413" spans="1:8" x14ac:dyDescent="0.35">
      <c r="A413" t="s">
        <v>272</v>
      </c>
      <c r="E413" s="9" t="str">
        <f t="shared" si="16"/>
        <v/>
      </c>
      <c r="F413" s="10" t="str">
        <f>IF(OR(E413="",E413="!!!"),"",IF(NOT(ISNA(VLOOKUP(E413,E$1:E412,1,FALSE()))),"OLD",IF(AND(E413&lt;&gt;"",E413&lt;&gt;"!!!"),"NEW","")))</f>
        <v/>
      </c>
      <c r="G413" s="11" t="str">
        <f>IF(OR(E413="",E413="!!!"),"",IF(OR(J413=0,AND(J413=1,K413=1),AND(J413=1,I413="SBJ"),AND(J413=1,I413=0)),"?IN_FOCUS",IF(J413&lt;=2,"?ACTIVATED",IF(J413&lt;&gt;"","?FAMILIAR",IF(F413="NEW",IF(ISNA(VLOOKUP(E413,#REF!,1,FALSE())),"?TYPE_IDENTIFIABLE","?REFERENTIAL"),"_")))))</f>
        <v/>
      </c>
      <c r="H413" s="12" t="str">
        <f t="shared" si="17"/>
        <v/>
      </c>
    </row>
    <row r="414" spans="1:8" x14ac:dyDescent="0.35">
      <c r="E414" s="9" t="str">
        <f t="shared" si="16"/>
        <v/>
      </c>
      <c r="F414" s="10" t="str">
        <f>IF(OR(E414="",E414="!!!"),"",IF(NOT(ISNA(VLOOKUP(E414,E$1:E413,1,FALSE()))),"OLD",IF(AND(E414&lt;&gt;"",E414&lt;&gt;"!!!"),"NEW","")))</f>
        <v/>
      </c>
      <c r="G414" s="11" t="str">
        <f>IF(OR(E414="",E414="!!!"),"",IF(OR(J414=0,AND(J414=1,K414=1),AND(J414=1,I414="SBJ"),AND(J414=1,I414=0)),"?IN_FOCUS",IF(J414&lt;=2,"?ACTIVATED",IF(J414&lt;&gt;"","?FAMILIAR",IF(F414="NEW",IF(ISNA(VLOOKUP(E414,#REF!,1,FALSE())),"?TYPE_IDENTIFIABLE","?REFERENTIAL"),"_")))))</f>
        <v/>
      </c>
      <c r="H414" s="12" t="str">
        <f t="shared" si="17"/>
        <v/>
      </c>
    </row>
    <row r="415" spans="1:8" x14ac:dyDescent="0.35">
      <c r="A415" t="s">
        <v>244</v>
      </c>
      <c r="E415" s="9" t="str">
        <f t="shared" si="16"/>
        <v/>
      </c>
      <c r="F415" s="10" t="str">
        <f>IF(OR(E415="",E415="!!!"),"",IF(NOT(ISNA(VLOOKUP(E415,E$1:E414,1,FALSE()))),"OLD",IF(AND(E415&lt;&gt;"",E415&lt;&gt;"!!!"),"NEW","")))</f>
        <v/>
      </c>
      <c r="G415" s="11" t="str">
        <f>IF(OR(E415="",E415="!!!"),"",IF(OR(J415=0,AND(J415=1,K415=1),AND(J415=1,I415="SBJ"),AND(J415=1,I415=0)),"?IN_FOCUS",IF(J415&lt;=2,"?ACTIVATED",IF(J415&lt;&gt;"","?FAMILIAR",IF(F415="NEW",IF(ISNA(VLOOKUP(E415,#REF!,1,FALSE())),"?TYPE_IDENTIFIABLE","?REFERENTIAL"),"_")))))</f>
        <v/>
      </c>
      <c r="H415" s="12" t="str">
        <f t="shared" si="17"/>
        <v/>
      </c>
    </row>
    <row r="416" spans="1:8" x14ac:dyDescent="0.35">
      <c r="A416" t="s">
        <v>273</v>
      </c>
      <c r="E416" s="9" t="str">
        <f t="shared" si="16"/>
        <v/>
      </c>
      <c r="F416" s="10" t="str">
        <f>IF(OR(E416="",E416="!!!"),"",IF(NOT(ISNA(VLOOKUP(E416,E$1:E415,1,FALSE()))),"OLD",IF(AND(E416&lt;&gt;"",E416&lt;&gt;"!!!"),"NEW","")))</f>
        <v/>
      </c>
      <c r="G416" s="11" t="str">
        <f>IF(OR(E416="",E416="!!!"),"",IF(OR(J416=0,AND(J416=1,K416=1),AND(J416=1,I416="SBJ"),AND(J416=1,I416=0)),"?IN_FOCUS",IF(J416&lt;=2,"?ACTIVATED",IF(J416&lt;&gt;"","?FAMILIAR",IF(F416="NEW",IF(ISNA(VLOOKUP(E416,#REF!,1,FALSE())),"?TYPE_IDENTIFIABLE","?REFERENTIAL"),"_")))))</f>
        <v/>
      </c>
      <c r="H416" s="12" t="str">
        <f t="shared" si="17"/>
        <v/>
      </c>
    </row>
    <row r="417" spans="1:8" x14ac:dyDescent="0.35">
      <c r="A417" t="s">
        <v>156</v>
      </c>
      <c r="B417" t="s">
        <v>24</v>
      </c>
      <c r="C417" t="s">
        <v>49</v>
      </c>
      <c r="D417" t="s">
        <v>16</v>
      </c>
      <c r="E417" s="9" t="s">
        <v>868</v>
      </c>
      <c r="F417" s="10" t="str">
        <f>IF(OR(E417="",E417="!!!"),"",IF(NOT(ISNA(VLOOKUP(E417,E$1:E416,1,FALSE()))),"OLD",IF(AND(E417&lt;&gt;"",E417&lt;&gt;"!!!"),"NEW","")))</f>
        <v>OLD</v>
      </c>
      <c r="G417" s="11" t="s">
        <v>874</v>
      </c>
      <c r="H417" s="12" t="str">
        <f t="shared" si="17"/>
        <v/>
      </c>
    </row>
    <row r="418" spans="1:8" x14ac:dyDescent="0.35">
      <c r="A418" t="s">
        <v>274</v>
      </c>
      <c r="B418" t="s">
        <v>14</v>
      </c>
      <c r="C418" t="s">
        <v>15</v>
      </c>
      <c r="D418" t="s">
        <v>16</v>
      </c>
      <c r="E418" s="9" t="s">
        <v>365</v>
      </c>
      <c r="F418" s="10" t="str">
        <f>IF(OR(E418="",E418="!!!"),"",IF(NOT(ISNA(VLOOKUP(E418,E$1:E417,1,FALSE()))),"OLD",IF(AND(E418&lt;&gt;"",E418&lt;&gt;"!!!"),"NEW","")))</f>
        <v>OLD</v>
      </c>
      <c r="G418" s="11" t="s">
        <v>870</v>
      </c>
      <c r="H418" s="12" t="str">
        <f t="shared" si="17"/>
        <v/>
      </c>
    </row>
    <row r="419" spans="1:8" x14ac:dyDescent="0.35">
      <c r="A419" t="s">
        <v>76</v>
      </c>
      <c r="E419" s="9" t="str">
        <f t="shared" si="16"/>
        <v/>
      </c>
      <c r="F419" s="10" t="str">
        <f>IF(OR(E419="",E419="!!!"),"",IF(NOT(ISNA(VLOOKUP(E419,E$1:E418,1,FALSE()))),"OLD",IF(AND(E419&lt;&gt;"",E419&lt;&gt;"!!!"),"NEW","")))</f>
        <v/>
      </c>
      <c r="G419" s="11" t="str">
        <f>IF(OR(E419="",E419="!!!"),"",IF(OR(J419=0,AND(J419=1,K419=1),AND(J419=1,I419="SBJ"),AND(J419=1,I419=0)),"?IN_FOCUS",IF(J419&lt;=2,"?ACTIVATED",IF(J419&lt;&gt;"","?FAMILIAR",IF(F419="NEW",IF(ISNA(VLOOKUP(E419,#REF!,1,FALSE())),"?TYPE_IDENTIFIABLE","?REFERENTIAL"),"_")))))</f>
        <v/>
      </c>
      <c r="H419" s="12" t="str">
        <f t="shared" si="17"/>
        <v/>
      </c>
    </row>
    <row r="420" spans="1:8" x14ac:dyDescent="0.35">
      <c r="A420" t="s">
        <v>110</v>
      </c>
      <c r="B420" t="s">
        <v>24</v>
      </c>
      <c r="C420" t="s">
        <v>33</v>
      </c>
      <c r="D420" t="s">
        <v>16</v>
      </c>
      <c r="E420" s="9" t="s">
        <v>868</v>
      </c>
      <c r="F420" s="10" t="str">
        <f>IF(OR(E420="",E420="!!!"),"",IF(NOT(ISNA(VLOOKUP(E420,E$1:E419,1,FALSE()))),"OLD",IF(AND(E420&lt;&gt;"",E420&lt;&gt;"!!!"),"NEW","")))</f>
        <v>OLD</v>
      </c>
      <c r="G420" s="11" t="s">
        <v>870</v>
      </c>
      <c r="H420" s="12" t="str">
        <f t="shared" si="17"/>
        <v/>
      </c>
    </row>
    <row r="421" spans="1:8" x14ac:dyDescent="0.35">
      <c r="A421" t="s">
        <v>275</v>
      </c>
      <c r="E421" s="9" t="str">
        <f t="shared" si="16"/>
        <v/>
      </c>
      <c r="F421" s="10" t="str">
        <f>IF(OR(E421="",E421="!!!"),"",IF(NOT(ISNA(VLOOKUP(E421,E$1:E420,1,FALSE()))),"OLD",IF(AND(E421&lt;&gt;"",E421&lt;&gt;"!!!"),"NEW","")))</f>
        <v/>
      </c>
      <c r="G421" s="11" t="str">
        <f>IF(OR(E421="",E421="!!!"),"",IF(OR(J421=0,AND(J421=1,K421=1),AND(J421=1,I421="SBJ"),AND(J421=1,I421=0)),"?IN_FOCUS",IF(J421&lt;=2,"?ACTIVATED",IF(J421&lt;&gt;"","?FAMILIAR",IF(F421="NEW",IF(ISNA(VLOOKUP(E421,#REF!,1,FALSE())),"?TYPE_IDENTIFIABLE","?REFERENTIAL"),"_")))))</f>
        <v/>
      </c>
      <c r="H421" s="12" t="str">
        <f t="shared" si="17"/>
        <v/>
      </c>
    </row>
    <row r="422" spans="1:8" x14ac:dyDescent="0.35">
      <c r="A422" t="s">
        <v>87</v>
      </c>
      <c r="E422" s="9" t="str">
        <f t="shared" si="16"/>
        <v/>
      </c>
      <c r="F422" s="10" t="str">
        <f>IF(OR(E422="",E422="!!!"),"",IF(NOT(ISNA(VLOOKUP(E422,E$1:E421,1,FALSE()))),"OLD",IF(AND(E422&lt;&gt;"",E422&lt;&gt;"!!!"),"NEW","")))</f>
        <v/>
      </c>
      <c r="G422" s="11" t="str">
        <f>IF(OR(E422="",E422="!!!"),"",IF(OR(J422=0,AND(J422=1,K422=1),AND(J422=1,I422="SBJ"),AND(J422=1,I422=0)),"?IN_FOCUS",IF(J422&lt;=2,"?ACTIVATED",IF(J422&lt;&gt;"","?FAMILIAR",IF(F422="NEW",IF(ISNA(VLOOKUP(E422,#REF!,1,FALSE())),"?TYPE_IDENTIFIABLE","?REFERENTIAL"),"_")))))</f>
        <v/>
      </c>
      <c r="H422" s="12" t="str">
        <f t="shared" si="17"/>
        <v/>
      </c>
    </row>
    <row r="423" spans="1:8" x14ac:dyDescent="0.35">
      <c r="A423" t="s">
        <v>276</v>
      </c>
      <c r="E423" s="9" t="str">
        <f t="shared" si="16"/>
        <v/>
      </c>
      <c r="F423" s="10" t="str">
        <f>IF(OR(E423="",E423="!!!"),"",IF(NOT(ISNA(VLOOKUP(E423,E$1:E422,1,FALSE()))),"OLD",IF(AND(E423&lt;&gt;"",E423&lt;&gt;"!!!"),"NEW","")))</f>
        <v/>
      </c>
      <c r="G423" s="11" t="str">
        <f>IF(OR(E423="",E423="!!!"),"",IF(OR(J423=0,AND(J423=1,K423=1),AND(J423=1,I423="SBJ"),AND(J423=1,I423=0)),"?IN_FOCUS",IF(J423&lt;=2,"?ACTIVATED",IF(J423&lt;&gt;"","?FAMILIAR",IF(F423="NEW",IF(ISNA(VLOOKUP(E423,#REF!,1,FALSE())),"?TYPE_IDENTIFIABLE","?REFERENTIAL"),"_")))))</f>
        <v/>
      </c>
      <c r="H423" s="12" t="str">
        <f t="shared" si="17"/>
        <v/>
      </c>
    </row>
    <row r="424" spans="1:8" x14ac:dyDescent="0.35">
      <c r="A424" t="s">
        <v>103</v>
      </c>
      <c r="E424" s="9" t="str">
        <f t="shared" si="16"/>
        <v/>
      </c>
      <c r="F424" s="10" t="str">
        <f>IF(OR(E424="",E424="!!!"),"",IF(NOT(ISNA(VLOOKUP(E424,E$1:E423,1,FALSE()))),"OLD",IF(AND(E424&lt;&gt;"",E424&lt;&gt;"!!!"),"NEW","")))</f>
        <v/>
      </c>
      <c r="G424" s="11" t="str">
        <f>IF(OR(E424="",E424="!!!"),"",IF(OR(J424=0,AND(J424=1,K424=1),AND(J424=1,I424="SBJ"),AND(J424=1,I424=0)),"?IN_FOCUS",IF(J424&lt;=2,"?ACTIVATED",IF(J424&lt;&gt;"","?FAMILIAR",IF(F424="NEW",IF(ISNA(VLOOKUP(E424,#REF!,1,FALSE())),"?TYPE_IDENTIFIABLE","?REFERENTIAL"),"_")))))</f>
        <v/>
      </c>
      <c r="H424" s="12" t="str">
        <f t="shared" si="17"/>
        <v/>
      </c>
    </row>
    <row r="425" spans="1:8" x14ac:dyDescent="0.35">
      <c r="A425" t="s">
        <v>277</v>
      </c>
      <c r="B425" t="s">
        <v>54</v>
      </c>
      <c r="C425" t="s">
        <v>108</v>
      </c>
      <c r="E425" s="9" t="str">
        <f t="shared" si="16"/>
        <v/>
      </c>
      <c r="F425" s="10" t="str">
        <f>IF(OR(E425="",E425="!!!"),"",IF(NOT(ISNA(VLOOKUP(E425,E$1:E424,1,FALSE()))),"OLD",IF(AND(E425&lt;&gt;"",E425&lt;&gt;"!!!"),"NEW","")))</f>
        <v/>
      </c>
      <c r="G425" s="11" t="str">
        <f>IF(OR(E425="",E425="!!!"),"",IF(OR(J425=0,AND(J425=1,K425=1),AND(J425=1,I425="SBJ"),AND(J425=1,I425=0)),"?IN_FOCUS",IF(J425&lt;=2,"?ACTIVATED",IF(J425&lt;&gt;"","?FAMILIAR",IF(F425="NEW",IF(ISNA(VLOOKUP(E425,#REF!,1,FALSE())),"?TYPE_IDENTIFIABLE","?REFERENTIAL"),"_")))))</f>
        <v/>
      </c>
      <c r="H425" s="12" t="str">
        <f t="shared" si="17"/>
        <v/>
      </c>
    </row>
    <row r="426" spans="1:8" x14ac:dyDescent="0.35">
      <c r="A426" t="s">
        <v>63</v>
      </c>
      <c r="E426" s="9" t="str">
        <f t="shared" si="16"/>
        <v/>
      </c>
      <c r="F426" s="10" t="str">
        <f>IF(OR(E426="",E426="!!!"),"",IF(NOT(ISNA(VLOOKUP(E426,E$1:E425,1,FALSE()))),"OLD",IF(AND(E426&lt;&gt;"",E426&lt;&gt;"!!!"),"NEW","")))</f>
        <v/>
      </c>
      <c r="G426" s="11" t="str">
        <f>IF(OR(E426="",E426="!!!"),"",IF(OR(J426=0,AND(J426=1,K426=1),AND(J426=1,I426="SBJ"),AND(J426=1,I426=0)),"?IN_FOCUS",IF(J426&lt;=2,"?ACTIVATED",IF(J426&lt;&gt;"","?FAMILIAR",IF(F426="NEW",IF(ISNA(VLOOKUP(E426,#REF!,1,FALSE())),"?TYPE_IDENTIFIABLE","?REFERENTIAL"),"_")))))</f>
        <v/>
      </c>
      <c r="H426" s="12" t="str">
        <f t="shared" si="17"/>
        <v/>
      </c>
    </row>
    <row r="427" spans="1:8" x14ac:dyDescent="0.35">
      <c r="A427" t="s">
        <v>246</v>
      </c>
      <c r="E427" s="9" t="str">
        <f t="shared" si="16"/>
        <v/>
      </c>
      <c r="F427" s="10" t="str">
        <f>IF(OR(E427="",E427="!!!"),"",IF(NOT(ISNA(VLOOKUP(E427,E$1:E426,1,FALSE()))),"OLD",IF(AND(E427&lt;&gt;"",E427&lt;&gt;"!!!"),"NEW","")))</f>
        <v/>
      </c>
      <c r="G427" s="11" t="str">
        <f>IF(OR(E427="",E427="!!!"),"",IF(OR(J427=0,AND(J427=1,K427=1),AND(J427=1,I427="SBJ"),AND(J427=1,I427=0)),"?IN_FOCUS",IF(J427&lt;=2,"?ACTIVATED",IF(J427&lt;&gt;"","?FAMILIAR",IF(F427="NEW",IF(ISNA(VLOOKUP(E427,#REF!,1,FALSE())),"?TYPE_IDENTIFIABLE","?REFERENTIAL"),"_")))))</f>
        <v/>
      </c>
      <c r="H427" s="12" t="str">
        <f t="shared" si="17"/>
        <v/>
      </c>
    </row>
    <row r="428" spans="1:8" x14ac:dyDescent="0.35">
      <c r="E428" s="9" t="str">
        <f t="shared" si="16"/>
        <v/>
      </c>
      <c r="F428" s="10" t="str">
        <f>IF(OR(E428="",E428="!!!"),"",IF(NOT(ISNA(VLOOKUP(E428,E$1:E427,1,FALSE()))),"OLD",IF(AND(E428&lt;&gt;"",E428&lt;&gt;"!!!"),"NEW","")))</f>
        <v/>
      </c>
      <c r="G428" s="11" t="str">
        <f>IF(OR(E428="",E428="!!!"),"",IF(OR(J428=0,AND(J428=1,K428=1),AND(J428=1,I428="SBJ"),AND(J428=1,I428=0)),"?IN_FOCUS",IF(J428&lt;=2,"?ACTIVATED",IF(J428&lt;&gt;"","?FAMILIAR",IF(F428="NEW",IF(ISNA(VLOOKUP(E428,#REF!,1,FALSE())),"?TYPE_IDENTIFIABLE","?REFERENTIAL"),"_")))))</f>
        <v/>
      </c>
      <c r="H428" s="12" t="str">
        <f t="shared" si="17"/>
        <v/>
      </c>
    </row>
    <row r="429" spans="1:8" x14ac:dyDescent="0.35">
      <c r="A429" t="s">
        <v>244</v>
      </c>
      <c r="E429" s="9" t="str">
        <f t="shared" si="16"/>
        <v/>
      </c>
      <c r="F429" s="10" t="str">
        <f>IF(OR(E429="",E429="!!!"),"",IF(NOT(ISNA(VLOOKUP(E429,E$1:E428,1,FALSE()))),"OLD",IF(AND(E429&lt;&gt;"",E429&lt;&gt;"!!!"),"NEW","")))</f>
        <v/>
      </c>
      <c r="G429" s="11" t="str">
        <f>IF(OR(E429="",E429="!!!"),"",IF(OR(J429=0,AND(J429=1,K429=1),AND(J429=1,I429="SBJ"),AND(J429=1,I429=0)),"?IN_FOCUS",IF(J429&lt;=2,"?ACTIVATED",IF(J429&lt;&gt;"","?FAMILIAR",IF(F429="NEW",IF(ISNA(VLOOKUP(E429,#REF!,1,FALSE())),"?TYPE_IDENTIFIABLE","?REFERENTIAL"),"_")))))</f>
        <v/>
      </c>
      <c r="H429" s="12" t="str">
        <f t="shared" si="17"/>
        <v/>
      </c>
    </row>
    <row r="430" spans="1:8" x14ac:dyDescent="0.35">
      <c r="A430" t="s">
        <v>278</v>
      </c>
      <c r="E430" s="9" t="str">
        <f t="shared" si="16"/>
        <v/>
      </c>
      <c r="F430" s="10" t="str">
        <f>IF(OR(E430="",E430="!!!"),"",IF(NOT(ISNA(VLOOKUP(E430,E$1:E429,1,FALSE()))),"OLD",IF(AND(E430&lt;&gt;"",E430&lt;&gt;"!!!"),"NEW","")))</f>
        <v/>
      </c>
      <c r="G430" s="11" t="str">
        <f>IF(OR(E430="",E430="!!!"),"",IF(OR(J430=0,AND(J430=1,K430=1),AND(J430=1,I430="SBJ"),AND(J430=1,I430=0)),"?IN_FOCUS",IF(J430&lt;=2,"?ACTIVATED",IF(J430&lt;&gt;"","?FAMILIAR",IF(F430="NEW",IF(ISNA(VLOOKUP(E430,#REF!,1,FALSE())),"?TYPE_IDENTIFIABLE","?REFERENTIAL"),"_")))))</f>
        <v/>
      </c>
      <c r="H430" s="12" t="str">
        <f t="shared" si="17"/>
        <v/>
      </c>
    </row>
    <row r="431" spans="1:8" x14ac:dyDescent="0.35">
      <c r="A431" t="s">
        <v>246</v>
      </c>
      <c r="E431" s="9" t="str">
        <f t="shared" si="16"/>
        <v/>
      </c>
      <c r="F431" s="10" t="str">
        <f>IF(OR(E431="",E431="!!!"),"",IF(NOT(ISNA(VLOOKUP(E431,E$1:E430,1,FALSE()))),"OLD",IF(AND(E431&lt;&gt;"",E431&lt;&gt;"!!!"),"NEW","")))</f>
        <v/>
      </c>
      <c r="G431" s="11" t="str">
        <f>IF(OR(E431="",E431="!!!"),"",IF(OR(J431=0,AND(J431=1,K431=1),AND(J431=1,I431="SBJ"),AND(J431=1,I431=0)),"?IN_FOCUS",IF(J431&lt;=2,"?ACTIVATED",IF(J431&lt;&gt;"","?FAMILIAR",IF(F431="NEW",IF(ISNA(VLOOKUP(E431,#REF!,1,FALSE())),"?TYPE_IDENTIFIABLE","?REFERENTIAL"),"_")))))</f>
        <v/>
      </c>
      <c r="H431" s="12" t="str">
        <f t="shared" si="17"/>
        <v/>
      </c>
    </row>
    <row r="432" spans="1:8" x14ac:dyDescent="0.35">
      <c r="A432" t="s">
        <v>279</v>
      </c>
      <c r="B432" t="s">
        <v>36</v>
      </c>
      <c r="C432" t="s">
        <v>33</v>
      </c>
      <c r="D432" t="s">
        <v>16</v>
      </c>
      <c r="E432" s="9" t="s">
        <v>868</v>
      </c>
      <c r="F432" s="10" t="str">
        <f>IF(OR(E432="",E432="!!!"),"",IF(NOT(ISNA(VLOOKUP(E432,E$1:E431,1,FALSE()))),"OLD",IF(AND(E432&lt;&gt;"",E432&lt;&gt;"!!!"),"NEW","")))</f>
        <v>OLD</v>
      </c>
      <c r="G432" s="11" t="s">
        <v>874</v>
      </c>
      <c r="H432" s="12" t="str">
        <f t="shared" si="17"/>
        <v/>
      </c>
    </row>
    <row r="433" spans="1:8" x14ac:dyDescent="0.35">
      <c r="A433" t="s">
        <v>280</v>
      </c>
      <c r="E433" s="9" t="str">
        <f t="shared" si="16"/>
        <v/>
      </c>
      <c r="F433" s="10" t="str">
        <f>IF(OR(E433="",E433="!!!"),"",IF(NOT(ISNA(VLOOKUP(E433,E$1:E432,1,FALSE()))),"OLD",IF(AND(E433&lt;&gt;"",E433&lt;&gt;"!!!"),"NEW","")))</f>
        <v/>
      </c>
      <c r="G433" s="11" t="str">
        <f>IF(OR(E433="",E433="!!!"),"",IF(OR(J433=0,AND(J433=1,K433=1),AND(J433=1,I433="SBJ"),AND(J433=1,I433=0)),"?IN_FOCUS",IF(J433&lt;=2,"?ACTIVATED",IF(J433&lt;&gt;"","?FAMILIAR",IF(F433="NEW",IF(ISNA(VLOOKUP(E433,#REF!,1,FALSE())),"?TYPE_IDENTIFIABLE","?REFERENTIAL"),"_")))))</f>
        <v/>
      </c>
      <c r="H433" s="12" t="str">
        <f t="shared" si="17"/>
        <v/>
      </c>
    </row>
    <row r="434" spans="1:8" x14ac:dyDescent="0.35">
      <c r="A434" t="s">
        <v>281</v>
      </c>
      <c r="E434" s="9" t="str">
        <f t="shared" si="16"/>
        <v/>
      </c>
      <c r="F434" s="10" t="str">
        <f>IF(OR(E434="",E434="!!!"),"",IF(NOT(ISNA(VLOOKUP(E434,E$1:E433,1,FALSE()))),"OLD",IF(AND(E434&lt;&gt;"",E434&lt;&gt;"!!!"),"NEW","")))</f>
        <v/>
      </c>
      <c r="G434" s="11" t="str">
        <f>IF(OR(E434="",E434="!!!"),"",IF(OR(J434=0,AND(J434=1,K434=1),AND(J434=1,I434="SBJ"),AND(J434=1,I434=0)),"?IN_FOCUS",IF(J434&lt;=2,"?ACTIVATED",IF(J434&lt;&gt;"","?FAMILIAR",IF(F434="NEW",IF(ISNA(VLOOKUP(E434,#REF!,1,FALSE())),"?TYPE_IDENTIFIABLE","?REFERENTIAL"),"_")))))</f>
        <v/>
      </c>
      <c r="H434" s="12" t="str">
        <f t="shared" si="17"/>
        <v/>
      </c>
    </row>
    <row r="435" spans="1:8" x14ac:dyDescent="0.35">
      <c r="A435" t="s">
        <v>282</v>
      </c>
      <c r="E435" s="9" t="str">
        <f t="shared" si="16"/>
        <v/>
      </c>
      <c r="F435" s="10" t="str">
        <f>IF(OR(E435="",E435="!!!"),"",IF(NOT(ISNA(VLOOKUP(E435,E$1:E434,1,FALSE()))),"OLD",IF(AND(E435&lt;&gt;"",E435&lt;&gt;"!!!"),"NEW","")))</f>
        <v/>
      </c>
      <c r="G435" s="11" t="str">
        <f>IF(OR(E435="",E435="!!!"),"",IF(OR(J435=0,AND(J435=1,K435=1),AND(J435=1,I435="SBJ"),AND(J435=1,I435=0)),"?IN_FOCUS",IF(J435&lt;=2,"?ACTIVATED",IF(J435&lt;&gt;"","?FAMILIAR",IF(F435="NEW",IF(ISNA(VLOOKUP(E435,#REF!,1,FALSE())),"?TYPE_IDENTIFIABLE","?REFERENTIAL"),"_")))))</f>
        <v/>
      </c>
      <c r="H435" s="12" t="str">
        <f t="shared" si="17"/>
        <v/>
      </c>
    </row>
    <row r="436" spans="1:8" x14ac:dyDescent="0.35">
      <c r="A436" t="s">
        <v>134</v>
      </c>
      <c r="E436" s="9" t="str">
        <f t="shared" si="16"/>
        <v/>
      </c>
      <c r="F436" s="10" t="str">
        <f>IF(OR(E436="",E436="!!!"),"",IF(NOT(ISNA(VLOOKUP(E436,E$1:E435,1,FALSE()))),"OLD",IF(AND(E436&lt;&gt;"",E436&lt;&gt;"!!!"),"NEW","")))</f>
        <v/>
      </c>
      <c r="G436" s="11" t="str">
        <f>IF(OR(E436="",E436="!!!"),"",IF(OR(J436=0,AND(J436=1,K436=1),AND(J436=1,I436="SBJ"),AND(J436=1,I436=0)),"?IN_FOCUS",IF(J436&lt;=2,"?ACTIVATED",IF(J436&lt;&gt;"","?FAMILIAR",IF(F436="NEW",IF(ISNA(VLOOKUP(E436,#REF!,1,FALSE())),"?TYPE_IDENTIFIABLE","?REFERENTIAL"),"_")))))</f>
        <v/>
      </c>
      <c r="H436" s="12" t="str">
        <f t="shared" si="17"/>
        <v/>
      </c>
    </row>
    <row r="437" spans="1:8" x14ac:dyDescent="0.35">
      <c r="A437" t="s">
        <v>283</v>
      </c>
      <c r="E437" s="9" t="str">
        <f t="shared" si="16"/>
        <v/>
      </c>
      <c r="F437" s="10" t="str">
        <f>IF(OR(E437="",E437="!!!"),"",IF(NOT(ISNA(VLOOKUP(E437,E$1:E436,1,FALSE()))),"OLD",IF(AND(E437&lt;&gt;"",E437&lt;&gt;"!!!"),"NEW","")))</f>
        <v/>
      </c>
      <c r="G437" s="11" t="str">
        <f>IF(OR(E437="",E437="!!!"),"",IF(OR(J437=0,AND(J437=1,K437=1),AND(J437=1,I437="SBJ"),AND(J437=1,I437=0)),"?IN_FOCUS",IF(J437&lt;=2,"?ACTIVATED",IF(J437&lt;&gt;"","?FAMILIAR",IF(F437="NEW",IF(ISNA(VLOOKUP(E437,#REF!,1,FALSE())),"?TYPE_IDENTIFIABLE","?REFERENTIAL"),"_")))))</f>
        <v/>
      </c>
      <c r="H437" s="12" t="str">
        <f t="shared" si="17"/>
        <v/>
      </c>
    </row>
    <row r="438" spans="1:8" x14ac:dyDescent="0.35">
      <c r="A438" t="s">
        <v>284</v>
      </c>
      <c r="B438" t="s">
        <v>24</v>
      </c>
      <c r="C438" t="s">
        <v>122</v>
      </c>
      <c r="D438" t="s">
        <v>16</v>
      </c>
      <c r="E438" s="9" t="s">
        <v>262</v>
      </c>
      <c r="F438" s="10" t="s">
        <v>876</v>
      </c>
      <c r="G438" s="11"/>
      <c r="H438" s="12" t="str">
        <f t="shared" si="17"/>
        <v/>
      </c>
    </row>
    <row r="439" spans="1:8" x14ac:dyDescent="0.35">
      <c r="A439" t="s">
        <v>26</v>
      </c>
      <c r="E439" s="9" t="str">
        <f t="shared" ref="E439:E502" si="18">IF(D439="?OLD","!!!","")</f>
        <v/>
      </c>
      <c r="F439" s="10" t="str">
        <f>IF(OR(E439="",E439="!!!"),"",IF(NOT(ISNA(VLOOKUP(E439,E$1:E438,1,FALSE()))),"OLD",IF(AND(E439&lt;&gt;"",E439&lt;&gt;"!!!"),"NEW","")))</f>
        <v/>
      </c>
      <c r="G439" s="11" t="str">
        <f>IF(OR(E439="",E439="!!!"),"",IF(OR(J439=0,AND(J439=1,K439=1),AND(J439=1,I439="SBJ"),AND(J439=1,I439=0)),"?IN_FOCUS",IF(J439&lt;=2,"?ACTIVATED",IF(J439&lt;&gt;"","?FAMILIAR",IF(F439="NEW",IF(ISNA(VLOOKUP(E439,#REF!,1,FALSE())),"?TYPE_IDENTIFIABLE","?REFERENTIAL"),"_")))))</f>
        <v/>
      </c>
      <c r="H439" s="12" t="str">
        <f t="shared" ref="H439:H502" si="19">IF(J439&lt;&gt;1,"",IF(I439="SBJ","CB","?"))</f>
        <v/>
      </c>
    </row>
    <row r="440" spans="1:8" x14ac:dyDescent="0.35">
      <c r="A440" t="s">
        <v>285</v>
      </c>
      <c r="B440" t="s">
        <v>54</v>
      </c>
      <c r="C440" t="s">
        <v>21</v>
      </c>
      <c r="D440" t="s">
        <v>16</v>
      </c>
      <c r="E440" s="9" t="s">
        <v>868</v>
      </c>
      <c r="F440" s="10" t="str">
        <f>IF(OR(E440="",E440="!!!"),"",IF(NOT(ISNA(VLOOKUP(E440,E$1:E439,1,FALSE()))),"OLD",IF(AND(E440&lt;&gt;"",E440&lt;&gt;"!!!"),"NEW","")))</f>
        <v>OLD</v>
      </c>
      <c r="G440" s="11" t="s">
        <v>870</v>
      </c>
      <c r="H440" s="12" t="str">
        <f t="shared" si="19"/>
        <v/>
      </c>
    </row>
    <row r="441" spans="1:8" x14ac:dyDescent="0.35">
      <c r="A441" t="s">
        <v>19</v>
      </c>
      <c r="E441" s="9" t="str">
        <f t="shared" si="18"/>
        <v/>
      </c>
      <c r="F441" s="10" t="str">
        <f>IF(OR(E441="",E441="!!!"),"",IF(NOT(ISNA(VLOOKUP(E441,E$1:E440,1,FALSE()))),"OLD",IF(AND(E441&lt;&gt;"",E441&lt;&gt;"!!!"),"NEW","")))</f>
        <v/>
      </c>
      <c r="G441" s="11" t="str">
        <f>IF(OR(E441="",E441="!!!"),"",IF(OR(J441=0,AND(J441=1,K441=1),AND(J441=1,I441="SBJ"),AND(J441=1,I441=0)),"?IN_FOCUS",IF(J441&lt;=2,"?ACTIVATED",IF(J441&lt;&gt;"","?FAMILIAR",IF(F441="NEW",IF(ISNA(VLOOKUP(E441,#REF!,1,FALSE())),"?TYPE_IDENTIFIABLE","?REFERENTIAL"),"_")))))</f>
        <v/>
      </c>
      <c r="H441" s="12" t="str">
        <f t="shared" si="19"/>
        <v/>
      </c>
    </row>
    <row r="442" spans="1:8" x14ac:dyDescent="0.35">
      <c r="A442" t="s">
        <v>63</v>
      </c>
      <c r="E442" s="9" t="str">
        <f t="shared" si="18"/>
        <v/>
      </c>
      <c r="F442" s="10" t="str">
        <f>IF(OR(E442="",E442="!!!"),"",IF(NOT(ISNA(VLOOKUP(E442,E$1:E441,1,FALSE()))),"OLD",IF(AND(E442&lt;&gt;"",E442&lt;&gt;"!!!"),"NEW","")))</f>
        <v/>
      </c>
      <c r="G442" s="11" t="str">
        <f>IF(OR(E442="",E442="!!!"),"",IF(OR(J442=0,AND(J442=1,K442=1),AND(J442=1,I442="SBJ"),AND(J442=1,I442=0)),"?IN_FOCUS",IF(J442&lt;=2,"?ACTIVATED",IF(J442&lt;&gt;"","?FAMILIAR",IF(F442="NEW",IF(ISNA(VLOOKUP(E442,#REF!,1,FALSE())),"?TYPE_IDENTIFIABLE","?REFERENTIAL"),"_")))))</f>
        <v/>
      </c>
      <c r="H442" s="12" t="str">
        <f t="shared" si="19"/>
        <v/>
      </c>
    </row>
    <row r="443" spans="1:8" x14ac:dyDescent="0.35">
      <c r="E443" s="9" t="str">
        <f t="shared" si="18"/>
        <v/>
      </c>
      <c r="F443" s="10" t="str">
        <f>IF(OR(E443="",E443="!!!"),"",IF(NOT(ISNA(VLOOKUP(E443,E$1:E442,1,FALSE()))),"OLD",IF(AND(E443&lt;&gt;"",E443&lt;&gt;"!!!"),"NEW","")))</f>
        <v/>
      </c>
      <c r="G443" s="11" t="str">
        <f>IF(OR(E443="",E443="!!!"),"",IF(OR(J443=0,AND(J443=1,K443=1),AND(J443=1,I443="SBJ"),AND(J443=1,I443=0)),"?IN_FOCUS",IF(J443&lt;=2,"?ACTIVATED",IF(J443&lt;&gt;"","?FAMILIAR",IF(F443="NEW",IF(ISNA(VLOOKUP(E443,#REF!,1,FALSE())),"?TYPE_IDENTIFIABLE","?REFERENTIAL"),"_")))))</f>
        <v/>
      </c>
      <c r="H443" s="12" t="str">
        <f t="shared" si="19"/>
        <v/>
      </c>
    </row>
    <row r="444" spans="1:8" x14ac:dyDescent="0.35">
      <c r="A444" t="s">
        <v>244</v>
      </c>
      <c r="E444" s="9" t="str">
        <f t="shared" si="18"/>
        <v/>
      </c>
      <c r="F444" s="10" t="str">
        <f>IF(OR(E444="",E444="!!!"),"",IF(NOT(ISNA(VLOOKUP(E444,E$1:E443,1,FALSE()))),"OLD",IF(AND(E444&lt;&gt;"",E444&lt;&gt;"!!!"),"NEW","")))</f>
        <v/>
      </c>
      <c r="G444" s="11" t="str">
        <f>IF(OR(E444="",E444="!!!"),"",IF(OR(J444=0,AND(J444=1,K444=1),AND(J444=1,I444="SBJ"),AND(J444=1,I444=0)),"?IN_FOCUS",IF(J444&lt;=2,"?ACTIVATED",IF(J444&lt;&gt;"","?FAMILIAR",IF(F444="NEW",IF(ISNA(VLOOKUP(E444,#REF!,1,FALSE())),"?TYPE_IDENTIFIABLE","?REFERENTIAL"),"_")))))</f>
        <v/>
      </c>
      <c r="H444" s="12" t="str">
        <f t="shared" si="19"/>
        <v/>
      </c>
    </row>
    <row r="445" spans="1:8" x14ac:dyDescent="0.35">
      <c r="A445" t="s">
        <v>286</v>
      </c>
      <c r="E445" s="9" t="str">
        <f t="shared" si="18"/>
        <v/>
      </c>
      <c r="F445" s="10" t="str">
        <f>IF(OR(E445="",E445="!!!"),"",IF(NOT(ISNA(VLOOKUP(E445,E$1:E444,1,FALSE()))),"OLD",IF(AND(E445&lt;&gt;"",E445&lt;&gt;"!!!"),"NEW","")))</f>
        <v/>
      </c>
      <c r="G445" s="11" t="str">
        <f>IF(OR(E445="",E445="!!!"),"",IF(OR(J445=0,AND(J445=1,K445=1),AND(J445=1,I445="SBJ"),AND(J445=1,I445=0)),"?IN_FOCUS",IF(J445&lt;=2,"?ACTIVATED",IF(J445&lt;&gt;"","?FAMILIAR",IF(F445="NEW",IF(ISNA(VLOOKUP(E445,#REF!,1,FALSE())),"?TYPE_IDENTIFIABLE","?REFERENTIAL"),"_")))))</f>
        <v/>
      </c>
      <c r="H445" s="12" t="str">
        <f t="shared" si="19"/>
        <v/>
      </c>
    </row>
    <row r="446" spans="1:8" x14ac:dyDescent="0.35">
      <c r="A446" t="s">
        <v>287</v>
      </c>
      <c r="B446" t="s">
        <v>54</v>
      </c>
      <c r="C446" t="s">
        <v>148</v>
      </c>
      <c r="E446" s="9" t="str">
        <f t="shared" si="18"/>
        <v/>
      </c>
      <c r="F446" s="10" t="str">
        <f>IF(OR(E446="",E446="!!!"),"",IF(NOT(ISNA(VLOOKUP(E446,E$1:E445,1,FALSE()))),"OLD",IF(AND(E446&lt;&gt;"",E446&lt;&gt;"!!!"),"NEW","")))</f>
        <v/>
      </c>
      <c r="G446" s="11" t="str">
        <f>IF(OR(E446="",E446="!!!"),"",IF(OR(J446=0,AND(J446=1,K446=1),AND(J446=1,I446="SBJ"),AND(J446=1,I446=0)),"?IN_FOCUS",IF(J446&lt;=2,"?ACTIVATED",IF(J446&lt;&gt;"","?FAMILIAR",IF(F446="NEW",IF(ISNA(VLOOKUP(E446,#REF!,1,FALSE())),"?TYPE_IDENTIFIABLE","?REFERENTIAL"),"_")))))</f>
        <v/>
      </c>
      <c r="H446" s="12" t="str">
        <f t="shared" si="19"/>
        <v/>
      </c>
    </row>
    <row r="447" spans="1:8" x14ac:dyDescent="0.35">
      <c r="A447" t="s">
        <v>22</v>
      </c>
      <c r="E447" s="9" t="str">
        <f t="shared" si="18"/>
        <v/>
      </c>
      <c r="F447" s="10" t="str">
        <f>IF(OR(E447="",E447="!!!"),"",IF(NOT(ISNA(VLOOKUP(E447,E$1:E446,1,FALSE()))),"OLD",IF(AND(E447&lt;&gt;"",E447&lt;&gt;"!!!"),"NEW","")))</f>
        <v/>
      </c>
      <c r="G447" s="11" t="str">
        <f>IF(OR(E447="",E447="!!!"),"",IF(OR(J447=0,AND(J447=1,K447=1),AND(J447=1,I447="SBJ"),AND(J447=1,I447=0)),"?IN_FOCUS",IF(J447&lt;=2,"?ACTIVATED",IF(J447&lt;&gt;"","?FAMILIAR",IF(F447="NEW",IF(ISNA(VLOOKUP(E447,#REF!,1,FALSE())),"?TYPE_IDENTIFIABLE","?REFERENTIAL"),"_")))))</f>
        <v/>
      </c>
      <c r="H447" s="12" t="str">
        <f t="shared" si="19"/>
        <v/>
      </c>
    </row>
    <row r="448" spans="1:8" x14ac:dyDescent="0.35">
      <c r="A448" t="s">
        <v>58</v>
      </c>
      <c r="E448" s="9" t="str">
        <f t="shared" si="18"/>
        <v/>
      </c>
      <c r="F448" s="10" t="str">
        <f>IF(OR(E448="",E448="!!!"),"",IF(NOT(ISNA(VLOOKUP(E448,E$1:E447,1,FALSE()))),"OLD",IF(AND(E448&lt;&gt;"",E448&lt;&gt;"!!!"),"NEW","")))</f>
        <v/>
      </c>
      <c r="G448" s="11" t="str">
        <f>IF(OR(E448="",E448="!!!"),"",IF(OR(J448=0,AND(J448=1,K448=1),AND(J448=1,I448="SBJ"),AND(J448=1,I448=0)),"?IN_FOCUS",IF(J448&lt;=2,"?ACTIVATED",IF(J448&lt;&gt;"","?FAMILIAR",IF(F448="NEW",IF(ISNA(VLOOKUP(E448,#REF!,1,FALSE())),"?TYPE_IDENTIFIABLE","?REFERENTIAL"),"_")))))</f>
        <v/>
      </c>
      <c r="H448" s="12" t="str">
        <f t="shared" si="19"/>
        <v/>
      </c>
    </row>
    <row r="449" spans="1:8" x14ac:dyDescent="0.35">
      <c r="A449" t="s">
        <v>288</v>
      </c>
      <c r="B449" t="s">
        <v>14</v>
      </c>
      <c r="C449" t="s">
        <v>99</v>
      </c>
      <c r="D449" t="s">
        <v>16</v>
      </c>
      <c r="E449" s="9" t="s">
        <v>262</v>
      </c>
      <c r="F449" s="10" t="s">
        <v>876</v>
      </c>
      <c r="G449" s="11"/>
      <c r="H449" s="12" t="str">
        <f t="shared" si="19"/>
        <v/>
      </c>
    </row>
    <row r="450" spans="1:8" x14ac:dyDescent="0.35">
      <c r="A450" t="s">
        <v>289</v>
      </c>
      <c r="E450" s="9" t="str">
        <f t="shared" si="18"/>
        <v/>
      </c>
      <c r="F450" s="10" t="str">
        <f>IF(OR(E450="",E450="!!!"),"",IF(NOT(ISNA(VLOOKUP(E450,E$1:E449,1,FALSE()))),"OLD",IF(AND(E450&lt;&gt;"",E450&lt;&gt;"!!!"),"NEW","")))</f>
        <v/>
      </c>
      <c r="G450" s="11" t="str">
        <f>IF(OR(E450="",E450="!!!"),"",IF(OR(J450=0,AND(J450=1,K450=1),AND(J450=1,I450="SBJ"),AND(J450=1,I450=0)),"?IN_FOCUS",IF(J450&lt;=2,"?ACTIVATED",IF(J450&lt;&gt;"","?FAMILIAR",IF(F450="NEW",IF(ISNA(VLOOKUP(E450,#REF!,1,FALSE())),"?TYPE_IDENTIFIABLE","?REFERENTIAL"),"_")))))</f>
        <v/>
      </c>
      <c r="H450" s="12" t="str">
        <f t="shared" si="19"/>
        <v/>
      </c>
    </row>
    <row r="451" spans="1:8" x14ac:dyDescent="0.35">
      <c r="A451" t="s">
        <v>251</v>
      </c>
      <c r="E451" s="9" t="str">
        <f t="shared" si="18"/>
        <v/>
      </c>
      <c r="F451" s="10" t="str">
        <f>IF(OR(E451="",E451="!!!"),"",IF(NOT(ISNA(VLOOKUP(E451,E$1:E450,1,FALSE()))),"OLD",IF(AND(E451&lt;&gt;"",E451&lt;&gt;"!!!"),"NEW","")))</f>
        <v/>
      </c>
      <c r="G451" s="11" t="str">
        <f>IF(OR(E451="",E451="!!!"),"",IF(OR(J451=0,AND(J451=1,K451=1),AND(J451=1,I451="SBJ"),AND(J451=1,I451=0)),"?IN_FOCUS",IF(J451&lt;=2,"?ACTIVATED",IF(J451&lt;&gt;"","?FAMILIAR",IF(F451="NEW",IF(ISNA(VLOOKUP(E451,#REF!,1,FALSE())),"?TYPE_IDENTIFIABLE","?REFERENTIAL"),"_")))))</f>
        <v/>
      </c>
      <c r="H451" s="12" t="str">
        <f t="shared" si="19"/>
        <v/>
      </c>
    </row>
    <row r="452" spans="1:8" x14ac:dyDescent="0.35">
      <c r="A452" t="s">
        <v>246</v>
      </c>
      <c r="E452" s="9" t="str">
        <f t="shared" si="18"/>
        <v/>
      </c>
      <c r="F452" s="10" t="str">
        <f>IF(OR(E452="",E452="!!!"),"",IF(NOT(ISNA(VLOOKUP(E452,E$1:E451,1,FALSE()))),"OLD",IF(AND(E452&lt;&gt;"",E452&lt;&gt;"!!!"),"NEW","")))</f>
        <v/>
      </c>
      <c r="G452" s="11" t="str">
        <f>IF(OR(E452="",E452="!!!"),"",IF(OR(J452=0,AND(J452=1,K452=1),AND(J452=1,I452="SBJ"),AND(J452=1,I452=0)),"?IN_FOCUS",IF(J452&lt;=2,"?ACTIVATED",IF(J452&lt;&gt;"","?FAMILIAR",IF(F452="NEW",IF(ISNA(VLOOKUP(E452,#REF!,1,FALSE())),"?TYPE_IDENTIFIABLE","?REFERENTIAL"),"_")))))</f>
        <v/>
      </c>
      <c r="H452" s="12" t="str">
        <f t="shared" si="19"/>
        <v/>
      </c>
    </row>
    <row r="453" spans="1:8" x14ac:dyDescent="0.35">
      <c r="E453" s="9" t="str">
        <f t="shared" si="18"/>
        <v/>
      </c>
      <c r="F453" s="10" t="str">
        <f>IF(OR(E453="",E453="!!!"),"",IF(NOT(ISNA(VLOOKUP(E453,E$1:E452,1,FALSE()))),"OLD",IF(AND(E453&lt;&gt;"",E453&lt;&gt;"!!!"),"NEW","")))</f>
        <v/>
      </c>
      <c r="G453" s="11" t="str">
        <f>IF(OR(E453="",E453="!!!"),"",IF(OR(J453=0,AND(J453=1,K453=1),AND(J453=1,I453="SBJ"),AND(J453=1,I453=0)),"?IN_FOCUS",IF(J453&lt;=2,"?ACTIVATED",IF(J453&lt;&gt;"","?FAMILIAR",IF(F453="NEW",IF(ISNA(VLOOKUP(E453,#REF!,1,FALSE())),"?TYPE_IDENTIFIABLE","?REFERENTIAL"),"_")))))</f>
        <v/>
      </c>
      <c r="H453" s="12" t="str">
        <f t="shared" si="19"/>
        <v/>
      </c>
    </row>
    <row r="454" spans="1:8" x14ac:dyDescent="0.35">
      <c r="A454" t="s">
        <v>244</v>
      </c>
      <c r="E454" s="9" t="str">
        <f t="shared" si="18"/>
        <v/>
      </c>
      <c r="F454" s="10" t="str">
        <f>IF(OR(E454="",E454="!!!"),"",IF(NOT(ISNA(VLOOKUP(E454,E$1:E453,1,FALSE()))),"OLD",IF(AND(E454&lt;&gt;"",E454&lt;&gt;"!!!"),"NEW","")))</f>
        <v/>
      </c>
      <c r="G454" s="11" t="str">
        <f>IF(OR(E454="",E454="!!!"),"",IF(OR(J454=0,AND(J454=1,K454=1),AND(J454=1,I454="SBJ"),AND(J454=1,I454=0)),"?IN_FOCUS",IF(J454&lt;=2,"?ACTIVATED",IF(J454&lt;&gt;"","?FAMILIAR",IF(F454="NEW",IF(ISNA(VLOOKUP(E454,#REF!,1,FALSE())),"?TYPE_IDENTIFIABLE","?REFERENTIAL"),"_")))))</f>
        <v/>
      </c>
      <c r="H454" s="12" t="str">
        <f t="shared" si="19"/>
        <v/>
      </c>
    </row>
    <row r="455" spans="1:8" x14ac:dyDescent="0.35">
      <c r="A455" t="s">
        <v>290</v>
      </c>
      <c r="E455" s="9" t="str">
        <f t="shared" si="18"/>
        <v/>
      </c>
      <c r="F455" s="10" t="str">
        <f>IF(OR(E455="",E455="!!!"),"",IF(NOT(ISNA(VLOOKUP(E455,E$1:E454,1,FALSE()))),"OLD",IF(AND(E455&lt;&gt;"",E455&lt;&gt;"!!!"),"NEW","")))</f>
        <v/>
      </c>
      <c r="G455" s="11" t="str">
        <f>IF(OR(E455="",E455="!!!"),"",IF(OR(J455=0,AND(J455=1,K455=1),AND(J455=1,I455="SBJ"),AND(J455=1,I455=0)),"?IN_FOCUS",IF(J455&lt;=2,"?ACTIVATED",IF(J455&lt;&gt;"","?FAMILIAR",IF(F455="NEW",IF(ISNA(VLOOKUP(E455,#REF!,1,FALSE())),"?TYPE_IDENTIFIABLE","?REFERENTIAL"),"_")))))</f>
        <v/>
      </c>
      <c r="H455" s="12" t="str">
        <f t="shared" si="19"/>
        <v/>
      </c>
    </row>
    <row r="456" spans="1:8" x14ac:dyDescent="0.35">
      <c r="A456" t="s">
        <v>246</v>
      </c>
      <c r="E456" s="9" t="str">
        <f t="shared" si="18"/>
        <v/>
      </c>
      <c r="F456" s="10" t="str">
        <f>IF(OR(E456="",E456="!!!"),"",IF(NOT(ISNA(VLOOKUP(E456,E$1:E455,1,FALSE()))),"OLD",IF(AND(E456&lt;&gt;"",E456&lt;&gt;"!!!"),"NEW","")))</f>
        <v/>
      </c>
      <c r="G456" s="11" t="str">
        <f>IF(OR(E456="",E456="!!!"),"",IF(OR(J456=0,AND(J456=1,K456=1),AND(J456=1,I456="SBJ"),AND(J456=1,I456=0)),"?IN_FOCUS",IF(J456&lt;=2,"?ACTIVATED",IF(J456&lt;&gt;"","?FAMILIAR",IF(F456="NEW",IF(ISNA(VLOOKUP(E456,#REF!,1,FALSE())),"?TYPE_IDENTIFIABLE","?REFERENTIAL"),"_")))))</f>
        <v/>
      </c>
      <c r="H456" s="12" t="str">
        <f t="shared" si="19"/>
        <v/>
      </c>
    </row>
    <row r="457" spans="1:8" x14ac:dyDescent="0.35">
      <c r="A457" t="s">
        <v>291</v>
      </c>
      <c r="E457" s="9" t="str">
        <f t="shared" si="18"/>
        <v/>
      </c>
      <c r="F457" s="10" t="str">
        <f>IF(OR(E457="",E457="!!!"),"",IF(NOT(ISNA(VLOOKUP(E457,E$1:E456,1,FALSE()))),"OLD",IF(AND(E457&lt;&gt;"",E457&lt;&gt;"!!!"),"NEW","")))</f>
        <v/>
      </c>
      <c r="G457" s="11" t="str">
        <f>IF(OR(E457="",E457="!!!"),"",IF(OR(J457=0,AND(J457=1,K457=1),AND(J457=1,I457="SBJ"),AND(J457=1,I457=0)),"?IN_FOCUS",IF(J457&lt;=2,"?ACTIVATED",IF(J457&lt;&gt;"","?FAMILIAR",IF(F457="NEW",IF(ISNA(VLOOKUP(E457,#REF!,1,FALSE())),"?TYPE_IDENTIFIABLE","?REFERENTIAL"),"_")))))</f>
        <v/>
      </c>
      <c r="H457" s="12" t="str">
        <f t="shared" si="19"/>
        <v/>
      </c>
    </row>
    <row r="458" spans="1:8" x14ac:dyDescent="0.35">
      <c r="A458" t="s">
        <v>292</v>
      </c>
      <c r="E458" s="9" t="str">
        <f t="shared" si="18"/>
        <v/>
      </c>
      <c r="F458" s="10" t="str">
        <f>IF(OR(E458="",E458="!!!"),"",IF(NOT(ISNA(VLOOKUP(E458,E$1:E457,1,FALSE()))),"OLD",IF(AND(E458&lt;&gt;"",E458&lt;&gt;"!!!"),"NEW","")))</f>
        <v/>
      </c>
      <c r="G458" s="11" t="str">
        <f>IF(OR(E458="",E458="!!!"),"",IF(OR(J458=0,AND(J458=1,K458=1),AND(J458=1,I458="SBJ"),AND(J458=1,I458=0)),"?IN_FOCUS",IF(J458&lt;=2,"?ACTIVATED",IF(J458&lt;&gt;"","?FAMILIAR",IF(F458="NEW",IF(ISNA(VLOOKUP(E458,#REF!,1,FALSE())),"?TYPE_IDENTIFIABLE","?REFERENTIAL"),"_")))))</f>
        <v/>
      </c>
      <c r="H458" s="12" t="str">
        <f t="shared" si="19"/>
        <v/>
      </c>
    </row>
    <row r="459" spans="1:8" x14ac:dyDescent="0.35">
      <c r="A459" t="s">
        <v>288</v>
      </c>
      <c r="B459" t="s">
        <v>54</v>
      </c>
      <c r="C459" t="s">
        <v>37</v>
      </c>
      <c r="E459" s="9" t="str">
        <f t="shared" si="18"/>
        <v/>
      </c>
      <c r="F459" s="10" t="str">
        <f>IF(OR(E459="",E459="!!!"),"",IF(NOT(ISNA(VLOOKUP(E459,E$1:E458,1,FALSE()))),"OLD",IF(AND(E459&lt;&gt;"",E459&lt;&gt;"!!!"),"NEW","")))</f>
        <v/>
      </c>
      <c r="G459" s="11" t="str">
        <f>IF(OR(E459="",E459="!!!"),"",IF(OR(J459=0,AND(J459=1,K459=1),AND(J459=1,I459="SBJ"),AND(J459=1,I459=0)),"?IN_FOCUS",IF(J459&lt;=2,"?ACTIVATED",IF(J459&lt;&gt;"","?FAMILIAR",IF(F459="NEW",IF(ISNA(VLOOKUP(E459,#REF!,1,FALSE())),"?TYPE_IDENTIFIABLE","?REFERENTIAL"),"_")))))</f>
        <v/>
      </c>
      <c r="H459" s="12" t="str">
        <f t="shared" si="19"/>
        <v/>
      </c>
    </row>
    <row r="460" spans="1:8" x14ac:dyDescent="0.35">
      <c r="A460" t="s">
        <v>63</v>
      </c>
      <c r="E460" s="9" t="str">
        <f t="shared" si="18"/>
        <v/>
      </c>
      <c r="F460" s="10" t="str">
        <f>IF(OR(E460="",E460="!!!"),"",IF(NOT(ISNA(VLOOKUP(E460,E$1:E459,1,FALSE()))),"OLD",IF(AND(E460&lt;&gt;"",E460&lt;&gt;"!!!"),"NEW","")))</f>
        <v/>
      </c>
      <c r="G460" s="11" t="str">
        <f>IF(OR(E460="",E460="!!!"),"",IF(OR(J460=0,AND(J460=1,K460=1),AND(J460=1,I460="SBJ"),AND(J460=1,I460=0)),"?IN_FOCUS",IF(J460&lt;=2,"?ACTIVATED",IF(J460&lt;&gt;"","?FAMILIAR",IF(F460="NEW",IF(ISNA(VLOOKUP(E460,#REF!,1,FALSE())),"?TYPE_IDENTIFIABLE","?REFERENTIAL"),"_")))))</f>
        <v/>
      </c>
      <c r="H460" s="12" t="str">
        <f t="shared" si="19"/>
        <v/>
      </c>
    </row>
    <row r="461" spans="1:8" x14ac:dyDescent="0.35">
      <c r="A461" t="s">
        <v>246</v>
      </c>
      <c r="E461" s="9" t="str">
        <f t="shared" si="18"/>
        <v/>
      </c>
      <c r="F461" s="10" t="str">
        <f>IF(OR(E461="",E461="!!!"),"",IF(NOT(ISNA(VLOOKUP(E461,E$1:E460,1,FALSE()))),"OLD",IF(AND(E461&lt;&gt;"",E461&lt;&gt;"!!!"),"NEW","")))</f>
        <v/>
      </c>
      <c r="G461" s="11" t="str">
        <f>IF(OR(E461="",E461="!!!"),"",IF(OR(J461=0,AND(J461=1,K461=1),AND(J461=1,I461="SBJ"),AND(J461=1,I461=0)),"?IN_FOCUS",IF(J461&lt;=2,"?ACTIVATED",IF(J461&lt;&gt;"","?FAMILIAR",IF(F461="NEW",IF(ISNA(VLOOKUP(E461,#REF!,1,FALSE())),"?TYPE_IDENTIFIABLE","?REFERENTIAL"),"_")))))</f>
        <v/>
      </c>
      <c r="H461" s="12" t="str">
        <f t="shared" si="19"/>
        <v/>
      </c>
    </row>
    <row r="462" spans="1:8" x14ac:dyDescent="0.35">
      <c r="E462" s="9" t="str">
        <f t="shared" si="18"/>
        <v/>
      </c>
      <c r="F462" s="10" t="str">
        <f>IF(OR(E462="",E462="!!!"),"",IF(NOT(ISNA(VLOOKUP(E462,E$1:E461,1,FALSE()))),"OLD",IF(AND(E462&lt;&gt;"",E462&lt;&gt;"!!!"),"NEW","")))</f>
        <v/>
      </c>
      <c r="G462" s="11" t="str">
        <f>IF(OR(E462="",E462="!!!"),"",IF(OR(J462=0,AND(J462=1,K462=1),AND(J462=1,I462="SBJ"),AND(J462=1,I462=0)),"?IN_FOCUS",IF(J462&lt;=2,"?ACTIVATED",IF(J462&lt;&gt;"","?FAMILIAR",IF(F462="NEW",IF(ISNA(VLOOKUP(E462,#REF!,1,FALSE())),"?TYPE_IDENTIFIABLE","?REFERENTIAL"),"_")))))</f>
        <v/>
      </c>
      <c r="H462" s="12" t="str">
        <f t="shared" si="19"/>
        <v/>
      </c>
    </row>
    <row r="463" spans="1:8" x14ac:dyDescent="0.35">
      <c r="A463" t="s">
        <v>244</v>
      </c>
      <c r="E463" s="9" t="str">
        <f t="shared" si="18"/>
        <v/>
      </c>
      <c r="F463" s="10" t="str">
        <f>IF(OR(E463="",E463="!!!"),"",IF(NOT(ISNA(VLOOKUP(E463,E$1:E462,1,FALSE()))),"OLD",IF(AND(E463&lt;&gt;"",E463&lt;&gt;"!!!"),"NEW","")))</f>
        <v/>
      </c>
      <c r="G463" s="11" t="str">
        <f>IF(OR(E463="",E463="!!!"),"",IF(OR(J463=0,AND(J463=1,K463=1),AND(J463=1,I463="SBJ"),AND(J463=1,I463=0)),"?IN_FOCUS",IF(J463&lt;=2,"?ACTIVATED",IF(J463&lt;&gt;"","?FAMILIAR",IF(F463="NEW",IF(ISNA(VLOOKUP(E463,#REF!,1,FALSE())),"?TYPE_IDENTIFIABLE","?REFERENTIAL"),"_")))))</f>
        <v/>
      </c>
      <c r="H463" s="12" t="str">
        <f t="shared" si="19"/>
        <v/>
      </c>
    </row>
    <row r="464" spans="1:8" x14ac:dyDescent="0.35">
      <c r="A464" t="s">
        <v>293</v>
      </c>
      <c r="E464" s="9" t="str">
        <f t="shared" si="18"/>
        <v/>
      </c>
      <c r="F464" s="10" t="str">
        <f>IF(OR(E464="",E464="!!!"),"",IF(NOT(ISNA(VLOOKUP(E464,E$1:E463,1,FALSE()))),"OLD",IF(AND(E464&lt;&gt;"",E464&lt;&gt;"!!!"),"NEW","")))</f>
        <v/>
      </c>
      <c r="G464" s="11" t="str">
        <f>IF(OR(E464="",E464="!!!"),"",IF(OR(J464=0,AND(J464=1,K464=1),AND(J464=1,I464="SBJ"),AND(J464=1,I464=0)),"?IN_FOCUS",IF(J464&lt;=2,"?ACTIVATED",IF(J464&lt;&gt;"","?FAMILIAR",IF(F464="NEW",IF(ISNA(VLOOKUP(E464,#REF!,1,FALSE())),"?TYPE_IDENTIFIABLE","?REFERENTIAL"),"_")))))</f>
        <v/>
      </c>
      <c r="H464" s="12" t="str">
        <f t="shared" si="19"/>
        <v/>
      </c>
    </row>
    <row r="465" spans="1:12" x14ac:dyDescent="0.35">
      <c r="A465" t="s">
        <v>246</v>
      </c>
      <c r="E465" s="9" t="str">
        <f t="shared" si="18"/>
        <v/>
      </c>
      <c r="F465" s="10" t="str">
        <f>IF(OR(E465="",E465="!!!"),"",IF(NOT(ISNA(VLOOKUP(E465,E$1:E464,1,FALSE()))),"OLD",IF(AND(E465&lt;&gt;"",E465&lt;&gt;"!!!"),"NEW","")))</f>
        <v/>
      </c>
      <c r="G465" s="11"/>
      <c r="H465" s="12" t="str">
        <f t="shared" si="19"/>
        <v/>
      </c>
    </row>
    <row r="466" spans="1:12" x14ac:dyDescent="0.35">
      <c r="A466" t="s">
        <v>156</v>
      </c>
      <c r="B466" t="s">
        <v>20</v>
      </c>
      <c r="C466" t="s">
        <v>49</v>
      </c>
      <c r="D466" t="s">
        <v>16</v>
      </c>
      <c r="E466" s="9" t="s">
        <v>262</v>
      </c>
      <c r="F466" s="10" t="s">
        <v>876</v>
      </c>
      <c r="G466" s="11"/>
      <c r="H466" s="12" t="str">
        <f t="shared" si="19"/>
        <v/>
      </c>
      <c r="L466" t="s">
        <v>878</v>
      </c>
    </row>
    <row r="467" spans="1:12" x14ac:dyDescent="0.35">
      <c r="A467" t="s">
        <v>294</v>
      </c>
      <c r="B467" t="s">
        <v>36</v>
      </c>
      <c r="C467" t="s">
        <v>15</v>
      </c>
      <c r="D467" t="s">
        <v>16</v>
      </c>
      <c r="E467" s="9" t="s">
        <v>262</v>
      </c>
      <c r="F467" s="10" t="s">
        <v>876</v>
      </c>
      <c r="G467" s="11"/>
      <c r="H467" s="12" t="str">
        <f t="shared" si="19"/>
        <v/>
      </c>
      <c r="L467" t="s">
        <v>878</v>
      </c>
    </row>
    <row r="468" spans="1:12" x14ac:dyDescent="0.35">
      <c r="A468" t="s">
        <v>26</v>
      </c>
      <c r="E468" s="9" t="str">
        <f t="shared" si="18"/>
        <v/>
      </c>
      <c r="F468" s="10" t="str">
        <f>IF(OR(E468="",E468="!!!"),"",IF(NOT(ISNA(VLOOKUP(E468,E$1:E467,1,FALSE()))),"OLD",IF(AND(E468&lt;&gt;"",E468&lt;&gt;"!!!"),"NEW","")))</f>
        <v/>
      </c>
      <c r="G468" s="11" t="str">
        <f>IF(OR(E468="",E468="!!!"),"",IF(OR(J468=0,AND(J468=1,K468=1),AND(J468=1,I468="SBJ"),AND(J468=1,I468=0)),"?IN_FOCUS",IF(J468&lt;=2,"?ACTIVATED",IF(J468&lt;&gt;"","?FAMILIAR",IF(F468="NEW",IF(ISNA(VLOOKUP(E468,#REF!,1,FALSE())),"?TYPE_IDENTIFIABLE","?REFERENTIAL"),"_")))))</f>
        <v/>
      </c>
      <c r="H468" s="12" t="str">
        <f t="shared" si="19"/>
        <v/>
      </c>
    </row>
    <row r="469" spans="1:12" x14ac:dyDescent="0.35">
      <c r="A469" t="s">
        <v>31</v>
      </c>
      <c r="B469" t="s">
        <v>36</v>
      </c>
      <c r="C469" t="s">
        <v>33</v>
      </c>
      <c r="D469" t="s">
        <v>16</v>
      </c>
      <c r="E469" s="9" t="s">
        <v>298</v>
      </c>
      <c r="F469" s="10" t="str">
        <f>IF(OR(E469="",E469="!!!"),"",IF(NOT(ISNA(VLOOKUP(E469,E$1:E468,1,FALSE()))),"OLD",IF(AND(E469&lt;&gt;"",E469&lt;&gt;"!!!"),"NEW","")))</f>
        <v>NEW</v>
      </c>
      <c r="G469" s="11" t="s">
        <v>882</v>
      </c>
      <c r="H469" s="12" t="str">
        <f t="shared" si="19"/>
        <v/>
      </c>
    </row>
    <row r="470" spans="1:12" x14ac:dyDescent="0.35">
      <c r="A470" t="s">
        <v>295</v>
      </c>
      <c r="E470" s="9" t="str">
        <f t="shared" si="18"/>
        <v/>
      </c>
      <c r="F470" s="10" t="str">
        <f>IF(OR(E470="",E470="!!!"),"",IF(NOT(ISNA(VLOOKUP(E470,E$1:E469,1,FALSE()))),"OLD",IF(AND(E470&lt;&gt;"",E470&lt;&gt;"!!!"),"NEW","")))</f>
        <v/>
      </c>
      <c r="G470" s="11" t="str">
        <f>IF(OR(E470="",E470="!!!"),"",IF(OR(J470=0,AND(J470=1,K470=1),AND(J470=1,I470="SBJ"),AND(J470=1,I470=0)),"?IN_FOCUS",IF(J470&lt;=2,"?ACTIVATED",IF(J470&lt;&gt;"","?FAMILIAR",IF(F470="NEW",IF(ISNA(VLOOKUP(E470,#REF!,1,FALSE())),"?TYPE_IDENTIFIABLE","?REFERENTIAL"),"_")))))</f>
        <v/>
      </c>
      <c r="H470" s="12" t="str">
        <f t="shared" si="19"/>
        <v/>
      </c>
    </row>
    <row r="471" spans="1:12" x14ac:dyDescent="0.35">
      <c r="A471" t="s">
        <v>224</v>
      </c>
      <c r="E471" s="9" t="str">
        <f t="shared" si="18"/>
        <v/>
      </c>
      <c r="F471" s="10" t="str">
        <f>IF(OR(E471="",E471="!!!"),"",IF(NOT(ISNA(VLOOKUP(E471,E$1:E470,1,FALSE()))),"OLD",IF(AND(E471&lt;&gt;"",E471&lt;&gt;"!!!"),"NEW","")))</f>
        <v/>
      </c>
      <c r="G471" s="11" t="str">
        <f>IF(OR(E471="",E471="!!!"),"",IF(OR(J471=0,AND(J471=1,K471=1),AND(J471=1,I471="SBJ"),AND(J471=1,I471=0)),"?IN_FOCUS",IF(J471&lt;=2,"?ACTIVATED",IF(J471&lt;&gt;"","?FAMILIAR",IF(F471="NEW",IF(ISNA(VLOOKUP(E471,#REF!,1,FALSE())),"?TYPE_IDENTIFIABLE","?REFERENTIAL"),"_")))))</f>
        <v/>
      </c>
      <c r="H471" s="12" t="str">
        <f t="shared" si="19"/>
        <v/>
      </c>
    </row>
    <row r="472" spans="1:12" x14ac:dyDescent="0.35">
      <c r="A472" t="s">
        <v>296</v>
      </c>
      <c r="E472" s="9" t="str">
        <f t="shared" si="18"/>
        <v/>
      </c>
      <c r="F472" s="10" t="str">
        <f>IF(OR(E472="",E472="!!!"),"",IF(NOT(ISNA(VLOOKUP(E472,E$1:E471,1,FALSE()))),"OLD",IF(AND(E472&lt;&gt;"",E472&lt;&gt;"!!!"),"NEW","")))</f>
        <v/>
      </c>
      <c r="G472" s="11" t="str">
        <f>IF(OR(E472="",E472="!!!"),"",IF(OR(J472=0,AND(J472=1,K472=1),AND(J472=1,I472="SBJ"),AND(J472=1,I472=0)),"?IN_FOCUS",IF(J472&lt;=2,"?ACTIVATED",IF(J472&lt;&gt;"","?FAMILIAR",IF(F472="NEW",IF(ISNA(VLOOKUP(E472,#REF!,1,FALSE())),"?TYPE_IDENTIFIABLE","?REFERENTIAL"),"_")))))</f>
        <v/>
      </c>
      <c r="H472" s="12" t="str">
        <f t="shared" si="19"/>
        <v/>
      </c>
    </row>
    <row r="473" spans="1:12" x14ac:dyDescent="0.35">
      <c r="A473" t="s">
        <v>34</v>
      </c>
      <c r="E473" s="9" t="str">
        <f t="shared" si="18"/>
        <v/>
      </c>
      <c r="F473" s="10" t="str">
        <f>IF(OR(E473="",E473="!!!"),"",IF(NOT(ISNA(VLOOKUP(E473,E$1:E472,1,FALSE()))),"OLD",IF(AND(E473&lt;&gt;"",E473&lt;&gt;"!!!"),"NEW","")))</f>
        <v/>
      </c>
      <c r="G473" s="11" t="str">
        <f>IF(OR(E473="",E473="!!!"),"",IF(OR(J473=0,AND(J473=1,K473=1),AND(J473=1,I473="SBJ"),AND(J473=1,I473=0)),"?IN_FOCUS",IF(J473&lt;=2,"?ACTIVATED",IF(J473&lt;&gt;"","?FAMILIAR",IF(F473="NEW",IF(ISNA(VLOOKUP(E473,#REF!,1,FALSE())),"?TYPE_IDENTIFIABLE","?REFERENTIAL"),"_")))))</f>
        <v/>
      </c>
      <c r="H473" s="12" t="str">
        <f t="shared" si="19"/>
        <v/>
      </c>
    </row>
    <row r="474" spans="1:12" x14ac:dyDescent="0.35">
      <c r="A474" t="s">
        <v>101</v>
      </c>
      <c r="E474" s="9" t="str">
        <f t="shared" si="18"/>
        <v/>
      </c>
      <c r="F474" s="10" t="str">
        <f>IF(OR(E474="",E474="!!!"),"",IF(NOT(ISNA(VLOOKUP(E474,E$1:E473,1,FALSE()))),"OLD",IF(AND(E474&lt;&gt;"",E474&lt;&gt;"!!!"),"NEW","")))</f>
        <v/>
      </c>
      <c r="G474" s="11" t="str">
        <f>IF(OR(E474="",E474="!!!"),"",IF(OR(J474=0,AND(J474=1,K474=1),AND(J474=1,I474="SBJ"),AND(J474=1,I474=0)),"?IN_FOCUS",IF(J474&lt;=2,"?ACTIVATED",IF(J474&lt;&gt;"","?FAMILIAR",IF(F474="NEW",IF(ISNA(VLOOKUP(E474,#REF!,1,FALSE())),"?TYPE_IDENTIFIABLE","?REFERENTIAL"),"_")))))</f>
        <v/>
      </c>
      <c r="H474" s="12" t="str">
        <f t="shared" si="19"/>
        <v/>
      </c>
    </row>
    <row r="475" spans="1:12" x14ac:dyDescent="0.35">
      <c r="A475" t="s">
        <v>297</v>
      </c>
      <c r="E475" s="9" t="str">
        <f t="shared" si="18"/>
        <v/>
      </c>
      <c r="F475" s="10" t="str">
        <f>IF(OR(E475="",E475="!!!"),"",IF(NOT(ISNA(VLOOKUP(E475,E$1:E474,1,FALSE()))),"OLD",IF(AND(E475&lt;&gt;"",E475&lt;&gt;"!!!"),"NEW","")))</f>
        <v/>
      </c>
      <c r="G475" s="11" t="str">
        <f>IF(OR(E475="",E475="!!!"),"",IF(OR(J475=0,AND(J475=1,K475=1),AND(J475=1,I475="SBJ"),AND(J475=1,I475=0)),"?IN_FOCUS",IF(J475&lt;=2,"?ACTIVATED",IF(J475&lt;&gt;"","?FAMILIAR",IF(F475="NEW",IF(ISNA(VLOOKUP(E475,#REF!,1,FALSE())),"?TYPE_IDENTIFIABLE","?REFERENTIAL"),"_")))))</f>
        <v/>
      </c>
      <c r="H475" s="12" t="str">
        <f t="shared" si="19"/>
        <v/>
      </c>
    </row>
    <row r="476" spans="1:12" x14ac:dyDescent="0.35">
      <c r="A476" t="s">
        <v>298</v>
      </c>
      <c r="B476" t="s">
        <v>91</v>
      </c>
      <c r="C476" t="s">
        <v>37</v>
      </c>
      <c r="E476" s="9" t="str">
        <f t="shared" si="18"/>
        <v/>
      </c>
      <c r="F476" s="10" t="str">
        <f>IF(OR(E476="",E476="!!!"),"",IF(NOT(ISNA(VLOOKUP(E476,E$1:E475,1,FALSE()))),"OLD",IF(AND(E476&lt;&gt;"",E476&lt;&gt;"!!!"),"NEW","")))</f>
        <v/>
      </c>
      <c r="G476" s="11" t="str">
        <f>IF(OR(E476="",E476="!!!"),"",IF(OR(J476=0,AND(J476=1,K476=1),AND(J476=1,I476="SBJ"),AND(J476=1,I476=0)),"?IN_FOCUS",IF(J476&lt;=2,"?ACTIVATED",IF(J476&lt;&gt;"","?FAMILIAR",IF(F476="NEW",IF(ISNA(VLOOKUP(E476,#REF!,1,FALSE())),"?TYPE_IDENTIFIABLE","?REFERENTIAL"),"_")))))</f>
        <v/>
      </c>
      <c r="H476" s="12" t="str">
        <f t="shared" si="19"/>
        <v/>
      </c>
    </row>
    <row r="477" spans="1:12" x14ac:dyDescent="0.35">
      <c r="A477" t="s">
        <v>26</v>
      </c>
      <c r="E477" s="9" t="str">
        <f t="shared" si="18"/>
        <v/>
      </c>
      <c r="F477" s="10" t="str">
        <f>IF(OR(E477="",E477="!!!"),"",IF(NOT(ISNA(VLOOKUP(E477,E$1:E476,1,FALSE()))),"OLD",IF(AND(E477&lt;&gt;"",E477&lt;&gt;"!!!"),"NEW","")))</f>
        <v/>
      </c>
      <c r="G477" s="11" t="str">
        <f>IF(OR(E477="",E477="!!!"),"",IF(OR(J477=0,AND(J477=1,K477=1),AND(J477=1,I477="SBJ"),AND(J477=1,I477=0)),"?IN_FOCUS",IF(J477&lt;=2,"?ACTIVATED",IF(J477&lt;&gt;"","?FAMILIAR",IF(F477="NEW",IF(ISNA(VLOOKUP(E477,#REF!,1,FALSE())),"?TYPE_IDENTIFIABLE","?REFERENTIAL"),"_")))))</f>
        <v/>
      </c>
      <c r="H477" s="12" t="str">
        <f t="shared" si="19"/>
        <v/>
      </c>
    </row>
    <row r="478" spans="1:12" x14ac:dyDescent="0.35">
      <c r="A478" t="s">
        <v>246</v>
      </c>
      <c r="E478" s="9" t="str">
        <f t="shared" si="18"/>
        <v/>
      </c>
      <c r="F478" s="10" t="str">
        <f>IF(OR(E478="",E478="!!!"),"",IF(NOT(ISNA(VLOOKUP(E478,E$1:E477,1,FALSE()))),"OLD",IF(AND(E478&lt;&gt;"",E478&lt;&gt;"!!!"),"NEW","")))</f>
        <v/>
      </c>
      <c r="G478" s="11" t="str">
        <f>IF(OR(E478="",E478="!!!"),"",IF(OR(J478=0,AND(J478=1,K478=1),AND(J478=1,I478="SBJ"),AND(J478=1,I478=0)),"?IN_FOCUS",IF(J478&lt;=2,"?ACTIVATED",IF(J478&lt;&gt;"","?FAMILIAR",IF(F478="NEW",IF(ISNA(VLOOKUP(E478,#REF!,1,FALSE())),"?TYPE_IDENTIFIABLE","?REFERENTIAL"),"_")))))</f>
        <v/>
      </c>
      <c r="H478" s="12" t="str">
        <f t="shared" si="19"/>
        <v/>
      </c>
    </row>
    <row r="479" spans="1:12" x14ac:dyDescent="0.35">
      <c r="A479" t="s">
        <v>140</v>
      </c>
      <c r="E479" s="9" t="str">
        <f t="shared" si="18"/>
        <v/>
      </c>
      <c r="F479" s="10" t="str">
        <f>IF(OR(E479="",E479="!!!"),"",IF(NOT(ISNA(VLOOKUP(E479,E$1:E478,1,FALSE()))),"OLD",IF(AND(E479&lt;&gt;"",E479&lt;&gt;"!!!"),"NEW","")))</f>
        <v/>
      </c>
      <c r="G479" s="11" t="str">
        <f>IF(OR(E479="",E479="!!!"),"",IF(OR(J479=0,AND(J479=1,K479=1),AND(J479=1,I479="SBJ"),AND(J479=1,I479=0)),"?IN_FOCUS",IF(J479&lt;=2,"?ACTIVATED",IF(J479&lt;&gt;"","?FAMILIAR",IF(F479="NEW",IF(ISNA(VLOOKUP(E479,#REF!,1,FALSE())),"?TYPE_IDENTIFIABLE","?REFERENTIAL"),"_")))))</f>
        <v/>
      </c>
      <c r="H479" s="12" t="str">
        <f t="shared" si="19"/>
        <v/>
      </c>
    </row>
    <row r="480" spans="1:12" x14ac:dyDescent="0.35">
      <c r="A480" t="s">
        <v>58</v>
      </c>
      <c r="E480" s="9" t="str">
        <f t="shared" si="18"/>
        <v/>
      </c>
      <c r="F480" s="10" t="str">
        <f>IF(OR(E480="",E480="!!!"),"",IF(NOT(ISNA(VLOOKUP(E480,E$1:E479,1,FALSE()))),"OLD",IF(AND(E480&lt;&gt;"",E480&lt;&gt;"!!!"),"NEW","")))</f>
        <v/>
      </c>
      <c r="G480" s="11" t="str">
        <f>IF(OR(E480="",E480="!!!"),"",IF(OR(J480=0,AND(J480=1,K480=1),AND(J480=1,I480="SBJ"),AND(J480=1,I480=0)),"?IN_FOCUS",IF(J480&lt;=2,"?ACTIVATED",IF(J480&lt;&gt;"","?FAMILIAR",IF(F480="NEW",IF(ISNA(VLOOKUP(E480,#REF!,1,FALSE())),"?TYPE_IDENTIFIABLE","?REFERENTIAL"),"_")))))</f>
        <v/>
      </c>
      <c r="H480" s="12" t="str">
        <f t="shared" si="19"/>
        <v/>
      </c>
    </row>
    <row r="481" spans="1:8" x14ac:dyDescent="0.35">
      <c r="A481" t="s">
        <v>254</v>
      </c>
      <c r="B481" t="s">
        <v>14</v>
      </c>
      <c r="C481" t="s">
        <v>99</v>
      </c>
      <c r="D481" t="s">
        <v>16</v>
      </c>
      <c r="E481" s="9" t="s">
        <v>250</v>
      </c>
      <c r="F481" s="10" t="str">
        <f>IF(OR(E481="",E481="!!!"),"",IF(NOT(ISNA(VLOOKUP(E481,E$1:E480,1,FALSE()))),"OLD",IF(AND(E481&lt;&gt;"",E481&lt;&gt;"!!!"),"NEW","")))</f>
        <v>OLD</v>
      </c>
      <c r="G481" s="11" t="s">
        <v>874</v>
      </c>
      <c r="H481" s="12" t="str">
        <f t="shared" si="19"/>
        <v/>
      </c>
    </row>
    <row r="482" spans="1:8" x14ac:dyDescent="0.35">
      <c r="A482" t="s">
        <v>159</v>
      </c>
      <c r="E482" s="9" t="str">
        <f t="shared" si="18"/>
        <v/>
      </c>
      <c r="F482" s="10" t="str">
        <f>IF(OR(E482="",E482="!!!"),"",IF(NOT(ISNA(VLOOKUP(E482,E$1:E481,1,FALSE()))),"OLD",IF(AND(E482&lt;&gt;"",E482&lt;&gt;"!!!"),"NEW","")))</f>
        <v/>
      </c>
      <c r="G482" s="11" t="str">
        <f>IF(OR(E482="",E482="!!!"),"",IF(OR(J482=0,AND(J482=1,K482=1),AND(J482=1,I482="SBJ"),AND(J482=1,I482=0)),"?IN_FOCUS",IF(J482&lt;=2,"?ACTIVATED",IF(J482&lt;&gt;"","?FAMILIAR",IF(F482="NEW",IF(ISNA(VLOOKUP(E482,#REF!,1,FALSE())),"?TYPE_IDENTIFIABLE","?REFERENTIAL"),"_")))))</f>
        <v/>
      </c>
      <c r="H482" s="12" t="str">
        <f t="shared" si="19"/>
        <v/>
      </c>
    </row>
    <row r="483" spans="1:8" x14ac:dyDescent="0.35">
      <c r="A483" t="s">
        <v>34</v>
      </c>
      <c r="E483" s="9" t="str">
        <f t="shared" si="18"/>
        <v/>
      </c>
      <c r="F483" s="10" t="str">
        <f>IF(OR(E483="",E483="!!!"),"",IF(NOT(ISNA(VLOOKUP(E483,E$1:E482,1,FALSE()))),"OLD",IF(AND(E483&lt;&gt;"",E483&lt;&gt;"!!!"),"NEW","")))</f>
        <v/>
      </c>
      <c r="G483" s="11" t="str">
        <f>IF(OR(E483="",E483="!!!"),"",IF(OR(J483=0,AND(J483=1,K483=1),AND(J483=1,I483="SBJ"),AND(J483=1,I483=0)),"?IN_FOCUS",IF(J483&lt;=2,"?ACTIVATED",IF(J483&lt;&gt;"","?FAMILIAR",IF(F483="NEW",IF(ISNA(VLOOKUP(E483,#REF!,1,FALSE())),"?TYPE_IDENTIFIABLE","?REFERENTIAL"),"_")))))</f>
        <v/>
      </c>
      <c r="H483" s="12" t="str">
        <f t="shared" si="19"/>
        <v/>
      </c>
    </row>
    <row r="484" spans="1:8" x14ac:dyDescent="0.35">
      <c r="A484" t="s">
        <v>299</v>
      </c>
      <c r="B484" t="s">
        <v>24</v>
      </c>
      <c r="C484" t="s">
        <v>37</v>
      </c>
      <c r="E484" s="9" t="str">
        <f t="shared" si="18"/>
        <v/>
      </c>
      <c r="F484" s="10" t="str">
        <f>IF(OR(E484="",E484="!!!"),"",IF(NOT(ISNA(VLOOKUP(E484,E$1:E483,1,FALSE()))),"OLD",IF(AND(E484&lt;&gt;"",E484&lt;&gt;"!!!"),"NEW","")))</f>
        <v/>
      </c>
      <c r="G484" s="11" t="str">
        <f>IF(OR(E484="",E484="!!!"),"",IF(OR(J484=0,AND(J484=1,K484=1),AND(J484=1,I484="SBJ"),AND(J484=1,I484=0)),"?IN_FOCUS",IF(J484&lt;=2,"?ACTIVATED",IF(J484&lt;&gt;"","?FAMILIAR",IF(F484="NEW",IF(ISNA(VLOOKUP(E484,#REF!,1,FALSE())),"?TYPE_IDENTIFIABLE","?REFERENTIAL"),"_")))))</f>
        <v/>
      </c>
      <c r="H484" s="12" t="str">
        <f t="shared" si="19"/>
        <v/>
      </c>
    </row>
    <row r="485" spans="1:8" x14ac:dyDescent="0.35">
      <c r="A485" t="s">
        <v>26</v>
      </c>
      <c r="E485" s="9" t="str">
        <f t="shared" si="18"/>
        <v/>
      </c>
      <c r="F485" s="10" t="str">
        <f>IF(OR(E485="",E485="!!!"),"",IF(NOT(ISNA(VLOOKUP(E485,E$1:E484,1,FALSE()))),"OLD",IF(AND(E485&lt;&gt;"",E485&lt;&gt;"!!!"),"NEW","")))</f>
        <v/>
      </c>
      <c r="G485" s="11" t="str">
        <f>IF(OR(E485="",E485="!!!"),"",IF(OR(J485=0,AND(J485=1,K485=1),AND(J485=1,I485="SBJ"),AND(J485=1,I485=0)),"?IN_FOCUS",IF(J485&lt;=2,"?ACTIVATED",IF(J485&lt;&gt;"","?FAMILIAR",IF(F485="NEW",IF(ISNA(VLOOKUP(E485,#REF!,1,FALSE())),"?TYPE_IDENTIFIABLE","?REFERENTIAL"),"_")))))</f>
        <v/>
      </c>
      <c r="H485" s="12" t="str">
        <f t="shared" si="19"/>
        <v/>
      </c>
    </row>
    <row r="486" spans="1:8" x14ac:dyDescent="0.35">
      <c r="A486" t="s">
        <v>300</v>
      </c>
      <c r="E486" s="9" t="str">
        <f t="shared" si="18"/>
        <v/>
      </c>
      <c r="F486" s="10" t="str">
        <f>IF(OR(E486="",E486="!!!"),"",IF(NOT(ISNA(VLOOKUP(E486,E$1:E485,1,FALSE()))),"OLD",IF(AND(E486&lt;&gt;"",E486&lt;&gt;"!!!"),"NEW","")))</f>
        <v/>
      </c>
      <c r="G486" s="11" t="str">
        <f>IF(OR(E486="",E486="!!!"),"",IF(OR(J486=0,AND(J486=1,K486=1),AND(J486=1,I486="SBJ"),AND(J486=1,I486=0)),"?IN_FOCUS",IF(J486&lt;=2,"?ACTIVATED",IF(J486&lt;&gt;"","?FAMILIAR",IF(F486="NEW",IF(ISNA(VLOOKUP(E486,#REF!,1,FALSE())),"?TYPE_IDENTIFIABLE","?REFERENTIAL"),"_")))))</f>
        <v/>
      </c>
      <c r="H486" s="12" t="str">
        <f t="shared" si="19"/>
        <v/>
      </c>
    </row>
    <row r="487" spans="1:8" x14ac:dyDescent="0.35">
      <c r="A487" t="s">
        <v>301</v>
      </c>
      <c r="E487" s="9" t="str">
        <f t="shared" si="18"/>
        <v/>
      </c>
      <c r="F487" s="10" t="str">
        <f>IF(OR(E487="",E487="!!!"),"",IF(NOT(ISNA(VLOOKUP(E487,E$1:E486,1,FALSE()))),"OLD",IF(AND(E487&lt;&gt;"",E487&lt;&gt;"!!!"),"NEW","")))</f>
        <v/>
      </c>
      <c r="G487" s="11" t="str">
        <f>IF(OR(E487="",E487="!!!"),"",IF(OR(J487=0,AND(J487=1,K487=1),AND(J487=1,I487="SBJ"),AND(J487=1,I487=0)),"?IN_FOCUS",IF(J487&lt;=2,"?ACTIVATED",IF(J487&lt;&gt;"","?FAMILIAR",IF(F487="NEW",IF(ISNA(VLOOKUP(E487,#REF!,1,FALSE())),"?TYPE_IDENTIFIABLE","?REFERENTIAL"),"_")))))</f>
        <v/>
      </c>
      <c r="H487" s="12" t="str">
        <f t="shared" si="19"/>
        <v/>
      </c>
    </row>
    <row r="488" spans="1:8" x14ac:dyDescent="0.35">
      <c r="A488" t="s">
        <v>85</v>
      </c>
      <c r="B488" t="s">
        <v>95</v>
      </c>
      <c r="C488" t="s">
        <v>33</v>
      </c>
      <c r="D488" t="s">
        <v>16</v>
      </c>
      <c r="E488" s="9" t="s">
        <v>250</v>
      </c>
      <c r="F488" s="10" t="str">
        <f>IF(OR(E488="",E488="!!!"),"",IF(NOT(ISNA(VLOOKUP(E488,E$1:E487,1,FALSE()))),"OLD",IF(AND(E488&lt;&gt;"",E488&lt;&gt;"!!!"),"NEW","")))</f>
        <v>OLD</v>
      </c>
      <c r="G488" s="11" t="s">
        <v>870</v>
      </c>
      <c r="H488" s="12" t="str">
        <f t="shared" si="19"/>
        <v/>
      </c>
    </row>
    <row r="489" spans="1:8" x14ac:dyDescent="0.35">
      <c r="A489" t="s">
        <v>131</v>
      </c>
      <c r="E489" s="9" t="str">
        <f t="shared" si="18"/>
        <v/>
      </c>
      <c r="F489" s="10" t="str">
        <f>IF(OR(E489="",E489="!!!"),"",IF(NOT(ISNA(VLOOKUP(E489,E$1:E488,1,FALSE()))),"OLD",IF(AND(E489&lt;&gt;"",E489&lt;&gt;"!!!"),"NEW","")))</f>
        <v/>
      </c>
      <c r="G489" s="11" t="str">
        <f>IF(OR(E489="",E489="!!!"),"",IF(OR(J489=0,AND(J489=1,K489=1),AND(J489=1,I489="SBJ"),AND(J489=1,I489=0)),"?IN_FOCUS",IF(J489&lt;=2,"?ACTIVATED",IF(J489&lt;&gt;"","?FAMILIAR",IF(F489="NEW",IF(ISNA(VLOOKUP(E489,#REF!,1,FALSE())),"?TYPE_IDENTIFIABLE","?REFERENTIAL"),"_")))))</f>
        <v/>
      </c>
      <c r="H489" s="12" t="str">
        <f t="shared" si="19"/>
        <v/>
      </c>
    </row>
    <row r="490" spans="1:8" x14ac:dyDescent="0.35">
      <c r="A490" t="s">
        <v>58</v>
      </c>
      <c r="E490" s="9" t="str">
        <f t="shared" si="18"/>
        <v/>
      </c>
      <c r="F490" s="10" t="str">
        <f>IF(OR(E490="",E490="!!!"),"",IF(NOT(ISNA(VLOOKUP(E490,E$1:E489,1,FALSE()))),"OLD",IF(AND(E490&lt;&gt;"",E490&lt;&gt;"!!!"),"NEW","")))</f>
        <v/>
      </c>
      <c r="G490" s="11" t="str">
        <f>IF(OR(E490="",E490="!!!"),"",IF(OR(J490=0,AND(J490=1,K490=1),AND(J490=1,I490="SBJ"),AND(J490=1,I490=0)),"?IN_FOCUS",IF(J490&lt;=2,"?ACTIVATED",IF(J490&lt;&gt;"","?FAMILIAR",IF(F490="NEW",IF(ISNA(VLOOKUP(E490,#REF!,1,FALSE())),"?TYPE_IDENTIFIABLE","?REFERENTIAL"),"_")))))</f>
        <v/>
      </c>
      <c r="H490" s="12" t="str">
        <f t="shared" si="19"/>
        <v/>
      </c>
    </row>
    <row r="491" spans="1:8" x14ac:dyDescent="0.35">
      <c r="A491" t="s">
        <v>302</v>
      </c>
      <c r="E491" s="9" t="str">
        <f t="shared" si="18"/>
        <v/>
      </c>
      <c r="F491" s="10" t="str">
        <f>IF(OR(E491="",E491="!!!"),"",IF(NOT(ISNA(VLOOKUP(E491,E$1:E490,1,FALSE()))),"OLD",IF(AND(E491&lt;&gt;"",E491&lt;&gt;"!!!"),"NEW","")))</f>
        <v/>
      </c>
      <c r="G491" s="11" t="str">
        <f>IF(OR(E491="",E491="!!!"),"",IF(OR(J491=0,AND(J491=1,K491=1),AND(J491=1,I491="SBJ"),AND(J491=1,I491=0)),"?IN_FOCUS",IF(J491&lt;=2,"?ACTIVATED",IF(J491&lt;&gt;"","?FAMILIAR",IF(F491="NEW",IF(ISNA(VLOOKUP(E491,#REF!,1,FALSE())),"?TYPE_IDENTIFIABLE","?REFERENTIAL"),"_")))))</f>
        <v/>
      </c>
      <c r="H491" s="12" t="str">
        <f t="shared" si="19"/>
        <v/>
      </c>
    </row>
    <row r="492" spans="1:8" x14ac:dyDescent="0.35">
      <c r="A492" t="s">
        <v>303</v>
      </c>
      <c r="B492" t="s">
        <v>20</v>
      </c>
      <c r="C492" t="s">
        <v>15</v>
      </c>
      <c r="D492" t="s">
        <v>16</v>
      </c>
      <c r="E492" s="9" t="s">
        <v>262</v>
      </c>
      <c r="F492" s="10" t="str">
        <f>IF(OR(E492="",E492="!!!"),"",IF(NOT(ISNA(VLOOKUP(E492,E$1:E491,1,FALSE()))),"OLD",IF(AND(E492&lt;&gt;"",E492&lt;&gt;"!!!"),"NEW","")))</f>
        <v>OLD</v>
      </c>
      <c r="G492" s="11"/>
      <c r="H492" s="12" t="str">
        <f t="shared" si="19"/>
        <v/>
      </c>
    </row>
    <row r="493" spans="1:8" x14ac:dyDescent="0.35">
      <c r="A493" t="s">
        <v>17</v>
      </c>
      <c r="E493" s="9" t="str">
        <f t="shared" si="18"/>
        <v/>
      </c>
      <c r="F493" s="10" t="str">
        <f>IF(OR(E493="",E493="!!!"),"",IF(NOT(ISNA(VLOOKUP(E493,E$1:E492,1,FALSE()))),"OLD",IF(AND(E493&lt;&gt;"",E493&lt;&gt;"!!!"),"NEW","")))</f>
        <v/>
      </c>
      <c r="G493" s="11" t="str">
        <f>IF(OR(E493="",E493="!!!"),"",IF(OR(J493=0,AND(J493=1,K493=1),AND(J493=1,I493="SBJ"),AND(J493=1,I493=0)),"?IN_FOCUS",IF(J493&lt;=2,"?ACTIVATED",IF(J493&lt;&gt;"","?FAMILIAR",IF(F493="NEW",IF(ISNA(VLOOKUP(E493,#REF!,1,FALSE())),"?TYPE_IDENTIFIABLE","?REFERENTIAL"),"_")))))</f>
        <v/>
      </c>
      <c r="H493" s="12" t="str">
        <f t="shared" si="19"/>
        <v/>
      </c>
    </row>
    <row r="494" spans="1:8" x14ac:dyDescent="0.35">
      <c r="A494" t="s">
        <v>58</v>
      </c>
      <c r="E494" s="9" t="str">
        <f t="shared" si="18"/>
        <v/>
      </c>
      <c r="F494" s="10" t="str">
        <f>IF(OR(E494="",E494="!!!"),"",IF(NOT(ISNA(VLOOKUP(E494,E$1:E493,1,FALSE()))),"OLD",IF(AND(E494&lt;&gt;"",E494&lt;&gt;"!!!"),"NEW","")))</f>
        <v/>
      </c>
      <c r="G494" s="11" t="str">
        <f>IF(OR(E494="",E494="!!!"),"",IF(OR(J494=0,AND(J494=1,K494=1),AND(J494=1,I494="SBJ"),AND(J494=1,I494=0)),"?IN_FOCUS",IF(J494&lt;=2,"?ACTIVATED",IF(J494&lt;&gt;"","?FAMILIAR",IF(F494="NEW",IF(ISNA(VLOOKUP(E494,#REF!,1,FALSE())),"?TYPE_IDENTIFIABLE","?REFERENTIAL"),"_")))))</f>
        <v/>
      </c>
      <c r="H494" s="12" t="str">
        <f t="shared" si="19"/>
        <v/>
      </c>
    </row>
    <row r="495" spans="1:8" x14ac:dyDescent="0.35">
      <c r="A495" t="s">
        <v>304</v>
      </c>
      <c r="B495" t="s">
        <v>56</v>
      </c>
      <c r="C495" t="s">
        <v>21</v>
      </c>
      <c r="D495" t="s">
        <v>16</v>
      </c>
      <c r="E495" s="9" t="s">
        <v>262</v>
      </c>
      <c r="F495" s="10" t="str">
        <f>IF(OR(E495="",E495="!!!"),"",IF(NOT(ISNA(VLOOKUP(E495,E$1:E494,1,FALSE()))),"OLD",IF(AND(E495&lt;&gt;"",E495&lt;&gt;"!!!"),"NEW","")))</f>
        <v>OLD</v>
      </c>
      <c r="G495" s="11"/>
      <c r="H495" s="12" t="str">
        <f t="shared" si="19"/>
        <v/>
      </c>
    </row>
    <row r="496" spans="1:8" x14ac:dyDescent="0.35">
      <c r="A496" t="s">
        <v>76</v>
      </c>
      <c r="E496" s="9" t="str">
        <f t="shared" si="18"/>
        <v/>
      </c>
      <c r="F496" s="10" t="str">
        <f>IF(OR(E496="",E496="!!!"),"",IF(NOT(ISNA(VLOOKUP(E496,E$1:E495,1,FALSE()))),"OLD",IF(AND(E496&lt;&gt;"",E496&lt;&gt;"!!!"),"NEW","")))</f>
        <v/>
      </c>
      <c r="G496" s="11" t="str">
        <f>IF(OR(E496="",E496="!!!"),"",IF(OR(J496=0,AND(J496=1,K496=1),AND(J496=1,I496="SBJ"),AND(J496=1,I496=0)),"?IN_FOCUS",IF(J496&lt;=2,"?ACTIVATED",IF(J496&lt;&gt;"","?FAMILIAR",IF(F496="NEW",IF(ISNA(VLOOKUP(E496,#REF!,1,FALSE())),"?TYPE_IDENTIFIABLE","?REFERENTIAL"),"_")))))</f>
        <v/>
      </c>
      <c r="H496" s="12" t="str">
        <f t="shared" si="19"/>
        <v/>
      </c>
    </row>
    <row r="497" spans="1:8" x14ac:dyDescent="0.35">
      <c r="A497" t="s">
        <v>131</v>
      </c>
      <c r="E497" s="9" t="str">
        <f t="shared" si="18"/>
        <v/>
      </c>
      <c r="F497" s="10" t="str">
        <f>IF(OR(E497="",E497="!!!"),"",IF(NOT(ISNA(VLOOKUP(E497,E$1:E496,1,FALSE()))),"OLD",IF(AND(E497&lt;&gt;"",E497&lt;&gt;"!!!"),"NEW","")))</f>
        <v/>
      </c>
      <c r="G497" s="11" t="str">
        <f>IF(OR(E497="",E497="!!!"),"",IF(OR(J497=0,AND(J497=1,K497=1),AND(J497=1,I497="SBJ"),AND(J497=1,I497=0)),"?IN_FOCUS",IF(J497&lt;=2,"?ACTIVATED",IF(J497&lt;&gt;"","?FAMILIAR",IF(F497="NEW",IF(ISNA(VLOOKUP(E497,#REF!,1,FALSE())),"?TYPE_IDENTIFIABLE","?REFERENTIAL"),"_")))))</f>
        <v/>
      </c>
      <c r="H497" s="12" t="str">
        <f t="shared" si="19"/>
        <v/>
      </c>
    </row>
    <row r="498" spans="1:8" x14ac:dyDescent="0.35">
      <c r="A498" t="s">
        <v>58</v>
      </c>
      <c r="E498" s="9" t="str">
        <f t="shared" si="18"/>
        <v/>
      </c>
      <c r="F498" s="10" t="str">
        <f>IF(OR(E498="",E498="!!!"),"",IF(NOT(ISNA(VLOOKUP(E498,E$1:E497,1,FALSE()))),"OLD",IF(AND(E498&lt;&gt;"",E498&lt;&gt;"!!!"),"NEW","")))</f>
        <v/>
      </c>
      <c r="G498" s="11" t="str">
        <f>IF(OR(E498="",E498="!!!"),"",IF(OR(J498=0,AND(J498=1,K498=1),AND(J498=1,I498="SBJ"),AND(J498=1,I498=0)),"?IN_FOCUS",IF(J498&lt;=2,"?ACTIVATED",IF(J498&lt;&gt;"","?FAMILIAR",IF(F498="NEW",IF(ISNA(VLOOKUP(E498,#REF!,1,FALSE())),"?TYPE_IDENTIFIABLE","?REFERENTIAL"),"_")))))</f>
        <v/>
      </c>
      <c r="H498" s="12" t="str">
        <f t="shared" si="19"/>
        <v/>
      </c>
    </row>
    <row r="499" spans="1:8" x14ac:dyDescent="0.35">
      <c r="A499" t="s">
        <v>305</v>
      </c>
      <c r="E499" s="9" t="str">
        <f t="shared" si="18"/>
        <v/>
      </c>
      <c r="F499" s="10" t="str">
        <f>IF(OR(E499="",E499="!!!"),"",IF(NOT(ISNA(VLOOKUP(E499,E$1:E498,1,FALSE()))),"OLD",IF(AND(E499&lt;&gt;"",E499&lt;&gt;"!!!"),"NEW","")))</f>
        <v/>
      </c>
      <c r="G499" s="11" t="str">
        <f>IF(OR(E499="",E499="!!!"),"",IF(OR(J499=0,AND(J499=1,K499=1),AND(J499=1,I499="SBJ"),AND(J499=1,I499=0)),"?IN_FOCUS",IF(J499&lt;=2,"?ACTIVATED",IF(J499&lt;&gt;"","?FAMILIAR",IF(F499="NEW",IF(ISNA(VLOOKUP(E499,#REF!,1,FALSE())),"?TYPE_IDENTIFIABLE","?REFERENTIAL"),"_")))))</f>
        <v/>
      </c>
      <c r="H499" s="12" t="str">
        <f t="shared" si="19"/>
        <v/>
      </c>
    </row>
    <row r="500" spans="1:8" x14ac:dyDescent="0.35">
      <c r="A500" t="s">
        <v>306</v>
      </c>
      <c r="B500" t="s">
        <v>20</v>
      </c>
      <c r="C500" t="s">
        <v>99</v>
      </c>
      <c r="D500" t="s">
        <v>16</v>
      </c>
      <c r="E500" s="9" t="s">
        <v>262</v>
      </c>
      <c r="F500" s="10" t="str">
        <f>IF(OR(E500="",E500="!!!"),"",IF(NOT(ISNA(VLOOKUP(E500,E$1:E499,1,FALSE()))),"OLD",IF(AND(E500&lt;&gt;"",E500&lt;&gt;"!!!"),"NEW","")))</f>
        <v>OLD</v>
      </c>
      <c r="G500" s="11"/>
      <c r="H500" s="12" t="str">
        <f t="shared" si="19"/>
        <v/>
      </c>
    </row>
    <row r="501" spans="1:8" x14ac:dyDescent="0.35">
      <c r="A501" t="s">
        <v>17</v>
      </c>
      <c r="E501" s="9" t="str">
        <f t="shared" si="18"/>
        <v/>
      </c>
      <c r="F501" s="10" t="str">
        <f>IF(OR(E501="",E501="!!!"),"",IF(NOT(ISNA(VLOOKUP(E501,E$1:E500,1,FALSE()))),"OLD",IF(AND(E501&lt;&gt;"",E501&lt;&gt;"!!!"),"NEW","")))</f>
        <v/>
      </c>
      <c r="G501" s="11" t="str">
        <f>IF(OR(E501="",E501="!!!"),"",IF(OR(J501=0,AND(J501=1,K501=1),AND(J501=1,I501="SBJ"),AND(J501=1,I501=0)),"?IN_FOCUS",IF(J501&lt;=2,"?ACTIVATED",IF(J501&lt;&gt;"","?FAMILIAR",IF(F501="NEW",IF(ISNA(VLOOKUP(E501,#REF!,1,FALSE())),"?TYPE_IDENTIFIABLE","?REFERENTIAL"),"_")))))</f>
        <v/>
      </c>
      <c r="H501" s="12" t="str">
        <f t="shared" si="19"/>
        <v/>
      </c>
    </row>
    <row r="502" spans="1:8" x14ac:dyDescent="0.35">
      <c r="A502" t="s">
        <v>307</v>
      </c>
      <c r="B502" t="s">
        <v>56</v>
      </c>
      <c r="C502" t="s">
        <v>108</v>
      </c>
      <c r="E502" s="9" t="str">
        <f t="shared" si="18"/>
        <v/>
      </c>
      <c r="F502" s="10" t="str">
        <f>IF(OR(E502="",E502="!!!"),"",IF(NOT(ISNA(VLOOKUP(E502,E$1:E501,1,FALSE()))),"OLD",IF(AND(E502&lt;&gt;"",E502&lt;&gt;"!!!"),"NEW","")))</f>
        <v/>
      </c>
      <c r="G502" s="11" t="str">
        <f>IF(OR(E502="",E502="!!!"),"",IF(OR(J502=0,AND(J502=1,K502=1),AND(J502=1,I502="SBJ"),AND(J502=1,I502=0)),"?IN_FOCUS",IF(J502&lt;=2,"?ACTIVATED",IF(J502&lt;&gt;"","?FAMILIAR",IF(F502="NEW",IF(ISNA(VLOOKUP(E502,#REF!,1,FALSE())),"?TYPE_IDENTIFIABLE","?REFERENTIAL"),"_")))))</f>
        <v/>
      </c>
      <c r="H502" s="12" t="str">
        <f t="shared" si="19"/>
        <v/>
      </c>
    </row>
    <row r="503" spans="1:8" x14ac:dyDescent="0.35">
      <c r="A503" t="s">
        <v>73</v>
      </c>
      <c r="B503" t="s">
        <v>308</v>
      </c>
      <c r="E503" s="9" t="str">
        <f t="shared" ref="E503:E566" si="20">IF(D503="?OLD","!!!","")</f>
        <v/>
      </c>
      <c r="F503" s="10" t="str">
        <f>IF(OR(E503="",E503="!!!"),"",IF(NOT(ISNA(VLOOKUP(E503,E$1:E502,1,FALSE()))),"OLD",IF(AND(E503&lt;&gt;"",E503&lt;&gt;"!!!"),"NEW","")))</f>
        <v/>
      </c>
      <c r="G503" s="11" t="str">
        <f>IF(OR(E503="",E503="!!!"),"",IF(OR(J503=0,AND(J503=1,K503=1),AND(J503=1,I503="SBJ"),AND(J503=1,I503=0)),"?IN_FOCUS",IF(J503&lt;=2,"?ACTIVATED",IF(J503&lt;&gt;"","?FAMILIAR",IF(F503="NEW",IF(ISNA(VLOOKUP(E503,#REF!,1,FALSE())),"?TYPE_IDENTIFIABLE","?REFERENTIAL"),"_")))))</f>
        <v/>
      </c>
      <c r="H503" s="12" t="str">
        <f t="shared" ref="H503:H566" si="21">IF(J503&lt;&gt;1,"",IF(I503="SBJ","CB","?"))</f>
        <v/>
      </c>
    </row>
    <row r="504" spans="1:8" x14ac:dyDescent="0.35">
      <c r="A504" t="s">
        <v>309</v>
      </c>
      <c r="E504" s="9" t="str">
        <f t="shared" si="20"/>
        <v/>
      </c>
      <c r="F504" s="10" t="str">
        <f>IF(OR(E504="",E504="!!!"),"",IF(NOT(ISNA(VLOOKUP(E504,E$1:E503,1,FALSE()))),"OLD",IF(AND(E504&lt;&gt;"",E504&lt;&gt;"!!!"),"NEW","")))</f>
        <v/>
      </c>
      <c r="G504" s="11" t="str">
        <f>IF(OR(E504="",E504="!!!"),"",IF(OR(J504=0,AND(J504=1,K504=1),AND(J504=1,I504="SBJ"),AND(J504=1,I504=0)),"?IN_FOCUS",IF(J504&lt;=2,"?ACTIVATED",IF(J504&lt;&gt;"","?FAMILIAR",IF(F504="NEW",IF(ISNA(VLOOKUP(E504,#REF!,1,FALSE())),"?TYPE_IDENTIFIABLE","?REFERENTIAL"),"_")))))</f>
        <v/>
      </c>
      <c r="H504" s="12" t="str">
        <f t="shared" si="21"/>
        <v/>
      </c>
    </row>
    <row r="505" spans="1:8" x14ac:dyDescent="0.35">
      <c r="A505" t="s">
        <v>310</v>
      </c>
      <c r="E505" s="9" t="str">
        <f t="shared" si="20"/>
        <v/>
      </c>
      <c r="F505" s="10" t="str">
        <f>IF(OR(E505="",E505="!!!"),"",IF(NOT(ISNA(VLOOKUP(E505,E$1:E504,1,FALSE()))),"OLD",IF(AND(E505&lt;&gt;"",E505&lt;&gt;"!!!"),"NEW","")))</f>
        <v/>
      </c>
      <c r="G505" s="11" t="str">
        <f>IF(OR(E505="",E505="!!!"),"",IF(OR(J505=0,AND(J505=1,K505=1),AND(J505=1,I505="SBJ"),AND(J505=1,I505=0)),"?IN_FOCUS",IF(J505&lt;=2,"?ACTIVATED",IF(J505&lt;&gt;"","?FAMILIAR",IF(F505="NEW",IF(ISNA(VLOOKUP(E505,#REF!,1,FALSE())),"?TYPE_IDENTIFIABLE","?REFERENTIAL"),"_")))))</f>
        <v/>
      </c>
      <c r="H505" s="12" t="str">
        <f t="shared" si="21"/>
        <v/>
      </c>
    </row>
    <row r="506" spans="1:8" x14ac:dyDescent="0.35">
      <c r="A506" t="s">
        <v>58</v>
      </c>
      <c r="E506" s="9" t="str">
        <f t="shared" si="20"/>
        <v/>
      </c>
      <c r="F506" s="10" t="str">
        <f>IF(OR(E506="",E506="!!!"),"",IF(NOT(ISNA(VLOOKUP(E506,E$1:E505,1,FALSE()))),"OLD",IF(AND(E506&lt;&gt;"",E506&lt;&gt;"!!!"),"NEW","")))</f>
        <v/>
      </c>
      <c r="G506" s="11" t="str">
        <f>IF(OR(E506="",E506="!!!"),"",IF(OR(J506=0,AND(J506=1,K506=1),AND(J506=1,I506="SBJ"),AND(J506=1,I506=0)),"?IN_FOCUS",IF(J506&lt;=2,"?ACTIVATED",IF(J506&lt;&gt;"","?FAMILIAR",IF(F506="NEW",IF(ISNA(VLOOKUP(E506,#REF!,1,FALSE())),"?TYPE_IDENTIFIABLE","?REFERENTIAL"),"_")))))</f>
        <v/>
      </c>
      <c r="H506" s="12" t="str">
        <f t="shared" si="21"/>
        <v/>
      </c>
    </row>
    <row r="507" spans="1:8" x14ac:dyDescent="0.35">
      <c r="A507" t="s">
        <v>311</v>
      </c>
      <c r="E507" s="9" t="str">
        <f t="shared" si="20"/>
        <v/>
      </c>
      <c r="F507" s="10" t="str">
        <f>IF(OR(E507="",E507="!!!"),"",IF(NOT(ISNA(VLOOKUP(E507,E$1:E506,1,FALSE()))),"OLD",IF(AND(E507&lt;&gt;"",E507&lt;&gt;"!!!"),"NEW","")))</f>
        <v/>
      </c>
      <c r="G507" s="11" t="str">
        <f>IF(OR(E507="",E507="!!!"),"",IF(OR(J507=0,AND(J507=1,K507=1),AND(J507=1,I507="SBJ"),AND(J507=1,I507=0)),"?IN_FOCUS",IF(J507&lt;=2,"?ACTIVATED",IF(J507&lt;&gt;"","?FAMILIAR",IF(F507="NEW",IF(ISNA(VLOOKUP(E507,#REF!,1,FALSE())),"?TYPE_IDENTIFIABLE","?REFERENTIAL"),"_")))))</f>
        <v/>
      </c>
      <c r="H507" s="12" t="str">
        <f t="shared" si="21"/>
        <v/>
      </c>
    </row>
    <row r="508" spans="1:8" x14ac:dyDescent="0.35">
      <c r="A508" t="s">
        <v>312</v>
      </c>
      <c r="B508" t="s">
        <v>48</v>
      </c>
      <c r="C508" t="s">
        <v>21</v>
      </c>
      <c r="D508" t="s">
        <v>16</v>
      </c>
      <c r="E508" s="9" t="s">
        <v>262</v>
      </c>
      <c r="F508" s="10" t="str">
        <f>IF(OR(E508="",E508="!!!"),"",IF(NOT(ISNA(VLOOKUP(E508,E$1:E507,1,FALSE()))),"OLD",IF(AND(E508&lt;&gt;"",E508&lt;&gt;"!!!"),"NEW","")))</f>
        <v>OLD</v>
      </c>
      <c r="G508" s="11"/>
      <c r="H508" s="12" t="str">
        <f t="shared" si="21"/>
        <v/>
      </c>
    </row>
    <row r="509" spans="1:8" x14ac:dyDescent="0.35">
      <c r="A509" t="s">
        <v>63</v>
      </c>
      <c r="E509" s="9" t="str">
        <f t="shared" si="20"/>
        <v/>
      </c>
      <c r="F509" s="10" t="str">
        <f>IF(OR(E509="",E509="!!!"),"",IF(NOT(ISNA(VLOOKUP(E509,E$1:E508,1,FALSE()))),"OLD",IF(AND(E509&lt;&gt;"",E509&lt;&gt;"!!!"),"NEW","")))</f>
        <v/>
      </c>
      <c r="G509" s="11" t="str">
        <f>IF(OR(E509="",E509="!!!"),"",IF(OR(J509=0,AND(J509=1,K509=1),AND(J509=1,I509="SBJ"),AND(J509=1,I509=0)),"?IN_FOCUS",IF(J509&lt;=2,"?ACTIVATED",IF(J509&lt;&gt;"","?FAMILIAR",IF(F509="NEW",IF(ISNA(VLOOKUP(E509,#REF!,1,FALSE())),"?TYPE_IDENTIFIABLE","?REFERENTIAL"),"_")))))</f>
        <v/>
      </c>
      <c r="H509" s="12" t="str">
        <f t="shared" si="21"/>
        <v/>
      </c>
    </row>
    <row r="510" spans="1:8" x14ac:dyDescent="0.35">
      <c r="E510" s="9" t="str">
        <f t="shared" si="20"/>
        <v/>
      </c>
      <c r="F510" s="10" t="str">
        <f>IF(OR(E510="",E510="!!!"),"",IF(NOT(ISNA(VLOOKUP(E510,E$1:E509,1,FALSE()))),"OLD",IF(AND(E510&lt;&gt;"",E510&lt;&gt;"!!!"),"NEW","")))</f>
        <v/>
      </c>
      <c r="G510" s="11" t="str">
        <f>IF(OR(E510="",E510="!!!"),"",IF(OR(J510=0,AND(J510=1,K510=1),AND(J510=1,I510="SBJ"),AND(J510=1,I510=0)),"?IN_FOCUS",IF(J510&lt;=2,"?ACTIVATED",IF(J510&lt;&gt;"","?FAMILIAR",IF(F510="NEW",IF(ISNA(VLOOKUP(E510,#REF!,1,FALSE())),"?TYPE_IDENTIFIABLE","?REFERENTIAL"),"_")))))</f>
        <v/>
      </c>
      <c r="H510" s="12" t="str">
        <f t="shared" si="21"/>
        <v/>
      </c>
    </row>
    <row r="511" spans="1:8" x14ac:dyDescent="0.35">
      <c r="A511" t="s">
        <v>244</v>
      </c>
      <c r="E511" s="9" t="str">
        <f t="shared" si="20"/>
        <v/>
      </c>
      <c r="F511" s="10" t="str">
        <f>IF(OR(E511="",E511="!!!"),"",IF(NOT(ISNA(VLOOKUP(E511,E$1:E510,1,FALSE()))),"OLD",IF(AND(E511&lt;&gt;"",E511&lt;&gt;"!!!"),"NEW","")))</f>
        <v/>
      </c>
      <c r="G511" s="11" t="str">
        <f>IF(OR(E511="",E511="!!!"),"",IF(OR(J511=0,AND(J511=1,K511=1),AND(J511=1,I511="SBJ"),AND(J511=1,I511=0)),"?IN_FOCUS",IF(J511&lt;=2,"?ACTIVATED",IF(J511&lt;&gt;"","?FAMILIAR",IF(F511="NEW",IF(ISNA(VLOOKUP(E511,#REF!,1,FALSE())),"?TYPE_IDENTIFIABLE","?REFERENTIAL"),"_")))))</f>
        <v/>
      </c>
      <c r="H511" s="12" t="str">
        <f t="shared" si="21"/>
        <v/>
      </c>
    </row>
    <row r="512" spans="1:8" x14ac:dyDescent="0.35">
      <c r="A512" t="s">
        <v>313</v>
      </c>
      <c r="E512" s="9" t="str">
        <f t="shared" si="20"/>
        <v/>
      </c>
      <c r="F512" s="10" t="str">
        <f>IF(OR(E512="",E512="!!!"),"",IF(NOT(ISNA(VLOOKUP(E512,E$1:E511,1,FALSE()))),"OLD",IF(AND(E512&lt;&gt;"",E512&lt;&gt;"!!!"),"NEW","")))</f>
        <v/>
      </c>
      <c r="G512" s="11" t="str">
        <f>IF(OR(E512="",E512="!!!"),"",IF(OR(J512=0,AND(J512=1,K512=1),AND(J512=1,I512="SBJ"),AND(J512=1,I512=0)),"?IN_FOCUS",IF(J512&lt;=2,"?ACTIVATED",IF(J512&lt;&gt;"","?FAMILIAR",IF(F512="NEW",IF(ISNA(VLOOKUP(E512,#REF!,1,FALSE())),"?TYPE_IDENTIFIABLE","?REFERENTIAL"),"_")))))</f>
        <v/>
      </c>
      <c r="H512" s="12" t="str">
        <f t="shared" si="21"/>
        <v/>
      </c>
    </row>
    <row r="513" spans="1:8" x14ac:dyDescent="0.35">
      <c r="A513" t="s">
        <v>246</v>
      </c>
      <c r="E513" s="9" t="str">
        <f t="shared" si="20"/>
        <v/>
      </c>
      <c r="F513" s="10" t="str">
        <f>IF(OR(E513="",E513="!!!"),"",IF(NOT(ISNA(VLOOKUP(E513,E$1:E512,1,FALSE()))),"OLD",IF(AND(E513&lt;&gt;"",E513&lt;&gt;"!!!"),"NEW","")))</f>
        <v/>
      </c>
      <c r="G513" s="11" t="str">
        <f>IF(OR(E513="",E513="!!!"),"",IF(OR(J513=0,AND(J513=1,K513=1),AND(J513=1,I513="SBJ"),AND(J513=1,I513=0)),"?IN_FOCUS",IF(J513&lt;=2,"?ACTIVATED",IF(J513&lt;&gt;"","?FAMILIAR",IF(F513="NEW",IF(ISNA(VLOOKUP(E513,#REF!,1,FALSE())),"?TYPE_IDENTIFIABLE","?REFERENTIAL"),"_")))))</f>
        <v/>
      </c>
      <c r="H513" s="12" t="str">
        <f t="shared" si="21"/>
        <v/>
      </c>
    </row>
    <row r="514" spans="1:8" x14ac:dyDescent="0.35">
      <c r="A514" t="s">
        <v>110</v>
      </c>
      <c r="B514" t="s">
        <v>14</v>
      </c>
      <c r="C514" t="s">
        <v>33</v>
      </c>
      <c r="D514" t="s">
        <v>16</v>
      </c>
      <c r="E514" s="9" t="s">
        <v>251</v>
      </c>
      <c r="F514" s="10" t="str">
        <f>IF(OR(E514="",E514="!!!"),"",IF(NOT(ISNA(VLOOKUP(E514,E$1:E513,1,FALSE()))),"OLD",IF(AND(E514&lt;&gt;"",E514&lt;&gt;"!!!"),"NEW","")))</f>
        <v>OLD</v>
      </c>
      <c r="G514" s="11"/>
      <c r="H514" s="12" t="str">
        <f t="shared" si="21"/>
        <v/>
      </c>
    </row>
    <row r="515" spans="1:8" x14ac:dyDescent="0.35">
      <c r="A515" t="s">
        <v>314</v>
      </c>
      <c r="E515" s="9" t="str">
        <f t="shared" si="20"/>
        <v/>
      </c>
      <c r="F515" s="10" t="str">
        <f>IF(OR(E515="",E515="!!!"),"",IF(NOT(ISNA(VLOOKUP(E515,E$1:E514,1,FALSE()))),"OLD",IF(AND(E515&lt;&gt;"",E515&lt;&gt;"!!!"),"NEW","")))</f>
        <v/>
      </c>
      <c r="G515" s="11" t="str">
        <f>IF(OR(E515="",E515="!!!"),"",IF(OR(J515=0,AND(J515=1,K515=1),AND(J515=1,I515="SBJ"),AND(J515=1,I515=0)),"?IN_FOCUS",IF(J515&lt;=2,"?ACTIVATED",IF(J515&lt;&gt;"","?FAMILIAR",IF(F515="NEW",IF(ISNA(VLOOKUP(E515,#REF!,1,FALSE())),"?TYPE_IDENTIFIABLE","?REFERENTIAL"),"_")))))</f>
        <v/>
      </c>
      <c r="H515" s="12" t="str">
        <f t="shared" si="21"/>
        <v/>
      </c>
    </row>
    <row r="516" spans="1:8" x14ac:dyDescent="0.35">
      <c r="A516" t="s">
        <v>58</v>
      </c>
      <c r="E516" s="9" t="str">
        <f t="shared" si="20"/>
        <v/>
      </c>
      <c r="F516" s="10" t="str">
        <f>IF(OR(E516="",E516="!!!"),"",IF(NOT(ISNA(VLOOKUP(E516,E$1:E515,1,FALSE()))),"OLD",IF(AND(E516&lt;&gt;"",E516&lt;&gt;"!!!"),"NEW","")))</f>
        <v/>
      </c>
      <c r="G516" s="11" t="str">
        <f>IF(OR(E516="",E516="!!!"),"",IF(OR(J516=0,AND(J516=1,K516=1),AND(J516=1,I516="SBJ"),AND(J516=1,I516=0)),"?IN_FOCUS",IF(J516&lt;=2,"?ACTIVATED",IF(J516&lt;&gt;"","?FAMILIAR",IF(F516="NEW",IF(ISNA(VLOOKUP(E516,#REF!,1,FALSE())),"?TYPE_IDENTIFIABLE","?REFERENTIAL"),"_")))))</f>
        <v/>
      </c>
      <c r="H516" s="12" t="str">
        <f t="shared" si="21"/>
        <v/>
      </c>
    </row>
    <row r="517" spans="1:8" x14ac:dyDescent="0.35">
      <c r="A517" t="s">
        <v>315</v>
      </c>
      <c r="B517" t="s">
        <v>32</v>
      </c>
      <c r="C517" t="s">
        <v>99</v>
      </c>
      <c r="D517" t="s">
        <v>16</v>
      </c>
      <c r="E517" s="9" t="s">
        <v>262</v>
      </c>
      <c r="F517" s="10" t="s">
        <v>876</v>
      </c>
      <c r="G517" s="11"/>
      <c r="H517" s="12" t="str">
        <f t="shared" si="21"/>
        <v/>
      </c>
    </row>
    <row r="518" spans="1:8" x14ac:dyDescent="0.35">
      <c r="A518" t="s">
        <v>17</v>
      </c>
      <c r="E518" s="9" t="str">
        <f t="shared" si="20"/>
        <v/>
      </c>
      <c r="F518" s="10" t="str">
        <f>IF(OR(E518="",E518="!!!"),"",IF(NOT(ISNA(VLOOKUP(E518,E$1:E517,1,FALSE()))),"OLD",IF(AND(E518&lt;&gt;"",E518&lt;&gt;"!!!"),"NEW","")))</f>
        <v/>
      </c>
      <c r="G518" s="11" t="str">
        <f>IF(OR(E518="",E518="!!!"),"",IF(OR(J518=0,AND(J518=1,K518=1),AND(J518=1,I518="SBJ"),AND(J518=1,I518=0)),"?IN_FOCUS",IF(J518&lt;=2,"?ACTIVATED",IF(J518&lt;&gt;"","?FAMILIAR",IF(F518="NEW",IF(ISNA(VLOOKUP(E518,#REF!,1,FALSE())),"?TYPE_IDENTIFIABLE","?REFERENTIAL"),"_")))))</f>
        <v/>
      </c>
      <c r="H518" s="12" t="str">
        <f t="shared" si="21"/>
        <v/>
      </c>
    </row>
    <row r="519" spans="1:8" x14ac:dyDescent="0.35">
      <c r="A519" t="s">
        <v>34</v>
      </c>
      <c r="E519" s="9" t="str">
        <f t="shared" si="20"/>
        <v/>
      </c>
      <c r="F519" s="10" t="str">
        <f>IF(OR(E519="",E519="!!!"),"",IF(NOT(ISNA(VLOOKUP(E519,E$1:E518,1,FALSE()))),"OLD",IF(AND(E519&lt;&gt;"",E519&lt;&gt;"!!!"),"NEW","")))</f>
        <v/>
      </c>
      <c r="G519" s="11" t="str">
        <f>IF(OR(E519="",E519="!!!"),"",IF(OR(J519=0,AND(J519=1,K519=1),AND(J519=1,I519="SBJ"),AND(J519=1,I519=0)),"?IN_FOCUS",IF(J519&lt;=2,"?ACTIVATED",IF(J519&lt;&gt;"","?FAMILIAR",IF(F519="NEW",IF(ISNA(VLOOKUP(E519,#REF!,1,FALSE())),"?TYPE_IDENTIFIABLE","?REFERENTIAL"),"_")))))</f>
        <v/>
      </c>
      <c r="H519" s="12" t="str">
        <f t="shared" si="21"/>
        <v/>
      </c>
    </row>
    <row r="520" spans="1:8" x14ac:dyDescent="0.35">
      <c r="A520" t="s">
        <v>215</v>
      </c>
      <c r="B520" t="s">
        <v>24</v>
      </c>
      <c r="C520" t="s">
        <v>15</v>
      </c>
      <c r="D520" t="s">
        <v>16</v>
      </c>
      <c r="E520" s="9" t="s">
        <v>883</v>
      </c>
      <c r="F520" s="10" t="str">
        <f>IF(OR(E520="",E520="!!!"),"",IF(NOT(ISNA(VLOOKUP(E520,E$1:E519,1,FALSE()))),"OLD",IF(AND(E520&lt;&gt;"",E520&lt;&gt;"!!!"),"NEW","")))</f>
        <v>NEW</v>
      </c>
      <c r="G520" s="11" t="s">
        <v>882</v>
      </c>
      <c r="H520" s="12" t="str">
        <f t="shared" si="21"/>
        <v/>
      </c>
    </row>
    <row r="521" spans="1:8" x14ac:dyDescent="0.35">
      <c r="A521" t="s">
        <v>316</v>
      </c>
      <c r="E521" s="9" t="str">
        <f t="shared" si="20"/>
        <v/>
      </c>
      <c r="F521" s="10" t="str">
        <f>IF(OR(E521="",E521="!!!"),"",IF(NOT(ISNA(VLOOKUP(E521,E$1:E520,1,FALSE()))),"OLD",IF(AND(E521&lt;&gt;"",E521&lt;&gt;"!!!"),"NEW","")))</f>
        <v/>
      </c>
      <c r="G521" s="11" t="str">
        <f>IF(OR(E521="",E521="!!!"),"",IF(OR(J521=0,AND(J521=1,K521=1),AND(J521=1,I521="SBJ"),AND(J521=1,I521=0)),"?IN_FOCUS",IF(J521&lt;=2,"?ACTIVATED",IF(J521&lt;&gt;"","?FAMILIAR",IF(F521="NEW",IF(ISNA(VLOOKUP(E521,#REF!,1,FALSE())),"?TYPE_IDENTIFIABLE","?REFERENTIAL"),"_")))))</f>
        <v/>
      </c>
      <c r="H521" s="12" t="str">
        <f t="shared" si="21"/>
        <v/>
      </c>
    </row>
    <row r="522" spans="1:8" x14ac:dyDescent="0.35">
      <c r="A522" t="s">
        <v>17</v>
      </c>
      <c r="E522" s="9" t="str">
        <f t="shared" si="20"/>
        <v/>
      </c>
      <c r="F522" s="10" t="str">
        <f>IF(OR(E522="",E522="!!!"),"",IF(NOT(ISNA(VLOOKUP(E522,E$1:E521,1,FALSE()))),"OLD",IF(AND(E522&lt;&gt;"",E522&lt;&gt;"!!!"),"NEW","")))</f>
        <v/>
      </c>
      <c r="G522" s="11" t="str">
        <f>IF(OR(E522="",E522="!!!"),"",IF(OR(J522=0,AND(J522=1,K522=1),AND(J522=1,I522="SBJ"),AND(J522=1,I522=0)),"?IN_FOCUS",IF(J522&lt;=2,"?ACTIVATED",IF(J522&lt;&gt;"","?FAMILIAR",IF(F522="NEW",IF(ISNA(VLOOKUP(E522,#REF!,1,FALSE())),"?TYPE_IDENTIFIABLE","?REFERENTIAL"),"_")))))</f>
        <v/>
      </c>
      <c r="H522" s="12" t="str">
        <f t="shared" si="21"/>
        <v/>
      </c>
    </row>
    <row r="523" spans="1:8" x14ac:dyDescent="0.35">
      <c r="A523" t="s">
        <v>129</v>
      </c>
      <c r="B523" t="s">
        <v>20</v>
      </c>
      <c r="C523" t="s">
        <v>33</v>
      </c>
      <c r="D523" t="s">
        <v>16</v>
      </c>
      <c r="E523" s="9" t="s">
        <v>884</v>
      </c>
      <c r="F523" s="10" t="str">
        <f>IF(OR(E523="",E523="!!!"),"",IF(NOT(ISNA(VLOOKUP(E523,E$1:E522,1,FALSE()))),"OLD",IF(AND(E523&lt;&gt;"",E523&lt;&gt;"!!!"),"NEW","")))</f>
        <v>NEW</v>
      </c>
      <c r="G523" s="11" t="s">
        <v>870</v>
      </c>
      <c r="H523" s="12" t="str">
        <f t="shared" si="21"/>
        <v/>
      </c>
    </row>
    <row r="524" spans="1:8" x14ac:dyDescent="0.35">
      <c r="A524" t="s">
        <v>63</v>
      </c>
      <c r="E524" s="9" t="str">
        <f t="shared" si="20"/>
        <v/>
      </c>
      <c r="F524" s="10" t="str">
        <f>IF(OR(E524="",E524="!!!"),"",IF(NOT(ISNA(VLOOKUP(E524,E$1:E523,1,FALSE()))),"OLD",IF(AND(E524&lt;&gt;"",E524&lt;&gt;"!!!"),"NEW","")))</f>
        <v/>
      </c>
      <c r="G524" s="11" t="str">
        <f>IF(OR(E524="",E524="!!!"),"",IF(OR(J524=0,AND(J524=1,K524=1),AND(J524=1,I524="SBJ"),AND(J524=1,I524=0)),"?IN_FOCUS",IF(J524&lt;=2,"?ACTIVATED",IF(J524&lt;&gt;"","?FAMILIAR",IF(F524="NEW",IF(ISNA(VLOOKUP(E524,#REF!,1,FALSE())),"?TYPE_IDENTIFIABLE","?REFERENTIAL"),"_")))))</f>
        <v/>
      </c>
      <c r="H524" s="12" t="str">
        <f t="shared" si="21"/>
        <v/>
      </c>
    </row>
    <row r="525" spans="1:8" x14ac:dyDescent="0.35">
      <c r="A525" t="s">
        <v>246</v>
      </c>
      <c r="E525" s="9" t="str">
        <f t="shared" si="20"/>
        <v/>
      </c>
      <c r="F525" s="10" t="str">
        <f>IF(OR(E525="",E525="!!!"),"",IF(NOT(ISNA(VLOOKUP(E525,E$1:E524,1,FALSE()))),"OLD",IF(AND(E525&lt;&gt;"",E525&lt;&gt;"!!!"),"NEW","")))</f>
        <v/>
      </c>
      <c r="G525" s="11" t="str">
        <f>IF(OR(E525="",E525="!!!"),"",IF(OR(J525=0,AND(J525=1,K525=1),AND(J525=1,I525="SBJ"),AND(J525=1,I525=0)),"?IN_FOCUS",IF(J525&lt;=2,"?ACTIVATED",IF(J525&lt;&gt;"","?FAMILIAR",IF(F525="NEW",IF(ISNA(VLOOKUP(E525,#REF!,1,FALSE())),"?TYPE_IDENTIFIABLE","?REFERENTIAL"),"_")))))</f>
        <v/>
      </c>
      <c r="H525" s="12" t="str">
        <f t="shared" si="21"/>
        <v/>
      </c>
    </row>
    <row r="526" spans="1:8" x14ac:dyDescent="0.35">
      <c r="E526" s="9" t="str">
        <f t="shared" si="20"/>
        <v/>
      </c>
      <c r="F526" s="10" t="str">
        <f>IF(OR(E526="",E526="!!!"),"",IF(NOT(ISNA(VLOOKUP(E526,E$1:E525,1,FALSE()))),"OLD",IF(AND(E526&lt;&gt;"",E526&lt;&gt;"!!!"),"NEW","")))</f>
        <v/>
      </c>
      <c r="G526" s="11" t="str">
        <f>IF(OR(E526="",E526="!!!"),"",IF(OR(J526=0,AND(J526=1,K526=1),AND(J526=1,I526="SBJ"),AND(J526=1,I526=0)),"?IN_FOCUS",IF(J526&lt;=2,"?ACTIVATED",IF(J526&lt;&gt;"","?FAMILIAR",IF(F526="NEW",IF(ISNA(VLOOKUP(E526,#REF!,1,FALSE())),"?TYPE_IDENTIFIABLE","?REFERENTIAL"),"_")))))</f>
        <v/>
      </c>
      <c r="H526" s="12" t="str">
        <f t="shared" si="21"/>
        <v/>
      </c>
    </row>
    <row r="527" spans="1:8" x14ac:dyDescent="0.35">
      <c r="A527" t="s">
        <v>244</v>
      </c>
      <c r="E527" s="9" t="str">
        <f t="shared" si="20"/>
        <v/>
      </c>
      <c r="F527" s="10" t="str">
        <f>IF(OR(E527="",E527="!!!"),"",IF(NOT(ISNA(VLOOKUP(E527,E$1:E526,1,FALSE()))),"OLD",IF(AND(E527&lt;&gt;"",E527&lt;&gt;"!!!"),"NEW","")))</f>
        <v/>
      </c>
      <c r="G527" s="11" t="str">
        <f>IF(OR(E527="",E527="!!!"),"",IF(OR(J527=0,AND(J527=1,K527=1),AND(J527=1,I527="SBJ"),AND(J527=1,I527=0)),"?IN_FOCUS",IF(J527&lt;=2,"?ACTIVATED",IF(J527&lt;&gt;"","?FAMILIAR",IF(F527="NEW",IF(ISNA(VLOOKUP(E527,#REF!,1,FALSE())),"?TYPE_IDENTIFIABLE","?REFERENTIAL"),"_")))))</f>
        <v/>
      </c>
      <c r="H527" s="12" t="str">
        <f t="shared" si="21"/>
        <v/>
      </c>
    </row>
    <row r="528" spans="1:8" x14ac:dyDescent="0.35">
      <c r="A528" t="s">
        <v>317</v>
      </c>
      <c r="E528" s="9" t="str">
        <f t="shared" si="20"/>
        <v/>
      </c>
      <c r="F528" s="10" t="str">
        <f>IF(OR(E528="",E528="!!!"),"",IF(NOT(ISNA(VLOOKUP(E528,E$1:E527,1,FALSE()))),"OLD",IF(AND(E528&lt;&gt;"",E528&lt;&gt;"!!!"),"NEW","")))</f>
        <v/>
      </c>
      <c r="G528" s="11" t="str">
        <f>IF(OR(E528="",E528="!!!"),"",IF(OR(J528=0,AND(J528=1,K528=1),AND(J528=1,I528="SBJ"),AND(J528=1,I528=0)),"?IN_FOCUS",IF(J528&lt;=2,"?ACTIVATED",IF(J528&lt;&gt;"","?FAMILIAR",IF(F528="NEW",IF(ISNA(VLOOKUP(E528,#REF!,1,FALSE())),"?TYPE_IDENTIFIABLE","?REFERENTIAL"),"_")))))</f>
        <v/>
      </c>
      <c r="H528" s="12" t="str">
        <f t="shared" si="21"/>
        <v/>
      </c>
    </row>
    <row r="529" spans="1:8" x14ac:dyDescent="0.35">
      <c r="A529" t="s">
        <v>246</v>
      </c>
      <c r="E529" s="9" t="str">
        <f t="shared" si="20"/>
        <v/>
      </c>
      <c r="F529" s="10" t="str">
        <f>IF(OR(E529="",E529="!!!"),"",IF(NOT(ISNA(VLOOKUP(E529,E$1:E528,1,FALSE()))),"OLD",IF(AND(E529&lt;&gt;"",E529&lt;&gt;"!!!"),"NEW","")))</f>
        <v/>
      </c>
      <c r="G529" s="11" t="str">
        <f>IF(OR(E529="",E529="!!!"),"",IF(OR(J529=0,AND(J529=1,K529=1),AND(J529=1,I529="SBJ"),AND(J529=1,I529=0)),"?IN_FOCUS",IF(J529&lt;=2,"?ACTIVATED",IF(J529&lt;&gt;"","?FAMILIAR",IF(F529="NEW",IF(ISNA(VLOOKUP(E529,#REF!,1,FALSE())),"?TYPE_IDENTIFIABLE","?REFERENTIAL"),"_")))))</f>
        <v/>
      </c>
      <c r="H529" s="12" t="str">
        <f t="shared" si="21"/>
        <v/>
      </c>
    </row>
    <row r="530" spans="1:8" x14ac:dyDescent="0.35">
      <c r="A530" t="s">
        <v>318</v>
      </c>
      <c r="B530" t="s">
        <v>14</v>
      </c>
      <c r="C530" t="s">
        <v>80</v>
      </c>
      <c r="D530" t="s">
        <v>16</v>
      </c>
      <c r="E530" s="9" t="s">
        <v>883</v>
      </c>
      <c r="F530" s="10" t="str">
        <f>IF(OR(E530="",E530="!!!"),"",IF(NOT(ISNA(VLOOKUP(E530,E$1:E529,1,FALSE()))),"OLD",IF(AND(E530&lt;&gt;"",E530&lt;&gt;"!!!"),"NEW","")))</f>
        <v>OLD</v>
      </c>
      <c r="G530" s="11" t="s">
        <v>874</v>
      </c>
      <c r="H530" s="12" t="str">
        <f t="shared" si="21"/>
        <v/>
      </c>
    </row>
    <row r="531" spans="1:8" x14ac:dyDescent="0.35">
      <c r="A531" t="s">
        <v>319</v>
      </c>
      <c r="E531" s="9" t="str">
        <f t="shared" si="20"/>
        <v/>
      </c>
      <c r="F531" s="10" t="str">
        <f>IF(OR(E531="",E531="!!!"),"",IF(NOT(ISNA(VLOOKUP(E531,E$1:E530,1,FALSE()))),"OLD",IF(AND(E531&lt;&gt;"",E531&lt;&gt;"!!!"),"NEW","")))</f>
        <v/>
      </c>
      <c r="G531" s="11" t="str">
        <f>IF(OR(E531="",E531="!!!"),"",IF(OR(J531=0,AND(J531=1,K531=1),AND(J531=1,I531="SBJ"),AND(J531=1,I531=0)),"?IN_FOCUS",IF(J531&lt;=2,"?ACTIVATED",IF(J531&lt;&gt;"","?FAMILIAR",IF(F531="NEW",IF(ISNA(VLOOKUP(E531,#REF!,1,FALSE())),"?TYPE_IDENTIFIABLE","?REFERENTIAL"),"_")))))</f>
        <v/>
      </c>
      <c r="H531" s="12" t="str">
        <f t="shared" si="21"/>
        <v/>
      </c>
    </row>
    <row r="532" spans="1:8" x14ac:dyDescent="0.35">
      <c r="A532" t="s">
        <v>242</v>
      </c>
      <c r="E532" s="9" t="str">
        <f t="shared" si="20"/>
        <v/>
      </c>
      <c r="F532" s="10" t="str">
        <f>IF(OR(E532="",E532="!!!"),"",IF(NOT(ISNA(VLOOKUP(E532,E$1:E531,1,FALSE()))),"OLD",IF(AND(E532&lt;&gt;"",E532&lt;&gt;"!!!"),"NEW","")))</f>
        <v/>
      </c>
      <c r="G532" s="11" t="str">
        <f>IF(OR(E532="",E532="!!!"),"",IF(OR(J532=0,AND(J532=1,K532=1),AND(J532=1,I532="SBJ"),AND(J532=1,I532=0)),"?IN_FOCUS",IF(J532&lt;=2,"?ACTIVATED",IF(J532&lt;&gt;"","?FAMILIAR",IF(F532="NEW",IF(ISNA(VLOOKUP(E532,#REF!,1,FALSE())),"?TYPE_IDENTIFIABLE","?REFERENTIAL"),"_")))))</f>
        <v/>
      </c>
      <c r="H532" s="12" t="str">
        <f t="shared" si="21"/>
        <v/>
      </c>
    </row>
    <row r="533" spans="1:8" x14ac:dyDescent="0.35">
      <c r="A533" t="s">
        <v>243</v>
      </c>
      <c r="B533" t="s">
        <v>54</v>
      </c>
      <c r="C533" t="s">
        <v>21</v>
      </c>
      <c r="D533" t="s">
        <v>16</v>
      </c>
      <c r="E533" s="9" t="s">
        <v>39</v>
      </c>
      <c r="F533" s="10" t="str">
        <f>IF(OR(E533="",E533="!!!"),"",IF(NOT(ISNA(VLOOKUP(E533,E$1:E532,1,FALSE()))),"OLD",IF(AND(E533&lt;&gt;"",E533&lt;&gt;"!!!"),"NEW","")))</f>
        <v>NEW</v>
      </c>
      <c r="G533" s="11" t="s">
        <v>877</v>
      </c>
      <c r="H533" s="12" t="str">
        <f t="shared" si="21"/>
        <v/>
      </c>
    </row>
    <row r="534" spans="1:8" x14ac:dyDescent="0.35">
      <c r="A534" t="s">
        <v>76</v>
      </c>
      <c r="E534" s="9" t="str">
        <f t="shared" si="20"/>
        <v/>
      </c>
      <c r="F534" s="10" t="str">
        <f>IF(OR(E534="",E534="!!!"),"",IF(NOT(ISNA(VLOOKUP(E534,E$1:E533,1,FALSE()))),"OLD",IF(AND(E534&lt;&gt;"",E534&lt;&gt;"!!!"),"NEW","")))</f>
        <v/>
      </c>
      <c r="G534" s="11" t="str">
        <f>IF(OR(E534="",E534="!!!"),"",IF(OR(J534=0,AND(J534=1,K534=1),AND(J534=1,I534="SBJ"),AND(J534=1,I534=0)),"?IN_FOCUS",IF(J534&lt;=2,"?ACTIVATED",IF(J534&lt;&gt;"","?FAMILIAR",IF(F534="NEW",IF(ISNA(VLOOKUP(E534,#REF!,1,FALSE())),"?TYPE_IDENTIFIABLE","?REFERENTIAL"),"_")))))</f>
        <v/>
      </c>
      <c r="H534" s="12" t="str">
        <f t="shared" si="21"/>
        <v/>
      </c>
    </row>
    <row r="535" spans="1:8" x14ac:dyDescent="0.35">
      <c r="A535" t="s">
        <v>58</v>
      </c>
      <c r="E535" s="9" t="str">
        <f t="shared" si="20"/>
        <v/>
      </c>
      <c r="F535" s="10" t="str">
        <f>IF(OR(E535="",E535="!!!"),"",IF(NOT(ISNA(VLOOKUP(E535,E$1:E534,1,FALSE()))),"OLD",IF(AND(E535&lt;&gt;"",E535&lt;&gt;"!!!"),"NEW","")))</f>
        <v/>
      </c>
      <c r="G535" s="11" t="str">
        <f>IF(OR(E535="",E535="!!!"),"",IF(OR(J535=0,AND(J535=1,K535=1),AND(J535=1,I535="SBJ"),AND(J535=1,I535=0)),"?IN_FOCUS",IF(J535&lt;=2,"?ACTIVATED",IF(J535&lt;&gt;"","?FAMILIAR",IF(F535="NEW",IF(ISNA(VLOOKUP(E535,#REF!,1,FALSE())),"?TYPE_IDENTIFIABLE","?REFERENTIAL"),"_")))))</f>
        <v/>
      </c>
      <c r="H535" s="12" t="str">
        <f t="shared" si="21"/>
        <v/>
      </c>
    </row>
    <row r="536" spans="1:8" x14ac:dyDescent="0.35">
      <c r="A536" t="s">
        <v>320</v>
      </c>
      <c r="B536" t="s">
        <v>54</v>
      </c>
      <c r="C536" t="s">
        <v>15</v>
      </c>
      <c r="D536" t="s">
        <v>16</v>
      </c>
      <c r="E536" s="9" t="s">
        <v>262</v>
      </c>
      <c r="F536" s="10" t="s">
        <v>876</v>
      </c>
      <c r="G536" s="11"/>
      <c r="H536" s="12" t="str">
        <f t="shared" si="21"/>
        <v/>
      </c>
    </row>
    <row r="537" spans="1:8" x14ac:dyDescent="0.35">
      <c r="A537" t="s">
        <v>17</v>
      </c>
      <c r="E537" s="9" t="str">
        <f t="shared" si="20"/>
        <v/>
      </c>
      <c r="F537" s="10" t="str">
        <f>IF(OR(E537="",E537="!!!"),"",IF(NOT(ISNA(VLOOKUP(E537,E$1:E536,1,FALSE()))),"OLD",IF(AND(E537&lt;&gt;"",E537&lt;&gt;"!!!"),"NEW","")))</f>
        <v/>
      </c>
      <c r="G537" s="11" t="str">
        <f>IF(OR(E537="",E537="!!!"),"",IF(OR(J537=0,AND(J537=1,K537=1),AND(J537=1,I537="SBJ"),AND(J537=1,I537=0)),"?IN_FOCUS",IF(J537&lt;=2,"?ACTIVATED",IF(J537&lt;&gt;"","?FAMILIAR",IF(F537="NEW",IF(ISNA(VLOOKUP(E537,#REF!,1,FALSE())),"?TYPE_IDENTIFIABLE","?REFERENTIAL"),"_")))))</f>
        <v/>
      </c>
      <c r="H537" s="12" t="str">
        <f t="shared" si="21"/>
        <v/>
      </c>
    </row>
    <row r="538" spans="1:8" x14ac:dyDescent="0.35">
      <c r="A538" t="s">
        <v>136</v>
      </c>
      <c r="B538" t="s">
        <v>20</v>
      </c>
      <c r="C538" t="s">
        <v>49</v>
      </c>
      <c r="D538" t="s">
        <v>16</v>
      </c>
      <c r="E538" s="9" t="s">
        <v>884</v>
      </c>
      <c r="F538" s="10" t="str">
        <f>IF(OR(E538="",E538="!!!"),"",IF(NOT(ISNA(VLOOKUP(E538,E$1:E537,1,FALSE()))),"OLD",IF(AND(E538&lt;&gt;"",E538&lt;&gt;"!!!"),"NEW","")))</f>
        <v>OLD</v>
      </c>
      <c r="G538" s="11" t="s">
        <v>870</v>
      </c>
      <c r="H538" s="12" t="str">
        <f t="shared" si="21"/>
        <v/>
      </c>
    </row>
    <row r="539" spans="1:8" x14ac:dyDescent="0.35">
      <c r="A539" t="s">
        <v>321</v>
      </c>
      <c r="B539" t="s">
        <v>24</v>
      </c>
      <c r="C539" t="s">
        <v>15</v>
      </c>
      <c r="D539" t="s">
        <v>16</v>
      </c>
      <c r="E539" s="9" t="s">
        <v>262</v>
      </c>
      <c r="F539" s="10" t="s">
        <v>876</v>
      </c>
      <c r="G539" s="11"/>
      <c r="H539" s="12" t="str">
        <f t="shared" si="21"/>
        <v/>
      </c>
    </row>
    <row r="540" spans="1:8" x14ac:dyDescent="0.35">
      <c r="A540" t="s">
        <v>63</v>
      </c>
      <c r="E540" s="9" t="str">
        <f t="shared" si="20"/>
        <v/>
      </c>
      <c r="F540" s="10" t="str">
        <f>IF(OR(E540="",E540="!!!"),"",IF(NOT(ISNA(VLOOKUP(E540,E$1:E539,1,FALSE()))),"OLD",IF(AND(E540&lt;&gt;"",E540&lt;&gt;"!!!"),"NEW","")))</f>
        <v/>
      </c>
      <c r="G540" s="11" t="str">
        <f>IF(OR(E540="",E540="!!!"),"",IF(OR(J540=0,AND(J540=1,K540=1),AND(J540=1,I540="SBJ"),AND(J540=1,I540=0)),"?IN_FOCUS",IF(J540&lt;=2,"?ACTIVATED",IF(J540&lt;&gt;"","?FAMILIAR",IF(F540="NEW",IF(ISNA(VLOOKUP(E540,#REF!,1,FALSE())),"?TYPE_IDENTIFIABLE","?REFERENTIAL"),"_")))))</f>
        <v/>
      </c>
      <c r="H540" s="12" t="str">
        <f t="shared" si="21"/>
        <v/>
      </c>
    </row>
    <row r="541" spans="1:8" x14ac:dyDescent="0.35">
      <c r="E541" s="9" t="str">
        <f t="shared" si="20"/>
        <v/>
      </c>
      <c r="F541" s="10" t="str">
        <f>IF(OR(E541="",E541="!!!"),"",IF(NOT(ISNA(VLOOKUP(E541,E$1:E540,1,FALSE()))),"OLD",IF(AND(E541&lt;&gt;"",E541&lt;&gt;"!!!"),"NEW","")))</f>
        <v/>
      </c>
      <c r="G541" s="11" t="str">
        <f>IF(OR(E541="",E541="!!!"),"",IF(OR(J541=0,AND(J541=1,K541=1),AND(J541=1,I541="SBJ"),AND(J541=1,I541=0)),"?IN_FOCUS",IF(J541&lt;=2,"?ACTIVATED",IF(J541&lt;&gt;"","?FAMILIAR",IF(F541="NEW",IF(ISNA(VLOOKUP(E541,#REF!,1,FALSE())),"?TYPE_IDENTIFIABLE","?REFERENTIAL"),"_")))))</f>
        <v/>
      </c>
      <c r="H541" s="12" t="str">
        <f t="shared" si="21"/>
        <v/>
      </c>
    </row>
    <row r="542" spans="1:8" x14ac:dyDescent="0.35">
      <c r="A542" t="s">
        <v>244</v>
      </c>
      <c r="E542" s="9" t="str">
        <f t="shared" si="20"/>
        <v/>
      </c>
      <c r="F542" s="10" t="str">
        <f>IF(OR(E542="",E542="!!!"),"",IF(NOT(ISNA(VLOOKUP(E542,E$1:E541,1,FALSE()))),"OLD",IF(AND(E542&lt;&gt;"",E542&lt;&gt;"!!!"),"NEW","")))</f>
        <v/>
      </c>
      <c r="G542" s="11" t="str">
        <f>IF(OR(E542="",E542="!!!"),"",IF(OR(J542=0,AND(J542=1,K542=1),AND(J542=1,I542="SBJ"),AND(J542=1,I542=0)),"?IN_FOCUS",IF(J542&lt;=2,"?ACTIVATED",IF(J542&lt;&gt;"","?FAMILIAR",IF(F542="NEW",IF(ISNA(VLOOKUP(E542,#REF!,1,FALSE())),"?TYPE_IDENTIFIABLE","?REFERENTIAL"),"_")))))</f>
        <v/>
      </c>
      <c r="H542" s="12" t="str">
        <f t="shared" si="21"/>
        <v/>
      </c>
    </row>
    <row r="543" spans="1:8" x14ac:dyDescent="0.35">
      <c r="A543" t="s">
        <v>322</v>
      </c>
      <c r="E543" s="9" t="str">
        <f t="shared" si="20"/>
        <v/>
      </c>
      <c r="F543" s="10" t="str">
        <f>IF(OR(E543="",E543="!!!"),"",IF(NOT(ISNA(VLOOKUP(E543,E$1:E542,1,FALSE()))),"OLD",IF(AND(E543&lt;&gt;"",E543&lt;&gt;"!!!"),"NEW","")))</f>
        <v/>
      </c>
      <c r="G543" s="11" t="str">
        <f>IF(OR(E543="",E543="!!!"),"",IF(OR(J543=0,AND(J543=1,K543=1),AND(J543=1,I543="SBJ"),AND(J543=1,I543=0)),"?IN_FOCUS",IF(J543&lt;=2,"?ACTIVATED",IF(J543&lt;&gt;"","?FAMILIAR",IF(F543="NEW",IF(ISNA(VLOOKUP(E543,#REF!,1,FALSE())),"?TYPE_IDENTIFIABLE","?REFERENTIAL"),"_")))))</f>
        <v/>
      </c>
      <c r="H543" s="12" t="str">
        <f t="shared" si="21"/>
        <v/>
      </c>
    </row>
    <row r="544" spans="1:8" x14ac:dyDescent="0.35">
      <c r="A544" t="s">
        <v>110</v>
      </c>
      <c r="B544" t="s">
        <v>14</v>
      </c>
      <c r="C544" t="s">
        <v>33</v>
      </c>
      <c r="D544" t="s">
        <v>16</v>
      </c>
      <c r="E544" s="9" t="s">
        <v>868</v>
      </c>
      <c r="F544" s="10" t="str">
        <f>IF(OR(E544="",E544="!!!"),"",IF(NOT(ISNA(VLOOKUP(E544,E$1:E543,1,FALSE()))),"OLD",IF(AND(E544&lt;&gt;"",E544&lt;&gt;"!!!"),"NEW","")))</f>
        <v>OLD</v>
      </c>
      <c r="G544" s="11" t="s">
        <v>874</v>
      </c>
      <c r="H544" s="12" t="str">
        <f t="shared" si="21"/>
        <v/>
      </c>
    </row>
    <row r="545" spans="1:8" x14ac:dyDescent="0.35">
      <c r="A545" t="s">
        <v>323</v>
      </c>
      <c r="E545" s="9" t="str">
        <f t="shared" si="20"/>
        <v/>
      </c>
      <c r="F545" s="10" t="str">
        <f>IF(OR(E545="",E545="!!!"),"",IF(NOT(ISNA(VLOOKUP(E545,E$1:E544,1,FALSE()))),"OLD",IF(AND(E545&lt;&gt;"",E545&lt;&gt;"!!!"),"NEW","")))</f>
        <v/>
      </c>
      <c r="G545" s="11" t="str">
        <f>IF(OR(E545="",E545="!!!"),"",IF(OR(J545=0,AND(J545=1,K545=1),AND(J545=1,I545="SBJ"),AND(J545=1,I545=0)),"?IN_FOCUS",IF(J545&lt;=2,"?ACTIVATED",IF(J545&lt;&gt;"","?FAMILIAR",IF(F545="NEW",IF(ISNA(VLOOKUP(E545,#REF!,1,FALSE())),"?TYPE_IDENTIFIABLE","?REFERENTIAL"),"_")))))</f>
        <v/>
      </c>
      <c r="H545" s="12" t="str">
        <f t="shared" si="21"/>
        <v/>
      </c>
    </row>
    <row r="546" spans="1:8" x14ac:dyDescent="0.35">
      <c r="A546" t="s">
        <v>324</v>
      </c>
      <c r="E546" s="9" t="str">
        <f t="shared" si="20"/>
        <v/>
      </c>
      <c r="F546" s="10" t="str">
        <f>IF(OR(E546="",E546="!!!"),"",IF(NOT(ISNA(VLOOKUP(E546,E$1:E545,1,FALSE()))),"OLD",IF(AND(E546&lt;&gt;"",E546&lt;&gt;"!!!"),"NEW","")))</f>
        <v/>
      </c>
      <c r="G546" s="11" t="str">
        <f>IF(OR(E546="",E546="!!!"),"",IF(OR(J546=0,AND(J546=1,K546=1),AND(J546=1,I546="SBJ"),AND(J546=1,I546=0)),"?IN_FOCUS",IF(J546&lt;=2,"?ACTIVATED",IF(J546&lt;&gt;"","?FAMILIAR",IF(F546="NEW",IF(ISNA(VLOOKUP(E546,#REF!,1,FALSE())),"?TYPE_IDENTIFIABLE","?REFERENTIAL"),"_")))))</f>
        <v/>
      </c>
      <c r="H546" s="12" t="str">
        <f t="shared" si="21"/>
        <v/>
      </c>
    </row>
    <row r="547" spans="1:8" x14ac:dyDescent="0.35">
      <c r="A547" t="s">
        <v>248</v>
      </c>
      <c r="B547" t="s">
        <v>32</v>
      </c>
      <c r="C547" t="s">
        <v>33</v>
      </c>
      <c r="D547" t="s">
        <v>16</v>
      </c>
      <c r="E547" s="9" t="s">
        <v>885</v>
      </c>
      <c r="F547" s="10" t="str">
        <f>IF(OR(E547="",E547="!!!"),"",IF(NOT(ISNA(VLOOKUP(E547,E$1:E546,1,FALSE()))),"OLD",IF(AND(E547&lt;&gt;"",E547&lt;&gt;"!!!"),"NEW","")))</f>
        <v>NEW</v>
      </c>
      <c r="G547" s="11" t="s">
        <v>870</v>
      </c>
      <c r="H547" s="12" t="str">
        <f t="shared" si="21"/>
        <v/>
      </c>
    </row>
    <row r="548" spans="1:8" x14ac:dyDescent="0.35">
      <c r="A548" t="s">
        <v>45</v>
      </c>
      <c r="E548" s="9" t="str">
        <f t="shared" si="20"/>
        <v/>
      </c>
      <c r="F548" s="10" t="str">
        <f>IF(OR(E548="",E548="!!!"),"",IF(NOT(ISNA(VLOOKUP(E548,E$1:E547,1,FALSE()))),"OLD",IF(AND(E548&lt;&gt;"",E548&lt;&gt;"!!!"),"NEW","")))</f>
        <v/>
      </c>
      <c r="G548" s="11" t="str">
        <f>IF(OR(E548="",E548="!!!"),"",IF(OR(J548=0,AND(J548=1,K548=1),AND(J548=1,I548="SBJ"),AND(J548=1,I548=0)),"?IN_FOCUS",IF(J548&lt;=2,"?ACTIVATED",IF(J548&lt;&gt;"","?FAMILIAR",IF(F548="NEW",IF(ISNA(VLOOKUP(E548,#REF!,1,FALSE())),"?TYPE_IDENTIFIABLE","?REFERENTIAL"),"_")))))</f>
        <v/>
      </c>
      <c r="H548" s="12" t="str">
        <f t="shared" si="21"/>
        <v/>
      </c>
    </row>
    <row r="549" spans="1:8" x14ac:dyDescent="0.35">
      <c r="A549" t="s">
        <v>241</v>
      </c>
      <c r="E549" s="9" t="str">
        <f t="shared" si="20"/>
        <v/>
      </c>
      <c r="F549" s="10" t="str">
        <f>IF(OR(E549="",E549="!!!"),"",IF(NOT(ISNA(VLOOKUP(E549,E$1:E548,1,FALSE()))),"OLD",IF(AND(E549&lt;&gt;"",E549&lt;&gt;"!!!"),"NEW","")))</f>
        <v/>
      </c>
      <c r="G549" s="11" t="str">
        <f>IF(OR(E549="",E549="!!!"),"",IF(OR(J549=0,AND(J549=1,K549=1),AND(J549=1,I549="SBJ"),AND(J549=1,I549=0)),"?IN_FOCUS",IF(J549&lt;=2,"?ACTIVATED",IF(J549&lt;&gt;"","?FAMILIAR",IF(F549="NEW",IF(ISNA(VLOOKUP(E549,#REF!,1,FALSE())),"?TYPE_IDENTIFIABLE","?REFERENTIAL"),"_")))))</f>
        <v/>
      </c>
      <c r="H549" s="12" t="str">
        <f t="shared" si="21"/>
        <v/>
      </c>
    </row>
    <row r="550" spans="1:8" x14ac:dyDescent="0.35">
      <c r="A550" t="s">
        <v>169</v>
      </c>
      <c r="E550" s="9" t="str">
        <f t="shared" si="20"/>
        <v/>
      </c>
      <c r="F550" s="10" t="str">
        <f>IF(OR(E550="",E550="!!!"),"",IF(NOT(ISNA(VLOOKUP(E550,E$1:E549,1,FALSE()))),"OLD",IF(AND(E550&lt;&gt;"",E550&lt;&gt;"!!!"),"NEW","")))</f>
        <v/>
      </c>
      <c r="G550" s="11" t="str">
        <f>IF(OR(E550="",E550="!!!"),"",IF(OR(J550=0,AND(J550=1,K550=1),AND(J550=1,I550="SBJ"),AND(J550=1,I550=0)),"?IN_FOCUS",IF(J550&lt;=2,"?ACTIVATED",IF(J550&lt;&gt;"","?FAMILIAR",IF(F550="NEW",IF(ISNA(VLOOKUP(E550,#REF!,1,FALSE())),"?TYPE_IDENTIFIABLE","?REFERENTIAL"),"_")))))</f>
        <v/>
      </c>
      <c r="H550" s="12" t="str">
        <f t="shared" si="21"/>
        <v/>
      </c>
    </row>
    <row r="551" spans="1:8" x14ac:dyDescent="0.35">
      <c r="A551" t="s">
        <v>325</v>
      </c>
      <c r="B551" t="s">
        <v>24</v>
      </c>
      <c r="C551" t="s">
        <v>108</v>
      </c>
      <c r="E551" s="9" t="str">
        <f t="shared" si="20"/>
        <v/>
      </c>
      <c r="F551" s="10" t="str">
        <f>IF(OR(E551="",E551="!!!"),"",IF(NOT(ISNA(VLOOKUP(E551,E$1:E550,1,FALSE()))),"OLD",IF(AND(E551&lt;&gt;"",E551&lt;&gt;"!!!"),"NEW","")))</f>
        <v/>
      </c>
      <c r="G551" s="11" t="str">
        <f>IF(OR(E551="",E551="!!!"),"",IF(OR(J551=0,AND(J551=1,K551=1),AND(J551=1,I551="SBJ"),AND(J551=1,I551=0)),"?IN_FOCUS",IF(J551&lt;=2,"?ACTIVATED",IF(J551&lt;&gt;"","?FAMILIAR",IF(F551="NEW",IF(ISNA(VLOOKUP(E551,#REF!,1,FALSE())),"?TYPE_IDENTIFIABLE","?REFERENTIAL"),"_")))))</f>
        <v/>
      </c>
      <c r="H551" s="12" t="str">
        <f t="shared" si="21"/>
        <v/>
      </c>
    </row>
    <row r="552" spans="1:8" x14ac:dyDescent="0.35">
      <c r="A552" t="s">
        <v>76</v>
      </c>
      <c r="E552" s="9" t="str">
        <f t="shared" si="20"/>
        <v/>
      </c>
      <c r="F552" s="10" t="str">
        <f>IF(OR(E552="",E552="!!!"),"",IF(NOT(ISNA(VLOOKUP(E552,E$1:E551,1,FALSE()))),"OLD",IF(AND(E552&lt;&gt;"",E552&lt;&gt;"!!!"),"NEW","")))</f>
        <v/>
      </c>
      <c r="G552" s="11" t="str">
        <f>IF(OR(E552="",E552="!!!"),"",IF(OR(J552=0,AND(J552=1,K552=1),AND(J552=1,I552="SBJ"),AND(J552=1,I552=0)),"?IN_FOCUS",IF(J552&lt;=2,"?ACTIVATED",IF(J552&lt;&gt;"","?FAMILIAR",IF(F552="NEW",IF(ISNA(VLOOKUP(E552,#REF!,1,FALSE())),"?TYPE_IDENTIFIABLE","?REFERENTIAL"),"_")))))</f>
        <v/>
      </c>
      <c r="H552" s="12" t="str">
        <f t="shared" si="21"/>
        <v/>
      </c>
    </row>
    <row r="553" spans="1:8" x14ac:dyDescent="0.35">
      <c r="A553" t="s">
        <v>224</v>
      </c>
      <c r="E553" s="9" t="str">
        <f t="shared" si="20"/>
        <v/>
      </c>
      <c r="F553" s="10" t="str">
        <f>IF(OR(E553="",E553="!!!"),"",IF(NOT(ISNA(VLOOKUP(E553,E$1:E552,1,FALSE()))),"OLD",IF(AND(E553&lt;&gt;"",E553&lt;&gt;"!!!"),"NEW","")))</f>
        <v/>
      </c>
      <c r="G553" s="11" t="str">
        <f>IF(OR(E553="",E553="!!!"),"",IF(OR(J553=0,AND(J553=1,K553=1),AND(J553=1,I553="SBJ"),AND(J553=1,I553=0)),"?IN_FOCUS",IF(J553&lt;=2,"?ACTIVATED",IF(J553&lt;&gt;"","?FAMILIAR",IF(F553="NEW",IF(ISNA(VLOOKUP(E553,#REF!,1,FALSE())),"?TYPE_IDENTIFIABLE","?REFERENTIAL"),"_")))))</f>
        <v/>
      </c>
      <c r="H553" s="12" t="str">
        <f t="shared" si="21"/>
        <v/>
      </c>
    </row>
    <row r="554" spans="1:8" x14ac:dyDescent="0.35">
      <c r="A554" t="s">
        <v>45</v>
      </c>
      <c r="E554" s="9" t="str">
        <f t="shared" si="20"/>
        <v/>
      </c>
      <c r="F554" s="10" t="str">
        <f>IF(OR(E554="",E554="!!!"),"",IF(NOT(ISNA(VLOOKUP(E554,E$1:E553,1,FALSE()))),"OLD",IF(AND(E554&lt;&gt;"",E554&lt;&gt;"!!!"),"NEW","")))</f>
        <v/>
      </c>
      <c r="G554" s="11" t="str">
        <f>IF(OR(E554="",E554="!!!"),"",IF(OR(J554=0,AND(J554=1,K554=1),AND(J554=1,I554="SBJ"),AND(J554=1,I554=0)),"?IN_FOCUS",IF(J554&lt;=2,"?ACTIVATED",IF(J554&lt;&gt;"","?FAMILIAR",IF(F554="NEW",IF(ISNA(VLOOKUP(E554,#REF!,1,FALSE())),"?TYPE_IDENTIFIABLE","?REFERENTIAL"),"_")))))</f>
        <v/>
      </c>
      <c r="H554" s="12" t="str">
        <f t="shared" si="21"/>
        <v/>
      </c>
    </row>
    <row r="555" spans="1:8" x14ac:dyDescent="0.35">
      <c r="A555" t="s">
        <v>202</v>
      </c>
      <c r="E555" s="9" t="str">
        <f t="shared" si="20"/>
        <v/>
      </c>
      <c r="F555" s="10" t="str">
        <f>IF(OR(E555="",E555="!!!"),"",IF(NOT(ISNA(VLOOKUP(E555,E$1:E554,1,FALSE()))),"OLD",IF(AND(E555&lt;&gt;"",E555&lt;&gt;"!!!"),"NEW","")))</f>
        <v/>
      </c>
      <c r="G555" s="11" t="str">
        <f>IF(OR(E555="",E555="!!!"),"",IF(OR(J555=0,AND(J555=1,K555=1),AND(J555=1,I555="SBJ"),AND(J555=1,I555=0)),"?IN_FOCUS",IF(J555&lt;=2,"?ACTIVATED",IF(J555&lt;&gt;"","?FAMILIAR",IF(F555="NEW",IF(ISNA(VLOOKUP(E555,#REF!,1,FALSE())),"?TYPE_IDENTIFIABLE","?REFERENTIAL"),"_")))))</f>
        <v/>
      </c>
      <c r="H555" s="12" t="str">
        <f t="shared" si="21"/>
        <v/>
      </c>
    </row>
    <row r="556" spans="1:8" x14ac:dyDescent="0.35">
      <c r="A556" t="s">
        <v>326</v>
      </c>
      <c r="E556" s="9" t="str">
        <f t="shared" si="20"/>
        <v/>
      </c>
      <c r="F556" s="10" t="str">
        <f>IF(OR(E556="",E556="!!!"),"",IF(NOT(ISNA(VLOOKUP(E556,E$1:E555,1,FALSE()))),"OLD",IF(AND(E556&lt;&gt;"",E556&lt;&gt;"!!!"),"NEW","")))</f>
        <v/>
      </c>
      <c r="G556" s="11" t="str">
        <f>IF(OR(E556="",E556="!!!"),"",IF(OR(J556=0,AND(J556=1,K556=1),AND(J556=1,I556="SBJ"),AND(J556=1,I556=0)),"?IN_FOCUS",IF(J556&lt;=2,"?ACTIVATED",IF(J556&lt;&gt;"","?FAMILIAR",IF(F556="NEW",IF(ISNA(VLOOKUP(E556,#REF!,1,FALSE())),"?TYPE_IDENTIFIABLE","?REFERENTIAL"),"_")))))</f>
        <v/>
      </c>
      <c r="H556" s="12" t="str">
        <f t="shared" si="21"/>
        <v/>
      </c>
    </row>
    <row r="557" spans="1:8" x14ac:dyDescent="0.35">
      <c r="A557" t="s">
        <v>34</v>
      </c>
      <c r="E557" s="9" t="str">
        <f t="shared" si="20"/>
        <v/>
      </c>
      <c r="F557" s="10" t="str">
        <f>IF(OR(E557="",E557="!!!"),"",IF(NOT(ISNA(VLOOKUP(E557,E$1:E556,1,FALSE()))),"OLD",IF(AND(E557&lt;&gt;"",E557&lt;&gt;"!!!"),"NEW","")))</f>
        <v/>
      </c>
      <c r="G557" s="11" t="str">
        <f>IF(OR(E557="",E557="!!!"),"",IF(OR(J557=0,AND(J557=1,K557=1),AND(J557=1,I557="SBJ"),AND(J557=1,I557=0)),"?IN_FOCUS",IF(J557&lt;=2,"?ACTIVATED",IF(J557&lt;&gt;"","?FAMILIAR",IF(F557="NEW",IF(ISNA(VLOOKUP(E557,#REF!,1,FALSE())),"?TYPE_IDENTIFIABLE","?REFERENTIAL"),"_")))))</f>
        <v/>
      </c>
      <c r="H557" s="12" t="str">
        <f t="shared" si="21"/>
        <v/>
      </c>
    </row>
    <row r="558" spans="1:8" x14ac:dyDescent="0.35">
      <c r="A558" t="s">
        <v>327</v>
      </c>
      <c r="B558" t="s">
        <v>56</v>
      </c>
      <c r="C558" t="s">
        <v>37</v>
      </c>
      <c r="E558" s="9" t="str">
        <f t="shared" si="20"/>
        <v/>
      </c>
      <c r="F558" s="10" t="str">
        <f>IF(OR(E558="",E558="!!!"),"",IF(NOT(ISNA(VLOOKUP(E558,E$1:E557,1,FALSE()))),"OLD",IF(AND(E558&lt;&gt;"",E558&lt;&gt;"!!!"),"NEW","")))</f>
        <v/>
      </c>
      <c r="G558" s="11" t="str">
        <f>IF(OR(E558="",E558="!!!"),"",IF(OR(J558=0,AND(J558=1,K558=1),AND(J558=1,I558="SBJ"),AND(J558=1,I558=0)),"?IN_FOCUS",IF(J558&lt;=2,"?ACTIVATED",IF(J558&lt;&gt;"","?FAMILIAR",IF(F558="NEW",IF(ISNA(VLOOKUP(E558,#REF!,1,FALSE())),"?TYPE_IDENTIFIABLE","?REFERENTIAL"),"_")))))</f>
        <v/>
      </c>
      <c r="H558" s="12" t="str">
        <f t="shared" si="21"/>
        <v/>
      </c>
    </row>
    <row r="559" spans="1:8" x14ac:dyDescent="0.35">
      <c r="A559" t="s">
        <v>63</v>
      </c>
      <c r="E559" s="9" t="str">
        <f t="shared" si="20"/>
        <v/>
      </c>
      <c r="F559" s="10" t="str">
        <f>IF(OR(E559="",E559="!!!"),"",IF(NOT(ISNA(VLOOKUP(E559,E$1:E558,1,FALSE()))),"OLD",IF(AND(E559&lt;&gt;"",E559&lt;&gt;"!!!"),"NEW","")))</f>
        <v/>
      </c>
      <c r="G559" s="11" t="str">
        <f>IF(OR(E559="",E559="!!!"),"",IF(OR(J559=0,AND(J559=1,K559=1),AND(J559=1,I559="SBJ"),AND(J559=1,I559=0)),"?IN_FOCUS",IF(J559&lt;=2,"?ACTIVATED",IF(J559&lt;&gt;"","?FAMILIAR",IF(F559="NEW",IF(ISNA(VLOOKUP(E559,#REF!,1,FALSE())),"?TYPE_IDENTIFIABLE","?REFERENTIAL"),"_")))))</f>
        <v/>
      </c>
      <c r="H559" s="12" t="str">
        <f t="shared" si="21"/>
        <v/>
      </c>
    </row>
    <row r="560" spans="1:8" x14ac:dyDescent="0.35">
      <c r="A560" t="s">
        <v>246</v>
      </c>
      <c r="E560" s="9" t="str">
        <f t="shared" si="20"/>
        <v/>
      </c>
      <c r="F560" s="10" t="str">
        <f>IF(OR(E560="",E560="!!!"),"",IF(NOT(ISNA(VLOOKUP(E560,E$1:E559,1,FALSE()))),"OLD",IF(AND(E560&lt;&gt;"",E560&lt;&gt;"!!!"),"NEW","")))</f>
        <v/>
      </c>
      <c r="G560" s="11" t="str">
        <f>IF(OR(E560="",E560="!!!"),"",IF(OR(J560=0,AND(J560=1,K560=1),AND(J560=1,I560="SBJ"),AND(J560=1,I560=0)),"?IN_FOCUS",IF(J560&lt;=2,"?ACTIVATED",IF(J560&lt;&gt;"","?FAMILIAR",IF(F560="NEW",IF(ISNA(VLOOKUP(E560,#REF!,1,FALSE())),"?TYPE_IDENTIFIABLE","?REFERENTIAL"),"_")))))</f>
        <v/>
      </c>
      <c r="H560" s="12" t="str">
        <f t="shared" si="21"/>
        <v/>
      </c>
    </row>
    <row r="561" spans="1:8" x14ac:dyDescent="0.35">
      <c r="E561" s="9" t="str">
        <f t="shared" si="20"/>
        <v/>
      </c>
      <c r="F561" s="10" t="str">
        <f>IF(OR(E561="",E561="!!!"),"",IF(NOT(ISNA(VLOOKUP(E561,E$1:E560,1,FALSE()))),"OLD",IF(AND(E561&lt;&gt;"",E561&lt;&gt;"!!!"),"NEW","")))</f>
        <v/>
      </c>
      <c r="G561" s="11" t="str">
        <f>IF(OR(E561="",E561="!!!"),"",IF(OR(J561=0,AND(J561=1,K561=1),AND(J561=1,I561="SBJ"),AND(J561=1,I561=0)),"?IN_FOCUS",IF(J561&lt;=2,"?ACTIVATED",IF(J561&lt;&gt;"","?FAMILIAR",IF(F561="NEW",IF(ISNA(VLOOKUP(E561,#REF!,1,FALSE())),"?TYPE_IDENTIFIABLE","?REFERENTIAL"),"_")))))</f>
        <v/>
      </c>
      <c r="H561" s="12" t="str">
        <f t="shared" si="21"/>
        <v/>
      </c>
    </row>
    <row r="562" spans="1:8" x14ac:dyDescent="0.35">
      <c r="A562" t="s">
        <v>328</v>
      </c>
      <c r="E562" s="9" t="str">
        <f t="shared" si="20"/>
        <v/>
      </c>
      <c r="F562" s="10" t="str">
        <f>IF(OR(E562="",E562="!!!"),"",IF(NOT(ISNA(VLOOKUP(E562,E$1:E561,1,FALSE()))),"OLD",IF(AND(E562&lt;&gt;"",E562&lt;&gt;"!!!"),"NEW","")))</f>
        <v/>
      </c>
      <c r="G562" s="11" t="str">
        <f>IF(OR(E562="",E562="!!!"),"",IF(OR(J562=0,AND(J562=1,K562=1),AND(J562=1,I562="SBJ"),AND(J562=1,I562=0)),"?IN_FOCUS",IF(J562&lt;=2,"?ACTIVATED",IF(J562&lt;&gt;"","?FAMILIAR",IF(F562="NEW",IF(ISNA(VLOOKUP(E562,#REF!,1,FALSE())),"?TYPE_IDENTIFIABLE","?REFERENTIAL"),"_")))))</f>
        <v/>
      </c>
      <c r="H562" s="12" t="str">
        <f t="shared" si="21"/>
        <v/>
      </c>
    </row>
    <row r="563" spans="1:8" x14ac:dyDescent="0.35">
      <c r="A563" t="s">
        <v>222</v>
      </c>
      <c r="B563" t="s">
        <v>14</v>
      </c>
      <c r="C563" t="s">
        <v>33</v>
      </c>
      <c r="D563" t="s">
        <v>16</v>
      </c>
      <c r="E563" s="9" t="s">
        <v>884</v>
      </c>
      <c r="F563" s="10" t="str">
        <f>IF(OR(E563="",E563="!!!"),"",IF(NOT(ISNA(VLOOKUP(E563,E$1:E562,1,FALSE()))),"OLD",IF(AND(E563&lt;&gt;"",E563&lt;&gt;"!!!"),"NEW","")))</f>
        <v>OLD</v>
      </c>
      <c r="G563" s="11" t="s">
        <v>877</v>
      </c>
      <c r="H563" s="12" t="str">
        <f t="shared" si="21"/>
        <v/>
      </c>
    </row>
    <row r="564" spans="1:8" x14ac:dyDescent="0.35">
      <c r="A564" t="s">
        <v>329</v>
      </c>
      <c r="E564" s="9" t="str">
        <f t="shared" si="20"/>
        <v/>
      </c>
      <c r="F564" s="10" t="str">
        <f>IF(OR(E564="",E564="!!!"),"",IF(NOT(ISNA(VLOOKUP(E564,E$1:E563,1,FALSE()))),"OLD",IF(AND(E564&lt;&gt;"",E564&lt;&gt;"!!!"),"NEW","")))</f>
        <v/>
      </c>
      <c r="G564" s="11" t="str">
        <f>IF(OR(E564="",E564="!!!"),"",IF(OR(J564=0,AND(J564=1,K564=1),AND(J564=1,I564="SBJ"),AND(J564=1,I564=0)),"?IN_FOCUS",IF(J564&lt;=2,"?ACTIVATED",IF(J564&lt;&gt;"","?FAMILIAR",IF(F564="NEW",IF(ISNA(VLOOKUP(E564,#REF!,1,FALSE())),"?TYPE_IDENTIFIABLE","?REFERENTIAL"),"_")))))</f>
        <v/>
      </c>
      <c r="H564" s="12" t="str">
        <f t="shared" si="21"/>
        <v/>
      </c>
    </row>
    <row r="565" spans="1:8" x14ac:dyDescent="0.35">
      <c r="A565" t="s">
        <v>330</v>
      </c>
      <c r="E565" s="9" t="str">
        <f t="shared" si="20"/>
        <v/>
      </c>
      <c r="F565" s="10" t="str">
        <f>IF(OR(E565="",E565="!!!"),"",IF(NOT(ISNA(VLOOKUP(E565,E$1:E564,1,FALSE()))),"OLD",IF(AND(E565&lt;&gt;"",E565&lt;&gt;"!!!"),"NEW","")))</f>
        <v/>
      </c>
      <c r="G565" s="11" t="str">
        <f>IF(OR(E565="",E565="!!!"),"",IF(OR(J565=0,AND(J565=1,K565=1),AND(J565=1,I565="SBJ"),AND(J565=1,I565=0)),"?IN_FOCUS",IF(J565&lt;=2,"?ACTIVATED",IF(J565&lt;&gt;"","?FAMILIAR",IF(F565="NEW",IF(ISNA(VLOOKUP(E565,#REF!,1,FALSE())),"?TYPE_IDENTIFIABLE","?REFERENTIAL"),"_")))))</f>
        <v/>
      </c>
      <c r="H565" s="12" t="str">
        <f t="shared" si="21"/>
        <v/>
      </c>
    </row>
    <row r="566" spans="1:8" x14ac:dyDescent="0.35">
      <c r="A566" t="s">
        <v>331</v>
      </c>
      <c r="E566" s="9" t="str">
        <f t="shared" si="20"/>
        <v/>
      </c>
      <c r="F566" s="10" t="str">
        <f>IF(OR(E566="",E566="!!!"),"",IF(NOT(ISNA(VLOOKUP(E566,E$1:E565,1,FALSE()))),"OLD",IF(AND(E566&lt;&gt;"",E566&lt;&gt;"!!!"),"NEW","")))</f>
        <v/>
      </c>
      <c r="G566" s="11" t="str">
        <f>IF(OR(E566="",E566="!!!"),"",IF(OR(J566=0,AND(J566=1,K566=1),AND(J566=1,I566="SBJ"),AND(J566=1,I566=0)),"?IN_FOCUS",IF(J566&lt;=2,"?ACTIVATED",IF(J566&lt;&gt;"","?FAMILIAR",IF(F566="NEW",IF(ISNA(VLOOKUP(E566,#REF!,1,FALSE())),"?TYPE_IDENTIFIABLE","?REFERENTIAL"),"_")))))</f>
        <v/>
      </c>
      <c r="H566" s="12" t="str">
        <f t="shared" si="21"/>
        <v/>
      </c>
    </row>
    <row r="567" spans="1:8" x14ac:dyDescent="0.35">
      <c r="A567" t="s">
        <v>58</v>
      </c>
      <c r="E567" s="9" t="str">
        <f t="shared" ref="E567:E630" si="22">IF(D567="?OLD","!!!","")</f>
        <v/>
      </c>
      <c r="F567" s="10" t="str">
        <f>IF(OR(E567="",E567="!!!"),"",IF(NOT(ISNA(VLOOKUP(E567,E$1:E566,1,FALSE()))),"OLD",IF(AND(E567&lt;&gt;"",E567&lt;&gt;"!!!"),"NEW","")))</f>
        <v/>
      </c>
      <c r="G567" s="11" t="str">
        <f>IF(OR(E567="",E567="!!!"),"",IF(OR(J567=0,AND(J567=1,K567=1),AND(J567=1,I567="SBJ"),AND(J567=1,I567=0)),"?IN_FOCUS",IF(J567&lt;=2,"?ACTIVATED",IF(J567&lt;&gt;"","?FAMILIAR",IF(F567="NEW",IF(ISNA(VLOOKUP(E567,#REF!,1,FALSE())),"?TYPE_IDENTIFIABLE","?REFERENTIAL"),"_")))))</f>
        <v/>
      </c>
      <c r="H567" s="12" t="str">
        <f t="shared" ref="H567:H630" si="23">IF(J567&lt;&gt;1,"",IF(I567="SBJ","CB","?"))</f>
        <v/>
      </c>
    </row>
    <row r="568" spans="1:8" x14ac:dyDescent="0.35">
      <c r="A568" t="s">
        <v>332</v>
      </c>
      <c r="B568" t="s">
        <v>54</v>
      </c>
      <c r="C568" t="s">
        <v>99</v>
      </c>
      <c r="D568" t="s">
        <v>16</v>
      </c>
      <c r="E568" s="9" t="s">
        <v>262</v>
      </c>
      <c r="F568" s="10" t="s">
        <v>876</v>
      </c>
      <c r="G568" s="11"/>
      <c r="H568" s="12" t="str">
        <f t="shared" si="23"/>
        <v/>
      </c>
    </row>
    <row r="569" spans="1:8" x14ac:dyDescent="0.35">
      <c r="A569" t="s">
        <v>105</v>
      </c>
      <c r="E569" s="9" t="str">
        <f t="shared" si="22"/>
        <v/>
      </c>
      <c r="F569" s="10" t="str">
        <f>IF(OR(E569="",E569="!!!"),"",IF(NOT(ISNA(VLOOKUP(E569,E$1:E568,1,FALSE()))),"OLD",IF(AND(E569&lt;&gt;"",E569&lt;&gt;"!!!"),"NEW","")))</f>
        <v/>
      </c>
      <c r="G569" s="11" t="str">
        <f>IF(OR(E569="",E569="!!!"),"",IF(OR(J569=0,AND(J569=1,K569=1),AND(J569=1,I569="SBJ"),AND(J569=1,I569=0)),"?IN_FOCUS",IF(J569&lt;=2,"?ACTIVATED",IF(J569&lt;&gt;"","?FAMILIAR",IF(F569="NEW",IF(ISNA(VLOOKUP(E569,#REF!,1,FALSE())),"?TYPE_IDENTIFIABLE","?REFERENTIAL"),"_")))))</f>
        <v/>
      </c>
      <c r="H569" s="12" t="str">
        <f t="shared" si="23"/>
        <v/>
      </c>
    </row>
    <row r="570" spans="1:8" x14ac:dyDescent="0.35">
      <c r="A570" t="s">
        <v>333</v>
      </c>
      <c r="E570" s="9" t="str">
        <f t="shared" si="22"/>
        <v/>
      </c>
      <c r="F570" s="10" t="str">
        <f>IF(OR(E570="",E570="!!!"),"",IF(NOT(ISNA(VLOOKUP(E570,E$1:E569,1,FALSE()))),"OLD",IF(AND(E570&lt;&gt;"",E570&lt;&gt;"!!!"),"NEW","")))</f>
        <v/>
      </c>
      <c r="G570" s="11" t="str">
        <f>IF(OR(E570="",E570="!!!"),"",IF(OR(J570=0,AND(J570=1,K570=1),AND(J570=1,I570="SBJ"),AND(J570=1,I570=0)),"?IN_FOCUS",IF(J570&lt;=2,"?ACTIVATED",IF(J570&lt;&gt;"","?FAMILIAR",IF(F570="NEW",IF(ISNA(VLOOKUP(E570,#REF!,1,FALSE())),"?TYPE_IDENTIFIABLE","?REFERENTIAL"),"_")))))</f>
        <v/>
      </c>
      <c r="H570" s="12" t="str">
        <f t="shared" si="23"/>
        <v/>
      </c>
    </row>
    <row r="571" spans="1:8" x14ac:dyDescent="0.35">
      <c r="A571" t="s">
        <v>133</v>
      </c>
      <c r="B571" t="s">
        <v>36</v>
      </c>
      <c r="C571" t="s">
        <v>33</v>
      </c>
      <c r="D571" t="s">
        <v>16</v>
      </c>
      <c r="E571" s="9" t="s">
        <v>884</v>
      </c>
      <c r="F571" s="10" t="str">
        <f>IF(OR(E571="",E571="!!!"),"",IF(NOT(ISNA(VLOOKUP(E571,E$1:E570,1,FALSE()))),"OLD",IF(AND(E571&lt;&gt;"",E571&lt;&gt;"!!!"),"NEW","")))</f>
        <v>OLD</v>
      </c>
      <c r="G571" s="11" t="s">
        <v>870</v>
      </c>
      <c r="H571" s="12" t="str">
        <f t="shared" si="23"/>
        <v/>
      </c>
    </row>
    <row r="572" spans="1:8" x14ac:dyDescent="0.35">
      <c r="A572" t="s">
        <v>83</v>
      </c>
      <c r="E572" s="9" t="str">
        <f t="shared" si="22"/>
        <v/>
      </c>
      <c r="F572" s="10" t="str">
        <f>IF(OR(E572="",E572="!!!"),"",IF(NOT(ISNA(VLOOKUP(E572,E$1:E571,1,FALSE()))),"OLD",IF(AND(E572&lt;&gt;"",E572&lt;&gt;"!!!"),"NEW","")))</f>
        <v/>
      </c>
      <c r="G572" s="11" t="str">
        <f>IF(OR(E572="",E572="!!!"),"",IF(OR(J572=0,AND(J572=1,K572=1),AND(J572=1,I572="SBJ"),AND(J572=1,I572=0)),"?IN_FOCUS",IF(J572&lt;=2,"?ACTIVATED",IF(J572&lt;&gt;"","?FAMILIAR",IF(F572="NEW",IF(ISNA(VLOOKUP(E572,#REF!,1,FALSE())),"?TYPE_IDENTIFIABLE","?REFERENTIAL"),"_")))))</f>
        <v/>
      </c>
      <c r="H572" s="12" t="str">
        <f t="shared" si="23"/>
        <v/>
      </c>
    </row>
    <row r="573" spans="1:8" x14ac:dyDescent="0.35">
      <c r="A573" t="s">
        <v>334</v>
      </c>
      <c r="E573" s="9" t="str">
        <f t="shared" si="22"/>
        <v/>
      </c>
      <c r="F573" s="10" t="str">
        <f>IF(OR(E573="",E573="!!!"),"",IF(NOT(ISNA(VLOOKUP(E573,E$1:E572,1,FALSE()))),"OLD",IF(AND(E573&lt;&gt;"",E573&lt;&gt;"!!!"),"NEW","")))</f>
        <v/>
      </c>
      <c r="G573" s="11" t="str">
        <f>IF(OR(E573="",E573="!!!"),"",IF(OR(J573=0,AND(J573=1,K573=1),AND(J573=1,I573="SBJ"),AND(J573=1,I573=0)),"?IN_FOCUS",IF(J573&lt;=2,"?ACTIVATED",IF(J573&lt;&gt;"","?FAMILIAR",IF(F573="NEW",IF(ISNA(VLOOKUP(E573,#REF!,1,FALSE())),"?TYPE_IDENTIFIABLE","?REFERENTIAL"),"_")))))</f>
        <v/>
      </c>
      <c r="H573" s="12" t="str">
        <f t="shared" si="23"/>
        <v/>
      </c>
    </row>
    <row r="574" spans="1:8" x14ac:dyDescent="0.35">
      <c r="A574" t="s">
        <v>103</v>
      </c>
      <c r="E574" s="9" t="str">
        <f t="shared" si="22"/>
        <v/>
      </c>
      <c r="F574" s="10" t="str">
        <f>IF(OR(E574="",E574="!!!"),"",IF(NOT(ISNA(VLOOKUP(E574,E$1:E573,1,FALSE()))),"OLD",IF(AND(E574&lt;&gt;"",E574&lt;&gt;"!!!"),"NEW","")))</f>
        <v/>
      </c>
      <c r="G574" s="11" t="str">
        <f>IF(OR(E574="",E574="!!!"),"",IF(OR(J574=0,AND(J574=1,K574=1),AND(J574=1,I574="SBJ"),AND(J574=1,I574=0)),"?IN_FOCUS",IF(J574&lt;=2,"?ACTIVATED",IF(J574&lt;&gt;"","?FAMILIAR",IF(F574="NEW",IF(ISNA(VLOOKUP(E574,#REF!,1,FALSE())),"?TYPE_IDENTIFIABLE","?REFERENTIAL"),"_")))))</f>
        <v/>
      </c>
      <c r="H574" s="12" t="str">
        <f t="shared" si="23"/>
        <v/>
      </c>
    </row>
    <row r="575" spans="1:8" x14ac:dyDescent="0.35">
      <c r="A575" t="s">
        <v>58</v>
      </c>
      <c r="E575" s="9" t="str">
        <f t="shared" si="22"/>
        <v/>
      </c>
      <c r="F575" s="10" t="str">
        <f>IF(OR(E575="",E575="!!!"),"",IF(NOT(ISNA(VLOOKUP(E575,E$1:E574,1,FALSE()))),"OLD",IF(AND(E575&lt;&gt;"",E575&lt;&gt;"!!!"),"NEW","")))</f>
        <v/>
      </c>
      <c r="G575" s="11" t="str">
        <f>IF(OR(E575="",E575="!!!"),"",IF(OR(J575=0,AND(J575=1,K575=1),AND(J575=1,I575="SBJ"),AND(J575=1,I575=0)),"?IN_FOCUS",IF(J575&lt;=2,"?ACTIVATED",IF(J575&lt;&gt;"","?FAMILIAR",IF(F575="NEW",IF(ISNA(VLOOKUP(E575,#REF!,1,FALSE())),"?TYPE_IDENTIFIABLE","?REFERENTIAL"),"_")))))</f>
        <v/>
      </c>
      <c r="H575" s="12" t="str">
        <f t="shared" si="23"/>
        <v/>
      </c>
    </row>
    <row r="576" spans="1:8" x14ac:dyDescent="0.35">
      <c r="A576" t="s">
        <v>215</v>
      </c>
      <c r="B576" t="s">
        <v>24</v>
      </c>
      <c r="C576" t="s">
        <v>99</v>
      </c>
      <c r="D576" t="s">
        <v>16</v>
      </c>
      <c r="E576" s="9" t="s">
        <v>883</v>
      </c>
      <c r="F576" s="10" t="str">
        <f>IF(OR(E576="",E576="!!!"),"",IF(NOT(ISNA(VLOOKUP(E576,E$1:E575,1,FALSE()))),"OLD",IF(AND(E576&lt;&gt;"",E576&lt;&gt;"!!!"),"NEW","")))</f>
        <v>OLD</v>
      </c>
      <c r="G576" s="11" t="s">
        <v>877</v>
      </c>
      <c r="H576" s="12" t="str">
        <f t="shared" si="23"/>
        <v/>
      </c>
    </row>
    <row r="577" spans="1:8" x14ac:dyDescent="0.35">
      <c r="A577" t="s">
        <v>26</v>
      </c>
      <c r="E577" s="9" t="str">
        <f t="shared" si="22"/>
        <v/>
      </c>
      <c r="F577" s="10" t="str">
        <f>IF(OR(E577="",E577="!!!"),"",IF(NOT(ISNA(VLOOKUP(E577,E$1:E576,1,FALSE()))),"OLD",IF(AND(E577&lt;&gt;"",E577&lt;&gt;"!!!"),"NEW","")))</f>
        <v/>
      </c>
      <c r="G577" s="11" t="str">
        <f>IF(OR(E577="",E577="!!!"),"",IF(OR(J577=0,AND(J577=1,K577=1),AND(J577=1,I577="SBJ"),AND(J577=1,I577=0)),"?IN_FOCUS",IF(J577&lt;=2,"?ACTIVATED",IF(J577&lt;&gt;"","?FAMILIAR",IF(F577="NEW",IF(ISNA(VLOOKUP(E577,#REF!,1,FALSE())),"?TYPE_IDENTIFIABLE","?REFERENTIAL"),"_")))))</f>
        <v/>
      </c>
      <c r="H577" s="12" t="str">
        <f t="shared" si="23"/>
        <v/>
      </c>
    </row>
    <row r="578" spans="1:8" x14ac:dyDescent="0.35">
      <c r="A578" t="s">
        <v>115</v>
      </c>
      <c r="E578" s="9" t="str">
        <f t="shared" si="22"/>
        <v/>
      </c>
      <c r="F578" s="10" t="str">
        <f>IF(OR(E578="",E578="!!!"),"",IF(NOT(ISNA(VLOOKUP(E578,E$1:E577,1,FALSE()))),"OLD",IF(AND(E578&lt;&gt;"",E578&lt;&gt;"!!!"),"NEW","")))</f>
        <v/>
      </c>
      <c r="G578" s="11" t="str">
        <f>IF(OR(E578="",E578="!!!"),"",IF(OR(J578=0,AND(J578=1,K578=1),AND(J578=1,I578="SBJ"),AND(J578=1,I578=0)),"?IN_FOCUS",IF(J578&lt;=2,"?ACTIVATED",IF(J578&lt;&gt;"","?FAMILIAR",IF(F578="NEW",IF(ISNA(VLOOKUP(E578,#REF!,1,FALSE())),"?TYPE_IDENTIFIABLE","?REFERENTIAL"),"_")))))</f>
        <v/>
      </c>
      <c r="H578" s="12" t="str">
        <f t="shared" si="23"/>
        <v/>
      </c>
    </row>
    <row r="579" spans="1:8" x14ac:dyDescent="0.35">
      <c r="A579" t="s">
        <v>19</v>
      </c>
      <c r="B579" t="s">
        <v>36</v>
      </c>
      <c r="C579" t="s">
        <v>21</v>
      </c>
      <c r="D579" t="s">
        <v>16</v>
      </c>
      <c r="E579" s="9" t="s">
        <v>868</v>
      </c>
      <c r="F579" s="10" t="str">
        <f>IF(OR(E579="",E579="!!!"),"",IF(NOT(ISNA(VLOOKUP(E579,E$1:E578,1,FALSE()))),"OLD",IF(AND(E579&lt;&gt;"",E579&lt;&gt;"!!!"),"NEW","")))</f>
        <v>OLD</v>
      </c>
      <c r="G579" s="11" t="s">
        <v>870</v>
      </c>
      <c r="H579" s="12" t="str">
        <f t="shared" si="23"/>
        <v/>
      </c>
    </row>
    <row r="580" spans="1:8" x14ac:dyDescent="0.35">
      <c r="A580" t="s">
        <v>335</v>
      </c>
      <c r="E580" s="9" t="str">
        <f t="shared" si="22"/>
        <v/>
      </c>
      <c r="F580" s="10" t="str">
        <f>IF(OR(E580="",E580="!!!"),"",IF(NOT(ISNA(VLOOKUP(E580,E$1:E579,1,FALSE()))),"OLD",IF(AND(E580&lt;&gt;"",E580&lt;&gt;"!!!"),"NEW","")))</f>
        <v/>
      </c>
      <c r="G580" s="11" t="str">
        <f>IF(OR(E580="",E580="!!!"),"",IF(OR(J580=0,AND(J580=1,K580=1),AND(J580=1,I580="SBJ"),AND(J580=1,I580=0)),"?IN_FOCUS",IF(J580&lt;=2,"?ACTIVATED",IF(J580&lt;&gt;"","?FAMILIAR",IF(F580="NEW",IF(ISNA(VLOOKUP(E580,#REF!,1,FALSE())),"?TYPE_IDENTIFIABLE","?REFERENTIAL"),"_")))))</f>
        <v/>
      </c>
      <c r="H580" s="12" t="str">
        <f t="shared" si="23"/>
        <v/>
      </c>
    </row>
    <row r="581" spans="1:8" x14ac:dyDescent="0.35">
      <c r="A581" t="s">
        <v>129</v>
      </c>
      <c r="B581" t="s">
        <v>91</v>
      </c>
      <c r="C581" t="s">
        <v>33</v>
      </c>
      <c r="D581" t="s">
        <v>16</v>
      </c>
      <c r="E581" s="9" t="s">
        <v>884</v>
      </c>
      <c r="F581" s="10" t="str">
        <f>IF(OR(E581="",E581="!!!"),"",IF(NOT(ISNA(VLOOKUP(E581,E$1:E580,1,FALSE()))),"OLD",IF(AND(E581&lt;&gt;"",E581&lt;&gt;"!!!"),"NEW","")))</f>
        <v>OLD</v>
      </c>
      <c r="G581" s="11" t="s">
        <v>870</v>
      </c>
      <c r="H581" s="12" t="str">
        <f t="shared" si="23"/>
        <v/>
      </c>
    </row>
    <row r="582" spans="1:8" x14ac:dyDescent="0.35">
      <c r="A582" t="s">
        <v>161</v>
      </c>
      <c r="E582" s="9" t="str">
        <f t="shared" si="22"/>
        <v/>
      </c>
      <c r="F582" s="10" t="str">
        <f>IF(OR(E582="",E582="!!!"),"",IF(NOT(ISNA(VLOOKUP(E582,E$1:E581,1,FALSE()))),"OLD",IF(AND(E582&lt;&gt;"",E582&lt;&gt;"!!!"),"NEW","")))</f>
        <v/>
      </c>
      <c r="G582" s="11" t="str">
        <f>IF(OR(E582="",E582="!!!"),"",IF(OR(J582=0,AND(J582=1,K582=1),AND(J582=1,I582="SBJ"),AND(J582=1,I582=0)),"?IN_FOCUS",IF(J582&lt;=2,"?ACTIVATED",IF(J582&lt;&gt;"","?FAMILIAR",IF(F582="NEW",IF(ISNA(VLOOKUP(E582,#REF!,1,FALSE())),"?TYPE_IDENTIFIABLE","?REFERENTIAL"),"_")))))</f>
        <v/>
      </c>
      <c r="H582" s="12" t="str">
        <f t="shared" si="23"/>
        <v/>
      </c>
    </row>
    <row r="583" spans="1:8" x14ac:dyDescent="0.35">
      <c r="A583" t="s">
        <v>133</v>
      </c>
      <c r="B583" t="s">
        <v>41</v>
      </c>
      <c r="C583" t="s">
        <v>33</v>
      </c>
      <c r="D583" t="s">
        <v>16</v>
      </c>
      <c r="E583" s="9" t="s">
        <v>884</v>
      </c>
      <c r="F583" s="10" t="str">
        <f>IF(OR(E583="",E583="!!!"),"",IF(NOT(ISNA(VLOOKUP(E583,E$1:E582,1,FALSE()))),"OLD",IF(AND(E583&lt;&gt;"",E583&lt;&gt;"!!!"),"NEW","")))</f>
        <v>OLD</v>
      </c>
      <c r="G583" s="11" t="s">
        <v>870</v>
      </c>
      <c r="H583" s="12" t="str">
        <f t="shared" si="23"/>
        <v/>
      </c>
    </row>
    <row r="584" spans="1:8" x14ac:dyDescent="0.35">
      <c r="A584" t="s">
        <v>83</v>
      </c>
      <c r="E584" s="9" t="str">
        <f t="shared" si="22"/>
        <v/>
      </c>
      <c r="F584" s="10" t="str">
        <f>IF(OR(E584="",E584="!!!"),"",IF(NOT(ISNA(VLOOKUP(E584,E$1:E583,1,FALSE()))),"OLD",IF(AND(E584&lt;&gt;"",E584&lt;&gt;"!!!"),"NEW","")))</f>
        <v/>
      </c>
      <c r="G584" s="11" t="str">
        <f>IF(OR(E584="",E584="!!!"),"",IF(OR(J584=0,AND(J584=1,K584=1),AND(J584=1,I584="SBJ"),AND(J584=1,I584=0)),"?IN_FOCUS",IF(J584&lt;=2,"?ACTIVATED",IF(J584&lt;&gt;"","?FAMILIAR",IF(F584="NEW",IF(ISNA(VLOOKUP(E584,#REF!,1,FALSE())),"?TYPE_IDENTIFIABLE","?REFERENTIAL"),"_")))))</f>
        <v/>
      </c>
      <c r="H584" s="12" t="str">
        <f t="shared" si="23"/>
        <v/>
      </c>
    </row>
    <row r="585" spans="1:8" x14ac:dyDescent="0.35">
      <c r="A585" t="s">
        <v>134</v>
      </c>
      <c r="E585" s="9" t="str">
        <f t="shared" si="22"/>
        <v/>
      </c>
      <c r="F585" s="10" t="str">
        <f>IF(OR(E585="",E585="!!!"),"",IF(NOT(ISNA(VLOOKUP(E585,E$1:E584,1,FALSE()))),"OLD",IF(AND(E585&lt;&gt;"",E585&lt;&gt;"!!!"),"NEW","")))</f>
        <v/>
      </c>
      <c r="G585" s="11" t="str">
        <f>IF(OR(E585="",E585="!!!"),"",IF(OR(J585=0,AND(J585=1,K585=1),AND(J585=1,I585="SBJ"),AND(J585=1,I585=0)),"?IN_FOCUS",IF(J585&lt;=2,"?ACTIVATED",IF(J585&lt;&gt;"","?FAMILIAR",IF(F585="NEW",IF(ISNA(VLOOKUP(E585,#REF!,1,FALSE())),"?TYPE_IDENTIFIABLE","?REFERENTIAL"),"_")))))</f>
        <v/>
      </c>
      <c r="H585" s="12" t="str">
        <f t="shared" si="23"/>
        <v/>
      </c>
    </row>
    <row r="586" spans="1:8" x14ac:dyDescent="0.35">
      <c r="A586" t="s">
        <v>336</v>
      </c>
      <c r="E586" s="9" t="str">
        <f t="shared" si="22"/>
        <v/>
      </c>
      <c r="F586" s="10" t="str">
        <f>IF(OR(E586="",E586="!!!"),"",IF(NOT(ISNA(VLOOKUP(E586,E$1:E585,1,FALSE()))),"OLD",IF(AND(E586&lt;&gt;"",E586&lt;&gt;"!!!"),"NEW","")))</f>
        <v/>
      </c>
      <c r="G586" s="11" t="str">
        <f>IF(OR(E586="",E586="!!!"),"",IF(OR(J586=0,AND(J586=1,K586=1),AND(J586=1,I586="SBJ"),AND(J586=1,I586=0)),"?IN_FOCUS",IF(J586&lt;=2,"?ACTIVATED",IF(J586&lt;&gt;"","?FAMILIAR",IF(F586="NEW",IF(ISNA(VLOOKUP(E586,#REF!,1,FALSE())),"?TYPE_IDENTIFIABLE","?REFERENTIAL"),"_")))))</f>
        <v/>
      </c>
      <c r="H586" s="12" t="str">
        <f t="shared" si="23"/>
        <v/>
      </c>
    </row>
    <row r="587" spans="1:8" x14ac:dyDescent="0.35">
      <c r="A587" t="s">
        <v>337</v>
      </c>
      <c r="E587" s="9" t="str">
        <f t="shared" si="22"/>
        <v/>
      </c>
      <c r="F587" s="10" t="str">
        <f>IF(OR(E587="",E587="!!!"),"",IF(NOT(ISNA(VLOOKUP(E587,E$1:E586,1,FALSE()))),"OLD",IF(AND(E587&lt;&gt;"",E587&lt;&gt;"!!!"),"NEW","")))</f>
        <v/>
      </c>
      <c r="G587" s="11" t="str">
        <f>IF(OR(E587="",E587="!!!"),"",IF(OR(J587=0,AND(J587=1,K587=1),AND(J587=1,I587="SBJ"),AND(J587=1,I587=0)),"?IN_FOCUS",IF(J587&lt;=2,"?ACTIVATED",IF(J587&lt;&gt;"","?FAMILIAR",IF(F587="NEW",IF(ISNA(VLOOKUP(E587,#REF!,1,FALSE())),"?TYPE_IDENTIFIABLE","?REFERENTIAL"),"_")))))</f>
        <v/>
      </c>
      <c r="H587" s="12" t="str">
        <f t="shared" si="23"/>
        <v/>
      </c>
    </row>
    <row r="588" spans="1:8" x14ac:dyDescent="0.35">
      <c r="A588" t="s">
        <v>338</v>
      </c>
      <c r="B588" t="s">
        <v>24</v>
      </c>
      <c r="C588" t="s">
        <v>339</v>
      </c>
      <c r="E588" s="9" t="str">
        <f t="shared" si="22"/>
        <v/>
      </c>
      <c r="F588" s="10" t="str">
        <f>IF(OR(E588="",E588="!!!"),"",IF(NOT(ISNA(VLOOKUP(E588,E$1:E587,1,FALSE()))),"OLD",IF(AND(E588&lt;&gt;"",E588&lt;&gt;"!!!"),"NEW","")))</f>
        <v/>
      </c>
      <c r="G588" s="11" t="str">
        <f>IF(OR(E588="",E588="!!!"),"",IF(OR(J588=0,AND(J588=1,K588=1),AND(J588=1,I588="SBJ"),AND(J588=1,I588=0)),"?IN_FOCUS",IF(J588&lt;=2,"?ACTIVATED",IF(J588&lt;&gt;"","?FAMILIAR",IF(F588="NEW",IF(ISNA(VLOOKUP(E588,#REF!,1,FALSE())),"?TYPE_IDENTIFIABLE","?REFERENTIAL"),"_")))))</f>
        <v/>
      </c>
      <c r="H588" s="12" t="str">
        <f t="shared" si="23"/>
        <v/>
      </c>
    </row>
    <row r="589" spans="1:8" x14ac:dyDescent="0.35">
      <c r="A589" t="s">
        <v>69</v>
      </c>
      <c r="E589" s="9" t="str">
        <f t="shared" si="22"/>
        <v/>
      </c>
      <c r="F589" s="10" t="str">
        <f>IF(OR(E589="",E589="!!!"),"",IF(NOT(ISNA(VLOOKUP(E589,E$1:E588,1,FALSE()))),"OLD",IF(AND(E589&lt;&gt;"",E589&lt;&gt;"!!!"),"NEW","")))</f>
        <v/>
      </c>
      <c r="G589" s="11" t="str">
        <f>IF(OR(E589="",E589="!!!"),"",IF(OR(J589=0,AND(J589=1,K589=1),AND(J589=1,I589="SBJ"),AND(J589=1,I589=0)),"?IN_FOCUS",IF(J589&lt;=2,"?ACTIVATED",IF(J589&lt;&gt;"","?FAMILIAR",IF(F589="NEW",IF(ISNA(VLOOKUP(E589,#REF!,1,FALSE())),"?TYPE_IDENTIFIABLE","?REFERENTIAL"),"_")))))</f>
        <v/>
      </c>
      <c r="H589" s="12" t="str">
        <f t="shared" si="23"/>
        <v/>
      </c>
    </row>
    <row r="590" spans="1:8" x14ac:dyDescent="0.35">
      <c r="A590" t="s">
        <v>31</v>
      </c>
      <c r="B590" t="s">
        <v>20</v>
      </c>
      <c r="C590" t="s">
        <v>33</v>
      </c>
      <c r="D590" t="s">
        <v>16</v>
      </c>
      <c r="E590" s="9" t="s">
        <v>883</v>
      </c>
      <c r="F590" s="10" t="str">
        <f>IF(OR(E590="",E590="!!!"),"",IF(NOT(ISNA(VLOOKUP(E590,E$1:E589,1,FALSE()))),"OLD",IF(AND(E590&lt;&gt;"",E590&lt;&gt;"!!!"),"NEW","")))</f>
        <v>OLD</v>
      </c>
      <c r="G590" s="11" t="s">
        <v>870</v>
      </c>
      <c r="H590" s="12" t="str">
        <f t="shared" si="23"/>
        <v/>
      </c>
    </row>
    <row r="591" spans="1:8" x14ac:dyDescent="0.35">
      <c r="A591" t="s">
        <v>63</v>
      </c>
      <c r="E591" s="9" t="str">
        <f t="shared" si="22"/>
        <v/>
      </c>
      <c r="F591" s="10" t="str">
        <f>IF(OR(E591="",E591="!!!"),"",IF(NOT(ISNA(VLOOKUP(E591,E$1:E590,1,FALSE()))),"OLD",IF(AND(E591&lt;&gt;"",E591&lt;&gt;"!!!"),"NEW","")))</f>
        <v/>
      </c>
      <c r="G591" s="11" t="str">
        <f>IF(OR(E591="",E591="!!!"),"",IF(OR(J591=0,AND(J591=1,K591=1),AND(J591=1,I591="SBJ"),AND(J591=1,I591=0)),"?IN_FOCUS",IF(J591&lt;=2,"?ACTIVATED",IF(J591&lt;&gt;"","?FAMILIAR",IF(F591="NEW",IF(ISNA(VLOOKUP(E591,#REF!,1,FALSE())),"?TYPE_IDENTIFIABLE","?REFERENTIAL"),"_")))))</f>
        <v/>
      </c>
      <c r="H591" s="12" t="str">
        <f t="shared" si="23"/>
        <v/>
      </c>
    </row>
    <row r="592" spans="1:8" x14ac:dyDescent="0.35">
      <c r="E592" s="9" t="str">
        <f t="shared" si="22"/>
        <v/>
      </c>
      <c r="F592" s="10" t="str">
        <f>IF(OR(E592="",E592="!!!"),"",IF(NOT(ISNA(VLOOKUP(E592,E$1:E591,1,FALSE()))),"OLD",IF(AND(E592&lt;&gt;"",E592&lt;&gt;"!!!"),"NEW","")))</f>
        <v/>
      </c>
      <c r="G592" s="11" t="str">
        <f>IF(OR(E592="",E592="!!!"),"",IF(OR(J592=0,AND(J592=1,K592=1),AND(J592=1,I592="SBJ"),AND(J592=1,I592=0)),"?IN_FOCUS",IF(J592&lt;=2,"?ACTIVATED",IF(J592&lt;&gt;"","?FAMILIAR",IF(F592="NEW",IF(ISNA(VLOOKUP(E592,#REF!,1,FALSE())),"?TYPE_IDENTIFIABLE","?REFERENTIAL"),"_")))))</f>
        <v/>
      </c>
      <c r="H592" s="12" t="str">
        <f t="shared" si="23"/>
        <v/>
      </c>
    </row>
    <row r="593" spans="1:8" x14ac:dyDescent="0.35">
      <c r="A593" t="s">
        <v>244</v>
      </c>
      <c r="E593" s="9" t="str">
        <f t="shared" si="22"/>
        <v/>
      </c>
      <c r="F593" s="10" t="str">
        <f>IF(OR(E593="",E593="!!!"),"",IF(NOT(ISNA(VLOOKUP(E593,E$1:E592,1,FALSE()))),"OLD",IF(AND(E593&lt;&gt;"",E593&lt;&gt;"!!!"),"NEW","")))</f>
        <v/>
      </c>
      <c r="G593" s="11" t="str">
        <f>IF(OR(E593="",E593="!!!"),"",IF(OR(J593=0,AND(J593=1,K593=1),AND(J593=1,I593="SBJ"),AND(J593=1,I593=0)),"?IN_FOCUS",IF(J593&lt;=2,"?ACTIVATED",IF(J593&lt;&gt;"","?FAMILIAR",IF(F593="NEW",IF(ISNA(VLOOKUP(E593,#REF!,1,FALSE())),"?TYPE_IDENTIFIABLE","?REFERENTIAL"),"_")))))</f>
        <v/>
      </c>
      <c r="H593" s="12" t="str">
        <f t="shared" si="23"/>
        <v/>
      </c>
    </row>
    <row r="594" spans="1:8" x14ac:dyDescent="0.35">
      <c r="A594" t="s">
        <v>340</v>
      </c>
      <c r="E594" s="9" t="str">
        <f t="shared" si="22"/>
        <v/>
      </c>
      <c r="F594" s="10" t="str">
        <f>IF(OR(E594="",E594="!!!"),"",IF(NOT(ISNA(VLOOKUP(E594,E$1:E593,1,FALSE()))),"OLD",IF(AND(E594&lt;&gt;"",E594&lt;&gt;"!!!"),"NEW","")))</f>
        <v/>
      </c>
      <c r="G594" s="11" t="str">
        <f>IF(OR(E594="",E594="!!!"),"",IF(OR(J594=0,AND(J594=1,K594=1),AND(J594=1,I594="SBJ"),AND(J594=1,I594=0)),"?IN_FOCUS",IF(J594&lt;=2,"?ACTIVATED",IF(J594&lt;&gt;"","?FAMILIAR",IF(F594="NEW",IF(ISNA(VLOOKUP(E594,#REF!,1,FALSE())),"?TYPE_IDENTIFIABLE","?REFERENTIAL"),"_")))))</f>
        <v/>
      </c>
      <c r="H594" s="12" t="str">
        <f t="shared" si="23"/>
        <v/>
      </c>
    </row>
    <row r="595" spans="1:8" x14ac:dyDescent="0.35">
      <c r="A595" t="s">
        <v>246</v>
      </c>
      <c r="E595" s="9" t="str">
        <f t="shared" si="22"/>
        <v/>
      </c>
      <c r="F595" s="10" t="str">
        <f>IF(OR(E595="",E595="!!!"),"",IF(NOT(ISNA(VLOOKUP(E595,E$1:E594,1,FALSE()))),"OLD",IF(AND(E595&lt;&gt;"",E595&lt;&gt;"!!!"),"NEW","")))</f>
        <v/>
      </c>
      <c r="G595" s="11" t="str">
        <f>IF(OR(E595="",E595="!!!"),"",IF(OR(J595=0,AND(J595=1,K595=1),AND(J595=1,I595="SBJ"),AND(J595=1,I595=0)),"?IN_FOCUS",IF(J595&lt;=2,"?ACTIVATED",IF(J595&lt;&gt;"","?FAMILIAR",IF(F595="NEW",IF(ISNA(VLOOKUP(E595,#REF!,1,FALSE())),"?TYPE_IDENTIFIABLE","?REFERENTIAL"),"_")))))</f>
        <v/>
      </c>
      <c r="H595" s="12" t="str">
        <f t="shared" si="23"/>
        <v/>
      </c>
    </row>
    <row r="596" spans="1:8" x14ac:dyDescent="0.35">
      <c r="A596" t="s">
        <v>341</v>
      </c>
      <c r="B596" t="s">
        <v>36</v>
      </c>
      <c r="C596" t="s">
        <v>80</v>
      </c>
      <c r="D596" t="s">
        <v>16</v>
      </c>
      <c r="E596" s="9" t="s">
        <v>262</v>
      </c>
      <c r="F596" s="10" t="s">
        <v>876</v>
      </c>
      <c r="G596" s="11"/>
      <c r="H596" s="12" t="str">
        <f t="shared" si="23"/>
        <v/>
      </c>
    </row>
    <row r="597" spans="1:8" x14ac:dyDescent="0.35">
      <c r="A597" t="s">
        <v>342</v>
      </c>
      <c r="E597" s="9" t="str">
        <f t="shared" si="22"/>
        <v/>
      </c>
      <c r="F597" s="10" t="str">
        <f>IF(OR(E597="",E597="!!!"),"",IF(NOT(ISNA(VLOOKUP(E597,E$1:E596,1,FALSE()))),"OLD",IF(AND(E597&lt;&gt;"",E597&lt;&gt;"!!!"),"NEW","")))</f>
        <v/>
      </c>
      <c r="G597" s="11" t="str">
        <f>IF(OR(E597="",E597="!!!"),"",IF(OR(J597=0,AND(J597=1,K597=1),AND(J597=1,I597="SBJ"),AND(J597=1,I597=0)),"?IN_FOCUS",IF(J597&lt;=2,"?ACTIVATED",IF(J597&lt;&gt;"","?FAMILIAR",IF(F597="NEW",IF(ISNA(VLOOKUP(E597,#REF!,1,FALSE())),"?TYPE_IDENTIFIABLE","?REFERENTIAL"),"_")))))</f>
        <v/>
      </c>
      <c r="H597" s="12" t="str">
        <f t="shared" si="23"/>
        <v/>
      </c>
    </row>
    <row r="598" spans="1:8" x14ac:dyDescent="0.35">
      <c r="A598" t="s">
        <v>343</v>
      </c>
      <c r="E598" s="9" t="str">
        <f t="shared" si="22"/>
        <v/>
      </c>
      <c r="F598" s="10" t="str">
        <f>IF(OR(E598="",E598="!!!"),"",IF(NOT(ISNA(VLOOKUP(E598,E$1:E597,1,FALSE()))),"OLD",IF(AND(E598&lt;&gt;"",E598&lt;&gt;"!!!"),"NEW","")))</f>
        <v/>
      </c>
      <c r="G598" s="11" t="str">
        <f>IF(OR(E598="",E598="!!!"),"",IF(OR(J598=0,AND(J598=1,K598=1),AND(J598=1,I598="SBJ"),AND(J598=1,I598=0)),"?IN_FOCUS",IF(J598&lt;=2,"?ACTIVATED",IF(J598&lt;&gt;"","?FAMILIAR",IF(F598="NEW",IF(ISNA(VLOOKUP(E598,#REF!,1,FALSE())),"?TYPE_IDENTIFIABLE","?REFERENTIAL"),"_")))))</f>
        <v/>
      </c>
      <c r="H598" s="12" t="str">
        <f t="shared" si="23"/>
        <v/>
      </c>
    </row>
    <row r="599" spans="1:8" x14ac:dyDescent="0.35">
      <c r="A599" t="s">
        <v>26</v>
      </c>
      <c r="E599" s="9" t="str">
        <f t="shared" si="22"/>
        <v/>
      </c>
      <c r="F599" s="10" t="str">
        <f>IF(OR(E599="",E599="!!!"),"",IF(NOT(ISNA(VLOOKUP(E599,E$1:E598,1,FALSE()))),"OLD",IF(AND(E599&lt;&gt;"",E599&lt;&gt;"!!!"),"NEW","")))</f>
        <v/>
      </c>
      <c r="G599" s="11" t="str">
        <f>IF(OR(E599="",E599="!!!"),"",IF(OR(J599=0,AND(J599=1,K599=1),AND(J599=1,I599="SBJ"),AND(J599=1,I599=0)),"?IN_FOCUS",IF(J599&lt;=2,"?ACTIVATED",IF(J599&lt;&gt;"","?FAMILIAR",IF(F599="NEW",IF(ISNA(VLOOKUP(E599,#REF!,1,FALSE())),"?TYPE_IDENTIFIABLE","?REFERENTIAL"),"_")))))</f>
        <v/>
      </c>
      <c r="H599" s="12" t="str">
        <f t="shared" si="23"/>
        <v/>
      </c>
    </row>
    <row r="600" spans="1:8" x14ac:dyDescent="0.35">
      <c r="A600" t="s">
        <v>246</v>
      </c>
      <c r="E600" s="9" t="str">
        <f t="shared" si="22"/>
        <v/>
      </c>
      <c r="F600" s="10" t="str">
        <f>IF(OR(E600="",E600="!!!"),"",IF(NOT(ISNA(VLOOKUP(E600,E$1:E599,1,FALSE()))),"OLD",IF(AND(E600&lt;&gt;"",E600&lt;&gt;"!!!"),"NEW","")))</f>
        <v/>
      </c>
      <c r="G600" s="11" t="str">
        <f>IF(OR(E600="",E600="!!!"),"",IF(OR(J600=0,AND(J600=1,K600=1),AND(J600=1,I600="SBJ"),AND(J600=1,I600=0)),"?IN_FOCUS",IF(J600&lt;=2,"?ACTIVATED",IF(J600&lt;&gt;"","?FAMILIAR",IF(F600="NEW",IF(ISNA(VLOOKUP(E600,#REF!,1,FALSE())),"?TYPE_IDENTIFIABLE","?REFERENTIAL"),"_")))))</f>
        <v/>
      </c>
      <c r="H600" s="12" t="str">
        <f t="shared" si="23"/>
        <v/>
      </c>
    </row>
    <row r="601" spans="1:8" x14ac:dyDescent="0.35">
      <c r="A601" t="s">
        <v>140</v>
      </c>
      <c r="E601" s="9" t="str">
        <f t="shared" si="22"/>
        <v/>
      </c>
      <c r="F601" s="10" t="str">
        <f>IF(OR(E601="",E601="!!!"),"",IF(NOT(ISNA(VLOOKUP(E601,E$1:E600,1,FALSE()))),"OLD",IF(AND(E601&lt;&gt;"",E601&lt;&gt;"!!!"),"NEW","")))</f>
        <v/>
      </c>
      <c r="G601" s="11" t="str">
        <f>IF(OR(E601="",E601="!!!"),"",IF(OR(J601=0,AND(J601=1,K601=1),AND(J601=1,I601="SBJ"),AND(J601=1,I601=0)),"?IN_FOCUS",IF(J601&lt;=2,"?ACTIVATED",IF(J601&lt;&gt;"","?FAMILIAR",IF(F601="NEW",IF(ISNA(VLOOKUP(E601,#REF!,1,FALSE())),"?TYPE_IDENTIFIABLE","?REFERENTIAL"),"_")))))</f>
        <v/>
      </c>
      <c r="H601" s="12" t="str">
        <f t="shared" si="23"/>
        <v/>
      </c>
    </row>
    <row r="602" spans="1:8" x14ac:dyDescent="0.35">
      <c r="A602" t="s">
        <v>40</v>
      </c>
      <c r="B602" t="s">
        <v>14</v>
      </c>
      <c r="C602" t="s">
        <v>33</v>
      </c>
      <c r="D602" t="s">
        <v>16</v>
      </c>
      <c r="E602" s="9" t="s">
        <v>868</v>
      </c>
      <c r="F602" s="10" t="str">
        <f>IF(OR(E602="",E602="!!!"),"",IF(NOT(ISNA(VLOOKUP(E602,E$1:E601,1,FALSE()))),"OLD",IF(AND(E602&lt;&gt;"",E602&lt;&gt;"!!!"),"NEW","")))</f>
        <v>OLD</v>
      </c>
      <c r="G602" s="11" t="s">
        <v>870</v>
      </c>
      <c r="H602" s="12" t="str">
        <f t="shared" si="23"/>
        <v/>
      </c>
    </row>
    <row r="603" spans="1:8" x14ac:dyDescent="0.35">
      <c r="A603" t="s">
        <v>63</v>
      </c>
      <c r="E603" s="9" t="str">
        <f t="shared" si="22"/>
        <v/>
      </c>
      <c r="F603" s="10" t="str">
        <f>IF(OR(E603="",E603="!!!"),"",IF(NOT(ISNA(VLOOKUP(E603,E$1:E602,1,FALSE()))),"OLD",IF(AND(E603&lt;&gt;"",E603&lt;&gt;"!!!"),"NEW","")))</f>
        <v/>
      </c>
      <c r="G603" s="11" t="str">
        <f>IF(OR(E603="",E603="!!!"),"",IF(OR(J603=0,AND(J603=1,K603=1),AND(J603=1,I603="SBJ"),AND(J603=1,I603=0)),"?IN_FOCUS",IF(J603&lt;=2,"?ACTIVATED",IF(J603&lt;&gt;"","?FAMILIAR",IF(F603="NEW",IF(ISNA(VLOOKUP(E603,#REF!,1,FALSE())),"?TYPE_IDENTIFIABLE","?REFERENTIAL"),"_")))))</f>
        <v/>
      </c>
      <c r="H603" s="12" t="str">
        <f t="shared" si="23"/>
        <v/>
      </c>
    </row>
    <row r="604" spans="1:8" x14ac:dyDescent="0.35">
      <c r="E604" s="9" t="str">
        <f t="shared" si="22"/>
        <v/>
      </c>
      <c r="F604" s="10" t="str">
        <f>IF(OR(E604="",E604="!!!"),"",IF(NOT(ISNA(VLOOKUP(E604,E$1:E603,1,FALSE()))),"OLD",IF(AND(E604&lt;&gt;"",E604&lt;&gt;"!!!"),"NEW","")))</f>
        <v/>
      </c>
      <c r="G604" s="11" t="str">
        <f>IF(OR(E604="",E604="!!!"),"",IF(OR(J604=0,AND(J604=1,K604=1),AND(J604=1,I604="SBJ"),AND(J604=1,I604=0)),"?IN_FOCUS",IF(J604&lt;=2,"?ACTIVATED",IF(J604&lt;&gt;"","?FAMILIAR",IF(F604="NEW",IF(ISNA(VLOOKUP(E604,#REF!,1,FALSE())),"?TYPE_IDENTIFIABLE","?REFERENTIAL"),"_")))))</f>
        <v/>
      </c>
      <c r="H604" s="12" t="str">
        <f t="shared" si="23"/>
        <v/>
      </c>
    </row>
    <row r="605" spans="1:8" x14ac:dyDescent="0.35">
      <c r="A605" t="s">
        <v>244</v>
      </c>
      <c r="E605" s="9" t="str">
        <f t="shared" si="22"/>
        <v/>
      </c>
      <c r="F605" s="10" t="str">
        <f>IF(OR(E605="",E605="!!!"),"",IF(NOT(ISNA(VLOOKUP(E605,E$1:E604,1,FALSE()))),"OLD",IF(AND(E605&lt;&gt;"",E605&lt;&gt;"!!!"),"NEW","")))</f>
        <v/>
      </c>
      <c r="G605" s="11" t="str">
        <f>IF(OR(E605="",E605="!!!"),"",IF(OR(J605=0,AND(J605=1,K605=1),AND(J605=1,I605="SBJ"),AND(J605=1,I605=0)),"?IN_FOCUS",IF(J605&lt;=2,"?ACTIVATED",IF(J605&lt;&gt;"","?FAMILIAR",IF(F605="NEW",IF(ISNA(VLOOKUP(E605,#REF!,1,FALSE())),"?TYPE_IDENTIFIABLE","?REFERENTIAL"),"_")))))</f>
        <v/>
      </c>
      <c r="H605" s="12" t="str">
        <f t="shared" si="23"/>
        <v/>
      </c>
    </row>
    <row r="606" spans="1:8" x14ac:dyDescent="0.35">
      <c r="A606" t="s">
        <v>344</v>
      </c>
      <c r="E606" s="9" t="str">
        <f t="shared" si="22"/>
        <v/>
      </c>
      <c r="F606" s="10" t="str">
        <f>IF(OR(E606="",E606="!!!"),"",IF(NOT(ISNA(VLOOKUP(E606,E$1:E605,1,FALSE()))),"OLD",IF(AND(E606&lt;&gt;"",E606&lt;&gt;"!!!"),"NEW","")))</f>
        <v/>
      </c>
      <c r="G606" s="11" t="str">
        <f>IF(OR(E606="",E606="!!!"),"",IF(OR(J606=0,AND(J606=1,K606=1),AND(J606=1,I606="SBJ"),AND(J606=1,I606=0)),"?IN_FOCUS",IF(J606&lt;=2,"?ACTIVATED",IF(J606&lt;&gt;"","?FAMILIAR",IF(F606="NEW",IF(ISNA(VLOOKUP(E606,#REF!,1,FALSE())),"?TYPE_IDENTIFIABLE","?REFERENTIAL"),"_")))))</f>
        <v/>
      </c>
      <c r="H606" s="12" t="str">
        <f t="shared" si="23"/>
        <v/>
      </c>
    </row>
    <row r="607" spans="1:8" x14ac:dyDescent="0.35">
      <c r="A607" t="s">
        <v>246</v>
      </c>
      <c r="E607" s="9" t="str">
        <f t="shared" si="22"/>
        <v/>
      </c>
      <c r="F607" s="10" t="str">
        <f>IF(OR(E607="",E607="!!!"),"",IF(NOT(ISNA(VLOOKUP(E607,E$1:E606,1,FALSE()))),"OLD",IF(AND(E607&lt;&gt;"",E607&lt;&gt;"!!!"),"NEW","")))</f>
        <v/>
      </c>
      <c r="G607" s="11" t="str">
        <f>IF(OR(E607="",E607="!!!"),"",IF(OR(J607=0,AND(J607=1,K607=1),AND(J607=1,I607="SBJ"),AND(J607=1,I607=0)),"?IN_FOCUS",IF(J607&lt;=2,"?ACTIVATED",IF(J607&lt;&gt;"","?FAMILIAR",IF(F607="NEW",IF(ISNA(VLOOKUP(E607,#REF!,1,FALSE())),"?TYPE_IDENTIFIABLE","?REFERENTIAL"),"_")))))</f>
        <v/>
      </c>
      <c r="H607" s="12" t="str">
        <f t="shared" si="23"/>
        <v/>
      </c>
    </row>
    <row r="608" spans="1:8" x14ac:dyDescent="0.35">
      <c r="A608" t="s">
        <v>345</v>
      </c>
      <c r="E608" s="9" t="str">
        <f t="shared" si="22"/>
        <v/>
      </c>
      <c r="F608" s="10" t="str">
        <f>IF(OR(E608="",E608="!!!"),"",IF(NOT(ISNA(VLOOKUP(E608,E$1:E607,1,FALSE()))),"OLD",IF(AND(E608&lt;&gt;"",E608&lt;&gt;"!!!"),"NEW","")))</f>
        <v/>
      </c>
      <c r="G608" s="11" t="str">
        <f>IF(OR(E608="",E608="!!!"),"",IF(OR(J608=0,AND(J608=1,K608=1),AND(J608=1,I608="SBJ"),AND(J608=1,I608=0)),"?IN_FOCUS",IF(J608&lt;=2,"?ACTIVATED",IF(J608&lt;&gt;"","?FAMILIAR",IF(F608="NEW",IF(ISNA(VLOOKUP(E608,#REF!,1,FALSE())),"?TYPE_IDENTIFIABLE","?REFERENTIAL"),"_")))))</f>
        <v/>
      </c>
      <c r="H608" s="12" t="str">
        <f t="shared" si="23"/>
        <v/>
      </c>
    </row>
    <row r="609" spans="1:8" x14ac:dyDescent="0.35">
      <c r="A609" t="s">
        <v>346</v>
      </c>
      <c r="B609" t="s">
        <v>14</v>
      </c>
      <c r="C609" t="s">
        <v>122</v>
      </c>
      <c r="D609" t="s">
        <v>16</v>
      </c>
      <c r="E609" s="9" t="s">
        <v>262</v>
      </c>
      <c r="F609" s="10" t="s">
        <v>876</v>
      </c>
      <c r="G609" s="11"/>
      <c r="H609" s="12" t="str">
        <f t="shared" si="23"/>
        <v/>
      </c>
    </row>
    <row r="610" spans="1:8" x14ac:dyDescent="0.35">
      <c r="A610" t="s">
        <v>164</v>
      </c>
      <c r="E610" s="9" t="str">
        <f t="shared" si="22"/>
        <v/>
      </c>
      <c r="F610" s="10" t="str">
        <f>IF(OR(E610="",E610="!!!"),"",IF(NOT(ISNA(VLOOKUP(E610,E$1:E609,1,FALSE()))),"OLD",IF(AND(E610&lt;&gt;"",E610&lt;&gt;"!!!"),"NEW","")))</f>
        <v/>
      </c>
      <c r="G610" s="11" t="str">
        <f>IF(OR(E610="",E610="!!!"),"",IF(OR(J610=0,AND(J610=1,K610=1),AND(J610=1,I610="SBJ"),AND(J610=1,I610=0)),"?IN_FOCUS",IF(J610&lt;=2,"?ACTIVATED",IF(J610&lt;&gt;"","?FAMILIAR",IF(F610="NEW",IF(ISNA(VLOOKUP(E610,#REF!,1,FALSE())),"?TYPE_IDENTIFIABLE","?REFERENTIAL"),"_")))))</f>
        <v/>
      </c>
      <c r="H610" s="12" t="str">
        <f t="shared" si="23"/>
        <v/>
      </c>
    </row>
    <row r="611" spans="1:8" x14ac:dyDescent="0.35">
      <c r="A611" t="s">
        <v>58</v>
      </c>
      <c r="E611" s="9" t="str">
        <f t="shared" si="22"/>
        <v/>
      </c>
      <c r="F611" s="10" t="str">
        <f>IF(OR(E611="",E611="!!!"),"",IF(NOT(ISNA(VLOOKUP(E611,E$1:E610,1,FALSE()))),"OLD",IF(AND(E611&lt;&gt;"",E611&lt;&gt;"!!!"),"NEW","")))</f>
        <v/>
      </c>
      <c r="G611" s="11" t="str">
        <f>IF(OR(E611="",E611="!!!"),"",IF(OR(J611=0,AND(J611=1,K611=1),AND(J611=1,I611="SBJ"),AND(J611=1,I611=0)),"?IN_FOCUS",IF(J611&lt;=2,"?ACTIVATED",IF(J611&lt;&gt;"","?FAMILIAR",IF(F611="NEW",IF(ISNA(VLOOKUP(E611,#REF!,1,FALSE())),"?TYPE_IDENTIFIABLE","?REFERENTIAL"),"_")))))</f>
        <v/>
      </c>
      <c r="H611" s="12" t="str">
        <f t="shared" si="23"/>
        <v/>
      </c>
    </row>
    <row r="612" spans="1:8" x14ac:dyDescent="0.35">
      <c r="A612" t="s">
        <v>347</v>
      </c>
      <c r="B612" t="s">
        <v>24</v>
      </c>
      <c r="C612" t="s">
        <v>99</v>
      </c>
      <c r="D612" t="s">
        <v>16</v>
      </c>
      <c r="E612" s="9" t="s">
        <v>262</v>
      </c>
      <c r="F612" s="10" t="s">
        <v>876</v>
      </c>
      <c r="G612" s="11"/>
      <c r="H612" s="12" t="str">
        <f t="shared" si="23"/>
        <v/>
      </c>
    </row>
    <row r="613" spans="1:8" x14ac:dyDescent="0.35">
      <c r="A613" t="s">
        <v>135</v>
      </c>
      <c r="E613" s="9" t="str">
        <f t="shared" si="22"/>
        <v/>
      </c>
      <c r="F613" s="10" t="str">
        <f>IF(OR(E613="",E613="!!!"),"",IF(NOT(ISNA(VLOOKUP(E613,E$1:E612,1,FALSE()))),"OLD",IF(AND(E613&lt;&gt;"",E613&lt;&gt;"!!!"),"NEW","")))</f>
        <v/>
      </c>
      <c r="G613" s="11" t="str">
        <f>IF(OR(E613="",E613="!!!"),"",IF(OR(J613=0,AND(J613=1,K613=1),AND(J613=1,I613="SBJ"),AND(J613=1,I613=0)),"?IN_FOCUS",IF(J613&lt;=2,"?ACTIVATED",IF(J613&lt;&gt;"","?FAMILIAR",IF(F613="NEW",IF(ISNA(VLOOKUP(E613,#REF!,1,FALSE())),"?TYPE_IDENTIFIABLE","?REFERENTIAL"),"_")))))</f>
        <v/>
      </c>
      <c r="H613" s="12" t="str">
        <f t="shared" si="23"/>
        <v/>
      </c>
    </row>
    <row r="614" spans="1:8" x14ac:dyDescent="0.35">
      <c r="A614" t="s">
        <v>348</v>
      </c>
      <c r="E614" s="9" t="str">
        <f t="shared" si="22"/>
        <v/>
      </c>
      <c r="F614" s="10" t="str">
        <f>IF(OR(E614="",E614="!!!"),"",IF(NOT(ISNA(VLOOKUP(E614,E$1:E613,1,FALSE()))),"OLD",IF(AND(E614&lt;&gt;"",E614&lt;&gt;"!!!"),"NEW","")))</f>
        <v/>
      </c>
      <c r="G614" s="11" t="str">
        <f>IF(OR(E614="",E614="!!!"),"",IF(OR(J614=0,AND(J614=1,K614=1),AND(J614=1,I614="SBJ"),AND(J614=1,I614=0)),"?IN_FOCUS",IF(J614&lt;=2,"?ACTIVATED",IF(J614&lt;&gt;"","?FAMILIAR",IF(F614="NEW",IF(ISNA(VLOOKUP(E614,#REF!,1,FALSE())),"?TYPE_IDENTIFIABLE","?REFERENTIAL"),"_")))))</f>
        <v/>
      </c>
      <c r="H614" s="12" t="str">
        <f t="shared" si="23"/>
        <v/>
      </c>
    </row>
    <row r="615" spans="1:8" x14ac:dyDescent="0.35">
      <c r="A615" t="s">
        <v>349</v>
      </c>
      <c r="E615" s="9" t="str">
        <f t="shared" si="22"/>
        <v/>
      </c>
      <c r="F615" s="10" t="str">
        <f>IF(OR(E615="",E615="!!!"),"",IF(NOT(ISNA(VLOOKUP(E615,E$1:E614,1,FALSE()))),"OLD",IF(AND(E615&lt;&gt;"",E615&lt;&gt;"!!!"),"NEW","")))</f>
        <v/>
      </c>
      <c r="G615" s="11" t="str">
        <f>IF(OR(E615="",E615="!!!"),"",IF(OR(J615=0,AND(J615=1,K615=1),AND(J615=1,I615="SBJ"),AND(J615=1,I615=0)),"?IN_FOCUS",IF(J615&lt;=2,"?ACTIVATED",IF(J615&lt;&gt;"","?FAMILIAR",IF(F615="NEW",IF(ISNA(VLOOKUP(E615,#REF!,1,FALSE())),"?TYPE_IDENTIFIABLE","?REFERENTIAL"),"_")))))</f>
        <v/>
      </c>
      <c r="H615" s="12" t="str">
        <f t="shared" si="23"/>
        <v/>
      </c>
    </row>
    <row r="616" spans="1:8" x14ac:dyDescent="0.35">
      <c r="A616" t="s">
        <v>350</v>
      </c>
      <c r="B616" t="s">
        <v>32</v>
      </c>
      <c r="C616" t="s">
        <v>37</v>
      </c>
      <c r="E616" s="9" t="str">
        <f t="shared" si="22"/>
        <v/>
      </c>
      <c r="F616" s="10" t="str">
        <f>IF(OR(E616="",E616="!!!"),"",IF(NOT(ISNA(VLOOKUP(E616,E$1:E615,1,FALSE()))),"OLD",IF(AND(E616&lt;&gt;"",E616&lt;&gt;"!!!"),"NEW","")))</f>
        <v/>
      </c>
      <c r="G616" s="11" t="str">
        <f>IF(OR(E616="",E616="!!!"),"",IF(OR(J616=0,AND(J616=1,K616=1),AND(J616=1,I616="SBJ"),AND(J616=1,I616=0)),"?IN_FOCUS",IF(J616&lt;=2,"?ACTIVATED",IF(J616&lt;&gt;"","?FAMILIAR",IF(F616="NEW",IF(ISNA(VLOOKUP(E616,#REF!,1,FALSE())),"?TYPE_IDENTIFIABLE","?REFERENTIAL"),"_")))))</f>
        <v/>
      </c>
      <c r="H616" s="12" t="str">
        <f t="shared" si="23"/>
        <v/>
      </c>
    </row>
    <row r="617" spans="1:8" x14ac:dyDescent="0.35">
      <c r="A617" t="s">
        <v>63</v>
      </c>
      <c r="E617" s="9" t="str">
        <f t="shared" si="22"/>
        <v/>
      </c>
      <c r="F617" s="10" t="str">
        <f>IF(OR(E617="",E617="!!!"),"",IF(NOT(ISNA(VLOOKUP(E617,E$1:E616,1,FALSE()))),"OLD",IF(AND(E617&lt;&gt;"",E617&lt;&gt;"!!!"),"NEW","")))</f>
        <v/>
      </c>
      <c r="G617" s="11" t="str">
        <f>IF(OR(E617="",E617="!!!"),"",IF(OR(J617=0,AND(J617=1,K617=1),AND(J617=1,I617="SBJ"),AND(J617=1,I617=0)),"?IN_FOCUS",IF(J617&lt;=2,"?ACTIVATED",IF(J617&lt;&gt;"","?FAMILIAR",IF(F617="NEW",IF(ISNA(VLOOKUP(E617,#REF!,1,FALSE())),"?TYPE_IDENTIFIABLE","?REFERENTIAL"),"_")))))</f>
        <v/>
      </c>
      <c r="H617" s="12" t="str">
        <f t="shared" si="23"/>
        <v/>
      </c>
    </row>
    <row r="618" spans="1:8" x14ac:dyDescent="0.35">
      <c r="A618" t="s">
        <v>246</v>
      </c>
      <c r="E618" s="9" t="str">
        <f t="shared" si="22"/>
        <v/>
      </c>
      <c r="F618" s="10" t="str">
        <f>IF(OR(E618="",E618="!!!"),"",IF(NOT(ISNA(VLOOKUP(E618,E$1:E617,1,FALSE()))),"OLD",IF(AND(E618&lt;&gt;"",E618&lt;&gt;"!!!"),"NEW","")))</f>
        <v/>
      </c>
      <c r="G618" s="11" t="str">
        <f>IF(OR(E618="",E618="!!!"),"",IF(OR(J618=0,AND(J618=1,K618=1),AND(J618=1,I618="SBJ"),AND(J618=1,I618=0)),"?IN_FOCUS",IF(J618&lt;=2,"?ACTIVATED",IF(J618&lt;&gt;"","?FAMILIAR",IF(F618="NEW",IF(ISNA(VLOOKUP(E618,#REF!,1,FALSE())),"?TYPE_IDENTIFIABLE","?REFERENTIAL"),"_")))))</f>
        <v/>
      </c>
      <c r="H618" s="12" t="str">
        <f t="shared" si="23"/>
        <v/>
      </c>
    </row>
    <row r="619" spans="1:8" x14ac:dyDescent="0.35">
      <c r="E619" s="9" t="str">
        <f t="shared" si="22"/>
        <v/>
      </c>
      <c r="F619" s="10" t="str">
        <f>IF(OR(E619="",E619="!!!"),"",IF(NOT(ISNA(VLOOKUP(E619,E$1:E618,1,FALSE()))),"OLD",IF(AND(E619&lt;&gt;"",E619&lt;&gt;"!!!"),"NEW","")))</f>
        <v/>
      </c>
      <c r="G619" s="11" t="str">
        <f>IF(OR(E619="",E619="!!!"),"",IF(OR(J619=0,AND(J619=1,K619=1),AND(J619=1,I619="SBJ"),AND(J619=1,I619=0)),"?IN_FOCUS",IF(J619&lt;=2,"?ACTIVATED",IF(J619&lt;&gt;"","?FAMILIAR",IF(F619="NEW",IF(ISNA(VLOOKUP(E619,#REF!,1,FALSE())),"?TYPE_IDENTIFIABLE","?REFERENTIAL"),"_")))))</f>
        <v/>
      </c>
      <c r="H619" s="12" t="str">
        <f t="shared" si="23"/>
        <v/>
      </c>
    </row>
    <row r="620" spans="1:8" x14ac:dyDescent="0.35">
      <c r="A620" t="s">
        <v>244</v>
      </c>
      <c r="E620" s="9" t="str">
        <f t="shared" si="22"/>
        <v/>
      </c>
      <c r="F620" s="10" t="str">
        <f>IF(OR(E620="",E620="!!!"),"",IF(NOT(ISNA(VLOOKUP(E620,E$1:E619,1,FALSE()))),"OLD",IF(AND(E620&lt;&gt;"",E620&lt;&gt;"!!!"),"NEW","")))</f>
        <v/>
      </c>
      <c r="G620" s="11" t="str">
        <f>IF(OR(E620="",E620="!!!"),"",IF(OR(J620=0,AND(J620=1,K620=1),AND(J620=1,I620="SBJ"),AND(J620=1,I620=0)),"?IN_FOCUS",IF(J620&lt;=2,"?ACTIVATED",IF(J620&lt;&gt;"","?FAMILIAR",IF(F620="NEW",IF(ISNA(VLOOKUP(E620,#REF!,1,FALSE())),"?TYPE_IDENTIFIABLE","?REFERENTIAL"),"_")))))</f>
        <v/>
      </c>
      <c r="H620" s="12" t="str">
        <f t="shared" si="23"/>
        <v/>
      </c>
    </row>
    <row r="621" spans="1:8" x14ac:dyDescent="0.35">
      <c r="A621" t="s">
        <v>351</v>
      </c>
      <c r="E621" s="9" t="str">
        <f t="shared" si="22"/>
        <v/>
      </c>
      <c r="F621" s="10" t="str">
        <f>IF(OR(E621="",E621="!!!"),"",IF(NOT(ISNA(VLOOKUP(E621,E$1:E620,1,FALSE()))),"OLD",IF(AND(E621&lt;&gt;"",E621&lt;&gt;"!!!"),"NEW","")))</f>
        <v/>
      </c>
      <c r="G621" s="11" t="str">
        <f>IF(OR(E621="",E621="!!!"),"",IF(OR(J621=0,AND(J621=1,K621=1),AND(J621=1,I621="SBJ"),AND(J621=1,I621=0)),"?IN_FOCUS",IF(J621&lt;=2,"?ACTIVATED",IF(J621&lt;&gt;"","?FAMILIAR",IF(F621="NEW",IF(ISNA(VLOOKUP(E621,#REF!,1,FALSE())),"?TYPE_IDENTIFIABLE","?REFERENTIAL"),"_")))))</f>
        <v/>
      </c>
      <c r="H621" s="12" t="str">
        <f t="shared" si="23"/>
        <v/>
      </c>
    </row>
    <row r="622" spans="1:8" x14ac:dyDescent="0.35">
      <c r="A622" t="s">
        <v>246</v>
      </c>
      <c r="E622" s="9" t="str">
        <f t="shared" si="22"/>
        <v/>
      </c>
      <c r="F622" s="10" t="str">
        <f>IF(OR(E622="",E622="!!!"),"",IF(NOT(ISNA(VLOOKUP(E622,E$1:E621,1,FALSE()))),"OLD",IF(AND(E622&lt;&gt;"",E622&lt;&gt;"!!!"),"NEW","")))</f>
        <v/>
      </c>
      <c r="G622" s="11" t="str">
        <f>IF(OR(E622="",E622="!!!"),"",IF(OR(J622=0,AND(J622=1,K622=1),AND(J622=1,I622="SBJ"),AND(J622=1,I622=0)),"?IN_FOCUS",IF(J622&lt;=2,"?ACTIVATED",IF(J622&lt;&gt;"","?FAMILIAR",IF(F622="NEW",IF(ISNA(VLOOKUP(E622,#REF!,1,FALSE())),"?TYPE_IDENTIFIABLE","?REFERENTIAL"),"_")))))</f>
        <v/>
      </c>
      <c r="H622" s="12" t="str">
        <f t="shared" si="23"/>
        <v/>
      </c>
    </row>
    <row r="623" spans="1:8" x14ac:dyDescent="0.35">
      <c r="A623" t="s">
        <v>222</v>
      </c>
      <c r="B623" t="s">
        <v>14</v>
      </c>
      <c r="C623" t="s">
        <v>33</v>
      </c>
      <c r="D623" t="s">
        <v>16</v>
      </c>
      <c r="E623" s="9" t="str">
        <f t="shared" si="22"/>
        <v>!!!</v>
      </c>
      <c r="F623" s="10" t="str">
        <f>IF(OR(E623="",E623="!!!"),"",IF(NOT(ISNA(VLOOKUP(E623,E$1:E622,1,FALSE()))),"OLD",IF(AND(E623&lt;&gt;"",E623&lt;&gt;"!!!"),"NEW","")))</f>
        <v/>
      </c>
      <c r="G623" s="11" t="str">
        <f>IF(OR(E623="",E623="!!!"),"",IF(OR(J623=0,AND(J623=1,K623=1),AND(J623=1,I623="SBJ"),AND(J623=1,I623=0)),"?IN_FOCUS",IF(J623&lt;=2,"?ACTIVATED",IF(J623&lt;&gt;"","?FAMILIAR",IF(F623="NEW",IF(ISNA(VLOOKUP(E623,#REF!,1,FALSE())),"?TYPE_IDENTIFIABLE","?REFERENTIAL"),"_")))))</f>
        <v/>
      </c>
      <c r="H623" s="12" t="str">
        <f t="shared" si="23"/>
        <v/>
      </c>
    </row>
    <row r="624" spans="1:8" x14ac:dyDescent="0.35">
      <c r="A624" t="s">
        <v>275</v>
      </c>
      <c r="E624" s="9" t="str">
        <f t="shared" si="22"/>
        <v/>
      </c>
      <c r="F624" s="10" t="str">
        <f>IF(OR(E624="",E624="!!!"),"",IF(NOT(ISNA(VLOOKUP(E624,E$1:E623,1,FALSE()))),"OLD",IF(AND(E624&lt;&gt;"",E624&lt;&gt;"!!!"),"NEW","")))</f>
        <v/>
      </c>
      <c r="G624" s="11" t="str">
        <f>IF(OR(E624="",E624="!!!"),"",IF(OR(J624=0,AND(J624=1,K624=1),AND(J624=1,I624="SBJ"),AND(J624=1,I624=0)),"?IN_FOCUS",IF(J624&lt;=2,"?ACTIVATED",IF(J624&lt;&gt;"","?FAMILIAR",IF(F624="NEW",IF(ISNA(VLOOKUP(E624,#REF!,1,FALSE())),"?TYPE_IDENTIFIABLE","?REFERENTIAL"),"_")))))</f>
        <v/>
      </c>
      <c r="H624" s="12" t="str">
        <f t="shared" si="23"/>
        <v/>
      </c>
    </row>
    <row r="625" spans="1:8" x14ac:dyDescent="0.35">
      <c r="A625" t="s">
        <v>45</v>
      </c>
      <c r="E625" s="9" t="str">
        <f t="shared" si="22"/>
        <v/>
      </c>
      <c r="F625" s="10" t="str">
        <f>IF(OR(E625="",E625="!!!"),"",IF(NOT(ISNA(VLOOKUP(E625,E$1:E624,1,FALSE()))),"OLD",IF(AND(E625&lt;&gt;"",E625&lt;&gt;"!!!"),"NEW","")))</f>
        <v/>
      </c>
      <c r="G625" s="11" t="str">
        <f>IF(OR(E625="",E625="!!!"),"",IF(OR(J625=0,AND(J625=1,K625=1),AND(J625=1,I625="SBJ"),AND(J625=1,I625=0)),"?IN_FOCUS",IF(J625&lt;=2,"?ACTIVATED",IF(J625&lt;&gt;"","?FAMILIAR",IF(F625="NEW",IF(ISNA(VLOOKUP(E625,#REF!,1,FALSE())),"?TYPE_IDENTIFIABLE","?REFERENTIAL"),"_")))))</f>
        <v/>
      </c>
      <c r="H625" s="12" t="str">
        <f t="shared" si="23"/>
        <v/>
      </c>
    </row>
    <row r="626" spans="1:8" x14ac:dyDescent="0.35">
      <c r="A626" t="s">
        <v>352</v>
      </c>
      <c r="E626" s="9" t="str">
        <f t="shared" si="22"/>
        <v/>
      </c>
      <c r="F626" s="10" t="str">
        <f>IF(OR(E626="",E626="!!!"),"",IF(NOT(ISNA(VLOOKUP(E626,E$1:E625,1,FALSE()))),"OLD",IF(AND(E626&lt;&gt;"",E626&lt;&gt;"!!!"),"NEW","")))</f>
        <v/>
      </c>
      <c r="G626" s="11" t="str">
        <f>IF(OR(E626="",E626="!!!"),"",IF(OR(J626=0,AND(J626=1,K626=1),AND(J626=1,I626="SBJ"),AND(J626=1,I626=0)),"?IN_FOCUS",IF(J626&lt;=2,"?ACTIVATED",IF(J626&lt;&gt;"","?FAMILIAR",IF(F626="NEW",IF(ISNA(VLOOKUP(E626,#REF!,1,FALSE())),"?TYPE_IDENTIFIABLE","?REFERENTIAL"),"_")))))</f>
        <v/>
      </c>
      <c r="H626" s="12" t="str">
        <f t="shared" si="23"/>
        <v/>
      </c>
    </row>
    <row r="627" spans="1:8" x14ac:dyDescent="0.35">
      <c r="A627" t="s">
        <v>353</v>
      </c>
      <c r="E627" s="9" t="str">
        <f t="shared" si="22"/>
        <v/>
      </c>
      <c r="F627" s="10" t="str">
        <f>IF(OR(E627="",E627="!!!"),"",IF(NOT(ISNA(VLOOKUP(E627,E$1:E626,1,FALSE()))),"OLD",IF(AND(E627&lt;&gt;"",E627&lt;&gt;"!!!"),"NEW","")))</f>
        <v/>
      </c>
      <c r="G627" s="11" t="str">
        <f>IF(OR(E627="",E627="!!!"),"",IF(OR(J627=0,AND(J627=1,K627=1),AND(J627=1,I627="SBJ"),AND(J627=1,I627=0)),"?IN_FOCUS",IF(J627&lt;=2,"?ACTIVATED",IF(J627&lt;&gt;"","?FAMILIAR",IF(F627="NEW",IF(ISNA(VLOOKUP(E627,#REF!,1,FALSE())),"?TYPE_IDENTIFIABLE","?REFERENTIAL"),"_")))))</f>
        <v/>
      </c>
      <c r="H627" s="12" t="str">
        <f t="shared" si="23"/>
        <v/>
      </c>
    </row>
    <row r="628" spans="1:8" x14ac:dyDescent="0.35">
      <c r="A628" t="s">
        <v>251</v>
      </c>
      <c r="E628" s="9" t="str">
        <f t="shared" si="22"/>
        <v/>
      </c>
      <c r="F628" s="10" t="str">
        <f>IF(OR(E628="",E628="!!!"),"",IF(NOT(ISNA(VLOOKUP(E628,E$1:E627,1,FALSE()))),"OLD",IF(AND(E628&lt;&gt;"",E628&lt;&gt;"!!!"),"NEW","")))</f>
        <v/>
      </c>
      <c r="G628" s="11" t="str">
        <f>IF(OR(E628="",E628="!!!"),"",IF(OR(J628=0,AND(J628=1,K628=1),AND(J628=1,I628="SBJ"),AND(J628=1,I628=0)),"?IN_FOCUS",IF(J628&lt;=2,"?ACTIVATED",IF(J628&lt;&gt;"","?FAMILIAR",IF(F628="NEW",IF(ISNA(VLOOKUP(E628,#REF!,1,FALSE())),"?TYPE_IDENTIFIABLE","?REFERENTIAL"),"_")))))</f>
        <v/>
      </c>
      <c r="H628" s="12" t="str">
        <f t="shared" si="23"/>
        <v/>
      </c>
    </row>
    <row r="629" spans="1:8" x14ac:dyDescent="0.35">
      <c r="A629" t="s">
        <v>246</v>
      </c>
      <c r="E629" s="9" t="str">
        <f t="shared" si="22"/>
        <v/>
      </c>
      <c r="F629" s="10" t="str">
        <f>IF(OR(E629="",E629="!!!"),"",IF(NOT(ISNA(VLOOKUP(E629,E$1:E628,1,FALSE()))),"OLD",IF(AND(E629&lt;&gt;"",E629&lt;&gt;"!!!"),"NEW","")))</f>
        <v/>
      </c>
      <c r="G629" s="11" t="str">
        <f>IF(OR(E629="",E629="!!!"),"",IF(OR(J629=0,AND(J629=1,K629=1),AND(J629=1,I629="SBJ"),AND(J629=1,I629=0)),"?IN_FOCUS",IF(J629&lt;=2,"?ACTIVATED",IF(J629&lt;&gt;"","?FAMILIAR",IF(F629="NEW",IF(ISNA(VLOOKUP(E629,#REF!,1,FALSE())),"?TYPE_IDENTIFIABLE","?REFERENTIAL"),"_")))))</f>
        <v/>
      </c>
      <c r="H629" s="12" t="str">
        <f t="shared" si="23"/>
        <v/>
      </c>
    </row>
    <row r="630" spans="1:8" x14ac:dyDescent="0.35">
      <c r="E630" s="9" t="str">
        <f t="shared" si="22"/>
        <v/>
      </c>
      <c r="F630" s="10" t="str">
        <f>IF(OR(E630="",E630="!!!"),"",IF(NOT(ISNA(VLOOKUP(E630,E$1:E629,1,FALSE()))),"OLD",IF(AND(E630&lt;&gt;"",E630&lt;&gt;"!!!"),"NEW","")))</f>
        <v/>
      </c>
      <c r="G630" s="11" t="str">
        <f>IF(OR(E630="",E630="!!!"),"",IF(OR(J630=0,AND(J630=1,K630=1),AND(J630=1,I630="SBJ"),AND(J630=1,I630=0)),"?IN_FOCUS",IF(J630&lt;=2,"?ACTIVATED",IF(J630&lt;&gt;"","?FAMILIAR",IF(F630="NEW",IF(ISNA(VLOOKUP(E630,#REF!,1,FALSE())),"?TYPE_IDENTIFIABLE","?REFERENTIAL"),"_")))))</f>
        <v/>
      </c>
      <c r="H630" s="12" t="str">
        <f t="shared" si="23"/>
        <v/>
      </c>
    </row>
    <row r="631" spans="1:8" x14ac:dyDescent="0.35">
      <c r="A631" t="s">
        <v>244</v>
      </c>
      <c r="E631" s="9" t="str">
        <f t="shared" ref="E631:E694" si="24">IF(D631="?OLD","!!!","")</f>
        <v/>
      </c>
      <c r="F631" s="10" t="str">
        <f>IF(OR(E631="",E631="!!!"),"",IF(NOT(ISNA(VLOOKUP(E631,E$1:E630,1,FALSE()))),"OLD",IF(AND(E631&lt;&gt;"",E631&lt;&gt;"!!!"),"NEW","")))</f>
        <v/>
      </c>
      <c r="G631" s="11" t="str">
        <f>IF(OR(E631="",E631="!!!"),"",IF(OR(J631=0,AND(J631=1,K631=1),AND(J631=1,I631="SBJ"),AND(J631=1,I631=0)),"?IN_FOCUS",IF(J631&lt;=2,"?ACTIVATED",IF(J631&lt;&gt;"","?FAMILIAR",IF(F631="NEW",IF(ISNA(VLOOKUP(E631,#REF!,1,FALSE())),"?TYPE_IDENTIFIABLE","?REFERENTIAL"),"_")))))</f>
        <v/>
      </c>
      <c r="H631" s="12" t="str">
        <f t="shared" ref="H631:H694" si="25">IF(J631&lt;&gt;1,"",IF(I631="SBJ","CB","?"))</f>
        <v/>
      </c>
    </row>
    <row r="632" spans="1:8" x14ac:dyDescent="0.35">
      <c r="A632" t="s">
        <v>354</v>
      </c>
      <c r="E632" s="9" t="str">
        <f t="shared" si="24"/>
        <v/>
      </c>
      <c r="F632" s="10" t="str">
        <f>IF(OR(E632="",E632="!!!"),"",IF(NOT(ISNA(VLOOKUP(E632,E$1:E631,1,FALSE()))),"OLD",IF(AND(E632&lt;&gt;"",E632&lt;&gt;"!!!"),"NEW","")))</f>
        <v/>
      </c>
      <c r="G632" s="11" t="str">
        <f>IF(OR(E632="",E632="!!!"),"",IF(OR(J632=0,AND(J632=1,K632=1),AND(J632=1,I632="SBJ"),AND(J632=1,I632=0)),"?IN_FOCUS",IF(J632&lt;=2,"?ACTIVATED",IF(J632&lt;&gt;"","?FAMILIAR",IF(F632="NEW",IF(ISNA(VLOOKUP(E632,#REF!,1,FALSE())),"?TYPE_IDENTIFIABLE","?REFERENTIAL"),"_")))))</f>
        <v/>
      </c>
      <c r="H632" s="12" t="str">
        <f t="shared" si="25"/>
        <v/>
      </c>
    </row>
    <row r="633" spans="1:8" x14ac:dyDescent="0.35">
      <c r="A633" t="s">
        <v>246</v>
      </c>
      <c r="E633" s="9" t="str">
        <f t="shared" si="24"/>
        <v/>
      </c>
      <c r="F633" s="10" t="str">
        <f>IF(OR(E633="",E633="!!!"),"",IF(NOT(ISNA(VLOOKUP(E633,E$1:E632,1,FALSE()))),"OLD",IF(AND(E633&lt;&gt;"",E633&lt;&gt;"!!!"),"NEW","")))</f>
        <v/>
      </c>
      <c r="G633" s="11" t="str">
        <f>IF(OR(E633="",E633="!!!"),"",IF(OR(J633=0,AND(J633=1,K633=1),AND(J633=1,I633="SBJ"),AND(J633=1,I633=0)),"?IN_FOCUS",IF(J633&lt;=2,"?ACTIVATED",IF(J633&lt;&gt;"","?FAMILIAR",IF(F633="NEW",IF(ISNA(VLOOKUP(E633,#REF!,1,FALSE())),"?TYPE_IDENTIFIABLE","?REFERENTIAL"),"_")))))</f>
        <v/>
      </c>
      <c r="H633" s="12" t="str">
        <f t="shared" si="25"/>
        <v/>
      </c>
    </row>
    <row r="634" spans="1:8" x14ac:dyDescent="0.35">
      <c r="A634" t="s">
        <v>355</v>
      </c>
      <c r="E634" s="9" t="str">
        <f t="shared" si="24"/>
        <v/>
      </c>
      <c r="F634" s="10" t="str">
        <f>IF(OR(E634="",E634="!!!"),"",IF(NOT(ISNA(VLOOKUP(E634,E$1:E633,1,FALSE()))),"OLD",IF(AND(E634&lt;&gt;"",E634&lt;&gt;"!!!"),"NEW","")))</f>
        <v/>
      </c>
      <c r="G634" s="11" t="str">
        <f>IF(OR(E634="",E634="!!!"),"",IF(OR(J634=0,AND(J634=1,K634=1),AND(J634=1,I634="SBJ"),AND(J634=1,I634=0)),"?IN_FOCUS",IF(J634&lt;=2,"?ACTIVATED",IF(J634&lt;&gt;"","?FAMILIAR",IF(F634="NEW",IF(ISNA(VLOOKUP(E634,#REF!,1,FALSE())),"?TYPE_IDENTIFIABLE","?REFERENTIAL"),"_")))))</f>
        <v/>
      </c>
      <c r="H634" s="12" t="str">
        <f t="shared" si="25"/>
        <v/>
      </c>
    </row>
    <row r="635" spans="1:8" x14ac:dyDescent="0.35">
      <c r="A635" t="s">
        <v>26</v>
      </c>
      <c r="E635" s="9" t="str">
        <f t="shared" si="24"/>
        <v/>
      </c>
      <c r="F635" s="10" t="str">
        <f>IF(OR(E635="",E635="!!!"),"",IF(NOT(ISNA(VLOOKUP(E635,E$1:E634,1,FALSE()))),"OLD",IF(AND(E635&lt;&gt;"",E635&lt;&gt;"!!!"),"NEW","")))</f>
        <v/>
      </c>
      <c r="G635" s="11" t="str">
        <f>IF(OR(E635="",E635="!!!"),"",IF(OR(J635=0,AND(J635=1,K635=1),AND(J635=1,I635="SBJ"),AND(J635=1,I635=0)),"?IN_FOCUS",IF(J635&lt;=2,"?ACTIVATED",IF(J635&lt;&gt;"","?FAMILIAR",IF(F635="NEW",IF(ISNA(VLOOKUP(E635,#REF!,1,FALSE())),"?TYPE_IDENTIFIABLE","?REFERENTIAL"),"_")))))</f>
        <v/>
      </c>
      <c r="H635" s="12" t="str">
        <f t="shared" si="25"/>
        <v/>
      </c>
    </row>
    <row r="636" spans="1:8" x14ac:dyDescent="0.35">
      <c r="A636" t="s">
        <v>133</v>
      </c>
      <c r="B636" t="s">
        <v>14</v>
      </c>
      <c r="C636" t="s">
        <v>33</v>
      </c>
      <c r="D636" t="s">
        <v>16</v>
      </c>
      <c r="E636" s="9" t="str">
        <f t="shared" si="24"/>
        <v>!!!</v>
      </c>
      <c r="F636" s="10" t="str">
        <f>IF(OR(E636="",E636="!!!"),"",IF(NOT(ISNA(VLOOKUP(E636,E$1:E635,1,FALSE()))),"OLD",IF(AND(E636&lt;&gt;"",E636&lt;&gt;"!!!"),"NEW","")))</f>
        <v/>
      </c>
      <c r="G636" s="11" t="str">
        <f>IF(OR(E636="",E636="!!!"),"",IF(OR(J636=0,AND(J636=1,K636=1),AND(J636=1,I636="SBJ"),AND(J636=1,I636=0)),"?IN_FOCUS",IF(J636&lt;=2,"?ACTIVATED",IF(J636&lt;&gt;"","?FAMILIAR",IF(F636="NEW",IF(ISNA(VLOOKUP(E636,#REF!,1,FALSE())),"?TYPE_IDENTIFIABLE","?REFERENTIAL"),"_")))))</f>
        <v/>
      </c>
      <c r="H636" s="12" t="str">
        <f t="shared" si="25"/>
        <v/>
      </c>
    </row>
    <row r="637" spans="1:8" x14ac:dyDescent="0.35">
      <c r="A637" t="s">
        <v>356</v>
      </c>
      <c r="E637" s="9" t="str">
        <f t="shared" si="24"/>
        <v/>
      </c>
      <c r="F637" s="10" t="str">
        <f>IF(OR(E637="",E637="!!!"),"",IF(NOT(ISNA(VLOOKUP(E637,E$1:E636,1,FALSE()))),"OLD",IF(AND(E637&lt;&gt;"",E637&lt;&gt;"!!!"),"NEW","")))</f>
        <v/>
      </c>
      <c r="G637" s="11" t="str">
        <f>IF(OR(E637="",E637="!!!"),"",IF(OR(J637=0,AND(J637=1,K637=1),AND(J637=1,I637="SBJ"),AND(J637=1,I637=0)),"?IN_FOCUS",IF(J637&lt;=2,"?ACTIVATED",IF(J637&lt;&gt;"","?FAMILIAR",IF(F637="NEW",IF(ISNA(VLOOKUP(E637,#REF!,1,FALSE())),"?TYPE_IDENTIFIABLE","?REFERENTIAL"),"_")))))</f>
        <v/>
      </c>
      <c r="H637" s="12" t="str">
        <f t="shared" si="25"/>
        <v/>
      </c>
    </row>
    <row r="638" spans="1:8" x14ac:dyDescent="0.35">
      <c r="A638" t="s">
        <v>135</v>
      </c>
      <c r="E638" s="9" t="str">
        <f t="shared" si="24"/>
        <v/>
      </c>
      <c r="F638" s="10" t="str">
        <f>IF(OR(E638="",E638="!!!"),"",IF(NOT(ISNA(VLOOKUP(E638,E$1:E637,1,FALSE()))),"OLD",IF(AND(E638&lt;&gt;"",E638&lt;&gt;"!!!"),"NEW","")))</f>
        <v/>
      </c>
      <c r="G638" s="11" t="str">
        <f>IF(OR(E638="",E638="!!!"),"",IF(OR(J638=0,AND(J638=1,K638=1),AND(J638=1,I638="SBJ"),AND(J638=1,I638=0)),"?IN_FOCUS",IF(J638&lt;=2,"?ACTIVATED",IF(J638&lt;&gt;"","?FAMILIAR",IF(F638="NEW",IF(ISNA(VLOOKUP(E638,#REF!,1,FALSE())),"?TYPE_IDENTIFIABLE","?REFERENTIAL"),"_")))))</f>
        <v/>
      </c>
      <c r="H638" s="12" t="str">
        <f t="shared" si="25"/>
        <v/>
      </c>
    </row>
    <row r="639" spans="1:8" x14ac:dyDescent="0.35">
      <c r="A639" t="s">
        <v>136</v>
      </c>
      <c r="B639" t="s">
        <v>24</v>
      </c>
      <c r="C639" t="s">
        <v>49</v>
      </c>
      <c r="D639" t="s">
        <v>16</v>
      </c>
      <c r="E639" s="9" t="str">
        <f t="shared" si="24"/>
        <v>!!!</v>
      </c>
      <c r="F639" s="10" t="str">
        <f>IF(OR(E639="",E639="!!!"),"",IF(NOT(ISNA(VLOOKUP(E639,E$1:E638,1,FALSE()))),"OLD",IF(AND(E639&lt;&gt;"",E639&lt;&gt;"!!!"),"NEW","")))</f>
        <v/>
      </c>
      <c r="G639" s="11" t="str">
        <f>IF(OR(E639="",E639="!!!"),"",IF(OR(J639=0,AND(J639=1,K639=1),AND(J639=1,I639="SBJ"),AND(J639=1,I639=0)),"?IN_FOCUS",IF(J639&lt;=2,"?ACTIVATED",IF(J639&lt;&gt;"","?FAMILIAR",IF(F639="NEW",IF(ISNA(VLOOKUP(E639,#REF!,1,FALSE())),"?TYPE_IDENTIFIABLE","?REFERENTIAL"),"_")))))</f>
        <v/>
      </c>
      <c r="H639" s="12" t="str">
        <f t="shared" si="25"/>
        <v/>
      </c>
    </row>
    <row r="640" spans="1:8" x14ac:dyDescent="0.35">
      <c r="A640" t="s">
        <v>253</v>
      </c>
      <c r="E640" s="9" t="str">
        <f t="shared" si="24"/>
        <v/>
      </c>
      <c r="F640" s="10" t="str">
        <f>IF(OR(E640="",E640="!!!"),"",IF(NOT(ISNA(VLOOKUP(E640,E$1:E639,1,FALSE()))),"OLD",IF(AND(E640&lt;&gt;"",E640&lt;&gt;"!!!"),"NEW","")))</f>
        <v/>
      </c>
      <c r="G640" s="11" t="str">
        <f>IF(OR(E640="",E640="!!!"),"",IF(OR(J640=0,AND(J640=1,K640=1),AND(J640=1,I640="SBJ"),AND(J640=1,I640=0)),"?IN_FOCUS",IF(J640&lt;=2,"?ACTIVATED",IF(J640&lt;&gt;"","?FAMILIAR",IF(F640="NEW",IF(ISNA(VLOOKUP(E640,#REF!,1,FALSE())),"?TYPE_IDENTIFIABLE","?REFERENTIAL"),"_")))))</f>
        <v/>
      </c>
      <c r="H640" s="12" t="str">
        <f t="shared" si="25"/>
        <v/>
      </c>
    </row>
    <row r="641" spans="1:8" x14ac:dyDescent="0.35">
      <c r="A641" t="s">
        <v>357</v>
      </c>
      <c r="B641" t="s">
        <v>32</v>
      </c>
      <c r="C641" t="s">
        <v>15</v>
      </c>
      <c r="D641" t="s">
        <v>16</v>
      </c>
      <c r="E641" s="9" t="str">
        <f t="shared" si="24"/>
        <v>!!!</v>
      </c>
      <c r="F641" s="10" t="str">
        <f>IF(OR(E641="",E641="!!!"),"",IF(NOT(ISNA(VLOOKUP(E641,E$1:E640,1,FALSE()))),"OLD",IF(AND(E641&lt;&gt;"",E641&lt;&gt;"!!!"),"NEW","")))</f>
        <v/>
      </c>
      <c r="G641" s="11" t="str">
        <f>IF(OR(E641="",E641="!!!"),"",IF(OR(J641=0,AND(J641=1,K641=1),AND(J641=1,I641="SBJ"),AND(J641=1,I641=0)),"?IN_FOCUS",IF(J641&lt;=2,"?ACTIVATED",IF(J641&lt;&gt;"","?FAMILIAR",IF(F641="NEW",IF(ISNA(VLOOKUP(E641,#REF!,1,FALSE())),"?TYPE_IDENTIFIABLE","?REFERENTIAL"),"_")))))</f>
        <v/>
      </c>
      <c r="H641" s="12" t="str">
        <f t="shared" si="25"/>
        <v/>
      </c>
    </row>
    <row r="642" spans="1:8" x14ac:dyDescent="0.35">
      <c r="A642" t="s">
        <v>353</v>
      </c>
      <c r="E642" s="9" t="str">
        <f t="shared" si="24"/>
        <v/>
      </c>
      <c r="F642" s="10" t="str">
        <f>IF(OR(E642="",E642="!!!"),"",IF(NOT(ISNA(VLOOKUP(E642,E$1:E641,1,FALSE()))),"OLD",IF(AND(E642&lt;&gt;"",E642&lt;&gt;"!!!"),"NEW","")))</f>
        <v/>
      </c>
      <c r="G642" s="11" t="str">
        <f>IF(OR(E642="",E642="!!!"),"",IF(OR(J642=0,AND(J642=1,K642=1),AND(J642=1,I642="SBJ"),AND(J642=1,I642=0)),"?IN_FOCUS",IF(J642&lt;=2,"?ACTIVATED",IF(J642&lt;&gt;"","?FAMILIAR",IF(F642="NEW",IF(ISNA(VLOOKUP(E642,#REF!,1,FALSE())),"?TYPE_IDENTIFIABLE","?REFERENTIAL"),"_")))))</f>
        <v/>
      </c>
      <c r="H642" s="12" t="str">
        <f t="shared" si="25"/>
        <v/>
      </c>
    </row>
    <row r="643" spans="1:8" x14ac:dyDescent="0.35">
      <c r="A643" t="s">
        <v>63</v>
      </c>
      <c r="E643" s="9" t="str">
        <f t="shared" si="24"/>
        <v/>
      </c>
      <c r="F643" s="10" t="str">
        <f>IF(OR(E643="",E643="!!!"),"",IF(NOT(ISNA(VLOOKUP(E643,E$1:E642,1,FALSE()))),"OLD",IF(AND(E643&lt;&gt;"",E643&lt;&gt;"!!!"),"NEW","")))</f>
        <v/>
      </c>
      <c r="G643" s="11" t="str">
        <f>IF(OR(E643="",E643="!!!"),"",IF(OR(J643=0,AND(J643=1,K643=1),AND(J643=1,I643="SBJ"),AND(J643=1,I643=0)),"?IN_FOCUS",IF(J643&lt;=2,"?ACTIVATED",IF(J643&lt;&gt;"","?FAMILIAR",IF(F643="NEW",IF(ISNA(VLOOKUP(E643,#REF!,1,FALSE())),"?TYPE_IDENTIFIABLE","?REFERENTIAL"),"_")))))</f>
        <v/>
      </c>
      <c r="H643" s="12" t="str">
        <f t="shared" si="25"/>
        <v/>
      </c>
    </row>
    <row r="644" spans="1:8" x14ac:dyDescent="0.35">
      <c r="E644" s="9" t="str">
        <f t="shared" si="24"/>
        <v/>
      </c>
      <c r="F644" s="10" t="str">
        <f>IF(OR(E644="",E644="!!!"),"",IF(NOT(ISNA(VLOOKUP(E644,E$1:E643,1,FALSE()))),"OLD",IF(AND(E644&lt;&gt;"",E644&lt;&gt;"!!!"),"NEW","")))</f>
        <v/>
      </c>
      <c r="G644" s="11" t="str">
        <f>IF(OR(E644="",E644="!!!"),"",IF(OR(J644=0,AND(J644=1,K644=1),AND(J644=1,I644="SBJ"),AND(J644=1,I644=0)),"?IN_FOCUS",IF(J644&lt;=2,"?ACTIVATED",IF(J644&lt;&gt;"","?FAMILIAR",IF(F644="NEW",IF(ISNA(VLOOKUP(E644,#REF!,1,FALSE())),"?TYPE_IDENTIFIABLE","?REFERENTIAL"),"_")))))</f>
        <v/>
      </c>
      <c r="H644" s="12" t="str">
        <f t="shared" si="25"/>
        <v/>
      </c>
    </row>
    <row r="645" spans="1:8" x14ac:dyDescent="0.35">
      <c r="A645" t="s">
        <v>358</v>
      </c>
      <c r="E645" s="9" t="str">
        <f t="shared" si="24"/>
        <v/>
      </c>
      <c r="F645" s="10" t="str">
        <f>IF(OR(E645="",E645="!!!"),"",IF(NOT(ISNA(VLOOKUP(E645,E$1:E644,1,FALSE()))),"OLD",IF(AND(E645&lt;&gt;"",E645&lt;&gt;"!!!"),"NEW","")))</f>
        <v/>
      </c>
      <c r="G645" s="11" t="str">
        <f>IF(OR(E645="",E645="!!!"),"",IF(OR(J645=0,AND(J645=1,K645=1),AND(J645=1,I645="SBJ"),AND(J645=1,I645=0)),"?IN_FOCUS",IF(J645&lt;=2,"?ACTIVATED",IF(J645&lt;&gt;"","?FAMILIAR",IF(F645="NEW",IF(ISNA(VLOOKUP(E645,#REF!,1,FALSE())),"?TYPE_IDENTIFIABLE","?REFERENTIAL"),"_")))))</f>
        <v/>
      </c>
      <c r="H645" s="12" t="str">
        <f t="shared" si="25"/>
        <v/>
      </c>
    </row>
    <row r="646" spans="1:8" x14ac:dyDescent="0.35">
      <c r="A646" t="s">
        <v>359</v>
      </c>
      <c r="E646" s="9" t="str">
        <f t="shared" si="24"/>
        <v/>
      </c>
      <c r="F646" s="10" t="str">
        <f>IF(OR(E646="",E646="!!!"),"",IF(NOT(ISNA(VLOOKUP(E646,E$1:E645,1,FALSE()))),"OLD",IF(AND(E646&lt;&gt;"",E646&lt;&gt;"!!!"),"NEW","")))</f>
        <v/>
      </c>
      <c r="G646" s="11" t="str">
        <f>IF(OR(E646="",E646="!!!"),"",IF(OR(J646=0,AND(J646=1,K646=1),AND(J646=1,I646="SBJ"),AND(J646=1,I646=0)),"?IN_FOCUS",IF(J646&lt;=2,"?ACTIVATED",IF(J646&lt;&gt;"","?FAMILIAR",IF(F646="NEW",IF(ISNA(VLOOKUP(E646,#REF!,1,FALSE())),"?TYPE_IDENTIFIABLE","?REFERENTIAL"),"_")))))</f>
        <v/>
      </c>
      <c r="H646" s="12" t="str">
        <f t="shared" si="25"/>
        <v/>
      </c>
    </row>
    <row r="647" spans="1:8" x14ac:dyDescent="0.35">
      <c r="A647" t="s">
        <v>360</v>
      </c>
      <c r="E647" s="9" t="str">
        <f t="shared" si="24"/>
        <v/>
      </c>
      <c r="F647" s="10" t="str">
        <f>IF(OR(E647="",E647="!!!"),"",IF(NOT(ISNA(VLOOKUP(E647,E$1:E646,1,FALSE()))),"OLD",IF(AND(E647&lt;&gt;"",E647&lt;&gt;"!!!"),"NEW","")))</f>
        <v/>
      </c>
      <c r="G647" s="11" t="str">
        <f>IF(OR(E647="",E647="!!!"),"",IF(OR(J647=0,AND(J647=1,K647=1),AND(J647=1,I647="SBJ"),AND(J647=1,I647=0)),"?IN_FOCUS",IF(J647&lt;=2,"?ACTIVATED",IF(J647&lt;&gt;"","?FAMILIAR",IF(F647="NEW",IF(ISNA(VLOOKUP(E647,#REF!,1,FALSE())),"?TYPE_IDENTIFIABLE","?REFERENTIAL"),"_")))))</f>
        <v/>
      </c>
      <c r="H647" s="12" t="str">
        <f t="shared" si="25"/>
        <v/>
      </c>
    </row>
    <row r="648" spans="1:8" x14ac:dyDescent="0.35">
      <c r="A648" t="s">
        <v>283</v>
      </c>
      <c r="E648" s="9" t="str">
        <f t="shared" si="24"/>
        <v/>
      </c>
      <c r="F648" s="10" t="str">
        <f>IF(OR(E648="",E648="!!!"),"",IF(NOT(ISNA(VLOOKUP(E648,E$1:E647,1,FALSE()))),"OLD",IF(AND(E648&lt;&gt;"",E648&lt;&gt;"!!!"),"NEW","")))</f>
        <v/>
      </c>
      <c r="G648" s="11" t="str">
        <f>IF(OR(E648="",E648="!!!"),"",IF(OR(J648=0,AND(J648=1,K648=1),AND(J648=1,I648="SBJ"),AND(J648=1,I648=0)),"?IN_FOCUS",IF(J648&lt;=2,"?ACTIVATED",IF(J648&lt;&gt;"","?FAMILIAR",IF(F648="NEW",IF(ISNA(VLOOKUP(E648,#REF!,1,FALSE())),"?TYPE_IDENTIFIABLE","?REFERENTIAL"),"_")))))</f>
        <v/>
      </c>
      <c r="H648" s="12" t="str">
        <f t="shared" si="25"/>
        <v/>
      </c>
    </row>
    <row r="649" spans="1:8" x14ac:dyDescent="0.35">
      <c r="A649" t="s">
        <v>361</v>
      </c>
      <c r="B649" t="s">
        <v>54</v>
      </c>
      <c r="C649" t="s">
        <v>122</v>
      </c>
      <c r="D649" t="s">
        <v>16</v>
      </c>
      <c r="E649" s="9" t="str">
        <f t="shared" si="24"/>
        <v>!!!</v>
      </c>
      <c r="F649" s="10" t="str">
        <f>IF(OR(E649="",E649="!!!"),"",IF(NOT(ISNA(VLOOKUP(E649,E$1:E648,1,FALSE()))),"OLD",IF(AND(E649&lt;&gt;"",E649&lt;&gt;"!!!"),"NEW","")))</f>
        <v/>
      </c>
      <c r="G649" s="11" t="str">
        <f>IF(OR(E649="",E649="!!!"),"",IF(OR(J649=0,AND(J649=1,K649=1),AND(J649=1,I649="SBJ"),AND(J649=1,I649=0)),"?IN_FOCUS",IF(J649&lt;=2,"?ACTIVATED",IF(J649&lt;&gt;"","?FAMILIAR",IF(F649="NEW",IF(ISNA(VLOOKUP(E649,#REF!,1,FALSE())),"?TYPE_IDENTIFIABLE","?REFERENTIAL"),"_")))))</f>
        <v/>
      </c>
      <c r="H649" s="12" t="str">
        <f t="shared" si="25"/>
        <v/>
      </c>
    </row>
    <row r="650" spans="1:8" x14ac:dyDescent="0.35">
      <c r="A650" t="s">
        <v>26</v>
      </c>
      <c r="E650" s="9" t="str">
        <f t="shared" si="24"/>
        <v/>
      </c>
      <c r="F650" s="10" t="str">
        <f>IF(OR(E650="",E650="!!!"),"",IF(NOT(ISNA(VLOOKUP(E650,E$1:E649,1,FALSE()))),"OLD",IF(AND(E650&lt;&gt;"",E650&lt;&gt;"!!!"),"NEW","")))</f>
        <v/>
      </c>
      <c r="G650" s="11" t="str">
        <f>IF(OR(E650="",E650="!!!"),"",IF(OR(J650=0,AND(J650=1,K650=1),AND(J650=1,I650="SBJ"),AND(J650=1,I650=0)),"?IN_FOCUS",IF(J650&lt;=2,"?ACTIVATED",IF(J650&lt;&gt;"","?FAMILIAR",IF(F650="NEW",IF(ISNA(VLOOKUP(E650,#REF!,1,FALSE())),"?TYPE_IDENTIFIABLE","?REFERENTIAL"),"_")))))</f>
        <v/>
      </c>
      <c r="H650" s="12" t="str">
        <f t="shared" si="25"/>
        <v/>
      </c>
    </row>
    <row r="651" spans="1:8" x14ac:dyDescent="0.35">
      <c r="A651" t="s">
        <v>250</v>
      </c>
      <c r="B651" t="s">
        <v>24</v>
      </c>
      <c r="C651" t="s">
        <v>21</v>
      </c>
      <c r="D651" t="s">
        <v>16</v>
      </c>
      <c r="E651" s="9" t="str">
        <f t="shared" si="24"/>
        <v>!!!</v>
      </c>
      <c r="F651" s="10" t="str">
        <f>IF(OR(E651="",E651="!!!"),"",IF(NOT(ISNA(VLOOKUP(E651,E$1:E650,1,FALSE()))),"OLD",IF(AND(E651&lt;&gt;"",E651&lt;&gt;"!!!"),"NEW","")))</f>
        <v/>
      </c>
      <c r="G651" s="11" t="str">
        <f>IF(OR(E651="",E651="!!!"),"",IF(OR(J651=0,AND(J651=1,K651=1),AND(J651=1,I651="SBJ"),AND(J651=1,I651=0)),"?IN_FOCUS",IF(J651&lt;=2,"?ACTIVATED",IF(J651&lt;&gt;"","?FAMILIAR",IF(F651="NEW",IF(ISNA(VLOOKUP(E651,#REF!,1,FALSE())),"?TYPE_IDENTIFIABLE","?REFERENTIAL"),"_")))))</f>
        <v/>
      </c>
      <c r="H651" s="12" t="str">
        <f t="shared" si="25"/>
        <v/>
      </c>
    </row>
    <row r="652" spans="1:8" x14ac:dyDescent="0.35">
      <c r="A652" t="s">
        <v>63</v>
      </c>
      <c r="E652" s="9" t="str">
        <f t="shared" si="24"/>
        <v/>
      </c>
      <c r="F652" s="10" t="str">
        <f>IF(OR(E652="",E652="!!!"),"",IF(NOT(ISNA(VLOOKUP(E652,E$1:E651,1,FALSE()))),"OLD",IF(AND(E652&lt;&gt;"",E652&lt;&gt;"!!!"),"NEW","")))</f>
        <v/>
      </c>
      <c r="G652" s="11" t="str">
        <f>IF(OR(E652="",E652="!!!"),"",IF(OR(J652=0,AND(J652=1,K652=1),AND(J652=1,I652="SBJ"),AND(J652=1,I652=0)),"?IN_FOCUS",IF(J652&lt;=2,"?ACTIVATED",IF(J652&lt;&gt;"","?FAMILIAR",IF(F652="NEW",IF(ISNA(VLOOKUP(E652,#REF!,1,FALSE())),"?TYPE_IDENTIFIABLE","?REFERENTIAL"),"_")))))</f>
        <v/>
      </c>
      <c r="H652" s="12" t="str">
        <f t="shared" si="25"/>
        <v/>
      </c>
    </row>
    <row r="653" spans="1:8" x14ac:dyDescent="0.35">
      <c r="E653" s="9" t="str">
        <f t="shared" si="24"/>
        <v/>
      </c>
      <c r="F653" s="10" t="str">
        <f>IF(OR(E653="",E653="!!!"),"",IF(NOT(ISNA(VLOOKUP(E653,E$1:E652,1,FALSE()))),"OLD",IF(AND(E653&lt;&gt;"",E653&lt;&gt;"!!!"),"NEW","")))</f>
        <v/>
      </c>
      <c r="G653" s="11" t="str">
        <f>IF(OR(E653="",E653="!!!"),"",IF(OR(J653=0,AND(J653=1,K653=1),AND(J653=1,I653="SBJ"),AND(J653=1,I653=0)),"?IN_FOCUS",IF(J653&lt;=2,"?ACTIVATED",IF(J653&lt;&gt;"","?FAMILIAR",IF(F653="NEW",IF(ISNA(VLOOKUP(E653,#REF!,1,FALSE())),"?TYPE_IDENTIFIABLE","?REFERENTIAL"),"_")))))</f>
        <v/>
      </c>
      <c r="H653" s="12" t="str">
        <f t="shared" si="25"/>
        <v/>
      </c>
    </row>
    <row r="654" spans="1:8" x14ac:dyDescent="0.35">
      <c r="A654" t="s">
        <v>362</v>
      </c>
      <c r="E654" s="9" t="str">
        <f t="shared" si="24"/>
        <v/>
      </c>
      <c r="F654" s="10" t="str">
        <f>IF(OR(E654="",E654="!!!"),"",IF(NOT(ISNA(VLOOKUP(E654,E$1:E653,1,FALSE()))),"OLD",IF(AND(E654&lt;&gt;"",E654&lt;&gt;"!!!"),"NEW","")))</f>
        <v/>
      </c>
      <c r="G654" s="11" t="str">
        <f>IF(OR(E654="",E654="!!!"),"",IF(OR(J654=0,AND(J654=1,K654=1),AND(J654=1,I654="SBJ"),AND(J654=1,I654=0)),"?IN_FOCUS",IF(J654&lt;=2,"?ACTIVATED",IF(J654&lt;&gt;"","?FAMILIAR",IF(F654="NEW",IF(ISNA(VLOOKUP(E654,#REF!,1,FALSE())),"?TYPE_IDENTIFIABLE","?REFERENTIAL"),"_")))))</f>
        <v/>
      </c>
      <c r="H654" s="12" t="str">
        <f t="shared" si="25"/>
        <v/>
      </c>
    </row>
    <row r="655" spans="1:8" x14ac:dyDescent="0.35">
      <c r="A655" t="s">
        <v>279</v>
      </c>
      <c r="B655" t="s">
        <v>14</v>
      </c>
      <c r="C655" t="s">
        <v>33</v>
      </c>
      <c r="D655" t="s">
        <v>16</v>
      </c>
      <c r="E655" s="9" t="str">
        <f t="shared" si="24"/>
        <v>!!!</v>
      </c>
      <c r="F655" s="10" t="str">
        <f>IF(OR(E655="",E655="!!!"),"",IF(NOT(ISNA(VLOOKUP(E655,E$1:E654,1,FALSE()))),"OLD",IF(AND(E655&lt;&gt;"",E655&lt;&gt;"!!!"),"NEW","")))</f>
        <v/>
      </c>
      <c r="G655" s="11" t="str">
        <f>IF(OR(E655="",E655="!!!"),"",IF(OR(J655=0,AND(J655=1,K655=1),AND(J655=1,I655="SBJ"),AND(J655=1,I655=0)),"?IN_FOCUS",IF(J655&lt;=2,"?ACTIVATED",IF(J655&lt;&gt;"","?FAMILIAR",IF(F655="NEW",IF(ISNA(VLOOKUP(E655,#REF!,1,FALSE())),"?TYPE_IDENTIFIABLE","?REFERENTIAL"),"_")))))</f>
        <v/>
      </c>
      <c r="H655" s="12" t="str">
        <f t="shared" si="25"/>
        <v/>
      </c>
    </row>
    <row r="656" spans="1:8" x14ac:dyDescent="0.35">
      <c r="A656" t="s">
        <v>258</v>
      </c>
      <c r="E656" s="9" t="str">
        <f t="shared" si="24"/>
        <v/>
      </c>
      <c r="F656" s="10" t="str">
        <f>IF(OR(E656="",E656="!!!"),"",IF(NOT(ISNA(VLOOKUP(E656,E$1:E655,1,FALSE()))),"OLD",IF(AND(E656&lt;&gt;"",E656&lt;&gt;"!!!"),"NEW","")))</f>
        <v/>
      </c>
      <c r="G656" s="11" t="str">
        <f>IF(OR(E656="",E656="!!!"),"",IF(OR(J656=0,AND(J656=1,K656=1),AND(J656=1,I656="SBJ"),AND(J656=1,I656=0)),"?IN_FOCUS",IF(J656&lt;=2,"?ACTIVATED",IF(J656&lt;&gt;"","?FAMILIAR",IF(F656="NEW",IF(ISNA(VLOOKUP(E656,#REF!,1,FALSE())),"?TYPE_IDENTIFIABLE","?REFERENTIAL"),"_")))))</f>
        <v/>
      </c>
      <c r="H656" s="12" t="str">
        <f t="shared" si="25"/>
        <v/>
      </c>
    </row>
    <row r="657" spans="1:8" x14ac:dyDescent="0.35">
      <c r="A657" t="s">
        <v>363</v>
      </c>
      <c r="E657" s="9" t="str">
        <f t="shared" si="24"/>
        <v/>
      </c>
      <c r="F657" s="10" t="str">
        <f>IF(OR(E657="",E657="!!!"),"",IF(NOT(ISNA(VLOOKUP(E657,E$1:E656,1,FALSE()))),"OLD",IF(AND(E657&lt;&gt;"",E657&lt;&gt;"!!!"),"NEW","")))</f>
        <v/>
      </c>
      <c r="G657" s="11" t="str">
        <f>IF(OR(E657="",E657="!!!"),"",IF(OR(J657=0,AND(J657=1,K657=1),AND(J657=1,I657="SBJ"),AND(J657=1,I657=0)),"?IN_FOCUS",IF(J657&lt;=2,"?ACTIVATED",IF(J657&lt;&gt;"","?FAMILIAR",IF(F657="NEW",IF(ISNA(VLOOKUP(E657,#REF!,1,FALSE())),"?TYPE_IDENTIFIABLE","?REFERENTIAL"),"_")))))</f>
        <v/>
      </c>
      <c r="H657" s="12" t="str">
        <f t="shared" si="25"/>
        <v/>
      </c>
    </row>
    <row r="658" spans="1:8" x14ac:dyDescent="0.35">
      <c r="A658" t="s">
        <v>364</v>
      </c>
      <c r="E658" s="9" t="str">
        <f t="shared" si="24"/>
        <v/>
      </c>
      <c r="F658" s="10" t="str">
        <f>IF(OR(E658="",E658="!!!"),"",IF(NOT(ISNA(VLOOKUP(E658,E$1:E657,1,FALSE()))),"OLD",IF(AND(E658&lt;&gt;"",E658&lt;&gt;"!!!"),"NEW","")))</f>
        <v/>
      </c>
      <c r="G658" s="11" t="str">
        <f>IF(OR(E658="",E658="!!!"),"",IF(OR(J658=0,AND(J658=1,K658=1),AND(J658=1,I658="SBJ"),AND(J658=1,I658=0)),"?IN_FOCUS",IF(J658&lt;=2,"?ACTIVATED",IF(J658&lt;&gt;"","?FAMILIAR",IF(F658="NEW",IF(ISNA(VLOOKUP(E658,#REF!,1,FALSE())),"?TYPE_IDENTIFIABLE","?REFERENTIAL"),"_")))))</f>
        <v/>
      </c>
      <c r="H658" s="12" t="str">
        <f t="shared" si="25"/>
        <v/>
      </c>
    </row>
    <row r="659" spans="1:8" x14ac:dyDescent="0.35">
      <c r="A659" t="s">
        <v>58</v>
      </c>
      <c r="E659" s="9" t="str">
        <f t="shared" si="24"/>
        <v/>
      </c>
      <c r="F659" s="10" t="str">
        <f>IF(OR(E659="",E659="!!!"),"",IF(NOT(ISNA(VLOOKUP(E659,E$1:E658,1,FALSE()))),"OLD",IF(AND(E659&lt;&gt;"",E659&lt;&gt;"!!!"),"NEW","")))</f>
        <v/>
      </c>
      <c r="G659" s="11" t="str">
        <f>IF(OR(E659="",E659="!!!"),"",IF(OR(J659=0,AND(J659=1,K659=1),AND(J659=1,I659="SBJ"),AND(J659=1,I659=0)),"?IN_FOCUS",IF(J659&lt;=2,"?ACTIVATED",IF(J659&lt;&gt;"","?FAMILIAR",IF(F659="NEW",IF(ISNA(VLOOKUP(E659,#REF!,1,FALSE())),"?TYPE_IDENTIFIABLE","?REFERENTIAL"),"_")))))</f>
        <v/>
      </c>
      <c r="H659" s="12" t="str">
        <f t="shared" si="25"/>
        <v/>
      </c>
    </row>
    <row r="660" spans="1:8" x14ac:dyDescent="0.35">
      <c r="A660" t="s">
        <v>215</v>
      </c>
      <c r="B660" t="s">
        <v>54</v>
      </c>
      <c r="C660" t="s">
        <v>99</v>
      </c>
      <c r="D660" t="s">
        <v>16</v>
      </c>
      <c r="E660" s="9" t="str">
        <f t="shared" si="24"/>
        <v>!!!</v>
      </c>
      <c r="F660" s="10" t="str">
        <f>IF(OR(E660="",E660="!!!"),"",IF(NOT(ISNA(VLOOKUP(E660,E$1:E659,1,FALSE()))),"OLD",IF(AND(E660&lt;&gt;"",E660&lt;&gt;"!!!"),"NEW","")))</f>
        <v/>
      </c>
      <c r="G660" s="11" t="str">
        <f>IF(OR(E660="",E660="!!!"),"",IF(OR(J660=0,AND(J660=1,K660=1),AND(J660=1,I660="SBJ"),AND(J660=1,I660=0)),"?IN_FOCUS",IF(J660&lt;=2,"?ACTIVATED",IF(J660&lt;&gt;"","?FAMILIAR",IF(F660="NEW",IF(ISNA(VLOOKUP(E660,#REF!,1,FALSE())),"?TYPE_IDENTIFIABLE","?REFERENTIAL"),"_")))))</f>
        <v/>
      </c>
      <c r="H660" s="12" t="str">
        <f t="shared" si="25"/>
        <v/>
      </c>
    </row>
    <row r="661" spans="1:8" x14ac:dyDescent="0.35">
      <c r="A661" t="s">
        <v>26</v>
      </c>
      <c r="E661" s="9" t="str">
        <f t="shared" si="24"/>
        <v/>
      </c>
      <c r="F661" s="10" t="str">
        <f>IF(OR(E661="",E661="!!!"),"",IF(NOT(ISNA(VLOOKUP(E661,E$1:E660,1,FALSE()))),"OLD",IF(AND(E661&lt;&gt;"",E661&lt;&gt;"!!!"),"NEW","")))</f>
        <v/>
      </c>
      <c r="G661" s="11" t="str">
        <f>IF(OR(E661="",E661="!!!"),"",IF(OR(J661=0,AND(J661=1,K661=1),AND(J661=1,I661="SBJ"),AND(J661=1,I661=0)),"?IN_FOCUS",IF(J661&lt;=2,"?ACTIVATED",IF(J661&lt;&gt;"","?FAMILIAR",IF(F661="NEW",IF(ISNA(VLOOKUP(E661,#REF!,1,FALSE())),"?TYPE_IDENTIFIABLE","?REFERENTIAL"),"_")))))</f>
        <v/>
      </c>
      <c r="H661" s="12" t="str">
        <f t="shared" si="25"/>
        <v/>
      </c>
    </row>
    <row r="662" spans="1:8" x14ac:dyDescent="0.35">
      <c r="A662" t="s">
        <v>258</v>
      </c>
      <c r="E662" s="9" t="str">
        <f t="shared" si="24"/>
        <v/>
      </c>
      <c r="F662" s="10" t="str">
        <f>IF(OR(E662="",E662="!!!"),"",IF(NOT(ISNA(VLOOKUP(E662,E$1:E661,1,FALSE()))),"OLD",IF(AND(E662&lt;&gt;"",E662&lt;&gt;"!!!"),"NEW","")))</f>
        <v/>
      </c>
      <c r="G662" s="11" t="str">
        <f>IF(OR(E662="",E662="!!!"),"",IF(OR(J662=0,AND(J662=1,K662=1),AND(J662=1,I662="SBJ"),AND(J662=1,I662=0)),"?IN_FOCUS",IF(J662&lt;=2,"?ACTIVATED",IF(J662&lt;&gt;"","?FAMILIAR",IF(F662="NEW",IF(ISNA(VLOOKUP(E662,#REF!,1,FALSE())),"?TYPE_IDENTIFIABLE","?REFERENTIAL"),"_")))))</f>
        <v/>
      </c>
      <c r="H662" s="12" t="str">
        <f t="shared" si="25"/>
        <v/>
      </c>
    </row>
    <row r="663" spans="1:8" x14ac:dyDescent="0.35">
      <c r="A663" t="s">
        <v>248</v>
      </c>
      <c r="B663" t="s">
        <v>36</v>
      </c>
      <c r="C663" t="s">
        <v>33</v>
      </c>
      <c r="D663" t="s">
        <v>16</v>
      </c>
      <c r="E663" s="9" t="str">
        <f t="shared" si="24"/>
        <v>!!!</v>
      </c>
      <c r="F663" s="10" t="str">
        <f>IF(OR(E663="",E663="!!!"),"",IF(NOT(ISNA(VLOOKUP(E663,E$1:E662,1,FALSE()))),"OLD",IF(AND(E663&lt;&gt;"",E663&lt;&gt;"!!!"),"NEW","")))</f>
        <v/>
      </c>
      <c r="G663" s="11" t="str">
        <f>IF(OR(E663="",E663="!!!"),"",IF(OR(J663=0,AND(J663=1,K663=1),AND(J663=1,I663="SBJ"),AND(J663=1,I663=0)),"?IN_FOCUS",IF(J663&lt;=2,"?ACTIVATED",IF(J663&lt;&gt;"","?FAMILIAR",IF(F663="NEW",IF(ISNA(VLOOKUP(E663,#REF!,1,FALSE())),"?TYPE_IDENTIFIABLE","?REFERENTIAL"),"_")))))</f>
        <v/>
      </c>
      <c r="H663" s="12" t="str">
        <f t="shared" si="25"/>
        <v/>
      </c>
    </row>
    <row r="664" spans="1:8" x14ac:dyDescent="0.35">
      <c r="A664" t="s">
        <v>224</v>
      </c>
      <c r="E664" s="9" t="str">
        <f t="shared" si="24"/>
        <v/>
      </c>
      <c r="F664" s="10" t="str">
        <f>IF(OR(E664="",E664="!!!"),"",IF(NOT(ISNA(VLOOKUP(E664,E$1:E663,1,FALSE()))),"OLD",IF(AND(E664&lt;&gt;"",E664&lt;&gt;"!!!"),"NEW","")))</f>
        <v/>
      </c>
      <c r="G664" s="11" t="str">
        <f>IF(OR(E664="",E664="!!!"),"",IF(OR(J664=0,AND(J664=1,K664=1),AND(J664=1,I664="SBJ"),AND(J664=1,I664=0)),"?IN_FOCUS",IF(J664&lt;=2,"?ACTIVATED",IF(J664&lt;&gt;"","?FAMILIAR",IF(F664="NEW",IF(ISNA(VLOOKUP(E664,#REF!,1,FALSE())),"?TYPE_IDENTIFIABLE","?REFERENTIAL"),"_")))))</f>
        <v/>
      </c>
      <c r="H664" s="12" t="str">
        <f t="shared" si="25"/>
        <v/>
      </c>
    </row>
    <row r="665" spans="1:8" x14ac:dyDescent="0.35">
      <c r="A665" t="s">
        <v>26</v>
      </c>
      <c r="E665" s="9" t="str">
        <f t="shared" si="24"/>
        <v/>
      </c>
      <c r="F665" s="10" t="str">
        <f>IF(OR(E665="",E665="!!!"),"",IF(NOT(ISNA(VLOOKUP(E665,E$1:E664,1,FALSE()))),"OLD",IF(AND(E665&lt;&gt;"",E665&lt;&gt;"!!!"),"NEW","")))</f>
        <v/>
      </c>
      <c r="G665" s="11" t="str">
        <f>IF(OR(E665="",E665="!!!"),"",IF(OR(J665=0,AND(J665=1,K665=1),AND(J665=1,I665="SBJ"),AND(J665=1,I665=0)),"?IN_FOCUS",IF(J665&lt;=2,"?ACTIVATED",IF(J665&lt;&gt;"","?FAMILIAR",IF(F665="NEW",IF(ISNA(VLOOKUP(E665,#REF!,1,FALSE())),"?TYPE_IDENTIFIABLE","?REFERENTIAL"),"_")))))</f>
        <v/>
      </c>
      <c r="H665" s="12" t="str">
        <f t="shared" si="25"/>
        <v/>
      </c>
    </row>
    <row r="666" spans="1:8" x14ac:dyDescent="0.35">
      <c r="A666" t="s">
        <v>365</v>
      </c>
      <c r="B666" t="s">
        <v>54</v>
      </c>
      <c r="C666" t="s">
        <v>21</v>
      </c>
      <c r="D666" t="s">
        <v>16</v>
      </c>
      <c r="E666" s="9" t="str">
        <f t="shared" si="24"/>
        <v>!!!</v>
      </c>
      <c r="F666" s="10" t="str">
        <f>IF(OR(E666="",E666="!!!"),"",IF(NOT(ISNA(VLOOKUP(E666,E$1:E665,1,FALSE()))),"OLD",IF(AND(E666&lt;&gt;"",E666&lt;&gt;"!!!"),"NEW","")))</f>
        <v/>
      </c>
      <c r="G666" s="11" t="str">
        <f>IF(OR(E666="",E666="!!!"),"",IF(OR(J666=0,AND(J666=1,K666=1),AND(J666=1,I666="SBJ"),AND(J666=1,I666=0)),"?IN_FOCUS",IF(J666&lt;=2,"?ACTIVATED",IF(J666&lt;&gt;"","?FAMILIAR",IF(F666="NEW",IF(ISNA(VLOOKUP(E666,#REF!,1,FALSE())),"?TYPE_IDENTIFIABLE","?REFERENTIAL"),"_")))))</f>
        <v/>
      </c>
      <c r="H666" s="12" t="str">
        <f t="shared" si="25"/>
        <v/>
      </c>
    </row>
    <row r="667" spans="1:8" x14ac:dyDescent="0.35">
      <c r="A667" t="s">
        <v>251</v>
      </c>
      <c r="E667" s="9" t="str">
        <f t="shared" si="24"/>
        <v/>
      </c>
      <c r="F667" s="10" t="str">
        <f>IF(OR(E667="",E667="!!!"),"",IF(NOT(ISNA(VLOOKUP(E667,E$1:E666,1,FALSE()))),"OLD",IF(AND(E667&lt;&gt;"",E667&lt;&gt;"!!!"),"NEW","")))</f>
        <v/>
      </c>
      <c r="G667" s="11" t="str">
        <f>IF(OR(E667="",E667="!!!"),"",IF(OR(J667=0,AND(J667=1,K667=1),AND(J667=1,I667="SBJ"),AND(J667=1,I667=0)),"?IN_FOCUS",IF(J667&lt;=2,"?ACTIVATED",IF(J667&lt;&gt;"","?FAMILIAR",IF(F667="NEW",IF(ISNA(VLOOKUP(E667,#REF!,1,FALSE())),"?TYPE_IDENTIFIABLE","?REFERENTIAL"),"_")))))</f>
        <v/>
      </c>
      <c r="H667" s="12" t="str">
        <f t="shared" si="25"/>
        <v/>
      </c>
    </row>
    <row r="668" spans="1:8" x14ac:dyDescent="0.35">
      <c r="E668" s="9" t="str">
        <f t="shared" si="24"/>
        <v/>
      </c>
      <c r="F668" s="10" t="str">
        <f>IF(OR(E668="",E668="!!!"),"",IF(NOT(ISNA(VLOOKUP(E668,E$1:E667,1,FALSE()))),"OLD",IF(AND(E668&lt;&gt;"",E668&lt;&gt;"!!!"),"NEW","")))</f>
        <v/>
      </c>
      <c r="G668" s="11" t="str">
        <f>IF(OR(E668="",E668="!!!"),"",IF(OR(J668=0,AND(J668=1,K668=1),AND(J668=1,I668="SBJ"),AND(J668=1,I668=0)),"?IN_FOCUS",IF(J668&lt;=2,"?ACTIVATED",IF(J668&lt;&gt;"","?FAMILIAR",IF(F668="NEW",IF(ISNA(VLOOKUP(E668,#REF!,1,FALSE())),"?TYPE_IDENTIFIABLE","?REFERENTIAL"),"_")))))</f>
        <v/>
      </c>
      <c r="H668" s="12" t="str">
        <f t="shared" si="25"/>
        <v/>
      </c>
    </row>
    <row r="669" spans="1:8" x14ac:dyDescent="0.35">
      <c r="A669" t="s">
        <v>366</v>
      </c>
      <c r="E669" s="9" t="str">
        <f t="shared" si="24"/>
        <v/>
      </c>
      <c r="F669" s="10" t="str">
        <f>IF(OR(E669="",E669="!!!"),"",IF(NOT(ISNA(VLOOKUP(E669,E$1:E668,1,FALSE()))),"OLD",IF(AND(E669&lt;&gt;"",E669&lt;&gt;"!!!"),"NEW","")))</f>
        <v/>
      </c>
      <c r="G669" s="11" t="str">
        <f>IF(OR(E669="",E669="!!!"),"",IF(OR(J669=0,AND(J669=1,K669=1),AND(J669=1,I669="SBJ"),AND(J669=1,I669=0)),"?IN_FOCUS",IF(J669&lt;=2,"?ACTIVATED",IF(J669&lt;&gt;"","?FAMILIAR",IF(F669="NEW",IF(ISNA(VLOOKUP(E669,#REF!,1,FALSE())),"?TYPE_IDENTIFIABLE","?REFERENTIAL"),"_")))))</f>
        <v/>
      </c>
      <c r="H669" s="12" t="str">
        <f t="shared" si="25"/>
        <v/>
      </c>
    </row>
    <row r="670" spans="1:8" x14ac:dyDescent="0.35">
      <c r="A670" t="s">
        <v>367</v>
      </c>
      <c r="E670" s="9" t="str">
        <f t="shared" si="24"/>
        <v/>
      </c>
      <c r="F670" s="10" t="str">
        <f>IF(OR(E670="",E670="!!!"),"",IF(NOT(ISNA(VLOOKUP(E670,E$1:E669,1,FALSE()))),"OLD",IF(AND(E670&lt;&gt;"",E670&lt;&gt;"!!!"),"NEW","")))</f>
        <v/>
      </c>
      <c r="G670" s="11" t="str">
        <f>IF(OR(E670="",E670="!!!"),"",IF(OR(J670=0,AND(J670=1,K670=1),AND(J670=1,I670="SBJ"),AND(J670=1,I670=0)),"?IN_FOCUS",IF(J670&lt;=2,"?ACTIVATED",IF(J670&lt;&gt;"","?FAMILIAR",IF(F670="NEW",IF(ISNA(VLOOKUP(E670,#REF!,1,FALSE())),"?TYPE_IDENTIFIABLE","?REFERENTIAL"),"_")))))</f>
        <v/>
      </c>
      <c r="H670" s="12" t="str">
        <f t="shared" si="25"/>
        <v/>
      </c>
    </row>
    <row r="671" spans="1:8" x14ac:dyDescent="0.35">
      <c r="A671" t="s">
        <v>248</v>
      </c>
      <c r="B671" t="s">
        <v>14</v>
      </c>
      <c r="C671" t="s">
        <v>33</v>
      </c>
      <c r="D671" t="s">
        <v>16</v>
      </c>
      <c r="E671" s="9" t="str">
        <f t="shared" si="24"/>
        <v>!!!</v>
      </c>
      <c r="F671" s="10" t="str">
        <f>IF(OR(E671="",E671="!!!"),"",IF(NOT(ISNA(VLOOKUP(E671,E$1:E670,1,FALSE()))),"OLD",IF(AND(E671&lt;&gt;"",E671&lt;&gt;"!!!"),"NEW","")))</f>
        <v/>
      </c>
      <c r="G671" s="11" t="str">
        <f>IF(OR(E671="",E671="!!!"),"",IF(OR(J671=0,AND(J671=1,K671=1),AND(J671=1,I671="SBJ"),AND(J671=1,I671=0)),"?IN_FOCUS",IF(J671&lt;=2,"?ACTIVATED",IF(J671&lt;&gt;"","?FAMILIAR",IF(F671="NEW",IF(ISNA(VLOOKUP(E671,#REF!,1,FALSE())),"?TYPE_IDENTIFIABLE","?REFERENTIAL"),"_")))))</f>
        <v/>
      </c>
      <c r="H671" s="12" t="str">
        <f t="shared" si="25"/>
        <v/>
      </c>
    </row>
    <row r="672" spans="1:8" x14ac:dyDescent="0.35">
      <c r="A672" t="s">
        <v>368</v>
      </c>
      <c r="E672" s="9" t="str">
        <f t="shared" si="24"/>
        <v/>
      </c>
      <c r="F672" s="10" t="str">
        <f>IF(OR(E672="",E672="!!!"),"",IF(NOT(ISNA(VLOOKUP(E672,E$1:E671,1,FALSE()))),"OLD",IF(AND(E672&lt;&gt;"",E672&lt;&gt;"!!!"),"NEW","")))</f>
        <v/>
      </c>
      <c r="G672" s="11" t="str">
        <f>IF(OR(E672="",E672="!!!"),"",IF(OR(J672=0,AND(J672=1,K672=1),AND(J672=1,I672="SBJ"),AND(J672=1,I672=0)),"?IN_FOCUS",IF(J672&lt;=2,"?ACTIVATED",IF(J672&lt;&gt;"","?FAMILIAR",IF(F672="NEW",IF(ISNA(VLOOKUP(E672,#REF!,1,FALSE())),"?TYPE_IDENTIFIABLE","?REFERENTIAL"),"_")))))</f>
        <v/>
      </c>
      <c r="H672" s="12" t="str">
        <f t="shared" si="25"/>
        <v/>
      </c>
    </row>
    <row r="673" spans="1:8" x14ac:dyDescent="0.35">
      <c r="A673" t="s">
        <v>58</v>
      </c>
      <c r="E673" s="9" t="str">
        <f t="shared" si="24"/>
        <v/>
      </c>
      <c r="F673" s="10" t="str">
        <f>IF(OR(E673="",E673="!!!"),"",IF(NOT(ISNA(VLOOKUP(E673,E$1:E672,1,FALSE()))),"OLD",IF(AND(E673&lt;&gt;"",E673&lt;&gt;"!!!"),"NEW","")))</f>
        <v/>
      </c>
      <c r="G673" s="11" t="str">
        <f>IF(OR(E673="",E673="!!!"),"",IF(OR(J673=0,AND(J673=1,K673=1),AND(J673=1,I673="SBJ"),AND(J673=1,I673=0)),"?IN_FOCUS",IF(J673&lt;=2,"?ACTIVATED",IF(J673&lt;&gt;"","?FAMILIAR",IF(F673="NEW",IF(ISNA(VLOOKUP(E673,#REF!,1,FALSE())),"?TYPE_IDENTIFIABLE","?REFERENTIAL"),"_")))))</f>
        <v/>
      </c>
      <c r="H673" s="12" t="str">
        <f t="shared" si="25"/>
        <v/>
      </c>
    </row>
    <row r="674" spans="1:8" x14ac:dyDescent="0.35">
      <c r="A674" t="s">
        <v>369</v>
      </c>
      <c r="B674" t="s">
        <v>32</v>
      </c>
      <c r="C674" t="s">
        <v>99</v>
      </c>
      <c r="D674" t="s">
        <v>16</v>
      </c>
      <c r="E674" s="9" t="str">
        <f t="shared" si="24"/>
        <v>!!!</v>
      </c>
      <c r="F674" s="10" t="str">
        <f>IF(OR(E674="",E674="!!!"),"",IF(NOT(ISNA(VLOOKUP(E674,E$1:E673,1,FALSE()))),"OLD",IF(AND(E674&lt;&gt;"",E674&lt;&gt;"!!!"),"NEW","")))</f>
        <v/>
      </c>
      <c r="G674" s="11" t="str">
        <f>IF(OR(E674="",E674="!!!"),"",IF(OR(J674=0,AND(J674=1,K674=1),AND(J674=1,I674="SBJ"),AND(J674=1,I674=0)),"?IN_FOCUS",IF(J674&lt;=2,"?ACTIVATED",IF(J674&lt;&gt;"","?FAMILIAR",IF(F674="NEW",IF(ISNA(VLOOKUP(E674,#REF!,1,FALSE())),"?TYPE_IDENTIFIABLE","?REFERENTIAL"),"_")))))</f>
        <v/>
      </c>
      <c r="H674" s="12" t="str">
        <f t="shared" si="25"/>
        <v/>
      </c>
    </row>
    <row r="675" spans="1:8" x14ac:dyDescent="0.35">
      <c r="A675" t="s">
        <v>17</v>
      </c>
      <c r="E675" s="9" t="str">
        <f t="shared" si="24"/>
        <v/>
      </c>
      <c r="F675" s="10" t="str">
        <f>IF(OR(E675="",E675="!!!"),"",IF(NOT(ISNA(VLOOKUP(E675,E$1:E674,1,FALSE()))),"OLD",IF(AND(E675&lt;&gt;"",E675&lt;&gt;"!!!"),"NEW","")))</f>
        <v/>
      </c>
      <c r="G675" s="11" t="str">
        <f>IF(OR(E675="",E675="!!!"),"",IF(OR(J675=0,AND(J675=1,K675=1),AND(J675=1,I675="SBJ"),AND(J675=1,I675=0)),"?IN_FOCUS",IF(J675&lt;=2,"?ACTIVATED",IF(J675&lt;&gt;"","?FAMILIAR",IF(F675="NEW",IF(ISNA(VLOOKUP(E675,#REF!,1,FALSE())),"?TYPE_IDENTIFIABLE","?REFERENTIAL"),"_")))))</f>
        <v/>
      </c>
      <c r="H675" s="12" t="str">
        <f t="shared" si="25"/>
        <v/>
      </c>
    </row>
    <row r="676" spans="1:8" x14ac:dyDescent="0.35">
      <c r="A676" t="s">
        <v>58</v>
      </c>
      <c r="E676" s="9" t="str">
        <f t="shared" si="24"/>
        <v/>
      </c>
      <c r="F676" s="10" t="str">
        <f>IF(OR(E676="",E676="!!!"),"",IF(NOT(ISNA(VLOOKUP(E676,E$1:E675,1,FALSE()))),"OLD",IF(AND(E676&lt;&gt;"",E676&lt;&gt;"!!!"),"NEW","")))</f>
        <v/>
      </c>
      <c r="G676" s="11" t="str">
        <f>IF(OR(E676="",E676="!!!"),"",IF(OR(J676=0,AND(J676=1,K676=1),AND(J676=1,I676="SBJ"),AND(J676=1,I676=0)),"?IN_FOCUS",IF(J676&lt;=2,"?ACTIVATED",IF(J676&lt;&gt;"","?FAMILIAR",IF(F676="NEW",IF(ISNA(VLOOKUP(E676,#REF!,1,FALSE())),"?TYPE_IDENTIFIABLE","?REFERENTIAL"),"_")))))</f>
        <v/>
      </c>
      <c r="H676" s="12" t="str">
        <f t="shared" si="25"/>
        <v/>
      </c>
    </row>
    <row r="677" spans="1:8" x14ac:dyDescent="0.35">
      <c r="A677" t="s">
        <v>370</v>
      </c>
      <c r="B677" t="s">
        <v>24</v>
      </c>
      <c r="C677" t="s">
        <v>99</v>
      </c>
      <c r="D677" t="s">
        <v>16</v>
      </c>
      <c r="E677" s="9" t="str">
        <f t="shared" si="24"/>
        <v>!!!</v>
      </c>
      <c r="F677" s="10" t="str">
        <f>IF(OR(E677="",E677="!!!"),"",IF(NOT(ISNA(VLOOKUP(E677,E$1:E676,1,FALSE()))),"OLD",IF(AND(E677&lt;&gt;"",E677&lt;&gt;"!!!"),"NEW","")))</f>
        <v/>
      </c>
      <c r="G677" s="11" t="str">
        <f>IF(OR(E677="",E677="!!!"),"",IF(OR(J677=0,AND(J677=1,K677=1),AND(J677=1,I677="SBJ"),AND(J677=1,I677=0)),"?IN_FOCUS",IF(J677&lt;=2,"?ACTIVATED",IF(J677&lt;&gt;"","?FAMILIAR",IF(F677="NEW",IF(ISNA(VLOOKUP(E677,#REF!,1,FALSE())),"?TYPE_IDENTIFIABLE","?REFERENTIAL"),"_")))))</f>
        <v/>
      </c>
      <c r="H677" s="12" t="str">
        <f t="shared" si="25"/>
        <v/>
      </c>
    </row>
    <row r="678" spans="1:8" x14ac:dyDescent="0.35">
      <c r="A678" t="s">
        <v>251</v>
      </c>
      <c r="E678" s="9" t="str">
        <f t="shared" si="24"/>
        <v/>
      </c>
      <c r="F678" s="10" t="str">
        <f>IF(OR(E678="",E678="!!!"),"",IF(NOT(ISNA(VLOOKUP(E678,E$1:E677,1,FALSE()))),"OLD",IF(AND(E678&lt;&gt;"",E678&lt;&gt;"!!!"),"NEW","")))</f>
        <v/>
      </c>
      <c r="G678" s="11" t="str">
        <f>IF(OR(E678="",E678="!!!"),"",IF(OR(J678=0,AND(J678=1,K678=1),AND(J678=1,I678="SBJ"),AND(J678=1,I678=0)),"?IN_FOCUS",IF(J678&lt;=2,"?ACTIVATED",IF(J678&lt;&gt;"","?FAMILIAR",IF(F678="NEW",IF(ISNA(VLOOKUP(E678,#REF!,1,FALSE())),"?TYPE_IDENTIFIABLE","?REFERENTIAL"),"_")))))</f>
        <v/>
      </c>
      <c r="H678" s="12" t="str">
        <f t="shared" si="25"/>
        <v/>
      </c>
    </row>
    <row r="679" spans="1:8" x14ac:dyDescent="0.35">
      <c r="E679" s="9" t="str">
        <f t="shared" si="24"/>
        <v/>
      </c>
      <c r="F679" s="10" t="str">
        <f>IF(OR(E679="",E679="!!!"),"",IF(NOT(ISNA(VLOOKUP(E679,E$1:E678,1,FALSE()))),"OLD",IF(AND(E679&lt;&gt;"",E679&lt;&gt;"!!!"),"NEW","")))</f>
        <v/>
      </c>
      <c r="G679" s="11" t="str">
        <f>IF(OR(E679="",E679="!!!"),"",IF(OR(J679=0,AND(J679=1,K679=1),AND(J679=1,I679="SBJ"),AND(J679=1,I679=0)),"?IN_FOCUS",IF(J679&lt;=2,"?ACTIVATED",IF(J679&lt;&gt;"","?FAMILIAR",IF(F679="NEW",IF(ISNA(VLOOKUP(E679,#REF!,1,FALSE())),"?TYPE_IDENTIFIABLE","?REFERENTIAL"),"_")))))</f>
        <v/>
      </c>
      <c r="H679" s="12" t="str">
        <f t="shared" si="25"/>
        <v/>
      </c>
    </row>
    <row r="680" spans="1:8" x14ac:dyDescent="0.35">
      <c r="A680" t="s">
        <v>244</v>
      </c>
      <c r="E680" s="9" t="str">
        <f t="shared" si="24"/>
        <v/>
      </c>
      <c r="F680" s="10" t="str">
        <f>IF(OR(E680="",E680="!!!"),"",IF(NOT(ISNA(VLOOKUP(E680,E$1:E679,1,FALSE()))),"OLD",IF(AND(E680&lt;&gt;"",E680&lt;&gt;"!!!"),"NEW","")))</f>
        <v/>
      </c>
      <c r="G680" s="11" t="str">
        <f>IF(OR(E680="",E680="!!!"),"",IF(OR(J680=0,AND(J680=1,K680=1),AND(J680=1,I680="SBJ"),AND(J680=1,I680=0)),"?IN_FOCUS",IF(J680&lt;=2,"?ACTIVATED",IF(J680&lt;&gt;"","?FAMILIAR",IF(F680="NEW",IF(ISNA(VLOOKUP(E680,#REF!,1,FALSE())),"?TYPE_IDENTIFIABLE","?REFERENTIAL"),"_")))))</f>
        <v/>
      </c>
      <c r="H680" s="12" t="str">
        <f t="shared" si="25"/>
        <v/>
      </c>
    </row>
    <row r="681" spans="1:8" x14ac:dyDescent="0.35">
      <c r="A681" t="s">
        <v>371</v>
      </c>
      <c r="E681" s="9" t="str">
        <f t="shared" si="24"/>
        <v/>
      </c>
      <c r="F681" s="10" t="str">
        <f>IF(OR(E681="",E681="!!!"),"",IF(NOT(ISNA(VLOOKUP(E681,E$1:E680,1,FALSE()))),"OLD",IF(AND(E681&lt;&gt;"",E681&lt;&gt;"!!!"),"NEW","")))</f>
        <v/>
      </c>
      <c r="G681" s="11" t="str">
        <f>IF(OR(E681="",E681="!!!"),"",IF(OR(J681=0,AND(J681=1,K681=1),AND(J681=1,I681="SBJ"),AND(J681=1,I681=0)),"?IN_FOCUS",IF(J681&lt;=2,"?ACTIVATED",IF(J681&lt;&gt;"","?FAMILIAR",IF(F681="NEW",IF(ISNA(VLOOKUP(E681,#REF!,1,FALSE())),"?TYPE_IDENTIFIABLE","?REFERENTIAL"),"_")))))</f>
        <v/>
      </c>
      <c r="H681" s="12" t="str">
        <f t="shared" si="25"/>
        <v/>
      </c>
    </row>
    <row r="682" spans="1:8" x14ac:dyDescent="0.35">
      <c r="A682" t="s">
        <v>287</v>
      </c>
      <c r="B682" t="s">
        <v>54</v>
      </c>
      <c r="C682" t="s">
        <v>148</v>
      </c>
      <c r="E682" s="9" t="str">
        <f t="shared" si="24"/>
        <v/>
      </c>
      <c r="F682" s="10" t="str">
        <f>IF(OR(E682="",E682="!!!"),"",IF(NOT(ISNA(VLOOKUP(E682,E$1:E681,1,FALSE()))),"OLD",IF(AND(E682&lt;&gt;"",E682&lt;&gt;"!!!"),"NEW","")))</f>
        <v/>
      </c>
      <c r="G682" s="11" t="str">
        <f>IF(OR(E682="",E682="!!!"),"",IF(OR(J682=0,AND(J682=1,K682=1),AND(J682=1,I682="SBJ"),AND(J682=1,I682=0)),"?IN_FOCUS",IF(J682&lt;=2,"?ACTIVATED",IF(J682&lt;&gt;"","?FAMILIAR",IF(F682="NEW",IF(ISNA(VLOOKUP(E682,#REF!,1,FALSE())),"?TYPE_IDENTIFIABLE","?REFERENTIAL"),"_")))))</f>
        <v/>
      </c>
      <c r="H682" s="12" t="str">
        <f t="shared" si="25"/>
        <v/>
      </c>
    </row>
    <row r="683" spans="1:8" x14ac:dyDescent="0.35">
      <c r="A683" t="s">
        <v>275</v>
      </c>
      <c r="E683" s="9" t="str">
        <f t="shared" si="24"/>
        <v/>
      </c>
      <c r="F683" s="10" t="str">
        <f>IF(OR(E683="",E683="!!!"),"",IF(NOT(ISNA(VLOOKUP(E683,E$1:E682,1,FALSE()))),"OLD",IF(AND(E683&lt;&gt;"",E683&lt;&gt;"!!!"),"NEW","")))</f>
        <v/>
      </c>
      <c r="G683" s="11" t="str">
        <f>IF(OR(E683="",E683="!!!"),"",IF(OR(J683=0,AND(J683=1,K683=1),AND(J683=1,I683="SBJ"),AND(J683=1,I683=0)),"?IN_FOCUS",IF(J683&lt;=2,"?ACTIVATED",IF(J683&lt;&gt;"","?FAMILIAR",IF(F683="NEW",IF(ISNA(VLOOKUP(E683,#REF!,1,FALSE())),"?TYPE_IDENTIFIABLE","?REFERENTIAL"),"_")))))</f>
        <v/>
      </c>
      <c r="H683" s="12" t="str">
        <f t="shared" si="25"/>
        <v/>
      </c>
    </row>
    <row r="684" spans="1:8" x14ac:dyDescent="0.35">
      <c r="A684" t="s">
        <v>78</v>
      </c>
      <c r="E684" s="9" t="str">
        <f t="shared" si="24"/>
        <v/>
      </c>
      <c r="F684" s="10" t="str">
        <f>IF(OR(E684="",E684="!!!"),"",IF(NOT(ISNA(VLOOKUP(E684,E$1:E683,1,FALSE()))),"OLD",IF(AND(E684&lt;&gt;"",E684&lt;&gt;"!!!"),"NEW","")))</f>
        <v/>
      </c>
      <c r="G684" s="11" t="str">
        <f>IF(OR(E684="",E684="!!!"),"",IF(OR(J684=0,AND(J684=1,K684=1),AND(J684=1,I684="SBJ"),AND(J684=1,I684=0)),"?IN_FOCUS",IF(J684&lt;=2,"?ACTIVATED",IF(J684&lt;&gt;"","?FAMILIAR",IF(F684="NEW",IF(ISNA(VLOOKUP(E684,#REF!,1,FALSE())),"?TYPE_IDENTIFIABLE","?REFERENTIAL"),"_")))))</f>
        <v/>
      </c>
      <c r="H684" s="12" t="str">
        <f t="shared" si="25"/>
        <v/>
      </c>
    </row>
    <row r="685" spans="1:8" x14ac:dyDescent="0.35">
      <c r="A685" t="s">
        <v>372</v>
      </c>
      <c r="E685" s="9" t="str">
        <f t="shared" si="24"/>
        <v/>
      </c>
      <c r="F685" s="10" t="str">
        <f>IF(OR(E685="",E685="!!!"),"",IF(NOT(ISNA(VLOOKUP(E685,E$1:E684,1,FALSE()))),"OLD",IF(AND(E685&lt;&gt;"",E685&lt;&gt;"!!!"),"NEW","")))</f>
        <v/>
      </c>
      <c r="G685" s="11" t="str">
        <f>IF(OR(E685="",E685="!!!"),"",IF(OR(J685=0,AND(J685=1,K685=1),AND(J685=1,I685="SBJ"),AND(J685=1,I685=0)),"?IN_FOCUS",IF(J685&lt;=2,"?ACTIVATED",IF(J685&lt;&gt;"","?FAMILIAR",IF(F685="NEW",IF(ISNA(VLOOKUP(E685,#REF!,1,FALSE())),"?TYPE_IDENTIFIABLE","?REFERENTIAL"),"_")))))</f>
        <v/>
      </c>
      <c r="H685" s="12" t="str">
        <f t="shared" si="25"/>
        <v/>
      </c>
    </row>
    <row r="686" spans="1:8" x14ac:dyDescent="0.35">
      <c r="A686" t="s">
        <v>373</v>
      </c>
      <c r="B686" t="s">
        <v>14</v>
      </c>
      <c r="C686" t="s">
        <v>122</v>
      </c>
      <c r="D686" t="s">
        <v>16</v>
      </c>
      <c r="E686" s="9" t="str">
        <f t="shared" si="24"/>
        <v>!!!</v>
      </c>
      <c r="F686" s="10" t="str">
        <f>IF(OR(E686="",E686="!!!"),"",IF(NOT(ISNA(VLOOKUP(E686,E$1:E685,1,FALSE()))),"OLD",IF(AND(E686&lt;&gt;"",E686&lt;&gt;"!!!"),"NEW","")))</f>
        <v/>
      </c>
      <c r="G686" s="11" t="str">
        <f>IF(OR(E686="",E686="!!!"),"",IF(OR(J686=0,AND(J686=1,K686=1),AND(J686=1,I686="SBJ"),AND(J686=1,I686=0)),"?IN_FOCUS",IF(J686&lt;=2,"?ACTIVATED",IF(J686&lt;&gt;"","?FAMILIAR",IF(F686="NEW",IF(ISNA(VLOOKUP(E686,#REF!,1,FALSE())),"?TYPE_IDENTIFIABLE","?REFERENTIAL"),"_")))))</f>
        <v/>
      </c>
      <c r="H686" s="12" t="str">
        <f t="shared" si="25"/>
        <v/>
      </c>
    </row>
    <row r="687" spans="1:8" x14ac:dyDescent="0.35">
      <c r="A687" t="s">
        <v>131</v>
      </c>
      <c r="E687" s="9" t="str">
        <f t="shared" si="24"/>
        <v/>
      </c>
      <c r="F687" s="10" t="str">
        <f>IF(OR(E687="",E687="!!!"),"",IF(NOT(ISNA(VLOOKUP(E687,E$1:E686,1,FALSE()))),"OLD",IF(AND(E687&lt;&gt;"",E687&lt;&gt;"!!!"),"NEW","")))</f>
        <v/>
      </c>
      <c r="G687" s="11" t="str">
        <f>IF(OR(E687="",E687="!!!"),"",IF(OR(J687=0,AND(J687=1,K687=1),AND(J687=1,I687="SBJ"),AND(J687=1,I687=0)),"?IN_FOCUS",IF(J687&lt;=2,"?ACTIVATED",IF(J687&lt;&gt;"","?FAMILIAR",IF(F687="NEW",IF(ISNA(VLOOKUP(E687,#REF!,1,FALSE())),"?TYPE_IDENTIFIABLE","?REFERENTIAL"),"_")))))</f>
        <v/>
      </c>
      <c r="H687" s="12" t="str">
        <f t="shared" si="25"/>
        <v/>
      </c>
    </row>
    <row r="688" spans="1:8" x14ac:dyDescent="0.35">
      <c r="A688" t="s">
        <v>283</v>
      </c>
      <c r="E688" s="9" t="str">
        <f t="shared" si="24"/>
        <v/>
      </c>
      <c r="F688" s="10" t="str">
        <f>IF(OR(E688="",E688="!!!"),"",IF(NOT(ISNA(VLOOKUP(E688,E$1:E687,1,FALSE()))),"OLD",IF(AND(E688&lt;&gt;"",E688&lt;&gt;"!!!"),"NEW","")))</f>
        <v/>
      </c>
      <c r="G688" s="11" t="str">
        <f>IF(OR(E688="",E688="!!!"),"",IF(OR(J688=0,AND(J688=1,K688=1),AND(J688=1,I688="SBJ"),AND(J688=1,I688=0)),"?IN_FOCUS",IF(J688&lt;=2,"?ACTIVATED",IF(J688&lt;&gt;"","?FAMILIAR",IF(F688="NEW",IF(ISNA(VLOOKUP(E688,#REF!,1,FALSE())),"?TYPE_IDENTIFIABLE","?REFERENTIAL"),"_")))))</f>
        <v/>
      </c>
      <c r="H688" s="12" t="str">
        <f t="shared" si="25"/>
        <v/>
      </c>
    </row>
    <row r="689" spans="1:8" x14ac:dyDescent="0.35">
      <c r="A689" t="s">
        <v>320</v>
      </c>
      <c r="B689" t="s">
        <v>24</v>
      </c>
      <c r="C689" t="s">
        <v>122</v>
      </c>
      <c r="D689" t="s">
        <v>16</v>
      </c>
      <c r="E689" s="9" t="str">
        <f t="shared" si="24"/>
        <v>!!!</v>
      </c>
      <c r="F689" s="10" t="str">
        <f>IF(OR(E689="",E689="!!!"),"",IF(NOT(ISNA(VLOOKUP(E689,E$1:E688,1,FALSE()))),"OLD",IF(AND(E689&lt;&gt;"",E689&lt;&gt;"!!!"),"NEW","")))</f>
        <v/>
      </c>
      <c r="G689" s="11" t="str">
        <f>IF(OR(E689="",E689="!!!"),"",IF(OR(J689=0,AND(J689=1,K689=1),AND(J689=1,I689="SBJ"),AND(J689=1,I689=0)),"?IN_FOCUS",IF(J689&lt;=2,"?ACTIVATED",IF(J689&lt;&gt;"","?FAMILIAR",IF(F689="NEW",IF(ISNA(VLOOKUP(E689,#REF!,1,FALSE())),"?TYPE_IDENTIFIABLE","?REFERENTIAL"),"_")))))</f>
        <v/>
      </c>
      <c r="H689" s="12" t="str">
        <f t="shared" si="25"/>
        <v/>
      </c>
    </row>
    <row r="690" spans="1:8" x14ac:dyDescent="0.35">
      <c r="A690" t="s">
        <v>251</v>
      </c>
      <c r="E690" s="9" t="str">
        <f t="shared" si="24"/>
        <v/>
      </c>
      <c r="F690" s="10" t="str">
        <f>IF(OR(E690="",E690="!!!"),"",IF(NOT(ISNA(VLOOKUP(E690,E$1:E689,1,FALSE()))),"OLD",IF(AND(E690&lt;&gt;"",E690&lt;&gt;"!!!"),"NEW","")))</f>
        <v/>
      </c>
      <c r="G690" s="11" t="str">
        <f>IF(OR(E690="",E690="!!!"),"",IF(OR(J690=0,AND(J690=1,K690=1),AND(J690=1,I690="SBJ"),AND(J690=1,I690=0)),"?IN_FOCUS",IF(J690&lt;=2,"?ACTIVATED",IF(J690&lt;&gt;"","?FAMILIAR",IF(F690="NEW",IF(ISNA(VLOOKUP(E690,#REF!,1,FALSE())),"?TYPE_IDENTIFIABLE","?REFERENTIAL"),"_")))))</f>
        <v/>
      </c>
      <c r="H690" s="12" t="str">
        <f t="shared" si="25"/>
        <v/>
      </c>
    </row>
    <row r="691" spans="1:8" x14ac:dyDescent="0.35">
      <c r="A691" t="s">
        <v>246</v>
      </c>
      <c r="E691" s="9" t="str">
        <f t="shared" si="24"/>
        <v/>
      </c>
      <c r="F691" s="10" t="str">
        <f>IF(OR(E691="",E691="!!!"),"",IF(NOT(ISNA(VLOOKUP(E691,E$1:E690,1,FALSE()))),"OLD",IF(AND(E691&lt;&gt;"",E691&lt;&gt;"!!!"),"NEW","")))</f>
        <v/>
      </c>
      <c r="G691" s="11" t="str">
        <f>IF(OR(E691="",E691="!!!"),"",IF(OR(J691=0,AND(J691=1,K691=1),AND(J691=1,I691="SBJ"),AND(J691=1,I691=0)),"?IN_FOCUS",IF(J691&lt;=2,"?ACTIVATED",IF(J691&lt;&gt;"","?FAMILIAR",IF(F691="NEW",IF(ISNA(VLOOKUP(E691,#REF!,1,FALSE())),"?TYPE_IDENTIFIABLE","?REFERENTIAL"),"_")))))</f>
        <v/>
      </c>
      <c r="H691" s="12" t="str">
        <f t="shared" si="25"/>
        <v/>
      </c>
    </row>
    <row r="692" spans="1:8" x14ac:dyDescent="0.35">
      <c r="E692" s="9" t="str">
        <f t="shared" si="24"/>
        <v/>
      </c>
      <c r="F692" s="10" t="str">
        <f>IF(OR(E692="",E692="!!!"),"",IF(NOT(ISNA(VLOOKUP(E692,E$1:E691,1,FALSE()))),"OLD",IF(AND(E692&lt;&gt;"",E692&lt;&gt;"!!!"),"NEW","")))</f>
        <v/>
      </c>
      <c r="G692" s="11" t="str">
        <f>IF(OR(E692="",E692="!!!"),"",IF(OR(J692=0,AND(J692=1,K692=1),AND(J692=1,I692="SBJ"),AND(J692=1,I692=0)),"?IN_FOCUS",IF(J692&lt;=2,"?ACTIVATED",IF(J692&lt;&gt;"","?FAMILIAR",IF(F692="NEW",IF(ISNA(VLOOKUP(E692,#REF!,1,FALSE())),"?TYPE_IDENTIFIABLE","?REFERENTIAL"),"_")))))</f>
        <v/>
      </c>
      <c r="H692" s="12" t="str">
        <f t="shared" si="25"/>
        <v/>
      </c>
    </row>
    <row r="693" spans="1:8" x14ac:dyDescent="0.35">
      <c r="A693" t="s">
        <v>244</v>
      </c>
      <c r="E693" s="9" t="str">
        <f t="shared" si="24"/>
        <v/>
      </c>
      <c r="F693" s="10" t="str">
        <f>IF(OR(E693="",E693="!!!"),"",IF(NOT(ISNA(VLOOKUP(E693,E$1:E692,1,FALSE()))),"OLD",IF(AND(E693&lt;&gt;"",E693&lt;&gt;"!!!"),"NEW","")))</f>
        <v/>
      </c>
      <c r="G693" s="11" t="str">
        <f>IF(OR(E693="",E693="!!!"),"",IF(OR(J693=0,AND(J693=1,K693=1),AND(J693=1,I693="SBJ"),AND(J693=1,I693=0)),"?IN_FOCUS",IF(J693&lt;=2,"?ACTIVATED",IF(J693&lt;&gt;"","?FAMILIAR",IF(F693="NEW",IF(ISNA(VLOOKUP(E693,#REF!,1,FALSE())),"?TYPE_IDENTIFIABLE","?REFERENTIAL"),"_")))))</f>
        <v/>
      </c>
      <c r="H693" s="12" t="str">
        <f t="shared" si="25"/>
        <v/>
      </c>
    </row>
    <row r="694" spans="1:8" x14ac:dyDescent="0.35">
      <c r="A694" t="s">
        <v>374</v>
      </c>
      <c r="E694" s="9" t="str">
        <f t="shared" si="24"/>
        <v/>
      </c>
      <c r="F694" s="10" t="str">
        <f>IF(OR(E694="",E694="!!!"),"",IF(NOT(ISNA(VLOOKUP(E694,E$1:E693,1,FALSE()))),"OLD",IF(AND(E694&lt;&gt;"",E694&lt;&gt;"!!!"),"NEW","")))</f>
        <v/>
      </c>
      <c r="G694" s="11" t="str">
        <f>IF(OR(E694="",E694="!!!"),"",IF(OR(J694=0,AND(J694=1,K694=1),AND(J694=1,I694="SBJ"),AND(J694=1,I694=0)),"?IN_FOCUS",IF(J694&lt;=2,"?ACTIVATED",IF(J694&lt;&gt;"","?FAMILIAR",IF(F694="NEW",IF(ISNA(VLOOKUP(E694,#REF!,1,FALSE())),"?TYPE_IDENTIFIABLE","?REFERENTIAL"),"_")))))</f>
        <v/>
      </c>
      <c r="H694" s="12" t="str">
        <f t="shared" si="25"/>
        <v/>
      </c>
    </row>
    <row r="695" spans="1:8" x14ac:dyDescent="0.35">
      <c r="A695" t="s">
        <v>246</v>
      </c>
      <c r="E695" s="9" t="str">
        <f t="shared" ref="E695:E758" si="26">IF(D695="?OLD","!!!","")</f>
        <v/>
      </c>
      <c r="F695" s="10" t="str">
        <f>IF(OR(E695="",E695="!!!"),"",IF(NOT(ISNA(VLOOKUP(E695,E$1:E694,1,FALSE()))),"OLD",IF(AND(E695&lt;&gt;"",E695&lt;&gt;"!!!"),"NEW","")))</f>
        <v/>
      </c>
      <c r="G695" s="11" t="str">
        <f>IF(OR(E695="",E695="!!!"),"",IF(OR(J695=0,AND(J695=1,K695=1),AND(J695=1,I695="SBJ"),AND(J695=1,I695=0)),"?IN_FOCUS",IF(J695&lt;=2,"?ACTIVATED",IF(J695&lt;&gt;"","?FAMILIAR",IF(F695="NEW",IF(ISNA(VLOOKUP(E695,#REF!,1,FALSE())),"?TYPE_IDENTIFIABLE","?REFERENTIAL"),"_")))))</f>
        <v/>
      </c>
      <c r="H695" s="12" t="str">
        <f t="shared" ref="H695:H758" si="27">IF(J695&lt;&gt;1,"",IF(I695="SBJ","CB","?"))</f>
        <v/>
      </c>
    </row>
    <row r="696" spans="1:8" x14ac:dyDescent="0.35">
      <c r="A696" t="s">
        <v>110</v>
      </c>
      <c r="B696" t="s">
        <v>14</v>
      </c>
      <c r="C696" t="s">
        <v>33</v>
      </c>
      <c r="D696" t="s">
        <v>16</v>
      </c>
      <c r="E696" s="9" t="str">
        <f t="shared" si="26"/>
        <v>!!!</v>
      </c>
      <c r="F696" s="10" t="str">
        <f>IF(OR(E696="",E696="!!!"),"",IF(NOT(ISNA(VLOOKUP(E696,E$1:E695,1,FALSE()))),"OLD",IF(AND(E696&lt;&gt;"",E696&lt;&gt;"!!!"),"NEW","")))</f>
        <v/>
      </c>
      <c r="G696" s="11" t="str">
        <f>IF(OR(E696="",E696="!!!"),"",IF(OR(J696=0,AND(J696=1,K696=1),AND(J696=1,I696="SBJ"),AND(J696=1,I696=0)),"?IN_FOCUS",IF(J696&lt;=2,"?ACTIVATED",IF(J696&lt;&gt;"","?FAMILIAR",IF(F696="NEW",IF(ISNA(VLOOKUP(E696,#REF!,1,FALSE())),"?TYPE_IDENTIFIABLE","?REFERENTIAL"),"_")))))</f>
        <v/>
      </c>
      <c r="H696" s="12" t="str">
        <f t="shared" si="27"/>
        <v/>
      </c>
    </row>
    <row r="697" spans="1:8" x14ac:dyDescent="0.35">
      <c r="A697" t="s">
        <v>375</v>
      </c>
      <c r="E697" s="9" t="str">
        <f t="shared" si="26"/>
        <v/>
      </c>
      <c r="F697" s="10" t="str">
        <f>IF(OR(E697="",E697="!!!"),"",IF(NOT(ISNA(VLOOKUP(E697,E$1:E696,1,FALSE()))),"OLD",IF(AND(E697&lt;&gt;"",E697&lt;&gt;"!!!"),"NEW","")))</f>
        <v/>
      </c>
      <c r="G697" s="11" t="str">
        <f>IF(OR(E697="",E697="!!!"),"",IF(OR(J697=0,AND(J697=1,K697=1),AND(J697=1,I697="SBJ"),AND(J697=1,I697=0)),"?IN_FOCUS",IF(J697&lt;=2,"?ACTIVATED",IF(J697&lt;&gt;"","?FAMILIAR",IF(F697="NEW",IF(ISNA(VLOOKUP(E697,#REF!,1,FALSE())),"?TYPE_IDENTIFIABLE","?REFERENTIAL"),"_")))))</f>
        <v/>
      </c>
      <c r="H697" s="12" t="str">
        <f t="shared" si="27"/>
        <v/>
      </c>
    </row>
    <row r="698" spans="1:8" x14ac:dyDescent="0.35">
      <c r="A698" t="s">
        <v>376</v>
      </c>
      <c r="B698" t="s">
        <v>36</v>
      </c>
      <c r="C698" t="s">
        <v>33</v>
      </c>
      <c r="D698" t="s">
        <v>16</v>
      </c>
      <c r="E698" s="9" t="str">
        <f t="shared" si="26"/>
        <v>!!!</v>
      </c>
      <c r="F698" s="10" t="str">
        <f>IF(OR(E698="",E698="!!!"),"",IF(NOT(ISNA(VLOOKUP(E698,E$1:E697,1,FALSE()))),"OLD",IF(AND(E698&lt;&gt;"",E698&lt;&gt;"!!!"),"NEW","")))</f>
        <v/>
      </c>
      <c r="G698" s="11" t="str">
        <f>IF(OR(E698="",E698="!!!"),"",IF(OR(J698=0,AND(J698=1,K698=1),AND(J698=1,I698="SBJ"),AND(J698=1,I698=0)),"?IN_FOCUS",IF(J698&lt;=2,"?ACTIVATED",IF(J698&lt;&gt;"","?FAMILIAR",IF(F698="NEW",IF(ISNA(VLOOKUP(E698,#REF!,1,FALSE())),"?TYPE_IDENTIFIABLE","?REFERENTIAL"),"_")))))</f>
        <v/>
      </c>
      <c r="H698" s="12" t="str">
        <f t="shared" si="27"/>
        <v/>
      </c>
    </row>
    <row r="699" spans="1:8" x14ac:dyDescent="0.35">
      <c r="A699" t="s">
        <v>275</v>
      </c>
      <c r="E699" s="9" t="str">
        <f t="shared" si="26"/>
        <v/>
      </c>
      <c r="F699" s="10" t="str">
        <f>IF(OR(E699="",E699="!!!"),"",IF(NOT(ISNA(VLOOKUP(E699,E$1:E698,1,FALSE()))),"OLD",IF(AND(E699&lt;&gt;"",E699&lt;&gt;"!!!"),"NEW","")))</f>
        <v/>
      </c>
      <c r="G699" s="11" t="str">
        <f>IF(OR(E699="",E699="!!!"),"",IF(OR(J699=0,AND(J699=1,K699=1),AND(J699=1,I699="SBJ"),AND(J699=1,I699=0)),"?IN_FOCUS",IF(J699&lt;=2,"?ACTIVATED",IF(J699&lt;&gt;"","?FAMILIAR",IF(F699="NEW",IF(ISNA(VLOOKUP(E699,#REF!,1,FALSE())),"?TYPE_IDENTIFIABLE","?REFERENTIAL"),"_")))))</f>
        <v/>
      </c>
      <c r="H699" s="12" t="str">
        <f t="shared" si="27"/>
        <v/>
      </c>
    </row>
    <row r="700" spans="1:8" x14ac:dyDescent="0.35">
      <c r="A700" t="s">
        <v>58</v>
      </c>
      <c r="E700" s="9" t="str">
        <f t="shared" si="26"/>
        <v/>
      </c>
      <c r="F700" s="10" t="str">
        <f>IF(OR(E700="",E700="!!!"),"",IF(NOT(ISNA(VLOOKUP(E700,E$1:E699,1,FALSE()))),"OLD",IF(AND(E700&lt;&gt;"",E700&lt;&gt;"!!!"),"NEW","")))</f>
        <v/>
      </c>
      <c r="G700" s="11" t="str">
        <f>IF(OR(E700="",E700="!!!"),"",IF(OR(J700=0,AND(J700=1,K700=1),AND(J700=1,I700="SBJ"),AND(J700=1,I700=0)),"?IN_FOCUS",IF(J700&lt;=2,"?ACTIVATED",IF(J700&lt;&gt;"","?FAMILIAR",IF(F700="NEW",IF(ISNA(VLOOKUP(E700,#REF!,1,FALSE())),"?TYPE_IDENTIFIABLE","?REFERENTIAL"),"_")))))</f>
        <v/>
      </c>
      <c r="H700" s="12" t="str">
        <f t="shared" si="27"/>
        <v/>
      </c>
    </row>
    <row r="701" spans="1:8" x14ac:dyDescent="0.35">
      <c r="A701" t="s">
        <v>377</v>
      </c>
      <c r="E701" s="9" t="str">
        <f t="shared" si="26"/>
        <v/>
      </c>
      <c r="F701" s="10" t="str">
        <f>IF(OR(E701="",E701="!!!"),"",IF(NOT(ISNA(VLOOKUP(E701,E$1:E700,1,FALSE()))),"OLD",IF(AND(E701&lt;&gt;"",E701&lt;&gt;"!!!"),"NEW","")))</f>
        <v/>
      </c>
      <c r="G701" s="11" t="str">
        <f>IF(OR(E701="",E701="!!!"),"",IF(OR(J701=0,AND(J701=1,K701=1),AND(J701=1,I701="SBJ"),AND(J701=1,I701=0)),"?IN_FOCUS",IF(J701&lt;=2,"?ACTIVATED",IF(J701&lt;&gt;"","?FAMILIAR",IF(F701="NEW",IF(ISNA(VLOOKUP(E701,#REF!,1,FALSE())),"?TYPE_IDENTIFIABLE","?REFERENTIAL"),"_")))))</f>
        <v/>
      </c>
      <c r="H701" s="12" t="str">
        <f t="shared" si="27"/>
        <v/>
      </c>
    </row>
    <row r="702" spans="1:8" x14ac:dyDescent="0.35">
      <c r="A702" t="s">
        <v>373</v>
      </c>
      <c r="B702" t="s">
        <v>54</v>
      </c>
      <c r="C702" t="s">
        <v>99</v>
      </c>
      <c r="D702" t="s">
        <v>16</v>
      </c>
      <c r="E702" s="9" t="str">
        <f t="shared" si="26"/>
        <v>!!!</v>
      </c>
      <c r="F702" s="10" t="str">
        <f>IF(OR(E702="",E702="!!!"),"",IF(NOT(ISNA(VLOOKUP(E702,E$1:E701,1,FALSE()))),"OLD",IF(AND(E702&lt;&gt;"",E702&lt;&gt;"!!!"),"NEW","")))</f>
        <v/>
      </c>
      <c r="G702" s="11" t="str">
        <f>IF(OR(E702="",E702="!!!"),"",IF(OR(J702=0,AND(J702=1,K702=1),AND(J702=1,I702="SBJ"),AND(J702=1,I702=0)),"?IN_FOCUS",IF(J702&lt;=2,"?ACTIVATED",IF(J702&lt;&gt;"","?FAMILIAR",IF(F702="NEW",IF(ISNA(VLOOKUP(E702,#REF!,1,FALSE())),"?TYPE_IDENTIFIABLE","?REFERENTIAL"),"_")))))</f>
        <v/>
      </c>
      <c r="H702" s="12" t="str">
        <f t="shared" si="27"/>
        <v/>
      </c>
    </row>
    <row r="703" spans="1:8" x14ac:dyDescent="0.35">
      <c r="A703" t="s">
        <v>63</v>
      </c>
      <c r="E703" s="9" t="str">
        <f t="shared" si="26"/>
        <v/>
      </c>
      <c r="F703" s="10" t="str">
        <f>IF(OR(E703="",E703="!!!"),"",IF(NOT(ISNA(VLOOKUP(E703,E$1:E702,1,FALSE()))),"OLD",IF(AND(E703&lt;&gt;"",E703&lt;&gt;"!!!"),"NEW","")))</f>
        <v/>
      </c>
      <c r="G703" s="11" t="str">
        <f>IF(OR(E703="",E703="!!!"),"",IF(OR(J703=0,AND(J703=1,K703=1),AND(J703=1,I703="SBJ"),AND(J703=1,I703=0)),"?IN_FOCUS",IF(J703&lt;=2,"?ACTIVATED",IF(J703&lt;&gt;"","?FAMILIAR",IF(F703="NEW",IF(ISNA(VLOOKUP(E703,#REF!,1,FALSE())),"?TYPE_IDENTIFIABLE","?REFERENTIAL"),"_")))))</f>
        <v/>
      </c>
      <c r="H703" s="12" t="str">
        <f t="shared" si="27"/>
        <v/>
      </c>
    </row>
    <row r="704" spans="1:8" x14ac:dyDescent="0.35">
      <c r="A704" t="s">
        <v>246</v>
      </c>
      <c r="E704" s="9" t="str">
        <f t="shared" si="26"/>
        <v/>
      </c>
      <c r="F704" s="10" t="str">
        <f>IF(OR(E704="",E704="!!!"),"",IF(NOT(ISNA(VLOOKUP(E704,E$1:E703,1,FALSE()))),"OLD",IF(AND(E704&lt;&gt;"",E704&lt;&gt;"!!!"),"NEW","")))</f>
        <v/>
      </c>
      <c r="G704" s="11" t="str">
        <f>IF(OR(E704="",E704="!!!"),"",IF(OR(J704=0,AND(J704=1,K704=1),AND(J704=1,I704="SBJ"),AND(J704=1,I704=0)),"?IN_FOCUS",IF(J704&lt;=2,"?ACTIVATED",IF(J704&lt;&gt;"","?FAMILIAR",IF(F704="NEW",IF(ISNA(VLOOKUP(E704,#REF!,1,FALSE())),"?TYPE_IDENTIFIABLE","?REFERENTIAL"),"_")))))</f>
        <v/>
      </c>
      <c r="H704" s="12" t="str">
        <f t="shared" si="27"/>
        <v/>
      </c>
    </row>
    <row r="705" spans="1:8" x14ac:dyDescent="0.35">
      <c r="E705" s="9" t="str">
        <f t="shared" si="26"/>
        <v/>
      </c>
      <c r="F705" s="10" t="str">
        <f>IF(OR(E705="",E705="!!!"),"",IF(NOT(ISNA(VLOOKUP(E705,E$1:E704,1,FALSE()))),"OLD",IF(AND(E705&lt;&gt;"",E705&lt;&gt;"!!!"),"NEW","")))</f>
        <v/>
      </c>
      <c r="G705" s="11" t="str">
        <f>IF(OR(E705="",E705="!!!"),"",IF(OR(J705=0,AND(J705=1,K705=1),AND(J705=1,I705="SBJ"),AND(J705=1,I705=0)),"?IN_FOCUS",IF(J705&lt;=2,"?ACTIVATED",IF(J705&lt;&gt;"","?FAMILIAR",IF(F705="NEW",IF(ISNA(VLOOKUP(E705,#REF!,1,FALSE())),"?TYPE_IDENTIFIABLE","?REFERENTIAL"),"_")))))</f>
        <v/>
      </c>
      <c r="H705" s="12" t="str">
        <f t="shared" si="27"/>
        <v/>
      </c>
    </row>
    <row r="706" spans="1:8" x14ac:dyDescent="0.35">
      <c r="A706" t="s">
        <v>244</v>
      </c>
      <c r="E706" s="9" t="str">
        <f t="shared" si="26"/>
        <v/>
      </c>
      <c r="F706" s="10" t="str">
        <f>IF(OR(E706="",E706="!!!"),"",IF(NOT(ISNA(VLOOKUP(E706,E$1:E705,1,FALSE()))),"OLD",IF(AND(E706&lt;&gt;"",E706&lt;&gt;"!!!"),"NEW","")))</f>
        <v/>
      </c>
      <c r="G706" s="11" t="str">
        <f>IF(OR(E706="",E706="!!!"),"",IF(OR(J706=0,AND(J706=1,K706=1),AND(J706=1,I706="SBJ"),AND(J706=1,I706=0)),"?IN_FOCUS",IF(J706&lt;=2,"?ACTIVATED",IF(J706&lt;&gt;"","?FAMILIAR",IF(F706="NEW",IF(ISNA(VLOOKUP(E706,#REF!,1,FALSE())),"?TYPE_IDENTIFIABLE","?REFERENTIAL"),"_")))))</f>
        <v/>
      </c>
      <c r="H706" s="12" t="str">
        <f t="shared" si="27"/>
        <v/>
      </c>
    </row>
    <row r="707" spans="1:8" x14ac:dyDescent="0.35">
      <c r="A707" t="s">
        <v>378</v>
      </c>
      <c r="E707" s="9" t="str">
        <f t="shared" si="26"/>
        <v/>
      </c>
      <c r="F707" s="10" t="str">
        <f>IF(OR(E707="",E707="!!!"),"",IF(NOT(ISNA(VLOOKUP(E707,E$1:E706,1,FALSE()))),"OLD",IF(AND(E707&lt;&gt;"",E707&lt;&gt;"!!!"),"NEW","")))</f>
        <v/>
      </c>
      <c r="G707" s="11" t="str">
        <f>IF(OR(E707="",E707="!!!"),"",IF(OR(J707=0,AND(J707=1,K707=1),AND(J707=1,I707="SBJ"),AND(J707=1,I707=0)),"?IN_FOCUS",IF(J707&lt;=2,"?ACTIVATED",IF(J707&lt;&gt;"","?FAMILIAR",IF(F707="NEW",IF(ISNA(VLOOKUP(E707,#REF!,1,FALSE())),"?TYPE_IDENTIFIABLE","?REFERENTIAL"),"_")))))</f>
        <v/>
      </c>
      <c r="H707" s="12" t="str">
        <f t="shared" si="27"/>
        <v/>
      </c>
    </row>
    <row r="708" spans="1:8" x14ac:dyDescent="0.35">
      <c r="A708" t="s">
        <v>246</v>
      </c>
      <c r="E708" s="9" t="str">
        <f t="shared" si="26"/>
        <v/>
      </c>
      <c r="F708" s="10" t="str">
        <f>IF(OR(E708="",E708="!!!"),"",IF(NOT(ISNA(VLOOKUP(E708,E$1:E707,1,FALSE()))),"OLD",IF(AND(E708&lt;&gt;"",E708&lt;&gt;"!!!"),"NEW","")))</f>
        <v/>
      </c>
      <c r="G708" s="11" t="str">
        <f>IF(OR(E708="",E708="!!!"),"",IF(OR(J708=0,AND(J708=1,K708=1),AND(J708=1,I708="SBJ"),AND(J708=1,I708=0)),"?IN_FOCUS",IF(J708&lt;=2,"?ACTIVATED",IF(J708&lt;&gt;"","?FAMILIAR",IF(F708="NEW",IF(ISNA(VLOOKUP(E708,#REF!,1,FALSE())),"?TYPE_IDENTIFIABLE","?REFERENTIAL"),"_")))))</f>
        <v/>
      </c>
      <c r="H708" s="12" t="str">
        <f t="shared" si="27"/>
        <v/>
      </c>
    </row>
    <row r="709" spans="1:8" x14ac:dyDescent="0.35">
      <c r="A709" t="s">
        <v>379</v>
      </c>
      <c r="E709" s="9" t="str">
        <f t="shared" si="26"/>
        <v/>
      </c>
      <c r="F709" s="10" t="str">
        <f>IF(OR(E709="",E709="!!!"),"",IF(NOT(ISNA(VLOOKUP(E709,E$1:E708,1,FALSE()))),"OLD",IF(AND(E709&lt;&gt;"",E709&lt;&gt;"!!!"),"NEW","")))</f>
        <v/>
      </c>
      <c r="G709" s="11" t="str">
        <f>IF(OR(E709="",E709="!!!"),"",IF(OR(J709=0,AND(J709=1,K709=1),AND(J709=1,I709="SBJ"),AND(J709=1,I709=0)),"?IN_FOCUS",IF(J709&lt;=2,"?ACTIVATED",IF(J709&lt;&gt;"","?FAMILIAR",IF(F709="NEW",IF(ISNA(VLOOKUP(E709,#REF!,1,FALSE())),"?TYPE_IDENTIFIABLE","?REFERENTIAL"),"_")))))</f>
        <v/>
      </c>
      <c r="H709" s="12" t="str">
        <f t="shared" si="27"/>
        <v/>
      </c>
    </row>
    <row r="710" spans="1:8" x14ac:dyDescent="0.35">
      <c r="A710" t="s">
        <v>58</v>
      </c>
      <c r="E710" s="9" t="str">
        <f t="shared" si="26"/>
        <v/>
      </c>
      <c r="F710" s="10" t="str">
        <f>IF(OR(E710="",E710="!!!"),"",IF(NOT(ISNA(VLOOKUP(E710,E$1:E709,1,FALSE()))),"OLD",IF(AND(E710&lt;&gt;"",E710&lt;&gt;"!!!"),"NEW","")))</f>
        <v/>
      </c>
      <c r="G710" s="11" t="str">
        <f>IF(OR(E710="",E710="!!!"),"",IF(OR(J710=0,AND(J710=1,K710=1),AND(J710=1,I710="SBJ"),AND(J710=1,I710=0)),"?IN_FOCUS",IF(J710&lt;=2,"?ACTIVATED",IF(J710&lt;&gt;"","?FAMILIAR",IF(F710="NEW",IF(ISNA(VLOOKUP(E710,#REF!,1,FALSE())),"?TYPE_IDENTIFIABLE","?REFERENTIAL"),"_")))))</f>
        <v/>
      </c>
      <c r="H710" s="12" t="str">
        <f t="shared" si="27"/>
        <v/>
      </c>
    </row>
    <row r="711" spans="1:8" x14ac:dyDescent="0.35">
      <c r="A711" t="s">
        <v>28</v>
      </c>
      <c r="E711" s="9" t="str">
        <f t="shared" si="26"/>
        <v/>
      </c>
      <c r="F711" s="10" t="str">
        <f>IF(OR(E711="",E711="!!!"),"",IF(NOT(ISNA(VLOOKUP(E711,E$1:E710,1,FALSE()))),"OLD",IF(AND(E711&lt;&gt;"",E711&lt;&gt;"!!!"),"NEW","")))</f>
        <v/>
      </c>
      <c r="G711" s="11" t="str">
        <f>IF(OR(E711="",E711="!!!"),"",IF(OR(J711=0,AND(J711=1,K711=1),AND(J711=1,I711="SBJ"),AND(J711=1,I711=0)),"?IN_FOCUS",IF(J711&lt;=2,"?ACTIVATED",IF(J711&lt;&gt;"","?FAMILIAR",IF(F711="NEW",IF(ISNA(VLOOKUP(E711,#REF!,1,FALSE())),"?TYPE_IDENTIFIABLE","?REFERENTIAL"),"_")))))</f>
        <v/>
      </c>
      <c r="H711" s="12" t="str">
        <f t="shared" si="27"/>
        <v/>
      </c>
    </row>
    <row r="712" spans="1:8" x14ac:dyDescent="0.35">
      <c r="A712" t="s">
        <v>380</v>
      </c>
      <c r="B712" t="s">
        <v>54</v>
      </c>
      <c r="C712" t="s">
        <v>381</v>
      </c>
      <c r="D712" t="s">
        <v>16</v>
      </c>
      <c r="E712" s="9" t="str">
        <f t="shared" si="26"/>
        <v>!!!</v>
      </c>
      <c r="F712" s="10" t="str">
        <f>IF(OR(E712="",E712="!!!"),"",IF(NOT(ISNA(VLOOKUP(E712,E$1:E711,1,FALSE()))),"OLD",IF(AND(E712&lt;&gt;"",E712&lt;&gt;"!!!"),"NEW","")))</f>
        <v/>
      </c>
      <c r="G712" s="11" t="str">
        <f>IF(OR(E712="",E712="!!!"),"",IF(OR(J712=0,AND(J712=1,K712=1),AND(J712=1,I712="SBJ"),AND(J712=1,I712=0)),"?IN_FOCUS",IF(J712&lt;=2,"?ACTIVATED",IF(J712&lt;&gt;"","?FAMILIAR",IF(F712="NEW",IF(ISNA(VLOOKUP(E712,#REF!,1,FALSE())),"?TYPE_IDENTIFIABLE","?REFERENTIAL"),"_")))))</f>
        <v/>
      </c>
      <c r="H712" s="12" t="str">
        <f t="shared" si="27"/>
        <v/>
      </c>
    </row>
    <row r="713" spans="1:8" x14ac:dyDescent="0.35">
      <c r="A713" t="s">
        <v>26</v>
      </c>
      <c r="E713" s="9" t="str">
        <f t="shared" si="26"/>
        <v/>
      </c>
      <c r="F713" s="10" t="str">
        <f>IF(OR(E713="",E713="!!!"),"",IF(NOT(ISNA(VLOOKUP(E713,E$1:E712,1,FALSE()))),"OLD",IF(AND(E713&lt;&gt;"",E713&lt;&gt;"!!!"),"NEW","")))</f>
        <v/>
      </c>
      <c r="G713" s="11" t="str">
        <f>IF(OR(E713="",E713="!!!"),"",IF(OR(J713=0,AND(J713=1,K713=1),AND(J713=1,I713="SBJ"),AND(J713=1,I713=0)),"?IN_FOCUS",IF(J713&lt;=2,"?ACTIVATED",IF(J713&lt;&gt;"","?FAMILIAR",IF(F713="NEW",IF(ISNA(VLOOKUP(E713,#REF!,1,FALSE())),"?TYPE_IDENTIFIABLE","?REFERENTIAL"),"_")))))</f>
        <v/>
      </c>
      <c r="H713" s="12" t="str">
        <f t="shared" si="27"/>
        <v/>
      </c>
    </row>
    <row r="714" spans="1:8" x14ac:dyDescent="0.35">
      <c r="A714" t="s">
        <v>73</v>
      </c>
      <c r="B714" t="s">
        <v>36</v>
      </c>
      <c r="E714" s="9" t="str">
        <f t="shared" si="26"/>
        <v/>
      </c>
      <c r="F714" s="10" t="str">
        <f>IF(OR(E714="",E714="!!!"),"",IF(NOT(ISNA(VLOOKUP(E714,E$1:E713,1,FALSE()))),"OLD",IF(AND(E714&lt;&gt;"",E714&lt;&gt;"!!!"),"NEW","")))</f>
        <v/>
      </c>
      <c r="G714" s="11" t="str">
        <f>IF(OR(E714="",E714="!!!"),"",IF(OR(J714=0,AND(J714=1,K714=1),AND(J714=1,I714="SBJ"),AND(J714=1,I714=0)),"?IN_FOCUS",IF(J714&lt;=2,"?ACTIVATED",IF(J714&lt;&gt;"","?FAMILIAR",IF(F714="NEW",IF(ISNA(VLOOKUP(E714,#REF!,1,FALSE())),"?TYPE_IDENTIFIABLE","?REFERENTIAL"),"_")))))</f>
        <v/>
      </c>
      <c r="H714" s="12" t="str">
        <f t="shared" si="27"/>
        <v/>
      </c>
    </row>
    <row r="715" spans="1:8" x14ac:dyDescent="0.35">
      <c r="A715" t="s">
        <v>382</v>
      </c>
      <c r="E715" s="9" t="str">
        <f t="shared" si="26"/>
        <v/>
      </c>
      <c r="F715" s="10" t="str">
        <f>IF(OR(E715="",E715="!!!"),"",IF(NOT(ISNA(VLOOKUP(E715,E$1:E714,1,FALSE()))),"OLD",IF(AND(E715&lt;&gt;"",E715&lt;&gt;"!!!"),"NEW","")))</f>
        <v/>
      </c>
      <c r="G715" s="11" t="str">
        <f>IF(OR(E715="",E715="!!!"),"",IF(OR(J715=0,AND(J715=1,K715=1),AND(J715=1,I715="SBJ"),AND(J715=1,I715=0)),"?IN_FOCUS",IF(J715&lt;=2,"?ACTIVATED",IF(J715&lt;&gt;"","?FAMILIAR",IF(F715="NEW",IF(ISNA(VLOOKUP(E715,#REF!,1,FALSE())),"?TYPE_IDENTIFIABLE","?REFERENTIAL"),"_")))))</f>
        <v/>
      </c>
      <c r="H715" s="12" t="str">
        <f t="shared" si="27"/>
        <v/>
      </c>
    </row>
    <row r="716" spans="1:8" x14ac:dyDescent="0.35">
      <c r="A716" t="s">
        <v>117</v>
      </c>
      <c r="E716" s="9" t="str">
        <f t="shared" si="26"/>
        <v/>
      </c>
      <c r="F716" s="10" t="str">
        <f>IF(OR(E716="",E716="!!!"),"",IF(NOT(ISNA(VLOOKUP(E716,E$1:E715,1,FALSE()))),"OLD",IF(AND(E716&lt;&gt;"",E716&lt;&gt;"!!!"),"NEW","")))</f>
        <v/>
      </c>
      <c r="G716" s="11" t="str">
        <f>IF(OR(E716="",E716="!!!"),"",IF(OR(J716=0,AND(J716=1,K716=1),AND(J716=1,I716="SBJ"),AND(J716=1,I716=0)),"?IN_FOCUS",IF(J716&lt;=2,"?ACTIVATED",IF(J716&lt;&gt;"","?FAMILIAR",IF(F716="NEW",IF(ISNA(VLOOKUP(E716,#REF!,1,FALSE())),"?TYPE_IDENTIFIABLE","?REFERENTIAL"),"_")))))</f>
        <v/>
      </c>
      <c r="H716" s="12" t="str">
        <f t="shared" si="27"/>
        <v/>
      </c>
    </row>
    <row r="717" spans="1:8" x14ac:dyDescent="0.35">
      <c r="A717" t="s">
        <v>383</v>
      </c>
      <c r="E717" s="9" t="str">
        <f t="shared" si="26"/>
        <v/>
      </c>
      <c r="F717" s="10" t="str">
        <f>IF(OR(E717="",E717="!!!"),"",IF(NOT(ISNA(VLOOKUP(E717,E$1:E716,1,FALSE()))),"OLD",IF(AND(E717&lt;&gt;"",E717&lt;&gt;"!!!"),"NEW","")))</f>
        <v/>
      </c>
      <c r="G717" s="11" t="str">
        <f>IF(OR(E717="",E717="!!!"),"",IF(OR(J717=0,AND(J717=1,K717=1),AND(J717=1,I717="SBJ"),AND(J717=1,I717=0)),"?IN_FOCUS",IF(J717&lt;=2,"?ACTIVATED",IF(J717&lt;&gt;"","?FAMILIAR",IF(F717="NEW",IF(ISNA(VLOOKUP(E717,#REF!,1,FALSE())),"?TYPE_IDENTIFIABLE","?REFERENTIAL"),"_")))))</f>
        <v/>
      </c>
      <c r="H717" s="12" t="str">
        <f t="shared" si="27"/>
        <v/>
      </c>
    </row>
    <row r="718" spans="1:8" x14ac:dyDescent="0.35">
      <c r="A718" t="s">
        <v>251</v>
      </c>
      <c r="E718" s="9" t="str">
        <f t="shared" si="26"/>
        <v/>
      </c>
      <c r="F718" s="10" t="str">
        <f>IF(OR(E718="",E718="!!!"),"",IF(NOT(ISNA(VLOOKUP(E718,E$1:E717,1,FALSE()))),"OLD",IF(AND(E718&lt;&gt;"",E718&lt;&gt;"!!!"),"NEW","")))</f>
        <v/>
      </c>
      <c r="G718" s="11" t="str">
        <f>IF(OR(E718="",E718="!!!"),"",IF(OR(J718=0,AND(J718=1,K718=1),AND(J718=1,I718="SBJ"),AND(J718=1,I718=0)),"?IN_FOCUS",IF(J718&lt;=2,"?ACTIVATED",IF(J718&lt;&gt;"","?FAMILIAR",IF(F718="NEW",IF(ISNA(VLOOKUP(E718,#REF!,1,FALSE())),"?TYPE_IDENTIFIABLE","?REFERENTIAL"),"_")))))</f>
        <v/>
      </c>
      <c r="H718" s="12" t="str">
        <f t="shared" si="27"/>
        <v/>
      </c>
    </row>
    <row r="719" spans="1:8" x14ac:dyDescent="0.35">
      <c r="A719" t="s">
        <v>246</v>
      </c>
      <c r="E719" s="9" t="str">
        <f t="shared" si="26"/>
        <v/>
      </c>
      <c r="F719" s="10" t="str">
        <f>IF(OR(E719="",E719="!!!"),"",IF(NOT(ISNA(VLOOKUP(E719,E$1:E718,1,FALSE()))),"OLD",IF(AND(E719&lt;&gt;"",E719&lt;&gt;"!!!"),"NEW","")))</f>
        <v/>
      </c>
      <c r="G719" s="11" t="str">
        <f>IF(OR(E719="",E719="!!!"),"",IF(OR(J719=0,AND(J719=1,K719=1),AND(J719=1,I719="SBJ"),AND(J719=1,I719=0)),"?IN_FOCUS",IF(J719&lt;=2,"?ACTIVATED",IF(J719&lt;&gt;"","?FAMILIAR",IF(F719="NEW",IF(ISNA(VLOOKUP(E719,#REF!,1,FALSE())),"?TYPE_IDENTIFIABLE","?REFERENTIAL"),"_")))))</f>
        <v/>
      </c>
      <c r="H719" s="12" t="str">
        <f t="shared" si="27"/>
        <v/>
      </c>
    </row>
    <row r="720" spans="1:8" x14ac:dyDescent="0.35">
      <c r="E720" s="9" t="str">
        <f t="shared" si="26"/>
        <v/>
      </c>
      <c r="F720" s="10" t="str">
        <f>IF(OR(E720="",E720="!!!"),"",IF(NOT(ISNA(VLOOKUP(E720,E$1:E719,1,FALSE()))),"OLD",IF(AND(E720&lt;&gt;"",E720&lt;&gt;"!!!"),"NEW","")))</f>
        <v/>
      </c>
      <c r="G720" s="11" t="str">
        <f>IF(OR(E720="",E720="!!!"),"",IF(OR(J720=0,AND(J720=1,K720=1),AND(J720=1,I720="SBJ"),AND(J720=1,I720=0)),"?IN_FOCUS",IF(J720&lt;=2,"?ACTIVATED",IF(J720&lt;&gt;"","?FAMILIAR",IF(F720="NEW",IF(ISNA(VLOOKUP(E720,#REF!,1,FALSE())),"?TYPE_IDENTIFIABLE","?REFERENTIAL"),"_")))))</f>
        <v/>
      </c>
      <c r="H720" s="12" t="str">
        <f t="shared" si="27"/>
        <v/>
      </c>
    </row>
    <row r="721" spans="1:8" x14ac:dyDescent="0.35">
      <c r="A721" t="s">
        <v>244</v>
      </c>
      <c r="E721" s="9" t="str">
        <f t="shared" si="26"/>
        <v/>
      </c>
      <c r="F721" s="10" t="str">
        <f>IF(OR(E721="",E721="!!!"),"",IF(NOT(ISNA(VLOOKUP(E721,E$1:E720,1,FALSE()))),"OLD",IF(AND(E721&lt;&gt;"",E721&lt;&gt;"!!!"),"NEW","")))</f>
        <v/>
      </c>
      <c r="G721" s="11" t="str">
        <f>IF(OR(E721="",E721="!!!"),"",IF(OR(J721=0,AND(J721=1,K721=1),AND(J721=1,I721="SBJ"),AND(J721=1,I721=0)),"?IN_FOCUS",IF(J721&lt;=2,"?ACTIVATED",IF(J721&lt;&gt;"","?FAMILIAR",IF(F721="NEW",IF(ISNA(VLOOKUP(E721,#REF!,1,FALSE())),"?TYPE_IDENTIFIABLE","?REFERENTIAL"),"_")))))</f>
        <v/>
      </c>
      <c r="H721" s="12" t="str">
        <f t="shared" si="27"/>
        <v/>
      </c>
    </row>
    <row r="722" spans="1:8" x14ac:dyDescent="0.35">
      <c r="A722" t="s">
        <v>384</v>
      </c>
      <c r="E722" s="9" t="str">
        <f t="shared" si="26"/>
        <v/>
      </c>
      <c r="F722" s="10" t="str">
        <f>IF(OR(E722="",E722="!!!"),"",IF(NOT(ISNA(VLOOKUP(E722,E$1:E721,1,FALSE()))),"OLD",IF(AND(E722&lt;&gt;"",E722&lt;&gt;"!!!"),"NEW","")))</f>
        <v/>
      </c>
      <c r="G722" s="11" t="str">
        <f>IF(OR(E722="",E722="!!!"),"",IF(OR(J722=0,AND(J722=1,K722=1),AND(J722=1,I722="SBJ"),AND(J722=1,I722=0)),"?IN_FOCUS",IF(J722&lt;=2,"?ACTIVATED",IF(J722&lt;&gt;"","?FAMILIAR",IF(F722="NEW",IF(ISNA(VLOOKUP(E722,#REF!,1,FALSE())),"?TYPE_IDENTIFIABLE","?REFERENTIAL"),"_")))))</f>
        <v/>
      </c>
      <c r="H722" s="12" t="str">
        <f t="shared" si="27"/>
        <v/>
      </c>
    </row>
    <row r="723" spans="1:8" x14ac:dyDescent="0.35">
      <c r="A723" t="s">
        <v>246</v>
      </c>
      <c r="E723" s="9" t="str">
        <f t="shared" si="26"/>
        <v/>
      </c>
      <c r="F723" s="10" t="str">
        <f>IF(OR(E723="",E723="!!!"),"",IF(NOT(ISNA(VLOOKUP(E723,E$1:E722,1,FALSE()))),"OLD",IF(AND(E723&lt;&gt;"",E723&lt;&gt;"!!!"),"NEW","")))</f>
        <v/>
      </c>
      <c r="G723" s="11" t="str">
        <f>IF(OR(E723="",E723="!!!"),"",IF(OR(J723=0,AND(J723=1,K723=1),AND(J723=1,I723="SBJ"),AND(J723=1,I723=0)),"?IN_FOCUS",IF(J723&lt;=2,"?ACTIVATED",IF(J723&lt;&gt;"","?FAMILIAR",IF(F723="NEW",IF(ISNA(VLOOKUP(E723,#REF!,1,FALSE())),"?TYPE_IDENTIFIABLE","?REFERENTIAL"),"_")))))</f>
        <v/>
      </c>
      <c r="H723" s="12" t="str">
        <f t="shared" si="27"/>
        <v/>
      </c>
    </row>
    <row r="724" spans="1:8" x14ac:dyDescent="0.35">
      <c r="A724" t="s">
        <v>318</v>
      </c>
      <c r="B724" t="s">
        <v>14</v>
      </c>
      <c r="C724" t="s">
        <v>80</v>
      </c>
      <c r="D724" t="s">
        <v>16</v>
      </c>
      <c r="E724" s="9" t="str">
        <f t="shared" si="26"/>
        <v>!!!</v>
      </c>
      <c r="F724" s="10" t="str">
        <f>IF(OR(E724="",E724="!!!"),"",IF(NOT(ISNA(VLOOKUP(E724,E$1:E723,1,FALSE()))),"OLD",IF(AND(E724&lt;&gt;"",E724&lt;&gt;"!!!"),"NEW","")))</f>
        <v/>
      </c>
      <c r="G724" s="11" t="str">
        <f>IF(OR(E724="",E724="!!!"),"",IF(OR(J724=0,AND(J724=1,K724=1),AND(J724=1,I724="SBJ"),AND(J724=1,I724=0)),"?IN_FOCUS",IF(J724&lt;=2,"?ACTIVATED",IF(J724&lt;&gt;"","?FAMILIAR",IF(F724="NEW",IF(ISNA(VLOOKUP(E724,#REF!,1,FALSE())),"?TYPE_IDENTIFIABLE","?REFERENTIAL"),"_")))))</f>
        <v/>
      </c>
      <c r="H724" s="12" t="str">
        <f t="shared" si="27"/>
        <v/>
      </c>
    </row>
    <row r="725" spans="1:8" x14ac:dyDescent="0.35">
      <c r="A725" t="s">
        <v>319</v>
      </c>
      <c r="E725" s="9" t="str">
        <f t="shared" si="26"/>
        <v/>
      </c>
      <c r="F725" s="10" t="str">
        <f>IF(OR(E725="",E725="!!!"),"",IF(NOT(ISNA(VLOOKUP(E725,E$1:E724,1,FALSE()))),"OLD",IF(AND(E725&lt;&gt;"",E725&lt;&gt;"!!!"),"NEW","")))</f>
        <v/>
      </c>
      <c r="G725" s="11" t="str">
        <f>IF(OR(E725="",E725="!!!"),"",IF(OR(J725=0,AND(J725=1,K725=1),AND(J725=1,I725="SBJ"),AND(J725=1,I725=0)),"?IN_FOCUS",IF(J725&lt;=2,"?ACTIVATED",IF(J725&lt;&gt;"","?FAMILIAR",IF(F725="NEW",IF(ISNA(VLOOKUP(E725,#REF!,1,FALSE())),"?TYPE_IDENTIFIABLE","?REFERENTIAL"),"_")))))</f>
        <v/>
      </c>
      <c r="H725" s="12" t="str">
        <f t="shared" si="27"/>
        <v/>
      </c>
    </row>
    <row r="726" spans="1:8" x14ac:dyDescent="0.35">
      <c r="A726" t="s">
        <v>385</v>
      </c>
      <c r="E726" s="9" t="str">
        <f t="shared" si="26"/>
        <v/>
      </c>
      <c r="F726" s="10" t="str">
        <f>IF(OR(E726="",E726="!!!"),"",IF(NOT(ISNA(VLOOKUP(E726,E$1:E725,1,FALSE()))),"OLD",IF(AND(E726&lt;&gt;"",E726&lt;&gt;"!!!"),"NEW","")))</f>
        <v/>
      </c>
      <c r="G726" s="11" t="str">
        <f>IF(OR(E726="",E726="!!!"),"",IF(OR(J726=0,AND(J726=1,K726=1),AND(J726=1,I726="SBJ"),AND(J726=1,I726=0)),"?IN_FOCUS",IF(J726&lt;=2,"?ACTIVATED",IF(J726&lt;&gt;"","?FAMILIAR",IF(F726="NEW",IF(ISNA(VLOOKUP(E726,#REF!,1,FALSE())),"?TYPE_IDENTIFIABLE","?REFERENTIAL"),"_")))))</f>
        <v/>
      </c>
      <c r="H726" s="12" t="str">
        <f t="shared" si="27"/>
        <v/>
      </c>
    </row>
    <row r="727" spans="1:8" x14ac:dyDescent="0.35">
      <c r="A727" t="s">
        <v>58</v>
      </c>
      <c r="E727" s="9" t="str">
        <f t="shared" si="26"/>
        <v/>
      </c>
      <c r="F727" s="10" t="str">
        <f>IF(OR(E727="",E727="!!!"),"",IF(NOT(ISNA(VLOOKUP(E727,E$1:E726,1,FALSE()))),"OLD",IF(AND(E727&lt;&gt;"",E727&lt;&gt;"!!!"),"NEW","")))</f>
        <v/>
      </c>
      <c r="G727" s="11" t="str">
        <f>IF(OR(E727="",E727="!!!"),"",IF(OR(J727=0,AND(J727=1,K727=1),AND(J727=1,I727="SBJ"),AND(J727=1,I727=0)),"?IN_FOCUS",IF(J727&lt;=2,"?ACTIVATED",IF(J727&lt;&gt;"","?FAMILIAR",IF(F727="NEW",IF(ISNA(VLOOKUP(E727,#REF!,1,FALSE())),"?TYPE_IDENTIFIABLE","?REFERENTIAL"),"_")))))</f>
        <v/>
      </c>
      <c r="H727" s="12" t="str">
        <f t="shared" si="27"/>
        <v/>
      </c>
    </row>
    <row r="728" spans="1:8" x14ac:dyDescent="0.35">
      <c r="A728" t="s">
        <v>386</v>
      </c>
      <c r="E728" s="9" t="str">
        <f t="shared" si="26"/>
        <v/>
      </c>
      <c r="F728" s="10" t="str">
        <f>IF(OR(E728="",E728="!!!"),"",IF(NOT(ISNA(VLOOKUP(E728,E$1:E727,1,FALSE()))),"OLD",IF(AND(E728&lt;&gt;"",E728&lt;&gt;"!!!"),"NEW","")))</f>
        <v/>
      </c>
      <c r="G728" s="11" t="str">
        <f>IF(OR(E728="",E728="!!!"),"",IF(OR(J728=0,AND(J728=1,K728=1),AND(J728=1,I728="SBJ"),AND(J728=1,I728=0)),"?IN_FOCUS",IF(J728&lt;=2,"?ACTIVATED",IF(J728&lt;&gt;"","?FAMILIAR",IF(F728="NEW",IF(ISNA(VLOOKUP(E728,#REF!,1,FALSE())),"?TYPE_IDENTIFIABLE","?REFERENTIAL"),"_")))))</f>
        <v/>
      </c>
      <c r="H728" s="12" t="str">
        <f t="shared" si="27"/>
        <v/>
      </c>
    </row>
    <row r="729" spans="1:8" x14ac:dyDescent="0.35">
      <c r="A729" t="s">
        <v>262</v>
      </c>
      <c r="E729" s="9" t="str">
        <f t="shared" si="26"/>
        <v/>
      </c>
      <c r="F729" s="10" t="str">
        <f>IF(OR(E729="",E729="!!!"),"",IF(NOT(ISNA(VLOOKUP(E729,E$1:E728,1,FALSE()))),"OLD",IF(AND(E729&lt;&gt;"",E729&lt;&gt;"!!!"),"NEW","")))</f>
        <v/>
      </c>
      <c r="G729" s="11" t="str">
        <f>IF(OR(E729="",E729="!!!"),"",IF(OR(J729=0,AND(J729=1,K729=1),AND(J729=1,I729="SBJ"),AND(J729=1,I729=0)),"?IN_FOCUS",IF(J729&lt;=2,"?ACTIVATED",IF(J729&lt;&gt;"","?FAMILIAR",IF(F729="NEW",IF(ISNA(VLOOKUP(E729,#REF!,1,FALSE())),"?TYPE_IDENTIFIABLE","?REFERENTIAL"),"_")))))</f>
        <v/>
      </c>
      <c r="H729" s="12" t="str">
        <f t="shared" si="27"/>
        <v/>
      </c>
    </row>
    <row r="730" spans="1:8" x14ac:dyDescent="0.35">
      <c r="A730" t="s">
        <v>387</v>
      </c>
      <c r="B730" t="s">
        <v>54</v>
      </c>
      <c r="C730" t="s">
        <v>99</v>
      </c>
      <c r="D730" t="s">
        <v>16</v>
      </c>
      <c r="E730" s="9" t="str">
        <f t="shared" si="26"/>
        <v>!!!</v>
      </c>
      <c r="F730" s="10" t="str">
        <f>IF(OR(E730="",E730="!!!"),"",IF(NOT(ISNA(VLOOKUP(E730,E$1:E729,1,FALSE()))),"OLD",IF(AND(E730&lt;&gt;"",E730&lt;&gt;"!!!"),"NEW","")))</f>
        <v/>
      </c>
      <c r="G730" s="11" t="str">
        <f>IF(OR(E730="",E730="!!!"),"",IF(OR(J730=0,AND(J730=1,K730=1),AND(J730=1,I730="SBJ"),AND(J730=1,I730=0)),"?IN_FOCUS",IF(J730&lt;=2,"?ACTIVATED",IF(J730&lt;&gt;"","?FAMILIAR",IF(F730="NEW",IF(ISNA(VLOOKUP(E730,#REF!,1,FALSE())),"?TYPE_IDENTIFIABLE","?REFERENTIAL"),"_")))))</f>
        <v/>
      </c>
      <c r="H730" s="12" t="str">
        <f t="shared" si="27"/>
        <v/>
      </c>
    </row>
    <row r="731" spans="1:8" x14ac:dyDescent="0.35">
      <c r="A731" t="s">
        <v>63</v>
      </c>
      <c r="E731" s="9" t="str">
        <f t="shared" si="26"/>
        <v/>
      </c>
      <c r="F731" s="10" t="str">
        <f>IF(OR(E731="",E731="!!!"),"",IF(NOT(ISNA(VLOOKUP(E731,E$1:E730,1,FALSE()))),"OLD",IF(AND(E731&lt;&gt;"",E731&lt;&gt;"!!!"),"NEW","")))</f>
        <v/>
      </c>
      <c r="G731" s="11" t="str">
        <f>IF(OR(E731="",E731="!!!"),"",IF(OR(J731=0,AND(J731=1,K731=1),AND(J731=1,I731="SBJ"),AND(J731=1,I731=0)),"?IN_FOCUS",IF(J731&lt;=2,"?ACTIVATED",IF(J731&lt;&gt;"","?FAMILIAR",IF(F731="NEW",IF(ISNA(VLOOKUP(E731,#REF!,1,FALSE())),"?TYPE_IDENTIFIABLE","?REFERENTIAL"),"_")))))</f>
        <v/>
      </c>
      <c r="H731" s="12" t="str">
        <f t="shared" si="27"/>
        <v/>
      </c>
    </row>
    <row r="732" spans="1:8" x14ac:dyDescent="0.35">
      <c r="A732" t="s">
        <v>246</v>
      </c>
      <c r="E732" s="9" t="str">
        <f t="shared" si="26"/>
        <v/>
      </c>
      <c r="F732" s="10" t="str">
        <f>IF(OR(E732="",E732="!!!"),"",IF(NOT(ISNA(VLOOKUP(E732,E$1:E731,1,FALSE()))),"OLD",IF(AND(E732&lt;&gt;"",E732&lt;&gt;"!!!"),"NEW","")))</f>
        <v/>
      </c>
      <c r="G732" s="11" t="str">
        <f>IF(OR(E732="",E732="!!!"),"",IF(OR(J732=0,AND(J732=1,K732=1),AND(J732=1,I732="SBJ"),AND(J732=1,I732=0)),"?IN_FOCUS",IF(J732&lt;=2,"?ACTIVATED",IF(J732&lt;&gt;"","?FAMILIAR",IF(F732="NEW",IF(ISNA(VLOOKUP(E732,#REF!,1,FALSE())),"?TYPE_IDENTIFIABLE","?REFERENTIAL"),"_")))))</f>
        <v/>
      </c>
      <c r="H732" s="12" t="str">
        <f t="shared" si="27"/>
        <v/>
      </c>
    </row>
    <row r="733" spans="1:8" x14ac:dyDescent="0.35">
      <c r="E733" s="9" t="str">
        <f t="shared" si="26"/>
        <v/>
      </c>
      <c r="F733" s="10" t="str">
        <f>IF(OR(E733="",E733="!!!"),"",IF(NOT(ISNA(VLOOKUP(E733,E$1:E732,1,FALSE()))),"OLD",IF(AND(E733&lt;&gt;"",E733&lt;&gt;"!!!"),"NEW","")))</f>
        <v/>
      </c>
      <c r="G733" s="11" t="str">
        <f>IF(OR(E733="",E733="!!!"),"",IF(OR(J733=0,AND(J733=1,K733=1),AND(J733=1,I733="SBJ"),AND(J733=1,I733=0)),"?IN_FOCUS",IF(J733&lt;=2,"?ACTIVATED",IF(J733&lt;&gt;"","?FAMILIAR",IF(F733="NEW",IF(ISNA(VLOOKUP(E733,#REF!,1,FALSE())),"?TYPE_IDENTIFIABLE","?REFERENTIAL"),"_")))))</f>
        <v/>
      </c>
      <c r="H733" s="12" t="str">
        <f t="shared" si="27"/>
        <v/>
      </c>
    </row>
    <row r="734" spans="1:8" x14ac:dyDescent="0.35">
      <c r="A734" t="s">
        <v>244</v>
      </c>
      <c r="E734" s="9" t="str">
        <f t="shared" si="26"/>
        <v/>
      </c>
      <c r="F734" s="10" t="str">
        <f>IF(OR(E734="",E734="!!!"),"",IF(NOT(ISNA(VLOOKUP(E734,E$1:E733,1,FALSE()))),"OLD",IF(AND(E734&lt;&gt;"",E734&lt;&gt;"!!!"),"NEW","")))</f>
        <v/>
      </c>
      <c r="G734" s="11" t="str">
        <f>IF(OR(E734="",E734="!!!"),"",IF(OR(J734=0,AND(J734=1,K734=1),AND(J734=1,I734="SBJ"),AND(J734=1,I734=0)),"?IN_FOCUS",IF(J734&lt;=2,"?ACTIVATED",IF(J734&lt;&gt;"","?FAMILIAR",IF(F734="NEW",IF(ISNA(VLOOKUP(E734,#REF!,1,FALSE())),"?TYPE_IDENTIFIABLE","?REFERENTIAL"),"_")))))</f>
        <v/>
      </c>
      <c r="H734" s="12" t="str">
        <f t="shared" si="27"/>
        <v/>
      </c>
    </row>
    <row r="735" spans="1:8" x14ac:dyDescent="0.35">
      <c r="A735" t="s">
        <v>388</v>
      </c>
      <c r="E735" s="9" t="str">
        <f t="shared" si="26"/>
        <v/>
      </c>
      <c r="F735" s="10" t="str">
        <f>IF(OR(E735="",E735="!!!"),"",IF(NOT(ISNA(VLOOKUP(E735,E$1:E734,1,FALSE()))),"OLD",IF(AND(E735&lt;&gt;"",E735&lt;&gt;"!!!"),"NEW","")))</f>
        <v/>
      </c>
      <c r="G735" s="11" t="str">
        <f>IF(OR(E735="",E735="!!!"),"",IF(OR(J735=0,AND(J735=1,K735=1),AND(J735=1,I735="SBJ"),AND(J735=1,I735=0)),"?IN_FOCUS",IF(J735&lt;=2,"?ACTIVATED",IF(J735&lt;&gt;"","?FAMILIAR",IF(F735="NEW",IF(ISNA(VLOOKUP(E735,#REF!,1,FALSE())),"?TYPE_IDENTIFIABLE","?REFERENTIAL"),"_")))))</f>
        <v/>
      </c>
      <c r="H735" s="12" t="str">
        <f t="shared" si="27"/>
        <v/>
      </c>
    </row>
    <row r="736" spans="1:8" x14ac:dyDescent="0.35">
      <c r="A736" t="s">
        <v>246</v>
      </c>
      <c r="E736" s="9" t="str">
        <f t="shared" si="26"/>
        <v/>
      </c>
      <c r="F736" s="10" t="str">
        <f>IF(OR(E736="",E736="!!!"),"",IF(NOT(ISNA(VLOOKUP(E736,E$1:E735,1,FALSE()))),"OLD",IF(AND(E736&lt;&gt;"",E736&lt;&gt;"!!!"),"NEW","")))</f>
        <v/>
      </c>
      <c r="G736" s="11" t="str">
        <f>IF(OR(E736="",E736="!!!"),"",IF(OR(J736=0,AND(J736=1,K736=1),AND(J736=1,I736="SBJ"),AND(J736=1,I736=0)),"?IN_FOCUS",IF(J736&lt;=2,"?ACTIVATED",IF(J736&lt;&gt;"","?FAMILIAR",IF(F736="NEW",IF(ISNA(VLOOKUP(E736,#REF!,1,FALSE())),"?TYPE_IDENTIFIABLE","?REFERENTIAL"),"_")))))</f>
        <v/>
      </c>
      <c r="H736" s="12" t="str">
        <f t="shared" si="27"/>
        <v/>
      </c>
    </row>
    <row r="737" spans="1:8" x14ac:dyDescent="0.35">
      <c r="A737" t="s">
        <v>97</v>
      </c>
      <c r="E737" s="9" t="str">
        <f t="shared" si="26"/>
        <v/>
      </c>
      <c r="F737" s="10" t="str">
        <f>IF(OR(E737="",E737="!!!"),"",IF(NOT(ISNA(VLOOKUP(E737,E$1:E736,1,FALSE()))),"OLD",IF(AND(E737&lt;&gt;"",E737&lt;&gt;"!!!"),"NEW","")))</f>
        <v/>
      </c>
      <c r="G737" s="11" t="str">
        <f>IF(OR(E737="",E737="!!!"),"",IF(OR(J737=0,AND(J737=1,K737=1),AND(J737=1,I737="SBJ"),AND(J737=1,I737=0)),"?IN_FOCUS",IF(J737&lt;=2,"?ACTIVATED",IF(J737&lt;&gt;"","?FAMILIAR",IF(F737="NEW",IF(ISNA(VLOOKUP(E737,#REF!,1,FALSE())),"?TYPE_IDENTIFIABLE","?REFERENTIAL"),"_")))))</f>
        <v/>
      </c>
      <c r="H737" s="12" t="str">
        <f t="shared" si="27"/>
        <v/>
      </c>
    </row>
    <row r="738" spans="1:8" x14ac:dyDescent="0.35">
      <c r="A738" t="s">
        <v>389</v>
      </c>
      <c r="B738" t="s">
        <v>14</v>
      </c>
      <c r="C738" t="s">
        <v>99</v>
      </c>
      <c r="D738" t="s">
        <v>16</v>
      </c>
      <c r="E738" s="9" t="str">
        <f t="shared" si="26"/>
        <v>!!!</v>
      </c>
      <c r="F738" s="10" t="str">
        <f>IF(OR(E738="",E738="!!!"),"",IF(NOT(ISNA(VLOOKUP(E738,E$1:E737,1,FALSE()))),"OLD",IF(AND(E738&lt;&gt;"",E738&lt;&gt;"!!!"),"NEW","")))</f>
        <v/>
      </c>
      <c r="G738" s="11" t="str">
        <f>IF(OR(E738="",E738="!!!"),"",IF(OR(J738=0,AND(J738=1,K738=1),AND(J738=1,I738="SBJ"),AND(J738=1,I738=0)),"?IN_FOCUS",IF(J738&lt;=2,"?ACTIVATED",IF(J738&lt;&gt;"","?FAMILIAR",IF(F738="NEW",IF(ISNA(VLOOKUP(E738,#REF!,1,FALSE())),"?TYPE_IDENTIFIABLE","?REFERENTIAL"),"_")))))</f>
        <v/>
      </c>
      <c r="H738" s="12" t="str">
        <f t="shared" si="27"/>
        <v/>
      </c>
    </row>
    <row r="739" spans="1:8" x14ac:dyDescent="0.35">
      <c r="A739" t="s">
        <v>275</v>
      </c>
      <c r="E739" s="9" t="str">
        <f t="shared" si="26"/>
        <v/>
      </c>
      <c r="F739" s="10" t="str">
        <f>IF(OR(E739="",E739="!!!"),"",IF(NOT(ISNA(VLOOKUP(E739,E$1:E738,1,FALSE()))),"OLD",IF(AND(E739&lt;&gt;"",E739&lt;&gt;"!!!"),"NEW","")))</f>
        <v/>
      </c>
      <c r="G739" s="11" t="str">
        <f>IF(OR(E739="",E739="!!!"),"",IF(OR(J739=0,AND(J739=1,K739=1),AND(J739=1,I739="SBJ"),AND(J739=1,I739=0)),"?IN_FOCUS",IF(J739&lt;=2,"?ACTIVATED",IF(J739&lt;&gt;"","?FAMILIAR",IF(F739="NEW",IF(ISNA(VLOOKUP(E739,#REF!,1,FALSE())),"?TYPE_IDENTIFIABLE","?REFERENTIAL"),"_")))))</f>
        <v/>
      </c>
      <c r="H739" s="12" t="str">
        <f t="shared" si="27"/>
        <v/>
      </c>
    </row>
    <row r="740" spans="1:8" x14ac:dyDescent="0.35">
      <c r="A740" t="s">
        <v>225</v>
      </c>
      <c r="E740" s="9" t="str">
        <f t="shared" si="26"/>
        <v/>
      </c>
      <c r="F740" s="10" t="str">
        <f>IF(OR(E740="",E740="!!!"),"",IF(NOT(ISNA(VLOOKUP(E740,E$1:E739,1,FALSE()))),"OLD",IF(AND(E740&lt;&gt;"",E740&lt;&gt;"!!!"),"NEW","")))</f>
        <v/>
      </c>
      <c r="G740" s="11" t="str">
        <f>IF(OR(E740="",E740="!!!"),"",IF(OR(J740=0,AND(J740=1,K740=1),AND(J740=1,I740="SBJ"),AND(J740=1,I740=0)),"?IN_FOCUS",IF(J740&lt;=2,"?ACTIVATED",IF(J740&lt;&gt;"","?FAMILIAR",IF(F740="NEW",IF(ISNA(VLOOKUP(E740,#REF!,1,FALSE())),"?TYPE_IDENTIFIABLE","?REFERENTIAL"),"_")))))</f>
        <v/>
      </c>
      <c r="H740" s="12" t="str">
        <f t="shared" si="27"/>
        <v/>
      </c>
    </row>
    <row r="741" spans="1:8" x14ac:dyDescent="0.35">
      <c r="A741" t="s">
        <v>63</v>
      </c>
      <c r="E741" s="9" t="str">
        <f t="shared" si="26"/>
        <v/>
      </c>
      <c r="F741" s="10" t="str">
        <f>IF(OR(E741="",E741="!!!"),"",IF(NOT(ISNA(VLOOKUP(E741,E$1:E740,1,FALSE()))),"OLD",IF(AND(E741&lt;&gt;"",E741&lt;&gt;"!!!"),"NEW","")))</f>
        <v/>
      </c>
      <c r="G741" s="11" t="str">
        <f>IF(OR(E741="",E741="!!!"),"",IF(OR(J741=0,AND(J741=1,K741=1),AND(J741=1,I741="SBJ"),AND(J741=1,I741=0)),"?IN_FOCUS",IF(J741&lt;=2,"?ACTIVATED",IF(J741&lt;&gt;"","?FAMILIAR",IF(F741="NEW",IF(ISNA(VLOOKUP(E741,#REF!,1,FALSE())),"?TYPE_IDENTIFIABLE","?REFERENTIAL"),"_")))))</f>
        <v/>
      </c>
      <c r="H741" s="12" t="str">
        <f t="shared" si="27"/>
        <v/>
      </c>
    </row>
    <row r="742" spans="1:8" x14ac:dyDescent="0.35">
      <c r="E742" s="9" t="str">
        <f t="shared" si="26"/>
        <v/>
      </c>
      <c r="F742" s="10" t="str">
        <f>IF(OR(E742="",E742="!!!"),"",IF(NOT(ISNA(VLOOKUP(E742,E$1:E741,1,FALSE()))),"OLD",IF(AND(E742&lt;&gt;"",E742&lt;&gt;"!!!"),"NEW","")))</f>
        <v/>
      </c>
      <c r="G742" s="11" t="str">
        <f>IF(OR(E742="",E742="!!!"),"",IF(OR(J742=0,AND(J742=1,K742=1),AND(J742=1,I742="SBJ"),AND(J742=1,I742=0)),"?IN_FOCUS",IF(J742&lt;=2,"?ACTIVATED",IF(J742&lt;&gt;"","?FAMILIAR",IF(F742="NEW",IF(ISNA(VLOOKUP(E742,#REF!,1,FALSE())),"?TYPE_IDENTIFIABLE","?REFERENTIAL"),"_")))))</f>
        <v/>
      </c>
      <c r="H742" s="12" t="str">
        <f t="shared" si="27"/>
        <v/>
      </c>
    </row>
    <row r="743" spans="1:8" x14ac:dyDescent="0.35">
      <c r="A743" t="s">
        <v>390</v>
      </c>
      <c r="E743" s="9" t="str">
        <f t="shared" si="26"/>
        <v/>
      </c>
      <c r="F743" s="10" t="str">
        <f>IF(OR(E743="",E743="!!!"),"",IF(NOT(ISNA(VLOOKUP(E743,E$1:E742,1,FALSE()))),"OLD",IF(AND(E743&lt;&gt;"",E743&lt;&gt;"!!!"),"NEW","")))</f>
        <v/>
      </c>
      <c r="G743" s="11" t="str">
        <f>IF(OR(E743="",E743="!!!"),"",IF(OR(J743=0,AND(J743=1,K743=1),AND(J743=1,I743="SBJ"),AND(J743=1,I743=0)),"?IN_FOCUS",IF(J743&lt;=2,"?ACTIVATED",IF(J743&lt;&gt;"","?FAMILIAR",IF(F743="NEW",IF(ISNA(VLOOKUP(E743,#REF!,1,FALSE())),"?TYPE_IDENTIFIABLE","?REFERENTIAL"),"_")))))</f>
        <v/>
      </c>
      <c r="H743" s="12" t="str">
        <f t="shared" si="27"/>
        <v/>
      </c>
    </row>
    <row r="744" spans="1:8" x14ac:dyDescent="0.35">
      <c r="A744" t="s">
        <v>279</v>
      </c>
      <c r="B744" t="s">
        <v>14</v>
      </c>
      <c r="C744" t="s">
        <v>33</v>
      </c>
      <c r="D744" t="s">
        <v>16</v>
      </c>
      <c r="E744" s="9" t="str">
        <f t="shared" si="26"/>
        <v>!!!</v>
      </c>
      <c r="F744" s="10" t="str">
        <f>IF(OR(E744="",E744="!!!"),"",IF(NOT(ISNA(VLOOKUP(E744,E$1:E743,1,FALSE()))),"OLD",IF(AND(E744&lt;&gt;"",E744&lt;&gt;"!!!"),"NEW","")))</f>
        <v/>
      </c>
      <c r="G744" s="11" t="str">
        <f>IF(OR(E744="",E744="!!!"),"",IF(OR(J744=0,AND(J744=1,K744=1),AND(J744=1,I744="SBJ"),AND(J744=1,I744=0)),"?IN_FOCUS",IF(J744&lt;=2,"?ACTIVATED",IF(J744&lt;&gt;"","?FAMILIAR",IF(F744="NEW",IF(ISNA(VLOOKUP(E744,#REF!,1,FALSE())),"?TYPE_IDENTIFIABLE","?REFERENTIAL"),"_")))))</f>
        <v/>
      </c>
      <c r="H744" s="12" t="str">
        <f t="shared" si="27"/>
        <v/>
      </c>
    </row>
    <row r="745" spans="1:8" x14ac:dyDescent="0.35">
      <c r="A745" t="s">
        <v>391</v>
      </c>
      <c r="E745" s="9" t="str">
        <f t="shared" si="26"/>
        <v/>
      </c>
      <c r="F745" s="10" t="str">
        <f>IF(OR(E745="",E745="!!!"),"",IF(NOT(ISNA(VLOOKUP(E745,E$1:E744,1,FALSE()))),"OLD",IF(AND(E745&lt;&gt;"",E745&lt;&gt;"!!!"),"NEW","")))</f>
        <v/>
      </c>
      <c r="G745" s="11" t="str">
        <f>IF(OR(E745="",E745="!!!"),"",IF(OR(J745=0,AND(J745=1,K745=1),AND(J745=1,I745="SBJ"),AND(J745=1,I745=0)),"?IN_FOCUS",IF(J745&lt;=2,"?ACTIVATED",IF(J745&lt;&gt;"","?FAMILIAR",IF(F745="NEW",IF(ISNA(VLOOKUP(E745,#REF!,1,FALSE())),"?TYPE_IDENTIFIABLE","?REFERENTIAL"),"_")))))</f>
        <v/>
      </c>
      <c r="H745" s="12" t="str">
        <f t="shared" si="27"/>
        <v/>
      </c>
    </row>
    <row r="746" spans="1:8" x14ac:dyDescent="0.35">
      <c r="A746" t="s">
        <v>58</v>
      </c>
      <c r="E746" s="9" t="str">
        <f t="shared" si="26"/>
        <v/>
      </c>
      <c r="F746" s="10" t="str">
        <f>IF(OR(E746="",E746="!!!"),"",IF(NOT(ISNA(VLOOKUP(E746,E$1:E745,1,FALSE()))),"OLD",IF(AND(E746&lt;&gt;"",E746&lt;&gt;"!!!"),"NEW","")))</f>
        <v/>
      </c>
      <c r="G746" s="11" t="str">
        <f>IF(OR(E746="",E746="!!!"),"",IF(OR(J746=0,AND(J746=1,K746=1),AND(J746=1,I746="SBJ"),AND(J746=1,I746=0)),"?IN_FOCUS",IF(J746&lt;=2,"?ACTIVATED",IF(J746&lt;&gt;"","?FAMILIAR",IF(F746="NEW",IF(ISNA(VLOOKUP(E746,#REF!,1,FALSE())),"?TYPE_IDENTIFIABLE","?REFERENTIAL"),"_")))))</f>
        <v/>
      </c>
      <c r="H746" s="12" t="str">
        <f t="shared" si="27"/>
        <v/>
      </c>
    </row>
    <row r="747" spans="1:8" x14ac:dyDescent="0.35">
      <c r="A747" t="s">
        <v>392</v>
      </c>
      <c r="B747" t="s">
        <v>32</v>
      </c>
      <c r="C747" t="s">
        <v>99</v>
      </c>
      <c r="D747" t="s">
        <v>16</v>
      </c>
      <c r="E747" s="9" t="str">
        <f t="shared" si="26"/>
        <v>!!!</v>
      </c>
      <c r="F747" s="10" t="str">
        <f>IF(OR(E747="",E747="!!!"),"",IF(NOT(ISNA(VLOOKUP(E747,E$1:E746,1,FALSE()))),"OLD",IF(AND(E747&lt;&gt;"",E747&lt;&gt;"!!!"),"NEW","")))</f>
        <v/>
      </c>
      <c r="G747" s="11" t="str">
        <f>IF(OR(E747="",E747="!!!"),"",IF(OR(J747=0,AND(J747=1,K747=1),AND(J747=1,I747="SBJ"),AND(J747=1,I747=0)),"?IN_FOCUS",IF(J747&lt;=2,"?ACTIVATED",IF(J747&lt;&gt;"","?FAMILIAR",IF(F747="NEW",IF(ISNA(VLOOKUP(E747,#REF!,1,FALSE())),"?TYPE_IDENTIFIABLE","?REFERENTIAL"),"_")))))</f>
        <v/>
      </c>
      <c r="H747" s="12" t="str">
        <f t="shared" si="27"/>
        <v/>
      </c>
    </row>
    <row r="748" spans="1:8" x14ac:dyDescent="0.35">
      <c r="A748" t="s">
        <v>17</v>
      </c>
      <c r="E748" s="9" t="str">
        <f t="shared" si="26"/>
        <v/>
      </c>
      <c r="F748" s="10" t="str">
        <f>IF(OR(E748="",E748="!!!"),"",IF(NOT(ISNA(VLOOKUP(E748,E$1:E747,1,FALSE()))),"OLD",IF(AND(E748&lt;&gt;"",E748&lt;&gt;"!!!"),"NEW","")))</f>
        <v/>
      </c>
      <c r="G748" s="11" t="str">
        <f>IF(OR(E748="",E748="!!!"),"",IF(OR(J748=0,AND(J748=1,K748=1),AND(J748=1,I748="SBJ"),AND(J748=1,I748=0)),"?IN_FOCUS",IF(J748&lt;=2,"?ACTIVATED",IF(J748&lt;&gt;"","?FAMILIAR",IF(F748="NEW",IF(ISNA(VLOOKUP(E748,#REF!,1,FALSE())),"?TYPE_IDENTIFIABLE","?REFERENTIAL"),"_")))))</f>
        <v/>
      </c>
      <c r="H748" s="12" t="str">
        <f t="shared" si="27"/>
        <v/>
      </c>
    </row>
    <row r="749" spans="1:8" x14ac:dyDescent="0.35">
      <c r="A749" t="s">
        <v>58</v>
      </c>
      <c r="E749" s="9" t="str">
        <f t="shared" si="26"/>
        <v/>
      </c>
      <c r="F749" s="10" t="str">
        <f>IF(OR(E749="",E749="!!!"),"",IF(NOT(ISNA(VLOOKUP(E749,E$1:E748,1,FALSE()))),"OLD",IF(AND(E749&lt;&gt;"",E749&lt;&gt;"!!!"),"NEW","")))</f>
        <v/>
      </c>
      <c r="G749" s="11" t="str">
        <f>IF(OR(E749="",E749="!!!"),"",IF(OR(J749=0,AND(J749=1,K749=1),AND(J749=1,I749="SBJ"),AND(J749=1,I749=0)),"?IN_FOCUS",IF(J749&lt;=2,"?ACTIVATED",IF(J749&lt;&gt;"","?FAMILIAR",IF(F749="NEW",IF(ISNA(VLOOKUP(E749,#REF!,1,FALSE())),"?TYPE_IDENTIFIABLE","?REFERENTIAL"),"_")))))</f>
        <v/>
      </c>
      <c r="H749" s="12" t="str">
        <f t="shared" si="27"/>
        <v/>
      </c>
    </row>
    <row r="750" spans="1:8" x14ac:dyDescent="0.35">
      <c r="A750" t="s">
        <v>393</v>
      </c>
      <c r="E750" s="9" t="str">
        <f t="shared" si="26"/>
        <v/>
      </c>
      <c r="F750" s="10" t="str">
        <f>IF(OR(E750="",E750="!!!"),"",IF(NOT(ISNA(VLOOKUP(E750,E$1:E749,1,FALSE()))),"OLD",IF(AND(E750&lt;&gt;"",E750&lt;&gt;"!!!"),"NEW","")))</f>
        <v/>
      </c>
      <c r="G750" s="11" t="str">
        <f>IF(OR(E750="",E750="!!!"),"",IF(OR(J750=0,AND(J750=1,K750=1),AND(J750=1,I750="SBJ"),AND(J750=1,I750=0)),"?IN_FOCUS",IF(J750&lt;=2,"?ACTIVATED",IF(J750&lt;&gt;"","?FAMILIAR",IF(F750="NEW",IF(ISNA(VLOOKUP(E750,#REF!,1,FALSE())),"?TYPE_IDENTIFIABLE","?REFERENTIAL"),"_")))))</f>
        <v/>
      </c>
      <c r="H750" s="12" t="str">
        <f t="shared" si="27"/>
        <v/>
      </c>
    </row>
    <row r="751" spans="1:8" x14ac:dyDescent="0.35">
      <c r="A751" t="s">
        <v>394</v>
      </c>
      <c r="E751" s="9" t="str">
        <f t="shared" si="26"/>
        <v/>
      </c>
      <c r="F751" s="10" t="str">
        <f>IF(OR(E751="",E751="!!!"),"",IF(NOT(ISNA(VLOOKUP(E751,E$1:E750,1,FALSE()))),"OLD",IF(AND(E751&lt;&gt;"",E751&lt;&gt;"!!!"),"NEW","")))</f>
        <v/>
      </c>
      <c r="G751" s="11" t="str">
        <f>IF(OR(E751="",E751="!!!"),"",IF(OR(J751=0,AND(J751=1,K751=1),AND(J751=1,I751="SBJ"),AND(J751=1,I751=0)),"?IN_FOCUS",IF(J751&lt;=2,"?ACTIVATED",IF(J751&lt;&gt;"","?FAMILIAR",IF(F751="NEW",IF(ISNA(VLOOKUP(E751,#REF!,1,FALSE())),"?TYPE_IDENTIFIABLE","?REFERENTIAL"),"_")))))</f>
        <v/>
      </c>
      <c r="H751" s="12" t="str">
        <f t="shared" si="27"/>
        <v/>
      </c>
    </row>
    <row r="752" spans="1:8" x14ac:dyDescent="0.35">
      <c r="A752" t="s">
        <v>63</v>
      </c>
      <c r="E752" s="9" t="str">
        <f t="shared" si="26"/>
        <v/>
      </c>
      <c r="F752" s="10" t="str">
        <f>IF(OR(E752="",E752="!!!"),"",IF(NOT(ISNA(VLOOKUP(E752,E$1:E751,1,FALSE()))),"OLD",IF(AND(E752&lt;&gt;"",E752&lt;&gt;"!!!"),"NEW","")))</f>
        <v/>
      </c>
      <c r="G752" s="11" t="str">
        <f>IF(OR(E752="",E752="!!!"),"",IF(OR(J752=0,AND(J752=1,K752=1),AND(J752=1,I752="SBJ"),AND(J752=1,I752=0)),"?IN_FOCUS",IF(J752&lt;=2,"?ACTIVATED",IF(J752&lt;&gt;"","?FAMILIAR",IF(F752="NEW",IF(ISNA(VLOOKUP(E752,#REF!,1,FALSE())),"?TYPE_IDENTIFIABLE","?REFERENTIAL"),"_")))))</f>
        <v/>
      </c>
      <c r="H752" s="12" t="str">
        <f t="shared" si="27"/>
        <v/>
      </c>
    </row>
    <row r="753" spans="1:8" x14ac:dyDescent="0.35">
      <c r="E753" s="9" t="str">
        <f t="shared" si="26"/>
        <v/>
      </c>
      <c r="F753" s="10" t="str">
        <f>IF(OR(E753="",E753="!!!"),"",IF(NOT(ISNA(VLOOKUP(E753,E$1:E752,1,FALSE()))),"OLD",IF(AND(E753&lt;&gt;"",E753&lt;&gt;"!!!"),"NEW","")))</f>
        <v/>
      </c>
      <c r="G753" s="11" t="str">
        <f>IF(OR(E753="",E753="!!!"),"",IF(OR(J753=0,AND(J753=1,K753=1),AND(J753=1,I753="SBJ"),AND(J753=1,I753=0)),"?IN_FOCUS",IF(J753&lt;=2,"?ACTIVATED",IF(J753&lt;&gt;"","?FAMILIAR",IF(F753="NEW",IF(ISNA(VLOOKUP(E753,#REF!,1,FALSE())),"?TYPE_IDENTIFIABLE","?REFERENTIAL"),"_")))))</f>
        <v/>
      </c>
      <c r="H753" s="12" t="str">
        <f t="shared" si="27"/>
        <v/>
      </c>
    </row>
    <row r="754" spans="1:8" x14ac:dyDescent="0.35">
      <c r="A754" t="s">
        <v>244</v>
      </c>
      <c r="E754" s="9" t="str">
        <f t="shared" si="26"/>
        <v/>
      </c>
      <c r="F754" s="10" t="str">
        <f>IF(OR(E754="",E754="!!!"),"",IF(NOT(ISNA(VLOOKUP(E754,E$1:E753,1,FALSE()))),"OLD",IF(AND(E754&lt;&gt;"",E754&lt;&gt;"!!!"),"NEW","")))</f>
        <v/>
      </c>
      <c r="G754" s="11" t="str">
        <f>IF(OR(E754="",E754="!!!"),"",IF(OR(J754=0,AND(J754=1,K754=1),AND(J754=1,I754="SBJ"),AND(J754=1,I754=0)),"?IN_FOCUS",IF(J754&lt;=2,"?ACTIVATED",IF(J754&lt;&gt;"","?FAMILIAR",IF(F754="NEW",IF(ISNA(VLOOKUP(E754,#REF!,1,FALSE())),"?TYPE_IDENTIFIABLE","?REFERENTIAL"),"_")))))</f>
        <v/>
      </c>
      <c r="H754" s="12" t="str">
        <f t="shared" si="27"/>
        <v/>
      </c>
    </row>
    <row r="755" spans="1:8" x14ac:dyDescent="0.35">
      <c r="A755" t="s">
        <v>395</v>
      </c>
      <c r="E755" s="9" t="str">
        <f t="shared" si="26"/>
        <v/>
      </c>
      <c r="F755" s="10" t="str">
        <f>IF(OR(E755="",E755="!!!"),"",IF(NOT(ISNA(VLOOKUP(E755,E$1:E754,1,FALSE()))),"OLD",IF(AND(E755&lt;&gt;"",E755&lt;&gt;"!!!"),"NEW","")))</f>
        <v/>
      </c>
      <c r="G755" s="11" t="str">
        <f>IF(OR(E755="",E755="!!!"),"",IF(OR(J755=0,AND(J755=1,K755=1),AND(J755=1,I755="SBJ"),AND(J755=1,I755=0)),"?IN_FOCUS",IF(J755&lt;=2,"?ACTIVATED",IF(J755&lt;&gt;"","?FAMILIAR",IF(F755="NEW",IF(ISNA(VLOOKUP(E755,#REF!,1,FALSE())),"?TYPE_IDENTIFIABLE","?REFERENTIAL"),"_")))))</f>
        <v/>
      </c>
      <c r="H755" s="12" t="str">
        <f t="shared" si="27"/>
        <v/>
      </c>
    </row>
    <row r="756" spans="1:8" x14ac:dyDescent="0.35">
      <c r="A756" t="s">
        <v>396</v>
      </c>
      <c r="E756" s="9" t="str">
        <f t="shared" si="26"/>
        <v/>
      </c>
      <c r="F756" s="10" t="str">
        <f>IF(OR(E756="",E756="!!!"),"",IF(NOT(ISNA(VLOOKUP(E756,E$1:E755,1,FALSE()))),"OLD",IF(AND(E756&lt;&gt;"",E756&lt;&gt;"!!!"),"NEW","")))</f>
        <v/>
      </c>
      <c r="G756" s="11" t="str">
        <f>IF(OR(E756="",E756="!!!"),"",IF(OR(J756=0,AND(J756=1,K756=1),AND(J756=1,I756="SBJ"),AND(J756=1,I756=0)),"?IN_FOCUS",IF(J756&lt;=2,"?ACTIVATED",IF(J756&lt;&gt;"","?FAMILIAR",IF(F756="NEW",IF(ISNA(VLOOKUP(E756,#REF!,1,FALSE())),"?TYPE_IDENTIFIABLE","?REFERENTIAL"),"_")))))</f>
        <v/>
      </c>
      <c r="H756" s="12" t="str">
        <f t="shared" si="27"/>
        <v/>
      </c>
    </row>
    <row r="757" spans="1:8" x14ac:dyDescent="0.35">
      <c r="A757" t="s">
        <v>397</v>
      </c>
      <c r="E757" s="9" t="str">
        <f t="shared" si="26"/>
        <v/>
      </c>
      <c r="F757" s="10" t="str">
        <f>IF(OR(E757="",E757="!!!"),"",IF(NOT(ISNA(VLOOKUP(E757,E$1:E756,1,FALSE()))),"OLD",IF(AND(E757&lt;&gt;"",E757&lt;&gt;"!!!"),"NEW","")))</f>
        <v/>
      </c>
      <c r="G757" s="11" t="str">
        <f>IF(OR(E757="",E757="!!!"),"",IF(OR(J757=0,AND(J757=1,K757=1),AND(J757=1,I757="SBJ"),AND(J757=1,I757=0)),"?IN_FOCUS",IF(J757&lt;=2,"?ACTIVATED",IF(J757&lt;&gt;"","?FAMILIAR",IF(F757="NEW",IF(ISNA(VLOOKUP(E757,#REF!,1,FALSE())),"?TYPE_IDENTIFIABLE","?REFERENTIAL"),"_")))))</f>
        <v/>
      </c>
      <c r="H757" s="12" t="str">
        <f t="shared" si="27"/>
        <v/>
      </c>
    </row>
    <row r="758" spans="1:8" x14ac:dyDescent="0.35">
      <c r="A758" t="s">
        <v>398</v>
      </c>
      <c r="E758" s="9" t="str">
        <f t="shared" si="26"/>
        <v/>
      </c>
      <c r="F758" s="10" t="str">
        <f>IF(OR(E758="",E758="!!!"),"",IF(NOT(ISNA(VLOOKUP(E758,E$1:E757,1,FALSE()))),"OLD",IF(AND(E758&lt;&gt;"",E758&lt;&gt;"!!!"),"NEW","")))</f>
        <v/>
      </c>
      <c r="G758" s="11" t="str">
        <f>IF(OR(E758="",E758="!!!"),"",IF(OR(J758=0,AND(J758=1,K758=1),AND(J758=1,I758="SBJ"),AND(J758=1,I758=0)),"?IN_FOCUS",IF(J758&lt;=2,"?ACTIVATED",IF(J758&lt;&gt;"","?FAMILIAR",IF(F758="NEW",IF(ISNA(VLOOKUP(E758,#REF!,1,FALSE())),"?TYPE_IDENTIFIABLE","?REFERENTIAL"),"_")))))</f>
        <v/>
      </c>
      <c r="H758" s="12" t="str">
        <f t="shared" si="27"/>
        <v/>
      </c>
    </row>
    <row r="759" spans="1:8" x14ac:dyDescent="0.35">
      <c r="A759" t="s">
        <v>76</v>
      </c>
      <c r="E759" s="9" t="str">
        <f t="shared" ref="E759:E822" si="28">IF(D759="?OLD","!!!","")</f>
        <v/>
      </c>
      <c r="F759" s="10" t="str">
        <f>IF(OR(E759="",E759="!!!"),"",IF(NOT(ISNA(VLOOKUP(E759,E$1:E758,1,FALSE()))),"OLD",IF(AND(E759&lt;&gt;"",E759&lt;&gt;"!!!"),"NEW","")))</f>
        <v/>
      </c>
      <c r="G759" s="11" t="str">
        <f>IF(OR(E759="",E759="!!!"),"",IF(OR(J759=0,AND(J759=1,K759=1),AND(J759=1,I759="SBJ"),AND(J759=1,I759=0)),"?IN_FOCUS",IF(J759&lt;=2,"?ACTIVATED",IF(J759&lt;&gt;"","?FAMILIAR",IF(F759="NEW",IF(ISNA(VLOOKUP(E759,#REF!,1,FALSE())),"?TYPE_IDENTIFIABLE","?REFERENTIAL"),"_")))))</f>
        <v/>
      </c>
      <c r="H759" s="12" t="str">
        <f t="shared" ref="H759:H822" si="29">IF(J759&lt;&gt;1,"",IF(I759="SBJ","CB","?"))</f>
        <v/>
      </c>
    </row>
    <row r="760" spans="1:8" x14ac:dyDescent="0.35">
      <c r="A760" t="s">
        <v>314</v>
      </c>
      <c r="E760" s="9" t="str">
        <f t="shared" si="28"/>
        <v/>
      </c>
      <c r="F760" s="10" t="str">
        <f>IF(OR(E760="",E760="!!!"),"",IF(NOT(ISNA(VLOOKUP(E760,E$1:E759,1,FALSE()))),"OLD",IF(AND(E760&lt;&gt;"",E760&lt;&gt;"!!!"),"NEW","")))</f>
        <v/>
      </c>
      <c r="G760" s="11" t="str">
        <f>IF(OR(E760="",E760="!!!"),"",IF(OR(J760=0,AND(J760=1,K760=1),AND(J760=1,I760="SBJ"),AND(J760=1,I760=0)),"?IN_FOCUS",IF(J760&lt;=2,"?ACTIVATED",IF(J760&lt;&gt;"","?FAMILIAR",IF(F760="NEW",IF(ISNA(VLOOKUP(E760,#REF!,1,FALSE())),"?TYPE_IDENTIFIABLE","?REFERENTIAL"),"_")))))</f>
        <v/>
      </c>
      <c r="H760" s="12" t="str">
        <f t="shared" si="29"/>
        <v/>
      </c>
    </row>
    <row r="761" spans="1:8" x14ac:dyDescent="0.35">
      <c r="A761" t="s">
        <v>147</v>
      </c>
      <c r="B761" t="s">
        <v>95</v>
      </c>
      <c r="C761" t="s">
        <v>148</v>
      </c>
      <c r="E761" s="9" t="str">
        <f t="shared" si="28"/>
        <v/>
      </c>
      <c r="F761" s="10" t="str">
        <f>IF(OR(E761="",E761="!!!"),"",IF(NOT(ISNA(VLOOKUP(E761,E$1:E760,1,FALSE()))),"OLD",IF(AND(E761&lt;&gt;"",E761&lt;&gt;"!!!"),"NEW","")))</f>
        <v/>
      </c>
      <c r="G761" s="11" t="str">
        <f>IF(OR(E761="",E761="!!!"),"",IF(OR(J761=0,AND(J761=1,K761=1),AND(J761=1,I761="SBJ"),AND(J761=1,I761=0)),"?IN_FOCUS",IF(J761&lt;=2,"?ACTIVATED",IF(J761&lt;&gt;"","?FAMILIAR",IF(F761="NEW",IF(ISNA(VLOOKUP(E761,#REF!,1,FALSE())),"?TYPE_IDENTIFIABLE","?REFERENTIAL"),"_")))))</f>
        <v/>
      </c>
      <c r="H761" s="12" t="str">
        <f t="shared" si="29"/>
        <v/>
      </c>
    </row>
    <row r="762" spans="1:8" x14ac:dyDescent="0.35">
      <c r="A762" t="s">
        <v>376</v>
      </c>
      <c r="B762" t="s">
        <v>41</v>
      </c>
      <c r="C762" t="s">
        <v>33</v>
      </c>
      <c r="D762" t="s">
        <v>16</v>
      </c>
      <c r="E762" s="9" t="str">
        <f t="shared" si="28"/>
        <v>!!!</v>
      </c>
      <c r="F762" s="10" t="str">
        <f>IF(OR(E762="",E762="!!!"),"",IF(NOT(ISNA(VLOOKUP(E762,E$1:E761,1,FALSE()))),"OLD",IF(AND(E762&lt;&gt;"",E762&lt;&gt;"!!!"),"NEW","")))</f>
        <v/>
      </c>
      <c r="G762" s="11" t="str">
        <f>IF(OR(E762="",E762="!!!"),"",IF(OR(J762=0,AND(J762=1,K762=1),AND(J762=1,I762="SBJ"),AND(J762=1,I762=0)),"?IN_FOCUS",IF(J762&lt;=2,"?ACTIVATED",IF(J762&lt;&gt;"","?FAMILIAR",IF(F762="NEW",IF(ISNA(VLOOKUP(E762,#REF!,1,FALSE())),"?TYPE_IDENTIFIABLE","?REFERENTIAL"),"_")))))</f>
        <v/>
      </c>
      <c r="H762" s="12" t="str">
        <f t="shared" si="29"/>
        <v/>
      </c>
    </row>
    <row r="763" spans="1:8" x14ac:dyDescent="0.35">
      <c r="A763" t="s">
        <v>275</v>
      </c>
      <c r="E763" s="9" t="str">
        <f t="shared" si="28"/>
        <v/>
      </c>
      <c r="F763" s="10" t="str">
        <f>IF(OR(E763="",E763="!!!"),"",IF(NOT(ISNA(VLOOKUP(E763,E$1:E762,1,FALSE()))),"OLD",IF(AND(E763&lt;&gt;"",E763&lt;&gt;"!!!"),"NEW","")))</f>
        <v/>
      </c>
      <c r="G763" s="11" t="str">
        <f>IF(OR(E763="",E763="!!!"),"",IF(OR(J763=0,AND(J763=1,K763=1),AND(J763=1,I763="SBJ"),AND(J763=1,I763=0)),"?IN_FOCUS",IF(J763&lt;=2,"?ACTIVATED",IF(J763&lt;&gt;"","?FAMILIAR",IF(F763="NEW",IF(ISNA(VLOOKUP(E763,#REF!,1,FALSE())),"?TYPE_IDENTIFIABLE","?REFERENTIAL"),"_")))))</f>
        <v/>
      </c>
      <c r="H763" s="12" t="str">
        <f t="shared" si="29"/>
        <v/>
      </c>
    </row>
    <row r="764" spans="1:8" x14ac:dyDescent="0.35">
      <c r="A764" t="s">
        <v>399</v>
      </c>
      <c r="E764" s="9" t="str">
        <f t="shared" si="28"/>
        <v/>
      </c>
      <c r="F764" s="10" t="str">
        <f>IF(OR(E764="",E764="!!!"),"",IF(NOT(ISNA(VLOOKUP(E764,E$1:E763,1,FALSE()))),"OLD",IF(AND(E764&lt;&gt;"",E764&lt;&gt;"!!!"),"NEW","")))</f>
        <v/>
      </c>
      <c r="G764" s="11" t="str">
        <f>IF(OR(E764="",E764="!!!"),"",IF(OR(J764=0,AND(J764=1,K764=1),AND(J764=1,I764="SBJ"),AND(J764=1,I764=0)),"?IN_FOCUS",IF(J764&lt;=2,"?ACTIVATED",IF(J764&lt;&gt;"","?FAMILIAR",IF(F764="NEW",IF(ISNA(VLOOKUP(E764,#REF!,1,FALSE())),"?TYPE_IDENTIFIABLE","?REFERENTIAL"),"_")))))</f>
        <v/>
      </c>
      <c r="H764" s="12" t="str">
        <f t="shared" si="29"/>
        <v/>
      </c>
    </row>
    <row r="765" spans="1:8" x14ac:dyDescent="0.35">
      <c r="A765" t="s">
        <v>400</v>
      </c>
      <c r="E765" s="9" t="str">
        <f t="shared" si="28"/>
        <v/>
      </c>
      <c r="F765" s="10" t="str">
        <f>IF(OR(E765="",E765="!!!"),"",IF(NOT(ISNA(VLOOKUP(E765,E$1:E764,1,FALSE()))),"OLD",IF(AND(E765&lt;&gt;"",E765&lt;&gt;"!!!"),"NEW","")))</f>
        <v/>
      </c>
      <c r="G765" s="11" t="str">
        <f>IF(OR(E765="",E765="!!!"),"",IF(OR(J765=0,AND(J765=1,K765=1),AND(J765=1,I765="SBJ"),AND(J765=1,I765=0)),"?IN_FOCUS",IF(J765&lt;=2,"?ACTIVATED",IF(J765&lt;&gt;"","?FAMILIAR",IF(F765="NEW",IF(ISNA(VLOOKUP(E765,#REF!,1,FALSE())),"?TYPE_IDENTIFIABLE","?REFERENTIAL"),"_")))))</f>
        <v/>
      </c>
      <c r="H765" s="12" t="str">
        <f t="shared" si="29"/>
        <v/>
      </c>
    </row>
    <row r="766" spans="1:8" x14ac:dyDescent="0.35">
      <c r="A766" t="s">
        <v>103</v>
      </c>
      <c r="E766" s="9" t="str">
        <f t="shared" si="28"/>
        <v/>
      </c>
      <c r="F766" s="10" t="str">
        <f>IF(OR(E766="",E766="!!!"),"",IF(NOT(ISNA(VLOOKUP(E766,E$1:E765,1,FALSE()))),"OLD",IF(AND(E766&lt;&gt;"",E766&lt;&gt;"!!!"),"NEW","")))</f>
        <v/>
      </c>
      <c r="G766" s="11" t="str">
        <f>IF(OR(E766="",E766="!!!"),"",IF(OR(J766=0,AND(J766=1,K766=1),AND(J766=1,I766="SBJ"),AND(J766=1,I766=0)),"?IN_FOCUS",IF(J766&lt;=2,"?ACTIVATED",IF(J766&lt;&gt;"","?FAMILIAR",IF(F766="NEW",IF(ISNA(VLOOKUP(E766,#REF!,1,FALSE())),"?TYPE_IDENTIFIABLE","?REFERENTIAL"),"_")))))</f>
        <v/>
      </c>
      <c r="H766" s="12" t="str">
        <f t="shared" si="29"/>
        <v/>
      </c>
    </row>
    <row r="767" spans="1:8" x14ac:dyDescent="0.35">
      <c r="A767" t="s">
        <v>401</v>
      </c>
      <c r="B767" t="s">
        <v>48</v>
      </c>
      <c r="C767" t="s">
        <v>108</v>
      </c>
      <c r="E767" s="9" t="str">
        <f t="shared" si="28"/>
        <v/>
      </c>
      <c r="F767" s="10" t="str">
        <f>IF(OR(E767="",E767="!!!"),"",IF(NOT(ISNA(VLOOKUP(E767,E$1:E766,1,FALSE()))),"OLD",IF(AND(E767&lt;&gt;"",E767&lt;&gt;"!!!"),"NEW","")))</f>
        <v/>
      </c>
      <c r="G767" s="11" t="str">
        <f>IF(OR(E767="",E767="!!!"),"",IF(OR(J767=0,AND(J767=1,K767=1),AND(J767=1,I767="SBJ"),AND(J767=1,I767=0)),"?IN_FOCUS",IF(J767&lt;=2,"?ACTIVATED",IF(J767&lt;&gt;"","?FAMILIAR",IF(F767="NEW",IF(ISNA(VLOOKUP(E767,#REF!,1,FALSE())),"?TYPE_IDENTIFIABLE","?REFERENTIAL"),"_")))))</f>
        <v/>
      </c>
      <c r="H767" s="12" t="str">
        <f t="shared" si="29"/>
        <v/>
      </c>
    </row>
    <row r="768" spans="1:8" x14ac:dyDescent="0.35">
      <c r="A768" t="s">
        <v>22</v>
      </c>
      <c r="E768" s="9" t="str">
        <f t="shared" si="28"/>
        <v/>
      </c>
      <c r="F768" s="10" t="str">
        <f>IF(OR(E768="",E768="!!!"),"",IF(NOT(ISNA(VLOOKUP(E768,E$1:E767,1,FALSE()))),"OLD",IF(AND(E768&lt;&gt;"",E768&lt;&gt;"!!!"),"NEW","")))</f>
        <v/>
      </c>
      <c r="G768" s="11" t="str">
        <f>IF(OR(E768="",E768="!!!"),"",IF(OR(J768=0,AND(J768=1,K768=1),AND(J768=1,I768="SBJ"),AND(J768=1,I768=0)),"?IN_FOCUS",IF(J768&lt;=2,"?ACTIVATED",IF(J768&lt;&gt;"","?FAMILIAR",IF(F768="NEW",IF(ISNA(VLOOKUP(E768,#REF!,1,FALSE())),"?TYPE_IDENTIFIABLE","?REFERENTIAL"),"_")))))</f>
        <v/>
      </c>
      <c r="H768" s="12" t="str">
        <f t="shared" si="29"/>
        <v/>
      </c>
    </row>
    <row r="769" spans="1:8" x14ac:dyDescent="0.35">
      <c r="A769" t="s">
        <v>402</v>
      </c>
      <c r="B769" t="s">
        <v>56</v>
      </c>
      <c r="C769" t="s">
        <v>15</v>
      </c>
      <c r="D769" t="s">
        <v>16</v>
      </c>
      <c r="E769" s="9" t="str">
        <f t="shared" si="28"/>
        <v>!!!</v>
      </c>
      <c r="F769" s="10" t="str">
        <f>IF(OR(E769="",E769="!!!"),"",IF(NOT(ISNA(VLOOKUP(E769,E$1:E768,1,FALSE()))),"OLD",IF(AND(E769&lt;&gt;"",E769&lt;&gt;"!!!"),"NEW","")))</f>
        <v/>
      </c>
      <c r="G769" s="11" t="str">
        <f>IF(OR(E769="",E769="!!!"),"",IF(OR(J769=0,AND(J769=1,K769=1),AND(J769=1,I769="SBJ"),AND(J769=1,I769=0)),"?IN_FOCUS",IF(J769&lt;=2,"?ACTIVATED",IF(J769&lt;&gt;"","?FAMILIAR",IF(F769="NEW",IF(ISNA(VLOOKUP(E769,#REF!,1,FALSE())),"?TYPE_IDENTIFIABLE","?REFERENTIAL"),"_")))))</f>
        <v/>
      </c>
      <c r="H769" s="12" t="str">
        <f t="shared" si="29"/>
        <v/>
      </c>
    </row>
    <row r="770" spans="1:8" x14ac:dyDescent="0.35">
      <c r="A770" t="s">
        <v>343</v>
      </c>
      <c r="E770" s="9" t="str">
        <f t="shared" si="28"/>
        <v/>
      </c>
      <c r="F770" s="10" t="str">
        <f>IF(OR(E770="",E770="!!!"),"",IF(NOT(ISNA(VLOOKUP(E770,E$1:E769,1,FALSE()))),"OLD",IF(AND(E770&lt;&gt;"",E770&lt;&gt;"!!!"),"NEW","")))</f>
        <v/>
      </c>
      <c r="G770" s="11" t="str">
        <f>IF(OR(E770="",E770="!!!"),"",IF(OR(J770=0,AND(J770=1,K770=1),AND(J770=1,I770="SBJ"),AND(J770=1,I770=0)),"?IN_FOCUS",IF(J770&lt;=2,"?ACTIVATED",IF(J770&lt;&gt;"","?FAMILIAR",IF(F770="NEW",IF(ISNA(VLOOKUP(E770,#REF!,1,FALSE())),"?TYPE_IDENTIFIABLE","?REFERENTIAL"),"_")))))</f>
        <v/>
      </c>
      <c r="H770" s="12" t="str">
        <f t="shared" si="29"/>
        <v/>
      </c>
    </row>
    <row r="771" spans="1:8" x14ac:dyDescent="0.35">
      <c r="A771" t="s">
        <v>403</v>
      </c>
      <c r="E771" s="9" t="str">
        <f t="shared" si="28"/>
        <v/>
      </c>
      <c r="F771" s="10" t="str">
        <f>IF(OR(E771="",E771="!!!"),"",IF(NOT(ISNA(VLOOKUP(E771,E$1:E770,1,FALSE()))),"OLD",IF(AND(E771&lt;&gt;"",E771&lt;&gt;"!!!"),"NEW","")))</f>
        <v/>
      </c>
      <c r="G771" s="11" t="str">
        <f>IF(OR(E771="",E771="!!!"),"",IF(OR(J771=0,AND(J771=1,K771=1),AND(J771=1,I771="SBJ"),AND(J771=1,I771=0)),"?IN_FOCUS",IF(J771&lt;=2,"?ACTIVATED",IF(J771&lt;&gt;"","?FAMILIAR",IF(F771="NEW",IF(ISNA(VLOOKUP(E771,#REF!,1,FALSE())),"?TYPE_IDENTIFIABLE","?REFERENTIAL"),"_")))))</f>
        <v/>
      </c>
      <c r="H771" s="12" t="str">
        <f t="shared" si="29"/>
        <v/>
      </c>
    </row>
    <row r="772" spans="1:8" x14ac:dyDescent="0.35">
      <c r="A772" t="s">
        <v>404</v>
      </c>
      <c r="E772" s="9" t="str">
        <f t="shared" si="28"/>
        <v/>
      </c>
      <c r="F772" s="10" t="str">
        <f>IF(OR(E772="",E772="!!!"),"",IF(NOT(ISNA(VLOOKUP(E772,E$1:E771,1,FALSE()))),"OLD",IF(AND(E772&lt;&gt;"",E772&lt;&gt;"!!!"),"NEW","")))</f>
        <v/>
      </c>
      <c r="G772" s="11" t="str">
        <f>IF(OR(E772="",E772="!!!"),"",IF(OR(J772=0,AND(J772=1,K772=1),AND(J772=1,I772="SBJ"),AND(J772=1,I772=0)),"?IN_FOCUS",IF(J772&lt;=2,"?ACTIVATED",IF(J772&lt;&gt;"","?FAMILIAR",IF(F772="NEW",IF(ISNA(VLOOKUP(E772,#REF!,1,FALSE())),"?TYPE_IDENTIFIABLE","?REFERENTIAL"),"_")))))</f>
        <v/>
      </c>
      <c r="H772" s="12" t="str">
        <f t="shared" si="29"/>
        <v/>
      </c>
    </row>
    <row r="773" spans="1:8" x14ac:dyDescent="0.35">
      <c r="A773" t="s">
        <v>405</v>
      </c>
      <c r="B773" t="s">
        <v>52</v>
      </c>
      <c r="C773" t="s">
        <v>33</v>
      </c>
      <c r="D773" t="s">
        <v>16</v>
      </c>
      <c r="E773" s="9" t="str">
        <f t="shared" si="28"/>
        <v>!!!</v>
      </c>
      <c r="F773" s="10" t="str">
        <f>IF(OR(E773="",E773="!!!"),"",IF(NOT(ISNA(VLOOKUP(E773,E$1:E772,1,FALSE()))),"OLD",IF(AND(E773&lt;&gt;"",E773&lt;&gt;"!!!"),"NEW","")))</f>
        <v/>
      </c>
      <c r="G773" s="11" t="str">
        <f>IF(OR(E773="",E773="!!!"),"",IF(OR(J773=0,AND(J773=1,K773=1),AND(J773=1,I773="SBJ"),AND(J773=1,I773=0)),"?IN_FOCUS",IF(J773&lt;=2,"?ACTIVATED",IF(J773&lt;&gt;"","?FAMILIAR",IF(F773="NEW",IF(ISNA(VLOOKUP(E773,#REF!,1,FALSE())),"?TYPE_IDENTIFIABLE","?REFERENTIAL"),"_")))))</f>
        <v/>
      </c>
      <c r="H773" s="12" t="str">
        <f t="shared" si="29"/>
        <v/>
      </c>
    </row>
    <row r="774" spans="1:8" x14ac:dyDescent="0.35">
      <c r="A774" t="s">
        <v>391</v>
      </c>
      <c r="E774" s="9" t="str">
        <f t="shared" si="28"/>
        <v/>
      </c>
      <c r="F774" s="10" t="str">
        <f>IF(OR(E774="",E774="!!!"),"",IF(NOT(ISNA(VLOOKUP(E774,E$1:E773,1,FALSE()))),"OLD",IF(AND(E774&lt;&gt;"",E774&lt;&gt;"!!!"),"NEW","")))</f>
        <v/>
      </c>
      <c r="G774" s="11" t="str">
        <f>IF(OR(E774="",E774="!!!"),"",IF(OR(J774=0,AND(J774=1,K774=1),AND(J774=1,I774="SBJ"),AND(J774=1,I774=0)),"?IN_FOCUS",IF(J774&lt;=2,"?ACTIVATED",IF(J774&lt;&gt;"","?FAMILIAR",IF(F774="NEW",IF(ISNA(VLOOKUP(E774,#REF!,1,FALSE())),"?TYPE_IDENTIFIABLE","?REFERENTIAL"),"_")))))</f>
        <v/>
      </c>
      <c r="H774" s="12" t="str">
        <f t="shared" si="29"/>
        <v/>
      </c>
    </row>
    <row r="775" spans="1:8" x14ac:dyDescent="0.35">
      <c r="A775" t="s">
        <v>39</v>
      </c>
      <c r="E775" s="9" t="str">
        <f t="shared" si="28"/>
        <v/>
      </c>
      <c r="F775" s="10" t="str">
        <f>IF(OR(E775="",E775="!!!"),"",IF(NOT(ISNA(VLOOKUP(E775,E$1:E774,1,FALSE()))),"OLD",IF(AND(E775&lt;&gt;"",E775&lt;&gt;"!!!"),"NEW","")))</f>
        <v/>
      </c>
      <c r="G775" s="11" t="str">
        <f>IF(OR(E775="",E775="!!!"),"",IF(OR(J775=0,AND(J775=1,K775=1),AND(J775=1,I775="SBJ"),AND(J775=1,I775=0)),"?IN_FOCUS",IF(J775&lt;=2,"?ACTIVATED",IF(J775&lt;&gt;"","?FAMILIAR",IF(F775="NEW",IF(ISNA(VLOOKUP(E775,#REF!,1,FALSE())),"?TYPE_IDENTIFIABLE","?REFERENTIAL"),"_")))))</f>
        <v/>
      </c>
      <c r="H775" s="12" t="str">
        <f t="shared" si="29"/>
        <v/>
      </c>
    </row>
    <row r="776" spans="1:8" x14ac:dyDescent="0.35">
      <c r="A776" t="s">
        <v>376</v>
      </c>
      <c r="B776" t="s">
        <v>151</v>
      </c>
      <c r="C776" t="s">
        <v>33</v>
      </c>
      <c r="D776" t="s">
        <v>16</v>
      </c>
      <c r="E776" s="9" t="str">
        <f t="shared" si="28"/>
        <v>!!!</v>
      </c>
      <c r="F776" s="10" t="str">
        <f>IF(OR(E776="",E776="!!!"),"",IF(NOT(ISNA(VLOOKUP(E776,E$1:E775,1,FALSE()))),"OLD",IF(AND(E776&lt;&gt;"",E776&lt;&gt;"!!!"),"NEW","")))</f>
        <v/>
      </c>
      <c r="G776" s="11" t="str">
        <f>IF(OR(E776="",E776="!!!"),"",IF(OR(J776=0,AND(J776=1,K776=1),AND(J776=1,I776="SBJ"),AND(J776=1,I776=0)),"?IN_FOCUS",IF(J776&lt;=2,"?ACTIVATED",IF(J776&lt;&gt;"","?FAMILIAR",IF(F776="NEW",IF(ISNA(VLOOKUP(E776,#REF!,1,FALSE())),"?TYPE_IDENTIFIABLE","?REFERENTIAL"),"_")))))</f>
        <v/>
      </c>
      <c r="H776" s="12" t="str">
        <f t="shared" si="29"/>
        <v/>
      </c>
    </row>
    <row r="777" spans="1:8" x14ac:dyDescent="0.35">
      <c r="A777" t="s">
        <v>275</v>
      </c>
      <c r="E777" s="9" t="str">
        <f t="shared" si="28"/>
        <v/>
      </c>
      <c r="F777" s="10" t="str">
        <f>IF(OR(E777="",E777="!!!"),"",IF(NOT(ISNA(VLOOKUP(E777,E$1:E776,1,FALSE()))),"OLD",IF(AND(E777&lt;&gt;"",E777&lt;&gt;"!!!"),"NEW","")))</f>
        <v/>
      </c>
      <c r="G777" s="11" t="str">
        <f>IF(OR(E777="",E777="!!!"),"",IF(OR(J777=0,AND(J777=1,K777=1),AND(J777=1,I777="SBJ"),AND(J777=1,I777=0)),"?IN_FOCUS",IF(J777&lt;=2,"?ACTIVATED",IF(J777&lt;&gt;"","?FAMILIAR",IF(F777="NEW",IF(ISNA(VLOOKUP(E777,#REF!,1,FALSE())),"?TYPE_IDENTIFIABLE","?REFERENTIAL"),"_")))))</f>
        <v/>
      </c>
      <c r="H777" s="12" t="str">
        <f t="shared" si="29"/>
        <v/>
      </c>
    </row>
    <row r="778" spans="1:8" x14ac:dyDescent="0.35">
      <c r="A778" t="s">
        <v>406</v>
      </c>
      <c r="E778" s="9" t="str">
        <f t="shared" si="28"/>
        <v/>
      </c>
      <c r="F778" s="10" t="str">
        <f>IF(OR(E778="",E778="!!!"),"",IF(NOT(ISNA(VLOOKUP(E778,E$1:E777,1,FALSE()))),"OLD",IF(AND(E778&lt;&gt;"",E778&lt;&gt;"!!!"),"NEW","")))</f>
        <v/>
      </c>
      <c r="G778" s="11" t="str">
        <f>IF(OR(E778="",E778="!!!"),"",IF(OR(J778=0,AND(J778=1,K778=1),AND(J778=1,I778="SBJ"),AND(J778=1,I778=0)),"?IN_FOCUS",IF(J778&lt;=2,"?ACTIVATED",IF(J778&lt;&gt;"","?FAMILIAR",IF(F778="NEW",IF(ISNA(VLOOKUP(E778,#REF!,1,FALSE())),"?TYPE_IDENTIFIABLE","?REFERENTIAL"),"_")))))</f>
        <v/>
      </c>
      <c r="H778" s="12" t="str">
        <f t="shared" si="29"/>
        <v/>
      </c>
    </row>
    <row r="779" spans="1:8" x14ac:dyDescent="0.35">
      <c r="A779" t="s">
        <v>272</v>
      </c>
      <c r="E779" s="9" t="str">
        <f t="shared" si="28"/>
        <v/>
      </c>
      <c r="F779" s="10" t="str">
        <f>IF(OR(E779="",E779="!!!"),"",IF(NOT(ISNA(VLOOKUP(E779,E$1:E778,1,FALSE()))),"OLD",IF(AND(E779&lt;&gt;"",E779&lt;&gt;"!!!"),"NEW","")))</f>
        <v/>
      </c>
      <c r="G779" s="11" t="str">
        <f>IF(OR(E779="",E779="!!!"),"",IF(OR(J779=0,AND(J779=1,K779=1),AND(J779=1,I779="SBJ"),AND(J779=1,I779=0)),"?IN_FOCUS",IF(J779&lt;=2,"?ACTIVATED",IF(J779&lt;&gt;"","?FAMILIAR",IF(F779="NEW",IF(ISNA(VLOOKUP(E779,#REF!,1,FALSE())),"?TYPE_IDENTIFIABLE","?REFERENTIAL"),"_")))))</f>
        <v/>
      </c>
      <c r="H779" s="12" t="str">
        <f t="shared" si="29"/>
        <v/>
      </c>
    </row>
    <row r="780" spans="1:8" x14ac:dyDescent="0.35">
      <c r="A780" t="s">
        <v>246</v>
      </c>
      <c r="E780" s="9" t="str">
        <f t="shared" si="28"/>
        <v/>
      </c>
      <c r="F780" s="10" t="str">
        <f>IF(OR(E780="",E780="!!!"),"",IF(NOT(ISNA(VLOOKUP(E780,E$1:E779,1,FALSE()))),"OLD",IF(AND(E780&lt;&gt;"",E780&lt;&gt;"!!!"),"NEW","")))</f>
        <v/>
      </c>
      <c r="G780" s="11" t="str">
        <f>IF(OR(E780="",E780="!!!"),"",IF(OR(J780=0,AND(J780=1,K780=1),AND(J780=1,I780="SBJ"),AND(J780=1,I780=0)),"?IN_FOCUS",IF(J780&lt;=2,"?ACTIVATED",IF(J780&lt;&gt;"","?FAMILIAR",IF(F780="NEW",IF(ISNA(VLOOKUP(E780,#REF!,1,FALSE())),"?TYPE_IDENTIFIABLE","?REFERENTIAL"),"_")))))</f>
        <v/>
      </c>
      <c r="H780" s="12" t="str">
        <f t="shared" si="29"/>
        <v/>
      </c>
    </row>
    <row r="781" spans="1:8" x14ac:dyDescent="0.35">
      <c r="E781" s="9" t="str">
        <f t="shared" si="28"/>
        <v/>
      </c>
      <c r="F781" s="10" t="str">
        <f>IF(OR(E781="",E781="!!!"),"",IF(NOT(ISNA(VLOOKUP(E781,E$1:E780,1,FALSE()))),"OLD",IF(AND(E781&lt;&gt;"",E781&lt;&gt;"!!!"),"NEW","")))</f>
        <v/>
      </c>
      <c r="G781" s="11" t="str">
        <f>IF(OR(E781="",E781="!!!"),"",IF(OR(J781=0,AND(J781=1,K781=1),AND(J781=1,I781="SBJ"),AND(J781=1,I781=0)),"?IN_FOCUS",IF(J781&lt;=2,"?ACTIVATED",IF(J781&lt;&gt;"","?FAMILIAR",IF(F781="NEW",IF(ISNA(VLOOKUP(E781,#REF!,1,FALSE())),"?TYPE_IDENTIFIABLE","?REFERENTIAL"),"_")))))</f>
        <v/>
      </c>
      <c r="H781" s="12" t="str">
        <f t="shared" si="29"/>
        <v/>
      </c>
    </row>
    <row r="782" spans="1:8" x14ac:dyDescent="0.35">
      <c r="A782" t="s">
        <v>407</v>
      </c>
      <c r="E782" s="9" t="str">
        <f t="shared" si="28"/>
        <v/>
      </c>
      <c r="F782" s="10" t="str">
        <f>IF(OR(E782="",E782="!!!"),"",IF(NOT(ISNA(VLOOKUP(E782,E$1:E781,1,FALSE()))),"OLD",IF(AND(E782&lt;&gt;"",E782&lt;&gt;"!!!"),"NEW","")))</f>
        <v/>
      </c>
      <c r="G782" s="11" t="str">
        <f>IF(OR(E782="",E782="!!!"),"",IF(OR(J782=0,AND(J782=1,K782=1),AND(J782=1,I782="SBJ"),AND(J782=1,I782=0)),"?IN_FOCUS",IF(J782&lt;=2,"?ACTIVATED",IF(J782&lt;&gt;"","?FAMILIAR",IF(F782="NEW",IF(ISNA(VLOOKUP(E782,#REF!,1,FALSE())),"?TYPE_IDENTIFIABLE","?REFERENTIAL"),"_")))))</f>
        <v/>
      </c>
      <c r="H782" s="12" t="str">
        <f t="shared" si="29"/>
        <v/>
      </c>
    </row>
    <row r="783" spans="1:8" x14ac:dyDescent="0.35">
      <c r="A783" t="s">
        <v>110</v>
      </c>
      <c r="B783" t="s">
        <v>14</v>
      </c>
      <c r="C783" t="s">
        <v>33</v>
      </c>
      <c r="D783" t="s">
        <v>16</v>
      </c>
      <c r="E783" s="9" t="str">
        <f t="shared" si="28"/>
        <v>!!!</v>
      </c>
      <c r="F783" s="10" t="str">
        <f>IF(OR(E783="",E783="!!!"),"",IF(NOT(ISNA(VLOOKUP(E783,E$1:E782,1,FALSE()))),"OLD",IF(AND(E783&lt;&gt;"",E783&lt;&gt;"!!!"),"NEW","")))</f>
        <v/>
      </c>
      <c r="G783" s="11" t="str">
        <f>IF(OR(E783="",E783="!!!"),"",IF(OR(J783=0,AND(J783=1,K783=1),AND(J783=1,I783="SBJ"),AND(J783=1,I783=0)),"?IN_FOCUS",IF(J783&lt;=2,"?ACTIVATED",IF(J783&lt;&gt;"","?FAMILIAR",IF(F783="NEW",IF(ISNA(VLOOKUP(E783,#REF!,1,FALSE())),"?TYPE_IDENTIFIABLE","?REFERENTIAL"),"_")))))</f>
        <v/>
      </c>
      <c r="H783" s="12" t="str">
        <f t="shared" si="29"/>
        <v/>
      </c>
    </row>
    <row r="784" spans="1:8" x14ac:dyDescent="0.35">
      <c r="A784" t="s">
        <v>408</v>
      </c>
      <c r="E784" s="9" t="str">
        <f t="shared" si="28"/>
        <v/>
      </c>
      <c r="F784" s="10" t="str">
        <f>IF(OR(E784="",E784="!!!"),"",IF(NOT(ISNA(VLOOKUP(E784,E$1:E783,1,FALSE()))),"OLD",IF(AND(E784&lt;&gt;"",E784&lt;&gt;"!!!"),"NEW","")))</f>
        <v/>
      </c>
      <c r="G784" s="11" t="str">
        <f>IF(OR(E784="",E784="!!!"),"",IF(OR(J784=0,AND(J784=1,K784=1),AND(J784=1,I784="SBJ"),AND(J784=1,I784=0)),"?IN_FOCUS",IF(J784&lt;=2,"?ACTIVATED",IF(J784&lt;&gt;"","?FAMILIAR",IF(F784="NEW",IF(ISNA(VLOOKUP(E784,#REF!,1,FALSE())),"?TYPE_IDENTIFIABLE","?REFERENTIAL"),"_")))))</f>
        <v/>
      </c>
      <c r="H784" s="12" t="str">
        <f t="shared" si="29"/>
        <v/>
      </c>
    </row>
    <row r="785" spans="1:8" x14ac:dyDescent="0.35">
      <c r="A785" t="s">
        <v>228</v>
      </c>
      <c r="E785" s="9" t="str">
        <f t="shared" si="28"/>
        <v/>
      </c>
      <c r="F785" s="10" t="str">
        <f>IF(OR(E785="",E785="!!!"),"",IF(NOT(ISNA(VLOOKUP(E785,E$1:E784,1,FALSE()))),"OLD",IF(AND(E785&lt;&gt;"",E785&lt;&gt;"!!!"),"NEW","")))</f>
        <v/>
      </c>
      <c r="G785" s="11" t="str">
        <f>IF(OR(E785="",E785="!!!"),"",IF(OR(J785=0,AND(J785=1,K785=1),AND(J785=1,I785="SBJ"),AND(J785=1,I785=0)),"?IN_FOCUS",IF(J785&lt;=2,"?ACTIVATED",IF(J785&lt;&gt;"","?FAMILIAR",IF(F785="NEW",IF(ISNA(VLOOKUP(E785,#REF!,1,FALSE())),"?TYPE_IDENTIFIABLE","?REFERENTIAL"),"_")))))</f>
        <v/>
      </c>
      <c r="H785" s="12" t="str">
        <f t="shared" si="29"/>
        <v/>
      </c>
    </row>
    <row r="786" spans="1:8" x14ac:dyDescent="0.35">
      <c r="A786" t="s">
        <v>58</v>
      </c>
      <c r="E786" s="9" t="str">
        <f t="shared" si="28"/>
        <v/>
      </c>
      <c r="F786" s="10" t="str">
        <f>IF(OR(E786="",E786="!!!"),"",IF(NOT(ISNA(VLOOKUP(E786,E$1:E785,1,FALSE()))),"OLD",IF(AND(E786&lt;&gt;"",E786&lt;&gt;"!!!"),"NEW","")))</f>
        <v/>
      </c>
      <c r="G786" s="11" t="str">
        <f>IF(OR(E786="",E786="!!!"),"",IF(OR(J786=0,AND(J786=1,K786=1),AND(J786=1,I786="SBJ"),AND(J786=1,I786=0)),"?IN_FOCUS",IF(J786&lt;=2,"?ACTIVATED",IF(J786&lt;&gt;"","?FAMILIAR",IF(F786="NEW",IF(ISNA(VLOOKUP(E786,#REF!,1,FALSE())),"?TYPE_IDENTIFIABLE","?REFERENTIAL"),"_")))))</f>
        <v/>
      </c>
      <c r="H786" s="12" t="str">
        <f t="shared" si="29"/>
        <v/>
      </c>
    </row>
    <row r="787" spans="1:8" x14ac:dyDescent="0.35">
      <c r="A787" t="s">
        <v>409</v>
      </c>
      <c r="B787" t="s">
        <v>32</v>
      </c>
      <c r="C787" t="s">
        <v>99</v>
      </c>
      <c r="D787" t="s">
        <v>16</v>
      </c>
      <c r="E787" s="9" t="str">
        <f t="shared" si="28"/>
        <v>!!!</v>
      </c>
      <c r="F787" s="10" t="str">
        <f>IF(OR(E787="",E787="!!!"),"",IF(NOT(ISNA(VLOOKUP(E787,E$1:E786,1,FALSE()))),"OLD",IF(AND(E787&lt;&gt;"",E787&lt;&gt;"!!!"),"NEW","")))</f>
        <v/>
      </c>
      <c r="G787" s="11" t="str">
        <f>IF(OR(E787="",E787="!!!"),"",IF(OR(J787=0,AND(J787=1,K787=1),AND(J787=1,I787="SBJ"),AND(J787=1,I787=0)),"?IN_FOCUS",IF(J787&lt;=2,"?ACTIVATED",IF(J787&lt;&gt;"","?FAMILIAR",IF(F787="NEW",IF(ISNA(VLOOKUP(E787,#REF!,1,FALSE())),"?TYPE_IDENTIFIABLE","?REFERENTIAL"),"_")))))</f>
        <v/>
      </c>
      <c r="H787" s="12" t="str">
        <f t="shared" si="29"/>
        <v/>
      </c>
    </row>
    <row r="788" spans="1:8" x14ac:dyDescent="0.35">
      <c r="A788" t="s">
        <v>76</v>
      </c>
      <c r="E788" s="9" t="str">
        <f t="shared" si="28"/>
        <v/>
      </c>
      <c r="F788" s="10" t="str">
        <f>IF(OR(E788="",E788="!!!"),"",IF(NOT(ISNA(VLOOKUP(E788,E$1:E787,1,FALSE()))),"OLD",IF(AND(E788&lt;&gt;"",E788&lt;&gt;"!!!"),"NEW","")))</f>
        <v/>
      </c>
      <c r="G788" s="11" t="str">
        <f>IF(OR(E788="",E788="!!!"),"",IF(OR(J788=0,AND(J788=1,K788=1),AND(J788=1,I788="SBJ"),AND(J788=1,I788=0)),"?IN_FOCUS",IF(J788&lt;=2,"?ACTIVATED",IF(J788&lt;&gt;"","?FAMILIAR",IF(F788="NEW",IF(ISNA(VLOOKUP(E788,#REF!,1,FALSE())),"?TYPE_IDENTIFIABLE","?REFERENTIAL"),"_")))))</f>
        <v/>
      </c>
      <c r="H788" s="12" t="str">
        <f t="shared" si="29"/>
        <v/>
      </c>
    </row>
    <row r="789" spans="1:8" x14ac:dyDescent="0.35">
      <c r="A789" t="s">
        <v>410</v>
      </c>
      <c r="E789" s="9" t="str">
        <f t="shared" si="28"/>
        <v/>
      </c>
      <c r="F789" s="10" t="str">
        <f>IF(OR(E789="",E789="!!!"),"",IF(NOT(ISNA(VLOOKUP(E789,E$1:E788,1,FALSE()))),"OLD",IF(AND(E789&lt;&gt;"",E789&lt;&gt;"!!!"),"NEW","")))</f>
        <v/>
      </c>
      <c r="G789" s="11" t="str">
        <f>IF(OR(E789="",E789="!!!"),"",IF(OR(J789=0,AND(J789=1,K789=1),AND(J789=1,I789="SBJ"),AND(J789=1,I789=0)),"?IN_FOCUS",IF(J789&lt;=2,"?ACTIVATED",IF(J789&lt;&gt;"","?FAMILIAR",IF(F789="NEW",IF(ISNA(VLOOKUP(E789,#REF!,1,FALSE())),"?TYPE_IDENTIFIABLE","?REFERENTIAL"),"_")))))</f>
        <v/>
      </c>
      <c r="H789" s="12" t="str">
        <f t="shared" si="29"/>
        <v/>
      </c>
    </row>
    <row r="790" spans="1:8" x14ac:dyDescent="0.35">
      <c r="A790" t="s">
        <v>411</v>
      </c>
      <c r="E790" s="9" t="str">
        <f t="shared" si="28"/>
        <v/>
      </c>
      <c r="F790" s="10" t="str">
        <f>IF(OR(E790="",E790="!!!"),"",IF(NOT(ISNA(VLOOKUP(E790,E$1:E789,1,FALSE()))),"OLD",IF(AND(E790&lt;&gt;"",E790&lt;&gt;"!!!"),"NEW","")))</f>
        <v/>
      </c>
      <c r="G790" s="11" t="str">
        <f>IF(OR(E790="",E790="!!!"),"",IF(OR(J790=0,AND(J790=1,K790=1),AND(J790=1,I790="SBJ"),AND(J790=1,I790=0)),"?IN_FOCUS",IF(J790&lt;=2,"?ACTIVATED",IF(J790&lt;&gt;"","?FAMILIAR",IF(F790="NEW",IF(ISNA(VLOOKUP(E790,#REF!,1,FALSE())),"?TYPE_IDENTIFIABLE","?REFERENTIAL"),"_")))))</f>
        <v/>
      </c>
      <c r="H790" s="12" t="str">
        <f t="shared" si="29"/>
        <v/>
      </c>
    </row>
    <row r="791" spans="1:8" x14ac:dyDescent="0.35">
      <c r="A791" t="s">
        <v>58</v>
      </c>
      <c r="E791" s="9" t="str">
        <f t="shared" si="28"/>
        <v/>
      </c>
      <c r="F791" s="10" t="str">
        <f>IF(OR(E791="",E791="!!!"),"",IF(NOT(ISNA(VLOOKUP(E791,E$1:E790,1,FALSE()))),"OLD",IF(AND(E791&lt;&gt;"",E791&lt;&gt;"!!!"),"NEW","")))</f>
        <v/>
      </c>
      <c r="G791" s="11" t="str">
        <f>IF(OR(E791="",E791="!!!"),"",IF(OR(J791=0,AND(J791=1,K791=1),AND(J791=1,I791="SBJ"),AND(J791=1,I791=0)),"?IN_FOCUS",IF(J791&lt;=2,"?ACTIVATED",IF(J791&lt;&gt;"","?FAMILIAR",IF(F791="NEW",IF(ISNA(VLOOKUP(E791,#REF!,1,FALSE())),"?TYPE_IDENTIFIABLE","?REFERENTIAL"),"_")))))</f>
        <v/>
      </c>
      <c r="H791" s="12" t="str">
        <f t="shared" si="29"/>
        <v/>
      </c>
    </row>
    <row r="792" spans="1:8" x14ac:dyDescent="0.35">
      <c r="A792" t="s">
        <v>412</v>
      </c>
      <c r="E792" s="9" t="str">
        <f t="shared" si="28"/>
        <v/>
      </c>
      <c r="F792" s="10" t="str">
        <f>IF(OR(E792="",E792="!!!"),"",IF(NOT(ISNA(VLOOKUP(E792,E$1:E791,1,FALSE()))),"OLD",IF(AND(E792&lt;&gt;"",E792&lt;&gt;"!!!"),"NEW","")))</f>
        <v/>
      </c>
      <c r="G792" s="11" t="str">
        <f>IF(OR(E792="",E792="!!!"),"",IF(OR(J792=0,AND(J792=1,K792=1),AND(J792=1,I792="SBJ"),AND(J792=1,I792=0)),"?IN_FOCUS",IF(J792&lt;=2,"?ACTIVATED",IF(J792&lt;&gt;"","?FAMILIAR",IF(F792="NEW",IF(ISNA(VLOOKUP(E792,#REF!,1,FALSE())),"?TYPE_IDENTIFIABLE","?REFERENTIAL"),"_")))))</f>
        <v/>
      </c>
      <c r="H792" s="12" t="str">
        <f t="shared" si="29"/>
        <v/>
      </c>
    </row>
    <row r="793" spans="1:8" x14ac:dyDescent="0.35">
      <c r="A793" t="s">
        <v>413</v>
      </c>
      <c r="B793" t="s">
        <v>24</v>
      </c>
      <c r="C793" t="s">
        <v>99</v>
      </c>
      <c r="D793" t="s">
        <v>16</v>
      </c>
      <c r="E793" s="9" t="str">
        <f t="shared" si="28"/>
        <v>!!!</v>
      </c>
      <c r="F793" s="10" t="str">
        <f>IF(OR(E793="",E793="!!!"),"",IF(NOT(ISNA(VLOOKUP(E793,E$1:E792,1,FALSE()))),"OLD",IF(AND(E793&lt;&gt;"",E793&lt;&gt;"!!!"),"NEW","")))</f>
        <v/>
      </c>
      <c r="G793" s="11" t="str">
        <f>IF(OR(E793="",E793="!!!"),"",IF(OR(J793=0,AND(J793=1,K793=1),AND(J793=1,I793="SBJ"),AND(J793=1,I793=0)),"?IN_FOCUS",IF(J793&lt;=2,"?ACTIVATED",IF(J793&lt;&gt;"","?FAMILIAR",IF(F793="NEW",IF(ISNA(VLOOKUP(E793,#REF!,1,FALSE())),"?TYPE_IDENTIFIABLE","?REFERENTIAL"),"_")))))</f>
        <v/>
      </c>
      <c r="H793" s="12" t="str">
        <f t="shared" si="29"/>
        <v/>
      </c>
    </row>
    <row r="794" spans="1:8" x14ac:dyDescent="0.35">
      <c r="A794" t="s">
        <v>73</v>
      </c>
      <c r="B794" t="s">
        <v>143</v>
      </c>
      <c r="E794" s="9" t="str">
        <f t="shared" si="28"/>
        <v/>
      </c>
      <c r="F794" s="10" t="str">
        <f>IF(OR(E794="",E794="!!!"),"",IF(NOT(ISNA(VLOOKUP(E794,E$1:E793,1,FALSE()))),"OLD",IF(AND(E794&lt;&gt;"",E794&lt;&gt;"!!!"),"NEW","")))</f>
        <v/>
      </c>
      <c r="G794" s="11" t="str">
        <f>IF(OR(E794="",E794="!!!"),"",IF(OR(J794=0,AND(J794=1,K794=1),AND(J794=1,I794="SBJ"),AND(J794=1,I794=0)),"?IN_FOCUS",IF(J794&lt;=2,"?ACTIVATED",IF(J794&lt;&gt;"","?FAMILIAR",IF(F794="NEW",IF(ISNA(VLOOKUP(E794,#REF!,1,FALSE())),"?TYPE_IDENTIFIABLE","?REFERENTIAL"),"_")))))</f>
        <v/>
      </c>
      <c r="H794" s="12" t="str">
        <f t="shared" si="29"/>
        <v/>
      </c>
    </row>
    <row r="795" spans="1:8" x14ac:dyDescent="0.35">
      <c r="A795" t="s">
        <v>414</v>
      </c>
      <c r="E795" s="9" t="str">
        <f t="shared" si="28"/>
        <v/>
      </c>
      <c r="F795" s="10" t="str">
        <f>IF(OR(E795="",E795="!!!"),"",IF(NOT(ISNA(VLOOKUP(E795,E$1:E794,1,FALSE()))),"OLD",IF(AND(E795&lt;&gt;"",E795&lt;&gt;"!!!"),"NEW","")))</f>
        <v/>
      </c>
      <c r="G795" s="11" t="str">
        <f>IF(OR(E795="",E795="!!!"),"",IF(OR(J795=0,AND(J795=1,K795=1),AND(J795=1,I795="SBJ"),AND(J795=1,I795=0)),"?IN_FOCUS",IF(J795&lt;=2,"?ACTIVATED",IF(J795&lt;&gt;"","?FAMILIAR",IF(F795="NEW",IF(ISNA(VLOOKUP(E795,#REF!,1,FALSE())),"?TYPE_IDENTIFIABLE","?REFERENTIAL"),"_")))))</f>
        <v/>
      </c>
      <c r="H795" s="12" t="str">
        <f t="shared" si="29"/>
        <v/>
      </c>
    </row>
    <row r="796" spans="1:8" x14ac:dyDescent="0.35">
      <c r="A796" t="s">
        <v>58</v>
      </c>
      <c r="E796" s="9" t="str">
        <f t="shared" si="28"/>
        <v/>
      </c>
      <c r="F796" s="10" t="str">
        <f>IF(OR(E796="",E796="!!!"),"",IF(NOT(ISNA(VLOOKUP(E796,E$1:E795,1,FALSE()))),"OLD",IF(AND(E796&lt;&gt;"",E796&lt;&gt;"!!!"),"NEW","")))</f>
        <v/>
      </c>
      <c r="G796" s="11" t="str">
        <f>IF(OR(E796="",E796="!!!"),"",IF(OR(J796=0,AND(J796=1,K796=1),AND(J796=1,I796="SBJ"),AND(J796=1,I796=0)),"?IN_FOCUS",IF(J796&lt;=2,"?ACTIVATED",IF(J796&lt;&gt;"","?FAMILIAR",IF(F796="NEW",IF(ISNA(VLOOKUP(E796,#REF!,1,FALSE())),"?TYPE_IDENTIFIABLE","?REFERENTIAL"),"_")))))</f>
        <v/>
      </c>
      <c r="H796" s="12" t="str">
        <f t="shared" si="29"/>
        <v/>
      </c>
    </row>
    <row r="797" spans="1:8" x14ac:dyDescent="0.35">
      <c r="A797" t="s">
        <v>415</v>
      </c>
      <c r="E797" s="9" t="str">
        <f t="shared" si="28"/>
        <v/>
      </c>
      <c r="F797" s="10" t="str">
        <f>IF(OR(E797="",E797="!!!"),"",IF(NOT(ISNA(VLOOKUP(E797,E$1:E796,1,FALSE()))),"OLD",IF(AND(E797&lt;&gt;"",E797&lt;&gt;"!!!"),"NEW","")))</f>
        <v/>
      </c>
      <c r="G797" s="11" t="str">
        <f>IF(OR(E797="",E797="!!!"),"",IF(OR(J797=0,AND(J797=1,K797=1),AND(J797=1,I797="SBJ"),AND(J797=1,I797=0)),"?IN_FOCUS",IF(J797&lt;=2,"?ACTIVATED",IF(J797&lt;&gt;"","?FAMILIAR",IF(F797="NEW",IF(ISNA(VLOOKUP(E797,#REF!,1,FALSE())),"?TYPE_IDENTIFIABLE","?REFERENTIAL"),"_")))))</f>
        <v/>
      </c>
      <c r="H797" s="12" t="str">
        <f t="shared" si="29"/>
        <v/>
      </c>
    </row>
    <row r="798" spans="1:8" x14ac:dyDescent="0.35">
      <c r="A798" t="s">
        <v>416</v>
      </c>
      <c r="B798" t="s">
        <v>52</v>
      </c>
      <c r="C798" t="s">
        <v>99</v>
      </c>
      <c r="D798" t="s">
        <v>16</v>
      </c>
      <c r="E798" s="9" t="str">
        <f t="shared" si="28"/>
        <v>!!!</v>
      </c>
      <c r="F798" s="10" t="str">
        <f>IF(OR(E798="",E798="!!!"),"",IF(NOT(ISNA(VLOOKUP(E798,E$1:E797,1,FALSE()))),"OLD",IF(AND(E798&lt;&gt;"",E798&lt;&gt;"!!!"),"NEW","")))</f>
        <v/>
      </c>
      <c r="G798" s="11" t="str">
        <f>IF(OR(E798="",E798="!!!"),"",IF(OR(J798=0,AND(J798=1,K798=1),AND(J798=1,I798="SBJ"),AND(J798=1,I798=0)),"?IN_FOCUS",IF(J798&lt;=2,"?ACTIVATED",IF(J798&lt;&gt;"","?FAMILIAR",IF(F798="NEW",IF(ISNA(VLOOKUP(E798,#REF!,1,FALSE())),"?TYPE_IDENTIFIABLE","?REFERENTIAL"),"_")))))</f>
        <v/>
      </c>
      <c r="H798" s="12" t="str">
        <f t="shared" si="29"/>
        <v/>
      </c>
    </row>
    <row r="799" spans="1:8" x14ac:dyDescent="0.35">
      <c r="A799" t="s">
        <v>63</v>
      </c>
      <c r="E799" s="9" t="str">
        <f t="shared" si="28"/>
        <v/>
      </c>
      <c r="F799" s="10" t="str">
        <f>IF(OR(E799="",E799="!!!"),"",IF(NOT(ISNA(VLOOKUP(E799,E$1:E798,1,FALSE()))),"OLD",IF(AND(E799&lt;&gt;"",E799&lt;&gt;"!!!"),"NEW","")))</f>
        <v/>
      </c>
      <c r="G799" s="11" t="str">
        <f>IF(OR(E799="",E799="!!!"),"",IF(OR(J799=0,AND(J799=1,K799=1),AND(J799=1,I799="SBJ"),AND(J799=1,I799=0)),"?IN_FOCUS",IF(J799&lt;=2,"?ACTIVATED",IF(J799&lt;&gt;"","?FAMILIAR",IF(F799="NEW",IF(ISNA(VLOOKUP(E799,#REF!,1,FALSE())),"?TYPE_IDENTIFIABLE","?REFERENTIAL"),"_")))))</f>
        <v/>
      </c>
      <c r="H799" s="12" t="str">
        <f t="shared" si="29"/>
        <v/>
      </c>
    </row>
    <row r="800" spans="1:8" x14ac:dyDescent="0.35">
      <c r="E800" s="9" t="str">
        <f t="shared" si="28"/>
        <v/>
      </c>
      <c r="F800" s="10" t="str">
        <f>IF(OR(E800="",E800="!!!"),"",IF(NOT(ISNA(VLOOKUP(E800,E$1:E799,1,FALSE()))),"OLD",IF(AND(E800&lt;&gt;"",E800&lt;&gt;"!!!"),"NEW","")))</f>
        <v/>
      </c>
      <c r="G800" s="11" t="str">
        <f>IF(OR(E800="",E800="!!!"),"",IF(OR(J800=0,AND(J800=1,K800=1),AND(J800=1,I800="SBJ"),AND(J800=1,I800=0)),"?IN_FOCUS",IF(J800&lt;=2,"?ACTIVATED",IF(J800&lt;&gt;"","?FAMILIAR",IF(F800="NEW",IF(ISNA(VLOOKUP(E800,#REF!,1,FALSE())),"?TYPE_IDENTIFIABLE","?REFERENTIAL"),"_")))))</f>
        <v/>
      </c>
      <c r="H800" s="12" t="str">
        <f t="shared" si="29"/>
        <v/>
      </c>
    </row>
    <row r="801" spans="1:8" x14ac:dyDescent="0.35">
      <c r="A801" t="s">
        <v>417</v>
      </c>
      <c r="E801" s="9" t="str">
        <f t="shared" si="28"/>
        <v/>
      </c>
      <c r="F801" s="10" t="str">
        <f>IF(OR(E801="",E801="!!!"),"",IF(NOT(ISNA(VLOOKUP(E801,E$1:E800,1,FALSE()))),"OLD",IF(AND(E801&lt;&gt;"",E801&lt;&gt;"!!!"),"NEW","")))</f>
        <v/>
      </c>
      <c r="G801" s="11" t="str">
        <f>IF(OR(E801="",E801="!!!"),"",IF(OR(J801=0,AND(J801=1,K801=1),AND(J801=1,I801="SBJ"),AND(J801=1,I801=0)),"?IN_FOCUS",IF(J801&lt;=2,"?ACTIVATED",IF(J801&lt;&gt;"","?FAMILIAR",IF(F801="NEW",IF(ISNA(VLOOKUP(E801,#REF!,1,FALSE())),"?TYPE_IDENTIFIABLE","?REFERENTIAL"),"_")))))</f>
        <v/>
      </c>
      <c r="H801" s="12" t="str">
        <f t="shared" si="29"/>
        <v/>
      </c>
    </row>
    <row r="802" spans="1:8" x14ac:dyDescent="0.35">
      <c r="A802" t="s">
        <v>418</v>
      </c>
      <c r="E802" s="9" t="str">
        <f t="shared" si="28"/>
        <v/>
      </c>
      <c r="F802" s="10" t="str">
        <f>IF(OR(E802="",E802="!!!"),"",IF(NOT(ISNA(VLOOKUP(E802,E$1:E801,1,FALSE()))),"OLD",IF(AND(E802&lt;&gt;"",E802&lt;&gt;"!!!"),"NEW","")))</f>
        <v/>
      </c>
      <c r="G802" s="11" t="str">
        <f>IF(OR(E802="",E802="!!!"),"",IF(OR(J802=0,AND(J802=1,K802=1),AND(J802=1,I802="SBJ"),AND(J802=1,I802=0)),"?IN_FOCUS",IF(J802&lt;=2,"?ACTIVATED",IF(J802&lt;&gt;"","?FAMILIAR",IF(F802="NEW",IF(ISNA(VLOOKUP(E802,#REF!,1,FALSE())),"?TYPE_IDENTIFIABLE","?REFERENTIAL"),"_")))))</f>
        <v/>
      </c>
      <c r="H802" s="12" t="str">
        <f t="shared" si="29"/>
        <v/>
      </c>
    </row>
    <row r="803" spans="1:8" x14ac:dyDescent="0.35">
      <c r="A803" t="s">
        <v>123</v>
      </c>
      <c r="E803" s="9" t="str">
        <f t="shared" si="28"/>
        <v/>
      </c>
      <c r="F803" s="10" t="str">
        <f>IF(OR(E803="",E803="!!!"),"",IF(NOT(ISNA(VLOOKUP(E803,E$1:E802,1,FALSE()))),"OLD",IF(AND(E803&lt;&gt;"",E803&lt;&gt;"!!!"),"NEW","")))</f>
        <v/>
      </c>
      <c r="G803" s="11" t="str">
        <f>IF(OR(E803="",E803="!!!"),"",IF(OR(J803=0,AND(J803=1,K803=1),AND(J803=1,I803="SBJ"),AND(J803=1,I803=0)),"?IN_FOCUS",IF(J803&lt;=2,"?ACTIVATED",IF(J803&lt;&gt;"","?FAMILIAR",IF(F803="NEW",IF(ISNA(VLOOKUP(E803,#REF!,1,FALSE())),"?TYPE_IDENTIFIABLE","?REFERENTIAL"),"_")))))</f>
        <v/>
      </c>
      <c r="H803" s="12" t="str">
        <f t="shared" si="29"/>
        <v/>
      </c>
    </row>
    <row r="804" spans="1:8" x14ac:dyDescent="0.35">
      <c r="A804" t="s">
        <v>31</v>
      </c>
      <c r="B804" t="s">
        <v>36</v>
      </c>
      <c r="C804" t="s">
        <v>33</v>
      </c>
      <c r="D804" t="s">
        <v>16</v>
      </c>
      <c r="E804" s="9" t="str">
        <f t="shared" si="28"/>
        <v>!!!</v>
      </c>
      <c r="F804" s="10" t="str">
        <f>IF(OR(E804="",E804="!!!"),"",IF(NOT(ISNA(VLOOKUP(E804,E$1:E803,1,FALSE()))),"OLD",IF(AND(E804&lt;&gt;"",E804&lt;&gt;"!!!"),"NEW","")))</f>
        <v/>
      </c>
      <c r="G804" s="11" t="str">
        <f>IF(OR(E804="",E804="!!!"),"",IF(OR(J804=0,AND(J804=1,K804=1),AND(J804=1,I804="SBJ"),AND(J804=1,I804=0)),"?IN_FOCUS",IF(J804&lt;=2,"?ACTIVATED",IF(J804&lt;&gt;"","?FAMILIAR",IF(F804="NEW",IF(ISNA(VLOOKUP(E804,#REF!,1,FALSE())),"?TYPE_IDENTIFIABLE","?REFERENTIAL"),"_")))))</f>
        <v/>
      </c>
      <c r="H804" s="12" t="str">
        <f t="shared" si="29"/>
        <v/>
      </c>
    </row>
    <row r="805" spans="1:8" x14ac:dyDescent="0.35">
      <c r="A805" t="s">
        <v>419</v>
      </c>
      <c r="E805" s="9" t="str">
        <f t="shared" si="28"/>
        <v/>
      </c>
      <c r="F805" s="10" t="str">
        <f>IF(OR(E805="",E805="!!!"),"",IF(NOT(ISNA(VLOOKUP(E805,E$1:E804,1,FALSE()))),"OLD",IF(AND(E805&lt;&gt;"",E805&lt;&gt;"!!!"),"NEW","")))</f>
        <v/>
      </c>
      <c r="G805" s="11" t="str">
        <f>IF(OR(E805="",E805="!!!"),"",IF(OR(J805=0,AND(J805=1,K805=1),AND(J805=1,I805="SBJ"),AND(J805=1,I805=0)),"?IN_FOCUS",IF(J805&lt;=2,"?ACTIVATED",IF(J805&lt;&gt;"","?FAMILIAR",IF(F805="NEW",IF(ISNA(VLOOKUP(E805,#REF!,1,FALSE())),"?TYPE_IDENTIFIABLE","?REFERENTIAL"),"_")))))</f>
        <v/>
      </c>
      <c r="H805" s="12" t="str">
        <f t="shared" si="29"/>
        <v/>
      </c>
    </row>
    <row r="806" spans="1:8" x14ac:dyDescent="0.35">
      <c r="A806" t="s">
        <v>420</v>
      </c>
      <c r="B806" t="s">
        <v>54</v>
      </c>
      <c r="C806" t="s">
        <v>108</v>
      </c>
      <c r="E806" s="9" t="str">
        <f t="shared" si="28"/>
        <v/>
      </c>
      <c r="F806" s="10" t="str">
        <f>IF(OR(E806="",E806="!!!"),"",IF(NOT(ISNA(VLOOKUP(E806,E$1:E805,1,FALSE()))),"OLD",IF(AND(E806&lt;&gt;"",E806&lt;&gt;"!!!"),"NEW","")))</f>
        <v/>
      </c>
      <c r="G806" s="11" t="str">
        <f>IF(OR(E806="",E806="!!!"),"",IF(OR(J806=0,AND(J806=1,K806=1),AND(J806=1,I806="SBJ"),AND(J806=1,I806=0)),"?IN_FOCUS",IF(J806&lt;=2,"?ACTIVATED",IF(J806&lt;&gt;"","?FAMILIAR",IF(F806="NEW",IF(ISNA(VLOOKUP(E806,#REF!,1,FALSE())),"?TYPE_IDENTIFIABLE","?REFERENTIAL"),"_")))))</f>
        <v/>
      </c>
      <c r="H806" s="12" t="str">
        <f t="shared" si="29"/>
        <v/>
      </c>
    </row>
    <row r="807" spans="1:8" x14ac:dyDescent="0.35">
      <c r="A807" t="s">
        <v>110</v>
      </c>
      <c r="B807" t="s">
        <v>41</v>
      </c>
      <c r="C807" t="s">
        <v>33</v>
      </c>
      <c r="D807" t="s">
        <v>16</v>
      </c>
      <c r="E807" s="9" t="str">
        <f t="shared" si="28"/>
        <v>!!!</v>
      </c>
      <c r="F807" s="10" t="str">
        <f>IF(OR(E807="",E807="!!!"),"",IF(NOT(ISNA(VLOOKUP(E807,E$1:E806,1,FALSE()))),"OLD",IF(AND(E807&lt;&gt;"",E807&lt;&gt;"!!!"),"NEW","")))</f>
        <v/>
      </c>
      <c r="G807" s="11" t="str">
        <f>IF(OR(E807="",E807="!!!"),"",IF(OR(J807=0,AND(J807=1,K807=1),AND(J807=1,I807="SBJ"),AND(J807=1,I807=0)),"?IN_FOCUS",IF(J807&lt;=2,"?ACTIVATED",IF(J807&lt;&gt;"","?FAMILIAR",IF(F807="NEW",IF(ISNA(VLOOKUP(E807,#REF!,1,FALSE())),"?TYPE_IDENTIFIABLE","?REFERENTIAL"),"_")))))</f>
        <v/>
      </c>
      <c r="H807" s="12" t="str">
        <f t="shared" si="29"/>
        <v/>
      </c>
    </row>
    <row r="808" spans="1:8" x14ac:dyDescent="0.35">
      <c r="A808" t="s">
        <v>421</v>
      </c>
      <c r="E808" s="9" t="str">
        <f t="shared" si="28"/>
        <v/>
      </c>
      <c r="F808" s="10" t="str">
        <f>IF(OR(E808="",E808="!!!"),"",IF(NOT(ISNA(VLOOKUP(E808,E$1:E807,1,FALSE()))),"OLD",IF(AND(E808&lt;&gt;"",E808&lt;&gt;"!!!"),"NEW","")))</f>
        <v/>
      </c>
      <c r="G808" s="11" t="str">
        <f>IF(OR(E808="",E808="!!!"),"",IF(OR(J808=0,AND(J808=1,K808=1),AND(J808=1,I808="SBJ"),AND(J808=1,I808=0)),"?IN_FOCUS",IF(J808&lt;=2,"?ACTIVATED",IF(J808&lt;&gt;"","?FAMILIAR",IF(F808="NEW",IF(ISNA(VLOOKUP(E808,#REF!,1,FALSE())),"?TYPE_IDENTIFIABLE","?REFERENTIAL"),"_")))))</f>
        <v/>
      </c>
      <c r="H808" s="12" t="str">
        <f t="shared" si="29"/>
        <v/>
      </c>
    </row>
    <row r="809" spans="1:8" x14ac:dyDescent="0.35">
      <c r="A809" t="s">
        <v>34</v>
      </c>
      <c r="E809" s="9" t="str">
        <f t="shared" si="28"/>
        <v/>
      </c>
      <c r="F809" s="10" t="str">
        <f>IF(OR(E809="",E809="!!!"),"",IF(NOT(ISNA(VLOOKUP(E809,E$1:E808,1,FALSE()))),"OLD",IF(AND(E809&lt;&gt;"",E809&lt;&gt;"!!!"),"NEW","")))</f>
        <v/>
      </c>
      <c r="G809" s="11" t="str">
        <f>IF(OR(E809="",E809="!!!"),"",IF(OR(J809=0,AND(J809=1,K809=1),AND(J809=1,I809="SBJ"),AND(J809=1,I809=0)),"?IN_FOCUS",IF(J809&lt;=2,"?ACTIVATED",IF(J809&lt;&gt;"","?FAMILIAR",IF(F809="NEW",IF(ISNA(VLOOKUP(E809,#REF!,1,FALSE())),"?TYPE_IDENTIFIABLE","?REFERENTIAL"),"_")))))</f>
        <v/>
      </c>
      <c r="H809" s="12" t="str">
        <f t="shared" si="29"/>
        <v/>
      </c>
    </row>
    <row r="810" spans="1:8" x14ac:dyDescent="0.35">
      <c r="A810" t="s">
        <v>422</v>
      </c>
      <c r="E810" s="9" t="str">
        <f t="shared" si="28"/>
        <v/>
      </c>
      <c r="F810" s="10" t="str">
        <f>IF(OR(E810="",E810="!!!"),"",IF(NOT(ISNA(VLOOKUP(E810,E$1:E809,1,FALSE()))),"OLD",IF(AND(E810&lt;&gt;"",E810&lt;&gt;"!!!"),"NEW","")))</f>
        <v/>
      </c>
      <c r="G810" s="11" t="str">
        <f>IF(OR(E810="",E810="!!!"),"",IF(OR(J810=0,AND(J810=1,K810=1),AND(J810=1,I810="SBJ"),AND(J810=1,I810=0)),"?IN_FOCUS",IF(J810&lt;=2,"?ACTIVATED",IF(J810&lt;&gt;"","?FAMILIAR",IF(F810="NEW",IF(ISNA(VLOOKUP(E810,#REF!,1,FALSE())),"?TYPE_IDENTIFIABLE","?REFERENTIAL"),"_")))))</f>
        <v/>
      </c>
      <c r="H810" s="12" t="str">
        <f t="shared" si="29"/>
        <v/>
      </c>
    </row>
    <row r="811" spans="1:8" x14ac:dyDescent="0.35">
      <c r="A811" t="s">
        <v>423</v>
      </c>
      <c r="B811" t="s">
        <v>95</v>
      </c>
      <c r="C811" t="s">
        <v>37</v>
      </c>
      <c r="E811" s="9" t="str">
        <f t="shared" si="28"/>
        <v/>
      </c>
      <c r="F811" s="10" t="str">
        <f>IF(OR(E811="",E811="!!!"),"",IF(NOT(ISNA(VLOOKUP(E811,E$1:E810,1,FALSE()))),"OLD",IF(AND(E811&lt;&gt;"",E811&lt;&gt;"!!!"),"NEW","")))</f>
        <v/>
      </c>
      <c r="G811" s="11" t="str">
        <f>IF(OR(E811="",E811="!!!"),"",IF(OR(J811=0,AND(J811=1,K811=1),AND(J811=1,I811="SBJ"),AND(J811=1,I811=0)),"?IN_FOCUS",IF(J811&lt;=2,"?ACTIVATED",IF(J811&lt;&gt;"","?FAMILIAR",IF(F811="NEW",IF(ISNA(VLOOKUP(E811,#REF!,1,FALSE())),"?TYPE_IDENTIFIABLE","?REFERENTIAL"),"_")))))</f>
        <v/>
      </c>
      <c r="H811" s="12" t="str">
        <f t="shared" si="29"/>
        <v/>
      </c>
    </row>
    <row r="812" spans="1:8" x14ac:dyDescent="0.35">
      <c r="A812" t="s">
        <v>110</v>
      </c>
      <c r="B812" t="s">
        <v>308</v>
      </c>
      <c r="C812" t="s">
        <v>33</v>
      </c>
      <c r="D812" t="s">
        <v>16</v>
      </c>
      <c r="E812" s="9" t="str">
        <f t="shared" si="28"/>
        <v>!!!</v>
      </c>
      <c r="F812" s="10" t="str">
        <f>IF(OR(E812="",E812="!!!"),"",IF(NOT(ISNA(VLOOKUP(E812,E$1:E811,1,FALSE()))),"OLD",IF(AND(E812&lt;&gt;"",E812&lt;&gt;"!!!"),"NEW","")))</f>
        <v/>
      </c>
      <c r="G812" s="11" t="str">
        <f>IF(OR(E812="",E812="!!!"),"",IF(OR(J812=0,AND(J812=1,K812=1),AND(J812=1,I812="SBJ"),AND(J812=1,I812=0)),"?IN_FOCUS",IF(J812&lt;=2,"?ACTIVATED",IF(J812&lt;&gt;"","?FAMILIAR",IF(F812="NEW",IF(ISNA(VLOOKUP(E812,#REF!,1,FALSE())),"?TYPE_IDENTIFIABLE","?REFERENTIAL"),"_")))))</f>
        <v/>
      </c>
      <c r="H812" s="12" t="str">
        <f t="shared" si="29"/>
        <v/>
      </c>
    </row>
    <row r="813" spans="1:8" x14ac:dyDescent="0.35">
      <c r="A813" t="s">
        <v>144</v>
      </c>
      <c r="E813" s="9" t="str">
        <f t="shared" si="28"/>
        <v/>
      </c>
      <c r="F813" s="10" t="str">
        <f>IF(OR(E813="",E813="!!!"),"",IF(NOT(ISNA(VLOOKUP(E813,E$1:E812,1,FALSE()))),"OLD",IF(AND(E813&lt;&gt;"",E813&lt;&gt;"!!!"),"NEW","")))</f>
        <v/>
      </c>
      <c r="G813" s="11" t="str">
        <f>IF(OR(E813="",E813="!!!"),"",IF(OR(J813=0,AND(J813=1,K813=1),AND(J813=1,I813="SBJ"),AND(J813=1,I813=0)),"?IN_FOCUS",IF(J813&lt;=2,"?ACTIVATED",IF(J813&lt;&gt;"","?FAMILIAR",IF(F813="NEW",IF(ISNA(VLOOKUP(E813,#REF!,1,FALSE())),"?TYPE_IDENTIFIABLE","?REFERENTIAL"),"_")))))</f>
        <v/>
      </c>
      <c r="H813" s="12" t="str">
        <f t="shared" si="29"/>
        <v/>
      </c>
    </row>
    <row r="814" spans="1:8" x14ac:dyDescent="0.35">
      <c r="A814" t="s">
        <v>424</v>
      </c>
      <c r="E814" s="9" t="str">
        <f t="shared" si="28"/>
        <v/>
      </c>
      <c r="F814" s="10" t="str">
        <f>IF(OR(E814="",E814="!!!"),"",IF(NOT(ISNA(VLOOKUP(E814,E$1:E813,1,FALSE()))),"OLD",IF(AND(E814&lt;&gt;"",E814&lt;&gt;"!!!"),"NEW","")))</f>
        <v/>
      </c>
      <c r="G814" s="11" t="str">
        <f>IF(OR(E814="",E814="!!!"),"",IF(OR(J814=0,AND(J814=1,K814=1),AND(J814=1,I814="SBJ"),AND(J814=1,I814=0)),"?IN_FOCUS",IF(J814&lt;=2,"?ACTIVATED",IF(J814&lt;&gt;"","?FAMILIAR",IF(F814="NEW",IF(ISNA(VLOOKUP(E814,#REF!,1,FALSE())),"?TYPE_IDENTIFIABLE","?REFERENTIAL"),"_")))))</f>
        <v/>
      </c>
      <c r="H814" s="12" t="str">
        <f t="shared" si="29"/>
        <v/>
      </c>
    </row>
    <row r="815" spans="1:8" x14ac:dyDescent="0.35">
      <c r="A815" t="s">
        <v>425</v>
      </c>
      <c r="E815" s="9" t="str">
        <f t="shared" si="28"/>
        <v/>
      </c>
      <c r="F815" s="10" t="str">
        <f>IF(OR(E815="",E815="!!!"),"",IF(NOT(ISNA(VLOOKUP(E815,E$1:E814,1,FALSE()))),"OLD",IF(AND(E815&lt;&gt;"",E815&lt;&gt;"!!!"),"NEW","")))</f>
        <v/>
      </c>
      <c r="G815" s="11" t="str">
        <f>IF(OR(E815="",E815="!!!"),"",IF(OR(J815=0,AND(J815=1,K815=1),AND(J815=1,I815="SBJ"),AND(J815=1,I815=0)),"?IN_FOCUS",IF(J815&lt;=2,"?ACTIVATED",IF(J815&lt;&gt;"","?FAMILIAR",IF(F815="NEW",IF(ISNA(VLOOKUP(E815,#REF!,1,FALSE())),"?TYPE_IDENTIFIABLE","?REFERENTIAL"),"_")))))</f>
        <v/>
      </c>
      <c r="H815" s="12" t="str">
        <f t="shared" si="29"/>
        <v/>
      </c>
    </row>
    <row r="816" spans="1:8" x14ac:dyDescent="0.35">
      <c r="A816" t="s">
        <v>426</v>
      </c>
      <c r="E816" s="9" t="str">
        <f t="shared" si="28"/>
        <v/>
      </c>
      <c r="F816" s="10" t="str">
        <f>IF(OR(E816="",E816="!!!"),"",IF(NOT(ISNA(VLOOKUP(E816,E$1:E815,1,FALSE()))),"OLD",IF(AND(E816&lt;&gt;"",E816&lt;&gt;"!!!"),"NEW","")))</f>
        <v/>
      </c>
      <c r="G816" s="11" t="str">
        <f>IF(OR(E816="",E816="!!!"),"",IF(OR(J816=0,AND(J816=1,K816=1),AND(J816=1,I816="SBJ"),AND(J816=1,I816=0)),"?IN_FOCUS",IF(J816&lt;=2,"?ACTIVATED",IF(J816&lt;&gt;"","?FAMILIAR",IF(F816="NEW",IF(ISNA(VLOOKUP(E816,#REF!,1,FALSE())),"?TYPE_IDENTIFIABLE","?REFERENTIAL"),"_")))))</f>
        <v/>
      </c>
      <c r="H816" s="12" t="str">
        <f t="shared" si="29"/>
        <v/>
      </c>
    </row>
    <row r="817" spans="1:8" x14ac:dyDescent="0.35">
      <c r="A817" t="s">
        <v>58</v>
      </c>
      <c r="E817" s="9" t="str">
        <f t="shared" si="28"/>
        <v/>
      </c>
      <c r="F817" s="10" t="str">
        <f>IF(OR(E817="",E817="!!!"),"",IF(NOT(ISNA(VLOOKUP(E817,E$1:E816,1,FALSE()))),"OLD",IF(AND(E817&lt;&gt;"",E817&lt;&gt;"!!!"),"NEW","")))</f>
        <v/>
      </c>
      <c r="G817" s="11" t="str">
        <f>IF(OR(E817="",E817="!!!"),"",IF(OR(J817=0,AND(J817=1,K817=1),AND(J817=1,I817="SBJ"),AND(J817=1,I817=0)),"?IN_FOCUS",IF(J817&lt;=2,"?ACTIVATED",IF(J817&lt;&gt;"","?FAMILIAR",IF(F817="NEW",IF(ISNA(VLOOKUP(E817,#REF!,1,FALSE())),"?TYPE_IDENTIFIABLE","?REFERENTIAL"),"_")))))</f>
        <v/>
      </c>
      <c r="H817" s="12" t="str">
        <f t="shared" si="29"/>
        <v/>
      </c>
    </row>
    <row r="818" spans="1:8" x14ac:dyDescent="0.35">
      <c r="A818" t="s">
        <v>427</v>
      </c>
      <c r="E818" s="9" t="str">
        <f t="shared" si="28"/>
        <v/>
      </c>
      <c r="F818" s="10" t="str">
        <f>IF(OR(E818="",E818="!!!"),"",IF(NOT(ISNA(VLOOKUP(E818,E$1:E817,1,FALSE()))),"OLD",IF(AND(E818&lt;&gt;"",E818&lt;&gt;"!!!"),"NEW","")))</f>
        <v/>
      </c>
      <c r="G818" s="11" t="str">
        <f>IF(OR(E818="",E818="!!!"),"",IF(OR(J818=0,AND(J818=1,K818=1),AND(J818=1,I818="SBJ"),AND(J818=1,I818=0)),"?IN_FOCUS",IF(J818&lt;=2,"?ACTIVATED",IF(J818&lt;&gt;"","?FAMILIAR",IF(F818="NEW",IF(ISNA(VLOOKUP(E818,#REF!,1,FALSE())),"?TYPE_IDENTIFIABLE","?REFERENTIAL"),"_")))))</f>
        <v/>
      </c>
      <c r="H818" s="12" t="str">
        <f t="shared" si="29"/>
        <v/>
      </c>
    </row>
    <row r="819" spans="1:8" x14ac:dyDescent="0.35">
      <c r="A819" t="s">
        <v>428</v>
      </c>
      <c r="B819" t="s">
        <v>48</v>
      </c>
      <c r="C819" t="s">
        <v>99</v>
      </c>
      <c r="D819" t="s">
        <v>16</v>
      </c>
      <c r="E819" s="9" t="str">
        <f t="shared" si="28"/>
        <v>!!!</v>
      </c>
      <c r="F819" s="10" t="str">
        <f>IF(OR(E819="",E819="!!!"),"",IF(NOT(ISNA(VLOOKUP(E819,E$1:E818,1,FALSE()))),"OLD",IF(AND(E819&lt;&gt;"",E819&lt;&gt;"!!!"),"NEW","")))</f>
        <v/>
      </c>
      <c r="G819" s="11" t="str">
        <f>IF(OR(E819="",E819="!!!"),"",IF(OR(J819=0,AND(J819=1,K819=1),AND(J819=1,I819="SBJ"),AND(J819=1,I819=0)),"?IN_FOCUS",IF(J819&lt;=2,"?ACTIVATED",IF(J819&lt;&gt;"","?FAMILIAR",IF(F819="NEW",IF(ISNA(VLOOKUP(E819,#REF!,1,FALSE())),"?TYPE_IDENTIFIABLE","?REFERENTIAL"),"_")))))</f>
        <v/>
      </c>
      <c r="H819" s="12" t="str">
        <f t="shared" si="29"/>
        <v/>
      </c>
    </row>
    <row r="820" spans="1:8" x14ac:dyDescent="0.35">
      <c r="A820" t="s">
        <v>63</v>
      </c>
      <c r="E820" s="9" t="str">
        <f t="shared" si="28"/>
        <v/>
      </c>
      <c r="F820" s="10" t="str">
        <f>IF(OR(E820="",E820="!!!"),"",IF(NOT(ISNA(VLOOKUP(E820,E$1:E819,1,FALSE()))),"OLD",IF(AND(E820&lt;&gt;"",E820&lt;&gt;"!!!"),"NEW","")))</f>
        <v/>
      </c>
      <c r="G820" s="11" t="str">
        <f>IF(OR(E820="",E820="!!!"),"",IF(OR(J820=0,AND(J820=1,K820=1),AND(J820=1,I820="SBJ"),AND(J820=1,I820=0)),"?IN_FOCUS",IF(J820&lt;=2,"?ACTIVATED",IF(J820&lt;&gt;"","?FAMILIAR",IF(F820="NEW",IF(ISNA(VLOOKUP(E820,#REF!,1,FALSE())),"?TYPE_IDENTIFIABLE","?REFERENTIAL"),"_")))))</f>
        <v/>
      </c>
      <c r="H820" s="12" t="str">
        <f t="shared" si="29"/>
        <v/>
      </c>
    </row>
    <row r="821" spans="1:8" x14ac:dyDescent="0.35">
      <c r="E821" s="9" t="str">
        <f t="shared" si="28"/>
        <v/>
      </c>
      <c r="F821" s="10" t="str">
        <f>IF(OR(E821="",E821="!!!"),"",IF(NOT(ISNA(VLOOKUP(E821,E$1:E820,1,FALSE()))),"OLD",IF(AND(E821&lt;&gt;"",E821&lt;&gt;"!!!"),"NEW","")))</f>
        <v/>
      </c>
      <c r="G821" s="11" t="str">
        <f>IF(OR(E821="",E821="!!!"),"",IF(OR(J821=0,AND(J821=1,K821=1),AND(J821=1,I821="SBJ"),AND(J821=1,I821=0)),"?IN_FOCUS",IF(J821&lt;=2,"?ACTIVATED",IF(J821&lt;&gt;"","?FAMILIAR",IF(F821="NEW",IF(ISNA(VLOOKUP(E821,#REF!,1,FALSE())),"?TYPE_IDENTIFIABLE","?REFERENTIAL"),"_")))))</f>
        <v/>
      </c>
      <c r="H821" s="12" t="str">
        <f t="shared" si="29"/>
        <v/>
      </c>
    </row>
    <row r="822" spans="1:8" x14ac:dyDescent="0.35">
      <c r="A822" t="s">
        <v>429</v>
      </c>
      <c r="E822" s="9" t="str">
        <f t="shared" si="28"/>
        <v/>
      </c>
      <c r="F822" s="10" t="str">
        <f>IF(OR(E822="",E822="!!!"),"",IF(NOT(ISNA(VLOOKUP(E822,E$1:E821,1,FALSE()))),"OLD",IF(AND(E822&lt;&gt;"",E822&lt;&gt;"!!!"),"NEW","")))</f>
        <v/>
      </c>
      <c r="G822" s="11" t="str">
        <f>IF(OR(E822="",E822="!!!"),"",IF(OR(J822=0,AND(J822=1,K822=1),AND(J822=1,I822="SBJ"),AND(J822=1,I822=0)),"?IN_FOCUS",IF(J822&lt;=2,"?ACTIVATED",IF(J822&lt;&gt;"","?FAMILIAR",IF(F822="NEW",IF(ISNA(VLOOKUP(E822,#REF!,1,FALSE())),"?TYPE_IDENTIFIABLE","?REFERENTIAL"),"_")))))</f>
        <v/>
      </c>
      <c r="H822" s="12" t="str">
        <f t="shared" si="29"/>
        <v/>
      </c>
    </row>
    <row r="823" spans="1:8" x14ac:dyDescent="0.35">
      <c r="A823" t="s">
        <v>430</v>
      </c>
      <c r="E823" s="9" t="str">
        <f t="shared" ref="E823:E886" si="30">IF(D823="?OLD","!!!","")</f>
        <v/>
      </c>
      <c r="F823" s="10" t="str">
        <f>IF(OR(E823="",E823="!!!"),"",IF(NOT(ISNA(VLOOKUP(E823,E$1:E822,1,FALSE()))),"OLD",IF(AND(E823&lt;&gt;"",E823&lt;&gt;"!!!"),"NEW","")))</f>
        <v/>
      </c>
      <c r="G823" s="11" t="str">
        <f>IF(OR(E823="",E823="!!!"),"",IF(OR(J823=0,AND(J823=1,K823=1),AND(J823=1,I823="SBJ"),AND(J823=1,I823=0)),"?IN_FOCUS",IF(J823&lt;=2,"?ACTIVATED",IF(J823&lt;&gt;"","?FAMILIAR",IF(F823="NEW",IF(ISNA(VLOOKUP(E823,#REF!,1,FALSE())),"?TYPE_IDENTIFIABLE","?REFERENTIAL"),"_")))))</f>
        <v/>
      </c>
      <c r="H823" s="12" t="str">
        <f t="shared" ref="H823:H886" si="31">IF(J823&lt;&gt;1,"",IF(I823="SBJ","CB","?"))</f>
        <v/>
      </c>
    </row>
    <row r="824" spans="1:8" x14ac:dyDescent="0.35">
      <c r="A824" t="s">
        <v>83</v>
      </c>
      <c r="E824" s="9" t="str">
        <f t="shared" si="30"/>
        <v/>
      </c>
      <c r="F824" s="10" t="str">
        <f>IF(OR(E824="",E824="!!!"),"",IF(NOT(ISNA(VLOOKUP(E824,E$1:E823,1,FALSE()))),"OLD",IF(AND(E824&lt;&gt;"",E824&lt;&gt;"!!!"),"NEW","")))</f>
        <v/>
      </c>
      <c r="G824" s="11" t="str">
        <f>IF(OR(E824="",E824="!!!"),"",IF(OR(J824=0,AND(J824=1,K824=1),AND(J824=1,I824="SBJ"),AND(J824=1,I824=0)),"?IN_FOCUS",IF(J824&lt;=2,"?ACTIVATED",IF(J824&lt;&gt;"","?FAMILIAR",IF(F824="NEW",IF(ISNA(VLOOKUP(E824,#REF!,1,FALSE())),"?TYPE_IDENTIFIABLE","?REFERENTIAL"),"_")))))</f>
        <v/>
      </c>
      <c r="H824" s="12" t="str">
        <f t="shared" si="31"/>
        <v/>
      </c>
    </row>
    <row r="825" spans="1:8" x14ac:dyDescent="0.35">
      <c r="A825" t="s">
        <v>145</v>
      </c>
      <c r="E825" s="9" t="str">
        <f t="shared" si="30"/>
        <v/>
      </c>
      <c r="F825" s="10" t="str">
        <f>IF(OR(E825="",E825="!!!"),"",IF(NOT(ISNA(VLOOKUP(E825,E$1:E824,1,FALSE()))),"OLD",IF(AND(E825&lt;&gt;"",E825&lt;&gt;"!!!"),"NEW","")))</f>
        <v/>
      </c>
      <c r="G825" s="11" t="str">
        <f>IF(OR(E825="",E825="!!!"),"",IF(OR(J825=0,AND(J825=1,K825=1),AND(J825=1,I825="SBJ"),AND(J825=1,I825=0)),"?IN_FOCUS",IF(J825&lt;=2,"?ACTIVATED",IF(J825&lt;&gt;"","?FAMILIAR",IF(F825="NEW",IF(ISNA(VLOOKUP(E825,#REF!,1,FALSE())),"?TYPE_IDENTIFIABLE","?REFERENTIAL"),"_")))))</f>
        <v/>
      </c>
      <c r="H825" s="12" t="str">
        <f t="shared" si="31"/>
        <v/>
      </c>
    </row>
    <row r="826" spans="1:8" x14ac:dyDescent="0.35">
      <c r="A826" t="s">
        <v>336</v>
      </c>
      <c r="E826" s="9" t="str">
        <f t="shared" si="30"/>
        <v/>
      </c>
      <c r="F826" s="10" t="str">
        <f>IF(OR(E826="",E826="!!!"),"",IF(NOT(ISNA(VLOOKUP(E826,E$1:E825,1,FALSE()))),"OLD",IF(AND(E826&lt;&gt;"",E826&lt;&gt;"!!!"),"NEW","")))</f>
        <v/>
      </c>
      <c r="G826" s="11" t="str">
        <f>IF(OR(E826="",E826="!!!"),"",IF(OR(J826=0,AND(J826=1,K826=1),AND(J826=1,I826="SBJ"),AND(J826=1,I826=0)),"?IN_FOCUS",IF(J826&lt;=2,"?ACTIVATED",IF(J826&lt;&gt;"","?FAMILIAR",IF(F826="NEW",IF(ISNA(VLOOKUP(E826,#REF!,1,FALSE())),"?TYPE_IDENTIFIABLE","?REFERENTIAL"),"_")))))</f>
        <v/>
      </c>
      <c r="H826" s="12" t="str">
        <f t="shared" si="31"/>
        <v/>
      </c>
    </row>
    <row r="827" spans="1:8" x14ac:dyDescent="0.35">
      <c r="A827" t="s">
        <v>431</v>
      </c>
      <c r="B827" t="s">
        <v>14</v>
      </c>
      <c r="C827" t="s">
        <v>339</v>
      </c>
      <c r="E827" s="9" t="str">
        <f t="shared" si="30"/>
        <v/>
      </c>
      <c r="F827" s="10" t="str">
        <f>IF(OR(E827="",E827="!!!"),"",IF(NOT(ISNA(VLOOKUP(E827,E$1:E826,1,FALSE()))),"OLD",IF(AND(E827&lt;&gt;"",E827&lt;&gt;"!!!"),"NEW","")))</f>
        <v/>
      </c>
      <c r="G827" s="11" t="str">
        <f>IF(OR(E827="",E827="!!!"),"",IF(OR(J827=0,AND(J827=1,K827=1),AND(J827=1,I827="SBJ"),AND(J827=1,I827=0)),"?IN_FOCUS",IF(J827&lt;=2,"?ACTIVATED",IF(J827&lt;&gt;"","?FAMILIAR",IF(F827="NEW",IF(ISNA(VLOOKUP(E827,#REF!,1,FALSE())),"?TYPE_IDENTIFIABLE","?REFERENTIAL"),"_")))))</f>
        <v/>
      </c>
      <c r="H827" s="12" t="str">
        <f t="shared" si="31"/>
        <v/>
      </c>
    </row>
    <row r="828" spans="1:8" x14ac:dyDescent="0.35">
      <c r="A828" t="s">
        <v>123</v>
      </c>
      <c r="E828" s="9" t="str">
        <f t="shared" si="30"/>
        <v/>
      </c>
      <c r="F828" s="10" t="str">
        <f>IF(OR(E828="",E828="!!!"),"",IF(NOT(ISNA(VLOOKUP(E828,E$1:E827,1,FALSE()))),"OLD",IF(AND(E828&lt;&gt;"",E828&lt;&gt;"!!!"),"NEW","")))</f>
        <v/>
      </c>
      <c r="G828" s="11" t="str">
        <f>IF(OR(E828="",E828="!!!"),"",IF(OR(J828=0,AND(J828=1,K828=1),AND(J828=1,I828="SBJ"),AND(J828=1,I828=0)),"?IN_FOCUS",IF(J828&lt;=2,"?ACTIVATED",IF(J828&lt;&gt;"","?FAMILIAR",IF(F828="NEW",IF(ISNA(VLOOKUP(E828,#REF!,1,FALSE())),"?TYPE_IDENTIFIABLE","?REFERENTIAL"),"_")))))</f>
        <v/>
      </c>
      <c r="H828" s="12" t="str">
        <f t="shared" si="31"/>
        <v/>
      </c>
    </row>
    <row r="829" spans="1:8" x14ac:dyDescent="0.35">
      <c r="A829" t="s">
        <v>58</v>
      </c>
      <c r="E829" s="9" t="str">
        <f t="shared" si="30"/>
        <v/>
      </c>
      <c r="F829" s="10" t="str">
        <f>IF(OR(E829="",E829="!!!"),"",IF(NOT(ISNA(VLOOKUP(E829,E$1:E828,1,FALSE()))),"OLD",IF(AND(E829&lt;&gt;"",E829&lt;&gt;"!!!"),"NEW","")))</f>
        <v/>
      </c>
      <c r="G829" s="11" t="str">
        <f>IF(OR(E829="",E829="!!!"),"",IF(OR(J829=0,AND(J829=1,K829=1),AND(J829=1,I829="SBJ"),AND(J829=1,I829=0)),"?IN_FOCUS",IF(J829&lt;=2,"?ACTIVATED",IF(J829&lt;&gt;"","?FAMILIAR",IF(F829="NEW",IF(ISNA(VLOOKUP(E829,#REF!,1,FALSE())),"?TYPE_IDENTIFIABLE","?REFERENTIAL"),"_")))))</f>
        <v/>
      </c>
      <c r="H829" s="12" t="str">
        <f t="shared" si="31"/>
        <v/>
      </c>
    </row>
    <row r="830" spans="1:8" x14ac:dyDescent="0.35">
      <c r="A830" t="s">
        <v>387</v>
      </c>
      <c r="B830" t="s">
        <v>24</v>
      </c>
      <c r="C830" t="s">
        <v>99</v>
      </c>
      <c r="D830" t="s">
        <v>16</v>
      </c>
      <c r="E830" s="9" t="str">
        <f t="shared" si="30"/>
        <v>!!!</v>
      </c>
      <c r="F830" s="10" t="str">
        <f>IF(OR(E830="",E830="!!!"),"",IF(NOT(ISNA(VLOOKUP(E830,E$1:E829,1,FALSE()))),"OLD",IF(AND(E830&lt;&gt;"",E830&lt;&gt;"!!!"),"NEW","")))</f>
        <v/>
      </c>
      <c r="G830" s="11" t="str">
        <f>IF(OR(E830="",E830="!!!"),"",IF(OR(J830=0,AND(J830=1,K830=1),AND(J830=1,I830="SBJ"),AND(J830=1,I830=0)),"?IN_FOCUS",IF(J830&lt;=2,"?ACTIVATED",IF(J830&lt;&gt;"","?FAMILIAR",IF(F830="NEW",IF(ISNA(VLOOKUP(E830,#REF!,1,FALSE())),"?TYPE_IDENTIFIABLE","?REFERENTIAL"),"_")))))</f>
        <v/>
      </c>
      <c r="H830" s="12" t="str">
        <f t="shared" si="31"/>
        <v/>
      </c>
    </row>
    <row r="831" spans="1:8" x14ac:dyDescent="0.35">
      <c r="A831" t="s">
        <v>26</v>
      </c>
      <c r="E831" s="9" t="str">
        <f t="shared" si="30"/>
        <v/>
      </c>
      <c r="F831" s="10" t="str">
        <f>IF(OR(E831="",E831="!!!"),"",IF(NOT(ISNA(VLOOKUP(E831,E$1:E830,1,FALSE()))),"OLD",IF(AND(E831&lt;&gt;"",E831&lt;&gt;"!!!"),"NEW","")))</f>
        <v/>
      </c>
      <c r="G831" s="11" t="str">
        <f>IF(OR(E831="",E831="!!!"),"",IF(OR(J831=0,AND(J831=1,K831=1),AND(J831=1,I831="SBJ"),AND(J831=1,I831=0)),"?IN_FOCUS",IF(J831&lt;=2,"?ACTIVATED",IF(J831&lt;&gt;"","?FAMILIAR",IF(F831="NEW",IF(ISNA(VLOOKUP(E831,#REF!,1,FALSE())),"?TYPE_IDENTIFIABLE","?REFERENTIAL"),"_")))))</f>
        <v/>
      </c>
      <c r="H831" s="12" t="str">
        <f t="shared" si="31"/>
        <v/>
      </c>
    </row>
    <row r="832" spans="1:8" x14ac:dyDescent="0.35">
      <c r="A832" t="s">
        <v>432</v>
      </c>
      <c r="B832" t="s">
        <v>24</v>
      </c>
      <c r="C832" t="s">
        <v>21</v>
      </c>
      <c r="D832" t="s">
        <v>16</v>
      </c>
      <c r="E832" s="9" t="str">
        <f t="shared" si="30"/>
        <v>!!!</v>
      </c>
      <c r="F832" s="10" t="str">
        <f>IF(OR(E832="",E832="!!!"),"",IF(NOT(ISNA(VLOOKUP(E832,E$1:E831,1,FALSE()))),"OLD",IF(AND(E832&lt;&gt;"",E832&lt;&gt;"!!!"),"NEW","")))</f>
        <v/>
      </c>
      <c r="G832" s="11" t="str">
        <f>IF(OR(E832="",E832="!!!"),"",IF(OR(J832=0,AND(J832=1,K832=1),AND(J832=1,I832="SBJ"),AND(J832=1,I832=0)),"?IN_FOCUS",IF(J832&lt;=2,"?ACTIVATED",IF(J832&lt;&gt;"","?FAMILIAR",IF(F832="NEW",IF(ISNA(VLOOKUP(E832,#REF!,1,FALSE())),"?TYPE_IDENTIFIABLE","?REFERENTIAL"),"_")))))</f>
        <v/>
      </c>
      <c r="H832" s="12" t="str">
        <f t="shared" si="31"/>
        <v/>
      </c>
    </row>
    <row r="833" spans="1:8" x14ac:dyDescent="0.35">
      <c r="A833" t="s">
        <v>433</v>
      </c>
      <c r="E833" s="9" t="str">
        <f t="shared" si="30"/>
        <v/>
      </c>
      <c r="F833" s="10" t="str">
        <f>IF(OR(E833="",E833="!!!"),"",IF(NOT(ISNA(VLOOKUP(E833,E$1:E832,1,FALSE()))),"OLD",IF(AND(E833&lt;&gt;"",E833&lt;&gt;"!!!"),"NEW","")))</f>
        <v/>
      </c>
      <c r="G833" s="11" t="str">
        <f>IF(OR(E833="",E833="!!!"),"",IF(OR(J833=0,AND(J833=1,K833=1),AND(J833=1,I833="SBJ"),AND(J833=1,I833=0)),"?IN_FOCUS",IF(J833&lt;=2,"?ACTIVATED",IF(J833&lt;&gt;"","?FAMILIAR",IF(F833="NEW",IF(ISNA(VLOOKUP(E833,#REF!,1,FALSE())),"?TYPE_IDENTIFIABLE","?REFERENTIAL"),"_")))))</f>
        <v/>
      </c>
      <c r="H833" s="12" t="str">
        <f t="shared" si="31"/>
        <v/>
      </c>
    </row>
    <row r="834" spans="1:8" x14ac:dyDescent="0.35">
      <c r="A834" t="s">
        <v>76</v>
      </c>
      <c r="E834" s="9" t="str">
        <f t="shared" si="30"/>
        <v/>
      </c>
      <c r="F834" s="10" t="str">
        <f>IF(OR(E834="",E834="!!!"),"",IF(NOT(ISNA(VLOOKUP(E834,E$1:E833,1,FALSE()))),"OLD",IF(AND(E834&lt;&gt;"",E834&lt;&gt;"!!!"),"NEW","")))</f>
        <v/>
      </c>
      <c r="G834" s="11" t="str">
        <f>IF(OR(E834="",E834="!!!"),"",IF(OR(J834=0,AND(J834=1,K834=1),AND(J834=1,I834="SBJ"),AND(J834=1,I834=0)),"?IN_FOCUS",IF(J834&lt;=2,"?ACTIVATED",IF(J834&lt;&gt;"","?FAMILIAR",IF(F834="NEW",IF(ISNA(VLOOKUP(E834,#REF!,1,FALSE())),"?TYPE_IDENTIFIABLE","?REFERENTIAL"),"_")))))</f>
        <v/>
      </c>
      <c r="H834" s="12" t="str">
        <f t="shared" si="31"/>
        <v/>
      </c>
    </row>
    <row r="835" spans="1:8" x14ac:dyDescent="0.35">
      <c r="A835" t="s">
        <v>434</v>
      </c>
      <c r="B835" t="s">
        <v>24</v>
      </c>
      <c r="C835" t="s">
        <v>21</v>
      </c>
      <c r="D835" t="s">
        <v>16</v>
      </c>
      <c r="E835" s="9" t="str">
        <f t="shared" si="30"/>
        <v>!!!</v>
      </c>
      <c r="F835" s="10" t="str">
        <f>IF(OR(E835="",E835="!!!"),"",IF(NOT(ISNA(VLOOKUP(E835,E$1:E834,1,FALSE()))),"OLD",IF(AND(E835&lt;&gt;"",E835&lt;&gt;"!!!"),"NEW","")))</f>
        <v/>
      </c>
      <c r="G835" s="11" t="str">
        <f>IF(OR(E835="",E835="!!!"),"",IF(OR(J835=0,AND(J835=1,K835=1),AND(J835=1,I835="SBJ"),AND(J835=1,I835=0)),"?IN_FOCUS",IF(J835&lt;=2,"?ACTIVATED",IF(J835&lt;&gt;"","?FAMILIAR",IF(F835="NEW",IF(ISNA(VLOOKUP(E835,#REF!,1,FALSE())),"?TYPE_IDENTIFIABLE","?REFERENTIAL"),"_")))))</f>
        <v/>
      </c>
      <c r="H835" s="12" t="str">
        <f t="shared" si="31"/>
        <v/>
      </c>
    </row>
    <row r="836" spans="1:8" x14ac:dyDescent="0.35">
      <c r="A836" t="s">
        <v>63</v>
      </c>
      <c r="E836" s="9" t="str">
        <f t="shared" si="30"/>
        <v/>
      </c>
      <c r="F836" s="10" t="str">
        <f>IF(OR(E836="",E836="!!!"),"",IF(NOT(ISNA(VLOOKUP(E836,E$1:E835,1,FALSE()))),"OLD",IF(AND(E836&lt;&gt;"",E836&lt;&gt;"!!!"),"NEW","")))</f>
        <v/>
      </c>
      <c r="G836" s="11" t="str">
        <f>IF(OR(E836="",E836="!!!"),"",IF(OR(J836=0,AND(J836=1,K836=1),AND(J836=1,I836="SBJ"),AND(J836=1,I836=0)),"?IN_FOCUS",IF(J836&lt;=2,"?ACTIVATED",IF(J836&lt;&gt;"","?FAMILIAR",IF(F836="NEW",IF(ISNA(VLOOKUP(E836,#REF!,1,FALSE())),"?TYPE_IDENTIFIABLE","?REFERENTIAL"),"_")))))</f>
        <v/>
      </c>
      <c r="H836" s="12" t="str">
        <f t="shared" si="31"/>
        <v/>
      </c>
    </row>
    <row r="837" spans="1:8" x14ac:dyDescent="0.35">
      <c r="E837" s="9" t="str">
        <f t="shared" si="30"/>
        <v/>
      </c>
      <c r="F837" s="10" t="str">
        <f>IF(OR(E837="",E837="!!!"),"",IF(NOT(ISNA(VLOOKUP(E837,E$1:E836,1,FALSE()))),"OLD",IF(AND(E837&lt;&gt;"",E837&lt;&gt;"!!!"),"NEW","")))</f>
        <v/>
      </c>
      <c r="G837" s="11" t="str">
        <f>IF(OR(E837="",E837="!!!"),"",IF(OR(J837=0,AND(J837=1,K837=1),AND(J837=1,I837="SBJ"),AND(J837=1,I837=0)),"?IN_FOCUS",IF(J837&lt;=2,"?ACTIVATED",IF(J837&lt;&gt;"","?FAMILIAR",IF(F837="NEW",IF(ISNA(VLOOKUP(E837,#REF!,1,FALSE())),"?TYPE_IDENTIFIABLE","?REFERENTIAL"),"_")))))</f>
        <v/>
      </c>
      <c r="H837" s="12" t="str">
        <f t="shared" si="31"/>
        <v/>
      </c>
    </row>
    <row r="838" spans="1:8" x14ac:dyDescent="0.35">
      <c r="A838" t="s">
        <v>435</v>
      </c>
      <c r="E838" s="9" t="str">
        <f t="shared" si="30"/>
        <v/>
      </c>
      <c r="F838" s="10" t="str">
        <f>IF(OR(E838="",E838="!!!"),"",IF(NOT(ISNA(VLOOKUP(E838,E$1:E837,1,FALSE()))),"OLD",IF(AND(E838&lt;&gt;"",E838&lt;&gt;"!!!"),"NEW","")))</f>
        <v/>
      </c>
      <c r="G838" s="11" t="str">
        <f>IF(OR(E838="",E838="!!!"),"",IF(OR(J838=0,AND(J838=1,K838=1),AND(J838=1,I838="SBJ"),AND(J838=1,I838=0)),"?IN_FOCUS",IF(J838&lt;=2,"?ACTIVATED",IF(J838&lt;&gt;"","?FAMILIAR",IF(F838="NEW",IF(ISNA(VLOOKUP(E838,#REF!,1,FALSE())),"?TYPE_IDENTIFIABLE","?REFERENTIAL"),"_")))))</f>
        <v/>
      </c>
      <c r="H838" s="12" t="str">
        <f t="shared" si="31"/>
        <v/>
      </c>
    </row>
    <row r="839" spans="1:8" x14ac:dyDescent="0.35">
      <c r="A839" t="s">
        <v>436</v>
      </c>
      <c r="B839" t="s">
        <v>14</v>
      </c>
      <c r="C839" t="s">
        <v>33</v>
      </c>
      <c r="D839" t="s">
        <v>16</v>
      </c>
      <c r="E839" s="9" t="str">
        <f t="shared" si="30"/>
        <v>!!!</v>
      </c>
      <c r="F839" s="10" t="str">
        <f>IF(OR(E839="",E839="!!!"),"",IF(NOT(ISNA(VLOOKUP(E839,E$1:E838,1,FALSE()))),"OLD",IF(AND(E839&lt;&gt;"",E839&lt;&gt;"!!!"),"NEW","")))</f>
        <v/>
      </c>
      <c r="G839" s="11" t="str">
        <f>IF(OR(E839="",E839="!!!"),"",IF(OR(J839=0,AND(J839=1,K839=1),AND(J839=1,I839="SBJ"),AND(J839=1,I839=0)),"?IN_FOCUS",IF(J839&lt;=2,"?ACTIVATED",IF(J839&lt;&gt;"","?FAMILIAR",IF(F839="NEW",IF(ISNA(VLOOKUP(E839,#REF!,1,FALSE())),"?TYPE_IDENTIFIABLE","?REFERENTIAL"),"_")))))</f>
        <v/>
      </c>
      <c r="H839" s="12" t="str">
        <f t="shared" si="31"/>
        <v/>
      </c>
    </row>
    <row r="840" spans="1:8" x14ac:dyDescent="0.35">
      <c r="A840" t="s">
        <v>437</v>
      </c>
      <c r="E840" s="9" t="str">
        <f t="shared" si="30"/>
        <v/>
      </c>
      <c r="F840" s="10" t="str">
        <f>IF(OR(E840="",E840="!!!"),"",IF(NOT(ISNA(VLOOKUP(E840,E$1:E839,1,FALSE()))),"OLD",IF(AND(E840&lt;&gt;"",E840&lt;&gt;"!!!"),"NEW","")))</f>
        <v/>
      </c>
      <c r="G840" s="11" t="str">
        <f>IF(OR(E840="",E840="!!!"),"",IF(OR(J840=0,AND(J840=1,K840=1),AND(J840=1,I840="SBJ"),AND(J840=1,I840=0)),"?IN_FOCUS",IF(J840&lt;=2,"?ACTIVATED",IF(J840&lt;&gt;"","?FAMILIAR",IF(F840="NEW",IF(ISNA(VLOOKUP(E840,#REF!,1,FALSE())),"?TYPE_IDENTIFIABLE","?REFERENTIAL"),"_")))))</f>
        <v/>
      </c>
      <c r="H840" s="12" t="str">
        <f t="shared" si="31"/>
        <v/>
      </c>
    </row>
    <row r="841" spans="1:8" x14ac:dyDescent="0.35">
      <c r="A841" t="s">
        <v>159</v>
      </c>
      <c r="E841" s="9" t="str">
        <f t="shared" si="30"/>
        <v/>
      </c>
      <c r="F841" s="10" t="str">
        <f>IF(OR(E841="",E841="!!!"),"",IF(NOT(ISNA(VLOOKUP(E841,E$1:E840,1,FALSE()))),"OLD",IF(AND(E841&lt;&gt;"",E841&lt;&gt;"!!!"),"NEW","")))</f>
        <v/>
      </c>
      <c r="G841" s="11" t="str">
        <f>IF(OR(E841="",E841="!!!"),"",IF(OR(J841=0,AND(J841=1,K841=1),AND(J841=1,I841="SBJ"),AND(J841=1,I841=0)),"?IN_FOCUS",IF(J841&lt;=2,"?ACTIVATED",IF(J841&lt;&gt;"","?FAMILIAR",IF(F841="NEW",IF(ISNA(VLOOKUP(E841,#REF!,1,FALSE())),"?TYPE_IDENTIFIABLE","?REFERENTIAL"),"_")))))</f>
        <v/>
      </c>
      <c r="H841" s="12" t="str">
        <f t="shared" si="31"/>
        <v/>
      </c>
    </row>
    <row r="842" spans="1:8" x14ac:dyDescent="0.35">
      <c r="A842" t="s">
        <v>60</v>
      </c>
      <c r="B842" t="s">
        <v>20</v>
      </c>
      <c r="C842" t="s">
        <v>49</v>
      </c>
      <c r="D842" t="s">
        <v>16</v>
      </c>
      <c r="E842" s="9" t="str">
        <f t="shared" si="30"/>
        <v>!!!</v>
      </c>
      <c r="F842" s="10" t="str">
        <f>IF(OR(E842="",E842="!!!"),"",IF(NOT(ISNA(VLOOKUP(E842,E$1:E841,1,FALSE()))),"OLD",IF(AND(E842&lt;&gt;"",E842&lt;&gt;"!!!"),"NEW","")))</f>
        <v/>
      </c>
      <c r="G842" s="11" t="str">
        <f>IF(OR(E842="",E842="!!!"),"",IF(OR(J842=0,AND(J842=1,K842=1),AND(J842=1,I842="SBJ"),AND(J842=1,I842=0)),"?IN_FOCUS",IF(J842&lt;=2,"?ACTIVATED",IF(J842&lt;&gt;"","?FAMILIAR",IF(F842="NEW",IF(ISNA(VLOOKUP(E842,#REF!,1,FALSE())),"?TYPE_IDENTIFIABLE","?REFERENTIAL"),"_")))))</f>
        <v/>
      </c>
      <c r="H842" s="12" t="str">
        <f t="shared" si="31"/>
        <v/>
      </c>
    </row>
    <row r="843" spans="1:8" x14ac:dyDescent="0.35">
      <c r="A843" t="s">
        <v>438</v>
      </c>
      <c r="B843" t="s">
        <v>24</v>
      </c>
      <c r="C843" t="s">
        <v>15</v>
      </c>
      <c r="D843" t="s">
        <v>16</v>
      </c>
      <c r="E843" s="9" t="str">
        <f t="shared" si="30"/>
        <v>!!!</v>
      </c>
      <c r="F843" s="10" t="str">
        <f>IF(OR(E843="",E843="!!!"),"",IF(NOT(ISNA(VLOOKUP(E843,E$1:E842,1,FALSE()))),"OLD",IF(AND(E843&lt;&gt;"",E843&lt;&gt;"!!!"),"NEW","")))</f>
        <v/>
      </c>
      <c r="G843" s="11" t="str">
        <f>IF(OR(E843="",E843="!!!"),"",IF(OR(J843=0,AND(J843=1,K843=1),AND(J843=1,I843="SBJ"),AND(J843=1,I843=0)),"?IN_FOCUS",IF(J843&lt;=2,"?ACTIVATED",IF(J843&lt;&gt;"","?FAMILIAR",IF(F843="NEW",IF(ISNA(VLOOKUP(E843,#REF!,1,FALSE())),"?TYPE_IDENTIFIABLE","?REFERENTIAL"),"_")))))</f>
        <v/>
      </c>
      <c r="H843" s="12" t="str">
        <f t="shared" si="31"/>
        <v/>
      </c>
    </row>
    <row r="844" spans="1:8" x14ac:dyDescent="0.35">
      <c r="A844" t="s">
        <v>439</v>
      </c>
      <c r="E844" s="9" t="str">
        <f t="shared" si="30"/>
        <v/>
      </c>
      <c r="F844" s="10" t="str">
        <f>IF(OR(E844="",E844="!!!"),"",IF(NOT(ISNA(VLOOKUP(E844,E$1:E843,1,FALSE()))),"OLD",IF(AND(E844&lt;&gt;"",E844&lt;&gt;"!!!"),"NEW","")))</f>
        <v/>
      </c>
      <c r="G844" s="11" t="str">
        <f>IF(OR(E844="",E844="!!!"),"",IF(OR(J844=0,AND(J844=1,K844=1),AND(J844=1,I844="SBJ"),AND(J844=1,I844=0)),"?IN_FOCUS",IF(J844&lt;=2,"?ACTIVATED",IF(J844&lt;&gt;"","?FAMILIAR",IF(F844="NEW",IF(ISNA(VLOOKUP(E844,#REF!,1,FALSE())),"?TYPE_IDENTIFIABLE","?REFERENTIAL"),"_")))))</f>
        <v/>
      </c>
      <c r="H844" s="12" t="str">
        <f t="shared" si="31"/>
        <v/>
      </c>
    </row>
    <row r="845" spans="1:8" x14ac:dyDescent="0.35">
      <c r="A845" t="s">
        <v>176</v>
      </c>
      <c r="B845" t="s">
        <v>54</v>
      </c>
      <c r="C845" t="s">
        <v>33</v>
      </c>
      <c r="D845" t="s">
        <v>16</v>
      </c>
      <c r="E845" s="9" t="str">
        <f t="shared" si="30"/>
        <v>!!!</v>
      </c>
      <c r="F845" s="10" t="str">
        <f>IF(OR(E845="",E845="!!!"),"",IF(NOT(ISNA(VLOOKUP(E845,E$1:E844,1,FALSE()))),"OLD",IF(AND(E845&lt;&gt;"",E845&lt;&gt;"!!!"),"NEW","")))</f>
        <v/>
      </c>
      <c r="G845" s="11" t="str">
        <f>IF(OR(E845="",E845="!!!"),"",IF(OR(J845=0,AND(J845=1,K845=1),AND(J845=1,I845="SBJ"),AND(J845=1,I845=0)),"?IN_FOCUS",IF(J845&lt;=2,"?ACTIVATED",IF(J845&lt;&gt;"","?FAMILIAR",IF(F845="NEW",IF(ISNA(VLOOKUP(E845,#REF!,1,FALSE())),"?TYPE_IDENTIFIABLE","?REFERENTIAL"),"_")))))</f>
        <v/>
      </c>
      <c r="H845" s="12" t="str">
        <f t="shared" si="31"/>
        <v/>
      </c>
    </row>
    <row r="846" spans="1:8" x14ac:dyDescent="0.35">
      <c r="A846" t="s">
        <v>169</v>
      </c>
      <c r="E846" s="9" t="str">
        <f t="shared" si="30"/>
        <v/>
      </c>
      <c r="F846" s="10" t="str">
        <f>IF(OR(E846="",E846="!!!"),"",IF(NOT(ISNA(VLOOKUP(E846,E$1:E845,1,FALSE()))),"OLD",IF(AND(E846&lt;&gt;"",E846&lt;&gt;"!!!"),"NEW","")))</f>
        <v/>
      </c>
      <c r="G846" s="11" t="str">
        <f>IF(OR(E846="",E846="!!!"),"",IF(OR(J846=0,AND(J846=1,K846=1),AND(J846=1,I846="SBJ"),AND(J846=1,I846=0)),"?IN_FOCUS",IF(J846&lt;=2,"?ACTIVATED",IF(J846&lt;&gt;"","?FAMILIAR",IF(F846="NEW",IF(ISNA(VLOOKUP(E846,#REF!,1,FALSE())),"?TYPE_IDENTIFIABLE","?REFERENTIAL"),"_")))))</f>
        <v/>
      </c>
      <c r="H846" s="12" t="str">
        <f t="shared" si="31"/>
        <v/>
      </c>
    </row>
    <row r="847" spans="1:8" x14ac:dyDescent="0.35">
      <c r="A847" t="s">
        <v>170</v>
      </c>
      <c r="E847" s="9" t="str">
        <f t="shared" si="30"/>
        <v/>
      </c>
      <c r="F847" s="10" t="str">
        <f>IF(OR(E847="",E847="!!!"),"",IF(NOT(ISNA(VLOOKUP(E847,E$1:E846,1,FALSE()))),"OLD",IF(AND(E847&lt;&gt;"",E847&lt;&gt;"!!!"),"NEW","")))</f>
        <v/>
      </c>
      <c r="G847" s="11" t="str">
        <f>IF(OR(E847="",E847="!!!"),"",IF(OR(J847=0,AND(J847=1,K847=1),AND(J847=1,I847="SBJ"),AND(J847=1,I847=0)),"?IN_FOCUS",IF(J847&lt;=2,"?ACTIVATED",IF(J847&lt;&gt;"","?FAMILIAR",IF(F847="NEW",IF(ISNA(VLOOKUP(E847,#REF!,1,FALSE())),"?TYPE_IDENTIFIABLE","?REFERENTIAL"),"_")))))</f>
        <v/>
      </c>
      <c r="H847" s="12" t="str">
        <f t="shared" si="31"/>
        <v/>
      </c>
    </row>
    <row r="848" spans="1:8" x14ac:dyDescent="0.35">
      <c r="A848" t="s">
        <v>171</v>
      </c>
      <c r="B848" t="s">
        <v>54</v>
      </c>
      <c r="C848" t="s">
        <v>172</v>
      </c>
      <c r="E848" s="9" t="str">
        <f t="shared" si="30"/>
        <v/>
      </c>
      <c r="F848" s="10" t="str">
        <f>IF(OR(E848="",E848="!!!"),"",IF(NOT(ISNA(VLOOKUP(E848,E$1:E847,1,FALSE()))),"OLD",IF(AND(E848&lt;&gt;"",E848&lt;&gt;"!!!"),"NEW","")))</f>
        <v/>
      </c>
      <c r="G848" s="11" t="str">
        <f>IF(OR(E848="",E848="!!!"),"",IF(OR(J848=0,AND(J848=1,K848=1),AND(J848=1,I848="SBJ"),AND(J848=1,I848=0)),"?IN_FOCUS",IF(J848&lt;=2,"?ACTIVATED",IF(J848&lt;&gt;"","?FAMILIAR",IF(F848="NEW",IF(ISNA(VLOOKUP(E848,#REF!,1,FALSE())),"?TYPE_IDENTIFIABLE","?REFERENTIAL"),"_")))))</f>
        <v/>
      </c>
      <c r="H848" s="12" t="str">
        <f t="shared" si="31"/>
        <v/>
      </c>
    </row>
    <row r="849" spans="1:8" x14ac:dyDescent="0.35">
      <c r="A849" t="s">
        <v>17</v>
      </c>
      <c r="E849" s="9" t="str">
        <f t="shared" si="30"/>
        <v/>
      </c>
      <c r="F849" s="10" t="str">
        <f>IF(OR(E849="",E849="!!!"),"",IF(NOT(ISNA(VLOOKUP(E849,E$1:E848,1,FALSE()))),"OLD",IF(AND(E849&lt;&gt;"",E849&lt;&gt;"!!!"),"NEW","")))</f>
        <v/>
      </c>
      <c r="G849" s="11" t="str">
        <f>IF(OR(E849="",E849="!!!"),"",IF(OR(J849=0,AND(J849=1,K849=1),AND(J849=1,I849="SBJ"),AND(J849=1,I849=0)),"?IN_FOCUS",IF(J849&lt;=2,"?ACTIVATED",IF(J849&lt;&gt;"","?FAMILIAR",IF(F849="NEW",IF(ISNA(VLOOKUP(E849,#REF!,1,FALSE())),"?TYPE_IDENTIFIABLE","?REFERENTIAL"),"_")))))</f>
        <v/>
      </c>
      <c r="H849" s="12" t="str">
        <f t="shared" si="31"/>
        <v/>
      </c>
    </row>
    <row r="850" spans="1:8" x14ac:dyDescent="0.35">
      <c r="A850" t="s">
        <v>58</v>
      </c>
      <c r="E850" s="9" t="str">
        <f t="shared" si="30"/>
        <v/>
      </c>
      <c r="F850" s="10" t="str">
        <f>IF(OR(E850="",E850="!!!"),"",IF(NOT(ISNA(VLOOKUP(E850,E$1:E849,1,FALSE()))),"OLD",IF(AND(E850&lt;&gt;"",E850&lt;&gt;"!!!"),"NEW","")))</f>
        <v/>
      </c>
      <c r="G850" s="11" t="str">
        <f>IF(OR(E850="",E850="!!!"),"",IF(OR(J850=0,AND(J850=1,K850=1),AND(J850=1,I850="SBJ"),AND(J850=1,I850=0)),"?IN_FOCUS",IF(J850&lt;=2,"?ACTIVATED",IF(J850&lt;&gt;"","?FAMILIAR",IF(F850="NEW",IF(ISNA(VLOOKUP(E850,#REF!,1,FALSE())),"?TYPE_IDENTIFIABLE","?REFERENTIAL"),"_")))))</f>
        <v/>
      </c>
      <c r="H850" s="12" t="str">
        <f t="shared" si="31"/>
        <v/>
      </c>
    </row>
    <row r="851" spans="1:8" x14ac:dyDescent="0.35">
      <c r="A851" t="s">
        <v>301</v>
      </c>
      <c r="E851" s="9" t="str">
        <f t="shared" si="30"/>
        <v/>
      </c>
      <c r="F851" s="10" t="str">
        <f>IF(OR(E851="",E851="!!!"),"",IF(NOT(ISNA(VLOOKUP(E851,E$1:E850,1,FALSE()))),"OLD",IF(AND(E851&lt;&gt;"",E851&lt;&gt;"!!!"),"NEW","")))</f>
        <v/>
      </c>
      <c r="G851" s="11" t="str">
        <f>IF(OR(E851="",E851="!!!"),"",IF(OR(J851=0,AND(J851=1,K851=1),AND(J851=1,I851="SBJ"),AND(J851=1,I851=0)),"?IN_FOCUS",IF(J851&lt;=2,"?ACTIVATED",IF(J851&lt;&gt;"","?FAMILIAR",IF(F851="NEW",IF(ISNA(VLOOKUP(E851,#REF!,1,FALSE())),"?TYPE_IDENTIFIABLE","?REFERENTIAL"),"_")))))</f>
        <v/>
      </c>
      <c r="H851" s="12" t="str">
        <f t="shared" si="31"/>
        <v/>
      </c>
    </row>
    <row r="852" spans="1:8" x14ac:dyDescent="0.35">
      <c r="A852" t="s">
        <v>440</v>
      </c>
      <c r="B852" t="s">
        <v>24</v>
      </c>
      <c r="C852" t="s">
        <v>99</v>
      </c>
      <c r="D852" t="s">
        <v>16</v>
      </c>
      <c r="E852" s="9" t="str">
        <f t="shared" si="30"/>
        <v>!!!</v>
      </c>
      <c r="F852" s="10" t="str">
        <f>IF(OR(E852="",E852="!!!"),"",IF(NOT(ISNA(VLOOKUP(E852,E$1:E851,1,FALSE()))),"OLD",IF(AND(E852&lt;&gt;"",E852&lt;&gt;"!!!"),"NEW","")))</f>
        <v/>
      </c>
      <c r="G852" s="11" t="str">
        <f>IF(OR(E852="",E852="!!!"),"",IF(OR(J852=0,AND(J852=1,K852=1),AND(J852=1,I852="SBJ"),AND(J852=1,I852=0)),"?IN_FOCUS",IF(J852&lt;=2,"?ACTIVATED",IF(J852&lt;&gt;"","?FAMILIAR",IF(F852="NEW",IF(ISNA(VLOOKUP(E852,#REF!,1,FALSE())),"?TYPE_IDENTIFIABLE","?REFERENTIAL"),"_")))))</f>
        <v/>
      </c>
      <c r="H852" s="12" t="str">
        <f t="shared" si="31"/>
        <v/>
      </c>
    </row>
    <row r="853" spans="1:8" x14ac:dyDescent="0.35">
      <c r="A853" t="s">
        <v>63</v>
      </c>
      <c r="E853" s="9" t="str">
        <f t="shared" si="30"/>
        <v/>
      </c>
      <c r="F853" s="10" t="str">
        <f>IF(OR(E853="",E853="!!!"),"",IF(NOT(ISNA(VLOOKUP(E853,E$1:E852,1,FALSE()))),"OLD",IF(AND(E853&lt;&gt;"",E853&lt;&gt;"!!!"),"NEW","")))</f>
        <v/>
      </c>
      <c r="G853" s="11" t="str">
        <f>IF(OR(E853="",E853="!!!"),"",IF(OR(J853=0,AND(J853=1,K853=1),AND(J853=1,I853="SBJ"),AND(J853=1,I853=0)),"?IN_FOCUS",IF(J853&lt;=2,"?ACTIVATED",IF(J853&lt;&gt;"","?FAMILIAR",IF(F853="NEW",IF(ISNA(VLOOKUP(E853,#REF!,1,FALSE())),"?TYPE_IDENTIFIABLE","?REFERENTIAL"),"_")))))</f>
        <v/>
      </c>
      <c r="H853" s="12" t="str">
        <f t="shared" si="31"/>
        <v/>
      </c>
    </row>
    <row r="854" spans="1:8" x14ac:dyDescent="0.35">
      <c r="E854" s="9" t="str">
        <f t="shared" si="30"/>
        <v/>
      </c>
      <c r="F854" s="10" t="str">
        <f>IF(OR(E854="",E854="!!!"),"",IF(NOT(ISNA(VLOOKUP(E854,E$1:E853,1,FALSE()))),"OLD",IF(AND(E854&lt;&gt;"",E854&lt;&gt;"!!!"),"NEW","")))</f>
        <v/>
      </c>
      <c r="G854" s="11" t="str">
        <f>IF(OR(E854="",E854="!!!"),"",IF(OR(J854=0,AND(J854=1,K854=1),AND(J854=1,I854="SBJ"),AND(J854=1,I854=0)),"?IN_FOCUS",IF(J854&lt;=2,"?ACTIVATED",IF(J854&lt;&gt;"","?FAMILIAR",IF(F854="NEW",IF(ISNA(VLOOKUP(E854,#REF!,1,FALSE())),"?TYPE_IDENTIFIABLE","?REFERENTIAL"),"_")))))</f>
        <v/>
      </c>
      <c r="H854" s="12" t="str">
        <f t="shared" si="31"/>
        <v/>
      </c>
    </row>
    <row r="855" spans="1:8" x14ac:dyDescent="0.35">
      <c r="A855" t="s">
        <v>441</v>
      </c>
      <c r="E855" s="9" t="str">
        <f t="shared" si="30"/>
        <v/>
      </c>
      <c r="F855" s="10" t="str">
        <f>IF(OR(E855="",E855="!!!"),"",IF(NOT(ISNA(VLOOKUP(E855,E$1:E854,1,FALSE()))),"OLD",IF(AND(E855&lt;&gt;"",E855&lt;&gt;"!!!"),"NEW","")))</f>
        <v/>
      </c>
      <c r="G855" s="11" t="str">
        <f>IF(OR(E855="",E855="!!!"),"",IF(OR(J855=0,AND(J855=1,K855=1),AND(J855=1,I855="SBJ"),AND(J855=1,I855=0)),"?IN_FOCUS",IF(J855&lt;=2,"?ACTIVATED",IF(J855&lt;&gt;"","?FAMILIAR",IF(F855="NEW",IF(ISNA(VLOOKUP(E855,#REF!,1,FALSE())),"?TYPE_IDENTIFIABLE","?REFERENTIAL"),"_")))))</f>
        <v/>
      </c>
      <c r="H855" s="12" t="str">
        <f t="shared" si="31"/>
        <v/>
      </c>
    </row>
    <row r="856" spans="1:8" x14ac:dyDescent="0.35">
      <c r="A856" t="s">
        <v>442</v>
      </c>
      <c r="B856" t="s">
        <v>14</v>
      </c>
      <c r="C856" t="s">
        <v>15</v>
      </c>
      <c r="D856" t="s">
        <v>16</v>
      </c>
      <c r="E856" s="9" t="str">
        <f t="shared" si="30"/>
        <v>!!!</v>
      </c>
      <c r="F856" s="10" t="str">
        <f>IF(OR(E856="",E856="!!!"),"",IF(NOT(ISNA(VLOOKUP(E856,E$1:E855,1,FALSE()))),"OLD",IF(AND(E856&lt;&gt;"",E856&lt;&gt;"!!!"),"NEW","")))</f>
        <v/>
      </c>
      <c r="G856" s="11" t="str">
        <f>IF(OR(E856="",E856="!!!"),"",IF(OR(J856=0,AND(J856=1,K856=1),AND(J856=1,I856="SBJ"),AND(J856=1,I856=0)),"?IN_FOCUS",IF(J856&lt;=2,"?ACTIVATED",IF(J856&lt;&gt;"","?FAMILIAR",IF(F856="NEW",IF(ISNA(VLOOKUP(E856,#REF!,1,FALSE())),"?TYPE_IDENTIFIABLE","?REFERENTIAL"),"_")))))</f>
        <v/>
      </c>
      <c r="H856" s="12" t="str">
        <f t="shared" si="31"/>
        <v/>
      </c>
    </row>
    <row r="857" spans="1:8" x14ac:dyDescent="0.35">
      <c r="A857" t="s">
        <v>17</v>
      </c>
      <c r="E857" s="9" t="str">
        <f t="shared" si="30"/>
        <v/>
      </c>
      <c r="F857" s="10" t="str">
        <f>IF(OR(E857="",E857="!!!"),"",IF(NOT(ISNA(VLOOKUP(E857,E$1:E856,1,FALSE()))),"OLD",IF(AND(E857&lt;&gt;"",E857&lt;&gt;"!!!"),"NEW","")))</f>
        <v/>
      </c>
      <c r="G857" s="11" t="str">
        <f>IF(OR(E857="",E857="!!!"),"",IF(OR(J857=0,AND(J857=1,K857=1),AND(J857=1,I857="SBJ"),AND(J857=1,I857=0)),"?IN_FOCUS",IF(J857&lt;=2,"?ACTIVATED",IF(J857&lt;&gt;"","?FAMILIAR",IF(F857="NEW",IF(ISNA(VLOOKUP(E857,#REF!,1,FALSE())),"?TYPE_IDENTIFIABLE","?REFERENTIAL"),"_")))))</f>
        <v/>
      </c>
      <c r="H857" s="12" t="str">
        <f t="shared" si="31"/>
        <v/>
      </c>
    </row>
    <row r="858" spans="1:8" x14ac:dyDescent="0.35">
      <c r="A858" t="s">
        <v>405</v>
      </c>
      <c r="B858" t="s">
        <v>24</v>
      </c>
      <c r="C858" t="s">
        <v>33</v>
      </c>
      <c r="D858" t="s">
        <v>16</v>
      </c>
      <c r="E858" s="9" t="str">
        <f t="shared" si="30"/>
        <v>!!!</v>
      </c>
      <c r="F858" s="10" t="str">
        <f>IF(OR(E858="",E858="!!!"),"",IF(NOT(ISNA(VLOOKUP(E858,E$1:E857,1,FALSE()))),"OLD",IF(AND(E858&lt;&gt;"",E858&lt;&gt;"!!!"),"NEW","")))</f>
        <v/>
      </c>
      <c r="G858" s="11" t="str">
        <f>IF(OR(E858="",E858="!!!"),"",IF(OR(J858=0,AND(J858=1,K858=1),AND(J858=1,I858="SBJ"),AND(J858=1,I858=0)),"?IN_FOCUS",IF(J858&lt;=2,"?ACTIVATED",IF(J858&lt;&gt;"","?FAMILIAR",IF(F858="NEW",IF(ISNA(VLOOKUP(E858,#REF!,1,FALSE())),"?TYPE_IDENTIFIABLE","?REFERENTIAL"),"_")))))</f>
        <v/>
      </c>
      <c r="H858" s="12" t="str">
        <f t="shared" si="31"/>
        <v/>
      </c>
    </row>
    <row r="859" spans="1:8" x14ac:dyDescent="0.35">
      <c r="A859" t="s">
        <v>83</v>
      </c>
      <c r="E859" s="9" t="str">
        <f t="shared" si="30"/>
        <v/>
      </c>
      <c r="F859" s="10" t="str">
        <f>IF(OR(E859="",E859="!!!"),"",IF(NOT(ISNA(VLOOKUP(E859,E$1:E858,1,FALSE()))),"OLD",IF(AND(E859&lt;&gt;"",E859&lt;&gt;"!!!"),"NEW","")))</f>
        <v/>
      </c>
      <c r="G859" s="11" t="str">
        <f>IF(OR(E859="",E859="!!!"),"",IF(OR(J859=0,AND(J859=1,K859=1),AND(J859=1,I859="SBJ"),AND(J859=1,I859=0)),"?IN_FOCUS",IF(J859&lt;=2,"?ACTIVATED",IF(J859&lt;&gt;"","?FAMILIAR",IF(F859="NEW",IF(ISNA(VLOOKUP(E859,#REF!,1,FALSE())),"?TYPE_IDENTIFIABLE","?REFERENTIAL"),"_")))))</f>
        <v/>
      </c>
      <c r="H859" s="12" t="str">
        <f t="shared" si="31"/>
        <v/>
      </c>
    </row>
    <row r="860" spans="1:8" x14ac:dyDescent="0.35">
      <c r="A860" t="s">
        <v>443</v>
      </c>
      <c r="E860" s="9" t="str">
        <f t="shared" si="30"/>
        <v/>
      </c>
      <c r="F860" s="10" t="str">
        <f>IF(OR(E860="",E860="!!!"),"",IF(NOT(ISNA(VLOOKUP(E860,E$1:E859,1,FALSE()))),"OLD",IF(AND(E860&lt;&gt;"",E860&lt;&gt;"!!!"),"NEW","")))</f>
        <v/>
      </c>
      <c r="G860" s="11" t="str">
        <f>IF(OR(E860="",E860="!!!"),"",IF(OR(J860=0,AND(J860=1,K860=1),AND(J860=1,I860="SBJ"),AND(J860=1,I860=0)),"?IN_FOCUS",IF(J860&lt;=2,"?ACTIVATED",IF(J860&lt;&gt;"","?FAMILIAR",IF(F860="NEW",IF(ISNA(VLOOKUP(E860,#REF!,1,FALSE())),"?TYPE_IDENTIFIABLE","?REFERENTIAL"),"_")))))</f>
        <v/>
      </c>
      <c r="H860" s="12" t="str">
        <f t="shared" si="31"/>
        <v/>
      </c>
    </row>
    <row r="861" spans="1:8" x14ac:dyDescent="0.35">
      <c r="A861" t="s">
        <v>444</v>
      </c>
      <c r="B861" t="s">
        <v>32</v>
      </c>
      <c r="C861" t="s">
        <v>108</v>
      </c>
      <c r="E861" s="9" t="str">
        <f t="shared" si="30"/>
        <v/>
      </c>
      <c r="F861" s="10" t="str">
        <f>IF(OR(E861="",E861="!!!"),"",IF(NOT(ISNA(VLOOKUP(E861,E$1:E860,1,FALSE()))),"OLD",IF(AND(E861&lt;&gt;"",E861&lt;&gt;"!!!"),"NEW","")))</f>
        <v/>
      </c>
      <c r="G861" s="11" t="str">
        <f>IF(OR(E861="",E861="!!!"),"",IF(OR(J861=0,AND(J861=1,K861=1),AND(J861=1,I861="SBJ"),AND(J861=1,I861=0)),"?IN_FOCUS",IF(J861&lt;=2,"?ACTIVATED",IF(J861&lt;&gt;"","?FAMILIAR",IF(F861="NEW",IF(ISNA(VLOOKUP(E861,#REF!,1,FALSE())),"?TYPE_IDENTIFIABLE","?REFERENTIAL"),"_")))))</f>
        <v/>
      </c>
      <c r="H861" s="12" t="str">
        <f t="shared" si="31"/>
        <v/>
      </c>
    </row>
    <row r="862" spans="1:8" x14ac:dyDescent="0.35">
      <c r="A862" t="s">
        <v>26</v>
      </c>
      <c r="E862" s="9" t="str">
        <f t="shared" si="30"/>
        <v/>
      </c>
      <c r="F862" s="10" t="str">
        <f>IF(OR(E862="",E862="!!!"),"",IF(NOT(ISNA(VLOOKUP(E862,E$1:E861,1,FALSE()))),"OLD",IF(AND(E862&lt;&gt;"",E862&lt;&gt;"!!!"),"NEW","")))</f>
        <v/>
      </c>
      <c r="G862" s="11" t="str">
        <f>IF(OR(E862="",E862="!!!"),"",IF(OR(J862=0,AND(J862=1,K862=1),AND(J862=1,I862="SBJ"),AND(J862=1,I862=0)),"?IN_FOCUS",IF(J862&lt;=2,"?ACTIVATED",IF(J862&lt;&gt;"","?FAMILIAR",IF(F862="NEW",IF(ISNA(VLOOKUP(E862,#REF!,1,FALSE())),"?TYPE_IDENTIFIABLE","?REFERENTIAL"),"_")))))</f>
        <v/>
      </c>
      <c r="H862" s="12" t="str">
        <f t="shared" si="31"/>
        <v/>
      </c>
    </row>
    <row r="863" spans="1:8" x14ac:dyDescent="0.35">
      <c r="A863" t="s">
        <v>76</v>
      </c>
      <c r="E863" s="9" t="str">
        <f t="shared" si="30"/>
        <v/>
      </c>
      <c r="F863" s="10" t="str">
        <f>IF(OR(E863="",E863="!!!"),"",IF(NOT(ISNA(VLOOKUP(E863,E$1:E862,1,FALSE()))),"OLD",IF(AND(E863&lt;&gt;"",E863&lt;&gt;"!!!"),"NEW","")))</f>
        <v/>
      </c>
      <c r="G863" s="11" t="str">
        <f>IF(OR(E863="",E863="!!!"),"",IF(OR(J863=0,AND(J863=1,K863=1),AND(J863=1,I863="SBJ"),AND(J863=1,I863=0)),"?IN_FOCUS",IF(J863&lt;=2,"?ACTIVATED",IF(J863&lt;&gt;"","?FAMILIAR",IF(F863="NEW",IF(ISNA(VLOOKUP(E863,#REF!,1,FALSE())),"?TYPE_IDENTIFIABLE","?REFERENTIAL"),"_")))))</f>
        <v/>
      </c>
      <c r="H863" s="12" t="str">
        <f t="shared" si="31"/>
        <v/>
      </c>
    </row>
    <row r="864" spans="1:8" x14ac:dyDescent="0.35">
      <c r="A864" t="s">
        <v>445</v>
      </c>
      <c r="B864" t="s">
        <v>36</v>
      </c>
      <c r="C864" t="s">
        <v>108</v>
      </c>
      <c r="E864" s="9" t="str">
        <f t="shared" si="30"/>
        <v/>
      </c>
      <c r="F864" s="10" t="str">
        <f>IF(OR(E864="",E864="!!!"),"",IF(NOT(ISNA(VLOOKUP(E864,E$1:E863,1,FALSE()))),"OLD",IF(AND(E864&lt;&gt;"",E864&lt;&gt;"!!!"),"NEW","")))</f>
        <v/>
      </c>
      <c r="G864" s="11" t="str">
        <f>IF(OR(E864="",E864="!!!"),"",IF(OR(J864=0,AND(J864=1,K864=1),AND(J864=1,I864="SBJ"),AND(J864=1,I864=0)),"?IN_FOCUS",IF(J864&lt;=2,"?ACTIVATED",IF(J864&lt;&gt;"","?FAMILIAR",IF(F864="NEW",IF(ISNA(VLOOKUP(E864,#REF!,1,FALSE())),"?TYPE_IDENTIFIABLE","?REFERENTIAL"),"_")))))</f>
        <v/>
      </c>
      <c r="H864" s="12" t="str">
        <f t="shared" si="31"/>
        <v/>
      </c>
    </row>
    <row r="865" spans="1:8" x14ac:dyDescent="0.35">
      <c r="A865" t="s">
        <v>76</v>
      </c>
      <c r="E865" s="9" t="str">
        <f t="shared" si="30"/>
        <v/>
      </c>
      <c r="F865" s="10" t="str">
        <f>IF(OR(E865="",E865="!!!"),"",IF(NOT(ISNA(VLOOKUP(E865,E$1:E864,1,FALSE()))),"OLD",IF(AND(E865&lt;&gt;"",E865&lt;&gt;"!!!"),"NEW","")))</f>
        <v/>
      </c>
      <c r="G865" s="11" t="str">
        <f>IF(OR(E865="",E865="!!!"),"",IF(OR(J865=0,AND(J865=1,K865=1),AND(J865=1,I865="SBJ"),AND(J865=1,I865=0)),"?IN_FOCUS",IF(J865&lt;=2,"?ACTIVATED",IF(J865&lt;&gt;"","?FAMILIAR",IF(F865="NEW",IF(ISNA(VLOOKUP(E865,#REF!,1,FALSE())),"?TYPE_IDENTIFIABLE","?REFERENTIAL"),"_")))))</f>
        <v/>
      </c>
      <c r="H865" s="12" t="str">
        <f t="shared" si="31"/>
        <v/>
      </c>
    </row>
    <row r="866" spans="1:8" x14ac:dyDescent="0.35">
      <c r="A866" t="s">
        <v>446</v>
      </c>
      <c r="B866" t="s">
        <v>20</v>
      </c>
      <c r="C866" t="s">
        <v>108</v>
      </c>
      <c r="E866" s="9" t="str">
        <f t="shared" si="30"/>
        <v/>
      </c>
      <c r="F866" s="10" t="str">
        <f>IF(OR(E866="",E866="!!!"),"",IF(NOT(ISNA(VLOOKUP(E866,E$1:E865,1,FALSE()))),"OLD",IF(AND(E866&lt;&gt;"",E866&lt;&gt;"!!!"),"NEW","")))</f>
        <v/>
      </c>
      <c r="G866" s="11" t="str">
        <f>IF(OR(E866="",E866="!!!"),"",IF(OR(J866=0,AND(J866=1,K866=1),AND(J866=1,I866="SBJ"),AND(J866=1,I866=0)),"?IN_FOCUS",IF(J866&lt;=2,"?ACTIVATED",IF(J866&lt;&gt;"","?FAMILIAR",IF(F866="NEW",IF(ISNA(VLOOKUP(E866,#REF!,1,FALSE())),"?TYPE_IDENTIFIABLE","?REFERENTIAL"),"_")))))</f>
        <v/>
      </c>
      <c r="H866" s="12" t="str">
        <f t="shared" si="31"/>
        <v/>
      </c>
    </row>
    <row r="867" spans="1:8" x14ac:dyDescent="0.35">
      <c r="A867" t="s">
        <v>83</v>
      </c>
      <c r="E867" s="9" t="str">
        <f t="shared" si="30"/>
        <v/>
      </c>
      <c r="F867" s="10" t="str">
        <f>IF(OR(E867="",E867="!!!"),"",IF(NOT(ISNA(VLOOKUP(E867,E$1:E866,1,FALSE()))),"OLD",IF(AND(E867&lt;&gt;"",E867&lt;&gt;"!!!"),"NEW","")))</f>
        <v/>
      </c>
      <c r="G867" s="11" t="str">
        <f>IF(OR(E867="",E867="!!!"),"",IF(OR(J867=0,AND(J867=1,K867=1),AND(J867=1,I867="SBJ"),AND(J867=1,I867=0)),"?IN_FOCUS",IF(J867&lt;=2,"?ACTIVATED",IF(J867&lt;&gt;"","?FAMILIAR",IF(F867="NEW",IF(ISNA(VLOOKUP(E867,#REF!,1,FALSE())),"?TYPE_IDENTIFIABLE","?REFERENTIAL"),"_")))))</f>
        <v/>
      </c>
      <c r="H867" s="12" t="str">
        <f t="shared" si="31"/>
        <v/>
      </c>
    </row>
    <row r="868" spans="1:8" x14ac:dyDescent="0.35">
      <c r="A868" t="s">
        <v>123</v>
      </c>
      <c r="E868" s="9" t="str">
        <f t="shared" si="30"/>
        <v/>
      </c>
      <c r="F868" s="10" t="str">
        <f>IF(OR(E868="",E868="!!!"),"",IF(NOT(ISNA(VLOOKUP(E868,E$1:E867,1,FALSE()))),"OLD",IF(AND(E868&lt;&gt;"",E868&lt;&gt;"!!!"),"NEW","")))</f>
        <v/>
      </c>
      <c r="G868" s="11" t="str">
        <f>IF(OR(E868="",E868="!!!"),"",IF(OR(J868=0,AND(J868=1,K868=1),AND(J868=1,I868="SBJ"),AND(J868=1,I868=0)),"?IN_FOCUS",IF(J868&lt;=2,"?ACTIVATED",IF(J868&lt;&gt;"","?FAMILIAR",IF(F868="NEW",IF(ISNA(VLOOKUP(E868,#REF!,1,FALSE())),"?TYPE_IDENTIFIABLE","?REFERENTIAL"),"_")))))</f>
        <v/>
      </c>
      <c r="H868" s="12" t="str">
        <f t="shared" si="31"/>
        <v/>
      </c>
    </row>
    <row r="869" spans="1:8" x14ac:dyDescent="0.35">
      <c r="A869" t="s">
        <v>128</v>
      </c>
      <c r="B869" t="s">
        <v>54</v>
      </c>
      <c r="C869" t="s">
        <v>15</v>
      </c>
      <c r="D869" t="s">
        <v>16</v>
      </c>
      <c r="E869" s="9" t="str">
        <f t="shared" si="30"/>
        <v>!!!</v>
      </c>
      <c r="F869" s="10" t="str">
        <f>IF(OR(E869="",E869="!!!"),"",IF(NOT(ISNA(VLOOKUP(E869,E$1:E868,1,FALSE()))),"OLD",IF(AND(E869&lt;&gt;"",E869&lt;&gt;"!!!"),"NEW","")))</f>
        <v/>
      </c>
      <c r="G869" s="11" t="str">
        <f>IF(OR(E869="",E869="!!!"),"",IF(OR(J869=0,AND(J869=1,K869=1),AND(J869=1,I869="SBJ"),AND(J869=1,I869=0)),"?IN_FOCUS",IF(J869&lt;=2,"?ACTIVATED",IF(J869&lt;&gt;"","?FAMILIAR",IF(F869="NEW",IF(ISNA(VLOOKUP(E869,#REF!,1,FALSE())),"?TYPE_IDENTIFIABLE","?REFERENTIAL"),"_")))))</f>
        <v/>
      </c>
      <c r="H869" s="12" t="str">
        <f t="shared" si="31"/>
        <v/>
      </c>
    </row>
    <row r="870" spans="1:8" x14ac:dyDescent="0.35">
      <c r="A870" t="s">
        <v>17</v>
      </c>
      <c r="E870" s="9" t="str">
        <f t="shared" si="30"/>
        <v/>
      </c>
      <c r="F870" s="10" t="str">
        <f>IF(OR(E870="",E870="!!!"),"",IF(NOT(ISNA(VLOOKUP(E870,E$1:E869,1,FALSE()))),"OLD",IF(AND(E870&lt;&gt;"",E870&lt;&gt;"!!!"),"NEW","")))</f>
        <v/>
      </c>
      <c r="G870" s="11" t="str">
        <f>IF(OR(E870="",E870="!!!"),"",IF(OR(J870=0,AND(J870=1,K870=1),AND(J870=1,I870="SBJ"),AND(J870=1,I870=0)),"?IN_FOCUS",IF(J870&lt;=2,"?ACTIVATED",IF(J870&lt;&gt;"","?FAMILIAR",IF(F870="NEW",IF(ISNA(VLOOKUP(E870,#REF!,1,FALSE())),"?TYPE_IDENTIFIABLE","?REFERENTIAL"),"_")))))</f>
        <v/>
      </c>
      <c r="H870" s="12" t="str">
        <f t="shared" si="31"/>
        <v/>
      </c>
    </row>
    <row r="871" spans="1:8" x14ac:dyDescent="0.35">
      <c r="A871" t="s">
        <v>405</v>
      </c>
      <c r="B871" t="s">
        <v>24</v>
      </c>
      <c r="C871" t="s">
        <v>33</v>
      </c>
      <c r="D871" t="s">
        <v>16</v>
      </c>
      <c r="E871" s="9" t="str">
        <f t="shared" si="30"/>
        <v>!!!</v>
      </c>
      <c r="F871" s="10" t="str">
        <f>IF(OR(E871="",E871="!!!"),"",IF(NOT(ISNA(VLOOKUP(E871,E$1:E870,1,FALSE()))),"OLD",IF(AND(E871&lt;&gt;"",E871&lt;&gt;"!!!"),"NEW","")))</f>
        <v/>
      </c>
      <c r="G871" s="11" t="str">
        <f>IF(OR(E871="",E871="!!!"),"",IF(OR(J871=0,AND(J871=1,K871=1),AND(J871=1,I871="SBJ"),AND(J871=1,I871=0)),"?IN_FOCUS",IF(J871&lt;=2,"?ACTIVATED",IF(J871&lt;&gt;"","?FAMILIAR",IF(F871="NEW",IF(ISNA(VLOOKUP(E871,#REF!,1,FALSE())),"?TYPE_IDENTIFIABLE","?REFERENTIAL"),"_")))))</f>
        <v/>
      </c>
      <c r="H871" s="12" t="str">
        <f t="shared" si="31"/>
        <v/>
      </c>
    </row>
    <row r="872" spans="1:8" x14ac:dyDescent="0.35">
      <c r="A872" t="s">
        <v>63</v>
      </c>
      <c r="E872" s="9" t="str">
        <f t="shared" si="30"/>
        <v/>
      </c>
      <c r="F872" s="10" t="str">
        <f>IF(OR(E872="",E872="!!!"),"",IF(NOT(ISNA(VLOOKUP(E872,E$1:E871,1,FALSE()))),"OLD",IF(AND(E872&lt;&gt;"",E872&lt;&gt;"!!!"),"NEW","")))</f>
        <v/>
      </c>
      <c r="G872" s="11" t="str">
        <f>IF(OR(E872="",E872="!!!"),"",IF(OR(J872=0,AND(J872=1,K872=1),AND(J872=1,I872="SBJ"),AND(J872=1,I872=0)),"?IN_FOCUS",IF(J872&lt;=2,"?ACTIVATED",IF(J872&lt;&gt;"","?FAMILIAR",IF(F872="NEW",IF(ISNA(VLOOKUP(E872,#REF!,1,FALSE())),"?TYPE_IDENTIFIABLE","?REFERENTIAL"),"_")))))</f>
        <v/>
      </c>
      <c r="H872" s="12" t="str">
        <f t="shared" si="31"/>
        <v/>
      </c>
    </row>
    <row r="873" spans="1:8" x14ac:dyDescent="0.35">
      <c r="E873" s="9" t="str">
        <f t="shared" si="30"/>
        <v/>
      </c>
      <c r="F873" s="10" t="str">
        <f>IF(OR(E873="",E873="!!!"),"",IF(NOT(ISNA(VLOOKUP(E873,E$1:E872,1,FALSE()))),"OLD",IF(AND(E873&lt;&gt;"",E873&lt;&gt;"!!!"),"NEW","")))</f>
        <v/>
      </c>
      <c r="G873" s="11" t="str">
        <f>IF(OR(E873="",E873="!!!"),"",IF(OR(J873=0,AND(J873=1,K873=1),AND(J873=1,I873="SBJ"),AND(J873=1,I873=0)),"?IN_FOCUS",IF(J873&lt;=2,"?ACTIVATED",IF(J873&lt;&gt;"","?FAMILIAR",IF(F873="NEW",IF(ISNA(VLOOKUP(E873,#REF!,1,FALSE())),"?TYPE_IDENTIFIABLE","?REFERENTIAL"),"_")))))</f>
        <v/>
      </c>
      <c r="H873" s="12" t="str">
        <f t="shared" si="31"/>
        <v/>
      </c>
    </row>
    <row r="874" spans="1:8" x14ac:dyDescent="0.35">
      <c r="A874" t="s">
        <v>447</v>
      </c>
      <c r="E874" s="9" t="str">
        <f t="shared" si="30"/>
        <v/>
      </c>
      <c r="F874" s="10" t="str">
        <f>IF(OR(E874="",E874="!!!"),"",IF(NOT(ISNA(VLOOKUP(E874,E$1:E873,1,FALSE()))),"OLD",IF(AND(E874&lt;&gt;"",E874&lt;&gt;"!!!"),"NEW","")))</f>
        <v/>
      </c>
      <c r="G874" s="11" t="str">
        <f>IF(OR(E874="",E874="!!!"),"",IF(OR(J874=0,AND(J874=1,K874=1),AND(J874=1,I874="SBJ"),AND(J874=1,I874=0)),"?IN_FOCUS",IF(J874&lt;=2,"?ACTIVATED",IF(J874&lt;&gt;"","?FAMILIAR",IF(F874="NEW",IF(ISNA(VLOOKUP(E874,#REF!,1,FALSE())),"?TYPE_IDENTIFIABLE","?REFERENTIAL"),"_")))))</f>
        <v/>
      </c>
      <c r="H874" s="12" t="str">
        <f t="shared" si="31"/>
        <v/>
      </c>
    </row>
    <row r="875" spans="1:8" x14ac:dyDescent="0.35">
      <c r="A875" t="s">
        <v>434</v>
      </c>
      <c r="B875" t="s">
        <v>14</v>
      </c>
      <c r="C875" t="s">
        <v>21</v>
      </c>
      <c r="D875" t="s">
        <v>16</v>
      </c>
      <c r="E875" s="9" t="str">
        <f t="shared" si="30"/>
        <v>!!!</v>
      </c>
      <c r="F875" s="10" t="str">
        <f>IF(OR(E875="",E875="!!!"),"",IF(NOT(ISNA(VLOOKUP(E875,E$1:E874,1,FALSE()))),"OLD",IF(AND(E875&lt;&gt;"",E875&lt;&gt;"!!!"),"NEW","")))</f>
        <v/>
      </c>
      <c r="G875" s="11" t="str">
        <f>IF(OR(E875="",E875="!!!"),"",IF(OR(J875=0,AND(J875=1,K875=1),AND(J875=1,I875="SBJ"),AND(J875=1,I875=0)),"?IN_FOCUS",IF(J875&lt;=2,"?ACTIVATED",IF(J875&lt;&gt;"","?FAMILIAR",IF(F875="NEW",IF(ISNA(VLOOKUP(E875,#REF!,1,FALSE())),"?TYPE_IDENTIFIABLE","?REFERENTIAL"),"_")))))</f>
        <v/>
      </c>
      <c r="H875" s="12" t="str">
        <f t="shared" si="31"/>
        <v/>
      </c>
    </row>
    <row r="876" spans="1:8" x14ac:dyDescent="0.35">
      <c r="A876" t="s">
        <v>42</v>
      </c>
      <c r="E876" s="9" t="str">
        <f t="shared" si="30"/>
        <v/>
      </c>
      <c r="F876" s="10" t="str">
        <f>IF(OR(E876="",E876="!!!"),"",IF(NOT(ISNA(VLOOKUP(E876,E$1:E875,1,FALSE()))),"OLD",IF(AND(E876&lt;&gt;"",E876&lt;&gt;"!!!"),"NEW","")))</f>
        <v/>
      </c>
      <c r="G876" s="11" t="str">
        <f>IF(OR(E876="",E876="!!!"),"",IF(OR(J876=0,AND(J876=1,K876=1),AND(J876=1,I876="SBJ"),AND(J876=1,I876=0)),"?IN_FOCUS",IF(J876&lt;=2,"?ACTIVATED",IF(J876&lt;&gt;"","?FAMILIAR",IF(F876="NEW",IF(ISNA(VLOOKUP(E876,#REF!,1,FALSE())),"?TYPE_IDENTIFIABLE","?REFERENTIAL"),"_")))))</f>
        <v/>
      </c>
      <c r="H876" s="12" t="str">
        <f t="shared" si="31"/>
        <v/>
      </c>
    </row>
    <row r="877" spans="1:8" x14ac:dyDescent="0.35">
      <c r="A877" t="s">
        <v>448</v>
      </c>
      <c r="E877" s="9" t="str">
        <f t="shared" si="30"/>
        <v/>
      </c>
      <c r="F877" s="10" t="str">
        <f>IF(OR(E877="",E877="!!!"),"",IF(NOT(ISNA(VLOOKUP(E877,E$1:E876,1,FALSE()))),"OLD",IF(AND(E877&lt;&gt;"",E877&lt;&gt;"!!!"),"NEW","")))</f>
        <v/>
      </c>
      <c r="G877" s="11" t="str">
        <f>IF(OR(E877="",E877="!!!"),"",IF(OR(J877=0,AND(J877=1,K877=1),AND(J877=1,I877="SBJ"),AND(J877=1,I877=0)),"?IN_FOCUS",IF(J877&lt;=2,"?ACTIVATED",IF(J877&lt;&gt;"","?FAMILIAR",IF(F877="NEW",IF(ISNA(VLOOKUP(E877,#REF!,1,FALSE())),"?TYPE_IDENTIFIABLE","?REFERENTIAL"),"_")))))</f>
        <v/>
      </c>
      <c r="H877" s="12" t="str">
        <f t="shared" si="31"/>
        <v/>
      </c>
    </row>
    <row r="878" spans="1:8" x14ac:dyDescent="0.35">
      <c r="A878" t="s">
        <v>159</v>
      </c>
      <c r="E878" s="9" t="str">
        <f t="shared" si="30"/>
        <v/>
      </c>
      <c r="F878" s="10" t="str">
        <f>IF(OR(E878="",E878="!!!"),"",IF(NOT(ISNA(VLOOKUP(E878,E$1:E877,1,FALSE()))),"OLD",IF(AND(E878&lt;&gt;"",E878&lt;&gt;"!!!"),"NEW","")))</f>
        <v/>
      </c>
      <c r="G878" s="11" t="str">
        <f>IF(OR(E878="",E878="!!!"),"",IF(OR(J878=0,AND(J878=1,K878=1),AND(J878=1,I878="SBJ"),AND(J878=1,I878=0)),"?IN_FOCUS",IF(J878&lt;=2,"?ACTIVATED",IF(J878&lt;&gt;"","?FAMILIAR",IF(F878="NEW",IF(ISNA(VLOOKUP(E878,#REF!,1,FALSE())),"?TYPE_IDENTIFIABLE","?REFERENTIAL"),"_")))))</f>
        <v/>
      </c>
      <c r="H878" s="12" t="str">
        <f t="shared" si="31"/>
        <v/>
      </c>
    </row>
    <row r="879" spans="1:8" x14ac:dyDescent="0.35">
      <c r="A879" t="s">
        <v>449</v>
      </c>
      <c r="B879" t="s">
        <v>54</v>
      </c>
      <c r="C879" t="s">
        <v>108</v>
      </c>
      <c r="E879" s="9" t="str">
        <f t="shared" si="30"/>
        <v/>
      </c>
      <c r="F879" s="10" t="str">
        <f>IF(OR(E879="",E879="!!!"),"",IF(NOT(ISNA(VLOOKUP(E879,E$1:E878,1,FALSE()))),"OLD",IF(AND(E879&lt;&gt;"",E879&lt;&gt;"!!!"),"NEW","")))</f>
        <v/>
      </c>
      <c r="G879" s="11" t="str">
        <f>IF(OR(E879="",E879="!!!"),"",IF(OR(J879=0,AND(J879=1,K879=1),AND(J879=1,I879="SBJ"),AND(J879=1,I879=0)),"?IN_FOCUS",IF(J879&lt;=2,"?ACTIVATED",IF(J879&lt;&gt;"","?FAMILIAR",IF(F879="NEW",IF(ISNA(VLOOKUP(E879,#REF!,1,FALSE())),"?TYPE_IDENTIFIABLE","?REFERENTIAL"),"_")))))</f>
        <v/>
      </c>
      <c r="H879" s="12" t="str">
        <f t="shared" si="31"/>
        <v/>
      </c>
    </row>
    <row r="880" spans="1:8" x14ac:dyDescent="0.35">
      <c r="A880" t="s">
        <v>26</v>
      </c>
      <c r="E880" s="9" t="str">
        <f t="shared" si="30"/>
        <v/>
      </c>
      <c r="F880" s="10" t="str">
        <f>IF(OR(E880="",E880="!!!"),"",IF(NOT(ISNA(VLOOKUP(E880,E$1:E879,1,FALSE()))),"OLD",IF(AND(E880&lt;&gt;"",E880&lt;&gt;"!!!"),"NEW","")))</f>
        <v/>
      </c>
      <c r="G880" s="11" t="str">
        <f>IF(OR(E880="",E880="!!!"),"",IF(OR(J880=0,AND(J880=1,K880=1),AND(J880=1,I880="SBJ"),AND(J880=1,I880=0)),"?IN_FOCUS",IF(J880&lt;=2,"?ACTIVATED",IF(J880&lt;&gt;"","?FAMILIAR",IF(F880="NEW",IF(ISNA(VLOOKUP(E880,#REF!,1,FALSE())),"?TYPE_IDENTIFIABLE","?REFERENTIAL"),"_")))))</f>
        <v/>
      </c>
      <c r="H880" s="12" t="str">
        <f t="shared" si="31"/>
        <v/>
      </c>
    </row>
    <row r="881" spans="1:8" x14ac:dyDescent="0.35">
      <c r="A881" t="s">
        <v>115</v>
      </c>
      <c r="E881" s="9" t="str">
        <f t="shared" si="30"/>
        <v/>
      </c>
      <c r="F881" s="10" t="str">
        <f>IF(OR(E881="",E881="!!!"),"",IF(NOT(ISNA(VLOOKUP(E881,E$1:E880,1,FALSE()))),"OLD",IF(AND(E881&lt;&gt;"",E881&lt;&gt;"!!!"),"NEW","")))</f>
        <v/>
      </c>
      <c r="G881" s="11" t="str">
        <f>IF(OR(E881="",E881="!!!"),"",IF(OR(J881=0,AND(J881=1,K881=1),AND(J881=1,I881="SBJ"),AND(J881=1,I881=0)),"?IN_FOCUS",IF(J881&lt;=2,"?ACTIVATED",IF(J881&lt;&gt;"","?FAMILIAR",IF(F881="NEW",IF(ISNA(VLOOKUP(E881,#REF!,1,FALSE())),"?TYPE_IDENTIFIABLE","?REFERENTIAL"),"_")))))</f>
        <v/>
      </c>
      <c r="H881" s="12" t="str">
        <f t="shared" si="31"/>
        <v/>
      </c>
    </row>
    <row r="882" spans="1:8" x14ac:dyDescent="0.35">
      <c r="A882" t="s">
        <v>58</v>
      </c>
      <c r="E882" s="9" t="str">
        <f t="shared" si="30"/>
        <v/>
      </c>
      <c r="F882" s="10" t="str">
        <f>IF(OR(E882="",E882="!!!"),"",IF(NOT(ISNA(VLOOKUP(E882,E$1:E881,1,FALSE()))),"OLD",IF(AND(E882&lt;&gt;"",E882&lt;&gt;"!!!"),"NEW","")))</f>
        <v/>
      </c>
      <c r="G882" s="11" t="str">
        <f>IF(OR(E882="",E882="!!!"),"",IF(OR(J882=0,AND(J882=1,K882=1),AND(J882=1,I882="SBJ"),AND(J882=1,I882=0)),"?IN_FOCUS",IF(J882&lt;=2,"?ACTIVATED",IF(J882&lt;&gt;"","?FAMILIAR",IF(F882="NEW",IF(ISNA(VLOOKUP(E882,#REF!,1,FALSE())),"?TYPE_IDENTIFIABLE","?REFERENTIAL"),"_")))))</f>
        <v/>
      </c>
      <c r="H882" s="12" t="str">
        <f t="shared" si="31"/>
        <v/>
      </c>
    </row>
    <row r="883" spans="1:8" x14ac:dyDescent="0.35">
      <c r="A883" t="s">
        <v>450</v>
      </c>
      <c r="B883" t="s">
        <v>36</v>
      </c>
      <c r="C883" t="s">
        <v>99</v>
      </c>
      <c r="D883" t="s">
        <v>16</v>
      </c>
      <c r="E883" s="9" t="str">
        <f t="shared" si="30"/>
        <v>!!!</v>
      </c>
      <c r="F883" s="10" t="str">
        <f>IF(OR(E883="",E883="!!!"),"",IF(NOT(ISNA(VLOOKUP(E883,E$1:E882,1,FALSE()))),"OLD",IF(AND(E883&lt;&gt;"",E883&lt;&gt;"!!!"),"NEW","")))</f>
        <v/>
      </c>
      <c r="G883" s="11" t="str">
        <f>IF(OR(E883="",E883="!!!"),"",IF(OR(J883=0,AND(J883=1,K883=1),AND(J883=1,I883="SBJ"),AND(J883=1,I883=0)),"?IN_FOCUS",IF(J883&lt;=2,"?ACTIVATED",IF(J883&lt;&gt;"","?FAMILIAR",IF(F883="NEW",IF(ISNA(VLOOKUP(E883,#REF!,1,FALSE())),"?TYPE_IDENTIFIABLE","?REFERENTIAL"),"_")))))</f>
        <v/>
      </c>
      <c r="H883" s="12" t="str">
        <f t="shared" si="31"/>
        <v/>
      </c>
    </row>
    <row r="884" spans="1:8" x14ac:dyDescent="0.35">
      <c r="A884" t="s">
        <v>451</v>
      </c>
      <c r="E884" s="9" t="str">
        <f t="shared" si="30"/>
        <v/>
      </c>
      <c r="F884" s="10" t="str">
        <f>IF(OR(E884="",E884="!!!"),"",IF(NOT(ISNA(VLOOKUP(E884,E$1:E883,1,FALSE()))),"OLD",IF(AND(E884&lt;&gt;"",E884&lt;&gt;"!!!"),"NEW","")))</f>
        <v/>
      </c>
      <c r="G884" s="11" t="str">
        <f>IF(OR(E884="",E884="!!!"),"",IF(OR(J884=0,AND(J884=1,K884=1),AND(J884=1,I884="SBJ"),AND(J884=1,I884=0)),"?IN_FOCUS",IF(J884&lt;=2,"?ACTIVATED",IF(J884&lt;&gt;"","?FAMILIAR",IF(F884="NEW",IF(ISNA(VLOOKUP(E884,#REF!,1,FALSE())),"?TYPE_IDENTIFIABLE","?REFERENTIAL"),"_")))))</f>
        <v/>
      </c>
      <c r="H884" s="12" t="str">
        <f t="shared" si="31"/>
        <v/>
      </c>
    </row>
    <row r="885" spans="1:8" x14ac:dyDescent="0.35">
      <c r="A885" t="s">
        <v>452</v>
      </c>
      <c r="B885" t="s">
        <v>91</v>
      </c>
      <c r="C885" t="s">
        <v>108</v>
      </c>
      <c r="E885" s="9" t="str">
        <f t="shared" si="30"/>
        <v/>
      </c>
      <c r="F885" s="10" t="str">
        <f>IF(OR(E885="",E885="!!!"),"",IF(NOT(ISNA(VLOOKUP(E885,E$1:E884,1,FALSE()))),"OLD",IF(AND(E885&lt;&gt;"",E885&lt;&gt;"!!!"),"NEW","")))</f>
        <v/>
      </c>
      <c r="G885" s="11" t="str">
        <f>IF(OR(E885="",E885="!!!"),"",IF(OR(J885=0,AND(J885=1,K885=1),AND(J885=1,I885="SBJ"),AND(J885=1,I885=0)),"?IN_FOCUS",IF(J885&lt;=2,"?ACTIVATED",IF(J885&lt;&gt;"","?FAMILIAR",IF(F885="NEW",IF(ISNA(VLOOKUP(E885,#REF!,1,FALSE())),"?TYPE_IDENTIFIABLE","?REFERENTIAL"),"_")))))</f>
        <v/>
      </c>
      <c r="H885" s="12" t="str">
        <f t="shared" si="31"/>
        <v/>
      </c>
    </row>
    <row r="886" spans="1:8" x14ac:dyDescent="0.35">
      <c r="A886" t="s">
        <v>76</v>
      </c>
      <c r="E886" s="9" t="str">
        <f t="shared" si="30"/>
        <v/>
      </c>
      <c r="F886" s="10" t="str">
        <f>IF(OR(E886="",E886="!!!"),"",IF(NOT(ISNA(VLOOKUP(E886,E$1:E885,1,FALSE()))),"OLD",IF(AND(E886&lt;&gt;"",E886&lt;&gt;"!!!"),"NEW","")))</f>
        <v/>
      </c>
      <c r="G886" s="11" t="str">
        <f>IF(OR(E886="",E886="!!!"),"",IF(OR(J886=0,AND(J886=1,K886=1),AND(J886=1,I886="SBJ"),AND(J886=1,I886=0)),"?IN_FOCUS",IF(J886&lt;=2,"?ACTIVATED",IF(J886&lt;&gt;"","?FAMILIAR",IF(F886="NEW",IF(ISNA(VLOOKUP(E886,#REF!,1,FALSE())),"?TYPE_IDENTIFIABLE","?REFERENTIAL"),"_")))))</f>
        <v/>
      </c>
      <c r="H886" s="12" t="str">
        <f t="shared" si="31"/>
        <v/>
      </c>
    </row>
    <row r="887" spans="1:8" x14ac:dyDescent="0.35">
      <c r="A887" t="s">
        <v>453</v>
      </c>
      <c r="B887" t="s">
        <v>20</v>
      </c>
      <c r="C887" t="s">
        <v>108</v>
      </c>
      <c r="E887" s="9" t="str">
        <f t="shared" ref="E887:E950" si="32">IF(D887="?OLD","!!!","")</f>
        <v/>
      </c>
      <c r="F887" s="10" t="str">
        <f>IF(OR(E887="",E887="!!!"),"",IF(NOT(ISNA(VLOOKUP(E887,E$1:E886,1,FALSE()))),"OLD",IF(AND(E887&lt;&gt;"",E887&lt;&gt;"!!!"),"NEW","")))</f>
        <v/>
      </c>
      <c r="G887" s="11" t="str">
        <f>IF(OR(E887="",E887="!!!"),"",IF(OR(J887=0,AND(J887=1,K887=1),AND(J887=1,I887="SBJ"),AND(J887=1,I887=0)),"?IN_FOCUS",IF(J887&lt;=2,"?ACTIVATED",IF(J887&lt;&gt;"","?FAMILIAR",IF(F887="NEW",IF(ISNA(VLOOKUP(E887,#REF!,1,FALSE())),"?TYPE_IDENTIFIABLE","?REFERENTIAL"),"_")))))</f>
        <v/>
      </c>
      <c r="H887" s="12" t="str">
        <f t="shared" ref="H887:H950" si="33">IF(J887&lt;&gt;1,"",IF(I887="SBJ","CB","?"))</f>
        <v/>
      </c>
    </row>
    <row r="888" spans="1:8" x14ac:dyDescent="0.35">
      <c r="A888" t="s">
        <v>63</v>
      </c>
      <c r="E888" s="9" t="str">
        <f t="shared" si="32"/>
        <v/>
      </c>
      <c r="F888" s="10" t="str">
        <f>IF(OR(E888="",E888="!!!"),"",IF(NOT(ISNA(VLOOKUP(E888,E$1:E887,1,FALSE()))),"OLD",IF(AND(E888&lt;&gt;"",E888&lt;&gt;"!!!"),"NEW","")))</f>
        <v/>
      </c>
      <c r="G888" s="11" t="str">
        <f>IF(OR(E888="",E888="!!!"),"",IF(OR(J888=0,AND(J888=1,K888=1),AND(J888=1,I888="SBJ"),AND(J888=1,I888=0)),"?IN_FOCUS",IF(J888&lt;=2,"?ACTIVATED",IF(J888&lt;&gt;"","?FAMILIAR",IF(F888="NEW",IF(ISNA(VLOOKUP(E888,#REF!,1,FALSE())),"?TYPE_IDENTIFIABLE","?REFERENTIAL"),"_")))))</f>
        <v/>
      </c>
      <c r="H888" s="12" t="str">
        <f t="shared" si="33"/>
        <v/>
      </c>
    </row>
    <row r="889" spans="1:8" x14ac:dyDescent="0.35">
      <c r="E889" s="9" t="str">
        <f t="shared" si="32"/>
        <v/>
      </c>
      <c r="F889" s="10" t="str">
        <f>IF(OR(E889="",E889="!!!"),"",IF(NOT(ISNA(VLOOKUP(E889,E$1:E888,1,FALSE()))),"OLD",IF(AND(E889&lt;&gt;"",E889&lt;&gt;"!!!"),"NEW","")))</f>
        <v/>
      </c>
      <c r="G889" s="11" t="str">
        <f>IF(OR(E889="",E889="!!!"),"",IF(OR(J889=0,AND(J889=1,K889=1),AND(J889=1,I889="SBJ"),AND(J889=1,I889=0)),"?IN_FOCUS",IF(J889&lt;=2,"?ACTIVATED",IF(J889&lt;&gt;"","?FAMILIAR",IF(F889="NEW",IF(ISNA(VLOOKUP(E889,#REF!,1,FALSE())),"?TYPE_IDENTIFIABLE","?REFERENTIAL"),"_")))))</f>
        <v/>
      </c>
      <c r="H889" s="12" t="str">
        <f t="shared" si="33"/>
        <v/>
      </c>
    </row>
    <row r="890" spans="1:8" x14ac:dyDescent="0.35">
      <c r="A890" t="s">
        <v>454</v>
      </c>
      <c r="E890" s="9" t="str">
        <f t="shared" si="32"/>
        <v/>
      </c>
      <c r="F890" s="10" t="str">
        <f>IF(OR(E890="",E890="!!!"),"",IF(NOT(ISNA(VLOOKUP(E890,E$1:E889,1,FALSE()))),"OLD",IF(AND(E890&lt;&gt;"",E890&lt;&gt;"!!!"),"NEW","")))</f>
        <v/>
      </c>
      <c r="G890" s="11" t="str">
        <f>IF(OR(E890="",E890="!!!"),"",IF(OR(J890=0,AND(J890=1,K890=1),AND(J890=1,I890="SBJ"),AND(J890=1,I890=0)),"?IN_FOCUS",IF(J890&lt;=2,"?ACTIVATED",IF(J890&lt;&gt;"","?FAMILIAR",IF(F890="NEW",IF(ISNA(VLOOKUP(E890,#REF!,1,FALSE())),"?TYPE_IDENTIFIABLE","?REFERENTIAL"),"_")))))</f>
        <v/>
      </c>
      <c r="H890" s="12" t="str">
        <f t="shared" si="33"/>
        <v/>
      </c>
    </row>
    <row r="891" spans="1:8" x14ac:dyDescent="0.35">
      <c r="A891" t="s">
        <v>455</v>
      </c>
      <c r="E891" s="9" t="str">
        <f t="shared" si="32"/>
        <v/>
      </c>
      <c r="F891" s="10" t="str">
        <f>IF(OR(E891="",E891="!!!"),"",IF(NOT(ISNA(VLOOKUP(E891,E$1:E890,1,FALSE()))),"OLD",IF(AND(E891&lt;&gt;"",E891&lt;&gt;"!!!"),"NEW","")))</f>
        <v/>
      </c>
      <c r="G891" s="11" t="str">
        <f>IF(OR(E891="",E891="!!!"),"",IF(OR(J891=0,AND(J891=1,K891=1),AND(J891=1,I891="SBJ"),AND(J891=1,I891=0)),"?IN_FOCUS",IF(J891&lt;=2,"?ACTIVATED",IF(J891&lt;&gt;"","?FAMILIAR",IF(F891="NEW",IF(ISNA(VLOOKUP(E891,#REF!,1,FALSE())),"?TYPE_IDENTIFIABLE","?REFERENTIAL"),"_")))))</f>
        <v/>
      </c>
      <c r="H891" s="12" t="str">
        <f t="shared" si="33"/>
        <v/>
      </c>
    </row>
    <row r="892" spans="1:8" x14ac:dyDescent="0.35">
      <c r="A892" t="s">
        <v>58</v>
      </c>
      <c r="E892" s="9" t="str">
        <f t="shared" si="32"/>
        <v/>
      </c>
      <c r="F892" s="10" t="str">
        <f>IF(OR(E892="",E892="!!!"),"",IF(NOT(ISNA(VLOOKUP(E892,E$1:E891,1,FALSE()))),"OLD",IF(AND(E892&lt;&gt;"",E892&lt;&gt;"!!!"),"NEW","")))</f>
        <v/>
      </c>
      <c r="G892" s="11" t="str">
        <f>IF(OR(E892="",E892="!!!"),"",IF(OR(J892=0,AND(J892=1,K892=1),AND(J892=1,I892="SBJ"),AND(J892=1,I892=0)),"?IN_FOCUS",IF(J892&lt;=2,"?ACTIVATED",IF(J892&lt;&gt;"","?FAMILIAR",IF(F892="NEW",IF(ISNA(VLOOKUP(E892,#REF!,1,FALSE())),"?TYPE_IDENTIFIABLE","?REFERENTIAL"),"_")))))</f>
        <v/>
      </c>
      <c r="H892" s="12" t="str">
        <f t="shared" si="33"/>
        <v/>
      </c>
    </row>
    <row r="893" spans="1:8" x14ac:dyDescent="0.35">
      <c r="A893" t="s">
        <v>456</v>
      </c>
      <c r="B893" t="s">
        <v>14</v>
      </c>
      <c r="C893" t="s">
        <v>15</v>
      </c>
      <c r="D893" t="s">
        <v>16</v>
      </c>
      <c r="E893" s="9" t="str">
        <f t="shared" si="32"/>
        <v>!!!</v>
      </c>
      <c r="F893" s="10" t="str">
        <f>IF(OR(E893="",E893="!!!"),"",IF(NOT(ISNA(VLOOKUP(E893,E$1:E892,1,FALSE()))),"OLD",IF(AND(E893&lt;&gt;"",E893&lt;&gt;"!!!"),"NEW","")))</f>
        <v/>
      </c>
      <c r="G893" s="11" t="str">
        <f>IF(OR(E893="",E893="!!!"),"",IF(OR(J893=0,AND(J893=1,K893=1),AND(J893=1,I893="SBJ"),AND(J893=1,I893=0)),"?IN_FOCUS",IF(J893&lt;=2,"?ACTIVATED",IF(J893&lt;&gt;"","?FAMILIAR",IF(F893="NEW",IF(ISNA(VLOOKUP(E893,#REF!,1,FALSE())),"?TYPE_IDENTIFIABLE","?REFERENTIAL"),"_")))))</f>
        <v/>
      </c>
      <c r="H893" s="12" t="str">
        <f t="shared" si="33"/>
        <v/>
      </c>
    </row>
    <row r="894" spans="1:8" x14ac:dyDescent="0.35">
      <c r="A894" t="s">
        <v>17</v>
      </c>
      <c r="E894" s="9" t="str">
        <f t="shared" si="32"/>
        <v/>
      </c>
      <c r="F894" s="10" t="str">
        <f>IF(OR(E894="",E894="!!!"),"",IF(NOT(ISNA(VLOOKUP(E894,E$1:E893,1,FALSE()))),"OLD",IF(AND(E894&lt;&gt;"",E894&lt;&gt;"!!!"),"NEW","")))</f>
        <v/>
      </c>
      <c r="G894" s="11" t="str">
        <f>IF(OR(E894="",E894="!!!"),"",IF(OR(J894=0,AND(J894=1,K894=1),AND(J894=1,I894="SBJ"),AND(J894=1,I894=0)),"?IN_FOCUS",IF(J894&lt;=2,"?ACTIVATED",IF(J894&lt;&gt;"","?FAMILIAR",IF(F894="NEW",IF(ISNA(VLOOKUP(E894,#REF!,1,FALSE())),"?TYPE_IDENTIFIABLE","?REFERENTIAL"),"_")))))</f>
        <v/>
      </c>
      <c r="H894" s="12" t="str">
        <f t="shared" si="33"/>
        <v/>
      </c>
    </row>
    <row r="895" spans="1:8" x14ac:dyDescent="0.35">
      <c r="A895" t="s">
        <v>39</v>
      </c>
      <c r="E895" s="9" t="str">
        <f t="shared" si="32"/>
        <v/>
      </c>
      <c r="F895" s="10" t="str">
        <f>IF(OR(E895="",E895="!!!"),"",IF(NOT(ISNA(VLOOKUP(E895,E$1:E894,1,FALSE()))),"OLD",IF(AND(E895&lt;&gt;"",E895&lt;&gt;"!!!"),"NEW","")))</f>
        <v/>
      </c>
      <c r="G895" s="11" t="str">
        <f>IF(OR(E895="",E895="!!!"),"",IF(OR(J895=0,AND(J895=1,K895=1),AND(J895=1,I895="SBJ"),AND(J895=1,I895=0)),"?IN_FOCUS",IF(J895&lt;=2,"?ACTIVATED",IF(J895&lt;&gt;"","?FAMILIAR",IF(F895="NEW",IF(ISNA(VLOOKUP(E895,#REF!,1,FALSE())),"?TYPE_IDENTIFIABLE","?REFERENTIAL"),"_")))))</f>
        <v/>
      </c>
      <c r="H895" s="12" t="str">
        <f t="shared" si="33"/>
        <v/>
      </c>
    </row>
    <row r="896" spans="1:8" x14ac:dyDescent="0.35">
      <c r="A896" t="s">
        <v>457</v>
      </c>
      <c r="E896" s="9" t="str">
        <f t="shared" si="32"/>
        <v/>
      </c>
      <c r="F896" s="10" t="str">
        <f>IF(OR(E896="",E896="!!!"),"",IF(NOT(ISNA(VLOOKUP(E896,E$1:E895,1,FALSE()))),"OLD",IF(AND(E896&lt;&gt;"",E896&lt;&gt;"!!!"),"NEW","")))</f>
        <v/>
      </c>
      <c r="G896" s="11" t="str">
        <f>IF(OR(E896="",E896="!!!"),"",IF(OR(J896=0,AND(J896=1,K896=1),AND(J896=1,I896="SBJ"),AND(J896=1,I896=0)),"?IN_FOCUS",IF(J896&lt;=2,"?ACTIVATED",IF(J896&lt;&gt;"","?FAMILIAR",IF(F896="NEW",IF(ISNA(VLOOKUP(E896,#REF!,1,FALSE())),"?TYPE_IDENTIFIABLE","?REFERENTIAL"),"_")))))</f>
        <v/>
      </c>
      <c r="H896" s="12" t="str">
        <f t="shared" si="33"/>
        <v/>
      </c>
    </row>
    <row r="897" spans="1:8" x14ac:dyDescent="0.35">
      <c r="A897" t="s">
        <v>241</v>
      </c>
      <c r="B897" t="s">
        <v>24</v>
      </c>
      <c r="C897" t="s">
        <v>122</v>
      </c>
      <c r="D897" t="s">
        <v>16</v>
      </c>
      <c r="E897" s="9" t="str">
        <f t="shared" si="32"/>
        <v>!!!</v>
      </c>
      <c r="F897" s="10" t="str">
        <f>IF(OR(E897="",E897="!!!"),"",IF(NOT(ISNA(VLOOKUP(E897,E$1:E896,1,FALSE()))),"OLD",IF(AND(E897&lt;&gt;"",E897&lt;&gt;"!!!"),"NEW","")))</f>
        <v/>
      </c>
      <c r="G897" s="11" t="str">
        <f>IF(OR(E897="",E897="!!!"),"",IF(OR(J897=0,AND(J897=1,K897=1),AND(J897=1,I897="SBJ"),AND(J897=1,I897=0)),"?IN_FOCUS",IF(J897&lt;=2,"?ACTIVATED",IF(J897&lt;&gt;"","?FAMILIAR",IF(F897="NEW",IF(ISNA(VLOOKUP(E897,#REF!,1,FALSE())),"?TYPE_IDENTIFIABLE","?REFERENTIAL"),"_")))))</f>
        <v/>
      </c>
      <c r="H897" s="12" t="str">
        <f t="shared" si="33"/>
        <v/>
      </c>
    </row>
    <row r="898" spans="1:8" x14ac:dyDescent="0.35">
      <c r="A898" t="s">
        <v>458</v>
      </c>
      <c r="E898" s="9" t="str">
        <f t="shared" si="32"/>
        <v/>
      </c>
      <c r="F898" s="10" t="str">
        <f>IF(OR(E898="",E898="!!!"),"",IF(NOT(ISNA(VLOOKUP(E898,E$1:E897,1,FALSE()))),"OLD",IF(AND(E898&lt;&gt;"",E898&lt;&gt;"!!!"),"NEW","")))</f>
        <v/>
      </c>
      <c r="G898" s="11" t="str">
        <f>IF(OR(E898="",E898="!!!"),"",IF(OR(J898=0,AND(J898=1,K898=1),AND(J898=1,I898="SBJ"),AND(J898=1,I898=0)),"?IN_FOCUS",IF(J898&lt;=2,"?ACTIVATED",IF(J898&lt;&gt;"","?FAMILIAR",IF(F898="NEW",IF(ISNA(VLOOKUP(E898,#REF!,1,FALSE())),"?TYPE_IDENTIFIABLE","?REFERENTIAL"),"_")))))</f>
        <v/>
      </c>
      <c r="H898" s="12" t="str">
        <f t="shared" si="33"/>
        <v/>
      </c>
    </row>
    <row r="899" spans="1:8" x14ac:dyDescent="0.35">
      <c r="A899" t="s">
        <v>58</v>
      </c>
      <c r="E899" s="9" t="str">
        <f t="shared" si="32"/>
        <v/>
      </c>
      <c r="F899" s="10" t="str">
        <f>IF(OR(E899="",E899="!!!"),"",IF(NOT(ISNA(VLOOKUP(E899,E$1:E898,1,FALSE()))),"OLD",IF(AND(E899&lt;&gt;"",E899&lt;&gt;"!!!"),"NEW","")))</f>
        <v/>
      </c>
      <c r="G899" s="11" t="str">
        <f>IF(OR(E899="",E899="!!!"),"",IF(OR(J899=0,AND(J899=1,K899=1),AND(J899=1,I899="SBJ"),AND(J899=1,I899=0)),"?IN_FOCUS",IF(J899&lt;=2,"?ACTIVATED",IF(J899&lt;&gt;"","?FAMILIAR",IF(F899="NEW",IF(ISNA(VLOOKUP(E899,#REF!,1,FALSE())),"?TYPE_IDENTIFIABLE","?REFERENTIAL"),"_")))))</f>
        <v/>
      </c>
      <c r="H899" s="12" t="str">
        <f t="shared" si="33"/>
        <v/>
      </c>
    </row>
    <row r="900" spans="1:8" x14ac:dyDescent="0.35">
      <c r="A900" t="s">
        <v>459</v>
      </c>
      <c r="E900" s="9" t="str">
        <f t="shared" si="32"/>
        <v/>
      </c>
      <c r="F900" s="10" t="str">
        <f>IF(OR(E900="",E900="!!!"),"",IF(NOT(ISNA(VLOOKUP(E900,E$1:E899,1,FALSE()))),"OLD",IF(AND(E900&lt;&gt;"",E900&lt;&gt;"!!!"),"NEW","")))</f>
        <v/>
      </c>
      <c r="G900" s="11" t="str">
        <f>IF(OR(E900="",E900="!!!"),"",IF(OR(J900=0,AND(J900=1,K900=1),AND(J900=1,I900="SBJ"),AND(J900=1,I900=0)),"?IN_FOCUS",IF(J900&lt;=2,"?ACTIVATED",IF(J900&lt;&gt;"","?FAMILIAR",IF(F900="NEW",IF(ISNA(VLOOKUP(E900,#REF!,1,FALSE())),"?TYPE_IDENTIFIABLE","?REFERENTIAL"),"_")))))</f>
        <v/>
      </c>
      <c r="H900" s="12" t="str">
        <f t="shared" si="33"/>
        <v/>
      </c>
    </row>
    <row r="901" spans="1:8" x14ac:dyDescent="0.35">
      <c r="A901" t="s">
        <v>262</v>
      </c>
      <c r="E901" s="9" t="str">
        <f t="shared" si="32"/>
        <v/>
      </c>
      <c r="F901" s="10" t="str">
        <f>IF(OR(E901="",E901="!!!"),"",IF(NOT(ISNA(VLOOKUP(E901,E$1:E900,1,FALSE()))),"OLD",IF(AND(E901&lt;&gt;"",E901&lt;&gt;"!!!"),"NEW","")))</f>
        <v/>
      </c>
      <c r="G901" s="11" t="str">
        <f>IF(OR(E901="",E901="!!!"),"",IF(OR(J901=0,AND(J901=1,K901=1),AND(J901=1,I901="SBJ"),AND(J901=1,I901=0)),"?IN_FOCUS",IF(J901&lt;=2,"?ACTIVATED",IF(J901&lt;&gt;"","?FAMILIAR",IF(F901="NEW",IF(ISNA(VLOOKUP(E901,#REF!,1,FALSE())),"?TYPE_IDENTIFIABLE","?REFERENTIAL"),"_")))))</f>
        <v/>
      </c>
      <c r="H901" s="12" t="str">
        <f t="shared" si="33"/>
        <v/>
      </c>
    </row>
    <row r="902" spans="1:8" x14ac:dyDescent="0.35">
      <c r="A902" t="s">
        <v>460</v>
      </c>
      <c r="E902" s="9" t="str">
        <f t="shared" si="32"/>
        <v/>
      </c>
      <c r="F902" s="10" t="str">
        <f>IF(OR(E902="",E902="!!!"),"",IF(NOT(ISNA(VLOOKUP(E902,E$1:E901,1,FALSE()))),"OLD",IF(AND(E902&lt;&gt;"",E902&lt;&gt;"!!!"),"NEW","")))</f>
        <v/>
      </c>
      <c r="G902" s="11" t="str">
        <f>IF(OR(E902="",E902="!!!"),"",IF(OR(J902=0,AND(J902=1,K902=1),AND(J902=1,I902="SBJ"),AND(J902=1,I902=0)),"?IN_FOCUS",IF(J902&lt;=2,"?ACTIVATED",IF(J902&lt;&gt;"","?FAMILIAR",IF(F902="NEW",IF(ISNA(VLOOKUP(E902,#REF!,1,FALSE())),"?TYPE_IDENTIFIABLE","?REFERENTIAL"),"_")))))</f>
        <v/>
      </c>
      <c r="H902" s="12" t="str">
        <f t="shared" si="33"/>
        <v/>
      </c>
    </row>
    <row r="903" spans="1:8" x14ac:dyDescent="0.35">
      <c r="A903" t="s">
        <v>178</v>
      </c>
      <c r="B903" t="s">
        <v>24</v>
      </c>
      <c r="C903" t="s">
        <v>99</v>
      </c>
      <c r="D903" t="s">
        <v>16</v>
      </c>
      <c r="E903" s="9" t="str">
        <f t="shared" si="32"/>
        <v>!!!</v>
      </c>
      <c r="F903" s="10" t="str">
        <f>IF(OR(E903="",E903="!!!"),"",IF(NOT(ISNA(VLOOKUP(E903,E$1:E902,1,FALSE()))),"OLD",IF(AND(E903&lt;&gt;"",E903&lt;&gt;"!!!"),"NEW","")))</f>
        <v/>
      </c>
      <c r="G903" s="11" t="str">
        <f>IF(OR(E903="",E903="!!!"),"",IF(OR(J903=0,AND(J903=1,K903=1),AND(J903=1,I903="SBJ"),AND(J903=1,I903=0)),"?IN_FOCUS",IF(J903&lt;=2,"?ACTIVATED",IF(J903&lt;&gt;"","?FAMILIAR",IF(F903="NEW",IF(ISNA(VLOOKUP(E903,#REF!,1,FALSE())),"?TYPE_IDENTIFIABLE","?REFERENTIAL"),"_")))))</f>
        <v/>
      </c>
      <c r="H903" s="12" t="str">
        <f t="shared" si="33"/>
        <v/>
      </c>
    </row>
    <row r="904" spans="1:8" x14ac:dyDescent="0.35">
      <c r="A904" t="s">
        <v>42</v>
      </c>
      <c r="E904" s="9" t="str">
        <f t="shared" si="32"/>
        <v/>
      </c>
      <c r="F904" s="10" t="str">
        <f>IF(OR(E904="",E904="!!!"),"",IF(NOT(ISNA(VLOOKUP(E904,E$1:E903,1,FALSE()))),"OLD",IF(AND(E904&lt;&gt;"",E904&lt;&gt;"!!!"),"NEW","")))</f>
        <v/>
      </c>
      <c r="G904" s="11" t="str">
        <f>IF(OR(E904="",E904="!!!"),"",IF(OR(J904=0,AND(J904=1,K904=1),AND(J904=1,I904="SBJ"),AND(J904=1,I904=0)),"?IN_FOCUS",IF(J904&lt;=2,"?ACTIVATED",IF(J904&lt;&gt;"","?FAMILIAR",IF(F904="NEW",IF(ISNA(VLOOKUP(E904,#REF!,1,FALSE())),"?TYPE_IDENTIFIABLE","?REFERENTIAL"),"_")))))</f>
        <v/>
      </c>
      <c r="H904" s="12" t="str">
        <f t="shared" si="33"/>
        <v/>
      </c>
    </row>
    <row r="905" spans="1:8" x14ac:dyDescent="0.35">
      <c r="A905" t="s">
        <v>461</v>
      </c>
      <c r="E905" s="9" t="str">
        <f t="shared" si="32"/>
        <v/>
      </c>
      <c r="F905" s="10" t="str">
        <f>IF(OR(E905="",E905="!!!"),"",IF(NOT(ISNA(VLOOKUP(E905,E$1:E904,1,FALSE()))),"OLD",IF(AND(E905&lt;&gt;"",E905&lt;&gt;"!!!"),"NEW","")))</f>
        <v/>
      </c>
      <c r="G905" s="11" t="str">
        <f>IF(OR(E905="",E905="!!!"),"",IF(OR(J905=0,AND(J905=1,K905=1),AND(J905=1,I905="SBJ"),AND(J905=1,I905=0)),"?IN_FOCUS",IF(J905&lt;=2,"?ACTIVATED",IF(J905&lt;&gt;"","?FAMILIAR",IF(F905="NEW",IF(ISNA(VLOOKUP(E905,#REF!,1,FALSE())),"?TYPE_IDENTIFIABLE","?REFERENTIAL"),"_")))))</f>
        <v/>
      </c>
      <c r="H905" s="12" t="str">
        <f t="shared" si="33"/>
        <v/>
      </c>
    </row>
    <row r="906" spans="1:8" x14ac:dyDescent="0.35">
      <c r="A906" t="s">
        <v>462</v>
      </c>
      <c r="E906" s="9" t="str">
        <f t="shared" si="32"/>
        <v/>
      </c>
      <c r="F906" s="10" t="str">
        <f>IF(OR(E906="",E906="!!!"),"",IF(NOT(ISNA(VLOOKUP(E906,E$1:E905,1,FALSE()))),"OLD",IF(AND(E906&lt;&gt;"",E906&lt;&gt;"!!!"),"NEW","")))</f>
        <v/>
      </c>
      <c r="G906" s="11" t="str">
        <f>IF(OR(E906="",E906="!!!"),"",IF(OR(J906=0,AND(J906=1,K906=1),AND(J906=1,I906="SBJ"),AND(J906=1,I906=0)),"?IN_FOCUS",IF(J906&lt;=2,"?ACTIVATED",IF(J906&lt;&gt;"","?FAMILIAR",IF(F906="NEW",IF(ISNA(VLOOKUP(E906,#REF!,1,FALSE())),"?TYPE_IDENTIFIABLE","?REFERENTIAL"),"_")))))</f>
        <v/>
      </c>
      <c r="H906" s="12" t="str">
        <f t="shared" si="33"/>
        <v/>
      </c>
    </row>
    <row r="907" spans="1:8" x14ac:dyDescent="0.35">
      <c r="A907" t="s">
        <v>164</v>
      </c>
      <c r="E907" s="9" t="str">
        <f t="shared" si="32"/>
        <v/>
      </c>
      <c r="F907" s="10" t="str">
        <f>IF(OR(E907="",E907="!!!"),"",IF(NOT(ISNA(VLOOKUP(E907,E$1:E906,1,FALSE()))),"OLD",IF(AND(E907&lt;&gt;"",E907&lt;&gt;"!!!"),"NEW","")))</f>
        <v/>
      </c>
      <c r="G907" s="11" t="str">
        <f>IF(OR(E907="",E907="!!!"),"",IF(OR(J907=0,AND(J907=1,K907=1),AND(J907=1,I907="SBJ"),AND(J907=1,I907=0)),"?IN_FOCUS",IF(J907&lt;=2,"?ACTIVATED",IF(J907&lt;&gt;"","?FAMILIAR",IF(F907="NEW",IF(ISNA(VLOOKUP(E907,#REF!,1,FALSE())),"?TYPE_IDENTIFIABLE","?REFERENTIAL"),"_")))))</f>
        <v/>
      </c>
      <c r="H907" s="12" t="str">
        <f t="shared" si="33"/>
        <v/>
      </c>
    </row>
    <row r="908" spans="1:8" x14ac:dyDescent="0.35">
      <c r="A908" t="s">
        <v>47</v>
      </c>
      <c r="B908" t="s">
        <v>24</v>
      </c>
      <c r="C908" t="s">
        <v>49</v>
      </c>
      <c r="D908" t="s">
        <v>16</v>
      </c>
      <c r="E908" s="9" t="str">
        <f t="shared" si="32"/>
        <v>!!!</v>
      </c>
      <c r="F908" s="10" t="str">
        <f>IF(OR(E908="",E908="!!!"),"",IF(NOT(ISNA(VLOOKUP(E908,E$1:E907,1,FALSE()))),"OLD",IF(AND(E908&lt;&gt;"",E908&lt;&gt;"!!!"),"NEW","")))</f>
        <v/>
      </c>
      <c r="G908" s="11" t="str">
        <f>IF(OR(E908="",E908="!!!"),"",IF(OR(J908=0,AND(J908=1,K908=1),AND(J908=1,I908="SBJ"),AND(J908=1,I908=0)),"?IN_FOCUS",IF(J908&lt;=2,"?ACTIVATED",IF(J908&lt;&gt;"","?FAMILIAR",IF(F908="NEW",IF(ISNA(VLOOKUP(E908,#REF!,1,FALSE())),"?TYPE_IDENTIFIABLE","?REFERENTIAL"),"_")))))</f>
        <v/>
      </c>
      <c r="H908" s="12" t="str">
        <f t="shared" si="33"/>
        <v/>
      </c>
    </row>
    <row r="909" spans="1:8" x14ac:dyDescent="0.35">
      <c r="A909" t="s">
        <v>463</v>
      </c>
      <c r="B909" t="s">
        <v>54</v>
      </c>
      <c r="C909" t="s">
        <v>15</v>
      </c>
      <c r="D909" t="s">
        <v>16</v>
      </c>
      <c r="E909" s="9" t="str">
        <f t="shared" si="32"/>
        <v>!!!</v>
      </c>
      <c r="F909" s="10" t="str">
        <f>IF(OR(E909="",E909="!!!"),"",IF(NOT(ISNA(VLOOKUP(E909,E$1:E908,1,FALSE()))),"OLD",IF(AND(E909&lt;&gt;"",E909&lt;&gt;"!!!"),"NEW","")))</f>
        <v/>
      </c>
      <c r="G909" s="11" t="str">
        <f>IF(OR(E909="",E909="!!!"),"",IF(OR(J909=0,AND(J909=1,K909=1),AND(J909=1,I909="SBJ"),AND(J909=1,I909=0)),"?IN_FOCUS",IF(J909&lt;=2,"?ACTIVATED",IF(J909&lt;&gt;"","?FAMILIAR",IF(F909="NEW",IF(ISNA(VLOOKUP(E909,#REF!,1,FALSE())),"?TYPE_IDENTIFIABLE","?REFERENTIAL"),"_")))))</f>
        <v/>
      </c>
      <c r="H909" s="12" t="str">
        <f t="shared" si="33"/>
        <v/>
      </c>
    </row>
    <row r="910" spans="1:8" x14ac:dyDescent="0.35">
      <c r="A910" t="s">
        <v>63</v>
      </c>
      <c r="E910" s="9" t="str">
        <f t="shared" si="32"/>
        <v/>
      </c>
      <c r="F910" s="10" t="str">
        <f>IF(OR(E910="",E910="!!!"),"",IF(NOT(ISNA(VLOOKUP(E910,E$1:E909,1,FALSE()))),"OLD",IF(AND(E910&lt;&gt;"",E910&lt;&gt;"!!!"),"NEW","")))</f>
        <v/>
      </c>
      <c r="G910" s="11" t="str">
        <f>IF(OR(E910="",E910="!!!"),"",IF(OR(J910=0,AND(J910=1,K910=1),AND(J910=1,I910="SBJ"),AND(J910=1,I910=0)),"?IN_FOCUS",IF(J910&lt;=2,"?ACTIVATED",IF(J910&lt;&gt;"","?FAMILIAR",IF(F910="NEW",IF(ISNA(VLOOKUP(E910,#REF!,1,FALSE())),"?TYPE_IDENTIFIABLE","?REFERENTIAL"),"_")))))</f>
        <v/>
      </c>
      <c r="H910" s="12" t="str">
        <f t="shared" si="33"/>
        <v/>
      </c>
    </row>
    <row r="911" spans="1:8" x14ac:dyDescent="0.35">
      <c r="E911" s="9" t="str">
        <f t="shared" si="32"/>
        <v/>
      </c>
      <c r="F911" s="10" t="str">
        <f>IF(OR(E911="",E911="!!!"),"",IF(NOT(ISNA(VLOOKUP(E911,E$1:E910,1,FALSE()))),"OLD",IF(AND(E911&lt;&gt;"",E911&lt;&gt;"!!!"),"NEW","")))</f>
        <v/>
      </c>
      <c r="G911" s="11" t="str">
        <f>IF(OR(E911="",E911="!!!"),"",IF(OR(J911=0,AND(J911=1,K911=1),AND(J911=1,I911="SBJ"),AND(J911=1,I911=0)),"?IN_FOCUS",IF(J911&lt;=2,"?ACTIVATED",IF(J911&lt;&gt;"","?FAMILIAR",IF(F911="NEW",IF(ISNA(VLOOKUP(E911,#REF!,1,FALSE())),"?TYPE_IDENTIFIABLE","?REFERENTIAL"),"_")))))</f>
        <v/>
      </c>
      <c r="H911" s="12" t="str">
        <f t="shared" si="33"/>
        <v/>
      </c>
    </row>
    <row r="912" spans="1:8" x14ac:dyDescent="0.35">
      <c r="A912" t="s">
        <v>464</v>
      </c>
      <c r="E912" s="9" t="str">
        <f t="shared" si="32"/>
        <v/>
      </c>
      <c r="F912" s="10" t="str">
        <f>IF(OR(E912="",E912="!!!"),"",IF(NOT(ISNA(VLOOKUP(E912,E$1:E911,1,FALSE()))),"OLD",IF(AND(E912&lt;&gt;"",E912&lt;&gt;"!!!"),"NEW","")))</f>
        <v/>
      </c>
      <c r="G912" s="11" t="str">
        <f>IF(OR(E912="",E912="!!!"),"",IF(OR(J912=0,AND(J912=1,K912=1),AND(J912=1,I912="SBJ"),AND(J912=1,I912=0)),"?IN_FOCUS",IF(J912&lt;=2,"?ACTIVATED",IF(J912&lt;&gt;"","?FAMILIAR",IF(F912="NEW",IF(ISNA(VLOOKUP(E912,#REF!,1,FALSE())),"?TYPE_IDENTIFIABLE","?REFERENTIAL"),"_")))))</f>
        <v/>
      </c>
      <c r="H912" s="12" t="str">
        <f t="shared" si="33"/>
        <v/>
      </c>
    </row>
    <row r="913" spans="1:8" x14ac:dyDescent="0.35">
      <c r="A913" t="s">
        <v>257</v>
      </c>
      <c r="E913" s="9" t="str">
        <f t="shared" si="32"/>
        <v/>
      </c>
      <c r="F913" s="10" t="str">
        <f>IF(OR(E913="",E913="!!!"),"",IF(NOT(ISNA(VLOOKUP(E913,E$1:E912,1,FALSE()))),"OLD",IF(AND(E913&lt;&gt;"",E913&lt;&gt;"!!!"),"NEW","")))</f>
        <v/>
      </c>
      <c r="G913" s="11" t="str">
        <f>IF(OR(E913="",E913="!!!"),"",IF(OR(J913=0,AND(J913=1,K913=1),AND(J913=1,I913="SBJ"),AND(J913=1,I913=0)),"?IN_FOCUS",IF(J913&lt;=2,"?ACTIVATED",IF(J913&lt;&gt;"","?FAMILIAR",IF(F913="NEW",IF(ISNA(VLOOKUP(E913,#REF!,1,FALSE())),"?TYPE_IDENTIFIABLE","?REFERENTIAL"),"_")))))</f>
        <v/>
      </c>
      <c r="H913" s="12" t="str">
        <f t="shared" si="33"/>
        <v/>
      </c>
    </row>
    <row r="914" spans="1:8" x14ac:dyDescent="0.35">
      <c r="A914" t="s">
        <v>110</v>
      </c>
      <c r="B914" t="s">
        <v>14</v>
      </c>
      <c r="C914" t="s">
        <v>33</v>
      </c>
      <c r="D914" t="s">
        <v>16</v>
      </c>
      <c r="E914" s="9" t="str">
        <f t="shared" si="32"/>
        <v>!!!</v>
      </c>
      <c r="F914" s="10" t="str">
        <f>IF(OR(E914="",E914="!!!"),"",IF(NOT(ISNA(VLOOKUP(E914,E$1:E913,1,FALSE()))),"OLD",IF(AND(E914&lt;&gt;"",E914&lt;&gt;"!!!"),"NEW","")))</f>
        <v/>
      </c>
      <c r="G914" s="11" t="str">
        <f>IF(OR(E914="",E914="!!!"),"",IF(OR(J914=0,AND(J914=1,K914=1),AND(J914=1,I914="SBJ"),AND(J914=1,I914=0)),"?IN_FOCUS",IF(J914&lt;=2,"?ACTIVATED",IF(J914&lt;&gt;"","?FAMILIAR",IF(F914="NEW",IF(ISNA(VLOOKUP(E914,#REF!,1,FALSE())),"?TYPE_IDENTIFIABLE","?REFERENTIAL"),"_")))))</f>
        <v/>
      </c>
      <c r="H914" s="12" t="str">
        <f t="shared" si="33"/>
        <v/>
      </c>
    </row>
    <row r="915" spans="1:8" x14ac:dyDescent="0.35">
      <c r="A915" t="s">
        <v>406</v>
      </c>
      <c r="E915" s="9" t="str">
        <f t="shared" si="32"/>
        <v/>
      </c>
      <c r="F915" s="10" t="str">
        <f>IF(OR(E915="",E915="!!!"),"",IF(NOT(ISNA(VLOOKUP(E915,E$1:E914,1,FALSE()))),"OLD",IF(AND(E915&lt;&gt;"",E915&lt;&gt;"!!!"),"NEW","")))</f>
        <v/>
      </c>
      <c r="G915" s="11" t="str">
        <f>IF(OR(E915="",E915="!!!"),"",IF(OR(J915=0,AND(J915=1,K915=1),AND(J915=1,I915="SBJ"),AND(J915=1,I915=0)),"?IN_FOCUS",IF(J915&lt;=2,"?ACTIVATED",IF(J915&lt;&gt;"","?FAMILIAR",IF(F915="NEW",IF(ISNA(VLOOKUP(E915,#REF!,1,FALSE())),"?TYPE_IDENTIFIABLE","?REFERENTIAL"),"_")))))</f>
        <v/>
      </c>
      <c r="H915" s="12" t="str">
        <f t="shared" si="33"/>
        <v/>
      </c>
    </row>
    <row r="916" spans="1:8" x14ac:dyDescent="0.35">
      <c r="A916" t="s">
        <v>405</v>
      </c>
      <c r="B916" t="s">
        <v>32</v>
      </c>
      <c r="C916" t="s">
        <v>33</v>
      </c>
      <c r="D916" t="s">
        <v>16</v>
      </c>
      <c r="E916" s="9" t="str">
        <f t="shared" si="32"/>
        <v>!!!</v>
      </c>
      <c r="F916" s="10" t="str">
        <f>IF(OR(E916="",E916="!!!"),"",IF(NOT(ISNA(VLOOKUP(E916,E$1:E915,1,FALSE()))),"OLD",IF(AND(E916&lt;&gt;"",E916&lt;&gt;"!!!"),"NEW","")))</f>
        <v/>
      </c>
      <c r="G916" s="11" t="str">
        <f>IF(OR(E916="",E916="!!!"),"",IF(OR(J916=0,AND(J916=1,K916=1),AND(J916=1,I916="SBJ"),AND(J916=1,I916=0)),"?IN_FOCUS",IF(J916&lt;=2,"?ACTIVATED",IF(J916&lt;&gt;"","?FAMILIAR",IF(F916="NEW",IF(ISNA(VLOOKUP(E916,#REF!,1,FALSE())),"?TYPE_IDENTIFIABLE","?REFERENTIAL"),"_")))))</f>
        <v/>
      </c>
      <c r="H916" s="12" t="str">
        <f t="shared" si="33"/>
        <v/>
      </c>
    </row>
    <row r="917" spans="1:8" x14ac:dyDescent="0.35">
      <c r="A917" t="s">
        <v>434</v>
      </c>
      <c r="B917" t="s">
        <v>36</v>
      </c>
      <c r="C917" t="s">
        <v>21</v>
      </c>
      <c r="D917" t="s">
        <v>16</v>
      </c>
      <c r="E917" s="9" t="str">
        <f t="shared" si="32"/>
        <v>!!!</v>
      </c>
      <c r="F917" s="10" t="str">
        <f>IF(OR(E917="",E917="!!!"),"",IF(NOT(ISNA(VLOOKUP(E917,E$1:E916,1,FALSE()))),"OLD",IF(AND(E917&lt;&gt;"",E917&lt;&gt;"!!!"),"NEW","")))</f>
        <v/>
      </c>
      <c r="G917" s="11" t="str">
        <f>IF(OR(E917="",E917="!!!"),"",IF(OR(J917=0,AND(J917=1,K917=1),AND(J917=1,I917="SBJ"),AND(J917=1,I917=0)),"?IN_FOCUS",IF(J917&lt;=2,"?ACTIVATED",IF(J917&lt;&gt;"","?FAMILIAR",IF(F917="NEW",IF(ISNA(VLOOKUP(E917,#REF!,1,FALSE())),"?TYPE_IDENTIFIABLE","?REFERENTIAL"),"_")))))</f>
        <v/>
      </c>
      <c r="H917" s="12" t="str">
        <f t="shared" si="33"/>
        <v/>
      </c>
    </row>
    <row r="918" spans="1:8" x14ac:dyDescent="0.35">
      <c r="A918" t="s">
        <v>465</v>
      </c>
      <c r="E918" s="9" t="str">
        <f t="shared" si="32"/>
        <v/>
      </c>
      <c r="F918" s="10" t="str">
        <f>IF(OR(E918="",E918="!!!"),"",IF(NOT(ISNA(VLOOKUP(E918,E$1:E917,1,FALSE()))),"OLD",IF(AND(E918&lt;&gt;"",E918&lt;&gt;"!!!"),"NEW","")))</f>
        <v/>
      </c>
      <c r="G918" s="11" t="str">
        <f>IF(OR(E918="",E918="!!!"),"",IF(OR(J918=0,AND(J918=1,K918=1),AND(J918=1,I918="SBJ"),AND(J918=1,I918=0)),"?IN_FOCUS",IF(J918&lt;=2,"?ACTIVATED",IF(J918&lt;&gt;"","?FAMILIAR",IF(F918="NEW",IF(ISNA(VLOOKUP(E918,#REF!,1,FALSE())),"?TYPE_IDENTIFIABLE","?REFERENTIAL"),"_")))))</f>
        <v/>
      </c>
      <c r="H918" s="12" t="str">
        <f t="shared" si="33"/>
        <v/>
      </c>
    </row>
    <row r="919" spans="1:8" x14ac:dyDescent="0.35">
      <c r="A919" t="s">
        <v>76</v>
      </c>
      <c r="E919" s="9" t="str">
        <f t="shared" si="32"/>
        <v/>
      </c>
      <c r="F919" s="10" t="str">
        <f>IF(OR(E919="",E919="!!!"),"",IF(NOT(ISNA(VLOOKUP(E919,E$1:E918,1,FALSE()))),"OLD",IF(AND(E919&lt;&gt;"",E919&lt;&gt;"!!!"),"NEW","")))</f>
        <v/>
      </c>
      <c r="G919" s="11" t="str">
        <f>IF(OR(E919="",E919="!!!"),"",IF(OR(J919=0,AND(J919=1,K919=1),AND(J919=1,I919="SBJ"),AND(J919=1,I919=0)),"?IN_FOCUS",IF(J919&lt;=2,"?ACTIVATED",IF(J919&lt;&gt;"","?FAMILIAR",IF(F919="NEW",IF(ISNA(VLOOKUP(E919,#REF!,1,FALSE())),"?TYPE_IDENTIFIABLE","?REFERENTIAL"),"_")))))</f>
        <v/>
      </c>
      <c r="H919" s="12" t="str">
        <f t="shared" si="33"/>
        <v/>
      </c>
    </row>
    <row r="920" spans="1:8" x14ac:dyDescent="0.35">
      <c r="A920" t="s">
        <v>466</v>
      </c>
      <c r="E920" s="9" t="str">
        <f t="shared" si="32"/>
        <v/>
      </c>
      <c r="F920" s="10" t="str">
        <f>IF(OR(E920="",E920="!!!"),"",IF(NOT(ISNA(VLOOKUP(E920,E$1:E919,1,FALSE()))),"OLD",IF(AND(E920&lt;&gt;"",E920&lt;&gt;"!!!"),"NEW","")))</f>
        <v/>
      </c>
      <c r="G920" s="11" t="str">
        <f>IF(OR(E920="",E920="!!!"),"",IF(OR(J920=0,AND(J920=1,K920=1),AND(J920=1,I920="SBJ"),AND(J920=1,I920=0)),"?IN_FOCUS",IF(J920&lt;=2,"?ACTIVATED",IF(J920&lt;&gt;"","?FAMILIAR",IF(F920="NEW",IF(ISNA(VLOOKUP(E920,#REF!,1,FALSE())),"?TYPE_IDENTIFIABLE","?REFERENTIAL"),"_")))))</f>
        <v/>
      </c>
      <c r="H920" s="12" t="str">
        <f t="shared" si="33"/>
        <v/>
      </c>
    </row>
    <row r="921" spans="1:8" x14ac:dyDescent="0.35">
      <c r="A921" t="s">
        <v>58</v>
      </c>
      <c r="E921" s="9" t="str">
        <f t="shared" si="32"/>
        <v/>
      </c>
      <c r="F921" s="10" t="str">
        <f>IF(OR(E921="",E921="!!!"),"",IF(NOT(ISNA(VLOOKUP(E921,E$1:E920,1,FALSE()))),"OLD",IF(AND(E921&lt;&gt;"",E921&lt;&gt;"!!!"),"NEW","")))</f>
        <v/>
      </c>
      <c r="G921" s="11" t="str">
        <f>IF(OR(E921="",E921="!!!"),"",IF(OR(J921=0,AND(J921=1,K921=1),AND(J921=1,I921="SBJ"),AND(J921=1,I921=0)),"?IN_FOCUS",IF(J921&lt;=2,"?ACTIVATED",IF(J921&lt;&gt;"","?FAMILIAR",IF(F921="NEW",IF(ISNA(VLOOKUP(E921,#REF!,1,FALSE())),"?TYPE_IDENTIFIABLE","?REFERENTIAL"),"_")))))</f>
        <v/>
      </c>
      <c r="H921" s="12" t="str">
        <f t="shared" si="33"/>
        <v/>
      </c>
    </row>
    <row r="922" spans="1:8" x14ac:dyDescent="0.35">
      <c r="A922" t="s">
        <v>387</v>
      </c>
      <c r="B922" t="s">
        <v>91</v>
      </c>
      <c r="C922" t="s">
        <v>99</v>
      </c>
      <c r="D922" t="s">
        <v>16</v>
      </c>
      <c r="E922" s="9" t="str">
        <f t="shared" si="32"/>
        <v>!!!</v>
      </c>
      <c r="F922" s="10" t="str">
        <f>IF(OR(E922="",E922="!!!"),"",IF(NOT(ISNA(VLOOKUP(E922,E$1:E921,1,FALSE()))),"OLD",IF(AND(E922&lt;&gt;"",E922&lt;&gt;"!!!"),"NEW","")))</f>
        <v/>
      </c>
      <c r="G922" s="11" t="str">
        <f>IF(OR(E922="",E922="!!!"),"",IF(OR(J922=0,AND(J922=1,K922=1),AND(J922=1,I922="SBJ"),AND(J922=1,I922=0)),"?IN_FOCUS",IF(J922&lt;=2,"?ACTIVATED",IF(J922&lt;&gt;"","?FAMILIAR",IF(F922="NEW",IF(ISNA(VLOOKUP(E922,#REF!,1,FALSE())),"?TYPE_IDENTIFIABLE","?REFERENTIAL"),"_")))))</f>
        <v/>
      </c>
      <c r="H922" s="12" t="str">
        <f t="shared" si="33"/>
        <v/>
      </c>
    </row>
    <row r="923" spans="1:8" x14ac:dyDescent="0.35">
      <c r="A923" t="s">
        <v>26</v>
      </c>
      <c r="E923" s="9" t="str">
        <f t="shared" si="32"/>
        <v/>
      </c>
      <c r="F923" s="10" t="str">
        <f>IF(OR(E923="",E923="!!!"),"",IF(NOT(ISNA(VLOOKUP(E923,E$1:E922,1,FALSE()))),"OLD",IF(AND(E923&lt;&gt;"",E923&lt;&gt;"!!!"),"NEW","")))</f>
        <v/>
      </c>
      <c r="G923" s="11" t="str">
        <f>IF(OR(E923="",E923="!!!"),"",IF(OR(J923=0,AND(J923=1,K923=1),AND(J923=1,I923="SBJ"),AND(J923=1,I923=0)),"?IN_FOCUS",IF(J923&lt;=2,"?ACTIVATED",IF(J923&lt;&gt;"","?FAMILIAR",IF(F923="NEW",IF(ISNA(VLOOKUP(E923,#REF!,1,FALSE())),"?TYPE_IDENTIFIABLE","?REFERENTIAL"),"_")))))</f>
        <v/>
      </c>
      <c r="H923" s="12" t="str">
        <f t="shared" si="33"/>
        <v/>
      </c>
    </row>
    <row r="924" spans="1:8" x14ac:dyDescent="0.35">
      <c r="A924" t="s">
        <v>239</v>
      </c>
      <c r="E924" s="9" t="str">
        <f t="shared" si="32"/>
        <v/>
      </c>
      <c r="F924" s="10" t="str">
        <f>IF(OR(E924="",E924="!!!"),"",IF(NOT(ISNA(VLOOKUP(E924,E$1:E923,1,FALSE()))),"OLD",IF(AND(E924&lt;&gt;"",E924&lt;&gt;"!!!"),"NEW","")))</f>
        <v/>
      </c>
      <c r="G924" s="11" t="str">
        <f>IF(OR(E924="",E924="!!!"),"",IF(OR(J924=0,AND(J924=1,K924=1),AND(J924=1,I924="SBJ"),AND(J924=1,I924=0)),"?IN_FOCUS",IF(J924&lt;=2,"?ACTIVATED",IF(J924&lt;&gt;"","?FAMILIAR",IF(F924="NEW",IF(ISNA(VLOOKUP(E924,#REF!,1,FALSE())),"?TYPE_IDENTIFIABLE","?REFERENTIAL"),"_")))))</f>
        <v/>
      </c>
      <c r="H924" s="12" t="str">
        <f t="shared" si="33"/>
        <v/>
      </c>
    </row>
    <row r="925" spans="1:8" x14ac:dyDescent="0.35">
      <c r="A925" t="s">
        <v>432</v>
      </c>
      <c r="B925" t="s">
        <v>36</v>
      </c>
      <c r="C925" t="s">
        <v>21</v>
      </c>
      <c r="D925" t="s">
        <v>16</v>
      </c>
      <c r="E925" s="9" t="str">
        <f t="shared" si="32"/>
        <v>!!!</v>
      </c>
      <c r="F925" s="10" t="str">
        <f>IF(OR(E925="",E925="!!!"),"",IF(NOT(ISNA(VLOOKUP(E925,E$1:E924,1,FALSE()))),"OLD",IF(AND(E925&lt;&gt;"",E925&lt;&gt;"!!!"),"NEW","")))</f>
        <v/>
      </c>
      <c r="G925" s="11" t="str">
        <f>IF(OR(E925="",E925="!!!"),"",IF(OR(J925=0,AND(J925=1,K925=1),AND(J925=1,I925="SBJ"),AND(J925=1,I925=0)),"?IN_FOCUS",IF(J925&lt;=2,"?ACTIVATED",IF(J925&lt;&gt;"","?FAMILIAR",IF(F925="NEW",IF(ISNA(VLOOKUP(E925,#REF!,1,FALSE())),"?TYPE_IDENTIFIABLE","?REFERENTIAL"),"_")))))</f>
        <v/>
      </c>
      <c r="H925" s="12" t="str">
        <f t="shared" si="33"/>
        <v/>
      </c>
    </row>
    <row r="926" spans="1:8" x14ac:dyDescent="0.35">
      <c r="A926" t="s">
        <v>433</v>
      </c>
      <c r="E926" s="9" t="str">
        <f t="shared" si="32"/>
        <v/>
      </c>
      <c r="F926" s="10" t="str">
        <f>IF(OR(E926="",E926="!!!"),"",IF(NOT(ISNA(VLOOKUP(E926,E$1:E925,1,FALSE()))),"OLD",IF(AND(E926&lt;&gt;"",E926&lt;&gt;"!!!"),"NEW","")))</f>
        <v/>
      </c>
      <c r="G926" s="11" t="str">
        <f>IF(OR(E926="",E926="!!!"),"",IF(OR(J926=0,AND(J926=1,K926=1),AND(J926=1,I926="SBJ"),AND(J926=1,I926=0)),"?IN_FOCUS",IF(J926&lt;=2,"?ACTIVATED",IF(J926&lt;&gt;"","?FAMILIAR",IF(F926="NEW",IF(ISNA(VLOOKUP(E926,#REF!,1,FALSE())),"?TYPE_IDENTIFIABLE","?REFERENTIAL"),"_")))))</f>
        <v/>
      </c>
      <c r="H926" s="12" t="str">
        <f t="shared" si="33"/>
        <v/>
      </c>
    </row>
    <row r="927" spans="1:8" x14ac:dyDescent="0.35">
      <c r="A927" t="s">
        <v>467</v>
      </c>
      <c r="E927" s="9" t="str">
        <f t="shared" si="32"/>
        <v/>
      </c>
      <c r="F927" s="10" t="str">
        <f>IF(OR(E927="",E927="!!!"),"",IF(NOT(ISNA(VLOOKUP(E927,E$1:E926,1,FALSE()))),"OLD",IF(AND(E927&lt;&gt;"",E927&lt;&gt;"!!!"),"NEW","")))</f>
        <v/>
      </c>
      <c r="G927" s="11" t="str">
        <f>IF(OR(E927="",E927="!!!"),"",IF(OR(J927=0,AND(J927=1,K927=1),AND(J927=1,I927="SBJ"),AND(J927=1,I927=0)),"?IN_FOCUS",IF(J927&lt;=2,"?ACTIVATED",IF(J927&lt;&gt;"","?FAMILIAR",IF(F927="NEW",IF(ISNA(VLOOKUP(E927,#REF!,1,FALSE())),"?TYPE_IDENTIFIABLE","?REFERENTIAL"),"_")))))</f>
        <v/>
      </c>
      <c r="H927" s="12" t="str">
        <f t="shared" si="33"/>
        <v/>
      </c>
    </row>
    <row r="928" spans="1:8" x14ac:dyDescent="0.35">
      <c r="A928" t="s">
        <v>47</v>
      </c>
      <c r="B928" t="s">
        <v>20</v>
      </c>
      <c r="C928" t="s">
        <v>49</v>
      </c>
      <c r="D928" t="s">
        <v>16</v>
      </c>
      <c r="E928" s="9" t="str">
        <f t="shared" si="32"/>
        <v>!!!</v>
      </c>
      <c r="F928" s="10" t="str">
        <f>IF(OR(E928="",E928="!!!"),"",IF(NOT(ISNA(VLOOKUP(E928,E$1:E927,1,FALSE()))),"OLD",IF(AND(E928&lt;&gt;"",E928&lt;&gt;"!!!"),"NEW","")))</f>
        <v/>
      </c>
      <c r="G928" s="11" t="str">
        <f>IF(OR(E928="",E928="!!!"),"",IF(OR(J928=0,AND(J928=1,K928=1),AND(J928=1,I928="SBJ"),AND(J928=1,I928=0)),"?IN_FOCUS",IF(J928&lt;=2,"?ACTIVATED",IF(J928&lt;&gt;"","?FAMILIAR",IF(F928="NEW",IF(ISNA(VLOOKUP(E928,#REF!,1,FALSE())),"?TYPE_IDENTIFIABLE","?REFERENTIAL"),"_")))))</f>
        <v/>
      </c>
      <c r="H928" s="12" t="str">
        <f t="shared" si="33"/>
        <v/>
      </c>
    </row>
    <row r="929" spans="1:8" x14ac:dyDescent="0.35">
      <c r="A929" t="s">
        <v>468</v>
      </c>
      <c r="B929" t="s">
        <v>91</v>
      </c>
      <c r="C929" t="s">
        <v>15</v>
      </c>
      <c r="D929" t="s">
        <v>16</v>
      </c>
      <c r="E929" s="9" t="str">
        <f t="shared" si="32"/>
        <v>!!!</v>
      </c>
      <c r="F929" s="10" t="str">
        <f>IF(OR(E929="",E929="!!!"),"",IF(NOT(ISNA(VLOOKUP(E929,E$1:E928,1,FALSE()))),"OLD",IF(AND(E929&lt;&gt;"",E929&lt;&gt;"!!!"),"NEW","")))</f>
        <v/>
      </c>
      <c r="G929" s="11" t="str">
        <f>IF(OR(E929="",E929="!!!"),"",IF(OR(J929=0,AND(J929=1,K929=1),AND(J929=1,I929="SBJ"),AND(J929=1,I929=0)),"?IN_FOCUS",IF(J929&lt;=2,"?ACTIVATED",IF(J929&lt;&gt;"","?FAMILIAR",IF(F929="NEW",IF(ISNA(VLOOKUP(E929,#REF!,1,FALSE())),"?TYPE_IDENTIFIABLE","?REFERENTIAL"),"_")))))</f>
        <v/>
      </c>
      <c r="H929" s="12" t="str">
        <f t="shared" si="33"/>
        <v/>
      </c>
    </row>
    <row r="930" spans="1:8" x14ac:dyDescent="0.35">
      <c r="A930" t="s">
        <v>180</v>
      </c>
      <c r="E930" s="9" t="str">
        <f t="shared" si="32"/>
        <v/>
      </c>
      <c r="F930" s="10" t="str">
        <f>IF(OR(E930="",E930="!!!"),"",IF(NOT(ISNA(VLOOKUP(E930,E$1:E929,1,FALSE()))),"OLD",IF(AND(E930&lt;&gt;"",E930&lt;&gt;"!!!"),"NEW","")))</f>
        <v/>
      </c>
      <c r="G930" s="11" t="str">
        <f>IF(OR(E930="",E930="!!!"),"",IF(OR(J930=0,AND(J930=1,K930=1),AND(J930=1,I930="SBJ"),AND(J930=1,I930=0)),"?IN_FOCUS",IF(J930&lt;=2,"?ACTIVATED",IF(J930&lt;&gt;"","?FAMILIAR",IF(F930="NEW",IF(ISNA(VLOOKUP(E930,#REF!,1,FALSE())),"?TYPE_IDENTIFIABLE","?REFERENTIAL"),"_")))))</f>
        <v/>
      </c>
      <c r="H930" s="12" t="str">
        <f t="shared" si="33"/>
        <v/>
      </c>
    </row>
    <row r="931" spans="1:8" x14ac:dyDescent="0.35">
      <c r="A931" t="s">
        <v>76</v>
      </c>
      <c r="E931" s="9" t="str">
        <f t="shared" si="32"/>
        <v/>
      </c>
      <c r="F931" s="10" t="str">
        <f>IF(OR(E931="",E931="!!!"),"",IF(NOT(ISNA(VLOOKUP(E931,E$1:E930,1,FALSE()))),"OLD",IF(AND(E931&lt;&gt;"",E931&lt;&gt;"!!!"),"NEW","")))</f>
        <v/>
      </c>
      <c r="G931" s="11" t="str">
        <f>IF(OR(E931="",E931="!!!"),"",IF(OR(J931=0,AND(J931=1,K931=1),AND(J931=1,I931="SBJ"),AND(J931=1,I931=0)),"?IN_FOCUS",IF(J931&lt;=2,"?ACTIVATED",IF(J931&lt;&gt;"","?FAMILIAR",IF(F931="NEW",IF(ISNA(VLOOKUP(E931,#REF!,1,FALSE())),"?TYPE_IDENTIFIABLE","?REFERENTIAL"),"_")))))</f>
        <v/>
      </c>
      <c r="H931" s="12" t="str">
        <f t="shared" si="33"/>
        <v/>
      </c>
    </row>
    <row r="932" spans="1:8" x14ac:dyDescent="0.35">
      <c r="A932" t="s">
        <v>469</v>
      </c>
      <c r="E932" s="9" t="str">
        <f t="shared" si="32"/>
        <v/>
      </c>
      <c r="F932" s="10" t="str">
        <f>IF(OR(E932="",E932="!!!"),"",IF(NOT(ISNA(VLOOKUP(E932,E$1:E931,1,FALSE()))),"OLD",IF(AND(E932&lt;&gt;"",E932&lt;&gt;"!!!"),"NEW","")))</f>
        <v/>
      </c>
      <c r="G932" s="11" t="str">
        <f>IF(OR(E932="",E932="!!!"),"",IF(OR(J932=0,AND(J932=1,K932=1),AND(J932=1,I932="SBJ"),AND(J932=1,I932=0)),"?IN_FOCUS",IF(J932&lt;=2,"?ACTIVATED",IF(J932&lt;&gt;"","?FAMILIAR",IF(F932="NEW",IF(ISNA(VLOOKUP(E932,#REF!,1,FALSE())),"?TYPE_IDENTIFIABLE","?REFERENTIAL"),"_")))))</f>
        <v/>
      </c>
      <c r="H932" s="12" t="str">
        <f t="shared" si="33"/>
        <v/>
      </c>
    </row>
    <row r="933" spans="1:8" x14ac:dyDescent="0.35">
      <c r="A933" t="s">
        <v>177</v>
      </c>
      <c r="E933" s="9" t="str">
        <f t="shared" si="32"/>
        <v/>
      </c>
      <c r="F933" s="10" t="str">
        <f>IF(OR(E933="",E933="!!!"),"",IF(NOT(ISNA(VLOOKUP(E933,E$1:E932,1,FALSE()))),"OLD",IF(AND(E933&lt;&gt;"",E933&lt;&gt;"!!!"),"NEW","")))</f>
        <v/>
      </c>
      <c r="G933" s="11" t="str">
        <f>IF(OR(E933="",E933="!!!"),"",IF(OR(J933=0,AND(J933=1,K933=1),AND(J933=1,I933="SBJ"),AND(J933=1,I933=0)),"?IN_FOCUS",IF(J933&lt;=2,"?ACTIVATED",IF(J933&lt;&gt;"","?FAMILIAR",IF(F933="NEW",IF(ISNA(VLOOKUP(E933,#REF!,1,FALSE())),"?TYPE_IDENTIFIABLE","?REFERENTIAL"),"_")))))</f>
        <v/>
      </c>
      <c r="H933" s="12" t="str">
        <f t="shared" si="33"/>
        <v/>
      </c>
    </row>
    <row r="934" spans="1:8" x14ac:dyDescent="0.35">
      <c r="A934" t="s">
        <v>123</v>
      </c>
      <c r="E934" s="9" t="str">
        <f t="shared" si="32"/>
        <v/>
      </c>
      <c r="F934" s="10" t="str">
        <f>IF(OR(E934="",E934="!!!"),"",IF(NOT(ISNA(VLOOKUP(E934,E$1:E933,1,FALSE()))),"OLD",IF(AND(E934&lt;&gt;"",E934&lt;&gt;"!!!"),"NEW","")))</f>
        <v/>
      </c>
      <c r="G934" s="11" t="str">
        <f>IF(OR(E934="",E934="!!!"),"",IF(OR(J934=0,AND(J934=1,K934=1),AND(J934=1,I934="SBJ"),AND(J934=1,I934=0)),"?IN_FOCUS",IF(J934&lt;=2,"?ACTIVATED",IF(J934&lt;&gt;"","?FAMILIAR",IF(F934="NEW",IF(ISNA(VLOOKUP(E934,#REF!,1,FALSE())),"?TYPE_IDENTIFIABLE","?REFERENTIAL"),"_")))))</f>
        <v/>
      </c>
      <c r="H934" s="12" t="str">
        <f t="shared" si="33"/>
        <v/>
      </c>
    </row>
    <row r="935" spans="1:8" x14ac:dyDescent="0.35">
      <c r="A935" t="s">
        <v>47</v>
      </c>
      <c r="B935" t="s">
        <v>56</v>
      </c>
      <c r="C935" t="s">
        <v>49</v>
      </c>
      <c r="D935" t="s">
        <v>16</v>
      </c>
      <c r="E935" s="9" t="str">
        <f t="shared" si="32"/>
        <v>!!!</v>
      </c>
      <c r="F935" s="10" t="str">
        <f>IF(OR(E935="",E935="!!!"),"",IF(NOT(ISNA(VLOOKUP(E935,E$1:E934,1,FALSE()))),"OLD",IF(AND(E935&lt;&gt;"",E935&lt;&gt;"!!!"),"NEW","")))</f>
        <v/>
      </c>
      <c r="G935" s="11" t="str">
        <f>IF(OR(E935="",E935="!!!"),"",IF(OR(J935=0,AND(J935=1,K935=1),AND(J935=1,I935="SBJ"),AND(J935=1,I935=0)),"?IN_FOCUS",IF(J935&lt;=2,"?ACTIVATED",IF(J935&lt;&gt;"","?FAMILIAR",IF(F935="NEW",IF(ISNA(VLOOKUP(E935,#REF!,1,FALSE())),"?TYPE_IDENTIFIABLE","?REFERENTIAL"),"_")))))</f>
        <v/>
      </c>
      <c r="H935" s="12" t="str">
        <f t="shared" si="33"/>
        <v/>
      </c>
    </row>
    <row r="936" spans="1:8" x14ac:dyDescent="0.35">
      <c r="A936" t="s">
        <v>470</v>
      </c>
      <c r="B936" t="s">
        <v>20</v>
      </c>
      <c r="C936" t="s">
        <v>15</v>
      </c>
      <c r="D936" t="s">
        <v>16</v>
      </c>
      <c r="E936" s="9" t="str">
        <f t="shared" si="32"/>
        <v>!!!</v>
      </c>
      <c r="F936" s="10" t="str">
        <f>IF(OR(E936="",E936="!!!"),"",IF(NOT(ISNA(VLOOKUP(E936,E$1:E935,1,FALSE()))),"OLD",IF(AND(E936&lt;&gt;"",E936&lt;&gt;"!!!"),"NEW","")))</f>
        <v/>
      </c>
      <c r="G936" s="11" t="str">
        <f>IF(OR(E936="",E936="!!!"),"",IF(OR(J936=0,AND(J936=1,K936=1),AND(J936=1,I936="SBJ"),AND(J936=1,I936=0)),"?IN_FOCUS",IF(J936&lt;=2,"?ACTIVATED",IF(J936&lt;&gt;"","?FAMILIAR",IF(F936="NEW",IF(ISNA(VLOOKUP(E936,#REF!,1,FALSE())),"?TYPE_IDENTIFIABLE","?REFERENTIAL"),"_")))))</f>
        <v/>
      </c>
      <c r="H936" s="12" t="str">
        <f t="shared" si="33"/>
        <v/>
      </c>
    </row>
    <row r="937" spans="1:8" x14ac:dyDescent="0.35">
      <c r="A937" t="s">
        <v>26</v>
      </c>
      <c r="E937" s="9" t="str">
        <f t="shared" si="32"/>
        <v/>
      </c>
      <c r="F937" s="10" t="str">
        <f>IF(OR(E937="",E937="!!!"),"",IF(NOT(ISNA(VLOOKUP(E937,E$1:E936,1,FALSE()))),"OLD",IF(AND(E937&lt;&gt;"",E937&lt;&gt;"!!!"),"NEW","")))</f>
        <v/>
      </c>
      <c r="G937" s="11" t="str">
        <f>IF(OR(E937="",E937="!!!"),"",IF(OR(J937=0,AND(J937=1,K937=1),AND(J937=1,I937="SBJ"),AND(J937=1,I937=0)),"?IN_FOCUS",IF(J937&lt;=2,"?ACTIVATED",IF(J937&lt;&gt;"","?FAMILIAR",IF(F937="NEW",IF(ISNA(VLOOKUP(E937,#REF!,1,FALSE())),"?TYPE_IDENTIFIABLE","?REFERENTIAL"),"_")))))</f>
        <v/>
      </c>
      <c r="H937" s="12" t="str">
        <f t="shared" si="33"/>
        <v/>
      </c>
    </row>
    <row r="938" spans="1:8" x14ac:dyDescent="0.35">
      <c r="A938" t="s">
        <v>471</v>
      </c>
      <c r="E938" s="9" t="str">
        <f t="shared" si="32"/>
        <v/>
      </c>
      <c r="F938" s="10" t="str">
        <f>IF(OR(E938="",E938="!!!"),"",IF(NOT(ISNA(VLOOKUP(E938,E$1:E937,1,FALSE()))),"OLD",IF(AND(E938&lt;&gt;"",E938&lt;&gt;"!!!"),"NEW","")))</f>
        <v/>
      </c>
      <c r="G938" s="11" t="str">
        <f>IF(OR(E938="",E938="!!!"),"",IF(OR(J938=0,AND(J938=1,K938=1),AND(J938=1,I938="SBJ"),AND(J938=1,I938=0)),"?IN_FOCUS",IF(J938&lt;=2,"?ACTIVATED",IF(J938&lt;&gt;"","?FAMILIAR",IF(F938="NEW",IF(ISNA(VLOOKUP(E938,#REF!,1,FALSE())),"?TYPE_IDENTIFIABLE","?REFERENTIAL"),"_")))))</f>
        <v/>
      </c>
      <c r="H938" s="12" t="str">
        <f t="shared" si="33"/>
        <v/>
      </c>
    </row>
    <row r="939" spans="1:8" x14ac:dyDescent="0.35">
      <c r="A939" t="s">
        <v>131</v>
      </c>
      <c r="E939" s="9" t="str">
        <f t="shared" si="32"/>
        <v/>
      </c>
      <c r="F939" s="10" t="str">
        <f>IF(OR(E939="",E939="!!!"),"",IF(NOT(ISNA(VLOOKUP(E939,E$1:E938,1,FALSE()))),"OLD",IF(AND(E939&lt;&gt;"",E939&lt;&gt;"!!!"),"NEW","")))</f>
        <v/>
      </c>
      <c r="G939" s="11" t="str">
        <f>IF(OR(E939="",E939="!!!"),"",IF(OR(J939=0,AND(J939=1,K939=1),AND(J939=1,I939="SBJ"),AND(J939=1,I939=0)),"?IN_FOCUS",IF(J939&lt;=2,"?ACTIVATED",IF(J939&lt;&gt;"","?FAMILIAR",IF(F939="NEW",IF(ISNA(VLOOKUP(E939,#REF!,1,FALSE())),"?TYPE_IDENTIFIABLE","?REFERENTIAL"),"_")))))</f>
        <v/>
      </c>
      <c r="H939" s="12" t="str">
        <f t="shared" si="33"/>
        <v/>
      </c>
    </row>
    <row r="940" spans="1:8" x14ac:dyDescent="0.35">
      <c r="A940" t="s">
        <v>47</v>
      </c>
      <c r="B940" t="s">
        <v>56</v>
      </c>
      <c r="C940" t="s">
        <v>49</v>
      </c>
      <c r="D940" t="s">
        <v>16</v>
      </c>
      <c r="E940" s="9" t="str">
        <f t="shared" si="32"/>
        <v>!!!</v>
      </c>
      <c r="F940" s="10" t="str">
        <f>IF(OR(E940="",E940="!!!"),"",IF(NOT(ISNA(VLOOKUP(E940,E$1:E939,1,FALSE()))),"OLD",IF(AND(E940&lt;&gt;"",E940&lt;&gt;"!!!"),"NEW","")))</f>
        <v/>
      </c>
      <c r="G940" s="11" t="str">
        <f>IF(OR(E940="",E940="!!!"),"",IF(OR(J940=0,AND(J940=1,K940=1),AND(J940=1,I940="SBJ"),AND(J940=1,I940=0)),"?IN_FOCUS",IF(J940&lt;=2,"?ACTIVATED",IF(J940&lt;&gt;"","?FAMILIAR",IF(F940="NEW",IF(ISNA(VLOOKUP(E940,#REF!,1,FALSE())),"?TYPE_IDENTIFIABLE","?REFERENTIAL"),"_")))))</f>
        <v/>
      </c>
      <c r="H940" s="12" t="str">
        <f t="shared" si="33"/>
        <v/>
      </c>
    </row>
    <row r="941" spans="1:8" x14ac:dyDescent="0.35">
      <c r="A941" t="s">
        <v>472</v>
      </c>
      <c r="B941" t="s">
        <v>20</v>
      </c>
      <c r="C941" t="s">
        <v>15</v>
      </c>
      <c r="D941" t="s">
        <v>16</v>
      </c>
      <c r="E941" s="9" t="str">
        <f t="shared" si="32"/>
        <v>!!!</v>
      </c>
      <c r="F941" s="10" t="str">
        <f>IF(OR(E941="",E941="!!!"),"",IF(NOT(ISNA(VLOOKUP(E941,E$1:E940,1,FALSE()))),"OLD",IF(AND(E941&lt;&gt;"",E941&lt;&gt;"!!!"),"NEW","")))</f>
        <v/>
      </c>
      <c r="G941" s="11" t="str">
        <f>IF(OR(E941="",E941="!!!"),"",IF(OR(J941=0,AND(J941=1,K941=1),AND(J941=1,I941="SBJ"),AND(J941=1,I941=0)),"?IN_FOCUS",IF(J941&lt;=2,"?ACTIVATED",IF(J941&lt;&gt;"","?FAMILIAR",IF(F941="NEW",IF(ISNA(VLOOKUP(E941,#REF!,1,FALSE())),"?TYPE_IDENTIFIABLE","?REFERENTIAL"),"_")))))</f>
        <v/>
      </c>
      <c r="H941" s="12" t="str">
        <f t="shared" si="33"/>
        <v/>
      </c>
    </row>
    <row r="942" spans="1:8" x14ac:dyDescent="0.35">
      <c r="A942" t="s">
        <v>63</v>
      </c>
      <c r="E942" s="9" t="str">
        <f t="shared" si="32"/>
        <v/>
      </c>
      <c r="F942" s="10" t="str">
        <f>IF(OR(E942="",E942="!!!"),"",IF(NOT(ISNA(VLOOKUP(E942,E$1:E941,1,FALSE()))),"OLD",IF(AND(E942&lt;&gt;"",E942&lt;&gt;"!!!"),"NEW","")))</f>
        <v/>
      </c>
      <c r="G942" s="11" t="str">
        <f>IF(OR(E942="",E942="!!!"),"",IF(OR(J942=0,AND(J942=1,K942=1),AND(J942=1,I942="SBJ"),AND(J942=1,I942=0)),"?IN_FOCUS",IF(J942&lt;=2,"?ACTIVATED",IF(J942&lt;&gt;"","?FAMILIAR",IF(F942="NEW",IF(ISNA(VLOOKUP(E942,#REF!,1,FALSE())),"?TYPE_IDENTIFIABLE","?REFERENTIAL"),"_")))))</f>
        <v/>
      </c>
      <c r="H942" s="12" t="str">
        <f t="shared" si="33"/>
        <v/>
      </c>
    </row>
    <row r="943" spans="1:8" x14ac:dyDescent="0.35">
      <c r="E943" s="9" t="str">
        <f t="shared" si="32"/>
        <v/>
      </c>
      <c r="F943" s="10" t="str">
        <f>IF(OR(E943="",E943="!!!"),"",IF(NOT(ISNA(VLOOKUP(E943,E$1:E942,1,FALSE()))),"OLD",IF(AND(E943&lt;&gt;"",E943&lt;&gt;"!!!"),"NEW","")))</f>
        <v/>
      </c>
      <c r="G943" s="11" t="str">
        <f>IF(OR(E943="",E943="!!!"),"",IF(OR(J943=0,AND(J943=1,K943=1),AND(J943=1,I943="SBJ"),AND(J943=1,I943=0)),"?IN_FOCUS",IF(J943&lt;=2,"?ACTIVATED",IF(J943&lt;&gt;"","?FAMILIAR",IF(F943="NEW",IF(ISNA(VLOOKUP(E943,#REF!,1,FALSE())),"?TYPE_IDENTIFIABLE","?REFERENTIAL"),"_")))))</f>
        <v/>
      </c>
      <c r="H943" s="12" t="str">
        <f t="shared" si="33"/>
        <v/>
      </c>
    </row>
    <row r="944" spans="1:8" x14ac:dyDescent="0.35">
      <c r="A944" t="s">
        <v>473</v>
      </c>
      <c r="E944" s="9" t="str">
        <f t="shared" si="32"/>
        <v/>
      </c>
      <c r="F944" s="10" t="str">
        <f>IF(OR(E944="",E944="!!!"),"",IF(NOT(ISNA(VLOOKUP(E944,E$1:E943,1,FALSE()))),"OLD",IF(AND(E944&lt;&gt;"",E944&lt;&gt;"!!!"),"NEW","")))</f>
        <v/>
      </c>
      <c r="G944" s="11" t="str">
        <f>IF(OR(E944="",E944="!!!"),"",IF(OR(J944=0,AND(J944=1,K944=1),AND(J944=1,I944="SBJ"),AND(J944=1,I944=0)),"?IN_FOCUS",IF(J944&lt;=2,"?ACTIVATED",IF(J944&lt;&gt;"","?FAMILIAR",IF(F944="NEW",IF(ISNA(VLOOKUP(E944,#REF!,1,FALSE())),"?TYPE_IDENTIFIABLE","?REFERENTIAL"),"_")))))</f>
        <v/>
      </c>
      <c r="H944" s="12" t="str">
        <f t="shared" si="33"/>
        <v/>
      </c>
    </row>
    <row r="945" spans="1:8" x14ac:dyDescent="0.35">
      <c r="A945" t="s">
        <v>110</v>
      </c>
      <c r="B945" t="s">
        <v>14</v>
      </c>
      <c r="C945" t="s">
        <v>33</v>
      </c>
      <c r="D945" t="s">
        <v>16</v>
      </c>
      <c r="E945" s="9" t="str">
        <f t="shared" si="32"/>
        <v>!!!</v>
      </c>
      <c r="F945" s="10" t="str">
        <f>IF(OR(E945="",E945="!!!"),"",IF(NOT(ISNA(VLOOKUP(E945,E$1:E944,1,FALSE()))),"OLD",IF(AND(E945&lt;&gt;"",E945&lt;&gt;"!!!"),"NEW","")))</f>
        <v/>
      </c>
      <c r="G945" s="11" t="str">
        <f>IF(OR(E945="",E945="!!!"),"",IF(OR(J945=0,AND(J945=1,K945=1),AND(J945=1,I945="SBJ"),AND(J945=1,I945=0)),"?IN_FOCUS",IF(J945&lt;=2,"?ACTIVATED",IF(J945&lt;&gt;"","?FAMILIAR",IF(F945="NEW",IF(ISNA(VLOOKUP(E945,#REF!,1,FALSE())),"?TYPE_IDENTIFIABLE","?REFERENTIAL"),"_")))))</f>
        <v/>
      </c>
      <c r="H945" s="12" t="str">
        <f t="shared" si="33"/>
        <v/>
      </c>
    </row>
    <row r="946" spans="1:8" x14ac:dyDescent="0.35">
      <c r="A946" t="s">
        <v>474</v>
      </c>
      <c r="E946" s="9" t="str">
        <f t="shared" si="32"/>
        <v/>
      </c>
      <c r="F946" s="10" t="str">
        <f>IF(OR(E946="",E946="!!!"),"",IF(NOT(ISNA(VLOOKUP(E946,E$1:E945,1,FALSE()))),"OLD",IF(AND(E946&lt;&gt;"",E946&lt;&gt;"!!!"),"NEW","")))</f>
        <v/>
      </c>
      <c r="G946" s="11" t="str">
        <f>IF(OR(E946="",E946="!!!"),"",IF(OR(J946=0,AND(J946=1,K946=1),AND(J946=1,I946="SBJ"),AND(J946=1,I946=0)),"?IN_FOCUS",IF(J946&lt;=2,"?ACTIVATED",IF(J946&lt;&gt;"","?FAMILIAR",IF(F946="NEW",IF(ISNA(VLOOKUP(E946,#REF!,1,FALSE())),"?TYPE_IDENTIFIABLE","?REFERENTIAL"),"_")))))</f>
        <v/>
      </c>
      <c r="H946" s="12" t="str">
        <f t="shared" si="33"/>
        <v/>
      </c>
    </row>
    <row r="947" spans="1:8" x14ac:dyDescent="0.35">
      <c r="A947" t="s">
        <v>58</v>
      </c>
      <c r="E947" s="9" t="str">
        <f t="shared" si="32"/>
        <v/>
      </c>
      <c r="F947" s="10" t="str">
        <f>IF(OR(E947="",E947="!!!"),"",IF(NOT(ISNA(VLOOKUP(E947,E$1:E946,1,FALSE()))),"OLD",IF(AND(E947&lt;&gt;"",E947&lt;&gt;"!!!"),"NEW","")))</f>
        <v/>
      </c>
      <c r="G947" s="11" t="str">
        <f>IF(OR(E947="",E947="!!!"),"",IF(OR(J947=0,AND(J947=1,K947=1),AND(J947=1,I947="SBJ"),AND(J947=1,I947=0)),"?IN_FOCUS",IF(J947&lt;=2,"?ACTIVATED",IF(J947&lt;&gt;"","?FAMILIAR",IF(F947="NEW",IF(ISNA(VLOOKUP(E947,#REF!,1,FALSE())),"?TYPE_IDENTIFIABLE","?REFERENTIAL"),"_")))))</f>
        <v/>
      </c>
      <c r="H947" s="12" t="str">
        <f t="shared" si="33"/>
        <v/>
      </c>
    </row>
    <row r="948" spans="1:8" x14ac:dyDescent="0.35">
      <c r="A948" t="s">
        <v>475</v>
      </c>
      <c r="B948" t="s">
        <v>32</v>
      </c>
      <c r="C948" t="s">
        <v>99</v>
      </c>
      <c r="D948" t="s">
        <v>16</v>
      </c>
      <c r="E948" s="9" t="str">
        <f t="shared" si="32"/>
        <v>!!!</v>
      </c>
      <c r="F948" s="10" t="str">
        <f>IF(OR(E948="",E948="!!!"),"",IF(NOT(ISNA(VLOOKUP(E948,E$1:E947,1,FALSE()))),"OLD",IF(AND(E948&lt;&gt;"",E948&lt;&gt;"!!!"),"NEW","")))</f>
        <v/>
      </c>
      <c r="G948" s="11" t="str">
        <f>IF(OR(E948="",E948="!!!"),"",IF(OR(J948=0,AND(J948=1,K948=1),AND(J948=1,I948="SBJ"),AND(J948=1,I948=0)),"?IN_FOCUS",IF(J948&lt;=2,"?ACTIVATED",IF(J948&lt;&gt;"","?FAMILIAR",IF(F948="NEW",IF(ISNA(VLOOKUP(E948,#REF!,1,FALSE())),"?TYPE_IDENTIFIABLE","?REFERENTIAL"),"_")))))</f>
        <v/>
      </c>
      <c r="H948" s="12" t="str">
        <f t="shared" si="33"/>
        <v/>
      </c>
    </row>
    <row r="949" spans="1:8" x14ac:dyDescent="0.35">
      <c r="A949" t="s">
        <v>17</v>
      </c>
      <c r="E949" s="9" t="str">
        <f t="shared" si="32"/>
        <v/>
      </c>
      <c r="F949" s="10" t="str">
        <f>IF(OR(E949="",E949="!!!"),"",IF(NOT(ISNA(VLOOKUP(E949,E$1:E948,1,FALSE()))),"OLD",IF(AND(E949&lt;&gt;"",E949&lt;&gt;"!!!"),"NEW","")))</f>
        <v/>
      </c>
      <c r="G949" s="11" t="str">
        <f>IF(OR(E949="",E949="!!!"),"",IF(OR(J949=0,AND(J949=1,K949=1),AND(J949=1,I949="SBJ"),AND(J949=1,I949=0)),"?IN_FOCUS",IF(J949&lt;=2,"?ACTIVATED",IF(J949&lt;&gt;"","?FAMILIAR",IF(F949="NEW",IF(ISNA(VLOOKUP(E949,#REF!,1,FALSE())),"?TYPE_IDENTIFIABLE","?REFERENTIAL"),"_")))))</f>
        <v/>
      </c>
      <c r="H949" s="12" t="str">
        <f t="shared" si="33"/>
        <v/>
      </c>
    </row>
    <row r="950" spans="1:8" x14ac:dyDescent="0.35">
      <c r="A950" t="s">
        <v>34</v>
      </c>
      <c r="E950" s="9" t="str">
        <f t="shared" si="32"/>
        <v/>
      </c>
      <c r="F950" s="10" t="str">
        <f>IF(OR(E950="",E950="!!!"),"",IF(NOT(ISNA(VLOOKUP(E950,E$1:E949,1,FALSE()))),"OLD",IF(AND(E950&lt;&gt;"",E950&lt;&gt;"!!!"),"NEW","")))</f>
        <v/>
      </c>
      <c r="G950" s="11" t="str">
        <f>IF(OR(E950="",E950="!!!"),"",IF(OR(J950=0,AND(J950=1,K950=1),AND(J950=1,I950="SBJ"),AND(J950=1,I950=0)),"?IN_FOCUS",IF(J950&lt;=2,"?ACTIVATED",IF(J950&lt;&gt;"","?FAMILIAR",IF(F950="NEW",IF(ISNA(VLOOKUP(E950,#REF!,1,FALSE())),"?TYPE_IDENTIFIABLE","?REFERENTIAL"),"_")))))</f>
        <v/>
      </c>
      <c r="H950" s="12" t="str">
        <f t="shared" si="33"/>
        <v/>
      </c>
    </row>
    <row r="951" spans="1:8" x14ac:dyDescent="0.35">
      <c r="A951" t="s">
        <v>226</v>
      </c>
      <c r="B951" t="s">
        <v>24</v>
      </c>
      <c r="C951" t="s">
        <v>37</v>
      </c>
      <c r="E951" s="9" t="str">
        <f t="shared" ref="E951:E1005" si="34">IF(D951="?OLD","!!!","")</f>
        <v/>
      </c>
      <c r="F951" s="10" t="str">
        <f>IF(OR(E951="",E951="!!!"),"",IF(NOT(ISNA(VLOOKUP(E951,E$1:E950,1,FALSE()))),"OLD",IF(AND(E951&lt;&gt;"",E951&lt;&gt;"!!!"),"NEW","")))</f>
        <v/>
      </c>
      <c r="G951" s="11" t="str">
        <f>IF(OR(E951="",E951="!!!"),"",IF(OR(J951=0,AND(J951=1,K951=1),AND(J951=1,I951="SBJ"),AND(J951=1,I951=0)),"?IN_FOCUS",IF(J951&lt;=2,"?ACTIVATED",IF(J951&lt;&gt;"","?FAMILIAR",IF(F951="NEW",IF(ISNA(VLOOKUP(E951,#REF!,1,FALSE())),"?TYPE_IDENTIFIABLE","?REFERENTIAL"),"_")))))</f>
        <v/>
      </c>
      <c r="H951" s="12" t="str">
        <f t="shared" ref="H951:H1005" si="35">IF(J951&lt;&gt;1,"",IF(I951="SBJ","CB","?"))</f>
        <v/>
      </c>
    </row>
    <row r="952" spans="1:8" x14ac:dyDescent="0.35">
      <c r="A952" t="s">
        <v>76</v>
      </c>
      <c r="E952" s="9" t="str">
        <f t="shared" si="34"/>
        <v/>
      </c>
      <c r="F952" s="10" t="str">
        <f>IF(OR(E952="",E952="!!!"),"",IF(NOT(ISNA(VLOOKUP(E952,E$1:E951,1,FALSE()))),"OLD",IF(AND(E952&lt;&gt;"",E952&lt;&gt;"!!!"),"NEW","")))</f>
        <v/>
      </c>
      <c r="G952" s="11" t="str">
        <f>IF(OR(E952="",E952="!!!"),"",IF(OR(J952=0,AND(J952=1,K952=1),AND(J952=1,I952="SBJ"),AND(J952=1,I952=0)),"?IN_FOCUS",IF(J952&lt;=2,"?ACTIVATED",IF(J952&lt;&gt;"","?FAMILIAR",IF(F952="NEW",IF(ISNA(VLOOKUP(E952,#REF!,1,FALSE())),"?TYPE_IDENTIFIABLE","?REFERENTIAL"),"_")))))</f>
        <v/>
      </c>
      <c r="H952" s="12" t="str">
        <f t="shared" si="35"/>
        <v/>
      </c>
    </row>
    <row r="953" spans="1:8" x14ac:dyDescent="0.35">
      <c r="A953" t="s">
        <v>58</v>
      </c>
      <c r="E953" s="9" t="str">
        <f t="shared" si="34"/>
        <v/>
      </c>
      <c r="F953" s="10" t="str">
        <f>IF(OR(E953="",E953="!!!"),"",IF(NOT(ISNA(VLOOKUP(E953,E$1:E952,1,FALSE()))),"OLD",IF(AND(E953&lt;&gt;"",E953&lt;&gt;"!!!"),"NEW","")))</f>
        <v/>
      </c>
      <c r="G953" s="11" t="str">
        <f>IF(OR(E953="",E953="!!!"),"",IF(OR(J953=0,AND(J953=1,K953=1),AND(J953=1,I953="SBJ"),AND(J953=1,I953=0)),"?IN_FOCUS",IF(J953&lt;=2,"?ACTIVATED",IF(J953&lt;&gt;"","?FAMILIAR",IF(F953="NEW",IF(ISNA(VLOOKUP(E953,#REF!,1,FALSE())),"?TYPE_IDENTIFIABLE","?REFERENTIAL"),"_")))))</f>
        <v/>
      </c>
      <c r="H953" s="12" t="str">
        <f t="shared" si="35"/>
        <v/>
      </c>
    </row>
    <row r="954" spans="1:8" x14ac:dyDescent="0.35">
      <c r="A954" t="s">
        <v>476</v>
      </c>
      <c r="E954" s="9" t="str">
        <f t="shared" si="34"/>
        <v/>
      </c>
      <c r="F954" s="10" t="str">
        <f>IF(OR(E954="",E954="!!!"),"",IF(NOT(ISNA(VLOOKUP(E954,E$1:E953,1,FALSE()))),"OLD",IF(AND(E954&lt;&gt;"",E954&lt;&gt;"!!!"),"NEW","")))</f>
        <v/>
      </c>
      <c r="G954" s="11" t="str">
        <f>IF(OR(E954="",E954="!!!"),"",IF(OR(J954=0,AND(J954=1,K954=1),AND(J954=1,I954="SBJ"),AND(J954=1,I954=0)),"?IN_FOCUS",IF(J954&lt;=2,"?ACTIVATED",IF(J954&lt;&gt;"","?FAMILIAR",IF(F954="NEW",IF(ISNA(VLOOKUP(E954,#REF!,1,FALSE())),"?TYPE_IDENTIFIABLE","?REFERENTIAL"),"_")))))</f>
        <v/>
      </c>
      <c r="H954" s="12" t="str">
        <f t="shared" si="35"/>
        <v/>
      </c>
    </row>
    <row r="955" spans="1:8" x14ac:dyDescent="0.35">
      <c r="A955" t="s">
        <v>477</v>
      </c>
      <c r="B955" t="s">
        <v>24</v>
      </c>
      <c r="C955" t="s">
        <v>99</v>
      </c>
      <c r="D955" t="s">
        <v>16</v>
      </c>
      <c r="E955" s="9" t="str">
        <f t="shared" si="34"/>
        <v>!!!</v>
      </c>
      <c r="F955" s="10" t="str">
        <f>IF(OR(E955="",E955="!!!"),"",IF(NOT(ISNA(VLOOKUP(E955,E$1:E954,1,FALSE()))),"OLD",IF(AND(E955&lt;&gt;"",E955&lt;&gt;"!!!"),"NEW","")))</f>
        <v/>
      </c>
      <c r="G955" s="11" t="str">
        <f>IF(OR(E955="",E955="!!!"),"",IF(OR(J955=0,AND(J955=1,K955=1),AND(J955=1,I955="SBJ"),AND(J955=1,I955=0)),"?IN_FOCUS",IF(J955&lt;=2,"?ACTIVATED",IF(J955&lt;&gt;"","?FAMILIAR",IF(F955="NEW",IF(ISNA(VLOOKUP(E955,#REF!,1,FALSE())),"?TYPE_IDENTIFIABLE","?REFERENTIAL"),"_")))))</f>
        <v/>
      </c>
      <c r="H955" s="12" t="str">
        <f t="shared" si="35"/>
        <v/>
      </c>
    </row>
    <row r="956" spans="1:8" x14ac:dyDescent="0.35">
      <c r="A956" t="s">
        <v>17</v>
      </c>
      <c r="E956" s="9" t="str">
        <f t="shared" si="34"/>
        <v/>
      </c>
      <c r="F956" s="10" t="str">
        <f>IF(OR(E956="",E956="!!!"),"",IF(NOT(ISNA(VLOOKUP(E956,E$1:E955,1,FALSE()))),"OLD",IF(AND(E956&lt;&gt;"",E956&lt;&gt;"!!!"),"NEW","")))</f>
        <v/>
      </c>
      <c r="G956" s="11" t="str">
        <f>IF(OR(E956="",E956="!!!"),"",IF(OR(J956=0,AND(J956=1,K956=1),AND(J956=1,I956="SBJ"),AND(J956=1,I956=0)),"?IN_FOCUS",IF(J956&lt;=2,"?ACTIVATED",IF(J956&lt;&gt;"","?FAMILIAR",IF(F956="NEW",IF(ISNA(VLOOKUP(E956,#REF!,1,FALSE())),"?TYPE_IDENTIFIABLE","?REFERENTIAL"),"_")))))</f>
        <v/>
      </c>
      <c r="H956" s="12" t="str">
        <f t="shared" si="35"/>
        <v/>
      </c>
    </row>
    <row r="957" spans="1:8" x14ac:dyDescent="0.35">
      <c r="A957" t="s">
        <v>478</v>
      </c>
      <c r="B957" t="s">
        <v>20</v>
      </c>
      <c r="C957" t="s">
        <v>108</v>
      </c>
      <c r="E957" s="9" t="str">
        <f t="shared" si="34"/>
        <v/>
      </c>
      <c r="F957" s="10" t="str">
        <f>IF(OR(E957="",E957="!!!"),"",IF(NOT(ISNA(VLOOKUP(E957,E$1:E956,1,FALSE()))),"OLD",IF(AND(E957&lt;&gt;"",E957&lt;&gt;"!!!"),"NEW","")))</f>
        <v/>
      </c>
      <c r="G957" s="11" t="str">
        <f>IF(OR(E957="",E957="!!!"),"",IF(OR(J957=0,AND(J957=1,K957=1),AND(J957=1,I957="SBJ"),AND(J957=1,I957=0)),"?IN_FOCUS",IF(J957&lt;=2,"?ACTIVATED",IF(J957&lt;&gt;"","?FAMILIAR",IF(F957="NEW",IF(ISNA(VLOOKUP(E957,#REF!,1,FALSE())),"?TYPE_IDENTIFIABLE","?REFERENTIAL"),"_")))))</f>
        <v/>
      </c>
      <c r="H957" s="12" t="str">
        <f t="shared" si="35"/>
        <v/>
      </c>
    </row>
    <row r="958" spans="1:8" x14ac:dyDescent="0.35">
      <c r="A958" t="s">
        <v>164</v>
      </c>
      <c r="E958" s="9" t="str">
        <f t="shared" si="34"/>
        <v/>
      </c>
      <c r="F958" s="10" t="str">
        <f>IF(OR(E958="",E958="!!!"),"",IF(NOT(ISNA(VLOOKUP(E958,E$1:E957,1,FALSE()))),"OLD",IF(AND(E958&lt;&gt;"",E958&lt;&gt;"!!!"),"NEW","")))</f>
        <v/>
      </c>
      <c r="G958" s="11" t="str">
        <f>IF(OR(E958="",E958="!!!"),"",IF(OR(J958=0,AND(J958=1,K958=1),AND(J958=1,I958="SBJ"),AND(J958=1,I958=0)),"?IN_FOCUS",IF(J958&lt;=2,"?ACTIVATED",IF(J958&lt;&gt;"","?FAMILIAR",IF(F958="NEW",IF(ISNA(VLOOKUP(E958,#REF!,1,FALSE())),"?TYPE_IDENTIFIABLE","?REFERENTIAL"),"_")))))</f>
        <v/>
      </c>
      <c r="H958" s="12" t="str">
        <f t="shared" si="35"/>
        <v/>
      </c>
    </row>
    <row r="959" spans="1:8" x14ac:dyDescent="0.35">
      <c r="A959" t="s">
        <v>479</v>
      </c>
      <c r="B959" t="s">
        <v>56</v>
      </c>
      <c r="C959" t="s">
        <v>108</v>
      </c>
      <c r="E959" s="9" t="str">
        <f t="shared" si="34"/>
        <v/>
      </c>
      <c r="F959" s="10" t="str">
        <f>IF(OR(E959="",E959="!!!"),"",IF(NOT(ISNA(VLOOKUP(E959,E$1:E958,1,FALSE()))),"OLD",IF(AND(E959&lt;&gt;"",E959&lt;&gt;"!!!"),"NEW","")))</f>
        <v/>
      </c>
      <c r="G959" s="11" t="str">
        <f>IF(OR(E959="",E959="!!!"),"",IF(OR(J959=0,AND(J959=1,K959=1),AND(J959=1,I959="SBJ"),AND(J959=1,I959=0)),"?IN_FOCUS",IF(J959&lt;=2,"?ACTIVATED",IF(J959&lt;&gt;"","?FAMILIAR",IF(F959="NEW",IF(ISNA(VLOOKUP(E959,#REF!,1,FALSE())),"?TYPE_IDENTIFIABLE","?REFERENTIAL"),"_")))))</f>
        <v/>
      </c>
      <c r="H959" s="12" t="str">
        <f t="shared" si="35"/>
        <v/>
      </c>
    </row>
    <row r="960" spans="1:8" x14ac:dyDescent="0.35">
      <c r="A960" t="s">
        <v>63</v>
      </c>
      <c r="E960" s="9" t="str">
        <f t="shared" si="34"/>
        <v/>
      </c>
      <c r="F960" s="10" t="str">
        <f>IF(OR(E960="",E960="!!!"),"",IF(NOT(ISNA(VLOOKUP(E960,E$1:E959,1,FALSE()))),"OLD",IF(AND(E960&lt;&gt;"",E960&lt;&gt;"!!!"),"NEW","")))</f>
        <v/>
      </c>
      <c r="G960" s="11" t="str">
        <f>IF(OR(E960="",E960="!!!"),"",IF(OR(J960=0,AND(J960=1,K960=1),AND(J960=1,I960="SBJ"),AND(J960=1,I960=0)),"?IN_FOCUS",IF(J960&lt;=2,"?ACTIVATED",IF(J960&lt;&gt;"","?FAMILIAR",IF(F960="NEW",IF(ISNA(VLOOKUP(E960,#REF!,1,FALSE())),"?TYPE_IDENTIFIABLE","?REFERENTIAL"),"_")))))</f>
        <v/>
      </c>
      <c r="H960" s="12" t="str">
        <f t="shared" si="35"/>
        <v/>
      </c>
    </row>
    <row r="961" spans="1:8" x14ac:dyDescent="0.35">
      <c r="E961" s="9" t="str">
        <f t="shared" si="34"/>
        <v/>
      </c>
      <c r="F961" s="10" t="str">
        <f>IF(OR(E961="",E961="!!!"),"",IF(NOT(ISNA(VLOOKUP(E961,E$1:E960,1,FALSE()))),"OLD",IF(AND(E961&lt;&gt;"",E961&lt;&gt;"!!!"),"NEW","")))</f>
        <v/>
      </c>
      <c r="G961" s="11" t="str">
        <f>IF(OR(E961="",E961="!!!"),"",IF(OR(J961=0,AND(J961=1,K961=1),AND(J961=1,I961="SBJ"),AND(J961=1,I961=0)),"?IN_FOCUS",IF(J961&lt;=2,"?ACTIVATED",IF(J961&lt;&gt;"","?FAMILIAR",IF(F961="NEW",IF(ISNA(VLOOKUP(E961,#REF!,1,FALSE())),"?TYPE_IDENTIFIABLE","?REFERENTIAL"),"_")))))</f>
        <v/>
      </c>
      <c r="H961" s="12" t="str">
        <f t="shared" si="35"/>
        <v/>
      </c>
    </row>
    <row r="962" spans="1:8" x14ac:dyDescent="0.35">
      <c r="A962" t="s">
        <v>480</v>
      </c>
      <c r="E962" s="9" t="str">
        <f t="shared" si="34"/>
        <v/>
      </c>
      <c r="F962" s="10" t="str">
        <f>IF(OR(E962="",E962="!!!"),"",IF(NOT(ISNA(VLOOKUP(E962,E$1:E961,1,FALSE()))),"OLD",IF(AND(E962&lt;&gt;"",E962&lt;&gt;"!!!"),"NEW","")))</f>
        <v/>
      </c>
      <c r="G962" s="11" t="str">
        <f>IF(OR(E962="",E962="!!!"),"",IF(OR(J962=0,AND(J962=1,K962=1),AND(J962=1,I962="SBJ"),AND(J962=1,I962=0)),"?IN_FOCUS",IF(J962&lt;=2,"?ACTIVATED",IF(J962&lt;&gt;"","?FAMILIAR",IF(F962="NEW",IF(ISNA(VLOOKUP(E962,#REF!,1,FALSE())),"?TYPE_IDENTIFIABLE","?REFERENTIAL"),"_")))))</f>
        <v/>
      </c>
      <c r="H962" s="12" t="str">
        <f t="shared" si="35"/>
        <v/>
      </c>
    </row>
    <row r="963" spans="1:8" x14ac:dyDescent="0.35">
      <c r="A963" t="s">
        <v>97</v>
      </c>
      <c r="E963" s="9" t="str">
        <f t="shared" si="34"/>
        <v/>
      </c>
      <c r="F963" s="10" t="str">
        <f>IF(OR(E963="",E963="!!!"),"",IF(NOT(ISNA(VLOOKUP(E963,E$1:E962,1,FALSE()))),"OLD",IF(AND(E963&lt;&gt;"",E963&lt;&gt;"!!!"),"NEW","")))</f>
        <v/>
      </c>
      <c r="G963" s="11" t="str">
        <f>IF(OR(E963="",E963="!!!"),"",IF(OR(J963=0,AND(J963=1,K963=1),AND(J963=1,I963="SBJ"),AND(J963=1,I963=0)),"?IN_FOCUS",IF(J963&lt;=2,"?ACTIVATED",IF(J963&lt;&gt;"","?FAMILIAR",IF(F963="NEW",IF(ISNA(VLOOKUP(E963,#REF!,1,FALSE())),"?TYPE_IDENTIFIABLE","?REFERENTIAL"),"_")))))</f>
        <v/>
      </c>
      <c r="H963" s="12" t="str">
        <f t="shared" si="35"/>
        <v/>
      </c>
    </row>
    <row r="964" spans="1:8" x14ac:dyDescent="0.35">
      <c r="A964" t="s">
        <v>481</v>
      </c>
      <c r="B964" t="s">
        <v>14</v>
      </c>
      <c r="C964" t="s">
        <v>99</v>
      </c>
      <c r="D964" t="s">
        <v>16</v>
      </c>
      <c r="E964" s="9" t="str">
        <f t="shared" si="34"/>
        <v>!!!</v>
      </c>
      <c r="F964" s="10" t="str">
        <f>IF(OR(E964="",E964="!!!"),"",IF(NOT(ISNA(VLOOKUP(E964,E$1:E963,1,FALSE()))),"OLD",IF(AND(E964&lt;&gt;"",E964&lt;&gt;"!!!"),"NEW","")))</f>
        <v/>
      </c>
      <c r="G964" s="11" t="str">
        <f>IF(OR(E964="",E964="!!!"),"",IF(OR(J964=0,AND(J964=1,K964=1),AND(J964=1,I964="SBJ"),AND(J964=1,I964=0)),"?IN_FOCUS",IF(J964&lt;=2,"?ACTIVATED",IF(J964&lt;&gt;"","?FAMILIAR",IF(F964="NEW",IF(ISNA(VLOOKUP(E964,#REF!,1,FALSE())),"?TYPE_IDENTIFIABLE","?REFERENTIAL"),"_")))))</f>
        <v/>
      </c>
      <c r="H964" s="12" t="str">
        <f t="shared" si="35"/>
        <v/>
      </c>
    </row>
    <row r="965" spans="1:8" x14ac:dyDescent="0.35">
      <c r="A965" t="s">
        <v>213</v>
      </c>
      <c r="E965" s="9" t="str">
        <f t="shared" si="34"/>
        <v/>
      </c>
      <c r="F965" s="10" t="str">
        <f>IF(OR(E965="",E965="!!!"),"",IF(NOT(ISNA(VLOOKUP(E965,E$1:E964,1,FALSE()))),"OLD",IF(AND(E965&lt;&gt;"",E965&lt;&gt;"!!!"),"NEW","")))</f>
        <v/>
      </c>
      <c r="G965" s="11" t="str">
        <f>IF(OR(E965="",E965="!!!"),"",IF(OR(J965=0,AND(J965=1,K965=1),AND(J965=1,I965="SBJ"),AND(J965=1,I965=0)),"?IN_FOCUS",IF(J965&lt;=2,"?ACTIVATED",IF(J965&lt;&gt;"","?FAMILIAR",IF(F965="NEW",IF(ISNA(VLOOKUP(E965,#REF!,1,FALSE())),"?TYPE_IDENTIFIABLE","?REFERENTIAL"),"_")))))</f>
        <v/>
      </c>
      <c r="H965" s="12" t="str">
        <f t="shared" si="35"/>
        <v/>
      </c>
    </row>
    <row r="966" spans="1:8" x14ac:dyDescent="0.35">
      <c r="A966" t="s">
        <v>331</v>
      </c>
      <c r="E966" s="9" t="str">
        <f t="shared" si="34"/>
        <v/>
      </c>
      <c r="F966" s="10" t="str">
        <f>IF(OR(E966="",E966="!!!"),"",IF(NOT(ISNA(VLOOKUP(E966,E$1:E965,1,FALSE()))),"OLD",IF(AND(E966&lt;&gt;"",E966&lt;&gt;"!!!"),"NEW","")))</f>
        <v/>
      </c>
      <c r="G966" s="11" t="str">
        <f>IF(OR(E966="",E966="!!!"),"",IF(OR(J966=0,AND(J966=1,K966=1),AND(J966=1,I966="SBJ"),AND(J966=1,I966=0)),"?IN_FOCUS",IF(J966&lt;=2,"?ACTIVATED",IF(J966&lt;&gt;"","?FAMILIAR",IF(F966="NEW",IF(ISNA(VLOOKUP(E966,#REF!,1,FALSE())),"?TYPE_IDENTIFIABLE","?REFERENTIAL"),"_")))))</f>
        <v/>
      </c>
      <c r="H966" s="12" t="str">
        <f t="shared" si="35"/>
        <v/>
      </c>
    </row>
    <row r="967" spans="1:8" x14ac:dyDescent="0.35">
      <c r="A967" t="s">
        <v>58</v>
      </c>
      <c r="E967" s="9" t="str">
        <f t="shared" si="34"/>
        <v/>
      </c>
      <c r="F967" s="10" t="str">
        <f>IF(OR(E967="",E967="!!!"),"",IF(NOT(ISNA(VLOOKUP(E967,E$1:E966,1,FALSE()))),"OLD",IF(AND(E967&lt;&gt;"",E967&lt;&gt;"!!!"),"NEW","")))</f>
        <v/>
      </c>
      <c r="G967" s="11" t="str">
        <f>IF(OR(E967="",E967="!!!"),"",IF(OR(J967=0,AND(J967=1,K967=1),AND(J967=1,I967="SBJ"),AND(J967=1,I967=0)),"?IN_FOCUS",IF(J967&lt;=2,"?ACTIVATED",IF(J967&lt;&gt;"","?FAMILIAR",IF(F967="NEW",IF(ISNA(VLOOKUP(E967,#REF!,1,FALSE())),"?TYPE_IDENTIFIABLE","?REFERENTIAL"),"_")))))</f>
        <v/>
      </c>
      <c r="H967" s="12" t="str">
        <f t="shared" si="35"/>
        <v/>
      </c>
    </row>
    <row r="968" spans="1:8" x14ac:dyDescent="0.35">
      <c r="A968" t="s">
        <v>409</v>
      </c>
      <c r="B968" t="s">
        <v>54</v>
      </c>
      <c r="C968" t="s">
        <v>99</v>
      </c>
      <c r="D968" t="s">
        <v>16</v>
      </c>
      <c r="E968" s="9" t="str">
        <f t="shared" si="34"/>
        <v>!!!</v>
      </c>
      <c r="F968" s="10" t="str">
        <f>IF(OR(E968="",E968="!!!"),"",IF(NOT(ISNA(VLOOKUP(E968,E$1:E967,1,FALSE()))),"OLD",IF(AND(E968&lt;&gt;"",E968&lt;&gt;"!!!"),"NEW","")))</f>
        <v/>
      </c>
      <c r="G968" s="11" t="str">
        <f>IF(OR(E968="",E968="!!!"),"",IF(OR(J968=0,AND(J968=1,K968=1),AND(J968=1,I968="SBJ"),AND(J968=1,I968=0)),"?IN_FOCUS",IF(J968&lt;=2,"?ACTIVATED",IF(J968&lt;&gt;"","?FAMILIAR",IF(F968="NEW",IF(ISNA(VLOOKUP(E968,#REF!,1,FALSE())),"?TYPE_IDENTIFIABLE","?REFERENTIAL"),"_")))))</f>
        <v/>
      </c>
      <c r="H968" s="12" t="str">
        <f t="shared" si="35"/>
        <v/>
      </c>
    </row>
    <row r="969" spans="1:8" x14ac:dyDescent="0.35">
      <c r="A969" t="s">
        <v>169</v>
      </c>
      <c r="E969" s="9" t="str">
        <f t="shared" si="34"/>
        <v/>
      </c>
      <c r="F969" s="10" t="str">
        <f>IF(OR(E969="",E969="!!!"),"",IF(NOT(ISNA(VLOOKUP(E969,E$1:E968,1,FALSE()))),"OLD",IF(AND(E969&lt;&gt;"",E969&lt;&gt;"!!!"),"NEW","")))</f>
        <v/>
      </c>
      <c r="G969" s="11" t="str">
        <f>IF(OR(E969="",E969="!!!"),"",IF(OR(J969=0,AND(J969=1,K969=1),AND(J969=1,I969="SBJ"),AND(J969=1,I969=0)),"?IN_FOCUS",IF(J969&lt;=2,"?ACTIVATED",IF(J969&lt;&gt;"","?FAMILIAR",IF(F969="NEW",IF(ISNA(VLOOKUP(E969,#REF!,1,FALSE())),"?TYPE_IDENTIFIABLE","?REFERENTIAL"),"_")))))</f>
        <v/>
      </c>
      <c r="H969" s="12" t="str">
        <f t="shared" si="35"/>
        <v/>
      </c>
    </row>
    <row r="970" spans="1:8" x14ac:dyDescent="0.35">
      <c r="A970" t="s">
        <v>58</v>
      </c>
      <c r="E970" s="9" t="str">
        <f t="shared" si="34"/>
        <v/>
      </c>
      <c r="F970" s="10" t="str">
        <f>IF(OR(E970="",E970="!!!"),"",IF(NOT(ISNA(VLOOKUP(E970,E$1:E969,1,FALSE()))),"OLD",IF(AND(E970&lt;&gt;"",E970&lt;&gt;"!!!"),"NEW","")))</f>
        <v/>
      </c>
      <c r="G970" s="11" t="str">
        <f>IF(OR(E970="",E970="!!!"),"",IF(OR(J970=0,AND(J970=1,K970=1),AND(J970=1,I970="SBJ"),AND(J970=1,I970=0)),"?IN_FOCUS",IF(J970&lt;=2,"?ACTIVATED",IF(J970&lt;&gt;"","?FAMILIAR",IF(F970="NEW",IF(ISNA(VLOOKUP(E970,#REF!,1,FALSE())),"?TYPE_IDENTIFIABLE","?REFERENTIAL"),"_")))))</f>
        <v/>
      </c>
      <c r="H970" s="12" t="str">
        <f t="shared" si="35"/>
        <v/>
      </c>
    </row>
    <row r="971" spans="1:8" x14ac:dyDescent="0.35">
      <c r="A971" t="s">
        <v>54</v>
      </c>
      <c r="E971" s="9" t="str">
        <f t="shared" si="34"/>
        <v/>
      </c>
      <c r="F971" s="10" t="str">
        <f>IF(OR(E971="",E971="!!!"),"",IF(NOT(ISNA(VLOOKUP(E971,E$1:E970,1,FALSE()))),"OLD",IF(AND(E971&lt;&gt;"",E971&lt;&gt;"!!!"),"NEW","")))</f>
        <v/>
      </c>
      <c r="G971" s="11" t="str">
        <f>IF(OR(E971="",E971="!!!"),"",IF(OR(J971=0,AND(J971=1,K971=1),AND(J971=1,I971="SBJ"),AND(J971=1,I971=0)),"?IN_FOCUS",IF(J971&lt;=2,"?ACTIVATED",IF(J971&lt;&gt;"","?FAMILIAR",IF(F971="NEW",IF(ISNA(VLOOKUP(E971,#REF!,1,FALSE())),"?TYPE_IDENTIFIABLE","?REFERENTIAL"),"_")))))</f>
        <v/>
      </c>
      <c r="H971" s="12" t="str">
        <f t="shared" si="35"/>
        <v/>
      </c>
    </row>
    <row r="972" spans="1:8" x14ac:dyDescent="0.35">
      <c r="A972" t="s">
        <v>171</v>
      </c>
      <c r="B972" t="s">
        <v>24</v>
      </c>
      <c r="C972" t="s">
        <v>482</v>
      </c>
      <c r="D972" t="s">
        <v>16</v>
      </c>
      <c r="E972" s="9" t="str">
        <f t="shared" si="34"/>
        <v>!!!</v>
      </c>
      <c r="F972" s="10" t="str">
        <f>IF(OR(E972="",E972="!!!"),"",IF(NOT(ISNA(VLOOKUP(E972,E$1:E971,1,FALSE()))),"OLD",IF(AND(E972&lt;&gt;"",E972&lt;&gt;"!!!"),"NEW","")))</f>
        <v/>
      </c>
      <c r="G972" s="11" t="str">
        <f>IF(OR(E972="",E972="!!!"),"",IF(OR(J972=0,AND(J972=1,K972=1),AND(J972=1,I972="SBJ"),AND(J972=1,I972=0)),"?IN_FOCUS",IF(J972&lt;=2,"?ACTIVATED",IF(J972&lt;&gt;"","?FAMILIAR",IF(F972="NEW",IF(ISNA(VLOOKUP(E972,#REF!,1,FALSE())),"?TYPE_IDENTIFIABLE","?REFERENTIAL"),"_")))))</f>
        <v/>
      </c>
      <c r="H972" s="12" t="str">
        <f t="shared" si="35"/>
        <v/>
      </c>
    </row>
    <row r="973" spans="1:8" x14ac:dyDescent="0.35">
      <c r="A973" t="s">
        <v>17</v>
      </c>
      <c r="E973" s="9" t="str">
        <f t="shared" si="34"/>
        <v/>
      </c>
      <c r="F973" s="10" t="str">
        <f>IF(OR(E973="",E973="!!!"),"",IF(NOT(ISNA(VLOOKUP(E973,E$1:E972,1,FALSE()))),"OLD",IF(AND(E973&lt;&gt;"",E973&lt;&gt;"!!!"),"NEW","")))</f>
        <v/>
      </c>
      <c r="G973" s="11" t="str">
        <f>IF(OR(E973="",E973="!!!"),"",IF(OR(J973=0,AND(J973=1,K973=1),AND(J973=1,I973="SBJ"),AND(J973=1,I973=0)),"?IN_FOCUS",IF(J973&lt;=2,"?ACTIVATED",IF(J973&lt;&gt;"","?FAMILIAR",IF(F973="NEW",IF(ISNA(VLOOKUP(E973,#REF!,1,FALSE())),"?TYPE_IDENTIFIABLE","?REFERENTIAL"),"_")))))</f>
        <v/>
      </c>
      <c r="H973" s="12" t="str">
        <f t="shared" si="35"/>
        <v/>
      </c>
    </row>
    <row r="974" spans="1:8" x14ac:dyDescent="0.35">
      <c r="A974" t="s">
        <v>58</v>
      </c>
      <c r="E974" s="9" t="str">
        <f t="shared" si="34"/>
        <v/>
      </c>
      <c r="F974" s="10" t="str">
        <f>IF(OR(E974="",E974="!!!"),"",IF(NOT(ISNA(VLOOKUP(E974,E$1:E973,1,FALSE()))),"OLD",IF(AND(E974&lt;&gt;"",E974&lt;&gt;"!!!"),"NEW","")))</f>
        <v/>
      </c>
      <c r="G974" s="11" t="str">
        <f>IF(OR(E974="",E974="!!!"),"",IF(OR(J974=0,AND(J974=1,K974=1),AND(J974=1,I974="SBJ"),AND(J974=1,I974=0)),"?IN_FOCUS",IF(J974&lt;=2,"?ACTIVATED",IF(J974&lt;&gt;"","?FAMILIAR",IF(F974="NEW",IF(ISNA(VLOOKUP(E974,#REF!,1,FALSE())),"?TYPE_IDENTIFIABLE","?REFERENTIAL"),"_")))))</f>
        <v/>
      </c>
      <c r="H974" s="12" t="str">
        <f t="shared" si="35"/>
        <v/>
      </c>
    </row>
    <row r="975" spans="1:8" x14ac:dyDescent="0.35">
      <c r="A975" t="s">
        <v>413</v>
      </c>
      <c r="B975" t="s">
        <v>20</v>
      </c>
      <c r="C975" t="s">
        <v>99</v>
      </c>
      <c r="D975" t="s">
        <v>16</v>
      </c>
      <c r="E975" s="9" t="str">
        <f t="shared" si="34"/>
        <v>!!!</v>
      </c>
      <c r="F975" s="10" t="str">
        <f>IF(OR(E975="",E975="!!!"),"",IF(NOT(ISNA(VLOOKUP(E975,E$1:E974,1,FALSE()))),"OLD",IF(AND(E975&lt;&gt;"",E975&lt;&gt;"!!!"),"NEW","")))</f>
        <v/>
      </c>
      <c r="G975" s="11" t="str">
        <f>IF(OR(E975="",E975="!!!"),"",IF(OR(J975=0,AND(J975=1,K975=1),AND(J975=1,I975="SBJ"),AND(J975=1,I975=0)),"?IN_FOCUS",IF(J975&lt;=2,"?ACTIVATED",IF(J975&lt;&gt;"","?FAMILIAR",IF(F975="NEW",IF(ISNA(VLOOKUP(E975,#REF!,1,FALSE())),"?TYPE_IDENTIFIABLE","?REFERENTIAL"),"_")))))</f>
        <v/>
      </c>
      <c r="H975" s="12" t="str">
        <f t="shared" si="35"/>
        <v/>
      </c>
    </row>
    <row r="976" spans="1:8" x14ac:dyDescent="0.35">
      <c r="A976" t="s">
        <v>114</v>
      </c>
      <c r="E976" s="9" t="str">
        <f t="shared" si="34"/>
        <v/>
      </c>
      <c r="F976" s="10" t="str">
        <f>IF(OR(E976="",E976="!!!"),"",IF(NOT(ISNA(VLOOKUP(E976,E$1:E975,1,FALSE()))),"OLD",IF(AND(E976&lt;&gt;"",E976&lt;&gt;"!!!"),"NEW","")))</f>
        <v/>
      </c>
      <c r="G976" s="11" t="str">
        <f>IF(OR(E976="",E976="!!!"),"",IF(OR(J976=0,AND(J976=1,K976=1),AND(J976=1,I976="SBJ"),AND(J976=1,I976=0)),"?IN_FOCUS",IF(J976&lt;=2,"?ACTIVATED",IF(J976&lt;&gt;"","?FAMILIAR",IF(F976="NEW",IF(ISNA(VLOOKUP(E976,#REF!,1,FALSE())),"?TYPE_IDENTIFIABLE","?REFERENTIAL"),"_")))))</f>
        <v/>
      </c>
      <c r="H976" s="12" t="str">
        <f t="shared" si="35"/>
        <v/>
      </c>
    </row>
    <row r="977" spans="1:8" x14ac:dyDescent="0.35">
      <c r="A977" t="s">
        <v>73</v>
      </c>
      <c r="E977" s="9" t="str">
        <f t="shared" si="34"/>
        <v/>
      </c>
      <c r="F977" s="10" t="str">
        <f>IF(OR(E977="",E977="!!!"),"",IF(NOT(ISNA(VLOOKUP(E977,E$1:E976,1,FALSE()))),"OLD",IF(AND(E977&lt;&gt;"",E977&lt;&gt;"!!!"),"NEW","")))</f>
        <v/>
      </c>
      <c r="G977" s="11" t="str">
        <f>IF(OR(E977="",E977="!!!"),"",IF(OR(J977=0,AND(J977=1,K977=1),AND(J977=1,I977="SBJ"),AND(J977=1,I977=0)),"?IN_FOCUS",IF(J977&lt;=2,"?ACTIVATED",IF(J977&lt;&gt;"","?FAMILIAR",IF(F977="NEW",IF(ISNA(VLOOKUP(E977,#REF!,1,FALSE())),"?TYPE_IDENTIFIABLE","?REFERENTIAL"),"_")))))</f>
        <v/>
      </c>
      <c r="H977" s="12" t="str">
        <f t="shared" si="35"/>
        <v/>
      </c>
    </row>
    <row r="978" spans="1:8" x14ac:dyDescent="0.35">
      <c r="A978" t="s">
        <v>110</v>
      </c>
      <c r="B978" t="s">
        <v>36</v>
      </c>
      <c r="C978" t="s">
        <v>33</v>
      </c>
      <c r="D978" t="s">
        <v>16</v>
      </c>
      <c r="E978" s="9" t="str">
        <f t="shared" si="34"/>
        <v>!!!</v>
      </c>
      <c r="F978" s="10" t="str">
        <f>IF(OR(E978="",E978="!!!"),"",IF(NOT(ISNA(VLOOKUP(E978,E$1:E977,1,FALSE()))),"OLD",IF(AND(E978&lt;&gt;"",E978&lt;&gt;"!!!"),"NEW","")))</f>
        <v/>
      </c>
      <c r="G978" s="11" t="str">
        <f>IF(OR(E978="",E978="!!!"),"",IF(OR(J978=0,AND(J978=1,K978=1),AND(J978=1,I978="SBJ"),AND(J978=1,I978=0)),"?IN_FOCUS",IF(J978&lt;=2,"?ACTIVATED",IF(J978&lt;&gt;"","?FAMILIAR",IF(F978="NEW",IF(ISNA(VLOOKUP(E978,#REF!,1,FALSE())),"?TYPE_IDENTIFIABLE","?REFERENTIAL"),"_")))))</f>
        <v/>
      </c>
      <c r="H978" s="12" t="str">
        <f t="shared" si="35"/>
        <v/>
      </c>
    </row>
    <row r="979" spans="1:8" x14ac:dyDescent="0.35">
      <c r="A979" t="s">
        <v>483</v>
      </c>
      <c r="E979" s="9" t="str">
        <f t="shared" si="34"/>
        <v/>
      </c>
      <c r="F979" s="10" t="str">
        <f>IF(OR(E979="",E979="!!!"),"",IF(NOT(ISNA(VLOOKUP(E979,E$1:E978,1,FALSE()))),"OLD",IF(AND(E979&lt;&gt;"",E979&lt;&gt;"!!!"),"NEW","")))</f>
        <v/>
      </c>
      <c r="G979" s="11" t="str">
        <f>IF(OR(E979="",E979="!!!"),"",IF(OR(J979=0,AND(J979=1,K979=1),AND(J979=1,I979="SBJ"),AND(J979=1,I979=0)),"?IN_FOCUS",IF(J979&lt;=2,"?ACTIVATED",IF(J979&lt;&gt;"","?FAMILIAR",IF(F979="NEW",IF(ISNA(VLOOKUP(E979,#REF!,1,FALSE())),"?TYPE_IDENTIFIABLE","?REFERENTIAL"),"_")))))</f>
        <v/>
      </c>
      <c r="H979" s="12" t="str">
        <f t="shared" si="35"/>
        <v/>
      </c>
    </row>
    <row r="980" spans="1:8" x14ac:dyDescent="0.35">
      <c r="A980" t="s">
        <v>63</v>
      </c>
      <c r="E980" s="9" t="str">
        <f t="shared" si="34"/>
        <v/>
      </c>
      <c r="F980" s="10" t="str">
        <f>IF(OR(E980="",E980="!!!"),"",IF(NOT(ISNA(VLOOKUP(E980,E$1:E979,1,FALSE()))),"OLD",IF(AND(E980&lt;&gt;"",E980&lt;&gt;"!!!"),"NEW","")))</f>
        <v/>
      </c>
      <c r="G980" s="11" t="str">
        <f>IF(OR(E980="",E980="!!!"),"",IF(OR(J980=0,AND(J980=1,K980=1),AND(J980=1,I980="SBJ"),AND(J980=1,I980=0)),"?IN_FOCUS",IF(J980&lt;=2,"?ACTIVATED",IF(J980&lt;&gt;"","?FAMILIAR",IF(F980="NEW",IF(ISNA(VLOOKUP(E980,#REF!,1,FALSE())),"?TYPE_IDENTIFIABLE","?REFERENTIAL"),"_")))))</f>
        <v/>
      </c>
      <c r="H980" s="12" t="str">
        <f t="shared" si="35"/>
        <v/>
      </c>
    </row>
    <row r="981" spans="1:8" x14ac:dyDescent="0.35">
      <c r="E981" s="9" t="str">
        <f t="shared" si="34"/>
        <v/>
      </c>
      <c r="F981" s="10" t="str">
        <f>IF(OR(E981="",E981="!!!"),"",IF(NOT(ISNA(VLOOKUP(E981,E$1:E980,1,FALSE()))),"OLD",IF(AND(E981&lt;&gt;"",E981&lt;&gt;"!!!"),"NEW","")))</f>
        <v/>
      </c>
      <c r="G981" s="11" t="str">
        <f>IF(OR(E981="",E981="!!!"),"",IF(OR(J981=0,AND(J981=1,K981=1),AND(J981=1,I981="SBJ"),AND(J981=1,I981=0)),"?IN_FOCUS",IF(J981&lt;=2,"?ACTIVATED",IF(J981&lt;&gt;"","?FAMILIAR",IF(F981="NEW",IF(ISNA(VLOOKUP(E981,#REF!,1,FALSE())),"?TYPE_IDENTIFIABLE","?REFERENTIAL"),"_")))))</f>
        <v/>
      </c>
      <c r="H981" s="12" t="str">
        <f t="shared" si="35"/>
        <v/>
      </c>
    </row>
    <row r="982" spans="1:8" x14ac:dyDescent="0.35">
      <c r="A982" t="s">
        <v>484</v>
      </c>
      <c r="E982" s="9" t="str">
        <f t="shared" si="34"/>
        <v/>
      </c>
      <c r="F982" s="10" t="str">
        <f>IF(OR(E982="",E982="!!!"),"",IF(NOT(ISNA(VLOOKUP(E982,E$1:E981,1,FALSE()))),"OLD",IF(AND(E982&lt;&gt;"",E982&lt;&gt;"!!!"),"NEW","")))</f>
        <v/>
      </c>
      <c r="G982" s="11" t="str">
        <f>IF(OR(E982="",E982="!!!"),"",IF(OR(J982=0,AND(J982=1,K982=1),AND(J982=1,I982="SBJ"),AND(J982=1,I982=0)),"?IN_FOCUS",IF(J982&lt;=2,"?ACTIVATED",IF(J982&lt;&gt;"","?FAMILIAR",IF(F982="NEW",IF(ISNA(VLOOKUP(E982,#REF!,1,FALSE())),"?TYPE_IDENTIFIABLE","?REFERENTIAL"),"_")))))</f>
        <v/>
      </c>
      <c r="H982" s="12" t="str">
        <f t="shared" si="35"/>
        <v/>
      </c>
    </row>
    <row r="983" spans="1:8" x14ac:dyDescent="0.35">
      <c r="A983" t="s">
        <v>485</v>
      </c>
      <c r="E983" s="9" t="str">
        <f t="shared" si="34"/>
        <v/>
      </c>
      <c r="F983" s="10" t="str">
        <f>IF(OR(E983="",E983="!!!"),"",IF(NOT(ISNA(VLOOKUP(E983,E$1:E982,1,FALSE()))),"OLD",IF(AND(E983&lt;&gt;"",E983&lt;&gt;"!!!"),"NEW","")))</f>
        <v/>
      </c>
      <c r="G983" s="11" t="str">
        <f>IF(OR(E983="",E983="!!!"),"",IF(OR(J983=0,AND(J983=1,K983=1),AND(J983=1,I983="SBJ"),AND(J983=1,I983=0)),"?IN_FOCUS",IF(J983&lt;=2,"?ACTIVATED",IF(J983&lt;&gt;"","?FAMILIAR",IF(F983="NEW",IF(ISNA(VLOOKUP(E983,#REF!,1,FALSE())),"?TYPE_IDENTIFIABLE","?REFERENTIAL"),"_")))))</f>
        <v/>
      </c>
      <c r="H983" s="12" t="str">
        <f t="shared" si="35"/>
        <v/>
      </c>
    </row>
    <row r="984" spans="1:8" x14ac:dyDescent="0.35">
      <c r="A984" t="s">
        <v>310</v>
      </c>
      <c r="E984" s="9" t="str">
        <f t="shared" si="34"/>
        <v/>
      </c>
      <c r="F984" s="10" t="str">
        <f>IF(OR(E984="",E984="!!!"),"",IF(NOT(ISNA(VLOOKUP(E984,E$1:E983,1,FALSE()))),"OLD",IF(AND(E984&lt;&gt;"",E984&lt;&gt;"!!!"),"NEW","")))</f>
        <v/>
      </c>
      <c r="G984" s="11" t="str">
        <f>IF(OR(E984="",E984="!!!"),"",IF(OR(J984=0,AND(J984=1,K984=1),AND(J984=1,I984="SBJ"),AND(J984=1,I984=0)),"?IN_FOCUS",IF(J984&lt;=2,"?ACTIVATED",IF(J984&lt;&gt;"","?FAMILIAR",IF(F984="NEW",IF(ISNA(VLOOKUP(E984,#REF!,1,FALSE())),"?TYPE_IDENTIFIABLE","?REFERENTIAL"),"_")))))</f>
        <v/>
      </c>
      <c r="H984" s="12" t="str">
        <f t="shared" si="35"/>
        <v/>
      </c>
    </row>
    <row r="985" spans="1:8" x14ac:dyDescent="0.35">
      <c r="A985" t="s">
        <v>26</v>
      </c>
      <c r="E985" s="9" t="str">
        <f t="shared" si="34"/>
        <v/>
      </c>
      <c r="F985" s="10" t="str">
        <f>IF(OR(E985="",E985="!!!"),"",IF(NOT(ISNA(VLOOKUP(E985,E$1:E984,1,FALSE()))),"OLD",IF(AND(E985&lt;&gt;"",E985&lt;&gt;"!!!"),"NEW","")))</f>
        <v/>
      </c>
      <c r="G985" s="11" t="str">
        <f>IF(OR(E985="",E985="!!!"),"",IF(OR(J985=0,AND(J985=1,K985=1),AND(J985=1,I985="SBJ"),AND(J985=1,I985=0)),"?IN_FOCUS",IF(J985&lt;=2,"?ACTIVATED",IF(J985&lt;&gt;"","?FAMILIAR",IF(F985="NEW",IF(ISNA(VLOOKUP(E985,#REF!,1,FALSE())),"?TYPE_IDENTIFIABLE","?REFERENTIAL"),"_")))))</f>
        <v/>
      </c>
      <c r="H985" s="12" t="str">
        <f t="shared" si="35"/>
        <v/>
      </c>
    </row>
    <row r="986" spans="1:8" x14ac:dyDescent="0.35">
      <c r="A986" t="s">
        <v>110</v>
      </c>
      <c r="B986" t="s">
        <v>14</v>
      </c>
      <c r="C986" t="s">
        <v>33</v>
      </c>
      <c r="D986" t="s">
        <v>16</v>
      </c>
      <c r="E986" s="9" t="str">
        <f t="shared" si="34"/>
        <v>!!!</v>
      </c>
      <c r="F986" s="10" t="str">
        <f>IF(OR(E986="",E986="!!!"),"",IF(NOT(ISNA(VLOOKUP(E986,E$1:E985,1,FALSE()))),"OLD",IF(AND(E986&lt;&gt;"",E986&lt;&gt;"!!!"),"NEW","")))</f>
        <v/>
      </c>
      <c r="G986" s="11" t="str">
        <f>IF(OR(E986="",E986="!!!"),"",IF(OR(J986=0,AND(J986=1,K986=1),AND(J986=1,I986="SBJ"),AND(J986=1,I986=0)),"?IN_FOCUS",IF(J986&lt;=2,"?ACTIVATED",IF(J986&lt;&gt;"","?FAMILIAR",IF(F986="NEW",IF(ISNA(VLOOKUP(E986,#REF!,1,FALSE())),"?TYPE_IDENTIFIABLE","?REFERENTIAL"),"_")))))</f>
        <v/>
      </c>
      <c r="H986" s="12" t="str">
        <f t="shared" si="35"/>
        <v/>
      </c>
    </row>
    <row r="987" spans="1:8" x14ac:dyDescent="0.35">
      <c r="A987" t="s">
        <v>486</v>
      </c>
      <c r="E987" s="9" t="str">
        <f t="shared" si="34"/>
        <v/>
      </c>
      <c r="F987" s="10" t="str">
        <f>IF(OR(E987="",E987="!!!"),"",IF(NOT(ISNA(VLOOKUP(E987,E$1:E986,1,FALSE()))),"OLD",IF(AND(E987&lt;&gt;"",E987&lt;&gt;"!!!"),"NEW","")))</f>
        <v/>
      </c>
      <c r="G987" s="11" t="str">
        <f>IF(OR(E987="",E987="!!!"),"",IF(OR(J987=0,AND(J987=1,K987=1),AND(J987=1,I987="SBJ"),AND(J987=1,I987=0)),"?IN_FOCUS",IF(J987&lt;=2,"?ACTIVATED",IF(J987&lt;&gt;"","?FAMILIAR",IF(F987="NEW",IF(ISNA(VLOOKUP(E987,#REF!,1,FALSE())),"?TYPE_IDENTIFIABLE","?REFERENTIAL"),"_")))))</f>
        <v/>
      </c>
      <c r="H987" s="12" t="str">
        <f t="shared" si="35"/>
        <v/>
      </c>
    </row>
    <row r="988" spans="1:8" x14ac:dyDescent="0.35">
      <c r="A988" t="s">
        <v>58</v>
      </c>
      <c r="E988" s="9" t="str">
        <f t="shared" si="34"/>
        <v/>
      </c>
      <c r="F988" s="10" t="str">
        <f>IF(OR(E988="",E988="!!!"),"",IF(NOT(ISNA(VLOOKUP(E988,E$1:E987,1,FALSE()))),"OLD",IF(AND(E988&lt;&gt;"",E988&lt;&gt;"!!!"),"NEW","")))</f>
        <v/>
      </c>
      <c r="G988" s="11" t="str">
        <f>IF(OR(E988="",E988="!!!"),"",IF(OR(J988=0,AND(J988=1,K988=1),AND(J988=1,I988="SBJ"),AND(J988=1,I988=0)),"?IN_FOCUS",IF(J988&lt;=2,"?ACTIVATED",IF(J988&lt;&gt;"","?FAMILIAR",IF(F988="NEW",IF(ISNA(VLOOKUP(E988,#REF!,1,FALSE())),"?TYPE_IDENTIFIABLE","?REFERENTIAL"),"_")))))</f>
        <v/>
      </c>
      <c r="H988" s="12" t="str">
        <f t="shared" si="35"/>
        <v/>
      </c>
    </row>
    <row r="989" spans="1:8" x14ac:dyDescent="0.35">
      <c r="A989" t="s">
        <v>487</v>
      </c>
      <c r="E989" s="9" t="str">
        <f t="shared" si="34"/>
        <v/>
      </c>
      <c r="F989" s="10" t="str">
        <f>IF(OR(E989="",E989="!!!"),"",IF(NOT(ISNA(VLOOKUP(E989,E$1:E988,1,FALSE()))),"OLD",IF(AND(E989&lt;&gt;"",E989&lt;&gt;"!!!"),"NEW","")))</f>
        <v/>
      </c>
      <c r="G989" s="11" t="str">
        <f>IF(OR(E989="",E989="!!!"),"",IF(OR(J989=0,AND(J989=1,K989=1),AND(J989=1,I989="SBJ"),AND(J989=1,I989=0)),"?IN_FOCUS",IF(J989&lt;=2,"?ACTIVATED",IF(J989&lt;&gt;"","?FAMILIAR",IF(F989="NEW",IF(ISNA(VLOOKUP(E989,#REF!,1,FALSE())),"?TYPE_IDENTIFIABLE","?REFERENTIAL"),"_")))))</f>
        <v/>
      </c>
      <c r="H989" s="12" t="str">
        <f t="shared" si="35"/>
        <v/>
      </c>
    </row>
    <row r="990" spans="1:8" x14ac:dyDescent="0.35">
      <c r="A990" t="s">
        <v>488</v>
      </c>
      <c r="B990" t="s">
        <v>32</v>
      </c>
      <c r="C990" t="s">
        <v>99</v>
      </c>
      <c r="D990" t="s">
        <v>16</v>
      </c>
      <c r="E990" s="9" t="str">
        <f t="shared" si="34"/>
        <v>!!!</v>
      </c>
      <c r="F990" s="10" t="str">
        <f>IF(OR(E990="",E990="!!!"),"",IF(NOT(ISNA(VLOOKUP(E990,E$1:E989,1,FALSE()))),"OLD",IF(AND(E990&lt;&gt;"",E990&lt;&gt;"!!!"),"NEW","")))</f>
        <v/>
      </c>
      <c r="G990" s="11" t="str">
        <f>IF(OR(E990="",E990="!!!"),"",IF(OR(J990=0,AND(J990=1,K990=1),AND(J990=1,I990="SBJ"),AND(J990=1,I990=0)),"?IN_FOCUS",IF(J990&lt;=2,"?ACTIVATED",IF(J990&lt;&gt;"","?FAMILIAR",IF(F990="NEW",IF(ISNA(VLOOKUP(E990,#REF!,1,FALSE())),"?TYPE_IDENTIFIABLE","?REFERENTIAL"),"_")))))</f>
        <v/>
      </c>
      <c r="H990" s="12" t="str">
        <f t="shared" si="35"/>
        <v/>
      </c>
    </row>
    <row r="991" spans="1:8" x14ac:dyDescent="0.35">
      <c r="A991" t="s">
        <v>131</v>
      </c>
      <c r="E991" s="9" t="str">
        <f t="shared" si="34"/>
        <v/>
      </c>
      <c r="F991" s="10" t="str">
        <f>IF(OR(E991="",E991="!!!"),"",IF(NOT(ISNA(VLOOKUP(E991,E$1:E990,1,FALSE()))),"OLD",IF(AND(E991&lt;&gt;"",E991&lt;&gt;"!!!"),"NEW","")))</f>
        <v/>
      </c>
      <c r="G991" s="11" t="str">
        <f>IF(OR(E991="",E991="!!!"),"",IF(OR(J991=0,AND(J991=1,K991=1),AND(J991=1,I991="SBJ"),AND(J991=1,I991=0)),"?IN_FOCUS",IF(J991&lt;=2,"?ACTIVATED",IF(J991&lt;&gt;"","?FAMILIAR",IF(F991="NEW",IF(ISNA(VLOOKUP(E991,#REF!,1,FALSE())),"?TYPE_IDENTIFIABLE","?REFERENTIAL"),"_")))))</f>
        <v/>
      </c>
      <c r="H991" s="12" t="str">
        <f t="shared" si="35"/>
        <v/>
      </c>
    </row>
    <row r="992" spans="1:8" x14ac:dyDescent="0.35">
      <c r="A992" t="s">
        <v>58</v>
      </c>
      <c r="E992" s="9" t="str">
        <f t="shared" si="34"/>
        <v/>
      </c>
      <c r="F992" s="10" t="str">
        <f>IF(OR(E992="",E992="!!!"),"",IF(NOT(ISNA(VLOOKUP(E992,E$1:E991,1,FALSE()))),"OLD",IF(AND(E992&lt;&gt;"",E992&lt;&gt;"!!!"),"NEW","")))</f>
        <v/>
      </c>
      <c r="G992" s="11" t="str">
        <f>IF(OR(E992="",E992="!!!"),"",IF(OR(J992=0,AND(J992=1,K992=1),AND(J992=1,I992="SBJ"),AND(J992=1,I992=0)),"?IN_FOCUS",IF(J992&lt;=2,"?ACTIVATED",IF(J992&lt;&gt;"","?FAMILIAR",IF(F992="NEW",IF(ISNA(VLOOKUP(E992,#REF!,1,FALSE())),"?TYPE_IDENTIFIABLE","?REFERENTIAL"),"_")))))</f>
        <v/>
      </c>
      <c r="H992" s="12" t="str">
        <f t="shared" si="35"/>
        <v/>
      </c>
    </row>
    <row r="993" spans="1:8" x14ac:dyDescent="0.35">
      <c r="A993" t="s">
        <v>226</v>
      </c>
      <c r="B993" t="s">
        <v>54</v>
      </c>
      <c r="C993" t="s">
        <v>99</v>
      </c>
      <c r="D993" t="s">
        <v>16</v>
      </c>
      <c r="E993" s="9" t="str">
        <f t="shared" si="34"/>
        <v>!!!</v>
      </c>
      <c r="F993" s="10" t="str">
        <f>IF(OR(E993="",E993="!!!"),"",IF(NOT(ISNA(VLOOKUP(E993,E$1:E992,1,FALSE()))),"OLD",IF(AND(E993&lt;&gt;"",E993&lt;&gt;"!!!"),"NEW","")))</f>
        <v/>
      </c>
      <c r="G993" s="11" t="str">
        <f>IF(OR(E993="",E993="!!!"),"",IF(OR(J993=0,AND(J993=1,K993=1),AND(J993=1,I993="SBJ"),AND(J993=1,I993=0)),"?IN_FOCUS",IF(J993&lt;=2,"?ACTIVATED",IF(J993&lt;&gt;"","?FAMILIAR",IF(F993="NEW",IF(ISNA(VLOOKUP(E993,#REF!,1,FALSE())),"?TYPE_IDENTIFIABLE","?REFERENTIAL"),"_")))))</f>
        <v/>
      </c>
      <c r="H993" s="12" t="str">
        <f t="shared" si="35"/>
        <v/>
      </c>
    </row>
    <row r="994" spans="1:8" x14ac:dyDescent="0.35">
      <c r="A994" t="s">
        <v>17</v>
      </c>
      <c r="E994" s="9" t="str">
        <f t="shared" si="34"/>
        <v/>
      </c>
      <c r="F994" s="10" t="str">
        <f>IF(OR(E994="",E994="!!!"),"",IF(NOT(ISNA(VLOOKUP(E994,E$1:E993,1,FALSE()))),"OLD",IF(AND(E994&lt;&gt;"",E994&lt;&gt;"!!!"),"NEW","")))</f>
        <v/>
      </c>
      <c r="G994" s="11" t="str">
        <f>IF(OR(E994="",E994="!!!"),"",IF(OR(J994=0,AND(J994=1,K994=1),AND(J994=1,I994="SBJ"),AND(J994=1,I994=0)),"?IN_FOCUS",IF(J994&lt;=2,"?ACTIVATED",IF(J994&lt;&gt;"","?FAMILIAR",IF(F994="NEW",IF(ISNA(VLOOKUP(E994,#REF!,1,FALSE())),"?TYPE_IDENTIFIABLE","?REFERENTIAL"),"_")))))</f>
        <v/>
      </c>
      <c r="H994" s="12" t="str">
        <f t="shared" si="35"/>
        <v/>
      </c>
    </row>
    <row r="995" spans="1:8" x14ac:dyDescent="0.35">
      <c r="A995" t="s">
        <v>348</v>
      </c>
      <c r="E995" s="9" t="str">
        <f t="shared" si="34"/>
        <v/>
      </c>
      <c r="F995" s="10" t="str">
        <f>IF(OR(E995="",E995="!!!"),"",IF(NOT(ISNA(VLOOKUP(E995,E$1:E994,1,FALSE()))),"OLD",IF(AND(E995&lt;&gt;"",E995&lt;&gt;"!!!"),"NEW","")))</f>
        <v/>
      </c>
      <c r="G995" s="11" t="str">
        <f>IF(OR(E995="",E995="!!!"),"",IF(OR(J995=0,AND(J995=1,K995=1),AND(J995=1,I995="SBJ"),AND(J995=1,I995=0)),"?IN_FOCUS",IF(J995&lt;=2,"?ACTIVATED",IF(J995&lt;&gt;"","?FAMILIAR",IF(F995="NEW",IF(ISNA(VLOOKUP(E995,#REF!,1,FALSE())),"?TYPE_IDENTIFIABLE","?REFERENTIAL"),"_")))))</f>
        <v/>
      </c>
      <c r="H995" s="12" t="str">
        <f t="shared" si="35"/>
        <v/>
      </c>
    </row>
    <row r="996" spans="1:8" x14ac:dyDescent="0.35">
      <c r="A996" t="s">
        <v>489</v>
      </c>
      <c r="E996" s="9" t="str">
        <f t="shared" si="34"/>
        <v/>
      </c>
      <c r="F996" s="10" t="str">
        <f>IF(OR(E996="",E996="!!!"),"",IF(NOT(ISNA(VLOOKUP(E996,E$1:E995,1,FALSE()))),"OLD",IF(AND(E996&lt;&gt;"",E996&lt;&gt;"!!!"),"NEW","")))</f>
        <v/>
      </c>
      <c r="G996" s="11" t="str">
        <f>IF(OR(E996="",E996="!!!"),"",IF(OR(J996=0,AND(J996=1,K996=1),AND(J996=1,I996="SBJ"),AND(J996=1,I996=0)),"?IN_FOCUS",IF(J996&lt;=2,"?ACTIVATED",IF(J996&lt;&gt;"","?FAMILIAR",IF(F996="NEW",IF(ISNA(VLOOKUP(E996,#REF!,1,FALSE())),"?TYPE_IDENTIFIABLE","?REFERENTIAL"),"_")))))</f>
        <v/>
      </c>
      <c r="H996" s="12" t="str">
        <f t="shared" si="35"/>
        <v/>
      </c>
    </row>
    <row r="997" spans="1:8" x14ac:dyDescent="0.35">
      <c r="A997" t="s">
        <v>262</v>
      </c>
      <c r="E997" s="9" t="str">
        <f t="shared" si="34"/>
        <v/>
      </c>
      <c r="F997" s="10" t="str">
        <f>IF(OR(E997="",E997="!!!"),"",IF(NOT(ISNA(VLOOKUP(E997,E$1:E996,1,FALSE()))),"OLD",IF(AND(E997&lt;&gt;"",E997&lt;&gt;"!!!"),"NEW","")))</f>
        <v/>
      </c>
      <c r="G997" s="11" t="str">
        <f>IF(OR(E997="",E997="!!!"),"",IF(OR(J997=0,AND(J997=1,K997=1),AND(J997=1,I997="SBJ"),AND(J997=1,I997=0)),"?IN_FOCUS",IF(J997&lt;=2,"?ACTIVATED",IF(J997&lt;&gt;"","?FAMILIAR",IF(F997="NEW",IF(ISNA(VLOOKUP(E997,#REF!,1,FALSE())),"?TYPE_IDENTIFIABLE","?REFERENTIAL"),"_")))))</f>
        <v/>
      </c>
      <c r="H997" s="12" t="str">
        <f t="shared" si="35"/>
        <v/>
      </c>
    </row>
    <row r="998" spans="1:8" x14ac:dyDescent="0.35">
      <c r="A998" t="s">
        <v>215</v>
      </c>
      <c r="B998" t="s">
        <v>24</v>
      </c>
      <c r="C998" t="s">
        <v>37</v>
      </c>
      <c r="E998" s="9" t="str">
        <f t="shared" si="34"/>
        <v/>
      </c>
      <c r="F998" s="10" t="str">
        <f>IF(OR(E998="",E998="!!!"),"",IF(NOT(ISNA(VLOOKUP(E998,E$1:E997,1,FALSE()))),"OLD",IF(AND(E998&lt;&gt;"",E998&lt;&gt;"!!!"),"NEW","")))</f>
        <v/>
      </c>
      <c r="G998" s="11" t="str">
        <f>IF(OR(E998="",E998="!!!"),"",IF(OR(J998=0,AND(J998=1,K998=1),AND(J998=1,I998="SBJ"),AND(J998=1,I998=0)),"?IN_FOCUS",IF(J998&lt;=2,"?ACTIVATED",IF(J998&lt;&gt;"","?FAMILIAR",IF(F998="NEW",IF(ISNA(VLOOKUP(E998,#REF!,1,FALSE())),"?TYPE_IDENTIFIABLE","?REFERENTIAL"),"_")))))</f>
        <v/>
      </c>
      <c r="H998" s="12" t="str">
        <f t="shared" si="35"/>
        <v/>
      </c>
    </row>
    <row r="999" spans="1:8" x14ac:dyDescent="0.35">
      <c r="A999" t="s">
        <v>123</v>
      </c>
      <c r="E999" s="9" t="str">
        <f t="shared" si="34"/>
        <v/>
      </c>
      <c r="F999" s="10" t="str">
        <f>IF(OR(E999="",E999="!!!"),"",IF(NOT(ISNA(VLOOKUP(E999,E$1:E998,1,FALSE()))),"OLD",IF(AND(E999&lt;&gt;"",E999&lt;&gt;"!!!"),"NEW","")))</f>
        <v/>
      </c>
      <c r="G999" s="11" t="str">
        <f>IF(OR(E999="",E999="!!!"),"",IF(OR(J999=0,AND(J999=1,K999=1),AND(J999=1,I999="SBJ"),AND(J999=1,I999=0)),"?IN_FOCUS",IF(J999&lt;=2,"?ACTIVATED",IF(J999&lt;&gt;"","?FAMILIAR",IF(F999="NEW",IF(ISNA(VLOOKUP(E999,#REF!,1,FALSE())),"?TYPE_IDENTIFIABLE","?REFERENTIAL"),"_")))))</f>
        <v/>
      </c>
      <c r="H999" s="12" t="str">
        <f t="shared" si="35"/>
        <v/>
      </c>
    </row>
    <row r="1000" spans="1:8" x14ac:dyDescent="0.35">
      <c r="A1000" t="s">
        <v>58</v>
      </c>
      <c r="E1000" s="9" t="str">
        <f t="shared" si="34"/>
        <v/>
      </c>
      <c r="F1000" s="10" t="str">
        <f>IF(OR(E1000="",E1000="!!!"),"",IF(NOT(ISNA(VLOOKUP(E1000,E$1:E999,1,FALSE()))),"OLD",IF(AND(E1000&lt;&gt;"",E1000&lt;&gt;"!!!"),"NEW","")))</f>
        <v/>
      </c>
      <c r="G1000" s="11" t="str">
        <f>IF(OR(E1000="",E1000="!!!"),"",IF(OR(J1000=0,AND(J1000=1,K1000=1),AND(J1000=1,I1000="SBJ"),AND(J1000=1,I1000=0)),"?IN_FOCUS",IF(J1000&lt;=2,"?ACTIVATED",IF(J1000&lt;&gt;"","?FAMILIAR",IF(F1000="NEW",IF(ISNA(VLOOKUP(E1000,#REF!,1,FALSE())),"?TYPE_IDENTIFIABLE","?REFERENTIAL"),"_")))))</f>
        <v/>
      </c>
      <c r="H1000" s="12" t="str">
        <f t="shared" si="35"/>
        <v/>
      </c>
    </row>
    <row r="1001" spans="1:8" x14ac:dyDescent="0.35">
      <c r="A1001" t="s">
        <v>490</v>
      </c>
      <c r="B1001" t="s">
        <v>20</v>
      </c>
      <c r="C1001" t="s">
        <v>99</v>
      </c>
      <c r="D1001" t="s">
        <v>16</v>
      </c>
      <c r="E1001" s="9" t="str">
        <f t="shared" si="34"/>
        <v>!!!</v>
      </c>
      <c r="F1001" s="10" t="str">
        <f>IF(OR(E1001="",E1001="!!!"),"",IF(NOT(ISNA(VLOOKUP(E1001,E$1:E1000,1,FALSE()))),"OLD",IF(AND(E1001&lt;&gt;"",E1001&lt;&gt;"!!!"),"NEW","")))</f>
        <v/>
      </c>
      <c r="G1001" s="11" t="str">
        <f>IF(OR(E1001="",E1001="!!!"),"",IF(OR(J1001=0,AND(J1001=1,K1001=1),AND(J1001=1,I1001="SBJ"),AND(J1001=1,I1001=0)),"?IN_FOCUS",IF(J1001&lt;=2,"?ACTIVATED",IF(J1001&lt;&gt;"","?FAMILIAR",IF(F1001="NEW",IF(ISNA(VLOOKUP(E1001,#REF!,1,FALSE())),"?TYPE_IDENTIFIABLE","?REFERENTIAL"),"_")))))</f>
        <v/>
      </c>
      <c r="H1001" s="12" t="str">
        <f t="shared" si="35"/>
        <v/>
      </c>
    </row>
    <row r="1002" spans="1:8" x14ac:dyDescent="0.35">
      <c r="A1002" t="s">
        <v>17</v>
      </c>
      <c r="E1002" s="9" t="str">
        <f t="shared" si="34"/>
        <v/>
      </c>
      <c r="F1002" s="10" t="str">
        <f>IF(OR(E1002="",E1002="!!!"),"",IF(NOT(ISNA(VLOOKUP(E1002,E$1:E1001,1,FALSE()))),"OLD",IF(AND(E1002&lt;&gt;"",E1002&lt;&gt;"!!!"),"NEW","")))</f>
        <v/>
      </c>
      <c r="G1002" s="11" t="str">
        <f>IF(OR(E1002="",E1002="!!!"),"",IF(OR(J1002=0,AND(J1002=1,K1002=1),AND(J1002=1,I1002="SBJ"),AND(J1002=1,I1002=0)),"?IN_FOCUS",IF(J1002&lt;=2,"?ACTIVATED",IF(J1002&lt;&gt;"","?FAMILIAR",IF(F1002="NEW",IF(ISNA(VLOOKUP(E1002,#REF!,1,FALSE())),"?TYPE_IDENTIFIABLE","?REFERENTIAL"),"_")))))</f>
        <v/>
      </c>
      <c r="H1002" s="12" t="str">
        <f t="shared" si="35"/>
        <v/>
      </c>
    </row>
    <row r="1003" spans="1:8" x14ac:dyDescent="0.35">
      <c r="A1003" t="s">
        <v>58</v>
      </c>
      <c r="E1003" s="9" t="str">
        <f t="shared" si="34"/>
        <v/>
      </c>
      <c r="F1003" s="10" t="str">
        <f>IF(OR(E1003="",E1003="!!!"),"",IF(NOT(ISNA(VLOOKUP(E1003,E$1:E1002,1,FALSE()))),"OLD",IF(AND(E1003&lt;&gt;"",E1003&lt;&gt;"!!!"),"NEW","")))</f>
        <v/>
      </c>
      <c r="G1003" s="11" t="str">
        <f>IF(OR(E1003="",E1003="!!!"),"",IF(OR(J1003=0,AND(J1003=1,K1003=1),AND(J1003=1,I1003="SBJ"),AND(J1003=1,I1003=0)),"?IN_FOCUS",IF(J1003&lt;=2,"?ACTIVATED",IF(J1003&lt;&gt;"","?FAMILIAR",IF(F1003="NEW",IF(ISNA(VLOOKUP(E1003,#REF!,1,FALSE())),"?TYPE_IDENTIFIABLE","?REFERENTIAL"),"_")))))</f>
        <v/>
      </c>
      <c r="H1003" s="12" t="str">
        <f t="shared" si="35"/>
        <v/>
      </c>
    </row>
    <row r="1004" spans="1:8" x14ac:dyDescent="0.35">
      <c r="A1004" t="s">
        <v>416</v>
      </c>
      <c r="B1004" t="s">
        <v>56</v>
      </c>
      <c r="C1004" t="s">
        <v>99</v>
      </c>
      <c r="D1004" t="s">
        <v>16</v>
      </c>
      <c r="E1004" s="9" t="str">
        <f t="shared" si="34"/>
        <v>!!!</v>
      </c>
      <c r="F1004" s="10" t="str">
        <f>IF(OR(E1004="",E1004="!!!"),"",IF(NOT(ISNA(VLOOKUP(E1004,E$1:E1003,1,FALSE()))),"OLD",IF(AND(E1004&lt;&gt;"",E1004&lt;&gt;"!!!"),"NEW","")))</f>
        <v/>
      </c>
      <c r="G1004" s="11" t="str">
        <f>IF(OR(E1004="",E1004="!!!"),"",IF(OR(J1004=0,AND(J1004=1,K1004=1),AND(J1004=1,I1004="SBJ"),AND(J1004=1,I1004=0)),"?IN_FOCUS",IF(J1004&lt;=2,"?ACTIVATED",IF(J1004&lt;&gt;"","?FAMILIAR",IF(F1004="NEW",IF(ISNA(VLOOKUP(E1004,#REF!,1,FALSE())),"?TYPE_IDENTIFIABLE","?REFERENTIAL"),"_")))))</f>
        <v/>
      </c>
      <c r="H1004" s="12" t="str">
        <f t="shared" si="35"/>
        <v/>
      </c>
    </row>
    <row r="1005" spans="1:8" x14ac:dyDescent="0.35">
      <c r="A1005" t="s">
        <v>63</v>
      </c>
      <c r="E1005" s="9" t="str">
        <f t="shared" si="34"/>
        <v/>
      </c>
      <c r="F1005" s="10" t="str">
        <f>IF(OR(E1005="",E1005="!!!"),"",IF(NOT(ISNA(VLOOKUP(E1005,E$1:E1004,1,FALSE()))),"OLD",IF(AND(E1005&lt;&gt;"",E1005&lt;&gt;"!!!"),"NEW","")))</f>
        <v/>
      </c>
      <c r="G1005" s="11" t="str">
        <f>IF(OR(E1005="",E1005="!!!"),"",IF(OR(J1005=0,AND(J1005=1,K1005=1),AND(J1005=1,I1005="SBJ"),AND(J1005=1,I1005=0)),"?IN_FOCUS",IF(J1005&lt;=2,"?ACTIVATED",IF(J1005&lt;&gt;"","?FAMILIAR",IF(F1005="NEW",IF(ISNA(VLOOKUP(E1005,#REF!,1,FALSE())),"?TYPE_IDENTIFIABLE","?REFERENTIAL"),"_")))))</f>
        <v/>
      </c>
      <c r="H1005" s="12" t="str">
        <f t="shared" si="35"/>
        <v/>
      </c>
    </row>
    <row r="1007" spans="1:8" x14ac:dyDescent="0.35">
      <c r="A1007" t="s">
        <v>491</v>
      </c>
    </row>
    <row r="1008" spans="1:8" x14ac:dyDescent="0.35">
      <c r="A1008" t="s">
        <v>291</v>
      </c>
    </row>
    <row r="1009" spans="1:4" x14ac:dyDescent="0.35">
      <c r="A1009" t="s">
        <v>492</v>
      </c>
      <c r="B1009" t="s">
        <v>14</v>
      </c>
      <c r="C1009" t="s">
        <v>37</v>
      </c>
    </row>
    <row r="1010" spans="1:4" x14ac:dyDescent="0.35">
      <c r="A1010" t="s">
        <v>493</v>
      </c>
    </row>
    <row r="1011" spans="1:4" x14ac:dyDescent="0.35">
      <c r="A1011" t="s">
        <v>123</v>
      </c>
    </row>
    <row r="1012" spans="1:4" x14ac:dyDescent="0.35">
      <c r="A1012" t="s">
        <v>34</v>
      </c>
    </row>
    <row r="1013" spans="1:4" x14ac:dyDescent="0.35">
      <c r="A1013" t="s">
        <v>494</v>
      </c>
      <c r="B1013" t="s">
        <v>54</v>
      </c>
      <c r="C1013" t="s">
        <v>37</v>
      </c>
    </row>
    <row r="1014" spans="1:4" x14ac:dyDescent="0.35">
      <c r="A1014" t="s">
        <v>26</v>
      </c>
    </row>
    <row r="1015" spans="1:4" x14ac:dyDescent="0.35">
      <c r="A1015" t="s">
        <v>76</v>
      </c>
    </row>
    <row r="1016" spans="1:4" x14ac:dyDescent="0.35">
      <c r="A1016" t="s">
        <v>105</v>
      </c>
    </row>
    <row r="1017" spans="1:4" x14ac:dyDescent="0.35">
      <c r="A1017" t="s">
        <v>40</v>
      </c>
      <c r="B1017" t="s">
        <v>41</v>
      </c>
      <c r="C1017" t="s">
        <v>33</v>
      </c>
      <c r="D1017" t="s">
        <v>16</v>
      </c>
    </row>
    <row r="1018" spans="1:4" x14ac:dyDescent="0.35">
      <c r="A1018" t="s">
        <v>213</v>
      </c>
    </row>
    <row r="1019" spans="1:4" x14ac:dyDescent="0.35">
      <c r="A1019" t="s">
        <v>123</v>
      </c>
    </row>
    <row r="1020" spans="1:4" x14ac:dyDescent="0.35">
      <c r="A1020" t="s">
        <v>495</v>
      </c>
    </row>
    <row r="1021" spans="1:4" x14ac:dyDescent="0.35">
      <c r="A1021" t="s">
        <v>42</v>
      </c>
    </row>
    <row r="1022" spans="1:4" x14ac:dyDescent="0.35">
      <c r="A1022" t="s">
        <v>34</v>
      </c>
    </row>
    <row r="1023" spans="1:4" x14ac:dyDescent="0.35">
      <c r="A1023" t="s">
        <v>496</v>
      </c>
    </row>
    <row r="1024" spans="1:4" x14ac:dyDescent="0.35">
      <c r="A1024" t="s">
        <v>497</v>
      </c>
    </row>
    <row r="1025" spans="1:4" x14ac:dyDescent="0.35">
      <c r="A1025" t="s">
        <v>498</v>
      </c>
      <c r="B1025" t="s">
        <v>54</v>
      </c>
      <c r="C1025" t="s">
        <v>37</v>
      </c>
    </row>
    <row r="1026" spans="1:4" x14ac:dyDescent="0.35">
      <c r="A1026" t="s">
        <v>69</v>
      </c>
    </row>
    <row r="1027" spans="1:4" x14ac:dyDescent="0.35">
      <c r="A1027" t="s">
        <v>499</v>
      </c>
      <c r="B1027" t="s">
        <v>54</v>
      </c>
      <c r="C1027" t="s">
        <v>108</v>
      </c>
    </row>
    <row r="1028" spans="1:4" x14ac:dyDescent="0.35">
      <c r="A1028" t="s">
        <v>63</v>
      </c>
    </row>
    <row r="1030" spans="1:4" x14ac:dyDescent="0.35">
      <c r="A1030" t="s">
        <v>500</v>
      </c>
    </row>
    <row r="1031" spans="1:4" x14ac:dyDescent="0.35">
      <c r="A1031" t="s">
        <v>501</v>
      </c>
      <c r="B1031" t="s">
        <v>14</v>
      </c>
      <c r="C1031" t="s">
        <v>33</v>
      </c>
      <c r="D1031" t="s">
        <v>16</v>
      </c>
    </row>
    <row r="1032" spans="1:4" x14ac:dyDescent="0.35">
      <c r="A1032" t="s">
        <v>42</v>
      </c>
    </row>
    <row r="1033" spans="1:4" x14ac:dyDescent="0.35">
      <c r="A1033" t="s">
        <v>145</v>
      </c>
    </row>
    <row r="1034" spans="1:4" x14ac:dyDescent="0.35">
      <c r="A1034" t="s">
        <v>34</v>
      </c>
    </row>
    <row r="1035" spans="1:4" x14ac:dyDescent="0.35">
      <c r="A1035" t="s">
        <v>502</v>
      </c>
      <c r="B1035" t="s">
        <v>54</v>
      </c>
      <c r="C1035" t="s">
        <v>37</v>
      </c>
    </row>
    <row r="1036" spans="1:4" x14ac:dyDescent="0.35">
      <c r="A1036" t="s">
        <v>503</v>
      </c>
    </row>
    <row r="1037" spans="1:4" x14ac:dyDescent="0.35">
      <c r="A1037" t="s">
        <v>117</v>
      </c>
    </row>
    <row r="1038" spans="1:4" x14ac:dyDescent="0.35">
      <c r="A1038" t="s">
        <v>364</v>
      </c>
    </row>
    <row r="1039" spans="1:4" x14ac:dyDescent="0.35">
      <c r="A1039" t="s">
        <v>26</v>
      </c>
    </row>
    <row r="1040" spans="1:4" x14ac:dyDescent="0.35">
      <c r="A1040" t="s">
        <v>76</v>
      </c>
    </row>
    <row r="1041" spans="1:4" x14ac:dyDescent="0.35">
      <c r="A1041" t="s">
        <v>504</v>
      </c>
    </row>
    <row r="1042" spans="1:4" x14ac:dyDescent="0.35">
      <c r="A1042" t="s">
        <v>110</v>
      </c>
      <c r="B1042" t="s">
        <v>36</v>
      </c>
      <c r="C1042" t="s">
        <v>33</v>
      </c>
      <c r="D1042" t="s">
        <v>16</v>
      </c>
    </row>
    <row r="1043" spans="1:4" x14ac:dyDescent="0.35">
      <c r="A1043" t="s">
        <v>474</v>
      </c>
    </row>
    <row r="1044" spans="1:4" x14ac:dyDescent="0.35">
      <c r="A1044" t="s">
        <v>58</v>
      </c>
    </row>
    <row r="1045" spans="1:4" x14ac:dyDescent="0.35">
      <c r="A1045" t="s">
        <v>492</v>
      </c>
    </row>
    <row r="1046" spans="1:4" x14ac:dyDescent="0.35">
      <c r="A1046" t="s">
        <v>186</v>
      </c>
      <c r="B1046" t="s">
        <v>91</v>
      </c>
      <c r="C1046" t="s">
        <v>99</v>
      </c>
      <c r="D1046" t="s">
        <v>16</v>
      </c>
    </row>
    <row r="1047" spans="1:4" x14ac:dyDescent="0.35">
      <c r="A1047" t="s">
        <v>179</v>
      </c>
    </row>
    <row r="1048" spans="1:4" x14ac:dyDescent="0.35">
      <c r="A1048" t="s">
        <v>116</v>
      </c>
    </row>
    <row r="1049" spans="1:4" x14ac:dyDescent="0.35">
      <c r="A1049" t="s">
        <v>76</v>
      </c>
    </row>
    <row r="1050" spans="1:4" x14ac:dyDescent="0.35">
      <c r="A1050" t="s">
        <v>40</v>
      </c>
      <c r="B1050" t="s">
        <v>36</v>
      </c>
      <c r="C1050" t="s">
        <v>33</v>
      </c>
      <c r="D1050" t="s">
        <v>16</v>
      </c>
    </row>
    <row r="1051" spans="1:4" x14ac:dyDescent="0.35">
      <c r="A1051" t="s">
        <v>213</v>
      </c>
    </row>
    <row r="1052" spans="1:4" x14ac:dyDescent="0.35">
      <c r="A1052" t="s">
        <v>176</v>
      </c>
      <c r="B1052" t="s">
        <v>91</v>
      </c>
      <c r="C1052" t="s">
        <v>33</v>
      </c>
      <c r="D1052" t="s">
        <v>16</v>
      </c>
    </row>
    <row r="1053" spans="1:4" x14ac:dyDescent="0.35">
      <c r="A1053" t="s">
        <v>76</v>
      </c>
    </row>
    <row r="1054" spans="1:4" x14ac:dyDescent="0.35">
      <c r="A1054" t="s">
        <v>505</v>
      </c>
    </row>
    <row r="1055" spans="1:4" x14ac:dyDescent="0.35">
      <c r="A1055" t="s">
        <v>58</v>
      </c>
    </row>
    <row r="1056" spans="1:4" x14ac:dyDescent="0.35">
      <c r="A1056" t="s">
        <v>215</v>
      </c>
      <c r="B1056" t="s">
        <v>95</v>
      </c>
      <c r="C1056" t="s">
        <v>99</v>
      </c>
      <c r="D1056" t="s">
        <v>16</v>
      </c>
    </row>
    <row r="1057" spans="1:4" x14ac:dyDescent="0.35">
      <c r="A1057" t="s">
        <v>63</v>
      </c>
    </row>
    <row r="1059" spans="1:4" x14ac:dyDescent="0.35">
      <c r="A1059" t="s">
        <v>506</v>
      </c>
    </row>
    <row r="1060" spans="1:4" x14ac:dyDescent="0.35">
      <c r="A1060" t="s">
        <v>110</v>
      </c>
      <c r="B1060" t="s">
        <v>14</v>
      </c>
      <c r="C1060" t="s">
        <v>33</v>
      </c>
      <c r="D1060" t="s">
        <v>16</v>
      </c>
    </row>
    <row r="1061" spans="1:4" x14ac:dyDescent="0.35">
      <c r="A1061" t="s">
        <v>486</v>
      </c>
    </row>
    <row r="1062" spans="1:4" x14ac:dyDescent="0.35">
      <c r="A1062" t="s">
        <v>85</v>
      </c>
      <c r="B1062" t="s">
        <v>32</v>
      </c>
      <c r="C1062" t="s">
        <v>33</v>
      </c>
      <c r="D1062" t="s">
        <v>16</v>
      </c>
    </row>
    <row r="1063" spans="1:4" x14ac:dyDescent="0.35">
      <c r="A1063" t="s">
        <v>507</v>
      </c>
    </row>
    <row r="1064" spans="1:4" x14ac:dyDescent="0.35">
      <c r="A1064" t="s">
        <v>47</v>
      </c>
      <c r="B1064" t="s">
        <v>24</v>
      </c>
      <c r="C1064" t="s">
        <v>49</v>
      </c>
      <c r="D1064" t="s">
        <v>16</v>
      </c>
    </row>
    <row r="1065" spans="1:4" x14ac:dyDescent="0.35">
      <c r="A1065" t="s">
        <v>508</v>
      </c>
      <c r="B1065" t="s">
        <v>54</v>
      </c>
      <c r="C1065" t="s">
        <v>15</v>
      </c>
      <c r="D1065" t="s">
        <v>16</v>
      </c>
    </row>
    <row r="1066" spans="1:4" x14ac:dyDescent="0.35">
      <c r="A1066" t="s">
        <v>26</v>
      </c>
    </row>
    <row r="1067" spans="1:4" x14ac:dyDescent="0.35">
      <c r="A1067" t="s">
        <v>76</v>
      </c>
    </row>
    <row r="1068" spans="1:4" x14ac:dyDescent="0.35">
      <c r="A1068" t="s">
        <v>110</v>
      </c>
      <c r="B1068" t="s">
        <v>36</v>
      </c>
      <c r="C1068" t="s">
        <v>33</v>
      </c>
      <c r="D1068" t="s">
        <v>16</v>
      </c>
    </row>
    <row r="1069" spans="1:4" x14ac:dyDescent="0.35">
      <c r="A1069" t="s">
        <v>509</v>
      </c>
    </row>
    <row r="1070" spans="1:4" x14ac:dyDescent="0.35">
      <c r="A1070" t="s">
        <v>398</v>
      </c>
    </row>
    <row r="1071" spans="1:4" x14ac:dyDescent="0.35">
      <c r="A1071" t="s">
        <v>177</v>
      </c>
    </row>
    <row r="1072" spans="1:4" x14ac:dyDescent="0.35">
      <c r="A1072" t="s">
        <v>45</v>
      </c>
    </row>
    <row r="1073" spans="1:4" x14ac:dyDescent="0.35">
      <c r="A1073" t="s">
        <v>510</v>
      </c>
    </row>
    <row r="1074" spans="1:4" x14ac:dyDescent="0.35">
      <c r="A1074" t="s">
        <v>259</v>
      </c>
      <c r="B1074" t="s">
        <v>48</v>
      </c>
      <c r="C1074" t="s">
        <v>49</v>
      </c>
      <c r="D1074" t="s">
        <v>16</v>
      </c>
    </row>
    <row r="1075" spans="1:4" x14ac:dyDescent="0.35">
      <c r="A1075" t="s">
        <v>511</v>
      </c>
      <c r="B1075" t="s">
        <v>143</v>
      </c>
      <c r="C1075" t="s">
        <v>15</v>
      </c>
      <c r="D1075" t="s">
        <v>16</v>
      </c>
    </row>
    <row r="1076" spans="1:4" x14ac:dyDescent="0.35">
      <c r="A1076" t="s">
        <v>83</v>
      </c>
    </row>
    <row r="1077" spans="1:4" x14ac:dyDescent="0.35">
      <c r="A1077" t="s">
        <v>292</v>
      </c>
    </row>
    <row r="1078" spans="1:4" x14ac:dyDescent="0.35">
      <c r="A1078" t="s">
        <v>45</v>
      </c>
    </row>
    <row r="1079" spans="1:4" x14ac:dyDescent="0.35">
      <c r="A1079" t="s">
        <v>368</v>
      </c>
    </row>
    <row r="1080" spans="1:4" x14ac:dyDescent="0.35">
      <c r="A1080" t="s">
        <v>405</v>
      </c>
      <c r="B1080" t="s">
        <v>79</v>
      </c>
      <c r="C1080" t="s">
        <v>33</v>
      </c>
      <c r="D1080" t="s">
        <v>16</v>
      </c>
    </row>
    <row r="1081" spans="1:4" x14ac:dyDescent="0.35">
      <c r="A1081" t="s">
        <v>147</v>
      </c>
      <c r="B1081" t="s">
        <v>512</v>
      </c>
      <c r="C1081" t="s">
        <v>148</v>
      </c>
    </row>
    <row r="1082" spans="1:4" x14ac:dyDescent="0.35">
      <c r="A1082" t="s">
        <v>110</v>
      </c>
      <c r="B1082" t="s">
        <v>151</v>
      </c>
      <c r="C1082" t="s">
        <v>33</v>
      </c>
      <c r="D1082" t="s">
        <v>16</v>
      </c>
    </row>
    <row r="1083" spans="1:4" x14ac:dyDescent="0.35">
      <c r="A1083" t="s">
        <v>111</v>
      </c>
    </row>
    <row r="1084" spans="1:4" x14ac:dyDescent="0.35">
      <c r="A1084" t="s">
        <v>513</v>
      </c>
    </row>
    <row r="1085" spans="1:4" x14ac:dyDescent="0.35">
      <c r="A1085" t="s">
        <v>63</v>
      </c>
    </row>
    <row r="1087" spans="1:4" x14ac:dyDescent="0.35">
      <c r="A1087" t="s">
        <v>244</v>
      </c>
    </row>
    <row r="1088" spans="1:4" x14ac:dyDescent="0.35">
      <c r="A1088" t="s">
        <v>514</v>
      </c>
    </row>
    <row r="1089" spans="1:4" x14ac:dyDescent="0.35">
      <c r="A1089" t="s">
        <v>246</v>
      </c>
    </row>
    <row r="1090" spans="1:4" x14ac:dyDescent="0.35">
      <c r="A1090" t="s">
        <v>279</v>
      </c>
      <c r="B1090" t="s">
        <v>14</v>
      </c>
      <c r="C1090" t="s">
        <v>33</v>
      </c>
      <c r="D1090" t="s">
        <v>16</v>
      </c>
    </row>
    <row r="1091" spans="1:4" x14ac:dyDescent="0.35">
      <c r="A1091" t="s">
        <v>515</v>
      </c>
    </row>
    <row r="1092" spans="1:4" x14ac:dyDescent="0.35">
      <c r="A1092" t="s">
        <v>26</v>
      </c>
    </row>
    <row r="1093" spans="1:4" x14ac:dyDescent="0.35">
      <c r="A1093" t="s">
        <v>365</v>
      </c>
      <c r="B1093" t="s">
        <v>54</v>
      </c>
      <c r="C1093" t="s">
        <v>21</v>
      </c>
      <c r="D1093" t="s">
        <v>16</v>
      </c>
    </row>
    <row r="1094" spans="1:4" x14ac:dyDescent="0.35">
      <c r="A1094" t="s">
        <v>26</v>
      </c>
    </row>
    <row r="1095" spans="1:4" x14ac:dyDescent="0.35">
      <c r="A1095" t="s">
        <v>39</v>
      </c>
    </row>
    <row r="1096" spans="1:4" x14ac:dyDescent="0.35">
      <c r="A1096" t="s">
        <v>58</v>
      </c>
    </row>
    <row r="1097" spans="1:4" x14ac:dyDescent="0.35">
      <c r="A1097" t="s">
        <v>516</v>
      </c>
      <c r="B1097" t="s">
        <v>41</v>
      </c>
      <c r="C1097" t="s">
        <v>99</v>
      </c>
      <c r="D1097" t="s">
        <v>16</v>
      </c>
    </row>
    <row r="1098" spans="1:4" x14ac:dyDescent="0.35">
      <c r="A1098" t="s">
        <v>319</v>
      </c>
    </row>
    <row r="1099" spans="1:4" x14ac:dyDescent="0.35">
      <c r="A1099" t="s">
        <v>224</v>
      </c>
    </row>
    <row r="1100" spans="1:4" x14ac:dyDescent="0.35">
      <c r="A1100" t="s">
        <v>495</v>
      </c>
      <c r="B1100" t="s">
        <v>24</v>
      </c>
      <c r="C1100" t="s">
        <v>517</v>
      </c>
      <c r="D1100" t="s">
        <v>16</v>
      </c>
    </row>
    <row r="1101" spans="1:4" x14ac:dyDescent="0.35">
      <c r="A1101" t="s">
        <v>251</v>
      </c>
    </row>
    <row r="1102" spans="1:4" x14ac:dyDescent="0.35">
      <c r="A1102" t="s">
        <v>246</v>
      </c>
    </row>
    <row r="1104" spans="1:4" x14ac:dyDescent="0.35">
      <c r="A1104" t="s">
        <v>518</v>
      </c>
    </row>
    <row r="1105" spans="1:4" x14ac:dyDescent="0.35">
      <c r="A1105" t="s">
        <v>19</v>
      </c>
      <c r="B1105" t="s">
        <v>14</v>
      </c>
      <c r="C1105" t="s">
        <v>108</v>
      </c>
    </row>
    <row r="1106" spans="1:4" x14ac:dyDescent="0.35">
      <c r="A1106" t="s">
        <v>519</v>
      </c>
    </row>
    <row r="1107" spans="1:4" x14ac:dyDescent="0.35">
      <c r="A1107" t="s">
        <v>26</v>
      </c>
    </row>
    <row r="1108" spans="1:4" x14ac:dyDescent="0.35">
      <c r="A1108" t="s">
        <v>161</v>
      </c>
    </row>
    <row r="1109" spans="1:4" x14ac:dyDescent="0.35">
      <c r="A1109" t="s">
        <v>110</v>
      </c>
      <c r="B1109" t="s">
        <v>36</v>
      </c>
      <c r="C1109" t="s">
        <v>33</v>
      </c>
      <c r="D1109" t="s">
        <v>16</v>
      </c>
    </row>
    <row r="1110" spans="1:4" x14ac:dyDescent="0.35">
      <c r="A1110" t="s">
        <v>111</v>
      </c>
    </row>
    <row r="1111" spans="1:4" x14ac:dyDescent="0.35">
      <c r="A1111" t="s">
        <v>520</v>
      </c>
    </row>
    <row r="1112" spans="1:4" x14ac:dyDescent="0.35">
      <c r="A1112" t="s">
        <v>259</v>
      </c>
      <c r="B1112" t="s">
        <v>20</v>
      </c>
      <c r="C1112" t="s">
        <v>49</v>
      </c>
      <c r="D1112" t="s">
        <v>16</v>
      </c>
    </row>
    <row r="1113" spans="1:4" x14ac:dyDescent="0.35">
      <c r="A1113" t="s">
        <v>521</v>
      </c>
      <c r="B1113" t="s">
        <v>91</v>
      </c>
      <c r="C1113" t="s">
        <v>15</v>
      </c>
      <c r="D1113" t="s">
        <v>16</v>
      </c>
    </row>
    <row r="1114" spans="1:4" x14ac:dyDescent="0.35">
      <c r="A1114" t="s">
        <v>63</v>
      </c>
    </row>
    <row r="1116" spans="1:4" x14ac:dyDescent="0.35">
      <c r="A1116" t="s">
        <v>244</v>
      </c>
    </row>
    <row r="1117" spans="1:4" x14ac:dyDescent="0.35">
      <c r="A1117" t="s">
        <v>522</v>
      </c>
    </row>
    <row r="1118" spans="1:4" x14ac:dyDescent="0.35">
      <c r="A1118" t="s">
        <v>246</v>
      </c>
    </row>
    <row r="1119" spans="1:4" x14ac:dyDescent="0.35">
      <c r="A1119" t="s">
        <v>523</v>
      </c>
    </row>
    <row r="1120" spans="1:4" x14ac:dyDescent="0.35">
      <c r="A1120" t="s">
        <v>63</v>
      </c>
    </row>
    <row r="1121" spans="1:4" x14ac:dyDescent="0.35">
      <c r="A1121" t="s">
        <v>246</v>
      </c>
    </row>
    <row r="1122" spans="1:4" x14ac:dyDescent="0.35">
      <c r="A1122" t="s">
        <v>246</v>
      </c>
    </row>
    <row r="1123" spans="1:4" x14ac:dyDescent="0.35">
      <c r="A1123" t="s">
        <v>524</v>
      </c>
    </row>
    <row r="1124" spans="1:4" x14ac:dyDescent="0.35">
      <c r="A1124" t="s">
        <v>525</v>
      </c>
    </row>
    <row r="1125" spans="1:4" x14ac:dyDescent="0.35">
      <c r="A1125" t="s">
        <v>526</v>
      </c>
      <c r="B1125" t="s">
        <v>14</v>
      </c>
      <c r="C1125" t="s">
        <v>33</v>
      </c>
      <c r="D1125" t="s">
        <v>16</v>
      </c>
    </row>
    <row r="1126" spans="1:4" x14ac:dyDescent="0.35">
      <c r="A1126" t="s">
        <v>154</v>
      </c>
    </row>
    <row r="1127" spans="1:4" x14ac:dyDescent="0.35">
      <c r="A1127" t="s">
        <v>26</v>
      </c>
    </row>
    <row r="1128" spans="1:4" x14ac:dyDescent="0.35">
      <c r="A1128" t="s">
        <v>504</v>
      </c>
    </row>
    <row r="1129" spans="1:4" x14ac:dyDescent="0.35">
      <c r="A1129" t="s">
        <v>26</v>
      </c>
    </row>
    <row r="1130" spans="1:4" x14ac:dyDescent="0.35">
      <c r="A1130" t="s">
        <v>527</v>
      </c>
    </row>
    <row r="1131" spans="1:4" x14ac:dyDescent="0.35">
      <c r="A1131" t="s">
        <v>495</v>
      </c>
    </row>
    <row r="1132" spans="1:4" x14ac:dyDescent="0.35">
      <c r="A1132" t="s">
        <v>319</v>
      </c>
    </row>
    <row r="1133" spans="1:4" x14ac:dyDescent="0.35">
      <c r="A1133" t="s">
        <v>67</v>
      </c>
    </row>
    <row r="1134" spans="1:4" x14ac:dyDescent="0.35">
      <c r="A1134" t="s">
        <v>528</v>
      </c>
      <c r="B1134" t="s">
        <v>36</v>
      </c>
      <c r="C1134" t="s">
        <v>339</v>
      </c>
    </row>
    <row r="1135" spans="1:4" x14ac:dyDescent="0.35">
      <c r="A1135" t="s">
        <v>123</v>
      </c>
    </row>
    <row r="1136" spans="1:4" x14ac:dyDescent="0.35">
      <c r="A1136" t="s">
        <v>53</v>
      </c>
    </row>
    <row r="1137" spans="1:4" x14ac:dyDescent="0.35">
      <c r="A1137" t="s">
        <v>54</v>
      </c>
    </row>
    <row r="1138" spans="1:4" x14ac:dyDescent="0.35">
      <c r="A1138" t="s">
        <v>387</v>
      </c>
      <c r="B1138" t="s">
        <v>20</v>
      </c>
      <c r="C1138" t="s">
        <v>37</v>
      </c>
    </row>
    <row r="1139" spans="1:4" x14ac:dyDescent="0.35">
      <c r="A1139" t="s">
        <v>529</v>
      </c>
    </row>
    <row r="1140" spans="1:4" x14ac:dyDescent="0.35">
      <c r="A1140" t="s">
        <v>58</v>
      </c>
    </row>
    <row r="1141" spans="1:4" x14ac:dyDescent="0.35">
      <c r="A1141" t="s">
        <v>377</v>
      </c>
      <c r="B1141" t="s">
        <v>56</v>
      </c>
      <c r="C1141" t="s">
        <v>99</v>
      </c>
      <c r="D1141" t="s">
        <v>16</v>
      </c>
    </row>
    <row r="1142" spans="1:4" x14ac:dyDescent="0.35">
      <c r="A1142" t="s">
        <v>251</v>
      </c>
    </row>
    <row r="1143" spans="1:4" x14ac:dyDescent="0.35">
      <c r="A1143" t="s">
        <v>246</v>
      </c>
    </row>
    <row r="1145" spans="1:4" x14ac:dyDescent="0.35">
      <c r="A1145" t="s">
        <v>244</v>
      </c>
    </row>
    <row r="1146" spans="1:4" x14ac:dyDescent="0.35">
      <c r="A1146" t="s">
        <v>530</v>
      </c>
    </row>
    <row r="1147" spans="1:4" x14ac:dyDescent="0.35">
      <c r="A1147" t="s">
        <v>246</v>
      </c>
    </row>
    <row r="1148" spans="1:4" x14ac:dyDescent="0.35">
      <c r="A1148" t="s">
        <v>110</v>
      </c>
      <c r="B1148" t="s">
        <v>14</v>
      </c>
      <c r="C1148" t="s">
        <v>33</v>
      </c>
      <c r="D1148" t="s">
        <v>16</v>
      </c>
    </row>
    <row r="1149" spans="1:4" x14ac:dyDescent="0.35">
      <c r="A1149" t="s">
        <v>525</v>
      </c>
    </row>
    <row r="1150" spans="1:4" x14ac:dyDescent="0.35">
      <c r="A1150" t="s">
        <v>224</v>
      </c>
    </row>
    <row r="1151" spans="1:4" x14ac:dyDescent="0.35">
      <c r="A1151" t="s">
        <v>375</v>
      </c>
    </row>
    <row r="1152" spans="1:4" x14ac:dyDescent="0.35">
      <c r="A1152" t="s">
        <v>510</v>
      </c>
      <c r="B1152" t="s">
        <v>54</v>
      </c>
      <c r="C1152" t="s">
        <v>148</v>
      </c>
    </row>
    <row r="1153" spans="1:4" x14ac:dyDescent="0.35">
      <c r="A1153" t="s">
        <v>526</v>
      </c>
      <c r="B1153" t="s">
        <v>41</v>
      </c>
      <c r="C1153" t="s">
        <v>33</v>
      </c>
      <c r="D1153" t="s">
        <v>16</v>
      </c>
    </row>
    <row r="1154" spans="1:4" x14ac:dyDescent="0.35">
      <c r="A1154" t="s">
        <v>319</v>
      </c>
    </row>
    <row r="1155" spans="1:4" x14ac:dyDescent="0.35">
      <c r="A1155" t="s">
        <v>63</v>
      </c>
    </row>
    <row r="1156" spans="1:4" x14ac:dyDescent="0.35">
      <c r="A1156" t="s">
        <v>246</v>
      </c>
    </row>
    <row r="1158" spans="1:4" x14ac:dyDescent="0.35">
      <c r="A1158" t="s">
        <v>531</v>
      </c>
    </row>
    <row r="1159" spans="1:4" x14ac:dyDescent="0.35">
      <c r="A1159" t="s">
        <v>110</v>
      </c>
      <c r="B1159" t="s">
        <v>14</v>
      </c>
      <c r="C1159" t="s">
        <v>33</v>
      </c>
      <c r="D1159" t="s">
        <v>16</v>
      </c>
    </row>
    <row r="1160" spans="1:4" x14ac:dyDescent="0.35">
      <c r="A1160" t="s">
        <v>258</v>
      </c>
    </row>
    <row r="1161" spans="1:4" x14ac:dyDescent="0.35">
      <c r="A1161" t="s">
        <v>140</v>
      </c>
    </row>
    <row r="1162" spans="1:4" x14ac:dyDescent="0.35">
      <c r="A1162" t="s">
        <v>39</v>
      </c>
    </row>
    <row r="1163" spans="1:4" x14ac:dyDescent="0.35">
      <c r="A1163" t="s">
        <v>310</v>
      </c>
    </row>
    <row r="1164" spans="1:4" x14ac:dyDescent="0.35">
      <c r="A1164" t="s">
        <v>58</v>
      </c>
    </row>
    <row r="1165" spans="1:4" x14ac:dyDescent="0.35">
      <c r="A1165" t="s">
        <v>126</v>
      </c>
    </row>
    <row r="1166" spans="1:4" x14ac:dyDescent="0.35">
      <c r="A1166" t="s">
        <v>311</v>
      </c>
    </row>
    <row r="1167" spans="1:4" x14ac:dyDescent="0.35">
      <c r="A1167" t="s">
        <v>312</v>
      </c>
      <c r="B1167" t="s">
        <v>36</v>
      </c>
      <c r="C1167" t="s">
        <v>21</v>
      </c>
      <c r="D1167" t="s">
        <v>16</v>
      </c>
    </row>
    <row r="1168" spans="1:4" x14ac:dyDescent="0.35">
      <c r="A1168" t="s">
        <v>495</v>
      </c>
    </row>
    <row r="1169" spans="1:4" x14ac:dyDescent="0.35">
      <c r="A1169" t="s">
        <v>532</v>
      </c>
    </row>
    <row r="1170" spans="1:4" x14ac:dyDescent="0.35">
      <c r="A1170" t="s">
        <v>34</v>
      </c>
    </row>
    <row r="1171" spans="1:4" x14ac:dyDescent="0.35">
      <c r="A1171" t="s">
        <v>533</v>
      </c>
      <c r="B1171" t="s">
        <v>91</v>
      </c>
      <c r="C1171" t="s">
        <v>37</v>
      </c>
    </row>
    <row r="1172" spans="1:4" x14ac:dyDescent="0.35">
      <c r="A1172" t="s">
        <v>26</v>
      </c>
    </row>
    <row r="1173" spans="1:4" x14ac:dyDescent="0.35">
      <c r="A1173" t="s">
        <v>534</v>
      </c>
    </row>
    <row r="1174" spans="1:4" x14ac:dyDescent="0.35">
      <c r="A1174" t="s">
        <v>307</v>
      </c>
      <c r="B1174" t="s">
        <v>20</v>
      </c>
      <c r="C1174" t="s">
        <v>108</v>
      </c>
    </row>
    <row r="1175" spans="1:4" x14ac:dyDescent="0.35">
      <c r="A1175" t="s">
        <v>63</v>
      </c>
    </row>
    <row r="1177" spans="1:4" x14ac:dyDescent="0.35">
      <c r="A1177" t="s">
        <v>535</v>
      </c>
    </row>
    <row r="1178" spans="1:4" x14ac:dyDescent="0.35">
      <c r="A1178" t="s">
        <v>208</v>
      </c>
      <c r="B1178" t="s">
        <v>14</v>
      </c>
      <c r="C1178" t="s">
        <v>33</v>
      </c>
      <c r="D1178" t="s">
        <v>16</v>
      </c>
    </row>
    <row r="1179" spans="1:4" x14ac:dyDescent="0.35">
      <c r="A1179" t="s">
        <v>42</v>
      </c>
    </row>
    <row r="1180" spans="1:4" x14ac:dyDescent="0.35">
      <c r="A1180" t="s">
        <v>536</v>
      </c>
    </row>
    <row r="1181" spans="1:4" x14ac:dyDescent="0.35">
      <c r="A1181" t="s">
        <v>537</v>
      </c>
    </row>
    <row r="1182" spans="1:4" x14ac:dyDescent="0.35">
      <c r="A1182" t="s">
        <v>123</v>
      </c>
    </row>
    <row r="1183" spans="1:4" x14ac:dyDescent="0.35">
      <c r="A1183" t="s">
        <v>136</v>
      </c>
      <c r="B1183" t="s">
        <v>24</v>
      </c>
      <c r="C1183" t="s">
        <v>49</v>
      </c>
      <c r="D1183" t="s">
        <v>16</v>
      </c>
    </row>
    <row r="1184" spans="1:4" x14ac:dyDescent="0.35">
      <c r="A1184" t="s">
        <v>538</v>
      </c>
      <c r="B1184" t="s">
        <v>54</v>
      </c>
      <c r="C1184" t="s">
        <v>15</v>
      </c>
      <c r="D1184" t="s">
        <v>16</v>
      </c>
    </row>
    <row r="1185" spans="1:4" x14ac:dyDescent="0.35">
      <c r="A1185" t="s">
        <v>26</v>
      </c>
    </row>
    <row r="1186" spans="1:4" x14ac:dyDescent="0.35">
      <c r="A1186" t="s">
        <v>76</v>
      </c>
    </row>
    <row r="1187" spans="1:4" x14ac:dyDescent="0.35">
      <c r="A1187" t="s">
        <v>539</v>
      </c>
    </row>
    <row r="1188" spans="1:4" x14ac:dyDescent="0.35">
      <c r="A1188" t="s">
        <v>540</v>
      </c>
      <c r="B1188" t="s">
        <v>91</v>
      </c>
    </row>
    <row r="1189" spans="1:4" x14ac:dyDescent="0.35">
      <c r="A1189" t="s">
        <v>225</v>
      </c>
    </row>
    <row r="1190" spans="1:4" x14ac:dyDescent="0.35">
      <c r="A1190" t="s">
        <v>541</v>
      </c>
    </row>
    <row r="1191" spans="1:4" x14ac:dyDescent="0.35">
      <c r="A1191" t="s">
        <v>34</v>
      </c>
    </row>
    <row r="1192" spans="1:4" x14ac:dyDescent="0.35">
      <c r="A1192" t="s">
        <v>413</v>
      </c>
      <c r="B1192" t="s">
        <v>24</v>
      </c>
      <c r="C1192" t="s">
        <v>37</v>
      </c>
    </row>
    <row r="1193" spans="1:4" x14ac:dyDescent="0.35">
      <c r="A1193" t="s">
        <v>169</v>
      </c>
    </row>
    <row r="1194" spans="1:4" x14ac:dyDescent="0.35">
      <c r="A1194" t="s">
        <v>39</v>
      </c>
    </row>
    <row r="1195" spans="1:4" x14ac:dyDescent="0.35">
      <c r="A1195" t="s">
        <v>171</v>
      </c>
      <c r="B1195" t="s">
        <v>20</v>
      </c>
      <c r="C1195" t="s">
        <v>122</v>
      </c>
      <c r="D1195" t="s">
        <v>16</v>
      </c>
    </row>
    <row r="1196" spans="1:4" x14ac:dyDescent="0.35">
      <c r="A1196" t="s">
        <v>17</v>
      </c>
    </row>
    <row r="1197" spans="1:4" x14ac:dyDescent="0.35">
      <c r="A1197" t="s">
        <v>129</v>
      </c>
      <c r="B1197" t="s">
        <v>56</v>
      </c>
      <c r="C1197" t="s">
        <v>33</v>
      </c>
      <c r="D1197" t="s">
        <v>16</v>
      </c>
    </row>
    <row r="1198" spans="1:4" x14ac:dyDescent="0.35">
      <c r="A1198" t="s">
        <v>26</v>
      </c>
    </row>
    <row r="1199" spans="1:4" x14ac:dyDescent="0.35">
      <c r="A1199" t="s">
        <v>412</v>
      </c>
    </row>
    <row r="1200" spans="1:4" x14ac:dyDescent="0.35">
      <c r="A1200" t="s">
        <v>26</v>
      </c>
    </row>
    <row r="1201" spans="1:4" x14ac:dyDescent="0.35">
      <c r="A1201" t="s">
        <v>115</v>
      </c>
    </row>
    <row r="1202" spans="1:4" x14ac:dyDescent="0.35">
      <c r="A1202" t="s">
        <v>542</v>
      </c>
    </row>
    <row r="1203" spans="1:4" x14ac:dyDescent="0.35">
      <c r="A1203" t="s">
        <v>76</v>
      </c>
    </row>
    <row r="1204" spans="1:4" x14ac:dyDescent="0.35">
      <c r="A1204" t="s">
        <v>543</v>
      </c>
    </row>
    <row r="1205" spans="1:4" x14ac:dyDescent="0.35">
      <c r="A1205" t="s">
        <v>544</v>
      </c>
    </row>
    <row r="1206" spans="1:4" x14ac:dyDescent="0.35">
      <c r="A1206" t="s">
        <v>63</v>
      </c>
    </row>
    <row r="1208" spans="1:4" x14ac:dyDescent="0.35">
      <c r="A1208" t="s">
        <v>545</v>
      </c>
    </row>
    <row r="1209" spans="1:4" x14ac:dyDescent="0.35">
      <c r="A1209" t="s">
        <v>97</v>
      </c>
    </row>
    <row r="1210" spans="1:4" x14ac:dyDescent="0.35">
      <c r="A1210" t="s">
        <v>546</v>
      </c>
    </row>
    <row r="1211" spans="1:4" x14ac:dyDescent="0.35">
      <c r="A1211" t="s">
        <v>547</v>
      </c>
      <c r="B1211" t="s">
        <v>54</v>
      </c>
      <c r="C1211" t="s">
        <v>99</v>
      </c>
      <c r="D1211" t="s">
        <v>16</v>
      </c>
    </row>
    <row r="1212" spans="1:4" x14ac:dyDescent="0.35">
      <c r="A1212" t="s">
        <v>169</v>
      </c>
    </row>
    <row r="1213" spans="1:4" x14ac:dyDescent="0.35">
      <c r="A1213" t="s">
        <v>31</v>
      </c>
      <c r="B1213" t="s">
        <v>54</v>
      </c>
      <c r="C1213" t="s">
        <v>33</v>
      </c>
      <c r="D1213" t="s">
        <v>16</v>
      </c>
    </row>
    <row r="1214" spans="1:4" x14ac:dyDescent="0.35">
      <c r="A1214" t="s">
        <v>26</v>
      </c>
    </row>
    <row r="1215" spans="1:4" x14ac:dyDescent="0.35">
      <c r="A1215" t="s">
        <v>76</v>
      </c>
    </row>
    <row r="1216" spans="1:4" x14ac:dyDescent="0.35">
      <c r="A1216" t="s">
        <v>31</v>
      </c>
      <c r="B1216" t="s">
        <v>36</v>
      </c>
      <c r="C1216" t="s">
        <v>33</v>
      </c>
      <c r="D1216" t="s">
        <v>16</v>
      </c>
    </row>
    <row r="1217" spans="1:4" x14ac:dyDescent="0.35">
      <c r="A1217" t="s">
        <v>451</v>
      </c>
    </row>
    <row r="1218" spans="1:4" x14ac:dyDescent="0.35">
      <c r="A1218" t="s">
        <v>541</v>
      </c>
    </row>
    <row r="1219" spans="1:4" x14ac:dyDescent="0.35">
      <c r="A1219" t="s">
        <v>34</v>
      </c>
    </row>
    <row r="1220" spans="1:4" x14ac:dyDescent="0.35">
      <c r="A1220" t="s">
        <v>126</v>
      </c>
    </row>
    <row r="1221" spans="1:4" x14ac:dyDescent="0.35">
      <c r="A1221" t="s">
        <v>548</v>
      </c>
    </row>
    <row r="1222" spans="1:4" x14ac:dyDescent="0.35">
      <c r="A1222" t="s">
        <v>549</v>
      </c>
    </row>
    <row r="1223" spans="1:4" x14ac:dyDescent="0.35">
      <c r="A1223" t="s">
        <v>262</v>
      </c>
    </row>
    <row r="1224" spans="1:4" x14ac:dyDescent="0.35">
      <c r="A1224" t="s">
        <v>550</v>
      </c>
      <c r="B1224" t="s">
        <v>24</v>
      </c>
      <c r="C1224" t="s">
        <v>37</v>
      </c>
    </row>
    <row r="1225" spans="1:4" x14ac:dyDescent="0.35">
      <c r="A1225" t="s">
        <v>26</v>
      </c>
    </row>
    <row r="1226" spans="1:4" x14ac:dyDescent="0.35">
      <c r="A1226" t="s">
        <v>159</v>
      </c>
    </row>
    <row r="1227" spans="1:4" x14ac:dyDescent="0.35">
      <c r="A1227" t="s">
        <v>58</v>
      </c>
    </row>
    <row r="1228" spans="1:4" x14ac:dyDescent="0.35">
      <c r="A1228" t="s">
        <v>551</v>
      </c>
      <c r="B1228" t="s">
        <v>54</v>
      </c>
      <c r="C1228" t="s">
        <v>99</v>
      </c>
      <c r="D1228" t="s">
        <v>16</v>
      </c>
    </row>
    <row r="1229" spans="1:4" x14ac:dyDescent="0.35">
      <c r="A1229" t="s">
        <v>17</v>
      </c>
    </row>
    <row r="1230" spans="1:4" x14ac:dyDescent="0.35">
      <c r="A1230" t="s">
        <v>58</v>
      </c>
    </row>
    <row r="1231" spans="1:4" x14ac:dyDescent="0.35">
      <c r="A1231" t="s">
        <v>552</v>
      </c>
    </row>
    <row r="1232" spans="1:4" x14ac:dyDescent="0.35">
      <c r="A1232" t="s">
        <v>553</v>
      </c>
      <c r="B1232" t="s">
        <v>24</v>
      </c>
      <c r="C1232" t="s">
        <v>99</v>
      </c>
      <c r="D1232" t="s">
        <v>16</v>
      </c>
    </row>
    <row r="1233" spans="1:4" x14ac:dyDescent="0.35">
      <c r="A1233" t="s">
        <v>105</v>
      </c>
    </row>
    <row r="1234" spans="1:4" x14ac:dyDescent="0.35">
      <c r="A1234" t="s">
        <v>346</v>
      </c>
      <c r="B1234" t="s">
        <v>54</v>
      </c>
      <c r="C1234" t="s">
        <v>108</v>
      </c>
    </row>
    <row r="1235" spans="1:4" x14ac:dyDescent="0.35">
      <c r="A1235" t="s">
        <v>554</v>
      </c>
    </row>
    <row r="1236" spans="1:4" x14ac:dyDescent="0.35">
      <c r="A1236" t="s">
        <v>164</v>
      </c>
    </row>
    <row r="1237" spans="1:4" x14ac:dyDescent="0.35">
      <c r="A1237" t="s">
        <v>555</v>
      </c>
      <c r="B1237" t="s">
        <v>56</v>
      </c>
      <c r="C1237" t="s">
        <v>49</v>
      </c>
      <c r="D1237" t="s">
        <v>16</v>
      </c>
    </row>
    <row r="1238" spans="1:4" x14ac:dyDescent="0.35">
      <c r="A1238" t="s">
        <v>556</v>
      </c>
      <c r="B1238" t="s">
        <v>20</v>
      </c>
      <c r="C1238" t="s">
        <v>15</v>
      </c>
      <c r="D1238" t="s">
        <v>16</v>
      </c>
    </row>
    <row r="1239" spans="1:4" x14ac:dyDescent="0.35">
      <c r="A1239" t="s">
        <v>63</v>
      </c>
    </row>
    <row r="1241" spans="1:4" x14ac:dyDescent="0.35">
      <c r="A1241" t="s">
        <v>557</v>
      </c>
    </row>
    <row r="1242" spans="1:4" x14ac:dyDescent="0.35">
      <c r="A1242" t="s">
        <v>19</v>
      </c>
      <c r="B1242" t="s">
        <v>24</v>
      </c>
      <c r="C1242" t="s">
        <v>21</v>
      </c>
      <c r="D1242" t="s">
        <v>16</v>
      </c>
    </row>
    <row r="1243" spans="1:4" x14ac:dyDescent="0.35">
      <c r="A1243" t="s">
        <v>22</v>
      </c>
    </row>
    <row r="1244" spans="1:4" x14ac:dyDescent="0.35">
      <c r="A1244" t="s">
        <v>558</v>
      </c>
      <c r="B1244" t="s">
        <v>14</v>
      </c>
      <c r="C1244" t="s">
        <v>15</v>
      </c>
      <c r="D1244" t="s">
        <v>16</v>
      </c>
    </row>
    <row r="1245" spans="1:4" x14ac:dyDescent="0.35">
      <c r="A1245" t="s">
        <v>42</v>
      </c>
    </row>
    <row r="1246" spans="1:4" x14ac:dyDescent="0.35">
      <c r="A1246" t="s">
        <v>493</v>
      </c>
    </row>
    <row r="1247" spans="1:4" x14ac:dyDescent="0.35">
      <c r="A1247" t="s">
        <v>439</v>
      </c>
    </row>
    <row r="1248" spans="1:4" x14ac:dyDescent="0.35">
      <c r="A1248" t="s">
        <v>31</v>
      </c>
      <c r="B1248" t="s">
        <v>54</v>
      </c>
      <c r="C1248" t="s">
        <v>33</v>
      </c>
      <c r="D1248" t="s">
        <v>16</v>
      </c>
    </row>
    <row r="1249" spans="1:4" x14ac:dyDescent="0.35">
      <c r="A1249" t="s">
        <v>26</v>
      </c>
    </row>
    <row r="1250" spans="1:4" x14ac:dyDescent="0.35">
      <c r="A1250" t="s">
        <v>76</v>
      </c>
    </row>
    <row r="1251" spans="1:4" x14ac:dyDescent="0.35">
      <c r="A1251" t="s">
        <v>40</v>
      </c>
      <c r="B1251" t="s">
        <v>36</v>
      </c>
      <c r="C1251" t="s">
        <v>33</v>
      </c>
      <c r="D1251" t="s">
        <v>16</v>
      </c>
    </row>
    <row r="1252" spans="1:4" x14ac:dyDescent="0.35">
      <c r="A1252" t="s">
        <v>559</v>
      </c>
    </row>
    <row r="1253" spans="1:4" x14ac:dyDescent="0.35">
      <c r="A1253" t="s">
        <v>560</v>
      </c>
    </row>
    <row r="1254" spans="1:4" x14ac:dyDescent="0.35">
      <c r="A1254" t="s">
        <v>105</v>
      </c>
    </row>
    <row r="1255" spans="1:4" x14ac:dyDescent="0.35">
      <c r="A1255" t="s">
        <v>40</v>
      </c>
      <c r="B1255" t="s">
        <v>41</v>
      </c>
      <c r="C1255" t="s">
        <v>33</v>
      </c>
      <c r="D1255" t="s">
        <v>16</v>
      </c>
    </row>
    <row r="1256" spans="1:4" x14ac:dyDescent="0.35">
      <c r="A1256" t="s">
        <v>406</v>
      </c>
    </row>
    <row r="1257" spans="1:4" x14ac:dyDescent="0.35">
      <c r="A1257" t="s">
        <v>555</v>
      </c>
      <c r="B1257" t="s">
        <v>56</v>
      </c>
      <c r="C1257" t="s">
        <v>49</v>
      </c>
      <c r="D1257" t="s">
        <v>16</v>
      </c>
    </row>
    <row r="1258" spans="1:4" x14ac:dyDescent="0.35">
      <c r="A1258" t="s">
        <v>561</v>
      </c>
    </row>
    <row r="1259" spans="1:4" x14ac:dyDescent="0.35">
      <c r="A1259" t="s">
        <v>562</v>
      </c>
      <c r="B1259" t="s">
        <v>95</v>
      </c>
      <c r="C1259" t="s">
        <v>15</v>
      </c>
      <c r="D1259" t="s">
        <v>16</v>
      </c>
    </row>
    <row r="1260" spans="1:4" x14ac:dyDescent="0.35">
      <c r="A1260" t="s">
        <v>63</v>
      </c>
    </row>
    <row r="1262" spans="1:4" x14ac:dyDescent="0.35">
      <c r="A1262" t="s">
        <v>244</v>
      </c>
    </row>
    <row r="1263" spans="1:4" x14ac:dyDescent="0.35">
      <c r="A1263" t="s">
        <v>563</v>
      </c>
    </row>
    <row r="1264" spans="1:4" x14ac:dyDescent="0.35">
      <c r="A1264" t="s">
        <v>246</v>
      </c>
    </row>
    <row r="1265" spans="1:4" x14ac:dyDescent="0.35">
      <c r="A1265" t="s">
        <v>208</v>
      </c>
      <c r="B1265" t="s">
        <v>14</v>
      </c>
      <c r="C1265" t="s">
        <v>33</v>
      </c>
      <c r="D1265" t="s">
        <v>16</v>
      </c>
    </row>
    <row r="1266" spans="1:4" x14ac:dyDescent="0.35">
      <c r="A1266" t="s">
        <v>22</v>
      </c>
    </row>
    <row r="1267" spans="1:4" x14ac:dyDescent="0.35">
      <c r="A1267" t="s">
        <v>564</v>
      </c>
    </row>
    <row r="1268" spans="1:4" x14ac:dyDescent="0.35">
      <c r="A1268" t="s">
        <v>439</v>
      </c>
    </row>
    <row r="1269" spans="1:4" x14ac:dyDescent="0.35">
      <c r="A1269" t="s">
        <v>129</v>
      </c>
      <c r="B1269" t="s">
        <v>54</v>
      </c>
      <c r="C1269" t="s">
        <v>33</v>
      </c>
      <c r="D1269" t="s">
        <v>16</v>
      </c>
    </row>
    <row r="1270" spans="1:4" x14ac:dyDescent="0.35">
      <c r="A1270" t="s">
        <v>26</v>
      </c>
    </row>
    <row r="1271" spans="1:4" x14ac:dyDescent="0.35">
      <c r="A1271" t="s">
        <v>365</v>
      </c>
      <c r="B1271" t="s">
        <v>24</v>
      </c>
      <c r="C1271" t="s">
        <v>21</v>
      </c>
      <c r="D1271" t="s">
        <v>16</v>
      </c>
    </row>
    <row r="1272" spans="1:4" x14ac:dyDescent="0.35">
      <c r="A1272" t="s">
        <v>63</v>
      </c>
    </row>
    <row r="1273" spans="1:4" x14ac:dyDescent="0.35">
      <c r="A1273" t="s">
        <v>246</v>
      </c>
    </row>
    <row r="1275" spans="1:4" x14ac:dyDescent="0.35">
      <c r="A1275" t="s">
        <v>244</v>
      </c>
    </row>
    <row r="1276" spans="1:4" x14ac:dyDescent="0.35">
      <c r="A1276" t="s">
        <v>565</v>
      </c>
    </row>
    <row r="1277" spans="1:4" x14ac:dyDescent="0.35">
      <c r="A1277" t="s">
        <v>246</v>
      </c>
    </row>
    <row r="1278" spans="1:4" x14ac:dyDescent="0.35">
      <c r="A1278" t="s">
        <v>566</v>
      </c>
    </row>
    <row r="1279" spans="1:4" x14ac:dyDescent="0.35">
      <c r="A1279" t="s">
        <v>39</v>
      </c>
      <c r="B1279" t="s">
        <v>14</v>
      </c>
      <c r="C1279" t="s">
        <v>80</v>
      </c>
      <c r="D1279" t="s">
        <v>16</v>
      </c>
    </row>
    <row r="1280" spans="1:4" x14ac:dyDescent="0.35">
      <c r="A1280" t="s">
        <v>567</v>
      </c>
    </row>
    <row r="1281" spans="1:4" x14ac:dyDescent="0.35">
      <c r="A1281" t="s">
        <v>251</v>
      </c>
    </row>
    <row r="1282" spans="1:4" x14ac:dyDescent="0.35">
      <c r="A1282" t="s">
        <v>246</v>
      </c>
    </row>
    <row r="1284" spans="1:4" x14ac:dyDescent="0.35">
      <c r="A1284" t="s">
        <v>244</v>
      </c>
    </row>
    <row r="1285" spans="1:4" x14ac:dyDescent="0.35">
      <c r="A1285" t="s">
        <v>568</v>
      </c>
    </row>
    <row r="1286" spans="1:4" x14ac:dyDescent="0.35">
      <c r="A1286" t="s">
        <v>246</v>
      </c>
    </row>
    <row r="1287" spans="1:4" x14ac:dyDescent="0.35">
      <c r="A1287" t="s">
        <v>569</v>
      </c>
    </row>
    <row r="1288" spans="1:4" x14ac:dyDescent="0.35">
      <c r="A1288" t="s">
        <v>567</v>
      </c>
    </row>
    <row r="1289" spans="1:4" x14ac:dyDescent="0.35">
      <c r="A1289" t="s">
        <v>26</v>
      </c>
    </row>
    <row r="1290" spans="1:4" x14ac:dyDescent="0.35">
      <c r="A1290" t="s">
        <v>27</v>
      </c>
    </row>
    <row r="1291" spans="1:4" x14ac:dyDescent="0.35">
      <c r="A1291" t="s">
        <v>570</v>
      </c>
    </row>
    <row r="1292" spans="1:4" x14ac:dyDescent="0.35">
      <c r="A1292" t="s">
        <v>28</v>
      </c>
    </row>
    <row r="1293" spans="1:4" x14ac:dyDescent="0.35">
      <c r="A1293" t="s">
        <v>571</v>
      </c>
      <c r="B1293" t="s">
        <v>54</v>
      </c>
      <c r="C1293" t="s">
        <v>572</v>
      </c>
      <c r="D1293" t="s">
        <v>16</v>
      </c>
    </row>
    <row r="1294" spans="1:4" x14ac:dyDescent="0.35">
      <c r="A1294" t="s">
        <v>164</v>
      </c>
    </row>
    <row r="1295" spans="1:4" x14ac:dyDescent="0.35">
      <c r="A1295" t="s">
        <v>573</v>
      </c>
      <c r="B1295" t="s">
        <v>54</v>
      </c>
      <c r="C1295" t="s">
        <v>108</v>
      </c>
    </row>
    <row r="1296" spans="1:4" x14ac:dyDescent="0.35">
      <c r="A1296" t="s">
        <v>73</v>
      </c>
      <c r="B1296" t="s">
        <v>36</v>
      </c>
    </row>
    <row r="1297" spans="1:4" x14ac:dyDescent="0.35">
      <c r="A1297" t="s">
        <v>144</v>
      </c>
    </row>
    <row r="1298" spans="1:4" x14ac:dyDescent="0.35">
      <c r="A1298" t="s">
        <v>258</v>
      </c>
    </row>
    <row r="1299" spans="1:4" x14ac:dyDescent="0.35">
      <c r="A1299" t="s">
        <v>574</v>
      </c>
    </row>
    <row r="1300" spans="1:4" x14ac:dyDescent="0.35">
      <c r="A1300" t="s">
        <v>259</v>
      </c>
      <c r="B1300" t="s">
        <v>20</v>
      </c>
      <c r="C1300" t="s">
        <v>49</v>
      </c>
      <c r="D1300" t="s">
        <v>16</v>
      </c>
    </row>
    <row r="1301" spans="1:4" x14ac:dyDescent="0.35">
      <c r="A1301" t="s">
        <v>51</v>
      </c>
      <c r="B1301" t="s">
        <v>91</v>
      </c>
      <c r="C1301" t="s">
        <v>15</v>
      </c>
      <c r="D1301" t="s">
        <v>16</v>
      </c>
    </row>
    <row r="1302" spans="1:4" x14ac:dyDescent="0.35">
      <c r="A1302" t="s">
        <v>63</v>
      </c>
    </row>
    <row r="1304" spans="1:4" x14ac:dyDescent="0.35">
      <c r="A1304" t="s">
        <v>575</v>
      </c>
    </row>
    <row r="1305" spans="1:4" x14ac:dyDescent="0.35">
      <c r="A1305" t="s">
        <v>501</v>
      </c>
      <c r="B1305" t="s">
        <v>14</v>
      </c>
      <c r="C1305" t="s">
        <v>33</v>
      </c>
      <c r="D1305" t="s">
        <v>16</v>
      </c>
    </row>
    <row r="1306" spans="1:4" x14ac:dyDescent="0.35">
      <c r="A1306" t="s">
        <v>576</v>
      </c>
    </row>
    <row r="1307" spans="1:4" x14ac:dyDescent="0.35">
      <c r="A1307" t="s">
        <v>403</v>
      </c>
    </row>
    <row r="1308" spans="1:4" x14ac:dyDescent="0.35">
      <c r="A1308" t="s">
        <v>154</v>
      </c>
    </row>
    <row r="1309" spans="1:4" x14ac:dyDescent="0.35">
      <c r="A1309" t="s">
        <v>101</v>
      </c>
    </row>
    <row r="1310" spans="1:4" x14ac:dyDescent="0.35">
      <c r="A1310" t="s">
        <v>120</v>
      </c>
    </row>
    <row r="1311" spans="1:4" x14ac:dyDescent="0.35">
      <c r="A1311" t="s">
        <v>26</v>
      </c>
    </row>
    <row r="1312" spans="1:4" x14ac:dyDescent="0.35">
      <c r="A1312" t="s">
        <v>289</v>
      </c>
    </row>
    <row r="1313" spans="1:4" x14ac:dyDescent="0.35">
      <c r="A1313" t="s">
        <v>63</v>
      </c>
    </row>
    <row r="1315" spans="1:4" x14ac:dyDescent="0.35">
      <c r="A1315" t="s">
        <v>577</v>
      </c>
    </row>
    <row r="1316" spans="1:4" x14ac:dyDescent="0.35">
      <c r="A1316" t="s">
        <v>208</v>
      </c>
      <c r="B1316" t="s">
        <v>14</v>
      </c>
      <c r="C1316" t="s">
        <v>33</v>
      </c>
      <c r="D1316" t="s">
        <v>16</v>
      </c>
    </row>
    <row r="1317" spans="1:4" x14ac:dyDescent="0.35">
      <c r="A1317" t="s">
        <v>319</v>
      </c>
    </row>
    <row r="1318" spans="1:4" x14ac:dyDescent="0.35">
      <c r="A1318" t="s">
        <v>578</v>
      </c>
    </row>
    <row r="1319" spans="1:4" x14ac:dyDescent="0.35">
      <c r="A1319" t="s">
        <v>579</v>
      </c>
    </row>
    <row r="1320" spans="1:4" x14ac:dyDescent="0.35">
      <c r="A1320" t="s">
        <v>580</v>
      </c>
      <c r="B1320" t="s">
        <v>54</v>
      </c>
      <c r="C1320" t="s">
        <v>339</v>
      </c>
    </row>
    <row r="1321" spans="1:4" x14ac:dyDescent="0.35">
      <c r="A1321" t="s">
        <v>63</v>
      </c>
    </row>
    <row r="1323" spans="1:4" x14ac:dyDescent="0.35">
      <c r="A1323" t="s">
        <v>244</v>
      </c>
    </row>
    <row r="1324" spans="1:4" x14ac:dyDescent="0.35">
      <c r="A1324" t="s">
        <v>581</v>
      </c>
    </row>
    <row r="1325" spans="1:4" x14ac:dyDescent="0.35">
      <c r="A1325" t="s">
        <v>193</v>
      </c>
      <c r="B1325" t="s">
        <v>24</v>
      </c>
      <c r="C1325" t="s">
        <v>49</v>
      </c>
      <c r="D1325" t="s">
        <v>16</v>
      </c>
    </row>
    <row r="1326" spans="1:4" x14ac:dyDescent="0.35">
      <c r="A1326" t="s">
        <v>582</v>
      </c>
      <c r="B1326" t="s">
        <v>14</v>
      </c>
      <c r="C1326" t="s">
        <v>15</v>
      </c>
      <c r="D1326" t="s">
        <v>16</v>
      </c>
    </row>
    <row r="1327" spans="1:4" x14ac:dyDescent="0.35">
      <c r="A1327" t="s">
        <v>76</v>
      </c>
    </row>
    <row r="1328" spans="1:4" x14ac:dyDescent="0.35">
      <c r="A1328" t="s">
        <v>583</v>
      </c>
    </row>
    <row r="1329" spans="1:4" x14ac:dyDescent="0.35">
      <c r="A1329" t="s">
        <v>47</v>
      </c>
      <c r="B1329" t="s">
        <v>56</v>
      </c>
      <c r="C1329" t="s">
        <v>49</v>
      </c>
      <c r="D1329" t="s">
        <v>16</v>
      </c>
    </row>
    <row r="1330" spans="1:4" x14ac:dyDescent="0.35">
      <c r="A1330" t="s">
        <v>584</v>
      </c>
      <c r="B1330" t="s">
        <v>41</v>
      </c>
      <c r="C1330" t="s">
        <v>15</v>
      </c>
      <c r="D1330" t="s">
        <v>16</v>
      </c>
    </row>
    <row r="1331" spans="1:4" x14ac:dyDescent="0.35">
      <c r="A1331" t="s">
        <v>29</v>
      </c>
    </row>
    <row r="1332" spans="1:4" x14ac:dyDescent="0.35">
      <c r="A1332" t="s">
        <v>585</v>
      </c>
    </row>
    <row r="1333" spans="1:4" x14ac:dyDescent="0.35">
      <c r="A1333" t="s">
        <v>164</v>
      </c>
    </row>
    <row r="1334" spans="1:4" x14ac:dyDescent="0.35">
      <c r="A1334" t="s">
        <v>47</v>
      </c>
      <c r="B1334" t="s">
        <v>143</v>
      </c>
      <c r="C1334" t="s">
        <v>33</v>
      </c>
      <c r="D1334" t="s">
        <v>16</v>
      </c>
    </row>
    <row r="1335" spans="1:4" x14ac:dyDescent="0.35">
      <c r="A1335" t="s">
        <v>586</v>
      </c>
    </row>
    <row r="1336" spans="1:4" x14ac:dyDescent="0.35">
      <c r="A1336" t="s">
        <v>489</v>
      </c>
    </row>
    <row r="1337" spans="1:4" x14ac:dyDescent="0.35">
      <c r="A1337" t="s">
        <v>587</v>
      </c>
    </row>
    <row r="1338" spans="1:4" x14ac:dyDescent="0.35">
      <c r="A1338" t="s">
        <v>58</v>
      </c>
    </row>
    <row r="1339" spans="1:4" x14ac:dyDescent="0.35">
      <c r="A1339" t="s">
        <v>307</v>
      </c>
      <c r="B1339" t="s">
        <v>56</v>
      </c>
      <c r="C1339" t="s">
        <v>99</v>
      </c>
      <c r="D1339" t="s">
        <v>16</v>
      </c>
    </row>
    <row r="1340" spans="1:4" x14ac:dyDescent="0.35">
      <c r="A1340" t="s">
        <v>319</v>
      </c>
    </row>
    <row r="1341" spans="1:4" x14ac:dyDescent="0.35">
      <c r="A1341" t="s">
        <v>310</v>
      </c>
    </row>
    <row r="1342" spans="1:4" x14ac:dyDescent="0.35">
      <c r="A1342" t="s">
        <v>58</v>
      </c>
    </row>
    <row r="1343" spans="1:4" x14ac:dyDescent="0.35">
      <c r="A1343" t="s">
        <v>409</v>
      </c>
      <c r="B1343" t="s">
        <v>54</v>
      </c>
      <c r="C1343" t="s">
        <v>99</v>
      </c>
      <c r="D1343" t="s">
        <v>16</v>
      </c>
    </row>
    <row r="1344" spans="1:4" x14ac:dyDescent="0.35">
      <c r="A1344" t="s">
        <v>63</v>
      </c>
    </row>
    <row r="1345" spans="1:4" x14ac:dyDescent="0.35">
      <c r="A1345" t="s">
        <v>246</v>
      </c>
    </row>
    <row r="1347" spans="1:4" x14ac:dyDescent="0.35">
      <c r="A1347" t="s">
        <v>588</v>
      </c>
    </row>
    <row r="1348" spans="1:4" x14ac:dyDescent="0.35">
      <c r="A1348" t="s">
        <v>97</v>
      </c>
    </row>
    <row r="1349" spans="1:4" x14ac:dyDescent="0.35">
      <c r="A1349" t="s">
        <v>589</v>
      </c>
      <c r="B1349" t="s">
        <v>14</v>
      </c>
      <c r="C1349" t="s">
        <v>99</v>
      </c>
      <c r="D1349" t="s">
        <v>16</v>
      </c>
    </row>
    <row r="1350" spans="1:4" x14ac:dyDescent="0.35">
      <c r="A1350" t="s">
        <v>42</v>
      </c>
    </row>
    <row r="1351" spans="1:4" x14ac:dyDescent="0.35">
      <c r="A1351" t="s">
        <v>590</v>
      </c>
    </row>
    <row r="1352" spans="1:4" x14ac:dyDescent="0.35">
      <c r="A1352" t="s">
        <v>76</v>
      </c>
    </row>
    <row r="1353" spans="1:4" x14ac:dyDescent="0.35">
      <c r="A1353" t="s">
        <v>591</v>
      </c>
    </row>
    <row r="1354" spans="1:4" x14ac:dyDescent="0.35">
      <c r="A1354" t="s">
        <v>326</v>
      </c>
    </row>
    <row r="1355" spans="1:4" x14ac:dyDescent="0.35">
      <c r="A1355" t="s">
        <v>129</v>
      </c>
      <c r="B1355" t="s">
        <v>24</v>
      </c>
      <c r="C1355" t="s">
        <v>33</v>
      </c>
      <c r="D1355" t="s">
        <v>16</v>
      </c>
    </row>
    <row r="1356" spans="1:4" x14ac:dyDescent="0.35">
      <c r="A1356" t="s">
        <v>63</v>
      </c>
    </row>
    <row r="1358" spans="1:4" x14ac:dyDescent="0.35">
      <c r="A1358" t="s">
        <v>592</v>
      </c>
    </row>
    <row r="1359" spans="1:4" x14ac:dyDescent="0.35">
      <c r="A1359" t="s">
        <v>97</v>
      </c>
    </row>
    <row r="1360" spans="1:4" x14ac:dyDescent="0.35">
      <c r="A1360" t="s">
        <v>593</v>
      </c>
    </row>
    <row r="1361" spans="1:4" x14ac:dyDescent="0.35">
      <c r="A1361" t="s">
        <v>547</v>
      </c>
      <c r="B1361" t="s">
        <v>54</v>
      </c>
      <c r="C1361" t="s">
        <v>99</v>
      </c>
      <c r="D1361" t="s">
        <v>16</v>
      </c>
    </row>
    <row r="1362" spans="1:4" x14ac:dyDescent="0.35">
      <c r="A1362" t="s">
        <v>162</v>
      </c>
    </row>
    <row r="1363" spans="1:4" x14ac:dyDescent="0.35">
      <c r="A1363" t="s">
        <v>76</v>
      </c>
    </row>
    <row r="1364" spans="1:4" x14ac:dyDescent="0.35">
      <c r="A1364" t="s">
        <v>594</v>
      </c>
    </row>
    <row r="1365" spans="1:4" x14ac:dyDescent="0.35">
      <c r="A1365" t="s">
        <v>26</v>
      </c>
    </row>
    <row r="1366" spans="1:4" x14ac:dyDescent="0.35">
      <c r="A1366" t="s">
        <v>239</v>
      </c>
    </row>
    <row r="1367" spans="1:4" x14ac:dyDescent="0.35">
      <c r="A1367" t="s">
        <v>34</v>
      </c>
    </row>
    <row r="1368" spans="1:4" x14ac:dyDescent="0.35">
      <c r="A1368" t="s">
        <v>595</v>
      </c>
    </row>
    <row r="1369" spans="1:4" x14ac:dyDescent="0.35">
      <c r="A1369" t="s">
        <v>262</v>
      </c>
    </row>
    <row r="1370" spans="1:4" x14ac:dyDescent="0.35">
      <c r="A1370" t="s">
        <v>546</v>
      </c>
      <c r="B1370" t="s">
        <v>36</v>
      </c>
      <c r="C1370" t="s">
        <v>37</v>
      </c>
    </row>
    <row r="1371" spans="1:4" x14ac:dyDescent="0.35">
      <c r="A1371" t="s">
        <v>596</v>
      </c>
    </row>
    <row r="1372" spans="1:4" x14ac:dyDescent="0.35">
      <c r="A1372" t="s">
        <v>58</v>
      </c>
    </row>
    <row r="1373" spans="1:4" x14ac:dyDescent="0.35">
      <c r="A1373" t="s">
        <v>597</v>
      </c>
    </row>
    <row r="1374" spans="1:4" x14ac:dyDescent="0.35">
      <c r="A1374" t="s">
        <v>220</v>
      </c>
      <c r="B1374" t="s">
        <v>91</v>
      </c>
      <c r="C1374" t="s">
        <v>99</v>
      </c>
      <c r="D1374" t="s">
        <v>16</v>
      </c>
    </row>
    <row r="1375" spans="1:4" x14ac:dyDescent="0.35">
      <c r="A1375" t="s">
        <v>123</v>
      </c>
    </row>
    <row r="1376" spans="1:4" x14ac:dyDescent="0.35">
      <c r="A1376" t="s">
        <v>34</v>
      </c>
    </row>
    <row r="1377" spans="1:4" x14ac:dyDescent="0.35">
      <c r="A1377" t="s">
        <v>598</v>
      </c>
    </row>
    <row r="1378" spans="1:4" x14ac:dyDescent="0.35">
      <c r="A1378" t="s">
        <v>26</v>
      </c>
    </row>
    <row r="1379" spans="1:4" x14ac:dyDescent="0.35">
      <c r="A1379" t="s">
        <v>599</v>
      </c>
    </row>
    <row r="1380" spans="1:4" x14ac:dyDescent="0.35">
      <c r="A1380" t="s">
        <v>528</v>
      </c>
      <c r="B1380" t="s">
        <v>24</v>
      </c>
      <c r="C1380" t="s">
        <v>37</v>
      </c>
    </row>
    <row r="1381" spans="1:4" x14ac:dyDescent="0.35">
      <c r="A1381" t="s">
        <v>63</v>
      </c>
    </row>
    <row r="1383" spans="1:4" x14ac:dyDescent="0.35">
      <c r="A1383" t="s">
        <v>600</v>
      </c>
    </row>
    <row r="1384" spans="1:4" x14ac:dyDescent="0.35">
      <c r="A1384" t="s">
        <v>601</v>
      </c>
    </row>
    <row r="1385" spans="1:4" x14ac:dyDescent="0.35">
      <c r="A1385" t="s">
        <v>129</v>
      </c>
      <c r="B1385" t="s">
        <v>36</v>
      </c>
      <c r="C1385" t="s">
        <v>33</v>
      </c>
      <c r="D1385" t="s">
        <v>16</v>
      </c>
    </row>
    <row r="1386" spans="1:4" x14ac:dyDescent="0.35">
      <c r="A1386" t="s">
        <v>309</v>
      </c>
    </row>
    <row r="1387" spans="1:4" x14ac:dyDescent="0.35">
      <c r="A1387" t="s">
        <v>58</v>
      </c>
    </row>
    <row r="1388" spans="1:4" x14ac:dyDescent="0.35">
      <c r="A1388" t="s">
        <v>166</v>
      </c>
    </row>
    <row r="1389" spans="1:4" x14ac:dyDescent="0.35">
      <c r="A1389" t="s">
        <v>602</v>
      </c>
      <c r="B1389" t="s">
        <v>91</v>
      </c>
      <c r="C1389" t="s">
        <v>99</v>
      </c>
      <c r="D1389" t="s">
        <v>16</v>
      </c>
    </row>
    <row r="1390" spans="1:4" x14ac:dyDescent="0.35">
      <c r="A1390" t="s">
        <v>17</v>
      </c>
    </row>
    <row r="1391" spans="1:4" x14ac:dyDescent="0.35">
      <c r="A1391" t="s">
        <v>58</v>
      </c>
    </row>
    <row r="1392" spans="1:4" x14ac:dyDescent="0.35">
      <c r="A1392" t="s">
        <v>215</v>
      </c>
      <c r="B1392" t="s">
        <v>20</v>
      </c>
      <c r="C1392" t="s">
        <v>99</v>
      </c>
      <c r="D1392" t="s">
        <v>16</v>
      </c>
    </row>
    <row r="1393" spans="1:4" x14ac:dyDescent="0.35">
      <c r="A1393" t="s">
        <v>26</v>
      </c>
    </row>
    <row r="1394" spans="1:4" x14ac:dyDescent="0.35">
      <c r="A1394" t="s">
        <v>31</v>
      </c>
      <c r="B1394" t="s">
        <v>14</v>
      </c>
      <c r="C1394" t="s">
        <v>33</v>
      </c>
      <c r="D1394" t="s">
        <v>16</v>
      </c>
    </row>
    <row r="1395" spans="1:4" x14ac:dyDescent="0.35">
      <c r="A1395" t="s">
        <v>419</v>
      </c>
    </row>
    <row r="1396" spans="1:4" x14ac:dyDescent="0.35">
      <c r="A1396" t="s">
        <v>603</v>
      </c>
    </row>
    <row r="1397" spans="1:4" x14ac:dyDescent="0.35">
      <c r="A1397" t="s">
        <v>604</v>
      </c>
      <c r="B1397" t="s">
        <v>54</v>
      </c>
      <c r="C1397" t="s">
        <v>108</v>
      </c>
    </row>
    <row r="1398" spans="1:4" x14ac:dyDescent="0.35">
      <c r="A1398" t="s">
        <v>76</v>
      </c>
    </row>
    <row r="1399" spans="1:4" x14ac:dyDescent="0.35">
      <c r="A1399" t="s">
        <v>605</v>
      </c>
    </row>
    <row r="1400" spans="1:4" x14ac:dyDescent="0.35">
      <c r="A1400" t="s">
        <v>606</v>
      </c>
      <c r="B1400" t="s">
        <v>54</v>
      </c>
      <c r="C1400" t="s">
        <v>108</v>
      </c>
    </row>
    <row r="1401" spans="1:4" x14ac:dyDescent="0.35">
      <c r="A1401" t="s">
        <v>607</v>
      </c>
    </row>
    <row r="1402" spans="1:4" x14ac:dyDescent="0.35">
      <c r="A1402" t="s">
        <v>608</v>
      </c>
    </row>
    <row r="1403" spans="1:4" x14ac:dyDescent="0.35">
      <c r="A1403" t="s">
        <v>609</v>
      </c>
    </row>
    <row r="1404" spans="1:4" x14ac:dyDescent="0.35">
      <c r="A1404" t="s">
        <v>58</v>
      </c>
    </row>
    <row r="1405" spans="1:4" x14ac:dyDescent="0.35">
      <c r="A1405" t="s">
        <v>610</v>
      </c>
      <c r="B1405" t="s">
        <v>48</v>
      </c>
      <c r="C1405" t="s">
        <v>108</v>
      </c>
    </row>
    <row r="1406" spans="1:4" x14ac:dyDescent="0.35">
      <c r="A1406" t="s">
        <v>262</v>
      </c>
    </row>
    <row r="1407" spans="1:4" x14ac:dyDescent="0.35">
      <c r="A1407" t="s">
        <v>611</v>
      </c>
    </row>
    <row r="1408" spans="1:4" x14ac:dyDescent="0.35">
      <c r="A1408" t="s">
        <v>612</v>
      </c>
      <c r="B1408" t="s">
        <v>20</v>
      </c>
      <c r="C1408" t="s">
        <v>99</v>
      </c>
      <c r="D1408" t="s">
        <v>16</v>
      </c>
    </row>
    <row r="1409" spans="1:4" x14ac:dyDescent="0.35">
      <c r="A1409" t="s">
        <v>63</v>
      </c>
    </row>
    <row r="1411" spans="1:4" x14ac:dyDescent="0.35">
      <c r="A1411" t="s">
        <v>613</v>
      </c>
    </row>
    <row r="1412" spans="1:4" x14ac:dyDescent="0.35">
      <c r="A1412" t="s">
        <v>614</v>
      </c>
    </row>
    <row r="1413" spans="1:4" x14ac:dyDescent="0.35">
      <c r="A1413" t="s">
        <v>615</v>
      </c>
      <c r="B1413" t="s">
        <v>54</v>
      </c>
      <c r="C1413" t="s">
        <v>108</v>
      </c>
    </row>
    <row r="1414" spans="1:4" x14ac:dyDescent="0.35">
      <c r="A1414" t="s">
        <v>17</v>
      </c>
    </row>
    <row r="1415" spans="1:4" x14ac:dyDescent="0.35">
      <c r="A1415" t="s">
        <v>616</v>
      </c>
    </row>
    <row r="1416" spans="1:4" x14ac:dyDescent="0.35">
      <c r="A1416" t="s">
        <v>528</v>
      </c>
      <c r="B1416" t="s">
        <v>54</v>
      </c>
      <c r="C1416" t="s">
        <v>108</v>
      </c>
    </row>
    <row r="1417" spans="1:4" x14ac:dyDescent="0.35">
      <c r="A1417" t="s">
        <v>69</v>
      </c>
    </row>
    <row r="1418" spans="1:4" x14ac:dyDescent="0.35">
      <c r="A1418" t="s">
        <v>58</v>
      </c>
    </row>
    <row r="1419" spans="1:4" x14ac:dyDescent="0.35">
      <c r="A1419" t="s">
        <v>617</v>
      </c>
    </row>
    <row r="1420" spans="1:4" x14ac:dyDescent="0.35">
      <c r="A1420" t="s">
        <v>373</v>
      </c>
      <c r="B1420" t="s">
        <v>54</v>
      </c>
      <c r="C1420" t="s">
        <v>99</v>
      </c>
      <c r="D1420" t="s">
        <v>16</v>
      </c>
    </row>
    <row r="1421" spans="1:4" x14ac:dyDescent="0.35">
      <c r="A1421" t="s">
        <v>618</v>
      </c>
    </row>
    <row r="1422" spans="1:4" x14ac:dyDescent="0.35">
      <c r="A1422" t="s">
        <v>458</v>
      </c>
    </row>
    <row r="1423" spans="1:4" x14ac:dyDescent="0.35">
      <c r="A1423" t="s">
        <v>58</v>
      </c>
    </row>
    <row r="1424" spans="1:4" x14ac:dyDescent="0.35">
      <c r="A1424" t="s">
        <v>416</v>
      </c>
      <c r="B1424" t="s">
        <v>20</v>
      </c>
      <c r="C1424" t="s">
        <v>99</v>
      </c>
      <c r="D1424" t="s">
        <v>16</v>
      </c>
    </row>
    <row r="1425" spans="1:4" x14ac:dyDescent="0.35">
      <c r="A1425" t="s">
        <v>76</v>
      </c>
    </row>
    <row r="1426" spans="1:4" x14ac:dyDescent="0.35">
      <c r="A1426" t="s">
        <v>58</v>
      </c>
    </row>
    <row r="1427" spans="1:4" x14ac:dyDescent="0.35">
      <c r="A1427" t="s">
        <v>178</v>
      </c>
      <c r="B1427" t="s">
        <v>54</v>
      </c>
      <c r="C1427" t="s">
        <v>99</v>
      </c>
      <c r="D1427" t="s">
        <v>16</v>
      </c>
    </row>
    <row r="1428" spans="1:4" x14ac:dyDescent="0.35">
      <c r="A1428" t="s">
        <v>63</v>
      </c>
    </row>
    <row r="1430" spans="1:4" x14ac:dyDescent="0.35">
      <c r="A1430" t="s">
        <v>619</v>
      </c>
    </row>
    <row r="1431" spans="1:4" x14ac:dyDescent="0.35">
      <c r="A1431" t="s">
        <v>13</v>
      </c>
      <c r="B1431" t="s">
        <v>14</v>
      </c>
      <c r="C1431" t="s">
        <v>15</v>
      </c>
      <c r="D1431" t="s">
        <v>16</v>
      </c>
    </row>
    <row r="1432" spans="1:4" x14ac:dyDescent="0.35">
      <c r="A1432" t="s">
        <v>17</v>
      </c>
    </row>
    <row r="1433" spans="1:4" x14ac:dyDescent="0.35">
      <c r="A1433" t="s">
        <v>405</v>
      </c>
      <c r="B1433" t="s">
        <v>24</v>
      </c>
      <c r="C1433" t="s">
        <v>33</v>
      </c>
      <c r="D1433" t="s">
        <v>16</v>
      </c>
    </row>
    <row r="1434" spans="1:4" x14ac:dyDescent="0.35">
      <c r="A1434" t="s">
        <v>42</v>
      </c>
    </row>
    <row r="1435" spans="1:4" x14ac:dyDescent="0.35">
      <c r="A1435" t="s">
        <v>620</v>
      </c>
    </row>
    <row r="1436" spans="1:4" x14ac:dyDescent="0.35">
      <c r="A1436" t="s">
        <v>621</v>
      </c>
    </row>
    <row r="1437" spans="1:4" x14ac:dyDescent="0.35">
      <c r="A1437" t="s">
        <v>233</v>
      </c>
    </row>
    <row r="1438" spans="1:4" x14ac:dyDescent="0.35">
      <c r="A1438" t="s">
        <v>63</v>
      </c>
    </row>
    <row r="1440" spans="1:4" x14ac:dyDescent="0.35">
      <c r="A1440" t="s">
        <v>622</v>
      </c>
    </row>
    <row r="1441" spans="1:4" x14ac:dyDescent="0.35">
      <c r="A1441" t="s">
        <v>97</v>
      </c>
    </row>
    <row r="1442" spans="1:4" x14ac:dyDescent="0.35">
      <c r="A1442" t="s">
        <v>623</v>
      </c>
      <c r="B1442" t="s">
        <v>14</v>
      </c>
      <c r="C1442" t="s">
        <v>99</v>
      </c>
      <c r="D1442" t="s">
        <v>16</v>
      </c>
    </row>
    <row r="1443" spans="1:4" x14ac:dyDescent="0.35">
      <c r="A1443" t="s">
        <v>111</v>
      </c>
    </row>
    <row r="1444" spans="1:4" x14ac:dyDescent="0.35">
      <c r="A1444" t="s">
        <v>466</v>
      </c>
    </row>
    <row r="1445" spans="1:4" x14ac:dyDescent="0.35">
      <c r="A1445" t="s">
        <v>58</v>
      </c>
    </row>
    <row r="1446" spans="1:4" x14ac:dyDescent="0.35">
      <c r="A1446" t="s">
        <v>377</v>
      </c>
      <c r="B1446" t="s">
        <v>32</v>
      </c>
      <c r="C1446" t="s">
        <v>99</v>
      </c>
      <c r="D1446" t="s">
        <v>16</v>
      </c>
    </row>
    <row r="1447" spans="1:4" x14ac:dyDescent="0.35">
      <c r="A1447" t="s">
        <v>63</v>
      </c>
    </row>
    <row r="1449" spans="1:4" x14ac:dyDescent="0.35">
      <c r="A1449" t="s">
        <v>624</v>
      </c>
    </row>
    <row r="1450" spans="1:4" x14ac:dyDescent="0.35">
      <c r="A1450" t="s">
        <v>430</v>
      </c>
    </row>
    <row r="1451" spans="1:4" x14ac:dyDescent="0.35">
      <c r="A1451" t="s">
        <v>145</v>
      </c>
    </row>
    <row r="1452" spans="1:4" x14ac:dyDescent="0.35">
      <c r="A1452" t="s">
        <v>625</v>
      </c>
    </row>
    <row r="1453" spans="1:4" x14ac:dyDescent="0.35">
      <c r="A1453" t="s">
        <v>58</v>
      </c>
    </row>
    <row r="1454" spans="1:4" x14ac:dyDescent="0.35">
      <c r="A1454" t="s">
        <v>626</v>
      </c>
      <c r="B1454" t="s">
        <v>32</v>
      </c>
      <c r="C1454" t="s">
        <v>99</v>
      </c>
      <c r="D1454" t="s">
        <v>16</v>
      </c>
    </row>
    <row r="1455" spans="1:4" x14ac:dyDescent="0.35">
      <c r="A1455" t="s">
        <v>123</v>
      </c>
    </row>
    <row r="1456" spans="1:4" x14ac:dyDescent="0.35">
      <c r="A1456" t="s">
        <v>58</v>
      </c>
    </row>
    <row r="1457" spans="1:4" x14ac:dyDescent="0.35">
      <c r="A1457" t="s">
        <v>386</v>
      </c>
    </row>
    <row r="1458" spans="1:4" x14ac:dyDescent="0.35">
      <c r="A1458" t="s">
        <v>262</v>
      </c>
    </row>
    <row r="1459" spans="1:4" x14ac:dyDescent="0.35">
      <c r="A1459" t="s">
        <v>387</v>
      </c>
      <c r="B1459" t="s">
        <v>54</v>
      </c>
      <c r="C1459" t="s">
        <v>99</v>
      </c>
      <c r="D1459" t="s">
        <v>16</v>
      </c>
    </row>
    <row r="1460" spans="1:4" x14ac:dyDescent="0.35">
      <c r="A1460" t="s">
        <v>510</v>
      </c>
    </row>
    <row r="1461" spans="1:4" x14ac:dyDescent="0.35">
      <c r="A1461" t="s">
        <v>58</v>
      </c>
    </row>
    <row r="1462" spans="1:4" x14ac:dyDescent="0.35">
      <c r="A1462" t="s">
        <v>336</v>
      </c>
    </row>
    <row r="1463" spans="1:4" x14ac:dyDescent="0.35">
      <c r="A1463" t="s">
        <v>431</v>
      </c>
      <c r="B1463" t="s">
        <v>41</v>
      </c>
      <c r="C1463" t="s">
        <v>381</v>
      </c>
      <c r="D1463" t="s">
        <v>16</v>
      </c>
    </row>
    <row r="1464" spans="1:4" x14ac:dyDescent="0.35">
      <c r="A1464" t="s">
        <v>26</v>
      </c>
    </row>
    <row r="1465" spans="1:4" x14ac:dyDescent="0.35">
      <c r="A1465" t="s">
        <v>58</v>
      </c>
    </row>
    <row r="1466" spans="1:4" x14ac:dyDescent="0.35">
      <c r="A1466" t="s">
        <v>627</v>
      </c>
    </row>
    <row r="1467" spans="1:4" x14ac:dyDescent="0.35">
      <c r="A1467" t="s">
        <v>628</v>
      </c>
      <c r="B1467" t="s">
        <v>56</v>
      </c>
      <c r="C1467" t="s">
        <v>99</v>
      </c>
      <c r="D1467" t="s">
        <v>16</v>
      </c>
    </row>
    <row r="1468" spans="1:4" x14ac:dyDescent="0.35">
      <c r="A1468" t="s">
        <v>76</v>
      </c>
    </row>
    <row r="1469" spans="1:4" x14ac:dyDescent="0.35">
      <c r="A1469" t="s">
        <v>58</v>
      </c>
    </row>
    <row r="1470" spans="1:4" x14ac:dyDescent="0.35">
      <c r="A1470" t="s">
        <v>629</v>
      </c>
    </row>
    <row r="1471" spans="1:4" x14ac:dyDescent="0.35">
      <c r="A1471" t="s">
        <v>508</v>
      </c>
      <c r="B1471" t="s">
        <v>48</v>
      </c>
      <c r="C1471" t="s">
        <v>99</v>
      </c>
      <c r="D1471" t="s">
        <v>16</v>
      </c>
    </row>
    <row r="1472" spans="1:4" x14ac:dyDescent="0.35">
      <c r="A1472" t="s">
        <v>26</v>
      </c>
    </row>
    <row r="1473" spans="1:4" x14ac:dyDescent="0.35">
      <c r="A1473" t="s">
        <v>630</v>
      </c>
    </row>
    <row r="1474" spans="1:4" x14ac:dyDescent="0.35">
      <c r="A1474" t="s">
        <v>631</v>
      </c>
    </row>
    <row r="1475" spans="1:4" x14ac:dyDescent="0.35">
      <c r="A1475" t="s">
        <v>310</v>
      </c>
    </row>
    <row r="1476" spans="1:4" x14ac:dyDescent="0.35">
      <c r="A1476" t="s">
        <v>60</v>
      </c>
      <c r="B1476" t="s">
        <v>56</v>
      </c>
      <c r="C1476" t="s">
        <v>49</v>
      </c>
      <c r="D1476" t="s">
        <v>16</v>
      </c>
    </row>
    <row r="1477" spans="1:4" x14ac:dyDescent="0.35">
      <c r="A1477" t="s">
        <v>444</v>
      </c>
      <c r="B1477" t="s">
        <v>20</v>
      </c>
      <c r="C1477" t="s">
        <v>15</v>
      </c>
      <c r="D1477" t="s">
        <v>16</v>
      </c>
    </row>
    <row r="1478" spans="1:4" x14ac:dyDescent="0.35">
      <c r="A1478" t="s">
        <v>63</v>
      </c>
    </row>
    <row r="1480" spans="1:4" x14ac:dyDescent="0.35">
      <c r="A1480" t="s">
        <v>632</v>
      </c>
    </row>
    <row r="1481" spans="1:4" x14ac:dyDescent="0.35">
      <c r="A1481" t="s">
        <v>182</v>
      </c>
    </row>
    <row r="1482" spans="1:4" x14ac:dyDescent="0.35">
      <c r="A1482" t="s">
        <v>502</v>
      </c>
      <c r="B1482" t="s">
        <v>54</v>
      </c>
      <c r="C1482" t="s">
        <v>172</v>
      </c>
    </row>
    <row r="1483" spans="1:4" x14ac:dyDescent="0.35">
      <c r="A1483" t="s">
        <v>39</v>
      </c>
    </row>
    <row r="1484" spans="1:4" x14ac:dyDescent="0.35">
      <c r="A1484" t="s">
        <v>534</v>
      </c>
    </row>
    <row r="1485" spans="1:4" x14ac:dyDescent="0.35">
      <c r="A1485" t="s">
        <v>633</v>
      </c>
    </row>
    <row r="1486" spans="1:4" x14ac:dyDescent="0.35">
      <c r="A1486" t="s">
        <v>634</v>
      </c>
      <c r="B1486" t="s">
        <v>36</v>
      </c>
      <c r="C1486" t="s">
        <v>108</v>
      </c>
    </row>
    <row r="1487" spans="1:4" x14ac:dyDescent="0.35">
      <c r="A1487" t="s">
        <v>73</v>
      </c>
      <c r="B1487" t="s">
        <v>143</v>
      </c>
    </row>
    <row r="1488" spans="1:4" x14ac:dyDescent="0.35">
      <c r="A1488" t="s">
        <v>635</v>
      </c>
    </row>
    <row r="1489" spans="1:4" x14ac:dyDescent="0.35">
      <c r="A1489" t="s">
        <v>28</v>
      </c>
    </row>
    <row r="1490" spans="1:4" x14ac:dyDescent="0.35">
      <c r="A1490" t="s">
        <v>595</v>
      </c>
      <c r="B1490" t="s">
        <v>52</v>
      </c>
      <c r="C1490" t="s">
        <v>339</v>
      </c>
    </row>
    <row r="1491" spans="1:4" x14ac:dyDescent="0.35">
      <c r="A1491" t="s">
        <v>17</v>
      </c>
    </row>
    <row r="1492" spans="1:4" x14ac:dyDescent="0.35">
      <c r="A1492" t="s">
        <v>58</v>
      </c>
    </row>
    <row r="1493" spans="1:4" x14ac:dyDescent="0.35">
      <c r="A1493" t="s">
        <v>178</v>
      </c>
      <c r="B1493" t="s">
        <v>48</v>
      </c>
      <c r="C1493" t="s">
        <v>99</v>
      </c>
      <c r="D1493" t="s">
        <v>16</v>
      </c>
    </row>
    <row r="1494" spans="1:4" x14ac:dyDescent="0.35">
      <c r="A1494" t="s">
        <v>42</v>
      </c>
    </row>
    <row r="1495" spans="1:4" x14ac:dyDescent="0.35">
      <c r="A1495" t="s">
        <v>536</v>
      </c>
    </row>
    <row r="1496" spans="1:4" x14ac:dyDescent="0.35">
      <c r="A1496" t="s">
        <v>636</v>
      </c>
    </row>
    <row r="1497" spans="1:4" x14ac:dyDescent="0.35">
      <c r="A1497" t="s">
        <v>76</v>
      </c>
    </row>
    <row r="1498" spans="1:4" x14ac:dyDescent="0.35">
      <c r="A1498" t="s">
        <v>636</v>
      </c>
    </row>
    <row r="1499" spans="1:4" x14ac:dyDescent="0.35">
      <c r="A1499" t="s">
        <v>45</v>
      </c>
    </row>
    <row r="1500" spans="1:4" x14ac:dyDescent="0.35">
      <c r="A1500" t="s">
        <v>58</v>
      </c>
    </row>
    <row r="1501" spans="1:4" x14ac:dyDescent="0.35">
      <c r="A1501" t="s">
        <v>215</v>
      </c>
      <c r="B1501" t="s">
        <v>24</v>
      </c>
      <c r="C1501" t="s">
        <v>99</v>
      </c>
      <c r="D1501" t="s">
        <v>16</v>
      </c>
    </row>
    <row r="1502" spans="1:4" x14ac:dyDescent="0.35">
      <c r="A1502" t="s">
        <v>63</v>
      </c>
    </row>
    <row r="1504" spans="1:4" x14ac:dyDescent="0.35">
      <c r="A1504" t="s">
        <v>637</v>
      </c>
    </row>
    <row r="1505" spans="1:4" x14ac:dyDescent="0.35">
      <c r="A1505" t="s">
        <v>638</v>
      </c>
    </row>
    <row r="1506" spans="1:4" x14ac:dyDescent="0.35">
      <c r="A1506" t="s">
        <v>58</v>
      </c>
    </row>
    <row r="1507" spans="1:4" x14ac:dyDescent="0.35">
      <c r="A1507" t="s">
        <v>639</v>
      </c>
    </row>
    <row r="1508" spans="1:4" x14ac:dyDescent="0.35">
      <c r="A1508" t="s">
        <v>640</v>
      </c>
    </row>
    <row r="1509" spans="1:4" x14ac:dyDescent="0.35">
      <c r="A1509" t="s">
        <v>641</v>
      </c>
      <c r="B1509" t="s">
        <v>14</v>
      </c>
      <c r="C1509" t="s">
        <v>15</v>
      </c>
      <c r="D1509" t="s">
        <v>16</v>
      </c>
    </row>
    <row r="1510" spans="1:4" x14ac:dyDescent="0.35">
      <c r="A1510" t="s">
        <v>17</v>
      </c>
    </row>
    <row r="1511" spans="1:4" x14ac:dyDescent="0.35">
      <c r="A1511" t="s">
        <v>31</v>
      </c>
      <c r="B1511" t="s">
        <v>24</v>
      </c>
      <c r="C1511" t="s">
        <v>33</v>
      </c>
      <c r="D1511" t="s">
        <v>16</v>
      </c>
    </row>
    <row r="1512" spans="1:4" x14ac:dyDescent="0.35">
      <c r="A1512" t="s">
        <v>83</v>
      </c>
    </row>
    <row r="1513" spans="1:4" x14ac:dyDescent="0.35">
      <c r="A1513" t="s">
        <v>642</v>
      </c>
    </row>
    <row r="1514" spans="1:4" x14ac:dyDescent="0.35">
      <c r="A1514" t="s">
        <v>458</v>
      </c>
    </row>
    <row r="1515" spans="1:4" x14ac:dyDescent="0.35">
      <c r="A1515" t="s">
        <v>58</v>
      </c>
    </row>
    <row r="1516" spans="1:4" x14ac:dyDescent="0.35">
      <c r="A1516" t="s">
        <v>616</v>
      </c>
    </row>
    <row r="1517" spans="1:4" x14ac:dyDescent="0.35">
      <c r="A1517" t="s">
        <v>643</v>
      </c>
      <c r="B1517" t="s">
        <v>54</v>
      </c>
      <c r="C1517" t="s">
        <v>99</v>
      </c>
      <c r="D1517" t="s">
        <v>16</v>
      </c>
    </row>
    <row r="1518" spans="1:4" x14ac:dyDescent="0.35">
      <c r="A1518" t="s">
        <v>17</v>
      </c>
    </row>
    <row r="1519" spans="1:4" x14ac:dyDescent="0.35">
      <c r="A1519" t="s">
        <v>58</v>
      </c>
    </row>
    <row r="1520" spans="1:4" x14ac:dyDescent="0.35">
      <c r="A1520" t="s">
        <v>644</v>
      </c>
    </row>
    <row r="1521" spans="1:4" x14ac:dyDescent="0.35">
      <c r="A1521" t="s">
        <v>428</v>
      </c>
      <c r="B1521" t="s">
        <v>24</v>
      </c>
      <c r="C1521" t="s">
        <v>99</v>
      </c>
      <c r="D1521" t="s">
        <v>16</v>
      </c>
    </row>
    <row r="1522" spans="1:4" x14ac:dyDescent="0.35">
      <c r="A1522" t="s">
        <v>63</v>
      </c>
    </row>
    <row r="1524" spans="1:4" x14ac:dyDescent="0.35">
      <c r="A1524" t="s">
        <v>645</v>
      </c>
    </row>
    <row r="1525" spans="1:4" x14ac:dyDescent="0.35">
      <c r="A1525" t="s">
        <v>97</v>
      </c>
    </row>
    <row r="1526" spans="1:4" x14ac:dyDescent="0.35">
      <c r="A1526" t="s">
        <v>646</v>
      </c>
    </row>
    <row r="1527" spans="1:4" x14ac:dyDescent="0.35">
      <c r="A1527" t="s">
        <v>413</v>
      </c>
      <c r="B1527" t="s">
        <v>14</v>
      </c>
      <c r="C1527" t="s">
        <v>99</v>
      </c>
      <c r="D1527" t="s">
        <v>16</v>
      </c>
    </row>
    <row r="1528" spans="1:4" x14ac:dyDescent="0.35">
      <c r="A1528" t="s">
        <v>17</v>
      </c>
    </row>
    <row r="1529" spans="1:4" x14ac:dyDescent="0.35">
      <c r="A1529" t="s">
        <v>58</v>
      </c>
    </row>
    <row r="1530" spans="1:4" x14ac:dyDescent="0.35">
      <c r="A1530" t="s">
        <v>416</v>
      </c>
      <c r="B1530" t="s">
        <v>24</v>
      </c>
      <c r="C1530" t="s">
        <v>99</v>
      </c>
      <c r="D1530" t="s">
        <v>16</v>
      </c>
    </row>
    <row r="1531" spans="1:4" x14ac:dyDescent="0.35">
      <c r="A1531" t="s">
        <v>42</v>
      </c>
    </row>
    <row r="1532" spans="1:4" x14ac:dyDescent="0.35">
      <c r="A1532" t="s">
        <v>578</v>
      </c>
    </row>
    <row r="1533" spans="1:4" x14ac:dyDescent="0.35">
      <c r="A1533" t="s">
        <v>647</v>
      </c>
    </row>
    <row r="1534" spans="1:4" x14ac:dyDescent="0.35">
      <c r="A1534" t="s">
        <v>26</v>
      </c>
    </row>
    <row r="1535" spans="1:4" x14ac:dyDescent="0.35">
      <c r="A1535" t="s">
        <v>76</v>
      </c>
    </row>
    <row r="1536" spans="1:4" x14ac:dyDescent="0.35">
      <c r="A1536" t="s">
        <v>58</v>
      </c>
    </row>
    <row r="1537" spans="1:4" x14ac:dyDescent="0.35">
      <c r="A1537" t="s">
        <v>648</v>
      </c>
      <c r="B1537" t="s">
        <v>36</v>
      </c>
      <c r="C1537" t="s">
        <v>99</v>
      </c>
      <c r="D1537" t="s">
        <v>16</v>
      </c>
    </row>
    <row r="1538" spans="1:4" x14ac:dyDescent="0.35">
      <c r="A1538" t="s">
        <v>83</v>
      </c>
    </row>
    <row r="1539" spans="1:4" x14ac:dyDescent="0.35">
      <c r="A1539" t="s">
        <v>649</v>
      </c>
    </row>
    <row r="1540" spans="1:4" x14ac:dyDescent="0.35">
      <c r="A1540" t="s">
        <v>489</v>
      </c>
    </row>
    <row r="1541" spans="1:4" x14ac:dyDescent="0.35">
      <c r="A1541" t="s">
        <v>17</v>
      </c>
    </row>
    <row r="1542" spans="1:4" x14ac:dyDescent="0.35">
      <c r="A1542" t="s">
        <v>34</v>
      </c>
    </row>
    <row r="1543" spans="1:4" x14ac:dyDescent="0.35">
      <c r="A1543" t="s">
        <v>650</v>
      </c>
      <c r="B1543" t="s">
        <v>24</v>
      </c>
      <c r="C1543" t="s">
        <v>37</v>
      </c>
    </row>
    <row r="1544" spans="1:4" x14ac:dyDescent="0.35">
      <c r="A1544" t="s">
        <v>17</v>
      </c>
    </row>
    <row r="1545" spans="1:4" x14ac:dyDescent="0.35">
      <c r="A1545" t="s">
        <v>534</v>
      </c>
    </row>
    <row r="1546" spans="1:4" x14ac:dyDescent="0.35">
      <c r="A1546" t="s">
        <v>651</v>
      </c>
      <c r="B1546" t="s">
        <v>20</v>
      </c>
      <c r="C1546" t="s">
        <v>108</v>
      </c>
    </row>
    <row r="1547" spans="1:4" x14ac:dyDescent="0.35">
      <c r="A1547" t="s">
        <v>63</v>
      </c>
    </row>
    <row r="1549" spans="1:4" x14ac:dyDescent="0.35">
      <c r="A1549" t="s">
        <v>652</v>
      </c>
    </row>
    <row r="1550" spans="1:4" x14ac:dyDescent="0.35">
      <c r="A1550" t="s">
        <v>257</v>
      </c>
    </row>
    <row r="1551" spans="1:4" x14ac:dyDescent="0.35">
      <c r="A1551" t="s">
        <v>133</v>
      </c>
      <c r="B1551" t="s">
        <v>36</v>
      </c>
      <c r="C1551" t="s">
        <v>33</v>
      </c>
      <c r="D1551" t="s">
        <v>16</v>
      </c>
    </row>
    <row r="1552" spans="1:4" x14ac:dyDescent="0.35">
      <c r="A1552" t="s">
        <v>406</v>
      </c>
    </row>
    <row r="1553" spans="1:4" x14ac:dyDescent="0.35">
      <c r="A1553" t="s">
        <v>31</v>
      </c>
      <c r="B1553" t="s">
        <v>91</v>
      </c>
      <c r="C1553" t="s">
        <v>33</v>
      </c>
      <c r="D1553" t="s">
        <v>16</v>
      </c>
    </row>
    <row r="1554" spans="1:4" x14ac:dyDescent="0.35">
      <c r="A1554" t="s">
        <v>58</v>
      </c>
    </row>
    <row r="1555" spans="1:4" x14ac:dyDescent="0.35">
      <c r="A1555" t="s">
        <v>307</v>
      </c>
    </row>
    <row r="1556" spans="1:4" x14ac:dyDescent="0.35">
      <c r="A1556" t="s">
        <v>262</v>
      </c>
    </row>
    <row r="1557" spans="1:4" x14ac:dyDescent="0.35">
      <c r="A1557" t="s">
        <v>653</v>
      </c>
      <c r="B1557" t="s">
        <v>14</v>
      </c>
      <c r="C1557" t="s">
        <v>99</v>
      </c>
      <c r="D1557" t="s">
        <v>16</v>
      </c>
    </row>
    <row r="1558" spans="1:4" x14ac:dyDescent="0.35">
      <c r="A1558" t="s">
        <v>66</v>
      </c>
    </row>
    <row r="1559" spans="1:4" x14ac:dyDescent="0.35">
      <c r="A1559" t="s">
        <v>654</v>
      </c>
    </row>
    <row r="1560" spans="1:4" x14ac:dyDescent="0.35">
      <c r="A1560" t="s">
        <v>301</v>
      </c>
    </row>
    <row r="1561" spans="1:4" x14ac:dyDescent="0.35">
      <c r="A1561" t="s">
        <v>655</v>
      </c>
    </row>
    <row r="1562" spans="1:4" x14ac:dyDescent="0.35">
      <c r="A1562" t="s">
        <v>656</v>
      </c>
      <c r="B1562" t="s">
        <v>24</v>
      </c>
      <c r="C1562" t="s">
        <v>381</v>
      </c>
      <c r="D1562" t="s">
        <v>16</v>
      </c>
    </row>
    <row r="1563" spans="1:4" x14ac:dyDescent="0.35">
      <c r="A1563" t="s">
        <v>17</v>
      </c>
    </row>
    <row r="1564" spans="1:4" x14ac:dyDescent="0.35">
      <c r="A1564" t="s">
        <v>58</v>
      </c>
    </row>
    <row r="1565" spans="1:4" x14ac:dyDescent="0.35">
      <c r="A1565" t="s">
        <v>215</v>
      </c>
      <c r="B1565" t="s">
        <v>20</v>
      </c>
      <c r="C1565" t="s">
        <v>99</v>
      </c>
      <c r="D1565" t="s">
        <v>16</v>
      </c>
    </row>
    <row r="1566" spans="1:4" x14ac:dyDescent="0.35">
      <c r="A1566" t="s">
        <v>76</v>
      </c>
    </row>
    <row r="1567" spans="1:4" x14ac:dyDescent="0.35">
      <c r="A1567" t="s">
        <v>657</v>
      </c>
    </row>
    <row r="1568" spans="1:4" x14ac:dyDescent="0.35">
      <c r="A1568" t="s">
        <v>537</v>
      </c>
    </row>
    <row r="1569" spans="1:4" x14ac:dyDescent="0.35">
      <c r="A1569" t="s">
        <v>360</v>
      </c>
    </row>
    <row r="1570" spans="1:4" x14ac:dyDescent="0.35">
      <c r="A1570" t="s">
        <v>28</v>
      </c>
    </row>
    <row r="1571" spans="1:4" x14ac:dyDescent="0.35">
      <c r="A1571" t="s">
        <v>533</v>
      </c>
    </row>
    <row r="1572" spans="1:4" x14ac:dyDescent="0.35">
      <c r="A1572" t="s">
        <v>658</v>
      </c>
      <c r="B1572" t="s">
        <v>20</v>
      </c>
      <c r="C1572" t="s">
        <v>339</v>
      </c>
    </row>
    <row r="1573" spans="1:4" x14ac:dyDescent="0.35">
      <c r="A1573" t="s">
        <v>26</v>
      </c>
    </row>
    <row r="1574" spans="1:4" x14ac:dyDescent="0.35">
      <c r="A1574" t="s">
        <v>169</v>
      </c>
    </row>
    <row r="1575" spans="1:4" x14ac:dyDescent="0.35">
      <c r="A1575" t="s">
        <v>73</v>
      </c>
    </row>
    <row r="1576" spans="1:4" x14ac:dyDescent="0.35">
      <c r="A1576" t="s">
        <v>58</v>
      </c>
    </row>
    <row r="1577" spans="1:4" x14ac:dyDescent="0.35">
      <c r="A1577" t="s">
        <v>659</v>
      </c>
    </row>
    <row r="1578" spans="1:4" x14ac:dyDescent="0.35">
      <c r="A1578" t="s">
        <v>660</v>
      </c>
      <c r="B1578" t="s">
        <v>308</v>
      </c>
      <c r="C1578" t="s">
        <v>99</v>
      </c>
      <c r="D1578" t="s">
        <v>16</v>
      </c>
    </row>
    <row r="1579" spans="1:4" x14ac:dyDescent="0.35">
      <c r="A1579" t="s">
        <v>76</v>
      </c>
    </row>
    <row r="1580" spans="1:4" x14ac:dyDescent="0.35">
      <c r="A1580" t="s">
        <v>58</v>
      </c>
    </row>
    <row r="1581" spans="1:4" x14ac:dyDescent="0.35">
      <c r="A1581" t="s">
        <v>604</v>
      </c>
      <c r="B1581" t="s">
        <v>61</v>
      </c>
      <c r="C1581" t="s">
        <v>99</v>
      </c>
      <c r="D1581" t="s">
        <v>16</v>
      </c>
    </row>
    <row r="1582" spans="1:4" x14ac:dyDescent="0.35">
      <c r="A1582" t="s">
        <v>661</v>
      </c>
    </row>
    <row r="1583" spans="1:4" x14ac:dyDescent="0.35">
      <c r="A1583" t="s">
        <v>541</v>
      </c>
    </row>
    <row r="1584" spans="1:4" x14ac:dyDescent="0.35">
      <c r="A1584" t="s">
        <v>34</v>
      </c>
    </row>
    <row r="1585" spans="1:4" x14ac:dyDescent="0.35">
      <c r="A1585" t="s">
        <v>662</v>
      </c>
    </row>
    <row r="1586" spans="1:4" x14ac:dyDescent="0.35">
      <c r="A1586" t="s">
        <v>663</v>
      </c>
      <c r="B1586" t="s">
        <v>48</v>
      </c>
      <c r="C1586" t="s">
        <v>37</v>
      </c>
    </row>
    <row r="1587" spans="1:4" x14ac:dyDescent="0.35">
      <c r="A1587" t="s">
        <v>164</v>
      </c>
    </row>
    <row r="1588" spans="1:4" x14ac:dyDescent="0.35">
      <c r="A1588" t="s">
        <v>34</v>
      </c>
    </row>
    <row r="1589" spans="1:4" x14ac:dyDescent="0.35">
      <c r="A1589" t="s">
        <v>664</v>
      </c>
    </row>
    <row r="1590" spans="1:4" x14ac:dyDescent="0.35">
      <c r="A1590" t="s">
        <v>665</v>
      </c>
      <c r="B1590" t="s">
        <v>48</v>
      </c>
      <c r="C1590" t="s">
        <v>37</v>
      </c>
    </row>
    <row r="1591" spans="1:4" x14ac:dyDescent="0.35">
      <c r="A1591" t="s">
        <v>63</v>
      </c>
    </row>
    <row r="1593" spans="1:4" x14ac:dyDescent="0.35">
      <c r="A1593" t="s">
        <v>666</v>
      </c>
    </row>
    <row r="1594" spans="1:4" x14ac:dyDescent="0.35">
      <c r="A1594" t="s">
        <v>19</v>
      </c>
    </row>
    <row r="1595" spans="1:4" x14ac:dyDescent="0.35">
      <c r="A1595" t="s">
        <v>667</v>
      </c>
    </row>
    <row r="1596" spans="1:4" x14ac:dyDescent="0.35">
      <c r="A1596" t="s">
        <v>47</v>
      </c>
      <c r="B1596" t="s">
        <v>24</v>
      </c>
      <c r="C1596" t="s">
        <v>49</v>
      </c>
      <c r="D1596" t="s">
        <v>16</v>
      </c>
    </row>
    <row r="1597" spans="1:4" x14ac:dyDescent="0.35">
      <c r="A1597" t="s">
        <v>668</v>
      </c>
      <c r="B1597" t="s">
        <v>32</v>
      </c>
      <c r="C1597" t="s">
        <v>15</v>
      </c>
      <c r="D1597" t="s">
        <v>16</v>
      </c>
    </row>
    <row r="1598" spans="1:4" x14ac:dyDescent="0.35">
      <c r="A1598" t="s">
        <v>669</v>
      </c>
    </row>
    <row r="1599" spans="1:4" x14ac:dyDescent="0.35">
      <c r="A1599" t="s">
        <v>164</v>
      </c>
    </row>
    <row r="1600" spans="1:4" x14ac:dyDescent="0.35">
      <c r="A1600" t="s">
        <v>58</v>
      </c>
    </row>
    <row r="1601" spans="1:4" x14ac:dyDescent="0.35">
      <c r="A1601" t="s">
        <v>670</v>
      </c>
      <c r="B1601" t="s">
        <v>54</v>
      </c>
      <c r="C1601" t="s">
        <v>99</v>
      </c>
      <c r="D1601" t="s">
        <v>16</v>
      </c>
    </row>
    <row r="1602" spans="1:4" x14ac:dyDescent="0.35">
      <c r="A1602" t="s">
        <v>123</v>
      </c>
    </row>
    <row r="1603" spans="1:4" x14ac:dyDescent="0.35">
      <c r="A1603" t="s">
        <v>128</v>
      </c>
      <c r="B1603" t="s">
        <v>24</v>
      </c>
      <c r="C1603" t="s">
        <v>15</v>
      </c>
      <c r="D1603" t="s">
        <v>16</v>
      </c>
    </row>
    <row r="1604" spans="1:4" x14ac:dyDescent="0.35">
      <c r="A1604" t="s">
        <v>17</v>
      </c>
    </row>
    <row r="1605" spans="1:4" x14ac:dyDescent="0.35">
      <c r="A1605" t="s">
        <v>129</v>
      </c>
      <c r="B1605" t="s">
        <v>20</v>
      </c>
      <c r="C1605" t="s">
        <v>33</v>
      </c>
      <c r="D1605" t="s">
        <v>16</v>
      </c>
    </row>
    <row r="1606" spans="1:4" x14ac:dyDescent="0.35">
      <c r="A1606" t="s">
        <v>76</v>
      </c>
    </row>
    <row r="1607" spans="1:4" x14ac:dyDescent="0.35">
      <c r="A1607" t="s">
        <v>671</v>
      </c>
    </row>
    <row r="1608" spans="1:4" x14ac:dyDescent="0.35">
      <c r="A1608" t="s">
        <v>47</v>
      </c>
      <c r="B1608" t="s">
        <v>20</v>
      </c>
      <c r="C1608" t="s">
        <v>49</v>
      </c>
      <c r="D1608" t="s">
        <v>16</v>
      </c>
    </row>
    <row r="1609" spans="1:4" x14ac:dyDescent="0.35">
      <c r="A1609" t="s">
        <v>672</v>
      </c>
      <c r="B1609" t="s">
        <v>91</v>
      </c>
      <c r="C1609" t="s">
        <v>15</v>
      </c>
      <c r="D1609" t="s">
        <v>16</v>
      </c>
    </row>
    <row r="1610" spans="1:4" x14ac:dyDescent="0.35">
      <c r="A1610" t="s">
        <v>123</v>
      </c>
    </row>
    <row r="1611" spans="1:4" x14ac:dyDescent="0.35">
      <c r="A1611" t="s">
        <v>47</v>
      </c>
      <c r="B1611" t="s">
        <v>20</v>
      </c>
      <c r="C1611" t="s">
        <v>49</v>
      </c>
      <c r="D1611" t="s">
        <v>16</v>
      </c>
    </row>
    <row r="1612" spans="1:4" x14ac:dyDescent="0.35">
      <c r="A1612" t="s">
        <v>673</v>
      </c>
      <c r="B1612" t="s">
        <v>24</v>
      </c>
      <c r="C1612" t="s">
        <v>15</v>
      </c>
      <c r="D1612" t="s">
        <v>16</v>
      </c>
    </row>
    <row r="1613" spans="1:4" x14ac:dyDescent="0.35">
      <c r="A1613" t="s">
        <v>63</v>
      </c>
    </row>
    <row r="1615" spans="1:4" x14ac:dyDescent="0.35">
      <c r="A1615" t="s">
        <v>244</v>
      </c>
    </row>
    <row r="1616" spans="1:4" x14ac:dyDescent="0.35">
      <c r="A1616" t="s">
        <v>674</v>
      </c>
    </row>
    <row r="1617" spans="1:4" x14ac:dyDescent="0.35">
      <c r="A1617" t="s">
        <v>246</v>
      </c>
    </row>
    <row r="1618" spans="1:4" x14ac:dyDescent="0.35">
      <c r="A1618" t="s">
        <v>675</v>
      </c>
    </row>
    <row r="1619" spans="1:4" x14ac:dyDescent="0.35">
      <c r="A1619" t="s">
        <v>40</v>
      </c>
      <c r="B1619" t="s">
        <v>36</v>
      </c>
      <c r="C1619" t="s">
        <v>33</v>
      </c>
      <c r="D1619" t="s">
        <v>16</v>
      </c>
    </row>
    <row r="1620" spans="1:4" x14ac:dyDescent="0.35">
      <c r="A1620" t="s">
        <v>319</v>
      </c>
    </row>
    <row r="1621" spans="1:4" x14ac:dyDescent="0.35">
      <c r="A1621" t="s">
        <v>403</v>
      </c>
    </row>
    <row r="1622" spans="1:4" x14ac:dyDescent="0.35">
      <c r="A1622" t="s">
        <v>489</v>
      </c>
    </row>
    <row r="1623" spans="1:4" x14ac:dyDescent="0.35">
      <c r="A1623" t="s">
        <v>123</v>
      </c>
    </row>
    <row r="1624" spans="1:4" x14ac:dyDescent="0.35">
      <c r="A1624" t="s">
        <v>34</v>
      </c>
    </row>
    <row r="1625" spans="1:4" x14ac:dyDescent="0.35">
      <c r="A1625" t="s">
        <v>676</v>
      </c>
      <c r="B1625" t="s">
        <v>54</v>
      </c>
      <c r="C1625" t="s">
        <v>37</v>
      </c>
    </row>
    <row r="1626" spans="1:4" x14ac:dyDescent="0.35">
      <c r="A1626" t="s">
        <v>17</v>
      </c>
    </row>
    <row r="1627" spans="1:4" x14ac:dyDescent="0.35">
      <c r="A1627" t="s">
        <v>348</v>
      </c>
    </row>
    <row r="1628" spans="1:4" x14ac:dyDescent="0.35">
      <c r="A1628" t="s">
        <v>677</v>
      </c>
      <c r="B1628" t="s">
        <v>24</v>
      </c>
      <c r="C1628" t="s">
        <v>37</v>
      </c>
    </row>
    <row r="1629" spans="1:4" x14ac:dyDescent="0.35">
      <c r="A1629" t="s">
        <v>58</v>
      </c>
    </row>
    <row r="1630" spans="1:4" x14ac:dyDescent="0.35">
      <c r="A1630" t="s">
        <v>409</v>
      </c>
      <c r="B1630" t="s">
        <v>14</v>
      </c>
      <c r="C1630" t="s">
        <v>99</v>
      </c>
      <c r="D1630" t="s">
        <v>16</v>
      </c>
    </row>
    <row r="1631" spans="1:4" x14ac:dyDescent="0.35">
      <c r="A1631" t="s">
        <v>342</v>
      </c>
    </row>
    <row r="1632" spans="1:4" x14ac:dyDescent="0.35">
      <c r="A1632" t="s">
        <v>154</v>
      </c>
    </row>
    <row r="1633" spans="1:4" x14ac:dyDescent="0.35">
      <c r="A1633" t="s">
        <v>635</v>
      </c>
    </row>
    <row r="1634" spans="1:4" x14ac:dyDescent="0.35">
      <c r="A1634" t="s">
        <v>63</v>
      </c>
    </row>
    <row r="1636" spans="1:4" x14ac:dyDescent="0.35">
      <c r="A1636" t="s">
        <v>244</v>
      </c>
    </row>
    <row r="1637" spans="1:4" x14ac:dyDescent="0.35">
      <c r="A1637" t="s">
        <v>678</v>
      </c>
    </row>
    <row r="1638" spans="1:4" x14ac:dyDescent="0.35">
      <c r="A1638" t="s">
        <v>679</v>
      </c>
    </row>
    <row r="1639" spans="1:4" x14ac:dyDescent="0.35">
      <c r="A1639" t="s">
        <v>595</v>
      </c>
    </row>
    <row r="1640" spans="1:4" x14ac:dyDescent="0.35">
      <c r="A1640" t="s">
        <v>348</v>
      </c>
    </row>
    <row r="1641" spans="1:4" x14ac:dyDescent="0.35">
      <c r="A1641" t="s">
        <v>677</v>
      </c>
      <c r="B1641" t="s">
        <v>54</v>
      </c>
      <c r="C1641" t="s">
        <v>37</v>
      </c>
    </row>
    <row r="1642" spans="1:4" x14ac:dyDescent="0.35">
      <c r="A1642" t="s">
        <v>133</v>
      </c>
      <c r="B1642" t="s">
        <v>14</v>
      </c>
      <c r="C1642" t="s">
        <v>33</v>
      </c>
      <c r="D1642" t="s">
        <v>16</v>
      </c>
    </row>
    <row r="1643" spans="1:4" x14ac:dyDescent="0.35">
      <c r="A1643" t="s">
        <v>680</v>
      </c>
    </row>
    <row r="1644" spans="1:4" x14ac:dyDescent="0.35">
      <c r="A1644" t="s">
        <v>403</v>
      </c>
    </row>
    <row r="1645" spans="1:4" x14ac:dyDescent="0.35">
      <c r="A1645" t="s">
        <v>154</v>
      </c>
    </row>
    <row r="1646" spans="1:4" x14ac:dyDescent="0.35">
      <c r="A1646" t="s">
        <v>681</v>
      </c>
    </row>
    <row r="1647" spans="1:4" x14ac:dyDescent="0.35">
      <c r="A1647" t="s">
        <v>45</v>
      </c>
    </row>
    <row r="1648" spans="1:4" x14ac:dyDescent="0.35">
      <c r="A1648" t="s">
        <v>314</v>
      </c>
    </row>
    <row r="1649" spans="1:4" x14ac:dyDescent="0.35">
      <c r="A1649" t="s">
        <v>136</v>
      </c>
      <c r="B1649" t="s">
        <v>20</v>
      </c>
      <c r="C1649" t="s">
        <v>49</v>
      </c>
      <c r="D1649" t="s">
        <v>16</v>
      </c>
    </row>
    <row r="1650" spans="1:4" x14ac:dyDescent="0.35">
      <c r="A1650" t="s">
        <v>682</v>
      </c>
      <c r="B1650" t="s">
        <v>91</v>
      </c>
      <c r="C1650" t="s">
        <v>15</v>
      </c>
      <c r="D1650" t="s">
        <v>16</v>
      </c>
    </row>
    <row r="1651" spans="1:4" x14ac:dyDescent="0.35">
      <c r="A1651" t="s">
        <v>123</v>
      </c>
    </row>
    <row r="1652" spans="1:4" x14ac:dyDescent="0.35">
      <c r="A1652" t="s">
        <v>128</v>
      </c>
      <c r="B1652" t="s">
        <v>24</v>
      </c>
      <c r="C1652" t="s">
        <v>15</v>
      </c>
      <c r="D1652" t="s">
        <v>16</v>
      </c>
    </row>
    <row r="1653" spans="1:4" x14ac:dyDescent="0.35">
      <c r="A1653" t="s">
        <v>17</v>
      </c>
    </row>
    <row r="1654" spans="1:4" x14ac:dyDescent="0.35">
      <c r="A1654" t="s">
        <v>129</v>
      </c>
      <c r="B1654" t="s">
        <v>20</v>
      </c>
      <c r="C1654" t="s">
        <v>33</v>
      </c>
      <c r="D1654" t="s">
        <v>16</v>
      </c>
    </row>
    <row r="1655" spans="1:4" x14ac:dyDescent="0.35">
      <c r="A1655" t="s">
        <v>63</v>
      </c>
    </row>
    <row r="1656" spans="1:4" x14ac:dyDescent="0.35">
      <c r="A1656" t="s">
        <v>246</v>
      </c>
    </row>
    <row r="1658" spans="1:4" x14ac:dyDescent="0.35">
      <c r="A1658" t="s">
        <v>244</v>
      </c>
    </row>
    <row r="1659" spans="1:4" x14ac:dyDescent="0.35">
      <c r="A1659" t="s">
        <v>683</v>
      </c>
    </row>
    <row r="1660" spans="1:4" x14ac:dyDescent="0.35">
      <c r="A1660" t="s">
        <v>246</v>
      </c>
    </row>
    <row r="1661" spans="1:4" x14ac:dyDescent="0.35">
      <c r="A1661" t="s">
        <v>684</v>
      </c>
    </row>
    <row r="1662" spans="1:4" x14ac:dyDescent="0.35">
      <c r="A1662" t="s">
        <v>133</v>
      </c>
      <c r="B1662" t="s">
        <v>14</v>
      </c>
      <c r="C1662" t="s">
        <v>33</v>
      </c>
      <c r="D1662" t="s">
        <v>16</v>
      </c>
    </row>
    <row r="1663" spans="1:4" x14ac:dyDescent="0.35">
      <c r="A1663" t="s">
        <v>685</v>
      </c>
    </row>
    <row r="1664" spans="1:4" x14ac:dyDescent="0.35">
      <c r="A1664" t="s">
        <v>646</v>
      </c>
    </row>
    <row r="1665" spans="1:4" x14ac:dyDescent="0.35">
      <c r="A1665" t="s">
        <v>177</v>
      </c>
    </row>
    <row r="1666" spans="1:4" x14ac:dyDescent="0.35">
      <c r="A1666" t="s">
        <v>164</v>
      </c>
    </row>
    <row r="1667" spans="1:4" x14ac:dyDescent="0.35">
      <c r="A1667" t="s">
        <v>686</v>
      </c>
    </row>
    <row r="1668" spans="1:4" x14ac:dyDescent="0.35">
      <c r="A1668" t="s">
        <v>687</v>
      </c>
      <c r="B1668" t="s">
        <v>54</v>
      </c>
      <c r="C1668" t="s">
        <v>108</v>
      </c>
    </row>
    <row r="1669" spans="1:4" x14ac:dyDescent="0.35">
      <c r="A1669" t="s">
        <v>251</v>
      </c>
    </row>
    <row r="1670" spans="1:4" x14ac:dyDescent="0.35">
      <c r="A1670" t="s">
        <v>246</v>
      </c>
    </row>
    <row r="1672" spans="1:4" x14ac:dyDescent="0.35">
      <c r="A1672" t="s">
        <v>244</v>
      </c>
    </row>
    <row r="1673" spans="1:4" x14ac:dyDescent="0.35">
      <c r="A1673" t="s">
        <v>688</v>
      </c>
    </row>
    <row r="1674" spans="1:4" x14ac:dyDescent="0.35">
      <c r="A1674" t="s">
        <v>246</v>
      </c>
    </row>
    <row r="1675" spans="1:4" x14ac:dyDescent="0.35">
      <c r="A1675" t="s">
        <v>355</v>
      </c>
    </row>
    <row r="1676" spans="1:4" x14ac:dyDescent="0.35">
      <c r="A1676" t="s">
        <v>26</v>
      </c>
    </row>
    <row r="1677" spans="1:4" x14ac:dyDescent="0.35">
      <c r="A1677" t="s">
        <v>110</v>
      </c>
      <c r="B1677" t="s">
        <v>14</v>
      </c>
      <c r="C1677" t="s">
        <v>33</v>
      </c>
      <c r="D1677" t="s">
        <v>16</v>
      </c>
    </row>
    <row r="1678" spans="1:4" x14ac:dyDescent="0.35">
      <c r="A1678" t="s">
        <v>375</v>
      </c>
    </row>
    <row r="1679" spans="1:4" x14ac:dyDescent="0.35">
      <c r="A1679" t="s">
        <v>31</v>
      </c>
      <c r="B1679" t="s">
        <v>36</v>
      </c>
      <c r="C1679" t="s">
        <v>33</v>
      </c>
      <c r="D1679" t="s">
        <v>16</v>
      </c>
    </row>
    <row r="1680" spans="1:4" x14ac:dyDescent="0.35">
      <c r="A1680" t="s">
        <v>153</v>
      </c>
    </row>
    <row r="1681" spans="1:4" x14ac:dyDescent="0.35">
      <c r="A1681" t="s">
        <v>154</v>
      </c>
    </row>
    <row r="1682" spans="1:4" x14ac:dyDescent="0.35">
      <c r="A1682" t="s">
        <v>105</v>
      </c>
    </row>
    <row r="1683" spans="1:4" x14ac:dyDescent="0.35">
      <c r="A1683" t="s">
        <v>543</v>
      </c>
    </row>
    <row r="1684" spans="1:4" x14ac:dyDescent="0.35">
      <c r="A1684" t="s">
        <v>63</v>
      </c>
    </row>
    <row r="1685" spans="1:4" x14ac:dyDescent="0.35">
      <c r="A1685" t="s">
        <v>246</v>
      </c>
    </row>
    <row r="1687" spans="1:4" x14ac:dyDescent="0.35">
      <c r="A1687" t="s">
        <v>689</v>
      </c>
    </row>
    <row r="1688" spans="1:4" x14ac:dyDescent="0.35">
      <c r="A1688" t="s">
        <v>690</v>
      </c>
    </row>
    <row r="1689" spans="1:4" x14ac:dyDescent="0.35">
      <c r="A1689" t="s">
        <v>105</v>
      </c>
    </row>
    <row r="1690" spans="1:4" x14ac:dyDescent="0.35">
      <c r="A1690" t="s">
        <v>58</v>
      </c>
    </row>
    <row r="1691" spans="1:4" x14ac:dyDescent="0.35">
      <c r="A1691" t="s">
        <v>307</v>
      </c>
    </row>
    <row r="1692" spans="1:4" x14ac:dyDescent="0.35">
      <c r="A1692" t="s">
        <v>262</v>
      </c>
    </row>
    <row r="1693" spans="1:4" x14ac:dyDescent="0.35">
      <c r="A1693" t="s">
        <v>658</v>
      </c>
      <c r="B1693" t="s">
        <v>24</v>
      </c>
      <c r="C1693" t="s">
        <v>99</v>
      </c>
      <c r="D1693" t="s">
        <v>16</v>
      </c>
    </row>
    <row r="1694" spans="1:4" x14ac:dyDescent="0.35">
      <c r="A1694" t="s">
        <v>691</v>
      </c>
    </row>
    <row r="1695" spans="1:4" x14ac:dyDescent="0.35">
      <c r="A1695" t="s">
        <v>692</v>
      </c>
    </row>
    <row r="1696" spans="1:4" x14ac:dyDescent="0.35">
      <c r="A1696" t="s">
        <v>133</v>
      </c>
      <c r="B1696" t="s">
        <v>36</v>
      </c>
      <c r="C1696" t="s">
        <v>33</v>
      </c>
      <c r="D1696" t="s">
        <v>16</v>
      </c>
    </row>
    <row r="1697" spans="1:4" x14ac:dyDescent="0.35">
      <c r="A1697" t="s">
        <v>693</v>
      </c>
    </row>
    <row r="1698" spans="1:4" x14ac:dyDescent="0.35">
      <c r="A1698" t="s">
        <v>177</v>
      </c>
    </row>
    <row r="1699" spans="1:4" x14ac:dyDescent="0.35">
      <c r="A1699" t="s">
        <v>587</v>
      </c>
    </row>
    <row r="1700" spans="1:4" x14ac:dyDescent="0.35">
      <c r="A1700" t="s">
        <v>31</v>
      </c>
      <c r="B1700" t="s">
        <v>20</v>
      </c>
      <c r="C1700" t="s">
        <v>33</v>
      </c>
      <c r="D1700" t="s">
        <v>16</v>
      </c>
    </row>
    <row r="1701" spans="1:4" x14ac:dyDescent="0.35">
      <c r="A1701" t="s">
        <v>57</v>
      </c>
    </row>
    <row r="1702" spans="1:4" x14ac:dyDescent="0.35">
      <c r="A1702" t="s">
        <v>133</v>
      </c>
      <c r="B1702" t="s">
        <v>41</v>
      </c>
      <c r="C1702" t="s">
        <v>33</v>
      </c>
      <c r="D1702" t="s">
        <v>16</v>
      </c>
    </row>
    <row r="1703" spans="1:4" x14ac:dyDescent="0.35">
      <c r="A1703" t="s">
        <v>83</v>
      </c>
    </row>
    <row r="1704" spans="1:4" x14ac:dyDescent="0.35">
      <c r="A1704" t="s">
        <v>595</v>
      </c>
    </row>
    <row r="1705" spans="1:4" x14ac:dyDescent="0.35">
      <c r="A1705" t="s">
        <v>34</v>
      </c>
    </row>
    <row r="1706" spans="1:4" x14ac:dyDescent="0.35">
      <c r="A1706" t="s">
        <v>694</v>
      </c>
      <c r="B1706" t="s">
        <v>24</v>
      </c>
      <c r="C1706" t="s">
        <v>37</v>
      </c>
    </row>
    <row r="1707" spans="1:4" x14ac:dyDescent="0.35">
      <c r="A1707" t="s">
        <v>69</v>
      </c>
    </row>
    <row r="1708" spans="1:4" x14ac:dyDescent="0.35">
      <c r="A1708" t="s">
        <v>58</v>
      </c>
    </row>
    <row r="1709" spans="1:4" x14ac:dyDescent="0.35">
      <c r="A1709" t="s">
        <v>215</v>
      </c>
      <c r="B1709" t="s">
        <v>20</v>
      </c>
      <c r="C1709" t="s">
        <v>99</v>
      </c>
      <c r="D1709" t="s">
        <v>16</v>
      </c>
    </row>
    <row r="1710" spans="1:4" x14ac:dyDescent="0.35">
      <c r="A1710" t="s">
        <v>26</v>
      </c>
    </row>
    <row r="1711" spans="1:4" x14ac:dyDescent="0.35">
      <c r="A1711" t="s">
        <v>76</v>
      </c>
    </row>
    <row r="1712" spans="1:4" x14ac:dyDescent="0.35">
      <c r="A1712" t="s">
        <v>630</v>
      </c>
    </row>
    <row r="1713" spans="1:4" x14ac:dyDescent="0.35">
      <c r="A1713" t="s">
        <v>39</v>
      </c>
    </row>
    <row r="1714" spans="1:4" x14ac:dyDescent="0.35">
      <c r="A1714" t="s">
        <v>533</v>
      </c>
    </row>
    <row r="1715" spans="1:4" x14ac:dyDescent="0.35">
      <c r="A1715" t="s">
        <v>534</v>
      </c>
    </row>
    <row r="1716" spans="1:4" x14ac:dyDescent="0.35">
      <c r="A1716" t="s">
        <v>665</v>
      </c>
      <c r="B1716" t="s">
        <v>24</v>
      </c>
      <c r="C1716" t="s">
        <v>122</v>
      </c>
      <c r="D1716" t="s">
        <v>16</v>
      </c>
    </row>
    <row r="1717" spans="1:4" x14ac:dyDescent="0.35">
      <c r="A1717" t="s">
        <v>26</v>
      </c>
    </row>
    <row r="1718" spans="1:4" x14ac:dyDescent="0.35">
      <c r="A1718" t="s">
        <v>159</v>
      </c>
    </row>
    <row r="1719" spans="1:4" x14ac:dyDescent="0.35">
      <c r="A1719" t="s">
        <v>58</v>
      </c>
    </row>
    <row r="1720" spans="1:4" x14ac:dyDescent="0.35">
      <c r="A1720" t="s">
        <v>546</v>
      </c>
      <c r="B1720" t="s">
        <v>41</v>
      </c>
      <c r="C1720" t="s">
        <v>99</v>
      </c>
      <c r="D1720" t="s">
        <v>16</v>
      </c>
    </row>
    <row r="1721" spans="1:4" x14ac:dyDescent="0.35">
      <c r="A1721" t="s">
        <v>695</v>
      </c>
    </row>
    <row r="1722" spans="1:4" x14ac:dyDescent="0.35">
      <c r="A1722" t="s">
        <v>555</v>
      </c>
      <c r="B1722" t="s">
        <v>56</v>
      </c>
      <c r="C1722" t="s">
        <v>49</v>
      </c>
      <c r="D1722" t="s">
        <v>16</v>
      </c>
    </row>
    <row r="1723" spans="1:4" x14ac:dyDescent="0.35">
      <c r="A1723" t="s">
        <v>659</v>
      </c>
    </row>
    <row r="1724" spans="1:4" x14ac:dyDescent="0.35">
      <c r="A1724" t="s">
        <v>696</v>
      </c>
      <c r="B1724" t="s">
        <v>95</v>
      </c>
      <c r="C1724" t="s">
        <v>15</v>
      </c>
      <c r="D1724" t="s">
        <v>16</v>
      </c>
    </row>
    <row r="1725" spans="1:4" x14ac:dyDescent="0.35">
      <c r="A1725" t="s">
        <v>26</v>
      </c>
    </row>
    <row r="1726" spans="1:4" x14ac:dyDescent="0.35">
      <c r="A1726" t="s">
        <v>697</v>
      </c>
    </row>
    <row r="1727" spans="1:4" x14ac:dyDescent="0.35">
      <c r="A1727" t="s">
        <v>537</v>
      </c>
    </row>
    <row r="1728" spans="1:4" x14ac:dyDescent="0.35">
      <c r="A1728" t="s">
        <v>76</v>
      </c>
    </row>
    <row r="1729" spans="1:4" x14ac:dyDescent="0.35">
      <c r="A1729" t="s">
        <v>698</v>
      </c>
    </row>
    <row r="1730" spans="1:4" x14ac:dyDescent="0.35">
      <c r="A1730" t="s">
        <v>169</v>
      </c>
    </row>
    <row r="1731" spans="1:4" x14ac:dyDescent="0.35">
      <c r="A1731" t="s">
        <v>63</v>
      </c>
    </row>
    <row r="1733" spans="1:4" x14ac:dyDescent="0.35">
      <c r="A1733" t="s">
        <v>244</v>
      </c>
    </row>
    <row r="1734" spans="1:4" x14ac:dyDescent="0.35">
      <c r="A1734" t="s">
        <v>699</v>
      </c>
    </row>
    <row r="1735" spans="1:4" x14ac:dyDescent="0.35">
      <c r="A1735" t="s">
        <v>246</v>
      </c>
    </row>
    <row r="1736" spans="1:4" x14ac:dyDescent="0.35">
      <c r="A1736" t="s">
        <v>222</v>
      </c>
      <c r="B1736" t="s">
        <v>36</v>
      </c>
      <c r="C1736" t="s">
        <v>33</v>
      </c>
      <c r="D1736" t="s">
        <v>16</v>
      </c>
    </row>
    <row r="1737" spans="1:4" x14ac:dyDescent="0.35">
      <c r="A1737" t="s">
        <v>275</v>
      </c>
    </row>
    <row r="1738" spans="1:4" x14ac:dyDescent="0.35">
      <c r="A1738" t="s">
        <v>700</v>
      </c>
    </row>
    <row r="1739" spans="1:4" x14ac:dyDescent="0.35">
      <c r="A1739" t="s">
        <v>701</v>
      </c>
    </row>
    <row r="1740" spans="1:4" x14ac:dyDescent="0.35">
      <c r="A1740" t="s">
        <v>702</v>
      </c>
    </row>
    <row r="1741" spans="1:4" x14ac:dyDescent="0.35">
      <c r="A1741" t="s">
        <v>26</v>
      </c>
    </row>
    <row r="1742" spans="1:4" x14ac:dyDescent="0.35">
      <c r="A1742" t="s">
        <v>246</v>
      </c>
    </row>
    <row r="1743" spans="1:4" x14ac:dyDescent="0.35">
      <c r="A1743" t="s">
        <v>140</v>
      </c>
    </row>
    <row r="1744" spans="1:4" x14ac:dyDescent="0.35">
      <c r="A1744" t="s">
        <v>19</v>
      </c>
      <c r="B1744" t="s">
        <v>14</v>
      </c>
      <c r="C1744" t="s">
        <v>21</v>
      </c>
      <c r="D1744" t="s">
        <v>16</v>
      </c>
    </row>
    <row r="1745" spans="1:4" x14ac:dyDescent="0.35">
      <c r="A1745" t="s">
        <v>63</v>
      </c>
    </row>
    <row r="1747" spans="1:4" x14ac:dyDescent="0.35">
      <c r="A1747" t="s">
        <v>244</v>
      </c>
    </row>
    <row r="1748" spans="1:4" x14ac:dyDescent="0.35">
      <c r="A1748" t="s">
        <v>703</v>
      </c>
    </row>
    <row r="1749" spans="1:4" x14ac:dyDescent="0.35">
      <c r="A1749" t="s">
        <v>246</v>
      </c>
    </row>
    <row r="1750" spans="1:4" x14ac:dyDescent="0.35">
      <c r="A1750" t="s">
        <v>222</v>
      </c>
      <c r="B1750" t="s">
        <v>14</v>
      </c>
      <c r="C1750" t="s">
        <v>33</v>
      </c>
      <c r="D1750" t="s">
        <v>16</v>
      </c>
    </row>
    <row r="1751" spans="1:4" x14ac:dyDescent="0.35">
      <c r="A1751" t="s">
        <v>704</v>
      </c>
    </row>
    <row r="1752" spans="1:4" x14ac:dyDescent="0.35">
      <c r="A1752" t="s">
        <v>224</v>
      </c>
    </row>
    <row r="1753" spans="1:4" x14ac:dyDescent="0.35">
      <c r="A1753" t="s">
        <v>93</v>
      </c>
    </row>
    <row r="1754" spans="1:4" x14ac:dyDescent="0.35">
      <c r="A1754" t="s">
        <v>58</v>
      </c>
    </row>
    <row r="1755" spans="1:4" x14ac:dyDescent="0.35">
      <c r="A1755" t="s">
        <v>705</v>
      </c>
      <c r="B1755" t="s">
        <v>91</v>
      </c>
      <c r="C1755" t="s">
        <v>99</v>
      </c>
      <c r="D1755" t="s">
        <v>16</v>
      </c>
    </row>
    <row r="1756" spans="1:4" x14ac:dyDescent="0.35">
      <c r="A1756" t="s">
        <v>17</v>
      </c>
    </row>
    <row r="1757" spans="1:4" x14ac:dyDescent="0.35">
      <c r="A1757" t="s">
        <v>47</v>
      </c>
      <c r="B1757" t="s">
        <v>143</v>
      </c>
      <c r="C1757" t="s">
        <v>33</v>
      </c>
      <c r="D1757" t="s">
        <v>16</v>
      </c>
    </row>
    <row r="1758" spans="1:4" x14ac:dyDescent="0.35">
      <c r="A1758" t="s">
        <v>706</v>
      </c>
    </row>
    <row r="1759" spans="1:4" x14ac:dyDescent="0.35">
      <c r="A1759" t="s">
        <v>707</v>
      </c>
    </row>
    <row r="1760" spans="1:4" x14ac:dyDescent="0.35">
      <c r="A1760" t="s">
        <v>587</v>
      </c>
    </row>
    <row r="1761" spans="1:4" x14ac:dyDescent="0.35">
      <c r="A1761" t="s">
        <v>40</v>
      </c>
      <c r="B1761" t="s">
        <v>308</v>
      </c>
      <c r="C1761" t="s">
        <v>33</v>
      </c>
      <c r="D1761" t="s">
        <v>16</v>
      </c>
    </row>
    <row r="1762" spans="1:4" x14ac:dyDescent="0.35">
      <c r="A1762" t="s">
        <v>525</v>
      </c>
    </row>
    <row r="1763" spans="1:4" x14ac:dyDescent="0.35">
      <c r="A1763" t="s">
        <v>708</v>
      </c>
    </row>
    <row r="1764" spans="1:4" x14ac:dyDescent="0.35">
      <c r="A1764" t="s">
        <v>129</v>
      </c>
      <c r="B1764" t="s">
        <v>79</v>
      </c>
      <c r="C1764" t="s">
        <v>33</v>
      </c>
      <c r="D1764" t="s">
        <v>16</v>
      </c>
    </row>
    <row r="1765" spans="1:4" x14ac:dyDescent="0.35">
      <c r="A1765" t="s">
        <v>63</v>
      </c>
    </row>
    <row r="1767" spans="1:4" x14ac:dyDescent="0.35">
      <c r="A1767" t="s">
        <v>244</v>
      </c>
    </row>
    <row r="1768" spans="1:4" x14ac:dyDescent="0.35">
      <c r="A1768" t="s">
        <v>709</v>
      </c>
    </row>
    <row r="1769" spans="1:4" x14ac:dyDescent="0.35">
      <c r="A1769" t="s">
        <v>710</v>
      </c>
    </row>
    <row r="1770" spans="1:4" x14ac:dyDescent="0.35">
      <c r="A1770" t="s">
        <v>711</v>
      </c>
    </row>
    <row r="1771" spans="1:4" x14ac:dyDescent="0.35">
      <c r="A1771" t="s">
        <v>712</v>
      </c>
      <c r="B1771" t="s">
        <v>54</v>
      </c>
      <c r="C1771" t="s">
        <v>37</v>
      </c>
    </row>
    <row r="1772" spans="1:4" x14ac:dyDescent="0.35">
      <c r="A1772" t="s">
        <v>133</v>
      </c>
      <c r="B1772" t="s">
        <v>14</v>
      </c>
      <c r="C1772" t="s">
        <v>33</v>
      </c>
      <c r="D1772" t="s">
        <v>16</v>
      </c>
    </row>
    <row r="1773" spans="1:4" x14ac:dyDescent="0.35">
      <c r="A1773" t="s">
        <v>323</v>
      </c>
    </row>
    <row r="1774" spans="1:4" x14ac:dyDescent="0.35">
      <c r="A1774" t="s">
        <v>713</v>
      </c>
    </row>
    <row r="1775" spans="1:4" x14ac:dyDescent="0.35">
      <c r="A1775" t="s">
        <v>136</v>
      </c>
      <c r="B1775" t="s">
        <v>24</v>
      </c>
      <c r="C1775" t="s">
        <v>49</v>
      </c>
      <c r="D1775" t="s">
        <v>16</v>
      </c>
    </row>
    <row r="1776" spans="1:4" x14ac:dyDescent="0.35">
      <c r="A1776" t="s">
        <v>687</v>
      </c>
      <c r="B1776" t="s">
        <v>32</v>
      </c>
      <c r="C1776" t="s">
        <v>15</v>
      </c>
      <c r="D1776" t="s">
        <v>16</v>
      </c>
    </row>
    <row r="1777" spans="1:4" x14ac:dyDescent="0.35">
      <c r="A1777" t="s">
        <v>510</v>
      </c>
    </row>
    <row r="1778" spans="1:4" x14ac:dyDescent="0.35">
      <c r="A1778" t="s">
        <v>133</v>
      </c>
      <c r="B1778" t="s">
        <v>36</v>
      </c>
      <c r="C1778" t="s">
        <v>33</v>
      </c>
      <c r="D1778" t="s">
        <v>16</v>
      </c>
    </row>
    <row r="1779" spans="1:4" x14ac:dyDescent="0.35">
      <c r="A1779" t="s">
        <v>275</v>
      </c>
    </row>
    <row r="1780" spans="1:4" x14ac:dyDescent="0.35">
      <c r="A1780" t="s">
        <v>63</v>
      </c>
    </row>
    <row r="1781" spans="1:4" x14ac:dyDescent="0.35">
      <c r="A1781" t="s">
        <v>246</v>
      </c>
    </row>
    <row r="1783" spans="1:4" x14ac:dyDescent="0.35">
      <c r="A1783" t="s">
        <v>714</v>
      </c>
    </row>
    <row r="1784" spans="1:4" x14ac:dyDescent="0.35">
      <c r="A1784" t="s">
        <v>501</v>
      </c>
      <c r="B1784" t="s">
        <v>14</v>
      </c>
      <c r="C1784" t="s">
        <v>33</v>
      </c>
      <c r="D1784" t="s">
        <v>16</v>
      </c>
    </row>
    <row r="1785" spans="1:4" x14ac:dyDescent="0.35">
      <c r="A1785" t="s">
        <v>715</v>
      </c>
    </row>
    <row r="1786" spans="1:4" x14ac:dyDescent="0.35">
      <c r="A1786" t="s">
        <v>169</v>
      </c>
    </row>
    <row r="1787" spans="1:4" x14ac:dyDescent="0.35">
      <c r="A1787" t="s">
        <v>47</v>
      </c>
      <c r="B1787" t="s">
        <v>24</v>
      </c>
      <c r="C1787" t="s">
        <v>49</v>
      </c>
      <c r="D1787" t="s">
        <v>16</v>
      </c>
    </row>
    <row r="1788" spans="1:4" x14ac:dyDescent="0.35">
      <c r="A1788" t="s">
        <v>716</v>
      </c>
      <c r="B1788" t="s">
        <v>54</v>
      </c>
      <c r="C1788" t="s">
        <v>15</v>
      </c>
      <c r="D1788" t="s">
        <v>16</v>
      </c>
    </row>
    <row r="1789" spans="1:4" x14ac:dyDescent="0.35">
      <c r="A1789" t="s">
        <v>76</v>
      </c>
    </row>
    <row r="1790" spans="1:4" x14ac:dyDescent="0.35">
      <c r="A1790" t="s">
        <v>717</v>
      </c>
    </row>
    <row r="1791" spans="1:4" x14ac:dyDescent="0.35">
      <c r="A1791" t="s">
        <v>47</v>
      </c>
      <c r="B1791" t="s">
        <v>20</v>
      </c>
      <c r="C1791" t="s">
        <v>49</v>
      </c>
      <c r="D1791" t="s">
        <v>16</v>
      </c>
    </row>
    <row r="1792" spans="1:4" x14ac:dyDescent="0.35">
      <c r="A1792" t="s">
        <v>718</v>
      </c>
      <c r="B1792" t="s">
        <v>91</v>
      </c>
      <c r="C1792" t="s">
        <v>15</v>
      </c>
      <c r="D1792" t="s">
        <v>16</v>
      </c>
    </row>
    <row r="1793" spans="1:4" x14ac:dyDescent="0.35">
      <c r="A1793" t="s">
        <v>45</v>
      </c>
    </row>
    <row r="1794" spans="1:4" x14ac:dyDescent="0.35">
      <c r="A1794" t="s">
        <v>58</v>
      </c>
    </row>
    <row r="1795" spans="1:4" x14ac:dyDescent="0.35">
      <c r="A1795" t="s">
        <v>687</v>
      </c>
      <c r="B1795" t="s">
        <v>20</v>
      </c>
      <c r="C1795" t="s">
        <v>99</v>
      </c>
      <c r="D1795" t="s">
        <v>16</v>
      </c>
    </row>
    <row r="1796" spans="1:4" x14ac:dyDescent="0.35">
      <c r="A1796" t="s">
        <v>63</v>
      </c>
    </row>
    <row r="1798" spans="1:4" x14ac:dyDescent="0.35">
      <c r="A1798" t="s">
        <v>244</v>
      </c>
    </row>
    <row r="1799" spans="1:4" x14ac:dyDescent="0.35">
      <c r="A1799" t="s">
        <v>719</v>
      </c>
    </row>
    <row r="1800" spans="1:4" x14ac:dyDescent="0.35">
      <c r="A1800" t="s">
        <v>246</v>
      </c>
    </row>
    <row r="1801" spans="1:4" x14ac:dyDescent="0.35">
      <c r="A1801" t="s">
        <v>720</v>
      </c>
      <c r="B1801" t="s">
        <v>54</v>
      </c>
      <c r="C1801" t="s">
        <v>108</v>
      </c>
    </row>
    <row r="1802" spans="1:4" x14ac:dyDescent="0.35">
      <c r="A1802" t="s">
        <v>721</v>
      </c>
      <c r="B1802" t="s">
        <v>54</v>
      </c>
      <c r="C1802" t="s">
        <v>21</v>
      </c>
      <c r="D1802" t="s">
        <v>16</v>
      </c>
    </row>
    <row r="1803" spans="1:4" x14ac:dyDescent="0.35">
      <c r="A1803" t="s">
        <v>26</v>
      </c>
    </row>
    <row r="1804" spans="1:4" x14ac:dyDescent="0.35">
      <c r="A1804" t="s">
        <v>110</v>
      </c>
      <c r="B1804" t="s">
        <v>36</v>
      </c>
      <c r="C1804" t="s">
        <v>33</v>
      </c>
      <c r="D1804" t="s">
        <v>16</v>
      </c>
    </row>
    <row r="1805" spans="1:4" x14ac:dyDescent="0.35">
      <c r="A1805" t="s">
        <v>375</v>
      </c>
    </row>
    <row r="1806" spans="1:4" x14ac:dyDescent="0.35">
      <c r="A1806" t="s">
        <v>39</v>
      </c>
    </row>
    <row r="1807" spans="1:4" x14ac:dyDescent="0.35">
      <c r="A1807" t="s">
        <v>110</v>
      </c>
      <c r="B1807" t="s">
        <v>41</v>
      </c>
      <c r="C1807" t="s">
        <v>33</v>
      </c>
      <c r="D1807" t="s">
        <v>16</v>
      </c>
    </row>
    <row r="1808" spans="1:4" x14ac:dyDescent="0.35">
      <c r="A1808" t="s">
        <v>722</v>
      </c>
    </row>
    <row r="1809" spans="1:4" x14ac:dyDescent="0.35">
      <c r="A1809" t="s">
        <v>85</v>
      </c>
      <c r="B1809" t="s">
        <v>95</v>
      </c>
      <c r="C1809" t="s">
        <v>33</v>
      </c>
      <c r="D1809" t="s">
        <v>16</v>
      </c>
    </row>
    <row r="1810" spans="1:4" x14ac:dyDescent="0.35">
      <c r="A1810" t="s">
        <v>586</v>
      </c>
    </row>
    <row r="1811" spans="1:4" x14ac:dyDescent="0.35">
      <c r="A1811" t="s">
        <v>63</v>
      </c>
    </row>
    <row r="1812" spans="1:4" x14ac:dyDescent="0.35">
      <c r="A1812" t="s">
        <v>246</v>
      </c>
    </row>
    <row r="1814" spans="1:4" x14ac:dyDescent="0.35">
      <c r="A1814" t="s">
        <v>723</v>
      </c>
    </row>
    <row r="1815" spans="1:4" x14ac:dyDescent="0.35">
      <c r="A1815" t="s">
        <v>291</v>
      </c>
    </row>
    <row r="1816" spans="1:4" x14ac:dyDescent="0.35">
      <c r="A1816" t="s">
        <v>477</v>
      </c>
      <c r="B1816" t="s">
        <v>14</v>
      </c>
      <c r="C1816" t="s">
        <v>37</v>
      </c>
    </row>
    <row r="1817" spans="1:4" x14ac:dyDescent="0.35">
      <c r="A1817" t="s">
        <v>17</v>
      </c>
    </row>
    <row r="1818" spans="1:4" x14ac:dyDescent="0.35">
      <c r="A1818" t="s">
        <v>724</v>
      </c>
    </row>
    <row r="1819" spans="1:4" x14ac:dyDescent="0.35">
      <c r="A1819" t="s">
        <v>481</v>
      </c>
      <c r="B1819" t="s">
        <v>24</v>
      </c>
      <c r="C1819" t="s">
        <v>108</v>
      </c>
    </row>
    <row r="1820" spans="1:4" x14ac:dyDescent="0.35">
      <c r="A1820" t="s">
        <v>725</v>
      </c>
    </row>
    <row r="1821" spans="1:4" x14ac:dyDescent="0.35">
      <c r="A1821" t="s">
        <v>58</v>
      </c>
    </row>
    <row r="1822" spans="1:4" x14ac:dyDescent="0.35">
      <c r="A1822" t="s">
        <v>726</v>
      </c>
      <c r="B1822" t="s">
        <v>32</v>
      </c>
      <c r="C1822" t="s">
        <v>99</v>
      </c>
      <c r="D1822" t="s">
        <v>16</v>
      </c>
    </row>
    <row r="1823" spans="1:4" x14ac:dyDescent="0.35">
      <c r="A1823" t="s">
        <v>17</v>
      </c>
    </row>
    <row r="1824" spans="1:4" x14ac:dyDescent="0.35">
      <c r="A1824" t="s">
        <v>58</v>
      </c>
    </row>
    <row r="1825" spans="1:4" x14ac:dyDescent="0.35">
      <c r="A1825" t="s">
        <v>178</v>
      </c>
      <c r="B1825" t="s">
        <v>24</v>
      </c>
      <c r="C1825" t="s">
        <v>99</v>
      </c>
      <c r="D1825" t="s">
        <v>16</v>
      </c>
    </row>
    <row r="1826" spans="1:4" x14ac:dyDescent="0.35">
      <c r="A1826" t="s">
        <v>63</v>
      </c>
    </row>
    <row r="1828" spans="1:4" x14ac:dyDescent="0.35">
      <c r="A1828" t="s">
        <v>727</v>
      </c>
    </row>
    <row r="1829" spans="1:4" x14ac:dyDescent="0.35">
      <c r="A1829" t="s">
        <v>728</v>
      </c>
    </row>
    <row r="1830" spans="1:4" x14ac:dyDescent="0.35">
      <c r="A1830" t="s">
        <v>729</v>
      </c>
    </row>
    <row r="1831" spans="1:4" x14ac:dyDescent="0.35">
      <c r="A1831" t="s">
        <v>58</v>
      </c>
    </row>
    <row r="1832" spans="1:4" x14ac:dyDescent="0.35">
      <c r="A1832" t="s">
        <v>730</v>
      </c>
      <c r="B1832" t="s">
        <v>24</v>
      </c>
      <c r="C1832" t="s">
        <v>99</v>
      </c>
      <c r="D1832" t="s">
        <v>16</v>
      </c>
    </row>
    <row r="1833" spans="1:4" x14ac:dyDescent="0.35">
      <c r="A1833" t="s">
        <v>133</v>
      </c>
      <c r="B1833" t="s">
        <v>14</v>
      </c>
      <c r="C1833" t="s">
        <v>33</v>
      </c>
      <c r="D1833" t="s">
        <v>16</v>
      </c>
    </row>
    <row r="1834" spans="1:4" x14ac:dyDescent="0.35">
      <c r="A1834" t="s">
        <v>731</v>
      </c>
    </row>
    <row r="1835" spans="1:4" x14ac:dyDescent="0.35">
      <c r="A1835" t="s">
        <v>732</v>
      </c>
    </row>
    <row r="1836" spans="1:4" x14ac:dyDescent="0.35">
      <c r="A1836" t="s">
        <v>131</v>
      </c>
    </row>
    <row r="1837" spans="1:4" x14ac:dyDescent="0.35">
      <c r="A1837" t="s">
        <v>58</v>
      </c>
    </row>
    <row r="1838" spans="1:4" x14ac:dyDescent="0.35">
      <c r="A1838" t="s">
        <v>610</v>
      </c>
      <c r="B1838" t="s">
        <v>20</v>
      </c>
      <c r="C1838" t="s">
        <v>108</v>
      </c>
    </row>
    <row r="1839" spans="1:4" x14ac:dyDescent="0.35">
      <c r="A1839" t="s">
        <v>262</v>
      </c>
    </row>
    <row r="1840" spans="1:4" x14ac:dyDescent="0.35">
      <c r="A1840" t="s">
        <v>733</v>
      </c>
    </row>
    <row r="1841" spans="1:4" x14ac:dyDescent="0.35">
      <c r="A1841" t="s">
        <v>658</v>
      </c>
      <c r="B1841" t="s">
        <v>54</v>
      </c>
      <c r="C1841" t="s">
        <v>99</v>
      </c>
      <c r="D1841" t="s">
        <v>16</v>
      </c>
    </row>
    <row r="1842" spans="1:4" x14ac:dyDescent="0.35">
      <c r="A1842" t="s">
        <v>123</v>
      </c>
    </row>
    <row r="1843" spans="1:4" x14ac:dyDescent="0.35">
      <c r="A1843" t="s">
        <v>128</v>
      </c>
      <c r="B1843" t="s">
        <v>54</v>
      </c>
      <c r="C1843" t="s">
        <v>15</v>
      </c>
      <c r="D1843" t="s">
        <v>16</v>
      </c>
    </row>
    <row r="1844" spans="1:4" x14ac:dyDescent="0.35">
      <c r="A1844" t="s">
        <v>17</v>
      </c>
    </row>
    <row r="1845" spans="1:4" x14ac:dyDescent="0.35">
      <c r="A1845" t="s">
        <v>129</v>
      </c>
      <c r="B1845" t="s">
        <v>24</v>
      </c>
      <c r="C1845" t="s">
        <v>33</v>
      </c>
      <c r="D1845" t="s">
        <v>16</v>
      </c>
    </row>
    <row r="1846" spans="1:4" x14ac:dyDescent="0.35">
      <c r="A1846" t="s">
        <v>63</v>
      </c>
    </row>
    <row r="1848" spans="1:4" x14ac:dyDescent="0.35">
      <c r="A1848" t="s">
        <v>734</v>
      </c>
    </row>
    <row r="1849" spans="1:4" x14ac:dyDescent="0.35">
      <c r="A1849" t="s">
        <v>97</v>
      </c>
    </row>
    <row r="1850" spans="1:4" x14ac:dyDescent="0.35">
      <c r="A1850" t="s">
        <v>481</v>
      </c>
      <c r="B1850" t="s">
        <v>14</v>
      </c>
      <c r="C1850" t="s">
        <v>99</v>
      </c>
      <c r="D1850" t="s">
        <v>16</v>
      </c>
    </row>
    <row r="1851" spans="1:4" x14ac:dyDescent="0.35">
      <c r="A1851" t="s">
        <v>735</v>
      </c>
    </row>
    <row r="1852" spans="1:4" x14ac:dyDescent="0.35">
      <c r="A1852" t="s">
        <v>736</v>
      </c>
      <c r="B1852" t="s">
        <v>32</v>
      </c>
      <c r="C1852" t="s">
        <v>108</v>
      </c>
    </row>
    <row r="1853" spans="1:4" x14ac:dyDescent="0.35">
      <c r="A1853" t="s">
        <v>26</v>
      </c>
    </row>
    <row r="1854" spans="1:4" x14ac:dyDescent="0.35">
      <c r="A1854" t="s">
        <v>76</v>
      </c>
    </row>
    <row r="1855" spans="1:4" x14ac:dyDescent="0.35">
      <c r="A1855" t="s">
        <v>426</v>
      </c>
    </row>
    <row r="1856" spans="1:4" x14ac:dyDescent="0.35">
      <c r="A1856" t="s">
        <v>58</v>
      </c>
    </row>
    <row r="1857" spans="1:4" x14ac:dyDescent="0.35">
      <c r="A1857" t="s">
        <v>307</v>
      </c>
      <c r="B1857" t="s">
        <v>54</v>
      </c>
      <c r="C1857" t="s">
        <v>99</v>
      </c>
      <c r="D1857" t="s">
        <v>16</v>
      </c>
    </row>
    <row r="1858" spans="1:4" x14ac:dyDescent="0.35">
      <c r="A1858" t="s">
        <v>26</v>
      </c>
    </row>
    <row r="1859" spans="1:4" x14ac:dyDescent="0.35">
      <c r="A1859" t="s">
        <v>105</v>
      </c>
    </row>
    <row r="1860" spans="1:4" x14ac:dyDescent="0.35">
      <c r="A1860" t="s">
        <v>426</v>
      </c>
    </row>
    <row r="1861" spans="1:4" x14ac:dyDescent="0.35">
      <c r="A1861" t="s">
        <v>34</v>
      </c>
    </row>
    <row r="1862" spans="1:4" x14ac:dyDescent="0.35">
      <c r="A1862" t="s">
        <v>737</v>
      </c>
      <c r="B1862" t="s">
        <v>24</v>
      </c>
      <c r="C1862" t="s">
        <v>37</v>
      </c>
    </row>
    <row r="1863" spans="1:4" x14ac:dyDescent="0.35">
      <c r="A1863" t="s">
        <v>26</v>
      </c>
    </row>
    <row r="1864" spans="1:4" x14ac:dyDescent="0.35">
      <c r="A1864" t="s">
        <v>495</v>
      </c>
    </row>
    <row r="1865" spans="1:4" x14ac:dyDescent="0.35">
      <c r="A1865" t="s">
        <v>738</v>
      </c>
    </row>
    <row r="1866" spans="1:4" x14ac:dyDescent="0.35">
      <c r="A1866" t="s">
        <v>58</v>
      </c>
    </row>
    <row r="1867" spans="1:4" x14ac:dyDescent="0.35">
      <c r="A1867" t="s">
        <v>739</v>
      </c>
      <c r="B1867" t="s">
        <v>91</v>
      </c>
      <c r="C1867" t="s">
        <v>99</v>
      </c>
      <c r="D1867" t="s">
        <v>16</v>
      </c>
    </row>
    <row r="1868" spans="1:4" x14ac:dyDescent="0.35">
      <c r="A1868" t="s">
        <v>740</v>
      </c>
      <c r="B1868" t="s">
        <v>52</v>
      </c>
    </row>
    <row r="1869" spans="1:4" x14ac:dyDescent="0.35">
      <c r="A1869" t="s">
        <v>133</v>
      </c>
      <c r="B1869" t="s">
        <v>143</v>
      </c>
      <c r="C1869" t="s">
        <v>33</v>
      </c>
      <c r="D1869" t="s">
        <v>16</v>
      </c>
    </row>
    <row r="1870" spans="1:4" x14ac:dyDescent="0.35">
      <c r="A1870" t="s">
        <v>83</v>
      </c>
    </row>
    <row r="1871" spans="1:4" x14ac:dyDescent="0.35">
      <c r="A1871" t="s">
        <v>741</v>
      </c>
    </row>
    <row r="1872" spans="1:4" x14ac:dyDescent="0.35">
      <c r="A1872" t="s">
        <v>63</v>
      </c>
    </row>
    <row r="1874" spans="1:4" x14ac:dyDescent="0.35">
      <c r="A1874" t="s">
        <v>742</v>
      </c>
    </row>
    <row r="1875" spans="1:4" x14ac:dyDescent="0.35">
      <c r="A1875" t="s">
        <v>501</v>
      </c>
      <c r="B1875" t="s">
        <v>14</v>
      </c>
      <c r="C1875" t="s">
        <v>33</v>
      </c>
      <c r="D1875" t="s">
        <v>16</v>
      </c>
    </row>
    <row r="1876" spans="1:4" x14ac:dyDescent="0.35">
      <c r="A1876" t="s">
        <v>451</v>
      </c>
    </row>
    <row r="1877" spans="1:4" x14ac:dyDescent="0.35">
      <c r="A1877" t="s">
        <v>301</v>
      </c>
    </row>
    <row r="1878" spans="1:4" x14ac:dyDescent="0.35">
      <c r="A1878" t="s">
        <v>85</v>
      </c>
      <c r="B1878" t="s">
        <v>32</v>
      </c>
      <c r="C1878" t="s">
        <v>33</v>
      </c>
      <c r="D1878" t="s">
        <v>16</v>
      </c>
    </row>
    <row r="1879" spans="1:4" x14ac:dyDescent="0.35">
      <c r="A1879" t="s">
        <v>123</v>
      </c>
    </row>
    <row r="1880" spans="1:4" x14ac:dyDescent="0.35">
      <c r="A1880" t="s">
        <v>77</v>
      </c>
      <c r="B1880" t="s">
        <v>54</v>
      </c>
      <c r="C1880" t="s">
        <v>108</v>
      </c>
    </row>
    <row r="1881" spans="1:4" x14ac:dyDescent="0.35">
      <c r="A1881" t="s">
        <v>105</v>
      </c>
    </row>
    <row r="1882" spans="1:4" x14ac:dyDescent="0.35">
      <c r="A1882" t="s">
        <v>40</v>
      </c>
      <c r="B1882" t="s">
        <v>36</v>
      </c>
      <c r="C1882" t="s">
        <v>33</v>
      </c>
      <c r="D1882" t="s">
        <v>16</v>
      </c>
    </row>
    <row r="1883" spans="1:4" x14ac:dyDescent="0.35">
      <c r="A1883" t="s">
        <v>743</v>
      </c>
    </row>
    <row r="1884" spans="1:4" x14ac:dyDescent="0.35">
      <c r="A1884" t="s">
        <v>360</v>
      </c>
    </row>
    <row r="1885" spans="1:4" x14ac:dyDescent="0.35">
      <c r="A1885" t="s">
        <v>58</v>
      </c>
    </row>
    <row r="1886" spans="1:4" x14ac:dyDescent="0.35">
      <c r="A1886" t="s">
        <v>590</v>
      </c>
    </row>
    <row r="1887" spans="1:4" x14ac:dyDescent="0.35">
      <c r="A1887" t="s">
        <v>26</v>
      </c>
    </row>
    <row r="1888" spans="1:4" x14ac:dyDescent="0.35">
      <c r="A1888" t="s">
        <v>744</v>
      </c>
    </row>
    <row r="1889" spans="1:4" x14ac:dyDescent="0.35">
      <c r="A1889" t="s">
        <v>589</v>
      </c>
      <c r="B1889" t="s">
        <v>24</v>
      </c>
      <c r="C1889" t="s">
        <v>99</v>
      </c>
      <c r="D1889" t="s">
        <v>16</v>
      </c>
    </row>
    <row r="1890" spans="1:4" x14ac:dyDescent="0.35">
      <c r="A1890" t="s">
        <v>63</v>
      </c>
    </row>
    <row r="1892" spans="1:4" x14ac:dyDescent="0.35">
      <c r="A1892" t="s">
        <v>745</v>
      </c>
    </row>
    <row r="1893" spans="1:4" x14ac:dyDescent="0.35">
      <c r="A1893" t="s">
        <v>746</v>
      </c>
    </row>
    <row r="1894" spans="1:4" x14ac:dyDescent="0.35">
      <c r="A1894" t="s">
        <v>40</v>
      </c>
      <c r="B1894" t="s">
        <v>14</v>
      </c>
      <c r="C1894" t="s">
        <v>33</v>
      </c>
      <c r="D1894" t="s">
        <v>16</v>
      </c>
    </row>
    <row r="1895" spans="1:4" x14ac:dyDescent="0.35">
      <c r="A1895" t="s">
        <v>66</v>
      </c>
    </row>
    <row r="1896" spans="1:4" x14ac:dyDescent="0.35">
      <c r="A1896" t="s">
        <v>747</v>
      </c>
    </row>
    <row r="1897" spans="1:4" x14ac:dyDescent="0.35">
      <c r="A1897" t="s">
        <v>331</v>
      </c>
    </row>
    <row r="1898" spans="1:4" x14ac:dyDescent="0.35">
      <c r="A1898" t="s">
        <v>58</v>
      </c>
    </row>
    <row r="1899" spans="1:4" x14ac:dyDescent="0.35">
      <c r="A1899" t="s">
        <v>409</v>
      </c>
      <c r="B1899" t="s">
        <v>54</v>
      </c>
      <c r="C1899" t="s">
        <v>99</v>
      </c>
      <c r="D1899" t="s">
        <v>16</v>
      </c>
    </row>
    <row r="1900" spans="1:4" x14ac:dyDescent="0.35">
      <c r="A1900" t="s">
        <v>26</v>
      </c>
    </row>
    <row r="1901" spans="1:4" x14ac:dyDescent="0.35">
      <c r="A1901" t="s">
        <v>213</v>
      </c>
    </row>
    <row r="1902" spans="1:4" x14ac:dyDescent="0.35">
      <c r="A1902" t="s">
        <v>282</v>
      </c>
    </row>
    <row r="1903" spans="1:4" x14ac:dyDescent="0.35">
      <c r="A1903" t="s">
        <v>45</v>
      </c>
    </row>
    <row r="1904" spans="1:4" x14ac:dyDescent="0.35">
      <c r="A1904" t="s">
        <v>510</v>
      </c>
      <c r="B1904" t="s">
        <v>20</v>
      </c>
      <c r="C1904" t="s">
        <v>148</v>
      </c>
    </row>
    <row r="1905" spans="1:4" x14ac:dyDescent="0.35">
      <c r="A1905" t="s">
        <v>133</v>
      </c>
      <c r="B1905" t="s">
        <v>308</v>
      </c>
      <c r="C1905" t="s">
        <v>33</v>
      </c>
      <c r="D1905" t="s">
        <v>16</v>
      </c>
    </row>
    <row r="1906" spans="1:4" x14ac:dyDescent="0.35">
      <c r="A1906" t="s">
        <v>309</v>
      </c>
    </row>
    <row r="1907" spans="1:4" x14ac:dyDescent="0.35">
      <c r="A1907" t="s">
        <v>26</v>
      </c>
    </row>
    <row r="1908" spans="1:4" x14ac:dyDescent="0.35">
      <c r="A1908" t="s">
        <v>76</v>
      </c>
    </row>
    <row r="1909" spans="1:4" x14ac:dyDescent="0.35">
      <c r="A1909" t="s">
        <v>748</v>
      </c>
    </row>
    <row r="1910" spans="1:4" x14ac:dyDescent="0.35">
      <c r="A1910" t="s">
        <v>169</v>
      </c>
    </row>
    <row r="1911" spans="1:4" x14ac:dyDescent="0.35">
      <c r="A1911" t="s">
        <v>225</v>
      </c>
    </row>
    <row r="1912" spans="1:4" x14ac:dyDescent="0.35">
      <c r="A1912" t="s">
        <v>58</v>
      </c>
    </row>
    <row r="1913" spans="1:4" x14ac:dyDescent="0.35">
      <c r="A1913" t="s">
        <v>120</v>
      </c>
    </row>
    <row r="1914" spans="1:4" x14ac:dyDescent="0.35">
      <c r="A1914" t="s">
        <v>749</v>
      </c>
      <c r="B1914" t="s">
        <v>91</v>
      </c>
      <c r="C1914" t="s">
        <v>99</v>
      </c>
      <c r="D1914" t="s">
        <v>16</v>
      </c>
    </row>
    <row r="1915" spans="1:4" x14ac:dyDescent="0.35">
      <c r="A1915" t="s">
        <v>411</v>
      </c>
    </row>
    <row r="1916" spans="1:4" x14ac:dyDescent="0.35">
      <c r="A1916" t="s">
        <v>129</v>
      </c>
      <c r="B1916" t="s">
        <v>20</v>
      </c>
      <c r="C1916" t="s">
        <v>33</v>
      </c>
      <c r="D1916" t="s">
        <v>16</v>
      </c>
    </row>
    <row r="1917" spans="1:4" x14ac:dyDescent="0.35">
      <c r="A1917" t="s">
        <v>63</v>
      </c>
    </row>
    <row r="1919" spans="1:4" x14ac:dyDescent="0.35">
      <c r="A1919" t="s">
        <v>750</v>
      </c>
    </row>
    <row r="1920" spans="1:4" x14ac:dyDescent="0.35">
      <c r="A1920" t="s">
        <v>257</v>
      </c>
    </row>
    <row r="1921" spans="1:4" x14ac:dyDescent="0.35">
      <c r="A1921" t="s">
        <v>40</v>
      </c>
      <c r="B1921" t="s">
        <v>36</v>
      </c>
      <c r="C1921" t="s">
        <v>33</v>
      </c>
      <c r="D1921" t="s">
        <v>16</v>
      </c>
    </row>
    <row r="1922" spans="1:4" x14ac:dyDescent="0.35">
      <c r="A1922" t="s">
        <v>751</v>
      </c>
    </row>
    <row r="1923" spans="1:4" x14ac:dyDescent="0.35">
      <c r="A1923" t="s">
        <v>40</v>
      </c>
      <c r="B1923" t="s">
        <v>14</v>
      </c>
      <c r="C1923" t="s">
        <v>33</v>
      </c>
      <c r="D1923" t="s">
        <v>16</v>
      </c>
    </row>
    <row r="1924" spans="1:4" x14ac:dyDescent="0.35">
      <c r="A1924" t="s">
        <v>752</v>
      </c>
    </row>
    <row r="1925" spans="1:4" x14ac:dyDescent="0.35">
      <c r="A1925" t="s">
        <v>753</v>
      </c>
    </row>
    <row r="1926" spans="1:4" x14ac:dyDescent="0.35">
      <c r="A1926" t="s">
        <v>310</v>
      </c>
    </row>
    <row r="1927" spans="1:4" x14ac:dyDescent="0.35">
      <c r="A1927" t="s">
        <v>170</v>
      </c>
    </row>
    <row r="1928" spans="1:4" x14ac:dyDescent="0.35">
      <c r="A1928" t="s">
        <v>754</v>
      </c>
      <c r="B1928" t="s">
        <v>54</v>
      </c>
      <c r="C1928" t="s">
        <v>172</v>
      </c>
    </row>
    <row r="1929" spans="1:4" x14ac:dyDescent="0.35">
      <c r="A1929" t="s">
        <v>26</v>
      </c>
    </row>
    <row r="1930" spans="1:4" x14ac:dyDescent="0.35">
      <c r="A1930" t="s">
        <v>541</v>
      </c>
    </row>
    <row r="1931" spans="1:4" x14ac:dyDescent="0.35">
      <c r="A1931" t="s">
        <v>34</v>
      </c>
    </row>
    <row r="1932" spans="1:4" x14ac:dyDescent="0.35">
      <c r="A1932" t="s">
        <v>739</v>
      </c>
      <c r="B1932" t="s">
        <v>24</v>
      </c>
      <c r="C1932" t="s">
        <v>37</v>
      </c>
    </row>
    <row r="1933" spans="1:4" x14ac:dyDescent="0.35">
      <c r="A1933" t="s">
        <v>81</v>
      </c>
      <c r="B1933" t="s">
        <v>143</v>
      </c>
    </row>
    <row r="1934" spans="1:4" x14ac:dyDescent="0.35">
      <c r="A1934" t="s">
        <v>319</v>
      </c>
    </row>
    <row r="1935" spans="1:4" x14ac:dyDescent="0.35">
      <c r="A1935" t="s">
        <v>459</v>
      </c>
    </row>
    <row r="1936" spans="1:4" x14ac:dyDescent="0.35">
      <c r="A1936" t="s">
        <v>131</v>
      </c>
    </row>
    <row r="1937" spans="1:4" x14ac:dyDescent="0.35">
      <c r="A1937" t="s">
        <v>755</v>
      </c>
      <c r="B1937" t="s">
        <v>56</v>
      </c>
      <c r="C1937" t="s">
        <v>108</v>
      </c>
    </row>
    <row r="1938" spans="1:4" x14ac:dyDescent="0.35">
      <c r="A1938" t="s">
        <v>63</v>
      </c>
    </row>
    <row r="1940" spans="1:4" x14ac:dyDescent="0.35">
      <c r="A1940" t="s">
        <v>244</v>
      </c>
    </row>
    <row r="1941" spans="1:4" x14ac:dyDescent="0.35">
      <c r="A1941" t="s">
        <v>756</v>
      </c>
    </row>
    <row r="1942" spans="1:4" x14ac:dyDescent="0.35">
      <c r="A1942" t="s">
        <v>246</v>
      </c>
    </row>
    <row r="1943" spans="1:4" x14ac:dyDescent="0.35">
      <c r="A1943" t="s">
        <v>757</v>
      </c>
    </row>
    <row r="1944" spans="1:4" x14ac:dyDescent="0.35">
      <c r="A1944" t="s">
        <v>272</v>
      </c>
    </row>
    <row r="1945" spans="1:4" x14ac:dyDescent="0.35">
      <c r="A1945" t="s">
        <v>246</v>
      </c>
    </row>
    <row r="1946" spans="1:4" x14ac:dyDescent="0.35">
      <c r="A1946" t="s">
        <v>758</v>
      </c>
    </row>
    <row r="1947" spans="1:4" x14ac:dyDescent="0.35">
      <c r="A1947" t="s">
        <v>19</v>
      </c>
      <c r="B1947" t="s">
        <v>32</v>
      </c>
      <c r="C1947" t="s">
        <v>21</v>
      </c>
      <c r="D1947" t="s">
        <v>16</v>
      </c>
    </row>
    <row r="1948" spans="1:4" x14ac:dyDescent="0.35">
      <c r="A1948" t="s">
        <v>26</v>
      </c>
    </row>
    <row r="1949" spans="1:4" x14ac:dyDescent="0.35">
      <c r="A1949" t="s">
        <v>76</v>
      </c>
    </row>
    <row r="1950" spans="1:4" x14ac:dyDescent="0.35">
      <c r="A1950" t="s">
        <v>110</v>
      </c>
      <c r="B1950" t="s">
        <v>36</v>
      </c>
      <c r="C1950" t="s">
        <v>33</v>
      </c>
      <c r="D1950" t="s">
        <v>16</v>
      </c>
    </row>
    <row r="1951" spans="1:4" x14ac:dyDescent="0.35">
      <c r="A1951" t="s">
        <v>474</v>
      </c>
    </row>
    <row r="1952" spans="1:4" x14ac:dyDescent="0.35">
      <c r="A1952" t="s">
        <v>58</v>
      </c>
    </row>
    <row r="1953" spans="1:4" x14ac:dyDescent="0.35">
      <c r="A1953" t="s">
        <v>759</v>
      </c>
    </row>
    <row r="1954" spans="1:4" x14ac:dyDescent="0.35">
      <c r="A1954" t="s">
        <v>760</v>
      </c>
      <c r="B1954" t="s">
        <v>91</v>
      </c>
      <c r="C1954" t="s">
        <v>99</v>
      </c>
      <c r="D1954" t="s">
        <v>16</v>
      </c>
    </row>
    <row r="1955" spans="1:4" x14ac:dyDescent="0.35">
      <c r="A1955" t="s">
        <v>17</v>
      </c>
    </row>
    <row r="1956" spans="1:4" x14ac:dyDescent="0.35">
      <c r="A1956" t="s">
        <v>34</v>
      </c>
    </row>
    <row r="1957" spans="1:4" x14ac:dyDescent="0.35">
      <c r="A1957" t="s">
        <v>761</v>
      </c>
    </row>
    <row r="1958" spans="1:4" x14ac:dyDescent="0.35">
      <c r="A1958" t="s">
        <v>762</v>
      </c>
      <c r="B1958" t="s">
        <v>20</v>
      </c>
      <c r="C1958" t="s">
        <v>37</v>
      </c>
    </row>
    <row r="1959" spans="1:4" x14ac:dyDescent="0.35">
      <c r="A1959" t="s">
        <v>63</v>
      </c>
    </row>
    <row r="1961" spans="1:4" x14ac:dyDescent="0.35">
      <c r="A1961" t="s">
        <v>244</v>
      </c>
    </row>
    <row r="1962" spans="1:4" x14ac:dyDescent="0.35">
      <c r="A1962" t="s">
        <v>763</v>
      </c>
    </row>
    <row r="1963" spans="1:4" x14ac:dyDescent="0.35">
      <c r="A1963" t="s">
        <v>246</v>
      </c>
    </row>
    <row r="1964" spans="1:4" x14ac:dyDescent="0.35">
      <c r="A1964" t="s">
        <v>764</v>
      </c>
    </row>
    <row r="1965" spans="1:4" x14ac:dyDescent="0.35">
      <c r="A1965" t="s">
        <v>489</v>
      </c>
    </row>
    <row r="1966" spans="1:4" x14ac:dyDescent="0.35">
      <c r="A1966" t="s">
        <v>272</v>
      </c>
    </row>
    <row r="1968" spans="1:4" x14ac:dyDescent="0.35">
      <c r="A1968" t="s">
        <v>244</v>
      </c>
    </row>
    <row r="1969" spans="1:4" x14ac:dyDescent="0.35">
      <c r="A1969" t="s">
        <v>765</v>
      </c>
    </row>
    <row r="1970" spans="1:4" x14ac:dyDescent="0.35">
      <c r="A1970" t="s">
        <v>208</v>
      </c>
      <c r="B1970" t="s">
        <v>14</v>
      </c>
      <c r="C1970" t="s">
        <v>33</v>
      </c>
      <c r="D1970" t="s">
        <v>16</v>
      </c>
    </row>
    <row r="1971" spans="1:4" x14ac:dyDescent="0.35">
      <c r="A1971" t="s">
        <v>22</v>
      </c>
    </row>
    <row r="1972" spans="1:4" x14ac:dyDescent="0.35">
      <c r="A1972" t="s">
        <v>586</v>
      </c>
    </row>
    <row r="1973" spans="1:4" x14ac:dyDescent="0.35">
      <c r="A1973" t="s">
        <v>272</v>
      </c>
    </row>
    <row r="1974" spans="1:4" x14ac:dyDescent="0.35">
      <c r="A1974" t="s">
        <v>246</v>
      </c>
    </row>
    <row r="1976" spans="1:4" x14ac:dyDescent="0.35">
      <c r="A1976" t="s">
        <v>766</v>
      </c>
    </row>
    <row r="1977" spans="1:4" x14ac:dyDescent="0.35">
      <c r="A1977" t="s">
        <v>430</v>
      </c>
    </row>
    <row r="1978" spans="1:4" x14ac:dyDescent="0.35">
      <c r="A1978" t="s">
        <v>42</v>
      </c>
    </row>
    <row r="1979" spans="1:4" x14ac:dyDescent="0.35">
      <c r="A1979" t="s">
        <v>34</v>
      </c>
    </row>
    <row r="1980" spans="1:4" x14ac:dyDescent="0.35">
      <c r="A1980" t="s">
        <v>640</v>
      </c>
    </row>
    <row r="1981" spans="1:4" x14ac:dyDescent="0.35">
      <c r="A1981" t="s">
        <v>26</v>
      </c>
    </row>
    <row r="1982" spans="1:4" x14ac:dyDescent="0.35">
      <c r="A1982" t="s">
        <v>476</v>
      </c>
    </row>
    <row r="1983" spans="1:4" x14ac:dyDescent="0.35">
      <c r="A1983" t="s">
        <v>26</v>
      </c>
    </row>
    <row r="1984" spans="1:4" x14ac:dyDescent="0.35">
      <c r="A1984" t="s">
        <v>767</v>
      </c>
    </row>
    <row r="1985" spans="1:4" x14ac:dyDescent="0.35">
      <c r="A1985" t="s">
        <v>768</v>
      </c>
      <c r="B1985" t="s">
        <v>14</v>
      </c>
      <c r="C1985" t="s">
        <v>37</v>
      </c>
    </row>
    <row r="1986" spans="1:4" x14ac:dyDescent="0.35">
      <c r="A1986" t="s">
        <v>69</v>
      </c>
    </row>
    <row r="1987" spans="1:4" x14ac:dyDescent="0.35">
      <c r="A1987" t="s">
        <v>769</v>
      </c>
    </row>
    <row r="1988" spans="1:4" x14ac:dyDescent="0.35">
      <c r="A1988" t="s">
        <v>123</v>
      </c>
    </row>
    <row r="1989" spans="1:4" x14ac:dyDescent="0.35">
      <c r="A1989" t="s">
        <v>58</v>
      </c>
    </row>
    <row r="1990" spans="1:4" x14ac:dyDescent="0.35">
      <c r="A1990" t="s">
        <v>770</v>
      </c>
      <c r="B1990" t="s">
        <v>24</v>
      </c>
      <c r="C1990" t="s">
        <v>99</v>
      </c>
      <c r="D1990" t="s">
        <v>16</v>
      </c>
    </row>
    <row r="1991" spans="1:4" x14ac:dyDescent="0.35">
      <c r="A1991" t="s">
        <v>17</v>
      </c>
    </row>
    <row r="1992" spans="1:4" x14ac:dyDescent="0.35">
      <c r="A1992" t="s">
        <v>39</v>
      </c>
    </row>
    <row r="1993" spans="1:4" x14ac:dyDescent="0.35">
      <c r="A1993" t="s">
        <v>654</v>
      </c>
    </row>
    <row r="1994" spans="1:4" x14ac:dyDescent="0.35">
      <c r="A1994" t="s">
        <v>658</v>
      </c>
      <c r="B1994" t="s">
        <v>20</v>
      </c>
      <c r="C1994" t="s">
        <v>108</v>
      </c>
    </row>
    <row r="1995" spans="1:4" x14ac:dyDescent="0.35">
      <c r="A1995" t="s">
        <v>63</v>
      </c>
    </row>
    <row r="1997" spans="1:4" x14ac:dyDescent="0.35">
      <c r="A1997" t="s">
        <v>771</v>
      </c>
    </row>
    <row r="1998" spans="1:4" x14ac:dyDescent="0.35">
      <c r="A1998" t="s">
        <v>97</v>
      </c>
    </row>
    <row r="1999" spans="1:4" x14ac:dyDescent="0.35">
      <c r="A1999" t="s">
        <v>772</v>
      </c>
      <c r="B1999" t="s">
        <v>14</v>
      </c>
      <c r="C1999" t="s">
        <v>99</v>
      </c>
      <c r="D1999" t="s">
        <v>16</v>
      </c>
    </row>
    <row r="2000" spans="1:4" x14ac:dyDescent="0.35">
      <c r="A2000" t="s">
        <v>42</v>
      </c>
    </row>
    <row r="2001" spans="1:4" x14ac:dyDescent="0.35">
      <c r="A2001" t="s">
        <v>499</v>
      </c>
    </row>
    <row r="2002" spans="1:4" x14ac:dyDescent="0.35">
      <c r="A2002" t="s">
        <v>773</v>
      </c>
    </row>
    <row r="2003" spans="1:4" x14ac:dyDescent="0.35">
      <c r="A2003" t="s">
        <v>338</v>
      </c>
      <c r="B2003" t="s">
        <v>54</v>
      </c>
      <c r="C2003" t="s">
        <v>339</v>
      </c>
    </row>
    <row r="2004" spans="1:4" x14ac:dyDescent="0.35">
      <c r="A2004" t="s">
        <v>17</v>
      </c>
    </row>
    <row r="2005" spans="1:4" x14ac:dyDescent="0.35">
      <c r="A2005" t="s">
        <v>510</v>
      </c>
      <c r="B2005" t="s">
        <v>54</v>
      </c>
      <c r="C2005" t="s">
        <v>148</v>
      </c>
    </row>
    <row r="2006" spans="1:4" x14ac:dyDescent="0.35">
      <c r="A2006" t="s">
        <v>133</v>
      </c>
      <c r="B2006" t="s">
        <v>41</v>
      </c>
      <c r="C2006" t="s">
        <v>33</v>
      </c>
      <c r="D2006" t="s">
        <v>16</v>
      </c>
    </row>
    <row r="2007" spans="1:4" x14ac:dyDescent="0.35">
      <c r="A2007" t="s">
        <v>309</v>
      </c>
    </row>
    <row r="2008" spans="1:4" x14ac:dyDescent="0.35">
      <c r="A2008" t="s">
        <v>26</v>
      </c>
    </row>
    <row r="2009" spans="1:4" x14ac:dyDescent="0.35">
      <c r="A2009" t="s">
        <v>76</v>
      </c>
    </row>
    <row r="2010" spans="1:4" x14ac:dyDescent="0.35">
      <c r="A2010" t="s">
        <v>133</v>
      </c>
      <c r="B2010" t="s">
        <v>36</v>
      </c>
      <c r="C2010" t="s">
        <v>33</v>
      </c>
      <c r="D2010" t="s">
        <v>16</v>
      </c>
    </row>
    <row r="2011" spans="1:4" x14ac:dyDescent="0.35">
      <c r="A2011" t="s">
        <v>774</v>
      </c>
    </row>
    <row r="2012" spans="1:4" x14ac:dyDescent="0.35">
      <c r="A2012" t="s">
        <v>131</v>
      </c>
    </row>
    <row r="2013" spans="1:4" x14ac:dyDescent="0.35">
      <c r="A2013" t="s">
        <v>31</v>
      </c>
      <c r="B2013" t="s">
        <v>24</v>
      </c>
      <c r="C2013" t="s">
        <v>33</v>
      </c>
      <c r="D2013" t="s">
        <v>16</v>
      </c>
    </row>
    <row r="2014" spans="1:4" x14ac:dyDescent="0.35">
      <c r="A2014" t="s">
        <v>26</v>
      </c>
    </row>
    <row r="2015" spans="1:4" x14ac:dyDescent="0.35">
      <c r="A2015" t="s">
        <v>711</v>
      </c>
    </row>
    <row r="2016" spans="1:4" x14ac:dyDescent="0.35">
      <c r="A2016" t="s">
        <v>775</v>
      </c>
    </row>
    <row r="2017" spans="1:4" x14ac:dyDescent="0.35">
      <c r="A2017" t="s">
        <v>26</v>
      </c>
    </row>
    <row r="2018" spans="1:4" x14ac:dyDescent="0.35">
      <c r="A2018" t="s">
        <v>599</v>
      </c>
    </row>
    <row r="2019" spans="1:4" x14ac:dyDescent="0.35">
      <c r="A2019" t="s">
        <v>147</v>
      </c>
      <c r="B2019" t="s">
        <v>56</v>
      </c>
      <c r="C2019" t="s">
        <v>148</v>
      </c>
    </row>
    <row r="2020" spans="1:4" x14ac:dyDescent="0.35">
      <c r="A2020" t="s">
        <v>776</v>
      </c>
      <c r="B2020" t="s">
        <v>41</v>
      </c>
      <c r="C2020" t="s">
        <v>172</v>
      </c>
    </row>
    <row r="2021" spans="1:4" x14ac:dyDescent="0.35">
      <c r="A2021" t="s">
        <v>42</v>
      </c>
    </row>
    <row r="2022" spans="1:4" x14ac:dyDescent="0.35">
      <c r="A2022" t="s">
        <v>134</v>
      </c>
    </row>
    <row r="2023" spans="1:4" x14ac:dyDescent="0.35">
      <c r="A2023" t="s">
        <v>45</v>
      </c>
    </row>
    <row r="2024" spans="1:4" x14ac:dyDescent="0.35">
      <c r="A2024" t="s">
        <v>777</v>
      </c>
    </row>
    <row r="2025" spans="1:4" x14ac:dyDescent="0.35">
      <c r="A2025" t="s">
        <v>69</v>
      </c>
    </row>
    <row r="2026" spans="1:4" x14ac:dyDescent="0.35">
      <c r="A2026" t="s">
        <v>58</v>
      </c>
    </row>
    <row r="2027" spans="1:4" x14ac:dyDescent="0.35">
      <c r="A2027" t="s">
        <v>770</v>
      </c>
      <c r="B2027" t="s">
        <v>56</v>
      </c>
      <c r="C2027" t="s">
        <v>15</v>
      </c>
      <c r="D2027" t="s">
        <v>16</v>
      </c>
    </row>
    <row r="2028" spans="1:4" x14ac:dyDescent="0.35">
      <c r="A2028" t="s">
        <v>17</v>
      </c>
    </row>
    <row r="2029" spans="1:4" x14ac:dyDescent="0.35">
      <c r="A2029" t="s">
        <v>31</v>
      </c>
      <c r="B2029" t="s">
        <v>48</v>
      </c>
      <c r="C2029" t="s">
        <v>33</v>
      </c>
      <c r="D2029" t="s">
        <v>16</v>
      </c>
    </row>
    <row r="2030" spans="1:4" x14ac:dyDescent="0.35">
      <c r="A2030" t="s">
        <v>63</v>
      </c>
    </row>
    <row r="2032" spans="1:4" x14ac:dyDescent="0.35">
      <c r="A2032" t="s">
        <v>778</v>
      </c>
    </row>
    <row r="2033" spans="1:4" x14ac:dyDescent="0.35">
      <c r="A2033" t="s">
        <v>110</v>
      </c>
      <c r="B2033" t="s">
        <v>14</v>
      </c>
      <c r="C2033" t="s">
        <v>33</v>
      </c>
      <c r="D2033" t="s">
        <v>16</v>
      </c>
    </row>
    <row r="2034" spans="1:4" x14ac:dyDescent="0.35">
      <c r="A2034" t="s">
        <v>42</v>
      </c>
    </row>
    <row r="2035" spans="1:4" x14ac:dyDescent="0.35">
      <c r="A2035" t="s">
        <v>131</v>
      </c>
    </row>
    <row r="2036" spans="1:4" x14ac:dyDescent="0.35">
      <c r="A2036" t="s">
        <v>19</v>
      </c>
      <c r="B2036" t="s">
        <v>54</v>
      </c>
      <c r="C2036" t="s">
        <v>21</v>
      </c>
      <c r="D2036" t="s">
        <v>16</v>
      </c>
    </row>
    <row r="2037" spans="1:4" x14ac:dyDescent="0.35">
      <c r="A2037" t="s">
        <v>22</v>
      </c>
    </row>
    <row r="2038" spans="1:4" x14ac:dyDescent="0.35">
      <c r="A2038" t="s">
        <v>779</v>
      </c>
      <c r="B2038" t="s">
        <v>54</v>
      </c>
      <c r="C2038" t="s">
        <v>15</v>
      </c>
      <c r="D2038" t="s">
        <v>16</v>
      </c>
    </row>
    <row r="2039" spans="1:4" x14ac:dyDescent="0.35">
      <c r="A2039" t="s">
        <v>26</v>
      </c>
    </row>
    <row r="2040" spans="1:4" x14ac:dyDescent="0.35">
      <c r="A2040" t="s">
        <v>76</v>
      </c>
    </row>
    <row r="2041" spans="1:4" x14ac:dyDescent="0.35">
      <c r="A2041" t="s">
        <v>110</v>
      </c>
      <c r="B2041" t="s">
        <v>36</v>
      </c>
      <c r="C2041" t="s">
        <v>33</v>
      </c>
      <c r="D2041" t="s">
        <v>16</v>
      </c>
    </row>
    <row r="2042" spans="1:4" x14ac:dyDescent="0.35">
      <c r="A2042" t="s">
        <v>752</v>
      </c>
    </row>
    <row r="2043" spans="1:4" x14ac:dyDescent="0.35">
      <c r="A2043" t="s">
        <v>103</v>
      </c>
    </row>
    <row r="2044" spans="1:4" x14ac:dyDescent="0.35">
      <c r="A2044" t="s">
        <v>348</v>
      </c>
    </row>
    <row r="2045" spans="1:4" x14ac:dyDescent="0.35">
      <c r="A2045" t="s">
        <v>59</v>
      </c>
      <c r="B2045" t="s">
        <v>24</v>
      </c>
      <c r="C2045" t="s">
        <v>37</v>
      </c>
    </row>
    <row r="2046" spans="1:4" x14ac:dyDescent="0.35">
      <c r="A2046" t="s">
        <v>131</v>
      </c>
    </row>
    <row r="2047" spans="1:4" x14ac:dyDescent="0.35">
      <c r="A2047" t="s">
        <v>47</v>
      </c>
      <c r="B2047" t="s">
        <v>56</v>
      </c>
      <c r="C2047" t="s">
        <v>49</v>
      </c>
      <c r="D2047" t="s">
        <v>16</v>
      </c>
    </row>
    <row r="2048" spans="1:4" x14ac:dyDescent="0.35">
      <c r="A2048" t="s">
        <v>558</v>
      </c>
      <c r="B2048" t="s">
        <v>20</v>
      </c>
      <c r="C2048" t="s">
        <v>15</v>
      </c>
      <c r="D2048" t="s">
        <v>16</v>
      </c>
    </row>
    <row r="2049" spans="1:4" x14ac:dyDescent="0.35">
      <c r="A2049" t="s">
        <v>63</v>
      </c>
    </row>
    <row r="2051" spans="1:4" x14ac:dyDescent="0.35">
      <c r="A2051" t="s">
        <v>780</v>
      </c>
    </row>
    <row r="2052" spans="1:4" x14ac:dyDescent="0.35">
      <c r="A2052" t="s">
        <v>208</v>
      </c>
      <c r="B2052" t="s">
        <v>14</v>
      </c>
      <c r="C2052" t="s">
        <v>33</v>
      </c>
      <c r="D2052" t="s">
        <v>16</v>
      </c>
    </row>
    <row r="2053" spans="1:4" x14ac:dyDescent="0.35">
      <c r="A2053" t="s">
        <v>42</v>
      </c>
    </row>
    <row r="2054" spans="1:4" x14ac:dyDescent="0.35">
      <c r="A2054" t="s">
        <v>452</v>
      </c>
    </row>
    <row r="2055" spans="1:4" x14ac:dyDescent="0.35">
      <c r="A2055" t="s">
        <v>76</v>
      </c>
    </row>
    <row r="2056" spans="1:4" x14ac:dyDescent="0.35">
      <c r="A2056" t="s">
        <v>781</v>
      </c>
    </row>
    <row r="2057" spans="1:4" x14ac:dyDescent="0.35">
      <c r="A2057" t="s">
        <v>26</v>
      </c>
    </row>
    <row r="2058" spans="1:4" x14ac:dyDescent="0.35">
      <c r="A2058" t="s">
        <v>47</v>
      </c>
      <c r="B2058" t="s">
        <v>24</v>
      </c>
      <c r="C2058" t="s">
        <v>49</v>
      </c>
      <c r="D2058" t="s">
        <v>16</v>
      </c>
    </row>
    <row r="2059" spans="1:4" x14ac:dyDescent="0.35">
      <c r="A2059" t="s">
        <v>782</v>
      </c>
      <c r="B2059" t="s">
        <v>54</v>
      </c>
      <c r="C2059" t="s">
        <v>15</v>
      </c>
      <c r="D2059" t="s">
        <v>16</v>
      </c>
    </row>
    <row r="2060" spans="1:4" x14ac:dyDescent="0.35">
      <c r="A2060" t="s">
        <v>783</v>
      </c>
    </row>
    <row r="2061" spans="1:4" x14ac:dyDescent="0.35">
      <c r="A2061" t="s">
        <v>383</v>
      </c>
    </row>
    <row r="2062" spans="1:4" x14ac:dyDescent="0.35">
      <c r="A2062" t="s">
        <v>123</v>
      </c>
    </row>
    <row r="2063" spans="1:4" x14ac:dyDescent="0.35">
      <c r="A2063" t="s">
        <v>58</v>
      </c>
    </row>
    <row r="2064" spans="1:4" x14ac:dyDescent="0.35">
      <c r="A2064" t="s">
        <v>784</v>
      </c>
      <c r="B2064" t="s">
        <v>20</v>
      </c>
      <c r="C2064" t="s">
        <v>99</v>
      </c>
      <c r="D2064" t="s">
        <v>16</v>
      </c>
    </row>
    <row r="2065" spans="1:4" x14ac:dyDescent="0.35">
      <c r="A2065" t="s">
        <v>63</v>
      </c>
    </row>
    <row r="2067" spans="1:4" x14ac:dyDescent="0.35">
      <c r="A2067" t="s">
        <v>785</v>
      </c>
    </row>
    <row r="2068" spans="1:4" x14ac:dyDescent="0.35">
      <c r="A2068" t="s">
        <v>786</v>
      </c>
    </row>
    <row r="2069" spans="1:4" x14ac:dyDescent="0.35">
      <c r="A2069" t="s">
        <v>620</v>
      </c>
    </row>
    <row r="2070" spans="1:4" x14ac:dyDescent="0.35">
      <c r="A2070" t="s">
        <v>376</v>
      </c>
      <c r="B2070" t="s">
        <v>14</v>
      </c>
      <c r="C2070" t="s">
        <v>33</v>
      </c>
      <c r="D2070" t="s">
        <v>16</v>
      </c>
    </row>
    <row r="2071" spans="1:4" x14ac:dyDescent="0.35">
      <c r="A2071" t="s">
        <v>240</v>
      </c>
    </row>
    <row r="2072" spans="1:4" x14ac:dyDescent="0.35">
      <c r="A2072" t="s">
        <v>397</v>
      </c>
    </row>
    <row r="2073" spans="1:4" x14ac:dyDescent="0.35">
      <c r="A2073" t="s">
        <v>123</v>
      </c>
    </row>
    <row r="2074" spans="1:4" x14ac:dyDescent="0.35">
      <c r="A2074" t="s">
        <v>34</v>
      </c>
    </row>
    <row r="2075" spans="1:4" x14ac:dyDescent="0.35">
      <c r="A2075" t="s">
        <v>787</v>
      </c>
      <c r="B2075" t="s">
        <v>54</v>
      </c>
      <c r="C2075" t="s">
        <v>37</v>
      </c>
    </row>
    <row r="2076" spans="1:4" x14ac:dyDescent="0.35">
      <c r="A2076" t="s">
        <v>26</v>
      </c>
    </row>
    <row r="2077" spans="1:4" x14ac:dyDescent="0.35">
      <c r="A2077" t="s">
        <v>788</v>
      </c>
    </row>
    <row r="2078" spans="1:4" x14ac:dyDescent="0.35">
      <c r="A2078" t="s">
        <v>789</v>
      </c>
      <c r="B2078" t="s">
        <v>91</v>
      </c>
      <c r="C2078" t="s">
        <v>108</v>
      </c>
    </row>
    <row r="2079" spans="1:4" x14ac:dyDescent="0.35">
      <c r="A2079" t="s">
        <v>26</v>
      </c>
    </row>
    <row r="2080" spans="1:4" x14ac:dyDescent="0.35">
      <c r="A2080" t="s">
        <v>76</v>
      </c>
    </row>
    <row r="2081" spans="1:4" x14ac:dyDescent="0.35">
      <c r="A2081" t="s">
        <v>47</v>
      </c>
      <c r="B2081" t="s">
        <v>24</v>
      </c>
      <c r="C2081" t="s">
        <v>49</v>
      </c>
      <c r="D2081" t="s">
        <v>16</v>
      </c>
    </row>
    <row r="2082" spans="1:4" x14ac:dyDescent="0.35">
      <c r="A2082" t="s">
        <v>790</v>
      </c>
      <c r="B2082" t="s">
        <v>54</v>
      </c>
      <c r="C2082" t="s">
        <v>15</v>
      </c>
      <c r="D2082" t="s">
        <v>16</v>
      </c>
    </row>
    <row r="2083" spans="1:4" x14ac:dyDescent="0.35">
      <c r="A2083" t="s">
        <v>791</v>
      </c>
    </row>
    <row r="2084" spans="1:4" x14ac:dyDescent="0.35">
      <c r="A2084" t="s">
        <v>123</v>
      </c>
    </row>
    <row r="2085" spans="1:4" x14ac:dyDescent="0.35">
      <c r="A2085" t="s">
        <v>792</v>
      </c>
      <c r="B2085" t="s">
        <v>20</v>
      </c>
      <c r="C2085" t="s">
        <v>108</v>
      </c>
    </row>
    <row r="2086" spans="1:4" x14ac:dyDescent="0.35">
      <c r="A2086" t="s">
        <v>63</v>
      </c>
    </row>
    <row r="2088" spans="1:4" x14ac:dyDescent="0.35">
      <c r="A2088" t="s">
        <v>793</v>
      </c>
    </row>
    <row r="2089" spans="1:4" x14ac:dyDescent="0.35">
      <c r="A2089" t="s">
        <v>710</v>
      </c>
    </row>
    <row r="2090" spans="1:4" x14ac:dyDescent="0.35">
      <c r="A2090" t="s">
        <v>58</v>
      </c>
    </row>
    <row r="2091" spans="1:4" x14ac:dyDescent="0.35">
      <c r="A2091" t="s">
        <v>794</v>
      </c>
    </row>
    <row r="2092" spans="1:4" x14ac:dyDescent="0.35">
      <c r="A2092" t="s">
        <v>59</v>
      </c>
    </row>
    <row r="2093" spans="1:4" x14ac:dyDescent="0.35">
      <c r="A2093" t="s">
        <v>250</v>
      </c>
      <c r="B2093" t="s">
        <v>54</v>
      </c>
      <c r="C2093" t="s">
        <v>21</v>
      </c>
      <c r="D2093" t="s">
        <v>16</v>
      </c>
    </row>
    <row r="2094" spans="1:4" x14ac:dyDescent="0.35">
      <c r="A2094" t="s">
        <v>795</v>
      </c>
    </row>
    <row r="2095" spans="1:4" x14ac:dyDescent="0.35">
      <c r="A2095" t="s">
        <v>34</v>
      </c>
    </row>
    <row r="2096" spans="1:4" x14ac:dyDescent="0.35">
      <c r="A2096" t="s">
        <v>796</v>
      </c>
      <c r="B2096" t="s">
        <v>32</v>
      </c>
      <c r="C2096" t="s">
        <v>37</v>
      </c>
    </row>
    <row r="2097" spans="1:4" x14ac:dyDescent="0.35">
      <c r="A2097" t="s">
        <v>17</v>
      </c>
    </row>
    <row r="2098" spans="1:4" x14ac:dyDescent="0.35">
      <c r="A2098" t="s">
        <v>797</v>
      </c>
      <c r="B2098" t="s">
        <v>24</v>
      </c>
      <c r="C2098" t="s">
        <v>108</v>
      </c>
    </row>
    <row r="2099" spans="1:4" x14ac:dyDescent="0.35">
      <c r="A2099" t="s">
        <v>76</v>
      </c>
    </row>
    <row r="2100" spans="1:4" x14ac:dyDescent="0.35">
      <c r="A2100" t="s">
        <v>798</v>
      </c>
    </row>
    <row r="2101" spans="1:4" x14ac:dyDescent="0.35">
      <c r="A2101" t="s">
        <v>799</v>
      </c>
    </row>
    <row r="2102" spans="1:4" x14ac:dyDescent="0.35">
      <c r="A2102" t="s">
        <v>558</v>
      </c>
      <c r="B2102" t="s">
        <v>91</v>
      </c>
      <c r="C2102" t="s">
        <v>15</v>
      </c>
      <c r="D2102" t="s">
        <v>16</v>
      </c>
    </row>
    <row r="2103" spans="1:4" x14ac:dyDescent="0.35">
      <c r="A2103" t="s">
        <v>800</v>
      </c>
    </row>
    <row r="2104" spans="1:4" x14ac:dyDescent="0.35">
      <c r="A2104" t="s">
        <v>164</v>
      </c>
    </row>
    <row r="2105" spans="1:4" x14ac:dyDescent="0.35">
      <c r="A2105" t="s">
        <v>58</v>
      </c>
    </row>
    <row r="2106" spans="1:4" x14ac:dyDescent="0.35">
      <c r="A2106" t="s">
        <v>687</v>
      </c>
      <c r="B2106" t="s">
        <v>24</v>
      </c>
      <c r="C2106" t="s">
        <v>99</v>
      </c>
      <c r="D2106" t="s">
        <v>16</v>
      </c>
    </row>
    <row r="2107" spans="1:4" x14ac:dyDescent="0.35">
      <c r="A2107" t="s">
        <v>63</v>
      </c>
    </row>
    <row r="2109" spans="1:4" x14ac:dyDescent="0.35">
      <c r="A2109" t="s">
        <v>801</v>
      </c>
    </row>
    <row r="2110" spans="1:4" x14ac:dyDescent="0.35">
      <c r="A2110" t="s">
        <v>110</v>
      </c>
      <c r="B2110" t="s">
        <v>14</v>
      </c>
      <c r="C2110" t="s">
        <v>33</v>
      </c>
      <c r="D2110" t="s">
        <v>16</v>
      </c>
    </row>
    <row r="2111" spans="1:4" x14ac:dyDescent="0.35">
      <c r="A2111" t="s">
        <v>802</v>
      </c>
    </row>
    <row r="2112" spans="1:4" x14ac:dyDescent="0.35">
      <c r="A2112" t="s">
        <v>45</v>
      </c>
    </row>
    <row r="2113" spans="1:4" x14ac:dyDescent="0.35">
      <c r="A2113" t="s">
        <v>259</v>
      </c>
      <c r="B2113" t="s">
        <v>24</v>
      </c>
      <c r="C2113" t="s">
        <v>49</v>
      </c>
      <c r="D2113" t="s">
        <v>16</v>
      </c>
    </row>
    <row r="2114" spans="1:4" x14ac:dyDescent="0.35">
      <c r="A2114" t="s">
        <v>672</v>
      </c>
      <c r="B2114" t="s">
        <v>54</v>
      </c>
      <c r="C2114" t="s">
        <v>15</v>
      </c>
      <c r="D2114" t="s">
        <v>16</v>
      </c>
    </row>
    <row r="2115" spans="1:4" x14ac:dyDescent="0.35">
      <c r="A2115" t="s">
        <v>26</v>
      </c>
    </row>
    <row r="2116" spans="1:4" x14ac:dyDescent="0.35">
      <c r="A2116" t="s">
        <v>259</v>
      </c>
      <c r="B2116" t="s">
        <v>24</v>
      </c>
      <c r="C2116" t="s">
        <v>49</v>
      </c>
      <c r="D2116" t="s">
        <v>16</v>
      </c>
    </row>
    <row r="2117" spans="1:4" x14ac:dyDescent="0.35">
      <c r="A2117" t="s">
        <v>803</v>
      </c>
    </row>
    <row r="2118" spans="1:4" x14ac:dyDescent="0.35">
      <c r="A2118" t="s">
        <v>668</v>
      </c>
      <c r="B2118" t="s">
        <v>32</v>
      </c>
      <c r="C2118" t="s">
        <v>15</v>
      </c>
      <c r="D2118" t="s">
        <v>16</v>
      </c>
    </row>
    <row r="2119" spans="1:4" x14ac:dyDescent="0.35">
      <c r="A2119" t="s">
        <v>804</v>
      </c>
    </row>
    <row r="2120" spans="1:4" x14ac:dyDescent="0.35">
      <c r="A2120" t="s">
        <v>259</v>
      </c>
      <c r="B2120" t="s">
        <v>56</v>
      </c>
      <c r="C2120" t="s">
        <v>49</v>
      </c>
      <c r="D2120" t="s">
        <v>16</v>
      </c>
    </row>
    <row r="2121" spans="1:4" x14ac:dyDescent="0.35">
      <c r="A2121" t="s">
        <v>762</v>
      </c>
      <c r="B2121" t="s">
        <v>95</v>
      </c>
      <c r="C2121" t="s">
        <v>15</v>
      </c>
      <c r="D2121" t="s">
        <v>16</v>
      </c>
    </row>
    <row r="2122" spans="1:4" x14ac:dyDescent="0.35">
      <c r="A2122" t="s">
        <v>26</v>
      </c>
    </row>
    <row r="2123" spans="1:4" x14ac:dyDescent="0.35">
      <c r="A2123" t="s">
        <v>259</v>
      </c>
      <c r="B2123" t="s">
        <v>56</v>
      </c>
      <c r="C2123" t="s">
        <v>49</v>
      </c>
      <c r="D2123" t="s">
        <v>16</v>
      </c>
    </row>
    <row r="2124" spans="1:4" x14ac:dyDescent="0.35">
      <c r="A2124" t="s">
        <v>463</v>
      </c>
      <c r="B2124" t="s">
        <v>95</v>
      </c>
      <c r="C2124" t="s">
        <v>15</v>
      </c>
      <c r="D2124" t="s">
        <v>16</v>
      </c>
    </row>
    <row r="2125" spans="1:4" x14ac:dyDescent="0.35">
      <c r="A2125" t="s">
        <v>805</v>
      </c>
    </row>
    <row r="2126" spans="1:4" x14ac:dyDescent="0.35">
      <c r="A2126" t="s">
        <v>196</v>
      </c>
    </row>
    <row r="2127" spans="1:4" x14ac:dyDescent="0.35">
      <c r="A2127" t="s">
        <v>58</v>
      </c>
    </row>
    <row r="2128" spans="1:4" x14ac:dyDescent="0.35">
      <c r="A2128" t="s">
        <v>806</v>
      </c>
    </row>
    <row r="2129" spans="1:4" x14ac:dyDescent="0.35">
      <c r="A2129" t="s">
        <v>807</v>
      </c>
      <c r="B2129" t="s">
        <v>48</v>
      </c>
      <c r="C2129" t="s">
        <v>99</v>
      </c>
      <c r="D2129" t="s">
        <v>16</v>
      </c>
    </row>
    <row r="2130" spans="1:4" x14ac:dyDescent="0.35">
      <c r="A2130" t="s">
        <v>73</v>
      </c>
      <c r="B2130" t="s">
        <v>82</v>
      </c>
    </row>
    <row r="2131" spans="1:4" x14ac:dyDescent="0.35">
      <c r="A2131" t="s">
        <v>111</v>
      </c>
    </row>
    <row r="2132" spans="1:4" x14ac:dyDescent="0.35">
      <c r="A2132" t="s">
        <v>808</v>
      </c>
    </row>
    <row r="2133" spans="1:4" x14ac:dyDescent="0.35">
      <c r="A2133" t="s">
        <v>489</v>
      </c>
    </row>
    <row r="2134" spans="1:4" x14ac:dyDescent="0.35">
      <c r="A2134" t="s">
        <v>164</v>
      </c>
    </row>
    <row r="2135" spans="1:4" x14ac:dyDescent="0.35">
      <c r="A2135" t="s">
        <v>129</v>
      </c>
      <c r="B2135" t="s">
        <v>149</v>
      </c>
      <c r="C2135" t="s">
        <v>33</v>
      </c>
      <c r="D2135" t="s">
        <v>16</v>
      </c>
    </row>
    <row r="2136" spans="1:4" x14ac:dyDescent="0.35">
      <c r="A2136" t="s">
        <v>69</v>
      </c>
    </row>
    <row r="2137" spans="1:4" x14ac:dyDescent="0.35">
      <c r="A2137" t="s">
        <v>58</v>
      </c>
    </row>
    <row r="2138" spans="1:4" x14ac:dyDescent="0.35">
      <c r="A2138" t="s">
        <v>809</v>
      </c>
      <c r="B2138" t="s">
        <v>149</v>
      </c>
      <c r="C2138" t="s">
        <v>99</v>
      </c>
      <c r="D2138" t="s">
        <v>16</v>
      </c>
    </row>
    <row r="2139" spans="1:4" x14ac:dyDescent="0.35">
      <c r="A2139" t="s">
        <v>17</v>
      </c>
    </row>
    <row r="2140" spans="1:4" x14ac:dyDescent="0.35">
      <c r="A2140" t="s">
        <v>58</v>
      </c>
    </row>
    <row r="2141" spans="1:4" x14ac:dyDescent="0.35">
      <c r="A2141" t="s">
        <v>307</v>
      </c>
      <c r="B2141" t="s">
        <v>810</v>
      </c>
      <c r="C2141" t="s">
        <v>99</v>
      </c>
      <c r="D2141" t="s">
        <v>16</v>
      </c>
    </row>
    <row r="2142" spans="1:4" x14ac:dyDescent="0.35">
      <c r="A2142" t="s">
        <v>63</v>
      </c>
    </row>
    <row r="2144" spans="1:4" x14ac:dyDescent="0.35">
      <c r="A2144" t="s">
        <v>811</v>
      </c>
    </row>
    <row r="2145" spans="1:4" x14ac:dyDescent="0.35">
      <c r="A2145" t="s">
        <v>291</v>
      </c>
    </row>
    <row r="2146" spans="1:4" x14ac:dyDescent="0.35">
      <c r="A2146" t="s">
        <v>812</v>
      </c>
      <c r="B2146" t="s">
        <v>14</v>
      </c>
      <c r="C2146" t="s">
        <v>37</v>
      </c>
    </row>
    <row r="2147" spans="1:4" x14ac:dyDescent="0.35">
      <c r="A2147" t="s">
        <v>31</v>
      </c>
      <c r="B2147" t="s">
        <v>41</v>
      </c>
      <c r="C2147" t="s">
        <v>33</v>
      </c>
      <c r="D2147" t="s">
        <v>16</v>
      </c>
    </row>
    <row r="2148" spans="1:4" x14ac:dyDescent="0.35">
      <c r="A2148" t="s">
        <v>42</v>
      </c>
    </row>
    <row r="2149" spans="1:4" x14ac:dyDescent="0.35">
      <c r="A2149" t="s">
        <v>26</v>
      </c>
    </row>
    <row r="2150" spans="1:4" x14ac:dyDescent="0.35">
      <c r="A2150" t="s">
        <v>348</v>
      </c>
    </row>
    <row r="2151" spans="1:4" x14ac:dyDescent="0.35">
      <c r="A2151" t="s">
        <v>813</v>
      </c>
    </row>
    <row r="2152" spans="1:4" x14ac:dyDescent="0.35">
      <c r="A2152" t="s">
        <v>814</v>
      </c>
      <c r="B2152" t="s">
        <v>56</v>
      </c>
      <c r="C2152" t="s">
        <v>108</v>
      </c>
    </row>
    <row r="2153" spans="1:4" x14ac:dyDescent="0.35">
      <c r="A2153" t="s">
        <v>262</v>
      </c>
    </row>
    <row r="2154" spans="1:4" x14ac:dyDescent="0.35">
      <c r="A2154" t="s">
        <v>815</v>
      </c>
    </row>
    <row r="2155" spans="1:4" x14ac:dyDescent="0.35">
      <c r="A2155" t="s">
        <v>812</v>
      </c>
      <c r="B2155" t="s">
        <v>24</v>
      </c>
      <c r="C2155" t="s">
        <v>37</v>
      </c>
    </row>
    <row r="2156" spans="1:4" x14ac:dyDescent="0.35">
      <c r="A2156" t="s">
        <v>26</v>
      </c>
    </row>
    <row r="2157" spans="1:4" x14ac:dyDescent="0.35">
      <c r="A2157" t="s">
        <v>115</v>
      </c>
    </row>
    <row r="2158" spans="1:4" x14ac:dyDescent="0.35">
      <c r="A2158" t="s">
        <v>224</v>
      </c>
    </row>
    <row r="2159" spans="1:4" x14ac:dyDescent="0.35">
      <c r="A2159" t="s">
        <v>816</v>
      </c>
    </row>
    <row r="2160" spans="1:4" x14ac:dyDescent="0.35">
      <c r="A2160" t="s">
        <v>34</v>
      </c>
    </row>
    <row r="2161" spans="1:4" x14ac:dyDescent="0.35">
      <c r="A2161" t="s">
        <v>812</v>
      </c>
      <c r="B2161" t="s">
        <v>24</v>
      </c>
      <c r="C2161" t="s">
        <v>80</v>
      </c>
    </row>
    <row r="2162" spans="1:4" x14ac:dyDescent="0.35">
      <c r="A2162" t="s">
        <v>105</v>
      </c>
    </row>
    <row r="2163" spans="1:4" x14ac:dyDescent="0.35">
      <c r="A2163" t="s">
        <v>817</v>
      </c>
    </row>
    <row r="2164" spans="1:4" x14ac:dyDescent="0.35">
      <c r="A2164" t="s">
        <v>782</v>
      </c>
      <c r="B2164" t="s">
        <v>20</v>
      </c>
      <c r="C2164" t="s">
        <v>108</v>
      </c>
    </row>
    <row r="2165" spans="1:4" x14ac:dyDescent="0.35">
      <c r="A2165" t="s">
        <v>258</v>
      </c>
    </row>
    <row r="2166" spans="1:4" x14ac:dyDescent="0.35">
      <c r="A2166" t="s">
        <v>818</v>
      </c>
    </row>
    <row r="2167" spans="1:4" x14ac:dyDescent="0.35">
      <c r="A2167" t="s">
        <v>513</v>
      </c>
    </row>
    <row r="2168" spans="1:4" x14ac:dyDescent="0.35">
      <c r="A2168" t="s">
        <v>63</v>
      </c>
    </row>
    <row r="2170" spans="1:4" x14ac:dyDescent="0.35">
      <c r="A2170" t="s">
        <v>819</v>
      </c>
    </row>
    <row r="2171" spans="1:4" x14ac:dyDescent="0.35">
      <c r="A2171" t="s">
        <v>820</v>
      </c>
    </row>
    <row r="2172" spans="1:4" x14ac:dyDescent="0.35">
      <c r="A2172" t="s">
        <v>821</v>
      </c>
      <c r="B2172" t="s">
        <v>32</v>
      </c>
      <c r="C2172" t="s">
        <v>108</v>
      </c>
    </row>
    <row r="2173" spans="1:4" x14ac:dyDescent="0.35">
      <c r="A2173" t="s">
        <v>69</v>
      </c>
    </row>
    <row r="2174" spans="1:4" x14ac:dyDescent="0.35">
      <c r="A2174" t="s">
        <v>555</v>
      </c>
      <c r="B2174" t="s">
        <v>24</v>
      </c>
      <c r="C2174" t="s">
        <v>49</v>
      </c>
      <c r="D2174" t="s">
        <v>16</v>
      </c>
    </row>
    <row r="2175" spans="1:4" x14ac:dyDescent="0.35">
      <c r="A2175" t="s">
        <v>822</v>
      </c>
    </row>
    <row r="2176" spans="1:4" x14ac:dyDescent="0.35">
      <c r="A2176" t="s">
        <v>823</v>
      </c>
      <c r="B2176" t="s">
        <v>54</v>
      </c>
      <c r="C2176" t="s">
        <v>15</v>
      </c>
      <c r="D2176" t="s">
        <v>16</v>
      </c>
    </row>
    <row r="2177" spans="1:4" x14ac:dyDescent="0.35">
      <c r="A2177" t="s">
        <v>26</v>
      </c>
    </row>
    <row r="2178" spans="1:4" x14ac:dyDescent="0.35">
      <c r="A2178" t="s">
        <v>31</v>
      </c>
      <c r="B2178" t="s">
        <v>36</v>
      </c>
      <c r="C2178" t="s">
        <v>33</v>
      </c>
      <c r="D2178" t="s">
        <v>16</v>
      </c>
    </row>
    <row r="2179" spans="1:4" x14ac:dyDescent="0.35">
      <c r="A2179" t="s">
        <v>419</v>
      </c>
    </row>
    <row r="2180" spans="1:4" x14ac:dyDescent="0.35">
      <c r="A2180" t="s">
        <v>782</v>
      </c>
      <c r="B2180" t="s">
        <v>36</v>
      </c>
      <c r="C2180" t="s">
        <v>108</v>
      </c>
    </row>
    <row r="2181" spans="1:4" x14ac:dyDescent="0.35">
      <c r="A2181" t="s">
        <v>824</v>
      </c>
    </row>
    <row r="2182" spans="1:4" x14ac:dyDescent="0.35">
      <c r="A2182" t="s">
        <v>159</v>
      </c>
    </row>
    <row r="2183" spans="1:4" x14ac:dyDescent="0.35">
      <c r="A2183" t="s">
        <v>34</v>
      </c>
    </row>
    <row r="2184" spans="1:4" x14ac:dyDescent="0.35">
      <c r="A2184" t="s">
        <v>825</v>
      </c>
    </row>
    <row r="2185" spans="1:4" x14ac:dyDescent="0.35">
      <c r="A2185" t="s">
        <v>826</v>
      </c>
      <c r="B2185" t="s">
        <v>24</v>
      </c>
      <c r="C2185" t="s">
        <v>37</v>
      </c>
    </row>
    <row r="2186" spans="1:4" x14ac:dyDescent="0.35">
      <c r="A2186" t="s">
        <v>26</v>
      </c>
    </row>
    <row r="2187" spans="1:4" x14ac:dyDescent="0.35">
      <c r="A2187" t="s">
        <v>555</v>
      </c>
      <c r="B2187" t="s">
        <v>20</v>
      </c>
      <c r="C2187" t="s">
        <v>49</v>
      </c>
      <c r="D2187" t="s">
        <v>16</v>
      </c>
    </row>
    <row r="2188" spans="1:4" x14ac:dyDescent="0.35">
      <c r="A2188" t="s">
        <v>827</v>
      </c>
      <c r="B2188" t="s">
        <v>36</v>
      </c>
      <c r="C2188" t="s">
        <v>15</v>
      </c>
      <c r="D2188" t="s">
        <v>16</v>
      </c>
    </row>
    <row r="2189" spans="1:4" x14ac:dyDescent="0.35">
      <c r="A2189" t="s">
        <v>76</v>
      </c>
    </row>
    <row r="2190" spans="1:4" x14ac:dyDescent="0.35">
      <c r="A2190" t="s">
        <v>828</v>
      </c>
      <c r="B2190" t="s">
        <v>20</v>
      </c>
      <c r="C2190" t="s">
        <v>108</v>
      </c>
    </row>
    <row r="2191" spans="1:4" x14ac:dyDescent="0.35">
      <c r="A2191" t="s">
        <v>76</v>
      </c>
    </row>
    <row r="2192" spans="1:4" x14ac:dyDescent="0.35">
      <c r="A2192" t="s">
        <v>829</v>
      </c>
      <c r="B2192" t="s">
        <v>20</v>
      </c>
      <c r="C2192" t="s">
        <v>108</v>
      </c>
    </row>
    <row r="2193" spans="1:4" x14ac:dyDescent="0.35">
      <c r="A2193" t="s">
        <v>83</v>
      </c>
    </row>
    <row r="2194" spans="1:4" x14ac:dyDescent="0.35">
      <c r="A2194" t="s">
        <v>608</v>
      </c>
    </row>
    <row r="2195" spans="1:4" x14ac:dyDescent="0.35">
      <c r="A2195" t="s">
        <v>123</v>
      </c>
    </row>
    <row r="2196" spans="1:4" x14ac:dyDescent="0.35">
      <c r="A2196" t="s">
        <v>830</v>
      </c>
    </row>
    <row r="2197" spans="1:4" x14ac:dyDescent="0.35">
      <c r="A2197" t="s">
        <v>831</v>
      </c>
      <c r="B2197" t="s">
        <v>24</v>
      </c>
      <c r="C2197" t="s">
        <v>108</v>
      </c>
    </row>
    <row r="2198" spans="1:4" x14ac:dyDescent="0.35">
      <c r="A2198" t="s">
        <v>63</v>
      </c>
    </row>
    <row r="2200" spans="1:4" x14ac:dyDescent="0.35">
      <c r="A2200" t="s">
        <v>832</v>
      </c>
    </row>
    <row r="2201" spans="1:4" x14ac:dyDescent="0.35">
      <c r="A2201" t="s">
        <v>833</v>
      </c>
    </row>
    <row r="2202" spans="1:4" x14ac:dyDescent="0.35">
      <c r="A2202" t="s">
        <v>123</v>
      </c>
    </row>
    <row r="2203" spans="1:4" x14ac:dyDescent="0.35">
      <c r="A2203" t="s">
        <v>58</v>
      </c>
    </row>
    <row r="2204" spans="1:4" x14ac:dyDescent="0.35">
      <c r="A2204" t="s">
        <v>834</v>
      </c>
    </row>
    <row r="2205" spans="1:4" x14ac:dyDescent="0.35">
      <c r="A2205" t="s">
        <v>835</v>
      </c>
      <c r="B2205" t="s">
        <v>14</v>
      </c>
      <c r="C2205" t="s">
        <v>99</v>
      </c>
      <c r="D2205" t="s">
        <v>16</v>
      </c>
    </row>
    <row r="2206" spans="1:4" x14ac:dyDescent="0.35">
      <c r="A2206" t="s">
        <v>17</v>
      </c>
    </row>
    <row r="2207" spans="1:4" x14ac:dyDescent="0.35">
      <c r="A2207" t="s">
        <v>34</v>
      </c>
    </row>
    <row r="2208" spans="1:4" x14ac:dyDescent="0.35">
      <c r="A2208" t="s">
        <v>836</v>
      </c>
    </row>
    <row r="2209" spans="1:4" x14ac:dyDescent="0.35">
      <c r="A2209" t="s">
        <v>837</v>
      </c>
      <c r="B2209" t="s">
        <v>24</v>
      </c>
      <c r="C2209" t="s">
        <v>37</v>
      </c>
    </row>
    <row r="2210" spans="1:4" x14ac:dyDescent="0.35">
      <c r="A2210" t="s">
        <v>144</v>
      </c>
    </row>
    <row r="2211" spans="1:4" x14ac:dyDescent="0.35">
      <c r="A2211" t="s">
        <v>838</v>
      </c>
      <c r="B2211" t="s">
        <v>14</v>
      </c>
      <c r="C2211" t="s">
        <v>142</v>
      </c>
      <c r="D2211" t="s">
        <v>16</v>
      </c>
    </row>
    <row r="2212" spans="1:4" x14ac:dyDescent="0.35">
      <c r="A2212" t="s">
        <v>116</v>
      </c>
    </row>
    <row r="2213" spans="1:4" x14ac:dyDescent="0.35">
      <c r="A2213" t="s">
        <v>839</v>
      </c>
      <c r="B2213" t="s">
        <v>91</v>
      </c>
      <c r="C2213" t="s">
        <v>108</v>
      </c>
    </row>
    <row r="2214" spans="1:4" x14ac:dyDescent="0.35">
      <c r="A2214" t="s">
        <v>26</v>
      </c>
    </row>
    <row r="2215" spans="1:4" x14ac:dyDescent="0.35">
      <c r="A2215" t="s">
        <v>116</v>
      </c>
    </row>
    <row r="2216" spans="1:4" x14ac:dyDescent="0.35">
      <c r="A2216" t="s">
        <v>840</v>
      </c>
    </row>
    <row r="2217" spans="1:4" x14ac:dyDescent="0.35">
      <c r="A2217" t="s">
        <v>26</v>
      </c>
    </row>
    <row r="2218" spans="1:4" x14ac:dyDescent="0.35">
      <c r="A2218" t="s">
        <v>116</v>
      </c>
    </row>
    <row r="2219" spans="1:4" x14ac:dyDescent="0.35">
      <c r="A2219" t="s">
        <v>841</v>
      </c>
    </row>
    <row r="2220" spans="1:4" x14ac:dyDescent="0.35">
      <c r="A2220" t="s">
        <v>154</v>
      </c>
    </row>
    <row r="2221" spans="1:4" x14ac:dyDescent="0.35">
      <c r="A2221" t="s">
        <v>842</v>
      </c>
    </row>
    <row r="2222" spans="1:4" x14ac:dyDescent="0.35">
      <c r="A2222" t="s">
        <v>118</v>
      </c>
    </row>
    <row r="2223" spans="1:4" x14ac:dyDescent="0.35">
      <c r="A2223" t="s">
        <v>39</v>
      </c>
    </row>
    <row r="2224" spans="1:4" x14ac:dyDescent="0.35">
      <c r="A2224" t="s">
        <v>166</v>
      </c>
    </row>
    <row r="2225" spans="1:4" x14ac:dyDescent="0.35">
      <c r="A2225" t="s">
        <v>843</v>
      </c>
      <c r="B2225" t="s">
        <v>54</v>
      </c>
      <c r="C2225" t="s">
        <v>122</v>
      </c>
      <c r="D2225" t="s">
        <v>16</v>
      </c>
    </row>
    <row r="2226" spans="1:4" x14ac:dyDescent="0.35">
      <c r="A2226" t="s">
        <v>76</v>
      </c>
    </row>
    <row r="2227" spans="1:4" x14ac:dyDescent="0.35">
      <c r="A2227" t="s">
        <v>839</v>
      </c>
    </row>
    <row r="2228" spans="1:4" x14ac:dyDescent="0.35">
      <c r="A2228" t="s">
        <v>558</v>
      </c>
      <c r="B2228" t="s">
        <v>24</v>
      </c>
      <c r="C2228" t="s">
        <v>108</v>
      </c>
    </row>
    <row r="2229" spans="1:4" x14ac:dyDescent="0.35">
      <c r="A2229" t="s">
        <v>73</v>
      </c>
      <c r="B2229" t="s">
        <v>143</v>
      </c>
    </row>
    <row r="2230" spans="1:4" x14ac:dyDescent="0.35">
      <c r="A2230" t="s">
        <v>725</v>
      </c>
    </row>
    <row r="2231" spans="1:4" x14ac:dyDescent="0.35">
      <c r="A2231" t="s">
        <v>164</v>
      </c>
    </row>
    <row r="2232" spans="1:4" x14ac:dyDescent="0.35">
      <c r="A2232" t="s">
        <v>129</v>
      </c>
      <c r="B2232" t="s">
        <v>56</v>
      </c>
      <c r="C2232" t="s">
        <v>33</v>
      </c>
      <c r="D2232" t="s">
        <v>16</v>
      </c>
    </row>
    <row r="2233" spans="1:4" x14ac:dyDescent="0.35">
      <c r="A2233" t="s">
        <v>489</v>
      </c>
    </row>
    <row r="2234" spans="1:4" x14ac:dyDescent="0.35">
      <c r="A2234" t="s">
        <v>17</v>
      </c>
    </row>
    <row r="2235" spans="1:4" x14ac:dyDescent="0.35">
      <c r="A2235" t="s">
        <v>58</v>
      </c>
    </row>
    <row r="2236" spans="1:4" x14ac:dyDescent="0.35">
      <c r="A2236" t="s">
        <v>413</v>
      </c>
      <c r="B2236" t="s">
        <v>56</v>
      </c>
      <c r="C2236" t="s">
        <v>99</v>
      </c>
      <c r="D2236" t="s">
        <v>16</v>
      </c>
    </row>
    <row r="2237" spans="1:4" x14ac:dyDescent="0.35">
      <c r="A2237" t="s">
        <v>17</v>
      </c>
    </row>
    <row r="2238" spans="1:4" x14ac:dyDescent="0.35">
      <c r="A2238" t="s">
        <v>307</v>
      </c>
      <c r="B2238" t="s">
        <v>48</v>
      </c>
      <c r="C2238" t="s">
        <v>108</v>
      </c>
    </row>
    <row r="2239" spans="1:4" x14ac:dyDescent="0.35">
      <c r="A2239" t="s">
        <v>63</v>
      </c>
    </row>
    <row r="2241" spans="1:4" x14ac:dyDescent="0.35">
      <c r="A2241" t="s">
        <v>844</v>
      </c>
    </row>
    <row r="2242" spans="1:4" x14ac:dyDescent="0.35">
      <c r="A2242" t="s">
        <v>845</v>
      </c>
    </row>
    <row r="2243" spans="1:4" x14ac:dyDescent="0.35">
      <c r="A2243" t="s">
        <v>120</v>
      </c>
    </row>
    <row r="2244" spans="1:4" x14ac:dyDescent="0.35">
      <c r="A2244" t="s">
        <v>846</v>
      </c>
      <c r="B2244" t="s">
        <v>54</v>
      </c>
      <c r="C2244" t="s">
        <v>108</v>
      </c>
    </row>
    <row r="2245" spans="1:4" x14ac:dyDescent="0.35">
      <c r="A2245" t="s">
        <v>58</v>
      </c>
    </row>
    <row r="2246" spans="1:4" x14ac:dyDescent="0.35">
      <c r="A2246" t="s">
        <v>305</v>
      </c>
    </row>
    <row r="2247" spans="1:4" x14ac:dyDescent="0.35">
      <c r="A2247" t="s">
        <v>815</v>
      </c>
    </row>
    <row r="2248" spans="1:4" x14ac:dyDescent="0.35">
      <c r="A2248" t="s">
        <v>847</v>
      </c>
      <c r="B2248" t="s">
        <v>14</v>
      </c>
      <c r="C2248" t="s">
        <v>99</v>
      </c>
      <c r="D2248" t="s">
        <v>16</v>
      </c>
    </row>
    <row r="2249" spans="1:4" x14ac:dyDescent="0.35">
      <c r="A2249" t="s">
        <v>42</v>
      </c>
    </row>
    <row r="2250" spans="1:4" x14ac:dyDescent="0.35">
      <c r="A2250" t="s">
        <v>848</v>
      </c>
    </row>
    <row r="2251" spans="1:4" x14ac:dyDescent="0.35">
      <c r="A2251" t="s">
        <v>228</v>
      </c>
    </row>
    <row r="2252" spans="1:4" x14ac:dyDescent="0.35">
      <c r="A2252" t="s">
        <v>58</v>
      </c>
    </row>
    <row r="2253" spans="1:4" x14ac:dyDescent="0.35">
      <c r="A2253" t="s">
        <v>332</v>
      </c>
      <c r="B2253" t="s">
        <v>32</v>
      </c>
      <c r="C2253" t="s">
        <v>99</v>
      </c>
      <c r="D2253" t="s">
        <v>16</v>
      </c>
    </row>
    <row r="2254" spans="1:4" x14ac:dyDescent="0.35">
      <c r="A2254" t="s">
        <v>26</v>
      </c>
    </row>
    <row r="2255" spans="1:4" x14ac:dyDescent="0.35">
      <c r="A2255" t="s">
        <v>849</v>
      </c>
    </row>
    <row r="2256" spans="1:4" x14ac:dyDescent="0.35">
      <c r="A2256" t="s">
        <v>607</v>
      </c>
    </row>
    <row r="2257" spans="1:4" x14ac:dyDescent="0.35">
      <c r="A2257" t="s">
        <v>164</v>
      </c>
    </row>
    <row r="2258" spans="1:4" x14ac:dyDescent="0.35">
      <c r="A2258" t="s">
        <v>58</v>
      </c>
    </row>
    <row r="2259" spans="1:4" x14ac:dyDescent="0.35">
      <c r="A2259" t="s">
        <v>850</v>
      </c>
      <c r="B2259" t="s">
        <v>24</v>
      </c>
      <c r="C2259" t="s">
        <v>15</v>
      </c>
      <c r="D2259" t="s">
        <v>16</v>
      </c>
    </row>
    <row r="2260" spans="1:4" x14ac:dyDescent="0.35">
      <c r="A2260" t="s">
        <v>17</v>
      </c>
    </row>
    <row r="2261" spans="1:4" x14ac:dyDescent="0.35">
      <c r="A2261" t="s">
        <v>136</v>
      </c>
      <c r="B2261" t="s">
        <v>56</v>
      </c>
      <c r="C2261" t="s">
        <v>49</v>
      </c>
      <c r="D2261" t="s">
        <v>16</v>
      </c>
    </row>
    <row r="2262" spans="1:4" x14ac:dyDescent="0.35">
      <c r="A2262" t="s">
        <v>274</v>
      </c>
      <c r="B2262" t="s">
        <v>20</v>
      </c>
      <c r="C2262" t="s">
        <v>15</v>
      </c>
      <c r="D2262" t="s">
        <v>16</v>
      </c>
    </row>
    <row r="2263" spans="1:4" x14ac:dyDescent="0.35">
      <c r="A2263" t="s">
        <v>63</v>
      </c>
    </row>
    <row r="2265" spans="1:4" x14ac:dyDescent="0.35">
      <c r="A2265" t="s">
        <v>851</v>
      </c>
    </row>
    <row r="2266" spans="1:4" x14ac:dyDescent="0.35">
      <c r="A2266" t="s">
        <v>690</v>
      </c>
    </row>
    <row r="2267" spans="1:4" x14ac:dyDescent="0.35">
      <c r="A2267" t="s">
        <v>805</v>
      </c>
    </row>
    <row r="2268" spans="1:4" x14ac:dyDescent="0.35">
      <c r="A2268" t="s">
        <v>83</v>
      </c>
    </row>
    <row r="2269" spans="1:4" x14ac:dyDescent="0.35">
      <c r="A2269" t="s">
        <v>133</v>
      </c>
      <c r="B2269" t="s">
        <v>14</v>
      </c>
      <c r="C2269" t="s">
        <v>33</v>
      </c>
      <c r="D2269" t="s">
        <v>16</v>
      </c>
    </row>
    <row r="2270" spans="1:4" x14ac:dyDescent="0.35">
      <c r="A2270" t="s">
        <v>196</v>
      </c>
    </row>
    <row r="2271" spans="1:4" x14ac:dyDescent="0.35">
      <c r="A2271" t="s">
        <v>58</v>
      </c>
    </row>
    <row r="2272" spans="1:4" x14ac:dyDescent="0.35">
      <c r="A2272" t="s">
        <v>852</v>
      </c>
      <c r="B2272" t="s">
        <v>24</v>
      </c>
      <c r="C2272" t="s">
        <v>99</v>
      </c>
      <c r="D2272" t="s">
        <v>16</v>
      </c>
    </row>
    <row r="2273" spans="1:4" x14ac:dyDescent="0.35">
      <c r="A2273" t="s">
        <v>39</v>
      </c>
      <c r="B2273" t="s">
        <v>52</v>
      </c>
    </row>
    <row r="2274" spans="1:4" x14ac:dyDescent="0.35">
      <c r="A2274" t="s">
        <v>133</v>
      </c>
      <c r="B2274" t="s">
        <v>143</v>
      </c>
      <c r="C2274" t="s">
        <v>33</v>
      </c>
      <c r="D2274" t="s">
        <v>16</v>
      </c>
    </row>
    <row r="2275" spans="1:4" x14ac:dyDescent="0.35">
      <c r="A2275" t="s">
        <v>853</v>
      </c>
    </row>
    <row r="2276" spans="1:4" x14ac:dyDescent="0.35">
      <c r="A2276" t="s">
        <v>85</v>
      </c>
      <c r="B2276" t="s">
        <v>52</v>
      </c>
      <c r="C2276" t="s">
        <v>33</v>
      </c>
      <c r="D2276" t="s">
        <v>16</v>
      </c>
    </row>
    <row r="2277" spans="1:4" x14ac:dyDescent="0.35">
      <c r="A2277" t="s">
        <v>45</v>
      </c>
    </row>
    <row r="2278" spans="1:4" x14ac:dyDescent="0.35">
      <c r="A2278" t="s">
        <v>854</v>
      </c>
    </row>
    <row r="2279" spans="1:4" x14ac:dyDescent="0.35">
      <c r="A2279" t="s">
        <v>587</v>
      </c>
    </row>
    <row r="2280" spans="1:4" x14ac:dyDescent="0.35">
      <c r="A2280" t="s">
        <v>133</v>
      </c>
      <c r="B2280" t="s">
        <v>151</v>
      </c>
      <c r="C2280" t="s">
        <v>33</v>
      </c>
      <c r="D2280" t="s">
        <v>16</v>
      </c>
    </row>
    <row r="2281" spans="1:4" x14ac:dyDescent="0.35">
      <c r="A2281" t="s">
        <v>111</v>
      </c>
    </row>
    <row r="2282" spans="1:4" x14ac:dyDescent="0.35">
      <c r="A2282" t="s">
        <v>855</v>
      </c>
    </row>
    <row r="2283" spans="1:4" x14ac:dyDescent="0.35">
      <c r="A2283" t="s">
        <v>136</v>
      </c>
      <c r="B2283" t="s">
        <v>149</v>
      </c>
      <c r="C2283" t="s">
        <v>49</v>
      </c>
      <c r="D2283" t="s">
        <v>16</v>
      </c>
    </row>
    <row r="2284" spans="1:4" x14ac:dyDescent="0.35">
      <c r="A2284" t="s">
        <v>856</v>
      </c>
      <c r="B2284" t="s">
        <v>512</v>
      </c>
      <c r="C2284" t="s">
        <v>15</v>
      </c>
      <c r="D2284" t="s">
        <v>16</v>
      </c>
    </row>
    <row r="2285" spans="1:4" x14ac:dyDescent="0.35">
      <c r="A2285" t="s">
        <v>63</v>
      </c>
    </row>
    <row r="2287" spans="1:4" x14ac:dyDescent="0.35">
      <c r="A2287" t="s">
        <v>857</v>
      </c>
    </row>
    <row r="2288" spans="1:4" x14ac:dyDescent="0.35">
      <c r="A2288" t="s">
        <v>746</v>
      </c>
    </row>
    <row r="2289" spans="1:4" x14ac:dyDescent="0.35">
      <c r="A2289" t="s">
        <v>19</v>
      </c>
      <c r="B2289" t="s">
        <v>14</v>
      </c>
      <c r="C2289" t="s">
        <v>21</v>
      </c>
      <c r="D2289" t="s">
        <v>16</v>
      </c>
    </row>
    <row r="2290" spans="1:4" x14ac:dyDescent="0.35">
      <c r="A2290" t="s">
        <v>76</v>
      </c>
    </row>
    <row r="2291" spans="1:4" x14ac:dyDescent="0.35">
      <c r="A2291" t="s">
        <v>110</v>
      </c>
      <c r="B2291" t="s">
        <v>24</v>
      </c>
      <c r="C2291" t="s">
        <v>33</v>
      </c>
      <c r="D2291" t="s">
        <v>16</v>
      </c>
    </row>
    <row r="2292" spans="1:4" x14ac:dyDescent="0.35">
      <c r="A2292" t="s">
        <v>655</v>
      </c>
    </row>
    <row r="2293" spans="1:4" x14ac:dyDescent="0.35">
      <c r="A2293" t="s">
        <v>858</v>
      </c>
    </row>
    <row r="2294" spans="1:4" x14ac:dyDescent="0.35">
      <c r="A2294" t="s">
        <v>859</v>
      </c>
    </row>
    <row r="2295" spans="1:4" x14ac:dyDescent="0.35">
      <c r="A2295" t="s">
        <v>26</v>
      </c>
    </row>
    <row r="2296" spans="1:4" x14ac:dyDescent="0.35">
      <c r="A2296" t="s">
        <v>76</v>
      </c>
    </row>
    <row r="2297" spans="1:4" x14ac:dyDescent="0.35">
      <c r="A2297" t="s">
        <v>58</v>
      </c>
    </row>
    <row r="2298" spans="1:4" x14ac:dyDescent="0.35">
      <c r="A2298" t="s">
        <v>847</v>
      </c>
      <c r="B2298" t="s">
        <v>36</v>
      </c>
      <c r="C2298" t="s">
        <v>99</v>
      </c>
      <c r="D2298" t="s">
        <v>16</v>
      </c>
    </row>
    <row r="2299" spans="1:4" x14ac:dyDescent="0.35">
      <c r="A2299" t="s">
        <v>795</v>
      </c>
    </row>
    <row r="2300" spans="1:4" x14ac:dyDescent="0.35">
      <c r="A2300" t="s">
        <v>34</v>
      </c>
    </row>
    <row r="2301" spans="1:4" x14ac:dyDescent="0.35">
      <c r="A2301" t="s">
        <v>860</v>
      </c>
    </row>
    <row r="2302" spans="1:4" x14ac:dyDescent="0.35">
      <c r="A2302" t="s">
        <v>861</v>
      </c>
      <c r="B2302" t="s">
        <v>91</v>
      </c>
      <c r="C2302" t="s">
        <v>37</v>
      </c>
    </row>
    <row r="2303" spans="1:4" x14ac:dyDescent="0.35">
      <c r="A2303" t="s">
        <v>26</v>
      </c>
    </row>
    <row r="2304" spans="1:4" x14ac:dyDescent="0.35">
      <c r="A2304" t="s">
        <v>73</v>
      </c>
      <c r="B2304" t="s">
        <v>143</v>
      </c>
    </row>
    <row r="2305" spans="1:4" x14ac:dyDescent="0.35">
      <c r="A2305" t="s">
        <v>862</v>
      </c>
    </row>
    <row r="2306" spans="1:4" x14ac:dyDescent="0.35">
      <c r="A2306" t="s">
        <v>39</v>
      </c>
    </row>
    <row r="2307" spans="1:4" x14ac:dyDescent="0.35">
      <c r="A2307" t="s">
        <v>28</v>
      </c>
      <c r="B2307" t="s">
        <v>52</v>
      </c>
      <c r="C2307" t="s">
        <v>122</v>
      </c>
      <c r="D2307" t="s">
        <v>16</v>
      </c>
    </row>
    <row r="2308" spans="1:4" x14ac:dyDescent="0.35">
      <c r="A2308" t="s">
        <v>131</v>
      </c>
    </row>
    <row r="2309" spans="1:4" x14ac:dyDescent="0.35">
      <c r="A2309" t="s">
        <v>863</v>
      </c>
    </row>
    <row r="2310" spans="1:4" x14ac:dyDescent="0.35">
      <c r="A2310" t="s">
        <v>111</v>
      </c>
    </row>
    <row r="2311" spans="1:4" x14ac:dyDescent="0.35">
      <c r="A2311" t="s">
        <v>864</v>
      </c>
    </row>
    <row r="2312" spans="1:4" x14ac:dyDescent="0.35">
      <c r="A2312" t="s">
        <v>85</v>
      </c>
      <c r="B2312" t="s">
        <v>79</v>
      </c>
      <c r="C2312" t="s">
        <v>33</v>
      </c>
      <c r="D2312" t="s">
        <v>16</v>
      </c>
    </row>
    <row r="2313" spans="1:4" x14ac:dyDescent="0.35">
      <c r="A2313" t="s">
        <v>63</v>
      </c>
    </row>
    <row r="2315" spans="1:4" x14ac:dyDescent="0.35">
      <c r="A2315" t="s">
        <v>865</v>
      </c>
    </row>
    <row r="2316" spans="1:4" x14ac:dyDescent="0.35">
      <c r="A2316" t="s">
        <v>501</v>
      </c>
      <c r="B2316" t="s">
        <v>14</v>
      </c>
      <c r="C2316" t="s">
        <v>33</v>
      </c>
      <c r="D2316" t="s">
        <v>16</v>
      </c>
    </row>
    <row r="2317" spans="1:4" x14ac:dyDescent="0.35">
      <c r="A2317" t="s">
        <v>223</v>
      </c>
    </row>
    <row r="2318" spans="1:4" x14ac:dyDescent="0.35">
      <c r="A2318" t="s">
        <v>224</v>
      </c>
    </row>
    <row r="2319" spans="1:4" x14ac:dyDescent="0.35">
      <c r="A2319" t="s">
        <v>488</v>
      </c>
    </row>
    <row r="2320" spans="1:4" x14ac:dyDescent="0.35">
      <c r="A2320" t="s">
        <v>26</v>
      </c>
    </row>
    <row r="2321" spans="1:1" x14ac:dyDescent="0.35">
      <c r="A2321" t="s">
        <v>100</v>
      </c>
    </row>
    <row r="2322" spans="1:1" x14ac:dyDescent="0.35">
      <c r="A2322" t="s">
        <v>26</v>
      </c>
    </row>
    <row r="2323" spans="1:1" x14ac:dyDescent="0.35">
      <c r="A2323" t="s">
        <v>115</v>
      </c>
    </row>
    <row r="2324" spans="1:1" x14ac:dyDescent="0.35">
      <c r="A2324" t="s">
        <v>866</v>
      </c>
    </row>
    <row r="2325" spans="1:1" x14ac:dyDescent="0.35">
      <c r="A2325" t="s">
        <v>692</v>
      </c>
    </row>
    <row r="2326" spans="1:1" x14ac:dyDescent="0.35">
      <c r="A2326" t="s">
        <v>63</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F B</cp:lastModifiedBy>
  <cp:revision>29</cp:revision>
  <dcterms:modified xsi:type="dcterms:W3CDTF">2023-11-28T14:25:02Z</dcterms:modified>
  <dc:language>en-US</dc:language>
</cp:coreProperties>
</file>