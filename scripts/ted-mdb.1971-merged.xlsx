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<sst xmlns="http://schemas.openxmlformats.org/spreadsheetml/2006/main" count="1595" uniqueCount="589">
  <si>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</si>
  <si>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</si>
  <si>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</si>
  <si>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</si>
  <si>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</si>
  <si>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</si>
  <si>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</si>
  <si>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</si>
  <si>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</si>
  <si>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</si>
  <si>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</si>
  <si>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_</t>
  </si>
  <si>
    <t xml:space="preserve">Ich bin in Sierra Leone geboren und aufgewachsen , einem kleinen und sehr schönen Land in Westafrika , einem Land reich sowohl an Bodenschätzen als auch an kreativen Talenten .</t>
  </si>
  <si>
    <t xml:space="preserve">(in den 90ern)</t>
  </si>
  <si>
    <t xml:space="preserve">Synchrony</t>
  </si>
  <si>
    <t xml:space="preserve">2</t>
  </si>
  <si>
    <t xml:space="preserve">Allerdings ist Sierra Leone berüchtigt für einen jahrzehntelangen Rebellenkrieg in den 90ern , in dem ganze Dörfer niedergebrannt wurden .</t>
  </si>
  <si>
    <t xml:space="preserve">allerdings</t>
  </si>
  <si>
    <t xml:space="preserve">contra-expectation</t>
  </si>
  <si>
    <t xml:space="preserve">(orig: Comparison.Concession.Arg2-as-denier)</t>
  </si>
  <si>
    <t xml:space="preserve">3</t>
  </si>
  <si>
    <t xml:space="preserve">Schätzungsweise 8 000 Männern , Frauen und Kindern wurden in dieser Zeit Arme und Beine amputiert .</t>
  </si>
  <si>
    <t xml:space="preserve">in dieser Zeit</t>
  </si>
  <si>
    <t xml:space="preserve">(orig: Temporal.Synchronous)</t>
  </si>
  <si>
    <t xml:space="preserve">4</t>
  </si>
  <si>
    <t xml:space="preserve">(and)</t>
  </si>
  <si>
    <t xml:space="preserve">Meine Familie und ich brachten uns vor einem dieser Angriffe in Sicherheit , als ich 12 war .</t>
  </si>
  <si>
    <t xml:space="preserve">(daher)</t>
  </si>
  <si>
    <t xml:space="preserve">result</t>
  </si>
  <si>
    <t xml:space="preserve">(orig: Expansion.Conjunction)</t>
  </si>
  <si>
    <t xml:space="preserve">5</t>
  </si>
  <si>
    <t xml:space="preserve">In diesem Moment nahm ich mir vor , alles zu tun , um sicherzustellen , dass meine eigenen Kinder nicht dasselbe erleben müssen , was wir erlebt haben .</t>
  </si>
  <si>
    <t xml:space="preserve">in diesem Moment</t>
  </si>
  <si>
    <t xml:space="preserve">6</t>
  </si>
  <si>
    <t xml:space="preserve">Vielmehr sollten sie Teil von einem Sierra Leone sein , in dem Krieg und Amputationen nicht als Strategie zur Machtgewinnung genutzt werden .</t>
  </si>
  <si>
    <t xml:space="preserve">vielmehr</t>
  </si>
  <si>
    <t xml:space="preserve">favoured-alternative</t>
  </si>
  <si>
    <t xml:space="preserve">(orig: Expansion.Level-of-detail.Arg2-as-detail)</t>
  </si>
  <si>
    <t xml:space="preserve">7</t>
  </si>
  <si>
    <t xml:space="preserve">Ich beobachtete Menschen , die ich kannte , liebte , wie sie sich von dieser Verwüstung erholten , aber eine Sache quälte mich zutiefst , und zwar , dass viele der Amputierten in diesem Land nicht ihre Prothesen benutzten .</t>
  </si>
  <si>
    <t xml:space="preserve">(später)</t>
  </si>
  <si>
    <t xml:space="preserve">after</t>
  </si>
  <si>
    <t xml:space="preserve">8</t>
  </si>
  <si>
    <t xml:space="preserve">Der Grund , wie ich später herausfand , waren die Prothesenschäfte , die Schmerzen verursachten , weil sie nicht gut passten .</t>
  </si>
  <si>
    <t xml:space="preserve">der Grund</t>
  </si>
  <si>
    <t xml:space="preserve">reason</t>
  </si>
  <si>
    <t xml:space="preserve">(orig: Contingency.Cause.Reason)</t>
  </si>
  <si>
    <t xml:space="preserve">9</t>
  </si>
  <si>
    <t xml:space="preserve">Der Prothesenschaft ist der Teil , in welchen der Amputierte seinen Stumpf steckt , der mit der eigentlichen Prothese verbunden ist .</t>
  </si>
  <si>
    <t xml:space="preserve">(konkret)</t>
  </si>
  <si>
    <t xml:space="preserve">specific</t>
  </si>
  <si>
    <t xml:space="preserve">10</t>
  </si>
  <si>
    <t xml:space="preserve">Selbst in den Industrieländern dauert es drei Wochen bis hin zu Jahren , bis sich ein Patient an den Schaft gewöhnt , wenn überhaupt .</t>
  </si>
  <si>
    <t xml:space="preserve">(ebenso)</t>
  </si>
  <si>
    <t xml:space="preserve">similarity</t>
  </si>
  <si>
    <t xml:space="preserve">11</t>
  </si>
  <si>
    <t xml:space="preserve">(because)</t>
  </si>
  <si>
    <t xml:space="preserve">Prothesenbauer benutzen immer noch konventionelle Methoden , wie Pressen und Gießen , um Unibody-Prothesenschäfte herzustellen .</t>
  </si>
  <si>
    <t xml:space="preserve">(aus dem Grund)</t>
  </si>
  <si>
    <t xml:space="preserve">12</t>
  </si>
  <si>
    <t xml:space="preserve">Solche Schäfte üben oft unerträglichen Druck auf die Glieder der Patienten aus und verursachen Druckwunden und Blasen .</t>
  </si>
  <si>
    <t xml:space="preserve">13</t>
  </si>
  <si>
    <t xml:space="preserve">Ganz gleich , wie leistungsfähig die Knöchelprothese ist , wenn der Prothesenschaft unbequem ist , werden Sie die Prothese nicht nutzen , und das ist heutzutage einfach inakzeptabel .</t>
  </si>
  <si>
    <t xml:space="preserve">(folglich)</t>
  </si>
  <si>
    <t xml:space="preserve">14</t>
  </si>
  <si>
    <t xml:space="preserve">Damals , als ich Professor Hugh Herr vor zweieinhalb Jahren traf , und er mich fragte , ob ich eine Lösung für dieses Problem hätte , sagte ich : " Nein , noch nicht , aber ich würde sie liebend gerne finden . "</t>
  </si>
  <si>
    <t xml:space="preserve">main predicate: würde (gerne Lösung) finden als kausale Folge der Nichtnutzung. Alternativ: purpose-Bezug (goal: mit dem Ziel) oder temporal (davor) zu Anchor 15?</t>
  </si>
  <si>
    <t xml:space="preserve">15</t>
  </si>
  <si>
    <t xml:space="preserve">Also habe ich für meine Doktorarbeit am MIT Media Lab maßgefertige Prothesenschäfte entworfen , schnell und günstig , mit mehr Tragekomfort als herkömmliche Prothesen .</t>
  </si>
  <si>
    <t xml:space="preserve">also</t>
  </si>
  <si>
    <t xml:space="preserve">enablement</t>
  </si>
  <si>
    <t xml:space="preserve">(orig: Contingency.Cause.Result)</t>
  </si>
  <si>
    <t xml:space="preserve">16</t>
  </si>
  <si>
    <t xml:space="preserve">(after that)</t>
  </si>
  <si>
    <t xml:space="preserve">Mittels Magnetresonanztomografie ( MRT ) erfasste ich die genaue Form der Anatomie des Patienten , benutzte die Berechnungstechnologie FEM , um besser vorherzusehen , welche inneren Belastungen bei normaler Nutzung entstehen , und lies danach einen Prothesenschaft herstellen .</t>
  </si>
  <si>
    <t xml:space="preserve">(zu diesem Zweck)</t>
  </si>
  <si>
    <t xml:space="preserve">(orig: Temporal.Asynchronous.Precedence)</t>
  </si>
  <si>
    <t xml:space="preserve">17</t>
  </si>
  <si>
    <t xml:space="preserve">(specifically)</t>
  </si>
  <si>
    <t xml:space="preserve">Wir benutzen 3D-Drucker , um Prothesenschäfte aus mehreren Materialen herzustellen , die den Druck dort verringern , wo es die Anatomie des Patienten nötig macht .</t>
  </si>
  <si>
    <t xml:space="preserve">(anschließend)</t>
  </si>
  <si>
    <t xml:space="preserve">18</t>
  </si>
  <si>
    <t xml:space="preserve">Kurz gesagt , wir benutzen Daten , um neuartige Schäfte schnell und günstig herzustellen .</t>
  </si>
  <si>
    <t xml:space="preserve">kurz gesagt</t>
  </si>
  <si>
    <t xml:space="preserve">broad</t>
  </si>
  <si>
    <t xml:space="preserve">(orig: Expansion.Level-of-detail.Arg1-as-detail)</t>
  </si>
  <si>
    <t xml:space="preserve">19</t>
  </si>
  <si>
    <t xml:space="preserve">(for instance)</t>
  </si>
  <si>
    <t xml:space="preserve">In einem Versuch , den wir vor kurzem am Media Lab durchführten , hat einer unserer Patienten , ein US-Veteran , der seit über 20 Jahren amputiert ist und schon dutzende Prothesen getragen hat , Folgendes über unsere ausgedruckten Prothesen gesagt : " Sie ist so weich , als würde man auf Kissen laufen , und verdammt sexy . "</t>
  </si>
  <si>
    <t xml:space="preserve">(als Beispiel)</t>
  </si>
  <si>
    <t xml:space="preserve">instance</t>
  </si>
  <si>
    <t xml:space="preserve">(orig: Expansion.Instantiation)</t>
  </si>
  <si>
    <t xml:space="preserve">20</t>
  </si>
  <si>
    <t xml:space="preserve">( Lachen ) Heutzutage sollten Behinderungen niemanden mehr daran hindern , ein sinnsvolles Leben zu führen .</t>
  </si>
  <si>
    <t xml:space="preserve">(generell)</t>
  </si>
  <si>
    <t xml:space="preserve">set</t>
  </si>
  <si>
    <t xml:space="preserve">21</t>
  </si>
  <si>
    <t xml:space="preserve">Meine Hoffnung und mein Wunsch ist es , dass die Werkzeuge und Prozesse , die wir in unserer Forschungsgruppe entwickeln , genutzt werden können , um hochfunktionale Prothesen herzustellen , für die , die sie brauchen .</t>
  </si>
  <si>
    <t xml:space="preserve">22</t>
  </si>
  <si>
    <t xml:space="preserve">Für mich ist es ein Anfang , um die Seelen derer zu heilen , die vom Krieg und Krankheiten betroffen sind , ist für mich komfortable und erschwingliche Schnittstellen für ihre Körper herzustellen .</t>
  </si>
  <si>
    <t xml:space="preserve">(indem)</t>
  </si>
  <si>
    <t xml:space="preserve">means</t>
  </si>
  <si>
    <t xml:space="preserve">23</t>
  </si>
  <si>
    <t xml:space="preserve">Ob in Sierra Leone oder in Boston , ich hoffe , dass dies nicht nur ihren Sinn für menschliches Können wiederherstellt , sondern verändert .</t>
  </si>
  <si>
    <t xml:space="preserve">(hierdurch)</t>
  </si>
  <si>
    <t xml:space="preserve">achievement</t>
  </si>
  <si>
    <t xml:space="preserve">24</t>
  </si>
  <si>
    <t xml:space="preserve">Vielen Dank</t>
  </si>
  <si>
    <t xml:space="preserve">NoRel</t>
  </si>
  <si>
    <t xml:space="preserve">NoRel, weil kein einzelner Satz (deiktisch) zuzuordnen?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</si>
  <si>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</si>
  <si>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</si>
  <si>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</si>
  <si>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</si>
  <si>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</si>
  <si>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</si>
  <si>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IS</t>
  </si>
  <si>
    <t xml:space="preserve">CB</t>
  </si>
  <si>
    <t xml:space="preserve">GR_ANTE</t>
  </si>
  <si>
    <t xml:space="preserve">REF_DIST</t>
  </si>
  <si>
    <t xml:space="preserve">REF_DIST_ANTE</t>
  </si>
  <si>
    <t xml:space="preserve"># text = Ich bin in Sierra Leone geboren und aufgewachsen , einem kleinen und sehr schönen Land in Westafrika , einem Land reich sowohl an Bodenschätzen als auch an kreativen Talenten .</t>
  </si>
  <si>
    <t xml:space="preserve">Ich</t>
  </si>
  <si>
    <t xml:space="preserve">SBJ_2</t>
  </si>
  <si>
    <t xml:space="preserve">pron.pper</t>
  </si>
  <si>
    <t xml:space="preserve">?OLD</t>
  </si>
  <si>
    <t xml:space="preserve">sprecher</t>
  </si>
  <si>
    <t xml:space="preserve">SIT</t>
  </si>
  <si>
    <t xml:space="preserve">UNIQUE</t>
  </si>
  <si>
    <t xml:space="preserve">erstes Auftreten Personaldeixis Sprecher</t>
  </si>
  <si>
    <t xml:space="preserve">bin</t>
  </si>
  <si>
    <t xml:space="preserve">in</t>
  </si>
  <si>
    <t xml:space="preserve">Sierra</t>
  </si>
  <si>
    <t xml:space="preserve">other</t>
  </si>
  <si>
    <t xml:space="preserve">ne</t>
  </si>
  <si>
    <t xml:space="preserve">sierra_leone</t>
  </si>
  <si>
    <t xml:space="preserve">Leone</t>
  </si>
  <si>
    <t xml:space="preserve">geboren</t>
  </si>
  <si>
    <t xml:space="preserve">und</t>
  </si>
  <si>
    <t xml:space="preserve">aufgewachsen</t>
  </si>
  <si>
    <t xml:space="preserve">,</t>
  </si>
  <si>
    <t xml:space="preserve">einem</t>
  </si>
  <si>
    <t xml:space="preserve">kleinen</t>
  </si>
  <si>
    <t xml:space="preserve">sehr</t>
  </si>
  <si>
    <t xml:space="preserve">schönen</t>
  </si>
  <si>
    <t xml:space="preserve">Land</t>
  </si>
  <si>
    <t xml:space="preserve">indef-np.a</t>
  </si>
  <si>
    <t xml:space="preserve">Westafrika</t>
  </si>
  <si>
    <t xml:space="preserve">other_2</t>
  </si>
  <si>
    <t xml:space="preserve">westafrika</t>
  </si>
  <si>
    <t xml:space="preserve">other_3</t>
  </si>
  <si>
    <t xml:space="preserve">reich</t>
  </si>
  <si>
    <t xml:space="preserve">sowohl</t>
  </si>
  <si>
    <t xml:space="preserve">an</t>
  </si>
  <si>
    <t xml:space="preserve">Bodenschätzen</t>
  </si>
  <si>
    <t xml:space="preserve">indef-np.bare</t>
  </si>
  <si>
    <t xml:space="preserve">als</t>
  </si>
  <si>
    <t xml:space="preserve">auch</t>
  </si>
  <si>
    <t xml:space="preserve">kreativen</t>
  </si>
  <si>
    <t xml:space="preserve">Talenten</t>
  </si>
  <si>
    <t xml:space="preserve">.</t>
  </si>
  <si>
    <t xml:space="preserve"># text = Allerdings ist Sierra Leone berüchtigt für einen jahrzehntelangen Rebellenkrieg in den 90ern , in dem ganze Dörfer niedergebrannt wurden .</t>
  </si>
  <si>
    <t xml:space="preserve">Allerdings</t>
  </si>
  <si>
    <t xml:space="preserve">ist</t>
  </si>
  <si>
    <t xml:space="preserve">SBJ</t>
  </si>
  <si>
    <t xml:space="preserve">berüchtigt</t>
  </si>
  <si>
    <t xml:space="preserve">für</t>
  </si>
  <si>
    <t xml:space="preserve">einen</t>
  </si>
  <si>
    <t xml:space="preserve">jahrzehntelangen</t>
  </si>
  <si>
    <t xml:space="preserve">Rebellenkrieg</t>
  </si>
  <si>
    <t xml:space="preserve">den</t>
  </si>
  <si>
    <t xml:space="preserve">90ern</t>
  </si>
  <si>
    <t xml:space="preserve">def-np.the</t>
  </si>
  <si>
    <t xml:space="preserve">90er</t>
  </si>
  <si>
    <t xml:space="preserve">konkrete Zeitspanne (Dekade)</t>
  </si>
  <si>
    <t xml:space="preserve">dem</t>
  </si>
  <si>
    <t xml:space="preserve">ganze</t>
  </si>
  <si>
    <t xml:space="preserve">Dörfer</t>
  </si>
  <si>
    <t xml:space="preserve">doerfer_sierra</t>
  </si>
  <si>
    <t xml:space="preserve">niedergebrannt</t>
  </si>
  <si>
    <t xml:space="preserve">brandschatzung</t>
  </si>
  <si>
    <t xml:space="preserve">Antezedens für folgende solcher Angriffe</t>
  </si>
  <si>
    <t xml:space="preserve">wurden</t>
  </si>
  <si>
    <t xml:space="preserve"># text = Schätzungsweise 8 000 Männern , Frauen und Kindern wurden in dieser Zeit Arme und Beine amputiert .</t>
  </si>
  <si>
    <t xml:space="preserve">Schätzungsweise</t>
  </si>
  <si>
    <t xml:space="preserve">000</t>
  </si>
  <si>
    <t xml:space="preserve">Männern</t>
  </si>
  <si>
    <t xml:space="preserve">OBJ</t>
  </si>
  <si>
    <t xml:space="preserve">indef-np.quant</t>
  </si>
  <si>
    <t xml:space="preserve">Frauen</t>
  </si>
  <si>
    <t xml:space="preserve">Kindern</t>
  </si>
  <si>
    <t xml:space="preserve">dieser</t>
  </si>
  <si>
    <t xml:space="preserve">pron.pds</t>
  </si>
  <si>
    <t xml:space="preserve">nicht syntaktischer Kopf</t>
  </si>
  <si>
    <t xml:space="preserve">Zeit</t>
  </si>
  <si>
    <t xml:space="preserve">def-np.dem</t>
  </si>
  <si>
    <t xml:space="preserve">Arme</t>
  </si>
  <si>
    <t xml:space="preserve">Beine</t>
  </si>
  <si>
    <t xml:space="preserve">amputiert</t>
  </si>
  <si>
    <t xml:space="preserve"># text = Meine Familie und ich brachten uns vor einem dieser Angriffe in Sicherheit , als ich 12 war .</t>
  </si>
  <si>
    <t xml:space="preserve">Meine</t>
  </si>
  <si>
    <t xml:space="preserve">pron.ppos</t>
  </si>
  <si>
    <t xml:space="preserve">Familie</t>
  </si>
  <si>
    <t xml:space="preserve">familie_sprecher</t>
  </si>
  <si>
    <t xml:space="preserve">ich</t>
  </si>
  <si>
    <t xml:space="preserve">brachten</t>
  </si>
  <si>
    <t xml:space="preserve">sprecher_12</t>
  </si>
  <si>
    <t xml:space="preserve">Antezedens für Temporaldeixis als Sprecher 12 Jahre alt war</t>
  </si>
  <si>
    <t xml:space="preserve">uns</t>
  </si>
  <si>
    <t xml:space="preserve">pron</t>
  </si>
  <si>
    <t xml:space="preserve">familie&gt;sprecher,familie_sprecher</t>
  </si>
  <si>
    <t xml:space="preserve">GROUP</t>
  </si>
  <si>
    <t xml:space="preserve">vor</t>
  </si>
  <si>
    <t xml:space="preserve">Angriffe</t>
  </si>
  <si>
    <t xml:space="preserve">Sicherheit</t>
  </si>
  <si>
    <t xml:space="preserve">war</t>
  </si>
  <si>
    <t xml:space="preserve"># text = In diesem Moment nahm ich mir vor , alles zu tun , um sicherzustellen , dass meine eigenen Kinder nicht dasselbe erleben müssen , was wir erlebt haben .</t>
  </si>
  <si>
    <t xml:space="preserve">In</t>
  </si>
  <si>
    <t xml:space="preserve">diesem</t>
  </si>
  <si>
    <t xml:space="preserve">Moment</t>
  </si>
  <si>
    <t xml:space="preserve">nahm</t>
  </si>
  <si>
    <t xml:space="preserve">mir</t>
  </si>
  <si>
    <t xml:space="preserve">parser error</t>
  </si>
  <si>
    <t xml:space="preserve">alles</t>
  </si>
  <si>
    <t xml:space="preserve">OBJ_2</t>
  </si>
  <si>
    <t xml:space="preserve">pron.pind</t>
  </si>
  <si>
    <t xml:space="preserve">zu</t>
  </si>
  <si>
    <t xml:space="preserve">tun</t>
  </si>
  <si>
    <t xml:space="preserve">um</t>
  </si>
  <si>
    <t xml:space="preserve">sicherzustellen</t>
  </si>
  <si>
    <t xml:space="preserve">dass</t>
  </si>
  <si>
    <t xml:space="preserve">meine</t>
  </si>
  <si>
    <t xml:space="preserve">other_4</t>
  </si>
  <si>
    <t xml:space="preserve">eigenen</t>
  </si>
  <si>
    <t xml:space="preserve">Kinder</t>
  </si>
  <si>
    <t xml:space="preserve">SBJ_3</t>
  </si>
  <si>
    <t xml:space="preserve">sprecher_kinder</t>
  </si>
  <si>
    <t xml:space="preserve">Antezedens</t>
  </si>
  <si>
    <t xml:space="preserve">nicht</t>
  </si>
  <si>
    <t xml:space="preserve">dasselbe</t>
  </si>
  <si>
    <t xml:space="preserve">erleben</t>
  </si>
  <si>
    <t xml:space="preserve">müssen</t>
  </si>
  <si>
    <t xml:space="preserve">was</t>
  </si>
  <si>
    <t xml:space="preserve">parser error: syntaktisch gebundenes Relativpronomen</t>
  </si>
  <si>
    <t xml:space="preserve">wir</t>
  </si>
  <si>
    <t xml:space="preserve">familie</t>
  </si>
  <si>
    <t xml:space="preserve">OLD</t>
  </si>
  <si>
    <t xml:space="preserve">REF=OLD, weil als GROUP etabliert</t>
  </si>
  <si>
    <t xml:space="preserve">erlebt</t>
  </si>
  <si>
    <t xml:space="preserve">haben</t>
  </si>
  <si>
    <t xml:space="preserve"># text = Vielmehr sollten sie Teil von einem Sierra Leone sein , in dem Krieg und Amputationen nicht als Strategie zur Machtgewinnung genutzt werden .</t>
  </si>
  <si>
    <t xml:space="preserve">Vielmehr</t>
  </si>
  <si>
    <t xml:space="preserve">sollten</t>
  </si>
  <si>
    <t xml:space="preserve">sie</t>
  </si>
  <si>
    <t xml:space="preserve">Teil</t>
  </si>
  <si>
    <t xml:space="preserve">von</t>
  </si>
  <si>
    <t xml:space="preserve">sein</t>
  </si>
  <si>
    <t xml:space="preserve">Krieg</t>
  </si>
  <si>
    <t xml:space="preserve">krieg_und_amputationen</t>
  </si>
  <si>
    <t xml:space="preserve">NEW</t>
  </si>
  <si>
    <t xml:space="preserve">Antezedens für "diese Verwüstung"</t>
  </si>
  <si>
    <t xml:space="preserve">Amputationen</t>
  </si>
  <si>
    <t xml:space="preserve">Strategie</t>
  </si>
  <si>
    <t xml:space="preserve">der</t>
  </si>
  <si>
    <t xml:space="preserve">Machtgewinnung</t>
  </si>
  <si>
    <t xml:space="preserve">GEN</t>
  </si>
  <si>
    <t xml:space="preserve">genutzt</t>
  </si>
  <si>
    <t xml:space="preserve">werden</t>
  </si>
  <si>
    <t xml:space="preserve"># text = Ich beobachtete Menschen , die ich kannte , liebte , wie sie sich von dieser Verwüstung erholten , aber eine Sache quälte mich zutiefst , und zwar , dass viele der Amputierten in diesem Land nicht ihre Prothesen benutzten .</t>
  </si>
  <si>
    <t xml:space="preserve">beobachtete</t>
  </si>
  <si>
    <t xml:space="preserve">Menschen</t>
  </si>
  <si>
    <t xml:space="preserve">menschen</t>
  </si>
  <si>
    <t xml:space="preserve">spezifische Untergruppe an Menschen, die Sprecher kennt; Antezedens</t>
  </si>
  <si>
    <t xml:space="preserve">die</t>
  </si>
  <si>
    <t xml:space="preserve">OBJ_3</t>
  </si>
  <si>
    <t xml:space="preserve">kannte</t>
  </si>
  <si>
    <t xml:space="preserve">liebte</t>
  </si>
  <si>
    <t xml:space="preserve">wie</t>
  </si>
  <si>
    <t xml:space="preserve">sich</t>
  </si>
  <si>
    <t xml:space="preserve">Verwüstung</t>
  </si>
  <si>
    <t xml:space="preserve">Bezug "Krieg und Amputationen" (GEN) wegen Dem.Pron. Gewählt</t>
  </si>
  <si>
    <t xml:space="preserve">erholten</t>
  </si>
  <si>
    <t xml:space="preserve">aber</t>
  </si>
  <si>
    <t xml:space="preserve">eine</t>
  </si>
  <si>
    <t xml:space="preserve">Sache</t>
  </si>
  <si>
    <t xml:space="preserve">SBJ_4</t>
  </si>
  <si>
    <t xml:space="preserve">quälte</t>
  </si>
  <si>
    <t xml:space="preserve">mich</t>
  </si>
  <si>
    <t xml:space="preserve">OBJ_4</t>
  </si>
  <si>
    <t xml:space="preserve">zutiefst</t>
  </si>
  <si>
    <t xml:space="preserve">zwar</t>
  </si>
  <si>
    <t xml:space="preserve">viele</t>
  </si>
  <si>
    <t xml:space="preserve">amputierte_menschen_nichtnutzung</t>
  </si>
  <si>
    <t xml:space="preserve">spezifische Untergruppe der amputierten Menschen</t>
  </si>
  <si>
    <t xml:space="preserve">Amputierten</t>
  </si>
  <si>
    <t xml:space="preserve">amputierte_menschen</t>
  </si>
  <si>
    <t xml:space="preserve">ihre</t>
  </si>
  <si>
    <t xml:space="preserve">Prothesen</t>
  </si>
  <si>
    <t xml:space="preserve">indef-np</t>
  </si>
  <si>
    <t xml:space="preserve">prothese</t>
  </si>
  <si>
    <t xml:space="preserve">Prothesen im Allgemeinen</t>
  </si>
  <si>
    <t xml:space="preserve">benutzten</t>
  </si>
  <si>
    <t xml:space="preserve"># text = Der Grund , wie ich später herausfand , waren die Prothesenschäfte , die Schmerzen verursachten , weil sie nicht gut passten .</t>
  </si>
  <si>
    <t xml:space="preserve">Der</t>
  </si>
  <si>
    <t xml:space="preserve">Grund</t>
  </si>
  <si>
    <t xml:space="preserve">prothesenschaft_unibody</t>
  </si>
  <si>
    <t xml:space="preserve">spezifische Untergruppe an Prothesen, die nicht passt, Druckschmerzen bereitet und erst später genauer beschrieben wird</t>
  </si>
  <si>
    <t xml:space="preserve">später</t>
  </si>
  <si>
    <t xml:space="preserve">herausfand</t>
  </si>
  <si>
    <t xml:space="preserve">waren</t>
  </si>
  <si>
    <t xml:space="preserve">Prothesenschäfte</t>
  </si>
  <si>
    <t xml:space="preserve">PRED</t>
  </si>
  <si>
    <t xml:space="preserve">Schmerzen</t>
  </si>
  <si>
    <t xml:space="preserve">verursachten</t>
  </si>
  <si>
    <t xml:space="preserve">weil</t>
  </si>
  <si>
    <t xml:space="preserve">gut</t>
  </si>
  <si>
    <t xml:space="preserve">passten</t>
  </si>
  <si>
    <t xml:space="preserve"># text = Der Prothesenschaft ist der Teil , in welchen der Amputierte seinen Stumpf steckt , der mit der eigentlichen Prothese verbunden ist .</t>
  </si>
  <si>
    <t xml:space="preserve">Prothesenschaft</t>
  </si>
  <si>
    <t xml:space="preserve">prothesenschaft</t>
  </si>
  <si>
    <t xml:space="preserve">Prothesenschäfte im Allgemeinen</t>
  </si>
  <si>
    <t xml:space="preserve">welchen</t>
  </si>
  <si>
    <t xml:space="preserve">pron.pint</t>
  </si>
  <si>
    <t xml:space="preserve">Amputierte</t>
  </si>
  <si>
    <t xml:space="preserve">seinen</t>
  </si>
  <si>
    <t xml:space="preserve">Stumpf</t>
  </si>
  <si>
    <t xml:space="preserve">steckt</t>
  </si>
  <si>
    <t xml:space="preserve">mit</t>
  </si>
  <si>
    <t xml:space="preserve">eigentlichen</t>
  </si>
  <si>
    <t xml:space="preserve">Prothese</t>
  </si>
  <si>
    <t xml:space="preserve">verbunden</t>
  </si>
  <si>
    <t xml:space="preserve"># text = Selbst in den Industrieländern dauert es drei Wochen bis hin zu Jahren , bis sich ein Patient an den Schaft gewöhnt , wenn überhaupt .</t>
  </si>
  <si>
    <t xml:space="preserve">Selbst</t>
  </si>
  <si>
    <t xml:space="preserve">Industrieländern</t>
  </si>
  <si>
    <t xml:space="preserve">industrielaender</t>
  </si>
  <si>
    <t xml:space="preserve">dauert</t>
  </si>
  <si>
    <t xml:space="preserve">es</t>
  </si>
  <si>
    <t xml:space="preserve">EXPL</t>
  </si>
  <si>
    <t xml:space="preserve">Teil der Verbvalenz</t>
  </si>
  <si>
    <t xml:space="preserve">drei</t>
  </si>
  <si>
    <t xml:space="preserve">Wochen</t>
  </si>
  <si>
    <t xml:space="preserve">bis</t>
  </si>
  <si>
    <t xml:space="preserve">hin</t>
  </si>
  <si>
    <t xml:space="preserve">Jahren</t>
  </si>
  <si>
    <t xml:space="preserve">ein</t>
  </si>
  <si>
    <t xml:space="preserve">Patient</t>
  </si>
  <si>
    <t xml:space="preserve">patient_amputiert</t>
  </si>
  <si>
    <t xml:space="preserve">spezifische Untergruppe der amputierten Menschen, die sich behandeln lässt</t>
  </si>
  <si>
    <t xml:space="preserve">Schaft</t>
  </si>
  <si>
    <t xml:space="preserve">gewöhnt</t>
  </si>
  <si>
    <t xml:space="preserve">wenn</t>
  </si>
  <si>
    <t xml:space="preserve">überhaupt</t>
  </si>
  <si>
    <t xml:space="preserve"># text = Prothesenbauer benutzen immer noch konventionelle Methoden , wie Pressen und Gießen , um Unibody-Prothesenschäfte herzustellen .</t>
  </si>
  <si>
    <t xml:space="preserve">Prothesenbauer</t>
  </si>
  <si>
    <t xml:space="preserve">prothesenbauer</t>
  </si>
  <si>
    <t xml:space="preserve">benutzen</t>
  </si>
  <si>
    <t xml:space="preserve">immer</t>
  </si>
  <si>
    <t xml:space="preserve">noch</t>
  </si>
  <si>
    <t xml:space="preserve">konventionelle</t>
  </si>
  <si>
    <t xml:space="preserve">Methoden</t>
  </si>
  <si>
    <t xml:space="preserve">Pressen</t>
  </si>
  <si>
    <t xml:space="preserve">Gießen</t>
  </si>
  <si>
    <t xml:space="preserve">Unibody</t>
  </si>
  <si>
    <t xml:space="preserve">spezifische Untergruppe an Prothesenschäften, die zu Druckschmerz führen</t>
  </si>
  <si>
    <t xml:space="preserve">herzustellen</t>
  </si>
  <si>
    <t xml:space="preserve"># text = Solche Schäfte üben oft unerträglichen Druck auf die Glieder der Patienten aus und verursachen Druckwunden und Blasen .</t>
  </si>
  <si>
    <t xml:space="preserve">Solche</t>
  </si>
  <si>
    <t xml:space="preserve">Schäfte</t>
  </si>
  <si>
    <t xml:space="preserve">üben</t>
  </si>
  <si>
    <t xml:space="preserve">oft</t>
  </si>
  <si>
    <t xml:space="preserve">unerträglichen</t>
  </si>
  <si>
    <t xml:space="preserve">Druck</t>
  </si>
  <si>
    <t xml:space="preserve">auf</t>
  </si>
  <si>
    <t xml:space="preserve">Glieder</t>
  </si>
  <si>
    <t xml:space="preserve">patient_glieder</t>
  </si>
  <si>
    <t xml:space="preserve">Patienten</t>
  </si>
  <si>
    <t xml:space="preserve">aus</t>
  </si>
  <si>
    <t xml:space="preserve">verursachen</t>
  </si>
  <si>
    <t xml:space="preserve">Druckwunden</t>
  </si>
  <si>
    <t xml:space="preserve">Blasen</t>
  </si>
  <si>
    <t xml:space="preserve"># text = Ganz gleich , wie leistungsfähig die Knöchelprothese ist , wenn der Prothesenschaft unbequem ist , werden Sie die Prothese nicht nutzen , und das ist heutzutage einfach inakzeptabel .</t>
  </si>
  <si>
    <t xml:space="preserve">Ganz</t>
  </si>
  <si>
    <t xml:space="preserve">gleich</t>
  </si>
  <si>
    <t xml:space="preserve">leistungsfähig</t>
  </si>
  <si>
    <t xml:space="preserve">Knöchelprothese</t>
  </si>
  <si>
    <t xml:space="preserve">"Knöchel"prothese unklar</t>
  </si>
  <si>
    <t xml:space="preserve">unbequem</t>
  </si>
  <si>
    <t xml:space="preserve">Sie</t>
  </si>
  <si>
    <t xml:space="preserve">unspezifisch im Sinne von "man"</t>
  </si>
  <si>
    <t xml:space="preserve">nutzen</t>
  </si>
  <si>
    <t xml:space="preserve">nichtnutzung_prothese</t>
  </si>
  <si>
    <t xml:space="preserve">Antezedens; Problem der Nichtnutzung hier aufgemacht; siehe log</t>
  </si>
  <si>
    <t xml:space="preserve">das</t>
  </si>
  <si>
    <t xml:space="preserve">heutzutage</t>
  </si>
  <si>
    <t xml:space="preserve">einfach</t>
  </si>
  <si>
    <t xml:space="preserve">inakzeptabel</t>
  </si>
  <si>
    <t xml:space="preserve">--</t>
  </si>
  <si>
    <t xml:space="preserve"># text = Damals , als ich Professor Hugh Herr vor zweieinhalb Jahren traf , und er mich fragte , ob ich eine Lösung für dieses Problem hätte , sagte ich : " Nein , noch nicht , aber ich würde sie liebend gerne finden . "</t>
  </si>
  <si>
    <t xml:space="preserve">Damals</t>
  </si>
  <si>
    <t xml:space="preserve">Professor</t>
  </si>
  <si>
    <t xml:space="preserve">Hugh</t>
  </si>
  <si>
    <t xml:space="preserve">prof_hugh</t>
  </si>
  <si>
    <t xml:space="preserve">Herr</t>
  </si>
  <si>
    <t xml:space="preserve">zweieinhalb</t>
  </si>
  <si>
    <t xml:space="preserve">traf</t>
  </si>
  <si>
    <t xml:space="preserve">er</t>
  </si>
  <si>
    <t xml:space="preserve">fragte</t>
  </si>
  <si>
    <t xml:space="preserve">ob</t>
  </si>
  <si>
    <t xml:space="preserve">Lösung</t>
  </si>
  <si>
    <t xml:space="preserve">nichtnutzung_loesung</t>
  </si>
  <si>
    <t xml:space="preserve">Antezedens; entspricht auch dem Wunsch des Sprechers </t>
  </si>
  <si>
    <t xml:space="preserve">dieses</t>
  </si>
  <si>
    <t xml:space="preserve">other_5</t>
  </si>
  <si>
    <t xml:space="preserve">Problem</t>
  </si>
  <si>
    <t xml:space="preserve">hätte</t>
  </si>
  <si>
    <t xml:space="preserve">sagte</t>
  </si>
  <si>
    <t xml:space="preserve">:</t>
  </si>
  <si>
    <t xml:space="preserve">&amp;quot;</t>
  </si>
  <si>
    <t xml:space="preserve">Nein</t>
  </si>
  <si>
    <t xml:space="preserve">würde</t>
  </si>
  <si>
    <t xml:space="preserve">liebend</t>
  </si>
  <si>
    <t xml:space="preserve">gerne</t>
  </si>
  <si>
    <t xml:space="preserve">finden</t>
  </si>
  <si>
    <t xml:space="preserve"># text = Also habe ich für meine Doktorarbeit am MIT Media Lab maßgefertige Prothesenschäfte entworfen , schnell und günstig , mit mehr Tragekomfort als herkömmliche Prothesen .</t>
  </si>
  <si>
    <t xml:space="preserve">Also</t>
  </si>
  <si>
    <t xml:space="preserve">habe</t>
  </si>
  <si>
    <t xml:space="preserve">Doktorarbeit</t>
  </si>
  <si>
    <t xml:space="preserve">doktorarbeit_sprecher</t>
  </si>
  <si>
    <t xml:space="preserve">MIT</t>
  </si>
  <si>
    <t xml:space="preserve">Media</t>
  </si>
  <si>
    <t xml:space="preserve">mit_lab</t>
  </si>
  <si>
    <t xml:space="preserve">Lab</t>
  </si>
  <si>
    <t xml:space="preserve">maßgefertige</t>
  </si>
  <si>
    <t xml:space="preserve">prothesenschaft_passend</t>
  </si>
  <si>
    <t xml:space="preserve">spezifische Untergruppe der Prothesenschäfte</t>
  </si>
  <si>
    <t xml:space="preserve">entworfen</t>
  </si>
  <si>
    <t xml:space="preserve">schnell</t>
  </si>
  <si>
    <t xml:space="preserve">günstig</t>
  </si>
  <si>
    <t xml:space="preserve">mehr</t>
  </si>
  <si>
    <t xml:space="preserve">Tragekomfort</t>
  </si>
  <si>
    <t xml:space="preserve">herkömmliche</t>
  </si>
  <si>
    <t xml:space="preserve"># text = Mittels Magnetresonanztomografie ( MRT ) erfasste ich die genaue Form der Anatomie des Patienten , benutzte die Berechnungstechnologie FEM , um besser vorherzusehen , welche inneren Belastungen bei normaler Nutzung entstehen , und lies danach einen Prothesenschaft herstellen .</t>
  </si>
  <si>
    <t xml:space="preserve">Mittels</t>
  </si>
  <si>
    <t xml:space="preserve">parer error</t>
  </si>
  <si>
    <t xml:space="preserve">Magnetresonanztomografie</t>
  </si>
  <si>
    <t xml:space="preserve">(</t>
  </si>
  <si>
    <t xml:space="preserve">MRT</t>
  </si>
  <si>
    <t xml:space="preserve">mrt</t>
  </si>
  <si>
    <t xml:space="preserve">)</t>
  </si>
  <si>
    <t xml:space="preserve">erfasste</t>
  </si>
  <si>
    <t xml:space="preserve">genaue</t>
  </si>
  <si>
    <t xml:space="preserve">Form</t>
  </si>
  <si>
    <t xml:space="preserve">patient_gliederform</t>
  </si>
  <si>
    <t xml:space="preserve">die Form an genau der Stelle, an der die Prothese anliegt</t>
  </si>
  <si>
    <t xml:space="preserve">Anatomie</t>
  </si>
  <si>
    <t xml:space="preserve">patient_anatomie</t>
  </si>
  <si>
    <t xml:space="preserve">des</t>
  </si>
  <si>
    <t xml:space="preserve">benutzte</t>
  </si>
  <si>
    <t xml:space="preserve">Berechnungstechnologie</t>
  </si>
  <si>
    <t xml:space="preserve">FEM</t>
  </si>
  <si>
    <t xml:space="preserve">fem</t>
  </si>
  <si>
    <t xml:space="preserve">besser</t>
  </si>
  <si>
    <t xml:space="preserve">vorherzusehen</t>
  </si>
  <si>
    <t xml:space="preserve">welche</t>
  </si>
  <si>
    <t xml:space="preserve">inneren</t>
  </si>
  <si>
    <t xml:space="preserve">Belastungen</t>
  </si>
  <si>
    <t xml:space="preserve">syntaktischer Kopf</t>
  </si>
  <si>
    <t xml:space="preserve">bei</t>
  </si>
  <si>
    <t xml:space="preserve">normaler</t>
  </si>
  <si>
    <t xml:space="preserve">Nutzung</t>
  </si>
  <si>
    <t xml:space="preserve">entstehen</t>
  </si>
  <si>
    <t xml:space="preserve">lies</t>
  </si>
  <si>
    <t xml:space="preserve">danach</t>
  </si>
  <si>
    <t xml:space="preserve">herstellen</t>
  </si>
  <si>
    <t xml:space="preserve"># text = Wir benutzen 3D-Drucker , um Prothesenschäfte aus mehreren Materialen herzustellen , die den Druck dort verringern , wo es die Anatomie des Patienten nötig macht .</t>
  </si>
  <si>
    <t xml:space="preserve">Wir</t>
  </si>
  <si>
    <t xml:space="preserve">mit_mitarbeiter</t>
  </si>
  <si>
    <t xml:space="preserve">AMBIG: SIT denkbar; allerdings handelt es sich um eine konkrete Forschungsgruppe der MIT Lab Mitarbeiter</t>
  </si>
  <si>
    <t xml:space="preserve">3D</t>
  </si>
  <si>
    <t xml:space="preserve">Drucker</t>
  </si>
  <si>
    <t xml:space="preserve">mehreren</t>
  </si>
  <si>
    <t xml:space="preserve">Materialen</t>
  </si>
  <si>
    <t xml:space="preserve">druck</t>
  </si>
  <si>
    <t xml:space="preserve">dort</t>
  </si>
  <si>
    <t xml:space="preserve">verringern</t>
  </si>
  <si>
    <t xml:space="preserve">wo</t>
  </si>
  <si>
    <t xml:space="preserve">nötig</t>
  </si>
  <si>
    <t xml:space="preserve">macht</t>
  </si>
  <si>
    <t xml:space="preserve"># text = Kurz gesagt , wir benutzen Daten , um neuartige Schäfte schnell und günstig herzustellen .</t>
  </si>
  <si>
    <t xml:space="preserve">Kurz</t>
  </si>
  <si>
    <t xml:space="preserve">gesagt</t>
  </si>
  <si>
    <t xml:space="preserve">Daten</t>
  </si>
  <si>
    <t xml:space="preserve">neuartige</t>
  </si>
  <si>
    <t xml:space="preserve"># text = In einem Versuch , den wir vor kurzem am Media Lab durchführten , hat einer unserer Patienten , ein US-Veteran , der seit über 20 Jahren amputiert ist und schon dutzende Prothesen getragen hat , Folgendes über unsere ausgedruckten Prothesen gesagt : \" Sie ist so weich , als würde man auf Kissen laufen , und verdammt sexy . \"</t>
  </si>
  <si>
    <t xml:space="preserve">Versuch</t>
  </si>
  <si>
    <t xml:space="preserve">OBJ_5</t>
  </si>
  <si>
    <t xml:space="preserve">SBJ_5</t>
  </si>
  <si>
    <t xml:space="preserve">kurzem</t>
  </si>
  <si>
    <t xml:space="preserve">durchführten</t>
  </si>
  <si>
    <t xml:space="preserve">hat</t>
  </si>
  <si>
    <t xml:space="preserve">einer</t>
  </si>
  <si>
    <t xml:space="preserve">unserer</t>
  </si>
  <si>
    <t xml:space="preserve">patient_veteran</t>
  </si>
  <si>
    <t xml:space="preserve">US</t>
  </si>
  <si>
    <t xml:space="preserve">usa</t>
  </si>
  <si>
    <t xml:space="preserve">zwar nicht syntaktischer Kopf, aber Bezug konkrete lokale Entität</t>
  </si>
  <si>
    <t xml:space="preserve">Veteran</t>
  </si>
  <si>
    <t xml:space="preserve">parser error: Relativpronomen</t>
  </si>
  <si>
    <t xml:space="preserve">seit</t>
  </si>
  <si>
    <t xml:space="preserve">über</t>
  </si>
  <si>
    <t xml:space="preserve">schon</t>
  </si>
  <si>
    <t xml:space="preserve">dutzende</t>
  </si>
  <si>
    <t xml:space="preserve">getragen</t>
  </si>
  <si>
    <t xml:space="preserve">Folgendes</t>
  </si>
  <si>
    <t xml:space="preserve">unsere</t>
  </si>
  <si>
    <t xml:space="preserve">auch ID mit_lab denkbar</t>
  </si>
  <si>
    <t xml:space="preserve">ausgedruckten</t>
  </si>
  <si>
    <t xml:space="preserve">prothesen_mit</t>
  </si>
  <si>
    <t xml:space="preserve">parser error nach Pos.Pron.; spezifische Untergruppe an Prothesen</t>
  </si>
  <si>
    <t xml:space="preserve">so</t>
  </si>
  <si>
    <t xml:space="preserve">weich</t>
  </si>
  <si>
    <t xml:space="preserve">man</t>
  </si>
  <si>
    <t xml:space="preserve">Kissen</t>
  </si>
  <si>
    <t xml:space="preserve">laufen</t>
  </si>
  <si>
    <t xml:space="preserve">verdammt</t>
  </si>
  <si>
    <t xml:space="preserve">sexy</t>
  </si>
  <si>
    <t xml:space="preserve"># text = ( Lachen ) Heutzutage sollten Behinderungen niemanden mehr daran hindern , ein sinnsvolles Leben zu führen .</t>
  </si>
  <si>
    <t xml:space="preserve">Lachen</t>
  </si>
  <si>
    <t xml:space="preserve">Heutzutage</t>
  </si>
  <si>
    <t xml:space="preserve">Behinderungen</t>
  </si>
  <si>
    <t xml:space="preserve">niemanden</t>
  </si>
  <si>
    <t xml:space="preserve">daran</t>
  </si>
  <si>
    <t xml:space="preserve">pron.padv</t>
  </si>
  <si>
    <t xml:space="preserve">syntaktisch gebundenes Korrelat</t>
  </si>
  <si>
    <t xml:space="preserve">hindern</t>
  </si>
  <si>
    <t xml:space="preserve">sinnsvolles</t>
  </si>
  <si>
    <t xml:space="preserve">Leben</t>
  </si>
  <si>
    <t xml:space="preserve">führen</t>
  </si>
  <si>
    <t xml:space="preserve"># text = Meine Hoffnung und mein Wunsch ist es , dass die Werkzeuge und Prozesse , die wir in unserer Forschungsgruppe entwickeln , genutzt werden können , um hochfunktionale Prothesen herzustellen , für die , die sie brauchen .</t>
  </si>
  <si>
    <t xml:space="preserve">Hoffnung</t>
  </si>
  <si>
    <t xml:space="preserve">hoffnung_sprecher</t>
  </si>
  <si>
    <t xml:space="preserve">parser error nach Pos.Pron.</t>
  </si>
  <si>
    <t xml:space="preserve">mein</t>
  </si>
  <si>
    <t xml:space="preserve">Wunsch</t>
  </si>
  <si>
    <t xml:space="preserve">der Wunsch entspricht der Lösung des Problems der Nichtnutzung von Prothesen</t>
  </si>
  <si>
    <t xml:space="preserve">Werkzeuge</t>
  </si>
  <si>
    <t xml:space="preserve">werkzeuge_und_prozesse</t>
  </si>
  <si>
    <t xml:space="preserve">Prozesse</t>
  </si>
  <si>
    <t xml:space="preserve">Forschungsgruppe</t>
  </si>
  <si>
    <t xml:space="preserve">mit_gruppe</t>
  </si>
  <si>
    <t xml:space="preserve">entwickeln</t>
  </si>
  <si>
    <t xml:space="preserve">können</t>
  </si>
  <si>
    <t xml:space="preserve">hochfunktionale</t>
  </si>
  <si>
    <t xml:space="preserve">dieselbe Entität der Prothesen, die diese MIT Lab Gruppe herstellt</t>
  </si>
  <si>
    <t xml:space="preserve">brauchen</t>
  </si>
  <si>
    <t xml:space="preserve"># text = Für mich ist es ein Anfang , um die Seelen derer zu heilen , die vom Krieg und Krankheiten betroffen sind , ist für mich komfortable und erschwingliche Schnittstellen für ihre Körper herzustellen .</t>
  </si>
  <si>
    <t xml:space="preserve">Für</t>
  </si>
  <si>
    <t xml:space="preserve">Anfang</t>
  </si>
  <si>
    <t xml:space="preserve">Seelen</t>
  </si>
  <si>
    <t xml:space="preserve">seelen_betroffener</t>
  </si>
  <si>
    <t xml:space="preserve">derer</t>
  </si>
  <si>
    <t xml:space="preserve">heilen</t>
  </si>
  <si>
    <t xml:space="preserve">Krankheiten</t>
  </si>
  <si>
    <t xml:space="preserve">betroffen</t>
  </si>
  <si>
    <t xml:space="preserve">sind</t>
  </si>
  <si>
    <t xml:space="preserve">komfortable</t>
  </si>
  <si>
    <t xml:space="preserve">erschwingliche</t>
  </si>
  <si>
    <t xml:space="preserve">Schnittstellen</t>
  </si>
  <si>
    <t xml:space="preserve">Körper</t>
  </si>
  <si>
    <t xml:space="preserve">arbeit_sprecher</t>
  </si>
  <si>
    <t xml:space="preserve"># text = Ob in Sierra Leone oder in Boston , ich hoffe , dass dies nicht nur ihren Sinn für menschliches Können wiederherstellt , sondern verändert .</t>
  </si>
  <si>
    <t xml:space="preserve">Ob</t>
  </si>
  <si>
    <t xml:space="preserve">oder</t>
  </si>
  <si>
    <t xml:space="preserve">Boston</t>
  </si>
  <si>
    <t xml:space="preserve">boston</t>
  </si>
  <si>
    <t xml:space="preserve">hoffe</t>
  </si>
  <si>
    <t xml:space="preserve">dies</t>
  </si>
  <si>
    <t xml:space="preserve">nur</t>
  </si>
  <si>
    <t xml:space="preserve">ihren</t>
  </si>
  <si>
    <t xml:space="preserve">Sinn</t>
  </si>
  <si>
    <t xml:space="preserve">glauben_patient</t>
  </si>
  <si>
    <t xml:space="preserve">menschliches</t>
  </si>
  <si>
    <t xml:space="preserve">Können</t>
  </si>
  <si>
    <t xml:space="preserve">wiederherstellt</t>
  </si>
  <si>
    <t xml:space="preserve">sondern</t>
  </si>
  <si>
    <t xml:space="preserve">verändert</t>
  </si>
  <si>
    <t xml:space="preserve"># text = Vielen Dank</t>
  </si>
  <si>
    <t xml:space="preserve">Vielen</t>
  </si>
  <si>
    <t xml:space="preserve">Dank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</si>
</sst>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2" zoomScaleNormal="102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88671875" defaultRowHeight="60" zeroHeight="false" outlineLevelRow="0" outlineLevelCol="0"/>
  <cols>
    <col collapsed="false" customWidth="true" hidden="true" outlineLevel="0" max="3" min="2" style="0" width="11.53"/>
    <col collapsed="false" customWidth="true" hidden="false" outlineLevel="0" max="4" min="4" style="0" width="10.66"/>
    <col collapsed="false" customWidth="true" hidden="false" outlineLevel="0" max="5" min="5" style="0" width="80.67"/>
    <col collapsed="false" customWidth="true" hidden="true" outlineLevel="0" max="6" min="6" style="0" width="11.53"/>
    <col collapsed="false" customWidth="true" hidden="false" outlineLevel="0" max="7" min="7" style="0" width="10.66"/>
    <col collapsed="false" customWidth="true" hidden="false" outlineLevel="0" max="9" min="9" style="0" width="10.66"/>
    <col collapsed="false" customWidth="true" hidden="false" outlineLevel="0" max="10" min="10" style="0" width="40.67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13</v>
      </c>
      <c r="H2" s="10" t="n">
        <v>2</v>
      </c>
      <c r="I2" s="11" t="s">
        <v>14</v>
      </c>
      <c r="J2" s="12"/>
    </row>
    <row r="3" customFormat="false" ht="60" hidden="false" customHeight="true" outlineLevel="0" collapsed="false">
      <c r="A3" s="6" t="s">
        <v>15</v>
      </c>
      <c r="B3" s="6" t="s">
        <v>11</v>
      </c>
      <c r="C3" s="6" t="s">
        <v>11</v>
      </c>
      <c r="D3" s="7" t="s">
        <v>11</v>
      </c>
      <c r="E3" s="8" t="s">
        <v>16</v>
      </c>
      <c r="F3" s="6" t="s">
        <v>11</v>
      </c>
      <c r="G3" s="9" t="s">
        <v>17</v>
      </c>
      <c r="H3" s="10" t="s">
        <v>10</v>
      </c>
      <c r="I3" s="11" t="s">
        <v>18</v>
      </c>
      <c r="J3" s="12" t="s">
        <v>19</v>
      </c>
    </row>
    <row r="4" customFormat="false" ht="60" hidden="false" customHeight="true" outlineLevel="0" collapsed="false">
      <c r="A4" s="6" t="s">
        <v>20</v>
      </c>
      <c r="B4" s="6" t="s">
        <v>11</v>
      </c>
      <c r="C4" s="6" t="s">
        <v>11</v>
      </c>
      <c r="D4" s="7" t="s">
        <v>11</v>
      </c>
      <c r="E4" s="8" t="s">
        <v>21</v>
      </c>
      <c r="F4" s="6" t="s">
        <v>11</v>
      </c>
      <c r="G4" s="9" t="s">
        <v>22</v>
      </c>
      <c r="H4" s="10" t="s">
        <v>15</v>
      </c>
      <c r="I4" s="11" t="s">
        <v>14</v>
      </c>
      <c r="J4" s="12" t="s">
        <v>23</v>
      </c>
    </row>
    <row r="5" customFormat="false" ht="60" hidden="false" customHeight="true" outlineLevel="0" collapsed="false">
      <c r="A5" s="6" t="s">
        <v>24</v>
      </c>
      <c r="B5" s="6" t="s">
        <v>11</v>
      </c>
      <c r="C5" s="6" t="s">
        <v>25</v>
      </c>
      <c r="D5" s="7" t="s">
        <v>11</v>
      </c>
      <c r="E5" s="8" t="s">
        <v>26</v>
      </c>
      <c r="F5" s="6" t="s">
        <v>11</v>
      </c>
      <c r="G5" s="9" t="s">
        <v>27</v>
      </c>
      <c r="H5" s="10" t="n">
        <v>2</v>
      </c>
      <c r="I5" s="11" t="s">
        <v>28</v>
      </c>
      <c r="J5" s="12" t="s">
        <v>29</v>
      </c>
    </row>
    <row r="6" customFormat="false" ht="60" hidden="false" customHeight="true" outlineLevel="0" collapsed="false">
      <c r="A6" s="6" t="s">
        <v>30</v>
      </c>
      <c r="B6" s="6" t="s">
        <v>11</v>
      </c>
      <c r="C6" s="6" t="s">
        <v>11</v>
      </c>
      <c r="D6" s="7" t="s">
        <v>11</v>
      </c>
      <c r="E6" s="8" t="s">
        <v>31</v>
      </c>
      <c r="F6" s="6" t="s">
        <v>11</v>
      </c>
      <c r="G6" s="9" t="s">
        <v>32</v>
      </c>
      <c r="H6" s="10" t="s">
        <v>24</v>
      </c>
      <c r="I6" s="11" t="s">
        <v>14</v>
      </c>
      <c r="J6" s="12" t="s">
        <v>23</v>
      </c>
    </row>
    <row r="7" customFormat="false" ht="60" hidden="false" customHeight="true" outlineLevel="0" collapsed="false">
      <c r="A7" s="6" t="s">
        <v>33</v>
      </c>
      <c r="B7" s="6" t="s">
        <v>11</v>
      </c>
      <c r="C7" s="6" t="s">
        <v>11</v>
      </c>
      <c r="D7" s="7" t="s">
        <v>11</v>
      </c>
      <c r="E7" s="8" t="s">
        <v>34</v>
      </c>
      <c r="F7" s="6" t="s">
        <v>11</v>
      </c>
      <c r="G7" s="9" t="s">
        <v>35</v>
      </c>
      <c r="H7" s="10" t="s">
        <v>30</v>
      </c>
      <c r="I7" s="11" t="s">
        <v>36</v>
      </c>
      <c r="J7" s="12" t="s">
        <v>37</v>
      </c>
    </row>
    <row r="8" customFormat="false" ht="60" hidden="false" customHeight="true" outlineLevel="0" collapsed="false">
      <c r="A8" s="6" t="s">
        <v>38</v>
      </c>
      <c r="B8" s="6" t="s">
        <v>11</v>
      </c>
      <c r="C8" s="6" t="s">
        <v>11</v>
      </c>
      <c r="D8" s="7" t="s">
        <v>11</v>
      </c>
      <c r="E8" s="8" t="s">
        <v>39</v>
      </c>
      <c r="F8" s="6" t="s">
        <v>11</v>
      </c>
      <c r="G8" s="9" t="s">
        <v>40</v>
      </c>
      <c r="H8" s="10" t="n">
        <v>4</v>
      </c>
      <c r="I8" s="11" t="s">
        <v>41</v>
      </c>
      <c r="J8" s="12"/>
    </row>
    <row r="9" customFormat="false" ht="60" hidden="false" customHeight="true" outlineLevel="0" collapsed="false">
      <c r="A9" s="6" t="s">
        <v>42</v>
      </c>
      <c r="B9" s="6" t="s">
        <v>11</v>
      </c>
      <c r="C9" s="6" t="s">
        <v>11</v>
      </c>
      <c r="D9" s="7" t="s">
        <v>11</v>
      </c>
      <c r="E9" s="8" t="s">
        <v>43</v>
      </c>
      <c r="F9" s="6" t="s">
        <v>11</v>
      </c>
      <c r="G9" s="9" t="s">
        <v>44</v>
      </c>
      <c r="H9" s="10" t="s">
        <v>38</v>
      </c>
      <c r="I9" s="11" t="s">
        <v>45</v>
      </c>
      <c r="J9" s="12" t="s">
        <v>46</v>
      </c>
    </row>
    <row r="10" customFormat="false" ht="60" hidden="false" customHeight="true" outlineLevel="0" collapsed="false">
      <c r="A10" s="6" t="s">
        <v>47</v>
      </c>
      <c r="B10" s="6" t="s">
        <v>11</v>
      </c>
      <c r="C10" s="6" t="s">
        <v>11</v>
      </c>
      <c r="D10" s="7" t="s">
        <v>11</v>
      </c>
      <c r="E10" s="8" t="s">
        <v>48</v>
      </c>
      <c r="F10" s="6" t="s">
        <v>11</v>
      </c>
      <c r="G10" s="9" t="s">
        <v>49</v>
      </c>
      <c r="H10" s="10" t="n">
        <v>8</v>
      </c>
      <c r="I10" s="11" t="s">
        <v>50</v>
      </c>
      <c r="J10" s="12"/>
    </row>
    <row r="11" customFormat="false" ht="60" hidden="false" customHeight="true" outlineLevel="0" collapsed="false">
      <c r="A11" s="6" t="s">
        <v>51</v>
      </c>
      <c r="B11" s="6" t="s">
        <v>11</v>
      </c>
      <c r="C11" s="6" t="s">
        <v>11</v>
      </c>
      <c r="D11" s="7" t="s">
        <v>11</v>
      </c>
      <c r="E11" s="8" t="s">
        <v>52</v>
      </c>
      <c r="F11" s="6" t="s">
        <v>11</v>
      </c>
      <c r="G11" s="9" t="s">
        <v>53</v>
      </c>
      <c r="H11" s="10" t="n">
        <v>8</v>
      </c>
      <c r="I11" s="11" t="s">
        <v>54</v>
      </c>
      <c r="J11" s="12"/>
    </row>
    <row r="12" customFormat="false" ht="60" hidden="false" customHeight="true" outlineLevel="0" collapsed="false">
      <c r="A12" s="6" t="s">
        <v>55</v>
      </c>
      <c r="B12" s="6" t="s">
        <v>11</v>
      </c>
      <c r="C12" s="6" t="s">
        <v>56</v>
      </c>
      <c r="D12" s="7" t="s">
        <v>11</v>
      </c>
      <c r="E12" s="8" t="s">
        <v>57</v>
      </c>
      <c r="F12" s="6" t="s">
        <v>11</v>
      </c>
      <c r="G12" s="9" t="s">
        <v>58</v>
      </c>
      <c r="H12" s="10" t="s">
        <v>51</v>
      </c>
      <c r="I12" s="11" t="s">
        <v>45</v>
      </c>
      <c r="J12" s="12" t="s">
        <v>46</v>
      </c>
    </row>
    <row r="13" customFormat="false" ht="60" hidden="false" customHeight="true" outlineLevel="0" collapsed="false">
      <c r="A13" s="6" t="s">
        <v>59</v>
      </c>
      <c r="B13" s="6" t="s">
        <v>11</v>
      </c>
      <c r="C13" s="6" t="s">
        <v>25</v>
      </c>
      <c r="D13" s="7" t="s">
        <v>11</v>
      </c>
      <c r="E13" s="8" t="s">
        <v>60</v>
      </c>
      <c r="F13" s="6" t="s">
        <v>11</v>
      </c>
      <c r="G13" s="9" t="s">
        <v>49</v>
      </c>
      <c r="H13" s="10" t="s">
        <v>55</v>
      </c>
      <c r="I13" s="11" t="s">
        <v>50</v>
      </c>
      <c r="J13" s="12" t="s">
        <v>37</v>
      </c>
    </row>
    <row r="14" customFormat="false" ht="60" hidden="false" customHeight="true" outlineLevel="0" collapsed="false">
      <c r="A14" s="6" t="s">
        <v>61</v>
      </c>
      <c r="B14" s="6" t="s">
        <v>11</v>
      </c>
      <c r="C14" s="6" t="s">
        <v>56</v>
      </c>
      <c r="D14" s="7" t="s">
        <v>11</v>
      </c>
      <c r="E14" s="8" t="s">
        <v>62</v>
      </c>
      <c r="F14" s="6" t="s">
        <v>11</v>
      </c>
      <c r="G14" s="9" t="s">
        <v>63</v>
      </c>
      <c r="H14" s="10" t="s">
        <v>59</v>
      </c>
      <c r="I14" s="11" t="s">
        <v>28</v>
      </c>
      <c r="J14" s="12" t="s">
        <v>37</v>
      </c>
    </row>
    <row r="15" customFormat="false" ht="60" hidden="false" customHeight="true" outlineLevel="0" collapsed="false">
      <c r="A15" s="6" t="s">
        <v>64</v>
      </c>
      <c r="B15" s="6" t="s">
        <v>11</v>
      </c>
      <c r="C15" s="6" t="s">
        <v>11</v>
      </c>
      <c r="D15" s="7" t="s">
        <v>11</v>
      </c>
      <c r="E15" s="8" t="s">
        <v>65</v>
      </c>
      <c r="F15" s="6" t="s">
        <v>11</v>
      </c>
      <c r="G15" s="9" t="s">
        <v>27</v>
      </c>
      <c r="H15" s="10" t="n">
        <v>13</v>
      </c>
      <c r="I15" s="11" t="s">
        <v>28</v>
      </c>
      <c r="J15" s="12" t="s">
        <v>66</v>
      </c>
    </row>
    <row r="16" customFormat="false" ht="60" hidden="false" customHeight="true" outlineLevel="0" collapsed="false">
      <c r="A16" s="6" t="s">
        <v>67</v>
      </c>
      <c r="B16" s="6" t="s">
        <v>11</v>
      </c>
      <c r="C16" s="6" t="s">
        <v>11</v>
      </c>
      <c r="D16" s="7" t="s">
        <v>11</v>
      </c>
      <c r="E16" s="8" t="s">
        <v>68</v>
      </c>
      <c r="F16" s="6" t="s">
        <v>11</v>
      </c>
      <c r="G16" s="9" t="s">
        <v>69</v>
      </c>
      <c r="H16" s="10" t="s">
        <v>64</v>
      </c>
      <c r="I16" s="11" t="s">
        <v>70</v>
      </c>
      <c r="J16" s="12" t="s">
        <v>71</v>
      </c>
    </row>
    <row r="17" customFormat="false" ht="60" hidden="false" customHeight="true" outlineLevel="0" collapsed="false">
      <c r="A17" s="6" t="s">
        <v>72</v>
      </c>
      <c r="B17" s="6" t="s">
        <v>11</v>
      </c>
      <c r="C17" s="6" t="s">
        <v>73</v>
      </c>
      <c r="D17" s="7" t="s">
        <v>11</v>
      </c>
      <c r="E17" s="8" t="s">
        <v>74</v>
      </c>
      <c r="F17" s="6" t="s">
        <v>11</v>
      </c>
      <c r="G17" s="9" t="s">
        <v>75</v>
      </c>
      <c r="H17" s="10" t="s">
        <v>67</v>
      </c>
      <c r="I17" s="11" t="s">
        <v>70</v>
      </c>
      <c r="J17" s="12" t="s">
        <v>76</v>
      </c>
    </row>
    <row r="18" customFormat="false" ht="60" hidden="false" customHeight="true" outlineLevel="0" collapsed="false">
      <c r="A18" s="6" t="s">
        <v>77</v>
      </c>
      <c r="B18" s="6" t="s">
        <v>11</v>
      </c>
      <c r="C18" s="6" t="s">
        <v>78</v>
      </c>
      <c r="D18" s="7" t="s">
        <v>11</v>
      </c>
      <c r="E18" s="8" t="s">
        <v>79</v>
      </c>
      <c r="F18" s="6" t="s">
        <v>11</v>
      </c>
      <c r="G18" s="9" t="s">
        <v>80</v>
      </c>
      <c r="H18" s="10" t="s">
        <v>72</v>
      </c>
      <c r="I18" s="11" t="s">
        <v>41</v>
      </c>
      <c r="J18" s="12" t="s">
        <v>37</v>
      </c>
    </row>
    <row r="19" customFormat="false" ht="60" hidden="false" customHeight="true" outlineLevel="0" collapsed="false">
      <c r="A19" s="6" t="s">
        <v>81</v>
      </c>
      <c r="B19" s="6" t="s">
        <v>11</v>
      </c>
      <c r="C19" s="6" t="s">
        <v>11</v>
      </c>
      <c r="D19" s="7" t="s">
        <v>11</v>
      </c>
      <c r="E19" s="8" t="s">
        <v>82</v>
      </c>
      <c r="F19" s="6" t="s">
        <v>11</v>
      </c>
      <c r="G19" s="9" t="s">
        <v>83</v>
      </c>
      <c r="H19" s="10" t="s">
        <v>77</v>
      </c>
      <c r="I19" s="11" t="s">
        <v>84</v>
      </c>
      <c r="J19" s="12" t="s">
        <v>85</v>
      </c>
    </row>
    <row r="20" customFormat="false" ht="60" hidden="false" customHeight="true" outlineLevel="0" collapsed="false">
      <c r="A20" s="6" t="s">
        <v>86</v>
      </c>
      <c r="B20" s="6" t="s">
        <v>11</v>
      </c>
      <c r="C20" s="6" t="s">
        <v>87</v>
      </c>
      <c r="D20" s="7" t="s">
        <v>11</v>
      </c>
      <c r="E20" s="8" t="s">
        <v>88</v>
      </c>
      <c r="F20" s="6" t="s">
        <v>11</v>
      </c>
      <c r="G20" s="9" t="s">
        <v>89</v>
      </c>
      <c r="H20" s="10" t="n">
        <v>18</v>
      </c>
      <c r="I20" s="11" t="s">
        <v>90</v>
      </c>
      <c r="J20" s="12" t="s">
        <v>91</v>
      </c>
    </row>
    <row r="21" customFormat="false" ht="60" hidden="false" customHeight="true" outlineLevel="0" collapsed="false">
      <c r="A21" s="6" t="s">
        <v>92</v>
      </c>
      <c r="B21" s="6" t="s">
        <v>11</v>
      </c>
      <c r="C21" s="6" t="s">
        <v>11</v>
      </c>
      <c r="D21" s="7" t="s">
        <v>11</v>
      </c>
      <c r="E21" s="8" t="s">
        <v>93</v>
      </c>
      <c r="F21" s="6" t="s">
        <v>11</v>
      </c>
      <c r="G21" s="9" t="s">
        <v>94</v>
      </c>
      <c r="H21" s="10" t="n">
        <v>19</v>
      </c>
      <c r="I21" s="11" t="s">
        <v>95</v>
      </c>
      <c r="J21" s="12"/>
    </row>
    <row r="22" customFormat="false" ht="60" hidden="false" customHeight="true" outlineLevel="0" collapsed="false">
      <c r="A22" s="6" t="s">
        <v>96</v>
      </c>
      <c r="B22" s="6" t="s">
        <v>11</v>
      </c>
      <c r="C22" s="6" t="s">
        <v>25</v>
      </c>
      <c r="D22" s="7" t="s">
        <v>11</v>
      </c>
      <c r="E22" s="8" t="s">
        <v>97</v>
      </c>
      <c r="F22" s="6" t="s">
        <v>11</v>
      </c>
      <c r="G22" s="9" t="s">
        <v>27</v>
      </c>
      <c r="H22" s="10" t="s">
        <v>92</v>
      </c>
      <c r="I22" s="11" t="s">
        <v>28</v>
      </c>
      <c r="J22" s="12" t="s">
        <v>29</v>
      </c>
    </row>
    <row r="23" customFormat="false" ht="60" hidden="false" customHeight="true" outlineLevel="0" collapsed="false">
      <c r="A23" s="6" t="s">
        <v>98</v>
      </c>
      <c r="B23" s="6" t="s">
        <v>11</v>
      </c>
      <c r="C23" s="6" t="s">
        <v>25</v>
      </c>
      <c r="D23" s="7" t="s">
        <v>11</v>
      </c>
      <c r="E23" s="8" t="s">
        <v>99</v>
      </c>
      <c r="F23" s="6" t="s">
        <v>11</v>
      </c>
      <c r="G23" s="9" t="s">
        <v>100</v>
      </c>
      <c r="H23" s="10" t="s">
        <v>96</v>
      </c>
      <c r="I23" s="11" t="s">
        <v>101</v>
      </c>
      <c r="J23" s="12" t="s">
        <v>29</v>
      </c>
    </row>
    <row r="24" customFormat="false" ht="60" hidden="false" customHeight="true" outlineLevel="0" collapsed="false">
      <c r="A24" s="6" t="s">
        <v>102</v>
      </c>
      <c r="B24" s="6" t="s">
        <v>11</v>
      </c>
      <c r="C24" s="6" t="s">
        <v>25</v>
      </c>
      <c r="D24" s="7" t="s">
        <v>11</v>
      </c>
      <c r="E24" s="8" t="s">
        <v>103</v>
      </c>
      <c r="F24" s="6" t="s">
        <v>11</v>
      </c>
      <c r="G24" s="9" t="s">
        <v>104</v>
      </c>
      <c r="H24" s="10" t="n">
        <v>21</v>
      </c>
      <c r="I24" s="11" t="s">
        <v>105</v>
      </c>
      <c r="J24" s="12" t="s">
        <v>29</v>
      </c>
    </row>
    <row r="25" customFormat="false" ht="60" hidden="false" customHeight="true" outlineLevel="0" collapsed="false">
      <c r="A25" s="6" t="s">
        <v>106</v>
      </c>
      <c r="B25" s="6" t="s">
        <v>11</v>
      </c>
      <c r="C25" s="6" t="s">
        <v>11</v>
      </c>
      <c r="D25" s="7" t="s">
        <v>11</v>
      </c>
      <c r="E25" s="8" t="s">
        <v>107</v>
      </c>
      <c r="F25" s="6" t="s">
        <v>11</v>
      </c>
      <c r="G25" s="9" t="s">
        <v>11</v>
      </c>
      <c r="H25" s="10" t="s">
        <v>11</v>
      </c>
      <c r="I25" s="11" t="s">
        <v>108</v>
      </c>
      <c r="J25" s="12" t="s">
        <v>109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0.66"/>
    <col collapsed="false" customWidth="true" hidden="false" outlineLevel="0" max="3" min="3" style="0" width="15.66"/>
    <col collapsed="false" customWidth="true" hidden="false" outlineLevel="0" max="4" min="4" style="0" width="10.66"/>
    <col collapsed="false" customWidth="true" hidden="true" outlineLevel="0" max="11" min="9" style="0" width="11.53"/>
    <col collapsed="false" customWidth="true" hidden="false" outlineLevel="0" max="12" min="12" style="0" width="40.67"/>
  </cols>
  <sheetData>
    <row r="1" s="13" customFormat="true" ht="14.25" hidden="false" customHeight="false" outlineLevel="0" collapsed="false">
      <c r="A1" s="13" t="s">
        <v>110</v>
      </c>
      <c r="B1" s="13" t="s">
        <v>111</v>
      </c>
      <c r="C1" s="13" t="s">
        <v>112</v>
      </c>
      <c r="D1" s="13" t="s">
        <v>113</v>
      </c>
      <c r="E1" s="14" t="s">
        <v>114</v>
      </c>
      <c r="F1" s="15" t="s">
        <v>115</v>
      </c>
      <c r="G1" s="16" t="s">
        <v>116</v>
      </c>
      <c r="H1" s="17" t="s">
        <v>117</v>
      </c>
      <c r="I1" s="18" t="s">
        <v>118</v>
      </c>
      <c r="J1" s="18" t="s">
        <v>119</v>
      </c>
      <c r="K1" s="18" t="s">
        <v>120</v>
      </c>
      <c r="L1" s="19" t="s">
        <v>9</v>
      </c>
      <c r="M1" s="0"/>
    </row>
    <row r="2" customFormat="false" ht="14.25" hidden="false" customHeight="false" outlineLevel="0" collapsed="false">
      <c r="A2" s="0" t="s">
        <v>121</v>
      </c>
    </row>
    <row r="3" customFormat="false" ht="14.25" hidden="false" customHeight="false" outlineLevel="0" collapsed="false">
      <c r="A3" s="0" t="s">
        <v>122</v>
      </c>
      <c r="B3" s="20" t="s">
        <v>123</v>
      </c>
      <c r="C3" s="20" t="s">
        <v>124</v>
      </c>
      <c r="D3" s="20" t="s">
        <v>125</v>
      </c>
      <c r="E3" s="21" t="s">
        <v>126</v>
      </c>
      <c r="F3" s="22" t="s">
        <v>127</v>
      </c>
      <c r="G3" s="23" t="s">
        <v>128</v>
      </c>
      <c r="H3" s="24"/>
      <c r="I3" s="25" t="e">
        <f aca="false">IF(OR(E3="",E3="!!!",F3="NEW"),"",INDEX(O2,-1+SUMPRODUCT(MAX(ROW(R2)*(E3=R2)))))</f>
        <v>#VALUE!</v>
      </c>
      <c r="J3" s="25" t="e">
        <f aca="true">IF(OR(E3="",E3="!!!",F3="NEW"),"",COUNTBLANK(OFFSET(N$1,,,SUMPRODUCT(MAX(ROW(R$2:R3)*(E3=R$2:R3)))))-COUNTBLANK(OFFSET(N$1,,,SUMPRODUCT(MAX(ROW(R$1:R2)*(R2=R$1:R2))))))</f>
        <v>#VALUE!</v>
      </c>
      <c r="K3" s="25" t="e">
        <f aca="false">IF(OR(E3="",E3="!!!",F3="NEW"),"",INDEX(W$1:W2,SUMPRODUCT(MAX(ROW(R$1:R2)*(E3=R$1:R2)))))</f>
        <v>#VALUE!</v>
      </c>
      <c r="L3" s="26" t="s">
        <v>129</v>
      </c>
      <c r="O3" s="20"/>
      <c r="P3" s="20"/>
      <c r="Q3" s="20"/>
    </row>
    <row r="4" customFormat="false" ht="14.25" hidden="false" customHeight="false" outlineLevel="0" collapsed="false">
      <c r="A4" s="0" t="s">
        <v>130</v>
      </c>
      <c r="E4" s="21" t="str">
        <f aca="false">IF(Q4="?OLD","!!!","")</f>
        <v/>
      </c>
      <c r="F4" s="22" t="str">
        <f aca="false">IF(OR(E4="",E4="!!!"),"",IF(NOT(ISNA(VLOOKUP(E4,R$1:R3,1,FALSE()))),"OLD",IF(AND(E4&lt;&gt;"",E4&lt;&gt;"!!!"),"NEW","")))</f>
        <v/>
      </c>
      <c r="G4" s="23" t="str">
        <f aca="false"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aca="false">IF(J4&lt;&gt;1,"",IF(I4="SBJ","CB","?"))</f>
        <v/>
      </c>
      <c r="I4" s="25" t="str">
        <f aca="false">IF(OR(E4="",E4="!!!",F4="NEW"),"",INDEX(O$2:O3,-1+SUMPRODUCT(MAX(ROW(R$2:R3)*(E4=R$2:R3)))))</f>
        <v/>
      </c>
      <c r="J4" s="25" t="str">
        <f aca="true">IF(OR(E4="",E4="!!!",F4="NEW"),"",COUNTBLANK(OFFSET(N$1,,,SUMPRODUCT(MAX(ROW(R$2:R4)*(E4=R$2:R4)))))-COUNTBLANK(OFFSET(N$1,,,SUMPRODUCT(MAX(ROW(R$1:R3)*(R2=R$1:R3))))))</f>
        <v/>
      </c>
      <c r="K4" s="25" t="str">
        <f aca="false">IF(OR(E4="",E4="!!!",F4="NEW"),"",INDEX(W$1:W3,SUMPRODUCT(MAX(ROW(R$1:R3)*(E4=R$1:R3)))))</f>
        <v/>
      </c>
      <c r="L4" s="26"/>
    </row>
    <row r="5" customFormat="false" ht="14.25" hidden="false" customHeight="false" outlineLevel="0" collapsed="false">
      <c r="A5" s="0" t="s">
        <v>131</v>
      </c>
      <c r="E5" s="21" t="str">
        <f aca="false">IF(Q5="?OLD","!!!","")</f>
        <v/>
      </c>
      <c r="F5" s="22" t="str">
        <f aca="false">IF(OR(E5="",E5="!!!"),"",IF(NOT(ISNA(VLOOKUP(E5,R$1:R4,1,FALSE()))),"OLD",IF(AND(E5&lt;&gt;"",E5&lt;&gt;"!!!"),"NEW","")))</f>
        <v/>
      </c>
      <c r="G5" s="23" t="str">
        <f aca="false"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aca="false">IF(J5&lt;&gt;1,"",IF(I5="SBJ","CB","?"))</f>
        <v/>
      </c>
      <c r="I5" s="25" t="str">
        <f aca="false">IF(OR(E5="",E5="!!!",F5="NEW"),"",INDEX(O$2:O4,-1+SUMPRODUCT(MAX(ROW(R$2:R4)*(E5=R$2:R4)))))</f>
        <v/>
      </c>
      <c r="J5" s="25" t="str">
        <f aca="true">IF(OR(E5="",E5="!!!",F5="NEW"),"",COUNTBLANK(OFFSET(N$1,,,SUMPRODUCT(MAX(ROW(R$2:R5)*(E5=R$2:R5)))))-COUNTBLANK(OFFSET(N$1,,,SUMPRODUCT(MAX(ROW(R$1:R4)*(R2=R$1:R4))))))</f>
        <v/>
      </c>
      <c r="K5" s="25" t="str">
        <f aca="false">IF(OR(E5="",E5="!!!",F5="NEW"),"",INDEX(W$1:W4,SUMPRODUCT(MAX(ROW(R$1:R4)*(E5=R$1:R4)))))</f>
        <v/>
      </c>
      <c r="L5" s="26"/>
    </row>
    <row r="6" customFormat="false" ht="14.25" hidden="false" customHeight="false" outlineLevel="0" collapsed="false">
      <c r="A6" s="0" t="s">
        <v>132</v>
      </c>
      <c r="B6" s="20" t="s">
        <v>133</v>
      </c>
      <c r="C6" s="20" t="s">
        <v>134</v>
      </c>
      <c r="D6" s="20" t="s">
        <v>125</v>
      </c>
      <c r="E6" s="21" t="s">
        <v>135</v>
      </c>
      <c r="F6" s="22" t="str">
        <f aca="false">IF(OR(E6="",E6="!!!"),"",IF(NOT(ISNA(VLOOKUP(E6,R$1:R5,1,FALSE()))),"OLD",IF(AND(E6&lt;&gt;"",E6&lt;&gt;"!!!"),"NEW","")))</f>
        <v>NEW</v>
      </c>
      <c r="G6" s="23" t="str">
        <f aca="false">IF(OR(E6="",E6="!!!"),"",IF(OR(J6=0,AND(J6=1,K6=1),AND(J6=1,I6="SBJ"),AND(J6=1,I6=0)),"?IN_FOCUS",IF(J6&lt;=2,"?ACTIVATED",IF(J6&lt;&gt;"","?FAMILIAR",IF(F6="NEW",IF(ISNA(VLOOKUP(E6,#REF!,1,FALSE())),"?TYPE_IDENTIFIABLE","?REFERENTIAL"),"_")))))</f>
        <v>?REFERENTIAL</v>
      </c>
      <c r="H6" s="24" t="str">
        <f aca="false">IF(J6&lt;&gt;1,"",IF(I6="SBJ","CB","?"))</f>
        <v/>
      </c>
      <c r="I6" s="25" t="str">
        <f aca="false">IF(OR(E6="",E6="!!!",F6="NEW"),"",INDEX(O$2:O5,-1+SUMPRODUCT(MAX(ROW(R$2:R5)*(E6=R$2:R5)))))</f>
        <v/>
      </c>
      <c r="J6" s="25" t="str">
        <f aca="true">IF(OR(E6="",E6="!!!",F6="NEW"),"",COUNTBLANK(OFFSET(N$1,,,SUMPRODUCT(MAX(ROW(R$2:R6)*(E6=R$2:R6)))))-COUNTBLANK(OFFSET(N$1,,,SUMPRODUCT(MAX(ROW(R$1:R5)*(R2=R$1:R5))))))</f>
        <v/>
      </c>
      <c r="K6" s="25" t="str">
        <f aca="false">IF(OR(E6="",E6="!!!",F6="NEW"),"",INDEX(W$1:W5,SUMPRODUCT(MAX(ROW(R$1:R5)*(E6=R$1:R5)))))</f>
        <v/>
      </c>
      <c r="L6" s="26"/>
      <c r="O6" s="20"/>
      <c r="P6" s="20"/>
      <c r="Q6" s="20"/>
    </row>
    <row r="7" customFormat="false" ht="14.25" hidden="false" customHeight="false" outlineLevel="0" collapsed="false">
      <c r="A7" s="0" t="s">
        <v>136</v>
      </c>
      <c r="E7" s="21" t="str">
        <f aca="false">IF(Q7="?OLD","!!!","")</f>
        <v/>
      </c>
      <c r="F7" s="22" t="str">
        <f aca="false">IF(OR(E7="",E7="!!!"),"",IF(NOT(ISNA(VLOOKUP(E7,R$1:R6,1,FALSE()))),"OLD",IF(AND(E7&lt;&gt;"",E7&lt;&gt;"!!!"),"NEW","")))</f>
        <v/>
      </c>
      <c r="G7" s="23" t="str">
        <f aca="false"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aca="false">IF(J7&lt;&gt;1,"",IF(I7="SBJ","CB","?"))</f>
        <v/>
      </c>
      <c r="I7" s="25" t="str">
        <f aca="false">IF(OR(E7="",E7="!!!",F7="NEW"),"",INDEX(O$2:O6,-1+SUMPRODUCT(MAX(ROW(R$2:R6)*(E7=R$2:R6)))))</f>
        <v/>
      </c>
      <c r="J7" s="25" t="str">
        <f aca="true">IF(OR(E7="",E7="!!!",F7="NEW"),"",COUNTBLANK(OFFSET(N$1,,,SUMPRODUCT(MAX(ROW(R$2:R7)*(E7=R$2:R7)))))-COUNTBLANK(OFFSET(N$1,,,SUMPRODUCT(MAX(ROW(R$1:R6)*(R2=R$1:R6))))))</f>
        <v/>
      </c>
      <c r="K7" s="25" t="str">
        <f aca="false">IF(OR(E7="",E7="!!!",F7="NEW"),"",INDEX(W$1:W6,SUMPRODUCT(MAX(ROW(R$1:R6)*(E7=R$1:R6)))))</f>
        <v/>
      </c>
      <c r="L7" s="26"/>
    </row>
    <row r="8" customFormat="false" ht="14.25" hidden="false" customHeight="false" outlineLevel="0" collapsed="false">
      <c r="A8" s="0" t="s">
        <v>137</v>
      </c>
      <c r="E8" s="21" t="str">
        <f aca="false">IF(Q8="?OLD","!!!","")</f>
        <v/>
      </c>
      <c r="F8" s="22" t="str">
        <f aca="false">IF(OR(E8="",E8="!!!"),"",IF(NOT(ISNA(VLOOKUP(E8,R$1:R7,1,FALSE()))),"OLD",IF(AND(E8&lt;&gt;"",E8&lt;&gt;"!!!"),"NEW","")))</f>
        <v/>
      </c>
      <c r="G8" s="23" t="str">
        <f aca="false"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aca="false">IF(J8&lt;&gt;1,"",IF(I8="SBJ","CB","?"))</f>
        <v/>
      </c>
      <c r="I8" s="25" t="str">
        <f aca="false">IF(OR(E8="",E8="!!!",F8="NEW"),"",INDEX(O$2:O7,-1+SUMPRODUCT(MAX(ROW(R$2:R7)*(E8=R$2:R7)))))</f>
        <v/>
      </c>
      <c r="J8" s="25" t="str">
        <f aca="true">IF(OR(E8="",E8="!!!",F8="NEW"),"",COUNTBLANK(OFFSET(N$1,,,SUMPRODUCT(MAX(ROW(R$2:R8)*(E8=R$2:R8)))))-COUNTBLANK(OFFSET(N$1,,,SUMPRODUCT(MAX(ROW(R$1:R7)*(R2=R$1:R7))))))</f>
        <v/>
      </c>
      <c r="K8" s="25" t="str">
        <f aca="false">IF(OR(E8="",E8="!!!",F8="NEW"),"",INDEX(W$1:W7,SUMPRODUCT(MAX(ROW(R$1:R7)*(E8=R$1:R7)))))</f>
        <v/>
      </c>
      <c r="L8" s="26"/>
    </row>
    <row r="9" customFormat="false" ht="14.25" hidden="false" customHeight="false" outlineLevel="0" collapsed="false">
      <c r="A9" s="0" t="s">
        <v>138</v>
      </c>
      <c r="E9" s="21" t="str">
        <f aca="false">IF(Q9="?OLD","!!!","")</f>
        <v/>
      </c>
      <c r="F9" s="22" t="str">
        <f aca="false">IF(OR(E9="",E9="!!!"),"",IF(NOT(ISNA(VLOOKUP(E9,R$1:R8,1,FALSE()))),"OLD",IF(AND(E9&lt;&gt;"",E9&lt;&gt;"!!!"),"NEW","")))</f>
        <v/>
      </c>
      <c r="G9" s="23" t="str">
        <f aca="false"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aca="false">IF(J9&lt;&gt;1,"",IF(I9="SBJ","CB","?"))</f>
        <v/>
      </c>
      <c r="I9" s="25" t="str">
        <f aca="false">IF(OR(E9="",E9="!!!",F9="NEW"),"",INDEX(O$2:O8,-1+SUMPRODUCT(MAX(ROW(R$2:R8)*(E9=R$2:R8)))))</f>
        <v/>
      </c>
      <c r="J9" s="25" t="str">
        <f aca="true">IF(OR(E9="",E9="!!!",F9="NEW"),"",COUNTBLANK(OFFSET(N$1,,,SUMPRODUCT(MAX(ROW(R$2:R9)*(E9=R$2:R9)))))-COUNTBLANK(OFFSET(N$1,,,SUMPRODUCT(MAX(ROW(R$1:R8)*(R2=R$1:R8))))))</f>
        <v/>
      </c>
      <c r="K9" s="25" t="str">
        <f aca="false">IF(OR(E9="",E9="!!!",F9="NEW"),"",INDEX(W$1:W8,SUMPRODUCT(MAX(ROW(R$1:R8)*(E9=R$1:R8)))))</f>
        <v/>
      </c>
      <c r="L9" s="26"/>
    </row>
    <row r="10" customFormat="false" ht="14.25" hidden="false" customHeight="false" outlineLevel="0" collapsed="false">
      <c r="A10" s="0" t="s">
        <v>139</v>
      </c>
      <c r="E10" s="21" t="str">
        <f aca="false">IF(Q10="?OLD","!!!","")</f>
        <v/>
      </c>
      <c r="F10" s="22" t="str">
        <f aca="false">IF(OR(E10="",E10="!!!"),"",IF(NOT(ISNA(VLOOKUP(E10,R$1:R9,1,FALSE()))),"OLD",IF(AND(E10&lt;&gt;"",E10&lt;&gt;"!!!"),"NEW","")))</f>
        <v/>
      </c>
      <c r="G10" s="23" t="str">
        <f aca="false"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aca="false">IF(J10&lt;&gt;1,"",IF(I10="SBJ","CB","?"))</f>
        <v/>
      </c>
      <c r="I10" s="25" t="str">
        <f aca="false">IF(OR(E10="",E10="!!!",F10="NEW"),"",INDEX(O$2:O9,-1+SUMPRODUCT(MAX(ROW(R$2:R9)*(E10=R$2:R9)))))</f>
        <v/>
      </c>
      <c r="J10" s="25" t="str">
        <f aca="true">IF(OR(E10="",E10="!!!",F10="NEW"),"",COUNTBLANK(OFFSET(N$1,,,SUMPRODUCT(MAX(ROW(R$2:R10)*(E10=R$2:R10)))))-COUNTBLANK(OFFSET(N$1,,,SUMPRODUCT(MAX(ROW(R$1:R9)*(R2=R$1:R9))))))</f>
        <v/>
      </c>
      <c r="K10" s="25" t="str">
        <f aca="false">IF(OR(E10="",E10="!!!",F10="NEW"),"",INDEX(W$1:W9,SUMPRODUCT(MAX(ROW(R$1:R9)*(E10=R$1:R9)))))</f>
        <v/>
      </c>
      <c r="L10" s="26"/>
    </row>
    <row r="11" customFormat="false" ht="14.25" hidden="false" customHeight="false" outlineLevel="0" collapsed="false">
      <c r="A11" s="0" t="s">
        <v>140</v>
      </c>
      <c r="E11" s="21" t="str">
        <f aca="false">IF(Q11="?OLD","!!!","")</f>
        <v/>
      </c>
      <c r="F11" s="22" t="str">
        <f aca="false">IF(OR(E11="",E11="!!!"),"",IF(NOT(ISNA(VLOOKUP(E11,R$1:R10,1,FALSE()))),"OLD",IF(AND(E11&lt;&gt;"",E11&lt;&gt;"!!!"),"NEW","")))</f>
        <v/>
      </c>
      <c r="G11" s="23" t="str">
        <f aca="false"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aca="false">IF(J11&lt;&gt;1,"",IF(I11="SBJ","CB","?"))</f>
        <v/>
      </c>
      <c r="I11" s="25" t="str">
        <f aca="false">IF(OR(E11="",E11="!!!",F11="NEW"),"",INDEX(O$2:O10,-1+SUMPRODUCT(MAX(ROW(R$2:R10)*(E11=R$2:R10)))))</f>
        <v/>
      </c>
      <c r="J11" s="25" t="str">
        <f aca="true">IF(OR(E11="",E11="!!!",F11="NEW"),"",COUNTBLANK(OFFSET(N$1,,,SUMPRODUCT(MAX(ROW(R$2:R11)*(E11=R$2:R11)))))-COUNTBLANK(OFFSET(N$1,,,SUMPRODUCT(MAX(ROW(R$1:R10)*(R2=R$1:R10))))))</f>
        <v/>
      </c>
      <c r="K11" s="25" t="str">
        <f aca="false">IF(OR(E11="",E11="!!!",F11="NEW"),"",INDEX(W$1:W10,SUMPRODUCT(MAX(ROW(R$1:R10)*(E11=R$1:R10)))))</f>
        <v/>
      </c>
      <c r="L11" s="26"/>
    </row>
    <row r="12" customFormat="false" ht="14.25" hidden="false" customHeight="false" outlineLevel="0" collapsed="false">
      <c r="A12" s="0" t="s">
        <v>141</v>
      </c>
      <c r="E12" s="21" t="str">
        <f aca="false">IF(Q12="?OLD","!!!","")</f>
        <v/>
      </c>
      <c r="F12" s="22" t="str">
        <f aca="false">IF(OR(E12="",E12="!!!"),"",IF(NOT(ISNA(VLOOKUP(E12,R$1:R11,1,FALSE()))),"OLD",IF(AND(E12&lt;&gt;"",E12&lt;&gt;"!!!"),"NEW","")))</f>
        <v/>
      </c>
      <c r="G12" s="23" t="str">
        <f aca="false"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aca="false">IF(J12&lt;&gt;1,"",IF(I12="SBJ","CB","?"))</f>
        <v/>
      </c>
      <c r="I12" s="25" t="str">
        <f aca="false">IF(OR(E12="",E12="!!!",F12="NEW"),"",INDEX(O$2:O11,-1+SUMPRODUCT(MAX(ROW(R$2:R11)*(E12=R$2:R11)))))</f>
        <v/>
      </c>
      <c r="J12" s="25" t="str">
        <f aca="true">IF(OR(E12="",E12="!!!",F12="NEW"),"",COUNTBLANK(OFFSET(N$1,,,SUMPRODUCT(MAX(ROW(R$2:R12)*(E12=R$2:R12)))))-COUNTBLANK(OFFSET(N$1,,,SUMPRODUCT(MAX(ROW(R$1:R11)*(R2=R$1:R11))))))</f>
        <v/>
      </c>
      <c r="K12" s="25" t="str">
        <f aca="false">IF(OR(E12="",E12="!!!",F12="NEW"),"",INDEX(W$1:W11,SUMPRODUCT(MAX(ROW(R$1:R11)*(E12=R$1:R11)))))</f>
        <v/>
      </c>
      <c r="L12" s="26"/>
    </row>
    <row r="13" customFormat="false" ht="14.25" hidden="false" customHeight="false" outlineLevel="0" collapsed="false">
      <c r="A13" s="0" t="s">
        <v>142</v>
      </c>
      <c r="E13" s="21" t="str">
        <f aca="false">IF(Q13="?OLD","!!!","")</f>
        <v/>
      </c>
      <c r="F13" s="22" t="str">
        <f aca="false">IF(OR(E13="",E13="!!!"),"",IF(NOT(ISNA(VLOOKUP(E13,R$1:R12,1,FALSE()))),"OLD",IF(AND(E13&lt;&gt;"",E13&lt;&gt;"!!!"),"NEW","")))</f>
        <v/>
      </c>
      <c r="G13" s="23" t="str">
        <f aca="false"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aca="false">IF(J13&lt;&gt;1,"",IF(I13="SBJ","CB","?"))</f>
        <v/>
      </c>
      <c r="I13" s="25" t="str">
        <f aca="false">IF(OR(E13="",E13="!!!",F13="NEW"),"",INDEX(O$2:O12,-1+SUMPRODUCT(MAX(ROW(R$2:R12)*(E13=R$2:R12)))))</f>
        <v/>
      </c>
      <c r="J13" s="25" t="str">
        <f aca="true">IF(OR(E13="",E13="!!!",F13="NEW"),"",COUNTBLANK(OFFSET(N$1,,,SUMPRODUCT(MAX(ROW(R$2:R13)*(E13=R$2:R13)))))-COUNTBLANK(OFFSET(N$1,,,SUMPRODUCT(MAX(ROW(R$1:R12)*(R2=R$1:R12))))))</f>
        <v/>
      </c>
      <c r="K13" s="25" t="str">
        <f aca="false">IF(OR(E13="",E13="!!!",F13="NEW"),"",INDEX(W$1:W12,SUMPRODUCT(MAX(ROW(R$1:R12)*(E13=R$1:R12)))))</f>
        <v/>
      </c>
      <c r="L13" s="26"/>
    </row>
    <row r="14" customFormat="false" ht="14.25" hidden="false" customHeight="false" outlineLevel="0" collapsed="false">
      <c r="A14" s="0" t="s">
        <v>138</v>
      </c>
      <c r="E14" s="21" t="str">
        <f aca="false">IF(Q14="?OLD","!!!","")</f>
        <v/>
      </c>
      <c r="F14" s="22" t="str">
        <f aca="false">IF(OR(E14="",E14="!!!"),"",IF(NOT(ISNA(VLOOKUP(E14,R$1:R13,1,FALSE()))),"OLD",IF(AND(E14&lt;&gt;"",E14&lt;&gt;"!!!"),"NEW","")))</f>
        <v/>
      </c>
      <c r="G14" s="23" t="str">
        <f aca="false"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aca="false">IF(J14&lt;&gt;1,"",IF(I14="SBJ","CB","?"))</f>
        <v/>
      </c>
      <c r="I14" s="25" t="str">
        <f aca="false">IF(OR(E14="",E14="!!!",F14="NEW"),"",INDEX(O$2:O13,-1+SUMPRODUCT(MAX(ROW(R$2:R13)*(E14=R$2:R13)))))</f>
        <v/>
      </c>
      <c r="J14" s="25" t="str">
        <f aca="true">IF(OR(E14="",E14="!!!",F14="NEW"),"",COUNTBLANK(OFFSET(N$1,,,SUMPRODUCT(MAX(ROW(R$2:R14)*(E14=R$2:R14)))))-COUNTBLANK(OFFSET(N$1,,,SUMPRODUCT(MAX(ROW(R$1:R13)*(R2=R$1:R13))))))</f>
        <v/>
      </c>
      <c r="K14" s="25" t="str">
        <f aca="false">IF(OR(E14="",E14="!!!",F14="NEW"),"",INDEX(W$1:W13,SUMPRODUCT(MAX(ROW(R$1:R13)*(E14=R$1:R13)))))</f>
        <v/>
      </c>
      <c r="L14" s="26"/>
    </row>
    <row r="15" customFormat="false" ht="14.25" hidden="false" customHeight="false" outlineLevel="0" collapsed="false">
      <c r="A15" s="0" t="s">
        <v>143</v>
      </c>
      <c r="E15" s="21" t="str">
        <f aca="false">IF(Q15="?OLD","!!!","")</f>
        <v/>
      </c>
      <c r="F15" s="22" t="str">
        <f aca="false">IF(OR(E15="",E15="!!!"),"",IF(NOT(ISNA(VLOOKUP(E15,R$1:R14,1,FALSE()))),"OLD",IF(AND(E15&lt;&gt;"",E15&lt;&gt;"!!!"),"NEW","")))</f>
        <v/>
      </c>
      <c r="G15" s="23" t="str">
        <f aca="false"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aca="false">IF(J15&lt;&gt;1,"",IF(I15="SBJ","CB","?"))</f>
        <v/>
      </c>
      <c r="I15" s="25" t="str">
        <f aca="false">IF(OR(E15="",E15="!!!",F15="NEW"),"",INDEX(O$2:O14,-1+SUMPRODUCT(MAX(ROW(R$2:R14)*(E15=R$2:R14)))))</f>
        <v/>
      </c>
      <c r="J15" s="25" t="str">
        <f aca="true">IF(OR(E15="",E15="!!!",F15="NEW"),"",COUNTBLANK(OFFSET(N$1,,,SUMPRODUCT(MAX(ROW(R$2:R15)*(E15=R$2:R15)))))-COUNTBLANK(OFFSET(N$1,,,SUMPRODUCT(MAX(ROW(R$1:R14)*(R2=R$1:R14))))))</f>
        <v/>
      </c>
      <c r="K15" s="25" t="str">
        <f aca="false">IF(OR(E15="",E15="!!!",F15="NEW"),"",INDEX(W$1:W14,SUMPRODUCT(MAX(ROW(R$1:R14)*(E15=R$1:R14)))))</f>
        <v/>
      </c>
      <c r="L15" s="26"/>
    </row>
    <row r="16" customFormat="false" ht="14.25" hidden="false" customHeight="false" outlineLevel="0" collapsed="false">
      <c r="A16" s="0" t="s">
        <v>144</v>
      </c>
      <c r="E16" s="21" t="str">
        <f aca="false">IF(Q16="?OLD","!!!","")</f>
        <v/>
      </c>
      <c r="F16" s="22" t="str">
        <f aca="false">IF(OR(E16="",E16="!!!"),"",IF(NOT(ISNA(VLOOKUP(E16,R$1:R15,1,FALSE()))),"OLD",IF(AND(E16&lt;&gt;"",E16&lt;&gt;"!!!"),"NEW","")))</f>
        <v/>
      </c>
      <c r="G16" s="23" t="str">
        <f aca="false"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aca="false">IF(J16&lt;&gt;1,"",IF(I16="SBJ","CB","?"))</f>
        <v/>
      </c>
      <c r="I16" s="25" t="str">
        <f aca="false">IF(OR(E16="",E16="!!!",F16="NEW"),"",INDEX(O$2:O15,-1+SUMPRODUCT(MAX(ROW(R$2:R15)*(E16=R$2:R15)))))</f>
        <v/>
      </c>
      <c r="J16" s="25" t="str">
        <f aca="true">IF(OR(E16="",E16="!!!",F16="NEW"),"",COUNTBLANK(OFFSET(N$1,,,SUMPRODUCT(MAX(ROW(R$2:R16)*(E16=R$2:R16)))))-COUNTBLANK(OFFSET(N$1,,,SUMPRODUCT(MAX(ROW(R$1:R15)*(R2=R$1:R15))))))</f>
        <v/>
      </c>
      <c r="K16" s="25" t="str">
        <f aca="false">IF(OR(E16="",E16="!!!",F16="NEW"),"",INDEX(W$1:W15,SUMPRODUCT(MAX(ROW(R$1:R15)*(E16=R$1:R15)))))</f>
        <v/>
      </c>
      <c r="L16" s="26"/>
    </row>
    <row r="17" customFormat="false" ht="14.25" hidden="false" customHeight="false" outlineLevel="0" collapsed="false">
      <c r="A17" s="0" t="s">
        <v>145</v>
      </c>
      <c r="B17" s="20" t="s">
        <v>133</v>
      </c>
      <c r="C17" s="20" t="s">
        <v>146</v>
      </c>
      <c r="E17" s="21"/>
      <c r="F17" s="22" t="str">
        <f aca="false">IF(OR(E17="",E17="!!!"),"",IF(NOT(ISNA(VLOOKUP(E17,R$1:R16,1,FALSE()))),"OLD",IF(AND(E17&lt;&gt;"",E17&lt;&gt;"!!!"),"NEW","")))</f>
        <v/>
      </c>
      <c r="G17" s="23" t="str">
        <f aca="false"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aca="false">IF(J17&lt;&gt;1,"",IF(I17="SBJ","CB","?"))</f>
        <v/>
      </c>
      <c r="I17" s="25" t="str">
        <f aca="false">IF(OR(E17="",E17="!!!",F17="NEW"),"",INDEX(O$2:O16,-1+SUMPRODUCT(MAX(ROW(R$2:R16)*(E17=R$2:R16)))))</f>
        <v/>
      </c>
      <c r="J17" s="25" t="str">
        <f aca="true">IF(OR(E17="",E17="!!!",F17="NEW"),"",COUNTBLANK(OFFSET(N$1,,,SUMPRODUCT(MAX(ROW(R$2:R17)*(E17=R$2:R17)))))-COUNTBLANK(OFFSET(N$1,,,SUMPRODUCT(MAX(ROW(R$1:R16)*(R2=R$1:R16))))))</f>
        <v/>
      </c>
      <c r="K17" s="25" t="str">
        <f aca="false">IF(OR(E17="",E17="!!!",F17="NEW"),"",INDEX(W$1:W16,SUMPRODUCT(MAX(ROW(R$1:R16)*(E17=R$1:R16)))))</f>
        <v/>
      </c>
      <c r="L17" s="26"/>
      <c r="O17" s="20"/>
      <c r="P17" s="20"/>
    </row>
    <row r="18" customFormat="false" ht="14.25" hidden="false" customHeight="false" outlineLevel="0" collapsed="false">
      <c r="A18" s="0" t="s">
        <v>131</v>
      </c>
      <c r="E18" s="21" t="str">
        <f aca="false">IF(Q18="?OLD","!!!","")</f>
        <v/>
      </c>
      <c r="F18" s="22" t="str">
        <f aca="false">IF(OR(E18="",E18="!!!"),"",IF(NOT(ISNA(VLOOKUP(E18,R$1:R17,1,FALSE()))),"OLD",IF(AND(E18&lt;&gt;"",E18&lt;&gt;"!!!"),"NEW","")))</f>
        <v/>
      </c>
      <c r="G18" s="23" t="str">
        <f aca="false"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aca="false">IF(J18&lt;&gt;1,"",IF(I18="SBJ","CB","?"))</f>
        <v/>
      </c>
      <c r="I18" s="25" t="str">
        <f aca="false">IF(OR(E18="",E18="!!!",F18="NEW"),"",INDEX(O$2:O17,-1+SUMPRODUCT(MAX(ROW(R$2:R17)*(E18=R$2:R17)))))</f>
        <v/>
      </c>
      <c r="J18" s="25" t="str">
        <f aca="true">IF(OR(E18="",E18="!!!",F18="NEW"),"",COUNTBLANK(OFFSET(N$1,,,SUMPRODUCT(MAX(ROW(R$2:R18)*(E18=R$2:R18)))))-COUNTBLANK(OFFSET(N$1,,,SUMPRODUCT(MAX(ROW(R$1:R17)*(R2=R$1:R17))))))</f>
        <v/>
      </c>
      <c r="K18" s="25" t="str">
        <f aca="false">IF(OR(E18="",E18="!!!",F18="NEW"),"",INDEX(W$1:W17,SUMPRODUCT(MAX(ROW(R$1:R17)*(E18=R$1:R17)))))</f>
        <v/>
      </c>
      <c r="L18" s="26"/>
    </row>
    <row r="19" customFormat="false" ht="14.25" hidden="false" customHeight="false" outlineLevel="0" collapsed="false">
      <c r="A19" s="0" t="s">
        <v>147</v>
      </c>
      <c r="B19" s="20" t="s">
        <v>148</v>
      </c>
      <c r="C19" s="20" t="s">
        <v>134</v>
      </c>
      <c r="D19" s="20" t="s">
        <v>125</v>
      </c>
      <c r="E19" s="21" t="s">
        <v>149</v>
      </c>
      <c r="F19" s="22" t="str">
        <f aca="false">IF(OR(E19="",E19="!!!"),"",IF(NOT(ISNA(VLOOKUP(E19,R$1:R18,1,FALSE()))),"OLD",IF(AND(E19&lt;&gt;"",E19&lt;&gt;"!!!"),"NEW","")))</f>
        <v>NEW</v>
      </c>
      <c r="G19" s="23" t="str">
        <f aca="false">IF(OR(E19="",E19="!!!"),"",IF(OR(J19=0,AND(J19=1,K19=1),AND(J19=1,I19="SBJ"),AND(J19=1,I19=0)),"?IN_FOCUS",IF(J19&lt;=2,"?ACTIVATED",IF(J19&lt;&gt;"","?FAMILIAR",IF(F19="NEW",IF(ISNA(VLOOKUP(E19,#REF!,1,FALSE())),"?TYPE_IDENTIFIABLE","?REFERENTIAL"),"_")))))</f>
        <v>?REFERENTIAL</v>
      </c>
      <c r="H19" s="24" t="str">
        <f aca="false">IF(J19&lt;&gt;1,"",IF(I19="SBJ","CB","?"))</f>
        <v/>
      </c>
      <c r="I19" s="25" t="str">
        <f aca="false">IF(OR(E19="",E19="!!!",F19="NEW"),"",INDEX(O$2:O18,-1+SUMPRODUCT(MAX(ROW(R$2:R18)*(E19=R$2:R18)))))</f>
        <v/>
      </c>
      <c r="J19" s="25" t="str">
        <f aca="true">IF(OR(E19="",E19="!!!",F19="NEW"),"",COUNTBLANK(OFFSET(N$1,,,SUMPRODUCT(MAX(ROW(R$2:R19)*(E19=R$2:R19)))))-COUNTBLANK(OFFSET(N$1,,,SUMPRODUCT(MAX(ROW(R$1:R18)*(R2=R$1:R18))))))</f>
        <v/>
      </c>
      <c r="K19" s="25" t="str">
        <f aca="false">IF(OR(E19="",E19="!!!",F19="NEW"),"",INDEX(W$1:W18,SUMPRODUCT(MAX(ROW(R$1:R18)*(E19=R$1:R18)))))</f>
        <v/>
      </c>
      <c r="L19" s="26"/>
      <c r="O19" s="20"/>
      <c r="P19" s="20"/>
      <c r="Q19" s="20"/>
    </row>
    <row r="20" customFormat="false" ht="14.25" hidden="false" customHeight="false" outlineLevel="0" collapsed="false">
      <c r="A20" s="0" t="s">
        <v>140</v>
      </c>
      <c r="E20" s="21" t="str">
        <f aca="false">IF(Q20="?OLD","!!!","")</f>
        <v/>
      </c>
      <c r="F20" s="22" t="str">
        <f aca="false">IF(OR(E20="",E20="!!!"),"",IF(NOT(ISNA(VLOOKUP(E20,R$1:R19,1,FALSE()))),"OLD",IF(AND(E20&lt;&gt;"",E20&lt;&gt;"!!!"),"NEW","")))</f>
        <v/>
      </c>
      <c r="G20" s="23" t="str">
        <f aca="false"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aca="false">IF(J20&lt;&gt;1,"",IF(I20="SBJ","CB","?"))</f>
        <v/>
      </c>
      <c r="I20" s="25" t="str">
        <f aca="false">IF(OR(E20="",E20="!!!",F20="NEW"),"",INDEX(O$2:O19,-1+SUMPRODUCT(MAX(ROW(R$2:R19)*(E20=R$2:R19)))))</f>
        <v/>
      </c>
      <c r="J20" s="25" t="str">
        <f aca="true">IF(OR(E20="",E20="!!!",F20="NEW"),"",COUNTBLANK(OFFSET(N$1,,,SUMPRODUCT(MAX(ROW(R$2:R20)*(E20=R$2:R20)))))-COUNTBLANK(OFFSET(N$1,,,SUMPRODUCT(MAX(ROW(R$1:R19)*(R2=R$1:R19))))))</f>
        <v/>
      </c>
      <c r="K20" s="25" t="str">
        <f aca="false">IF(OR(E20="",E20="!!!",F20="NEW"),"",INDEX(W$1:W19,SUMPRODUCT(MAX(ROW(R$1:R19)*(E20=R$1:R19)))))</f>
        <v/>
      </c>
      <c r="L20" s="26"/>
    </row>
    <row r="21" customFormat="false" ht="14.25" hidden="false" customHeight="false" outlineLevel="0" collapsed="false">
      <c r="A21" s="0" t="s">
        <v>141</v>
      </c>
      <c r="E21" s="21" t="str">
        <f aca="false">IF(Q21="?OLD","!!!","")</f>
        <v/>
      </c>
      <c r="F21" s="22" t="str">
        <f aca="false">IF(OR(E21="",E21="!!!"),"",IF(NOT(ISNA(VLOOKUP(E21,R$1:R20,1,FALSE()))),"OLD",IF(AND(E21&lt;&gt;"",E21&lt;&gt;"!!!"),"NEW","")))</f>
        <v/>
      </c>
      <c r="G21" s="23" t="str">
        <f aca="false"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aca="false">IF(J21&lt;&gt;1,"",IF(I21="SBJ","CB","?"))</f>
        <v/>
      </c>
      <c r="I21" s="25" t="str">
        <f aca="false">IF(OR(E21="",E21="!!!",F21="NEW"),"",INDEX(O$2:O20,-1+SUMPRODUCT(MAX(ROW(R$2:R20)*(E21=R$2:R20)))))</f>
        <v/>
      </c>
      <c r="J21" s="25" t="str">
        <f aca="true">IF(OR(E21="",E21="!!!",F21="NEW"),"",COUNTBLANK(OFFSET(N$1,,,SUMPRODUCT(MAX(ROW(R$2:R21)*(E21=R$2:R21)))))-COUNTBLANK(OFFSET(N$1,,,SUMPRODUCT(MAX(ROW(R$1:R20)*(R2=R$1:R20))))))</f>
        <v/>
      </c>
      <c r="K21" s="25" t="str">
        <f aca="false">IF(OR(E21="",E21="!!!",F21="NEW"),"",INDEX(W$1:W20,SUMPRODUCT(MAX(ROW(R$1:R20)*(E21=R$1:R20)))))</f>
        <v/>
      </c>
      <c r="L21" s="26"/>
    </row>
    <row r="22" customFormat="false" ht="14.25" hidden="false" customHeight="false" outlineLevel="0" collapsed="false">
      <c r="A22" s="0" t="s">
        <v>145</v>
      </c>
      <c r="B22" s="20" t="s">
        <v>150</v>
      </c>
      <c r="C22" s="20" t="s">
        <v>146</v>
      </c>
      <c r="E22" s="21"/>
      <c r="F22" s="22" t="str">
        <f aca="false">IF(OR(E22="",E22="!!!"),"",IF(NOT(ISNA(VLOOKUP(E22,R$1:R21,1,FALSE()))),"OLD",IF(AND(E22&lt;&gt;"",E22&lt;&gt;"!!!"),"NEW","")))</f>
        <v/>
      </c>
      <c r="G22" s="23" t="str">
        <f aca="false"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aca="false">IF(J22&lt;&gt;1,"",IF(I22="SBJ","CB","?"))</f>
        <v/>
      </c>
      <c r="I22" s="25" t="str">
        <f aca="false">IF(OR(E22="",E22="!!!",F22="NEW"),"",INDEX(O$2:O21,-1+SUMPRODUCT(MAX(ROW(R$2:R21)*(E22=R$2:R21)))))</f>
        <v/>
      </c>
      <c r="J22" s="25" t="str">
        <f aca="true">IF(OR(E22="",E22="!!!",F22="NEW"),"",COUNTBLANK(OFFSET(N$1,,,SUMPRODUCT(MAX(ROW(R$2:R22)*(E22=R$2:R22)))))-COUNTBLANK(OFFSET(N$1,,,SUMPRODUCT(MAX(ROW(R$1:R21)*(R2=R$1:R21))))))</f>
        <v/>
      </c>
      <c r="K22" s="25" t="str">
        <f aca="false">IF(OR(E22="",E22="!!!",F22="NEW"),"",INDEX(W$1:W21,SUMPRODUCT(MAX(ROW(R$1:R21)*(E22=R$1:R21)))))</f>
        <v/>
      </c>
      <c r="L22" s="26"/>
      <c r="O22" s="20"/>
      <c r="P22" s="20"/>
    </row>
    <row r="23" customFormat="false" ht="14.25" hidden="false" customHeight="false" outlineLevel="0" collapsed="false">
      <c r="A23" s="0" t="s">
        <v>151</v>
      </c>
      <c r="E23" s="21" t="str">
        <f aca="false">IF(Q23="?OLD","!!!","")</f>
        <v/>
      </c>
      <c r="F23" s="22" t="str">
        <f aca="false">IF(OR(E23="",E23="!!!"),"",IF(NOT(ISNA(VLOOKUP(E23,R$1:R22,1,FALSE()))),"OLD",IF(AND(E23&lt;&gt;"",E23&lt;&gt;"!!!"),"NEW","")))</f>
        <v/>
      </c>
      <c r="G23" s="23" t="str">
        <f aca="false"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aca="false">IF(J23&lt;&gt;1,"",IF(I23="SBJ","CB","?"))</f>
        <v/>
      </c>
      <c r="I23" s="25" t="str">
        <f aca="false">IF(OR(E23="",E23="!!!",F23="NEW"),"",INDEX(O$2:O22,-1+SUMPRODUCT(MAX(ROW(R$2:R22)*(E23=R$2:R22)))))</f>
        <v/>
      </c>
      <c r="J23" s="25" t="str">
        <f aca="true">IF(OR(E23="",E23="!!!",F23="NEW"),"",COUNTBLANK(OFFSET(N$1,,,SUMPRODUCT(MAX(ROW(R$2:R23)*(E23=R$2:R23)))))-COUNTBLANK(OFFSET(N$1,,,SUMPRODUCT(MAX(ROW(R$1:R22)*(R2=R$1:R22))))))</f>
        <v/>
      </c>
      <c r="K23" s="25" t="str">
        <f aca="false">IF(OR(E23="",E23="!!!",F23="NEW"),"",INDEX(W$1:W22,SUMPRODUCT(MAX(ROW(R$1:R22)*(E23=R$1:R22)))))</f>
        <v/>
      </c>
      <c r="L23" s="26"/>
    </row>
    <row r="24" customFormat="false" ht="14.25" hidden="false" customHeight="false" outlineLevel="0" collapsed="false">
      <c r="A24" s="0" t="s">
        <v>152</v>
      </c>
      <c r="E24" s="21" t="str">
        <f aca="false">IF(Q24="?OLD","!!!","")</f>
        <v/>
      </c>
      <c r="F24" s="22" t="str">
        <f aca="false">IF(OR(E24="",E24="!!!"),"",IF(NOT(ISNA(VLOOKUP(E24,R$1:R23,1,FALSE()))),"OLD",IF(AND(E24&lt;&gt;"",E24&lt;&gt;"!!!"),"NEW","")))</f>
        <v/>
      </c>
      <c r="G24" s="23" t="str">
        <f aca="false"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aca="false">IF(J24&lt;&gt;1,"",IF(I24="SBJ","CB","?"))</f>
        <v/>
      </c>
      <c r="I24" s="25" t="str">
        <f aca="false">IF(OR(E24="",E24="!!!",F24="NEW"),"",INDEX(O$2:O23,-1+SUMPRODUCT(MAX(ROW(R$2:R23)*(E24=R$2:R23)))))</f>
        <v/>
      </c>
      <c r="J24" s="25" t="str">
        <f aca="true">IF(OR(E24="",E24="!!!",F24="NEW"),"",COUNTBLANK(OFFSET(N$1,,,SUMPRODUCT(MAX(ROW(R$2:R24)*(E24=R$2:R24)))))-COUNTBLANK(OFFSET(N$1,,,SUMPRODUCT(MAX(ROW(R$1:R23)*(R2=R$1:R23))))))</f>
        <v/>
      </c>
      <c r="K24" s="25" t="str">
        <f aca="false">IF(OR(E24="",E24="!!!",F24="NEW"),"",INDEX(W$1:W23,SUMPRODUCT(MAX(ROW(R$1:R23)*(E24=R$1:R23)))))</f>
        <v/>
      </c>
      <c r="L24" s="26"/>
    </row>
    <row r="25" customFormat="false" ht="14.25" hidden="false" customHeight="false" outlineLevel="0" collapsed="false">
      <c r="A25" s="0" t="s">
        <v>153</v>
      </c>
      <c r="E25" s="21" t="str">
        <f aca="false">IF(Q25="?OLD","!!!","")</f>
        <v/>
      </c>
      <c r="F25" s="22" t="str">
        <f aca="false">IF(OR(E25="",E25="!!!"),"",IF(NOT(ISNA(VLOOKUP(E25,R$1:R24,1,FALSE()))),"OLD",IF(AND(E25&lt;&gt;"",E25&lt;&gt;"!!!"),"NEW","")))</f>
        <v/>
      </c>
      <c r="G25" s="23" t="str">
        <f aca="false"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aca="false">IF(J25&lt;&gt;1,"",IF(I25="SBJ","CB","?"))</f>
        <v/>
      </c>
      <c r="I25" s="25" t="str">
        <f aca="false">IF(OR(E25="",E25="!!!",F25="NEW"),"",INDEX(O$2:O24,-1+SUMPRODUCT(MAX(ROW(R$2:R24)*(E25=R$2:R24)))))</f>
        <v/>
      </c>
      <c r="J25" s="25" t="str">
        <f aca="true">IF(OR(E25="",E25="!!!",F25="NEW"),"",COUNTBLANK(OFFSET(N$1,,,SUMPRODUCT(MAX(ROW(R$2:R25)*(E25=R$2:R25)))))-COUNTBLANK(OFFSET(N$1,,,SUMPRODUCT(MAX(ROW(R$1:R24)*(R2=R$1:R24))))))</f>
        <v/>
      </c>
      <c r="K25" s="25" t="str">
        <f aca="false">IF(OR(E25="",E25="!!!",F25="NEW"),"",INDEX(W$1:W24,SUMPRODUCT(MAX(ROW(R$1:R24)*(E25=R$1:R24)))))</f>
        <v/>
      </c>
      <c r="L25" s="26"/>
    </row>
    <row r="26" customFormat="false" ht="14.25" hidden="false" customHeight="false" outlineLevel="0" collapsed="false">
      <c r="A26" s="0" t="s">
        <v>154</v>
      </c>
      <c r="B26" s="20" t="s">
        <v>133</v>
      </c>
      <c r="C26" s="20" t="s">
        <v>155</v>
      </c>
      <c r="E26" s="21" t="str">
        <f aca="false">IF(Q26="?OLD","!!!","")</f>
        <v/>
      </c>
      <c r="F26" s="22" t="str">
        <f aca="false">IF(OR(E26="",E26="!!!"),"",IF(NOT(ISNA(VLOOKUP(E26,R$1:R25,1,FALSE()))),"OLD",IF(AND(E26&lt;&gt;"",E26&lt;&gt;"!!!"),"NEW","")))</f>
        <v/>
      </c>
      <c r="G26" s="23" t="str">
        <f aca="false"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aca="false">IF(J26&lt;&gt;1,"",IF(I26="SBJ","CB","?"))</f>
        <v/>
      </c>
      <c r="I26" s="25" t="str">
        <f aca="false">IF(OR(E26="",E26="!!!",F26="NEW"),"",INDEX(O$2:O25,-1+SUMPRODUCT(MAX(ROW(R$2:R25)*(E26=R$2:R25)))))</f>
        <v/>
      </c>
      <c r="J26" s="25" t="str">
        <f aca="true">IF(OR(E26="",E26="!!!",F26="NEW"),"",COUNTBLANK(OFFSET(N$1,,,SUMPRODUCT(MAX(ROW(R$2:R26)*(E26=R$2:R26)))))-COUNTBLANK(OFFSET(N$1,,,SUMPRODUCT(MAX(ROW(R$1:R25)*(R2=R$1:R25))))))</f>
        <v/>
      </c>
      <c r="K26" s="25" t="str">
        <f aca="false">IF(OR(E26="",E26="!!!",F26="NEW"),"",INDEX(W$1:W25,SUMPRODUCT(MAX(ROW(R$1:R25)*(E26=R$1:R25)))))</f>
        <v/>
      </c>
      <c r="L26" s="26"/>
      <c r="O26" s="20"/>
      <c r="P26" s="20"/>
    </row>
    <row r="27" customFormat="false" ht="14.25" hidden="false" customHeight="false" outlineLevel="0" collapsed="false">
      <c r="A27" s="0" t="s">
        <v>156</v>
      </c>
      <c r="E27" s="21" t="str">
        <f aca="false">IF(Q27="?OLD","!!!","")</f>
        <v/>
      </c>
      <c r="F27" s="22" t="str">
        <f aca="false">IF(OR(E27="",E27="!!!"),"",IF(NOT(ISNA(VLOOKUP(E27,R$1:R26,1,FALSE()))),"OLD",IF(AND(E27&lt;&gt;"",E27&lt;&gt;"!!!"),"NEW","")))</f>
        <v/>
      </c>
      <c r="G27" s="23" t="str">
        <f aca="false"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aca="false">IF(J27&lt;&gt;1,"",IF(I27="SBJ","CB","?"))</f>
        <v/>
      </c>
      <c r="I27" s="25" t="str">
        <f aca="false">IF(OR(E27="",E27="!!!",F27="NEW"),"",INDEX(O$2:O26,-1+SUMPRODUCT(MAX(ROW(R$2:R26)*(E27=R$2:R26)))))</f>
        <v/>
      </c>
      <c r="J27" s="25" t="str">
        <f aca="true">IF(OR(E27="",E27="!!!",F27="NEW"),"",COUNTBLANK(OFFSET(N$1,,,SUMPRODUCT(MAX(ROW(R$2:R27)*(E27=R$2:R27)))))-COUNTBLANK(OFFSET(N$1,,,SUMPRODUCT(MAX(ROW(R$1:R26)*(R2=R$1:R26))))))</f>
        <v/>
      </c>
      <c r="K27" s="25" t="str">
        <f aca="false">IF(OR(E27="",E27="!!!",F27="NEW"),"",INDEX(W$1:W26,SUMPRODUCT(MAX(ROW(R$1:R26)*(E27=R$1:R26)))))</f>
        <v/>
      </c>
      <c r="L27" s="26"/>
    </row>
    <row r="28" customFormat="false" ht="14.25" hidden="false" customHeight="false" outlineLevel="0" collapsed="false">
      <c r="A28" s="0" t="s">
        <v>157</v>
      </c>
      <c r="E28" s="21" t="str">
        <f aca="false">IF(Q28="?OLD","!!!","")</f>
        <v/>
      </c>
      <c r="F28" s="22" t="str">
        <f aca="false">IF(OR(E28="",E28="!!!"),"",IF(NOT(ISNA(VLOOKUP(E28,R$1:R27,1,FALSE()))),"OLD",IF(AND(E28&lt;&gt;"",E28&lt;&gt;"!!!"),"NEW","")))</f>
        <v/>
      </c>
      <c r="G28" s="23" t="str">
        <f aca="false"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aca="false">IF(J28&lt;&gt;1,"",IF(I28="SBJ","CB","?"))</f>
        <v/>
      </c>
      <c r="I28" s="25" t="str">
        <f aca="false">IF(OR(E28="",E28="!!!",F28="NEW"),"",INDEX(O$2:O27,-1+SUMPRODUCT(MAX(ROW(R$2:R27)*(E28=R$2:R27)))))</f>
        <v/>
      </c>
      <c r="J28" s="25" t="str">
        <f aca="true">IF(OR(E28="",E28="!!!",F28="NEW"),"",COUNTBLANK(OFFSET(N$1,,,SUMPRODUCT(MAX(ROW(R$2:R28)*(E28=R$2:R28)))))-COUNTBLANK(OFFSET(N$1,,,SUMPRODUCT(MAX(ROW(R$1:R27)*(R2=R$1:R27))))))</f>
        <v/>
      </c>
      <c r="K28" s="25" t="str">
        <f aca="false">IF(OR(E28="",E28="!!!",F28="NEW"),"",INDEX(W$1:W27,SUMPRODUCT(MAX(ROW(R$1:R27)*(E28=R$1:R27)))))</f>
        <v/>
      </c>
      <c r="L28" s="26"/>
    </row>
    <row r="29" customFormat="false" ht="14.25" hidden="false" customHeight="false" outlineLevel="0" collapsed="false">
      <c r="A29" s="0" t="s">
        <v>153</v>
      </c>
      <c r="E29" s="21" t="str">
        <f aca="false">IF(Q29="?OLD","!!!","")</f>
        <v/>
      </c>
      <c r="F29" s="22" t="str">
        <f aca="false">IF(OR(E29="",E29="!!!"),"",IF(NOT(ISNA(VLOOKUP(E29,R$1:R28,1,FALSE()))),"OLD",IF(AND(E29&lt;&gt;"",E29&lt;&gt;"!!!"),"NEW","")))</f>
        <v/>
      </c>
      <c r="G29" s="23" t="str">
        <f aca="false"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aca="false">IF(J29&lt;&gt;1,"",IF(I29="SBJ","CB","?"))</f>
        <v/>
      </c>
      <c r="I29" s="25" t="str">
        <f aca="false">IF(OR(E29="",E29="!!!",F29="NEW"),"",INDEX(O$2:O28,-1+SUMPRODUCT(MAX(ROW(R$2:R28)*(E29=R$2:R28)))))</f>
        <v/>
      </c>
      <c r="J29" s="25" t="str">
        <f aca="true">IF(OR(E29="",E29="!!!",F29="NEW"),"",COUNTBLANK(OFFSET(N$1,,,SUMPRODUCT(MAX(ROW(R$2:R29)*(E29=R$2:R29)))))-COUNTBLANK(OFFSET(N$1,,,SUMPRODUCT(MAX(ROW(R$1:R28)*(R2=R$1:R28))))))</f>
        <v/>
      </c>
      <c r="K29" s="25" t="str">
        <f aca="false">IF(OR(E29="",E29="!!!",F29="NEW"),"",INDEX(W$1:W28,SUMPRODUCT(MAX(ROW(R$1:R28)*(E29=R$1:R28)))))</f>
        <v/>
      </c>
      <c r="L29" s="26"/>
    </row>
    <row r="30" customFormat="false" ht="14.25" hidden="false" customHeight="false" outlineLevel="0" collapsed="false">
      <c r="A30" s="0" t="s">
        <v>158</v>
      </c>
      <c r="E30" s="21" t="str">
        <f aca="false">IF(Q30="?OLD","!!!","")</f>
        <v/>
      </c>
      <c r="F30" s="22" t="str">
        <f aca="false">IF(OR(E30="",E30="!!!"),"",IF(NOT(ISNA(VLOOKUP(E30,R$1:R29,1,FALSE()))),"OLD",IF(AND(E30&lt;&gt;"",E30&lt;&gt;"!!!"),"NEW","")))</f>
        <v/>
      </c>
      <c r="G30" s="23" t="str">
        <f aca="false"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aca="false">IF(J30&lt;&gt;1,"",IF(I30="SBJ","CB","?"))</f>
        <v/>
      </c>
      <c r="I30" s="25" t="str">
        <f aca="false">IF(OR(E30="",E30="!!!",F30="NEW"),"",INDEX(O$2:O29,-1+SUMPRODUCT(MAX(ROW(R$2:R29)*(E30=R$2:R29)))))</f>
        <v/>
      </c>
      <c r="J30" s="25" t="str">
        <f aca="true">IF(OR(E30="",E30="!!!",F30="NEW"),"",COUNTBLANK(OFFSET(N$1,,,SUMPRODUCT(MAX(ROW(R$2:R30)*(E30=R$2:R30)))))-COUNTBLANK(OFFSET(N$1,,,SUMPRODUCT(MAX(ROW(R$1:R29)*(R2=R$1:R29))))))</f>
        <v/>
      </c>
      <c r="K30" s="25" t="str">
        <f aca="false">IF(OR(E30="",E30="!!!",F30="NEW"),"",INDEX(W$1:W29,SUMPRODUCT(MAX(ROW(R$1:R29)*(E30=R$1:R29)))))</f>
        <v/>
      </c>
      <c r="L30" s="26"/>
    </row>
    <row r="31" customFormat="false" ht="14.25" hidden="false" customHeight="false" outlineLevel="0" collapsed="false">
      <c r="A31" s="0" t="s">
        <v>159</v>
      </c>
      <c r="B31" s="20" t="s">
        <v>133</v>
      </c>
      <c r="C31" s="20" t="s">
        <v>155</v>
      </c>
      <c r="E31" s="21" t="str">
        <f aca="false">IF(Q31="?OLD","!!!","")</f>
        <v/>
      </c>
      <c r="F31" s="22" t="str">
        <f aca="false">IF(OR(E31="",E31="!!!"),"",IF(NOT(ISNA(VLOOKUP(E31,R$1:R30,1,FALSE()))),"OLD",IF(AND(E31&lt;&gt;"",E31&lt;&gt;"!!!"),"NEW","")))</f>
        <v/>
      </c>
      <c r="G31" s="23" t="str">
        <f aca="false"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aca="false">IF(J31&lt;&gt;1,"",IF(I31="SBJ","CB","?"))</f>
        <v/>
      </c>
      <c r="I31" s="25" t="str">
        <f aca="false">IF(OR(E31="",E31="!!!",F31="NEW"),"",INDEX(O$2:O30,-1+SUMPRODUCT(MAX(ROW(R$2:R30)*(E31=R$2:R30)))))</f>
        <v/>
      </c>
      <c r="J31" s="25" t="str">
        <f aca="true">IF(OR(E31="",E31="!!!",F31="NEW"),"",COUNTBLANK(OFFSET(N$1,,,SUMPRODUCT(MAX(ROW(R$2:R31)*(E31=R$2:R31)))))-COUNTBLANK(OFFSET(N$1,,,SUMPRODUCT(MAX(ROW(R$1:R30)*(R2=R$1:R30))))))</f>
        <v/>
      </c>
      <c r="K31" s="25" t="str">
        <f aca="false">IF(OR(E31="",E31="!!!",F31="NEW"),"",INDEX(W$1:W30,SUMPRODUCT(MAX(ROW(R$1:R30)*(E31=R$1:R30)))))</f>
        <v/>
      </c>
      <c r="L31" s="26"/>
      <c r="O31" s="20"/>
      <c r="P31" s="20"/>
    </row>
    <row r="32" customFormat="false" ht="14.25" hidden="false" customHeight="false" outlineLevel="0" collapsed="false">
      <c r="A32" s="0" t="s">
        <v>160</v>
      </c>
    </row>
    <row r="34" customFormat="false" ht="14.25" hidden="false" customHeight="false" outlineLevel="0" collapsed="false">
      <c r="A34" s="0" t="s">
        <v>161</v>
      </c>
      <c r="E34" s="21" t="str">
        <f aca="false">IF(Q32="?OLD","!!!","")</f>
        <v/>
      </c>
      <c r="F34" s="22" t="str">
        <f aca="false">IF(OR(E34="",E34="!!!"),"",IF(NOT(ISNA(VLOOKUP(E34,R$1:R31,1,FALSE()))),"OLD",IF(AND(E34&lt;&gt;"",E34&lt;&gt;"!!!"),"NEW","")))</f>
        <v/>
      </c>
      <c r="G34" s="23" t="str">
        <f aca="false"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aca="false">IF(J34&lt;&gt;1,"",IF(I34="SBJ","CB","?"))</f>
        <v/>
      </c>
      <c r="I34" s="25" t="str">
        <f aca="false">IF(OR(E34="",E34="!!!",F34="NEW"),"",INDEX(O$2:O31,-1+SUMPRODUCT(MAX(ROW(R$2:R31)*(E34=R$2:R31)))))</f>
        <v/>
      </c>
      <c r="J34" s="25" t="str">
        <f aca="true">IF(OR(E34="",E34="!!!",F34="NEW"),"",COUNTBLANK(OFFSET(N$1,,,SUMPRODUCT(MAX(ROW(R$2:R32)*(E34=R$2:R32)))))-COUNTBLANK(OFFSET(N$1,,,SUMPRODUCT(MAX(ROW(R$1:R31)*(R2=R$1:R31))))))</f>
        <v/>
      </c>
      <c r="K34" s="25" t="str">
        <f aca="false">IF(OR(E34="",E34="!!!",F34="NEW"),"",INDEX(W$1:W31,SUMPRODUCT(MAX(ROW(R$1:R31)*(E34=R$1:R31)))))</f>
        <v/>
      </c>
      <c r="L34" s="26"/>
    </row>
    <row r="35" customFormat="false" ht="14.25" hidden="false" customHeight="false" outlineLevel="0" collapsed="false">
      <c r="A35" s="0" t="s">
        <v>162</v>
      </c>
      <c r="E35" s="21" t="str">
        <f aca="false">IF(Q33="?OLD","!!!","")</f>
        <v/>
      </c>
      <c r="F35" s="22" t="str">
        <f aca="false">IF(OR(E35="",E35="!!!"),"",IF(NOT(ISNA(VLOOKUP(E35,R$1:R32,1,FALSE()))),"OLD",IF(AND(E35&lt;&gt;"",E35&lt;&gt;"!!!"),"NEW","")))</f>
        <v/>
      </c>
      <c r="G35" s="23" t="str">
        <f aca="false"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aca="false">IF(J35&lt;&gt;1,"",IF(I35="SBJ","CB","?"))</f>
        <v/>
      </c>
      <c r="I35" s="25" t="str">
        <f aca="false">IF(OR(E35="",E35="!!!",F35="NEW"),"",INDEX(O$2:O32,-1+SUMPRODUCT(MAX(ROW(R$2:R32)*(E35=R$2:R32)))))</f>
        <v/>
      </c>
      <c r="J35" s="25" t="str">
        <f aca="true">IF(OR(E35="",E35="!!!",F35="NEW"),"",COUNTBLANK(OFFSET(N$1,,,SUMPRODUCT(MAX(ROW(R$2:R33)*(E35=R$2:R33)))))-COUNTBLANK(OFFSET(N$1,,,SUMPRODUCT(MAX(ROW(R$1:R32)*(R2=R$1:R32))))))</f>
        <v/>
      </c>
      <c r="K35" s="25" t="str">
        <f aca="false">IF(OR(E35="",E35="!!!",F35="NEW"),"",INDEX(W$1:W32,SUMPRODUCT(MAX(ROW(R$1:R32)*(E35=R$1:R32)))))</f>
        <v/>
      </c>
      <c r="L35" s="26"/>
      <c r="O35" s="20"/>
      <c r="P35" s="20"/>
      <c r="Q35" s="20"/>
    </row>
    <row r="36" customFormat="false" ht="14.25" hidden="false" customHeight="false" outlineLevel="0" collapsed="false">
      <c r="A36" s="0" t="s">
        <v>163</v>
      </c>
      <c r="E36" s="21" t="str">
        <f aca="false">IF(Q34="?OLD","!!!","")</f>
        <v/>
      </c>
      <c r="F36" s="22" t="str">
        <f aca="false">IF(OR(E36="",E36="!!!"),"",IF(NOT(ISNA(VLOOKUP(E36,R$1:R33,1,FALSE()))),"OLD",IF(AND(E36&lt;&gt;"",E36&lt;&gt;"!!!"),"NEW","")))</f>
        <v/>
      </c>
      <c r="G36" s="23" t="str">
        <f aca="false"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aca="false">IF(J36&lt;&gt;1,"",IF(I36="SBJ","CB","?"))</f>
        <v/>
      </c>
      <c r="I36" s="25" t="str">
        <f aca="false">IF(OR(E36="",E36="!!!",F36="NEW"),"",INDEX(O$2:O33,-1+SUMPRODUCT(MAX(ROW(R$2:R33)*(E36=R$2:R33)))))</f>
        <v/>
      </c>
      <c r="J36" s="25" t="str">
        <f aca="true">IF(OR(E36="",E36="!!!",F36="NEW"),"",COUNTBLANK(OFFSET(N$1,,,SUMPRODUCT(MAX(ROW(R$2:R34)*(E36=R$2:R34)))))-COUNTBLANK(OFFSET(N$1,,,SUMPRODUCT(MAX(ROW(R$1:R33)*(R2=R$1:R33))))))</f>
        <v/>
      </c>
      <c r="K36" s="25" t="str">
        <f aca="false">IF(OR(E36="",E36="!!!",F36="NEW"),"",INDEX(W$1:W33,SUMPRODUCT(MAX(ROW(R$1:R33)*(E36=R$1:R33)))))</f>
        <v/>
      </c>
      <c r="L36" s="26"/>
    </row>
    <row r="37" customFormat="false" ht="14.25" hidden="false" customHeight="false" outlineLevel="0" collapsed="false">
      <c r="A37" s="0" t="s">
        <v>132</v>
      </c>
      <c r="B37" s="20" t="s">
        <v>164</v>
      </c>
      <c r="C37" s="20" t="s">
        <v>134</v>
      </c>
      <c r="D37" s="20" t="s">
        <v>125</v>
      </c>
      <c r="E37" s="21" t="s">
        <v>135</v>
      </c>
      <c r="F37" s="22" t="str">
        <f aca="false">IF(OR(E37="",E37="!!!"),"",IF(NOT(ISNA(VLOOKUP(E37,R$1:R34,1,FALSE()))),"OLD",IF(AND(E37&lt;&gt;"",E37&lt;&gt;"!!!"),"NEW","")))</f>
        <v>NEW</v>
      </c>
      <c r="G37" s="23" t="str">
        <f aca="false">IF(OR(E37="",E37="!!!"),"",IF(OR(J37=0,AND(J37=1,K37=1),AND(J37=1,I37="SBJ"),AND(J37=1,I37=0)),"?IN_FOCUS",IF(J37&lt;=2,"?ACTIVATED",IF(J37&lt;&gt;"","?FAMILIAR",IF(F37="NEW",IF(ISNA(VLOOKUP(E37,#REF!,1,FALSE())),"?TYPE_IDENTIFIABLE","?REFERENTIAL"),"_")))))</f>
        <v>?REFERENTIAL</v>
      </c>
      <c r="H37" s="24" t="str">
        <f aca="false">IF(J37&lt;&gt;1,"",IF(I37="SBJ","CB","?"))</f>
        <v/>
      </c>
      <c r="I37" s="25" t="str">
        <f aca="false">IF(OR(E37="",E37="!!!",F37="NEW"),"",INDEX(O$2:O34,-1+SUMPRODUCT(MAX(ROW(R$2:R34)*(E37=R$2:R34)))))</f>
        <v/>
      </c>
      <c r="J37" s="25" t="str">
        <f aca="true">IF(OR(E37="",E37="!!!",F37="NEW"),"",COUNTBLANK(OFFSET(N$1,,,SUMPRODUCT(MAX(ROW(R$2:R35)*(E37=R$2:R35)))))-COUNTBLANK(OFFSET(N$1,,,SUMPRODUCT(MAX(ROW(R$1:R34)*(R2=R$1:R34))))))</f>
        <v/>
      </c>
      <c r="K37" s="25" t="str">
        <f aca="false">IF(OR(E37="",E37="!!!",F37="NEW"),"",INDEX(W$1:W34,SUMPRODUCT(MAX(ROW(R$1:R34)*(E37=R$1:R34)))))</f>
        <v/>
      </c>
      <c r="L37" s="26"/>
    </row>
    <row r="38" customFormat="false" ht="14.25" hidden="false" customHeight="false" outlineLevel="0" collapsed="false">
      <c r="A38" s="0" t="s">
        <v>136</v>
      </c>
      <c r="E38" s="21" t="str">
        <f aca="false">IF(Q36="?OLD","!!!","")</f>
        <v/>
      </c>
      <c r="F38" s="22" t="str">
        <f aca="false">IF(OR(E38="",E38="!!!"),"",IF(NOT(ISNA(VLOOKUP(E38,R$1:R35,1,FALSE()))),"OLD",IF(AND(E38&lt;&gt;"",E38&lt;&gt;"!!!"),"NEW","")))</f>
        <v/>
      </c>
      <c r="G38" s="23" t="str">
        <f aca="false"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aca="false">IF(J38&lt;&gt;1,"",IF(I38="SBJ","CB","?"))</f>
        <v/>
      </c>
      <c r="I38" s="25" t="str">
        <f aca="false">IF(OR(E38="",E38="!!!",F38="NEW"),"",INDEX(O$2:O35,-1+SUMPRODUCT(MAX(ROW(R$2:R35)*(E38=R$2:R35)))))</f>
        <v/>
      </c>
      <c r="J38" s="25" t="str">
        <f aca="true">IF(OR(E38="",E38="!!!",F38="NEW"),"",COUNTBLANK(OFFSET(N$1,,,SUMPRODUCT(MAX(ROW(R$2:R36)*(E38=R$2:R36)))))-COUNTBLANK(OFFSET(N$1,,,SUMPRODUCT(MAX(ROW(R$1:R35)*(R2=R$1:R35))))))</f>
        <v/>
      </c>
      <c r="K38" s="25" t="str">
        <f aca="false">IF(OR(E38="",E38="!!!",F38="NEW"),"",INDEX(W$1:W35,SUMPRODUCT(MAX(ROW(R$1:R35)*(E38=R$1:R35)))))</f>
        <v/>
      </c>
      <c r="L38" s="26"/>
    </row>
    <row r="39" customFormat="false" ht="14.25" hidden="false" customHeight="false" outlineLevel="0" collapsed="false">
      <c r="A39" s="0" t="s">
        <v>165</v>
      </c>
      <c r="E39" s="21" t="str">
        <f aca="false">IF(Q37="?OLD","!!!","")</f>
        <v/>
      </c>
      <c r="F39" s="22" t="str">
        <f aca="false">IF(OR(E39="",E39="!!!"),"",IF(NOT(ISNA(VLOOKUP(E39,R$1:R36,1,FALSE()))),"OLD",IF(AND(E39&lt;&gt;"",E39&lt;&gt;"!!!"),"NEW","")))</f>
        <v/>
      </c>
      <c r="G39" s="23" t="str">
        <f aca="false"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aca="false">IF(J39&lt;&gt;1,"",IF(I39="SBJ","CB","?"))</f>
        <v/>
      </c>
      <c r="I39" s="25" t="str">
        <f aca="false">IF(OR(E39="",E39="!!!",F39="NEW"),"",INDEX(O$2:O36,-1+SUMPRODUCT(MAX(ROW(R$2:R36)*(E39=R$2:R36)))))</f>
        <v/>
      </c>
      <c r="J39" s="25" t="str">
        <f aca="true">IF(OR(E39="",E39="!!!",F39="NEW"),"",COUNTBLANK(OFFSET(N$1,,,SUMPRODUCT(MAX(ROW(R$2:R37)*(E39=R$2:R37)))))-COUNTBLANK(OFFSET(N$1,,,SUMPRODUCT(MAX(ROW(R$1:R36)*(R2=R$1:R36))))))</f>
        <v/>
      </c>
      <c r="K39" s="25" t="str">
        <f aca="false">IF(OR(E39="",E39="!!!",F39="NEW"),"",INDEX(W$1:W36,SUMPRODUCT(MAX(ROW(R$1:R36)*(E39=R$1:R36)))))</f>
        <v/>
      </c>
      <c r="L39" s="26"/>
    </row>
    <row r="40" customFormat="false" ht="14.25" hidden="false" customHeight="false" outlineLevel="0" collapsed="false">
      <c r="A40" s="0" t="s">
        <v>166</v>
      </c>
      <c r="E40" s="21" t="str">
        <f aca="false">IF(Q38="?OLD","!!!","")</f>
        <v/>
      </c>
      <c r="F40" s="22" t="str">
        <f aca="false">IF(OR(E40="",E40="!!!"),"",IF(NOT(ISNA(VLOOKUP(E40,R$1:R37,1,FALSE()))),"OLD",IF(AND(E40&lt;&gt;"",E40&lt;&gt;"!!!"),"NEW","")))</f>
        <v/>
      </c>
      <c r="G40" s="23" t="str">
        <f aca="false"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aca="false">IF(J40&lt;&gt;1,"",IF(I40="SBJ","CB","?"))</f>
        <v/>
      </c>
      <c r="I40" s="25" t="str">
        <f aca="false">IF(OR(E40="",E40="!!!",F40="NEW"),"",INDEX(O$2:O37,-1+SUMPRODUCT(MAX(ROW(R$2:R37)*(E40=R$2:R37)))))</f>
        <v/>
      </c>
      <c r="J40" s="25" t="str">
        <f aca="true">IF(OR(E40="",E40="!!!",F40="NEW"),"",COUNTBLANK(OFFSET(N$1,,,SUMPRODUCT(MAX(ROW(R$2:R38)*(E40=R$2:R38)))))-COUNTBLANK(OFFSET(N$1,,,SUMPRODUCT(MAX(ROW(R$1:R37)*(R2=R$1:R37))))))</f>
        <v/>
      </c>
      <c r="K40" s="25" t="str">
        <f aca="false">IF(OR(E40="",E40="!!!",F40="NEW"),"",INDEX(W$1:W37,SUMPRODUCT(MAX(ROW(R$1:R37)*(E40=R$1:R37)))))</f>
        <v/>
      </c>
      <c r="L40" s="26"/>
    </row>
    <row r="41" customFormat="false" ht="14.25" hidden="false" customHeight="false" outlineLevel="0" collapsed="false">
      <c r="A41" s="0" t="s">
        <v>167</v>
      </c>
      <c r="E41" s="21" t="str">
        <f aca="false">IF(Q39="?OLD","!!!","")</f>
        <v/>
      </c>
      <c r="F41" s="22" t="str">
        <f aca="false">IF(OR(E41="",E41="!!!"),"",IF(NOT(ISNA(VLOOKUP(E41,R$1:R38,1,FALSE()))),"OLD",IF(AND(E41&lt;&gt;"",E41&lt;&gt;"!!!"),"NEW","")))</f>
        <v/>
      </c>
      <c r="G41" s="23" t="str">
        <f aca="false"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aca="false">IF(J41&lt;&gt;1,"",IF(I41="SBJ","CB","?"))</f>
        <v/>
      </c>
      <c r="I41" s="25" t="str">
        <f aca="false">IF(OR(E41="",E41="!!!",F41="NEW"),"",INDEX(O$2:O38,-1+SUMPRODUCT(MAX(ROW(R$2:R38)*(E41=R$2:R38)))))</f>
        <v/>
      </c>
      <c r="J41" s="25" t="str">
        <f aca="true">IF(OR(E41="",E41="!!!",F41="NEW"),"",COUNTBLANK(OFFSET(N$1,,,SUMPRODUCT(MAX(ROW(R$2:R39)*(E41=R$2:R39)))))-COUNTBLANK(OFFSET(N$1,,,SUMPRODUCT(MAX(ROW(R$1:R38)*(R2=R$1:R38))))))</f>
        <v/>
      </c>
      <c r="K41" s="25" t="str">
        <f aca="false">IF(OR(E41="",E41="!!!",F41="NEW"),"",INDEX(W$1:W38,SUMPRODUCT(MAX(ROW(R$1:R38)*(E41=R$1:R38)))))</f>
        <v/>
      </c>
      <c r="L41" s="26"/>
      <c r="O41" s="20"/>
      <c r="P41" s="20"/>
    </row>
    <row r="42" customFormat="false" ht="14.25" hidden="false" customHeight="false" outlineLevel="0" collapsed="false">
      <c r="A42" s="0" t="s">
        <v>168</v>
      </c>
      <c r="E42" s="21" t="str">
        <f aca="false">IF(Q40="?OLD","!!!","")</f>
        <v/>
      </c>
      <c r="F42" s="22" t="str">
        <f aca="false">IF(OR(E42="",E42="!!!"),"",IF(NOT(ISNA(VLOOKUP(E42,R$1:R39,1,FALSE()))),"OLD",IF(AND(E42&lt;&gt;"",E42&lt;&gt;"!!!"),"NEW","")))</f>
        <v/>
      </c>
      <c r="G42" s="23" t="str">
        <f aca="false"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aca="false">IF(J42&lt;&gt;1,"",IF(I42="SBJ","CB","?"))</f>
        <v/>
      </c>
      <c r="I42" s="25" t="str">
        <f aca="false">IF(OR(E42="",E42="!!!",F42="NEW"),"",INDEX(O$2:O39,-1+SUMPRODUCT(MAX(ROW(R$2:R39)*(E42=R$2:R39)))))</f>
        <v/>
      </c>
      <c r="J42" s="25" t="str">
        <f aca="true">IF(OR(E42="",E42="!!!",F42="NEW"),"",COUNTBLANK(OFFSET(N$1,,,SUMPRODUCT(MAX(ROW(R$2:R40)*(E42=R$2:R40)))))-COUNTBLANK(OFFSET(N$1,,,SUMPRODUCT(MAX(ROW(R$1:R39)*(R2=R$1:R39))))))</f>
        <v/>
      </c>
      <c r="K42" s="25" t="str">
        <f aca="false">IF(OR(E42="",E42="!!!",F42="NEW"),"",INDEX(W$1:W39,SUMPRODUCT(MAX(ROW(R$1:R39)*(E42=R$1:R39)))))</f>
        <v/>
      </c>
      <c r="L42" s="26"/>
    </row>
    <row r="43" customFormat="false" ht="14.25" hidden="false" customHeight="false" outlineLevel="0" collapsed="false">
      <c r="A43" s="0" t="s">
        <v>169</v>
      </c>
      <c r="B43" s="20" t="s">
        <v>133</v>
      </c>
      <c r="C43" s="20" t="s">
        <v>146</v>
      </c>
      <c r="E43" s="21"/>
      <c r="F43" s="22" t="str">
        <f aca="false">IF(OR(E43="",E43="!!!"),"",IF(NOT(ISNA(VLOOKUP(E43,R$1:R40,1,FALSE()))),"OLD",IF(AND(E43&lt;&gt;"",E43&lt;&gt;"!!!"),"NEW","")))</f>
        <v/>
      </c>
      <c r="G43" s="23" t="str">
        <f aca="false"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aca="false">IF(J43&lt;&gt;1,"",IF(I43="SBJ","CB","?"))</f>
        <v/>
      </c>
      <c r="I43" s="25" t="str">
        <f aca="false">IF(OR(E43="",E43="!!!",F43="NEW"),"",INDEX(O$2:O40,-1+SUMPRODUCT(MAX(ROW(R$2:R40)*(E43=R$2:R40)))))</f>
        <v/>
      </c>
      <c r="J43" s="25" t="str">
        <f aca="true">IF(OR(E43="",E43="!!!",F43="NEW"),"",COUNTBLANK(OFFSET(N$1,,,SUMPRODUCT(MAX(ROW(R$2:R41)*(E43=R$2:R41)))))-COUNTBLANK(OFFSET(N$1,,,SUMPRODUCT(MAX(ROW(R$1:R40)*(R2=R$1:R40))))))</f>
        <v/>
      </c>
      <c r="K43" s="25" t="str">
        <f aca="false">IF(OR(E43="",E43="!!!",F43="NEW"),"",INDEX(W$1:W40,SUMPRODUCT(MAX(ROW(R$1:R40)*(E43=R$1:R40)))))</f>
        <v/>
      </c>
      <c r="L43" s="26"/>
    </row>
    <row r="44" customFormat="false" ht="14.25" hidden="false" customHeight="false" outlineLevel="0" collapsed="false">
      <c r="A44" s="0" t="s">
        <v>131</v>
      </c>
      <c r="E44" s="21" t="str">
        <f aca="false">IF(Q42="?OLD","!!!","")</f>
        <v/>
      </c>
      <c r="F44" s="22" t="str">
        <f aca="false">IF(OR(E44="",E44="!!!"),"",IF(NOT(ISNA(VLOOKUP(E44,R$1:R41,1,FALSE()))),"OLD",IF(AND(E44&lt;&gt;"",E44&lt;&gt;"!!!"),"NEW","")))</f>
        <v/>
      </c>
      <c r="G44" s="23" t="str">
        <f aca="false"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aca="false">IF(J44&lt;&gt;1,"",IF(I44="SBJ","CB","?"))</f>
        <v/>
      </c>
      <c r="I44" s="25" t="str">
        <f aca="false">IF(OR(E44="",E44="!!!",F44="NEW"),"",INDEX(O$2:O41,-1+SUMPRODUCT(MAX(ROW(R$2:R41)*(E44=R$2:R41)))))</f>
        <v/>
      </c>
      <c r="J44" s="25" t="str">
        <f aca="true">IF(OR(E44="",E44="!!!",F44="NEW"),"",COUNTBLANK(OFFSET(N$1,,,SUMPRODUCT(MAX(ROW(R$2:R42)*(E44=R$2:R42)))))-COUNTBLANK(OFFSET(N$1,,,SUMPRODUCT(MAX(ROW(R$1:R41)*(R2=R$1:R41))))))</f>
        <v/>
      </c>
      <c r="K44" s="25" t="str">
        <f aca="false">IF(OR(E44="",E44="!!!",F44="NEW"),"",INDEX(W$1:W41,SUMPRODUCT(MAX(ROW(R$1:R41)*(E44=R$1:R41)))))</f>
        <v/>
      </c>
      <c r="L44" s="26"/>
      <c r="O44" s="20"/>
      <c r="P44" s="20"/>
      <c r="Q44" s="20"/>
    </row>
    <row r="45" customFormat="false" ht="14.25" hidden="false" customHeight="false" outlineLevel="0" collapsed="false">
      <c r="A45" s="0" t="s">
        <v>170</v>
      </c>
      <c r="E45" s="21" t="str">
        <f aca="false">IF(Q43="?OLD","!!!","")</f>
        <v/>
      </c>
      <c r="F45" s="22" t="str">
        <f aca="false">IF(OR(E45="",E45="!!!"),"",IF(NOT(ISNA(VLOOKUP(E45,R$1:R42,1,FALSE()))),"OLD",IF(AND(E45&lt;&gt;"",E45&lt;&gt;"!!!"),"NEW","")))</f>
        <v/>
      </c>
      <c r="G45" s="23" t="str">
        <f aca="false"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aca="false">IF(J45&lt;&gt;1,"",IF(I45="SBJ","CB","?"))</f>
        <v/>
      </c>
      <c r="I45" s="25" t="str">
        <f aca="false">IF(OR(E45="",E45="!!!",F45="NEW"),"",INDEX(O$2:O42,-1+SUMPRODUCT(MAX(ROW(R$2:R42)*(E45=R$2:R42)))))</f>
        <v/>
      </c>
      <c r="J45" s="25" t="str">
        <f aca="true">IF(OR(E45="",E45="!!!",F45="NEW"),"",COUNTBLANK(OFFSET(N$1,,,SUMPRODUCT(MAX(ROW(R$2:R43)*(E45=R$2:R43)))))-COUNTBLANK(OFFSET(N$1,,,SUMPRODUCT(MAX(ROW(R$1:R42)*(R2=R$1:R42))))))</f>
        <v/>
      </c>
      <c r="K45" s="25" t="str">
        <f aca="false">IF(OR(E45="",E45="!!!",F45="NEW"),"",INDEX(W$1:W42,SUMPRODUCT(MAX(ROW(R$1:R42)*(E45=R$1:R42)))))</f>
        <v/>
      </c>
      <c r="L45" s="26"/>
    </row>
    <row r="46" customFormat="false" ht="14.25" hidden="false" customHeight="false" outlineLevel="0" collapsed="false">
      <c r="A46" s="0" t="s">
        <v>171</v>
      </c>
      <c r="B46" s="20" t="s">
        <v>133</v>
      </c>
      <c r="C46" s="20" t="s">
        <v>172</v>
      </c>
      <c r="D46" s="20" t="s">
        <v>125</v>
      </c>
      <c r="E46" s="21" t="s">
        <v>173</v>
      </c>
      <c r="F46" s="22" t="str">
        <f aca="false">IF(OR(E46="",E46="!!!"),"",IF(NOT(ISNA(VLOOKUP(E46,R$1:R43,1,FALSE()))),"OLD",IF(AND(E46&lt;&gt;"",E46&lt;&gt;"!!!"),"NEW","")))</f>
        <v>NEW</v>
      </c>
      <c r="G46" s="23" t="str">
        <f aca="false">IF(OR(E46="",E46="!!!"),"",IF(OR(J46=0,AND(J46=1,K46=1),AND(J46=1,I46="SBJ"),AND(J46=1,I46=0)),"?IN_FOCUS",IF(J46&lt;=2,"?ACTIVATED",IF(J46&lt;&gt;"","?FAMILIAR",IF(F46="NEW",IF(ISNA(VLOOKUP(E46,#REF!,1,FALSE())),"?TYPE_IDENTIFIABLE","?REFERENTIAL"),"_")))))</f>
        <v>?REFERENTIAL</v>
      </c>
      <c r="H46" s="24" t="str">
        <f aca="false">IF(J46&lt;&gt;1,"",IF(I46="SBJ","CB","?"))</f>
        <v/>
      </c>
      <c r="I46" s="25" t="str">
        <f aca="false">IF(OR(E46="",E46="!!!",F46="NEW"),"",INDEX(O$2:O43,-1+SUMPRODUCT(MAX(ROW(R$2:R43)*(E46=R$2:R43)))))</f>
        <v/>
      </c>
      <c r="J46" s="25" t="str">
        <f aca="true">IF(OR(E46="",E46="!!!",F46="NEW"),"",COUNTBLANK(OFFSET(N$1,,,SUMPRODUCT(MAX(ROW(R$2:R44)*(E46=R$2:R44)))))-COUNTBLANK(OFFSET(N$1,,,SUMPRODUCT(MAX(ROW(R$1:R43)*(R2=R$1:R43))))))</f>
        <v/>
      </c>
      <c r="K46" s="25" t="str">
        <f aca="false">IF(OR(E46="",E46="!!!",F46="NEW"),"",INDEX(W$1:W43,SUMPRODUCT(MAX(ROW(R$1:R43)*(E46=R$1:R43)))))</f>
        <v/>
      </c>
      <c r="L46" s="26" t="s">
        <v>174</v>
      </c>
    </row>
    <row r="47" customFormat="false" ht="14.25" hidden="false" customHeight="false" outlineLevel="0" collapsed="false">
      <c r="A47" s="0" t="s">
        <v>140</v>
      </c>
      <c r="E47" s="21" t="str">
        <f aca="false">IF(Q45="?OLD","!!!","")</f>
        <v/>
      </c>
      <c r="F47" s="22" t="str">
        <f aca="false">IF(OR(E47="",E47="!!!"),"",IF(NOT(ISNA(VLOOKUP(E47,R$1:R44,1,FALSE()))),"OLD",IF(AND(E47&lt;&gt;"",E47&lt;&gt;"!!!"),"NEW","")))</f>
        <v/>
      </c>
      <c r="G47" s="23" t="str">
        <f aca="false"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aca="false">IF(J47&lt;&gt;1,"",IF(I47="SBJ","CB","?"))</f>
        <v/>
      </c>
      <c r="I47" s="25" t="str">
        <f aca="false">IF(OR(E47="",E47="!!!",F47="NEW"),"",INDEX(O$2:O44,-1+SUMPRODUCT(MAX(ROW(R$2:R44)*(E47=R$2:R44)))))</f>
        <v/>
      </c>
      <c r="J47" s="25" t="str">
        <f aca="true">IF(OR(E47="",E47="!!!",F47="NEW"),"",COUNTBLANK(OFFSET(N$1,,,SUMPRODUCT(MAX(ROW(R$2:R45)*(E47=R$2:R45)))))-COUNTBLANK(OFFSET(N$1,,,SUMPRODUCT(MAX(ROW(R$1:R44)*(R2=R$1:R44))))))</f>
        <v/>
      </c>
      <c r="K47" s="25" t="str">
        <f aca="false">IF(OR(E47="",E47="!!!",F47="NEW"),"",INDEX(W$1:W44,SUMPRODUCT(MAX(ROW(R$1:R44)*(E47=R$1:R44)))))</f>
        <v/>
      </c>
      <c r="L47" s="26"/>
    </row>
    <row r="48" customFormat="false" ht="14.25" hidden="false" customHeight="false" outlineLevel="0" collapsed="false">
      <c r="A48" s="0" t="s">
        <v>131</v>
      </c>
      <c r="E48" s="21" t="str">
        <f aca="false">IF(Q46="?OLD","!!!","")</f>
        <v/>
      </c>
      <c r="F48" s="22" t="str">
        <f aca="false">IF(OR(E48="",E48="!!!"),"",IF(NOT(ISNA(VLOOKUP(E48,R$1:R45,1,FALSE()))),"OLD",IF(AND(E48&lt;&gt;"",E48&lt;&gt;"!!!"),"NEW","")))</f>
        <v/>
      </c>
      <c r="G48" s="23" t="str">
        <f aca="false"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aca="false">IF(J48&lt;&gt;1,"",IF(I48="SBJ","CB","?"))</f>
        <v/>
      </c>
      <c r="I48" s="25" t="str">
        <f aca="false">IF(OR(E48="",E48="!!!",F48="NEW"),"",INDEX(O$2:O45,-1+SUMPRODUCT(MAX(ROW(R$2:R45)*(E48=R$2:R45)))))</f>
        <v/>
      </c>
      <c r="J48" s="25" t="str">
        <f aca="true">IF(OR(E48="",E48="!!!",F48="NEW"),"",COUNTBLANK(OFFSET(N$1,,,SUMPRODUCT(MAX(ROW(R$2:R46)*(E48=R$2:R46)))))-COUNTBLANK(OFFSET(N$1,,,SUMPRODUCT(MAX(ROW(R$1:R45)*(R2=R$1:R45))))))</f>
        <v/>
      </c>
      <c r="K48" s="25" t="str">
        <f aca="false">IF(OR(E48="",E48="!!!",F48="NEW"),"",INDEX(W$1:W45,SUMPRODUCT(MAX(ROW(R$1:R45)*(E48=R$1:R45)))))</f>
        <v/>
      </c>
      <c r="L48" s="26"/>
    </row>
    <row r="49" customFormat="false" ht="14.25" hidden="false" customHeight="false" outlineLevel="0" collapsed="false">
      <c r="A49" s="0" t="s">
        <v>175</v>
      </c>
      <c r="E49" s="21"/>
      <c r="F49" s="22" t="str">
        <f aca="false">IF(OR(E49="",E49="!!!"),"",IF(NOT(ISNA(VLOOKUP(E49,R$1:R46,1,FALSE()))),"OLD",IF(AND(E49&lt;&gt;"",E49&lt;&gt;"!!!"),"NEW","")))</f>
        <v/>
      </c>
      <c r="G49" s="23" t="str">
        <f aca="false"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aca="false">IF(J49&lt;&gt;1,"",IF(I49="SBJ","CB","?"))</f>
        <v/>
      </c>
      <c r="I49" s="25" t="str">
        <f aca="false">IF(OR(E49="",E49="!!!",F49="NEW"),"",INDEX(O$2:O46,-1+SUMPRODUCT(MAX(ROW(R$2:R46)*(E49=R$2:R46)))))</f>
        <v/>
      </c>
      <c r="J49" s="25" t="str">
        <f aca="true">IF(OR(E49="",E49="!!!",F49="NEW"),"",COUNTBLANK(OFFSET(N$1,,,SUMPRODUCT(MAX(ROW(R$2:R47)*(E49=R$2:R47)))))-COUNTBLANK(OFFSET(N$1,,,SUMPRODUCT(MAX(ROW(R$1:R46)*(R2=R$1:R46))))))</f>
        <v/>
      </c>
      <c r="K49" s="25" t="str">
        <f aca="false">IF(OR(E49="",E49="!!!",F49="NEW"),"",INDEX(W$1:W46,SUMPRODUCT(MAX(ROW(R$1:R46)*(E49=R$1:R46)))))</f>
        <v/>
      </c>
      <c r="L49" s="26"/>
      <c r="O49" s="20"/>
      <c r="P49" s="20"/>
      <c r="Q49" s="20"/>
    </row>
    <row r="50" customFormat="false" ht="14.25" hidden="false" customHeight="false" outlineLevel="0" collapsed="false">
      <c r="A50" s="0" t="s">
        <v>176</v>
      </c>
      <c r="E50" s="21" t="str">
        <f aca="false">IF(Q48="?OLD","!!!","")</f>
        <v/>
      </c>
      <c r="F50" s="22" t="str">
        <f aca="false">IF(OR(E50="",E50="!!!"),"",IF(NOT(ISNA(VLOOKUP(E50,R$1:R47,1,FALSE()))),"OLD",IF(AND(E50&lt;&gt;"",E50&lt;&gt;"!!!"),"NEW","")))</f>
        <v/>
      </c>
      <c r="G50" s="23" t="str">
        <f aca="false"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aca="false">IF(J50&lt;&gt;1,"",IF(I50="SBJ","CB","?"))</f>
        <v/>
      </c>
      <c r="I50" s="25" t="str">
        <f aca="false">IF(OR(E50="",E50="!!!",F50="NEW"),"",INDEX(O$2:O47,-1+SUMPRODUCT(MAX(ROW(R$2:R47)*(E50=R$2:R47)))))</f>
        <v/>
      </c>
      <c r="J50" s="25" t="str">
        <f aca="true">IF(OR(E50="",E50="!!!",F50="NEW"),"",COUNTBLANK(OFFSET(N$1,,,SUMPRODUCT(MAX(ROW(R$2:R48)*(E50=R$2:R48)))))-COUNTBLANK(OFFSET(N$1,,,SUMPRODUCT(MAX(ROW(R$1:R47)*(R2=R$1:R47))))))</f>
        <v/>
      </c>
      <c r="K50" s="25" t="str">
        <f aca="false">IF(OR(E50="",E50="!!!",F50="NEW"),"",INDEX(W$1:W47,SUMPRODUCT(MAX(ROW(R$1:R47)*(E50=R$1:R47)))))</f>
        <v/>
      </c>
      <c r="L50" s="26"/>
    </row>
    <row r="51" customFormat="false" ht="14.25" hidden="false" customHeight="false" outlineLevel="0" collapsed="false">
      <c r="A51" s="0" t="s">
        <v>177</v>
      </c>
      <c r="B51" s="20" t="s">
        <v>150</v>
      </c>
      <c r="C51" s="20" t="s">
        <v>172</v>
      </c>
      <c r="D51" s="20" t="s">
        <v>125</v>
      </c>
      <c r="E51" s="21" t="s">
        <v>178</v>
      </c>
      <c r="F51" s="22" t="str">
        <f aca="false">IF(OR(E51="",E51="!!!"),"",IF(NOT(ISNA(VLOOKUP(E51,R$1:R48,1,FALSE()))),"OLD",IF(AND(E51&lt;&gt;"",E51&lt;&gt;"!!!"),"NEW","")))</f>
        <v>NEW</v>
      </c>
      <c r="G51" s="23" t="str">
        <f aca="false">IF(OR(E51="",E51="!!!"),"",IF(OR(J51=0,AND(J51=1,K51=1),AND(J51=1,I51="SBJ"),AND(J51=1,I51=0)),"?IN_FOCUS",IF(J51&lt;=2,"?ACTIVATED",IF(J51&lt;&gt;"","?FAMILIAR",IF(F51="NEW",IF(ISNA(VLOOKUP(E51,#REF!,1,FALSE())),"?TYPE_IDENTIFIABLE","?REFERENTIAL"),"_")))))</f>
        <v>?REFERENTIAL</v>
      </c>
      <c r="H51" s="24" t="str">
        <f aca="false">IF(J51&lt;&gt;1,"",IF(I51="SBJ","CB","?"))</f>
        <v/>
      </c>
      <c r="I51" s="25" t="str">
        <f aca="false">IF(OR(E51="",E51="!!!",F51="NEW"),"",INDEX(O$2:O48,-1+SUMPRODUCT(MAX(ROW(R$2:R48)*(E51=R$2:R48)))))</f>
        <v/>
      </c>
      <c r="J51" s="25" t="str">
        <f aca="true">IF(OR(E51="",E51="!!!",F51="NEW"),"",COUNTBLANK(OFFSET(N$1,,,SUMPRODUCT(MAX(ROW(R$2:R49)*(E51=R$2:R49)))))-COUNTBLANK(OFFSET(N$1,,,SUMPRODUCT(MAX(ROW(R$1:R48)*(R2=R$1:R48))))))</f>
        <v/>
      </c>
      <c r="K51" s="25" t="str">
        <f aca="false">IF(OR(E51="",E51="!!!",F51="NEW"),"",INDEX(W$1:W48,SUMPRODUCT(MAX(ROW(R$1:R48)*(E51=R$1:R48)))))</f>
        <v/>
      </c>
      <c r="L51" s="26"/>
    </row>
    <row r="52" customFormat="false" ht="14.25" hidden="false" customHeight="false" outlineLevel="0" collapsed="false">
      <c r="A52" s="0" t="s">
        <v>179</v>
      </c>
      <c r="E52" s="21" t="s">
        <v>180</v>
      </c>
      <c r="F52" s="22" t="str">
        <f aca="false">IF(OR(E52="",E52="!!!"),"",IF(NOT(ISNA(VLOOKUP(E52,R$1:R49,1,FALSE()))),"OLD",IF(AND(E52&lt;&gt;"",E52&lt;&gt;"!!!"),"NEW","")))</f>
        <v>NEW</v>
      </c>
      <c r="G52" s="23" t="str">
        <f aca="false">IF(OR(E52="",E52="!!!"),"",IF(OR(J52=0,AND(J52=1,K52=1),AND(J52=1,I52="SBJ"),AND(J52=1,I52=0)),"?IN_FOCUS",IF(J52&lt;=2,"?ACTIVATED",IF(J52&lt;&gt;"","?FAMILIAR",IF(F52="NEW",IF(ISNA(VLOOKUP(E52,#REF!,1,FALSE())),"?TYPE_IDENTIFIABLE","?REFERENTIAL"),"_")))))</f>
        <v>?REFERENTIAL</v>
      </c>
      <c r="H52" s="24" t="str">
        <f aca="false">IF(J52&lt;&gt;1,"",IF(I52="SBJ","CB","?"))</f>
        <v/>
      </c>
      <c r="I52" s="25" t="str">
        <f aca="false">IF(OR(E52="",E52="!!!",F52="NEW"),"",INDEX(O$2:O49,-1+SUMPRODUCT(MAX(ROW(R$2:R49)*(E52=R$2:R49)))))</f>
        <v/>
      </c>
      <c r="J52" s="25" t="str">
        <f aca="true">IF(OR(E52="",E52="!!!",F52="NEW"),"",COUNTBLANK(OFFSET(N$1,,,SUMPRODUCT(MAX(ROW(R$2:R50)*(E52=R$2:R50)))))-COUNTBLANK(OFFSET(N$1,,,SUMPRODUCT(MAX(ROW(R$1:R49)*(R2=R$1:R49))))))</f>
        <v/>
      </c>
      <c r="K52" s="25" t="str">
        <f aca="false">IF(OR(E52="",E52="!!!",F52="NEW"),"",INDEX(W$1:W49,SUMPRODUCT(MAX(ROW(R$1:R49)*(E52=R$1:R49)))))</f>
        <v/>
      </c>
      <c r="L52" s="26" t="s">
        <v>181</v>
      </c>
    </row>
    <row r="53" customFormat="false" ht="14.25" hidden="false" customHeight="false" outlineLevel="0" collapsed="false">
      <c r="A53" s="0" t="s">
        <v>182</v>
      </c>
      <c r="E53" s="21" t="str">
        <f aca="false">IF(Q51="?OLD","!!!","")</f>
        <v/>
      </c>
      <c r="F53" s="22" t="str">
        <f aca="false">IF(OR(E53="",E53="!!!"),"",IF(NOT(ISNA(VLOOKUP(E53,R$1:R50,1,FALSE()))),"OLD",IF(AND(E53&lt;&gt;"",E53&lt;&gt;"!!!"),"NEW","")))</f>
        <v/>
      </c>
      <c r="G53" s="23" t="str">
        <f aca="false"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aca="false">IF(J53&lt;&gt;1,"",IF(I53="SBJ","CB","?"))</f>
        <v/>
      </c>
      <c r="I53" s="25" t="str">
        <f aca="false">IF(OR(E53="",E53="!!!",F53="NEW"),"",INDEX(O$2:O50,-1+SUMPRODUCT(MAX(ROW(R$2:R50)*(E53=R$2:R50)))))</f>
        <v/>
      </c>
      <c r="J53" s="25" t="str">
        <f aca="true">IF(OR(E53="",E53="!!!",F53="NEW"),"",COUNTBLANK(OFFSET(N$1,,,SUMPRODUCT(MAX(ROW(R$2:R51)*(E53=R$2:R51)))))-COUNTBLANK(OFFSET(N$1,,,SUMPRODUCT(MAX(ROW(R$1:R50)*(R2=R$1:R50))))))</f>
        <v/>
      </c>
      <c r="K53" s="25" t="str">
        <f aca="false">IF(OR(E53="",E53="!!!",F53="NEW"),"",INDEX(W$1:W50,SUMPRODUCT(MAX(ROW(R$1:R50)*(E53=R$1:R50)))))</f>
        <v/>
      </c>
      <c r="L53" s="26"/>
    </row>
    <row r="54" customFormat="false" ht="14.25" hidden="false" customHeight="false" outlineLevel="0" collapsed="false">
      <c r="A54" s="0" t="s">
        <v>160</v>
      </c>
      <c r="E54" s="21" t="str">
        <f aca="false">IF(Q52="?OLD","!!!","")</f>
        <v/>
      </c>
      <c r="F54" s="22" t="str">
        <f aca="false">IF(OR(E54="",E54="!!!"),"",IF(NOT(ISNA(VLOOKUP(E54,R$1:R51,1,FALSE()))),"OLD",IF(AND(E54&lt;&gt;"",E54&lt;&gt;"!!!"),"NEW","")))</f>
        <v/>
      </c>
      <c r="G54" s="23" t="str">
        <f aca="false"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aca="false">IF(J54&lt;&gt;1,"",IF(I54="SBJ","CB","?"))</f>
        <v/>
      </c>
      <c r="I54" s="25" t="str">
        <f aca="false">IF(OR(E54="",E54="!!!",F54="NEW"),"",INDEX(O$2:O51,-1+SUMPRODUCT(MAX(ROW(R$2:R51)*(E54=R$2:R51)))))</f>
        <v/>
      </c>
      <c r="J54" s="25" t="str">
        <f aca="true">IF(OR(E54="",E54="!!!",F54="NEW"),"",COUNTBLANK(OFFSET(N$1,,,SUMPRODUCT(MAX(ROW(R$2:R52)*(E54=R$2:R52)))))-COUNTBLANK(OFFSET(N$1,,,SUMPRODUCT(MAX(ROW(R$1:R51)*(R2=R$1:R51))))))</f>
        <v/>
      </c>
      <c r="K54" s="25" t="str">
        <f aca="false">IF(OR(E54="",E54="!!!",F54="NEW"),"",INDEX(W$1:W51,SUMPRODUCT(MAX(ROW(R$1:R51)*(E54=R$1:R51)))))</f>
        <v/>
      </c>
      <c r="L54" s="26"/>
    </row>
    <row r="56" customFormat="false" ht="14.25" hidden="false" customHeight="false" outlineLevel="0" collapsed="false">
      <c r="A56" s="0" t="s">
        <v>183</v>
      </c>
      <c r="O56" s="20"/>
      <c r="P56" s="20"/>
    </row>
    <row r="57" customFormat="false" ht="14.25" hidden="false" customHeight="false" outlineLevel="0" collapsed="false">
      <c r="A57" s="0" t="s">
        <v>184</v>
      </c>
      <c r="E57" s="21" t="str">
        <f aca="false">IF(Q53="?OLD","!!!","")</f>
        <v/>
      </c>
      <c r="F57" s="22" t="str">
        <f aca="false">IF(OR(E57="",E57="!!!"),"",IF(NOT(ISNA(VLOOKUP(E57,R$1:R52,1,FALSE()))),"OLD",IF(AND(E57&lt;&gt;"",E57&lt;&gt;"!!!"),"NEW","")))</f>
        <v/>
      </c>
      <c r="G57" s="23" t="str">
        <f aca="false"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aca="false">IF(J57&lt;&gt;1,"",IF(I57="SBJ","CB","?"))</f>
        <v/>
      </c>
      <c r="I57" s="25" t="str">
        <f aca="false">IF(OR(E57="",E57="!!!",F57="NEW"),"",INDEX(O$2:O52,-1+SUMPRODUCT(MAX(ROW(R$2:R52)*(E57=R$2:R52)))))</f>
        <v/>
      </c>
      <c r="J57" s="25" t="str">
        <f aca="true">IF(OR(E57="",E57="!!!",F57="NEW"),"",COUNTBLANK(OFFSET(N$1,,,SUMPRODUCT(MAX(ROW(R$2:R53)*(E57=R$2:R53)))))-COUNTBLANK(OFFSET(N$1,,,SUMPRODUCT(MAX(ROW(R$1:R52)*(R2=R$1:R52))))))</f>
        <v/>
      </c>
      <c r="K57" s="25" t="str">
        <f aca="false">IF(OR(E57="",E57="!!!",F57="NEW"),"",INDEX(W$1:W52,SUMPRODUCT(MAX(ROW(R$1:R52)*(E57=R$1:R52)))))</f>
        <v/>
      </c>
      <c r="L57" s="26"/>
    </row>
    <row r="58" customFormat="false" ht="14.25" hidden="false" customHeight="false" outlineLevel="0" collapsed="false">
      <c r="A58" s="0" t="s">
        <v>42</v>
      </c>
      <c r="E58" s="21" t="str">
        <f aca="false">IF(Q54="?OLD","!!!","")</f>
        <v/>
      </c>
      <c r="F58" s="22" t="str">
        <f aca="false">IF(OR(E58="",E58="!!!"),"",IF(NOT(ISNA(VLOOKUP(E58,R$1:R53,1,FALSE()))),"OLD",IF(AND(E58&lt;&gt;"",E58&lt;&gt;"!!!"),"NEW","")))</f>
        <v/>
      </c>
      <c r="G58" s="23" t="str">
        <f aca="false"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aca="false">IF(J58&lt;&gt;1,"",IF(I58="SBJ","CB","?"))</f>
        <v/>
      </c>
      <c r="I58" s="25" t="str">
        <f aca="false">IF(OR(E58="",E58="!!!",F58="NEW"),"",INDEX(O$2:O53,-1+SUMPRODUCT(MAX(ROW(R$2:R53)*(E58=R$2:R53)))))</f>
        <v/>
      </c>
      <c r="J58" s="25" t="str">
        <f aca="true">IF(OR(E58="",E58="!!!",F58="NEW"),"",COUNTBLANK(OFFSET(N$1,,,SUMPRODUCT(MAX(ROW(R$2:R54)*(E58=R$2:R54)))))-COUNTBLANK(OFFSET(N$1,,,SUMPRODUCT(MAX(ROW(R$1:R53)*(R2=R$1:R53))))))</f>
        <v/>
      </c>
      <c r="K58" s="25" t="str">
        <f aca="false">IF(OR(E58="",E58="!!!",F58="NEW"),"",INDEX(W$1:W53,SUMPRODUCT(MAX(ROW(R$1:R53)*(E58=R$1:R53)))))</f>
        <v/>
      </c>
      <c r="L58" s="26"/>
      <c r="O58" s="20"/>
      <c r="P58" s="20"/>
    </row>
    <row r="59" customFormat="false" ht="14.25" hidden="false" customHeight="false" outlineLevel="0" collapsed="false">
      <c r="A59" s="0" t="s">
        <v>185</v>
      </c>
      <c r="E59" s="21" t="str">
        <f aca="false">IF(Q55="?OLD","!!!","")</f>
        <v/>
      </c>
      <c r="F59" s="22" t="str">
        <f aca="false">IF(OR(E59="",E59="!!!"),"",IF(NOT(ISNA(VLOOKUP(E59,R$1:R54,1,FALSE()))),"OLD",IF(AND(E59&lt;&gt;"",E59&lt;&gt;"!!!"),"NEW","")))</f>
        <v/>
      </c>
      <c r="G59" s="23" t="str">
        <f aca="false"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aca="false">IF(J59&lt;&gt;1,"",IF(I59="SBJ","CB","?"))</f>
        <v/>
      </c>
      <c r="I59" s="25" t="str">
        <f aca="false">IF(OR(E59="",E59="!!!",F59="NEW"),"",INDEX(O$2:O54,-1+SUMPRODUCT(MAX(ROW(R$2:R54)*(E59=R$2:R54)))))</f>
        <v/>
      </c>
      <c r="J59" s="25" t="str">
        <f aca="true">IF(OR(E59="",E59="!!!",F59="NEW"),"",COUNTBLANK(OFFSET(N$1,,,SUMPRODUCT(MAX(ROW(R$2:R55)*(E59=R$2:R55)))))-COUNTBLANK(OFFSET(N$1,,,SUMPRODUCT(MAX(ROW(R$1:R54)*(R2=R$1:R54))))))</f>
        <v/>
      </c>
      <c r="K59" s="25" t="str">
        <f aca="false">IF(OR(E59="",E59="!!!",F59="NEW"),"",INDEX(W$1:W54,SUMPRODUCT(MAX(ROW(R$1:R54)*(E59=R$1:R54)))))</f>
        <v/>
      </c>
      <c r="L59" s="26"/>
    </row>
    <row r="60" customFormat="false" ht="14.25" hidden="false" customHeight="false" outlineLevel="0" collapsed="false">
      <c r="A60" s="0" t="s">
        <v>186</v>
      </c>
      <c r="B60" s="20" t="s">
        <v>187</v>
      </c>
      <c r="C60" s="20" t="s">
        <v>188</v>
      </c>
      <c r="E60" s="21" t="str">
        <f aca="false">IF(Q56="?OLD","!!!","")</f>
        <v/>
      </c>
      <c r="F60" s="22" t="str">
        <f aca="false">IF(OR(E60="",E60="!!!"),"",IF(NOT(ISNA(VLOOKUP(E60,R$1:R55,1,FALSE()))),"OLD",IF(AND(E60&lt;&gt;"",E60&lt;&gt;"!!!"),"NEW","")))</f>
        <v/>
      </c>
      <c r="G60" s="23" t="str">
        <f aca="false"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aca="false">IF(J60&lt;&gt;1,"",IF(I60="SBJ","CB","?"))</f>
        <v/>
      </c>
      <c r="I60" s="25" t="str">
        <f aca="false">IF(OR(E60="",E60="!!!",F60="NEW"),"",INDEX(O$2:O55,-1+SUMPRODUCT(MAX(ROW(R$2:R55)*(E60=R$2:R55)))))</f>
        <v/>
      </c>
      <c r="J60" s="25" t="str">
        <f aca="true">IF(OR(E60="",E60="!!!",F60="NEW"),"",COUNTBLANK(OFFSET(N$1,,,SUMPRODUCT(MAX(ROW(R$2:R56)*(E60=R$2:R56)))))-COUNTBLANK(OFFSET(N$1,,,SUMPRODUCT(MAX(ROW(R$1:R55)*(R2=R$1:R55))))))</f>
        <v/>
      </c>
      <c r="K60" s="25" t="str">
        <f aca="false">IF(OR(E60="",E60="!!!",F60="NEW"),"",INDEX(W$1:W55,SUMPRODUCT(MAX(ROW(R$1:R55)*(E60=R$1:R55)))))</f>
        <v/>
      </c>
      <c r="L60" s="26"/>
      <c r="O60" s="20"/>
      <c r="P60" s="20"/>
    </row>
    <row r="61" customFormat="false" ht="14.25" hidden="false" customHeight="false" outlineLevel="0" collapsed="false">
      <c r="A61" s="0" t="s">
        <v>140</v>
      </c>
      <c r="E61" s="21" t="str">
        <f aca="false">IF(Q57="?OLD","!!!","")</f>
        <v/>
      </c>
      <c r="F61" s="22" t="str">
        <f aca="false">IF(OR(E61="",E61="!!!"),"",IF(NOT(ISNA(VLOOKUP(E61,R$1:R56,1,FALSE()))),"OLD",IF(AND(E61&lt;&gt;"",E61&lt;&gt;"!!!"),"NEW","")))</f>
        <v/>
      </c>
      <c r="G61" s="23" t="str">
        <f aca="false"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aca="false">IF(J61&lt;&gt;1,"",IF(I61="SBJ","CB","?"))</f>
        <v/>
      </c>
      <c r="I61" s="25" t="str">
        <f aca="false">IF(OR(E61="",E61="!!!",F61="NEW"),"",INDEX(O$2:O56,-1+SUMPRODUCT(MAX(ROW(R$2:R56)*(E61=R$2:R56)))))</f>
        <v/>
      </c>
      <c r="J61" s="25" t="str">
        <f aca="true">IF(OR(E61="",E61="!!!",F61="NEW"),"",COUNTBLANK(OFFSET(N$1,,,SUMPRODUCT(MAX(ROW(R$2:R57)*(E61=R$2:R57)))))-COUNTBLANK(OFFSET(N$1,,,SUMPRODUCT(MAX(ROW(R$1:R56)*(R2=R$1:R56))))))</f>
        <v/>
      </c>
      <c r="K61" s="25" t="str">
        <f aca="false">IF(OR(E61="",E61="!!!",F61="NEW"),"",INDEX(W$1:W56,SUMPRODUCT(MAX(ROW(R$1:R56)*(E61=R$1:R56)))))</f>
        <v/>
      </c>
      <c r="L61" s="26"/>
    </row>
    <row r="62" customFormat="false" ht="14.25" hidden="false" customHeight="false" outlineLevel="0" collapsed="false">
      <c r="A62" s="0" t="s">
        <v>189</v>
      </c>
      <c r="B62" s="20" t="s">
        <v>148</v>
      </c>
      <c r="C62" s="20" t="s">
        <v>155</v>
      </c>
      <c r="E62" s="21" t="str">
        <f aca="false">IF(Q58="?OLD","!!!","")</f>
        <v/>
      </c>
      <c r="F62" s="22" t="str">
        <f aca="false">IF(OR(E62="",E62="!!!"),"",IF(NOT(ISNA(VLOOKUP(E62,R$1:R57,1,FALSE()))),"OLD",IF(AND(E62&lt;&gt;"",E62&lt;&gt;"!!!"),"NEW","")))</f>
        <v/>
      </c>
      <c r="G62" s="23" t="str">
        <f aca="false"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aca="false">IF(J62&lt;&gt;1,"",IF(I62="SBJ","CB","?"))</f>
        <v/>
      </c>
      <c r="I62" s="25" t="str">
        <f aca="false">IF(OR(E62="",E62="!!!",F62="NEW"),"",INDEX(O$2:O57,-1+SUMPRODUCT(MAX(ROW(R$2:R57)*(E62=R$2:R57)))))</f>
        <v/>
      </c>
      <c r="J62" s="25" t="str">
        <f aca="true">IF(OR(E62="",E62="!!!",F62="NEW"),"",COUNTBLANK(OFFSET(N$1,,,SUMPRODUCT(MAX(ROW(R$2:R58)*(E62=R$2:R58)))))-COUNTBLANK(OFFSET(N$1,,,SUMPRODUCT(MAX(ROW(R$1:R57)*(R2=R$1:R57))))))</f>
        <v/>
      </c>
      <c r="K62" s="25" t="str">
        <f aca="false">IF(OR(E62="",E62="!!!",F62="NEW"),"",INDEX(W$1:W57,SUMPRODUCT(MAX(ROW(R$1:R57)*(E62=R$1:R57)))))</f>
        <v/>
      </c>
      <c r="L62" s="26"/>
    </row>
    <row r="63" customFormat="false" ht="14.25" hidden="false" customHeight="false" outlineLevel="0" collapsed="false">
      <c r="A63" s="0" t="s">
        <v>138</v>
      </c>
      <c r="E63" s="21" t="str">
        <f aca="false">IF(Q59="?OLD","!!!","")</f>
        <v/>
      </c>
      <c r="F63" s="22" t="str">
        <f aca="false">IF(OR(E63="",E63="!!!"),"",IF(NOT(ISNA(VLOOKUP(E63,R$1:R58,1,FALSE()))),"OLD",IF(AND(E63&lt;&gt;"",E63&lt;&gt;"!!!"),"NEW","")))</f>
        <v/>
      </c>
      <c r="G63" s="23" t="str">
        <f aca="false"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aca="false">IF(J63&lt;&gt;1,"",IF(I63="SBJ","CB","?"))</f>
        <v/>
      </c>
      <c r="I63" s="25" t="str">
        <f aca="false">IF(OR(E63="",E63="!!!",F63="NEW"),"",INDEX(O$2:O58,-1+SUMPRODUCT(MAX(ROW(R$2:R58)*(E63=R$2:R58)))))</f>
        <v/>
      </c>
      <c r="J63" s="25" t="str">
        <f aca="true">IF(OR(E63="",E63="!!!",F63="NEW"),"",COUNTBLANK(OFFSET(N$1,,,SUMPRODUCT(MAX(ROW(R$2:R59)*(E63=R$2:R59)))))-COUNTBLANK(OFFSET(N$1,,,SUMPRODUCT(MAX(ROW(R$1:R58)*(R2=R$1:R58))))))</f>
        <v/>
      </c>
      <c r="K63" s="25" t="str">
        <f aca="false">IF(OR(E63="",E63="!!!",F63="NEW"),"",INDEX(W$1:W58,SUMPRODUCT(MAX(ROW(R$1:R58)*(E63=R$1:R58)))))</f>
        <v/>
      </c>
      <c r="L63" s="26"/>
      <c r="O63" s="20"/>
      <c r="P63" s="20"/>
      <c r="Q63" s="20"/>
    </row>
    <row r="64" customFormat="false" ht="14.25" hidden="false" customHeight="false" outlineLevel="0" collapsed="false">
      <c r="A64" s="0" t="s">
        <v>190</v>
      </c>
      <c r="B64" s="20" t="s">
        <v>148</v>
      </c>
      <c r="C64" s="20" t="s">
        <v>155</v>
      </c>
      <c r="E64" s="21" t="str">
        <f aca="false">IF(Q60="?OLD","!!!","")</f>
        <v/>
      </c>
      <c r="F64" s="22" t="str">
        <f aca="false">IF(OR(E64="",E64="!!!"),"",IF(NOT(ISNA(VLOOKUP(E64,R$1:R59,1,FALSE()))),"OLD",IF(AND(E64&lt;&gt;"",E64&lt;&gt;"!!!"),"NEW","")))</f>
        <v/>
      </c>
      <c r="G64" s="23" t="str">
        <f aca="false"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aca="false">IF(J64&lt;&gt;1,"",IF(I64="SBJ","CB","?"))</f>
        <v/>
      </c>
      <c r="I64" s="25" t="str">
        <f aca="false">IF(OR(E64="",E64="!!!",F64="NEW"),"",INDEX(O$2:O59,-1+SUMPRODUCT(MAX(ROW(R$2:R59)*(E64=R$2:R59)))))</f>
        <v/>
      </c>
      <c r="J64" s="25" t="str">
        <f aca="true">IF(OR(E64="",E64="!!!",F64="NEW"),"",COUNTBLANK(OFFSET(N$1,,,SUMPRODUCT(MAX(ROW(R$2:R60)*(E64=R$2:R60)))))-COUNTBLANK(OFFSET(N$1,,,SUMPRODUCT(MAX(ROW(R$1:R59)*(R2=R$1:R59))))))</f>
        <v/>
      </c>
      <c r="K64" s="25" t="str">
        <f aca="false">IF(OR(E64="",E64="!!!",F64="NEW"),"",INDEX(W$1:W59,SUMPRODUCT(MAX(ROW(R$1:R59)*(E64=R$1:R59)))))</f>
        <v/>
      </c>
      <c r="L64" s="26"/>
      <c r="O64" s="20"/>
      <c r="P64" s="20"/>
      <c r="Q64" s="20"/>
    </row>
    <row r="65" customFormat="false" ht="14.25" hidden="false" customHeight="false" outlineLevel="0" collapsed="false">
      <c r="A65" s="0" t="s">
        <v>182</v>
      </c>
      <c r="E65" s="21" t="str">
        <f aca="false">IF(Q61="?OLD","!!!","")</f>
        <v/>
      </c>
      <c r="F65" s="22" t="str">
        <f aca="false">IF(OR(E65="",E65="!!!"),"",IF(NOT(ISNA(VLOOKUP(E65,R$1:R60,1,FALSE()))),"OLD",IF(AND(E65&lt;&gt;"",E65&lt;&gt;"!!!"),"NEW","")))</f>
        <v/>
      </c>
      <c r="G65" s="23" t="str">
        <f aca="false"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aca="false">IF(J65&lt;&gt;1,"",IF(I65="SBJ","CB","?"))</f>
        <v/>
      </c>
      <c r="I65" s="25" t="str">
        <f aca="false">IF(OR(E65="",E65="!!!",F65="NEW"),"",INDEX(O$2:O60,-1+SUMPRODUCT(MAX(ROW(R$2:R60)*(E65=R$2:R60)))))</f>
        <v/>
      </c>
      <c r="J65" s="25" t="str">
        <f aca="true">IF(OR(E65="",E65="!!!",F65="NEW"),"",COUNTBLANK(OFFSET(N$1,,,SUMPRODUCT(MAX(ROW(R$2:R61)*(E65=R$2:R61)))))-COUNTBLANK(OFFSET(N$1,,,SUMPRODUCT(MAX(ROW(R$1:R60)*(R2=R$1:R60))))))</f>
        <v/>
      </c>
      <c r="K65" s="25" t="str">
        <f aca="false">IF(OR(E65="",E65="!!!",F65="NEW"),"",INDEX(W$1:W60,SUMPRODUCT(MAX(ROW(R$1:R60)*(E65=R$1:R60)))))</f>
        <v/>
      </c>
      <c r="L65" s="26"/>
      <c r="O65" s="20"/>
      <c r="P65" s="20"/>
    </row>
    <row r="66" customFormat="false" ht="14.25" hidden="false" customHeight="false" outlineLevel="0" collapsed="false">
      <c r="A66" s="0" t="s">
        <v>131</v>
      </c>
      <c r="E66" s="21" t="str">
        <f aca="false">IF(Q62="?OLD","!!!","")</f>
        <v/>
      </c>
      <c r="F66" s="22" t="str">
        <f aca="false">IF(OR(E66="",E66="!!!"),"",IF(NOT(ISNA(VLOOKUP(E66,R$1:R61,1,FALSE()))),"OLD",IF(AND(E66&lt;&gt;"",E66&lt;&gt;"!!!"),"NEW","")))</f>
        <v/>
      </c>
      <c r="G66" s="23" t="str">
        <f aca="false"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aca="false">IF(J66&lt;&gt;1,"",IF(I66="SBJ","CB","?"))</f>
        <v/>
      </c>
      <c r="I66" s="25" t="str">
        <f aca="false">IF(OR(E66="",E66="!!!",F66="NEW"),"",INDEX(O$2:O61,-1+SUMPRODUCT(MAX(ROW(R$2:R61)*(E66=R$2:R61)))))</f>
        <v/>
      </c>
      <c r="J66" s="25" t="str">
        <f aca="true">IF(OR(E66="",E66="!!!",F66="NEW"),"",COUNTBLANK(OFFSET(N$1,,,SUMPRODUCT(MAX(ROW(R$2:R62)*(E66=R$2:R62)))))-COUNTBLANK(OFFSET(N$1,,,SUMPRODUCT(MAX(ROW(R$1:R61)*(R2=R$1:R61))))))</f>
        <v/>
      </c>
      <c r="K66" s="25" t="str">
        <f aca="false">IF(OR(E66="",E66="!!!",F66="NEW"),"",INDEX(W$1:W61,SUMPRODUCT(MAX(ROW(R$1:R61)*(E66=R$1:R61)))))</f>
        <v/>
      </c>
      <c r="L66" s="26"/>
    </row>
    <row r="67" customFormat="false" ht="14.25" hidden="false" customHeight="false" outlineLevel="0" collapsed="false">
      <c r="A67" s="0" t="s">
        <v>191</v>
      </c>
      <c r="B67" s="20" t="s">
        <v>148</v>
      </c>
      <c r="C67" s="20" t="s">
        <v>192</v>
      </c>
      <c r="D67" s="20" t="s">
        <v>125</v>
      </c>
      <c r="E67" s="21"/>
      <c r="F67" s="22" t="str">
        <f aca="false">IF(OR(E67="",E67="!!!"),"",IF(NOT(ISNA(VLOOKUP(E67,R$1:R62,1,FALSE()))),"OLD",IF(AND(E67&lt;&gt;"",E67&lt;&gt;"!!!"),"NEW","")))</f>
        <v/>
      </c>
      <c r="G67" s="23" t="str">
        <f aca="false"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aca="false">IF(J67&lt;&gt;1,"",IF(I67="SBJ","CB","?"))</f>
        <v/>
      </c>
      <c r="I67" s="25" t="str">
        <f aca="false">IF(OR(E67="",E67="!!!",F67="NEW"),"",INDEX(O$2:O62,-1+SUMPRODUCT(MAX(ROW(R$2:R62)*(E67=R$2:R62)))))</f>
        <v/>
      </c>
      <c r="J67" s="25" t="str">
        <f aca="true">IF(OR(E67="",E67="!!!",F67="NEW"),"",COUNTBLANK(OFFSET(N$1,,,SUMPRODUCT(MAX(ROW(R$2:R63)*(E67=R$2:R63)))))-COUNTBLANK(OFFSET(N$1,,,SUMPRODUCT(MAX(ROW(R$1:R62)*(R2=R$1:R62))))))</f>
        <v/>
      </c>
      <c r="K67" s="25" t="str">
        <f aca="false">IF(OR(E67="",E67="!!!",F67="NEW"),"",INDEX(W$1:W62,SUMPRODUCT(MAX(ROW(R$1:R62)*(E67=R$1:R62)))))</f>
        <v/>
      </c>
      <c r="L67" s="26" t="s">
        <v>193</v>
      </c>
      <c r="O67" s="20"/>
      <c r="P67" s="20"/>
    </row>
    <row r="68" customFormat="false" ht="14.25" hidden="false" customHeight="false" outlineLevel="0" collapsed="false">
      <c r="A68" s="0" t="s">
        <v>194</v>
      </c>
      <c r="B68" s="20" t="s">
        <v>133</v>
      </c>
      <c r="C68" s="20" t="s">
        <v>195</v>
      </c>
      <c r="D68" s="20" t="s">
        <v>125</v>
      </c>
      <c r="E68" s="21" t="s">
        <v>173</v>
      </c>
      <c r="F68" s="22" t="str">
        <f aca="false">IF(OR(E68="",E68="!!!"),"",IF(NOT(ISNA(VLOOKUP(E68,R$1:R63,1,FALSE()))),"OLD",IF(AND(E68&lt;&gt;"",E68&lt;&gt;"!!!"),"NEW","")))</f>
        <v>NEW</v>
      </c>
      <c r="G68" s="23" t="str">
        <f aca="false">IF(OR(E68="",E68="!!!"),"",IF(OR(J68=0,AND(J68=1,K68=1),AND(J68=1,I68="SBJ"),AND(J68=1,I68=0)),"?IN_FOCUS",IF(J68&lt;=2,"?ACTIVATED",IF(J68&lt;&gt;"","?FAMILIAR",IF(F68="NEW",IF(ISNA(VLOOKUP(E68,#REF!,1,FALSE())),"?TYPE_IDENTIFIABLE","?REFERENTIAL"),"_")))))</f>
        <v>?REFERENTIAL</v>
      </c>
      <c r="H68" s="24" t="str">
        <f aca="false">IF(J68&lt;&gt;1,"",IF(I68="SBJ","CB","?"))</f>
        <v/>
      </c>
      <c r="I68" s="25" t="str">
        <f aca="false">IF(OR(E68="",E68="!!!",F68="NEW"),"",INDEX(O$2:O63,-1+SUMPRODUCT(MAX(ROW(R$2:R63)*(E68=R$2:R63)))))</f>
        <v/>
      </c>
      <c r="J68" s="25" t="str">
        <f aca="true">IF(OR(E68="",E68="!!!",F68="NEW"),"",COUNTBLANK(OFFSET(N$1,,,SUMPRODUCT(MAX(ROW(R$2:R64)*(E68=R$2:R64)))))-COUNTBLANK(OFFSET(N$1,,,SUMPRODUCT(MAX(ROW(R$1:R63)*(R2=R$1:R63))))))</f>
        <v/>
      </c>
      <c r="K68" s="25" t="str">
        <f aca="false">IF(OR(E68="",E68="!!!",F68="NEW"),"",INDEX(W$1:W63,SUMPRODUCT(MAX(ROW(R$1:R63)*(E68=R$1:R63)))))</f>
        <v/>
      </c>
      <c r="L68" s="26"/>
    </row>
    <row r="69" customFormat="false" ht="14.25" hidden="false" customHeight="false" outlineLevel="0" collapsed="false">
      <c r="A69" s="0" t="s">
        <v>196</v>
      </c>
      <c r="B69" s="20" t="s">
        <v>187</v>
      </c>
      <c r="C69" s="20" t="s">
        <v>155</v>
      </c>
      <c r="E69" s="21" t="str">
        <f aca="false">IF(Q65="?OLD","!!!","")</f>
        <v/>
      </c>
      <c r="F69" s="22" t="str">
        <f aca="false">IF(OR(E69="",E69="!!!"),"",IF(NOT(ISNA(VLOOKUP(E69,R$1:R64,1,FALSE()))),"OLD",IF(AND(E69&lt;&gt;"",E69&lt;&gt;"!!!"),"NEW","")))</f>
        <v/>
      </c>
      <c r="G69" s="23" t="str">
        <f aca="false"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aca="false">IF(J69&lt;&gt;1,"",IF(I69="SBJ","CB","?"))</f>
        <v/>
      </c>
      <c r="I69" s="25" t="str">
        <f aca="false">IF(OR(E69="",E69="!!!",F69="NEW"),"",INDEX(O$2:O64,-1+SUMPRODUCT(MAX(ROW(R$2:R64)*(E69=R$2:R64)))))</f>
        <v/>
      </c>
      <c r="J69" s="25" t="str">
        <f aca="true">IF(OR(E69="",E69="!!!",F69="NEW"),"",COUNTBLANK(OFFSET(N$1,,,SUMPRODUCT(MAX(ROW(R$2:R65)*(E69=R$2:R65)))))-COUNTBLANK(OFFSET(N$1,,,SUMPRODUCT(MAX(ROW(R$1:R64)*(R2=R$1:R64))))))</f>
        <v/>
      </c>
      <c r="K69" s="25" t="str">
        <f aca="false">IF(OR(E69="",E69="!!!",F69="NEW"),"",INDEX(W$1:W64,SUMPRODUCT(MAX(ROW(R$1:R64)*(E69=R$1:R64)))))</f>
        <v/>
      </c>
      <c r="L69" s="26"/>
    </row>
    <row r="70" customFormat="false" ht="14.25" hidden="false" customHeight="false" outlineLevel="0" collapsed="false">
      <c r="A70" s="0" t="s">
        <v>138</v>
      </c>
      <c r="E70" s="21" t="str">
        <f aca="false">IF(Q66="?OLD","!!!","")</f>
        <v/>
      </c>
      <c r="F70" s="22" t="str">
        <f aca="false">IF(OR(E70="",E70="!!!"),"",IF(NOT(ISNA(VLOOKUP(E70,R$1:R65,1,FALSE()))),"OLD",IF(AND(E70&lt;&gt;"",E70&lt;&gt;"!!!"),"NEW","")))</f>
        <v/>
      </c>
      <c r="G70" s="23" t="str">
        <f aca="false"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aca="false">IF(J70&lt;&gt;1,"",IF(I70="SBJ","CB","?"))</f>
        <v/>
      </c>
      <c r="I70" s="25" t="str">
        <f aca="false">IF(OR(E70="",E70="!!!",F70="NEW"),"",INDEX(O$2:O65,-1+SUMPRODUCT(MAX(ROW(R$2:R65)*(E70=R$2:R65)))))</f>
        <v/>
      </c>
      <c r="J70" s="25" t="str">
        <f aca="true">IF(OR(E70="",E70="!!!",F70="NEW"),"",COUNTBLANK(OFFSET(N$1,,,SUMPRODUCT(MAX(ROW(R$2:R66)*(E70=R$2:R66)))))-COUNTBLANK(OFFSET(N$1,,,SUMPRODUCT(MAX(ROW(R$1:R65)*(R2=R$1:R65))))))</f>
        <v/>
      </c>
      <c r="K70" s="25" t="str">
        <f aca="false">IF(OR(E70="",E70="!!!",F70="NEW"),"",INDEX(W$1:W65,SUMPRODUCT(MAX(ROW(R$1:R65)*(E70=R$1:R65)))))</f>
        <v/>
      </c>
      <c r="L70" s="26"/>
      <c r="O70" s="20"/>
      <c r="P70" s="20"/>
      <c r="Q70" s="20"/>
    </row>
    <row r="71" customFormat="false" ht="14.25" hidden="false" customHeight="false" outlineLevel="0" collapsed="false">
      <c r="A71" s="0" t="s">
        <v>197</v>
      </c>
      <c r="B71" s="20" t="s">
        <v>148</v>
      </c>
      <c r="C71" s="20" t="s">
        <v>155</v>
      </c>
      <c r="E71" s="21" t="str">
        <f aca="false">IF(Q67="?OLD","!!!","")</f>
        <v/>
      </c>
      <c r="F71" s="22" t="str">
        <f aca="false">IF(OR(E71="",E71="!!!"),"",IF(NOT(ISNA(VLOOKUP(E71,R$1:R66,1,FALSE()))),"OLD",IF(AND(E71&lt;&gt;"",E71&lt;&gt;"!!!"),"NEW","")))</f>
        <v/>
      </c>
      <c r="G71" s="23" t="str">
        <f aca="false"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aca="false">IF(J71&lt;&gt;1,"",IF(I71="SBJ","CB","?"))</f>
        <v/>
      </c>
      <c r="I71" s="25" t="str">
        <f aca="false">IF(OR(E71="",E71="!!!",F71="NEW"),"",INDEX(O$2:O66,-1+SUMPRODUCT(MAX(ROW(R$2:R66)*(E71=R$2:R66)))))</f>
        <v/>
      </c>
      <c r="J71" s="25" t="str">
        <f aca="true">IF(OR(E71="",E71="!!!",F71="NEW"),"",COUNTBLANK(OFFSET(N$1,,,SUMPRODUCT(MAX(ROW(R$2:R67)*(E71=R$2:R67)))))-COUNTBLANK(OFFSET(N$1,,,SUMPRODUCT(MAX(ROW(R$1:R66)*(R2=R$1:R66))))))</f>
        <v/>
      </c>
      <c r="K71" s="25" t="str">
        <f aca="false">IF(OR(E71="",E71="!!!",F71="NEW"),"",INDEX(W$1:W66,SUMPRODUCT(MAX(ROW(R$1:R66)*(E71=R$1:R66)))))</f>
        <v/>
      </c>
      <c r="L71" s="26"/>
      <c r="O71" s="20"/>
      <c r="P71" s="20"/>
    </row>
    <row r="72" customFormat="false" ht="14.25" hidden="false" customHeight="false" outlineLevel="0" collapsed="false">
      <c r="A72" s="0" t="s">
        <v>198</v>
      </c>
      <c r="E72" s="21"/>
      <c r="F72" s="22" t="str">
        <f aca="false">IF(OR(E72="",E72="!!!"),"",IF(NOT(ISNA(VLOOKUP(E72,R$1:R67,1,FALSE()))),"OLD",IF(AND(E72&lt;&gt;"",E72&lt;&gt;"!!!"),"NEW","")))</f>
        <v/>
      </c>
      <c r="G72" s="23" t="str">
        <f aca="false"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aca="false">IF(J72&lt;&gt;1,"",IF(I72="SBJ","CB","?"))</f>
        <v/>
      </c>
      <c r="I72" s="25" t="str">
        <f aca="false">IF(OR(E72="",E72="!!!",F72="NEW"),"",INDEX(O$2:O67,-1+SUMPRODUCT(MAX(ROW(R$2:R67)*(E72=R$2:R67)))))</f>
        <v/>
      </c>
      <c r="J72" s="25" t="str">
        <f aca="true">IF(OR(E72="",E72="!!!",F72="NEW"),"",COUNTBLANK(OFFSET(N$1,,,SUMPRODUCT(MAX(ROW(R$2:R68)*(E72=R$2:R68)))))-COUNTBLANK(OFFSET(N$1,,,SUMPRODUCT(MAX(ROW(R$1:R67)*(R2=R$1:R67))))))</f>
        <v/>
      </c>
      <c r="K72" s="25" t="str">
        <f aca="false">IF(OR(E72="",E72="!!!",F72="NEW"),"",INDEX(W$1:W67,SUMPRODUCT(MAX(ROW(R$1:R67)*(E72=R$1:R67)))))</f>
        <v/>
      </c>
      <c r="L72" s="26"/>
    </row>
    <row r="73" customFormat="false" ht="14.25" hidden="false" customHeight="false" outlineLevel="0" collapsed="false">
      <c r="A73" s="0" t="s">
        <v>160</v>
      </c>
      <c r="E73" s="21" t="str">
        <f aca="false">IF(Q69="?OLD","!!!","")</f>
        <v/>
      </c>
      <c r="F73" s="22" t="str">
        <f aca="false">IF(OR(E73="",E73="!!!"),"",IF(NOT(ISNA(VLOOKUP(E73,R$1:R68,1,FALSE()))),"OLD",IF(AND(E73&lt;&gt;"",E73&lt;&gt;"!!!"),"NEW","")))</f>
        <v/>
      </c>
      <c r="G73" s="23" t="str">
        <f aca="false"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aca="false">IF(J73&lt;&gt;1,"",IF(I73="SBJ","CB","?"))</f>
        <v/>
      </c>
      <c r="I73" s="25" t="str">
        <f aca="false">IF(OR(E73="",E73="!!!",F73="NEW"),"",INDEX(O$2:O68,-1+SUMPRODUCT(MAX(ROW(R$2:R68)*(E73=R$2:R68)))))</f>
        <v/>
      </c>
      <c r="J73" s="25" t="str">
        <f aca="true">IF(OR(E73="",E73="!!!",F73="NEW"),"",COUNTBLANK(OFFSET(N$1,,,SUMPRODUCT(MAX(ROW(R$2:R69)*(E73=R$2:R69)))))-COUNTBLANK(OFFSET(N$1,,,SUMPRODUCT(MAX(ROW(R$1:R68)*(R2=R$1:R68))))))</f>
        <v/>
      </c>
      <c r="K73" s="25" t="str">
        <f aca="false">IF(OR(E73="",E73="!!!",F73="NEW"),"",INDEX(W$1:W68,SUMPRODUCT(MAX(ROW(R$1:R68)*(E73=R$1:R68)))))</f>
        <v/>
      </c>
      <c r="L73" s="26"/>
      <c r="O73" s="20"/>
      <c r="P73" s="20"/>
      <c r="Q73" s="20"/>
    </row>
    <row r="75" customFormat="false" ht="14.25" hidden="false" customHeight="false" outlineLevel="0" collapsed="false">
      <c r="A75" s="0" t="s">
        <v>199</v>
      </c>
      <c r="O75" s="20"/>
      <c r="P75" s="20"/>
      <c r="Q75" s="20"/>
    </row>
    <row r="76" customFormat="false" ht="14.25" hidden="false" customHeight="false" outlineLevel="0" collapsed="false">
      <c r="A76" s="0" t="s">
        <v>200</v>
      </c>
      <c r="B76" s="20" t="s">
        <v>148</v>
      </c>
      <c r="C76" s="20" t="s">
        <v>201</v>
      </c>
      <c r="D76" s="20" t="s">
        <v>125</v>
      </c>
      <c r="E76" s="21" t="s">
        <v>126</v>
      </c>
      <c r="F76" s="22" t="str">
        <f aca="false">IF(OR(E76="",E76="!!!"),"",IF(NOT(ISNA(VLOOKUP(E76,R$1:R69,1,FALSE()))),"OLD",IF(AND(E76&lt;&gt;"",E76&lt;&gt;"!!!"),"NEW","")))</f>
        <v>NEW</v>
      </c>
      <c r="G76" s="23" t="str">
        <f aca="false">IF(OR(E76="",E76="!!!"),"",IF(OR(J76=0,AND(J76=1,K76=1),AND(J76=1,I76="SBJ"),AND(J76=1,I76=0)),"?IN_FOCUS",IF(J76&lt;=2,"?ACTIVATED",IF(J76&lt;&gt;"","?FAMILIAR",IF(F76="NEW",IF(ISNA(VLOOKUP(E76,#REF!,1,FALSE())),"?TYPE_IDENTIFIABLE","?REFERENTIAL"),"_")))))</f>
        <v>?REFERENTIAL</v>
      </c>
      <c r="H76" s="24" t="str">
        <f aca="false">IF(J76&lt;&gt;1,"",IF(I76="SBJ","CB","?"))</f>
        <v/>
      </c>
      <c r="I76" s="25" t="str">
        <f aca="false">IF(OR(E76="",E76="!!!",F76="NEW"),"",INDEX(O$2:O69,-1+SUMPRODUCT(MAX(ROW(R$2:R69)*(E76=R$2:R69)))))</f>
        <v/>
      </c>
      <c r="J76" s="25" t="str">
        <f aca="true">IF(OR(E76="",E76="!!!",F76="NEW"),"",COUNTBLANK(OFFSET(N$1,,,SUMPRODUCT(MAX(ROW(R$2:R70)*(E76=R$2:R70)))))-COUNTBLANK(OFFSET(N$1,,,SUMPRODUCT(MAX(ROW(R$1:R69)*(R2=R$1:R69))))))</f>
        <v/>
      </c>
      <c r="K76" s="25" t="str">
        <f aca="false">IF(OR(E76="",E76="!!!",F76="NEW"),"",INDEX(W$1:W69,SUMPRODUCT(MAX(ROW(R$1:R69)*(E76=R$1:R69)))))</f>
        <v/>
      </c>
      <c r="L76" s="26"/>
    </row>
    <row r="77" customFormat="false" ht="14.25" hidden="false" customHeight="false" outlineLevel="0" collapsed="false">
      <c r="A77" s="0" t="s">
        <v>202</v>
      </c>
      <c r="B77" s="20" t="s">
        <v>164</v>
      </c>
      <c r="C77" s="20" t="s">
        <v>155</v>
      </c>
      <c r="E77" s="21" t="s">
        <v>203</v>
      </c>
      <c r="F77" s="22" t="str">
        <f aca="false">IF(OR(E77="",E77="!!!"),"",IF(NOT(ISNA(VLOOKUP(E77,R$1:R70,1,FALSE()))),"OLD",IF(AND(E77&lt;&gt;"",E77&lt;&gt;"!!!"),"NEW","")))</f>
        <v>NEW</v>
      </c>
      <c r="G77" s="23" t="str">
        <f aca="false">IF(OR(E77="",E77="!!!"),"",IF(OR(J77=0,AND(J77=1,K77=1),AND(J77=1,I77="SBJ"),AND(J77=1,I77=0)),"?IN_FOCUS",IF(J77&lt;=2,"?ACTIVATED",IF(J77&lt;&gt;"","?FAMILIAR",IF(F77="NEW",IF(ISNA(VLOOKUP(E77,#REF!,1,FALSE())),"?TYPE_IDENTIFIABLE","?REFERENTIAL"),"_")))))</f>
        <v>?REFERENTIAL</v>
      </c>
      <c r="H77" s="24" t="str">
        <f aca="false">IF(J77&lt;&gt;1,"",IF(I77="SBJ","CB","?"))</f>
        <v/>
      </c>
      <c r="I77" s="25" t="str">
        <f aca="false">IF(OR(E77="",E77="!!!",F77="NEW"),"",INDEX(O$2:O70,-1+SUMPRODUCT(MAX(ROW(R$2:R70)*(E77=R$2:R70)))))</f>
        <v/>
      </c>
      <c r="J77" s="25" t="str">
        <f aca="true">IF(OR(E77="",E77="!!!",F77="NEW"),"",COUNTBLANK(OFFSET(N$1,,,SUMPRODUCT(MAX(ROW(R$2:R71)*(E77=R$2:R71)))))-COUNTBLANK(OFFSET(N$1,,,SUMPRODUCT(MAX(ROW(R$1:R70)*(R2=R$1:R70))))))</f>
        <v/>
      </c>
      <c r="K77" s="25" t="str">
        <f aca="false">IF(OR(E77="",E77="!!!",F77="NEW"),"",INDEX(W$1:W70,SUMPRODUCT(MAX(ROW(R$1:R70)*(E77=R$1:R70)))))</f>
        <v/>
      </c>
      <c r="L77" s="26"/>
    </row>
    <row r="78" customFormat="false" ht="14.25" hidden="false" customHeight="false" outlineLevel="0" collapsed="false">
      <c r="A78" s="0" t="s">
        <v>138</v>
      </c>
      <c r="E78" s="21" t="str">
        <f aca="false">IF(Q72="?OLD","!!!","")</f>
        <v/>
      </c>
      <c r="F78" s="22" t="str">
        <f aca="false">IF(OR(E78="",E78="!!!"),"",IF(NOT(ISNA(VLOOKUP(E78,R$1:R71,1,FALSE()))),"OLD",IF(AND(E78&lt;&gt;"",E78&lt;&gt;"!!!"),"NEW","")))</f>
        <v/>
      </c>
      <c r="G78" s="23" t="str">
        <f aca="false"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aca="false">IF(J78&lt;&gt;1,"",IF(I78="SBJ","CB","?"))</f>
        <v/>
      </c>
      <c r="I78" s="25" t="str">
        <f aca="false">IF(OR(E78="",E78="!!!",F78="NEW"),"",INDEX(O$2:O71,-1+SUMPRODUCT(MAX(ROW(R$2:R71)*(E78=R$2:R71)))))</f>
        <v/>
      </c>
      <c r="J78" s="25" t="str">
        <f aca="true">IF(OR(E78="",E78="!!!",F78="NEW"),"",COUNTBLANK(OFFSET(N$1,,,SUMPRODUCT(MAX(ROW(R$2:R72)*(E78=R$2:R72)))))-COUNTBLANK(OFFSET(N$1,,,SUMPRODUCT(MAX(ROW(R$1:R71)*(R2=R$1:R71))))))</f>
        <v/>
      </c>
      <c r="K78" s="25" t="str">
        <f aca="false">IF(OR(E78="",E78="!!!",F78="NEW"),"",INDEX(W$1:W71,SUMPRODUCT(MAX(ROW(R$1:R71)*(E78=R$1:R71)))))</f>
        <v/>
      </c>
      <c r="L78" s="26"/>
      <c r="O78" s="20"/>
      <c r="P78" s="20"/>
      <c r="Q78" s="20"/>
    </row>
    <row r="79" customFormat="false" ht="14.25" hidden="false" customHeight="false" outlineLevel="0" collapsed="false">
      <c r="A79" s="0" t="s">
        <v>204</v>
      </c>
      <c r="B79" s="20" t="s">
        <v>148</v>
      </c>
      <c r="C79" s="20" t="s">
        <v>124</v>
      </c>
      <c r="D79" s="20" t="s">
        <v>125</v>
      </c>
      <c r="E79" s="21" t="s">
        <v>126</v>
      </c>
      <c r="F79" s="22" t="str">
        <f aca="false">IF(OR(E79="",E79="!!!"),"",IF(NOT(ISNA(VLOOKUP(E79,R$1:R72,1,FALSE()))),"OLD",IF(AND(E79&lt;&gt;"",E79&lt;&gt;"!!!"),"NEW","")))</f>
        <v>NEW</v>
      </c>
      <c r="G79" s="23" t="str">
        <f aca="false">IF(OR(E79="",E79="!!!"),"",IF(OR(J79=0,AND(J79=1,K79=1),AND(J79=1,I79="SBJ"),AND(J79=1,I79=0)),"?IN_FOCUS",IF(J79&lt;=2,"?ACTIVATED",IF(J79&lt;&gt;"","?FAMILIAR",IF(F79="NEW",IF(ISNA(VLOOKUP(E79,#REF!,1,FALSE())),"?TYPE_IDENTIFIABLE","?REFERENTIAL"),"_")))))</f>
        <v>?REFERENTIAL</v>
      </c>
      <c r="H79" s="24" t="str">
        <f aca="false">IF(J79&lt;&gt;1,"",IF(I79="SBJ","CB","?"))</f>
        <v/>
      </c>
      <c r="I79" s="25" t="str">
        <f aca="false">IF(OR(E79="",E79="!!!",F79="NEW"),"",INDEX(O$2:O72,-1+SUMPRODUCT(MAX(ROW(R$2:R72)*(E79=R$2:R72)))))</f>
        <v/>
      </c>
      <c r="J79" s="25" t="str">
        <f aca="true">IF(OR(E79="",E79="!!!",F79="NEW"),"",COUNTBLANK(OFFSET(N$1,,,SUMPRODUCT(MAX(ROW(R$2:R73)*(E79=R$2:R73)))))-COUNTBLANK(OFFSET(N$1,,,SUMPRODUCT(MAX(ROW(R$1:R72)*(R2=R$1:R72))))))</f>
        <v/>
      </c>
      <c r="K79" s="25" t="str">
        <f aca="false">IF(OR(E79="",E79="!!!",F79="NEW"),"",INDEX(W$1:W72,SUMPRODUCT(MAX(ROW(R$1:R72)*(E79=R$1:R72)))))</f>
        <v/>
      </c>
      <c r="L79" s="26"/>
      <c r="O79" s="20"/>
      <c r="P79" s="20"/>
      <c r="Q79" s="20"/>
    </row>
    <row r="80" customFormat="false" ht="23.85" hidden="false" customHeight="false" outlineLevel="0" collapsed="false">
      <c r="A80" s="0" t="s">
        <v>205</v>
      </c>
      <c r="E80" s="21" t="s">
        <v>206</v>
      </c>
      <c r="F80" s="22" t="s">
        <v>127</v>
      </c>
      <c r="G80" s="23" t="e">
        <f aca="false">IF(OR(E80="",E80="!!!"),"",IF(OR(J80=0,AND(J80=1,K80=1),AND(J80=1,I80="SBJ"),AND(J80=1,I80=0)),"?IN_FOCUS",IF(J80&lt;=2,"?ACTIVATED",IF(J80&lt;&gt;"","?FAMILIAR",IF(F80="NEW",IF(ISNA(VLOOKUP(E80,#REF!,1,FALSE())),"?TYPE_IDENTIFIABLE","?REFERENTIAL"),"_")))))</f>
        <v>#VALUE!</v>
      </c>
      <c r="H80" s="24" t="e">
        <f aca="false">IF(J80&lt;&gt;1,"",IF(I80="SBJ","CB","?"))</f>
        <v>#VALUE!</v>
      </c>
      <c r="I80" s="25" t="e">
        <f aca="false">IF(OR(E80="",E80="!!!",F80="NEW"),"",INDEX(O$2:O73,-1+SUMPRODUCT(MAX(ROW(R$2:R73)*(E80=R$2:R73)))))</f>
        <v>#VALUE!</v>
      </c>
      <c r="J80" s="25" t="e">
        <f aca="true">IF(OR(E80="",E80="!!!",F80="NEW"),"",COUNTBLANK(OFFSET(N$1,,,SUMPRODUCT(MAX(ROW(R$2:R74)*(E80=R$2:R74)))))-COUNTBLANK(OFFSET(N$1,,,SUMPRODUCT(MAX(ROW(R$1:R73)*(R2=R$1:R73))))))</f>
        <v>#VALUE!</v>
      </c>
      <c r="K80" s="25" t="e">
        <f aca="false">IF(OR(E80="",E80="!!!",F80="NEW"),"",INDEX(W$1:W73,SUMPRODUCT(MAX(ROW(R$1:R73)*(E80=R$1:R73)))))</f>
        <v>#VALUE!</v>
      </c>
      <c r="L80" s="26" t="s">
        <v>207</v>
      </c>
    </row>
    <row r="81" customFormat="false" ht="14.25" hidden="false" customHeight="false" outlineLevel="0" collapsed="false">
      <c r="A81" s="0" t="s">
        <v>208</v>
      </c>
      <c r="B81" s="20" t="s">
        <v>187</v>
      </c>
      <c r="C81" s="20" t="s">
        <v>209</v>
      </c>
      <c r="D81" s="20" t="s">
        <v>125</v>
      </c>
      <c r="E81" s="21" t="s">
        <v>210</v>
      </c>
      <c r="F81" s="22" t="s">
        <v>211</v>
      </c>
      <c r="G81" s="23" t="e">
        <f aca="false">IF(OR(E81="",E81="!!!"),"",IF(OR(J81=0,AND(J81=1,K81=1),AND(J81=1,I81="SBJ"),AND(J81=1,I81=0)),"?IN_FOCUS",IF(J81&lt;=2,"?ACTIVATED",IF(J81&lt;&gt;"","?FAMILIAR",IF(F81="NEW",IF(ISNA(VLOOKUP(E81,#REF!,1,FALSE())),"?TYPE_IDENTIFIABLE","?REFERENTIAL"),"_")))))</f>
        <v>#VALUE!</v>
      </c>
      <c r="H81" s="24" t="e">
        <f aca="false">IF(J81&lt;&gt;1,"",IF(I81="SBJ","CB","?"))</f>
        <v>#VALUE!</v>
      </c>
      <c r="I81" s="25" t="e">
        <f aca="false">IF(OR(E81="",E81="!!!",F81="NEW"),"",INDEX(O$2:O74,-1+SUMPRODUCT(MAX(ROW(R$2:R74)*(E81=R$2:R74)))))</f>
        <v>#VALUE!</v>
      </c>
      <c r="J81" s="25" t="e">
        <f aca="true">IF(OR(E81="",E81="!!!",F81="NEW"),"",COUNTBLANK(OFFSET(N$1,,,SUMPRODUCT(MAX(ROW(R$2:R75)*(E81=R$2:R75)))))-COUNTBLANK(OFFSET(N$1,,,SUMPRODUCT(MAX(ROW(R$1:R74)*(R2=R$1:R74))))))</f>
        <v>#VALUE!</v>
      </c>
      <c r="K81" s="25" t="e">
        <f aca="false">IF(OR(E81="",E81="!!!",F81="NEW"),"",INDEX(W$1:W74,SUMPRODUCT(MAX(ROW(R$1:R74)*(E81=R$1:R74)))))</f>
        <v>#VALUE!</v>
      </c>
      <c r="L81" s="26"/>
      <c r="O81" s="20"/>
      <c r="P81" s="20"/>
    </row>
    <row r="82" customFormat="false" ht="14.25" hidden="false" customHeight="false" outlineLevel="0" collapsed="false">
      <c r="A82" s="0" t="s">
        <v>212</v>
      </c>
      <c r="E82" s="21" t="str">
        <f aca="false">IF(Q76="?OLD","!!!","")</f>
        <v/>
      </c>
      <c r="F82" s="22" t="str">
        <f aca="false">IF(OR(E82="",E82="!!!"),"",IF(NOT(ISNA(VLOOKUP(E82,R$1:R75,1,FALSE()))),"OLD",IF(AND(E82&lt;&gt;"",E82&lt;&gt;"!!!"),"NEW","")))</f>
        <v/>
      </c>
      <c r="G82" s="23" t="str">
        <f aca="false"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aca="false">IF(J82&lt;&gt;1,"",IF(I82="SBJ","CB","?"))</f>
        <v/>
      </c>
      <c r="I82" s="25" t="str">
        <f aca="false">IF(OR(E82="",E82="!!!",F82="NEW"),"",INDEX(O$2:O75,-1+SUMPRODUCT(MAX(ROW(R$2:R75)*(E82=R$2:R75)))))</f>
        <v/>
      </c>
      <c r="J82" s="25" t="str">
        <f aca="true">IF(OR(E82="",E82="!!!",F82="NEW"),"",COUNTBLANK(OFFSET(N$1,,,SUMPRODUCT(MAX(ROW(R$2:R76)*(E82=R$2:R76)))))-COUNTBLANK(OFFSET(N$1,,,SUMPRODUCT(MAX(ROW(R$1:R75)*(R2=R$1:R75))))))</f>
        <v/>
      </c>
      <c r="K82" s="25" t="str">
        <f aca="false">IF(OR(E82="",E82="!!!",F82="NEW"),"",INDEX(W$1:W75,SUMPRODUCT(MAX(ROW(R$1:R75)*(E82=R$1:R75)))))</f>
        <v/>
      </c>
      <c r="L82" s="26"/>
    </row>
    <row r="83" customFormat="false" ht="14.25" hidden="false" customHeight="false" outlineLevel="0" collapsed="false">
      <c r="A83" s="0" t="s">
        <v>141</v>
      </c>
      <c r="E83" s="21"/>
      <c r="F83" s="22" t="str">
        <f aca="false">IF(OR(E83="",E83="!!!"),"",IF(NOT(ISNA(VLOOKUP(E83,R$1:R76,1,FALSE()))),"OLD",IF(AND(E83&lt;&gt;"",E83&lt;&gt;"!!!"),"NEW","")))</f>
        <v/>
      </c>
      <c r="G83" s="23" t="str">
        <f aca="false"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aca="false">IF(J83&lt;&gt;1,"",IF(I83="SBJ","CB","?"))</f>
        <v/>
      </c>
      <c r="I83" s="25" t="str">
        <f aca="false">IF(OR(E83="",E83="!!!",F83="NEW"),"",INDEX(O$2:O76,-1+SUMPRODUCT(MAX(ROW(R$2:R76)*(E83=R$2:R76)))))</f>
        <v/>
      </c>
      <c r="J83" s="25" t="str">
        <f aca="true">IF(OR(E83="",E83="!!!",F83="NEW"),"",COUNTBLANK(OFFSET(N$1,,,SUMPRODUCT(MAX(ROW(R$2:R77)*(E83=R$2:R77)))))-COUNTBLANK(OFFSET(N$1,,,SUMPRODUCT(MAX(ROW(R$1:R76)*(R2=R$1:R76))))))</f>
        <v/>
      </c>
      <c r="K83" s="25" t="str">
        <f aca="false">IF(OR(E83="",E83="!!!",F83="NEW"),"",INDEX(W$1:W76,SUMPRODUCT(MAX(ROW(R$1:R76)*(E83=R$1:R76)))))</f>
        <v/>
      </c>
      <c r="L83" s="26"/>
    </row>
    <row r="84" customFormat="false" ht="14.25" hidden="false" customHeight="false" outlineLevel="0" collapsed="false">
      <c r="A84" s="0" t="s">
        <v>191</v>
      </c>
      <c r="B84" s="20" t="s">
        <v>148</v>
      </c>
      <c r="C84" s="20" t="s">
        <v>192</v>
      </c>
      <c r="D84" s="20" t="s">
        <v>125</v>
      </c>
      <c r="E84" s="21"/>
      <c r="F84" s="22" t="str">
        <f aca="false">IF(OR(E84="",E84="!!!"),"",IF(NOT(ISNA(VLOOKUP(E84,R$1:R77,1,FALSE()))),"OLD",IF(AND(E84&lt;&gt;"",E84&lt;&gt;"!!!"),"NEW","")))</f>
        <v/>
      </c>
      <c r="G84" s="23" t="str">
        <f aca="false"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aca="false">IF(J84&lt;&gt;1,"",IF(I84="SBJ","CB","?"))</f>
        <v/>
      </c>
      <c r="I84" s="25" t="str">
        <f aca="false">IF(OR(E84="",E84="!!!",F84="NEW"),"",INDEX(O$2:O77,-1+SUMPRODUCT(MAX(ROW(R$2:R77)*(E84=R$2:R77)))))</f>
        <v/>
      </c>
      <c r="J84" s="25" t="str">
        <f aca="true">IF(OR(E84="",E84="!!!",F84="NEW"),"",COUNTBLANK(OFFSET(N$1,,,SUMPRODUCT(MAX(ROW(R$2:R78)*(E84=R$2:R78)))))-COUNTBLANK(OFFSET(N$1,,,SUMPRODUCT(MAX(ROW(R$1:R77)*(R2=R$1:R77))))))</f>
        <v/>
      </c>
      <c r="K84" s="25" t="str">
        <f aca="false">IF(OR(E84="",E84="!!!",F84="NEW"),"",INDEX(W$1:W77,SUMPRODUCT(MAX(ROW(R$1:R77)*(E84=R$1:R77)))))</f>
        <v/>
      </c>
      <c r="L84" s="26" t="s">
        <v>193</v>
      </c>
      <c r="O84" s="20"/>
      <c r="P84" s="20"/>
      <c r="Q84" s="20"/>
    </row>
    <row r="85" customFormat="false" ht="14.25" hidden="false" customHeight="false" outlineLevel="0" collapsed="false">
      <c r="A85" s="0" t="s">
        <v>213</v>
      </c>
      <c r="B85" s="20" t="s">
        <v>133</v>
      </c>
      <c r="C85" s="20" t="s">
        <v>195</v>
      </c>
      <c r="D85" s="20" t="s">
        <v>125</v>
      </c>
      <c r="E85" s="21" t="s">
        <v>180</v>
      </c>
      <c r="F85" s="22" t="str">
        <f aca="false">IF(OR(E85="",E85="!!!"),"",IF(NOT(ISNA(VLOOKUP(E85,R$1:R78,1,FALSE()))),"OLD",IF(AND(E85&lt;&gt;"",E85&lt;&gt;"!!!"),"NEW","")))</f>
        <v>NEW</v>
      </c>
      <c r="G85" s="23" t="str">
        <f aca="false">IF(OR(E85="",E85="!!!"),"",IF(OR(J85=0,AND(J85=1,K85=1),AND(J85=1,I85="SBJ"),AND(J85=1,I85=0)),"?IN_FOCUS",IF(J85&lt;=2,"?ACTIVATED",IF(J85&lt;&gt;"","?FAMILIAR",IF(F85="NEW",IF(ISNA(VLOOKUP(E85,#REF!,1,FALSE())),"?TYPE_IDENTIFIABLE","?REFERENTIAL"),"_")))))</f>
        <v>?REFERENTIAL</v>
      </c>
      <c r="H85" s="24" t="str">
        <f aca="false">IF(J85&lt;&gt;1,"",IF(I85="SBJ","CB","?"))</f>
        <v/>
      </c>
      <c r="I85" s="25" t="str">
        <f aca="false">IF(OR(E85="",E85="!!!",F85="NEW"),"",INDEX(O$2:O78,-1+SUMPRODUCT(MAX(ROW(R$2:R78)*(E85=R$2:R78)))))</f>
        <v/>
      </c>
      <c r="J85" s="25" t="str">
        <f aca="true">IF(OR(E85="",E85="!!!",F85="NEW"),"",COUNTBLANK(OFFSET(N$1,,,SUMPRODUCT(MAX(ROW(R$2:R79)*(E85=R$2:R79)))))-COUNTBLANK(OFFSET(N$1,,,SUMPRODUCT(MAX(ROW(R$1:R78)*(R2=R$1:R78))))))</f>
        <v/>
      </c>
      <c r="K85" s="25" t="str">
        <f aca="false">IF(OR(E85="",E85="!!!",F85="NEW"),"",INDEX(W$1:W78,SUMPRODUCT(MAX(ROW(R$1:R78)*(E85=R$1:R78)))))</f>
        <v/>
      </c>
      <c r="L85" s="26"/>
    </row>
    <row r="86" customFormat="false" ht="14.25" hidden="false" customHeight="false" outlineLevel="0" collapsed="false">
      <c r="A86" s="0" t="s">
        <v>131</v>
      </c>
      <c r="E86" s="21" t="str">
        <f aca="false">IF(Q80="?OLD","!!!","")</f>
        <v/>
      </c>
      <c r="F86" s="22" t="str">
        <f aca="false">IF(OR(E86="",E86="!!!"),"",IF(NOT(ISNA(VLOOKUP(E86,R$1:R79,1,FALSE()))),"OLD",IF(AND(E86&lt;&gt;"",E86&lt;&gt;"!!!"),"NEW","")))</f>
        <v/>
      </c>
      <c r="G86" s="23" t="str">
        <f aca="false"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aca="false">IF(J86&lt;&gt;1,"",IF(I86="SBJ","CB","?"))</f>
        <v/>
      </c>
      <c r="I86" s="25" t="str">
        <f aca="false">IF(OR(E86="",E86="!!!",F86="NEW"),"",INDEX(O$2:O79,-1+SUMPRODUCT(MAX(ROW(R$2:R79)*(E86=R$2:R79)))))</f>
        <v/>
      </c>
      <c r="J86" s="25" t="str">
        <f aca="true">IF(OR(E86="",E86="!!!",F86="NEW"),"",COUNTBLANK(OFFSET(N$1,,,SUMPRODUCT(MAX(ROW(R$2:R80)*(E86=R$2:R80)))))-COUNTBLANK(OFFSET(N$1,,,SUMPRODUCT(MAX(ROW(R$1:R79)*(R2=R$1:R79))))))</f>
        <v/>
      </c>
      <c r="K86" s="25" t="str">
        <f aca="false">IF(OR(E86="",E86="!!!",F86="NEW"),"",INDEX(W$1:W79,SUMPRODUCT(MAX(ROW(R$1:R79)*(E86=R$1:R79)))))</f>
        <v/>
      </c>
      <c r="L86" s="26"/>
    </row>
    <row r="87" customFormat="false" ht="14.25" hidden="false" customHeight="false" outlineLevel="0" collapsed="false">
      <c r="A87" s="0" t="s">
        <v>214</v>
      </c>
      <c r="B87" s="20" t="s">
        <v>133</v>
      </c>
      <c r="C87" s="20" t="s">
        <v>155</v>
      </c>
      <c r="E87" s="21" t="str">
        <f aca="false">IF(Q81="?OLD","!!!","")</f>
        <v/>
      </c>
      <c r="F87" s="22" t="str">
        <f aca="false">IF(OR(E87="",E87="!!!"),"",IF(NOT(ISNA(VLOOKUP(E87,R$1:R80,1,FALSE()))),"OLD",IF(AND(E87&lt;&gt;"",E87&lt;&gt;"!!!"),"NEW","")))</f>
        <v/>
      </c>
      <c r="G87" s="23" t="str">
        <f aca="false"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aca="false">IF(J87&lt;&gt;1,"",IF(I87="SBJ","CB","?"))</f>
        <v/>
      </c>
      <c r="I87" s="25" t="str">
        <f aca="false">IF(OR(E87="",E87="!!!",F87="NEW"),"",INDEX(O$2:O80,-1+SUMPRODUCT(MAX(ROW(R$2:R80)*(E87=R$2:R80)))))</f>
        <v/>
      </c>
      <c r="J87" s="25" t="str">
        <f aca="true">IF(OR(E87="",E87="!!!",F87="NEW"),"",COUNTBLANK(OFFSET(N$1,,,SUMPRODUCT(MAX(ROW(R$2:R81)*(E87=R$2:R81)))))-COUNTBLANK(OFFSET(N$1,,,SUMPRODUCT(MAX(ROW(R$1:R80)*(R2=R$1:R80))))))</f>
        <v/>
      </c>
      <c r="K87" s="25" t="str">
        <f aca="false">IF(OR(E87="",E87="!!!",F87="NEW"),"",INDEX(W$1:W80,SUMPRODUCT(MAX(ROW(R$1:R80)*(E87=R$1:R80)))))</f>
        <v/>
      </c>
      <c r="L87" s="26"/>
    </row>
    <row r="88" customFormat="false" ht="14.25" hidden="false" customHeight="false" outlineLevel="0" collapsed="false">
      <c r="A88" s="0" t="s">
        <v>140</v>
      </c>
      <c r="E88" s="21" t="str">
        <f aca="false">IF(Q82="?OLD","!!!","")</f>
        <v/>
      </c>
      <c r="F88" s="22" t="str">
        <f aca="false">IF(OR(E88="",E88="!!!"),"",IF(NOT(ISNA(VLOOKUP(E88,R$1:R81,1,FALSE()))),"OLD",IF(AND(E88&lt;&gt;"",E88&lt;&gt;"!!!"),"NEW","")))</f>
        <v/>
      </c>
      <c r="G88" s="23" t="str">
        <f aca="false"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aca="false">IF(J88&lt;&gt;1,"",IF(I88="SBJ","CB","?"))</f>
        <v/>
      </c>
      <c r="I88" s="25" t="str">
        <f aca="false">IF(OR(E88="",E88="!!!",F88="NEW"),"",INDEX(O$2:O81,-1+SUMPRODUCT(MAX(ROW(R$2:R81)*(E88=R$2:R81)))))</f>
        <v/>
      </c>
      <c r="J88" s="25" t="str">
        <f aca="true">IF(OR(E88="",E88="!!!",F88="NEW"),"",COUNTBLANK(OFFSET(N$1,,,SUMPRODUCT(MAX(ROW(R$2:R82)*(E88=R$2:R82)))))-COUNTBLANK(OFFSET(N$1,,,SUMPRODUCT(MAX(ROW(R$1:R81)*(R2=R$1:R81))))))</f>
        <v/>
      </c>
      <c r="K88" s="25" t="str">
        <f aca="false">IF(OR(E88="",E88="!!!",F88="NEW"),"",INDEX(W$1:W81,SUMPRODUCT(MAX(ROW(R$1:R81)*(E88=R$1:R81)))))</f>
        <v/>
      </c>
      <c r="L88" s="26"/>
    </row>
    <row r="89" customFormat="false" ht="14.25" hidden="false" customHeight="false" outlineLevel="0" collapsed="false">
      <c r="A89" s="0" t="s">
        <v>156</v>
      </c>
      <c r="E89" s="21"/>
      <c r="F89" s="22"/>
      <c r="G89" s="23" t="str">
        <f aca="false"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aca="false">IF(J89&lt;&gt;1,"",IF(I89="SBJ","CB","?"))</f>
        <v/>
      </c>
      <c r="I89" s="25" t="str">
        <f aca="false">IF(OR(E89="",E89="!!!",F89="NEW"),"",INDEX(O$2:O82,-1+SUMPRODUCT(MAX(ROW(R$2:R82)*(E89=R$2:R82)))))</f>
        <v/>
      </c>
      <c r="J89" s="25" t="str">
        <f aca="true">IF(OR(E89="",E89="!!!",F89="NEW"),"",COUNTBLANK(OFFSET(N$1,,,SUMPRODUCT(MAX(ROW(R$2:R83)*(E89=R$2:R83)))))-COUNTBLANK(OFFSET(N$1,,,SUMPRODUCT(MAX(ROW(R$1:R82)*(R2=R$1:R82))))))</f>
        <v/>
      </c>
      <c r="K89" s="25" t="str">
        <f aca="false">IF(OR(E89="",E89="!!!",F89="NEW"),"",INDEX(W$1:W82,SUMPRODUCT(MAX(ROW(R$1:R82)*(E89=R$1:R82)))))</f>
        <v/>
      </c>
      <c r="L89" s="26"/>
      <c r="O89" s="20"/>
      <c r="P89" s="20"/>
      <c r="Q89" s="20"/>
    </row>
    <row r="90" customFormat="false" ht="14.25" hidden="false" customHeight="false" outlineLevel="0" collapsed="false">
      <c r="A90" s="0" t="s">
        <v>204</v>
      </c>
      <c r="B90" s="20" t="s">
        <v>123</v>
      </c>
      <c r="C90" s="20" t="s">
        <v>124</v>
      </c>
      <c r="D90" s="20" t="s">
        <v>125</v>
      </c>
      <c r="E90" s="21" t="s">
        <v>126</v>
      </c>
      <c r="F90" s="22" t="str">
        <f aca="false">IF(OR(E90="",E90="!!!"),"",IF(NOT(ISNA(VLOOKUP(E90,R$1:R83,1,FALSE()))),"OLD",IF(AND(E90&lt;&gt;"",E90&lt;&gt;"!!!"),"NEW","")))</f>
        <v>NEW</v>
      </c>
      <c r="G90" s="23" t="str">
        <f aca="false">IF(OR(E90="",E90="!!!"),"",IF(OR(J90=0,AND(J90=1,K90=1),AND(J90=1,I90="SBJ"),AND(J90=1,I90=0)),"?IN_FOCUS",IF(J90&lt;=2,"?ACTIVATED",IF(J90&lt;&gt;"","?FAMILIAR",IF(F90="NEW",IF(ISNA(VLOOKUP(E90,#REF!,1,FALSE())),"?TYPE_IDENTIFIABLE","?REFERENTIAL"),"_")))))</f>
        <v>?REFERENTIAL</v>
      </c>
      <c r="H90" s="24" t="str">
        <f aca="false">IF(J90&lt;&gt;1,"",IF(I90="SBJ","CB","?"))</f>
        <v/>
      </c>
      <c r="I90" s="25" t="str">
        <f aca="false">IF(OR(E90="",E90="!!!",F90="NEW"),"",INDEX(O$2:O83,-1+SUMPRODUCT(MAX(ROW(R$2:R83)*(E90=R$2:R83)))))</f>
        <v/>
      </c>
      <c r="J90" s="25" t="str">
        <f aca="true">IF(OR(E90="",E90="!!!",F90="NEW"),"",COUNTBLANK(OFFSET(N$1,,,SUMPRODUCT(MAX(ROW(R$2:R84)*(E90=R$2:R84)))))-COUNTBLANK(OFFSET(N$1,,,SUMPRODUCT(MAX(ROW(R$1:R83)*(R2=R$1:R83))))))</f>
        <v/>
      </c>
      <c r="K90" s="25" t="str">
        <f aca="false">IF(OR(E90="",E90="!!!",F90="NEW"),"",INDEX(W$1:W83,SUMPRODUCT(MAX(ROW(R$1:R83)*(E90=R$1:R83)))))</f>
        <v/>
      </c>
      <c r="L90" s="26"/>
      <c r="O90" s="20"/>
      <c r="P90" s="20"/>
      <c r="Q90" s="20"/>
    </row>
    <row r="91" customFormat="false" ht="14.25" hidden="false" customHeight="false" outlineLevel="0" collapsed="false">
      <c r="A91" s="0" t="s">
        <v>59</v>
      </c>
      <c r="E91" s="21" t="str">
        <f aca="false">IF(Q85="?OLD","!!!","")</f>
        <v/>
      </c>
      <c r="F91" s="22" t="str">
        <f aca="false">IF(OR(E91="",E91="!!!"),"",IF(NOT(ISNA(VLOOKUP(E91,R$1:R84,1,FALSE()))),"OLD",IF(AND(E91&lt;&gt;"",E91&lt;&gt;"!!!"),"NEW","")))</f>
        <v/>
      </c>
      <c r="G91" s="23" t="str">
        <f aca="false"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aca="false">IF(J91&lt;&gt;1,"",IF(I91="SBJ","CB","?"))</f>
        <v/>
      </c>
      <c r="I91" s="25" t="str">
        <f aca="false">IF(OR(E91="",E91="!!!",F91="NEW"),"",INDEX(O$2:O84,-1+SUMPRODUCT(MAX(ROW(R$2:R84)*(E91=R$2:R84)))))</f>
        <v/>
      </c>
      <c r="J91" s="25" t="str">
        <f aca="true">IF(OR(E91="",E91="!!!",F91="NEW"),"",COUNTBLANK(OFFSET(N$1,,,SUMPRODUCT(MAX(ROW(R$2:R85)*(E91=R$2:R85)))))-COUNTBLANK(OFFSET(N$1,,,SUMPRODUCT(MAX(ROW(R$1:R84)*(R2=R$1:R84))))))</f>
        <v/>
      </c>
      <c r="K91" s="25" t="str">
        <f aca="false">IF(OR(E91="",E91="!!!",F91="NEW"),"",INDEX(W$1:W84,SUMPRODUCT(MAX(ROW(R$1:R84)*(E91=R$1:R84)))))</f>
        <v/>
      </c>
      <c r="L91" s="26"/>
    </row>
    <row r="92" customFormat="false" ht="14.25" hidden="false" customHeight="false" outlineLevel="0" collapsed="false">
      <c r="A92" s="0" t="s">
        <v>215</v>
      </c>
      <c r="E92" s="21" t="str">
        <f aca="false">IF(Q86="?OLD","!!!","")</f>
        <v/>
      </c>
      <c r="F92" s="22" t="str">
        <f aca="false">IF(OR(E92="",E92="!!!"),"",IF(NOT(ISNA(VLOOKUP(E92,R$1:R85,1,FALSE()))),"OLD",IF(AND(E92&lt;&gt;"",E92&lt;&gt;"!!!"),"NEW","")))</f>
        <v/>
      </c>
      <c r="G92" s="23" t="str">
        <f aca="false"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aca="false">IF(J92&lt;&gt;1,"",IF(I92="SBJ","CB","?"))</f>
        <v/>
      </c>
      <c r="I92" s="25" t="str">
        <f aca="false">IF(OR(E92="",E92="!!!",F92="NEW"),"",INDEX(O$2:O85,-1+SUMPRODUCT(MAX(ROW(R$2:R85)*(E92=R$2:R85)))))</f>
        <v/>
      </c>
      <c r="J92" s="25" t="str">
        <f aca="true">IF(OR(E92="",E92="!!!",F92="NEW"),"",COUNTBLANK(OFFSET(N$1,,,SUMPRODUCT(MAX(ROW(R$2:R86)*(E92=R$2:R86)))))-COUNTBLANK(OFFSET(N$1,,,SUMPRODUCT(MAX(ROW(R$1:R85)*(R2=R$1:R85))))))</f>
        <v/>
      </c>
      <c r="K92" s="25" t="str">
        <f aca="false">IF(OR(E92="",E92="!!!",F92="NEW"),"",INDEX(W$1:W85,SUMPRODUCT(MAX(ROW(R$1:R85)*(E92=R$1:R85)))))</f>
        <v/>
      </c>
      <c r="L92" s="26"/>
      <c r="O92" s="20"/>
      <c r="P92" s="20"/>
      <c r="Q92" s="20"/>
    </row>
    <row r="93" customFormat="false" ht="14.25" hidden="false" customHeight="false" outlineLevel="0" collapsed="false">
      <c r="A93" s="0" t="s">
        <v>160</v>
      </c>
      <c r="E93" s="21" t="str">
        <f aca="false">IF(Q87="?OLD","!!!","")</f>
        <v/>
      </c>
      <c r="F93" s="22" t="str">
        <f aca="false">IF(OR(E93="",E93="!!!"),"",IF(NOT(ISNA(VLOOKUP(E93,R$1:R86,1,FALSE()))),"OLD",IF(AND(E93&lt;&gt;"",E93&lt;&gt;"!!!"),"NEW","")))</f>
        <v/>
      </c>
      <c r="G93" s="23" t="str">
        <f aca="false"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aca="false">IF(J93&lt;&gt;1,"",IF(I93="SBJ","CB","?"))</f>
        <v/>
      </c>
      <c r="I93" s="25" t="str">
        <f aca="false">IF(OR(E93="",E93="!!!",F93="NEW"),"",INDEX(O$2:O86,-1+SUMPRODUCT(MAX(ROW(R$2:R86)*(E93=R$2:R86)))))</f>
        <v/>
      </c>
      <c r="J93" s="25" t="str">
        <f aca="true">IF(OR(E93="",E93="!!!",F93="NEW"),"",COUNTBLANK(OFFSET(N$1,,,SUMPRODUCT(MAX(ROW(R$2:R87)*(E93=R$2:R87)))))-COUNTBLANK(OFFSET(N$1,,,SUMPRODUCT(MAX(ROW(R$1:R86)*(R2=R$1:R86))))))</f>
        <v/>
      </c>
      <c r="K93" s="25" t="str">
        <f aca="false">IF(OR(E93="",E93="!!!",F93="NEW"),"",INDEX(W$1:W86,SUMPRODUCT(MAX(ROW(R$1:R86)*(E93=R$1:R86)))))</f>
        <v/>
      </c>
      <c r="L93" s="26"/>
      <c r="O93" s="20"/>
    </row>
    <row r="95" customFormat="false" ht="14.25" hidden="false" customHeight="false" outlineLevel="0" collapsed="false">
      <c r="A95" s="0" t="s">
        <v>216</v>
      </c>
    </row>
    <row r="96" customFormat="false" ht="14.25" hidden="false" customHeight="false" outlineLevel="0" collapsed="false">
      <c r="A96" s="0" t="s">
        <v>217</v>
      </c>
      <c r="E96" s="21" t="str">
        <f aca="false">IF(Q88="?OLD","!!!","")</f>
        <v/>
      </c>
      <c r="F96" s="22" t="str">
        <f aca="false">IF(OR(E96="",E96="!!!"),"",IF(NOT(ISNA(VLOOKUP(E96,R$1:R87,1,FALSE()))),"OLD",IF(AND(E96&lt;&gt;"",E96&lt;&gt;"!!!"),"NEW","")))</f>
        <v/>
      </c>
      <c r="G96" s="23" t="str">
        <f aca="false"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aca="false">IF(J96&lt;&gt;1,"",IF(I96="SBJ","CB","?"))</f>
        <v/>
      </c>
      <c r="I96" s="25" t="str">
        <f aca="false">IF(OR(E96="",E96="!!!",F96="NEW"),"",INDEX(O$2:O87,-1+SUMPRODUCT(MAX(ROW(R$2:R87)*(E96=R$2:R87)))))</f>
        <v/>
      </c>
      <c r="J96" s="25" t="str">
        <f aca="true">IF(OR(E96="",E96="!!!",F96="NEW"),"",COUNTBLANK(OFFSET(N$1,,,SUMPRODUCT(MAX(ROW(R$2:R88)*(E96=R$2:R88)))))-COUNTBLANK(OFFSET(N$1,,,SUMPRODUCT(MAX(ROW(R$1:R87)*(R2=R$1:R87))))))</f>
        <v/>
      </c>
      <c r="K96" s="25" t="str">
        <f aca="false">IF(OR(E96="",E96="!!!",F96="NEW"),"",INDEX(W$1:W87,SUMPRODUCT(MAX(ROW(R$1:R87)*(E96=R$1:R87)))))</f>
        <v/>
      </c>
      <c r="L96" s="26"/>
      <c r="O96" s="20"/>
      <c r="P96" s="20"/>
    </row>
    <row r="97" customFormat="false" ht="14.25" hidden="false" customHeight="false" outlineLevel="0" collapsed="false">
      <c r="A97" s="0" t="s">
        <v>218</v>
      </c>
      <c r="B97" s="20" t="s">
        <v>148</v>
      </c>
      <c r="C97" s="20" t="s">
        <v>192</v>
      </c>
      <c r="D97" s="20" t="s">
        <v>125</v>
      </c>
      <c r="E97" s="21"/>
      <c r="F97" s="22" t="str">
        <f aca="false">IF(OR(E97="",E97="!!!"),"",IF(NOT(ISNA(VLOOKUP(E97,R$1:R88,1,FALSE()))),"OLD",IF(AND(E97&lt;&gt;"",E97&lt;&gt;"!!!"),"NEW","")))</f>
        <v/>
      </c>
      <c r="G97" s="23" t="str">
        <f aca="false"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aca="false">IF(J97&lt;&gt;1,"",IF(I97="SBJ","CB","?"))</f>
        <v/>
      </c>
      <c r="I97" s="25" t="str">
        <f aca="false">IF(OR(E97="",E97="!!!",F97="NEW"),"",INDEX(O$2:O88,-1+SUMPRODUCT(MAX(ROW(R$2:R88)*(E97=R$2:R88)))))</f>
        <v/>
      </c>
      <c r="J97" s="25" t="str">
        <f aca="true">IF(OR(E97="",E97="!!!",F97="NEW"),"",COUNTBLANK(OFFSET(N$1,,,SUMPRODUCT(MAX(ROW(R$2:R89)*(E97=R$2:R89)))))-COUNTBLANK(OFFSET(N$1,,,SUMPRODUCT(MAX(ROW(R$1:R88)*(R2=R$1:R88))))))</f>
        <v/>
      </c>
      <c r="K97" s="25" t="str">
        <f aca="false">IF(OR(E97="",E97="!!!",F97="NEW"),"",INDEX(W$1:W88,SUMPRODUCT(MAX(ROW(R$1:R88)*(E97=R$1:R88)))))</f>
        <v/>
      </c>
      <c r="L97" s="26" t="s">
        <v>193</v>
      </c>
    </row>
    <row r="98" customFormat="false" ht="14.25" hidden="false" customHeight="false" outlineLevel="0" collapsed="false">
      <c r="A98" s="0" t="s">
        <v>219</v>
      </c>
      <c r="B98" s="20" t="s">
        <v>133</v>
      </c>
      <c r="C98" s="20" t="s">
        <v>195</v>
      </c>
      <c r="D98" s="20" t="s">
        <v>125</v>
      </c>
      <c r="E98" s="21" t="s">
        <v>206</v>
      </c>
      <c r="F98" s="22" t="str">
        <f aca="false">IF(OR(E98="",E98="!!!"),"",IF(NOT(ISNA(VLOOKUP(E98,R$1:R89,1,FALSE()))),"OLD",IF(AND(E98&lt;&gt;"",E98&lt;&gt;"!!!"),"NEW","")))</f>
        <v>NEW</v>
      </c>
      <c r="G98" s="23" t="str">
        <f aca="false">IF(OR(E98="",E98="!!!"),"",IF(OR(J98=0,AND(J98=1,K98=1),AND(J98=1,I98="SBJ"),AND(J98=1,I98=0)),"?IN_FOCUS",IF(J98&lt;=2,"?ACTIVATED",IF(J98&lt;&gt;"","?FAMILIAR",IF(F98="NEW",IF(ISNA(VLOOKUP(E98,#REF!,1,FALSE())),"?TYPE_IDENTIFIABLE","?REFERENTIAL"),"_")))))</f>
        <v>?REFERENTIAL</v>
      </c>
      <c r="H98" s="24" t="str">
        <f aca="false">IF(J98&lt;&gt;1,"",IF(I98="SBJ","CB","?"))</f>
        <v/>
      </c>
      <c r="I98" s="25" t="str">
        <f aca="false">IF(OR(E98="",E98="!!!",F98="NEW"),"",INDEX(O$2:O89,-1+SUMPRODUCT(MAX(ROW(R$2:R89)*(E98=R$2:R89)))))</f>
        <v/>
      </c>
      <c r="J98" s="25" t="str">
        <f aca="true">IF(OR(E98="",E98="!!!",F98="NEW"),"",COUNTBLANK(OFFSET(N$1,,,SUMPRODUCT(MAX(ROW(R$2:R90)*(E98=R$2:R90)))))-COUNTBLANK(OFFSET(N$1,,,SUMPRODUCT(MAX(ROW(R$1:R89)*(R2=R$1:R89))))))</f>
        <v/>
      </c>
      <c r="K98" s="25" t="str">
        <f aca="false">IF(OR(E98="",E98="!!!",F98="NEW"),"",INDEX(W$1:W89,SUMPRODUCT(MAX(ROW(R$1:R89)*(E98=R$1:R89)))))</f>
        <v/>
      </c>
      <c r="L98" s="26"/>
    </row>
    <row r="99" customFormat="false" ht="14.25" hidden="false" customHeight="false" outlineLevel="0" collapsed="false">
      <c r="A99" s="0" t="s">
        <v>220</v>
      </c>
      <c r="E99" s="21" t="str">
        <f aca="false">IF(Q91="?OLD","!!!","")</f>
        <v/>
      </c>
      <c r="F99" s="22" t="str">
        <f aca="false">IF(OR(E99="",E99="!!!"),"",IF(NOT(ISNA(VLOOKUP(E99,R$1:R90,1,FALSE()))),"OLD",IF(AND(E99&lt;&gt;"",E99&lt;&gt;"!!!"),"NEW","")))</f>
        <v/>
      </c>
      <c r="G99" s="23" t="str">
        <f aca="false"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aca="false">IF(J99&lt;&gt;1,"",IF(I99="SBJ","CB","?"))</f>
        <v/>
      </c>
      <c r="I99" s="25" t="str">
        <f aca="false">IF(OR(E99="",E99="!!!",F99="NEW"),"",INDEX(O$2:O90,-1+SUMPRODUCT(MAX(ROW(R$2:R90)*(E99=R$2:R90)))))</f>
        <v/>
      </c>
      <c r="J99" s="25" t="str">
        <f aca="true">IF(OR(E99="",E99="!!!",F99="NEW"),"",COUNTBLANK(OFFSET(N$1,,,SUMPRODUCT(MAX(ROW(R$2:R91)*(E99=R$2:R91)))))-COUNTBLANK(OFFSET(N$1,,,SUMPRODUCT(MAX(ROW(R$1:R90)*(R2=R$1:R90))))))</f>
        <v/>
      </c>
      <c r="K99" s="25" t="str">
        <f aca="false">IF(OR(E99="",E99="!!!",F99="NEW"),"",INDEX(W$1:W90,SUMPRODUCT(MAX(ROW(R$1:R90)*(E99=R$1:R90)))))</f>
        <v/>
      </c>
      <c r="L99" s="26"/>
    </row>
    <row r="100" customFormat="false" ht="14.25" hidden="false" customHeight="false" outlineLevel="0" collapsed="false">
      <c r="A100" s="0" t="s">
        <v>204</v>
      </c>
      <c r="B100" s="20" t="s">
        <v>164</v>
      </c>
      <c r="C100" s="20" t="s">
        <v>124</v>
      </c>
      <c r="D100" s="20" t="s">
        <v>125</v>
      </c>
      <c r="E100" s="21" t="s">
        <v>126</v>
      </c>
      <c r="F100" s="22" t="str">
        <f aca="false">IF(OR(E100="",E100="!!!"),"",IF(NOT(ISNA(VLOOKUP(E100,R$1:R91,1,FALSE()))),"OLD",IF(AND(E100&lt;&gt;"",E100&lt;&gt;"!!!"),"NEW","")))</f>
        <v>NEW</v>
      </c>
      <c r="G100" s="23" t="str">
        <f aca="false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?REFERENTIAL</v>
      </c>
      <c r="H100" s="24" t="str">
        <f aca="false">IF(J100&lt;&gt;1,"",IF(I100="SBJ","CB","?"))</f>
        <v/>
      </c>
      <c r="I100" s="25" t="str">
        <f aca="false">IF(OR(E100="",E100="!!!",F100="NEW"),"",INDEX(O$2:O91,-1+SUMPRODUCT(MAX(ROW(R$2:R91)*(E100=R$2:R91)))))</f>
        <v/>
      </c>
      <c r="J100" s="25" t="str">
        <f aca="true">IF(OR(E100="",E100="!!!",F100="NEW"),"",COUNTBLANK(OFFSET(N$1,,,SUMPRODUCT(MAX(ROW(R$2:R92)*(E100=R$2:R92)))))-COUNTBLANK(OFFSET(N$1,,,SUMPRODUCT(MAX(ROW(R$1:R91)*(R2=R$1:R91))))))</f>
        <v/>
      </c>
      <c r="K100" s="25" t="str">
        <f aca="false">IF(OR(E100="",E100="!!!",F100="NEW"),"",INDEX(W$1:W91,SUMPRODUCT(MAX(ROW(R$1:R91)*(E100=R$1:R91)))))</f>
        <v/>
      </c>
      <c r="L100" s="26"/>
    </row>
    <row r="101" customFormat="false" ht="14.25" hidden="false" customHeight="false" outlineLevel="0" collapsed="false">
      <c r="A101" s="0" t="s">
        <v>221</v>
      </c>
      <c r="B101" s="20" t="s">
        <v>187</v>
      </c>
      <c r="E101" s="21" t="s">
        <v>126</v>
      </c>
      <c r="F101" s="22" t="str">
        <f aca="false">IF(OR(E101="",E101="!!!"),"",IF(NOT(ISNA(VLOOKUP(E101,R$1:R92,1,FALSE()))),"OLD",IF(AND(E101&lt;&gt;"",E101&lt;&gt;"!!!"),"NEW","")))</f>
        <v>NEW</v>
      </c>
      <c r="G101" s="23" t="str">
        <f aca="false"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?REFERENTIAL</v>
      </c>
      <c r="H101" s="24" t="str">
        <f aca="false">IF(J101&lt;&gt;1,"",IF(I101="SBJ","CB","?"))</f>
        <v/>
      </c>
      <c r="I101" s="25" t="str">
        <f aca="false">IF(OR(E101="",E101="!!!",F101="NEW"),"",INDEX(O$2:O92,-1+SUMPRODUCT(MAX(ROW(R$2:R92)*(E101=R$2:R92)))))</f>
        <v/>
      </c>
      <c r="J101" s="25" t="str">
        <f aca="true">IF(OR(E101="",E101="!!!",F101="NEW"),"",COUNTBLANK(OFFSET(N$1,,,SUMPRODUCT(MAX(ROW(R$2:R93)*(E101=R$2:R93)))))-COUNTBLANK(OFFSET(N$1,,,SUMPRODUCT(MAX(ROW(R$1:R92)*(R2=R$1:R92))))))</f>
        <v/>
      </c>
      <c r="K101" s="25" t="str">
        <f aca="false">IF(OR(E101="",E101="!!!",F101="NEW"),"",INDEX(W$1:W92,SUMPRODUCT(MAX(ROW(R$1:R92)*(E101=R$1:R92)))))</f>
        <v/>
      </c>
      <c r="L101" s="26" t="s">
        <v>222</v>
      </c>
    </row>
    <row r="102" customFormat="false" ht="14.25" hidden="false" customHeight="false" outlineLevel="0" collapsed="false">
      <c r="A102" s="0" t="s">
        <v>212</v>
      </c>
      <c r="E102" s="21" t="str">
        <f aca="false">IF(Q94="?OLD","!!!","")</f>
        <v/>
      </c>
      <c r="F102" s="22" t="str">
        <f aca="false">IF(OR(E102="",E102="!!!"),"",IF(NOT(ISNA(VLOOKUP(E102,R$1:R93,1,FALSE()))),"OLD",IF(AND(E102&lt;&gt;"",E102&lt;&gt;"!!!"),"NEW","")))</f>
        <v/>
      </c>
      <c r="G102" s="23" t="str">
        <f aca="false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aca="false">IF(J102&lt;&gt;1,"",IF(I102="SBJ","CB","?"))</f>
        <v/>
      </c>
      <c r="I102" s="25" t="str">
        <f aca="false">IF(OR(E102="",E102="!!!",F102="NEW"),"",INDEX(O$2:O93,-1+SUMPRODUCT(MAX(ROW(R$2:R93)*(E102=R$2:R93)))))</f>
        <v/>
      </c>
      <c r="J102" s="25" t="str">
        <f aca="true">IF(OR(E102="",E102="!!!",F102="NEW"),"",COUNTBLANK(OFFSET(N$1,,,SUMPRODUCT(MAX(ROW(R$2:R94)*(E102=R$2:R94)))))-COUNTBLANK(OFFSET(N$1,,,SUMPRODUCT(MAX(ROW(R$1:R93)*(R2=R$1:R93))))))</f>
        <v/>
      </c>
      <c r="K102" s="25" t="str">
        <f aca="false">IF(OR(E102="",E102="!!!",F102="NEW"),"",INDEX(W$1:W93,SUMPRODUCT(MAX(ROW(R$1:R93)*(E102=R$1:R93)))))</f>
        <v/>
      </c>
      <c r="L102" s="26"/>
    </row>
    <row r="103" customFormat="false" ht="14.25" hidden="false" customHeight="false" outlineLevel="0" collapsed="false">
      <c r="A103" s="0" t="s">
        <v>140</v>
      </c>
      <c r="E103" s="21" t="str">
        <f aca="false">IF(Q95="?OLD","!!!","")</f>
        <v/>
      </c>
      <c r="F103" s="22" t="str">
        <f aca="false">IF(OR(E103="",E103="!!!"),"",IF(NOT(ISNA(VLOOKUP(E103,R$1:R94,1,FALSE()))),"OLD",IF(AND(E103&lt;&gt;"",E103&lt;&gt;"!!!"),"NEW","")))</f>
        <v/>
      </c>
      <c r="G103" s="23" t="str">
        <f aca="false"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aca="false">IF(J103&lt;&gt;1,"",IF(I103="SBJ","CB","?"))</f>
        <v/>
      </c>
      <c r="I103" s="25" t="str">
        <f aca="false">IF(OR(E103="",E103="!!!",F103="NEW"),"",INDEX(O$2:O94,-1+SUMPRODUCT(MAX(ROW(R$2:R94)*(E103=R$2:R94)))))</f>
        <v/>
      </c>
      <c r="J103" s="25" t="str">
        <f aca="true">IF(OR(E103="",E103="!!!",F103="NEW"),"",COUNTBLANK(OFFSET(N$1,,,SUMPRODUCT(MAX(ROW(R$2:R95)*(E103=R$2:R95)))))-COUNTBLANK(OFFSET(N$1,,,SUMPRODUCT(MAX(ROW(R$1:R94)*(R2=R$1:R94))))))</f>
        <v/>
      </c>
      <c r="K103" s="25" t="str">
        <f aca="false">IF(OR(E103="",E103="!!!",F103="NEW"),"",INDEX(W$1:W94,SUMPRODUCT(MAX(ROW(R$1:R94)*(E103=R$1:R94)))))</f>
        <v/>
      </c>
      <c r="L103" s="26"/>
    </row>
    <row r="104" customFormat="false" ht="14.25" hidden="false" customHeight="false" outlineLevel="0" collapsed="false">
      <c r="A104" s="0" t="s">
        <v>223</v>
      </c>
      <c r="B104" s="20" t="s">
        <v>224</v>
      </c>
      <c r="C104" s="20" t="s">
        <v>225</v>
      </c>
      <c r="E104" s="21" t="str">
        <f aca="false">IF(Q96="?OLD","!!!","")</f>
        <v/>
      </c>
      <c r="F104" s="22" t="str">
        <f aca="false">IF(OR(E104="",E104="!!!"),"",IF(NOT(ISNA(VLOOKUP(E104,R$1:R95,1,FALSE()))),"OLD",IF(AND(E104&lt;&gt;"",E104&lt;&gt;"!!!"),"NEW","")))</f>
        <v/>
      </c>
      <c r="G104" s="23" t="str">
        <f aca="false"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aca="false">IF(J104&lt;&gt;1,"",IF(I104="SBJ","CB","?"))</f>
        <v/>
      </c>
      <c r="I104" s="25" t="str">
        <f aca="false">IF(OR(E104="",E104="!!!",F104="NEW"),"",INDEX(O$2:O95,-1+SUMPRODUCT(MAX(ROW(R$2:R95)*(E104=R$2:R95)))))</f>
        <v/>
      </c>
      <c r="J104" s="25" t="str">
        <f aca="true">IF(OR(E104="",E104="!!!",F104="NEW"),"",COUNTBLANK(OFFSET(N$1,,,SUMPRODUCT(MAX(ROW(R$2:R96)*(E104=R$2:R96)))))-COUNTBLANK(OFFSET(N$1,,,SUMPRODUCT(MAX(ROW(R$1:R95)*(R2=R$1:R95))))))</f>
        <v/>
      </c>
      <c r="K104" s="25" t="str">
        <f aca="false">IF(OR(E104="",E104="!!!",F104="NEW"),"",INDEX(W$1:W95,SUMPRODUCT(MAX(ROW(R$1:R95)*(E104=R$1:R95)))))</f>
        <v/>
      </c>
      <c r="L104" s="26"/>
      <c r="O104" s="20"/>
      <c r="P104" s="20"/>
      <c r="Q104" s="20"/>
    </row>
    <row r="105" customFormat="false" ht="14.25" hidden="false" customHeight="false" outlineLevel="0" collapsed="false">
      <c r="A105" s="0" t="s">
        <v>226</v>
      </c>
      <c r="E105" s="21" t="str">
        <f aca="false">IF(Q97="?OLD","!!!","")</f>
        <v/>
      </c>
      <c r="F105" s="22" t="str">
        <f aca="false">IF(OR(E105="",E105="!!!"),"",IF(NOT(ISNA(VLOOKUP(E105,R$1:R96,1,FALSE()))),"OLD",IF(AND(E105&lt;&gt;"",E105&lt;&gt;"!!!"),"NEW","")))</f>
        <v/>
      </c>
      <c r="G105" s="23" t="str">
        <f aca="false"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aca="false">IF(J105&lt;&gt;1,"",IF(I105="SBJ","CB","?"))</f>
        <v/>
      </c>
      <c r="I105" s="25" t="str">
        <f aca="false">IF(OR(E105="",E105="!!!",F105="NEW"),"",INDEX(O$2:O96,-1+SUMPRODUCT(MAX(ROW(R$2:R96)*(E105=R$2:R96)))))</f>
        <v/>
      </c>
      <c r="J105" s="25" t="str">
        <f aca="true">IF(OR(E105="",E105="!!!",F105="NEW"),"",COUNTBLANK(OFFSET(N$1,,,SUMPRODUCT(MAX(ROW(R$2:R97)*(E105=R$2:R97)))))-COUNTBLANK(OFFSET(N$1,,,SUMPRODUCT(MAX(ROW(R$1:R96)*(R2=R$1:R96))))))</f>
        <v/>
      </c>
      <c r="K105" s="25" t="str">
        <f aca="false">IF(OR(E105="",E105="!!!",F105="NEW"),"",INDEX(W$1:W96,SUMPRODUCT(MAX(ROW(R$1:R96)*(E105=R$1:R96)))))</f>
        <v/>
      </c>
      <c r="L105" s="26"/>
    </row>
    <row r="106" customFormat="false" ht="14.25" hidden="false" customHeight="false" outlineLevel="0" collapsed="false">
      <c r="A106" s="0" t="s">
        <v>227</v>
      </c>
      <c r="E106" s="21" t="str">
        <f aca="false">IF(Q98="?OLD","!!!","")</f>
        <v/>
      </c>
      <c r="F106" s="22" t="str">
        <f aca="false">IF(OR(E106="",E106="!!!"),"",IF(NOT(ISNA(VLOOKUP(E106,R$1:R97,1,FALSE()))),"OLD",IF(AND(E106&lt;&gt;"",E106&lt;&gt;"!!!"),"NEW","")))</f>
        <v/>
      </c>
      <c r="G106" s="23" t="str">
        <f aca="false"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aca="false">IF(J106&lt;&gt;1,"",IF(I106="SBJ","CB","?"))</f>
        <v/>
      </c>
      <c r="I106" s="25" t="str">
        <f aca="false">IF(OR(E106="",E106="!!!",F106="NEW"),"",INDEX(O$2:O97,-1+SUMPRODUCT(MAX(ROW(R$2:R97)*(E106=R$2:R97)))))</f>
        <v/>
      </c>
      <c r="J106" s="25" t="str">
        <f aca="true">IF(OR(E106="",E106="!!!",F106="NEW"),"",COUNTBLANK(OFFSET(N$1,,,SUMPRODUCT(MAX(ROW(R$2:R98)*(E106=R$2:R98)))))-COUNTBLANK(OFFSET(N$1,,,SUMPRODUCT(MAX(ROW(R$1:R97)*(R2=R$1:R97))))))</f>
        <v/>
      </c>
      <c r="K106" s="25" t="str">
        <f aca="false">IF(OR(E106="",E106="!!!",F106="NEW"),"",INDEX(W$1:W97,SUMPRODUCT(MAX(ROW(R$1:R97)*(E106=R$1:R97)))))</f>
        <v/>
      </c>
      <c r="L106" s="26"/>
      <c r="O106" s="20"/>
      <c r="P106" s="20"/>
    </row>
    <row r="107" customFormat="false" ht="14.25" hidden="false" customHeight="false" outlineLevel="0" collapsed="false">
      <c r="A107" s="0" t="s">
        <v>140</v>
      </c>
      <c r="E107" s="21" t="str">
        <f aca="false">IF(Q99="?OLD","!!!","")</f>
        <v/>
      </c>
      <c r="F107" s="22" t="str">
        <f aca="false">IF(OR(E107="",E107="!!!"),"",IF(NOT(ISNA(VLOOKUP(E107,R$1:R98,1,FALSE()))),"OLD",IF(AND(E107&lt;&gt;"",E107&lt;&gt;"!!!"),"NEW","")))</f>
        <v/>
      </c>
      <c r="G107" s="23" t="str">
        <f aca="false"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aca="false">IF(J107&lt;&gt;1,"",IF(I107="SBJ","CB","?"))</f>
        <v/>
      </c>
      <c r="I107" s="25" t="str">
        <f aca="false">IF(OR(E107="",E107="!!!",F107="NEW"),"",INDEX(O$2:O98,-1+SUMPRODUCT(MAX(ROW(R$2:R98)*(E107=R$2:R98)))))</f>
        <v/>
      </c>
      <c r="J107" s="25" t="str">
        <f aca="true">IF(OR(E107="",E107="!!!",F107="NEW"),"",COUNTBLANK(OFFSET(N$1,,,SUMPRODUCT(MAX(ROW(R$2:R99)*(E107=R$2:R99)))))-COUNTBLANK(OFFSET(N$1,,,SUMPRODUCT(MAX(ROW(R$1:R98)*(R2=R$1:R98))))))</f>
        <v/>
      </c>
      <c r="K107" s="25" t="str">
        <f aca="false">IF(OR(E107="",E107="!!!",F107="NEW"),"",INDEX(W$1:W98,SUMPRODUCT(MAX(ROW(R$1:R98)*(E107=R$1:R98)))))</f>
        <v/>
      </c>
      <c r="L107" s="26"/>
    </row>
    <row r="108" customFormat="false" ht="14.25" hidden="false" customHeight="false" outlineLevel="0" collapsed="false">
      <c r="A108" s="0" t="s">
        <v>228</v>
      </c>
      <c r="E108" s="21" t="str">
        <f aca="false">IF(Q100="?OLD","!!!","")</f>
        <v/>
      </c>
      <c r="F108" s="22" t="str">
        <f aca="false">IF(OR(E108="",E108="!!!"),"",IF(NOT(ISNA(VLOOKUP(E108,R$1:R99,1,FALSE()))),"OLD",IF(AND(E108&lt;&gt;"",E108&lt;&gt;"!!!"),"NEW","")))</f>
        <v/>
      </c>
      <c r="G108" s="23" t="str">
        <f aca="false"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aca="false">IF(J108&lt;&gt;1,"",IF(I108="SBJ","CB","?"))</f>
        <v/>
      </c>
      <c r="I108" s="25" t="str">
        <f aca="false">IF(OR(E108="",E108="!!!",F108="NEW"),"",INDEX(O$2:O99,-1+SUMPRODUCT(MAX(ROW(R$2:R99)*(E108=R$2:R99)))))</f>
        <v/>
      </c>
      <c r="J108" s="25" t="str">
        <f aca="true">IF(OR(E108="",E108="!!!",F108="NEW"),"",COUNTBLANK(OFFSET(N$1,,,SUMPRODUCT(MAX(ROW(R$2:R100)*(E108=R$2:R100)))))-COUNTBLANK(OFFSET(N$1,,,SUMPRODUCT(MAX(ROW(R$1:R99)*(R2=R$1:R99))))))</f>
        <v/>
      </c>
      <c r="K108" s="25" t="str">
        <f aca="false">IF(OR(E108="",E108="!!!",F108="NEW"),"",INDEX(W$1:W99,SUMPRODUCT(MAX(ROW(R$1:R99)*(E108=R$1:R99)))))</f>
        <v/>
      </c>
      <c r="L108" s="26"/>
      <c r="O108" s="20"/>
    </row>
    <row r="109" customFormat="false" ht="14.25" hidden="false" customHeight="false" outlineLevel="0" collapsed="false">
      <c r="A109" s="0" t="s">
        <v>229</v>
      </c>
      <c r="E109" s="21" t="str">
        <f aca="false">IF(Q101="?OLD","!!!","")</f>
        <v/>
      </c>
      <c r="F109" s="22" t="str">
        <f aca="false">IF(OR(E109="",E109="!!!"),"",IF(NOT(ISNA(VLOOKUP(E109,R$1:R100,1,FALSE()))),"OLD",IF(AND(E109&lt;&gt;"",E109&lt;&gt;"!!!"),"NEW","")))</f>
        <v/>
      </c>
      <c r="G109" s="23" t="str">
        <f aca="false"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aca="false">IF(J109&lt;&gt;1,"",IF(I109="SBJ","CB","?"))</f>
        <v/>
      </c>
      <c r="I109" s="25" t="str">
        <f aca="false">IF(OR(E109="",E109="!!!",F109="NEW"),"",INDEX(O$2:O100,-1+SUMPRODUCT(MAX(ROW(R$2:R100)*(E109=R$2:R100)))))</f>
        <v/>
      </c>
      <c r="J109" s="25" t="str">
        <f aca="true">IF(OR(E109="",E109="!!!",F109="NEW"),"",COUNTBLANK(OFFSET(N$1,,,SUMPRODUCT(MAX(ROW(R$2:R101)*(E109=R$2:R101)))))-COUNTBLANK(OFFSET(N$1,,,SUMPRODUCT(MAX(ROW(R$1:R100)*(R2=R$1:R100))))))</f>
        <v/>
      </c>
      <c r="K109" s="25" t="str">
        <f aca="false">IF(OR(E109="",E109="!!!",F109="NEW"),"",INDEX(W$1:W100,SUMPRODUCT(MAX(ROW(R$1:R100)*(E109=R$1:R100)))))</f>
        <v/>
      </c>
      <c r="L109" s="26"/>
    </row>
    <row r="110" customFormat="false" ht="14.25" hidden="false" customHeight="false" outlineLevel="0" collapsed="false">
      <c r="A110" s="0" t="s">
        <v>140</v>
      </c>
      <c r="E110" s="21" t="str">
        <f aca="false">IF(Q102="?OLD","!!!","")</f>
        <v/>
      </c>
      <c r="F110" s="22" t="str">
        <f aca="false">IF(OR(E110="",E110="!!!"),"",IF(NOT(ISNA(VLOOKUP(E110,R$1:R101,1,FALSE()))),"OLD",IF(AND(E110&lt;&gt;"",E110&lt;&gt;"!!!"),"NEW","")))</f>
        <v/>
      </c>
      <c r="G110" s="23" t="str">
        <f aca="false"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aca="false">IF(J110&lt;&gt;1,"",IF(I110="SBJ","CB","?"))</f>
        <v/>
      </c>
      <c r="I110" s="25" t="str">
        <f aca="false">IF(OR(E110="",E110="!!!",F110="NEW"),"",INDEX(O$2:O101,-1+SUMPRODUCT(MAX(ROW(R$2:R101)*(E110=R$2:R101)))))</f>
        <v/>
      </c>
      <c r="J110" s="25" t="str">
        <f aca="true">IF(OR(E110="",E110="!!!",F110="NEW"),"",COUNTBLANK(OFFSET(N$1,,,SUMPRODUCT(MAX(ROW(R$2:R102)*(E110=R$2:R102)))))-COUNTBLANK(OFFSET(N$1,,,SUMPRODUCT(MAX(ROW(R$1:R101)*(R2=R$1:R101))))))</f>
        <v/>
      </c>
      <c r="K110" s="25" t="str">
        <f aca="false">IF(OR(E110="",E110="!!!",F110="NEW"),"",INDEX(W$1:W101,SUMPRODUCT(MAX(ROW(R$1:R101)*(E110=R$1:R101)))))</f>
        <v/>
      </c>
      <c r="L110" s="26"/>
    </row>
    <row r="111" customFormat="false" ht="14.25" hidden="false" customHeight="false" outlineLevel="0" collapsed="false">
      <c r="A111" s="0" t="s">
        <v>230</v>
      </c>
      <c r="E111" s="21" t="str">
        <f aca="false">IF(Q103="?OLD","!!!","")</f>
        <v/>
      </c>
      <c r="F111" s="22" t="str">
        <f aca="false">IF(OR(E111="",E111="!!!"),"",IF(NOT(ISNA(VLOOKUP(E111,R$1:R102,1,FALSE()))),"OLD",IF(AND(E111&lt;&gt;"",E111&lt;&gt;"!!!"),"NEW","")))</f>
        <v/>
      </c>
      <c r="G111" s="23" t="str">
        <f aca="false"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aca="false">IF(J111&lt;&gt;1,"",IF(I111="SBJ","CB","?"))</f>
        <v/>
      </c>
      <c r="I111" s="25" t="str">
        <f aca="false">IF(OR(E111="",E111="!!!",F111="NEW"),"",INDEX(O$2:O102,-1+SUMPRODUCT(MAX(ROW(R$2:R102)*(E111=R$2:R102)))))</f>
        <v/>
      </c>
      <c r="J111" s="25" t="str">
        <f aca="true">IF(OR(E111="",E111="!!!",F111="NEW"),"",COUNTBLANK(OFFSET(N$1,,,SUMPRODUCT(MAX(ROW(R$2:R103)*(E111=R$2:R103)))))-COUNTBLANK(OFFSET(N$1,,,SUMPRODUCT(MAX(ROW(R$1:R102)*(R2=R$1:R102))))))</f>
        <v/>
      </c>
      <c r="K111" s="25" t="str">
        <f aca="false">IF(OR(E111="",E111="!!!",F111="NEW"),"",INDEX(W$1:W102,SUMPRODUCT(MAX(ROW(R$1:R102)*(E111=R$1:R102)))))</f>
        <v/>
      </c>
      <c r="L111" s="26"/>
    </row>
    <row r="112" customFormat="false" ht="14.25" hidden="false" customHeight="false" outlineLevel="0" collapsed="false">
      <c r="A112" s="0" t="s">
        <v>231</v>
      </c>
      <c r="B112" s="20" t="s">
        <v>232</v>
      </c>
      <c r="C112" s="20" t="s">
        <v>201</v>
      </c>
      <c r="D112" s="20" t="s">
        <v>125</v>
      </c>
      <c r="E112" s="21" t="s">
        <v>126</v>
      </c>
      <c r="F112" s="22" t="str">
        <f aca="false">IF(OR(E112="",E112="!!!"),"",IF(NOT(ISNA(VLOOKUP(E112,R$1:R103,1,FALSE()))),"OLD",IF(AND(E112&lt;&gt;"",E112&lt;&gt;"!!!"),"NEW","")))</f>
        <v>NEW</v>
      </c>
      <c r="G112" s="23" t="str">
        <f aca="false"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?REFERENTIAL</v>
      </c>
      <c r="H112" s="24" t="str">
        <f aca="false">IF(J112&lt;&gt;1,"",IF(I112="SBJ","CB","?"))</f>
        <v/>
      </c>
      <c r="I112" s="25" t="str">
        <f aca="false">IF(OR(E112="",E112="!!!",F112="NEW"),"",INDEX(O$2:O103,-1+SUMPRODUCT(MAX(ROW(R$2:R103)*(E112=R$2:R103)))))</f>
        <v/>
      </c>
      <c r="J112" s="25" t="str">
        <f aca="true">IF(OR(E112="",E112="!!!",F112="NEW"),"",COUNTBLANK(OFFSET(N$1,,,SUMPRODUCT(MAX(ROW(R$2:R104)*(E112=R$2:R104)))))-COUNTBLANK(OFFSET(N$1,,,SUMPRODUCT(MAX(ROW(R$1:R103)*(R2=R$1:R103))))))</f>
        <v/>
      </c>
      <c r="K112" s="25" t="str">
        <f aca="false">IF(OR(E112="",E112="!!!",F112="NEW"),"",INDEX(W$1:W103,SUMPRODUCT(MAX(ROW(R$1:R103)*(E112=R$1:R103)))))</f>
        <v/>
      </c>
      <c r="L112" s="26"/>
      <c r="O112" s="20"/>
      <c r="P112" s="20"/>
      <c r="Q112" s="20"/>
    </row>
    <row r="113" customFormat="false" ht="14.25" hidden="false" customHeight="false" outlineLevel="0" collapsed="false">
      <c r="A113" s="0" t="s">
        <v>233</v>
      </c>
      <c r="E113" s="21" t="str">
        <f aca="false">IF(Q105="?OLD","!!!","")</f>
        <v/>
      </c>
      <c r="F113" s="22" t="str">
        <f aca="false">IF(OR(E113="",E113="!!!"),"",IF(NOT(ISNA(VLOOKUP(E113,R$1:R104,1,FALSE()))),"OLD",IF(AND(E113&lt;&gt;"",E113&lt;&gt;"!!!"),"NEW","")))</f>
        <v/>
      </c>
      <c r="G113" s="23" t="str">
        <f aca="false"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aca="false">IF(J113&lt;&gt;1,"",IF(I113="SBJ","CB","?"))</f>
        <v/>
      </c>
      <c r="I113" s="25" t="str">
        <f aca="false">IF(OR(E113="",E113="!!!",F113="NEW"),"",INDEX(O$2:O104,-1+SUMPRODUCT(MAX(ROW(R$2:R104)*(E113=R$2:R104)))))</f>
        <v/>
      </c>
      <c r="J113" s="25" t="str">
        <f aca="true">IF(OR(E113="",E113="!!!",F113="NEW"),"",COUNTBLANK(OFFSET(N$1,,,SUMPRODUCT(MAX(ROW(R$2:R105)*(E113=R$2:R105)))))-COUNTBLANK(OFFSET(N$1,,,SUMPRODUCT(MAX(ROW(R$1:R104)*(R2=R$1:R104))))))</f>
        <v/>
      </c>
      <c r="K113" s="25" t="str">
        <f aca="false">IF(OR(E113="",E113="!!!",F113="NEW"),"",INDEX(W$1:W104,SUMPRODUCT(MAX(ROW(R$1:R104)*(E113=R$1:R104)))))</f>
        <v/>
      </c>
      <c r="L113" s="26"/>
      <c r="O113" s="20"/>
      <c r="P113" s="20"/>
      <c r="Q113" s="20"/>
    </row>
    <row r="114" customFormat="false" ht="14.25" hidden="false" customHeight="false" outlineLevel="0" collapsed="false">
      <c r="A114" s="0" t="s">
        <v>234</v>
      </c>
      <c r="B114" s="20" t="s">
        <v>235</v>
      </c>
      <c r="C114" s="20" t="s">
        <v>155</v>
      </c>
      <c r="E114" s="21" t="s">
        <v>236</v>
      </c>
      <c r="F114" s="22" t="str">
        <f aca="false">IF(OR(E114="",E114="!!!"),"",IF(NOT(ISNA(VLOOKUP(E114,R$1:R105,1,FALSE()))),"OLD",IF(AND(E114&lt;&gt;"",E114&lt;&gt;"!!!"),"NEW","")))</f>
        <v>NEW</v>
      </c>
      <c r="G114" s="23" t="str">
        <f aca="false"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?REFERENTIAL</v>
      </c>
      <c r="H114" s="24" t="str">
        <f aca="false">IF(J114&lt;&gt;1,"",IF(I114="SBJ","CB","?"))</f>
        <v/>
      </c>
      <c r="I114" s="25" t="str">
        <f aca="false">IF(OR(E114="",E114="!!!",F114="NEW"),"",INDEX(O$2:O105,-1+SUMPRODUCT(MAX(ROW(R$2:R105)*(E114=R$2:R105)))))</f>
        <v/>
      </c>
      <c r="J114" s="25" t="str">
        <f aca="true">IF(OR(E114="",E114="!!!",F114="NEW"),"",COUNTBLANK(OFFSET(N$1,,,SUMPRODUCT(MAX(ROW(R$2:R106)*(E114=R$2:R106)))))-COUNTBLANK(OFFSET(N$1,,,SUMPRODUCT(MAX(ROW(R$1:R105)*(R2=R$1:R105))))))</f>
        <v/>
      </c>
      <c r="K114" s="25" t="str">
        <f aca="false">IF(OR(E114="",E114="!!!",F114="NEW"),"",INDEX(W$1:W105,SUMPRODUCT(MAX(ROW(R$1:R105)*(E114=R$1:R105)))))</f>
        <v/>
      </c>
      <c r="L114" s="26" t="s">
        <v>237</v>
      </c>
    </row>
    <row r="115" customFormat="false" ht="14.25" hidden="false" customHeight="false" outlineLevel="0" collapsed="false">
      <c r="A115" s="0" t="s">
        <v>238</v>
      </c>
      <c r="E115" s="21" t="str">
        <f aca="false">IF(Q107="?OLD","!!!","")</f>
        <v/>
      </c>
      <c r="F115" s="22" t="str">
        <f aca="false">IF(OR(E115="",E115="!!!"),"",IF(NOT(ISNA(VLOOKUP(E115,R$1:R106,1,FALSE()))),"OLD",IF(AND(E115&lt;&gt;"",E115&lt;&gt;"!!!"),"NEW","")))</f>
        <v/>
      </c>
      <c r="G115" s="23" t="str">
        <f aca="false"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aca="false">IF(J115&lt;&gt;1,"",IF(I115="SBJ","CB","?"))</f>
        <v/>
      </c>
      <c r="I115" s="25" t="str">
        <f aca="false">IF(OR(E115="",E115="!!!",F115="NEW"),"",INDEX(O$2:O106,-1+SUMPRODUCT(MAX(ROW(R$2:R106)*(E115=R$2:R106)))))</f>
        <v/>
      </c>
      <c r="J115" s="25" t="str">
        <f aca="true">IF(OR(E115="",E115="!!!",F115="NEW"),"",COUNTBLANK(OFFSET(N$1,,,SUMPRODUCT(MAX(ROW(R$2:R107)*(E115=R$2:R107)))))-COUNTBLANK(OFFSET(N$1,,,SUMPRODUCT(MAX(ROW(R$1:R106)*(R2=R$1:R106))))))</f>
        <v/>
      </c>
      <c r="K115" s="25" t="str">
        <f aca="false">IF(OR(E115="",E115="!!!",F115="NEW"),"",INDEX(W$1:W106,SUMPRODUCT(MAX(ROW(R$1:R106)*(E115=R$1:R106)))))</f>
        <v/>
      </c>
      <c r="L115" s="26"/>
    </row>
    <row r="116" customFormat="false" ht="14.25" hidden="false" customHeight="false" outlineLevel="0" collapsed="false">
      <c r="A116" s="0" t="s">
        <v>239</v>
      </c>
      <c r="B116" s="20" t="s">
        <v>235</v>
      </c>
      <c r="E116" s="21" t="s">
        <v>180</v>
      </c>
      <c r="F116" s="22" t="str">
        <f aca="false">IF(OR(E116="",E116="!!!"),"",IF(NOT(ISNA(VLOOKUP(E116,R$1:R107,1,FALSE()))),"OLD",IF(AND(E116&lt;&gt;"",E116&lt;&gt;"!!!"),"NEW","")))</f>
        <v>NEW</v>
      </c>
      <c r="G116" s="23" t="str">
        <f aca="false"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?REFERENTIAL</v>
      </c>
      <c r="H116" s="24" t="str">
        <f aca="false">IF(J116&lt;&gt;1,"",IF(I116="SBJ","CB","?"))</f>
        <v/>
      </c>
      <c r="I116" s="25" t="str">
        <f aca="false">IF(OR(E116="",E116="!!!",F116="NEW"),"",INDEX(O$2:O107,-1+SUMPRODUCT(MAX(ROW(R$2:R107)*(E116=R$2:R107)))))</f>
        <v/>
      </c>
      <c r="J116" s="25" t="str">
        <f aca="true">IF(OR(E116="",E116="!!!",F116="NEW"),"",COUNTBLANK(OFFSET(N$1,,,SUMPRODUCT(MAX(ROW(R$2:R108)*(E116=R$2:R108)))))-COUNTBLANK(OFFSET(N$1,,,SUMPRODUCT(MAX(ROW(R$1:R107)*(R2=R$1:R107))))))</f>
        <v/>
      </c>
      <c r="K116" s="25" t="str">
        <f aca="false">IF(OR(E116="",E116="!!!",F116="NEW"),"",INDEX(W$1:W107,SUMPRODUCT(MAX(ROW(R$1:R107)*(E116=R$1:R107)))))</f>
        <v/>
      </c>
      <c r="L116" s="26"/>
    </row>
    <row r="117" customFormat="false" ht="14.25" hidden="false" customHeight="false" outlineLevel="0" collapsed="false">
      <c r="A117" s="0" t="s">
        <v>240</v>
      </c>
      <c r="E117" s="21" t="str">
        <f aca="false">IF(Q109="?OLD","!!!","")</f>
        <v/>
      </c>
      <c r="F117" s="22" t="str">
        <f aca="false">IF(OR(E117="",E117="!!!"),"",IF(NOT(ISNA(VLOOKUP(E117,R$1:R108,1,FALSE()))),"OLD",IF(AND(E117&lt;&gt;"",E117&lt;&gt;"!!!"),"NEW","")))</f>
        <v/>
      </c>
      <c r="G117" s="23" t="str">
        <f aca="false"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aca="false">IF(J117&lt;&gt;1,"",IF(I117="SBJ","CB","?"))</f>
        <v/>
      </c>
      <c r="I117" s="25" t="str">
        <f aca="false">IF(OR(E117="",E117="!!!",F117="NEW"),"",INDEX(O$2:O108,-1+SUMPRODUCT(MAX(ROW(R$2:R108)*(E117=R$2:R108)))))</f>
        <v/>
      </c>
      <c r="J117" s="25" t="str">
        <f aca="true">IF(OR(E117="",E117="!!!",F117="NEW"),"",COUNTBLANK(OFFSET(N$1,,,SUMPRODUCT(MAX(ROW(R$2:R109)*(E117=R$2:R109)))))-COUNTBLANK(OFFSET(N$1,,,SUMPRODUCT(MAX(ROW(R$1:R108)*(R2=R$1:R108))))))</f>
        <v/>
      </c>
      <c r="K117" s="25" t="str">
        <f aca="false">IF(OR(E117="",E117="!!!",F117="NEW"),"",INDEX(W$1:W108,SUMPRODUCT(MAX(ROW(R$1:R108)*(E117=R$1:R108)))))</f>
        <v/>
      </c>
      <c r="L117" s="26"/>
    </row>
    <row r="118" customFormat="false" ht="14.25" hidden="false" customHeight="false" outlineLevel="0" collapsed="false">
      <c r="A118" s="0" t="s">
        <v>241</v>
      </c>
      <c r="E118" s="21" t="str">
        <f aca="false">IF(Q110="?OLD","!!!","")</f>
        <v/>
      </c>
      <c r="F118" s="22" t="str">
        <f aca="false">IF(OR(E118="",E118="!!!"),"",IF(NOT(ISNA(VLOOKUP(E118,R$1:R109,1,FALSE()))),"OLD",IF(AND(E118&lt;&gt;"",E118&lt;&gt;"!!!"),"NEW","")))</f>
        <v/>
      </c>
      <c r="G118" s="23" t="str">
        <f aca="false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aca="false">IF(J118&lt;&gt;1,"",IF(I118="SBJ","CB","?"))</f>
        <v/>
      </c>
      <c r="I118" s="25" t="str">
        <f aca="false">IF(OR(E118="",E118="!!!",F118="NEW"),"",INDEX(O$2:O109,-1+SUMPRODUCT(MAX(ROW(R$2:R109)*(E118=R$2:R109)))))</f>
        <v/>
      </c>
      <c r="J118" s="25" t="str">
        <f aca="true">IF(OR(E118="",E118="!!!",F118="NEW"),"",COUNTBLANK(OFFSET(N$1,,,SUMPRODUCT(MAX(ROW(R$2:R110)*(E118=R$2:R110)))))-COUNTBLANK(OFFSET(N$1,,,SUMPRODUCT(MAX(ROW(R$1:R109)*(R2=R$1:R109))))))</f>
        <v/>
      </c>
      <c r="K118" s="25" t="str">
        <f aca="false">IF(OR(E118="",E118="!!!",F118="NEW"),"",INDEX(W$1:W109,SUMPRODUCT(MAX(ROW(R$1:R109)*(E118=R$1:R109)))))</f>
        <v/>
      </c>
      <c r="L118" s="26"/>
    </row>
    <row r="119" customFormat="false" ht="14.25" hidden="false" customHeight="false" outlineLevel="0" collapsed="false">
      <c r="A119" s="0" t="s">
        <v>140</v>
      </c>
      <c r="E119" s="21" t="str">
        <f aca="false">IF(Q111="?OLD","!!!","")</f>
        <v/>
      </c>
      <c r="F119" s="22" t="str">
        <f aca="false">IF(OR(E119="",E119="!!!"),"",IF(NOT(ISNA(VLOOKUP(E119,R$1:R110,1,FALSE()))),"OLD",IF(AND(E119&lt;&gt;"",E119&lt;&gt;"!!!"),"NEW","")))</f>
        <v/>
      </c>
      <c r="G119" s="23" t="str">
        <f aca="false"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aca="false">IF(J119&lt;&gt;1,"",IF(I119="SBJ","CB","?"))</f>
        <v/>
      </c>
      <c r="I119" s="25" t="str">
        <f aca="false">IF(OR(E119="",E119="!!!",F119="NEW"),"",INDEX(O$2:O110,-1+SUMPRODUCT(MAX(ROW(R$2:R110)*(E119=R$2:R110)))))</f>
        <v/>
      </c>
      <c r="J119" s="25" t="str">
        <f aca="true">IF(OR(E119="",E119="!!!",F119="NEW"),"",COUNTBLANK(OFFSET(N$1,,,SUMPRODUCT(MAX(ROW(R$2:R111)*(E119=R$2:R111)))))-COUNTBLANK(OFFSET(N$1,,,SUMPRODUCT(MAX(ROW(R$1:R110)*(R2=R$1:R110))))))</f>
        <v/>
      </c>
      <c r="K119" s="25" t="str">
        <f aca="false">IF(OR(E119="",E119="!!!",F119="NEW"),"",INDEX(W$1:W110,SUMPRODUCT(MAX(ROW(R$1:R110)*(E119=R$1:R110)))))</f>
        <v/>
      </c>
      <c r="L119" s="26"/>
      <c r="O119" s="20"/>
      <c r="P119" s="20"/>
      <c r="Q119" s="20"/>
    </row>
    <row r="120" customFormat="false" ht="23.85" hidden="false" customHeight="false" outlineLevel="0" collapsed="false">
      <c r="A120" s="0" t="s">
        <v>242</v>
      </c>
      <c r="B120" s="20" t="s">
        <v>224</v>
      </c>
      <c r="C120" s="20" t="s">
        <v>209</v>
      </c>
      <c r="D120" s="20" t="s">
        <v>125</v>
      </c>
      <c r="E120" s="21"/>
      <c r="F120" s="22" t="str">
        <f aca="false">IF(OR(E120="",E120="!!!"),"",IF(NOT(ISNA(VLOOKUP(E120,R$1:R111,1,FALSE()))),"OLD",IF(AND(E120&lt;&gt;"",E120&lt;&gt;"!!!"),"NEW","")))</f>
        <v/>
      </c>
      <c r="G120" s="23" t="str">
        <f aca="false"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aca="false">IF(J120&lt;&gt;1,"",IF(I120="SBJ","CB","?"))</f>
        <v/>
      </c>
      <c r="I120" s="25" t="str">
        <f aca="false">IF(OR(E120="",E120="!!!",F120="NEW"),"",INDEX(O$2:O111,-1+SUMPRODUCT(MAX(ROW(R$2:R111)*(E120=R$2:R111)))))</f>
        <v/>
      </c>
      <c r="J120" s="25" t="str">
        <f aca="true">IF(OR(E120="",E120="!!!",F120="NEW"),"",COUNTBLANK(OFFSET(N$1,,,SUMPRODUCT(MAX(ROW(R$2:R112)*(E120=R$2:R112)))))-COUNTBLANK(OFFSET(N$1,,,SUMPRODUCT(MAX(ROW(R$1:R111)*(R2=R$1:R111))))))</f>
        <v/>
      </c>
      <c r="K120" s="25" t="str">
        <f aca="false">IF(OR(E120="",E120="!!!",F120="NEW"),"",INDEX(W$1:W111,SUMPRODUCT(MAX(ROW(R$1:R111)*(E120=R$1:R111)))))</f>
        <v/>
      </c>
      <c r="L120" s="26" t="s">
        <v>243</v>
      </c>
      <c r="O120" s="20"/>
      <c r="P120" s="20"/>
    </row>
    <row r="121" customFormat="false" ht="14.25" hidden="false" customHeight="false" outlineLevel="0" collapsed="false">
      <c r="A121" s="0" t="s">
        <v>244</v>
      </c>
      <c r="B121" s="20" t="s">
        <v>123</v>
      </c>
      <c r="C121" s="20" t="s">
        <v>209</v>
      </c>
      <c r="D121" s="20" t="s">
        <v>125</v>
      </c>
      <c r="E121" s="21" t="s">
        <v>245</v>
      </c>
      <c r="F121" s="22" t="s">
        <v>246</v>
      </c>
      <c r="G121" s="23" t="e">
        <f aca="false"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#VALUE!</v>
      </c>
      <c r="H121" s="24" t="e">
        <f aca="false">IF(J121&lt;&gt;1,"",IF(I121="SBJ","CB","?"))</f>
        <v>#VALUE!</v>
      </c>
      <c r="I121" s="25" t="e">
        <f aca="false">IF(OR(E121="",E121="!!!",F121="NEW"),"",INDEX(O$2:O112,-1+SUMPRODUCT(MAX(ROW(R$2:R112)*(E121=R$2:R112)))))</f>
        <v>#VALUE!</v>
      </c>
      <c r="J121" s="25" t="e">
        <f aca="true">IF(OR(E121="",E121="!!!",F121="NEW"),"",COUNTBLANK(OFFSET(N$1,,,SUMPRODUCT(MAX(ROW(R$2:R113)*(E121=R$2:R113)))))-COUNTBLANK(OFFSET(N$1,,,SUMPRODUCT(MAX(ROW(R$1:R112)*(R2=R$1:R112))))))</f>
        <v>#VALUE!</v>
      </c>
      <c r="K121" s="25" t="e">
        <f aca="false">IF(OR(E121="",E121="!!!",F121="NEW"),"",INDEX(W$1:W112,SUMPRODUCT(MAX(ROW(R$1:R112)*(E121=R$1:R112)))))</f>
        <v>#VALUE!</v>
      </c>
      <c r="L121" s="26" t="s">
        <v>247</v>
      </c>
    </row>
    <row r="122" customFormat="false" ht="14.25" hidden="false" customHeight="false" outlineLevel="0" collapsed="false">
      <c r="A122" s="0" t="s">
        <v>248</v>
      </c>
      <c r="E122" s="21" t="str">
        <f aca="false">IF(Q114="?OLD","!!!","")</f>
        <v/>
      </c>
      <c r="F122" s="22" t="str">
        <f aca="false">IF(OR(E122="",E122="!!!"),"",IF(NOT(ISNA(VLOOKUP(E122,R$1:R113,1,FALSE()))),"OLD",IF(AND(E122&lt;&gt;"",E122&lt;&gt;"!!!"),"NEW","")))</f>
        <v/>
      </c>
      <c r="G122" s="23" t="str">
        <f aca="false"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aca="false">IF(J122&lt;&gt;1,"",IF(I122="SBJ","CB","?"))</f>
        <v/>
      </c>
      <c r="I122" s="25" t="str">
        <f aca="false">IF(OR(E122="",E122="!!!",F122="NEW"),"",INDEX(O$2:O113,-1+SUMPRODUCT(MAX(ROW(R$2:R113)*(E122=R$2:R113)))))</f>
        <v/>
      </c>
      <c r="J122" s="25" t="str">
        <f aca="true">IF(OR(E122="",E122="!!!",F122="NEW"),"",COUNTBLANK(OFFSET(N$1,,,SUMPRODUCT(MAX(ROW(R$2:R114)*(E122=R$2:R114)))))-COUNTBLANK(OFFSET(N$1,,,SUMPRODUCT(MAX(ROW(R$1:R113)*(R2=R$1:R113))))))</f>
        <v/>
      </c>
      <c r="K122" s="25" t="str">
        <f aca="false">IF(OR(E122="",E122="!!!",F122="NEW"),"",INDEX(W$1:W113,SUMPRODUCT(MAX(ROW(R$1:R113)*(E122=R$1:R113)))))</f>
        <v/>
      </c>
      <c r="L122" s="26"/>
    </row>
    <row r="123" customFormat="false" ht="14.25" hidden="false" customHeight="false" outlineLevel="0" collapsed="false">
      <c r="A123" s="0" t="s">
        <v>249</v>
      </c>
      <c r="E123" s="21" t="str">
        <f aca="false">IF(Q115="?OLD","!!!","")</f>
        <v/>
      </c>
      <c r="F123" s="22" t="str">
        <f aca="false">IF(OR(E123="",E123="!!!"),"",IF(NOT(ISNA(VLOOKUP(E123,R$1:R114,1,FALSE()))),"OLD",IF(AND(E123&lt;&gt;"",E123&lt;&gt;"!!!"),"NEW","")))</f>
        <v/>
      </c>
      <c r="G123" s="23" t="str">
        <f aca="false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aca="false">IF(J123&lt;&gt;1,"",IF(I123="SBJ","CB","?"))</f>
        <v/>
      </c>
      <c r="I123" s="25" t="str">
        <f aca="false">IF(OR(E123="",E123="!!!",F123="NEW"),"",INDEX(O$2:O114,-1+SUMPRODUCT(MAX(ROW(R$2:R114)*(E123=R$2:R114)))))</f>
        <v/>
      </c>
      <c r="J123" s="25" t="str">
        <f aca="true">IF(OR(E123="",E123="!!!",F123="NEW"),"",COUNTBLANK(OFFSET(N$1,,,SUMPRODUCT(MAX(ROW(R$2:R115)*(E123=R$2:R115)))))-COUNTBLANK(OFFSET(N$1,,,SUMPRODUCT(MAX(ROW(R$1:R114)*(R2=R$1:R114))))))</f>
        <v/>
      </c>
      <c r="K123" s="25" t="str">
        <f aca="false">IF(OR(E123="",E123="!!!",F123="NEW"),"",INDEX(W$1:W114,SUMPRODUCT(MAX(ROW(R$1:R114)*(E123=R$1:R114)))))</f>
        <v/>
      </c>
      <c r="L123" s="26"/>
      <c r="O123" s="20"/>
      <c r="P123" s="20"/>
      <c r="Q123" s="20"/>
    </row>
    <row r="124" customFormat="false" ht="14.25" hidden="false" customHeight="false" outlineLevel="0" collapsed="false">
      <c r="A124" s="0" t="s">
        <v>160</v>
      </c>
      <c r="E124" s="21" t="str">
        <f aca="false">IF(Q116="?OLD","!!!","")</f>
        <v/>
      </c>
      <c r="F124" s="22" t="str">
        <f aca="false">IF(OR(E124="",E124="!!!"),"",IF(NOT(ISNA(VLOOKUP(E124,R$1:R115,1,FALSE()))),"OLD",IF(AND(E124&lt;&gt;"",E124&lt;&gt;"!!!"),"NEW","")))</f>
        <v/>
      </c>
      <c r="G124" s="23" t="str">
        <f aca="false"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aca="false">IF(J124&lt;&gt;1,"",IF(I124="SBJ","CB","?"))</f>
        <v/>
      </c>
      <c r="I124" s="25" t="str">
        <f aca="false">IF(OR(E124="",E124="!!!",F124="NEW"),"",INDEX(O$2:O115,-1+SUMPRODUCT(MAX(ROW(R$2:R115)*(E124=R$2:R115)))))</f>
        <v/>
      </c>
      <c r="J124" s="25" t="str">
        <f aca="true">IF(OR(E124="",E124="!!!",F124="NEW"),"",COUNTBLANK(OFFSET(N$1,,,SUMPRODUCT(MAX(ROW(R$2:R116)*(E124=R$2:R116)))))-COUNTBLANK(OFFSET(N$1,,,SUMPRODUCT(MAX(ROW(R$1:R115)*(R2=R$1:R115))))))</f>
        <v/>
      </c>
      <c r="K124" s="25" t="str">
        <f aca="false">IF(OR(E124="",E124="!!!",F124="NEW"),"",INDEX(W$1:W115,SUMPRODUCT(MAX(ROW(R$1:R115)*(E124=R$1:R115)))))</f>
        <v/>
      </c>
      <c r="L124" s="26"/>
    </row>
    <row r="126" customFormat="false" ht="14.25" hidden="false" customHeight="false" outlineLevel="0" collapsed="false">
      <c r="A126" s="0" t="s">
        <v>250</v>
      </c>
    </row>
    <row r="127" customFormat="false" ht="14.25" hidden="false" customHeight="false" outlineLevel="0" collapsed="false">
      <c r="A127" s="0" t="s">
        <v>251</v>
      </c>
      <c r="E127" s="21" t="str">
        <f aca="false">IF(Q117="?OLD","!!!","")</f>
        <v/>
      </c>
      <c r="F127" s="22" t="str">
        <f aca="false">IF(OR(E127="",E127="!!!"),"",IF(NOT(ISNA(VLOOKUP(E127,R$1:R116,1,FALSE()))),"OLD",IF(AND(E127&lt;&gt;"",E127&lt;&gt;"!!!"),"NEW","")))</f>
        <v/>
      </c>
      <c r="G127" s="23" t="str">
        <f aca="false"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aca="false">IF(J127&lt;&gt;1,"",IF(I127="SBJ","CB","?"))</f>
        <v/>
      </c>
      <c r="I127" s="25" t="str">
        <f aca="false">IF(OR(E127="",E127="!!!",F127="NEW"),"",INDEX(O$2:O116,-1+SUMPRODUCT(MAX(ROW(R$2:R116)*(E127=R$2:R116)))))</f>
        <v/>
      </c>
      <c r="J127" s="25" t="str">
        <f aca="true">IF(OR(E127="",E127="!!!",F127="NEW"),"",COUNTBLANK(OFFSET(N$1,,,SUMPRODUCT(MAX(ROW(R$2:R117)*(E127=R$2:R117)))))-COUNTBLANK(OFFSET(N$1,,,SUMPRODUCT(MAX(ROW(R$1:R116)*(R2=R$1:R116))))))</f>
        <v/>
      </c>
      <c r="K127" s="25" t="str">
        <f aca="false">IF(OR(E127="",E127="!!!",F127="NEW"),"",INDEX(W$1:W116,SUMPRODUCT(MAX(ROW(R$1:R116)*(E127=R$1:R116)))))</f>
        <v/>
      </c>
      <c r="L127" s="26"/>
    </row>
    <row r="128" customFormat="false" ht="14.25" hidden="false" customHeight="false" outlineLevel="0" collapsed="false">
      <c r="A128" s="0" t="s">
        <v>252</v>
      </c>
      <c r="E128" s="21" t="str">
        <f aca="false">IF(Q118="?OLD","!!!","")</f>
        <v/>
      </c>
      <c r="F128" s="22" t="str">
        <f aca="false">IF(OR(E128="",E128="!!!"),"",IF(NOT(ISNA(VLOOKUP(E128,R$1:R117,1,FALSE()))),"OLD",IF(AND(E128&lt;&gt;"",E128&lt;&gt;"!!!"),"NEW","")))</f>
        <v/>
      </c>
      <c r="G128" s="23" t="str">
        <f aca="false"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aca="false">IF(J128&lt;&gt;1,"",IF(I128="SBJ","CB","?"))</f>
        <v/>
      </c>
      <c r="I128" s="25" t="str">
        <f aca="false">IF(OR(E128="",E128="!!!",F128="NEW"),"",INDEX(O$2:O117,-1+SUMPRODUCT(MAX(ROW(R$2:R117)*(E128=R$2:R117)))))</f>
        <v/>
      </c>
      <c r="J128" s="25" t="str">
        <f aca="true">IF(OR(E128="",E128="!!!",F128="NEW"),"",COUNTBLANK(OFFSET(N$1,,,SUMPRODUCT(MAX(ROW(R$2:R118)*(E128=R$2:R118)))))-COUNTBLANK(OFFSET(N$1,,,SUMPRODUCT(MAX(ROW(R$1:R117)*(R2=R$1:R117))))))</f>
        <v/>
      </c>
      <c r="K128" s="25" t="str">
        <f aca="false">IF(OR(E128="",E128="!!!",F128="NEW"),"",INDEX(W$1:W117,SUMPRODUCT(MAX(ROW(R$1:R117)*(E128=R$1:R117)))))</f>
        <v/>
      </c>
      <c r="L128" s="26"/>
    </row>
    <row r="129" customFormat="false" ht="14.25" hidden="false" customHeight="false" outlineLevel="0" collapsed="false">
      <c r="A129" s="0" t="s">
        <v>253</v>
      </c>
      <c r="B129" s="20" t="s">
        <v>123</v>
      </c>
      <c r="C129" s="20" t="s">
        <v>209</v>
      </c>
      <c r="D129" s="20" t="s">
        <v>125</v>
      </c>
      <c r="E129" s="21" t="s">
        <v>236</v>
      </c>
      <c r="F129" s="22" t="str">
        <f aca="false">IF(OR(E129="",E129="!!!"),"",IF(NOT(ISNA(VLOOKUP(E129,R$1:R118,1,FALSE()))),"OLD",IF(AND(E129&lt;&gt;"",E129&lt;&gt;"!!!"),"NEW","")))</f>
        <v>NEW</v>
      </c>
      <c r="G129" s="23" t="str">
        <f aca="false"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?REFERENTIAL</v>
      </c>
      <c r="H129" s="24" t="str">
        <f aca="false">IF(J129&lt;&gt;1,"",IF(I129="SBJ","CB","?"))</f>
        <v/>
      </c>
      <c r="I129" s="25" t="str">
        <f aca="false">IF(OR(E129="",E129="!!!",F129="NEW"),"",INDEX(O$2:O118,-1+SUMPRODUCT(MAX(ROW(R$2:R118)*(E129=R$2:R118)))))</f>
        <v/>
      </c>
      <c r="J129" s="25" t="str">
        <f aca="true">IF(OR(E129="",E129="!!!",F129="NEW"),"",COUNTBLANK(OFFSET(N$1,,,SUMPRODUCT(MAX(ROW(R$2:R119)*(E129=R$2:R119)))))-COUNTBLANK(OFFSET(N$1,,,SUMPRODUCT(MAX(ROW(R$1:R118)*(R2=R$1:R118))))))</f>
        <v/>
      </c>
      <c r="K129" s="25" t="str">
        <f aca="false">IF(OR(E129="",E129="!!!",F129="NEW"),"",INDEX(W$1:W118,SUMPRODUCT(MAX(ROW(R$1:R118)*(E129=R$1:R118)))))</f>
        <v/>
      </c>
      <c r="L129" s="26"/>
      <c r="O129" s="20"/>
      <c r="P129" s="20"/>
      <c r="Q129" s="20"/>
    </row>
    <row r="130" customFormat="false" ht="14.25" hidden="false" customHeight="false" outlineLevel="0" collapsed="false">
      <c r="A130" s="0" t="s">
        <v>254</v>
      </c>
      <c r="B130" s="20" t="s">
        <v>164</v>
      </c>
      <c r="C130" s="20" t="s">
        <v>155</v>
      </c>
      <c r="E130" s="21" t="str">
        <f aca="false">IF(Q120="?OLD","!!!","")</f>
        <v/>
      </c>
      <c r="F130" s="22" t="str">
        <f aca="false">IF(OR(E130="",E130="!!!"),"",IF(NOT(ISNA(VLOOKUP(E130,R$1:R119,1,FALSE()))),"OLD",IF(AND(E130&lt;&gt;"",E130&lt;&gt;"!!!"),"NEW","")))</f>
        <v/>
      </c>
      <c r="G130" s="23" t="str">
        <f aca="false"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aca="false">IF(J130&lt;&gt;1,"",IF(I130="SBJ","CB","?"))</f>
        <v/>
      </c>
      <c r="I130" s="25" t="str">
        <f aca="false">IF(OR(E130="",E130="!!!",F130="NEW"),"",INDEX(O$2:O119,-1+SUMPRODUCT(MAX(ROW(R$2:R119)*(E130=R$2:R119)))))</f>
        <v/>
      </c>
      <c r="J130" s="25" t="str">
        <f aca="true">IF(OR(E130="",E130="!!!",F130="NEW"),"",COUNTBLANK(OFFSET(N$1,,,SUMPRODUCT(MAX(ROW(R$2:R120)*(E130=R$2:R120)))))-COUNTBLANK(OFFSET(N$1,,,SUMPRODUCT(MAX(ROW(R$1:R119)*(R2=R$1:R119))))))</f>
        <v/>
      </c>
      <c r="K130" s="25" t="str">
        <f aca="false">IF(OR(E130="",E130="!!!",F130="NEW"),"",INDEX(W$1:W119,SUMPRODUCT(MAX(ROW(R$1:R119)*(E130=R$1:R119)))))</f>
        <v/>
      </c>
      <c r="L130" s="26"/>
    </row>
    <row r="131" customFormat="false" ht="14.25" hidden="false" customHeight="false" outlineLevel="0" collapsed="false">
      <c r="A131" s="0" t="s">
        <v>255</v>
      </c>
      <c r="E131" s="21" t="str">
        <f aca="false">IF(Q121="?OLD","!!!","")</f>
        <v/>
      </c>
      <c r="F131" s="22" t="str">
        <f aca="false">IF(OR(E131="",E131="!!!"),"",IF(NOT(ISNA(VLOOKUP(E131,R$1:R120,1,FALSE()))),"OLD",IF(AND(E131&lt;&gt;"",E131&lt;&gt;"!!!"),"NEW","")))</f>
        <v/>
      </c>
      <c r="G131" s="23" t="str">
        <f aca="false"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aca="false">IF(J131&lt;&gt;1,"",IF(I131="SBJ","CB","?"))</f>
        <v/>
      </c>
      <c r="I131" s="25" t="str">
        <f aca="false">IF(OR(E131="",E131="!!!",F131="NEW"),"",INDEX(O$2:O120,-1+SUMPRODUCT(MAX(ROW(R$2:R120)*(E131=R$2:R120)))))</f>
        <v/>
      </c>
      <c r="J131" s="25" t="str">
        <f aca="true">IF(OR(E131="",E131="!!!",F131="NEW"),"",COUNTBLANK(OFFSET(N$1,,,SUMPRODUCT(MAX(ROW(R$2:R121)*(E131=R$2:R121)))))-COUNTBLANK(OFFSET(N$1,,,SUMPRODUCT(MAX(ROW(R$1:R120)*(R2=R$1:R120))))))</f>
        <v/>
      </c>
      <c r="K131" s="25" t="str">
        <f aca="false">IF(OR(E131="",E131="!!!",F131="NEW"),"",INDEX(W$1:W120,SUMPRODUCT(MAX(ROW(R$1:R120)*(E131=R$1:R120)))))</f>
        <v/>
      </c>
      <c r="L131" s="26"/>
      <c r="O131" s="20"/>
      <c r="P131" s="20"/>
    </row>
    <row r="132" customFormat="false" ht="14.25" hidden="false" customHeight="false" outlineLevel="0" collapsed="false">
      <c r="A132" s="0" t="s">
        <v>141</v>
      </c>
      <c r="E132" s="21" t="str">
        <f aca="false">IF(Q122="?OLD","!!!","")</f>
        <v/>
      </c>
      <c r="F132" s="22" t="str">
        <f aca="false">IF(OR(E132="",E132="!!!"),"",IF(NOT(ISNA(VLOOKUP(E132,R$1:R121,1,FALSE()))),"OLD",IF(AND(E132&lt;&gt;"",E132&lt;&gt;"!!!"),"NEW","")))</f>
        <v/>
      </c>
      <c r="G132" s="23" t="str">
        <f aca="false"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aca="false">IF(J132&lt;&gt;1,"",IF(I132="SBJ","CB","?"))</f>
        <v/>
      </c>
      <c r="I132" s="25" t="str">
        <f aca="false">IF(OR(E132="",E132="!!!",F132="NEW"),"",INDEX(O$2:O121,-1+SUMPRODUCT(MAX(ROW(R$2:R121)*(E132=R$2:R121)))))</f>
        <v/>
      </c>
      <c r="J132" s="25" t="str">
        <f aca="true">IF(OR(E132="",E132="!!!",F132="NEW"),"",COUNTBLANK(OFFSET(N$1,,,SUMPRODUCT(MAX(ROW(R$2:R122)*(E132=R$2:R122)))))-COUNTBLANK(OFFSET(N$1,,,SUMPRODUCT(MAX(ROW(R$1:R121)*(R2=R$1:R121))))))</f>
        <v/>
      </c>
      <c r="K132" s="25" t="str">
        <f aca="false">IF(OR(E132="",E132="!!!",F132="NEW"),"",INDEX(W$1:W121,SUMPRODUCT(MAX(ROW(R$1:R121)*(E132=R$1:R121)))))</f>
        <v/>
      </c>
      <c r="L132" s="26"/>
    </row>
    <row r="133" customFormat="false" ht="14.25" hidden="false" customHeight="false" outlineLevel="0" collapsed="false">
      <c r="A133" s="0" t="s">
        <v>132</v>
      </c>
      <c r="B133" s="20" t="s">
        <v>148</v>
      </c>
      <c r="C133" s="20" t="s">
        <v>134</v>
      </c>
      <c r="D133" s="20" t="s">
        <v>125</v>
      </c>
      <c r="E133" s="21" t="s">
        <v>135</v>
      </c>
      <c r="F133" s="22" t="str">
        <f aca="false">IF(OR(E133="",E133="!!!"),"",IF(NOT(ISNA(VLOOKUP(E133,R$1:R122,1,FALSE()))),"OLD",IF(AND(E133&lt;&gt;"",E133&lt;&gt;"!!!"),"NEW","")))</f>
        <v>NEW</v>
      </c>
      <c r="G133" s="23" t="str">
        <f aca="false"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?REFERENTIAL</v>
      </c>
      <c r="H133" s="24" t="str">
        <f aca="false">IF(J133&lt;&gt;1,"",IF(I133="SBJ","CB","?"))</f>
        <v/>
      </c>
      <c r="I133" s="25" t="str">
        <f aca="false">IF(OR(E133="",E133="!!!",F133="NEW"),"",INDEX(O$2:O122,-1+SUMPRODUCT(MAX(ROW(R$2:R122)*(E133=R$2:R122)))))</f>
        <v/>
      </c>
      <c r="J133" s="25" t="str">
        <f aca="true">IF(OR(E133="",E133="!!!",F133="NEW"),"",COUNTBLANK(OFFSET(N$1,,,SUMPRODUCT(MAX(ROW(R$2:R123)*(E133=R$2:R123)))))-COUNTBLANK(OFFSET(N$1,,,SUMPRODUCT(MAX(ROW(R$1:R122)*(R2=R$1:R122))))))</f>
        <v/>
      </c>
      <c r="K133" s="25" t="str">
        <f aca="false">IF(OR(E133="",E133="!!!",F133="NEW"),"",INDEX(W$1:W122,SUMPRODUCT(MAX(ROW(R$1:R122)*(E133=R$1:R122)))))</f>
        <v/>
      </c>
      <c r="L133" s="26"/>
    </row>
    <row r="134" customFormat="false" ht="14.25" hidden="false" customHeight="false" outlineLevel="0" collapsed="false">
      <c r="A134" s="0" t="s">
        <v>136</v>
      </c>
      <c r="E134" s="21" t="str">
        <f aca="false">IF(Q124="?OLD","!!!","")</f>
        <v/>
      </c>
      <c r="F134" s="22" t="str">
        <f aca="false">IF(OR(E134="",E134="!!!"),"",IF(NOT(ISNA(VLOOKUP(E134,R$1:R123,1,FALSE()))),"OLD",IF(AND(E134&lt;&gt;"",E134&lt;&gt;"!!!"),"NEW","")))</f>
        <v/>
      </c>
      <c r="G134" s="23" t="str">
        <f aca="false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aca="false">IF(J134&lt;&gt;1,"",IF(I134="SBJ","CB","?"))</f>
        <v/>
      </c>
      <c r="I134" s="25" t="str">
        <f aca="false">IF(OR(E134="",E134="!!!",F134="NEW"),"",INDEX(O$2:O123,-1+SUMPRODUCT(MAX(ROW(R$2:R123)*(E134=R$2:R123)))))</f>
        <v/>
      </c>
      <c r="J134" s="25" t="str">
        <f aca="true">IF(OR(E134="",E134="!!!",F134="NEW"),"",COUNTBLANK(OFFSET(N$1,,,SUMPRODUCT(MAX(ROW(R$2:R124)*(E134=R$2:R124)))))-COUNTBLANK(OFFSET(N$1,,,SUMPRODUCT(MAX(ROW(R$1:R123)*(R2=R$1:R123))))))</f>
        <v/>
      </c>
      <c r="K134" s="25" t="str">
        <f aca="false">IF(OR(E134="",E134="!!!",F134="NEW"),"",INDEX(W$1:W123,SUMPRODUCT(MAX(ROW(R$1:R123)*(E134=R$1:R123)))))</f>
        <v/>
      </c>
      <c r="L134" s="26"/>
      <c r="O134" s="20"/>
      <c r="P134" s="20"/>
    </row>
    <row r="135" customFormat="false" ht="14.25" hidden="false" customHeight="false" outlineLevel="0" collapsed="false">
      <c r="A135" s="0" t="s">
        <v>256</v>
      </c>
      <c r="E135" s="21" t="str">
        <f aca="false">IF(Q125="?OLD","!!!","")</f>
        <v/>
      </c>
      <c r="F135" s="22" t="str">
        <f aca="false">IF(OR(E135="",E135="!!!"),"",IF(NOT(ISNA(VLOOKUP(E135,R$1:R124,1,FALSE()))),"OLD",IF(AND(E135&lt;&gt;"",E135&lt;&gt;"!!!"),"NEW","")))</f>
        <v/>
      </c>
      <c r="G135" s="23" t="str">
        <f aca="false"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aca="false">IF(J135&lt;&gt;1,"",IF(I135="SBJ","CB","?"))</f>
        <v/>
      </c>
      <c r="I135" s="25" t="str">
        <f aca="false">IF(OR(E135="",E135="!!!",F135="NEW"),"",INDEX(O$2:O124,-1+SUMPRODUCT(MAX(ROW(R$2:R124)*(E135=R$2:R124)))))</f>
        <v/>
      </c>
      <c r="J135" s="25" t="str">
        <f aca="true">IF(OR(E135="",E135="!!!",F135="NEW"),"",COUNTBLANK(OFFSET(N$1,,,SUMPRODUCT(MAX(ROW(R$2:R125)*(E135=R$2:R125)))))-COUNTBLANK(OFFSET(N$1,,,SUMPRODUCT(MAX(ROW(R$1:R124)*(R2=R$1:R124))))))</f>
        <v/>
      </c>
      <c r="K135" s="25" t="str">
        <f aca="false">IF(OR(E135="",E135="!!!",F135="NEW"),"",INDEX(W$1:W124,SUMPRODUCT(MAX(ROW(R$1:R124)*(E135=R$1:R124)))))</f>
        <v/>
      </c>
      <c r="L135" s="26"/>
      <c r="O135" s="20"/>
      <c r="P135" s="20"/>
    </row>
    <row r="136" customFormat="false" ht="14.25" hidden="false" customHeight="false" outlineLevel="0" collapsed="false">
      <c r="A136" s="0" t="s">
        <v>140</v>
      </c>
      <c r="E136" s="21" t="str">
        <f aca="false">IF(Q126="?OLD","!!!","")</f>
        <v/>
      </c>
      <c r="F136" s="22" t="str">
        <f aca="false">IF(OR(E136="",E136="!!!"),"",IF(NOT(ISNA(VLOOKUP(E136,R$1:R125,1,FALSE()))),"OLD",IF(AND(E136&lt;&gt;"",E136&lt;&gt;"!!!"),"NEW","")))</f>
        <v/>
      </c>
      <c r="G136" s="23" t="str">
        <f aca="false"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aca="false">IF(J136&lt;&gt;1,"",IF(I136="SBJ","CB","?"))</f>
        <v/>
      </c>
      <c r="I136" s="25" t="str">
        <f aca="false">IF(OR(E136="",E136="!!!",F136="NEW"),"",INDEX(O$2:O125,-1+SUMPRODUCT(MAX(ROW(R$2:R125)*(E136=R$2:R125)))))</f>
        <v/>
      </c>
      <c r="J136" s="25" t="str">
        <f aca="true">IF(OR(E136="",E136="!!!",F136="NEW"),"",COUNTBLANK(OFFSET(N$1,,,SUMPRODUCT(MAX(ROW(R$2:R126)*(E136=R$2:R126)))))-COUNTBLANK(OFFSET(N$1,,,SUMPRODUCT(MAX(ROW(R$1:R125)*(R2=R$1:R125))))))</f>
        <v/>
      </c>
      <c r="K136" s="25" t="str">
        <f aca="false">IF(OR(E136="",E136="!!!",F136="NEW"),"",INDEX(W$1:W125,SUMPRODUCT(MAX(ROW(R$1:R125)*(E136=R$1:R125)))))</f>
        <v/>
      </c>
      <c r="L136" s="26"/>
    </row>
    <row r="137" customFormat="false" ht="14.25" hidden="false" customHeight="false" outlineLevel="0" collapsed="false">
      <c r="A137" s="0" t="s">
        <v>131</v>
      </c>
      <c r="E137" s="21" t="str">
        <f aca="false">IF(Q127="?OLD","!!!","")</f>
        <v/>
      </c>
      <c r="F137" s="22" t="str">
        <f aca="false">IF(OR(E137="",E137="!!!"),"",IF(NOT(ISNA(VLOOKUP(E137,R$1:R126,1,FALSE()))),"OLD",IF(AND(E137&lt;&gt;"",E137&lt;&gt;"!!!"),"NEW","")))</f>
        <v/>
      </c>
      <c r="G137" s="23" t="str">
        <f aca="false"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aca="false">IF(J137&lt;&gt;1,"",IF(I137="SBJ","CB","?"))</f>
        <v/>
      </c>
      <c r="I137" s="25" t="str">
        <f aca="false">IF(OR(E137="",E137="!!!",F137="NEW"),"",INDEX(O$2:O126,-1+SUMPRODUCT(MAX(ROW(R$2:R126)*(E137=R$2:R126)))))</f>
        <v/>
      </c>
      <c r="J137" s="25" t="str">
        <f aca="true">IF(OR(E137="",E137="!!!",F137="NEW"),"",COUNTBLANK(OFFSET(N$1,,,SUMPRODUCT(MAX(ROW(R$2:R127)*(E137=R$2:R127)))))-COUNTBLANK(OFFSET(N$1,,,SUMPRODUCT(MAX(ROW(R$1:R126)*(R2=R$1:R126))))))</f>
        <v/>
      </c>
      <c r="K137" s="25" t="str">
        <f aca="false">IF(OR(E137="",E137="!!!",F137="NEW"),"",INDEX(W$1:W126,SUMPRODUCT(MAX(ROW(R$1:R126)*(E137=R$1:R126)))))</f>
        <v/>
      </c>
      <c r="L137" s="26"/>
      <c r="O137" s="20"/>
      <c r="P137" s="20"/>
      <c r="Q137" s="20"/>
    </row>
    <row r="138" customFormat="false" ht="14.25" hidden="false" customHeight="false" outlineLevel="0" collapsed="false">
      <c r="A138" s="0" t="s">
        <v>175</v>
      </c>
      <c r="E138" s="21"/>
      <c r="F138" s="22" t="str">
        <f aca="false">IF(OR(E138="",E138="!!!"),"",IF(NOT(ISNA(VLOOKUP(E138,R$1:R127,1,FALSE()))),"OLD",IF(AND(E138&lt;&gt;"",E138&lt;&gt;"!!!"),"NEW","")))</f>
        <v/>
      </c>
      <c r="G138" s="23" t="str">
        <f aca="false"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aca="false">IF(J138&lt;&gt;1,"",IF(I138="SBJ","CB","?"))</f>
        <v/>
      </c>
      <c r="I138" s="25" t="str">
        <f aca="false">IF(OR(E138="",E138="!!!",F138="NEW"),"",INDEX(O$2:O127,-1+SUMPRODUCT(MAX(ROW(R$2:R127)*(E138=R$2:R127)))))</f>
        <v/>
      </c>
      <c r="J138" s="25" t="str">
        <f aca="true">IF(OR(E138="",E138="!!!",F138="NEW"),"",COUNTBLANK(OFFSET(N$1,,,SUMPRODUCT(MAX(ROW(R$2:R128)*(E138=R$2:R128)))))-COUNTBLANK(OFFSET(N$1,,,SUMPRODUCT(MAX(ROW(R$1:R127)*(R2=R$1:R127))))))</f>
        <v/>
      </c>
      <c r="K138" s="25" t="str">
        <f aca="false">IF(OR(E138="",E138="!!!",F138="NEW"),"",INDEX(W$1:W127,SUMPRODUCT(MAX(ROW(R$1:R127)*(E138=R$1:R127)))))</f>
        <v/>
      </c>
      <c r="L138" s="26"/>
    </row>
    <row r="139" customFormat="false" ht="14.25" hidden="false" customHeight="false" outlineLevel="0" collapsed="false">
      <c r="A139" s="0" t="s">
        <v>257</v>
      </c>
      <c r="B139" s="20" t="s">
        <v>148</v>
      </c>
      <c r="C139" s="20" t="s">
        <v>172</v>
      </c>
      <c r="D139" s="20" t="s">
        <v>125</v>
      </c>
      <c r="E139" s="21" t="s">
        <v>258</v>
      </c>
      <c r="F139" s="22" t="s">
        <v>259</v>
      </c>
      <c r="G139" s="23" t="str">
        <f aca="false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?REFERENTIAL</v>
      </c>
      <c r="H139" s="24" t="str">
        <f aca="false">IF(J139&lt;&gt;1,"",IF(I139="SBJ","CB","?"))</f>
        <v/>
      </c>
      <c r="I139" s="25" t="str">
        <f aca="false">IF(OR(E139="",E139="!!!",F139="NEW"),"",INDEX(O$2:O128,-1+SUMPRODUCT(MAX(ROW(R$2:R128)*(E139=R$2:R128)))))</f>
        <v/>
      </c>
      <c r="J139" s="25" t="str">
        <f aca="true">IF(OR(E139="",E139="!!!",F139="NEW"),"",COUNTBLANK(OFFSET(N$1,,,SUMPRODUCT(MAX(ROW(R$2:R129)*(E139=R$2:R129)))))-COUNTBLANK(OFFSET(N$1,,,SUMPRODUCT(MAX(ROW(R$1:R128)*(R2=R$1:R128))))))</f>
        <v/>
      </c>
      <c r="K139" s="25" t="str">
        <f aca="false">IF(OR(E139="",E139="!!!",F139="NEW"),"",INDEX(W$1:W128,SUMPRODUCT(MAX(ROW(R$1:R128)*(E139=R$1:R128)))))</f>
        <v/>
      </c>
      <c r="L139" s="26" t="s">
        <v>260</v>
      </c>
    </row>
    <row r="140" customFormat="false" ht="14.25" hidden="false" customHeight="false" outlineLevel="0" collapsed="false">
      <c r="A140" s="0" t="s">
        <v>138</v>
      </c>
      <c r="E140" s="21" t="str">
        <f aca="false">IF(Q130="?OLD","!!!","")</f>
        <v/>
      </c>
      <c r="F140" s="22" t="str">
        <f aca="false">IF(OR(E140="",E140="!!!"),"",IF(NOT(ISNA(VLOOKUP(E140,R$1:R129,1,FALSE()))),"OLD",IF(AND(E140&lt;&gt;"",E140&lt;&gt;"!!!"),"NEW","")))</f>
        <v/>
      </c>
      <c r="G140" s="23" t="str">
        <f aca="false"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aca="false">IF(J140&lt;&gt;1,"",IF(I140="SBJ","CB","?"))</f>
        <v/>
      </c>
      <c r="I140" s="25" t="str">
        <f aca="false">IF(OR(E140="",E140="!!!",F140="NEW"),"",INDEX(O$2:O129,-1+SUMPRODUCT(MAX(ROW(R$2:R129)*(E140=R$2:R129)))))</f>
        <v/>
      </c>
      <c r="J140" s="25" t="str">
        <f aca="true">IF(OR(E140="",E140="!!!",F140="NEW"),"",COUNTBLANK(OFFSET(N$1,,,SUMPRODUCT(MAX(ROW(R$2:R130)*(E140=R$2:R130)))))-COUNTBLANK(OFFSET(N$1,,,SUMPRODUCT(MAX(ROW(R$1:R129)*(R2=R$1:R129))))))</f>
        <v/>
      </c>
      <c r="K140" s="25" t="str">
        <f aca="false">IF(OR(E140="",E140="!!!",F140="NEW"),"",INDEX(W$1:W129,SUMPRODUCT(MAX(ROW(R$1:R129)*(E140=R$1:R129)))))</f>
        <v/>
      </c>
      <c r="L140" s="26"/>
    </row>
    <row r="141" customFormat="false" ht="14.25" hidden="false" customHeight="false" outlineLevel="0" collapsed="false">
      <c r="A141" s="0" t="s">
        <v>261</v>
      </c>
      <c r="B141" s="20" t="s">
        <v>150</v>
      </c>
      <c r="C141" s="20" t="s">
        <v>155</v>
      </c>
      <c r="E141" s="21"/>
      <c r="F141" s="22" t="str">
        <f aca="false">IF(OR(E141="",E141="!!!"),"",IF(NOT(ISNA(VLOOKUP(E141,R$1:R130,1,FALSE()))),"OLD",IF(AND(E141&lt;&gt;"",E141&lt;&gt;"!!!"),"NEW","")))</f>
        <v/>
      </c>
      <c r="G141" s="23" t="str">
        <f aca="false"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aca="false">IF(J141&lt;&gt;1,"",IF(I141="SBJ","CB","?"))</f>
        <v/>
      </c>
      <c r="I141" s="25" t="str">
        <f aca="false">IF(OR(E141="",E141="!!!",F141="NEW"),"",INDEX(O$2:O130,-1+SUMPRODUCT(MAX(ROW(R$2:R130)*(E141=R$2:R130)))))</f>
        <v/>
      </c>
      <c r="J141" s="25" t="str">
        <f aca="true">IF(OR(E141="",E141="!!!",F141="NEW"),"",COUNTBLANK(OFFSET(N$1,,,SUMPRODUCT(MAX(ROW(R$2:R131)*(E141=R$2:R131)))))-COUNTBLANK(OFFSET(N$1,,,SUMPRODUCT(MAX(ROW(R$1:R130)*(R2=R$1:R130))))))</f>
        <v/>
      </c>
      <c r="K141" s="25" t="str">
        <f aca="false">IF(OR(E141="",E141="!!!",F141="NEW"),"",INDEX(W$1:W130,SUMPRODUCT(MAX(ROW(R$1:R130)*(E141=R$1:R130)))))</f>
        <v/>
      </c>
      <c r="L141" s="26"/>
      <c r="O141" s="20"/>
      <c r="P141" s="20"/>
      <c r="Q141" s="20"/>
    </row>
    <row r="142" customFormat="false" ht="14.25" hidden="false" customHeight="false" outlineLevel="0" collapsed="false">
      <c r="A142" s="0" t="s">
        <v>238</v>
      </c>
      <c r="E142" s="21" t="str">
        <f aca="false">IF(Q132="?OLD","!!!","")</f>
        <v/>
      </c>
      <c r="F142" s="22" t="str">
        <f aca="false">IF(OR(E142="",E142="!!!"),"",IF(NOT(ISNA(VLOOKUP(E142,R$1:R131,1,FALSE()))),"OLD",IF(AND(E142&lt;&gt;"",E142&lt;&gt;"!!!"),"NEW","")))</f>
        <v/>
      </c>
      <c r="G142" s="23" t="str">
        <f aca="false"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aca="false">IF(J142&lt;&gt;1,"",IF(I142="SBJ","CB","?"))</f>
        <v/>
      </c>
      <c r="I142" s="25" t="str">
        <f aca="false">IF(OR(E142="",E142="!!!",F142="NEW"),"",INDEX(O$2:O131,-1+SUMPRODUCT(MAX(ROW(R$2:R131)*(E142=R$2:R131)))))</f>
        <v/>
      </c>
      <c r="J142" s="25" t="str">
        <f aca="true">IF(OR(E142="",E142="!!!",F142="NEW"),"",COUNTBLANK(OFFSET(N$1,,,SUMPRODUCT(MAX(ROW(R$2:R132)*(E142=R$2:R132)))))-COUNTBLANK(OFFSET(N$1,,,SUMPRODUCT(MAX(ROW(R$1:R131)*(R2=R$1:R131))))))</f>
        <v/>
      </c>
      <c r="K142" s="25" t="str">
        <f aca="false">IF(OR(E142="",E142="!!!",F142="NEW"),"",INDEX(W$1:W131,SUMPRODUCT(MAX(ROW(R$1:R131)*(E142=R$1:R131)))))</f>
        <v/>
      </c>
      <c r="L142" s="26"/>
    </row>
    <row r="143" customFormat="false" ht="14.25" hidden="false" customHeight="false" outlineLevel="0" collapsed="false">
      <c r="A143" s="0" t="s">
        <v>156</v>
      </c>
      <c r="E143" s="21" t="str">
        <f aca="false">IF(Q133="?OLD","!!!","")</f>
        <v/>
      </c>
      <c r="F143" s="22" t="str">
        <f aca="false">IF(OR(E143="",E143="!!!"),"",IF(NOT(ISNA(VLOOKUP(E143,R$1:R132,1,FALSE()))),"OLD",IF(AND(E143&lt;&gt;"",E143&lt;&gt;"!!!"),"NEW","")))</f>
        <v/>
      </c>
      <c r="G143" s="23" t="str">
        <f aca="false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aca="false">IF(J143&lt;&gt;1,"",IF(I143="SBJ","CB","?"))</f>
        <v/>
      </c>
      <c r="I143" s="25" t="str">
        <f aca="false">IF(OR(E143="",E143="!!!",F143="NEW"),"",INDEX(O$2:O132,-1+SUMPRODUCT(MAX(ROW(R$2:R132)*(E143=R$2:R132)))))</f>
        <v/>
      </c>
      <c r="J143" s="25" t="str">
        <f aca="true">IF(OR(E143="",E143="!!!",F143="NEW"),"",COUNTBLANK(OFFSET(N$1,,,SUMPRODUCT(MAX(ROW(R$2:R133)*(E143=R$2:R133)))))-COUNTBLANK(OFFSET(N$1,,,SUMPRODUCT(MAX(ROW(R$1:R132)*(R2=R$1:R132))))))</f>
        <v/>
      </c>
      <c r="K143" s="25" t="str">
        <f aca="false">IF(OR(E143="",E143="!!!",F143="NEW"),"",INDEX(W$1:W132,SUMPRODUCT(MAX(ROW(R$1:R132)*(E143=R$1:R132)))))</f>
        <v/>
      </c>
      <c r="L143" s="26"/>
      <c r="O143" s="20"/>
      <c r="P143" s="20"/>
    </row>
    <row r="144" customFormat="false" ht="14.25" hidden="false" customHeight="false" outlineLevel="0" collapsed="false">
      <c r="A144" s="0" t="s">
        <v>262</v>
      </c>
      <c r="B144" s="20" t="s">
        <v>133</v>
      </c>
      <c r="C144" s="20" t="s">
        <v>155</v>
      </c>
      <c r="E144" s="21"/>
      <c r="F144" s="22" t="str">
        <f aca="false">IF(OR(E144="",E144="!!!"),"",IF(NOT(ISNA(VLOOKUP(E144,R$1:R133,1,FALSE()))),"OLD",IF(AND(E144&lt;&gt;"",E144&lt;&gt;"!!!"),"NEW","")))</f>
        <v/>
      </c>
      <c r="G144" s="23" t="str">
        <f aca="false"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aca="false">IF(J144&lt;&gt;1,"",IF(I144="SBJ","CB","?"))</f>
        <v/>
      </c>
      <c r="I144" s="25" t="str">
        <f aca="false">IF(OR(E144="",E144="!!!",F144="NEW"),"",INDEX(O$2:O133,-1+SUMPRODUCT(MAX(ROW(R$2:R133)*(E144=R$2:R133)))))</f>
        <v/>
      </c>
      <c r="J144" s="25" t="str">
        <f aca="true">IF(OR(E144="",E144="!!!",F144="NEW"),"",COUNTBLANK(OFFSET(N$1,,,SUMPRODUCT(MAX(ROW(R$2:R134)*(E144=R$2:R134)))))-COUNTBLANK(OFFSET(N$1,,,SUMPRODUCT(MAX(ROW(R$1:R133)*(R2=R$1:R133))))))</f>
        <v/>
      </c>
      <c r="K144" s="25" t="str">
        <f aca="false">IF(OR(E144="",E144="!!!",F144="NEW"),"",INDEX(W$1:W133,SUMPRODUCT(MAX(ROW(R$1:R133)*(E144=R$1:R133)))))</f>
        <v/>
      </c>
      <c r="L144" s="26"/>
    </row>
    <row r="145" customFormat="false" ht="14.25" hidden="false" customHeight="false" outlineLevel="0" collapsed="false">
      <c r="A145" s="0" t="s">
        <v>226</v>
      </c>
      <c r="B145" s="20" t="s">
        <v>148</v>
      </c>
      <c r="C145" s="20" t="s">
        <v>225</v>
      </c>
      <c r="E145" s="21" t="str">
        <f aca="false">IF(Q135="?OLD","!!!","")</f>
        <v/>
      </c>
      <c r="F145" s="22" t="str">
        <f aca="false">IF(OR(E145="",E145="!!!"),"",IF(NOT(ISNA(VLOOKUP(E145,R$1:R134,1,FALSE()))),"OLD",IF(AND(E145&lt;&gt;"",E145&lt;&gt;"!!!"),"NEW","")))</f>
        <v/>
      </c>
      <c r="G145" s="23" t="str">
        <f aca="false"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aca="false">IF(J145&lt;&gt;1,"",IF(I145="SBJ","CB","?"))</f>
        <v/>
      </c>
      <c r="I145" s="25" t="str">
        <f aca="false">IF(OR(E145="",E145="!!!",F145="NEW"),"",INDEX(O$2:O134,-1+SUMPRODUCT(MAX(ROW(R$2:R134)*(E145=R$2:R134)))))</f>
        <v/>
      </c>
      <c r="J145" s="25" t="str">
        <f aca="true">IF(OR(E145="",E145="!!!",F145="NEW"),"",COUNTBLANK(OFFSET(N$1,,,SUMPRODUCT(MAX(ROW(R$2:R135)*(E145=R$2:R135)))))-COUNTBLANK(OFFSET(N$1,,,SUMPRODUCT(MAX(ROW(R$1:R134)*(R2=R$1:R134))))))</f>
        <v/>
      </c>
      <c r="K145" s="25" t="str">
        <f aca="false">IF(OR(E145="",E145="!!!",F145="NEW"),"",INDEX(W$1:W134,SUMPRODUCT(MAX(ROW(R$1:R134)*(E145=R$1:R134)))))</f>
        <v/>
      </c>
      <c r="L145" s="26"/>
      <c r="O145" s="20"/>
    </row>
    <row r="146" customFormat="false" ht="14.25" hidden="false" customHeight="false" outlineLevel="0" collapsed="false">
      <c r="A146" s="0" t="s">
        <v>263</v>
      </c>
      <c r="E146" s="21" t="str">
        <f aca="false">IF(Q136="?OLD","!!!","")</f>
        <v/>
      </c>
      <c r="F146" s="22" t="str">
        <f aca="false">IF(OR(E146="",E146="!!!"),"",IF(NOT(ISNA(VLOOKUP(E146,R$1:R135,1,FALSE()))),"OLD",IF(AND(E146&lt;&gt;"",E146&lt;&gt;"!!!"),"NEW","")))</f>
        <v/>
      </c>
      <c r="G146" s="23" t="str">
        <f aca="false"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aca="false">IF(J146&lt;&gt;1,"",IF(I146="SBJ","CB","?"))</f>
        <v/>
      </c>
      <c r="I146" s="25" t="str">
        <f aca="false">IF(OR(E146="",E146="!!!",F146="NEW"),"",INDEX(O$2:O135,-1+SUMPRODUCT(MAX(ROW(R$2:R135)*(E146=R$2:R135)))))</f>
        <v/>
      </c>
      <c r="J146" s="25" t="str">
        <f aca="true">IF(OR(E146="",E146="!!!",F146="NEW"),"",COUNTBLANK(OFFSET(N$1,,,SUMPRODUCT(MAX(ROW(R$2:R136)*(E146=R$2:R136)))))-COUNTBLANK(OFFSET(N$1,,,SUMPRODUCT(MAX(ROW(R$1:R135)*(R2=R$1:R135))))))</f>
        <v/>
      </c>
      <c r="K146" s="25" t="str">
        <f aca="false">IF(OR(E146="",E146="!!!",F146="NEW"),"",INDEX(W$1:W135,SUMPRODUCT(MAX(ROW(R$1:R135)*(E146=R$1:R135)))))</f>
        <v/>
      </c>
      <c r="L146" s="26"/>
      <c r="O146" s="20"/>
      <c r="P146" s="20"/>
      <c r="Q146" s="20"/>
    </row>
    <row r="147" customFormat="false" ht="14.25" hidden="false" customHeight="false" outlineLevel="0" collapsed="false">
      <c r="A147" s="0" t="s">
        <v>264</v>
      </c>
      <c r="B147" s="20" t="s">
        <v>133</v>
      </c>
      <c r="C147" s="20" t="s">
        <v>172</v>
      </c>
      <c r="D147" s="20" t="s">
        <v>125</v>
      </c>
      <c r="E147" s="21"/>
      <c r="F147" s="22" t="s">
        <v>265</v>
      </c>
      <c r="G147" s="23" t="str">
        <f aca="false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aca="false">IF(J147&lt;&gt;1,"",IF(I147="SBJ","CB","?"))</f>
        <v/>
      </c>
      <c r="I147" s="25" t="str">
        <f aca="false">IF(OR(E147="",E147="!!!",F147="NEW"),"",INDEX(O$2:O136,-1+SUMPRODUCT(MAX(ROW(R$2:R136)*(E147=R$2:R136)))))</f>
        <v/>
      </c>
      <c r="J147" s="25" t="str">
        <f aca="true">IF(OR(E147="",E147="!!!",F147="NEW"),"",COUNTBLANK(OFFSET(N$1,,,SUMPRODUCT(MAX(ROW(R$2:R137)*(E147=R$2:R137)))))-COUNTBLANK(OFFSET(N$1,,,SUMPRODUCT(MAX(ROW(R$1:R136)*(R2=R$1:R136))))))</f>
        <v/>
      </c>
      <c r="K147" s="25" t="str">
        <f aca="false">IF(OR(E147="",E147="!!!",F147="NEW"),"",INDEX(W$1:W136,SUMPRODUCT(MAX(ROW(R$1:R136)*(E147=R$1:R136)))))</f>
        <v/>
      </c>
      <c r="L147" s="26"/>
    </row>
    <row r="148" customFormat="false" ht="14.25" hidden="false" customHeight="false" outlineLevel="0" collapsed="false">
      <c r="A148" s="0" t="s">
        <v>266</v>
      </c>
      <c r="E148" s="21" t="str">
        <f aca="false">IF(Q138="?OLD","!!!","")</f>
        <v/>
      </c>
      <c r="F148" s="22" t="str">
        <f aca="false">IF(OR(E148="",E148="!!!"),"",IF(NOT(ISNA(VLOOKUP(E148,R$1:R137,1,FALSE()))),"OLD",IF(AND(E148&lt;&gt;"",E148&lt;&gt;"!!!"),"NEW","")))</f>
        <v/>
      </c>
      <c r="G148" s="23" t="str">
        <f aca="false"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aca="false">IF(J148&lt;&gt;1,"",IF(I148="SBJ","CB","?"))</f>
        <v/>
      </c>
      <c r="I148" s="25" t="str">
        <f aca="false">IF(OR(E148="",E148="!!!",F148="NEW"),"",INDEX(O$2:O137,-1+SUMPRODUCT(MAX(ROW(R$2:R137)*(E148=R$2:R137)))))</f>
        <v/>
      </c>
      <c r="J148" s="25" t="str">
        <f aca="true">IF(OR(E148="",E148="!!!",F148="NEW"),"",COUNTBLANK(OFFSET(N$1,,,SUMPRODUCT(MAX(ROW(R$2:R138)*(E148=R$2:R138)))))-COUNTBLANK(OFFSET(N$1,,,SUMPRODUCT(MAX(ROW(R$1:R137)*(R2=R$1:R137))))))</f>
        <v/>
      </c>
      <c r="K148" s="25" t="str">
        <f aca="false">IF(OR(E148="",E148="!!!",F148="NEW"),"",INDEX(W$1:W137,SUMPRODUCT(MAX(ROW(R$1:R137)*(E148=R$1:R137)))))</f>
        <v/>
      </c>
      <c r="L148" s="26"/>
    </row>
    <row r="149" customFormat="false" ht="14.25" hidden="false" customHeight="false" outlineLevel="0" collapsed="false">
      <c r="A149" s="0" t="s">
        <v>267</v>
      </c>
      <c r="E149" s="21" t="str">
        <f aca="false">IF(Q139="?OLD","!!!","")</f>
        <v/>
      </c>
      <c r="F149" s="22" t="str">
        <f aca="false">IF(OR(E149="",E149="!!!"),"",IF(NOT(ISNA(VLOOKUP(E149,R$1:R138,1,FALSE()))),"OLD",IF(AND(E149&lt;&gt;"",E149&lt;&gt;"!!!"),"NEW","")))</f>
        <v/>
      </c>
      <c r="G149" s="23" t="str">
        <f aca="false"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aca="false">IF(J149&lt;&gt;1,"",IF(I149="SBJ","CB","?"))</f>
        <v/>
      </c>
      <c r="I149" s="25" t="str">
        <f aca="false">IF(OR(E149="",E149="!!!",F149="NEW"),"",INDEX(O$2:O138,-1+SUMPRODUCT(MAX(ROW(R$2:R138)*(E149=R$2:R138)))))</f>
        <v/>
      </c>
      <c r="J149" s="25" t="str">
        <f aca="true">IF(OR(E149="",E149="!!!",F149="NEW"),"",COUNTBLANK(OFFSET(N$1,,,SUMPRODUCT(MAX(ROW(R$2:R139)*(E149=R$2:R139)))))-COUNTBLANK(OFFSET(N$1,,,SUMPRODUCT(MAX(ROW(R$1:R138)*(R2=R$1:R138))))))</f>
        <v/>
      </c>
      <c r="K149" s="25" t="str">
        <f aca="false">IF(OR(E149="",E149="!!!",F149="NEW"),"",INDEX(W$1:W138,SUMPRODUCT(MAX(ROW(R$1:R138)*(E149=R$1:R138)))))</f>
        <v/>
      </c>
      <c r="L149" s="26"/>
    </row>
    <row r="150" customFormat="false" ht="14.25" hidden="false" customHeight="false" outlineLevel="0" collapsed="false">
      <c r="A150" s="0" t="s">
        <v>160</v>
      </c>
      <c r="E150" s="21" t="str">
        <f aca="false">IF(Q140="?OLD","!!!","")</f>
        <v/>
      </c>
      <c r="F150" s="22" t="str">
        <f aca="false">IF(OR(E150="",E150="!!!"),"",IF(NOT(ISNA(VLOOKUP(E150,R$1:R139,1,FALSE()))),"OLD",IF(AND(E150&lt;&gt;"",E150&lt;&gt;"!!!"),"NEW","")))</f>
        <v/>
      </c>
      <c r="G150" s="23" t="str">
        <f aca="false"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aca="false">IF(J150&lt;&gt;1,"",IF(I150="SBJ","CB","?"))</f>
        <v/>
      </c>
      <c r="I150" s="25" t="str">
        <f aca="false">IF(OR(E150="",E150="!!!",F150="NEW"),"",INDEX(O$2:O139,-1+SUMPRODUCT(MAX(ROW(R$2:R139)*(E150=R$2:R139)))))</f>
        <v/>
      </c>
      <c r="J150" s="25" t="str">
        <f aca="true">IF(OR(E150="",E150="!!!",F150="NEW"),"",COUNTBLANK(OFFSET(N$1,,,SUMPRODUCT(MAX(ROW(R$2:R140)*(E150=R$2:R140)))))-COUNTBLANK(OFFSET(N$1,,,SUMPRODUCT(MAX(ROW(R$1:R139)*(R2=R$1:R139))))))</f>
        <v/>
      </c>
      <c r="K150" s="25" t="str">
        <f aca="false">IF(OR(E150="",E150="!!!",F150="NEW"),"",INDEX(W$1:W139,SUMPRODUCT(MAX(ROW(R$1:R139)*(E150=R$1:R139)))))</f>
        <v/>
      </c>
      <c r="L150" s="26"/>
    </row>
    <row r="152" customFormat="false" ht="14.25" hidden="false" customHeight="false" outlineLevel="0" collapsed="false">
      <c r="A152" s="0" t="s">
        <v>268</v>
      </c>
      <c r="O152" s="20"/>
      <c r="P152" s="20"/>
      <c r="Q152" s="20"/>
    </row>
    <row r="153" customFormat="false" ht="14.25" hidden="false" customHeight="false" outlineLevel="0" collapsed="false">
      <c r="A153" s="0" t="s">
        <v>122</v>
      </c>
      <c r="B153" s="20" t="s">
        <v>164</v>
      </c>
      <c r="C153" s="20" t="s">
        <v>124</v>
      </c>
      <c r="D153" s="20" t="s">
        <v>125</v>
      </c>
      <c r="E153" s="21" t="s">
        <v>126</v>
      </c>
      <c r="F153" s="22" t="str">
        <f aca="false">IF(OR(E153="",E153="!!!"),"",IF(NOT(ISNA(VLOOKUP(E153,R$1:R140,1,FALSE()))),"OLD",IF(AND(E153&lt;&gt;"",E153&lt;&gt;"!!!"),"NEW","")))</f>
        <v>NEW</v>
      </c>
      <c r="G153" s="23" t="str">
        <f aca="false"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?REFERENTIAL</v>
      </c>
      <c r="H153" s="24" t="str">
        <f aca="false">IF(J153&lt;&gt;1,"",IF(I153="SBJ","CB","?"))</f>
        <v/>
      </c>
      <c r="I153" s="25" t="str">
        <f aca="false">IF(OR(E153="",E153="!!!",F153="NEW"),"",INDEX(O$2:O140,-1+SUMPRODUCT(MAX(ROW(R$2:R140)*(E153=R$2:R140)))))</f>
        <v/>
      </c>
      <c r="J153" s="25" t="str">
        <f aca="true">IF(OR(E153="",E153="!!!",F153="NEW"),"",COUNTBLANK(OFFSET(N$1,,,SUMPRODUCT(MAX(ROW(R$2:R141)*(E153=R$2:R141)))))-COUNTBLANK(OFFSET(N$1,,,SUMPRODUCT(MAX(ROW(R$1:R140)*(R2=R$1:R140))))))</f>
        <v/>
      </c>
      <c r="K153" s="25" t="str">
        <f aca="false">IF(OR(E153="",E153="!!!",F153="NEW"),"",INDEX(W$1:W140,SUMPRODUCT(MAX(ROW(R$1:R140)*(E153=R$1:R140)))))</f>
        <v/>
      </c>
      <c r="L153" s="26"/>
      <c r="O153" s="20"/>
    </row>
    <row r="154" customFormat="false" ht="14.25" hidden="false" customHeight="false" outlineLevel="0" collapsed="false">
      <c r="A154" s="0" t="s">
        <v>269</v>
      </c>
      <c r="E154" s="21" t="str">
        <f aca="false">IF(Q142="?OLD","!!!","")</f>
        <v/>
      </c>
      <c r="F154" s="22" t="str">
        <f aca="false">IF(OR(E154="",E154="!!!"),"",IF(NOT(ISNA(VLOOKUP(E154,R$1:R141,1,FALSE()))),"OLD",IF(AND(E154&lt;&gt;"",E154&lt;&gt;"!!!"),"NEW","")))</f>
        <v/>
      </c>
      <c r="G154" s="23" t="str">
        <f aca="false"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aca="false">IF(J154&lt;&gt;1,"",IF(I154="SBJ","CB","?"))</f>
        <v/>
      </c>
      <c r="I154" s="25" t="str">
        <f aca="false">IF(OR(E154="",E154="!!!",F154="NEW"),"",INDEX(O$2:O141,-1+SUMPRODUCT(MAX(ROW(R$2:R141)*(E154=R$2:R141)))))</f>
        <v/>
      </c>
      <c r="J154" s="25" t="str">
        <f aca="true">IF(OR(E154="",E154="!!!",F154="NEW"),"",COUNTBLANK(OFFSET(N$1,,,SUMPRODUCT(MAX(ROW(R$2:R142)*(E154=R$2:R142)))))-COUNTBLANK(OFFSET(N$1,,,SUMPRODUCT(MAX(ROW(R$1:R141)*(R2=R$1:R141))))))</f>
        <v/>
      </c>
      <c r="K154" s="25" t="str">
        <f aca="false">IF(OR(E154="",E154="!!!",F154="NEW"),"",INDEX(W$1:W141,SUMPRODUCT(MAX(ROW(R$1:R141)*(E154=R$1:R141)))))</f>
        <v/>
      </c>
      <c r="L154" s="26"/>
    </row>
    <row r="155" customFormat="false" ht="23.85" hidden="false" customHeight="false" outlineLevel="0" collapsed="false">
      <c r="A155" s="0" t="s">
        <v>270</v>
      </c>
      <c r="B155" s="20" t="s">
        <v>187</v>
      </c>
      <c r="C155" s="20" t="s">
        <v>155</v>
      </c>
      <c r="E155" s="21" t="s">
        <v>271</v>
      </c>
      <c r="F155" s="22" t="s">
        <v>259</v>
      </c>
      <c r="G155" s="23" t="str">
        <f aca="false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?REFERENTIAL</v>
      </c>
      <c r="H155" s="24" t="str">
        <f aca="false">IF(J155&lt;&gt;1,"",IF(I155="SBJ","CB","?"))</f>
        <v/>
      </c>
      <c r="I155" s="25" t="str">
        <f aca="false">IF(OR(E155="",E155="!!!",F155="NEW"),"",INDEX(O$2:O142,-1+SUMPRODUCT(MAX(ROW(R$2:R142)*(E155=R$2:R142)))))</f>
        <v/>
      </c>
      <c r="J155" s="25" t="str">
        <f aca="true">IF(OR(E155="",E155="!!!",F155="NEW"),"",COUNTBLANK(OFFSET(N$1,,,SUMPRODUCT(MAX(ROW(R$2:R143)*(E155=R$2:R143)))))-COUNTBLANK(OFFSET(N$1,,,SUMPRODUCT(MAX(ROW(R$1:R142)*(R2=R$1:R142))))))</f>
        <v/>
      </c>
      <c r="K155" s="25" t="str">
        <f aca="false">IF(OR(E155="",E155="!!!",F155="NEW"),"",INDEX(W$1:W142,SUMPRODUCT(MAX(ROW(R$1:R142)*(E155=R$1:R142)))))</f>
        <v/>
      </c>
      <c r="L155" s="26" t="s">
        <v>272</v>
      </c>
      <c r="O155" s="20"/>
      <c r="P155" s="20"/>
      <c r="Q155" s="20"/>
    </row>
    <row r="156" customFormat="false" ht="14.25" hidden="false" customHeight="false" outlineLevel="0" collapsed="false">
      <c r="A156" s="0" t="s">
        <v>140</v>
      </c>
      <c r="E156" s="21" t="str">
        <f aca="false">IF(Q144="?OLD","!!!","")</f>
        <v/>
      </c>
      <c r="F156" s="22" t="str">
        <f aca="false">IF(OR(E156="",E156="!!!"),"",IF(NOT(ISNA(VLOOKUP(E156,R$1:R143,1,FALSE()))),"OLD",IF(AND(E156&lt;&gt;"",E156&lt;&gt;"!!!"),"NEW","")))</f>
        <v/>
      </c>
      <c r="G156" s="23" t="str">
        <f aca="false"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aca="false">IF(J156&lt;&gt;1,"",IF(I156="SBJ","CB","?"))</f>
        <v/>
      </c>
      <c r="I156" s="25" t="str">
        <f aca="false">IF(OR(E156="",E156="!!!",F156="NEW"),"",INDEX(O$2:O143,-1+SUMPRODUCT(MAX(ROW(R$2:R143)*(E156=R$2:R143)))))</f>
        <v/>
      </c>
      <c r="J156" s="25" t="str">
        <f aca="true">IF(OR(E156="",E156="!!!",F156="NEW"),"",COUNTBLANK(OFFSET(N$1,,,SUMPRODUCT(MAX(ROW(R$2:R144)*(E156=R$2:R144)))))-COUNTBLANK(OFFSET(N$1,,,SUMPRODUCT(MAX(ROW(R$1:R143)*(R2=R$1:R143))))))</f>
        <v/>
      </c>
      <c r="K156" s="25" t="str">
        <f aca="false">IF(OR(E156="",E156="!!!",F156="NEW"),"",INDEX(W$1:W143,SUMPRODUCT(MAX(ROW(R$1:R143)*(E156=R$1:R143)))))</f>
        <v/>
      </c>
      <c r="L156" s="26"/>
      <c r="O156" s="20"/>
      <c r="P156" s="20"/>
      <c r="Q156" s="20"/>
    </row>
    <row r="157" customFormat="false" ht="14.25" hidden="false" customHeight="false" outlineLevel="0" collapsed="false">
      <c r="A157" s="0" t="s">
        <v>273</v>
      </c>
      <c r="B157" s="20" t="s">
        <v>274</v>
      </c>
      <c r="E157" s="21"/>
      <c r="F157" s="22" t="str">
        <f aca="false">IF(OR(E157="",E157="!!!"),"",IF(NOT(ISNA(VLOOKUP(E157,R$1:R144,1,FALSE()))),"OLD",IF(AND(E157&lt;&gt;"",E157&lt;&gt;"!!!"),"NEW","")))</f>
        <v/>
      </c>
      <c r="G157" s="23" t="str">
        <f aca="false"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aca="false">IF(J157&lt;&gt;1,"",IF(I157="SBJ","CB","?"))</f>
        <v/>
      </c>
      <c r="I157" s="25" t="str">
        <f aca="false">IF(OR(E157="",E157="!!!",F157="NEW"),"",INDEX(O$2:O144,-1+SUMPRODUCT(MAX(ROW(R$2:R144)*(E157=R$2:R144)))))</f>
        <v/>
      </c>
      <c r="J157" s="25" t="str">
        <f aca="true">IF(OR(E157="",E157="!!!",F157="NEW"),"",COUNTBLANK(OFFSET(N$1,,,SUMPRODUCT(MAX(ROW(R$2:R145)*(E157=R$2:R145)))))-COUNTBLANK(OFFSET(N$1,,,SUMPRODUCT(MAX(ROW(R$1:R144)*(R2=R$1:R144))))))</f>
        <v/>
      </c>
      <c r="K157" s="25" t="str">
        <f aca="false">IF(OR(E157="",E157="!!!",F157="NEW"),"",INDEX(W$1:W144,SUMPRODUCT(MAX(ROW(R$1:R144)*(E157=R$1:R144)))))</f>
        <v/>
      </c>
      <c r="L157" s="26"/>
    </row>
    <row r="158" customFormat="false" ht="14.25" hidden="false" customHeight="false" outlineLevel="0" collapsed="false">
      <c r="A158" s="0" t="s">
        <v>204</v>
      </c>
      <c r="B158" s="20" t="s">
        <v>235</v>
      </c>
      <c r="C158" s="20" t="s">
        <v>124</v>
      </c>
      <c r="D158" s="20" t="s">
        <v>125</v>
      </c>
      <c r="E158" s="21" t="s">
        <v>126</v>
      </c>
      <c r="F158" s="22" t="str">
        <f aca="false">IF(OR(E158="",E158="!!!"),"",IF(NOT(ISNA(VLOOKUP(E158,R$1:R145,1,FALSE()))),"OLD",IF(AND(E158&lt;&gt;"",E158&lt;&gt;"!!!"),"NEW","")))</f>
        <v>NEW</v>
      </c>
      <c r="G158" s="23" t="str">
        <f aca="false"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?REFERENTIAL</v>
      </c>
      <c r="H158" s="24" t="str">
        <f aca="false">IF(J158&lt;&gt;1,"",IF(I158="SBJ","CB","?"))</f>
        <v/>
      </c>
      <c r="I158" s="25" t="str">
        <f aca="false">IF(OR(E158="",E158="!!!",F158="NEW"),"",INDEX(O$2:O145,-1+SUMPRODUCT(MAX(ROW(R$2:R145)*(E158=R$2:R145)))))</f>
        <v/>
      </c>
      <c r="J158" s="25" t="str">
        <f aca="true">IF(OR(E158="",E158="!!!",F158="NEW"),"",COUNTBLANK(OFFSET(N$1,,,SUMPRODUCT(MAX(ROW(R$2:R146)*(E158=R$2:R146)))))-COUNTBLANK(OFFSET(N$1,,,SUMPRODUCT(MAX(ROW(R$1:R145)*(R2=R$1:R145))))))</f>
        <v/>
      </c>
      <c r="K158" s="25" t="str">
        <f aca="false">IF(OR(E158="",E158="!!!",F158="NEW"),"",INDEX(W$1:W145,SUMPRODUCT(MAX(ROW(R$1:R145)*(E158=R$1:R145)))))</f>
        <v/>
      </c>
      <c r="L158" s="26"/>
    </row>
    <row r="159" customFormat="false" ht="14.25" hidden="false" customHeight="false" outlineLevel="0" collapsed="false">
      <c r="A159" s="0" t="s">
        <v>275</v>
      </c>
      <c r="E159" s="21"/>
      <c r="F159" s="22" t="str">
        <f aca="false">IF(OR(E159="",E159="!!!"),"",IF(NOT(ISNA(VLOOKUP(E159,R$1:R146,1,FALSE()))),"OLD",IF(AND(E159&lt;&gt;"",E159&lt;&gt;"!!!"),"NEW","")))</f>
        <v/>
      </c>
      <c r="G159" s="23" t="str">
        <f aca="false"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aca="false">IF(J159&lt;&gt;1,"",IF(I159="SBJ","CB","?"))</f>
        <v/>
      </c>
      <c r="I159" s="25" t="str">
        <f aca="false">IF(OR(E159="",E159="!!!",F159="NEW"),"",INDEX(O$2:O146,-1+SUMPRODUCT(MAX(ROW(R$2:R146)*(E159=R$2:R146)))))</f>
        <v/>
      </c>
      <c r="J159" s="25" t="str">
        <f aca="true">IF(OR(E159="",E159="!!!",F159="NEW"),"",COUNTBLANK(OFFSET(N$1,,,SUMPRODUCT(MAX(ROW(R$2:R147)*(E159=R$2:R147)))))-COUNTBLANK(OFFSET(N$1,,,SUMPRODUCT(MAX(ROW(R$1:R146)*(R2=R$1:R146))))))</f>
        <v/>
      </c>
      <c r="K159" s="25" t="str">
        <f aca="false">IF(OR(E159="",E159="!!!",F159="NEW"),"",INDEX(W$1:W146,SUMPRODUCT(MAX(ROW(R$1:R146)*(E159=R$1:R146)))))</f>
        <v/>
      </c>
      <c r="L159" s="26"/>
    </row>
    <row r="160" customFormat="false" ht="14.25" hidden="false" customHeight="false" outlineLevel="0" collapsed="false">
      <c r="A160" s="0" t="s">
        <v>140</v>
      </c>
      <c r="E160" s="21" t="str">
        <f aca="false">IF(Q148="?OLD","!!!","")</f>
        <v/>
      </c>
      <c r="F160" s="22" t="str">
        <f aca="false">IF(OR(E160="",E160="!!!"),"",IF(NOT(ISNA(VLOOKUP(E160,R$1:R147,1,FALSE()))),"OLD",IF(AND(E160&lt;&gt;"",E160&lt;&gt;"!!!"),"NEW","")))</f>
        <v/>
      </c>
      <c r="G160" s="23" t="str">
        <f aca="false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aca="false">IF(J160&lt;&gt;1,"",IF(I160="SBJ","CB","?"))</f>
        <v/>
      </c>
      <c r="I160" s="25" t="str">
        <f aca="false">IF(OR(E160="",E160="!!!",F160="NEW"),"",INDEX(O$2:O147,-1+SUMPRODUCT(MAX(ROW(R$2:R147)*(E160=R$2:R147)))))</f>
        <v/>
      </c>
      <c r="J160" s="25" t="str">
        <f aca="true">IF(OR(E160="",E160="!!!",F160="NEW"),"",COUNTBLANK(OFFSET(N$1,,,SUMPRODUCT(MAX(ROW(R$2:R148)*(E160=R$2:R148)))))-COUNTBLANK(OFFSET(N$1,,,SUMPRODUCT(MAX(ROW(R$1:R147)*(R2=R$1:R147))))))</f>
        <v/>
      </c>
      <c r="K160" s="25" t="str">
        <f aca="false">IF(OR(E160="",E160="!!!",F160="NEW"),"",INDEX(W$1:W147,SUMPRODUCT(MAX(ROW(R$1:R147)*(E160=R$1:R147)))))</f>
        <v/>
      </c>
      <c r="L160" s="26"/>
    </row>
    <row r="161" customFormat="false" ht="14.25" hidden="false" customHeight="false" outlineLevel="0" collapsed="false">
      <c r="A161" s="0" t="s">
        <v>276</v>
      </c>
      <c r="E161" s="21" t="str">
        <f aca="false">IF(Q149="?OLD","!!!","")</f>
        <v/>
      </c>
      <c r="F161" s="22" t="str">
        <f aca="false">IF(OR(E161="",E161="!!!"),"",IF(NOT(ISNA(VLOOKUP(E161,R$1:R148,1,FALSE()))),"OLD",IF(AND(E161&lt;&gt;"",E161&lt;&gt;"!!!"),"NEW","")))</f>
        <v/>
      </c>
      <c r="G161" s="23" t="str">
        <f aca="false"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aca="false">IF(J161&lt;&gt;1,"",IF(I161="SBJ","CB","?"))</f>
        <v/>
      </c>
      <c r="I161" s="25" t="str">
        <f aca="false">IF(OR(E161="",E161="!!!",F161="NEW"),"",INDEX(O$2:O148,-1+SUMPRODUCT(MAX(ROW(R$2:R148)*(E161=R$2:R148)))))</f>
        <v/>
      </c>
      <c r="J161" s="25" t="str">
        <f aca="true">IF(OR(E161="",E161="!!!",F161="NEW"),"",COUNTBLANK(OFFSET(N$1,,,SUMPRODUCT(MAX(ROW(R$2:R149)*(E161=R$2:R149)))))-COUNTBLANK(OFFSET(N$1,,,SUMPRODUCT(MAX(ROW(R$1:R148)*(R2=R$1:R148))))))</f>
        <v/>
      </c>
      <c r="K161" s="25" t="str">
        <f aca="false">IF(OR(E161="",E161="!!!",F161="NEW"),"",INDEX(W$1:W148,SUMPRODUCT(MAX(ROW(R$1:R148)*(E161=R$1:R148)))))</f>
        <v/>
      </c>
      <c r="L161" s="26"/>
      <c r="O161" s="20"/>
      <c r="P161" s="20"/>
    </row>
    <row r="162" customFormat="false" ht="14.25" hidden="false" customHeight="false" outlineLevel="0" collapsed="false">
      <c r="A162" s="0" t="s">
        <v>140</v>
      </c>
      <c r="E162" s="21" t="str">
        <f aca="false">IF(Q150="?OLD","!!!","")</f>
        <v/>
      </c>
      <c r="F162" s="22" t="str">
        <f aca="false">IF(OR(E162="",E162="!!!"),"",IF(NOT(ISNA(VLOOKUP(E162,R$1:R149,1,FALSE()))),"OLD",IF(AND(E162&lt;&gt;"",E162&lt;&gt;"!!!"),"NEW","")))</f>
        <v/>
      </c>
      <c r="G162" s="23" t="str">
        <f aca="false"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aca="false">IF(J162&lt;&gt;1,"",IF(I162="SBJ","CB","?"))</f>
        <v/>
      </c>
      <c r="I162" s="25" t="str">
        <f aca="false">IF(OR(E162="",E162="!!!",F162="NEW"),"",INDEX(O$2:O149,-1+SUMPRODUCT(MAX(ROW(R$2:R149)*(E162=R$2:R149)))))</f>
        <v/>
      </c>
      <c r="J162" s="25" t="str">
        <f aca="true">IF(OR(E162="",E162="!!!",F162="NEW"),"",COUNTBLANK(OFFSET(N$1,,,SUMPRODUCT(MAX(ROW(R$2:R150)*(E162=R$2:R150)))))-COUNTBLANK(OFFSET(N$1,,,SUMPRODUCT(MAX(ROW(R$1:R149)*(R2=R$1:R149))))))</f>
        <v/>
      </c>
      <c r="K162" s="25" t="str">
        <f aca="false">IF(OR(E162="",E162="!!!",F162="NEW"),"",INDEX(W$1:W149,SUMPRODUCT(MAX(ROW(R$1:R149)*(E162=R$1:R149)))))</f>
        <v/>
      </c>
      <c r="L162" s="26"/>
    </row>
    <row r="163" customFormat="false" ht="14.25" hidden="false" customHeight="false" outlineLevel="0" collapsed="false">
      <c r="A163" s="0" t="s">
        <v>277</v>
      </c>
      <c r="E163" s="21" t="str">
        <f aca="false">IF(Q151="?OLD","!!!","")</f>
        <v/>
      </c>
      <c r="F163" s="22" t="str">
        <f aca="false">IF(OR(E163="",E163="!!!"),"",IF(NOT(ISNA(VLOOKUP(E163,R$1:R150,1,FALSE()))),"OLD",IF(AND(E163&lt;&gt;"",E163&lt;&gt;"!!!"),"NEW","")))</f>
        <v/>
      </c>
      <c r="G163" s="23" t="str">
        <f aca="false"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aca="false">IF(J163&lt;&gt;1,"",IF(I163="SBJ","CB","?"))</f>
        <v/>
      </c>
      <c r="I163" s="25" t="str">
        <f aca="false">IF(OR(E163="",E163="!!!",F163="NEW"),"",INDEX(O$2:O150,-1+SUMPRODUCT(MAX(ROW(R$2:R150)*(E163=R$2:R150)))))</f>
        <v/>
      </c>
      <c r="J163" s="25" t="str">
        <f aca="true">IF(OR(E163="",E163="!!!",F163="NEW"),"",COUNTBLANK(OFFSET(N$1,,,SUMPRODUCT(MAX(ROW(R$2:R151)*(E163=R$2:R151)))))-COUNTBLANK(OFFSET(N$1,,,SUMPRODUCT(MAX(ROW(R$1:R150)*(R2=R$1:R150))))))</f>
        <v/>
      </c>
      <c r="K163" s="25" t="str">
        <f aca="false">IF(OR(E163="",E163="!!!",F163="NEW"),"",INDEX(W$1:W150,SUMPRODUCT(MAX(ROW(R$1:R150)*(E163=R$1:R150)))))</f>
        <v/>
      </c>
      <c r="L163" s="26"/>
      <c r="O163" s="20"/>
      <c r="P163" s="20"/>
      <c r="Q163" s="20"/>
    </row>
    <row r="164" customFormat="false" ht="14.25" hidden="false" customHeight="false" outlineLevel="0" collapsed="false">
      <c r="A164" s="0" t="s">
        <v>253</v>
      </c>
      <c r="B164" s="20" t="s">
        <v>235</v>
      </c>
      <c r="C164" s="20" t="s">
        <v>209</v>
      </c>
      <c r="D164" s="20" t="s">
        <v>125</v>
      </c>
      <c r="E164" s="21" t="s">
        <v>271</v>
      </c>
      <c r="F164" s="22" t="str">
        <f aca="false">IF(OR(E164="",E164="!!!"),"",IF(NOT(ISNA(VLOOKUP(E164,R$1:R151,1,FALSE()))),"OLD",IF(AND(E164&lt;&gt;"",E164&lt;&gt;"!!!"),"NEW","")))</f>
        <v>NEW</v>
      </c>
      <c r="G164" s="23" t="str">
        <f aca="false"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?REFERENTIAL</v>
      </c>
      <c r="H164" s="24" t="str">
        <f aca="false">IF(J164&lt;&gt;1,"",IF(I164="SBJ","CB","?"))</f>
        <v/>
      </c>
      <c r="I164" s="25" t="str">
        <f aca="false">IF(OR(E164="",E164="!!!",F164="NEW"),"",INDEX(O$2:O151,-1+SUMPRODUCT(MAX(ROW(R$2:R151)*(E164=R$2:R151)))))</f>
        <v/>
      </c>
      <c r="J164" s="25" t="str">
        <f aca="true">IF(OR(E164="",E164="!!!",F164="NEW"),"",COUNTBLANK(OFFSET(N$1,,,SUMPRODUCT(MAX(ROW(R$2:R152)*(E164=R$2:R152)))))-COUNTBLANK(OFFSET(N$1,,,SUMPRODUCT(MAX(ROW(R$1:R151)*(R2=R$1:R151))))))</f>
        <v/>
      </c>
      <c r="K164" s="25" t="str">
        <f aca="false">IF(OR(E164="",E164="!!!",F164="NEW"),"",INDEX(W$1:W151,SUMPRODUCT(MAX(ROW(R$1:R151)*(E164=R$1:R151)))))</f>
        <v/>
      </c>
      <c r="L164" s="26"/>
    </row>
    <row r="165" customFormat="false" ht="14.25" hidden="false" customHeight="false" outlineLevel="0" collapsed="false">
      <c r="A165" s="0" t="s">
        <v>278</v>
      </c>
      <c r="B165" s="20" t="s">
        <v>274</v>
      </c>
      <c r="E165" s="21" t="str">
        <f aca="false">IF(Q153="?OLD","!!!","")</f>
        <v/>
      </c>
      <c r="F165" s="22" t="str">
        <f aca="false">IF(OR(E165="",E165="!!!"),"",IF(NOT(ISNA(VLOOKUP(E165,R$1:R152,1,FALSE()))),"OLD",IF(AND(E165&lt;&gt;"",E165&lt;&gt;"!!!"),"NEW","")))</f>
        <v/>
      </c>
      <c r="G165" s="23" t="str">
        <f aca="false"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aca="false">IF(J165&lt;&gt;1,"",IF(I165="SBJ","CB","?"))</f>
        <v/>
      </c>
      <c r="I165" s="25" t="str">
        <f aca="false">IF(OR(E165="",E165="!!!",F165="NEW"),"",INDEX(O$2:O152,-1+SUMPRODUCT(MAX(ROW(R$2:R152)*(E165=R$2:R152)))))</f>
        <v/>
      </c>
      <c r="J165" s="25" t="str">
        <f aca="true">IF(OR(E165="",E165="!!!",F165="NEW"),"",COUNTBLANK(OFFSET(N$1,,,SUMPRODUCT(MAX(ROW(R$2:R153)*(E165=R$2:R153)))))-COUNTBLANK(OFFSET(N$1,,,SUMPRODUCT(MAX(ROW(R$1:R152)*(R2=R$1:R152))))))</f>
        <v/>
      </c>
      <c r="K165" s="25" t="str">
        <f aca="false">IF(OR(E165="",E165="!!!",F165="NEW"),"",INDEX(W$1:W152,SUMPRODUCT(MAX(ROW(R$1:R152)*(E165=R$1:R152)))))</f>
        <v/>
      </c>
      <c r="L165" s="26"/>
    </row>
    <row r="166" customFormat="false" ht="14.25" hidden="false" customHeight="false" outlineLevel="0" collapsed="false">
      <c r="A166" s="0" t="s">
        <v>255</v>
      </c>
      <c r="E166" s="21" t="str">
        <f aca="false">IF(Q154="?OLD","!!!","")</f>
        <v/>
      </c>
      <c r="F166" s="22" t="str">
        <f aca="false">IF(OR(E166="",E166="!!!"),"",IF(NOT(ISNA(VLOOKUP(E166,R$1:R153,1,FALSE()))),"OLD",IF(AND(E166&lt;&gt;"",E166&lt;&gt;"!!!"),"NEW","")))</f>
        <v/>
      </c>
      <c r="G166" s="23" t="str">
        <f aca="false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aca="false">IF(J166&lt;&gt;1,"",IF(I166="SBJ","CB","?"))</f>
        <v/>
      </c>
      <c r="I166" s="25" t="str">
        <f aca="false">IF(OR(E166="",E166="!!!",F166="NEW"),"",INDEX(O$2:O153,-1+SUMPRODUCT(MAX(ROW(R$2:R153)*(E166=R$2:R153)))))</f>
        <v/>
      </c>
      <c r="J166" s="25" t="str">
        <f aca="true">IF(OR(E166="",E166="!!!",F166="NEW"),"",COUNTBLANK(OFFSET(N$1,,,SUMPRODUCT(MAX(ROW(R$2:R154)*(E166=R$2:R154)))))-COUNTBLANK(OFFSET(N$1,,,SUMPRODUCT(MAX(ROW(R$1:R153)*(R2=R$1:R153))))))</f>
        <v/>
      </c>
      <c r="K166" s="25" t="str">
        <f aca="false">IF(OR(E166="",E166="!!!",F166="NEW"),"",INDEX(W$1:W153,SUMPRODUCT(MAX(ROW(R$1:R153)*(E166=R$1:R153)))))</f>
        <v/>
      </c>
      <c r="L166" s="26"/>
    </row>
    <row r="167" customFormat="false" ht="14.25" hidden="false" customHeight="false" outlineLevel="0" collapsed="false">
      <c r="A167" s="0" t="s">
        <v>191</v>
      </c>
      <c r="B167" s="20" t="s">
        <v>232</v>
      </c>
      <c r="C167" s="20" t="s">
        <v>192</v>
      </c>
      <c r="D167" s="20" t="s">
        <v>125</v>
      </c>
      <c r="E167" s="21"/>
      <c r="F167" s="22" t="str">
        <f aca="false">IF(OR(E167="",E167="!!!"),"",IF(NOT(ISNA(VLOOKUP(E167,R$1:R154,1,FALSE()))),"OLD",IF(AND(E167&lt;&gt;"",E167&lt;&gt;"!!!"),"NEW","")))</f>
        <v/>
      </c>
      <c r="G167" s="23" t="str">
        <f aca="false"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aca="false">IF(J167&lt;&gt;1,"",IF(I167="SBJ","CB","?"))</f>
        <v/>
      </c>
      <c r="I167" s="25" t="str">
        <f aca="false">IF(OR(E167="",E167="!!!",F167="NEW"),"",INDEX(O$2:O154,-1+SUMPRODUCT(MAX(ROW(R$2:R154)*(E167=R$2:R154)))))</f>
        <v/>
      </c>
      <c r="J167" s="25" t="str">
        <f aca="true">IF(OR(E167="",E167="!!!",F167="NEW"),"",COUNTBLANK(OFFSET(N$1,,,SUMPRODUCT(MAX(ROW(R$2:R155)*(E167=R$2:R155)))))-COUNTBLANK(OFFSET(N$1,,,SUMPRODUCT(MAX(ROW(R$1:R154)*(R2=R$1:R154))))))</f>
        <v/>
      </c>
      <c r="K167" s="25" t="str">
        <f aca="false">IF(OR(E167="",E167="!!!",F167="NEW"),"",INDEX(W$1:W154,SUMPRODUCT(MAX(ROW(R$1:R154)*(E167=R$1:R154)))))</f>
        <v/>
      </c>
      <c r="L167" s="26" t="s">
        <v>193</v>
      </c>
    </row>
    <row r="168" customFormat="false" ht="23.85" hidden="false" customHeight="false" outlineLevel="0" collapsed="false">
      <c r="A168" s="0" t="s">
        <v>279</v>
      </c>
      <c r="B168" s="20" t="s">
        <v>150</v>
      </c>
      <c r="C168" s="20" t="s">
        <v>195</v>
      </c>
      <c r="D168" s="20" t="s">
        <v>125</v>
      </c>
      <c r="E168" s="21" t="s">
        <v>258</v>
      </c>
      <c r="F168" s="22" t="str">
        <f aca="false">IF(OR(E168="",E168="!!!"),"",IF(NOT(ISNA(VLOOKUP(E168,R$1:R155,1,FALSE()))),"OLD",IF(AND(E168&lt;&gt;"",E168&lt;&gt;"!!!"),"NEW","")))</f>
        <v>NEW</v>
      </c>
      <c r="G168" s="23" t="str">
        <f aca="false"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?REFERENTIAL</v>
      </c>
      <c r="H168" s="24" t="str">
        <f aca="false">IF(J168&lt;&gt;1,"",IF(I168="SBJ","CB","?"))</f>
        <v/>
      </c>
      <c r="I168" s="25" t="str">
        <f aca="false">IF(OR(E168="",E168="!!!",F168="NEW"),"",INDEX(O$2:O155,-1+SUMPRODUCT(MAX(ROW(R$2:R155)*(E168=R$2:R155)))))</f>
        <v/>
      </c>
      <c r="J168" s="25" t="str">
        <f aca="true">IF(OR(E168="",E168="!!!",F168="NEW"),"",COUNTBLANK(OFFSET(N$1,,,SUMPRODUCT(MAX(ROW(R$2:R156)*(E168=R$2:R156)))))-COUNTBLANK(OFFSET(N$1,,,SUMPRODUCT(MAX(ROW(R$1:R155)*(R2=R$1:R155))))))</f>
        <v/>
      </c>
      <c r="K168" s="25" t="str">
        <f aca="false">IF(OR(E168="",E168="!!!",F168="NEW"),"",INDEX(W$1:W155,SUMPRODUCT(MAX(ROW(R$1:R155)*(E168=R$1:R155)))))</f>
        <v/>
      </c>
      <c r="L168" s="26" t="s">
        <v>280</v>
      </c>
    </row>
    <row r="169" customFormat="false" ht="14.25" hidden="false" customHeight="false" outlineLevel="0" collapsed="false">
      <c r="A169" s="0" t="s">
        <v>281</v>
      </c>
      <c r="E169" s="21" t="str">
        <f aca="false">IF(Q157="?OLD","!!!","")</f>
        <v/>
      </c>
      <c r="F169" s="22" t="str">
        <f aca="false">IF(OR(E169="",E169="!!!"),"",IF(NOT(ISNA(VLOOKUP(E169,R$1:R156,1,FALSE()))),"OLD",IF(AND(E169&lt;&gt;"",E169&lt;&gt;"!!!"),"NEW","")))</f>
        <v/>
      </c>
      <c r="G169" s="23" t="str">
        <f aca="false"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aca="false">IF(J169&lt;&gt;1,"",IF(I169="SBJ","CB","?"))</f>
        <v/>
      </c>
      <c r="I169" s="25" t="str">
        <f aca="false">IF(OR(E169="",E169="!!!",F169="NEW"),"",INDEX(O$2:O156,-1+SUMPRODUCT(MAX(ROW(R$2:R156)*(E169=R$2:R156)))))</f>
        <v/>
      </c>
      <c r="J169" s="25" t="str">
        <f aca="true">IF(OR(E169="",E169="!!!",F169="NEW"),"",COUNTBLANK(OFFSET(N$1,,,SUMPRODUCT(MAX(ROW(R$2:R157)*(E169=R$2:R157)))))-COUNTBLANK(OFFSET(N$1,,,SUMPRODUCT(MAX(ROW(R$1:R156)*(R2=R$1:R156))))))</f>
        <v/>
      </c>
      <c r="K169" s="25" t="str">
        <f aca="false">IF(OR(E169="",E169="!!!",F169="NEW"),"",INDEX(W$1:W156,SUMPRODUCT(MAX(ROW(R$1:R156)*(E169=R$1:R156)))))</f>
        <v/>
      </c>
      <c r="L169" s="26"/>
    </row>
    <row r="170" customFormat="false" ht="14.25" hidden="false" customHeight="false" outlineLevel="0" collapsed="false">
      <c r="A170" s="0" t="s">
        <v>140</v>
      </c>
      <c r="E170" s="21" t="str">
        <f aca="false">IF(Q158="?OLD","!!!","")</f>
        <v/>
      </c>
      <c r="F170" s="22" t="str">
        <f aca="false">IF(OR(E170="",E170="!!!"),"",IF(NOT(ISNA(VLOOKUP(E170,R$1:R157,1,FALSE()))),"OLD",IF(AND(E170&lt;&gt;"",E170&lt;&gt;"!!!"),"NEW","")))</f>
        <v/>
      </c>
      <c r="G170" s="23" t="str">
        <f aca="false"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aca="false">IF(J170&lt;&gt;1,"",IF(I170="SBJ","CB","?"))</f>
        <v/>
      </c>
      <c r="I170" s="25" t="str">
        <f aca="false">IF(OR(E170="",E170="!!!",F170="NEW"),"",INDEX(O$2:O157,-1+SUMPRODUCT(MAX(ROW(R$2:R157)*(E170=R$2:R157)))))</f>
        <v/>
      </c>
      <c r="J170" s="25" t="str">
        <f aca="true">IF(OR(E170="",E170="!!!",F170="NEW"),"",COUNTBLANK(OFFSET(N$1,,,SUMPRODUCT(MAX(ROW(R$2:R158)*(E170=R$2:R158)))))-COUNTBLANK(OFFSET(N$1,,,SUMPRODUCT(MAX(ROW(R$1:R157)*(R2=R$1:R157))))))</f>
        <v/>
      </c>
      <c r="K170" s="25" t="str">
        <f aca="false">IF(OR(E170="",E170="!!!",F170="NEW"),"",INDEX(W$1:W157,SUMPRODUCT(MAX(ROW(R$1:R157)*(E170=R$1:R157)))))</f>
        <v/>
      </c>
      <c r="L170" s="26"/>
      <c r="O170" s="20"/>
      <c r="P170" s="20"/>
      <c r="Q170" s="20"/>
    </row>
    <row r="171" customFormat="false" ht="14.25" hidden="false" customHeight="false" outlineLevel="0" collapsed="false">
      <c r="A171" s="0" t="s">
        <v>282</v>
      </c>
      <c r="E171" s="21" t="str">
        <f aca="false">IF(Q159="?OLD","!!!","")</f>
        <v/>
      </c>
      <c r="F171" s="22" t="str">
        <f aca="false">IF(OR(E171="",E171="!!!"),"",IF(NOT(ISNA(VLOOKUP(E171,R$1:R158,1,FALSE()))),"OLD",IF(AND(E171&lt;&gt;"",E171&lt;&gt;"!!!"),"NEW","")))</f>
        <v/>
      </c>
      <c r="G171" s="23" t="str">
        <f aca="false"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aca="false">IF(J171&lt;&gt;1,"",IF(I171="SBJ","CB","?"))</f>
        <v/>
      </c>
      <c r="I171" s="25" t="str">
        <f aca="false">IF(OR(E171="",E171="!!!",F171="NEW"),"",INDEX(O$2:O158,-1+SUMPRODUCT(MAX(ROW(R$2:R158)*(E171=R$2:R158)))))</f>
        <v/>
      </c>
      <c r="J171" s="25" t="str">
        <f aca="true">IF(OR(E171="",E171="!!!",F171="NEW"),"",COUNTBLANK(OFFSET(N$1,,,SUMPRODUCT(MAX(ROW(R$2:R159)*(E171=R$2:R159)))))-COUNTBLANK(OFFSET(N$1,,,SUMPRODUCT(MAX(ROW(R$1:R158)*(R2=R$1:R158))))))</f>
        <v/>
      </c>
      <c r="K171" s="25" t="str">
        <f aca="false">IF(OR(E171="",E171="!!!",F171="NEW"),"",INDEX(W$1:W158,SUMPRODUCT(MAX(ROW(R$1:R158)*(E171=R$1:R158)))))</f>
        <v/>
      </c>
      <c r="L171" s="26"/>
    </row>
    <row r="172" customFormat="false" ht="14.25" hidden="false" customHeight="false" outlineLevel="0" collapsed="false">
      <c r="A172" s="0" t="s">
        <v>283</v>
      </c>
      <c r="E172" s="21" t="str">
        <f aca="false">IF(Q160="?OLD","!!!","")</f>
        <v/>
      </c>
      <c r="F172" s="22" t="str">
        <f aca="false">IF(OR(E172="",E172="!!!"),"",IF(NOT(ISNA(VLOOKUP(E172,R$1:R159,1,FALSE()))),"OLD",IF(AND(E172&lt;&gt;"",E172&lt;&gt;"!!!"),"NEW","")))</f>
        <v/>
      </c>
      <c r="G172" s="23" t="str">
        <f aca="false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aca="false">IF(J172&lt;&gt;1,"",IF(I172="SBJ","CB","?"))</f>
        <v/>
      </c>
      <c r="I172" s="25" t="str">
        <f aca="false">IF(OR(E172="",E172="!!!",F172="NEW"),"",INDEX(O$2:O159,-1+SUMPRODUCT(MAX(ROW(R$2:R159)*(E172=R$2:R159)))))</f>
        <v/>
      </c>
      <c r="J172" s="25" t="str">
        <f aca="true">IF(OR(E172="",E172="!!!",F172="NEW"),"",COUNTBLANK(OFFSET(N$1,,,SUMPRODUCT(MAX(ROW(R$2:R160)*(E172=R$2:R160)))))-COUNTBLANK(OFFSET(N$1,,,SUMPRODUCT(MAX(ROW(R$1:R159)*(R2=R$1:R159))))))</f>
        <v/>
      </c>
      <c r="K172" s="25" t="str">
        <f aca="false">IF(OR(E172="",E172="!!!",F172="NEW"),"",INDEX(W$1:W159,SUMPRODUCT(MAX(ROW(R$1:R159)*(E172=R$1:R159)))))</f>
        <v/>
      </c>
      <c r="L172" s="26"/>
      <c r="O172" s="20"/>
      <c r="P172" s="20"/>
      <c r="Q172" s="20"/>
    </row>
    <row r="173" customFormat="false" ht="14.25" hidden="false" customHeight="false" outlineLevel="0" collapsed="false">
      <c r="A173" s="0" t="s">
        <v>284</v>
      </c>
      <c r="B173" s="20" t="s">
        <v>285</v>
      </c>
      <c r="C173" s="20" t="s">
        <v>146</v>
      </c>
      <c r="E173" s="21" t="str">
        <f aca="false">IF(Q161="?OLD","!!!","")</f>
        <v/>
      </c>
      <c r="F173" s="22" t="str">
        <f aca="false">IF(OR(E173="",E173="!!!"),"",IF(NOT(ISNA(VLOOKUP(E173,R$1:R160,1,FALSE()))),"OLD",IF(AND(E173&lt;&gt;"",E173&lt;&gt;"!!!"),"NEW","")))</f>
        <v/>
      </c>
      <c r="G173" s="23" t="str">
        <f aca="false"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aca="false">IF(J173&lt;&gt;1,"",IF(I173="SBJ","CB","?"))</f>
        <v/>
      </c>
      <c r="I173" s="25" t="str">
        <f aca="false">IF(OR(E173="",E173="!!!",F173="NEW"),"",INDEX(O$2:O160,-1+SUMPRODUCT(MAX(ROW(R$2:R160)*(E173=R$2:R160)))))</f>
        <v/>
      </c>
      <c r="J173" s="25" t="str">
        <f aca="true">IF(OR(E173="",E173="!!!",F173="NEW"),"",COUNTBLANK(OFFSET(N$1,,,SUMPRODUCT(MAX(ROW(R$2:R161)*(E173=R$2:R161)))))-COUNTBLANK(OFFSET(N$1,,,SUMPRODUCT(MAX(ROW(R$1:R160)*(R2=R$1:R160))))))</f>
        <v/>
      </c>
      <c r="K173" s="25" t="str">
        <f aca="false">IF(OR(E173="",E173="!!!",F173="NEW"),"",INDEX(W$1:W160,SUMPRODUCT(MAX(ROW(R$1:R160)*(E173=R$1:R160)))))</f>
        <v/>
      </c>
      <c r="L173" s="26"/>
    </row>
    <row r="174" customFormat="false" ht="14.25" hidden="false" customHeight="false" outlineLevel="0" collapsed="false">
      <c r="A174" s="0" t="s">
        <v>286</v>
      </c>
      <c r="E174" s="21" t="str">
        <f aca="false">IF(Q162="?OLD","!!!","")</f>
        <v/>
      </c>
      <c r="F174" s="22" t="str">
        <f aca="false">IF(OR(E174="",E174="!!!"),"",IF(NOT(ISNA(VLOOKUP(E174,R$1:R161,1,FALSE()))),"OLD",IF(AND(E174&lt;&gt;"",E174&lt;&gt;"!!!"),"NEW","")))</f>
        <v/>
      </c>
      <c r="G174" s="23" t="str">
        <f aca="false"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aca="false">IF(J174&lt;&gt;1,"",IF(I174="SBJ","CB","?"))</f>
        <v/>
      </c>
      <c r="I174" s="25" t="str">
        <f aca="false">IF(OR(E174="",E174="!!!",F174="NEW"),"",INDEX(O$2:O161,-1+SUMPRODUCT(MAX(ROW(R$2:R161)*(E174=R$2:R161)))))</f>
        <v/>
      </c>
      <c r="J174" s="25" t="str">
        <f aca="true">IF(OR(E174="",E174="!!!",F174="NEW"),"",COUNTBLANK(OFFSET(N$1,,,SUMPRODUCT(MAX(ROW(R$2:R162)*(E174=R$2:R162)))))-COUNTBLANK(OFFSET(N$1,,,SUMPRODUCT(MAX(ROW(R$1:R161)*(R2=R$1:R161))))))</f>
        <v/>
      </c>
      <c r="K174" s="25" t="str">
        <f aca="false">IF(OR(E174="",E174="!!!",F174="NEW"),"",INDEX(W$1:W161,SUMPRODUCT(MAX(ROW(R$1:R161)*(E174=R$1:R161)))))</f>
        <v/>
      </c>
      <c r="L174" s="26"/>
      <c r="O174" s="20"/>
      <c r="P174" s="20"/>
      <c r="Q174" s="20"/>
    </row>
    <row r="175" customFormat="false" ht="14.25" hidden="false" customHeight="false" outlineLevel="0" collapsed="false">
      <c r="A175" s="0" t="s">
        <v>287</v>
      </c>
      <c r="B175" s="20" t="s">
        <v>288</v>
      </c>
      <c r="C175" s="20" t="s">
        <v>124</v>
      </c>
      <c r="D175" s="20" t="s">
        <v>125</v>
      </c>
      <c r="E175" s="21" t="s">
        <v>126</v>
      </c>
      <c r="F175" s="22" t="str">
        <f aca="false">IF(OR(E175="",E175="!!!"),"",IF(NOT(ISNA(VLOOKUP(E175,R$1:R162,1,FALSE()))),"OLD",IF(AND(E175&lt;&gt;"",E175&lt;&gt;"!!!"),"NEW","")))</f>
        <v>NEW</v>
      </c>
      <c r="G175" s="23" t="str">
        <f aca="false"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?REFERENTIAL</v>
      </c>
      <c r="H175" s="24" t="str">
        <f aca="false">IF(J175&lt;&gt;1,"",IF(I175="SBJ","CB","?"))</f>
        <v/>
      </c>
      <c r="I175" s="25" t="str">
        <f aca="false">IF(OR(E175="",E175="!!!",F175="NEW"),"",INDEX(O$2:O162,-1+SUMPRODUCT(MAX(ROW(R$2:R162)*(E175=R$2:R162)))))</f>
        <v/>
      </c>
      <c r="J175" s="25" t="str">
        <f aca="true">IF(OR(E175="",E175="!!!",F175="NEW"),"",COUNTBLANK(OFFSET(N$1,,,SUMPRODUCT(MAX(ROW(R$2:R163)*(E175=R$2:R163)))))-COUNTBLANK(OFFSET(N$1,,,SUMPRODUCT(MAX(ROW(R$1:R162)*(R2=R$1:R162))))))</f>
        <v/>
      </c>
      <c r="K175" s="25" t="str">
        <f aca="false">IF(OR(E175="",E175="!!!",F175="NEW"),"",INDEX(W$1:W162,SUMPRODUCT(MAX(ROW(R$1:R162)*(E175=R$1:R162)))))</f>
        <v/>
      </c>
      <c r="L175" s="26"/>
      <c r="O175" s="20"/>
      <c r="P175" s="20"/>
      <c r="Q175" s="20"/>
    </row>
    <row r="176" customFormat="false" ht="14.25" hidden="false" customHeight="false" outlineLevel="0" collapsed="false">
      <c r="A176" s="0" t="s">
        <v>289</v>
      </c>
      <c r="E176" s="21" t="str">
        <f aca="false">IF(Q164="?OLD","!!!","")</f>
        <v/>
      </c>
      <c r="F176" s="22" t="str">
        <f aca="false">IF(OR(E176="",E176="!!!"),"",IF(NOT(ISNA(VLOOKUP(E176,R$1:R163,1,FALSE()))),"OLD",IF(AND(E176&lt;&gt;"",E176&lt;&gt;"!!!"),"NEW","")))</f>
        <v/>
      </c>
      <c r="G176" s="23" t="str">
        <f aca="false"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aca="false">IF(J176&lt;&gt;1,"",IF(I176="SBJ","CB","?"))</f>
        <v/>
      </c>
      <c r="I176" s="25" t="str">
        <f aca="false">IF(OR(E176="",E176="!!!",F176="NEW"),"",INDEX(O$2:O163,-1+SUMPRODUCT(MAX(ROW(R$2:R163)*(E176=R$2:R163)))))</f>
        <v/>
      </c>
      <c r="J176" s="25" t="str">
        <f aca="true">IF(OR(E176="",E176="!!!",F176="NEW"),"",COUNTBLANK(OFFSET(N$1,,,SUMPRODUCT(MAX(ROW(R$2:R164)*(E176=R$2:R164)))))-COUNTBLANK(OFFSET(N$1,,,SUMPRODUCT(MAX(ROW(R$1:R163)*(R2=R$1:R163))))))</f>
        <v/>
      </c>
      <c r="K176" s="25" t="str">
        <f aca="false">IF(OR(E176="",E176="!!!",F176="NEW"),"",INDEX(W$1:W163,SUMPRODUCT(MAX(ROW(R$1:R163)*(E176=R$1:R163)))))</f>
        <v/>
      </c>
      <c r="L176" s="26"/>
    </row>
    <row r="177" customFormat="false" ht="14.25" hidden="false" customHeight="false" outlineLevel="0" collapsed="false">
      <c r="A177" s="0" t="s">
        <v>140</v>
      </c>
      <c r="E177" s="21" t="str">
        <f aca="false">IF(Q165="?OLD","!!!","")</f>
        <v/>
      </c>
      <c r="F177" s="22" t="str">
        <f aca="false">IF(OR(E177="",E177="!!!"),"",IF(NOT(ISNA(VLOOKUP(E177,R$1:R164,1,FALSE()))),"OLD",IF(AND(E177&lt;&gt;"",E177&lt;&gt;"!!!"),"NEW","")))</f>
        <v/>
      </c>
      <c r="G177" s="23" t="str">
        <f aca="false"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aca="false">IF(J177&lt;&gt;1,"",IF(I177="SBJ","CB","?"))</f>
        <v/>
      </c>
      <c r="I177" s="25" t="str">
        <f aca="false">IF(OR(E177="",E177="!!!",F177="NEW"),"",INDEX(O$2:O164,-1+SUMPRODUCT(MAX(ROW(R$2:R164)*(E177=R$2:R164)))))</f>
        <v/>
      </c>
      <c r="J177" s="25" t="str">
        <f aca="true">IF(OR(E177="",E177="!!!",F177="NEW"),"",COUNTBLANK(OFFSET(N$1,,,SUMPRODUCT(MAX(ROW(R$2:R165)*(E177=R$2:R165)))))-COUNTBLANK(OFFSET(N$1,,,SUMPRODUCT(MAX(ROW(R$1:R164)*(R2=R$1:R164))))))</f>
        <v/>
      </c>
      <c r="K177" s="25" t="str">
        <f aca="false">IF(OR(E177="",E177="!!!",F177="NEW"),"",INDEX(W$1:W164,SUMPRODUCT(MAX(ROW(R$1:R164)*(E177=R$1:R164)))))</f>
        <v/>
      </c>
      <c r="L177" s="26"/>
    </row>
    <row r="178" customFormat="false" ht="14.25" hidden="false" customHeight="false" outlineLevel="0" collapsed="false">
      <c r="A178" s="0" t="s">
        <v>138</v>
      </c>
      <c r="E178" s="21" t="str">
        <f aca="false">IF(Q166="?OLD","!!!","")</f>
        <v/>
      </c>
      <c r="F178" s="22" t="str">
        <f aca="false">IF(OR(E178="",E178="!!!"),"",IF(NOT(ISNA(VLOOKUP(E178,R$1:R165,1,FALSE()))),"OLD",IF(AND(E178&lt;&gt;"",E178&lt;&gt;"!!!"),"NEW","")))</f>
        <v/>
      </c>
      <c r="G178" s="23" t="str">
        <f aca="false"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aca="false">IF(J178&lt;&gt;1,"",IF(I178="SBJ","CB","?"))</f>
        <v/>
      </c>
      <c r="I178" s="25" t="str">
        <f aca="false">IF(OR(E178="",E178="!!!",F178="NEW"),"",INDEX(O$2:O165,-1+SUMPRODUCT(MAX(ROW(R$2:R165)*(E178=R$2:R165)))))</f>
        <v/>
      </c>
      <c r="J178" s="25" t="str">
        <f aca="true">IF(OR(E178="",E178="!!!",F178="NEW"),"",COUNTBLANK(OFFSET(N$1,,,SUMPRODUCT(MAX(ROW(R$2:R166)*(E178=R$2:R166)))))-COUNTBLANK(OFFSET(N$1,,,SUMPRODUCT(MAX(ROW(R$1:R165)*(R2=R$1:R165))))))</f>
        <v/>
      </c>
      <c r="K178" s="25" t="str">
        <f aca="false">IF(OR(E178="",E178="!!!",F178="NEW"),"",INDEX(W$1:W165,SUMPRODUCT(MAX(ROW(R$1:R165)*(E178=R$1:R165)))))</f>
        <v/>
      </c>
      <c r="L178" s="26"/>
      <c r="O178" s="20"/>
      <c r="P178" s="20"/>
    </row>
    <row r="179" customFormat="false" ht="14.25" hidden="false" customHeight="false" outlineLevel="0" collapsed="false">
      <c r="A179" s="0" t="s">
        <v>290</v>
      </c>
      <c r="E179" s="21" t="str">
        <f aca="false">IF(Q167="?OLD","!!!","")</f>
        <v/>
      </c>
      <c r="F179" s="22" t="str">
        <f aca="false">IF(OR(E179="",E179="!!!"),"",IF(NOT(ISNA(VLOOKUP(E179,R$1:R166,1,FALSE()))),"OLD",IF(AND(E179&lt;&gt;"",E179&lt;&gt;"!!!"),"NEW","")))</f>
        <v/>
      </c>
      <c r="G179" s="23" t="str">
        <f aca="false"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aca="false">IF(J179&lt;&gt;1,"",IF(I179="SBJ","CB","?"))</f>
        <v/>
      </c>
      <c r="I179" s="25" t="str">
        <f aca="false">IF(OR(E179="",E179="!!!",F179="NEW"),"",INDEX(O$2:O166,-1+SUMPRODUCT(MAX(ROW(R$2:R166)*(E179=R$2:R166)))))</f>
        <v/>
      </c>
      <c r="J179" s="25" t="str">
        <f aca="true">IF(OR(E179="",E179="!!!",F179="NEW"),"",COUNTBLANK(OFFSET(N$1,,,SUMPRODUCT(MAX(ROW(R$2:R167)*(E179=R$2:R167)))))-COUNTBLANK(OFFSET(N$1,,,SUMPRODUCT(MAX(ROW(R$1:R166)*(R2=R$1:R166))))))</f>
        <v/>
      </c>
      <c r="K179" s="25" t="str">
        <f aca="false">IF(OR(E179="",E179="!!!",F179="NEW"),"",INDEX(W$1:W166,SUMPRODUCT(MAX(ROW(R$1:R166)*(E179=R$1:R166)))))</f>
        <v/>
      </c>
      <c r="L179" s="26"/>
    </row>
    <row r="180" customFormat="false" ht="14.25" hidden="false" customHeight="false" outlineLevel="0" collapsed="false">
      <c r="A180" s="0" t="s">
        <v>140</v>
      </c>
      <c r="E180" s="21" t="str">
        <f aca="false">IF(Q168="?OLD","!!!","")</f>
        <v/>
      </c>
      <c r="F180" s="22" t="str">
        <f aca="false">IF(OR(E180="",E180="!!!"),"",IF(NOT(ISNA(VLOOKUP(E180,R$1:R167,1,FALSE()))),"OLD",IF(AND(E180&lt;&gt;"",E180&lt;&gt;"!!!"),"NEW","")))</f>
        <v/>
      </c>
      <c r="G180" s="23" t="str">
        <f aca="false"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aca="false">IF(J180&lt;&gt;1,"",IF(I180="SBJ","CB","?"))</f>
        <v/>
      </c>
      <c r="I180" s="25" t="str">
        <f aca="false">IF(OR(E180="",E180="!!!",F180="NEW"),"",INDEX(O$2:O167,-1+SUMPRODUCT(MAX(ROW(R$2:R167)*(E180=R$2:R167)))))</f>
        <v/>
      </c>
      <c r="J180" s="25" t="str">
        <f aca="true">IF(OR(E180="",E180="!!!",F180="NEW"),"",COUNTBLANK(OFFSET(N$1,,,SUMPRODUCT(MAX(ROW(R$2:R168)*(E180=R$2:R168)))))-COUNTBLANK(OFFSET(N$1,,,SUMPRODUCT(MAX(ROW(R$1:R167)*(R2=R$1:R167))))))</f>
        <v/>
      </c>
      <c r="K180" s="25" t="str">
        <f aca="false">IF(OR(E180="",E180="!!!",F180="NEW"),"",INDEX(W$1:W167,SUMPRODUCT(MAX(ROW(R$1:R167)*(E180=R$1:R167)))))</f>
        <v/>
      </c>
      <c r="L180" s="26"/>
    </row>
    <row r="181" customFormat="false" ht="14.25" hidden="false" customHeight="false" outlineLevel="0" collapsed="false">
      <c r="A181" s="0" t="s">
        <v>230</v>
      </c>
      <c r="E181" s="21" t="str">
        <f aca="false">IF(Q169="?OLD","!!!","")</f>
        <v/>
      </c>
      <c r="F181" s="22" t="str">
        <f aca="false">IF(OR(E181="",E181="!!!"),"",IF(NOT(ISNA(VLOOKUP(E181,R$1:R168,1,FALSE()))),"OLD",IF(AND(E181&lt;&gt;"",E181&lt;&gt;"!!!"),"NEW","")))</f>
        <v/>
      </c>
      <c r="G181" s="23" t="str">
        <f aca="false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aca="false">IF(J181&lt;&gt;1,"",IF(I181="SBJ","CB","?"))</f>
        <v/>
      </c>
      <c r="I181" s="25" t="str">
        <f aca="false">IF(OR(E181="",E181="!!!",F181="NEW"),"",INDEX(O$2:O168,-1+SUMPRODUCT(MAX(ROW(R$2:R168)*(E181=R$2:R168)))))</f>
        <v/>
      </c>
      <c r="J181" s="25" t="str">
        <f aca="true">IF(OR(E181="",E181="!!!",F181="NEW"),"",COUNTBLANK(OFFSET(N$1,,,SUMPRODUCT(MAX(ROW(R$2:R169)*(E181=R$2:R169)))))-COUNTBLANK(OFFSET(N$1,,,SUMPRODUCT(MAX(ROW(R$1:R168)*(R2=R$1:R168))))))</f>
        <v/>
      </c>
      <c r="K181" s="25" t="str">
        <f aca="false">IF(OR(E181="",E181="!!!",F181="NEW"),"",INDEX(W$1:W168,SUMPRODUCT(MAX(ROW(R$1:R168)*(E181=R$1:R168)))))</f>
        <v/>
      </c>
      <c r="L181" s="26"/>
    </row>
    <row r="182" customFormat="false" ht="23.85" hidden="false" customHeight="false" outlineLevel="0" collapsed="false">
      <c r="A182" s="0" t="s">
        <v>291</v>
      </c>
      <c r="B182" s="20" t="s">
        <v>123</v>
      </c>
      <c r="C182" s="20" t="s">
        <v>209</v>
      </c>
      <c r="D182" s="20" t="s">
        <v>125</v>
      </c>
      <c r="E182" s="21" t="s">
        <v>292</v>
      </c>
      <c r="F182" s="22" t="str">
        <f aca="false">IF(OR(E182="",E182="!!!"),"",IF(NOT(ISNA(VLOOKUP(E182,R$1:R169,1,FALSE()))),"OLD",IF(AND(E182&lt;&gt;"",E182&lt;&gt;"!!!"),"NEW","")))</f>
        <v>NEW</v>
      </c>
      <c r="G182" s="23" t="str">
        <f aca="false"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?REFERENTIAL</v>
      </c>
      <c r="H182" s="24" t="str">
        <f aca="false">IF(J182&lt;&gt;1,"",IF(I182="SBJ","CB","?"))</f>
        <v/>
      </c>
      <c r="I182" s="25" t="str">
        <f aca="false">IF(OR(E182="",E182="!!!",F182="NEW"),"",INDEX(O$2:O169,-1+SUMPRODUCT(MAX(ROW(R$2:R169)*(E182=R$2:R169)))))</f>
        <v/>
      </c>
      <c r="J182" s="25" t="str">
        <f aca="true">IF(OR(E182="",E182="!!!",F182="NEW"),"",COUNTBLANK(OFFSET(N$1,,,SUMPRODUCT(MAX(ROW(R$2:R170)*(E182=R$2:R170)))))-COUNTBLANK(OFFSET(N$1,,,SUMPRODUCT(MAX(ROW(R$1:R169)*(R2=R$1:R169))))))</f>
        <v/>
      </c>
      <c r="K182" s="25" t="str">
        <f aca="false">IF(OR(E182="",E182="!!!",F182="NEW"),"",INDEX(W$1:W169,SUMPRODUCT(MAX(ROW(R$1:R169)*(E182=R$1:R169)))))</f>
        <v/>
      </c>
      <c r="L182" s="26" t="s">
        <v>293</v>
      </c>
      <c r="O182" s="20"/>
      <c r="P182" s="20"/>
      <c r="Q182" s="20"/>
    </row>
    <row r="183" customFormat="false" ht="14.25" hidden="false" customHeight="false" outlineLevel="0" collapsed="false">
      <c r="A183" s="0" t="s">
        <v>263</v>
      </c>
      <c r="E183" s="21" t="str">
        <f aca="false">IF(Q171="?OLD","!!!","")</f>
        <v/>
      </c>
      <c r="F183" s="22" t="str">
        <f aca="false">IF(OR(E183="",E183="!!!"),"",IF(NOT(ISNA(VLOOKUP(E183,R$1:R170,1,FALSE()))),"OLD",IF(AND(E183&lt;&gt;"",E183&lt;&gt;"!!!"),"NEW","")))</f>
        <v/>
      </c>
      <c r="G183" s="23" t="str">
        <f aca="false"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aca="false">IF(J183&lt;&gt;1,"",IF(I183="SBJ","CB","?"))</f>
        <v/>
      </c>
      <c r="I183" s="25" t="str">
        <f aca="false">IF(OR(E183="",E183="!!!",F183="NEW"),"",INDEX(O$2:O170,-1+SUMPRODUCT(MAX(ROW(R$2:R170)*(E183=R$2:R170)))))</f>
        <v/>
      </c>
      <c r="J183" s="25" t="str">
        <f aca="true">IF(OR(E183="",E183="!!!",F183="NEW"),"",COUNTBLANK(OFFSET(N$1,,,SUMPRODUCT(MAX(ROW(R$2:R171)*(E183=R$2:R171)))))-COUNTBLANK(OFFSET(N$1,,,SUMPRODUCT(MAX(ROW(R$1:R170)*(R2=R$1:R170))))))</f>
        <v/>
      </c>
      <c r="K183" s="25" t="str">
        <f aca="false">IF(OR(E183="",E183="!!!",F183="NEW"),"",INDEX(W$1:W170,SUMPRODUCT(MAX(ROW(R$1:R170)*(E183=R$1:R170)))))</f>
        <v/>
      </c>
      <c r="L183" s="26"/>
    </row>
    <row r="184" customFormat="false" ht="14.25" hidden="false" customHeight="false" outlineLevel="0" collapsed="false">
      <c r="A184" s="0" t="s">
        <v>294</v>
      </c>
      <c r="B184" s="20" t="s">
        <v>123</v>
      </c>
      <c r="C184" s="20" t="s">
        <v>172</v>
      </c>
      <c r="D184" s="20" t="s">
        <v>125</v>
      </c>
      <c r="E184" s="21" t="s">
        <v>295</v>
      </c>
      <c r="F184" s="22" t="str">
        <f aca="false">IF(OR(E184="",E184="!!!"),"",IF(NOT(ISNA(VLOOKUP(E184,R$1:R171,1,FALSE()))),"OLD",IF(AND(E184&lt;&gt;"",E184&lt;&gt;"!!!"),"NEW","")))</f>
        <v>NEW</v>
      </c>
      <c r="G184" s="23" t="str">
        <f aca="false"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?REFERENTIAL</v>
      </c>
      <c r="H184" s="24" t="str">
        <f aca="false">IF(J184&lt;&gt;1,"",IF(I184="SBJ","CB","?"))</f>
        <v/>
      </c>
      <c r="I184" s="25" t="str">
        <f aca="false">IF(OR(E184="",E184="!!!",F184="NEW"),"",INDEX(O$2:O171,-1+SUMPRODUCT(MAX(ROW(R$2:R171)*(E184=R$2:R171)))))</f>
        <v/>
      </c>
      <c r="J184" s="25" t="str">
        <f aca="true">IF(OR(E184="",E184="!!!",F184="NEW"),"",COUNTBLANK(OFFSET(N$1,,,SUMPRODUCT(MAX(ROW(R$2:R172)*(E184=R$2:R172)))))-COUNTBLANK(OFFSET(N$1,,,SUMPRODUCT(MAX(ROW(R$1:R171)*(R2=R$1:R171))))))</f>
        <v/>
      </c>
      <c r="K184" s="25" t="str">
        <f aca="false">IF(OR(E184="",E184="!!!",F184="NEW"),"",INDEX(W$1:W171,SUMPRODUCT(MAX(ROW(R$1:R171)*(E184=R$1:R171)))))</f>
        <v/>
      </c>
      <c r="L184" s="26"/>
    </row>
    <row r="185" customFormat="false" ht="14.25" hidden="false" customHeight="false" outlineLevel="0" collapsed="false">
      <c r="A185" s="0" t="s">
        <v>131</v>
      </c>
      <c r="E185" s="21" t="str">
        <f aca="false">IF(Q173="?OLD","!!!","")</f>
        <v/>
      </c>
      <c r="F185" s="22" t="str">
        <f aca="false">IF(OR(E185="",E185="!!!"),"",IF(NOT(ISNA(VLOOKUP(E185,R$1:R172,1,FALSE()))),"OLD",IF(AND(E185&lt;&gt;"",E185&lt;&gt;"!!!"),"NEW","")))</f>
        <v/>
      </c>
      <c r="G185" s="23" t="str">
        <f aca="false"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aca="false">IF(J185&lt;&gt;1,"",IF(I185="SBJ","CB","?"))</f>
        <v/>
      </c>
      <c r="I185" s="25" t="str">
        <f aca="false">IF(OR(E185="",E185="!!!",F185="NEW"),"",INDEX(O$2:O172,-1+SUMPRODUCT(MAX(ROW(R$2:R172)*(E185=R$2:R172)))))</f>
        <v/>
      </c>
      <c r="J185" s="25" t="str">
        <f aca="true">IF(OR(E185="",E185="!!!",F185="NEW"),"",COUNTBLANK(OFFSET(N$1,,,SUMPRODUCT(MAX(ROW(R$2:R173)*(E185=R$2:R173)))))-COUNTBLANK(OFFSET(N$1,,,SUMPRODUCT(MAX(ROW(R$1:R172)*(R2=R$1:R172))))))</f>
        <v/>
      </c>
      <c r="K185" s="25" t="str">
        <f aca="false">IF(OR(E185="",E185="!!!",F185="NEW"),"",INDEX(W$1:W172,SUMPRODUCT(MAX(ROW(R$1:R172)*(E185=R$1:R172)))))</f>
        <v/>
      </c>
      <c r="L185" s="26"/>
      <c r="O185" s="20"/>
      <c r="P185" s="20"/>
      <c r="Q185" s="20"/>
    </row>
    <row r="186" customFormat="false" ht="14.25" hidden="false" customHeight="false" outlineLevel="0" collapsed="false">
      <c r="A186" s="0" t="s">
        <v>218</v>
      </c>
      <c r="B186" s="20" t="s">
        <v>232</v>
      </c>
      <c r="C186" s="20" t="s">
        <v>192</v>
      </c>
      <c r="D186" s="20" t="s">
        <v>125</v>
      </c>
      <c r="E186" s="21"/>
      <c r="F186" s="22" t="str">
        <f aca="false">IF(OR(E186="",E186="!!!"),"",IF(NOT(ISNA(VLOOKUP(E186,R$1:R173,1,FALSE()))),"OLD",IF(AND(E186&lt;&gt;"",E186&lt;&gt;"!!!"),"NEW","")))</f>
        <v/>
      </c>
      <c r="G186" s="23" t="str">
        <f aca="false"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aca="false">IF(J186&lt;&gt;1,"",IF(I186="SBJ","CB","?"))</f>
        <v/>
      </c>
      <c r="I186" s="25" t="str">
        <f aca="false">IF(OR(E186="",E186="!!!",F186="NEW"),"",INDEX(O$2:O173,-1+SUMPRODUCT(MAX(ROW(R$2:R173)*(E186=R$2:R173)))))</f>
        <v/>
      </c>
      <c r="J186" s="25" t="str">
        <f aca="true">IF(OR(E186="",E186="!!!",F186="NEW"),"",COUNTBLANK(OFFSET(N$1,,,SUMPRODUCT(MAX(ROW(R$2:R174)*(E186=R$2:R174)))))-COUNTBLANK(OFFSET(N$1,,,SUMPRODUCT(MAX(ROW(R$1:R173)*(R2=R$1:R173))))))</f>
        <v/>
      </c>
      <c r="K186" s="25" t="str">
        <f aca="false">IF(OR(E186="",E186="!!!",F186="NEW"),"",INDEX(W$1:W173,SUMPRODUCT(MAX(ROW(R$1:R173)*(E186=R$1:R173)))))</f>
        <v/>
      </c>
      <c r="L186" s="26" t="s">
        <v>193</v>
      </c>
    </row>
    <row r="187" customFormat="false" ht="14.25" hidden="false" customHeight="false" outlineLevel="0" collapsed="false">
      <c r="A187" s="0" t="s">
        <v>145</v>
      </c>
      <c r="B187" s="20" t="s">
        <v>150</v>
      </c>
      <c r="C187" s="20" t="s">
        <v>195</v>
      </c>
      <c r="D187" s="20" t="s">
        <v>125</v>
      </c>
      <c r="E187" s="21" t="s">
        <v>135</v>
      </c>
      <c r="F187" s="22" t="str">
        <f aca="false">IF(OR(E187="",E187="!!!"),"",IF(NOT(ISNA(VLOOKUP(E187,R$1:R174,1,FALSE()))),"OLD",IF(AND(E187&lt;&gt;"",E187&lt;&gt;"!!!"),"NEW","")))</f>
        <v>NEW</v>
      </c>
      <c r="G187" s="23" t="str">
        <f aca="false"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?REFERENTIAL</v>
      </c>
      <c r="H187" s="24" t="str">
        <f aca="false">IF(J187&lt;&gt;1,"",IF(I187="SBJ","CB","?"))</f>
        <v/>
      </c>
      <c r="I187" s="25" t="str">
        <f aca="false">IF(OR(E187="",E187="!!!",F187="NEW"),"",INDEX(O$2:O174,-1+SUMPRODUCT(MAX(ROW(R$2:R174)*(E187=R$2:R174)))))</f>
        <v/>
      </c>
      <c r="J187" s="25" t="str">
        <f aca="true">IF(OR(E187="",E187="!!!",F187="NEW"),"",COUNTBLANK(OFFSET(N$1,,,SUMPRODUCT(MAX(ROW(R$2:R175)*(E187=R$2:R175)))))-COUNTBLANK(OFFSET(N$1,,,SUMPRODUCT(MAX(ROW(R$1:R174)*(R2=R$1:R174))))))</f>
        <v/>
      </c>
      <c r="K187" s="25" t="str">
        <f aca="false">IF(OR(E187="",E187="!!!",F187="NEW"),"",INDEX(W$1:W174,SUMPRODUCT(MAX(ROW(R$1:R174)*(E187=R$1:R174)))))</f>
        <v/>
      </c>
      <c r="L187" s="26"/>
    </row>
    <row r="188" customFormat="false" ht="14.25" hidden="false" customHeight="false" outlineLevel="0" collapsed="false">
      <c r="A188" s="0" t="s">
        <v>238</v>
      </c>
      <c r="E188" s="21" t="str">
        <f aca="false">IF(Q176="?OLD","!!!","")</f>
        <v/>
      </c>
      <c r="F188" s="22" t="str">
        <f aca="false">IF(OR(E188="",E188="!!!"),"",IF(NOT(ISNA(VLOOKUP(E188,R$1:R175,1,FALSE()))),"OLD",IF(AND(E188&lt;&gt;"",E188&lt;&gt;"!!!"),"NEW","")))</f>
        <v/>
      </c>
      <c r="G188" s="23" t="str">
        <f aca="false"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aca="false">IF(J188&lt;&gt;1,"",IF(I188="SBJ","CB","?"))</f>
        <v/>
      </c>
      <c r="I188" s="25" t="str">
        <f aca="false">IF(OR(E188="",E188="!!!",F188="NEW"),"",INDEX(O$2:O175,-1+SUMPRODUCT(MAX(ROW(R$2:R175)*(E188=R$2:R175)))))</f>
        <v/>
      </c>
      <c r="J188" s="25" t="str">
        <f aca="true">IF(OR(E188="",E188="!!!",F188="NEW"),"",COUNTBLANK(OFFSET(N$1,,,SUMPRODUCT(MAX(ROW(R$2:R176)*(E188=R$2:R176)))))-COUNTBLANK(OFFSET(N$1,,,SUMPRODUCT(MAX(ROW(R$1:R175)*(R2=R$1:R175))))))</f>
        <v/>
      </c>
      <c r="K188" s="25" t="str">
        <f aca="false">IF(OR(E188="",E188="!!!",F188="NEW"),"",INDEX(W$1:W175,SUMPRODUCT(MAX(ROW(R$1:R175)*(E188=R$1:R175)))))</f>
        <v/>
      </c>
      <c r="L188" s="26"/>
    </row>
    <row r="189" customFormat="false" ht="14.25" hidden="false" customHeight="false" outlineLevel="0" collapsed="false">
      <c r="A189" s="0" t="s">
        <v>296</v>
      </c>
      <c r="E189" s="21" t="s">
        <v>292</v>
      </c>
      <c r="F189" s="22" t="str">
        <f aca="false">IF(OR(E189="",E189="!!!"),"",IF(NOT(ISNA(VLOOKUP(E189,R$1:R176,1,FALSE()))),"OLD",IF(AND(E189&lt;&gt;"",E189&lt;&gt;"!!!"),"NEW","")))</f>
        <v>NEW</v>
      </c>
      <c r="G189" s="23" t="str">
        <f aca="false"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?REFERENTIAL</v>
      </c>
      <c r="H189" s="24" t="str">
        <f aca="false">IF(J189&lt;&gt;1,"",IF(I189="SBJ","CB","?"))</f>
        <v/>
      </c>
      <c r="I189" s="25" t="str">
        <f aca="false">IF(OR(E189="",E189="!!!",F189="NEW"),"",INDEX(O$2:O176,-1+SUMPRODUCT(MAX(ROW(R$2:R176)*(E189=R$2:R176)))))</f>
        <v/>
      </c>
      <c r="J189" s="25" t="str">
        <f aca="true">IF(OR(E189="",E189="!!!",F189="NEW"),"",COUNTBLANK(OFFSET(N$1,,,SUMPRODUCT(MAX(ROW(R$2:R177)*(E189=R$2:R177)))))-COUNTBLANK(OFFSET(N$1,,,SUMPRODUCT(MAX(ROW(R$1:R176)*(R2=R$1:R176))))))</f>
        <v/>
      </c>
      <c r="K189" s="25" t="str">
        <f aca="false">IF(OR(E189="",E189="!!!",F189="NEW"),"",INDEX(W$1:W176,SUMPRODUCT(MAX(ROW(R$1:R176)*(E189=R$1:R176)))))</f>
        <v/>
      </c>
      <c r="L189" s="26"/>
    </row>
    <row r="190" customFormat="false" ht="14.25" hidden="false" customHeight="false" outlineLevel="0" collapsed="false">
      <c r="A190" s="0" t="s">
        <v>297</v>
      </c>
      <c r="B190" s="20" t="s">
        <v>224</v>
      </c>
      <c r="C190" s="20" t="s">
        <v>298</v>
      </c>
      <c r="E190" s="21" t="s">
        <v>299</v>
      </c>
      <c r="F190" s="22" t="s">
        <v>265</v>
      </c>
      <c r="G190" s="23" t="e">
        <f aca="false"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#VALUE!</v>
      </c>
      <c r="H190" s="24" t="e">
        <f aca="false">IF(J190&lt;&gt;1,"",IF(I190="SBJ","CB","?"))</f>
        <v>#VALUE!</v>
      </c>
      <c r="I190" s="25" t="e">
        <f aca="false">IF(OR(E190="",E190="!!!",F190="NEW"),"",INDEX(O$2:O177,-1+SUMPRODUCT(MAX(ROW(R$2:R177)*(E190=R$2:R177)))))</f>
        <v>#VALUE!</v>
      </c>
      <c r="J190" s="25" t="e">
        <f aca="true">IF(OR(E190="",E190="!!!",F190="NEW"),"",COUNTBLANK(OFFSET(N$1,,,SUMPRODUCT(MAX(ROW(R$2:R178)*(E190=R$2:R178)))))-COUNTBLANK(OFFSET(N$1,,,SUMPRODUCT(MAX(ROW(R$1:R177)*(R2=R$1:R177))))))</f>
        <v>#VALUE!</v>
      </c>
      <c r="K190" s="25" t="e">
        <f aca="false">IF(OR(E190="",E190="!!!",F190="NEW"),"",INDEX(W$1:W177,SUMPRODUCT(MAX(ROW(R$1:R177)*(E190=R$1:R177)))))</f>
        <v>#VALUE!</v>
      </c>
      <c r="L190" s="26" t="s">
        <v>300</v>
      </c>
    </row>
    <row r="191" customFormat="false" ht="14.25" hidden="false" customHeight="false" outlineLevel="0" collapsed="false">
      <c r="A191" s="0" t="s">
        <v>301</v>
      </c>
      <c r="E191" s="21" t="str">
        <f aca="false">IF(Q179="?OLD","!!!","")</f>
        <v/>
      </c>
      <c r="F191" s="22" t="str">
        <f aca="false">IF(OR(E191="",E191="!!!"),"",IF(NOT(ISNA(VLOOKUP(E191,R$1:R178,1,FALSE()))),"OLD",IF(AND(E191&lt;&gt;"",E191&lt;&gt;"!!!"),"NEW","")))</f>
        <v/>
      </c>
      <c r="G191" s="23" t="str">
        <f aca="false"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aca="false">IF(J191&lt;&gt;1,"",IF(I191="SBJ","CB","?"))</f>
        <v/>
      </c>
      <c r="I191" s="25" t="str">
        <f aca="false">IF(OR(E191="",E191="!!!",F191="NEW"),"",INDEX(O$2:O178,-1+SUMPRODUCT(MAX(ROW(R$2:R178)*(E191=R$2:R178)))))</f>
        <v/>
      </c>
      <c r="J191" s="25" t="str">
        <f aca="true">IF(OR(E191="",E191="!!!",F191="NEW"),"",COUNTBLANK(OFFSET(N$1,,,SUMPRODUCT(MAX(ROW(R$2:R179)*(E191=R$2:R179)))))-COUNTBLANK(OFFSET(N$1,,,SUMPRODUCT(MAX(ROW(R$1:R178)*(R2=R$1:R178))))))</f>
        <v/>
      </c>
      <c r="K191" s="25" t="str">
        <f aca="false">IF(OR(E191="",E191="!!!",F191="NEW"),"",INDEX(W$1:W178,SUMPRODUCT(MAX(ROW(R$1:R178)*(E191=R$1:R178)))))</f>
        <v/>
      </c>
      <c r="L191" s="26"/>
      <c r="O191" s="20"/>
      <c r="P191" s="20"/>
      <c r="Q191" s="20"/>
    </row>
    <row r="192" customFormat="false" ht="14.25" hidden="false" customHeight="false" outlineLevel="0" collapsed="false">
      <c r="A192" s="0" t="s">
        <v>160</v>
      </c>
      <c r="E192" s="21" t="str">
        <f aca="false">IF(Q180="?OLD","!!!","")</f>
        <v/>
      </c>
      <c r="F192" s="22" t="str">
        <f aca="false">IF(OR(E192="",E192="!!!"),"",IF(NOT(ISNA(VLOOKUP(E192,R$1:R179,1,FALSE()))),"OLD",IF(AND(E192&lt;&gt;"",E192&lt;&gt;"!!!"),"NEW","")))</f>
        <v/>
      </c>
      <c r="G192" s="23" t="str">
        <f aca="false"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aca="false">IF(J192&lt;&gt;1,"",IF(I192="SBJ","CB","?"))</f>
        <v/>
      </c>
      <c r="I192" s="25" t="str">
        <f aca="false">IF(OR(E192="",E192="!!!",F192="NEW"),"",INDEX(O$2:O179,-1+SUMPRODUCT(MAX(ROW(R$2:R179)*(E192=R$2:R179)))))</f>
        <v/>
      </c>
      <c r="J192" s="25" t="str">
        <f aca="true">IF(OR(E192="",E192="!!!",F192="NEW"),"",COUNTBLANK(OFFSET(N$1,,,SUMPRODUCT(MAX(ROW(R$2:R180)*(E192=R$2:R180)))))-COUNTBLANK(OFFSET(N$1,,,SUMPRODUCT(MAX(ROW(R$1:R179)*(R2=R$1:R179))))))</f>
        <v/>
      </c>
      <c r="K192" s="25" t="str">
        <f aca="false">IF(OR(E192="",E192="!!!",F192="NEW"),"",INDEX(W$1:W179,SUMPRODUCT(MAX(ROW(R$1:R179)*(E192=R$1:R179)))))</f>
        <v/>
      </c>
      <c r="L192" s="26"/>
    </row>
    <row r="193" customFormat="false" ht="14.25" hidden="false" customHeight="false" outlineLevel="0" collapsed="false">
      <c r="O193" s="20"/>
    </row>
    <row r="194" customFormat="false" ht="14.25" hidden="false" customHeight="false" outlineLevel="0" collapsed="false">
      <c r="A194" s="0" t="s">
        <v>302</v>
      </c>
      <c r="O194" s="20"/>
      <c r="P194" s="20"/>
    </row>
    <row r="195" customFormat="false" ht="14.25" hidden="false" customHeight="false" outlineLevel="0" collapsed="false">
      <c r="A195" s="0" t="s">
        <v>303</v>
      </c>
      <c r="E195" s="21" t="str">
        <f aca="false">IF(Q181="?OLD","!!!","")</f>
        <v/>
      </c>
      <c r="F195" s="22" t="str">
        <f aca="false">IF(OR(E195="",E195="!!!"),"",IF(NOT(ISNA(VLOOKUP(E195,R$1:R180,1,FALSE()))),"OLD",IF(AND(E195&lt;&gt;"",E195&lt;&gt;"!!!"),"NEW","")))</f>
        <v/>
      </c>
      <c r="G195" s="23" t="str">
        <f aca="false"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aca="false">IF(J195&lt;&gt;1,"",IF(I195="SBJ","CB","?"))</f>
        <v/>
      </c>
      <c r="I195" s="25" t="str">
        <f aca="false">IF(OR(E195="",E195="!!!",F195="NEW"),"",INDEX(O$2:O180,-1+SUMPRODUCT(MAX(ROW(R$2:R180)*(E195=R$2:R180)))))</f>
        <v/>
      </c>
      <c r="J195" s="25" t="str">
        <f aca="true">IF(OR(E195="",E195="!!!",F195="NEW"),"",COUNTBLANK(OFFSET(N$1,,,SUMPRODUCT(MAX(ROW(R$2:R181)*(E195=R$2:R181)))))-COUNTBLANK(OFFSET(N$1,,,SUMPRODUCT(MAX(ROW(R$1:R180)*(R2=R$1:R180))))))</f>
        <v/>
      </c>
      <c r="K195" s="25" t="str">
        <f aca="false">IF(OR(E195="",E195="!!!",F195="NEW"),"",INDEX(W$1:W180,SUMPRODUCT(MAX(ROW(R$1:R180)*(E195=R$1:R180)))))</f>
        <v/>
      </c>
      <c r="L195" s="26"/>
    </row>
    <row r="196" customFormat="false" ht="35.05" hidden="false" customHeight="false" outlineLevel="0" collapsed="false">
      <c r="A196" s="0" t="s">
        <v>304</v>
      </c>
      <c r="B196" s="20" t="s">
        <v>164</v>
      </c>
      <c r="C196" s="20" t="s">
        <v>172</v>
      </c>
      <c r="D196" s="20" t="s">
        <v>125</v>
      </c>
      <c r="E196" s="21" t="s">
        <v>305</v>
      </c>
      <c r="F196" s="22" t="s">
        <v>259</v>
      </c>
      <c r="G196" s="23" t="str">
        <f aca="false"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?REFERENTIAL</v>
      </c>
      <c r="H196" s="24" t="str">
        <f aca="false">IF(J196&lt;&gt;1,"",IF(I196="SBJ","CB","?"))</f>
        <v/>
      </c>
      <c r="I196" s="25" t="str">
        <f aca="false">IF(OR(E196="",E196="!!!",F196="NEW"),"",INDEX(O$2:O181,-1+SUMPRODUCT(MAX(ROW(R$2:R181)*(E196=R$2:R181)))))</f>
        <v/>
      </c>
      <c r="J196" s="25" t="str">
        <f aca="true">IF(OR(E196="",E196="!!!",F196="NEW"),"",COUNTBLANK(OFFSET(N$1,,,SUMPRODUCT(MAX(ROW(R$2:R182)*(E196=R$2:R182)))))-COUNTBLANK(OFFSET(N$1,,,SUMPRODUCT(MAX(ROW(R$1:R181)*(R2=R$1:R181))))))</f>
        <v/>
      </c>
      <c r="K196" s="25" t="str">
        <f aca="false">IF(OR(E196="",E196="!!!",F196="NEW"),"",INDEX(W$1:W181,SUMPRODUCT(MAX(ROW(R$1:R181)*(E196=R$1:R181)))))</f>
        <v/>
      </c>
      <c r="L196" s="26" t="s">
        <v>306</v>
      </c>
    </row>
    <row r="197" customFormat="false" ht="14.25" hidden="false" customHeight="false" outlineLevel="0" collapsed="false">
      <c r="A197" s="0" t="s">
        <v>140</v>
      </c>
      <c r="E197" s="21" t="str">
        <f aca="false">IF(Q183="?OLD","!!!","")</f>
        <v/>
      </c>
      <c r="F197" s="22" t="str">
        <f aca="false">IF(OR(E197="",E197="!!!"),"",IF(NOT(ISNA(VLOOKUP(E197,R$1:R182,1,FALSE()))),"OLD",IF(AND(E197&lt;&gt;"",E197&lt;&gt;"!!!"),"NEW","")))</f>
        <v/>
      </c>
      <c r="G197" s="23" t="str">
        <f aca="false"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aca="false">IF(J197&lt;&gt;1,"",IF(I197="SBJ","CB","?"))</f>
        <v/>
      </c>
      <c r="I197" s="25" t="str">
        <f aca="false">IF(OR(E197="",E197="!!!",F197="NEW"),"",INDEX(O$2:O182,-1+SUMPRODUCT(MAX(ROW(R$2:R182)*(E197=R$2:R182)))))</f>
        <v/>
      </c>
      <c r="J197" s="25" t="str">
        <f aca="true">IF(OR(E197="",E197="!!!",F197="NEW"),"",COUNTBLANK(OFFSET(N$1,,,SUMPRODUCT(MAX(ROW(R$2:R183)*(E197=R$2:R183)))))-COUNTBLANK(OFFSET(N$1,,,SUMPRODUCT(MAX(ROW(R$1:R182)*(R2=R$1:R182))))))</f>
        <v/>
      </c>
      <c r="K197" s="25" t="str">
        <f aca="false">IF(OR(E197="",E197="!!!",F197="NEW"),"",INDEX(W$1:W182,SUMPRODUCT(MAX(ROW(R$1:R182)*(E197=R$1:R182)))))</f>
        <v/>
      </c>
      <c r="L197" s="26"/>
    </row>
    <row r="198" customFormat="false" ht="14.25" hidden="false" customHeight="false" outlineLevel="0" collapsed="false">
      <c r="A198" s="0" t="s">
        <v>277</v>
      </c>
      <c r="E198" s="21" t="str">
        <f aca="false">IF(Q184="?OLD","!!!","")</f>
        <v/>
      </c>
      <c r="F198" s="22" t="str">
        <f aca="false">IF(OR(E198="",E198="!!!"),"",IF(NOT(ISNA(VLOOKUP(E198,R$1:R183,1,FALSE()))),"OLD",IF(AND(E198&lt;&gt;"",E198&lt;&gt;"!!!"),"NEW","")))</f>
        <v/>
      </c>
      <c r="G198" s="23" t="str">
        <f aca="false"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aca="false">IF(J198&lt;&gt;1,"",IF(I198="SBJ","CB","?"))</f>
        <v/>
      </c>
      <c r="I198" s="25" t="str">
        <f aca="false">IF(OR(E198="",E198="!!!",F198="NEW"),"",INDEX(O$2:O183,-1+SUMPRODUCT(MAX(ROW(R$2:R183)*(E198=R$2:R183)))))</f>
        <v/>
      </c>
      <c r="J198" s="25" t="str">
        <f aca="true">IF(OR(E198="",E198="!!!",F198="NEW"),"",COUNTBLANK(OFFSET(N$1,,,SUMPRODUCT(MAX(ROW(R$2:R184)*(E198=R$2:R184)))))-COUNTBLANK(OFFSET(N$1,,,SUMPRODUCT(MAX(ROW(R$1:R183)*(R2=R$1:R183))))))</f>
        <v/>
      </c>
      <c r="K198" s="25" t="str">
        <f aca="false">IF(OR(E198="",E198="!!!",F198="NEW"),"",INDEX(W$1:W183,SUMPRODUCT(MAX(ROW(R$1:R183)*(E198=R$1:R183)))))</f>
        <v/>
      </c>
      <c r="L198" s="26"/>
      <c r="O198" s="20"/>
      <c r="P198" s="20"/>
      <c r="Q198" s="20"/>
    </row>
    <row r="199" customFormat="false" ht="14.25" hidden="false" customHeight="false" outlineLevel="0" collapsed="false">
      <c r="A199" s="0" t="s">
        <v>204</v>
      </c>
      <c r="B199" s="20" t="s">
        <v>235</v>
      </c>
      <c r="C199" s="20" t="s">
        <v>124</v>
      </c>
      <c r="D199" s="20" t="s">
        <v>125</v>
      </c>
      <c r="E199" s="21" t="s">
        <v>126</v>
      </c>
      <c r="F199" s="22" t="str">
        <f aca="false">IF(OR(E199="",E199="!!!"),"",IF(NOT(ISNA(VLOOKUP(E199,R$1:R184,1,FALSE()))),"OLD",IF(AND(E199&lt;&gt;"",E199&lt;&gt;"!!!"),"NEW","")))</f>
        <v>NEW</v>
      </c>
      <c r="G199" s="23" t="str">
        <f aca="false"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?REFERENTIAL</v>
      </c>
      <c r="H199" s="24" t="str">
        <f aca="false">IF(J199&lt;&gt;1,"",IF(I199="SBJ","CB","?"))</f>
        <v/>
      </c>
      <c r="I199" s="25" t="str">
        <f aca="false">IF(OR(E199="",E199="!!!",F199="NEW"),"",INDEX(O$2:O184,-1+SUMPRODUCT(MAX(ROW(R$2:R184)*(E199=R$2:R184)))))</f>
        <v/>
      </c>
      <c r="J199" s="25" t="str">
        <f aca="true">IF(OR(E199="",E199="!!!",F199="NEW"),"",COUNTBLANK(OFFSET(N$1,,,SUMPRODUCT(MAX(ROW(R$2:R185)*(E199=R$2:R185)))))-COUNTBLANK(OFFSET(N$1,,,SUMPRODUCT(MAX(ROW(R$1:R184)*(R2=R$1:R184))))))</f>
        <v/>
      </c>
      <c r="K199" s="25" t="str">
        <f aca="false">IF(OR(E199="",E199="!!!",F199="NEW"),"",INDEX(W$1:W184,SUMPRODUCT(MAX(ROW(R$1:R184)*(E199=R$1:R184)))))</f>
        <v/>
      </c>
      <c r="L199" s="26"/>
    </row>
    <row r="200" customFormat="false" ht="14.25" hidden="false" customHeight="false" outlineLevel="0" collapsed="false">
      <c r="A200" s="0" t="s">
        <v>307</v>
      </c>
      <c r="E200" s="21" t="str">
        <f aca="false">IF(Q186="?OLD","!!!","")</f>
        <v/>
      </c>
      <c r="F200" s="22" t="str">
        <f aca="false">IF(OR(E200="",E200="!!!"),"",IF(NOT(ISNA(VLOOKUP(E200,R$1:R185,1,FALSE()))),"OLD",IF(AND(E200&lt;&gt;"",E200&lt;&gt;"!!!"),"NEW","")))</f>
        <v/>
      </c>
      <c r="G200" s="23" t="str">
        <f aca="false"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aca="false">IF(J200&lt;&gt;1,"",IF(I200="SBJ","CB","?"))</f>
        <v/>
      </c>
      <c r="I200" s="25" t="str">
        <f aca="false">IF(OR(E200="",E200="!!!",F200="NEW"),"",INDEX(O$2:O185,-1+SUMPRODUCT(MAX(ROW(R$2:R185)*(E200=R$2:R185)))))</f>
        <v/>
      </c>
      <c r="J200" s="25" t="str">
        <f aca="true">IF(OR(E200="",E200="!!!",F200="NEW"),"",COUNTBLANK(OFFSET(N$1,,,SUMPRODUCT(MAX(ROW(R$2:R186)*(E200=R$2:R186)))))-COUNTBLANK(OFFSET(N$1,,,SUMPRODUCT(MAX(ROW(R$1:R185)*(R2=R$1:R185))))))</f>
        <v/>
      </c>
      <c r="K200" s="25" t="str">
        <f aca="false">IF(OR(E200="",E200="!!!",F200="NEW"),"",INDEX(W$1:W185,SUMPRODUCT(MAX(ROW(R$1:R185)*(E200=R$1:R185)))))</f>
        <v/>
      </c>
      <c r="L200" s="26"/>
    </row>
    <row r="201" customFormat="false" ht="14.25" hidden="false" customHeight="false" outlineLevel="0" collapsed="false">
      <c r="A201" s="0" t="s">
        <v>308</v>
      </c>
      <c r="E201" s="21" t="str">
        <f aca="false">IF(Q187="?OLD","!!!","")</f>
        <v/>
      </c>
      <c r="F201" s="22" t="str">
        <f aca="false">IF(OR(E201="",E201="!!!"),"",IF(NOT(ISNA(VLOOKUP(E201,R$1:R186,1,FALSE()))),"OLD",IF(AND(E201&lt;&gt;"",E201&lt;&gt;"!!!"),"NEW","")))</f>
        <v/>
      </c>
      <c r="G201" s="23" t="str">
        <f aca="false"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aca="false">IF(J201&lt;&gt;1,"",IF(I201="SBJ","CB","?"))</f>
        <v/>
      </c>
      <c r="I201" s="25" t="str">
        <f aca="false">IF(OR(E201="",E201="!!!",F201="NEW"),"",INDEX(O$2:O186,-1+SUMPRODUCT(MAX(ROW(R$2:R186)*(E201=R$2:R186)))))</f>
        <v/>
      </c>
      <c r="J201" s="25" t="str">
        <f aca="true">IF(OR(E201="",E201="!!!",F201="NEW"),"",COUNTBLANK(OFFSET(N$1,,,SUMPRODUCT(MAX(ROW(R$2:R187)*(E201=R$2:R187)))))-COUNTBLANK(OFFSET(N$1,,,SUMPRODUCT(MAX(ROW(R$1:R186)*(R2=R$1:R186))))))</f>
        <v/>
      </c>
      <c r="K201" s="25" t="str">
        <f aca="false">IF(OR(E201="",E201="!!!",F201="NEW"),"",INDEX(W$1:W186,SUMPRODUCT(MAX(ROW(R$1:R186)*(E201=R$1:R186)))))</f>
        <v/>
      </c>
      <c r="L201" s="26"/>
    </row>
    <row r="202" customFormat="false" ht="14.25" hidden="false" customHeight="false" outlineLevel="0" collapsed="false">
      <c r="A202" s="0" t="s">
        <v>140</v>
      </c>
      <c r="E202" s="21" t="str">
        <f aca="false">IF(Q188="?OLD","!!!","")</f>
        <v/>
      </c>
      <c r="F202" s="22" t="str">
        <f aca="false">IF(OR(E202="",E202="!!!"),"",IF(NOT(ISNA(VLOOKUP(E202,R$1:R187,1,FALSE()))),"OLD",IF(AND(E202&lt;&gt;"",E202&lt;&gt;"!!!"),"NEW","")))</f>
        <v/>
      </c>
      <c r="G202" s="23" t="str">
        <f aca="false"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aca="false">IF(J202&lt;&gt;1,"",IF(I202="SBJ","CB","?"))</f>
        <v/>
      </c>
      <c r="I202" s="25" t="str">
        <f aca="false">IF(OR(E202="",E202="!!!",F202="NEW"),"",INDEX(O$2:O187,-1+SUMPRODUCT(MAX(ROW(R$2:R187)*(E202=R$2:R187)))))</f>
        <v/>
      </c>
      <c r="J202" s="25" t="str">
        <f aca="true">IF(OR(E202="",E202="!!!",F202="NEW"),"",COUNTBLANK(OFFSET(N$1,,,SUMPRODUCT(MAX(ROW(R$2:R188)*(E202=R$2:R188)))))-COUNTBLANK(OFFSET(N$1,,,SUMPRODUCT(MAX(ROW(R$1:R187)*(R2=R$1:R187))))))</f>
        <v/>
      </c>
      <c r="K202" s="25" t="str">
        <f aca="false">IF(OR(E202="",E202="!!!",F202="NEW"),"",INDEX(W$1:W187,SUMPRODUCT(MAX(ROW(R$1:R187)*(E202=R$1:R187)))))</f>
        <v/>
      </c>
      <c r="L202" s="26"/>
    </row>
    <row r="203" customFormat="false" ht="14.25" hidden="false" customHeight="false" outlineLevel="0" collapsed="false">
      <c r="A203" s="0" t="s">
        <v>309</v>
      </c>
      <c r="E203" s="21" t="str">
        <f aca="false">IF(Q189="?OLD","!!!","")</f>
        <v/>
      </c>
      <c r="F203" s="22" t="str">
        <f aca="false">IF(OR(E203="",E203="!!!"),"",IF(NOT(ISNA(VLOOKUP(E203,R$1:R188,1,FALSE()))),"OLD",IF(AND(E203&lt;&gt;"",E203&lt;&gt;"!!!"),"NEW","")))</f>
        <v/>
      </c>
      <c r="G203" s="23" t="str">
        <f aca="false"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aca="false">IF(J203&lt;&gt;1,"",IF(I203="SBJ","CB","?"))</f>
        <v/>
      </c>
      <c r="I203" s="25" t="str">
        <f aca="false">IF(OR(E203="",E203="!!!",F203="NEW"),"",INDEX(O$2:O188,-1+SUMPRODUCT(MAX(ROW(R$2:R188)*(E203=R$2:R188)))))</f>
        <v/>
      </c>
      <c r="J203" s="25" t="str">
        <f aca="true">IF(OR(E203="",E203="!!!",F203="NEW"),"",COUNTBLANK(OFFSET(N$1,,,SUMPRODUCT(MAX(ROW(R$2:R189)*(E203=R$2:R189)))))-COUNTBLANK(OFFSET(N$1,,,SUMPRODUCT(MAX(ROW(R$1:R188)*(R2=R$1:R188))))))</f>
        <v/>
      </c>
      <c r="K203" s="25" t="str">
        <f aca="false">IF(OR(E203="",E203="!!!",F203="NEW"),"",INDEX(W$1:W188,SUMPRODUCT(MAX(ROW(R$1:R188)*(E203=R$1:R188)))))</f>
        <v/>
      </c>
      <c r="L203" s="26"/>
    </row>
    <row r="204" customFormat="false" ht="14.25" hidden="false" customHeight="false" outlineLevel="0" collapsed="false">
      <c r="A204" s="0" t="s">
        <v>273</v>
      </c>
      <c r="E204" s="21" t="str">
        <f aca="false">IF(Q190="?OLD","!!!","")</f>
        <v/>
      </c>
      <c r="F204" s="22" t="str">
        <f aca="false">IF(OR(E204="",E204="!!!"),"",IF(NOT(ISNA(VLOOKUP(E204,R$1:R189,1,FALSE()))),"OLD",IF(AND(E204&lt;&gt;"",E204&lt;&gt;"!!!"),"NEW","")))</f>
        <v/>
      </c>
      <c r="G204" s="23" t="str">
        <f aca="false"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aca="false">IF(J204&lt;&gt;1,"",IF(I204="SBJ","CB","?"))</f>
        <v/>
      </c>
      <c r="I204" s="25" t="str">
        <f aca="false">IF(OR(E204="",E204="!!!",F204="NEW"),"",INDEX(O$2:O189,-1+SUMPRODUCT(MAX(ROW(R$2:R189)*(E204=R$2:R189)))))</f>
        <v/>
      </c>
      <c r="J204" s="25" t="str">
        <f aca="true">IF(OR(E204="",E204="!!!",F204="NEW"),"",COUNTBLANK(OFFSET(N$1,,,SUMPRODUCT(MAX(ROW(R$2:R190)*(E204=R$2:R190)))))-COUNTBLANK(OFFSET(N$1,,,SUMPRODUCT(MAX(ROW(R$1:R189)*(R2=R$1:R189))))))</f>
        <v/>
      </c>
      <c r="K204" s="25" t="str">
        <f aca="false">IF(OR(E204="",E204="!!!",F204="NEW"),"",INDEX(W$1:W189,SUMPRODUCT(MAX(ROW(R$1:R189)*(E204=R$1:R189)))))</f>
        <v/>
      </c>
      <c r="L204" s="26"/>
      <c r="O204" s="20"/>
      <c r="P204" s="20"/>
      <c r="Q204" s="20"/>
    </row>
    <row r="205" customFormat="false" ht="14.25" hidden="false" customHeight="false" outlineLevel="0" collapsed="false">
      <c r="A205" s="0" t="s">
        <v>310</v>
      </c>
      <c r="B205" s="20" t="s">
        <v>133</v>
      </c>
      <c r="C205" s="20" t="s">
        <v>172</v>
      </c>
      <c r="D205" s="20" t="s">
        <v>125</v>
      </c>
      <c r="E205" s="21"/>
      <c r="F205" s="22" t="s">
        <v>311</v>
      </c>
      <c r="G205" s="23" t="str">
        <f aca="false"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aca="false">IF(J205&lt;&gt;1,"",IF(I205="SBJ","CB","?"))</f>
        <v/>
      </c>
      <c r="I205" s="25" t="str">
        <f aca="false">IF(OR(E205="",E205="!!!",F205="NEW"),"",INDEX(O$2:O190,-1+SUMPRODUCT(MAX(ROW(R$2:R190)*(E205=R$2:R190)))))</f>
        <v/>
      </c>
      <c r="J205" s="25" t="str">
        <f aca="true">IF(OR(E205="",E205="!!!",F205="NEW"),"",COUNTBLANK(OFFSET(N$1,,,SUMPRODUCT(MAX(ROW(R$2:R191)*(E205=R$2:R191)))))-COUNTBLANK(OFFSET(N$1,,,SUMPRODUCT(MAX(ROW(R$1:R190)*(R2=R$1:R190))))))</f>
        <v/>
      </c>
      <c r="K205" s="25" t="str">
        <f aca="false">IF(OR(E205="",E205="!!!",F205="NEW"),"",INDEX(W$1:W190,SUMPRODUCT(MAX(ROW(R$1:R190)*(E205=R$1:R190)))))</f>
        <v/>
      </c>
      <c r="L205" s="26"/>
    </row>
    <row r="206" customFormat="false" ht="14.25" hidden="false" customHeight="false" outlineLevel="0" collapsed="false">
      <c r="A206" s="0" t="s">
        <v>140</v>
      </c>
      <c r="E206" s="21" t="str">
        <f aca="false">IF(Q192="?OLD","!!!","")</f>
        <v/>
      </c>
      <c r="F206" s="22" t="str">
        <f aca="false">IF(OR(E206="",E206="!!!"),"",IF(NOT(ISNA(VLOOKUP(E206,R$1:R191,1,FALSE()))),"OLD",IF(AND(E206&lt;&gt;"",E206&lt;&gt;"!!!"),"NEW","")))</f>
        <v/>
      </c>
      <c r="G206" s="23" t="str">
        <f aca="false"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aca="false">IF(J206&lt;&gt;1,"",IF(I206="SBJ","CB","?"))</f>
        <v/>
      </c>
      <c r="I206" s="25" t="str">
        <f aca="false">IF(OR(E206="",E206="!!!",F206="NEW"),"",INDEX(O$2:O191,-1+SUMPRODUCT(MAX(ROW(R$2:R191)*(E206=R$2:R191)))))</f>
        <v/>
      </c>
      <c r="J206" s="25" t="str">
        <f aca="true">IF(OR(E206="",E206="!!!",F206="NEW"),"",COUNTBLANK(OFFSET(N$1,,,SUMPRODUCT(MAX(ROW(R$2:R192)*(E206=R$2:R192)))))-COUNTBLANK(OFFSET(N$1,,,SUMPRODUCT(MAX(ROW(R$1:R191)*(R2=R$1:R191))))))</f>
        <v/>
      </c>
      <c r="K206" s="25" t="str">
        <f aca="false">IF(OR(E206="",E206="!!!",F206="NEW"),"",INDEX(W$1:W191,SUMPRODUCT(MAX(ROW(R$1:R191)*(E206=R$1:R191)))))</f>
        <v/>
      </c>
      <c r="L206" s="26"/>
    </row>
    <row r="207" customFormat="false" ht="14.25" hidden="false" customHeight="false" outlineLevel="0" collapsed="false">
      <c r="A207" s="0" t="s">
        <v>273</v>
      </c>
      <c r="B207" s="20" t="s">
        <v>123</v>
      </c>
      <c r="E207" s="21"/>
      <c r="F207" s="22" t="str">
        <f aca="false">IF(OR(E207="",E207="!!!"),"",IF(NOT(ISNA(VLOOKUP(E207,R$1:R192,1,FALSE()))),"OLD",IF(AND(E207&lt;&gt;"",E207&lt;&gt;"!!!"),"NEW","")))</f>
        <v/>
      </c>
      <c r="G207" s="23" t="str">
        <f aca="false"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aca="false">IF(J207&lt;&gt;1,"",IF(I207="SBJ","CB","?"))</f>
        <v/>
      </c>
      <c r="I207" s="25" t="str">
        <f aca="false">IF(OR(E207="",E207="!!!",F207="NEW"),"",INDEX(O$2:O192,-1+SUMPRODUCT(MAX(ROW(R$2:R192)*(E207=R$2:R192)))))</f>
        <v/>
      </c>
      <c r="J207" s="25" t="str">
        <f aca="true">IF(OR(E207="",E207="!!!",F207="NEW"),"",COUNTBLANK(OFFSET(N$1,,,SUMPRODUCT(MAX(ROW(R$2:R193)*(E207=R$2:R193)))))-COUNTBLANK(OFFSET(N$1,,,SUMPRODUCT(MAX(ROW(R$1:R192)*(R2=R$1:R192))))))</f>
        <v/>
      </c>
      <c r="K207" s="25" t="str">
        <f aca="false">IF(OR(E207="",E207="!!!",F207="NEW"),"",INDEX(W$1:W192,SUMPRODUCT(MAX(ROW(R$1:R192)*(E207=R$1:R192)))))</f>
        <v/>
      </c>
      <c r="L207" s="26"/>
      <c r="O207" s="20"/>
      <c r="P207" s="20"/>
      <c r="Q207" s="20"/>
    </row>
    <row r="208" customFormat="false" ht="14.25" hidden="false" customHeight="false" outlineLevel="0" collapsed="false">
      <c r="A208" s="0" t="s">
        <v>312</v>
      </c>
      <c r="B208" s="20" t="s">
        <v>224</v>
      </c>
      <c r="C208" s="20" t="s">
        <v>155</v>
      </c>
      <c r="E208" s="21" t="str">
        <f aca="false">IF(Q194="?OLD","!!!","")</f>
        <v/>
      </c>
      <c r="F208" s="22" t="str">
        <f aca="false">IF(OR(E208="",E208="!!!"),"",IF(NOT(ISNA(VLOOKUP(E208,R$1:R193,1,FALSE()))),"OLD",IF(AND(E208&lt;&gt;"",E208&lt;&gt;"!!!"),"NEW","")))</f>
        <v/>
      </c>
      <c r="G208" s="23" t="str">
        <f aca="false"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aca="false">IF(J208&lt;&gt;1,"",IF(I208="SBJ","CB","?"))</f>
        <v/>
      </c>
      <c r="I208" s="25" t="str">
        <f aca="false">IF(OR(E208="",E208="!!!",F208="NEW"),"",INDEX(O$2:O193,-1+SUMPRODUCT(MAX(ROW(R$2:R193)*(E208=R$2:R193)))))</f>
        <v/>
      </c>
      <c r="J208" s="25" t="str">
        <f aca="true">IF(OR(E208="",E208="!!!",F208="NEW"),"",COUNTBLANK(OFFSET(N$1,,,SUMPRODUCT(MAX(ROW(R$2:R194)*(E208=R$2:R194)))))-COUNTBLANK(OFFSET(N$1,,,SUMPRODUCT(MAX(ROW(R$1:R193)*(R2=R$1:R193))))))</f>
        <v/>
      </c>
      <c r="K208" s="25" t="str">
        <f aca="false">IF(OR(E208="",E208="!!!",F208="NEW"),"",INDEX(W$1:W193,SUMPRODUCT(MAX(ROW(R$1:R193)*(E208=R$1:R193)))))</f>
        <v/>
      </c>
      <c r="L208" s="26"/>
    </row>
    <row r="209" customFormat="false" ht="14.25" hidden="false" customHeight="false" outlineLevel="0" collapsed="false">
      <c r="A209" s="0" t="s">
        <v>313</v>
      </c>
      <c r="E209" s="21" t="str">
        <f aca="false">IF(Q195="?OLD","!!!","")</f>
        <v/>
      </c>
      <c r="F209" s="22" t="str">
        <f aca="false">IF(OR(E209="",E209="!!!"),"",IF(NOT(ISNA(VLOOKUP(E209,R$1:R194,1,FALSE()))),"OLD",IF(AND(E209&lt;&gt;"",E209&lt;&gt;"!!!"),"NEW","")))</f>
        <v/>
      </c>
      <c r="G209" s="23" t="str">
        <f aca="false"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aca="false">IF(J209&lt;&gt;1,"",IF(I209="SBJ","CB","?"))</f>
        <v/>
      </c>
      <c r="I209" s="25" t="str">
        <f aca="false">IF(OR(E209="",E209="!!!",F209="NEW"),"",INDEX(O$2:O194,-1+SUMPRODUCT(MAX(ROW(R$2:R194)*(E209=R$2:R194)))))</f>
        <v/>
      </c>
      <c r="J209" s="25" t="str">
        <f aca="true">IF(OR(E209="",E209="!!!",F209="NEW"),"",COUNTBLANK(OFFSET(N$1,,,SUMPRODUCT(MAX(ROW(R$2:R195)*(E209=R$2:R195)))))-COUNTBLANK(OFFSET(N$1,,,SUMPRODUCT(MAX(ROW(R$1:R194)*(R2=R$1:R194))))))</f>
        <v/>
      </c>
      <c r="K209" s="25" t="str">
        <f aca="false">IF(OR(E209="",E209="!!!",F209="NEW"),"",INDEX(W$1:W194,SUMPRODUCT(MAX(ROW(R$1:R194)*(E209=R$1:R194)))))</f>
        <v/>
      </c>
      <c r="L209" s="26"/>
    </row>
    <row r="210" customFormat="false" ht="14.25" hidden="false" customHeight="false" outlineLevel="0" collapsed="false">
      <c r="A210" s="0" t="s">
        <v>140</v>
      </c>
      <c r="E210" s="21" t="str">
        <f aca="false">IF(Q196="?OLD","!!!","")</f>
        <v/>
      </c>
      <c r="F210" s="22" t="str">
        <f aca="false">IF(OR(E210="",E210="!!!"),"",IF(NOT(ISNA(VLOOKUP(E210,R$1:R195,1,FALSE()))),"OLD",IF(AND(E210&lt;&gt;"",E210&lt;&gt;"!!!"),"NEW","")))</f>
        <v/>
      </c>
      <c r="G210" s="23" t="str">
        <f aca="false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aca="false">IF(J210&lt;&gt;1,"",IF(I210="SBJ","CB","?"))</f>
        <v/>
      </c>
      <c r="I210" s="25" t="str">
        <f aca="false">IF(OR(E210="",E210="!!!",F210="NEW"),"",INDEX(O$2:O195,-1+SUMPRODUCT(MAX(ROW(R$2:R195)*(E210=R$2:R195)))))</f>
        <v/>
      </c>
      <c r="J210" s="25" t="str">
        <f aca="true">IF(OR(E210="",E210="!!!",F210="NEW"),"",COUNTBLANK(OFFSET(N$1,,,SUMPRODUCT(MAX(ROW(R$2:R196)*(E210=R$2:R196)))))-COUNTBLANK(OFFSET(N$1,,,SUMPRODUCT(MAX(ROW(R$1:R195)*(R2=R$1:R195))))))</f>
        <v/>
      </c>
      <c r="K210" s="25" t="str">
        <f aca="false">IF(OR(E210="",E210="!!!",F210="NEW"),"",INDEX(W$1:W195,SUMPRODUCT(MAX(ROW(R$1:R195)*(E210=R$1:R195)))))</f>
        <v/>
      </c>
      <c r="L210" s="26"/>
      <c r="O210" s="20"/>
      <c r="P210" s="20"/>
    </row>
    <row r="211" customFormat="false" ht="14.25" hidden="false" customHeight="false" outlineLevel="0" collapsed="false">
      <c r="A211" s="0" t="s">
        <v>314</v>
      </c>
      <c r="E211" s="21" t="str">
        <f aca="false">IF(Q197="?OLD","!!!","")</f>
        <v/>
      </c>
      <c r="F211" s="22" t="str">
        <f aca="false">IF(OR(E211="",E211="!!!"),"",IF(NOT(ISNA(VLOOKUP(E211,R$1:R196,1,FALSE()))),"OLD",IF(AND(E211&lt;&gt;"",E211&lt;&gt;"!!!"),"NEW","")))</f>
        <v/>
      </c>
      <c r="G211" s="23" t="str">
        <f aca="false"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aca="false">IF(J211&lt;&gt;1,"",IF(I211="SBJ","CB","?"))</f>
        <v/>
      </c>
      <c r="I211" s="25" t="str">
        <f aca="false">IF(OR(E211="",E211="!!!",F211="NEW"),"",INDEX(O$2:O196,-1+SUMPRODUCT(MAX(ROW(R$2:R196)*(E211=R$2:R196)))))</f>
        <v/>
      </c>
      <c r="J211" s="25" t="str">
        <f aca="true">IF(OR(E211="",E211="!!!",F211="NEW"),"",COUNTBLANK(OFFSET(N$1,,,SUMPRODUCT(MAX(ROW(R$2:R197)*(E211=R$2:R197)))))-COUNTBLANK(OFFSET(N$1,,,SUMPRODUCT(MAX(ROW(R$1:R196)*(R2=R$1:R196))))))</f>
        <v/>
      </c>
      <c r="K211" s="25" t="str">
        <f aca="false">IF(OR(E211="",E211="!!!",F211="NEW"),"",INDEX(W$1:W196,SUMPRODUCT(MAX(ROW(R$1:R196)*(E211=R$1:R196)))))</f>
        <v/>
      </c>
      <c r="L211" s="26"/>
    </row>
    <row r="212" customFormat="false" ht="14.25" hidden="false" customHeight="false" outlineLevel="0" collapsed="false">
      <c r="A212" s="0" t="s">
        <v>253</v>
      </c>
      <c r="B212" s="20" t="s">
        <v>235</v>
      </c>
      <c r="C212" s="20" t="s">
        <v>209</v>
      </c>
      <c r="D212" s="20" t="s">
        <v>125</v>
      </c>
      <c r="E212" s="21" t="s">
        <v>305</v>
      </c>
      <c r="F212" s="22" t="str">
        <f aca="false">IF(OR(E212="",E212="!!!"),"",IF(NOT(ISNA(VLOOKUP(E212,R$1:R197,1,FALSE()))),"OLD",IF(AND(E212&lt;&gt;"",E212&lt;&gt;"!!!"),"NEW","")))</f>
        <v>NEW</v>
      </c>
      <c r="G212" s="23" t="str">
        <f aca="false"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?REFERENTIAL</v>
      </c>
      <c r="H212" s="24" t="str">
        <f aca="false">IF(J212&lt;&gt;1,"",IF(I212="SBJ","CB","?"))</f>
        <v/>
      </c>
      <c r="I212" s="25" t="str">
        <f aca="false">IF(OR(E212="",E212="!!!",F212="NEW"),"",INDEX(O$2:O197,-1+SUMPRODUCT(MAX(ROW(R$2:R197)*(E212=R$2:R197)))))</f>
        <v/>
      </c>
      <c r="J212" s="25" t="str">
        <f aca="true">IF(OR(E212="",E212="!!!",F212="NEW"),"",COUNTBLANK(OFFSET(N$1,,,SUMPRODUCT(MAX(ROW(R$2:R198)*(E212=R$2:R198)))))-COUNTBLANK(OFFSET(N$1,,,SUMPRODUCT(MAX(ROW(R$1:R197)*(R2=R$1:R197))))))</f>
        <v/>
      </c>
      <c r="K212" s="25" t="str">
        <f aca="false">IF(OR(E212="",E212="!!!",F212="NEW"),"",INDEX(W$1:W197,SUMPRODUCT(MAX(ROW(R$1:R197)*(E212=R$1:R197)))))</f>
        <v/>
      </c>
      <c r="L212" s="26"/>
      <c r="O212" s="20"/>
      <c r="P212" s="20"/>
      <c r="Q212" s="20"/>
    </row>
    <row r="213" customFormat="false" ht="14.25" hidden="false" customHeight="false" outlineLevel="0" collapsed="false">
      <c r="A213" s="0" t="s">
        <v>238</v>
      </c>
      <c r="E213" s="21" t="str">
        <f aca="false">IF(Q199="?OLD","!!!","")</f>
        <v/>
      </c>
      <c r="F213" s="22" t="str">
        <f aca="false">IF(OR(E213="",E213="!!!"),"",IF(NOT(ISNA(VLOOKUP(E213,R$1:R198,1,FALSE()))),"OLD",IF(AND(E213&lt;&gt;"",E213&lt;&gt;"!!!"),"NEW","")))</f>
        <v/>
      </c>
      <c r="G213" s="23" t="str">
        <f aca="false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aca="false">IF(J213&lt;&gt;1,"",IF(I213="SBJ","CB","?"))</f>
        <v/>
      </c>
      <c r="I213" s="25" t="str">
        <f aca="false">IF(OR(E213="",E213="!!!",F213="NEW"),"",INDEX(O$2:O198,-1+SUMPRODUCT(MAX(ROW(R$2:R198)*(E213=R$2:R198)))))</f>
        <v/>
      </c>
      <c r="J213" s="25" t="str">
        <f aca="true">IF(OR(E213="",E213="!!!",F213="NEW"),"",COUNTBLANK(OFFSET(N$1,,,SUMPRODUCT(MAX(ROW(R$2:R199)*(E213=R$2:R199)))))-COUNTBLANK(OFFSET(N$1,,,SUMPRODUCT(MAX(ROW(R$1:R198)*(R2=R$1:R198))))))</f>
        <v/>
      </c>
      <c r="K213" s="25" t="str">
        <f aca="false">IF(OR(E213="",E213="!!!",F213="NEW"),"",INDEX(W$1:W198,SUMPRODUCT(MAX(ROW(R$1:R198)*(E213=R$1:R198)))))</f>
        <v/>
      </c>
      <c r="L213" s="26"/>
    </row>
    <row r="214" customFormat="false" ht="14.25" hidden="false" customHeight="false" outlineLevel="0" collapsed="false">
      <c r="A214" s="0" t="s">
        <v>315</v>
      </c>
      <c r="E214" s="21" t="str">
        <f aca="false">IF(Q200="?OLD","!!!","")</f>
        <v/>
      </c>
      <c r="F214" s="22" t="str">
        <f aca="false">IF(OR(E214="",E214="!!!"),"",IF(NOT(ISNA(VLOOKUP(E214,R$1:R199,1,FALSE()))),"OLD",IF(AND(E214&lt;&gt;"",E214&lt;&gt;"!!!"),"NEW","")))</f>
        <v/>
      </c>
      <c r="G214" s="23" t="str">
        <f aca="false"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aca="false">IF(J214&lt;&gt;1,"",IF(I214="SBJ","CB","?"))</f>
        <v/>
      </c>
      <c r="I214" s="25" t="str">
        <f aca="false">IF(OR(E214="",E214="!!!",F214="NEW"),"",INDEX(O$2:O199,-1+SUMPRODUCT(MAX(ROW(R$2:R199)*(E214=R$2:R199)))))</f>
        <v/>
      </c>
      <c r="J214" s="25" t="str">
        <f aca="true">IF(OR(E214="",E214="!!!",F214="NEW"),"",COUNTBLANK(OFFSET(N$1,,,SUMPRODUCT(MAX(ROW(R$2:R200)*(E214=R$2:R200)))))-COUNTBLANK(OFFSET(N$1,,,SUMPRODUCT(MAX(ROW(R$1:R199)*(R2=R$1:R199))))))</f>
        <v/>
      </c>
      <c r="K214" s="25" t="str">
        <f aca="false">IF(OR(E214="",E214="!!!",F214="NEW"),"",INDEX(W$1:W199,SUMPRODUCT(MAX(ROW(R$1:R199)*(E214=R$1:R199)))))</f>
        <v/>
      </c>
      <c r="L214" s="26"/>
      <c r="O214" s="20"/>
      <c r="P214" s="20"/>
    </row>
    <row r="215" customFormat="false" ht="14.25" hidden="false" customHeight="false" outlineLevel="0" collapsed="false">
      <c r="A215" s="0" t="s">
        <v>316</v>
      </c>
      <c r="E215" s="21" t="str">
        <f aca="false">IF(Q201="?OLD","!!!","")</f>
        <v/>
      </c>
      <c r="F215" s="22" t="str">
        <f aca="false">IF(OR(E215="",E215="!!!"),"",IF(NOT(ISNA(VLOOKUP(E215,R$1:R200,1,FALSE()))),"OLD",IF(AND(E215&lt;&gt;"",E215&lt;&gt;"!!!"),"NEW","")))</f>
        <v/>
      </c>
      <c r="G215" s="23" t="str">
        <f aca="false"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aca="false">IF(J215&lt;&gt;1,"",IF(I215="SBJ","CB","?"))</f>
        <v/>
      </c>
      <c r="I215" s="25" t="str">
        <f aca="false">IF(OR(E215="",E215="!!!",F215="NEW"),"",INDEX(O$2:O200,-1+SUMPRODUCT(MAX(ROW(R$2:R200)*(E215=R$2:R200)))))</f>
        <v/>
      </c>
      <c r="J215" s="25" t="str">
        <f aca="true">IF(OR(E215="",E215="!!!",F215="NEW"),"",COUNTBLANK(OFFSET(N$1,,,SUMPRODUCT(MAX(ROW(R$2:R201)*(E215=R$2:R201)))))-COUNTBLANK(OFFSET(N$1,,,SUMPRODUCT(MAX(ROW(R$1:R200)*(R2=R$1:R200))))))</f>
        <v/>
      </c>
      <c r="K215" s="25" t="str">
        <f aca="false">IF(OR(E215="",E215="!!!",F215="NEW"),"",INDEX(W$1:W200,SUMPRODUCT(MAX(ROW(R$1:R200)*(E215=R$1:R200)))))</f>
        <v/>
      </c>
      <c r="L215" s="26"/>
    </row>
    <row r="216" customFormat="false" ht="14.25" hidden="false" customHeight="false" outlineLevel="0" collapsed="false">
      <c r="A216" s="0" t="s">
        <v>160</v>
      </c>
      <c r="E216" s="21" t="str">
        <f aca="false">IF(Q202="?OLD","!!!","")</f>
        <v/>
      </c>
      <c r="F216" s="22" t="str">
        <f aca="false">IF(OR(E216="",E216="!!!"),"",IF(NOT(ISNA(VLOOKUP(E216,R$1:R201,1,FALSE()))),"OLD",IF(AND(E216&lt;&gt;"",E216&lt;&gt;"!!!"),"NEW","")))</f>
        <v/>
      </c>
      <c r="G216" s="23" t="str">
        <f aca="false"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aca="false">IF(J216&lt;&gt;1,"",IF(I216="SBJ","CB","?"))</f>
        <v/>
      </c>
      <c r="I216" s="25" t="str">
        <f aca="false">IF(OR(E216="",E216="!!!",F216="NEW"),"",INDEX(O$2:O201,-1+SUMPRODUCT(MAX(ROW(R$2:R201)*(E216=R$2:R201)))))</f>
        <v/>
      </c>
      <c r="J216" s="25" t="str">
        <f aca="true">IF(OR(E216="",E216="!!!",F216="NEW"),"",COUNTBLANK(OFFSET(N$1,,,SUMPRODUCT(MAX(ROW(R$2:R202)*(E216=R$2:R202)))))-COUNTBLANK(OFFSET(N$1,,,SUMPRODUCT(MAX(ROW(R$1:R201)*(R2=R$1:R201))))))</f>
        <v/>
      </c>
      <c r="K216" s="25" t="str">
        <f aca="false">IF(OR(E216="",E216="!!!",F216="NEW"),"",INDEX(W$1:W201,SUMPRODUCT(MAX(ROW(R$1:R201)*(E216=R$1:R201)))))</f>
        <v/>
      </c>
      <c r="L216" s="26"/>
    </row>
    <row r="217" customFormat="false" ht="14.25" hidden="false" customHeight="false" outlineLevel="0" collapsed="false">
      <c r="O217" s="20"/>
    </row>
    <row r="218" customFormat="false" ht="14.25" hidden="false" customHeight="false" outlineLevel="0" collapsed="false">
      <c r="A218" s="0" t="s">
        <v>317</v>
      </c>
    </row>
    <row r="219" customFormat="false" ht="14.25" hidden="false" customHeight="false" outlineLevel="0" collapsed="false">
      <c r="A219" s="0" t="s">
        <v>303</v>
      </c>
      <c r="E219" s="21" t="str">
        <f aca="false">IF(Q203="?OLD","!!!","")</f>
        <v/>
      </c>
      <c r="F219" s="22" t="str">
        <f aca="false">IF(OR(E219="",E219="!!!"),"",IF(NOT(ISNA(VLOOKUP(E219,R$1:R202,1,FALSE()))),"OLD",IF(AND(E219&lt;&gt;"",E219&lt;&gt;"!!!"),"NEW","")))</f>
        <v/>
      </c>
      <c r="G219" s="23" t="str">
        <f aca="false"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aca="false">IF(J219&lt;&gt;1,"",IF(I219="SBJ","CB","?"))</f>
        <v/>
      </c>
      <c r="I219" s="25" t="str">
        <f aca="false">IF(OR(E219="",E219="!!!",F219="NEW"),"",INDEX(O$2:O202,-1+SUMPRODUCT(MAX(ROW(R$2:R202)*(E219=R$2:R202)))))</f>
        <v/>
      </c>
      <c r="J219" s="25" t="str">
        <f aca="true">IF(OR(E219="",E219="!!!",F219="NEW"),"",COUNTBLANK(OFFSET(N$1,,,SUMPRODUCT(MAX(ROW(R$2:R203)*(E219=R$2:R203)))))-COUNTBLANK(OFFSET(N$1,,,SUMPRODUCT(MAX(ROW(R$1:R202)*(R2=R$1:R202))))))</f>
        <v/>
      </c>
      <c r="K219" s="25" t="str">
        <f aca="false">IF(OR(E219="",E219="!!!",F219="NEW"),"",INDEX(W$1:W202,SUMPRODUCT(MAX(ROW(R$1:R202)*(E219=R$1:R202)))))</f>
        <v/>
      </c>
      <c r="L219" s="26"/>
    </row>
    <row r="220" customFormat="false" ht="14.25" hidden="false" customHeight="false" outlineLevel="0" collapsed="false">
      <c r="A220" s="0" t="s">
        <v>318</v>
      </c>
      <c r="B220" s="20" t="s">
        <v>164</v>
      </c>
      <c r="C220" s="20" t="s">
        <v>172</v>
      </c>
      <c r="D220" s="20" t="s">
        <v>125</v>
      </c>
      <c r="E220" s="21" t="s">
        <v>319</v>
      </c>
      <c r="F220" s="22" t="s">
        <v>265</v>
      </c>
      <c r="G220" s="23" t="e">
        <f aca="false"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#VALUE!</v>
      </c>
      <c r="H220" s="24" t="e">
        <f aca="false">IF(J220&lt;&gt;1,"",IF(I220="SBJ","CB","?"))</f>
        <v>#VALUE!</v>
      </c>
      <c r="I220" s="25" t="e">
        <f aca="false">IF(OR(E220="",E220="!!!",F220="NEW"),"",INDEX(O$2:O203,-1+SUMPRODUCT(MAX(ROW(R$2:R203)*(E220=R$2:R203)))))</f>
        <v>#VALUE!</v>
      </c>
      <c r="J220" s="25" t="e">
        <f aca="true">IF(OR(E220="",E220="!!!",F220="NEW"),"",COUNTBLANK(OFFSET(N$1,,,SUMPRODUCT(MAX(ROW(R$2:R204)*(E220=R$2:R204)))))-COUNTBLANK(OFFSET(N$1,,,SUMPRODUCT(MAX(ROW(R$1:R203)*(R2=R$1:R203))))))</f>
        <v>#VALUE!</v>
      </c>
      <c r="K220" s="25" t="e">
        <f aca="false">IF(OR(E220="",E220="!!!",F220="NEW"),"",INDEX(W$1:W203,SUMPRODUCT(MAX(ROW(R$1:R203)*(E220=R$1:R203)))))</f>
        <v>#VALUE!</v>
      </c>
      <c r="L220" s="26" t="s">
        <v>320</v>
      </c>
    </row>
    <row r="221" customFormat="false" ht="14.25" hidden="false" customHeight="false" outlineLevel="0" collapsed="false">
      <c r="A221" s="0" t="s">
        <v>163</v>
      </c>
      <c r="E221" s="21" t="str">
        <f aca="false">IF(Q205="?OLD","!!!","")</f>
        <v/>
      </c>
      <c r="F221" s="22" t="str">
        <f aca="false">IF(OR(E221="",E221="!!!"),"",IF(NOT(ISNA(VLOOKUP(E221,R$1:R204,1,FALSE()))),"OLD",IF(AND(E221&lt;&gt;"",E221&lt;&gt;"!!!"),"NEW","")))</f>
        <v/>
      </c>
      <c r="G221" s="23" t="str">
        <f aca="false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aca="false">IF(J221&lt;&gt;1,"",IF(I221="SBJ","CB","?"))</f>
        <v/>
      </c>
      <c r="I221" s="25" t="str">
        <f aca="false">IF(OR(E221="",E221="!!!",F221="NEW"),"",INDEX(O$2:O204,-1+SUMPRODUCT(MAX(ROW(R$2:R204)*(E221=R$2:R204)))))</f>
        <v/>
      </c>
      <c r="J221" s="25" t="str">
        <f aca="true">IF(OR(E221="",E221="!!!",F221="NEW"),"",COUNTBLANK(OFFSET(N$1,,,SUMPRODUCT(MAX(ROW(R$2:R205)*(E221=R$2:R205)))))-COUNTBLANK(OFFSET(N$1,,,SUMPRODUCT(MAX(ROW(R$1:R204)*(R2=R$1:R204))))))</f>
        <v/>
      </c>
      <c r="K221" s="25" t="str">
        <f aca="false">IF(OR(E221="",E221="!!!",F221="NEW"),"",INDEX(W$1:W204,SUMPRODUCT(MAX(ROW(R$1:R204)*(E221=R$1:R204)))))</f>
        <v/>
      </c>
      <c r="L221" s="26"/>
      <c r="O221" s="20"/>
      <c r="P221" s="20"/>
      <c r="Q221" s="20"/>
    </row>
    <row r="222" customFormat="false" ht="14.25" hidden="false" customHeight="false" outlineLevel="0" collapsed="false">
      <c r="A222" s="0" t="s">
        <v>263</v>
      </c>
      <c r="E222" s="21" t="str">
        <f aca="false">IF(Q206="?OLD","!!!","")</f>
        <v/>
      </c>
      <c r="F222" s="22" t="str">
        <f aca="false">IF(OR(E222="",E222="!!!"),"",IF(NOT(ISNA(VLOOKUP(E222,R$1:R205,1,FALSE()))),"OLD",IF(AND(E222&lt;&gt;"",E222&lt;&gt;"!!!"),"NEW","")))</f>
        <v/>
      </c>
      <c r="G222" s="23" t="str">
        <f aca="false"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aca="false">IF(J222&lt;&gt;1,"",IF(I222="SBJ","CB","?"))</f>
        <v/>
      </c>
      <c r="I222" s="25" t="str">
        <f aca="false">IF(OR(E222="",E222="!!!",F222="NEW"),"",INDEX(O$2:O205,-1+SUMPRODUCT(MAX(ROW(R$2:R205)*(E222=R$2:R205)))))</f>
        <v/>
      </c>
      <c r="J222" s="25" t="str">
        <f aca="true">IF(OR(E222="",E222="!!!",F222="NEW"),"",COUNTBLANK(OFFSET(N$1,,,SUMPRODUCT(MAX(ROW(R$2:R206)*(E222=R$2:R206)))))-COUNTBLANK(OFFSET(N$1,,,SUMPRODUCT(MAX(ROW(R$1:R205)*(R2=R$1:R205))))))</f>
        <v/>
      </c>
      <c r="K222" s="25" t="str">
        <f aca="false">IF(OR(E222="",E222="!!!",F222="NEW"),"",INDEX(W$1:W205,SUMPRODUCT(MAX(ROW(R$1:R205)*(E222=R$1:R205)))))</f>
        <v/>
      </c>
      <c r="L222" s="26"/>
    </row>
    <row r="223" customFormat="false" ht="14.25" hidden="false" customHeight="false" outlineLevel="0" collapsed="false">
      <c r="A223" s="0" t="s">
        <v>254</v>
      </c>
      <c r="B223" s="20" t="s">
        <v>133</v>
      </c>
      <c r="C223" s="20" t="s">
        <v>172</v>
      </c>
      <c r="D223" s="20" t="s">
        <v>125</v>
      </c>
      <c r="E223" s="21"/>
      <c r="F223" s="22" t="s">
        <v>311</v>
      </c>
      <c r="G223" s="23" t="str">
        <f aca="false"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aca="false">IF(J223&lt;&gt;1,"",IF(I223="SBJ","CB","?"))</f>
        <v/>
      </c>
      <c r="I223" s="25" t="str">
        <f aca="false">IF(OR(E223="",E223="!!!",F223="NEW"),"",INDEX(O$2:O206,-1+SUMPRODUCT(MAX(ROW(R$2:R206)*(E223=R$2:R206)))))</f>
        <v/>
      </c>
      <c r="J223" s="25" t="str">
        <f aca="true">IF(OR(E223="",E223="!!!",F223="NEW"),"",COUNTBLANK(OFFSET(N$1,,,SUMPRODUCT(MAX(ROW(R$2:R207)*(E223=R$2:R207)))))-COUNTBLANK(OFFSET(N$1,,,SUMPRODUCT(MAX(ROW(R$1:R206)*(R2=R$1:R206))))))</f>
        <v/>
      </c>
      <c r="K223" s="25" t="str">
        <f aca="false">IF(OR(E223="",E223="!!!",F223="NEW"),"",INDEX(W$1:W206,SUMPRODUCT(MAX(ROW(R$1:R206)*(E223=R$1:R206)))))</f>
        <v/>
      </c>
      <c r="L223" s="26"/>
    </row>
    <row r="224" customFormat="false" ht="14.25" hidden="false" customHeight="false" outlineLevel="0" collapsed="false">
      <c r="A224" s="0" t="s">
        <v>140</v>
      </c>
      <c r="E224" s="21" t="str">
        <f aca="false">IF(Q208="?OLD","!!!","")</f>
        <v/>
      </c>
      <c r="F224" s="22" t="str">
        <f aca="false">IF(OR(E224="",E224="!!!"),"",IF(NOT(ISNA(VLOOKUP(E224,R$1:R207,1,FALSE()))),"OLD",IF(AND(E224&lt;&gt;"",E224&lt;&gt;"!!!"),"NEW","")))</f>
        <v/>
      </c>
      <c r="G224" s="23" t="str">
        <f aca="false"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aca="false">IF(J224&lt;&gt;1,"",IF(I224="SBJ","CB","?"))</f>
        <v/>
      </c>
      <c r="I224" s="25" t="str">
        <f aca="false">IF(OR(E224="",E224="!!!",F224="NEW"),"",INDEX(O$2:O207,-1+SUMPRODUCT(MAX(ROW(R$2:R207)*(E224=R$2:R207)))))</f>
        <v/>
      </c>
      <c r="J224" s="25" t="str">
        <f aca="true">IF(OR(E224="",E224="!!!",F224="NEW"),"",COUNTBLANK(OFFSET(N$1,,,SUMPRODUCT(MAX(ROW(R$2:R208)*(E224=R$2:R208)))))-COUNTBLANK(OFFSET(N$1,,,SUMPRODUCT(MAX(ROW(R$1:R207)*(R2=R$1:R207))))))</f>
        <v/>
      </c>
      <c r="K224" s="25" t="str">
        <f aca="false">IF(OR(E224="",E224="!!!",F224="NEW"),"",INDEX(W$1:W207,SUMPRODUCT(MAX(ROW(R$1:R207)*(E224=R$1:R207)))))</f>
        <v/>
      </c>
      <c r="L224" s="26"/>
    </row>
    <row r="225" customFormat="false" ht="14.25" hidden="false" customHeight="false" outlineLevel="0" collapsed="false">
      <c r="A225" s="0" t="s">
        <v>131</v>
      </c>
      <c r="E225" s="21" t="str">
        <f aca="false">IF(Q209="?OLD","!!!","")</f>
        <v/>
      </c>
      <c r="F225" s="22" t="str">
        <f aca="false">IF(OR(E225="",E225="!!!"),"",IF(NOT(ISNA(VLOOKUP(E225,R$1:R208,1,FALSE()))),"OLD",IF(AND(E225&lt;&gt;"",E225&lt;&gt;"!!!"),"NEW","")))</f>
        <v/>
      </c>
      <c r="G225" s="23" t="str">
        <f aca="false"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aca="false">IF(J225&lt;&gt;1,"",IF(I225="SBJ","CB","?"))</f>
        <v/>
      </c>
      <c r="I225" s="25" t="str">
        <f aca="false">IF(OR(E225="",E225="!!!",F225="NEW"),"",INDEX(O$2:O208,-1+SUMPRODUCT(MAX(ROW(R$2:R208)*(E225=R$2:R208)))))</f>
        <v/>
      </c>
      <c r="J225" s="25" t="str">
        <f aca="true">IF(OR(E225="",E225="!!!",F225="NEW"),"",COUNTBLANK(OFFSET(N$1,,,SUMPRODUCT(MAX(ROW(R$2:R209)*(E225=R$2:R209)))))-COUNTBLANK(OFFSET(N$1,,,SUMPRODUCT(MAX(ROW(R$1:R208)*(R2=R$1:R208))))))</f>
        <v/>
      </c>
      <c r="K225" s="25" t="str">
        <f aca="false">IF(OR(E225="",E225="!!!",F225="NEW"),"",INDEX(W$1:W208,SUMPRODUCT(MAX(ROW(R$1:R208)*(E225=R$1:R208)))))</f>
        <v/>
      </c>
      <c r="L225" s="26"/>
    </row>
    <row r="226" customFormat="false" ht="14.25" hidden="false" customHeight="false" outlineLevel="0" collapsed="false">
      <c r="A226" s="0" t="s">
        <v>321</v>
      </c>
      <c r="B226" s="20" t="s">
        <v>148</v>
      </c>
      <c r="C226" s="20" t="s">
        <v>322</v>
      </c>
      <c r="E226" s="21"/>
      <c r="F226" s="22" t="str">
        <f aca="false">IF(OR(E226="",E226="!!!"),"",IF(NOT(ISNA(VLOOKUP(E226,R$1:R209,1,FALSE()))),"OLD",IF(AND(E226&lt;&gt;"",E226&lt;&gt;"!!!"),"NEW","")))</f>
        <v/>
      </c>
      <c r="G226" s="23" t="str">
        <f aca="false"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aca="false">IF(J226&lt;&gt;1,"",IF(I226="SBJ","CB","?"))</f>
        <v/>
      </c>
      <c r="I226" s="25" t="str">
        <f aca="false">IF(OR(E226="",E226="!!!",F226="NEW"),"",INDEX(O$2:O209,-1+SUMPRODUCT(MAX(ROW(R$2:R209)*(E226=R$2:R209)))))</f>
        <v/>
      </c>
      <c r="J226" s="25" t="str">
        <f aca="true">IF(OR(E226="",E226="!!!",F226="NEW"),"",COUNTBLANK(OFFSET(N$1,,,SUMPRODUCT(MAX(ROW(R$2:R210)*(E226=R$2:R210)))))-COUNTBLANK(OFFSET(N$1,,,SUMPRODUCT(MAX(ROW(R$1:R209)*(R2=R$1:R209))))))</f>
        <v/>
      </c>
      <c r="K226" s="25" t="str">
        <f aca="false">IF(OR(E226="",E226="!!!",F226="NEW"),"",INDEX(W$1:W209,SUMPRODUCT(MAX(ROW(R$1:R209)*(E226=R$1:R209)))))</f>
        <v/>
      </c>
      <c r="L226" s="26"/>
    </row>
    <row r="227" customFormat="false" ht="14.25" hidden="false" customHeight="false" outlineLevel="0" collapsed="false">
      <c r="A227" s="0" t="s">
        <v>263</v>
      </c>
      <c r="E227" s="21" t="str">
        <f aca="false">IF(Q211="?OLD","!!!","")</f>
        <v/>
      </c>
      <c r="F227" s="22" t="str">
        <f aca="false">IF(OR(E227="",E227="!!!"),"",IF(NOT(ISNA(VLOOKUP(E227,R$1:R210,1,FALSE()))),"OLD",IF(AND(E227&lt;&gt;"",E227&lt;&gt;"!!!"),"NEW","")))</f>
        <v/>
      </c>
      <c r="G227" s="23" t="str">
        <f aca="false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aca="false">IF(J227&lt;&gt;1,"",IF(I227="SBJ","CB","?"))</f>
        <v/>
      </c>
      <c r="I227" s="25" t="str">
        <f aca="false">IF(OR(E227="",E227="!!!",F227="NEW"),"",INDEX(O$2:O210,-1+SUMPRODUCT(MAX(ROW(R$2:R210)*(E227=R$2:R210)))))</f>
        <v/>
      </c>
      <c r="J227" s="25" t="str">
        <f aca="true">IF(OR(E227="",E227="!!!",F227="NEW"),"",COUNTBLANK(OFFSET(N$1,,,SUMPRODUCT(MAX(ROW(R$2:R211)*(E227=R$2:R211)))))-COUNTBLANK(OFFSET(N$1,,,SUMPRODUCT(MAX(ROW(R$1:R210)*(R2=R$1:R210))))))</f>
        <v/>
      </c>
      <c r="K227" s="25" t="str">
        <f aca="false">IF(OR(E227="",E227="!!!",F227="NEW"),"",INDEX(W$1:W210,SUMPRODUCT(MAX(ROW(R$1:R210)*(E227=R$1:R210)))))</f>
        <v/>
      </c>
      <c r="L227" s="26"/>
    </row>
    <row r="228" customFormat="false" ht="14.25" hidden="false" customHeight="false" outlineLevel="0" collapsed="false">
      <c r="A228" s="0" t="s">
        <v>323</v>
      </c>
      <c r="B228" s="20" t="s">
        <v>123</v>
      </c>
      <c r="C228" s="20" t="s">
        <v>172</v>
      </c>
      <c r="D228" s="20" t="s">
        <v>125</v>
      </c>
      <c r="E228" s="21" t="s">
        <v>295</v>
      </c>
      <c r="F228" s="22" t="str">
        <f aca="false">IF(OR(E228="",E228="!!!"),"",IF(NOT(ISNA(VLOOKUP(E228,R$1:R211,1,FALSE()))),"OLD",IF(AND(E228&lt;&gt;"",E228&lt;&gt;"!!!"),"NEW","")))</f>
        <v>NEW</v>
      </c>
      <c r="G228" s="23" t="str">
        <f aca="false"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?REFERENTIAL</v>
      </c>
      <c r="H228" s="24" t="str">
        <f aca="false">IF(J228&lt;&gt;1,"",IF(I228="SBJ","CB","?"))</f>
        <v/>
      </c>
      <c r="I228" s="25" t="str">
        <f aca="false">IF(OR(E228="",E228="!!!",F228="NEW"),"",INDEX(O$2:O211,-1+SUMPRODUCT(MAX(ROW(R$2:R211)*(E228=R$2:R211)))))</f>
        <v/>
      </c>
      <c r="J228" s="25" t="str">
        <f aca="true">IF(OR(E228="",E228="!!!",F228="NEW"),"",COUNTBLANK(OFFSET(N$1,,,SUMPRODUCT(MAX(ROW(R$2:R212)*(E228=R$2:R212)))))-COUNTBLANK(OFFSET(N$1,,,SUMPRODUCT(MAX(ROW(R$1:R211)*(R2=R$1:R211))))))</f>
        <v/>
      </c>
      <c r="K228" s="25" t="str">
        <f aca="false">IF(OR(E228="",E228="!!!",F228="NEW"),"",INDEX(W$1:W211,SUMPRODUCT(MAX(ROW(R$1:R211)*(E228=R$1:R211)))))</f>
        <v/>
      </c>
      <c r="L228" s="26"/>
      <c r="O228" s="20"/>
      <c r="P228" s="20"/>
      <c r="Q228" s="20"/>
    </row>
    <row r="229" customFormat="false" ht="14.25" hidden="false" customHeight="false" outlineLevel="0" collapsed="false">
      <c r="A229" s="0" t="s">
        <v>324</v>
      </c>
      <c r="E229" s="21" t="s">
        <v>295</v>
      </c>
      <c r="F229" s="22" t="str">
        <f aca="false">IF(OR(E229="",E229="!!!"),"",IF(NOT(ISNA(VLOOKUP(E229,R$1:R212,1,FALSE()))),"OLD",IF(AND(E229&lt;&gt;"",E229&lt;&gt;"!!!"),"NEW","")))</f>
        <v>NEW</v>
      </c>
      <c r="G229" s="23" t="str">
        <f aca="false"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?REFERENTIAL</v>
      </c>
      <c r="H229" s="24" t="str">
        <f aca="false">IF(J229&lt;&gt;1,"",IF(I229="SBJ","CB","?"))</f>
        <v/>
      </c>
      <c r="I229" s="25" t="str">
        <f aca="false">IF(OR(E229="",E229="!!!",F229="NEW"),"",INDEX(O$2:O212,-1+SUMPRODUCT(MAX(ROW(R$2:R212)*(E229=R$2:R212)))))</f>
        <v/>
      </c>
      <c r="J229" s="25" t="str">
        <f aca="true">IF(OR(E229="",E229="!!!",F229="NEW"),"",COUNTBLANK(OFFSET(N$1,,,SUMPRODUCT(MAX(ROW(R$2:R213)*(E229=R$2:R213)))))-COUNTBLANK(OFFSET(N$1,,,SUMPRODUCT(MAX(ROW(R$1:R212)*(R2=R$1:R212))))))</f>
        <v/>
      </c>
      <c r="K229" s="25" t="str">
        <f aca="false">IF(OR(E229="",E229="!!!",F229="NEW"),"",INDEX(W$1:W212,SUMPRODUCT(MAX(ROW(R$1:R212)*(E229=R$1:R212)))))</f>
        <v/>
      </c>
      <c r="L229" s="26"/>
    </row>
    <row r="230" customFormat="false" ht="14.25" hidden="false" customHeight="false" outlineLevel="0" collapsed="false">
      <c r="A230" s="0" t="s">
        <v>325</v>
      </c>
      <c r="B230" s="20" t="s">
        <v>224</v>
      </c>
      <c r="C230" s="20" t="s">
        <v>298</v>
      </c>
      <c r="E230" s="21"/>
      <c r="F230" s="22" t="str">
        <f aca="false">IF(OR(E230="",E230="!!!"),"",IF(NOT(ISNA(VLOOKUP(E230,R$1:R213,1,FALSE()))),"OLD",IF(AND(E230&lt;&gt;"",E230&lt;&gt;"!!!"),"NEW","")))</f>
        <v/>
      </c>
      <c r="G230" s="23" t="str">
        <f aca="false"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aca="false">IF(J230&lt;&gt;1,"",IF(I230="SBJ","CB","?"))</f>
        <v/>
      </c>
      <c r="I230" s="25" t="str">
        <f aca="false">IF(OR(E230="",E230="!!!",F230="NEW"),"",INDEX(O$2:O213,-1+SUMPRODUCT(MAX(ROW(R$2:R213)*(E230=R$2:R213)))))</f>
        <v/>
      </c>
      <c r="J230" s="25" t="str">
        <f aca="true">IF(OR(E230="",E230="!!!",F230="NEW"),"",COUNTBLANK(OFFSET(N$1,,,SUMPRODUCT(MAX(ROW(R$2:R214)*(E230=R$2:R214)))))-COUNTBLANK(OFFSET(N$1,,,SUMPRODUCT(MAX(ROW(R$1:R213)*(R2=R$1:R213))))))</f>
        <v/>
      </c>
      <c r="K230" s="25" t="str">
        <f aca="false">IF(OR(E230="",E230="!!!",F230="NEW"),"",INDEX(W$1:W213,SUMPRODUCT(MAX(ROW(R$1:R213)*(E230=R$1:R213)))))</f>
        <v/>
      </c>
      <c r="L230" s="26"/>
      <c r="O230" s="20"/>
      <c r="P230" s="20"/>
      <c r="Q230" s="20"/>
    </row>
    <row r="231" customFormat="false" ht="14.25" hidden="false" customHeight="false" outlineLevel="0" collapsed="false">
      <c r="A231" s="0" t="s">
        <v>326</v>
      </c>
      <c r="E231" s="21" t="str">
        <f aca="false">IF(Q215="?OLD","!!!","")</f>
        <v/>
      </c>
      <c r="F231" s="22" t="str">
        <f aca="false">IF(OR(E231="",E231="!!!"),"",IF(NOT(ISNA(VLOOKUP(E231,R$1:R214,1,FALSE()))),"OLD",IF(AND(E231&lt;&gt;"",E231&lt;&gt;"!!!"),"NEW","")))</f>
        <v/>
      </c>
      <c r="G231" s="23" t="str">
        <f aca="false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aca="false">IF(J231&lt;&gt;1,"",IF(I231="SBJ","CB","?"))</f>
        <v/>
      </c>
      <c r="I231" s="25" t="str">
        <f aca="false">IF(OR(E231="",E231="!!!",F231="NEW"),"",INDEX(O$2:O214,-1+SUMPRODUCT(MAX(ROW(R$2:R214)*(E231=R$2:R214)))))</f>
        <v/>
      </c>
      <c r="J231" s="25" t="str">
        <f aca="true">IF(OR(E231="",E231="!!!",F231="NEW"),"",COUNTBLANK(OFFSET(N$1,,,SUMPRODUCT(MAX(ROW(R$2:R215)*(E231=R$2:R215)))))-COUNTBLANK(OFFSET(N$1,,,SUMPRODUCT(MAX(ROW(R$1:R214)*(R2=R$1:R214))))))</f>
        <v/>
      </c>
      <c r="K231" s="25" t="str">
        <f aca="false">IF(OR(E231="",E231="!!!",F231="NEW"),"",INDEX(W$1:W214,SUMPRODUCT(MAX(ROW(R$1:R214)*(E231=R$1:R214)))))</f>
        <v/>
      </c>
      <c r="L231" s="26"/>
    </row>
    <row r="232" customFormat="false" ht="14.25" hidden="false" customHeight="false" outlineLevel="0" collapsed="false">
      <c r="A232" s="0" t="s">
        <v>140</v>
      </c>
      <c r="E232" s="21" t="str">
        <f aca="false">IF(Q216="?OLD","!!!","")</f>
        <v/>
      </c>
      <c r="F232" s="22" t="str">
        <f aca="false">IF(OR(E232="",E232="!!!"),"",IF(NOT(ISNA(VLOOKUP(E232,R$1:R215,1,FALSE()))),"OLD",IF(AND(E232&lt;&gt;"",E232&lt;&gt;"!!!"),"NEW","")))</f>
        <v/>
      </c>
      <c r="G232" s="23" t="str">
        <f aca="false"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aca="false">IF(J232&lt;&gt;1,"",IF(I232="SBJ","CB","?"))</f>
        <v/>
      </c>
      <c r="I232" s="25" t="str">
        <f aca="false">IF(OR(E232="",E232="!!!",F232="NEW"),"",INDEX(O$2:O215,-1+SUMPRODUCT(MAX(ROW(R$2:R215)*(E232=R$2:R215)))))</f>
        <v/>
      </c>
      <c r="J232" s="25" t="str">
        <f aca="true">IF(OR(E232="",E232="!!!",F232="NEW"),"",COUNTBLANK(OFFSET(N$1,,,SUMPRODUCT(MAX(ROW(R$2:R216)*(E232=R$2:R216)))))-COUNTBLANK(OFFSET(N$1,,,SUMPRODUCT(MAX(ROW(R$1:R215)*(R2=R$1:R215))))))</f>
        <v/>
      </c>
      <c r="K232" s="25" t="str">
        <f aca="false">IF(OR(E232="",E232="!!!",F232="NEW"),"",INDEX(W$1:W215,SUMPRODUCT(MAX(ROW(R$1:R215)*(E232=R$1:R215)))))</f>
        <v/>
      </c>
      <c r="L232" s="26"/>
      <c r="O232" s="20"/>
      <c r="P232" s="20"/>
    </row>
    <row r="233" customFormat="false" ht="14.25" hidden="false" customHeight="false" outlineLevel="0" collapsed="false">
      <c r="A233" s="0" t="s">
        <v>263</v>
      </c>
      <c r="B233" s="20" t="s">
        <v>123</v>
      </c>
      <c r="E233" s="21"/>
      <c r="F233" s="22" t="str">
        <f aca="false">IF(OR(E233="",E233="!!!"),"",IF(NOT(ISNA(VLOOKUP(E233,R$1:R216,1,FALSE()))),"OLD",IF(AND(E233&lt;&gt;"",E233&lt;&gt;"!!!"),"NEW","")))</f>
        <v/>
      </c>
      <c r="G233" s="23" t="str">
        <f aca="false"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aca="false">IF(J233&lt;&gt;1,"",IF(I233="SBJ","CB","?"))</f>
        <v/>
      </c>
      <c r="I233" s="25" t="str">
        <f aca="false">IF(OR(E233="",E233="!!!",F233="NEW"),"",INDEX(O$2:O216,-1+SUMPRODUCT(MAX(ROW(R$2:R216)*(E233=R$2:R216)))))</f>
        <v/>
      </c>
      <c r="J233" s="25" t="str">
        <f aca="true">IF(OR(E233="",E233="!!!",F233="NEW"),"",COUNTBLANK(OFFSET(N$1,,,SUMPRODUCT(MAX(ROW(R$2:R217)*(E233=R$2:R217)))))-COUNTBLANK(OFFSET(N$1,,,SUMPRODUCT(MAX(ROW(R$1:R216)*(R2=R$1:R216))))))</f>
        <v/>
      </c>
      <c r="K233" s="25" t="str">
        <f aca="false">IF(OR(E233="",E233="!!!",F233="NEW"),"",INDEX(W$1:W216,SUMPRODUCT(MAX(ROW(R$1:R216)*(E233=R$1:R216)))))</f>
        <v/>
      </c>
      <c r="L233" s="26"/>
    </row>
    <row r="234" customFormat="false" ht="14.25" hidden="false" customHeight="false" outlineLevel="0" collapsed="false">
      <c r="A234" s="0" t="s">
        <v>327</v>
      </c>
      <c r="E234" s="21" t="str">
        <f aca="false">IF(Q218="?OLD","!!!","")</f>
        <v/>
      </c>
      <c r="F234" s="22" t="str">
        <f aca="false">IF(OR(E234="",E234="!!!"),"",IF(NOT(ISNA(VLOOKUP(E234,R$1:R217,1,FALSE()))),"OLD",IF(AND(E234&lt;&gt;"",E234&lt;&gt;"!!!"),"NEW","")))</f>
        <v/>
      </c>
      <c r="G234" s="23" t="str">
        <f aca="false"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aca="false">IF(J234&lt;&gt;1,"",IF(I234="SBJ","CB","?"))</f>
        <v/>
      </c>
      <c r="I234" s="25" t="str">
        <f aca="false">IF(OR(E234="",E234="!!!",F234="NEW"),"",INDEX(O$2:O217,-1+SUMPRODUCT(MAX(ROW(R$2:R217)*(E234=R$2:R217)))))</f>
        <v/>
      </c>
      <c r="J234" s="25" t="str">
        <f aca="true">IF(OR(E234="",E234="!!!",F234="NEW"),"",COUNTBLANK(OFFSET(N$1,,,SUMPRODUCT(MAX(ROW(R$2:R218)*(E234=R$2:R218)))))-COUNTBLANK(OFFSET(N$1,,,SUMPRODUCT(MAX(ROW(R$1:R217)*(R2=R$1:R217))))))</f>
        <v/>
      </c>
      <c r="K234" s="25" t="str">
        <f aca="false">IF(OR(E234="",E234="!!!",F234="NEW"),"",INDEX(W$1:W217,SUMPRODUCT(MAX(ROW(R$1:R217)*(E234=R$1:R217)))))</f>
        <v/>
      </c>
      <c r="L234" s="26"/>
    </row>
    <row r="235" customFormat="false" ht="14.25" hidden="false" customHeight="false" outlineLevel="0" collapsed="false">
      <c r="A235" s="0" t="s">
        <v>263</v>
      </c>
      <c r="E235" s="21" t="str">
        <f aca="false">IF(Q219="?OLD","!!!","")</f>
        <v/>
      </c>
      <c r="F235" s="22" t="str">
        <f aca="false">IF(OR(E235="",E235="!!!"),"",IF(NOT(ISNA(VLOOKUP(E235,R$1:R218,1,FALSE()))),"OLD",IF(AND(E235&lt;&gt;"",E235&lt;&gt;"!!!"),"NEW","")))</f>
        <v/>
      </c>
      <c r="G235" s="23" t="str">
        <f aca="false"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aca="false">IF(J235&lt;&gt;1,"",IF(I235="SBJ","CB","?"))</f>
        <v/>
      </c>
      <c r="I235" s="25" t="str">
        <f aca="false">IF(OR(E235="",E235="!!!",F235="NEW"),"",INDEX(O$2:O218,-1+SUMPRODUCT(MAX(ROW(R$2:R218)*(E235=R$2:R218)))))</f>
        <v/>
      </c>
      <c r="J235" s="25" t="str">
        <f aca="true">IF(OR(E235="",E235="!!!",F235="NEW"),"",COUNTBLANK(OFFSET(N$1,,,SUMPRODUCT(MAX(ROW(R$2:R219)*(E235=R$2:R219)))))-COUNTBLANK(OFFSET(N$1,,,SUMPRODUCT(MAX(ROW(R$1:R218)*(R2=R$1:R218))))))</f>
        <v/>
      </c>
      <c r="K235" s="25" t="str">
        <f aca="false">IF(OR(E235="",E235="!!!",F235="NEW"),"",INDEX(W$1:W218,SUMPRODUCT(MAX(ROW(R$1:R218)*(E235=R$1:R218)))))</f>
        <v/>
      </c>
      <c r="L235" s="26"/>
      <c r="O235" s="20"/>
      <c r="P235" s="20"/>
    </row>
    <row r="236" customFormat="false" ht="14.25" hidden="false" customHeight="false" outlineLevel="0" collapsed="false">
      <c r="A236" s="0" t="s">
        <v>328</v>
      </c>
      <c r="E236" s="21" t="str">
        <f aca="false">IF(Q220="?OLD","!!!","")</f>
        <v/>
      </c>
      <c r="F236" s="22" t="str">
        <f aca="false">IF(OR(E236="",E236="!!!"),"",IF(NOT(ISNA(VLOOKUP(E236,R$1:R219,1,FALSE()))),"OLD",IF(AND(E236&lt;&gt;"",E236&lt;&gt;"!!!"),"NEW","")))</f>
        <v/>
      </c>
      <c r="G236" s="23" t="str">
        <f aca="false"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aca="false">IF(J236&lt;&gt;1,"",IF(I236="SBJ","CB","?"))</f>
        <v/>
      </c>
      <c r="I236" s="25" t="str">
        <f aca="false">IF(OR(E236="",E236="!!!",F236="NEW"),"",INDEX(O$2:O219,-1+SUMPRODUCT(MAX(ROW(R$2:R219)*(E236=R$2:R219)))))</f>
        <v/>
      </c>
      <c r="J236" s="25" t="str">
        <f aca="true">IF(OR(E236="",E236="!!!",F236="NEW"),"",COUNTBLANK(OFFSET(N$1,,,SUMPRODUCT(MAX(ROW(R$2:R220)*(E236=R$2:R220)))))-COUNTBLANK(OFFSET(N$1,,,SUMPRODUCT(MAX(ROW(R$1:R219)*(R2=R$1:R219))))))</f>
        <v/>
      </c>
      <c r="K236" s="25" t="str">
        <f aca="false">IF(OR(E236="",E236="!!!",F236="NEW"),"",INDEX(W$1:W219,SUMPRODUCT(MAX(ROW(R$1:R219)*(E236=R$1:R219)))))</f>
        <v/>
      </c>
      <c r="L236" s="26"/>
      <c r="O236" s="20"/>
      <c r="P236" s="20"/>
    </row>
    <row r="237" customFormat="false" ht="14.25" hidden="false" customHeight="false" outlineLevel="0" collapsed="false">
      <c r="A237" s="0" t="s">
        <v>329</v>
      </c>
      <c r="B237" s="20" t="s">
        <v>148</v>
      </c>
      <c r="C237" s="20" t="s">
        <v>172</v>
      </c>
      <c r="D237" s="20" t="s">
        <v>125</v>
      </c>
      <c r="E237" s="21" t="s">
        <v>299</v>
      </c>
      <c r="F237" s="22" t="str">
        <f aca="false">IF(OR(E237="",E237="!!!"),"",IF(NOT(ISNA(VLOOKUP(E237,R$1:R220,1,FALSE()))),"OLD",IF(AND(E237&lt;&gt;"",E237&lt;&gt;"!!!"),"NEW","")))</f>
        <v>NEW</v>
      </c>
      <c r="G237" s="23" t="str">
        <f aca="false"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?REFERENTIAL</v>
      </c>
      <c r="H237" s="24" t="str">
        <f aca="false">IF(J237&lt;&gt;1,"",IF(I237="SBJ","CB","?"))</f>
        <v/>
      </c>
      <c r="I237" s="25" t="str">
        <f aca="false">IF(OR(E237="",E237="!!!",F237="NEW"),"",INDEX(O$2:O220,-1+SUMPRODUCT(MAX(ROW(R$2:R220)*(E237=R$2:R220)))))</f>
        <v/>
      </c>
      <c r="J237" s="25" t="str">
        <f aca="true">IF(OR(E237="",E237="!!!",F237="NEW"),"",COUNTBLANK(OFFSET(N$1,,,SUMPRODUCT(MAX(ROW(R$2:R221)*(E237=R$2:R221)))))-COUNTBLANK(OFFSET(N$1,,,SUMPRODUCT(MAX(ROW(R$1:R220)*(R2=R$1:R220))))))</f>
        <v/>
      </c>
      <c r="K237" s="25" t="str">
        <f aca="false">IF(OR(E237="",E237="!!!",F237="NEW"),"",INDEX(W$1:W220,SUMPRODUCT(MAX(ROW(R$1:R220)*(E237=R$1:R220)))))</f>
        <v/>
      </c>
      <c r="L237" s="26"/>
    </row>
    <row r="238" customFormat="false" ht="14.25" hidden="false" customHeight="false" outlineLevel="0" collapsed="false">
      <c r="A238" s="0" t="s">
        <v>330</v>
      </c>
      <c r="E238" s="21" t="str">
        <f aca="false">IF(Q222="?OLD","!!!","")</f>
        <v/>
      </c>
      <c r="F238" s="22" t="str">
        <f aca="false">IF(OR(E238="",E238="!!!"),"",IF(NOT(ISNA(VLOOKUP(E238,R$1:R221,1,FALSE()))),"OLD",IF(AND(E238&lt;&gt;"",E238&lt;&gt;"!!!"),"NEW","")))</f>
        <v/>
      </c>
      <c r="G238" s="23" t="str">
        <f aca="false"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aca="false">IF(J238&lt;&gt;1,"",IF(I238="SBJ","CB","?"))</f>
        <v/>
      </c>
      <c r="I238" s="25" t="str">
        <f aca="false">IF(OR(E238="",E238="!!!",F238="NEW"),"",INDEX(O$2:O221,-1+SUMPRODUCT(MAX(ROW(R$2:R221)*(E238=R$2:R221)))))</f>
        <v/>
      </c>
      <c r="J238" s="25" t="str">
        <f aca="true">IF(OR(E238="",E238="!!!",F238="NEW"),"",COUNTBLANK(OFFSET(N$1,,,SUMPRODUCT(MAX(ROW(R$2:R222)*(E238=R$2:R222)))))-COUNTBLANK(OFFSET(N$1,,,SUMPRODUCT(MAX(ROW(R$1:R221)*(R2=R$1:R221))))))</f>
        <v/>
      </c>
      <c r="K238" s="25" t="str">
        <f aca="false">IF(OR(E238="",E238="!!!",F238="NEW"),"",INDEX(W$1:W221,SUMPRODUCT(MAX(ROW(R$1:R221)*(E238=R$1:R221)))))</f>
        <v/>
      </c>
      <c r="L238" s="26"/>
    </row>
    <row r="239" customFormat="false" ht="14.25" hidden="false" customHeight="false" outlineLevel="0" collapsed="false">
      <c r="A239" s="0" t="s">
        <v>163</v>
      </c>
      <c r="E239" s="21" t="str">
        <f aca="false">IF(Q223="?OLD","!!!","")</f>
        <v/>
      </c>
      <c r="F239" s="22" t="str">
        <f aca="false">IF(OR(E239="",E239="!!!"),"",IF(NOT(ISNA(VLOOKUP(E239,R$1:R222,1,FALSE()))),"OLD",IF(AND(E239&lt;&gt;"",E239&lt;&gt;"!!!"),"NEW","")))</f>
        <v/>
      </c>
      <c r="G239" s="23" t="str">
        <f aca="false"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aca="false">IF(J239&lt;&gt;1,"",IF(I239="SBJ","CB","?"))</f>
        <v/>
      </c>
      <c r="I239" s="25" t="str">
        <f aca="false">IF(OR(E239="",E239="!!!",F239="NEW"),"",INDEX(O$2:O222,-1+SUMPRODUCT(MAX(ROW(R$2:R222)*(E239=R$2:R222)))))</f>
        <v/>
      </c>
      <c r="J239" s="25" t="str">
        <f aca="true">IF(OR(E239="",E239="!!!",F239="NEW"),"",COUNTBLANK(OFFSET(N$1,,,SUMPRODUCT(MAX(ROW(R$2:R223)*(E239=R$2:R223)))))-COUNTBLANK(OFFSET(N$1,,,SUMPRODUCT(MAX(ROW(R$1:R222)*(R2=R$1:R222))))))</f>
        <v/>
      </c>
      <c r="K239" s="25" t="str">
        <f aca="false">IF(OR(E239="",E239="!!!",F239="NEW"),"",INDEX(W$1:W222,SUMPRODUCT(MAX(ROW(R$1:R222)*(E239=R$1:R222)))))</f>
        <v/>
      </c>
      <c r="L239" s="26"/>
      <c r="O239" s="20"/>
    </row>
    <row r="240" customFormat="false" ht="14.25" hidden="false" customHeight="false" outlineLevel="0" collapsed="false">
      <c r="A240" s="0" t="s">
        <v>160</v>
      </c>
      <c r="E240" s="21" t="str">
        <f aca="false">IF(Q224="?OLD","!!!","")</f>
        <v/>
      </c>
      <c r="F240" s="22" t="str">
        <f aca="false">IF(OR(E240="",E240="!!!"),"",IF(NOT(ISNA(VLOOKUP(E240,R$1:R223,1,FALSE()))),"OLD",IF(AND(E240&lt;&gt;"",E240&lt;&gt;"!!!"),"NEW","")))</f>
        <v/>
      </c>
      <c r="G240" s="23" t="str">
        <f aca="false"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aca="false">IF(J240&lt;&gt;1,"",IF(I240="SBJ","CB","?"))</f>
        <v/>
      </c>
      <c r="I240" s="25" t="str">
        <f aca="false">IF(OR(E240="",E240="!!!",F240="NEW"),"",INDEX(O$2:O223,-1+SUMPRODUCT(MAX(ROW(R$2:R223)*(E240=R$2:R223)))))</f>
        <v/>
      </c>
      <c r="J240" s="25" t="str">
        <f aca="true">IF(OR(E240="",E240="!!!",F240="NEW"),"",COUNTBLANK(OFFSET(N$1,,,SUMPRODUCT(MAX(ROW(R$2:R224)*(E240=R$2:R224)))))-COUNTBLANK(OFFSET(N$1,,,SUMPRODUCT(MAX(ROW(R$1:R223)*(R2=R$1:R223))))))</f>
        <v/>
      </c>
      <c r="K240" s="25" t="str">
        <f aca="false">IF(OR(E240="",E240="!!!",F240="NEW"),"",INDEX(W$1:W223,SUMPRODUCT(MAX(ROW(R$1:R223)*(E240=R$1:R223)))))</f>
        <v/>
      </c>
      <c r="L240" s="26"/>
    </row>
    <row r="241" customFormat="false" ht="14.25" hidden="false" customHeight="false" outlineLevel="0" collapsed="false">
      <c r="O241" s="20"/>
      <c r="P241" s="20"/>
    </row>
    <row r="242" customFormat="false" ht="14.25" hidden="false" customHeight="false" outlineLevel="0" collapsed="false">
      <c r="A242" s="0" t="s">
        <v>331</v>
      </c>
    </row>
    <row r="243" customFormat="false" ht="14.25" hidden="false" customHeight="false" outlineLevel="0" collapsed="false">
      <c r="A243" s="0" t="s">
        <v>332</v>
      </c>
      <c r="E243" s="21" t="str">
        <f aca="false">IF(Q225="?OLD","!!!","")</f>
        <v/>
      </c>
      <c r="F243" s="22" t="str">
        <f aca="false">IF(OR(E243="",E243="!!!"),"",IF(NOT(ISNA(VLOOKUP(E243,R$1:R224,1,FALSE()))),"OLD",IF(AND(E243&lt;&gt;"",E243&lt;&gt;"!!!"),"NEW","")))</f>
        <v/>
      </c>
      <c r="G243" s="23" t="str">
        <f aca="false"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aca="false">IF(J243&lt;&gt;1,"",IF(I243="SBJ","CB","?"))</f>
        <v/>
      </c>
      <c r="I243" s="25" t="str">
        <f aca="false">IF(OR(E243="",E243="!!!",F243="NEW"),"",INDEX(O$2:O224,-1+SUMPRODUCT(MAX(ROW(R$2:R224)*(E243=R$2:R224)))))</f>
        <v/>
      </c>
      <c r="J243" s="25" t="str">
        <f aca="true">IF(OR(E243="",E243="!!!",F243="NEW"),"",COUNTBLANK(OFFSET(N$1,,,SUMPRODUCT(MAX(ROW(R$2:R225)*(E243=R$2:R225)))))-COUNTBLANK(OFFSET(N$1,,,SUMPRODUCT(MAX(ROW(R$1:R224)*(R2=R$1:R224))))))</f>
        <v/>
      </c>
      <c r="K243" s="25" t="str">
        <f aca="false">IF(OR(E243="",E243="!!!",F243="NEW"),"",INDEX(W$1:W224,SUMPRODUCT(MAX(ROW(R$1:R224)*(E243=R$1:R224)))))</f>
        <v/>
      </c>
      <c r="L243" s="26"/>
    </row>
    <row r="244" customFormat="false" ht="14.25" hidden="false" customHeight="false" outlineLevel="0" collapsed="false">
      <c r="A244" s="0" t="s">
        <v>131</v>
      </c>
      <c r="E244" s="21" t="str">
        <f aca="false">IF(Q226="?OLD","!!!","")</f>
        <v/>
      </c>
      <c r="F244" s="22" t="str">
        <f aca="false">IF(OR(E244="",E244="!!!"),"",IF(NOT(ISNA(VLOOKUP(E244,R$1:R225,1,FALSE()))),"OLD",IF(AND(E244&lt;&gt;"",E244&lt;&gt;"!!!"),"NEW","")))</f>
        <v/>
      </c>
      <c r="G244" s="23" t="str">
        <f aca="false"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aca="false">IF(J244&lt;&gt;1,"",IF(I244="SBJ","CB","?"))</f>
        <v/>
      </c>
      <c r="I244" s="25" t="str">
        <f aca="false">IF(OR(E244="",E244="!!!",F244="NEW"),"",INDEX(O$2:O225,-1+SUMPRODUCT(MAX(ROW(R$2:R225)*(E244=R$2:R225)))))</f>
        <v/>
      </c>
      <c r="J244" s="25" t="str">
        <f aca="true">IF(OR(E244="",E244="!!!",F244="NEW"),"",COUNTBLANK(OFFSET(N$1,,,SUMPRODUCT(MAX(ROW(R$2:R226)*(E244=R$2:R226)))))-COUNTBLANK(OFFSET(N$1,,,SUMPRODUCT(MAX(ROW(R$1:R225)*(R2=R$1:R225))))))</f>
        <v/>
      </c>
      <c r="K244" s="25" t="str">
        <f aca="false">IF(OR(E244="",E244="!!!",F244="NEW"),"",INDEX(W$1:W225,SUMPRODUCT(MAX(ROW(R$1:R225)*(E244=R$1:R225)))))</f>
        <v/>
      </c>
      <c r="L244" s="26"/>
      <c r="O244" s="20"/>
      <c r="P244" s="20"/>
      <c r="Q244" s="20"/>
    </row>
    <row r="245" customFormat="false" ht="14.25" hidden="false" customHeight="false" outlineLevel="0" collapsed="false">
      <c r="A245" s="0" t="s">
        <v>170</v>
      </c>
      <c r="E245" s="21" t="str">
        <f aca="false">IF(Q227="?OLD","!!!","")</f>
        <v/>
      </c>
      <c r="F245" s="22" t="str">
        <f aca="false">IF(OR(E245="",E245="!!!"),"",IF(NOT(ISNA(VLOOKUP(E245,R$1:R226,1,FALSE()))),"OLD",IF(AND(E245&lt;&gt;"",E245&lt;&gt;"!!!"),"NEW","")))</f>
        <v/>
      </c>
      <c r="G245" s="23" t="str">
        <f aca="false"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aca="false">IF(J245&lt;&gt;1,"",IF(I245="SBJ","CB","?"))</f>
        <v/>
      </c>
      <c r="I245" s="25" t="str">
        <f aca="false">IF(OR(E245="",E245="!!!",F245="NEW"),"",INDEX(O$2:O226,-1+SUMPRODUCT(MAX(ROW(R$2:R226)*(E245=R$2:R226)))))</f>
        <v/>
      </c>
      <c r="J245" s="25" t="str">
        <f aca="true">IF(OR(E245="",E245="!!!",F245="NEW"),"",COUNTBLANK(OFFSET(N$1,,,SUMPRODUCT(MAX(ROW(R$2:R227)*(E245=R$2:R227)))))-COUNTBLANK(OFFSET(N$1,,,SUMPRODUCT(MAX(ROW(R$1:R226)*(R2=R$1:R226))))))</f>
        <v/>
      </c>
      <c r="K245" s="25" t="str">
        <f aca="false">IF(OR(E245="",E245="!!!",F245="NEW"),"",INDEX(W$1:W226,SUMPRODUCT(MAX(ROW(R$1:R226)*(E245=R$1:R226)))))</f>
        <v/>
      </c>
      <c r="L245" s="26"/>
    </row>
    <row r="246" customFormat="false" ht="14.25" hidden="false" customHeight="false" outlineLevel="0" collapsed="false">
      <c r="A246" s="0" t="s">
        <v>333</v>
      </c>
      <c r="B246" s="20" t="s">
        <v>133</v>
      </c>
      <c r="C246" s="20" t="s">
        <v>172</v>
      </c>
      <c r="D246" s="20" t="s">
        <v>125</v>
      </c>
      <c r="E246" s="21" t="s">
        <v>334</v>
      </c>
      <c r="F246" s="22" t="str">
        <f aca="false">IF(OR(E246="",E246="!!!"),"",IF(NOT(ISNA(VLOOKUP(E246,R$1:R227,1,FALSE()))),"OLD",IF(AND(E246&lt;&gt;"",E246&lt;&gt;"!!!"),"NEW","")))</f>
        <v>NEW</v>
      </c>
      <c r="G246" s="23" t="str">
        <f aca="false"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?REFERENTIAL</v>
      </c>
      <c r="H246" s="24" t="str">
        <f aca="false">IF(J246&lt;&gt;1,"",IF(I246="SBJ","CB","?"))</f>
        <v/>
      </c>
      <c r="I246" s="25" t="str">
        <f aca="false">IF(OR(E246="",E246="!!!",F246="NEW"),"",INDEX(O$2:O227,-1+SUMPRODUCT(MAX(ROW(R$2:R227)*(E246=R$2:R227)))))</f>
        <v/>
      </c>
      <c r="J246" s="25" t="str">
        <f aca="true">IF(OR(E246="",E246="!!!",F246="NEW"),"",COUNTBLANK(OFFSET(N$1,,,SUMPRODUCT(MAX(ROW(R$2:R228)*(E246=R$2:R228)))))-COUNTBLANK(OFFSET(N$1,,,SUMPRODUCT(MAX(ROW(R$1:R227)*(R2=R$1:R227))))))</f>
        <v/>
      </c>
      <c r="K246" s="25" t="str">
        <f aca="false">IF(OR(E246="",E246="!!!",F246="NEW"),"",INDEX(W$1:W227,SUMPRODUCT(MAX(ROW(R$1:R227)*(E246=R$1:R227)))))</f>
        <v/>
      </c>
      <c r="L246" s="26"/>
    </row>
    <row r="247" customFormat="false" ht="14.25" hidden="false" customHeight="false" outlineLevel="0" collapsed="false">
      <c r="A247" s="0" t="s">
        <v>335</v>
      </c>
      <c r="E247" s="21" t="str">
        <f aca="false">IF(Q229="?OLD","!!!","")</f>
        <v/>
      </c>
      <c r="F247" s="22" t="str">
        <f aca="false">IF(OR(E247="",E247="!!!"),"",IF(NOT(ISNA(VLOOKUP(E247,R$1:R228,1,FALSE()))),"OLD",IF(AND(E247&lt;&gt;"",E247&lt;&gt;"!!!"),"NEW","")))</f>
        <v/>
      </c>
      <c r="G247" s="23" t="str">
        <f aca="false"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aca="false">IF(J247&lt;&gt;1,"",IF(I247="SBJ","CB","?"))</f>
        <v/>
      </c>
      <c r="I247" s="25" t="str">
        <f aca="false">IF(OR(E247="",E247="!!!",F247="NEW"),"",INDEX(O$2:O228,-1+SUMPRODUCT(MAX(ROW(R$2:R228)*(E247=R$2:R228)))))</f>
        <v/>
      </c>
      <c r="J247" s="25" t="str">
        <f aca="true">IF(OR(E247="",E247="!!!",F247="NEW"),"",COUNTBLANK(OFFSET(N$1,,,SUMPRODUCT(MAX(ROW(R$2:R229)*(E247=R$2:R229)))))-COUNTBLANK(OFFSET(N$1,,,SUMPRODUCT(MAX(ROW(R$1:R228)*(R2=R$1:R228))))))</f>
        <v/>
      </c>
      <c r="K247" s="25" t="str">
        <f aca="false">IF(OR(E247="",E247="!!!",F247="NEW"),"",INDEX(W$1:W228,SUMPRODUCT(MAX(ROW(R$1:R228)*(E247=R$1:R228)))))</f>
        <v/>
      </c>
      <c r="L247" s="26"/>
    </row>
    <row r="248" customFormat="false" ht="14.25" hidden="false" customHeight="false" outlineLevel="0" collapsed="false">
      <c r="A248" s="0" t="s">
        <v>336</v>
      </c>
      <c r="B248" s="20" t="s">
        <v>164</v>
      </c>
      <c r="C248" s="20" t="s">
        <v>124</v>
      </c>
      <c r="D248" s="20" t="s">
        <v>125</v>
      </c>
      <c r="E248" s="21"/>
      <c r="F248" s="22" t="s">
        <v>337</v>
      </c>
      <c r="G248" s="23" t="str">
        <f aca="false"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aca="false">IF(J248&lt;&gt;1,"",IF(I248="SBJ","CB","?"))</f>
        <v/>
      </c>
      <c r="I248" s="25" t="str">
        <f aca="false">IF(OR(E248="",E248="!!!",F248="NEW"),"",INDEX(O$2:O229,-1+SUMPRODUCT(MAX(ROW(R$2:R229)*(E248=R$2:R229)))))</f>
        <v/>
      </c>
      <c r="J248" s="25" t="str">
        <f aca="true">IF(OR(E248="",E248="!!!",F248="NEW"),"",COUNTBLANK(OFFSET(N$1,,,SUMPRODUCT(MAX(ROW(R$2:R230)*(E248=R$2:R230)))))-COUNTBLANK(OFFSET(N$1,,,SUMPRODUCT(MAX(ROW(R$1:R229)*(R2=R$1:R229))))))</f>
        <v/>
      </c>
      <c r="K248" s="25" t="str">
        <f aca="false">IF(OR(E248="",E248="!!!",F248="NEW"),"",INDEX(W$1:W229,SUMPRODUCT(MAX(ROW(R$1:R229)*(E248=R$1:R229)))))</f>
        <v/>
      </c>
      <c r="L248" s="26" t="s">
        <v>338</v>
      </c>
    </row>
    <row r="249" customFormat="false" ht="14.25" hidden="false" customHeight="false" outlineLevel="0" collapsed="false">
      <c r="A249" s="0" t="s">
        <v>339</v>
      </c>
      <c r="E249" s="21" t="str">
        <f aca="false">IF(Q231="?OLD","!!!","")</f>
        <v/>
      </c>
      <c r="F249" s="22" t="str">
        <f aca="false">IF(OR(E249="",E249="!!!"),"",IF(NOT(ISNA(VLOOKUP(E249,R$1:R230,1,FALSE()))),"OLD",IF(AND(E249&lt;&gt;"",E249&lt;&gt;"!!!"),"NEW","")))</f>
        <v/>
      </c>
      <c r="G249" s="23" t="str">
        <f aca="false"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aca="false">IF(J249&lt;&gt;1,"",IF(I249="SBJ","CB","?"))</f>
        <v/>
      </c>
      <c r="I249" s="25" t="str">
        <f aca="false">IF(OR(E249="",E249="!!!",F249="NEW"),"",INDEX(O$2:O230,-1+SUMPRODUCT(MAX(ROW(R$2:R230)*(E249=R$2:R230)))))</f>
        <v/>
      </c>
      <c r="J249" s="25" t="str">
        <f aca="true">IF(OR(E249="",E249="!!!",F249="NEW"),"",COUNTBLANK(OFFSET(N$1,,,SUMPRODUCT(MAX(ROW(R$2:R231)*(E249=R$2:R231)))))-COUNTBLANK(OFFSET(N$1,,,SUMPRODUCT(MAX(ROW(R$1:R230)*(R2=R$1:R230))))))</f>
        <v/>
      </c>
      <c r="K249" s="25" t="str">
        <f aca="false">IF(OR(E249="",E249="!!!",F249="NEW"),"",INDEX(W$1:W230,SUMPRODUCT(MAX(ROW(R$1:R230)*(E249=R$1:R230)))))</f>
        <v/>
      </c>
      <c r="L249" s="26"/>
    </row>
    <row r="250" customFormat="false" ht="14.25" hidden="false" customHeight="false" outlineLevel="0" collapsed="false">
      <c r="A250" s="0" t="s">
        <v>340</v>
      </c>
      <c r="B250" s="20" t="s">
        <v>164</v>
      </c>
      <c r="C250" s="20" t="s">
        <v>188</v>
      </c>
      <c r="E250" s="21" t="str">
        <f aca="false">IF(Q232="?OLD","!!!","")</f>
        <v/>
      </c>
      <c r="F250" s="22" t="str">
        <f aca="false">IF(OR(E250="",E250="!!!"),"",IF(NOT(ISNA(VLOOKUP(E250,R$1:R231,1,FALSE()))),"OLD",IF(AND(E250&lt;&gt;"",E250&lt;&gt;"!!!"),"NEW","")))</f>
        <v/>
      </c>
      <c r="G250" s="23" t="str">
        <f aca="false"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aca="false">IF(J250&lt;&gt;1,"",IF(I250="SBJ","CB","?"))</f>
        <v/>
      </c>
      <c r="I250" s="25" t="str">
        <f aca="false">IF(OR(E250="",E250="!!!",F250="NEW"),"",INDEX(O$2:O231,-1+SUMPRODUCT(MAX(ROW(R$2:R231)*(E250=R$2:R231)))))</f>
        <v/>
      </c>
      <c r="J250" s="25" t="str">
        <f aca="true">IF(OR(E250="",E250="!!!",F250="NEW"),"",COUNTBLANK(OFFSET(N$1,,,SUMPRODUCT(MAX(ROW(R$2:R232)*(E250=R$2:R232)))))-COUNTBLANK(OFFSET(N$1,,,SUMPRODUCT(MAX(ROW(R$1:R231)*(R2=R$1:R231))))))</f>
        <v/>
      </c>
      <c r="K250" s="25" t="str">
        <f aca="false">IF(OR(E250="",E250="!!!",F250="NEW"),"",INDEX(W$1:W231,SUMPRODUCT(MAX(ROW(R$1:R231)*(E250=R$1:R231)))))</f>
        <v/>
      </c>
      <c r="L250" s="26"/>
      <c r="O250" s="20"/>
      <c r="P250" s="20"/>
    </row>
    <row r="251" customFormat="false" ht="14.25" hidden="false" customHeight="false" outlineLevel="0" collapsed="false">
      <c r="A251" s="0" t="s">
        <v>341</v>
      </c>
      <c r="E251" s="21" t="str">
        <f aca="false">IF(Q233="?OLD","!!!","")</f>
        <v/>
      </c>
      <c r="F251" s="22" t="str">
        <f aca="false">IF(OR(E251="",E251="!!!"),"",IF(NOT(ISNA(VLOOKUP(E251,R$1:R232,1,FALSE()))),"OLD",IF(AND(E251&lt;&gt;"",E251&lt;&gt;"!!!"),"NEW","")))</f>
        <v/>
      </c>
      <c r="G251" s="23" t="str">
        <f aca="false"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aca="false">IF(J251&lt;&gt;1,"",IF(I251="SBJ","CB","?"))</f>
        <v/>
      </c>
      <c r="I251" s="25" t="str">
        <f aca="false">IF(OR(E251="",E251="!!!",F251="NEW"),"",INDEX(O$2:O232,-1+SUMPRODUCT(MAX(ROW(R$2:R232)*(E251=R$2:R232)))))</f>
        <v/>
      </c>
      <c r="J251" s="25" t="str">
        <f aca="true">IF(OR(E251="",E251="!!!",F251="NEW"),"",COUNTBLANK(OFFSET(N$1,,,SUMPRODUCT(MAX(ROW(R$2:R233)*(E251=R$2:R233)))))-COUNTBLANK(OFFSET(N$1,,,SUMPRODUCT(MAX(ROW(R$1:R232)*(R2=R$1:R232))))))</f>
        <v/>
      </c>
      <c r="K251" s="25" t="str">
        <f aca="false">IF(OR(E251="",E251="!!!",F251="NEW"),"",INDEX(W$1:W232,SUMPRODUCT(MAX(ROW(R$1:R232)*(E251=R$1:R232)))))</f>
        <v/>
      </c>
      <c r="L251" s="26"/>
    </row>
    <row r="252" customFormat="false" ht="14.25" hidden="false" customHeight="false" outlineLevel="0" collapsed="false">
      <c r="A252" s="0" t="s">
        <v>342</v>
      </c>
      <c r="E252" s="21" t="str">
        <f aca="false">IF(Q234="?OLD","!!!","")</f>
        <v/>
      </c>
      <c r="F252" s="22" t="str">
        <f aca="false">IF(OR(E252="",E252="!!!"),"",IF(NOT(ISNA(VLOOKUP(E252,R$1:R233,1,FALSE()))),"OLD",IF(AND(E252&lt;&gt;"",E252&lt;&gt;"!!!"),"NEW","")))</f>
        <v/>
      </c>
      <c r="G252" s="23" t="str">
        <f aca="false"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aca="false">IF(J252&lt;&gt;1,"",IF(I252="SBJ","CB","?"))</f>
        <v/>
      </c>
      <c r="I252" s="25" t="str">
        <f aca="false">IF(OR(E252="",E252="!!!",F252="NEW"),"",INDEX(O$2:O233,-1+SUMPRODUCT(MAX(ROW(R$2:R233)*(E252=R$2:R233)))))</f>
        <v/>
      </c>
      <c r="J252" s="25" t="str">
        <f aca="true">IF(OR(E252="",E252="!!!",F252="NEW"),"",COUNTBLANK(OFFSET(N$1,,,SUMPRODUCT(MAX(ROW(R$2:R234)*(E252=R$2:R234)))))-COUNTBLANK(OFFSET(N$1,,,SUMPRODUCT(MAX(ROW(R$1:R233)*(R2=R$1:R233))))))</f>
        <v/>
      </c>
      <c r="K252" s="25" t="str">
        <f aca="false">IF(OR(E252="",E252="!!!",F252="NEW"),"",INDEX(W$1:W233,SUMPRODUCT(MAX(ROW(R$1:R233)*(E252=R$1:R233)))))</f>
        <v/>
      </c>
      <c r="L252" s="26"/>
    </row>
    <row r="253" customFormat="false" ht="14.25" hidden="false" customHeight="false" outlineLevel="0" collapsed="false">
      <c r="A253" s="0" t="s">
        <v>226</v>
      </c>
      <c r="B253" s="20" t="s">
        <v>148</v>
      </c>
      <c r="C253" s="20" t="s">
        <v>225</v>
      </c>
      <c r="E253" s="21" t="str">
        <f aca="false">IF(Q235="?OLD","!!!","")</f>
        <v/>
      </c>
      <c r="F253" s="22" t="str">
        <f aca="false">IF(OR(E253="",E253="!!!"),"",IF(NOT(ISNA(VLOOKUP(E253,R$1:R234,1,FALSE()))),"OLD",IF(AND(E253&lt;&gt;"",E253&lt;&gt;"!!!"),"NEW","")))</f>
        <v/>
      </c>
      <c r="G253" s="23" t="str">
        <f aca="false"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aca="false">IF(J253&lt;&gt;1,"",IF(I253="SBJ","CB","?"))</f>
        <v/>
      </c>
      <c r="I253" s="25" t="str">
        <f aca="false">IF(OR(E253="",E253="!!!",F253="NEW"),"",INDEX(O$2:O234,-1+SUMPRODUCT(MAX(ROW(R$2:R234)*(E253=R$2:R234)))))</f>
        <v/>
      </c>
      <c r="J253" s="25" t="str">
        <f aca="true">IF(OR(E253="",E253="!!!",F253="NEW"),"",COUNTBLANK(OFFSET(N$1,,,SUMPRODUCT(MAX(ROW(R$2:R235)*(E253=R$2:R235)))))-COUNTBLANK(OFFSET(N$1,,,SUMPRODUCT(MAX(ROW(R$1:R234)*(R2=R$1:R234))))))</f>
        <v/>
      </c>
      <c r="K253" s="25" t="str">
        <f aca="false">IF(OR(E253="",E253="!!!",F253="NEW"),"",INDEX(W$1:W234,SUMPRODUCT(MAX(ROW(R$1:R234)*(E253=R$1:R234)))))</f>
        <v/>
      </c>
      <c r="L253" s="26"/>
    </row>
    <row r="254" customFormat="false" ht="14.25" hidden="false" customHeight="false" outlineLevel="0" collapsed="false">
      <c r="A254" s="0" t="s">
        <v>343</v>
      </c>
      <c r="B254" s="20" t="s">
        <v>133</v>
      </c>
      <c r="C254" s="20" t="s">
        <v>155</v>
      </c>
      <c r="E254" s="21" t="str">
        <f aca="false">IF(Q236="?OLD","!!!","")</f>
        <v/>
      </c>
      <c r="F254" s="22" t="str">
        <f aca="false">IF(OR(E254="",E254="!!!"),"",IF(NOT(ISNA(VLOOKUP(E254,R$1:R235,1,FALSE()))),"OLD",IF(AND(E254&lt;&gt;"",E254&lt;&gt;"!!!"),"NEW","")))</f>
        <v/>
      </c>
      <c r="G254" s="23" t="str">
        <f aca="false"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aca="false">IF(J254&lt;&gt;1,"",IF(I254="SBJ","CB","?"))</f>
        <v/>
      </c>
      <c r="I254" s="25" t="str">
        <f aca="false">IF(OR(E254="",E254="!!!",F254="NEW"),"",INDEX(O$2:O235,-1+SUMPRODUCT(MAX(ROW(R$2:R235)*(E254=R$2:R235)))))</f>
        <v/>
      </c>
      <c r="J254" s="25" t="str">
        <f aca="true">IF(OR(E254="",E254="!!!",F254="NEW"),"",COUNTBLANK(OFFSET(N$1,,,SUMPRODUCT(MAX(ROW(R$2:R236)*(E254=R$2:R236)))))-COUNTBLANK(OFFSET(N$1,,,SUMPRODUCT(MAX(ROW(R$1:R235)*(R2=R$1:R235))))))</f>
        <v/>
      </c>
      <c r="K254" s="25" t="str">
        <f aca="false">IF(OR(E254="",E254="!!!",F254="NEW"),"",INDEX(W$1:W235,SUMPRODUCT(MAX(ROW(R$1:R235)*(E254=R$1:R235)))))</f>
        <v/>
      </c>
      <c r="L254" s="26"/>
    </row>
    <row r="255" customFormat="false" ht="14.25" hidden="false" customHeight="false" outlineLevel="0" collapsed="false">
      <c r="A255" s="0" t="s">
        <v>140</v>
      </c>
      <c r="E255" s="21" t="str">
        <f aca="false">IF(Q237="?OLD","!!!","")</f>
        <v/>
      </c>
      <c r="F255" s="22" t="str">
        <f aca="false">IF(OR(E255="",E255="!!!"),"",IF(NOT(ISNA(VLOOKUP(E255,R$1:R236,1,FALSE()))),"OLD",IF(AND(E255&lt;&gt;"",E255&lt;&gt;"!!!"),"NEW","")))</f>
        <v/>
      </c>
      <c r="G255" s="23" t="str">
        <f aca="false"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aca="false">IF(J255&lt;&gt;1,"",IF(I255="SBJ","CB","?"))</f>
        <v/>
      </c>
      <c r="I255" s="25" t="str">
        <f aca="false">IF(OR(E255="",E255="!!!",F255="NEW"),"",INDEX(O$2:O236,-1+SUMPRODUCT(MAX(ROW(R$2:R236)*(E255=R$2:R236)))))</f>
        <v/>
      </c>
      <c r="J255" s="25" t="str">
        <f aca="true">IF(OR(E255="",E255="!!!",F255="NEW"),"",COUNTBLANK(OFFSET(N$1,,,SUMPRODUCT(MAX(ROW(R$2:R237)*(E255=R$2:R237)))))-COUNTBLANK(OFFSET(N$1,,,SUMPRODUCT(MAX(ROW(R$1:R236)*(R2=R$1:R236))))))</f>
        <v/>
      </c>
      <c r="K255" s="25" t="str">
        <f aca="false">IF(OR(E255="",E255="!!!",F255="NEW"),"",INDEX(W$1:W236,SUMPRODUCT(MAX(ROW(R$1:R236)*(E255=R$1:R236)))))</f>
        <v/>
      </c>
      <c r="L255" s="26"/>
      <c r="O255" s="20"/>
      <c r="P255" s="20"/>
    </row>
    <row r="256" customFormat="false" ht="14.25" hidden="false" customHeight="false" outlineLevel="0" collapsed="false">
      <c r="A256" s="0" t="s">
        <v>341</v>
      </c>
      <c r="E256" s="21" t="str">
        <f aca="false">IF(Q238="?OLD","!!!","")</f>
        <v/>
      </c>
      <c r="F256" s="22" t="str">
        <f aca="false">IF(OR(E256="",E256="!!!"),"",IF(NOT(ISNA(VLOOKUP(E256,R$1:R237,1,FALSE()))),"OLD",IF(AND(E256&lt;&gt;"",E256&lt;&gt;"!!!"),"NEW","")))</f>
        <v/>
      </c>
      <c r="G256" s="23" t="str">
        <f aca="false"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aca="false">IF(J256&lt;&gt;1,"",IF(I256="SBJ","CB","?"))</f>
        <v/>
      </c>
      <c r="I256" s="25" t="str">
        <f aca="false">IF(OR(E256="",E256="!!!",F256="NEW"),"",INDEX(O$2:O237,-1+SUMPRODUCT(MAX(ROW(R$2:R237)*(E256=R$2:R237)))))</f>
        <v/>
      </c>
      <c r="J256" s="25" t="str">
        <f aca="true">IF(OR(E256="",E256="!!!",F256="NEW"),"",COUNTBLANK(OFFSET(N$1,,,SUMPRODUCT(MAX(ROW(R$2:R238)*(E256=R$2:R238)))))-COUNTBLANK(OFFSET(N$1,,,SUMPRODUCT(MAX(ROW(R$1:R237)*(R2=R$1:R237))))))</f>
        <v/>
      </c>
      <c r="K256" s="25" t="str">
        <f aca="false">IF(OR(E256="",E256="!!!",F256="NEW"),"",INDEX(W$1:W237,SUMPRODUCT(MAX(ROW(R$1:R237)*(E256=R$1:R237)))))</f>
        <v/>
      </c>
      <c r="L256" s="26"/>
    </row>
    <row r="257" customFormat="false" ht="14.25" hidden="false" customHeight="false" outlineLevel="0" collapsed="false">
      <c r="A257" s="0" t="s">
        <v>278</v>
      </c>
      <c r="B257" s="20" t="s">
        <v>224</v>
      </c>
      <c r="E257" s="21" t="str">
        <f aca="false">IF(Q239="?OLD","!!!","")</f>
        <v/>
      </c>
      <c r="F257" s="22" t="str">
        <f aca="false">IF(OR(E257="",E257="!!!"),"",IF(NOT(ISNA(VLOOKUP(E257,R$1:R238,1,FALSE()))),"OLD",IF(AND(E257&lt;&gt;"",E257&lt;&gt;"!!!"),"NEW","")))</f>
        <v/>
      </c>
      <c r="G257" s="23" t="str">
        <f aca="false"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aca="false">IF(J257&lt;&gt;1,"",IF(I257="SBJ","CB","?"))</f>
        <v/>
      </c>
      <c r="I257" s="25" t="str">
        <f aca="false">IF(OR(E257="",E257="!!!",F257="NEW"),"",INDEX(O$2:O238,-1+SUMPRODUCT(MAX(ROW(R$2:R238)*(E257=R$2:R238)))))</f>
        <v/>
      </c>
      <c r="J257" s="25" t="str">
        <f aca="true">IF(OR(E257="",E257="!!!",F257="NEW"),"",COUNTBLANK(OFFSET(N$1,,,SUMPRODUCT(MAX(ROW(R$2:R239)*(E257=R$2:R239)))))-COUNTBLANK(OFFSET(N$1,,,SUMPRODUCT(MAX(ROW(R$1:R238)*(R2=R$1:R238))))))</f>
        <v/>
      </c>
      <c r="K257" s="25" t="str">
        <f aca="false">IF(OR(E257="",E257="!!!",F257="NEW"),"",INDEX(W$1:W238,SUMPRODUCT(MAX(ROW(R$1:R238)*(E257=R$1:R238)))))</f>
        <v/>
      </c>
      <c r="L257" s="26"/>
    </row>
    <row r="258" customFormat="false" ht="14.25" hidden="false" customHeight="false" outlineLevel="0" collapsed="false">
      <c r="A258" s="0" t="s">
        <v>344</v>
      </c>
      <c r="E258" s="21" t="str">
        <f aca="false">IF(Q240="?OLD","!!!","")</f>
        <v/>
      </c>
      <c r="F258" s="22" t="str">
        <f aca="false">IF(OR(E258="",E258="!!!"),"",IF(NOT(ISNA(VLOOKUP(E258,R$1:R239,1,FALSE()))),"OLD",IF(AND(E258&lt;&gt;"",E258&lt;&gt;"!!!"),"NEW","")))</f>
        <v/>
      </c>
      <c r="G258" s="23" t="str">
        <f aca="false"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aca="false">IF(J258&lt;&gt;1,"",IF(I258="SBJ","CB","?"))</f>
        <v/>
      </c>
      <c r="I258" s="25" t="str">
        <f aca="false">IF(OR(E258="",E258="!!!",F258="NEW"),"",INDEX(O$2:O239,-1+SUMPRODUCT(MAX(ROW(R$2:R239)*(E258=R$2:R239)))))</f>
        <v/>
      </c>
      <c r="J258" s="25" t="str">
        <f aca="true">IF(OR(E258="",E258="!!!",F258="NEW"),"",COUNTBLANK(OFFSET(N$1,,,SUMPRODUCT(MAX(ROW(R$2:R240)*(E258=R$2:R240)))))-COUNTBLANK(OFFSET(N$1,,,SUMPRODUCT(MAX(ROW(R$1:R239)*(R2=R$1:R239))))))</f>
        <v/>
      </c>
      <c r="K258" s="25" t="str">
        <f aca="false">IF(OR(E258="",E258="!!!",F258="NEW"),"",INDEX(W$1:W239,SUMPRODUCT(MAX(ROW(R$1:R239)*(E258=R$1:R239)))))</f>
        <v/>
      </c>
      <c r="L258" s="26"/>
      <c r="O258" s="20"/>
      <c r="P258" s="20"/>
    </row>
    <row r="259" customFormat="false" ht="23.85" hidden="false" customHeight="false" outlineLevel="0" collapsed="false">
      <c r="A259" s="0" t="s">
        <v>345</v>
      </c>
      <c r="B259" s="20" t="s">
        <v>123</v>
      </c>
      <c r="C259" s="20" t="s">
        <v>146</v>
      </c>
      <c r="E259" s="21" t="s">
        <v>346</v>
      </c>
      <c r="F259" s="22" t="str">
        <f aca="false">IF(OR(E259="",E259="!!!"),"",IF(NOT(ISNA(VLOOKUP(E259,R$1:R240,1,FALSE()))),"OLD",IF(AND(E259&lt;&gt;"",E259&lt;&gt;"!!!"),"NEW","")))</f>
        <v>NEW</v>
      </c>
      <c r="G259" s="23" t="str">
        <f aca="false"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?REFERENTIAL</v>
      </c>
      <c r="H259" s="24" t="str">
        <f aca="false">IF(J259&lt;&gt;1,"",IF(I259="SBJ","CB","?"))</f>
        <v/>
      </c>
      <c r="I259" s="25" t="str">
        <f aca="false">IF(OR(E259="",E259="!!!",F259="NEW"),"",INDEX(O$2:O240,-1+SUMPRODUCT(MAX(ROW(R$2:R240)*(E259=R$2:R240)))))</f>
        <v/>
      </c>
      <c r="J259" s="25" t="str">
        <f aca="true">IF(OR(E259="",E259="!!!",F259="NEW"),"",COUNTBLANK(OFFSET(N$1,,,SUMPRODUCT(MAX(ROW(R$2:R241)*(E259=R$2:R241)))))-COUNTBLANK(OFFSET(N$1,,,SUMPRODUCT(MAX(ROW(R$1:R240)*(R2=R$1:R240))))))</f>
        <v/>
      </c>
      <c r="K259" s="25" t="str">
        <f aca="false">IF(OR(E259="",E259="!!!",F259="NEW"),"",INDEX(W$1:W240,SUMPRODUCT(MAX(ROW(R$1:R240)*(E259=R$1:R240)))))</f>
        <v/>
      </c>
      <c r="L259" s="26" t="s">
        <v>347</v>
      </c>
    </row>
    <row r="260" customFormat="false" ht="14.25" hidden="false" customHeight="false" outlineLevel="0" collapsed="false">
      <c r="A260" s="0" t="s">
        <v>153</v>
      </c>
      <c r="E260" s="21" t="str">
        <f aca="false">IF(Q242="?OLD","!!!","")</f>
        <v/>
      </c>
      <c r="F260" s="22" t="str">
        <f aca="false">IF(OR(E260="",E260="!!!"),"",IF(NOT(ISNA(VLOOKUP(E260,R$1:R241,1,FALSE()))),"OLD",IF(AND(E260&lt;&gt;"",E260&lt;&gt;"!!!"),"NEW","")))</f>
        <v/>
      </c>
      <c r="G260" s="23" t="str">
        <f aca="false"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aca="false">IF(J260&lt;&gt;1,"",IF(I260="SBJ","CB","?"))</f>
        <v/>
      </c>
      <c r="I260" s="25" t="str">
        <f aca="false">IF(OR(E260="",E260="!!!",F260="NEW"),"",INDEX(O$2:O241,-1+SUMPRODUCT(MAX(ROW(R$2:R241)*(E260=R$2:R241)))))</f>
        <v/>
      </c>
      <c r="J260" s="25" t="str">
        <f aca="true">IF(OR(E260="",E260="!!!",F260="NEW"),"",COUNTBLANK(OFFSET(N$1,,,SUMPRODUCT(MAX(ROW(R$2:R242)*(E260=R$2:R242)))))-COUNTBLANK(OFFSET(N$1,,,SUMPRODUCT(MAX(ROW(R$1:R241)*(R2=R$1:R241))))))</f>
        <v/>
      </c>
      <c r="K260" s="25" t="str">
        <f aca="false">IF(OR(E260="",E260="!!!",F260="NEW"),"",INDEX(W$1:W241,SUMPRODUCT(MAX(ROW(R$1:R241)*(E260=R$1:R241)))))</f>
        <v/>
      </c>
      <c r="L260" s="26"/>
      <c r="O260" s="20"/>
      <c r="P260" s="20"/>
    </row>
    <row r="261" customFormat="false" ht="14.25" hidden="false" customHeight="false" outlineLevel="0" collapsed="false">
      <c r="A261" s="0" t="s">
        <v>170</v>
      </c>
      <c r="E261" s="21" t="str">
        <f aca="false">IF(Q243="?OLD","!!!","")</f>
        <v/>
      </c>
      <c r="F261" s="22" t="str">
        <f aca="false">IF(OR(E261="",E261="!!!"),"",IF(NOT(ISNA(VLOOKUP(E261,R$1:R242,1,FALSE()))),"OLD",IF(AND(E261&lt;&gt;"",E261&lt;&gt;"!!!"),"NEW","")))</f>
        <v/>
      </c>
      <c r="G261" s="23" t="str">
        <f aca="false"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aca="false">IF(J261&lt;&gt;1,"",IF(I261="SBJ","CB","?"))</f>
        <v/>
      </c>
      <c r="I261" s="25" t="str">
        <f aca="false">IF(OR(E261="",E261="!!!",F261="NEW"),"",INDEX(O$2:O242,-1+SUMPRODUCT(MAX(ROW(R$2:R242)*(E261=R$2:R242)))))</f>
        <v/>
      </c>
      <c r="J261" s="25" t="str">
        <f aca="true">IF(OR(E261="",E261="!!!",F261="NEW"),"",COUNTBLANK(OFFSET(N$1,,,SUMPRODUCT(MAX(ROW(R$2:R243)*(E261=R$2:R243)))))-COUNTBLANK(OFFSET(N$1,,,SUMPRODUCT(MAX(ROW(R$1:R242)*(R2=R$1:R242))))))</f>
        <v/>
      </c>
      <c r="K261" s="25" t="str">
        <f aca="false">IF(OR(E261="",E261="!!!",F261="NEW"),"",INDEX(W$1:W242,SUMPRODUCT(MAX(ROW(R$1:R242)*(E261=R$1:R242)))))</f>
        <v/>
      </c>
      <c r="L261" s="26"/>
    </row>
    <row r="262" customFormat="false" ht="14.25" hidden="false" customHeight="false" outlineLevel="0" collapsed="false">
      <c r="A262" s="0" t="s">
        <v>348</v>
      </c>
      <c r="B262" s="20" t="s">
        <v>148</v>
      </c>
      <c r="C262" s="20" t="s">
        <v>172</v>
      </c>
      <c r="D262" s="20" t="s">
        <v>125</v>
      </c>
      <c r="E262" s="21" t="s">
        <v>319</v>
      </c>
      <c r="F262" s="22" t="str">
        <f aca="false">IF(OR(E262="",E262="!!!"),"",IF(NOT(ISNA(VLOOKUP(E262,R$1:R243,1,FALSE()))),"OLD",IF(AND(E262&lt;&gt;"",E262&lt;&gt;"!!!"),"NEW","")))</f>
        <v>NEW</v>
      </c>
      <c r="G262" s="23" t="str">
        <f aca="false"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?REFERENTIAL</v>
      </c>
      <c r="H262" s="24" t="str">
        <f aca="false">IF(J262&lt;&gt;1,"",IF(I262="SBJ","CB","?"))</f>
        <v/>
      </c>
      <c r="I262" s="25" t="str">
        <f aca="false">IF(OR(E262="",E262="!!!",F262="NEW"),"",INDEX(O$2:O243,-1+SUMPRODUCT(MAX(ROW(R$2:R243)*(E262=R$2:R243)))))</f>
        <v/>
      </c>
      <c r="J262" s="25" t="str">
        <f aca="true">IF(OR(E262="",E262="!!!",F262="NEW"),"",COUNTBLANK(OFFSET(N$1,,,SUMPRODUCT(MAX(ROW(R$2:R244)*(E262=R$2:R244)))))-COUNTBLANK(OFFSET(N$1,,,SUMPRODUCT(MAX(ROW(R$1:R243)*(R2=R$1:R243))))))</f>
        <v/>
      </c>
      <c r="K262" s="25" t="str">
        <f aca="false">IF(OR(E262="",E262="!!!",F262="NEW"),"",INDEX(W$1:W243,SUMPRODUCT(MAX(ROW(R$1:R243)*(E262=R$1:R243)))))</f>
        <v/>
      </c>
      <c r="L262" s="26"/>
    </row>
    <row r="263" customFormat="false" ht="14.25" hidden="false" customHeight="false" outlineLevel="0" collapsed="false">
      <c r="A263" s="0" t="s">
        <v>349</v>
      </c>
      <c r="E263" s="21" t="str">
        <f aca="false">IF(Q245="?OLD","!!!","")</f>
        <v/>
      </c>
      <c r="F263" s="22" t="str">
        <f aca="false">IF(OR(E263="",E263="!!!"),"",IF(NOT(ISNA(VLOOKUP(E263,R$1:R244,1,FALSE()))),"OLD",IF(AND(E263&lt;&gt;"",E263&lt;&gt;"!!!"),"NEW","")))</f>
        <v/>
      </c>
      <c r="G263" s="23" t="str">
        <f aca="false"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aca="false">IF(J263&lt;&gt;1,"",IF(I263="SBJ","CB","?"))</f>
        <v/>
      </c>
      <c r="I263" s="25" t="str">
        <f aca="false">IF(OR(E263="",E263="!!!",F263="NEW"),"",INDEX(O$2:O244,-1+SUMPRODUCT(MAX(ROW(R$2:R244)*(E263=R$2:R244)))))</f>
        <v/>
      </c>
      <c r="J263" s="25" t="str">
        <f aca="true">IF(OR(E263="",E263="!!!",F263="NEW"),"",COUNTBLANK(OFFSET(N$1,,,SUMPRODUCT(MAX(ROW(R$2:R245)*(E263=R$2:R245)))))-COUNTBLANK(OFFSET(N$1,,,SUMPRODUCT(MAX(ROW(R$1:R244)*(R2=R$1:R244))))))</f>
        <v/>
      </c>
      <c r="K263" s="25" t="str">
        <f aca="false">IF(OR(E263="",E263="!!!",F263="NEW"),"",INDEX(W$1:W244,SUMPRODUCT(MAX(ROW(R$1:R244)*(E263=R$1:R244)))))</f>
        <v/>
      </c>
      <c r="L263" s="26"/>
      <c r="O263" s="20"/>
      <c r="P263" s="20"/>
      <c r="Q263" s="20"/>
    </row>
    <row r="264" customFormat="false" ht="14.25" hidden="false" customHeight="false" outlineLevel="0" collapsed="false">
      <c r="A264" s="0" t="s">
        <v>140</v>
      </c>
      <c r="E264" s="21" t="str">
        <f aca="false">IF(Q246="?OLD","!!!","")</f>
        <v/>
      </c>
      <c r="F264" s="22" t="str">
        <f aca="false">IF(OR(E264="",E264="!!!"),"",IF(NOT(ISNA(VLOOKUP(E264,R$1:R245,1,FALSE()))),"OLD",IF(AND(E264&lt;&gt;"",E264&lt;&gt;"!!!"),"NEW","")))</f>
        <v/>
      </c>
      <c r="G264" s="23" t="str">
        <f aca="false"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aca="false">IF(J264&lt;&gt;1,"",IF(I264="SBJ","CB","?"))</f>
        <v/>
      </c>
      <c r="I264" s="25" t="str">
        <f aca="false">IF(OR(E264="",E264="!!!",F264="NEW"),"",INDEX(O$2:O245,-1+SUMPRODUCT(MAX(ROW(R$2:R245)*(E264=R$2:R245)))))</f>
        <v/>
      </c>
      <c r="J264" s="25" t="str">
        <f aca="true">IF(OR(E264="",E264="!!!",F264="NEW"),"",COUNTBLANK(OFFSET(N$1,,,SUMPRODUCT(MAX(ROW(R$2:R246)*(E264=R$2:R246)))))-COUNTBLANK(OFFSET(N$1,,,SUMPRODUCT(MAX(ROW(R$1:R245)*(R2=R$1:R245))))))</f>
        <v/>
      </c>
      <c r="K264" s="25" t="str">
        <f aca="false">IF(OR(E264="",E264="!!!",F264="NEW"),"",INDEX(W$1:W245,SUMPRODUCT(MAX(ROW(R$1:R245)*(E264=R$1:R245)))))</f>
        <v/>
      </c>
      <c r="L264" s="26"/>
    </row>
    <row r="265" customFormat="false" ht="14.25" hidden="false" customHeight="false" outlineLevel="0" collapsed="false">
      <c r="A265" s="0" t="s">
        <v>350</v>
      </c>
      <c r="E265" s="21" t="str">
        <f aca="false">IF(Q247="?OLD","!!!","")</f>
        <v/>
      </c>
      <c r="F265" s="22" t="str">
        <f aca="false">IF(OR(E265="",E265="!!!"),"",IF(NOT(ISNA(VLOOKUP(E265,R$1:R246,1,FALSE()))),"OLD",IF(AND(E265&lt;&gt;"",E265&lt;&gt;"!!!"),"NEW","")))</f>
        <v/>
      </c>
      <c r="G265" s="23" t="str">
        <f aca="false"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aca="false">IF(J265&lt;&gt;1,"",IF(I265="SBJ","CB","?"))</f>
        <v/>
      </c>
      <c r="I265" s="25" t="str">
        <f aca="false">IF(OR(E265="",E265="!!!",F265="NEW"),"",INDEX(O$2:O246,-1+SUMPRODUCT(MAX(ROW(R$2:R246)*(E265=R$2:R246)))))</f>
        <v/>
      </c>
      <c r="J265" s="25" t="str">
        <f aca="true">IF(OR(E265="",E265="!!!",F265="NEW"),"",COUNTBLANK(OFFSET(N$1,,,SUMPRODUCT(MAX(ROW(R$2:R247)*(E265=R$2:R247)))))-COUNTBLANK(OFFSET(N$1,,,SUMPRODUCT(MAX(ROW(R$1:R246)*(R2=R$1:R246))))))</f>
        <v/>
      </c>
      <c r="K265" s="25" t="str">
        <f aca="false">IF(OR(E265="",E265="!!!",F265="NEW"),"",INDEX(W$1:W246,SUMPRODUCT(MAX(ROW(R$1:R246)*(E265=R$1:R246)))))</f>
        <v/>
      </c>
      <c r="L265" s="26"/>
    </row>
    <row r="266" customFormat="false" ht="14.25" hidden="false" customHeight="false" outlineLevel="0" collapsed="false">
      <c r="A266" s="0" t="s">
        <v>351</v>
      </c>
      <c r="E266" s="21" t="str">
        <f aca="false">IF(Q248="?OLD","!!!","")</f>
        <v/>
      </c>
      <c r="F266" s="22" t="str">
        <f aca="false">IF(OR(E266="",E266="!!!"),"",IF(NOT(ISNA(VLOOKUP(E266,R$1:R247,1,FALSE()))),"OLD",IF(AND(E266&lt;&gt;"",E266&lt;&gt;"!!!"),"NEW","")))</f>
        <v/>
      </c>
      <c r="G266" s="23" t="str">
        <f aca="false"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aca="false">IF(J266&lt;&gt;1,"",IF(I266="SBJ","CB","?"))</f>
        <v/>
      </c>
      <c r="I266" s="25" t="str">
        <f aca="false">IF(OR(E266="",E266="!!!",F266="NEW"),"",INDEX(O$2:O247,-1+SUMPRODUCT(MAX(ROW(R$2:R247)*(E266=R$2:R247)))))</f>
        <v/>
      </c>
      <c r="J266" s="25" t="str">
        <f aca="true">IF(OR(E266="",E266="!!!",F266="NEW"),"",COUNTBLANK(OFFSET(N$1,,,SUMPRODUCT(MAX(ROW(R$2:R248)*(E266=R$2:R248)))))-COUNTBLANK(OFFSET(N$1,,,SUMPRODUCT(MAX(ROW(R$1:R247)*(R2=R$1:R247))))))</f>
        <v/>
      </c>
      <c r="K266" s="25" t="str">
        <f aca="false">IF(OR(E266="",E266="!!!",F266="NEW"),"",INDEX(W$1:W247,SUMPRODUCT(MAX(ROW(R$1:R247)*(E266=R$1:R247)))))</f>
        <v/>
      </c>
      <c r="L266" s="26"/>
    </row>
    <row r="267" customFormat="false" ht="14.25" hidden="false" customHeight="false" outlineLevel="0" collapsed="false">
      <c r="A267" s="0" t="s">
        <v>160</v>
      </c>
      <c r="E267" s="21" t="str">
        <f aca="false">IF(Q249="?OLD","!!!","")</f>
        <v/>
      </c>
      <c r="F267" s="22" t="str">
        <f aca="false">IF(OR(E267="",E267="!!!"),"",IF(NOT(ISNA(VLOOKUP(E267,R$1:R248,1,FALSE()))),"OLD",IF(AND(E267&lt;&gt;"",E267&lt;&gt;"!!!"),"NEW","")))</f>
        <v/>
      </c>
      <c r="G267" s="23" t="str">
        <f aca="false"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aca="false">IF(J267&lt;&gt;1,"",IF(I267="SBJ","CB","?"))</f>
        <v/>
      </c>
      <c r="I267" s="25" t="str">
        <f aca="false">IF(OR(E267="",E267="!!!",F267="NEW"),"",INDEX(O$2:O248,-1+SUMPRODUCT(MAX(ROW(R$2:R248)*(E267=R$2:R248)))))</f>
        <v/>
      </c>
      <c r="J267" s="25" t="str">
        <f aca="true">IF(OR(E267="",E267="!!!",F267="NEW"),"",COUNTBLANK(OFFSET(N$1,,,SUMPRODUCT(MAX(ROW(R$2:R249)*(E267=R$2:R249)))))-COUNTBLANK(OFFSET(N$1,,,SUMPRODUCT(MAX(ROW(R$1:R248)*(R2=R$1:R248))))))</f>
        <v/>
      </c>
      <c r="K267" s="25" t="str">
        <f aca="false">IF(OR(E267="",E267="!!!",F267="NEW"),"",INDEX(W$1:W248,SUMPRODUCT(MAX(ROW(R$1:R248)*(E267=R$1:R248)))))</f>
        <v/>
      </c>
      <c r="L267" s="26"/>
    </row>
    <row r="268" customFormat="false" ht="14.25" hidden="false" customHeight="false" outlineLevel="0" collapsed="false">
      <c r="O268" s="20"/>
      <c r="P268" s="20"/>
    </row>
    <row r="269" customFormat="false" ht="14.25" hidden="false" customHeight="false" outlineLevel="0" collapsed="false">
      <c r="A269" s="0" t="s">
        <v>352</v>
      </c>
      <c r="O269" s="20"/>
      <c r="P269" s="20"/>
    </row>
    <row r="270" customFormat="false" ht="14.25" hidden="false" customHeight="false" outlineLevel="0" collapsed="false">
      <c r="A270" s="0" t="s">
        <v>353</v>
      </c>
      <c r="B270" s="20" t="s">
        <v>164</v>
      </c>
      <c r="C270" s="20" t="s">
        <v>155</v>
      </c>
      <c r="E270" s="21" t="s">
        <v>354</v>
      </c>
      <c r="F270" s="22" t="str">
        <f aca="false">IF(OR(E270="",E270="!!!"),"",IF(NOT(ISNA(VLOOKUP(E270,R$1:R249,1,FALSE()))),"OLD",IF(AND(E270&lt;&gt;"",E270&lt;&gt;"!!!"),"NEW","")))</f>
        <v>NEW</v>
      </c>
      <c r="G270" s="23" t="str">
        <f aca="false"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?REFERENTIAL</v>
      </c>
      <c r="H270" s="24" t="str">
        <f aca="false">IF(J270&lt;&gt;1,"",IF(I270="SBJ","CB","?"))</f>
        <v/>
      </c>
      <c r="I270" s="25" t="str">
        <f aca="false">IF(OR(E270="",E270="!!!",F270="NEW"),"",INDEX(O$2:O249,-1+SUMPRODUCT(MAX(ROW(R$2:R249)*(E270=R$2:R249)))))</f>
        <v/>
      </c>
      <c r="J270" s="25" t="str">
        <f aca="true">IF(OR(E270="",E270="!!!",F270="NEW"),"",COUNTBLANK(OFFSET(N$1,,,SUMPRODUCT(MAX(ROW(R$2:R250)*(E270=R$2:R250)))))-COUNTBLANK(OFFSET(N$1,,,SUMPRODUCT(MAX(ROW(R$1:R249)*(R2=R$1:R249))))))</f>
        <v/>
      </c>
      <c r="K270" s="25" t="str">
        <f aca="false">IF(OR(E270="",E270="!!!",F270="NEW"),"",INDEX(W$1:W249,SUMPRODUCT(MAX(ROW(R$1:R249)*(E270=R$1:R249)))))</f>
        <v/>
      </c>
      <c r="L270" s="26"/>
    </row>
    <row r="271" customFormat="false" ht="14.25" hidden="false" customHeight="false" outlineLevel="0" collapsed="false">
      <c r="A271" s="0" t="s">
        <v>355</v>
      </c>
      <c r="E271" s="21" t="str">
        <f aca="false">IF(Q251="?OLD","!!!","")</f>
        <v/>
      </c>
      <c r="F271" s="22" t="str">
        <f aca="false">IF(OR(E271="",E271="!!!"),"",IF(NOT(ISNA(VLOOKUP(E271,R$1:R250,1,FALSE()))),"OLD",IF(AND(E271&lt;&gt;"",E271&lt;&gt;"!!!"),"NEW","")))</f>
        <v/>
      </c>
      <c r="G271" s="23" t="str">
        <f aca="false"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aca="false">IF(J271&lt;&gt;1,"",IF(I271="SBJ","CB","?"))</f>
        <v/>
      </c>
      <c r="I271" s="25" t="str">
        <f aca="false">IF(OR(E271="",E271="!!!",F271="NEW"),"",INDEX(O$2:O250,-1+SUMPRODUCT(MAX(ROW(R$2:R250)*(E271=R$2:R250)))))</f>
        <v/>
      </c>
      <c r="J271" s="25" t="str">
        <f aca="true">IF(OR(E271="",E271="!!!",F271="NEW"),"",COUNTBLANK(OFFSET(N$1,,,SUMPRODUCT(MAX(ROW(R$2:R251)*(E271=R$2:R251)))))-COUNTBLANK(OFFSET(N$1,,,SUMPRODUCT(MAX(ROW(R$1:R250)*(R2=R$1:R250))))))</f>
        <v/>
      </c>
      <c r="K271" s="25" t="str">
        <f aca="false">IF(OR(E271="",E271="!!!",F271="NEW"),"",INDEX(W$1:W250,SUMPRODUCT(MAX(ROW(R$1:R250)*(E271=R$1:R250)))))</f>
        <v/>
      </c>
      <c r="L271" s="26"/>
    </row>
    <row r="272" customFormat="false" ht="14.25" hidden="false" customHeight="false" outlineLevel="0" collapsed="false">
      <c r="A272" s="0" t="s">
        <v>356</v>
      </c>
      <c r="E272" s="21" t="str">
        <f aca="false">IF(Q252="?OLD","!!!","")</f>
        <v/>
      </c>
      <c r="F272" s="22" t="str">
        <f aca="false">IF(OR(E272="",E272="!!!"),"",IF(NOT(ISNA(VLOOKUP(E272,R$1:R251,1,FALSE()))),"OLD",IF(AND(E272&lt;&gt;"",E272&lt;&gt;"!!!"),"NEW","")))</f>
        <v/>
      </c>
      <c r="G272" s="23" t="str">
        <f aca="false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aca="false">IF(J272&lt;&gt;1,"",IF(I272="SBJ","CB","?"))</f>
        <v/>
      </c>
      <c r="I272" s="25" t="str">
        <f aca="false">IF(OR(E272="",E272="!!!",F272="NEW"),"",INDEX(O$2:O251,-1+SUMPRODUCT(MAX(ROW(R$2:R251)*(E272=R$2:R251)))))</f>
        <v/>
      </c>
      <c r="J272" s="25" t="str">
        <f aca="true">IF(OR(E272="",E272="!!!",F272="NEW"),"",COUNTBLANK(OFFSET(N$1,,,SUMPRODUCT(MAX(ROW(R$2:R252)*(E272=R$2:R252)))))-COUNTBLANK(OFFSET(N$1,,,SUMPRODUCT(MAX(ROW(R$1:R251)*(R2=R$1:R251))))))</f>
        <v/>
      </c>
      <c r="K272" s="25" t="str">
        <f aca="false">IF(OR(E272="",E272="!!!",F272="NEW"),"",INDEX(W$1:W251,SUMPRODUCT(MAX(ROW(R$1:R251)*(E272=R$1:R251)))))</f>
        <v/>
      </c>
      <c r="L272" s="26"/>
    </row>
    <row r="273" customFormat="false" ht="14.25" hidden="false" customHeight="false" outlineLevel="0" collapsed="false">
      <c r="A273" s="0" t="s">
        <v>357</v>
      </c>
      <c r="E273" s="21" t="str">
        <f aca="false">IF(Q253="?OLD","!!!","")</f>
        <v/>
      </c>
      <c r="F273" s="22" t="str">
        <f aca="false">IF(OR(E273="",E273="!!!"),"",IF(NOT(ISNA(VLOOKUP(E273,R$1:R252,1,FALSE()))),"OLD",IF(AND(E273&lt;&gt;"",E273&lt;&gt;"!!!"),"NEW","")))</f>
        <v/>
      </c>
      <c r="G273" s="23" t="str">
        <f aca="false"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aca="false">IF(J273&lt;&gt;1,"",IF(I273="SBJ","CB","?"))</f>
        <v/>
      </c>
      <c r="I273" s="25" t="str">
        <f aca="false">IF(OR(E273="",E273="!!!",F273="NEW"),"",INDEX(O$2:O252,-1+SUMPRODUCT(MAX(ROW(R$2:R252)*(E273=R$2:R252)))))</f>
        <v/>
      </c>
      <c r="J273" s="25" t="str">
        <f aca="true">IF(OR(E273="",E273="!!!",F273="NEW"),"",COUNTBLANK(OFFSET(N$1,,,SUMPRODUCT(MAX(ROW(R$2:R253)*(E273=R$2:R253)))))-COUNTBLANK(OFFSET(N$1,,,SUMPRODUCT(MAX(ROW(R$1:R252)*(R2=R$1:R252))))))</f>
        <v/>
      </c>
      <c r="K273" s="25" t="str">
        <f aca="false">IF(OR(E273="",E273="!!!",F273="NEW"),"",INDEX(W$1:W252,SUMPRODUCT(MAX(ROW(R$1:R252)*(E273=R$1:R252)))))</f>
        <v/>
      </c>
      <c r="L273" s="26"/>
      <c r="O273" s="20"/>
      <c r="P273" s="20"/>
    </row>
    <row r="274" customFormat="false" ht="14.25" hidden="false" customHeight="false" outlineLevel="0" collapsed="false">
      <c r="A274" s="0" t="s">
        <v>358</v>
      </c>
      <c r="E274" s="21" t="str">
        <f aca="false">IF(Q254="?OLD","!!!","")</f>
        <v/>
      </c>
      <c r="F274" s="22" t="str">
        <f aca="false">IF(OR(E274="",E274="!!!"),"",IF(NOT(ISNA(VLOOKUP(E274,R$1:R253,1,FALSE()))),"OLD",IF(AND(E274&lt;&gt;"",E274&lt;&gt;"!!!"),"NEW","")))</f>
        <v/>
      </c>
      <c r="G274" s="23" t="str">
        <f aca="false"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aca="false">IF(J274&lt;&gt;1,"",IF(I274="SBJ","CB","?"))</f>
        <v/>
      </c>
      <c r="I274" s="25" t="str">
        <f aca="false">IF(OR(E274="",E274="!!!",F274="NEW"),"",INDEX(O$2:O253,-1+SUMPRODUCT(MAX(ROW(R$2:R253)*(E274=R$2:R253)))))</f>
        <v/>
      </c>
      <c r="J274" s="25" t="str">
        <f aca="true">IF(OR(E274="",E274="!!!",F274="NEW"),"",COUNTBLANK(OFFSET(N$1,,,SUMPRODUCT(MAX(ROW(R$2:R254)*(E274=R$2:R254)))))-COUNTBLANK(OFFSET(N$1,,,SUMPRODUCT(MAX(ROW(R$1:R253)*(R2=R$1:R253))))))</f>
        <v/>
      </c>
      <c r="K274" s="25" t="str">
        <f aca="false">IF(OR(E274="",E274="!!!",F274="NEW"),"",INDEX(W$1:W253,SUMPRODUCT(MAX(ROW(R$1:R253)*(E274=R$1:R253)))))</f>
        <v/>
      </c>
      <c r="L274" s="26"/>
    </row>
    <row r="275" customFormat="false" ht="14.25" hidden="false" customHeight="false" outlineLevel="0" collapsed="false">
      <c r="A275" s="0" t="s">
        <v>359</v>
      </c>
      <c r="B275" s="20" t="s">
        <v>187</v>
      </c>
      <c r="C275" s="20" t="s">
        <v>155</v>
      </c>
      <c r="E275" s="21" t="str">
        <f aca="false">IF(Q255="?OLD","!!!","")</f>
        <v/>
      </c>
      <c r="F275" s="22" t="str">
        <f aca="false">IF(OR(E275="",E275="!!!"),"",IF(NOT(ISNA(VLOOKUP(E275,R$1:R254,1,FALSE()))),"OLD",IF(AND(E275&lt;&gt;"",E275&lt;&gt;"!!!"),"NEW","")))</f>
        <v/>
      </c>
      <c r="G275" s="23" t="str">
        <f aca="false"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aca="false">IF(J275&lt;&gt;1,"",IF(I275="SBJ","CB","?"))</f>
        <v/>
      </c>
      <c r="I275" s="25" t="str">
        <f aca="false">IF(OR(E275="",E275="!!!",F275="NEW"),"",INDEX(O$2:O254,-1+SUMPRODUCT(MAX(ROW(R$2:R254)*(E275=R$2:R254)))))</f>
        <v/>
      </c>
      <c r="J275" s="25" t="str">
        <f aca="true">IF(OR(E275="",E275="!!!",F275="NEW"),"",COUNTBLANK(OFFSET(N$1,,,SUMPRODUCT(MAX(ROW(R$2:R255)*(E275=R$2:R255)))))-COUNTBLANK(OFFSET(N$1,,,SUMPRODUCT(MAX(ROW(R$1:R254)*(R2=R$1:R254))))))</f>
        <v/>
      </c>
      <c r="K275" s="25" t="str">
        <f aca="false">IF(OR(E275="",E275="!!!",F275="NEW"),"",INDEX(W$1:W254,SUMPRODUCT(MAX(ROW(R$1:R254)*(E275=R$1:R254)))))</f>
        <v/>
      </c>
      <c r="L275" s="26"/>
    </row>
    <row r="276" customFormat="false" ht="14.25" hidden="false" customHeight="false" outlineLevel="0" collapsed="false">
      <c r="A276" s="0" t="s">
        <v>140</v>
      </c>
      <c r="E276" s="21" t="str">
        <f aca="false">IF(Q256="?OLD","!!!","")</f>
        <v/>
      </c>
      <c r="F276" s="22" t="str">
        <f aca="false">IF(OR(E276="",E276="!!!"),"",IF(NOT(ISNA(VLOOKUP(E276,R$1:R255,1,FALSE()))),"OLD",IF(AND(E276&lt;&gt;"",E276&lt;&gt;"!!!"),"NEW","")))</f>
        <v/>
      </c>
      <c r="G276" s="23" t="str">
        <f aca="false"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aca="false">IF(J276&lt;&gt;1,"",IF(I276="SBJ","CB","?"))</f>
        <v/>
      </c>
      <c r="I276" s="25" t="str">
        <f aca="false">IF(OR(E276="",E276="!!!",F276="NEW"),"",INDEX(O$2:O255,-1+SUMPRODUCT(MAX(ROW(R$2:R255)*(E276=R$2:R255)))))</f>
        <v/>
      </c>
      <c r="J276" s="25" t="str">
        <f aca="true">IF(OR(E276="",E276="!!!",F276="NEW"),"",COUNTBLANK(OFFSET(N$1,,,SUMPRODUCT(MAX(ROW(R$2:R256)*(E276=R$2:R256)))))-COUNTBLANK(OFFSET(N$1,,,SUMPRODUCT(MAX(ROW(R$1:R255)*(R2=R$1:R255))))))</f>
        <v/>
      </c>
      <c r="K276" s="25" t="str">
        <f aca="false">IF(OR(E276="",E276="!!!",F276="NEW"),"",INDEX(W$1:W255,SUMPRODUCT(MAX(ROW(R$1:R255)*(E276=R$1:R255)))))</f>
        <v/>
      </c>
      <c r="L276" s="26"/>
      <c r="O276" s="20"/>
      <c r="P276" s="20"/>
      <c r="Q276" s="20"/>
    </row>
    <row r="277" customFormat="false" ht="14.25" hidden="false" customHeight="false" outlineLevel="0" collapsed="false">
      <c r="A277" s="0" t="s">
        <v>277</v>
      </c>
      <c r="E277" s="21" t="str">
        <f aca="false">IF(Q257="?OLD","!!!","")</f>
        <v/>
      </c>
      <c r="F277" s="22" t="str">
        <f aca="false">IF(OR(E277="",E277="!!!"),"",IF(NOT(ISNA(VLOOKUP(E277,R$1:R256,1,FALSE()))),"OLD",IF(AND(E277&lt;&gt;"",E277&lt;&gt;"!!!"),"NEW","")))</f>
        <v/>
      </c>
      <c r="G277" s="23" t="str">
        <f aca="false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aca="false">IF(J277&lt;&gt;1,"",IF(I277="SBJ","CB","?"))</f>
        <v/>
      </c>
      <c r="I277" s="25" t="str">
        <f aca="false">IF(OR(E277="",E277="!!!",F277="NEW"),"",INDEX(O$2:O256,-1+SUMPRODUCT(MAX(ROW(R$2:R256)*(E277=R$2:R256)))))</f>
        <v/>
      </c>
      <c r="J277" s="25" t="str">
        <f aca="true">IF(OR(E277="",E277="!!!",F277="NEW"),"",COUNTBLANK(OFFSET(N$1,,,SUMPRODUCT(MAX(ROW(R$2:R257)*(E277=R$2:R257)))))-COUNTBLANK(OFFSET(N$1,,,SUMPRODUCT(MAX(ROW(R$1:R256)*(R2=R$1:R256))))))</f>
        <v/>
      </c>
      <c r="K277" s="25" t="str">
        <f aca="false">IF(OR(E277="",E277="!!!",F277="NEW"),"",INDEX(W$1:W256,SUMPRODUCT(MAX(ROW(R$1:R256)*(E277=R$1:R256)))))</f>
        <v/>
      </c>
      <c r="L277" s="26"/>
    </row>
    <row r="278" customFormat="false" ht="14.25" hidden="false" customHeight="false" outlineLevel="0" collapsed="false">
      <c r="A278" s="0" t="s">
        <v>360</v>
      </c>
      <c r="B278" s="20" t="s">
        <v>148</v>
      </c>
      <c r="C278" s="20" t="s">
        <v>155</v>
      </c>
      <c r="E278" s="21" t="str">
        <f aca="false">IF(Q258="?OLD","!!!","")</f>
        <v/>
      </c>
      <c r="F278" s="22" t="str">
        <f aca="false">IF(OR(E278="",E278="!!!"),"",IF(NOT(ISNA(VLOOKUP(E278,R$1:R257,1,FALSE()))),"OLD",IF(AND(E278&lt;&gt;"",E278&lt;&gt;"!!!"),"NEW","")))</f>
        <v/>
      </c>
      <c r="G278" s="23" t="str">
        <f aca="false"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aca="false">IF(J278&lt;&gt;1,"",IF(I278="SBJ","CB","?"))</f>
        <v/>
      </c>
      <c r="I278" s="25" t="str">
        <f aca="false">IF(OR(E278="",E278="!!!",F278="NEW"),"",INDEX(O$2:O257,-1+SUMPRODUCT(MAX(ROW(R$2:R257)*(E278=R$2:R257)))))</f>
        <v/>
      </c>
      <c r="J278" s="25" t="str">
        <f aca="true">IF(OR(E278="",E278="!!!",F278="NEW"),"",COUNTBLANK(OFFSET(N$1,,,SUMPRODUCT(MAX(ROW(R$2:R258)*(E278=R$2:R258)))))-COUNTBLANK(OFFSET(N$1,,,SUMPRODUCT(MAX(ROW(R$1:R257)*(R2=R$1:R257))))))</f>
        <v/>
      </c>
      <c r="K278" s="25" t="str">
        <f aca="false">IF(OR(E278="",E278="!!!",F278="NEW"),"",INDEX(W$1:W257,SUMPRODUCT(MAX(ROW(R$1:R257)*(E278=R$1:R257)))))</f>
        <v/>
      </c>
      <c r="L278" s="26"/>
      <c r="O278" s="20"/>
      <c r="P278" s="20"/>
      <c r="Q278" s="20"/>
    </row>
    <row r="279" customFormat="false" ht="14.25" hidden="false" customHeight="false" outlineLevel="0" collapsed="false">
      <c r="A279" s="0" t="s">
        <v>138</v>
      </c>
      <c r="E279" s="21" t="str">
        <f aca="false">IF(Q259="?OLD","!!!","")</f>
        <v/>
      </c>
      <c r="F279" s="22" t="str">
        <f aca="false">IF(OR(E279="",E279="!!!"),"",IF(NOT(ISNA(VLOOKUP(E279,R$1:R258,1,FALSE()))),"OLD",IF(AND(E279&lt;&gt;"",E279&lt;&gt;"!!!"),"NEW","")))</f>
        <v/>
      </c>
      <c r="G279" s="23" t="str">
        <f aca="false"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aca="false">IF(J279&lt;&gt;1,"",IF(I279="SBJ","CB","?"))</f>
        <v/>
      </c>
      <c r="I279" s="25" t="str">
        <f aca="false">IF(OR(E279="",E279="!!!",F279="NEW"),"",INDEX(O$2:O258,-1+SUMPRODUCT(MAX(ROW(R$2:R258)*(E279=R$2:R258)))))</f>
        <v/>
      </c>
      <c r="J279" s="25" t="str">
        <f aca="true">IF(OR(E279="",E279="!!!",F279="NEW"),"",COUNTBLANK(OFFSET(N$1,,,SUMPRODUCT(MAX(ROW(R$2:R259)*(E279=R$2:R259)))))-COUNTBLANK(OFFSET(N$1,,,SUMPRODUCT(MAX(ROW(R$1:R258)*(R2=R$1:R258))))))</f>
        <v/>
      </c>
      <c r="K279" s="25" t="str">
        <f aca="false">IF(OR(E279="",E279="!!!",F279="NEW"),"",INDEX(W$1:W258,SUMPRODUCT(MAX(ROW(R$1:R258)*(E279=R$1:R258)))))</f>
        <v/>
      </c>
      <c r="L279" s="26"/>
    </row>
    <row r="280" customFormat="false" ht="14.25" hidden="false" customHeight="false" outlineLevel="0" collapsed="false">
      <c r="A280" s="0" t="s">
        <v>361</v>
      </c>
      <c r="B280" s="20" t="s">
        <v>150</v>
      </c>
      <c r="C280" s="20" t="s">
        <v>155</v>
      </c>
      <c r="E280" s="21" t="str">
        <f aca="false">IF(Q260="?OLD","!!!","")</f>
        <v/>
      </c>
      <c r="F280" s="22" t="str">
        <f aca="false">IF(OR(E280="",E280="!!!"),"",IF(NOT(ISNA(VLOOKUP(E280,R$1:R259,1,FALSE()))),"OLD",IF(AND(E280&lt;&gt;"",E280&lt;&gt;"!!!"),"NEW","")))</f>
        <v/>
      </c>
      <c r="G280" s="23" t="str">
        <f aca="false"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aca="false">IF(J280&lt;&gt;1,"",IF(I280="SBJ","CB","?"))</f>
        <v/>
      </c>
      <c r="I280" s="25" t="str">
        <f aca="false">IF(OR(E280="",E280="!!!",F280="NEW"),"",INDEX(O$2:O259,-1+SUMPRODUCT(MAX(ROW(R$2:R259)*(E280=R$2:R259)))))</f>
        <v/>
      </c>
      <c r="J280" s="25" t="str">
        <f aca="true">IF(OR(E280="",E280="!!!",F280="NEW"),"",COUNTBLANK(OFFSET(N$1,,,SUMPRODUCT(MAX(ROW(R$2:R260)*(E280=R$2:R260)))))-COUNTBLANK(OFFSET(N$1,,,SUMPRODUCT(MAX(ROW(R$1:R259)*(R2=R$1:R259))))))</f>
        <v/>
      </c>
      <c r="K280" s="25" t="str">
        <f aca="false">IF(OR(E280="",E280="!!!",F280="NEW"),"",INDEX(W$1:W259,SUMPRODUCT(MAX(ROW(R$1:R259)*(E280=R$1:R259)))))</f>
        <v/>
      </c>
      <c r="L280" s="26"/>
    </row>
    <row r="281" customFormat="false" ht="14.25" hidden="false" customHeight="false" outlineLevel="0" collapsed="false">
      <c r="A281" s="0" t="s">
        <v>140</v>
      </c>
      <c r="E281" s="21" t="str">
        <f aca="false">IF(Q261="?OLD","!!!","")</f>
        <v/>
      </c>
      <c r="F281" s="22" t="str">
        <f aca="false">IF(OR(E281="",E281="!!!"),"",IF(NOT(ISNA(VLOOKUP(E281,R$1:R260,1,FALSE()))),"OLD",IF(AND(E281&lt;&gt;"",E281&lt;&gt;"!!!"),"NEW","")))</f>
        <v/>
      </c>
      <c r="G281" s="23" t="str">
        <f aca="false"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aca="false">IF(J281&lt;&gt;1,"",IF(I281="SBJ","CB","?"))</f>
        <v/>
      </c>
      <c r="I281" s="25" t="str">
        <f aca="false">IF(OR(E281="",E281="!!!",F281="NEW"),"",INDEX(O$2:O260,-1+SUMPRODUCT(MAX(ROW(R$2:R260)*(E281=R$2:R260)))))</f>
        <v/>
      </c>
      <c r="J281" s="25" t="str">
        <f aca="true">IF(OR(E281="",E281="!!!",F281="NEW"),"",COUNTBLANK(OFFSET(N$1,,,SUMPRODUCT(MAX(ROW(R$2:R261)*(E281=R$2:R261)))))-COUNTBLANK(OFFSET(N$1,,,SUMPRODUCT(MAX(ROW(R$1:R260)*(R2=R$1:R260))))))</f>
        <v/>
      </c>
      <c r="K281" s="25" t="str">
        <f aca="false">IF(OR(E281="",E281="!!!",F281="NEW"),"",INDEX(W$1:W260,SUMPRODUCT(MAX(ROW(R$1:R260)*(E281=R$1:R260)))))</f>
        <v/>
      </c>
      <c r="L281" s="26"/>
    </row>
    <row r="282" customFormat="false" ht="14.25" hidden="false" customHeight="false" outlineLevel="0" collapsed="false">
      <c r="A282" s="0" t="s">
        <v>228</v>
      </c>
      <c r="E282" s="21" t="str">
        <f aca="false">IF(Q262="?OLD","!!!","")</f>
        <v/>
      </c>
      <c r="F282" s="22" t="str">
        <f aca="false">IF(OR(E282="",E282="!!!"),"",IF(NOT(ISNA(VLOOKUP(E282,R$1:R261,1,FALSE()))),"OLD",IF(AND(E282&lt;&gt;"",E282&lt;&gt;"!!!"),"NEW","")))</f>
        <v/>
      </c>
      <c r="G282" s="23" t="str">
        <f aca="false"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aca="false">IF(J282&lt;&gt;1,"",IF(I282="SBJ","CB","?"))</f>
        <v/>
      </c>
      <c r="I282" s="25" t="str">
        <f aca="false">IF(OR(E282="",E282="!!!",F282="NEW"),"",INDEX(O$2:O261,-1+SUMPRODUCT(MAX(ROW(R$2:R261)*(E282=R$2:R261)))))</f>
        <v/>
      </c>
      <c r="J282" s="25" t="str">
        <f aca="true">IF(OR(E282="",E282="!!!",F282="NEW"),"",COUNTBLANK(OFFSET(N$1,,,SUMPRODUCT(MAX(ROW(R$2:R262)*(E282=R$2:R262)))))-COUNTBLANK(OFFSET(N$1,,,SUMPRODUCT(MAX(ROW(R$1:R261)*(R2=R$1:R261))))))</f>
        <v/>
      </c>
      <c r="K282" s="25" t="str">
        <f aca="false">IF(OR(E282="",E282="!!!",F282="NEW"),"",INDEX(W$1:W261,SUMPRODUCT(MAX(ROW(R$1:R261)*(E282=R$1:R261)))))</f>
        <v/>
      </c>
      <c r="L282" s="26"/>
      <c r="O282" s="20"/>
      <c r="P282" s="20"/>
    </row>
    <row r="283" customFormat="false" ht="14.25" hidden="false" customHeight="false" outlineLevel="0" collapsed="false">
      <c r="A283" s="0" t="s">
        <v>362</v>
      </c>
      <c r="B283" s="20" t="s">
        <v>224</v>
      </c>
      <c r="C283" s="20" t="s">
        <v>134</v>
      </c>
      <c r="D283" s="20" t="s">
        <v>125</v>
      </c>
      <c r="E283" s="21"/>
      <c r="F283" s="22" t="str">
        <f aca="false">IF(OR(E283="",E283="!!!"),"",IF(NOT(ISNA(VLOOKUP(E283,R$1:R262,1,FALSE()))),"OLD",IF(AND(E283&lt;&gt;"",E283&lt;&gt;"!!!"),"NEW","")))</f>
        <v/>
      </c>
      <c r="G283" s="23" t="str">
        <f aca="false"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aca="false">IF(J283&lt;&gt;1,"",IF(I283="SBJ","CB","?"))</f>
        <v/>
      </c>
      <c r="I283" s="25" t="str">
        <f aca="false">IF(OR(E283="",E283="!!!",F283="NEW"),"",INDEX(O$2:O262,-1+SUMPRODUCT(MAX(ROW(R$2:R262)*(E283=R$2:R262)))))</f>
        <v/>
      </c>
      <c r="J283" s="25" t="str">
        <f aca="true">IF(OR(E283="",E283="!!!",F283="NEW"),"",COUNTBLANK(OFFSET(N$1,,,SUMPRODUCT(MAX(ROW(R$2:R263)*(E283=R$2:R263)))))-COUNTBLANK(OFFSET(N$1,,,SUMPRODUCT(MAX(ROW(R$1:R262)*(R2=R$1:R262))))))</f>
        <v/>
      </c>
      <c r="K283" s="25" t="str">
        <f aca="false">IF(OR(E283="",E283="!!!",F283="NEW"),"",INDEX(W$1:W262,SUMPRODUCT(MAX(ROW(R$1:R262)*(E283=R$1:R262)))))</f>
        <v/>
      </c>
      <c r="L283" s="26" t="s">
        <v>193</v>
      </c>
    </row>
    <row r="284" customFormat="false" ht="14.25" hidden="false" customHeight="false" outlineLevel="0" collapsed="false">
      <c r="A284" s="0" t="s">
        <v>11</v>
      </c>
      <c r="E284" s="21" t="str">
        <f aca="false">IF(Q264="?OLD","!!!","")</f>
        <v/>
      </c>
      <c r="F284" s="22" t="str">
        <f aca="false">IF(OR(E284="",E284="!!!"),"",IF(NOT(ISNA(VLOOKUP(E284,R$1:R263,1,FALSE()))),"OLD",IF(AND(E284&lt;&gt;"",E284&lt;&gt;"!!!"),"NEW","")))</f>
        <v/>
      </c>
      <c r="G284" s="23" t="str">
        <f aca="false"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aca="false">IF(J284&lt;&gt;1,"",IF(I284="SBJ","CB","?"))</f>
        <v/>
      </c>
      <c r="I284" s="25" t="str">
        <f aca="false">IF(OR(E284="",E284="!!!",F284="NEW"),"",INDEX(O$2:O263,-1+SUMPRODUCT(MAX(ROW(R$2:R263)*(E284=R$2:R263)))))</f>
        <v/>
      </c>
      <c r="J284" s="25" t="str">
        <f aca="true">IF(OR(E284="",E284="!!!",F284="NEW"),"",COUNTBLANK(OFFSET(N$1,,,SUMPRODUCT(MAX(ROW(R$2:R264)*(E284=R$2:R264)))))-COUNTBLANK(OFFSET(N$1,,,SUMPRODUCT(MAX(ROW(R$1:R263)*(R2=R$1:R263))))))</f>
        <v/>
      </c>
      <c r="K284" s="25" t="str">
        <f aca="false">IF(OR(E284="",E284="!!!",F284="NEW"),"",INDEX(W$1:W263,SUMPRODUCT(MAX(ROW(R$1:R263)*(E284=R$1:R263)))))</f>
        <v/>
      </c>
      <c r="L284" s="26"/>
      <c r="O284" s="20"/>
      <c r="P284" s="20"/>
    </row>
    <row r="285" customFormat="false" ht="23.85" hidden="false" customHeight="false" outlineLevel="0" collapsed="false">
      <c r="A285" s="0" t="s">
        <v>310</v>
      </c>
      <c r="E285" s="21" t="s">
        <v>305</v>
      </c>
      <c r="F285" s="22" t="str">
        <f aca="false">IF(OR(E285="",E285="!!!"),"",IF(NOT(ISNA(VLOOKUP(E285,R$1:R264,1,FALSE()))),"OLD",IF(AND(E285&lt;&gt;"",E285&lt;&gt;"!!!"),"NEW","")))</f>
        <v>NEW</v>
      </c>
      <c r="G285" s="23" t="str">
        <f aca="false"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?REFERENTIAL</v>
      </c>
      <c r="H285" s="24" t="str">
        <f aca="false">IF(J285&lt;&gt;1,"",IF(I285="SBJ","CB","?"))</f>
        <v/>
      </c>
      <c r="I285" s="25" t="str">
        <f aca="false">IF(OR(E285="",E285="!!!",F285="NEW"),"",INDEX(O$2:O264,-1+SUMPRODUCT(MAX(ROW(R$2:R264)*(E285=R$2:R264)))))</f>
        <v/>
      </c>
      <c r="J285" s="25" t="str">
        <f aca="true">IF(OR(E285="",E285="!!!",F285="NEW"),"",COUNTBLANK(OFFSET(N$1,,,SUMPRODUCT(MAX(ROW(R$2:R265)*(E285=R$2:R265)))))-COUNTBLANK(OFFSET(N$1,,,SUMPRODUCT(MAX(ROW(R$1:R264)*(R2=R$1:R264))))))</f>
        <v/>
      </c>
      <c r="K285" s="25" t="str">
        <f aca="false">IF(OR(E285="",E285="!!!",F285="NEW"),"",INDEX(W$1:W264,SUMPRODUCT(MAX(ROW(R$1:R264)*(E285=R$1:R264)))))</f>
        <v/>
      </c>
      <c r="L285" s="26" t="s">
        <v>363</v>
      </c>
    </row>
    <row r="286" customFormat="false" ht="14.25" hidden="false" customHeight="false" outlineLevel="0" collapsed="false">
      <c r="A286" s="0" t="s">
        <v>364</v>
      </c>
      <c r="E286" s="21" t="str">
        <f aca="false">IF(Q266="?OLD","!!!","")</f>
        <v/>
      </c>
      <c r="F286" s="22" t="str">
        <f aca="false">IF(OR(E286="",E286="!!!"),"",IF(NOT(ISNA(VLOOKUP(E286,R$1:R265,1,FALSE()))),"OLD",IF(AND(E286&lt;&gt;"",E286&lt;&gt;"!!!"),"NEW","")))</f>
        <v/>
      </c>
      <c r="G286" s="23" t="str">
        <f aca="false"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aca="false">IF(J286&lt;&gt;1,"",IF(I286="SBJ","CB","?"))</f>
        <v/>
      </c>
      <c r="I286" s="25" t="str">
        <f aca="false">IF(OR(E286="",E286="!!!",F286="NEW"),"",INDEX(O$2:O265,-1+SUMPRODUCT(MAX(ROW(R$2:R265)*(E286=R$2:R265)))))</f>
        <v/>
      </c>
      <c r="J286" s="25" t="str">
        <f aca="true">IF(OR(E286="",E286="!!!",F286="NEW"),"",COUNTBLANK(OFFSET(N$1,,,SUMPRODUCT(MAX(ROW(R$2:R266)*(E286=R$2:R266)))))-COUNTBLANK(OFFSET(N$1,,,SUMPRODUCT(MAX(ROW(R$1:R265)*(R2=R$1:R265))))))</f>
        <v/>
      </c>
      <c r="K286" s="25" t="str">
        <f aca="false">IF(OR(E286="",E286="!!!",F286="NEW"),"",INDEX(W$1:W265,SUMPRODUCT(MAX(ROW(R$1:R265)*(E286=R$1:R265)))))</f>
        <v/>
      </c>
      <c r="L286" s="26"/>
    </row>
    <row r="287" customFormat="false" ht="14.25" hidden="false" customHeight="false" outlineLevel="0" collapsed="false">
      <c r="A287" s="0" t="s">
        <v>160</v>
      </c>
      <c r="E287" s="21" t="str">
        <f aca="false">IF(Q267="?OLD","!!!","")</f>
        <v/>
      </c>
      <c r="F287" s="22" t="str">
        <f aca="false">IF(OR(E287="",E287="!!!"),"",IF(NOT(ISNA(VLOOKUP(E287,R$1:R266,1,FALSE()))),"OLD",IF(AND(E287&lt;&gt;"",E287&lt;&gt;"!!!"),"NEW","")))</f>
        <v/>
      </c>
      <c r="G287" s="23" t="str">
        <f aca="false"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aca="false">IF(J287&lt;&gt;1,"",IF(I287="SBJ","CB","?"))</f>
        <v/>
      </c>
      <c r="I287" s="25" t="str">
        <f aca="false">IF(OR(E287="",E287="!!!",F287="NEW"),"",INDEX(O$2:O266,-1+SUMPRODUCT(MAX(ROW(R$2:R266)*(E287=R$2:R266)))))</f>
        <v/>
      </c>
      <c r="J287" s="25" t="str">
        <f aca="true">IF(OR(E287="",E287="!!!",F287="NEW"),"",COUNTBLANK(OFFSET(N$1,,,SUMPRODUCT(MAX(ROW(R$2:R267)*(E287=R$2:R267)))))-COUNTBLANK(OFFSET(N$1,,,SUMPRODUCT(MAX(ROW(R$1:R266)*(R2=R$1:R266))))))</f>
        <v/>
      </c>
      <c r="K287" s="25" t="str">
        <f aca="false">IF(OR(E287="",E287="!!!",F287="NEW"),"",INDEX(W$1:W266,SUMPRODUCT(MAX(ROW(R$1:R266)*(E287=R$1:R266)))))</f>
        <v/>
      </c>
      <c r="L287" s="26"/>
    </row>
    <row r="289" customFormat="false" ht="14.25" hidden="false" customHeight="false" outlineLevel="0" collapsed="false">
      <c r="A289" s="0" t="s">
        <v>365</v>
      </c>
    </row>
    <row r="290" customFormat="false" ht="14.25" hidden="false" customHeight="false" outlineLevel="0" collapsed="false">
      <c r="A290" s="0" t="s">
        <v>366</v>
      </c>
      <c r="B290" s="20" t="s">
        <v>148</v>
      </c>
      <c r="C290" s="20" t="s">
        <v>225</v>
      </c>
      <c r="E290" s="21" t="str">
        <f aca="false">IF(Q268="?OLD","!!!","")</f>
        <v/>
      </c>
      <c r="F290" s="22" t="str">
        <f aca="false">IF(OR(E290="",E290="!!!"),"",IF(NOT(ISNA(VLOOKUP(E290,R$1:R267,1,FALSE()))),"OLD",IF(AND(E290&lt;&gt;"",E290&lt;&gt;"!!!"),"NEW","")))</f>
        <v/>
      </c>
      <c r="G290" s="23" t="str">
        <f aca="false"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aca="false">IF(J290&lt;&gt;1,"",IF(I290="SBJ","CB","?"))</f>
        <v/>
      </c>
      <c r="I290" s="25" t="str">
        <f aca="false">IF(OR(E290="",E290="!!!",F290="NEW"),"",INDEX(O$2:O267,-1+SUMPRODUCT(MAX(ROW(R$2:R267)*(E290=R$2:R267)))))</f>
        <v/>
      </c>
      <c r="J290" s="25" t="str">
        <f aca="true">IF(OR(E290="",E290="!!!",F290="NEW"),"",COUNTBLANK(OFFSET(N$1,,,SUMPRODUCT(MAX(ROW(R$2:R268)*(E290=R$2:R268)))))-COUNTBLANK(OFFSET(N$1,,,SUMPRODUCT(MAX(ROW(R$1:R267)*(R2=R$1:R267))))))</f>
        <v/>
      </c>
      <c r="K290" s="25" t="str">
        <f aca="false">IF(OR(E290="",E290="!!!",F290="NEW"),"",INDEX(W$1:W267,SUMPRODUCT(MAX(ROW(R$1:R267)*(E290=R$1:R267)))))</f>
        <v/>
      </c>
      <c r="L290" s="26"/>
    </row>
    <row r="291" customFormat="false" ht="14.25" hidden="false" customHeight="false" outlineLevel="0" collapsed="false">
      <c r="A291" s="0" t="s">
        <v>367</v>
      </c>
      <c r="B291" s="20" t="s">
        <v>164</v>
      </c>
      <c r="C291" s="20" t="s">
        <v>192</v>
      </c>
      <c r="E291" s="21" t="s">
        <v>305</v>
      </c>
      <c r="F291" s="22" t="str">
        <f aca="false">IF(OR(E291="",E291="!!!"),"",IF(NOT(ISNA(VLOOKUP(E291,R$1:R268,1,FALSE()))),"OLD",IF(AND(E291&lt;&gt;"",E291&lt;&gt;"!!!"),"NEW","")))</f>
        <v>NEW</v>
      </c>
      <c r="G291" s="23" t="str">
        <f aca="false"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?REFERENTIAL</v>
      </c>
      <c r="H291" s="24" t="str">
        <f aca="false">IF(J291&lt;&gt;1,"",IF(I291="SBJ","CB","?"))</f>
        <v/>
      </c>
      <c r="I291" s="25" t="str">
        <f aca="false">IF(OR(E291="",E291="!!!",F291="NEW"),"",INDEX(O$2:O268,-1+SUMPRODUCT(MAX(ROW(R$2:R268)*(E291=R$2:R268)))))</f>
        <v/>
      </c>
      <c r="J291" s="25" t="str">
        <f aca="true">IF(OR(E291="",E291="!!!",F291="NEW"),"",COUNTBLANK(OFFSET(N$1,,,SUMPRODUCT(MAX(ROW(R$2:R269)*(E291=R$2:R269)))))-COUNTBLANK(OFFSET(N$1,,,SUMPRODUCT(MAX(ROW(R$1:R268)*(R2=R$1:R268))))))</f>
        <v/>
      </c>
      <c r="K291" s="25" t="str">
        <f aca="false">IF(OR(E291="",E291="!!!",F291="NEW"),"",INDEX(W$1:W268,SUMPRODUCT(MAX(ROW(R$1:R268)*(E291=R$1:R268)))))</f>
        <v/>
      </c>
      <c r="L291" s="26"/>
    </row>
    <row r="292" customFormat="false" ht="14.25" hidden="false" customHeight="false" outlineLevel="0" collapsed="false">
      <c r="A292" s="0" t="s">
        <v>368</v>
      </c>
      <c r="E292" s="21" t="str">
        <f aca="false">IF(Q270="?OLD","!!!","")</f>
        <v/>
      </c>
      <c r="F292" s="22" t="str">
        <f aca="false">IF(OR(E292="",E292="!!!"),"",IF(NOT(ISNA(VLOOKUP(E292,R$1:R269,1,FALSE()))),"OLD",IF(AND(E292&lt;&gt;"",E292&lt;&gt;"!!!"),"NEW","")))</f>
        <v/>
      </c>
      <c r="G292" s="23" t="str">
        <f aca="false"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aca="false">IF(J292&lt;&gt;1,"",IF(I292="SBJ","CB","?"))</f>
        <v/>
      </c>
      <c r="I292" s="25" t="str">
        <f aca="false">IF(OR(E292="",E292="!!!",F292="NEW"),"",INDEX(O$2:O269,-1+SUMPRODUCT(MAX(ROW(R$2:R269)*(E292=R$2:R269)))))</f>
        <v/>
      </c>
      <c r="J292" s="25" t="str">
        <f aca="true">IF(OR(E292="",E292="!!!",F292="NEW"),"",COUNTBLANK(OFFSET(N$1,,,SUMPRODUCT(MAX(ROW(R$2:R270)*(E292=R$2:R270)))))-COUNTBLANK(OFFSET(N$1,,,SUMPRODUCT(MAX(ROW(R$1:R269)*(R2=R$1:R269))))))</f>
        <v/>
      </c>
      <c r="K292" s="25" t="str">
        <f aca="false">IF(OR(E292="",E292="!!!",F292="NEW"),"",INDEX(W$1:W269,SUMPRODUCT(MAX(ROW(R$1:R269)*(E292=R$1:R269)))))</f>
        <v/>
      </c>
      <c r="L292" s="26"/>
      <c r="O292" s="20"/>
      <c r="P292" s="20"/>
      <c r="Q292" s="20"/>
    </row>
    <row r="293" customFormat="false" ht="14.25" hidden="false" customHeight="false" outlineLevel="0" collapsed="false">
      <c r="A293" s="0" t="s">
        <v>369</v>
      </c>
      <c r="E293" s="21" t="str">
        <f aca="false">IF(Q271="?OLD","!!!","")</f>
        <v/>
      </c>
      <c r="F293" s="22" t="str">
        <f aca="false">IF(OR(E293="",E293="!!!"),"",IF(NOT(ISNA(VLOOKUP(E293,R$1:R270,1,FALSE()))),"OLD",IF(AND(E293&lt;&gt;"",E293&lt;&gt;"!!!"),"NEW","")))</f>
        <v/>
      </c>
      <c r="G293" s="23" t="str">
        <f aca="false"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aca="false">IF(J293&lt;&gt;1,"",IF(I293="SBJ","CB","?"))</f>
        <v/>
      </c>
      <c r="I293" s="25" t="str">
        <f aca="false">IF(OR(E293="",E293="!!!",F293="NEW"),"",INDEX(O$2:O270,-1+SUMPRODUCT(MAX(ROW(R$2:R270)*(E293=R$2:R270)))))</f>
        <v/>
      </c>
      <c r="J293" s="25" t="str">
        <f aca="true">IF(OR(E293="",E293="!!!",F293="NEW"),"",COUNTBLANK(OFFSET(N$1,,,SUMPRODUCT(MAX(ROW(R$2:R271)*(E293=R$2:R271)))))-COUNTBLANK(OFFSET(N$1,,,SUMPRODUCT(MAX(ROW(R$1:R270)*(R2=R$1:R270))))))</f>
        <v/>
      </c>
      <c r="K293" s="25" t="str">
        <f aca="false">IF(OR(E293="",E293="!!!",F293="NEW"),"",INDEX(W$1:W270,SUMPRODUCT(MAX(ROW(R$1:R270)*(E293=R$1:R270)))))</f>
        <v/>
      </c>
      <c r="L293" s="26"/>
    </row>
    <row r="294" customFormat="false" ht="14.25" hidden="false" customHeight="false" outlineLevel="0" collapsed="false">
      <c r="A294" s="0" t="s">
        <v>370</v>
      </c>
      <c r="E294" s="21" t="str">
        <f aca="false">IF(Q272="?OLD","!!!","")</f>
        <v/>
      </c>
      <c r="F294" s="22" t="str">
        <f aca="false">IF(OR(E294="",E294="!!!"),"",IF(NOT(ISNA(VLOOKUP(E294,R$1:R271,1,FALSE()))),"OLD",IF(AND(E294&lt;&gt;"",E294&lt;&gt;"!!!"),"NEW","")))</f>
        <v/>
      </c>
      <c r="G294" s="23" t="str">
        <f aca="false"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aca="false">IF(J294&lt;&gt;1,"",IF(I294="SBJ","CB","?"))</f>
        <v/>
      </c>
      <c r="I294" s="25" t="str">
        <f aca="false">IF(OR(E294="",E294="!!!",F294="NEW"),"",INDEX(O$2:O271,-1+SUMPRODUCT(MAX(ROW(R$2:R271)*(E294=R$2:R271)))))</f>
        <v/>
      </c>
      <c r="J294" s="25" t="str">
        <f aca="true">IF(OR(E294="",E294="!!!",F294="NEW"),"",COUNTBLANK(OFFSET(N$1,,,SUMPRODUCT(MAX(ROW(R$2:R272)*(E294=R$2:R272)))))-COUNTBLANK(OFFSET(N$1,,,SUMPRODUCT(MAX(ROW(R$1:R271)*(R2=R$1:R271))))))</f>
        <v/>
      </c>
      <c r="K294" s="25" t="str">
        <f aca="false">IF(OR(E294="",E294="!!!",F294="NEW"),"",INDEX(W$1:W271,SUMPRODUCT(MAX(ROW(R$1:R271)*(E294=R$1:R271)))))</f>
        <v/>
      </c>
      <c r="L294" s="26"/>
    </row>
    <row r="295" customFormat="false" ht="14.25" hidden="false" customHeight="false" outlineLevel="0" collapsed="false">
      <c r="A295" s="0" t="s">
        <v>371</v>
      </c>
      <c r="B295" s="20" t="s">
        <v>187</v>
      </c>
      <c r="C295" s="20" t="s">
        <v>155</v>
      </c>
      <c r="E295" s="21"/>
      <c r="F295" s="22" t="str">
        <f aca="false">IF(OR(E295="",E295="!!!"),"",IF(NOT(ISNA(VLOOKUP(E295,R$1:R272,1,FALSE()))),"OLD",IF(AND(E295&lt;&gt;"",E295&lt;&gt;"!!!"),"NEW","")))</f>
        <v/>
      </c>
      <c r="G295" s="23" t="str">
        <f aca="false"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aca="false">IF(J295&lt;&gt;1,"",IF(I295="SBJ","CB","?"))</f>
        <v/>
      </c>
      <c r="I295" s="25" t="str">
        <f aca="false">IF(OR(E295="",E295="!!!",F295="NEW"),"",INDEX(O$2:O272,-1+SUMPRODUCT(MAX(ROW(R$2:R272)*(E295=R$2:R272)))))</f>
        <v/>
      </c>
      <c r="J295" s="25" t="str">
        <f aca="true">IF(OR(E295="",E295="!!!",F295="NEW"),"",COUNTBLANK(OFFSET(N$1,,,SUMPRODUCT(MAX(ROW(R$2:R273)*(E295=R$2:R273)))))-COUNTBLANK(OFFSET(N$1,,,SUMPRODUCT(MAX(ROW(R$1:R272)*(R2=R$1:R272))))))</f>
        <v/>
      </c>
      <c r="K295" s="25" t="str">
        <f aca="false">IF(OR(E295="",E295="!!!",F295="NEW"),"",INDEX(W$1:W272,SUMPRODUCT(MAX(ROW(R$1:R272)*(E295=R$1:R272)))))</f>
        <v/>
      </c>
      <c r="L295" s="26"/>
    </row>
    <row r="296" customFormat="false" ht="14.25" hidden="false" customHeight="false" outlineLevel="0" collapsed="false">
      <c r="A296" s="0" t="s">
        <v>372</v>
      </c>
      <c r="E296" s="21" t="str">
        <f aca="false">IF(Q274="?OLD","!!!","")</f>
        <v/>
      </c>
      <c r="F296" s="22" t="str">
        <f aca="false">IF(OR(E296="",E296="!!!"),"",IF(NOT(ISNA(VLOOKUP(E296,R$1:R273,1,FALSE()))),"OLD",IF(AND(E296&lt;&gt;"",E296&lt;&gt;"!!!"),"NEW","")))</f>
        <v/>
      </c>
      <c r="G296" s="23" t="str">
        <f aca="false"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aca="false">IF(J296&lt;&gt;1,"",IF(I296="SBJ","CB","?"))</f>
        <v/>
      </c>
      <c r="I296" s="25" t="str">
        <f aca="false">IF(OR(E296="",E296="!!!",F296="NEW"),"",INDEX(O$2:O273,-1+SUMPRODUCT(MAX(ROW(R$2:R273)*(E296=R$2:R273)))))</f>
        <v/>
      </c>
      <c r="J296" s="25" t="str">
        <f aca="true">IF(OR(E296="",E296="!!!",F296="NEW"),"",COUNTBLANK(OFFSET(N$1,,,SUMPRODUCT(MAX(ROW(R$2:R274)*(E296=R$2:R274)))))-COUNTBLANK(OFFSET(N$1,,,SUMPRODUCT(MAX(ROW(R$1:R273)*(R2=R$1:R273))))))</f>
        <v/>
      </c>
      <c r="K296" s="25" t="str">
        <f aca="false">IF(OR(E296="",E296="!!!",F296="NEW"),"",INDEX(W$1:W273,SUMPRODUCT(MAX(ROW(R$1:R273)*(E296=R$1:R273)))))</f>
        <v/>
      </c>
      <c r="L296" s="26"/>
    </row>
    <row r="297" customFormat="false" ht="14.25" hidden="false" customHeight="false" outlineLevel="0" collapsed="false">
      <c r="A297" s="0" t="s">
        <v>273</v>
      </c>
      <c r="E297" s="21" t="str">
        <f aca="false">IF(Q275="?OLD","!!!","")</f>
        <v/>
      </c>
      <c r="F297" s="22" t="str">
        <f aca="false">IF(OR(E297="",E297="!!!"),"",IF(NOT(ISNA(VLOOKUP(E297,R$1:R274,1,FALSE()))),"OLD",IF(AND(E297&lt;&gt;"",E297&lt;&gt;"!!!"),"NEW","")))</f>
        <v/>
      </c>
      <c r="G297" s="23" t="str">
        <f aca="false"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aca="false">IF(J297&lt;&gt;1,"",IF(I297="SBJ","CB","?"))</f>
        <v/>
      </c>
      <c r="I297" s="25" t="str">
        <f aca="false">IF(OR(E297="",E297="!!!",F297="NEW"),"",INDEX(O$2:O274,-1+SUMPRODUCT(MAX(ROW(R$2:R274)*(E297=R$2:R274)))))</f>
        <v/>
      </c>
      <c r="J297" s="25" t="str">
        <f aca="true">IF(OR(E297="",E297="!!!",F297="NEW"),"",COUNTBLANK(OFFSET(N$1,,,SUMPRODUCT(MAX(ROW(R$2:R275)*(E297=R$2:R275)))))-COUNTBLANK(OFFSET(N$1,,,SUMPRODUCT(MAX(ROW(R$1:R274)*(R2=R$1:R274))))))</f>
        <v/>
      </c>
      <c r="K297" s="25" t="str">
        <f aca="false">IF(OR(E297="",E297="!!!",F297="NEW"),"",INDEX(W$1:W274,SUMPRODUCT(MAX(ROW(R$1:R274)*(E297=R$1:R274)))))</f>
        <v/>
      </c>
      <c r="L297" s="26"/>
      <c r="O297" s="20"/>
      <c r="P297" s="20"/>
      <c r="Q297" s="20"/>
    </row>
    <row r="298" customFormat="false" ht="14.25" hidden="false" customHeight="false" outlineLevel="0" collapsed="false">
      <c r="A298" s="0" t="s">
        <v>373</v>
      </c>
      <c r="B298" s="20" t="s">
        <v>148</v>
      </c>
      <c r="C298" s="20" t="s">
        <v>172</v>
      </c>
      <c r="D298" s="20" t="s">
        <v>125</v>
      </c>
      <c r="E298" s="21" t="s">
        <v>374</v>
      </c>
      <c r="F298" s="22" t="str">
        <f aca="false">IF(OR(E298="",E298="!!!"),"",IF(NOT(ISNA(VLOOKUP(E298,R$1:R275,1,FALSE()))),"OLD",IF(AND(E298&lt;&gt;"",E298&lt;&gt;"!!!"),"NEW","")))</f>
        <v>NEW</v>
      </c>
      <c r="G298" s="23" t="str">
        <f aca="false"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?REFERENTIAL</v>
      </c>
      <c r="H298" s="24" t="str">
        <f aca="false">IF(J298&lt;&gt;1,"",IF(I298="SBJ","CB","?"))</f>
        <v/>
      </c>
      <c r="I298" s="25" t="str">
        <f aca="false">IF(OR(E298="",E298="!!!",F298="NEW"),"",INDEX(O$2:O275,-1+SUMPRODUCT(MAX(ROW(R$2:R275)*(E298=R$2:R275)))))</f>
        <v/>
      </c>
      <c r="J298" s="25" t="str">
        <f aca="true">IF(OR(E298="",E298="!!!",F298="NEW"),"",COUNTBLANK(OFFSET(N$1,,,SUMPRODUCT(MAX(ROW(R$2:R276)*(E298=R$2:R276)))))-COUNTBLANK(OFFSET(N$1,,,SUMPRODUCT(MAX(ROW(R$1:R275)*(R2=R$1:R275))))))</f>
        <v/>
      </c>
      <c r="K298" s="25" t="str">
        <f aca="false">IF(OR(E298="",E298="!!!",F298="NEW"),"",INDEX(W$1:W275,SUMPRODUCT(MAX(ROW(R$1:R275)*(E298=R$1:R275)))))</f>
        <v/>
      </c>
      <c r="L298" s="26"/>
    </row>
    <row r="299" customFormat="false" ht="14.25" hidden="false" customHeight="false" outlineLevel="0" collapsed="false">
      <c r="A299" s="0" t="s">
        <v>263</v>
      </c>
      <c r="E299" s="21" t="str">
        <f aca="false">IF(Q277="?OLD","!!!","")</f>
        <v/>
      </c>
      <c r="F299" s="22" t="str">
        <f aca="false">IF(OR(E299="",E299="!!!"),"",IF(NOT(ISNA(VLOOKUP(E299,R$1:R276,1,FALSE()))),"OLD",IF(AND(E299&lt;&gt;"",E299&lt;&gt;"!!!"),"NEW","")))</f>
        <v/>
      </c>
      <c r="G299" s="23" t="str">
        <f aca="false"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aca="false">IF(J299&lt;&gt;1,"",IF(I299="SBJ","CB","?"))</f>
        <v/>
      </c>
      <c r="I299" s="25" t="str">
        <f aca="false">IF(OR(E299="",E299="!!!",F299="NEW"),"",INDEX(O$2:O276,-1+SUMPRODUCT(MAX(ROW(R$2:R276)*(E299=R$2:R276)))))</f>
        <v/>
      </c>
      <c r="J299" s="25" t="str">
        <f aca="true">IF(OR(E299="",E299="!!!",F299="NEW"),"",COUNTBLANK(OFFSET(N$1,,,SUMPRODUCT(MAX(ROW(R$2:R277)*(E299=R$2:R277)))))-COUNTBLANK(OFFSET(N$1,,,SUMPRODUCT(MAX(ROW(R$1:R276)*(R2=R$1:R276))))))</f>
        <v/>
      </c>
      <c r="K299" s="25" t="str">
        <f aca="false">IF(OR(E299="",E299="!!!",F299="NEW"),"",INDEX(W$1:W276,SUMPRODUCT(MAX(ROW(R$1:R276)*(E299=R$1:R276)))))</f>
        <v/>
      </c>
      <c r="L299" s="26"/>
    </row>
    <row r="300" customFormat="false" ht="14.25" hidden="false" customHeight="false" outlineLevel="0" collapsed="false">
      <c r="A300" s="0" t="s">
        <v>375</v>
      </c>
      <c r="B300" s="20" t="s">
        <v>150</v>
      </c>
      <c r="C300" s="20" t="s">
        <v>172</v>
      </c>
      <c r="D300" s="20" t="s">
        <v>125</v>
      </c>
      <c r="E300" s="21" t="s">
        <v>346</v>
      </c>
      <c r="F300" s="22" t="str">
        <f aca="false">IF(OR(E300="",E300="!!!"),"",IF(NOT(ISNA(VLOOKUP(E300,R$1:R277,1,FALSE()))),"OLD",IF(AND(E300&lt;&gt;"",E300&lt;&gt;"!!!"),"NEW","")))</f>
        <v>NEW</v>
      </c>
      <c r="G300" s="23" t="str">
        <f aca="false"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?REFERENTIAL</v>
      </c>
      <c r="H300" s="24" t="str">
        <f aca="false">IF(J300&lt;&gt;1,"",IF(I300="SBJ","CB","?"))</f>
        <v/>
      </c>
      <c r="I300" s="25" t="str">
        <f aca="false">IF(OR(E300="",E300="!!!",F300="NEW"),"",INDEX(O$2:O277,-1+SUMPRODUCT(MAX(ROW(R$2:R277)*(E300=R$2:R277)))))</f>
        <v/>
      </c>
      <c r="J300" s="25" t="str">
        <f aca="true">IF(OR(E300="",E300="!!!",F300="NEW"),"",COUNTBLANK(OFFSET(N$1,,,SUMPRODUCT(MAX(ROW(R$2:R278)*(E300=R$2:R278)))))-COUNTBLANK(OFFSET(N$1,,,SUMPRODUCT(MAX(ROW(R$1:R277)*(R2=R$1:R277))))))</f>
        <v/>
      </c>
      <c r="K300" s="25" t="str">
        <f aca="false">IF(OR(E300="",E300="!!!",F300="NEW"),"",INDEX(W$1:W277,SUMPRODUCT(MAX(ROW(R$1:R277)*(E300=R$1:R277)))))</f>
        <v/>
      </c>
      <c r="L300" s="26"/>
    </row>
    <row r="301" customFormat="false" ht="14.25" hidden="false" customHeight="false" outlineLevel="0" collapsed="false">
      <c r="A301" s="0" t="s">
        <v>376</v>
      </c>
      <c r="E301" s="21" t="str">
        <f aca="false">IF(Q279="?OLD","!!!","")</f>
        <v/>
      </c>
      <c r="F301" s="22" t="str">
        <f aca="false">IF(OR(E301="",E301="!!!"),"",IF(NOT(ISNA(VLOOKUP(E301,R$1:R278,1,FALSE()))),"OLD",IF(AND(E301&lt;&gt;"",E301&lt;&gt;"!!!"),"NEW","")))</f>
        <v/>
      </c>
      <c r="G301" s="23" t="str">
        <f aca="false"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aca="false">IF(J301&lt;&gt;1,"",IF(I301="SBJ","CB","?"))</f>
        <v/>
      </c>
      <c r="I301" s="25" t="str">
        <f aca="false">IF(OR(E301="",E301="!!!",F301="NEW"),"",INDEX(O$2:O278,-1+SUMPRODUCT(MAX(ROW(R$2:R278)*(E301=R$2:R278)))))</f>
        <v/>
      </c>
      <c r="J301" s="25" t="str">
        <f aca="true">IF(OR(E301="",E301="!!!",F301="NEW"),"",COUNTBLANK(OFFSET(N$1,,,SUMPRODUCT(MAX(ROW(R$2:R279)*(E301=R$2:R279)))))-COUNTBLANK(OFFSET(N$1,,,SUMPRODUCT(MAX(ROW(R$1:R278)*(R2=R$1:R278))))))</f>
        <v/>
      </c>
      <c r="K301" s="25" t="str">
        <f aca="false">IF(OR(E301="",E301="!!!",F301="NEW"),"",INDEX(W$1:W278,SUMPRODUCT(MAX(ROW(R$1:R278)*(E301=R$1:R278)))))</f>
        <v/>
      </c>
      <c r="L301" s="26"/>
    </row>
    <row r="302" customFormat="false" ht="14.25" hidden="false" customHeight="false" outlineLevel="0" collapsed="false">
      <c r="A302" s="0" t="s">
        <v>138</v>
      </c>
      <c r="E302" s="21" t="str">
        <f aca="false">IF(Q280="?OLD","!!!","")</f>
        <v/>
      </c>
      <c r="F302" s="22" t="str">
        <f aca="false">IF(OR(E302="",E302="!!!"),"",IF(NOT(ISNA(VLOOKUP(E302,R$1:R279,1,FALSE()))),"OLD",IF(AND(E302&lt;&gt;"",E302&lt;&gt;"!!!"),"NEW","")))</f>
        <v/>
      </c>
      <c r="G302" s="23" t="str">
        <f aca="false"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aca="false">IF(J302&lt;&gt;1,"",IF(I302="SBJ","CB","?"))</f>
        <v/>
      </c>
      <c r="I302" s="25" t="str">
        <f aca="false">IF(OR(E302="",E302="!!!",F302="NEW"),"",INDEX(O$2:O279,-1+SUMPRODUCT(MAX(ROW(R$2:R279)*(E302=R$2:R279)))))</f>
        <v/>
      </c>
      <c r="J302" s="25" t="str">
        <f aca="true">IF(OR(E302="",E302="!!!",F302="NEW"),"",COUNTBLANK(OFFSET(N$1,,,SUMPRODUCT(MAX(ROW(R$2:R280)*(E302=R$2:R280)))))-COUNTBLANK(OFFSET(N$1,,,SUMPRODUCT(MAX(ROW(R$1:R279)*(R2=R$1:R279))))))</f>
        <v/>
      </c>
      <c r="K302" s="25" t="str">
        <f aca="false">IF(OR(E302="",E302="!!!",F302="NEW"),"",INDEX(W$1:W279,SUMPRODUCT(MAX(ROW(R$1:R279)*(E302=R$1:R279)))))</f>
        <v/>
      </c>
      <c r="L302" s="26"/>
      <c r="O302" s="20"/>
      <c r="P302" s="20"/>
      <c r="Q302" s="20"/>
    </row>
    <row r="303" customFormat="false" ht="14.25" hidden="false" customHeight="false" outlineLevel="0" collapsed="false">
      <c r="A303" s="0" t="s">
        <v>377</v>
      </c>
      <c r="E303" s="21" t="str">
        <f aca="false">IF(Q281="?OLD","!!!","")</f>
        <v/>
      </c>
      <c r="F303" s="22" t="str">
        <f aca="false">IF(OR(E303="",E303="!!!"),"",IF(NOT(ISNA(VLOOKUP(E303,R$1:R280,1,FALSE()))),"OLD",IF(AND(E303&lt;&gt;"",E303&lt;&gt;"!!!"),"NEW","")))</f>
        <v/>
      </c>
      <c r="G303" s="23" t="str">
        <f aca="false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aca="false">IF(J303&lt;&gt;1,"",IF(I303="SBJ","CB","?"))</f>
        <v/>
      </c>
      <c r="I303" s="25" t="str">
        <f aca="false">IF(OR(E303="",E303="!!!",F303="NEW"),"",INDEX(O$2:O280,-1+SUMPRODUCT(MAX(ROW(R$2:R280)*(E303=R$2:R280)))))</f>
        <v/>
      </c>
      <c r="J303" s="25" t="str">
        <f aca="true">IF(OR(E303="",E303="!!!",F303="NEW"),"",COUNTBLANK(OFFSET(N$1,,,SUMPRODUCT(MAX(ROW(R$2:R281)*(E303=R$2:R281)))))-COUNTBLANK(OFFSET(N$1,,,SUMPRODUCT(MAX(ROW(R$1:R280)*(R2=R$1:R280))))))</f>
        <v/>
      </c>
      <c r="K303" s="25" t="str">
        <f aca="false">IF(OR(E303="",E303="!!!",F303="NEW"),"",INDEX(W$1:W280,SUMPRODUCT(MAX(ROW(R$1:R280)*(E303=R$1:R280)))))</f>
        <v/>
      </c>
      <c r="L303" s="26"/>
    </row>
    <row r="304" customFormat="false" ht="14.25" hidden="false" customHeight="false" outlineLevel="0" collapsed="false">
      <c r="A304" s="0" t="s">
        <v>378</v>
      </c>
      <c r="B304" s="20" t="s">
        <v>224</v>
      </c>
      <c r="C304" s="20" t="s">
        <v>155</v>
      </c>
      <c r="E304" s="21"/>
      <c r="F304" s="22" t="str">
        <f aca="false">IF(OR(E304="",E304="!!!"),"",IF(NOT(ISNA(VLOOKUP(E304,R$1:R281,1,FALSE()))),"OLD",IF(AND(E304&lt;&gt;"",E304&lt;&gt;"!!!"),"NEW","")))</f>
        <v/>
      </c>
      <c r="G304" s="23" t="str">
        <f aca="false"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aca="false">IF(J304&lt;&gt;1,"",IF(I304="SBJ","CB","?"))</f>
        <v/>
      </c>
      <c r="I304" s="25" t="str">
        <f aca="false">IF(OR(E304="",E304="!!!",F304="NEW"),"",INDEX(O$2:O281,-1+SUMPRODUCT(MAX(ROW(R$2:R281)*(E304=R$2:R281)))))</f>
        <v/>
      </c>
      <c r="J304" s="25" t="str">
        <f aca="true">IF(OR(E304="",E304="!!!",F304="NEW"),"",COUNTBLANK(OFFSET(N$1,,,SUMPRODUCT(MAX(ROW(R$2:R282)*(E304=R$2:R282)))))-COUNTBLANK(OFFSET(N$1,,,SUMPRODUCT(MAX(ROW(R$1:R281)*(R2=R$1:R281))))))</f>
        <v/>
      </c>
      <c r="K304" s="25" t="str">
        <f aca="false">IF(OR(E304="",E304="!!!",F304="NEW"),"",INDEX(W$1:W281,SUMPRODUCT(MAX(ROW(R$1:R281)*(E304=R$1:R281)))))</f>
        <v/>
      </c>
      <c r="L304" s="26"/>
      <c r="O304" s="20"/>
      <c r="P304" s="20"/>
      <c r="Q304" s="20"/>
    </row>
    <row r="305" customFormat="false" ht="14.25" hidden="false" customHeight="false" outlineLevel="0" collapsed="false">
      <c r="A305" s="0" t="s">
        <v>138</v>
      </c>
      <c r="E305" s="21" t="str">
        <f aca="false">IF(Q283="?OLD","!!!","")</f>
        <v/>
      </c>
      <c r="F305" s="22" t="str">
        <f aca="false">IF(OR(E305="",E305="!!!"),"",IF(NOT(ISNA(VLOOKUP(E305,R$1:R282,1,FALSE()))),"OLD",IF(AND(E305&lt;&gt;"",E305&lt;&gt;"!!!"),"NEW","")))</f>
        <v/>
      </c>
      <c r="G305" s="23" t="str">
        <f aca="false"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aca="false">IF(J305&lt;&gt;1,"",IF(I305="SBJ","CB","?"))</f>
        <v/>
      </c>
      <c r="I305" s="25" t="str">
        <f aca="false">IF(OR(E305="",E305="!!!",F305="NEW"),"",INDEX(O$2:O282,-1+SUMPRODUCT(MAX(ROW(R$2:R282)*(E305=R$2:R282)))))</f>
        <v/>
      </c>
      <c r="J305" s="25" t="str">
        <f aca="true">IF(OR(E305="",E305="!!!",F305="NEW"),"",COUNTBLANK(OFFSET(N$1,,,SUMPRODUCT(MAX(ROW(R$2:R283)*(E305=R$2:R283)))))-COUNTBLANK(OFFSET(N$1,,,SUMPRODUCT(MAX(ROW(R$1:R282)*(R2=R$1:R282))))))</f>
        <v/>
      </c>
      <c r="K305" s="25" t="str">
        <f aca="false">IF(OR(E305="",E305="!!!",F305="NEW"),"",INDEX(W$1:W282,SUMPRODUCT(MAX(ROW(R$1:R282)*(E305=R$1:R282)))))</f>
        <v/>
      </c>
      <c r="L305" s="26"/>
    </row>
    <row r="306" customFormat="false" ht="14.25" hidden="false" customHeight="false" outlineLevel="0" collapsed="false">
      <c r="A306" s="0" t="s">
        <v>379</v>
      </c>
      <c r="B306" s="20" t="s">
        <v>150</v>
      </c>
      <c r="C306" s="20" t="s">
        <v>155</v>
      </c>
      <c r="E306" s="21" t="str">
        <f aca="false">IF(Q284="?OLD","!!!","")</f>
        <v/>
      </c>
      <c r="F306" s="22" t="str">
        <f aca="false">IF(OR(E306="",E306="!!!"),"",IF(NOT(ISNA(VLOOKUP(E306,R$1:R283,1,FALSE()))),"OLD",IF(AND(E306&lt;&gt;"",E306&lt;&gt;"!!!"),"NEW","")))</f>
        <v/>
      </c>
      <c r="G306" s="23" t="str">
        <f aca="false"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aca="false">IF(J306&lt;&gt;1,"",IF(I306="SBJ","CB","?"))</f>
        <v/>
      </c>
      <c r="I306" s="25" t="str">
        <f aca="false">IF(OR(E306="",E306="!!!",F306="NEW"),"",INDEX(O$2:O283,-1+SUMPRODUCT(MAX(ROW(R$2:R283)*(E306=R$2:R283)))))</f>
        <v/>
      </c>
      <c r="J306" s="25" t="str">
        <f aca="true">IF(OR(E306="",E306="!!!",F306="NEW"),"",COUNTBLANK(OFFSET(N$1,,,SUMPRODUCT(MAX(ROW(R$2:R284)*(E306=R$2:R284)))))-COUNTBLANK(OFFSET(N$1,,,SUMPRODUCT(MAX(ROW(R$1:R283)*(R2=R$1:R283))))))</f>
        <v/>
      </c>
      <c r="K306" s="25" t="str">
        <f aca="false">IF(OR(E306="",E306="!!!",F306="NEW"),"",INDEX(W$1:W283,SUMPRODUCT(MAX(ROW(R$1:R283)*(E306=R$1:R283)))))</f>
        <v/>
      </c>
      <c r="L306" s="26"/>
    </row>
    <row r="307" customFormat="false" ht="14.25" hidden="false" customHeight="false" outlineLevel="0" collapsed="false">
      <c r="A307" s="0" t="s">
        <v>160</v>
      </c>
      <c r="E307" s="21" t="str">
        <f aca="false">IF(Q285="?OLD","!!!","")</f>
        <v/>
      </c>
      <c r="F307" s="22" t="str">
        <f aca="false">IF(OR(E307="",E307="!!!"),"",IF(NOT(ISNA(VLOOKUP(E307,R$1:R284,1,FALSE()))),"OLD",IF(AND(E307&lt;&gt;"",E307&lt;&gt;"!!!"),"NEW","")))</f>
        <v/>
      </c>
      <c r="G307" s="23" t="str">
        <f aca="false"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aca="false">IF(J307&lt;&gt;1,"",IF(I307="SBJ","CB","?"))</f>
        <v/>
      </c>
      <c r="I307" s="25" t="str">
        <f aca="false">IF(OR(E307="",E307="!!!",F307="NEW"),"",INDEX(O$2:O284,-1+SUMPRODUCT(MAX(ROW(R$2:R284)*(E307=R$2:R284)))))</f>
        <v/>
      </c>
      <c r="J307" s="25" t="str">
        <f aca="true">IF(OR(E307="",E307="!!!",F307="NEW"),"",COUNTBLANK(OFFSET(N$1,,,SUMPRODUCT(MAX(ROW(R$2:R285)*(E307=R$2:R285)))))-COUNTBLANK(OFFSET(N$1,,,SUMPRODUCT(MAX(ROW(R$1:R284)*(R2=R$1:R284))))))</f>
        <v/>
      </c>
      <c r="K307" s="25" t="str">
        <f aca="false">IF(OR(E307="",E307="!!!",F307="NEW"),"",INDEX(W$1:W284,SUMPRODUCT(MAX(ROW(R$1:R284)*(E307=R$1:R284)))))</f>
        <v/>
      </c>
      <c r="L307" s="26"/>
    </row>
    <row r="309" customFormat="false" ht="14.25" hidden="false" customHeight="false" outlineLevel="0" collapsed="false">
      <c r="A309" s="0" t="s">
        <v>380</v>
      </c>
      <c r="O309" s="20"/>
      <c r="P309" s="20"/>
      <c r="Q309" s="20"/>
    </row>
    <row r="310" customFormat="false" ht="14.25" hidden="false" customHeight="false" outlineLevel="0" collapsed="false">
      <c r="A310" s="0" t="s">
        <v>381</v>
      </c>
      <c r="E310" s="21" t="str">
        <f aca="false">IF(Q286="?OLD","!!!","")</f>
        <v/>
      </c>
      <c r="F310" s="22" t="str">
        <f aca="false">IF(OR(E310="",E310="!!!"),"",IF(NOT(ISNA(VLOOKUP(E310,R$1:R285,1,FALSE()))),"OLD",IF(AND(E310&lt;&gt;"",E310&lt;&gt;"!!!"),"NEW","")))</f>
        <v/>
      </c>
      <c r="G310" s="23" t="str">
        <f aca="false"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aca="false">IF(J310&lt;&gt;1,"",IF(I310="SBJ","CB","?"))</f>
        <v/>
      </c>
      <c r="I310" s="25" t="str">
        <f aca="false">IF(OR(E310="",E310="!!!",F310="NEW"),"",INDEX(O$2:O285,-1+SUMPRODUCT(MAX(ROW(R$2:R285)*(E310=R$2:R285)))))</f>
        <v/>
      </c>
      <c r="J310" s="25" t="str">
        <f aca="true">IF(OR(E310="",E310="!!!",F310="NEW"),"",COUNTBLANK(OFFSET(N$1,,,SUMPRODUCT(MAX(ROW(R$2:R286)*(E310=R$2:R286)))))-COUNTBLANK(OFFSET(N$1,,,SUMPRODUCT(MAX(ROW(R$1:R285)*(R2=R$1:R285))))))</f>
        <v/>
      </c>
      <c r="K310" s="25" t="str">
        <f aca="false">IF(OR(E310="",E310="!!!",F310="NEW"),"",INDEX(W$1:W285,SUMPRODUCT(MAX(ROW(R$1:R285)*(E310=R$1:R285)))))</f>
        <v/>
      </c>
      <c r="L310" s="26"/>
    </row>
    <row r="311" customFormat="false" ht="14.25" hidden="false" customHeight="false" outlineLevel="0" collapsed="false">
      <c r="A311" s="0" t="s">
        <v>382</v>
      </c>
      <c r="E311" s="21" t="str">
        <f aca="false">IF(Q287="?OLD","!!!","")</f>
        <v/>
      </c>
      <c r="F311" s="22" t="str">
        <f aca="false">IF(OR(E311="",E311="!!!"),"",IF(NOT(ISNA(VLOOKUP(E311,R$1:R286,1,FALSE()))),"OLD",IF(AND(E311&lt;&gt;"",E311&lt;&gt;"!!!"),"NEW","")))</f>
        <v/>
      </c>
      <c r="G311" s="23" t="str">
        <f aca="false"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aca="false">IF(J311&lt;&gt;1,"",IF(I311="SBJ","CB","?"))</f>
        <v/>
      </c>
      <c r="I311" s="25" t="str">
        <f aca="false">IF(OR(E311="",E311="!!!",F311="NEW"),"",INDEX(O$2:O286,-1+SUMPRODUCT(MAX(ROW(R$2:R286)*(E311=R$2:R286)))))</f>
        <v/>
      </c>
      <c r="J311" s="25" t="str">
        <f aca="true">IF(OR(E311="",E311="!!!",F311="NEW"),"",COUNTBLANK(OFFSET(N$1,,,SUMPRODUCT(MAX(ROW(R$2:R287)*(E311=R$2:R287)))))-COUNTBLANK(OFFSET(N$1,,,SUMPRODUCT(MAX(ROW(R$1:R286)*(R2=R$1:R286))))))</f>
        <v/>
      </c>
      <c r="K311" s="25" t="str">
        <f aca="false">IF(OR(E311="",E311="!!!",F311="NEW"),"",INDEX(W$1:W286,SUMPRODUCT(MAX(ROW(R$1:R286)*(E311=R$1:R286)))))</f>
        <v/>
      </c>
      <c r="L311" s="26"/>
    </row>
    <row r="312" customFormat="false" ht="14.25" hidden="false" customHeight="false" outlineLevel="0" collapsed="false">
      <c r="A312" s="0" t="s">
        <v>140</v>
      </c>
      <c r="E312" s="21" t="str">
        <f aca="false">IF(Q288="?OLD","!!!","")</f>
        <v/>
      </c>
      <c r="F312" s="22" t="str">
        <f aca="false">IF(OR(E312="",E312="!!!"),"",IF(NOT(ISNA(VLOOKUP(E312,R$1:R287,1,FALSE()))),"OLD",IF(AND(E312&lt;&gt;"",E312&lt;&gt;"!!!"),"NEW","")))</f>
        <v/>
      </c>
      <c r="G312" s="23" t="str">
        <f aca="false"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aca="false">IF(J312&lt;&gt;1,"",IF(I312="SBJ","CB","?"))</f>
        <v/>
      </c>
      <c r="I312" s="25" t="str">
        <f aca="false">IF(OR(E312="",E312="!!!",F312="NEW"),"",INDEX(O$2:O287,-1+SUMPRODUCT(MAX(ROW(R$2:R287)*(E312=R$2:R287)))))</f>
        <v/>
      </c>
      <c r="J312" s="25" t="str">
        <f aca="true">IF(OR(E312="",E312="!!!",F312="NEW"),"",COUNTBLANK(OFFSET(N$1,,,SUMPRODUCT(MAX(ROW(R$2:R288)*(E312=R$2:R288)))))-COUNTBLANK(OFFSET(N$1,,,SUMPRODUCT(MAX(ROW(R$1:R287)*(R2=R$1:R287))))))</f>
        <v/>
      </c>
      <c r="K312" s="25" t="str">
        <f aca="false">IF(OR(E312="",E312="!!!",F312="NEW"),"",INDEX(W$1:W287,SUMPRODUCT(MAX(ROW(R$1:R287)*(E312=R$1:R287)))))</f>
        <v/>
      </c>
      <c r="L312" s="26"/>
    </row>
    <row r="313" customFormat="false" ht="14.25" hidden="false" customHeight="false" outlineLevel="0" collapsed="false">
      <c r="A313" s="0" t="s">
        <v>277</v>
      </c>
      <c r="E313" s="21" t="str">
        <f aca="false">IF(Q289="?OLD","!!!","")</f>
        <v/>
      </c>
      <c r="F313" s="22" t="str">
        <f aca="false">IF(OR(E313="",E313="!!!"),"",IF(NOT(ISNA(VLOOKUP(E313,R$1:R288,1,FALSE()))),"OLD",IF(AND(E313&lt;&gt;"",E313&lt;&gt;"!!!"),"NEW","")))</f>
        <v/>
      </c>
      <c r="G313" s="23" t="str">
        <f aca="false"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aca="false">IF(J313&lt;&gt;1,"",IF(I313="SBJ","CB","?"))</f>
        <v/>
      </c>
      <c r="I313" s="25" t="str">
        <f aca="false">IF(OR(E313="",E313="!!!",F313="NEW"),"",INDEX(O$2:O288,-1+SUMPRODUCT(MAX(ROW(R$2:R288)*(E313=R$2:R288)))))</f>
        <v/>
      </c>
      <c r="J313" s="25" t="str">
        <f aca="true">IF(OR(E313="",E313="!!!",F313="NEW"),"",COUNTBLANK(OFFSET(N$1,,,SUMPRODUCT(MAX(ROW(R$2:R289)*(E313=R$2:R289)))))-COUNTBLANK(OFFSET(N$1,,,SUMPRODUCT(MAX(ROW(R$1:R288)*(R2=R$1:R288))))))</f>
        <v/>
      </c>
      <c r="K313" s="25" t="str">
        <f aca="false">IF(OR(E313="",E313="!!!",F313="NEW"),"",INDEX(W$1:W288,SUMPRODUCT(MAX(ROW(R$1:R288)*(E313=R$1:R288)))))</f>
        <v/>
      </c>
      <c r="L313" s="26"/>
    </row>
    <row r="314" customFormat="false" ht="14.25" hidden="false" customHeight="false" outlineLevel="0" collapsed="false">
      <c r="A314" s="0" t="s">
        <v>383</v>
      </c>
      <c r="E314" s="21" t="str">
        <f aca="false">IF(Q290="?OLD","!!!","")</f>
        <v/>
      </c>
      <c r="F314" s="22" t="str">
        <f aca="false">IF(OR(E314="",E314="!!!"),"",IF(NOT(ISNA(VLOOKUP(E314,R$1:R289,1,FALSE()))),"OLD",IF(AND(E314&lt;&gt;"",E314&lt;&gt;"!!!"),"NEW","")))</f>
        <v/>
      </c>
      <c r="G314" s="23" t="str">
        <f aca="false"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aca="false">IF(J314&lt;&gt;1,"",IF(I314="SBJ","CB","?"))</f>
        <v/>
      </c>
      <c r="I314" s="25" t="str">
        <f aca="false">IF(OR(E314="",E314="!!!",F314="NEW"),"",INDEX(O$2:O289,-1+SUMPRODUCT(MAX(ROW(R$2:R289)*(E314=R$2:R289)))))</f>
        <v/>
      </c>
      <c r="J314" s="25" t="str">
        <f aca="true">IF(OR(E314="",E314="!!!",F314="NEW"),"",COUNTBLANK(OFFSET(N$1,,,SUMPRODUCT(MAX(ROW(R$2:R290)*(E314=R$2:R290)))))-COUNTBLANK(OFFSET(N$1,,,SUMPRODUCT(MAX(ROW(R$1:R289)*(R2=R$1:R289))))))</f>
        <v/>
      </c>
      <c r="K314" s="25" t="str">
        <f aca="false">IF(OR(E314="",E314="!!!",F314="NEW"),"",INDEX(W$1:W289,SUMPRODUCT(MAX(ROW(R$1:R289)*(E314=R$1:R289)))))</f>
        <v/>
      </c>
      <c r="L314" s="26"/>
    </row>
    <row r="315" customFormat="false" ht="14.25" hidden="false" customHeight="false" outlineLevel="0" collapsed="false">
      <c r="A315" s="0" t="s">
        <v>273</v>
      </c>
      <c r="E315" s="21" t="str">
        <f aca="false">IF(Q291="?OLD","!!!","")</f>
        <v/>
      </c>
      <c r="F315" s="22" t="str">
        <f aca="false">IF(OR(E315="",E315="!!!"),"",IF(NOT(ISNA(VLOOKUP(E315,R$1:R290,1,FALSE()))),"OLD",IF(AND(E315&lt;&gt;"",E315&lt;&gt;"!!!"),"NEW","")))</f>
        <v/>
      </c>
      <c r="G315" s="23" t="str">
        <f aca="false"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aca="false">IF(J315&lt;&gt;1,"",IF(I315="SBJ","CB","?"))</f>
        <v/>
      </c>
      <c r="I315" s="25" t="str">
        <f aca="false">IF(OR(E315="",E315="!!!",F315="NEW"),"",INDEX(O$2:O290,-1+SUMPRODUCT(MAX(ROW(R$2:R290)*(E315=R$2:R290)))))</f>
        <v/>
      </c>
      <c r="J315" s="25" t="str">
        <f aca="true">IF(OR(E315="",E315="!!!",F315="NEW"),"",COUNTBLANK(OFFSET(N$1,,,SUMPRODUCT(MAX(ROW(R$2:R291)*(E315=R$2:R291)))))-COUNTBLANK(OFFSET(N$1,,,SUMPRODUCT(MAX(ROW(R$1:R290)*(R2=R$1:R290))))))</f>
        <v/>
      </c>
      <c r="K315" s="25" t="str">
        <f aca="false">IF(OR(E315="",E315="!!!",F315="NEW"),"",INDEX(W$1:W290,SUMPRODUCT(MAX(ROW(R$1:R290)*(E315=R$1:R290)))))</f>
        <v/>
      </c>
      <c r="L315" s="26"/>
    </row>
    <row r="316" customFormat="false" ht="14.25" hidden="false" customHeight="false" outlineLevel="0" collapsed="false">
      <c r="A316" s="0" t="s">
        <v>384</v>
      </c>
      <c r="B316" s="20" t="s">
        <v>187</v>
      </c>
      <c r="C316" s="20" t="s">
        <v>172</v>
      </c>
      <c r="D316" s="20" t="s">
        <v>125</v>
      </c>
      <c r="E316" s="21" t="s">
        <v>299</v>
      </c>
      <c r="F316" s="22" t="str">
        <f aca="false">IF(OR(E316="",E316="!!!"),"",IF(NOT(ISNA(VLOOKUP(E316,R$1:R291,1,FALSE()))),"OLD",IF(AND(E316&lt;&gt;"",E316&lt;&gt;"!!!"),"NEW","")))</f>
        <v>NEW</v>
      </c>
      <c r="G316" s="23" t="str">
        <f aca="false"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?REFERENTIAL</v>
      </c>
      <c r="H316" s="24" t="str">
        <f aca="false">IF(J316&lt;&gt;1,"",IF(I316="SBJ","CB","?"))</f>
        <v/>
      </c>
      <c r="I316" s="25" t="str">
        <f aca="false">IF(OR(E316="",E316="!!!",F316="NEW"),"",INDEX(O$2:O291,-1+SUMPRODUCT(MAX(ROW(R$2:R291)*(E316=R$2:R291)))))</f>
        <v/>
      </c>
      <c r="J316" s="25" t="str">
        <f aca="true">IF(OR(E316="",E316="!!!",F316="NEW"),"",COUNTBLANK(OFFSET(N$1,,,SUMPRODUCT(MAX(ROW(R$2:R292)*(E316=R$2:R292)))))-COUNTBLANK(OFFSET(N$1,,,SUMPRODUCT(MAX(ROW(R$1:R291)*(R2=R$1:R291))))))</f>
        <v/>
      </c>
      <c r="K316" s="25" t="str">
        <f aca="false">IF(OR(E316="",E316="!!!",F316="NEW"),"",INDEX(W$1:W291,SUMPRODUCT(MAX(ROW(R$1:R291)*(E316=R$1:R291)))))</f>
        <v/>
      </c>
      <c r="L316" s="26" t="s">
        <v>385</v>
      </c>
    </row>
    <row r="317" customFormat="false" ht="14.25" hidden="false" customHeight="false" outlineLevel="0" collapsed="false">
      <c r="A317" s="0" t="s">
        <v>163</v>
      </c>
      <c r="E317" s="21" t="str">
        <f aca="false">IF(Q293="?OLD","!!!","")</f>
        <v/>
      </c>
      <c r="F317" s="22" t="str">
        <f aca="false">IF(OR(E317="",E317="!!!"),"",IF(NOT(ISNA(VLOOKUP(E317,R$1:R292,1,FALSE()))),"OLD",IF(AND(E317&lt;&gt;"",E317&lt;&gt;"!!!"),"NEW","")))</f>
        <v/>
      </c>
      <c r="G317" s="23" t="str">
        <f aca="false"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aca="false">IF(J317&lt;&gt;1,"",IF(I317="SBJ","CB","?"))</f>
        <v/>
      </c>
      <c r="I317" s="25" t="str">
        <f aca="false">IF(OR(E317="",E317="!!!",F317="NEW"),"",INDEX(O$2:O292,-1+SUMPRODUCT(MAX(ROW(R$2:R292)*(E317=R$2:R292)))))</f>
        <v/>
      </c>
      <c r="J317" s="25" t="str">
        <f aca="true">IF(OR(E317="",E317="!!!",F317="NEW"),"",COUNTBLANK(OFFSET(N$1,,,SUMPRODUCT(MAX(ROW(R$2:R293)*(E317=R$2:R293)))))-COUNTBLANK(OFFSET(N$1,,,SUMPRODUCT(MAX(ROW(R$1:R292)*(R2=R$1:R292))))))</f>
        <v/>
      </c>
      <c r="K317" s="25" t="str">
        <f aca="false">IF(OR(E317="",E317="!!!",F317="NEW"),"",INDEX(W$1:W292,SUMPRODUCT(MAX(ROW(R$1:R292)*(E317=R$1:R292)))))</f>
        <v/>
      </c>
      <c r="L317" s="26"/>
    </row>
    <row r="318" customFormat="false" ht="14.25" hidden="false" customHeight="false" outlineLevel="0" collapsed="false">
      <c r="A318" s="0" t="s">
        <v>140</v>
      </c>
      <c r="E318" s="21" t="str">
        <f aca="false">IF(Q294="?OLD","!!!","")</f>
        <v/>
      </c>
      <c r="F318" s="22" t="str">
        <f aca="false">IF(OR(E318="",E318="!!!"),"",IF(NOT(ISNA(VLOOKUP(E318,R$1:R293,1,FALSE()))),"OLD",IF(AND(E318&lt;&gt;"",E318&lt;&gt;"!!!"),"NEW","")))</f>
        <v/>
      </c>
      <c r="G318" s="23" t="str">
        <f aca="false"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aca="false">IF(J318&lt;&gt;1,"",IF(I318="SBJ","CB","?"))</f>
        <v/>
      </c>
      <c r="I318" s="25" t="str">
        <f aca="false">IF(OR(E318="",E318="!!!",F318="NEW"),"",INDEX(O$2:O293,-1+SUMPRODUCT(MAX(ROW(R$2:R293)*(E318=R$2:R293)))))</f>
        <v/>
      </c>
      <c r="J318" s="25" t="str">
        <f aca="true">IF(OR(E318="",E318="!!!",F318="NEW"),"",COUNTBLANK(OFFSET(N$1,,,SUMPRODUCT(MAX(ROW(R$2:R294)*(E318=R$2:R294)))))-COUNTBLANK(OFFSET(N$1,,,SUMPRODUCT(MAX(ROW(R$1:R293)*(R2=R$1:R293))))))</f>
        <v/>
      </c>
      <c r="K318" s="25" t="str">
        <f aca="false">IF(OR(E318="",E318="!!!",F318="NEW"),"",INDEX(W$1:W293,SUMPRODUCT(MAX(ROW(R$1:R293)*(E318=R$1:R293)))))</f>
        <v/>
      </c>
      <c r="L318" s="26"/>
      <c r="O318" s="20"/>
      <c r="P318" s="20"/>
      <c r="Q318" s="20"/>
    </row>
    <row r="319" customFormat="false" ht="14.25" hidden="false" customHeight="false" outlineLevel="0" collapsed="false">
      <c r="A319" s="0" t="s">
        <v>350</v>
      </c>
      <c r="E319" s="21" t="str">
        <f aca="false">IF(Q295="?OLD","!!!","")</f>
        <v/>
      </c>
      <c r="F319" s="22" t="str">
        <f aca="false">IF(OR(E319="",E319="!!!"),"",IF(NOT(ISNA(VLOOKUP(E319,R$1:R294,1,FALSE()))),"OLD",IF(AND(E319&lt;&gt;"",E319&lt;&gt;"!!!"),"NEW","")))</f>
        <v/>
      </c>
      <c r="G319" s="23" t="str">
        <f aca="false"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aca="false">IF(J319&lt;&gt;1,"",IF(I319="SBJ","CB","?"))</f>
        <v/>
      </c>
      <c r="I319" s="25" t="str">
        <f aca="false">IF(OR(E319="",E319="!!!",F319="NEW"),"",INDEX(O$2:O294,-1+SUMPRODUCT(MAX(ROW(R$2:R294)*(E319=R$2:R294)))))</f>
        <v/>
      </c>
      <c r="J319" s="25" t="str">
        <f aca="true">IF(OR(E319="",E319="!!!",F319="NEW"),"",COUNTBLANK(OFFSET(N$1,,,SUMPRODUCT(MAX(ROW(R$2:R295)*(E319=R$2:R295)))))-COUNTBLANK(OFFSET(N$1,,,SUMPRODUCT(MAX(ROW(R$1:R294)*(R2=R$1:R294))))))</f>
        <v/>
      </c>
      <c r="K319" s="25" t="str">
        <f aca="false">IF(OR(E319="",E319="!!!",F319="NEW"),"",INDEX(W$1:W294,SUMPRODUCT(MAX(ROW(R$1:R294)*(E319=R$1:R294)))))</f>
        <v/>
      </c>
      <c r="L319" s="26"/>
      <c r="O319" s="20"/>
      <c r="P319" s="20"/>
    </row>
    <row r="320" customFormat="false" ht="14.25" hidden="false" customHeight="false" outlineLevel="0" collapsed="false">
      <c r="A320" s="0" t="s">
        <v>263</v>
      </c>
      <c r="E320" s="21" t="str">
        <f aca="false">IF(Q296="?OLD","!!!","")</f>
        <v/>
      </c>
      <c r="F320" s="22" t="str">
        <f aca="false">IF(OR(E320="",E320="!!!"),"",IF(NOT(ISNA(VLOOKUP(E320,R$1:R295,1,FALSE()))),"OLD",IF(AND(E320&lt;&gt;"",E320&lt;&gt;"!!!"),"NEW","")))</f>
        <v/>
      </c>
      <c r="G320" s="23" t="str">
        <f aca="false"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aca="false">IF(J320&lt;&gt;1,"",IF(I320="SBJ","CB","?"))</f>
        <v/>
      </c>
      <c r="I320" s="25" t="str">
        <f aca="false">IF(OR(E320="",E320="!!!",F320="NEW"),"",INDEX(O$2:O295,-1+SUMPRODUCT(MAX(ROW(R$2:R295)*(E320=R$2:R295)))))</f>
        <v/>
      </c>
      <c r="J320" s="25" t="str">
        <f aca="true">IF(OR(E320="",E320="!!!",F320="NEW"),"",COUNTBLANK(OFFSET(N$1,,,SUMPRODUCT(MAX(ROW(R$2:R296)*(E320=R$2:R296)))))-COUNTBLANK(OFFSET(N$1,,,SUMPRODUCT(MAX(ROW(R$1:R295)*(R2=R$1:R295))))))</f>
        <v/>
      </c>
      <c r="K320" s="25" t="str">
        <f aca="false">IF(OR(E320="",E320="!!!",F320="NEW"),"",INDEX(W$1:W295,SUMPRODUCT(MAX(ROW(R$1:R295)*(E320=R$1:R295)))))</f>
        <v/>
      </c>
      <c r="L320" s="26"/>
      <c r="O320" s="20"/>
      <c r="P320" s="20"/>
      <c r="Q320" s="20"/>
    </row>
    <row r="321" customFormat="false" ht="14.25" hidden="false" customHeight="false" outlineLevel="0" collapsed="false">
      <c r="A321" s="0" t="s">
        <v>318</v>
      </c>
      <c r="B321" s="20" t="s">
        <v>235</v>
      </c>
      <c r="C321" s="20" t="s">
        <v>172</v>
      </c>
      <c r="D321" s="20" t="s">
        <v>125</v>
      </c>
      <c r="E321" s="21" t="s">
        <v>319</v>
      </c>
      <c r="F321" s="22" t="str">
        <f aca="false">IF(OR(E321="",E321="!!!"),"",IF(NOT(ISNA(VLOOKUP(E321,R$1:R296,1,FALSE()))),"OLD",IF(AND(E321&lt;&gt;"",E321&lt;&gt;"!!!"),"NEW","")))</f>
        <v>NEW</v>
      </c>
      <c r="G321" s="23" t="str">
        <f aca="false"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?REFERENTIAL</v>
      </c>
      <c r="H321" s="24" t="str">
        <f aca="false">IF(J321&lt;&gt;1,"",IF(I321="SBJ","CB","?"))</f>
        <v/>
      </c>
      <c r="I321" s="25" t="str">
        <f aca="false">IF(OR(E321="",E321="!!!",F321="NEW"),"",INDEX(O$2:O296,-1+SUMPRODUCT(MAX(ROW(R$2:R296)*(E321=R$2:R296)))))</f>
        <v/>
      </c>
      <c r="J321" s="25" t="str">
        <f aca="true">IF(OR(E321="",E321="!!!",F321="NEW"),"",COUNTBLANK(OFFSET(N$1,,,SUMPRODUCT(MAX(ROW(R$2:R297)*(E321=R$2:R297)))))-COUNTBLANK(OFFSET(N$1,,,SUMPRODUCT(MAX(ROW(R$1:R296)*(R2=R$1:R296))))))</f>
        <v/>
      </c>
      <c r="K321" s="25" t="str">
        <f aca="false">IF(OR(E321="",E321="!!!",F321="NEW"),"",INDEX(W$1:W296,SUMPRODUCT(MAX(ROW(R$1:R296)*(E321=R$1:R296)))))</f>
        <v/>
      </c>
      <c r="L321" s="26"/>
    </row>
    <row r="322" customFormat="false" ht="14.25" hidden="false" customHeight="false" outlineLevel="0" collapsed="false">
      <c r="A322" s="0" t="s">
        <v>386</v>
      </c>
      <c r="E322" s="21" t="str">
        <f aca="false">IF(Q298="?OLD","!!!","")</f>
        <v/>
      </c>
      <c r="F322" s="22" t="str">
        <f aca="false">IF(OR(E322="",E322="!!!"),"",IF(NOT(ISNA(VLOOKUP(E322,R$1:R297,1,FALSE()))),"OLD",IF(AND(E322&lt;&gt;"",E322&lt;&gt;"!!!"),"NEW","")))</f>
        <v/>
      </c>
      <c r="G322" s="23" t="str">
        <f aca="false"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aca="false">IF(J322&lt;&gt;1,"",IF(I322="SBJ","CB","?"))</f>
        <v/>
      </c>
      <c r="I322" s="25" t="str">
        <f aca="false">IF(OR(E322="",E322="!!!",F322="NEW"),"",INDEX(O$2:O297,-1+SUMPRODUCT(MAX(ROW(R$2:R297)*(E322=R$2:R297)))))</f>
        <v/>
      </c>
      <c r="J322" s="25" t="str">
        <f aca="true">IF(OR(E322="",E322="!!!",F322="NEW"),"",COUNTBLANK(OFFSET(N$1,,,SUMPRODUCT(MAX(ROW(R$2:R298)*(E322=R$2:R298)))))-COUNTBLANK(OFFSET(N$1,,,SUMPRODUCT(MAX(ROW(R$1:R297)*(R2=R$1:R297))))))</f>
        <v/>
      </c>
      <c r="K322" s="25" t="str">
        <f aca="false">IF(OR(E322="",E322="!!!",F322="NEW"),"",INDEX(W$1:W297,SUMPRODUCT(MAX(ROW(R$1:R297)*(E322=R$1:R297)))))</f>
        <v/>
      </c>
      <c r="L322" s="26"/>
    </row>
    <row r="323" customFormat="false" ht="14.25" hidden="false" customHeight="false" outlineLevel="0" collapsed="false">
      <c r="A323" s="0" t="s">
        <v>163</v>
      </c>
      <c r="E323" s="21" t="str">
        <f aca="false">IF(Q299="?OLD","!!!","")</f>
        <v/>
      </c>
      <c r="F323" s="22" t="str">
        <f aca="false">IF(OR(E323="",E323="!!!"),"",IF(NOT(ISNA(VLOOKUP(E323,R$1:R298,1,FALSE()))),"OLD",IF(AND(E323&lt;&gt;"",E323&lt;&gt;"!!!"),"NEW","")))</f>
        <v/>
      </c>
      <c r="G323" s="23" t="str">
        <f aca="false"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aca="false">IF(J323&lt;&gt;1,"",IF(I323="SBJ","CB","?"))</f>
        <v/>
      </c>
      <c r="I323" s="25" t="str">
        <f aca="false">IF(OR(E323="",E323="!!!",F323="NEW"),"",INDEX(O$2:O298,-1+SUMPRODUCT(MAX(ROW(R$2:R298)*(E323=R$2:R298)))))</f>
        <v/>
      </c>
      <c r="J323" s="25" t="str">
        <f aca="true">IF(OR(E323="",E323="!!!",F323="NEW"),"",COUNTBLANK(OFFSET(N$1,,,SUMPRODUCT(MAX(ROW(R$2:R299)*(E323=R$2:R299)))))-COUNTBLANK(OFFSET(N$1,,,SUMPRODUCT(MAX(ROW(R$1:R298)*(R2=R$1:R298))))))</f>
        <v/>
      </c>
      <c r="K323" s="25" t="str">
        <f aca="false">IF(OR(E323="",E323="!!!",F323="NEW"),"",INDEX(W$1:W298,SUMPRODUCT(MAX(ROW(R$1:R298)*(E323=R$1:R298)))))</f>
        <v/>
      </c>
      <c r="L323" s="26"/>
    </row>
    <row r="324" customFormat="false" ht="14.25" hidden="false" customHeight="false" outlineLevel="0" collapsed="false">
      <c r="A324" s="0" t="s">
        <v>140</v>
      </c>
      <c r="E324" s="21" t="str">
        <f aca="false">IF(Q300="?OLD","!!!","")</f>
        <v/>
      </c>
      <c r="F324" s="22" t="str">
        <f aca="false">IF(OR(E324="",E324="!!!"),"",IF(NOT(ISNA(VLOOKUP(E324,R$1:R299,1,FALSE()))),"OLD",IF(AND(E324&lt;&gt;"",E324&lt;&gt;"!!!"),"NEW","")))</f>
        <v/>
      </c>
      <c r="G324" s="23" t="str">
        <f aca="false"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aca="false">IF(J324&lt;&gt;1,"",IF(I324="SBJ","CB","?"))</f>
        <v/>
      </c>
      <c r="I324" s="25" t="str">
        <f aca="false">IF(OR(E324="",E324="!!!",F324="NEW"),"",INDEX(O$2:O299,-1+SUMPRODUCT(MAX(ROW(R$2:R299)*(E324=R$2:R299)))))</f>
        <v/>
      </c>
      <c r="J324" s="25" t="str">
        <f aca="true">IF(OR(E324="",E324="!!!",F324="NEW"),"",COUNTBLANK(OFFSET(N$1,,,SUMPRODUCT(MAX(ROW(R$2:R300)*(E324=R$2:R300)))))-COUNTBLANK(OFFSET(N$1,,,SUMPRODUCT(MAX(ROW(R$1:R299)*(R2=R$1:R299))))))</f>
        <v/>
      </c>
      <c r="K324" s="25" t="str">
        <f aca="false">IF(OR(E324="",E324="!!!",F324="NEW"),"",INDEX(W$1:W299,SUMPRODUCT(MAX(ROW(R$1:R299)*(E324=R$1:R299)))))</f>
        <v/>
      </c>
      <c r="L324" s="26"/>
      <c r="O324" s="20"/>
      <c r="P324" s="20"/>
    </row>
    <row r="325" customFormat="false" ht="14.25" hidden="false" customHeight="false" outlineLevel="0" collapsed="false">
      <c r="A325" s="0" t="s">
        <v>267</v>
      </c>
      <c r="E325" s="21" t="str">
        <f aca="false">IF(Q301="?OLD","!!!","")</f>
        <v/>
      </c>
      <c r="F325" s="22" t="str">
        <f aca="false">IF(OR(E325="",E325="!!!"),"",IF(NOT(ISNA(VLOOKUP(E325,R$1:R300,1,FALSE()))),"OLD",IF(AND(E325&lt;&gt;"",E325&lt;&gt;"!!!"),"NEW","")))</f>
        <v/>
      </c>
      <c r="G325" s="23" t="str">
        <f aca="false"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aca="false">IF(J325&lt;&gt;1,"",IF(I325="SBJ","CB","?"))</f>
        <v/>
      </c>
      <c r="I325" s="25" t="str">
        <f aca="false">IF(OR(E325="",E325="!!!",F325="NEW"),"",INDEX(O$2:O300,-1+SUMPRODUCT(MAX(ROW(R$2:R300)*(E325=R$2:R300)))))</f>
        <v/>
      </c>
      <c r="J325" s="25" t="str">
        <f aca="true">IF(OR(E325="",E325="!!!",F325="NEW"),"",COUNTBLANK(OFFSET(N$1,,,SUMPRODUCT(MAX(ROW(R$2:R301)*(E325=R$2:R301)))))-COUNTBLANK(OFFSET(N$1,,,SUMPRODUCT(MAX(ROW(R$1:R300)*(R2=R$1:R300))))))</f>
        <v/>
      </c>
      <c r="K325" s="25" t="str">
        <f aca="false">IF(OR(E325="",E325="!!!",F325="NEW"),"",INDEX(W$1:W300,SUMPRODUCT(MAX(ROW(R$1:R300)*(E325=R$1:R300)))))</f>
        <v/>
      </c>
      <c r="L325" s="26"/>
    </row>
    <row r="326" customFormat="false" ht="14.25" hidden="false" customHeight="false" outlineLevel="0" collapsed="false">
      <c r="A326" s="0" t="s">
        <v>387</v>
      </c>
      <c r="B326" s="20" t="s">
        <v>164</v>
      </c>
      <c r="C326" s="20" t="s">
        <v>124</v>
      </c>
      <c r="D326" s="20" t="s">
        <v>125</v>
      </c>
      <c r="E326" s="21"/>
      <c r="F326" s="22" t="s">
        <v>265</v>
      </c>
      <c r="G326" s="23" t="str">
        <f aca="false"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aca="false">IF(J326&lt;&gt;1,"",IF(I326="SBJ","CB","?"))</f>
        <v/>
      </c>
      <c r="I326" s="25" t="str">
        <f aca="false">IF(OR(E326="",E326="!!!",F326="NEW"),"",INDEX(O$2:O301,-1+SUMPRODUCT(MAX(ROW(R$2:R301)*(E326=R$2:R301)))))</f>
        <v/>
      </c>
      <c r="J326" s="25" t="str">
        <f aca="true">IF(OR(E326="",E326="!!!",F326="NEW"),"",COUNTBLANK(OFFSET(N$1,,,SUMPRODUCT(MAX(ROW(R$2:R302)*(E326=R$2:R302)))))-COUNTBLANK(OFFSET(N$1,,,SUMPRODUCT(MAX(ROW(R$1:R301)*(R2=R$1:R301))))))</f>
        <v/>
      </c>
      <c r="K326" s="25" t="str">
        <f aca="false">IF(OR(E326="",E326="!!!",F326="NEW"),"",INDEX(W$1:W301,SUMPRODUCT(MAX(ROW(R$1:R301)*(E326=R$1:R301)))))</f>
        <v/>
      </c>
      <c r="L326" s="26" t="s">
        <v>388</v>
      </c>
    </row>
    <row r="327" customFormat="false" ht="14.25" hidden="false" customHeight="false" outlineLevel="0" collapsed="false">
      <c r="A327" s="0" t="s">
        <v>273</v>
      </c>
      <c r="E327" s="21" t="str">
        <f aca="false">IF(Q303="?OLD","!!!","")</f>
        <v/>
      </c>
      <c r="F327" s="22" t="str">
        <f aca="false">IF(OR(E327="",E327="!!!"),"",IF(NOT(ISNA(VLOOKUP(E327,R$1:R302,1,FALSE()))),"OLD",IF(AND(E327&lt;&gt;"",E327&lt;&gt;"!!!"),"NEW","")))</f>
        <v/>
      </c>
      <c r="G327" s="23" t="str">
        <f aca="false"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aca="false">IF(J327&lt;&gt;1,"",IF(I327="SBJ","CB","?"))</f>
        <v/>
      </c>
      <c r="I327" s="25" t="str">
        <f aca="false">IF(OR(E327="",E327="!!!",F327="NEW"),"",INDEX(O$2:O302,-1+SUMPRODUCT(MAX(ROW(R$2:R302)*(E327=R$2:R302)))))</f>
        <v/>
      </c>
      <c r="J327" s="25" t="str">
        <f aca="true">IF(OR(E327="",E327="!!!",F327="NEW"),"",COUNTBLANK(OFFSET(N$1,,,SUMPRODUCT(MAX(ROW(R$2:R303)*(E327=R$2:R303)))))-COUNTBLANK(OFFSET(N$1,,,SUMPRODUCT(MAX(ROW(R$1:R302)*(R2=R$1:R302))))))</f>
        <v/>
      </c>
      <c r="K327" s="25" t="str">
        <f aca="false">IF(OR(E327="",E327="!!!",F327="NEW"),"",INDEX(W$1:W302,SUMPRODUCT(MAX(ROW(R$1:R302)*(E327=R$1:R302)))))</f>
        <v/>
      </c>
      <c r="L327" s="26"/>
    </row>
    <row r="328" customFormat="false" ht="14.25" hidden="false" customHeight="false" outlineLevel="0" collapsed="false">
      <c r="A328" s="0" t="s">
        <v>329</v>
      </c>
      <c r="B328" s="20" t="s">
        <v>187</v>
      </c>
      <c r="C328" s="20" t="s">
        <v>172</v>
      </c>
      <c r="D328" s="20" t="s">
        <v>125</v>
      </c>
      <c r="E328" s="21" t="s">
        <v>299</v>
      </c>
      <c r="F328" s="22" t="str">
        <f aca="false">IF(OR(E328="",E328="!!!"),"",IF(NOT(ISNA(VLOOKUP(E328,R$1:R303,1,FALSE()))),"OLD",IF(AND(E328&lt;&gt;"",E328&lt;&gt;"!!!"),"NEW","")))</f>
        <v>NEW</v>
      </c>
      <c r="G328" s="23" t="str">
        <f aca="false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?REFERENTIAL</v>
      </c>
      <c r="H328" s="24" t="str">
        <f aca="false">IF(J328&lt;&gt;1,"",IF(I328="SBJ","CB","?"))</f>
        <v/>
      </c>
      <c r="I328" s="25" t="str">
        <f aca="false">IF(OR(E328="",E328="!!!",F328="NEW"),"",INDEX(O$2:O303,-1+SUMPRODUCT(MAX(ROW(R$2:R303)*(E328=R$2:R303)))))</f>
        <v/>
      </c>
      <c r="J328" s="25" t="str">
        <f aca="true">IF(OR(E328="",E328="!!!",F328="NEW"),"",COUNTBLANK(OFFSET(N$1,,,SUMPRODUCT(MAX(ROW(R$2:R304)*(E328=R$2:R304)))))-COUNTBLANK(OFFSET(N$1,,,SUMPRODUCT(MAX(ROW(R$1:R303)*(R2=R$1:R303))))))</f>
        <v/>
      </c>
      <c r="K328" s="25" t="str">
        <f aca="false">IF(OR(E328="",E328="!!!",F328="NEW"),"",INDEX(W$1:W303,SUMPRODUCT(MAX(ROW(R$1:R303)*(E328=R$1:R303)))))</f>
        <v/>
      </c>
      <c r="L328" s="26"/>
      <c r="O328" s="20"/>
      <c r="P328" s="20"/>
      <c r="Q328" s="20"/>
    </row>
    <row r="329" customFormat="false" ht="14.25" hidden="false" customHeight="false" outlineLevel="0" collapsed="false">
      <c r="A329" s="0" t="s">
        <v>238</v>
      </c>
      <c r="E329" s="21" t="str">
        <f aca="false">IF(Q305="?OLD","!!!","")</f>
        <v/>
      </c>
      <c r="F329" s="22" t="str">
        <f aca="false">IF(OR(E329="",E329="!!!"),"",IF(NOT(ISNA(VLOOKUP(E329,R$1:R304,1,FALSE()))),"OLD",IF(AND(E329&lt;&gt;"",E329&lt;&gt;"!!!"),"NEW","")))</f>
        <v/>
      </c>
      <c r="G329" s="23" t="str">
        <f aca="false"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aca="false">IF(J329&lt;&gt;1,"",IF(I329="SBJ","CB","?"))</f>
        <v/>
      </c>
      <c r="I329" s="25" t="str">
        <f aca="false">IF(OR(E329="",E329="!!!",F329="NEW"),"",INDEX(O$2:O304,-1+SUMPRODUCT(MAX(ROW(R$2:R304)*(E329=R$2:R304)))))</f>
        <v/>
      </c>
      <c r="J329" s="25" t="str">
        <f aca="true">IF(OR(E329="",E329="!!!",F329="NEW"),"",COUNTBLANK(OFFSET(N$1,,,SUMPRODUCT(MAX(ROW(R$2:R305)*(E329=R$2:R305)))))-COUNTBLANK(OFFSET(N$1,,,SUMPRODUCT(MAX(ROW(R$1:R304)*(R2=R$1:R304))))))</f>
        <v/>
      </c>
      <c r="K329" s="25" t="str">
        <f aca="false">IF(OR(E329="",E329="!!!",F329="NEW"),"",INDEX(W$1:W304,SUMPRODUCT(MAX(ROW(R$1:R304)*(E329=R$1:R304)))))</f>
        <v/>
      </c>
      <c r="L329" s="26"/>
      <c r="O329" s="20"/>
      <c r="P329" s="20"/>
      <c r="Q329" s="20"/>
    </row>
    <row r="330" customFormat="false" ht="23.85" hidden="false" customHeight="false" outlineLevel="0" collapsed="false">
      <c r="A330" s="0" t="s">
        <v>389</v>
      </c>
      <c r="E330" s="21" t="s">
        <v>390</v>
      </c>
      <c r="F330" s="22" t="str">
        <f aca="false">IF(OR(E330="",E330="!!!"),"",IF(NOT(ISNA(VLOOKUP(E330,R$1:R305,1,FALSE()))),"OLD",IF(AND(E330&lt;&gt;"",E330&lt;&gt;"!!!"),"NEW","")))</f>
        <v>NEW</v>
      </c>
      <c r="G330" s="23" t="str">
        <f aca="false"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?REFERENTIAL</v>
      </c>
      <c r="H330" s="24" t="str">
        <f aca="false">IF(J330&lt;&gt;1,"",IF(I330="SBJ","CB","?"))</f>
        <v/>
      </c>
      <c r="I330" s="25" t="str">
        <f aca="false">IF(OR(E330="",E330="!!!",F330="NEW"),"",INDEX(O$2:O305,-1+SUMPRODUCT(MAX(ROW(R$2:R305)*(E330=R$2:R305)))))</f>
        <v/>
      </c>
      <c r="J330" s="25" t="str">
        <f aca="true">IF(OR(E330="",E330="!!!",F330="NEW"),"",COUNTBLANK(OFFSET(N$1,,,SUMPRODUCT(MAX(ROW(R$2:R306)*(E330=R$2:R306)))))-COUNTBLANK(OFFSET(N$1,,,SUMPRODUCT(MAX(ROW(R$1:R305)*(R2=R$1:R305))))))</f>
        <v/>
      </c>
      <c r="K330" s="25" t="str">
        <f aca="false">IF(OR(E330="",E330="!!!",F330="NEW"),"",INDEX(W$1:W305,SUMPRODUCT(MAX(ROW(R$1:R305)*(E330=R$1:R305)))))</f>
        <v/>
      </c>
      <c r="L330" s="26" t="s">
        <v>391</v>
      </c>
    </row>
    <row r="331" customFormat="false" ht="14.25" hidden="false" customHeight="false" outlineLevel="0" collapsed="false">
      <c r="A331" s="0" t="s">
        <v>140</v>
      </c>
      <c r="E331" s="21" t="str">
        <f aca="false">IF(Q307="?OLD","!!!","")</f>
        <v/>
      </c>
      <c r="F331" s="22" t="str">
        <f aca="false">IF(OR(E331="",E331="!!!"),"",IF(NOT(ISNA(VLOOKUP(E331,R$1:R306,1,FALSE()))),"OLD",IF(AND(E331&lt;&gt;"",E331&lt;&gt;"!!!"),"NEW","")))</f>
        <v/>
      </c>
      <c r="G331" s="23" t="str">
        <f aca="false"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aca="false">IF(J331&lt;&gt;1,"",IF(I331="SBJ","CB","?"))</f>
        <v/>
      </c>
      <c r="I331" s="25" t="str">
        <f aca="false">IF(OR(E331="",E331="!!!",F331="NEW"),"",INDEX(O$2:O306,-1+SUMPRODUCT(MAX(ROW(R$2:R306)*(E331=R$2:R306)))))</f>
        <v/>
      </c>
      <c r="J331" s="25" t="str">
        <f aca="true">IF(OR(E331="",E331="!!!",F331="NEW"),"",COUNTBLANK(OFFSET(N$1,,,SUMPRODUCT(MAX(ROW(R$2:R307)*(E331=R$2:R307)))))-COUNTBLANK(OFFSET(N$1,,,SUMPRODUCT(MAX(ROW(R$1:R306)*(R2=R$1:R306))))))</f>
        <v/>
      </c>
      <c r="K331" s="25" t="str">
        <f aca="false">IF(OR(E331="",E331="!!!",F331="NEW"),"",INDEX(W$1:W306,SUMPRODUCT(MAX(ROW(R$1:R306)*(E331=R$1:R306)))))</f>
        <v/>
      </c>
      <c r="L331" s="26"/>
    </row>
    <row r="332" customFormat="false" ht="14.25" hidden="false" customHeight="false" outlineLevel="0" collapsed="false">
      <c r="A332" s="0" t="s">
        <v>138</v>
      </c>
      <c r="E332" s="21" t="str">
        <f aca="false">IF(Q308="?OLD","!!!","")</f>
        <v/>
      </c>
      <c r="F332" s="22" t="str">
        <f aca="false">IF(OR(E332="",E332="!!!"),"",IF(NOT(ISNA(VLOOKUP(E332,R$1:R307,1,FALSE()))),"OLD",IF(AND(E332&lt;&gt;"",E332&lt;&gt;"!!!"),"NEW","")))</f>
        <v/>
      </c>
      <c r="G332" s="23" t="str">
        <f aca="false"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aca="false">IF(J332&lt;&gt;1,"",IF(I332="SBJ","CB","?"))</f>
        <v/>
      </c>
      <c r="I332" s="25" t="str">
        <f aca="false">IF(OR(E332="",E332="!!!",F332="NEW"),"",INDEX(O$2:O307,-1+SUMPRODUCT(MAX(ROW(R$2:R307)*(E332=R$2:R307)))))</f>
        <v/>
      </c>
      <c r="J332" s="25" t="str">
        <f aca="true">IF(OR(E332="",E332="!!!",F332="NEW"),"",COUNTBLANK(OFFSET(N$1,,,SUMPRODUCT(MAX(ROW(R$2:R308)*(E332=R$2:R308)))))-COUNTBLANK(OFFSET(N$1,,,SUMPRODUCT(MAX(ROW(R$1:R307)*(R2=R$1:R307))))))</f>
        <v/>
      </c>
      <c r="K332" s="25" t="str">
        <f aca="false">IF(OR(E332="",E332="!!!",F332="NEW"),"",INDEX(W$1:W307,SUMPRODUCT(MAX(ROW(R$1:R307)*(E332=R$1:R307)))))</f>
        <v/>
      </c>
      <c r="L332" s="26"/>
    </row>
    <row r="333" customFormat="false" ht="14.25" hidden="false" customHeight="false" outlineLevel="0" collapsed="false">
      <c r="A333" s="0" t="s">
        <v>392</v>
      </c>
      <c r="B333" s="20" t="s">
        <v>123</v>
      </c>
      <c r="C333" s="20" t="s">
        <v>192</v>
      </c>
      <c r="D333" s="20" t="s">
        <v>125</v>
      </c>
      <c r="E333" s="21" t="s">
        <v>390</v>
      </c>
      <c r="F333" s="22" t="str">
        <f aca="false">IF(OR(E333="",E333="!!!"),"",IF(NOT(ISNA(VLOOKUP(E333,R$1:R308,1,FALSE()))),"OLD",IF(AND(E333&lt;&gt;"",E333&lt;&gt;"!!!"),"NEW","")))</f>
        <v>NEW</v>
      </c>
      <c r="G333" s="23" t="str">
        <f aca="false"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?REFERENTIAL</v>
      </c>
      <c r="H333" s="24" t="str">
        <f aca="false">IF(J333&lt;&gt;1,"",IF(I333="SBJ","CB","?"))</f>
        <v/>
      </c>
      <c r="I333" s="25" t="str">
        <f aca="false">IF(OR(E333="",E333="!!!",F333="NEW"),"",INDEX(O$2:O308,-1+SUMPRODUCT(MAX(ROW(R$2:R308)*(E333=R$2:R308)))))</f>
        <v/>
      </c>
      <c r="J333" s="25" t="str">
        <f aca="true">IF(OR(E333="",E333="!!!",F333="NEW"),"",COUNTBLANK(OFFSET(N$1,,,SUMPRODUCT(MAX(ROW(R$2:R309)*(E333=R$2:R309)))))-COUNTBLANK(OFFSET(N$1,,,SUMPRODUCT(MAX(ROW(R$1:R308)*(R2=R$1:R308))))))</f>
        <v/>
      </c>
      <c r="K333" s="25" t="str">
        <f aca="false">IF(OR(E333="",E333="!!!",F333="NEW"),"",INDEX(W$1:W308,SUMPRODUCT(MAX(ROW(R$1:R308)*(E333=R$1:R308)))))</f>
        <v/>
      </c>
      <c r="L333" s="26"/>
      <c r="O333" s="20"/>
      <c r="P333" s="20"/>
      <c r="Q333" s="20"/>
    </row>
    <row r="334" customFormat="false" ht="14.25" hidden="false" customHeight="false" outlineLevel="0" collapsed="false">
      <c r="A334" s="0" t="s">
        <v>163</v>
      </c>
      <c r="E334" s="21" t="str">
        <f aca="false">IF(Q310="?OLD","!!!","")</f>
        <v/>
      </c>
      <c r="F334" s="22" t="str">
        <f aca="false">IF(OR(E334="",E334="!!!"),"",IF(NOT(ISNA(VLOOKUP(E334,R$1:R309,1,FALSE()))),"OLD",IF(AND(E334&lt;&gt;"",E334&lt;&gt;"!!!"),"NEW","")))</f>
        <v/>
      </c>
      <c r="G334" s="23" t="str">
        <f aca="false"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aca="false">IF(J334&lt;&gt;1,"",IF(I334="SBJ","CB","?"))</f>
        <v/>
      </c>
      <c r="I334" s="25" t="str">
        <f aca="false">IF(OR(E334="",E334="!!!",F334="NEW"),"",INDEX(O$2:O309,-1+SUMPRODUCT(MAX(ROW(R$2:R309)*(E334=R$2:R309)))))</f>
        <v/>
      </c>
      <c r="J334" s="25" t="str">
        <f aca="true">IF(OR(E334="",E334="!!!",F334="NEW"),"",COUNTBLANK(OFFSET(N$1,,,SUMPRODUCT(MAX(ROW(R$2:R310)*(E334=R$2:R310)))))-COUNTBLANK(OFFSET(N$1,,,SUMPRODUCT(MAX(ROW(R$1:R309)*(R2=R$1:R309))))))</f>
        <v/>
      </c>
      <c r="K334" s="25" t="str">
        <f aca="false">IF(OR(E334="",E334="!!!",F334="NEW"),"",INDEX(W$1:W309,SUMPRODUCT(MAX(ROW(R$1:R309)*(E334=R$1:R309)))))</f>
        <v/>
      </c>
      <c r="L334" s="26"/>
    </row>
    <row r="335" customFormat="false" ht="14.25" hidden="false" customHeight="false" outlineLevel="0" collapsed="false">
      <c r="A335" s="0" t="s">
        <v>393</v>
      </c>
      <c r="E335" s="21" t="str">
        <f aca="false">IF(Q311="?OLD","!!!","")</f>
        <v/>
      </c>
      <c r="F335" s="22" t="str">
        <f aca="false">IF(OR(E335="",E335="!!!"),"",IF(NOT(ISNA(VLOOKUP(E335,R$1:R310,1,FALSE()))),"OLD",IF(AND(E335&lt;&gt;"",E335&lt;&gt;"!!!"),"NEW","")))</f>
        <v/>
      </c>
      <c r="G335" s="23" t="str">
        <f aca="false"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aca="false">IF(J335&lt;&gt;1,"",IF(I335="SBJ","CB","?"))</f>
        <v/>
      </c>
      <c r="I335" s="25" t="str">
        <f aca="false">IF(OR(E335="",E335="!!!",F335="NEW"),"",INDEX(O$2:O310,-1+SUMPRODUCT(MAX(ROW(R$2:R310)*(E335=R$2:R310)))))</f>
        <v/>
      </c>
      <c r="J335" s="25" t="str">
        <f aca="true">IF(OR(E335="",E335="!!!",F335="NEW"),"",COUNTBLANK(OFFSET(N$1,,,SUMPRODUCT(MAX(ROW(R$2:R311)*(E335=R$2:R311)))))-COUNTBLANK(OFFSET(N$1,,,SUMPRODUCT(MAX(ROW(R$1:R310)*(R2=R$1:R310))))))</f>
        <v/>
      </c>
      <c r="K335" s="25" t="str">
        <f aca="false">IF(OR(E335="",E335="!!!",F335="NEW"),"",INDEX(W$1:W310,SUMPRODUCT(MAX(ROW(R$1:R310)*(E335=R$1:R310)))))</f>
        <v/>
      </c>
      <c r="L335" s="26"/>
      <c r="O335" s="20"/>
      <c r="P335" s="20"/>
    </row>
    <row r="336" customFormat="false" ht="14.25" hidden="false" customHeight="false" outlineLevel="0" collapsed="false">
      <c r="A336" s="0" t="s">
        <v>394</v>
      </c>
      <c r="E336" s="21" t="str">
        <f aca="false">IF(Q312="?OLD","!!!","")</f>
        <v/>
      </c>
      <c r="F336" s="22" t="str">
        <f aca="false">IF(OR(E336="",E336="!!!"),"",IF(NOT(ISNA(VLOOKUP(E336,R$1:R311,1,FALSE()))),"OLD",IF(AND(E336&lt;&gt;"",E336&lt;&gt;"!!!"),"NEW","")))</f>
        <v/>
      </c>
      <c r="G336" s="23" t="str">
        <f aca="false"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aca="false">IF(J336&lt;&gt;1,"",IF(I336="SBJ","CB","?"))</f>
        <v/>
      </c>
      <c r="I336" s="25" t="str">
        <f aca="false">IF(OR(E336="",E336="!!!",F336="NEW"),"",INDEX(O$2:O311,-1+SUMPRODUCT(MAX(ROW(R$2:R311)*(E336=R$2:R311)))))</f>
        <v/>
      </c>
      <c r="J336" s="25" t="str">
        <f aca="true">IF(OR(E336="",E336="!!!",F336="NEW"),"",COUNTBLANK(OFFSET(N$1,,,SUMPRODUCT(MAX(ROW(R$2:R312)*(E336=R$2:R312)))))-COUNTBLANK(OFFSET(N$1,,,SUMPRODUCT(MAX(ROW(R$1:R311)*(R2=R$1:R311))))))</f>
        <v/>
      </c>
      <c r="K336" s="25" t="str">
        <f aca="false">IF(OR(E336="",E336="!!!",F336="NEW"),"",INDEX(W$1:W311,SUMPRODUCT(MAX(ROW(R$1:R311)*(E336=R$1:R311)))))</f>
        <v/>
      </c>
      <c r="L336" s="26"/>
    </row>
    <row r="337" customFormat="false" ht="14.25" hidden="false" customHeight="false" outlineLevel="0" collapsed="false">
      <c r="A337" s="0" t="s">
        <v>395</v>
      </c>
      <c r="E337" s="21" t="str">
        <f aca="false">IF(Q313="?OLD","!!!","")</f>
        <v/>
      </c>
      <c r="F337" s="22" t="str">
        <f aca="false">IF(OR(E337="",E337="!!!"),"",IF(NOT(ISNA(VLOOKUP(E337,R$1:R312,1,FALSE()))),"OLD",IF(AND(E337&lt;&gt;"",E337&lt;&gt;"!!!"),"NEW","")))</f>
        <v/>
      </c>
      <c r="G337" s="23" t="str">
        <f aca="false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aca="false">IF(J337&lt;&gt;1,"",IF(I337="SBJ","CB","?"))</f>
        <v/>
      </c>
      <c r="I337" s="25" t="str">
        <f aca="false">IF(OR(E337="",E337="!!!",F337="NEW"),"",INDEX(O$2:O312,-1+SUMPRODUCT(MAX(ROW(R$2:R312)*(E337=R$2:R312)))))</f>
        <v/>
      </c>
      <c r="J337" s="25" t="str">
        <f aca="true">IF(OR(E337="",E337="!!!",F337="NEW"),"",COUNTBLANK(OFFSET(N$1,,,SUMPRODUCT(MAX(ROW(R$2:R313)*(E337=R$2:R313)))))-COUNTBLANK(OFFSET(N$1,,,SUMPRODUCT(MAX(ROW(R$1:R312)*(R2=R$1:R312))))))</f>
        <v/>
      </c>
      <c r="K337" s="25" t="str">
        <f aca="false">IF(OR(E337="",E337="!!!",F337="NEW"),"",INDEX(W$1:W312,SUMPRODUCT(MAX(ROW(R$1:R312)*(E337=R$1:R312)))))</f>
        <v/>
      </c>
      <c r="L337" s="26"/>
      <c r="O337" s="20"/>
      <c r="P337" s="20"/>
      <c r="Q337" s="20"/>
    </row>
    <row r="338" customFormat="false" ht="14.25" hidden="false" customHeight="false" outlineLevel="0" collapsed="false">
      <c r="A338" s="0" t="s">
        <v>160</v>
      </c>
      <c r="E338" s="21" t="str">
        <f aca="false">IF(Q314="?OLD","!!!","")</f>
        <v/>
      </c>
      <c r="F338" s="22" t="str">
        <f aca="false">IF(OR(E338="",E338="!!!"),"",IF(NOT(ISNA(VLOOKUP(E338,R$1:R313,1,FALSE()))),"OLD",IF(AND(E338&lt;&gt;"",E338&lt;&gt;"!!!"),"NEW","")))</f>
        <v/>
      </c>
      <c r="G338" s="23" t="str">
        <f aca="false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aca="false">IF(J338&lt;&gt;1,"",IF(I338="SBJ","CB","?"))</f>
        <v/>
      </c>
      <c r="I338" s="25" t="str">
        <f aca="false">IF(OR(E338="",E338="!!!",F338="NEW"),"",INDEX(O$2:O313,-1+SUMPRODUCT(MAX(ROW(R$2:R313)*(E338=R$2:R313)))))</f>
        <v/>
      </c>
      <c r="J338" s="25" t="str">
        <f aca="true">IF(OR(E338="",E338="!!!",F338="NEW"),"",COUNTBLANK(OFFSET(N$1,,,SUMPRODUCT(MAX(ROW(R$2:R314)*(E338=R$2:R314)))))-COUNTBLANK(OFFSET(N$1,,,SUMPRODUCT(MAX(ROW(R$1:R313)*(R2=R$1:R313))))))</f>
        <v/>
      </c>
      <c r="K338" s="25" t="str">
        <f aca="false">IF(OR(E338="",E338="!!!",F338="NEW"),"",INDEX(W$1:W313,SUMPRODUCT(MAX(ROW(R$1:R313)*(E338=R$1:R313)))))</f>
        <v/>
      </c>
      <c r="L338" s="26"/>
      <c r="O338" s="20"/>
      <c r="P338" s="20"/>
      <c r="Q338" s="20"/>
    </row>
    <row r="340" customFormat="false" ht="14.25" hidden="false" customHeight="false" outlineLevel="0" collapsed="false">
      <c r="A340" s="0" t="s">
        <v>396</v>
      </c>
    </row>
    <row r="341" customFormat="false" ht="14.25" hidden="false" customHeight="false" outlineLevel="0" collapsed="false">
      <c r="A341" s="0" t="s">
        <v>397</v>
      </c>
    </row>
    <row r="342" customFormat="false" ht="14.25" hidden="false" customHeight="false" outlineLevel="0" collapsed="false">
      <c r="A342" s="0" t="s">
        <v>398</v>
      </c>
      <c r="E342" s="21" t="str">
        <f aca="false">IF(Q315="?OLD","!!!","")</f>
        <v/>
      </c>
      <c r="F342" s="22" t="str">
        <f aca="false">IF(OR(E342="",E342="!!!"),"",IF(NOT(ISNA(VLOOKUP(E342,R$1:R314,1,FALSE()))),"OLD",IF(AND(E342&lt;&gt;"",E342&lt;&gt;"!!!"),"NEW","")))</f>
        <v/>
      </c>
      <c r="G342" s="23" t="str">
        <f aca="false"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aca="false">IF(J342&lt;&gt;1,"",IF(I342="SBJ","CB","?"))</f>
        <v/>
      </c>
      <c r="I342" s="25" t="str">
        <f aca="false">IF(OR(E342="",E342="!!!",F342="NEW"),"",INDEX(O$2:O314,-1+SUMPRODUCT(MAX(ROW(R$2:R314)*(E342=R$2:R314)))))</f>
        <v/>
      </c>
      <c r="J342" s="25" t="str">
        <f aca="true">IF(OR(E342="",E342="!!!",F342="NEW"),"",COUNTBLANK(OFFSET(N$1,,,SUMPRODUCT(MAX(ROW(R$2:R315)*(E342=R$2:R315)))))-COUNTBLANK(OFFSET(N$1,,,SUMPRODUCT(MAX(ROW(R$1:R314)*(R2=R$1:R314))))))</f>
        <v/>
      </c>
      <c r="K342" s="25" t="str">
        <f aca="false">IF(OR(E342="",E342="!!!",F342="NEW"),"",INDEX(W$1:W314,SUMPRODUCT(MAX(ROW(R$1:R314)*(E342=R$1:R314)))))</f>
        <v/>
      </c>
      <c r="L342" s="26"/>
      <c r="O342" s="20"/>
      <c r="P342" s="20"/>
      <c r="Q342" s="20"/>
    </row>
    <row r="343" customFormat="false" ht="14.25" hidden="false" customHeight="false" outlineLevel="0" collapsed="false">
      <c r="A343" s="0" t="s">
        <v>140</v>
      </c>
      <c r="E343" s="21" t="str">
        <f aca="false">IF(Q316="?OLD","!!!","")</f>
        <v/>
      </c>
      <c r="F343" s="22" t="str">
        <f aca="false">IF(OR(E343="",E343="!!!"),"",IF(NOT(ISNA(VLOOKUP(E343,R$1:R315,1,FALSE()))),"OLD",IF(AND(E343&lt;&gt;"",E343&lt;&gt;"!!!"),"NEW","")))</f>
        <v/>
      </c>
      <c r="G343" s="23" t="str">
        <f aca="false"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aca="false">IF(J343&lt;&gt;1,"",IF(I343="SBJ","CB","?"))</f>
        <v/>
      </c>
      <c r="I343" s="25" t="str">
        <f aca="false">IF(OR(E343="",E343="!!!",F343="NEW"),"",INDEX(O$2:O315,-1+SUMPRODUCT(MAX(ROW(R$2:R315)*(E343=R$2:R315)))))</f>
        <v/>
      </c>
      <c r="J343" s="25" t="str">
        <f aca="true">IF(OR(E343="",E343="!!!",F343="NEW"),"",COUNTBLANK(OFFSET(N$1,,,SUMPRODUCT(MAX(ROW(R$2:R316)*(E343=R$2:R316)))))-COUNTBLANK(OFFSET(N$1,,,SUMPRODUCT(MAX(ROW(R$1:R315)*(R2=R$1:R315))))))</f>
        <v/>
      </c>
      <c r="K343" s="25" t="str">
        <f aca="false">IF(OR(E343="",E343="!!!",F343="NEW"),"",INDEX(W$1:W315,SUMPRODUCT(MAX(ROW(R$1:R315)*(E343=R$1:R315)))))</f>
        <v/>
      </c>
      <c r="L343" s="26"/>
    </row>
    <row r="344" customFormat="false" ht="14.25" hidden="false" customHeight="false" outlineLevel="0" collapsed="false">
      <c r="A344" s="0" t="s">
        <v>156</v>
      </c>
      <c r="E344" s="21" t="str">
        <f aca="false">IF(Q317="?OLD","!!!","")</f>
        <v/>
      </c>
      <c r="F344" s="22" t="str">
        <f aca="false">IF(OR(E344="",E344="!!!"),"",IF(NOT(ISNA(VLOOKUP(E344,R$1:R316,1,FALSE()))),"OLD",IF(AND(E344&lt;&gt;"",E344&lt;&gt;"!!!"),"NEW","")))</f>
        <v/>
      </c>
      <c r="G344" s="23" t="str">
        <f aca="false"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aca="false">IF(J344&lt;&gt;1,"",IF(I344="SBJ","CB","?"))</f>
        <v/>
      </c>
      <c r="I344" s="25" t="str">
        <f aca="false">IF(OR(E344="",E344="!!!",F344="NEW"),"",INDEX(O$2:O316,-1+SUMPRODUCT(MAX(ROW(R$2:R316)*(E344=R$2:R316)))))</f>
        <v/>
      </c>
      <c r="J344" s="25" t="str">
        <f aca="true">IF(OR(E344="",E344="!!!",F344="NEW"),"",COUNTBLANK(OFFSET(N$1,,,SUMPRODUCT(MAX(ROW(R$2:R317)*(E344=R$2:R317)))))-COUNTBLANK(OFFSET(N$1,,,SUMPRODUCT(MAX(ROW(R$1:R316)*(R2=R$1:R316))))))</f>
        <v/>
      </c>
      <c r="K344" s="25" t="str">
        <f aca="false">IF(OR(E344="",E344="!!!",F344="NEW"),"",INDEX(W$1:W316,SUMPRODUCT(MAX(ROW(R$1:R316)*(E344=R$1:R316)))))</f>
        <v/>
      </c>
      <c r="L344" s="26"/>
    </row>
    <row r="345" customFormat="false" ht="14.25" hidden="false" customHeight="false" outlineLevel="0" collapsed="false">
      <c r="A345" s="0" t="s">
        <v>204</v>
      </c>
      <c r="B345" s="20" t="s">
        <v>235</v>
      </c>
      <c r="C345" s="20" t="s">
        <v>124</v>
      </c>
      <c r="D345" s="20" t="s">
        <v>125</v>
      </c>
      <c r="E345" s="21" t="s">
        <v>126</v>
      </c>
      <c r="F345" s="22" t="str">
        <f aca="false">IF(OR(E345="",E345="!!!"),"",IF(NOT(ISNA(VLOOKUP(E345,R$1:R317,1,FALSE()))),"OLD",IF(AND(E345&lt;&gt;"",E345&lt;&gt;"!!!"),"NEW","")))</f>
        <v>NEW</v>
      </c>
      <c r="G345" s="23" t="str">
        <f aca="false"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?REFERENTIAL</v>
      </c>
      <c r="H345" s="24" t="str">
        <f aca="false">IF(J345&lt;&gt;1,"",IF(I345="SBJ","CB","?"))</f>
        <v/>
      </c>
      <c r="I345" s="25" t="str">
        <f aca="false">IF(OR(E345="",E345="!!!",F345="NEW"),"",INDEX(O$2:O317,-1+SUMPRODUCT(MAX(ROW(R$2:R317)*(E345=R$2:R317)))))</f>
        <v/>
      </c>
      <c r="J345" s="25" t="str">
        <f aca="true">IF(OR(E345="",E345="!!!",F345="NEW"),"",COUNTBLANK(OFFSET(N$1,,,SUMPRODUCT(MAX(ROW(R$2:R318)*(E345=R$2:R318)))))-COUNTBLANK(OFFSET(N$1,,,SUMPRODUCT(MAX(ROW(R$1:R317)*(R2=R$1:R317))))))</f>
        <v/>
      </c>
      <c r="K345" s="25" t="str">
        <f aca="false">IF(OR(E345="",E345="!!!",F345="NEW"),"",INDEX(W$1:W317,SUMPRODUCT(MAX(ROW(R$1:R317)*(E345=R$1:R317)))))</f>
        <v/>
      </c>
      <c r="L345" s="26"/>
    </row>
    <row r="346" customFormat="false" ht="14.25" hidden="false" customHeight="false" outlineLevel="0" collapsed="false">
      <c r="A346" s="0" t="s">
        <v>399</v>
      </c>
      <c r="B346" s="20" t="s">
        <v>274</v>
      </c>
      <c r="C346" s="20" t="s">
        <v>155</v>
      </c>
      <c r="E346" s="21" t="str">
        <f aca="false">IF(Q319="?OLD","!!!","")</f>
        <v/>
      </c>
      <c r="F346" s="22" t="str">
        <f aca="false">IF(OR(E346="",E346="!!!"),"",IF(NOT(ISNA(VLOOKUP(E346,R$1:R318,1,FALSE()))),"OLD",IF(AND(E346&lt;&gt;"",E346&lt;&gt;"!!!"),"NEW","")))</f>
        <v/>
      </c>
      <c r="G346" s="23" t="str">
        <f aca="false"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aca="false">IF(J346&lt;&gt;1,"",IF(I346="SBJ","CB","?"))</f>
        <v/>
      </c>
      <c r="I346" s="25" t="str">
        <f aca="false">IF(OR(E346="",E346="!!!",F346="NEW"),"",INDEX(O$2:O318,-1+SUMPRODUCT(MAX(ROW(R$2:R318)*(E346=R$2:R318)))))</f>
        <v/>
      </c>
      <c r="J346" s="25" t="str">
        <f aca="true">IF(OR(E346="",E346="!!!",F346="NEW"),"",COUNTBLANK(OFFSET(N$1,,,SUMPRODUCT(MAX(ROW(R$2:R319)*(E346=R$2:R319)))))-COUNTBLANK(OFFSET(N$1,,,SUMPRODUCT(MAX(ROW(R$1:R318)*(R2=R$1:R318))))))</f>
        <v/>
      </c>
      <c r="K346" s="25" t="str">
        <f aca="false">IF(OR(E346="",E346="!!!",F346="NEW"),"",INDEX(W$1:W318,SUMPRODUCT(MAX(ROW(R$1:R318)*(E346=R$1:R318)))))</f>
        <v/>
      </c>
      <c r="L346" s="26"/>
    </row>
    <row r="347" customFormat="false" ht="14.25" hidden="false" customHeight="false" outlineLevel="0" collapsed="false">
      <c r="A347" s="0" t="s">
        <v>400</v>
      </c>
      <c r="B347" s="20" t="s">
        <v>232</v>
      </c>
      <c r="C347" s="20" t="s">
        <v>134</v>
      </c>
      <c r="D347" s="20" t="s">
        <v>125</v>
      </c>
      <c r="E347" s="21" t="s">
        <v>401</v>
      </c>
      <c r="F347" s="22" t="str">
        <f aca="false">IF(OR(E347="",E347="!!!"),"",IF(NOT(ISNA(VLOOKUP(E347,R$1:R319,1,FALSE()))),"OLD",IF(AND(E347&lt;&gt;"",E347&lt;&gt;"!!!"),"NEW","")))</f>
        <v>NEW</v>
      </c>
      <c r="G347" s="23" t="str">
        <f aca="false"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?REFERENTIAL</v>
      </c>
      <c r="H347" s="24" t="str">
        <f aca="false">IF(J347&lt;&gt;1,"",IF(I347="SBJ","CB","?"))</f>
        <v/>
      </c>
      <c r="I347" s="25" t="str">
        <f aca="false">IF(OR(E347="",E347="!!!",F347="NEW"),"",INDEX(O$2:O319,-1+SUMPRODUCT(MAX(ROW(R$2:R319)*(E347=R$2:R319)))))</f>
        <v/>
      </c>
      <c r="J347" s="25" t="str">
        <f aca="true">IF(OR(E347="",E347="!!!",F347="NEW"),"",COUNTBLANK(OFFSET(N$1,,,SUMPRODUCT(MAX(ROW(R$2:R320)*(E347=R$2:R320)))))-COUNTBLANK(OFFSET(N$1,,,SUMPRODUCT(MAX(ROW(R$1:R319)*(R2=R$1:R319))))))</f>
        <v/>
      </c>
      <c r="K347" s="25" t="str">
        <f aca="false">IF(OR(E347="",E347="!!!",F347="NEW"),"",INDEX(W$1:W319,SUMPRODUCT(MAX(ROW(R$1:R319)*(E347=R$1:R319)))))</f>
        <v/>
      </c>
      <c r="L347" s="26"/>
    </row>
    <row r="348" customFormat="false" ht="14.25" hidden="false" customHeight="false" outlineLevel="0" collapsed="false">
      <c r="A348" s="0" t="s">
        <v>402</v>
      </c>
      <c r="E348" s="21" t="str">
        <f aca="false">IF(Q321="?OLD","!!!","")</f>
        <v/>
      </c>
      <c r="F348" s="22" t="str">
        <f aca="false">IF(OR(E348="",E348="!!!"),"",IF(NOT(ISNA(VLOOKUP(E348,R$1:R320,1,FALSE()))),"OLD",IF(AND(E348&lt;&gt;"",E348&lt;&gt;"!!!"),"NEW","")))</f>
        <v/>
      </c>
      <c r="G348" s="23" t="str">
        <f aca="false"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aca="false">IF(J348&lt;&gt;1,"",IF(I348="SBJ","CB","?"))</f>
        <v/>
      </c>
      <c r="I348" s="25" t="str">
        <f aca="false">IF(OR(E348="",E348="!!!",F348="NEW"),"",INDEX(O$2:O320,-1+SUMPRODUCT(MAX(ROW(R$2:R320)*(E348=R$2:R320)))))</f>
        <v/>
      </c>
      <c r="J348" s="25" t="str">
        <f aca="true">IF(OR(E348="",E348="!!!",F348="NEW"),"",COUNTBLANK(OFFSET(N$1,,,SUMPRODUCT(MAX(ROW(R$2:R321)*(E348=R$2:R321)))))-COUNTBLANK(OFFSET(N$1,,,SUMPRODUCT(MAX(ROW(R$1:R320)*(R2=R$1:R320))))))</f>
        <v/>
      </c>
      <c r="K348" s="25" t="str">
        <f aca="false">IF(OR(E348="",E348="!!!",F348="NEW"),"",INDEX(W$1:W320,SUMPRODUCT(MAX(ROW(R$1:R320)*(E348=R$1:R320)))))</f>
        <v/>
      </c>
      <c r="L348" s="26"/>
    </row>
    <row r="349" customFormat="false" ht="14.25" hidden="false" customHeight="false" outlineLevel="0" collapsed="false">
      <c r="A349" s="0" t="s">
        <v>212</v>
      </c>
      <c r="E349" s="21" t="str">
        <f aca="false">IF(Q322="?OLD","!!!","")</f>
        <v/>
      </c>
      <c r="F349" s="22" t="str">
        <f aca="false">IF(OR(E349="",E349="!!!"),"",IF(NOT(ISNA(VLOOKUP(E349,R$1:R321,1,FALSE()))),"OLD",IF(AND(E349&lt;&gt;"",E349&lt;&gt;"!!!"),"NEW","")))</f>
        <v/>
      </c>
      <c r="G349" s="23" t="str">
        <f aca="false"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aca="false">IF(J349&lt;&gt;1,"",IF(I349="SBJ","CB","?"))</f>
        <v/>
      </c>
      <c r="I349" s="25" t="str">
        <f aca="false">IF(OR(E349="",E349="!!!",F349="NEW"),"",INDEX(O$2:O321,-1+SUMPRODUCT(MAX(ROW(R$2:R321)*(E349=R$2:R321)))))</f>
        <v/>
      </c>
      <c r="J349" s="25" t="str">
        <f aca="true">IF(OR(E349="",E349="!!!",F349="NEW"),"",COUNTBLANK(OFFSET(N$1,,,SUMPRODUCT(MAX(ROW(R$2:R322)*(E349=R$2:R322)))))-COUNTBLANK(OFFSET(N$1,,,SUMPRODUCT(MAX(ROW(R$1:R321)*(R2=R$1:R321))))))</f>
        <v/>
      </c>
      <c r="K349" s="25" t="str">
        <f aca="false">IF(OR(E349="",E349="!!!",F349="NEW"),"",INDEX(W$1:W321,SUMPRODUCT(MAX(ROW(R$1:R321)*(E349=R$1:R321)))))</f>
        <v/>
      </c>
      <c r="L349" s="26"/>
    </row>
    <row r="350" customFormat="false" ht="14.25" hidden="false" customHeight="false" outlineLevel="0" collapsed="false">
      <c r="A350" s="0" t="s">
        <v>403</v>
      </c>
      <c r="E350" s="21" t="str">
        <f aca="false">IF(Q323="?OLD","!!!","")</f>
        <v/>
      </c>
      <c r="F350" s="22" t="str">
        <f aca="false">IF(OR(E350="",E350="!!!"),"",IF(NOT(ISNA(VLOOKUP(E350,R$1:R322,1,FALSE()))),"OLD",IF(AND(E350&lt;&gt;"",E350&lt;&gt;"!!!"),"NEW","")))</f>
        <v/>
      </c>
      <c r="G350" s="23" t="str">
        <f aca="false"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aca="false">IF(J350&lt;&gt;1,"",IF(I350="SBJ","CB","?"))</f>
        <v/>
      </c>
      <c r="I350" s="25" t="str">
        <f aca="false">IF(OR(E350="",E350="!!!",F350="NEW"),"",INDEX(O$2:O322,-1+SUMPRODUCT(MAX(ROW(R$2:R322)*(E350=R$2:R322)))))</f>
        <v/>
      </c>
      <c r="J350" s="25" t="str">
        <f aca="true">IF(OR(E350="",E350="!!!",F350="NEW"),"",COUNTBLANK(OFFSET(N$1,,,SUMPRODUCT(MAX(ROW(R$2:R323)*(E350=R$2:R323)))))-COUNTBLANK(OFFSET(N$1,,,SUMPRODUCT(MAX(ROW(R$1:R322)*(R2=R$1:R322))))))</f>
        <v/>
      </c>
      <c r="K350" s="25" t="str">
        <f aca="false">IF(OR(E350="",E350="!!!",F350="NEW"),"",INDEX(W$1:W322,SUMPRODUCT(MAX(ROW(R$1:R322)*(E350=R$1:R322)))))</f>
        <v/>
      </c>
      <c r="L350" s="26"/>
    </row>
    <row r="351" customFormat="false" ht="14.25" hidden="false" customHeight="false" outlineLevel="0" collapsed="false">
      <c r="A351" s="0" t="s">
        <v>343</v>
      </c>
      <c r="B351" s="20" t="s">
        <v>150</v>
      </c>
      <c r="C351" s="20" t="s">
        <v>188</v>
      </c>
      <c r="E351" s="21" t="str">
        <f aca="false">IF(Q324="?OLD","!!!","")</f>
        <v/>
      </c>
      <c r="F351" s="22" t="str">
        <f aca="false">IF(OR(E351="",E351="!!!"),"",IF(NOT(ISNA(VLOOKUP(E351,R$1:R323,1,FALSE()))),"OLD",IF(AND(E351&lt;&gt;"",E351&lt;&gt;"!!!"),"NEW","")))</f>
        <v/>
      </c>
      <c r="G351" s="23" t="str">
        <f aca="false"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aca="false">IF(J351&lt;&gt;1,"",IF(I351="SBJ","CB","?"))</f>
        <v/>
      </c>
      <c r="I351" s="25" t="str">
        <f aca="false">IF(OR(E351="",E351="!!!",F351="NEW"),"",INDEX(O$2:O323,-1+SUMPRODUCT(MAX(ROW(R$2:R323)*(E351=R$2:R323)))))</f>
        <v/>
      </c>
      <c r="J351" s="25" t="str">
        <f aca="true">IF(OR(E351="",E351="!!!",F351="NEW"),"",COUNTBLANK(OFFSET(N$1,,,SUMPRODUCT(MAX(ROW(R$2:R324)*(E351=R$2:R324)))))-COUNTBLANK(OFFSET(N$1,,,SUMPRODUCT(MAX(ROW(R$1:R323)*(R2=R$1:R323))))))</f>
        <v/>
      </c>
      <c r="K351" s="25" t="str">
        <f aca="false">IF(OR(E351="",E351="!!!",F351="NEW"),"",INDEX(W$1:W323,SUMPRODUCT(MAX(ROW(R$1:R323)*(E351=R$1:R323)))))</f>
        <v/>
      </c>
      <c r="L351" s="26"/>
      <c r="O351" s="20"/>
      <c r="P351" s="20"/>
      <c r="Q351" s="20"/>
    </row>
    <row r="352" customFormat="false" ht="14.25" hidden="false" customHeight="false" outlineLevel="0" collapsed="false">
      <c r="A352" s="0" t="s">
        <v>404</v>
      </c>
      <c r="E352" s="21" t="str">
        <f aca="false">IF(Q325="?OLD","!!!","")</f>
        <v/>
      </c>
      <c r="F352" s="22" t="str">
        <f aca="false">IF(OR(E352="",E352="!!!"),"",IF(NOT(ISNA(VLOOKUP(E352,R$1:R324,1,FALSE()))),"OLD",IF(AND(E352&lt;&gt;"",E352&lt;&gt;"!!!"),"NEW","")))</f>
        <v/>
      </c>
      <c r="G352" s="23" t="str">
        <f aca="false"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aca="false">IF(J352&lt;&gt;1,"",IF(I352="SBJ","CB","?"))</f>
        <v/>
      </c>
      <c r="I352" s="25" t="str">
        <f aca="false">IF(OR(E352="",E352="!!!",F352="NEW"),"",INDEX(O$2:O324,-1+SUMPRODUCT(MAX(ROW(R$2:R324)*(E352=R$2:R324)))))</f>
        <v/>
      </c>
      <c r="J352" s="25" t="str">
        <f aca="true">IF(OR(E352="",E352="!!!",F352="NEW"),"",COUNTBLANK(OFFSET(N$1,,,SUMPRODUCT(MAX(ROW(R$2:R325)*(E352=R$2:R325)))))-COUNTBLANK(OFFSET(N$1,,,SUMPRODUCT(MAX(ROW(R$1:R324)*(R2=R$1:R324))))))</f>
        <v/>
      </c>
      <c r="K352" s="25" t="str">
        <f aca="false">IF(OR(E352="",E352="!!!",F352="NEW"),"",INDEX(W$1:W324,SUMPRODUCT(MAX(ROW(R$1:R324)*(E352=R$1:R324)))))</f>
        <v/>
      </c>
      <c r="L352" s="26"/>
    </row>
    <row r="353" customFormat="false" ht="14.25" hidden="false" customHeight="false" outlineLevel="0" collapsed="false">
      <c r="A353" s="0" t="s">
        <v>140</v>
      </c>
      <c r="E353" s="21" t="str">
        <f aca="false">IF(Q326="?OLD","!!!","")</f>
        <v/>
      </c>
      <c r="F353" s="22" t="str">
        <f aca="false">IF(OR(E353="",E353="!!!"),"",IF(NOT(ISNA(VLOOKUP(E353,R$1:R325,1,FALSE()))),"OLD",IF(AND(E353&lt;&gt;"",E353&lt;&gt;"!!!"),"NEW","")))</f>
        <v/>
      </c>
      <c r="G353" s="23" t="str">
        <f aca="false"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aca="false">IF(J353&lt;&gt;1,"",IF(I353="SBJ","CB","?"))</f>
        <v/>
      </c>
      <c r="I353" s="25" t="str">
        <f aca="false">IF(OR(E353="",E353="!!!",F353="NEW"),"",INDEX(O$2:O325,-1+SUMPRODUCT(MAX(ROW(R$2:R325)*(E353=R$2:R325)))))</f>
        <v/>
      </c>
      <c r="J353" s="25" t="str">
        <f aca="true">IF(OR(E353="",E353="!!!",F353="NEW"),"",COUNTBLANK(OFFSET(N$1,,,SUMPRODUCT(MAX(ROW(R$2:R326)*(E353=R$2:R326)))))-COUNTBLANK(OFFSET(N$1,,,SUMPRODUCT(MAX(ROW(R$1:R325)*(R2=R$1:R325))))))</f>
        <v/>
      </c>
      <c r="K353" s="25" t="str">
        <f aca="false">IF(OR(E353="",E353="!!!",F353="NEW"),"",INDEX(W$1:W325,SUMPRODUCT(MAX(ROW(R$1:R325)*(E353=R$1:R325)))))</f>
        <v/>
      </c>
      <c r="L353" s="26"/>
      <c r="O353" s="20"/>
      <c r="P353" s="20"/>
      <c r="Q353" s="20"/>
    </row>
    <row r="354" customFormat="false" ht="14.25" hidden="false" customHeight="false" outlineLevel="0" collapsed="false">
      <c r="A354" s="0" t="s">
        <v>138</v>
      </c>
      <c r="E354" s="21" t="str">
        <f aca="false">IF(Q327="?OLD","!!!","")</f>
        <v/>
      </c>
      <c r="F354" s="22" t="str">
        <f aca="false">IF(OR(E354="",E354="!!!"),"",IF(NOT(ISNA(VLOOKUP(E354,R$1:R326,1,FALSE()))),"OLD",IF(AND(E354&lt;&gt;"",E354&lt;&gt;"!!!"),"NEW","")))</f>
        <v/>
      </c>
      <c r="G354" s="23" t="str">
        <f aca="false"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aca="false">IF(J354&lt;&gt;1,"",IF(I354="SBJ","CB","?"))</f>
        <v/>
      </c>
      <c r="I354" s="25" t="str">
        <f aca="false">IF(OR(E354="",E354="!!!",F354="NEW"),"",INDEX(O$2:O326,-1+SUMPRODUCT(MAX(ROW(R$2:R326)*(E354=R$2:R326)))))</f>
        <v/>
      </c>
      <c r="J354" s="25" t="str">
        <f aca="true">IF(OR(E354="",E354="!!!",F354="NEW"),"",COUNTBLANK(OFFSET(N$1,,,SUMPRODUCT(MAX(ROW(R$2:R327)*(E354=R$2:R327)))))-COUNTBLANK(OFFSET(N$1,,,SUMPRODUCT(MAX(ROW(R$1:R326)*(R2=R$1:R326))))))</f>
        <v/>
      </c>
      <c r="K354" s="25" t="str">
        <f aca="false">IF(OR(E354="",E354="!!!",F354="NEW"),"",INDEX(W$1:W326,SUMPRODUCT(MAX(ROW(R$1:R326)*(E354=R$1:R326)))))</f>
        <v/>
      </c>
      <c r="L354" s="26"/>
    </row>
    <row r="355" customFormat="false" ht="14.25" hidden="false" customHeight="false" outlineLevel="0" collapsed="false">
      <c r="A355" s="0" t="s">
        <v>405</v>
      </c>
      <c r="B355" s="20" t="s">
        <v>123</v>
      </c>
      <c r="C355" s="20" t="s">
        <v>124</v>
      </c>
      <c r="D355" s="20" t="s">
        <v>125</v>
      </c>
      <c r="E355" s="21" t="s">
        <v>401</v>
      </c>
      <c r="F355" s="22" t="str">
        <f aca="false">IF(OR(E355="",E355="!!!"),"",IF(NOT(ISNA(VLOOKUP(E355,R$1:R327,1,FALSE()))),"OLD",IF(AND(E355&lt;&gt;"",E355&lt;&gt;"!!!"),"NEW","")))</f>
        <v>NEW</v>
      </c>
      <c r="G355" s="23" t="str">
        <f aca="false"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?REFERENTIAL</v>
      </c>
      <c r="H355" s="24" t="str">
        <f aca="false">IF(J355&lt;&gt;1,"",IF(I355="SBJ","CB","?"))</f>
        <v/>
      </c>
      <c r="I355" s="25" t="str">
        <f aca="false">IF(OR(E355="",E355="!!!",F355="NEW"),"",INDEX(O$2:O327,-1+SUMPRODUCT(MAX(ROW(R$2:R327)*(E355=R$2:R327)))))</f>
        <v/>
      </c>
      <c r="J355" s="25" t="str">
        <f aca="true">IF(OR(E355="",E355="!!!",F355="NEW"),"",COUNTBLANK(OFFSET(N$1,,,SUMPRODUCT(MAX(ROW(R$2:R328)*(E355=R$2:R328)))))-COUNTBLANK(OFFSET(N$1,,,SUMPRODUCT(MAX(ROW(R$1:R327)*(R2=R$1:R327))))))</f>
        <v/>
      </c>
      <c r="K355" s="25" t="str">
        <f aca="false">IF(OR(E355="",E355="!!!",F355="NEW"),"",INDEX(W$1:W327,SUMPRODUCT(MAX(ROW(R$1:R327)*(E355=R$1:R327)))))</f>
        <v/>
      </c>
      <c r="L355" s="26"/>
    </row>
    <row r="356" customFormat="false" ht="14.25" hidden="false" customHeight="false" outlineLevel="0" collapsed="false">
      <c r="A356" s="0" t="s">
        <v>287</v>
      </c>
      <c r="B356" s="20" t="s">
        <v>224</v>
      </c>
      <c r="C356" s="20" t="s">
        <v>124</v>
      </c>
      <c r="D356" s="20" t="s">
        <v>125</v>
      </c>
      <c r="E356" s="21" t="s">
        <v>126</v>
      </c>
      <c r="F356" s="22" t="str">
        <f aca="false">IF(OR(E356="",E356="!!!"),"",IF(NOT(ISNA(VLOOKUP(E356,R$1:R328,1,FALSE()))),"OLD",IF(AND(E356&lt;&gt;"",E356&lt;&gt;"!!!"),"NEW","")))</f>
        <v>NEW</v>
      </c>
      <c r="G356" s="23" t="str">
        <f aca="false"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?REFERENTIAL</v>
      </c>
      <c r="H356" s="24" t="str">
        <f aca="false">IF(J356&lt;&gt;1,"",IF(I356="SBJ","CB","?"))</f>
        <v/>
      </c>
      <c r="I356" s="25" t="str">
        <f aca="false">IF(OR(E356="",E356="!!!",F356="NEW"),"",INDEX(O$2:O328,-1+SUMPRODUCT(MAX(ROW(R$2:R328)*(E356=R$2:R328)))))</f>
        <v/>
      </c>
      <c r="J356" s="25" t="str">
        <f aca="true">IF(OR(E356="",E356="!!!",F356="NEW"),"",COUNTBLANK(OFFSET(N$1,,,SUMPRODUCT(MAX(ROW(R$2:R329)*(E356=R$2:R329)))))-COUNTBLANK(OFFSET(N$1,,,SUMPRODUCT(MAX(ROW(R$1:R328)*(R2=R$1:R328))))))</f>
        <v/>
      </c>
      <c r="K356" s="25" t="str">
        <f aca="false">IF(OR(E356="",E356="!!!",F356="NEW"),"",INDEX(W$1:W328,SUMPRODUCT(MAX(ROW(R$1:R328)*(E356=R$1:R328)))))</f>
        <v/>
      </c>
      <c r="L356" s="26"/>
    </row>
    <row r="357" customFormat="false" ht="14.25" hidden="false" customHeight="false" outlineLevel="0" collapsed="false">
      <c r="A357" s="0" t="s">
        <v>406</v>
      </c>
      <c r="E357" s="21" t="str">
        <f aca="false">IF(Q330="?OLD","!!!","")</f>
        <v/>
      </c>
      <c r="F357" s="22" t="str">
        <f aca="false">IF(OR(E357="",E357="!!!"),"",IF(NOT(ISNA(VLOOKUP(E357,R$1:R329,1,FALSE()))),"OLD",IF(AND(E357&lt;&gt;"",E357&lt;&gt;"!!!"),"NEW","")))</f>
        <v/>
      </c>
      <c r="G357" s="23" t="str">
        <f aca="false"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aca="false">IF(J357&lt;&gt;1,"",IF(I357="SBJ","CB","?"))</f>
        <v/>
      </c>
      <c r="I357" s="25" t="str">
        <f aca="false">IF(OR(E357="",E357="!!!",F357="NEW"),"",INDEX(O$2:O329,-1+SUMPRODUCT(MAX(ROW(R$2:R329)*(E357=R$2:R329)))))</f>
        <v/>
      </c>
      <c r="J357" s="25" t="str">
        <f aca="true">IF(OR(E357="",E357="!!!",F357="NEW"),"",COUNTBLANK(OFFSET(N$1,,,SUMPRODUCT(MAX(ROW(R$2:R330)*(E357=R$2:R330)))))-COUNTBLANK(OFFSET(N$1,,,SUMPRODUCT(MAX(ROW(R$1:R329)*(R2=R$1:R329))))))</f>
        <v/>
      </c>
      <c r="K357" s="25" t="str">
        <f aca="false">IF(OR(E357="",E357="!!!",F357="NEW"),"",INDEX(W$1:W329,SUMPRODUCT(MAX(ROW(R$1:R329)*(E357=R$1:R329)))))</f>
        <v/>
      </c>
      <c r="L357" s="26"/>
    </row>
    <row r="358" customFormat="false" ht="14.25" hidden="false" customHeight="false" outlineLevel="0" collapsed="false">
      <c r="A358" s="0" t="s">
        <v>140</v>
      </c>
      <c r="E358" s="21" t="str">
        <f aca="false">IF(Q331="?OLD","!!!","")</f>
        <v/>
      </c>
      <c r="F358" s="22" t="str">
        <f aca="false">IF(OR(E358="",E358="!!!"),"",IF(NOT(ISNA(VLOOKUP(E358,R$1:R330,1,FALSE()))),"OLD",IF(AND(E358&lt;&gt;"",E358&lt;&gt;"!!!"),"NEW","")))</f>
        <v/>
      </c>
      <c r="G358" s="23" t="str">
        <f aca="false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aca="false">IF(J358&lt;&gt;1,"",IF(I358="SBJ","CB","?"))</f>
        <v/>
      </c>
      <c r="I358" s="25" t="str">
        <f aca="false">IF(OR(E358="",E358="!!!",F358="NEW"),"",INDEX(O$2:O330,-1+SUMPRODUCT(MAX(ROW(R$2:R330)*(E358=R$2:R330)))))</f>
        <v/>
      </c>
      <c r="J358" s="25" t="str">
        <f aca="true">IF(OR(E358="",E358="!!!",F358="NEW"),"",COUNTBLANK(OFFSET(N$1,,,SUMPRODUCT(MAX(ROW(R$2:R331)*(E358=R$2:R331)))))-COUNTBLANK(OFFSET(N$1,,,SUMPRODUCT(MAX(ROW(R$1:R330)*(R2=R$1:R330))))))</f>
        <v/>
      </c>
      <c r="K358" s="25" t="str">
        <f aca="false">IF(OR(E358="",E358="!!!",F358="NEW"),"",INDEX(W$1:W330,SUMPRODUCT(MAX(ROW(R$1:R330)*(E358=R$1:R330)))))</f>
        <v/>
      </c>
      <c r="L358" s="26"/>
    </row>
    <row r="359" customFormat="false" ht="14.25" hidden="false" customHeight="false" outlineLevel="0" collapsed="false">
      <c r="A359" s="0" t="s">
        <v>407</v>
      </c>
      <c r="E359" s="21" t="str">
        <f aca="false">IF(Q332="?OLD","!!!","")</f>
        <v/>
      </c>
      <c r="F359" s="22" t="str">
        <f aca="false">IF(OR(E359="",E359="!!!"),"",IF(NOT(ISNA(VLOOKUP(E359,R$1:R331,1,FALSE()))),"OLD",IF(AND(E359&lt;&gt;"",E359&lt;&gt;"!!!"),"NEW","")))</f>
        <v/>
      </c>
      <c r="G359" s="23" t="str">
        <f aca="false"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aca="false">IF(J359&lt;&gt;1,"",IF(I359="SBJ","CB","?"))</f>
        <v/>
      </c>
      <c r="I359" s="25" t="str">
        <f aca="false">IF(OR(E359="",E359="!!!",F359="NEW"),"",INDEX(O$2:O331,-1+SUMPRODUCT(MAX(ROW(R$2:R331)*(E359=R$2:R331)))))</f>
        <v/>
      </c>
      <c r="J359" s="25" t="str">
        <f aca="true">IF(OR(E359="",E359="!!!",F359="NEW"),"",COUNTBLANK(OFFSET(N$1,,,SUMPRODUCT(MAX(ROW(R$2:R332)*(E359=R$2:R332)))))-COUNTBLANK(OFFSET(N$1,,,SUMPRODUCT(MAX(ROW(R$1:R331)*(R2=R$1:R331))))))</f>
        <v/>
      </c>
      <c r="K359" s="25" t="str">
        <f aca="false">IF(OR(E359="",E359="!!!",F359="NEW"),"",INDEX(W$1:W331,SUMPRODUCT(MAX(ROW(R$1:R331)*(E359=R$1:R331)))))</f>
        <v/>
      </c>
      <c r="L359" s="26"/>
      <c r="O359" s="20"/>
      <c r="P359" s="20"/>
      <c r="Q359" s="20"/>
    </row>
    <row r="360" customFormat="false" ht="14.25" hidden="false" customHeight="false" outlineLevel="0" collapsed="false">
      <c r="A360" s="0" t="s">
        <v>204</v>
      </c>
      <c r="B360" s="20" t="s">
        <v>235</v>
      </c>
      <c r="C360" s="20" t="s">
        <v>124</v>
      </c>
      <c r="D360" s="20" t="s">
        <v>125</v>
      </c>
      <c r="E360" s="21" t="s">
        <v>126</v>
      </c>
      <c r="F360" s="22" t="str">
        <f aca="false">IF(OR(E360="",E360="!!!"),"",IF(NOT(ISNA(VLOOKUP(E360,R$1:R332,1,FALSE()))),"OLD",IF(AND(E360&lt;&gt;"",E360&lt;&gt;"!!!"),"NEW","")))</f>
        <v>NEW</v>
      </c>
      <c r="G360" s="23" t="str">
        <f aca="false"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?REFERENTIAL</v>
      </c>
      <c r="H360" s="24" t="str">
        <f aca="false">IF(J360&lt;&gt;1,"",IF(I360="SBJ","CB","?"))</f>
        <v/>
      </c>
      <c r="I360" s="25" t="str">
        <f aca="false">IF(OR(E360="",E360="!!!",F360="NEW"),"",INDEX(O$2:O332,-1+SUMPRODUCT(MAX(ROW(R$2:R332)*(E360=R$2:R332)))))</f>
        <v/>
      </c>
      <c r="J360" s="25" t="str">
        <f aca="true">IF(OR(E360="",E360="!!!",F360="NEW"),"",COUNTBLANK(OFFSET(N$1,,,SUMPRODUCT(MAX(ROW(R$2:R333)*(E360=R$2:R333)))))-COUNTBLANK(OFFSET(N$1,,,SUMPRODUCT(MAX(ROW(R$1:R332)*(R2=R$1:R332))))))</f>
        <v/>
      </c>
      <c r="K360" s="25" t="str">
        <f aca="false">IF(OR(E360="",E360="!!!",F360="NEW"),"",INDEX(W$1:W332,SUMPRODUCT(MAX(ROW(R$1:R332)*(E360=R$1:R332)))))</f>
        <v/>
      </c>
      <c r="L360" s="26"/>
    </row>
    <row r="361" customFormat="false" ht="14.25" hidden="false" customHeight="false" outlineLevel="0" collapsed="false">
      <c r="A361" s="0" t="s">
        <v>283</v>
      </c>
      <c r="E361" s="21" t="str">
        <f aca="false">IF(Q334="?OLD","!!!","")</f>
        <v/>
      </c>
      <c r="F361" s="22" t="str">
        <f aca="false">IF(OR(E361="",E361="!!!"),"",IF(NOT(ISNA(VLOOKUP(E361,R$1:R333,1,FALSE()))),"OLD",IF(AND(E361&lt;&gt;"",E361&lt;&gt;"!!!"),"NEW","")))</f>
        <v/>
      </c>
      <c r="G361" s="23" t="str">
        <f aca="false"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aca="false">IF(J361&lt;&gt;1,"",IF(I361="SBJ","CB","?"))</f>
        <v/>
      </c>
      <c r="I361" s="25" t="str">
        <f aca="false">IF(OR(E361="",E361="!!!",F361="NEW"),"",INDEX(O$2:O333,-1+SUMPRODUCT(MAX(ROW(R$2:R333)*(E361=R$2:R333)))))</f>
        <v/>
      </c>
      <c r="J361" s="25" t="str">
        <f aca="true">IF(OR(E361="",E361="!!!",F361="NEW"),"",COUNTBLANK(OFFSET(N$1,,,SUMPRODUCT(MAX(ROW(R$2:R334)*(E361=R$2:R334)))))-COUNTBLANK(OFFSET(N$1,,,SUMPRODUCT(MAX(ROW(R$1:R333)*(R2=R$1:R333))))))</f>
        <v/>
      </c>
      <c r="K361" s="25" t="str">
        <f aca="false">IF(OR(E361="",E361="!!!",F361="NEW"),"",INDEX(W$1:W333,SUMPRODUCT(MAX(ROW(R$1:R333)*(E361=R$1:R333)))))</f>
        <v/>
      </c>
      <c r="L361" s="26"/>
      <c r="O361" s="20"/>
      <c r="P361" s="20"/>
      <c r="Q361" s="20"/>
    </row>
    <row r="362" customFormat="false" ht="23.85" hidden="false" customHeight="false" outlineLevel="0" collapsed="false">
      <c r="A362" s="0" t="s">
        <v>408</v>
      </c>
      <c r="B362" s="20" t="s">
        <v>274</v>
      </c>
      <c r="C362" s="20" t="s">
        <v>146</v>
      </c>
      <c r="E362" s="21" t="s">
        <v>409</v>
      </c>
      <c r="F362" s="22" t="str">
        <f aca="false">IF(OR(E362="",E362="!!!"),"",IF(NOT(ISNA(VLOOKUP(E362,R$1:R334,1,FALSE()))),"OLD",IF(AND(E362&lt;&gt;"",E362&lt;&gt;"!!!"),"NEW","")))</f>
        <v>NEW</v>
      </c>
      <c r="G362" s="23" t="str">
        <f aca="false"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?REFERENTIAL</v>
      </c>
      <c r="H362" s="24" t="str">
        <f aca="false">IF(J362&lt;&gt;1,"",IF(I362="SBJ","CB","?"))</f>
        <v/>
      </c>
      <c r="I362" s="25" t="str">
        <f aca="false">IF(OR(E362="",E362="!!!",F362="NEW"),"",INDEX(O$2:O334,-1+SUMPRODUCT(MAX(ROW(R$2:R334)*(E362=R$2:R334)))))</f>
        <v/>
      </c>
      <c r="J362" s="25" t="str">
        <f aca="true">IF(OR(E362="",E362="!!!",F362="NEW"),"",COUNTBLANK(OFFSET(N$1,,,SUMPRODUCT(MAX(ROW(R$2:R335)*(E362=R$2:R335)))))-COUNTBLANK(OFFSET(N$1,,,SUMPRODUCT(MAX(ROW(R$1:R334)*(R2=R$1:R334))))))</f>
        <v/>
      </c>
      <c r="K362" s="25" t="str">
        <f aca="false">IF(OR(E362="",E362="!!!",F362="NEW"),"",INDEX(W$1:W334,SUMPRODUCT(MAX(ROW(R$1:R334)*(E362=R$1:R334)))))</f>
        <v/>
      </c>
      <c r="L362" s="26" t="s">
        <v>410</v>
      </c>
    </row>
    <row r="363" customFormat="false" ht="14.25" hidden="false" customHeight="false" outlineLevel="0" collapsed="false">
      <c r="A363" s="0" t="s">
        <v>166</v>
      </c>
      <c r="E363" s="21" t="str">
        <f aca="false">IF(Q336="?OLD","!!!","")</f>
        <v/>
      </c>
      <c r="F363" s="22" t="str">
        <f aca="false">IF(OR(E363="",E363="!!!"),"",IF(NOT(ISNA(VLOOKUP(E363,R$1:R335,1,FALSE()))),"OLD",IF(AND(E363&lt;&gt;"",E363&lt;&gt;"!!!"),"NEW","")))</f>
        <v/>
      </c>
      <c r="G363" s="23" t="str">
        <f aca="false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aca="false">IF(J363&lt;&gt;1,"",IF(I363="SBJ","CB","?"))</f>
        <v/>
      </c>
      <c r="I363" s="25" t="str">
        <f aca="false">IF(OR(E363="",E363="!!!",F363="NEW"),"",INDEX(O$2:O335,-1+SUMPRODUCT(MAX(ROW(R$2:R335)*(E363=R$2:R335)))))</f>
        <v/>
      </c>
      <c r="J363" s="25" t="str">
        <f aca="true">IF(OR(E363="",E363="!!!",F363="NEW"),"",COUNTBLANK(OFFSET(N$1,,,SUMPRODUCT(MAX(ROW(R$2:R336)*(E363=R$2:R336)))))-COUNTBLANK(OFFSET(N$1,,,SUMPRODUCT(MAX(ROW(R$1:R335)*(R2=R$1:R335))))))</f>
        <v/>
      </c>
      <c r="K363" s="25" t="str">
        <f aca="false">IF(OR(E363="",E363="!!!",F363="NEW"),"",INDEX(W$1:W335,SUMPRODUCT(MAX(ROW(R$1:R335)*(E363=R$1:R335)))))</f>
        <v/>
      </c>
      <c r="L363" s="26"/>
      <c r="O363" s="20"/>
      <c r="P363" s="20"/>
      <c r="Q363" s="20"/>
    </row>
    <row r="364" customFormat="false" ht="14.25" hidden="false" customHeight="false" outlineLevel="0" collapsed="false">
      <c r="A364" s="0" t="s">
        <v>411</v>
      </c>
      <c r="B364" s="20" t="s">
        <v>412</v>
      </c>
      <c r="C364" s="20" t="s">
        <v>192</v>
      </c>
      <c r="D364" s="20" t="s">
        <v>125</v>
      </c>
      <c r="E364" s="21"/>
      <c r="F364" s="22" t="str">
        <f aca="false">IF(OR(E364="",E364="!!!"),"",IF(NOT(ISNA(VLOOKUP(E364,R$1:R336,1,FALSE()))),"OLD",IF(AND(E364&lt;&gt;"",E364&lt;&gt;"!!!"),"NEW","")))</f>
        <v/>
      </c>
      <c r="G364" s="23" t="str">
        <f aca="false"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aca="false">IF(J364&lt;&gt;1,"",IF(I364="SBJ","CB","?"))</f>
        <v/>
      </c>
      <c r="I364" s="25" t="str">
        <f aca="false">IF(OR(E364="",E364="!!!",F364="NEW"),"",INDEX(O$2:O336,-1+SUMPRODUCT(MAX(ROW(R$2:R336)*(E364=R$2:R336)))))</f>
        <v/>
      </c>
      <c r="J364" s="25" t="str">
        <f aca="true">IF(OR(E364="",E364="!!!",F364="NEW"),"",COUNTBLANK(OFFSET(N$1,,,SUMPRODUCT(MAX(ROW(R$2:R337)*(E364=R$2:R337)))))-COUNTBLANK(OFFSET(N$1,,,SUMPRODUCT(MAX(ROW(R$1:R336)*(R2=R$1:R336))))))</f>
        <v/>
      </c>
      <c r="K364" s="25" t="str">
        <f aca="false">IF(OR(E364="",E364="!!!",F364="NEW"),"",INDEX(W$1:W336,SUMPRODUCT(MAX(ROW(R$1:R336)*(E364=R$1:R336)))))</f>
        <v/>
      </c>
      <c r="L364" s="26" t="s">
        <v>193</v>
      </c>
      <c r="O364" s="20"/>
      <c r="P364" s="20"/>
    </row>
    <row r="365" customFormat="false" ht="14.25" hidden="false" customHeight="false" outlineLevel="0" collapsed="false">
      <c r="A365" s="0" t="s">
        <v>413</v>
      </c>
      <c r="B365" s="20" t="s">
        <v>232</v>
      </c>
      <c r="C365" s="20" t="s">
        <v>195</v>
      </c>
      <c r="D365" s="20" t="s">
        <v>125</v>
      </c>
      <c r="E365" s="21" t="s">
        <v>390</v>
      </c>
      <c r="F365" s="22" t="str">
        <f aca="false">IF(OR(E365="",E365="!!!"),"",IF(NOT(ISNA(VLOOKUP(E365,R$1:R337,1,FALSE()))),"OLD",IF(AND(E365&lt;&gt;"",E365&lt;&gt;"!!!"),"NEW","")))</f>
        <v>NEW</v>
      </c>
      <c r="G365" s="23" t="str">
        <f aca="false"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?REFERENTIAL</v>
      </c>
      <c r="H365" s="24" t="str">
        <f aca="false">IF(J365&lt;&gt;1,"",IF(I365="SBJ","CB","?"))</f>
        <v/>
      </c>
      <c r="I365" s="25" t="str">
        <f aca="false">IF(OR(E365="",E365="!!!",F365="NEW"),"",INDEX(O$2:O337,-1+SUMPRODUCT(MAX(ROW(R$2:R337)*(E365=R$2:R337)))))</f>
        <v/>
      </c>
      <c r="J365" s="25" t="str">
        <f aca="true">IF(OR(E365="",E365="!!!",F365="NEW"),"",COUNTBLANK(OFFSET(N$1,,,SUMPRODUCT(MAX(ROW(R$2:R338)*(E365=R$2:R338)))))-COUNTBLANK(OFFSET(N$1,,,SUMPRODUCT(MAX(ROW(R$1:R337)*(R2=R$1:R337))))))</f>
        <v/>
      </c>
      <c r="K365" s="25" t="str">
        <f aca="false">IF(OR(E365="",E365="!!!",F365="NEW"),"",INDEX(W$1:W337,SUMPRODUCT(MAX(ROW(R$1:R337)*(E365=R$1:R337)))))</f>
        <v/>
      </c>
      <c r="L365" s="26"/>
    </row>
    <row r="366" customFormat="false" ht="14.25" hidden="false" customHeight="false" outlineLevel="0" collapsed="false">
      <c r="A366" s="0" t="s">
        <v>414</v>
      </c>
      <c r="E366" s="21" t="str">
        <f aca="false">IF(Q339="?OLD","!!!","")</f>
        <v/>
      </c>
      <c r="F366" s="22" t="str">
        <f aca="false">IF(OR(E366="",E366="!!!"),"",IF(NOT(ISNA(VLOOKUP(E366,R$1:R338,1,FALSE()))),"OLD",IF(AND(E366&lt;&gt;"",E366&lt;&gt;"!!!"),"NEW","")))</f>
        <v/>
      </c>
      <c r="G366" s="23" t="str">
        <f aca="false"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aca="false">IF(J366&lt;&gt;1,"",IF(I366="SBJ","CB","?"))</f>
        <v/>
      </c>
      <c r="I366" s="25" t="str">
        <f aca="false">IF(OR(E366="",E366="!!!",F366="NEW"),"",INDEX(O$2:O338,-1+SUMPRODUCT(MAX(ROW(R$2:R338)*(E366=R$2:R338)))))</f>
        <v/>
      </c>
      <c r="J366" s="25" t="str">
        <f aca="true">IF(OR(E366="",E366="!!!",F366="NEW"),"",COUNTBLANK(OFFSET(N$1,,,SUMPRODUCT(MAX(ROW(R$2:R339)*(E366=R$2:R339)))))-COUNTBLANK(OFFSET(N$1,,,SUMPRODUCT(MAX(ROW(R$1:R338)*(R2=R$1:R338))))))</f>
        <v/>
      </c>
      <c r="K366" s="25" t="str">
        <f aca="false">IF(OR(E366="",E366="!!!",F366="NEW"),"",INDEX(W$1:W338,SUMPRODUCT(MAX(ROW(R$1:R338)*(E366=R$1:R338)))))</f>
        <v/>
      </c>
      <c r="L366" s="26"/>
    </row>
    <row r="367" customFormat="false" ht="14.25" hidden="false" customHeight="false" outlineLevel="0" collapsed="false">
      <c r="A367" s="0" t="s">
        <v>140</v>
      </c>
      <c r="E367" s="21" t="str">
        <f aca="false">IF(Q340="?OLD","!!!","")</f>
        <v/>
      </c>
      <c r="F367" s="22" t="str">
        <f aca="false">IF(OR(E367="",E367="!!!"),"",IF(NOT(ISNA(VLOOKUP(E367,R$1:R339,1,FALSE()))),"OLD",IF(AND(E367&lt;&gt;"",E367&lt;&gt;"!!!"),"NEW","")))</f>
        <v/>
      </c>
      <c r="G367" s="23" t="str">
        <f aca="false"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aca="false">IF(J367&lt;&gt;1,"",IF(I367="SBJ","CB","?"))</f>
        <v/>
      </c>
      <c r="I367" s="25" t="str">
        <f aca="false">IF(OR(E367="",E367="!!!",F367="NEW"),"",INDEX(O$2:O339,-1+SUMPRODUCT(MAX(ROW(R$2:R339)*(E367=R$2:R339)))))</f>
        <v/>
      </c>
      <c r="J367" s="25" t="str">
        <f aca="true">IF(OR(E367="",E367="!!!",F367="NEW"),"",COUNTBLANK(OFFSET(N$1,,,SUMPRODUCT(MAX(ROW(R$2:R340)*(E367=R$2:R340)))))-COUNTBLANK(OFFSET(N$1,,,SUMPRODUCT(MAX(ROW(R$1:R339)*(R2=R$1:R339))))))</f>
        <v/>
      </c>
      <c r="K367" s="25" t="str">
        <f aca="false">IF(OR(E367="",E367="!!!",F367="NEW"),"",INDEX(W$1:W339,SUMPRODUCT(MAX(ROW(R$1:R339)*(E367=R$1:R339)))))</f>
        <v/>
      </c>
      <c r="L367" s="26"/>
    </row>
    <row r="368" customFormat="false" ht="14.25" hidden="false" customHeight="false" outlineLevel="0" collapsed="false">
      <c r="A368" s="0" t="s">
        <v>415</v>
      </c>
      <c r="E368" s="21" t="str">
        <f aca="false">IF(Q341="?OLD","!!!","")</f>
        <v/>
      </c>
      <c r="F368" s="22" t="str">
        <f aca="false">IF(OR(E368="",E368="!!!"),"",IF(NOT(ISNA(VLOOKUP(E368,R$1:R340,1,FALSE()))),"OLD",IF(AND(E368&lt;&gt;"",E368&lt;&gt;"!!!"),"NEW","")))</f>
        <v/>
      </c>
      <c r="G368" s="23" t="str">
        <f aca="false"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aca="false">IF(J368&lt;&gt;1,"",IF(I368="SBJ","CB","?"))</f>
        <v/>
      </c>
      <c r="I368" s="25" t="str">
        <f aca="false">IF(OR(E368="",E368="!!!",F368="NEW"),"",INDEX(O$2:O340,-1+SUMPRODUCT(MAX(ROW(R$2:R340)*(E368=R$2:R340)))))</f>
        <v/>
      </c>
      <c r="J368" s="25" t="str">
        <f aca="true">IF(OR(E368="",E368="!!!",F368="NEW"),"",COUNTBLANK(OFFSET(N$1,,,SUMPRODUCT(MAX(ROW(R$2:R341)*(E368=R$2:R341)))))-COUNTBLANK(OFFSET(N$1,,,SUMPRODUCT(MAX(ROW(R$1:R340)*(R2=R$1:R340))))))</f>
        <v/>
      </c>
      <c r="K368" s="25" t="str">
        <f aca="false">IF(OR(E368="",E368="!!!",F368="NEW"),"",INDEX(W$1:W340,SUMPRODUCT(MAX(ROW(R$1:R340)*(E368=R$1:R340)))))</f>
        <v/>
      </c>
      <c r="L368" s="26"/>
      <c r="O368" s="20"/>
      <c r="P368" s="20"/>
      <c r="Q368" s="20"/>
    </row>
    <row r="369" customFormat="false" ht="14.25" hidden="false" customHeight="false" outlineLevel="0" collapsed="false">
      <c r="A369" s="0" t="s">
        <v>204</v>
      </c>
      <c r="B369" s="20" t="s">
        <v>164</v>
      </c>
      <c r="C369" s="20" t="s">
        <v>124</v>
      </c>
      <c r="D369" s="20" t="s">
        <v>125</v>
      </c>
      <c r="E369" s="21" t="s">
        <v>126</v>
      </c>
      <c r="F369" s="22" t="str">
        <f aca="false">IF(OR(E369="",E369="!!!"),"",IF(NOT(ISNA(VLOOKUP(E369,R$1:R341,1,FALSE()))),"OLD",IF(AND(E369&lt;&gt;"",E369&lt;&gt;"!!!"),"NEW","")))</f>
        <v>NEW</v>
      </c>
      <c r="G369" s="23" t="str">
        <f aca="false"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?REFERENTIAL</v>
      </c>
      <c r="H369" s="24" t="str">
        <f aca="false">IF(J369&lt;&gt;1,"",IF(I369="SBJ","CB","?"))</f>
        <v/>
      </c>
      <c r="I369" s="25" t="str">
        <f aca="false">IF(OR(E369="",E369="!!!",F369="NEW"),"",INDEX(O$2:O341,-1+SUMPRODUCT(MAX(ROW(R$2:R341)*(E369=R$2:R341)))))</f>
        <v/>
      </c>
      <c r="J369" s="25" t="str">
        <f aca="true">IF(OR(E369="",E369="!!!",F369="NEW"),"",COUNTBLANK(OFFSET(N$1,,,SUMPRODUCT(MAX(ROW(R$2:R342)*(E369=R$2:R342)))))-COUNTBLANK(OFFSET(N$1,,,SUMPRODUCT(MAX(ROW(R$1:R341)*(R2=R$1:R341))))))</f>
        <v/>
      </c>
      <c r="K369" s="25" t="str">
        <f aca="false">IF(OR(E369="",E369="!!!",F369="NEW"),"",INDEX(W$1:W341,SUMPRODUCT(MAX(ROW(R$1:R341)*(E369=R$1:R341)))))</f>
        <v/>
      </c>
      <c r="L369" s="26"/>
    </row>
    <row r="370" customFormat="false" ht="14.25" hidden="false" customHeight="false" outlineLevel="0" collapsed="false">
      <c r="A370" s="0" t="s">
        <v>416</v>
      </c>
      <c r="E370" s="21" t="str">
        <f aca="false">IF(Q343="?OLD","!!!","")</f>
        <v/>
      </c>
      <c r="F370" s="22" t="str">
        <f aca="false">IF(OR(E370="",E370="!!!"),"",IF(NOT(ISNA(VLOOKUP(E370,R$1:R342,1,FALSE()))),"OLD",IF(AND(E370&lt;&gt;"",E370&lt;&gt;"!!!"),"NEW","")))</f>
        <v/>
      </c>
      <c r="G370" s="23" t="str">
        <f aca="false"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aca="false">IF(J370&lt;&gt;1,"",IF(I370="SBJ","CB","?"))</f>
        <v/>
      </c>
      <c r="I370" s="25" t="str">
        <f aca="false">IF(OR(E370="",E370="!!!",F370="NEW"),"",INDEX(O$2:O342,-1+SUMPRODUCT(MAX(ROW(R$2:R342)*(E370=R$2:R342)))))</f>
        <v/>
      </c>
      <c r="J370" s="25" t="str">
        <f aca="true">IF(OR(E370="",E370="!!!",F370="NEW"),"",COUNTBLANK(OFFSET(N$1,,,SUMPRODUCT(MAX(ROW(R$2:R343)*(E370=R$2:R343)))))-COUNTBLANK(OFFSET(N$1,,,SUMPRODUCT(MAX(ROW(R$1:R342)*(R2=R$1:R342))))))</f>
        <v/>
      </c>
      <c r="K370" s="25" t="str">
        <f aca="false">IF(OR(E370="",E370="!!!",F370="NEW"),"",INDEX(W$1:W342,SUMPRODUCT(MAX(ROW(R$1:R342)*(E370=R$1:R342)))))</f>
        <v/>
      </c>
      <c r="L370" s="26"/>
    </row>
    <row r="371" customFormat="false" ht="14.25" hidden="false" customHeight="false" outlineLevel="0" collapsed="false">
      <c r="A371" s="0" t="s">
        <v>417</v>
      </c>
      <c r="E371" s="21" t="str">
        <f aca="false">IF(Q344="?OLD","!!!","")</f>
        <v/>
      </c>
      <c r="F371" s="22" t="str">
        <f aca="false">IF(OR(E371="",E371="!!!"),"",IF(NOT(ISNA(VLOOKUP(E371,R$1:R343,1,FALSE()))),"OLD",IF(AND(E371&lt;&gt;"",E371&lt;&gt;"!!!"),"NEW","")))</f>
        <v/>
      </c>
      <c r="G371" s="23" t="str">
        <f aca="false"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aca="false">IF(J371&lt;&gt;1,"",IF(I371="SBJ","CB","?"))</f>
        <v/>
      </c>
      <c r="I371" s="25" t="str">
        <f aca="false">IF(OR(E371="",E371="!!!",F371="NEW"),"",INDEX(O$2:O343,-1+SUMPRODUCT(MAX(ROW(R$2:R343)*(E371=R$2:R343)))))</f>
        <v/>
      </c>
      <c r="J371" s="25" t="str">
        <f aca="true">IF(OR(E371="",E371="!!!",F371="NEW"),"",COUNTBLANK(OFFSET(N$1,,,SUMPRODUCT(MAX(ROW(R$2:R344)*(E371=R$2:R344)))))-COUNTBLANK(OFFSET(N$1,,,SUMPRODUCT(MAX(ROW(R$1:R343)*(R2=R$1:R343))))))</f>
        <v/>
      </c>
      <c r="K371" s="25" t="str">
        <f aca="false">IF(OR(E371="",E371="!!!",F371="NEW"),"",INDEX(W$1:W343,SUMPRODUCT(MAX(ROW(R$1:R343)*(E371=R$1:R343)))))</f>
        <v/>
      </c>
      <c r="L371" s="26"/>
    </row>
    <row r="372" customFormat="false" ht="14.25" hidden="false" customHeight="false" outlineLevel="0" collapsed="false">
      <c r="A372" s="0" t="s">
        <v>418</v>
      </c>
      <c r="E372" s="21" t="str">
        <f aca="false">IF(Q345="?OLD","!!!","")</f>
        <v/>
      </c>
      <c r="F372" s="22" t="str">
        <f aca="false">IF(OR(E372="",E372="!!!"),"",IF(NOT(ISNA(VLOOKUP(E372,R$1:R344,1,FALSE()))),"OLD",IF(AND(E372&lt;&gt;"",E372&lt;&gt;"!!!"),"NEW","")))</f>
        <v/>
      </c>
      <c r="G372" s="23" t="str">
        <f aca="false"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aca="false">IF(J372&lt;&gt;1,"",IF(I372="SBJ","CB","?"))</f>
        <v/>
      </c>
      <c r="I372" s="25" t="str">
        <f aca="false">IF(OR(E372="",E372="!!!",F372="NEW"),"",INDEX(O$2:O344,-1+SUMPRODUCT(MAX(ROW(R$2:R344)*(E372=R$2:R344)))))</f>
        <v/>
      </c>
      <c r="J372" s="25" t="str">
        <f aca="true">IF(OR(E372="",E372="!!!",F372="NEW"),"",COUNTBLANK(OFFSET(N$1,,,SUMPRODUCT(MAX(ROW(R$2:R345)*(E372=R$2:R345)))))-COUNTBLANK(OFFSET(N$1,,,SUMPRODUCT(MAX(ROW(R$1:R344)*(R2=R$1:R344))))))</f>
        <v/>
      </c>
      <c r="K372" s="25" t="str">
        <f aca="false">IF(OR(E372="",E372="!!!",F372="NEW"),"",INDEX(W$1:W344,SUMPRODUCT(MAX(ROW(R$1:R344)*(E372=R$1:R344)))))</f>
        <v/>
      </c>
      <c r="L372" s="26"/>
    </row>
    <row r="373" customFormat="false" ht="14.25" hidden="false" customHeight="false" outlineLevel="0" collapsed="false">
      <c r="A373" s="0" t="s">
        <v>140</v>
      </c>
      <c r="E373" s="21" t="str">
        <f aca="false">IF(Q346="?OLD","!!!","")</f>
        <v/>
      </c>
      <c r="F373" s="22" t="str">
        <f aca="false">IF(OR(E373="",E373="!!!"),"",IF(NOT(ISNA(VLOOKUP(E373,R$1:R345,1,FALSE()))),"OLD",IF(AND(E373&lt;&gt;"",E373&lt;&gt;"!!!"),"NEW","")))</f>
        <v/>
      </c>
      <c r="G373" s="23" t="str">
        <f aca="false"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aca="false">IF(J373&lt;&gt;1,"",IF(I373="SBJ","CB","?"))</f>
        <v/>
      </c>
      <c r="I373" s="25" t="str">
        <f aca="false">IF(OR(E373="",E373="!!!",F373="NEW"),"",INDEX(O$2:O345,-1+SUMPRODUCT(MAX(ROW(R$2:R345)*(E373=R$2:R345)))))</f>
        <v/>
      </c>
      <c r="J373" s="25" t="str">
        <f aca="true">IF(OR(E373="",E373="!!!",F373="NEW"),"",COUNTBLANK(OFFSET(N$1,,,SUMPRODUCT(MAX(ROW(R$2:R346)*(E373=R$2:R346)))))-COUNTBLANK(OFFSET(N$1,,,SUMPRODUCT(MAX(ROW(R$1:R345)*(R2=R$1:R345))))))</f>
        <v/>
      </c>
      <c r="K373" s="25" t="str">
        <f aca="false">IF(OR(E373="",E373="!!!",F373="NEW"),"",INDEX(W$1:W345,SUMPRODUCT(MAX(ROW(R$1:R345)*(E373=R$1:R345)))))</f>
        <v/>
      </c>
      <c r="L373" s="26"/>
    </row>
    <row r="374" customFormat="false" ht="14.25" hidden="false" customHeight="false" outlineLevel="0" collapsed="false">
      <c r="A374" s="0" t="s">
        <v>357</v>
      </c>
      <c r="E374" s="21" t="str">
        <f aca="false">IF(Q347="?OLD","!!!","")</f>
        <v/>
      </c>
      <c r="F374" s="22" t="str">
        <f aca="false">IF(OR(E374="",E374="!!!"),"",IF(NOT(ISNA(VLOOKUP(E374,R$1:R346,1,FALSE()))),"OLD",IF(AND(E374&lt;&gt;"",E374&lt;&gt;"!!!"),"NEW","")))</f>
        <v/>
      </c>
      <c r="G374" s="23" t="str">
        <f aca="false"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aca="false">IF(J374&lt;&gt;1,"",IF(I374="SBJ","CB","?"))</f>
        <v/>
      </c>
      <c r="I374" s="25" t="str">
        <f aca="false">IF(OR(E374="",E374="!!!",F374="NEW"),"",INDEX(O$2:O346,-1+SUMPRODUCT(MAX(ROW(R$2:R346)*(E374=R$2:R346)))))</f>
        <v/>
      </c>
      <c r="J374" s="25" t="str">
        <f aca="true">IF(OR(E374="",E374="!!!",F374="NEW"),"",COUNTBLANK(OFFSET(N$1,,,SUMPRODUCT(MAX(ROW(R$2:R347)*(E374=R$2:R347)))))-COUNTBLANK(OFFSET(N$1,,,SUMPRODUCT(MAX(ROW(R$1:R346)*(R2=R$1:R346))))))</f>
        <v/>
      </c>
      <c r="K374" s="25" t="str">
        <f aca="false">IF(OR(E374="",E374="!!!",F374="NEW"),"",INDEX(W$1:W346,SUMPRODUCT(MAX(ROW(R$1:R346)*(E374=R$1:R346)))))</f>
        <v/>
      </c>
      <c r="L374" s="26"/>
    </row>
    <row r="375" customFormat="false" ht="14.25" hidden="false" customHeight="false" outlineLevel="0" collapsed="false">
      <c r="A375" s="0" t="s">
        <v>238</v>
      </c>
      <c r="E375" s="21" t="str">
        <f aca="false">IF(Q348="?OLD","!!!","")</f>
        <v/>
      </c>
      <c r="F375" s="22" t="str">
        <f aca="false">IF(OR(E375="",E375="!!!"),"",IF(NOT(ISNA(VLOOKUP(E375,R$1:R347,1,FALSE()))),"OLD",IF(AND(E375&lt;&gt;"",E375&lt;&gt;"!!!"),"NEW","")))</f>
        <v/>
      </c>
      <c r="G375" s="23" t="str">
        <f aca="false"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aca="false">IF(J375&lt;&gt;1,"",IF(I375="SBJ","CB","?"))</f>
        <v/>
      </c>
      <c r="I375" s="25" t="str">
        <f aca="false">IF(OR(E375="",E375="!!!",F375="NEW"),"",INDEX(O$2:O347,-1+SUMPRODUCT(MAX(ROW(R$2:R347)*(E375=R$2:R347)))))</f>
        <v/>
      </c>
      <c r="J375" s="25" t="str">
        <f aca="true">IF(OR(E375="",E375="!!!",F375="NEW"),"",COUNTBLANK(OFFSET(N$1,,,SUMPRODUCT(MAX(ROW(R$2:R348)*(E375=R$2:R348)))))-COUNTBLANK(OFFSET(N$1,,,SUMPRODUCT(MAX(ROW(R$1:R347)*(R2=R$1:R347))))))</f>
        <v/>
      </c>
      <c r="K375" s="25" t="str">
        <f aca="false">IF(OR(E375="",E375="!!!",F375="NEW"),"",INDEX(W$1:W347,SUMPRODUCT(MAX(ROW(R$1:R347)*(E375=R$1:R347)))))</f>
        <v/>
      </c>
      <c r="L375" s="26"/>
    </row>
    <row r="376" customFormat="false" ht="14.25" hidden="false" customHeight="false" outlineLevel="0" collapsed="false">
      <c r="A376" s="0" t="s">
        <v>140</v>
      </c>
      <c r="E376" s="21" t="str">
        <f aca="false">IF(Q349="?OLD","!!!","")</f>
        <v/>
      </c>
      <c r="F376" s="22" t="str">
        <f aca="false">IF(OR(E376="",E376="!!!"),"",IF(NOT(ISNA(VLOOKUP(E376,R$1:R348,1,FALSE()))),"OLD",IF(AND(E376&lt;&gt;"",E376&lt;&gt;"!!!"),"NEW","")))</f>
        <v/>
      </c>
      <c r="G376" s="23" t="str">
        <f aca="false"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aca="false">IF(J376&lt;&gt;1,"",IF(I376="SBJ","CB","?"))</f>
        <v/>
      </c>
      <c r="I376" s="25" t="str">
        <f aca="false">IF(OR(E376="",E376="!!!",F376="NEW"),"",INDEX(O$2:O348,-1+SUMPRODUCT(MAX(ROW(R$2:R348)*(E376=R$2:R348)))))</f>
        <v/>
      </c>
      <c r="J376" s="25" t="str">
        <f aca="true">IF(OR(E376="",E376="!!!",F376="NEW"),"",COUNTBLANK(OFFSET(N$1,,,SUMPRODUCT(MAX(ROW(R$2:R349)*(E376=R$2:R349)))))-COUNTBLANK(OFFSET(N$1,,,SUMPRODUCT(MAX(ROW(R$1:R348)*(R2=R$1:R348))))))</f>
        <v/>
      </c>
      <c r="K376" s="25" t="str">
        <f aca="false">IF(OR(E376="",E376="!!!",F376="NEW"),"",INDEX(W$1:W348,SUMPRODUCT(MAX(ROW(R$1:R348)*(E376=R$1:R348)))))</f>
        <v/>
      </c>
      <c r="L376" s="26"/>
    </row>
    <row r="377" customFormat="false" ht="14.25" hidden="false" customHeight="false" outlineLevel="0" collapsed="false">
      <c r="A377" s="0" t="s">
        <v>282</v>
      </c>
      <c r="E377" s="21" t="str">
        <f aca="false">IF(Q350="?OLD","!!!","")</f>
        <v/>
      </c>
      <c r="F377" s="22" t="str">
        <f aca="false">IF(OR(E377="",E377="!!!"),"",IF(NOT(ISNA(VLOOKUP(E377,R$1:R349,1,FALSE()))),"OLD",IF(AND(E377&lt;&gt;"",E377&lt;&gt;"!!!"),"NEW","")))</f>
        <v/>
      </c>
      <c r="G377" s="23" t="str">
        <f aca="false"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aca="false">IF(J377&lt;&gt;1,"",IF(I377="SBJ","CB","?"))</f>
        <v/>
      </c>
      <c r="I377" s="25" t="str">
        <f aca="false">IF(OR(E377="",E377="!!!",F377="NEW"),"",INDEX(O$2:O349,-1+SUMPRODUCT(MAX(ROW(R$2:R349)*(E377=R$2:R349)))))</f>
        <v/>
      </c>
      <c r="J377" s="25" t="str">
        <f aca="true">IF(OR(E377="",E377="!!!",F377="NEW"),"",COUNTBLANK(OFFSET(N$1,,,SUMPRODUCT(MAX(ROW(R$2:R350)*(E377=R$2:R350)))))-COUNTBLANK(OFFSET(N$1,,,SUMPRODUCT(MAX(ROW(R$1:R349)*(R2=R$1:R349))))))</f>
        <v/>
      </c>
      <c r="K377" s="25" t="str">
        <f aca="false">IF(OR(E377="",E377="!!!",F377="NEW"),"",INDEX(W$1:W349,SUMPRODUCT(MAX(ROW(R$1:R349)*(E377=R$1:R349)))))</f>
        <v/>
      </c>
      <c r="L377" s="26"/>
    </row>
    <row r="378" customFormat="false" ht="14.25" hidden="false" customHeight="false" outlineLevel="0" collapsed="false">
      <c r="A378" s="0" t="s">
        <v>204</v>
      </c>
      <c r="B378" s="20" t="s">
        <v>123</v>
      </c>
      <c r="C378" s="20" t="s">
        <v>124</v>
      </c>
      <c r="D378" s="20" t="s">
        <v>125</v>
      </c>
      <c r="E378" s="21" t="s">
        <v>126</v>
      </c>
      <c r="F378" s="22" t="str">
        <f aca="false">IF(OR(E378="",E378="!!!"),"",IF(NOT(ISNA(VLOOKUP(E378,R$1:R350,1,FALSE()))),"OLD",IF(AND(E378&lt;&gt;"",E378&lt;&gt;"!!!"),"NEW","")))</f>
        <v>NEW</v>
      </c>
      <c r="G378" s="23" t="str">
        <f aca="false"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?REFERENTIAL</v>
      </c>
      <c r="H378" s="24" t="str">
        <f aca="false">IF(J378&lt;&gt;1,"",IF(I378="SBJ","CB","?"))</f>
        <v/>
      </c>
      <c r="I378" s="25" t="str">
        <f aca="false">IF(OR(E378="",E378="!!!",F378="NEW"),"",INDEX(O$2:O350,-1+SUMPRODUCT(MAX(ROW(R$2:R350)*(E378=R$2:R350)))))</f>
        <v/>
      </c>
      <c r="J378" s="25" t="str">
        <f aca="true">IF(OR(E378="",E378="!!!",F378="NEW"),"",COUNTBLANK(OFFSET(N$1,,,SUMPRODUCT(MAX(ROW(R$2:R351)*(E378=R$2:R351)))))-COUNTBLANK(OFFSET(N$1,,,SUMPRODUCT(MAX(ROW(R$1:R350)*(R2=R$1:R350))))))</f>
        <v/>
      </c>
      <c r="K378" s="25" t="str">
        <f aca="false">IF(OR(E378="",E378="!!!",F378="NEW"),"",INDEX(W$1:W350,SUMPRODUCT(MAX(ROW(R$1:R350)*(E378=R$1:R350)))))</f>
        <v/>
      </c>
      <c r="L378" s="26"/>
    </row>
    <row r="379" customFormat="false" ht="14.25" hidden="false" customHeight="false" outlineLevel="0" collapsed="false">
      <c r="A379" s="0" t="s">
        <v>419</v>
      </c>
      <c r="E379" s="21" t="str">
        <f aca="false">IF(Q352="?OLD","!!!","")</f>
        <v/>
      </c>
      <c r="F379" s="22" t="str">
        <f aca="false">IF(OR(E379="",E379="!!!"),"",IF(NOT(ISNA(VLOOKUP(E379,R$1:R351,1,FALSE()))),"OLD",IF(AND(E379&lt;&gt;"",E379&lt;&gt;"!!!"),"NEW","")))</f>
        <v/>
      </c>
      <c r="G379" s="23" t="str">
        <f aca="false"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aca="false">IF(J379&lt;&gt;1,"",IF(I379="SBJ","CB","?"))</f>
        <v/>
      </c>
      <c r="I379" s="25" t="str">
        <f aca="false">IF(OR(E379="",E379="!!!",F379="NEW"),"",INDEX(O$2:O351,-1+SUMPRODUCT(MAX(ROW(R$2:R351)*(E379=R$2:R351)))))</f>
        <v/>
      </c>
      <c r="J379" s="25" t="str">
        <f aca="true">IF(OR(E379="",E379="!!!",F379="NEW"),"",COUNTBLANK(OFFSET(N$1,,,SUMPRODUCT(MAX(ROW(R$2:R352)*(E379=R$2:R352)))))-COUNTBLANK(OFFSET(N$1,,,SUMPRODUCT(MAX(ROW(R$1:R351)*(R2=R$1:R351))))))</f>
        <v/>
      </c>
      <c r="K379" s="25" t="str">
        <f aca="false">IF(OR(E379="",E379="!!!",F379="NEW"),"",INDEX(W$1:W351,SUMPRODUCT(MAX(ROW(R$1:R351)*(E379=R$1:R351)))))</f>
        <v/>
      </c>
      <c r="L379" s="26"/>
      <c r="O379" s="20"/>
      <c r="P379" s="20"/>
      <c r="Q379" s="20"/>
    </row>
    <row r="380" customFormat="false" ht="14.25" hidden="false" customHeight="false" outlineLevel="0" collapsed="false">
      <c r="A380" s="0" t="s">
        <v>253</v>
      </c>
      <c r="B380" s="20" t="s">
        <v>123</v>
      </c>
      <c r="C380" s="20" t="s">
        <v>209</v>
      </c>
      <c r="D380" s="20" t="s">
        <v>125</v>
      </c>
      <c r="E380" s="21" t="s">
        <v>409</v>
      </c>
      <c r="F380" s="22" t="str">
        <f aca="false">IF(OR(E380="",E380="!!!"),"",IF(NOT(ISNA(VLOOKUP(E380,R$1:R352,1,FALSE()))),"OLD",IF(AND(E380&lt;&gt;"",E380&lt;&gt;"!!!"),"NEW","")))</f>
        <v>NEW</v>
      </c>
      <c r="G380" s="23" t="str">
        <f aca="false"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?REFERENTIAL</v>
      </c>
      <c r="H380" s="24" t="str">
        <f aca="false">IF(J380&lt;&gt;1,"",IF(I380="SBJ","CB","?"))</f>
        <v/>
      </c>
      <c r="I380" s="25" t="str">
        <f aca="false">IF(OR(E380="",E380="!!!",F380="NEW"),"",INDEX(O$2:O352,-1+SUMPRODUCT(MAX(ROW(R$2:R352)*(E380=R$2:R352)))))</f>
        <v/>
      </c>
      <c r="J380" s="25" t="str">
        <f aca="true">IF(OR(E380="",E380="!!!",F380="NEW"),"",COUNTBLANK(OFFSET(N$1,,,SUMPRODUCT(MAX(ROW(R$2:R353)*(E380=R$2:R353)))))-COUNTBLANK(OFFSET(N$1,,,SUMPRODUCT(MAX(ROW(R$1:R352)*(R2=R$1:R352))))))</f>
        <v/>
      </c>
      <c r="K380" s="25" t="str">
        <f aca="false">IF(OR(E380="",E380="!!!",F380="NEW"),"",INDEX(W$1:W352,SUMPRODUCT(MAX(ROW(R$1:R352)*(E380=R$1:R352)))))</f>
        <v/>
      </c>
      <c r="L380" s="26"/>
      <c r="O380" s="20"/>
      <c r="P380" s="20"/>
    </row>
    <row r="381" customFormat="false" ht="14.25" hidden="false" customHeight="false" outlineLevel="0" collapsed="false">
      <c r="A381" s="0" t="s">
        <v>420</v>
      </c>
      <c r="E381" s="21" t="str">
        <f aca="false">IF(Q354="?OLD","!!!","")</f>
        <v/>
      </c>
      <c r="F381" s="22" t="str">
        <f aca="false">IF(OR(E381="",E381="!!!"),"",IF(NOT(ISNA(VLOOKUP(E381,R$1:R353,1,FALSE()))),"OLD",IF(AND(E381&lt;&gt;"",E381&lt;&gt;"!!!"),"NEW","")))</f>
        <v/>
      </c>
      <c r="G381" s="23" t="str">
        <f aca="false"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aca="false">IF(J381&lt;&gt;1,"",IF(I381="SBJ","CB","?"))</f>
        <v/>
      </c>
      <c r="I381" s="25" t="str">
        <f aca="false">IF(OR(E381="",E381="!!!",F381="NEW"),"",INDEX(O$2:O353,-1+SUMPRODUCT(MAX(ROW(R$2:R353)*(E381=R$2:R353)))))</f>
        <v/>
      </c>
      <c r="J381" s="25" t="str">
        <f aca="true">IF(OR(E381="",E381="!!!",F381="NEW"),"",COUNTBLANK(OFFSET(N$1,,,SUMPRODUCT(MAX(ROW(R$2:R354)*(E381=R$2:R354)))))-COUNTBLANK(OFFSET(N$1,,,SUMPRODUCT(MAX(ROW(R$1:R353)*(R2=R$1:R353))))))</f>
        <v/>
      </c>
      <c r="K381" s="25" t="str">
        <f aca="false">IF(OR(E381="",E381="!!!",F381="NEW"),"",INDEX(W$1:W353,SUMPRODUCT(MAX(ROW(R$1:R353)*(E381=R$1:R353)))))</f>
        <v/>
      </c>
      <c r="L381" s="26"/>
    </row>
    <row r="382" customFormat="false" ht="14.25" hidden="false" customHeight="false" outlineLevel="0" collapsed="false">
      <c r="A382" s="0" t="s">
        <v>421</v>
      </c>
      <c r="E382" s="21" t="str">
        <f aca="false">IF(Q355="?OLD","!!!","")</f>
        <v/>
      </c>
      <c r="F382" s="22" t="str">
        <f aca="false">IF(OR(E382="",E382="!!!"),"",IF(NOT(ISNA(VLOOKUP(E382,R$1:R354,1,FALSE()))),"OLD",IF(AND(E382&lt;&gt;"",E382&lt;&gt;"!!!"),"NEW","")))</f>
        <v/>
      </c>
      <c r="G382" s="23" t="str">
        <f aca="false"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aca="false">IF(J382&lt;&gt;1,"",IF(I382="SBJ","CB","?"))</f>
        <v/>
      </c>
      <c r="I382" s="25" t="str">
        <f aca="false">IF(OR(E382="",E382="!!!",F382="NEW"),"",INDEX(O$2:O354,-1+SUMPRODUCT(MAX(ROW(R$2:R354)*(E382=R$2:R354)))))</f>
        <v/>
      </c>
      <c r="J382" s="25" t="str">
        <f aca="true">IF(OR(E382="",E382="!!!",F382="NEW"),"",COUNTBLANK(OFFSET(N$1,,,SUMPRODUCT(MAX(ROW(R$2:R355)*(E382=R$2:R355)))))-COUNTBLANK(OFFSET(N$1,,,SUMPRODUCT(MAX(ROW(R$1:R354)*(R2=R$1:R354))))))</f>
        <v/>
      </c>
      <c r="K382" s="25" t="str">
        <f aca="false">IF(OR(E382="",E382="!!!",F382="NEW"),"",INDEX(W$1:W354,SUMPRODUCT(MAX(ROW(R$1:R354)*(E382=R$1:R354)))))</f>
        <v/>
      </c>
      <c r="L382" s="26"/>
    </row>
    <row r="383" customFormat="false" ht="14.25" hidden="false" customHeight="false" outlineLevel="0" collapsed="false">
      <c r="A383" s="0" t="s">
        <v>422</v>
      </c>
      <c r="E383" s="21" t="str">
        <f aca="false">IF(Q356="?OLD","!!!","")</f>
        <v/>
      </c>
      <c r="F383" s="22" t="str">
        <f aca="false">IF(OR(E383="",E383="!!!"),"",IF(NOT(ISNA(VLOOKUP(E383,R$1:R355,1,FALSE()))),"OLD",IF(AND(E383&lt;&gt;"",E383&lt;&gt;"!!!"),"NEW","")))</f>
        <v/>
      </c>
      <c r="G383" s="23" t="str">
        <f aca="false"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aca="false">IF(J383&lt;&gt;1,"",IF(I383="SBJ","CB","?"))</f>
        <v/>
      </c>
      <c r="I383" s="25" t="str">
        <f aca="false">IF(OR(E383="",E383="!!!",F383="NEW"),"",INDEX(O$2:O355,-1+SUMPRODUCT(MAX(ROW(R$2:R355)*(E383=R$2:R355)))))</f>
        <v/>
      </c>
      <c r="J383" s="25" t="str">
        <f aca="true">IF(OR(E383="",E383="!!!",F383="NEW"),"",COUNTBLANK(OFFSET(N$1,,,SUMPRODUCT(MAX(ROW(R$2:R356)*(E383=R$2:R356)))))-COUNTBLANK(OFFSET(N$1,,,SUMPRODUCT(MAX(ROW(R$1:R355)*(R2=R$1:R355))))))</f>
        <v/>
      </c>
      <c r="K383" s="25" t="str">
        <f aca="false">IF(OR(E383="",E383="!!!",F383="NEW"),"",INDEX(W$1:W355,SUMPRODUCT(MAX(ROW(R$1:R355)*(E383=R$1:R355)))))</f>
        <v/>
      </c>
      <c r="L383" s="26"/>
      <c r="O383" s="20"/>
      <c r="P383" s="20"/>
    </row>
    <row r="384" customFormat="false" ht="14.25" hidden="false" customHeight="false" outlineLevel="0" collapsed="false">
      <c r="A384" s="0" t="s">
        <v>160</v>
      </c>
      <c r="E384" s="21" t="str">
        <f aca="false">IF(Q357="?OLD","!!!","")</f>
        <v/>
      </c>
      <c r="F384" s="22" t="str">
        <f aca="false">IF(OR(E384="",E384="!!!"),"",IF(NOT(ISNA(VLOOKUP(E384,R$1:R356,1,FALSE()))),"OLD",IF(AND(E384&lt;&gt;"",E384&lt;&gt;"!!!"),"NEW","")))</f>
        <v/>
      </c>
      <c r="G384" s="23" t="str">
        <f aca="false"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aca="false">IF(J384&lt;&gt;1,"",IF(I384="SBJ","CB","?"))</f>
        <v/>
      </c>
      <c r="I384" s="25" t="str">
        <f aca="false">IF(OR(E384="",E384="!!!",F384="NEW"),"",INDEX(O$2:O356,-1+SUMPRODUCT(MAX(ROW(R$2:R356)*(E384=R$2:R356)))))</f>
        <v/>
      </c>
      <c r="J384" s="25" t="str">
        <f aca="true">IF(OR(E384="",E384="!!!",F384="NEW"),"",COUNTBLANK(OFFSET(N$1,,,SUMPRODUCT(MAX(ROW(R$2:R357)*(E384=R$2:R357)))))-COUNTBLANK(OFFSET(N$1,,,SUMPRODUCT(MAX(ROW(R$1:R356)*(R2=R$1:R356))))))</f>
        <v/>
      </c>
      <c r="K384" s="25" t="str">
        <f aca="false">IF(OR(E384="",E384="!!!",F384="NEW"),"",INDEX(W$1:W356,SUMPRODUCT(MAX(ROW(R$1:R356)*(E384=R$1:R356)))))</f>
        <v/>
      </c>
      <c r="L384" s="26"/>
    </row>
    <row r="385" customFormat="false" ht="14.25" hidden="false" customHeight="false" outlineLevel="0" collapsed="false">
      <c r="A385" s="0" t="s">
        <v>417</v>
      </c>
      <c r="E385" s="21" t="str">
        <f aca="false">IF(Q358="?OLD","!!!","")</f>
        <v/>
      </c>
      <c r="F385" s="22" t="str">
        <f aca="false">IF(OR(E385="",E385="!!!"),"",IF(NOT(ISNA(VLOOKUP(E385,R$1:R357,1,FALSE()))),"OLD",IF(AND(E385&lt;&gt;"",E385&lt;&gt;"!!!"),"NEW","")))</f>
        <v/>
      </c>
      <c r="G385" s="23" t="str">
        <f aca="false"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aca="false">IF(J385&lt;&gt;1,"",IF(I385="SBJ","CB","?"))</f>
        <v/>
      </c>
      <c r="I385" s="25" t="str">
        <f aca="false">IF(OR(E385="",E385="!!!",F385="NEW"),"",INDEX(O$2:O357,-1+SUMPRODUCT(MAX(ROW(R$2:R357)*(E385=R$2:R357)))))</f>
        <v/>
      </c>
      <c r="J385" s="25" t="str">
        <f aca="true">IF(OR(E385="",E385="!!!",F385="NEW"),"",COUNTBLANK(OFFSET(N$1,,,SUMPRODUCT(MAX(ROW(R$2:R358)*(E385=R$2:R358)))))-COUNTBLANK(OFFSET(N$1,,,SUMPRODUCT(MAX(ROW(R$1:R357)*(R2=R$1:R357))))))</f>
        <v/>
      </c>
      <c r="K385" s="25" t="str">
        <f aca="false">IF(OR(E385="",E385="!!!",F385="NEW"),"",INDEX(W$1:W357,SUMPRODUCT(MAX(ROW(R$1:R357)*(E385=R$1:R357)))))</f>
        <v/>
      </c>
      <c r="L385" s="26"/>
      <c r="O385" s="20"/>
      <c r="P385" s="20"/>
      <c r="Q385" s="20"/>
    </row>
    <row r="387" customFormat="false" ht="14.25" hidden="false" customHeight="false" outlineLevel="0" collapsed="false">
      <c r="A387" s="0" t="s">
        <v>423</v>
      </c>
    </row>
    <row r="388" customFormat="false" ht="14.25" hidden="false" customHeight="false" outlineLevel="0" collapsed="false">
      <c r="A388" s="0" t="s">
        <v>424</v>
      </c>
      <c r="E388" s="21"/>
      <c r="F388" s="22" t="str">
        <f aca="false">IF(OR(E388="",E388="!!!"),"",IF(NOT(ISNA(VLOOKUP(E388,R$1:R358,1,FALSE()))),"OLD",IF(AND(E388&lt;&gt;"",E388&lt;&gt;"!!!"),"NEW","")))</f>
        <v/>
      </c>
      <c r="G388" s="23" t="str">
        <f aca="false"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aca="false">IF(J388&lt;&gt;1,"",IF(I388="SBJ","CB","?"))</f>
        <v/>
      </c>
      <c r="I388" s="25" t="str">
        <f aca="false">IF(OR(E388="",E388="!!!",F388="NEW"),"",INDEX(O$2:O358,-1+SUMPRODUCT(MAX(ROW(R$2:R358)*(E388=R$2:R358)))))</f>
        <v/>
      </c>
      <c r="J388" s="25" t="str">
        <f aca="true">IF(OR(E388="",E388="!!!",F388="NEW"),"",COUNTBLANK(OFFSET(N$1,,,SUMPRODUCT(MAX(ROW(R$2:R359)*(E388=R$2:R359)))))-COUNTBLANK(OFFSET(N$1,,,SUMPRODUCT(MAX(ROW(R$1:R358)*(R2=R$1:R358))))))</f>
        <v/>
      </c>
      <c r="K388" s="25" t="str">
        <f aca="false">IF(OR(E388="",E388="!!!",F388="NEW"),"",INDEX(W$1:W358,SUMPRODUCT(MAX(ROW(R$1:R358)*(E388=R$1:R358)))))</f>
        <v/>
      </c>
      <c r="L388" s="26" t="s">
        <v>222</v>
      </c>
      <c r="O388" s="20"/>
      <c r="P388" s="20"/>
      <c r="Q388" s="20"/>
    </row>
    <row r="389" customFormat="false" ht="14.25" hidden="false" customHeight="false" outlineLevel="0" collapsed="false">
      <c r="A389" s="0" t="s">
        <v>425</v>
      </c>
      <c r="E389" s="21" t="str">
        <f aca="false">IF(Q360="?OLD","!!!","")</f>
        <v/>
      </c>
      <c r="F389" s="22" t="str">
        <f aca="false">IF(OR(E389="",E389="!!!"),"",IF(NOT(ISNA(VLOOKUP(E389,R$1:R359,1,FALSE()))),"OLD",IF(AND(E389&lt;&gt;"",E389&lt;&gt;"!!!"),"NEW","")))</f>
        <v/>
      </c>
      <c r="G389" s="23" t="str">
        <f aca="false"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aca="false">IF(J389&lt;&gt;1,"",IF(I389="SBJ","CB","?"))</f>
        <v/>
      </c>
      <c r="I389" s="25" t="str">
        <f aca="false">IF(OR(E389="",E389="!!!",F389="NEW"),"",INDEX(O$2:O359,-1+SUMPRODUCT(MAX(ROW(R$2:R359)*(E389=R$2:R359)))))</f>
        <v/>
      </c>
      <c r="J389" s="25" t="str">
        <f aca="true">IF(OR(E389="",E389="!!!",F389="NEW"),"",COUNTBLANK(OFFSET(N$1,,,SUMPRODUCT(MAX(ROW(R$2:R360)*(E389=R$2:R360)))))-COUNTBLANK(OFFSET(N$1,,,SUMPRODUCT(MAX(ROW(R$1:R359)*(R2=R$1:R359))))))</f>
        <v/>
      </c>
      <c r="K389" s="25" t="str">
        <f aca="false">IF(OR(E389="",E389="!!!",F389="NEW"),"",INDEX(W$1:W359,SUMPRODUCT(MAX(ROW(R$1:R359)*(E389=R$1:R359)))))</f>
        <v/>
      </c>
      <c r="L389" s="26"/>
    </row>
    <row r="390" customFormat="false" ht="14.25" hidden="false" customHeight="false" outlineLevel="0" collapsed="false">
      <c r="A390" s="0" t="s">
        <v>204</v>
      </c>
      <c r="B390" s="20" t="s">
        <v>164</v>
      </c>
      <c r="C390" s="20" t="s">
        <v>124</v>
      </c>
      <c r="D390" s="20" t="s">
        <v>125</v>
      </c>
      <c r="E390" s="21" t="s">
        <v>126</v>
      </c>
      <c r="F390" s="22" t="str">
        <f aca="false">IF(OR(E390="",E390="!!!"),"",IF(NOT(ISNA(VLOOKUP(E390,R$1:R360,1,FALSE()))),"OLD",IF(AND(E390&lt;&gt;"",E390&lt;&gt;"!!!"),"NEW","")))</f>
        <v>NEW</v>
      </c>
      <c r="G390" s="23" t="str">
        <f aca="false"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?REFERENTIAL</v>
      </c>
      <c r="H390" s="24" t="str">
        <f aca="false">IF(J390&lt;&gt;1,"",IF(I390="SBJ","CB","?"))</f>
        <v/>
      </c>
      <c r="I390" s="25" t="str">
        <f aca="false">IF(OR(E390="",E390="!!!",F390="NEW"),"",INDEX(O$2:O360,-1+SUMPRODUCT(MAX(ROW(R$2:R360)*(E390=R$2:R360)))))</f>
        <v/>
      </c>
      <c r="J390" s="25" t="str">
        <f aca="true">IF(OR(E390="",E390="!!!",F390="NEW"),"",COUNTBLANK(OFFSET(N$1,,,SUMPRODUCT(MAX(ROW(R$2:R361)*(E390=R$2:R361)))))-COUNTBLANK(OFFSET(N$1,,,SUMPRODUCT(MAX(ROW(R$1:R360)*(R2=R$1:R360))))))</f>
        <v/>
      </c>
      <c r="K390" s="25" t="str">
        <f aca="false">IF(OR(E390="",E390="!!!",F390="NEW"),"",INDEX(W$1:W360,SUMPRODUCT(MAX(ROW(R$1:R360)*(E390=R$1:R360)))))</f>
        <v/>
      </c>
      <c r="L390" s="26"/>
    </row>
    <row r="391" customFormat="false" ht="14.25" hidden="false" customHeight="false" outlineLevel="0" collapsed="false">
      <c r="A391" s="0" t="s">
        <v>166</v>
      </c>
      <c r="E391" s="21" t="str">
        <f aca="false">IF(Q362="?OLD","!!!","")</f>
        <v/>
      </c>
      <c r="F391" s="22" t="str">
        <f aca="false">IF(OR(E391="",E391="!!!"),"",IF(NOT(ISNA(VLOOKUP(E391,R$1:R361,1,FALSE()))),"OLD",IF(AND(E391&lt;&gt;"",E391&lt;&gt;"!!!"),"NEW","")))</f>
        <v/>
      </c>
      <c r="G391" s="23" t="str">
        <f aca="false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aca="false">IF(J391&lt;&gt;1,"",IF(I391="SBJ","CB","?"))</f>
        <v/>
      </c>
      <c r="I391" s="25" t="str">
        <f aca="false">IF(OR(E391="",E391="!!!",F391="NEW"),"",INDEX(O$2:O361,-1+SUMPRODUCT(MAX(ROW(R$2:R361)*(E391=R$2:R361)))))</f>
        <v/>
      </c>
      <c r="J391" s="25" t="str">
        <f aca="true">IF(OR(E391="",E391="!!!",F391="NEW"),"",COUNTBLANK(OFFSET(N$1,,,SUMPRODUCT(MAX(ROW(R$2:R362)*(E391=R$2:R362)))))-COUNTBLANK(OFFSET(N$1,,,SUMPRODUCT(MAX(ROW(R$1:R361)*(R2=R$1:R361))))))</f>
        <v/>
      </c>
      <c r="K391" s="25" t="str">
        <f aca="false">IF(OR(E391="",E391="!!!",F391="NEW"),"",INDEX(W$1:W361,SUMPRODUCT(MAX(ROW(R$1:R361)*(E391=R$1:R361)))))</f>
        <v/>
      </c>
      <c r="L391" s="26"/>
      <c r="O391" s="20"/>
      <c r="P391" s="20"/>
      <c r="Q391" s="20"/>
    </row>
    <row r="392" customFormat="false" ht="14.25" hidden="false" customHeight="false" outlineLevel="0" collapsed="false">
      <c r="A392" s="0" t="s">
        <v>231</v>
      </c>
      <c r="B392" s="20" t="s">
        <v>148</v>
      </c>
      <c r="C392" s="20" t="s">
        <v>201</v>
      </c>
      <c r="D392" s="20" t="s">
        <v>125</v>
      </c>
      <c r="E392" s="21" t="s">
        <v>126</v>
      </c>
      <c r="F392" s="22" t="str">
        <f aca="false">IF(OR(E392="",E392="!!!"),"",IF(NOT(ISNA(VLOOKUP(E392,R$1:R362,1,FALSE()))),"OLD",IF(AND(E392&lt;&gt;"",E392&lt;&gt;"!!!"),"NEW","")))</f>
        <v>NEW</v>
      </c>
      <c r="G392" s="23" t="str">
        <f aca="false"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?REFERENTIAL</v>
      </c>
      <c r="H392" s="24" t="str">
        <f aca="false">IF(J392&lt;&gt;1,"",IF(I392="SBJ","CB","?"))</f>
        <v/>
      </c>
      <c r="I392" s="25" t="str">
        <f aca="false">IF(OR(E392="",E392="!!!",F392="NEW"),"",INDEX(O$2:O362,-1+SUMPRODUCT(MAX(ROW(R$2:R362)*(E392=R$2:R362)))))</f>
        <v/>
      </c>
      <c r="J392" s="25" t="str">
        <f aca="true">IF(OR(E392="",E392="!!!",F392="NEW"),"",COUNTBLANK(OFFSET(N$1,,,SUMPRODUCT(MAX(ROW(R$2:R363)*(E392=R$2:R363)))))-COUNTBLANK(OFFSET(N$1,,,SUMPRODUCT(MAX(ROW(R$1:R362)*(R2=R$1:R362))))))</f>
        <v/>
      </c>
      <c r="K392" s="25" t="str">
        <f aca="false">IF(OR(E392="",E392="!!!",F392="NEW"),"",INDEX(W$1:W362,SUMPRODUCT(MAX(ROW(R$1:R362)*(E392=R$1:R362)))))</f>
        <v/>
      </c>
      <c r="L392" s="26"/>
    </row>
    <row r="393" customFormat="false" ht="14.25" hidden="false" customHeight="false" outlineLevel="0" collapsed="false">
      <c r="A393" s="0" t="s">
        <v>426</v>
      </c>
      <c r="B393" s="20" t="s">
        <v>133</v>
      </c>
      <c r="C393" s="20" t="s">
        <v>155</v>
      </c>
      <c r="E393" s="21" t="s">
        <v>427</v>
      </c>
      <c r="F393" s="22" t="str">
        <f aca="false">IF(OR(E393="",E393="!!!"),"",IF(NOT(ISNA(VLOOKUP(E393,R$1:R363,1,FALSE()))),"OLD",IF(AND(E393&lt;&gt;"",E393&lt;&gt;"!!!"),"NEW","")))</f>
        <v>NEW</v>
      </c>
      <c r="G393" s="23" t="str">
        <f aca="false"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?REFERENTIAL</v>
      </c>
      <c r="H393" s="24" t="str">
        <f aca="false">IF(J393&lt;&gt;1,"",IF(I393="SBJ","CB","?"))</f>
        <v/>
      </c>
      <c r="I393" s="25" t="str">
        <f aca="false">IF(OR(E393="",E393="!!!",F393="NEW"),"",INDEX(O$2:O363,-1+SUMPRODUCT(MAX(ROW(R$2:R363)*(E393=R$2:R363)))))</f>
        <v/>
      </c>
      <c r="J393" s="25" t="str">
        <f aca="true">IF(OR(E393="",E393="!!!",F393="NEW"),"",COUNTBLANK(OFFSET(N$1,,,SUMPRODUCT(MAX(ROW(R$2:R364)*(E393=R$2:R364)))))-COUNTBLANK(OFFSET(N$1,,,SUMPRODUCT(MAX(ROW(R$1:R363)*(R2=R$1:R363))))))</f>
        <v/>
      </c>
      <c r="K393" s="25" t="str">
        <f aca="false">IF(OR(E393="",E393="!!!",F393="NEW"),"",INDEX(W$1:W363,SUMPRODUCT(MAX(ROW(R$1:R363)*(E393=R$1:R363)))))</f>
        <v/>
      </c>
      <c r="L393" s="26" t="s">
        <v>222</v>
      </c>
    </row>
    <row r="394" customFormat="false" ht="14.25" hidden="false" customHeight="false" outlineLevel="0" collapsed="false">
      <c r="A394" s="0" t="s">
        <v>153</v>
      </c>
      <c r="E394" s="21" t="str">
        <f aca="false">IF(Q365="?OLD","!!!","")</f>
        <v/>
      </c>
      <c r="F394" s="22" t="str">
        <f aca="false">IF(OR(E394="",E394="!!!"),"",IF(NOT(ISNA(VLOOKUP(E394,R$1:R364,1,FALSE()))),"OLD",IF(AND(E394&lt;&gt;"",E394&lt;&gt;"!!!"),"NEW","")))</f>
        <v/>
      </c>
      <c r="G394" s="23" t="str">
        <f aca="false"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aca="false">IF(J394&lt;&gt;1,"",IF(I394="SBJ","CB","?"))</f>
        <v/>
      </c>
      <c r="I394" s="25" t="str">
        <f aca="false">IF(OR(E394="",E394="!!!",F394="NEW"),"",INDEX(O$2:O364,-1+SUMPRODUCT(MAX(ROW(R$2:R364)*(E394=R$2:R364)))))</f>
        <v/>
      </c>
      <c r="J394" s="25" t="str">
        <f aca="true">IF(OR(E394="",E394="!!!",F394="NEW"),"",COUNTBLANK(OFFSET(N$1,,,SUMPRODUCT(MAX(ROW(R$2:R365)*(E394=R$2:R365)))))-COUNTBLANK(OFFSET(N$1,,,SUMPRODUCT(MAX(ROW(R$1:R364)*(R2=R$1:R364))))))</f>
        <v/>
      </c>
      <c r="K394" s="25" t="str">
        <f aca="false">IF(OR(E394="",E394="!!!",F394="NEW"),"",INDEX(W$1:W364,SUMPRODUCT(MAX(ROW(R$1:R364)*(E394=R$1:R364)))))</f>
        <v/>
      </c>
      <c r="L394" s="26"/>
      <c r="O394" s="20"/>
      <c r="P394" s="20"/>
      <c r="Q394" s="20"/>
    </row>
    <row r="395" customFormat="false" ht="14.25" hidden="false" customHeight="false" outlineLevel="0" collapsed="false">
      <c r="A395" s="0" t="s">
        <v>175</v>
      </c>
      <c r="E395" s="21" t="str">
        <f aca="false">IF(Q366="?OLD","!!!","")</f>
        <v/>
      </c>
      <c r="F395" s="22" t="str">
        <f aca="false">IF(OR(E395="",E395="!!!"),"",IF(NOT(ISNA(VLOOKUP(E395,R$1:R365,1,FALSE()))),"OLD",IF(AND(E395&lt;&gt;"",E395&lt;&gt;"!!!"),"NEW","")))</f>
        <v/>
      </c>
      <c r="G395" s="23" t="str">
        <f aca="false"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aca="false">IF(J395&lt;&gt;1,"",IF(I395="SBJ","CB","?"))</f>
        <v/>
      </c>
      <c r="I395" s="25" t="str">
        <f aca="false">IF(OR(E395="",E395="!!!",F395="NEW"),"",INDEX(O$2:O365,-1+SUMPRODUCT(MAX(ROW(R$2:R365)*(E395=R$2:R365)))))</f>
        <v/>
      </c>
      <c r="J395" s="25" t="str">
        <f aca="true">IF(OR(E395="",E395="!!!",F395="NEW"),"",COUNTBLANK(OFFSET(N$1,,,SUMPRODUCT(MAX(ROW(R$2:R366)*(E395=R$2:R366)))))-COUNTBLANK(OFFSET(N$1,,,SUMPRODUCT(MAX(ROW(R$1:R365)*(R2=R$1:R365))))))</f>
        <v/>
      </c>
      <c r="K395" s="25" t="str">
        <f aca="false">IF(OR(E395="",E395="!!!",F395="NEW"),"",INDEX(W$1:W365,SUMPRODUCT(MAX(ROW(R$1:R365)*(E395=R$1:R365)))))</f>
        <v/>
      </c>
      <c r="L395" s="26"/>
    </row>
    <row r="396" customFormat="false" ht="14.25" hidden="false" customHeight="false" outlineLevel="0" collapsed="false">
      <c r="A396" s="0" t="s">
        <v>428</v>
      </c>
      <c r="E396" s="21" t="str">
        <f aca="false">IF(Q367="?OLD","!!!","")</f>
        <v/>
      </c>
      <c r="F396" s="22" t="str">
        <f aca="false">IF(OR(E396="",E396="!!!"),"",IF(NOT(ISNA(VLOOKUP(E396,R$1:R366,1,FALSE()))),"OLD",IF(AND(E396&lt;&gt;"",E396&lt;&gt;"!!!"),"NEW","")))</f>
        <v/>
      </c>
      <c r="G396" s="23" t="str">
        <f aca="false"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aca="false">IF(J396&lt;&gt;1,"",IF(I396="SBJ","CB","?"))</f>
        <v/>
      </c>
      <c r="I396" s="25" t="str">
        <f aca="false">IF(OR(E396="",E396="!!!",F396="NEW"),"",INDEX(O$2:O366,-1+SUMPRODUCT(MAX(ROW(R$2:R366)*(E396=R$2:R366)))))</f>
        <v/>
      </c>
      <c r="J396" s="25" t="str">
        <f aca="true">IF(OR(E396="",E396="!!!",F396="NEW"),"",COUNTBLANK(OFFSET(N$1,,,SUMPRODUCT(MAX(ROW(R$2:R367)*(E396=R$2:R367)))))-COUNTBLANK(OFFSET(N$1,,,SUMPRODUCT(MAX(ROW(R$1:R366)*(R2=R$1:R366))))))</f>
        <v/>
      </c>
      <c r="K396" s="25" t="str">
        <f aca="false">IF(OR(E396="",E396="!!!",F396="NEW"),"",INDEX(W$1:W366,SUMPRODUCT(MAX(ROW(R$1:R366)*(E396=R$1:R366)))))</f>
        <v/>
      </c>
      <c r="L396" s="26"/>
      <c r="O396" s="20"/>
      <c r="P396" s="20"/>
      <c r="Q396" s="20"/>
    </row>
    <row r="397" customFormat="false" ht="14.25" hidden="false" customHeight="false" outlineLevel="0" collapsed="false">
      <c r="A397" s="0" t="s">
        <v>429</v>
      </c>
      <c r="B397" s="20" t="s">
        <v>150</v>
      </c>
      <c r="C397" s="20" t="s">
        <v>134</v>
      </c>
      <c r="D397" s="20" t="s">
        <v>125</v>
      </c>
      <c r="E397" s="21" t="s">
        <v>430</v>
      </c>
      <c r="F397" s="22" t="str">
        <f aca="false">IF(OR(E397="",E397="!!!"),"",IF(NOT(ISNA(VLOOKUP(E397,R$1:R367,1,FALSE()))),"OLD",IF(AND(E397&lt;&gt;"",E397&lt;&gt;"!!!"),"NEW","")))</f>
        <v>NEW</v>
      </c>
      <c r="G397" s="23" t="str">
        <f aca="false"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?REFERENTIAL</v>
      </c>
      <c r="H397" s="24" t="str">
        <f aca="false">IF(J397&lt;&gt;1,"",IF(I397="SBJ","CB","?"))</f>
        <v/>
      </c>
      <c r="I397" s="25" t="str">
        <f aca="false">IF(OR(E397="",E397="!!!",F397="NEW"),"",INDEX(O$2:O367,-1+SUMPRODUCT(MAX(ROW(R$2:R367)*(E397=R$2:R367)))))</f>
        <v/>
      </c>
      <c r="J397" s="25" t="str">
        <f aca="true">IF(OR(E397="",E397="!!!",F397="NEW"),"",COUNTBLANK(OFFSET(N$1,,,SUMPRODUCT(MAX(ROW(R$2:R368)*(E397=R$2:R368)))))-COUNTBLANK(OFFSET(N$1,,,SUMPRODUCT(MAX(ROW(R$1:R367)*(R2=R$1:R367))))))</f>
        <v/>
      </c>
      <c r="K397" s="25" t="str">
        <f aca="false">IF(OR(E397="",E397="!!!",F397="NEW"),"",INDEX(W$1:W367,SUMPRODUCT(MAX(ROW(R$1:R367)*(E397=R$1:R367)))))</f>
        <v/>
      </c>
      <c r="L397" s="26"/>
    </row>
    <row r="398" customFormat="false" ht="14.25" hidden="false" customHeight="false" outlineLevel="0" collapsed="false">
      <c r="A398" s="0" t="s">
        <v>431</v>
      </c>
      <c r="E398" s="21" t="str">
        <f aca="false">IF(Q369="?OLD","!!!","")</f>
        <v/>
      </c>
      <c r="F398" s="22" t="str">
        <f aca="false">IF(OR(E398="",E398="!!!"),"",IF(NOT(ISNA(VLOOKUP(E398,R$1:R368,1,FALSE()))),"OLD",IF(AND(E398&lt;&gt;"",E398&lt;&gt;"!!!"),"NEW","")))</f>
        <v/>
      </c>
      <c r="G398" s="23" t="str">
        <f aca="false"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aca="false">IF(J398&lt;&gt;1,"",IF(I398="SBJ","CB","?"))</f>
        <v/>
      </c>
      <c r="I398" s="25" t="str">
        <f aca="false">IF(OR(E398="",E398="!!!",F398="NEW"),"",INDEX(O$2:O368,-1+SUMPRODUCT(MAX(ROW(R$2:R368)*(E398=R$2:R368)))))</f>
        <v/>
      </c>
      <c r="J398" s="25" t="str">
        <f aca="true">IF(OR(E398="",E398="!!!",F398="NEW"),"",COUNTBLANK(OFFSET(N$1,,,SUMPRODUCT(MAX(ROW(R$2:R369)*(E398=R$2:R369)))))-COUNTBLANK(OFFSET(N$1,,,SUMPRODUCT(MAX(ROW(R$1:R368)*(R2=R$1:R368))))))</f>
        <v/>
      </c>
      <c r="K398" s="25" t="str">
        <f aca="false">IF(OR(E398="",E398="!!!",F398="NEW"),"",INDEX(W$1:W368,SUMPRODUCT(MAX(ROW(R$1:R368)*(E398=R$1:R368)))))</f>
        <v/>
      </c>
      <c r="L398" s="26"/>
      <c r="O398" s="20"/>
      <c r="P398" s="20"/>
      <c r="Q398" s="20"/>
    </row>
    <row r="399" customFormat="false" ht="14.25" hidden="false" customHeight="false" outlineLevel="0" collapsed="false">
      <c r="A399" s="0" t="s">
        <v>432</v>
      </c>
      <c r="E399" s="21" t="str">
        <f aca="false">IF(Q370="?OLD","!!!","")</f>
        <v/>
      </c>
      <c r="F399" s="22" t="str">
        <f aca="false">IF(OR(E399="",E399="!!!"),"",IF(NOT(ISNA(VLOOKUP(E399,R$1:R369,1,FALSE()))),"OLD",IF(AND(E399&lt;&gt;"",E399&lt;&gt;"!!!"),"NEW","")))</f>
        <v/>
      </c>
      <c r="G399" s="23" t="str">
        <f aca="false"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aca="false">IF(J399&lt;&gt;1,"",IF(I399="SBJ","CB","?"))</f>
        <v/>
      </c>
      <c r="I399" s="25" t="str">
        <f aca="false">IF(OR(E399="",E399="!!!",F399="NEW"),"",INDEX(O$2:O369,-1+SUMPRODUCT(MAX(ROW(R$2:R369)*(E399=R$2:R369)))))</f>
        <v/>
      </c>
      <c r="J399" s="25" t="str">
        <f aca="true">IF(OR(E399="",E399="!!!",F399="NEW"),"",COUNTBLANK(OFFSET(N$1,,,SUMPRODUCT(MAX(ROW(R$2:R370)*(E399=R$2:R370)))))-COUNTBLANK(OFFSET(N$1,,,SUMPRODUCT(MAX(ROW(R$1:R369)*(R2=R$1:R369))))))</f>
        <v/>
      </c>
      <c r="K399" s="25" t="str">
        <f aca="false">IF(OR(E399="",E399="!!!",F399="NEW"),"",INDEX(W$1:W369,SUMPRODUCT(MAX(ROW(R$1:R369)*(E399=R$1:R369)))))</f>
        <v/>
      </c>
      <c r="L399" s="26"/>
    </row>
    <row r="400" customFormat="false" ht="14.25" hidden="false" customHeight="false" outlineLevel="0" collapsed="false">
      <c r="A400" s="0" t="s">
        <v>310</v>
      </c>
      <c r="B400" s="20" t="s">
        <v>164</v>
      </c>
      <c r="C400" s="20" t="s">
        <v>155</v>
      </c>
      <c r="E400" s="21" t="s">
        <v>433</v>
      </c>
      <c r="F400" s="22" t="str">
        <f aca="false">IF(OR(E400="",E400="!!!"),"",IF(NOT(ISNA(VLOOKUP(E400,R$1:R370,1,FALSE()))),"OLD",IF(AND(E400&lt;&gt;"",E400&lt;&gt;"!!!"),"NEW","")))</f>
        <v>NEW</v>
      </c>
      <c r="G400" s="23" t="str">
        <f aca="false"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?REFERENTIAL</v>
      </c>
      <c r="H400" s="24" t="str">
        <f aca="false">IF(J400&lt;&gt;1,"",IF(I400="SBJ","CB","?"))</f>
        <v/>
      </c>
      <c r="I400" s="25" t="str">
        <f aca="false">IF(OR(E400="",E400="!!!",F400="NEW"),"",INDEX(O$2:O370,-1+SUMPRODUCT(MAX(ROW(R$2:R370)*(E400=R$2:R370)))))</f>
        <v/>
      </c>
      <c r="J400" s="25" t="str">
        <f aca="true">IF(OR(E400="",E400="!!!",F400="NEW"),"",COUNTBLANK(OFFSET(N$1,,,SUMPRODUCT(MAX(ROW(R$2:R371)*(E400=R$2:R371)))))-COUNTBLANK(OFFSET(N$1,,,SUMPRODUCT(MAX(ROW(R$1:R370)*(R2=R$1:R370))))))</f>
        <v/>
      </c>
      <c r="K400" s="25" t="str">
        <f aca="false">IF(OR(E400="",E400="!!!",F400="NEW"),"",INDEX(W$1:W370,SUMPRODUCT(MAX(ROW(R$1:R370)*(E400=R$1:R370)))))</f>
        <v/>
      </c>
      <c r="L400" s="26" t="s">
        <v>434</v>
      </c>
    </row>
    <row r="401" customFormat="false" ht="14.25" hidden="false" customHeight="false" outlineLevel="0" collapsed="false">
      <c r="A401" s="0" t="s">
        <v>435</v>
      </c>
      <c r="E401" s="21" t="str">
        <f aca="false">IF(Q372="?OLD","!!!","")</f>
        <v/>
      </c>
      <c r="F401" s="22" t="str">
        <f aca="false">IF(OR(E401="",E401="!!!"),"",IF(NOT(ISNA(VLOOKUP(E401,R$1:R371,1,FALSE()))),"OLD",IF(AND(E401&lt;&gt;"",E401&lt;&gt;"!!!"),"NEW","")))</f>
        <v/>
      </c>
      <c r="G401" s="23" t="str">
        <f aca="false"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aca="false">IF(J401&lt;&gt;1,"",IF(I401="SBJ","CB","?"))</f>
        <v/>
      </c>
      <c r="I401" s="25" t="str">
        <f aca="false">IF(OR(E401="",E401="!!!",F401="NEW"),"",INDEX(O$2:O371,-1+SUMPRODUCT(MAX(ROW(R$2:R371)*(E401=R$2:R371)))))</f>
        <v/>
      </c>
      <c r="J401" s="25" t="str">
        <f aca="true">IF(OR(E401="",E401="!!!",F401="NEW"),"",COUNTBLANK(OFFSET(N$1,,,SUMPRODUCT(MAX(ROW(R$2:R372)*(E401=R$2:R372)))))-COUNTBLANK(OFFSET(N$1,,,SUMPRODUCT(MAX(ROW(R$1:R371)*(R2=R$1:R371))))))</f>
        <v/>
      </c>
      <c r="K401" s="25" t="str">
        <f aca="false">IF(OR(E401="",E401="!!!",F401="NEW"),"",INDEX(W$1:W371,SUMPRODUCT(MAX(ROW(R$1:R371)*(E401=R$1:R371)))))</f>
        <v/>
      </c>
      <c r="L401" s="26"/>
    </row>
    <row r="402" customFormat="false" ht="14.25" hidden="false" customHeight="false" outlineLevel="0" collapsed="false">
      <c r="A402" s="0" t="s">
        <v>140</v>
      </c>
      <c r="E402" s="21" t="str">
        <f aca="false">IF(Q373="?OLD","!!!","")</f>
        <v/>
      </c>
      <c r="F402" s="22" t="str">
        <f aca="false">IF(OR(E402="",E402="!!!"),"",IF(NOT(ISNA(VLOOKUP(E402,R$1:R372,1,FALSE()))),"OLD",IF(AND(E402&lt;&gt;"",E402&lt;&gt;"!!!"),"NEW","")))</f>
        <v/>
      </c>
      <c r="G402" s="23" t="str">
        <f aca="false"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aca="false">IF(J402&lt;&gt;1,"",IF(I402="SBJ","CB","?"))</f>
        <v/>
      </c>
      <c r="I402" s="25" t="str">
        <f aca="false">IF(OR(E402="",E402="!!!",F402="NEW"),"",INDEX(O$2:O372,-1+SUMPRODUCT(MAX(ROW(R$2:R372)*(E402=R$2:R372)))))</f>
        <v/>
      </c>
      <c r="J402" s="25" t="str">
        <f aca="true">IF(OR(E402="",E402="!!!",F402="NEW"),"",COUNTBLANK(OFFSET(N$1,,,SUMPRODUCT(MAX(ROW(R$2:R373)*(E402=R$2:R373)))))-COUNTBLANK(OFFSET(N$1,,,SUMPRODUCT(MAX(ROW(R$1:R372)*(R2=R$1:R372))))))</f>
        <v/>
      </c>
      <c r="K402" s="25" t="str">
        <f aca="false">IF(OR(E402="",E402="!!!",F402="NEW"),"",INDEX(W$1:W372,SUMPRODUCT(MAX(ROW(R$1:R372)*(E402=R$1:R372)))))</f>
        <v/>
      </c>
      <c r="L402" s="26"/>
      <c r="O402" s="20"/>
      <c r="P402" s="20"/>
      <c r="Q402" s="20"/>
    </row>
    <row r="403" customFormat="false" ht="14.25" hidden="false" customHeight="false" outlineLevel="0" collapsed="false">
      <c r="A403" s="0" t="s">
        <v>436</v>
      </c>
      <c r="E403" s="21" t="str">
        <f aca="false">IF(Q374="?OLD","!!!","")</f>
        <v/>
      </c>
      <c r="F403" s="22" t="str">
        <f aca="false">IF(OR(E403="",E403="!!!"),"",IF(NOT(ISNA(VLOOKUP(E403,R$1:R373,1,FALSE()))),"OLD",IF(AND(E403&lt;&gt;"",E403&lt;&gt;"!!!"),"NEW","")))</f>
        <v/>
      </c>
      <c r="G403" s="23" t="str">
        <f aca="false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aca="false">IF(J403&lt;&gt;1,"",IF(I403="SBJ","CB","?"))</f>
        <v/>
      </c>
      <c r="I403" s="25" t="str">
        <f aca="false">IF(OR(E403="",E403="!!!",F403="NEW"),"",INDEX(O$2:O373,-1+SUMPRODUCT(MAX(ROW(R$2:R373)*(E403=R$2:R373)))))</f>
        <v/>
      </c>
      <c r="J403" s="25" t="str">
        <f aca="true">IF(OR(E403="",E403="!!!",F403="NEW"),"",COUNTBLANK(OFFSET(N$1,,,SUMPRODUCT(MAX(ROW(R$2:R374)*(E403=R$2:R374)))))-COUNTBLANK(OFFSET(N$1,,,SUMPRODUCT(MAX(ROW(R$1:R373)*(R2=R$1:R373))))))</f>
        <v/>
      </c>
      <c r="K403" s="25" t="str">
        <f aca="false">IF(OR(E403="",E403="!!!",F403="NEW"),"",INDEX(W$1:W373,SUMPRODUCT(MAX(ROW(R$1:R373)*(E403=R$1:R373)))))</f>
        <v/>
      </c>
      <c r="L403" s="26"/>
      <c r="O403" s="20"/>
      <c r="P403" s="20"/>
      <c r="Q403" s="20"/>
    </row>
    <row r="404" customFormat="false" ht="14.25" hidden="false" customHeight="false" outlineLevel="0" collapsed="false">
      <c r="A404" s="0" t="s">
        <v>138</v>
      </c>
      <c r="E404" s="21" t="str">
        <f aca="false">IF(Q375="?OLD","!!!","")</f>
        <v/>
      </c>
      <c r="F404" s="22" t="str">
        <f aca="false">IF(OR(E404="",E404="!!!"),"",IF(NOT(ISNA(VLOOKUP(E404,R$1:R374,1,FALSE()))),"OLD",IF(AND(E404&lt;&gt;"",E404&lt;&gt;"!!!"),"NEW","")))</f>
        <v/>
      </c>
      <c r="G404" s="23" t="str">
        <f aca="false"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aca="false">IF(J404&lt;&gt;1,"",IF(I404="SBJ","CB","?"))</f>
        <v/>
      </c>
      <c r="I404" s="25" t="str">
        <f aca="false">IF(OR(E404="",E404="!!!",F404="NEW"),"",INDEX(O$2:O374,-1+SUMPRODUCT(MAX(ROW(R$2:R374)*(E404=R$2:R374)))))</f>
        <v/>
      </c>
      <c r="J404" s="25" t="str">
        <f aca="true">IF(OR(E404="",E404="!!!",F404="NEW"),"",COUNTBLANK(OFFSET(N$1,,,SUMPRODUCT(MAX(ROW(R$2:R375)*(E404=R$2:R375)))))-COUNTBLANK(OFFSET(N$1,,,SUMPRODUCT(MAX(ROW(R$1:R374)*(R2=R$1:R374))))))</f>
        <v/>
      </c>
      <c r="K404" s="25" t="str">
        <f aca="false">IF(OR(E404="",E404="!!!",F404="NEW"),"",INDEX(W$1:W374,SUMPRODUCT(MAX(ROW(R$1:R374)*(E404=R$1:R374)))))</f>
        <v/>
      </c>
      <c r="L404" s="26"/>
    </row>
    <row r="405" customFormat="false" ht="14.25" hidden="false" customHeight="false" outlineLevel="0" collapsed="false">
      <c r="A405" s="0" t="s">
        <v>437</v>
      </c>
      <c r="E405" s="21" t="str">
        <f aca="false">IF(Q376="?OLD","!!!","")</f>
        <v/>
      </c>
      <c r="F405" s="22" t="str">
        <f aca="false">IF(OR(E405="",E405="!!!"),"",IF(NOT(ISNA(VLOOKUP(E405,R$1:R375,1,FALSE()))),"OLD",IF(AND(E405&lt;&gt;"",E405&lt;&gt;"!!!"),"NEW","")))</f>
        <v/>
      </c>
      <c r="G405" s="23" t="str">
        <f aca="false"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aca="false">IF(J405&lt;&gt;1,"",IF(I405="SBJ","CB","?"))</f>
        <v/>
      </c>
      <c r="I405" s="25" t="str">
        <f aca="false">IF(OR(E405="",E405="!!!",F405="NEW"),"",INDEX(O$2:O375,-1+SUMPRODUCT(MAX(ROW(R$2:R375)*(E405=R$2:R375)))))</f>
        <v/>
      </c>
      <c r="J405" s="25" t="str">
        <f aca="true">IF(OR(E405="",E405="!!!",F405="NEW"),"",COUNTBLANK(OFFSET(N$1,,,SUMPRODUCT(MAX(ROW(R$2:R376)*(E405=R$2:R376)))))-COUNTBLANK(OFFSET(N$1,,,SUMPRODUCT(MAX(ROW(R$1:R375)*(R2=R$1:R375))))))</f>
        <v/>
      </c>
      <c r="K405" s="25" t="str">
        <f aca="false">IF(OR(E405="",E405="!!!",F405="NEW"),"",INDEX(W$1:W375,SUMPRODUCT(MAX(ROW(R$1:R375)*(E405=R$1:R375)))))</f>
        <v/>
      </c>
      <c r="L405" s="26"/>
    </row>
    <row r="406" customFormat="false" ht="14.25" hidden="false" customHeight="false" outlineLevel="0" collapsed="false">
      <c r="A406" s="0" t="s">
        <v>140</v>
      </c>
      <c r="E406" s="21" t="str">
        <f aca="false">IF(Q377="?OLD","!!!","")</f>
        <v/>
      </c>
      <c r="F406" s="22" t="str">
        <f aca="false">IF(OR(E406="",E406="!!!"),"",IF(NOT(ISNA(VLOOKUP(E406,R$1:R376,1,FALSE()))),"OLD",IF(AND(E406&lt;&gt;"",E406&lt;&gt;"!!!"),"NEW","")))</f>
        <v/>
      </c>
      <c r="G406" s="23" t="str">
        <f aca="false"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aca="false">IF(J406&lt;&gt;1,"",IF(I406="SBJ","CB","?"))</f>
        <v/>
      </c>
      <c r="I406" s="25" t="str">
        <f aca="false">IF(OR(E406="",E406="!!!",F406="NEW"),"",INDEX(O$2:O376,-1+SUMPRODUCT(MAX(ROW(R$2:R376)*(E406=R$2:R376)))))</f>
        <v/>
      </c>
      <c r="J406" s="25" t="str">
        <f aca="true">IF(OR(E406="",E406="!!!",F406="NEW"),"",COUNTBLANK(OFFSET(N$1,,,SUMPRODUCT(MAX(ROW(R$2:R377)*(E406=R$2:R377)))))-COUNTBLANK(OFFSET(N$1,,,SUMPRODUCT(MAX(ROW(R$1:R376)*(R2=R$1:R376))))))</f>
        <v/>
      </c>
      <c r="K406" s="25" t="str">
        <f aca="false">IF(OR(E406="",E406="!!!",F406="NEW"),"",INDEX(W$1:W376,SUMPRODUCT(MAX(ROW(R$1:R376)*(E406=R$1:R376)))))</f>
        <v/>
      </c>
      <c r="L406" s="26"/>
    </row>
    <row r="407" customFormat="false" ht="14.25" hidden="false" customHeight="false" outlineLevel="0" collapsed="false">
      <c r="A407" s="0" t="s">
        <v>327</v>
      </c>
      <c r="E407" s="21" t="str">
        <f aca="false">IF(Q378="?OLD","!!!","")</f>
        <v/>
      </c>
      <c r="F407" s="22" t="str">
        <f aca="false">IF(OR(E407="",E407="!!!"),"",IF(NOT(ISNA(VLOOKUP(E407,R$1:R377,1,FALSE()))),"OLD",IF(AND(E407&lt;&gt;"",E407&lt;&gt;"!!!"),"NEW","")))</f>
        <v/>
      </c>
      <c r="G407" s="23" t="str">
        <f aca="false"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aca="false">IF(J407&lt;&gt;1,"",IF(I407="SBJ","CB","?"))</f>
        <v/>
      </c>
      <c r="I407" s="25" t="str">
        <f aca="false">IF(OR(E407="",E407="!!!",F407="NEW"),"",INDEX(O$2:O377,-1+SUMPRODUCT(MAX(ROW(R$2:R377)*(E407=R$2:R377)))))</f>
        <v/>
      </c>
      <c r="J407" s="25" t="str">
        <f aca="true">IF(OR(E407="",E407="!!!",F407="NEW"),"",COUNTBLANK(OFFSET(N$1,,,SUMPRODUCT(MAX(ROW(R$2:R378)*(E407=R$2:R378)))))-COUNTBLANK(OFFSET(N$1,,,SUMPRODUCT(MAX(ROW(R$1:R377)*(R2=R$1:R377))))))</f>
        <v/>
      </c>
      <c r="K407" s="25" t="str">
        <f aca="false">IF(OR(E407="",E407="!!!",F407="NEW"),"",INDEX(W$1:W377,SUMPRODUCT(MAX(ROW(R$1:R377)*(E407=R$1:R377)))))</f>
        <v/>
      </c>
      <c r="L407" s="26"/>
    </row>
    <row r="408" customFormat="false" ht="14.25" hidden="false" customHeight="false" outlineLevel="0" collapsed="false">
      <c r="A408" s="0" t="s">
        <v>438</v>
      </c>
      <c r="B408" s="20" t="s">
        <v>150</v>
      </c>
      <c r="C408" s="20" t="s">
        <v>209</v>
      </c>
      <c r="D408" s="20" t="s">
        <v>125</v>
      </c>
      <c r="E408" s="21"/>
      <c r="F408" s="22" t="str">
        <f aca="false">IF(OR(E408="",E408="!!!"),"",IF(NOT(ISNA(VLOOKUP(E408,R$1:R378,1,FALSE()))),"OLD",IF(AND(E408&lt;&gt;"",E408&lt;&gt;"!!!"),"NEW","")))</f>
        <v/>
      </c>
      <c r="G408" s="23" t="str">
        <f aca="false"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aca="false">IF(J408&lt;&gt;1,"",IF(I408="SBJ","CB","?"))</f>
        <v/>
      </c>
      <c r="I408" s="25" t="str">
        <f aca="false">IF(OR(E408="",E408="!!!",F408="NEW"),"",INDEX(O$2:O378,-1+SUMPRODUCT(MAX(ROW(R$2:R378)*(E408=R$2:R378)))))</f>
        <v/>
      </c>
      <c r="J408" s="25" t="str">
        <f aca="true">IF(OR(E408="",E408="!!!",F408="NEW"),"",COUNTBLANK(OFFSET(N$1,,,SUMPRODUCT(MAX(ROW(R$2:R379)*(E408=R$2:R379)))))-COUNTBLANK(OFFSET(N$1,,,SUMPRODUCT(MAX(ROW(R$1:R378)*(R2=R$1:R378))))))</f>
        <v/>
      </c>
      <c r="K408" s="25" t="str">
        <f aca="false">IF(OR(E408="",E408="!!!",F408="NEW"),"",INDEX(W$1:W378,SUMPRODUCT(MAX(ROW(R$1:R378)*(E408=R$1:R378)))))</f>
        <v/>
      </c>
      <c r="L408" s="26" t="s">
        <v>222</v>
      </c>
    </row>
    <row r="409" customFormat="false" ht="14.25" hidden="false" customHeight="false" outlineLevel="0" collapsed="false">
      <c r="A409" s="0" t="s">
        <v>439</v>
      </c>
      <c r="B409" s="20" t="s">
        <v>148</v>
      </c>
      <c r="C409" s="20" t="s">
        <v>155</v>
      </c>
      <c r="E409" s="21" t="str">
        <f aca="false">IF(Q380="?OLD","!!!","")</f>
        <v/>
      </c>
      <c r="F409" s="22" t="str">
        <f aca="false">IF(OR(E409="",E409="!!!"),"",IF(NOT(ISNA(VLOOKUP(E409,R$1:R379,1,FALSE()))),"OLD",IF(AND(E409&lt;&gt;"",E409&lt;&gt;"!!!"),"NEW","")))</f>
        <v/>
      </c>
      <c r="G409" s="23" t="str">
        <f aca="false"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aca="false">IF(J409&lt;&gt;1,"",IF(I409="SBJ","CB","?"))</f>
        <v/>
      </c>
      <c r="I409" s="25" t="str">
        <f aca="false">IF(OR(E409="",E409="!!!",F409="NEW"),"",INDEX(O$2:O379,-1+SUMPRODUCT(MAX(ROW(R$2:R379)*(E409=R$2:R379)))))</f>
        <v/>
      </c>
      <c r="J409" s="25" t="str">
        <f aca="true">IF(OR(E409="",E409="!!!",F409="NEW"),"",COUNTBLANK(OFFSET(N$1,,,SUMPRODUCT(MAX(ROW(R$2:R380)*(E409=R$2:R380)))))-COUNTBLANK(OFFSET(N$1,,,SUMPRODUCT(MAX(ROW(R$1:R379)*(R2=R$1:R379))))))</f>
        <v/>
      </c>
      <c r="K409" s="25" t="str">
        <f aca="false">IF(OR(E409="",E409="!!!",F409="NEW"),"",INDEX(W$1:W379,SUMPRODUCT(MAX(ROW(R$1:R379)*(E409=R$1:R379)))))</f>
        <v/>
      </c>
      <c r="L409" s="26"/>
    </row>
    <row r="410" customFormat="false" ht="14.25" hidden="false" customHeight="false" outlineLevel="0" collapsed="false">
      <c r="A410" s="0" t="s">
        <v>156</v>
      </c>
      <c r="E410" s="21" t="str">
        <f aca="false">IF(Q381="?OLD","!!!","")</f>
        <v/>
      </c>
      <c r="F410" s="22" t="str">
        <f aca="false">IF(OR(E410="",E410="!!!"),"",IF(NOT(ISNA(VLOOKUP(E410,R$1:R380,1,FALSE()))),"OLD",IF(AND(E410&lt;&gt;"",E410&lt;&gt;"!!!"),"NEW","")))</f>
        <v/>
      </c>
      <c r="G410" s="23" t="str">
        <f aca="false"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aca="false">IF(J410&lt;&gt;1,"",IF(I410="SBJ","CB","?"))</f>
        <v/>
      </c>
      <c r="I410" s="25" t="str">
        <f aca="false">IF(OR(E410="",E410="!!!",F410="NEW"),"",INDEX(O$2:O380,-1+SUMPRODUCT(MAX(ROW(R$2:R380)*(E410=R$2:R380)))))</f>
        <v/>
      </c>
      <c r="J410" s="25" t="str">
        <f aca="true">IF(OR(E410="",E410="!!!",F410="NEW"),"",COUNTBLANK(OFFSET(N$1,,,SUMPRODUCT(MAX(ROW(R$2:R381)*(E410=R$2:R381)))))-COUNTBLANK(OFFSET(N$1,,,SUMPRODUCT(MAX(ROW(R$1:R380)*(R2=R$1:R380))))))</f>
        <v/>
      </c>
      <c r="K410" s="25" t="str">
        <f aca="false">IF(OR(E410="",E410="!!!",F410="NEW"),"",INDEX(W$1:W380,SUMPRODUCT(MAX(ROW(R$1:R380)*(E410=R$1:R380)))))</f>
        <v/>
      </c>
      <c r="L410" s="26"/>
    </row>
    <row r="411" customFormat="false" ht="14.25" hidden="false" customHeight="false" outlineLevel="0" collapsed="false">
      <c r="A411" s="0" t="s">
        <v>440</v>
      </c>
      <c r="E411" s="21" t="str">
        <f aca="false">IF(Q382="?OLD","!!!","")</f>
        <v/>
      </c>
      <c r="F411" s="22" t="str">
        <f aca="false">IF(OR(E411="",E411="!!!"),"",IF(NOT(ISNA(VLOOKUP(E411,R$1:R381,1,FALSE()))),"OLD",IF(AND(E411&lt;&gt;"",E411&lt;&gt;"!!!"),"NEW","")))</f>
        <v/>
      </c>
      <c r="G411" s="23" t="str">
        <f aca="false"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aca="false">IF(J411&lt;&gt;1,"",IF(I411="SBJ","CB","?"))</f>
        <v/>
      </c>
      <c r="I411" s="25" t="str">
        <f aca="false">IF(OR(E411="",E411="!!!",F411="NEW"),"",INDEX(O$2:O381,-1+SUMPRODUCT(MAX(ROW(R$2:R381)*(E411=R$2:R381)))))</f>
        <v/>
      </c>
      <c r="J411" s="25" t="str">
        <f aca="true">IF(OR(E411="",E411="!!!",F411="NEW"),"",COUNTBLANK(OFFSET(N$1,,,SUMPRODUCT(MAX(ROW(R$2:R382)*(E411=R$2:R382)))))-COUNTBLANK(OFFSET(N$1,,,SUMPRODUCT(MAX(ROW(R$1:R381)*(R2=R$1:R381))))))</f>
        <v/>
      </c>
      <c r="K411" s="25" t="str">
        <f aca="false">IF(OR(E411="",E411="!!!",F411="NEW"),"",INDEX(W$1:W381,SUMPRODUCT(MAX(ROW(R$1:R381)*(E411=R$1:R381)))))</f>
        <v/>
      </c>
      <c r="L411" s="26"/>
    </row>
    <row r="412" customFormat="false" ht="14.25" hidden="false" customHeight="false" outlineLevel="0" collapsed="false">
      <c r="A412" s="0" t="s">
        <v>297</v>
      </c>
      <c r="B412" s="20" t="s">
        <v>133</v>
      </c>
      <c r="C412" s="20" t="s">
        <v>155</v>
      </c>
      <c r="E412" s="21" t="s">
        <v>305</v>
      </c>
      <c r="F412" s="22" t="str">
        <f aca="false">IF(OR(E412="",E412="!!!"),"",IF(NOT(ISNA(VLOOKUP(E412,R$1:R382,1,FALSE()))),"OLD",IF(AND(E412&lt;&gt;"",E412&lt;&gt;"!!!"),"NEW","")))</f>
        <v>NEW</v>
      </c>
      <c r="G412" s="23" t="str">
        <f aca="false"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?REFERENTIAL</v>
      </c>
      <c r="H412" s="24" t="str">
        <f aca="false">IF(J412&lt;&gt;1,"",IF(I412="SBJ","CB","?"))</f>
        <v/>
      </c>
      <c r="I412" s="25" t="str">
        <f aca="false">IF(OR(E412="",E412="!!!",F412="NEW"),"",INDEX(O$2:O382,-1+SUMPRODUCT(MAX(ROW(R$2:R382)*(E412=R$2:R382)))))</f>
        <v/>
      </c>
      <c r="J412" s="25" t="str">
        <f aca="true">IF(OR(E412="",E412="!!!",F412="NEW"),"",COUNTBLANK(OFFSET(N$1,,,SUMPRODUCT(MAX(ROW(R$2:R383)*(E412=R$2:R383)))))-COUNTBLANK(OFFSET(N$1,,,SUMPRODUCT(MAX(ROW(R$1:R382)*(R2=R$1:R382))))))</f>
        <v/>
      </c>
      <c r="K412" s="25" t="str">
        <f aca="false">IF(OR(E412="",E412="!!!",F412="NEW"),"",INDEX(W$1:W382,SUMPRODUCT(MAX(ROW(R$1:R382)*(E412=R$1:R382)))))</f>
        <v/>
      </c>
      <c r="L412" s="26"/>
      <c r="O412" s="20"/>
      <c r="P412" s="20"/>
      <c r="Q412" s="20"/>
    </row>
    <row r="413" customFormat="false" ht="14.25" hidden="false" customHeight="false" outlineLevel="0" collapsed="false">
      <c r="A413" s="0" t="s">
        <v>160</v>
      </c>
      <c r="E413" s="21" t="str">
        <f aca="false">IF(Q384="?OLD","!!!","")</f>
        <v/>
      </c>
      <c r="F413" s="22" t="str">
        <f aca="false">IF(OR(E413="",E413="!!!"),"",IF(NOT(ISNA(VLOOKUP(E413,R$1:R383,1,FALSE()))),"OLD",IF(AND(E413&lt;&gt;"",E413&lt;&gt;"!!!"),"NEW","")))</f>
        <v/>
      </c>
      <c r="G413" s="23" t="str">
        <f aca="false"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aca="false">IF(J413&lt;&gt;1,"",IF(I413="SBJ","CB","?"))</f>
        <v/>
      </c>
      <c r="I413" s="25" t="str">
        <f aca="false">IF(OR(E413="",E413="!!!",F413="NEW"),"",INDEX(O$2:O383,-1+SUMPRODUCT(MAX(ROW(R$2:R383)*(E413=R$2:R383)))))</f>
        <v/>
      </c>
      <c r="J413" s="25" t="str">
        <f aca="true">IF(OR(E413="",E413="!!!",F413="NEW"),"",COUNTBLANK(OFFSET(N$1,,,SUMPRODUCT(MAX(ROW(R$2:R384)*(E413=R$2:R384)))))-COUNTBLANK(OFFSET(N$1,,,SUMPRODUCT(MAX(ROW(R$1:R383)*(R2=R$1:R383))))))</f>
        <v/>
      </c>
      <c r="K413" s="25" t="str">
        <f aca="false">IF(OR(E413="",E413="!!!",F413="NEW"),"",INDEX(W$1:W383,SUMPRODUCT(MAX(ROW(R$1:R383)*(E413=R$1:R383)))))</f>
        <v/>
      </c>
      <c r="L413" s="26"/>
    </row>
    <row r="414" customFormat="false" ht="14.25" hidden="false" customHeight="false" outlineLevel="0" collapsed="false">
      <c r="O414" s="20"/>
      <c r="P414" s="20"/>
    </row>
    <row r="415" customFormat="false" ht="14.25" hidden="false" customHeight="false" outlineLevel="0" collapsed="false">
      <c r="A415" s="0" t="s">
        <v>441</v>
      </c>
    </row>
    <row r="416" customFormat="false" ht="14.25" hidden="false" customHeight="false" outlineLevel="0" collapsed="false">
      <c r="A416" s="0" t="s">
        <v>442</v>
      </c>
      <c r="E416" s="21"/>
      <c r="F416" s="22" t="str">
        <f aca="false">IF(OR(E416="",E416="!!!"),"",IF(NOT(ISNA(VLOOKUP(E416,R$1:R384,1,FALSE()))),"OLD",IF(AND(E416&lt;&gt;"",E416&lt;&gt;"!!!"),"NEW","")))</f>
        <v/>
      </c>
      <c r="G416" s="23" t="str">
        <f aca="false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aca="false">IF(J416&lt;&gt;1,"",IF(I416="SBJ","CB","?"))</f>
        <v/>
      </c>
      <c r="I416" s="25" t="str">
        <f aca="false">IF(OR(E416="",E416="!!!",F416="NEW"),"",INDEX(O$2:O384,-1+SUMPRODUCT(MAX(ROW(R$2:R384)*(E416=R$2:R384)))))</f>
        <v/>
      </c>
      <c r="J416" s="25" t="str">
        <f aca="true">IF(OR(E416="",E416="!!!",F416="NEW"),"",COUNTBLANK(OFFSET(N$1,,,SUMPRODUCT(MAX(ROW(R$2:R385)*(E416=R$2:R385)))))-COUNTBLANK(OFFSET(N$1,,,SUMPRODUCT(MAX(ROW(R$1:R384)*(R2=R$1:R384))))))</f>
        <v/>
      </c>
      <c r="K416" s="25" t="str">
        <f aca="false">IF(OR(E416="",E416="!!!",F416="NEW"),"",INDEX(W$1:W384,SUMPRODUCT(MAX(ROW(R$1:R384)*(E416=R$1:R384)))))</f>
        <v/>
      </c>
      <c r="L416" s="26" t="s">
        <v>443</v>
      </c>
    </row>
    <row r="417" customFormat="false" ht="14.25" hidden="false" customHeight="false" outlineLevel="0" collapsed="false">
      <c r="A417" s="0" t="s">
        <v>444</v>
      </c>
      <c r="B417" s="20" t="s">
        <v>148</v>
      </c>
      <c r="C417" s="20" t="s">
        <v>155</v>
      </c>
      <c r="E417" s="21"/>
      <c r="F417" s="22" t="str">
        <f aca="false">IF(OR(E417="",E417="!!!"),"",IF(NOT(ISNA(VLOOKUP(E417,R$1:R385,1,FALSE()))),"OLD",IF(AND(E417&lt;&gt;"",E417&lt;&gt;"!!!"),"NEW","")))</f>
        <v/>
      </c>
      <c r="G417" s="23" t="str">
        <f aca="false"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aca="false">IF(J417&lt;&gt;1,"",IF(I417="SBJ","CB","?"))</f>
        <v/>
      </c>
      <c r="I417" s="25" t="str">
        <f aca="false">IF(OR(E417="",E417="!!!",F417="NEW"),"",INDEX(O$2:O385,-1+SUMPRODUCT(MAX(ROW(R$2:R385)*(E417=R$2:R385)))))</f>
        <v/>
      </c>
      <c r="J417" s="25" t="str">
        <f aca="true">IF(OR(E417="",E417="!!!",F417="NEW"),"",COUNTBLANK(OFFSET(N$1,,,SUMPRODUCT(MAX(ROW(R$2:R386)*(E417=R$2:R386)))))-COUNTBLANK(OFFSET(N$1,,,SUMPRODUCT(MAX(ROW(R$1:R385)*(R2=R$1:R385))))))</f>
        <v/>
      </c>
      <c r="K417" s="25" t="str">
        <f aca="false">IF(OR(E417="",E417="!!!",F417="NEW"),"",INDEX(W$1:W385,SUMPRODUCT(MAX(ROW(R$1:R385)*(E417=R$1:R385)))))</f>
        <v/>
      </c>
      <c r="L417" s="26"/>
      <c r="O417" s="20"/>
      <c r="P417" s="20"/>
    </row>
    <row r="418" customFormat="false" ht="14.25" hidden="false" customHeight="false" outlineLevel="0" collapsed="false">
      <c r="A418" s="0" t="s">
        <v>445</v>
      </c>
      <c r="E418" s="21" t="str">
        <f aca="false">IF(Q387="?OLD","!!!","")</f>
        <v/>
      </c>
      <c r="F418" s="22" t="str">
        <f aca="false">IF(OR(E418="",E418="!!!"),"",IF(NOT(ISNA(VLOOKUP(E418,R$1:R386,1,FALSE()))),"OLD",IF(AND(E418&lt;&gt;"",E418&lt;&gt;"!!!"),"NEW","")))</f>
        <v/>
      </c>
      <c r="G418" s="23" t="str">
        <f aca="false"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aca="false">IF(J418&lt;&gt;1,"",IF(I418="SBJ","CB","?"))</f>
        <v/>
      </c>
      <c r="I418" s="25" t="str">
        <f aca="false">IF(OR(E418="",E418="!!!",F418="NEW"),"",INDEX(O$2:O386,-1+SUMPRODUCT(MAX(ROW(R$2:R386)*(E418=R$2:R386)))))</f>
        <v/>
      </c>
      <c r="J418" s="25" t="str">
        <f aca="true">IF(OR(E418="",E418="!!!",F418="NEW"),"",COUNTBLANK(OFFSET(N$1,,,SUMPRODUCT(MAX(ROW(R$2:R387)*(E418=R$2:R387)))))-COUNTBLANK(OFFSET(N$1,,,SUMPRODUCT(MAX(ROW(R$1:R386)*(R2=R$1:R386))))))</f>
        <v/>
      </c>
      <c r="K418" s="25" t="str">
        <f aca="false">IF(OR(E418="",E418="!!!",F418="NEW"),"",INDEX(W$1:W386,SUMPRODUCT(MAX(ROW(R$1:R386)*(E418=R$1:R386)))))</f>
        <v/>
      </c>
      <c r="L418" s="26"/>
    </row>
    <row r="419" customFormat="false" ht="14.25" hidden="false" customHeight="false" outlineLevel="0" collapsed="false">
      <c r="A419" s="0" t="s">
        <v>446</v>
      </c>
      <c r="B419" s="20" t="s">
        <v>150</v>
      </c>
      <c r="C419" s="20" t="s">
        <v>134</v>
      </c>
      <c r="D419" s="20" t="s">
        <v>125</v>
      </c>
      <c r="E419" s="21" t="s">
        <v>447</v>
      </c>
      <c r="F419" s="22" t="str">
        <f aca="false">IF(OR(E419="",E419="!!!"),"",IF(NOT(ISNA(VLOOKUP(E419,R$1:R387,1,FALSE()))),"OLD",IF(AND(E419&lt;&gt;"",E419&lt;&gt;"!!!"),"NEW","")))</f>
        <v>NEW</v>
      </c>
      <c r="G419" s="23" t="str">
        <f aca="false"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?REFERENTIAL</v>
      </c>
      <c r="H419" s="24" t="str">
        <f aca="false">IF(J419&lt;&gt;1,"",IF(I419="SBJ","CB","?"))</f>
        <v/>
      </c>
      <c r="I419" s="25" t="str">
        <f aca="false">IF(OR(E419="",E419="!!!",F419="NEW"),"",INDEX(O$2:O387,-1+SUMPRODUCT(MAX(ROW(R$2:R387)*(E419=R$2:R387)))))</f>
        <v/>
      </c>
      <c r="J419" s="25" t="str">
        <f aca="true">IF(OR(E419="",E419="!!!",F419="NEW"),"",COUNTBLANK(OFFSET(N$1,,,SUMPRODUCT(MAX(ROW(R$2:R388)*(E419=R$2:R388)))))-COUNTBLANK(OFFSET(N$1,,,SUMPRODUCT(MAX(ROW(R$1:R387)*(R2=R$1:R387))))))</f>
        <v/>
      </c>
      <c r="K419" s="25" t="str">
        <f aca="false">IF(OR(E419="",E419="!!!",F419="NEW"),"",INDEX(W$1:W387,SUMPRODUCT(MAX(ROW(R$1:R387)*(E419=R$1:R387)))))</f>
        <v/>
      </c>
      <c r="L419" s="26"/>
    </row>
    <row r="420" customFormat="false" ht="14.25" hidden="false" customHeight="false" outlineLevel="0" collapsed="false">
      <c r="A420" s="0" t="s">
        <v>448</v>
      </c>
      <c r="E420" s="21" t="str">
        <f aca="false">IF(Q389="?OLD","!!!","")</f>
        <v/>
      </c>
      <c r="F420" s="22" t="str">
        <f aca="false">IF(OR(E420="",E420="!!!"),"",IF(NOT(ISNA(VLOOKUP(E420,R$1:R388,1,FALSE()))),"OLD",IF(AND(E420&lt;&gt;"",E420&lt;&gt;"!!!"),"NEW","")))</f>
        <v/>
      </c>
      <c r="G420" s="23" t="str">
        <f aca="false"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aca="false">IF(J420&lt;&gt;1,"",IF(I420="SBJ","CB","?"))</f>
        <v/>
      </c>
      <c r="I420" s="25" t="str">
        <f aca="false">IF(OR(E420="",E420="!!!",F420="NEW"),"",INDEX(O$2:O388,-1+SUMPRODUCT(MAX(ROW(R$2:R388)*(E420=R$2:R388)))))</f>
        <v/>
      </c>
      <c r="J420" s="25" t="str">
        <f aca="true">IF(OR(E420="",E420="!!!",F420="NEW"),"",COUNTBLANK(OFFSET(N$1,,,SUMPRODUCT(MAX(ROW(R$2:R389)*(E420=R$2:R389)))))-COUNTBLANK(OFFSET(N$1,,,SUMPRODUCT(MAX(ROW(R$1:R388)*(R2=R$1:R388))))))</f>
        <v/>
      </c>
      <c r="K420" s="25" t="str">
        <f aca="false">IF(OR(E420="",E420="!!!",F420="NEW"),"",INDEX(W$1:W388,SUMPRODUCT(MAX(ROW(R$1:R388)*(E420=R$1:R388)))))</f>
        <v/>
      </c>
      <c r="L420" s="26"/>
    </row>
    <row r="421" customFormat="false" ht="14.25" hidden="false" customHeight="false" outlineLevel="0" collapsed="false">
      <c r="A421" s="0" t="s">
        <v>449</v>
      </c>
      <c r="E421" s="21" t="str">
        <f aca="false">IF(Q390="?OLD","!!!","")</f>
        <v/>
      </c>
      <c r="F421" s="22" t="str">
        <f aca="false">IF(OR(E421="",E421="!!!"),"",IF(NOT(ISNA(VLOOKUP(E421,R$1:R389,1,FALSE()))),"OLD",IF(AND(E421&lt;&gt;"",E421&lt;&gt;"!!!"),"NEW","")))</f>
        <v/>
      </c>
      <c r="G421" s="23" t="str">
        <f aca="false"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aca="false">IF(J421&lt;&gt;1,"",IF(I421="SBJ","CB","?"))</f>
        <v/>
      </c>
      <c r="I421" s="25" t="str">
        <f aca="false">IF(OR(E421="",E421="!!!",F421="NEW"),"",INDEX(O$2:O389,-1+SUMPRODUCT(MAX(ROW(R$2:R389)*(E421=R$2:R389)))))</f>
        <v/>
      </c>
      <c r="J421" s="25" t="str">
        <f aca="true">IF(OR(E421="",E421="!!!",F421="NEW"),"",COUNTBLANK(OFFSET(N$1,,,SUMPRODUCT(MAX(ROW(R$2:R390)*(E421=R$2:R390)))))-COUNTBLANK(OFFSET(N$1,,,SUMPRODUCT(MAX(ROW(R$1:R389)*(R2=R$1:R389))))))</f>
        <v/>
      </c>
      <c r="K421" s="25" t="str">
        <f aca="false">IF(OR(E421="",E421="!!!",F421="NEW"),"",INDEX(W$1:W389,SUMPRODUCT(MAX(ROW(R$1:R389)*(E421=R$1:R389)))))</f>
        <v/>
      </c>
      <c r="L421" s="26"/>
    </row>
    <row r="422" customFormat="false" ht="14.25" hidden="false" customHeight="false" outlineLevel="0" collapsed="false">
      <c r="A422" s="0" t="s">
        <v>204</v>
      </c>
      <c r="B422" s="20" t="s">
        <v>123</v>
      </c>
      <c r="C422" s="20" t="s">
        <v>124</v>
      </c>
      <c r="D422" s="20" t="s">
        <v>125</v>
      </c>
      <c r="E422" s="21" t="s">
        <v>126</v>
      </c>
      <c r="F422" s="22" t="str">
        <f aca="false">IF(OR(E422="",E422="!!!"),"",IF(NOT(ISNA(VLOOKUP(E422,R$1:R390,1,FALSE()))),"OLD",IF(AND(E422&lt;&gt;"",E422&lt;&gt;"!!!"),"NEW","")))</f>
        <v>NEW</v>
      </c>
      <c r="G422" s="23" t="str">
        <f aca="false"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?REFERENTIAL</v>
      </c>
      <c r="H422" s="24" t="str">
        <f aca="false">IF(J422&lt;&gt;1,"",IF(I422="SBJ","CB","?"))</f>
        <v/>
      </c>
      <c r="I422" s="25" t="str">
        <f aca="false">IF(OR(E422="",E422="!!!",F422="NEW"),"",INDEX(O$2:O390,-1+SUMPRODUCT(MAX(ROW(R$2:R390)*(E422=R$2:R390)))))</f>
        <v/>
      </c>
      <c r="J422" s="25" t="str">
        <f aca="true">IF(OR(E422="",E422="!!!",F422="NEW"),"",COUNTBLANK(OFFSET(N$1,,,SUMPRODUCT(MAX(ROW(R$2:R391)*(E422=R$2:R391)))))-COUNTBLANK(OFFSET(N$1,,,SUMPRODUCT(MAX(ROW(R$1:R390)*(R2=R$1:R390))))))</f>
        <v/>
      </c>
      <c r="K422" s="25" t="str">
        <f aca="false">IF(OR(E422="",E422="!!!",F422="NEW"),"",INDEX(W$1:W390,SUMPRODUCT(MAX(ROW(R$1:R390)*(E422=R$1:R390)))))</f>
        <v/>
      </c>
      <c r="L422" s="26"/>
    </row>
    <row r="423" customFormat="false" ht="14.25" hidden="false" customHeight="false" outlineLevel="0" collapsed="false">
      <c r="A423" s="0" t="s">
        <v>273</v>
      </c>
      <c r="E423" s="21" t="str">
        <f aca="false">IF(Q392="?OLD","!!!","")</f>
        <v/>
      </c>
      <c r="F423" s="22" t="str">
        <f aca="false">IF(OR(E423="",E423="!!!"),"",IF(NOT(ISNA(VLOOKUP(E423,R$1:R391,1,FALSE()))),"OLD",IF(AND(E423&lt;&gt;"",E423&lt;&gt;"!!!"),"NEW","")))</f>
        <v/>
      </c>
      <c r="G423" s="23" t="str">
        <f aca="false"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aca="false">IF(J423&lt;&gt;1,"",IF(I423="SBJ","CB","?"))</f>
        <v/>
      </c>
      <c r="I423" s="25" t="str">
        <f aca="false">IF(OR(E423="",E423="!!!",F423="NEW"),"",INDEX(O$2:O391,-1+SUMPRODUCT(MAX(ROW(R$2:R391)*(E423=R$2:R391)))))</f>
        <v/>
      </c>
      <c r="J423" s="25" t="str">
        <f aca="true">IF(OR(E423="",E423="!!!",F423="NEW"),"",COUNTBLANK(OFFSET(N$1,,,SUMPRODUCT(MAX(ROW(R$2:R392)*(E423=R$2:R392)))))-COUNTBLANK(OFFSET(N$1,,,SUMPRODUCT(MAX(ROW(R$1:R391)*(R2=R$1:R391))))))</f>
        <v/>
      </c>
      <c r="K423" s="25" t="str">
        <f aca="false">IF(OR(E423="",E423="!!!",F423="NEW"),"",INDEX(W$1:W391,SUMPRODUCT(MAX(ROW(R$1:R391)*(E423=R$1:R391)))))</f>
        <v/>
      </c>
      <c r="L423" s="26"/>
    </row>
    <row r="424" customFormat="false" ht="14.25" hidden="false" customHeight="false" outlineLevel="0" collapsed="false">
      <c r="A424" s="0" t="s">
        <v>450</v>
      </c>
      <c r="E424" s="21" t="str">
        <f aca="false">IF(Q393="?OLD","!!!","")</f>
        <v/>
      </c>
      <c r="F424" s="22" t="str">
        <f aca="false">IF(OR(E424="",E424="!!!"),"",IF(NOT(ISNA(VLOOKUP(E424,R$1:R392,1,FALSE()))),"OLD",IF(AND(E424&lt;&gt;"",E424&lt;&gt;"!!!"),"NEW","")))</f>
        <v/>
      </c>
      <c r="G424" s="23" t="str">
        <f aca="false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aca="false">IF(J424&lt;&gt;1,"",IF(I424="SBJ","CB","?"))</f>
        <v/>
      </c>
      <c r="I424" s="25" t="str">
        <f aca="false">IF(OR(E424="",E424="!!!",F424="NEW"),"",INDEX(O$2:O392,-1+SUMPRODUCT(MAX(ROW(R$2:R392)*(E424=R$2:R392)))))</f>
        <v/>
      </c>
      <c r="J424" s="25" t="str">
        <f aca="true">IF(OR(E424="",E424="!!!",F424="NEW"),"",COUNTBLANK(OFFSET(N$1,,,SUMPRODUCT(MAX(ROW(R$2:R393)*(E424=R$2:R393)))))-COUNTBLANK(OFFSET(N$1,,,SUMPRODUCT(MAX(ROW(R$1:R392)*(R2=R$1:R392))))))</f>
        <v/>
      </c>
      <c r="K424" s="25" t="str">
        <f aca="false">IF(OR(E424="",E424="!!!",F424="NEW"),"",INDEX(W$1:W392,SUMPRODUCT(MAX(ROW(R$1:R392)*(E424=R$1:R392)))))</f>
        <v/>
      </c>
      <c r="L424" s="26"/>
      <c r="O424" s="20"/>
      <c r="P424" s="20"/>
    </row>
    <row r="425" customFormat="false" ht="23.85" hidden="false" customHeight="false" outlineLevel="0" collapsed="false">
      <c r="A425" s="0" t="s">
        <v>451</v>
      </c>
      <c r="B425" s="20" t="s">
        <v>224</v>
      </c>
      <c r="C425" s="20" t="s">
        <v>172</v>
      </c>
      <c r="D425" s="20" t="s">
        <v>125</v>
      </c>
      <c r="E425" s="21" t="s">
        <v>452</v>
      </c>
      <c r="F425" s="22" t="str">
        <f aca="false">IF(OR(E425="",E425="!!!"),"",IF(NOT(ISNA(VLOOKUP(E425,R$1:R393,1,FALSE()))),"OLD",IF(AND(E425&lt;&gt;"",E425&lt;&gt;"!!!"),"NEW","")))</f>
        <v>NEW</v>
      </c>
      <c r="G425" s="23" t="str">
        <f aca="false"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?REFERENTIAL</v>
      </c>
      <c r="H425" s="24" t="str">
        <f aca="false">IF(J425&lt;&gt;1,"",IF(I425="SBJ","CB","?"))</f>
        <v/>
      </c>
      <c r="I425" s="25" t="str">
        <f aca="false">IF(OR(E425="",E425="!!!",F425="NEW"),"",INDEX(O$2:O393,-1+SUMPRODUCT(MAX(ROW(R$2:R393)*(E425=R$2:R393)))))</f>
        <v/>
      </c>
      <c r="J425" s="25" t="str">
        <f aca="true">IF(OR(E425="",E425="!!!",F425="NEW"),"",COUNTBLANK(OFFSET(N$1,,,SUMPRODUCT(MAX(ROW(R$2:R394)*(E425=R$2:R394)))))-COUNTBLANK(OFFSET(N$1,,,SUMPRODUCT(MAX(ROW(R$1:R393)*(R2=R$1:R393))))))</f>
        <v/>
      </c>
      <c r="K425" s="25" t="str">
        <f aca="false">IF(OR(E425="",E425="!!!",F425="NEW"),"",INDEX(W$1:W393,SUMPRODUCT(MAX(ROW(R$1:R393)*(E425=R$1:R393)))))</f>
        <v/>
      </c>
      <c r="L425" s="26" t="s">
        <v>453</v>
      </c>
    </row>
    <row r="426" customFormat="false" ht="14.25" hidden="false" customHeight="false" outlineLevel="0" collapsed="false">
      <c r="A426" s="0" t="s">
        <v>263</v>
      </c>
      <c r="E426" s="21" t="str">
        <f aca="false">IF(Q395="?OLD","!!!","")</f>
        <v/>
      </c>
      <c r="F426" s="22" t="str">
        <f aca="false">IF(OR(E426="",E426="!!!"),"",IF(NOT(ISNA(VLOOKUP(E426,R$1:R394,1,FALSE()))),"OLD",IF(AND(E426&lt;&gt;"",E426&lt;&gt;"!!!"),"NEW","")))</f>
        <v/>
      </c>
      <c r="G426" s="23" t="str">
        <f aca="false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aca="false">IF(J426&lt;&gt;1,"",IF(I426="SBJ","CB","?"))</f>
        <v/>
      </c>
      <c r="I426" s="25" t="str">
        <f aca="false">IF(OR(E426="",E426="!!!",F426="NEW"),"",INDEX(O$2:O394,-1+SUMPRODUCT(MAX(ROW(R$2:R394)*(E426=R$2:R394)))))</f>
        <v/>
      </c>
      <c r="J426" s="25" t="str">
        <f aca="true">IF(OR(E426="",E426="!!!",F426="NEW"),"",COUNTBLANK(OFFSET(N$1,,,SUMPRODUCT(MAX(ROW(R$2:R395)*(E426=R$2:R395)))))-COUNTBLANK(OFFSET(N$1,,,SUMPRODUCT(MAX(ROW(R$1:R394)*(R2=R$1:R394))))))</f>
        <v/>
      </c>
      <c r="K426" s="25" t="str">
        <f aca="false">IF(OR(E426="",E426="!!!",F426="NEW"),"",INDEX(W$1:W394,SUMPRODUCT(MAX(ROW(R$1:R394)*(E426=R$1:R394)))))</f>
        <v/>
      </c>
      <c r="L426" s="26"/>
    </row>
    <row r="427" customFormat="false" ht="14.25" hidden="false" customHeight="false" outlineLevel="0" collapsed="false">
      <c r="A427" s="0" t="s">
        <v>454</v>
      </c>
      <c r="B427" s="20" t="s">
        <v>150</v>
      </c>
      <c r="C427" s="20" t="s">
        <v>172</v>
      </c>
      <c r="D427" s="20" t="s">
        <v>125</v>
      </c>
      <c r="E427" s="21" t="s">
        <v>455</v>
      </c>
      <c r="F427" s="22" t="str">
        <f aca="false">IF(OR(E427="",E427="!!!"),"",IF(NOT(ISNA(VLOOKUP(E427,R$1:R395,1,FALSE()))),"OLD",IF(AND(E427&lt;&gt;"",E427&lt;&gt;"!!!"),"NEW","")))</f>
        <v>NEW</v>
      </c>
      <c r="G427" s="23" t="str">
        <f aca="false"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?REFERENTIAL</v>
      </c>
      <c r="H427" s="24" t="str">
        <f aca="false">IF(J427&lt;&gt;1,"",IF(I427="SBJ","CB","?"))</f>
        <v/>
      </c>
      <c r="I427" s="25" t="str">
        <f aca="false">IF(OR(E427="",E427="!!!",F427="NEW"),"",INDEX(O$2:O395,-1+SUMPRODUCT(MAX(ROW(R$2:R395)*(E427=R$2:R395)))))</f>
        <v/>
      </c>
      <c r="J427" s="25" t="str">
        <f aca="true">IF(OR(E427="",E427="!!!",F427="NEW"),"",COUNTBLANK(OFFSET(N$1,,,SUMPRODUCT(MAX(ROW(R$2:R396)*(E427=R$2:R396)))))-COUNTBLANK(OFFSET(N$1,,,SUMPRODUCT(MAX(ROW(R$1:R395)*(R2=R$1:R395))))))</f>
        <v/>
      </c>
      <c r="K427" s="25" t="str">
        <f aca="false">IF(OR(E427="",E427="!!!",F427="NEW"),"",INDEX(W$1:W395,SUMPRODUCT(MAX(ROW(R$1:R395)*(E427=R$1:R395)))))</f>
        <v/>
      </c>
      <c r="L427" s="26"/>
      <c r="O427" s="20"/>
      <c r="P427" s="20"/>
      <c r="Q427" s="20"/>
    </row>
    <row r="428" customFormat="false" ht="14.25" hidden="false" customHeight="false" outlineLevel="0" collapsed="false">
      <c r="A428" s="0" t="s">
        <v>456</v>
      </c>
      <c r="E428" s="21" t="str">
        <f aca="false">IF(Q397="?OLD","!!!","")</f>
        <v/>
      </c>
      <c r="F428" s="22" t="str">
        <f aca="false">IF(OR(E428="",E428="!!!"),"",IF(NOT(ISNA(VLOOKUP(E428,R$1:R396,1,FALSE()))),"OLD",IF(AND(E428&lt;&gt;"",E428&lt;&gt;"!!!"),"NEW","")))</f>
        <v/>
      </c>
      <c r="G428" s="23" t="str">
        <f aca="false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aca="false">IF(J428&lt;&gt;1,"",IF(I428="SBJ","CB","?"))</f>
        <v/>
      </c>
      <c r="I428" s="25" t="str">
        <f aca="false">IF(OR(E428="",E428="!!!",F428="NEW"),"",INDEX(O$2:O396,-1+SUMPRODUCT(MAX(ROW(R$2:R396)*(E428=R$2:R396)))))</f>
        <v/>
      </c>
      <c r="J428" s="25" t="str">
        <f aca="true">IF(OR(E428="",E428="!!!",F428="NEW"),"",COUNTBLANK(OFFSET(N$1,,,SUMPRODUCT(MAX(ROW(R$2:R397)*(E428=R$2:R397)))))-COUNTBLANK(OFFSET(N$1,,,SUMPRODUCT(MAX(ROW(R$1:R396)*(R2=R$1:R396))))))</f>
        <v/>
      </c>
      <c r="K428" s="25" t="str">
        <f aca="false">IF(OR(E428="",E428="!!!",F428="NEW"),"",INDEX(W$1:W396,SUMPRODUCT(MAX(ROW(R$1:R396)*(E428=R$1:R396)))))</f>
        <v/>
      </c>
      <c r="L428" s="26"/>
    </row>
    <row r="429" customFormat="false" ht="14.25" hidden="false" customHeight="false" outlineLevel="0" collapsed="false">
      <c r="A429" s="0" t="s">
        <v>375</v>
      </c>
      <c r="B429" s="20" t="s">
        <v>232</v>
      </c>
      <c r="C429" s="20" t="s">
        <v>172</v>
      </c>
      <c r="D429" s="20" t="s">
        <v>125</v>
      </c>
      <c r="E429" s="21" t="s">
        <v>346</v>
      </c>
      <c r="F429" s="22" t="str">
        <f aca="false">IF(OR(E429="",E429="!!!"),"",IF(NOT(ISNA(VLOOKUP(E429,R$1:R397,1,FALSE()))),"OLD",IF(AND(E429&lt;&gt;"",E429&lt;&gt;"!!!"),"NEW","")))</f>
        <v>NEW</v>
      </c>
      <c r="G429" s="23" t="str">
        <f aca="false"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?REFERENTIAL</v>
      </c>
      <c r="H429" s="24" t="str">
        <f aca="false">IF(J429&lt;&gt;1,"",IF(I429="SBJ","CB","?"))</f>
        <v/>
      </c>
      <c r="I429" s="25" t="str">
        <f aca="false">IF(OR(E429="",E429="!!!",F429="NEW"),"",INDEX(O$2:O397,-1+SUMPRODUCT(MAX(ROW(R$2:R397)*(E429=R$2:R397)))))</f>
        <v/>
      </c>
      <c r="J429" s="25" t="str">
        <f aca="true">IF(OR(E429="",E429="!!!",F429="NEW"),"",COUNTBLANK(OFFSET(N$1,,,SUMPRODUCT(MAX(ROW(R$2:R398)*(E429=R$2:R398)))))-COUNTBLANK(OFFSET(N$1,,,SUMPRODUCT(MAX(ROW(R$1:R397)*(R2=R$1:R397))))))</f>
        <v/>
      </c>
      <c r="K429" s="25" t="str">
        <f aca="false">IF(OR(E429="",E429="!!!",F429="NEW"),"",INDEX(W$1:W397,SUMPRODUCT(MAX(ROW(R$1:R397)*(E429=R$1:R397)))))</f>
        <v/>
      </c>
      <c r="L429" s="26"/>
    </row>
    <row r="430" customFormat="false" ht="14.25" hidden="false" customHeight="false" outlineLevel="0" collapsed="false">
      <c r="A430" s="0" t="s">
        <v>140</v>
      </c>
      <c r="E430" s="21" t="str">
        <f aca="false">IF(Q399="?OLD","!!!","")</f>
        <v/>
      </c>
      <c r="F430" s="22" t="str">
        <f aca="false">IF(OR(E430="",E430="!!!"),"",IF(NOT(ISNA(VLOOKUP(E430,R$1:R398,1,FALSE()))),"OLD",IF(AND(E430&lt;&gt;"",E430&lt;&gt;"!!!"),"NEW","")))</f>
        <v/>
      </c>
      <c r="G430" s="23" t="str">
        <f aca="false"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aca="false">IF(J430&lt;&gt;1,"",IF(I430="SBJ","CB","?"))</f>
        <v/>
      </c>
      <c r="I430" s="25" t="str">
        <f aca="false">IF(OR(E430="",E430="!!!",F430="NEW"),"",INDEX(O$2:O398,-1+SUMPRODUCT(MAX(ROW(R$2:R398)*(E430=R$2:R398)))))</f>
        <v/>
      </c>
      <c r="J430" s="25" t="str">
        <f aca="true">IF(OR(E430="",E430="!!!",F430="NEW"),"",COUNTBLANK(OFFSET(N$1,,,SUMPRODUCT(MAX(ROW(R$2:R399)*(E430=R$2:R399)))))-COUNTBLANK(OFFSET(N$1,,,SUMPRODUCT(MAX(ROW(R$1:R398)*(R2=R$1:R398))))))</f>
        <v/>
      </c>
      <c r="K430" s="25" t="str">
        <f aca="false">IF(OR(E430="",E430="!!!",F430="NEW"),"",INDEX(W$1:W398,SUMPRODUCT(MAX(ROW(R$1:R398)*(E430=R$1:R398)))))</f>
        <v/>
      </c>
      <c r="L430" s="26"/>
    </row>
    <row r="431" customFormat="false" ht="14.25" hidden="false" customHeight="false" outlineLevel="0" collapsed="false">
      <c r="A431" s="0" t="s">
        <v>457</v>
      </c>
      <c r="E431" s="21" t="str">
        <f aca="false">IF(Q400="?OLD","!!!","")</f>
        <v/>
      </c>
      <c r="F431" s="22" t="str">
        <f aca="false">IF(OR(E431="",E431="!!!"),"",IF(NOT(ISNA(VLOOKUP(E431,R$1:R399,1,FALSE()))),"OLD",IF(AND(E431&lt;&gt;"",E431&lt;&gt;"!!!"),"NEW","")))</f>
        <v/>
      </c>
      <c r="G431" s="23" t="str">
        <f aca="false"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aca="false">IF(J431&lt;&gt;1,"",IF(I431="SBJ","CB","?"))</f>
        <v/>
      </c>
      <c r="I431" s="25" t="str">
        <f aca="false">IF(OR(E431="",E431="!!!",F431="NEW"),"",INDEX(O$2:O399,-1+SUMPRODUCT(MAX(ROW(R$2:R399)*(E431=R$2:R399)))))</f>
        <v/>
      </c>
      <c r="J431" s="25" t="str">
        <f aca="true">IF(OR(E431="",E431="!!!",F431="NEW"),"",COUNTBLANK(OFFSET(N$1,,,SUMPRODUCT(MAX(ROW(R$2:R400)*(E431=R$2:R400)))))-COUNTBLANK(OFFSET(N$1,,,SUMPRODUCT(MAX(ROW(R$1:R399)*(R2=R$1:R399))))))</f>
        <v/>
      </c>
      <c r="K431" s="25" t="str">
        <f aca="false">IF(OR(E431="",E431="!!!",F431="NEW"),"",INDEX(W$1:W399,SUMPRODUCT(MAX(ROW(R$1:R399)*(E431=R$1:R399)))))</f>
        <v/>
      </c>
      <c r="L431" s="26"/>
      <c r="O431" s="20"/>
      <c r="P431" s="20"/>
    </row>
    <row r="432" customFormat="false" ht="14.25" hidden="false" customHeight="false" outlineLevel="0" collapsed="false">
      <c r="A432" s="0" t="s">
        <v>273</v>
      </c>
      <c r="E432" s="21" t="str">
        <f aca="false">IF(Q401="?OLD","!!!","")</f>
        <v/>
      </c>
      <c r="F432" s="22" t="str">
        <f aca="false">IF(OR(E432="",E432="!!!"),"",IF(NOT(ISNA(VLOOKUP(E432,R$1:R400,1,FALSE()))),"OLD",IF(AND(E432&lt;&gt;"",E432&lt;&gt;"!!!"),"NEW","")))</f>
        <v/>
      </c>
      <c r="G432" s="23" t="str">
        <f aca="false"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aca="false">IF(J432&lt;&gt;1,"",IF(I432="SBJ","CB","?"))</f>
        <v/>
      </c>
      <c r="I432" s="25" t="str">
        <f aca="false">IF(OR(E432="",E432="!!!",F432="NEW"),"",INDEX(O$2:O400,-1+SUMPRODUCT(MAX(ROW(R$2:R400)*(E432=R$2:R400)))))</f>
        <v/>
      </c>
      <c r="J432" s="25" t="str">
        <f aca="true">IF(OR(E432="",E432="!!!",F432="NEW"),"",COUNTBLANK(OFFSET(N$1,,,SUMPRODUCT(MAX(ROW(R$2:R401)*(E432=R$2:R401)))))-COUNTBLANK(OFFSET(N$1,,,SUMPRODUCT(MAX(ROW(R$1:R400)*(R2=R$1:R400))))))</f>
        <v/>
      </c>
      <c r="K432" s="25" t="str">
        <f aca="false">IF(OR(E432="",E432="!!!",F432="NEW"),"",INDEX(W$1:W400,SUMPRODUCT(MAX(ROW(R$1:R400)*(E432=R$1:R400)))))</f>
        <v/>
      </c>
      <c r="L432" s="26"/>
    </row>
    <row r="433" customFormat="false" ht="14.25" hidden="false" customHeight="false" outlineLevel="0" collapsed="false">
      <c r="A433" s="0" t="s">
        <v>458</v>
      </c>
      <c r="B433" s="20" t="s">
        <v>187</v>
      </c>
      <c r="C433" s="20" t="s">
        <v>172</v>
      </c>
      <c r="D433" s="20" t="s">
        <v>125</v>
      </c>
      <c r="E433" s="21"/>
      <c r="F433" s="22" t="str">
        <f aca="false">IF(OR(E433="",E433="!!!"),"",IF(NOT(ISNA(VLOOKUP(E433,R$1:R401,1,FALSE()))),"OLD",IF(AND(E433&lt;&gt;"",E433&lt;&gt;"!!!"),"NEW","")))</f>
        <v/>
      </c>
      <c r="G433" s="23" t="str">
        <f aca="false"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aca="false">IF(J433&lt;&gt;1,"",IF(I433="SBJ","CB","?"))</f>
        <v/>
      </c>
      <c r="I433" s="25" t="str">
        <f aca="false">IF(OR(E433="",E433="!!!",F433="NEW"),"",INDEX(O$2:O401,-1+SUMPRODUCT(MAX(ROW(R$2:R401)*(E433=R$2:R401)))))</f>
        <v/>
      </c>
      <c r="J433" s="25" t="str">
        <f aca="true">IF(OR(E433="",E433="!!!",F433="NEW"),"",COUNTBLANK(OFFSET(N$1,,,SUMPRODUCT(MAX(ROW(R$2:R402)*(E433=R$2:R402)))))-COUNTBLANK(OFFSET(N$1,,,SUMPRODUCT(MAX(ROW(R$1:R401)*(R2=R$1:R401))))))</f>
        <v/>
      </c>
      <c r="K433" s="25" t="str">
        <f aca="false">IF(OR(E433="",E433="!!!",F433="NEW"),"",INDEX(W$1:W401,SUMPRODUCT(MAX(ROW(R$1:R401)*(E433=R$1:R401)))))</f>
        <v/>
      </c>
      <c r="L433" s="26" t="s">
        <v>193</v>
      </c>
    </row>
    <row r="434" customFormat="false" ht="14.25" hidden="false" customHeight="false" outlineLevel="0" collapsed="false">
      <c r="A434" s="0" t="s">
        <v>459</v>
      </c>
      <c r="B434" s="20" t="s">
        <v>148</v>
      </c>
      <c r="C434" s="20" t="s">
        <v>134</v>
      </c>
      <c r="D434" s="20" t="s">
        <v>125</v>
      </c>
      <c r="E434" s="21" t="s">
        <v>460</v>
      </c>
      <c r="F434" s="22" t="str">
        <f aca="false">IF(OR(E434="",E434="!!!"),"",IF(NOT(ISNA(VLOOKUP(E434,R$1:R402,1,FALSE()))),"OLD",IF(AND(E434&lt;&gt;"",E434&lt;&gt;"!!!"),"NEW","")))</f>
        <v>NEW</v>
      </c>
      <c r="G434" s="23" t="str">
        <f aca="false"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?REFERENTIAL</v>
      </c>
      <c r="H434" s="24" t="str">
        <f aca="false">IF(J434&lt;&gt;1,"",IF(I434="SBJ","CB","?"))</f>
        <v/>
      </c>
      <c r="I434" s="25" t="str">
        <f aca="false">IF(OR(E434="",E434="!!!",F434="NEW"),"",INDEX(O$2:O402,-1+SUMPRODUCT(MAX(ROW(R$2:R402)*(E434=R$2:R402)))))</f>
        <v/>
      </c>
      <c r="J434" s="25" t="str">
        <f aca="true">IF(OR(E434="",E434="!!!",F434="NEW"),"",COUNTBLANK(OFFSET(N$1,,,SUMPRODUCT(MAX(ROW(R$2:R403)*(E434=R$2:R403)))))-COUNTBLANK(OFFSET(N$1,,,SUMPRODUCT(MAX(ROW(R$1:R402)*(R2=R$1:R402))))))</f>
        <v/>
      </c>
      <c r="K434" s="25" t="str">
        <f aca="false">IF(OR(E434="",E434="!!!",F434="NEW"),"",INDEX(W$1:W402,SUMPRODUCT(MAX(ROW(R$1:R402)*(E434=R$1:R402)))))</f>
        <v/>
      </c>
      <c r="L434" s="26"/>
      <c r="O434" s="20"/>
      <c r="P434" s="20"/>
    </row>
    <row r="435" customFormat="false" ht="14.25" hidden="false" customHeight="false" outlineLevel="0" collapsed="false">
      <c r="A435" s="0" t="s">
        <v>140</v>
      </c>
      <c r="E435" s="21" t="str">
        <f aca="false">IF(Q404="?OLD","!!!","")</f>
        <v/>
      </c>
      <c r="F435" s="22" t="str">
        <f aca="false">IF(OR(E435="",E435="!!!"),"",IF(NOT(ISNA(VLOOKUP(E435,R$1:R403,1,FALSE()))),"OLD",IF(AND(E435&lt;&gt;"",E435&lt;&gt;"!!!"),"NEW","")))</f>
        <v/>
      </c>
      <c r="G435" s="23" t="str">
        <f aca="false"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aca="false">IF(J435&lt;&gt;1,"",IF(I435="SBJ","CB","?"))</f>
        <v/>
      </c>
      <c r="I435" s="25" t="str">
        <f aca="false">IF(OR(E435="",E435="!!!",F435="NEW"),"",INDEX(O$2:O403,-1+SUMPRODUCT(MAX(ROW(R$2:R403)*(E435=R$2:R403)))))</f>
        <v/>
      </c>
      <c r="J435" s="25" t="str">
        <f aca="true">IF(OR(E435="",E435="!!!",F435="NEW"),"",COUNTBLANK(OFFSET(N$1,,,SUMPRODUCT(MAX(ROW(R$2:R404)*(E435=R$2:R404)))))-COUNTBLANK(OFFSET(N$1,,,SUMPRODUCT(MAX(ROW(R$1:R403)*(R2=R$1:R403))))))</f>
        <v/>
      </c>
      <c r="K435" s="25" t="str">
        <f aca="false">IF(OR(E435="",E435="!!!",F435="NEW"),"",INDEX(W$1:W403,SUMPRODUCT(MAX(ROW(R$1:R403)*(E435=R$1:R403)))))</f>
        <v/>
      </c>
      <c r="L435" s="26"/>
    </row>
    <row r="436" customFormat="false" ht="14.25" hidden="false" customHeight="false" outlineLevel="0" collapsed="false">
      <c r="A436" s="0" t="s">
        <v>228</v>
      </c>
      <c r="E436" s="21" t="str">
        <f aca="false">IF(Q405="?OLD","!!!","")</f>
        <v/>
      </c>
      <c r="F436" s="22" t="str">
        <f aca="false">IF(OR(E436="",E436="!!!"),"",IF(NOT(ISNA(VLOOKUP(E436,R$1:R404,1,FALSE()))),"OLD",IF(AND(E436&lt;&gt;"",E436&lt;&gt;"!!!"),"NEW","")))</f>
        <v/>
      </c>
      <c r="G436" s="23" t="str">
        <f aca="false"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aca="false">IF(J436&lt;&gt;1,"",IF(I436="SBJ","CB","?"))</f>
        <v/>
      </c>
      <c r="I436" s="25" t="str">
        <f aca="false">IF(OR(E436="",E436="!!!",F436="NEW"),"",INDEX(O$2:O404,-1+SUMPRODUCT(MAX(ROW(R$2:R404)*(E436=R$2:R404)))))</f>
        <v/>
      </c>
      <c r="J436" s="25" t="str">
        <f aca="true">IF(OR(E436="",E436="!!!",F436="NEW"),"",COUNTBLANK(OFFSET(N$1,,,SUMPRODUCT(MAX(ROW(R$2:R405)*(E436=R$2:R405)))))-COUNTBLANK(OFFSET(N$1,,,SUMPRODUCT(MAX(ROW(R$1:R404)*(R1=R$1:R404))))))</f>
        <v/>
      </c>
      <c r="K436" s="25" t="str">
        <f aca="false">IF(OR(E436="",E436="!!!",F436="NEW"),"",INDEX(W$1:W404,SUMPRODUCT(MAX(ROW(R$1:R404)*(E436=R$1:R404)))))</f>
        <v/>
      </c>
      <c r="L436" s="26"/>
      <c r="O436" s="20"/>
      <c r="P436" s="20"/>
      <c r="Q436" s="20"/>
    </row>
    <row r="437" customFormat="false" ht="14.25" hidden="false" customHeight="false" outlineLevel="0" collapsed="false">
      <c r="A437" s="0" t="s">
        <v>461</v>
      </c>
      <c r="E437" s="21" t="str">
        <f aca="false">IF(Q406="?OLD","!!!","")</f>
        <v/>
      </c>
      <c r="F437" s="22" t="str">
        <f aca="false">IF(OR(E437="",E437="!!!"),"",IF(NOT(ISNA(VLOOKUP(E437,R$1:R405,1,FALSE()))),"OLD",IF(AND(E437&lt;&gt;"",E437&lt;&gt;"!!!"),"NEW","")))</f>
        <v/>
      </c>
      <c r="G437" s="23" t="str">
        <f aca="false"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aca="false">IF(J437&lt;&gt;1,"",IF(I437="SBJ","CB","?"))</f>
        <v/>
      </c>
      <c r="I437" s="25" t="str">
        <f aca="false">IF(OR(E437="",E437="!!!",F437="NEW"),"",INDEX(O$2:O405,-1+SUMPRODUCT(MAX(ROW(R$2:R405)*(E437=R$2:R405)))))</f>
        <v/>
      </c>
      <c r="J437" s="25" t="str">
        <f aca="true">IF(OR(E437="",E437="!!!",F437="NEW"),"",COUNTBLANK(OFFSET(N$1,,,SUMPRODUCT(MAX(ROW(R$2:R406)*(E437=R$2:R406)))))-COUNTBLANK(OFFSET(N$1,,,SUMPRODUCT(MAX(ROW(R$1:R405)*(R2=R$1:R405))))))</f>
        <v/>
      </c>
      <c r="K437" s="25" t="str">
        <f aca="false">IF(OR(E437="",E437="!!!",F437="NEW"),"",INDEX(W$1:W405,SUMPRODUCT(MAX(ROW(R$1:R405)*(E437=R$1:R405)))))</f>
        <v/>
      </c>
      <c r="L437" s="26"/>
      <c r="O437" s="20"/>
      <c r="P437" s="20"/>
    </row>
    <row r="438" customFormat="false" ht="14.25" hidden="false" customHeight="false" outlineLevel="0" collapsed="false">
      <c r="A438" s="0" t="s">
        <v>462</v>
      </c>
      <c r="E438" s="21" t="str">
        <f aca="false">IF(Q407="?OLD","!!!","")</f>
        <v/>
      </c>
      <c r="F438" s="22" t="str">
        <f aca="false">IF(OR(E438="",E438="!!!"),"",IF(NOT(ISNA(VLOOKUP(E438,R$1:R406,1,FALSE()))),"OLD",IF(AND(E438&lt;&gt;"",E438&lt;&gt;"!!!"),"NEW","")))</f>
        <v/>
      </c>
      <c r="G438" s="23" t="str">
        <f aca="false"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aca="false">IF(J438&lt;&gt;1,"",IF(I438="SBJ","CB","?"))</f>
        <v/>
      </c>
      <c r="I438" s="25" t="str">
        <f aca="false">IF(OR(E438="",E438="!!!",F438="NEW"),"",INDEX(O$2:O406,-1+SUMPRODUCT(MAX(ROW(R$2:R406)*(E438=R$2:R406)))))</f>
        <v/>
      </c>
      <c r="J438" s="25" t="str">
        <f aca="true">IF(OR(E438="",E438="!!!",F438="NEW"),"",COUNTBLANK(OFFSET(N$1,,,SUMPRODUCT(MAX(ROW(R$2:R407)*(E438=R$2:R407)))))-COUNTBLANK(OFFSET(N$1,,,SUMPRODUCT(MAX(ROW(R$1:R406)*(R1=R$1:R406))))))</f>
        <v/>
      </c>
      <c r="K438" s="25" t="str">
        <f aca="false">IF(OR(E438="",E438="!!!",F438="NEW"),"",INDEX(W$1:W406,SUMPRODUCT(MAX(ROW(R$1:R406)*(E438=R$1:R406)))))</f>
        <v/>
      </c>
      <c r="L438" s="26"/>
    </row>
    <row r="439" customFormat="false" ht="14.25" hidden="false" customHeight="false" outlineLevel="0" collapsed="false">
      <c r="A439" s="0" t="s">
        <v>140</v>
      </c>
      <c r="E439" s="21" t="str">
        <f aca="false">IF(Q408="?OLD","!!!","")</f>
        <v/>
      </c>
      <c r="F439" s="22" t="str">
        <f aca="false">IF(OR(E439="",E439="!!!"),"",IF(NOT(ISNA(VLOOKUP(E439,R$1:R407,1,FALSE()))),"OLD",IF(AND(E439&lt;&gt;"",E439&lt;&gt;"!!!"),"NEW","")))</f>
        <v/>
      </c>
      <c r="G439" s="23" t="str">
        <f aca="false"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aca="false">IF(J439&lt;&gt;1,"",IF(I439="SBJ","CB","?"))</f>
        <v/>
      </c>
      <c r="I439" s="25" t="str">
        <f aca="false">IF(OR(E439="",E439="!!!",F439="NEW"),"",INDEX(O$2:O407,-1+SUMPRODUCT(MAX(ROW(R$2:R407)*(E439=R$2:R407)))))</f>
        <v/>
      </c>
      <c r="J439" s="25" t="str">
        <f aca="true">IF(OR(E439="",E439="!!!",F439="NEW"),"",COUNTBLANK(OFFSET(N$1,,,SUMPRODUCT(MAX(ROW(R$2:R408)*(E439=R$2:R408)))))-COUNTBLANK(OFFSET(N$1,,,SUMPRODUCT(MAX(ROW(R$1:R407)*(R2=R$1:R407))))))</f>
        <v/>
      </c>
      <c r="K439" s="25" t="str">
        <f aca="false">IF(OR(E439="",E439="!!!",F439="NEW"),"",INDEX(W$1:W407,SUMPRODUCT(MAX(ROW(R$1:R407)*(E439=R$1:R407)))))</f>
        <v/>
      </c>
      <c r="L439" s="26"/>
    </row>
    <row r="440" customFormat="false" ht="14.25" hidden="false" customHeight="false" outlineLevel="0" collapsed="false">
      <c r="A440" s="0" t="s">
        <v>463</v>
      </c>
      <c r="B440" s="20" t="s">
        <v>235</v>
      </c>
      <c r="C440" s="20" t="s">
        <v>209</v>
      </c>
      <c r="D440" s="20" t="s">
        <v>125</v>
      </c>
      <c r="E440" s="21" t="str">
        <f aca="false">IF(Q409="?OLD","!!!","")</f>
        <v/>
      </c>
      <c r="F440" s="22" t="str">
        <f aca="false">IF(OR(E440="",E440="!!!"),"",IF(NOT(ISNA(VLOOKUP(E440,R$1:R408,1,FALSE()))),"OLD",IF(AND(E440&lt;&gt;"",E440&lt;&gt;"!!!"),"NEW","")))</f>
        <v/>
      </c>
      <c r="G440" s="23" t="str">
        <f aca="false"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aca="false">IF(J440&lt;&gt;1,"",IF(I440="SBJ","CB","?"))</f>
        <v/>
      </c>
      <c r="I440" s="25" t="str">
        <f aca="false">IF(OR(E440="",E440="!!!",F440="NEW"),"",INDEX(O$2:O408,-1+SUMPRODUCT(MAX(ROW(R$2:R408)*(E440=R$2:R408)))))</f>
        <v/>
      </c>
      <c r="J440" s="25" t="str">
        <f aca="true">IF(OR(E440="",E440="!!!",F440="NEW"),"",COUNTBLANK(OFFSET(N$1,,,SUMPRODUCT(MAX(ROW(R$2:R409)*(E440=R$2:R409)))))-COUNTBLANK(OFFSET(N$1,,,SUMPRODUCT(MAX(ROW(R$1:R408)*(R2=R$1:R408))))))</f>
        <v/>
      </c>
      <c r="K440" s="25" t="str">
        <f aca="false">IF(OR(E440="",E440="!!!",F440="NEW"),"",INDEX(W$1:W408,SUMPRODUCT(MAX(ROW(R$1:R408)*(E440=R$1:R408)))))</f>
        <v/>
      </c>
      <c r="L440" s="26" t="s">
        <v>193</v>
      </c>
      <c r="O440" s="20"/>
    </row>
    <row r="441" customFormat="false" ht="14.25" hidden="false" customHeight="false" outlineLevel="0" collapsed="false">
      <c r="A441" s="0" t="s">
        <v>464</v>
      </c>
      <c r="E441" s="21" t="str">
        <f aca="false">IF(Q410="?OLD","!!!","")</f>
        <v/>
      </c>
      <c r="F441" s="22" t="str">
        <f aca="false">IF(OR(E441="",E441="!!!"),"",IF(NOT(ISNA(VLOOKUP(E441,R$1:R409,1,FALSE()))),"OLD",IF(AND(E441&lt;&gt;"",E441&lt;&gt;"!!!"),"NEW","")))</f>
        <v/>
      </c>
      <c r="G441" s="23" t="str">
        <f aca="false"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aca="false">IF(J441&lt;&gt;1,"",IF(I441="SBJ","CB","?"))</f>
        <v/>
      </c>
      <c r="I441" s="25" t="str">
        <f aca="false">IF(OR(E441="",E441="!!!",F441="NEW"),"",INDEX(O$2:O409,-1+SUMPRODUCT(MAX(ROW(R$2:R409)*(E441=R$2:R409)))))</f>
        <v/>
      </c>
      <c r="J441" s="25" t="str">
        <f aca="true">IF(OR(E441="",E441="!!!",F441="NEW"),"",COUNTBLANK(OFFSET(N$1,,,SUMPRODUCT(MAX(ROW(R$2:R410)*(E441=R$2:R410)))))-COUNTBLANK(OFFSET(N$1,,,SUMPRODUCT(MAX(ROW(R$1:R409)*(R2=R$1:R409))))))</f>
        <v/>
      </c>
      <c r="K441" s="25" t="str">
        <f aca="false">IF(OR(E441="",E441="!!!",F441="NEW"),"",INDEX(W$1:W409,SUMPRODUCT(MAX(ROW(R$1:R409)*(E441=R$1:R409)))))</f>
        <v/>
      </c>
      <c r="L441" s="26"/>
    </row>
    <row r="442" customFormat="false" ht="14.25" hidden="false" customHeight="false" outlineLevel="0" collapsed="false">
      <c r="A442" s="0" t="s">
        <v>465</v>
      </c>
      <c r="B442" s="20" t="s">
        <v>274</v>
      </c>
      <c r="C442" s="20" t="s">
        <v>155</v>
      </c>
      <c r="E442" s="21" t="str">
        <f aca="false">IF(Q411="?OLD","!!!","")</f>
        <v/>
      </c>
      <c r="F442" s="22" t="s">
        <v>265</v>
      </c>
      <c r="G442" s="23" t="str">
        <f aca="false">IF(OR(E445="",E445="!!!"),"",IF(OR(J442=0,AND(J442=1,K442=1),AND(J442=1,I442="SBJ"),AND(J442=1,I442=0)),"?IN_FOCUS",IF(J442&lt;=2,"?ACTIVATED",IF(J442&lt;&gt;"","?FAMILIAR",IF(F442="NEW",IF(ISNA(VLOOKUP(E445,#REF!,1,FALSE())),"?TYPE_IDENTIFIABLE","?REFERENTIAL"),"_")))))</f>
        <v/>
      </c>
      <c r="H442" s="24" t="str">
        <f aca="false">IF(J442&lt;&gt;1,"",IF(I442="SBJ","CB","?"))</f>
        <v/>
      </c>
      <c r="I442" s="25" t="str">
        <f aca="false">IF(OR(E445="",E445="!!!",F442="NEW"),"",INDEX(O$2:O413,-1+SUMPRODUCT(MAX(ROW(R$2:R413)*(E445=R$2:R413)))))</f>
        <v/>
      </c>
      <c r="J442" s="25" t="str">
        <f aca="true">IF(OR(E445="",E445="!!!",F442="NEW"),"",COUNTBLANK(OFFSET(N$1,,,SUMPRODUCT(MAX(ROW(R$2:R414)*(E445=R$2:R414)))))-COUNTBLANK(OFFSET(N$1,,,SUMPRODUCT(MAX(ROW(R$1:R413)*(R2=R$1:R413))))))</f>
        <v/>
      </c>
      <c r="K442" s="25" t="str">
        <f aca="false">IF(OR(E445="",E445="!!!",F442="NEW"),"",INDEX(W$1:W413,SUMPRODUCT(MAX(ROW(R$1:R413)*(E445=R$1:R413)))))</f>
        <v/>
      </c>
      <c r="L442" s="26" t="s">
        <v>466</v>
      </c>
      <c r="O442" s="20"/>
      <c r="P442" s="20"/>
      <c r="Q442" s="20"/>
    </row>
    <row r="443" customFormat="false" ht="14.25" hidden="false" customHeight="false" outlineLevel="0" collapsed="false">
      <c r="A443" s="0" t="s">
        <v>467</v>
      </c>
      <c r="E443" s="21" t="str">
        <f aca="false">IF(Q412="?OLD","!!!","")</f>
        <v/>
      </c>
      <c r="F443" s="22" t="str">
        <f aca="false">IF(OR(E443="",E443="!!!"),"",IF(NOT(ISNA(VLOOKUP(E443,R$1:R411,1,FALSE()))),"OLD",IF(AND(E443&lt;&gt;"",E443&lt;&gt;"!!!"),"NEW","")))</f>
        <v/>
      </c>
      <c r="G443" s="23" t="str">
        <f aca="false"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aca="false">IF(J443&lt;&gt;1,"",IF(I443="SBJ","CB","?"))</f>
        <v/>
      </c>
      <c r="I443" s="25" t="str">
        <f aca="false">IF(OR(E443="",E443="!!!",F443="NEW"),"",INDEX(O$2:O411,-1+SUMPRODUCT(MAX(ROW(R$2:R411)*(E443=R$2:R411)))))</f>
        <v/>
      </c>
      <c r="J443" s="25" t="str">
        <f aca="true">IF(OR(E443="",E443="!!!",F443="NEW"),"",COUNTBLANK(OFFSET(N$1,,,SUMPRODUCT(MAX(ROW(R$2:R412)*(E443=R$2:R412)))))-COUNTBLANK(OFFSET(N$1,,,SUMPRODUCT(MAX(ROW(R$1:R411)*(R1=R$1:R411))))))</f>
        <v/>
      </c>
      <c r="K443" s="25" t="str">
        <f aca="false">IF(OR(E443="",E443="!!!",F443="NEW"),"",INDEX(W$1:W411,SUMPRODUCT(MAX(ROW(R$1:R411)*(E443=R$1:R411)))))</f>
        <v/>
      </c>
      <c r="L443" s="26"/>
    </row>
    <row r="444" customFormat="false" ht="14.25" hidden="false" customHeight="false" outlineLevel="0" collapsed="false">
      <c r="A444" s="0" t="s">
        <v>468</v>
      </c>
      <c r="E444" s="21" t="str">
        <f aca="false">IF(Q413="?OLD","!!!","")</f>
        <v/>
      </c>
      <c r="F444" s="22" t="str">
        <f aca="false">IF(OR(E444="",E444="!!!"),"",IF(NOT(ISNA(VLOOKUP(E444,R$1:R412,1,FALSE()))),"OLD",IF(AND(E444&lt;&gt;"",E444&lt;&gt;"!!!"),"NEW","")))</f>
        <v/>
      </c>
      <c r="G444" s="23" t="str">
        <f aca="false"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aca="false">IF(J444&lt;&gt;1,"",IF(I444="SBJ","CB","?"))</f>
        <v/>
      </c>
      <c r="I444" s="25" t="str">
        <f aca="false">IF(OR(E444="",E444="!!!",F444="NEW"),"",INDEX(O$2:O412,-1+SUMPRODUCT(MAX(ROW(R$2:R412)*(E444=R$2:R412)))))</f>
        <v/>
      </c>
      <c r="J444" s="25" t="str">
        <f aca="true">IF(OR(E444="",E444="!!!",F444="NEW"),"",COUNTBLANK(OFFSET(N$1,,,SUMPRODUCT(MAX(ROW(R$2:R413)*(E444=R$2:R413)))))-COUNTBLANK(OFFSET(N$1,,,SUMPRODUCT(MAX(ROW(R$1:R412)*(R2=R$1:R412))))))</f>
        <v/>
      </c>
      <c r="K444" s="25" t="str">
        <f aca="false">IF(OR(E444="",E444="!!!",F444="NEW"),"",INDEX(W$1:W412,SUMPRODUCT(MAX(ROW(R$1:R412)*(E444=R$1:R412)))))</f>
        <v/>
      </c>
      <c r="L444" s="26"/>
    </row>
    <row r="445" customFormat="false" ht="14.25" hidden="false" customHeight="false" outlineLevel="0" collapsed="false">
      <c r="A445" s="0" t="s">
        <v>469</v>
      </c>
      <c r="B445" s="20" t="s">
        <v>150</v>
      </c>
      <c r="C445" s="20" t="s">
        <v>155</v>
      </c>
      <c r="E445" s="21" t="str">
        <f aca="false">IF(Q414="?OLD","!!!","")</f>
        <v/>
      </c>
      <c r="F445" s="22" t="str">
        <f aca="false">IF(OR(E445="",E445="!!!"),"",IF(NOT(ISNA(VLOOKUP(E445,R$1:R413,1,FALSE()))),"OLD",IF(AND(E445&lt;&gt;"",E445&lt;&gt;"!!!"),"NEW","")))</f>
        <v/>
      </c>
      <c r="G445" s="23" t="str">
        <f aca="false"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aca="false">IF(J445&lt;&gt;1,"",IF(I445="SBJ","CB","?"))</f>
        <v/>
      </c>
      <c r="I445" s="25" t="str">
        <f aca="false">IF(OR(E445="",E445="!!!",F445="NEW"),"",INDEX(O$2:O413,-1+SUMPRODUCT(MAX(ROW(R$2:R413)*(E445=R$2:R413)))))</f>
        <v/>
      </c>
      <c r="J445" s="25" t="str">
        <f aca="true">IF(OR(E445="",E445="!!!",F445="NEW"),"",COUNTBLANK(OFFSET(N$1,,,SUMPRODUCT(MAX(ROW(R$2:R414)*(E445=R$2:R414)))))-COUNTBLANK(OFFSET(N$1,,,SUMPRODUCT(MAX(ROW(R$1:R413)*(R3=R$1:R413))))))</f>
        <v/>
      </c>
      <c r="K445" s="25" t="str">
        <f aca="false">IF(OR(E445="",E445="!!!",F445="NEW"),"",INDEX(W$1:W413,SUMPRODUCT(MAX(ROW(R$1:R413)*(E445=R$1:R413)))))</f>
        <v/>
      </c>
      <c r="L445" s="26"/>
    </row>
    <row r="446" customFormat="false" ht="14.25" hidden="false" customHeight="false" outlineLevel="0" collapsed="false">
      <c r="A446" s="0" t="s">
        <v>470</v>
      </c>
      <c r="E446" s="21" t="str">
        <f aca="false">IF(Q415="?OLD","!!!","")</f>
        <v/>
      </c>
      <c r="F446" s="22" t="str">
        <f aca="false">IF(OR(E446="",E446="!!!"),"",IF(NOT(ISNA(VLOOKUP(E446,R$1:R414,1,FALSE()))),"OLD",IF(AND(E446&lt;&gt;"",E446&lt;&gt;"!!!"),"NEW","")))</f>
        <v/>
      </c>
      <c r="G446" s="23" t="str">
        <f aca="false"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aca="false">IF(J446&lt;&gt;1,"",IF(I446="SBJ","CB","?"))</f>
        <v/>
      </c>
      <c r="I446" s="25" t="str">
        <f aca="false">IF(OR(E446="",E446="!!!",F446="NEW"),"",INDEX(O$2:O414,-1+SUMPRODUCT(MAX(ROW(R$2:R414)*(E446=R$2:R414)))))</f>
        <v/>
      </c>
      <c r="J446" s="25" t="str">
        <f aca="true">IF(OR(E446="",E446="!!!",F446="NEW"),"",COUNTBLANK(OFFSET(N$1,,,SUMPRODUCT(MAX(ROW(R$2:R415)*(E446=R$2:R415)))))-COUNTBLANK(OFFSET(N$1,,,SUMPRODUCT(MAX(ROW(R$1:R414)*(R4=R$1:R414))))))</f>
        <v/>
      </c>
      <c r="K446" s="25" t="str">
        <f aca="false">IF(OR(E446="",E446="!!!",F446="NEW"),"",INDEX(W$1:W414,SUMPRODUCT(MAX(ROW(R$1:R414)*(E446=R$1:R414)))))</f>
        <v/>
      </c>
      <c r="L446" s="26"/>
    </row>
    <row r="447" customFormat="false" ht="14.25" hidden="false" customHeight="false" outlineLevel="0" collapsed="false">
      <c r="A447" s="0" t="s">
        <v>140</v>
      </c>
      <c r="E447" s="21" t="str">
        <f aca="false">IF(Q416="?OLD","!!!","")</f>
        <v/>
      </c>
      <c r="F447" s="22" t="str">
        <f aca="false">IF(OR(E447="",E447="!!!"),"",IF(NOT(ISNA(VLOOKUP(E447,R$1:R415,1,FALSE()))),"OLD",IF(AND(E447&lt;&gt;"",E447&lt;&gt;"!!!"),"NEW","")))</f>
        <v/>
      </c>
      <c r="G447" s="23" t="str">
        <f aca="false"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aca="false">IF(J447&lt;&gt;1,"",IF(I447="SBJ","CB","?"))</f>
        <v/>
      </c>
      <c r="I447" s="25" t="str">
        <f aca="false">IF(OR(E447="",E447="!!!",F447="NEW"),"",INDEX(O$2:O415,-1+SUMPRODUCT(MAX(ROW(R$2:R415)*(E447=R$2:R415)))))</f>
        <v/>
      </c>
      <c r="J447" s="25" t="str">
        <f aca="true">IF(OR(E447="",E447="!!!",F447="NEW"),"",COUNTBLANK(OFFSET(N$1,,,SUMPRODUCT(MAX(ROW(R$2:R416)*(E447=R$2:R416)))))-COUNTBLANK(OFFSET(N$1,,,SUMPRODUCT(MAX(ROW(R$1:R415)*(R2=R$1:R415))))))</f>
        <v/>
      </c>
      <c r="K447" s="25" t="str">
        <f aca="false">IF(OR(E447="",E447="!!!",F447="NEW"),"",INDEX(W$1:W415,SUMPRODUCT(MAX(ROW(R$1:R415)*(E447=R$1:R415)))))</f>
        <v/>
      </c>
      <c r="L447" s="26"/>
      <c r="O447" s="20"/>
      <c r="P447" s="20"/>
      <c r="Q447" s="20"/>
    </row>
    <row r="448" customFormat="false" ht="14.25" hidden="false" customHeight="false" outlineLevel="0" collapsed="false">
      <c r="A448" s="0" t="s">
        <v>138</v>
      </c>
      <c r="E448" s="21" t="str">
        <f aca="false">IF(Q417="?OLD","!!!","")</f>
        <v/>
      </c>
      <c r="F448" s="22" t="str">
        <f aca="false">IF(OR(E448="",E448="!!!"),"",IF(NOT(ISNA(VLOOKUP(E448,R$1:R416,1,FALSE()))),"OLD",IF(AND(E448&lt;&gt;"",E448&lt;&gt;"!!!"),"NEW","")))</f>
        <v/>
      </c>
      <c r="G448" s="23" t="str">
        <f aca="false"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aca="false">IF(J448&lt;&gt;1,"",IF(I448="SBJ","CB","?"))</f>
        <v/>
      </c>
      <c r="I448" s="25" t="str">
        <f aca="false">IF(OR(E448="",E448="!!!",F448="NEW"),"",INDEX(O$2:O416,-1+SUMPRODUCT(MAX(ROW(R$2:R416)*(E448=R$2:R416)))))</f>
        <v/>
      </c>
      <c r="J448" s="25" t="str">
        <f aca="true">IF(OR(E448="",E448="!!!",F448="NEW"),"",COUNTBLANK(OFFSET(N$1,,,SUMPRODUCT(MAX(ROW(R$2:R417)*(E448=R$2:R417)))))-COUNTBLANK(OFFSET(N$1,,,SUMPRODUCT(MAX(ROW(R$1:R416)*(R2=R$1:R416))))))</f>
        <v/>
      </c>
      <c r="K448" s="25" t="str">
        <f aca="false">IF(OR(E448="",E448="!!!",F448="NEW"),"",INDEX(W$1:W416,SUMPRODUCT(MAX(ROW(R$1:R416)*(E448=R$1:R416)))))</f>
        <v/>
      </c>
      <c r="L448" s="26"/>
    </row>
    <row r="449" customFormat="false" ht="14.25" hidden="false" customHeight="false" outlineLevel="0" collapsed="false">
      <c r="A449" s="0" t="s">
        <v>471</v>
      </c>
      <c r="E449" s="21" t="str">
        <f aca="false">IF(Q418="?OLD","!!!","")</f>
        <v/>
      </c>
      <c r="F449" s="22" t="str">
        <f aca="false">IF(OR(E449="",E449="!!!"),"",IF(NOT(ISNA(VLOOKUP(E449,R$1:R417,1,FALSE()))),"OLD",IF(AND(E449&lt;&gt;"",E449&lt;&gt;"!!!"),"NEW","")))</f>
        <v/>
      </c>
      <c r="G449" s="23" t="str">
        <f aca="false"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aca="false">IF(J449&lt;&gt;1,"",IF(I449="SBJ","CB","?"))</f>
        <v/>
      </c>
      <c r="I449" s="25" t="str">
        <f aca="false">IF(OR(E449="",E449="!!!",F449="NEW"),"",INDEX(O$2:O417,-1+SUMPRODUCT(MAX(ROW(R$2:R417)*(E449=R$2:R417)))))</f>
        <v/>
      </c>
      <c r="J449" s="25" t="str">
        <f aca="true">IF(OR(E449="",E449="!!!",F449="NEW"),"",COUNTBLANK(OFFSET(N$1,,,SUMPRODUCT(MAX(ROW(R$2:R418)*(E449=R$2:R418)))))-COUNTBLANK(OFFSET(N$1,,,SUMPRODUCT(MAX(ROW(R$1:R417)*(R2=R$1:R417))))))</f>
        <v/>
      </c>
      <c r="K449" s="25" t="str">
        <f aca="false">IF(OR(E449="",E449="!!!",F449="NEW"),"",INDEX(W$1:W417,SUMPRODUCT(MAX(ROW(R$1:R417)*(E449=R$1:R417)))))</f>
        <v/>
      </c>
      <c r="L449" s="26"/>
      <c r="O449" s="20"/>
      <c r="P449" s="20"/>
      <c r="Q449" s="20"/>
    </row>
    <row r="450" customFormat="false" ht="14.25" hidden="false" customHeight="false" outlineLevel="0" collapsed="false">
      <c r="A450" s="0" t="s">
        <v>472</v>
      </c>
      <c r="E450" s="21" t="str">
        <f aca="false">IF(Q419="?OLD","!!!","")</f>
        <v/>
      </c>
      <c r="F450" s="22" t="str">
        <f aca="false">IF(OR(E450="",E450="!!!"),"",IF(NOT(ISNA(VLOOKUP(E450,R$1:R418,1,FALSE()))),"OLD",IF(AND(E450&lt;&gt;"",E450&lt;&gt;"!!!"),"NEW","")))</f>
        <v/>
      </c>
      <c r="G450" s="23" t="str">
        <f aca="false"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aca="false">IF(J450&lt;&gt;1,"",IF(I450="SBJ","CB","?"))</f>
        <v/>
      </c>
      <c r="I450" s="25" t="str">
        <f aca="false">IF(OR(E450="",E450="!!!",F450="NEW"),"",INDEX(O$2:O418,-1+SUMPRODUCT(MAX(ROW(R$2:R418)*(E450=R$2:R418)))))</f>
        <v/>
      </c>
      <c r="J450" s="25" t="str">
        <f aca="true">IF(OR(E450="",E450="!!!",F450="NEW"),"",COUNTBLANK(OFFSET(N$1,,,SUMPRODUCT(MAX(ROW(R$2:R419)*(E450=R$2:R419)))))-COUNTBLANK(OFFSET(N$1,,,SUMPRODUCT(MAX(ROW(R$1:R418)*(R2=R$1:R418))))))</f>
        <v/>
      </c>
      <c r="K450" s="25" t="str">
        <f aca="false">IF(OR(E450="",E450="!!!",F450="NEW"),"",INDEX(W$1:W418,SUMPRODUCT(MAX(ROW(R$1:R418)*(E450=R$1:R418)))))</f>
        <v/>
      </c>
      <c r="L450" s="26"/>
    </row>
    <row r="451" customFormat="false" ht="14.25" hidden="false" customHeight="false" outlineLevel="0" collapsed="false">
      <c r="A451" s="0" t="s">
        <v>167</v>
      </c>
      <c r="E451" s="21" t="str">
        <f aca="false">IF(Q420="?OLD","!!!","")</f>
        <v/>
      </c>
      <c r="F451" s="22" t="str">
        <f aca="false">IF(OR(E451="",E451="!!!"),"",IF(NOT(ISNA(VLOOKUP(E451,R$1:R419,1,FALSE()))),"OLD",IF(AND(E451&lt;&gt;"",E451&lt;&gt;"!!!"),"NEW","")))</f>
        <v/>
      </c>
      <c r="G451" s="23" t="str">
        <f aca="false"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aca="false">IF(J451&lt;&gt;1,"",IF(I451="SBJ","CB","?"))</f>
        <v/>
      </c>
      <c r="I451" s="25" t="str">
        <f aca="false">IF(OR(E451="",E451="!!!",F451="NEW"),"",INDEX(O$2:O419,-1+SUMPRODUCT(MAX(ROW(R$2:R419)*(E451=R$2:R419)))))</f>
        <v/>
      </c>
      <c r="J451" s="25" t="str">
        <f aca="true">IF(OR(E451="",E451="!!!",F451="NEW"),"",COUNTBLANK(OFFSET(N$1,,,SUMPRODUCT(MAX(ROW(R$2:R420)*(E451=R$2:R420)))))-COUNTBLANK(OFFSET(N$1,,,SUMPRODUCT(MAX(ROW(R$1:R419)*(R2=R$1:R419))))))</f>
        <v/>
      </c>
      <c r="K451" s="25" t="str">
        <f aca="false">IF(OR(E451="",E451="!!!",F451="NEW"),"",INDEX(W$1:W419,SUMPRODUCT(MAX(ROW(R$1:R419)*(E451=R$1:R419)))))</f>
        <v/>
      </c>
      <c r="L451" s="26"/>
      <c r="O451" s="20"/>
      <c r="P451" s="20"/>
      <c r="Q451" s="20"/>
    </row>
    <row r="452" customFormat="false" ht="14.25" hidden="false" customHeight="false" outlineLevel="0" collapsed="false">
      <c r="A452" s="0" t="s">
        <v>318</v>
      </c>
      <c r="B452" s="20" t="s">
        <v>274</v>
      </c>
      <c r="C452" s="20" t="s">
        <v>146</v>
      </c>
      <c r="E452" s="21" t="str">
        <f aca="false">IF(Q421="?OLD","!!!","")</f>
        <v/>
      </c>
      <c r="F452" s="22" t="str">
        <f aca="false">IF(OR(E452="",E452="!!!"),"",IF(NOT(ISNA(VLOOKUP(E452,R$1:R420,1,FALSE()))),"OLD",IF(AND(E452&lt;&gt;"",E452&lt;&gt;"!!!"),"NEW","")))</f>
        <v/>
      </c>
      <c r="G452" s="23" t="str">
        <f aca="false"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aca="false">IF(J452&lt;&gt;1,"",IF(I452="SBJ","CB","?"))</f>
        <v/>
      </c>
      <c r="I452" s="25" t="str">
        <f aca="false">IF(OR(E452="",E452="!!!",F452="NEW"),"",INDEX(O$2:O420,-1+SUMPRODUCT(MAX(ROW(R$2:R420)*(E452=R$2:R420)))))</f>
        <v/>
      </c>
      <c r="J452" s="25" t="str">
        <f aca="true">IF(OR(E452="",E452="!!!",F452="NEW"),"",COUNTBLANK(OFFSET(N$1,,,SUMPRODUCT(MAX(ROW(R$2:R421)*(E452=R$2:R421)))))-COUNTBLANK(OFFSET(N$1,,,SUMPRODUCT(MAX(ROW(R$1:R420)*(R2=R$1:R420))))))</f>
        <v/>
      </c>
      <c r="K452" s="25" t="str">
        <f aca="false">IF(OR(E452="",E452="!!!",F452="NEW"),"",INDEX(W$1:W420,SUMPRODUCT(MAX(ROW(R$1:R420)*(E452=R$1:R420)))))</f>
        <v/>
      </c>
      <c r="L452" s="26"/>
    </row>
    <row r="453" customFormat="false" ht="14.25" hidden="false" customHeight="false" outlineLevel="0" collapsed="false">
      <c r="A453" s="0" t="s">
        <v>473</v>
      </c>
      <c r="E453" s="21" t="str">
        <f aca="false">IF(Q422="?OLD","!!!","")</f>
        <v/>
      </c>
      <c r="F453" s="22" t="str">
        <f aca="false">IF(OR(E453="",E453="!!!"),"",IF(NOT(ISNA(VLOOKUP(E453,R$1:R421,1,FALSE()))),"OLD",IF(AND(E453&lt;&gt;"",E453&lt;&gt;"!!!"),"NEW","")))</f>
        <v/>
      </c>
      <c r="G453" s="23" t="str">
        <f aca="false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aca="false">IF(J453&lt;&gt;1,"",IF(I453="SBJ","CB","?"))</f>
        <v/>
      </c>
      <c r="I453" s="25" t="str">
        <f aca="false">IF(OR(E453="",E453="!!!",F453="NEW"),"",INDEX(O$2:O421,-1+SUMPRODUCT(MAX(ROW(R$2:R421)*(E453=R$2:R421)))))</f>
        <v/>
      </c>
      <c r="J453" s="25" t="str">
        <f aca="true">IF(OR(E453="",E453="!!!",F453="NEW"),"",COUNTBLANK(OFFSET(N$1,,,SUMPRODUCT(MAX(ROW(R$2:R422)*(E453=R$2:R422)))))-COUNTBLANK(OFFSET(N$1,,,SUMPRODUCT(MAX(ROW(R$1:R421)*(R2=R$1:R421))))))</f>
        <v/>
      </c>
      <c r="K453" s="25" t="str">
        <f aca="false">IF(OR(E453="",E453="!!!",F453="NEW"),"",INDEX(W$1:W421,SUMPRODUCT(MAX(ROW(R$1:R421)*(E453=R$1:R421)))))</f>
        <v/>
      </c>
      <c r="L453" s="26"/>
    </row>
    <row r="454" customFormat="false" ht="14.25" hidden="false" customHeight="false" outlineLevel="0" collapsed="false">
      <c r="A454" s="0" t="s">
        <v>160</v>
      </c>
      <c r="E454" s="21" t="str">
        <f aca="false">IF(Q423="?OLD","!!!","")</f>
        <v/>
      </c>
      <c r="F454" s="22" t="str">
        <f aca="false">IF(OR(E454="",E454="!!!"),"",IF(NOT(ISNA(VLOOKUP(E454,R$1:R422,1,FALSE()))),"OLD",IF(AND(E454&lt;&gt;"",E454&lt;&gt;"!!!"),"NEW","")))</f>
        <v/>
      </c>
      <c r="G454" s="23" t="str">
        <f aca="false"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aca="false">IF(J454&lt;&gt;1,"",IF(I454="SBJ","CB","?"))</f>
        <v/>
      </c>
      <c r="I454" s="25" t="str">
        <f aca="false">IF(OR(E454="",E454="!!!",F454="NEW"),"",INDEX(O$2:O422,-1+SUMPRODUCT(MAX(ROW(R$2:R422)*(E454=R$2:R422)))))</f>
        <v/>
      </c>
      <c r="J454" s="25" t="str">
        <f aca="true">IF(OR(E454="",E454="!!!",F454="NEW"),"",COUNTBLANK(OFFSET(N$1,,,SUMPRODUCT(MAX(ROW(R$2:R423)*(E454=R$2:R423)))))-COUNTBLANK(OFFSET(N$1,,,SUMPRODUCT(MAX(ROW(R$1:R422)*(R2=R$1:R422))))))</f>
        <v/>
      </c>
      <c r="K454" s="25" t="str">
        <f aca="false">IF(OR(E454="",E454="!!!",F454="NEW"),"",INDEX(W$1:W422,SUMPRODUCT(MAX(ROW(R$1:R422)*(E454=R$1:R422)))))</f>
        <v/>
      </c>
      <c r="L454" s="26"/>
    </row>
    <row r="455" customFormat="false" ht="14.25" hidden="false" customHeight="false" outlineLevel="0" collapsed="false">
      <c r="O455" s="20"/>
      <c r="P455" s="20"/>
      <c r="Q455" s="20"/>
    </row>
    <row r="456" customFormat="false" ht="14.25" hidden="false" customHeight="false" outlineLevel="0" collapsed="false">
      <c r="A456" s="0" t="s">
        <v>474</v>
      </c>
      <c r="E456" s="21" t="str">
        <f aca="false">IF(Q425="?OLD","!!!","")</f>
        <v/>
      </c>
      <c r="F456" s="22" t="str">
        <f aca="false">IF(OR(E456="",E456="!!!"),"",IF(NOT(ISNA(VLOOKUP(E456,R$1:R424,1,FALSE()))),"OLD",IF(AND(E456&lt;&gt;"",E456&lt;&gt;"!!!"),"NEW","")))</f>
        <v/>
      </c>
      <c r="G456" s="23" t="str">
        <f aca="false"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aca="false">IF(J456&lt;&gt;1,"",IF(I456="SBJ","CB","?"))</f>
        <v/>
      </c>
      <c r="I456" s="25" t="str">
        <f aca="false">IF(OR(E456="",E456="!!!",F456="NEW"),"",INDEX(O$2:O424,-1+SUMPRODUCT(MAX(ROW(R$2:R424)*(E456=R$2:R424)))))</f>
        <v/>
      </c>
      <c r="J456" s="25" t="str">
        <f aca="true">IF(OR(E456="",E456="!!!",F456="NEW"),"",COUNTBLANK(OFFSET(N$1,,,SUMPRODUCT(MAX(ROW(R$2:R425)*(E456=R$2:R425)))))-COUNTBLANK(OFFSET(N$1,,,SUMPRODUCT(MAX(ROW(R$1:R424)*(R2=R$1:R424))))))</f>
        <v/>
      </c>
      <c r="K456" s="25" t="str">
        <f aca="false">IF(OR(E456="",E456="!!!",F456="NEW"),"",INDEX(W$1:W424,SUMPRODUCT(MAX(ROW(R$1:R424)*(E456=R$1:R424)))))</f>
        <v/>
      </c>
      <c r="L456" s="26"/>
    </row>
    <row r="457" customFormat="false" ht="35.05" hidden="false" customHeight="false" outlineLevel="0" collapsed="false">
      <c r="A457" s="0" t="s">
        <v>475</v>
      </c>
      <c r="B457" s="20" t="s">
        <v>164</v>
      </c>
      <c r="C457" s="20" t="s">
        <v>209</v>
      </c>
      <c r="D457" s="20" t="s">
        <v>125</v>
      </c>
      <c r="E457" s="21" t="s">
        <v>476</v>
      </c>
      <c r="F457" s="22" t="s">
        <v>259</v>
      </c>
      <c r="G457" s="23" t="str">
        <f aca="false"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?REFERENTIAL</v>
      </c>
      <c r="H457" s="24" t="str">
        <f aca="false">IF(J457&lt;&gt;1,"",IF(I457="SBJ","CB","?"))</f>
        <v/>
      </c>
      <c r="I457" s="25" t="str">
        <f aca="false">IF(OR(E457="",E457="!!!",F457="NEW"),"",INDEX(O$2:O426,-1+SUMPRODUCT(MAX(ROW(R$2:R426)*(E457=R$2:R426)))))</f>
        <v/>
      </c>
      <c r="J457" s="25" t="str">
        <f aca="true">IF(OR(E457="",E457="!!!",F457="NEW"),"",COUNTBLANK(OFFSET(N$1,,,SUMPRODUCT(MAX(ROW(R$2:R427)*(E457=R$2:R427)))))-COUNTBLANK(OFFSET(N$1,,,SUMPRODUCT(MAX(ROW(R$1:R426)*(R2=R$1:R426))))))</f>
        <v/>
      </c>
      <c r="K457" s="25" t="str">
        <f aca="false">IF(OR(E457="",E457="!!!",F457="NEW"),"",INDEX(W$1:W426,SUMPRODUCT(MAX(ROW(R$1:R426)*(E457=R$1:R426)))))</f>
        <v/>
      </c>
      <c r="L457" s="26" t="s">
        <v>477</v>
      </c>
    </row>
    <row r="458" customFormat="false" ht="14.25" hidden="false" customHeight="false" outlineLevel="0" collapsed="false">
      <c r="A458" s="0" t="s">
        <v>355</v>
      </c>
      <c r="E458" s="21" t="str">
        <f aca="false">IF(Q428="?OLD","!!!","")</f>
        <v/>
      </c>
      <c r="F458" s="22" t="str">
        <f aca="false">IF(OR(E458="",E458="!!!"),"",IF(NOT(ISNA(VLOOKUP(E458,R$1:R427,1,FALSE()))),"OLD",IF(AND(E458&lt;&gt;"",E458&lt;&gt;"!!!"),"NEW","")))</f>
        <v/>
      </c>
      <c r="G458" s="23" t="str">
        <f aca="false"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aca="false">IF(J458&lt;&gt;1,"",IF(I458="SBJ","CB","?"))</f>
        <v/>
      </c>
      <c r="I458" s="25" t="str">
        <f aca="false">IF(OR(E458="",E458="!!!",F458="NEW"),"",INDEX(O$2:O427,-1+SUMPRODUCT(MAX(ROW(R$2:R427)*(E458=R$2:R427)))))</f>
        <v/>
      </c>
      <c r="J458" s="25" t="str">
        <f aca="true">IF(OR(E458="",E458="!!!",F458="NEW"),"",COUNTBLANK(OFFSET(N$1,,,SUMPRODUCT(MAX(ROW(R$2:R428)*(E458=R$2:R428)))))-COUNTBLANK(OFFSET(N$1,,,SUMPRODUCT(MAX(ROW(R$1:R427)*(R2=R$1:R427))))))</f>
        <v/>
      </c>
      <c r="K458" s="25" t="str">
        <f aca="false">IF(OR(E458="",E458="!!!",F458="NEW"),"",INDEX(W$1:W427,SUMPRODUCT(MAX(ROW(R$1:R427)*(E458=R$1:R427)))))</f>
        <v/>
      </c>
      <c r="L458" s="26"/>
      <c r="O458" s="20"/>
      <c r="P458" s="20"/>
      <c r="Q458" s="20"/>
    </row>
    <row r="459" customFormat="false" ht="14.25" hidden="false" customHeight="false" outlineLevel="0" collapsed="false">
      <c r="A459" s="0" t="s">
        <v>478</v>
      </c>
      <c r="E459" s="21" t="str">
        <f aca="false">IF(Q429="?OLD","!!!","")</f>
        <v/>
      </c>
      <c r="F459" s="22" t="str">
        <f aca="false">IF(OR(E459="",E459="!!!"),"",IF(NOT(ISNA(VLOOKUP(E459,R$1:R428,1,FALSE()))),"OLD",IF(AND(E459&lt;&gt;"",E459&lt;&gt;"!!!"),"NEW","")))</f>
        <v/>
      </c>
      <c r="G459" s="23" t="str">
        <f aca="false"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aca="false">IF(J459&lt;&gt;1,"",IF(I459="SBJ","CB","?"))</f>
        <v/>
      </c>
      <c r="I459" s="25" t="str">
        <f aca="false">IF(OR(E459="",E459="!!!",F459="NEW"),"",INDEX(O$2:O428,-1+SUMPRODUCT(MAX(ROW(R$2:R428)*(E459=R$2:R428)))))</f>
        <v/>
      </c>
      <c r="J459" s="25" t="str">
        <f aca="true">IF(OR(E459="",E459="!!!",F459="NEW"),"",COUNTBLANK(OFFSET(N$1,,,SUMPRODUCT(MAX(ROW(R$2:R429)*(E459=R$2:R429)))))-COUNTBLANK(OFFSET(N$1,,,SUMPRODUCT(MAX(ROW(R$1:R428)*(R2=R$1:R428))))))</f>
        <v/>
      </c>
      <c r="K459" s="25" t="str">
        <f aca="false">IF(OR(E459="",E459="!!!",F459="NEW"),"",INDEX(W$1:W428,SUMPRODUCT(MAX(ROW(R$1:R428)*(E459=R$1:R428)))))</f>
        <v/>
      </c>
      <c r="L459" s="26"/>
    </row>
    <row r="460" customFormat="false" ht="14.25" hidden="false" customHeight="false" outlineLevel="0" collapsed="false">
      <c r="A460" s="0" t="s">
        <v>11</v>
      </c>
      <c r="E460" s="21" t="str">
        <f aca="false">IF(Q430="?OLD","!!!","")</f>
        <v/>
      </c>
      <c r="F460" s="22" t="str">
        <f aca="false">IF(OR(E460="",E460="!!!"),"",IF(NOT(ISNA(VLOOKUP(E460,R$1:R429,1,FALSE()))),"OLD",IF(AND(E460&lt;&gt;"",E460&lt;&gt;"!!!"),"NEW","")))</f>
        <v/>
      </c>
      <c r="G460" s="23" t="str">
        <f aca="false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aca="false">IF(J460&lt;&gt;1,"",IF(I460="SBJ","CB","?"))</f>
        <v/>
      </c>
      <c r="I460" s="25" t="str">
        <f aca="false">IF(OR(E460="",E460="!!!",F460="NEW"),"",INDEX(O$2:O429,-1+SUMPRODUCT(MAX(ROW(R$2:R429)*(E460=R$2:R429)))))</f>
        <v/>
      </c>
      <c r="J460" s="25" t="str">
        <f aca="true">IF(OR(E460="",E460="!!!",F460="NEW"),"",COUNTBLANK(OFFSET(N$1,,,SUMPRODUCT(MAX(ROW(R$2:R430)*(E460=R$2:R430)))))-COUNTBLANK(OFFSET(N$1,,,SUMPRODUCT(MAX(ROW(R$1:R429)*(R2=R$1:R429))))))</f>
        <v/>
      </c>
      <c r="K460" s="25" t="str">
        <f aca="false">IF(OR(E460="",E460="!!!",F460="NEW"),"",INDEX(W$1:W429,SUMPRODUCT(MAX(ROW(R$1:R429)*(E460=R$1:R429)))))</f>
        <v/>
      </c>
      <c r="L460" s="26"/>
      <c r="O460" s="20"/>
      <c r="P460" s="20"/>
    </row>
    <row r="461" customFormat="false" ht="14.25" hidden="false" customHeight="false" outlineLevel="0" collapsed="false">
      <c r="A461" s="0" t="s">
        <v>479</v>
      </c>
      <c r="B461" s="20" t="s">
        <v>187</v>
      </c>
      <c r="C461" s="20" t="s">
        <v>155</v>
      </c>
      <c r="E461" s="21" t="str">
        <f aca="false">IF(Q431="?OLD","!!!","")</f>
        <v/>
      </c>
      <c r="F461" s="22" t="str">
        <f aca="false">IF(OR(E461="",E461="!!!"),"",IF(NOT(ISNA(VLOOKUP(E461,R$1:R430,1,FALSE()))),"OLD",IF(AND(E461&lt;&gt;"",E461&lt;&gt;"!!!"),"NEW","")))</f>
        <v/>
      </c>
      <c r="G461" s="23" t="str">
        <f aca="false"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aca="false">IF(J461&lt;&gt;1,"",IF(I461="SBJ","CB","?"))</f>
        <v/>
      </c>
      <c r="I461" s="25" t="str">
        <f aca="false">IF(OR(E461="",E461="!!!",F461="NEW"),"",INDEX(O$2:O430,-1+SUMPRODUCT(MAX(ROW(R$2:R430)*(E461=R$2:R430)))))</f>
        <v/>
      </c>
      <c r="J461" s="25" t="str">
        <f aca="true">IF(OR(E461="",E461="!!!",F461="NEW"),"",COUNTBLANK(OFFSET(N$1,,,SUMPRODUCT(MAX(ROW(R$2:R431)*(E461=R$2:R431)))))-COUNTBLANK(OFFSET(N$1,,,SUMPRODUCT(MAX(ROW(R$1:R430)*(R2=R$1:R430))))))</f>
        <v/>
      </c>
      <c r="K461" s="25" t="str">
        <f aca="false">IF(OR(E461="",E461="!!!",F461="NEW"),"",INDEX(W$1:W430,SUMPRODUCT(MAX(ROW(R$1:R430)*(E461=R$1:R430)))))</f>
        <v/>
      </c>
      <c r="L461" s="26"/>
    </row>
    <row r="462" customFormat="false" ht="14.25" hidden="false" customHeight="false" outlineLevel="0" collapsed="false">
      <c r="A462" s="0" t="s">
        <v>140</v>
      </c>
      <c r="E462" s="21" t="str">
        <f aca="false">IF(Q432="?OLD","!!!","")</f>
        <v/>
      </c>
      <c r="F462" s="22" t="str">
        <f aca="false">IF(OR(E462="",E462="!!!"),"",IF(NOT(ISNA(VLOOKUP(E462,R$1:R431,1,FALSE()))),"OLD",IF(AND(E462&lt;&gt;"",E462&lt;&gt;"!!!"),"NEW","")))</f>
        <v/>
      </c>
      <c r="G462" s="23" t="str">
        <f aca="false"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aca="false">IF(J462&lt;&gt;1,"",IF(I462="SBJ","CB","?"))</f>
        <v/>
      </c>
      <c r="I462" s="25" t="str">
        <f aca="false">IF(OR(E462="",E462="!!!",F462="NEW"),"",INDEX(O$2:O431,-1+SUMPRODUCT(MAX(ROW(R$2:R431)*(E462=R$2:R431)))))</f>
        <v/>
      </c>
      <c r="J462" s="25" t="str">
        <f aca="true">IF(OR(E462="",E462="!!!",F462="NEW"),"",COUNTBLANK(OFFSET(N$1,,,SUMPRODUCT(MAX(ROW(R$2:R432)*(E462=R$2:R432)))))-COUNTBLANK(OFFSET(N$1,,,SUMPRODUCT(MAX(ROW(R$1:R431)*(R2=R$1:R431))))))</f>
        <v/>
      </c>
      <c r="K462" s="25" t="str">
        <f aca="false">IF(OR(E462="",E462="!!!",F462="NEW"),"",INDEX(W$1:W431,SUMPRODUCT(MAX(ROW(R$1:R431)*(E462=R$1:R431)))))</f>
        <v/>
      </c>
      <c r="L462" s="26"/>
    </row>
    <row r="463" customFormat="false" ht="14.25" hidden="false" customHeight="false" outlineLevel="0" collapsed="false">
      <c r="A463" s="0" t="s">
        <v>228</v>
      </c>
      <c r="E463" s="21" t="str">
        <f aca="false">IF(Q433="?OLD","!!!","")</f>
        <v/>
      </c>
      <c r="F463" s="22" t="str">
        <f aca="false">IF(OR(E463="",E463="!!!"),"",IF(NOT(ISNA(VLOOKUP(E463,R$1:R432,1,FALSE()))),"OLD",IF(AND(E463&lt;&gt;"",E463&lt;&gt;"!!!"),"NEW","")))</f>
        <v/>
      </c>
      <c r="G463" s="23" t="str">
        <f aca="false"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aca="false">IF(J463&lt;&gt;1,"",IF(I463="SBJ","CB","?"))</f>
        <v/>
      </c>
      <c r="I463" s="25" t="str">
        <f aca="false">IF(OR(E463="",E463="!!!",F463="NEW"),"",INDEX(O$2:O432,-1+SUMPRODUCT(MAX(ROW(R$2:R432)*(E463=R$2:R432)))))</f>
        <v/>
      </c>
      <c r="J463" s="25" t="str">
        <f aca="true">IF(OR(E463="",E463="!!!",F463="NEW"),"",COUNTBLANK(OFFSET(N$1,,,SUMPRODUCT(MAX(ROW(R$2:R433)*(E463=R$2:R433)))))-COUNTBLANK(OFFSET(N$1,,,SUMPRODUCT(MAX(ROW(R$1:R432)*(R2=R$1:R432))))))</f>
        <v/>
      </c>
      <c r="K463" s="25" t="str">
        <f aca="false">IF(OR(E463="",E463="!!!",F463="NEW"),"",INDEX(W$1:W432,SUMPRODUCT(MAX(ROW(R$1:R432)*(E463=R$1:R432)))))</f>
        <v/>
      </c>
      <c r="L463" s="26"/>
    </row>
    <row r="464" customFormat="false" ht="14.25" hidden="false" customHeight="false" outlineLevel="0" collapsed="false">
      <c r="A464" s="0" t="s">
        <v>310</v>
      </c>
      <c r="B464" s="20" t="s">
        <v>224</v>
      </c>
      <c r="C464" s="20" t="s">
        <v>155</v>
      </c>
      <c r="E464" s="21" t="s">
        <v>433</v>
      </c>
      <c r="F464" s="22" t="str">
        <f aca="false">IF(OR(E464="",E464="!!!"),"",IF(NOT(ISNA(VLOOKUP(E464,R$1:R433,1,FALSE()))),"OLD",IF(AND(E464&lt;&gt;"",E464&lt;&gt;"!!!"),"NEW","")))</f>
        <v>NEW</v>
      </c>
      <c r="G464" s="23" t="str">
        <f aca="false"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?REFERENTIAL</v>
      </c>
      <c r="H464" s="24" t="str">
        <f aca="false">IF(J464&lt;&gt;1,"",IF(I464="SBJ","CB","?"))</f>
        <v/>
      </c>
      <c r="I464" s="25" t="str">
        <f aca="false">IF(OR(E464="",E464="!!!",F464="NEW"),"",INDEX(O$2:O433,-1+SUMPRODUCT(MAX(ROW(R$2:R433)*(E464=R$2:R433)))))</f>
        <v/>
      </c>
      <c r="J464" s="25" t="str">
        <f aca="true">IF(OR(E464="",E464="!!!",F464="NEW"),"",COUNTBLANK(OFFSET(N$1,,,SUMPRODUCT(MAX(ROW(R$2:R434)*(E464=R$2:R434)))))-COUNTBLANK(OFFSET(N$1,,,SUMPRODUCT(MAX(ROW(R$1:R433)*(R2=R$1:R433))))))</f>
        <v/>
      </c>
      <c r="K464" s="25" t="str">
        <f aca="false">IF(OR(E464="",E464="!!!",F464="NEW"),"",INDEX(W$1:W433,SUMPRODUCT(MAX(ROW(R$1:R433)*(E464=R$1:R433)))))</f>
        <v/>
      </c>
      <c r="L464" s="26"/>
      <c r="O464" s="20"/>
      <c r="P464" s="20"/>
    </row>
    <row r="465" customFormat="false" ht="14.25" hidden="false" customHeight="false" outlineLevel="0" collapsed="false">
      <c r="A465" s="0" t="s">
        <v>376</v>
      </c>
      <c r="E465" s="21" t="str">
        <f aca="false">IF(Q435="?OLD","!!!","")</f>
        <v/>
      </c>
      <c r="F465" s="22" t="str">
        <f aca="false">IF(OR(E465="",E465="!!!"),"",IF(NOT(ISNA(VLOOKUP(E465,R$1:R434,1,FALSE()))),"OLD",IF(AND(E465&lt;&gt;"",E465&lt;&gt;"!!!"),"NEW","")))</f>
        <v/>
      </c>
      <c r="G465" s="23" t="str">
        <f aca="false"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aca="false">IF(J465&lt;&gt;1,"",IF(I465="SBJ","CB","?"))</f>
        <v/>
      </c>
      <c r="I465" s="25" t="str">
        <f aca="false">IF(OR(E465="",E465="!!!",F465="NEW"),"",INDEX(O$2:O434,-1+SUMPRODUCT(MAX(ROW(R$2:R434)*(E465=R$2:R434)))))</f>
        <v/>
      </c>
      <c r="J465" s="25" t="str">
        <f aca="true">IF(OR(E465="",E465="!!!",F465="NEW"),"",COUNTBLANK(OFFSET(N$1,,,SUMPRODUCT(MAX(ROW(R$2:R435)*(E465=R$2:R435)))))-COUNTBLANK(OFFSET(N$1,,,SUMPRODUCT(MAX(ROW(R$1:R434)*(R2=R$1:R434))))))</f>
        <v/>
      </c>
      <c r="K465" s="25" t="str">
        <f aca="false">IF(OR(E465="",E465="!!!",F465="NEW"),"",INDEX(W$1:W434,SUMPRODUCT(MAX(ROW(R$1:R434)*(E465=R$1:R434)))))</f>
        <v/>
      </c>
      <c r="L465" s="26"/>
    </row>
    <row r="466" customFormat="false" ht="14.25" hidden="false" customHeight="false" outlineLevel="0" collapsed="false">
      <c r="A466" s="0" t="s">
        <v>480</v>
      </c>
      <c r="B466" s="20" t="s">
        <v>150</v>
      </c>
      <c r="C466" s="20" t="s">
        <v>209</v>
      </c>
      <c r="D466" s="20" t="s">
        <v>125</v>
      </c>
      <c r="E466" s="21"/>
      <c r="F466" s="22" t="str">
        <f aca="false">IF(OR(E466="",E466="!!!"),"",IF(NOT(ISNA(VLOOKUP(E466,R$1:R435,1,FALSE()))),"OLD",IF(AND(E466&lt;&gt;"",E466&lt;&gt;"!!!"),"NEW","")))</f>
        <v/>
      </c>
      <c r="G466" s="23" t="str">
        <f aca="false"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aca="false">IF(J466&lt;&gt;1,"",IF(I466="SBJ","CB","?"))</f>
        <v/>
      </c>
      <c r="I466" s="25" t="str">
        <f aca="false">IF(OR(E466="",E466="!!!",F466="NEW"),"",INDEX(O$2:O435,-1+SUMPRODUCT(MAX(ROW(R$2:R435)*(E466=R$2:R435)))))</f>
        <v/>
      </c>
      <c r="J466" s="25" t="str">
        <f aca="true">IF(OR(E466="",E466="!!!",F466="NEW"),"",COUNTBLANK(OFFSET(N$1,,,SUMPRODUCT(MAX(ROW(R$2:R436)*(E466=R$2:R436)))))-COUNTBLANK(OFFSET(N$1,,,SUMPRODUCT(MAX(ROW(R$1:R435)*(R2=R$1:R435))))))</f>
        <v/>
      </c>
      <c r="K466" s="25" t="str">
        <f aca="false">IF(OR(E466="",E466="!!!",F466="NEW"),"",INDEX(W$1:W435,SUMPRODUCT(MAX(ROW(R$1:R435)*(E466=R$1:R435)))))</f>
        <v/>
      </c>
      <c r="L466" s="26" t="s">
        <v>193</v>
      </c>
    </row>
    <row r="467" customFormat="false" ht="14.25" hidden="false" customHeight="false" outlineLevel="0" collapsed="false">
      <c r="A467" s="0" t="s">
        <v>481</v>
      </c>
      <c r="B467" s="20" t="s">
        <v>148</v>
      </c>
      <c r="C467" s="20" t="s">
        <v>155</v>
      </c>
      <c r="E467" s="21"/>
      <c r="F467" s="22" t="str">
        <f aca="false">IF(OR(E467="",E467="!!!"),"",IF(NOT(ISNA(VLOOKUP(E467,R$1:R436,1,FALSE()))),"OLD",IF(AND(E467&lt;&gt;"",E467&lt;&gt;"!!!"),"NEW","")))</f>
        <v/>
      </c>
      <c r="G467" s="23" t="str">
        <f aca="false"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aca="false">IF(J467&lt;&gt;1,"",IF(I467="SBJ","CB","?"))</f>
        <v/>
      </c>
      <c r="I467" s="25" t="str">
        <f aca="false">IF(OR(E467="",E467="!!!",F467="NEW"),"",INDEX(O$2:O436,-1+SUMPRODUCT(MAX(ROW(R$2:R436)*(E467=R$2:R436)))))</f>
        <v/>
      </c>
      <c r="J467" s="25" t="str">
        <f aca="true">IF(OR(E467="",E467="!!!",F467="NEW"),"",COUNTBLANK(OFFSET(N$1,,,SUMPRODUCT(MAX(ROW(R$2:R437)*(E467=R$2:R437)))))-COUNTBLANK(OFFSET(N$1,,,SUMPRODUCT(MAX(ROW(R$1:R436)*(R2=R$1:R436))))))</f>
        <v/>
      </c>
      <c r="K467" s="25" t="str">
        <f aca="false">IF(OR(E467="",E467="!!!",F467="NEW"),"",INDEX(W$1:W436,SUMPRODUCT(MAX(ROW(R$1:R436)*(E467=R$1:R436)))))</f>
        <v/>
      </c>
      <c r="L467" s="26"/>
    </row>
    <row r="468" customFormat="false" ht="14.25" hidden="false" customHeight="false" outlineLevel="0" collapsed="false">
      <c r="A468" s="0" t="s">
        <v>364</v>
      </c>
      <c r="E468" s="21" t="str">
        <f aca="false">IF(Q438="?OLD","!!!","")</f>
        <v/>
      </c>
      <c r="F468" s="22" t="str">
        <f aca="false">IF(OR(E468="",E468="!!!"),"",IF(NOT(ISNA(VLOOKUP(E468,R$1:R437,1,FALSE()))),"OLD",IF(AND(E468&lt;&gt;"",E468&lt;&gt;"!!!"),"NEW","")))</f>
        <v/>
      </c>
      <c r="G468" s="23" t="str">
        <f aca="false"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aca="false">IF(J468&lt;&gt;1,"",IF(I468="SBJ","CB","?"))</f>
        <v/>
      </c>
      <c r="I468" s="25" t="str">
        <f aca="false">IF(OR(E468="",E468="!!!",F468="NEW"),"",INDEX(O$2:O437,-1+SUMPRODUCT(MAX(ROW(R$2:R437)*(E468=R$2:R437)))))</f>
        <v/>
      </c>
      <c r="J468" s="25" t="str">
        <f aca="true">IF(OR(E468="",E468="!!!",F468="NEW"),"",COUNTBLANK(OFFSET(N$1,,,SUMPRODUCT(MAX(ROW(R$2:R438)*(E468=R$2:R438)))))-COUNTBLANK(OFFSET(N$1,,,SUMPRODUCT(MAX(ROW(R$1:R437)*(R2=R$1:R437))))))</f>
        <v/>
      </c>
      <c r="K468" s="25" t="str">
        <f aca="false">IF(OR(E468="",E468="!!!",F468="NEW"),"",INDEX(W$1:W437,SUMPRODUCT(MAX(ROW(R$1:R437)*(E468=R$1:R437)))))</f>
        <v/>
      </c>
      <c r="L468" s="26"/>
    </row>
    <row r="469" customFormat="false" ht="14.25" hidden="false" customHeight="false" outlineLevel="0" collapsed="false">
      <c r="A469" s="0" t="s">
        <v>140</v>
      </c>
      <c r="E469" s="21" t="str">
        <f aca="false">IF(Q439="?OLD","!!!","")</f>
        <v/>
      </c>
      <c r="F469" s="22" t="str">
        <f aca="false">IF(OR(E469="",E469="!!!"),"",IF(NOT(ISNA(VLOOKUP(E469,R$1:R438,1,FALSE()))),"OLD",IF(AND(E469&lt;&gt;"",E469&lt;&gt;"!!!"),"NEW","")))</f>
        <v/>
      </c>
      <c r="G469" s="23" t="str">
        <f aca="false"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aca="false">IF(J469&lt;&gt;1,"",IF(I469="SBJ","CB","?"))</f>
        <v/>
      </c>
      <c r="I469" s="25" t="str">
        <f aca="false">IF(OR(E469="",E469="!!!",F469="NEW"),"",INDEX(O$2:O438,-1+SUMPRODUCT(MAX(ROW(R$2:R438)*(E469=R$2:R438)))))</f>
        <v/>
      </c>
      <c r="J469" s="25" t="str">
        <f aca="true">IF(OR(E469="",E469="!!!",F469="NEW"),"",COUNTBLANK(OFFSET(N$1,,,SUMPRODUCT(MAX(ROW(R$2:R439)*(E469=R$2:R439)))))-COUNTBLANK(OFFSET(N$1,,,SUMPRODUCT(MAX(ROW(R$1:R438)*(R2=R$1:R438))))))</f>
        <v/>
      </c>
      <c r="K469" s="25" t="str">
        <f aca="false">IF(OR(E469="",E469="!!!",F469="NEW"),"",INDEX(W$1:W438,SUMPRODUCT(MAX(ROW(R$1:R438)*(E469=R$1:R438)))))</f>
        <v/>
      </c>
      <c r="L469" s="26"/>
    </row>
    <row r="470" customFormat="false" ht="14.25" hidden="false" customHeight="false" outlineLevel="0" collapsed="false">
      <c r="A470" s="0" t="s">
        <v>273</v>
      </c>
      <c r="B470" s="20" t="s">
        <v>123</v>
      </c>
      <c r="E470" s="21"/>
      <c r="F470" s="22" t="str">
        <f aca="false">IF(OR(E470="",E470="!!!"),"",IF(NOT(ISNA(VLOOKUP(E470,R$1:R439,1,FALSE()))),"OLD",IF(AND(E470&lt;&gt;"",E470&lt;&gt;"!!!"),"NEW","")))</f>
        <v/>
      </c>
      <c r="G470" s="23" t="str">
        <f aca="false"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aca="false">IF(J470&lt;&gt;1,"",IF(I470="SBJ","CB","?"))</f>
        <v/>
      </c>
      <c r="I470" s="25" t="str">
        <f aca="false">IF(OR(E470="",E470="!!!",F470="NEW"),"",INDEX(O$2:O439,-1+SUMPRODUCT(MAX(ROW(R$2:R439)*(E470=R$2:R439)))))</f>
        <v/>
      </c>
      <c r="J470" s="25" t="str">
        <f aca="true">IF(OR(E470="",E470="!!!",F470="NEW"),"",COUNTBLANK(OFFSET(N$1,,,SUMPRODUCT(MAX(ROW(R$2:R440)*(E470=R$2:R440)))))-COUNTBLANK(OFFSET(N$1,,,SUMPRODUCT(MAX(ROW(R$1:R439)*(R2=R$1:R439))))))</f>
        <v/>
      </c>
      <c r="K470" s="25" t="str">
        <f aca="false">IF(OR(E470="",E470="!!!",F470="NEW"),"",INDEX(W$1:W439,SUMPRODUCT(MAX(ROW(R$1:R439)*(E470=R$1:R439)))))</f>
        <v/>
      </c>
      <c r="L470" s="26"/>
    </row>
    <row r="471" customFormat="false" ht="14.25" hidden="false" customHeight="false" outlineLevel="0" collapsed="false">
      <c r="A471" s="0" t="s">
        <v>170</v>
      </c>
      <c r="E471" s="21" t="str">
        <f aca="false">IF(Q441="?OLD","!!!","")</f>
        <v/>
      </c>
      <c r="F471" s="22" t="str">
        <f aca="false">IF(OR(E471="",E471="!!!"),"",IF(NOT(ISNA(VLOOKUP(E471,R$1:R440,1,FALSE()))),"OLD",IF(AND(E471&lt;&gt;"",E471&lt;&gt;"!!!"),"NEW","")))</f>
        <v/>
      </c>
      <c r="G471" s="23" t="str">
        <f aca="false"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aca="false">IF(J471&lt;&gt;1,"",IF(I471="SBJ","CB","?"))</f>
        <v/>
      </c>
      <c r="I471" s="25" t="str">
        <f aca="false">IF(OR(E471="",E471="!!!",F471="NEW"),"",INDEX(O$2:O440,-1+SUMPRODUCT(MAX(ROW(R$2:R440)*(E471=R$2:R440)))))</f>
        <v/>
      </c>
      <c r="J471" s="25" t="str">
        <f aca="true">IF(OR(E471="",E471="!!!",F471="NEW"),"",COUNTBLANK(OFFSET(N$1,,,SUMPRODUCT(MAX(ROW(R$2:R441)*(E471=R$2:R441)))))-COUNTBLANK(OFFSET(N$1,,,SUMPRODUCT(MAX(ROW(R$1:R440)*(R2=R$1:R440))))))</f>
        <v/>
      </c>
      <c r="K471" s="25" t="str">
        <f aca="false">IF(OR(E471="",E471="!!!",F471="NEW"),"",INDEX(W$1:W440,SUMPRODUCT(MAX(ROW(R$1:R440)*(E471=R$1:R440)))))</f>
        <v/>
      </c>
      <c r="L471" s="26"/>
    </row>
    <row r="472" customFormat="false" ht="14.25" hidden="false" customHeight="false" outlineLevel="0" collapsed="false">
      <c r="A472" s="0" t="s">
        <v>371</v>
      </c>
      <c r="B472" s="20" t="s">
        <v>224</v>
      </c>
      <c r="C472" s="20" t="s">
        <v>172</v>
      </c>
      <c r="D472" s="20" t="s">
        <v>125</v>
      </c>
      <c r="E472" s="21" t="s">
        <v>482</v>
      </c>
      <c r="F472" s="22" t="str">
        <f aca="false">IF(OR(E472="",E472="!!!"),"",IF(NOT(ISNA(VLOOKUP(E472,R$1:R441,1,FALSE()))),"OLD",IF(AND(E472&lt;&gt;"",E472&lt;&gt;"!!!"),"NEW","")))</f>
        <v>NEW</v>
      </c>
      <c r="G472" s="23" t="str">
        <f aca="false"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?REFERENTIAL</v>
      </c>
      <c r="H472" s="24" t="str">
        <f aca="false">IF(J472&lt;&gt;1,"",IF(I472="SBJ","CB","?"))</f>
        <v/>
      </c>
      <c r="I472" s="25" t="str">
        <f aca="false">IF(OR(E472="",E472="!!!",F472="NEW"),"",INDEX(O$2:O441,-1+SUMPRODUCT(MAX(ROW(R$2:R441)*(E472=R$2:R441)))))</f>
        <v/>
      </c>
      <c r="J472" s="25" t="str">
        <f aca="true">IF(OR(E472="",E472="!!!",F472="NEW"),"",COUNTBLANK(OFFSET(N$1,,,SUMPRODUCT(MAX(ROW(R$2:R442)*(E472=R$2:R442)))))-COUNTBLANK(OFFSET(N$1,,,SUMPRODUCT(MAX(ROW(R$1:R441)*(R2=R$1:R441))))))</f>
        <v/>
      </c>
      <c r="K472" s="25" t="str">
        <f aca="false">IF(OR(E472="",E472="!!!",F472="NEW"),"",INDEX(W$1:W441,SUMPRODUCT(MAX(ROW(R$1:R441)*(E472=R$1:R441)))))</f>
        <v/>
      </c>
      <c r="L472" s="26"/>
      <c r="O472" s="20"/>
      <c r="P472" s="20"/>
    </row>
    <row r="473" customFormat="false" ht="14.25" hidden="false" customHeight="false" outlineLevel="0" collapsed="false">
      <c r="A473" s="0" t="s">
        <v>483</v>
      </c>
      <c r="E473" s="21"/>
      <c r="F473" s="22" t="str">
        <f aca="false">IF(OR(E473="",E473="!!!"),"",IF(NOT(ISNA(VLOOKUP(E473,R$1:R442,1,FALSE()))),"OLD",IF(AND(E473&lt;&gt;"",E473&lt;&gt;"!!!"),"NEW","")))</f>
        <v/>
      </c>
      <c r="G473" s="23" t="str">
        <f aca="false"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aca="false">IF(J473&lt;&gt;1,"",IF(I473="SBJ","CB","?"))</f>
        <v/>
      </c>
      <c r="I473" s="25" t="str">
        <f aca="false">IF(OR(E473="",E473="!!!",F473="NEW"),"",INDEX(O$2:O442,-1+SUMPRODUCT(MAX(ROW(R$2:R442)*(E473=R$2:R442)))))</f>
        <v/>
      </c>
      <c r="J473" s="25" t="str">
        <f aca="true">IF(OR(E473="",E473="!!!",F473="NEW"),"",COUNTBLANK(OFFSET(N$1,,,SUMPRODUCT(MAX(ROW(R$2:R443)*(E473=R$2:R443)))))-COUNTBLANK(OFFSET(N$1,,,SUMPRODUCT(MAX(ROW(R$1:R442)*(R2=R$1:R442))))))</f>
        <v/>
      </c>
      <c r="K473" s="25" t="str">
        <f aca="false">IF(OR(E473="",E473="!!!",F473="NEW"),"",INDEX(W$1:W442,SUMPRODUCT(MAX(ROW(R$1:R442)*(E473=R$1:R442)))))</f>
        <v/>
      </c>
      <c r="L473" s="26"/>
    </row>
    <row r="474" customFormat="false" ht="14.25" hidden="false" customHeight="false" outlineLevel="0" collapsed="false">
      <c r="A474" s="0" t="s">
        <v>484</v>
      </c>
      <c r="E474" s="21" t="str">
        <f aca="false">IF(Q444="?OLD","!!!","")</f>
        <v/>
      </c>
      <c r="F474" s="22" t="str">
        <f aca="false">IF(OR(E474="",E474="!!!"),"",IF(NOT(ISNA(VLOOKUP(E474,R$1:R443,1,FALSE()))),"OLD",IF(AND(E474&lt;&gt;"",E474&lt;&gt;"!!!"),"NEW","")))</f>
        <v/>
      </c>
      <c r="G474" s="23" t="str">
        <f aca="false"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aca="false">IF(J474&lt;&gt;1,"",IF(I474="SBJ","CB","?"))</f>
        <v/>
      </c>
      <c r="I474" s="25" t="str">
        <f aca="false">IF(OR(E474="",E474="!!!",F474="NEW"),"",INDEX(O$2:O443,-1+SUMPRODUCT(MAX(ROW(R$2:R443)*(E474=R$2:R443)))))</f>
        <v/>
      </c>
      <c r="J474" s="25" t="str">
        <f aca="true">IF(OR(E474="",E474="!!!",F474="NEW"),"",COUNTBLANK(OFFSET(N$1,,,SUMPRODUCT(MAX(ROW(R$2:R444)*(E474=R$2:R444)))))-COUNTBLANK(OFFSET(N$1,,,SUMPRODUCT(MAX(ROW(R$1:R443)*(R2=R$1:R443))))))</f>
        <v/>
      </c>
      <c r="K474" s="25" t="str">
        <f aca="false">IF(OR(E474="",E474="!!!",F474="NEW"),"",INDEX(W$1:W443,SUMPRODUCT(MAX(ROW(R$1:R443)*(E474=R$1:R443)))))</f>
        <v/>
      </c>
      <c r="L474" s="26"/>
      <c r="O474" s="20"/>
      <c r="P474" s="20"/>
      <c r="Q474" s="20"/>
    </row>
    <row r="475" customFormat="false" ht="14.25" hidden="false" customHeight="false" outlineLevel="0" collapsed="false">
      <c r="A475" s="0" t="s">
        <v>140</v>
      </c>
      <c r="E475" s="21" t="str">
        <f aca="false">IF(Q445="?OLD","!!!","")</f>
        <v/>
      </c>
      <c r="F475" s="22" t="str">
        <f aca="false">IF(OR(E475="",E475="!!!"),"",IF(NOT(ISNA(VLOOKUP(E475,R$1:R444,1,FALSE()))),"OLD",IF(AND(E475&lt;&gt;"",E475&lt;&gt;"!!!"),"NEW","")))</f>
        <v/>
      </c>
      <c r="G475" s="23" t="str">
        <f aca="false"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aca="false">IF(J475&lt;&gt;1,"",IF(I475="SBJ","CB","?"))</f>
        <v/>
      </c>
      <c r="I475" s="25" t="str">
        <f aca="false">IF(OR(E475="",E475="!!!",F475="NEW"),"",INDEX(O$2:O444,-1+SUMPRODUCT(MAX(ROW(R$2:R444)*(E475=R$2:R444)))))</f>
        <v/>
      </c>
      <c r="J475" s="25" t="str">
        <f aca="true">IF(OR(E475="",E475="!!!",F475="NEW"),"",COUNTBLANK(OFFSET(N$1,,,SUMPRODUCT(MAX(ROW(R$2:R445)*(E475=R$2:R445)))))-COUNTBLANK(OFFSET(N$1,,,SUMPRODUCT(MAX(ROW(R$1:R444)*(R2=R$1:R444))))))</f>
        <v/>
      </c>
      <c r="K475" s="25" t="str">
        <f aca="false">IF(OR(E475="",E475="!!!",F475="NEW"),"",INDEX(W$1:W444,SUMPRODUCT(MAX(ROW(R$1:R444)*(E475=R$1:R444)))))</f>
        <v/>
      </c>
      <c r="L475" s="26"/>
      <c r="O475" s="20"/>
      <c r="P475" s="20"/>
      <c r="Q475" s="20"/>
    </row>
    <row r="476" customFormat="false" ht="14.25" hidden="false" customHeight="false" outlineLevel="0" collapsed="false">
      <c r="A476" s="0" t="s">
        <v>485</v>
      </c>
      <c r="E476" s="21"/>
      <c r="F476" s="22" t="str">
        <f aca="false">IF(OR(E476="",E476="!!!"),"",IF(NOT(ISNA(VLOOKUP(E476,R$1:R445,1,FALSE()))),"OLD",IF(AND(E476&lt;&gt;"",E476&lt;&gt;"!!!"),"NEW","")))</f>
        <v/>
      </c>
      <c r="G476" s="23" t="str">
        <f aca="false"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aca="false">IF(J476&lt;&gt;1,"",IF(I476="SBJ","CB","?"))</f>
        <v/>
      </c>
      <c r="I476" s="25" t="str">
        <f aca="false">IF(OR(E476="",E476="!!!",F476="NEW"),"",INDEX(O$2:O445,-1+SUMPRODUCT(MAX(ROW(R$2:R445)*(E476=R$2:R445)))))</f>
        <v/>
      </c>
      <c r="J476" s="25" t="str">
        <f aca="true">IF(OR(E476="",E476="!!!",F476="NEW"),"",COUNTBLANK(OFFSET(N$1,,,SUMPRODUCT(MAX(ROW(R$2:R446)*(E476=R$2:R446)))))-COUNTBLANK(OFFSET(N$1,,,SUMPRODUCT(MAX(ROW(R$1:R445)*(R2=R$1:R445))))))</f>
        <v/>
      </c>
      <c r="K476" s="25" t="str">
        <f aca="false">IF(OR(E476="",E476="!!!",F476="NEW"),"",INDEX(W$1:W445,SUMPRODUCT(MAX(ROW(R$1:R445)*(E476=R$1:R445)))))</f>
        <v/>
      </c>
      <c r="L476" s="26"/>
    </row>
    <row r="477" customFormat="false" ht="14.25" hidden="false" customHeight="false" outlineLevel="0" collapsed="false">
      <c r="A477" s="0" t="s">
        <v>336</v>
      </c>
      <c r="B477" s="20" t="s">
        <v>235</v>
      </c>
      <c r="C477" s="20" t="s">
        <v>124</v>
      </c>
      <c r="D477" s="20" t="s">
        <v>125</v>
      </c>
      <c r="E477" s="21"/>
      <c r="F477" s="22" t="s">
        <v>337</v>
      </c>
      <c r="G477" s="23" t="str">
        <f aca="false"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aca="false">IF(J477&lt;&gt;1,"",IF(I477="SBJ","CB","?"))</f>
        <v/>
      </c>
      <c r="I477" s="25" t="str">
        <f aca="false">IF(OR(E477="",E477="!!!",F477="NEW"),"",INDEX(O$2:O446,-1+SUMPRODUCT(MAX(ROW(R$2:R446)*(E477=R$2:R446)))))</f>
        <v/>
      </c>
      <c r="J477" s="25" t="str">
        <f aca="true">IF(OR(E477="",E477="!!!",F477="NEW"),"",COUNTBLANK(OFFSET(N$1,,,SUMPRODUCT(MAX(ROW(R$2:R447)*(E477=R$2:R447)))))-COUNTBLANK(OFFSET(N$1,,,SUMPRODUCT(MAX(ROW(R$1:R446)*(R2=R$1:R446))))))</f>
        <v/>
      </c>
      <c r="K477" s="25" t="str">
        <f aca="false">IF(OR(E477="",E477="!!!",F477="NEW"),"",INDEX(W$1:W446,SUMPRODUCT(MAX(ROW(R$1:R446)*(E477=R$1:R446)))))</f>
        <v/>
      </c>
      <c r="L477" s="26"/>
      <c r="O477" s="20"/>
      <c r="P477" s="20"/>
    </row>
    <row r="478" customFormat="false" ht="14.25" hidden="false" customHeight="false" outlineLevel="0" collapsed="false">
      <c r="A478" s="0" t="s">
        <v>273</v>
      </c>
      <c r="E478" s="21" t="str">
        <f aca="false">IF(Q448="?OLD","!!!","")</f>
        <v/>
      </c>
      <c r="F478" s="22" t="str">
        <f aca="false">IF(OR(E478="",E478="!!!"),"",IF(NOT(ISNA(VLOOKUP(E478,R$1:R447,1,FALSE()))),"OLD",IF(AND(E478&lt;&gt;"",E478&lt;&gt;"!!!"),"NEW","")))</f>
        <v/>
      </c>
      <c r="G478" s="23" t="str">
        <f aca="false"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aca="false">IF(J478&lt;&gt;1,"",IF(I478="SBJ","CB","?"))</f>
        <v/>
      </c>
      <c r="I478" s="25" t="str">
        <f aca="false">IF(OR(E478="",E478="!!!",F478="NEW"),"",INDEX(O$2:O447,-1+SUMPRODUCT(MAX(ROW(R$2:R447)*(E478=R$2:R447)))))</f>
        <v/>
      </c>
      <c r="J478" s="25" t="str">
        <f aca="true">IF(OR(E478="",E478="!!!",F478="NEW"),"",COUNTBLANK(OFFSET(N$1,,,SUMPRODUCT(MAX(ROW(R$2:R448)*(E478=R$2:R448)))))-COUNTBLANK(OFFSET(N$1,,,SUMPRODUCT(MAX(ROW(R$1:R447)*(R2=R$1:R447))))))</f>
        <v/>
      </c>
      <c r="K478" s="25" t="str">
        <f aca="false">IF(OR(E478="",E478="!!!",F478="NEW"),"",INDEX(W$1:W447,SUMPRODUCT(MAX(ROW(R$1:R447)*(E478=R$1:R447)))))</f>
        <v/>
      </c>
      <c r="L478" s="26"/>
    </row>
    <row r="479" customFormat="false" ht="14.25" hidden="false" customHeight="false" outlineLevel="0" collapsed="false">
      <c r="A479" s="0" t="s">
        <v>454</v>
      </c>
      <c r="B479" s="20" t="s">
        <v>274</v>
      </c>
      <c r="C479" s="20" t="s">
        <v>172</v>
      </c>
      <c r="D479" s="20" t="s">
        <v>125</v>
      </c>
      <c r="E479" s="21" t="s">
        <v>455</v>
      </c>
      <c r="F479" s="22" t="str">
        <f aca="false">IF(OR(E479="",E479="!!!"),"",IF(NOT(ISNA(VLOOKUP(E479,R$1:R448,1,FALSE()))),"OLD",IF(AND(E479&lt;&gt;"",E479&lt;&gt;"!!!"),"NEW","")))</f>
        <v>NEW</v>
      </c>
      <c r="G479" s="23" t="str">
        <f aca="false"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?REFERENTIAL</v>
      </c>
      <c r="H479" s="24" t="str">
        <f aca="false">IF(J479&lt;&gt;1,"",IF(I479="SBJ","CB","?"))</f>
        <v/>
      </c>
      <c r="I479" s="25" t="str">
        <f aca="false">IF(OR(E479="",E479="!!!",F479="NEW"),"",INDEX(O$2:O448,-1+SUMPRODUCT(MAX(ROW(R$2:R448)*(E479=R$2:R448)))))</f>
        <v/>
      </c>
      <c r="J479" s="25" t="str">
        <f aca="true">IF(OR(E479="",E479="!!!",F479="NEW"),"",COUNTBLANK(OFFSET(N$1,,,SUMPRODUCT(MAX(ROW(R$2:R449)*(E479=R$2:R449)))))-COUNTBLANK(OFFSET(N$1,,,SUMPRODUCT(MAX(ROW(R$1:R448)*(R2=R$1:R448))))))</f>
        <v/>
      </c>
      <c r="K479" s="25" t="str">
        <f aca="false">IF(OR(E479="",E479="!!!",F479="NEW"),"",INDEX(W$1:W448,SUMPRODUCT(MAX(ROW(R$1:R448)*(E479=R$1:R448)))))</f>
        <v/>
      </c>
      <c r="L479" s="26"/>
    </row>
    <row r="480" customFormat="false" ht="14.25" hidden="false" customHeight="false" outlineLevel="0" collapsed="false">
      <c r="A480" s="0" t="s">
        <v>456</v>
      </c>
      <c r="E480" s="21" t="str">
        <f aca="false">IF(Q450="?OLD","!!!","")</f>
        <v/>
      </c>
      <c r="F480" s="22" t="str">
        <f aca="false">IF(OR(E480="",E480="!!!"),"",IF(NOT(ISNA(VLOOKUP(E480,R$1:R449,1,FALSE()))),"OLD",IF(AND(E480&lt;&gt;"",E480&lt;&gt;"!!!"),"NEW","")))</f>
        <v/>
      </c>
      <c r="G480" s="23" t="str">
        <f aca="false"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aca="false">IF(J480&lt;&gt;1,"",IF(I480="SBJ","CB","?"))</f>
        <v/>
      </c>
      <c r="I480" s="25" t="str">
        <f aca="false">IF(OR(E480="",E480="!!!",F480="NEW"),"",INDEX(O$2:O449,-1+SUMPRODUCT(MAX(ROW(R$2:R449)*(E480=R$2:R449)))))</f>
        <v/>
      </c>
      <c r="J480" s="25" t="str">
        <f aca="true">IF(OR(E480="",E480="!!!",F480="NEW"),"",COUNTBLANK(OFFSET(N$1,,,SUMPRODUCT(MAX(ROW(R$2:R450)*(E480=R$2:R450)))))-COUNTBLANK(OFFSET(N$1,,,SUMPRODUCT(MAX(ROW(R$1:R449)*(R2=R$1:R449))))))</f>
        <v/>
      </c>
      <c r="K480" s="25" t="str">
        <f aca="false">IF(OR(E480="",E480="!!!",F480="NEW"),"",INDEX(W$1:W449,SUMPRODUCT(MAX(ROW(R$1:R449)*(E480=R$1:R449)))))</f>
        <v/>
      </c>
      <c r="L480" s="26"/>
      <c r="O480" s="20"/>
      <c r="P480" s="20"/>
      <c r="Q480" s="20"/>
    </row>
    <row r="481" customFormat="false" ht="14.25" hidden="false" customHeight="false" outlineLevel="0" collapsed="false">
      <c r="A481" s="0" t="s">
        <v>375</v>
      </c>
      <c r="B481" s="20" t="s">
        <v>232</v>
      </c>
      <c r="C481" s="20" t="s">
        <v>172</v>
      </c>
      <c r="D481" s="20" t="s">
        <v>125</v>
      </c>
      <c r="E481" s="21" t="s">
        <v>346</v>
      </c>
      <c r="F481" s="22" t="str">
        <f aca="false">IF(OR(E481="",E481="!!!"),"",IF(NOT(ISNA(VLOOKUP(E481,R$1:R450,1,FALSE()))),"OLD",IF(AND(E481&lt;&gt;"",E481&lt;&gt;"!!!"),"NEW","")))</f>
        <v>NEW</v>
      </c>
      <c r="G481" s="23" t="str">
        <f aca="false"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?REFERENTIAL</v>
      </c>
      <c r="H481" s="24" t="str">
        <f aca="false">IF(J481&lt;&gt;1,"",IF(I481="SBJ","CB","?"))</f>
        <v/>
      </c>
      <c r="I481" s="25" t="str">
        <f aca="false">IF(OR(E481="",E481="!!!",F481="NEW"),"",INDEX(O$2:O450,-1+SUMPRODUCT(MAX(ROW(R$2:R450)*(E481=R$2:R450)))))</f>
        <v/>
      </c>
      <c r="J481" s="25" t="str">
        <f aca="true">IF(OR(E481="",E481="!!!",F481="NEW"),"",COUNTBLANK(OFFSET(N$1,,,SUMPRODUCT(MAX(ROW(R$2:R451)*(E481=R$2:R451)))))-COUNTBLANK(OFFSET(N$1,,,SUMPRODUCT(MAX(ROW(R$1:R450)*(R2=R$1:R450))))))</f>
        <v/>
      </c>
      <c r="K481" s="25" t="str">
        <f aca="false">IF(OR(E481="",E481="!!!",F481="NEW"),"",INDEX(W$1:W450,SUMPRODUCT(MAX(ROW(R$1:R450)*(E481=R$1:R450)))))</f>
        <v/>
      </c>
      <c r="L481" s="26"/>
    </row>
    <row r="482" customFormat="false" ht="14.25" hidden="false" customHeight="false" outlineLevel="0" collapsed="false">
      <c r="A482" s="0" t="s">
        <v>486</v>
      </c>
      <c r="E482" s="21" t="str">
        <f aca="false">IF(Q452="?OLD","!!!","")</f>
        <v/>
      </c>
      <c r="F482" s="22" t="str">
        <f aca="false">IF(OR(E482="",E482="!!!"),"",IF(NOT(ISNA(VLOOKUP(E482,R$1:R451,1,FALSE()))),"OLD",IF(AND(E482&lt;&gt;"",E482&lt;&gt;"!!!"),"NEW","")))</f>
        <v/>
      </c>
      <c r="G482" s="23" t="str">
        <f aca="false"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aca="false">IF(J482&lt;&gt;1,"",IF(I482="SBJ","CB","?"))</f>
        <v/>
      </c>
      <c r="I482" s="25" t="str">
        <f aca="false">IF(OR(E482="",E482="!!!",F482="NEW"),"",INDEX(O$2:O451,-1+SUMPRODUCT(MAX(ROW(R$2:R451)*(E482=R$2:R451)))))</f>
        <v/>
      </c>
      <c r="J482" s="25" t="str">
        <f aca="true">IF(OR(E482="",E482="!!!",F482="NEW"),"",COUNTBLANK(OFFSET(N$1,,,SUMPRODUCT(MAX(ROW(R$2:R452)*(E482=R$2:R452)))))-COUNTBLANK(OFFSET(N$1,,,SUMPRODUCT(MAX(ROW(R$1:R451)*(R2=R$1:R451))))))</f>
        <v/>
      </c>
      <c r="K482" s="25" t="str">
        <f aca="false">IF(OR(E482="",E482="!!!",F482="NEW"),"",INDEX(W$1:W451,SUMPRODUCT(MAX(ROW(R$1:R451)*(E482=R$1:R451)))))</f>
        <v/>
      </c>
      <c r="L482" s="26"/>
    </row>
    <row r="483" customFormat="false" ht="14.25" hidden="false" customHeight="false" outlineLevel="0" collapsed="false">
      <c r="A483" s="0" t="s">
        <v>487</v>
      </c>
      <c r="E483" s="21" t="str">
        <f aca="false">IF(Q453="?OLD","!!!","")</f>
        <v/>
      </c>
      <c r="F483" s="22" t="str">
        <f aca="false">IF(OR(E483="",E483="!!!"),"",IF(NOT(ISNA(VLOOKUP(E483,R$1:R452,1,FALSE()))),"OLD",IF(AND(E483&lt;&gt;"",E483&lt;&gt;"!!!"),"NEW","")))</f>
        <v/>
      </c>
      <c r="G483" s="23" t="str">
        <f aca="false"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aca="false">IF(J483&lt;&gt;1,"",IF(I483="SBJ","CB","?"))</f>
        <v/>
      </c>
      <c r="I483" s="25" t="str">
        <f aca="false">IF(OR(E483="",E483="!!!",F483="NEW"),"",INDEX(O$2:O452,-1+SUMPRODUCT(MAX(ROW(R$2:R452)*(E483=R$2:R452)))))</f>
        <v/>
      </c>
      <c r="J483" s="25" t="str">
        <f aca="true">IF(OR(E483="",E483="!!!",F483="NEW"),"",COUNTBLANK(OFFSET(N$1,,,SUMPRODUCT(MAX(ROW(R$2:R453)*(E483=R$2:R453)))))-COUNTBLANK(OFFSET(N$1,,,SUMPRODUCT(MAX(ROW(R$1:R452)*(R2=R$1:R452))))))</f>
        <v/>
      </c>
      <c r="K483" s="25" t="str">
        <f aca="false">IF(OR(E483="",E483="!!!",F483="NEW"),"",INDEX(W$1:W452,SUMPRODUCT(MAX(ROW(R$1:R452)*(E483=R$1:R452)))))</f>
        <v/>
      </c>
      <c r="L483" s="26"/>
    </row>
    <row r="484" customFormat="false" ht="14.25" hidden="false" customHeight="false" outlineLevel="0" collapsed="false">
      <c r="A484" s="0" t="s">
        <v>160</v>
      </c>
      <c r="E484" s="21" t="str">
        <f aca="false">IF(Q454="?OLD","!!!","")</f>
        <v/>
      </c>
      <c r="F484" s="22" t="str">
        <f aca="false">IF(OR(E484="",E484="!!!"),"",IF(NOT(ISNA(VLOOKUP(E484,R$1:R453,1,FALSE()))),"OLD",IF(AND(E484&lt;&gt;"",E484&lt;&gt;"!!!"),"NEW","")))</f>
        <v/>
      </c>
      <c r="G484" s="23" t="str">
        <f aca="false"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aca="false">IF(J484&lt;&gt;1,"",IF(I484="SBJ","CB","?"))</f>
        <v/>
      </c>
      <c r="I484" s="25" t="str">
        <f aca="false">IF(OR(E484="",E484="!!!",F484="NEW"),"",INDEX(O$2:O453,-1+SUMPRODUCT(MAX(ROW(R$2:R453)*(E484=R$2:R453)))))</f>
        <v/>
      </c>
      <c r="J484" s="25" t="str">
        <f aca="true">IF(OR(E484="",E484="!!!",F484="NEW"),"",COUNTBLANK(OFFSET(N$1,,,SUMPRODUCT(MAX(ROW(R$2:R454)*(E484=R$2:R454)))))-COUNTBLANK(OFFSET(N$1,,,SUMPRODUCT(MAX(ROW(R$1:R453)*(R2=R$1:R453))))))</f>
        <v/>
      </c>
      <c r="K484" s="25" t="str">
        <f aca="false">IF(OR(E484="",E484="!!!",F484="NEW"),"",INDEX(W$1:W453,SUMPRODUCT(MAX(ROW(R$1:R453)*(E484=R$1:R453)))))</f>
        <v/>
      </c>
      <c r="L484" s="26"/>
    </row>
    <row r="486" customFormat="false" ht="14.25" hidden="false" customHeight="false" outlineLevel="0" collapsed="false">
      <c r="A486" s="0" t="s">
        <v>488</v>
      </c>
    </row>
    <row r="487" customFormat="false" ht="14.25" hidden="false" customHeight="false" outlineLevel="0" collapsed="false">
      <c r="A487" s="0" t="s">
        <v>489</v>
      </c>
      <c r="E487" s="21"/>
      <c r="F487" s="22" t="str">
        <f aca="false">IF(OR(E487="",E487="!!!"),"",IF(NOT(ISNA(VLOOKUP(E487,R$1:R454,1,FALSE()))),"OLD",IF(AND(E487&lt;&gt;"",E487&lt;&gt;"!!!"),"NEW","")))</f>
        <v/>
      </c>
      <c r="G487" s="23" t="str">
        <f aca="false"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4" t="str">
        <f aca="false">IF(J487&lt;&gt;1,"",IF(I487="SBJ","CB","?"))</f>
        <v/>
      </c>
      <c r="I487" s="25" t="str">
        <f aca="false">IF(OR(E487="",E487="!!!",F487="NEW"),"",INDEX(O$2:O454,-1+SUMPRODUCT(MAX(ROW(R$2:R454)*(E487=R$2:R454)))))</f>
        <v/>
      </c>
      <c r="J487" s="25" t="str">
        <f aca="true">IF(OR(E487="",E487="!!!",F487="NEW"),"",COUNTBLANK(OFFSET(N$1,,,SUMPRODUCT(MAX(ROW(R$2:R455)*(E487=R$2:R455)))))-COUNTBLANK(OFFSET(N$1,,,SUMPRODUCT(MAX(ROW(R$1:R454)*(R2=R$1:R454))))))</f>
        <v/>
      </c>
      <c r="K487" s="25" t="str">
        <f aca="false">IF(OR(E487="",E487="!!!",F487="NEW"),"",INDEX(W$1:W454,SUMPRODUCT(MAX(ROW(R$1:R454)*(E487=R$1:R454)))))</f>
        <v/>
      </c>
      <c r="L487" s="26" t="s">
        <v>222</v>
      </c>
      <c r="O487" s="20"/>
      <c r="P487" s="20"/>
    </row>
    <row r="488" customFormat="false" ht="14.25" hidden="false" customHeight="false" outlineLevel="0" collapsed="false">
      <c r="A488" s="0" t="s">
        <v>490</v>
      </c>
      <c r="E488" s="21" t="str">
        <f aca="false">IF(Q456="?OLD","!!!","")</f>
        <v/>
      </c>
      <c r="F488" s="22" t="str">
        <f aca="false">IF(OR(E488="",E488="!!!"),"",IF(NOT(ISNA(VLOOKUP(E488,R$1:R455,1,FALSE()))),"OLD",IF(AND(E488&lt;&gt;"",E488&lt;&gt;"!!!"),"NEW","")))</f>
        <v/>
      </c>
      <c r="G488" s="23" t="str">
        <f aca="false"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aca="false">IF(J488&lt;&gt;1,"",IF(I488="SBJ","CB","?"))</f>
        <v/>
      </c>
      <c r="I488" s="25" t="str">
        <f aca="false">IF(OR(E488="",E488="!!!",F488="NEW"),"",INDEX(O$2:O455,-1+SUMPRODUCT(MAX(ROW(R$2:R455)*(E488=R$2:R455)))))</f>
        <v/>
      </c>
      <c r="J488" s="25" t="str">
        <f aca="true">IF(OR(E488="",E488="!!!",F488="NEW"),"",COUNTBLANK(OFFSET(N$1,,,SUMPRODUCT(MAX(ROW(R$2:R456)*(E488=R$2:R456)))))-COUNTBLANK(OFFSET(N$1,,,SUMPRODUCT(MAX(ROW(R$1:R455)*(R2=R$1:R455))))))</f>
        <v/>
      </c>
      <c r="K488" s="25" t="str">
        <f aca="false">IF(OR(E488="",E488="!!!",F488="NEW"),"",INDEX(W$1:W455,SUMPRODUCT(MAX(ROW(R$1:R455)*(E488=R$1:R455)))))</f>
        <v/>
      </c>
      <c r="L488" s="26"/>
    </row>
    <row r="489" customFormat="false" ht="14.25" hidden="false" customHeight="false" outlineLevel="0" collapsed="false">
      <c r="A489" s="0" t="s">
        <v>140</v>
      </c>
      <c r="E489" s="21" t="str">
        <f aca="false">IF(Q457="?OLD","!!!","")</f>
        <v/>
      </c>
      <c r="F489" s="22" t="str">
        <f aca="false">IF(OR(E489="",E489="!!!"),"",IF(NOT(ISNA(VLOOKUP(E489,R$1:R456,1,FALSE()))),"OLD",IF(AND(E489&lt;&gt;"",E489&lt;&gt;"!!!"),"NEW","")))</f>
        <v/>
      </c>
      <c r="G489" s="23" t="str">
        <f aca="false"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aca="false">IF(J489&lt;&gt;1,"",IF(I489="SBJ","CB","?"))</f>
        <v/>
      </c>
      <c r="I489" s="25" t="str">
        <f aca="false">IF(OR(E489="",E489="!!!",F489="NEW"),"",INDEX(O$2:O456,-1+SUMPRODUCT(MAX(ROW(R$2:R456)*(E489=R$2:R456)))))</f>
        <v/>
      </c>
      <c r="J489" s="25" t="str">
        <f aca="true">IF(OR(E489="",E489="!!!",F489="NEW"),"",COUNTBLANK(OFFSET(N$1,,,SUMPRODUCT(MAX(ROW(R$2:R457)*(E489=R$2:R457)))))-COUNTBLANK(OFFSET(N$1,,,SUMPRODUCT(MAX(ROW(R$1:R456)*(R2=R$1:R456))))))</f>
        <v/>
      </c>
      <c r="K489" s="25" t="str">
        <f aca="false">IF(OR(E489="",E489="!!!",F489="NEW"),"",INDEX(W$1:W456,SUMPRODUCT(MAX(ROW(R$1:R456)*(E489=R$1:R456)))))</f>
        <v/>
      </c>
      <c r="L489" s="26"/>
    </row>
    <row r="490" customFormat="false" ht="14.25" hidden="false" customHeight="false" outlineLevel="0" collapsed="false">
      <c r="A490" s="0" t="s">
        <v>244</v>
      </c>
      <c r="B490" s="20" t="s">
        <v>123</v>
      </c>
      <c r="C490" s="20" t="s">
        <v>209</v>
      </c>
      <c r="D490" s="20" t="s">
        <v>125</v>
      </c>
      <c r="E490" s="21" t="s">
        <v>476</v>
      </c>
      <c r="F490" s="22" t="str">
        <f aca="false">IF(OR(E490="",E490="!!!"),"",IF(NOT(ISNA(VLOOKUP(E490,R$1:R457,1,FALSE()))),"OLD",IF(AND(E490&lt;&gt;"",E490&lt;&gt;"!!!"),"NEW","")))</f>
        <v>NEW</v>
      </c>
      <c r="G490" s="23" t="str">
        <f aca="false"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?REFERENTIAL</v>
      </c>
      <c r="H490" s="24" t="str">
        <f aca="false">IF(J490&lt;&gt;1,"",IF(I490="SBJ","CB","?"))</f>
        <v/>
      </c>
      <c r="I490" s="25" t="str">
        <f aca="false">IF(OR(E490="",E490="!!!",F490="NEW"),"",INDEX(O$2:O457,-1+SUMPRODUCT(MAX(ROW(R$2:R457)*(E490=R$2:R457)))))</f>
        <v/>
      </c>
      <c r="J490" s="25" t="str">
        <f aca="true">IF(OR(E490="",E490="!!!",F490="NEW"),"",COUNTBLANK(OFFSET(N$1,,,SUMPRODUCT(MAX(ROW(R$2:R458)*(E490=R$2:R458)))))-COUNTBLANK(OFFSET(N$1,,,SUMPRODUCT(MAX(ROW(R$1:R457)*(R2=R$1:R457))))))</f>
        <v/>
      </c>
      <c r="K490" s="25" t="str">
        <f aca="false">IF(OR(E490="",E490="!!!",F490="NEW"),"",INDEX(W$1:W457,SUMPRODUCT(MAX(ROW(R$1:R457)*(E490=R$1:R457)))))</f>
        <v/>
      </c>
      <c r="L490" s="26"/>
      <c r="O490" s="20"/>
      <c r="P490" s="20"/>
      <c r="Q490" s="20"/>
    </row>
    <row r="491" customFormat="false" ht="14.25" hidden="false" customHeight="false" outlineLevel="0" collapsed="false">
      <c r="A491" s="0" t="s">
        <v>355</v>
      </c>
      <c r="E491" s="21" t="str">
        <f aca="false">IF(Q459="?OLD","!!!","")</f>
        <v/>
      </c>
      <c r="F491" s="22" t="str">
        <f aca="false">IF(OR(E491="",E491="!!!"),"",IF(NOT(ISNA(VLOOKUP(E491,R$1:R458,1,FALSE()))),"OLD",IF(AND(E491&lt;&gt;"",E491&lt;&gt;"!!!"),"NEW","")))</f>
        <v/>
      </c>
      <c r="G491" s="23" t="str">
        <f aca="false"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aca="false">IF(J491&lt;&gt;1,"",IF(I491="SBJ","CB","?"))</f>
        <v/>
      </c>
      <c r="I491" s="25" t="str">
        <f aca="false">IF(OR(E491="",E491="!!!",F491="NEW"),"",INDEX(O$2:O458,-1+SUMPRODUCT(MAX(ROW(R$2:R458)*(E491=R$2:R458)))))</f>
        <v/>
      </c>
      <c r="J491" s="25" t="str">
        <f aca="true">IF(OR(E491="",E491="!!!",F491="NEW"),"",COUNTBLANK(OFFSET(N$1,,,SUMPRODUCT(MAX(ROW(R$2:R459)*(E491=R$2:R459)))))-COUNTBLANK(OFFSET(N$1,,,SUMPRODUCT(MAX(ROW(R$1:R458)*(R2=R$1:R458))))))</f>
        <v/>
      </c>
      <c r="K491" s="25" t="str">
        <f aca="false">IF(OR(E491="",E491="!!!",F491="NEW"),"",INDEX(W$1:W458,SUMPRODUCT(MAX(ROW(R$1:R458)*(E491=R$1:R458)))))</f>
        <v/>
      </c>
      <c r="L491" s="26"/>
    </row>
    <row r="492" customFormat="false" ht="14.25" hidden="false" customHeight="false" outlineLevel="0" collapsed="false">
      <c r="A492" s="0" t="s">
        <v>491</v>
      </c>
      <c r="B492" s="20" t="s">
        <v>224</v>
      </c>
      <c r="C492" s="20" t="s">
        <v>155</v>
      </c>
      <c r="E492" s="21" t="str">
        <f aca="false">IF(Q460="?OLD","!!!","")</f>
        <v/>
      </c>
      <c r="F492" s="22" t="str">
        <f aca="false">IF(OR(E492="",E492="!!!"),"",IF(NOT(ISNA(VLOOKUP(E492,R$1:R459,1,FALSE()))),"OLD",IF(AND(E492&lt;&gt;"",E492&lt;&gt;"!!!"),"NEW","")))</f>
        <v/>
      </c>
      <c r="G492" s="23" t="str">
        <f aca="false"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aca="false">IF(J492&lt;&gt;1,"",IF(I492="SBJ","CB","?"))</f>
        <v/>
      </c>
      <c r="I492" s="25" t="str">
        <f aca="false">IF(OR(E492="",E492="!!!",F492="NEW"),"",INDEX(O$2:O459,-1+SUMPRODUCT(MAX(ROW(R$2:R459)*(E492=R$2:R459)))))</f>
        <v/>
      </c>
      <c r="J492" s="25" t="str">
        <f aca="true">IF(OR(E492="",E492="!!!",F492="NEW"),"",COUNTBLANK(OFFSET(N$1,,,SUMPRODUCT(MAX(ROW(R$2:R460)*(E492=R$2:R460)))))-COUNTBLANK(OFFSET(N$1,,,SUMPRODUCT(MAX(ROW(R$1:R459)*(R2=R$1:R459))))))</f>
        <v/>
      </c>
      <c r="K492" s="25" t="str">
        <f aca="false">IF(OR(E492="",E492="!!!",F492="NEW"),"",INDEX(W$1:W459,SUMPRODUCT(MAX(ROW(R$1:R459)*(E492=R$1:R459)))))</f>
        <v/>
      </c>
      <c r="L492" s="26"/>
    </row>
    <row r="493" customFormat="false" ht="14.25" hidden="false" customHeight="false" outlineLevel="0" collapsed="false">
      <c r="A493" s="0" t="s">
        <v>140</v>
      </c>
      <c r="E493" s="21" t="str">
        <f aca="false">IF(Q461="?OLD","!!!","")</f>
        <v/>
      </c>
      <c r="F493" s="22" t="str">
        <f aca="false">IF(OR(E493="",E493="!!!"),"",IF(NOT(ISNA(VLOOKUP(E493,R$1:R460,1,FALSE()))),"OLD",IF(AND(E493&lt;&gt;"",E493&lt;&gt;"!!!"),"NEW","")))</f>
        <v/>
      </c>
      <c r="G493" s="23" t="str">
        <f aca="false"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aca="false">IF(J493&lt;&gt;1,"",IF(I493="SBJ","CB","?"))</f>
        <v/>
      </c>
      <c r="I493" s="25" t="str">
        <f aca="false">IF(OR(E493="",E493="!!!",F493="NEW"),"",INDEX(O$2:O460,-1+SUMPRODUCT(MAX(ROW(R$2:R460)*(E493=R$2:R460)))))</f>
        <v/>
      </c>
      <c r="J493" s="25" t="str">
        <f aca="true">IF(OR(E493="",E493="!!!",F493="NEW"),"",COUNTBLANK(OFFSET(N$1,,,SUMPRODUCT(MAX(ROW(R$2:R461)*(E493=R$2:R461)))))-COUNTBLANK(OFFSET(N$1,,,SUMPRODUCT(MAX(ROW(R$1:R460)*(R2=R$1:R460))))))</f>
        <v/>
      </c>
      <c r="K493" s="25" t="str">
        <f aca="false">IF(OR(E493="",E493="!!!",F493="NEW"),"",INDEX(W$1:W460,SUMPRODUCT(MAX(ROW(R$1:R460)*(E493=R$1:R460)))))</f>
        <v/>
      </c>
      <c r="L493" s="26"/>
    </row>
    <row r="494" customFormat="false" ht="14.25" hidden="false" customHeight="false" outlineLevel="0" collapsed="false">
      <c r="A494" s="0" t="s">
        <v>228</v>
      </c>
      <c r="E494" s="21" t="str">
        <f aca="false">IF(Q462="?OLD","!!!","")</f>
        <v/>
      </c>
      <c r="F494" s="22" t="str">
        <f aca="false">IF(OR(E494="",E494="!!!"),"",IF(NOT(ISNA(VLOOKUP(E494,R$1:R461,1,FALSE()))),"OLD",IF(AND(E494&lt;&gt;"",E494&lt;&gt;"!!!"),"NEW","")))</f>
        <v/>
      </c>
      <c r="G494" s="23" t="str">
        <f aca="false"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aca="false">IF(J494&lt;&gt;1,"",IF(I494="SBJ","CB","?"))</f>
        <v/>
      </c>
      <c r="I494" s="25" t="str">
        <f aca="false">IF(OR(E494="",E494="!!!",F494="NEW"),"",INDEX(O$2:O461,-1+SUMPRODUCT(MAX(ROW(R$2:R461)*(E494=R$2:R461)))))</f>
        <v/>
      </c>
      <c r="J494" s="25" t="str">
        <f aca="true">IF(OR(E494="",E494="!!!",F494="NEW"),"",COUNTBLANK(OFFSET(N$1,,,SUMPRODUCT(MAX(ROW(R$2:R462)*(E494=R$2:R462)))))-COUNTBLANK(OFFSET(N$1,,,SUMPRODUCT(MAX(ROW(R$1:R461)*(R2=R$1:R461))))))</f>
        <v/>
      </c>
      <c r="K494" s="25" t="str">
        <f aca="false">IF(OR(E494="",E494="!!!",F494="NEW"),"",INDEX(W$1:W461,SUMPRODUCT(MAX(ROW(R$1:R461)*(E494=R$1:R461)))))</f>
        <v/>
      </c>
      <c r="L494" s="26"/>
      <c r="O494" s="20"/>
      <c r="P494" s="20"/>
      <c r="Q494" s="20"/>
    </row>
    <row r="495" customFormat="false" ht="14.25" hidden="false" customHeight="false" outlineLevel="0" collapsed="false">
      <c r="A495" s="0" t="s">
        <v>492</v>
      </c>
      <c r="E495" s="21" t="str">
        <f aca="false">IF(Q463="?OLD","!!!","")</f>
        <v/>
      </c>
      <c r="F495" s="22" t="str">
        <f aca="false">IF(OR(E495="",E495="!!!"),"",IF(NOT(ISNA(VLOOKUP(E495,R$1:R462,1,FALSE()))),"OLD",IF(AND(E495&lt;&gt;"",E495&lt;&gt;"!!!"),"NEW","")))</f>
        <v/>
      </c>
      <c r="G495" s="23" t="str">
        <f aca="false"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aca="false">IF(J495&lt;&gt;1,"",IF(I495="SBJ","CB","?"))</f>
        <v/>
      </c>
      <c r="I495" s="25" t="str">
        <f aca="false">IF(OR(E495="",E495="!!!",F495="NEW"),"",INDEX(O$2:O462,-1+SUMPRODUCT(MAX(ROW(R$2:R462)*(E495=R$2:R462)))))</f>
        <v/>
      </c>
      <c r="J495" s="25" t="str">
        <f aca="true">IF(OR(E495="",E495="!!!",F495="NEW"),"",COUNTBLANK(OFFSET(N$1,,,SUMPRODUCT(MAX(ROW(R$2:R463)*(E495=R$2:R463)))))-COUNTBLANK(OFFSET(N$1,,,SUMPRODUCT(MAX(ROW(R$1:R462)*(R2=R$1:R462))))))</f>
        <v/>
      </c>
      <c r="K495" s="25" t="str">
        <f aca="false">IF(OR(E495="",E495="!!!",F495="NEW"),"",INDEX(W$1:W462,SUMPRODUCT(MAX(ROW(R$1:R462)*(E495=R$1:R462)))))</f>
        <v/>
      </c>
      <c r="L495" s="26"/>
    </row>
    <row r="496" customFormat="false" ht="14.25" hidden="false" customHeight="false" outlineLevel="0" collapsed="false">
      <c r="A496" s="0" t="s">
        <v>367</v>
      </c>
      <c r="B496" s="20" t="s">
        <v>274</v>
      </c>
      <c r="C496" s="20" t="s">
        <v>155</v>
      </c>
      <c r="E496" s="21" t="s">
        <v>433</v>
      </c>
      <c r="F496" s="22" t="str">
        <f aca="false">IF(OR(E496="",E496="!!!"),"",IF(NOT(ISNA(VLOOKUP(E496,R$1:R463,1,FALSE()))),"OLD",IF(AND(E496&lt;&gt;"",E496&lt;&gt;"!!!"),"NEW","")))</f>
        <v>NEW</v>
      </c>
      <c r="G496" s="23" t="str">
        <f aca="false"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?REFERENTIAL</v>
      </c>
      <c r="H496" s="24" t="str">
        <f aca="false">IF(J496&lt;&gt;1,"",IF(I496="SBJ","CB","?"))</f>
        <v/>
      </c>
      <c r="I496" s="25" t="str">
        <f aca="false">IF(OR(E496="",E496="!!!",F496="NEW"),"",INDEX(O$2:O463,-1+SUMPRODUCT(MAX(ROW(R$2:R463)*(E496=R$2:R463)))))</f>
        <v/>
      </c>
      <c r="J496" s="25" t="str">
        <f aca="true">IF(OR(E496="",E496="!!!",F496="NEW"),"",COUNTBLANK(OFFSET(N$1,,,SUMPRODUCT(MAX(ROW(R$2:R464)*(E496=R$2:R464)))))-COUNTBLANK(OFFSET(N$1,,,SUMPRODUCT(MAX(ROW(R$1:R463)*(R2=R$1:R463))))))</f>
        <v/>
      </c>
      <c r="K496" s="25" t="str">
        <f aca="false">IF(OR(E496="",E496="!!!",F496="NEW"),"",INDEX(W$1:W463,SUMPRODUCT(MAX(ROW(R$1:R463)*(E496=R$1:R463)))))</f>
        <v/>
      </c>
      <c r="L496" s="26"/>
    </row>
    <row r="497" customFormat="false" ht="14.25" hidden="false" customHeight="false" outlineLevel="0" collapsed="false">
      <c r="A497" s="0" t="s">
        <v>436</v>
      </c>
      <c r="E497" s="21" t="str">
        <f aca="false">IF(Q465="?OLD","!!!","")</f>
        <v/>
      </c>
      <c r="F497" s="22" t="str">
        <f aca="false">IF(OR(E497="",E497="!!!"),"",IF(NOT(ISNA(VLOOKUP(E497,R$1:R464,1,FALSE()))),"OLD",IF(AND(E497&lt;&gt;"",E497&lt;&gt;"!!!"),"NEW","")))</f>
        <v/>
      </c>
      <c r="G497" s="23" t="str">
        <f aca="false"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aca="false">IF(J497&lt;&gt;1,"",IF(I497="SBJ","CB","?"))</f>
        <v/>
      </c>
      <c r="I497" s="25" t="str">
        <f aca="false">IF(OR(E497="",E497="!!!",F497="NEW"),"",INDEX(O$2:O464,-1+SUMPRODUCT(MAX(ROW(R$2:R464)*(E497=R$2:R464)))))</f>
        <v/>
      </c>
      <c r="J497" s="25" t="str">
        <f aca="true">IF(OR(E497="",E497="!!!",F497="NEW"),"",COUNTBLANK(OFFSET(N$1,,,SUMPRODUCT(MAX(ROW(R$2:R465)*(E497=R$2:R465)))))-COUNTBLANK(OFFSET(N$1,,,SUMPRODUCT(MAX(ROW(R$1:R464)*(R2=R$1:R464))))))</f>
        <v/>
      </c>
      <c r="K497" s="25" t="str">
        <f aca="false">IF(OR(E497="",E497="!!!",F497="NEW"),"",INDEX(W$1:W464,SUMPRODUCT(MAX(ROW(R$1:R464)*(E497=R$1:R464)))))</f>
        <v/>
      </c>
      <c r="L497" s="26"/>
    </row>
    <row r="498" customFormat="false" ht="14.25" hidden="false" customHeight="false" outlineLevel="0" collapsed="false">
      <c r="A498" s="0" t="s">
        <v>138</v>
      </c>
      <c r="E498" s="21" t="str">
        <f aca="false">IF(Q466="?OLD","!!!","")</f>
        <v/>
      </c>
      <c r="F498" s="22" t="str">
        <f aca="false">IF(OR(E498="",E498="!!!"),"",IF(NOT(ISNA(VLOOKUP(E498,R$1:R465,1,FALSE()))),"OLD",IF(AND(E498&lt;&gt;"",E498&lt;&gt;"!!!"),"NEW","")))</f>
        <v/>
      </c>
      <c r="G498" s="23" t="str">
        <f aca="false"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aca="false">IF(J498&lt;&gt;1,"",IF(I498="SBJ","CB","?"))</f>
        <v/>
      </c>
      <c r="I498" s="25" t="str">
        <f aca="false">IF(OR(E498="",E498="!!!",F498="NEW"),"",INDEX(O$2:O465,-1+SUMPRODUCT(MAX(ROW(R$2:R465)*(E498=R$2:R465)))))</f>
        <v/>
      </c>
      <c r="J498" s="25" t="str">
        <f aca="true">IF(OR(E498="",E498="!!!",F498="NEW"),"",COUNTBLANK(OFFSET(N$1,,,SUMPRODUCT(MAX(ROW(R$2:R466)*(E498=R$2:R466)))))-COUNTBLANK(OFFSET(N$1,,,SUMPRODUCT(MAX(ROW(R$1:R465)*(R2=R$1:R465))))))</f>
        <v/>
      </c>
      <c r="K498" s="25" t="str">
        <f aca="false">IF(OR(E498="",E498="!!!",F498="NEW"),"",INDEX(W$1:W465,SUMPRODUCT(MAX(ROW(R$1:R465)*(E498=R$1:R465)))))</f>
        <v/>
      </c>
      <c r="L498" s="26"/>
      <c r="O498" s="20"/>
      <c r="P498" s="20"/>
    </row>
    <row r="499" customFormat="false" ht="14.25" hidden="false" customHeight="false" outlineLevel="0" collapsed="false">
      <c r="A499" s="0" t="s">
        <v>437</v>
      </c>
      <c r="E499" s="21" t="str">
        <f aca="false">IF(Q467="?OLD","!!!","")</f>
        <v/>
      </c>
      <c r="F499" s="22" t="str">
        <f aca="false">IF(OR(E499="",E499="!!!"),"",IF(NOT(ISNA(VLOOKUP(E499,R$1:R466,1,FALSE()))),"OLD",IF(AND(E499&lt;&gt;"",E499&lt;&gt;"!!!"),"NEW","")))</f>
        <v/>
      </c>
      <c r="G499" s="23" t="str">
        <f aca="false"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aca="false">IF(J499&lt;&gt;1,"",IF(I499="SBJ","CB","?"))</f>
        <v/>
      </c>
      <c r="I499" s="25" t="str">
        <f aca="false">IF(OR(E499="",E499="!!!",F499="NEW"),"",INDEX(O$2:O466,-1+SUMPRODUCT(MAX(ROW(R$2:R466)*(E499=R$2:R466)))))</f>
        <v/>
      </c>
      <c r="J499" s="25" t="str">
        <f aca="true">IF(OR(E499="",E499="!!!",F499="NEW"),"",COUNTBLANK(OFFSET(N$1,,,SUMPRODUCT(MAX(ROW(R$2:R467)*(E499=R$2:R467)))))-COUNTBLANK(OFFSET(N$1,,,SUMPRODUCT(MAX(ROW(R$1:R466)*(R2=R$1:R466))))))</f>
        <v/>
      </c>
      <c r="K499" s="25" t="str">
        <f aca="false">IF(OR(E499="",E499="!!!",F499="NEW"),"",INDEX(W$1:W466,SUMPRODUCT(MAX(ROW(R$1:R466)*(E499=R$1:R466)))))</f>
        <v/>
      </c>
      <c r="L499" s="26"/>
    </row>
    <row r="500" customFormat="false" ht="14.25" hidden="false" customHeight="false" outlineLevel="0" collapsed="false">
      <c r="A500" s="0" t="s">
        <v>364</v>
      </c>
      <c r="E500" s="21" t="str">
        <f aca="false">IF(Q468="?OLD","!!!","")</f>
        <v/>
      </c>
      <c r="F500" s="22" t="str">
        <f aca="false">IF(OR(E500="",E500="!!!"),"",IF(NOT(ISNA(VLOOKUP(E500,R$1:R467,1,FALSE()))),"OLD",IF(AND(E500&lt;&gt;"",E500&lt;&gt;"!!!"),"NEW","")))</f>
        <v/>
      </c>
      <c r="G500" s="23" t="str">
        <f aca="false"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aca="false">IF(J500&lt;&gt;1,"",IF(I500="SBJ","CB","?"))</f>
        <v/>
      </c>
      <c r="I500" s="25" t="str">
        <f aca="false">IF(OR(E500="",E500="!!!",F500="NEW"),"",INDEX(O$2:O467,-1+SUMPRODUCT(MAX(ROW(R$2:R467)*(E500=R$2:R467)))))</f>
        <v/>
      </c>
      <c r="J500" s="25" t="str">
        <f aca="true">IF(OR(E500="",E500="!!!",F500="NEW"),"",COUNTBLANK(OFFSET(N$1,,,SUMPRODUCT(MAX(ROW(R$2:R468)*(E500=R$2:R468)))))-COUNTBLANK(OFFSET(N$1,,,SUMPRODUCT(MAX(ROW(R$1:R467)*(R2=R$1:R467))))))</f>
        <v/>
      </c>
      <c r="K500" s="25" t="str">
        <f aca="false">IF(OR(E500="",E500="!!!",F500="NEW"),"",INDEX(W$1:W467,SUMPRODUCT(MAX(ROW(R$1:R467)*(E500=R$1:R467)))))</f>
        <v/>
      </c>
      <c r="L500" s="26"/>
    </row>
    <row r="501" customFormat="false" ht="14.25" hidden="false" customHeight="false" outlineLevel="0" collapsed="false">
      <c r="A501" s="0" t="s">
        <v>160</v>
      </c>
      <c r="E501" s="21" t="str">
        <f aca="false">IF(Q469="?OLD","!!!","")</f>
        <v/>
      </c>
      <c r="F501" s="22" t="str">
        <f aca="false">IF(OR(E501="",E501="!!!"),"",IF(NOT(ISNA(VLOOKUP(E501,R$1:R468,1,FALSE()))),"OLD",IF(AND(E501&lt;&gt;"",E501&lt;&gt;"!!!"),"NEW","")))</f>
        <v/>
      </c>
      <c r="G501" s="23" t="str">
        <f aca="false"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aca="false">IF(J501&lt;&gt;1,"",IF(I501="SBJ","CB","?"))</f>
        <v/>
      </c>
      <c r="I501" s="25" t="str">
        <f aca="false">IF(OR(E501="",E501="!!!",F501="NEW"),"",INDEX(O$2:O468,-1+SUMPRODUCT(MAX(ROW(R$2:R468)*(E501=R$2:R468)))))</f>
        <v/>
      </c>
      <c r="J501" s="25" t="str">
        <f aca="true">IF(OR(E501="",E501="!!!",F501="NEW"),"",COUNTBLANK(OFFSET(N$1,,,SUMPRODUCT(MAX(ROW(R$2:R469)*(E501=R$2:R469)))))-COUNTBLANK(OFFSET(N$1,,,SUMPRODUCT(MAX(ROW(R$1:R468)*(R2=R$1:R468))))))</f>
        <v/>
      </c>
      <c r="K501" s="25" t="str">
        <f aca="false">IF(OR(E501="",E501="!!!",F501="NEW"),"",INDEX(W$1:W468,SUMPRODUCT(MAX(ROW(R$1:R468)*(E501=R$1:R468)))))</f>
        <v/>
      </c>
      <c r="L501" s="26"/>
    </row>
    <row r="503" customFormat="false" ht="14.25" hidden="false" customHeight="false" outlineLevel="0" collapsed="false">
      <c r="A503" s="0" t="s">
        <v>396</v>
      </c>
    </row>
    <row r="504" customFormat="false" ht="14.25" hidden="false" customHeight="false" outlineLevel="0" collapsed="false">
      <c r="A504" s="0" t="s">
        <v>493</v>
      </c>
      <c r="O504" s="20"/>
      <c r="P504" s="20"/>
    </row>
    <row r="505" customFormat="false" ht="14.25" hidden="false" customHeight="false" outlineLevel="0" collapsed="false">
      <c r="A505" s="0" t="s">
        <v>217</v>
      </c>
      <c r="E505" s="21" t="str">
        <f aca="false">IF(Q470="?OLD","!!!","")</f>
        <v/>
      </c>
      <c r="F505" s="22" t="str">
        <f aca="false">IF(OR(E505="",E505="!!!"),"",IF(NOT(ISNA(VLOOKUP(E505,R$1:R469,1,FALSE()))),"OLD",IF(AND(E505&lt;&gt;"",E505&lt;&gt;"!!!"),"NEW","")))</f>
        <v/>
      </c>
      <c r="G505" s="23" t="str">
        <f aca="false"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aca="false">IF(J505&lt;&gt;1,"",IF(I505="SBJ","CB","?"))</f>
        <v/>
      </c>
      <c r="I505" s="25" t="str">
        <f aca="false">IF(OR(E505="",E505="!!!",F505="NEW"),"",INDEX(O$2:O469,-1+SUMPRODUCT(MAX(ROW(R$2:R469)*(E505=R$2:R469)))))</f>
        <v/>
      </c>
      <c r="J505" s="25" t="str">
        <f aca="true">IF(OR(E505="",E505="!!!",F505="NEW"),"",COUNTBLANK(OFFSET(N$1,,,SUMPRODUCT(MAX(ROW(R$2:R470)*(E505=R$2:R470)))))-COUNTBLANK(OFFSET(N$1,,,SUMPRODUCT(MAX(ROW(R$1:R469)*(R2=R$1:R469))))))</f>
        <v/>
      </c>
      <c r="K505" s="25" t="str">
        <f aca="false">IF(OR(E505="",E505="!!!",F505="NEW"),"",INDEX(W$1:W469,SUMPRODUCT(MAX(ROW(R$1:R469)*(E505=R$1:R469)))))</f>
        <v/>
      </c>
      <c r="L505" s="26"/>
    </row>
    <row r="506" customFormat="false" ht="14.25" hidden="false" customHeight="false" outlineLevel="0" collapsed="false">
      <c r="A506" s="0" t="s">
        <v>141</v>
      </c>
      <c r="E506" s="21" t="str">
        <f aca="false">IF(Q471="?OLD","!!!","")</f>
        <v/>
      </c>
      <c r="F506" s="22" t="str">
        <f aca="false">IF(OR(E506="",E506="!!!"),"",IF(NOT(ISNA(VLOOKUP(E506,R$1:R470,1,FALSE()))),"OLD",IF(AND(E506&lt;&gt;"",E506&lt;&gt;"!!!"),"NEW","")))</f>
        <v/>
      </c>
      <c r="G506" s="23" t="str">
        <f aca="false"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aca="false">IF(J506&lt;&gt;1,"",IF(I506="SBJ","CB","?"))</f>
        <v/>
      </c>
      <c r="I506" s="25" t="str">
        <f aca="false">IF(OR(E506="",E506="!!!",F506="NEW"),"",INDEX(O$2:O470,-1+SUMPRODUCT(MAX(ROW(R$2:R470)*(E506=R$2:R470)))))</f>
        <v/>
      </c>
      <c r="J506" s="25" t="str">
        <f aca="true">IF(OR(E506="",E506="!!!",F506="NEW"),"",COUNTBLANK(OFFSET(N$1,,,SUMPRODUCT(MAX(ROW(R$2:R471)*(E506=R$2:R471)))))-COUNTBLANK(OFFSET(N$1,,,SUMPRODUCT(MAX(ROW(R$1:R470)*(R2=R$1:R470))))))</f>
        <v/>
      </c>
      <c r="K506" s="25" t="str">
        <f aca="false">IF(OR(E506="",E506="!!!",F506="NEW"),"",INDEX(W$1:W470,SUMPRODUCT(MAX(ROW(R$1:R470)*(E506=R$1:R470)))))</f>
        <v/>
      </c>
      <c r="L506" s="26"/>
    </row>
    <row r="507" customFormat="false" ht="14.25" hidden="false" customHeight="false" outlineLevel="0" collapsed="false">
      <c r="A507" s="0" t="s">
        <v>494</v>
      </c>
      <c r="B507" s="20" t="s">
        <v>150</v>
      </c>
      <c r="C507" s="20" t="s">
        <v>146</v>
      </c>
      <c r="E507" s="21"/>
      <c r="F507" s="22" t="str">
        <f aca="false">IF(OR(E507="",E507="!!!"),"",IF(NOT(ISNA(VLOOKUP(E507,R$1:R471,1,FALSE()))),"OLD",IF(AND(E507&lt;&gt;"",E507&lt;&gt;"!!!"),"NEW","")))</f>
        <v/>
      </c>
      <c r="G507" s="23" t="str">
        <f aca="false"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aca="false">IF(J507&lt;&gt;1,"",IF(I507="SBJ","CB","?"))</f>
        <v/>
      </c>
      <c r="I507" s="25" t="str">
        <f aca="false">IF(OR(E507="",E507="!!!",F507="NEW"),"",INDEX(O$2:O471,-1+SUMPRODUCT(MAX(ROW(R$2:R471)*(E507=R$2:R471)))))</f>
        <v/>
      </c>
      <c r="J507" s="25" t="str">
        <f aca="true">IF(OR(E507="",E507="!!!",F507="NEW"),"",COUNTBLANK(OFFSET(N$1,,,SUMPRODUCT(MAX(ROW(R$2:R472)*(E507=R$2:R472)))))-COUNTBLANK(OFFSET(N$1,,,SUMPRODUCT(MAX(ROW(R$1:R471)*(R2=R$1:R471))))))</f>
        <v/>
      </c>
      <c r="K507" s="25" t="str">
        <f aca="false">IF(OR(E507="",E507="!!!",F507="NEW"),"",INDEX(W$1:W471,SUMPRODUCT(MAX(ROW(R$1:R471)*(E507=R$1:R471)))))</f>
        <v/>
      </c>
      <c r="L507" s="26"/>
    </row>
    <row r="508" customFormat="false" ht="14.25" hidden="false" customHeight="false" outlineLevel="0" collapsed="false">
      <c r="A508" s="0" t="s">
        <v>140</v>
      </c>
      <c r="E508" s="21" t="str">
        <f aca="false">IF(Q473="?OLD","!!!","")</f>
        <v/>
      </c>
      <c r="F508" s="22" t="str">
        <f aca="false">IF(OR(E508="",E508="!!!"),"",IF(NOT(ISNA(VLOOKUP(E508,R$1:R472,1,FALSE()))),"OLD",IF(AND(E508&lt;&gt;"",E508&lt;&gt;"!!!"),"NEW","")))</f>
        <v/>
      </c>
      <c r="G508" s="23" t="str">
        <f aca="false"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aca="false">IF(J508&lt;&gt;1,"",IF(I508="SBJ","CB","?"))</f>
        <v/>
      </c>
      <c r="I508" s="25" t="str">
        <f aca="false">IF(OR(E508="",E508="!!!",F508="NEW"),"",INDEX(O$2:O472,-1+SUMPRODUCT(MAX(ROW(R$2:R472)*(E508=R$2:R472)))))</f>
        <v/>
      </c>
      <c r="J508" s="25" t="str">
        <f aca="true">IF(OR(E508="",E508="!!!",F508="NEW"),"",COUNTBLANK(OFFSET(N$1,,,SUMPRODUCT(MAX(ROW(R$2:R473)*(E508=R$2:R473)))))-COUNTBLANK(OFFSET(N$1,,,SUMPRODUCT(MAX(ROW(R$1:R472)*(R2=R$1:R472))))))</f>
        <v/>
      </c>
      <c r="K508" s="25" t="str">
        <f aca="false">IF(OR(E508="",E508="!!!",F508="NEW"),"",INDEX(W$1:W472,SUMPRODUCT(MAX(ROW(R$1:R472)*(E508=R$1:R472)))))</f>
        <v/>
      </c>
      <c r="L508" s="26"/>
      <c r="O508" s="20"/>
      <c r="P508" s="20"/>
    </row>
    <row r="509" customFormat="false" ht="14.25" hidden="false" customHeight="false" outlineLevel="0" collapsed="false">
      <c r="A509" s="0" t="s">
        <v>170</v>
      </c>
      <c r="B509" s="20" t="s">
        <v>495</v>
      </c>
      <c r="E509" s="21"/>
      <c r="F509" s="22" t="str">
        <f aca="false">IF(OR(E509="",E509="!!!"),"",IF(NOT(ISNA(VLOOKUP(E509,R$1:R473,1,FALSE()))),"OLD",IF(AND(E509&lt;&gt;"",E509&lt;&gt;"!!!"),"NEW","")))</f>
        <v/>
      </c>
      <c r="G509" s="23" t="str">
        <f aca="false"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aca="false">IF(J509&lt;&gt;1,"",IF(I509="SBJ","CB","?"))</f>
        <v/>
      </c>
      <c r="I509" s="25" t="str">
        <f aca="false">IF(OR(E509="",E509="!!!",F509="NEW"),"",INDEX(O$2:O473,-1+SUMPRODUCT(MAX(ROW(R$2:R473)*(E509=R$2:R473)))))</f>
        <v/>
      </c>
      <c r="J509" s="25" t="str">
        <f aca="true">IF(OR(E509="",E509="!!!",F509="NEW"),"",COUNTBLANK(OFFSET(N$1,,,SUMPRODUCT(MAX(ROW(R$2:R474)*(E509=R$2:R474)))))-COUNTBLANK(OFFSET(N$1,,,SUMPRODUCT(MAX(ROW(R$1:R473)*(R2=R$1:R473))))))</f>
        <v/>
      </c>
      <c r="K509" s="25" t="str">
        <f aca="false">IF(OR(E509="",E509="!!!",F509="NEW"),"",INDEX(W$1:W473,SUMPRODUCT(MAX(ROW(R$1:R473)*(E509=R$1:R473)))))</f>
        <v/>
      </c>
      <c r="L509" s="26"/>
    </row>
    <row r="510" customFormat="false" ht="14.25" hidden="false" customHeight="false" outlineLevel="0" collapsed="false">
      <c r="A510" s="0" t="s">
        <v>244</v>
      </c>
      <c r="B510" s="20" t="s">
        <v>496</v>
      </c>
      <c r="C510" s="20" t="s">
        <v>209</v>
      </c>
      <c r="D510" s="20" t="s">
        <v>125</v>
      </c>
      <c r="E510" s="21" t="s">
        <v>476</v>
      </c>
      <c r="F510" s="22" t="str">
        <f aca="false">IF(OR(E510="",E510="!!!"),"",IF(NOT(ISNA(VLOOKUP(E510,R$1:R474,1,FALSE()))),"OLD",IF(AND(E510&lt;&gt;"",E510&lt;&gt;"!!!"),"NEW","")))</f>
        <v>NEW</v>
      </c>
      <c r="G510" s="23" t="str">
        <f aca="false"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?REFERENTIAL</v>
      </c>
      <c r="H510" s="24" t="str">
        <f aca="false">IF(J510&lt;&gt;1,"",IF(I510="SBJ","CB","?"))</f>
        <v/>
      </c>
      <c r="I510" s="25" t="str">
        <f aca="false">IF(OR(E510="",E510="!!!",F510="NEW"),"",INDEX(O$2:O474,-1+SUMPRODUCT(MAX(ROW(R$2:R474)*(E510=R$2:R474)))))</f>
        <v/>
      </c>
      <c r="J510" s="25" t="str">
        <f aca="true">IF(OR(E510="",E510="!!!",F510="NEW"),"",COUNTBLANK(OFFSET(N$1,,,SUMPRODUCT(MAX(ROW(R$2:R475)*(E510=R$2:R475)))))-COUNTBLANK(OFFSET(N$1,,,SUMPRODUCT(MAX(ROW(R$1:R474)*(R2=R$1:R474))))))</f>
        <v/>
      </c>
      <c r="K510" s="25" t="str">
        <f aca="false">IF(OR(E510="",E510="!!!",F510="NEW"),"",INDEX(W$1:W474,SUMPRODUCT(MAX(ROW(R$1:R474)*(E510=R$1:R474)))))</f>
        <v/>
      </c>
      <c r="L510" s="26"/>
    </row>
    <row r="511" customFormat="false" ht="14.25" hidden="false" customHeight="false" outlineLevel="0" collapsed="false">
      <c r="A511" s="0" t="s">
        <v>212</v>
      </c>
      <c r="E511" s="21" t="str">
        <f aca="false">IF(Q476="?OLD","!!!","")</f>
        <v/>
      </c>
      <c r="F511" s="22" t="str">
        <f aca="false">IF(OR(E511="",E511="!!!"),"",IF(NOT(ISNA(VLOOKUP(E511,R$1:R475,1,FALSE()))),"OLD",IF(AND(E511&lt;&gt;"",E511&lt;&gt;"!!!"),"NEW","")))</f>
        <v/>
      </c>
      <c r="G511" s="23" t="str">
        <f aca="false"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aca="false">IF(J511&lt;&gt;1,"",IF(I511="SBJ","CB","?"))</f>
        <v/>
      </c>
      <c r="I511" s="25" t="str">
        <f aca="false">IF(OR(E511="",E511="!!!",F511="NEW"),"",INDEX(O$2:O475,-1+SUMPRODUCT(MAX(ROW(R$2:R475)*(E511=R$2:R475)))))</f>
        <v/>
      </c>
      <c r="J511" s="25" t="str">
        <f aca="true">IF(OR(E511="",E511="!!!",F511="NEW"),"",COUNTBLANK(OFFSET(N$1,,,SUMPRODUCT(MAX(ROW(R$2:R476)*(E511=R$2:R476)))))-COUNTBLANK(OFFSET(N$1,,,SUMPRODUCT(MAX(ROW(R$1:R475)*(R2=R$1:R475))))))</f>
        <v/>
      </c>
      <c r="K511" s="25" t="str">
        <f aca="false">IF(OR(E511="",E511="!!!",F511="NEW"),"",INDEX(W$1:W475,SUMPRODUCT(MAX(ROW(R$1:R475)*(E511=R$1:R475)))))</f>
        <v/>
      </c>
      <c r="L511" s="26"/>
    </row>
    <row r="512" customFormat="false" ht="14.25" hidden="false" customHeight="false" outlineLevel="0" collapsed="false">
      <c r="A512" s="0" t="s">
        <v>497</v>
      </c>
      <c r="B512" s="20" t="s">
        <v>412</v>
      </c>
      <c r="C512" s="20" t="s">
        <v>155</v>
      </c>
      <c r="E512" s="21" t="str">
        <f aca="false">IF(Q477="?OLD","!!!","")</f>
        <v/>
      </c>
      <c r="F512" s="22" t="str">
        <f aca="false">IF(OR(E512="",E512="!!!"),"",IF(NOT(ISNA(VLOOKUP(E512,R$1:R476,1,FALSE()))),"OLD",IF(AND(E512&lt;&gt;"",E512&lt;&gt;"!!!"),"NEW","")))</f>
        <v/>
      </c>
      <c r="G512" s="23" t="str">
        <f aca="false"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aca="false">IF(J512&lt;&gt;1,"",IF(I512="SBJ","CB","?"))</f>
        <v/>
      </c>
      <c r="I512" s="25" t="str">
        <f aca="false">IF(OR(E512="",E512="!!!",F512="NEW"),"",INDEX(O$2:O476,-1+SUMPRODUCT(MAX(ROW(R$2:R476)*(E512=R$2:R476)))))</f>
        <v/>
      </c>
      <c r="J512" s="25" t="str">
        <f aca="true">IF(OR(E512="",E512="!!!",F512="NEW"),"",COUNTBLANK(OFFSET(N$1,,,SUMPRODUCT(MAX(ROW(R$2:R477)*(E512=R$2:R477)))))-COUNTBLANK(OFFSET(N$1,,,SUMPRODUCT(MAX(ROW(R$1:R476)*(R2=R$1:R476))))))</f>
        <v/>
      </c>
      <c r="K512" s="25" t="str">
        <f aca="false">IF(OR(E512="",E512="!!!",F512="NEW"),"",INDEX(W$1:W476,SUMPRODUCT(MAX(ROW(R$1:R476)*(E512=R$1:R476)))))</f>
        <v/>
      </c>
      <c r="L512" s="26"/>
      <c r="O512" s="20"/>
      <c r="P512" s="20"/>
    </row>
    <row r="513" customFormat="false" ht="14.25" hidden="false" customHeight="false" outlineLevel="0" collapsed="false">
      <c r="A513" s="0" t="s">
        <v>153</v>
      </c>
      <c r="E513" s="21" t="str">
        <f aca="false">IF(Q478="?OLD","!!!","")</f>
        <v/>
      </c>
      <c r="F513" s="22" t="str">
        <f aca="false">IF(OR(E513="",E513="!!!"),"",IF(NOT(ISNA(VLOOKUP(E513,R$1:R477,1,FALSE()))),"OLD",IF(AND(E513&lt;&gt;"",E513&lt;&gt;"!!!"),"NEW","")))</f>
        <v/>
      </c>
      <c r="G513" s="23" t="str">
        <f aca="false"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aca="false">IF(J513&lt;&gt;1,"",IF(I513="SBJ","CB","?"))</f>
        <v/>
      </c>
      <c r="I513" s="25" t="str">
        <f aca="false">IF(OR(E513="",E513="!!!",F513="NEW"),"",INDEX(O$2:O477,-1+SUMPRODUCT(MAX(ROW(R$2:R477)*(E513=R$2:R477)))))</f>
        <v/>
      </c>
      <c r="J513" s="25" t="str">
        <f aca="true">IF(OR(E513="",E513="!!!",F513="NEW"),"",COUNTBLANK(OFFSET(N$1,,,SUMPRODUCT(MAX(ROW(R$2:R478)*(E513=R$2:R478)))))-COUNTBLANK(OFFSET(N$1,,,SUMPRODUCT(MAX(ROW(R$1:R477)*(R2=R$1:R477))))))</f>
        <v/>
      </c>
      <c r="K513" s="25" t="str">
        <f aca="false">IF(OR(E513="",E513="!!!",F513="NEW"),"",INDEX(W$1:W477,SUMPRODUCT(MAX(ROW(R$1:R477)*(E513=R$1:R477)))))</f>
        <v/>
      </c>
      <c r="L513" s="26"/>
    </row>
    <row r="514" customFormat="false" ht="14.25" hidden="false" customHeight="false" outlineLevel="0" collapsed="false">
      <c r="A514" s="0" t="s">
        <v>175</v>
      </c>
      <c r="E514" s="21" t="str">
        <f aca="false">IF(Q479="?OLD","!!!","")</f>
        <v/>
      </c>
      <c r="F514" s="22" t="str">
        <f aca="false">IF(OR(E514="",E514="!!!"),"",IF(NOT(ISNA(VLOOKUP(E514,R$1:R478,1,FALSE()))),"OLD",IF(AND(E514&lt;&gt;"",E514&lt;&gt;"!!!"),"NEW","")))</f>
        <v/>
      </c>
      <c r="G514" s="23" t="str">
        <f aca="false"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aca="false">IF(J514&lt;&gt;1,"",IF(I514="SBJ","CB","?"))</f>
        <v/>
      </c>
      <c r="I514" s="25" t="str">
        <f aca="false">IF(OR(E514="",E514="!!!",F514="NEW"),"",INDEX(O$2:O478,-1+SUMPRODUCT(MAX(ROW(R$2:R478)*(E514=R$2:R478)))))</f>
        <v/>
      </c>
      <c r="J514" s="25" t="str">
        <f aca="true">IF(OR(E514="",E514="!!!",F514="NEW"),"",COUNTBLANK(OFFSET(N$1,,,SUMPRODUCT(MAX(ROW(R$2:R479)*(E514=R$2:R479)))))-COUNTBLANK(OFFSET(N$1,,,SUMPRODUCT(MAX(ROW(R$1:R478)*(R2=R$1:R478))))))</f>
        <v/>
      </c>
      <c r="K514" s="25" t="str">
        <f aca="false">IF(OR(E514="",E514="!!!",F514="NEW"),"",INDEX(W$1:W478,SUMPRODUCT(MAX(ROW(R$1:R478)*(E514=R$1:R478)))))</f>
        <v/>
      </c>
      <c r="L514" s="26"/>
    </row>
    <row r="515" customFormat="false" ht="14.25" hidden="false" customHeight="false" outlineLevel="0" collapsed="false">
      <c r="A515" s="0" t="s">
        <v>429</v>
      </c>
      <c r="B515" s="20" t="s">
        <v>412</v>
      </c>
      <c r="C515" s="20" t="s">
        <v>134</v>
      </c>
      <c r="D515" s="20" t="s">
        <v>125</v>
      </c>
      <c r="E515" s="21" t="s">
        <v>430</v>
      </c>
      <c r="F515" s="22" t="str">
        <f aca="false">IF(OR(E515="",E515="!!!"),"",IF(NOT(ISNA(VLOOKUP(E515,R$1:R479,1,FALSE()))),"OLD",IF(AND(E515&lt;&gt;"",E515&lt;&gt;"!!!"),"NEW","")))</f>
        <v>NEW</v>
      </c>
      <c r="G515" s="23" t="str">
        <f aca="false"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?REFERENTIAL</v>
      </c>
      <c r="H515" s="24" t="str">
        <f aca="false">IF(J515&lt;&gt;1,"",IF(I515="SBJ","CB","?"))</f>
        <v/>
      </c>
      <c r="I515" s="25" t="str">
        <f aca="false">IF(OR(E515="",E515="!!!",F515="NEW"),"",INDEX(O$2:O479,-1+SUMPRODUCT(MAX(ROW(R$2:R479)*(E515=R$2:R479)))))</f>
        <v/>
      </c>
      <c r="J515" s="25" t="str">
        <f aca="true">IF(OR(E515="",E515="!!!",F515="NEW"),"",COUNTBLANK(OFFSET(N$1,,,SUMPRODUCT(MAX(ROW(R$2:R480)*(E515=R$2:R480)))))-COUNTBLANK(OFFSET(N$1,,,SUMPRODUCT(MAX(ROW(R$1:R479)*(R2=R$1:R479))))))</f>
        <v/>
      </c>
      <c r="K515" s="25" t="str">
        <f aca="false">IF(OR(E515="",E515="!!!",F515="NEW"),"",INDEX(W$1:W479,SUMPRODUCT(MAX(ROW(R$1:R479)*(E515=R$1:R479)))))</f>
        <v/>
      </c>
      <c r="L515" s="26"/>
    </row>
    <row r="516" customFormat="false" ht="14.25" hidden="false" customHeight="false" outlineLevel="0" collapsed="false">
      <c r="A516" s="0" t="s">
        <v>431</v>
      </c>
      <c r="E516" s="21" t="str">
        <f aca="false">IF(Q481="?OLD","!!!","")</f>
        <v/>
      </c>
      <c r="F516" s="22" t="str">
        <f aca="false">IF(OR(E516="",E516="!!!"),"",IF(NOT(ISNA(VLOOKUP(E516,R$1:R480,1,FALSE()))),"OLD",IF(AND(E516&lt;&gt;"",E516&lt;&gt;"!!!"),"NEW","")))</f>
        <v/>
      </c>
      <c r="G516" s="23" t="str">
        <f aca="false"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aca="false">IF(J516&lt;&gt;1,"",IF(I516="SBJ","CB","?"))</f>
        <v/>
      </c>
      <c r="I516" s="25" t="str">
        <f aca="false">IF(OR(E516="",E516="!!!",F516="NEW"),"",INDEX(O$2:O480,-1+SUMPRODUCT(MAX(ROW(R$2:R480)*(E516=R$2:R480)))))</f>
        <v/>
      </c>
      <c r="J516" s="25" t="str">
        <f aca="true">IF(OR(E516="",E516="!!!",F516="NEW"),"",COUNTBLANK(OFFSET(N$1,,,SUMPRODUCT(MAX(ROW(R$2:R481)*(E516=R$2:R481)))))-COUNTBLANK(OFFSET(N$1,,,SUMPRODUCT(MAX(ROW(R$1:R480)*(R2=R$1:R480))))))</f>
        <v/>
      </c>
      <c r="K516" s="25" t="str">
        <f aca="false">IF(OR(E516="",E516="!!!",F516="NEW"),"",INDEX(W$1:W480,SUMPRODUCT(MAX(ROW(R$1:R480)*(E516=R$1:R480)))))</f>
        <v/>
      </c>
      <c r="L516" s="26"/>
      <c r="O516" s="20"/>
      <c r="P516" s="20"/>
      <c r="Q516" s="20"/>
    </row>
    <row r="517" customFormat="false" ht="14.25" hidden="false" customHeight="false" outlineLevel="0" collapsed="false">
      <c r="A517" s="0" t="s">
        <v>498</v>
      </c>
      <c r="E517" s="21" t="str">
        <f aca="false">IF(Q482="?OLD","!!!","")</f>
        <v/>
      </c>
      <c r="F517" s="22" t="str">
        <f aca="false">IF(OR(E517="",E517="!!!"),"",IF(NOT(ISNA(VLOOKUP(E517,R$1:R481,1,FALSE()))),"OLD",IF(AND(E517&lt;&gt;"",E517&lt;&gt;"!!!"),"NEW","")))</f>
        <v/>
      </c>
      <c r="G517" s="23" t="str">
        <f aca="false"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aca="false">IF(J517&lt;&gt;1,"",IF(I517="SBJ","CB","?"))</f>
        <v/>
      </c>
      <c r="I517" s="25" t="str">
        <f aca="false">IF(OR(E517="",E517="!!!",F517="NEW"),"",INDEX(O$2:O481,-1+SUMPRODUCT(MAX(ROW(R$2:R481)*(E517=R$2:R481)))))</f>
        <v/>
      </c>
      <c r="J517" s="25" t="str">
        <f aca="true">IF(OR(E517="",E517="!!!",F517="NEW"),"",COUNTBLANK(OFFSET(N$1,,,SUMPRODUCT(MAX(ROW(R$2:R482)*(E517=R$2:R482)))))-COUNTBLANK(OFFSET(N$1,,,SUMPRODUCT(MAX(ROW(R$1:R481)*(R2=R$1:R481))))))</f>
        <v/>
      </c>
      <c r="K517" s="25" t="str">
        <f aca="false">IF(OR(E517="",E517="!!!",F517="NEW"),"",INDEX(W$1:W481,SUMPRODUCT(MAX(ROW(R$1:R481)*(E517=R$1:R481)))))</f>
        <v/>
      </c>
      <c r="L517" s="26"/>
    </row>
    <row r="518" customFormat="false" ht="14.25" hidden="false" customHeight="false" outlineLevel="0" collapsed="false">
      <c r="A518" s="0" t="s">
        <v>140</v>
      </c>
      <c r="E518" s="21" t="str">
        <f aca="false">IF(Q483="?OLD","!!!","")</f>
        <v/>
      </c>
      <c r="F518" s="22" t="str">
        <f aca="false">IF(OR(E518="",E518="!!!"),"",IF(NOT(ISNA(VLOOKUP(E518,R$1:R482,1,FALSE()))),"OLD",IF(AND(E518&lt;&gt;"",E518&lt;&gt;"!!!"),"NEW","")))</f>
        <v/>
      </c>
      <c r="G518" s="23" t="str">
        <f aca="false"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aca="false">IF(J518&lt;&gt;1,"",IF(I518="SBJ","CB","?"))</f>
        <v/>
      </c>
      <c r="I518" s="25" t="str">
        <f aca="false">IF(OR(E518="",E518="!!!",F518="NEW"),"",INDEX(O$2:O482,-1+SUMPRODUCT(MAX(ROW(R$2:R482)*(E518=R$2:R482)))))</f>
        <v/>
      </c>
      <c r="J518" s="25" t="str">
        <f aca="true">IF(OR(E518="",E518="!!!",F518="NEW"),"",COUNTBLANK(OFFSET(N$1,,,SUMPRODUCT(MAX(ROW(R$2:R483)*(E518=R$2:R483)))))-COUNTBLANK(OFFSET(N$1,,,SUMPRODUCT(MAX(ROW(R$1:R482)*(R2=R$1:R482))))))</f>
        <v/>
      </c>
      <c r="K518" s="25" t="str">
        <f aca="false">IF(OR(E518="",E518="!!!",F518="NEW"),"",INDEX(W$1:W482,SUMPRODUCT(MAX(ROW(R$1:R482)*(E518=R$1:R482)))))</f>
        <v/>
      </c>
      <c r="L518" s="26"/>
    </row>
    <row r="519" customFormat="false" ht="14.25" hidden="false" customHeight="false" outlineLevel="0" collapsed="false">
      <c r="A519" s="0" t="s">
        <v>499</v>
      </c>
      <c r="E519" s="21" t="str">
        <f aca="false">IF(Q484="?OLD","!!!","")</f>
        <v/>
      </c>
      <c r="F519" s="22" t="str">
        <f aca="false">IF(OR(E519="",E519="!!!"),"",IF(NOT(ISNA(VLOOKUP(E519,R$1:R483,1,FALSE()))),"OLD",IF(AND(E519&lt;&gt;"",E519&lt;&gt;"!!!"),"NEW","")))</f>
        <v/>
      </c>
      <c r="G519" s="23" t="str">
        <f aca="false"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aca="false">IF(J519&lt;&gt;1,"",IF(I519="SBJ","CB","?"))</f>
        <v/>
      </c>
      <c r="I519" s="25" t="str">
        <f aca="false">IF(OR(E519="",E519="!!!",F519="NEW"),"",INDEX(O$2:O483,-1+SUMPRODUCT(MAX(ROW(R$2:R483)*(E519=R$2:R483)))))</f>
        <v/>
      </c>
      <c r="J519" s="25" t="str">
        <f aca="true">IF(OR(E519="",E519="!!!",F519="NEW"),"",COUNTBLANK(OFFSET(N$1,,,SUMPRODUCT(MAX(ROW(R$2:R484)*(E519=R$2:R484)))))-COUNTBLANK(OFFSET(N$1,,,SUMPRODUCT(MAX(ROW(R$1:R483)*(R2=R$1:R483))))))</f>
        <v/>
      </c>
      <c r="K519" s="25" t="str">
        <f aca="false">IF(OR(E519="",E519="!!!",F519="NEW"),"",INDEX(W$1:W483,SUMPRODUCT(MAX(ROW(R$1:R483)*(E519=R$1:R483)))))</f>
        <v/>
      </c>
      <c r="L519" s="26"/>
    </row>
    <row r="520" customFormat="false" ht="14.25" hidden="false" customHeight="false" outlineLevel="0" collapsed="false">
      <c r="A520" s="0" t="s">
        <v>500</v>
      </c>
      <c r="E520" s="21" t="str">
        <f aca="false">IF(Q485="?OLD","!!!","")</f>
        <v/>
      </c>
      <c r="F520" s="22" t="str">
        <f aca="false">IF(OR(E520="",E520="!!!"),"",IF(NOT(ISNA(VLOOKUP(E520,R$1:R484,1,FALSE()))),"OLD",IF(AND(E520&lt;&gt;"",E520&lt;&gt;"!!!"),"NEW","")))</f>
        <v/>
      </c>
      <c r="G520" s="23" t="str">
        <f aca="false"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aca="false">IF(J520&lt;&gt;1,"",IF(I520="SBJ","CB","?"))</f>
        <v/>
      </c>
      <c r="I520" s="25" t="str">
        <f aca="false">IF(OR(E520="",E520="!!!",F520="NEW"),"",INDEX(O$2:O484,-1+SUMPRODUCT(MAX(ROW(R$2:R484)*(E520=R$2:R484)))))</f>
        <v/>
      </c>
      <c r="J520" s="25" t="str">
        <f aca="true">IF(OR(E520="",E520="!!!",F520="NEW"),"",COUNTBLANK(OFFSET(N$1,,,SUMPRODUCT(MAX(ROW(R$2:R485)*(E520=R$2:R485)))))-COUNTBLANK(OFFSET(N$1,,,SUMPRODUCT(MAX(ROW(R$1:R484)*(R2=R$1:R484))))))</f>
        <v/>
      </c>
      <c r="K520" s="25" t="str">
        <f aca="false">IF(OR(E520="",E520="!!!",F520="NEW"),"",INDEX(W$1:W484,SUMPRODUCT(MAX(ROW(R$1:R484)*(E520=R$1:R484)))))</f>
        <v/>
      </c>
      <c r="L520" s="26"/>
    </row>
    <row r="521" customFormat="false" ht="14.25" hidden="false" customHeight="false" outlineLevel="0" collapsed="false">
      <c r="A521" s="0" t="s">
        <v>501</v>
      </c>
      <c r="E521" s="21" t="str">
        <f aca="false">IF(Q486="?OLD","!!!","")</f>
        <v/>
      </c>
      <c r="F521" s="22" t="str">
        <f aca="false">IF(OR(E521="",E521="!!!"),"",IF(NOT(ISNA(VLOOKUP(E521,R$1:R485,1,FALSE()))),"OLD",IF(AND(E521&lt;&gt;"",E521&lt;&gt;"!!!"),"NEW","")))</f>
        <v/>
      </c>
      <c r="G521" s="23" t="str">
        <f aca="false"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aca="false">IF(J521&lt;&gt;1,"",IF(I521="SBJ","CB","?"))</f>
        <v/>
      </c>
      <c r="I521" s="25" t="str">
        <f aca="false">IF(OR(E521="",E521="!!!",F521="NEW"),"",INDEX(O$2:O485,-1+SUMPRODUCT(MAX(ROW(R$2:R485)*(E521=R$2:R485)))))</f>
        <v/>
      </c>
      <c r="J521" s="25" t="str">
        <f aca="true">IF(OR(E521="",E521="!!!",F521="NEW"),"",COUNTBLANK(OFFSET(N$1,,,SUMPRODUCT(MAX(ROW(R$2:R486)*(E521=R$2:R486)))))-COUNTBLANK(OFFSET(N$1,,,SUMPRODUCT(MAX(ROW(R$1:R485)*(R2=R$1:R485))))))</f>
        <v/>
      </c>
      <c r="K521" s="25" t="str">
        <f aca="false">IF(OR(E521="",E521="!!!",F521="NEW"),"",INDEX(W$1:W485,SUMPRODUCT(MAX(ROW(R$1:R485)*(E521=R$1:R485)))))</f>
        <v/>
      </c>
      <c r="L521" s="26"/>
    </row>
    <row r="522" customFormat="false" ht="14.25" hidden="false" customHeight="false" outlineLevel="0" collapsed="false">
      <c r="A522" s="0" t="s">
        <v>375</v>
      </c>
      <c r="B522" s="20" t="s">
        <v>224</v>
      </c>
      <c r="C522" s="20" t="s">
        <v>146</v>
      </c>
      <c r="E522" s="21" t="s">
        <v>502</v>
      </c>
      <c r="F522" s="22" t="str">
        <f aca="false">IF(OR(E522="",E522="!!!"),"",IF(NOT(ISNA(VLOOKUP(E522,R$1:R486,1,FALSE()))),"OLD",IF(AND(E522&lt;&gt;"",E522&lt;&gt;"!!!"),"NEW","")))</f>
        <v>NEW</v>
      </c>
      <c r="G522" s="23" t="str">
        <f aca="false"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?REFERENTIAL</v>
      </c>
      <c r="H522" s="24" t="str">
        <f aca="false">IF(J522&lt;&gt;1,"",IF(I522="SBJ","CB","?"))</f>
        <v/>
      </c>
      <c r="I522" s="25" t="str">
        <f aca="false">IF(OR(E522="",E522="!!!",F522="NEW"),"",INDEX(O$2:O486,-1+SUMPRODUCT(MAX(ROW(R$2:R486)*(E522=R$2:R486)))))</f>
        <v/>
      </c>
      <c r="J522" s="25" t="str">
        <f aca="true">IF(OR(E522="",E522="!!!",F522="NEW"),"",COUNTBLANK(OFFSET(N$1,,,SUMPRODUCT(MAX(ROW(R$2:R487)*(E522=R$2:R487)))))-COUNTBLANK(OFFSET(N$1,,,SUMPRODUCT(MAX(ROW(R$1:R486)*(R2=R$1:R486))))))</f>
        <v/>
      </c>
      <c r="K522" s="25" t="str">
        <f aca="false">IF(OR(E522="",E522="!!!",F522="NEW"),"",INDEX(W$1:W486,SUMPRODUCT(MAX(ROW(R$1:R486)*(E522=R$1:R486)))))</f>
        <v/>
      </c>
      <c r="L522" s="26"/>
    </row>
    <row r="523" customFormat="false" ht="14.25" hidden="false" customHeight="false" outlineLevel="0" collapsed="false">
      <c r="A523" s="0" t="s">
        <v>140</v>
      </c>
      <c r="E523" s="21" t="str">
        <f aca="false">IF(Q488="?OLD","!!!","")</f>
        <v/>
      </c>
      <c r="F523" s="22" t="str">
        <f aca="false">IF(OR(E523="",E523="!!!"),"",IF(NOT(ISNA(VLOOKUP(E523,R$1:R487,1,FALSE()))),"OLD",IF(AND(E523&lt;&gt;"",E523&lt;&gt;"!!!"),"NEW","")))</f>
        <v/>
      </c>
      <c r="G523" s="23" t="str">
        <f aca="false"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aca="false">IF(J523&lt;&gt;1,"",IF(I523="SBJ","CB","?"))</f>
        <v/>
      </c>
      <c r="I523" s="25" t="str">
        <f aca="false">IF(OR(E523="",E523="!!!",F523="NEW"),"",INDEX(O$2:O487,-1+SUMPRODUCT(MAX(ROW(R$2:R487)*(E523=R$2:R487)))))</f>
        <v/>
      </c>
      <c r="J523" s="25" t="str">
        <f aca="true">IF(OR(E523="",E523="!!!",F523="NEW"),"",COUNTBLANK(OFFSET(N$1,,,SUMPRODUCT(MAX(ROW(R$2:R488)*(E523=R$2:R488)))))-COUNTBLANK(OFFSET(N$1,,,SUMPRODUCT(MAX(ROW(R$1:R487)*(R2=R$1:R487))))))</f>
        <v/>
      </c>
      <c r="K523" s="25" t="str">
        <f aca="false">IF(OR(E523="",E523="!!!",F523="NEW"),"",INDEX(W$1:W487,SUMPRODUCT(MAX(ROW(R$1:R487)*(E523=R$1:R487)))))</f>
        <v/>
      </c>
      <c r="L523" s="26"/>
      <c r="O523" s="20"/>
      <c r="P523" s="20"/>
    </row>
    <row r="524" customFormat="false" ht="14.25" hidden="false" customHeight="false" outlineLevel="0" collapsed="false">
      <c r="A524" s="0" t="s">
        <v>344</v>
      </c>
      <c r="E524" s="21" t="str">
        <f aca="false">IF(Q489="?OLD","!!!","")</f>
        <v/>
      </c>
      <c r="F524" s="22" t="str">
        <f aca="false">IF(OR(E524="",E524="!!!"),"",IF(NOT(ISNA(VLOOKUP(E524,R$1:R488,1,FALSE()))),"OLD",IF(AND(E524&lt;&gt;"",E524&lt;&gt;"!!!"),"NEW","")))</f>
        <v/>
      </c>
      <c r="G524" s="23" t="str">
        <f aca="false"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aca="false">IF(J524&lt;&gt;1,"",IF(I524="SBJ","CB","?"))</f>
        <v/>
      </c>
      <c r="I524" s="25" t="str">
        <f aca="false">IF(OR(E524="",E524="!!!",F524="NEW"),"",INDEX(O$2:O488,-1+SUMPRODUCT(MAX(ROW(R$2:R488)*(E524=R$2:R488)))))</f>
        <v/>
      </c>
      <c r="J524" s="25" t="str">
        <f aca="true">IF(OR(E524="",E524="!!!",F524="NEW"),"",COUNTBLANK(OFFSET(N$1,,,SUMPRODUCT(MAX(ROW(R$2:R489)*(E524=R$2:R489)))))-COUNTBLANK(OFFSET(N$1,,,SUMPRODUCT(MAX(ROW(R$1:R488)*(R2=R$1:R488))))))</f>
        <v/>
      </c>
      <c r="K524" s="25" t="str">
        <f aca="false">IF(OR(E524="",E524="!!!",F524="NEW"),"",INDEX(W$1:W488,SUMPRODUCT(MAX(ROW(R$1:R488)*(E524=R$1:R488)))))</f>
        <v/>
      </c>
      <c r="L524" s="26"/>
    </row>
    <row r="525" customFormat="false" ht="23.85" hidden="false" customHeight="false" outlineLevel="0" collapsed="false">
      <c r="A525" s="0" t="s">
        <v>503</v>
      </c>
      <c r="B525" s="20" t="s">
        <v>150</v>
      </c>
      <c r="C525" s="20" t="s">
        <v>134</v>
      </c>
      <c r="D525" s="20" t="s">
        <v>125</v>
      </c>
      <c r="E525" s="21" t="s">
        <v>504</v>
      </c>
      <c r="F525" s="22" t="s">
        <v>259</v>
      </c>
      <c r="G525" s="23" t="str">
        <f aca="false"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?REFERENTIAL</v>
      </c>
      <c r="H525" s="24" t="str">
        <f aca="false">IF(J525&lt;&gt;1,"",IF(I525="SBJ","CB","?"))</f>
        <v/>
      </c>
      <c r="I525" s="25" t="str">
        <f aca="false">IF(OR(E525="",E525="!!!",F525="NEW"),"",INDEX(O$2:O489,-1+SUMPRODUCT(MAX(ROW(R$2:R489)*(E525=R$2:R489)))))</f>
        <v/>
      </c>
      <c r="J525" s="25" t="str">
        <f aca="true">IF(OR(E525="",E525="!!!",F525="NEW"),"",COUNTBLANK(OFFSET(N$1,,,SUMPRODUCT(MAX(ROW(R$2:R490)*(E525=R$2:R490)))))-COUNTBLANK(OFFSET(N$1,,,SUMPRODUCT(MAX(ROW(R$1:R489)*(R2=R$1:R489))))))</f>
        <v/>
      </c>
      <c r="K525" s="25" t="str">
        <f aca="false">IF(OR(E525="",E525="!!!",F525="NEW"),"",INDEX(W$1:W489,SUMPRODUCT(MAX(ROW(R$1:R489)*(E525=R$1:R489)))))</f>
        <v/>
      </c>
      <c r="L525" s="26" t="s">
        <v>505</v>
      </c>
      <c r="O525" s="20"/>
      <c r="P525" s="20"/>
    </row>
    <row r="526" customFormat="false" ht="14.25" hidden="false" customHeight="false" outlineLevel="0" collapsed="false">
      <c r="A526" s="0" t="s">
        <v>11</v>
      </c>
      <c r="E526" s="21" t="str">
        <f aca="false">IF(Q491="?OLD","!!!","")</f>
        <v/>
      </c>
      <c r="F526" s="22" t="str">
        <f aca="false">IF(OR(E526="",E526="!!!"),"",IF(NOT(ISNA(VLOOKUP(E526,R$1:R490,1,FALSE()))),"OLD",IF(AND(E526&lt;&gt;"",E526&lt;&gt;"!!!"),"NEW","")))</f>
        <v/>
      </c>
      <c r="G526" s="23" t="str">
        <f aca="false"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aca="false">IF(J526&lt;&gt;1,"",IF(I526="SBJ","CB","?"))</f>
        <v/>
      </c>
      <c r="I526" s="25" t="str">
        <f aca="false">IF(OR(E526="",E526="!!!",F526="NEW"),"",INDEX(O$2:O490,-1+SUMPRODUCT(MAX(ROW(R$2:R490)*(E526=R$2:R490)))))</f>
        <v/>
      </c>
      <c r="J526" s="25" t="str">
        <f aca="true">IF(OR(E526="",E526="!!!",F526="NEW"),"",COUNTBLANK(OFFSET(N$1,,,SUMPRODUCT(MAX(ROW(R$2:R491)*(E526=R$2:R491)))))-COUNTBLANK(OFFSET(N$1,,,SUMPRODUCT(MAX(ROW(R$1:R490)*(R2=R$1:R490))))))</f>
        <v/>
      </c>
      <c r="K526" s="25" t="str">
        <f aca="false">IF(OR(E526="",E526="!!!",F526="NEW"),"",INDEX(W$1:W490,SUMPRODUCT(MAX(ROW(R$1:R490)*(E526=R$1:R490)))))</f>
        <v/>
      </c>
      <c r="L526" s="26"/>
    </row>
    <row r="527" customFormat="false" ht="14.25" hidden="false" customHeight="false" outlineLevel="0" collapsed="false">
      <c r="A527" s="0" t="s">
        <v>506</v>
      </c>
      <c r="E527" s="21"/>
      <c r="F527" s="22" t="s">
        <v>311</v>
      </c>
      <c r="G527" s="23" t="str">
        <f aca="false"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aca="false">IF(J527&lt;&gt;1,"",IF(I527="SBJ","CB","?"))</f>
        <v/>
      </c>
      <c r="I527" s="25" t="str">
        <f aca="false">IF(OR(E527="",E527="!!!",F527="NEW"),"",INDEX(O$2:O491,-1+SUMPRODUCT(MAX(ROW(R$2:R491)*(E527=R$2:R491)))))</f>
        <v/>
      </c>
      <c r="J527" s="25" t="str">
        <f aca="true">IF(OR(E527="",E527="!!!",F527="NEW"),"",COUNTBLANK(OFFSET(N$1,,,SUMPRODUCT(MAX(ROW(R$2:R492)*(E527=R$2:R492)))))-COUNTBLANK(OFFSET(N$1,,,SUMPRODUCT(MAX(ROW(R$1:R491)*(R2=R$1:R491))))))</f>
        <v/>
      </c>
      <c r="K527" s="25" t="str">
        <f aca="false">IF(OR(E527="",E527="!!!",F527="NEW"),"",INDEX(W$1:W491,SUMPRODUCT(MAX(ROW(R$1:R491)*(E527=R$1:R491)))))</f>
        <v/>
      </c>
      <c r="L527" s="26"/>
    </row>
    <row r="528" customFormat="false" ht="14.25" hidden="false" customHeight="false" outlineLevel="0" collapsed="false">
      <c r="A528" s="0" t="s">
        <v>140</v>
      </c>
      <c r="E528" s="21" t="str">
        <f aca="false">IF(Q493="?OLD","!!!","")</f>
        <v/>
      </c>
      <c r="F528" s="22" t="str">
        <f aca="false">IF(OR(E528="",E528="!!!"),"",IF(NOT(ISNA(VLOOKUP(E528,R$1:R492,1,FALSE()))),"OLD",IF(AND(E528&lt;&gt;"",E528&lt;&gt;"!!!"),"NEW","")))</f>
        <v/>
      </c>
      <c r="G528" s="23" t="str">
        <f aca="false"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aca="false">IF(J528&lt;&gt;1,"",IF(I528="SBJ","CB","?"))</f>
        <v/>
      </c>
      <c r="I528" s="25" t="str">
        <f aca="false">IF(OR(E528="",E528="!!!",F528="NEW"),"",INDEX(O$2:O492,-1+SUMPRODUCT(MAX(ROW(R$2:R492)*(E528=R$2:R492)))))</f>
        <v/>
      </c>
      <c r="J528" s="25" t="str">
        <f aca="true">IF(OR(E528="",E528="!!!",F528="NEW"),"",COUNTBLANK(OFFSET(N$1,,,SUMPRODUCT(MAX(ROW(R$2:R493)*(E528=R$2:R493)))))-COUNTBLANK(OFFSET(N$1,,,SUMPRODUCT(MAX(ROW(R$1:R492)*(R2=R$1:R492))))))</f>
        <v/>
      </c>
      <c r="K528" s="25" t="str">
        <f aca="false">IF(OR(E528="",E528="!!!",F528="NEW"),"",INDEX(W$1:W492,SUMPRODUCT(MAX(ROW(R$1:R492)*(E528=R$1:R492)))))</f>
        <v/>
      </c>
      <c r="L528" s="26"/>
    </row>
    <row r="529" customFormat="false" ht="14.25" hidden="false" customHeight="false" outlineLevel="0" collapsed="false">
      <c r="A529" s="0" t="s">
        <v>263</v>
      </c>
      <c r="B529" s="20" t="s">
        <v>496</v>
      </c>
      <c r="C529" s="20" t="s">
        <v>209</v>
      </c>
      <c r="D529" s="20" t="s">
        <v>125</v>
      </c>
      <c r="E529" s="21"/>
      <c r="F529" s="22" t="str">
        <f aca="false">IF(OR(E529="",E529="!!!"),"",IF(NOT(ISNA(VLOOKUP(E529,R$1:R493,1,FALSE()))),"OLD",IF(AND(E529&lt;&gt;"",E529&lt;&gt;"!!!"),"NEW","")))</f>
        <v/>
      </c>
      <c r="G529" s="23" t="str">
        <f aca="false"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aca="false">IF(J529&lt;&gt;1,"",IF(I529="SBJ","CB","?"))</f>
        <v/>
      </c>
      <c r="I529" s="25" t="str">
        <f aca="false">IF(OR(E529="",E529="!!!",F529="NEW"),"",INDEX(O$2:O493,-1+SUMPRODUCT(MAX(ROW(R$2:R493)*(E529=R$2:R493)))))</f>
        <v/>
      </c>
      <c r="J529" s="25" t="str">
        <f aca="true">IF(OR(E529="",E529="!!!",F529="NEW"),"",COUNTBLANK(OFFSET(N$1,,,SUMPRODUCT(MAX(ROW(R$2:R494)*(E529=R$2:R494)))))-COUNTBLANK(OFFSET(N$1,,,SUMPRODUCT(MAX(ROW(R$1:R493)*(R2=R$1:R493))))))</f>
        <v/>
      </c>
      <c r="K529" s="25" t="str">
        <f aca="false">IF(OR(E529="",E529="!!!",F529="NEW"),"",INDEX(W$1:W493,SUMPRODUCT(MAX(ROW(R$1:R493)*(E529=R$1:R493)))))</f>
        <v/>
      </c>
      <c r="L529" s="26" t="s">
        <v>507</v>
      </c>
    </row>
    <row r="530" customFormat="false" ht="14.25" hidden="false" customHeight="false" outlineLevel="0" collapsed="false">
      <c r="A530" s="0" t="s">
        <v>508</v>
      </c>
      <c r="E530" s="21" t="str">
        <f aca="false">IF(Q495="?OLD","!!!","")</f>
        <v/>
      </c>
      <c r="F530" s="22" t="str">
        <f aca="false">IF(OR(E530="",E530="!!!"),"",IF(NOT(ISNA(VLOOKUP(E530,R$1:R494,1,FALSE()))),"OLD",IF(AND(E530&lt;&gt;"",E530&lt;&gt;"!!!"),"NEW","")))</f>
        <v/>
      </c>
      <c r="G530" s="23" t="str">
        <f aca="false"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aca="false">IF(J530&lt;&gt;1,"",IF(I530="SBJ","CB","?"))</f>
        <v/>
      </c>
      <c r="I530" s="25" t="str">
        <f aca="false">IF(OR(E530="",E530="!!!",F530="NEW"),"",INDEX(O$2:O494,-1+SUMPRODUCT(MAX(ROW(R$2:R494)*(E530=R$2:R494)))))</f>
        <v/>
      </c>
      <c r="J530" s="25" t="str">
        <f aca="true">IF(OR(E530="",E530="!!!",F530="NEW"),"",COUNTBLANK(OFFSET(N$1,,,SUMPRODUCT(MAX(ROW(R$2:R495)*(E530=R$2:R495)))))-COUNTBLANK(OFFSET(N$1,,,SUMPRODUCT(MAX(ROW(R$1:R494)*(R2=R$1:R494))))))</f>
        <v/>
      </c>
      <c r="K530" s="25" t="str">
        <f aca="false">IF(OR(E530="",E530="!!!",F530="NEW"),"",INDEX(W$1:W494,SUMPRODUCT(MAX(ROW(R$1:R494)*(E530=R$1:R494)))))</f>
        <v/>
      </c>
      <c r="L530" s="26"/>
    </row>
    <row r="531" customFormat="false" ht="14.25" hidden="false" customHeight="false" outlineLevel="0" collapsed="false">
      <c r="A531" s="0" t="s">
        <v>509</v>
      </c>
      <c r="E531" s="21" t="str">
        <f aca="false">IF(Q496="?OLD","!!!","")</f>
        <v/>
      </c>
      <c r="F531" s="22" t="str">
        <f aca="false">IF(OR(E531="",E531="!!!"),"",IF(NOT(ISNA(VLOOKUP(E531,R$1:R495,1,FALSE()))),"OLD",IF(AND(E531&lt;&gt;"",E531&lt;&gt;"!!!"),"NEW","")))</f>
        <v/>
      </c>
      <c r="G531" s="23" t="str">
        <f aca="false"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aca="false">IF(J531&lt;&gt;1,"",IF(I531="SBJ","CB","?"))</f>
        <v/>
      </c>
      <c r="I531" s="25" t="str">
        <f aca="false">IF(OR(E531="",E531="!!!",F531="NEW"),"",INDEX(O$2:O495,-1+SUMPRODUCT(MAX(ROW(R$2:R495)*(E531=R$2:R495)))))</f>
        <v/>
      </c>
      <c r="J531" s="25" t="str">
        <f aca="true">IF(OR(E531="",E531="!!!",F531="NEW"),"",COUNTBLANK(OFFSET(N$1,,,SUMPRODUCT(MAX(ROW(R$2:R496)*(E531=R$2:R496)))))-COUNTBLANK(OFFSET(N$1,,,SUMPRODUCT(MAX(ROW(R$1:R495)*(R2=R$1:R495))))))</f>
        <v/>
      </c>
      <c r="K531" s="25" t="str">
        <f aca="false">IF(OR(E531="",E531="!!!",F531="NEW"),"",INDEX(W$1:W495,SUMPRODUCT(MAX(ROW(R$1:R495)*(E531=R$1:R495)))))</f>
        <v/>
      </c>
      <c r="L531" s="26"/>
    </row>
    <row r="532" customFormat="false" ht="14.25" hidden="false" customHeight="false" outlineLevel="0" collapsed="false">
      <c r="A532" s="0" t="s">
        <v>92</v>
      </c>
      <c r="E532" s="21" t="str">
        <f aca="false">IF(Q497="?OLD","!!!","")</f>
        <v/>
      </c>
      <c r="F532" s="22" t="str">
        <f aca="false">IF(OR(E532="",E532="!!!"),"",IF(NOT(ISNA(VLOOKUP(E532,R$1:R496,1,FALSE()))),"OLD",IF(AND(E532&lt;&gt;"",E532&lt;&gt;"!!!"),"NEW","")))</f>
        <v/>
      </c>
      <c r="G532" s="23" t="str">
        <f aca="false"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aca="false">IF(J532&lt;&gt;1,"",IF(I532="SBJ","CB","?"))</f>
        <v/>
      </c>
      <c r="I532" s="25" t="str">
        <f aca="false">IF(OR(E532="",E532="!!!",F532="NEW"),"",INDEX(O$2:O496,-1+SUMPRODUCT(MAX(ROW(R$2:R496)*(E532=R$2:R496)))))</f>
        <v/>
      </c>
      <c r="J532" s="25" t="str">
        <f aca="true">IF(OR(E532="",E532="!!!",F532="NEW"),"",COUNTBLANK(OFFSET(N$1,,,SUMPRODUCT(MAX(ROW(R$2:R497)*(E532=R$2:R497)))))-COUNTBLANK(OFFSET(N$1,,,SUMPRODUCT(MAX(ROW(R$1:R496)*(R2=R$1:R496))))))</f>
        <v/>
      </c>
      <c r="K532" s="25" t="str">
        <f aca="false">IF(OR(E532="",E532="!!!",F532="NEW"),"",INDEX(W$1:W496,SUMPRODUCT(MAX(ROW(R$1:R496)*(E532=R$1:R496)))))</f>
        <v/>
      </c>
      <c r="L532" s="26"/>
    </row>
    <row r="533" customFormat="false" ht="14.25" hidden="false" customHeight="false" outlineLevel="0" collapsed="false">
      <c r="A533" s="0" t="s">
        <v>343</v>
      </c>
      <c r="B533" s="20" t="s">
        <v>412</v>
      </c>
      <c r="C533" s="20" t="s">
        <v>188</v>
      </c>
      <c r="E533" s="21" t="str">
        <f aca="false">IF(Q498="?OLD","!!!","")</f>
        <v/>
      </c>
      <c r="F533" s="22" t="str">
        <f aca="false">IF(OR(E533="",E533="!!!"),"",IF(NOT(ISNA(VLOOKUP(E533,R$1:R497,1,FALSE()))),"OLD",IF(AND(E533&lt;&gt;"",E533&lt;&gt;"!!!"),"NEW","")))</f>
        <v/>
      </c>
      <c r="G533" s="23" t="str">
        <f aca="false"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aca="false">IF(J533&lt;&gt;1,"",IF(I533="SBJ","CB","?"))</f>
        <v/>
      </c>
      <c r="I533" s="25" t="str">
        <f aca="false">IF(OR(E533="",E533="!!!",F533="NEW"),"",INDEX(O$2:O497,-1+SUMPRODUCT(MAX(ROW(R$2:R497)*(E533=R$2:R497)))))</f>
        <v/>
      </c>
      <c r="J533" s="25" t="str">
        <f aca="true">IF(OR(E533="",E533="!!!",F533="NEW"),"",COUNTBLANK(OFFSET(N$1,,,SUMPRODUCT(MAX(ROW(R$2:R498)*(E533=R$2:R498)))))-COUNTBLANK(OFFSET(N$1,,,SUMPRODUCT(MAX(ROW(R$1:R497)*(R2=R$1:R497))))))</f>
        <v/>
      </c>
      <c r="K533" s="25" t="str">
        <f aca="false">IF(OR(E533="",E533="!!!",F533="NEW"),"",INDEX(W$1:W497,SUMPRODUCT(MAX(ROW(R$1:R497)*(E533=R$1:R497)))))</f>
        <v/>
      </c>
      <c r="L533" s="26"/>
    </row>
    <row r="534" customFormat="false" ht="14.25" hidden="false" customHeight="false" outlineLevel="0" collapsed="false">
      <c r="A534" s="0" t="s">
        <v>198</v>
      </c>
      <c r="E534" s="21" t="str">
        <f aca="false">IF(Q499="?OLD","!!!","")</f>
        <v/>
      </c>
      <c r="F534" s="22" t="str">
        <f aca="false">IF(OR(E534="",E534="!!!"),"",IF(NOT(ISNA(VLOOKUP(E534,R$1:R498,1,FALSE()))),"OLD",IF(AND(E534&lt;&gt;"",E534&lt;&gt;"!!!"),"NEW","")))</f>
        <v/>
      </c>
      <c r="G534" s="23" t="str">
        <f aca="false"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aca="false">IF(J534&lt;&gt;1,"",IF(I534="SBJ","CB","?"))</f>
        <v/>
      </c>
      <c r="I534" s="25" t="str">
        <f aca="false">IF(OR(E534="",E534="!!!",F534="NEW"),"",INDEX(O$2:O498,-1+SUMPRODUCT(MAX(ROW(R$2:R498)*(E534=R$2:R498)))))</f>
        <v/>
      </c>
      <c r="J534" s="25" t="str">
        <f aca="true">IF(OR(E534="",E534="!!!",F534="NEW"),"",COUNTBLANK(OFFSET(N$1,,,SUMPRODUCT(MAX(ROW(R$2:R499)*(E534=R$2:R499)))))-COUNTBLANK(OFFSET(N$1,,,SUMPRODUCT(MAX(ROW(R$1:R498)*(R2=R$1:R498))))))</f>
        <v/>
      </c>
      <c r="K534" s="25" t="str">
        <f aca="false">IF(OR(E534="",E534="!!!",F534="NEW"),"",INDEX(W$1:W498,SUMPRODUCT(MAX(ROW(R$1:R498)*(E534=R$1:R498)))))</f>
        <v/>
      </c>
      <c r="L534" s="26"/>
      <c r="O534" s="20"/>
      <c r="P534" s="20"/>
    </row>
    <row r="535" customFormat="false" ht="14.25" hidden="false" customHeight="false" outlineLevel="0" collapsed="false">
      <c r="A535" s="0" t="s">
        <v>163</v>
      </c>
      <c r="E535" s="21" t="str">
        <f aca="false">IF(Q500="?OLD","!!!","")</f>
        <v/>
      </c>
      <c r="F535" s="22" t="str">
        <f aca="false">IF(OR(E535="",E535="!!!"),"",IF(NOT(ISNA(VLOOKUP(E535,R$1:R499,1,FALSE()))),"OLD",IF(AND(E535&lt;&gt;"",E535&lt;&gt;"!!!"),"NEW","")))</f>
        <v/>
      </c>
      <c r="G535" s="23" t="str">
        <f aca="false"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aca="false">IF(J535&lt;&gt;1,"",IF(I535="SBJ","CB","?"))</f>
        <v/>
      </c>
      <c r="I535" s="25" t="str">
        <f aca="false">IF(OR(E535="",E535="!!!",F535="NEW"),"",INDEX(O$2:O499,-1+SUMPRODUCT(MAX(ROW(R$2:R499)*(E535=R$2:R499)))))</f>
        <v/>
      </c>
      <c r="J535" s="25" t="str">
        <f aca="true">IF(OR(E535="",E535="!!!",F535="NEW"),"",COUNTBLANK(OFFSET(N$1,,,SUMPRODUCT(MAX(ROW(R$2:R500)*(E535=R$2:R500)))))-COUNTBLANK(OFFSET(N$1,,,SUMPRODUCT(MAX(ROW(R$1:R499)*(R2=R$1:R499))))))</f>
        <v/>
      </c>
      <c r="K535" s="25" t="str">
        <f aca="false">IF(OR(E535="",E535="!!!",F535="NEW"),"",INDEX(W$1:W499,SUMPRODUCT(MAX(ROW(R$1:R499)*(E535=R$1:R499)))))</f>
        <v/>
      </c>
      <c r="L535" s="26"/>
    </row>
    <row r="536" customFormat="false" ht="14.25" hidden="false" customHeight="false" outlineLevel="0" collapsed="false">
      <c r="A536" s="0" t="s">
        <v>138</v>
      </c>
      <c r="E536" s="21" t="str">
        <f aca="false">IF(Q501="?OLD","!!!","")</f>
        <v/>
      </c>
      <c r="F536" s="22" t="str">
        <f aca="false">IF(OR(E536="",E536="!!!"),"",IF(NOT(ISNA(VLOOKUP(E536,R$1:R500,1,FALSE()))),"OLD",IF(AND(E536&lt;&gt;"",E536&lt;&gt;"!!!"),"NEW","")))</f>
        <v/>
      </c>
      <c r="G536" s="23" t="str">
        <f aca="false"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aca="false">IF(J536&lt;&gt;1,"",IF(I536="SBJ","CB","?"))</f>
        <v/>
      </c>
      <c r="I536" s="25" t="str">
        <f aca="false">IF(OR(E536="",E536="!!!",F536="NEW"),"",INDEX(O$2:O500,-1+SUMPRODUCT(MAX(ROW(R$2:R500)*(E536=R$2:R500)))))</f>
        <v/>
      </c>
      <c r="J536" s="25" t="str">
        <f aca="true">IF(OR(E536="",E536="!!!",F536="NEW"),"",COUNTBLANK(OFFSET(N$1,,,SUMPRODUCT(MAX(ROW(R$2:R501)*(E536=R$2:R501)))))-COUNTBLANK(OFFSET(N$1,,,SUMPRODUCT(MAX(ROW(R$1:R500)*(R2=R$1:R500))))))</f>
        <v/>
      </c>
      <c r="K536" s="25" t="str">
        <f aca="false">IF(OR(E536="",E536="!!!",F536="NEW"),"",INDEX(W$1:W500,SUMPRODUCT(MAX(ROW(R$1:R500)*(E536=R$1:R500)))))</f>
        <v/>
      </c>
      <c r="L536" s="26"/>
      <c r="O536" s="20"/>
      <c r="P536" s="20"/>
    </row>
    <row r="537" customFormat="false" ht="14.25" hidden="false" customHeight="false" outlineLevel="0" collapsed="false">
      <c r="A537" s="0" t="s">
        <v>510</v>
      </c>
      <c r="E537" s="21" t="str">
        <f aca="false">IF(Q502="?OLD","!!!","")</f>
        <v/>
      </c>
      <c r="F537" s="22" t="str">
        <f aca="false">IF(OR(E537="",E537="!!!"),"",IF(NOT(ISNA(VLOOKUP(E537,R$1:R501,1,FALSE()))),"OLD",IF(AND(E537&lt;&gt;"",E537&lt;&gt;"!!!"),"NEW","")))</f>
        <v/>
      </c>
      <c r="G537" s="23" t="str">
        <f aca="false"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aca="false">IF(J537&lt;&gt;1,"",IF(I537="SBJ","CB","?"))</f>
        <v/>
      </c>
      <c r="I537" s="25" t="str">
        <f aca="false">IF(OR(E537="",E537="!!!",F537="NEW"),"",INDEX(O$2:O501,-1+SUMPRODUCT(MAX(ROW(R$2:R501)*(E537=R$2:R501)))))</f>
        <v/>
      </c>
      <c r="J537" s="25" t="str">
        <f aca="true">IF(OR(E537="",E537="!!!",F537="NEW"),"",COUNTBLANK(OFFSET(N$1,,,SUMPRODUCT(MAX(ROW(R$2:R502)*(E537=R$2:R502)))))-COUNTBLANK(OFFSET(N$1,,,SUMPRODUCT(MAX(ROW(R$1:R501)*(R2=R$1:R501))))))</f>
        <v/>
      </c>
      <c r="K537" s="25" t="str">
        <f aca="false">IF(OR(E537="",E537="!!!",F537="NEW"),"",INDEX(W$1:W501,SUMPRODUCT(MAX(ROW(R$1:R501)*(E537=R$1:R501)))))</f>
        <v/>
      </c>
      <c r="L537" s="26"/>
    </row>
    <row r="538" customFormat="false" ht="14.25" hidden="false" customHeight="false" outlineLevel="0" collapsed="false">
      <c r="A538" s="0" t="s">
        <v>511</v>
      </c>
      <c r="E538" s="21" t="str">
        <f aca="false">IF(Q503="?OLD","!!!","")</f>
        <v/>
      </c>
      <c r="F538" s="22" t="str">
        <f aca="false">IF(OR(E538="",E538="!!!"),"",IF(NOT(ISNA(VLOOKUP(E538,R$1:R502,1,FALSE()))),"OLD",IF(AND(E538&lt;&gt;"",E538&lt;&gt;"!!!"),"NEW","")))</f>
        <v/>
      </c>
      <c r="G538" s="23" t="str">
        <f aca="false"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aca="false">IF(J538&lt;&gt;1,"",IF(I538="SBJ","CB","?"))</f>
        <v/>
      </c>
      <c r="I538" s="25" t="str">
        <f aca="false">IF(OR(E538="",E538="!!!",F538="NEW"),"",INDEX(O$2:O502,-1+SUMPRODUCT(MAX(ROW(R$2:R502)*(E538=R$2:R502)))))</f>
        <v/>
      </c>
      <c r="J538" s="25" t="str">
        <f aca="true">IF(OR(E538="",E538="!!!",F538="NEW"),"",COUNTBLANK(OFFSET(N$1,,,SUMPRODUCT(MAX(ROW(R$2:R503)*(E538=R$2:R503)))))-COUNTBLANK(OFFSET(N$1,,,SUMPRODUCT(MAX(ROW(R$1:R502)*(R2=R$1:R502))))))</f>
        <v/>
      </c>
      <c r="K538" s="25" t="str">
        <f aca="false">IF(OR(E538="",E538="!!!",F538="NEW"),"",INDEX(W$1:W502,SUMPRODUCT(MAX(ROW(R$1:R502)*(E538=R$1:R502)))))</f>
        <v/>
      </c>
      <c r="L538" s="26"/>
      <c r="O538" s="20"/>
      <c r="P538" s="20"/>
    </row>
    <row r="539" customFormat="false" ht="14.25" hidden="false" customHeight="false" outlineLevel="0" collapsed="false">
      <c r="A539" s="0" t="s">
        <v>297</v>
      </c>
      <c r="B539" s="20" t="s">
        <v>224</v>
      </c>
      <c r="C539" s="20" t="s">
        <v>155</v>
      </c>
      <c r="E539" s="21" t="s">
        <v>299</v>
      </c>
      <c r="F539" s="22" t="str">
        <f aca="false">IF(OR(E539="",E539="!!!"),"",IF(NOT(ISNA(VLOOKUP(E539,R$1:R503,1,FALSE()))),"OLD",IF(AND(E539&lt;&gt;"",E539&lt;&gt;"!!!"),"NEW","")))</f>
        <v>NEW</v>
      </c>
      <c r="G539" s="23" t="str">
        <f aca="false"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?REFERENTIAL</v>
      </c>
      <c r="H539" s="24" t="str">
        <f aca="false">IF(J539&lt;&gt;1,"",IF(I539="SBJ","CB","?"))</f>
        <v/>
      </c>
      <c r="I539" s="25" t="str">
        <f aca="false">IF(OR(E539="",E539="!!!",F539="NEW"),"",INDEX(O$2:O503,-1+SUMPRODUCT(MAX(ROW(R$2:R503)*(E539=R$2:R503)))))</f>
        <v/>
      </c>
      <c r="J539" s="25" t="str">
        <f aca="true">IF(OR(E539="",E539="!!!",F539="NEW"),"",COUNTBLANK(OFFSET(N$1,,,SUMPRODUCT(MAX(ROW(R$2:R504)*(E539=R$2:R504)))))-COUNTBLANK(OFFSET(N$1,,,SUMPRODUCT(MAX(ROW(R$1:R503)*(R2=R$1:R503))))))</f>
        <v/>
      </c>
      <c r="K539" s="25" t="str">
        <f aca="false">IF(OR(E539="",E539="!!!",F539="NEW"),"",INDEX(W$1:W503,SUMPRODUCT(MAX(ROW(R$1:R503)*(E539=R$1:R503)))))</f>
        <v/>
      </c>
      <c r="L539" s="26"/>
      <c r="O539" s="20"/>
      <c r="P539" s="20"/>
    </row>
    <row r="540" customFormat="false" ht="14.25" hidden="false" customHeight="false" outlineLevel="0" collapsed="false">
      <c r="A540" s="0" t="s">
        <v>512</v>
      </c>
      <c r="E540" s="21" t="str">
        <f aca="false">IF(Q505="?OLD","!!!","")</f>
        <v/>
      </c>
      <c r="F540" s="22" t="str">
        <f aca="false">IF(OR(E540="",E540="!!!"),"",IF(NOT(ISNA(VLOOKUP(E540,R$1:R504,1,FALSE()))),"OLD",IF(AND(E540&lt;&gt;"",E540&lt;&gt;"!!!"),"NEW","")))</f>
        <v/>
      </c>
      <c r="G540" s="23" t="str">
        <f aca="false"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aca="false">IF(J540&lt;&gt;1,"",IF(I540="SBJ","CB","?"))</f>
        <v/>
      </c>
      <c r="I540" s="25" t="str">
        <f aca="false">IF(OR(E540="",E540="!!!",F540="NEW"),"",INDEX(O$2:O504,-1+SUMPRODUCT(MAX(ROW(R$2:R504)*(E540=R$2:R504)))))</f>
        <v/>
      </c>
      <c r="J540" s="25" t="str">
        <f aca="true">IF(OR(E540="",E540="!!!",F540="NEW"),"",COUNTBLANK(OFFSET(N$1,,,SUMPRODUCT(MAX(ROW(R$2:R505)*(E540=R$2:R505)))))-COUNTBLANK(OFFSET(N$1,,,SUMPRODUCT(MAX(ROW(R$1:R504)*(R2=R$1:R504))))))</f>
        <v/>
      </c>
      <c r="K540" s="25" t="str">
        <f aca="false">IF(OR(E540="",E540="!!!",F540="NEW"),"",INDEX(W$1:W504,SUMPRODUCT(MAX(ROW(R$1:R504)*(E540=R$1:R504)))))</f>
        <v/>
      </c>
      <c r="L540" s="26"/>
    </row>
    <row r="541" customFormat="false" ht="14.25" hidden="false" customHeight="false" outlineLevel="0" collapsed="false">
      <c r="A541" s="0" t="s">
        <v>499</v>
      </c>
      <c r="E541" s="21" t="str">
        <f aca="false">IF(Q506="?OLD","!!!","")</f>
        <v/>
      </c>
      <c r="F541" s="22" t="str">
        <f aca="false">IF(OR(E541="",E541="!!!"),"",IF(NOT(ISNA(VLOOKUP(E541,R$1:R505,1,FALSE()))),"OLD",IF(AND(E541&lt;&gt;"",E541&lt;&gt;"!!!"),"NEW","")))</f>
        <v/>
      </c>
      <c r="G541" s="23" t="str">
        <f aca="false"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aca="false">IF(J541&lt;&gt;1,"",IF(I541="SBJ","CB","?"))</f>
        <v/>
      </c>
      <c r="I541" s="25" t="str">
        <f aca="false">IF(OR(E541="",E541="!!!",F541="NEW"),"",INDEX(O$2:O505,-1+SUMPRODUCT(MAX(ROW(R$2:R505)*(E541=R$2:R505)))))</f>
        <v/>
      </c>
      <c r="J541" s="25" t="str">
        <f aca="true">IF(OR(E541="",E541="!!!",F541="NEW"),"",COUNTBLANK(OFFSET(N$1,,,SUMPRODUCT(MAX(ROW(R$2:R506)*(E541=R$2:R506)))))-COUNTBLANK(OFFSET(N$1,,,SUMPRODUCT(MAX(ROW(R$1:R505)*(R2=R$1:R505))))))</f>
        <v/>
      </c>
      <c r="K541" s="25" t="str">
        <f aca="false">IF(OR(E541="",E541="!!!",F541="NEW"),"",INDEX(W$1:W505,SUMPRODUCT(MAX(ROW(R$1:R505)*(E541=R$1:R505)))))</f>
        <v/>
      </c>
      <c r="L541" s="26"/>
      <c r="O541" s="20"/>
      <c r="P541" s="20"/>
      <c r="Q541" s="20"/>
    </row>
    <row r="542" customFormat="false" ht="14.25" hidden="false" customHeight="false" outlineLevel="0" collapsed="false">
      <c r="A542" s="0" t="s">
        <v>140</v>
      </c>
      <c r="E542" s="21" t="str">
        <f aca="false">IF(Q507="?OLD","!!!","")</f>
        <v/>
      </c>
      <c r="F542" s="22" t="str">
        <f aca="false">IF(OR(E542="",E542="!!!"),"",IF(NOT(ISNA(VLOOKUP(E542,R$1:R506,1,FALSE()))),"OLD",IF(AND(E542&lt;&gt;"",E542&lt;&gt;"!!!"),"NEW","")))</f>
        <v/>
      </c>
      <c r="G542" s="23" t="str">
        <f aca="false"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aca="false">IF(J542&lt;&gt;1,"",IF(I542="SBJ","CB","?"))</f>
        <v/>
      </c>
      <c r="I542" s="25" t="str">
        <f aca="false">IF(OR(E542="",E542="!!!",F542="NEW"),"",INDEX(O$2:O506,-1+SUMPRODUCT(MAX(ROW(R$2:R506)*(E542=R$2:R506)))))</f>
        <v/>
      </c>
      <c r="J542" s="25" t="str">
        <f aca="true">IF(OR(E542="",E542="!!!",F542="NEW"),"",COUNTBLANK(OFFSET(N$1,,,SUMPRODUCT(MAX(ROW(R$2:R507)*(E542=R$2:R507)))))-COUNTBLANK(OFFSET(N$1,,,SUMPRODUCT(MAX(ROW(R$1:R506)*(R2=R$1:R506))))))</f>
        <v/>
      </c>
      <c r="K542" s="25" t="str">
        <f aca="false">IF(OR(E542="",E542="!!!",F542="NEW"),"",INDEX(W$1:W506,SUMPRODUCT(MAX(ROW(R$1:R506)*(E542=R$1:R506)))))</f>
        <v/>
      </c>
      <c r="L542" s="26"/>
    </row>
    <row r="543" customFormat="false" ht="14.25" hidden="false" customHeight="false" outlineLevel="0" collapsed="false">
      <c r="A543" s="0" t="s">
        <v>513</v>
      </c>
      <c r="B543" s="20" t="s">
        <v>164</v>
      </c>
      <c r="C543" s="20" t="s">
        <v>155</v>
      </c>
      <c r="E543" s="21" t="str">
        <f aca="false">IF(Q508="?OLD","!!!","")</f>
        <v/>
      </c>
      <c r="F543" s="22" t="str">
        <f aca="false">IF(OR(E543="",E543="!!!"),"",IF(NOT(ISNA(VLOOKUP(E543,R$1:R507,1,FALSE()))),"OLD",IF(AND(E543&lt;&gt;"",E543&lt;&gt;"!!!"),"NEW","")))</f>
        <v/>
      </c>
      <c r="G543" s="23" t="str">
        <f aca="false"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aca="false">IF(J543&lt;&gt;1,"",IF(I543="SBJ","CB","?"))</f>
        <v/>
      </c>
      <c r="I543" s="25" t="str">
        <f aca="false">IF(OR(E543="",E543="!!!",F543="NEW"),"",INDEX(O$2:O507,-1+SUMPRODUCT(MAX(ROW(R$2:R507)*(E543=R$2:R507)))))</f>
        <v/>
      </c>
      <c r="J543" s="25" t="str">
        <f aca="true">IF(OR(E543="",E543="!!!",F543="NEW"),"",COUNTBLANK(OFFSET(N$1,,,SUMPRODUCT(MAX(ROW(R$2:R508)*(E543=R$2:R508)))))-COUNTBLANK(OFFSET(N$1,,,SUMPRODUCT(MAX(ROW(R$1:R507)*(R2=R$1:R507))))))</f>
        <v/>
      </c>
      <c r="K543" s="25" t="str">
        <f aca="false">IF(OR(E543="",E543="!!!",F543="NEW"),"",INDEX(W$1:W507,SUMPRODUCT(MAX(ROW(R$1:R507)*(E543=R$1:R507)))))</f>
        <v/>
      </c>
      <c r="L543" s="26"/>
    </row>
    <row r="544" customFormat="false" ht="14.25" hidden="false" customHeight="false" outlineLevel="0" collapsed="false">
      <c r="A544" s="0" t="s">
        <v>509</v>
      </c>
      <c r="E544" s="21" t="str">
        <f aca="false">IF(Q509="?OLD","!!!","")</f>
        <v/>
      </c>
      <c r="F544" s="22" t="str">
        <f aca="false">IF(OR(E544="",E544="!!!"),"",IF(NOT(ISNA(VLOOKUP(E544,R$1:R508,1,FALSE()))),"OLD",IF(AND(E544&lt;&gt;"",E544&lt;&gt;"!!!"),"NEW","")))</f>
        <v/>
      </c>
      <c r="G544" s="23" t="str">
        <f aca="false"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aca="false">IF(J544&lt;&gt;1,"",IF(I544="SBJ","CB","?"))</f>
        <v/>
      </c>
      <c r="I544" s="25" t="str">
        <f aca="false">IF(OR(E544="",E544="!!!",F544="NEW"),"",INDEX(O$2:O508,-1+SUMPRODUCT(MAX(ROW(R$2:R508)*(E544=R$2:R508)))))</f>
        <v/>
      </c>
      <c r="J544" s="25" t="str">
        <f aca="true">IF(OR(E544="",E544="!!!",F544="NEW"),"",COUNTBLANK(OFFSET(N$1,,,SUMPRODUCT(MAX(ROW(R$2:R509)*(E544=R$2:R509)))))-COUNTBLANK(OFFSET(N$1,,,SUMPRODUCT(MAX(ROW(R$1:R508)*(R2=R$1:R508))))))</f>
        <v/>
      </c>
      <c r="K544" s="25" t="str">
        <f aca="false">IF(OR(E544="",E544="!!!",F544="NEW"),"",INDEX(W$1:W508,SUMPRODUCT(MAX(ROW(R$1:R508)*(E544=R$1:R508)))))</f>
        <v/>
      </c>
      <c r="L544" s="26"/>
    </row>
    <row r="545" customFormat="false" ht="14.25" hidden="false" customHeight="false" outlineLevel="0" collapsed="false">
      <c r="A545" s="0" t="s">
        <v>514</v>
      </c>
      <c r="E545" s="21" t="s">
        <v>476</v>
      </c>
      <c r="F545" s="22" t="str">
        <f aca="false">IF(OR(E545="",E545="!!!"),"",IF(NOT(ISNA(VLOOKUP(E545,R$1:R509,1,FALSE()))),"OLD",IF(AND(E545&lt;&gt;"",E545&lt;&gt;"!!!"),"NEW","")))</f>
        <v>NEW</v>
      </c>
      <c r="G545" s="23" t="str">
        <f aca="false"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?REFERENTIAL</v>
      </c>
      <c r="H545" s="24" t="str">
        <f aca="false">IF(J545&lt;&gt;1,"",IF(I545="SBJ","CB","?"))</f>
        <v/>
      </c>
      <c r="I545" s="25" t="str">
        <f aca="false">IF(OR(E545="",E545="!!!",F545="NEW"),"",INDEX(O$2:O509,-1+SUMPRODUCT(MAX(ROW(R$2:R509)*(E545=R$2:R509)))))</f>
        <v/>
      </c>
      <c r="J545" s="25" t="str">
        <f aca="true">IF(OR(E545="",E545="!!!",F545="NEW"),"",COUNTBLANK(OFFSET(N$1,,,SUMPRODUCT(MAX(ROW(R$2:R510)*(E545=R$2:R510)))))-COUNTBLANK(OFFSET(N$1,,,SUMPRODUCT(MAX(ROW(R$1:R509)*(R2=R$1:R509))))))</f>
        <v/>
      </c>
      <c r="K545" s="25" t="str">
        <f aca="false">IF(OR(E545="",E545="!!!",F545="NEW"),"",INDEX(W$1:W509,SUMPRODUCT(MAX(ROW(R$1:R509)*(E545=R$1:R509)))))</f>
        <v/>
      </c>
      <c r="L545" s="26" t="s">
        <v>515</v>
      </c>
    </row>
    <row r="546" customFormat="false" ht="14.25" hidden="false" customHeight="false" outlineLevel="0" collapsed="false">
      <c r="A546" s="0" t="s">
        <v>516</v>
      </c>
      <c r="E546" s="21" t="str">
        <f aca="false">IF(Q511="?OLD","!!!","")</f>
        <v/>
      </c>
      <c r="F546" s="22" t="str">
        <f aca="false">IF(OR(E546="",E546="!!!"),"",IF(NOT(ISNA(VLOOKUP(E546,R$1:R510,1,FALSE()))),"OLD",IF(AND(E546&lt;&gt;"",E546&lt;&gt;"!!!"),"NEW","")))</f>
        <v/>
      </c>
      <c r="G546" s="23" t="str">
        <f aca="false"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aca="false">IF(J546&lt;&gt;1,"",IF(I546="SBJ","CB","?"))</f>
        <v/>
      </c>
      <c r="I546" s="25" t="str">
        <f aca="false">IF(OR(E546="",E546="!!!",F546="NEW"),"",INDEX(O$2:O510,-1+SUMPRODUCT(MAX(ROW(R$2:R510)*(E546=R$2:R510)))))</f>
        <v/>
      </c>
      <c r="J546" s="25" t="str">
        <f aca="true">IF(OR(E546="",E546="!!!",F546="NEW"),"",COUNTBLANK(OFFSET(N$1,,,SUMPRODUCT(MAX(ROW(R$2:R511)*(E546=R$2:R511)))))-COUNTBLANK(OFFSET(N$1,,,SUMPRODUCT(MAX(ROW(R$1:R510)*(R2=R$1:R510))))))</f>
        <v/>
      </c>
      <c r="K546" s="25" t="str">
        <f aca="false">IF(OR(E546="",E546="!!!",F546="NEW"),"",INDEX(W$1:W510,SUMPRODUCT(MAX(ROW(R$1:R510)*(E546=R$1:R510)))))</f>
        <v/>
      </c>
      <c r="L546" s="26"/>
      <c r="O546" s="20"/>
      <c r="P546" s="20"/>
    </row>
    <row r="547" customFormat="false" ht="23.85" hidden="false" customHeight="false" outlineLevel="0" collapsed="false">
      <c r="A547" s="0" t="s">
        <v>297</v>
      </c>
      <c r="B547" s="20" t="s">
        <v>133</v>
      </c>
      <c r="C547" s="20" t="s">
        <v>298</v>
      </c>
      <c r="E547" s="21" t="s">
        <v>517</v>
      </c>
      <c r="F547" s="22" t="str">
        <f aca="false">IF(OR(E547="",E547="!!!"),"",IF(NOT(ISNA(VLOOKUP(E547,R$1:R511,1,FALSE()))),"OLD",IF(AND(E547&lt;&gt;"",E547&lt;&gt;"!!!"),"NEW","")))</f>
        <v>NEW</v>
      </c>
      <c r="G547" s="23" t="str">
        <f aca="false"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?REFERENTIAL</v>
      </c>
      <c r="H547" s="24" t="str">
        <f aca="false">IF(J547&lt;&gt;1,"",IF(I547="SBJ","CB","?"))</f>
        <v/>
      </c>
      <c r="I547" s="25" t="str">
        <f aca="false">IF(OR(E547="",E547="!!!",F547="NEW"),"",INDEX(O$2:O511,-1+SUMPRODUCT(MAX(ROW(R$2:R511)*(E547=R$2:R511)))))</f>
        <v/>
      </c>
      <c r="J547" s="25" t="str">
        <f aca="true">IF(OR(E547="",E547="!!!",F547="NEW"),"",COUNTBLANK(OFFSET(N$1,,,SUMPRODUCT(MAX(ROW(R$2:R512)*(E547=R$2:R512)))))-COUNTBLANK(OFFSET(N$1,,,SUMPRODUCT(MAX(ROW(R$1:R511)*(R2=R$1:R511))))))</f>
        <v/>
      </c>
      <c r="K547" s="25" t="str">
        <f aca="false">IF(OR(E547="",E547="!!!",F547="NEW"),"",INDEX(W$1:W511,SUMPRODUCT(MAX(ROW(R$1:R511)*(E547=R$1:R511)))))</f>
        <v/>
      </c>
      <c r="L547" s="26" t="s">
        <v>518</v>
      </c>
    </row>
    <row r="548" customFormat="false" ht="14.25" hidden="false" customHeight="false" outlineLevel="0" collapsed="false">
      <c r="A548" s="0" t="s">
        <v>490</v>
      </c>
      <c r="E548" s="21" t="str">
        <f aca="false">IF(Q513="?OLD","!!!","")</f>
        <v/>
      </c>
      <c r="F548" s="22" t="str">
        <f aca="false">IF(OR(E548="",E548="!!!"),"",IF(NOT(ISNA(VLOOKUP(E548,R$1:R512,1,FALSE()))),"OLD",IF(AND(E548&lt;&gt;"",E548&lt;&gt;"!!!"),"NEW","")))</f>
        <v/>
      </c>
      <c r="G548" s="23" t="str">
        <f aca="false"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aca="false">IF(J548&lt;&gt;1,"",IF(I548="SBJ","CB","?"))</f>
        <v/>
      </c>
      <c r="I548" s="25" t="str">
        <f aca="false">IF(OR(E548="",E548="!!!",F548="NEW"),"",INDEX(O$2:O512,-1+SUMPRODUCT(MAX(ROW(R$2:R512)*(E548=R$2:R512)))))</f>
        <v/>
      </c>
      <c r="J548" s="25" t="str">
        <f aca="true">IF(OR(E548="",E548="!!!",F548="NEW"),"",COUNTBLANK(OFFSET(N$1,,,SUMPRODUCT(MAX(ROW(R$2:R513)*(E548=R$2:R513)))))-COUNTBLANK(OFFSET(N$1,,,SUMPRODUCT(MAX(ROW(R$1:R512)*(R2=R$1:R512))))))</f>
        <v/>
      </c>
      <c r="K548" s="25" t="str">
        <f aca="false">IF(OR(E548="",E548="!!!",F548="NEW"),"",INDEX(W$1:W512,SUMPRODUCT(MAX(ROW(R$1:R512)*(E548=R$1:R512)))))</f>
        <v/>
      </c>
      <c r="L548" s="26"/>
    </row>
    <row r="549" customFormat="false" ht="14.25" hidden="false" customHeight="false" outlineLevel="0" collapsed="false">
      <c r="A549" s="0" t="s">
        <v>416</v>
      </c>
      <c r="E549" s="21" t="str">
        <f aca="false">IF(Q514="?OLD","!!!","")</f>
        <v/>
      </c>
      <c r="F549" s="22" t="str">
        <f aca="false">IF(OR(E549="",E549="!!!"),"",IF(NOT(ISNA(VLOOKUP(E549,R$1:R513,1,FALSE()))),"OLD",IF(AND(E549&lt;&gt;"",E549&lt;&gt;"!!!"),"NEW","")))</f>
        <v/>
      </c>
      <c r="G549" s="23" t="str">
        <f aca="false"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aca="false">IF(J549&lt;&gt;1,"",IF(I549="SBJ","CB","?"))</f>
        <v/>
      </c>
      <c r="I549" s="25" t="str">
        <f aca="false">IF(OR(E549="",E549="!!!",F549="NEW"),"",INDEX(O$2:O513,-1+SUMPRODUCT(MAX(ROW(R$2:R513)*(E549=R$2:R513)))))</f>
        <v/>
      </c>
      <c r="J549" s="25" t="str">
        <f aca="true">IF(OR(E549="",E549="!!!",F549="NEW"),"",COUNTBLANK(OFFSET(N$1,,,SUMPRODUCT(MAX(ROW(R$2:R514)*(E549=R$2:R514)))))-COUNTBLANK(OFFSET(N$1,,,SUMPRODUCT(MAX(ROW(R$1:R513)*(R2=R$1:R513))))))</f>
        <v/>
      </c>
      <c r="K549" s="25" t="str">
        <f aca="false">IF(OR(E549="",E549="!!!",F549="NEW"),"",INDEX(W$1:W513,SUMPRODUCT(MAX(ROW(R$1:R513)*(E549=R$1:R513)))))</f>
        <v/>
      </c>
      <c r="L549" s="26"/>
    </row>
    <row r="550" customFormat="false" ht="14.25" hidden="false" customHeight="false" outlineLevel="0" collapsed="false">
      <c r="A550" s="0" t="s">
        <v>417</v>
      </c>
      <c r="E550" s="21" t="str">
        <f aca="false">IF(Q515="?OLD","!!!","")</f>
        <v/>
      </c>
      <c r="F550" s="22" t="str">
        <f aca="false">IF(OR(E550="",E550="!!!"),"",IF(NOT(ISNA(VLOOKUP(E550,R$1:R514,1,FALSE()))),"OLD",IF(AND(E550&lt;&gt;"",E550&lt;&gt;"!!!"),"NEW","")))</f>
        <v/>
      </c>
      <c r="G550" s="23" t="str">
        <f aca="false"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4" t="str">
        <f aca="false">IF(J550&lt;&gt;1,"",IF(I550="SBJ","CB","?"))</f>
        <v/>
      </c>
      <c r="I550" s="25" t="str">
        <f aca="false">IF(OR(E550="",E550="!!!",F550="NEW"),"",INDEX(O$2:O514,-1+SUMPRODUCT(MAX(ROW(R$2:R514)*(E550=R$2:R514)))))</f>
        <v/>
      </c>
      <c r="J550" s="25" t="str">
        <f aca="true">IF(OR(E550="",E550="!!!",F550="NEW"),"",COUNTBLANK(OFFSET(N$1,,,SUMPRODUCT(MAX(ROW(R$2:R515)*(E550=R$2:R515)))))-COUNTBLANK(OFFSET(N$1,,,SUMPRODUCT(MAX(ROW(R$1:R514)*(R2=R$1:R514))))))</f>
        <v/>
      </c>
      <c r="K550" s="25" t="str">
        <f aca="false">IF(OR(E550="",E550="!!!",F550="NEW"),"",INDEX(W$1:W514,SUMPRODUCT(MAX(ROW(R$1:R514)*(E550=R$1:R514)))))</f>
        <v/>
      </c>
      <c r="L550" s="26"/>
      <c r="O550" s="20"/>
      <c r="P550" s="20"/>
      <c r="Q550" s="20"/>
    </row>
    <row r="551" customFormat="false" ht="14.25" hidden="false" customHeight="false" outlineLevel="0" collapsed="false">
      <c r="A551" s="0" t="s">
        <v>387</v>
      </c>
      <c r="B551" s="20" t="s">
        <v>123</v>
      </c>
      <c r="C551" s="20" t="s">
        <v>124</v>
      </c>
      <c r="D551" s="20" t="s">
        <v>125</v>
      </c>
      <c r="E551" s="21" t="s">
        <v>517</v>
      </c>
      <c r="F551" s="22" t="str">
        <f aca="false">IF(OR(E551="",E551="!!!"),"",IF(NOT(ISNA(VLOOKUP(E551,R$1:R515,1,FALSE()))),"OLD",IF(AND(E551&lt;&gt;"",E551&lt;&gt;"!!!"),"NEW","")))</f>
        <v>NEW</v>
      </c>
      <c r="G551" s="23" t="str">
        <f aca="false"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?REFERENTIAL</v>
      </c>
      <c r="H551" s="24" t="str">
        <f aca="false">IF(J551&lt;&gt;1,"",IF(I551="SBJ","CB","?"))</f>
        <v/>
      </c>
      <c r="I551" s="25" t="str">
        <f aca="false">IF(OR(E551="",E551="!!!",F551="NEW"),"",INDEX(O$2:O515,-1+SUMPRODUCT(MAX(ROW(R$2:R515)*(E551=R$2:R515)))))</f>
        <v/>
      </c>
      <c r="J551" s="25" t="str">
        <f aca="true">IF(OR(E551="",E551="!!!",F551="NEW"),"",COUNTBLANK(OFFSET(N$1,,,SUMPRODUCT(MAX(ROW(R$2:R516)*(E551=R$2:R516)))))-COUNTBLANK(OFFSET(N$1,,,SUMPRODUCT(MAX(ROW(R$1:R515)*(R2=R$1:R515))))))</f>
        <v/>
      </c>
      <c r="K551" s="25" t="str">
        <f aca="false">IF(OR(E551="",E551="!!!",F551="NEW"),"",INDEX(W$1:W515,SUMPRODUCT(MAX(ROW(R$1:R515)*(E551=R$1:R515)))))</f>
        <v/>
      </c>
      <c r="L551" s="26"/>
      <c r="O551" s="20"/>
      <c r="P551" s="20"/>
    </row>
    <row r="552" customFormat="false" ht="14.25" hidden="false" customHeight="false" outlineLevel="0" collapsed="false">
      <c r="A552" s="0" t="s">
        <v>163</v>
      </c>
      <c r="E552" s="21" t="str">
        <f aca="false">IF(Q517="?OLD","!!!","")</f>
        <v/>
      </c>
      <c r="F552" s="22" t="str">
        <f aca="false">IF(OR(E552="",E552="!!!"),"",IF(NOT(ISNA(VLOOKUP(E552,R$1:R516,1,FALSE()))),"OLD",IF(AND(E552&lt;&gt;"",E552&lt;&gt;"!!!"),"NEW","")))</f>
        <v/>
      </c>
      <c r="G552" s="23" t="str">
        <f aca="false"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aca="false">IF(J552&lt;&gt;1,"",IF(I552="SBJ","CB","?"))</f>
        <v/>
      </c>
      <c r="I552" s="25" t="str">
        <f aca="false">IF(OR(E552="",E552="!!!",F552="NEW"),"",INDEX(O$2:O516,-1+SUMPRODUCT(MAX(ROW(R$2:R516)*(E552=R$2:R516)))))</f>
        <v/>
      </c>
      <c r="J552" s="25" t="str">
        <f aca="true">IF(OR(E552="",E552="!!!",F552="NEW"),"",COUNTBLANK(OFFSET(N$1,,,SUMPRODUCT(MAX(ROW(R$2:R517)*(E552=R$2:R517)))))-COUNTBLANK(OFFSET(N$1,,,SUMPRODUCT(MAX(ROW(R$1:R516)*(R2=R$1:R516))))))</f>
        <v/>
      </c>
      <c r="K552" s="25" t="str">
        <f aca="false">IF(OR(E552="",E552="!!!",F552="NEW"),"",INDEX(W$1:W516,SUMPRODUCT(MAX(ROW(R$1:R516)*(E552=R$1:R516)))))</f>
        <v/>
      </c>
      <c r="L552" s="26"/>
    </row>
    <row r="553" customFormat="false" ht="14.25" hidden="false" customHeight="false" outlineLevel="0" collapsed="false">
      <c r="A553" s="0" t="s">
        <v>519</v>
      </c>
      <c r="E553" s="21" t="str">
        <f aca="false">IF(Q518="?OLD","!!!","")</f>
        <v/>
      </c>
      <c r="F553" s="22" t="str">
        <f aca="false">IF(OR(E553="",E553="!!!"),"",IF(NOT(ISNA(VLOOKUP(E553,R$1:R517,1,FALSE()))),"OLD",IF(AND(E553&lt;&gt;"",E553&lt;&gt;"!!!"),"NEW","")))</f>
        <v/>
      </c>
      <c r="G553" s="23" t="str">
        <f aca="false"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aca="false">IF(J553&lt;&gt;1,"",IF(I553="SBJ","CB","?"))</f>
        <v/>
      </c>
      <c r="I553" s="25" t="str">
        <f aca="false">IF(OR(E553="",E553="!!!",F553="NEW"),"",INDEX(O$2:O517,-1+SUMPRODUCT(MAX(ROW(R$2:R517)*(E553=R$2:R517)))))</f>
        <v/>
      </c>
      <c r="J553" s="25" t="str">
        <f aca="true">IF(OR(E553="",E553="!!!",F553="NEW"),"",COUNTBLANK(OFFSET(N$1,,,SUMPRODUCT(MAX(ROW(R$2:R518)*(E553=R$2:R518)))))-COUNTBLANK(OFFSET(N$1,,,SUMPRODUCT(MAX(ROW(R$1:R517)*(R2=R$1:R517))))))</f>
        <v/>
      </c>
      <c r="K553" s="25" t="str">
        <f aca="false">IF(OR(E553="",E553="!!!",F553="NEW"),"",INDEX(W$1:W517,SUMPRODUCT(MAX(ROW(R$1:R517)*(E553=R$1:R517)))))</f>
        <v/>
      </c>
      <c r="L553" s="26"/>
      <c r="O553" s="20"/>
      <c r="P553" s="20"/>
      <c r="Q553" s="20"/>
    </row>
    <row r="554" customFormat="false" ht="14.25" hidden="false" customHeight="false" outlineLevel="0" collapsed="false">
      <c r="A554" s="0" t="s">
        <v>520</v>
      </c>
      <c r="E554" s="21" t="str">
        <f aca="false">IF(Q519="?OLD","!!!","")</f>
        <v/>
      </c>
      <c r="F554" s="22" t="str">
        <f aca="false">IF(OR(E554="",E554="!!!"),"",IF(NOT(ISNA(VLOOKUP(E554,R$1:R518,1,FALSE()))),"OLD",IF(AND(E554&lt;&gt;"",E554&lt;&gt;"!!!"),"NEW","")))</f>
        <v/>
      </c>
      <c r="G554" s="23" t="str">
        <f aca="false"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aca="false">IF(J554&lt;&gt;1,"",IF(I554="SBJ","CB","?"))</f>
        <v/>
      </c>
      <c r="I554" s="25" t="str">
        <f aca="false">IF(OR(E554="",E554="!!!",F554="NEW"),"",INDEX(O$2:O518,-1+SUMPRODUCT(MAX(ROW(R$2:R518)*(E554=R$2:R518)))))</f>
        <v/>
      </c>
      <c r="J554" s="25" t="str">
        <f aca="true">IF(OR(E554="",E554="!!!",F554="NEW"),"",COUNTBLANK(OFFSET(N$1,,,SUMPRODUCT(MAX(ROW(R$2:R519)*(E554=R$2:R519)))))-COUNTBLANK(OFFSET(N$1,,,SUMPRODUCT(MAX(ROW(R$1:R518)*(R2=R$1:R518))))))</f>
        <v/>
      </c>
      <c r="K554" s="25" t="str">
        <f aca="false">IF(OR(E554="",E554="!!!",F554="NEW"),"",INDEX(W$1:W518,SUMPRODUCT(MAX(ROW(R$1:R518)*(E554=R$1:R518)))))</f>
        <v/>
      </c>
      <c r="L554" s="26"/>
      <c r="O554" s="20"/>
      <c r="P554" s="20"/>
    </row>
    <row r="555" customFormat="false" ht="14.25" hidden="false" customHeight="false" outlineLevel="0" collapsed="false">
      <c r="A555" s="0" t="s">
        <v>140</v>
      </c>
      <c r="E555" s="21" t="str">
        <f aca="false">IF(Q520="?OLD","!!!","")</f>
        <v/>
      </c>
      <c r="F555" s="22" t="str">
        <f aca="false">IF(OR(E555="",E555="!!!"),"",IF(NOT(ISNA(VLOOKUP(E555,R$1:R519,1,FALSE()))),"OLD",IF(AND(E555&lt;&gt;"",E555&lt;&gt;"!!!"),"NEW","")))</f>
        <v/>
      </c>
      <c r="G555" s="23" t="str">
        <f aca="false"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aca="false">IF(J555&lt;&gt;1,"",IF(I555="SBJ","CB","?"))</f>
        <v/>
      </c>
      <c r="I555" s="25" t="str">
        <f aca="false">IF(OR(E555="",E555="!!!",F555="NEW"),"",INDEX(O$2:O519,-1+SUMPRODUCT(MAX(ROW(R$2:R519)*(E555=R$2:R519)))))</f>
        <v/>
      </c>
      <c r="J555" s="25" t="str">
        <f aca="true">IF(OR(E555="",E555="!!!",F555="NEW"),"",COUNTBLANK(OFFSET(N$1,,,SUMPRODUCT(MAX(ROW(R$2:R520)*(E555=R$2:R520)))))-COUNTBLANK(OFFSET(N$1,,,SUMPRODUCT(MAX(ROW(R$1:R519)*(R2=R$1:R519))))))</f>
        <v/>
      </c>
      <c r="K555" s="25" t="str">
        <f aca="false">IF(OR(E555="",E555="!!!",F555="NEW"),"",INDEX(W$1:W519,SUMPRODUCT(MAX(ROW(R$1:R519)*(E555=R$1:R519)))))</f>
        <v/>
      </c>
      <c r="L555" s="26"/>
    </row>
    <row r="556" customFormat="false" ht="14.25" hidden="false" customHeight="false" outlineLevel="0" collapsed="false">
      <c r="A556" s="0" t="s">
        <v>156</v>
      </c>
      <c r="E556" s="21" t="str">
        <f aca="false">IF(Q521="?OLD","!!!","")</f>
        <v/>
      </c>
      <c r="F556" s="22" t="str">
        <f aca="false">IF(OR(E556="",E556="!!!"),"",IF(NOT(ISNA(VLOOKUP(E556,R$1:R520,1,FALSE()))),"OLD",IF(AND(E556&lt;&gt;"",E556&lt;&gt;"!!!"),"NEW","")))</f>
        <v/>
      </c>
      <c r="G556" s="23" t="str">
        <f aca="false"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aca="false">IF(J556&lt;&gt;1,"",IF(I556="SBJ","CB","?"))</f>
        <v/>
      </c>
      <c r="I556" s="25" t="str">
        <f aca="false">IF(OR(E556="",E556="!!!",F556="NEW"),"",INDEX(O$2:O520,-1+SUMPRODUCT(MAX(ROW(R$2:R520)*(E556=R$2:R520)))))</f>
        <v/>
      </c>
      <c r="J556" s="25" t="str">
        <f aca="true">IF(OR(E556="",E556="!!!",F556="NEW"),"",COUNTBLANK(OFFSET(N$1,,,SUMPRODUCT(MAX(ROW(R$2:R521)*(E556=R$2:R521)))))-COUNTBLANK(OFFSET(N$1,,,SUMPRODUCT(MAX(ROW(R$1:R520)*(R2=R$1:R520))))))</f>
        <v/>
      </c>
      <c r="K556" s="25" t="str">
        <f aca="false">IF(OR(E556="",E556="!!!",F556="NEW"),"",INDEX(W$1:W520,SUMPRODUCT(MAX(ROW(R$1:R520)*(E556=R$1:R520)))))</f>
        <v/>
      </c>
      <c r="L556" s="26"/>
    </row>
    <row r="557" customFormat="false" ht="14.25" hidden="false" customHeight="false" outlineLevel="0" collapsed="false">
      <c r="A557" s="0" t="s">
        <v>419</v>
      </c>
      <c r="E557" s="21" t="str">
        <f aca="false">IF(Q522="?OLD","!!!","")</f>
        <v/>
      </c>
      <c r="F557" s="22" t="str">
        <f aca="false">IF(OR(E557="",E557="!!!"),"",IF(NOT(ISNA(VLOOKUP(E557,R$1:R521,1,FALSE()))),"OLD",IF(AND(E557&lt;&gt;"",E557&lt;&gt;"!!!"),"NEW","")))</f>
        <v/>
      </c>
      <c r="G557" s="23" t="str">
        <f aca="false"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aca="false">IF(J557&lt;&gt;1,"",IF(I557="SBJ","CB","?"))</f>
        <v/>
      </c>
      <c r="I557" s="25" t="str">
        <f aca="false">IF(OR(E557="",E557="!!!",F557="NEW"),"",INDEX(O$2:O521,-1+SUMPRODUCT(MAX(ROW(R$2:R521)*(E557=R$2:R521)))))</f>
        <v/>
      </c>
      <c r="J557" s="25" t="str">
        <f aca="true">IF(OR(E557="",E557="!!!",F557="NEW"),"",COUNTBLANK(OFFSET(N$1,,,SUMPRODUCT(MAX(ROW(R$2:R522)*(E557=R$2:R522)))))-COUNTBLANK(OFFSET(N$1,,,SUMPRODUCT(MAX(ROW(R$1:R521)*(R2=R$1:R521))))))</f>
        <v/>
      </c>
      <c r="K557" s="25" t="str">
        <f aca="false">IF(OR(E557="",E557="!!!",F557="NEW"),"",INDEX(W$1:W521,SUMPRODUCT(MAX(ROW(R$1:R521)*(E557=R$1:R521)))))</f>
        <v/>
      </c>
      <c r="L557" s="26"/>
    </row>
    <row r="558" customFormat="false" ht="14.25" hidden="false" customHeight="false" outlineLevel="0" collapsed="false">
      <c r="A558" s="0" t="s">
        <v>521</v>
      </c>
      <c r="B558" s="20" t="s">
        <v>235</v>
      </c>
      <c r="C558" s="20" t="s">
        <v>225</v>
      </c>
      <c r="E558" s="21" t="str">
        <f aca="false">IF(Q523="?OLD","!!!","")</f>
        <v/>
      </c>
      <c r="F558" s="22" t="str">
        <f aca="false">IF(OR(E558="",E558="!!!"),"",IF(NOT(ISNA(VLOOKUP(E558,R$1:R522,1,FALSE()))),"OLD",IF(AND(E558&lt;&gt;"",E558&lt;&gt;"!!!"),"NEW","")))</f>
        <v/>
      </c>
      <c r="G558" s="23" t="str">
        <f aca="false"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aca="false">IF(J558&lt;&gt;1,"",IF(I558="SBJ","CB","?"))</f>
        <v/>
      </c>
      <c r="I558" s="25" t="str">
        <f aca="false">IF(OR(E558="",E558="!!!",F558="NEW"),"",INDEX(O$2:O522,-1+SUMPRODUCT(MAX(ROW(R$2:R522)*(E558=R$2:R522)))))</f>
        <v/>
      </c>
      <c r="J558" s="25" t="str">
        <f aca="true">IF(OR(E558="",E558="!!!",F558="NEW"),"",COUNTBLANK(OFFSET(N$1,,,SUMPRODUCT(MAX(ROW(R$2:R523)*(E558=R$2:R523)))))-COUNTBLANK(OFFSET(N$1,,,SUMPRODUCT(MAX(ROW(R$1:R522)*(R2=R$1:R522))))))</f>
        <v/>
      </c>
      <c r="K558" s="25" t="str">
        <f aca="false">IF(OR(E558="",E558="!!!",F558="NEW"),"",INDEX(W$1:W522,SUMPRODUCT(MAX(ROW(R$1:R522)*(E558=R$1:R522)))))</f>
        <v/>
      </c>
      <c r="L558" s="26"/>
    </row>
    <row r="559" customFormat="false" ht="14.25" hidden="false" customHeight="false" outlineLevel="0" collapsed="false">
      <c r="A559" s="0" t="s">
        <v>372</v>
      </c>
      <c r="E559" s="21" t="str">
        <f aca="false">IF(Q524="?OLD","!!!","")</f>
        <v/>
      </c>
      <c r="F559" s="22" t="str">
        <f aca="false">IF(OR(E559="",E559="!!!"),"",IF(NOT(ISNA(VLOOKUP(E559,R$1:R523,1,FALSE()))),"OLD",IF(AND(E559&lt;&gt;"",E559&lt;&gt;"!!!"),"NEW","")))</f>
        <v/>
      </c>
      <c r="G559" s="23" t="str">
        <f aca="false"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aca="false">IF(J559&lt;&gt;1,"",IF(I559="SBJ","CB","?"))</f>
        <v/>
      </c>
      <c r="I559" s="25" t="str">
        <f aca="false">IF(OR(E559="",E559="!!!",F559="NEW"),"",INDEX(O$2:O523,-1+SUMPRODUCT(MAX(ROW(R$2:R523)*(E559=R$2:R523)))))</f>
        <v/>
      </c>
      <c r="J559" s="25" t="str">
        <f aca="true">IF(OR(E559="",E559="!!!",F559="NEW"),"",COUNTBLANK(OFFSET(N$1,,,SUMPRODUCT(MAX(ROW(R$2:R524)*(E559=R$2:R524)))))-COUNTBLANK(OFFSET(N$1,,,SUMPRODUCT(MAX(ROW(R$1:R523)*(R2=R$1:R523))))))</f>
        <v/>
      </c>
      <c r="K559" s="25" t="str">
        <f aca="false">IF(OR(E559="",E559="!!!",F559="NEW"),"",INDEX(W$1:W523,SUMPRODUCT(MAX(ROW(R$1:R523)*(E559=R$1:R523)))))</f>
        <v/>
      </c>
      <c r="L559" s="26"/>
    </row>
    <row r="560" customFormat="false" ht="14.25" hidden="false" customHeight="false" outlineLevel="0" collapsed="false">
      <c r="A560" s="0" t="s">
        <v>522</v>
      </c>
      <c r="B560" s="20" t="s">
        <v>150</v>
      </c>
      <c r="C560" s="20" t="s">
        <v>155</v>
      </c>
      <c r="E560" s="21" t="str">
        <f aca="false">IF(Q525="?OLD","!!!","")</f>
        <v/>
      </c>
      <c r="F560" s="22" t="str">
        <f aca="false">IF(OR(E560="",E560="!!!"),"",IF(NOT(ISNA(VLOOKUP(E560,R$1:R524,1,FALSE()))),"OLD",IF(AND(E560&lt;&gt;"",E560&lt;&gt;"!!!"),"NEW","")))</f>
        <v/>
      </c>
      <c r="G560" s="23" t="str">
        <f aca="false"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aca="false">IF(J560&lt;&gt;1,"",IF(I560="SBJ","CB","?"))</f>
        <v/>
      </c>
      <c r="I560" s="25" t="str">
        <f aca="false">IF(OR(E560="",E560="!!!",F560="NEW"),"",INDEX(O$2:O524,-1+SUMPRODUCT(MAX(ROW(R$2:R524)*(E560=R$2:R524)))))</f>
        <v/>
      </c>
      <c r="J560" s="25" t="str">
        <f aca="true">IF(OR(E560="",E560="!!!",F560="NEW"),"",COUNTBLANK(OFFSET(N$1,,,SUMPRODUCT(MAX(ROW(R$2:R525)*(E560=R$2:R525)))))-COUNTBLANK(OFFSET(N$1,,,SUMPRODUCT(MAX(ROW(R$1:R524)*(R2=R$1:R524))))))</f>
        <v/>
      </c>
      <c r="K560" s="25" t="str">
        <f aca="false">IF(OR(E560="",E560="!!!",F560="NEW"),"",INDEX(W$1:W524,SUMPRODUCT(MAX(ROW(R$1:R524)*(E560=R$1:R524)))))</f>
        <v/>
      </c>
      <c r="L560" s="26"/>
      <c r="O560" s="20"/>
      <c r="P560" s="20"/>
      <c r="Q560" s="20"/>
    </row>
    <row r="561" customFormat="false" ht="14.25" hidden="false" customHeight="false" outlineLevel="0" collapsed="false">
      <c r="A561" s="0" t="s">
        <v>523</v>
      </c>
      <c r="E561" s="21" t="str">
        <f aca="false">IF(Q526="?OLD","!!!","")</f>
        <v/>
      </c>
      <c r="F561" s="22" t="str">
        <f aca="false">IF(OR(E561="",E561="!!!"),"",IF(NOT(ISNA(VLOOKUP(E561,R$1:R525,1,FALSE()))),"OLD",IF(AND(E561&lt;&gt;"",E561&lt;&gt;"!!!"),"NEW","")))</f>
        <v/>
      </c>
      <c r="G561" s="23" t="str">
        <f aca="false"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aca="false">IF(J561&lt;&gt;1,"",IF(I561="SBJ","CB","?"))</f>
        <v/>
      </c>
      <c r="I561" s="25" t="str">
        <f aca="false">IF(OR(E561="",E561="!!!",F561="NEW"),"",INDEX(O$2:O525,-1+SUMPRODUCT(MAX(ROW(R$2:R525)*(E561=R$2:R525)))))</f>
        <v/>
      </c>
      <c r="J561" s="25" t="str">
        <f aca="true">IF(OR(E561="",E561="!!!",F561="NEW"),"",COUNTBLANK(OFFSET(N$1,,,SUMPRODUCT(MAX(ROW(R$2:R526)*(E561=R$2:R526)))))-COUNTBLANK(OFFSET(N$1,,,SUMPRODUCT(MAX(ROW(R$1:R525)*(R2=R$1:R525))))))</f>
        <v/>
      </c>
      <c r="K561" s="25" t="str">
        <f aca="false">IF(OR(E561="",E561="!!!",F561="NEW"),"",INDEX(W$1:W525,SUMPRODUCT(MAX(ROW(R$1:R525)*(E561=R$1:R525)))))</f>
        <v/>
      </c>
      <c r="L561" s="26"/>
    </row>
    <row r="562" customFormat="false" ht="14.25" hidden="false" customHeight="false" outlineLevel="0" collapsed="false">
      <c r="A562" s="0" t="s">
        <v>140</v>
      </c>
      <c r="E562" s="21" t="str">
        <f aca="false">IF(Q527="?OLD","!!!","")</f>
        <v/>
      </c>
      <c r="F562" s="22" t="str">
        <f aca="false">IF(OR(E562="",E562="!!!"),"",IF(NOT(ISNA(VLOOKUP(E562,R$1:R526,1,FALSE()))),"OLD",IF(AND(E562&lt;&gt;"",E562&lt;&gt;"!!!"),"NEW","")))</f>
        <v/>
      </c>
      <c r="G562" s="23" t="str">
        <f aca="false"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aca="false">IF(J562&lt;&gt;1,"",IF(I562="SBJ","CB","?"))</f>
        <v/>
      </c>
      <c r="I562" s="25" t="str">
        <f aca="false">IF(OR(E562="",E562="!!!",F562="NEW"),"",INDEX(O$2:O526,-1+SUMPRODUCT(MAX(ROW(R$2:R526)*(E562=R$2:R526)))))</f>
        <v/>
      </c>
      <c r="J562" s="25" t="str">
        <f aca="true">IF(OR(E562="",E562="!!!",F562="NEW"),"",COUNTBLANK(OFFSET(N$1,,,SUMPRODUCT(MAX(ROW(R$2:R527)*(E562=R$2:R527)))))-COUNTBLANK(OFFSET(N$1,,,SUMPRODUCT(MAX(ROW(R$1:R526)*(R2=R$1:R526))))))</f>
        <v/>
      </c>
      <c r="K562" s="25" t="str">
        <f aca="false">IF(OR(E562="",E562="!!!",F562="NEW"),"",INDEX(W$1:W526,SUMPRODUCT(MAX(ROW(R$1:R526)*(E562=R$1:R526)))))</f>
        <v/>
      </c>
      <c r="L562" s="26"/>
      <c r="O562" s="20"/>
      <c r="P562" s="20"/>
    </row>
    <row r="563" customFormat="false" ht="14.25" hidden="false" customHeight="false" outlineLevel="0" collapsed="false">
      <c r="A563" s="0" t="s">
        <v>138</v>
      </c>
      <c r="E563" s="21" t="str">
        <f aca="false">IF(Q528="?OLD","!!!","")</f>
        <v/>
      </c>
      <c r="F563" s="22" t="str">
        <f aca="false">IF(OR(E563="",E563="!!!"),"",IF(NOT(ISNA(VLOOKUP(E563,R$1:R527,1,FALSE()))),"OLD",IF(AND(E563&lt;&gt;"",E563&lt;&gt;"!!!"),"NEW","")))</f>
        <v/>
      </c>
      <c r="G563" s="23" t="str">
        <f aca="false"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aca="false">IF(J563&lt;&gt;1,"",IF(I563="SBJ","CB","?"))</f>
        <v/>
      </c>
      <c r="I563" s="25" t="str">
        <f aca="false">IF(OR(E563="",E563="!!!",F563="NEW"),"",INDEX(O$2:O527,-1+SUMPRODUCT(MAX(ROW(R$2:R527)*(E563=R$2:R527)))))</f>
        <v/>
      </c>
      <c r="J563" s="25" t="str">
        <f aca="true">IF(OR(E563="",E563="!!!",F563="NEW"),"",COUNTBLANK(OFFSET(N$1,,,SUMPRODUCT(MAX(ROW(R$2:R528)*(E563=R$2:R528)))))-COUNTBLANK(OFFSET(N$1,,,SUMPRODUCT(MAX(ROW(R$1:R527)*(R2=R$1:R527))))))</f>
        <v/>
      </c>
      <c r="K563" s="25" t="str">
        <f aca="false">IF(OR(E563="",E563="!!!",F563="NEW"),"",INDEX(W$1:W527,SUMPRODUCT(MAX(ROW(R$1:R527)*(E563=R$1:R527)))))</f>
        <v/>
      </c>
      <c r="L563" s="26"/>
    </row>
    <row r="564" customFormat="false" ht="14.25" hidden="false" customHeight="false" outlineLevel="0" collapsed="false">
      <c r="A564" s="0" t="s">
        <v>524</v>
      </c>
      <c r="E564" s="21" t="str">
        <f aca="false">IF(Q529="?OLD","!!!","")</f>
        <v/>
      </c>
      <c r="F564" s="22" t="str">
        <f aca="false">IF(OR(E564="",E564="!!!"),"",IF(NOT(ISNA(VLOOKUP(E564,R$1:R528,1,FALSE()))),"OLD",IF(AND(E564&lt;&gt;"",E564&lt;&gt;"!!!"),"NEW","")))</f>
        <v/>
      </c>
      <c r="G564" s="23" t="str">
        <f aca="false"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aca="false">IF(J564&lt;&gt;1,"",IF(I564="SBJ","CB","?"))</f>
        <v/>
      </c>
      <c r="I564" s="25" t="str">
        <f aca="false">IF(OR(E564="",E564="!!!",F564="NEW"),"",INDEX(O$2:O528,-1+SUMPRODUCT(MAX(ROW(R$2:R528)*(E564=R$2:R528)))))</f>
        <v/>
      </c>
      <c r="J564" s="25" t="str">
        <f aca="true">IF(OR(E564="",E564="!!!",F564="NEW"),"",COUNTBLANK(OFFSET(N$1,,,SUMPRODUCT(MAX(ROW(R$2:R529)*(E564=R$2:R529)))))-COUNTBLANK(OFFSET(N$1,,,SUMPRODUCT(MAX(ROW(R$1:R528)*(R2=R$1:R528))))))</f>
        <v/>
      </c>
      <c r="K564" s="25" t="str">
        <f aca="false">IF(OR(E564="",E564="!!!",F564="NEW"),"",INDEX(W$1:W528,SUMPRODUCT(MAX(ROW(R$1:R528)*(E564=R$1:R528)))))</f>
        <v/>
      </c>
      <c r="L564" s="26"/>
      <c r="O564" s="20"/>
    </row>
    <row r="565" customFormat="false" ht="14.25" hidden="false" customHeight="false" outlineLevel="0" collapsed="false">
      <c r="A565" s="0" t="s">
        <v>525</v>
      </c>
      <c r="E565" s="21" t="str">
        <f aca="false">IF(Q530="?OLD","!!!","")</f>
        <v/>
      </c>
      <c r="F565" s="22" t="str">
        <f aca="false">IF(OR(E565="",E565="!!!"),"",IF(NOT(ISNA(VLOOKUP(E565,R$1:R529,1,FALSE()))),"OLD",IF(AND(E565&lt;&gt;"",E565&lt;&gt;"!!!"),"NEW","")))</f>
        <v/>
      </c>
      <c r="G565" s="23" t="str">
        <f aca="false"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aca="false">IF(J565&lt;&gt;1,"",IF(I565="SBJ","CB","?"))</f>
        <v/>
      </c>
      <c r="I565" s="25" t="str">
        <f aca="false">IF(OR(E565="",E565="!!!",F565="NEW"),"",INDEX(O$2:O529,-1+SUMPRODUCT(MAX(ROW(R$2:R529)*(E565=R$2:R529)))))</f>
        <v/>
      </c>
      <c r="J565" s="25" t="str">
        <f aca="true">IF(OR(E565="",E565="!!!",F565="NEW"),"",COUNTBLANK(OFFSET(N$1,,,SUMPRODUCT(MAX(ROW(R$2:R530)*(E565=R$2:R530)))))-COUNTBLANK(OFFSET(N$1,,,SUMPRODUCT(MAX(ROW(R$1:R529)*(R2=R$1:R529))))))</f>
        <v/>
      </c>
      <c r="K565" s="25" t="str">
        <f aca="false">IF(OR(E565="",E565="!!!",F565="NEW"),"",INDEX(W$1:W529,SUMPRODUCT(MAX(ROW(R$1:R529)*(E565=R$1:R529)))))</f>
        <v/>
      </c>
      <c r="L565" s="26"/>
      <c r="O565" s="20"/>
      <c r="P565" s="20"/>
      <c r="Q565" s="20"/>
    </row>
    <row r="566" customFormat="false" ht="14.25" hidden="false" customHeight="false" outlineLevel="0" collapsed="false">
      <c r="A566" s="0" t="s">
        <v>160</v>
      </c>
      <c r="E566" s="21" t="str">
        <f aca="false">IF(Q531="?OLD","!!!","")</f>
        <v/>
      </c>
      <c r="F566" s="22" t="str">
        <f aca="false">IF(OR(E566="",E566="!!!"),"",IF(NOT(ISNA(VLOOKUP(E566,R$1:R530,1,FALSE()))),"OLD",IF(AND(E566&lt;&gt;"",E566&lt;&gt;"!!!"),"NEW","")))</f>
        <v/>
      </c>
      <c r="G566" s="23" t="str">
        <f aca="false"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aca="false">IF(J566&lt;&gt;1,"",IF(I566="SBJ","CB","?"))</f>
        <v/>
      </c>
      <c r="I566" s="25" t="str">
        <f aca="false">IF(OR(E566="",E566="!!!",F566="NEW"),"",INDEX(O$2:O530,-1+SUMPRODUCT(MAX(ROW(R$2:R530)*(E566=R$2:R530)))))</f>
        <v/>
      </c>
      <c r="J566" s="25" t="str">
        <f aca="true">IF(OR(E566="",E566="!!!",F566="NEW"),"",COUNTBLANK(OFFSET(N$1,,,SUMPRODUCT(MAX(ROW(R$2:R531)*(E566=R$2:R531)))))-COUNTBLANK(OFFSET(N$1,,,SUMPRODUCT(MAX(ROW(R$1:R530)*(R2=R$1:R530))))))</f>
        <v/>
      </c>
      <c r="K566" s="25" t="str">
        <f aca="false">IF(OR(E566="",E566="!!!",F566="NEW"),"",INDEX(W$1:W530,SUMPRODUCT(MAX(ROW(R$1:R530)*(E566=R$1:R530)))))</f>
        <v/>
      </c>
      <c r="L566" s="26"/>
    </row>
    <row r="567" customFormat="false" ht="14.25" hidden="false" customHeight="false" outlineLevel="0" collapsed="false">
      <c r="A567" s="0" t="s">
        <v>417</v>
      </c>
      <c r="E567" s="21" t="str">
        <f aca="false">IF(Q532="?OLD","!!!","")</f>
        <v/>
      </c>
      <c r="F567" s="22" t="str">
        <f aca="false">IF(OR(E567="",E567="!!!"),"",IF(NOT(ISNA(VLOOKUP(E567,R$1:R531,1,FALSE()))),"OLD",IF(AND(E567&lt;&gt;"",E567&lt;&gt;"!!!"),"NEW","")))</f>
        <v/>
      </c>
      <c r="G567" s="23" t="str">
        <f aca="false"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aca="false">IF(J567&lt;&gt;1,"",IF(I567="SBJ","CB","?"))</f>
        <v/>
      </c>
      <c r="I567" s="25" t="str">
        <f aca="false">IF(OR(E567="",E567="!!!",F567="NEW"),"",INDEX(O$2:O531,-1+SUMPRODUCT(MAX(ROW(R$2:R531)*(E567=R$2:R531)))))</f>
        <v/>
      </c>
      <c r="J567" s="25" t="str">
        <f aca="true">IF(OR(E567="",E567="!!!",F567="NEW"),"",COUNTBLANK(OFFSET(N$1,,,SUMPRODUCT(MAX(ROW(R$2:R532)*(E567=R$2:R532)))))-COUNTBLANK(OFFSET(N$1,,,SUMPRODUCT(MAX(ROW(R$1:R531)*(R2=R$1:R531))))))</f>
        <v/>
      </c>
      <c r="K567" s="25" t="str">
        <f aca="false">IF(OR(E567="",E567="!!!",F567="NEW"),"",INDEX(W$1:W531,SUMPRODUCT(MAX(ROW(R$1:R531)*(E567=R$1:R531)))))</f>
        <v/>
      </c>
      <c r="L567" s="26"/>
      <c r="O567" s="20"/>
      <c r="P567" s="20"/>
      <c r="Q567" s="20"/>
    </row>
    <row r="568" customFormat="false" ht="14.25" hidden="false" customHeight="false" outlineLevel="0" collapsed="false">
      <c r="O568" s="20"/>
      <c r="P568" s="20"/>
    </row>
    <row r="569" customFormat="false" ht="14.25" hidden="false" customHeight="false" outlineLevel="0" collapsed="false">
      <c r="A569" s="0" t="s">
        <v>526</v>
      </c>
    </row>
    <row r="570" customFormat="false" ht="14.25" hidden="false" customHeight="false" outlineLevel="0" collapsed="false">
      <c r="A570" s="0" t="s">
        <v>445</v>
      </c>
      <c r="E570" s="21" t="str">
        <f aca="false">IF(Q533="?OLD","!!!","")</f>
        <v/>
      </c>
      <c r="F570" s="22" t="str">
        <f aca="false">IF(OR(E570="",E570="!!!"),"",IF(NOT(ISNA(VLOOKUP(E570,R$1:R532,1,FALSE()))),"OLD",IF(AND(E570&lt;&gt;"",E570&lt;&gt;"!!!"),"NEW","")))</f>
        <v/>
      </c>
      <c r="G570" s="23" t="str">
        <f aca="false"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aca="false">IF(J570&lt;&gt;1,"",IF(I570="SBJ","CB","?"))</f>
        <v/>
      </c>
      <c r="I570" s="25" t="str">
        <f aca="false">IF(OR(E570="",E570="!!!",F570="NEW"),"",INDEX(O$2:O532,-1+SUMPRODUCT(MAX(ROW(R$2:R532)*(E570=R$2:R532)))))</f>
        <v/>
      </c>
      <c r="J570" s="25" t="str">
        <f aca="true">IF(OR(E570="",E570="!!!",F570="NEW"),"",COUNTBLANK(OFFSET(N$1,,,SUMPRODUCT(MAX(ROW(R$2:R533)*(E570=R$2:R533)))))-COUNTBLANK(OFFSET(N$1,,,SUMPRODUCT(MAX(ROW(R$1:R532)*(R2=R$1:R532))))))</f>
        <v/>
      </c>
      <c r="K570" s="25" t="str">
        <f aca="false">IF(OR(E570="",E570="!!!",F570="NEW"),"",INDEX(W$1:W532,SUMPRODUCT(MAX(ROW(R$1:R532)*(E570=R$1:R532)))))</f>
        <v/>
      </c>
      <c r="L570" s="26"/>
    </row>
    <row r="571" customFormat="false" ht="14.25" hidden="false" customHeight="false" outlineLevel="0" collapsed="false">
      <c r="A571" s="0" t="s">
        <v>527</v>
      </c>
      <c r="B571" s="20" t="s">
        <v>148</v>
      </c>
      <c r="C571" s="20" t="s">
        <v>155</v>
      </c>
      <c r="E571" s="21" t="str">
        <f aca="false">IF(Q534="?OLD","!!!","")</f>
        <v/>
      </c>
      <c r="F571" s="22" t="str">
        <f aca="false">IF(OR(E571="",E571="!!!"),"",IF(NOT(ISNA(VLOOKUP(E571,R$1:R533,1,FALSE()))),"OLD",IF(AND(E571&lt;&gt;"",E571&lt;&gt;"!!!"),"NEW","")))</f>
        <v/>
      </c>
      <c r="G571" s="23" t="str">
        <f aca="false"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aca="false">IF(J571&lt;&gt;1,"",IF(I571="SBJ","CB","?"))</f>
        <v/>
      </c>
      <c r="I571" s="25" t="str">
        <f aca="false">IF(OR(E571="",E571="!!!",F571="NEW"),"",INDEX(O$2:O533,-1+SUMPRODUCT(MAX(ROW(R$2:R533)*(E571=R$2:R533)))))</f>
        <v/>
      </c>
      <c r="J571" s="25" t="str">
        <f aca="true">IF(OR(E571="",E571="!!!",F571="NEW"),"",COUNTBLANK(OFFSET(N$1,,,SUMPRODUCT(MAX(ROW(R$2:R534)*(E571=R$2:R534)))))-COUNTBLANK(OFFSET(N$1,,,SUMPRODUCT(MAX(ROW(R$1:R533)*(R2=R$1:R533))))))</f>
        <v/>
      </c>
      <c r="K571" s="25" t="str">
        <f aca="false">IF(OR(E571="",E571="!!!",F571="NEW"),"",INDEX(W$1:W533,SUMPRODUCT(MAX(ROW(R$1:R533)*(E571=R$1:R533)))))</f>
        <v/>
      </c>
      <c r="L571" s="26"/>
    </row>
    <row r="572" customFormat="false" ht="14.25" hidden="false" customHeight="false" outlineLevel="0" collapsed="false">
      <c r="A572" s="0" t="s">
        <v>448</v>
      </c>
      <c r="E572" s="21" t="str">
        <f aca="false">IF(Q535="?OLD","!!!","")</f>
        <v/>
      </c>
      <c r="F572" s="22" t="str">
        <f aca="false">IF(OR(E572="",E572="!!!"),"",IF(NOT(ISNA(VLOOKUP(E572,R$1:R534,1,FALSE()))),"OLD",IF(AND(E572&lt;&gt;"",E572&lt;&gt;"!!!"),"NEW","")))</f>
        <v/>
      </c>
      <c r="G572" s="23" t="str">
        <f aca="false"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aca="false">IF(J572&lt;&gt;1,"",IF(I572="SBJ","CB","?"))</f>
        <v/>
      </c>
      <c r="I572" s="25" t="str">
        <f aca="false">IF(OR(E572="",E572="!!!",F572="NEW"),"",INDEX(O$2:O534,-1+SUMPRODUCT(MAX(ROW(R$2:R534)*(E572=R$2:R534)))))</f>
        <v/>
      </c>
      <c r="J572" s="25" t="str">
        <f aca="true">IF(OR(E572="",E572="!!!",F572="NEW"),"",COUNTBLANK(OFFSET(N$1,,,SUMPRODUCT(MAX(ROW(R$2:R535)*(E572=R$2:R535)))))-COUNTBLANK(OFFSET(N$1,,,SUMPRODUCT(MAX(ROW(R$1:R534)*(R2=R$1:R534))))))</f>
        <v/>
      </c>
      <c r="K572" s="25" t="str">
        <f aca="false">IF(OR(E572="",E572="!!!",F572="NEW"),"",INDEX(W$1:W534,SUMPRODUCT(MAX(ROW(R$1:R534)*(E572=R$1:R534)))))</f>
        <v/>
      </c>
      <c r="L572" s="26"/>
    </row>
    <row r="573" customFormat="false" ht="14.25" hidden="false" customHeight="false" outlineLevel="0" collapsed="false">
      <c r="A573" s="0" t="s">
        <v>528</v>
      </c>
      <c r="B573" s="20" t="s">
        <v>164</v>
      </c>
      <c r="C573" s="20" t="s">
        <v>155</v>
      </c>
      <c r="E573" s="21" t="str">
        <f aca="false">IF(Q536="?OLD","!!!","")</f>
        <v/>
      </c>
      <c r="F573" s="22" t="str">
        <f aca="false">IF(OR(E573="",E573="!!!"),"",IF(NOT(ISNA(VLOOKUP(E573,R$1:R535,1,FALSE()))),"OLD",IF(AND(E573&lt;&gt;"",E573&lt;&gt;"!!!"),"NEW","")))</f>
        <v/>
      </c>
      <c r="G573" s="23" t="str">
        <f aca="false"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aca="false">IF(J573&lt;&gt;1,"",IF(I573="SBJ","CB","?"))</f>
        <v/>
      </c>
      <c r="I573" s="25" t="str">
        <f aca="false">IF(OR(E573="",E573="!!!",F573="NEW"),"",INDEX(O$2:O535,-1+SUMPRODUCT(MAX(ROW(R$2:R535)*(E573=R$2:R535)))))</f>
        <v/>
      </c>
      <c r="J573" s="25" t="str">
        <f aca="true">IF(OR(E573="",E573="!!!",F573="NEW"),"",COUNTBLANK(OFFSET(N$1,,,SUMPRODUCT(MAX(ROW(R$2:R536)*(E573=R$2:R536)))))-COUNTBLANK(OFFSET(N$1,,,SUMPRODUCT(MAX(ROW(R$1:R535)*(R2=R$1:R535))))))</f>
        <v/>
      </c>
      <c r="K573" s="25" t="str">
        <f aca="false">IF(OR(E573="",E573="!!!",F573="NEW"),"",INDEX(W$1:W535,SUMPRODUCT(MAX(ROW(R$1:R535)*(E573=R$1:R535)))))</f>
        <v/>
      </c>
      <c r="L573" s="26"/>
    </row>
    <row r="574" customFormat="false" ht="14.25" hidden="false" customHeight="false" outlineLevel="0" collapsed="false">
      <c r="A574" s="0" t="s">
        <v>252</v>
      </c>
      <c r="E574" s="21" t="str">
        <f aca="false">IF(Q537="?OLD","!!!","")</f>
        <v/>
      </c>
      <c r="F574" s="22" t="str">
        <f aca="false">IF(OR(E574="",E574="!!!"),"",IF(NOT(ISNA(VLOOKUP(E574,R$1:R536,1,FALSE()))),"OLD",IF(AND(E574&lt;&gt;"",E574&lt;&gt;"!!!"),"NEW","")))</f>
        <v/>
      </c>
      <c r="G574" s="23" t="str">
        <f aca="false"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aca="false">IF(J574&lt;&gt;1,"",IF(I574="SBJ","CB","?"))</f>
        <v/>
      </c>
      <c r="I574" s="25" t="str">
        <f aca="false">IF(OR(E574="",E574="!!!",F574="NEW"),"",INDEX(O$2:O536,-1+SUMPRODUCT(MAX(ROW(R$2:R536)*(E574=R$2:R536)))))</f>
        <v/>
      </c>
      <c r="J574" s="25" t="str">
        <f aca="true">IF(OR(E574="",E574="!!!",F574="NEW"),"",COUNTBLANK(OFFSET(N$1,,,SUMPRODUCT(MAX(ROW(R$2:R537)*(E574=R$2:R537)))))-COUNTBLANK(OFFSET(N$1,,,SUMPRODUCT(MAX(ROW(R$1:R536)*(R2=R$1:R536))))))</f>
        <v/>
      </c>
      <c r="K574" s="25" t="str">
        <f aca="false">IF(OR(E574="",E574="!!!",F574="NEW"),"",INDEX(W$1:W536,SUMPRODUCT(MAX(ROW(R$1:R536)*(E574=R$1:R536)))))</f>
        <v/>
      </c>
      <c r="L574" s="26"/>
    </row>
    <row r="575" customFormat="false" ht="14.25" hidden="false" customHeight="false" outlineLevel="0" collapsed="false">
      <c r="A575" s="0" t="s">
        <v>529</v>
      </c>
      <c r="B575" s="20" t="s">
        <v>164</v>
      </c>
      <c r="C575" s="20" t="s">
        <v>155</v>
      </c>
      <c r="E575" s="21" t="str">
        <f aca="false">IF(Q538="?OLD","!!!","")</f>
        <v/>
      </c>
      <c r="F575" s="22" t="str">
        <f aca="false">IF(OR(E575="",E575="!!!"),"",IF(NOT(ISNA(VLOOKUP(E575,R$1:R537,1,FALSE()))),"OLD",IF(AND(E575&lt;&gt;"",E575&lt;&gt;"!!!"),"NEW","")))</f>
        <v/>
      </c>
      <c r="G575" s="23" t="str">
        <f aca="false"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aca="false">IF(J575&lt;&gt;1,"",IF(I575="SBJ","CB","?"))</f>
        <v/>
      </c>
      <c r="I575" s="25" t="str">
        <f aca="false">IF(OR(E575="",E575="!!!",F575="NEW"),"",INDEX(O$2:O537,-1+SUMPRODUCT(MAX(ROW(R$2:R537)*(E575=R$2:R537)))))</f>
        <v/>
      </c>
      <c r="J575" s="25" t="str">
        <f aca="true">IF(OR(E575="",E575="!!!",F575="NEW"),"",COUNTBLANK(OFFSET(N$1,,,SUMPRODUCT(MAX(ROW(R$2:R538)*(E575=R$2:R538)))))-COUNTBLANK(OFFSET(N$1,,,SUMPRODUCT(MAX(ROW(R$1:R537)*(R2=R$1:R537))))))</f>
        <v/>
      </c>
      <c r="K575" s="25" t="str">
        <f aca="false">IF(OR(E575="",E575="!!!",F575="NEW"),"",INDEX(W$1:W537,SUMPRODUCT(MAX(ROW(R$1:R537)*(E575=R$1:R537)))))</f>
        <v/>
      </c>
      <c r="L575" s="26"/>
    </row>
    <row r="576" customFormat="false" ht="14.25" hidden="false" customHeight="false" outlineLevel="0" collapsed="false">
      <c r="A576" s="0" t="s">
        <v>530</v>
      </c>
      <c r="B576" s="20" t="s">
        <v>187</v>
      </c>
      <c r="C576" s="20" t="s">
        <v>225</v>
      </c>
      <c r="E576" s="21" t="str">
        <f aca="false">IF(Q539="?OLD","!!!","")</f>
        <v/>
      </c>
      <c r="F576" s="22" t="str">
        <f aca="false">IF(OR(E576="",E576="!!!"),"",IF(NOT(ISNA(VLOOKUP(E576,R$1:R538,1,FALSE()))),"OLD",IF(AND(E576&lt;&gt;"",E576&lt;&gt;"!!!"),"NEW","")))</f>
        <v/>
      </c>
      <c r="G576" s="23" t="str">
        <f aca="false"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aca="false">IF(J576&lt;&gt;1,"",IF(I576="SBJ","CB","?"))</f>
        <v/>
      </c>
      <c r="I576" s="25" t="str">
        <f aca="false">IF(OR(E576="",E576="!!!",F576="NEW"),"",INDEX(O$2:O538,-1+SUMPRODUCT(MAX(ROW(R$2:R538)*(E576=R$2:R538)))))</f>
        <v/>
      </c>
      <c r="J576" s="25" t="str">
        <f aca="true">IF(OR(E576="",E576="!!!",F576="NEW"),"",COUNTBLANK(OFFSET(N$1,,,SUMPRODUCT(MAX(ROW(R$2:R539)*(E576=R$2:R539)))))-COUNTBLANK(OFFSET(N$1,,,SUMPRODUCT(MAX(ROW(R$1:R538)*(R2=R$1:R538))))))</f>
        <v/>
      </c>
      <c r="K576" s="25" t="str">
        <f aca="false">IF(OR(E576="",E576="!!!",F576="NEW"),"",INDEX(W$1:W538,SUMPRODUCT(MAX(ROW(R$1:R538)*(E576=R$1:R538)))))</f>
        <v/>
      </c>
      <c r="L576" s="26"/>
    </row>
    <row r="577" customFormat="false" ht="14.25" hidden="false" customHeight="false" outlineLevel="0" collapsed="false">
      <c r="A577" s="0" t="s">
        <v>438</v>
      </c>
      <c r="B577" s="20" t="s">
        <v>148</v>
      </c>
      <c r="C577" s="20" t="s">
        <v>209</v>
      </c>
      <c r="D577" s="20" t="s">
        <v>125</v>
      </c>
      <c r="E577" s="21" t="str">
        <f aca="false">IF(Q540="?OLD","!!!","")</f>
        <v/>
      </c>
      <c r="F577" s="22" t="str">
        <f aca="false">IF(OR(E577="",E577="!!!"),"",IF(NOT(ISNA(VLOOKUP(E577,R$1:R539,1,FALSE()))),"OLD",IF(AND(E577&lt;&gt;"",E577&lt;&gt;"!!!"),"NEW","")))</f>
        <v/>
      </c>
      <c r="G577" s="23" t="str">
        <f aca="false"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aca="false">IF(J577&lt;&gt;1,"",IF(I577="SBJ","CB","?"))</f>
        <v/>
      </c>
      <c r="I577" s="25" t="str">
        <f aca="false">IF(OR(E577="",E577="!!!",F577="NEW"),"",INDEX(O$2:O539,-1+SUMPRODUCT(MAX(ROW(R$2:R539)*(E577=R$2:R539)))))</f>
        <v/>
      </c>
      <c r="J577" s="25" t="str">
        <f aca="true">IF(OR(E577="",E577="!!!",F577="NEW"),"",COUNTBLANK(OFFSET(N$1,,,SUMPRODUCT(MAX(ROW(R$2:R540)*(E577=R$2:R540)))))-COUNTBLANK(OFFSET(N$1,,,SUMPRODUCT(MAX(ROW(R$1:R539)*(R2=R$1:R539))))))</f>
        <v/>
      </c>
      <c r="K577" s="25" t="str">
        <f aca="false">IF(OR(E577="",E577="!!!",F577="NEW"),"",INDEX(W$1:W539,SUMPRODUCT(MAX(ROW(R$1:R539)*(E577=R$1:R539)))))</f>
        <v/>
      </c>
      <c r="L577" s="26"/>
      <c r="O577" s="20"/>
      <c r="P577" s="20"/>
    </row>
    <row r="578" customFormat="false" ht="14.25" hidden="false" customHeight="false" outlineLevel="0" collapsed="false">
      <c r="A578" s="0" t="s">
        <v>531</v>
      </c>
      <c r="B578" s="20" t="s">
        <v>164</v>
      </c>
      <c r="C578" s="20" t="s">
        <v>532</v>
      </c>
      <c r="D578" s="20" t="s">
        <v>125</v>
      </c>
      <c r="E578" s="21"/>
      <c r="F578" s="22"/>
      <c r="G578" s="23" t="str">
        <f aca="false"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aca="false">IF(J578&lt;&gt;1,"",IF(I578="SBJ","CB","?"))</f>
        <v/>
      </c>
      <c r="I578" s="25" t="str">
        <f aca="false">IF(OR(E578="",E578="!!!",F578="NEW"),"",INDEX(O$2:O540,-1+SUMPRODUCT(MAX(ROW(R$2:R540)*(E578=R$2:R540)))))</f>
        <v/>
      </c>
      <c r="J578" s="25" t="str">
        <f aca="true">IF(OR(E578="",E578="!!!",F578="NEW"),"",COUNTBLANK(OFFSET(N$1,,,SUMPRODUCT(MAX(ROW(R$2:R541)*(E578=R$2:R541)))))-COUNTBLANK(OFFSET(N$1,,,SUMPRODUCT(MAX(ROW(R$1:R540)*(R2=R$1:R540))))))</f>
        <v/>
      </c>
      <c r="K578" s="25" t="str">
        <f aca="false">IF(OR(E578="",E578="!!!",F578="NEW"),"",INDEX(W$1:W540,SUMPRODUCT(MAX(ROW(R$1:R540)*(E578=R$1:R540)))))</f>
        <v/>
      </c>
      <c r="L578" s="26" t="s">
        <v>533</v>
      </c>
    </row>
    <row r="579" customFormat="false" ht="14.25" hidden="false" customHeight="false" outlineLevel="0" collapsed="false">
      <c r="A579" s="0" t="s">
        <v>534</v>
      </c>
      <c r="E579" s="21" t="str">
        <f aca="false">IF(Q542="?OLD","!!!","")</f>
        <v/>
      </c>
      <c r="F579" s="22" t="str">
        <f aca="false">IF(OR(E579="",E579="!!!"),"",IF(NOT(ISNA(VLOOKUP(E579,R$1:R541,1,FALSE()))),"OLD",IF(AND(E579&lt;&gt;"",E579&lt;&gt;"!!!"),"NEW","")))</f>
        <v/>
      </c>
      <c r="G579" s="23" t="str">
        <f aca="false"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aca="false">IF(J579&lt;&gt;1,"",IF(I579="SBJ","CB","?"))</f>
        <v/>
      </c>
      <c r="I579" s="25" t="str">
        <f aca="false">IF(OR(E579="",E579="!!!",F579="NEW"),"",INDEX(O$2:O541,-1+SUMPRODUCT(MAX(ROW(R$2:R541)*(E579=R$2:R541)))))</f>
        <v/>
      </c>
      <c r="J579" s="25" t="str">
        <f aca="true">IF(OR(E579="",E579="!!!",F579="NEW"),"",COUNTBLANK(OFFSET(N$1,,,SUMPRODUCT(MAX(ROW(R$2:R542)*(E579=R$2:R542)))))-COUNTBLANK(OFFSET(N$1,,,SUMPRODUCT(MAX(ROW(R$1:R541)*(R2=R$1:R541))))))</f>
        <v/>
      </c>
      <c r="K579" s="25" t="str">
        <f aca="false">IF(OR(E579="",E579="!!!",F579="NEW"),"",INDEX(W$1:W541,SUMPRODUCT(MAX(ROW(R$1:R541)*(E579=R$1:R541)))))</f>
        <v/>
      </c>
      <c r="L579" s="26"/>
    </row>
    <row r="580" customFormat="false" ht="14.25" hidden="false" customHeight="false" outlineLevel="0" collapsed="false">
      <c r="A580" s="0" t="s">
        <v>140</v>
      </c>
      <c r="E580" s="21" t="str">
        <f aca="false">IF(Q543="?OLD","!!!","")</f>
        <v/>
      </c>
      <c r="F580" s="22" t="str">
        <f aca="false">IF(OR(E580="",E580="!!!"),"",IF(NOT(ISNA(VLOOKUP(E580,R$1:R542,1,FALSE()))),"OLD",IF(AND(E580&lt;&gt;"",E580&lt;&gt;"!!!"),"NEW","")))</f>
        <v/>
      </c>
      <c r="G580" s="23" t="str">
        <f aca="false"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aca="false">IF(J580&lt;&gt;1,"",IF(I580="SBJ","CB","?"))</f>
        <v/>
      </c>
      <c r="I580" s="25" t="str">
        <f aca="false">IF(OR(E580="",E580="!!!",F580="NEW"),"",INDEX(O$2:O542,-1+SUMPRODUCT(MAX(ROW(R$2:R542)*(E580=R$2:R542)))))</f>
        <v/>
      </c>
      <c r="J580" s="25" t="str">
        <f aca="true">IF(OR(E580="",E580="!!!",F580="NEW"),"",COUNTBLANK(OFFSET(N$1,,,SUMPRODUCT(MAX(ROW(R$2:R543)*(E580=R$2:R543)))))-COUNTBLANK(OFFSET(N$1,,,SUMPRODUCT(MAX(ROW(R$1:R542)*(R2=R$1:R542))))))</f>
        <v/>
      </c>
      <c r="K580" s="25" t="str">
        <f aca="false">IF(OR(E580="",E580="!!!",F580="NEW"),"",INDEX(W$1:W542,SUMPRODUCT(MAX(ROW(R$1:R542)*(E580=R$1:R542)))))</f>
        <v/>
      </c>
      <c r="L580" s="26"/>
    </row>
    <row r="581" customFormat="false" ht="14.25" hidden="false" customHeight="false" outlineLevel="0" collapsed="false">
      <c r="A581" s="0" t="s">
        <v>344</v>
      </c>
      <c r="E581" s="21" t="str">
        <f aca="false">IF(Q544="?OLD","!!!","")</f>
        <v/>
      </c>
      <c r="F581" s="22" t="str">
        <f aca="false">IF(OR(E581="",E581="!!!"),"",IF(NOT(ISNA(VLOOKUP(E581,R$1:R543,1,FALSE()))),"OLD",IF(AND(E581&lt;&gt;"",E581&lt;&gt;"!!!"),"NEW","")))</f>
        <v/>
      </c>
      <c r="G581" s="23" t="str">
        <f aca="false"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aca="false">IF(J581&lt;&gt;1,"",IF(I581="SBJ","CB","?"))</f>
        <v/>
      </c>
      <c r="I581" s="25" t="str">
        <f aca="false">IF(OR(E581="",E581="!!!",F581="NEW"),"",INDEX(O$2:O543,-1+SUMPRODUCT(MAX(ROW(R$2:R543)*(E581=R$2:R543)))))</f>
        <v/>
      </c>
      <c r="J581" s="25" t="str">
        <f aca="true">IF(OR(E581="",E581="!!!",F581="NEW"),"",COUNTBLANK(OFFSET(N$1,,,SUMPRODUCT(MAX(ROW(R$2:R544)*(E581=R$2:R544)))))-COUNTBLANK(OFFSET(N$1,,,SUMPRODUCT(MAX(ROW(R$1:R543)*(R2=R$1:R543))))))</f>
        <v/>
      </c>
      <c r="K581" s="25" t="str">
        <f aca="false">IF(OR(E581="",E581="!!!",F581="NEW"),"",INDEX(W$1:W543,SUMPRODUCT(MAX(ROW(R$1:R543)*(E581=R$1:R543)))))</f>
        <v/>
      </c>
      <c r="L581" s="26"/>
    </row>
    <row r="582" customFormat="false" ht="14.25" hidden="false" customHeight="false" outlineLevel="0" collapsed="false">
      <c r="A582" s="0" t="s">
        <v>535</v>
      </c>
      <c r="E582" s="21" t="str">
        <f aca="false">IF(Q545="?OLD","!!!","")</f>
        <v/>
      </c>
      <c r="F582" s="22" t="str">
        <f aca="false">IF(OR(E582="",E582="!!!"),"",IF(NOT(ISNA(VLOOKUP(E582,R$1:R544,1,FALSE()))),"OLD",IF(AND(E582&lt;&gt;"",E582&lt;&gt;"!!!"),"NEW","")))</f>
        <v/>
      </c>
      <c r="G582" s="23" t="str">
        <f aca="false"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aca="false">IF(J582&lt;&gt;1,"",IF(I582="SBJ","CB","?"))</f>
        <v/>
      </c>
      <c r="I582" s="25" t="str">
        <f aca="false">IF(OR(E582="",E582="!!!",F582="NEW"),"",INDEX(O$2:O544,-1+SUMPRODUCT(MAX(ROW(R$2:R544)*(E582=R$2:R544)))))</f>
        <v/>
      </c>
      <c r="J582" s="25" t="str">
        <f aca="true">IF(OR(E582="",E582="!!!",F582="NEW"),"",COUNTBLANK(OFFSET(N$1,,,SUMPRODUCT(MAX(ROW(R$2:R545)*(E582=R$2:R545)))))-COUNTBLANK(OFFSET(N$1,,,SUMPRODUCT(MAX(ROW(R$1:R544)*(R2=R$1:R544))))))</f>
        <v/>
      </c>
      <c r="K582" s="25" t="str">
        <f aca="false">IF(OR(E582="",E582="!!!",F582="NEW"),"",INDEX(W$1:W544,SUMPRODUCT(MAX(ROW(R$1:R544)*(E582=R$1:R544)))))</f>
        <v/>
      </c>
      <c r="L582" s="26"/>
    </row>
    <row r="583" customFormat="false" ht="14.25" hidden="false" customHeight="false" outlineLevel="0" collapsed="false">
      <c r="A583" s="0" t="s">
        <v>536</v>
      </c>
      <c r="B583" s="20" t="s">
        <v>224</v>
      </c>
      <c r="C583" s="20" t="s">
        <v>146</v>
      </c>
      <c r="E583" s="21"/>
      <c r="F583" s="22" t="str">
        <f aca="false">IF(OR(E583="",E583="!!!"),"",IF(NOT(ISNA(VLOOKUP(E583,R$1:R545,1,FALSE()))),"OLD",IF(AND(E583&lt;&gt;"",E583&lt;&gt;"!!!"),"NEW","")))</f>
        <v/>
      </c>
      <c r="G583" s="23" t="str">
        <f aca="false"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aca="false">IF(J583&lt;&gt;1,"",IF(I583="SBJ","CB","?"))</f>
        <v/>
      </c>
      <c r="I583" s="25" t="str">
        <f aca="false">IF(OR(E583="",E583="!!!",F583="NEW"),"",INDEX(O$2:O545,-1+SUMPRODUCT(MAX(ROW(R$2:R545)*(E583=R$2:R545)))))</f>
        <v/>
      </c>
      <c r="J583" s="25" t="str">
        <f aca="true">IF(OR(E583="",E583="!!!",F583="NEW"),"",COUNTBLANK(OFFSET(N$1,,,SUMPRODUCT(MAX(ROW(R$2:R546)*(E583=R$2:R546)))))-COUNTBLANK(OFFSET(N$1,,,SUMPRODUCT(MAX(ROW(R$1:R545)*(R2=R$1:R545))))))</f>
        <v/>
      </c>
      <c r="K583" s="25" t="str">
        <f aca="false">IF(OR(E583="",E583="!!!",F583="NEW"),"",INDEX(W$1:W545,SUMPRODUCT(MAX(ROW(R$1:R545)*(E583=R$1:R545)))))</f>
        <v/>
      </c>
      <c r="L583" s="26"/>
      <c r="O583" s="20"/>
    </row>
    <row r="584" customFormat="false" ht="14.25" hidden="false" customHeight="false" outlineLevel="0" collapsed="false">
      <c r="A584" s="0" t="s">
        <v>226</v>
      </c>
      <c r="E584" s="21" t="str">
        <f aca="false">IF(Q547="?OLD","!!!","")</f>
        <v/>
      </c>
      <c r="F584" s="22" t="str">
        <f aca="false">IF(OR(E584="",E584="!!!"),"",IF(NOT(ISNA(VLOOKUP(E584,R$1:R546,1,FALSE()))),"OLD",IF(AND(E584&lt;&gt;"",E584&lt;&gt;"!!!"),"NEW","")))</f>
        <v/>
      </c>
      <c r="G584" s="23" t="str">
        <f aca="false"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aca="false">IF(J584&lt;&gt;1,"",IF(I584="SBJ","CB","?"))</f>
        <v/>
      </c>
      <c r="I584" s="25" t="str">
        <f aca="false">IF(OR(E584="",E584="!!!",F584="NEW"),"",INDEX(O$2:O546,-1+SUMPRODUCT(MAX(ROW(R$2:R546)*(E584=R$2:R546)))))</f>
        <v/>
      </c>
      <c r="J584" s="25" t="str">
        <f aca="true">IF(OR(E584="",E584="!!!",F584="NEW"),"",COUNTBLANK(OFFSET(N$1,,,SUMPRODUCT(MAX(ROW(R$2:R547)*(E584=R$2:R547)))))-COUNTBLANK(OFFSET(N$1,,,SUMPRODUCT(MAX(ROW(R$1:R546)*(R2=R$1:R546))))))</f>
        <v/>
      </c>
      <c r="K584" s="25" t="str">
        <f aca="false">IF(OR(E584="",E584="!!!",F584="NEW"),"",INDEX(W$1:W546,SUMPRODUCT(MAX(ROW(R$1:R546)*(E584=R$1:R546)))))</f>
        <v/>
      </c>
      <c r="L584" s="26"/>
      <c r="O584" s="20"/>
      <c r="P584" s="20"/>
      <c r="Q584" s="20"/>
    </row>
    <row r="585" customFormat="false" ht="14.25" hidden="false" customHeight="false" outlineLevel="0" collapsed="false">
      <c r="A585" s="0" t="s">
        <v>537</v>
      </c>
      <c r="E585" s="21" t="str">
        <f aca="false">IF(Q548="?OLD","!!!","")</f>
        <v/>
      </c>
      <c r="F585" s="22" t="str">
        <f aca="false">IF(OR(E585="",E585="!!!"),"",IF(NOT(ISNA(VLOOKUP(E585,R$1:R547,1,FALSE()))),"OLD",IF(AND(E585&lt;&gt;"",E585&lt;&gt;"!!!"),"NEW","")))</f>
        <v/>
      </c>
      <c r="G585" s="23" t="str">
        <f aca="false"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aca="false">IF(J585&lt;&gt;1,"",IF(I585="SBJ","CB","?"))</f>
        <v/>
      </c>
      <c r="I585" s="25" t="str">
        <f aca="false">IF(OR(E585="",E585="!!!",F585="NEW"),"",INDEX(O$2:O547,-1+SUMPRODUCT(MAX(ROW(R$2:R547)*(E585=R$2:R547)))))</f>
        <v/>
      </c>
      <c r="J585" s="25" t="str">
        <f aca="true">IF(OR(E585="",E585="!!!",F585="NEW"),"",COUNTBLANK(OFFSET(N$1,,,SUMPRODUCT(MAX(ROW(R$2:R548)*(E585=R$2:R548)))))-COUNTBLANK(OFFSET(N$1,,,SUMPRODUCT(MAX(ROW(R$1:R547)*(R2=R$1:R547))))))</f>
        <v/>
      </c>
      <c r="K585" s="25" t="str">
        <f aca="false">IF(OR(E585="",E585="!!!",F585="NEW"),"",INDEX(W$1:W547,SUMPRODUCT(MAX(ROW(R$1:R547)*(E585=R$1:R547)))))</f>
        <v/>
      </c>
      <c r="L585" s="26"/>
    </row>
    <row r="586" customFormat="false" ht="14.25" hidden="false" customHeight="false" outlineLevel="0" collapsed="false">
      <c r="A586" s="0" t="s">
        <v>160</v>
      </c>
      <c r="E586" s="21" t="str">
        <f aca="false">IF(Q549="?OLD","!!!","")</f>
        <v/>
      </c>
      <c r="F586" s="22" t="str">
        <f aca="false">IF(OR(E586="",E586="!!!"),"",IF(NOT(ISNA(VLOOKUP(E586,R$1:R548,1,FALSE()))),"OLD",IF(AND(E586&lt;&gt;"",E586&lt;&gt;"!!!"),"NEW","")))</f>
        <v/>
      </c>
      <c r="G586" s="23" t="str">
        <f aca="false"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aca="false">IF(J586&lt;&gt;1,"",IF(I586="SBJ","CB","?"))</f>
        <v/>
      </c>
      <c r="I586" s="25" t="str">
        <f aca="false">IF(OR(E586="",E586="!!!",F586="NEW"),"",INDEX(O$2:O548,-1+SUMPRODUCT(MAX(ROW(R$2:R548)*(E586=R$2:R548)))))</f>
        <v/>
      </c>
      <c r="J586" s="25" t="str">
        <f aca="true">IF(OR(E586="",E586="!!!",F586="NEW"),"",COUNTBLANK(OFFSET(N$1,,,SUMPRODUCT(MAX(ROW(R$2:R549)*(E586=R$2:R549)))))-COUNTBLANK(OFFSET(N$1,,,SUMPRODUCT(MAX(ROW(R$1:R548)*(R2=R$1:R548))))))</f>
        <v/>
      </c>
      <c r="K586" s="25" t="str">
        <f aca="false">IF(OR(E586="",E586="!!!",F586="NEW"),"",INDEX(W$1:W548,SUMPRODUCT(MAX(ROW(R$1:R548)*(E586=R$1:R548)))))</f>
        <v/>
      </c>
      <c r="L586" s="26"/>
    </row>
    <row r="588" customFormat="false" ht="14.25" hidden="false" customHeight="false" outlineLevel="0" collapsed="false">
      <c r="A588" s="0" t="s">
        <v>538</v>
      </c>
      <c r="O588" s="20"/>
      <c r="P588" s="20"/>
      <c r="Q588" s="20"/>
    </row>
    <row r="589" customFormat="false" ht="14.25" hidden="false" customHeight="false" outlineLevel="0" collapsed="false">
      <c r="A589" s="0" t="s">
        <v>200</v>
      </c>
      <c r="B589" s="20" t="s">
        <v>133</v>
      </c>
      <c r="C589" s="20" t="s">
        <v>201</v>
      </c>
      <c r="D589" s="20" t="s">
        <v>125</v>
      </c>
      <c r="E589" s="21" t="s">
        <v>126</v>
      </c>
      <c r="F589" s="22" t="str">
        <f aca="false">IF(OR(E589="",E589="!!!"),"",IF(NOT(ISNA(VLOOKUP(E589,R$1:R549,1,FALSE()))),"OLD",IF(AND(E589&lt;&gt;"",E589&lt;&gt;"!!!"),"NEW","")))</f>
        <v>NEW</v>
      </c>
      <c r="G589" s="23" t="str">
        <f aca="false"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?REFERENTIAL</v>
      </c>
      <c r="H589" s="24" t="str">
        <f aca="false">IF(J589&lt;&gt;1,"",IF(I589="SBJ","CB","?"))</f>
        <v/>
      </c>
      <c r="I589" s="25" t="str">
        <f aca="false">IF(OR(E589="",E589="!!!",F589="NEW"),"",INDEX(O$2:O549,-1+SUMPRODUCT(MAX(ROW(R$2:R549)*(E589=R$2:R549)))))</f>
        <v/>
      </c>
      <c r="J589" s="25" t="str">
        <f aca="true">IF(OR(E589="",E589="!!!",F589="NEW"),"",COUNTBLANK(OFFSET(N$1,,,SUMPRODUCT(MAX(ROW(R$2:R550)*(E589=R$2:R550)))))-COUNTBLANK(OFFSET(N$1,,,SUMPRODUCT(MAX(ROW(R$1:R549)*(R2=R$1:R549))))))</f>
        <v/>
      </c>
      <c r="K589" s="25" t="str">
        <f aca="false">IF(OR(E589="",E589="!!!",F589="NEW"),"",INDEX(W$1:W549,SUMPRODUCT(MAX(ROW(R$1:R549)*(E589=R$1:R549)))))</f>
        <v/>
      </c>
      <c r="L589" s="26"/>
    </row>
    <row r="590" customFormat="false" ht="14.25" hidden="false" customHeight="false" outlineLevel="0" collapsed="false">
      <c r="A590" s="0" t="s">
        <v>539</v>
      </c>
      <c r="B590" s="20" t="s">
        <v>133</v>
      </c>
      <c r="C590" s="20" t="s">
        <v>155</v>
      </c>
      <c r="E590" s="21" t="s">
        <v>540</v>
      </c>
      <c r="F590" s="22" t="str">
        <f aca="false">IF(OR(E590="",E590="!!!"),"",IF(NOT(ISNA(VLOOKUP(E590,R$1:R550,1,FALSE()))),"OLD",IF(AND(E590&lt;&gt;"",E590&lt;&gt;"!!!"),"NEW","")))</f>
        <v>NEW</v>
      </c>
      <c r="G590" s="23" t="str">
        <f aca="false"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?REFERENTIAL</v>
      </c>
      <c r="H590" s="24" t="str">
        <f aca="false">IF(J590&lt;&gt;1,"",IF(I590="SBJ","CB","?"))</f>
        <v/>
      </c>
      <c r="I590" s="25" t="str">
        <f aca="false">IF(OR(E590="",E590="!!!",F590="NEW"),"",INDEX(O$2:O550,-1+SUMPRODUCT(MAX(ROW(R$2:R550)*(E590=R$2:R550)))))</f>
        <v/>
      </c>
      <c r="J590" s="25" t="str">
        <f aca="true">IF(OR(E590="",E590="!!!",F590="NEW"),"",COUNTBLANK(OFFSET(N$1,,,SUMPRODUCT(MAX(ROW(R$2:R551)*(E590=R$2:R551)))))-COUNTBLANK(OFFSET(N$1,,,SUMPRODUCT(MAX(ROW(R$1:R550)*(R2=R$1:R550))))))</f>
        <v/>
      </c>
      <c r="K590" s="25" t="str">
        <f aca="false">IF(OR(E590="",E590="!!!",F590="NEW"),"",INDEX(W$1:W550,SUMPRODUCT(MAX(ROW(R$1:R550)*(E590=R$1:R550)))))</f>
        <v/>
      </c>
      <c r="L590" s="26" t="s">
        <v>541</v>
      </c>
      <c r="O590" s="20"/>
      <c r="P590" s="20"/>
      <c r="Q590" s="20"/>
    </row>
    <row r="591" customFormat="false" ht="14.25" hidden="false" customHeight="false" outlineLevel="0" collapsed="false">
      <c r="A591" s="0" t="s">
        <v>138</v>
      </c>
      <c r="E591" s="21" t="str">
        <f aca="false">IF(Q552="?OLD","!!!","")</f>
        <v/>
      </c>
      <c r="F591" s="22" t="str">
        <f aca="false">IF(OR(E591="",E591="!!!"),"",IF(NOT(ISNA(VLOOKUP(E591,R$1:R551,1,FALSE()))),"OLD",IF(AND(E591&lt;&gt;"",E591&lt;&gt;"!!!"),"NEW","")))</f>
        <v/>
      </c>
      <c r="G591" s="23" t="str">
        <f aca="false"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aca="false">IF(J591&lt;&gt;1,"",IF(I591="SBJ","CB","?"))</f>
        <v/>
      </c>
      <c r="I591" s="25" t="str">
        <f aca="false">IF(OR(E591="",E591="!!!",F591="NEW"),"",INDEX(O$2:O551,-1+SUMPRODUCT(MAX(ROW(R$2:R551)*(E591=R$2:R551)))))</f>
        <v/>
      </c>
      <c r="J591" s="25" t="str">
        <f aca="true">IF(OR(E591="",E591="!!!",F591="NEW"),"",COUNTBLANK(OFFSET(N$1,,,SUMPRODUCT(MAX(ROW(R$2:R552)*(E591=R$2:R552)))))-COUNTBLANK(OFFSET(N$1,,,SUMPRODUCT(MAX(ROW(R$1:R551)*(R2=R$1:R551))))))</f>
        <v/>
      </c>
      <c r="K591" s="25" t="str">
        <f aca="false">IF(OR(E591="",E591="!!!",F591="NEW"),"",INDEX(W$1:W551,SUMPRODUCT(MAX(ROW(R$1:R551)*(E591=R$1:R551)))))</f>
        <v/>
      </c>
      <c r="L591" s="26"/>
    </row>
    <row r="592" customFormat="false" ht="14.25" hidden="false" customHeight="false" outlineLevel="0" collapsed="false">
      <c r="A592" s="0" t="s">
        <v>542</v>
      </c>
      <c r="B592" s="20" t="s">
        <v>148</v>
      </c>
      <c r="C592" s="20" t="s">
        <v>201</v>
      </c>
      <c r="D592" s="20" t="s">
        <v>125</v>
      </c>
      <c r="E592" s="21" t="s">
        <v>126</v>
      </c>
      <c r="F592" s="22" t="str">
        <f aca="false">IF(OR(E592="",E592="!!!"),"",IF(NOT(ISNA(VLOOKUP(E592,R$1:R552,1,FALSE()))),"OLD",IF(AND(E592&lt;&gt;"",E592&lt;&gt;"!!!"),"NEW","")))</f>
        <v>NEW</v>
      </c>
      <c r="G592" s="23" t="str">
        <f aca="false"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?REFERENTIAL</v>
      </c>
      <c r="H592" s="24" t="str">
        <f aca="false">IF(J592&lt;&gt;1,"",IF(I592="SBJ","CB","?"))</f>
        <v/>
      </c>
      <c r="I592" s="25" t="str">
        <f aca="false">IF(OR(E592="",E592="!!!",F592="NEW"),"",INDEX(O$2:O552,-1+SUMPRODUCT(MAX(ROW(R$2:R552)*(E592=R$2:R552)))))</f>
        <v/>
      </c>
      <c r="J592" s="25" t="str">
        <f aca="true">IF(OR(E592="",E592="!!!",F592="NEW"),"",COUNTBLANK(OFFSET(N$1,,,SUMPRODUCT(MAX(ROW(R$2:R553)*(E592=R$2:R553)))))-COUNTBLANK(OFFSET(N$1,,,SUMPRODUCT(MAX(ROW(R$1:R552)*(R2=R$1:R552))))))</f>
        <v/>
      </c>
      <c r="K592" s="25" t="str">
        <f aca="false">IF(OR(E592="",E592="!!!",F592="NEW"),"",INDEX(W$1:W552,SUMPRODUCT(MAX(ROW(R$1:R552)*(E592=R$1:R552)))))</f>
        <v/>
      </c>
      <c r="L592" s="26"/>
      <c r="O592" s="20"/>
      <c r="P592" s="20"/>
    </row>
    <row r="593" customFormat="false" ht="23.85" hidden="false" customHeight="false" outlineLevel="0" collapsed="false">
      <c r="A593" s="0" t="s">
        <v>543</v>
      </c>
      <c r="B593" s="20" t="s">
        <v>133</v>
      </c>
      <c r="C593" s="20" t="s">
        <v>155</v>
      </c>
      <c r="E593" s="21" t="s">
        <v>409</v>
      </c>
      <c r="F593" s="22" t="str">
        <f aca="false">IF(OR(E593="",E593="!!!"),"",IF(NOT(ISNA(VLOOKUP(E593,R$1:R553,1,FALSE()))),"OLD",IF(AND(E593&lt;&gt;"",E593&lt;&gt;"!!!"),"NEW","")))</f>
        <v>NEW</v>
      </c>
      <c r="G593" s="23" t="str">
        <f aca="false"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?REFERENTIAL</v>
      </c>
      <c r="H593" s="24" t="str">
        <f aca="false">IF(J593&lt;&gt;1,"",IF(I593="SBJ","CB","?"))</f>
        <v/>
      </c>
      <c r="I593" s="25" t="str">
        <f aca="false">IF(OR(E593="",E593="!!!",F593="NEW"),"",INDEX(O$2:O553,-1+SUMPRODUCT(MAX(ROW(R$2:R553)*(E593=R$2:R553)))))</f>
        <v/>
      </c>
      <c r="J593" s="25" t="str">
        <f aca="true">IF(OR(E593="",E593="!!!",F593="NEW"),"",COUNTBLANK(OFFSET(N$1,,,SUMPRODUCT(MAX(ROW(R$2:R554)*(E593=R$2:R554)))))-COUNTBLANK(OFFSET(N$1,,,SUMPRODUCT(MAX(ROW(R$1:R553)*(R2=R$1:R553))))))</f>
        <v/>
      </c>
      <c r="K593" s="25" t="str">
        <f aca="false">IF(OR(E593="",E593="!!!",F593="NEW"),"",INDEX(W$1:W553,SUMPRODUCT(MAX(ROW(R$1:R553)*(E593=R$1:R553)))))</f>
        <v/>
      </c>
      <c r="L593" s="26" t="s">
        <v>544</v>
      </c>
    </row>
    <row r="594" customFormat="false" ht="14.25" hidden="false" customHeight="false" outlineLevel="0" collapsed="false">
      <c r="A594" s="0" t="s">
        <v>163</v>
      </c>
      <c r="E594" s="21" t="str">
        <f aca="false">IF(Q555="?OLD","!!!","")</f>
        <v/>
      </c>
      <c r="F594" s="22" t="str">
        <f aca="false">IF(OR(E594="",E594="!!!"),"",IF(NOT(ISNA(VLOOKUP(E594,R$1:R554,1,FALSE()))),"OLD",IF(AND(E594&lt;&gt;"",E594&lt;&gt;"!!!"),"NEW","")))</f>
        <v/>
      </c>
      <c r="G594" s="23" t="str">
        <f aca="false"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aca="false">IF(J594&lt;&gt;1,"",IF(I594="SBJ","CB","?"))</f>
        <v/>
      </c>
      <c r="I594" s="25" t="str">
        <f aca="false">IF(OR(E594="",E594="!!!",F594="NEW"),"",INDEX(O$2:O554,-1+SUMPRODUCT(MAX(ROW(R$2:R554)*(E594=R$2:R554)))))</f>
        <v/>
      </c>
      <c r="J594" s="25" t="str">
        <f aca="true">IF(OR(E594="",E594="!!!",F594="NEW"),"",COUNTBLANK(OFFSET(N$1,,,SUMPRODUCT(MAX(ROW(R$2:R555)*(E594=R$2:R555)))))-COUNTBLANK(OFFSET(N$1,,,SUMPRODUCT(MAX(ROW(R$1:R554)*(R2=R$1:R554))))))</f>
        <v/>
      </c>
      <c r="K594" s="25" t="str">
        <f aca="false">IF(OR(E594="",E594="!!!",F594="NEW"),"",INDEX(W$1:W554,SUMPRODUCT(MAX(ROW(R$1:R554)*(E594=R$1:R554)))))</f>
        <v/>
      </c>
      <c r="L594" s="26"/>
    </row>
    <row r="595" customFormat="false" ht="14.25" hidden="false" customHeight="false" outlineLevel="0" collapsed="false">
      <c r="A595" s="0" t="s">
        <v>336</v>
      </c>
      <c r="E595" s="21"/>
      <c r="F595" s="22" t="s">
        <v>311</v>
      </c>
      <c r="G595" s="23" t="str">
        <f aca="false"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aca="false">IF(J595&lt;&gt;1,"",IF(I595="SBJ","CB","?"))</f>
        <v/>
      </c>
      <c r="I595" s="25" t="str">
        <f aca="false">IF(OR(E595="",E595="!!!",F595="NEW"),"",INDEX(O$2:O555,-1+SUMPRODUCT(MAX(ROW(R$2:R555)*(E595=R$2:R555)))))</f>
        <v/>
      </c>
      <c r="J595" s="25" t="str">
        <f aca="true">IF(OR(E595="",E595="!!!",F595="NEW"),"",COUNTBLANK(OFFSET(N$1,,,SUMPRODUCT(MAX(ROW(R$2:R556)*(E595=R$2:R556)))))-COUNTBLANK(OFFSET(N$1,,,SUMPRODUCT(MAX(ROW(R$1:R555)*(R2=R$1:R555))))))</f>
        <v/>
      </c>
      <c r="K595" s="25" t="str">
        <f aca="false">IF(OR(E595="",E595="!!!",F595="NEW"),"",INDEX(W$1:W555,SUMPRODUCT(MAX(ROW(R$1:R555)*(E595=R$1:R555)))))</f>
        <v/>
      </c>
      <c r="L595" s="26"/>
    </row>
    <row r="596" customFormat="false" ht="14.25" hidden="false" customHeight="false" outlineLevel="0" collapsed="false">
      <c r="A596" s="0" t="s">
        <v>140</v>
      </c>
      <c r="E596" s="21" t="str">
        <f aca="false">IF(Q557="?OLD","!!!","")</f>
        <v/>
      </c>
      <c r="F596" s="22" t="str">
        <f aca="false">IF(OR(E596="",E596="!!!"),"",IF(NOT(ISNA(VLOOKUP(E596,R$1:R556,1,FALSE()))),"OLD",IF(AND(E596&lt;&gt;"",E596&lt;&gt;"!!!"),"NEW","")))</f>
        <v/>
      </c>
      <c r="G596" s="23" t="str">
        <f aca="false"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aca="false">IF(J596&lt;&gt;1,"",IF(I596="SBJ","CB","?"))</f>
        <v/>
      </c>
      <c r="I596" s="25" t="str">
        <f aca="false">IF(OR(E596="",E596="!!!",F596="NEW"),"",INDEX(O$2:O556,-1+SUMPRODUCT(MAX(ROW(R$2:R556)*(E596=R$2:R556)))))</f>
        <v/>
      </c>
      <c r="J596" s="25" t="str">
        <f aca="true">IF(OR(E596="",E596="!!!",F596="NEW"),"",COUNTBLANK(OFFSET(N$1,,,SUMPRODUCT(MAX(ROW(R$2:R557)*(E596=R$2:R557)))))-COUNTBLANK(OFFSET(N$1,,,SUMPRODUCT(MAX(ROW(R$1:R556)*(R2=R$1:R556))))))</f>
        <v/>
      </c>
      <c r="K596" s="25" t="str">
        <f aca="false">IF(OR(E596="",E596="!!!",F596="NEW"),"",INDEX(W$1:W556,SUMPRODUCT(MAX(ROW(R$1:R556)*(E596=R$1:R556)))))</f>
        <v/>
      </c>
      <c r="L596" s="26"/>
      <c r="O596" s="20"/>
      <c r="P596" s="20"/>
      <c r="Q596" s="20"/>
    </row>
    <row r="597" customFormat="false" ht="14.25" hidden="false" customHeight="false" outlineLevel="0" collapsed="false">
      <c r="A597" s="0" t="s">
        <v>230</v>
      </c>
      <c r="E597" s="21" t="str">
        <f aca="false">IF(Q558="?OLD","!!!","")</f>
        <v/>
      </c>
      <c r="F597" s="22" t="str">
        <f aca="false">IF(OR(E597="",E597="!!!"),"",IF(NOT(ISNA(VLOOKUP(E597,R$1:R557,1,FALSE()))),"OLD",IF(AND(E597&lt;&gt;"",E597&lt;&gt;"!!!"),"NEW","")))</f>
        <v/>
      </c>
      <c r="G597" s="23" t="str">
        <f aca="false"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aca="false">IF(J597&lt;&gt;1,"",IF(I597="SBJ","CB","?"))</f>
        <v/>
      </c>
      <c r="I597" s="25" t="str">
        <f aca="false">IF(OR(E597="",E597="!!!",F597="NEW"),"",INDEX(O$2:O557,-1+SUMPRODUCT(MAX(ROW(R$2:R557)*(E597=R$2:R557)))))</f>
        <v/>
      </c>
      <c r="J597" s="25" t="str">
        <f aca="true">IF(OR(E597="",E597="!!!",F597="NEW"),"",COUNTBLANK(OFFSET(N$1,,,SUMPRODUCT(MAX(ROW(R$2:R558)*(E597=R$2:R558)))))-COUNTBLANK(OFFSET(N$1,,,SUMPRODUCT(MAX(ROW(R$1:R557)*(R2=R$1:R557))))))</f>
        <v/>
      </c>
      <c r="K597" s="25" t="str">
        <f aca="false">IF(OR(E597="",E597="!!!",F597="NEW"),"",INDEX(W$1:W557,SUMPRODUCT(MAX(ROW(R$1:R557)*(E597=R$1:R557)))))</f>
        <v/>
      </c>
      <c r="L597" s="26"/>
    </row>
    <row r="598" customFormat="false" ht="14.25" hidden="false" customHeight="false" outlineLevel="0" collapsed="false">
      <c r="A598" s="0" t="s">
        <v>273</v>
      </c>
      <c r="E598" s="21" t="str">
        <f aca="false">IF(Q559="?OLD","!!!","")</f>
        <v/>
      </c>
      <c r="F598" s="22" t="str">
        <f aca="false">IF(OR(E598="",E598="!!!"),"",IF(NOT(ISNA(VLOOKUP(E598,R$1:R558,1,FALSE()))),"OLD",IF(AND(E598&lt;&gt;"",E598&lt;&gt;"!!!"),"NEW","")))</f>
        <v/>
      </c>
      <c r="G598" s="23" t="str">
        <f aca="false"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aca="false">IF(J598&lt;&gt;1,"",IF(I598="SBJ","CB","?"))</f>
        <v/>
      </c>
      <c r="I598" s="25" t="str">
        <f aca="false">IF(OR(E598="",E598="!!!",F598="NEW"),"",INDEX(O$2:O558,-1+SUMPRODUCT(MAX(ROW(R$2:R558)*(E598=R$2:R558)))))</f>
        <v/>
      </c>
      <c r="J598" s="25" t="str">
        <f aca="true">IF(OR(E598="",E598="!!!",F598="NEW"),"",COUNTBLANK(OFFSET(N$1,,,SUMPRODUCT(MAX(ROW(R$2:R559)*(E598=R$2:R559)))))-COUNTBLANK(OFFSET(N$1,,,SUMPRODUCT(MAX(ROW(R$1:R558)*(R2=R$1:R558))))))</f>
        <v/>
      </c>
      <c r="K598" s="25" t="str">
        <f aca="false">IF(OR(E598="",E598="!!!",F598="NEW"),"",INDEX(W$1:W558,SUMPRODUCT(MAX(ROW(R$1:R558)*(E598=R$1:R558)))))</f>
        <v/>
      </c>
      <c r="L598" s="26"/>
    </row>
    <row r="599" customFormat="false" ht="14.25" hidden="false" customHeight="false" outlineLevel="0" collapsed="false">
      <c r="A599" s="0" t="s">
        <v>545</v>
      </c>
      <c r="B599" s="20" t="s">
        <v>123</v>
      </c>
      <c r="C599" s="20" t="s">
        <v>172</v>
      </c>
      <c r="D599" s="20" t="s">
        <v>125</v>
      </c>
      <c r="E599" s="21" t="s">
        <v>546</v>
      </c>
      <c r="F599" s="22" t="str">
        <f aca="false">IF(OR(E599="",E599="!!!"),"",IF(NOT(ISNA(VLOOKUP(E599,R$1:R559,1,FALSE()))),"OLD",IF(AND(E599&lt;&gt;"",E599&lt;&gt;"!!!"),"NEW","")))</f>
        <v>NEW</v>
      </c>
      <c r="G599" s="23" t="str">
        <f aca="false"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?REFERENTIAL</v>
      </c>
      <c r="H599" s="24" t="str">
        <f aca="false">IF(J599&lt;&gt;1,"",IF(I599="SBJ","CB","?"))</f>
        <v/>
      </c>
      <c r="I599" s="25" t="str">
        <f aca="false">IF(OR(E599="",E599="!!!",F599="NEW"),"",INDEX(O$2:O559,-1+SUMPRODUCT(MAX(ROW(R$2:R559)*(E599=R$2:R559)))))</f>
        <v/>
      </c>
      <c r="J599" s="25" t="str">
        <f aca="true">IF(OR(E599="",E599="!!!",F599="NEW"),"",COUNTBLANK(OFFSET(N$1,,,SUMPRODUCT(MAX(ROW(R$2:R560)*(E599=R$2:R560)))))-COUNTBLANK(OFFSET(N$1,,,SUMPRODUCT(MAX(ROW(R$1:R559)*(R2=R$1:R559))))))</f>
        <v/>
      </c>
      <c r="K599" s="25" t="str">
        <f aca="false">IF(OR(E599="",E599="!!!",F599="NEW"),"",INDEX(W$1:W559,SUMPRODUCT(MAX(ROW(R$1:R559)*(E599=R$1:R559)))))</f>
        <v/>
      </c>
      <c r="L599" s="26"/>
    </row>
    <row r="600" customFormat="false" ht="14.25" hidden="false" customHeight="false" outlineLevel="0" collapsed="false">
      <c r="A600" s="0" t="s">
        <v>138</v>
      </c>
      <c r="E600" s="21" t="str">
        <f aca="false">IF(Q561="?OLD","!!!","")</f>
        <v/>
      </c>
      <c r="F600" s="22" t="str">
        <f aca="false">IF(OR(E600="",E600="!!!"),"",IF(NOT(ISNA(VLOOKUP(E600,R$1:R560,1,FALSE()))),"OLD",IF(AND(E600&lt;&gt;"",E600&lt;&gt;"!!!"),"NEW","")))</f>
        <v/>
      </c>
      <c r="G600" s="23" t="str">
        <f aca="false"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aca="false">IF(J600&lt;&gt;1,"",IF(I600="SBJ","CB","?"))</f>
        <v/>
      </c>
      <c r="I600" s="25" t="str">
        <f aca="false">IF(OR(E600="",E600="!!!",F600="NEW"),"",INDEX(O$2:O560,-1+SUMPRODUCT(MAX(ROW(R$2:R560)*(E600=R$2:R560)))))</f>
        <v/>
      </c>
      <c r="J600" s="25" t="str">
        <f aca="true">IF(OR(E600="",E600="!!!",F600="NEW"),"",COUNTBLANK(OFFSET(N$1,,,SUMPRODUCT(MAX(ROW(R$2:R561)*(E600=R$2:R561)))))-COUNTBLANK(OFFSET(N$1,,,SUMPRODUCT(MAX(ROW(R$1:R560)*(R2=R$1:R560))))))</f>
        <v/>
      </c>
      <c r="K600" s="25" t="str">
        <f aca="false">IF(OR(E600="",E600="!!!",F600="NEW"),"",INDEX(W$1:W560,SUMPRODUCT(MAX(ROW(R$1:R560)*(E600=R$1:R560)))))</f>
        <v/>
      </c>
      <c r="L600" s="26"/>
    </row>
    <row r="601" customFormat="false" ht="14.25" hidden="false" customHeight="false" outlineLevel="0" collapsed="false">
      <c r="A601" s="0" t="s">
        <v>547</v>
      </c>
      <c r="B601" s="20" t="s">
        <v>150</v>
      </c>
      <c r="C601" s="20" t="s">
        <v>155</v>
      </c>
      <c r="E601" s="21"/>
      <c r="F601" s="22" t="str">
        <f aca="false">IF(OR(E601="",E601="!!!"),"",IF(NOT(ISNA(VLOOKUP(E601,R$1:R561,1,FALSE()))),"OLD",IF(AND(E601&lt;&gt;"",E601&lt;&gt;"!!!"),"NEW","")))</f>
        <v/>
      </c>
      <c r="G601" s="23" t="str">
        <f aca="false"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aca="false">IF(J601&lt;&gt;1,"",IF(I601="SBJ","CB","?"))</f>
        <v/>
      </c>
      <c r="I601" s="25" t="str">
        <f aca="false">IF(OR(E601="",E601="!!!",F601="NEW"),"",INDEX(O$2:O561,-1+SUMPRODUCT(MAX(ROW(R$2:R561)*(E601=R$2:R561)))))</f>
        <v/>
      </c>
      <c r="J601" s="25" t="str">
        <f aca="true">IF(OR(E601="",E601="!!!",F601="NEW"),"",COUNTBLANK(OFFSET(N$1,,,SUMPRODUCT(MAX(ROW(R$2:R562)*(E601=R$2:R562)))))-COUNTBLANK(OFFSET(N$1,,,SUMPRODUCT(MAX(ROW(R$1:R561)*(R2=R$1:R561))))))</f>
        <v/>
      </c>
      <c r="K601" s="25" t="str">
        <f aca="false">IF(OR(E601="",E601="!!!",F601="NEW"),"",INDEX(W$1:W561,SUMPRODUCT(MAX(ROW(R$1:R561)*(E601=R$1:R561)))))</f>
        <v/>
      </c>
      <c r="L601" s="26"/>
      <c r="O601" s="20"/>
    </row>
    <row r="602" customFormat="false" ht="14.25" hidden="false" customHeight="false" outlineLevel="0" collapsed="false">
      <c r="A602" s="0" t="s">
        <v>140</v>
      </c>
      <c r="E602" s="21" t="str">
        <f aca="false">IF(Q563="?OLD","!!!","")</f>
        <v/>
      </c>
      <c r="F602" s="22" t="str">
        <f aca="false">IF(OR(E602="",E602="!!!"),"",IF(NOT(ISNA(VLOOKUP(E602,R$1:R562,1,FALSE()))),"OLD",IF(AND(E602&lt;&gt;"",E602&lt;&gt;"!!!"),"NEW","")))</f>
        <v/>
      </c>
      <c r="G602" s="23" t="str">
        <f aca="false"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aca="false">IF(J602&lt;&gt;1,"",IF(I602="SBJ","CB","?"))</f>
        <v/>
      </c>
      <c r="I602" s="25" t="str">
        <f aca="false">IF(OR(E602="",E602="!!!",F602="NEW"),"",INDEX(O$2:O562,-1+SUMPRODUCT(MAX(ROW(R$2:R562)*(E602=R$2:R562)))))</f>
        <v/>
      </c>
      <c r="J602" s="25" t="str">
        <f aca="true">IF(OR(E602="",E602="!!!",F602="NEW"),"",COUNTBLANK(OFFSET(N$1,,,SUMPRODUCT(MAX(ROW(R$2:R563)*(E602=R$2:R563)))))-COUNTBLANK(OFFSET(N$1,,,SUMPRODUCT(MAX(ROW(R$1:R562)*(R2=R$1:R562))))))</f>
        <v/>
      </c>
      <c r="K602" s="25" t="str">
        <f aca="false">IF(OR(E602="",E602="!!!",F602="NEW"),"",INDEX(W$1:W562,SUMPRODUCT(MAX(ROW(R$1:R562)*(E602=R$1:R562)))))</f>
        <v/>
      </c>
      <c r="L602" s="26"/>
    </row>
    <row r="603" customFormat="false" ht="14.25" hidden="false" customHeight="false" outlineLevel="0" collapsed="false">
      <c r="A603" s="0" t="s">
        <v>273</v>
      </c>
      <c r="B603" s="20" t="s">
        <v>288</v>
      </c>
      <c r="E603" s="21"/>
      <c r="F603" s="22" t="str">
        <f aca="false">IF(OR(E603="",E603="!!!"),"",IF(NOT(ISNA(VLOOKUP(E603,R$1:R563,1,FALSE()))),"OLD",IF(AND(E603&lt;&gt;"",E603&lt;&gt;"!!!"),"NEW","")))</f>
        <v/>
      </c>
      <c r="G603" s="23" t="str">
        <f aca="false"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aca="false">IF(J603&lt;&gt;1,"",IF(I603="SBJ","CB","?"))</f>
        <v/>
      </c>
      <c r="I603" s="25" t="str">
        <f aca="false">IF(OR(E603="",E603="!!!",F603="NEW"),"",INDEX(O$2:O563,-1+SUMPRODUCT(MAX(ROW(R$2:R563)*(E603=R$2:R563)))))</f>
        <v/>
      </c>
      <c r="J603" s="25" t="str">
        <f aca="true">IF(OR(E603="",E603="!!!",F603="NEW"),"",COUNTBLANK(OFFSET(N$1,,,SUMPRODUCT(MAX(ROW(R$2:R564)*(E603=R$2:R564)))))-COUNTBLANK(OFFSET(N$1,,,SUMPRODUCT(MAX(ROW(R$1:R563)*(R2=R$1:R563))))))</f>
        <v/>
      </c>
      <c r="K603" s="25" t="str">
        <f aca="false">IF(OR(E603="",E603="!!!",F603="NEW"),"",INDEX(W$1:W563,SUMPRODUCT(MAX(ROW(R$1:R563)*(E603=R$1:R563)))))</f>
        <v/>
      </c>
      <c r="L603" s="26"/>
    </row>
    <row r="604" customFormat="false" ht="14.25" hidden="false" customHeight="false" outlineLevel="0" collapsed="false">
      <c r="A604" s="0" t="s">
        <v>244</v>
      </c>
      <c r="B604" s="20" t="s">
        <v>285</v>
      </c>
      <c r="C604" s="20" t="s">
        <v>209</v>
      </c>
      <c r="D604" s="20" t="s">
        <v>125</v>
      </c>
      <c r="E604" s="21" t="s">
        <v>476</v>
      </c>
      <c r="F604" s="22" t="str">
        <f aca="false">IF(OR(E604="",E604="!!!"),"",IF(NOT(ISNA(VLOOKUP(E604,R$1:R564,1,FALSE()))),"OLD",IF(AND(E604&lt;&gt;"",E604&lt;&gt;"!!!"),"NEW","")))</f>
        <v>NEW</v>
      </c>
      <c r="G604" s="23" t="str">
        <f aca="false"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?REFERENTIAL</v>
      </c>
      <c r="H604" s="24" t="str">
        <f aca="false">IF(J604&lt;&gt;1,"",IF(I604="SBJ","CB","?"))</f>
        <v/>
      </c>
      <c r="I604" s="25" t="str">
        <f aca="false">IF(OR(E604="",E604="!!!",F604="NEW"),"",INDEX(O$2:O564,-1+SUMPRODUCT(MAX(ROW(R$2:R564)*(E604=R$2:R564)))))</f>
        <v/>
      </c>
      <c r="J604" s="25" t="str">
        <f aca="true">IF(OR(E604="",E604="!!!",F604="NEW"),"",COUNTBLANK(OFFSET(N$1,,,SUMPRODUCT(MAX(ROW(R$2:R565)*(E604=R$2:R565)))))-COUNTBLANK(OFFSET(N$1,,,SUMPRODUCT(MAX(ROW(R$1:R564)*(R2=R$1:R564))))))</f>
        <v/>
      </c>
      <c r="K604" s="25" t="str">
        <f aca="false">IF(OR(E604="",E604="!!!",F604="NEW"),"",INDEX(W$1:W564,SUMPRODUCT(MAX(ROW(R$1:R564)*(E604=R$1:R564)))))</f>
        <v/>
      </c>
      <c r="L604" s="26"/>
      <c r="O604" s="20"/>
      <c r="P604" s="20"/>
      <c r="Q604" s="20"/>
    </row>
    <row r="605" customFormat="false" ht="14.25" hidden="false" customHeight="false" outlineLevel="0" collapsed="false">
      <c r="A605" s="0" t="s">
        <v>131</v>
      </c>
      <c r="E605" s="21" t="str">
        <f aca="false">IF(Q566="?OLD","!!!","")</f>
        <v/>
      </c>
      <c r="F605" s="22" t="str">
        <f aca="false">IF(OR(E605="",E605="!!!"),"",IF(NOT(ISNA(VLOOKUP(E605,R$1:R565,1,FALSE()))),"OLD",IF(AND(E605&lt;&gt;"",E605&lt;&gt;"!!!"),"NEW","")))</f>
        <v/>
      </c>
      <c r="G605" s="23" t="str">
        <f aca="false"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4" t="str">
        <f aca="false">IF(J605&lt;&gt;1,"",IF(I605="SBJ","CB","?"))</f>
        <v/>
      </c>
      <c r="I605" s="25" t="str">
        <f aca="false">IF(OR(E605="",E605="!!!",F605="NEW"),"",INDEX(O$2:O565,-1+SUMPRODUCT(MAX(ROW(R$2:R565)*(E605=R$2:R565)))))</f>
        <v/>
      </c>
      <c r="J605" s="25" t="str">
        <f aca="true">IF(OR(E605="",E605="!!!",F605="NEW"),"",COUNTBLANK(OFFSET(N$1,,,SUMPRODUCT(MAX(ROW(R$2:R566)*(E605=R$2:R566)))))-COUNTBLANK(OFFSET(N$1,,,SUMPRODUCT(MAX(ROW(R$1:R565)*(R2=R$1:R565))))))</f>
        <v/>
      </c>
      <c r="K605" s="25" t="str">
        <f aca="false">IF(OR(E605="",E605="!!!",F605="NEW"),"",INDEX(W$1:W565,SUMPRODUCT(MAX(ROW(R$1:R565)*(E605=R$1:R565)))))</f>
        <v/>
      </c>
      <c r="L605" s="26"/>
    </row>
    <row r="606" customFormat="false" ht="14.25" hidden="false" customHeight="false" outlineLevel="0" collapsed="false">
      <c r="A606" s="0" t="s">
        <v>501</v>
      </c>
      <c r="B606" s="20" t="s">
        <v>412</v>
      </c>
      <c r="C606" s="20" t="s">
        <v>201</v>
      </c>
      <c r="D606" s="20" t="s">
        <v>125</v>
      </c>
      <c r="E606" s="21" t="s">
        <v>476</v>
      </c>
      <c r="F606" s="22" t="str">
        <f aca="false">IF(OR(E606="",E606="!!!"),"",IF(NOT(ISNA(VLOOKUP(E606,R$1:R566,1,FALSE()))),"OLD",IF(AND(E606&lt;&gt;"",E606&lt;&gt;"!!!"),"NEW","")))</f>
        <v>NEW</v>
      </c>
      <c r="G606" s="23" t="str">
        <f aca="false"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?REFERENTIAL</v>
      </c>
      <c r="H606" s="24" t="str">
        <f aca="false">IF(J606&lt;&gt;1,"",IF(I606="SBJ","CB","?"))</f>
        <v/>
      </c>
      <c r="I606" s="25" t="str">
        <f aca="false">IF(OR(E606="",E606="!!!",F606="NEW"),"",INDEX(O$2:O566,-1+SUMPRODUCT(MAX(ROW(R$2:R566)*(E606=R$2:R566)))))</f>
        <v/>
      </c>
      <c r="J606" s="25" t="str">
        <f aca="true">IF(OR(E606="",E606="!!!",F606="NEW"),"",COUNTBLANK(OFFSET(N$1,,,SUMPRODUCT(MAX(ROW(R$2:R567)*(E606=R$2:R567)))))-COUNTBLANK(OFFSET(N$1,,,SUMPRODUCT(MAX(ROW(R$1:R566)*(R2=R$1:R566))))))</f>
        <v/>
      </c>
      <c r="K606" s="25" t="str">
        <f aca="false">IF(OR(E606="",E606="!!!",F606="NEW"),"",INDEX(W$1:W566,SUMPRODUCT(MAX(ROW(R$1:R566)*(E606=R$1:R566)))))</f>
        <v/>
      </c>
      <c r="L606" s="26"/>
      <c r="O606" s="20"/>
      <c r="P606" s="20"/>
    </row>
    <row r="607" customFormat="false" ht="14.25" hidden="false" customHeight="false" outlineLevel="0" collapsed="false">
      <c r="A607" s="0" t="s">
        <v>548</v>
      </c>
      <c r="B607" s="20" t="s">
        <v>232</v>
      </c>
      <c r="C607" s="20" t="s">
        <v>155</v>
      </c>
      <c r="E607" s="21" t="s">
        <v>549</v>
      </c>
      <c r="F607" s="22" t="str">
        <f aca="false">IF(OR(E607="",E607="!!!"),"",IF(NOT(ISNA(VLOOKUP(E607,R$1:R567,1,FALSE()))),"OLD",IF(AND(E607&lt;&gt;"",E607&lt;&gt;"!!!"),"NEW","")))</f>
        <v>NEW</v>
      </c>
      <c r="G607" s="23" t="str">
        <f aca="false"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?REFERENTIAL</v>
      </c>
      <c r="H607" s="24" t="str">
        <f aca="false">IF(J607&lt;&gt;1,"",IF(I607="SBJ","CB","?"))</f>
        <v/>
      </c>
      <c r="I607" s="25" t="str">
        <f aca="false">IF(OR(E607="",E607="!!!",F607="NEW"),"",INDEX(O$2:O567,-1+SUMPRODUCT(MAX(ROW(R$2:R567)*(E607=R$2:R567)))))</f>
        <v/>
      </c>
      <c r="J607" s="25" t="str">
        <f aca="true">IF(OR(E607="",E607="!!!",F607="NEW"),"",COUNTBLANK(OFFSET(N$1,,,SUMPRODUCT(MAX(ROW(R$2:R568)*(E607=R$2:R568)))))-COUNTBLANK(OFFSET(N$1,,,SUMPRODUCT(MAX(ROW(R$1:R567)*(R2=R$1:R567))))))</f>
        <v/>
      </c>
      <c r="K607" s="25" t="str">
        <f aca="false">IF(OR(E607="",E607="!!!",F607="NEW"),"",INDEX(W$1:W567,SUMPRODUCT(MAX(ROW(R$1:R567)*(E607=R$1:R567)))))</f>
        <v/>
      </c>
      <c r="L607" s="26" t="s">
        <v>541</v>
      </c>
    </row>
    <row r="608" customFormat="false" ht="14.25" hidden="false" customHeight="false" outlineLevel="0" collapsed="false">
      <c r="A608" s="0" t="s">
        <v>550</v>
      </c>
      <c r="E608" s="21" t="str">
        <f aca="false">IF(Q569="?OLD","!!!","")</f>
        <v/>
      </c>
      <c r="F608" s="22" t="str">
        <f aca="false">IF(OR(E608="",E608="!!!"),"",IF(NOT(ISNA(VLOOKUP(E608,R$1:R568,1,FALSE()))),"OLD",IF(AND(E608&lt;&gt;"",E608&lt;&gt;"!!!"),"NEW","")))</f>
        <v/>
      </c>
      <c r="G608" s="23" t="str">
        <f aca="false"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aca="false">IF(J608&lt;&gt;1,"",IF(I608="SBJ","CB","?"))</f>
        <v/>
      </c>
      <c r="I608" s="25" t="str">
        <f aca="false">IF(OR(E608="",E608="!!!",F608="NEW"),"",INDEX(O$2:O568,-1+SUMPRODUCT(MAX(ROW(R$2:R568)*(E608=R$2:R568)))))</f>
        <v/>
      </c>
      <c r="J608" s="25" t="str">
        <f aca="true">IF(OR(E608="",E608="!!!",F608="NEW"),"",COUNTBLANK(OFFSET(N$1,,,SUMPRODUCT(MAX(ROW(R$2:R569)*(E608=R$2:R569)))))-COUNTBLANK(OFFSET(N$1,,,SUMPRODUCT(MAX(ROW(R$1:R568)*(R2=R$1:R568))))))</f>
        <v/>
      </c>
      <c r="K608" s="25" t="str">
        <f aca="false">IF(OR(E608="",E608="!!!",F608="NEW"),"",INDEX(W$1:W568,SUMPRODUCT(MAX(ROW(R$1:R568)*(E608=R$1:R568)))))</f>
        <v/>
      </c>
      <c r="L608" s="26"/>
    </row>
    <row r="609" customFormat="false" ht="14.25" hidden="false" customHeight="false" outlineLevel="0" collapsed="false">
      <c r="A609" s="0" t="s">
        <v>140</v>
      </c>
      <c r="E609" s="21" t="str">
        <f aca="false">IF(Q570="?OLD","!!!","")</f>
        <v/>
      </c>
      <c r="F609" s="22" t="str">
        <f aca="false">IF(OR(E609="",E609="!!!"),"",IF(NOT(ISNA(VLOOKUP(E609,R$1:R569,1,FALSE()))),"OLD",IF(AND(E609&lt;&gt;"",E609&lt;&gt;"!!!"),"NEW","")))</f>
        <v/>
      </c>
      <c r="G609" s="23" t="str">
        <f aca="false"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aca="false">IF(J609&lt;&gt;1,"",IF(I609="SBJ","CB","?"))</f>
        <v/>
      </c>
      <c r="I609" s="25" t="str">
        <f aca="false">IF(OR(E609="",E609="!!!",F609="NEW"),"",INDEX(O$2:O569,-1+SUMPRODUCT(MAX(ROW(R$2:R569)*(E609=R$2:R569)))))</f>
        <v/>
      </c>
      <c r="J609" s="25" t="str">
        <f aca="true">IF(OR(E609="",E609="!!!",F609="NEW"),"",COUNTBLANK(OFFSET(N$1,,,SUMPRODUCT(MAX(ROW(R$2:R570)*(E609=R$2:R570)))))-COUNTBLANK(OFFSET(N$1,,,SUMPRODUCT(MAX(ROW(R$1:R569)*(R2=R$1:R569))))))</f>
        <v/>
      </c>
      <c r="K609" s="25" t="str">
        <f aca="false">IF(OR(E609="",E609="!!!",F609="NEW"),"",INDEX(W$1:W569,SUMPRODUCT(MAX(ROW(R$1:R569)*(E609=R$1:R569)))))</f>
        <v/>
      </c>
      <c r="L609" s="26"/>
    </row>
    <row r="610" customFormat="false" ht="14.25" hidden="false" customHeight="false" outlineLevel="0" collapsed="false">
      <c r="A610" s="0" t="s">
        <v>266</v>
      </c>
      <c r="E610" s="21" t="str">
        <f aca="false">IF(Q571="?OLD","!!!","")</f>
        <v/>
      </c>
      <c r="F610" s="22" t="str">
        <f aca="false">IF(OR(E610="",E610="!!!"),"",IF(NOT(ISNA(VLOOKUP(E610,R$1:R570,1,FALSE()))),"OLD",IF(AND(E610&lt;&gt;"",E610&lt;&gt;"!!!"),"NEW","")))</f>
        <v/>
      </c>
      <c r="G610" s="23" t="str">
        <f aca="false"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aca="false">IF(J610&lt;&gt;1,"",IF(I610="SBJ","CB","?"))</f>
        <v/>
      </c>
      <c r="I610" s="25" t="str">
        <f aca="false">IF(OR(E610="",E610="!!!",F610="NEW"),"",INDEX(O$2:O570,-1+SUMPRODUCT(MAX(ROW(R$2:R570)*(E610=R$2:R570)))))</f>
        <v/>
      </c>
      <c r="J610" s="25" t="str">
        <f aca="true">IF(OR(E610="",E610="!!!",F610="NEW"),"",COUNTBLANK(OFFSET(N$1,,,SUMPRODUCT(MAX(ROW(R$2:R571)*(E610=R$2:R571)))))-COUNTBLANK(OFFSET(N$1,,,SUMPRODUCT(MAX(ROW(R$1:R570)*(R2=R$1:R570))))))</f>
        <v/>
      </c>
      <c r="K610" s="25" t="str">
        <f aca="false">IF(OR(E610="",E610="!!!",F610="NEW"),"",INDEX(W$1:W570,SUMPRODUCT(MAX(ROW(R$1:R570)*(E610=R$1:R570)))))</f>
        <v/>
      </c>
      <c r="L610" s="26"/>
    </row>
    <row r="611" customFormat="false" ht="14.25" hidden="false" customHeight="false" outlineLevel="0" collapsed="false">
      <c r="A611" s="0" t="s">
        <v>267</v>
      </c>
      <c r="E611" s="21" t="str">
        <f aca="false">IF(Q572="?OLD","!!!","")</f>
        <v/>
      </c>
      <c r="F611" s="22" t="str">
        <f aca="false">IF(OR(E611="",E611="!!!"),"",IF(NOT(ISNA(VLOOKUP(E611,R$1:R571,1,FALSE()))),"OLD",IF(AND(E611&lt;&gt;"",E611&lt;&gt;"!!!"),"NEW","")))</f>
        <v/>
      </c>
      <c r="G611" s="23" t="str">
        <f aca="false"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aca="false">IF(J611&lt;&gt;1,"",IF(I611="SBJ","CB","?"))</f>
        <v/>
      </c>
      <c r="I611" s="25" t="str">
        <f aca="false">IF(OR(E611="",E611="!!!",F611="NEW"),"",INDEX(O$2:O571,-1+SUMPRODUCT(MAX(ROW(R$2:R571)*(E611=R$2:R571)))))</f>
        <v/>
      </c>
      <c r="J611" s="25" t="str">
        <f aca="true">IF(OR(E611="",E611="!!!",F611="NEW"),"",COUNTBLANK(OFFSET(N$1,,,SUMPRODUCT(MAX(ROW(R$2:R572)*(E611=R$2:R572)))))-COUNTBLANK(OFFSET(N$1,,,SUMPRODUCT(MAX(ROW(R$1:R571)*(R2=R$1:R571))))))</f>
        <v/>
      </c>
      <c r="K611" s="25" t="str">
        <f aca="false">IF(OR(E611="",E611="!!!",F611="NEW"),"",INDEX(W$1:W571,SUMPRODUCT(MAX(ROW(R$1:R571)*(E611=R$1:R571)))))</f>
        <v/>
      </c>
      <c r="L611" s="26"/>
    </row>
    <row r="612" customFormat="false" ht="14.25" hidden="false" customHeight="false" outlineLevel="0" collapsed="false">
      <c r="A612" s="0" t="s">
        <v>551</v>
      </c>
      <c r="E612" s="21" t="str">
        <f aca="false">IF(Q573="?OLD","!!!","")</f>
        <v/>
      </c>
      <c r="F612" s="22" t="str">
        <f aca="false">IF(OR(E612="",E612="!!!"),"",IF(NOT(ISNA(VLOOKUP(E612,R$1:R572,1,FALSE()))),"OLD",IF(AND(E612&lt;&gt;"",E612&lt;&gt;"!!!"),"NEW","")))</f>
        <v/>
      </c>
      <c r="G612" s="23" t="str">
        <f aca="false"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4" t="str">
        <f aca="false">IF(J612&lt;&gt;1,"",IF(I612="SBJ","CB","?"))</f>
        <v/>
      </c>
      <c r="I612" s="25" t="str">
        <f aca="false">IF(OR(E612="",E612="!!!",F612="NEW"),"",INDEX(O$2:O572,-1+SUMPRODUCT(MAX(ROW(R$2:R572)*(E612=R$2:R572)))))</f>
        <v/>
      </c>
      <c r="J612" s="25" t="str">
        <f aca="true">IF(OR(E612="",E612="!!!",F612="NEW"),"",COUNTBLANK(OFFSET(N$1,,,SUMPRODUCT(MAX(ROW(R$2:R573)*(E612=R$2:R573)))))-COUNTBLANK(OFFSET(N$1,,,SUMPRODUCT(MAX(ROW(R$1:R572)*(R2=R$1:R572))))))</f>
        <v/>
      </c>
      <c r="K612" s="25" t="str">
        <f aca="false">IF(OR(E612="",E612="!!!",F612="NEW"),"",INDEX(W$1:W572,SUMPRODUCT(MAX(ROW(R$1:R572)*(E612=R$1:R572)))))</f>
        <v/>
      </c>
      <c r="L612" s="26"/>
      <c r="O612" s="20"/>
      <c r="P612" s="20"/>
      <c r="Q612" s="20"/>
    </row>
    <row r="613" customFormat="false" ht="14.25" hidden="false" customHeight="false" outlineLevel="0" collapsed="false">
      <c r="A613" s="0" t="s">
        <v>140</v>
      </c>
      <c r="E613" s="21" t="str">
        <f aca="false">IF(Q574="?OLD","!!!","")</f>
        <v/>
      </c>
      <c r="F613" s="22" t="str">
        <f aca="false">IF(OR(E613="",E613="!!!"),"",IF(NOT(ISNA(VLOOKUP(E613,R$1:R573,1,FALSE()))),"OLD",IF(AND(E613&lt;&gt;"",E613&lt;&gt;"!!!"),"NEW","")))</f>
        <v/>
      </c>
      <c r="G613" s="23" t="str">
        <f aca="false"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aca="false">IF(J613&lt;&gt;1,"",IF(I613="SBJ","CB","?"))</f>
        <v/>
      </c>
      <c r="I613" s="25" t="str">
        <f aca="false">IF(OR(E613="",E613="!!!",F613="NEW"),"",INDEX(O$2:O573,-1+SUMPRODUCT(MAX(ROW(R$2:R573)*(E613=R$2:R573)))))</f>
        <v/>
      </c>
      <c r="J613" s="25" t="str">
        <f aca="true">IF(OR(E613="",E613="!!!",F613="NEW"),"",COUNTBLANK(OFFSET(N$1,,,SUMPRODUCT(MAX(ROW(R$2:R574)*(E613=R$2:R574)))))-COUNTBLANK(OFFSET(N$1,,,SUMPRODUCT(MAX(ROW(R$1:R573)*(R2=R$1:R573))))))</f>
        <v/>
      </c>
      <c r="K613" s="25" t="str">
        <f aca="false">IF(OR(E613="",E613="!!!",F613="NEW"),"",INDEX(W$1:W573,SUMPRODUCT(MAX(ROW(R$1:R573)*(E613=R$1:R573)))))</f>
        <v/>
      </c>
      <c r="L613" s="26"/>
    </row>
    <row r="614" customFormat="false" ht="14.25" hidden="false" customHeight="false" outlineLevel="0" collapsed="false">
      <c r="A614" s="0" t="s">
        <v>228</v>
      </c>
      <c r="E614" s="21" t="str">
        <f aca="false">IF(Q575="?OLD","!!!","")</f>
        <v/>
      </c>
      <c r="F614" s="22" t="str">
        <f aca="false">IF(OR(E614="",E614="!!!"),"",IF(NOT(ISNA(VLOOKUP(E614,R$1:R574,1,FALSE()))),"OLD",IF(AND(E614&lt;&gt;"",E614&lt;&gt;"!!!"),"NEW","")))</f>
        <v/>
      </c>
      <c r="G614" s="23" t="str">
        <f aca="false"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aca="false">IF(J614&lt;&gt;1,"",IF(I614="SBJ","CB","?"))</f>
        <v/>
      </c>
      <c r="I614" s="25" t="str">
        <f aca="false">IF(OR(E614="",E614="!!!",F614="NEW"),"",INDEX(O$2:O574,-1+SUMPRODUCT(MAX(ROW(R$2:R574)*(E614=R$2:R574)))))</f>
        <v/>
      </c>
      <c r="J614" s="25" t="str">
        <f aca="true">IF(OR(E614="",E614="!!!",F614="NEW"),"",COUNTBLANK(OFFSET(N$1,,,SUMPRODUCT(MAX(ROW(R$2:R575)*(E614=R$2:R575)))))-COUNTBLANK(OFFSET(N$1,,,SUMPRODUCT(MAX(ROW(R$1:R574)*(R2=R$1:R574))))))</f>
        <v/>
      </c>
      <c r="K614" s="25" t="str">
        <f aca="false">IF(OR(E614="",E614="!!!",F614="NEW"),"",INDEX(W$1:W574,SUMPRODUCT(MAX(ROW(R$1:R574)*(E614=R$1:R574)))))</f>
        <v/>
      </c>
      <c r="L614" s="26"/>
    </row>
    <row r="615" customFormat="false" ht="14.25" hidden="false" customHeight="false" outlineLevel="0" collapsed="false">
      <c r="A615" s="0" t="s">
        <v>552</v>
      </c>
      <c r="E615" s="21" t="str">
        <f aca="false">IF(Q576="?OLD","!!!","")</f>
        <v/>
      </c>
      <c r="F615" s="22" t="str">
        <f aca="false">IF(OR(E615="",E615="!!!"),"",IF(NOT(ISNA(VLOOKUP(E615,R$1:R575,1,FALSE()))),"OLD",IF(AND(E615&lt;&gt;"",E615&lt;&gt;"!!!"),"NEW","")))</f>
        <v/>
      </c>
      <c r="G615" s="23" t="str">
        <f aca="false"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4" t="str">
        <f aca="false">IF(J615&lt;&gt;1,"",IF(I615="SBJ","CB","?"))</f>
        <v/>
      </c>
      <c r="I615" s="25" t="str">
        <f aca="false">IF(OR(E615="",E615="!!!",F615="NEW"),"",INDEX(O$2:O575,-1+SUMPRODUCT(MAX(ROW(R$2:R575)*(E615=R$2:R575)))))</f>
        <v/>
      </c>
      <c r="J615" s="25" t="str">
        <f aca="true">IF(OR(E615="",E615="!!!",F615="NEW"),"",COUNTBLANK(OFFSET(N$1,,,SUMPRODUCT(MAX(ROW(R$2:R576)*(E615=R$2:R576)))))-COUNTBLANK(OFFSET(N$1,,,SUMPRODUCT(MAX(ROW(R$1:R575)*(R2=R$1:R575))))))</f>
        <v/>
      </c>
      <c r="K615" s="25" t="str">
        <f aca="false">IF(OR(E615="",E615="!!!",F615="NEW"),"",INDEX(W$1:W575,SUMPRODUCT(MAX(ROW(R$1:R575)*(E615=R$1:R575)))))</f>
        <v/>
      </c>
      <c r="L615" s="26"/>
    </row>
    <row r="616" customFormat="false" ht="23.85" hidden="false" customHeight="false" outlineLevel="0" collapsed="false">
      <c r="A616" s="0" t="s">
        <v>297</v>
      </c>
      <c r="B616" s="20" t="s">
        <v>274</v>
      </c>
      <c r="C616" s="20" t="s">
        <v>155</v>
      </c>
      <c r="E616" s="21" t="s">
        <v>517</v>
      </c>
      <c r="F616" s="22" t="str">
        <f aca="false">IF(OR(E616="",E616="!!!"),"",IF(NOT(ISNA(VLOOKUP(E616,R$1:R576,1,FALSE()))),"OLD",IF(AND(E616&lt;&gt;"",E616&lt;&gt;"!!!"),"NEW","")))</f>
        <v>NEW</v>
      </c>
      <c r="G616" s="23" t="str">
        <f aca="false"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?REFERENTIAL</v>
      </c>
      <c r="H616" s="24" t="str">
        <f aca="false">IF(J616&lt;&gt;1,"",IF(I616="SBJ","CB","?"))</f>
        <v/>
      </c>
      <c r="I616" s="25" t="str">
        <f aca="false">IF(OR(E616="",E616="!!!",F616="NEW"),"",INDEX(O$2:O576,-1+SUMPRODUCT(MAX(ROW(R$2:R576)*(E616=R$2:R576)))))</f>
        <v/>
      </c>
      <c r="J616" s="25" t="str">
        <f aca="true">IF(OR(E616="",E616="!!!",F616="NEW"),"",COUNTBLANK(OFFSET(N$1,,,SUMPRODUCT(MAX(ROW(R$2:R577)*(E616=R$2:R577)))))-COUNTBLANK(OFFSET(N$1,,,SUMPRODUCT(MAX(ROW(R$1:R576)*(R2=R$1:R576))))))</f>
        <v/>
      </c>
      <c r="K616" s="25" t="str">
        <f aca="false">IF(OR(E616="",E616="!!!",F616="NEW"),"",INDEX(W$1:W576,SUMPRODUCT(MAX(ROW(R$1:R576)*(E616=R$1:R576)))))</f>
        <v/>
      </c>
      <c r="L616" s="26" t="s">
        <v>553</v>
      </c>
      <c r="O616" s="20"/>
      <c r="P616" s="20"/>
    </row>
    <row r="617" customFormat="false" ht="14.25" hidden="false" customHeight="false" outlineLevel="0" collapsed="false">
      <c r="A617" s="0" t="s">
        <v>364</v>
      </c>
      <c r="E617" s="21" t="str">
        <f aca="false">IF(Q578="?OLD","!!!","")</f>
        <v/>
      </c>
      <c r="F617" s="22" t="str">
        <f aca="false">IF(OR(E617="",E617="!!!"),"",IF(NOT(ISNA(VLOOKUP(E617,R$1:R577,1,FALSE()))),"OLD",IF(AND(E617&lt;&gt;"",E617&lt;&gt;"!!!"),"NEW","")))</f>
        <v/>
      </c>
      <c r="G617" s="23" t="str">
        <f aca="false"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aca="false">IF(J617&lt;&gt;1,"",IF(I617="SBJ","CB","?"))</f>
        <v/>
      </c>
      <c r="I617" s="25" t="str">
        <f aca="false">IF(OR(E617="",E617="!!!",F617="NEW"),"",INDEX(O$2:O577,-1+SUMPRODUCT(MAX(ROW(R$2:R577)*(E617=R$2:R577)))))</f>
        <v/>
      </c>
      <c r="J617" s="25" t="str">
        <f aca="true">IF(OR(E617="",E617="!!!",F617="NEW"),"",COUNTBLANK(OFFSET(N$1,,,SUMPRODUCT(MAX(ROW(R$2:R578)*(E617=R$2:R578)))))-COUNTBLANK(OFFSET(N$1,,,SUMPRODUCT(MAX(ROW(R$1:R577)*(R2=R$1:R577))))))</f>
        <v/>
      </c>
      <c r="K617" s="25" t="str">
        <f aca="false">IF(OR(E617="",E617="!!!",F617="NEW"),"",INDEX(W$1:W577,SUMPRODUCT(MAX(ROW(R$1:R577)*(E617=R$1:R577)))))</f>
        <v/>
      </c>
      <c r="L617" s="26"/>
    </row>
    <row r="618" customFormat="false" ht="14.25" hidden="false" customHeight="false" outlineLevel="0" collapsed="false">
      <c r="A618" s="0" t="s">
        <v>140</v>
      </c>
      <c r="E618" s="21" t="str">
        <f aca="false">IF(Q579="?OLD","!!!","")</f>
        <v/>
      </c>
      <c r="F618" s="22" t="str">
        <f aca="false">IF(OR(E618="",E618="!!!"),"",IF(NOT(ISNA(VLOOKUP(E618,R$1:R578,1,FALSE()))),"OLD",IF(AND(E618&lt;&gt;"",E618&lt;&gt;"!!!"),"NEW","")))</f>
        <v/>
      </c>
      <c r="G618" s="23" t="str">
        <f aca="false"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aca="false">IF(J618&lt;&gt;1,"",IF(I618="SBJ","CB","?"))</f>
        <v/>
      </c>
      <c r="I618" s="25" t="str">
        <f aca="false">IF(OR(E618="",E618="!!!",F618="NEW"),"",INDEX(O$2:O578,-1+SUMPRODUCT(MAX(ROW(R$2:R578)*(E618=R$2:R578)))))</f>
        <v/>
      </c>
      <c r="J618" s="25" t="str">
        <f aca="true">IF(OR(E618="",E618="!!!",F618="NEW"),"",COUNTBLANK(OFFSET(N$1,,,SUMPRODUCT(MAX(ROW(R$2:R579)*(E618=R$2:R579)))))-COUNTBLANK(OFFSET(N$1,,,SUMPRODUCT(MAX(ROW(R$1:R578)*(R2=R$1:R578))))))</f>
        <v/>
      </c>
      <c r="K618" s="25" t="str">
        <f aca="false">IF(OR(E618="",E618="!!!",F618="NEW"),"",INDEX(W$1:W578,SUMPRODUCT(MAX(ROW(R$1:R578)*(E618=R$1:R578)))))</f>
        <v/>
      </c>
      <c r="L618" s="26"/>
    </row>
    <row r="619" customFormat="false" ht="14.25" hidden="false" customHeight="false" outlineLevel="0" collapsed="false">
      <c r="A619" s="0" t="s">
        <v>166</v>
      </c>
      <c r="E619" s="21" t="str">
        <f aca="false">IF(Q580="?OLD","!!!","")</f>
        <v/>
      </c>
      <c r="F619" s="22" t="str">
        <f aca="false">IF(OR(E619="",E619="!!!"),"",IF(NOT(ISNA(VLOOKUP(E619,R$1:R579,1,FALSE()))),"OLD",IF(AND(E619&lt;&gt;"",E619&lt;&gt;"!!!"),"NEW","")))</f>
        <v/>
      </c>
      <c r="G619" s="23" t="str">
        <f aca="false"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aca="false">IF(J619&lt;&gt;1,"",IF(I619="SBJ","CB","?"))</f>
        <v/>
      </c>
      <c r="I619" s="25" t="str">
        <f aca="false">IF(OR(E619="",E619="!!!",F619="NEW"),"",INDEX(O$2:O579,-1+SUMPRODUCT(MAX(ROW(R$2:R579)*(E619=R$2:R579)))))</f>
        <v/>
      </c>
      <c r="J619" s="25" t="str">
        <f aca="true">IF(OR(E619="",E619="!!!",F619="NEW"),"",COUNTBLANK(OFFSET(N$1,,,SUMPRODUCT(MAX(ROW(R$2:R580)*(E619=R$2:R580)))))-COUNTBLANK(OFFSET(N$1,,,SUMPRODUCT(MAX(ROW(R$1:R579)*(R2=R$1:R579))))))</f>
        <v/>
      </c>
      <c r="K619" s="25" t="str">
        <f aca="false">IF(OR(E619="",E619="!!!",F619="NEW"),"",INDEX(W$1:W579,SUMPRODUCT(MAX(ROW(R$1:R579)*(E619=R$1:R579)))))</f>
        <v/>
      </c>
      <c r="L619" s="26"/>
      <c r="O619" s="20"/>
      <c r="P619" s="20"/>
    </row>
    <row r="620" customFormat="false" ht="14.25" hidden="false" customHeight="false" outlineLevel="0" collapsed="false">
      <c r="A620" s="0" t="s">
        <v>273</v>
      </c>
      <c r="E620" s="21" t="s">
        <v>295</v>
      </c>
      <c r="F620" s="22" t="str">
        <f aca="false">IF(OR(E620="",E620="!!!"),"",IF(NOT(ISNA(VLOOKUP(E620,R$1:R580,1,FALSE()))),"OLD",IF(AND(E620&lt;&gt;"",E620&lt;&gt;"!!!"),"NEW","")))</f>
        <v>NEW</v>
      </c>
      <c r="G620" s="23" t="str">
        <f aca="false"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?REFERENTIAL</v>
      </c>
      <c r="H620" s="24" t="str">
        <f aca="false">IF(J620&lt;&gt;1,"",IF(I620="SBJ","CB","?"))</f>
        <v/>
      </c>
      <c r="I620" s="25" t="str">
        <f aca="false">IF(OR(E620="",E620="!!!",F620="NEW"),"",INDEX(O$2:O580,-1+SUMPRODUCT(MAX(ROW(R$2:R580)*(E620=R$2:R580)))))</f>
        <v/>
      </c>
      <c r="J620" s="25" t="str">
        <f aca="true">IF(OR(E620="",E620="!!!",F620="NEW"),"",COUNTBLANK(OFFSET(N$1,,,SUMPRODUCT(MAX(ROW(R$2:R581)*(E620=R$2:R581)))))-COUNTBLANK(OFFSET(N$1,,,SUMPRODUCT(MAX(ROW(R$1:R580)*(R2=R$1:R580))))))</f>
        <v/>
      </c>
      <c r="K620" s="25" t="str">
        <f aca="false">IF(OR(E620="",E620="!!!",F620="NEW"),"",INDEX(W$1:W580,SUMPRODUCT(MAX(ROW(R$1:R580)*(E620=R$1:R580)))))</f>
        <v/>
      </c>
      <c r="L620" s="26"/>
    </row>
    <row r="621" customFormat="false" ht="14.25" hidden="false" customHeight="false" outlineLevel="0" collapsed="false">
      <c r="A621" s="0" t="s">
        <v>140</v>
      </c>
      <c r="E621" s="21" t="str">
        <f aca="false">IF(Q582="?OLD","!!!","")</f>
        <v/>
      </c>
      <c r="F621" s="22" t="str">
        <f aca="false">IF(OR(E621="",E621="!!!"),"",IF(NOT(ISNA(VLOOKUP(E621,R$1:R581,1,FALSE()))),"OLD",IF(AND(E621&lt;&gt;"",E621&lt;&gt;"!!!"),"NEW","")))</f>
        <v/>
      </c>
      <c r="G621" s="23" t="str">
        <f aca="false"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aca="false">IF(J621&lt;&gt;1,"",IF(I621="SBJ","CB","?"))</f>
        <v/>
      </c>
      <c r="I621" s="25" t="str">
        <f aca="false">IF(OR(E621="",E621="!!!",F621="NEW"),"",INDEX(O$2:O581,-1+SUMPRODUCT(MAX(ROW(R$2:R581)*(E621=R$2:R581)))))</f>
        <v/>
      </c>
      <c r="J621" s="25" t="str">
        <f aca="true">IF(OR(E621="",E621="!!!",F621="NEW"),"",COUNTBLANK(OFFSET(N$1,,,SUMPRODUCT(MAX(ROW(R$2:R582)*(E621=R$2:R582)))))-COUNTBLANK(OFFSET(N$1,,,SUMPRODUCT(MAX(ROW(R$1:R581)*(R2=R$1:R581))))))</f>
        <v/>
      </c>
      <c r="K621" s="25" t="str">
        <f aca="false">IF(OR(E621="",E621="!!!",F621="NEW"),"",INDEX(W$1:W581,SUMPRODUCT(MAX(ROW(R$1:R581)*(E621=R$1:R581)))))</f>
        <v/>
      </c>
      <c r="L621" s="26"/>
    </row>
    <row r="622" customFormat="false" ht="14.25" hidden="false" customHeight="false" outlineLevel="0" collapsed="false">
      <c r="A622" s="0" t="s">
        <v>273</v>
      </c>
      <c r="B622" s="20" t="s">
        <v>495</v>
      </c>
      <c r="E622" s="21"/>
      <c r="F622" s="22" t="str">
        <f aca="false">IF(OR(E622="",E622="!!!"),"",IF(NOT(ISNA(VLOOKUP(E622,R$1:R582,1,FALSE()))),"OLD",IF(AND(E622&lt;&gt;"",E622&lt;&gt;"!!!"),"NEW","")))</f>
        <v/>
      </c>
      <c r="G622" s="23" t="str">
        <f aca="false"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aca="false">IF(J622&lt;&gt;1,"",IF(I622="SBJ","CB","?"))</f>
        <v/>
      </c>
      <c r="I622" s="25" t="str">
        <f aca="false">IF(OR(E622="",E622="!!!",F622="NEW"),"",INDEX(O$2:O582,-1+SUMPRODUCT(MAX(ROW(R$2:R582)*(E622=R$2:R582)))))</f>
        <v/>
      </c>
      <c r="J622" s="25" t="str">
        <f aca="true">IF(OR(E622="",E622="!!!",F622="NEW"),"",COUNTBLANK(OFFSET(N$1,,,SUMPRODUCT(MAX(ROW(R$2:R583)*(E622=R$2:R583)))))-COUNTBLANK(OFFSET(N$1,,,SUMPRODUCT(MAX(ROW(R$1:R582)*(R2=R$1:R582))))))</f>
        <v/>
      </c>
      <c r="K622" s="25" t="str">
        <f aca="false">IF(OR(E622="",E622="!!!",F622="NEW"),"",INDEX(W$1:W582,SUMPRODUCT(MAX(ROW(R$1:R582)*(E622=R$1:R582)))))</f>
        <v/>
      </c>
      <c r="L622" s="26"/>
      <c r="O622" s="20"/>
      <c r="P622" s="20"/>
      <c r="Q622" s="20"/>
    </row>
    <row r="623" customFormat="false" ht="14.25" hidden="false" customHeight="false" outlineLevel="0" collapsed="false">
      <c r="A623" s="0" t="s">
        <v>253</v>
      </c>
      <c r="B623" s="20" t="s">
        <v>496</v>
      </c>
      <c r="C623" s="20" t="s">
        <v>209</v>
      </c>
      <c r="D623" s="20" t="s">
        <v>125</v>
      </c>
      <c r="E623" s="21" t="s">
        <v>517</v>
      </c>
      <c r="F623" s="22" t="str">
        <f aca="false">IF(OR(E623="",E623="!!!"),"",IF(NOT(ISNA(VLOOKUP(E623,R$1:R583,1,FALSE()))),"OLD",IF(AND(E623&lt;&gt;"",E623&lt;&gt;"!!!"),"NEW","")))</f>
        <v>NEW</v>
      </c>
      <c r="G623" s="23" t="str">
        <f aca="false"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?REFERENTIAL</v>
      </c>
      <c r="H623" s="24" t="str">
        <f aca="false">IF(J623&lt;&gt;1,"",IF(I623="SBJ","CB","?"))</f>
        <v/>
      </c>
      <c r="I623" s="25" t="str">
        <f aca="false">IF(OR(E623="",E623="!!!",F623="NEW"),"",INDEX(O$2:O583,-1+SUMPRODUCT(MAX(ROW(R$2:R583)*(E623=R$2:R583)))))</f>
        <v/>
      </c>
      <c r="J623" s="25" t="str">
        <f aca="true">IF(OR(E623="",E623="!!!",F623="NEW"),"",COUNTBLANK(OFFSET(N$1,,,SUMPRODUCT(MAX(ROW(R$2:R584)*(E623=R$2:R584)))))-COUNTBLANK(OFFSET(N$1,,,SUMPRODUCT(MAX(ROW(R$1:R583)*(R2=R$1:R583))))))</f>
        <v/>
      </c>
      <c r="K623" s="25" t="str">
        <f aca="false">IF(OR(E623="",E623="!!!",F623="NEW"),"",INDEX(W$1:W583,SUMPRODUCT(MAX(ROW(R$1:R583)*(E623=R$1:R583)))))</f>
        <v/>
      </c>
      <c r="L623" s="26"/>
    </row>
    <row r="624" customFormat="false" ht="14.25" hidden="false" customHeight="false" outlineLevel="0" collapsed="false">
      <c r="A624" s="0" t="s">
        <v>554</v>
      </c>
      <c r="E624" s="21" t="str">
        <f aca="false">IF(Q585="?OLD","!!!","")</f>
        <v/>
      </c>
      <c r="F624" s="22" t="str">
        <f aca="false">IF(OR(E624="",E624="!!!"),"",IF(NOT(ISNA(VLOOKUP(E624,R$1:R584,1,FALSE()))),"OLD",IF(AND(E624&lt;&gt;"",E624&lt;&gt;"!!!"),"NEW","")))</f>
        <v/>
      </c>
      <c r="G624" s="23" t="str">
        <f aca="false"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aca="false">IF(J624&lt;&gt;1,"",IF(I624="SBJ","CB","?"))</f>
        <v/>
      </c>
      <c r="I624" s="25" t="str">
        <f aca="false">IF(OR(E624="",E624="!!!",F624="NEW"),"",INDEX(O$2:O584,-1+SUMPRODUCT(MAX(ROW(R$2:R584)*(E624=R$2:R584)))))</f>
        <v/>
      </c>
      <c r="J624" s="25" t="str">
        <f aca="true">IF(OR(E624="",E624="!!!",F624="NEW"),"",COUNTBLANK(OFFSET(N$1,,,SUMPRODUCT(MAX(ROW(R$2:R585)*(E624=R$2:R585)))))-COUNTBLANK(OFFSET(N$1,,,SUMPRODUCT(MAX(ROW(R$1:R584)*(R2=R$1:R584))))))</f>
        <v/>
      </c>
      <c r="K624" s="25" t="str">
        <f aca="false">IF(OR(E624="",E624="!!!",F624="NEW"),"",INDEX(W$1:W584,SUMPRODUCT(MAX(ROW(R$1:R584)*(E624=R$1:R584)))))</f>
        <v/>
      </c>
      <c r="L624" s="26"/>
      <c r="O624" s="20"/>
      <c r="P624" s="20"/>
      <c r="Q624" s="20"/>
    </row>
    <row r="625" customFormat="false" ht="14.25" hidden="false" customHeight="false" outlineLevel="0" collapsed="false">
      <c r="A625" s="0" t="s">
        <v>160</v>
      </c>
      <c r="E625" s="21" t="str">
        <f aca="false">IF(Q586="?OLD","!!!","")</f>
        <v/>
      </c>
      <c r="F625" s="22" t="str">
        <f aca="false">IF(OR(E625="",E625="!!!"),"",IF(NOT(ISNA(VLOOKUP(E625,R$1:R585,1,FALSE()))),"OLD",IF(AND(E625&lt;&gt;"",E625&lt;&gt;"!!!"),"NEW","")))</f>
        <v/>
      </c>
      <c r="G625" s="23" t="str">
        <f aca="false"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aca="false">IF(J625&lt;&gt;1,"",IF(I625="SBJ","CB","?"))</f>
        <v/>
      </c>
      <c r="I625" s="25" t="str">
        <f aca="false">IF(OR(E625="",E625="!!!",F625="NEW"),"",INDEX(O$2:O585,-1+SUMPRODUCT(MAX(ROW(R$2:R585)*(E625=R$2:R585)))))</f>
        <v/>
      </c>
      <c r="J625" s="25" t="str">
        <f aca="true">IF(OR(E625="",E625="!!!",F625="NEW"),"",COUNTBLANK(OFFSET(N$1,,,SUMPRODUCT(MAX(ROW(R$2:R586)*(E625=R$2:R586)))))-COUNTBLANK(OFFSET(N$1,,,SUMPRODUCT(MAX(ROW(R$1:R585)*(R2=R$1:R585))))))</f>
        <v/>
      </c>
      <c r="K625" s="25" t="str">
        <f aca="false">IF(OR(E625="",E625="!!!",F625="NEW"),"",INDEX(W$1:W585,SUMPRODUCT(MAX(ROW(R$1:R585)*(E625=R$1:R585)))))</f>
        <v/>
      </c>
      <c r="L625" s="26"/>
    </row>
    <row r="627" customFormat="false" ht="14.25" hidden="false" customHeight="false" outlineLevel="0" collapsed="false">
      <c r="A627" s="0" t="s">
        <v>555</v>
      </c>
    </row>
    <row r="628" customFormat="false" ht="14.25" hidden="false" customHeight="false" outlineLevel="0" collapsed="false">
      <c r="A628" s="0" t="s">
        <v>556</v>
      </c>
      <c r="E628" s="21" t="str">
        <f aca="false">IF(Q587="?OLD","!!!","")</f>
        <v/>
      </c>
      <c r="F628" s="22" t="str">
        <f aca="false">IF(OR(E628="",E628="!!!"),"",IF(NOT(ISNA(VLOOKUP(E628,R$1:R586,1,FALSE()))),"OLD",IF(AND(E628&lt;&gt;"",E628&lt;&gt;"!!!"),"NEW","")))</f>
        <v/>
      </c>
      <c r="G628" s="23" t="str">
        <f aca="false"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aca="false">IF(J628&lt;&gt;1,"",IF(I628="SBJ","CB","?"))</f>
        <v/>
      </c>
      <c r="I628" s="25" t="str">
        <f aca="false">IF(OR(E628="",E628="!!!",F628="NEW"),"",INDEX(O$2:O586,-1+SUMPRODUCT(MAX(ROW(R$2:R586)*(E628=R$2:R586)))))</f>
        <v/>
      </c>
      <c r="J628" s="25" t="str">
        <f aca="true">IF(OR(E628="",E628="!!!",F628="NEW"),"",COUNTBLANK(OFFSET(N$1,,,SUMPRODUCT(MAX(ROW(R$2:R587)*(E628=R$2:R587)))))-COUNTBLANK(OFFSET(N$1,,,SUMPRODUCT(MAX(ROW(R$1:R586)*(R2=R$1:R586))))))</f>
        <v/>
      </c>
      <c r="K628" s="25" t="str">
        <f aca="false">IF(OR(E628="",E628="!!!",F628="NEW"),"",INDEX(W$1:W586,SUMPRODUCT(MAX(ROW(R$1:R586)*(E628=R$1:R586)))))</f>
        <v/>
      </c>
      <c r="L628" s="26"/>
      <c r="O628" s="20"/>
      <c r="P628" s="20"/>
      <c r="Q628" s="20"/>
    </row>
    <row r="629" customFormat="false" ht="14.25" hidden="false" customHeight="false" outlineLevel="0" collapsed="false">
      <c r="A629" s="0" t="s">
        <v>287</v>
      </c>
      <c r="B629" s="20" t="s">
        <v>148</v>
      </c>
      <c r="C629" s="20" t="s">
        <v>124</v>
      </c>
      <c r="D629" s="20" t="s">
        <v>125</v>
      </c>
      <c r="E629" s="21" t="s">
        <v>126</v>
      </c>
      <c r="F629" s="22" t="str">
        <f aca="false">IF(OR(E629="",E629="!!!"),"",IF(NOT(ISNA(VLOOKUP(E629,R$1:R587,1,FALSE()))),"OLD",IF(AND(E629&lt;&gt;"",E629&lt;&gt;"!!!"),"NEW","")))</f>
        <v>NEW</v>
      </c>
      <c r="G629" s="23" t="str">
        <f aca="false"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?REFERENTIAL</v>
      </c>
      <c r="H629" s="24" t="str">
        <f aca="false">IF(J629&lt;&gt;1,"",IF(I629="SBJ","CB","?"))</f>
        <v/>
      </c>
      <c r="I629" s="25" t="str">
        <f aca="false">IF(OR(E629="",E629="!!!",F629="NEW"),"",INDEX(O$2:O587,-1+SUMPRODUCT(MAX(ROW(R$2:R587)*(E629=R$2:R587)))))</f>
        <v/>
      </c>
      <c r="J629" s="25" t="str">
        <f aca="true">IF(OR(E629="",E629="!!!",F629="NEW"),"",COUNTBLANK(OFFSET(N$1,,,SUMPRODUCT(MAX(ROW(R$2:R588)*(E629=R$2:R588)))))-COUNTBLANK(OFFSET(N$1,,,SUMPRODUCT(MAX(ROW(R$1:R587)*(R2=R$1:R587))))))</f>
        <v/>
      </c>
      <c r="K629" s="25" t="str">
        <f aca="false">IF(OR(E629="",E629="!!!",F629="NEW"),"",INDEX(W$1:W587,SUMPRODUCT(MAX(ROW(R$1:R587)*(E629=R$1:R587)))))</f>
        <v/>
      </c>
      <c r="L629" s="26"/>
    </row>
    <row r="630" customFormat="false" ht="14.25" hidden="false" customHeight="false" outlineLevel="0" collapsed="false">
      <c r="A630" s="0" t="s">
        <v>163</v>
      </c>
      <c r="E630" s="21" t="str">
        <f aca="false">IF(Q589="?OLD","!!!","")</f>
        <v/>
      </c>
      <c r="F630" s="22" t="str">
        <f aca="false">IF(OR(E630="",E630="!!!"),"",IF(NOT(ISNA(VLOOKUP(E630,R$1:R588,1,FALSE()))),"OLD",IF(AND(E630&lt;&gt;"",E630&lt;&gt;"!!!"),"NEW","")))</f>
        <v/>
      </c>
      <c r="G630" s="23" t="str">
        <f aca="false"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aca="false">IF(J630&lt;&gt;1,"",IF(I630="SBJ","CB","?"))</f>
        <v/>
      </c>
      <c r="I630" s="25" t="str">
        <f aca="false">IF(OR(E630="",E630="!!!",F630="NEW"),"",INDEX(O$2:O588,-1+SUMPRODUCT(MAX(ROW(R$2:R588)*(E630=R$2:R588)))))</f>
        <v/>
      </c>
      <c r="J630" s="25" t="str">
        <f aca="true">IF(OR(E630="",E630="!!!",F630="NEW"),"",COUNTBLANK(OFFSET(N$1,,,SUMPRODUCT(MAX(ROW(R$2:R589)*(E630=R$2:R589)))))-COUNTBLANK(OFFSET(N$1,,,SUMPRODUCT(MAX(ROW(R$1:R588)*(R2=R$1:R588))))))</f>
        <v/>
      </c>
      <c r="K630" s="25" t="str">
        <f aca="false">IF(OR(E630="",E630="!!!",F630="NEW"),"",INDEX(W$1:W588,SUMPRODUCT(MAX(ROW(R$1:R588)*(E630=R$1:R588)))))</f>
        <v/>
      </c>
      <c r="L630" s="26"/>
      <c r="O630" s="20"/>
      <c r="P630" s="20"/>
      <c r="Q630" s="20"/>
    </row>
    <row r="631" customFormat="false" ht="14.25" hidden="false" customHeight="false" outlineLevel="0" collapsed="false">
      <c r="A631" s="0" t="s">
        <v>336</v>
      </c>
      <c r="B631" s="20" t="s">
        <v>123</v>
      </c>
      <c r="C631" s="20" t="s">
        <v>124</v>
      </c>
      <c r="D631" s="20" t="s">
        <v>125</v>
      </c>
      <c r="E631" s="21"/>
      <c r="F631" s="22" t="s">
        <v>337</v>
      </c>
      <c r="G631" s="23" t="str">
        <f aca="false"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aca="false">IF(J631&lt;&gt;1,"",IF(I631="SBJ","CB","?"))</f>
        <v/>
      </c>
      <c r="I631" s="25" t="str">
        <f aca="false">IF(OR(E631="",E631="!!!",F631="NEW"),"",INDEX(O$2:O589,-1+SUMPRODUCT(MAX(ROW(R$2:R589)*(E631=R$2:R589)))))</f>
        <v/>
      </c>
      <c r="J631" s="25" t="str">
        <f aca="true">IF(OR(E631="",E631="!!!",F631="NEW"),"",COUNTBLANK(OFFSET(N$1,,,SUMPRODUCT(MAX(ROW(R$2:R590)*(E631=R$2:R590)))))-COUNTBLANK(OFFSET(N$1,,,SUMPRODUCT(MAX(ROW(R$1:R589)*(R2=R$1:R589))))))</f>
        <v/>
      </c>
      <c r="K631" s="25" t="str">
        <f aca="false">IF(OR(E631="",E631="!!!",F631="NEW"),"",INDEX(W$1:W589,SUMPRODUCT(MAX(ROW(R$1:R589)*(E631=R$1:R589)))))</f>
        <v/>
      </c>
      <c r="L631" s="26"/>
    </row>
    <row r="632" customFormat="false" ht="14.25" hidden="false" customHeight="false" outlineLevel="0" collapsed="false">
      <c r="A632" s="0" t="s">
        <v>344</v>
      </c>
      <c r="E632" s="21" t="str">
        <f aca="false">IF(Q591="?OLD","!!!","")</f>
        <v/>
      </c>
      <c r="F632" s="22" t="str">
        <f aca="false">IF(OR(E632="",E632="!!!"),"",IF(NOT(ISNA(VLOOKUP(E632,R$1:R590,1,FALSE()))),"OLD",IF(AND(E632&lt;&gt;"",E632&lt;&gt;"!!!"),"NEW","")))</f>
        <v/>
      </c>
      <c r="G632" s="23" t="str">
        <f aca="false"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aca="false">IF(J632&lt;&gt;1,"",IF(I632="SBJ","CB","?"))</f>
        <v/>
      </c>
      <c r="I632" s="25" t="str">
        <f aca="false">IF(OR(E632="",E632="!!!",F632="NEW"),"",INDEX(O$2:O590,-1+SUMPRODUCT(MAX(ROW(R$2:R590)*(E632=R$2:R590)))))</f>
        <v/>
      </c>
      <c r="J632" s="25" t="str">
        <f aca="true">IF(OR(E632="",E632="!!!",F632="NEW"),"",COUNTBLANK(OFFSET(N$1,,,SUMPRODUCT(MAX(ROW(R$2:R591)*(E632=R$2:R591)))))-COUNTBLANK(OFFSET(N$1,,,SUMPRODUCT(MAX(ROW(R$1:R590)*(R2=R$1:R590))))))</f>
        <v/>
      </c>
      <c r="K632" s="25" t="str">
        <f aca="false">IF(OR(E632="",E632="!!!",F632="NEW"),"",INDEX(W$1:W590,SUMPRODUCT(MAX(ROW(R$1:R590)*(E632=R$1:R590)))))</f>
        <v/>
      </c>
      <c r="L632" s="26"/>
    </row>
    <row r="633" customFormat="false" ht="14.25" hidden="false" customHeight="false" outlineLevel="0" collapsed="false">
      <c r="A633" s="0" t="s">
        <v>557</v>
      </c>
      <c r="B633" s="20" t="s">
        <v>133</v>
      </c>
      <c r="C633" s="20" t="s">
        <v>146</v>
      </c>
      <c r="E633" s="21" t="str">
        <f aca="false">IF(Q592="?OLD","!!!","")</f>
        <v/>
      </c>
      <c r="F633" s="22" t="str">
        <f aca="false">IF(OR(E633="",E633="!!!"),"",IF(NOT(ISNA(VLOOKUP(E633,R$1:R591,1,FALSE()))),"OLD",IF(AND(E633&lt;&gt;"",E633&lt;&gt;"!!!"),"NEW","")))</f>
        <v/>
      </c>
      <c r="G633" s="23" t="str">
        <f aca="false"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4" t="str">
        <f aca="false">IF(J633&lt;&gt;1,"",IF(I633="SBJ","CB","?"))</f>
        <v/>
      </c>
      <c r="I633" s="25" t="str">
        <f aca="false">IF(OR(E633="",E633="!!!",F633="NEW"),"",INDEX(O$2:O591,-1+SUMPRODUCT(MAX(ROW(R$2:R591)*(E633=R$2:R591)))))</f>
        <v/>
      </c>
      <c r="J633" s="25" t="str">
        <f aca="true">IF(OR(E633="",E633="!!!",F633="NEW"),"",COUNTBLANK(OFFSET(N$1,,,SUMPRODUCT(MAX(ROW(R$2:R592)*(E633=R$2:R592)))))-COUNTBLANK(OFFSET(N$1,,,SUMPRODUCT(MAX(ROW(R$1:R591)*(R2=R$1:R591))))))</f>
        <v/>
      </c>
      <c r="K633" s="25" t="str">
        <f aca="false">IF(OR(E633="",E633="!!!",F633="NEW"),"",INDEX(W$1:W591,SUMPRODUCT(MAX(ROW(R$1:R591)*(E633=R$1:R591)))))</f>
        <v/>
      </c>
      <c r="L633" s="26"/>
    </row>
    <row r="634" customFormat="false" ht="14.25" hidden="false" customHeight="false" outlineLevel="0" collapsed="false">
      <c r="A634" s="0" t="s">
        <v>140</v>
      </c>
      <c r="E634" s="21" t="str">
        <f aca="false">IF(Q593="?OLD","!!!","")</f>
        <v/>
      </c>
      <c r="F634" s="22" t="str">
        <f aca="false">IF(OR(E634="",E634="!!!"),"",IF(NOT(ISNA(VLOOKUP(E634,R$1:R592,1,FALSE()))),"OLD",IF(AND(E634&lt;&gt;"",E634&lt;&gt;"!!!"),"NEW","")))</f>
        <v/>
      </c>
      <c r="G634" s="23" t="str">
        <f aca="false"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4" t="str">
        <f aca="false">IF(J634&lt;&gt;1,"",IF(I634="SBJ","CB","?"))</f>
        <v/>
      </c>
      <c r="I634" s="25" t="str">
        <f aca="false">IF(OR(E634="",E634="!!!",F634="NEW"),"",INDEX(O$2:O592,-1+SUMPRODUCT(MAX(ROW(R$2:R592)*(E634=R$2:R592)))))</f>
        <v/>
      </c>
      <c r="J634" s="25" t="str">
        <f aca="true">IF(OR(E634="",E634="!!!",F634="NEW"),"",COUNTBLANK(OFFSET(N$1,,,SUMPRODUCT(MAX(ROW(R$2:R593)*(E634=R$2:R593)))))-COUNTBLANK(OFFSET(N$1,,,SUMPRODUCT(MAX(ROW(R$1:R592)*(R2=R$1:R592))))))</f>
        <v/>
      </c>
      <c r="K634" s="25" t="str">
        <f aca="false">IF(OR(E634="",E634="!!!",F634="NEW"),"",INDEX(W$1:W592,SUMPRODUCT(MAX(ROW(R$1:R592)*(E634=R$1:R592)))))</f>
        <v/>
      </c>
      <c r="L634" s="26"/>
      <c r="O634" s="20"/>
      <c r="P634" s="20"/>
      <c r="Q634" s="20"/>
    </row>
    <row r="635" customFormat="false" ht="14.25" hidden="false" customHeight="false" outlineLevel="0" collapsed="false">
      <c r="A635" s="0" t="s">
        <v>228</v>
      </c>
      <c r="E635" s="21" t="str">
        <f aca="false">IF(Q594="?OLD","!!!","")</f>
        <v/>
      </c>
      <c r="F635" s="22" t="str">
        <f aca="false">IF(OR(E635="",E635="!!!"),"",IF(NOT(ISNA(VLOOKUP(E635,R$1:R593,1,FALSE()))),"OLD",IF(AND(E635&lt;&gt;"",E635&lt;&gt;"!!!"),"NEW","")))</f>
        <v/>
      </c>
      <c r="G635" s="23" t="str">
        <f aca="false"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aca="false">IF(J635&lt;&gt;1,"",IF(I635="SBJ","CB","?"))</f>
        <v/>
      </c>
      <c r="I635" s="25" t="str">
        <f aca="false">IF(OR(E635="",E635="!!!",F635="NEW"),"",INDEX(O$2:O593,-1+SUMPRODUCT(MAX(ROW(R$2:R593)*(E635=R$2:R593)))))</f>
        <v/>
      </c>
      <c r="J635" s="25" t="str">
        <f aca="true">IF(OR(E635="",E635="!!!",F635="NEW"),"",COUNTBLANK(OFFSET(N$1,,,SUMPRODUCT(MAX(ROW(R$2:R594)*(E635=R$2:R594)))))-COUNTBLANK(OFFSET(N$1,,,SUMPRODUCT(MAX(ROW(R$1:R593)*(R2=R$1:R593))))))</f>
        <v/>
      </c>
      <c r="K635" s="25" t="str">
        <f aca="false">IF(OR(E635="",E635="!!!",F635="NEW"),"",INDEX(W$1:W593,SUMPRODUCT(MAX(ROW(R$1:R593)*(E635=R$1:R593)))))</f>
        <v/>
      </c>
      <c r="L635" s="26"/>
    </row>
    <row r="636" customFormat="false" ht="14.25" hidden="false" customHeight="false" outlineLevel="0" collapsed="false">
      <c r="A636" s="0" t="s">
        <v>273</v>
      </c>
      <c r="E636" s="21" t="str">
        <f aca="false">IF(Q595="?OLD","!!!","")</f>
        <v/>
      </c>
      <c r="F636" s="22" t="str">
        <f aca="false">IF(OR(E636="",E636="!!!"),"",IF(NOT(ISNA(VLOOKUP(E636,R$1:R594,1,FALSE()))),"OLD",IF(AND(E636&lt;&gt;"",E636&lt;&gt;"!!!"),"NEW","")))</f>
        <v/>
      </c>
      <c r="G636" s="23" t="str">
        <f aca="false"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aca="false">IF(J636&lt;&gt;1,"",IF(I636="SBJ","CB","?"))</f>
        <v/>
      </c>
      <c r="I636" s="25" t="str">
        <f aca="false">IF(OR(E636="",E636="!!!",F636="NEW"),"",INDEX(O$2:O594,-1+SUMPRODUCT(MAX(ROW(R$2:R594)*(E636=R$2:R594)))))</f>
        <v/>
      </c>
      <c r="J636" s="25" t="str">
        <f aca="true">IF(OR(E636="",E636="!!!",F636="NEW"),"",COUNTBLANK(OFFSET(N$1,,,SUMPRODUCT(MAX(ROW(R$2:R595)*(E636=R$2:R595)))))-COUNTBLANK(OFFSET(N$1,,,SUMPRODUCT(MAX(ROW(R$1:R594)*(R2=R$1:R594))))))</f>
        <v/>
      </c>
      <c r="K636" s="25" t="str">
        <f aca="false">IF(OR(E636="",E636="!!!",F636="NEW"),"",INDEX(W$1:W594,SUMPRODUCT(MAX(ROW(R$1:R594)*(E636=R$1:R594)))))</f>
        <v/>
      </c>
      <c r="L636" s="26"/>
    </row>
    <row r="637" customFormat="false" ht="14.25" hidden="false" customHeight="false" outlineLevel="0" collapsed="false">
      <c r="A637" s="0" t="s">
        <v>558</v>
      </c>
      <c r="B637" s="20" t="s">
        <v>274</v>
      </c>
      <c r="C637" s="20" t="s">
        <v>172</v>
      </c>
      <c r="D637" s="20" t="s">
        <v>125</v>
      </c>
      <c r="E637" s="21" t="s">
        <v>559</v>
      </c>
      <c r="F637" s="22" t="str">
        <f aca="false">IF(OR(E637="",E637="!!!"),"",IF(NOT(ISNA(VLOOKUP(E637,R$1:R595,1,FALSE()))),"OLD",IF(AND(E637&lt;&gt;"",E637&lt;&gt;"!!!"),"NEW","")))</f>
        <v>NEW</v>
      </c>
      <c r="G637" s="23" t="str">
        <f aca="false"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?REFERENTIAL</v>
      </c>
      <c r="H637" s="24" t="str">
        <f aca="false">IF(J637&lt;&gt;1,"",IF(I637="SBJ","CB","?"))</f>
        <v/>
      </c>
      <c r="I637" s="25" t="str">
        <f aca="false">IF(OR(E637="",E637="!!!",F637="NEW"),"",INDEX(O$2:O595,-1+SUMPRODUCT(MAX(ROW(R$2:R595)*(E637=R$2:R595)))))</f>
        <v/>
      </c>
      <c r="J637" s="25" t="str">
        <f aca="true">IF(OR(E637="",E637="!!!",F637="NEW"),"",COUNTBLANK(OFFSET(N$1,,,SUMPRODUCT(MAX(ROW(R$2:R596)*(E637=R$2:R596)))))-COUNTBLANK(OFFSET(N$1,,,SUMPRODUCT(MAX(ROW(R$1:R595)*(R2=R$1:R595))))))</f>
        <v/>
      </c>
      <c r="K637" s="25" t="str">
        <f aca="false">IF(OR(E637="",E637="!!!",F637="NEW"),"",INDEX(W$1:W595,SUMPRODUCT(MAX(ROW(R$1:R595)*(E637=R$1:R595)))))</f>
        <v/>
      </c>
      <c r="L637" s="26" t="s">
        <v>193</v>
      </c>
    </row>
    <row r="638" customFormat="false" ht="14.25" hidden="false" customHeight="false" outlineLevel="0" collapsed="false">
      <c r="A638" s="0" t="s">
        <v>560</v>
      </c>
      <c r="E638" s="21" t="s">
        <v>295</v>
      </c>
      <c r="F638" s="22" t="s">
        <v>246</v>
      </c>
      <c r="G638" s="23" t="e">
        <f aca="false"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#VALUE!</v>
      </c>
      <c r="H638" s="24" t="e">
        <f aca="false">IF(J638&lt;&gt;1,"",IF(I638="SBJ","CB","?"))</f>
        <v>#VALUE!</v>
      </c>
      <c r="I638" s="25" t="e">
        <f aca="false">IF(OR(E638="",E638="!!!",F638="NEW"),"",INDEX(O$2:O596,-1+SUMPRODUCT(MAX(ROW(R$2:R596)*(E638=R$2:R596)))))</f>
        <v>#VALUE!</v>
      </c>
      <c r="J638" s="25" t="e">
        <f aca="true">IF(OR(E638="",E638="!!!",F638="NEW"),"",COUNTBLANK(OFFSET(N$1,,,SUMPRODUCT(MAX(ROW(R$2:R597)*(E638=R$2:R597)))))-COUNTBLANK(OFFSET(N$1,,,SUMPRODUCT(MAX(ROW(R$1:R596)*(R2=R$1:R596))))))</f>
        <v>#VALUE!</v>
      </c>
      <c r="K638" s="25" t="e">
        <f aca="false">IF(OR(E638="",E638="!!!",F638="NEW"),"",INDEX(W$1:W596,SUMPRODUCT(MAX(ROW(R$1:R596)*(E638=R$1:R596)))))</f>
        <v>#VALUE!</v>
      </c>
      <c r="L638" s="26"/>
      <c r="O638" s="20"/>
      <c r="P638" s="20"/>
    </row>
    <row r="639" customFormat="false" ht="14.25" hidden="false" customHeight="false" outlineLevel="0" collapsed="false">
      <c r="A639" s="0" t="s">
        <v>226</v>
      </c>
      <c r="E639" s="21" t="str">
        <f aca="false">IF(Q598="?OLD","!!!","")</f>
        <v/>
      </c>
      <c r="F639" s="22" t="str">
        <f aca="false">IF(OR(E639="",E639="!!!"),"",IF(NOT(ISNA(VLOOKUP(E639,R$1:R597,1,FALSE()))),"OLD",IF(AND(E639&lt;&gt;"",E639&lt;&gt;"!!!"),"NEW","")))</f>
        <v/>
      </c>
      <c r="G639" s="23" t="str">
        <f aca="false"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aca="false">IF(J639&lt;&gt;1,"",IF(I639="SBJ","CB","?"))</f>
        <v/>
      </c>
      <c r="I639" s="25" t="str">
        <f aca="false">IF(OR(E639="",E639="!!!",F639="NEW"),"",INDEX(O$2:O597,-1+SUMPRODUCT(MAX(ROW(R$2:R597)*(E639=R$2:R597)))))</f>
        <v/>
      </c>
      <c r="J639" s="25" t="str">
        <f aca="true">IF(OR(E639="",E639="!!!",F639="NEW"),"",COUNTBLANK(OFFSET(N$1,,,SUMPRODUCT(MAX(ROW(R$2:R598)*(E639=R$2:R598)))))-COUNTBLANK(OFFSET(N$1,,,SUMPRODUCT(MAX(ROW(R$1:R597)*(R2=R$1:R597))))))</f>
        <v/>
      </c>
      <c r="K639" s="25" t="str">
        <f aca="false">IF(OR(E639="",E639="!!!",F639="NEW"),"",INDEX(W$1:W597,SUMPRODUCT(MAX(ROW(R$1:R597)*(E639=R$1:R597)))))</f>
        <v/>
      </c>
      <c r="L639" s="26"/>
    </row>
    <row r="640" customFormat="false" ht="14.25" hidden="false" customHeight="false" outlineLevel="0" collapsed="false">
      <c r="A640" s="0" t="s">
        <v>561</v>
      </c>
      <c r="E640" s="21" t="str">
        <f aca="false">IF(Q599="?OLD","!!!","")</f>
        <v/>
      </c>
      <c r="F640" s="22" t="str">
        <f aca="false">IF(OR(E640="",E640="!!!"),"",IF(NOT(ISNA(VLOOKUP(E640,R$1:R598,1,FALSE()))),"OLD",IF(AND(E640&lt;&gt;"",E640&lt;&gt;"!!!"),"NEW","")))</f>
        <v/>
      </c>
      <c r="G640" s="23" t="str">
        <f aca="false"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aca="false">IF(J640&lt;&gt;1,"",IF(I640="SBJ","CB","?"))</f>
        <v/>
      </c>
      <c r="I640" s="25" t="str">
        <f aca="false">IF(OR(E640="",E640="!!!",F640="NEW"),"",INDEX(O$2:O598,-1+SUMPRODUCT(MAX(ROW(R$2:R598)*(E640=R$2:R598)))))</f>
        <v/>
      </c>
      <c r="J640" s="25" t="str">
        <f aca="true">IF(OR(E640="",E640="!!!",F640="NEW"),"",COUNTBLANK(OFFSET(N$1,,,SUMPRODUCT(MAX(ROW(R$2:R599)*(E640=R$2:R599)))))-COUNTBLANK(OFFSET(N$1,,,SUMPRODUCT(MAX(ROW(R$1:R598)*(R2=R$1:R598))))))</f>
        <v/>
      </c>
      <c r="K640" s="25" t="str">
        <f aca="false">IF(OR(E640="",E640="!!!",F640="NEW"),"",INDEX(W$1:W598,SUMPRODUCT(MAX(ROW(R$1:R598)*(E640=R$1:R598)))))</f>
        <v/>
      </c>
      <c r="L640" s="26"/>
    </row>
    <row r="641" customFormat="false" ht="14.25" hidden="false" customHeight="false" outlineLevel="0" collapsed="false">
      <c r="A641" s="0" t="s">
        <v>140</v>
      </c>
      <c r="E641" s="21" t="str">
        <f aca="false">IF(Q600="?OLD","!!!","")</f>
        <v/>
      </c>
      <c r="F641" s="22" t="str">
        <f aca="false">IF(OR(E641="",E641="!!!"),"",IF(NOT(ISNA(VLOOKUP(E641,R$1:R599,1,FALSE()))),"OLD",IF(AND(E641&lt;&gt;"",E641&lt;&gt;"!!!"),"NEW","")))</f>
        <v/>
      </c>
      <c r="G641" s="23" t="str">
        <f aca="false"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aca="false">IF(J641&lt;&gt;1,"",IF(I641="SBJ","CB","?"))</f>
        <v/>
      </c>
      <c r="I641" s="25" t="str">
        <f aca="false">IF(OR(E641="",E641="!!!",F641="NEW"),"",INDEX(O$2:O599,-1+SUMPRODUCT(MAX(ROW(R$2:R599)*(E641=R$2:R599)))))</f>
        <v/>
      </c>
      <c r="J641" s="25" t="str">
        <f aca="true">IF(OR(E641="",E641="!!!",F641="NEW"),"",COUNTBLANK(OFFSET(N$1,,,SUMPRODUCT(MAX(ROW(R$2:R600)*(E641=R$2:R600)))))-COUNTBLANK(OFFSET(N$1,,,SUMPRODUCT(MAX(ROW(R$1:R599)*(R2=R$1:R599))))))</f>
        <v/>
      </c>
      <c r="K641" s="25" t="str">
        <f aca="false">IF(OR(E641="",E641="!!!",F641="NEW"),"",INDEX(W$1:W599,SUMPRODUCT(MAX(ROW(R$1:R599)*(E641=R$1:R599)))))</f>
        <v/>
      </c>
      <c r="L641" s="26"/>
      <c r="O641" s="20"/>
      <c r="P641" s="20"/>
    </row>
    <row r="642" customFormat="false" ht="14.25" hidden="false" customHeight="false" outlineLevel="0" collapsed="false">
      <c r="A642" s="0" t="s">
        <v>273</v>
      </c>
      <c r="B642" s="20" t="s">
        <v>235</v>
      </c>
      <c r="E642" s="21"/>
      <c r="F642" s="22" t="str">
        <f aca="false">IF(OR(E642="",E642="!!!"),"",IF(NOT(ISNA(VLOOKUP(E642,R$1:R600,1,FALSE()))),"OLD",IF(AND(E642&lt;&gt;"",E642&lt;&gt;"!!!"),"NEW","")))</f>
        <v/>
      </c>
      <c r="G642" s="23" t="str">
        <f aca="false"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aca="false">IF(J642&lt;&gt;1,"",IF(I642="SBJ","CB","?"))</f>
        <v/>
      </c>
      <c r="I642" s="25" t="str">
        <f aca="false">IF(OR(E642="",E642="!!!",F642="NEW"),"",INDEX(O$2:O600,-1+SUMPRODUCT(MAX(ROW(R$2:R600)*(E642=R$2:R600)))))</f>
        <v/>
      </c>
      <c r="J642" s="25" t="str">
        <f aca="true">IF(OR(E642="",E642="!!!",F642="NEW"),"",COUNTBLANK(OFFSET(N$1,,,SUMPRODUCT(MAX(ROW(R$2:R601)*(E642=R$2:R601)))))-COUNTBLANK(OFFSET(N$1,,,SUMPRODUCT(MAX(ROW(R$1:R600)*(R2=R$1:R600))))))</f>
        <v/>
      </c>
      <c r="K642" s="25" t="str">
        <f aca="false">IF(OR(E642="",E642="!!!",F642="NEW"),"",INDEX(W$1:W600,SUMPRODUCT(MAX(ROW(R$1:R600)*(E642=R$1:R600)))))</f>
        <v/>
      </c>
      <c r="L642" s="26"/>
    </row>
    <row r="643" customFormat="false" ht="14.25" hidden="false" customHeight="false" outlineLevel="0" collapsed="false">
      <c r="A643" s="0" t="s">
        <v>255</v>
      </c>
      <c r="E643" s="21" t="str">
        <f aca="false">IF(Q602="?OLD","!!!","")</f>
        <v/>
      </c>
      <c r="F643" s="22" t="str">
        <f aca="false">IF(OR(E643="",E643="!!!"),"",IF(NOT(ISNA(VLOOKUP(E643,R$1:R601,1,FALSE()))),"OLD",IF(AND(E643&lt;&gt;"",E643&lt;&gt;"!!!"),"NEW","")))</f>
        <v/>
      </c>
      <c r="G643" s="23" t="str">
        <f aca="false"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4" t="str">
        <f aca="false">IF(J643&lt;&gt;1,"",IF(I643="SBJ","CB","?"))</f>
        <v/>
      </c>
      <c r="I643" s="25" t="str">
        <f aca="false">IF(OR(E643="",E643="!!!",F643="NEW"),"",INDEX(O$2:O601,-1+SUMPRODUCT(MAX(ROW(R$2:R601)*(E643=R$2:R601)))))</f>
        <v/>
      </c>
      <c r="J643" s="25" t="str">
        <f aca="true">IF(OR(E643="",E643="!!!",F643="NEW"),"",COUNTBLANK(OFFSET(N$1,,,SUMPRODUCT(MAX(ROW(R$2:R602)*(E643=R$2:R602)))))-COUNTBLANK(OFFSET(N$1,,,SUMPRODUCT(MAX(ROW(R$1:R601)*(R2=R$1:R601))))))</f>
        <v/>
      </c>
      <c r="K643" s="25" t="str">
        <f aca="false">IF(OR(E643="",E643="!!!",F643="NEW"),"",INDEX(W$1:W601,SUMPRODUCT(MAX(ROW(R$1:R601)*(E643=R$1:R601)))))</f>
        <v/>
      </c>
      <c r="L643" s="26"/>
    </row>
    <row r="644" customFormat="false" ht="14.25" hidden="false" customHeight="false" outlineLevel="0" collapsed="false">
      <c r="A644" s="0" t="s">
        <v>175</v>
      </c>
      <c r="E644" s="21" t="str">
        <f aca="false">IF(Q603="?OLD","!!!","")</f>
        <v/>
      </c>
      <c r="F644" s="22" t="str">
        <f aca="false">IF(OR(E644="",E644="!!!"),"",IF(NOT(ISNA(VLOOKUP(E644,R$1:R602,1,FALSE()))),"OLD",IF(AND(E644&lt;&gt;"",E644&lt;&gt;"!!!"),"NEW","")))</f>
        <v/>
      </c>
      <c r="G644" s="23" t="str">
        <f aca="false"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aca="false">IF(J644&lt;&gt;1,"",IF(I644="SBJ","CB","?"))</f>
        <v/>
      </c>
      <c r="I644" s="25" t="str">
        <f aca="false">IF(OR(E644="",E644="!!!",F644="NEW"),"",INDEX(O$2:O602,-1+SUMPRODUCT(MAX(ROW(R$2:R602)*(E644=R$2:R602)))))</f>
        <v/>
      </c>
      <c r="J644" s="25" t="str">
        <f aca="true">IF(OR(E644="",E644="!!!",F644="NEW"),"",COUNTBLANK(OFFSET(N$1,,,SUMPRODUCT(MAX(ROW(R$2:R603)*(E644=R$2:R603)))))-COUNTBLANK(OFFSET(N$1,,,SUMPRODUCT(MAX(ROW(R$1:R602)*(R2=R$1:R602))))))</f>
        <v/>
      </c>
      <c r="K644" s="25" t="str">
        <f aca="false">IF(OR(E644="",E644="!!!",F644="NEW"),"",INDEX(W$1:W602,SUMPRODUCT(MAX(ROW(R$1:R602)*(E644=R$1:R602)))))</f>
        <v/>
      </c>
      <c r="L644" s="26"/>
    </row>
    <row r="645" customFormat="false" ht="14.25" hidden="false" customHeight="false" outlineLevel="0" collapsed="false">
      <c r="A645" s="0" t="s">
        <v>257</v>
      </c>
      <c r="B645" s="20" t="s">
        <v>150</v>
      </c>
      <c r="C645" s="20" t="s">
        <v>172</v>
      </c>
      <c r="D645" s="20" t="s">
        <v>125</v>
      </c>
      <c r="E645" s="21"/>
      <c r="F645" s="22" t="s">
        <v>265</v>
      </c>
      <c r="G645" s="23" t="str">
        <f aca="false"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aca="false">IF(J645&lt;&gt;1,"",IF(I645="SBJ","CB","?"))</f>
        <v/>
      </c>
      <c r="I645" s="25" t="str">
        <f aca="false">IF(OR(E645="",E645="!!!",F645="NEW"),"",INDEX(O$2:O603,-1+SUMPRODUCT(MAX(ROW(R$2:R603)*(E645=R$2:R603)))))</f>
        <v/>
      </c>
      <c r="J645" s="25" t="str">
        <f aca="true">IF(OR(E645="",E645="!!!",F645="NEW"),"",COUNTBLANK(OFFSET(N$1,,,SUMPRODUCT(MAX(ROW(R$2:R604)*(E645=R$2:R604)))))-COUNTBLANK(OFFSET(N$1,,,SUMPRODUCT(MAX(ROW(R$1:R603)*(R2=R$1:R603))))))</f>
        <v/>
      </c>
      <c r="K645" s="25" t="str">
        <f aca="false">IF(OR(E645="",E645="!!!",F645="NEW"),"",INDEX(W$1:W603,SUMPRODUCT(MAX(ROW(R$1:R603)*(E645=R$1:R603)))))</f>
        <v/>
      </c>
      <c r="L645" s="26"/>
    </row>
    <row r="646" customFormat="false" ht="14.25" hidden="false" customHeight="false" outlineLevel="0" collapsed="false">
      <c r="A646" s="0" t="s">
        <v>138</v>
      </c>
      <c r="E646" s="21" t="str">
        <f aca="false">IF(Q605="?OLD","!!!","")</f>
        <v/>
      </c>
      <c r="F646" s="22" t="str">
        <f aca="false">IF(OR(E646="",E646="!!!"),"",IF(NOT(ISNA(VLOOKUP(E646,R$1:R604,1,FALSE()))),"OLD",IF(AND(E646&lt;&gt;"",E646&lt;&gt;"!!!"),"NEW","")))</f>
        <v/>
      </c>
      <c r="G646" s="23" t="str">
        <f aca="false"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aca="false">IF(J646&lt;&gt;1,"",IF(I646="SBJ","CB","?"))</f>
        <v/>
      </c>
      <c r="I646" s="25" t="str">
        <f aca="false">IF(OR(E646="",E646="!!!",F646="NEW"),"",INDEX(O$2:O604,-1+SUMPRODUCT(MAX(ROW(R$2:R604)*(E646=R$2:R604)))))</f>
        <v/>
      </c>
      <c r="J646" s="25" t="str">
        <f aca="true">IF(OR(E646="",E646="!!!",F646="NEW"),"",COUNTBLANK(OFFSET(N$1,,,SUMPRODUCT(MAX(ROW(R$2:R605)*(E646=R$2:R605)))))-COUNTBLANK(OFFSET(N$1,,,SUMPRODUCT(MAX(ROW(R$1:R604)*(R2=R$1:R604))))))</f>
        <v/>
      </c>
      <c r="K646" s="25" t="str">
        <f aca="false">IF(OR(E646="",E646="!!!",F646="NEW"),"",INDEX(W$1:W604,SUMPRODUCT(MAX(ROW(R$1:R604)*(E646=R$1:R604)))))</f>
        <v/>
      </c>
      <c r="L646" s="26"/>
    </row>
    <row r="647" customFormat="false" ht="14.25" hidden="false" customHeight="false" outlineLevel="0" collapsed="false">
      <c r="A647" s="0" t="s">
        <v>562</v>
      </c>
      <c r="B647" s="20" t="s">
        <v>232</v>
      </c>
      <c r="C647" s="20" t="s">
        <v>155</v>
      </c>
      <c r="E647" s="21" t="str">
        <f aca="false">IF(Q606="?OLD","!!!","")</f>
        <v/>
      </c>
      <c r="F647" s="22" t="str">
        <f aca="false">IF(OR(E647="",E647="!!!"),"",IF(NOT(ISNA(VLOOKUP(E647,R$1:R605,1,FALSE()))),"OLD",IF(AND(E647&lt;&gt;"",E647&lt;&gt;"!!!"),"NEW","")))</f>
        <v/>
      </c>
      <c r="G647" s="23" t="str">
        <f aca="false"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aca="false">IF(J647&lt;&gt;1,"",IF(I647="SBJ","CB","?"))</f>
        <v/>
      </c>
      <c r="I647" s="25" t="str">
        <f aca="false">IF(OR(E647="",E647="!!!",F647="NEW"),"",INDEX(O$2:O605,-1+SUMPRODUCT(MAX(ROW(R$2:R605)*(E647=R$2:R605)))))</f>
        <v/>
      </c>
      <c r="J647" s="25" t="str">
        <f aca="true">IF(OR(E647="",E647="!!!",F647="NEW"),"",COUNTBLANK(OFFSET(N$1,,,SUMPRODUCT(MAX(ROW(R$2:R606)*(E647=R$2:R606)))))-COUNTBLANK(OFFSET(N$1,,,SUMPRODUCT(MAX(ROW(R$1:R605)*(R2=R$1:R605))))))</f>
        <v/>
      </c>
      <c r="K647" s="25" t="str">
        <f aca="false">IF(OR(E647="",E647="!!!",F647="NEW"),"",INDEX(W$1:W605,SUMPRODUCT(MAX(ROW(R$1:R605)*(E647=R$1:R605)))))</f>
        <v/>
      </c>
      <c r="L647" s="26"/>
      <c r="O647" s="20"/>
      <c r="P647" s="20"/>
    </row>
    <row r="648" customFormat="false" ht="14.25" hidden="false" customHeight="false" outlineLevel="0" collapsed="false">
      <c r="A648" s="0" t="s">
        <v>563</v>
      </c>
      <c r="E648" s="21" t="str">
        <f aca="false">IF(Q607="?OLD","!!!","")</f>
        <v/>
      </c>
      <c r="F648" s="22" t="str">
        <f aca="false">IF(OR(E648="",E648="!!!"),"",IF(NOT(ISNA(VLOOKUP(E648,R$1:R606,1,FALSE()))),"OLD",IF(AND(E648&lt;&gt;"",E648&lt;&gt;"!!!"),"NEW","")))</f>
        <v/>
      </c>
      <c r="G648" s="23" t="str">
        <f aca="false"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aca="false">IF(J648&lt;&gt;1,"",IF(I648="SBJ","CB","?"))</f>
        <v/>
      </c>
      <c r="I648" s="25" t="str">
        <f aca="false">IF(OR(E648="",E648="!!!",F648="NEW"),"",INDEX(O$2:O606,-1+SUMPRODUCT(MAX(ROW(R$2:R606)*(E648=R$2:R606)))))</f>
        <v/>
      </c>
      <c r="J648" s="25" t="str">
        <f aca="true">IF(OR(E648="",E648="!!!",F648="NEW"),"",COUNTBLANK(OFFSET(N$1,,,SUMPRODUCT(MAX(ROW(R$2:R607)*(E648=R$2:R607)))))-COUNTBLANK(OFFSET(N$1,,,SUMPRODUCT(MAX(ROW(R$1:R606)*(R2=R$1:R606))))))</f>
        <v/>
      </c>
      <c r="K648" s="25" t="str">
        <f aca="false">IF(OR(E648="",E648="!!!",F648="NEW"),"",INDEX(W$1:W606,SUMPRODUCT(MAX(ROW(R$1:R606)*(E648=R$1:R606)))))</f>
        <v/>
      </c>
      <c r="L648" s="26"/>
    </row>
    <row r="649" customFormat="false" ht="14.25" hidden="false" customHeight="false" outlineLevel="0" collapsed="false">
      <c r="A649" s="0" t="s">
        <v>564</v>
      </c>
      <c r="E649" s="21" t="str">
        <f aca="false">IF(Q608="?OLD","!!!","")</f>
        <v/>
      </c>
      <c r="F649" s="22" t="str">
        <f aca="false">IF(OR(E649="",E649="!!!"),"",IF(NOT(ISNA(VLOOKUP(E649,R$1:R607,1,FALSE()))),"OLD",IF(AND(E649&lt;&gt;"",E649&lt;&gt;"!!!"),"NEW","")))</f>
        <v/>
      </c>
      <c r="G649" s="23" t="str">
        <f aca="false"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aca="false">IF(J649&lt;&gt;1,"",IF(I649="SBJ","CB","?"))</f>
        <v/>
      </c>
      <c r="I649" s="25" t="str">
        <f aca="false">IF(OR(E649="",E649="!!!",F649="NEW"),"",INDEX(O$2:O607,-1+SUMPRODUCT(MAX(ROW(R$2:R607)*(E649=R$2:R607)))))</f>
        <v/>
      </c>
      <c r="J649" s="25" t="str">
        <f aca="true">IF(OR(E649="",E649="!!!",F649="NEW"),"",COUNTBLANK(OFFSET(N$1,,,SUMPRODUCT(MAX(ROW(R$2:R608)*(E649=R$2:R608)))))-COUNTBLANK(OFFSET(N$1,,,SUMPRODUCT(MAX(ROW(R$1:R607)*(R2=R$1:R607))))))</f>
        <v/>
      </c>
      <c r="K649" s="25" t="str">
        <f aca="false">IF(OR(E649="",E649="!!!",F649="NEW"),"",INDEX(W$1:W607,SUMPRODUCT(MAX(ROW(R$1:R607)*(E649=R$1:R607)))))</f>
        <v/>
      </c>
      <c r="L649" s="26"/>
    </row>
    <row r="650" customFormat="false" ht="14.25" hidden="false" customHeight="false" outlineLevel="0" collapsed="false">
      <c r="A650" s="0" t="s">
        <v>140</v>
      </c>
      <c r="E650" s="21" t="str">
        <f aca="false">IF(Q609="?OLD","!!!","")</f>
        <v/>
      </c>
      <c r="F650" s="22" t="str">
        <f aca="false">IF(OR(E650="",E650="!!!"),"",IF(NOT(ISNA(VLOOKUP(E650,R$1:R608,1,FALSE()))),"OLD",IF(AND(E650&lt;&gt;"",E650&lt;&gt;"!!!"),"NEW","")))</f>
        <v/>
      </c>
      <c r="G650" s="23" t="str">
        <f aca="false"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aca="false">IF(J650&lt;&gt;1,"",IF(I650="SBJ","CB","?"))</f>
        <v/>
      </c>
      <c r="I650" s="25" t="str">
        <f aca="false">IF(OR(E650="",E650="!!!",F650="NEW"),"",INDEX(O$2:O608,-1+SUMPRODUCT(MAX(ROW(R$2:R608)*(E650=R$2:R608)))))</f>
        <v/>
      </c>
      <c r="J650" s="25" t="str">
        <f aca="true">IF(OR(E650="",E650="!!!",F650="NEW"),"",COUNTBLANK(OFFSET(N$1,,,SUMPRODUCT(MAX(ROW(R$2:R609)*(E650=R$2:R609)))))-COUNTBLANK(OFFSET(N$1,,,SUMPRODUCT(MAX(ROW(R$1:R608)*(R2=R$1:R608))))))</f>
        <v/>
      </c>
      <c r="K650" s="25" t="str">
        <f aca="false">IF(OR(E650="",E650="!!!",F650="NEW"),"",INDEX(W$1:W608,SUMPRODUCT(MAX(ROW(R$1:R608)*(E650=R$1:R608)))))</f>
        <v/>
      </c>
      <c r="L650" s="26"/>
    </row>
    <row r="651" customFormat="false" ht="14.25" hidden="false" customHeight="false" outlineLevel="0" collapsed="false">
      <c r="A651" s="0" t="s">
        <v>163</v>
      </c>
      <c r="E651" s="21" t="str">
        <f aca="false">IF(Q610="?OLD","!!!","")</f>
        <v/>
      </c>
      <c r="F651" s="22" t="str">
        <f aca="false">IF(OR(E651="",E651="!!!"),"",IF(NOT(ISNA(VLOOKUP(E651,R$1:R609,1,FALSE()))),"OLD",IF(AND(E651&lt;&gt;"",E651&lt;&gt;"!!!"),"NEW","")))</f>
        <v/>
      </c>
      <c r="G651" s="23" t="str">
        <f aca="false"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4" t="str">
        <f aca="false">IF(J651&lt;&gt;1,"",IF(I651="SBJ","CB","?"))</f>
        <v/>
      </c>
      <c r="I651" s="25" t="str">
        <f aca="false">IF(OR(E651="",E651="!!!",F651="NEW"),"",INDEX(O$2:O609,-1+SUMPRODUCT(MAX(ROW(R$2:R609)*(E651=R$2:R609)))))</f>
        <v/>
      </c>
      <c r="J651" s="25" t="str">
        <f aca="true">IF(OR(E651="",E651="!!!",F651="NEW"),"",COUNTBLANK(OFFSET(N$1,,,SUMPRODUCT(MAX(ROW(R$2:R610)*(E651=R$2:R610)))))-COUNTBLANK(OFFSET(N$1,,,SUMPRODUCT(MAX(ROW(R$1:R609)*(R2=R$1:R609))))))</f>
        <v/>
      </c>
      <c r="K651" s="25" t="str">
        <f aca="false">IF(OR(E651="",E651="!!!",F651="NEW"),"",INDEX(W$1:W609,SUMPRODUCT(MAX(ROW(R$1:R609)*(E651=R$1:R609)))))</f>
        <v/>
      </c>
      <c r="L651" s="26"/>
    </row>
    <row r="652" customFormat="false" ht="14.25" hidden="false" customHeight="false" outlineLevel="0" collapsed="false">
      <c r="A652" s="0" t="s">
        <v>166</v>
      </c>
      <c r="E652" s="21" t="str">
        <f aca="false">IF(Q611="?OLD","!!!","")</f>
        <v/>
      </c>
      <c r="F652" s="22" t="str">
        <f aca="false">IF(OR(E652="",E652="!!!"),"",IF(NOT(ISNA(VLOOKUP(E652,R$1:R610,1,FALSE()))),"OLD",IF(AND(E652&lt;&gt;"",E652&lt;&gt;"!!!"),"NEW","")))</f>
        <v/>
      </c>
      <c r="G652" s="23" t="str">
        <f aca="false"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4" t="str">
        <f aca="false">IF(J652&lt;&gt;1,"",IF(I652="SBJ","CB","?"))</f>
        <v/>
      </c>
      <c r="I652" s="25" t="str">
        <f aca="false">IF(OR(E652="",E652="!!!",F652="NEW"),"",INDEX(O$2:O610,-1+SUMPRODUCT(MAX(ROW(R$2:R610)*(E652=R$2:R610)))))</f>
        <v/>
      </c>
      <c r="J652" s="25" t="str">
        <f aca="true">IF(OR(E652="",E652="!!!",F652="NEW"),"",COUNTBLANK(OFFSET(N$1,,,SUMPRODUCT(MAX(ROW(R$2:R611)*(E652=R$2:R611)))))-COUNTBLANK(OFFSET(N$1,,,SUMPRODUCT(MAX(ROW(R$1:R610)*(R2=R$1:R610))))))</f>
        <v/>
      </c>
      <c r="K652" s="25" t="str">
        <f aca="false">IF(OR(E652="",E652="!!!",F652="NEW"),"",INDEX(W$1:W610,SUMPRODUCT(MAX(ROW(R$1:R610)*(E652=R$1:R610)))))</f>
        <v/>
      </c>
      <c r="L652" s="26"/>
    </row>
    <row r="653" customFormat="false" ht="14.25" hidden="false" customHeight="false" outlineLevel="0" collapsed="false">
      <c r="A653" s="0" t="s">
        <v>287</v>
      </c>
      <c r="B653" s="20" t="s">
        <v>133</v>
      </c>
      <c r="C653" s="20" t="s">
        <v>124</v>
      </c>
      <c r="D653" s="20" t="s">
        <v>125</v>
      </c>
      <c r="E653" s="21" t="s">
        <v>126</v>
      </c>
      <c r="F653" s="22" t="str">
        <f aca="false">IF(OR(E653="",E653="!!!"),"",IF(NOT(ISNA(VLOOKUP(E653,R$1:R611,1,FALSE()))),"OLD",IF(AND(E653&lt;&gt;"",E653&lt;&gt;"!!!"),"NEW","")))</f>
        <v>NEW</v>
      </c>
      <c r="G653" s="23" t="str">
        <f aca="false"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?REFERENTIAL</v>
      </c>
      <c r="H653" s="24" t="str">
        <f aca="false">IF(J653&lt;&gt;1,"",IF(I653="SBJ","CB","?"))</f>
        <v/>
      </c>
      <c r="I653" s="25" t="str">
        <f aca="false">IF(OR(E653="",E653="!!!",F653="NEW"),"",INDEX(O$2:O611,-1+SUMPRODUCT(MAX(ROW(R$2:R611)*(E653=R$2:R611)))))</f>
        <v/>
      </c>
      <c r="J653" s="25" t="str">
        <f aca="true">IF(OR(E653="",E653="!!!",F653="NEW"),"",COUNTBLANK(OFFSET(N$1,,,SUMPRODUCT(MAX(ROW(R$2:R612)*(E653=R$2:R612)))))-COUNTBLANK(OFFSET(N$1,,,SUMPRODUCT(MAX(ROW(R$1:R611)*(R2=R$1:R611))))))</f>
        <v/>
      </c>
      <c r="K653" s="25" t="str">
        <f aca="false">IF(OR(E653="",E653="!!!",F653="NEW"),"",INDEX(W$1:W611,SUMPRODUCT(MAX(ROW(R$1:R611)*(E653=R$1:R611)))))</f>
        <v/>
      </c>
      <c r="L653" s="26"/>
    </row>
    <row r="654" customFormat="false" ht="14.25" hidden="false" customHeight="false" outlineLevel="0" collapsed="false">
      <c r="A654" s="0" t="s">
        <v>565</v>
      </c>
      <c r="E654" s="21" t="str">
        <f aca="false">IF(Q613="?OLD","!!!","")</f>
        <v/>
      </c>
      <c r="F654" s="22" t="str">
        <f aca="false">IF(OR(E654="",E654="!!!"),"",IF(NOT(ISNA(VLOOKUP(E654,R$1:R612,1,FALSE()))),"OLD",IF(AND(E654&lt;&gt;"",E654&lt;&gt;"!!!"),"NEW","")))</f>
        <v/>
      </c>
      <c r="G654" s="23" t="str">
        <f aca="false"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aca="false">IF(J654&lt;&gt;1,"",IF(I654="SBJ","CB","?"))</f>
        <v/>
      </c>
      <c r="I654" s="25" t="str">
        <f aca="false">IF(OR(E654="",E654="!!!",F654="NEW"),"",INDEX(O$2:O612,-1+SUMPRODUCT(MAX(ROW(R$2:R612)*(E654=R$2:R612)))))</f>
        <v/>
      </c>
      <c r="J654" s="25" t="str">
        <f aca="true">IF(OR(E654="",E654="!!!",F654="NEW"),"",COUNTBLANK(OFFSET(N$1,,,SUMPRODUCT(MAX(ROW(R$2:R613)*(E654=R$2:R613)))))-COUNTBLANK(OFFSET(N$1,,,SUMPRODUCT(MAX(ROW(R$1:R612)*(R2=R$1:R612))))))</f>
        <v/>
      </c>
      <c r="K654" s="25" t="str">
        <f aca="false">IF(OR(E654="",E654="!!!",F654="NEW"),"",INDEX(W$1:W612,SUMPRODUCT(MAX(ROW(R$1:R612)*(E654=R$1:R612)))))</f>
        <v/>
      </c>
      <c r="L654" s="26"/>
    </row>
    <row r="655" customFormat="false" ht="14.25" hidden="false" customHeight="false" outlineLevel="0" collapsed="false">
      <c r="A655" s="0" t="s">
        <v>138</v>
      </c>
      <c r="E655" s="21" t="str">
        <f aca="false">IF(Q614="?OLD","!!!","")</f>
        <v/>
      </c>
      <c r="F655" s="22" t="str">
        <f aca="false">IF(OR(E655="",E655="!!!"),"",IF(NOT(ISNA(VLOOKUP(E655,R$1:R613,1,FALSE()))),"OLD",IF(AND(E655&lt;&gt;"",E655&lt;&gt;"!!!"),"NEW","")))</f>
        <v/>
      </c>
      <c r="G655" s="23" t="str">
        <f aca="false"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4" t="str">
        <f aca="false">IF(J655&lt;&gt;1,"",IF(I655="SBJ","CB","?"))</f>
        <v/>
      </c>
      <c r="I655" s="25" t="str">
        <f aca="false">IF(OR(E655="",E655="!!!",F655="NEW"),"",INDEX(O$2:O613,-1+SUMPRODUCT(MAX(ROW(R$2:R613)*(E655=R$2:R613)))))</f>
        <v/>
      </c>
      <c r="J655" s="25" t="str">
        <f aca="true">IF(OR(E655="",E655="!!!",F655="NEW"),"",COUNTBLANK(OFFSET(N$1,,,SUMPRODUCT(MAX(ROW(R$2:R614)*(E655=R$2:R614)))))-COUNTBLANK(OFFSET(N$1,,,SUMPRODUCT(MAX(ROW(R$1:R613)*(R2=R$1:R613))))))</f>
        <v/>
      </c>
      <c r="K655" s="25" t="str">
        <f aca="false">IF(OR(E655="",E655="!!!",F655="NEW"),"",INDEX(W$1:W613,SUMPRODUCT(MAX(ROW(R$1:R613)*(E655=R$1:R613)))))</f>
        <v/>
      </c>
      <c r="L655" s="26"/>
    </row>
    <row r="656" customFormat="false" ht="14.25" hidden="false" customHeight="false" outlineLevel="0" collapsed="false">
      <c r="A656" s="0" t="s">
        <v>566</v>
      </c>
      <c r="E656" s="21" t="str">
        <f aca="false">IF(Q615="?OLD","!!!","")</f>
        <v/>
      </c>
      <c r="F656" s="22" t="str">
        <f aca="false">IF(OR(E656="",E656="!!!"),"",IF(NOT(ISNA(VLOOKUP(E656,R$1:R614,1,FALSE()))),"OLD",IF(AND(E656&lt;&gt;"",E656&lt;&gt;"!!!"),"NEW","")))</f>
        <v/>
      </c>
      <c r="G656" s="23" t="str">
        <f aca="false"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aca="false">IF(J656&lt;&gt;1,"",IF(I656="SBJ","CB","?"))</f>
        <v/>
      </c>
      <c r="I656" s="25" t="str">
        <f aca="false">IF(OR(E656="",E656="!!!",F656="NEW"),"",INDEX(O$2:O614,-1+SUMPRODUCT(MAX(ROW(R$2:R614)*(E656=R$2:R614)))))</f>
        <v/>
      </c>
      <c r="J656" s="25" t="str">
        <f aca="true">IF(OR(E656="",E656="!!!",F656="NEW"),"",COUNTBLANK(OFFSET(N$1,,,SUMPRODUCT(MAX(ROW(R$2:R615)*(E656=R$2:R615)))))-COUNTBLANK(OFFSET(N$1,,,SUMPRODUCT(MAX(ROW(R$1:R614)*(R2=R$1:R614))))))</f>
        <v/>
      </c>
      <c r="K656" s="25" t="str">
        <f aca="false">IF(OR(E656="",E656="!!!",F656="NEW"),"",INDEX(W$1:W614,SUMPRODUCT(MAX(ROW(R$1:R614)*(E656=R$1:R614)))))</f>
        <v/>
      </c>
      <c r="L656" s="26"/>
    </row>
    <row r="657" customFormat="false" ht="14.25" hidden="false" customHeight="false" outlineLevel="0" collapsed="false">
      <c r="A657" s="0" t="s">
        <v>567</v>
      </c>
      <c r="B657" s="20" t="s">
        <v>224</v>
      </c>
      <c r="C657" s="20" t="s">
        <v>155</v>
      </c>
      <c r="E657" s="21" t="str">
        <f aca="false">IF(Q616="?OLD","!!!","")</f>
        <v/>
      </c>
      <c r="F657" s="22" t="str">
        <f aca="false">IF(OR(E657="",E657="!!!"),"",IF(NOT(ISNA(VLOOKUP(E657,R$1:R615,1,FALSE()))),"OLD",IF(AND(E657&lt;&gt;"",E657&lt;&gt;"!!!"),"NEW","")))</f>
        <v/>
      </c>
      <c r="G657" s="23" t="str">
        <f aca="false"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aca="false">IF(J657&lt;&gt;1,"",IF(I657="SBJ","CB","?"))</f>
        <v/>
      </c>
      <c r="I657" s="25" t="str">
        <f aca="false">IF(OR(E657="",E657="!!!",F657="NEW"),"",INDEX(O$2:O615,-1+SUMPRODUCT(MAX(ROW(R$2:R615)*(E657=R$2:R615)))))</f>
        <v/>
      </c>
      <c r="J657" s="25" t="str">
        <f aca="true">IF(OR(E657="",E657="!!!",F657="NEW"),"",COUNTBLANK(OFFSET(N$1,,,SUMPRODUCT(MAX(ROW(R$2:R616)*(E657=R$2:R616)))))-COUNTBLANK(OFFSET(N$1,,,SUMPRODUCT(MAX(ROW(R$1:R615)*(R2=R$1:R615))))))</f>
        <v/>
      </c>
      <c r="K657" s="25" t="str">
        <f aca="false">IF(OR(E657="",E657="!!!",F657="NEW"),"",INDEX(W$1:W615,SUMPRODUCT(MAX(ROW(R$1:R615)*(E657=R$1:R615)))))</f>
        <v/>
      </c>
      <c r="L657" s="26"/>
    </row>
    <row r="658" customFormat="false" ht="14.25" hidden="false" customHeight="false" outlineLevel="0" collapsed="false">
      <c r="A658" s="0" t="s">
        <v>166</v>
      </c>
      <c r="E658" s="21" t="str">
        <f aca="false">IF(Q617="?OLD","!!!","")</f>
        <v/>
      </c>
      <c r="F658" s="22" t="str">
        <f aca="false">IF(OR(E658="",E658="!!!"),"",IF(NOT(ISNA(VLOOKUP(E658,R$1:R616,1,FALSE()))),"OLD",IF(AND(E658&lt;&gt;"",E658&lt;&gt;"!!!"),"NEW","")))</f>
        <v/>
      </c>
      <c r="G658" s="23" t="str">
        <f aca="false"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4" t="str">
        <f aca="false">IF(J658&lt;&gt;1,"",IF(I658="SBJ","CB","?"))</f>
        <v/>
      </c>
      <c r="I658" s="25" t="str">
        <f aca="false">IF(OR(E658="",E658="!!!",F658="NEW"),"",INDEX(O$2:O616,-1+SUMPRODUCT(MAX(ROW(R$2:R616)*(E658=R$2:R616)))))</f>
        <v/>
      </c>
      <c r="J658" s="25" t="str">
        <f aca="true">IF(OR(E658="",E658="!!!",F658="NEW"),"",COUNTBLANK(OFFSET(N$1,,,SUMPRODUCT(MAX(ROW(R$2:R617)*(E658=R$2:R617)))))-COUNTBLANK(OFFSET(N$1,,,SUMPRODUCT(MAX(ROW(R$1:R616)*(R2=R$1:R616))))))</f>
        <v/>
      </c>
      <c r="K658" s="25" t="str">
        <f aca="false">IF(OR(E658="",E658="!!!",F658="NEW"),"",INDEX(W$1:W616,SUMPRODUCT(MAX(ROW(R$1:R616)*(E658=R$1:R616)))))</f>
        <v/>
      </c>
      <c r="L658" s="26"/>
    </row>
    <row r="659" customFormat="false" ht="14.25" hidden="false" customHeight="false" outlineLevel="0" collapsed="false">
      <c r="A659" s="0" t="s">
        <v>296</v>
      </c>
      <c r="E659" s="21" t="s">
        <v>346</v>
      </c>
      <c r="F659" s="22" t="str">
        <f aca="false">IF(OR(E659="",E659="!!!"),"",IF(NOT(ISNA(VLOOKUP(E659,R$1:R617,1,FALSE()))),"OLD",IF(AND(E659&lt;&gt;"",E659&lt;&gt;"!!!"),"NEW","")))</f>
        <v>NEW</v>
      </c>
      <c r="G659" s="23" t="str">
        <f aca="false"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?REFERENTIAL</v>
      </c>
      <c r="H659" s="24" t="str">
        <f aca="false">IF(J659&lt;&gt;1,"",IF(I659="SBJ","CB","?"))</f>
        <v/>
      </c>
      <c r="I659" s="25" t="str">
        <f aca="false">IF(OR(E659="",E659="!!!",F659="NEW"),"",INDEX(O$2:O617,-1+SUMPRODUCT(MAX(ROW(R$2:R617)*(E659=R$2:R617)))))</f>
        <v/>
      </c>
      <c r="J659" s="25" t="str">
        <f aca="true">IF(OR(E659="",E659="!!!",F659="NEW"),"",COUNTBLANK(OFFSET(N$1,,,SUMPRODUCT(MAX(ROW(R$2:R618)*(E659=R$2:R618)))))-COUNTBLANK(OFFSET(N$1,,,SUMPRODUCT(MAX(ROW(R$1:R617)*(R2=R$1:R617))))))</f>
        <v/>
      </c>
      <c r="K659" s="25" t="str">
        <f aca="false">IF(OR(E659="",E659="!!!",F659="NEW"),"",INDEX(W$1:W617,SUMPRODUCT(MAX(ROW(R$1:R617)*(E659=R$1:R617)))))</f>
        <v/>
      </c>
      <c r="L659" s="26"/>
    </row>
    <row r="660" customFormat="false" ht="14.25" hidden="false" customHeight="false" outlineLevel="0" collapsed="false">
      <c r="A660" s="0" t="s">
        <v>568</v>
      </c>
      <c r="B660" s="20" t="s">
        <v>150</v>
      </c>
      <c r="C660" s="20" t="s">
        <v>298</v>
      </c>
      <c r="E660" s="21" t="s">
        <v>455</v>
      </c>
      <c r="F660" s="22" t="str">
        <f aca="false">IF(OR(E660="",E660="!!!"),"",IF(NOT(ISNA(VLOOKUP(E660,R$1:R618,1,FALSE()))),"OLD",IF(AND(E660&lt;&gt;"",E660&lt;&gt;"!!!"),"NEW","")))</f>
        <v>NEW</v>
      </c>
      <c r="G660" s="23" t="str">
        <f aca="false"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?REFERENTIAL</v>
      </c>
      <c r="H660" s="24" t="str">
        <f aca="false">IF(J660&lt;&gt;1,"",IF(I660="SBJ","CB","?"))</f>
        <v/>
      </c>
      <c r="I660" s="25" t="str">
        <f aca="false">IF(OR(E660="",E660="!!!",F660="NEW"),"",INDEX(O$2:O618,-1+SUMPRODUCT(MAX(ROW(R$2:R618)*(E660=R$2:R618)))))</f>
        <v/>
      </c>
      <c r="J660" s="25" t="str">
        <f aca="true">IF(OR(E660="",E660="!!!",F660="NEW"),"",COUNTBLANK(OFFSET(N$1,,,SUMPRODUCT(MAX(ROW(R$2:R619)*(E660=R$2:R619)))))-COUNTBLANK(OFFSET(N$1,,,SUMPRODUCT(MAX(ROW(R$1:R618)*(R2=R$1:R618))))))</f>
        <v/>
      </c>
      <c r="K660" s="25" t="str">
        <f aca="false">IF(OR(E660="",E660="!!!",F660="NEW"),"",INDEX(W$1:W618,SUMPRODUCT(MAX(ROW(R$1:R618)*(E660=R$1:R618)))))</f>
        <v/>
      </c>
      <c r="L660" s="26" t="s">
        <v>541</v>
      </c>
    </row>
    <row r="661" customFormat="false" ht="14.25" hidden="false" customHeight="false" outlineLevel="0" collapsed="false">
      <c r="A661" s="0" t="s">
        <v>364</v>
      </c>
      <c r="E661" s="21" t="s">
        <v>569</v>
      </c>
      <c r="F661" s="22" t="str">
        <f aca="false">IF(OR(E661="",E661="!!!"),"",IF(NOT(ISNA(VLOOKUP(E661,R$1:R619,1,FALSE()))),"OLD",IF(AND(E661&lt;&gt;"",E661&lt;&gt;"!!!"),"NEW","")))</f>
        <v>NEW</v>
      </c>
      <c r="G661" s="23" t="str">
        <f aca="false"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?REFERENTIAL</v>
      </c>
      <c r="H661" s="24" t="str">
        <f aca="false">IF(J661&lt;&gt;1,"",IF(I661="SBJ","CB","?"))</f>
        <v/>
      </c>
      <c r="I661" s="25" t="str">
        <f aca="false">IF(OR(E661="",E661="!!!",F661="NEW"),"",INDEX(O$2:O619,-1+SUMPRODUCT(MAX(ROW(R$2:R619)*(E661=R$2:R619)))))</f>
        <v/>
      </c>
      <c r="J661" s="25" t="str">
        <f aca="true">IF(OR(E661="",E661="!!!",F661="NEW"),"",COUNTBLANK(OFFSET(N$1,,,SUMPRODUCT(MAX(ROW(R$2:R620)*(E661=R$2:R620)))))-COUNTBLANK(OFFSET(N$1,,,SUMPRODUCT(MAX(ROW(R$1:R619)*(R2=R$1:R619))))))</f>
        <v/>
      </c>
      <c r="K661" s="25" t="str">
        <f aca="false">IF(OR(E661="",E661="!!!",F661="NEW"),"",INDEX(W$1:W619,SUMPRODUCT(MAX(ROW(R$1:R619)*(E661=R$1:R619)))))</f>
        <v/>
      </c>
      <c r="L661" s="26" t="s">
        <v>237</v>
      </c>
    </row>
    <row r="662" customFormat="false" ht="14.25" hidden="false" customHeight="false" outlineLevel="0" collapsed="false">
      <c r="A662" s="0" t="s">
        <v>160</v>
      </c>
      <c r="E662" s="21" t="str">
        <f aca="false">IF(Q621="?OLD","!!!","")</f>
        <v/>
      </c>
      <c r="F662" s="22" t="str">
        <f aca="false">IF(OR(E662="",E662="!!!"),"",IF(NOT(ISNA(VLOOKUP(E662,R$1:R620,1,FALSE()))),"OLD",IF(AND(E662&lt;&gt;"",E662&lt;&gt;"!!!"),"NEW","")))</f>
        <v/>
      </c>
      <c r="G662" s="23" t="str">
        <f aca="false"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aca="false">IF(J662&lt;&gt;1,"",IF(I662="SBJ","CB","?"))</f>
        <v/>
      </c>
      <c r="I662" s="25" t="str">
        <f aca="false">IF(OR(E662="",E662="!!!",F662="NEW"),"",INDEX(O$2:O620,-1+SUMPRODUCT(MAX(ROW(R$2:R620)*(E662=R$2:R620)))))</f>
        <v/>
      </c>
      <c r="J662" s="25" t="str">
        <f aca="true">IF(OR(E662="",E662="!!!",F662="NEW"),"",COUNTBLANK(OFFSET(N$1,,,SUMPRODUCT(MAX(ROW(R$2:R621)*(E662=R$2:R621)))))-COUNTBLANK(OFFSET(N$1,,,SUMPRODUCT(MAX(ROW(R$1:R620)*(R2=R$1:R620))))))</f>
        <v/>
      </c>
      <c r="K662" s="25" t="str">
        <f aca="false">IF(OR(E662="",E662="!!!",F662="NEW"),"",INDEX(W$1:W620,SUMPRODUCT(MAX(ROW(R$1:R620)*(E662=R$1:R620)))))</f>
        <v/>
      </c>
      <c r="L662" s="26"/>
    </row>
    <row r="664" customFormat="false" ht="14.25" hidden="false" customHeight="false" outlineLevel="0" collapsed="false">
      <c r="A664" s="0" t="s">
        <v>570</v>
      </c>
    </row>
    <row r="665" customFormat="false" ht="14.25" hidden="false" customHeight="false" outlineLevel="0" collapsed="false">
      <c r="A665" s="0" t="s">
        <v>571</v>
      </c>
      <c r="E665" s="21"/>
      <c r="F665" s="22" t="str">
        <f aca="false">IF(OR(E665="",E665="!!!"),"",IF(NOT(ISNA(VLOOKUP(E665,R$1:R621,1,FALSE()))),"OLD",IF(AND(E665&lt;&gt;"",E665&lt;&gt;"!!!"),"NEW","")))</f>
        <v/>
      </c>
      <c r="G665" s="23" t="str">
        <f aca="false"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4" t="str">
        <f aca="false">IF(J665&lt;&gt;1,"",IF(I665="SBJ","CB","?"))</f>
        <v/>
      </c>
      <c r="I665" s="25" t="str">
        <f aca="false">IF(OR(E665="",E665="!!!",F665="NEW"),"",INDEX(O$2:O621,-1+SUMPRODUCT(MAX(ROW(R$2:R621)*(E665=R$2:R621)))))</f>
        <v/>
      </c>
      <c r="J665" s="25" t="str">
        <f aca="true">IF(OR(E665="",E665="!!!",F665="NEW"),"",COUNTBLANK(OFFSET(N$1,,,SUMPRODUCT(MAX(ROW(R$2:R622)*(E665=R$2:R622)))))-COUNTBLANK(OFFSET(N$1,,,SUMPRODUCT(MAX(ROW(R$1:R621)*(R2=R$1:R621))))))</f>
        <v/>
      </c>
      <c r="K665" s="25" t="str">
        <f aca="false">IF(OR(E665="",E665="!!!",F665="NEW"),"",INDEX(W$1:W621,SUMPRODUCT(MAX(ROW(R$1:R621)*(E665=R$1:R621)))))</f>
        <v/>
      </c>
      <c r="L665" s="26" t="s">
        <v>222</v>
      </c>
    </row>
    <row r="666" customFormat="false" ht="14.25" hidden="false" customHeight="false" outlineLevel="0" collapsed="false">
      <c r="A666" s="0" t="s">
        <v>131</v>
      </c>
      <c r="E666" s="21" t="str">
        <f aca="false">IF(Q623="?OLD","!!!","")</f>
        <v/>
      </c>
      <c r="F666" s="22" t="str">
        <f aca="false">IF(OR(E666="",E666="!!!"),"",IF(NOT(ISNA(VLOOKUP(E666,R$1:R622,1,FALSE()))),"OLD",IF(AND(E666&lt;&gt;"",E666&lt;&gt;"!!!"),"NEW","")))</f>
        <v/>
      </c>
      <c r="G666" s="23" t="str">
        <f aca="false"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aca="false">IF(J666&lt;&gt;1,"",IF(I666="SBJ","CB","?"))</f>
        <v/>
      </c>
      <c r="I666" s="25" t="str">
        <f aca="false">IF(OR(E666="",E666="!!!",F666="NEW"),"",INDEX(O$2:O622,-1+SUMPRODUCT(MAX(ROW(R$2:R622)*(E666=R$2:R622)))))</f>
        <v/>
      </c>
      <c r="J666" s="25" t="str">
        <f aca="true">IF(OR(E666="",E666="!!!",F666="NEW"),"",COUNTBLANK(OFFSET(N$1,,,SUMPRODUCT(MAX(ROW(R$2:R623)*(E666=R$2:R623)))))-COUNTBLANK(OFFSET(N$1,,,SUMPRODUCT(MAX(ROW(R$1:R622)*(R2=R$1:R622))))))</f>
        <v/>
      </c>
      <c r="K666" s="25" t="str">
        <f aca="false">IF(OR(E666="",E666="!!!",F666="NEW"),"",INDEX(W$1:W622,SUMPRODUCT(MAX(ROW(R$1:R622)*(E666=R$1:R622)))))</f>
        <v/>
      </c>
      <c r="L666" s="26"/>
    </row>
    <row r="667" customFormat="false" ht="14.25" hidden="false" customHeight="false" outlineLevel="0" collapsed="false">
      <c r="A667" s="0" t="s">
        <v>132</v>
      </c>
      <c r="B667" s="20" t="s">
        <v>133</v>
      </c>
      <c r="C667" s="20" t="s">
        <v>134</v>
      </c>
      <c r="D667" s="20" t="s">
        <v>125</v>
      </c>
      <c r="E667" s="21" t="s">
        <v>135</v>
      </c>
      <c r="F667" s="22" t="str">
        <f aca="false">IF(OR(E667="",E667="!!!"),"",IF(NOT(ISNA(VLOOKUP(E667,R$1:R623,1,FALSE()))),"OLD",IF(AND(E667&lt;&gt;"",E667&lt;&gt;"!!!"),"NEW","")))</f>
        <v>NEW</v>
      </c>
      <c r="G667" s="23" t="str">
        <f aca="false"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?REFERENTIAL</v>
      </c>
      <c r="H667" s="24" t="str">
        <f aca="false">IF(J667&lt;&gt;1,"",IF(I667="SBJ","CB","?"))</f>
        <v/>
      </c>
      <c r="I667" s="25" t="str">
        <f aca="false">IF(OR(E667="",E667="!!!",F667="NEW"),"",INDEX(O$2:O623,-1+SUMPRODUCT(MAX(ROW(R$2:R623)*(E667=R$2:R623)))))</f>
        <v/>
      </c>
      <c r="J667" s="25" t="str">
        <f aca="true">IF(OR(E667="",E667="!!!",F667="NEW"),"",COUNTBLANK(OFFSET(N$1,,,SUMPRODUCT(MAX(ROW(R$2:R624)*(E667=R$2:R624)))))-COUNTBLANK(OFFSET(N$1,,,SUMPRODUCT(MAX(ROW(R$1:R623)*(R2=R$1:R623))))))</f>
        <v/>
      </c>
      <c r="K667" s="25" t="str">
        <f aca="false">IF(OR(E667="",E667="!!!",F667="NEW"),"",INDEX(W$1:W623,SUMPRODUCT(MAX(ROW(R$1:R623)*(E667=R$1:R623)))))</f>
        <v/>
      </c>
      <c r="L667" s="26"/>
    </row>
    <row r="668" customFormat="false" ht="14.25" hidden="false" customHeight="false" outlineLevel="0" collapsed="false">
      <c r="A668" s="0" t="s">
        <v>136</v>
      </c>
      <c r="E668" s="21" t="str">
        <f aca="false">IF(Q625="?OLD","!!!","")</f>
        <v/>
      </c>
      <c r="F668" s="22" t="str">
        <f aca="false">IF(OR(E668="",E668="!!!"),"",IF(NOT(ISNA(VLOOKUP(E668,R$1:R624,1,FALSE()))),"OLD",IF(AND(E668&lt;&gt;"",E668&lt;&gt;"!!!"),"NEW","")))</f>
        <v/>
      </c>
      <c r="G668" s="23" t="str">
        <f aca="false"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aca="false">IF(J668&lt;&gt;1,"",IF(I668="SBJ","CB","?"))</f>
        <v/>
      </c>
      <c r="I668" s="25" t="str">
        <f aca="false">IF(OR(E668="",E668="!!!",F668="NEW"),"",INDEX(O$2:O624,-1+SUMPRODUCT(MAX(ROW(R$2:R624)*(E668=R$2:R624)))))</f>
        <v/>
      </c>
      <c r="J668" s="25" t="str">
        <f aca="true">IF(OR(E668="",E668="!!!",F668="NEW"),"",COUNTBLANK(OFFSET(N$1,,,SUMPRODUCT(MAX(ROW(R$2:R625)*(E668=R$2:R625)))))-COUNTBLANK(OFFSET(N$1,,,SUMPRODUCT(MAX(ROW(R$1:R624)*(R2=R$1:R624))))))</f>
        <v/>
      </c>
      <c r="K668" s="25" t="str">
        <f aca="false">IF(OR(E668="",E668="!!!",F668="NEW"),"",INDEX(W$1:W624,SUMPRODUCT(MAX(ROW(R$1:R624)*(E668=R$1:R624)))))</f>
        <v/>
      </c>
      <c r="L668" s="26"/>
    </row>
    <row r="669" customFormat="false" ht="14.25" hidden="false" customHeight="false" outlineLevel="0" collapsed="false">
      <c r="A669" s="0" t="s">
        <v>572</v>
      </c>
      <c r="E669" s="21" t="str">
        <f aca="false">IF(Q626="?OLD","!!!","")</f>
        <v/>
      </c>
      <c r="F669" s="22" t="str">
        <f aca="false">IF(OR(E669="",E669="!!!"),"",IF(NOT(ISNA(VLOOKUP(E669,R$1:R625,1,FALSE()))),"OLD",IF(AND(E669&lt;&gt;"",E669&lt;&gt;"!!!"),"NEW","")))</f>
        <v/>
      </c>
      <c r="G669" s="23" t="str">
        <f aca="false"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aca="false">IF(J669&lt;&gt;1,"",IF(I669="SBJ","CB","?"))</f>
        <v/>
      </c>
      <c r="I669" s="25" t="str">
        <f aca="false">IF(OR(E669="",E669="!!!",F669="NEW"),"",INDEX(O$2:O625,-1+SUMPRODUCT(MAX(ROW(R$2:R625)*(E669=R$2:R625)))))</f>
        <v/>
      </c>
      <c r="J669" s="25" t="str">
        <f aca="true">IF(OR(E669="",E669="!!!",F669="NEW"),"",COUNTBLANK(OFFSET(N$1,,,SUMPRODUCT(MAX(ROW(R$2:R626)*(E669=R$2:R626)))))-COUNTBLANK(OFFSET(N$1,,,SUMPRODUCT(MAX(ROW(R$1:R625)*(R2=R$1:R625))))))</f>
        <v/>
      </c>
      <c r="K669" s="25" t="str">
        <f aca="false">IF(OR(E669="",E669="!!!",F669="NEW"),"",INDEX(W$1:W625,SUMPRODUCT(MAX(ROW(R$1:R625)*(E669=R$1:R625)))))</f>
        <v/>
      </c>
      <c r="L669" s="26"/>
    </row>
    <row r="670" customFormat="false" ht="14.25" hidden="false" customHeight="false" outlineLevel="0" collapsed="false">
      <c r="A670" s="0" t="s">
        <v>131</v>
      </c>
      <c r="E670" s="21" t="str">
        <f aca="false">IF(Q627="?OLD","!!!","")</f>
        <v/>
      </c>
      <c r="F670" s="22" t="str">
        <f aca="false">IF(OR(E670="",E670="!!!"),"",IF(NOT(ISNA(VLOOKUP(E670,R$1:R626,1,FALSE()))),"OLD",IF(AND(E670&lt;&gt;"",E670&lt;&gt;"!!!"),"NEW","")))</f>
        <v/>
      </c>
      <c r="G670" s="23" t="str">
        <f aca="false"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aca="false">IF(J670&lt;&gt;1,"",IF(I670="SBJ","CB","?"))</f>
        <v/>
      </c>
      <c r="I670" s="25" t="str">
        <f aca="false">IF(OR(E670="",E670="!!!",F670="NEW"),"",INDEX(O$2:O626,-1+SUMPRODUCT(MAX(ROW(R$2:R626)*(E670=R$2:R626)))))</f>
        <v/>
      </c>
      <c r="J670" s="25" t="str">
        <f aca="true">IF(OR(E670="",E670="!!!",F670="NEW"),"",COUNTBLANK(OFFSET(N$1,,,SUMPRODUCT(MAX(ROW(R$2:R627)*(E670=R$2:R627)))))-COUNTBLANK(OFFSET(N$1,,,SUMPRODUCT(MAX(ROW(R$1:R626)*(R2=R$1:R626))))))</f>
        <v/>
      </c>
      <c r="K670" s="25" t="str">
        <f aca="false">IF(OR(E670="",E670="!!!",F670="NEW"),"",INDEX(W$1:W626,SUMPRODUCT(MAX(ROW(R$1:R626)*(E670=R$1:R626)))))</f>
        <v/>
      </c>
      <c r="L670" s="26"/>
    </row>
    <row r="671" customFormat="false" ht="14.25" hidden="false" customHeight="false" outlineLevel="0" collapsed="false">
      <c r="A671" s="0" t="s">
        <v>573</v>
      </c>
      <c r="B671" s="20" t="s">
        <v>148</v>
      </c>
      <c r="C671" s="20" t="s">
        <v>134</v>
      </c>
      <c r="D671" s="20" t="s">
        <v>125</v>
      </c>
      <c r="E671" s="21" t="s">
        <v>574</v>
      </c>
      <c r="F671" s="22" t="str">
        <f aca="false">IF(OR(E671="",E671="!!!"),"",IF(NOT(ISNA(VLOOKUP(E671,R$1:R627,1,FALSE()))),"OLD",IF(AND(E671&lt;&gt;"",E671&lt;&gt;"!!!"),"NEW","")))</f>
        <v>NEW</v>
      </c>
      <c r="G671" s="23" t="str">
        <f aca="false"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?REFERENTIAL</v>
      </c>
      <c r="H671" s="24" t="str">
        <f aca="false">IF(J671&lt;&gt;1,"",IF(I671="SBJ","CB","?"))</f>
        <v/>
      </c>
      <c r="I671" s="25" t="str">
        <f aca="false">IF(OR(E671="",E671="!!!",F671="NEW"),"",INDEX(O$2:O627,-1+SUMPRODUCT(MAX(ROW(R$2:R627)*(E671=R$2:R627)))))</f>
        <v/>
      </c>
      <c r="J671" s="25" t="str">
        <f aca="true">IF(OR(E671="",E671="!!!",F671="NEW"),"",COUNTBLANK(OFFSET(N$1,,,SUMPRODUCT(MAX(ROW(R$2:R628)*(E671=R$2:R628)))))-COUNTBLANK(OFFSET(N$1,,,SUMPRODUCT(MAX(ROW(R$1:R627)*(R2=R$1:R627))))))</f>
        <v/>
      </c>
      <c r="K671" s="25" t="str">
        <f aca="false">IF(OR(E671="",E671="!!!",F671="NEW"),"",INDEX(W$1:W627,SUMPRODUCT(MAX(ROW(R$1:R627)*(E671=R$1:R627)))))</f>
        <v/>
      </c>
      <c r="L671" s="26"/>
    </row>
    <row r="672" customFormat="false" ht="14.25" hidden="false" customHeight="false" outlineLevel="0" collapsed="false">
      <c r="A672" s="0" t="s">
        <v>140</v>
      </c>
      <c r="E672" s="21" t="str">
        <f aca="false">IF(Q629="?OLD","!!!","")</f>
        <v/>
      </c>
      <c r="F672" s="22" t="str">
        <f aca="false">IF(OR(E672="",E672="!!!"),"",IF(NOT(ISNA(VLOOKUP(E672,R$1:R628,1,FALSE()))),"OLD",IF(AND(E672&lt;&gt;"",E672&lt;&gt;"!!!"),"NEW","")))</f>
        <v/>
      </c>
      <c r="G672" s="23" t="str">
        <f aca="false"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4" t="str">
        <f aca="false">IF(J672&lt;&gt;1,"",IF(I672="SBJ","CB","?"))</f>
        <v/>
      </c>
      <c r="I672" s="25" t="str">
        <f aca="false">IF(OR(E672="",E672="!!!",F672="NEW"),"",INDEX(O$2:O628,-1+SUMPRODUCT(MAX(ROW(R$2:R628)*(E672=R$2:R628)))))</f>
        <v/>
      </c>
      <c r="J672" s="25" t="str">
        <f aca="true">IF(OR(E672="",E672="!!!",F672="NEW"),"",COUNTBLANK(OFFSET(N$1,,,SUMPRODUCT(MAX(ROW(R$2:R629)*(E672=R$2:R629)))))-COUNTBLANK(OFFSET(N$1,,,SUMPRODUCT(MAX(ROW(R$1:R628)*(R2=R$1:R628))))))</f>
        <v/>
      </c>
      <c r="K672" s="25" t="str">
        <f aca="false">IF(OR(E672="",E672="!!!",F672="NEW"),"",INDEX(W$1:W628,SUMPRODUCT(MAX(ROW(R$1:R628)*(E672=R$1:R628)))))</f>
        <v/>
      </c>
      <c r="L672" s="26"/>
    </row>
    <row r="673" customFormat="false" ht="14.25" hidden="false" customHeight="false" outlineLevel="0" collapsed="false">
      <c r="A673" s="0" t="s">
        <v>204</v>
      </c>
      <c r="B673" s="20" t="s">
        <v>164</v>
      </c>
      <c r="C673" s="20" t="s">
        <v>124</v>
      </c>
      <c r="D673" s="20" t="s">
        <v>125</v>
      </c>
      <c r="E673" s="21" t="s">
        <v>126</v>
      </c>
      <c r="F673" s="22" t="str">
        <f aca="false">IF(OR(E673="",E673="!!!"),"",IF(NOT(ISNA(VLOOKUP(E673,R$1:R629,1,FALSE()))),"OLD",IF(AND(E673&lt;&gt;"",E673&lt;&gt;"!!!"),"NEW","")))</f>
        <v>NEW</v>
      </c>
      <c r="G673" s="23" t="str">
        <f aca="false"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?REFERENTIAL</v>
      </c>
      <c r="H673" s="24" t="str">
        <f aca="false">IF(J673&lt;&gt;1,"",IF(I673="SBJ","CB","?"))</f>
        <v/>
      </c>
      <c r="I673" s="25" t="str">
        <f aca="false">IF(OR(E673="",E673="!!!",F673="NEW"),"",INDEX(O$2:O629,-1+SUMPRODUCT(MAX(ROW(R$2:R629)*(E673=R$2:R629)))))</f>
        <v/>
      </c>
      <c r="J673" s="25" t="str">
        <f aca="true">IF(OR(E673="",E673="!!!",F673="NEW"),"",COUNTBLANK(OFFSET(N$1,,,SUMPRODUCT(MAX(ROW(R$2:R630)*(E673=R$2:R630)))))-COUNTBLANK(OFFSET(N$1,,,SUMPRODUCT(MAX(ROW(R$1:R629)*(R2=R$1:R629))))))</f>
        <v/>
      </c>
      <c r="K673" s="25" t="str">
        <f aca="false">IF(OR(E673="",E673="!!!",F673="NEW"),"",INDEX(W$1:W629,SUMPRODUCT(MAX(ROW(R$1:R629)*(E673=R$1:R629)))))</f>
        <v/>
      </c>
      <c r="L673" s="26"/>
    </row>
    <row r="674" customFormat="false" ht="14.25" hidden="false" customHeight="false" outlineLevel="0" collapsed="false">
      <c r="A674" s="0" t="s">
        <v>575</v>
      </c>
      <c r="E674" s="21" t="str">
        <f aca="false">IF(Q631="?OLD","!!!","")</f>
        <v/>
      </c>
      <c r="F674" s="22" t="str">
        <f aca="false">IF(OR(E674="",E674="!!!"),"",IF(NOT(ISNA(VLOOKUP(E674,R$1:R630,1,FALSE()))),"OLD",IF(AND(E674&lt;&gt;"",E674&lt;&gt;"!!!"),"NEW","")))</f>
        <v/>
      </c>
      <c r="G674" s="23" t="str">
        <f aca="false"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4" t="str">
        <f aca="false">IF(J674&lt;&gt;1,"",IF(I674="SBJ","CB","?"))</f>
        <v/>
      </c>
      <c r="I674" s="25" t="str">
        <f aca="false">IF(OR(E674="",E674="!!!",F674="NEW"),"",INDEX(O$2:O630,-1+SUMPRODUCT(MAX(ROW(R$2:R630)*(E674=R$2:R630)))))</f>
        <v/>
      </c>
      <c r="J674" s="25" t="str">
        <f aca="true">IF(OR(E674="",E674="!!!",F674="NEW"),"",COUNTBLANK(OFFSET(N$1,,,SUMPRODUCT(MAX(ROW(R$2:R631)*(E674=R$2:R631)))))-COUNTBLANK(OFFSET(N$1,,,SUMPRODUCT(MAX(ROW(R$1:R630)*(R2=R$1:R630))))))</f>
        <v/>
      </c>
      <c r="K674" s="25" t="str">
        <f aca="false">IF(OR(E674="",E674="!!!",F674="NEW"),"",INDEX(W$1:W630,SUMPRODUCT(MAX(ROW(R$1:R630)*(E674=R$1:R630)))))</f>
        <v/>
      </c>
      <c r="L674" s="26"/>
    </row>
    <row r="675" customFormat="false" ht="14.25" hidden="false" customHeight="false" outlineLevel="0" collapsed="false">
      <c r="A675" s="0" t="s">
        <v>140</v>
      </c>
      <c r="E675" s="21" t="str">
        <f aca="false">IF(Q632="?OLD","!!!","")</f>
        <v/>
      </c>
      <c r="F675" s="22" t="str">
        <f aca="false">IF(OR(E675="",E675="!!!"),"",IF(NOT(ISNA(VLOOKUP(E675,R$1:R631,1,FALSE()))),"OLD",IF(AND(E675&lt;&gt;"",E675&lt;&gt;"!!!"),"NEW","")))</f>
        <v/>
      </c>
      <c r="G675" s="23" t="str">
        <f aca="false"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4" t="str">
        <f aca="false">IF(J675&lt;&gt;1,"",IF(I675="SBJ","CB","?"))</f>
        <v/>
      </c>
      <c r="I675" s="25" t="str">
        <f aca="false">IF(OR(E675="",E675="!!!",F675="NEW"),"",INDEX(O$2:O631,-1+SUMPRODUCT(MAX(ROW(R$2:R631)*(E675=R$2:R631)))))</f>
        <v/>
      </c>
      <c r="J675" s="25" t="str">
        <f aca="true">IF(OR(E675="",E675="!!!",F675="NEW"),"",COUNTBLANK(OFFSET(N$1,,,SUMPRODUCT(MAX(ROW(R$2:R632)*(E675=R$2:R632)))))-COUNTBLANK(OFFSET(N$1,,,SUMPRODUCT(MAX(ROW(R$1:R631)*(R2=R$1:R631))))))</f>
        <v/>
      </c>
      <c r="K675" s="25" t="str">
        <f aca="false">IF(OR(E675="",E675="!!!",F675="NEW"),"",INDEX(W$1:W631,SUMPRODUCT(MAX(ROW(R$1:R631)*(E675=R$1:R631)))))</f>
        <v/>
      </c>
      <c r="L675" s="26"/>
    </row>
    <row r="676" customFormat="false" ht="14.25" hidden="false" customHeight="false" outlineLevel="0" collapsed="false">
      <c r="A676" s="0" t="s">
        <v>230</v>
      </c>
      <c r="E676" s="21" t="str">
        <f aca="false">IF(Q633="?OLD","!!!","")</f>
        <v/>
      </c>
      <c r="F676" s="22" t="str">
        <f aca="false">IF(OR(E676="",E676="!!!"),"",IF(NOT(ISNA(VLOOKUP(E676,R$1:R632,1,FALSE()))),"OLD",IF(AND(E676&lt;&gt;"",E676&lt;&gt;"!!!"),"NEW","")))</f>
        <v/>
      </c>
      <c r="G676" s="23" t="str">
        <f aca="false"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aca="false">IF(J676&lt;&gt;1,"",IF(I676="SBJ","CB","?"))</f>
        <v/>
      </c>
      <c r="I676" s="25" t="str">
        <f aca="false">IF(OR(E676="",E676="!!!",F676="NEW"),"",INDEX(O$2:O632,-1+SUMPRODUCT(MAX(ROW(R$2:R632)*(E676=R$2:R632)))))</f>
        <v/>
      </c>
      <c r="J676" s="25" t="str">
        <f aca="true">IF(OR(E676="",E676="!!!",F676="NEW"),"",COUNTBLANK(OFFSET(N$1,,,SUMPRODUCT(MAX(ROW(R$2:R633)*(E676=R$2:R633)))))-COUNTBLANK(OFFSET(N$1,,,SUMPRODUCT(MAX(ROW(R$1:R632)*(R2=R$1:R632))))))</f>
        <v/>
      </c>
      <c r="K676" s="25" t="str">
        <f aca="false">IF(OR(E676="",E676="!!!",F676="NEW"),"",INDEX(W$1:W632,SUMPRODUCT(MAX(ROW(R$1:R632)*(E676=R$1:R632)))))</f>
        <v/>
      </c>
      <c r="L676" s="26"/>
    </row>
    <row r="677" customFormat="false" ht="14.25" hidden="false" customHeight="false" outlineLevel="0" collapsed="false">
      <c r="A677" s="0" t="s">
        <v>576</v>
      </c>
      <c r="B677" s="20" t="s">
        <v>123</v>
      </c>
      <c r="C677" s="20" t="s">
        <v>192</v>
      </c>
      <c r="D677" s="20" t="s">
        <v>125</v>
      </c>
      <c r="E677" s="21" t="s">
        <v>569</v>
      </c>
      <c r="F677" s="22" t="str">
        <f aca="false">IF(OR(E677="",E677="!!!"),"",IF(NOT(ISNA(VLOOKUP(E677,R$1:R633,1,FALSE()))),"OLD",IF(AND(E677&lt;&gt;"",E677&lt;&gt;"!!!"),"NEW","")))</f>
        <v>NEW</v>
      </c>
      <c r="G677" s="23" t="str">
        <f aca="false"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?REFERENTIAL</v>
      </c>
      <c r="H677" s="24" t="str">
        <f aca="false">IF(J677&lt;&gt;1,"",IF(I677="SBJ","CB","?"))</f>
        <v/>
      </c>
      <c r="I677" s="25" t="str">
        <f aca="false">IF(OR(E677="",E677="!!!",F677="NEW"),"",INDEX(O$2:O633,-1+SUMPRODUCT(MAX(ROW(R$2:R633)*(E677=R$2:R633)))))</f>
        <v/>
      </c>
      <c r="J677" s="25" t="str">
        <f aca="true">IF(OR(E677="",E677="!!!",F677="NEW"),"",COUNTBLANK(OFFSET(N$1,,,SUMPRODUCT(MAX(ROW(R$2:R634)*(E677=R$2:R634)))))-COUNTBLANK(OFFSET(N$1,,,SUMPRODUCT(MAX(ROW(R$1:R633)*(R2=R$1:R633))))))</f>
        <v/>
      </c>
      <c r="K677" s="25" t="str">
        <f aca="false">IF(OR(E677="",E677="!!!",F677="NEW"),"",INDEX(W$1:W633,SUMPRODUCT(MAX(ROW(R$1:R633)*(E677=R$1:R633)))))</f>
        <v/>
      </c>
      <c r="L677" s="26"/>
    </row>
    <row r="678" customFormat="false" ht="14.25" hidden="false" customHeight="false" outlineLevel="0" collapsed="false">
      <c r="A678" s="0" t="s">
        <v>238</v>
      </c>
      <c r="E678" s="21" t="str">
        <f aca="false">IF(Q635="?OLD","!!!","")</f>
        <v/>
      </c>
      <c r="F678" s="22" t="str">
        <f aca="false">IF(OR(E678="",E678="!!!"),"",IF(NOT(ISNA(VLOOKUP(E678,R$1:R634,1,FALSE()))),"OLD",IF(AND(E678&lt;&gt;"",E678&lt;&gt;"!!!"),"NEW","")))</f>
        <v/>
      </c>
      <c r="G678" s="23" t="str">
        <f aca="false"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aca="false">IF(J678&lt;&gt;1,"",IF(I678="SBJ","CB","?"))</f>
        <v/>
      </c>
      <c r="I678" s="25" t="str">
        <f aca="false">IF(OR(E678="",E678="!!!",F678="NEW"),"",INDEX(O$2:O634,-1+SUMPRODUCT(MAX(ROW(R$2:R634)*(E678=R$2:R634)))))</f>
        <v/>
      </c>
      <c r="J678" s="25" t="str">
        <f aca="true">IF(OR(E678="",E678="!!!",F678="NEW"),"",COUNTBLANK(OFFSET(N$1,,,SUMPRODUCT(MAX(ROW(R$2:R635)*(E678=R$2:R635)))))-COUNTBLANK(OFFSET(N$1,,,SUMPRODUCT(MAX(ROW(R$1:R634)*(R2=R$1:R634))))))</f>
        <v/>
      </c>
      <c r="K678" s="25" t="str">
        <f aca="false">IF(OR(E678="",E678="!!!",F678="NEW"),"",INDEX(W$1:W634,SUMPRODUCT(MAX(ROW(R$1:R634)*(E678=R$1:R634)))))</f>
        <v/>
      </c>
      <c r="L678" s="26"/>
    </row>
    <row r="679" customFormat="false" ht="14.25" hidden="false" customHeight="false" outlineLevel="0" collapsed="false">
      <c r="A679" s="0" t="s">
        <v>577</v>
      </c>
      <c r="E679" s="21" t="str">
        <f aca="false">IF(Q636="?OLD","!!!","")</f>
        <v/>
      </c>
      <c r="F679" s="22" t="str">
        <f aca="false">IF(OR(E679="",E679="!!!"),"",IF(NOT(ISNA(VLOOKUP(E679,R$1:R635,1,FALSE()))),"OLD",IF(AND(E679&lt;&gt;"",E679&lt;&gt;"!!!"),"NEW","")))</f>
        <v/>
      </c>
      <c r="G679" s="23" t="str">
        <f aca="false"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aca="false">IF(J679&lt;&gt;1,"",IF(I679="SBJ","CB","?"))</f>
        <v/>
      </c>
      <c r="I679" s="25" t="str">
        <f aca="false">IF(OR(E679="",E679="!!!",F679="NEW"),"",INDEX(O$2:O635,-1+SUMPRODUCT(MAX(ROW(R$2:R635)*(E679=R$2:R635)))))</f>
        <v/>
      </c>
      <c r="J679" s="25" t="str">
        <f aca="true">IF(OR(E679="",E679="!!!",F679="NEW"),"",COUNTBLANK(OFFSET(N$1,,,SUMPRODUCT(MAX(ROW(R$2:R636)*(E679=R$2:R636)))))-COUNTBLANK(OFFSET(N$1,,,SUMPRODUCT(MAX(ROW(R$1:R635)*(R2=R$1:R635))))))</f>
        <v/>
      </c>
      <c r="K679" s="25" t="str">
        <f aca="false">IF(OR(E679="",E679="!!!",F679="NEW"),"",INDEX(W$1:W635,SUMPRODUCT(MAX(ROW(R$1:R635)*(E679=R$1:R635)))))</f>
        <v/>
      </c>
      <c r="L679" s="26"/>
    </row>
    <row r="680" customFormat="false" ht="14.25" hidden="false" customHeight="false" outlineLevel="0" collapsed="false">
      <c r="A680" s="0" t="s">
        <v>578</v>
      </c>
      <c r="E680" s="21" t="s">
        <v>455</v>
      </c>
      <c r="F680" s="22" t="s">
        <v>246</v>
      </c>
      <c r="G680" s="23" t="e">
        <f aca="false"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#VALUE!</v>
      </c>
      <c r="H680" s="24" t="e">
        <f aca="false">IF(J680&lt;&gt;1,"",IF(I680="SBJ","CB","?"))</f>
        <v>#VALUE!</v>
      </c>
      <c r="I680" s="25" t="e">
        <f aca="false">IF(OR(E680="",E680="!!!",F680="NEW"),"",INDEX(O$2:O636,-1+SUMPRODUCT(MAX(ROW(R$2:R636)*(E680=R$2:R636)))))</f>
        <v>#VALUE!</v>
      </c>
      <c r="J680" s="25" t="e">
        <f aca="true">IF(OR(E680="",E680="!!!",F680="NEW"),"",COUNTBLANK(OFFSET(N$1,,,SUMPRODUCT(MAX(ROW(R$2:R637)*(E680=R$2:R637)))))-COUNTBLANK(OFFSET(N$1,,,SUMPRODUCT(MAX(ROW(R$1:R636)*(R2=R$1:R636))))))</f>
        <v>#VALUE!</v>
      </c>
      <c r="K680" s="25" t="e">
        <f aca="false">IF(OR(E680="",E680="!!!",F680="NEW"),"",INDEX(W$1:W636,SUMPRODUCT(MAX(ROW(R$1:R636)*(E680=R$1:R636)))))</f>
        <v>#VALUE!</v>
      </c>
      <c r="L680" s="26"/>
    </row>
    <row r="681" customFormat="false" ht="14.25" hidden="false" customHeight="false" outlineLevel="0" collapsed="false">
      <c r="A681" s="0" t="s">
        <v>579</v>
      </c>
      <c r="B681" s="20" t="s">
        <v>224</v>
      </c>
      <c r="C681" s="20" t="s">
        <v>298</v>
      </c>
      <c r="E681" s="21" t="s">
        <v>580</v>
      </c>
      <c r="F681" s="22" t="str">
        <f aca="false">IF(OR(E681="",E681="!!!"),"",IF(NOT(ISNA(VLOOKUP(E681,R$1:R637,1,FALSE()))),"OLD",IF(AND(E681&lt;&gt;"",E681&lt;&gt;"!!!"),"NEW","")))</f>
        <v>NEW</v>
      </c>
      <c r="G681" s="23" t="str">
        <f aca="false"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?REFERENTIAL</v>
      </c>
      <c r="H681" s="24" t="str">
        <f aca="false">IF(J681&lt;&gt;1,"",IF(I681="SBJ","CB","?"))</f>
        <v/>
      </c>
      <c r="I681" s="25" t="str">
        <f aca="false">IF(OR(E681="",E681="!!!",F681="NEW"),"",INDEX(O$2:O637,-1+SUMPRODUCT(MAX(ROW(R$2:R637)*(E681=R$2:R637)))))</f>
        <v/>
      </c>
      <c r="J681" s="25" t="str">
        <f aca="true">IF(OR(E681="",E681="!!!",F681="NEW"),"",COUNTBLANK(OFFSET(N$1,,,SUMPRODUCT(MAX(ROW(R$2:R638)*(E681=R$2:R638)))))-COUNTBLANK(OFFSET(N$1,,,SUMPRODUCT(MAX(ROW(R$1:R637)*(R2=R$1:R637))))))</f>
        <v/>
      </c>
      <c r="K681" s="25" t="str">
        <f aca="false">IF(OR(E681="",E681="!!!",F681="NEW"),"",INDEX(W$1:W637,SUMPRODUCT(MAX(ROW(R$1:R637)*(E681=R$1:R637)))))</f>
        <v/>
      </c>
      <c r="L681" s="26"/>
    </row>
    <row r="682" customFormat="false" ht="14.25" hidden="false" customHeight="false" outlineLevel="0" collapsed="false">
      <c r="A682" s="0" t="s">
        <v>166</v>
      </c>
      <c r="E682" s="21" t="str">
        <f aca="false">IF(Q639="?OLD","!!!","")</f>
        <v/>
      </c>
      <c r="F682" s="22" t="str">
        <f aca="false">IF(OR(E682="",E682="!!!"),"",IF(NOT(ISNA(VLOOKUP(E682,R$1:R638,1,FALSE()))),"OLD",IF(AND(E682&lt;&gt;"",E682&lt;&gt;"!!!"),"NEW","")))</f>
        <v/>
      </c>
      <c r="G682" s="23" t="str">
        <f aca="false"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aca="false">IF(J682&lt;&gt;1,"",IF(I682="SBJ","CB","?"))</f>
        <v/>
      </c>
      <c r="I682" s="25" t="str">
        <f aca="false">IF(OR(E682="",E682="!!!",F682="NEW"),"",INDEX(O$2:O638,-1+SUMPRODUCT(MAX(ROW(R$2:R638)*(E682=R$2:R638)))))</f>
        <v/>
      </c>
      <c r="J682" s="25" t="str">
        <f aca="true">IF(OR(E682="",E682="!!!",F682="NEW"),"",COUNTBLANK(OFFSET(N$1,,,SUMPRODUCT(MAX(ROW(R$2:R639)*(E682=R$2:R639)))))-COUNTBLANK(OFFSET(N$1,,,SUMPRODUCT(MAX(ROW(R$1:R638)*(R2=R$1:R638))))))</f>
        <v/>
      </c>
      <c r="K682" s="25" t="str">
        <f aca="false">IF(OR(E682="",E682="!!!",F682="NEW"),"",INDEX(W$1:W638,SUMPRODUCT(MAX(ROW(R$1:R638)*(E682=R$1:R638)))))</f>
        <v/>
      </c>
      <c r="L682" s="26"/>
    </row>
    <row r="683" customFormat="false" ht="14.25" hidden="false" customHeight="false" outlineLevel="0" collapsed="false">
      <c r="A683" s="0" t="s">
        <v>581</v>
      </c>
      <c r="E683" s="21" t="str">
        <f aca="false">IF(Q640="?OLD","!!!","")</f>
        <v/>
      </c>
      <c r="F683" s="22" t="str">
        <f aca="false">IF(OR(E683="",E683="!!!"),"",IF(NOT(ISNA(VLOOKUP(E683,R$1:R639,1,FALSE()))),"OLD",IF(AND(E683&lt;&gt;"",E683&lt;&gt;"!!!"),"NEW","")))</f>
        <v/>
      </c>
      <c r="G683" s="23" t="str">
        <f aca="false"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aca="false">IF(J683&lt;&gt;1,"",IF(I683="SBJ","CB","?"))</f>
        <v/>
      </c>
      <c r="I683" s="25" t="str">
        <f aca="false">IF(OR(E683="",E683="!!!",F683="NEW"),"",INDEX(O$2:O639,-1+SUMPRODUCT(MAX(ROW(R$2:R639)*(E683=R$2:R639)))))</f>
        <v/>
      </c>
      <c r="J683" s="25" t="str">
        <f aca="true">IF(OR(E683="",E683="!!!",F683="NEW"),"",COUNTBLANK(OFFSET(N$1,,,SUMPRODUCT(MAX(ROW(R$2:R640)*(E683=R$2:R640)))))-COUNTBLANK(OFFSET(N$1,,,SUMPRODUCT(MAX(ROW(R$1:R639)*(R2=R$1:R639))))))</f>
        <v/>
      </c>
      <c r="K683" s="25" t="str">
        <f aca="false">IF(OR(E683="",E683="!!!",F683="NEW"),"",INDEX(W$1:W639,SUMPRODUCT(MAX(ROW(R$1:R639)*(E683=R$1:R639)))))</f>
        <v/>
      </c>
      <c r="L683" s="26"/>
    </row>
    <row r="684" customFormat="false" ht="14.25" hidden="false" customHeight="false" outlineLevel="0" collapsed="false">
      <c r="A684" s="0" t="s">
        <v>582</v>
      </c>
      <c r="B684" s="20" t="s">
        <v>148</v>
      </c>
      <c r="C684" s="20" t="s">
        <v>155</v>
      </c>
      <c r="E684" s="21" t="str">
        <f aca="false">IF(Q641="?OLD","!!!","")</f>
        <v/>
      </c>
      <c r="F684" s="22" t="str">
        <f aca="false">IF(OR(E684="",E684="!!!"),"",IF(NOT(ISNA(VLOOKUP(E684,R$1:R640,1,FALSE()))),"OLD",IF(AND(E684&lt;&gt;"",E684&lt;&gt;"!!!"),"NEW","")))</f>
        <v/>
      </c>
      <c r="G684" s="23" t="str">
        <f aca="false"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aca="false">IF(J684&lt;&gt;1,"",IF(I684="SBJ","CB","?"))</f>
        <v/>
      </c>
      <c r="I684" s="25" t="str">
        <f aca="false">IF(OR(E684="",E684="!!!",F684="NEW"),"",INDEX(O$2:O640,-1+SUMPRODUCT(MAX(ROW(R$2:R640)*(E684=R$2:R640)))))</f>
        <v/>
      </c>
      <c r="J684" s="25" t="str">
        <f aca="true">IF(OR(E684="",E684="!!!",F684="NEW"),"",COUNTBLANK(OFFSET(N$1,,,SUMPRODUCT(MAX(ROW(R$2:R641)*(E684=R$2:R641)))))-COUNTBLANK(OFFSET(N$1,,,SUMPRODUCT(MAX(ROW(R$1:R640)*(R2=R$1:R640))))))</f>
        <v/>
      </c>
      <c r="K684" s="25" t="str">
        <f aca="false">IF(OR(E684="",E684="!!!",F684="NEW"),"",INDEX(W$1:W640,SUMPRODUCT(MAX(ROW(R$1:R640)*(E684=R$1:R640)))))</f>
        <v/>
      </c>
      <c r="L684" s="26"/>
    </row>
    <row r="685" customFormat="false" ht="14.25" hidden="false" customHeight="false" outlineLevel="0" collapsed="false">
      <c r="A685" s="0" t="s">
        <v>583</v>
      </c>
      <c r="E685" s="21" t="str">
        <f aca="false">IF(Q642="?OLD","!!!","")</f>
        <v/>
      </c>
      <c r="F685" s="22" t="str">
        <f aca="false">IF(OR(E685="",E685="!!!"),"",IF(NOT(ISNA(VLOOKUP(E685,R$1:R641,1,FALSE()))),"OLD",IF(AND(E685&lt;&gt;"",E685&lt;&gt;"!!!"),"NEW","")))</f>
        <v/>
      </c>
      <c r="G685" s="23" t="str">
        <f aca="false"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aca="false">IF(J685&lt;&gt;1,"",IF(I685="SBJ","CB","?"))</f>
        <v/>
      </c>
      <c r="I685" s="25" t="str">
        <f aca="false">IF(OR(E685="",E685="!!!",F685="NEW"),"",INDEX(O$2:O641,-1+SUMPRODUCT(MAX(ROW(R$2:R641)*(E685=R$2:R641)))))</f>
        <v/>
      </c>
      <c r="J685" s="25" t="str">
        <f aca="true">IF(OR(E685="",E685="!!!",F685="NEW"),"",COUNTBLANK(OFFSET(N$1,,,SUMPRODUCT(MAX(ROW(R$2:R642)*(E685=R$2:R642)))))-COUNTBLANK(OFFSET(N$1,,,SUMPRODUCT(MAX(ROW(R$1:R641)*(R2=R$1:R641))))))</f>
        <v/>
      </c>
      <c r="K685" s="25" t="str">
        <f aca="false">IF(OR(E685="",E685="!!!",F685="NEW"),"",INDEX(W$1:W641,SUMPRODUCT(MAX(ROW(R$1:R641)*(E685=R$1:R641)))))</f>
        <v/>
      </c>
      <c r="L685" s="26"/>
    </row>
    <row r="686" customFormat="false" ht="14.25" hidden="false" customHeight="false" outlineLevel="0" collapsed="false">
      <c r="A686" s="0" t="s">
        <v>140</v>
      </c>
      <c r="E686" s="21" t="str">
        <f aca="false">IF(Q643="?OLD","!!!","")</f>
        <v/>
      </c>
      <c r="F686" s="22" t="str">
        <f aca="false">IF(OR(E686="",E686="!!!"),"",IF(NOT(ISNA(VLOOKUP(E686,R$1:R642,1,FALSE()))),"OLD",IF(AND(E686&lt;&gt;"",E686&lt;&gt;"!!!"),"NEW","")))</f>
        <v/>
      </c>
      <c r="G686" s="23" t="str">
        <f aca="false"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aca="false">IF(J686&lt;&gt;1,"",IF(I686="SBJ","CB","?"))</f>
        <v/>
      </c>
      <c r="I686" s="25" t="str">
        <f aca="false">IF(OR(E686="",E686="!!!",F686="NEW"),"",INDEX(O$2:O642,-1+SUMPRODUCT(MAX(ROW(R$2:R642)*(E686=R$2:R642)))))</f>
        <v/>
      </c>
      <c r="J686" s="25" t="str">
        <f aca="true">IF(OR(E686="",E686="!!!",F686="NEW"),"",COUNTBLANK(OFFSET(N$1,,,SUMPRODUCT(MAX(ROW(R$2:R643)*(E686=R$2:R643)))))-COUNTBLANK(OFFSET(N$1,,,SUMPRODUCT(MAX(ROW(R$1:R642)*(R2=R$1:R642))))))</f>
        <v/>
      </c>
      <c r="K686" s="25" t="str">
        <f aca="false">IF(OR(E686="",E686="!!!",F686="NEW"),"",INDEX(W$1:W642,SUMPRODUCT(MAX(ROW(R$1:R642)*(E686=R$1:R642)))))</f>
        <v/>
      </c>
      <c r="L686" s="26"/>
    </row>
    <row r="687" customFormat="false" ht="14.25" hidden="false" customHeight="false" outlineLevel="0" collapsed="false">
      <c r="A687" s="0" t="s">
        <v>584</v>
      </c>
      <c r="E687" s="21" t="str">
        <f aca="false">IF(Q644="?OLD","!!!","")</f>
        <v/>
      </c>
      <c r="F687" s="22" t="str">
        <f aca="false">IF(OR(E687="",E687="!!!"),"",IF(NOT(ISNA(VLOOKUP(E687,R$1:R643,1,FALSE()))),"OLD",IF(AND(E687&lt;&gt;"",E687&lt;&gt;"!!!"),"NEW","")))</f>
        <v/>
      </c>
      <c r="G687" s="23" t="str">
        <f aca="false"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aca="false">IF(J687&lt;&gt;1,"",IF(I687="SBJ","CB","?"))</f>
        <v/>
      </c>
      <c r="I687" s="25" t="str">
        <f aca="false">IF(OR(E687="",E687="!!!",F687="NEW"),"",INDEX(O$2:O643,-1+SUMPRODUCT(MAX(ROW(R$2:R643)*(E687=R$2:R643)))))</f>
        <v/>
      </c>
      <c r="J687" s="25" t="str">
        <f aca="true">IF(OR(E687="",E687="!!!",F687="NEW"),"",COUNTBLANK(OFFSET(N$1,,,SUMPRODUCT(MAX(ROW(R$2:R644)*(E687=R$2:R644)))))-COUNTBLANK(OFFSET(N$1,,,SUMPRODUCT(MAX(ROW(R$1:R643)*(R2=R$1:R643))))))</f>
        <v/>
      </c>
      <c r="K687" s="25" t="str">
        <f aca="false">IF(OR(E687="",E687="!!!",F687="NEW"),"",INDEX(W$1:W643,SUMPRODUCT(MAX(ROW(R$1:R643)*(E687=R$1:R643)))))</f>
        <v/>
      </c>
      <c r="L687" s="26"/>
    </row>
    <row r="688" customFormat="false" ht="14.25" hidden="false" customHeight="false" outlineLevel="0" collapsed="false">
      <c r="A688" s="0" t="s">
        <v>585</v>
      </c>
      <c r="E688" s="21" t="str">
        <f aca="false">IF(Q645="?OLD","!!!","")</f>
        <v/>
      </c>
      <c r="F688" s="22" t="str">
        <f aca="false">IF(OR(E688="",E688="!!!"),"",IF(NOT(ISNA(VLOOKUP(E688,R$1:R644,1,FALSE()))),"OLD",IF(AND(E688&lt;&gt;"",E688&lt;&gt;"!!!"),"NEW","")))</f>
        <v/>
      </c>
      <c r="G688" s="23" t="str">
        <f aca="false"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aca="false">IF(J688&lt;&gt;1,"",IF(I688="SBJ","CB","?"))</f>
        <v/>
      </c>
      <c r="I688" s="25" t="str">
        <f aca="false">IF(OR(E688="",E688="!!!",F688="NEW"),"",INDEX(O$2:O644,-1+SUMPRODUCT(MAX(ROW(R$2:R644)*(E688=R$2:R644)))))</f>
        <v/>
      </c>
      <c r="J688" s="25" t="str">
        <f aca="true">IF(OR(E688="",E688="!!!",F688="NEW"),"",COUNTBLANK(OFFSET(N$1,,,SUMPRODUCT(MAX(ROW(R$2:R645)*(E688=R$2:R645)))))-COUNTBLANK(OFFSET(N$1,,,SUMPRODUCT(MAX(ROW(R$1:R644)*(R2=R$1:R644))))))</f>
        <v/>
      </c>
      <c r="K688" s="25" t="str">
        <f aca="false">IF(OR(E688="",E688="!!!",F688="NEW"),"",INDEX(W$1:W644,SUMPRODUCT(MAX(ROW(R$1:R644)*(E688=R$1:R644)))))</f>
        <v/>
      </c>
      <c r="L688" s="26"/>
    </row>
    <row r="689" customFormat="false" ht="14.25" hidden="false" customHeight="false" outlineLevel="0" collapsed="false">
      <c r="A689" s="0" t="s">
        <v>160</v>
      </c>
      <c r="E689" s="21" t="str">
        <f aca="false">IF(Q646="?OLD","!!!","")</f>
        <v/>
      </c>
      <c r="F689" s="22" t="str">
        <f aca="false">IF(OR(E689="",E689="!!!"),"",IF(NOT(ISNA(VLOOKUP(E689,R$1:R645,1,FALSE()))),"OLD",IF(AND(E689&lt;&gt;"",E689&lt;&gt;"!!!"),"NEW","")))</f>
        <v/>
      </c>
      <c r="G689" s="23" t="str">
        <f aca="false"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aca="false">IF(J689&lt;&gt;1,"",IF(I689="SBJ","CB","?"))</f>
        <v/>
      </c>
      <c r="I689" s="25" t="str">
        <f aca="false">IF(OR(E689="",E689="!!!",F689="NEW"),"",INDEX(O$2:O645,-1+SUMPRODUCT(MAX(ROW(R$2:R645)*(E689=R$2:R645)))))</f>
        <v/>
      </c>
      <c r="J689" s="25" t="str">
        <f aca="true">IF(OR(E689="",E689="!!!",F689="NEW"),"",COUNTBLANK(OFFSET(N$1,,,SUMPRODUCT(MAX(ROW(R$2:R646)*(E689=R$2:R646)))))-COUNTBLANK(OFFSET(N$1,,,SUMPRODUCT(MAX(ROW(R$1:R645)*(R2=R$1:R645))))))</f>
        <v/>
      </c>
      <c r="K689" s="25" t="str">
        <f aca="false">IF(OR(E689="",E689="!!!",F689="NEW"),"",INDEX(W$1:W645,SUMPRODUCT(MAX(ROW(R$1:R645)*(E689=R$1:R645)))))</f>
        <v/>
      </c>
      <c r="L689" s="26"/>
    </row>
    <row r="691" customFormat="false" ht="14.25" hidden="false" customHeight="false" outlineLevel="0" collapsed="false">
      <c r="A691" s="0" t="s">
        <v>586</v>
      </c>
    </row>
    <row r="692" customFormat="false" ht="14.25" hidden="false" customHeight="false" outlineLevel="0" collapsed="false">
      <c r="A692" s="0" t="s">
        <v>587</v>
      </c>
      <c r="E692" s="21" t="str">
        <f aca="false">IF(Q647="?OLD","!!!","")</f>
        <v/>
      </c>
      <c r="F692" s="22" t="str">
        <f aca="false">IF(OR(E692="",E692="!!!"),"",IF(NOT(ISNA(VLOOKUP(E692,R$1:R646,1,FALSE()))),"OLD",IF(AND(E692&lt;&gt;"",E692&lt;&gt;"!!!"),"NEW","")))</f>
        <v/>
      </c>
      <c r="G692" s="23" t="str">
        <f aca="false"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aca="false">IF(J692&lt;&gt;1,"",IF(I692="SBJ","CB","?"))</f>
        <v/>
      </c>
      <c r="I692" s="25" t="str">
        <f aca="false">IF(OR(E692="",E692="!!!",F692="NEW"),"",INDEX(O$2:O646,-1+SUMPRODUCT(MAX(ROW(R$2:R646)*(E692=R$2:R646)))))</f>
        <v/>
      </c>
      <c r="J692" s="25" t="str">
        <f aca="true">IF(OR(E692="",E692="!!!",F692="NEW"),"",COUNTBLANK(OFFSET(N$1,,,SUMPRODUCT(MAX(ROW(R$2:R647)*(E692=R$2:R647)))))-COUNTBLANK(OFFSET(N$1,,,SUMPRODUCT(MAX(ROW(R$1:R646)*(R2=R$1:R646))))))</f>
        <v/>
      </c>
      <c r="K692" s="25" t="str">
        <f aca="false">IF(OR(E692="",E692="!!!",F692="NEW"),"",INDEX(W$1:W646,SUMPRODUCT(MAX(ROW(R$1:R646)*(E692=R$1:R646)))))</f>
        <v/>
      </c>
      <c r="L692" s="26"/>
    </row>
    <row r="693" customFormat="false" ht="14.25" hidden="false" customHeight="false" outlineLevel="0" collapsed="false">
      <c r="A693" s="0" t="s">
        <v>588</v>
      </c>
      <c r="B693" s="20" t="s">
        <v>133</v>
      </c>
      <c r="C693" s="20" t="s">
        <v>188</v>
      </c>
      <c r="E693" s="21" t="str">
        <f aca="false">IF(Q648="?OLD","!!!","")</f>
        <v/>
      </c>
      <c r="F693" s="22" t="str">
        <f aca="false">IF(OR(E693="",E693="!!!"),"",IF(NOT(ISNA(VLOOKUP(E693,R$1:R647,1,FALSE()))),"OLD",IF(AND(E693&lt;&gt;"",E693&lt;&gt;"!!!"),"NEW","")))</f>
        <v/>
      </c>
      <c r="G693" s="23" t="str">
        <f aca="false"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aca="false">IF(J693&lt;&gt;1,"",IF(I693="SBJ","CB","?"))</f>
        <v/>
      </c>
      <c r="I693" s="25" t="str">
        <f aca="false">IF(OR(E693="",E693="!!!",F693="NEW"),"",INDEX(O$2:O647,-1+SUMPRODUCT(MAX(ROW(R$2:R647)*(E693=R$2:R647)))))</f>
        <v/>
      </c>
      <c r="J693" s="25" t="str">
        <f aca="true">IF(OR(E693="",E693="!!!",F693="NEW"),"",COUNTBLANK(OFFSET(N$1,,,SUMPRODUCT(MAX(ROW(R$2:R648)*(E693=R$2:R648)))))-COUNTBLANK(OFFSET(N$1,,,SUMPRODUCT(MAX(ROW(R$1:R647)*(R2=R$1:R647))))))</f>
        <v/>
      </c>
      <c r="K693" s="25" t="str">
        <f aca="false">IF(OR(E693="",E693="!!!",F693="NEW"),"",INDEX(W$1:W647,SUMPRODUCT(MAX(ROW(R$1:R647)*(E693=R$1:R647)))))</f>
        <v/>
      </c>
      <c r="L693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2025-07-15T17:44:51Z</dcterms:created>
  <dc:creator/>
  <dc:description/>
  <dc:language>en-US</dc:language>
  <cp:lastModifiedBy/>
  <dcterms:modified xsi:type="dcterms:W3CDTF">2025-08-08T15:57:21Z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